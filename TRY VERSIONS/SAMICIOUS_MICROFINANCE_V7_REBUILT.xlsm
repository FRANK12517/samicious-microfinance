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4"/>
  <mc:AlternateContent xmlns:mc="http://schemas.openxmlformats.org/markup-compatibility/2006">
    <mc:Choice Requires="x15">
      <x15ac:absPath xmlns:x15ac="http://schemas.microsoft.com/office/spreadsheetml/2010/11/ac" url="E:\EXCEL PROJECT\SAMICIOUS MICROFINANCE\"/>
    </mc:Choice>
  </mc:AlternateContent>
  <xr:revisionPtr revIDLastSave="0" documentId="13_ncr:1_{B9492081-368F-402B-B20D-02F5A47BB816}" xr6:coauthVersionLast="47" xr6:coauthVersionMax="47" xr10:uidLastSave="{00000000-0000-0000-0000-000000000000}"/>
  <bookViews>
    <workbookView xWindow="0" yWindow="360" windowWidth="29040" windowHeight="15720" tabRatio="500" firstSheet="3" activeTab="3" xr2:uid="{00000000-000D-0000-FFFF-FFFF00000000}"/>
  </bookViews>
  <sheets>
    <sheet name="DEVELOPER" sheetId="1" r:id="rId1"/>
    <sheet name="ACKNOWLEDGEMENT" sheetId="2" r:id="rId2"/>
    <sheet name="Manager_Dashboard" sheetId="3" r:id="rId3"/>
    <sheet name="Account_Opening" sheetId="4" r:id="rId4"/>
    <sheet name="Agent01_Savings" sheetId="5" r:id="rId5"/>
    <sheet name="Agent01_Withdrawals" sheetId="6" r:id="rId6"/>
    <sheet name="Agent01_Loans" sheetId="7" r:id="rId7"/>
    <sheet name="Agent02_Savings" sheetId="8" r:id="rId8"/>
    <sheet name="Agent02_Withdrawals" sheetId="9" r:id="rId9"/>
    <sheet name="Agent02_Loans" sheetId="10" r:id="rId10"/>
    <sheet name="Agent03_Savings" sheetId="11" r:id="rId11"/>
    <sheet name="Agent03_Withdrawals" sheetId="12" r:id="rId12"/>
    <sheet name="Agent03_Loans" sheetId="13" r:id="rId13"/>
    <sheet name="Agent04_Savings" sheetId="14" r:id="rId14"/>
    <sheet name="Agent04_Withdrawals" sheetId="15" r:id="rId15"/>
    <sheet name="Agent04_Loans" sheetId="16" r:id="rId16"/>
    <sheet name="Agent05_Savings" sheetId="17" r:id="rId17"/>
    <sheet name="Agent05_Withdrawals" sheetId="18" r:id="rId18"/>
    <sheet name="Agent05_Loans" sheetId="19" r:id="rId19"/>
    <sheet name="Agent06_Savings" sheetId="20" r:id="rId20"/>
    <sheet name="Agent06_Withdrawals" sheetId="21" r:id="rId21"/>
    <sheet name="Agent06_Loans" sheetId="22" r:id="rId22"/>
    <sheet name="Agent07_Savings" sheetId="23" r:id="rId23"/>
    <sheet name="Agent07_Withdrawals" sheetId="24" r:id="rId24"/>
    <sheet name="Agent07_Loans" sheetId="25" r:id="rId25"/>
    <sheet name="Agent08_Savings" sheetId="26" r:id="rId26"/>
    <sheet name="Agent08_Withdrawals" sheetId="27" r:id="rId27"/>
    <sheet name="Agent08_Loans" sheetId="28" r:id="rId28"/>
    <sheet name="Agent09_Savings" sheetId="29" r:id="rId29"/>
    <sheet name="Agent09_Withdrawals" sheetId="30" r:id="rId30"/>
    <sheet name="Agent09_Loans" sheetId="31" r:id="rId31"/>
    <sheet name="Agent10_Savings" sheetId="32" r:id="rId32"/>
    <sheet name="Agent10_Withdrawals" sheetId="33" r:id="rId33"/>
    <sheet name="Agent10_Loans" sheetId="34" r:id="rId34"/>
    <sheet name="DB_Customers" sheetId="35" r:id="rId35"/>
    <sheet name="DB_Savings" sheetId="36" r:id="rId36"/>
    <sheet name="DB_Withdrawals" sheetId="37" r:id="rId37"/>
    <sheet name="DB_Loans" sheetId="38" r:id="rId38"/>
    <sheet name="DB_Corrections" sheetId="39" r:id="rId39"/>
    <sheet name="Daily_Balancing" sheetId="40" r:id="rId40"/>
    <sheet name="Weekly_Balancing" sheetId="41" r:id="rId41"/>
    <sheet name="Monthly_Balancing" sheetId="42" r:id="rId42"/>
    <sheet name="MASTER_DATABASE" sheetId="43" r:id="rId43"/>
    <sheet name="CLOUD_SYNC" sheetId="44" r:id="rId44"/>
    <sheet name="DB_Agents" sheetId="45" r:id="rId45"/>
    <sheet name="System_Config" sheetId="46" state="hidden" r:id="rId46"/>
    <sheet name="Audit_Log" sheetId="47" state="hidden" r:id="rId47"/>
    <sheet name="VBA_Macros" sheetId="48" r:id="rId48"/>
  </sheets>
  <functionGroups builtInGroupCount="19"/>
  <definedNames>
    <definedName name="_xlnm._FilterDatabase" localSheetId="34" hidden="1">DB_Customers!$A$3:$N$3</definedName>
    <definedName name="_xlnm._FilterDatabase" localSheetId="37" hidden="1">DB_Loans!$A$3:$M$3</definedName>
    <definedName name="_xlnm._FilterDatabase" localSheetId="35" hidden="1">DB_Savings!$A$3:$J$3</definedName>
    <definedName name="_xlnm._FilterDatabase" localSheetId="36" hidden="1">DB_Withdrawals!$A$3:$L$3</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10" i="44" l="1"/>
  <c r="F518" i="43"/>
  <c r="F517" i="43"/>
  <c r="F516" i="43"/>
  <c r="F515" i="43"/>
  <c r="F514" i="43"/>
  <c r="F513" i="43"/>
  <c r="G20" i="42"/>
  <c r="F20" i="42"/>
  <c r="E20" i="42"/>
  <c r="D20" i="42"/>
  <c r="C20" i="42"/>
  <c r="B20" i="42"/>
  <c r="E4" i="42"/>
  <c r="D4" i="42"/>
  <c r="A2" i="41"/>
  <c r="E13" i="40"/>
  <c r="C13" i="40"/>
  <c r="B13" i="40"/>
  <c r="G13" i="40" s="1"/>
  <c r="E12" i="40"/>
  <c r="E17" i="3" s="1"/>
  <c r="C12" i="40"/>
  <c r="B12" i="40"/>
  <c r="B17" i="3" s="1"/>
  <c r="G17" i="3" s="1"/>
  <c r="E11" i="40"/>
  <c r="C11" i="40"/>
  <c r="B11" i="40"/>
  <c r="E10" i="40"/>
  <c r="C10" i="40"/>
  <c r="B10" i="40"/>
  <c r="B15" i="3" s="1"/>
  <c r="G15" i="3" s="1"/>
  <c r="E9" i="40"/>
  <c r="C9" i="40"/>
  <c r="B9" i="40"/>
  <c r="E8" i="40"/>
  <c r="E13" i="3" s="1"/>
  <c r="C8" i="40"/>
  <c r="B8" i="40"/>
  <c r="G8" i="40" s="1"/>
  <c r="E7" i="40"/>
  <c r="C7" i="40"/>
  <c r="C12" i="3" s="1"/>
  <c r="B7" i="40"/>
  <c r="E6" i="40"/>
  <c r="E11" i="3" s="1"/>
  <c r="C6" i="40"/>
  <c r="C11" i="3" s="1"/>
  <c r="B6" i="40"/>
  <c r="G6" i="40" s="1"/>
  <c r="E5" i="40"/>
  <c r="E10" i="3" s="1"/>
  <c r="C5" i="40"/>
  <c r="B5" i="40"/>
  <c r="F9" i="41" s="1"/>
  <c r="E4" i="40"/>
  <c r="C4" i="40"/>
  <c r="B4" i="40"/>
  <c r="O8" i="38"/>
  <c r="J8" i="38"/>
  <c r="I8" i="38"/>
  <c r="O7" i="38"/>
  <c r="J7" i="38"/>
  <c r="I7" i="38"/>
  <c r="O6" i="38"/>
  <c r="J6" i="38"/>
  <c r="I6" i="38"/>
  <c r="O5" i="38"/>
  <c r="I5" i="38"/>
  <c r="J5" i="38" s="1"/>
  <c r="O4" i="38"/>
  <c r="J4" i="38"/>
  <c r="I4" i="38"/>
  <c r="M45" i="37"/>
  <c r="N45" i="37" s="1"/>
  <c r="N44" i="37"/>
  <c r="M44" i="37"/>
  <c r="M43" i="37"/>
  <c r="N43" i="37" s="1"/>
  <c r="N42" i="37"/>
  <c r="M42" i="37"/>
  <c r="M41" i="37"/>
  <c r="N41" i="37" s="1"/>
  <c r="N40" i="37"/>
  <c r="M40" i="37"/>
  <c r="M39" i="37"/>
  <c r="N39" i="37" s="1"/>
  <c r="N38" i="37"/>
  <c r="M38" i="37"/>
  <c r="M37" i="37"/>
  <c r="N37" i="37" s="1"/>
  <c r="N36" i="37"/>
  <c r="M36" i="37"/>
  <c r="M35" i="37"/>
  <c r="N35" i="37" s="1"/>
  <c r="N34" i="37"/>
  <c r="M34" i="37"/>
  <c r="M33" i="37"/>
  <c r="N33" i="37" s="1"/>
  <c r="N32" i="37"/>
  <c r="M32" i="37"/>
  <c r="M31" i="37"/>
  <c r="N31" i="37" s="1"/>
  <c r="N30" i="37"/>
  <c r="M30" i="37"/>
  <c r="M29" i="37"/>
  <c r="N29" i="37" s="1"/>
  <c r="N28" i="37"/>
  <c r="M28" i="37"/>
  <c r="M27" i="37"/>
  <c r="N27" i="37" s="1"/>
  <c r="N26" i="37"/>
  <c r="M26" i="37"/>
  <c r="M25" i="37"/>
  <c r="N25" i="37" s="1"/>
  <c r="N24" i="37"/>
  <c r="M24" i="37"/>
  <c r="M23" i="37"/>
  <c r="N23" i="37" s="1"/>
  <c r="N22" i="37"/>
  <c r="M22" i="37"/>
  <c r="M21" i="37"/>
  <c r="N21" i="37" s="1"/>
  <c r="N20" i="37"/>
  <c r="M20" i="37"/>
  <c r="M19" i="37"/>
  <c r="N19" i="37" s="1"/>
  <c r="N18" i="37"/>
  <c r="M18" i="37"/>
  <c r="M17" i="37"/>
  <c r="N17" i="37" s="1"/>
  <c r="N16" i="37"/>
  <c r="M16" i="37"/>
  <c r="M15" i="37"/>
  <c r="N15" i="37" s="1"/>
  <c r="N14" i="37"/>
  <c r="M14" i="37"/>
  <c r="M13" i="37"/>
  <c r="N13" i="37" s="1"/>
  <c r="N12" i="37"/>
  <c r="M12" i="37"/>
  <c r="M11" i="37"/>
  <c r="N11" i="37" s="1"/>
  <c r="N10" i="37"/>
  <c r="M10" i="37"/>
  <c r="M9" i="37"/>
  <c r="N9" i="37" s="1"/>
  <c r="N8" i="37"/>
  <c r="M8" i="37"/>
  <c r="M7" i="37"/>
  <c r="N7" i="37" s="1"/>
  <c r="N6" i="37"/>
  <c r="M6" i="37"/>
  <c r="M5" i="37"/>
  <c r="N5" i="37" s="1"/>
  <c r="N4" i="37"/>
  <c r="M4" i="37"/>
  <c r="O23" i="35"/>
  <c r="N23" i="35"/>
  <c r="P23" i="35" s="1"/>
  <c r="M23" i="35"/>
  <c r="L23" i="35"/>
  <c r="O22" i="35"/>
  <c r="M22" i="35"/>
  <c r="L22" i="35"/>
  <c r="O21" i="35"/>
  <c r="M21" i="35"/>
  <c r="L21" i="35"/>
  <c r="N21" i="35" s="1"/>
  <c r="P21" i="35" s="1"/>
  <c r="O20" i="35"/>
  <c r="M20" i="35"/>
  <c r="L20" i="35"/>
  <c r="N20" i="35" s="1"/>
  <c r="P20" i="35" s="1"/>
  <c r="P19" i="35"/>
  <c r="O19" i="35"/>
  <c r="N19" i="35"/>
  <c r="M19" i="35"/>
  <c r="L19" i="35"/>
  <c r="O18" i="35"/>
  <c r="M18" i="35"/>
  <c r="L18" i="35"/>
  <c r="N18" i="35" s="1"/>
  <c r="P18" i="35" s="1"/>
  <c r="P17" i="35"/>
  <c r="O17" i="35"/>
  <c r="N17" i="35"/>
  <c r="M17" i="35"/>
  <c r="L17" i="35"/>
  <c r="O16" i="35"/>
  <c r="M16" i="35"/>
  <c r="N16" i="35" s="1"/>
  <c r="P16" i="35" s="1"/>
  <c r="L16" i="35"/>
  <c r="O15" i="35"/>
  <c r="M15" i="35"/>
  <c r="L15" i="35"/>
  <c r="N15" i="35" s="1"/>
  <c r="P15" i="35" s="1"/>
  <c r="O14" i="35"/>
  <c r="M14" i="35"/>
  <c r="L14" i="35"/>
  <c r="O13" i="35"/>
  <c r="M13" i="35"/>
  <c r="L13" i="35"/>
  <c r="O12" i="35"/>
  <c r="N12" i="35"/>
  <c r="P12" i="35" s="1"/>
  <c r="M12" i="35"/>
  <c r="L12" i="35"/>
  <c r="O11" i="35"/>
  <c r="N11" i="35"/>
  <c r="P11" i="35" s="1"/>
  <c r="M11" i="35"/>
  <c r="L11" i="35"/>
  <c r="O10" i="35"/>
  <c r="M10" i="35"/>
  <c r="L10" i="35"/>
  <c r="N10" i="35" s="1"/>
  <c r="P10" i="35" s="1"/>
  <c r="O9" i="35"/>
  <c r="M9" i="35"/>
  <c r="N9" i="35" s="1"/>
  <c r="P9" i="35" s="1"/>
  <c r="L9" i="35"/>
  <c r="O8" i="35"/>
  <c r="M8" i="35"/>
  <c r="N8" i="35" s="1"/>
  <c r="P8" i="35" s="1"/>
  <c r="L8" i="35"/>
  <c r="P7" i="35"/>
  <c r="O7" i="35"/>
  <c r="N7" i="35"/>
  <c r="M7" i="35"/>
  <c r="L7" i="35"/>
  <c r="O6" i="35"/>
  <c r="M6" i="35"/>
  <c r="L6" i="35"/>
  <c r="N6" i="35" s="1"/>
  <c r="P6" i="35" s="1"/>
  <c r="O5" i="35"/>
  <c r="M5" i="35"/>
  <c r="L5" i="35"/>
  <c r="N5" i="35" s="1"/>
  <c r="P5" i="35" s="1"/>
  <c r="O4" i="35"/>
  <c r="M4" i="35"/>
  <c r="L4" i="35"/>
  <c r="N4" i="35" s="1"/>
  <c r="P4" i="35" s="1"/>
  <c r="K213" i="34"/>
  <c r="K212" i="34"/>
  <c r="K211" i="34"/>
  <c r="K210" i="34"/>
  <c r="K209" i="34"/>
  <c r="K208" i="34"/>
  <c r="K207" i="34"/>
  <c r="K206" i="34"/>
  <c r="K205" i="34"/>
  <c r="K204" i="34"/>
  <c r="K203" i="34"/>
  <c r="K202" i="34"/>
  <c r="K201" i="34"/>
  <c r="K200" i="34"/>
  <c r="K199" i="34"/>
  <c r="K198" i="34"/>
  <c r="K197" i="34"/>
  <c r="K196" i="34"/>
  <c r="K195" i="34"/>
  <c r="K194" i="34"/>
  <c r="K193" i="34"/>
  <c r="K192" i="34"/>
  <c r="K191" i="34"/>
  <c r="K190" i="34"/>
  <c r="K189" i="34"/>
  <c r="K188" i="34"/>
  <c r="K187" i="34"/>
  <c r="K186" i="34"/>
  <c r="K185" i="34"/>
  <c r="K184" i="34"/>
  <c r="K183" i="34"/>
  <c r="K182" i="34"/>
  <c r="K181" i="34"/>
  <c r="K180" i="34"/>
  <c r="K179" i="34"/>
  <c r="K178" i="34"/>
  <c r="K177" i="34"/>
  <c r="K176" i="34"/>
  <c r="K175" i="34"/>
  <c r="K174" i="34"/>
  <c r="K173" i="34"/>
  <c r="K172" i="34"/>
  <c r="K171" i="34"/>
  <c r="K170" i="34"/>
  <c r="K169" i="34"/>
  <c r="K168" i="34"/>
  <c r="K167" i="34"/>
  <c r="K166" i="34"/>
  <c r="K165" i="34"/>
  <c r="K164" i="34"/>
  <c r="K163" i="34"/>
  <c r="K162" i="34"/>
  <c r="K161" i="34"/>
  <c r="K160" i="34"/>
  <c r="K159" i="34"/>
  <c r="K158" i="34"/>
  <c r="K157" i="34"/>
  <c r="K156" i="34"/>
  <c r="K155" i="34"/>
  <c r="K154" i="34"/>
  <c r="K153" i="34"/>
  <c r="K152" i="34"/>
  <c r="K151" i="34"/>
  <c r="K150" i="34"/>
  <c r="K149" i="34"/>
  <c r="K148" i="34"/>
  <c r="K147" i="34"/>
  <c r="K146" i="34"/>
  <c r="K145" i="34"/>
  <c r="K144" i="34"/>
  <c r="K143" i="34"/>
  <c r="K142" i="34"/>
  <c r="K141" i="34"/>
  <c r="K140" i="34"/>
  <c r="K139" i="34"/>
  <c r="K138" i="34"/>
  <c r="K137" i="34"/>
  <c r="K136" i="34"/>
  <c r="K135" i="34"/>
  <c r="K134" i="34"/>
  <c r="K133" i="34"/>
  <c r="K132" i="34"/>
  <c r="K131" i="34"/>
  <c r="K130" i="34"/>
  <c r="K129" i="34"/>
  <c r="K128" i="34"/>
  <c r="K127" i="34"/>
  <c r="K126" i="34"/>
  <c r="K125" i="34"/>
  <c r="K124" i="34"/>
  <c r="K123" i="34"/>
  <c r="K122" i="34"/>
  <c r="K121" i="34"/>
  <c r="K120" i="34"/>
  <c r="K119" i="34"/>
  <c r="K118" i="34"/>
  <c r="K117" i="34"/>
  <c r="K116" i="34"/>
  <c r="K115" i="34"/>
  <c r="K114" i="34"/>
  <c r="K113" i="34"/>
  <c r="I113" i="34"/>
  <c r="J113" i="34" s="1"/>
  <c r="D113" i="34"/>
  <c r="C113" i="34"/>
  <c r="A113" i="34"/>
  <c r="K112" i="34"/>
  <c r="I112" i="34"/>
  <c r="J112" i="34" s="1"/>
  <c r="D112" i="34"/>
  <c r="C112" i="34"/>
  <c r="A112" i="34"/>
  <c r="K111" i="34"/>
  <c r="J111" i="34"/>
  <c r="I111" i="34"/>
  <c r="D111" i="34"/>
  <c r="C111" i="34"/>
  <c r="A111" i="34"/>
  <c r="K110" i="34"/>
  <c r="I110" i="34"/>
  <c r="J110" i="34" s="1"/>
  <c r="D110" i="34"/>
  <c r="C110" i="34"/>
  <c r="A110" i="34"/>
  <c r="K109" i="34"/>
  <c r="J109" i="34"/>
  <c r="I109" i="34"/>
  <c r="D109" i="34"/>
  <c r="C109" i="34"/>
  <c r="A109" i="34"/>
  <c r="K108" i="34"/>
  <c r="I108" i="34"/>
  <c r="J108" i="34" s="1"/>
  <c r="D108" i="34"/>
  <c r="C108" i="34"/>
  <c r="A108" i="34"/>
  <c r="K107" i="34"/>
  <c r="J107" i="34"/>
  <c r="I107" i="34"/>
  <c r="D107" i="34"/>
  <c r="C107" i="34"/>
  <c r="A107" i="34"/>
  <c r="K106" i="34"/>
  <c r="I106" i="34"/>
  <c r="J106" i="34" s="1"/>
  <c r="D106" i="34"/>
  <c r="C106" i="34"/>
  <c r="A106" i="34"/>
  <c r="K105" i="34"/>
  <c r="I105" i="34"/>
  <c r="J105" i="34" s="1"/>
  <c r="D105" i="34"/>
  <c r="C105" i="34"/>
  <c r="A105" i="34"/>
  <c r="K104" i="34"/>
  <c r="I104" i="34"/>
  <c r="J104" i="34" s="1"/>
  <c r="D104" i="34"/>
  <c r="C104" i="34"/>
  <c r="A104" i="34"/>
  <c r="K103" i="34"/>
  <c r="I103" i="34"/>
  <c r="J103" i="34" s="1"/>
  <c r="D103" i="34"/>
  <c r="C103" i="34"/>
  <c r="A103" i="34"/>
  <c r="K102" i="34"/>
  <c r="J102" i="34"/>
  <c r="I102" i="34"/>
  <c r="D102" i="34"/>
  <c r="C102" i="34"/>
  <c r="A102" i="34"/>
  <c r="K101" i="34"/>
  <c r="I101" i="34"/>
  <c r="J101" i="34" s="1"/>
  <c r="D101" i="34"/>
  <c r="C101" i="34"/>
  <c r="A101" i="34"/>
  <c r="K100" i="34"/>
  <c r="I100" i="34"/>
  <c r="J100" i="34" s="1"/>
  <c r="D100" i="34"/>
  <c r="C100" i="34"/>
  <c r="A100" i="34"/>
  <c r="K99" i="34"/>
  <c r="I99" i="34"/>
  <c r="J99" i="34" s="1"/>
  <c r="D99" i="34"/>
  <c r="C99" i="34"/>
  <c r="A99" i="34"/>
  <c r="K98" i="34"/>
  <c r="I98" i="34"/>
  <c r="J98" i="34" s="1"/>
  <c r="D98" i="34"/>
  <c r="C98" i="34"/>
  <c r="A98" i="34"/>
  <c r="K97" i="34"/>
  <c r="J97" i="34"/>
  <c r="I97" i="34"/>
  <c r="D97" i="34"/>
  <c r="C97" i="34"/>
  <c r="A97" i="34"/>
  <c r="K96" i="34"/>
  <c r="I96" i="34"/>
  <c r="J96" i="34" s="1"/>
  <c r="D96" i="34"/>
  <c r="C96" i="34"/>
  <c r="A96" i="34"/>
  <c r="K95" i="34"/>
  <c r="J95" i="34"/>
  <c r="I95" i="34"/>
  <c r="D95" i="34"/>
  <c r="C95" i="34"/>
  <c r="A95" i="34"/>
  <c r="K94" i="34"/>
  <c r="I94" i="34"/>
  <c r="J94" i="34" s="1"/>
  <c r="D94" i="34"/>
  <c r="C94" i="34"/>
  <c r="A94" i="34"/>
  <c r="K93" i="34"/>
  <c r="J93" i="34"/>
  <c r="I93" i="34"/>
  <c r="D93" i="34"/>
  <c r="C93" i="34"/>
  <c r="A93" i="34"/>
  <c r="K92" i="34"/>
  <c r="I92" i="34"/>
  <c r="J92" i="34" s="1"/>
  <c r="D92" i="34"/>
  <c r="C92" i="34"/>
  <c r="A92" i="34"/>
  <c r="K91" i="34"/>
  <c r="I91" i="34"/>
  <c r="J91" i="34" s="1"/>
  <c r="D91" i="34"/>
  <c r="C91" i="34"/>
  <c r="A91" i="34"/>
  <c r="K90" i="34"/>
  <c r="J90" i="34"/>
  <c r="I90" i="34"/>
  <c r="D90" i="34"/>
  <c r="C90" i="34"/>
  <c r="A90" i="34"/>
  <c r="K89" i="34"/>
  <c r="J89" i="34"/>
  <c r="I89" i="34"/>
  <c r="D89" i="34"/>
  <c r="C89" i="34"/>
  <c r="A89" i="34"/>
  <c r="K88" i="34"/>
  <c r="I88" i="34"/>
  <c r="J88" i="34" s="1"/>
  <c r="D88" i="34"/>
  <c r="C88" i="34"/>
  <c r="A88" i="34"/>
  <c r="K87" i="34"/>
  <c r="I87" i="34"/>
  <c r="J87" i="34" s="1"/>
  <c r="D87" i="34"/>
  <c r="C87" i="34"/>
  <c r="A87" i="34"/>
  <c r="K86" i="34"/>
  <c r="J86" i="34"/>
  <c r="I86" i="34"/>
  <c r="D86" i="34"/>
  <c r="C86" i="34"/>
  <c r="A86" i="34"/>
  <c r="K85" i="34"/>
  <c r="I85" i="34"/>
  <c r="J85" i="34" s="1"/>
  <c r="D85" i="34"/>
  <c r="C85" i="34"/>
  <c r="A85" i="34"/>
  <c r="K84" i="34"/>
  <c r="I84" i="34"/>
  <c r="J84" i="34" s="1"/>
  <c r="D84" i="34"/>
  <c r="C84" i="34"/>
  <c r="A84" i="34"/>
  <c r="K83" i="34"/>
  <c r="J83" i="34"/>
  <c r="I83" i="34"/>
  <c r="D83" i="34"/>
  <c r="C83" i="34"/>
  <c r="A83" i="34"/>
  <c r="K82" i="34"/>
  <c r="J82" i="34"/>
  <c r="I82" i="34"/>
  <c r="D82" i="34"/>
  <c r="C82" i="34"/>
  <c r="A82" i="34"/>
  <c r="K81" i="34"/>
  <c r="I81" i="34"/>
  <c r="J81" i="34" s="1"/>
  <c r="D81" i="34"/>
  <c r="C81" i="34"/>
  <c r="A81" i="34"/>
  <c r="K80" i="34"/>
  <c r="I80" i="34"/>
  <c r="J80" i="34" s="1"/>
  <c r="D80" i="34"/>
  <c r="C80" i="34"/>
  <c r="A80" i="34"/>
  <c r="K79" i="34"/>
  <c r="J79" i="34"/>
  <c r="I79" i="34"/>
  <c r="D79" i="34"/>
  <c r="C79" i="34"/>
  <c r="A79" i="34"/>
  <c r="K78" i="34"/>
  <c r="I78" i="34"/>
  <c r="J78" i="34" s="1"/>
  <c r="D78" i="34"/>
  <c r="C78" i="34"/>
  <c r="A78" i="34"/>
  <c r="K77" i="34"/>
  <c r="J77" i="34"/>
  <c r="I77" i="34"/>
  <c r="D77" i="34"/>
  <c r="C77" i="34"/>
  <c r="A77" i="34"/>
  <c r="K76" i="34"/>
  <c r="I76" i="34"/>
  <c r="J76" i="34" s="1"/>
  <c r="D76" i="34"/>
  <c r="C76" i="34"/>
  <c r="A76" i="34"/>
  <c r="K75" i="34"/>
  <c r="J75" i="34"/>
  <c r="I75" i="34"/>
  <c r="D75" i="34"/>
  <c r="C75" i="34"/>
  <c r="A75" i="34"/>
  <c r="K74" i="34"/>
  <c r="I74" i="34"/>
  <c r="J74" i="34" s="1"/>
  <c r="D74" i="34"/>
  <c r="C74" i="34"/>
  <c r="A74" i="34"/>
  <c r="K73" i="34"/>
  <c r="I73" i="34"/>
  <c r="J73" i="34" s="1"/>
  <c r="D73" i="34"/>
  <c r="C73" i="34"/>
  <c r="A73" i="34"/>
  <c r="K72" i="34"/>
  <c r="I72" i="34"/>
  <c r="J72" i="34" s="1"/>
  <c r="D72" i="34"/>
  <c r="C72" i="34"/>
  <c r="A72" i="34"/>
  <c r="K71" i="34"/>
  <c r="I71" i="34"/>
  <c r="J71" i="34" s="1"/>
  <c r="D71" i="34"/>
  <c r="C71" i="34"/>
  <c r="A71" i="34"/>
  <c r="K70" i="34"/>
  <c r="J70" i="34"/>
  <c r="I70" i="34"/>
  <c r="D70" i="34"/>
  <c r="C70" i="34"/>
  <c r="A70" i="34"/>
  <c r="K69" i="34"/>
  <c r="I69" i="34"/>
  <c r="J69" i="34" s="1"/>
  <c r="D69" i="34"/>
  <c r="C69" i="34"/>
  <c r="A69" i="34"/>
  <c r="K68" i="34"/>
  <c r="I68" i="34"/>
  <c r="J68" i="34" s="1"/>
  <c r="D68" i="34"/>
  <c r="C68" i="34"/>
  <c r="A68" i="34"/>
  <c r="K67" i="34"/>
  <c r="J67" i="34"/>
  <c r="I67" i="34"/>
  <c r="D67" i="34"/>
  <c r="C67" i="34"/>
  <c r="A67" i="34"/>
  <c r="K66" i="34"/>
  <c r="I66" i="34"/>
  <c r="J66" i="34" s="1"/>
  <c r="D66" i="34"/>
  <c r="C66" i="34"/>
  <c r="A66" i="34"/>
  <c r="K65" i="34"/>
  <c r="J65" i="34"/>
  <c r="I65" i="34"/>
  <c r="D65" i="34"/>
  <c r="C65" i="34"/>
  <c r="A65" i="34"/>
  <c r="K64" i="34"/>
  <c r="I64" i="34"/>
  <c r="J64" i="34" s="1"/>
  <c r="D64" i="34"/>
  <c r="C64" i="34"/>
  <c r="A64" i="34"/>
  <c r="K63" i="34"/>
  <c r="J63" i="34"/>
  <c r="I63" i="34"/>
  <c r="D63" i="34"/>
  <c r="C63" i="34"/>
  <c r="A63" i="34"/>
  <c r="K62" i="34"/>
  <c r="I62" i="34"/>
  <c r="J62" i="34" s="1"/>
  <c r="D62" i="34"/>
  <c r="C62" i="34"/>
  <c r="A62" i="34"/>
  <c r="K61" i="34"/>
  <c r="J61" i="34"/>
  <c r="I61" i="34"/>
  <c r="D61" i="34"/>
  <c r="C61" i="34"/>
  <c r="A61" i="34"/>
  <c r="K60" i="34"/>
  <c r="I60" i="34"/>
  <c r="J60" i="34" s="1"/>
  <c r="D60" i="34"/>
  <c r="C60" i="34"/>
  <c r="A60" i="34"/>
  <c r="K59" i="34"/>
  <c r="I59" i="34"/>
  <c r="J59" i="34" s="1"/>
  <c r="D59" i="34"/>
  <c r="C59" i="34"/>
  <c r="A59" i="34"/>
  <c r="K58" i="34"/>
  <c r="J58" i="34"/>
  <c r="I58" i="34"/>
  <c r="D58" i="34"/>
  <c r="C58" i="34"/>
  <c r="A58" i="34"/>
  <c r="K57" i="34"/>
  <c r="J57" i="34"/>
  <c r="I57" i="34"/>
  <c r="D57" i="34"/>
  <c r="C57" i="34"/>
  <c r="A57" i="34"/>
  <c r="K56" i="34"/>
  <c r="I56" i="34"/>
  <c r="J56" i="34" s="1"/>
  <c r="D56" i="34"/>
  <c r="C56" i="34"/>
  <c r="A56" i="34"/>
  <c r="K55" i="34"/>
  <c r="I55" i="34"/>
  <c r="J55" i="34" s="1"/>
  <c r="D55" i="34"/>
  <c r="C55" i="34"/>
  <c r="A55" i="34"/>
  <c r="K54" i="34"/>
  <c r="J54" i="34"/>
  <c r="I54" i="34"/>
  <c r="D54" i="34"/>
  <c r="C54" i="34"/>
  <c r="A54" i="34"/>
  <c r="K53" i="34"/>
  <c r="I53" i="34"/>
  <c r="J53" i="34" s="1"/>
  <c r="D53" i="34"/>
  <c r="C53" i="34"/>
  <c r="A53" i="34"/>
  <c r="K52" i="34"/>
  <c r="I52" i="34"/>
  <c r="J52" i="34" s="1"/>
  <c r="D52" i="34"/>
  <c r="C52" i="34"/>
  <c r="A52" i="34"/>
  <c r="K51" i="34"/>
  <c r="J51" i="34"/>
  <c r="I51" i="34"/>
  <c r="D51" i="34"/>
  <c r="C51" i="34"/>
  <c r="A51" i="34"/>
  <c r="K50" i="34"/>
  <c r="J50" i="34"/>
  <c r="I50" i="34"/>
  <c r="D50" i="34"/>
  <c r="C50" i="34"/>
  <c r="A50" i="34"/>
  <c r="K49" i="34"/>
  <c r="J49" i="34"/>
  <c r="I49" i="34"/>
  <c r="D49" i="34"/>
  <c r="C49" i="34"/>
  <c r="A49" i="34"/>
  <c r="K48" i="34"/>
  <c r="I48" i="34"/>
  <c r="J48" i="34" s="1"/>
  <c r="D48" i="34"/>
  <c r="C48" i="34"/>
  <c r="A48" i="34"/>
  <c r="K47" i="34"/>
  <c r="J47" i="34"/>
  <c r="I47" i="34"/>
  <c r="D47" i="34"/>
  <c r="C47" i="34"/>
  <c r="A47" i="34"/>
  <c r="K46" i="34"/>
  <c r="I46" i="34"/>
  <c r="J46" i="34" s="1"/>
  <c r="D46" i="34"/>
  <c r="C46" i="34"/>
  <c r="A46" i="34"/>
  <c r="K45" i="34"/>
  <c r="J45" i="34"/>
  <c r="I45" i="34"/>
  <c r="D45" i="34"/>
  <c r="C45" i="34"/>
  <c r="A45" i="34"/>
  <c r="K44" i="34"/>
  <c r="I44" i="34"/>
  <c r="J44" i="34" s="1"/>
  <c r="D44" i="34"/>
  <c r="C44" i="34"/>
  <c r="A44" i="34"/>
  <c r="K43" i="34"/>
  <c r="J43" i="34"/>
  <c r="I43" i="34"/>
  <c r="D43" i="34"/>
  <c r="C43" i="34"/>
  <c r="A43" i="34"/>
  <c r="K42" i="34"/>
  <c r="J42" i="34"/>
  <c r="I42" i="34"/>
  <c r="D42" i="34"/>
  <c r="C42" i="34"/>
  <c r="A42" i="34"/>
  <c r="K41" i="34"/>
  <c r="I41" i="34"/>
  <c r="J41" i="34" s="1"/>
  <c r="D41" i="34"/>
  <c r="C41" i="34"/>
  <c r="A41" i="34"/>
  <c r="K40" i="34"/>
  <c r="I40" i="34"/>
  <c r="J40" i="34" s="1"/>
  <c r="D40" i="34"/>
  <c r="C40" i="34"/>
  <c r="A40" i="34"/>
  <c r="K39" i="34"/>
  <c r="I39" i="34"/>
  <c r="J39" i="34" s="1"/>
  <c r="D39" i="34"/>
  <c r="C39" i="34"/>
  <c r="A39" i="34"/>
  <c r="K38" i="34"/>
  <c r="J38" i="34"/>
  <c r="I38" i="34"/>
  <c r="D38" i="34"/>
  <c r="C38" i="34"/>
  <c r="A38" i="34"/>
  <c r="K37" i="34"/>
  <c r="I37" i="34"/>
  <c r="J37" i="34" s="1"/>
  <c r="D37" i="34"/>
  <c r="C37" i="34"/>
  <c r="A37" i="34"/>
  <c r="K36" i="34"/>
  <c r="I36" i="34"/>
  <c r="J36" i="34" s="1"/>
  <c r="D36" i="34"/>
  <c r="C36" i="34"/>
  <c r="A36" i="34"/>
  <c r="K35" i="34"/>
  <c r="J35" i="34"/>
  <c r="I35" i="34"/>
  <c r="D35" i="34"/>
  <c r="C35" i="34"/>
  <c r="A35" i="34"/>
  <c r="K34" i="34"/>
  <c r="I34" i="34"/>
  <c r="J34" i="34" s="1"/>
  <c r="D34" i="34"/>
  <c r="C34" i="34"/>
  <c r="A34" i="34"/>
  <c r="K33" i="34"/>
  <c r="J33" i="34"/>
  <c r="I33" i="34"/>
  <c r="D33" i="34"/>
  <c r="C33" i="34"/>
  <c r="A33" i="34"/>
  <c r="K32" i="34"/>
  <c r="I32" i="34"/>
  <c r="J32" i="34" s="1"/>
  <c r="D32" i="34"/>
  <c r="C32" i="34"/>
  <c r="A32" i="34"/>
  <c r="K31" i="34"/>
  <c r="J31" i="34"/>
  <c r="I31" i="34"/>
  <c r="D31" i="34"/>
  <c r="C31" i="34"/>
  <c r="A31" i="34"/>
  <c r="K30" i="34"/>
  <c r="I30" i="34"/>
  <c r="J30" i="34" s="1"/>
  <c r="D30" i="34"/>
  <c r="C30" i="34"/>
  <c r="A30" i="34"/>
  <c r="K29" i="34"/>
  <c r="J29" i="34"/>
  <c r="I29" i="34"/>
  <c r="D29" i="34"/>
  <c r="C29" i="34"/>
  <c r="A29" i="34"/>
  <c r="K28" i="34"/>
  <c r="I28" i="34"/>
  <c r="J28" i="34" s="1"/>
  <c r="D28" i="34"/>
  <c r="C28" i="34"/>
  <c r="A28" i="34"/>
  <c r="K27" i="34"/>
  <c r="I27" i="34"/>
  <c r="J27" i="34" s="1"/>
  <c r="D27" i="34"/>
  <c r="C27" i="34"/>
  <c r="A27" i="34"/>
  <c r="K26" i="34"/>
  <c r="J26" i="34"/>
  <c r="I26" i="34"/>
  <c r="D26" i="34"/>
  <c r="C26" i="34"/>
  <c r="A26" i="34"/>
  <c r="K25" i="34"/>
  <c r="J25" i="34"/>
  <c r="I25" i="34"/>
  <c r="D25" i="34"/>
  <c r="C25" i="34"/>
  <c r="A25" i="34"/>
  <c r="K24" i="34"/>
  <c r="I24" i="34"/>
  <c r="J24" i="34" s="1"/>
  <c r="D24" i="34"/>
  <c r="C24" i="34"/>
  <c r="A24" i="34"/>
  <c r="K23" i="34"/>
  <c r="I23" i="34"/>
  <c r="J23" i="34" s="1"/>
  <c r="D23" i="34"/>
  <c r="C23" i="34"/>
  <c r="A23" i="34"/>
  <c r="K22" i="34"/>
  <c r="J22" i="34"/>
  <c r="I22" i="34"/>
  <c r="D22" i="34"/>
  <c r="C22" i="34"/>
  <c r="A22" i="34"/>
  <c r="K21" i="34"/>
  <c r="I21" i="34"/>
  <c r="J21" i="34" s="1"/>
  <c r="D21" i="34"/>
  <c r="C21" i="34"/>
  <c r="A21" i="34"/>
  <c r="K20" i="34"/>
  <c r="I20" i="34"/>
  <c r="J20" i="34" s="1"/>
  <c r="D20" i="34"/>
  <c r="C20" i="34"/>
  <c r="A20" i="34"/>
  <c r="K19" i="34"/>
  <c r="J19" i="34"/>
  <c r="I19" i="34"/>
  <c r="D19" i="34"/>
  <c r="C19" i="34"/>
  <c r="A19" i="34"/>
  <c r="K18" i="34"/>
  <c r="J18" i="34"/>
  <c r="I18" i="34"/>
  <c r="D18" i="34"/>
  <c r="C18" i="34"/>
  <c r="A18" i="34"/>
  <c r="K17" i="34"/>
  <c r="J17" i="34"/>
  <c r="I17" i="34"/>
  <c r="D17" i="34"/>
  <c r="C17" i="34"/>
  <c r="A17" i="34"/>
  <c r="K16" i="34"/>
  <c r="I16" i="34"/>
  <c r="J16" i="34" s="1"/>
  <c r="D16" i="34"/>
  <c r="C16" i="34"/>
  <c r="A16" i="34"/>
  <c r="K15" i="34"/>
  <c r="J15" i="34"/>
  <c r="I15" i="34"/>
  <c r="D15" i="34"/>
  <c r="C15" i="34"/>
  <c r="A15" i="34"/>
  <c r="K14" i="34"/>
  <c r="I14" i="34"/>
  <c r="J14" i="34" s="1"/>
  <c r="D14" i="34"/>
  <c r="C14" i="34"/>
  <c r="A14" i="34"/>
  <c r="B9" i="34"/>
  <c r="B10" i="34" s="1"/>
  <c r="B8" i="34"/>
  <c r="J208" i="33"/>
  <c r="K208" i="33" s="1"/>
  <c r="G208" i="33"/>
  <c r="D208" i="33"/>
  <c r="C208" i="33"/>
  <c r="B208" i="33"/>
  <c r="K207" i="33"/>
  <c r="J207" i="33"/>
  <c r="G207" i="33"/>
  <c r="D207" i="33"/>
  <c r="C207" i="33"/>
  <c r="B207" i="33"/>
  <c r="J206" i="33"/>
  <c r="K206" i="33" s="1"/>
  <c r="G206" i="33"/>
  <c r="D206" i="33"/>
  <c r="C206" i="33"/>
  <c r="B206" i="33"/>
  <c r="K205" i="33"/>
  <c r="J205" i="33"/>
  <c r="G205" i="33"/>
  <c r="D205" i="33"/>
  <c r="C205" i="33"/>
  <c r="B205" i="33"/>
  <c r="K204" i="33"/>
  <c r="J204" i="33"/>
  <c r="G204" i="33"/>
  <c r="D204" i="33"/>
  <c r="C204" i="33"/>
  <c r="B204" i="33"/>
  <c r="J203" i="33"/>
  <c r="K203" i="33" s="1"/>
  <c r="G203" i="33"/>
  <c r="D203" i="33"/>
  <c r="C203" i="33"/>
  <c r="B203" i="33"/>
  <c r="J202" i="33"/>
  <c r="K202" i="33" s="1"/>
  <c r="G202" i="33"/>
  <c r="D202" i="33"/>
  <c r="C202" i="33"/>
  <c r="B202" i="33"/>
  <c r="J201" i="33"/>
  <c r="K201" i="33" s="1"/>
  <c r="G201" i="33"/>
  <c r="D201" i="33"/>
  <c r="C201" i="33"/>
  <c r="B201" i="33"/>
  <c r="K200" i="33"/>
  <c r="J200" i="33"/>
  <c r="G200" i="33"/>
  <c r="D200" i="33"/>
  <c r="C200" i="33"/>
  <c r="B200" i="33"/>
  <c r="J199" i="33"/>
  <c r="K199" i="33" s="1"/>
  <c r="G199" i="33"/>
  <c r="D199" i="33"/>
  <c r="C199" i="33"/>
  <c r="B199" i="33"/>
  <c r="J198" i="33"/>
  <c r="K198" i="33" s="1"/>
  <c r="G198" i="33"/>
  <c r="D198" i="33"/>
  <c r="C198" i="33"/>
  <c r="B198" i="33"/>
  <c r="K197" i="33"/>
  <c r="J197" i="33"/>
  <c r="G197" i="33"/>
  <c r="D197" i="33"/>
  <c r="C197" i="33"/>
  <c r="B197" i="33"/>
  <c r="J196" i="33"/>
  <c r="K196" i="33" s="1"/>
  <c r="G196" i="33"/>
  <c r="D196" i="33"/>
  <c r="C196" i="33"/>
  <c r="B196" i="33"/>
  <c r="K195" i="33"/>
  <c r="J195" i="33"/>
  <c r="G195" i="33"/>
  <c r="D195" i="33"/>
  <c r="C195" i="33"/>
  <c r="B195" i="33"/>
  <c r="J194" i="33"/>
  <c r="K194" i="33" s="1"/>
  <c r="G194" i="33"/>
  <c r="D194" i="33"/>
  <c r="C194" i="33"/>
  <c r="B194" i="33"/>
  <c r="K193" i="33"/>
  <c r="J193" i="33"/>
  <c r="G193" i="33"/>
  <c r="D193" i="33"/>
  <c r="C193" i="33"/>
  <c r="B193" i="33"/>
  <c r="J192" i="33"/>
  <c r="K192" i="33" s="1"/>
  <c r="G192" i="33"/>
  <c r="D192" i="33"/>
  <c r="C192" i="33"/>
  <c r="B192" i="33"/>
  <c r="K191" i="33"/>
  <c r="J191" i="33"/>
  <c r="G191" i="33"/>
  <c r="D191" i="33"/>
  <c r="C191" i="33"/>
  <c r="B191" i="33"/>
  <c r="J190" i="33"/>
  <c r="K190" i="33" s="1"/>
  <c r="G190" i="33"/>
  <c r="D190" i="33"/>
  <c r="C190" i="33"/>
  <c r="B190" i="33"/>
  <c r="J189" i="33"/>
  <c r="K189" i="33" s="1"/>
  <c r="G189" i="33"/>
  <c r="D189" i="33"/>
  <c r="C189" i="33"/>
  <c r="B189" i="33"/>
  <c r="K188" i="33"/>
  <c r="J188" i="33"/>
  <c r="G188" i="33"/>
  <c r="D188" i="33"/>
  <c r="C188" i="33"/>
  <c r="B188" i="33"/>
  <c r="K187" i="33"/>
  <c r="J187" i="33"/>
  <c r="G187" i="33"/>
  <c r="D187" i="33"/>
  <c r="C187" i="33"/>
  <c r="B187" i="33"/>
  <c r="J186" i="33"/>
  <c r="K186" i="33" s="1"/>
  <c r="G186" i="33"/>
  <c r="D186" i="33"/>
  <c r="C186" i="33"/>
  <c r="B186" i="33"/>
  <c r="J185" i="33"/>
  <c r="K185" i="33" s="1"/>
  <c r="G185" i="33"/>
  <c r="D185" i="33"/>
  <c r="C185" i="33"/>
  <c r="B185" i="33"/>
  <c r="K184" i="33"/>
  <c r="J184" i="33"/>
  <c r="G184" i="33"/>
  <c r="D184" i="33"/>
  <c r="C184" i="33"/>
  <c r="B184" i="33"/>
  <c r="J183" i="33"/>
  <c r="K183" i="33" s="1"/>
  <c r="G183" i="33"/>
  <c r="D183" i="33"/>
  <c r="C183" i="33"/>
  <c r="B183" i="33"/>
  <c r="J182" i="33"/>
  <c r="K182" i="33" s="1"/>
  <c r="G182" i="33"/>
  <c r="D182" i="33"/>
  <c r="C182" i="33"/>
  <c r="B182" i="33"/>
  <c r="K181" i="33"/>
  <c r="J181" i="33"/>
  <c r="G181" i="33"/>
  <c r="D181" i="33"/>
  <c r="C181" i="33"/>
  <c r="B181" i="33"/>
  <c r="K180" i="33"/>
  <c r="J180" i="33"/>
  <c r="G180" i="33"/>
  <c r="D180" i="33"/>
  <c r="C180" i="33"/>
  <c r="B180" i="33"/>
  <c r="K179" i="33"/>
  <c r="J179" i="33"/>
  <c r="G179" i="33"/>
  <c r="D179" i="33"/>
  <c r="C179" i="33"/>
  <c r="B179" i="33"/>
  <c r="J178" i="33"/>
  <c r="K178" i="33" s="1"/>
  <c r="G178" i="33"/>
  <c r="D178" i="33"/>
  <c r="C178" i="33"/>
  <c r="B178" i="33"/>
  <c r="K177" i="33"/>
  <c r="J177" i="33"/>
  <c r="G177" i="33"/>
  <c r="D177" i="33"/>
  <c r="C177" i="33"/>
  <c r="B177" i="33"/>
  <c r="J176" i="33"/>
  <c r="K176" i="33" s="1"/>
  <c r="G176" i="33"/>
  <c r="D176" i="33"/>
  <c r="C176" i="33"/>
  <c r="B176" i="33"/>
  <c r="K175" i="33"/>
  <c r="J175" i="33"/>
  <c r="G175" i="33"/>
  <c r="D175" i="33"/>
  <c r="C175" i="33"/>
  <c r="B175" i="33"/>
  <c r="J174" i="33"/>
  <c r="K174" i="33" s="1"/>
  <c r="G174" i="33"/>
  <c r="D174" i="33"/>
  <c r="C174" i="33"/>
  <c r="B174" i="33"/>
  <c r="K173" i="33"/>
  <c r="J173" i="33"/>
  <c r="G173" i="33"/>
  <c r="D173" i="33"/>
  <c r="C173" i="33"/>
  <c r="B173" i="33"/>
  <c r="K172" i="33"/>
  <c r="J172" i="33"/>
  <c r="G172" i="33"/>
  <c r="D172" i="33"/>
  <c r="C172" i="33"/>
  <c r="B172" i="33"/>
  <c r="J171" i="33"/>
  <c r="K171" i="33" s="1"/>
  <c r="G171" i="33"/>
  <c r="D171" i="33"/>
  <c r="C171" i="33"/>
  <c r="B171" i="33"/>
  <c r="J170" i="33"/>
  <c r="K170" i="33" s="1"/>
  <c r="G170" i="33"/>
  <c r="D170" i="33"/>
  <c r="C170" i="33"/>
  <c r="B170" i="33"/>
  <c r="J169" i="33"/>
  <c r="K169" i="33" s="1"/>
  <c r="G169" i="33"/>
  <c r="D169" i="33"/>
  <c r="C169" i="33"/>
  <c r="B169" i="33"/>
  <c r="K168" i="33"/>
  <c r="J168" i="33"/>
  <c r="G168" i="33"/>
  <c r="D168" i="33"/>
  <c r="C168" i="33"/>
  <c r="B168" i="33"/>
  <c r="J167" i="33"/>
  <c r="K167" i="33" s="1"/>
  <c r="G167" i="33"/>
  <c r="D167" i="33"/>
  <c r="C167" i="33"/>
  <c r="B167" i="33"/>
  <c r="J166" i="33"/>
  <c r="K166" i="33" s="1"/>
  <c r="G166" i="33"/>
  <c r="D166" i="33"/>
  <c r="C166" i="33"/>
  <c r="B166" i="33"/>
  <c r="K165" i="33"/>
  <c r="J165" i="33"/>
  <c r="G165" i="33"/>
  <c r="D165" i="33"/>
  <c r="C165" i="33"/>
  <c r="B165" i="33"/>
  <c r="J164" i="33"/>
  <c r="K164" i="33" s="1"/>
  <c r="G164" i="33"/>
  <c r="D164" i="33"/>
  <c r="C164" i="33"/>
  <c r="B164" i="33"/>
  <c r="K163" i="33"/>
  <c r="J163" i="33"/>
  <c r="G163" i="33"/>
  <c r="D163" i="33"/>
  <c r="C163" i="33"/>
  <c r="B163" i="33"/>
  <c r="J162" i="33"/>
  <c r="K162" i="33" s="1"/>
  <c r="G162" i="33"/>
  <c r="D162" i="33"/>
  <c r="C162" i="33"/>
  <c r="B162" i="33"/>
  <c r="K161" i="33"/>
  <c r="J161" i="33"/>
  <c r="G161" i="33"/>
  <c r="D161" i="33"/>
  <c r="C161" i="33"/>
  <c r="B161" i="33"/>
  <c r="J160" i="33"/>
  <c r="K160" i="33" s="1"/>
  <c r="G160" i="33"/>
  <c r="D160" i="33"/>
  <c r="C160" i="33"/>
  <c r="B160" i="33"/>
  <c r="K159" i="33"/>
  <c r="J159" i="33"/>
  <c r="G159" i="33"/>
  <c r="D159" i="33"/>
  <c r="C159" i="33"/>
  <c r="B159" i="33"/>
  <c r="J158" i="33"/>
  <c r="K158" i="33" s="1"/>
  <c r="G158" i="33"/>
  <c r="D158" i="33"/>
  <c r="C158" i="33"/>
  <c r="B158" i="33"/>
  <c r="J157" i="33"/>
  <c r="K157" i="33" s="1"/>
  <c r="G157" i="33"/>
  <c r="D157" i="33"/>
  <c r="C157" i="33"/>
  <c r="B157" i="33"/>
  <c r="K156" i="33"/>
  <c r="J156" i="33"/>
  <c r="G156" i="33"/>
  <c r="D156" i="33"/>
  <c r="C156" i="33"/>
  <c r="B156" i="33"/>
  <c r="K155" i="33"/>
  <c r="J155" i="33"/>
  <c r="G155" i="33"/>
  <c r="D155" i="33"/>
  <c r="C155" i="33"/>
  <c r="B155" i="33"/>
  <c r="J154" i="33"/>
  <c r="K154" i="33" s="1"/>
  <c r="G154" i="33"/>
  <c r="D154" i="33"/>
  <c r="C154" i="33"/>
  <c r="B154" i="33"/>
  <c r="J153" i="33"/>
  <c r="K153" i="33" s="1"/>
  <c r="G153" i="33"/>
  <c r="D153" i="33"/>
  <c r="C153" i="33"/>
  <c r="B153" i="33"/>
  <c r="K152" i="33"/>
  <c r="J152" i="33"/>
  <c r="G152" i="33"/>
  <c r="D152" i="33"/>
  <c r="C152" i="33"/>
  <c r="B152" i="33"/>
  <c r="J151" i="33"/>
  <c r="K151" i="33" s="1"/>
  <c r="G151" i="33"/>
  <c r="D151" i="33"/>
  <c r="C151" i="33"/>
  <c r="B151" i="33"/>
  <c r="J150" i="33"/>
  <c r="K150" i="33" s="1"/>
  <c r="G150" i="33"/>
  <c r="D150" i="33"/>
  <c r="C150" i="33"/>
  <c r="B150" i="33"/>
  <c r="K149" i="33"/>
  <c r="J149" i="33"/>
  <c r="G149" i="33"/>
  <c r="D149" i="33"/>
  <c r="C149" i="33"/>
  <c r="B149" i="33"/>
  <c r="K148" i="33"/>
  <c r="J148" i="33"/>
  <c r="G148" i="33"/>
  <c r="D148" i="33"/>
  <c r="C148" i="33"/>
  <c r="B148" i="33"/>
  <c r="K147" i="33"/>
  <c r="J147" i="33"/>
  <c r="G147" i="33"/>
  <c r="D147" i="33"/>
  <c r="C147" i="33"/>
  <c r="B147" i="33"/>
  <c r="J146" i="33"/>
  <c r="K146" i="33" s="1"/>
  <c r="G146" i="33"/>
  <c r="D146" i="33"/>
  <c r="C146" i="33"/>
  <c r="B146" i="33"/>
  <c r="K145" i="33"/>
  <c r="J145" i="33"/>
  <c r="G145" i="33"/>
  <c r="D145" i="33"/>
  <c r="C145" i="33"/>
  <c r="B145" i="33"/>
  <c r="J144" i="33"/>
  <c r="K144" i="33" s="1"/>
  <c r="G144" i="33"/>
  <c r="D144" i="33"/>
  <c r="C144" i="33"/>
  <c r="B144" i="33"/>
  <c r="K143" i="33"/>
  <c r="J143" i="33"/>
  <c r="G143" i="33"/>
  <c r="D143" i="33"/>
  <c r="C143" i="33"/>
  <c r="B143" i="33"/>
  <c r="J142" i="33"/>
  <c r="K142" i="33" s="1"/>
  <c r="G142" i="33"/>
  <c r="D142" i="33"/>
  <c r="C142" i="33"/>
  <c r="B142" i="33"/>
  <c r="K141" i="33"/>
  <c r="J141" i="33"/>
  <c r="G141" i="33"/>
  <c r="D141" i="33"/>
  <c r="C141" i="33"/>
  <c r="B141" i="33"/>
  <c r="K140" i="33"/>
  <c r="J140" i="33"/>
  <c r="G140" i="33"/>
  <c r="D140" i="33"/>
  <c r="C140" i="33"/>
  <c r="B140" i="33"/>
  <c r="J139" i="33"/>
  <c r="K139" i="33" s="1"/>
  <c r="G139" i="33"/>
  <c r="D139" i="33"/>
  <c r="C139" i="33"/>
  <c r="B139" i="33"/>
  <c r="J138" i="33"/>
  <c r="K138" i="33" s="1"/>
  <c r="G138" i="33"/>
  <c r="D138" i="33"/>
  <c r="C138" i="33"/>
  <c r="B138" i="33"/>
  <c r="J137" i="33"/>
  <c r="K137" i="33" s="1"/>
  <c r="G137" i="33"/>
  <c r="D137" i="33"/>
  <c r="C137" i="33"/>
  <c r="B137" i="33"/>
  <c r="K136" i="33"/>
  <c r="J136" i="33"/>
  <c r="G136" i="33"/>
  <c r="D136" i="33"/>
  <c r="C136" i="33"/>
  <c r="B136" i="33"/>
  <c r="J135" i="33"/>
  <c r="K135" i="33" s="1"/>
  <c r="G135" i="33"/>
  <c r="D135" i="33"/>
  <c r="C135" i="33"/>
  <c r="B135" i="33"/>
  <c r="J134" i="33"/>
  <c r="K134" i="33" s="1"/>
  <c r="G134" i="33"/>
  <c r="D134" i="33"/>
  <c r="C134" i="33"/>
  <c r="B134" i="33"/>
  <c r="K133" i="33"/>
  <c r="J133" i="33"/>
  <c r="G133" i="33"/>
  <c r="D133" i="33"/>
  <c r="C133" i="33"/>
  <c r="B133" i="33"/>
  <c r="J132" i="33"/>
  <c r="K132" i="33" s="1"/>
  <c r="G132" i="33"/>
  <c r="D132" i="33"/>
  <c r="C132" i="33"/>
  <c r="B132" i="33"/>
  <c r="K131" i="33"/>
  <c r="J131" i="33"/>
  <c r="G131" i="33"/>
  <c r="D131" i="33"/>
  <c r="C131" i="33"/>
  <c r="B131" i="33"/>
  <c r="J130" i="33"/>
  <c r="K130" i="33" s="1"/>
  <c r="G130" i="33"/>
  <c r="D130" i="33"/>
  <c r="C130" i="33"/>
  <c r="B130" i="33"/>
  <c r="K129" i="33"/>
  <c r="J129" i="33"/>
  <c r="G129" i="33"/>
  <c r="D129" i="33"/>
  <c r="C129" i="33"/>
  <c r="B129" i="33"/>
  <c r="J128" i="33"/>
  <c r="K128" i="33" s="1"/>
  <c r="G128" i="33"/>
  <c r="D128" i="33"/>
  <c r="C128" i="33"/>
  <c r="B128" i="33"/>
  <c r="K127" i="33"/>
  <c r="J127" i="33"/>
  <c r="G127" i="33"/>
  <c r="D127" i="33"/>
  <c r="C127" i="33"/>
  <c r="B127" i="33"/>
  <c r="J126" i="33"/>
  <c r="K126" i="33" s="1"/>
  <c r="G126" i="33"/>
  <c r="D126" i="33"/>
  <c r="C126" i="33"/>
  <c r="B126" i="33"/>
  <c r="J125" i="33"/>
  <c r="K125" i="33" s="1"/>
  <c r="G125" i="33"/>
  <c r="D125" i="33"/>
  <c r="C125" i="33"/>
  <c r="B125" i="33"/>
  <c r="K124" i="33"/>
  <c r="J124" i="33"/>
  <c r="G124" i="33"/>
  <c r="D124" i="33"/>
  <c r="C124" i="33"/>
  <c r="B124" i="33"/>
  <c r="K123" i="33"/>
  <c r="J123" i="33"/>
  <c r="G123" i="33"/>
  <c r="D123" i="33"/>
  <c r="C123" i="33"/>
  <c r="B123" i="33"/>
  <c r="J122" i="33"/>
  <c r="K122" i="33" s="1"/>
  <c r="G122" i="33"/>
  <c r="D122" i="33"/>
  <c r="C122" i="33"/>
  <c r="B122" i="33"/>
  <c r="J121" i="33"/>
  <c r="K121" i="33" s="1"/>
  <c r="G121" i="33"/>
  <c r="D121" i="33"/>
  <c r="C121" i="33"/>
  <c r="B121" i="33"/>
  <c r="K120" i="33"/>
  <c r="J120" i="33"/>
  <c r="G120" i="33"/>
  <c r="D120" i="33"/>
  <c r="C120" i="33"/>
  <c r="B120" i="33"/>
  <c r="J119" i="33"/>
  <c r="K119" i="33" s="1"/>
  <c r="G119" i="33"/>
  <c r="D119" i="33"/>
  <c r="C119" i="33"/>
  <c r="B119" i="33"/>
  <c r="J118" i="33"/>
  <c r="K118" i="33" s="1"/>
  <c r="G118" i="33"/>
  <c r="D118" i="33"/>
  <c r="C118" i="33"/>
  <c r="B118" i="33"/>
  <c r="K117" i="33"/>
  <c r="J117" i="33"/>
  <c r="G117" i="33"/>
  <c r="D117" i="33"/>
  <c r="C117" i="33"/>
  <c r="B117" i="33"/>
  <c r="K116" i="33"/>
  <c r="J116" i="33"/>
  <c r="G116" i="33"/>
  <c r="D116" i="33"/>
  <c r="C116" i="33"/>
  <c r="B116" i="33"/>
  <c r="K115" i="33"/>
  <c r="J115" i="33"/>
  <c r="G115" i="33"/>
  <c r="D115" i="33"/>
  <c r="C115" i="33"/>
  <c r="B115" i="33"/>
  <c r="J114" i="33"/>
  <c r="K114" i="33" s="1"/>
  <c r="G114" i="33"/>
  <c r="D114" i="33"/>
  <c r="C114" i="33"/>
  <c r="B114" i="33"/>
  <c r="K113" i="33"/>
  <c r="J113" i="33"/>
  <c r="G113" i="33"/>
  <c r="D113" i="33"/>
  <c r="C113" i="33"/>
  <c r="B113" i="33"/>
  <c r="J112" i="33"/>
  <c r="K112" i="33" s="1"/>
  <c r="G112" i="33"/>
  <c r="D112" i="33"/>
  <c r="C112" i="33"/>
  <c r="B112" i="33"/>
  <c r="K111" i="33"/>
  <c r="J111" i="33"/>
  <c r="G111" i="33"/>
  <c r="D111" i="33"/>
  <c r="C111" i="33"/>
  <c r="B111" i="33"/>
  <c r="J110" i="33"/>
  <c r="K110" i="33" s="1"/>
  <c r="G110" i="33"/>
  <c r="D110" i="33"/>
  <c r="C110" i="33"/>
  <c r="B110" i="33"/>
  <c r="K109" i="33"/>
  <c r="J109" i="33"/>
  <c r="G109" i="33"/>
  <c r="D109" i="33"/>
  <c r="C109" i="33"/>
  <c r="B109" i="33"/>
  <c r="K108" i="33"/>
  <c r="J108" i="33"/>
  <c r="G108" i="33"/>
  <c r="D108" i="33"/>
  <c r="C108" i="33"/>
  <c r="B108" i="33"/>
  <c r="J107" i="33"/>
  <c r="K107" i="33" s="1"/>
  <c r="G107" i="33"/>
  <c r="D107" i="33"/>
  <c r="C107" i="33"/>
  <c r="B107" i="33"/>
  <c r="J106" i="33"/>
  <c r="K106" i="33" s="1"/>
  <c r="G106" i="33"/>
  <c r="D106" i="33"/>
  <c r="C106" i="33"/>
  <c r="B106" i="33"/>
  <c r="J105" i="33"/>
  <c r="K105" i="33" s="1"/>
  <c r="G105" i="33"/>
  <c r="D105" i="33"/>
  <c r="C105" i="33"/>
  <c r="B105" i="33"/>
  <c r="K104" i="33"/>
  <c r="J104" i="33"/>
  <c r="G104" i="33"/>
  <c r="D104" i="33"/>
  <c r="C104" i="33"/>
  <c r="B104" i="33"/>
  <c r="J103" i="33"/>
  <c r="K103" i="33" s="1"/>
  <c r="G103" i="33"/>
  <c r="D103" i="33"/>
  <c r="C103" i="33"/>
  <c r="B103" i="33"/>
  <c r="J102" i="33"/>
  <c r="K102" i="33" s="1"/>
  <c r="G102" i="33"/>
  <c r="D102" i="33"/>
  <c r="C102" i="33"/>
  <c r="B102" i="33"/>
  <c r="K101" i="33"/>
  <c r="J101" i="33"/>
  <c r="G101" i="33"/>
  <c r="D101" i="33"/>
  <c r="C101" i="33"/>
  <c r="B101" i="33"/>
  <c r="J100" i="33"/>
  <c r="K100" i="33" s="1"/>
  <c r="G100" i="33"/>
  <c r="D100" i="33"/>
  <c r="C100" i="33"/>
  <c r="B100" i="33"/>
  <c r="K99" i="33"/>
  <c r="J99" i="33"/>
  <c r="G99" i="33"/>
  <c r="D99" i="33"/>
  <c r="C99" i="33"/>
  <c r="B99" i="33"/>
  <c r="J98" i="33"/>
  <c r="K98" i="33" s="1"/>
  <c r="G98" i="33"/>
  <c r="D98" i="33"/>
  <c r="C98" i="33"/>
  <c r="B98" i="33"/>
  <c r="K97" i="33"/>
  <c r="J97" i="33"/>
  <c r="G97" i="33"/>
  <c r="D97" i="33"/>
  <c r="C97" i="33"/>
  <c r="B97" i="33"/>
  <c r="J96" i="33"/>
  <c r="K96" i="33" s="1"/>
  <c r="G96" i="33"/>
  <c r="D96" i="33"/>
  <c r="C96" i="33"/>
  <c r="B96" i="33"/>
  <c r="J95" i="33"/>
  <c r="K95" i="33" s="1"/>
  <c r="G95" i="33"/>
  <c r="D95" i="33"/>
  <c r="C95" i="33"/>
  <c r="B95" i="33"/>
  <c r="J94" i="33"/>
  <c r="K94" i="33" s="1"/>
  <c r="G94" i="33"/>
  <c r="D94" i="33"/>
  <c r="C94" i="33"/>
  <c r="B94" i="33"/>
  <c r="J93" i="33"/>
  <c r="K93" i="33" s="1"/>
  <c r="G93" i="33"/>
  <c r="D93" i="33"/>
  <c r="C93" i="33"/>
  <c r="B93" i="33"/>
  <c r="K92" i="33"/>
  <c r="J92" i="33"/>
  <c r="G92" i="33"/>
  <c r="D92" i="33"/>
  <c r="C92" i="33"/>
  <c r="B92" i="33"/>
  <c r="K91" i="33"/>
  <c r="J91" i="33"/>
  <c r="G91" i="33"/>
  <c r="D91" i="33"/>
  <c r="C91" i="33"/>
  <c r="B91" i="33"/>
  <c r="J90" i="33"/>
  <c r="K90" i="33" s="1"/>
  <c r="G90" i="33"/>
  <c r="D90" i="33"/>
  <c r="C90" i="33"/>
  <c r="B90" i="33"/>
  <c r="J89" i="33"/>
  <c r="K89" i="33" s="1"/>
  <c r="G89" i="33"/>
  <c r="D89" i="33"/>
  <c r="C89" i="33"/>
  <c r="B89" i="33"/>
  <c r="J88" i="33"/>
  <c r="K88" i="33" s="1"/>
  <c r="G88" i="33"/>
  <c r="D88" i="33"/>
  <c r="C88" i="33"/>
  <c r="B88" i="33"/>
  <c r="J87" i="33"/>
  <c r="K87" i="33" s="1"/>
  <c r="G87" i="33"/>
  <c r="D87" i="33"/>
  <c r="C87" i="33"/>
  <c r="B87" i="33"/>
  <c r="J86" i="33"/>
  <c r="K86" i="33" s="1"/>
  <c r="G86" i="33"/>
  <c r="D86" i="33"/>
  <c r="C86" i="33"/>
  <c r="B86" i="33"/>
  <c r="K85" i="33"/>
  <c r="J85" i="33"/>
  <c r="G85" i="33"/>
  <c r="D85" i="33"/>
  <c r="C85" i="33"/>
  <c r="B85" i="33"/>
  <c r="K84" i="33"/>
  <c r="J84" i="33"/>
  <c r="G84" i="33"/>
  <c r="D84" i="33"/>
  <c r="C84" i="33"/>
  <c r="B84" i="33"/>
  <c r="K83" i="33"/>
  <c r="J83" i="33"/>
  <c r="G83" i="33"/>
  <c r="D83" i="33"/>
  <c r="C83" i="33"/>
  <c r="B83" i="33"/>
  <c r="J82" i="33"/>
  <c r="K82" i="33" s="1"/>
  <c r="G82" i="33"/>
  <c r="D82" i="33"/>
  <c r="C82" i="33"/>
  <c r="B82" i="33"/>
  <c r="J81" i="33"/>
  <c r="K81" i="33" s="1"/>
  <c r="G81" i="33"/>
  <c r="D81" i="33"/>
  <c r="C81" i="33"/>
  <c r="B81" i="33"/>
  <c r="J80" i="33"/>
  <c r="K80" i="33" s="1"/>
  <c r="G80" i="33"/>
  <c r="D80" i="33"/>
  <c r="C80" i="33"/>
  <c r="B80" i="33"/>
  <c r="K79" i="33"/>
  <c r="J79" i="33"/>
  <c r="G79" i="33"/>
  <c r="D79" i="33"/>
  <c r="C79" i="33"/>
  <c r="B79" i="33"/>
  <c r="J78" i="33"/>
  <c r="K78" i="33" s="1"/>
  <c r="G78" i="33"/>
  <c r="D78" i="33"/>
  <c r="C78" i="33"/>
  <c r="B78" i="33"/>
  <c r="K77" i="33"/>
  <c r="J77" i="33"/>
  <c r="G77" i="33"/>
  <c r="D77" i="33"/>
  <c r="C77" i="33"/>
  <c r="B77" i="33"/>
  <c r="K76" i="33"/>
  <c r="J76" i="33"/>
  <c r="G76" i="33"/>
  <c r="D76" i="33"/>
  <c r="C76" i="33"/>
  <c r="B76" i="33"/>
  <c r="K75" i="33"/>
  <c r="J75" i="33"/>
  <c r="G75" i="33"/>
  <c r="D75" i="33"/>
  <c r="C75" i="33"/>
  <c r="B75" i="33"/>
  <c r="J74" i="33"/>
  <c r="K74" i="33" s="1"/>
  <c r="G74" i="33"/>
  <c r="D74" i="33"/>
  <c r="C74" i="33"/>
  <c r="B74" i="33"/>
  <c r="J73" i="33"/>
  <c r="K73" i="33" s="1"/>
  <c r="G73" i="33"/>
  <c r="D73" i="33"/>
  <c r="C73" i="33"/>
  <c r="B73" i="33"/>
  <c r="K72" i="33"/>
  <c r="J72" i="33"/>
  <c r="G72" i="33"/>
  <c r="D72" i="33"/>
  <c r="C72" i="33"/>
  <c r="B72" i="33"/>
  <c r="J71" i="33"/>
  <c r="K71" i="33" s="1"/>
  <c r="G71" i="33"/>
  <c r="D71" i="33"/>
  <c r="C71" i="33"/>
  <c r="B71" i="33"/>
  <c r="J70" i="33"/>
  <c r="K70" i="33" s="1"/>
  <c r="G70" i="33"/>
  <c r="D70" i="33"/>
  <c r="C70" i="33"/>
  <c r="B70" i="33"/>
  <c r="K69" i="33"/>
  <c r="J69" i="33"/>
  <c r="G69" i="33"/>
  <c r="D69" i="33"/>
  <c r="C69" i="33"/>
  <c r="B69" i="33"/>
  <c r="K68" i="33"/>
  <c r="J68" i="33"/>
  <c r="G68" i="33"/>
  <c r="D68" i="33"/>
  <c r="C68" i="33"/>
  <c r="B68" i="33"/>
  <c r="K67" i="33"/>
  <c r="J67" i="33"/>
  <c r="G67" i="33"/>
  <c r="D67" i="33"/>
  <c r="C67" i="33"/>
  <c r="B67" i="33"/>
  <c r="J66" i="33"/>
  <c r="K66" i="33" s="1"/>
  <c r="G66" i="33"/>
  <c r="D66" i="33"/>
  <c r="C66" i="33"/>
  <c r="B66" i="33"/>
  <c r="K65" i="33"/>
  <c r="J65" i="33"/>
  <c r="G65" i="33"/>
  <c r="D65" i="33"/>
  <c r="C65" i="33"/>
  <c r="B65" i="33"/>
  <c r="J64" i="33"/>
  <c r="K64" i="33" s="1"/>
  <c r="G64" i="33"/>
  <c r="D64" i="33"/>
  <c r="C64" i="33"/>
  <c r="B64" i="33"/>
  <c r="J63" i="33"/>
  <c r="K63" i="33" s="1"/>
  <c r="G63" i="33"/>
  <c r="D63" i="33"/>
  <c r="C63" i="33"/>
  <c r="B63" i="33"/>
  <c r="J62" i="33"/>
  <c r="K62" i="33" s="1"/>
  <c r="G62" i="33"/>
  <c r="D62" i="33"/>
  <c r="C62" i="33"/>
  <c r="B62" i="33"/>
  <c r="J61" i="33"/>
  <c r="K61" i="33" s="1"/>
  <c r="G61" i="33"/>
  <c r="D61" i="33"/>
  <c r="C61" i="33"/>
  <c r="B61" i="33"/>
  <c r="K60" i="33"/>
  <c r="J60" i="33"/>
  <c r="G60" i="33"/>
  <c r="D60" i="33"/>
  <c r="C60" i="33"/>
  <c r="B60" i="33"/>
  <c r="K59" i="33"/>
  <c r="J59" i="33"/>
  <c r="G59" i="33"/>
  <c r="D59" i="33"/>
  <c r="C59" i="33"/>
  <c r="B59" i="33"/>
  <c r="J58" i="33"/>
  <c r="K58" i="33" s="1"/>
  <c r="G58" i="33"/>
  <c r="D58" i="33"/>
  <c r="C58" i="33"/>
  <c r="B58" i="33"/>
  <c r="J57" i="33"/>
  <c r="K57" i="33" s="1"/>
  <c r="G57" i="33"/>
  <c r="D57" i="33"/>
  <c r="C57" i="33"/>
  <c r="B57" i="33"/>
  <c r="J56" i="33"/>
  <c r="K56" i="33" s="1"/>
  <c r="G56" i="33"/>
  <c r="D56" i="33"/>
  <c r="C56" i="33"/>
  <c r="B56" i="33"/>
  <c r="J55" i="33"/>
  <c r="K55" i="33" s="1"/>
  <c r="G55" i="33"/>
  <c r="D55" i="33"/>
  <c r="C55" i="33"/>
  <c r="B55" i="33"/>
  <c r="J54" i="33"/>
  <c r="K54" i="33" s="1"/>
  <c r="G54" i="33"/>
  <c r="D54" i="33"/>
  <c r="C54" i="33"/>
  <c r="B54" i="33"/>
  <c r="K53" i="33"/>
  <c r="J53" i="33"/>
  <c r="G53" i="33"/>
  <c r="D53" i="33"/>
  <c r="C53" i="33"/>
  <c r="B53" i="33"/>
  <c r="K52" i="33"/>
  <c r="J52" i="33"/>
  <c r="G52" i="33"/>
  <c r="D52" i="33"/>
  <c r="C52" i="33"/>
  <c r="B52" i="33"/>
  <c r="K51" i="33"/>
  <c r="J51" i="33"/>
  <c r="G51" i="33"/>
  <c r="D51" i="33"/>
  <c r="C51" i="33"/>
  <c r="B51" i="33"/>
  <c r="J50" i="33"/>
  <c r="K50" i="33" s="1"/>
  <c r="G50" i="33"/>
  <c r="D50" i="33"/>
  <c r="C50" i="33"/>
  <c r="B50" i="33"/>
  <c r="J49" i="33"/>
  <c r="K49" i="33" s="1"/>
  <c r="G49" i="33"/>
  <c r="D49" i="33"/>
  <c r="C49" i="33"/>
  <c r="B49" i="33"/>
  <c r="J48" i="33"/>
  <c r="K48" i="33" s="1"/>
  <c r="G48" i="33"/>
  <c r="D48" i="33"/>
  <c r="C48" i="33"/>
  <c r="B48" i="33"/>
  <c r="K47" i="33"/>
  <c r="J47" i="33"/>
  <c r="G47" i="33"/>
  <c r="D47" i="33"/>
  <c r="C47" i="33"/>
  <c r="B47" i="33"/>
  <c r="J46" i="33"/>
  <c r="K46" i="33" s="1"/>
  <c r="G46" i="33"/>
  <c r="D46" i="33"/>
  <c r="C46" i="33"/>
  <c r="B46" i="33"/>
  <c r="J45" i="33"/>
  <c r="K45" i="33" s="1"/>
  <c r="G45" i="33"/>
  <c r="D45" i="33"/>
  <c r="C45" i="33"/>
  <c r="B45" i="33"/>
  <c r="J44" i="33"/>
  <c r="K44" i="33" s="1"/>
  <c r="G44" i="33"/>
  <c r="D44" i="33"/>
  <c r="C44" i="33"/>
  <c r="B44" i="33"/>
  <c r="K43" i="33"/>
  <c r="J43" i="33"/>
  <c r="G43" i="33"/>
  <c r="D43" i="33"/>
  <c r="C43" i="33"/>
  <c r="B43" i="33"/>
  <c r="J42" i="33"/>
  <c r="K42" i="33" s="1"/>
  <c r="G42" i="33"/>
  <c r="D42" i="33"/>
  <c r="C42" i="33"/>
  <c r="B42" i="33"/>
  <c r="J41" i="33"/>
  <c r="K41" i="33" s="1"/>
  <c r="G41" i="33"/>
  <c r="D41" i="33"/>
  <c r="C41" i="33"/>
  <c r="B41" i="33"/>
  <c r="J40" i="33"/>
  <c r="K40" i="33" s="1"/>
  <c r="G40" i="33"/>
  <c r="D40" i="33"/>
  <c r="C40" i="33"/>
  <c r="B40" i="33"/>
  <c r="K39" i="33"/>
  <c r="J39" i="33"/>
  <c r="G39" i="33"/>
  <c r="D39" i="33"/>
  <c r="C39" i="33"/>
  <c r="B39" i="33"/>
  <c r="J38" i="33"/>
  <c r="K38" i="33" s="1"/>
  <c r="G38" i="33"/>
  <c r="D38" i="33"/>
  <c r="C38" i="33"/>
  <c r="B38" i="33"/>
  <c r="J37" i="33"/>
  <c r="K37" i="33" s="1"/>
  <c r="G37" i="33"/>
  <c r="D37" i="33"/>
  <c r="C37" i="33"/>
  <c r="B37" i="33"/>
  <c r="J36" i="33"/>
  <c r="K36" i="33" s="1"/>
  <c r="G36" i="33"/>
  <c r="D36" i="33"/>
  <c r="C36" i="33"/>
  <c r="B36" i="33"/>
  <c r="K35" i="33"/>
  <c r="J35" i="33"/>
  <c r="G35" i="33"/>
  <c r="D35" i="33"/>
  <c r="C35" i="33"/>
  <c r="B35" i="33"/>
  <c r="J34" i="33"/>
  <c r="K34" i="33" s="1"/>
  <c r="G34" i="33"/>
  <c r="D34" i="33"/>
  <c r="C34" i="33"/>
  <c r="B34" i="33"/>
  <c r="J33" i="33"/>
  <c r="K33" i="33" s="1"/>
  <c r="G33" i="33"/>
  <c r="D33" i="33"/>
  <c r="C33" i="33"/>
  <c r="B33" i="33"/>
  <c r="J32" i="33"/>
  <c r="K32" i="33" s="1"/>
  <c r="G32" i="33"/>
  <c r="D32" i="33"/>
  <c r="C32" i="33"/>
  <c r="B32" i="33"/>
  <c r="K31" i="33"/>
  <c r="J31" i="33"/>
  <c r="G31" i="33"/>
  <c r="D31" i="33"/>
  <c r="C31" i="33"/>
  <c r="B31" i="33"/>
  <c r="J30" i="33"/>
  <c r="K30" i="33" s="1"/>
  <c r="G30" i="33"/>
  <c r="D30" i="33"/>
  <c r="C30" i="33"/>
  <c r="B30" i="33"/>
  <c r="J29" i="33"/>
  <c r="K29" i="33" s="1"/>
  <c r="G29" i="33"/>
  <c r="D29" i="33"/>
  <c r="C29" i="33"/>
  <c r="B29" i="33"/>
  <c r="J28" i="33"/>
  <c r="K28" i="33" s="1"/>
  <c r="G28" i="33"/>
  <c r="D28" i="33"/>
  <c r="C28" i="33"/>
  <c r="B28" i="33"/>
  <c r="K27" i="33"/>
  <c r="J27" i="33"/>
  <c r="G27" i="33"/>
  <c r="D27" i="33"/>
  <c r="C27" i="33"/>
  <c r="B27" i="33"/>
  <c r="J26" i="33"/>
  <c r="K26" i="33" s="1"/>
  <c r="G26" i="33"/>
  <c r="D26" i="33"/>
  <c r="C26" i="33"/>
  <c r="B26" i="33"/>
  <c r="J25" i="33"/>
  <c r="K25" i="33" s="1"/>
  <c r="G25" i="33"/>
  <c r="D25" i="33"/>
  <c r="C25" i="33"/>
  <c r="B25" i="33"/>
  <c r="J24" i="33"/>
  <c r="K24" i="33" s="1"/>
  <c r="G24" i="33"/>
  <c r="D24" i="33"/>
  <c r="C24" i="33"/>
  <c r="B24" i="33"/>
  <c r="K23" i="33"/>
  <c r="J23" i="33"/>
  <c r="G23" i="33"/>
  <c r="D23" i="33"/>
  <c r="C23" i="33"/>
  <c r="B23" i="33"/>
  <c r="J22" i="33"/>
  <c r="K22" i="33" s="1"/>
  <c r="G22" i="33"/>
  <c r="D22" i="33"/>
  <c r="C22" i="33"/>
  <c r="B22" i="33"/>
  <c r="J21" i="33"/>
  <c r="K21" i="33" s="1"/>
  <c r="G21" i="33"/>
  <c r="D21" i="33"/>
  <c r="C21" i="33"/>
  <c r="B21" i="33"/>
  <c r="J20" i="33"/>
  <c r="K20" i="33" s="1"/>
  <c r="G20" i="33"/>
  <c r="D20" i="33"/>
  <c r="C20" i="33"/>
  <c r="B20" i="33"/>
  <c r="K19" i="33"/>
  <c r="J19" i="33"/>
  <c r="G19" i="33"/>
  <c r="D19" i="33"/>
  <c r="C19" i="33"/>
  <c r="B19" i="33"/>
  <c r="J18" i="33"/>
  <c r="K18" i="33" s="1"/>
  <c r="G18" i="33"/>
  <c r="D18" i="33"/>
  <c r="C18" i="33"/>
  <c r="B18" i="33"/>
  <c r="J17" i="33"/>
  <c r="K17" i="33" s="1"/>
  <c r="G17" i="33"/>
  <c r="D17" i="33"/>
  <c r="C17" i="33"/>
  <c r="B17" i="33"/>
  <c r="J16" i="33"/>
  <c r="K16" i="33" s="1"/>
  <c r="G16" i="33"/>
  <c r="D16" i="33"/>
  <c r="C16" i="33"/>
  <c r="B16" i="33"/>
  <c r="K15" i="33"/>
  <c r="J15" i="33"/>
  <c r="G15" i="33"/>
  <c r="D15" i="33"/>
  <c r="C15" i="33"/>
  <c r="B15" i="33"/>
  <c r="J14" i="33"/>
  <c r="K14" i="33" s="1"/>
  <c r="G14" i="33"/>
  <c r="D14" i="33"/>
  <c r="C14" i="33"/>
  <c r="B14" i="33"/>
  <c r="J13" i="33"/>
  <c r="K13" i="33" s="1"/>
  <c r="G13" i="33"/>
  <c r="D13" i="33"/>
  <c r="C13" i="33"/>
  <c r="B13" i="33"/>
  <c r="J12" i="33"/>
  <c r="K12" i="33" s="1"/>
  <c r="G12" i="33"/>
  <c r="D12" i="33"/>
  <c r="C12" i="33"/>
  <c r="B12" i="33"/>
  <c r="J11" i="33"/>
  <c r="K11" i="33" s="1"/>
  <c r="G11" i="33"/>
  <c r="D11" i="33"/>
  <c r="C11" i="33"/>
  <c r="B11" i="33"/>
  <c r="J10" i="33"/>
  <c r="K10" i="33" s="1"/>
  <c r="G10" i="33"/>
  <c r="D10" i="33"/>
  <c r="C10" i="33"/>
  <c r="B10" i="33"/>
  <c r="J9" i="33"/>
  <c r="K9" i="33" s="1"/>
  <c r="G9" i="33"/>
  <c r="D9" i="33"/>
  <c r="C9" i="33"/>
  <c r="B9" i="33"/>
  <c r="K4" i="33"/>
  <c r="G4" i="33"/>
  <c r="D4" i="33"/>
  <c r="A4" i="33"/>
  <c r="I208" i="32"/>
  <c r="J208" i="32" s="1"/>
  <c r="F208" i="32"/>
  <c r="D208" i="32"/>
  <c r="C208" i="32"/>
  <c r="B208" i="32"/>
  <c r="J207" i="32"/>
  <c r="I207" i="32"/>
  <c r="F207" i="32"/>
  <c r="D207" i="32"/>
  <c r="C207" i="32"/>
  <c r="B207" i="32"/>
  <c r="I206" i="32"/>
  <c r="J206" i="32" s="1"/>
  <c r="F206" i="32"/>
  <c r="D206" i="32"/>
  <c r="C206" i="32"/>
  <c r="B206" i="32"/>
  <c r="I205" i="32"/>
  <c r="J205" i="32" s="1"/>
  <c r="F205" i="32"/>
  <c r="D205" i="32"/>
  <c r="C205" i="32"/>
  <c r="B205" i="32"/>
  <c r="I204" i="32"/>
  <c r="J204" i="32" s="1"/>
  <c r="F204" i="32"/>
  <c r="D204" i="32"/>
  <c r="C204" i="32"/>
  <c r="B204" i="32"/>
  <c r="I203" i="32"/>
  <c r="J203" i="32" s="1"/>
  <c r="F203" i="32"/>
  <c r="D203" i="32"/>
  <c r="C203" i="32"/>
  <c r="B203" i="32"/>
  <c r="J202" i="32"/>
  <c r="I202" i="32"/>
  <c r="F202" i="32"/>
  <c r="D202" i="32"/>
  <c r="C202" i="32"/>
  <c r="B202" i="32"/>
  <c r="I201" i="32"/>
  <c r="J201" i="32" s="1"/>
  <c r="F201" i="32"/>
  <c r="D201" i="32"/>
  <c r="C201" i="32"/>
  <c r="B201" i="32"/>
  <c r="I200" i="32"/>
  <c r="J200" i="32" s="1"/>
  <c r="F200" i="32"/>
  <c r="D200" i="32"/>
  <c r="C200" i="32"/>
  <c r="B200" i="32"/>
  <c r="I199" i="32"/>
  <c r="J199" i="32" s="1"/>
  <c r="F199" i="32"/>
  <c r="D199" i="32"/>
  <c r="C199" i="32"/>
  <c r="B199" i="32"/>
  <c r="I198" i="32"/>
  <c r="J198" i="32" s="1"/>
  <c r="F198" i="32"/>
  <c r="D198" i="32"/>
  <c r="C198" i="32"/>
  <c r="B198" i="32"/>
  <c r="J197" i="32"/>
  <c r="I197" i="32"/>
  <c r="F197" i="32"/>
  <c r="D197" i="32"/>
  <c r="C197" i="32"/>
  <c r="B197" i="32"/>
  <c r="I196" i="32"/>
  <c r="J196" i="32" s="1"/>
  <c r="F196" i="32"/>
  <c r="D196" i="32"/>
  <c r="C196" i="32"/>
  <c r="B196" i="32"/>
  <c r="J195" i="32"/>
  <c r="I195" i="32"/>
  <c r="F195" i="32"/>
  <c r="D195" i="32"/>
  <c r="C195" i="32"/>
  <c r="B195" i="32"/>
  <c r="I194" i="32"/>
  <c r="J194" i="32" s="1"/>
  <c r="F194" i="32"/>
  <c r="D194" i="32"/>
  <c r="C194" i="32"/>
  <c r="B194" i="32"/>
  <c r="I193" i="32"/>
  <c r="J193" i="32" s="1"/>
  <c r="F193" i="32"/>
  <c r="D193" i="32"/>
  <c r="C193" i="32"/>
  <c r="B193" i="32"/>
  <c r="I192" i="32"/>
  <c r="J192" i="32" s="1"/>
  <c r="F192" i="32"/>
  <c r="D192" i="32"/>
  <c r="C192" i="32"/>
  <c r="B192" i="32"/>
  <c r="I191" i="32"/>
  <c r="J191" i="32" s="1"/>
  <c r="F191" i="32"/>
  <c r="D191" i="32"/>
  <c r="C191" i="32"/>
  <c r="B191" i="32"/>
  <c r="J190" i="32"/>
  <c r="I190" i="32"/>
  <c r="F190" i="32"/>
  <c r="D190" i="32"/>
  <c r="C190" i="32"/>
  <c r="B190" i="32"/>
  <c r="J189" i="32"/>
  <c r="I189" i="32"/>
  <c r="F189" i="32"/>
  <c r="D189" i="32"/>
  <c r="C189" i="32"/>
  <c r="B189" i="32"/>
  <c r="I188" i="32"/>
  <c r="J188" i="32" s="1"/>
  <c r="F188" i="32"/>
  <c r="D188" i="32"/>
  <c r="C188" i="32"/>
  <c r="B188" i="32"/>
  <c r="I187" i="32"/>
  <c r="J187" i="32" s="1"/>
  <c r="F187" i="32"/>
  <c r="D187" i="32"/>
  <c r="C187" i="32"/>
  <c r="B187" i="32"/>
  <c r="I186" i="32"/>
  <c r="J186" i="32" s="1"/>
  <c r="F186" i="32"/>
  <c r="D186" i="32"/>
  <c r="C186" i="32"/>
  <c r="B186" i="32"/>
  <c r="I185" i="32"/>
  <c r="J185" i="32" s="1"/>
  <c r="F185" i="32"/>
  <c r="D185" i="32"/>
  <c r="C185" i="32"/>
  <c r="B185" i="32"/>
  <c r="I184" i="32"/>
  <c r="J184" i="32" s="1"/>
  <c r="F184" i="32"/>
  <c r="D184" i="32"/>
  <c r="C184" i="32"/>
  <c r="B184" i="32"/>
  <c r="J183" i="32"/>
  <c r="I183" i="32"/>
  <c r="F183" i="32"/>
  <c r="D183" i="32"/>
  <c r="C183" i="32"/>
  <c r="B183" i="32"/>
  <c r="J182" i="32"/>
  <c r="I182" i="32"/>
  <c r="F182" i="32"/>
  <c r="D182" i="32"/>
  <c r="C182" i="32"/>
  <c r="B182" i="32"/>
  <c r="I181" i="32"/>
  <c r="J181" i="32" s="1"/>
  <c r="F181" i="32"/>
  <c r="D181" i="32"/>
  <c r="C181" i="32"/>
  <c r="B181" i="32"/>
  <c r="I180" i="32"/>
  <c r="J180" i="32" s="1"/>
  <c r="F180" i="32"/>
  <c r="D180" i="32"/>
  <c r="C180" i="32"/>
  <c r="B180" i="32"/>
  <c r="I179" i="32"/>
  <c r="J179" i="32" s="1"/>
  <c r="F179" i="32"/>
  <c r="D179" i="32"/>
  <c r="C179" i="32"/>
  <c r="B179" i="32"/>
  <c r="I178" i="32"/>
  <c r="J178" i="32" s="1"/>
  <c r="F178" i="32"/>
  <c r="D178" i="32"/>
  <c r="C178" i="32"/>
  <c r="B178" i="32"/>
  <c r="J177" i="32"/>
  <c r="I177" i="32"/>
  <c r="F177" i="32"/>
  <c r="D177" i="32"/>
  <c r="C177" i="32"/>
  <c r="B177" i="32"/>
  <c r="I176" i="32"/>
  <c r="J176" i="32" s="1"/>
  <c r="F176" i="32"/>
  <c r="D176" i="32"/>
  <c r="C176" i="32"/>
  <c r="B176" i="32"/>
  <c r="J175" i="32"/>
  <c r="I175" i="32"/>
  <c r="F175" i="32"/>
  <c r="D175" i="32"/>
  <c r="C175" i="32"/>
  <c r="B175" i="32"/>
  <c r="I174" i="32"/>
  <c r="J174" i="32" s="1"/>
  <c r="F174" i="32"/>
  <c r="D174" i="32"/>
  <c r="C174" i="32"/>
  <c r="B174" i="32"/>
  <c r="I173" i="32"/>
  <c r="J173" i="32" s="1"/>
  <c r="F173" i="32"/>
  <c r="D173" i="32"/>
  <c r="C173" i="32"/>
  <c r="B173" i="32"/>
  <c r="I172" i="32"/>
  <c r="J172" i="32" s="1"/>
  <c r="F172" i="32"/>
  <c r="D172" i="32"/>
  <c r="C172" i="32"/>
  <c r="B172" i="32"/>
  <c r="I171" i="32"/>
  <c r="J171" i="32" s="1"/>
  <c r="F171" i="32"/>
  <c r="D171" i="32"/>
  <c r="C171" i="32"/>
  <c r="B171" i="32"/>
  <c r="J170" i="32"/>
  <c r="I170" i="32"/>
  <c r="F170" i="32"/>
  <c r="D170" i="32"/>
  <c r="C170" i="32"/>
  <c r="B170" i="32"/>
  <c r="I169" i="32"/>
  <c r="J169" i="32" s="1"/>
  <c r="F169" i="32"/>
  <c r="D169" i="32"/>
  <c r="C169" i="32"/>
  <c r="B169" i="32"/>
  <c r="I168" i="32"/>
  <c r="J168" i="32" s="1"/>
  <c r="F168" i="32"/>
  <c r="D168" i="32"/>
  <c r="C168" i="32"/>
  <c r="B168" i="32"/>
  <c r="I167" i="32"/>
  <c r="J167" i="32" s="1"/>
  <c r="F167" i="32"/>
  <c r="D167" i="32"/>
  <c r="C167" i="32"/>
  <c r="B167" i="32"/>
  <c r="I166" i="32"/>
  <c r="J166" i="32" s="1"/>
  <c r="F166" i="32"/>
  <c r="D166" i="32"/>
  <c r="C166" i="32"/>
  <c r="B166" i="32"/>
  <c r="J165" i="32"/>
  <c r="I165" i="32"/>
  <c r="F165" i="32"/>
  <c r="D165" i="32"/>
  <c r="C165" i="32"/>
  <c r="B165" i="32"/>
  <c r="I164" i="32"/>
  <c r="J164" i="32" s="1"/>
  <c r="F164" i="32"/>
  <c r="D164" i="32"/>
  <c r="C164" i="32"/>
  <c r="B164" i="32"/>
  <c r="J163" i="32"/>
  <c r="I163" i="32"/>
  <c r="F163" i="32"/>
  <c r="D163" i="32"/>
  <c r="C163" i="32"/>
  <c r="B163" i="32"/>
  <c r="I162" i="32"/>
  <c r="J162" i="32" s="1"/>
  <c r="F162" i="32"/>
  <c r="D162" i="32"/>
  <c r="C162" i="32"/>
  <c r="B162" i="32"/>
  <c r="I161" i="32"/>
  <c r="J161" i="32" s="1"/>
  <c r="F161" i="32"/>
  <c r="D161" i="32"/>
  <c r="C161" i="32"/>
  <c r="B161" i="32"/>
  <c r="I160" i="32"/>
  <c r="J160" i="32" s="1"/>
  <c r="F160" i="32"/>
  <c r="D160" i="32"/>
  <c r="C160" i="32"/>
  <c r="B160" i="32"/>
  <c r="I159" i="32"/>
  <c r="J159" i="32" s="1"/>
  <c r="F159" i="32"/>
  <c r="D159" i="32"/>
  <c r="C159" i="32"/>
  <c r="B159" i="32"/>
  <c r="J158" i="32"/>
  <c r="I158" i="32"/>
  <c r="F158" i="32"/>
  <c r="D158" i="32"/>
  <c r="C158" i="32"/>
  <c r="B158" i="32"/>
  <c r="J157" i="32"/>
  <c r="I157" i="32"/>
  <c r="F157" i="32"/>
  <c r="D157" i="32"/>
  <c r="C157" i="32"/>
  <c r="B157" i="32"/>
  <c r="I156" i="32"/>
  <c r="J156" i="32" s="1"/>
  <c r="F156" i="32"/>
  <c r="D156" i="32"/>
  <c r="C156" i="32"/>
  <c r="B156" i="32"/>
  <c r="I155" i="32"/>
  <c r="J155" i="32" s="1"/>
  <c r="F155" i="32"/>
  <c r="D155" i="32"/>
  <c r="C155" i="32"/>
  <c r="B155" i="32"/>
  <c r="I154" i="32"/>
  <c r="J154" i="32" s="1"/>
  <c r="F154" i="32"/>
  <c r="D154" i="32"/>
  <c r="C154" i="32"/>
  <c r="B154" i="32"/>
  <c r="I153" i="32"/>
  <c r="J153" i="32" s="1"/>
  <c r="F153" i="32"/>
  <c r="D153" i="32"/>
  <c r="C153" i="32"/>
  <c r="B153" i="32"/>
  <c r="I152" i="32"/>
  <c r="J152" i="32" s="1"/>
  <c r="F152" i="32"/>
  <c r="D152" i="32"/>
  <c r="C152" i="32"/>
  <c r="B152" i="32"/>
  <c r="J151" i="32"/>
  <c r="I151" i="32"/>
  <c r="F151" i="32"/>
  <c r="D151" i="32"/>
  <c r="C151" i="32"/>
  <c r="B151" i="32"/>
  <c r="J150" i="32"/>
  <c r="I150" i="32"/>
  <c r="F150" i="32"/>
  <c r="D150" i="32"/>
  <c r="C150" i="32"/>
  <c r="B150" i="32"/>
  <c r="I149" i="32"/>
  <c r="J149" i="32" s="1"/>
  <c r="F149" i="32"/>
  <c r="D149" i="32"/>
  <c r="C149" i="32"/>
  <c r="B149" i="32"/>
  <c r="I148" i="32"/>
  <c r="J148" i="32" s="1"/>
  <c r="F148" i="32"/>
  <c r="D148" i="32"/>
  <c r="C148" i="32"/>
  <c r="B148" i="32"/>
  <c r="I147" i="32"/>
  <c r="J147" i="32" s="1"/>
  <c r="F147" i="32"/>
  <c r="D147" i="32"/>
  <c r="C147" i="32"/>
  <c r="B147" i="32"/>
  <c r="I146" i="32"/>
  <c r="J146" i="32" s="1"/>
  <c r="F146" i="32"/>
  <c r="D146" i="32"/>
  <c r="C146" i="32"/>
  <c r="B146" i="32"/>
  <c r="J145" i="32"/>
  <c r="I145" i="32"/>
  <c r="F145" i="32"/>
  <c r="D145" i="32"/>
  <c r="C145" i="32"/>
  <c r="B145" i="32"/>
  <c r="I144" i="32"/>
  <c r="J144" i="32" s="1"/>
  <c r="F144" i="32"/>
  <c r="D144" i="32"/>
  <c r="C144" i="32"/>
  <c r="B144" i="32"/>
  <c r="J143" i="32"/>
  <c r="I143" i="32"/>
  <c r="F143" i="32"/>
  <c r="D143" i="32"/>
  <c r="C143" i="32"/>
  <c r="B143" i="32"/>
  <c r="I142" i="32"/>
  <c r="J142" i="32" s="1"/>
  <c r="F142" i="32"/>
  <c r="D142" i="32"/>
  <c r="C142" i="32"/>
  <c r="B142" i="32"/>
  <c r="I141" i="32"/>
  <c r="J141" i="32" s="1"/>
  <c r="F141" i="32"/>
  <c r="D141" i="32"/>
  <c r="C141" i="32"/>
  <c r="B141" i="32"/>
  <c r="I140" i="32"/>
  <c r="J140" i="32" s="1"/>
  <c r="F140" i="32"/>
  <c r="D140" i="32"/>
  <c r="C140" i="32"/>
  <c r="B140" i="32"/>
  <c r="I139" i="32"/>
  <c r="J139" i="32" s="1"/>
  <c r="F139" i="32"/>
  <c r="D139" i="32"/>
  <c r="C139" i="32"/>
  <c r="B139" i="32"/>
  <c r="J138" i="32"/>
  <c r="I138" i="32"/>
  <c r="F138" i="32"/>
  <c r="D138" i="32"/>
  <c r="C138" i="32"/>
  <c r="B138" i="32"/>
  <c r="I137" i="32"/>
  <c r="J137" i="32" s="1"/>
  <c r="F137" i="32"/>
  <c r="D137" i="32"/>
  <c r="C137" i="32"/>
  <c r="B137" i="32"/>
  <c r="I136" i="32"/>
  <c r="J136" i="32" s="1"/>
  <c r="F136" i="32"/>
  <c r="D136" i="32"/>
  <c r="C136" i="32"/>
  <c r="B136" i="32"/>
  <c r="I135" i="32"/>
  <c r="J135" i="32" s="1"/>
  <c r="F135" i="32"/>
  <c r="D135" i="32"/>
  <c r="C135" i="32"/>
  <c r="B135" i="32"/>
  <c r="I134" i="32"/>
  <c r="J134" i="32" s="1"/>
  <c r="F134" i="32"/>
  <c r="D134" i="32"/>
  <c r="C134" i="32"/>
  <c r="B134" i="32"/>
  <c r="J133" i="32"/>
  <c r="I133" i="32"/>
  <c r="F133" i="32"/>
  <c r="D133" i="32"/>
  <c r="C133" i="32"/>
  <c r="B133" i="32"/>
  <c r="I132" i="32"/>
  <c r="J132" i="32" s="1"/>
  <c r="F132" i="32"/>
  <c r="D132" i="32"/>
  <c r="C132" i="32"/>
  <c r="B132" i="32"/>
  <c r="J131" i="32"/>
  <c r="I131" i="32"/>
  <c r="F131" i="32"/>
  <c r="D131" i="32"/>
  <c r="C131" i="32"/>
  <c r="B131" i="32"/>
  <c r="I130" i="32"/>
  <c r="J130" i="32" s="1"/>
  <c r="F130" i="32"/>
  <c r="D130" i="32"/>
  <c r="C130" i="32"/>
  <c r="B130" i="32"/>
  <c r="I129" i="32"/>
  <c r="J129" i="32" s="1"/>
  <c r="F129" i="32"/>
  <c r="D129" i="32"/>
  <c r="C129" i="32"/>
  <c r="B129" i="32"/>
  <c r="I128" i="32"/>
  <c r="J128" i="32" s="1"/>
  <c r="F128" i="32"/>
  <c r="D128" i="32"/>
  <c r="C128" i="32"/>
  <c r="B128" i="32"/>
  <c r="I127" i="32"/>
  <c r="J127" i="32" s="1"/>
  <c r="F127" i="32"/>
  <c r="D127" i="32"/>
  <c r="C127" i="32"/>
  <c r="B127" i="32"/>
  <c r="J126" i="32"/>
  <c r="I126" i="32"/>
  <c r="F126" i="32"/>
  <c r="D126" i="32"/>
  <c r="C126" i="32"/>
  <c r="B126" i="32"/>
  <c r="J125" i="32"/>
  <c r="I125" i="32"/>
  <c r="F125" i="32"/>
  <c r="D125" i="32"/>
  <c r="C125" i="32"/>
  <c r="B125" i="32"/>
  <c r="I124" i="32"/>
  <c r="J124" i="32" s="1"/>
  <c r="F124" i="32"/>
  <c r="D124" i="32"/>
  <c r="C124" i="32"/>
  <c r="B124" i="32"/>
  <c r="I123" i="32"/>
  <c r="J123" i="32" s="1"/>
  <c r="F123" i="32"/>
  <c r="D123" i="32"/>
  <c r="C123" i="32"/>
  <c r="B123" i="32"/>
  <c r="I122" i="32"/>
  <c r="J122" i="32" s="1"/>
  <c r="F122" i="32"/>
  <c r="D122" i="32"/>
  <c r="C122" i="32"/>
  <c r="B122" i="32"/>
  <c r="I121" i="32"/>
  <c r="J121" i="32" s="1"/>
  <c r="F121" i="32"/>
  <c r="D121" i="32"/>
  <c r="C121" i="32"/>
  <c r="B121" i="32"/>
  <c r="I120" i="32"/>
  <c r="J120" i="32" s="1"/>
  <c r="F120" i="32"/>
  <c r="D120" i="32"/>
  <c r="C120" i="32"/>
  <c r="B120" i="32"/>
  <c r="J119" i="32"/>
  <c r="I119" i="32"/>
  <c r="F119" i="32"/>
  <c r="D119" i="32"/>
  <c r="C119" i="32"/>
  <c r="B119" i="32"/>
  <c r="J118" i="32"/>
  <c r="I118" i="32"/>
  <c r="F118" i="32"/>
  <c r="D118" i="32"/>
  <c r="C118" i="32"/>
  <c r="B118" i="32"/>
  <c r="I117" i="32"/>
  <c r="J117" i="32" s="1"/>
  <c r="F117" i="32"/>
  <c r="D117" i="32"/>
  <c r="C117" i="32"/>
  <c r="B117" i="32"/>
  <c r="I116" i="32"/>
  <c r="J116" i="32" s="1"/>
  <c r="F116" i="32"/>
  <c r="D116" i="32"/>
  <c r="C116" i="32"/>
  <c r="B116" i="32"/>
  <c r="I115" i="32"/>
  <c r="J115" i="32" s="1"/>
  <c r="F115" i="32"/>
  <c r="D115" i="32"/>
  <c r="C115" i="32"/>
  <c r="B115" i="32"/>
  <c r="I114" i="32"/>
  <c r="J114" i="32" s="1"/>
  <c r="F114" i="32"/>
  <c r="D114" i="32"/>
  <c r="C114" i="32"/>
  <c r="B114" i="32"/>
  <c r="J113" i="32"/>
  <c r="I113" i="32"/>
  <c r="F113" i="32"/>
  <c r="D113" i="32"/>
  <c r="C113" i="32"/>
  <c r="B113" i="32"/>
  <c r="I112" i="32"/>
  <c r="J112" i="32" s="1"/>
  <c r="F112" i="32"/>
  <c r="D112" i="32"/>
  <c r="C112" i="32"/>
  <c r="B112" i="32"/>
  <c r="J111" i="32"/>
  <c r="I111" i="32"/>
  <c r="F111" i="32"/>
  <c r="D111" i="32"/>
  <c r="C111" i="32"/>
  <c r="B111" i="32"/>
  <c r="I110" i="32"/>
  <c r="J110" i="32" s="1"/>
  <c r="F110" i="32"/>
  <c r="D110" i="32"/>
  <c r="C110" i="32"/>
  <c r="B110" i="32"/>
  <c r="I109" i="32"/>
  <c r="J109" i="32" s="1"/>
  <c r="F109" i="32"/>
  <c r="D109" i="32"/>
  <c r="C109" i="32"/>
  <c r="B109" i="32"/>
  <c r="I108" i="32"/>
  <c r="J108" i="32" s="1"/>
  <c r="F108" i="32"/>
  <c r="D108" i="32"/>
  <c r="C108" i="32"/>
  <c r="B108" i="32"/>
  <c r="I107" i="32"/>
  <c r="J107" i="32" s="1"/>
  <c r="F107" i="32"/>
  <c r="D107" i="32"/>
  <c r="C107" i="32"/>
  <c r="B107" i="32"/>
  <c r="J106" i="32"/>
  <c r="I106" i="32"/>
  <c r="F106" i="32"/>
  <c r="D106" i="32"/>
  <c r="C106" i="32"/>
  <c r="B106" i="32"/>
  <c r="I105" i="32"/>
  <c r="J105" i="32" s="1"/>
  <c r="F105" i="32"/>
  <c r="D105" i="32"/>
  <c r="C105" i="32"/>
  <c r="B105" i="32"/>
  <c r="I104" i="32"/>
  <c r="J104" i="32" s="1"/>
  <c r="F104" i="32"/>
  <c r="D104" i="32"/>
  <c r="C104" i="32"/>
  <c r="B104" i="32"/>
  <c r="I103" i="32"/>
  <c r="J103" i="32" s="1"/>
  <c r="F103" i="32"/>
  <c r="D103" i="32"/>
  <c r="C103" i="32"/>
  <c r="B103" i="32"/>
  <c r="I102" i="32"/>
  <c r="J102" i="32" s="1"/>
  <c r="F102" i="32"/>
  <c r="D102" i="32"/>
  <c r="C102" i="32"/>
  <c r="B102" i="32"/>
  <c r="J101" i="32"/>
  <c r="I101" i="32"/>
  <c r="F101" i="32"/>
  <c r="D101" i="32"/>
  <c r="C101" i="32"/>
  <c r="B101" i="32"/>
  <c r="I100" i="32"/>
  <c r="J100" i="32" s="1"/>
  <c r="F100" i="32"/>
  <c r="D100" i="32"/>
  <c r="C100" i="32"/>
  <c r="B100" i="32"/>
  <c r="J99" i="32"/>
  <c r="I99" i="32"/>
  <c r="F99" i="32"/>
  <c r="D99" i="32"/>
  <c r="C99" i="32"/>
  <c r="B99" i="32"/>
  <c r="I98" i="32"/>
  <c r="J98" i="32" s="1"/>
  <c r="F98" i="32"/>
  <c r="D98" i="32"/>
  <c r="C98" i="32"/>
  <c r="B98" i="32"/>
  <c r="I97" i="32"/>
  <c r="J97" i="32" s="1"/>
  <c r="F97" i="32"/>
  <c r="D97" i="32"/>
  <c r="C97" i="32"/>
  <c r="B97" i="32"/>
  <c r="I96" i="32"/>
  <c r="J96" i="32" s="1"/>
  <c r="F96" i="32"/>
  <c r="D96" i="32"/>
  <c r="C96" i="32"/>
  <c r="B96" i="32"/>
  <c r="I95" i="32"/>
  <c r="J95" i="32" s="1"/>
  <c r="F95" i="32"/>
  <c r="D95" i="32"/>
  <c r="C95" i="32"/>
  <c r="B95" i="32"/>
  <c r="J94" i="32"/>
  <c r="I94" i="32"/>
  <c r="F94" i="32"/>
  <c r="D94" i="32"/>
  <c r="C94" i="32"/>
  <c r="B94" i="32"/>
  <c r="J93" i="32"/>
  <c r="I93" i="32"/>
  <c r="F93" i="32"/>
  <c r="D93" i="32"/>
  <c r="C93" i="32"/>
  <c r="B93" i="32"/>
  <c r="I92" i="32"/>
  <c r="J92" i="32" s="1"/>
  <c r="F92" i="32"/>
  <c r="D92" i="32"/>
  <c r="C92" i="32"/>
  <c r="B92" i="32"/>
  <c r="I91" i="32"/>
  <c r="J91" i="32" s="1"/>
  <c r="F91" i="32"/>
  <c r="D91" i="32"/>
  <c r="C91" i="32"/>
  <c r="B91" i="32"/>
  <c r="I90" i="32"/>
  <c r="J90" i="32" s="1"/>
  <c r="F90" i="32"/>
  <c r="D90" i="32"/>
  <c r="C90" i="32"/>
  <c r="B90" i="32"/>
  <c r="I89" i="32"/>
  <c r="J89" i="32" s="1"/>
  <c r="F89" i="32"/>
  <c r="D89" i="32"/>
  <c r="C89" i="32"/>
  <c r="B89" i="32"/>
  <c r="I88" i="32"/>
  <c r="J88" i="32" s="1"/>
  <c r="F88" i="32"/>
  <c r="D88" i="32"/>
  <c r="C88" i="32"/>
  <c r="B88" i="32"/>
  <c r="J87" i="32"/>
  <c r="I87" i="32"/>
  <c r="F87" i="32"/>
  <c r="D87" i="32"/>
  <c r="C87" i="32"/>
  <c r="B87" i="32"/>
  <c r="J86" i="32"/>
  <c r="I86" i="32"/>
  <c r="F86" i="32"/>
  <c r="D86" i="32"/>
  <c r="C86" i="32"/>
  <c r="B86" i="32"/>
  <c r="I85" i="32"/>
  <c r="J85" i="32" s="1"/>
  <c r="F85" i="32"/>
  <c r="D85" i="32"/>
  <c r="C85" i="32"/>
  <c r="B85" i="32"/>
  <c r="I84" i="32"/>
  <c r="J84" i="32" s="1"/>
  <c r="F84" i="32"/>
  <c r="D84" i="32"/>
  <c r="C84" i="32"/>
  <c r="B84" i="32"/>
  <c r="I83" i="32"/>
  <c r="J83" i="32" s="1"/>
  <c r="F83" i="32"/>
  <c r="D83" i="32"/>
  <c r="C83" i="32"/>
  <c r="B83" i="32"/>
  <c r="I82" i="32"/>
  <c r="J82" i="32" s="1"/>
  <c r="F82" i="32"/>
  <c r="D82" i="32"/>
  <c r="C82" i="32"/>
  <c r="B82" i="32"/>
  <c r="J81" i="32"/>
  <c r="I81" i="32"/>
  <c r="F81" i="32"/>
  <c r="D81" i="32"/>
  <c r="C81" i="32"/>
  <c r="B81" i="32"/>
  <c r="I80" i="32"/>
  <c r="J80" i="32" s="1"/>
  <c r="F80" i="32"/>
  <c r="D80" i="32"/>
  <c r="C80" i="32"/>
  <c r="B80" i="32"/>
  <c r="J79" i="32"/>
  <c r="I79" i="32"/>
  <c r="F79" i="32"/>
  <c r="D79" i="32"/>
  <c r="C79" i="32"/>
  <c r="B79" i="32"/>
  <c r="I78" i="32"/>
  <c r="J78" i="32" s="1"/>
  <c r="F78" i="32"/>
  <c r="D78" i="32"/>
  <c r="C78" i="32"/>
  <c r="B78" i="32"/>
  <c r="I77" i="32"/>
  <c r="J77" i="32" s="1"/>
  <c r="F77" i="32"/>
  <c r="D77" i="32"/>
  <c r="C77" i="32"/>
  <c r="B77" i="32"/>
  <c r="I76" i="32"/>
  <c r="J76" i="32" s="1"/>
  <c r="F76" i="32"/>
  <c r="D76" i="32"/>
  <c r="C76" i="32"/>
  <c r="B76" i="32"/>
  <c r="I75" i="32"/>
  <c r="J75" i="32" s="1"/>
  <c r="F75" i="32"/>
  <c r="D75" i="32"/>
  <c r="C75" i="32"/>
  <c r="B75" i="32"/>
  <c r="J74" i="32"/>
  <c r="I74" i="32"/>
  <c r="F74" i="32"/>
  <c r="D74" i="32"/>
  <c r="C74" i="32"/>
  <c r="B74" i="32"/>
  <c r="I73" i="32"/>
  <c r="J73" i="32" s="1"/>
  <c r="F73" i="32"/>
  <c r="D73" i="32"/>
  <c r="C73" i="32"/>
  <c r="B73" i="32"/>
  <c r="I72" i="32"/>
  <c r="J72" i="32" s="1"/>
  <c r="F72" i="32"/>
  <c r="D72" i="32"/>
  <c r="C72" i="32"/>
  <c r="B72" i="32"/>
  <c r="I71" i="32"/>
  <c r="J71" i="32" s="1"/>
  <c r="F71" i="32"/>
  <c r="D71" i="32"/>
  <c r="C71" i="32"/>
  <c r="B71" i="32"/>
  <c r="I70" i="32"/>
  <c r="J70" i="32" s="1"/>
  <c r="F70" i="32"/>
  <c r="D70" i="32"/>
  <c r="C70" i="32"/>
  <c r="B70" i="32"/>
  <c r="J69" i="32"/>
  <c r="I69" i="32"/>
  <c r="F69" i="32"/>
  <c r="D69" i="32"/>
  <c r="C69" i="32"/>
  <c r="B69" i="32"/>
  <c r="I68" i="32"/>
  <c r="J68" i="32" s="1"/>
  <c r="F68" i="32"/>
  <c r="D68" i="32"/>
  <c r="C68" i="32"/>
  <c r="B68" i="32"/>
  <c r="J67" i="32"/>
  <c r="I67" i="32"/>
  <c r="F67" i="32"/>
  <c r="D67" i="32"/>
  <c r="C67" i="32"/>
  <c r="B67" i="32"/>
  <c r="I66" i="32"/>
  <c r="J66" i="32" s="1"/>
  <c r="F66" i="32"/>
  <c r="D66" i="32"/>
  <c r="C66" i="32"/>
  <c r="B66" i="32"/>
  <c r="I65" i="32"/>
  <c r="J65" i="32" s="1"/>
  <c r="F65" i="32"/>
  <c r="D65" i="32"/>
  <c r="C65" i="32"/>
  <c r="B65" i="32"/>
  <c r="I64" i="32"/>
  <c r="J64" i="32" s="1"/>
  <c r="F64" i="32"/>
  <c r="D64" i="32"/>
  <c r="C64" i="32"/>
  <c r="B64" i="32"/>
  <c r="I63" i="32"/>
  <c r="J63" i="32" s="1"/>
  <c r="F63" i="32"/>
  <c r="D63" i="32"/>
  <c r="C63" i="32"/>
  <c r="B63" i="32"/>
  <c r="J62" i="32"/>
  <c r="I62" i="32"/>
  <c r="F62" i="32"/>
  <c r="D62" i="32"/>
  <c r="C62" i="32"/>
  <c r="B62" i="32"/>
  <c r="J61" i="32"/>
  <c r="I61" i="32"/>
  <c r="F61" i="32"/>
  <c r="D61" i="32"/>
  <c r="C61" i="32"/>
  <c r="B61" i="32"/>
  <c r="I60" i="32"/>
  <c r="J60" i="32" s="1"/>
  <c r="F60" i="32"/>
  <c r="D60" i="32"/>
  <c r="C60" i="32"/>
  <c r="B60" i="32"/>
  <c r="I59" i="32"/>
  <c r="J59" i="32" s="1"/>
  <c r="F59" i="32"/>
  <c r="D59" i="32"/>
  <c r="C59" i="32"/>
  <c r="B59" i="32"/>
  <c r="J58" i="32"/>
  <c r="I58" i="32"/>
  <c r="F58" i="32"/>
  <c r="D58" i="32"/>
  <c r="C58" i="32"/>
  <c r="B58" i="32"/>
  <c r="J57" i="32"/>
  <c r="I57" i="32"/>
  <c r="F57" i="32"/>
  <c r="D57" i="32"/>
  <c r="C57" i="32"/>
  <c r="B57" i="32"/>
  <c r="I56" i="32"/>
  <c r="J56" i="32" s="1"/>
  <c r="F56" i="32"/>
  <c r="D56" i="32"/>
  <c r="C56" i="32"/>
  <c r="B56" i="32"/>
  <c r="I55" i="32"/>
  <c r="J55" i="32" s="1"/>
  <c r="F55" i="32"/>
  <c r="D55" i="32"/>
  <c r="C55" i="32"/>
  <c r="B55" i="32"/>
  <c r="J54" i="32"/>
  <c r="I54" i="32"/>
  <c r="F54" i="32"/>
  <c r="D54" i="32"/>
  <c r="C54" i="32"/>
  <c r="B54" i="32"/>
  <c r="J53" i="32"/>
  <c r="I53" i="32"/>
  <c r="F53" i="32"/>
  <c r="D53" i="32"/>
  <c r="C53" i="32"/>
  <c r="B53" i="32"/>
  <c r="I52" i="32"/>
  <c r="J52" i="32" s="1"/>
  <c r="F52" i="32"/>
  <c r="D52" i="32"/>
  <c r="C52" i="32"/>
  <c r="B52" i="32"/>
  <c r="I51" i="32"/>
  <c r="J51" i="32" s="1"/>
  <c r="F51" i="32"/>
  <c r="D51" i="32"/>
  <c r="C51" i="32"/>
  <c r="B51" i="32"/>
  <c r="J50" i="32"/>
  <c r="I50" i="32"/>
  <c r="F50" i="32"/>
  <c r="D50" i="32"/>
  <c r="C50" i="32"/>
  <c r="B50" i="32"/>
  <c r="J49" i="32"/>
  <c r="I49" i="32"/>
  <c r="F49" i="32"/>
  <c r="D49" i="32"/>
  <c r="C49" i="32"/>
  <c r="B49" i="32"/>
  <c r="I48" i="32"/>
  <c r="J48" i="32" s="1"/>
  <c r="F48" i="32"/>
  <c r="D48" i="32"/>
  <c r="C48" i="32"/>
  <c r="B48" i="32"/>
  <c r="I47" i="32"/>
  <c r="J47" i="32" s="1"/>
  <c r="F47" i="32"/>
  <c r="D47" i="32"/>
  <c r="C47" i="32"/>
  <c r="B47" i="32"/>
  <c r="J46" i="32"/>
  <c r="I46" i="32"/>
  <c r="F46" i="32"/>
  <c r="D46" i="32"/>
  <c r="C46" i="32"/>
  <c r="B46" i="32"/>
  <c r="J45" i="32"/>
  <c r="I45" i="32"/>
  <c r="F45" i="32"/>
  <c r="D45" i="32"/>
  <c r="C45" i="32"/>
  <c r="B45" i="32"/>
  <c r="I44" i="32"/>
  <c r="J44" i="32" s="1"/>
  <c r="F44" i="32"/>
  <c r="D44" i="32"/>
  <c r="C44" i="32"/>
  <c r="B44" i="32"/>
  <c r="I43" i="32"/>
  <c r="J43" i="32" s="1"/>
  <c r="F43" i="32"/>
  <c r="D43" i="32"/>
  <c r="C43" i="32"/>
  <c r="B43" i="32"/>
  <c r="J42" i="32"/>
  <c r="I42" i="32"/>
  <c r="F42" i="32"/>
  <c r="D42" i="32"/>
  <c r="C42" i="32"/>
  <c r="B42" i="32"/>
  <c r="J41" i="32"/>
  <c r="I41" i="32"/>
  <c r="F41" i="32"/>
  <c r="D41" i="32"/>
  <c r="C41" i="32"/>
  <c r="B41" i="32"/>
  <c r="I40" i="32"/>
  <c r="J40" i="32" s="1"/>
  <c r="F40" i="32"/>
  <c r="D40" i="32"/>
  <c r="C40" i="32"/>
  <c r="B40" i="32"/>
  <c r="I39" i="32"/>
  <c r="J39" i="32" s="1"/>
  <c r="F39" i="32"/>
  <c r="D39" i="32"/>
  <c r="C39" i="32"/>
  <c r="B39" i="32"/>
  <c r="J38" i="32"/>
  <c r="I38" i="32"/>
  <c r="F38" i="32"/>
  <c r="D38" i="32"/>
  <c r="C38" i="32"/>
  <c r="B38" i="32"/>
  <c r="J37" i="32"/>
  <c r="I37" i="32"/>
  <c r="F37" i="32"/>
  <c r="D37" i="32"/>
  <c r="C37" i="32"/>
  <c r="B37" i="32"/>
  <c r="I36" i="32"/>
  <c r="J36" i="32" s="1"/>
  <c r="F36" i="32"/>
  <c r="D36" i="32"/>
  <c r="C36" i="32"/>
  <c r="B36" i="32"/>
  <c r="I35" i="32"/>
  <c r="J35" i="32" s="1"/>
  <c r="F35" i="32"/>
  <c r="D35" i="32"/>
  <c r="C35" i="32"/>
  <c r="B35" i="32"/>
  <c r="J34" i="32"/>
  <c r="I34" i="32"/>
  <c r="F34" i="32"/>
  <c r="D34" i="32"/>
  <c r="C34" i="32"/>
  <c r="B34" i="32"/>
  <c r="J33" i="32"/>
  <c r="I33" i="32"/>
  <c r="F33" i="32"/>
  <c r="D33" i="32"/>
  <c r="C33" i="32"/>
  <c r="B33" i="32"/>
  <c r="I32" i="32"/>
  <c r="J32" i="32" s="1"/>
  <c r="F32" i="32"/>
  <c r="D32" i="32"/>
  <c r="C32" i="32"/>
  <c r="B32" i="32"/>
  <c r="I31" i="32"/>
  <c r="J31" i="32" s="1"/>
  <c r="F31" i="32"/>
  <c r="D31" i="32"/>
  <c r="C31" i="32"/>
  <c r="B31" i="32"/>
  <c r="J30" i="32"/>
  <c r="I30" i="32"/>
  <c r="F30" i="32"/>
  <c r="D30" i="32"/>
  <c r="C30" i="32"/>
  <c r="B30" i="32"/>
  <c r="J29" i="32"/>
  <c r="I29" i="32"/>
  <c r="F29" i="32"/>
  <c r="D29" i="32"/>
  <c r="C29" i="32"/>
  <c r="B29" i="32"/>
  <c r="I28" i="32"/>
  <c r="J28" i="32" s="1"/>
  <c r="F28" i="32"/>
  <c r="D28" i="32"/>
  <c r="C28" i="32"/>
  <c r="B28" i="32"/>
  <c r="I27" i="32"/>
  <c r="J27" i="32" s="1"/>
  <c r="F27" i="32"/>
  <c r="D27" i="32"/>
  <c r="C27" i="32"/>
  <c r="B27" i="32"/>
  <c r="J26" i="32"/>
  <c r="I26" i="32"/>
  <c r="F26" i="32"/>
  <c r="D26" i="32"/>
  <c r="C26" i="32"/>
  <c r="B26" i="32"/>
  <c r="J25" i="32"/>
  <c r="I25" i="32"/>
  <c r="F25" i="32"/>
  <c r="D25" i="32"/>
  <c r="C25" i="32"/>
  <c r="B25" i="32"/>
  <c r="I24" i="32"/>
  <c r="J24" i="32" s="1"/>
  <c r="F24" i="32"/>
  <c r="D24" i="32"/>
  <c r="C24" i="32"/>
  <c r="B24" i="32"/>
  <c r="I23" i="32"/>
  <c r="J23" i="32" s="1"/>
  <c r="F23" i="32"/>
  <c r="D23" i="32"/>
  <c r="C23" i="32"/>
  <c r="B23" i="32"/>
  <c r="J22" i="32"/>
  <c r="I22" i="32"/>
  <c r="F22" i="32"/>
  <c r="D22" i="32"/>
  <c r="C22" i="32"/>
  <c r="B22" i="32"/>
  <c r="J21" i="32"/>
  <c r="I21" i="32"/>
  <c r="F21" i="32"/>
  <c r="D21" i="32"/>
  <c r="C21" i="32"/>
  <c r="B21" i="32"/>
  <c r="I20" i="32"/>
  <c r="J20" i="32" s="1"/>
  <c r="F20" i="32"/>
  <c r="D20" i="32"/>
  <c r="C20" i="32"/>
  <c r="B20" i="32"/>
  <c r="I19" i="32"/>
  <c r="J19" i="32" s="1"/>
  <c r="F19" i="32"/>
  <c r="D19" i="32"/>
  <c r="C19" i="32"/>
  <c r="B19" i="32"/>
  <c r="J18" i="32"/>
  <c r="I18" i="32"/>
  <c r="F18" i="32"/>
  <c r="D18" i="32"/>
  <c r="C18" i="32"/>
  <c r="B18" i="32"/>
  <c r="J17" i="32"/>
  <c r="I17" i="32"/>
  <c r="F17" i="32"/>
  <c r="D17" i="32"/>
  <c r="C17" i="32"/>
  <c r="B17" i="32"/>
  <c r="I16" i="32"/>
  <c r="J16" i="32" s="1"/>
  <c r="F16" i="32"/>
  <c r="D16" i="32"/>
  <c r="C16" i="32"/>
  <c r="B16" i="32"/>
  <c r="I15" i="32"/>
  <c r="J15" i="32" s="1"/>
  <c r="F15" i="32"/>
  <c r="D15" i="32"/>
  <c r="C15" i="32"/>
  <c r="B15" i="32"/>
  <c r="J14" i="32"/>
  <c r="I14" i="32"/>
  <c r="F14" i="32"/>
  <c r="D14" i="32"/>
  <c r="C14" i="32"/>
  <c r="B14" i="32"/>
  <c r="J13" i="32"/>
  <c r="I13" i="32"/>
  <c r="F13" i="32"/>
  <c r="D13" i="32"/>
  <c r="C13" i="32"/>
  <c r="B13" i="32"/>
  <c r="I12" i="32"/>
  <c r="J12" i="32" s="1"/>
  <c r="F12" i="32"/>
  <c r="D12" i="32"/>
  <c r="C12" i="32"/>
  <c r="B12" i="32"/>
  <c r="I11" i="32"/>
  <c r="J11" i="32" s="1"/>
  <c r="F11" i="32"/>
  <c r="D11" i="32"/>
  <c r="C11" i="32"/>
  <c r="B11" i="32"/>
  <c r="J10" i="32"/>
  <c r="I10" i="32"/>
  <c r="F10" i="32"/>
  <c r="D10" i="32"/>
  <c r="C10" i="32"/>
  <c r="B10" i="32"/>
  <c r="J9" i="32"/>
  <c r="I9" i="32"/>
  <c r="F9" i="32"/>
  <c r="D9" i="32"/>
  <c r="C9" i="32"/>
  <c r="B9" i="32"/>
  <c r="A5" i="32"/>
  <c r="G4" i="32"/>
  <c r="D4" i="32"/>
  <c r="A4" i="32"/>
  <c r="K213" i="31"/>
  <c r="K212" i="31"/>
  <c r="K211" i="31"/>
  <c r="K210" i="31"/>
  <c r="K209" i="31"/>
  <c r="K208" i="31"/>
  <c r="K207" i="31"/>
  <c r="K206" i="31"/>
  <c r="K205" i="31"/>
  <c r="K204" i="31"/>
  <c r="K203" i="31"/>
  <c r="K202" i="31"/>
  <c r="K201" i="31"/>
  <c r="K200" i="31"/>
  <c r="K199" i="31"/>
  <c r="K198" i="31"/>
  <c r="K197" i="31"/>
  <c r="K196" i="31"/>
  <c r="K195" i="31"/>
  <c r="K194" i="31"/>
  <c r="K193" i="31"/>
  <c r="K192" i="31"/>
  <c r="K191" i="31"/>
  <c r="K190" i="31"/>
  <c r="K189" i="31"/>
  <c r="K188" i="31"/>
  <c r="K187" i="31"/>
  <c r="K186" i="31"/>
  <c r="K185" i="31"/>
  <c r="K184" i="31"/>
  <c r="K183" i="31"/>
  <c r="K182" i="31"/>
  <c r="K181" i="31"/>
  <c r="K180" i="31"/>
  <c r="K179" i="31"/>
  <c r="K178" i="31"/>
  <c r="K177" i="31"/>
  <c r="K176" i="31"/>
  <c r="K175" i="31"/>
  <c r="K174" i="31"/>
  <c r="K173" i="31"/>
  <c r="K172" i="31"/>
  <c r="K171" i="31"/>
  <c r="K170" i="31"/>
  <c r="K169" i="31"/>
  <c r="K168" i="31"/>
  <c r="K167" i="31"/>
  <c r="K166" i="31"/>
  <c r="K165" i="31"/>
  <c r="K164" i="31"/>
  <c r="K163" i="31"/>
  <c r="K162" i="31"/>
  <c r="K161" i="31"/>
  <c r="K160" i="31"/>
  <c r="K159" i="31"/>
  <c r="K158" i="31"/>
  <c r="K157" i="31"/>
  <c r="K156" i="31"/>
  <c r="K155" i="31"/>
  <c r="K154" i="31"/>
  <c r="K153" i="31"/>
  <c r="K152" i="31"/>
  <c r="K151" i="31"/>
  <c r="K150" i="31"/>
  <c r="K149" i="31"/>
  <c r="K148" i="31"/>
  <c r="K147" i="31"/>
  <c r="K146" i="31"/>
  <c r="K145" i="31"/>
  <c r="K144" i="31"/>
  <c r="K143" i="31"/>
  <c r="K142" i="31"/>
  <c r="K141" i="31"/>
  <c r="K140" i="31"/>
  <c r="K139" i="31"/>
  <c r="K138" i="31"/>
  <c r="K137" i="31"/>
  <c r="K136" i="31"/>
  <c r="K135" i="31"/>
  <c r="K134" i="31"/>
  <c r="K133" i="31"/>
  <c r="K132" i="31"/>
  <c r="K131" i="31"/>
  <c r="K130" i="31"/>
  <c r="K129" i="31"/>
  <c r="K128" i="31"/>
  <c r="K127" i="31"/>
  <c r="K126" i="31"/>
  <c r="K125" i="31"/>
  <c r="K124" i="31"/>
  <c r="K123" i="31"/>
  <c r="K122" i="31"/>
  <c r="K121" i="31"/>
  <c r="K120" i="31"/>
  <c r="K119" i="31"/>
  <c r="K118" i="31"/>
  <c r="K117" i="31"/>
  <c r="K116" i="31"/>
  <c r="K115" i="31"/>
  <c r="K114" i="31"/>
  <c r="K113" i="31"/>
  <c r="I113" i="31"/>
  <c r="J113" i="31" s="1"/>
  <c r="D113" i="31"/>
  <c r="C113" i="31"/>
  <c r="A113" i="31"/>
  <c r="K112" i="31"/>
  <c r="J112" i="31"/>
  <c r="I112" i="31"/>
  <c r="D112" i="31"/>
  <c r="C112" i="31"/>
  <c r="A112" i="31"/>
  <c r="K111" i="31"/>
  <c r="I111" i="31"/>
  <c r="J111" i="31" s="1"/>
  <c r="D111" i="31"/>
  <c r="C111" i="31"/>
  <c r="A111" i="31"/>
  <c r="K110" i="31"/>
  <c r="I110" i="31"/>
  <c r="J110" i="31" s="1"/>
  <c r="D110" i="31"/>
  <c r="C110" i="31"/>
  <c r="A110" i="31"/>
  <c r="K109" i="31"/>
  <c r="I109" i="31"/>
  <c r="J109" i="31" s="1"/>
  <c r="D109" i="31"/>
  <c r="C109" i="31"/>
  <c r="A109" i="31"/>
  <c r="K108" i="31"/>
  <c r="J108" i="31"/>
  <c r="I108" i="31"/>
  <c r="D108" i="31"/>
  <c r="C108" i="31"/>
  <c r="A108" i="31"/>
  <c r="K107" i="31"/>
  <c r="I107" i="31"/>
  <c r="J107" i="31" s="1"/>
  <c r="D107" i="31"/>
  <c r="C107" i="31"/>
  <c r="A107" i="31"/>
  <c r="K106" i="31"/>
  <c r="I106" i="31"/>
  <c r="J106" i="31" s="1"/>
  <c r="D106" i="31"/>
  <c r="C106" i="31"/>
  <c r="A106" i="31"/>
  <c r="K105" i="31"/>
  <c r="I105" i="31"/>
  <c r="J105" i="31" s="1"/>
  <c r="D105" i="31"/>
  <c r="C105" i="31"/>
  <c r="A105" i="31"/>
  <c r="K104" i="31"/>
  <c r="J104" i="31"/>
  <c r="I104" i="31"/>
  <c r="D104" i="31"/>
  <c r="C104" i="31"/>
  <c r="A104" i="31"/>
  <c r="K103" i="31"/>
  <c r="I103" i="31"/>
  <c r="J103" i="31" s="1"/>
  <c r="D103" i="31"/>
  <c r="C103" i="31"/>
  <c r="A103" i="31"/>
  <c r="K102" i="31"/>
  <c r="I102" i="31"/>
  <c r="J102" i="31" s="1"/>
  <c r="D102" i="31"/>
  <c r="C102" i="31"/>
  <c r="A102" i="31"/>
  <c r="K101" i="31"/>
  <c r="I101" i="31"/>
  <c r="J101" i="31" s="1"/>
  <c r="D101" i="31"/>
  <c r="C101" i="31"/>
  <c r="A101" i="31"/>
  <c r="K100" i="31"/>
  <c r="J100" i="31"/>
  <c r="I100" i="31"/>
  <c r="D100" i="31"/>
  <c r="C100" i="31"/>
  <c r="A100" i="31"/>
  <c r="K99" i="31"/>
  <c r="I99" i="31"/>
  <c r="J99" i="31" s="1"/>
  <c r="D99" i="31"/>
  <c r="C99" i="31"/>
  <c r="A99" i="31"/>
  <c r="K98" i="31"/>
  <c r="I98" i="31"/>
  <c r="J98" i="31" s="1"/>
  <c r="D98" i="31"/>
  <c r="C98" i="31"/>
  <c r="A98" i="31"/>
  <c r="K97" i="31"/>
  <c r="I97" i="31"/>
  <c r="J97" i="31" s="1"/>
  <c r="D97" i="31"/>
  <c r="C97" i="31"/>
  <c r="A97" i="31"/>
  <c r="K96" i="31"/>
  <c r="J96" i="31"/>
  <c r="I96" i="31"/>
  <c r="D96" i="31"/>
  <c r="C96" i="31"/>
  <c r="A96" i="31"/>
  <c r="K95" i="31"/>
  <c r="I95" i="31"/>
  <c r="J95" i="31" s="1"/>
  <c r="D95" i="31"/>
  <c r="C95" i="31"/>
  <c r="A95" i="31"/>
  <c r="K94" i="31"/>
  <c r="I94" i="31"/>
  <c r="J94" i="31" s="1"/>
  <c r="D94" i="31"/>
  <c r="C94" i="31"/>
  <c r="A94" i="31"/>
  <c r="K93" i="31"/>
  <c r="I93" i="31"/>
  <c r="J93" i="31" s="1"/>
  <c r="D93" i="31"/>
  <c r="C93" i="31"/>
  <c r="A93" i="31"/>
  <c r="K92" i="31"/>
  <c r="J92" i="31"/>
  <c r="I92" i="31"/>
  <c r="D92" i="31"/>
  <c r="C92" i="31"/>
  <c r="A92" i="31"/>
  <c r="K91" i="31"/>
  <c r="I91" i="31"/>
  <c r="J91" i="31" s="1"/>
  <c r="D91" i="31"/>
  <c r="C91" i="31"/>
  <c r="A91" i="31"/>
  <c r="K90" i="31"/>
  <c r="I90" i="31"/>
  <c r="J90" i="31" s="1"/>
  <c r="D90" i="31"/>
  <c r="C90" i="31"/>
  <c r="A90" i="31"/>
  <c r="K89" i="31"/>
  <c r="I89" i="31"/>
  <c r="J89" i="31" s="1"/>
  <c r="D89" i="31"/>
  <c r="C89" i="31"/>
  <c r="A89" i="31"/>
  <c r="K88" i="31"/>
  <c r="J88" i="31"/>
  <c r="I88" i="31"/>
  <c r="D88" i="31"/>
  <c r="C88" i="31"/>
  <c r="A88" i="31"/>
  <c r="K87" i="31"/>
  <c r="I87" i="31"/>
  <c r="J87" i="31" s="1"/>
  <c r="D87" i="31"/>
  <c r="C87" i="31"/>
  <c r="A87" i="31"/>
  <c r="K86" i="31"/>
  <c r="I86" i="31"/>
  <c r="J86" i="31" s="1"/>
  <c r="D86" i="31"/>
  <c r="C86" i="31"/>
  <c r="A86" i="31"/>
  <c r="K85" i="31"/>
  <c r="I85" i="31"/>
  <c r="J85" i="31" s="1"/>
  <c r="D85" i="31"/>
  <c r="C85" i="31"/>
  <c r="A85" i="31"/>
  <c r="K84" i="31"/>
  <c r="J84" i="31"/>
  <c r="I84" i="31"/>
  <c r="D84" i="31"/>
  <c r="C84" i="31"/>
  <c r="A84" i="31"/>
  <c r="K83" i="31"/>
  <c r="I83" i="31"/>
  <c r="J83" i="31" s="1"/>
  <c r="D83" i="31"/>
  <c r="C83" i="31"/>
  <c r="A83" i="31"/>
  <c r="K82" i="31"/>
  <c r="I82" i="31"/>
  <c r="J82" i="31" s="1"/>
  <c r="D82" i="31"/>
  <c r="C82" i="31"/>
  <c r="A82" i="31"/>
  <c r="K81" i="31"/>
  <c r="I81" i="31"/>
  <c r="J81" i="31" s="1"/>
  <c r="D81" i="31"/>
  <c r="C81" i="31"/>
  <c r="A81" i="31"/>
  <c r="K80" i="31"/>
  <c r="J80" i="31"/>
  <c r="I80" i="31"/>
  <c r="D80" i="31"/>
  <c r="C80" i="31"/>
  <c r="A80" i="31"/>
  <c r="K79" i="31"/>
  <c r="I79" i="31"/>
  <c r="J79" i="31" s="1"/>
  <c r="D79" i="31"/>
  <c r="C79" i="31"/>
  <c r="A79" i="31"/>
  <c r="K78" i="31"/>
  <c r="I78" i="31"/>
  <c r="J78" i="31" s="1"/>
  <c r="D78" i="31"/>
  <c r="C78" i="31"/>
  <c r="A78" i="31"/>
  <c r="K77" i="31"/>
  <c r="I77" i="31"/>
  <c r="J77" i="31" s="1"/>
  <c r="D77" i="31"/>
  <c r="C77" i="31"/>
  <c r="A77" i="31"/>
  <c r="K76" i="31"/>
  <c r="J76" i="31"/>
  <c r="I76" i="31"/>
  <c r="D76" i="31"/>
  <c r="C76" i="31"/>
  <c r="A76" i="31"/>
  <c r="K75" i="31"/>
  <c r="I75" i="31"/>
  <c r="J75" i="31" s="1"/>
  <c r="D75" i="31"/>
  <c r="C75" i="31"/>
  <c r="A75" i="31"/>
  <c r="K74" i="31"/>
  <c r="I74" i="31"/>
  <c r="J74" i="31" s="1"/>
  <c r="D74" i="31"/>
  <c r="C74" i="31"/>
  <c r="A74" i="31"/>
  <c r="K73" i="31"/>
  <c r="I73" i="31"/>
  <c r="J73" i="31" s="1"/>
  <c r="D73" i="31"/>
  <c r="C73" i="31"/>
  <c r="A73" i="31"/>
  <c r="K72" i="31"/>
  <c r="J72" i="31"/>
  <c r="I72" i="31"/>
  <c r="D72" i="31"/>
  <c r="C72" i="31"/>
  <c r="A72" i="31"/>
  <c r="K71" i="31"/>
  <c r="I71" i="31"/>
  <c r="J71" i="31" s="1"/>
  <c r="D71" i="31"/>
  <c r="C71" i="31"/>
  <c r="A71" i="31"/>
  <c r="K70" i="31"/>
  <c r="I70" i="31"/>
  <c r="J70" i="31" s="1"/>
  <c r="D70" i="31"/>
  <c r="C70" i="31"/>
  <c r="A70" i="31"/>
  <c r="K69" i="31"/>
  <c r="I69" i="31"/>
  <c r="J69" i="31" s="1"/>
  <c r="D69" i="31"/>
  <c r="C69" i="31"/>
  <c r="A69" i="31"/>
  <c r="K68" i="31"/>
  <c r="J68" i="31"/>
  <c r="I68" i="31"/>
  <c r="D68" i="31"/>
  <c r="C68" i="31"/>
  <c r="A68" i="31"/>
  <c r="K67" i="31"/>
  <c r="I67" i="31"/>
  <c r="J67" i="31" s="1"/>
  <c r="D67" i="31"/>
  <c r="C67" i="31"/>
  <c r="A67" i="31"/>
  <c r="K66" i="31"/>
  <c r="I66" i="31"/>
  <c r="J66" i="31" s="1"/>
  <c r="D66" i="31"/>
  <c r="C66" i="31"/>
  <c r="A66" i="31"/>
  <c r="K65" i="31"/>
  <c r="I65" i="31"/>
  <c r="J65" i="31" s="1"/>
  <c r="D65" i="31"/>
  <c r="C65" i="31"/>
  <c r="A65" i="31"/>
  <c r="K64" i="31"/>
  <c r="J64" i="31"/>
  <c r="I64" i="31"/>
  <c r="D64" i="31"/>
  <c r="C64" i="31"/>
  <c r="A64" i="31"/>
  <c r="K63" i="31"/>
  <c r="I63" i="31"/>
  <c r="J63" i="31" s="1"/>
  <c r="D63" i="31"/>
  <c r="C63" i="31"/>
  <c r="A63" i="31"/>
  <c r="K62" i="31"/>
  <c r="I62" i="31"/>
  <c r="J62" i="31" s="1"/>
  <c r="D62" i="31"/>
  <c r="C62" i="31"/>
  <c r="A62" i="31"/>
  <c r="K61" i="31"/>
  <c r="I61" i="31"/>
  <c r="J61" i="31" s="1"/>
  <c r="D61" i="31"/>
  <c r="C61" i="31"/>
  <c r="A61" i="31"/>
  <c r="K60" i="31"/>
  <c r="J60" i="31"/>
  <c r="I60" i="31"/>
  <c r="D60" i="31"/>
  <c r="C60" i="31"/>
  <c r="A60" i="31"/>
  <c r="K59" i="31"/>
  <c r="I59" i="31"/>
  <c r="J59" i="31" s="1"/>
  <c r="D59" i="31"/>
  <c r="C59" i="31"/>
  <c r="A59" i="31"/>
  <c r="K58" i="31"/>
  <c r="I58" i="31"/>
  <c r="J58" i="31" s="1"/>
  <c r="D58" i="31"/>
  <c r="C58" i="31"/>
  <c r="A58" i="31"/>
  <c r="K57" i="31"/>
  <c r="I57" i="31"/>
  <c r="J57" i="31" s="1"/>
  <c r="D57" i="31"/>
  <c r="C57" i="31"/>
  <c r="A57" i="31"/>
  <c r="K56" i="31"/>
  <c r="J56" i="31"/>
  <c r="I56" i="31"/>
  <c r="D56" i="31"/>
  <c r="C56" i="31"/>
  <c r="A56" i="31"/>
  <c r="K55" i="31"/>
  <c r="I55" i="31"/>
  <c r="J55" i="31" s="1"/>
  <c r="D55" i="31"/>
  <c r="C55" i="31"/>
  <c r="A55" i="31"/>
  <c r="K54" i="31"/>
  <c r="I54" i="31"/>
  <c r="J54" i="31" s="1"/>
  <c r="D54" i="31"/>
  <c r="C54" i="31"/>
  <c r="A54" i="31"/>
  <c r="K53" i="31"/>
  <c r="I53" i="31"/>
  <c r="J53" i="31" s="1"/>
  <c r="D53" i="31"/>
  <c r="C53" i="31"/>
  <c r="A53" i="31"/>
  <c r="K52" i="31"/>
  <c r="J52" i="31"/>
  <c r="I52" i="31"/>
  <c r="D52" i="31"/>
  <c r="C52" i="31"/>
  <c r="A52" i="31"/>
  <c r="K51" i="31"/>
  <c r="I51" i="31"/>
  <c r="J51" i="31" s="1"/>
  <c r="D51" i="31"/>
  <c r="C51" i="31"/>
  <c r="A51" i="31"/>
  <c r="K50" i="31"/>
  <c r="I50" i="31"/>
  <c r="J50" i="31" s="1"/>
  <c r="D50" i="31"/>
  <c r="C50" i="31"/>
  <c r="A50" i="31"/>
  <c r="K49" i="31"/>
  <c r="I49" i="31"/>
  <c r="J49" i="31" s="1"/>
  <c r="D49" i="31"/>
  <c r="C49" i="31"/>
  <c r="A49" i="31"/>
  <c r="K48" i="31"/>
  <c r="J48" i="31"/>
  <c r="I48" i="31"/>
  <c r="D48" i="31"/>
  <c r="C48" i="31"/>
  <c r="A48" i="31"/>
  <c r="K47" i="31"/>
  <c r="I47" i="31"/>
  <c r="J47" i="31" s="1"/>
  <c r="D47" i="31"/>
  <c r="C47" i="31"/>
  <c r="A47" i="31"/>
  <c r="K46" i="31"/>
  <c r="I46" i="31"/>
  <c r="J46" i="31" s="1"/>
  <c r="D46" i="31"/>
  <c r="C46" i="31"/>
  <c r="A46" i="31"/>
  <c r="K45" i="31"/>
  <c r="I45" i="31"/>
  <c r="J45" i="31" s="1"/>
  <c r="D45" i="31"/>
  <c r="C45" i="31"/>
  <c r="A45" i="31"/>
  <c r="K44" i="31"/>
  <c r="J44" i="31"/>
  <c r="I44" i="31"/>
  <c r="D44" i="31"/>
  <c r="C44" i="31"/>
  <c r="A44" i="31"/>
  <c r="K43" i="31"/>
  <c r="I43" i="31"/>
  <c r="J43" i="31" s="1"/>
  <c r="D43" i="31"/>
  <c r="C43" i="31"/>
  <c r="A43" i="31"/>
  <c r="K42" i="31"/>
  <c r="I42" i="31"/>
  <c r="J42" i="31" s="1"/>
  <c r="D42" i="31"/>
  <c r="C42" i="31"/>
  <c r="A42" i="31"/>
  <c r="K41" i="31"/>
  <c r="I41" i="31"/>
  <c r="J41" i="31" s="1"/>
  <c r="D41" i="31"/>
  <c r="C41" i="31"/>
  <c r="A41" i="31"/>
  <c r="K40" i="31"/>
  <c r="J40" i="31"/>
  <c r="I40" i="31"/>
  <c r="D40" i="31"/>
  <c r="C40" i="31"/>
  <c r="A40" i="31"/>
  <c r="K39" i="31"/>
  <c r="I39" i="31"/>
  <c r="J39" i="31" s="1"/>
  <c r="D39" i="31"/>
  <c r="C39" i="31"/>
  <c r="A39" i="31"/>
  <c r="K38" i="31"/>
  <c r="I38" i="31"/>
  <c r="J38" i="31" s="1"/>
  <c r="D38" i="31"/>
  <c r="C38" i="31"/>
  <c r="A38" i="31"/>
  <c r="K37" i="31"/>
  <c r="I37" i="31"/>
  <c r="J37" i="31" s="1"/>
  <c r="D37" i="31"/>
  <c r="C37" i="31"/>
  <c r="A37" i="31"/>
  <c r="K36" i="31"/>
  <c r="J36" i="31"/>
  <c r="I36" i="31"/>
  <c r="D36" i="31"/>
  <c r="C36" i="31"/>
  <c r="A36" i="31"/>
  <c r="K35" i="31"/>
  <c r="I35" i="31"/>
  <c r="J35" i="31" s="1"/>
  <c r="D35" i="31"/>
  <c r="C35" i="31"/>
  <c r="A35" i="31"/>
  <c r="K34" i="31"/>
  <c r="I34" i="31"/>
  <c r="J34" i="31" s="1"/>
  <c r="D34" i="31"/>
  <c r="C34" i="31"/>
  <c r="A34" i="31"/>
  <c r="K33" i="31"/>
  <c r="I33" i="31"/>
  <c r="J33" i="31" s="1"/>
  <c r="D33" i="31"/>
  <c r="C33" i="31"/>
  <c r="A33" i="31"/>
  <c r="K32" i="31"/>
  <c r="J32" i="31"/>
  <c r="I32" i="31"/>
  <c r="D32" i="31"/>
  <c r="C32" i="31"/>
  <c r="A32" i="31"/>
  <c r="K31" i="31"/>
  <c r="I31" i="31"/>
  <c r="J31" i="31" s="1"/>
  <c r="D31" i="31"/>
  <c r="C31" i="31"/>
  <c r="A31" i="31"/>
  <c r="K30" i="31"/>
  <c r="I30" i="31"/>
  <c r="J30" i="31" s="1"/>
  <c r="D30" i="31"/>
  <c r="C30" i="31"/>
  <c r="A30" i="31"/>
  <c r="K29" i="31"/>
  <c r="I29" i="31"/>
  <c r="J29" i="31" s="1"/>
  <c r="D29" i="31"/>
  <c r="C29" i="31"/>
  <c r="A29" i="31"/>
  <c r="K28" i="31"/>
  <c r="J28" i="31"/>
  <c r="I28" i="31"/>
  <c r="D28" i="31"/>
  <c r="C28" i="31"/>
  <c r="A28" i="31"/>
  <c r="K27" i="31"/>
  <c r="I27" i="31"/>
  <c r="J27" i="31" s="1"/>
  <c r="D27" i="31"/>
  <c r="C27" i="31"/>
  <c r="A27" i="31"/>
  <c r="K26" i="31"/>
  <c r="I26" i="31"/>
  <c r="J26" i="31" s="1"/>
  <c r="D26" i="31"/>
  <c r="C26" i="31"/>
  <c r="A26" i="31"/>
  <c r="K25" i="31"/>
  <c r="I25" i="31"/>
  <c r="J25" i="31" s="1"/>
  <c r="D25" i="31"/>
  <c r="C25" i="31"/>
  <c r="A25" i="31"/>
  <c r="K24" i="31"/>
  <c r="J24" i="31"/>
  <c r="I24" i="31"/>
  <c r="D24" i="31"/>
  <c r="C24" i="31"/>
  <c r="A24" i="31"/>
  <c r="K23" i="31"/>
  <c r="I23" i="31"/>
  <c r="J23" i="31" s="1"/>
  <c r="D23" i="31"/>
  <c r="C23" i="31"/>
  <c r="A23" i="31"/>
  <c r="K22" i="31"/>
  <c r="I22" i="31"/>
  <c r="J22" i="31" s="1"/>
  <c r="D22" i="31"/>
  <c r="C22" i="31"/>
  <c r="A22" i="31"/>
  <c r="K21" i="31"/>
  <c r="I21" i="31"/>
  <c r="J21" i="31" s="1"/>
  <c r="D21" i="31"/>
  <c r="C21" i="31"/>
  <c r="A21" i="31"/>
  <c r="K20" i="31"/>
  <c r="J20" i="31"/>
  <c r="I20" i="31"/>
  <c r="D20" i="31"/>
  <c r="C20" i="31"/>
  <c r="A20" i="31"/>
  <c r="K19" i="31"/>
  <c r="I19" i="31"/>
  <c r="J19" i="31" s="1"/>
  <c r="D19" i="31"/>
  <c r="C19" i="31"/>
  <c r="A19" i="31"/>
  <c r="K18" i="31"/>
  <c r="I18" i="31"/>
  <c r="J18" i="31" s="1"/>
  <c r="D18" i="31"/>
  <c r="C18" i="31"/>
  <c r="A18" i="31"/>
  <c r="K17" i="31"/>
  <c r="I17" i="31"/>
  <c r="J17" i="31" s="1"/>
  <c r="D17" i="31"/>
  <c r="C17" i="31"/>
  <c r="A17" i="31"/>
  <c r="K16" i="31"/>
  <c r="J16" i="31"/>
  <c r="I16" i="31"/>
  <c r="D16" i="31"/>
  <c r="C16" i="31"/>
  <c r="A16" i="31"/>
  <c r="K15" i="31"/>
  <c r="I15" i="31"/>
  <c r="J15" i="31" s="1"/>
  <c r="D15" i="31"/>
  <c r="C15" i="31"/>
  <c r="A15" i="31"/>
  <c r="K14" i="31"/>
  <c r="I14" i="31"/>
  <c r="J14" i="31" s="1"/>
  <c r="D14" i="31"/>
  <c r="C14" i="31"/>
  <c r="A14" i="31"/>
  <c r="B9" i="31"/>
  <c r="B10" i="31" s="1"/>
  <c r="B8" i="31"/>
  <c r="J208" i="30"/>
  <c r="K208" i="30" s="1"/>
  <c r="G208" i="30"/>
  <c r="D208" i="30"/>
  <c r="C208" i="30"/>
  <c r="B208" i="30"/>
  <c r="J207" i="30"/>
  <c r="K207" i="30" s="1"/>
  <c r="G207" i="30"/>
  <c r="D207" i="30"/>
  <c r="C207" i="30"/>
  <c r="B207" i="30"/>
  <c r="K206" i="30"/>
  <c r="J206" i="30"/>
  <c r="G206" i="30"/>
  <c r="D206" i="30"/>
  <c r="C206" i="30"/>
  <c r="B206" i="30"/>
  <c r="J205" i="30"/>
  <c r="K205" i="30" s="1"/>
  <c r="G205" i="30"/>
  <c r="D205" i="30"/>
  <c r="C205" i="30"/>
  <c r="B205" i="30"/>
  <c r="J204" i="30"/>
  <c r="K204" i="30" s="1"/>
  <c r="G204" i="30"/>
  <c r="D204" i="30"/>
  <c r="C204" i="30"/>
  <c r="B204" i="30"/>
  <c r="J203" i="30"/>
  <c r="K203" i="30" s="1"/>
  <c r="G203" i="30"/>
  <c r="D203" i="30"/>
  <c r="C203" i="30"/>
  <c r="B203" i="30"/>
  <c r="K202" i="30"/>
  <c r="J202" i="30"/>
  <c r="G202" i="30"/>
  <c r="D202" i="30"/>
  <c r="C202" i="30"/>
  <c r="B202" i="30"/>
  <c r="J201" i="30"/>
  <c r="K201" i="30" s="1"/>
  <c r="G201" i="30"/>
  <c r="D201" i="30"/>
  <c r="C201" i="30"/>
  <c r="B201" i="30"/>
  <c r="J200" i="30"/>
  <c r="K200" i="30" s="1"/>
  <c r="G200" i="30"/>
  <c r="D200" i="30"/>
  <c r="C200" i="30"/>
  <c r="B200" i="30"/>
  <c r="J199" i="30"/>
  <c r="K199" i="30" s="1"/>
  <c r="G199" i="30"/>
  <c r="D199" i="30"/>
  <c r="C199" i="30"/>
  <c r="B199" i="30"/>
  <c r="K198" i="30"/>
  <c r="J198" i="30"/>
  <c r="G198" i="30"/>
  <c r="D198" i="30"/>
  <c r="C198" i="30"/>
  <c r="B198" i="30"/>
  <c r="J197" i="30"/>
  <c r="K197" i="30" s="1"/>
  <c r="G197" i="30"/>
  <c r="D197" i="30"/>
  <c r="C197" i="30"/>
  <c r="B197" i="30"/>
  <c r="J196" i="30"/>
  <c r="K196" i="30" s="1"/>
  <c r="G196" i="30"/>
  <c r="D196" i="30"/>
  <c r="C196" i="30"/>
  <c r="B196" i="30"/>
  <c r="J195" i="30"/>
  <c r="K195" i="30" s="1"/>
  <c r="G195" i="30"/>
  <c r="D195" i="30"/>
  <c r="C195" i="30"/>
  <c r="B195" i="30"/>
  <c r="K194" i="30"/>
  <c r="J194" i="30"/>
  <c r="G194" i="30"/>
  <c r="D194" i="30"/>
  <c r="C194" i="30"/>
  <c r="B194" i="30"/>
  <c r="J193" i="30"/>
  <c r="K193" i="30" s="1"/>
  <c r="G193" i="30"/>
  <c r="D193" i="30"/>
  <c r="C193" i="30"/>
  <c r="B193" i="30"/>
  <c r="J192" i="30"/>
  <c r="K192" i="30" s="1"/>
  <c r="G192" i="30"/>
  <c r="D192" i="30"/>
  <c r="C192" i="30"/>
  <c r="B192" i="30"/>
  <c r="J191" i="30"/>
  <c r="K191" i="30" s="1"/>
  <c r="G191" i="30"/>
  <c r="D191" i="30"/>
  <c r="C191" i="30"/>
  <c r="B191" i="30"/>
  <c r="K190" i="30"/>
  <c r="J190" i="30"/>
  <c r="G190" i="30"/>
  <c r="D190" i="30"/>
  <c r="C190" i="30"/>
  <c r="B190" i="30"/>
  <c r="J189" i="30"/>
  <c r="K189" i="30" s="1"/>
  <c r="G189" i="30"/>
  <c r="D189" i="30"/>
  <c r="C189" i="30"/>
  <c r="B189" i="30"/>
  <c r="J188" i="30"/>
  <c r="K188" i="30" s="1"/>
  <c r="G188" i="30"/>
  <c r="D188" i="30"/>
  <c r="C188" i="30"/>
  <c r="B188" i="30"/>
  <c r="J187" i="30"/>
  <c r="K187" i="30" s="1"/>
  <c r="G187" i="30"/>
  <c r="D187" i="30"/>
  <c r="C187" i="30"/>
  <c r="B187" i="30"/>
  <c r="K186" i="30"/>
  <c r="J186" i="30"/>
  <c r="G186" i="30"/>
  <c r="D186" i="30"/>
  <c r="C186" i="30"/>
  <c r="B186" i="30"/>
  <c r="J185" i="30"/>
  <c r="K185" i="30" s="1"/>
  <c r="G185" i="30"/>
  <c r="D185" i="30"/>
  <c r="C185" i="30"/>
  <c r="B185" i="30"/>
  <c r="J184" i="30"/>
  <c r="K184" i="30" s="1"/>
  <c r="G184" i="30"/>
  <c r="D184" i="30"/>
  <c r="C184" i="30"/>
  <c r="B184" i="30"/>
  <c r="J183" i="30"/>
  <c r="K183" i="30" s="1"/>
  <c r="G183" i="30"/>
  <c r="D183" i="30"/>
  <c r="C183" i="30"/>
  <c r="B183" i="30"/>
  <c r="K182" i="30"/>
  <c r="J182" i="30"/>
  <c r="G182" i="30"/>
  <c r="D182" i="30"/>
  <c r="C182" i="30"/>
  <c r="B182" i="30"/>
  <c r="J181" i="30"/>
  <c r="K181" i="30" s="1"/>
  <c r="G181" i="30"/>
  <c r="D181" i="30"/>
  <c r="C181" i="30"/>
  <c r="B181" i="30"/>
  <c r="J180" i="30"/>
  <c r="K180" i="30" s="1"/>
  <c r="G180" i="30"/>
  <c r="D180" i="30"/>
  <c r="C180" i="30"/>
  <c r="B180" i="30"/>
  <c r="J179" i="30"/>
  <c r="K179" i="30" s="1"/>
  <c r="G179" i="30"/>
  <c r="D179" i="30"/>
  <c r="C179" i="30"/>
  <c r="B179" i="30"/>
  <c r="K178" i="30"/>
  <c r="J178" i="30"/>
  <c r="G178" i="30"/>
  <c r="D178" i="30"/>
  <c r="C178" i="30"/>
  <c r="B178" i="30"/>
  <c r="J177" i="30"/>
  <c r="K177" i="30" s="1"/>
  <c r="G177" i="30"/>
  <c r="D177" i="30"/>
  <c r="C177" i="30"/>
  <c r="B177" i="30"/>
  <c r="J176" i="30"/>
  <c r="K176" i="30" s="1"/>
  <c r="G176" i="30"/>
  <c r="D176" i="30"/>
  <c r="C176" i="30"/>
  <c r="B176" i="30"/>
  <c r="J175" i="30"/>
  <c r="K175" i="30" s="1"/>
  <c r="G175" i="30"/>
  <c r="D175" i="30"/>
  <c r="C175" i="30"/>
  <c r="B175" i="30"/>
  <c r="K174" i="30"/>
  <c r="J174" i="30"/>
  <c r="G174" i="30"/>
  <c r="D174" i="30"/>
  <c r="C174" i="30"/>
  <c r="B174" i="30"/>
  <c r="J173" i="30"/>
  <c r="K173" i="30" s="1"/>
  <c r="G173" i="30"/>
  <c r="D173" i="30"/>
  <c r="C173" i="30"/>
  <c r="B173" i="30"/>
  <c r="J172" i="30"/>
  <c r="K172" i="30" s="1"/>
  <c r="G172" i="30"/>
  <c r="D172" i="30"/>
  <c r="C172" i="30"/>
  <c r="B172" i="30"/>
  <c r="J171" i="30"/>
  <c r="K171" i="30" s="1"/>
  <c r="G171" i="30"/>
  <c r="D171" i="30"/>
  <c r="C171" i="30"/>
  <c r="B171" i="30"/>
  <c r="K170" i="30"/>
  <c r="J170" i="30"/>
  <c r="G170" i="30"/>
  <c r="D170" i="30"/>
  <c r="C170" i="30"/>
  <c r="B170" i="30"/>
  <c r="J169" i="30"/>
  <c r="K169" i="30" s="1"/>
  <c r="G169" i="30"/>
  <c r="D169" i="30"/>
  <c r="C169" i="30"/>
  <c r="B169" i="30"/>
  <c r="J168" i="30"/>
  <c r="K168" i="30" s="1"/>
  <c r="G168" i="30"/>
  <c r="D168" i="30"/>
  <c r="C168" i="30"/>
  <c r="B168" i="30"/>
  <c r="J167" i="30"/>
  <c r="K167" i="30" s="1"/>
  <c r="G167" i="30"/>
  <c r="D167" i="30"/>
  <c r="C167" i="30"/>
  <c r="B167" i="30"/>
  <c r="K166" i="30"/>
  <c r="J166" i="30"/>
  <c r="G166" i="30"/>
  <c r="D166" i="30"/>
  <c r="C166" i="30"/>
  <c r="B166" i="30"/>
  <c r="J165" i="30"/>
  <c r="K165" i="30" s="1"/>
  <c r="G165" i="30"/>
  <c r="D165" i="30"/>
  <c r="C165" i="30"/>
  <c r="B165" i="30"/>
  <c r="J164" i="30"/>
  <c r="K164" i="30" s="1"/>
  <c r="G164" i="30"/>
  <c r="D164" i="30"/>
  <c r="C164" i="30"/>
  <c r="B164" i="30"/>
  <c r="J163" i="30"/>
  <c r="K163" i="30" s="1"/>
  <c r="G163" i="30"/>
  <c r="D163" i="30"/>
  <c r="C163" i="30"/>
  <c r="B163" i="30"/>
  <c r="K162" i="30"/>
  <c r="J162" i="30"/>
  <c r="G162" i="30"/>
  <c r="D162" i="30"/>
  <c r="C162" i="30"/>
  <c r="B162" i="30"/>
  <c r="J161" i="30"/>
  <c r="K161" i="30" s="1"/>
  <c r="G161" i="30"/>
  <c r="D161" i="30"/>
  <c r="C161" i="30"/>
  <c r="B161" i="30"/>
  <c r="J160" i="30"/>
  <c r="K160" i="30" s="1"/>
  <c r="G160" i="30"/>
  <c r="D160" i="30"/>
  <c r="C160" i="30"/>
  <c r="B160" i="30"/>
  <c r="J159" i="30"/>
  <c r="K159" i="30" s="1"/>
  <c r="G159" i="30"/>
  <c r="D159" i="30"/>
  <c r="C159" i="30"/>
  <c r="B159" i="30"/>
  <c r="K158" i="30"/>
  <c r="J158" i="30"/>
  <c r="G158" i="30"/>
  <c r="D158" i="30"/>
  <c r="C158" i="30"/>
  <c r="B158" i="30"/>
  <c r="J157" i="30"/>
  <c r="K157" i="30" s="1"/>
  <c r="G157" i="30"/>
  <c r="D157" i="30"/>
  <c r="C157" i="30"/>
  <c r="B157" i="30"/>
  <c r="J156" i="30"/>
  <c r="K156" i="30" s="1"/>
  <c r="G156" i="30"/>
  <c r="D156" i="30"/>
  <c r="C156" i="30"/>
  <c r="B156" i="30"/>
  <c r="J155" i="30"/>
  <c r="K155" i="30" s="1"/>
  <c r="G155" i="30"/>
  <c r="D155" i="30"/>
  <c r="C155" i="30"/>
  <c r="B155" i="30"/>
  <c r="K154" i="30"/>
  <c r="J154" i="30"/>
  <c r="G154" i="30"/>
  <c r="D154" i="30"/>
  <c r="C154" i="30"/>
  <c r="B154" i="30"/>
  <c r="J153" i="30"/>
  <c r="K153" i="30" s="1"/>
  <c r="G153" i="30"/>
  <c r="D153" i="30"/>
  <c r="C153" i="30"/>
  <c r="B153" i="30"/>
  <c r="J152" i="30"/>
  <c r="K152" i="30" s="1"/>
  <c r="G152" i="30"/>
  <c r="D152" i="30"/>
  <c r="C152" i="30"/>
  <c r="B152" i="30"/>
  <c r="J151" i="30"/>
  <c r="K151" i="30" s="1"/>
  <c r="G151" i="30"/>
  <c r="D151" i="30"/>
  <c r="C151" i="30"/>
  <c r="B151" i="30"/>
  <c r="K150" i="30"/>
  <c r="J150" i="30"/>
  <c r="G150" i="30"/>
  <c r="D150" i="30"/>
  <c r="C150" i="30"/>
  <c r="B150" i="30"/>
  <c r="J149" i="30"/>
  <c r="K149" i="30" s="1"/>
  <c r="G149" i="30"/>
  <c r="D149" i="30"/>
  <c r="C149" i="30"/>
  <c r="B149" i="30"/>
  <c r="J148" i="30"/>
  <c r="K148" i="30" s="1"/>
  <c r="G148" i="30"/>
  <c r="D148" i="30"/>
  <c r="C148" i="30"/>
  <c r="B148" i="30"/>
  <c r="J147" i="30"/>
  <c r="K147" i="30" s="1"/>
  <c r="G147" i="30"/>
  <c r="D147" i="30"/>
  <c r="C147" i="30"/>
  <c r="B147" i="30"/>
  <c r="K146" i="30"/>
  <c r="J146" i="30"/>
  <c r="G146" i="30"/>
  <c r="D146" i="30"/>
  <c r="C146" i="30"/>
  <c r="B146" i="30"/>
  <c r="J145" i="30"/>
  <c r="K145" i="30" s="1"/>
  <c r="G145" i="30"/>
  <c r="D145" i="30"/>
  <c r="C145" i="30"/>
  <c r="B145" i="30"/>
  <c r="J144" i="30"/>
  <c r="K144" i="30" s="1"/>
  <c r="G144" i="30"/>
  <c r="D144" i="30"/>
  <c r="C144" i="30"/>
  <c r="B144" i="30"/>
  <c r="J143" i="30"/>
  <c r="K143" i="30" s="1"/>
  <c r="G143" i="30"/>
  <c r="D143" i="30"/>
  <c r="C143" i="30"/>
  <c r="B143" i="30"/>
  <c r="K142" i="30"/>
  <c r="J142" i="30"/>
  <c r="G142" i="30"/>
  <c r="D142" i="30"/>
  <c r="C142" i="30"/>
  <c r="B142" i="30"/>
  <c r="J141" i="30"/>
  <c r="K141" i="30" s="1"/>
  <c r="G141" i="30"/>
  <c r="D141" i="30"/>
  <c r="C141" i="30"/>
  <c r="B141" i="30"/>
  <c r="J140" i="30"/>
  <c r="K140" i="30" s="1"/>
  <c r="G140" i="30"/>
  <c r="D140" i="30"/>
  <c r="C140" i="30"/>
  <c r="B140" i="30"/>
  <c r="J139" i="30"/>
  <c r="K139" i="30" s="1"/>
  <c r="G139" i="30"/>
  <c r="D139" i="30"/>
  <c r="C139" i="30"/>
  <c r="B139" i="30"/>
  <c r="K138" i="30"/>
  <c r="J138" i="30"/>
  <c r="G138" i="30"/>
  <c r="D138" i="30"/>
  <c r="C138" i="30"/>
  <c r="B138" i="30"/>
  <c r="J137" i="30"/>
  <c r="K137" i="30" s="1"/>
  <c r="G137" i="30"/>
  <c r="D137" i="30"/>
  <c r="C137" i="30"/>
  <c r="B137" i="30"/>
  <c r="J136" i="30"/>
  <c r="K136" i="30" s="1"/>
  <c r="G136" i="30"/>
  <c r="D136" i="30"/>
  <c r="C136" i="30"/>
  <c r="B136" i="30"/>
  <c r="J135" i="30"/>
  <c r="K135" i="30" s="1"/>
  <c r="G135" i="30"/>
  <c r="D135" i="30"/>
  <c r="C135" i="30"/>
  <c r="B135" i="30"/>
  <c r="K134" i="30"/>
  <c r="J134" i="30"/>
  <c r="G134" i="30"/>
  <c r="D134" i="30"/>
  <c r="C134" i="30"/>
  <c r="B134" i="30"/>
  <c r="J133" i="30"/>
  <c r="K133" i="30" s="1"/>
  <c r="G133" i="30"/>
  <c r="D133" i="30"/>
  <c r="C133" i="30"/>
  <c r="B133" i="30"/>
  <c r="J132" i="30"/>
  <c r="K132" i="30" s="1"/>
  <c r="G132" i="30"/>
  <c r="D132" i="30"/>
  <c r="C132" i="30"/>
  <c r="B132" i="30"/>
  <c r="J131" i="30"/>
  <c r="K131" i="30" s="1"/>
  <c r="G131" i="30"/>
  <c r="D131" i="30"/>
  <c r="C131" i="30"/>
  <c r="B131" i="30"/>
  <c r="K130" i="30"/>
  <c r="J130" i="30"/>
  <c r="G130" i="30"/>
  <c r="D130" i="30"/>
  <c r="C130" i="30"/>
  <c r="B130" i="30"/>
  <c r="J129" i="30"/>
  <c r="K129" i="30" s="1"/>
  <c r="G129" i="30"/>
  <c r="D129" i="30"/>
  <c r="C129" i="30"/>
  <c r="B129" i="30"/>
  <c r="J128" i="30"/>
  <c r="K128" i="30" s="1"/>
  <c r="G128" i="30"/>
  <c r="D128" i="30"/>
  <c r="C128" i="30"/>
  <c r="B128" i="30"/>
  <c r="J127" i="30"/>
  <c r="K127" i="30" s="1"/>
  <c r="G127" i="30"/>
  <c r="D127" i="30"/>
  <c r="C127" i="30"/>
  <c r="B127" i="30"/>
  <c r="K126" i="30"/>
  <c r="J126" i="30"/>
  <c r="G126" i="30"/>
  <c r="D126" i="30"/>
  <c r="C126" i="30"/>
  <c r="B126" i="30"/>
  <c r="J125" i="30"/>
  <c r="K125" i="30" s="1"/>
  <c r="G125" i="30"/>
  <c r="D125" i="30"/>
  <c r="C125" i="30"/>
  <c r="B125" i="30"/>
  <c r="J124" i="30"/>
  <c r="K124" i="30" s="1"/>
  <c r="G124" i="30"/>
  <c r="D124" i="30"/>
  <c r="C124" i="30"/>
  <c r="B124" i="30"/>
  <c r="J123" i="30"/>
  <c r="K123" i="30" s="1"/>
  <c r="G123" i="30"/>
  <c r="D123" i="30"/>
  <c r="C123" i="30"/>
  <c r="B123" i="30"/>
  <c r="K122" i="30"/>
  <c r="J122" i="30"/>
  <c r="G122" i="30"/>
  <c r="D122" i="30"/>
  <c r="C122" i="30"/>
  <c r="B122" i="30"/>
  <c r="J121" i="30"/>
  <c r="K121" i="30" s="1"/>
  <c r="G121" i="30"/>
  <c r="D121" i="30"/>
  <c r="C121" i="30"/>
  <c r="B121" i="30"/>
  <c r="J120" i="30"/>
  <c r="K120" i="30" s="1"/>
  <c r="G120" i="30"/>
  <c r="D120" i="30"/>
  <c r="C120" i="30"/>
  <c r="B120" i="30"/>
  <c r="J119" i="30"/>
  <c r="K119" i="30" s="1"/>
  <c r="G119" i="30"/>
  <c r="D119" i="30"/>
  <c r="C119" i="30"/>
  <c r="B119" i="30"/>
  <c r="K118" i="30"/>
  <c r="J118" i="30"/>
  <c r="G118" i="30"/>
  <c r="D118" i="30"/>
  <c r="C118" i="30"/>
  <c r="B118" i="30"/>
  <c r="J117" i="30"/>
  <c r="K117" i="30" s="1"/>
  <c r="G117" i="30"/>
  <c r="D117" i="30"/>
  <c r="C117" i="30"/>
  <c r="B117" i="30"/>
  <c r="J116" i="30"/>
  <c r="K116" i="30" s="1"/>
  <c r="G116" i="30"/>
  <c r="D116" i="30"/>
  <c r="C116" i="30"/>
  <c r="B116" i="30"/>
  <c r="J115" i="30"/>
  <c r="K115" i="30" s="1"/>
  <c r="G115" i="30"/>
  <c r="D115" i="30"/>
  <c r="C115" i="30"/>
  <c r="B115" i="30"/>
  <c r="K114" i="30"/>
  <c r="J114" i="30"/>
  <c r="G114" i="30"/>
  <c r="D114" i="30"/>
  <c r="C114" i="30"/>
  <c r="B114" i="30"/>
  <c r="J113" i="30"/>
  <c r="K113" i="30" s="1"/>
  <c r="G113" i="30"/>
  <c r="D113" i="30"/>
  <c r="C113" i="30"/>
  <c r="B113" i="30"/>
  <c r="J112" i="30"/>
  <c r="K112" i="30" s="1"/>
  <c r="G112" i="30"/>
  <c r="D112" i="30"/>
  <c r="C112" i="30"/>
  <c r="B112" i="30"/>
  <c r="J111" i="30"/>
  <c r="K111" i="30" s="1"/>
  <c r="G111" i="30"/>
  <c r="D111" i="30"/>
  <c r="C111" i="30"/>
  <c r="B111" i="30"/>
  <c r="K110" i="30"/>
  <c r="J110" i="30"/>
  <c r="G110" i="30"/>
  <c r="D110" i="30"/>
  <c r="C110" i="30"/>
  <c r="B110" i="30"/>
  <c r="J109" i="30"/>
  <c r="K109" i="30" s="1"/>
  <c r="G109" i="30"/>
  <c r="D109" i="30"/>
  <c r="C109" i="30"/>
  <c r="B109" i="30"/>
  <c r="J108" i="30"/>
  <c r="K108" i="30" s="1"/>
  <c r="G108" i="30"/>
  <c r="D108" i="30"/>
  <c r="C108" i="30"/>
  <c r="B108" i="30"/>
  <c r="J107" i="30"/>
  <c r="K107" i="30" s="1"/>
  <c r="G107" i="30"/>
  <c r="D107" i="30"/>
  <c r="C107" i="30"/>
  <c r="B107" i="30"/>
  <c r="K106" i="30"/>
  <c r="J106" i="30"/>
  <c r="G106" i="30"/>
  <c r="D106" i="30"/>
  <c r="C106" i="30"/>
  <c r="B106" i="30"/>
  <c r="J105" i="30"/>
  <c r="K105" i="30" s="1"/>
  <c r="G105" i="30"/>
  <c r="D105" i="30"/>
  <c r="C105" i="30"/>
  <c r="B105" i="30"/>
  <c r="J104" i="30"/>
  <c r="K104" i="30" s="1"/>
  <c r="G104" i="30"/>
  <c r="D104" i="30"/>
  <c r="C104" i="30"/>
  <c r="B104" i="30"/>
  <c r="J103" i="30"/>
  <c r="K103" i="30" s="1"/>
  <c r="G103" i="30"/>
  <c r="D103" i="30"/>
  <c r="C103" i="30"/>
  <c r="B103" i="30"/>
  <c r="K102" i="30"/>
  <c r="J102" i="30"/>
  <c r="G102" i="30"/>
  <c r="D102" i="30"/>
  <c r="C102" i="30"/>
  <c r="B102" i="30"/>
  <c r="J101" i="30"/>
  <c r="K101" i="30" s="1"/>
  <c r="G101" i="30"/>
  <c r="D101" i="30"/>
  <c r="C101" i="30"/>
  <c r="B101" i="30"/>
  <c r="J100" i="30"/>
  <c r="K100" i="30" s="1"/>
  <c r="G100" i="30"/>
  <c r="D100" i="30"/>
  <c r="C100" i="30"/>
  <c r="B100" i="30"/>
  <c r="J99" i="30"/>
  <c r="K99" i="30" s="1"/>
  <c r="G99" i="30"/>
  <c r="D99" i="30"/>
  <c r="C99" i="30"/>
  <c r="B99" i="30"/>
  <c r="K98" i="30"/>
  <c r="J98" i="30"/>
  <c r="G98" i="30"/>
  <c r="D98" i="30"/>
  <c r="C98" i="30"/>
  <c r="B98" i="30"/>
  <c r="J97" i="30"/>
  <c r="K97" i="30" s="1"/>
  <c r="G97" i="30"/>
  <c r="D97" i="30"/>
  <c r="C97" i="30"/>
  <c r="B97" i="30"/>
  <c r="J96" i="30"/>
  <c r="K96" i="30" s="1"/>
  <c r="G96" i="30"/>
  <c r="D96" i="30"/>
  <c r="C96" i="30"/>
  <c r="B96" i="30"/>
  <c r="J95" i="30"/>
  <c r="K95" i="30" s="1"/>
  <c r="G95" i="30"/>
  <c r="D95" i="30"/>
  <c r="C95" i="30"/>
  <c r="B95" i="30"/>
  <c r="K94" i="30"/>
  <c r="J94" i="30"/>
  <c r="G94" i="30"/>
  <c r="D94" i="30"/>
  <c r="C94" i="30"/>
  <c r="B94" i="30"/>
  <c r="J93" i="30"/>
  <c r="K93" i="30" s="1"/>
  <c r="G93" i="30"/>
  <c r="D93" i="30"/>
  <c r="C93" i="30"/>
  <c r="B93" i="30"/>
  <c r="J92" i="30"/>
  <c r="K92" i="30" s="1"/>
  <c r="G92" i="30"/>
  <c r="D92" i="30"/>
  <c r="C92" i="30"/>
  <c r="B92" i="30"/>
  <c r="J91" i="30"/>
  <c r="K91" i="30" s="1"/>
  <c r="G91" i="30"/>
  <c r="D91" i="30"/>
  <c r="C91" i="30"/>
  <c r="B91" i="30"/>
  <c r="K90" i="30"/>
  <c r="J90" i="30"/>
  <c r="G90" i="30"/>
  <c r="D90" i="30"/>
  <c r="C90" i="30"/>
  <c r="B90" i="30"/>
  <c r="J89" i="30"/>
  <c r="K89" i="30" s="1"/>
  <c r="G89" i="30"/>
  <c r="D89" i="30"/>
  <c r="C89" i="30"/>
  <c r="B89" i="30"/>
  <c r="J88" i="30"/>
  <c r="K88" i="30" s="1"/>
  <c r="G88" i="30"/>
  <c r="D88" i="30"/>
  <c r="C88" i="30"/>
  <c r="B88" i="30"/>
  <c r="J87" i="30"/>
  <c r="K87" i="30" s="1"/>
  <c r="G87" i="30"/>
  <c r="D87" i="30"/>
  <c r="C87" i="30"/>
  <c r="B87" i="30"/>
  <c r="K86" i="30"/>
  <c r="J86" i="30"/>
  <c r="G86" i="30"/>
  <c r="D86" i="30"/>
  <c r="C86" i="30"/>
  <c r="B86" i="30"/>
  <c r="J85" i="30"/>
  <c r="K85" i="30" s="1"/>
  <c r="G85" i="30"/>
  <c r="D85" i="30"/>
  <c r="C85" i="30"/>
  <c r="B85" i="30"/>
  <c r="J84" i="30"/>
  <c r="K84" i="30" s="1"/>
  <c r="G84" i="30"/>
  <c r="D84" i="30"/>
  <c r="C84" i="30"/>
  <c r="B84" i="30"/>
  <c r="J83" i="30"/>
  <c r="K83" i="30" s="1"/>
  <c r="G83" i="30"/>
  <c r="D83" i="30"/>
  <c r="C83" i="30"/>
  <c r="B83" i="30"/>
  <c r="K82" i="30"/>
  <c r="J82" i="30"/>
  <c r="G82" i="30"/>
  <c r="D82" i="30"/>
  <c r="C82" i="30"/>
  <c r="B82" i="30"/>
  <c r="J81" i="30"/>
  <c r="K81" i="30" s="1"/>
  <c r="G81" i="30"/>
  <c r="D81" i="30"/>
  <c r="C81" i="30"/>
  <c r="B81" i="30"/>
  <c r="J80" i="30"/>
  <c r="K80" i="30" s="1"/>
  <c r="G80" i="30"/>
  <c r="D80" i="30"/>
  <c r="C80" i="30"/>
  <c r="B80" i="30"/>
  <c r="J79" i="30"/>
  <c r="K79" i="30" s="1"/>
  <c r="G79" i="30"/>
  <c r="D79" i="30"/>
  <c r="C79" i="30"/>
  <c r="B79" i="30"/>
  <c r="K78" i="30"/>
  <c r="J78" i="30"/>
  <c r="G78" i="30"/>
  <c r="D78" i="30"/>
  <c r="C78" i="30"/>
  <c r="B78" i="30"/>
  <c r="J77" i="30"/>
  <c r="K77" i="30" s="1"/>
  <c r="G77" i="30"/>
  <c r="D77" i="30"/>
  <c r="C77" i="30"/>
  <c r="B77" i="30"/>
  <c r="J76" i="30"/>
  <c r="K76" i="30" s="1"/>
  <c r="G76" i="30"/>
  <c r="D76" i="30"/>
  <c r="C76" i="30"/>
  <c r="B76" i="30"/>
  <c r="J75" i="30"/>
  <c r="K75" i="30" s="1"/>
  <c r="G75" i="30"/>
  <c r="D75" i="30"/>
  <c r="C75" i="30"/>
  <c r="B75" i="30"/>
  <c r="K74" i="30"/>
  <c r="J74" i="30"/>
  <c r="G74" i="30"/>
  <c r="D74" i="30"/>
  <c r="C74" i="30"/>
  <c r="B74" i="30"/>
  <c r="J73" i="30"/>
  <c r="K73" i="30" s="1"/>
  <c r="G73" i="30"/>
  <c r="D73" i="30"/>
  <c r="C73" i="30"/>
  <c r="B73" i="30"/>
  <c r="J72" i="30"/>
  <c r="K72" i="30" s="1"/>
  <c r="G72" i="30"/>
  <c r="D72" i="30"/>
  <c r="C72" i="30"/>
  <c r="B72" i="30"/>
  <c r="J71" i="30"/>
  <c r="K71" i="30" s="1"/>
  <c r="G71" i="30"/>
  <c r="D71" i="30"/>
  <c r="C71" i="30"/>
  <c r="B71" i="30"/>
  <c r="K70" i="30"/>
  <c r="J70" i="30"/>
  <c r="G70" i="30"/>
  <c r="D70" i="30"/>
  <c r="C70" i="30"/>
  <c r="B70" i="30"/>
  <c r="J69" i="30"/>
  <c r="K69" i="30" s="1"/>
  <c r="G69" i="30"/>
  <c r="D69" i="30"/>
  <c r="C69" i="30"/>
  <c r="B69" i="30"/>
  <c r="J68" i="30"/>
  <c r="K68" i="30" s="1"/>
  <c r="G68" i="30"/>
  <c r="D68" i="30"/>
  <c r="C68" i="30"/>
  <c r="B68" i="30"/>
  <c r="J67" i="30"/>
  <c r="K67" i="30" s="1"/>
  <c r="G67" i="30"/>
  <c r="D67" i="30"/>
  <c r="C67" i="30"/>
  <c r="B67" i="30"/>
  <c r="K66" i="30"/>
  <c r="J66" i="30"/>
  <c r="G66" i="30"/>
  <c r="D66" i="30"/>
  <c r="C66" i="30"/>
  <c r="B66" i="30"/>
  <c r="J65" i="30"/>
  <c r="K65" i="30" s="1"/>
  <c r="G65" i="30"/>
  <c r="D65" i="30"/>
  <c r="C65" i="30"/>
  <c r="B65" i="30"/>
  <c r="J64" i="30"/>
  <c r="K64" i="30" s="1"/>
  <c r="G64" i="30"/>
  <c r="D64" i="30"/>
  <c r="C64" i="30"/>
  <c r="B64" i="30"/>
  <c r="J63" i="30"/>
  <c r="K63" i="30" s="1"/>
  <c r="G63" i="30"/>
  <c r="D63" i="30"/>
  <c r="C63" i="30"/>
  <c r="B63" i="30"/>
  <c r="K62" i="30"/>
  <c r="J62" i="30"/>
  <c r="G62" i="30"/>
  <c r="D62" i="30"/>
  <c r="C62" i="30"/>
  <c r="B62" i="30"/>
  <c r="J61" i="30"/>
  <c r="K61" i="30" s="1"/>
  <c r="G61" i="30"/>
  <c r="D61" i="30"/>
  <c r="C61" i="30"/>
  <c r="B61" i="30"/>
  <c r="J60" i="30"/>
  <c r="K60" i="30" s="1"/>
  <c r="G60" i="30"/>
  <c r="D60" i="30"/>
  <c r="C60" i="30"/>
  <c r="B60" i="30"/>
  <c r="J59" i="30"/>
  <c r="K59" i="30" s="1"/>
  <c r="G59" i="30"/>
  <c r="D59" i="30"/>
  <c r="C59" i="30"/>
  <c r="B59" i="30"/>
  <c r="K58" i="30"/>
  <c r="J58" i="30"/>
  <c r="G58" i="30"/>
  <c r="D58" i="30"/>
  <c r="C58" i="30"/>
  <c r="B58" i="30"/>
  <c r="J57" i="30"/>
  <c r="K57" i="30" s="1"/>
  <c r="G57" i="30"/>
  <c r="D57" i="30"/>
  <c r="C57" i="30"/>
  <c r="B57" i="30"/>
  <c r="J56" i="30"/>
  <c r="K56" i="30" s="1"/>
  <c r="G56" i="30"/>
  <c r="D56" i="30"/>
  <c r="C56" i="30"/>
  <c r="B56" i="30"/>
  <c r="J55" i="30"/>
  <c r="K55" i="30" s="1"/>
  <c r="G55" i="30"/>
  <c r="D55" i="30"/>
  <c r="C55" i="30"/>
  <c r="B55" i="30"/>
  <c r="K54" i="30"/>
  <c r="J54" i="30"/>
  <c r="G54" i="30"/>
  <c r="D54" i="30"/>
  <c r="C54" i="30"/>
  <c r="B54" i="30"/>
  <c r="J53" i="30"/>
  <c r="K53" i="30" s="1"/>
  <c r="G53" i="30"/>
  <c r="D53" i="30"/>
  <c r="C53" i="30"/>
  <c r="B53" i="30"/>
  <c r="J52" i="30"/>
  <c r="K52" i="30" s="1"/>
  <c r="G52" i="30"/>
  <c r="D52" i="30"/>
  <c r="C52" i="30"/>
  <c r="B52" i="30"/>
  <c r="J51" i="30"/>
  <c r="K51" i="30" s="1"/>
  <c r="G51" i="30"/>
  <c r="D51" i="30"/>
  <c r="C51" i="30"/>
  <c r="B51" i="30"/>
  <c r="K50" i="30"/>
  <c r="J50" i="30"/>
  <c r="G50" i="30"/>
  <c r="D50" i="30"/>
  <c r="C50" i="30"/>
  <c r="B50" i="30"/>
  <c r="J49" i="30"/>
  <c r="K49" i="30" s="1"/>
  <c r="G49" i="30"/>
  <c r="D49" i="30"/>
  <c r="C49" i="30"/>
  <c r="B49" i="30"/>
  <c r="J48" i="30"/>
  <c r="K48" i="30" s="1"/>
  <c r="G48" i="30"/>
  <c r="D48" i="30"/>
  <c r="C48" i="30"/>
  <c r="B48" i="30"/>
  <c r="J47" i="30"/>
  <c r="K47" i="30" s="1"/>
  <c r="G47" i="30"/>
  <c r="D47" i="30"/>
  <c r="C47" i="30"/>
  <c r="B47" i="30"/>
  <c r="K46" i="30"/>
  <c r="J46" i="30"/>
  <c r="G46" i="30"/>
  <c r="D46" i="30"/>
  <c r="C46" i="30"/>
  <c r="B46" i="30"/>
  <c r="J45" i="30"/>
  <c r="K45" i="30" s="1"/>
  <c r="G45" i="30"/>
  <c r="D45" i="30"/>
  <c r="C45" i="30"/>
  <c r="B45" i="30"/>
  <c r="J44" i="30"/>
  <c r="K44" i="30" s="1"/>
  <c r="G44" i="30"/>
  <c r="D44" i="30"/>
  <c r="C44" i="30"/>
  <c r="B44" i="30"/>
  <c r="J43" i="30"/>
  <c r="K43" i="30" s="1"/>
  <c r="G43" i="30"/>
  <c r="D43" i="30"/>
  <c r="C43" i="30"/>
  <c r="B43" i="30"/>
  <c r="K42" i="30"/>
  <c r="J42" i="30"/>
  <c r="G42" i="30"/>
  <c r="D42" i="30"/>
  <c r="C42" i="30"/>
  <c r="B42" i="30"/>
  <c r="J41" i="30"/>
  <c r="K41" i="30" s="1"/>
  <c r="G41" i="30"/>
  <c r="D41" i="30"/>
  <c r="C41" i="30"/>
  <c r="B41" i="30"/>
  <c r="J40" i="30"/>
  <c r="K40" i="30" s="1"/>
  <c r="G40" i="30"/>
  <c r="D40" i="30"/>
  <c r="C40" i="30"/>
  <c r="B40" i="30"/>
  <c r="J39" i="30"/>
  <c r="K39" i="30" s="1"/>
  <c r="G39" i="30"/>
  <c r="D39" i="30"/>
  <c r="C39" i="30"/>
  <c r="B39" i="30"/>
  <c r="K38" i="30"/>
  <c r="J38" i="30"/>
  <c r="G38" i="30"/>
  <c r="D38" i="30"/>
  <c r="C38" i="30"/>
  <c r="B38" i="30"/>
  <c r="J37" i="30"/>
  <c r="K37" i="30" s="1"/>
  <c r="G37" i="30"/>
  <c r="D37" i="30"/>
  <c r="C37" i="30"/>
  <c r="B37" i="30"/>
  <c r="J36" i="30"/>
  <c r="K36" i="30" s="1"/>
  <c r="G36" i="30"/>
  <c r="D36" i="30"/>
  <c r="C36" i="30"/>
  <c r="B36" i="30"/>
  <c r="K35" i="30"/>
  <c r="J35" i="30"/>
  <c r="G35" i="30"/>
  <c r="D35" i="30"/>
  <c r="C35" i="30"/>
  <c r="B35" i="30"/>
  <c r="K34" i="30"/>
  <c r="J34" i="30"/>
  <c r="G34" i="30"/>
  <c r="D34" i="30"/>
  <c r="C34" i="30"/>
  <c r="B34" i="30"/>
  <c r="J33" i="30"/>
  <c r="K33" i="30" s="1"/>
  <c r="G33" i="30"/>
  <c r="D33" i="30"/>
  <c r="C33" i="30"/>
  <c r="B33" i="30"/>
  <c r="J32" i="30"/>
  <c r="K32" i="30" s="1"/>
  <c r="G32" i="30"/>
  <c r="D32" i="30"/>
  <c r="C32" i="30"/>
  <c r="B32" i="30"/>
  <c r="J31" i="30"/>
  <c r="K31" i="30" s="1"/>
  <c r="G31" i="30"/>
  <c r="D31" i="30"/>
  <c r="C31" i="30"/>
  <c r="B31" i="30"/>
  <c r="K30" i="30"/>
  <c r="J30" i="30"/>
  <c r="G30" i="30"/>
  <c r="D30" i="30"/>
  <c r="C30" i="30"/>
  <c r="B30" i="30"/>
  <c r="J29" i="30"/>
  <c r="K29" i="30" s="1"/>
  <c r="G29" i="30"/>
  <c r="D29" i="30"/>
  <c r="C29" i="30"/>
  <c r="B29" i="30"/>
  <c r="J28" i="30"/>
  <c r="K28" i="30" s="1"/>
  <c r="G28" i="30"/>
  <c r="D28" i="30"/>
  <c r="C28" i="30"/>
  <c r="B28" i="30"/>
  <c r="J27" i="30"/>
  <c r="K27" i="30" s="1"/>
  <c r="G27" i="30"/>
  <c r="D27" i="30"/>
  <c r="C27" i="30"/>
  <c r="B27" i="30"/>
  <c r="K26" i="30"/>
  <c r="J26" i="30"/>
  <c r="G26" i="30"/>
  <c r="D26" i="30"/>
  <c r="C26" i="30"/>
  <c r="B26" i="30"/>
  <c r="J25" i="30"/>
  <c r="K25" i="30" s="1"/>
  <c r="G25" i="30"/>
  <c r="D25" i="30"/>
  <c r="C25" i="30"/>
  <c r="B25" i="30"/>
  <c r="J24" i="30"/>
  <c r="K24" i="30" s="1"/>
  <c r="G24" i="30"/>
  <c r="D24" i="30"/>
  <c r="C24" i="30"/>
  <c r="B24" i="30"/>
  <c r="J23" i="30"/>
  <c r="K23" i="30" s="1"/>
  <c r="G23" i="30"/>
  <c r="D23" i="30"/>
  <c r="C23" i="30"/>
  <c r="B23" i="30"/>
  <c r="K22" i="30"/>
  <c r="J22" i="30"/>
  <c r="G22" i="30"/>
  <c r="D22" i="30"/>
  <c r="C22" i="30"/>
  <c r="B22" i="30"/>
  <c r="J21" i="30"/>
  <c r="K21" i="30" s="1"/>
  <c r="G21" i="30"/>
  <c r="D21" i="30"/>
  <c r="C21" i="30"/>
  <c r="B21" i="30"/>
  <c r="K20" i="30"/>
  <c r="J20" i="30"/>
  <c r="G20" i="30"/>
  <c r="D20" i="30"/>
  <c r="C20" i="30"/>
  <c r="B20" i="30"/>
  <c r="K19" i="30"/>
  <c r="J19" i="30"/>
  <c r="G19" i="30"/>
  <c r="D19" i="30"/>
  <c r="C19" i="30"/>
  <c r="B19" i="30"/>
  <c r="K18" i="30"/>
  <c r="J18" i="30"/>
  <c r="G18" i="30"/>
  <c r="D18" i="30"/>
  <c r="C18" i="30"/>
  <c r="B18" i="30"/>
  <c r="J17" i="30"/>
  <c r="K17" i="30" s="1"/>
  <c r="G17" i="30"/>
  <c r="D17" i="30"/>
  <c r="C17" i="30"/>
  <c r="B17" i="30"/>
  <c r="J16" i="30"/>
  <c r="K16" i="30" s="1"/>
  <c r="G16" i="30"/>
  <c r="D16" i="30"/>
  <c r="C16" i="30"/>
  <c r="B16" i="30"/>
  <c r="K15" i="30"/>
  <c r="J15" i="30"/>
  <c r="G15" i="30"/>
  <c r="D15" i="30"/>
  <c r="C15" i="30"/>
  <c r="B15" i="30"/>
  <c r="K14" i="30"/>
  <c r="J14" i="30"/>
  <c r="G14" i="30"/>
  <c r="D14" i="30"/>
  <c r="C14" i="30"/>
  <c r="B14" i="30"/>
  <c r="J13" i="30"/>
  <c r="K13" i="30" s="1"/>
  <c r="G13" i="30"/>
  <c r="D13" i="30"/>
  <c r="C13" i="30"/>
  <c r="B13" i="30"/>
  <c r="K12" i="30"/>
  <c r="J12" i="30"/>
  <c r="G12" i="30"/>
  <c r="D12" i="30"/>
  <c r="C12" i="30"/>
  <c r="B12" i="30"/>
  <c r="J11" i="30"/>
  <c r="K11" i="30" s="1"/>
  <c r="G11" i="30"/>
  <c r="D11" i="30"/>
  <c r="C11" i="30"/>
  <c r="B11" i="30"/>
  <c r="K10" i="30"/>
  <c r="J10" i="30"/>
  <c r="G10" i="30"/>
  <c r="D10" i="30"/>
  <c r="C10" i="30"/>
  <c r="B10" i="30"/>
  <c r="J9" i="30"/>
  <c r="K9" i="30" s="1"/>
  <c r="G9" i="30"/>
  <c r="D9" i="30"/>
  <c r="C9" i="30"/>
  <c r="B9" i="30"/>
  <c r="K4" i="30"/>
  <c r="G4" i="30"/>
  <c r="D4" i="30"/>
  <c r="A4" i="30"/>
  <c r="J208" i="29"/>
  <c r="I208" i="29"/>
  <c r="F208" i="29"/>
  <c r="D208" i="29"/>
  <c r="C208" i="29"/>
  <c r="B208" i="29"/>
  <c r="I207" i="29"/>
  <c r="J207" i="29" s="1"/>
  <c r="F207" i="29"/>
  <c r="D207" i="29"/>
  <c r="C207" i="29"/>
  <c r="B207" i="29"/>
  <c r="J206" i="29"/>
  <c r="I206" i="29"/>
  <c r="F206" i="29"/>
  <c r="D206" i="29"/>
  <c r="C206" i="29"/>
  <c r="B206" i="29"/>
  <c r="I205" i="29"/>
  <c r="J205" i="29" s="1"/>
  <c r="F205" i="29"/>
  <c r="D205" i="29"/>
  <c r="C205" i="29"/>
  <c r="B205" i="29"/>
  <c r="J204" i="29"/>
  <c r="I204" i="29"/>
  <c r="F204" i="29"/>
  <c r="D204" i="29"/>
  <c r="C204" i="29"/>
  <c r="B204" i="29"/>
  <c r="I203" i="29"/>
  <c r="J203" i="29" s="1"/>
  <c r="F203" i="29"/>
  <c r="D203" i="29"/>
  <c r="C203" i="29"/>
  <c r="B203" i="29"/>
  <c r="I202" i="29"/>
  <c r="J202" i="29" s="1"/>
  <c r="F202" i="29"/>
  <c r="D202" i="29"/>
  <c r="C202" i="29"/>
  <c r="B202" i="29"/>
  <c r="I201" i="29"/>
  <c r="J201" i="29" s="1"/>
  <c r="F201" i="29"/>
  <c r="D201" i="29"/>
  <c r="C201" i="29"/>
  <c r="B201" i="29"/>
  <c r="J200" i="29"/>
  <c r="I200" i="29"/>
  <c r="F200" i="29"/>
  <c r="D200" i="29"/>
  <c r="C200" i="29"/>
  <c r="B200" i="29"/>
  <c r="I199" i="29"/>
  <c r="J199" i="29" s="1"/>
  <c r="F199" i="29"/>
  <c r="D199" i="29"/>
  <c r="C199" i="29"/>
  <c r="B199" i="29"/>
  <c r="I198" i="29"/>
  <c r="J198" i="29" s="1"/>
  <c r="F198" i="29"/>
  <c r="D198" i="29"/>
  <c r="C198" i="29"/>
  <c r="B198" i="29"/>
  <c r="I197" i="29"/>
  <c r="J197" i="29" s="1"/>
  <c r="F197" i="29"/>
  <c r="D197" i="29"/>
  <c r="C197" i="29"/>
  <c r="B197" i="29"/>
  <c r="J196" i="29"/>
  <c r="I196" i="29"/>
  <c r="F196" i="29"/>
  <c r="D196" i="29"/>
  <c r="C196" i="29"/>
  <c r="B196" i="29"/>
  <c r="I195" i="29"/>
  <c r="J195" i="29" s="1"/>
  <c r="F195" i="29"/>
  <c r="D195" i="29"/>
  <c r="C195" i="29"/>
  <c r="B195" i="29"/>
  <c r="I194" i="29"/>
  <c r="J194" i="29" s="1"/>
  <c r="F194" i="29"/>
  <c r="D194" i="29"/>
  <c r="C194" i="29"/>
  <c r="B194" i="29"/>
  <c r="I193" i="29"/>
  <c r="J193" i="29" s="1"/>
  <c r="F193" i="29"/>
  <c r="D193" i="29"/>
  <c r="C193" i="29"/>
  <c r="B193" i="29"/>
  <c r="J192" i="29"/>
  <c r="I192" i="29"/>
  <c r="F192" i="29"/>
  <c r="D192" i="29"/>
  <c r="C192" i="29"/>
  <c r="B192" i="29"/>
  <c r="I191" i="29"/>
  <c r="J191" i="29" s="1"/>
  <c r="F191" i="29"/>
  <c r="D191" i="29"/>
  <c r="C191" i="29"/>
  <c r="B191" i="29"/>
  <c r="J190" i="29"/>
  <c r="I190" i="29"/>
  <c r="F190" i="29"/>
  <c r="D190" i="29"/>
  <c r="C190" i="29"/>
  <c r="B190" i="29"/>
  <c r="I189" i="29"/>
  <c r="J189" i="29" s="1"/>
  <c r="F189" i="29"/>
  <c r="D189" i="29"/>
  <c r="C189" i="29"/>
  <c r="B189" i="29"/>
  <c r="J188" i="29"/>
  <c r="I188" i="29"/>
  <c r="F188" i="29"/>
  <c r="D188" i="29"/>
  <c r="C188" i="29"/>
  <c r="B188" i="29"/>
  <c r="I187" i="29"/>
  <c r="J187" i="29" s="1"/>
  <c r="F187" i="29"/>
  <c r="D187" i="29"/>
  <c r="C187" i="29"/>
  <c r="B187" i="29"/>
  <c r="I186" i="29"/>
  <c r="J186" i="29" s="1"/>
  <c r="F186" i="29"/>
  <c r="D186" i="29"/>
  <c r="C186" i="29"/>
  <c r="B186" i="29"/>
  <c r="I185" i="29"/>
  <c r="J185" i="29" s="1"/>
  <c r="F185" i="29"/>
  <c r="D185" i="29"/>
  <c r="C185" i="29"/>
  <c r="B185" i="29"/>
  <c r="J184" i="29"/>
  <c r="I184" i="29"/>
  <c r="F184" i="29"/>
  <c r="D184" i="29"/>
  <c r="C184" i="29"/>
  <c r="B184" i="29"/>
  <c r="I183" i="29"/>
  <c r="J183" i="29" s="1"/>
  <c r="F183" i="29"/>
  <c r="D183" i="29"/>
  <c r="C183" i="29"/>
  <c r="B183" i="29"/>
  <c r="I182" i="29"/>
  <c r="J182" i="29" s="1"/>
  <c r="F182" i="29"/>
  <c r="D182" i="29"/>
  <c r="C182" i="29"/>
  <c r="B182" i="29"/>
  <c r="I181" i="29"/>
  <c r="J181" i="29" s="1"/>
  <c r="F181" i="29"/>
  <c r="D181" i="29"/>
  <c r="C181" i="29"/>
  <c r="B181" i="29"/>
  <c r="J180" i="29"/>
  <c r="I180" i="29"/>
  <c r="F180" i="29"/>
  <c r="D180" i="29"/>
  <c r="C180" i="29"/>
  <c r="B180" i="29"/>
  <c r="I179" i="29"/>
  <c r="J179" i="29" s="1"/>
  <c r="F179" i="29"/>
  <c r="D179" i="29"/>
  <c r="C179" i="29"/>
  <c r="B179" i="29"/>
  <c r="I178" i="29"/>
  <c r="J178" i="29" s="1"/>
  <c r="F178" i="29"/>
  <c r="D178" i="29"/>
  <c r="C178" i="29"/>
  <c r="B178" i="29"/>
  <c r="I177" i="29"/>
  <c r="J177" i="29" s="1"/>
  <c r="F177" i="29"/>
  <c r="D177" i="29"/>
  <c r="C177" i="29"/>
  <c r="B177" i="29"/>
  <c r="J176" i="29"/>
  <c r="I176" i="29"/>
  <c r="F176" i="29"/>
  <c r="D176" i="29"/>
  <c r="C176" i="29"/>
  <c r="B176" i="29"/>
  <c r="I175" i="29"/>
  <c r="J175" i="29" s="1"/>
  <c r="F175" i="29"/>
  <c r="D175" i="29"/>
  <c r="C175" i="29"/>
  <c r="B175" i="29"/>
  <c r="J174" i="29"/>
  <c r="I174" i="29"/>
  <c r="F174" i="29"/>
  <c r="D174" i="29"/>
  <c r="C174" i="29"/>
  <c r="B174" i="29"/>
  <c r="I173" i="29"/>
  <c r="J173" i="29" s="1"/>
  <c r="F173" i="29"/>
  <c r="D173" i="29"/>
  <c r="C173" i="29"/>
  <c r="B173" i="29"/>
  <c r="J172" i="29"/>
  <c r="I172" i="29"/>
  <c r="F172" i="29"/>
  <c r="D172" i="29"/>
  <c r="C172" i="29"/>
  <c r="B172" i="29"/>
  <c r="I171" i="29"/>
  <c r="J171" i="29" s="1"/>
  <c r="F171" i="29"/>
  <c r="D171" i="29"/>
  <c r="C171" i="29"/>
  <c r="B171" i="29"/>
  <c r="I170" i="29"/>
  <c r="J170" i="29" s="1"/>
  <c r="F170" i="29"/>
  <c r="D170" i="29"/>
  <c r="C170" i="29"/>
  <c r="B170" i="29"/>
  <c r="I169" i="29"/>
  <c r="J169" i="29" s="1"/>
  <c r="F169" i="29"/>
  <c r="D169" i="29"/>
  <c r="C169" i="29"/>
  <c r="B169" i="29"/>
  <c r="J168" i="29"/>
  <c r="I168" i="29"/>
  <c r="F168" i="29"/>
  <c r="D168" i="29"/>
  <c r="C168" i="29"/>
  <c r="B168" i="29"/>
  <c r="I167" i="29"/>
  <c r="J167" i="29" s="1"/>
  <c r="F167" i="29"/>
  <c r="D167" i="29"/>
  <c r="C167" i="29"/>
  <c r="B167" i="29"/>
  <c r="I166" i="29"/>
  <c r="J166" i="29" s="1"/>
  <c r="F166" i="29"/>
  <c r="D166" i="29"/>
  <c r="C166" i="29"/>
  <c r="B166" i="29"/>
  <c r="I165" i="29"/>
  <c r="J165" i="29" s="1"/>
  <c r="F165" i="29"/>
  <c r="D165" i="29"/>
  <c r="C165" i="29"/>
  <c r="B165" i="29"/>
  <c r="J164" i="29"/>
  <c r="I164" i="29"/>
  <c r="F164" i="29"/>
  <c r="D164" i="29"/>
  <c r="C164" i="29"/>
  <c r="B164" i="29"/>
  <c r="I163" i="29"/>
  <c r="J163" i="29" s="1"/>
  <c r="F163" i="29"/>
  <c r="D163" i="29"/>
  <c r="C163" i="29"/>
  <c r="B163" i="29"/>
  <c r="I162" i="29"/>
  <c r="J162" i="29" s="1"/>
  <c r="F162" i="29"/>
  <c r="D162" i="29"/>
  <c r="C162" i="29"/>
  <c r="B162" i="29"/>
  <c r="I161" i="29"/>
  <c r="J161" i="29" s="1"/>
  <c r="F161" i="29"/>
  <c r="D161" i="29"/>
  <c r="C161" i="29"/>
  <c r="B161" i="29"/>
  <c r="J160" i="29"/>
  <c r="I160" i="29"/>
  <c r="F160" i="29"/>
  <c r="D160" i="29"/>
  <c r="C160" i="29"/>
  <c r="B160" i="29"/>
  <c r="I159" i="29"/>
  <c r="J159" i="29" s="1"/>
  <c r="F159" i="29"/>
  <c r="D159" i="29"/>
  <c r="C159" i="29"/>
  <c r="B159" i="29"/>
  <c r="J158" i="29"/>
  <c r="I158" i="29"/>
  <c r="F158" i="29"/>
  <c r="D158" i="29"/>
  <c r="C158" i="29"/>
  <c r="B158" i="29"/>
  <c r="I157" i="29"/>
  <c r="J157" i="29" s="1"/>
  <c r="F157" i="29"/>
  <c r="D157" i="29"/>
  <c r="C157" i="29"/>
  <c r="B157" i="29"/>
  <c r="J156" i="29"/>
  <c r="I156" i="29"/>
  <c r="F156" i="29"/>
  <c r="D156" i="29"/>
  <c r="C156" i="29"/>
  <c r="B156" i="29"/>
  <c r="I155" i="29"/>
  <c r="J155" i="29" s="1"/>
  <c r="F155" i="29"/>
  <c r="D155" i="29"/>
  <c r="C155" i="29"/>
  <c r="B155" i="29"/>
  <c r="I154" i="29"/>
  <c r="J154" i="29" s="1"/>
  <c r="F154" i="29"/>
  <c r="D154" i="29"/>
  <c r="C154" i="29"/>
  <c r="B154" i="29"/>
  <c r="I153" i="29"/>
  <c r="J153" i="29" s="1"/>
  <c r="F153" i="29"/>
  <c r="D153" i="29"/>
  <c r="C153" i="29"/>
  <c r="B153" i="29"/>
  <c r="J152" i="29"/>
  <c r="I152" i="29"/>
  <c r="F152" i="29"/>
  <c r="D152" i="29"/>
  <c r="C152" i="29"/>
  <c r="B152" i="29"/>
  <c r="I151" i="29"/>
  <c r="J151" i="29" s="1"/>
  <c r="F151" i="29"/>
  <c r="D151" i="29"/>
  <c r="C151" i="29"/>
  <c r="B151" i="29"/>
  <c r="I150" i="29"/>
  <c r="J150" i="29" s="1"/>
  <c r="F150" i="29"/>
  <c r="D150" i="29"/>
  <c r="C150" i="29"/>
  <c r="B150" i="29"/>
  <c r="I149" i="29"/>
  <c r="J149" i="29" s="1"/>
  <c r="F149" i="29"/>
  <c r="D149" i="29"/>
  <c r="C149" i="29"/>
  <c r="B149" i="29"/>
  <c r="J148" i="29"/>
  <c r="I148" i="29"/>
  <c r="F148" i="29"/>
  <c r="D148" i="29"/>
  <c r="C148" i="29"/>
  <c r="B148" i="29"/>
  <c r="I147" i="29"/>
  <c r="J147" i="29" s="1"/>
  <c r="F147" i="29"/>
  <c r="D147" i="29"/>
  <c r="C147" i="29"/>
  <c r="B147" i="29"/>
  <c r="I146" i="29"/>
  <c r="J146" i="29" s="1"/>
  <c r="F146" i="29"/>
  <c r="D146" i="29"/>
  <c r="C146" i="29"/>
  <c r="B146" i="29"/>
  <c r="I145" i="29"/>
  <c r="J145" i="29" s="1"/>
  <c r="F145" i="29"/>
  <c r="D145" i="29"/>
  <c r="C145" i="29"/>
  <c r="B145" i="29"/>
  <c r="J144" i="29"/>
  <c r="I144" i="29"/>
  <c r="F144" i="29"/>
  <c r="D144" i="29"/>
  <c r="C144" i="29"/>
  <c r="B144" i="29"/>
  <c r="I143" i="29"/>
  <c r="J143" i="29" s="1"/>
  <c r="F143" i="29"/>
  <c r="D143" i="29"/>
  <c r="C143" i="29"/>
  <c r="B143" i="29"/>
  <c r="J142" i="29"/>
  <c r="I142" i="29"/>
  <c r="F142" i="29"/>
  <c r="D142" i="29"/>
  <c r="C142" i="29"/>
  <c r="B142" i="29"/>
  <c r="I141" i="29"/>
  <c r="J141" i="29" s="1"/>
  <c r="F141" i="29"/>
  <c r="D141" i="29"/>
  <c r="C141" i="29"/>
  <c r="B141" i="29"/>
  <c r="I140" i="29"/>
  <c r="J140" i="29" s="1"/>
  <c r="F140" i="29"/>
  <c r="D140" i="29"/>
  <c r="C140" i="29"/>
  <c r="B140" i="29"/>
  <c r="I139" i="29"/>
  <c r="J139" i="29" s="1"/>
  <c r="F139" i="29"/>
  <c r="D139" i="29"/>
  <c r="C139" i="29"/>
  <c r="B139" i="29"/>
  <c r="J138" i="29"/>
  <c r="I138" i="29"/>
  <c r="F138" i="29"/>
  <c r="D138" i="29"/>
  <c r="C138" i="29"/>
  <c r="B138" i="29"/>
  <c r="I137" i="29"/>
  <c r="J137" i="29" s="1"/>
  <c r="F137" i="29"/>
  <c r="D137" i="29"/>
  <c r="C137" i="29"/>
  <c r="B137" i="29"/>
  <c r="I136" i="29"/>
  <c r="J136" i="29" s="1"/>
  <c r="F136" i="29"/>
  <c r="D136" i="29"/>
  <c r="C136" i="29"/>
  <c r="B136" i="29"/>
  <c r="I135" i="29"/>
  <c r="J135" i="29" s="1"/>
  <c r="F135" i="29"/>
  <c r="D135" i="29"/>
  <c r="C135" i="29"/>
  <c r="B135" i="29"/>
  <c r="I134" i="29"/>
  <c r="J134" i="29" s="1"/>
  <c r="F134" i="29"/>
  <c r="D134" i="29"/>
  <c r="C134" i="29"/>
  <c r="B134" i="29"/>
  <c r="I133" i="29"/>
  <c r="J133" i="29" s="1"/>
  <c r="F133" i="29"/>
  <c r="D133" i="29"/>
  <c r="C133" i="29"/>
  <c r="B133" i="29"/>
  <c r="I132" i="29"/>
  <c r="J132" i="29" s="1"/>
  <c r="F132" i="29"/>
  <c r="D132" i="29"/>
  <c r="C132" i="29"/>
  <c r="B132" i="29"/>
  <c r="I131" i="29"/>
  <c r="J131" i="29" s="1"/>
  <c r="F131" i="29"/>
  <c r="D131" i="29"/>
  <c r="C131" i="29"/>
  <c r="B131" i="29"/>
  <c r="I130" i="29"/>
  <c r="J130" i="29" s="1"/>
  <c r="F130" i="29"/>
  <c r="D130" i="29"/>
  <c r="C130" i="29"/>
  <c r="B130" i="29"/>
  <c r="I129" i="29"/>
  <c r="J129" i="29" s="1"/>
  <c r="F129" i="29"/>
  <c r="D129" i="29"/>
  <c r="C129" i="29"/>
  <c r="B129" i="29"/>
  <c r="I128" i="29"/>
  <c r="J128" i="29" s="1"/>
  <c r="F128" i="29"/>
  <c r="D128" i="29"/>
  <c r="C128" i="29"/>
  <c r="B128" i="29"/>
  <c r="I127" i="29"/>
  <c r="J127" i="29" s="1"/>
  <c r="F127" i="29"/>
  <c r="D127" i="29"/>
  <c r="C127" i="29"/>
  <c r="B127" i="29"/>
  <c r="I126" i="29"/>
  <c r="J126" i="29" s="1"/>
  <c r="F126" i="29"/>
  <c r="D126" i="29"/>
  <c r="C126" i="29"/>
  <c r="B126" i="29"/>
  <c r="I125" i="29"/>
  <c r="J125" i="29" s="1"/>
  <c r="F125" i="29"/>
  <c r="D125" i="29"/>
  <c r="C125" i="29"/>
  <c r="B125" i="29"/>
  <c r="I124" i="29"/>
  <c r="J124" i="29" s="1"/>
  <c r="F124" i="29"/>
  <c r="D124" i="29"/>
  <c r="C124" i="29"/>
  <c r="B124" i="29"/>
  <c r="I123" i="29"/>
  <c r="J123" i="29" s="1"/>
  <c r="F123" i="29"/>
  <c r="D123" i="29"/>
  <c r="C123" i="29"/>
  <c r="B123" i="29"/>
  <c r="J122" i="29"/>
  <c r="I122" i="29"/>
  <c r="F122" i="29"/>
  <c r="D122" i="29"/>
  <c r="C122" i="29"/>
  <c r="B122" i="29"/>
  <c r="I121" i="29"/>
  <c r="J121" i="29" s="1"/>
  <c r="F121" i="29"/>
  <c r="D121" i="29"/>
  <c r="C121" i="29"/>
  <c r="B121" i="29"/>
  <c r="I120" i="29"/>
  <c r="J120" i="29" s="1"/>
  <c r="F120" i="29"/>
  <c r="D120" i="29"/>
  <c r="C120" i="29"/>
  <c r="B120" i="29"/>
  <c r="I119" i="29"/>
  <c r="J119" i="29" s="1"/>
  <c r="F119" i="29"/>
  <c r="D119" i="29"/>
  <c r="C119" i="29"/>
  <c r="B119" i="29"/>
  <c r="I118" i="29"/>
  <c r="J118" i="29" s="1"/>
  <c r="F118" i="29"/>
  <c r="D118" i="29"/>
  <c r="C118" i="29"/>
  <c r="B118" i="29"/>
  <c r="I117" i="29"/>
  <c r="J117" i="29" s="1"/>
  <c r="F117" i="29"/>
  <c r="D117" i="29"/>
  <c r="C117" i="29"/>
  <c r="B117" i="29"/>
  <c r="I116" i="29"/>
  <c r="J116" i="29" s="1"/>
  <c r="F116" i="29"/>
  <c r="D116" i="29"/>
  <c r="C116" i="29"/>
  <c r="B116" i="29"/>
  <c r="I115" i="29"/>
  <c r="J115" i="29" s="1"/>
  <c r="F115" i="29"/>
  <c r="D115" i="29"/>
  <c r="C115" i="29"/>
  <c r="B115" i="29"/>
  <c r="I114" i="29"/>
  <c r="J114" i="29" s="1"/>
  <c r="F114" i="29"/>
  <c r="D114" i="29"/>
  <c r="C114" i="29"/>
  <c r="B114" i="29"/>
  <c r="I113" i="29"/>
  <c r="J113" i="29" s="1"/>
  <c r="F113" i="29"/>
  <c r="D113" i="29"/>
  <c r="C113" i="29"/>
  <c r="B113" i="29"/>
  <c r="I112" i="29"/>
  <c r="J112" i="29" s="1"/>
  <c r="F112" i="29"/>
  <c r="D112" i="29"/>
  <c r="C112" i="29"/>
  <c r="B112" i="29"/>
  <c r="I111" i="29"/>
  <c r="J111" i="29" s="1"/>
  <c r="F111" i="29"/>
  <c r="D111" i="29"/>
  <c r="C111" i="29"/>
  <c r="B111" i="29"/>
  <c r="J110" i="29"/>
  <c r="I110" i="29"/>
  <c r="F110" i="29"/>
  <c r="D110" i="29"/>
  <c r="C110" i="29"/>
  <c r="B110" i="29"/>
  <c r="I109" i="29"/>
  <c r="J109" i="29" s="1"/>
  <c r="F109" i="29"/>
  <c r="D109" i="29"/>
  <c r="C109" i="29"/>
  <c r="B109" i="29"/>
  <c r="I108" i="29"/>
  <c r="J108" i="29" s="1"/>
  <c r="F108" i="29"/>
  <c r="D108" i="29"/>
  <c r="C108" i="29"/>
  <c r="B108" i="29"/>
  <c r="I107" i="29"/>
  <c r="J107" i="29" s="1"/>
  <c r="F107" i="29"/>
  <c r="D107" i="29"/>
  <c r="C107" i="29"/>
  <c r="B107" i="29"/>
  <c r="J106" i="29"/>
  <c r="I106" i="29"/>
  <c r="F106" i="29"/>
  <c r="D106" i="29"/>
  <c r="C106" i="29"/>
  <c r="B106" i="29"/>
  <c r="I105" i="29"/>
  <c r="J105" i="29" s="1"/>
  <c r="F105" i="29"/>
  <c r="D105" i="29"/>
  <c r="C105" i="29"/>
  <c r="B105" i="29"/>
  <c r="I104" i="29"/>
  <c r="J104" i="29" s="1"/>
  <c r="F104" i="29"/>
  <c r="D104" i="29"/>
  <c r="C104" i="29"/>
  <c r="B104" i="29"/>
  <c r="I103" i="29"/>
  <c r="J103" i="29" s="1"/>
  <c r="F103" i="29"/>
  <c r="D103" i="29"/>
  <c r="C103" i="29"/>
  <c r="B103" i="29"/>
  <c r="I102" i="29"/>
  <c r="J102" i="29" s="1"/>
  <c r="F102" i="29"/>
  <c r="D102" i="29"/>
  <c r="C102" i="29"/>
  <c r="B102" i="29"/>
  <c r="I101" i="29"/>
  <c r="J101" i="29" s="1"/>
  <c r="F101" i="29"/>
  <c r="D101" i="29"/>
  <c r="C101" i="29"/>
  <c r="B101" i="29"/>
  <c r="I100" i="29"/>
  <c r="J100" i="29" s="1"/>
  <c r="F100" i="29"/>
  <c r="D100" i="29"/>
  <c r="C100" i="29"/>
  <c r="B100" i="29"/>
  <c r="I99" i="29"/>
  <c r="J99" i="29" s="1"/>
  <c r="F99" i="29"/>
  <c r="D99" i="29"/>
  <c r="C99" i="29"/>
  <c r="B99" i="29"/>
  <c r="I98" i="29"/>
  <c r="J98" i="29" s="1"/>
  <c r="F98" i="29"/>
  <c r="D98" i="29"/>
  <c r="C98" i="29"/>
  <c r="B98" i="29"/>
  <c r="I97" i="29"/>
  <c r="J97" i="29" s="1"/>
  <c r="F97" i="29"/>
  <c r="D97" i="29"/>
  <c r="C97" i="29"/>
  <c r="B97" i="29"/>
  <c r="I96" i="29"/>
  <c r="J96" i="29" s="1"/>
  <c r="F96" i="29"/>
  <c r="D96" i="29"/>
  <c r="C96" i="29"/>
  <c r="B96" i="29"/>
  <c r="I95" i="29"/>
  <c r="J95" i="29" s="1"/>
  <c r="F95" i="29"/>
  <c r="D95" i="29"/>
  <c r="C95" i="29"/>
  <c r="B95" i="29"/>
  <c r="I94" i="29"/>
  <c r="J94" i="29" s="1"/>
  <c r="F94" i="29"/>
  <c r="D94" i="29"/>
  <c r="C94" i="29"/>
  <c r="B94" i="29"/>
  <c r="I93" i="29"/>
  <c r="J93" i="29" s="1"/>
  <c r="F93" i="29"/>
  <c r="D93" i="29"/>
  <c r="C93" i="29"/>
  <c r="B93" i="29"/>
  <c r="I92" i="29"/>
  <c r="J92" i="29" s="1"/>
  <c r="F92" i="29"/>
  <c r="D92" i="29"/>
  <c r="C92" i="29"/>
  <c r="B92" i="29"/>
  <c r="I91" i="29"/>
  <c r="J91" i="29" s="1"/>
  <c r="F91" i="29"/>
  <c r="D91" i="29"/>
  <c r="C91" i="29"/>
  <c r="B91" i="29"/>
  <c r="J90" i="29"/>
  <c r="I90" i="29"/>
  <c r="F90" i="29"/>
  <c r="D90" i="29"/>
  <c r="C90" i="29"/>
  <c r="B90" i="29"/>
  <c r="I89" i="29"/>
  <c r="J89" i="29" s="1"/>
  <c r="F89" i="29"/>
  <c r="D89" i="29"/>
  <c r="C89" i="29"/>
  <c r="B89" i="29"/>
  <c r="I88" i="29"/>
  <c r="J88" i="29" s="1"/>
  <c r="F88" i="29"/>
  <c r="D88" i="29"/>
  <c r="C88" i="29"/>
  <c r="B88" i="29"/>
  <c r="I87" i="29"/>
  <c r="J87" i="29" s="1"/>
  <c r="F87" i="29"/>
  <c r="D87" i="29"/>
  <c r="C87" i="29"/>
  <c r="B87" i="29"/>
  <c r="I86" i="29"/>
  <c r="J86" i="29" s="1"/>
  <c r="F86" i="29"/>
  <c r="D86" i="29"/>
  <c r="C86" i="29"/>
  <c r="B86" i="29"/>
  <c r="I85" i="29"/>
  <c r="J85" i="29" s="1"/>
  <c r="F85" i="29"/>
  <c r="D85" i="29"/>
  <c r="C85" i="29"/>
  <c r="B85" i="29"/>
  <c r="I84" i="29"/>
  <c r="J84" i="29" s="1"/>
  <c r="F84" i="29"/>
  <c r="D84" i="29"/>
  <c r="C84" i="29"/>
  <c r="B84" i="29"/>
  <c r="I83" i="29"/>
  <c r="J83" i="29" s="1"/>
  <c r="F83" i="29"/>
  <c r="D83" i="29"/>
  <c r="C83" i="29"/>
  <c r="B83" i="29"/>
  <c r="I82" i="29"/>
  <c r="J82" i="29" s="1"/>
  <c r="F82" i="29"/>
  <c r="D82" i="29"/>
  <c r="C82" i="29"/>
  <c r="B82" i="29"/>
  <c r="I81" i="29"/>
  <c r="J81" i="29" s="1"/>
  <c r="F81" i="29"/>
  <c r="D81" i="29"/>
  <c r="C81" i="29"/>
  <c r="B81" i="29"/>
  <c r="I80" i="29"/>
  <c r="J80" i="29" s="1"/>
  <c r="F80" i="29"/>
  <c r="D80" i="29"/>
  <c r="C80" i="29"/>
  <c r="B80" i="29"/>
  <c r="I79" i="29"/>
  <c r="J79" i="29" s="1"/>
  <c r="F79" i="29"/>
  <c r="D79" i="29"/>
  <c r="C79" i="29"/>
  <c r="B79" i="29"/>
  <c r="J78" i="29"/>
  <c r="I78" i="29"/>
  <c r="F78" i="29"/>
  <c r="D78" i="29"/>
  <c r="C78" i="29"/>
  <c r="B78" i="29"/>
  <c r="I77" i="29"/>
  <c r="J77" i="29" s="1"/>
  <c r="F77" i="29"/>
  <c r="D77" i="29"/>
  <c r="C77" i="29"/>
  <c r="B77" i="29"/>
  <c r="I76" i="29"/>
  <c r="J76" i="29" s="1"/>
  <c r="F76" i="29"/>
  <c r="D76" i="29"/>
  <c r="C76" i="29"/>
  <c r="B76" i="29"/>
  <c r="I75" i="29"/>
  <c r="J75" i="29" s="1"/>
  <c r="F75" i="29"/>
  <c r="D75" i="29"/>
  <c r="C75" i="29"/>
  <c r="B75" i="29"/>
  <c r="J74" i="29"/>
  <c r="I74" i="29"/>
  <c r="F74" i="29"/>
  <c r="D74" i="29"/>
  <c r="C74" i="29"/>
  <c r="B74" i="29"/>
  <c r="I73" i="29"/>
  <c r="J73" i="29" s="1"/>
  <c r="F73" i="29"/>
  <c r="D73" i="29"/>
  <c r="C73" i="29"/>
  <c r="B73" i="29"/>
  <c r="I72" i="29"/>
  <c r="J72" i="29" s="1"/>
  <c r="F72" i="29"/>
  <c r="D72" i="29"/>
  <c r="C72" i="29"/>
  <c r="B72" i="29"/>
  <c r="I71" i="29"/>
  <c r="J71" i="29" s="1"/>
  <c r="F71" i="29"/>
  <c r="D71" i="29"/>
  <c r="C71" i="29"/>
  <c r="B71" i="29"/>
  <c r="I70" i="29"/>
  <c r="J70" i="29" s="1"/>
  <c r="F70" i="29"/>
  <c r="D70" i="29"/>
  <c r="C70" i="29"/>
  <c r="B70" i="29"/>
  <c r="I69" i="29"/>
  <c r="J69" i="29" s="1"/>
  <c r="F69" i="29"/>
  <c r="D69" i="29"/>
  <c r="C69" i="29"/>
  <c r="B69" i="29"/>
  <c r="I68" i="29"/>
  <c r="J68" i="29" s="1"/>
  <c r="F68" i="29"/>
  <c r="D68" i="29"/>
  <c r="C68" i="29"/>
  <c r="B68" i="29"/>
  <c r="I67" i="29"/>
  <c r="J67" i="29" s="1"/>
  <c r="F67" i="29"/>
  <c r="D67" i="29"/>
  <c r="C67" i="29"/>
  <c r="B67" i="29"/>
  <c r="I66" i="29"/>
  <c r="J66" i="29" s="1"/>
  <c r="F66" i="29"/>
  <c r="D66" i="29"/>
  <c r="C66" i="29"/>
  <c r="B66" i="29"/>
  <c r="I65" i="29"/>
  <c r="J65" i="29" s="1"/>
  <c r="F65" i="29"/>
  <c r="D65" i="29"/>
  <c r="C65" i="29"/>
  <c r="B65" i="29"/>
  <c r="I64" i="29"/>
  <c r="J64" i="29" s="1"/>
  <c r="F64" i="29"/>
  <c r="D64" i="29"/>
  <c r="C64" i="29"/>
  <c r="B64" i="29"/>
  <c r="I63" i="29"/>
  <c r="J63" i="29" s="1"/>
  <c r="F63" i="29"/>
  <c r="D63" i="29"/>
  <c r="C63" i="29"/>
  <c r="B63" i="29"/>
  <c r="I62" i="29"/>
  <c r="J62" i="29" s="1"/>
  <c r="F62" i="29"/>
  <c r="D62" i="29"/>
  <c r="C62" i="29"/>
  <c r="B62" i="29"/>
  <c r="I61" i="29"/>
  <c r="J61" i="29" s="1"/>
  <c r="F61" i="29"/>
  <c r="D61" i="29"/>
  <c r="C61" i="29"/>
  <c r="B61" i="29"/>
  <c r="I60" i="29"/>
  <c r="J60" i="29" s="1"/>
  <c r="F60" i="29"/>
  <c r="D60" i="29"/>
  <c r="C60" i="29"/>
  <c r="B60" i="29"/>
  <c r="I59" i="29"/>
  <c r="J59" i="29" s="1"/>
  <c r="F59" i="29"/>
  <c r="D59" i="29"/>
  <c r="C59" i="29"/>
  <c r="B59" i="29"/>
  <c r="J58" i="29"/>
  <c r="I58" i="29"/>
  <c r="F58" i="29"/>
  <c r="D58" i="29"/>
  <c r="C58" i="29"/>
  <c r="B58" i="29"/>
  <c r="I57" i="29"/>
  <c r="J57" i="29" s="1"/>
  <c r="F57" i="29"/>
  <c r="D57" i="29"/>
  <c r="C57" i="29"/>
  <c r="B57" i="29"/>
  <c r="I56" i="29"/>
  <c r="J56" i="29" s="1"/>
  <c r="F56" i="29"/>
  <c r="D56" i="29"/>
  <c r="C56" i="29"/>
  <c r="B56" i="29"/>
  <c r="I55" i="29"/>
  <c r="J55" i="29" s="1"/>
  <c r="F55" i="29"/>
  <c r="D55" i="29"/>
  <c r="C55" i="29"/>
  <c r="B55" i="29"/>
  <c r="I54" i="29"/>
  <c r="J54" i="29" s="1"/>
  <c r="F54" i="29"/>
  <c r="D54" i="29"/>
  <c r="C54" i="29"/>
  <c r="B54" i="29"/>
  <c r="I53" i="29"/>
  <c r="J53" i="29" s="1"/>
  <c r="F53" i="29"/>
  <c r="D53" i="29"/>
  <c r="C53" i="29"/>
  <c r="B53" i="29"/>
  <c r="I52" i="29"/>
  <c r="J52" i="29" s="1"/>
  <c r="F52" i="29"/>
  <c r="D52" i="29"/>
  <c r="C52" i="29"/>
  <c r="B52" i="29"/>
  <c r="I51" i="29"/>
  <c r="J51" i="29" s="1"/>
  <c r="F51" i="29"/>
  <c r="D51" i="29"/>
  <c r="C51" i="29"/>
  <c r="B51" i="29"/>
  <c r="I50" i="29"/>
  <c r="J50" i="29" s="1"/>
  <c r="F50" i="29"/>
  <c r="D50" i="29"/>
  <c r="C50" i="29"/>
  <c r="B50" i="29"/>
  <c r="I49" i="29"/>
  <c r="J49" i="29" s="1"/>
  <c r="F49" i="29"/>
  <c r="D49" i="29"/>
  <c r="C49" i="29"/>
  <c r="B49" i="29"/>
  <c r="I48" i="29"/>
  <c r="J48" i="29" s="1"/>
  <c r="F48" i="29"/>
  <c r="D48" i="29"/>
  <c r="C48" i="29"/>
  <c r="B48" i="29"/>
  <c r="I47" i="29"/>
  <c r="J47" i="29" s="1"/>
  <c r="F47" i="29"/>
  <c r="D47" i="29"/>
  <c r="C47" i="29"/>
  <c r="B47" i="29"/>
  <c r="J46" i="29"/>
  <c r="I46" i="29"/>
  <c r="F46" i="29"/>
  <c r="D46" i="29"/>
  <c r="C46" i="29"/>
  <c r="B46" i="29"/>
  <c r="I45" i="29"/>
  <c r="J45" i="29" s="1"/>
  <c r="F45" i="29"/>
  <c r="D45" i="29"/>
  <c r="C45" i="29"/>
  <c r="B45" i="29"/>
  <c r="I44" i="29"/>
  <c r="J44" i="29" s="1"/>
  <c r="F44" i="29"/>
  <c r="D44" i="29"/>
  <c r="C44" i="29"/>
  <c r="B44" i="29"/>
  <c r="I43" i="29"/>
  <c r="J43" i="29" s="1"/>
  <c r="F43" i="29"/>
  <c r="D43" i="29"/>
  <c r="C43" i="29"/>
  <c r="B43" i="29"/>
  <c r="J42" i="29"/>
  <c r="I42" i="29"/>
  <c r="F42" i="29"/>
  <c r="D42" i="29"/>
  <c r="C42" i="29"/>
  <c r="B42" i="29"/>
  <c r="I41" i="29"/>
  <c r="J41" i="29" s="1"/>
  <c r="F41" i="29"/>
  <c r="D41" i="29"/>
  <c r="C41" i="29"/>
  <c r="B41" i="29"/>
  <c r="I40" i="29"/>
  <c r="J40" i="29" s="1"/>
  <c r="F40" i="29"/>
  <c r="D40" i="29"/>
  <c r="C40" i="29"/>
  <c r="B40" i="29"/>
  <c r="I39" i="29"/>
  <c r="J39" i="29" s="1"/>
  <c r="F39" i="29"/>
  <c r="D39" i="29"/>
  <c r="C39" i="29"/>
  <c r="B39" i="29"/>
  <c r="I38" i="29"/>
  <c r="J38" i="29" s="1"/>
  <c r="F38" i="29"/>
  <c r="D38" i="29"/>
  <c r="C38" i="29"/>
  <c r="B38" i="29"/>
  <c r="I37" i="29"/>
  <c r="J37" i="29" s="1"/>
  <c r="F37" i="29"/>
  <c r="D37" i="29"/>
  <c r="C37" i="29"/>
  <c r="B37" i="29"/>
  <c r="I36" i="29"/>
  <c r="J36" i="29" s="1"/>
  <c r="F36" i="29"/>
  <c r="D36" i="29"/>
  <c r="C36" i="29"/>
  <c r="B36" i="29"/>
  <c r="I35" i="29"/>
  <c r="J35" i="29" s="1"/>
  <c r="F35" i="29"/>
  <c r="D35" i="29"/>
  <c r="C35" i="29"/>
  <c r="B35" i="29"/>
  <c r="I34" i="29"/>
  <c r="J34" i="29" s="1"/>
  <c r="F34" i="29"/>
  <c r="D34" i="29"/>
  <c r="C34" i="29"/>
  <c r="B34" i="29"/>
  <c r="I33" i="29"/>
  <c r="J33" i="29" s="1"/>
  <c r="F33" i="29"/>
  <c r="D33" i="29"/>
  <c r="C33" i="29"/>
  <c r="B33" i="29"/>
  <c r="I32" i="29"/>
  <c r="J32" i="29" s="1"/>
  <c r="F32" i="29"/>
  <c r="D32" i="29"/>
  <c r="C32" i="29"/>
  <c r="B32" i="29"/>
  <c r="I31" i="29"/>
  <c r="J31" i="29" s="1"/>
  <c r="F31" i="29"/>
  <c r="D31" i="29"/>
  <c r="C31" i="29"/>
  <c r="B31" i="29"/>
  <c r="I30" i="29"/>
  <c r="J30" i="29" s="1"/>
  <c r="F30" i="29"/>
  <c r="D30" i="29"/>
  <c r="C30" i="29"/>
  <c r="B30" i="29"/>
  <c r="I29" i="29"/>
  <c r="J29" i="29" s="1"/>
  <c r="F29" i="29"/>
  <c r="D29" i="29"/>
  <c r="C29" i="29"/>
  <c r="B29" i="29"/>
  <c r="I28" i="29"/>
  <c r="J28" i="29" s="1"/>
  <c r="F28" i="29"/>
  <c r="D28" i="29"/>
  <c r="C28" i="29"/>
  <c r="B28" i="29"/>
  <c r="I27" i="29"/>
  <c r="J27" i="29" s="1"/>
  <c r="F27" i="29"/>
  <c r="D27" i="29"/>
  <c r="C27" i="29"/>
  <c r="B27" i="29"/>
  <c r="J26" i="29"/>
  <c r="I26" i="29"/>
  <c r="F26" i="29"/>
  <c r="D26" i="29"/>
  <c r="C26" i="29"/>
  <c r="B26" i="29"/>
  <c r="I25" i="29"/>
  <c r="J25" i="29" s="1"/>
  <c r="F25" i="29"/>
  <c r="D25" i="29"/>
  <c r="C25" i="29"/>
  <c r="B25" i="29"/>
  <c r="I24" i="29"/>
  <c r="J24" i="29" s="1"/>
  <c r="F24" i="29"/>
  <c r="D24" i="29"/>
  <c r="C24" i="29"/>
  <c r="B24" i="29"/>
  <c r="I23" i="29"/>
  <c r="J23" i="29" s="1"/>
  <c r="F23" i="29"/>
  <c r="D23" i="29"/>
  <c r="C23" i="29"/>
  <c r="B23" i="29"/>
  <c r="I22" i="29"/>
  <c r="J22" i="29" s="1"/>
  <c r="F22" i="29"/>
  <c r="D22" i="29"/>
  <c r="C22" i="29"/>
  <c r="B22" i="29"/>
  <c r="I21" i="29"/>
  <c r="J21" i="29" s="1"/>
  <c r="F21" i="29"/>
  <c r="D21" i="29"/>
  <c r="C21" i="29"/>
  <c r="B21" i="29"/>
  <c r="I20" i="29"/>
  <c r="J20" i="29" s="1"/>
  <c r="F20" i="29"/>
  <c r="D20" i="29"/>
  <c r="C20" i="29"/>
  <c r="B20" i="29"/>
  <c r="I19" i="29"/>
  <c r="J19" i="29" s="1"/>
  <c r="F19" i="29"/>
  <c r="D19" i="29"/>
  <c r="C19" i="29"/>
  <c r="B19" i="29"/>
  <c r="I18" i="29"/>
  <c r="J18" i="29" s="1"/>
  <c r="F18" i="29"/>
  <c r="D18" i="29"/>
  <c r="C18" i="29"/>
  <c r="B18" i="29"/>
  <c r="I17" i="29"/>
  <c r="J17" i="29" s="1"/>
  <c r="F17" i="29"/>
  <c r="D17" i="29"/>
  <c r="C17" i="29"/>
  <c r="B17" i="29"/>
  <c r="I16" i="29"/>
  <c r="J16" i="29" s="1"/>
  <c r="F16" i="29"/>
  <c r="D16" i="29"/>
  <c r="C16" i="29"/>
  <c r="B16" i="29"/>
  <c r="I15" i="29"/>
  <c r="J15" i="29" s="1"/>
  <c r="F15" i="29"/>
  <c r="D15" i="29"/>
  <c r="C15" i="29"/>
  <c r="B15" i="29"/>
  <c r="J14" i="29"/>
  <c r="I14" i="29"/>
  <c r="F14" i="29"/>
  <c r="D14" i="29"/>
  <c r="C14" i="29"/>
  <c r="B14" i="29"/>
  <c r="I13" i="29"/>
  <c r="J13" i="29" s="1"/>
  <c r="F13" i="29"/>
  <c r="D13" i="29"/>
  <c r="C13" i="29"/>
  <c r="B13" i="29"/>
  <c r="I12" i="29"/>
  <c r="J12" i="29" s="1"/>
  <c r="F12" i="29"/>
  <c r="D12" i="29"/>
  <c r="C12" i="29"/>
  <c r="B12" i="29"/>
  <c r="I11" i="29"/>
  <c r="J11" i="29" s="1"/>
  <c r="F11" i="29"/>
  <c r="D11" i="29"/>
  <c r="C11" i="29"/>
  <c r="B11" i="29"/>
  <c r="J10" i="29"/>
  <c r="I10" i="29"/>
  <c r="F10" i="29"/>
  <c r="D10" i="29"/>
  <c r="C10" i="29"/>
  <c r="B10" i="29"/>
  <c r="I9" i="29"/>
  <c r="J9" i="29" s="1"/>
  <c r="F9" i="29"/>
  <c r="D9" i="29"/>
  <c r="C9" i="29"/>
  <c r="B9" i="29"/>
  <c r="A5" i="29"/>
  <c r="G4" i="29"/>
  <c r="D4" i="29"/>
  <c r="A4" i="29"/>
  <c r="K213" i="28"/>
  <c r="K212" i="28"/>
  <c r="K211" i="28"/>
  <c r="K210" i="28"/>
  <c r="K209" i="28"/>
  <c r="K208" i="28"/>
  <c r="K207" i="28"/>
  <c r="K206" i="28"/>
  <c r="K205" i="28"/>
  <c r="K204" i="28"/>
  <c r="K203" i="28"/>
  <c r="K202" i="28"/>
  <c r="K201" i="28"/>
  <c r="K200" i="28"/>
  <c r="K199" i="28"/>
  <c r="K198" i="28"/>
  <c r="K197" i="28"/>
  <c r="K196" i="28"/>
  <c r="K195" i="28"/>
  <c r="K194" i="28"/>
  <c r="K193" i="28"/>
  <c r="K192" i="28"/>
  <c r="K191" i="28"/>
  <c r="K190" i="28"/>
  <c r="K189" i="28"/>
  <c r="K188" i="28"/>
  <c r="K187" i="28"/>
  <c r="K186" i="28"/>
  <c r="K185" i="28"/>
  <c r="K184" i="28"/>
  <c r="K183" i="28"/>
  <c r="K182" i="28"/>
  <c r="K181" i="28"/>
  <c r="K180" i="28"/>
  <c r="K179" i="28"/>
  <c r="K178" i="28"/>
  <c r="K177" i="28"/>
  <c r="K176" i="28"/>
  <c r="K175" i="28"/>
  <c r="K174" i="28"/>
  <c r="K173" i="28"/>
  <c r="K172" i="28"/>
  <c r="K171" i="28"/>
  <c r="K170" i="28"/>
  <c r="K169" i="28"/>
  <c r="K168" i="28"/>
  <c r="K167" i="28"/>
  <c r="K166" i="28"/>
  <c r="K165" i="28"/>
  <c r="K164" i="28"/>
  <c r="K163" i="28"/>
  <c r="K162" i="28"/>
  <c r="K161" i="28"/>
  <c r="K160" i="28"/>
  <c r="K159" i="28"/>
  <c r="K158" i="28"/>
  <c r="K157" i="28"/>
  <c r="K156" i="28"/>
  <c r="K155" i="28"/>
  <c r="K154" i="28"/>
  <c r="K153" i="28"/>
  <c r="K152" i="28"/>
  <c r="K151" i="28"/>
  <c r="K150" i="28"/>
  <c r="K149" i="28"/>
  <c r="K148" i="28"/>
  <c r="K147" i="28"/>
  <c r="K146" i="28"/>
  <c r="K145" i="28"/>
  <c r="K144" i="28"/>
  <c r="K143" i="28"/>
  <c r="K142" i="28"/>
  <c r="K141" i="28"/>
  <c r="K140" i="28"/>
  <c r="K139" i="28"/>
  <c r="K138" i="28"/>
  <c r="K137" i="28"/>
  <c r="K136" i="28"/>
  <c r="K135" i="28"/>
  <c r="K134" i="28"/>
  <c r="K133" i="28"/>
  <c r="K132" i="28"/>
  <c r="K131" i="28"/>
  <c r="K130" i="28"/>
  <c r="K129" i="28"/>
  <c r="K128" i="28"/>
  <c r="K127" i="28"/>
  <c r="K126" i="28"/>
  <c r="K125" i="28"/>
  <c r="K124" i="28"/>
  <c r="K123" i="28"/>
  <c r="K122" i="28"/>
  <c r="K121" i="28"/>
  <c r="K120" i="28"/>
  <c r="K119" i="28"/>
  <c r="K118" i="28"/>
  <c r="K117" i="28"/>
  <c r="K116" i="28"/>
  <c r="K115" i="28"/>
  <c r="K114" i="28"/>
  <c r="K113" i="28"/>
  <c r="J113" i="28"/>
  <c r="I113" i="28"/>
  <c r="D113" i="28"/>
  <c r="C113" i="28"/>
  <c r="A113" i="28"/>
  <c r="K112" i="28"/>
  <c r="J112" i="28"/>
  <c r="I112" i="28"/>
  <c r="D112" i="28"/>
  <c r="C112" i="28"/>
  <c r="A112" i="28"/>
  <c r="K111" i="28"/>
  <c r="J111" i="28"/>
  <c r="I111" i="28"/>
  <c r="D111" i="28"/>
  <c r="C111" i="28"/>
  <c r="A111" i="28"/>
  <c r="K110" i="28"/>
  <c r="I110" i="28"/>
  <c r="J110" i="28" s="1"/>
  <c r="D110" i="28"/>
  <c r="C110" i="28"/>
  <c r="A110" i="28"/>
  <c r="K109" i="28"/>
  <c r="J109" i="28"/>
  <c r="I109" i="28"/>
  <c r="D109" i="28"/>
  <c r="C109" i="28"/>
  <c r="A109" i="28"/>
  <c r="K108" i="28"/>
  <c r="J108" i="28"/>
  <c r="I108" i="28"/>
  <c r="D108" i="28"/>
  <c r="C108" i="28"/>
  <c r="A108" i="28"/>
  <c r="K107" i="28"/>
  <c r="J107" i="28"/>
  <c r="I107" i="28"/>
  <c r="D107" i="28"/>
  <c r="C107" i="28"/>
  <c r="A107" i="28"/>
  <c r="K106" i="28"/>
  <c r="I106" i="28"/>
  <c r="J106" i="28" s="1"/>
  <c r="D106" i="28"/>
  <c r="C106" i="28"/>
  <c r="A106" i="28"/>
  <c r="K105" i="28"/>
  <c r="I105" i="28"/>
  <c r="J105" i="28" s="1"/>
  <c r="D105" i="28"/>
  <c r="C105" i="28"/>
  <c r="A105" i="28"/>
  <c r="K104" i="28"/>
  <c r="J104" i="28"/>
  <c r="I104" i="28"/>
  <c r="D104" i="28"/>
  <c r="C104" i="28"/>
  <c r="A104" i="28"/>
  <c r="K103" i="28"/>
  <c r="J103" i="28"/>
  <c r="I103" i="28"/>
  <c r="D103" i="28"/>
  <c r="C103" i="28"/>
  <c r="A103" i="28"/>
  <c r="K102" i="28"/>
  <c r="I102" i="28"/>
  <c r="J102" i="28" s="1"/>
  <c r="D102" i="28"/>
  <c r="C102" i="28"/>
  <c r="A102" i="28"/>
  <c r="K101" i="28"/>
  <c r="I101" i="28"/>
  <c r="J101" i="28" s="1"/>
  <c r="D101" i="28"/>
  <c r="C101" i="28"/>
  <c r="A101" i="28"/>
  <c r="K100" i="28"/>
  <c r="J100" i="28"/>
  <c r="I100" i="28"/>
  <c r="D100" i="28"/>
  <c r="C100" i="28"/>
  <c r="A100" i="28"/>
  <c r="K99" i="28"/>
  <c r="J99" i="28"/>
  <c r="I99" i="28"/>
  <c r="D99" i="28"/>
  <c r="C99" i="28"/>
  <c r="A99" i="28"/>
  <c r="K98" i="28"/>
  <c r="I98" i="28"/>
  <c r="J98" i="28" s="1"/>
  <c r="D98" i="28"/>
  <c r="C98" i="28"/>
  <c r="A98" i="28"/>
  <c r="K97" i="28"/>
  <c r="J97" i="28"/>
  <c r="I97" i="28"/>
  <c r="D97" i="28"/>
  <c r="C97" i="28"/>
  <c r="A97" i="28"/>
  <c r="K96" i="28"/>
  <c r="J96" i="28"/>
  <c r="I96" i="28"/>
  <c r="D96" i="28"/>
  <c r="C96" i="28"/>
  <c r="A96" i="28"/>
  <c r="K95" i="28"/>
  <c r="J95" i="28"/>
  <c r="I95" i="28"/>
  <c r="D95" i="28"/>
  <c r="C95" i="28"/>
  <c r="A95" i="28"/>
  <c r="K94" i="28"/>
  <c r="I94" i="28"/>
  <c r="J94" i="28" s="1"/>
  <c r="D94" i="28"/>
  <c r="C94" i="28"/>
  <c r="A94" i="28"/>
  <c r="K93" i="28"/>
  <c r="I93" i="28"/>
  <c r="J93" i="28" s="1"/>
  <c r="D93" i="28"/>
  <c r="C93" i="28"/>
  <c r="A93" i="28"/>
  <c r="K92" i="28"/>
  <c r="J92" i="28"/>
  <c r="I92" i="28"/>
  <c r="D92" i="28"/>
  <c r="C92" i="28"/>
  <c r="A92" i="28"/>
  <c r="K91" i="28"/>
  <c r="J91" i="28"/>
  <c r="I91" i="28"/>
  <c r="D91" i="28"/>
  <c r="C91" i="28"/>
  <c r="A91" i="28"/>
  <c r="K90" i="28"/>
  <c r="I90" i="28"/>
  <c r="J90" i="28" s="1"/>
  <c r="D90" i="28"/>
  <c r="C90" i="28"/>
  <c r="A90" i="28"/>
  <c r="K89" i="28"/>
  <c r="I89" i="28"/>
  <c r="J89" i="28" s="1"/>
  <c r="D89" i="28"/>
  <c r="C89" i="28"/>
  <c r="A89" i="28"/>
  <c r="K88" i="28"/>
  <c r="J88" i="28"/>
  <c r="I88" i="28"/>
  <c r="D88" i="28"/>
  <c r="C88" i="28"/>
  <c r="A88" i="28"/>
  <c r="K87" i="28"/>
  <c r="J87" i="28"/>
  <c r="I87" i="28"/>
  <c r="D87" i="28"/>
  <c r="C87" i="28"/>
  <c r="A87" i="28"/>
  <c r="K86" i="28"/>
  <c r="I86" i="28"/>
  <c r="J86" i="28" s="1"/>
  <c r="D86" i="28"/>
  <c r="C86" i="28"/>
  <c r="A86" i="28"/>
  <c r="K85" i="28"/>
  <c r="J85" i="28"/>
  <c r="I85" i="28"/>
  <c r="D85" i="28"/>
  <c r="C85" i="28"/>
  <c r="A85" i="28"/>
  <c r="K84" i="28"/>
  <c r="J84" i="28"/>
  <c r="I84" i="28"/>
  <c r="D84" i="28"/>
  <c r="C84" i="28"/>
  <c r="A84" i="28"/>
  <c r="K83" i="28"/>
  <c r="J83" i="28"/>
  <c r="I83" i="28"/>
  <c r="D83" i="28"/>
  <c r="C83" i="28"/>
  <c r="A83" i="28"/>
  <c r="K82" i="28"/>
  <c r="I82" i="28"/>
  <c r="J82" i="28" s="1"/>
  <c r="D82" i="28"/>
  <c r="C82" i="28"/>
  <c r="A82" i="28"/>
  <c r="K81" i="28"/>
  <c r="J81" i="28"/>
  <c r="I81" i="28"/>
  <c r="D81" i="28"/>
  <c r="C81" i="28"/>
  <c r="A81" i="28"/>
  <c r="K80" i="28"/>
  <c r="J80" i="28"/>
  <c r="I80" i="28"/>
  <c r="D80" i="28"/>
  <c r="C80" i="28"/>
  <c r="A80" i="28"/>
  <c r="K79" i="28"/>
  <c r="J79" i="28"/>
  <c r="I79" i="28"/>
  <c r="D79" i="28"/>
  <c r="C79" i="28"/>
  <c r="A79" i="28"/>
  <c r="K78" i="28"/>
  <c r="I78" i="28"/>
  <c r="J78" i="28" s="1"/>
  <c r="D78" i="28"/>
  <c r="C78" i="28"/>
  <c r="A78" i="28"/>
  <c r="K77" i="28"/>
  <c r="J77" i="28"/>
  <c r="I77" i="28"/>
  <c r="D77" i="28"/>
  <c r="C77" i="28"/>
  <c r="A77" i="28"/>
  <c r="K76" i="28"/>
  <c r="J76" i="28"/>
  <c r="I76" i="28"/>
  <c r="D76" i="28"/>
  <c r="C76" i="28"/>
  <c r="A76" i="28"/>
  <c r="K75" i="28"/>
  <c r="J75" i="28"/>
  <c r="I75" i="28"/>
  <c r="D75" i="28"/>
  <c r="C75" i="28"/>
  <c r="A75" i="28"/>
  <c r="K74" i="28"/>
  <c r="I74" i="28"/>
  <c r="J74" i="28" s="1"/>
  <c r="D74" i="28"/>
  <c r="C74" i="28"/>
  <c r="A74" i="28"/>
  <c r="K73" i="28"/>
  <c r="I73" i="28"/>
  <c r="J73" i="28" s="1"/>
  <c r="D73" i="28"/>
  <c r="C73" i="28"/>
  <c r="A73" i="28"/>
  <c r="K72" i="28"/>
  <c r="J72" i="28"/>
  <c r="I72" i="28"/>
  <c r="D72" i="28"/>
  <c r="C72" i="28"/>
  <c r="A72" i="28"/>
  <c r="K71" i="28"/>
  <c r="J71" i="28"/>
  <c r="I71" i="28"/>
  <c r="D71" i="28"/>
  <c r="C71" i="28"/>
  <c r="A71" i="28"/>
  <c r="K70" i="28"/>
  <c r="I70" i="28"/>
  <c r="J70" i="28" s="1"/>
  <c r="D70" i="28"/>
  <c r="C70" i="28"/>
  <c r="A70" i="28"/>
  <c r="K69" i="28"/>
  <c r="I69" i="28"/>
  <c r="J69" i="28" s="1"/>
  <c r="D69" i="28"/>
  <c r="C69" i="28"/>
  <c r="A69" i="28"/>
  <c r="K68" i="28"/>
  <c r="J68" i="28"/>
  <c r="I68" i="28"/>
  <c r="D68" i="28"/>
  <c r="C68" i="28"/>
  <c r="A68" i="28"/>
  <c r="K67" i="28"/>
  <c r="J67" i="28"/>
  <c r="I67" i="28"/>
  <c r="D67" i="28"/>
  <c r="C67" i="28"/>
  <c r="A67" i="28"/>
  <c r="K66" i="28"/>
  <c r="I66" i="28"/>
  <c r="J66" i="28" s="1"/>
  <c r="D66" i="28"/>
  <c r="C66" i="28"/>
  <c r="A66" i="28"/>
  <c r="K65" i="28"/>
  <c r="J65" i="28"/>
  <c r="I65" i="28"/>
  <c r="D65" i="28"/>
  <c r="C65" i="28"/>
  <c r="A65" i="28"/>
  <c r="K64" i="28"/>
  <c r="J64" i="28"/>
  <c r="I64" i="28"/>
  <c r="D64" i="28"/>
  <c r="C64" i="28"/>
  <c r="A64" i="28"/>
  <c r="K63" i="28"/>
  <c r="J63" i="28"/>
  <c r="I63" i="28"/>
  <c r="D63" i="28"/>
  <c r="C63" i="28"/>
  <c r="A63" i="28"/>
  <c r="K62" i="28"/>
  <c r="I62" i="28"/>
  <c r="J62" i="28" s="1"/>
  <c r="D62" i="28"/>
  <c r="C62" i="28"/>
  <c r="A62" i="28"/>
  <c r="K61" i="28"/>
  <c r="I61" i="28"/>
  <c r="J61" i="28" s="1"/>
  <c r="D61" i="28"/>
  <c r="C61" i="28"/>
  <c r="A61" i="28"/>
  <c r="K60" i="28"/>
  <c r="J60" i="28"/>
  <c r="I60" i="28"/>
  <c r="D60" i="28"/>
  <c r="C60" i="28"/>
  <c r="A60" i="28"/>
  <c r="K59" i="28"/>
  <c r="J59" i="28"/>
  <c r="I59" i="28"/>
  <c r="D59" i="28"/>
  <c r="C59" i="28"/>
  <c r="A59" i="28"/>
  <c r="K58" i="28"/>
  <c r="I58" i="28"/>
  <c r="J58" i="28" s="1"/>
  <c r="D58" i="28"/>
  <c r="C58" i="28"/>
  <c r="A58" i="28"/>
  <c r="K57" i="28"/>
  <c r="I57" i="28"/>
  <c r="J57" i="28" s="1"/>
  <c r="D57" i="28"/>
  <c r="C57" i="28"/>
  <c r="A57" i="28"/>
  <c r="K56" i="28"/>
  <c r="J56" i="28"/>
  <c r="I56" i="28"/>
  <c r="D56" i="28"/>
  <c r="C56" i="28"/>
  <c r="A56" i="28"/>
  <c r="K55" i="28"/>
  <c r="J55" i="28"/>
  <c r="I55" i="28"/>
  <c r="D55" i="28"/>
  <c r="C55" i="28"/>
  <c r="A55" i="28"/>
  <c r="K54" i="28"/>
  <c r="I54" i="28"/>
  <c r="J54" i="28" s="1"/>
  <c r="D54" i="28"/>
  <c r="C54" i="28"/>
  <c r="A54" i="28"/>
  <c r="K53" i="28"/>
  <c r="J53" i="28"/>
  <c r="I53" i="28"/>
  <c r="D53" i="28"/>
  <c r="C53" i="28"/>
  <c r="A53" i="28"/>
  <c r="K52" i="28"/>
  <c r="J52" i="28"/>
  <c r="I52" i="28"/>
  <c r="D52" i="28"/>
  <c r="C52" i="28"/>
  <c r="A52" i="28"/>
  <c r="K51" i="28"/>
  <c r="J51" i="28"/>
  <c r="I51" i="28"/>
  <c r="D51" i="28"/>
  <c r="C51" i="28"/>
  <c r="A51" i="28"/>
  <c r="K50" i="28"/>
  <c r="I50" i="28"/>
  <c r="J50" i="28" s="1"/>
  <c r="D50" i="28"/>
  <c r="C50" i="28"/>
  <c r="A50" i="28"/>
  <c r="K49" i="28"/>
  <c r="J49" i="28"/>
  <c r="I49" i="28"/>
  <c r="D49" i="28"/>
  <c r="C49" i="28"/>
  <c r="A49" i="28"/>
  <c r="K48" i="28"/>
  <c r="J48" i="28"/>
  <c r="I48" i="28"/>
  <c r="D48" i="28"/>
  <c r="C48" i="28"/>
  <c r="A48" i="28"/>
  <c r="K47" i="28"/>
  <c r="J47" i="28"/>
  <c r="I47" i="28"/>
  <c r="D47" i="28"/>
  <c r="C47" i="28"/>
  <c r="A47" i="28"/>
  <c r="K46" i="28"/>
  <c r="I46" i="28"/>
  <c r="J46" i="28" s="1"/>
  <c r="D46" i="28"/>
  <c r="C46" i="28"/>
  <c r="A46" i="28"/>
  <c r="K45" i="28"/>
  <c r="J45" i="28"/>
  <c r="I45" i="28"/>
  <c r="D45" i="28"/>
  <c r="C45" i="28"/>
  <c r="A45" i="28"/>
  <c r="K44" i="28"/>
  <c r="J44" i="28"/>
  <c r="I44" i="28"/>
  <c r="D44" i="28"/>
  <c r="C44" i="28"/>
  <c r="A44" i="28"/>
  <c r="K43" i="28"/>
  <c r="J43" i="28"/>
  <c r="I43" i="28"/>
  <c r="D43" i="28"/>
  <c r="C43" i="28"/>
  <c r="A43" i="28"/>
  <c r="K42" i="28"/>
  <c r="I42" i="28"/>
  <c r="J42" i="28" s="1"/>
  <c r="D42" i="28"/>
  <c r="C42" i="28"/>
  <c r="A42" i="28"/>
  <c r="K41" i="28"/>
  <c r="I41" i="28"/>
  <c r="J41" i="28" s="1"/>
  <c r="D41" i="28"/>
  <c r="C41" i="28"/>
  <c r="A41" i="28"/>
  <c r="K40" i="28"/>
  <c r="J40" i="28"/>
  <c r="I40" i="28"/>
  <c r="D40" i="28"/>
  <c r="C40" i="28"/>
  <c r="A40" i="28"/>
  <c r="K39" i="28"/>
  <c r="J39" i="28"/>
  <c r="I39" i="28"/>
  <c r="D39" i="28"/>
  <c r="C39" i="28"/>
  <c r="A39" i="28"/>
  <c r="K38" i="28"/>
  <c r="I38" i="28"/>
  <c r="J38" i="28" s="1"/>
  <c r="D38" i="28"/>
  <c r="C38" i="28"/>
  <c r="A38" i="28"/>
  <c r="K37" i="28"/>
  <c r="I37" i="28"/>
  <c r="J37" i="28" s="1"/>
  <c r="D37" i="28"/>
  <c r="C37" i="28"/>
  <c r="A37" i="28"/>
  <c r="K36" i="28"/>
  <c r="J36" i="28"/>
  <c r="I36" i="28"/>
  <c r="D36" i="28"/>
  <c r="C36" i="28"/>
  <c r="A36" i="28"/>
  <c r="K35" i="28"/>
  <c r="J35" i="28"/>
  <c r="I35" i="28"/>
  <c r="D35" i="28"/>
  <c r="C35" i="28"/>
  <c r="A35" i="28"/>
  <c r="K34" i="28"/>
  <c r="I34" i="28"/>
  <c r="J34" i="28" s="1"/>
  <c r="D34" i="28"/>
  <c r="C34" i="28"/>
  <c r="A34" i="28"/>
  <c r="K33" i="28"/>
  <c r="J33" i="28"/>
  <c r="I33" i="28"/>
  <c r="D33" i="28"/>
  <c r="C33" i="28"/>
  <c r="A33" i="28"/>
  <c r="K32" i="28"/>
  <c r="J32" i="28"/>
  <c r="I32" i="28"/>
  <c r="D32" i="28"/>
  <c r="C32" i="28"/>
  <c r="A32" i="28"/>
  <c r="K31" i="28"/>
  <c r="J31" i="28"/>
  <c r="I31" i="28"/>
  <c r="D31" i="28"/>
  <c r="C31" i="28"/>
  <c r="A31" i="28"/>
  <c r="K30" i="28"/>
  <c r="I30" i="28"/>
  <c r="J30" i="28" s="1"/>
  <c r="D30" i="28"/>
  <c r="C30" i="28"/>
  <c r="A30" i="28"/>
  <c r="K29" i="28"/>
  <c r="I29" i="28"/>
  <c r="J29" i="28" s="1"/>
  <c r="D29" i="28"/>
  <c r="C29" i="28"/>
  <c r="A29" i="28"/>
  <c r="K28" i="28"/>
  <c r="J28" i="28"/>
  <c r="I28" i="28"/>
  <c r="D28" i="28"/>
  <c r="C28" i="28"/>
  <c r="A28" i="28"/>
  <c r="K27" i="28"/>
  <c r="J27" i="28"/>
  <c r="I27" i="28"/>
  <c r="D27" i="28"/>
  <c r="C27" i="28"/>
  <c r="A27" i="28"/>
  <c r="K26" i="28"/>
  <c r="I26" i="28"/>
  <c r="J26" i="28" s="1"/>
  <c r="D26" i="28"/>
  <c r="C26" i="28"/>
  <c r="A26" i="28"/>
  <c r="K25" i="28"/>
  <c r="I25" i="28"/>
  <c r="J25" i="28" s="1"/>
  <c r="D25" i="28"/>
  <c r="C25" i="28"/>
  <c r="A25" i="28"/>
  <c r="K24" i="28"/>
  <c r="J24" i="28"/>
  <c r="I24" i="28"/>
  <c r="D24" i="28"/>
  <c r="C24" i="28"/>
  <c r="A24" i="28"/>
  <c r="K23" i="28"/>
  <c r="J23" i="28"/>
  <c r="I23" i="28"/>
  <c r="D23" i="28"/>
  <c r="C23" i="28"/>
  <c r="A23" i="28"/>
  <c r="K22" i="28"/>
  <c r="I22" i="28"/>
  <c r="J22" i="28" s="1"/>
  <c r="D22" i="28"/>
  <c r="C22" i="28"/>
  <c r="A22" i="28"/>
  <c r="K21" i="28"/>
  <c r="I21" i="28"/>
  <c r="J21" i="28" s="1"/>
  <c r="D21" i="28"/>
  <c r="C21" i="28"/>
  <c r="A21" i="28"/>
  <c r="K20" i="28"/>
  <c r="J20" i="28"/>
  <c r="I20" i="28"/>
  <c r="D20" i="28"/>
  <c r="C20" i="28"/>
  <c r="A20" i="28"/>
  <c r="K19" i="28"/>
  <c r="J19" i="28"/>
  <c r="I19" i="28"/>
  <c r="D19" i="28"/>
  <c r="C19" i="28"/>
  <c r="A19" i="28"/>
  <c r="K18" i="28"/>
  <c r="I18" i="28"/>
  <c r="J18" i="28" s="1"/>
  <c r="D18" i="28"/>
  <c r="C18" i="28"/>
  <c r="A18" i="28"/>
  <c r="K17" i="28"/>
  <c r="J17" i="28"/>
  <c r="I17" i="28"/>
  <c r="D17" i="28"/>
  <c r="C17" i="28"/>
  <c r="A17" i="28"/>
  <c r="K16" i="28"/>
  <c r="J16" i="28"/>
  <c r="I16" i="28"/>
  <c r="D16" i="28"/>
  <c r="C16" i="28"/>
  <c r="A16" i="28"/>
  <c r="K15" i="28"/>
  <c r="J15" i="28"/>
  <c r="I15" i="28"/>
  <c r="D15" i="28"/>
  <c r="C15" i="28"/>
  <c r="A15" i="28"/>
  <c r="K14" i="28"/>
  <c r="I14" i="28"/>
  <c r="J14" i="28" s="1"/>
  <c r="D14" i="28"/>
  <c r="C14" i="28"/>
  <c r="A14" i="28"/>
  <c r="B9" i="28"/>
  <c r="B10" i="28" s="1"/>
  <c r="B8" i="28"/>
  <c r="J208" i="27"/>
  <c r="K208" i="27" s="1"/>
  <c r="G208" i="27"/>
  <c r="D208" i="27"/>
  <c r="C208" i="27"/>
  <c r="B208" i="27"/>
  <c r="J207" i="27"/>
  <c r="K207" i="27" s="1"/>
  <c r="G207" i="27"/>
  <c r="D207" i="27"/>
  <c r="C207" i="27"/>
  <c r="B207" i="27"/>
  <c r="K206" i="27"/>
  <c r="J206" i="27"/>
  <c r="G206" i="27"/>
  <c r="D206" i="27"/>
  <c r="C206" i="27"/>
  <c r="B206" i="27"/>
  <c r="K205" i="27"/>
  <c r="J205" i="27"/>
  <c r="G205" i="27"/>
  <c r="D205" i="27"/>
  <c r="C205" i="27"/>
  <c r="B205" i="27"/>
  <c r="J204" i="27"/>
  <c r="K204" i="27" s="1"/>
  <c r="G204" i="27"/>
  <c r="D204" i="27"/>
  <c r="C204" i="27"/>
  <c r="B204" i="27"/>
  <c r="K203" i="27"/>
  <c r="J203" i="27"/>
  <c r="G203" i="27"/>
  <c r="D203" i="27"/>
  <c r="C203" i="27"/>
  <c r="B203" i="27"/>
  <c r="K202" i="27"/>
  <c r="J202" i="27"/>
  <c r="G202" i="27"/>
  <c r="D202" i="27"/>
  <c r="C202" i="27"/>
  <c r="B202" i="27"/>
  <c r="K201" i="27"/>
  <c r="J201" i="27"/>
  <c r="G201" i="27"/>
  <c r="D201" i="27"/>
  <c r="C201" i="27"/>
  <c r="B201" i="27"/>
  <c r="J200" i="27"/>
  <c r="K200" i="27" s="1"/>
  <c r="G200" i="27"/>
  <c r="D200" i="27"/>
  <c r="C200" i="27"/>
  <c r="B200" i="27"/>
  <c r="J199" i="27"/>
  <c r="K199" i="27" s="1"/>
  <c r="G199" i="27"/>
  <c r="D199" i="27"/>
  <c r="C199" i="27"/>
  <c r="B199" i="27"/>
  <c r="K198" i="27"/>
  <c r="J198" i="27"/>
  <c r="G198" i="27"/>
  <c r="D198" i="27"/>
  <c r="C198" i="27"/>
  <c r="B198" i="27"/>
  <c r="K197" i="27"/>
  <c r="J197" i="27"/>
  <c r="G197" i="27"/>
  <c r="D197" i="27"/>
  <c r="C197" i="27"/>
  <c r="B197" i="27"/>
  <c r="J196" i="27"/>
  <c r="K196" i="27" s="1"/>
  <c r="G196" i="27"/>
  <c r="D196" i="27"/>
  <c r="C196" i="27"/>
  <c r="B196" i="27"/>
  <c r="J195" i="27"/>
  <c r="K195" i="27" s="1"/>
  <c r="G195" i="27"/>
  <c r="D195" i="27"/>
  <c r="C195" i="27"/>
  <c r="B195" i="27"/>
  <c r="K194" i="27"/>
  <c r="J194" i="27"/>
  <c r="G194" i="27"/>
  <c r="D194" i="27"/>
  <c r="C194" i="27"/>
  <c r="B194" i="27"/>
  <c r="K193" i="27"/>
  <c r="J193" i="27"/>
  <c r="G193" i="27"/>
  <c r="D193" i="27"/>
  <c r="C193" i="27"/>
  <c r="B193" i="27"/>
  <c r="J192" i="27"/>
  <c r="K192" i="27" s="1"/>
  <c r="G192" i="27"/>
  <c r="D192" i="27"/>
  <c r="C192" i="27"/>
  <c r="B192" i="27"/>
  <c r="J191" i="27"/>
  <c r="K191" i="27" s="1"/>
  <c r="G191" i="27"/>
  <c r="D191" i="27"/>
  <c r="C191" i="27"/>
  <c r="B191" i="27"/>
  <c r="K190" i="27"/>
  <c r="J190" i="27"/>
  <c r="G190" i="27"/>
  <c r="D190" i="27"/>
  <c r="C190" i="27"/>
  <c r="B190" i="27"/>
  <c r="K189" i="27"/>
  <c r="J189" i="27"/>
  <c r="G189" i="27"/>
  <c r="D189" i="27"/>
  <c r="C189" i="27"/>
  <c r="B189" i="27"/>
  <c r="J188" i="27"/>
  <c r="K188" i="27" s="1"/>
  <c r="G188" i="27"/>
  <c r="D188" i="27"/>
  <c r="C188" i="27"/>
  <c r="B188" i="27"/>
  <c r="K187" i="27"/>
  <c r="J187" i="27"/>
  <c r="G187" i="27"/>
  <c r="D187" i="27"/>
  <c r="C187" i="27"/>
  <c r="B187" i="27"/>
  <c r="K186" i="27"/>
  <c r="J186" i="27"/>
  <c r="G186" i="27"/>
  <c r="D186" i="27"/>
  <c r="C186" i="27"/>
  <c r="B186" i="27"/>
  <c r="K185" i="27"/>
  <c r="J185" i="27"/>
  <c r="G185" i="27"/>
  <c r="D185" i="27"/>
  <c r="C185" i="27"/>
  <c r="B185" i="27"/>
  <c r="J184" i="27"/>
  <c r="K184" i="27" s="1"/>
  <c r="G184" i="27"/>
  <c r="D184" i="27"/>
  <c r="C184" i="27"/>
  <c r="B184" i="27"/>
  <c r="K183" i="27"/>
  <c r="J183" i="27"/>
  <c r="G183" i="27"/>
  <c r="D183" i="27"/>
  <c r="C183" i="27"/>
  <c r="B183" i="27"/>
  <c r="K182" i="27"/>
  <c r="J182" i="27"/>
  <c r="G182" i="27"/>
  <c r="D182" i="27"/>
  <c r="C182" i="27"/>
  <c r="B182" i="27"/>
  <c r="K181" i="27"/>
  <c r="J181" i="27"/>
  <c r="G181" i="27"/>
  <c r="D181" i="27"/>
  <c r="C181" i="27"/>
  <c r="B181" i="27"/>
  <c r="J180" i="27"/>
  <c r="K180" i="27" s="1"/>
  <c r="G180" i="27"/>
  <c r="D180" i="27"/>
  <c r="C180" i="27"/>
  <c r="B180" i="27"/>
  <c r="J179" i="27"/>
  <c r="K179" i="27" s="1"/>
  <c r="G179" i="27"/>
  <c r="D179" i="27"/>
  <c r="C179" i="27"/>
  <c r="B179" i="27"/>
  <c r="K178" i="27"/>
  <c r="J178" i="27"/>
  <c r="G178" i="27"/>
  <c r="D178" i="27"/>
  <c r="C178" i="27"/>
  <c r="B178" i="27"/>
  <c r="K177" i="27"/>
  <c r="J177" i="27"/>
  <c r="G177" i="27"/>
  <c r="D177" i="27"/>
  <c r="C177" i="27"/>
  <c r="B177" i="27"/>
  <c r="J176" i="27"/>
  <c r="K176" i="27" s="1"/>
  <c r="G176" i="27"/>
  <c r="D176" i="27"/>
  <c r="C176" i="27"/>
  <c r="B176" i="27"/>
  <c r="J175" i="27"/>
  <c r="K175" i="27" s="1"/>
  <c r="G175" i="27"/>
  <c r="D175" i="27"/>
  <c r="C175" i="27"/>
  <c r="B175" i="27"/>
  <c r="K174" i="27"/>
  <c r="J174" i="27"/>
  <c r="G174" i="27"/>
  <c r="D174" i="27"/>
  <c r="C174" i="27"/>
  <c r="B174" i="27"/>
  <c r="K173" i="27"/>
  <c r="J173" i="27"/>
  <c r="G173" i="27"/>
  <c r="D173" i="27"/>
  <c r="C173" i="27"/>
  <c r="B173" i="27"/>
  <c r="J172" i="27"/>
  <c r="K172" i="27" s="1"/>
  <c r="G172" i="27"/>
  <c r="D172" i="27"/>
  <c r="C172" i="27"/>
  <c r="B172" i="27"/>
  <c r="K171" i="27"/>
  <c r="J171" i="27"/>
  <c r="G171" i="27"/>
  <c r="D171" i="27"/>
  <c r="C171" i="27"/>
  <c r="B171" i="27"/>
  <c r="K170" i="27"/>
  <c r="J170" i="27"/>
  <c r="G170" i="27"/>
  <c r="D170" i="27"/>
  <c r="C170" i="27"/>
  <c r="B170" i="27"/>
  <c r="K169" i="27"/>
  <c r="J169" i="27"/>
  <c r="G169" i="27"/>
  <c r="D169" i="27"/>
  <c r="C169" i="27"/>
  <c r="B169" i="27"/>
  <c r="J168" i="27"/>
  <c r="K168" i="27" s="1"/>
  <c r="G168" i="27"/>
  <c r="D168" i="27"/>
  <c r="C168" i="27"/>
  <c r="B168" i="27"/>
  <c r="J167" i="27"/>
  <c r="K167" i="27" s="1"/>
  <c r="G167" i="27"/>
  <c r="D167" i="27"/>
  <c r="C167" i="27"/>
  <c r="B167" i="27"/>
  <c r="K166" i="27"/>
  <c r="J166" i="27"/>
  <c r="G166" i="27"/>
  <c r="D166" i="27"/>
  <c r="C166" i="27"/>
  <c r="B166" i="27"/>
  <c r="K165" i="27"/>
  <c r="J165" i="27"/>
  <c r="G165" i="27"/>
  <c r="D165" i="27"/>
  <c r="C165" i="27"/>
  <c r="B165" i="27"/>
  <c r="J164" i="27"/>
  <c r="K164" i="27" s="1"/>
  <c r="G164" i="27"/>
  <c r="D164" i="27"/>
  <c r="C164" i="27"/>
  <c r="B164" i="27"/>
  <c r="J163" i="27"/>
  <c r="K163" i="27" s="1"/>
  <c r="G163" i="27"/>
  <c r="D163" i="27"/>
  <c r="C163" i="27"/>
  <c r="B163" i="27"/>
  <c r="K162" i="27"/>
  <c r="J162" i="27"/>
  <c r="G162" i="27"/>
  <c r="D162" i="27"/>
  <c r="C162" i="27"/>
  <c r="B162" i="27"/>
  <c r="K161" i="27"/>
  <c r="J161" i="27"/>
  <c r="G161" i="27"/>
  <c r="D161" i="27"/>
  <c r="C161" i="27"/>
  <c r="B161" i="27"/>
  <c r="J160" i="27"/>
  <c r="K160" i="27" s="1"/>
  <c r="G160" i="27"/>
  <c r="D160" i="27"/>
  <c r="C160" i="27"/>
  <c r="B160" i="27"/>
  <c r="J159" i="27"/>
  <c r="K159" i="27" s="1"/>
  <c r="G159" i="27"/>
  <c r="D159" i="27"/>
  <c r="C159" i="27"/>
  <c r="B159" i="27"/>
  <c r="K158" i="27"/>
  <c r="J158" i="27"/>
  <c r="G158" i="27"/>
  <c r="D158" i="27"/>
  <c r="C158" i="27"/>
  <c r="B158" i="27"/>
  <c r="K157" i="27"/>
  <c r="J157" i="27"/>
  <c r="G157" i="27"/>
  <c r="D157" i="27"/>
  <c r="C157" i="27"/>
  <c r="B157" i="27"/>
  <c r="J156" i="27"/>
  <c r="K156" i="27" s="1"/>
  <c r="G156" i="27"/>
  <c r="D156" i="27"/>
  <c r="C156" i="27"/>
  <c r="B156" i="27"/>
  <c r="K155" i="27"/>
  <c r="J155" i="27"/>
  <c r="G155" i="27"/>
  <c r="D155" i="27"/>
  <c r="C155" i="27"/>
  <c r="B155" i="27"/>
  <c r="K154" i="27"/>
  <c r="J154" i="27"/>
  <c r="G154" i="27"/>
  <c r="D154" i="27"/>
  <c r="C154" i="27"/>
  <c r="B154" i="27"/>
  <c r="K153" i="27"/>
  <c r="J153" i="27"/>
  <c r="G153" i="27"/>
  <c r="D153" i="27"/>
  <c r="C153" i="27"/>
  <c r="B153" i="27"/>
  <c r="J152" i="27"/>
  <c r="K152" i="27" s="1"/>
  <c r="G152" i="27"/>
  <c r="D152" i="27"/>
  <c r="C152" i="27"/>
  <c r="B152" i="27"/>
  <c r="K151" i="27"/>
  <c r="J151" i="27"/>
  <c r="G151" i="27"/>
  <c r="D151" i="27"/>
  <c r="C151" i="27"/>
  <c r="B151" i="27"/>
  <c r="K150" i="27"/>
  <c r="J150" i="27"/>
  <c r="G150" i="27"/>
  <c r="D150" i="27"/>
  <c r="C150" i="27"/>
  <c r="B150" i="27"/>
  <c r="K149" i="27"/>
  <c r="J149" i="27"/>
  <c r="G149" i="27"/>
  <c r="D149" i="27"/>
  <c r="C149" i="27"/>
  <c r="B149" i="27"/>
  <c r="J148" i="27"/>
  <c r="K148" i="27" s="1"/>
  <c r="G148" i="27"/>
  <c r="D148" i="27"/>
  <c r="C148" i="27"/>
  <c r="B148" i="27"/>
  <c r="J147" i="27"/>
  <c r="K147" i="27" s="1"/>
  <c r="G147" i="27"/>
  <c r="D147" i="27"/>
  <c r="C147" i="27"/>
  <c r="B147" i="27"/>
  <c r="K146" i="27"/>
  <c r="J146" i="27"/>
  <c r="G146" i="27"/>
  <c r="D146" i="27"/>
  <c r="C146" i="27"/>
  <c r="B146" i="27"/>
  <c r="K145" i="27"/>
  <c r="J145" i="27"/>
  <c r="G145" i="27"/>
  <c r="D145" i="27"/>
  <c r="C145" i="27"/>
  <c r="B145" i="27"/>
  <c r="J144" i="27"/>
  <c r="K144" i="27" s="1"/>
  <c r="G144" i="27"/>
  <c r="D144" i="27"/>
  <c r="C144" i="27"/>
  <c r="B144" i="27"/>
  <c r="J143" i="27"/>
  <c r="K143" i="27" s="1"/>
  <c r="G143" i="27"/>
  <c r="D143" i="27"/>
  <c r="C143" i="27"/>
  <c r="B143" i="27"/>
  <c r="K142" i="27"/>
  <c r="J142" i="27"/>
  <c r="G142" i="27"/>
  <c r="D142" i="27"/>
  <c r="C142" i="27"/>
  <c r="B142" i="27"/>
  <c r="K141" i="27"/>
  <c r="J141" i="27"/>
  <c r="G141" i="27"/>
  <c r="D141" i="27"/>
  <c r="C141" i="27"/>
  <c r="B141" i="27"/>
  <c r="J140" i="27"/>
  <c r="K140" i="27" s="1"/>
  <c r="G140" i="27"/>
  <c r="D140" i="27"/>
  <c r="C140" i="27"/>
  <c r="B140" i="27"/>
  <c r="K139" i="27"/>
  <c r="J139" i="27"/>
  <c r="G139" i="27"/>
  <c r="D139" i="27"/>
  <c r="C139" i="27"/>
  <c r="B139" i="27"/>
  <c r="K138" i="27"/>
  <c r="J138" i="27"/>
  <c r="G138" i="27"/>
  <c r="D138" i="27"/>
  <c r="C138" i="27"/>
  <c r="B138" i="27"/>
  <c r="K137" i="27"/>
  <c r="J137" i="27"/>
  <c r="G137" i="27"/>
  <c r="D137" i="27"/>
  <c r="C137" i="27"/>
  <c r="B137" i="27"/>
  <c r="J136" i="27"/>
  <c r="K136" i="27" s="1"/>
  <c r="G136" i="27"/>
  <c r="D136" i="27"/>
  <c r="C136" i="27"/>
  <c r="B136" i="27"/>
  <c r="J135" i="27"/>
  <c r="K135" i="27" s="1"/>
  <c r="G135" i="27"/>
  <c r="D135" i="27"/>
  <c r="C135" i="27"/>
  <c r="B135" i="27"/>
  <c r="K134" i="27"/>
  <c r="J134" i="27"/>
  <c r="G134" i="27"/>
  <c r="D134" i="27"/>
  <c r="C134" i="27"/>
  <c r="B134" i="27"/>
  <c r="K133" i="27"/>
  <c r="J133" i="27"/>
  <c r="G133" i="27"/>
  <c r="D133" i="27"/>
  <c r="C133" i="27"/>
  <c r="B133" i="27"/>
  <c r="J132" i="27"/>
  <c r="K132" i="27" s="1"/>
  <c r="G132" i="27"/>
  <c r="D132" i="27"/>
  <c r="C132" i="27"/>
  <c r="B132" i="27"/>
  <c r="J131" i="27"/>
  <c r="K131" i="27" s="1"/>
  <c r="G131" i="27"/>
  <c r="D131" i="27"/>
  <c r="C131" i="27"/>
  <c r="B131" i="27"/>
  <c r="K130" i="27"/>
  <c r="J130" i="27"/>
  <c r="G130" i="27"/>
  <c r="D130" i="27"/>
  <c r="C130" i="27"/>
  <c r="B130" i="27"/>
  <c r="K129" i="27"/>
  <c r="J129" i="27"/>
  <c r="G129" i="27"/>
  <c r="D129" i="27"/>
  <c r="C129" i="27"/>
  <c r="B129" i="27"/>
  <c r="J128" i="27"/>
  <c r="K128" i="27" s="1"/>
  <c r="G128" i="27"/>
  <c r="D128" i="27"/>
  <c r="C128" i="27"/>
  <c r="B128" i="27"/>
  <c r="J127" i="27"/>
  <c r="K127" i="27" s="1"/>
  <c r="G127" i="27"/>
  <c r="D127" i="27"/>
  <c r="C127" i="27"/>
  <c r="B127" i="27"/>
  <c r="K126" i="27"/>
  <c r="J126" i="27"/>
  <c r="G126" i="27"/>
  <c r="D126" i="27"/>
  <c r="C126" i="27"/>
  <c r="B126" i="27"/>
  <c r="K125" i="27"/>
  <c r="J125" i="27"/>
  <c r="G125" i="27"/>
  <c r="D125" i="27"/>
  <c r="C125" i="27"/>
  <c r="B125" i="27"/>
  <c r="J124" i="27"/>
  <c r="K124" i="27" s="1"/>
  <c r="G124" i="27"/>
  <c r="D124" i="27"/>
  <c r="C124" i="27"/>
  <c r="B124" i="27"/>
  <c r="K123" i="27"/>
  <c r="J123" i="27"/>
  <c r="G123" i="27"/>
  <c r="D123" i="27"/>
  <c r="C123" i="27"/>
  <c r="B123" i="27"/>
  <c r="K122" i="27"/>
  <c r="J122" i="27"/>
  <c r="G122" i="27"/>
  <c r="D122" i="27"/>
  <c r="C122" i="27"/>
  <c r="B122" i="27"/>
  <c r="K121" i="27"/>
  <c r="J121" i="27"/>
  <c r="G121" i="27"/>
  <c r="D121" i="27"/>
  <c r="C121" i="27"/>
  <c r="B121" i="27"/>
  <c r="J120" i="27"/>
  <c r="K120" i="27" s="1"/>
  <c r="G120" i="27"/>
  <c r="D120" i="27"/>
  <c r="C120" i="27"/>
  <c r="B120" i="27"/>
  <c r="K119" i="27"/>
  <c r="J119" i="27"/>
  <c r="G119" i="27"/>
  <c r="D119" i="27"/>
  <c r="C119" i="27"/>
  <c r="B119" i="27"/>
  <c r="K118" i="27"/>
  <c r="J118" i="27"/>
  <c r="G118" i="27"/>
  <c r="D118" i="27"/>
  <c r="C118" i="27"/>
  <c r="B118" i="27"/>
  <c r="K117" i="27"/>
  <c r="J117" i="27"/>
  <c r="G117" i="27"/>
  <c r="D117" i="27"/>
  <c r="C117" i="27"/>
  <c r="B117" i="27"/>
  <c r="J116" i="27"/>
  <c r="K116" i="27" s="1"/>
  <c r="G116" i="27"/>
  <c r="D116" i="27"/>
  <c r="C116" i="27"/>
  <c r="B116" i="27"/>
  <c r="J115" i="27"/>
  <c r="K115" i="27" s="1"/>
  <c r="G115" i="27"/>
  <c r="D115" i="27"/>
  <c r="C115" i="27"/>
  <c r="B115" i="27"/>
  <c r="K114" i="27"/>
  <c r="J114" i="27"/>
  <c r="G114" i="27"/>
  <c r="D114" i="27"/>
  <c r="C114" i="27"/>
  <c r="B114" i="27"/>
  <c r="K113" i="27"/>
  <c r="J113" i="27"/>
  <c r="G113" i="27"/>
  <c r="D113" i="27"/>
  <c r="C113" i="27"/>
  <c r="B113" i="27"/>
  <c r="J112" i="27"/>
  <c r="K112" i="27" s="1"/>
  <c r="G112" i="27"/>
  <c r="D112" i="27"/>
  <c r="C112" i="27"/>
  <c r="B112" i="27"/>
  <c r="J111" i="27"/>
  <c r="K111" i="27" s="1"/>
  <c r="G111" i="27"/>
  <c r="D111" i="27"/>
  <c r="C111" i="27"/>
  <c r="B111" i="27"/>
  <c r="K110" i="27"/>
  <c r="J110" i="27"/>
  <c r="G110" i="27"/>
  <c r="D110" i="27"/>
  <c r="C110" i="27"/>
  <c r="B110" i="27"/>
  <c r="K109" i="27"/>
  <c r="J109" i="27"/>
  <c r="G109" i="27"/>
  <c r="D109" i="27"/>
  <c r="C109" i="27"/>
  <c r="B109" i="27"/>
  <c r="J108" i="27"/>
  <c r="K108" i="27" s="1"/>
  <c r="G108" i="27"/>
  <c r="D108" i="27"/>
  <c r="C108" i="27"/>
  <c r="B108" i="27"/>
  <c r="K107" i="27"/>
  <c r="J107" i="27"/>
  <c r="G107" i="27"/>
  <c r="D107" i="27"/>
  <c r="C107" i="27"/>
  <c r="B107" i="27"/>
  <c r="K106" i="27"/>
  <c r="J106" i="27"/>
  <c r="G106" i="27"/>
  <c r="D106" i="27"/>
  <c r="C106" i="27"/>
  <c r="B106" i="27"/>
  <c r="K105" i="27"/>
  <c r="J105" i="27"/>
  <c r="G105" i="27"/>
  <c r="D105" i="27"/>
  <c r="C105" i="27"/>
  <c r="B105" i="27"/>
  <c r="J104" i="27"/>
  <c r="K104" i="27" s="1"/>
  <c r="G104" i="27"/>
  <c r="D104" i="27"/>
  <c r="C104" i="27"/>
  <c r="B104" i="27"/>
  <c r="J103" i="27"/>
  <c r="K103" i="27" s="1"/>
  <c r="G103" i="27"/>
  <c r="D103" i="27"/>
  <c r="C103" i="27"/>
  <c r="B103" i="27"/>
  <c r="K102" i="27"/>
  <c r="J102" i="27"/>
  <c r="G102" i="27"/>
  <c r="D102" i="27"/>
  <c r="C102" i="27"/>
  <c r="B102" i="27"/>
  <c r="K101" i="27"/>
  <c r="J101" i="27"/>
  <c r="G101" i="27"/>
  <c r="D101" i="27"/>
  <c r="C101" i="27"/>
  <c r="B101" i="27"/>
  <c r="J100" i="27"/>
  <c r="K100" i="27" s="1"/>
  <c r="G100" i="27"/>
  <c r="D100" i="27"/>
  <c r="C100" i="27"/>
  <c r="B100" i="27"/>
  <c r="J99" i="27"/>
  <c r="K99" i="27" s="1"/>
  <c r="G99" i="27"/>
  <c r="D99" i="27"/>
  <c r="C99" i="27"/>
  <c r="B99" i="27"/>
  <c r="K98" i="27"/>
  <c r="J98" i="27"/>
  <c r="G98" i="27"/>
  <c r="D98" i="27"/>
  <c r="C98" i="27"/>
  <c r="B98" i="27"/>
  <c r="K97" i="27"/>
  <c r="J97" i="27"/>
  <c r="G97" i="27"/>
  <c r="D97" i="27"/>
  <c r="C97" i="27"/>
  <c r="B97" i="27"/>
  <c r="J96" i="27"/>
  <c r="K96" i="27" s="1"/>
  <c r="G96" i="27"/>
  <c r="D96" i="27"/>
  <c r="C96" i="27"/>
  <c r="B96" i="27"/>
  <c r="J95" i="27"/>
  <c r="K95" i="27" s="1"/>
  <c r="G95" i="27"/>
  <c r="D95" i="27"/>
  <c r="C95" i="27"/>
  <c r="B95" i="27"/>
  <c r="K94" i="27"/>
  <c r="J94" i="27"/>
  <c r="G94" i="27"/>
  <c r="D94" i="27"/>
  <c r="C94" i="27"/>
  <c r="B94" i="27"/>
  <c r="K93" i="27"/>
  <c r="J93" i="27"/>
  <c r="G93" i="27"/>
  <c r="D93" i="27"/>
  <c r="C93" i="27"/>
  <c r="B93" i="27"/>
  <c r="J92" i="27"/>
  <c r="K92" i="27" s="1"/>
  <c r="G92" i="27"/>
  <c r="D92" i="27"/>
  <c r="C92" i="27"/>
  <c r="B92" i="27"/>
  <c r="K91" i="27"/>
  <c r="J91" i="27"/>
  <c r="G91" i="27"/>
  <c r="D91" i="27"/>
  <c r="C91" i="27"/>
  <c r="B91" i="27"/>
  <c r="K90" i="27"/>
  <c r="J90" i="27"/>
  <c r="G90" i="27"/>
  <c r="D90" i="27"/>
  <c r="C90" i="27"/>
  <c r="B90" i="27"/>
  <c r="K89" i="27"/>
  <c r="J89" i="27"/>
  <c r="G89" i="27"/>
  <c r="D89" i="27"/>
  <c r="C89" i="27"/>
  <c r="B89" i="27"/>
  <c r="J88" i="27"/>
  <c r="K88" i="27" s="1"/>
  <c r="G88" i="27"/>
  <c r="D88" i="27"/>
  <c r="C88" i="27"/>
  <c r="B88" i="27"/>
  <c r="K87" i="27"/>
  <c r="J87" i="27"/>
  <c r="G87" i="27"/>
  <c r="D87" i="27"/>
  <c r="C87" i="27"/>
  <c r="B87" i="27"/>
  <c r="K86" i="27"/>
  <c r="J86" i="27"/>
  <c r="G86" i="27"/>
  <c r="D86" i="27"/>
  <c r="C86" i="27"/>
  <c r="B86" i="27"/>
  <c r="K85" i="27"/>
  <c r="J85" i="27"/>
  <c r="G85" i="27"/>
  <c r="D85" i="27"/>
  <c r="C85" i="27"/>
  <c r="B85" i="27"/>
  <c r="J84" i="27"/>
  <c r="K84" i="27" s="1"/>
  <c r="G84" i="27"/>
  <c r="D84" i="27"/>
  <c r="C84" i="27"/>
  <c r="B84" i="27"/>
  <c r="J83" i="27"/>
  <c r="K83" i="27" s="1"/>
  <c r="G83" i="27"/>
  <c r="D83" i="27"/>
  <c r="C83" i="27"/>
  <c r="B83" i="27"/>
  <c r="K82" i="27"/>
  <c r="J82" i="27"/>
  <c r="G82" i="27"/>
  <c r="D82" i="27"/>
  <c r="C82" i="27"/>
  <c r="B82" i="27"/>
  <c r="K81" i="27"/>
  <c r="J81" i="27"/>
  <c r="G81" i="27"/>
  <c r="D81" i="27"/>
  <c r="C81" i="27"/>
  <c r="B81" i="27"/>
  <c r="J80" i="27"/>
  <c r="K80" i="27" s="1"/>
  <c r="G80" i="27"/>
  <c r="D80" i="27"/>
  <c r="C80" i="27"/>
  <c r="B80" i="27"/>
  <c r="J79" i="27"/>
  <c r="K79" i="27" s="1"/>
  <c r="G79" i="27"/>
  <c r="D79" i="27"/>
  <c r="C79" i="27"/>
  <c r="B79" i="27"/>
  <c r="K78" i="27"/>
  <c r="J78" i="27"/>
  <c r="G78" i="27"/>
  <c r="D78" i="27"/>
  <c r="C78" i="27"/>
  <c r="B78" i="27"/>
  <c r="K77" i="27"/>
  <c r="J77" i="27"/>
  <c r="G77" i="27"/>
  <c r="D77" i="27"/>
  <c r="C77" i="27"/>
  <c r="B77" i="27"/>
  <c r="J76" i="27"/>
  <c r="K76" i="27" s="1"/>
  <c r="G76" i="27"/>
  <c r="D76" i="27"/>
  <c r="C76" i="27"/>
  <c r="B76" i="27"/>
  <c r="K75" i="27"/>
  <c r="J75" i="27"/>
  <c r="G75" i="27"/>
  <c r="D75" i="27"/>
  <c r="C75" i="27"/>
  <c r="B75" i="27"/>
  <c r="K74" i="27"/>
  <c r="J74" i="27"/>
  <c r="G74" i="27"/>
  <c r="D74" i="27"/>
  <c r="C74" i="27"/>
  <c r="B74" i="27"/>
  <c r="K73" i="27"/>
  <c r="J73" i="27"/>
  <c r="G73" i="27"/>
  <c r="D73" i="27"/>
  <c r="C73" i="27"/>
  <c r="B73" i="27"/>
  <c r="J72" i="27"/>
  <c r="K72" i="27" s="1"/>
  <c r="G72" i="27"/>
  <c r="D72" i="27"/>
  <c r="C72" i="27"/>
  <c r="B72" i="27"/>
  <c r="J71" i="27"/>
  <c r="K71" i="27" s="1"/>
  <c r="G71" i="27"/>
  <c r="D71" i="27"/>
  <c r="C71" i="27"/>
  <c r="B71" i="27"/>
  <c r="K70" i="27"/>
  <c r="J70" i="27"/>
  <c r="G70" i="27"/>
  <c r="D70" i="27"/>
  <c r="C70" i="27"/>
  <c r="B70" i="27"/>
  <c r="K69" i="27"/>
  <c r="J69" i="27"/>
  <c r="G69" i="27"/>
  <c r="D69" i="27"/>
  <c r="C69" i="27"/>
  <c r="B69" i="27"/>
  <c r="J68" i="27"/>
  <c r="K68" i="27" s="1"/>
  <c r="G68" i="27"/>
  <c r="D68" i="27"/>
  <c r="C68" i="27"/>
  <c r="B68" i="27"/>
  <c r="J67" i="27"/>
  <c r="K67" i="27" s="1"/>
  <c r="G67" i="27"/>
  <c r="D67" i="27"/>
  <c r="C67" i="27"/>
  <c r="B67" i="27"/>
  <c r="K66" i="27"/>
  <c r="J66" i="27"/>
  <c r="G66" i="27"/>
  <c r="D66" i="27"/>
  <c r="C66" i="27"/>
  <c r="B66" i="27"/>
  <c r="K65" i="27"/>
  <c r="J65" i="27"/>
  <c r="G65" i="27"/>
  <c r="D65" i="27"/>
  <c r="C65" i="27"/>
  <c r="B65" i="27"/>
  <c r="J64" i="27"/>
  <c r="K64" i="27" s="1"/>
  <c r="G64" i="27"/>
  <c r="D64" i="27"/>
  <c r="C64" i="27"/>
  <c r="B64" i="27"/>
  <c r="J63" i="27"/>
  <c r="K63" i="27" s="1"/>
  <c r="G63" i="27"/>
  <c r="D63" i="27"/>
  <c r="C63" i="27"/>
  <c r="B63" i="27"/>
  <c r="K62" i="27"/>
  <c r="J62" i="27"/>
  <c r="G62" i="27"/>
  <c r="D62" i="27"/>
  <c r="C62" i="27"/>
  <c r="B62" i="27"/>
  <c r="K61" i="27"/>
  <c r="J61" i="27"/>
  <c r="G61" i="27"/>
  <c r="D61" i="27"/>
  <c r="C61" i="27"/>
  <c r="B61" i="27"/>
  <c r="J60" i="27"/>
  <c r="K60" i="27" s="1"/>
  <c r="G60" i="27"/>
  <c r="D60" i="27"/>
  <c r="C60" i="27"/>
  <c r="B60" i="27"/>
  <c r="K59" i="27"/>
  <c r="J59" i="27"/>
  <c r="G59" i="27"/>
  <c r="D59" i="27"/>
  <c r="C59" i="27"/>
  <c r="B59" i="27"/>
  <c r="K58" i="27"/>
  <c r="J58" i="27"/>
  <c r="G58" i="27"/>
  <c r="D58" i="27"/>
  <c r="C58" i="27"/>
  <c r="B58" i="27"/>
  <c r="K57" i="27"/>
  <c r="J57" i="27"/>
  <c r="G57" i="27"/>
  <c r="D57" i="27"/>
  <c r="C57" i="27"/>
  <c r="B57" i="27"/>
  <c r="J56" i="27"/>
  <c r="K56" i="27" s="1"/>
  <c r="G56" i="27"/>
  <c r="D56" i="27"/>
  <c r="C56" i="27"/>
  <c r="B56" i="27"/>
  <c r="K55" i="27"/>
  <c r="J55" i="27"/>
  <c r="G55" i="27"/>
  <c r="D55" i="27"/>
  <c r="C55" i="27"/>
  <c r="B55" i="27"/>
  <c r="K54" i="27"/>
  <c r="J54" i="27"/>
  <c r="G54" i="27"/>
  <c r="D54" i="27"/>
  <c r="C54" i="27"/>
  <c r="B54" i="27"/>
  <c r="K53" i="27"/>
  <c r="J53" i="27"/>
  <c r="G53" i="27"/>
  <c r="D53" i="27"/>
  <c r="C53" i="27"/>
  <c r="B53" i="27"/>
  <c r="J52" i="27"/>
  <c r="K52" i="27" s="1"/>
  <c r="G52" i="27"/>
  <c r="D52" i="27"/>
  <c r="C52" i="27"/>
  <c r="B52" i="27"/>
  <c r="J51" i="27"/>
  <c r="K51" i="27" s="1"/>
  <c r="G51" i="27"/>
  <c r="D51" i="27"/>
  <c r="C51" i="27"/>
  <c r="B51" i="27"/>
  <c r="K50" i="27"/>
  <c r="J50" i="27"/>
  <c r="G50" i="27"/>
  <c r="D50" i="27"/>
  <c r="C50" i="27"/>
  <c r="B50" i="27"/>
  <c r="K49" i="27"/>
  <c r="J49" i="27"/>
  <c r="G49" i="27"/>
  <c r="D49" i="27"/>
  <c r="C49" i="27"/>
  <c r="B49" i="27"/>
  <c r="J48" i="27"/>
  <c r="K48" i="27" s="1"/>
  <c r="G48" i="27"/>
  <c r="D48" i="27"/>
  <c r="C48" i="27"/>
  <c r="B48" i="27"/>
  <c r="J47" i="27"/>
  <c r="K47" i="27" s="1"/>
  <c r="G47" i="27"/>
  <c r="D47" i="27"/>
  <c r="C47" i="27"/>
  <c r="B47" i="27"/>
  <c r="K46" i="27"/>
  <c r="J46" i="27"/>
  <c r="G46" i="27"/>
  <c r="D46" i="27"/>
  <c r="C46" i="27"/>
  <c r="B46" i="27"/>
  <c r="K45" i="27"/>
  <c r="J45" i="27"/>
  <c r="G45" i="27"/>
  <c r="D45" i="27"/>
  <c r="C45" i="27"/>
  <c r="B45" i="27"/>
  <c r="J44" i="27"/>
  <c r="K44" i="27" s="1"/>
  <c r="G44" i="27"/>
  <c r="D44" i="27"/>
  <c r="C44" i="27"/>
  <c r="B44" i="27"/>
  <c r="K43" i="27"/>
  <c r="J43" i="27"/>
  <c r="G43" i="27"/>
  <c r="D43" i="27"/>
  <c r="C43" i="27"/>
  <c r="B43" i="27"/>
  <c r="K42" i="27"/>
  <c r="J42" i="27"/>
  <c r="G42" i="27"/>
  <c r="D42" i="27"/>
  <c r="C42" i="27"/>
  <c r="B42" i="27"/>
  <c r="K41" i="27"/>
  <c r="J41" i="27"/>
  <c r="G41" i="27"/>
  <c r="D41" i="27"/>
  <c r="C41" i="27"/>
  <c r="B41" i="27"/>
  <c r="J40" i="27"/>
  <c r="K40" i="27" s="1"/>
  <c r="G40" i="27"/>
  <c r="D40" i="27"/>
  <c r="C40" i="27"/>
  <c r="B40" i="27"/>
  <c r="J39" i="27"/>
  <c r="K39" i="27" s="1"/>
  <c r="G39" i="27"/>
  <c r="D39" i="27"/>
  <c r="C39" i="27"/>
  <c r="B39" i="27"/>
  <c r="K38" i="27"/>
  <c r="J38" i="27"/>
  <c r="G38" i="27"/>
  <c r="D38" i="27"/>
  <c r="C38" i="27"/>
  <c r="B38" i="27"/>
  <c r="K37" i="27"/>
  <c r="J37" i="27"/>
  <c r="G37" i="27"/>
  <c r="D37" i="27"/>
  <c r="C37" i="27"/>
  <c r="B37" i="27"/>
  <c r="J36" i="27"/>
  <c r="K36" i="27" s="1"/>
  <c r="G36" i="27"/>
  <c r="D36" i="27"/>
  <c r="C36" i="27"/>
  <c r="B36" i="27"/>
  <c r="J35" i="27"/>
  <c r="K35" i="27" s="1"/>
  <c r="G35" i="27"/>
  <c r="D35" i="27"/>
  <c r="C35" i="27"/>
  <c r="B35" i="27"/>
  <c r="K34" i="27"/>
  <c r="J34" i="27"/>
  <c r="G34" i="27"/>
  <c r="D34" i="27"/>
  <c r="C34" i="27"/>
  <c r="B34" i="27"/>
  <c r="K33" i="27"/>
  <c r="J33" i="27"/>
  <c r="G33" i="27"/>
  <c r="D33" i="27"/>
  <c r="C33" i="27"/>
  <c r="B33" i="27"/>
  <c r="J32" i="27"/>
  <c r="K32" i="27" s="1"/>
  <c r="G32" i="27"/>
  <c r="D32" i="27"/>
  <c r="C32" i="27"/>
  <c r="B32" i="27"/>
  <c r="J31" i="27"/>
  <c r="K31" i="27" s="1"/>
  <c r="G31" i="27"/>
  <c r="D31" i="27"/>
  <c r="C31" i="27"/>
  <c r="B31" i="27"/>
  <c r="K30" i="27"/>
  <c r="J30" i="27"/>
  <c r="G30" i="27"/>
  <c r="D30" i="27"/>
  <c r="C30" i="27"/>
  <c r="B30" i="27"/>
  <c r="K29" i="27"/>
  <c r="J29" i="27"/>
  <c r="G29" i="27"/>
  <c r="D29" i="27"/>
  <c r="C29" i="27"/>
  <c r="B29" i="27"/>
  <c r="J28" i="27"/>
  <c r="K28" i="27" s="1"/>
  <c r="G28" i="27"/>
  <c r="D28" i="27"/>
  <c r="C28" i="27"/>
  <c r="B28" i="27"/>
  <c r="K27" i="27"/>
  <c r="J27" i="27"/>
  <c r="G27" i="27"/>
  <c r="D27" i="27"/>
  <c r="C27" i="27"/>
  <c r="B27" i="27"/>
  <c r="K26" i="27"/>
  <c r="J26" i="27"/>
  <c r="G26" i="27"/>
  <c r="D26" i="27"/>
  <c r="C26" i="27"/>
  <c r="B26" i="27"/>
  <c r="K25" i="27"/>
  <c r="J25" i="27"/>
  <c r="G25" i="27"/>
  <c r="D25" i="27"/>
  <c r="C25" i="27"/>
  <c r="B25" i="27"/>
  <c r="J24" i="27"/>
  <c r="K24" i="27" s="1"/>
  <c r="G24" i="27"/>
  <c r="D24" i="27"/>
  <c r="C24" i="27"/>
  <c r="B24" i="27"/>
  <c r="K23" i="27"/>
  <c r="J23" i="27"/>
  <c r="G23" i="27"/>
  <c r="D23" i="27"/>
  <c r="C23" i="27"/>
  <c r="B23" i="27"/>
  <c r="K22" i="27"/>
  <c r="J22" i="27"/>
  <c r="G22" i="27"/>
  <c r="D22" i="27"/>
  <c r="C22" i="27"/>
  <c r="B22" i="27"/>
  <c r="K21" i="27"/>
  <c r="J21" i="27"/>
  <c r="G21" i="27"/>
  <c r="D21" i="27"/>
  <c r="C21" i="27"/>
  <c r="B21" i="27"/>
  <c r="J20" i="27"/>
  <c r="K20" i="27" s="1"/>
  <c r="G20" i="27"/>
  <c r="D20" i="27"/>
  <c r="C20" i="27"/>
  <c r="B20" i="27"/>
  <c r="J19" i="27"/>
  <c r="K19" i="27" s="1"/>
  <c r="G19" i="27"/>
  <c r="D19" i="27"/>
  <c r="C19" i="27"/>
  <c r="B19" i="27"/>
  <c r="K18" i="27"/>
  <c r="J18" i="27"/>
  <c r="G18" i="27"/>
  <c r="D18" i="27"/>
  <c r="C18" i="27"/>
  <c r="B18" i="27"/>
  <c r="K17" i="27"/>
  <c r="J17" i="27"/>
  <c r="G17" i="27"/>
  <c r="D17" i="27"/>
  <c r="C17" i="27"/>
  <c r="B17" i="27"/>
  <c r="J16" i="27"/>
  <c r="K16" i="27" s="1"/>
  <c r="G16" i="27"/>
  <c r="D16" i="27"/>
  <c r="C16" i="27"/>
  <c r="B16" i="27"/>
  <c r="J15" i="27"/>
  <c r="K15" i="27" s="1"/>
  <c r="G15" i="27"/>
  <c r="D15" i="27"/>
  <c r="C15" i="27"/>
  <c r="B15" i="27"/>
  <c r="K14" i="27"/>
  <c r="J14" i="27"/>
  <c r="G14" i="27"/>
  <c r="D14" i="27"/>
  <c r="C14" i="27"/>
  <c r="B14" i="27"/>
  <c r="K13" i="27"/>
  <c r="J13" i="27"/>
  <c r="G13" i="27"/>
  <c r="D13" i="27"/>
  <c r="C13" i="27"/>
  <c r="B13" i="27"/>
  <c r="J12" i="27"/>
  <c r="K12" i="27" s="1"/>
  <c r="G12" i="27"/>
  <c r="D12" i="27"/>
  <c r="C12" i="27"/>
  <c r="B12" i="27"/>
  <c r="K11" i="27"/>
  <c r="J11" i="27"/>
  <c r="G11" i="27"/>
  <c r="D11" i="27"/>
  <c r="C11" i="27"/>
  <c r="B11" i="27"/>
  <c r="K10" i="27"/>
  <c r="J10" i="27"/>
  <c r="G10" i="27"/>
  <c r="D10" i="27"/>
  <c r="C10" i="27"/>
  <c r="B10" i="27"/>
  <c r="K9" i="27"/>
  <c r="J9" i="27"/>
  <c r="G9" i="27"/>
  <c r="D9" i="27"/>
  <c r="C9" i="27"/>
  <c r="B9" i="27"/>
  <c r="K4" i="27"/>
  <c r="G4" i="27"/>
  <c r="D4" i="27"/>
  <c r="A4" i="27"/>
  <c r="J208" i="26"/>
  <c r="I208" i="26"/>
  <c r="F208" i="26"/>
  <c r="D208" i="26"/>
  <c r="C208" i="26"/>
  <c r="B208" i="26"/>
  <c r="J207" i="26"/>
  <c r="I207" i="26"/>
  <c r="F207" i="26"/>
  <c r="D207" i="26"/>
  <c r="C207" i="26"/>
  <c r="B207" i="26"/>
  <c r="I206" i="26"/>
  <c r="J206" i="26" s="1"/>
  <c r="F206" i="26"/>
  <c r="D206" i="26"/>
  <c r="C206" i="26"/>
  <c r="B206" i="26"/>
  <c r="I205" i="26"/>
  <c r="J205" i="26" s="1"/>
  <c r="F205" i="26"/>
  <c r="D205" i="26"/>
  <c r="C205" i="26"/>
  <c r="B205" i="26"/>
  <c r="J204" i="26"/>
  <c r="I204" i="26"/>
  <c r="F204" i="26"/>
  <c r="D204" i="26"/>
  <c r="C204" i="26"/>
  <c r="B204" i="26"/>
  <c r="J203" i="26"/>
  <c r="I203" i="26"/>
  <c r="F203" i="26"/>
  <c r="D203" i="26"/>
  <c r="C203" i="26"/>
  <c r="B203" i="26"/>
  <c r="I202" i="26"/>
  <c r="J202" i="26" s="1"/>
  <c r="F202" i="26"/>
  <c r="D202" i="26"/>
  <c r="C202" i="26"/>
  <c r="B202" i="26"/>
  <c r="I201" i="26"/>
  <c r="J201" i="26" s="1"/>
  <c r="F201" i="26"/>
  <c r="D201" i="26"/>
  <c r="C201" i="26"/>
  <c r="B201" i="26"/>
  <c r="J200" i="26"/>
  <c r="I200" i="26"/>
  <c r="F200" i="26"/>
  <c r="D200" i="26"/>
  <c r="C200" i="26"/>
  <c r="B200" i="26"/>
  <c r="J199" i="26"/>
  <c r="I199" i="26"/>
  <c r="F199" i="26"/>
  <c r="D199" i="26"/>
  <c r="C199" i="26"/>
  <c r="B199" i="26"/>
  <c r="I198" i="26"/>
  <c r="J198" i="26" s="1"/>
  <c r="F198" i="26"/>
  <c r="D198" i="26"/>
  <c r="C198" i="26"/>
  <c r="B198" i="26"/>
  <c r="I197" i="26"/>
  <c r="J197" i="26" s="1"/>
  <c r="F197" i="26"/>
  <c r="D197" i="26"/>
  <c r="C197" i="26"/>
  <c r="B197" i="26"/>
  <c r="J196" i="26"/>
  <c r="I196" i="26"/>
  <c r="F196" i="26"/>
  <c r="D196" i="26"/>
  <c r="C196" i="26"/>
  <c r="B196" i="26"/>
  <c r="J195" i="26"/>
  <c r="I195" i="26"/>
  <c r="F195" i="26"/>
  <c r="D195" i="26"/>
  <c r="C195" i="26"/>
  <c r="B195" i="26"/>
  <c r="I194" i="26"/>
  <c r="J194" i="26" s="1"/>
  <c r="F194" i="26"/>
  <c r="D194" i="26"/>
  <c r="C194" i="26"/>
  <c r="B194" i="26"/>
  <c r="J193" i="26"/>
  <c r="I193" i="26"/>
  <c r="F193" i="26"/>
  <c r="D193" i="26"/>
  <c r="C193" i="26"/>
  <c r="B193" i="26"/>
  <c r="J192" i="26"/>
  <c r="I192" i="26"/>
  <c r="F192" i="26"/>
  <c r="D192" i="26"/>
  <c r="C192" i="26"/>
  <c r="B192" i="26"/>
  <c r="J191" i="26"/>
  <c r="I191" i="26"/>
  <c r="F191" i="26"/>
  <c r="D191" i="26"/>
  <c r="C191" i="26"/>
  <c r="B191" i="26"/>
  <c r="I190" i="26"/>
  <c r="J190" i="26" s="1"/>
  <c r="F190" i="26"/>
  <c r="D190" i="26"/>
  <c r="C190" i="26"/>
  <c r="B190" i="26"/>
  <c r="I189" i="26"/>
  <c r="J189" i="26" s="1"/>
  <c r="F189" i="26"/>
  <c r="D189" i="26"/>
  <c r="C189" i="26"/>
  <c r="B189" i="26"/>
  <c r="J188" i="26"/>
  <c r="I188" i="26"/>
  <c r="F188" i="26"/>
  <c r="D188" i="26"/>
  <c r="C188" i="26"/>
  <c r="B188" i="26"/>
  <c r="J187" i="26"/>
  <c r="I187" i="26"/>
  <c r="F187" i="26"/>
  <c r="D187" i="26"/>
  <c r="C187" i="26"/>
  <c r="B187" i="26"/>
  <c r="I186" i="26"/>
  <c r="J186" i="26" s="1"/>
  <c r="F186" i="26"/>
  <c r="D186" i="26"/>
  <c r="C186" i="26"/>
  <c r="B186" i="26"/>
  <c r="I185" i="26"/>
  <c r="J185" i="26" s="1"/>
  <c r="F185" i="26"/>
  <c r="D185" i="26"/>
  <c r="C185" i="26"/>
  <c r="B185" i="26"/>
  <c r="J184" i="26"/>
  <c r="I184" i="26"/>
  <c r="F184" i="26"/>
  <c r="D184" i="26"/>
  <c r="C184" i="26"/>
  <c r="B184" i="26"/>
  <c r="J183" i="26"/>
  <c r="I183" i="26"/>
  <c r="F183" i="26"/>
  <c r="D183" i="26"/>
  <c r="C183" i="26"/>
  <c r="B183" i="26"/>
  <c r="I182" i="26"/>
  <c r="J182" i="26" s="1"/>
  <c r="F182" i="26"/>
  <c r="D182" i="26"/>
  <c r="C182" i="26"/>
  <c r="B182" i="26"/>
  <c r="I181" i="26"/>
  <c r="J181" i="26" s="1"/>
  <c r="F181" i="26"/>
  <c r="D181" i="26"/>
  <c r="C181" i="26"/>
  <c r="B181" i="26"/>
  <c r="J180" i="26"/>
  <c r="I180" i="26"/>
  <c r="F180" i="26"/>
  <c r="D180" i="26"/>
  <c r="C180" i="26"/>
  <c r="B180" i="26"/>
  <c r="J179" i="26"/>
  <c r="I179" i="26"/>
  <c r="F179" i="26"/>
  <c r="D179" i="26"/>
  <c r="C179" i="26"/>
  <c r="B179" i="26"/>
  <c r="I178" i="26"/>
  <c r="J178" i="26" s="1"/>
  <c r="F178" i="26"/>
  <c r="D178" i="26"/>
  <c r="C178" i="26"/>
  <c r="B178" i="26"/>
  <c r="J177" i="26"/>
  <c r="I177" i="26"/>
  <c r="F177" i="26"/>
  <c r="D177" i="26"/>
  <c r="C177" i="26"/>
  <c r="B177" i="26"/>
  <c r="J176" i="26"/>
  <c r="I176" i="26"/>
  <c r="F176" i="26"/>
  <c r="D176" i="26"/>
  <c r="C176" i="26"/>
  <c r="B176" i="26"/>
  <c r="J175" i="26"/>
  <c r="I175" i="26"/>
  <c r="F175" i="26"/>
  <c r="D175" i="26"/>
  <c r="C175" i="26"/>
  <c r="B175" i="26"/>
  <c r="I174" i="26"/>
  <c r="J174" i="26" s="1"/>
  <c r="F174" i="26"/>
  <c r="D174" i="26"/>
  <c r="C174" i="26"/>
  <c r="B174" i="26"/>
  <c r="I173" i="26"/>
  <c r="J173" i="26" s="1"/>
  <c r="F173" i="26"/>
  <c r="D173" i="26"/>
  <c r="C173" i="26"/>
  <c r="B173" i="26"/>
  <c r="J172" i="26"/>
  <c r="I172" i="26"/>
  <c r="F172" i="26"/>
  <c r="D172" i="26"/>
  <c r="C172" i="26"/>
  <c r="B172" i="26"/>
  <c r="J171" i="26"/>
  <c r="I171" i="26"/>
  <c r="F171" i="26"/>
  <c r="D171" i="26"/>
  <c r="C171" i="26"/>
  <c r="B171" i="26"/>
  <c r="I170" i="26"/>
  <c r="J170" i="26" s="1"/>
  <c r="F170" i="26"/>
  <c r="D170" i="26"/>
  <c r="C170" i="26"/>
  <c r="B170" i="26"/>
  <c r="I169" i="26"/>
  <c r="J169" i="26" s="1"/>
  <c r="F169" i="26"/>
  <c r="D169" i="26"/>
  <c r="C169" i="26"/>
  <c r="B169" i="26"/>
  <c r="J168" i="26"/>
  <c r="I168" i="26"/>
  <c r="F168" i="26"/>
  <c r="D168" i="26"/>
  <c r="C168" i="26"/>
  <c r="B168" i="26"/>
  <c r="J167" i="26"/>
  <c r="I167" i="26"/>
  <c r="F167" i="26"/>
  <c r="D167" i="26"/>
  <c r="C167" i="26"/>
  <c r="B167" i="26"/>
  <c r="I166" i="26"/>
  <c r="J166" i="26" s="1"/>
  <c r="F166" i="26"/>
  <c r="D166" i="26"/>
  <c r="C166" i="26"/>
  <c r="B166" i="26"/>
  <c r="I165" i="26"/>
  <c r="J165" i="26" s="1"/>
  <c r="F165" i="26"/>
  <c r="D165" i="26"/>
  <c r="C165" i="26"/>
  <c r="B165" i="26"/>
  <c r="J164" i="26"/>
  <c r="I164" i="26"/>
  <c r="F164" i="26"/>
  <c r="D164" i="26"/>
  <c r="C164" i="26"/>
  <c r="B164" i="26"/>
  <c r="J163" i="26"/>
  <c r="I163" i="26"/>
  <c r="F163" i="26"/>
  <c r="D163" i="26"/>
  <c r="C163" i="26"/>
  <c r="B163" i="26"/>
  <c r="I162" i="26"/>
  <c r="J162" i="26" s="1"/>
  <c r="F162" i="26"/>
  <c r="D162" i="26"/>
  <c r="C162" i="26"/>
  <c r="B162" i="26"/>
  <c r="I161" i="26"/>
  <c r="J161" i="26" s="1"/>
  <c r="F161" i="26"/>
  <c r="D161" i="26"/>
  <c r="C161" i="26"/>
  <c r="B161" i="26"/>
  <c r="J160" i="26"/>
  <c r="I160" i="26"/>
  <c r="F160" i="26"/>
  <c r="D160" i="26"/>
  <c r="C160" i="26"/>
  <c r="B160" i="26"/>
  <c r="J159" i="26"/>
  <c r="I159" i="26"/>
  <c r="F159" i="26"/>
  <c r="D159" i="26"/>
  <c r="C159" i="26"/>
  <c r="B159" i="26"/>
  <c r="I158" i="26"/>
  <c r="J158" i="26" s="1"/>
  <c r="F158" i="26"/>
  <c r="D158" i="26"/>
  <c r="C158" i="26"/>
  <c r="B158" i="26"/>
  <c r="I157" i="26"/>
  <c r="J157" i="26" s="1"/>
  <c r="F157" i="26"/>
  <c r="D157" i="26"/>
  <c r="C157" i="26"/>
  <c r="B157" i="26"/>
  <c r="J156" i="26"/>
  <c r="I156" i="26"/>
  <c r="F156" i="26"/>
  <c r="D156" i="26"/>
  <c r="C156" i="26"/>
  <c r="B156" i="26"/>
  <c r="J155" i="26"/>
  <c r="I155" i="26"/>
  <c r="F155" i="26"/>
  <c r="D155" i="26"/>
  <c r="C155" i="26"/>
  <c r="B155" i="26"/>
  <c r="I154" i="26"/>
  <c r="J154" i="26" s="1"/>
  <c r="F154" i="26"/>
  <c r="D154" i="26"/>
  <c r="C154" i="26"/>
  <c r="B154" i="26"/>
  <c r="I153" i="26"/>
  <c r="J153" i="26" s="1"/>
  <c r="F153" i="26"/>
  <c r="D153" i="26"/>
  <c r="C153" i="26"/>
  <c r="B153" i="26"/>
  <c r="J152" i="26"/>
  <c r="I152" i="26"/>
  <c r="F152" i="26"/>
  <c r="D152" i="26"/>
  <c r="C152" i="26"/>
  <c r="B152" i="26"/>
  <c r="J151" i="26"/>
  <c r="I151" i="26"/>
  <c r="F151" i="26"/>
  <c r="D151" i="26"/>
  <c r="C151" i="26"/>
  <c r="B151" i="26"/>
  <c r="I150" i="26"/>
  <c r="J150" i="26" s="1"/>
  <c r="F150" i="26"/>
  <c r="D150" i="26"/>
  <c r="C150" i="26"/>
  <c r="B150" i="26"/>
  <c r="I149" i="26"/>
  <c r="J149" i="26" s="1"/>
  <c r="F149" i="26"/>
  <c r="D149" i="26"/>
  <c r="C149" i="26"/>
  <c r="B149" i="26"/>
  <c r="J148" i="26"/>
  <c r="I148" i="26"/>
  <c r="F148" i="26"/>
  <c r="D148" i="26"/>
  <c r="C148" i="26"/>
  <c r="B148" i="26"/>
  <c r="J147" i="26"/>
  <c r="I147" i="26"/>
  <c r="F147" i="26"/>
  <c r="D147" i="26"/>
  <c r="C147" i="26"/>
  <c r="B147" i="26"/>
  <c r="I146" i="26"/>
  <c r="J146" i="26" s="1"/>
  <c r="F146" i="26"/>
  <c r="D146" i="26"/>
  <c r="C146" i="26"/>
  <c r="B146" i="26"/>
  <c r="I145" i="26"/>
  <c r="J145" i="26" s="1"/>
  <c r="F145" i="26"/>
  <c r="D145" i="26"/>
  <c r="C145" i="26"/>
  <c r="B145" i="26"/>
  <c r="J144" i="26"/>
  <c r="I144" i="26"/>
  <c r="F144" i="26"/>
  <c r="D144" i="26"/>
  <c r="C144" i="26"/>
  <c r="B144" i="26"/>
  <c r="J143" i="26"/>
  <c r="I143" i="26"/>
  <c r="F143" i="26"/>
  <c r="D143" i="26"/>
  <c r="C143" i="26"/>
  <c r="B143" i="26"/>
  <c r="I142" i="26"/>
  <c r="J142" i="26" s="1"/>
  <c r="F142" i="26"/>
  <c r="D142" i="26"/>
  <c r="C142" i="26"/>
  <c r="B142" i="26"/>
  <c r="I141" i="26"/>
  <c r="J141" i="26" s="1"/>
  <c r="F141" i="26"/>
  <c r="D141" i="26"/>
  <c r="C141" i="26"/>
  <c r="B141" i="26"/>
  <c r="J140" i="26"/>
  <c r="I140" i="26"/>
  <c r="F140" i="26"/>
  <c r="D140" i="26"/>
  <c r="C140" i="26"/>
  <c r="B140" i="26"/>
  <c r="J139" i="26"/>
  <c r="I139" i="26"/>
  <c r="F139" i="26"/>
  <c r="D139" i="26"/>
  <c r="C139" i="26"/>
  <c r="B139" i="26"/>
  <c r="I138" i="26"/>
  <c r="J138" i="26" s="1"/>
  <c r="F138" i="26"/>
  <c r="D138" i="26"/>
  <c r="C138" i="26"/>
  <c r="B138" i="26"/>
  <c r="I137" i="26"/>
  <c r="J137" i="26" s="1"/>
  <c r="F137" i="26"/>
  <c r="D137" i="26"/>
  <c r="C137" i="26"/>
  <c r="B137" i="26"/>
  <c r="J136" i="26"/>
  <c r="I136" i="26"/>
  <c r="F136" i="26"/>
  <c r="D136" i="26"/>
  <c r="C136" i="26"/>
  <c r="B136" i="26"/>
  <c r="J135" i="26"/>
  <c r="I135" i="26"/>
  <c r="F135" i="26"/>
  <c r="D135" i="26"/>
  <c r="C135" i="26"/>
  <c r="B135" i="26"/>
  <c r="I134" i="26"/>
  <c r="J134" i="26" s="1"/>
  <c r="F134" i="26"/>
  <c r="D134" i="26"/>
  <c r="C134" i="26"/>
  <c r="B134" i="26"/>
  <c r="I133" i="26"/>
  <c r="J133" i="26" s="1"/>
  <c r="F133" i="26"/>
  <c r="D133" i="26"/>
  <c r="C133" i="26"/>
  <c r="B133" i="26"/>
  <c r="J132" i="26"/>
  <c r="I132" i="26"/>
  <c r="F132" i="26"/>
  <c r="D132" i="26"/>
  <c r="C132" i="26"/>
  <c r="B132" i="26"/>
  <c r="J131" i="26"/>
  <c r="I131" i="26"/>
  <c r="F131" i="26"/>
  <c r="D131" i="26"/>
  <c r="C131" i="26"/>
  <c r="B131" i="26"/>
  <c r="I130" i="26"/>
  <c r="J130" i="26" s="1"/>
  <c r="F130" i="26"/>
  <c r="D130" i="26"/>
  <c r="C130" i="26"/>
  <c r="B130" i="26"/>
  <c r="I129" i="26"/>
  <c r="J129" i="26" s="1"/>
  <c r="F129" i="26"/>
  <c r="D129" i="26"/>
  <c r="C129" i="26"/>
  <c r="B129" i="26"/>
  <c r="J128" i="26"/>
  <c r="I128" i="26"/>
  <c r="F128" i="26"/>
  <c r="D128" i="26"/>
  <c r="C128" i="26"/>
  <c r="B128" i="26"/>
  <c r="J127" i="26"/>
  <c r="I127" i="26"/>
  <c r="F127" i="26"/>
  <c r="D127" i="26"/>
  <c r="C127" i="26"/>
  <c r="B127" i="26"/>
  <c r="I126" i="26"/>
  <c r="J126" i="26" s="1"/>
  <c r="F126" i="26"/>
  <c r="D126" i="26"/>
  <c r="C126" i="26"/>
  <c r="B126" i="26"/>
  <c r="I125" i="26"/>
  <c r="J125" i="26" s="1"/>
  <c r="F125" i="26"/>
  <c r="D125" i="26"/>
  <c r="C125" i="26"/>
  <c r="B125" i="26"/>
  <c r="J124" i="26"/>
  <c r="I124" i="26"/>
  <c r="F124" i="26"/>
  <c r="D124" i="26"/>
  <c r="C124" i="26"/>
  <c r="B124" i="26"/>
  <c r="J123" i="26"/>
  <c r="I123" i="26"/>
  <c r="F123" i="26"/>
  <c r="D123" i="26"/>
  <c r="C123" i="26"/>
  <c r="B123" i="26"/>
  <c r="I122" i="26"/>
  <c r="J122" i="26" s="1"/>
  <c r="F122" i="26"/>
  <c r="D122" i="26"/>
  <c r="C122" i="26"/>
  <c r="B122" i="26"/>
  <c r="I121" i="26"/>
  <c r="J121" i="26" s="1"/>
  <c r="F121" i="26"/>
  <c r="D121" i="26"/>
  <c r="C121" i="26"/>
  <c r="B121" i="26"/>
  <c r="J120" i="26"/>
  <c r="I120" i="26"/>
  <c r="F120" i="26"/>
  <c r="D120" i="26"/>
  <c r="C120" i="26"/>
  <c r="B120" i="26"/>
  <c r="J119" i="26"/>
  <c r="I119" i="26"/>
  <c r="F119" i="26"/>
  <c r="D119" i="26"/>
  <c r="C119" i="26"/>
  <c r="B119" i="26"/>
  <c r="I118" i="26"/>
  <c r="J118" i="26" s="1"/>
  <c r="F118" i="26"/>
  <c r="D118" i="26"/>
  <c r="C118" i="26"/>
  <c r="B118" i="26"/>
  <c r="I117" i="26"/>
  <c r="J117" i="26" s="1"/>
  <c r="F117" i="26"/>
  <c r="D117" i="26"/>
  <c r="C117" i="26"/>
  <c r="B117" i="26"/>
  <c r="I116" i="26"/>
  <c r="J116" i="26" s="1"/>
  <c r="F116" i="26"/>
  <c r="D116" i="26"/>
  <c r="C116" i="26"/>
  <c r="B116" i="26"/>
  <c r="J115" i="26"/>
  <c r="I115" i="26"/>
  <c r="F115" i="26"/>
  <c r="D115" i="26"/>
  <c r="C115" i="26"/>
  <c r="B115" i="26"/>
  <c r="I114" i="26"/>
  <c r="J114" i="26" s="1"/>
  <c r="F114" i="26"/>
  <c r="D114" i="26"/>
  <c r="C114" i="26"/>
  <c r="B114" i="26"/>
  <c r="I113" i="26"/>
  <c r="J113" i="26" s="1"/>
  <c r="F113" i="26"/>
  <c r="D113" i="26"/>
  <c r="C113" i="26"/>
  <c r="B113" i="26"/>
  <c r="I112" i="26"/>
  <c r="J112" i="26" s="1"/>
  <c r="F112" i="26"/>
  <c r="D112" i="26"/>
  <c r="C112" i="26"/>
  <c r="B112" i="26"/>
  <c r="J111" i="26"/>
  <c r="I111" i="26"/>
  <c r="F111" i="26"/>
  <c r="D111" i="26"/>
  <c r="C111" i="26"/>
  <c r="B111" i="26"/>
  <c r="I110" i="26"/>
  <c r="J110" i="26" s="1"/>
  <c r="F110" i="26"/>
  <c r="D110" i="26"/>
  <c r="C110" i="26"/>
  <c r="B110" i="26"/>
  <c r="I109" i="26"/>
  <c r="J109" i="26" s="1"/>
  <c r="F109" i="26"/>
  <c r="D109" i="26"/>
  <c r="C109" i="26"/>
  <c r="B109" i="26"/>
  <c r="I108" i="26"/>
  <c r="J108" i="26" s="1"/>
  <c r="F108" i="26"/>
  <c r="D108" i="26"/>
  <c r="C108" i="26"/>
  <c r="B108" i="26"/>
  <c r="J107" i="26"/>
  <c r="I107" i="26"/>
  <c r="F107" i="26"/>
  <c r="D107" i="26"/>
  <c r="C107" i="26"/>
  <c r="B107" i="26"/>
  <c r="I106" i="26"/>
  <c r="J106" i="26" s="1"/>
  <c r="F106" i="26"/>
  <c r="D106" i="26"/>
  <c r="C106" i="26"/>
  <c r="B106" i="26"/>
  <c r="I105" i="26"/>
  <c r="J105" i="26" s="1"/>
  <c r="F105" i="26"/>
  <c r="D105" i="26"/>
  <c r="C105" i="26"/>
  <c r="B105" i="26"/>
  <c r="I104" i="26"/>
  <c r="J104" i="26" s="1"/>
  <c r="F104" i="26"/>
  <c r="D104" i="26"/>
  <c r="C104" i="26"/>
  <c r="B104" i="26"/>
  <c r="J103" i="26"/>
  <c r="I103" i="26"/>
  <c r="F103" i="26"/>
  <c r="D103" i="26"/>
  <c r="C103" i="26"/>
  <c r="B103" i="26"/>
  <c r="I102" i="26"/>
  <c r="J102" i="26" s="1"/>
  <c r="F102" i="26"/>
  <c r="D102" i="26"/>
  <c r="C102" i="26"/>
  <c r="B102" i="26"/>
  <c r="I101" i="26"/>
  <c r="J101" i="26" s="1"/>
  <c r="F101" i="26"/>
  <c r="D101" i="26"/>
  <c r="C101" i="26"/>
  <c r="B101" i="26"/>
  <c r="I100" i="26"/>
  <c r="J100" i="26" s="1"/>
  <c r="F100" i="26"/>
  <c r="D100" i="26"/>
  <c r="C100" i="26"/>
  <c r="B100" i="26"/>
  <c r="J99" i="26"/>
  <c r="I99" i="26"/>
  <c r="F99" i="26"/>
  <c r="D99" i="26"/>
  <c r="C99" i="26"/>
  <c r="B99" i="26"/>
  <c r="I98" i="26"/>
  <c r="J98" i="26" s="1"/>
  <c r="F98" i="26"/>
  <c r="D98" i="26"/>
  <c r="C98" i="26"/>
  <c r="B98" i="26"/>
  <c r="I97" i="26"/>
  <c r="J97" i="26" s="1"/>
  <c r="F97" i="26"/>
  <c r="D97" i="26"/>
  <c r="C97" i="26"/>
  <c r="B97" i="26"/>
  <c r="I96" i="26"/>
  <c r="J96" i="26" s="1"/>
  <c r="F96" i="26"/>
  <c r="D96" i="26"/>
  <c r="C96" i="26"/>
  <c r="B96" i="26"/>
  <c r="J95" i="26"/>
  <c r="I95" i="26"/>
  <c r="F95" i="26"/>
  <c r="D95" i="26"/>
  <c r="C95" i="26"/>
  <c r="B95" i="26"/>
  <c r="I94" i="26"/>
  <c r="J94" i="26" s="1"/>
  <c r="F94" i="26"/>
  <c r="D94" i="26"/>
  <c r="C94" i="26"/>
  <c r="B94" i="26"/>
  <c r="I93" i="26"/>
  <c r="J93" i="26" s="1"/>
  <c r="F93" i="26"/>
  <c r="D93" i="26"/>
  <c r="C93" i="26"/>
  <c r="B93" i="26"/>
  <c r="I92" i="26"/>
  <c r="J92" i="26" s="1"/>
  <c r="F92" i="26"/>
  <c r="D92" i="26"/>
  <c r="C92" i="26"/>
  <c r="B92" i="26"/>
  <c r="J91" i="26"/>
  <c r="I91" i="26"/>
  <c r="F91" i="26"/>
  <c r="D91" i="26"/>
  <c r="C91" i="26"/>
  <c r="B91" i="26"/>
  <c r="I90" i="26"/>
  <c r="J90" i="26" s="1"/>
  <c r="F90" i="26"/>
  <c r="D90" i="26"/>
  <c r="C90" i="26"/>
  <c r="B90" i="26"/>
  <c r="I89" i="26"/>
  <c r="J89" i="26" s="1"/>
  <c r="F89" i="26"/>
  <c r="D89" i="26"/>
  <c r="C89" i="26"/>
  <c r="B89" i="26"/>
  <c r="I88" i="26"/>
  <c r="J88" i="26" s="1"/>
  <c r="F88" i="26"/>
  <c r="D88" i="26"/>
  <c r="C88" i="26"/>
  <c r="B88" i="26"/>
  <c r="J87" i="26"/>
  <c r="I87" i="26"/>
  <c r="F87" i="26"/>
  <c r="D87" i="26"/>
  <c r="C87" i="26"/>
  <c r="B87" i="26"/>
  <c r="I86" i="26"/>
  <c r="J86" i="26" s="1"/>
  <c r="F86" i="26"/>
  <c r="D86" i="26"/>
  <c r="C86" i="26"/>
  <c r="B86" i="26"/>
  <c r="I85" i="26"/>
  <c r="J85" i="26" s="1"/>
  <c r="F85" i="26"/>
  <c r="D85" i="26"/>
  <c r="C85" i="26"/>
  <c r="B85" i="26"/>
  <c r="I84" i="26"/>
  <c r="J84" i="26" s="1"/>
  <c r="F84" i="26"/>
  <c r="D84" i="26"/>
  <c r="C84" i="26"/>
  <c r="B84" i="26"/>
  <c r="J83" i="26"/>
  <c r="I83" i="26"/>
  <c r="F83" i="26"/>
  <c r="D83" i="26"/>
  <c r="C83" i="26"/>
  <c r="B83" i="26"/>
  <c r="I82" i="26"/>
  <c r="J82" i="26" s="1"/>
  <c r="F82" i="26"/>
  <c r="D82" i="26"/>
  <c r="C82" i="26"/>
  <c r="B82" i="26"/>
  <c r="I81" i="26"/>
  <c r="J81" i="26" s="1"/>
  <c r="F81" i="26"/>
  <c r="D81" i="26"/>
  <c r="C81" i="26"/>
  <c r="B81" i="26"/>
  <c r="I80" i="26"/>
  <c r="J80" i="26" s="1"/>
  <c r="F80" i="26"/>
  <c r="D80" i="26"/>
  <c r="C80" i="26"/>
  <c r="B80" i="26"/>
  <c r="J79" i="26"/>
  <c r="I79" i="26"/>
  <c r="F79" i="26"/>
  <c r="D79" i="26"/>
  <c r="C79" i="26"/>
  <c r="B79" i="26"/>
  <c r="I78" i="26"/>
  <c r="J78" i="26" s="1"/>
  <c r="F78" i="26"/>
  <c r="D78" i="26"/>
  <c r="C78" i="26"/>
  <c r="B78" i="26"/>
  <c r="I77" i="26"/>
  <c r="J77" i="26" s="1"/>
  <c r="F77" i="26"/>
  <c r="D77" i="26"/>
  <c r="C77" i="26"/>
  <c r="B77" i="26"/>
  <c r="I76" i="26"/>
  <c r="J76" i="26" s="1"/>
  <c r="F76" i="26"/>
  <c r="D76" i="26"/>
  <c r="C76" i="26"/>
  <c r="B76" i="26"/>
  <c r="J75" i="26"/>
  <c r="I75" i="26"/>
  <c r="F75" i="26"/>
  <c r="D75" i="26"/>
  <c r="C75" i="26"/>
  <c r="B75" i="26"/>
  <c r="I74" i="26"/>
  <c r="J74" i="26" s="1"/>
  <c r="F74" i="26"/>
  <c r="D74" i="26"/>
  <c r="C74" i="26"/>
  <c r="B74" i="26"/>
  <c r="I73" i="26"/>
  <c r="J73" i="26" s="1"/>
  <c r="F73" i="26"/>
  <c r="D73" i="26"/>
  <c r="C73" i="26"/>
  <c r="B73" i="26"/>
  <c r="I72" i="26"/>
  <c r="J72" i="26" s="1"/>
  <c r="F72" i="26"/>
  <c r="D72" i="26"/>
  <c r="C72" i="26"/>
  <c r="B72" i="26"/>
  <c r="J71" i="26"/>
  <c r="I71" i="26"/>
  <c r="F71" i="26"/>
  <c r="D71" i="26"/>
  <c r="C71" i="26"/>
  <c r="B71" i="26"/>
  <c r="I70" i="26"/>
  <c r="J70" i="26" s="1"/>
  <c r="F70" i="26"/>
  <c r="D70" i="26"/>
  <c r="C70" i="26"/>
  <c r="B70" i="26"/>
  <c r="I69" i="26"/>
  <c r="J69" i="26" s="1"/>
  <c r="F69" i="26"/>
  <c r="D69" i="26"/>
  <c r="C69" i="26"/>
  <c r="B69" i="26"/>
  <c r="I68" i="26"/>
  <c r="J68" i="26" s="1"/>
  <c r="F68" i="26"/>
  <c r="D68" i="26"/>
  <c r="C68" i="26"/>
  <c r="B68" i="26"/>
  <c r="J67" i="26"/>
  <c r="I67" i="26"/>
  <c r="F67" i="26"/>
  <c r="D67" i="26"/>
  <c r="C67" i="26"/>
  <c r="B67" i="26"/>
  <c r="I66" i="26"/>
  <c r="J66" i="26" s="1"/>
  <c r="F66" i="26"/>
  <c r="D66" i="26"/>
  <c r="C66" i="26"/>
  <c r="B66" i="26"/>
  <c r="I65" i="26"/>
  <c r="J65" i="26" s="1"/>
  <c r="F65" i="26"/>
  <c r="D65" i="26"/>
  <c r="C65" i="26"/>
  <c r="B65" i="26"/>
  <c r="J64" i="26"/>
  <c r="I64" i="26"/>
  <c r="F64" i="26"/>
  <c r="D64" i="26"/>
  <c r="C64" i="26"/>
  <c r="B64" i="26"/>
  <c r="J63" i="26"/>
  <c r="I63" i="26"/>
  <c r="F63" i="26"/>
  <c r="D63" i="26"/>
  <c r="C63" i="26"/>
  <c r="B63" i="26"/>
  <c r="I62" i="26"/>
  <c r="J62" i="26" s="1"/>
  <c r="F62" i="26"/>
  <c r="D62" i="26"/>
  <c r="C62" i="26"/>
  <c r="B62" i="26"/>
  <c r="I61" i="26"/>
  <c r="J61" i="26" s="1"/>
  <c r="F61" i="26"/>
  <c r="D61" i="26"/>
  <c r="C61" i="26"/>
  <c r="B61" i="26"/>
  <c r="J60" i="26"/>
  <c r="I60" i="26"/>
  <c r="F60" i="26"/>
  <c r="D60" i="26"/>
  <c r="C60" i="26"/>
  <c r="B60" i="26"/>
  <c r="J59" i="26"/>
  <c r="I59" i="26"/>
  <c r="F59" i="26"/>
  <c r="D59" i="26"/>
  <c r="C59" i="26"/>
  <c r="B59" i="26"/>
  <c r="I58" i="26"/>
  <c r="J58" i="26" s="1"/>
  <c r="F58" i="26"/>
  <c r="D58" i="26"/>
  <c r="C58" i="26"/>
  <c r="B58" i="26"/>
  <c r="I57" i="26"/>
  <c r="J57" i="26" s="1"/>
  <c r="F57" i="26"/>
  <c r="D57" i="26"/>
  <c r="C57" i="26"/>
  <c r="B57" i="26"/>
  <c r="J56" i="26"/>
  <c r="I56" i="26"/>
  <c r="F56" i="26"/>
  <c r="D56" i="26"/>
  <c r="C56" i="26"/>
  <c r="B56" i="26"/>
  <c r="J55" i="26"/>
  <c r="I55" i="26"/>
  <c r="F55" i="26"/>
  <c r="D55" i="26"/>
  <c r="C55" i="26"/>
  <c r="B55" i="26"/>
  <c r="I54" i="26"/>
  <c r="J54" i="26" s="1"/>
  <c r="F54" i="26"/>
  <c r="D54" i="26"/>
  <c r="C54" i="26"/>
  <c r="B54" i="26"/>
  <c r="I53" i="26"/>
  <c r="J53" i="26" s="1"/>
  <c r="F53" i="26"/>
  <c r="D53" i="26"/>
  <c r="C53" i="26"/>
  <c r="B53" i="26"/>
  <c r="J52" i="26"/>
  <c r="I52" i="26"/>
  <c r="F52" i="26"/>
  <c r="D52" i="26"/>
  <c r="C52" i="26"/>
  <c r="B52" i="26"/>
  <c r="J51" i="26"/>
  <c r="I51" i="26"/>
  <c r="F51" i="26"/>
  <c r="D51" i="26"/>
  <c r="C51" i="26"/>
  <c r="B51" i="26"/>
  <c r="I50" i="26"/>
  <c r="J50" i="26" s="1"/>
  <c r="F50" i="26"/>
  <c r="D50" i="26"/>
  <c r="C50" i="26"/>
  <c r="B50" i="26"/>
  <c r="I49" i="26"/>
  <c r="J49" i="26" s="1"/>
  <c r="F49" i="26"/>
  <c r="D49" i="26"/>
  <c r="C49" i="26"/>
  <c r="B49" i="26"/>
  <c r="J48" i="26"/>
  <c r="I48" i="26"/>
  <c r="F48" i="26"/>
  <c r="D48" i="26"/>
  <c r="C48" i="26"/>
  <c r="B48" i="26"/>
  <c r="J47" i="26"/>
  <c r="I47" i="26"/>
  <c r="F47" i="26"/>
  <c r="D47" i="26"/>
  <c r="C47" i="26"/>
  <c r="B47" i="26"/>
  <c r="I46" i="26"/>
  <c r="J46" i="26" s="1"/>
  <c r="F46" i="26"/>
  <c r="D46" i="26"/>
  <c r="C46" i="26"/>
  <c r="B46" i="26"/>
  <c r="I45" i="26"/>
  <c r="J45" i="26" s="1"/>
  <c r="F45" i="26"/>
  <c r="D45" i="26"/>
  <c r="C45" i="26"/>
  <c r="B45" i="26"/>
  <c r="J44" i="26"/>
  <c r="I44" i="26"/>
  <c r="F44" i="26"/>
  <c r="D44" i="26"/>
  <c r="C44" i="26"/>
  <c r="B44" i="26"/>
  <c r="J43" i="26"/>
  <c r="I43" i="26"/>
  <c r="F43" i="26"/>
  <c r="D43" i="26"/>
  <c r="C43" i="26"/>
  <c r="B43" i="26"/>
  <c r="I42" i="26"/>
  <c r="J42" i="26" s="1"/>
  <c r="F42" i="26"/>
  <c r="D42" i="26"/>
  <c r="C42" i="26"/>
  <c r="B42" i="26"/>
  <c r="I41" i="26"/>
  <c r="J41" i="26" s="1"/>
  <c r="F41" i="26"/>
  <c r="D41" i="26"/>
  <c r="C41" i="26"/>
  <c r="B41" i="26"/>
  <c r="J40" i="26"/>
  <c r="I40" i="26"/>
  <c r="F40" i="26"/>
  <c r="D40" i="26"/>
  <c r="C40" i="26"/>
  <c r="B40" i="26"/>
  <c r="J39" i="26"/>
  <c r="I39" i="26"/>
  <c r="F39" i="26"/>
  <c r="D39" i="26"/>
  <c r="C39" i="26"/>
  <c r="B39" i="26"/>
  <c r="I38" i="26"/>
  <c r="J38" i="26" s="1"/>
  <c r="F38" i="26"/>
  <c r="D38" i="26"/>
  <c r="C38" i="26"/>
  <c r="B38" i="26"/>
  <c r="I37" i="26"/>
  <c r="J37" i="26" s="1"/>
  <c r="F37" i="26"/>
  <c r="D37" i="26"/>
  <c r="C37" i="26"/>
  <c r="B37" i="26"/>
  <c r="J36" i="26"/>
  <c r="I36" i="26"/>
  <c r="F36" i="26"/>
  <c r="D36" i="26"/>
  <c r="C36" i="26"/>
  <c r="B36" i="26"/>
  <c r="J35" i="26"/>
  <c r="I35" i="26"/>
  <c r="F35" i="26"/>
  <c r="D35" i="26"/>
  <c r="C35" i="26"/>
  <c r="B35" i="26"/>
  <c r="I34" i="26"/>
  <c r="J34" i="26" s="1"/>
  <c r="F34" i="26"/>
  <c r="D34" i="26"/>
  <c r="C34" i="26"/>
  <c r="B34" i="26"/>
  <c r="I33" i="26"/>
  <c r="J33" i="26" s="1"/>
  <c r="F33" i="26"/>
  <c r="D33" i="26"/>
  <c r="C33" i="26"/>
  <c r="B33" i="26"/>
  <c r="J32" i="26"/>
  <c r="I32" i="26"/>
  <c r="F32" i="26"/>
  <c r="D32" i="26"/>
  <c r="C32" i="26"/>
  <c r="B32" i="26"/>
  <c r="J31" i="26"/>
  <c r="I31" i="26"/>
  <c r="F31" i="26"/>
  <c r="D31" i="26"/>
  <c r="C31" i="26"/>
  <c r="B31" i="26"/>
  <c r="I30" i="26"/>
  <c r="J30" i="26" s="1"/>
  <c r="F30" i="26"/>
  <c r="D30" i="26"/>
  <c r="C30" i="26"/>
  <c r="B30" i="26"/>
  <c r="I29" i="26"/>
  <c r="J29" i="26" s="1"/>
  <c r="F29" i="26"/>
  <c r="D29" i="26"/>
  <c r="C29" i="26"/>
  <c r="B29" i="26"/>
  <c r="J28" i="26"/>
  <c r="I28" i="26"/>
  <c r="F28" i="26"/>
  <c r="D28" i="26"/>
  <c r="C28" i="26"/>
  <c r="B28" i="26"/>
  <c r="J27" i="26"/>
  <c r="I27" i="26"/>
  <c r="F27" i="26"/>
  <c r="D27" i="26"/>
  <c r="C27" i="26"/>
  <c r="B27" i="26"/>
  <c r="I26" i="26"/>
  <c r="J26" i="26" s="1"/>
  <c r="F26" i="26"/>
  <c r="D26" i="26"/>
  <c r="C26" i="26"/>
  <c r="B26" i="26"/>
  <c r="I25" i="26"/>
  <c r="J25" i="26" s="1"/>
  <c r="F25" i="26"/>
  <c r="D25" i="26"/>
  <c r="C25" i="26"/>
  <c r="B25" i="26"/>
  <c r="J24" i="26"/>
  <c r="I24" i="26"/>
  <c r="F24" i="26"/>
  <c r="D24" i="26"/>
  <c r="C24" i="26"/>
  <c r="B24" i="26"/>
  <c r="J23" i="26"/>
  <c r="I23" i="26"/>
  <c r="F23" i="26"/>
  <c r="D23" i="26"/>
  <c r="C23" i="26"/>
  <c r="B23" i="26"/>
  <c r="I22" i="26"/>
  <c r="J22" i="26" s="1"/>
  <c r="F22" i="26"/>
  <c r="D22" i="26"/>
  <c r="C22" i="26"/>
  <c r="B22" i="26"/>
  <c r="I21" i="26"/>
  <c r="J21" i="26" s="1"/>
  <c r="F21" i="26"/>
  <c r="D21" i="26"/>
  <c r="C21" i="26"/>
  <c r="B21" i="26"/>
  <c r="J20" i="26"/>
  <c r="I20" i="26"/>
  <c r="F20" i="26"/>
  <c r="D20" i="26"/>
  <c r="C20" i="26"/>
  <c r="B20" i="26"/>
  <c r="J19" i="26"/>
  <c r="I19" i="26"/>
  <c r="F19" i="26"/>
  <c r="D19" i="26"/>
  <c r="C19" i="26"/>
  <c r="B19" i="26"/>
  <c r="I18" i="26"/>
  <c r="J18" i="26" s="1"/>
  <c r="F18" i="26"/>
  <c r="D18" i="26"/>
  <c r="C18" i="26"/>
  <c r="B18" i="26"/>
  <c r="I17" i="26"/>
  <c r="J17" i="26" s="1"/>
  <c r="F17" i="26"/>
  <c r="D17" i="26"/>
  <c r="C17" i="26"/>
  <c r="B17" i="26"/>
  <c r="J16" i="26"/>
  <c r="I16" i="26"/>
  <c r="F16" i="26"/>
  <c r="D16" i="26"/>
  <c r="C16" i="26"/>
  <c r="B16" i="26"/>
  <c r="J15" i="26"/>
  <c r="I15" i="26"/>
  <c r="F15" i="26"/>
  <c r="D15" i="26"/>
  <c r="C15" i="26"/>
  <c r="B15" i="26"/>
  <c r="I14" i="26"/>
  <c r="J14" i="26" s="1"/>
  <c r="F14" i="26"/>
  <c r="D14" i="26"/>
  <c r="C14" i="26"/>
  <c r="B14" i="26"/>
  <c r="I13" i="26"/>
  <c r="J13" i="26" s="1"/>
  <c r="F13" i="26"/>
  <c r="D13" i="26"/>
  <c r="C13" i="26"/>
  <c r="B13" i="26"/>
  <c r="J12" i="26"/>
  <c r="I12" i="26"/>
  <c r="F12" i="26"/>
  <c r="D12" i="26"/>
  <c r="C12" i="26"/>
  <c r="B12" i="26"/>
  <c r="J11" i="26"/>
  <c r="I11" i="26"/>
  <c r="F11" i="26"/>
  <c r="D11" i="26"/>
  <c r="C11" i="26"/>
  <c r="B11" i="26"/>
  <c r="I10" i="26"/>
  <c r="J10" i="26" s="1"/>
  <c r="F10" i="26"/>
  <c r="D10" i="26"/>
  <c r="C10" i="26"/>
  <c r="B10" i="26"/>
  <c r="I9" i="26"/>
  <c r="J9" i="26" s="1"/>
  <c r="F9" i="26"/>
  <c r="D9" i="26"/>
  <c r="C9" i="26"/>
  <c r="B9" i="26"/>
  <c r="A5" i="26"/>
  <c r="G4" i="26"/>
  <c r="D4" i="26"/>
  <c r="A4" i="26"/>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128" i="25"/>
  <c r="K127" i="25"/>
  <c r="K126" i="25"/>
  <c r="K125" i="25"/>
  <c r="K124" i="25"/>
  <c r="K123" i="25"/>
  <c r="K122" i="25"/>
  <c r="K121" i="25"/>
  <c r="K120" i="25"/>
  <c r="K119" i="25"/>
  <c r="K118" i="25"/>
  <c r="K117" i="25"/>
  <c r="K116" i="25"/>
  <c r="K115" i="25"/>
  <c r="K114" i="25"/>
  <c r="K113" i="25"/>
  <c r="I113" i="25"/>
  <c r="J113" i="25" s="1"/>
  <c r="D113" i="25"/>
  <c r="C113" i="25"/>
  <c r="A113" i="25"/>
  <c r="K112" i="25"/>
  <c r="I112" i="25"/>
  <c r="J112" i="25" s="1"/>
  <c r="D112" i="25"/>
  <c r="C112" i="25"/>
  <c r="A112" i="25"/>
  <c r="K111" i="25"/>
  <c r="J111" i="25"/>
  <c r="I111" i="25"/>
  <c r="D111" i="25"/>
  <c r="C111" i="25"/>
  <c r="A111" i="25"/>
  <c r="K110" i="25"/>
  <c r="J110" i="25"/>
  <c r="I110" i="25"/>
  <c r="D110" i="25"/>
  <c r="C110" i="25"/>
  <c r="A110" i="25"/>
  <c r="K109" i="25"/>
  <c r="J109" i="25"/>
  <c r="I109" i="25"/>
  <c r="D109" i="25"/>
  <c r="C109" i="25"/>
  <c r="A109" i="25"/>
  <c r="K108" i="25"/>
  <c r="I108" i="25"/>
  <c r="J108" i="25" s="1"/>
  <c r="D108" i="25"/>
  <c r="C108" i="25"/>
  <c r="A108" i="25"/>
  <c r="K107" i="25"/>
  <c r="J107" i="25"/>
  <c r="I107" i="25"/>
  <c r="D107" i="25"/>
  <c r="C107" i="25"/>
  <c r="A107" i="25"/>
  <c r="K106" i="25"/>
  <c r="I106" i="25"/>
  <c r="J106" i="25" s="1"/>
  <c r="D106" i="25"/>
  <c r="C106" i="25"/>
  <c r="A106" i="25"/>
  <c r="K105" i="25"/>
  <c r="J105" i="25"/>
  <c r="I105" i="25"/>
  <c r="D105" i="25"/>
  <c r="C105" i="25"/>
  <c r="A105" i="25"/>
  <c r="K104" i="25"/>
  <c r="I104" i="25"/>
  <c r="J104" i="25" s="1"/>
  <c r="D104" i="25"/>
  <c r="C104" i="25"/>
  <c r="A104" i="25"/>
  <c r="K103" i="25"/>
  <c r="J103" i="25"/>
  <c r="I103" i="25"/>
  <c r="D103" i="25"/>
  <c r="C103" i="25"/>
  <c r="A103" i="25"/>
  <c r="K102" i="25"/>
  <c r="J102" i="25"/>
  <c r="I102" i="25"/>
  <c r="D102" i="25"/>
  <c r="C102" i="25"/>
  <c r="A102" i="25"/>
  <c r="K101" i="25"/>
  <c r="I101" i="25"/>
  <c r="J101" i="25" s="1"/>
  <c r="D101" i="25"/>
  <c r="C101" i="25"/>
  <c r="A101" i="25"/>
  <c r="K100" i="25"/>
  <c r="I100" i="25"/>
  <c r="J100" i="25" s="1"/>
  <c r="D100" i="25"/>
  <c r="C100" i="25"/>
  <c r="A100" i="25"/>
  <c r="K99" i="25"/>
  <c r="I99" i="25"/>
  <c r="J99" i="25" s="1"/>
  <c r="D99" i="25"/>
  <c r="C99" i="25"/>
  <c r="A99" i="25"/>
  <c r="K98" i="25"/>
  <c r="J98" i="25"/>
  <c r="I98" i="25"/>
  <c r="D98" i="25"/>
  <c r="C98" i="25"/>
  <c r="A98" i="25"/>
  <c r="K97" i="25"/>
  <c r="I97" i="25"/>
  <c r="J97" i="25" s="1"/>
  <c r="D97" i="25"/>
  <c r="C97" i="25"/>
  <c r="A97" i="25"/>
  <c r="K96" i="25"/>
  <c r="I96" i="25"/>
  <c r="J96" i="25" s="1"/>
  <c r="D96" i="25"/>
  <c r="C96" i="25"/>
  <c r="A96" i="25"/>
  <c r="K95" i="25"/>
  <c r="J95" i="25"/>
  <c r="I95" i="25"/>
  <c r="D95" i="25"/>
  <c r="C95" i="25"/>
  <c r="A95" i="25"/>
  <c r="K94" i="25"/>
  <c r="I94" i="25"/>
  <c r="J94" i="25" s="1"/>
  <c r="D94" i="25"/>
  <c r="C94" i="25"/>
  <c r="A94" i="25"/>
  <c r="K93" i="25"/>
  <c r="I93" i="25"/>
  <c r="J93" i="25" s="1"/>
  <c r="D93" i="25"/>
  <c r="C93" i="25"/>
  <c r="A93" i="25"/>
  <c r="K92" i="25"/>
  <c r="I92" i="25"/>
  <c r="J92" i="25" s="1"/>
  <c r="D92" i="25"/>
  <c r="C92" i="25"/>
  <c r="A92" i="25"/>
  <c r="K91" i="25"/>
  <c r="J91" i="25"/>
  <c r="I91" i="25"/>
  <c r="D91" i="25"/>
  <c r="C91" i="25"/>
  <c r="A91" i="25"/>
  <c r="K90" i="25"/>
  <c r="I90" i="25"/>
  <c r="J90" i="25" s="1"/>
  <c r="D90" i="25"/>
  <c r="C90" i="25"/>
  <c r="A90" i="25"/>
  <c r="K89" i="25"/>
  <c r="J89" i="25"/>
  <c r="I89" i="25"/>
  <c r="D89" i="25"/>
  <c r="C89" i="25"/>
  <c r="A89" i="25"/>
  <c r="K88" i="25"/>
  <c r="I88" i="25"/>
  <c r="J88" i="25" s="1"/>
  <c r="D88" i="25"/>
  <c r="C88" i="25"/>
  <c r="A88" i="25"/>
  <c r="K87" i="25"/>
  <c r="I87" i="25"/>
  <c r="J87" i="25" s="1"/>
  <c r="D87" i="25"/>
  <c r="C87" i="25"/>
  <c r="A87" i="25"/>
  <c r="K86" i="25"/>
  <c r="I86" i="25"/>
  <c r="J86" i="25" s="1"/>
  <c r="D86" i="25"/>
  <c r="C86" i="25"/>
  <c r="A86" i="25"/>
  <c r="K85" i="25"/>
  <c r="J85" i="25"/>
  <c r="I85" i="25"/>
  <c r="D85" i="25"/>
  <c r="C85" i="25"/>
  <c r="A85" i="25"/>
  <c r="K84" i="25"/>
  <c r="I84" i="25"/>
  <c r="J84" i="25" s="1"/>
  <c r="D84" i="25"/>
  <c r="C84" i="25"/>
  <c r="A84" i="25"/>
  <c r="K83" i="25"/>
  <c r="I83" i="25"/>
  <c r="J83" i="25" s="1"/>
  <c r="D83" i="25"/>
  <c r="C83" i="25"/>
  <c r="A83" i="25"/>
  <c r="K82" i="25"/>
  <c r="J82" i="25"/>
  <c r="I82" i="25"/>
  <c r="D82" i="25"/>
  <c r="C82" i="25"/>
  <c r="A82" i="25"/>
  <c r="K81" i="25"/>
  <c r="I81" i="25"/>
  <c r="J81" i="25" s="1"/>
  <c r="D81" i="25"/>
  <c r="C81" i="25"/>
  <c r="A81" i="25"/>
  <c r="K80" i="25"/>
  <c r="I80" i="25"/>
  <c r="J80" i="25" s="1"/>
  <c r="D80" i="25"/>
  <c r="C80" i="25"/>
  <c r="A80" i="25"/>
  <c r="K79" i="25"/>
  <c r="I79" i="25"/>
  <c r="J79" i="25" s="1"/>
  <c r="D79" i="25"/>
  <c r="C79" i="25"/>
  <c r="A79" i="25"/>
  <c r="K78" i="25"/>
  <c r="J78" i="25"/>
  <c r="I78" i="25"/>
  <c r="D78" i="25"/>
  <c r="C78" i="25"/>
  <c r="A78" i="25"/>
  <c r="K77" i="25"/>
  <c r="J77" i="25"/>
  <c r="I77" i="25"/>
  <c r="D77" i="25"/>
  <c r="C77" i="25"/>
  <c r="A77" i="25"/>
  <c r="K76" i="25"/>
  <c r="I76" i="25"/>
  <c r="J76" i="25" s="1"/>
  <c r="D76" i="25"/>
  <c r="C76" i="25"/>
  <c r="A76" i="25"/>
  <c r="K75" i="25"/>
  <c r="J75" i="25"/>
  <c r="I75" i="25"/>
  <c r="D75" i="25"/>
  <c r="C75" i="25"/>
  <c r="A75" i="25"/>
  <c r="K74" i="25"/>
  <c r="I74" i="25"/>
  <c r="J74" i="25" s="1"/>
  <c r="D74" i="25"/>
  <c r="C74" i="25"/>
  <c r="A74" i="25"/>
  <c r="K73" i="25"/>
  <c r="J73" i="25"/>
  <c r="I73" i="25"/>
  <c r="D73" i="25"/>
  <c r="C73" i="25"/>
  <c r="A73" i="25"/>
  <c r="K72" i="25"/>
  <c r="I72" i="25"/>
  <c r="J72" i="25" s="1"/>
  <c r="D72" i="25"/>
  <c r="C72" i="25"/>
  <c r="A72" i="25"/>
  <c r="K71" i="25"/>
  <c r="J71" i="25"/>
  <c r="I71" i="25"/>
  <c r="D71" i="25"/>
  <c r="C71" i="25"/>
  <c r="A71" i="25"/>
  <c r="K70" i="25"/>
  <c r="I70" i="25"/>
  <c r="J70" i="25" s="1"/>
  <c r="D70" i="25"/>
  <c r="C70" i="25"/>
  <c r="A70" i="25"/>
  <c r="K69" i="25"/>
  <c r="J69" i="25"/>
  <c r="I69" i="25"/>
  <c r="D69" i="25"/>
  <c r="C69" i="25"/>
  <c r="A69" i="25"/>
  <c r="K68" i="25"/>
  <c r="I68" i="25"/>
  <c r="J68" i="25" s="1"/>
  <c r="D68" i="25"/>
  <c r="C68" i="25"/>
  <c r="A68" i="25"/>
  <c r="K67" i="25"/>
  <c r="J67" i="25"/>
  <c r="I67" i="25"/>
  <c r="D67" i="25"/>
  <c r="C67" i="25"/>
  <c r="A67" i="25"/>
  <c r="K66" i="25"/>
  <c r="I66" i="25"/>
  <c r="J66" i="25" s="1"/>
  <c r="D66" i="25"/>
  <c r="C66" i="25"/>
  <c r="A66" i="25"/>
  <c r="K65" i="25"/>
  <c r="J65" i="25"/>
  <c r="I65" i="25"/>
  <c r="D65" i="25"/>
  <c r="C65" i="25"/>
  <c r="A65" i="25"/>
  <c r="K64" i="25"/>
  <c r="I64" i="25"/>
  <c r="J64" i="25" s="1"/>
  <c r="D64" i="25"/>
  <c r="C64" i="25"/>
  <c r="A64" i="25"/>
  <c r="K63" i="25"/>
  <c r="J63" i="25"/>
  <c r="I63" i="25"/>
  <c r="D63" i="25"/>
  <c r="C63" i="25"/>
  <c r="A63" i="25"/>
  <c r="K62" i="25"/>
  <c r="I62" i="25"/>
  <c r="J62" i="25" s="1"/>
  <c r="D62" i="25"/>
  <c r="C62" i="25"/>
  <c r="A62" i="25"/>
  <c r="K61" i="25"/>
  <c r="J61" i="25"/>
  <c r="I61" i="25"/>
  <c r="D61" i="25"/>
  <c r="C61" i="25"/>
  <c r="A61" i="25"/>
  <c r="K60" i="25"/>
  <c r="I60" i="25"/>
  <c r="J60" i="25" s="1"/>
  <c r="D60" i="25"/>
  <c r="C60" i="25"/>
  <c r="A60" i="25"/>
  <c r="K59" i="25"/>
  <c r="J59" i="25"/>
  <c r="I59" i="25"/>
  <c r="D59" i="25"/>
  <c r="C59" i="25"/>
  <c r="A59" i="25"/>
  <c r="K58" i="25"/>
  <c r="I58" i="25"/>
  <c r="J58" i="25" s="1"/>
  <c r="D58" i="25"/>
  <c r="C58" i="25"/>
  <c r="A58" i="25"/>
  <c r="K57" i="25"/>
  <c r="J57" i="25"/>
  <c r="I57" i="25"/>
  <c r="D57" i="25"/>
  <c r="C57" i="25"/>
  <c r="A57" i="25"/>
  <c r="K56" i="25"/>
  <c r="I56" i="25"/>
  <c r="J56" i="25" s="1"/>
  <c r="D56" i="25"/>
  <c r="C56" i="25"/>
  <c r="A56" i="25"/>
  <c r="K55" i="25"/>
  <c r="J55" i="25"/>
  <c r="I55" i="25"/>
  <c r="D55" i="25"/>
  <c r="C55" i="25"/>
  <c r="A55" i="25"/>
  <c r="K54" i="25"/>
  <c r="I54" i="25"/>
  <c r="J54" i="25" s="1"/>
  <c r="D54" i="25"/>
  <c r="C54" i="25"/>
  <c r="A54" i="25"/>
  <c r="K53" i="25"/>
  <c r="J53" i="25"/>
  <c r="I53" i="25"/>
  <c r="D53" i="25"/>
  <c r="C53" i="25"/>
  <c r="A53" i="25"/>
  <c r="K52" i="25"/>
  <c r="I52" i="25"/>
  <c r="J52" i="25" s="1"/>
  <c r="D52" i="25"/>
  <c r="C52" i="25"/>
  <c r="A52" i="25"/>
  <c r="K51" i="25"/>
  <c r="J51" i="25"/>
  <c r="I51" i="25"/>
  <c r="D51" i="25"/>
  <c r="C51" i="25"/>
  <c r="A51" i="25"/>
  <c r="K50" i="25"/>
  <c r="I50" i="25"/>
  <c r="J50" i="25" s="1"/>
  <c r="D50" i="25"/>
  <c r="C50" i="25"/>
  <c r="A50" i="25"/>
  <c r="K49" i="25"/>
  <c r="J49" i="25"/>
  <c r="I49" i="25"/>
  <c r="D49" i="25"/>
  <c r="C49" i="25"/>
  <c r="A49" i="25"/>
  <c r="K48" i="25"/>
  <c r="I48" i="25"/>
  <c r="J48" i="25" s="1"/>
  <c r="D48" i="25"/>
  <c r="C48" i="25"/>
  <c r="A48" i="25"/>
  <c r="K47" i="25"/>
  <c r="J47" i="25"/>
  <c r="I47" i="25"/>
  <c r="D47" i="25"/>
  <c r="C47" i="25"/>
  <c r="A47" i="25"/>
  <c r="K46" i="25"/>
  <c r="I46" i="25"/>
  <c r="J46" i="25" s="1"/>
  <c r="D46" i="25"/>
  <c r="C46" i="25"/>
  <c r="A46" i="25"/>
  <c r="K45" i="25"/>
  <c r="J45" i="25"/>
  <c r="I45" i="25"/>
  <c r="D45" i="25"/>
  <c r="C45" i="25"/>
  <c r="A45" i="25"/>
  <c r="K44" i="25"/>
  <c r="I44" i="25"/>
  <c r="J44" i="25" s="1"/>
  <c r="D44" i="25"/>
  <c r="C44" i="25"/>
  <c r="A44" i="25"/>
  <c r="K43" i="25"/>
  <c r="J43" i="25"/>
  <c r="I43" i="25"/>
  <c r="D43" i="25"/>
  <c r="C43" i="25"/>
  <c r="A43" i="25"/>
  <c r="K42" i="25"/>
  <c r="I42" i="25"/>
  <c r="J42" i="25" s="1"/>
  <c r="D42" i="25"/>
  <c r="C42" i="25"/>
  <c r="A42" i="25"/>
  <c r="K41" i="25"/>
  <c r="J41" i="25"/>
  <c r="I41" i="25"/>
  <c r="D41" i="25"/>
  <c r="C41" i="25"/>
  <c r="A41" i="25"/>
  <c r="K40" i="25"/>
  <c r="I40" i="25"/>
  <c r="J40" i="25" s="1"/>
  <c r="D40" i="25"/>
  <c r="C40" i="25"/>
  <c r="A40" i="25"/>
  <c r="K39" i="25"/>
  <c r="J39" i="25"/>
  <c r="I39" i="25"/>
  <c r="D39" i="25"/>
  <c r="C39" i="25"/>
  <c r="A39" i="25"/>
  <c r="K38" i="25"/>
  <c r="I38" i="25"/>
  <c r="J38" i="25" s="1"/>
  <c r="D38" i="25"/>
  <c r="C38" i="25"/>
  <c r="A38" i="25"/>
  <c r="K37" i="25"/>
  <c r="J37" i="25"/>
  <c r="I37" i="25"/>
  <c r="D37" i="25"/>
  <c r="C37" i="25"/>
  <c r="A37" i="25"/>
  <c r="K36" i="25"/>
  <c r="I36" i="25"/>
  <c r="J36" i="25" s="1"/>
  <c r="D36" i="25"/>
  <c r="C36" i="25"/>
  <c r="A36" i="25"/>
  <c r="K35" i="25"/>
  <c r="J35" i="25"/>
  <c r="I35" i="25"/>
  <c r="D35" i="25"/>
  <c r="C35" i="25"/>
  <c r="A35" i="25"/>
  <c r="K34" i="25"/>
  <c r="I34" i="25"/>
  <c r="J34" i="25" s="1"/>
  <c r="D34" i="25"/>
  <c r="C34" i="25"/>
  <c r="A34" i="25"/>
  <c r="K33" i="25"/>
  <c r="J33" i="25"/>
  <c r="I33" i="25"/>
  <c r="D33" i="25"/>
  <c r="C33" i="25"/>
  <c r="A33" i="25"/>
  <c r="K32" i="25"/>
  <c r="I32" i="25"/>
  <c r="J32" i="25" s="1"/>
  <c r="D32" i="25"/>
  <c r="C32" i="25"/>
  <c r="A32" i="25"/>
  <c r="K31" i="25"/>
  <c r="J31" i="25"/>
  <c r="I31" i="25"/>
  <c r="D31" i="25"/>
  <c r="C31" i="25"/>
  <c r="A31" i="25"/>
  <c r="K30" i="25"/>
  <c r="I30" i="25"/>
  <c r="J30" i="25" s="1"/>
  <c r="D30" i="25"/>
  <c r="C30" i="25"/>
  <c r="A30" i="25"/>
  <c r="K29" i="25"/>
  <c r="J29" i="25"/>
  <c r="I29" i="25"/>
  <c r="D29" i="25"/>
  <c r="C29" i="25"/>
  <c r="A29" i="25"/>
  <c r="K28" i="25"/>
  <c r="I28" i="25"/>
  <c r="J28" i="25" s="1"/>
  <c r="D28" i="25"/>
  <c r="C28" i="25"/>
  <c r="A28" i="25"/>
  <c r="K27" i="25"/>
  <c r="J27" i="25"/>
  <c r="I27" i="25"/>
  <c r="D27" i="25"/>
  <c r="C27" i="25"/>
  <c r="A27" i="25"/>
  <c r="K26" i="25"/>
  <c r="I26" i="25"/>
  <c r="J26" i="25" s="1"/>
  <c r="D26" i="25"/>
  <c r="C26" i="25"/>
  <c r="A26" i="25"/>
  <c r="K25" i="25"/>
  <c r="J25" i="25"/>
  <c r="I25" i="25"/>
  <c r="D25" i="25"/>
  <c r="C25" i="25"/>
  <c r="A25" i="25"/>
  <c r="K24" i="25"/>
  <c r="I24" i="25"/>
  <c r="J24" i="25" s="1"/>
  <c r="D24" i="25"/>
  <c r="C24" i="25"/>
  <c r="A24" i="25"/>
  <c r="K23" i="25"/>
  <c r="J23" i="25"/>
  <c r="I23" i="25"/>
  <c r="D23" i="25"/>
  <c r="C23" i="25"/>
  <c r="A23" i="25"/>
  <c r="K22" i="25"/>
  <c r="I22" i="25"/>
  <c r="J22" i="25" s="1"/>
  <c r="D22" i="25"/>
  <c r="C22" i="25"/>
  <c r="A22" i="25"/>
  <c r="K21" i="25"/>
  <c r="J21" i="25"/>
  <c r="I21" i="25"/>
  <c r="D21" i="25"/>
  <c r="C21" i="25"/>
  <c r="A21" i="25"/>
  <c r="K20" i="25"/>
  <c r="I20" i="25"/>
  <c r="J20" i="25" s="1"/>
  <c r="D20" i="25"/>
  <c r="C20" i="25"/>
  <c r="A20" i="25"/>
  <c r="K19" i="25"/>
  <c r="J19" i="25"/>
  <c r="I19" i="25"/>
  <c r="D19" i="25"/>
  <c r="C19" i="25"/>
  <c r="A19" i="25"/>
  <c r="K18" i="25"/>
  <c r="I18" i="25"/>
  <c r="J18" i="25" s="1"/>
  <c r="D18" i="25"/>
  <c r="C18" i="25"/>
  <c r="A18" i="25"/>
  <c r="K17" i="25"/>
  <c r="J17" i="25"/>
  <c r="I17" i="25"/>
  <c r="D17" i="25"/>
  <c r="C17" i="25"/>
  <c r="A17" i="25"/>
  <c r="K16" i="25"/>
  <c r="I16" i="25"/>
  <c r="J16" i="25" s="1"/>
  <c r="D16" i="25"/>
  <c r="C16" i="25"/>
  <c r="A16" i="25"/>
  <c r="K15" i="25"/>
  <c r="J15" i="25"/>
  <c r="I15" i="25"/>
  <c r="D15" i="25"/>
  <c r="C15" i="25"/>
  <c r="A15" i="25"/>
  <c r="K14" i="25"/>
  <c r="I14" i="25"/>
  <c r="J14" i="25" s="1"/>
  <c r="D14" i="25"/>
  <c r="C14" i="25"/>
  <c r="A14" i="25"/>
  <c r="B9" i="25"/>
  <c r="B10" i="25" s="1"/>
  <c r="B8" i="25"/>
  <c r="J208" i="24"/>
  <c r="K208" i="24" s="1"/>
  <c r="G208" i="24"/>
  <c r="D208" i="24"/>
  <c r="C208" i="24"/>
  <c r="B208" i="24"/>
  <c r="K207" i="24"/>
  <c r="J207" i="24"/>
  <c r="G207" i="24"/>
  <c r="D207" i="24"/>
  <c r="C207" i="24"/>
  <c r="B207" i="24"/>
  <c r="J206" i="24"/>
  <c r="K206" i="24" s="1"/>
  <c r="G206" i="24"/>
  <c r="D206" i="24"/>
  <c r="C206" i="24"/>
  <c r="B206" i="24"/>
  <c r="K205" i="24"/>
  <c r="J205" i="24"/>
  <c r="G205" i="24"/>
  <c r="D205" i="24"/>
  <c r="C205" i="24"/>
  <c r="B205" i="24"/>
  <c r="J204" i="24"/>
  <c r="K204" i="24" s="1"/>
  <c r="G204" i="24"/>
  <c r="D204" i="24"/>
  <c r="C204" i="24"/>
  <c r="B204" i="24"/>
  <c r="K203" i="24"/>
  <c r="J203" i="24"/>
  <c r="G203" i="24"/>
  <c r="D203" i="24"/>
  <c r="C203" i="24"/>
  <c r="B203" i="24"/>
  <c r="J202" i="24"/>
  <c r="K202" i="24" s="1"/>
  <c r="G202" i="24"/>
  <c r="D202" i="24"/>
  <c r="C202" i="24"/>
  <c r="B202" i="24"/>
  <c r="K201" i="24"/>
  <c r="J201" i="24"/>
  <c r="G201" i="24"/>
  <c r="D201" i="24"/>
  <c r="C201" i="24"/>
  <c r="B201" i="24"/>
  <c r="J200" i="24"/>
  <c r="K200" i="24" s="1"/>
  <c r="G200" i="24"/>
  <c r="D200" i="24"/>
  <c r="C200" i="24"/>
  <c r="B200" i="24"/>
  <c r="K199" i="24"/>
  <c r="J199" i="24"/>
  <c r="G199" i="24"/>
  <c r="D199" i="24"/>
  <c r="C199" i="24"/>
  <c r="B199" i="24"/>
  <c r="J198" i="24"/>
  <c r="K198" i="24" s="1"/>
  <c r="G198" i="24"/>
  <c r="D198" i="24"/>
  <c r="C198" i="24"/>
  <c r="B198" i="24"/>
  <c r="K197" i="24"/>
  <c r="J197" i="24"/>
  <c r="G197" i="24"/>
  <c r="D197" i="24"/>
  <c r="C197" i="24"/>
  <c r="B197" i="24"/>
  <c r="J196" i="24"/>
  <c r="K196" i="24" s="1"/>
  <c r="G196" i="24"/>
  <c r="D196" i="24"/>
  <c r="C196" i="24"/>
  <c r="B196" i="24"/>
  <c r="K195" i="24"/>
  <c r="J195" i="24"/>
  <c r="G195" i="24"/>
  <c r="D195" i="24"/>
  <c r="C195" i="24"/>
  <c r="B195" i="24"/>
  <c r="J194" i="24"/>
  <c r="K194" i="24" s="1"/>
  <c r="G194" i="24"/>
  <c r="D194" i="24"/>
  <c r="C194" i="24"/>
  <c r="B194" i="24"/>
  <c r="K193" i="24"/>
  <c r="J193" i="24"/>
  <c r="G193" i="24"/>
  <c r="D193" i="24"/>
  <c r="C193" i="24"/>
  <c r="B193" i="24"/>
  <c r="J192" i="24"/>
  <c r="K192" i="24" s="1"/>
  <c r="G192" i="24"/>
  <c r="D192" i="24"/>
  <c r="C192" i="24"/>
  <c r="B192" i="24"/>
  <c r="K191" i="24"/>
  <c r="J191" i="24"/>
  <c r="G191" i="24"/>
  <c r="D191" i="24"/>
  <c r="C191" i="24"/>
  <c r="B191" i="24"/>
  <c r="J190" i="24"/>
  <c r="K190" i="24" s="1"/>
  <c r="G190" i="24"/>
  <c r="D190" i="24"/>
  <c r="C190" i="24"/>
  <c r="B190" i="24"/>
  <c r="K189" i="24"/>
  <c r="J189" i="24"/>
  <c r="G189" i="24"/>
  <c r="D189" i="24"/>
  <c r="C189" i="24"/>
  <c r="B189" i="24"/>
  <c r="J188" i="24"/>
  <c r="K188" i="24" s="1"/>
  <c r="G188" i="24"/>
  <c r="D188" i="24"/>
  <c r="C188" i="24"/>
  <c r="B188" i="24"/>
  <c r="K187" i="24"/>
  <c r="J187" i="24"/>
  <c r="G187" i="24"/>
  <c r="D187" i="24"/>
  <c r="C187" i="24"/>
  <c r="B187" i="24"/>
  <c r="J186" i="24"/>
  <c r="K186" i="24" s="1"/>
  <c r="G186" i="24"/>
  <c r="D186" i="24"/>
  <c r="C186" i="24"/>
  <c r="B186" i="24"/>
  <c r="K185" i="24"/>
  <c r="J185" i="24"/>
  <c r="G185" i="24"/>
  <c r="D185" i="24"/>
  <c r="C185" i="24"/>
  <c r="B185" i="24"/>
  <c r="J184" i="24"/>
  <c r="K184" i="24" s="1"/>
  <c r="G184" i="24"/>
  <c r="D184" i="24"/>
  <c r="C184" i="24"/>
  <c r="B184" i="24"/>
  <c r="K183" i="24"/>
  <c r="J183" i="24"/>
  <c r="G183" i="24"/>
  <c r="D183" i="24"/>
  <c r="C183" i="24"/>
  <c r="B183" i="24"/>
  <c r="J182" i="24"/>
  <c r="K182" i="24" s="1"/>
  <c r="G182" i="24"/>
  <c r="D182" i="24"/>
  <c r="C182" i="24"/>
  <c r="B182" i="24"/>
  <c r="K181" i="24"/>
  <c r="J181" i="24"/>
  <c r="G181" i="24"/>
  <c r="D181" i="24"/>
  <c r="C181" i="24"/>
  <c r="B181" i="24"/>
  <c r="J180" i="24"/>
  <c r="K180" i="24" s="1"/>
  <c r="G180" i="24"/>
  <c r="D180" i="24"/>
  <c r="C180" i="24"/>
  <c r="B180" i="24"/>
  <c r="K179" i="24"/>
  <c r="J179" i="24"/>
  <c r="G179" i="24"/>
  <c r="D179" i="24"/>
  <c r="C179" i="24"/>
  <c r="B179" i="24"/>
  <c r="J178" i="24"/>
  <c r="K178" i="24" s="1"/>
  <c r="G178" i="24"/>
  <c r="D178" i="24"/>
  <c r="C178" i="24"/>
  <c r="B178" i="24"/>
  <c r="K177" i="24"/>
  <c r="J177" i="24"/>
  <c r="G177" i="24"/>
  <c r="D177" i="24"/>
  <c r="C177" i="24"/>
  <c r="B177" i="24"/>
  <c r="J176" i="24"/>
  <c r="K176" i="24" s="1"/>
  <c r="G176" i="24"/>
  <c r="D176" i="24"/>
  <c r="C176" i="24"/>
  <c r="B176" i="24"/>
  <c r="K175" i="24"/>
  <c r="J175" i="24"/>
  <c r="G175" i="24"/>
  <c r="D175" i="24"/>
  <c r="C175" i="24"/>
  <c r="B175" i="24"/>
  <c r="J174" i="24"/>
  <c r="K174" i="24" s="1"/>
  <c r="G174" i="24"/>
  <c r="D174" i="24"/>
  <c r="C174" i="24"/>
  <c r="B174" i="24"/>
  <c r="K173" i="24"/>
  <c r="J173" i="24"/>
  <c r="G173" i="24"/>
  <c r="D173" i="24"/>
  <c r="C173" i="24"/>
  <c r="B173" i="24"/>
  <c r="J172" i="24"/>
  <c r="K172" i="24" s="1"/>
  <c r="G172" i="24"/>
  <c r="D172" i="24"/>
  <c r="C172" i="24"/>
  <c r="B172" i="24"/>
  <c r="K171" i="24"/>
  <c r="J171" i="24"/>
  <c r="G171" i="24"/>
  <c r="D171" i="24"/>
  <c r="C171" i="24"/>
  <c r="B171" i="24"/>
  <c r="J170" i="24"/>
  <c r="K170" i="24" s="1"/>
  <c r="G170" i="24"/>
  <c r="D170" i="24"/>
  <c r="C170" i="24"/>
  <c r="B170" i="24"/>
  <c r="K169" i="24"/>
  <c r="J169" i="24"/>
  <c r="G169" i="24"/>
  <c r="D169" i="24"/>
  <c r="C169" i="24"/>
  <c r="B169" i="24"/>
  <c r="J168" i="24"/>
  <c r="K168" i="24" s="1"/>
  <c r="G168" i="24"/>
  <c r="D168" i="24"/>
  <c r="C168" i="24"/>
  <c r="B168" i="24"/>
  <c r="K167" i="24"/>
  <c r="J167" i="24"/>
  <c r="G167" i="24"/>
  <c r="D167" i="24"/>
  <c r="C167" i="24"/>
  <c r="B167" i="24"/>
  <c r="J166" i="24"/>
  <c r="K166" i="24" s="1"/>
  <c r="G166" i="24"/>
  <c r="D166" i="24"/>
  <c r="C166" i="24"/>
  <c r="B166" i="24"/>
  <c r="K165" i="24"/>
  <c r="J165" i="24"/>
  <c r="G165" i="24"/>
  <c r="D165" i="24"/>
  <c r="C165" i="24"/>
  <c r="B165" i="24"/>
  <c r="J164" i="24"/>
  <c r="K164" i="24" s="1"/>
  <c r="G164" i="24"/>
  <c r="D164" i="24"/>
  <c r="C164" i="24"/>
  <c r="B164" i="24"/>
  <c r="K163" i="24"/>
  <c r="J163" i="24"/>
  <c r="G163" i="24"/>
  <c r="D163" i="24"/>
  <c r="C163" i="24"/>
  <c r="B163" i="24"/>
  <c r="J162" i="24"/>
  <c r="K162" i="24" s="1"/>
  <c r="G162" i="24"/>
  <c r="D162" i="24"/>
  <c r="C162" i="24"/>
  <c r="B162" i="24"/>
  <c r="K161" i="24"/>
  <c r="J161" i="24"/>
  <c r="G161" i="24"/>
  <c r="D161" i="24"/>
  <c r="C161" i="24"/>
  <c r="B161" i="24"/>
  <c r="J160" i="24"/>
  <c r="K160" i="24" s="1"/>
  <c r="G160" i="24"/>
  <c r="D160" i="24"/>
  <c r="C160" i="24"/>
  <c r="B160" i="24"/>
  <c r="K159" i="24"/>
  <c r="J159" i="24"/>
  <c r="G159" i="24"/>
  <c r="D159" i="24"/>
  <c r="C159" i="24"/>
  <c r="B159" i="24"/>
  <c r="J158" i="24"/>
  <c r="K158" i="24" s="1"/>
  <c r="G158" i="24"/>
  <c r="D158" i="24"/>
  <c r="C158" i="24"/>
  <c r="B158" i="24"/>
  <c r="K157" i="24"/>
  <c r="J157" i="24"/>
  <c r="G157" i="24"/>
  <c r="D157" i="24"/>
  <c r="C157" i="24"/>
  <c r="B157" i="24"/>
  <c r="J156" i="24"/>
  <c r="K156" i="24" s="1"/>
  <c r="G156" i="24"/>
  <c r="D156" i="24"/>
  <c r="C156" i="24"/>
  <c r="B156" i="24"/>
  <c r="K155" i="24"/>
  <c r="J155" i="24"/>
  <c r="G155" i="24"/>
  <c r="D155" i="24"/>
  <c r="C155" i="24"/>
  <c r="B155" i="24"/>
  <c r="J154" i="24"/>
  <c r="K154" i="24" s="1"/>
  <c r="G154" i="24"/>
  <c r="D154" i="24"/>
  <c r="C154" i="24"/>
  <c r="B154" i="24"/>
  <c r="K153" i="24"/>
  <c r="J153" i="24"/>
  <c r="G153" i="24"/>
  <c r="D153" i="24"/>
  <c r="C153" i="24"/>
  <c r="B153" i="24"/>
  <c r="J152" i="24"/>
  <c r="K152" i="24" s="1"/>
  <c r="G152" i="24"/>
  <c r="D152" i="24"/>
  <c r="C152" i="24"/>
  <c r="B152" i="24"/>
  <c r="K151" i="24"/>
  <c r="J151" i="24"/>
  <c r="G151" i="24"/>
  <c r="D151" i="24"/>
  <c r="C151" i="24"/>
  <c r="B151" i="24"/>
  <c r="J150" i="24"/>
  <c r="K150" i="24" s="1"/>
  <c r="G150" i="24"/>
  <c r="D150" i="24"/>
  <c r="C150" i="24"/>
  <c r="B150" i="24"/>
  <c r="K149" i="24"/>
  <c r="J149" i="24"/>
  <c r="G149" i="24"/>
  <c r="D149" i="24"/>
  <c r="C149" i="24"/>
  <c r="B149" i="24"/>
  <c r="J148" i="24"/>
  <c r="K148" i="24" s="1"/>
  <c r="G148" i="24"/>
  <c r="D148" i="24"/>
  <c r="C148" i="24"/>
  <c r="B148" i="24"/>
  <c r="K147" i="24"/>
  <c r="J147" i="24"/>
  <c r="G147" i="24"/>
  <c r="D147" i="24"/>
  <c r="C147" i="24"/>
  <c r="B147" i="24"/>
  <c r="J146" i="24"/>
  <c r="K146" i="24" s="1"/>
  <c r="G146" i="24"/>
  <c r="D146" i="24"/>
  <c r="C146" i="24"/>
  <c r="B146" i="24"/>
  <c r="K145" i="24"/>
  <c r="J145" i="24"/>
  <c r="G145" i="24"/>
  <c r="D145" i="24"/>
  <c r="C145" i="24"/>
  <c r="B145" i="24"/>
  <c r="J144" i="24"/>
  <c r="K144" i="24" s="1"/>
  <c r="G144" i="24"/>
  <c r="D144" i="24"/>
  <c r="C144" i="24"/>
  <c r="B144" i="24"/>
  <c r="K143" i="24"/>
  <c r="J143" i="24"/>
  <c r="G143" i="24"/>
  <c r="D143" i="24"/>
  <c r="C143" i="24"/>
  <c r="B143" i="24"/>
  <c r="J142" i="24"/>
  <c r="K142" i="24" s="1"/>
  <c r="G142" i="24"/>
  <c r="D142" i="24"/>
  <c r="C142" i="24"/>
  <c r="B142" i="24"/>
  <c r="K141" i="24"/>
  <c r="J141" i="24"/>
  <c r="G141" i="24"/>
  <c r="D141" i="24"/>
  <c r="C141" i="24"/>
  <c r="B141" i="24"/>
  <c r="J140" i="24"/>
  <c r="K140" i="24" s="1"/>
  <c r="G140" i="24"/>
  <c r="D140" i="24"/>
  <c r="C140" i="24"/>
  <c r="B140" i="24"/>
  <c r="K139" i="24"/>
  <c r="J139" i="24"/>
  <c r="G139" i="24"/>
  <c r="D139" i="24"/>
  <c r="C139" i="24"/>
  <c r="B139" i="24"/>
  <c r="J138" i="24"/>
  <c r="K138" i="24" s="1"/>
  <c r="G138" i="24"/>
  <c r="D138" i="24"/>
  <c r="C138" i="24"/>
  <c r="B138" i="24"/>
  <c r="K137" i="24"/>
  <c r="J137" i="24"/>
  <c r="G137" i="24"/>
  <c r="D137" i="24"/>
  <c r="C137" i="24"/>
  <c r="B137" i="24"/>
  <c r="J136" i="24"/>
  <c r="K136" i="24" s="1"/>
  <c r="G136" i="24"/>
  <c r="D136" i="24"/>
  <c r="C136" i="24"/>
  <c r="B136" i="24"/>
  <c r="K135" i="24"/>
  <c r="J135" i="24"/>
  <c r="G135" i="24"/>
  <c r="D135" i="24"/>
  <c r="C135" i="24"/>
  <c r="B135" i="24"/>
  <c r="J134" i="24"/>
  <c r="K134" i="24" s="1"/>
  <c r="G134" i="24"/>
  <c r="D134" i="24"/>
  <c r="C134" i="24"/>
  <c r="B134" i="24"/>
  <c r="K133" i="24"/>
  <c r="J133" i="24"/>
  <c r="G133" i="24"/>
  <c r="D133" i="24"/>
  <c r="C133" i="24"/>
  <c r="B133" i="24"/>
  <c r="J132" i="24"/>
  <c r="K132" i="24" s="1"/>
  <c r="G132" i="24"/>
  <c r="D132" i="24"/>
  <c r="C132" i="24"/>
  <c r="B132" i="24"/>
  <c r="K131" i="24"/>
  <c r="J131" i="24"/>
  <c r="G131" i="24"/>
  <c r="D131" i="24"/>
  <c r="C131" i="24"/>
  <c r="B131" i="24"/>
  <c r="J130" i="24"/>
  <c r="K130" i="24" s="1"/>
  <c r="G130" i="24"/>
  <c r="D130" i="24"/>
  <c r="C130" i="24"/>
  <c r="B130" i="24"/>
  <c r="K129" i="24"/>
  <c r="J129" i="24"/>
  <c r="G129" i="24"/>
  <c r="D129" i="24"/>
  <c r="C129" i="24"/>
  <c r="B129" i="24"/>
  <c r="J128" i="24"/>
  <c r="K128" i="24" s="1"/>
  <c r="G128" i="24"/>
  <c r="D128" i="24"/>
  <c r="C128" i="24"/>
  <c r="B128" i="24"/>
  <c r="K127" i="24"/>
  <c r="J127" i="24"/>
  <c r="G127" i="24"/>
  <c r="D127" i="24"/>
  <c r="C127" i="24"/>
  <c r="B127" i="24"/>
  <c r="J126" i="24"/>
  <c r="K126" i="24" s="1"/>
  <c r="G126" i="24"/>
  <c r="D126" i="24"/>
  <c r="C126" i="24"/>
  <c r="B126" i="24"/>
  <c r="K125" i="24"/>
  <c r="J125" i="24"/>
  <c r="G125" i="24"/>
  <c r="D125" i="24"/>
  <c r="C125" i="24"/>
  <c r="B125" i="24"/>
  <c r="J124" i="24"/>
  <c r="K124" i="24" s="1"/>
  <c r="G124" i="24"/>
  <c r="D124" i="24"/>
  <c r="C124" i="24"/>
  <c r="B124" i="24"/>
  <c r="K123" i="24"/>
  <c r="J123" i="24"/>
  <c r="G123" i="24"/>
  <c r="D123" i="24"/>
  <c r="C123" i="24"/>
  <c r="B123" i="24"/>
  <c r="J122" i="24"/>
  <c r="K122" i="24" s="1"/>
  <c r="G122" i="24"/>
  <c r="D122" i="24"/>
  <c r="C122" i="24"/>
  <c r="B122" i="24"/>
  <c r="K121" i="24"/>
  <c r="J121" i="24"/>
  <c r="G121" i="24"/>
  <c r="D121" i="24"/>
  <c r="C121" i="24"/>
  <c r="B121" i="24"/>
  <c r="J120" i="24"/>
  <c r="K120" i="24" s="1"/>
  <c r="G120" i="24"/>
  <c r="D120" i="24"/>
  <c r="C120" i="24"/>
  <c r="B120" i="24"/>
  <c r="K119" i="24"/>
  <c r="J119" i="24"/>
  <c r="G119" i="24"/>
  <c r="D119" i="24"/>
  <c r="C119" i="24"/>
  <c r="B119" i="24"/>
  <c r="J118" i="24"/>
  <c r="K118" i="24" s="1"/>
  <c r="G118" i="24"/>
  <c r="D118" i="24"/>
  <c r="C118" i="24"/>
  <c r="B118" i="24"/>
  <c r="K117" i="24"/>
  <c r="J117" i="24"/>
  <c r="G117" i="24"/>
  <c r="D117" i="24"/>
  <c r="C117" i="24"/>
  <c r="B117" i="24"/>
  <c r="J116" i="24"/>
  <c r="K116" i="24" s="1"/>
  <c r="G116" i="24"/>
  <c r="D116" i="24"/>
  <c r="C116" i="24"/>
  <c r="B116" i="24"/>
  <c r="K115" i="24"/>
  <c r="J115" i="24"/>
  <c r="G115" i="24"/>
  <c r="D115" i="24"/>
  <c r="C115" i="24"/>
  <c r="B115" i="24"/>
  <c r="J114" i="24"/>
  <c r="K114" i="24" s="1"/>
  <c r="G114" i="24"/>
  <c r="D114" i="24"/>
  <c r="C114" i="24"/>
  <c r="B114" i="24"/>
  <c r="K113" i="24"/>
  <c r="J113" i="24"/>
  <c r="G113" i="24"/>
  <c r="D113" i="24"/>
  <c r="C113" i="24"/>
  <c r="B113" i="24"/>
  <c r="J112" i="24"/>
  <c r="K112" i="24" s="1"/>
  <c r="G112" i="24"/>
  <c r="D112" i="24"/>
  <c r="C112" i="24"/>
  <c r="B112" i="24"/>
  <c r="K111" i="24"/>
  <c r="J111" i="24"/>
  <c r="G111" i="24"/>
  <c r="D111" i="24"/>
  <c r="C111" i="24"/>
  <c r="B111" i="24"/>
  <c r="J110" i="24"/>
  <c r="K110" i="24" s="1"/>
  <c r="G110" i="24"/>
  <c r="D110" i="24"/>
  <c r="C110" i="24"/>
  <c r="B110" i="24"/>
  <c r="K109" i="24"/>
  <c r="J109" i="24"/>
  <c r="G109" i="24"/>
  <c r="D109" i="24"/>
  <c r="C109" i="24"/>
  <c r="B109" i="24"/>
  <c r="J108" i="24"/>
  <c r="K108" i="24" s="1"/>
  <c r="G108" i="24"/>
  <c r="D108" i="24"/>
  <c r="C108" i="24"/>
  <c r="B108" i="24"/>
  <c r="K107" i="24"/>
  <c r="J107" i="24"/>
  <c r="G107" i="24"/>
  <c r="D107" i="24"/>
  <c r="C107" i="24"/>
  <c r="B107" i="24"/>
  <c r="J106" i="24"/>
  <c r="K106" i="24" s="1"/>
  <c r="G106" i="24"/>
  <c r="D106" i="24"/>
  <c r="C106" i="24"/>
  <c r="B106" i="24"/>
  <c r="K105" i="24"/>
  <c r="J105" i="24"/>
  <c r="G105" i="24"/>
  <c r="D105" i="24"/>
  <c r="C105" i="24"/>
  <c r="B105" i="24"/>
  <c r="J104" i="24"/>
  <c r="K104" i="24" s="1"/>
  <c r="G104" i="24"/>
  <c r="D104" i="24"/>
  <c r="C104" i="24"/>
  <c r="B104" i="24"/>
  <c r="K103" i="24"/>
  <c r="J103" i="24"/>
  <c r="G103" i="24"/>
  <c r="D103" i="24"/>
  <c r="C103" i="24"/>
  <c r="B103" i="24"/>
  <c r="J102" i="24"/>
  <c r="K102" i="24" s="1"/>
  <c r="G102" i="24"/>
  <c r="D102" i="24"/>
  <c r="C102" i="24"/>
  <c r="B102" i="24"/>
  <c r="K101" i="24"/>
  <c r="J101" i="24"/>
  <c r="G101" i="24"/>
  <c r="D101" i="24"/>
  <c r="C101" i="24"/>
  <c r="B101" i="24"/>
  <c r="J100" i="24"/>
  <c r="K100" i="24" s="1"/>
  <c r="G100" i="24"/>
  <c r="D100" i="24"/>
  <c r="C100" i="24"/>
  <c r="B100" i="24"/>
  <c r="K99" i="24"/>
  <c r="J99" i="24"/>
  <c r="G99" i="24"/>
  <c r="D99" i="24"/>
  <c r="C99" i="24"/>
  <c r="B99" i="24"/>
  <c r="J98" i="24"/>
  <c r="K98" i="24" s="1"/>
  <c r="G98" i="24"/>
  <c r="D98" i="24"/>
  <c r="C98" i="24"/>
  <c r="B98" i="24"/>
  <c r="K97" i="24"/>
  <c r="J97" i="24"/>
  <c r="G97" i="24"/>
  <c r="D97" i="24"/>
  <c r="C97" i="24"/>
  <c r="B97" i="24"/>
  <c r="J96" i="24"/>
  <c r="K96" i="24" s="1"/>
  <c r="G96" i="24"/>
  <c r="D96" i="24"/>
  <c r="C96" i="24"/>
  <c r="B96" i="24"/>
  <c r="K95" i="24"/>
  <c r="J95" i="24"/>
  <c r="G95" i="24"/>
  <c r="D95" i="24"/>
  <c r="C95" i="24"/>
  <c r="B95" i="24"/>
  <c r="J94" i="24"/>
  <c r="K94" i="24" s="1"/>
  <c r="G94" i="24"/>
  <c r="D94" i="24"/>
  <c r="C94" i="24"/>
  <c r="B94" i="24"/>
  <c r="K93" i="24"/>
  <c r="J93" i="24"/>
  <c r="G93" i="24"/>
  <c r="D93" i="24"/>
  <c r="C93" i="24"/>
  <c r="B93" i="24"/>
  <c r="J92" i="24"/>
  <c r="K92" i="24" s="1"/>
  <c r="G92" i="24"/>
  <c r="D92" i="24"/>
  <c r="C92" i="24"/>
  <c r="B92" i="24"/>
  <c r="K91" i="24"/>
  <c r="J91" i="24"/>
  <c r="G91" i="24"/>
  <c r="D91" i="24"/>
  <c r="C91" i="24"/>
  <c r="B91" i="24"/>
  <c r="J90" i="24"/>
  <c r="K90" i="24" s="1"/>
  <c r="G90" i="24"/>
  <c r="D90" i="24"/>
  <c r="C90" i="24"/>
  <c r="B90" i="24"/>
  <c r="K89" i="24"/>
  <c r="J89" i="24"/>
  <c r="G89" i="24"/>
  <c r="D89" i="24"/>
  <c r="C89" i="24"/>
  <c r="B89" i="24"/>
  <c r="J88" i="24"/>
  <c r="K88" i="24" s="1"/>
  <c r="G88" i="24"/>
  <c r="D88" i="24"/>
  <c r="C88" i="24"/>
  <c r="B88" i="24"/>
  <c r="K87" i="24"/>
  <c r="J87" i="24"/>
  <c r="G87" i="24"/>
  <c r="D87" i="24"/>
  <c r="C87" i="24"/>
  <c r="B87" i="24"/>
  <c r="J86" i="24"/>
  <c r="K86" i="24" s="1"/>
  <c r="G86" i="24"/>
  <c r="D86" i="24"/>
  <c r="C86" i="24"/>
  <c r="B86" i="24"/>
  <c r="K85" i="24"/>
  <c r="J85" i="24"/>
  <c r="G85" i="24"/>
  <c r="D85" i="24"/>
  <c r="C85" i="24"/>
  <c r="B85" i="24"/>
  <c r="J84" i="24"/>
  <c r="K84" i="24" s="1"/>
  <c r="G84" i="24"/>
  <c r="D84" i="24"/>
  <c r="C84" i="24"/>
  <c r="B84" i="24"/>
  <c r="K83" i="24"/>
  <c r="J83" i="24"/>
  <c r="G83" i="24"/>
  <c r="D83" i="24"/>
  <c r="C83" i="24"/>
  <c r="B83" i="24"/>
  <c r="J82" i="24"/>
  <c r="K82" i="24" s="1"/>
  <c r="G82" i="24"/>
  <c r="D82" i="24"/>
  <c r="C82" i="24"/>
  <c r="B82" i="24"/>
  <c r="K81" i="24"/>
  <c r="J81" i="24"/>
  <c r="G81" i="24"/>
  <c r="D81" i="24"/>
  <c r="C81" i="24"/>
  <c r="B81" i="24"/>
  <c r="J80" i="24"/>
  <c r="K80" i="24" s="1"/>
  <c r="G80" i="24"/>
  <c r="D80" i="24"/>
  <c r="C80" i="24"/>
  <c r="B80" i="24"/>
  <c r="K79" i="24"/>
  <c r="J79" i="24"/>
  <c r="G79" i="24"/>
  <c r="D79" i="24"/>
  <c r="C79" i="24"/>
  <c r="B79" i="24"/>
  <c r="J78" i="24"/>
  <c r="K78" i="24" s="1"/>
  <c r="G78" i="24"/>
  <c r="D78" i="24"/>
  <c r="C78" i="24"/>
  <c r="B78" i="24"/>
  <c r="K77" i="24"/>
  <c r="J77" i="24"/>
  <c r="G77" i="24"/>
  <c r="D77" i="24"/>
  <c r="C77" i="24"/>
  <c r="B77" i="24"/>
  <c r="J76" i="24"/>
  <c r="K76" i="24" s="1"/>
  <c r="G76" i="24"/>
  <c r="D76" i="24"/>
  <c r="C76" i="24"/>
  <c r="B76" i="24"/>
  <c r="K75" i="24"/>
  <c r="J75" i="24"/>
  <c r="G75" i="24"/>
  <c r="D75" i="24"/>
  <c r="C75" i="24"/>
  <c r="B75" i="24"/>
  <c r="J74" i="24"/>
  <c r="K74" i="24" s="1"/>
  <c r="G74" i="24"/>
  <c r="D74" i="24"/>
  <c r="C74" i="24"/>
  <c r="B74" i="24"/>
  <c r="K73" i="24"/>
  <c r="J73" i="24"/>
  <c r="G73" i="24"/>
  <c r="D73" i="24"/>
  <c r="C73" i="24"/>
  <c r="B73" i="24"/>
  <c r="J72" i="24"/>
  <c r="K72" i="24" s="1"/>
  <c r="G72" i="24"/>
  <c r="D72" i="24"/>
  <c r="C72" i="24"/>
  <c r="B72" i="24"/>
  <c r="K71" i="24"/>
  <c r="J71" i="24"/>
  <c r="G71" i="24"/>
  <c r="D71" i="24"/>
  <c r="C71" i="24"/>
  <c r="B71" i="24"/>
  <c r="J70" i="24"/>
  <c r="K70" i="24" s="1"/>
  <c r="G70" i="24"/>
  <c r="D70" i="24"/>
  <c r="C70" i="24"/>
  <c r="B70" i="24"/>
  <c r="K69" i="24"/>
  <c r="J69" i="24"/>
  <c r="G69" i="24"/>
  <c r="D69" i="24"/>
  <c r="C69" i="24"/>
  <c r="B69" i="24"/>
  <c r="J68" i="24"/>
  <c r="K68" i="24" s="1"/>
  <c r="G68" i="24"/>
  <c r="D68" i="24"/>
  <c r="C68" i="24"/>
  <c r="B68" i="24"/>
  <c r="K67" i="24"/>
  <c r="J67" i="24"/>
  <c r="G67" i="24"/>
  <c r="D67" i="24"/>
  <c r="C67" i="24"/>
  <c r="B67" i="24"/>
  <c r="J66" i="24"/>
  <c r="K66" i="24" s="1"/>
  <c r="G66" i="24"/>
  <c r="D66" i="24"/>
  <c r="C66" i="24"/>
  <c r="B66" i="24"/>
  <c r="K65" i="24"/>
  <c r="J65" i="24"/>
  <c r="G65" i="24"/>
  <c r="D65" i="24"/>
  <c r="C65" i="24"/>
  <c r="B65" i="24"/>
  <c r="J64" i="24"/>
  <c r="K64" i="24" s="1"/>
  <c r="G64" i="24"/>
  <c r="D64" i="24"/>
  <c r="C64" i="24"/>
  <c r="B64" i="24"/>
  <c r="K63" i="24"/>
  <c r="J63" i="24"/>
  <c r="G63" i="24"/>
  <c r="D63" i="24"/>
  <c r="C63" i="24"/>
  <c r="B63" i="24"/>
  <c r="J62" i="24"/>
  <c r="K62" i="24" s="1"/>
  <c r="G62" i="24"/>
  <c r="D62" i="24"/>
  <c r="C62" i="24"/>
  <c r="B62" i="24"/>
  <c r="K61" i="24"/>
  <c r="J61" i="24"/>
  <c r="G61" i="24"/>
  <c r="D61" i="24"/>
  <c r="C61" i="24"/>
  <c r="B61" i="24"/>
  <c r="J60" i="24"/>
  <c r="K60" i="24" s="1"/>
  <c r="G60" i="24"/>
  <c r="D60" i="24"/>
  <c r="C60" i="24"/>
  <c r="B60" i="24"/>
  <c r="K59" i="24"/>
  <c r="J59" i="24"/>
  <c r="G59" i="24"/>
  <c r="D59" i="24"/>
  <c r="C59" i="24"/>
  <c r="B59" i="24"/>
  <c r="J58" i="24"/>
  <c r="K58" i="24" s="1"/>
  <c r="G58" i="24"/>
  <c r="D58" i="24"/>
  <c r="C58" i="24"/>
  <c r="B58" i="24"/>
  <c r="K57" i="24"/>
  <c r="J57" i="24"/>
  <c r="G57" i="24"/>
  <c r="D57" i="24"/>
  <c r="C57" i="24"/>
  <c r="B57" i="24"/>
  <c r="J56" i="24"/>
  <c r="K56" i="24" s="1"/>
  <c r="G56" i="24"/>
  <c r="D56" i="24"/>
  <c r="C56" i="24"/>
  <c r="B56" i="24"/>
  <c r="K55" i="24"/>
  <c r="J55" i="24"/>
  <c r="G55" i="24"/>
  <c r="D55" i="24"/>
  <c r="C55" i="24"/>
  <c r="B55" i="24"/>
  <c r="J54" i="24"/>
  <c r="K54" i="24" s="1"/>
  <c r="G54" i="24"/>
  <c r="D54" i="24"/>
  <c r="C54" i="24"/>
  <c r="B54" i="24"/>
  <c r="K53" i="24"/>
  <c r="J53" i="24"/>
  <c r="G53" i="24"/>
  <c r="D53" i="24"/>
  <c r="C53" i="24"/>
  <c r="B53" i="24"/>
  <c r="J52" i="24"/>
  <c r="K52" i="24" s="1"/>
  <c r="G52" i="24"/>
  <c r="D52" i="24"/>
  <c r="C52" i="24"/>
  <c r="B52" i="24"/>
  <c r="K51" i="24"/>
  <c r="J51" i="24"/>
  <c r="G51" i="24"/>
  <c r="D51" i="24"/>
  <c r="C51" i="24"/>
  <c r="B51" i="24"/>
  <c r="J50" i="24"/>
  <c r="K50" i="24" s="1"/>
  <c r="G50" i="24"/>
  <c r="D50" i="24"/>
  <c r="C50" i="24"/>
  <c r="B50" i="24"/>
  <c r="K49" i="24"/>
  <c r="J49" i="24"/>
  <c r="G49" i="24"/>
  <c r="D49" i="24"/>
  <c r="C49" i="24"/>
  <c r="B49" i="24"/>
  <c r="J48" i="24"/>
  <c r="K48" i="24" s="1"/>
  <c r="G48" i="24"/>
  <c r="D48" i="24"/>
  <c r="C48" i="24"/>
  <c r="B48" i="24"/>
  <c r="K47" i="24"/>
  <c r="J47" i="24"/>
  <c r="G47" i="24"/>
  <c r="D47" i="24"/>
  <c r="C47" i="24"/>
  <c r="B47" i="24"/>
  <c r="J46" i="24"/>
  <c r="K46" i="24" s="1"/>
  <c r="G46" i="24"/>
  <c r="D46" i="24"/>
  <c r="C46" i="24"/>
  <c r="B46" i="24"/>
  <c r="K45" i="24"/>
  <c r="J45" i="24"/>
  <c r="G45" i="24"/>
  <c r="D45" i="24"/>
  <c r="C45" i="24"/>
  <c r="B45" i="24"/>
  <c r="J44" i="24"/>
  <c r="K44" i="24" s="1"/>
  <c r="G44" i="24"/>
  <c r="D44" i="24"/>
  <c r="C44" i="24"/>
  <c r="B44" i="24"/>
  <c r="K43" i="24"/>
  <c r="J43" i="24"/>
  <c r="G43" i="24"/>
  <c r="D43" i="24"/>
  <c r="C43" i="24"/>
  <c r="B43" i="24"/>
  <c r="J42" i="24"/>
  <c r="K42" i="24" s="1"/>
  <c r="G42" i="24"/>
  <c r="D42" i="24"/>
  <c r="C42" i="24"/>
  <c r="B42" i="24"/>
  <c r="K41" i="24"/>
  <c r="J41" i="24"/>
  <c r="G41" i="24"/>
  <c r="D41" i="24"/>
  <c r="C41" i="24"/>
  <c r="B41" i="24"/>
  <c r="J40" i="24"/>
  <c r="K40" i="24" s="1"/>
  <c r="G40" i="24"/>
  <c r="D40" i="24"/>
  <c r="C40" i="24"/>
  <c r="B40" i="24"/>
  <c r="K39" i="24"/>
  <c r="J39" i="24"/>
  <c r="G39" i="24"/>
  <c r="D39" i="24"/>
  <c r="C39" i="24"/>
  <c r="B39" i="24"/>
  <c r="J38" i="24"/>
  <c r="K38" i="24" s="1"/>
  <c r="G38" i="24"/>
  <c r="D38" i="24"/>
  <c r="C38" i="24"/>
  <c r="B38" i="24"/>
  <c r="K37" i="24"/>
  <c r="J37" i="24"/>
  <c r="G37" i="24"/>
  <c r="D37" i="24"/>
  <c r="C37" i="24"/>
  <c r="B37" i="24"/>
  <c r="J36" i="24"/>
  <c r="K36" i="24" s="1"/>
  <c r="G36" i="24"/>
  <c r="D36" i="24"/>
  <c r="C36" i="24"/>
  <c r="B36" i="24"/>
  <c r="K35" i="24"/>
  <c r="J35" i="24"/>
  <c r="G35" i="24"/>
  <c r="D35" i="24"/>
  <c r="C35" i="24"/>
  <c r="B35" i="24"/>
  <c r="J34" i="24"/>
  <c r="K34" i="24" s="1"/>
  <c r="G34" i="24"/>
  <c r="D34" i="24"/>
  <c r="C34" i="24"/>
  <c r="B34" i="24"/>
  <c r="K33" i="24"/>
  <c r="J33" i="24"/>
  <c r="G33" i="24"/>
  <c r="D33" i="24"/>
  <c r="C33" i="24"/>
  <c r="B33" i="24"/>
  <c r="J32" i="24"/>
  <c r="K32" i="24" s="1"/>
  <c r="G32" i="24"/>
  <c r="D32" i="24"/>
  <c r="C32" i="24"/>
  <c r="B32" i="24"/>
  <c r="K31" i="24"/>
  <c r="J31" i="24"/>
  <c r="G31" i="24"/>
  <c r="D31" i="24"/>
  <c r="C31" i="24"/>
  <c r="B31" i="24"/>
  <c r="J30" i="24"/>
  <c r="K30" i="24" s="1"/>
  <c r="G30" i="24"/>
  <c r="D30" i="24"/>
  <c r="C30" i="24"/>
  <c r="B30" i="24"/>
  <c r="K29" i="24"/>
  <c r="J29" i="24"/>
  <c r="G29" i="24"/>
  <c r="D29" i="24"/>
  <c r="C29" i="24"/>
  <c r="B29" i="24"/>
  <c r="J28" i="24"/>
  <c r="K28" i="24" s="1"/>
  <c r="G28" i="24"/>
  <c r="D28" i="24"/>
  <c r="C28" i="24"/>
  <c r="B28" i="24"/>
  <c r="K27" i="24"/>
  <c r="J27" i="24"/>
  <c r="G27" i="24"/>
  <c r="D27" i="24"/>
  <c r="C27" i="24"/>
  <c r="B27" i="24"/>
  <c r="J26" i="24"/>
  <c r="K26" i="24" s="1"/>
  <c r="G26" i="24"/>
  <c r="D26" i="24"/>
  <c r="C26" i="24"/>
  <c r="B26" i="24"/>
  <c r="K25" i="24"/>
  <c r="J25" i="24"/>
  <c r="G25" i="24"/>
  <c r="D25" i="24"/>
  <c r="C25" i="24"/>
  <c r="B25" i="24"/>
  <c r="J24" i="24"/>
  <c r="K24" i="24" s="1"/>
  <c r="G24" i="24"/>
  <c r="D24" i="24"/>
  <c r="C24" i="24"/>
  <c r="B24" i="24"/>
  <c r="K23" i="24"/>
  <c r="J23" i="24"/>
  <c r="G23" i="24"/>
  <c r="D23" i="24"/>
  <c r="C23" i="24"/>
  <c r="B23" i="24"/>
  <c r="J22" i="24"/>
  <c r="K22" i="24" s="1"/>
  <c r="G22" i="24"/>
  <c r="D22" i="24"/>
  <c r="C22" i="24"/>
  <c r="B22" i="24"/>
  <c r="K21" i="24"/>
  <c r="J21" i="24"/>
  <c r="G21" i="24"/>
  <c r="D21" i="24"/>
  <c r="C21" i="24"/>
  <c r="B21" i="24"/>
  <c r="J20" i="24"/>
  <c r="K20" i="24" s="1"/>
  <c r="G20" i="24"/>
  <c r="D20" i="24"/>
  <c r="C20" i="24"/>
  <c r="B20" i="24"/>
  <c r="K19" i="24"/>
  <c r="J19" i="24"/>
  <c r="G19" i="24"/>
  <c r="D19" i="24"/>
  <c r="C19" i="24"/>
  <c r="B19" i="24"/>
  <c r="J18" i="24"/>
  <c r="K18" i="24" s="1"/>
  <c r="G18" i="24"/>
  <c r="D18" i="24"/>
  <c r="C18" i="24"/>
  <c r="B18" i="24"/>
  <c r="K17" i="24"/>
  <c r="J17" i="24"/>
  <c r="G17" i="24"/>
  <c r="D17" i="24"/>
  <c r="C17" i="24"/>
  <c r="B17" i="24"/>
  <c r="J16" i="24"/>
  <c r="K16" i="24" s="1"/>
  <c r="G16" i="24"/>
  <c r="D16" i="24"/>
  <c r="C16" i="24"/>
  <c r="B16" i="24"/>
  <c r="K15" i="24"/>
  <c r="J15" i="24"/>
  <c r="G15" i="24"/>
  <c r="D15" i="24"/>
  <c r="C15" i="24"/>
  <c r="B15" i="24"/>
  <c r="J14" i="24"/>
  <c r="K14" i="24" s="1"/>
  <c r="G14" i="24"/>
  <c r="D14" i="24"/>
  <c r="C14" i="24"/>
  <c r="B14" i="24"/>
  <c r="K13" i="24"/>
  <c r="J13" i="24"/>
  <c r="G13" i="24"/>
  <c r="D13" i="24"/>
  <c r="C13" i="24"/>
  <c r="B13" i="24"/>
  <c r="J12" i="24"/>
  <c r="K12" i="24" s="1"/>
  <c r="G12" i="24"/>
  <c r="D12" i="24"/>
  <c r="C12" i="24"/>
  <c r="B12" i="24"/>
  <c r="K11" i="24"/>
  <c r="J11" i="24"/>
  <c r="G11" i="24"/>
  <c r="D11" i="24"/>
  <c r="C11" i="24"/>
  <c r="B11" i="24"/>
  <c r="J10" i="24"/>
  <c r="K10" i="24" s="1"/>
  <c r="G10" i="24"/>
  <c r="D10" i="24"/>
  <c r="C10" i="24"/>
  <c r="B10" i="24"/>
  <c r="K9" i="24"/>
  <c r="J9" i="24"/>
  <c r="G9" i="24"/>
  <c r="D9" i="24"/>
  <c r="C9" i="24"/>
  <c r="B9" i="24"/>
  <c r="K4" i="24"/>
  <c r="G4" i="24"/>
  <c r="D4" i="24"/>
  <c r="A4" i="24"/>
  <c r="I208" i="23"/>
  <c r="J208" i="23" s="1"/>
  <c r="F208" i="23"/>
  <c r="D208" i="23"/>
  <c r="C208" i="23"/>
  <c r="B208" i="23"/>
  <c r="J207" i="23"/>
  <c r="I207" i="23"/>
  <c r="F207" i="23"/>
  <c r="D207" i="23"/>
  <c r="C207" i="23"/>
  <c r="B207" i="23"/>
  <c r="I206" i="23"/>
  <c r="J206" i="23" s="1"/>
  <c r="F206" i="23"/>
  <c r="D206" i="23"/>
  <c r="C206" i="23"/>
  <c r="B206" i="23"/>
  <c r="J205" i="23"/>
  <c r="I205" i="23"/>
  <c r="F205" i="23"/>
  <c r="D205" i="23"/>
  <c r="C205" i="23"/>
  <c r="B205" i="23"/>
  <c r="I204" i="23"/>
  <c r="J204" i="23" s="1"/>
  <c r="F204" i="23"/>
  <c r="D204" i="23"/>
  <c r="C204" i="23"/>
  <c r="B204" i="23"/>
  <c r="J203" i="23"/>
  <c r="I203" i="23"/>
  <c r="F203" i="23"/>
  <c r="D203" i="23"/>
  <c r="C203" i="23"/>
  <c r="B203" i="23"/>
  <c r="I202" i="23"/>
  <c r="J202" i="23" s="1"/>
  <c r="F202" i="23"/>
  <c r="D202" i="23"/>
  <c r="C202" i="23"/>
  <c r="B202" i="23"/>
  <c r="J201" i="23"/>
  <c r="I201" i="23"/>
  <c r="F201" i="23"/>
  <c r="D201" i="23"/>
  <c r="C201" i="23"/>
  <c r="B201" i="23"/>
  <c r="I200" i="23"/>
  <c r="J200" i="23" s="1"/>
  <c r="F200" i="23"/>
  <c r="D200" i="23"/>
  <c r="C200" i="23"/>
  <c r="B200" i="23"/>
  <c r="J199" i="23"/>
  <c r="I199" i="23"/>
  <c r="F199" i="23"/>
  <c r="D199" i="23"/>
  <c r="C199" i="23"/>
  <c r="B199" i="23"/>
  <c r="I198" i="23"/>
  <c r="J198" i="23" s="1"/>
  <c r="F198" i="23"/>
  <c r="D198" i="23"/>
  <c r="C198" i="23"/>
  <c r="B198" i="23"/>
  <c r="J197" i="23"/>
  <c r="I197" i="23"/>
  <c r="F197" i="23"/>
  <c r="D197" i="23"/>
  <c r="C197" i="23"/>
  <c r="B197" i="23"/>
  <c r="I196" i="23"/>
  <c r="J196" i="23" s="1"/>
  <c r="F196" i="23"/>
  <c r="D196" i="23"/>
  <c r="C196" i="23"/>
  <c r="B196" i="23"/>
  <c r="J195" i="23"/>
  <c r="I195" i="23"/>
  <c r="F195" i="23"/>
  <c r="D195" i="23"/>
  <c r="C195" i="23"/>
  <c r="B195" i="23"/>
  <c r="I194" i="23"/>
  <c r="J194" i="23" s="1"/>
  <c r="F194" i="23"/>
  <c r="D194" i="23"/>
  <c r="C194" i="23"/>
  <c r="B194" i="23"/>
  <c r="J193" i="23"/>
  <c r="I193" i="23"/>
  <c r="F193" i="23"/>
  <c r="D193" i="23"/>
  <c r="C193" i="23"/>
  <c r="B193" i="23"/>
  <c r="I192" i="23"/>
  <c r="J192" i="23" s="1"/>
  <c r="F192" i="23"/>
  <c r="D192" i="23"/>
  <c r="C192" i="23"/>
  <c r="B192" i="23"/>
  <c r="J191" i="23"/>
  <c r="I191" i="23"/>
  <c r="F191" i="23"/>
  <c r="D191" i="23"/>
  <c r="C191" i="23"/>
  <c r="B191" i="23"/>
  <c r="I190" i="23"/>
  <c r="J190" i="23" s="1"/>
  <c r="F190" i="23"/>
  <c r="D190" i="23"/>
  <c r="C190" i="23"/>
  <c r="B190" i="23"/>
  <c r="J189" i="23"/>
  <c r="I189" i="23"/>
  <c r="F189" i="23"/>
  <c r="D189" i="23"/>
  <c r="C189" i="23"/>
  <c r="B189" i="23"/>
  <c r="I188" i="23"/>
  <c r="J188" i="23" s="1"/>
  <c r="F188" i="23"/>
  <c r="D188" i="23"/>
  <c r="C188" i="23"/>
  <c r="B188" i="23"/>
  <c r="J187" i="23"/>
  <c r="I187" i="23"/>
  <c r="F187" i="23"/>
  <c r="D187" i="23"/>
  <c r="C187" i="23"/>
  <c r="B187" i="23"/>
  <c r="I186" i="23"/>
  <c r="J186" i="23" s="1"/>
  <c r="F186" i="23"/>
  <c r="D186" i="23"/>
  <c r="C186" i="23"/>
  <c r="B186" i="23"/>
  <c r="J185" i="23"/>
  <c r="I185" i="23"/>
  <c r="F185" i="23"/>
  <c r="D185" i="23"/>
  <c r="C185" i="23"/>
  <c r="B185" i="23"/>
  <c r="I184" i="23"/>
  <c r="J184" i="23" s="1"/>
  <c r="F184" i="23"/>
  <c r="D184" i="23"/>
  <c r="C184" i="23"/>
  <c r="B184" i="23"/>
  <c r="J183" i="23"/>
  <c r="I183" i="23"/>
  <c r="F183" i="23"/>
  <c r="D183" i="23"/>
  <c r="C183" i="23"/>
  <c r="B183" i="23"/>
  <c r="I182" i="23"/>
  <c r="J182" i="23" s="1"/>
  <c r="F182" i="23"/>
  <c r="D182" i="23"/>
  <c r="C182" i="23"/>
  <c r="B182" i="23"/>
  <c r="J181" i="23"/>
  <c r="I181" i="23"/>
  <c r="F181" i="23"/>
  <c r="D181" i="23"/>
  <c r="C181" i="23"/>
  <c r="B181" i="23"/>
  <c r="I180" i="23"/>
  <c r="J180" i="23" s="1"/>
  <c r="F180" i="23"/>
  <c r="D180" i="23"/>
  <c r="C180" i="23"/>
  <c r="B180" i="23"/>
  <c r="J179" i="23"/>
  <c r="I179" i="23"/>
  <c r="F179" i="23"/>
  <c r="D179" i="23"/>
  <c r="C179" i="23"/>
  <c r="B179" i="23"/>
  <c r="I178" i="23"/>
  <c r="J178" i="23" s="1"/>
  <c r="F178" i="23"/>
  <c r="D178" i="23"/>
  <c r="C178" i="23"/>
  <c r="B178" i="23"/>
  <c r="J177" i="23"/>
  <c r="I177" i="23"/>
  <c r="F177" i="23"/>
  <c r="D177" i="23"/>
  <c r="C177" i="23"/>
  <c r="B177" i="23"/>
  <c r="I176" i="23"/>
  <c r="J176" i="23" s="1"/>
  <c r="F176" i="23"/>
  <c r="D176" i="23"/>
  <c r="C176" i="23"/>
  <c r="B176" i="23"/>
  <c r="J175" i="23"/>
  <c r="I175" i="23"/>
  <c r="F175" i="23"/>
  <c r="D175" i="23"/>
  <c r="C175" i="23"/>
  <c r="B175" i="23"/>
  <c r="I174" i="23"/>
  <c r="J174" i="23" s="1"/>
  <c r="F174" i="23"/>
  <c r="D174" i="23"/>
  <c r="C174" i="23"/>
  <c r="B174" i="23"/>
  <c r="J173" i="23"/>
  <c r="I173" i="23"/>
  <c r="F173" i="23"/>
  <c r="D173" i="23"/>
  <c r="C173" i="23"/>
  <c r="B173" i="23"/>
  <c r="I172" i="23"/>
  <c r="J172" i="23" s="1"/>
  <c r="F172" i="23"/>
  <c r="D172" i="23"/>
  <c r="C172" i="23"/>
  <c r="B172" i="23"/>
  <c r="J171" i="23"/>
  <c r="I171" i="23"/>
  <c r="F171" i="23"/>
  <c r="D171" i="23"/>
  <c r="C171" i="23"/>
  <c r="B171" i="23"/>
  <c r="I170" i="23"/>
  <c r="J170" i="23" s="1"/>
  <c r="F170" i="23"/>
  <c r="D170" i="23"/>
  <c r="C170" i="23"/>
  <c r="B170" i="23"/>
  <c r="J169" i="23"/>
  <c r="I169" i="23"/>
  <c r="F169" i="23"/>
  <c r="D169" i="23"/>
  <c r="C169" i="23"/>
  <c r="B169" i="23"/>
  <c r="I168" i="23"/>
  <c r="J168" i="23" s="1"/>
  <c r="F168" i="23"/>
  <c r="D168" i="23"/>
  <c r="C168" i="23"/>
  <c r="B168" i="23"/>
  <c r="J167" i="23"/>
  <c r="I167" i="23"/>
  <c r="F167" i="23"/>
  <c r="D167" i="23"/>
  <c r="C167" i="23"/>
  <c r="B167" i="23"/>
  <c r="I166" i="23"/>
  <c r="J166" i="23" s="1"/>
  <c r="F166" i="23"/>
  <c r="D166" i="23"/>
  <c r="C166" i="23"/>
  <c r="B166" i="23"/>
  <c r="J165" i="23"/>
  <c r="I165" i="23"/>
  <c r="F165" i="23"/>
  <c r="D165" i="23"/>
  <c r="C165" i="23"/>
  <c r="B165" i="23"/>
  <c r="I164" i="23"/>
  <c r="J164" i="23" s="1"/>
  <c r="F164" i="23"/>
  <c r="D164" i="23"/>
  <c r="C164" i="23"/>
  <c r="B164" i="23"/>
  <c r="J163" i="23"/>
  <c r="I163" i="23"/>
  <c r="F163" i="23"/>
  <c r="D163" i="23"/>
  <c r="C163" i="23"/>
  <c r="B163" i="23"/>
  <c r="I162" i="23"/>
  <c r="J162" i="23" s="1"/>
  <c r="F162" i="23"/>
  <c r="D162" i="23"/>
  <c r="C162" i="23"/>
  <c r="B162" i="23"/>
  <c r="J161" i="23"/>
  <c r="I161" i="23"/>
  <c r="F161" i="23"/>
  <c r="D161" i="23"/>
  <c r="C161" i="23"/>
  <c r="B161" i="23"/>
  <c r="I160" i="23"/>
  <c r="J160" i="23" s="1"/>
  <c r="F160" i="23"/>
  <c r="D160" i="23"/>
  <c r="C160" i="23"/>
  <c r="B160" i="23"/>
  <c r="J159" i="23"/>
  <c r="I159" i="23"/>
  <c r="F159" i="23"/>
  <c r="D159" i="23"/>
  <c r="C159" i="23"/>
  <c r="B159" i="23"/>
  <c r="I158" i="23"/>
  <c r="J158" i="23" s="1"/>
  <c r="F158" i="23"/>
  <c r="D158" i="23"/>
  <c r="C158" i="23"/>
  <c r="B158" i="23"/>
  <c r="J157" i="23"/>
  <c r="I157" i="23"/>
  <c r="F157" i="23"/>
  <c r="D157" i="23"/>
  <c r="C157" i="23"/>
  <c r="B157" i="23"/>
  <c r="I156" i="23"/>
  <c r="J156" i="23" s="1"/>
  <c r="F156" i="23"/>
  <c r="D156" i="23"/>
  <c r="C156" i="23"/>
  <c r="B156" i="23"/>
  <c r="J155" i="23"/>
  <c r="I155" i="23"/>
  <c r="F155" i="23"/>
  <c r="D155" i="23"/>
  <c r="C155" i="23"/>
  <c r="B155" i="23"/>
  <c r="I154" i="23"/>
  <c r="J154" i="23" s="1"/>
  <c r="F154" i="23"/>
  <c r="D154" i="23"/>
  <c r="C154" i="23"/>
  <c r="B154" i="23"/>
  <c r="J153" i="23"/>
  <c r="I153" i="23"/>
  <c r="F153" i="23"/>
  <c r="D153" i="23"/>
  <c r="C153" i="23"/>
  <c r="B153" i="23"/>
  <c r="I152" i="23"/>
  <c r="J152" i="23" s="1"/>
  <c r="F152" i="23"/>
  <c r="D152" i="23"/>
  <c r="C152" i="23"/>
  <c r="B152" i="23"/>
  <c r="J151" i="23"/>
  <c r="I151" i="23"/>
  <c r="F151" i="23"/>
  <c r="D151" i="23"/>
  <c r="C151" i="23"/>
  <c r="B151" i="23"/>
  <c r="I150" i="23"/>
  <c r="J150" i="23" s="1"/>
  <c r="F150" i="23"/>
  <c r="D150" i="23"/>
  <c r="C150" i="23"/>
  <c r="B150" i="23"/>
  <c r="J149" i="23"/>
  <c r="I149" i="23"/>
  <c r="F149" i="23"/>
  <c r="D149" i="23"/>
  <c r="C149" i="23"/>
  <c r="B149" i="23"/>
  <c r="I148" i="23"/>
  <c r="J148" i="23" s="1"/>
  <c r="F148" i="23"/>
  <c r="D148" i="23"/>
  <c r="C148" i="23"/>
  <c r="B148" i="23"/>
  <c r="J147" i="23"/>
  <c r="I147" i="23"/>
  <c r="F147" i="23"/>
  <c r="D147" i="23"/>
  <c r="C147" i="23"/>
  <c r="B147" i="23"/>
  <c r="I146" i="23"/>
  <c r="J146" i="23" s="1"/>
  <c r="F146" i="23"/>
  <c r="D146" i="23"/>
  <c r="C146" i="23"/>
  <c r="B146" i="23"/>
  <c r="J145" i="23"/>
  <c r="I145" i="23"/>
  <c r="F145" i="23"/>
  <c r="D145" i="23"/>
  <c r="C145" i="23"/>
  <c r="B145" i="23"/>
  <c r="I144" i="23"/>
  <c r="J144" i="23" s="1"/>
  <c r="F144" i="23"/>
  <c r="D144" i="23"/>
  <c r="C144" i="23"/>
  <c r="B144" i="23"/>
  <c r="J143" i="23"/>
  <c r="I143" i="23"/>
  <c r="F143" i="23"/>
  <c r="D143" i="23"/>
  <c r="C143" i="23"/>
  <c r="B143" i="23"/>
  <c r="I142" i="23"/>
  <c r="J142" i="23" s="1"/>
  <c r="F142" i="23"/>
  <c r="D142" i="23"/>
  <c r="C142" i="23"/>
  <c r="B142" i="23"/>
  <c r="J141" i="23"/>
  <c r="I141" i="23"/>
  <c r="F141" i="23"/>
  <c r="D141" i="23"/>
  <c r="C141" i="23"/>
  <c r="B141" i="23"/>
  <c r="I140" i="23"/>
  <c r="J140" i="23" s="1"/>
  <c r="F140" i="23"/>
  <c r="D140" i="23"/>
  <c r="C140" i="23"/>
  <c r="B140" i="23"/>
  <c r="J139" i="23"/>
  <c r="I139" i="23"/>
  <c r="F139" i="23"/>
  <c r="D139" i="23"/>
  <c r="C139" i="23"/>
  <c r="B139" i="23"/>
  <c r="I138" i="23"/>
  <c r="J138" i="23" s="1"/>
  <c r="F138" i="23"/>
  <c r="D138" i="23"/>
  <c r="C138" i="23"/>
  <c r="B138" i="23"/>
  <c r="J137" i="23"/>
  <c r="I137" i="23"/>
  <c r="F137" i="23"/>
  <c r="D137" i="23"/>
  <c r="C137" i="23"/>
  <c r="B137" i="23"/>
  <c r="I136" i="23"/>
  <c r="J136" i="23" s="1"/>
  <c r="F136" i="23"/>
  <c r="D136" i="23"/>
  <c r="C136" i="23"/>
  <c r="B136" i="23"/>
  <c r="J135" i="23"/>
  <c r="I135" i="23"/>
  <c r="F135" i="23"/>
  <c r="D135" i="23"/>
  <c r="C135" i="23"/>
  <c r="B135" i="23"/>
  <c r="I134" i="23"/>
  <c r="J134" i="23" s="1"/>
  <c r="F134" i="23"/>
  <c r="D134" i="23"/>
  <c r="C134" i="23"/>
  <c r="B134" i="23"/>
  <c r="J133" i="23"/>
  <c r="I133" i="23"/>
  <c r="F133" i="23"/>
  <c r="D133" i="23"/>
  <c r="C133" i="23"/>
  <c r="B133" i="23"/>
  <c r="I132" i="23"/>
  <c r="J132" i="23" s="1"/>
  <c r="F132" i="23"/>
  <c r="D132" i="23"/>
  <c r="C132" i="23"/>
  <c r="B132" i="23"/>
  <c r="J131" i="23"/>
  <c r="I131" i="23"/>
  <c r="F131" i="23"/>
  <c r="D131" i="23"/>
  <c r="C131" i="23"/>
  <c r="B131" i="23"/>
  <c r="I130" i="23"/>
  <c r="J130" i="23" s="1"/>
  <c r="F130" i="23"/>
  <c r="D130" i="23"/>
  <c r="C130" i="23"/>
  <c r="B130" i="23"/>
  <c r="J129" i="23"/>
  <c r="I129" i="23"/>
  <c r="F129" i="23"/>
  <c r="D129" i="23"/>
  <c r="C129" i="23"/>
  <c r="B129" i="23"/>
  <c r="I128" i="23"/>
  <c r="J128" i="23" s="1"/>
  <c r="F128" i="23"/>
  <c r="D128" i="23"/>
  <c r="C128" i="23"/>
  <c r="B128" i="23"/>
  <c r="J127" i="23"/>
  <c r="I127" i="23"/>
  <c r="F127" i="23"/>
  <c r="D127" i="23"/>
  <c r="C127" i="23"/>
  <c r="B127" i="23"/>
  <c r="I126" i="23"/>
  <c r="J126" i="23" s="1"/>
  <c r="F126" i="23"/>
  <c r="D126" i="23"/>
  <c r="C126" i="23"/>
  <c r="B126" i="23"/>
  <c r="J125" i="23"/>
  <c r="I125" i="23"/>
  <c r="F125" i="23"/>
  <c r="D125" i="23"/>
  <c r="C125" i="23"/>
  <c r="B125" i="23"/>
  <c r="I124" i="23"/>
  <c r="J124" i="23" s="1"/>
  <c r="F124" i="23"/>
  <c r="D124" i="23"/>
  <c r="C124" i="23"/>
  <c r="B124" i="23"/>
  <c r="J123" i="23"/>
  <c r="I123" i="23"/>
  <c r="F123" i="23"/>
  <c r="D123" i="23"/>
  <c r="C123" i="23"/>
  <c r="B123" i="23"/>
  <c r="I122" i="23"/>
  <c r="J122" i="23" s="1"/>
  <c r="F122" i="23"/>
  <c r="D122" i="23"/>
  <c r="C122" i="23"/>
  <c r="B122" i="23"/>
  <c r="J121" i="23"/>
  <c r="I121" i="23"/>
  <c r="F121" i="23"/>
  <c r="D121" i="23"/>
  <c r="C121" i="23"/>
  <c r="B121" i="23"/>
  <c r="I120" i="23"/>
  <c r="J120" i="23" s="1"/>
  <c r="F120" i="23"/>
  <c r="D120" i="23"/>
  <c r="C120" i="23"/>
  <c r="B120" i="23"/>
  <c r="J119" i="23"/>
  <c r="I119" i="23"/>
  <c r="F119" i="23"/>
  <c r="D119" i="23"/>
  <c r="C119" i="23"/>
  <c r="B119" i="23"/>
  <c r="I118" i="23"/>
  <c r="J118" i="23" s="1"/>
  <c r="F118" i="23"/>
  <c r="D118" i="23"/>
  <c r="C118" i="23"/>
  <c r="B118" i="23"/>
  <c r="J117" i="23"/>
  <c r="I117" i="23"/>
  <c r="F117" i="23"/>
  <c r="D117" i="23"/>
  <c r="C117" i="23"/>
  <c r="B117" i="23"/>
  <c r="I116" i="23"/>
  <c r="J116" i="23" s="1"/>
  <c r="F116" i="23"/>
  <c r="D116" i="23"/>
  <c r="C116" i="23"/>
  <c r="B116" i="23"/>
  <c r="J115" i="23"/>
  <c r="I115" i="23"/>
  <c r="F115" i="23"/>
  <c r="D115" i="23"/>
  <c r="C115" i="23"/>
  <c r="B115" i="23"/>
  <c r="I114" i="23"/>
  <c r="J114" i="23" s="1"/>
  <c r="F114" i="23"/>
  <c r="D114" i="23"/>
  <c r="C114" i="23"/>
  <c r="B114" i="23"/>
  <c r="J113" i="23"/>
  <c r="I113" i="23"/>
  <c r="F113" i="23"/>
  <c r="D113" i="23"/>
  <c r="C113" i="23"/>
  <c r="B113" i="23"/>
  <c r="I112" i="23"/>
  <c r="J112" i="23" s="1"/>
  <c r="F112" i="23"/>
  <c r="D112" i="23"/>
  <c r="C112" i="23"/>
  <c r="B112" i="23"/>
  <c r="J111" i="23"/>
  <c r="I111" i="23"/>
  <c r="F111" i="23"/>
  <c r="D111" i="23"/>
  <c r="C111" i="23"/>
  <c r="B111" i="23"/>
  <c r="I110" i="23"/>
  <c r="J110" i="23" s="1"/>
  <c r="F110" i="23"/>
  <c r="D110" i="23"/>
  <c r="C110" i="23"/>
  <c r="B110" i="23"/>
  <c r="J109" i="23"/>
  <c r="I109" i="23"/>
  <c r="F109" i="23"/>
  <c r="D109" i="23"/>
  <c r="C109" i="23"/>
  <c r="B109" i="23"/>
  <c r="I108" i="23"/>
  <c r="J108" i="23" s="1"/>
  <c r="F108" i="23"/>
  <c r="D108" i="23"/>
  <c r="C108" i="23"/>
  <c r="B108" i="23"/>
  <c r="J107" i="23"/>
  <c r="I107" i="23"/>
  <c r="F107" i="23"/>
  <c r="D107" i="23"/>
  <c r="C107" i="23"/>
  <c r="B107" i="23"/>
  <c r="I106" i="23"/>
  <c r="J106" i="23" s="1"/>
  <c r="F106" i="23"/>
  <c r="D106" i="23"/>
  <c r="C106" i="23"/>
  <c r="B106" i="23"/>
  <c r="J105" i="23"/>
  <c r="I105" i="23"/>
  <c r="F105" i="23"/>
  <c r="D105" i="23"/>
  <c r="C105" i="23"/>
  <c r="B105" i="23"/>
  <c r="I104" i="23"/>
  <c r="J104" i="23" s="1"/>
  <c r="F104" i="23"/>
  <c r="D104" i="23"/>
  <c r="C104" i="23"/>
  <c r="B104" i="23"/>
  <c r="J103" i="23"/>
  <c r="I103" i="23"/>
  <c r="F103" i="23"/>
  <c r="D103" i="23"/>
  <c r="C103" i="23"/>
  <c r="B103" i="23"/>
  <c r="I102" i="23"/>
  <c r="J102" i="23" s="1"/>
  <c r="F102" i="23"/>
  <c r="D102" i="23"/>
  <c r="C102" i="23"/>
  <c r="B102" i="23"/>
  <c r="J101" i="23"/>
  <c r="I101" i="23"/>
  <c r="F101" i="23"/>
  <c r="D101" i="23"/>
  <c r="C101" i="23"/>
  <c r="B101" i="23"/>
  <c r="I100" i="23"/>
  <c r="J100" i="23" s="1"/>
  <c r="F100" i="23"/>
  <c r="D100" i="23"/>
  <c r="C100" i="23"/>
  <c r="B100" i="23"/>
  <c r="J99" i="23"/>
  <c r="I99" i="23"/>
  <c r="F99" i="23"/>
  <c r="D99" i="23"/>
  <c r="C99" i="23"/>
  <c r="B99" i="23"/>
  <c r="I98" i="23"/>
  <c r="J98" i="23" s="1"/>
  <c r="F98" i="23"/>
  <c r="D98" i="23"/>
  <c r="C98" i="23"/>
  <c r="B98" i="23"/>
  <c r="J97" i="23"/>
  <c r="I97" i="23"/>
  <c r="F97" i="23"/>
  <c r="D97" i="23"/>
  <c r="C97" i="23"/>
  <c r="B97" i="23"/>
  <c r="I96" i="23"/>
  <c r="J96" i="23" s="1"/>
  <c r="F96" i="23"/>
  <c r="D96" i="23"/>
  <c r="C96" i="23"/>
  <c r="B96" i="23"/>
  <c r="J95" i="23"/>
  <c r="I95" i="23"/>
  <c r="F95" i="23"/>
  <c r="D95" i="23"/>
  <c r="C95" i="23"/>
  <c r="B95" i="23"/>
  <c r="I94" i="23"/>
  <c r="J94" i="23" s="1"/>
  <c r="F94" i="23"/>
  <c r="D94" i="23"/>
  <c r="C94" i="23"/>
  <c r="B94" i="23"/>
  <c r="J93" i="23"/>
  <c r="I93" i="23"/>
  <c r="F93" i="23"/>
  <c r="D93" i="23"/>
  <c r="C93" i="23"/>
  <c r="B93" i="23"/>
  <c r="I92" i="23"/>
  <c r="J92" i="23" s="1"/>
  <c r="F92" i="23"/>
  <c r="D92" i="23"/>
  <c r="C92" i="23"/>
  <c r="B92" i="23"/>
  <c r="J91" i="23"/>
  <c r="I91" i="23"/>
  <c r="F91" i="23"/>
  <c r="D91" i="23"/>
  <c r="C91" i="23"/>
  <c r="B91" i="23"/>
  <c r="I90" i="23"/>
  <c r="J90" i="23" s="1"/>
  <c r="F90" i="23"/>
  <c r="D90" i="23"/>
  <c r="C90" i="23"/>
  <c r="B90" i="23"/>
  <c r="J89" i="23"/>
  <c r="I89" i="23"/>
  <c r="F89" i="23"/>
  <c r="D89" i="23"/>
  <c r="C89" i="23"/>
  <c r="B89" i="23"/>
  <c r="I88" i="23"/>
  <c r="J88" i="23" s="1"/>
  <c r="F88" i="23"/>
  <c r="D88" i="23"/>
  <c r="C88" i="23"/>
  <c r="B88" i="23"/>
  <c r="J87" i="23"/>
  <c r="I87" i="23"/>
  <c r="F87" i="23"/>
  <c r="D87" i="23"/>
  <c r="C87" i="23"/>
  <c r="B87" i="23"/>
  <c r="I86" i="23"/>
  <c r="J86" i="23" s="1"/>
  <c r="F86" i="23"/>
  <c r="D86" i="23"/>
  <c r="C86" i="23"/>
  <c r="B86" i="23"/>
  <c r="J85" i="23"/>
  <c r="I85" i="23"/>
  <c r="F85" i="23"/>
  <c r="D85" i="23"/>
  <c r="C85" i="23"/>
  <c r="B85" i="23"/>
  <c r="I84" i="23"/>
  <c r="J84" i="23" s="1"/>
  <c r="F84" i="23"/>
  <c r="D84" i="23"/>
  <c r="C84" i="23"/>
  <c r="B84" i="23"/>
  <c r="J83" i="23"/>
  <c r="I83" i="23"/>
  <c r="F83" i="23"/>
  <c r="D83" i="23"/>
  <c r="C83" i="23"/>
  <c r="B83" i="23"/>
  <c r="I82" i="23"/>
  <c r="J82" i="23" s="1"/>
  <c r="F82" i="23"/>
  <c r="D82" i="23"/>
  <c r="C82" i="23"/>
  <c r="B82" i="23"/>
  <c r="J81" i="23"/>
  <c r="I81" i="23"/>
  <c r="F81" i="23"/>
  <c r="D81" i="23"/>
  <c r="C81" i="23"/>
  <c r="B81" i="23"/>
  <c r="I80" i="23"/>
  <c r="J80" i="23" s="1"/>
  <c r="F80" i="23"/>
  <c r="D80" i="23"/>
  <c r="C80" i="23"/>
  <c r="B80" i="23"/>
  <c r="J79" i="23"/>
  <c r="I79" i="23"/>
  <c r="F79" i="23"/>
  <c r="D79" i="23"/>
  <c r="C79" i="23"/>
  <c r="B79" i="23"/>
  <c r="I78" i="23"/>
  <c r="J78" i="23" s="1"/>
  <c r="F78" i="23"/>
  <c r="D78" i="23"/>
  <c r="C78" i="23"/>
  <c r="B78" i="23"/>
  <c r="J77" i="23"/>
  <c r="I77" i="23"/>
  <c r="F77" i="23"/>
  <c r="D77" i="23"/>
  <c r="C77" i="23"/>
  <c r="B77" i="23"/>
  <c r="I76" i="23"/>
  <c r="J76" i="23" s="1"/>
  <c r="F76" i="23"/>
  <c r="D76" i="23"/>
  <c r="C76" i="23"/>
  <c r="B76" i="23"/>
  <c r="J75" i="23"/>
  <c r="I75" i="23"/>
  <c r="F75" i="23"/>
  <c r="D75" i="23"/>
  <c r="C75" i="23"/>
  <c r="B75" i="23"/>
  <c r="I74" i="23"/>
  <c r="J74" i="23" s="1"/>
  <c r="F74" i="23"/>
  <c r="D74" i="23"/>
  <c r="C74" i="23"/>
  <c r="B74" i="23"/>
  <c r="J73" i="23"/>
  <c r="I73" i="23"/>
  <c r="F73" i="23"/>
  <c r="D73" i="23"/>
  <c r="C73" i="23"/>
  <c r="B73" i="23"/>
  <c r="I72" i="23"/>
  <c r="J72" i="23" s="1"/>
  <c r="F72" i="23"/>
  <c r="D72" i="23"/>
  <c r="C72" i="23"/>
  <c r="B72" i="23"/>
  <c r="J71" i="23"/>
  <c r="I71" i="23"/>
  <c r="F71" i="23"/>
  <c r="D71" i="23"/>
  <c r="C71" i="23"/>
  <c r="B71" i="23"/>
  <c r="I70" i="23"/>
  <c r="J70" i="23" s="1"/>
  <c r="F70" i="23"/>
  <c r="D70" i="23"/>
  <c r="C70" i="23"/>
  <c r="B70" i="23"/>
  <c r="J69" i="23"/>
  <c r="I69" i="23"/>
  <c r="F69" i="23"/>
  <c r="D69" i="23"/>
  <c r="C69" i="23"/>
  <c r="B69" i="23"/>
  <c r="I68" i="23"/>
  <c r="J68" i="23" s="1"/>
  <c r="F68" i="23"/>
  <c r="D68" i="23"/>
  <c r="C68" i="23"/>
  <c r="B68" i="23"/>
  <c r="J67" i="23"/>
  <c r="I67" i="23"/>
  <c r="F67" i="23"/>
  <c r="D67" i="23"/>
  <c r="C67" i="23"/>
  <c r="B67" i="23"/>
  <c r="I66" i="23"/>
  <c r="J66" i="23" s="1"/>
  <c r="F66" i="23"/>
  <c r="D66" i="23"/>
  <c r="C66" i="23"/>
  <c r="B66" i="23"/>
  <c r="J65" i="23"/>
  <c r="I65" i="23"/>
  <c r="F65" i="23"/>
  <c r="D65" i="23"/>
  <c r="C65" i="23"/>
  <c r="B65" i="23"/>
  <c r="I64" i="23"/>
  <c r="J64" i="23" s="1"/>
  <c r="F64" i="23"/>
  <c r="D64" i="23"/>
  <c r="C64" i="23"/>
  <c r="B64" i="23"/>
  <c r="J63" i="23"/>
  <c r="I63" i="23"/>
  <c r="F63" i="23"/>
  <c r="D63" i="23"/>
  <c r="C63" i="23"/>
  <c r="B63" i="23"/>
  <c r="I62" i="23"/>
  <c r="J62" i="23" s="1"/>
  <c r="F62" i="23"/>
  <c r="D62" i="23"/>
  <c r="C62" i="23"/>
  <c r="B62" i="23"/>
  <c r="J61" i="23"/>
  <c r="I61" i="23"/>
  <c r="F61" i="23"/>
  <c r="D61" i="23"/>
  <c r="C61" i="23"/>
  <c r="B61" i="23"/>
  <c r="I60" i="23"/>
  <c r="J60" i="23" s="1"/>
  <c r="F60" i="23"/>
  <c r="D60" i="23"/>
  <c r="C60" i="23"/>
  <c r="B60" i="23"/>
  <c r="J59" i="23"/>
  <c r="I59" i="23"/>
  <c r="F59" i="23"/>
  <c r="D59" i="23"/>
  <c r="C59" i="23"/>
  <c r="B59" i="23"/>
  <c r="I58" i="23"/>
  <c r="J58" i="23" s="1"/>
  <c r="F58" i="23"/>
  <c r="D58" i="23"/>
  <c r="C58" i="23"/>
  <c r="B58" i="23"/>
  <c r="J57" i="23"/>
  <c r="I57" i="23"/>
  <c r="F57" i="23"/>
  <c r="D57" i="23"/>
  <c r="C57" i="23"/>
  <c r="B57" i="23"/>
  <c r="I56" i="23"/>
  <c r="J56" i="23" s="1"/>
  <c r="F56" i="23"/>
  <c r="D56" i="23"/>
  <c r="C56" i="23"/>
  <c r="B56" i="23"/>
  <c r="J55" i="23"/>
  <c r="I55" i="23"/>
  <c r="F55" i="23"/>
  <c r="D55" i="23"/>
  <c r="C55" i="23"/>
  <c r="B55" i="23"/>
  <c r="I54" i="23"/>
  <c r="J54" i="23" s="1"/>
  <c r="F54" i="23"/>
  <c r="D54" i="23"/>
  <c r="C54" i="23"/>
  <c r="B54" i="23"/>
  <c r="J53" i="23"/>
  <c r="I53" i="23"/>
  <c r="F53" i="23"/>
  <c r="D53" i="23"/>
  <c r="C53" i="23"/>
  <c r="B53" i="23"/>
  <c r="I52" i="23"/>
  <c r="J52" i="23" s="1"/>
  <c r="F52" i="23"/>
  <c r="D52" i="23"/>
  <c r="C52" i="23"/>
  <c r="B52" i="23"/>
  <c r="J51" i="23"/>
  <c r="I51" i="23"/>
  <c r="F51" i="23"/>
  <c r="D51" i="23"/>
  <c r="C51" i="23"/>
  <c r="B51" i="23"/>
  <c r="I50" i="23"/>
  <c r="J50" i="23" s="1"/>
  <c r="F50" i="23"/>
  <c r="D50" i="23"/>
  <c r="C50" i="23"/>
  <c r="B50" i="23"/>
  <c r="J49" i="23"/>
  <c r="I49" i="23"/>
  <c r="F49" i="23"/>
  <c r="D49" i="23"/>
  <c r="C49" i="23"/>
  <c r="B49" i="23"/>
  <c r="I48" i="23"/>
  <c r="J48" i="23" s="1"/>
  <c r="F48" i="23"/>
  <c r="D48" i="23"/>
  <c r="C48" i="23"/>
  <c r="B48" i="23"/>
  <c r="J47" i="23"/>
  <c r="I47" i="23"/>
  <c r="F47" i="23"/>
  <c r="D47" i="23"/>
  <c r="C47" i="23"/>
  <c r="B47" i="23"/>
  <c r="I46" i="23"/>
  <c r="J46" i="23" s="1"/>
  <c r="F46" i="23"/>
  <c r="D46" i="23"/>
  <c r="C46" i="23"/>
  <c r="B46" i="23"/>
  <c r="J45" i="23"/>
  <c r="I45" i="23"/>
  <c r="F45" i="23"/>
  <c r="D45" i="23"/>
  <c r="C45" i="23"/>
  <c r="B45" i="23"/>
  <c r="I44" i="23"/>
  <c r="J44" i="23" s="1"/>
  <c r="F44" i="23"/>
  <c r="D44" i="23"/>
  <c r="C44" i="23"/>
  <c r="B44" i="23"/>
  <c r="J43" i="23"/>
  <c r="I43" i="23"/>
  <c r="F43" i="23"/>
  <c r="D43" i="23"/>
  <c r="C43" i="23"/>
  <c r="B43" i="23"/>
  <c r="I42" i="23"/>
  <c r="J42" i="23" s="1"/>
  <c r="F42" i="23"/>
  <c r="D42" i="23"/>
  <c r="C42" i="23"/>
  <c r="B42" i="23"/>
  <c r="J41" i="23"/>
  <c r="I41" i="23"/>
  <c r="F41" i="23"/>
  <c r="D41" i="23"/>
  <c r="C41" i="23"/>
  <c r="B41" i="23"/>
  <c r="I40" i="23"/>
  <c r="J40" i="23" s="1"/>
  <c r="F40" i="23"/>
  <c r="D40" i="23"/>
  <c r="C40" i="23"/>
  <c r="B40" i="23"/>
  <c r="J39" i="23"/>
  <c r="I39" i="23"/>
  <c r="F39" i="23"/>
  <c r="D39" i="23"/>
  <c r="C39" i="23"/>
  <c r="B39" i="23"/>
  <c r="I38" i="23"/>
  <c r="J38" i="23" s="1"/>
  <c r="F38" i="23"/>
  <c r="D38" i="23"/>
  <c r="C38" i="23"/>
  <c r="B38" i="23"/>
  <c r="J37" i="23"/>
  <c r="I37" i="23"/>
  <c r="F37" i="23"/>
  <c r="D37" i="23"/>
  <c r="C37" i="23"/>
  <c r="B37" i="23"/>
  <c r="I36" i="23"/>
  <c r="J36" i="23" s="1"/>
  <c r="F36" i="23"/>
  <c r="D36" i="23"/>
  <c r="C36" i="23"/>
  <c r="B36" i="23"/>
  <c r="J35" i="23"/>
  <c r="I35" i="23"/>
  <c r="F35" i="23"/>
  <c r="D35" i="23"/>
  <c r="C35" i="23"/>
  <c r="B35" i="23"/>
  <c r="I34" i="23"/>
  <c r="J34" i="23" s="1"/>
  <c r="F34" i="23"/>
  <c r="D34" i="23"/>
  <c r="C34" i="23"/>
  <c r="B34" i="23"/>
  <c r="J33" i="23"/>
  <c r="I33" i="23"/>
  <c r="F33" i="23"/>
  <c r="D33" i="23"/>
  <c r="C33" i="23"/>
  <c r="B33" i="23"/>
  <c r="I32" i="23"/>
  <c r="J32" i="23" s="1"/>
  <c r="F32" i="23"/>
  <c r="D32" i="23"/>
  <c r="C32" i="23"/>
  <c r="B32" i="23"/>
  <c r="J31" i="23"/>
  <c r="I31" i="23"/>
  <c r="F31" i="23"/>
  <c r="D31" i="23"/>
  <c r="C31" i="23"/>
  <c r="B31" i="23"/>
  <c r="I30" i="23"/>
  <c r="J30" i="23" s="1"/>
  <c r="F30" i="23"/>
  <c r="D30" i="23"/>
  <c r="C30" i="23"/>
  <c r="B30" i="23"/>
  <c r="J29" i="23"/>
  <c r="I29" i="23"/>
  <c r="F29" i="23"/>
  <c r="D29" i="23"/>
  <c r="C29" i="23"/>
  <c r="B29" i="23"/>
  <c r="I28" i="23"/>
  <c r="J28" i="23" s="1"/>
  <c r="F28" i="23"/>
  <c r="D28" i="23"/>
  <c r="C28" i="23"/>
  <c r="B28" i="23"/>
  <c r="J27" i="23"/>
  <c r="I27" i="23"/>
  <c r="F27" i="23"/>
  <c r="D27" i="23"/>
  <c r="C27" i="23"/>
  <c r="B27" i="23"/>
  <c r="I26" i="23"/>
  <c r="J26" i="23" s="1"/>
  <c r="F26" i="23"/>
  <c r="D26" i="23"/>
  <c r="C26" i="23"/>
  <c r="B26" i="23"/>
  <c r="J25" i="23"/>
  <c r="I25" i="23"/>
  <c r="F25" i="23"/>
  <c r="D25" i="23"/>
  <c r="C25" i="23"/>
  <c r="B25" i="23"/>
  <c r="I24" i="23"/>
  <c r="J24" i="23" s="1"/>
  <c r="F24" i="23"/>
  <c r="D24" i="23"/>
  <c r="C24" i="23"/>
  <c r="B24" i="23"/>
  <c r="J23" i="23"/>
  <c r="I23" i="23"/>
  <c r="F23" i="23"/>
  <c r="D23" i="23"/>
  <c r="C23" i="23"/>
  <c r="B23" i="23"/>
  <c r="I22" i="23"/>
  <c r="J22" i="23" s="1"/>
  <c r="F22" i="23"/>
  <c r="D22" i="23"/>
  <c r="C22" i="23"/>
  <c r="B22" i="23"/>
  <c r="J21" i="23"/>
  <c r="I21" i="23"/>
  <c r="F21" i="23"/>
  <c r="D21" i="23"/>
  <c r="C21" i="23"/>
  <c r="B21" i="23"/>
  <c r="I20" i="23"/>
  <c r="J20" i="23" s="1"/>
  <c r="F20" i="23"/>
  <c r="D20" i="23"/>
  <c r="C20" i="23"/>
  <c r="B20" i="23"/>
  <c r="J19" i="23"/>
  <c r="I19" i="23"/>
  <c r="F19" i="23"/>
  <c r="D19" i="23"/>
  <c r="C19" i="23"/>
  <c r="B19" i="23"/>
  <c r="I18" i="23"/>
  <c r="J18" i="23" s="1"/>
  <c r="F18" i="23"/>
  <c r="D18" i="23"/>
  <c r="C18" i="23"/>
  <c r="B18" i="23"/>
  <c r="J17" i="23"/>
  <c r="I17" i="23"/>
  <c r="F17" i="23"/>
  <c r="D17" i="23"/>
  <c r="C17" i="23"/>
  <c r="B17" i="23"/>
  <c r="I16" i="23"/>
  <c r="J16" i="23" s="1"/>
  <c r="F16" i="23"/>
  <c r="D16" i="23"/>
  <c r="C16" i="23"/>
  <c r="B16" i="23"/>
  <c r="J15" i="23"/>
  <c r="I15" i="23"/>
  <c r="F15" i="23"/>
  <c r="D15" i="23"/>
  <c r="C15" i="23"/>
  <c r="B15" i="23"/>
  <c r="I14" i="23"/>
  <c r="J14" i="23" s="1"/>
  <c r="F14" i="23"/>
  <c r="D14" i="23"/>
  <c r="C14" i="23"/>
  <c r="B14" i="23"/>
  <c r="J13" i="23"/>
  <c r="I13" i="23"/>
  <c r="F13" i="23"/>
  <c r="D13" i="23"/>
  <c r="C13" i="23"/>
  <c r="B13" i="23"/>
  <c r="I12" i="23"/>
  <c r="J12" i="23" s="1"/>
  <c r="F12" i="23"/>
  <c r="D12" i="23"/>
  <c r="C12" i="23"/>
  <c r="B12" i="23"/>
  <c r="J11" i="23"/>
  <c r="I11" i="23"/>
  <c r="F11" i="23"/>
  <c r="D11" i="23"/>
  <c r="C11" i="23"/>
  <c r="B11" i="23"/>
  <c r="I10" i="23"/>
  <c r="J10" i="23" s="1"/>
  <c r="F10" i="23"/>
  <c r="D10" i="23"/>
  <c r="C10" i="23"/>
  <c r="B10" i="23"/>
  <c r="J9" i="23"/>
  <c r="I9" i="23"/>
  <c r="F9" i="23"/>
  <c r="D9" i="23"/>
  <c r="C9" i="23"/>
  <c r="B9" i="23"/>
  <c r="A5" i="23"/>
  <c r="G4" i="23"/>
  <c r="D4" i="23"/>
  <c r="A4" i="23"/>
  <c r="K213" i="22"/>
  <c r="K212" i="22"/>
  <c r="K211" i="22"/>
  <c r="K210" i="22"/>
  <c r="K209" i="22"/>
  <c r="K208" i="22"/>
  <c r="K207" i="22"/>
  <c r="K206" i="22"/>
  <c r="K205" i="22"/>
  <c r="K204" i="22"/>
  <c r="K203" i="22"/>
  <c r="K202" i="22"/>
  <c r="K201" i="22"/>
  <c r="K200" i="22"/>
  <c r="K199" i="22"/>
  <c r="K198" i="22"/>
  <c r="K197" i="22"/>
  <c r="K196" i="22"/>
  <c r="K195" i="22"/>
  <c r="K194" i="22"/>
  <c r="K193" i="22"/>
  <c r="K192" i="22"/>
  <c r="K191" i="22"/>
  <c r="K190" i="22"/>
  <c r="K189" i="22"/>
  <c r="K188" i="22"/>
  <c r="K187" i="22"/>
  <c r="K186" i="22"/>
  <c r="K185" i="22"/>
  <c r="K184" i="22"/>
  <c r="K183" i="22"/>
  <c r="K182" i="22"/>
  <c r="K181" i="22"/>
  <c r="K180" i="22"/>
  <c r="K179" i="22"/>
  <c r="K178" i="22"/>
  <c r="K177" i="22"/>
  <c r="K176" i="22"/>
  <c r="K175" i="22"/>
  <c r="K174" i="22"/>
  <c r="K173" i="22"/>
  <c r="K172" i="22"/>
  <c r="K171" i="22"/>
  <c r="K170" i="22"/>
  <c r="K169" i="22"/>
  <c r="K168" i="22"/>
  <c r="K167" i="22"/>
  <c r="K166" i="22"/>
  <c r="K165" i="22"/>
  <c r="K164" i="22"/>
  <c r="K163" i="22"/>
  <c r="K162" i="22"/>
  <c r="K161" i="22"/>
  <c r="K160" i="22"/>
  <c r="K159" i="22"/>
  <c r="K158" i="22"/>
  <c r="K157" i="22"/>
  <c r="K156" i="22"/>
  <c r="K155" i="22"/>
  <c r="K154" i="22"/>
  <c r="K153" i="22"/>
  <c r="K152" i="22"/>
  <c r="K151" i="22"/>
  <c r="K150" i="22"/>
  <c r="K149" i="22"/>
  <c r="K148" i="22"/>
  <c r="K147" i="22"/>
  <c r="K146" i="22"/>
  <c r="K145" i="22"/>
  <c r="K144" i="22"/>
  <c r="K143" i="22"/>
  <c r="K142" i="22"/>
  <c r="K141" i="22"/>
  <c r="K140" i="22"/>
  <c r="K139" i="22"/>
  <c r="K138" i="22"/>
  <c r="K137" i="22"/>
  <c r="K136" i="22"/>
  <c r="K135" i="22"/>
  <c r="K134" i="22"/>
  <c r="K133" i="22"/>
  <c r="K132" i="22"/>
  <c r="K131" i="22"/>
  <c r="K130" i="22"/>
  <c r="K129" i="22"/>
  <c r="K128" i="22"/>
  <c r="K127" i="22"/>
  <c r="K126" i="22"/>
  <c r="K125" i="22"/>
  <c r="K124" i="22"/>
  <c r="K123" i="22"/>
  <c r="K122" i="22"/>
  <c r="K121" i="22"/>
  <c r="K120" i="22"/>
  <c r="K119" i="22"/>
  <c r="K118" i="22"/>
  <c r="K117" i="22"/>
  <c r="K116" i="22"/>
  <c r="K115" i="22"/>
  <c r="K114" i="22"/>
  <c r="K113" i="22"/>
  <c r="I113" i="22"/>
  <c r="J113" i="22" s="1"/>
  <c r="D113" i="22"/>
  <c r="C113" i="22"/>
  <c r="A113" i="22"/>
  <c r="K112" i="22"/>
  <c r="I112" i="22"/>
  <c r="J112" i="22" s="1"/>
  <c r="D112" i="22"/>
  <c r="C112" i="22"/>
  <c r="A112" i="22"/>
  <c r="K111" i="22"/>
  <c r="I111" i="22"/>
  <c r="J111" i="22" s="1"/>
  <c r="D111" i="22"/>
  <c r="C111" i="22"/>
  <c r="A111" i="22"/>
  <c r="K110" i="22"/>
  <c r="J110" i="22"/>
  <c r="I110" i="22"/>
  <c r="D110" i="22"/>
  <c r="C110" i="22"/>
  <c r="A110" i="22"/>
  <c r="K109" i="22"/>
  <c r="I109" i="22"/>
  <c r="J109" i="22" s="1"/>
  <c r="D109" i="22"/>
  <c r="C109" i="22"/>
  <c r="A109" i="22"/>
  <c r="K108" i="22"/>
  <c r="I108" i="22"/>
  <c r="J108" i="22" s="1"/>
  <c r="D108" i="22"/>
  <c r="C108" i="22"/>
  <c r="A108" i="22"/>
  <c r="K107" i="22"/>
  <c r="J107" i="22"/>
  <c r="I107" i="22"/>
  <c r="D107" i="22"/>
  <c r="C107" i="22"/>
  <c r="A107" i="22"/>
  <c r="K106" i="22"/>
  <c r="J106" i="22"/>
  <c r="I106" i="22"/>
  <c r="D106" i="22"/>
  <c r="C106" i="22"/>
  <c r="A106" i="22"/>
  <c r="K105" i="22"/>
  <c r="J105" i="22"/>
  <c r="I105" i="22"/>
  <c r="D105" i="22"/>
  <c r="C105" i="22"/>
  <c r="A105" i="22"/>
  <c r="K104" i="22"/>
  <c r="J104" i="22"/>
  <c r="I104" i="22"/>
  <c r="D104" i="22"/>
  <c r="C104" i="22"/>
  <c r="A104" i="22"/>
  <c r="K103" i="22"/>
  <c r="J103" i="22"/>
  <c r="I103" i="22"/>
  <c r="D103" i="22"/>
  <c r="C103" i="22"/>
  <c r="A103" i="22"/>
  <c r="K102" i="22"/>
  <c r="J102" i="22"/>
  <c r="I102" i="22"/>
  <c r="D102" i="22"/>
  <c r="C102" i="22"/>
  <c r="A102" i="22"/>
  <c r="K101" i="22"/>
  <c r="J101" i="22"/>
  <c r="I101" i="22"/>
  <c r="D101" i="22"/>
  <c r="C101" i="22"/>
  <c r="A101" i="22"/>
  <c r="K100" i="22"/>
  <c r="J100" i="22"/>
  <c r="I100" i="22"/>
  <c r="D100" i="22"/>
  <c r="C100" i="22"/>
  <c r="A100" i="22"/>
  <c r="K99" i="22"/>
  <c r="J99" i="22"/>
  <c r="I99" i="22"/>
  <c r="D99" i="22"/>
  <c r="C99" i="22"/>
  <c r="A99" i="22"/>
  <c r="K98" i="22"/>
  <c r="J98" i="22"/>
  <c r="I98" i="22"/>
  <c r="D98" i="22"/>
  <c r="C98" i="22"/>
  <c r="A98" i="22"/>
  <c r="K97" i="22"/>
  <c r="J97" i="22"/>
  <c r="I97" i="22"/>
  <c r="D97" i="22"/>
  <c r="C97" i="22"/>
  <c r="A97" i="22"/>
  <c r="K96" i="22"/>
  <c r="J96" i="22"/>
  <c r="I96" i="22"/>
  <c r="D96" i="22"/>
  <c r="C96" i="22"/>
  <c r="A96" i="22"/>
  <c r="K95" i="22"/>
  <c r="J95" i="22"/>
  <c r="I95" i="22"/>
  <c r="D95" i="22"/>
  <c r="C95" i="22"/>
  <c r="A95" i="22"/>
  <c r="K94" i="22"/>
  <c r="J94" i="22"/>
  <c r="I94" i="22"/>
  <c r="D94" i="22"/>
  <c r="C94" i="22"/>
  <c r="A94" i="22"/>
  <c r="K93" i="22"/>
  <c r="J93" i="22"/>
  <c r="I93" i="22"/>
  <c r="D93" i="22"/>
  <c r="C93" i="22"/>
  <c r="A93" i="22"/>
  <c r="K92" i="22"/>
  <c r="J92" i="22"/>
  <c r="I92" i="22"/>
  <c r="D92" i="22"/>
  <c r="C92" i="22"/>
  <c r="A92" i="22"/>
  <c r="K91" i="22"/>
  <c r="J91" i="22"/>
  <c r="I91" i="22"/>
  <c r="D91" i="22"/>
  <c r="C91" i="22"/>
  <c r="A91" i="22"/>
  <c r="K90" i="22"/>
  <c r="J90" i="22"/>
  <c r="I90" i="22"/>
  <c r="D90" i="22"/>
  <c r="C90" i="22"/>
  <c r="A90" i="22"/>
  <c r="K89" i="22"/>
  <c r="J89" i="22"/>
  <c r="I89" i="22"/>
  <c r="D89" i="22"/>
  <c r="C89" i="22"/>
  <c r="A89" i="22"/>
  <c r="K88" i="22"/>
  <c r="J88" i="22"/>
  <c r="I88" i="22"/>
  <c r="D88" i="22"/>
  <c r="C88" i="22"/>
  <c r="A88" i="22"/>
  <c r="K87" i="22"/>
  <c r="J87" i="22"/>
  <c r="I87" i="22"/>
  <c r="D87" i="22"/>
  <c r="C87" i="22"/>
  <c r="A87" i="22"/>
  <c r="K86" i="22"/>
  <c r="J86" i="22"/>
  <c r="I86" i="22"/>
  <c r="D86" i="22"/>
  <c r="C86" i="22"/>
  <c r="A86" i="22"/>
  <c r="K85" i="22"/>
  <c r="J85" i="22"/>
  <c r="I85" i="22"/>
  <c r="D85" i="22"/>
  <c r="C85" i="22"/>
  <c r="A85" i="22"/>
  <c r="K84" i="22"/>
  <c r="J84" i="22"/>
  <c r="I84" i="22"/>
  <c r="D84" i="22"/>
  <c r="C84" i="22"/>
  <c r="A84" i="22"/>
  <c r="K83" i="22"/>
  <c r="J83" i="22"/>
  <c r="I83" i="22"/>
  <c r="D83" i="22"/>
  <c r="C83" i="22"/>
  <c r="A83" i="22"/>
  <c r="K82" i="22"/>
  <c r="J82" i="22"/>
  <c r="I82" i="22"/>
  <c r="D82" i="22"/>
  <c r="C82" i="22"/>
  <c r="A82" i="22"/>
  <c r="K81" i="22"/>
  <c r="J81" i="22"/>
  <c r="I81" i="22"/>
  <c r="D81" i="22"/>
  <c r="C81" i="22"/>
  <c r="A81" i="22"/>
  <c r="K80" i="22"/>
  <c r="J80" i="22"/>
  <c r="I80" i="22"/>
  <c r="D80" i="22"/>
  <c r="C80" i="22"/>
  <c r="A80" i="22"/>
  <c r="K79" i="22"/>
  <c r="J79" i="22"/>
  <c r="I79" i="22"/>
  <c r="D79" i="22"/>
  <c r="C79" i="22"/>
  <c r="A79" i="22"/>
  <c r="K78" i="22"/>
  <c r="J78" i="22"/>
  <c r="I78" i="22"/>
  <c r="D78" i="22"/>
  <c r="C78" i="22"/>
  <c r="A78" i="22"/>
  <c r="K77" i="22"/>
  <c r="J77" i="22"/>
  <c r="I77" i="22"/>
  <c r="D77" i="22"/>
  <c r="C77" i="22"/>
  <c r="A77" i="22"/>
  <c r="K76" i="22"/>
  <c r="J76" i="22"/>
  <c r="I76" i="22"/>
  <c r="D76" i="22"/>
  <c r="C76" i="22"/>
  <c r="A76" i="22"/>
  <c r="K75" i="22"/>
  <c r="J75" i="22"/>
  <c r="I75" i="22"/>
  <c r="D75" i="22"/>
  <c r="C75" i="22"/>
  <c r="A75" i="22"/>
  <c r="K74" i="22"/>
  <c r="J74" i="22"/>
  <c r="I74" i="22"/>
  <c r="D74" i="22"/>
  <c r="C74" i="22"/>
  <c r="A74" i="22"/>
  <c r="K73" i="22"/>
  <c r="J73" i="22"/>
  <c r="I73" i="22"/>
  <c r="D73" i="22"/>
  <c r="C73" i="22"/>
  <c r="A73" i="22"/>
  <c r="K72" i="22"/>
  <c r="J72" i="22"/>
  <c r="I72" i="22"/>
  <c r="D72" i="22"/>
  <c r="C72" i="22"/>
  <c r="A72" i="22"/>
  <c r="K71" i="22"/>
  <c r="J71" i="22"/>
  <c r="I71" i="22"/>
  <c r="D71" i="22"/>
  <c r="C71" i="22"/>
  <c r="A71" i="22"/>
  <c r="K70" i="22"/>
  <c r="J70" i="22"/>
  <c r="I70" i="22"/>
  <c r="D70" i="22"/>
  <c r="C70" i="22"/>
  <c r="A70" i="22"/>
  <c r="K69" i="22"/>
  <c r="J69" i="22"/>
  <c r="I69" i="22"/>
  <c r="D69" i="22"/>
  <c r="C69" i="22"/>
  <c r="A69" i="22"/>
  <c r="K68" i="22"/>
  <c r="J68" i="22"/>
  <c r="I68" i="22"/>
  <c r="D68" i="22"/>
  <c r="C68" i="22"/>
  <c r="A68" i="22"/>
  <c r="K67" i="22"/>
  <c r="J67" i="22"/>
  <c r="I67" i="22"/>
  <c r="D67" i="22"/>
  <c r="C67" i="22"/>
  <c r="A67" i="22"/>
  <c r="K66" i="22"/>
  <c r="J66" i="22"/>
  <c r="I66" i="22"/>
  <c r="D66" i="22"/>
  <c r="C66" i="22"/>
  <c r="A66" i="22"/>
  <c r="K65" i="22"/>
  <c r="J65" i="22"/>
  <c r="I65" i="22"/>
  <c r="D65" i="22"/>
  <c r="C65" i="22"/>
  <c r="A65" i="22"/>
  <c r="K64" i="22"/>
  <c r="J64" i="22"/>
  <c r="I64" i="22"/>
  <c r="D64" i="22"/>
  <c r="C64" i="22"/>
  <c r="A64" i="22"/>
  <c r="K63" i="22"/>
  <c r="J63" i="22"/>
  <c r="I63" i="22"/>
  <c r="D63" i="22"/>
  <c r="C63" i="22"/>
  <c r="A63" i="22"/>
  <c r="K62" i="22"/>
  <c r="J62" i="22"/>
  <c r="I62" i="22"/>
  <c r="D62" i="22"/>
  <c r="C62" i="22"/>
  <c r="A62" i="22"/>
  <c r="K61" i="22"/>
  <c r="J61" i="22"/>
  <c r="I61" i="22"/>
  <c r="D61" i="22"/>
  <c r="C61" i="22"/>
  <c r="A61" i="22"/>
  <c r="K60" i="22"/>
  <c r="J60" i="22"/>
  <c r="I60" i="22"/>
  <c r="D60" i="22"/>
  <c r="C60" i="22"/>
  <c r="A60" i="22"/>
  <c r="K59" i="22"/>
  <c r="J59" i="22"/>
  <c r="I59" i="22"/>
  <c r="D59" i="22"/>
  <c r="C59" i="22"/>
  <c r="A59" i="22"/>
  <c r="K58" i="22"/>
  <c r="J58" i="22"/>
  <c r="I58" i="22"/>
  <c r="D58" i="22"/>
  <c r="C58" i="22"/>
  <c r="A58" i="22"/>
  <c r="K57" i="22"/>
  <c r="J57" i="22"/>
  <c r="I57" i="22"/>
  <c r="D57" i="22"/>
  <c r="C57" i="22"/>
  <c r="A57" i="22"/>
  <c r="K56" i="22"/>
  <c r="J56" i="22"/>
  <c r="I56" i="22"/>
  <c r="D56" i="22"/>
  <c r="C56" i="22"/>
  <c r="A56" i="22"/>
  <c r="K55" i="22"/>
  <c r="J55" i="22"/>
  <c r="I55" i="22"/>
  <c r="D55" i="22"/>
  <c r="C55" i="22"/>
  <c r="A55" i="22"/>
  <c r="K54" i="22"/>
  <c r="J54" i="22"/>
  <c r="I54" i="22"/>
  <c r="D54" i="22"/>
  <c r="C54" i="22"/>
  <c r="A54" i="22"/>
  <c r="K53" i="22"/>
  <c r="J53" i="22"/>
  <c r="I53" i="22"/>
  <c r="D53" i="22"/>
  <c r="C53" i="22"/>
  <c r="A53" i="22"/>
  <c r="K52" i="22"/>
  <c r="J52" i="22"/>
  <c r="I52" i="22"/>
  <c r="D52" i="22"/>
  <c r="C52" i="22"/>
  <c r="A52" i="22"/>
  <c r="K51" i="22"/>
  <c r="J51" i="22"/>
  <c r="I51" i="22"/>
  <c r="D51" i="22"/>
  <c r="C51" i="22"/>
  <c r="A51" i="22"/>
  <c r="K50" i="22"/>
  <c r="J50" i="22"/>
  <c r="I50" i="22"/>
  <c r="D50" i="22"/>
  <c r="C50" i="22"/>
  <c r="A50" i="22"/>
  <c r="K49" i="22"/>
  <c r="J49" i="22"/>
  <c r="I49" i="22"/>
  <c r="D49" i="22"/>
  <c r="C49" i="22"/>
  <c r="A49" i="22"/>
  <c r="K48" i="22"/>
  <c r="J48" i="22"/>
  <c r="I48" i="22"/>
  <c r="D48" i="22"/>
  <c r="C48" i="22"/>
  <c r="A48" i="22"/>
  <c r="K47" i="22"/>
  <c r="J47" i="22"/>
  <c r="I47" i="22"/>
  <c r="D47" i="22"/>
  <c r="C47" i="22"/>
  <c r="A47" i="22"/>
  <c r="K46" i="22"/>
  <c r="J46" i="22"/>
  <c r="I46" i="22"/>
  <c r="D46" i="22"/>
  <c r="C46" i="22"/>
  <c r="A46" i="22"/>
  <c r="K45" i="22"/>
  <c r="J45" i="22"/>
  <c r="I45" i="22"/>
  <c r="D45" i="22"/>
  <c r="C45" i="22"/>
  <c r="A45" i="22"/>
  <c r="K44" i="22"/>
  <c r="J44" i="22"/>
  <c r="I44" i="22"/>
  <c r="D44" i="22"/>
  <c r="C44" i="22"/>
  <c r="A44" i="22"/>
  <c r="K43" i="22"/>
  <c r="J43" i="22"/>
  <c r="I43" i="22"/>
  <c r="D43" i="22"/>
  <c r="C43" i="22"/>
  <c r="A43" i="22"/>
  <c r="K42" i="22"/>
  <c r="J42" i="22"/>
  <c r="I42" i="22"/>
  <c r="D42" i="22"/>
  <c r="C42" i="22"/>
  <c r="A42" i="22"/>
  <c r="K41" i="22"/>
  <c r="J41" i="22"/>
  <c r="I41" i="22"/>
  <c r="D41" i="22"/>
  <c r="C41" i="22"/>
  <c r="A41" i="22"/>
  <c r="K40" i="22"/>
  <c r="J40" i="22"/>
  <c r="I40" i="22"/>
  <c r="D40" i="22"/>
  <c r="C40" i="22"/>
  <c r="A40" i="22"/>
  <c r="K39" i="22"/>
  <c r="J39" i="22"/>
  <c r="I39" i="22"/>
  <c r="D39" i="22"/>
  <c r="C39" i="22"/>
  <c r="A39" i="22"/>
  <c r="K38" i="22"/>
  <c r="J38" i="22"/>
  <c r="I38" i="22"/>
  <c r="D38" i="22"/>
  <c r="C38" i="22"/>
  <c r="A38" i="22"/>
  <c r="K37" i="22"/>
  <c r="J37" i="22"/>
  <c r="I37" i="22"/>
  <c r="D37" i="22"/>
  <c r="C37" i="22"/>
  <c r="A37" i="22"/>
  <c r="K36" i="22"/>
  <c r="J36" i="22"/>
  <c r="I36" i="22"/>
  <c r="D36" i="22"/>
  <c r="C36" i="22"/>
  <c r="A36" i="22"/>
  <c r="K35" i="22"/>
  <c r="J35" i="22"/>
  <c r="I35" i="22"/>
  <c r="D35" i="22"/>
  <c r="C35" i="22"/>
  <c r="A35" i="22"/>
  <c r="K34" i="22"/>
  <c r="J34" i="22"/>
  <c r="I34" i="22"/>
  <c r="D34" i="22"/>
  <c r="C34" i="22"/>
  <c r="A34" i="22"/>
  <c r="K33" i="22"/>
  <c r="J33" i="22"/>
  <c r="I33" i="22"/>
  <c r="D33" i="22"/>
  <c r="C33" i="22"/>
  <c r="A33" i="22"/>
  <c r="K32" i="22"/>
  <c r="J32" i="22"/>
  <c r="I32" i="22"/>
  <c r="D32" i="22"/>
  <c r="C32" i="22"/>
  <c r="A32" i="22"/>
  <c r="K31" i="22"/>
  <c r="J31" i="22"/>
  <c r="I31" i="22"/>
  <c r="D31" i="22"/>
  <c r="C31" i="22"/>
  <c r="A31" i="22"/>
  <c r="K30" i="22"/>
  <c r="J30" i="22"/>
  <c r="I30" i="22"/>
  <c r="D30" i="22"/>
  <c r="C30" i="22"/>
  <c r="A30" i="22"/>
  <c r="K29" i="22"/>
  <c r="J29" i="22"/>
  <c r="I29" i="22"/>
  <c r="D29" i="22"/>
  <c r="C29" i="22"/>
  <c r="A29" i="22"/>
  <c r="K28" i="22"/>
  <c r="J28" i="22"/>
  <c r="I28" i="22"/>
  <c r="D28" i="22"/>
  <c r="C28" i="22"/>
  <c r="A28" i="22"/>
  <c r="K27" i="22"/>
  <c r="J27" i="22"/>
  <c r="I27" i="22"/>
  <c r="D27" i="22"/>
  <c r="C27" i="22"/>
  <c r="A27" i="22"/>
  <c r="K26" i="22"/>
  <c r="J26" i="22"/>
  <c r="I26" i="22"/>
  <c r="D26" i="22"/>
  <c r="C26" i="22"/>
  <c r="A26" i="22"/>
  <c r="K25" i="22"/>
  <c r="J25" i="22"/>
  <c r="I25" i="22"/>
  <c r="D25" i="22"/>
  <c r="C25" i="22"/>
  <c r="A25" i="22"/>
  <c r="K24" i="22"/>
  <c r="J24" i="22"/>
  <c r="I24" i="22"/>
  <c r="D24" i="22"/>
  <c r="C24" i="22"/>
  <c r="A24" i="22"/>
  <c r="K23" i="22"/>
  <c r="J23" i="22"/>
  <c r="I23" i="22"/>
  <c r="D23" i="22"/>
  <c r="C23" i="22"/>
  <c r="A23" i="22"/>
  <c r="K22" i="22"/>
  <c r="J22" i="22"/>
  <c r="I22" i="22"/>
  <c r="D22" i="22"/>
  <c r="C22" i="22"/>
  <c r="A22" i="22"/>
  <c r="K21" i="22"/>
  <c r="J21" i="22"/>
  <c r="I21" i="22"/>
  <c r="D21" i="22"/>
  <c r="C21" i="22"/>
  <c r="A21" i="22"/>
  <c r="K20" i="22"/>
  <c r="J20" i="22"/>
  <c r="I20" i="22"/>
  <c r="D20" i="22"/>
  <c r="C20" i="22"/>
  <c r="A20" i="22"/>
  <c r="K19" i="22"/>
  <c r="J19" i="22"/>
  <c r="I19" i="22"/>
  <c r="D19" i="22"/>
  <c r="C19" i="22"/>
  <c r="A19" i="22"/>
  <c r="K18" i="22"/>
  <c r="J18" i="22"/>
  <c r="I18" i="22"/>
  <c r="D18" i="22"/>
  <c r="C18" i="22"/>
  <c r="A18" i="22"/>
  <c r="K17" i="22"/>
  <c r="J17" i="22"/>
  <c r="I17" i="22"/>
  <c r="D17" i="22"/>
  <c r="C17" i="22"/>
  <c r="A17" i="22"/>
  <c r="K16" i="22"/>
  <c r="J16" i="22"/>
  <c r="I16" i="22"/>
  <c r="D16" i="22"/>
  <c r="C16" i="22"/>
  <c r="A16" i="22"/>
  <c r="K15" i="22"/>
  <c r="J15" i="22"/>
  <c r="I15" i="22"/>
  <c r="D15" i="22"/>
  <c r="C15" i="22"/>
  <c r="A15" i="22"/>
  <c r="K14" i="22"/>
  <c r="J14" i="22"/>
  <c r="I14" i="22"/>
  <c r="D14" i="22"/>
  <c r="C14" i="22"/>
  <c r="A14" i="22"/>
  <c r="B9" i="22"/>
  <c r="B10" i="22" s="1"/>
  <c r="B8" i="22"/>
  <c r="K208" i="21"/>
  <c r="J208" i="21"/>
  <c r="G208" i="21"/>
  <c r="D208" i="21"/>
  <c r="C208" i="21"/>
  <c r="B208" i="21"/>
  <c r="J207" i="21"/>
  <c r="K207" i="21" s="1"/>
  <c r="G207" i="21"/>
  <c r="D207" i="21"/>
  <c r="C207" i="21"/>
  <c r="B207" i="21"/>
  <c r="K206" i="21"/>
  <c r="J206" i="21"/>
  <c r="G206" i="21"/>
  <c r="D206" i="21"/>
  <c r="C206" i="21"/>
  <c r="B206" i="21"/>
  <c r="K205" i="21"/>
  <c r="J205" i="21"/>
  <c r="G205" i="21"/>
  <c r="D205" i="21"/>
  <c r="C205" i="21"/>
  <c r="B205" i="21"/>
  <c r="K204" i="21"/>
  <c r="J204" i="21"/>
  <c r="G204" i="21"/>
  <c r="D204" i="21"/>
  <c r="C204" i="21"/>
  <c r="B204" i="21"/>
  <c r="J203" i="21"/>
  <c r="K203" i="21" s="1"/>
  <c r="G203" i="21"/>
  <c r="D203" i="21"/>
  <c r="C203" i="21"/>
  <c r="B203" i="21"/>
  <c r="K202" i="21"/>
  <c r="J202" i="21"/>
  <c r="G202" i="21"/>
  <c r="D202" i="21"/>
  <c r="C202" i="21"/>
  <c r="B202" i="21"/>
  <c r="K201" i="21"/>
  <c r="J201" i="21"/>
  <c r="G201" i="21"/>
  <c r="D201" i="21"/>
  <c r="C201" i="21"/>
  <c r="B201" i="21"/>
  <c r="K200" i="21"/>
  <c r="J200" i="21"/>
  <c r="G200" i="21"/>
  <c r="D200" i="21"/>
  <c r="C200" i="21"/>
  <c r="B200" i="21"/>
  <c r="J199" i="21"/>
  <c r="K199" i="21" s="1"/>
  <c r="G199" i="21"/>
  <c r="D199" i="21"/>
  <c r="C199" i="21"/>
  <c r="B199" i="21"/>
  <c r="K198" i="21"/>
  <c r="J198" i="21"/>
  <c r="G198" i="21"/>
  <c r="D198" i="21"/>
  <c r="C198" i="21"/>
  <c r="B198" i="21"/>
  <c r="K197" i="21"/>
  <c r="J197" i="21"/>
  <c r="G197" i="21"/>
  <c r="D197" i="21"/>
  <c r="C197" i="21"/>
  <c r="B197" i="21"/>
  <c r="K196" i="21"/>
  <c r="J196" i="21"/>
  <c r="G196" i="21"/>
  <c r="D196" i="21"/>
  <c r="C196" i="21"/>
  <c r="B196" i="21"/>
  <c r="J195" i="21"/>
  <c r="K195" i="21" s="1"/>
  <c r="G195" i="21"/>
  <c r="D195" i="21"/>
  <c r="C195" i="21"/>
  <c r="B195" i="21"/>
  <c r="K194" i="21"/>
  <c r="J194" i="21"/>
  <c r="G194" i="21"/>
  <c r="D194" i="21"/>
  <c r="C194" i="21"/>
  <c r="B194" i="21"/>
  <c r="K193" i="21"/>
  <c r="J193" i="21"/>
  <c r="G193" i="21"/>
  <c r="D193" i="21"/>
  <c r="C193" i="21"/>
  <c r="B193" i="21"/>
  <c r="K192" i="21"/>
  <c r="J192" i="21"/>
  <c r="G192" i="21"/>
  <c r="D192" i="21"/>
  <c r="C192" i="21"/>
  <c r="B192" i="21"/>
  <c r="J191" i="21"/>
  <c r="K191" i="21" s="1"/>
  <c r="G191" i="21"/>
  <c r="D191" i="21"/>
  <c r="C191" i="21"/>
  <c r="B191" i="21"/>
  <c r="K190" i="21"/>
  <c r="J190" i="21"/>
  <c r="G190" i="21"/>
  <c r="D190" i="21"/>
  <c r="C190" i="21"/>
  <c r="B190" i="21"/>
  <c r="K189" i="21"/>
  <c r="J189" i="21"/>
  <c r="G189" i="21"/>
  <c r="D189" i="21"/>
  <c r="C189" i="21"/>
  <c r="B189" i="21"/>
  <c r="K188" i="21"/>
  <c r="J188" i="21"/>
  <c r="G188" i="21"/>
  <c r="D188" i="21"/>
  <c r="C188" i="21"/>
  <c r="B188" i="21"/>
  <c r="J187" i="21"/>
  <c r="K187" i="21" s="1"/>
  <c r="G187" i="21"/>
  <c r="D187" i="21"/>
  <c r="C187" i="21"/>
  <c r="B187" i="21"/>
  <c r="K186" i="21"/>
  <c r="J186" i="21"/>
  <c r="G186" i="21"/>
  <c r="D186" i="21"/>
  <c r="C186" i="21"/>
  <c r="B186" i="21"/>
  <c r="K185" i="21"/>
  <c r="J185" i="21"/>
  <c r="G185" i="21"/>
  <c r="D185" i="21"/>
  <c r="C185" i="21"/>
  <c r="B185" i="21"/>
  <c r="K184" i="21"/>
  <c r="J184" i="21"/>
  <c r="G184" i="21"/>
  <c r="D184" i="21"/>
  <c r="C184" i="21"/>
  <c r="B184" i="21"/>
  <c r="J183" i="21"/>
  <c r="K183" i="21" s="1"/>
  <c r="G183" i="21"/>
  <c r="D183" i="21"/>
  <c r="C183" i="21"/>
  <c r="B183" i="21"/>
  <c r="K182" i="21"/>
  <c r="J182" i="21"/>
  <c r="G182" i="21"/>
  <c r="D182" i="21"/>
  <c r="C182" i="21"/>
  <c r="B182" i="21"/>
  <c r="K181" i="21"/>
  <c r="J181" i="21"/>
  <c r="G181" i="21"/>
  <c r="D181" i="21"/>
  <c r="C181" i="21"/>
  <c r="B181" i="21"/>
  <c r="K180" i="21"/>
  <c r="J180" i="21"/>
  <c r="G180" i="21"/>
  <c r="D180" i="21"/>
  <c r="C180" i="21"/>
  <c r="B180" i="21"/>
  <c r="J179" i="21"/>
  <c r="K179" i="21" s="1"/>
  <c r="G179" i="21"/>
  <c r="D179" i="21"/>
  <c r="C179" i="21"/>
  <c r="B179" i="21"/>
  <c r="K178" i="21"/>
  <c r="J178" i="21"/>
  <c r="G178" i="21"/>
  <c r="D178" i="21"/>
  <c r="C178" i="21"/>
  <c r="B178" i="21"/>
  <c r="K177" i="21"/>
  <c r="J177" i="21"/>
  <c r="G177" i="21"/>
  <c r="D177" i="21"/>
  <c r="C177" i="21"/>
  <c r="B177" i="21"/>
  <c r="K176" i="21"/>
  <c r="J176" i="21"/>
  <c r="G176" i="21"/>
  <c r="D176" i="21"/>
  <c r="C176" i="21"/>
  <c r="B176" i="21"/>
  <c r="J175" i="21"/>
  <c r="K175" i="21" s="1"/>
  <c r="G175" i="21"/>
  <c r="D175" i="21"/>
  <c r="C175" i="21"/>
  <c r="B175" i="21"/>
  <c r="K174" i="21"/>
  <c r="J174" i="21"/>
  <c r="G174" i="21"/>
  <c r="D174" i="21"/>
  <c r="C174" i="21"/>
  <c r="B174" i="21"/>
  <c r="K173" i="21"/>
  <c r="J173" i="21"/>
  <c r="G173" i="21"/>
  <c r="D173" i="21"/>
  <c r="C173" i="21"/>
  <c r="B173" i="21"/>
  <c r="K172" i="21"/>
  <c r="J172" i="21"/>
  <c r="G172" i="21"/>
  <c r="D172" i="21"/>
  <c r="C172" i="21"/>
  <c r="B172" i="21"/>
  <c r="J171" i="21"/>
  <c r="K171" i="21" s="1"/>
  <c r="G171" i="21"/>
  <c r="D171" i="21"/>
  <c r="C171" i="21"/>
  <c r="B171" i="21"/>
  <c r="K170" i="21"/>
  <c r="J170" i="21"/>
  <c r="G170" i="21"/>
  <c r="D170" i="21"/>
  <c r="C170" i="21"/>
  <c r="B170" i="21"/>
  <c r="K169" i="21"/>
  <c r="J169" i="21"/>
  <c r="G169" i="21"/>
  <c r="D169" i="21"/>
  <c r="C169" i="21"/>
  <c r="B169" i="21"/>
  <c r="K168" i="21"/>
  <c r="J168" i="21"/>
  <c r="G168" i="21"/>
  <c r="D168" i="21"/>
  <c r="C168" i="21"/>
  <c r="B168" i="21"/>
  <c r="J167" i="21"/>
  <c r="K167" i="21" s="1"/>
  <c r="G167" i="21"/>
  <c r="D167" i="21"/>
  <c r="C167" i="21"/>
  <c r="B167" i="21"/>
  <c r="K166" i="21"/>
  <c r="J166" i="21"/>
  <c r="G166" i="21"/>
  <c r="D166" i="21"/>
  <c r="C166" i="21"/>
  <c r="B166" i="21"/>
  <c r="K165" i="21"/>
  <c r="J165" i="21"/>
  <c r="G165" i="21"/>
  <c r="D165" i="21"/>
  <c r="C165" i="21"/>
  <c r="B165" i="21"/>
  <c r="K164" i="21"/>
  <c r="J164" i="21"/>
  <c r="G164" i="21"/>
  <c r="D164" i="21"/>
  <c r="C164" i="21"/>
  <c r="B164" i="21"/>
  <c r="J163" i="21"/>
  <c r="K163" i="21" s="1"/>
  <c r="G163" i="21"/>
  <c r="D163" i="21"/>
  <c r="C163" i="21"/>
  <c r="B163" i="21"/>
  <c r="K162" i="21"/>
  <c r="J162" i="21"/>
  <c r="G162" i="21"/>
  <c r="D162" i="21"/>
  <c r="C162" i="21"/>
  <c r="B162" i="21"/>
  <c r="K161" i="21"/>
  <c r="J161" i="21"/>
  <c r="G161" i="21"/>
  <c r="D161" i="21"/>
  <c r="C161" i="21"/>
  <c r="B161" i="21"/>
  <c r="K160" i="21"/>
  <c r="J160" i="21"/>
  <c r="G160" i="21"/>
  <c r="D160" i="21"/>
  <c r="C160" i="21"/>
  <c r="B160" i="21"/>
  <c r="J159" i="21"/>
  <c r="K159" i="21" s="1"/>
  <c r="G159" i="21"/>
  <c r="D159" i="21"/>
  <c r="C159" i="21"/>
  <c r="B159" i="21"/>
  <c r="K158" i="21"/>
  <c r="J158" i="21"/>
  <c r="G158" i="21"/>
  <c r="D158" i="21"/>
  <c r="C158" i="21"/>
  <c r="B158" i="21"/>
  <c r="K157" i="21"/>
  <c r="J157" i="21"/>
  <c r="G157" i="21"/>
  <c r="D157" i="21"/>
  <c r="C157" i="21"/>
  <c r="B157" i="21"/>
  <c r="K156" i="21"/>
  <c r="J156" i="21"/>
  <c r="G156" i="21"/>
  <c r="D156" i="21"/>
  <c r="C156" i="21"/>
  <c r="B156" i="21"/>
  <c r="J155" i="21"/>
  <c r="K155" i="21" s="1"/>
  <c r="G155" i="21"/>
  <c r="D155" i="21"/>
  <c r="C155" i="21"/>
  <c r="B155" i="21"/>
  <c r="K154" i="21"/>
  <c r="J154" i="21"/>
  <c r="G154" i="21"/>
  <c r="D154" i="21"/>
  <c r="C154" i="21"/>
  <c r="B154" i="21"/>
  <c r="K153" i="21"/>
  <c r="J153" i="21"/>
  <c r="G153" i="21"/>
  <c r="D153" i="21"/>
  <c r="C153" i="21"/>
  <c r="B153" i="21"/>
  <c r="K152" i="21"/>
  <c r="J152" i="21"/>
  <c r="G152" i="21"/>
  <c r="D152" i="21"/>
  <c r="C152" i="21"/>
  <c r="B152" i="21"/>
  <c r="J151" i="21"/>
  <c r="K151" i="21" s="1"/>
  <c r="G151" i="21"/>
  <c r="D151" i="21"/>
  <c r="C151" i="21"/>
  <c r="B151" i="21"/>
  <c r="K150" i="21"/>
  <c r="J150" i="21"/>
  <c r="G150" i="21"/>
  <c r="D150" i="21"/>
  <c r="C150" i="21"/>
  <c r="B150" i="21"/>
  <c r="K149" i="21"/>
  <c r="J149" i="21"/>
  <c r="G149" i="21"/>
  <c r="D149" i="21"/>
  <c r="C149" i="21"/>
  <c r="B149" i="21"/>
  <c r="K148" i="21"/>
  <c r="J148" i="21"/>
  <c r="G148" i="21"/>
  <c r="D148" i="21"/>
  <c r="C148" i="21"/>
  <c r="B148" i="21"/>
  <c r="J147" i="21"/>
  <c r="K147" i="21" s="1"/>
  <c r="G147" i="21"/>
  <c r="D147" i="21"/>
  <c r="C147" i="21"/>
  <c r="B147" i="21"/>
  <c r="K146" i="21"/>
  <c r="J146" i="21"/>
  <c r="G146" i="21"/>
  <c r="D146" i="21"/>
  <c r="C146" i="21"/>
  <c r="B146" i="21"/>
  <c r="K145" i="21"/>
  <c r="J145" i="21"/>
  <c r="G145" i="21"/>
  <c r="D145" i="21"/>
  <c r="C145" i="21"/>
  <c r="B145" i="21"/>
  <c r="K144" i="21"/>
  <c r="J144" i="21"/>
  <c r="G144" i="21"/>
  <c r="D144" i="21"/>
  <c r="C144" i="21"/>
  <c r="B144" i="21"/>
  <c r="J143" i="21"/>
  <c r="K143" i="21" s="1"/>
  <c r="G143" i="21"/>
  <c r="D143" i="21"/>
  <c r="C143" i="21"/>
  <c r="B143" i="21"/>
  <c r="K142" i="21"/>
  <c r="J142" i="21"/>
  <c r="G142" i="21"/>
  <c r="D142" i="21"/>
  <c r="C142" i="21"/>
  <c r="B142" i="21"/>
  <c r="K141" i="21"/>
  <c r="J141" i="21"/>
  <c r="G141" i="21"/>
  <c r="D141" i="21"/>
  <c r="C141" i="21"/>
  <c r="B141" i="21"/>
  <c r="K140" i="21"/>
  <c r="J140" i="21"/>
  <c r="G140" i="21"/>
  <c r="D140" i="21"/>
  <c r="C140" i="21"/>
  <c r="B140" i="21"/>
  <c r="J139" i="21"/>
  <c r="K139" i="21" s="1"/>
  <c r="G139" i="21"/>
  <c r="D139" i="21"/>
  <c r="C139" i="21"/>
  <c r="B139" i="21"/>
  <c r="K138" i="21"/>
  <c r="J138" i="21"/>
  <c r="G138" i="21"/>
  <c r="D138" i="21"/>
  <c r="C138" i="21"/>
  <c r="B138" i="21"/>
  <c r="K137" i="21"/>
  <c r="J137" i="21"/>
  <c r="G137" i="21"/>
  <c r="D137" i="21"/>
  <c r="C137" i="21"/>
  <c r="B137" i="21"/>
  <c r="K136" i="21"/>
  <c r="J136" i="21"/>
  <c r="G136" i="21"/>
  <c r="D136" i="21"/>
  <c r="C136" i="21"/>
  <c r="B136" i="21"/>
  <c r="J135" i="21"/>
  <c r="K135" i="21" s="1"/>
  <c r="G135" i="21"/>
  <c r="D135" i="21"/>
  <c r="C135" i="21"/>
  <c r="B135" i="21"/>
  <c r="K134" i="21"/>
  <c r="J134" i="21"/>
  <c r="G134" i="21"/>
  <c r="D134" i="21"/>
  <c r="C134" i="21"/>
  <c r="B134" i="21"/>
  <c r="K133" i="21"/>
  <c r="J133" i="21"/>
  <c r="G133" i="21"/>
  <c r="D133" i="21"/>
  <c r="C133" i="21"/>
  <c r="B133" i="21"/>
  <c r="K132" i="21"/>
  <c r="J132" i="21"/>
  <c r="G132" i="21"/>
  <c r="D132" i="21"/>
  <c r="C132" i="21"/>
  <c r="B132" i="21"/>
  <c r="J131" i="21"/>
  <c r="K131" i="21" s="1"/>
  <c r="G131" i="21"/>
  <c r="D131" i="21"/>
  <c r="C131" i="21"/>
  <c r="B131" i="21"/>
  <c r="K130" i="21"/>
  <c r="J130" i="21"/>
  <c r="G130" i="21"/>
  <c r="D130" i="21"/>
  <c r="C130" i="21"/>
  <c r="B130" i="21"/>
  <c r="K129" i="21"/>
  <c r="J129" i="21"/>
  <c r="G129" i="21"/>
  <c r="D129" i="21"/>
  <c r="C129" i="21"/>
  <c r="B129" i="21"/>
  <c r="K128" i="21"/>
  <c r="J128" i="21"/>
  <c r="G128" i="21"/>
  <c r="D128" i="21"/>
  <c r="C128" i="21"/>
  <c r="B128" i="21"/>
  <c r="J127" i="21"/>
  <c r="K127" i="21" s="1"/>
  <c r="G127" i="21"/>
  <c r="D127" i="21"/>
  <c r="C127" i="21"/>
  <c r="B127" i="21"/>
  <c r="K126" i="21"/>
  <c r="J126" i="21"/>
  <c r="G126" i="21"/>
  <c r="D126" i="21"/>
  <c r="C126" i="21"/>
  <c r="B126" i="21"/>
  <c r="K125" i="21"/>
  <c r="J125" i="21"/>
  <c r="G125" i="21"/>
  <c r="D125" i="21"/>
  <c r="C125" i="21"/>
  <c r="B125" i="21"/>
  <c r="K124" i="21"/>
  <c r="J124" i="21"/>
  <c r="G124" i="21"/>
  <c r="D124" i="21"/>
  <c r="C124" i="21"/>
  <c r="B124" i="21"/>
  <c r="J123" i="21"/>
  <c r="K123" i="21" s="1"/>
  <c r="G123" i="21"/>
  <c r="D123" i="21"/>
  <c r="C123" i="21"/>
  <c r="B123" i="21"/>
  <c r="K122" i="21"/>
  <c r="J122" i="21"/>
  <c r="G122" i="21"/>
  <c r="D122" i="21"/>
  <c r="C122" i="21"/>
  <c r="B122" i="21"/>
  <c r="K121" i="21"/>
  <c r="J121" i="21"/>
  <c r="G121" i="21"/>
  <c r="D121" i="21"/>
  <c r="C121" i="21"/>
  <c r="B121" i="21"/>
  <c r="K120" i="21"/>
  <c r="J120" i="21"/>
  <c r="G120" i="21"/>
  <c r="D120" i="21"/>
  <c r="C120" i="21"/>
  <c r="B120" i="21"/>
  <c r="J119" i="21"/>
  <c r="K119" i="21" s="1"/>
  <c r="G119" i="21"/>
  <c r="D119" i="21"/>
  <c r="C119" i="21"/>
  <c r="B119" i="21"/>
  <c r="K118" i="21"/>
  <c r="J118" i="21"/>
  <c r="G118" i="21"/>
  <c r="D118" i="21"/>
  <c r="C118" i="21"/>
  <c r="B118" i="21"/>
  <c r="K117" i="21"/>
  <c r="J117" i="21"/>
  <c r="G117" i="21"/>
  <c r="D117" i="21"/>
  <c r="C117" i="21"/>
  <c r="B117" i="21"/>
  <c r="K116" i="21"/>
  <c r="J116" i="21"/>
  <c r="G116" i="21"/>
  <c r="D116" i="21"/>
  <c r="C116" i="21"/>
  <c r="B116" i="21"/>
  <c r="J115" i="21"/>
  <c r="K115" i="21" s="1"/>
  <c r="G115" i="21"/>
  <c r="D115" i="21"/>
  <c r="C115" i="21"/>
  <c r="B115" i="21"/>
  <c r="K114" i="21"/>
  <c r="J114" i="21"/>
  <c r="G114" i="21"/>
  <c r="D114" i="21"/>
  <c r="C114" i="21"/>
  <c r="B114" i="21"/>
  <c r="K113" i="21"/>
  <c r="J113" i="21"/>
  <c r="G113" i="21"/>
  <c r="D113" i="21"/>
  <c r="C113" i="21"/>
  <c r="B113" i="21"/>
  <c r="K112" i="21"/>
  <c r="J112" i="21"/>
  <c r="G112" i="21"/>
  <c r="D112" i="21"/>
  <c r="C112" i="21"/>
  <c r="B112" i="21"/>
  <c r="J111" i="21"/>
  <c r="K111" i="21" s="1"/>
  <c r="G111" i="21"/>
  <c r="D111" i="21"/>
  <c r="C111" i="21"/>
  <c r="B111" i="21"/>
  <c r="K110" i="21"/>
  <c r="J110" i="21"/>
  <c r="G110" i="21"/>
  <c r="D110" i="21"/>
  <c r="C110" i="21"/>
  <c r="B110" i="21"/>
  <c r="K109" i="21"/>
  <c r="J109" i="21"/>
  <c r="G109" i="21"/>
  <c r="D109" i="21"/>
  <c r="C109" i="21"/>
  <c r="B109" i="21"/>
  <c r="K108" i="21"/>
  <c r="J108" i="21"/>
  <c r="G108" i="21"/>
  <c r="D108" i="21"/>
  <c r="C108" i="21"/>
  <c r="B108" i="21"/>
  <c r="J107" i="21"/>
  <c r="K107" i="21" s="1"/>
  <c r="G107" i="21"/>
  <c r="D107" i="21"/>
  <c r="C107" i="21"/>
  <c r="B107" i="21"/>
  <c r="K106" i="21"/>
  <c r="J106" i="21"/>
  <c r="G106" i="21"/>
  <c r="D106" i="21"/>
  <c r="C106" i="21"/>
  <c r="B106" i="21"/>
  <c r="K105" i="21"/>
  <c r="J105" i="21"/>
  <c r="G105" i="21"/>
  <c r="D105" i="21"/>
  <c r="C105" i="21"/>
  <c r="B105" i="21"/>
  <c r="K104" i="21"/>
  <c r="J104" i="21"/>
  <c r="G104" i="21"/>
  <c r="D104" i="21"/>
  <c r="C104" i="21"/>
  <c r="B104" i="21"/>
  <c r="J103" i="21"/>
  <c r="K103" i="21" s="1"/>
  <c r="G103" i="21"/>
  <c r="D103" i="21"/>
  <c r="C103" i="21"/>
  <c r="B103" i="21"/>
  <c r="K102" i="21"/>
  <c r="J102" i="21"/>
  <c r="G102" i="21"/>
  <c r="D102" i="21"/>
  <c r="C102" i="21"/>
  <c r="B102" i="21"/>
  <c r="K101" i="21"/>
  <c r="J101" i="21"/>
  <c r="G101" i="21"/>
  <c r="D101" i="21"/>
  <c r="C101" i="21"/>
  <c r="B101" i="21"/>
  <c r="K100" i="21"/>
  <c r="J100" i="21"/>
  <c r="G100" i="21"/>
  <c r="D100" i="21"/>
  <c r="C100" i="21"/>
  <c r="B100" i="21"/>
  <c r="J99" i="21"/>
  <c r="K99" i="21" s="1"/>
  <c r="G99" i="21"/>
  <c r="D99" i="21"/>
  <c r="C99" i="21"/>
  <c r="B99" i="21"/>
  <c r="K98" i="21"/>
  <c r="J98" i="21"/>
  <c r="G98" i="21"/>
  <c r="D98" i="21"/>
  <c r="C98" i="21"/>
  <c r="B98" i="21"/>
  <c r="K97" i="21"/>
  <c r="J97" i="21"/>
  <c r="G97" i="21"/>
  <c r="D97" i="21"/>
  <c r="C97" i="21"/>
  <c r="B97" i="21"/>
  <c r="K96" i="21"/>
  <c r="J96" i="21"/>
  <c r="G96" i="21"/>
  <c r="D96" i="21"/>
  <c r="C96" i="21"/>
  <c r="B96" i="21"/>
  <c r="J95" i="21"/>
  <c r="K95" i="21" s="1"/>
  <c r="G95" i="21"/>
  <c r="D95" i="21"/>
  <c r="C95" i="21"/>
  <c r="B95" i="21"/>
  <c r="K94" i="21"/>
  <c r="J94" i="21"/>
  <c r="G94" i="21"/>
  <c r="D94" i="21"/>
  <c r="C94" i="21"/>
  <c r="B94" i="21"/>
  <c r="K93" i="21"/>
  <c r="J93" i="21"/>
  <c r="G93" i="21"/>
  <c r="D93" i="21"/>
  <c r="C93" i="21"/>
  <c r="B93" i="21"/>
  <c r="K92" i="21"/>
  <c r="J92" i="21"/>
  <c r="G92" i="21"/>
  <c r="D92" i="21"/>
  <c r="C92" i="21"/>
  <c r="B92" i="21"/>
  <c r="J91" i="21"/>
  <c r="K91" i="21" s="1"/>
  <c r="G91" i="21"/>
  <c r="D91" i="21"/>
  <c r="C91" i="21"/>
  <c r="B91" i="21"/>
  <c r="K90" i="21"/>
  <c r="J90" i="21"/>
  <c r="G90" i="21"/>
  <c r="D90" i="21"/>
  <c r="C90" i="21"/>
  <c r="B90" i="21"/>
  <c r="K89" i="21"/>
  <c r="J89" i="21"/>
  <c r="G89" i="21"/>
  <c r="D89" i="21"/>
  <c r="C89" i="21"/>
  <c r="B89" i="21"/>
  <c r="K88" i="21"/>
  <c r="J88" i="21"/>
  <c r="G88" i="21"/>
  <c r="D88" i="21"/>
  <c r="C88" i="21"/>
  <c r="B88" i="21"/>
  <c r="J87" i="21"/>
  <c r="K87" i="21" s="1"/>
  <c r="G87" i="21"/>
  <c r="D87" i="21"/>
  <c r="C87" i="21"/>
  <c r="B87" i="21"/>
  <c r="K86" i="21"/>
  <c r="J86" i="21"/>
  <c r="G86" i="21"/>
  <c r="D86" i="21"/>
  <c r="C86" i="21"/>
  <c r="B86" i="21"/>
  <c r="K85" i="21"/>
  <c r="J85" i="21"/>
  <c r="G85" i="21"/>
  <c r="D85" i="21"/>
  <c r="C85" i="21"/>
  <c r="B85" i="21"/>
  <c r="K84" i="21"/>
  <c r="J84" i="21"/>
  <c r="G84" i="21"/>
  <c r="D84" i="21"/>
  <c r="C84" i="21"/>
  <c r="B84" i="21"/>
  <c r="J83" i="21"/>
  <c r="K83" i="21" s="1"/>
  <c r="G83" i="21"/>
  <c r="D83" i="21"/>
  <c r="C83" i="21"/>
  <c r="B83" i="21"/>
  <c r="K82" i="21"/>
  <c r="J82" i="21"/>
  <c r="G82" i="21"/>
  <c r="D82" i="21"/>
  <c r="C82" i="21"/>
  <c r="B82" i="21"/>
  <c r="K81" i="21"/>
  <c r="J81" i="21"/>
  <c r="G81" i="21"/>
  <c r="D81" i="21"/>
  <c r="C81" i="21"/>
  <c r="B81" i="21"/>
  <c r="K80" i="21"/>
  <c r="J80" i="21"/>
  <c r="G80" i="21"/>
  <c r="D80" i="21"/>
  <c r="C80" i="21"/>
  <c r="B80" i="21"/>
  <c r="J79" i="21"/>
  <c r="K79" i="21" s="1"/>
  <c r="G79" i="21"/>
  <c r="D79" i="21"/>
  <c r="C79" i="21"/>
  <c r="B79" i="21"/>
  <c r="K78" i="21"/>
  <c r="J78" i="21"/>
  <c r="G78" i="21"/>
  <c r="D78" i="21"/>
  <c r="C78" i="21"/>
  <c r="B78" i="21"/>
  <c r="K77" i="21"/>
  <c r="J77" i="21"/>
  <c r="G77" i="21"/>
  <c r="D77" i="21"/>
  <c r="C77" i="21"/>
  <c r="B77" i="21"/>
  <c r="K76" i="21"/>
  <c r="J76" i="21"/>
  <c r="G76" i="21"/>
  <c r="D76" i="21"/>
  <c r="C76" i="21"/>
  <c r="B76" i="21"/>
  <c r="J75" i="21"/>
  <c r="K75" i="21" s="1"/>
  <c r="G75" i="21"/>
  <c r="D75" i="21"/>
  <c r="C75" i="21"/>
  <c r="B75" i="21"/>
  <c r="K74" i="21"/>
  <c r="J74" i="21"/>
  <c r="G74" i="21"/>
  <c r="D74" i="21"/>
  <c r="C74" i="21"/>
  <c r="B74" i="21"/>
  <c r="K73" i="21"/>
  <c r="J73" i="21"/>
  <c r="G73" i="21"/>
  <c r="D73" i="21"/>
  <c r="C73" i="21"/>
  <c r="B73" i="21"/>
  <c r="K72" i="21"/>
  <c r="J72" i="21"/>
  <c r="G72" i="21"/>
  <c r="D72" i="21"/>
  <c r="C72" i="21"/>
  <c r="B72" i="21"/>
  <c r="J71" i="21"/>
  <c r="K71" i="21" s="1"/>
  <c r="G71" i="21"/>
  <c r="D71" i="21"/>
  <c r="C71" i="21"/>
  <c r="B71" i="21"/>
  <c r="K70" i="21"/>
  <c r="J70" i="21"/>
  <c r="G70" i="21"/>
  <c r="D70" i="21"/>
  <c r="C70" i="21"/>
  <c r="B70" i="21"/>
  <c r="K69" i="21"/>
  <c r="J69" i="21"/>
  <c r="G69" i="21"/>
  <c r="D69" i="21"/>
  <c r="C69" i="21"/>
  <c r="B69" i="21"/>
  <c r="K68" i="21"/>
  <c r="J68" i="21"/>
  <c r="G68" i="21"/>
  <c r="D68" i="21"/>
  <c r="C68" i="21"/>
  <c r="B68" i="21"/>
  <c r="J67" i="21"/>
  <c r="K67" i="21" s="1"/>
  <c r="G67" i="21"/>
  <c r="D67" i="21"/>
  <c r="C67" i="21"/>
  <c r="B67" i="21"/>
  <c r="K66" i="21"/>
  <c r="J66" i="21"/>
  <c r="G66" i="21"/>
  <c r="D66" i="21"/>
  <c r="C66" i="21"/>
  <c r="B66" i="21"/>
  <c r="K65" i="21"/>
  <c r="J65" i="21"/>
  <c r="G65" i="21"/>
  <c r="D65" i="21"/>
  <c r="C65" i="21"/>
  <c r="B65" i="21"/>
  <c r="K64" i="21"/>
  <c r="J64" i="21"/>
  <c r="G64" i="21"/>
  <c r="D64" i="21"/>
  <c r="C64" i="21"/>
  <c r="B64" i="21"/>
  <c r="J63" i="21"/>
  <c r="K63" i="21" s="1"/>
  <c r="G63" i="21"/>
  <c r="D63" i="21"/>
  <c r="C63" i="21"/>
  <c r="B63" i="21"/>
  <c r="K62" i="21"/>
  <c r="J62" i="21"/>
  <c r="G62" i="21"/>
  <c r="D62" i="21"/>
  <c r="C62" i="21"/>
  <c r="B62" i="21"/>
  <c r="K61" i="21"/>
  <c r="J61" i="21"/>
  <c r="G61" i="21"/>
  <c r="D61" i="21"/>
  <c r="C61" i="21"/>
  <c r="B61" i="21"/>
  <c r="K60" i="21"/>
  <c r="J60" i="21"/>
  <c r="G60" i="21"/>
  <c r="D60" i="21"/>
  <c r="C60" i="21"/>
  <c r="B60" i="21"/>
  <c r="J59" i="21"/>
  <c r="K59" i="21" s="1"/>
  <c r="G59" i="21"/>
  <c r="D59" i="21"/>
  <c r="C59" i="21"/>
  <c r="B59" i="21"/>
  <c r="K58" i="21"/>
  <c r="J58" i="21"/>
  <c r="G58" i="21"/>
  <c r="D58" i="21"/>
  <c r="C58" i="21"/>
  <c r="B58" i="21"/>
  <c r="K57" i="21"/>
  <c r="J57" i="21"/>
  <c r="G57" i="21"/>
  <c r="D57" i="21"/>
  <c r="C57" i="21"/>
  <c r="B57" i="21"/>
  <c r="K56" i="21"/>
  <c r="J56" i="21"/>
  <c r="G56" i="21"/>
  <c r="D56" i="21"/>
  <c r="C56" i="21"/>
  <c r="B56" i="21"/>
  <c r="J55" i="21"/>
  <c r="K55" i="21" s="1"/>
  <c r="G55" i="21"/>
  <c r="D55" i="21"/>
  <c r="C55" i="21"/>
  <c r="B55" i="21"/>
  <c r="K54" i="21"/>
  <c r="J54" i="21"/>
  <c r="G54" i="21"/>
  <c r="D54" i="21"/>
  <c r="C54" i="21"/>
  <c r="B54" i="21"/>
  <c r="K53" i="21"/>
  <c r="J53" i="21"/>
  <c r="G53" i="21"/>
  <c r="D53" i="21"/>
  <c r="C53" i="21"/>
  <c r="B53" i="21"/>
  <c r="K52" i="21"/>
  <c r="J52" i="21"/>
  <c r="G52" i="21"/>
  <c r="D52" i="21"/>
  <c r="C52" i="21"/>
  <c r="B52" i="21"/>
  <c r="J51" i="21"/>
  <c r="K51" i="21" s="1"/>
  <c r="G51" i="21"/>
  <c r="D51" i="21"/>
  <c r="C51" i="21"/>
  <c r="B51" i="21"/>
  <c r="K50" i="21"/>
  <c r="J50" i="21"/>
  <c r="G50" i="21"/>
  <c r="D50" i="21"/>
  <c r="C50" i="21"/>
  <c r="B50" i="21"/>
  <c r="K49" i="21"/>
  <c r="J49" i="21"/>
  <c r="G49" i="21"/>
  <c r="D49" i="21"/>
  <c r="C49" i="21"/>
  <c r="B49" i="21"/>
  <c r="K48" i="21"/>
  <c r="J48" i="21"/>
  <c r="G48" i="21"/>
  <c r="D48" i="21"/>
  <c r="C48" i="21"/>
  <c r="B48" i="21"/>
  <c r="J47" i="21"/>
  <c r="K47" i="21" s="1"/>
  <c r="G47" i="21"/>
  <c r="D47" i="21"/>
  <c r="C47" i="21"/>
  <c r="B47" i="21"/>
  <c r="K46" i="21"/>
  <c r="J46" i="21"/>
  <c r="G46" i="21"/>
  <c r="D46" i="21"/>
  <c r="C46" i="21"/>
  <c r="B46" i="21"/>
  <c r="K45" i="21"/>
  <c r="J45" i="21"/>
  <c r="G45" i="21"/>
  <c r="D45" i="21"/>
  <c r="C45" i="21"/>
  <c r="B45" i="21"/>
  <c r="K44" i="21"/>
  <c r="J44" i="21"/>
  <c r="G44" i="21"/>
  <c r="D44" i="21"/>
  <c r="C44" i="21"/>
  <c r="B44" i="21"/>
  <c r="J43" i="21"/>
  <c r="K43" i="21" s="1"/>
  <c r="G43" i="21"/>
  <c r="D43" i="21"/>
  <c r="C43" i="21"/>
  <c r="B43" i="21"/>
  <c r="K42" i="21"/>
  <c r="J42" i="21"/>
  <c r="G42" i="21"/>
  <c r="D42" i="21"/>
  <c r="C42" i="21"/>
  <c r="B42" i="21"/>
  <c r="K41" i="21"/>
  <c r="J41" i="21"/>
  <c r="G41" i="21"/>
  <c r="D41" i="21"/>
  <c r="C41" i="21"/>
  <c r="B41" i="21"/>
  <c r="K40" i="21"/>
  <c r="J40" i="21"/>
  <c r="G40" i="21"/>
  <c r="D40" i="21"/>
  <c r="C40" i="21"/>
  <c r="B40" i="21"/>
  <c r="J39" i="21"/>
  <c r="K39" i="21" s="1"/>
  <c r="G39" i="21"/>
  <c r="D39" i="21"/>
  <c r="C39" i="21"/>
  <c r="B39" i="21"/>
  <c r="K38" i="21"/>
  <c r="J38" i="21"/>
  <c r="G38" i="21"/>
  <c r="D38" i="21"/>
  <c r="C38" i="21"/>
  <c r="B38" i="21"/>
  <c r="K37" i="21"/>
  <c r="J37" i="21"/>
  <c r="G37" i="21"/>
  <c r="D37" i="21"/>
  <c r="C37" i="21"/>
  <c r="B37" i="21"/>
  <c r="K36" i="21"/>
  <c r="J36" i="21"/>
  <c r="G36" i="21"/>
  <c r="D36" i="21"/>
  <c r="C36" i="21"/>
  <c r="B36" i="21"/>
  <c r="J35" i="21"/>
  <c r="K35" i="21" s="1"/>
  <c r="G35" i="21"/>
  <c r="D35" i="21"/>
  <c r="C35" i="21"/>
  <c r="B35" i="21"/>
  <c r="K34" i="21"/>
  <c r="J34" i="21"/>
  <c r="G34" i="21"/>
  <c r="D34" i="21"/>
  <c r="C34" i="21"/>
  <c r="B34" i="21"/>
  <c r="K33" i="21"/>
  <c r="J33" i="21"/>
  <c r="G33" i="21"/>
  <c r="D33" i="21"/>
  <c r="C33" i="21"/>
  <c r="B33" i="21"/>
  <c r="K32" i="21"/>
  <c r="J32" i="21"/>
  <c r="G32" i="21"/>
  <c r="D32" i="21"/>
  <c r="C32" i="21"/>
  <c r="B32" i="21"/>
  <c r="J31" i="21"/>
  <c r="K31" i="21" s="1"/>
  <c r="G31" i="21"/>
  <c r="D31" i="21"/>
  <c r="C31" i="21"/>
  <c r="B31" i="21"/>
  <c r="K30" i="21"/>
  <c r="J30" i="21"/>
  <c r="G30" i="21"/>
  <c r="D30" i="21"/>
  <c r="C30" i="21"/>
  <c r="B30" i="21"/>
  <c r="K29" i="21"/>
  <c r="J29" i="21"/>
  <c r="G29" i="21"/>
  <c r="D29" i="21"/>
  <c r="C29" i="21"/>
  <c r="B29" i="21"/>
  <c r="K28" i="21"/>
  <c r="J28" i="21"/>
  <c r="G28" i="21"/>
  <c r="D28" i="21"/>
  <c r="C28" i="21"/>
  <c r="B28" i="21"/>
  <c r="J27" i="21"/>
  <c r="K27" i="21" s="1"/>
  <c r="G27" i="21"/>
  <c r="D27" i="21"/>
  <c r="C27" i="21"/>
  <c r="B27" i="21"/>
  <c r="K26" i="21"/>
  <c r="J26" i="21"/>
  <c r="G26" i="21"/>
  <c r="D26" i="21"/>
  <c r="C26" i="21"/>
  <c r="B26" i="21"/>
  <c r="K25" i="21"/>
  <c r="J25" i="21"/>
  <c r="G25" i="21"/>
  <c r="D25" i="21"/>
  <c r="C25" i="21"/>
  <c r="B25" i="21"/>
  <c r="K24" i="21"/>
  <c r="J24" i="21"/>
  <c r="G24" i="21"/>
  <c r="D24" i="21"/>
  <c r="C24" i="21"/>
  <c r="B24" i="21"/>
  <c r="J23" i="21"/>
  <c r="K23" i="21" s="1"/>
  <c r="G23" i="21"/>
  <c r="D23" i="21"/>
  <c r="C23" i="21"/>
  <c r="B23" i="21"/>
  <c r="K22" i="21"/>
  <c r="J22" i="21"/>
  <c r="G22" i="21"/>
  <c r="D22" i="21"/>
  <c r="C22" i="21"/>
  <c r="B22" i="21"/>
  <c r="K21" i="21"/>
  <c r="J21" i="21"/>
  <c r="G21" i="21"/>
  <c r="D21" i="21"/>
  <c r="C21" i="21"/>
  <c r="B21" i="21"/>
  <c r="K20" i="21"/>
  <c r="J20" i="21"/>
  <c r="G20" i="21"/>
  <c r="D20" i="21"/>
  <c r="C20" i="21"/>
  <c r="B20" i="21"/>
  <c r="J19" i="21"/>
  <c r="K19" i="21" s="1"/>
  <c r="G19" i="21"/>
  <c r="D19" i="21"/>
  <c r="C19" i="21"/>
  <c r="B19" i="21"/>
  <c r="K18" i="21"/>
  <c r="J18" i="21"/>
  <c r="G18" i="21"/>
  <c r="D18" i="21"/>
  <c r="C18" i="21"/>
  <c r="B18" i="21"/>
  <c r="K17" i="21"/>
  <c r="J17" i="21"/>
  <c r="G17" i="21"/>
  <c r="D17" i="21"/>
  <c r="C17" i="21"/>
  <c r="B17" i="21"/>
  <c r="K16" i="21"/>
  <c r="J16" i="21"/>
  <c r="G16" i="21"/>
  <c r="D16" i="21"/>
  <c r="C16" i="21"/>
  <c r="B16" i="21"/>
  <c r="J15" i="21"/>
  <c r="K15" i="21" s="1"/>
  <c r="G15" i="21"/>
  <c r="D15" i="21"/>
  <c r="C15" i="21"/>
  <c r="B15" i="21"/>
  <c r="K14" i="21"/>
  <c r="J14" i="21"/>
  <c r="G14" i="21"/>
  <c r="D14" i="21"/>
  <c r="C14" i="21"/>
  <c r="B14" i="21"/>
  <c r="K13" i="21"/>
  <c r="J13" i="21"/>
  <c r="G13" i="21"/>
  <c r="D13" i="21"/>
  <c r="C13" i="21"/>
  <c r="B13" i="21"/>
  <c r="K12" i="21"/>
  <c r="J12" i="21"/>
  <c r="G12" i="21"/>
  <c r="D12" i="21"/>
  <c r="C12" i="21"/>
  <c r="B12" i="21"/>
  <c r="J11" i="21"/>
  <c r="K11" i="21" s="1"/>
  <c r="G11" i="21"/>
  <c r="D11" i="21"/>
  <c r="C11" i="21"/>
  <c r="B11" i="21"/>
  <c r="K10" i="21"/>
  <c r="J10" i="21"/>
  <c r="G10" i="21"/>
  <c r="D10" i="21"/>
  <c r="C10" i="21"/>
  <c r="B10" i="21"/>
  <c r="K9" i="21"/>
  <c r="J9" i="21"/>
  <c r="G9" i="21"/>
  <c r="D9" i="21"/>
  <c r="C9" i="21"/>
  <c r="B9" i="21"/>
  <c r="K4" i="21"/>
  <c r="G4" i="21"/>
  <c r="D4" i="21"/>
  <c r="A4" i="21"/>
  <c r="J208" i="20"/>
  <c r="I208" i="20"/>
  <c r="F208" i="20"/>
  <c r="D208" i="20"/>
  <c r="C208" i="20"/>
  <c r="B208" i="20"/>
  <c r="J207" i="20"/>
  <c r="I207" i="20"/>
  <c r="F207" i="20"/>
  <c r="D207" i="20"/>
  <c r="C207" i="20"/>
  <c r="B207" i="20"/>
  <c r="I206" i="20"/>
  <c r="J206" i="20" s="1"/>
  <c r="F206" i="20"/>
  <c r="D206" i="20"/>
  <c r="C206" i="20"/>
  <c r="B206" i="20"/>
  <c r="I205" i="20"/>
  <c r="J205" i="20" s="1"/>
  <c r="F205" i="20"/>
  <c r="D205" i="20"/>
  <c r="C205" i="20"/>
  <c r="B205" i="20"/>
  <c r="J204" i="20"/>
  <c r="I204" i="20"/>
  <c r="F204" i="20"/>
  <c r="D204" i="20"/>
  <c r="C204" i="20"/>
  <c r="B204" i="20"/>
  <c r="I203" i="20"/>
  <c r="J203" i="20" s="1"/>
  <c r="F203" i="20"/>
  <c r="D203" i="20"/>
  <c r="C203" i="20"/>
  <c r="B203" i="20"/>
  <c r="I202" i="20"/>
  <c r="J202" i="20" s="1"/>
  <c r="F202" i="20"/>
  <c r="D202" i="20"/>
  <c r="C202" i="20"/>
  <c r="B202" i="20"/>
  <c r="J201" i="20"/>
  <c r="I201" i="20"/>
  <c r="F201" i="20"/>
  <c r="D201" i="20"/>
  <c r="C201" i="20"/>
  <c r="B201" i="20"/>
  <c r="J200" i="20"/>
  <c r="I200" i="20"/>
  <c r="F200" i="20"/>
  <c r="D200" i="20"/>
  <c r="C200" i="20"/>
  <c r="B200" i="20"/>
  <c r="I199" i="20"/>
  <c r="J199" i="20" s="1"/>
  <c r="F199" i="20"/>
  <c r="D199" i="20"/>
  <c r="C199" i="20"/>
  <c r="B199" i="20"/>
  <c r="I198" i="20"/>
  <c r="J198" i="20" s="1"/>
  <c r="F198" i="20"/>
  <c r="D198" i="20"/>
  <c r="C198" i="20"/>
  <c r="B198" i="20"/>
  <c r="J197" i="20"/>
  <c r="I197" i="20"/>
  <c r="F197" i="20"/>
  <c r="D197" i="20"/>
  <c r="C197" i="20"/>
  <c r="B197" i="20"/>
  <c r="J196" i="20"/>
  <c r="I196" i="20"/>
  <c r="F196" i="20"/>
  <c r="D196" i="20"/>
  <c r="C196" i="20"/>
  <c r="B196" i="20"/>
  <c r="J195" i="20"/>
  <c r="I195" i="20"/>
  <c r="F195" i="20"/>
  <c r="D195" i="20"/>
  <c r="C195" i="20"/>
  <c r="B195" i="20"/>
  <c r="I194" i="20"/>
  <c r="J194" i="20" s="1"/>
  <c r="F194" i="20"/>
  <c r="D194" i="20"/>
  <c r="C194" i="20"/>
  <c r="B194" i="20"/>
  <c r="J193" i="20"/>
  <c r="I193" i="20"/>
  <c r="F193" i="20"/>
  <c r="D193" i="20"/>
  <c r="C193" i="20"/>
  <c r="B193" i="20"/>
  <c r="J192" i="20"/>
  <c r="I192" i="20"/>
  <c r="F192" i="20"/>
  <c r="D192" i="20"/>
  <c r="C192" i="20"/>
  <c r="B192" i="20"/>
  <c r="I191" i="20"/>
  <c r="J191" i="20" s="1"/>
  <c r="F191" i="20"/>
  <c r="D191" i="20"/>
  <c r="C191" i="20"/>
  <c r="B191" i="20"/>
  <c r="I190" i="20"/>
  <c r="J190" i="20" s="1"/>
  <c r="F190" i="20"/>
  <c r="D190" i="20"/>
  <c r="C190" i="20"/>
  <c r="B190" i="20"/>
  <c r="J189" i="20"/>
  <c r="I189" i="20"/>
  <c r="F189" i="20"/>
  <c r="D189" i="20"/>
  <c r="C189" i="20"/>
  <c r="B189" i="20"/>
  <c r="J188" i="20"/>
  <c r="I188" i="20"/>
  <c r="F188" i="20"/>
  <c r="D188" i="20"/>
  <c r="C188" i="20"/>
  <c r="B188" i="20"/>
  <c r="I187" i="20"/>
  <c r="J187" i="20" s="1"/>
  <c r="F187" i="20"/>
  <c r="D187" i="20"/>
  <c r="C187" i="20"/>
  <c r="B187" i="20"/>
  <c r="I186" i="20"/>
  <c r="J186" i="20" s="1"/>
  <c r="F186" i="20"/>
  <c r="D186" i="20"/>
  <c r="C186" i="20"/>
  <c r="B186" i="20"/>
  <c r="I185" i="20"/>
  <c r="J185" i="20" s="1"/>
  <c r="F185" i="20"/>
  <c r="D185" i="20"/>
  <c r="C185" i="20"/>
  <c r="B185" i="20"/>
  <c r="J184" i="20"/>
  <c r="I184" i="20"/>
  <c r="F184" i="20"/>
  <c r="D184" i="20"/>
  <c r="C184" i="20"/>
  <c r="B184" i="20"/>
  <c r="J183" i="20"/>
  <c r="I183" i="20"/>
  <c r="F183" i="20"/>
  <c r="D183" i="20"/>
  <c r="C183" i="20"/>
  <c r="B183" i="20"/>
  <c r="I182" i="20"/>
  <c r="J182" i="20" s="1"/>
  <c r="F182" i="20"/>
  <c r="D182" i="20"/>
  <c r="C182" i="20"/>
  <c r="B182" i="20"/>
  <c r="J181" i="20"/>
  <c r="I181" i="20"/>
  <c r="F181" i="20"/>
  <c r="D181" i="20"/>
  <c r="C181" i="20"/>
  <c r="B181" i="20"/>
  <c r="J180" i="20"/>
  <c r="I180" i="20"/>
  <c r="F180" i="20"/>
  <c r="D180" i="20"/>
  <c r="C180" i="20"/>
  <c r="B180" i="20"/>
  <c r="J179" i="20"/>
  <c r="I179" i="20"/>
  <c r="F179" i="20"/>
  <c r="D179" i="20"/>
  <c r="C179" i="20"/>
  <c r="B179" i="20"/>
  <c r="I178" i="20"/>
  <c r="J178" i="20" s="1"/>
  <c r="F178" i="20"/>
  <c r="D178" i="20"/>
  <c r="C178" i="20"/>
  <c r="B178" i="20"/>
  <c r="I177" i="20"/>
  <c r="J177" i="20" s="1"/>
  <c r="F177" i="20"/>
  <c r="D177" i="20"/>
  <c r="C177" i="20"/>
  <c r="B177" i="20"/>
  <c r="J176" i="20"/>
  <c r="I176" i="20"/>
  <c r="F176" i="20"/>
  <c r="D176" i="20"/>
  <c r="C176" i="20"/>
  <c r="B176" i="20"/>
  <c r="J175" i="20"/>
  <c r="I175" i="20"/>
  <c r="F175" i="20"/>
  <c r="D175" i="20"/>
  <c r="C175" i="20"/>
  <c r="B175" i="20"/>
  <c r="I174" i="20"/>
  <c r="J174" i="20" s="1"/>
  <c r="F174" i="20"/>
  <c r="D174" i="20"/>
  <c r="C174" i="20"/>
  <c r="B174" i="20"/>
  <c r="I173" i="20"/>
  <c r="J173" i="20" s="1"/>
  <c r="F173" i="20"/>
  <c r="D173" i="20"/>
  <c r="C173" i="20"/>
  <c r="B173" i="20"/>
  <c r="J172" i="20"/>
  <c r="I172" i="20"/>
  <c r="F172" i="20"/>
  <c r="D172" i="20"/>
  <c r="C172" i="20"/>
  <c r="B172" i="20"/>
  <c r="J171" i="20"/>
  <c r="I171" i="20"/>
  <c r="F171" i="20"/>
  <c r="D171" i="20"/>
  <c r="C171" i="20"/>
  <c r="B171" i="20"/>
  <c r="I170" i="20"/>
  <c r="J170" i="20" s="1"/>
  <c r="F170" i="20"/>
  <c r="D170" i="20"/>
  <c r="C170" i="20"/>
  <c r="B170" i="20"/>
  <c r="J169" i="20"/>
  <c r="I169" i="20"/>
  <c r="F169" i="20"/>
  <c r="D169" i="20"/>
  <c r="C169" i="20"/>
  <c r="B169" i="20"/>
  <c r="J168" i="20"/>
  <c r="I168" i="20"/>
  <c r="F168" i="20"/>
  <c r="D168" i="20"/>
  <c r="C168" i="20"/>
  <c r="B168" i="20"/>
  <c r="I167" i="20"/>
  <c r="J167" i="20" s="1"/>
  <c r="F167" i="20"/>
  <c r="D167" i="20"/>
  <c r="C167" i="20"/>
  <c r="B167" i="20"/>
  <c r="I166" i="20"/>
  <c r="J166" i="20" s="1"/>
  <c r="F166" i="20"/>
  <c r="D166" i="20"/>
  <c r="C166" i="20"/>
  <c r="B166" i="20"/>
  <c r="J165" i="20"/>
  <c r="I165" i="20"/>
  <c r="F165" i="20"/>
  <c r="D165" i="20"/>
  <c r="C165" i="20"/>
  <c r="B165" i="20"/>
  <c r="J164" i="20"/>
  <c r="I164" i="20"/>
  <c r="F164" i="20"/>
  <c r="D164" i="20"/>
  <c r="C164" i="20"/>
  <c r="B164" i="20"/>
  <c r="J163" i="20"/>
  <c r="I163" i="20"/>
  <c r="F163" i="20"/>
  <c r="D163" i="20"/>
  <c r="C163" i="20"/>
  <c r="B163" i="20"/>
  <c r="I162" i="20"/>
  <c r="J162" i="20" s="1"/>
  <c r="F162" i="20"/>
  <c r="D162" i="20"/>
  <c r="C162" i="20"/>
  <c r="B162" i="20"/>
  <c r="J161" i="20"/>
  <c r="I161" i="20"/>
  <c r="F161" i="20"/>
  <c r="D161" i="20"/>
  <c r="C161" i="20"/>
  <c r="B161" i="20"/>
  <c r="J160" i="20"/>
  <c r="I160" i="20"/>
  <c r="F160" i="20"/>
  <c r="D160" i="20"/>
  <c r="C160" i="20"/>
  <c r="B160" i="20"/>
  <c r="I159" i="20"/>
  <c r="J159" i="20" s="1"/>
  <c r="F159" i="20"/>
  <c r="D159" i="20"/>
  <c r="C159" i="20"/>
  <c r="B159" i="20"/>
  <c r="I158" i="20"/>
  <c r="J158" i="20" s="1"/>
  <c r="F158" i="20"/>
  <c r="D158" i="20"/>
  <c r="C158" i="20"/>
  <c r="B158" i="20"/>
  <c r="I157" i="20"/>
  <c r="J157" i="20" s="1"/>
  <c r="F157" i="20"/>
  <c r="D157" i="20"/>
  <c r="C157" i="20"/>
  <c r="B157" i="20"/>
  <c r="J156" i="20"/>
  <c r="I156" i="20"/>
  <c r="F156" i="20"/>
  <c r="D156" i="20"/>
  <c r="C156" i="20"/>
  <c r="B156" i="20"/>
  <c r="I155" i="20"/>
  <c r="J155" i="20" s="1"/>
  <c r="F155" i="20"/>
  <c r="D155" i="20"/>
  <c r="C155" i="20"/>
  <c r="B155" i="20"/>
  <c r="I154" i="20"/>
  <c r="J154" i="20" s="1"/>
  <c r="F154" i="20"/>
  <c r="D154" i="20"/>
  <c r="C154" i="20"/>
  <c r="B154" i="20"/>
  <c r="I153" i="20"/>
  <c r="J153" i="20" s="1"/>
  <c r="F153" i="20"/>
  <c r="D153" i="20"/>
  <c r="C153" i="20"/>
  <c r="B153" i="20"/>
  <c r="J152" i="20"/>
  <c r="I152" i="20"/>
  <c r="F152" i="20"/>
  <c r="D152" i="20"/>
  <c r="C152" i="20"/>
  <c r="B152" i="20"/>
  <c r="J151" i="20"/>
  <c r="I151" i="20"/>
  <c r="F151" i="20"/>
  <c r="D151" i="20"/>
  <c r="C151" i="20"/>
  <c r="B151" i="20"/>
  <c r="I150" i="20"/>
  <c r="J150" i="20" s="1"/>
  <c r="F150" i="20"/>
  <c r="D150" i="20"/>
  <c r="C150" i="20"/>
  <c r="B150" i="20"/>
  <c r="J149" i="20"/>
  <c r="I149" i="20"/>
  <c r="F149" i="20"/>
  <c r="D149" i="20"/>
  <c r="C149" i="20"/>
  <c r="B149" i="20"/>
  <c r="J148" i="20"/>
  <c r="I148" i="20"/>
  <c r="F148" i="20"/>
  <c r="D148" i="20"/>
  <c r="C148" i="20"/>
  <c r="B148" i="20"/>
  <c r="J147" i="20"/>
  <c r="I147" i="20"/>
  <c r="F147" i="20"/>
  <c r="D147" i="20"/>
  <c r="C147" i="20"/>
  <c r="B147" i="20"/>
  <c r="I146" i="20"/>
  <c r="J146" i="20" s="1"/>
  <c r="F146" i="20"/>
  <c r="D146" i="20"/>
  <c r="C146" i="20"/>
  <c r="B146" i="20"/>
  <c r="I145" i="20"/>
  <c r="J145" i="20" s="1"/>
  <c r="F145" i="20"/>
  <c r="D145" i="20"/>
  <c r="C145" i="20"/>
  <c r="B145" i="20"/>
  <c r="J144" i="20"/>
  <c r="I144" i="20"/>
  <c r="F144" i="20"/>
  <c r="D144" i="20"/>
  <c r="C144" i="20"/>
  <c r="B144" i="20"/>
  <c r="J143" i="20"/>
  <c r="I143" i="20"/>
  <c r="F143" i="20"/>
  <c r="D143" i="20"/>
  <c r="C143" i="20"/>
  <c r="B143" i="20"/>
  <c r="I142" i="20"/>
  <c r="J142" i="20" s="1"/>
  <c r="F142" i="20"/>
  <c r="D142" i="20"/>
  <c r="C142" i="20"/>
  <c r="B142" i="20"/>
  <c r="I141" i="20"/>
  <c r="J141" i="20" s="1"/>
  <c r="F141" i="20"/>
  <c r="D141" i="20"/>
  <c r="C141" i="20"/>
  <c r="B141" i="20"/>
  <c r="J140" i="20"/>
  <c r="I140" i="20"/>
  <c r="F140" i="20"/>
  <c r="D140" i="20"/>
  <c r="C140" i="20"/>
  <c r="B140" i="20"/>
  <c r="I139" i="20"/>
  <c r="J139" i="20" s="1"/>
  <c r="F139" i="20"/>
  <c r="D139" i="20"/>
  <c r="C139" i="20"/>
  <c r="B139" i="20"/>
  <c r="I138" i="20"/>
  <c r="J138" i="20" s="1"/>
  <c r="F138" i="20"/>
  <c r="D138" i="20"/>
  <c r="C138" i="20"/>
  <c r="B138" i="20"/>
  <c r="J137" i="20"/>
  <c r="I137" i="20"/>
  <c r="F137" i="20"/>
  <c r="D137" i="20"/>
  <c r="C137" i="20"/>
  <c r="B137" i="20"/>
  <c r="J136" i="20"/>
  <c r="I136" i="20"/>
  <c r="F136" i="20"/>
  <c r="D136" i="20"/>
  <c r="C136" i="20"/>
  <c r="B136" i="20"/>
  <c r="I135" i="20"/>
  <c r="J135" i="20" s="1"/>
  <c r="F135" i="20"/>
  <c r="D135" i="20"/>
  <c r="C135" i="20"/>
  <c r="B135" i="20"/>
  <c r="I134" i="20"/>
  <c r="J134" i="20" s="1"/>
  <c r="F134" i="20"/>
  <c r="D134" i="20"/>
  <c r="C134" i="20"/>
  <c r="B134" i="20"/>
  <c r="J133" i="20"/>
  <c r="I133" i="20"/>
  <c r="F133" i="20"/>
  <c r="D133" i="20"/>
  <c r="C133" i="20"/>
  <c r="B133" i="20"/>
  <c r="J132" i="20"/>
  <c r="I132" i="20"/>
  <c r="F132" i="20"/>
  <c r="D132" i="20"/>
  <c r="C132" i="20"/>
  <c r="B132" i="20"/>
  <c r="J131" i="20"/>
  <c r="I131" i="20"/>
  <c r="F131" i="20"/>
  <c r="D131" i="20"/>
  <c r="C131" i="20"/>
  <c r="B131" i="20"/>
  <c r="I130" i="20"/>
  <c r="J130" i="20" s="1"/>
  <c r="F130" i="20"/>
  <c r="D130" i="20"/>
  <c r="C130" i="20"/>
  <c r="B130" i="20"/>
  <c r="J129" i="20"/>
  <c r="I129" i="20"/>
  <c r="F129" i="20"/>
  <c r="D129" i="20"/>
  <c r="C129" i="20"/>
  <c r="B129" i="20"/>
  <c r="J128" i="20"/>
  <c r="I128" i="20"/>
  <c r="F128" i="20"/>
  <c r="D128" i="20"/>
  <c r="C128" i="20"/>
  <c r="B128" i="20"/>
  <c r="I127" i="20"/>
  <c r="J127" i="20" s="1"/>
  <c r="F127" i="20"/>
  <c r="D127" i="20"/>
  <c r="C127" i="20"/>
  <c r="B127" i="20"/>
  <c r="I126" i="20"/>
  <c r="J126" i="20" s="1"/>
  <c r="F126" i="20"/>
  <c r="D126" i="20"/>
  <c r="C126" i="20"/>
  <c r="B126" i="20"/>
  <c r="J125" i="20"/>
  <c r="I125" i="20"/>
  <c r="F125" i="20"/>
  <c r="D125" i="20"/>
  <c r="C125" i="20"/>
  <c r="B125" i="20"/>
  <c r="J124" i="20"/>
  <c r="I124" i="20"/>
  <c r="F124" i="20"/>
  <c r="D124" i="20"/>
  <c r="C124" i="20"/>
  <c r="B124" i="20"/>
  <c r="I123" i="20"/>
  <c r="J123" i="20" s="1"/>
  <c r="F123" i="20"/>
  <c r="D123" i="20"/>
  <c r="C123" i="20"/>
  <c r="B123" i="20"/>
  <c r="I122" i="20"/>
  <c r="J122" i="20" s="1"/>
  <c r="F122" i="20"/>
  <c r="D122" i="20"/>
  <c r="C122" i="20"/>
  <c r="B122" i="20"/>
  <c r="I121" i="20"/>
  <c r="J121" i="20" s="1"/>
  <c r="F121" i="20"/>
  <c r="D121" i="20"/>
  <c r="C121" i="20"/>
  <c r="B121" i="20"/>
  <c r="J120" i="20"/>
  <c r="I120" i="20"/>
  <c r="F120" i="20"/>
  <c r="D120" i="20"/>
  <c r="C120" i="20"/>
  <c r="B120" i="20"/>
  <c r="J119" i="20"/>
  <c r="I119" i="20"/>
  <c r="F119" i="20"/>
  <c r="D119" i="20"/>
  <c r="C119" i="20"/>
  <c r="B119" i="20"/>
  <c r="I118" i="20"/>
  <c r="J118" i="20" s="1"/>
  <c r="F118" i="20"/>
  <c r="D118" i="20"/>
  <c r="C118" i="20"/>
  <c r="B118" i="20"/>
  <c r="J117" i="20"/>
  <c r="I117" i="20"/>
  <c r="F117" i="20"/>
  <c r="D117" i="20"/>
  <c r="C117" i="20"/>
  <c r="B117" i="20"/>
  <c r="J116" i="20"/>
  <c r="I116" i="20"/>
  <c r="F116" i="20"/>
  <c r="D116" i="20"/>
  <c r="C116" i="20"/>
  <c r="B116" i="20"/>
  <c r="J115" i="20"/>
  <c r="I115" i="20"/>
  <c r="F115" i="20"/>
  <c r="D115" i="20"/>
  <c r="C115" i="20"/>
  <c r="B115" i="20"/>
  <c r="I114" i="20"/>
  <c r="J114" i="20" s="1"/>
  <c r="F114" i="20"/>
  <c r="D114" i="20"/>
  <c r="C114" i="20"/>
  <c r="B114" i="20"/>
  <c r="I113" i="20"/>
  <c r="J113" i="20" s="1"/>
  <c r="F113" i="20"/>
  <c r="D113" i="20"/>
  <c r="C113" i="20"/>
  <c r="B113" i="20"/>
  <c r="J112" i="20"/>
  <c r="I112" i="20"/>
  <c r="F112" i="20"/>
  <c r="D112" i="20"/>
  <c r="C112" i="20"/>
  <c r="B112" i="20"/>
  <c r="J111" i="20"/>
  <c r="I111" i="20"/>
  <c r="F111" i="20"/>
  <c r="D111" i="20"/>
  <c r="C111" i="20"/>
  <c r="B111" i="20"/>
  <c r="I110" i="20"/>
  <c r="J110" i="20" s="1"/>
  <c r="F110" i="20"/>
  <c r="D110" i="20"/>
  <c r="C110" i="20"/>
  <c r="B110" i="20"/>
  <c r="I109" i="20"/>
  <c r="J109" i="20" s="1"/>
  <c r="F109" i="20"/>
  <c r="D109" i="20"/>
  <c r="C109" i="20"/>
  <c r="B109" i="20"/>
  <c r="J108" i="20"/>
  <c r="I108" i="20"/>
  <c r="F108" i="20"/>
  <c r="D108" i="20"/>
  <c r="C108" i="20"/>
  <c r="B108" i="20"/>
  <c r="J107" i="20"/>
  <c r="I107" i="20"/>
  <c r="F107" i="20"/>
  <c r="D107" i="20"/>
  <c r="C107" i="20"/>
  <c r="B107" i="20"/>
  <c r="I106" i="20"/>
  <c r="J106" i="20" s="1"/>
  <c r="F106" i="20"/>
  <c r="D106" i="20"/>
  <c r="C106" i="20"/>
  <c r="B106" i="20"/>
  <c r="J105" i="20"/>
  <c r="I105" i="20"/>
  <c r="F105" i="20"/>
  <c r="D105" i="20"/>
  <c r="C105" i="20"/>
  <c r="B105" i="20"/>
  <c r="J104" i="20"/>
  <c r="I104" i="20"/>
  <c r="F104" i="20"/>
  <c r="D104" i="20"/>
  <c r="C104" i="20"/>
  <c r="B104" i="20"/>
  <c r="I103" i="20"/>
  <c r="J103" i="20" s="1"/>
  <c r="F103" i="20"/>
  <c r="D103" i="20"/>
  <c r="C103" i="20"/>
  <c r="B103" i="20"/>
  <c r="I102" i="20"/>
  <c r="J102" i="20" s="1"/>
  <c r="F102" i="20"/>
  <c r="D102" i="20"/>
  <c r="C102" i="20"/>
  <c r="B102" i="20"/>
  <c r="J101" i="20"/>
  <c r="I101" i="20"/>
  <c r="F101" i="20"/>
  <c r="D101" i="20"/>
  <c r="C101" i="20"/>
  <c r="B101" i="20"/>
  <c r="J100" i="20"/>
  <c r="I100" i="20"/>
  <c r="F100" i="20"/>
  <c r="D100" i="20"/>
  <c r="C100" i="20"/>
  <c r="B100" i="20"/>
  <c r="J99" i="20"/>
  <c r="I99" i="20"/>
  <c r="F99" i="20"/>
  <c r="D99" i="20"/>
  <c r="C99" i="20"/>
  <c r="B99" i="20"/>
  <c r="I98" i="20"/>
  <c r="J98" i="20" s="1"/>
  <c r="F98" i="20"/>
  <c r="D98" i="20"/>
  <c r="C98" i="20"/>
  <c r="B98" i="20"/>
  <c r="J97" i="20"/>
  <c r="I97" i="20"/>
  <c r="F97" i="20"/>
  <c r="D97" i="20"/>
  <c r="C97" i="20"/>
  <c r="B97" i="20"/>
  <c r="J96" i="20"/>
  <c r="I96" i="20"/>
  <c r="F96" i="20"/>
  <c r="D96" i="20"/>
  <c r="C96" i="20"/>
  <c r="B96" i="20"/>
  <c r="I95" i="20"/>
  <c r="J95" i="20" s="1"/>
  <c r="F95" i="20"/>
  <c r="D95" i="20"/>
  <c r="C95" i="20"/>
  <c r="B95" i="20"/>
  <c r="I94" i="20"/>
  <c r="J94" i="20" s="1"/>
  <c r="F94" i="20"/>
  <c r="D94" i="20"/>
  <c r="C94" i="20"/>
  <c r="B94" i="20"/>
  <c r="I93" i="20"/>
  <c r="J93" i="20" s="1"/>
  <c r="F93" i="20"/>
  <c r="D93" i="20"/>
  <c r="C93" i="20"/>
  <c r="B93" i="20"/>
  <c r="J92" i="20"/>
  <c r="I92" i="20"/>
  <c r="F92" i="20"/>
  <c r="D92" i="20"/>
  <c r="C92" i="20"/>
  <c r="B92" i="20"/>
  <c r="I91" i="20"/>
  <c r="J91" i="20" s="1"/>
  <c r="F91" i="20"/>
  <c r="D91" i="20"/>
  <c r="C91" i="20"/>
  <c r="B91" i="20"/>
  <c r="I90" i="20"/>
  <c r="J90" i="20" s="1"/>
  <c r="F90" i="20"/>
  <c r="D90" i="20"/>
  <c r="C90" i="20"/>
  <c r="B90" i="20"/>
  <c r="I89" i="20"/>
  <c r="J89" i="20" s="1"/>
  <c r="F89" i="20"/>
  <c r="D89" i="20"/>
  <c r="C89" i="20"/>
  <c r="B89" i="20"/>
  <c r="J88" i="20"/>
  <c r="I88" i="20"/>
  <c r="F88" i="20"/>
  <c r="D88" i="20"/>
  <c r="C88" i="20"/>
  <c r="B88" i="20"/>
  <c r="J87" i="20"/>
  <c r="I87" i="20"/>
  <c r="F87" i="20"/>
  <c r="D87" i="20"/>
  <c r="C87" i="20"/>
  <c r="B87" i="20"/>
  <c r="I86" i="20"/>
  <c r="J86" i="20" s="1"/>
  <c r="F86" i="20"/>
  <c r="D86" i="20"/>
  <c r="C86" i="20"/>
  <c r="B86" i="20"/>
  <c r="J85" i="20"/>
  <c r="I85" i="20"/>
  <c r="F85" i="20"/>
  <c r="D85" i="20"/>
  <c r="C85" i="20"/>
  <c r="B85" i="20"/>
  <c r="J84" i="20"/>
  <c r="I84" i="20"/>
  <c r="F84" i="20"/>
  <c r="D84" i="20"/>
  <c r="C84" i="20"/>
  <c r="B84" i="20"/>
  <c r="J83" i="20"/>
  <c r="I83" i="20"/>
  <c r="F83" i="20"/>
  <c r="D83" i="20"/>
  <c r="C83" i="20"/>
  <c r="B83" i="20"/>
  <c r="I82" i="20"/>
  <c r="J82" i="20" s="1"/>
  <c r="F82" i="20"/>
  <c r="D82" i="20"/>
  <c r="C82" i="20"/>
  <c r="B82" i="20"/>
  <c r="I81" i="20"/>
  <c r="J81" i="20" s="1"/>
  <c r="F81" i="20"/>
  <c r="D81" i="20"/>
  <c r="C81" i="20"/>
  <c r="B81" i="20"/>
  <c r="J80" i="20"/>
  <c r="I80" i="20"/>
  <c r="F80" i="20"/>
  <c r="D80" i="20"/>
  <c r="C80" i="20"/>
  <c r="B80" i="20"/>
  <c r="J79" i="20"/>
  <c r="I79" i="20"/>
  <c r="F79" i="20"/>
  <c r="D79" i="20"/>
  <c r="C79" i="20"/>
  <c r="B79" i="20"/>
  <c r="I78" i="20"/>
  <c r="J78" i="20" s="1"/>
  <c r="F78" i="20"/>
  <c r="D78" i="20"/>
  <c r="C78" i="20"/>
  <c r="B78" i="20"/>
  <c r="I77" i="20"/>
  <c r="J77" i="20" s="1"/>
  <c r="F77" i="20"/>
  <c r="D77" i="20"/>
  <c r="C77" i="20"/>
  <c r="B77" i="20"/>
  <c r="J76" i="20"/>
  <c r="I76" i="20"/>
  <c r="F76" i="20"/>
  <c r="D76" i="20"/>
  <c r="C76" i="20"/>
  <c r="B76" i="20"/>
  <c r="I75" i="20"/>
  <c r="J75" i="20" s="1"/>
  <c r="F75" i="20"/>
  <c r="D75" i="20"/>
  <c r="C75" i="20"/>
  <c r="B75" i="20"/>
  <c r="I74" i="20"/>
  <c r="J74" i="20" s="1"/>
  <c r="F74" i="20"/>
  <c r="D74" i="20"/>
  <c r="C74" i="20"/>
  <c r="B74" i="20"/>
  <c r="J73" i="20"/>
  <c r="I73" i="20"/>
  <c r="F73" i="20"/>
  <c r="D73" i="20"/>
  <c r="C73" i="20"/>
  <c r="B73" i="20"/>
  <c r="J72" i="20"/>
  <c r="I72" i="20"/>
  <c r="F72" i="20"/>
  <c r="D72" i="20"/>
  <c r="C72" i="20"/>
  <c r="B72" i="20"/>
  <c r="I71" i="20"/>
  <c r="J71" i="20" s="1"/>
  <c r="F71" i="20"/>
  <c r="D71" i="20"/>
  <c r="C71" i="20"/>
  <c r="B71" i="20"/>
  <c r="I70" i="20"/>
  <c r="J70" i="20" s="1"/>
  <c r="F70" i="20"/>
  <c r="D70" i="20"/>
  <c r="C70" i="20"/>
  <c r="B70" i="20"/>
  <c r="J69" i="20"/>
  <c r="I69" i="20"/>
  <c r="F69" i="20"/>
  <c r="D69" i="20"/>
  <c r="C69" i="20"/>
  <c r="B69" i="20"/>
  <c r="J68" i="20"/>
  <c r="I68" i="20"/>
  <c r="F68" i="20"/>
  <c r="D68" i="20"/>
  <c r="C68" i="20"/>
  <c r="B68" i="20"/>
  <c r="J67" i="20"/>
  <c r="I67" i="20"/>
  <c r="F67" i="20"/>
  <c r="D67" i="20"/>
  <c r="C67" i="20"/>
  <c r="B67" i="20"/>
  <c r="I66" i="20"/>
  <c r="J66" i="20" s="1"/>
  <c r="F66" i="20"/>
  <c r="D66" i="20"/>
  <c r="C66" i="20"/>
  <c r="B66" i="20"/>
  <c r="J65" i="20"/>
  <c r="I65" i="20"/>
  <c r="F65" i="20"/>
  <c r="D65" i="20"/>
  <c r="C65" i="20"/>
  <c r="B65" i="20"/>
  <c r="J64" i="20"/>
  <c r="I64" i="20"/>
  <c r="F64" i="20"/>
  <c r="D64" i="20"/>
  <c r="C64" i="20"/>
  <c r="B64" i="20"/>
  <c r="I63" i="20"/>
  <c r="J63" i="20" s="1"/>
  <c r="F63" i="20"/>
  <c r="D63" i="20"/>
  <c r="C63" i="20"/>
  <c r="B63" i="20"/>
  <c r="I62" i="20"/>
  <c r="J62" i="20" s="1"/>
  <c r="F62" i="20"/>
  <c r="D62" i="20"/>
  <c r="C62" i="20"/>
  <c r="B62" i="20"/>
  <c r="J61" i="20"/>
  <c r="I61" i="20"/>
  <c r="F61" i="20"/>
  <c r="D61" i="20"/>
  <c r="C61" i="20"/>
  <c r="B61" i="20"/>
  <c r="J60" i="20"/>
  <c r="I60" i="20"/>
  <c r="F60" i="20"/>
  <c r="D60" i="20"/>
  <c r="C60" i="20"/>
  <c r="B60" i="20"/>
  <c r="I59" i="20"/>
  <c r="J59" i="20" s="1"/>
  <c r="F59" i="20"/>
  <c r="D59" i="20"/>
  <c r="C59" i="20"/>
  <c r="B59" i="20"/>
  <c r="I58" i="20"/>
  <c r="J58" i="20" s="1"/>
  <c r="F58" i="20"/>
  <c r="D58" i="20"/>
  <c r="C58" i="20"/>
  <c r="B58" i="20"/>
  <c r="I57" i="20"/>
  <c r="J57" i="20" s="1"/>
  <c r="F57" i="20"/>
  <c r="D57" i="20"/>
  <c r="C57" i="20"/>
  <c r="B57" i="20"/>
  <c r="J56" i="20"/>
  <c r="I56" i="20"/>
  <c r="F56" i="20"/>
  <c r="D56" i="20"/>
  <c r="C56" i="20"/>
  <c r="B56" i="20"/>
  <c r="J55" i="20"/>
  <c r="I55" i="20"/>
  <c r="F55" i="20"/>
  <c r="D55" i="20"/>
  <c r="C55" i="20"/>
  <c r="B55" i="20"/>
  <c r="I54" i="20"/>
  <c r="J54" i="20" s="1"/>
  <c r="F54" i="20"/>
  <c r="D54" i="20"/>
  <c r="C54" i="20"/>
  <c r="B54" i="20"/>
  <c r="J53" i="20"/>
  <c r="I53" i="20"/>
  <c r="F53" i="20"/>
  <c r="D53" i="20"/>
  <c r="C53" i="20"/>
  <c r="B53" i="20"/>
  <c r="J52" i="20"/>
  <c r="I52" i="20"/>
  <c r="F52" i="20"/>
  <c r="D52" i="20"/>
  <c r="C52" i="20"/>
  <c r="B52" i="20"/>
  <c r="J51" i="20"/>
  <c r="I51" i="20"/>
  <c r="F51" i="20"/>
  <c r="D51" i="20"/>
  <c r="C51" i="20"/>
  <c r="B51" i="20"/>
  <c r="I50" i="20"/>
  <c r="J50" i="20" s="1"/>
  <c r="F50" i="20"/>
  <c r="D50" i="20"/>
  <c r="C50" i="20"/>
  <c r="B50" i="20"/>
  <c r="I49" i="20"/>
  <c r="J49" i="20" s="1"/>
  <c r="F49" i="20"/>
  <c r="D49" i="20"/>
  <c r="C49" i="20"/>
  <c r="B49" i="20"/>
  <c r="J48" i="20"/>
  <c r="I48" i="20"/>
  <c r="F48" i="20"/>
  <c r="D48" i="20"/>
  <c r="C48" i="20"/>
  <c r="B48" i="20"/>
  <c r="J47" i="20"/>
  <c r="I47" i="20"/>
  <c r="F47" i="20"/>
  <c r="D47" i="20"/>
  <c r="C47" i="20"/>
  <c r="B47" i="20"/>
  <c r="I46" i="20"/>
  <c r="J46" i="20" s="1"/>
  <c r="F46" i="20"/>
  <c r="D46" i="20"/>
  <c r="C46" i="20"/>
  <c r="B46" i="20"/>
  <c r="I45" i="20"/>
  <c r="J45" i="20" s="1"/>
  <c r="F45" i="20"/>
  <c r="D45" i="20"/>
  <c r="C45" i="20"/>
  <c r="B45" i="20"/>
  <c r="J44" i="20"/>
  <c r="I44" i="20"/>
  <c r="F44" i="20"/>
  <c r="D44" i="20"/>
  <c r="C44" i="20"/>
  <c r="B44" i="20"/>
  <c r="J43" i="20"/>
  <c r="I43" i="20"/>
  <c r="F43" i="20"/>
  <c r="D43" i="20"/>
  <c r="C43" i="20"/>
  <c r="B43" i="20"/>
  <c r="I42" i="20"/>
  <c r="J42" i="20" s="1"/>
  <c r="F42" i="20"/>
  <c r="D42" i="20"/>
  <c r="C42" i="20"/>
  <c r="B42" i="20"/>
  <c r="J41" i="20"/>
  <c r="I41" i="20"/>
  <c r="F41" i="20"/>
  <c r="D41" i="20"/>
  <c r="C41" i="20"/>
  <c r="B41" i="20"/>
  <c r="J40" i="20"/>
  <c r="I40" i="20"/>
  <c r="F40" i="20"/>
  <c r="D40" i="20"/>
  <c r="C40" i="20"/>
  <c r="B40" i="20"/>
  <c r="I39" i="20"/>
  <c r="J39" i="20" s="1"/>
  <c r="F39" i="20"/>
  <c r="D39" i="20"/>
  <c r="C39" i="20"/>
  <c r="B39" i="20"/>
  <c r="I38" i="20"/>
  <c r="J38" i="20" s="1"/>
  <c r="F38" i="20"/>
  <c r="D38" i="20"/>
  <c r="C38" i="20"/>
  <c r="B38" i="20"/>
  <c r="J37" i="20"/>
  <c r="I37" i="20"/>
  <c r="F37" i="20"/>
  <c r="D37" i="20"/>
  <c r="C37" i="20"/>
  <c r="B37" i="20"/>
  <c r="J36" i="20"/>
  <c r="I36" i="20"/>
  <c r="F36" i="20"/>
  <c r="D36" i="20"/>
  <c r="C36" i="20"/>
  <c r="B36" i="20"/>
  <c r="J35" i="20"/>
  <c r="I35" i="20"/>
  <c r="F35" i="20"/>
  <c r="D35" i="20"/>
  <c r="C35" i="20"/>
  <c r="B35" i="20"/>
  <c r="I34" i="20"/>
  <c r="J34" i="20" s="1"/>
  <c r="F34" i="20"/>
  <c r="D34" i="20"/>
  <c r="C34" i="20"/>
  <c r="B34" i="20"/>
  <c r="J33" i="20"/>
  <c r="I33" i="20"/>
  <c r="F33" i="20"/>
  <c r="D33" i="20"/>
  <c r="C33" i="20"/>
  <c r="B33" i="20"/>
  <c r="J32" i="20"/>
  <c r="I32" i="20"/>
  <c r="F32" i="20"/>
  <c r="D32" i="20"/>
  <c r="C32" i="20"/>
  <c r="B32" i="20"/>
  <c r="I31" i="20"/>
  <c r="J31" i="20" s="1"/>
  <c r="F31" i="20"/>
  <c r="D31" i="20"/>
  <c r="C31" i="20"/>
  <c r="B31" i="20"/>
  <c r="I30" i="20"/>
  <c r="J30" i="20" s="1"/>
  <c r="F30" i="20"/>
  <c r="D30" i="20"/>
  <c r="C30" i="20"/>
  <c r="B30" i="20"/>
  <c r="I29" i="20"/>
  <c r="J29" i="20" s="1"/>
  <c r="F29" i="20"/>
  <c r="D29" i="20"/>
  <c r="C29" i="20"/>
  <c r="B29" i="20"/>
  <c r="J28" i="20"/>
  <c r="I28" i="20"/>
  <c r="F28" i="20"/>
  <c r="D28" i="20"/>
  <c r="C28" i="20"/>
  <c r="B28" i="20"/>
  <c r="I27" i="20"/>
  <c r="J27" i="20" s="1"/>
  <c r="F27" i="20"/>
  <c r="D27" i="20"/>
  <c r="C27" i="20"/>
  <c r="B27" i="20"/>
  <c r="I26" i="20"/>
  <c r="J26" i="20" s="1"/>
  <c r="F26" i="20"/>
  <c r="D26" i="20"/>
  <c r="C26" i="20"/>
  <c r="B26" i="20"/>
  <c r="I25" i="20"/>
  <c r="J25" i="20" s="1"/>
  <c r="F25" i="20"/>
  <c r="D25" i="20"/>
  <c r="C25" i="20"/>
  <c r="B25" i="20"/>
  <c r="J24" i="20"/>
  <c r="I24" i="20"/>
  <c r="F24" i="20"/>
  <c r="D24" i="20"/>
  <c r="C24" i="20"/>
  <c r="B24" i="20"/>
  <c r="J23" i="20"/>
  <c r="I23" i="20"/>
  <c r="F23" i="20"/>
  <c r="D23" i="20"/>
  <c r="C23" i="20"/>
  <c r="B23" i="20"/>
  <c r="I22" i="20"/>
  <c r="J22" i="20" s="1"/>
  <c r="F22" i="20"/>
  <c r="D22" i="20"/>
  <c r="C22" i="20"/>
  <c r="B22" i="20"/>
  <c r="J21" i="20"/>
  <c r="I21" i="20"/>
  <c r="F21" i="20"/>
  <c r="D21" i="20"/>
  <c r="C21" i="20"/>
  <c r="B21" i="20"/>
  <c r="J20" i="20"/>
  <c r="I20" i="20"/>
  <c r="F20" i="20"/>
  <c r="D20" i="20"/>
  <c r="C20" i="20"/>
  <c r="B20" i="20"/>
  <c r="J19" i="20"/>
  <c r="I19" i="20"/>
  <c r="F19" i="20"/>
  <c r="D19" i="20"/>
  <c r="C19" i="20"/>
  <c r="B19" i="20"/>
  <c r="I18" i="20"/>
  <c r="J18" i="20" s="1"/>
  <c r="F18" i="20"/>
  <c r="D18" i="20"/>
  <c r="C18" i="20"/>
  <c r="B18" i="20"/>
  <c r="I17" i="20"/>
  <c r="J17" i="20" s="1"/>
  <c r="F17" i="20"/>
  <c r="D17" i="20"/>
  <c r="C17" i="20"/>
  <c r="B17" i="20"/>
  <c r="J16" i="20"/>
  <c r="I16" i="20"/>
  <c r="F16" i="20"/>
  <c r="D16" i="20"/>
  <c r="C16" i="20"/>
  <c r="B16" i="20"/>
  <c r="J15" i="20"/>
  <c r="I15" i="20"/>
  <c r="F15" i="20"/>
  <c r="D15" i="20"/>
  <c r="C15" i="20"/>
  <c r="B15" i="20"/>
  <c r="I14" i="20"/>
  <c r="J14" i="20" s="1"/>
  <c r="F14" i="20"/>
  <c r="D14" i="20"/>
  <c r="C14" i="20"/>
  <c r="B14" i="20"/>
  <c r="I13" i="20"/>
  <c r="J13" i="20" s="1"/>
  <c r="F13" i="20"/>
  <c r="D13" i="20"/>
  <c r="C13" i="20"/>
  <c r="B13" i="20"/>
  <c r="J12" i="20"/>
  <c r="I12" i="20"/>
  <c r="F12" i="20"/>
  <c r="D12" i="20"/>
  <c r="C12" i="20"/>
  <c r="B12" i="20"/>
  <c r="I11" i="20"/>
  <c r="J11" i="20" s="1"/>
  <c r="F11" i="20"/>
  <c r="D11" i="20"/>
  <c r="C11" i="20"/>
  <c r="B11" i="20"/>
  <c r="I10" i="20"/>
  <c r="J10" i="20" s="1"/>
  <c r="F10" i="20"/>
  <c r="D10" i="20"/>
  <c r="C10" i="20"/>
  <c r="B10" i="20"/>
  <c r="J9" i="20"/>
  <c r="I9" i="20"/>
  <c r="F9" i="20"/>
  <c r="D9" i="20"/>
  <c r="C9" i="20"/>
  <c r="B9" i="20"/>
  <c r="A5" i="20"/>
  <c r="G4" i="20"/>
  <c r="D4" i="20"/>
  <c r="A4" i="20"/>
  <c r="K213" i="19"/>
  <c r="K212" i="19"/>
  <c r="K211" i="19"/>
  <c r="K210" i="19"/>
  <c r="K209" i="19"/>
  <c r="K208" i="19"/>
  <c r="K207" i="19"/>
  <c r="K206" i="19"/>
  <c r="K205" i="19"/>
  <c r="K204" i="19"/>
  <c r="K203" i="19"/>
  <c r="K202" i="19"/>
  <c r="K201" i="19"/>
  <c r="K200" i="19"/>
  <c r="K199" i="19"/>
  <c r="K198" i="19"/>
  <c r="K197" i="19"/>
  <c r="K196" i="19"/>
  <c r="K195" i="19"/>
  <c r="K194" i="19"/>
  <c r="K193" i="19"/>
  <c r="K192" i="19"/>
  <c r="K191" i="19"/>
  <c r="K190" i="19"/>
  <c r="K189" i="19"/>
  <c r="K188" i="19"/>
  <c r="K187" i="19"/>
  <c r="K186" i="19"/>
  <c r="K185" i="19"/>
  <c r="K184" i="19"/>
  <c r="K183" i="19"/>
  <c r="K182" i="19"/>
  <c r="K181" i="19"/>
  <c r="K180" i="19"/>
  <c r="K179" i="19"/>
  <c r="K178" i="19"/>
  <c r="K177" i="19"/>
  <c r="K176" i="19"/>
  <c r="K175" i="19"/>
  <c r="K174" i="19"/>
  <c r="K173" i="19"/>
  <c r="K172" i="19"/>
  <c r="K171" i="19"/>
  <c r="K170" i="19"/>
  <c r="K169" i="19"/>
  <c r="K168" i="19"/>
  <c r="K167" i="19"/>
  <c r="K166" i="19"/>
  <c r="K165" i="19"/>
  <c r="K164" i="19"/>
  <c r="K163" i="19"/>
  <c r="K162" i="19"/>
  <c r="K161" i="19"/>
  <c r="K160" i="19"/>
  <c r="K159" i="19"/>
  <c r="K158" i="19"/>
  <c r="K157" i="19"/>
  <c r="K156" i="19"/>
  <c r="K155" i="19"/>
  <c r="K154" i="19"/>
  <c r="K153" i="19"/>
  <c r="K152" i="19"/>
  <c r="K151" i="19"/>
  <c r="K150" i="19"/>
  <c r="K149" i="19"/>
  <c r="K148" i="19"/>
  <c r="K147" i="19"/>
  <c r="K146" i="19"/>
  <c r="K145" i="19"/>
  <c r="K144" i="19"/>
  <c r="K143" i="19"/>
  <c r="K142" i="19"/>
  <c r="K141" i="19"/>
  <c r="K140" i="19"/>
  <c r="K139" i="19"/>
  <c r="K138" i="19"/>
  <c r="K137" i="19"/>
  <c r="K136" i="19"/>
  <c r="K135" i="19"/>
  <c r="K134" i="19"/>
  <c r="K133" i="19"/>
  <c r="K132" i="19"/>
  <c r="K131" i="19"/>
  <c r="K130" i="19"/>
  <c r="K129" i="19"/>
  <c r="K128" i="19"/>
  <c r="K127" i="19"/>
  <c r="K126" i="19"/>
  <c r="K125" i="19"/>
  <c r="K124" i="19"/>
  <c r="K123" i="19"/>
  <c r="K122" i="19"/>
  <c r="K121" i="19"/>
  <c r="K120" i="19"/>
  <c r="K119" i="19"/>
  <c r="K118" i="19"/>
  <c r="K117" i="19"/>
  <c r="K116" i="19"/>
  <c r="K115" i="19"/>
  <c r="K114" i="19"/>
  <c r="K113" i="19"/>
  <c r="I113" i="19"/>
  <c r="J113" i="19" s="1"/>
  <c r="D113" i="19"/>
  <c r="C113" i="19"/>
  <c r="A113" i="19"/>
  <c r="K112" i="19"/>
  <c r="J112" i="19"/>
  <c r="I112" i="19"/>
  <c r="D112" i="19"/>
  <c r="C112" i="19"/>
  <c r="A112" i="19"/>
  <c r="K111" i="19"/>
  <c r="I111" i="19"/>
  <c r="J111" i="19" s="1"/>
  <c r="D111" i="19"/>
  <c r="C111" i="19"/>
  <c r="A111" i="19"/>
  <c r="K110" i="19"/>
  <c r="J110" i="19"/>
  <c r="I110" i="19"/>
  <c r="D110" i="19"/>
  <c r="C110" i="19"/>
  <c r="A110" i="19"/>
  <c r="K109" i="19"/>
  <c r="I109" i="19"/>
  <c r="J109" i="19" s="1"/>
  <c r="D109" i="19"/>
  <c r="C109" i="19"/>
  <c r="A109" i="19"/>
  <c r="K108" i="19"/>
  <c r="J108" i="19"/>
  <c r="I108" i="19"/>
  <c r="D108" i="19"/>
  <c r="C108" i="19"/>
  <c r="A108" i="19"/>
  <c r="K107" i="19"/>
  <c r="I107" i="19"/>
  <c r="J107" i="19" s="1"/>
  <c r="D107" i="19"/>
  <c r="C107" i="19"/>
  <c r="A107" i="19"/>
  <c r="K106" i="19"/>
  <c r="J106" i="19"/>
  <c r="I106" i="19"/>
  <c r="D106" i="19"/>
  <c r="C106" i="19"/>
  <c r="A106" i="19"/>
  <c r="K105" i="19"/>
  <c r="I105" i="19"/>
  <c r="J105" i="19" s="1"/>
  <c r="D105" i="19"/>
  <c r="C105" i="19"/>
  <c r="A105" i="19"/>
  <c r="K104" i="19"/>
  <c r="J104" i="19"/>
  <c r="I104" i="19"/>
  <c r="D104" i="19"/>
  <c r="C104" i="19"/>
  <c r="A104" i="19"/>
  <c r="K103" i="19"/>
  <c r="J103" i="19"/>
  <c r="I103" i="19"/>
  <c r="D103" i="19"/>
  <c r="C103" i="19"/>
  <c r="A103" i="19"/>
  <c r="K102" i="19"/>
  <c r="J102" i="19"/>
  <c r="I102" i="19"/>
  <c r="D102" i="19"/>
  <c r="C102" i="19"/>
  <c r="A102" i="19"/>
  <c r="K101" i="19"/>
  <c r="I101" i="19"/>
  <c r="J101" i="19" s="1"/>
  <c r="D101" i="19"/>
  <c r="C101" i="19"/>
  <c r="A101" i="19"/>
  <c r="K100" i="19"/>
  <c r="J100" i="19"/>
  <c r="I100" i="19"/>
  <c r="D100" i="19"/>
  <c r="C100" i="19"/>
  <c r="A100" i="19"/>
  <c r="K99" i="19"/>
  <c r="I99" i="19"/>
  <c r="J99" i="19" s="1"/>
  <c r="D99" i="19"/>
  <c r="C99" i="19"/>
  <c r="A99" i="19"/>
  <c r="K98" i="19"/>
  <c r="J98" i="19"/>
  <c r="I98" i="19"/>
  <c r="D98" i="19"/>
  <c r="C98" i="19"/>
  <c r="A98" i="19"/>
  <c r="K97" i="19"/>
  <c r="I97" i="19"/>
  <c r="J97" i="19" s="1"/>
  <c r="D97" i="19"/>
  <c r="C97" i="19"/>
  <c r="A97" i="19"/>
  <c r="K96" i="19"/>
  <c r="J96" i="19"/>
  <c r="I96" i="19"/>
  <c r="D96" i="19"/>
  <c r="C96" i="19"/>
  <c r="A96" i="19"/>
  <c r="K95" i="19"/>
  <c r="J95" i="19"/>
  <c r="I95" i="19"/>
  <c r="D95" i="19"/>
  <c r="C95" i="19"/>
  <c r="A95" i="19"/>
  <c r="K94" i="19"/>
  <c r="J94" i="19"/>
  <c r="I94" i="19"/>
  <c r="D94" i="19"/>
  <c r="C94" i="19"/>
  <c r="A94" i="19"/>
  <c r="K93" i="19"/>
  <c r="I93" i="19"/>
  <c r="J93" i="19" s="1"/>
  <c r="D93" i="19"/>
  <c r="C93" i="19"/>
  <c r="A93" i="19"/>
  <c r="K92" i="19"/>
  <c r="J92" i="19"/>
  <c r="I92" i="19"/>
  <c r="D92" i="19"/>
  <c r="C92" i="19"/>
  <c r="A92" i="19"/>
  <c r="K91" i="19"/>
  <c r="I91" i="19"/>
  <c r="J91" i="19" s="1"/>
  <c r="D91" i="19"/>
  <c r="C91" i="19"/>
  <c r="A91" i="19"/>
  <c r="K90" i="19"/>
  <c r="J90" i="19"/>
  <c r="I90" i="19"/>
  <c r="D90" i="19"/>
  <c r="C90" i="19"/>
  <c r="A90" i="19"/>
  <c r="K89" i="19"/>
  <c r="I89" i="19"/>
  <c r="J89" i="19" s="1"/>
  <c r="D89" i="19"/>
  <c r="C89" i="19"/>
  <c r="A89" i="19"/>
  <c r="K88" i="19"/>
  <c r="J88" i="19"/>
  <c r="I88" i="19"/>
  <c r="D88" i="19"/>
  <c r="C88" i="19"/>
  <c r="A88" i="19"/>
  <c r="K87" i="19"/>
  <c r="I87" i="19"/>
  <c r="J87" i="19" s="1"/>
  <c r="D87" i="19"/>
  <c r="C87" i="19"/>
  <c r="A87" i="19"/>
  <c r="K86" i="19"/>
  <c r="J86" i="19"/>
  <c r="I86" i="19"/>
  <c r="D86" i="19"/>
  <c r="C86" i="19"/>
  <c r="A86" i="19"/>
  <c r="K85" i="19"/>
  <c r="I85" i="19"/>
  <c r="J85" i="19" s="1"/>
  <c r="D85" i="19"/>
  <c r="C85" i="19"/>
  <c r="A85" i="19"/>
  <c r="K84" i="19"/>
  <c r="J84" i="19"/>
  <c r="I84" i="19"/>
  <c r="D84" i="19"/>
  <c r="C84" i="19"/>
  <c r="A84" i="19"/>
  <c r="K83" i="19"/>
  <c r="J83" i="19"/>
  <c r="I83" i="19"/>
  <c r="D83" i="19"/>
  <c r="C83" i="19"/>
  <c r="A83" i="19"/>
  <c r="K82" i="19"/>
  <c r="J82" i="19"/>
  <c r="I82" i="19"/>
  <c r="D82" i="19"/>
  <c r="C82" i="19"/>
  <c r="A82" i="19"/>
  <c r="K81" i="19"/>
  <c r="I81" i="19"/>
  <c r="J81" i="19" s="1"/>
  <c r="D81" i="19"/>
  <c r="C81" i="19"/>
  <c r="A81" i="19"/>
  <c r="K80" i="19"/>
  <c r="J80" i="19"/>
  <c r="I80" i="19"/>
  <c r="D80" i="19"/>
  <c r="C80" i="19"/>
  <c r="A80" i="19"/>
  <c r="K79" i="19"/>
  <c r="I79" i="19"/>
  <c r="J79" i="19" s="1"/>
  <c r="D79" i="19"/>
  <c r="C79" i="19"/>
  <c r="A79" i="19"/>
  <c r="K78" i="19"/>
  <c r="J78" i="19"/>
  <c r="I78" i="19"/>
  <c r="D78" i="19"/>
  <c r="C78" i="19"/>
  <c r="A78" i="19"/>
  <c r="K77" i="19"/>
  <c r="I77" i="19"/>
  <c r="J77" i="19" s="1"/>
  <c r="D77" i="19"/>
  <c r="C77" i="19"/>
  <c r="A77" i="19"/>
  <c r="K76" i="19"/>
  <c r="J76" i="19"/>
  <c r="I76" i="19"/>
  <c r="D76" i="19"/>
  <c r="C76" i="19"/>
  <c r="A76" i="19"/>
  <c r="K75" i="19"/>
  <c r="I75" i="19"/>
  <c r="J75" i="19" s="1"/>
  <c r="D75" i="19"/>
  <c r="C75" i="19"/>
  <c r="A75" i="19"/>
  <c r="K74" i="19"/>
  <c r="J74" i="19"/>
  <c r="I74" i="19"/>
  <c r="D74" i="19"/>
  <c r="C74" i="19"/>
  <c r="A74" i="19"/>
  <c r="K73" i="19"/>
  <c r="I73" i="19"/>
  <c r="J73" i="19" s="1"/>
  <c r="D73" i="19"/>
  <c r="C73" i="19"/>
  <c r="A73" i="19"/>
  <c r="K72" i="19"/>
  <c r="J72" i="19"/>
  <c r="I72" i="19"/>
  <c r="D72" i="19"/>
  <c r="C72" i="19"/>
  <c r="A72" i="19"/>
  <c r="K71" i="19"/>
  <c r="J71" i="19"/>
  <c r="I71" i="19"/>
  <c r="D71" i="19"/>
  <c r="C71" i="19"/>
  <c r="A71" i="19"/>
  <c r="K70" i="19"/>
  <c r="J70" i="19"/>
  <c r="I70" i="19"/>
  <c r="D70" i="19"/>
  <c r="C70" i="19"/>
  <c r="A70" i="19"/>
  <c r="K69" i="19"/>
  <c r="I69" i="19"/>
  <c r="J69" i="19" s="1"/>
  <c r="D69" i="19"/>
  <c r="C69" i="19"/>
  <c r="A69" i="19"/>
  <c r="K68" i="19"/>
  <c r="J68" i="19"/>
  <c r="I68" i="19"/>
  <c r="D68" i="19"/>
  <c r="C68" i="19"/>
  <c r="A68" i="19"/>
  <c r="K67" i="19"/>
  <c r="I67" i="19"/>
  <c r="J67" i="19" s="1"/>
  <c r="D67" i="19"/>
  <c r="C67" i="19"/>
  <c r="A67" i="19"/>
  <c r="K66" i="19"/>
  <c r="J66" i="19"/>
  <c r="I66" i="19"/>
  <c r="D66" i="19"/>
  <c r="C66" i="19"/>
  <c r="A66" i="19"/>
  <c r="K65" i="19"/>
  <c r="I65" i="19"/>
  <c r="J65" i="19" s="1"/>
  <c r="D65" i="19"/>
  <c r="C65" i="19"/>
  <c r="A65" i="19"/>
  <c r="K64" i="19"/>
  <c r="J64" i="19"/>
  <c r="I64" i="19"/>
  <c r="D64" i="19"/>
  <c r="C64" i="19"/>
  <c r="A64" i="19"/>
  <c r="K63" i="19"/>
  <c r="J63" i="19"/>
  <c r="I63" i="19"/>
  <c r="D63" i="19"/>
  <c r="C63" i="19"/>
  <c r="A63" i="19"/>
  <c r="K62" i="19"/>
  <c r="J62" i="19"/>
  <c r="I62" i="19"/>
  <c r="D62" i="19"/>
  <c r="C62" i="19"/>
  <c r="A62" i="19"/>
  <c r="K61" i="19"/>
  <c r="I61" i="19"/>
  <c r="J61" i="19" s="1"/>
  <c r="D61" i="19"/>
  <c r="C61" i="19"/>
  <c r="A61" i="19"/>
  <c r="K60" i="19"/>
  <c r="J60" i="19"/>
  <c r="I60" i="19"/>
  <c r="D60" i="19"/>
  <c r="C60" i="19"/>
  <c r="A60" i="19"/>
  <c r="K59" i="19"/>
  <c r="I59" i="19"/>
  <c r="J59" i="19" s="1"/>
  <c r="D59" i="19"/>
  <c r="C59" i="19"/>
  <c r="A59" i="19"/>
  <c r="K58" i="19"/>
  <c r="J58" i="19"/>
  <c r="I58" i="19"/>
  <c r="D58" i="19"/>
  <c r="C58" i="19"/>
  <c r="A58" i="19"/>
  <c r="K57" i="19"/>
  <c r="I57" i="19"/>
  <c r="J57" i="19" s="1"/>
  <c r="D57" i="19"/>
  <c r="C57" i="19"/>
  <c r="A57" i="19"/>
  <c r="K56" i="19"/>
  <c r="J56" i="19"/>
  <c r="I56" i="19"/>
  <c r="D56" i="19"/>
  <c r="C56" i="19"/>
  <c r="A56" i="19"/>
  <c r="K55" i="19"/>
  <c r="I55" i="19"/>
  <c r="J55" i="19" s="1"/>
  <c r="D55" i="19"/>
  <c r="C55" i="19"/>
  <c r="A55" i="19"/>
  <c r="K54" i="19"/>
  <c r="J54" i="19"/>
  <c r="I54" i="19"/>
  <c r="D54" i="19"/>
  <c r="C54" i="19"/>
  <c r="A54" i="19"/>
  <c r="K53" i="19"/>
  <c r="I53" i="19"/>
  <c r="J53" i="19" s="1"/>
  <c r="D53" i="19"/>
  <c r="C53" i="19"/>
  <c r="A53" i="19"/>
  <c r="K52" i="19"/>
  <c r="J52" i="19"/>
  <c r="I52" i="19"/>
  <c r="D52" i="19"/>
  <c r="C52" i="19"/>
  <c r="A52" i="19"/>
  <c r="K51" i="19"/>
  <c r="J51" i="19"/>
  <c r="I51" i="19"/>
  <c r="D51" i="19"/>
  <c r="C51" i="19"/>
  <c r="A51" i="19"/>
  <c r="K50" i="19"/>
  <c r="J50" i="19"/>
  <c r="I50" i="19"/>
  <c r="D50" i="19"/>
  <c r="C50" i="19"/>
  <c r="A50" i="19"/>
  <c r="K49" i="19"/>
  <c r="I49" i="19"/>
  <c r="J49" i="19" s="1"/>
  <c r="D49" i="19"/>
  <c r="C49" i="19"/>
  <c r="A49" i="19"/>
  <c r="K48" i="19"/>
  <c r="I48" i="19"/>
  <c r="J48" i="19" s="1"/>
  <c r="D48" i="19"/>
  <c r="C48" i="19"/>
  <c r="A48" i="19"/>
  <c r="K47" i="19"/>
  <c r="I47" i="19"/>
  <c r="J47" i="19" s="1"/>
  <c r="D47" i="19"/>
  <c r="C47" i="19"/>
  <c r="A47" i="19"/>
  <c r="K46" i="19"/>
  <c r="J46" i="19"/>
  <c r="I46" i="19"/>
  <c r="D46" i="19"/>
  <c r="C46" i="19"/>
  <c r="A46" i="19"/>
  <c r="K45" i="19"/>
  <c r="I45" i="19"/>
  <c r="J45" i="19" s="1"/>
  <c r="D45" i="19"/>
  <c r="C45" i="19"/>
  <c r="A45" i="19"/>
  <c r="K44" i="19"/>
  <c r="J44" i="19"/>
  <c r="I44" i="19"/>
  <c r="D44" i="19"/>
  <c r="C44" i="19"/>
  <c r="A44" i="19"/>
  <c r="K43" i="19"/>
  <c r="I43" i="19"/>
  <c r="J43" i="19" s="1"/>
  <c r="D43" i="19"/>
  <c r="C43" i="19"/>
  <c r="A43" i="19"/>
  <c r="K42" i="19"/>
  <c r="J42" i="19"/>
  <c r="I42" i="19"/>
  <c r="D42" i="19"/>
  <c r="C42" i="19"/>
  <c r="A42" i="19"/>
  <c r="K41" i="19"/>
  <c r="I41" i="19"/>
  <c r="J41" i="19" s="1"/>
  <c r="D41" i="19"/>
  <c r="C41" i="19"/>
  <c r="A41" i="19"/>
  <c r="K40" i="19"/>
  <c r="I40" i="19"/>
  <c r="J40" i="19" s="1"/>
  <c r="D40" i="19"/>
  <c r="C40" i="19"/>
  <c r="A40" i="19"/>
  <c r="K39" i="19"/>
  <c r="J39" i="19"/>
  <c r="I39" i="19"/>
  <c r="D39" i="19"/>
  <c r="C39" i="19"/>
  <c r="A39" i="19"/>
  <c r="K38" i="19"/>
  <c r="J38" i="19"/>
  <c r="I38" i="19"/>
  <c r="D38" i="19"/>
  <c r="C38" i="19"/>
  <c r="A38" i="19"/>
  <c r="K37" i="19"/>
  <c r="I37" i="19"/>
  <c r="J37" i="19" s="1"/>
  <c r="D37" i="19"/>
  <c r="C37" i="19"/>
  <c r="A37" i="19"/>
  <c r="K36" i="19"/>
  <c r="I36" i="19"/>
  <c r="J36" i="19" s="1"/>
  <c r="D36" i="19"/>
  <c r="C36" i="19"/>
  <c r="A36" i="19"/>
  <c r="K35" i="19"/>
  <c r="I35" i="19"/>
  <c r="J35" i="19" s="1"/>
  <c r="D35" i="19"/>
  <c r="C35" i="19"/>
  <c r="A35" i="19"/>
  <c r="K34" i="19"/>
  <c r="J34" i="19"/>
  <c r="I34" i="19"/>
  <c r="D34" i="19"/>
  <c r="C34" i="19"/>
  <c r="A34" i="19"/>
  <c r="K33" i="19"/>
  <c r="I33" i="19"/>
  <c r="J33" i="19" s="1"/>
  <c r="D33" i="19"/>
  <c r="C33" i="19"/>
  <c r="A33" i="19"/>
  <c r="K32" i="19"/>
  <c r="J32" i="19"/>
  <c r="I32" i="19"/>
  <c r="D32" i="19"/>
  <c r="C32" i="19"/>
  <c r="A32" i="19"/>
  <c r="K31" i="19"/>
  <c r="J31" i="19"/>
  <c r="I31" i="19"/>
  <c r="D31" i="19"/>
  <c r="C31" i="19"/>
  <c r="A31" i="19"/>
  <c r="K30" i="19"/>
  <c r="I30" i="19"/>
  <c r="J30" i="19" s="1"/>
  <c r="D30" i="19"/>
  <c r="C30" i="19"/>
  <c r="A30" i="19"/>
  <c r="K29" i="19"/>
  <c r="I29" i="19"/>
  <c r="J29" i="19" s="1"/>
  <c r="D29" i="19"/>
  <c r="C29" i="19"/>
  <c r="A29" i="19"/>
  <c r="K28" i="19"/>
  <c r="I28" i="19"/>
  <c r="J28" i="19" s="1"/>
  <c r="D28" i="19"/>
  <c r="C28" i="19"/>
  <c r="A28" i="19"/>
  <c r="K27" i="19"/>
  <c r="I27" i="19"/>
  <c r="J27" i="19" s="1"/>
  <c r="D27" i="19"/>
  <c r="C27" i="19"/>
  <c r="A27" i="19"/>
  <c r="K26" i="19"/>
  <c r="J26" i="19"/>
  <c r="I26" i="19"/>
  <c r="D26" i="19"/>
  <c r="C26" i="19"/>
  <c r="A26" i="19"/>
  <c r="K25" i="19"/>
  <c r="I25" i="19"/>
  <c r="J25" i="19" s="1"/>
  <c r="D25" i="19"/>
  <c r="C25" i="19"/>
  <c r="A25" i="19"/>
  <c r="K24" i="19"/>
  <c r="J24" i="19"/>
  <c r="I24" i="19"/>
  <c r="D24" i="19"/>
  <c r="C24" i="19"/>
  <c r="A24" i="19"/>
  <c r="K23" i="19"/>
  <c r="I23" i="19"/>
  <c r="J23" i="19" s="1"/>
  <c r="D23" i="19"/>
  <c r="C23" i="19"/>
  <c r="A23" i="19"/>
  <c r="K22" i="19"/>
  <c r="I22" i="19"/>
  <c r="J22" i="19" s="1"/>
  <c r="D22" i="19"/>
  <c r="C22" i="19"/>
  <c r="A22" i="19"/>
  <c r="K21" i="19"/>
  <c r="I21" i="19"/>
  <c r="J21" i="19" s="1"/>
  <c r="D21" i="19"/>
  <c r="C21" i="19"/>
  <c r="A21" i="19"/>
  <c r="K20" i="19"/>
  <c r="J20" i="19"/>
  <c r="I20" i="19"/>
  <c r="D20" i="19"/>
  <c r="C20" i="19"/>
  <c r="A20" i="19"/>
  <c r="K19" i="19"/>
  <c r="J19" i="19"/>
  <c r="I19" i="19"/>
  <c r="D19" i="19"/>
  <c r="C19" i="19"/>
  <c r="A19" i="19"/>
  <c r="K18" i="19"/>
  <c r="I18" i="19"/>
  <c r="J18" i="19" s="1"/>
  <c r="D18" i="19"/>
  <c r="C18" i="19"/>
  <c r="A18" i="19"/>
  <c r="K17" i="19"/>
  <c r="I17" i="19"/>
  <c r="J17" i="19" s="1"/>
  <c r="D17" i="19"/>
  <c r="C17" i="19"/>
  <c r="A17" i="19"/>
  <c r="K16" i="19"/>
  <c r="I16" i="19"/>
  <c r="J16" i="19" s="1"/>
  <c r="D16" i="19"/>
  <c r="C16" i="19"/>
  <c r="A16" i="19"/>
  <c r="K15" i="19"/>
  <c r="I15" i="19"/>
  <c r="J15" i="19" s="1"/>
  <c r="D15" i="19"/>
  <c r="C15" i="19"/>
  <c r="A15" i="19"/>
  <c r="K14" i="19"/>
  <c r="J14" i="19"/>
  <c r="I14" i="19"/>
  <c r="D14" i="19"/>
  <c r="C14" i="19"/>
  <c r="A14" i="19"/>
  <c r="B10" i="19"/>
  <c r="B9" i="19"/>
  <c r="B8" i="19"/>
  <c r="K208" i="18"/>
  <c r="J208" i="18"/>
  <c r="G208" i="18"/>
  <c r="D208" i="18"/>
  <c r="C208" i="18"/>
  <c r="B208" i="18"/>
  <c r="J207" i="18"/>
  <c r="K207" i="18" s="1"/>
  <c r="G207" i="18"/>
  <c r="D207" i="18"/>
  <c r="C207" i="18"/>
  <c r="B207" i="18"/>
  <c r="K206" i="18"/>
  <c r="J206" i="18"/>
  <c r="G206" i="18"/>
  <c r="D206" i="18"/>
  <c r="C206" i="18"/>
  <c r="B206" i="18"/>
  <c r="J205" i="18"/>
  <c r="K205" i="18" s="1"/>
  <c r="G205" i="18"/>
  <c r="D205" i="18"/>
  <c r="C205" i="18"/>
  <c r="B205" i="18"/>
  <c r="J204" i="18"/>
  <c r="K204" i="18" s="1"/>
  <c r="G204" i="18"/>
  <c r="D204" i="18"/>
  <c r="C204" i="18"/>
  <c r="B204" i="18"/>
  <c r="J203" i="18"/>
  <c r="K203" i="18" s="1"/>
  <c r="G203" i="18"/>
  <c r="D203" i="18"/>
  <c r="C203" i="18"/>
  <c r="B203" i="18"/>
  <c r="J202" i="18"/>
  <c r="K202" i="18" s="1"/>
  <c r="G202" i="18"/>
  <c r="D202" i="18"/>
  <c r="C202" i="18"/>
  <c r="B202" i="18"/>
  <c r="K201" i="18"/>
  <c r="J201" i="18"/>
  <c r="G201" i="18"/>
  <c r="D201" i="18"/>
  <c r="C201" i="18"/>
  <c r="B201" i="18"/>
  <c r="K200" i="18"/>
  <c r="J200" i="18"/>
  <c r="G200" i="18"/>
  <c r="D200" i="18"/>
  <c r="C200" i="18"/>
  <c r="B200" i="18"/>
  <c r="J199" i="18"/>
  <c r="K199" i="18" s="1"/>
  <c r="G199" i="18"/>
  <c r="D199" i="18"/>
  <c r="C199" i="18"/>
  <c r="B199" i="18"/>
  <c r="J198" i="18"/>
  <c r="K198" i="18" s="1"/>
  <c r="G198" i="18"/>
  <c r="D198" i="18"/>
  <c r="C198" i="18"/>
  <c r="B198" i="18"/>
  <c r="J197" i="18"/>
  <c r="K197" i="18" s="1"/>
  <c r="G197" i="18"/>
  <c r="D197" i="18"/>
  <c r="C197" i="18"/>
  <c r="B197" i="18"/>
  <c r="K196" i="18"/>
  <c r="J196" i="18"/>
  <c r="G196" i="18"/>
  <c r="D196" i="18"/>
  <c r="C196" i="18"/>
  <c r="B196" i="18"/>
  <c r="J195" i="18"/>
  <c r="K195" i="18" s="1"/>
  <c r="G195" i="18"/>
  <c r="D195" i="18"/>
  <c r="C195" i="18"/>
  <c r="B195" i="18"/>
  <c r="K194" i="18"/>
  <c r="J194" i="18"/>
  <c r="G194" i="18"/>
  <c r="D194" i="18"/>
  <c r="C194" i="18"/>
  <c r="B194" i="18"/>
  <c r="K193" i="18"/>
  <c r="J193" i="18"/>
  <c r="G193" i="18"/>
  <c r="D193" i="18"/>
  <c r="C193" i="18"/>
  <c r="B193" i="18"/>
  <c r="J192" i="18"/>
  <c r="K192" i="18" s="1"/>
  <c r="G192" i="18"/>
  <c r="D192" i="18"/>
  <c r="C192" i="18"/>
  <c r="B192" i="18"/>
  <c r="J191" i="18"/>
  <c r="K191" i="18" s="1"/>
  <c r="G191" i="18"/>
  <c r="D191" i="18"/>
  <c r="C191" i="18"/>
  <c r="B191" i="18"/>
  <c r="J190" i="18"/>
  <c r="K190" i="18" s="1"/>
  <c r="G190" i="18"/>
  <c r="D190" i="18"/>
  <c r="C190" i="18"/>
  <c r="B190" i="18"/>
  <c r="K189" i="18"/>
  <c r="J189" i="18"/>
  <c r="G189" i="18"/>
  <c r="D189" i="18"/>
  <c r="C189" i="18"/>
  <c r="B189" i="18"/>
  <c r="K188" i="18"/>
  <c r="J188" i="18"/>
  <c r="G188" i="18"/>
  <c r="D188" i="18"/>
  <c r="C188" i="18"/>
  <c r="B188" i="18"/>
  <c r="J187" i="18"/>
  <c r="K187" i="18" s="1"/>
  <c r="G187" i="18"/>
  <c r="D187" i="18"/>
  <c r="C187" i="18"/>
  <c r="B187" i="18"/>
  <c r="K186" i="18"/>
  <c r="J186" i="18"/>
  <c r="G186" i="18"/>
  <c r="D186" i="18"/>
  <c r="C186" i="18"/>
  <c r="B186" i="18"/>
  <c r="J185" i="18"/>
  <c r="K185" i="18" s="1"/>
  <c r="G185" i="18"/>
  <c r="D185" i="18"/>
  <c r="C185" i="18"/>
  <c r="B185" i="18"/>
  <c r="J184" i="18"/>
  <c r="K184" i="18" s="1"/>
  <c r="G184" i="18"/>
  <c r="D184" i="18"/>
  <c r="C184" i="18"/>
  <c r="B184" i="18"/>
  <c r="J183" i="18"/>
  <c r="K183" i="18" s="1"/>
  <c r="G183" i="18"/>
  <c r="D183" i="18"/>
  <c r="C183" i="18"/>
  <c r="B183" i="18"/>
  <c r="K182" i="18"/>
  <c r="J182" i="18"/>
  <c r="G182" i="18"/>
  <c r="D182" i="18"/>
  <c r="C182" i="18"/>
  <c r="B182" i="18"/>
  <c r="K181" i="18"/>
  <c r="J181" i="18"/>
  <c r="G181" i="18"/>
  <c r="D181" i="18"/>
  <c r="C181" i="18"/>
  <c r="B181" i="18"/>
  <c r="J180" i="18"/>
  <c r="K180" i="18" s="1"/>
  <c r="G180" i="18"/>
  <c r="D180" i="18"/>
  <c r="C180" i="18"/>
  <c r="B180" i="18"/>
  <c r="J179" i="18"/>
  <c r="K179" i="18" s="1"/>
  <c r="G179" i="18"/>
  <c r="D179" i="18"/>
  <c r="C179" i="18"/>
  <c r="B179" i="18"/>
  <c r="J178" i="18"/>
  <c r="K178" i="18" s="1"/>
  <c r="G178" i="18"/>
  <c r="D178" i="18"/>
  <c r="C178" i="18"/>
  <c r="B178" i="18"/>
  <c r="J177" i="18"/>
  <c r="K177" i="18" s="1"/>
  <c r="G177" i="18"/>
  <c r="D177" i="18"/>
  <c r="C177" i="18"/>
  <c r="B177" i="18"/>
  <c r="K176" i="18"/>
  <c r="J176" i="18"/>
  <c r="G176" i="18"/>
  <c r="D176" i="18"/>
  <c r="C176" i="18"/>
  <c r="B176" i="18"/>
  <c r="J175" i="18"/>
  <c r="K175" i="18" s="1"/>
  <c r="G175" i="18"/>
  <c r="D175" i="18"/>
  <c r="C175" i="18"/>
  <c r="B175" i="18"/>
  <c r="K174" i="18"/>
  <c r="J174" i="18"/>
  <c r="G174" i="18"/>
  <c r="D174" i="18"/>
  <c r="C174" i="18"/>
  <c r="B174" i="18"/>
  <c r="J173" i="18"/>
  <c r="K173" i="18" s="1"/>
  <c r="G173" i="18"/>
  <c r="D173" i="18"/>
  <c r="C173" i="18"/>
  <c r="B173" i="18"/>
  <c r="J172" i="18"/>
  <c r="K172" i="18" s="1"/>
  <c r="G172" i="18"/>
  <c r="D172" i="18"/>
  <c r="C172" i="18"/>
  <c r="B172" i="18"/>
  <c r="J171" i="18"/>
  <c r="K171" i="18" s="1"/>
  <c r="G171" i="18"/>
  <c r="D171" i="18"/>
  <c r="C171" i="18"/>
  <c r="B171" i="18"/>
  <c r="J170" i="18"/>
  <c r="K170" i="18" s="1"/>
  <c r="G170" i="18"/>
  <c r="D170" i="18"/>
  <c r="C170" i="18"/>
  <c r="B170" i="18"/>
  <c r="K169" i="18"/>
  <c r="J169" i="18"/>
  <c r="G169" i="18"/>
  <c r="D169" i="18"/>
  <c r="C169" i="18"/>
  <c r="B169" i="18"/>
  <c r="K168" i="18"/>
  <c r="J168" i="18"/>
  <c r="G168" i="18"/>
  <c r="D168" i="18"/>
  <c r="C168" i="18"/>
  <c r="B168" i="18"/>
  <c r="J167" i="18"/>
  <c r="K167" i="18" s="1"/>
  <c r="G167" i="18"/>
  <c r="D167" i="18"/>
  <c r="C167" i="18"/>
  <c r="B167" i="18"/>
  <c r="J166" i="18"/>
  <c r="K166" i="18" s="1"/>
  <c r="G166" i="18"/>
  <c r="D166" i="18"/>
  <c r="C166" i="18"/>
  <c r="B166" i="18"/>
  <c r="J165" i="18"/>
  <c r="K165" i="18" s="1"/>
  <c r="G165" i="18"/>
  <c r="D165" i="18"/>
  <c r="C165" i="18"/>
  <c r="B165" i="18"/>
  <c r="K164" i="18"/>
  <c r="J164" i="18"/>
  <c r="G164" i="18"/>
  <c r="D164" i="18"/>
  <c r="C164" i="18"/>
  <c r="B164" i="18"/>
  <c r="J163" i="18"/>
  <c r="K163" i="18" s="1"/>
  <c r="G163" i="18"/>
  <c r="D163" i="18"/>
  <c r="C163" i="18"/>
  <c r="B163" i="18"/>
  <c r="K162" i="18"/>
  <c r="J162" i="18"/>
  <c r="G162" i="18"/>
  <c r="D162" i="18"/>
  <c r="C162" i="18"/>
  <c r="B162" i="18"/>
  <c r="K161" i="18"/>
  <c r="J161" i="18"/>
  <c r="G161" i="18"/>
  <c r="D161" i="18"/>
  <c r="C161" i="18"/>
  <c r="B161" i="18"/>
  <c r="J160" i="18"/>
  <c r="K160" i="18" s="1"/>
  <c r="G160" i="18"/>
  <c r="D160" i="18"/>
  <c r="C160" i="18"/>
  <c r="B160" i="18"/>
  <c r="J159" i="18"/>
  <c r="K159" i="18" s="1"/>
  <c r="G159" i="18"/>
  <c r="D159" i="18"/>
  <c r="C159" i="18"/>
  <c r="B159" i="18"/>
  <c r="K158" i="18"/>
  <c r="J158" i="18"/>
  <c r="G158" i="18"/>
  <c r="D158" i="18"/>
  <c r="C158" i="18"/>
  <c r="B158" i="18"/>
  <c r="K157" i="18"/>
  <c r="J157" i="18"/>
  <c r="G157" i="18"/>
  <c r="D157" i="18"/>
  <c r="C157" i="18"/>
  <c r="B157" i="18"/>
  <c r="J156" i="18"/>
  <c r="K156" i="18" s="1"/>
  <c r="G156" i="18"/>
  <c r="D156" i="18"/>
  <c r="C156" i="18"/>
  <c r="B156" i="18"/>
  <c r="J155" i="18"/>
  <c r="K155" i="18" s="1"/>
  <c r="G155" i="18"/>
  <c r="D155" i="18"/>
  <c r="C155" i="18"/>
  <c r="B155" i="18"/>
  <c r="K154" i="18"/>
  <c r="J154" i="18"/>
  <c r="G154" i="18"/>
  <c r="D154" i="18"/>
  <c r="C154" i="18"/>
  <c r="B154" i="18"/>
  <c r="K153" i="18"/>
  <c r="J153" i="18"/>
  <c r="G153" i="18"/>
  <c r="D153" i="18"/>
  <c r="C153" i="18"/>
  <c r="B153" i="18"/>
  <c r="J152" i="18"/>
  <c r="K152" i="18" s="1"/>
  <c r="G152" i="18"/>
  <c r="D152" i="18"/>
  <c r="C152" i="18"/>
  <c r="B152" i="18"/>
  <c r="J151" i="18"/>
  <c r="K151" i="18" s="1"/>
  <c r="G151" i="18"/>
  <c r="D151" i="18"/>
  <c r="C151" i="18"/>
  <c r="B151" i="18"/>
  <c r="K150" i="18"/>
  <c r="J150" i="18"/>
  <c r="G150" i="18"/>
  <c r="D150" i="18"/>
  <c r="C150" i="18"/>
  <c r="B150" i="18"/>
  <c r="K149" i="18"/>
  <c r="J149" i="18"/>
  <c r="G149" i="18"/>
  <c r="D149" i="18"/>
  <c r="C149" i="18"/>
  <c r="B149" i="18"/>
  <c r="J148" i="18"/>
  <c r="K148" i="18" s="1"/>
  <c r="G148" i="18"/>
  <c r="D148" i="18"/>
  <c r="C148" i="18"/>
  <c r="B148" i="18"/>
  <c r="J147" i="18"/>
  <c r="K147" i="18" s="1"/>
  <c r="G147" i="18"/>
  <c r="D147" i="18"/>
  <c r="C147" i="18"/>
  <c r="B147" i="18"/>
  <c r="K146" i="18"/>
  <c r="J146" i="18"/>
  <c r="G146" i="18"/>
  <c r="D146" i="18"/>
  <c r="C146" i="18"/>
  <c r="B146" i="18"/>
  <c r="K145" i="18"/>
  <c r="J145" i="18"/>
  <c r="G145" i="18"/>
  <c r="D145" i="18"/>
  <c r="C145" i="18"/>
  <c r="B145" i="18"/>
  <c r="J144" i="18"/>
  <c r="K144" i="18" s="1"/>
  <c r="G144" i="18"/>
  <c r="D144" i="18"/>
  <c r="C144" i="18"/>
  <c r="B144" i="18"/>
  <c r="J143" i="18"/>
  <c r="K143" i="18" s="1"/>
  <c r="G143" i="18"/>
  <c r="D143" i="18"/>
  <c r="C143" i="18"/>
  <c r="B143" i="18"/>
  <c r="K142" i="18"/>
  <c r="J142" i="18"/>
  <c r="G142" i="18"/>
  <c r="D142" i="18"/>
  <c r="C142" i="18"/>
  <c r="B142" i="18"/>
  <c r="K141" i="18"/>
  <c r="J141" i="18"/>
  <c r="G141" i="18"/>
  <c r="D141" i="18"/>
  <c r="C141" i="18"/>
  <c r="B141" i="18"/>
  <c r="J140" i="18"/>
  <c r="K140" i="18" s="1"/>
  <c r="G140" i="18"/>
  <c r="D140" i="18"/>
  <c r="C140" i="18"/>
  <c r="B140" i="18"/>
  <c r="J139" i="18"/>
  <c r="K139" i="18" s="1"/>
  <c r="G139" i="18"/>
  <c r="D139" i="18"/>
  <c r="C139" i="18"/>
  <c r="B139" i="18"/>
  <c r="K138" i="18"/>
  <c r="J138" i="18"/>
  <c r="G138" i="18"/>
  <c r="D138" i="18"/>
  <c r="C138" i="18"/>
  <c r="B138" i="18"/>
  <c r="K137" i="18"/>
  <c r="J137" i="18"/>
  <c r="G137" i="18"/>
  <c r="D137" i="18"/>
  <c r="C137" i="18"/>
  <c r="B137" i="18"/>
  <c r="J136" i="18"/>
  <c r="K136" i="18" s="1"/>
  <c r="G136" i="18"/>
  <c r="D136" i="18"/>
  <c r="C136" i="18"/>
  <c r="B136" i="18"/>
  <c r="J135" i="18"/>
  <c r="K135" i="18" s="1"/>
  <c r="G135" i="18"/>
  <c r="D135" i="18"/>
  <c r="C135" i="18"/>
  <c r="B135" i="18"/>
  <c r="K134" i="18"/>
  <c r="J134" i="18"/>
  <c r="G134" i="18"/>
  <c r="D134" i="18"/>
  <c r="C134" i="18"/>
  <c r="B134" i="18"/>
  <c r="K133" i="18"/>
  <c r="J133" i="18"/>
  <c r="G133" i="18"/>
  <c r="D133" i="18"/>
  <c r="C133" i="18"/>
  <c r="B133" i="18"/>
  <c r="J132" i="18"/>
  <c r="K132" i="18" s="1"/>
  <c r="G132" i="18"/>
  <c r="D132" i="18"/>
  <c r="C132" i="18"/>
  <c r="B132" i="18"/>
  <c r="J131" i="18"/>
  <c r="K131" i="18" s="1"/>
  <c r="G131" i="18"/>
  <c r="D131" i="18"/>
  <c r="C131" i="18"/>
  <c r="B131" i="18"/>
  <c r="K130" i="18"/>
  <c r="J130" i="18"/>
  <c r="G130" i="18"/>
  <c r="D130" i="18"/>
  <c r="C130" i="18"/>
  <c r="B130" i="18"/>
  <c r="K129" i="18"/>
  <c r="J129" i="18"/>
  <c r="G129" i="18"/>
  <c r="D129" i="18"/>
  <c r="C129" i="18"/>
  <c r="B129" i="18"/>
  <c r="J128" i="18"/>
  <c r="K128" i="18" s="1"/>
  <c r="G128" i="18"/>
  <c r="D128" i="18"/>
  <c r="C128" i="18"/>
  <c r="B128" i="18"/>
  <c r="J127" i="18"/>
  <c r="K127" i="18" s="1"/>
  <c r="G127" i="18"/>
  <c r="D127" i="18"/>
  <c r="C127" i="18"/>
  <c r="B127" i="18"/>
  <c r="K126" i="18"/>
  <c r="J126" i="18"/>
  <c r="G126" i="18"/>
  <c r="D126" i="18"/>
  <c r="C126" i="18"/>
  <c r="B126" i="18"/>
  <c r="K125" i="18"/>
  <c r="J125" i="18"/>
  <c r="G125" i="18"/>
  <c r="D125" i="18"/>
  <c r="C125" i="18"/>
  <c r="B125" i="18"/>
  <c r="J124" i="18"/>
  <c r="K124" i="18" s="1"/>
  <c r="G124" i="18"/>
  <c r="D124" i="18"/>
  <c r="C124" i="18"/>
  <c r="B124" i="18"/>
  <c r="J123" i="18"/>
  <c r="K123" i="18" s="1"/>
  <c r="G123" i="18"/>
  <c r="D123" i="18"/>
  <c r="C123" i="18"/>
  <c r="B123" i="18"/>
  <c r="K122" i="18"/>
  <c r="J122" i="18"/>
  <c r="G122" i="18"/>
  <c r="D122" i="18"/>
  <c r="C122" i="18"/>
  <c r="B122" i="18"/>
  <c r="K121" i="18"/>
  <c r="J121" i="18"/>
  <c r="G121" i="18"/>
  <c r="D121" i="18"/>
  <c r="C121" i="18"/>
  <c r="B121" i="18"/>
  <c r="J120" i="18"/>
  <c r="K120" i="18" s="1"/>
  <c r="G120" i="18"/>
  <c r="D120" i="18"/>
  <c r="C120" i="18"/>
  <c r="B120" i="18"/>
  <c r="J119" i="18"/>
  <c r="K119" i="18" s="1"/>
  <c r="G119" i="18"/>
  <c r="D119" i="18"/>
  <c r="C119" i="18"/>
  <c r="B119" i="18"/>
  <c r="K118" i="18"/>
  <c r="J118" i="18"/>
  <c r="G118" i="18"/>
  <c r="D118" i="18"/>
  <c r="C118" i="18"/>
  <c r="B118" i="18"/>
  <c r="K117" i="18"/>
  <c r="J117" i="18"/>
  <c r="G117" i="18"/>
  <c r="D117" i="18"/>
  <c r="C117" i="18"/>
  <c r="B117" i="18"/>
  <c r="J116" i="18"/>
  <c r="K116" i="18" s="1"/>
  <c r="G116" i="18"/>
  <c r="D116" i="18"/>
  <c r="C116" i="18"/>
  <c r="B116" i="18"/>
  <c r="J115" i="18"/>
  <c r="K115" i="18" s="1"/>
  <c r="G115" i="18"/>
  <c r="D115" i="18"/>
  <c r="C115" i="18"/>
  <c r="B115" i="18"/>
  <c r="K114" i="18"/>
  <c r="J114" i="18"/>
  <c r="G114" i="18"/>
  <c r="D114" i="18"/>
  <c r="C114" i="18"/>
  <c r="B114" i="18"/>
  <c r="K113" i="18"/>
  <c r="J113" i="18"/>
  <c r="G113" i="18"/>
  <c r="D113" i="18"/>
  <c r="C113" i="18"/>
  <c r="B113" i="18"/>
  <c r="J112" i="18"/>
  <c r="K112" i="18" s="1"/>
  <c r="G112" i="18"/>
  <c r="D112" i="18"/>
  <c r="C112" i="18"/>
  <c r="B112" i="18"/>
  <c r="J111" i="18"/>
  <c r="K111" i="18" s="1"/>
  <c r="G111" i="18"/>
  <c r="D111" i="18"/>
  <c r="C111" i="18"/>
  <c r="B111" i="18"/>
  <c r="K110" i="18"/>
  <c r="J110" i="18"/>
  <c r="G110" i="18"/>
  <c r="D110" i="18"/>
  <c r="C110" i="18"/>
  <c r="B110" i="18"/>
  <c r="K109" i="18"/>
  <c r="J109" i="18"/>
  <c r="G109" i="18"/>
  <c r="D109" i="18"/>
  <c r="C109" i="18"/>
  <c r="B109" i="18"/>
  <c r="J108" i="18"/>
  <c r="K108" i="18" s="1"/>
  <c r="G108" i="18"/>
  <c r="D108" i="18"/>
  <c r="C108" i="18"/>
  <c r="B108" i="18"/>
  <c r="J107" i="18"/>
  <c r="K107" i="18" s="1"/>
  <c r="G107" i="18"/>
  <c r="D107" i="18"/>
  <c r="C107" i="18"/>
  <c r="B107" i="18"/>
  <c r="K106" i="18"/>
  <c r="J106" i="18"/>
  <c r="G106" i="18"/>
  <c r="D106" i="18"/>
  <c r="C106" i="18"/>
  <c r="B106" i="18"/>
  <c r="K105" i="18"/>
  <c r="J105" i="18"/>
  <c r="G105" i="18"/>
  <c r="D105" i="18"/>
  <c r="C105" i="18"/>
  <c r="B105" i="18"/>
  <c r="J104" i="18"/>
  <c r="K104" i="18" s="1"/>
  <c r="G104" i="18"/>
  <c r="D104" i="18"/>
  <c r="C104" i="18"/>
  <c r="B104" i="18"/>
  <c r="J103" i="18"/>
  <c r="K103" i="18" s="1"/>
  <c r="G103" i="18"/>
  <c r="D103" i="18"/>
  <c r="C103" i="18"/>
  <c r="B103" i="18"/>
  <c r="K102" i="18"/>
  <c r="J102" i="18"/>
  <c r="G102" i="18"/>
  <c r="D102" i="18"/>
  <c r="C102" i="18"/>
  <c r="B102" i="18"/>
  <c r="K101" i="18"/>
  <c r="J101" i="18"/>
  <c r="G101" i="18"/>
  <c r="D101" i="18"/>
  <c r="C101" i="18"/>
  <c r="B101" i="18"/>
  <c r="J100" i="18"/>
  <c r="K100" i="18" s="1"/>
  <c r="G100" i="18"/>
  <c r="D100" i="18"/>
  <c r="C100" i="18"/>
  <c r="B100" i="18"/>
  <c r="J99" i="18"/>
  <c r="K99" i="18" s="1"/>
  <c r="G99" i="18"/>
  <c r="D99" i="18"/>
  <c r="C99" i="18"/>
  <c r="B99" i="18"/>
  <c r="K98" i="18"/>
  <c r="J98" i="18"/>
  <c r="G98" i="18"/>
  <c r="D98" i="18"/>
  <c r="C98" i="18"/>
  <c r="B98" i="18"/>
  <c r="K97" i="18"/>
  <c r="J97" i="18"/>
  <c r="G97" i="18"/>
  <c r="D97" i="18"/>
  <c r="C97" i="18"/>
  <c r="B97" i="18"/>
  <c r="J96" i="18"/>
  <c r="K96" i="18" s="1"/>
  <c r="G96" i="18"/>
  <c r="D96" i="18"/>
  <c r="C96" i="18"/>
  <c r="B96" i="18"/>
  <c r="J95" i="18"/>
  <c r="K95" i="18" s="1"/>
  <c r="G95" i="18"/>
  <c r="D95" i="18"/>
  <c r="C95" i="18"/>
  <c r="B95" i="18"/>
  <c r="K94" i="18"/>
  <c r="J94" i="18"/>
  <c r="G94" i="18"/>
  <c r="D94" i="18"/>
  <c r="C94" i="18"/>
  <c r="B94" i="18"/>
  <c r="K93" i="18"/>
  <c r="J93" i="18"/>
  <c r="G93" i="18"/>
  <c r="D93" i="18"/>
  <c r="C93" i="18"/>
  <c r="B93" i="18"/>
  <c r="J92" i="18"/>
  <c r="K92" i="18" s="1"/>
  <c r="G92" i="18"/>
  <c r="D92" i="18"/>
  <c r="C92" i="18"/>
  <c r="B92" i="18"/>
  <c r="J91" i="18"/>
  <c r="K91" i="18" s="1"/>
  <c r="G91" i="18"/>
  <c r="D91" i="18"/>
  <c r="C91" i="18"/>
  <c r="B91" i="18"/>
  <c r="K90" i="18"/>
  <c r="J90" i="18"/>
  <c r="G90" i="18"/>
  <c r="D90" i="18"/>
  <c r="C90" i="18"/>
  <c r="B90" i="18"/>
  <c r="K89" i="18"/>
  <c r="J89" i="18"/>
  <c r="G89" i="18"/>
  <c r="D89" i="18"/>
  <c r="C89" i="18"/>
  <c r="B89" i="18"/>
  <c r="J88" i="18"/>
  <c r="K88" i="18" s="1"/>
  <c r="G88" i="18"/>
  <c r="D88" i="18"/>
  <c r="C88" i="18"/>
  <c r="B88" i="18"/>
  <c r="J87" i="18"/>
  <c r="K87" i="18" s="1"/>
  <c r="G87" i="18"/>
  <c r="D87" i="18"/>
  <c r="C87" i="18"/>
  <c r="B87" i="18"/>
  <c r="K86" i="18"/>
  <c r="J86" i="18"/>
  <c r="G86" i="18"/>
  <c r="D86" i="18"/>
  <c r="C86" i="18"/>
  <c r="B86" i="18"/>
  <c r="K85" i="18"/>
  <c r="J85" i="18"/>
  <c r="G85" i="18"/>
  <c r="D85" i="18"/>
  <c r="C85" i="18"/>
  <c r="B85" i="18"/>
  <c r="J84" i="18"/>
  <c r="K84" i="18" s="1"/>
  <c r="G84" i="18"/>
  <c r="D84" i="18"/>
  <c r="C84" i="18"/>
  <c r="B84" i="18"/>
  <c r="J83" i="18"/>
  <c r="K83" i="18" s="1"/>
  <c r="G83" i="18"/>
  <c r="D83" i="18"/>
  <c r="C83" i="18"/>
  <c r="B83" i="18"/>
  <c r="K82" i="18"/>
  <c r="J82" i="18"/>
  <c r="G82" i="18"/>
  <c r="D82" i="18"/>
  <c r="C82" i="18"/>
  <c r="B82" i="18"/>
  <c r="K81" i="18"/>
  <c r="J81" i="18"/>
  <c r="G81" i="18"/>
  <c r="D81" i="18"/>
  <c r="C81" i="18"/>
  <c r="B81" i="18"/>
  <c r="J80" i="18"/>
  <c r="K80" i="18" s="1"/>
  <c r="G80" i="18"/>
  <c r="D80" i="18"/>
  <c r="C80" i="18"/>
  <c r="B80" i="18"/>
  <c r="J79" i="18"/>
  <c r="K79" i="18" s="1"/>
  <c r="G79" i="18"/>
  <c r="D79" i="18"/>
  <c r="C79" i="18"/>
  <c r="B79" i="18"/>
  <c r="K78" i="18"/>
  <c r="J78" i="18"/>
  <c r="G78" i="18"/>
  <c r="D78" i="18"/>
  <c r="C78" i="18"/>
  <c r="B78" i="18"/>
  <c r="K77" i="18"/>
  <c r="J77" i="18"/>
  <c r="G77" i="18"/>
  <c r="D77" i="18"/>
  <c r="C77" i="18"/>
  <c r="B77" i="18"/>
  <c r="J76" i="18"/>
  <c r="K76" i="18" s="1"/>
  <c r="G76" i="18"/>
  <c r="D76" i="18"/>
  <c r="C76" i="18"/>
  <c r="B76" i="18"/>
  <c r="J75" i="18"/>
  <c r="K75" i="18" s="1"/>
  <c r="G75" i="18"/>
  <c r="D75" i="18"/>
  <c r="C75" i="18"/>
  <c r="B75" i="18"/>
  <c r="K74" i="18"/>
  <c r="J74" i="18"/>
  <c r="G74" i="18"/>
  <c r="D74" i="18"/>
  <c r="C74" i="18"/>
  <c r="B74" i="18"/>
  <c r="K73" i="18"/>
  <c r="J73" i="18"/>
  <c r="G73" i="18"/>
  <c r="D73" i="18"/>
  <c r="C73" i="18"/>
  <c r="B73" i="18"/>
  <c r="J72" i="18"/>
  <c r="K72" i="18" s="1"/>
  <c r="G72" i="18"/>
  <c r="D72" i="18"/>
  <c r="C72" i="18"/>
  <c r="B72" i="18"/>
  <c r="J71" i="18"/>
  <c r="K71" i="18" s="1"/>
  <c r="G71" i="18"/>
  <c r="D71" i="18"/>
  <c r="C71" i="18"/>
  <c r="B71" i="18"/>
  <c r="K70" i="18"/>
  <c r="J70" i="18"/>
  <c r="G70" i="18"/>
  <c r="D70" i="18"/>
  <c r="C70" i="18"/>
  <c r="B70" i="18"/>
  <c r="K69" i="18"/>
  <c r="J69" i="18"/>
  <c r="G69" i="18"/>
  <c r="D69" i="18"/>
  <c r="C69" i="18"/>
  <c r="B69" i="18"/>
  <c r="J68" i="18"/>
  <c r="K68" i="18" s="1"/>
  <c r="G68" i="18"/>
  <c r="D68" i="18"/>
  <c r="C68" i="18"/>
  <c r="B68" i="18"/>
  <c r="J67" i="18"/>
  <c r="K67" i="18" s="1"/>
  <c r="G67" i="18"/>
  <c r="D67" i="18"/>
  <c r="C67" i="18"/>
  <c r="B67" i="18"/>
  <c r="K66" i="18"/>
  <c r="J66" i="18"/>
  <c r="G66" i="18"/>
  <c r="D66" i="18"/>
  <c r="C66" i="18"/>
  <c r="B66" i="18"/>
  <c r="K65" i="18"/>
  <c r="J65" i="18"/>
  <c r="G65" i="18"/>
  <c r="D65" i="18"/>
  <c r="C65" i="18"/>
  <c r="B65" i="18"/>
  <c r="J64" i="18"/>
  <c r="K64" i="18" s="1"/>
  <c r="G64" i="18"/>
  <c r="D64" i="18"/>
  <c r="C64" i="18"/>
  <c r="B64" i="18"/>
  <c r="J63" i="18"/>
  <c r="K63" i="18" s="1"/>
  <c r="G63" i="18"/>
  <c r="D63" i="18"/>
  <c r="C63" i="18"/>
  <c r="B63" i="18"/>
  <c r="K62" i="18"/>
  <c r="J62" i="18"/>
  <c r="G62" i="18"/>
  <c r="D62" i="18"/>
  <c r="C62" i="18"/>
  <c r="B62" i="18"/>
  <c r="K61" i="18"/>
  <c r="J61" i="18"/>
  <c r="G61" i="18"/>
  <c r="D61" i="18"/>
  <c r="C61" i="18"/>
  <c r="B61" i="18"/>
  <c r="J60" i="18"/>
  <c r="K60" i="18" s="1"/>
  <c r="G60" i="18"/>
  <c r="D60" i="18"/>
  <c r="C60" i="18"/>
  <c r="B60" i="18"/>
  <c r="J59" i="18"/>
  <c r="K59" i="18" s="1"/>
  <c r="G59" i="18"/>
  <c r="D59" i="18"/>
  <c r="C59" i="18"/>
  <c r="B59" i="18"/>
  <c r="K58" i="18"/>
  <c r="J58" i="18"/>
  <c r="G58" i="18"/>
  <c r="D58" i="18"/>
  <c r="C58" i="18"/>
  <c r="B58" i="18"/>
  <c r="K57" i="18"/>
  <c r="J57" i="18"/>
  <c r="G57" i="18"/>
  <c r="D57" i="18"/>
  <c r="C57" i="18"/>
  <c r="B57" i="18"/>
  <c r="J56" i="18"/>
  <c r="K56" i="18" s="1"/>
  <c r="G56" i="18"/>
  <c r="D56" i="18"/>
  <c r="C56" i="18"/>
  <c r="B56" i="18"/>
  <c r="J55" i="18"/>
  <c r="K55" i="18" s="1"/>
  <c r="G55" i="18"/>
  <c r="D55" i="18"/>
  <c r="C55" i="18"/>
  <c r="B55" i="18"/>
  <c r="K54" i="18"/>
  <c r="J54" i="18"/>
  <c r="G54" i="18"/>
  <c r="D54" i="18"/>
  <c r="C54" i="18"/>
  <c r="B54" i="18"/>
  <c r="K53" i="18"/>
  <c r="J53" i="18"/>
  <c r="G53" i="18"/>
  <c r="D53" i="18"/>
  <c r="C53" i="18"/>
  <c r="B53" i="18"/>
  <c r="J52" i="18"/>
  <c r="K52" i="18" s="1"/>
  <c r="G52" i="18"/>
  <c r="D52" i="18"/>
  <c r="C52" i="18"/>
  <c r="B52" i="18"/>
  <c r="J51" i="18"/>
  <c r="K51" i="18" s="1"/>
  <c r="G51" i="18"/>
  <c r="D51" i="18"/>
  <c r="C51" i="18"/>
  <c r="B51" i="18"/>
  <c r="K50" i="18"/>
  <c r="J50" i="18"/>
  <c r="G50" i="18"/>
  <c r="D50" i="18"/>
  <c r="C50" i="18"/>
  <c r="B50" i="18"/>
  <c r="K49" i="18"/>
  <c r="J49" i="18"/>
  <c r="G49" i="18"/>
  <c r="D49" i="18"/>
  <c r="C49" i="18"/>
  <c r="B49" i="18"/>
  <c r="J48" i="18"/>
  <c r="K48" i="18" s="1"/>
  <c r="G48" i="18"/>
  <c r="D48" i="18"/>
  <c r="C48" i="18"/>
  <c r="B48" i="18"/>
  <c r="J47" i="18"/>
  <c r="K47" i="18" s="1"/>
  <c r="G47" i="18"/>
  <c r="D47" i="18"/>
  <c r="C47" i="18"/>
  <c r="B47" i="18"/>
  <c r="K46" i="18"/>
  <c r="J46" i="18"/>
  <c r="G46" i="18"/>
  <c r="D46" i="18"/>
  <c r="C46" i="18"/>
  <c r="B46" i="18"/>
  <c r="K45" i="18"/>
  <c r="J45" i="18"/>
  <c r="G45" i="18"/>
  <c r="D45" i="18"/>
  <c r="C45" i="18"/>
  <c r="B45" i="18"/>
  <c r="J44" i="18"/>
  <c r="K44" i="18" s="1"/>
  <c r="G44" i="18"/>
  <c r="D44" i="18"/>
  <c r="C44" i="18"/>
  <c r="B44" i="18"/>
  <c r="J43" i="18"/>
  <c r="K43" i="18" s="1"/>
  <c r="G43" i="18"/>
  <c r="D43" i="18"/>
  <c r="C43" i="18"/>
  <c r="B43" i="18"/>
  <c r="K42" i="18"/>
  <c r="J42" i="18"/>
  <c r="G42" i="18"/>
  <c r="D42" i="18"/>
  <c r="C42" i="18"/>
  <c r="B42" i="18"/>
  <c r="K41" i="18"/>
  <c r="J41" i="18"/>
  <c r="G41" i="18"/>
  <c r="D41" i="18"/>
  <c r="C41" i="18"/>
  <c r="B41" i="18"/>
  <c r="J40" i="18"/>
  <c r="K40" i="18" s="1"/>
  <c r="G40" i="18"/>
  <c r="D40" i="18"/>
  <c r="C40" i="18"/>
  <c r="B40" i="18"/>
  <c r="J39" i="18"/>
  <c r="K39" i="18" s="1"/>
  <c r="G39" i="18"/>
  <c r="D39" i="18"/>
  <c r="C39" i="18"/>
  <c r="B39" i="18"/>
  <c r="K38" i="18"/>
  <c r="J38" i="18"/>
  <c r="G38" i="18"/>
  <c r="D38" i="18"/>
  <c r="C38" i="18"/>
  <c r="B38" i="18"/>
  <c r="K37" i="18"/>
  <c r="J37" i="18"/>
  <c r="G37" i="18"/>
  <c r="D37" i="18"/>
  <c r="C37" i="18"/>
  <c r="B37" i="18"/>
  <c r="J36" i="18"/>
  <c r="K36" i="18" s="1"/>
  <c r="G36" i="18"/>
  <c r="D36" i="18"/>
  <c r="C36" i="18"/>
  <c r="B36" i="18"/>
  <c r="J35" i="18"/>
  <c r="K35" i="18" s="1"/>
  <c r="G35" i="18"/>
  <c r="D35" i="18"/>
  <c r="C35" i="18"/>
  <c r="B35" i="18"/>
  <c r="K34" i="18"/>
  <c r="J34" i="18"/>
  <c r="G34" i="18"/>
  <c r="D34" i="18"/>
  <c r="C34" i="18"/>
  <c r="B34" i="18"/>
  <c r="K33" i="18"/>
  <c r="J33" i="18"/>
  <c r="G33" i="18"/>
  <c r="D33" i="18"/>
  <c r="C33" i="18"/>
  <c r="B33" i="18"/>
  <c r="J32" i="18"/>
  <c r="K32" i="18" s="1"/>
  <c r="G32" i="18"/>
  <c r="D32" i="18"/>
  <c r="C32" i="18"/>
  <c r="B32" i="18"/>
  <c r="J31" i="18"/>
  <c r="K31" i="18" s="1"/>
  <c r="G31" i="18"/>
  <c r="D31" i="18"/>
  <c r="C31" i="18"/>
  <c r="B31" i="18"/>
  <c r="K30" i="18"/>
  <c r="J30" i="18"/>
  <c r="G30" i="18"/>
  <c r="D30" i="18"/>
  <c r="C30" i="18"/>
  <c r="B30" i="18"/>
  <c r="K29" i="18"/>
  <c r="J29" i="18"/>
  <c r="G29" i="18"/>
  <c r="D29" i="18"/>
  <c r="C29" i="18"/>
  <c r="B29" i="18"/>
  <c r="J28" i="18"/>
  <c r="K28" i="18" s="1"/>
  <c r="G28" i="18"/>
  <c r="D28" i="18"/>
  <c r="C28" i="18"/>
  <c r="B28" i="18"/>
  <c r="J27" i="18"/>
  <c r="K27" i="18" s="1"/>
  <c r="G27" i="18"/>
  <c r="D27" i="18"/>
  <c r="C27" i="18"/>
  <c r="B27" i="18"/>
  <c r="K26" i="18"/>
  <c r="J26" i="18"/>
  <c r="G26" i="18"/>
  <c r="D26" i="18"/>
  <c r="C26" i="18"/>
  <c r="B26" i="18"/>
  <c r="K25" i="18"/>
  <c r="J25" i="18"/>
  <c r="G25" i="18"/>
  <c r="D25" i="18"/>
  <c r="C25" i="18"/>
  <c r="B25" i="18"/>
  <c r="J24" i="18"/>
  <c r="K24" i="18" s="1"/>
  <c r="G24" i="18"/>
  <c r="D24" i="18"/>
  <c r="C24" i="18"/>
  <c r="B24" i="18"/>
  <c r="J23" i="18"/>
  <c r="K23" i="18" s="1"/>
  <c r="G23" i="18"/>
  <c r="D23" i="18"/>
  <c r="C23" i="18"/>
  <c r="B23" i="18"/>
  <c r="K22" i="18"/>
  <c r="J22" i="18"/>
  <c r="G22" i="18"/>
  <c r="D22" i="18"/>
  <c r="C22" i="18"/>
  <c r="B22" i="18"/>
  <c r="K21" i="18"/>
  <c r="J21" i="18"/>
  <c r="G21" i="18"/>
  <c r="D21" i="18"/>
  <c r="C21" i="18"/>
  <c r="B21" i="18"/>
  <c r="J20" i="18"/>
  <c r="K20" i="18" s="1"/>
  <c r="G20" i="18"/>
  <c r="D20" i="18"/>
  <c r="C20" i="18"/>
  <c r="B20" i="18"/>
  <c r="J19" i="18"/>
  <c r="K19" i="18" s="1"/>
  <c r="G19" i="18"/>
  <c r="D19" i="18"/>
  <c r="C19" i="18"/>
  <c r="B19" i="18"/>
  <c r="K18" i="18"/>
  <c r="J18" i="18"/>
  <c r="G18" i="18"/>
  <c r="D18" i="18"/>
  <c r="C18" i="18"/>
  <c r="B18" i="18"/>
  <c r="K17" i="18"/>
  <c r="J17" i="18"/>
  <c r="G17" i="18"/>
  <c r="D17" i="18"/>
  <c r="C17" i="18"/>
  <c r="B17" i="18"/>
  <c r="J16" i="18"/>
  <c r="K16" i="18" s="1"/>
  <c r="G16" i="18"/>
  <c r="D16" i="18"/>
  <c r="C16" i="18"/>
  <c r="B16" i="18"/>
  <c r="J15" i="18"/>
  <c r="K15" i="18" s="1"/>
  <c r="G15" i="18"/>
  <c r="D15" i="18"/>
  <c r="C15" i="18"/>
  <c r="B15" i="18"/>
  <c r="K14" i="18"/>
  <c r="J14" i="18"/>
  <c r="G14" i="18"/>
  <c r="D14" i="18"/>
  <c r="C14" i="18"/>
  <c r="B14" i="18"/>
  <c r="K13" i="18"/>
  <c r="J13" i="18"/>
  <c r="G13" i="18"/>
  <c r="D13" i="18"/>
  <c r="C13" i="18"/>
  <c r="B13" i="18"/>
  <c r="J12" i="18"/>
  <c r="K12" i="18" s="1"/>
  <c r="G12" i="18"/>
  <c r="D12" i="18"/>
  <c r="C12" i="18"/>
  <c r="B12" i="18"/>
  <c r="J11" i="18"/>
  <c r="K11" i="18" s="1"/>
  <c r="G11" i="18"/>
  <c r="D11" i="18"/>
  <c r="C11" i="18"/>
  <c r="B11" i="18"/>
  <c r="K10" i="18"/>
  <c r="J10" i="18"/>
  <c r="G10" i="18"/>
  <c r="D10" i="18"/>
  <c r="C10" i="18"/>
  <c r="B10" i="18"/>
  <c r="K9" i="18"/>
  <c r="J9" i="18"/>
  <c r="G9" i="18"/>
  <c r="D9" i="18"/>
  <c r="C9" i="18"/>
  <c r="B9" i="18"/>
  <c r="K4" i="18"/>
  <c r="G4" i="18"/>
  <c r="D4" i="18"/>
  <c r="A4" i="18"/>
  <c r="J208" i="17"/>
  <c r="I208" i="17"/>
  <c r="F208" i="17"/>
  <c r="D208" i="17"/>
  <c r="C208" i="17"/>
  <c r="B208" i="17"/>
  <c r="J207" i="17"/>
  <c r="I207" i="17"/>
  <c r="F207" i="17"/>
  <c r="D207" i="17"/>
  <c r="C207" i="17"/>
  <c r="B207" i="17"/>
  <c r="I206" i="17"/>
  <c r="J206" i="17" s="1"/>
  <c r="F206" i="17"/>
  <c r="D206" i="17"/>
  <c r="C206" i="17"/>
  <c r="B206" i="17"/>
  <c r="I205" i="17"/>
  <c r="J205" i="17" s="1"/>
  <c r="F205" i="17"/>
  <c r="D205" i="17"/>
  <c r="C205" i="17"/>
  <c r="B205" i="17"/>
  <c r="J204" i="17"/>
  <c r="I204" i="17"/>
  <c r="F204" i="17"/>
  <c r="D204" i="17"/>
  <c r="C204" i="17"/>
  <c r="B204" i="17"/>
  <c r="J203" i="17"/>
  <c r="I203" i="17"/>
  <c r="F203" i="17"/>
  <c r="D203" i="17"/>
  <c r="C203" i="17"/>
  <c r="B203" i="17"/>
  <c r="I202" i="17"/>
  <c r="J202" i="17" s="1"/>
  <c r="F202" i="17"/>
  <c r="D202" i="17"/>
  <c r="C202" i="17"/>
  <c r="B202" i="17"/>
  <c r="I201" i="17"/>
  <c r="J201" i="17" s="1"/>
  <c r="F201" i="17"/>
  <c r="D201" i="17"/>
  <c r="C201" i="17"/>
  <c r="B201" i="17"/>
  <c r="J200" i="17"/>
  <c r="I200" i="17"/>
  <c r="F200" i="17"/>
  <c r="D200" i="17"/>
  <c r="C200" i="17"/>
  <c r="B200" i="17"/>
  <c r="J199" i="17"/>
  <c r="I199" i="17"/>
  <c r="F199" i="17"/>
  <c r="D199" i="17"/>
  <c r="C199" i="17"/>
  <c r="B199" i="17"/>
  <c r="I198" i="17"/>
  <c r="J198" i="17" s="1"/>
  <c r="F198" i="17"/>
  <c r="D198" i="17"/>
  <c r="C198" i="17"/>
  <c r="B198" i="17"/>
  <c r="I197" i="17"/>
  <c r="J197" i="17" s="1"/>
  <c r="F197" i="17"/>
  <c r="D197" i="17"/>
  <c r="C197" i="17"/>
  <c r="B197" i="17"/>
  <c r="J196" i="17"/>
  <c r="I196" i="17"/>
  <c r="F196" i="17"/>
  <c r="D196" i="17"/>
  <c r="C196" i="17"/>
  <c r="B196" i="17"/>
  <c r="J195" i="17"/>
  <c r="I195" i="17"/>
  <c r="F195" i="17"/>
  <c r="D195" i="17"/>
  <c r="C195" i="17"/>
  <c r="B195" i="17"/>
  <c r="I194" i="17"/>
  <c r="J194" i="17" s="1"/>
  <c r="F194" i="17"/>
  <c r="D194" i="17"/>
  <c r="C194" i="17"/>
  <c r="B194" i="17"/>
  <c r="I193" i="17"/>
  <c r="J193" i="17" s="1"/>
  <c r="F193" i="17"/>
  <c r="D193" i="17"/>
  <c r="C193" i="17"/>
  <c r="B193" i="17"/>
  <c r="J192" i="17"/>
  <c r="I192" i="17"/>
  <c r="F192" i="17"/>
  <c r="D192" i="17"/>
  <c r="C192" i="17"/>
  <c r="B192" i="17"/>
  <c r="J191" i="17"/>
  <c r="I191" i="17"/>
  <c r="F191" i="17"/>
  <c r="D191" i="17"/>
  <c r="C191" i="17"/>
  <c r="B191" i="17"/>
  <c r="I190" i="17"/>
  <c r="J190" i="17" s="1"/>
  <c r="F190" i="17"/>
  <c r="D190" i="17"/>
  <c r="C190" i="17"/>
  <c r="B190" i="17"/>
  <c r="I189" i="17"/>
  <c r="J189" i="17" s="1"/>
  <c r="F189" i="17"/>
  <c r="D189" i="17"/>
  <c r="C189" i="17"/>
  <c r="B189" i="17"/>
  <c r="J188" i="17"/>
  <c r="I188" i="17"/>
  <c r="F188" i="17"/>
  <c r="D188" i="17"/>
  <c r="C188" i="17"/>
  <c r="B188" i="17"/>
  <c r="J187" i="17"/>
  <c r="I187" i="17"/>
  <c r="F187" i="17"/>
  <c r="D187" i="17"/>
  <c r="C187" i="17"/>
  <c r="B187" i="17"/>
  <c r="I186" i="17"/>
  <c r="J186" i="17" s="1"/>
  <c r="F186" i="17"/>
  <c r="D186" i="17"/>
  <c r="C186" i="17"/>
  <c r="B186" i="17"/>
  <c r="I185" i="17"/>
  <c r="J185" i="17" s="1"/>
  <c r="F185" i="17"/>
  <c r="D185" i="17"/>
  <c r="C185" i="17"/>
  <c r="B185" i="17"/>
  <c r="J184" i="17"/>
  <c r="I184" i="17"/>
  <c r="F184" i="17"/>
  <c r="D184" i="17"/>
  <c r="C184" i="17"/>
  <c r="B184" i="17"/>
  <c r="J183" i="17"/>
  <c r="I183" i="17"/>
  <c r="F183" i="17"/>
  <c r="D183" i="17"/>
  <c r="C183" i="17"/>
  <c r="B183" i="17"/>
  <c r="I182" i="17"/>
  <c r="J182" i="17" s="1"/>
  <c r="F182" i="17"/>
  <c r="D182" i="17"/>
  <c r="C182" i="17"/>
  <c r="B182" i="17"/>
  <c r="I181" i="17"/>
  <c r="J181" i="17" s="1"/>
  <c r="F181" i="17"/>
  <c r="D181" i="17"/>
  <c r="C181" i="17"/>
  <c r="B181" i="17"/>
  <c r="J180" i="17"/>
  <c r="I180" i="17"/>
  <c r="F180" i="17"/>
  <c r="D180" i="17"/>
  <c r="C180" i="17"/>
  <c r="B180" i="17"/>
  <c r="J179" i="17"/>
  <c r="I179" i="17"/>
  <c r="F179" i="17"/>
  <c r="D179" i="17"/>
  <c r="C179" i="17"/>
  <c r="B179" i="17"/>
  <c r="I178" i="17"/>
  <c r="J178" i="17" s="1"/>
  <c r="F178" i="17"/>
  <c r="D178" i="17"/>
  <c r="C178" i="17"/>
  <c r="B178" i="17"/>
  <c r="I177" i="17"/>
  <c r="J177" i="17" s="1"/>
  <c r="F177" i="17"/>
  <c r="D177" i="17"/>
  <c r="C177" i="17"/>
  <c r="B177" i="17"/>
  <c r="J176" i="17"/>
  <c r="I176" i="17"/>
  <c r="F176" i="17"/>
  <c r="D176" i="17"/>
  <c r="C176" i="17"/>
  <c r="B176" i="17"/>
  <c r="J175" i="17"/>
  <c r="I175" i="17"/>
  <c r="F175" i="17"/>
  <c r="D175" i="17"/>
  <c r="C175" i="17"/>
  <c r="B175" i="17"/>
  <c r="I174" i="17"/>
  <c r="J174" i="17" s="1"/>
  <c r="F174" i="17"/>
  <c r="D174" i="17"/>
  <c r="C174" i="17"/>
  <c r="B174" i="17"/>
  <c r="I173" i="17"/>
  <c r="J173" i="17" s="1"/>
  <c r="F173" i="17"/>
  <c r="D173" i="17"/>
  <c r="C173" i="17"/>
  <c r="B173" i="17"/>
  <c r="J172" i="17"/>
  <c r="I172" i="17"/>
  <c r="F172" i="17"/>
  <c r="D172" i="17"/>
  <c r="C172" i="17"/>
  <c r="B172" i="17"/>
  <c r="J171" i="17"/>
  <c r="I171" i="17"/>
  <c r="F171" i="17"/>
  <c r="D171" i="17"/>
  <c r="C171" i="17"/>
  <c r="B171" i="17"/>
  <c r="I170" i="17"/>
  <c r="J170" i="17" s="1"/>
  <c r="F170" i="17"/>
  <c r="D170" i="17"/>
  <c r="C170" i="17"/>
  <c r="B170" i="17"/>
  <c r="I169" i="17"/>
  <c r="J169" i="17" s="1"/>
  <c r="F169" i="17"/>
  <c r="D169" i="17"/>
  <c r="C169" i="17"/>
  <c r="B169" i="17"/>
  <c r="J168" i="17"/>
  <c r="I168" i="17"/>
  <c r="F168" i="17"/>
  <c r="D168" i="17"/>
  <c r="C168" i="17"/>
  <c r="B168" i="17"/>
  <c r="J167" i="17"/>
  <c r="I167" i="17"/>
  <c r="F167" i="17"/>
  <c r="D167" i="17"/>
  <c r="C167" i="17"/>
  <c r="B167" i="17"/>
  <c r="I166" i="17"/>
  <c r="J166" i="17" s="1"/>
  <c r="F166" i="17"/>
  <c r="D166" i="17"/>
  <c r="C166" i="17"/>
  <c r="B166" i="17"/>
  <c r="I165" i="17"/>
  <c r="J165" i="17" s="1"/>
  <c r="F165" i="17"/>
  <c r="D165" i="17"/>
  <c r="C165" i="17"/>
  <c r="B165" i="17"/>
  <c r="J164" i="17"/>
  <c r="I164" i="17"/>
  <c r="F164" i="17"/>
  <c r="D164" i="17"/>
  <c r="C164" i="17"/>
  <c r="B164" i="17"/>
  <c r="J163" i="17"/>
  <c r="I163" i="17"/>
  <c r="F163" i="17"/>
  <c r="D163" i="17"/>
  <c r="C163" i="17"/>
  <c r="B163" i="17"/>
  <c r="I162" i="17"/>
  <c r="J162" i="17" s="1"/>
  <c r="F162" i="17"/>
  <c r="D162" i="17"/>
  <c r="C162" i="17"/>
  <c r="B162" i="17"/>
  <c r="I161" i="17"/>
  <c r="J161" i="17" s="1"/>
  <c r="F161" i="17"/>
  <c r="D161" i="17"/>
  <c r="C161" i="17"/>
  <c r="B161" i="17"/>
  <c r="J160" i="17"/>
  <c r="I160" i="17"/>
  <c r="F160" i="17"/>
  <c r="D160" i="17"/>
  <c r="C160" i="17"/>
  <c r="B160" i="17"/>
  <c r="J159" i="17"/>
  <c r="I159" i="17"/>
  <c r="F159" i="17"/>
  <c r="D159" i="17"/>
  <c r="C159" i="17"/>
  <c r="B159" i="17"/>
  <c r="I158" i="17"/>
  <c r="J158" i="17" s="1"/>
  <c r="F158" i="17"/>
  <c r="D158" i="17"/>
  <c r="C158" i="17"/>
  <c r="B158" i="17"/>
  <c r="I157" i="17"/>
  <c r="J157" i="17" s="1"/>
  <c r="F157" i="17"/>
  <c r="D157" i="17"/>
  <c r="C157" i="17"/>
  <c r="B157" i="17"/>
  <c r="J156" i="17"/>
  <c r="I156" i="17"/>
  <c r="F156" i="17"/>
  <c r="D156" i="17"/>
  <c r="C156" i="17"/>
  <c r="B156" i="17"/>
  <c r="J155" i="17"/>
  <c r="I155" i="17"/>
  <c r="F155" i="17"/>
  <c r="D155" i="17"/>
  <c r="C155" i="17"/>
  <c r="B155" i="17"/>
  <c r="I154" i="17"/>
  <c r="J154" i="17" s="1"/>
  <c r="F154" i="17"/>
  <c r="D154" i="17"/>
  <c r="C154" i="17"/>
  <c r="B154" i="17"/>
  <c r="I153" i="17"/>
  <c r="J153" i="17" s="1"/>
  <c r="F153" i="17"/>
  <c r="D153" i="17"/>
  <c r="C153" i="17"/>
  <c r="B153" i="17"/>
  <c r="J152" i="17"/>
  <c r="I152" i="17"/>
  <c r="F152" i="17"/>
  <c r="D152" i="17"/>
  <c r="C152" i="17"/>
  <c r="B152" i="17"/>
  <c r="J151" i="17"/>
  <c r="I151" i="17"/>
  <c r="F151" i="17"/>
  <c r="D151" i="17"/>
  <c r="C151" i="17"/>
  <c r="B151" i="17"/>
  <c r="I150" i="17"/>
  <c r="J150" i="17" s="1"/>
  <c r="F150" i="17"/>
  <c r="D150" i="17"/>
  <c r="C150" i="17"/>
  <c r="B150" i="17"/>
  <c r="I149" i="17"/>
  <c r="J149" i="17" s="1"/>
  <c r="F149" i="17"/>
  <c r="D149" i="17"/>
  <c r="C149" i="17"/>
  <c r="B149" i="17"/>
  <c r="J148" i="17"/>
  <c r="I148" i="17"/>
  <c r="F148" i="17"/>
  <c r="D148" i="17"/>
  <c r="C148" i="17"/>
  <c r="B148" i="17"/>
  <c r="J147" i="17"/>
  <c r="I147" i="17"/>
  <c r="F147" i="17"/>
  <c r="D147" i="17"/>
  <c r="C147" i="17"/>
  <c r="B147" i="17"/>
  <c r="I146" i="17"/>
  <c r="J146" i="17" s="1"/>
  <c r="F146" i="17"/>
  <c r="D146" i="17"/>
  <c r="C146" i="17"/>
  <c r="B146" i="17"/>
  <c r="I145" i="17"/>
  <c r="J145" i="17" s="1"/>
  <c r="F145" i="17"/>
  <c r="D145" i="17"/>
  <c r="C145" i="17"/>
  <c r="B145" i="17"/>
  <c r="J144" i="17"/>
  <c r="I144" i="17"/>
  <c r="F144" i="17"/>
  <c r="D144" i="17"/>
  <c r="C144" i="17"/>
  <c r="B144" i="17"/>
  <c r="J143" i="17"/>
  <c r="I143" i="17"/>
  <c r="F143" i="17"/>
  <c r="D143" i="17"/>
  <c r="C143" i="17"/>
  <c r="B143" i="17"/>
  <c r="I142" i="17"/>
  <c r="J142" i="17" s="1"/>
  <c r="F142" i="17"/>
  <c r="D142" i="17"/>
  <c r="C142" i="17"/>
  <c r="B142" i="17"/>
  <c r="I141" i="17"/>
  <c r="J141" i="17" s="1"/>
  <c r="F141" i="17"/>
  <c r="D141" i="17"/>
  <c r="C141" i="17"/>
  <c r="B141" i="17"/>
  <c r="J140" i="17"/>
  <c r="I140" i="17"/>
  <c r="F140" i="17"/>
  <c r="D140" i="17"/>
  <c r="C140" i="17"/>
  <c r="B140" i="17"/>
  <c r="J139" i="17"/>
  <c r="I139" i="17"/>
  <c r="F139" i="17"/>
  <c r="D139" i="17"/>
  <c r="C139" i="17"/>
  <c r="B139" i="17"/>
  <c r="I138" i="17"/>
  <c r="J138" i="17" s="1"/>
  <c r="F138" i="17"/>
  <c r="D138" i="17"/>
  <c r="C138" i="17"/>
  <c r="B138" i="17"/>
  <c r="I137" i="17"/>
  <c r="J137" i="17" s="1"/>
  <c r="F137" i="17"/>
  <c r="D137" i="17"/>
  <c r="C137" i="17"/>
  <c r="B137" i="17"/>
  <c r="J136" i="17"/>
  <c r="I136" i="17"/>
  <c r="F136" i="17"/>
  <c r="D136" i="17"/>
  <c r="C136" i="17"/>
  <c r="B136" i="17"/>
  <c r="J135" i="17"/>
  <c r="I135" i="17"/>
  <c r="F135" i="17"/>
  <c r="D135" i="17"/>
  <c r="C135" i="17"/>
  <c r="B135" i="17"/>
  <c r="I134" i="17"/>
  <c r="J134" i="17" s="1"/>
  <c r="F134" i="17"/>
  <c r="D134" i="17"/>
  <c r="C134" i="17"/>
  <c r="B134" i="17"/>
  <c r="I133" i="17"/>
  <c r="J133" i="17" s="1"/>
  <c r="F133" i="17"/>
  <c r="D133" i="17"/>
  <c r="C133" i="17"/>
  <c r="B133" i="17"/>
  <c r="J132" i="17"/>
  <c r="I132" i="17"/>
  <c r="F132" i="17"/>
  <c r="D132" i="17"/>
  <c r="C132" i="17"/>
  <c r="B132" i="17"/>
  <c r="J131" i="17"/>
  <c r="I131" i="17"/>
  <c r="F131" i="17"/>
  <c r="D131" i="17"/>
  <c r="C131" i="17"/>
  <c r="B131" i="17"/>
  <c r="I130" i="17"/>
  <c r="J130" i="17" s="1"/>
  <c r="F130" i="17"/>
  <c r="D130" i="17"/>
  <c r="C130" i="17"/>
  <c r="B130" i="17"/>
  <c r="I129" i="17"/>
  <c r="J129" i="17" s="1"/>
  <c r="F129" i="17"/>
  <c r="D129" i="17"/>
  <c r="C129" i="17"/>
  <c r="B129" i="17"/>
  <c r="J128" i="17"/>
  <c r="I128" i="17"/>
  <c r="F128" i="17"/>
  <c r="D128" i="17"/>
  <c r="C128" i="17"/>
  <c r="B128" i="17"/>
  <c r="J127" i="17"/>
  <c r="I127" i="17"/>
  <c r="F127" i="17"/>
  <c r="D127" i="17"/>
  <c r="C127" i="17"/>
  <c r="B127" i="17"/>
  <c r="I126" i="17"/>
  <c r="J126" i="17" s="1"/>
  <c r="F126" i="17"/>
  <c r="D126" i="17"/>
  <c r="C126" i="17"/>
  <c r="B126" i="17"/>
  <c r="I125" i="17"/>
  <c r="J125" i="17" s="1"/>
  <c r="F125" i="17"/>
  <c r="D125" i="17"/>
  <c r="C125" i="17"/>
  <c r="B125" i="17"/>
  <c r="J124" i="17"/>
  <c r="I124" i="17"/>
  <c r="F124" i="17"/>
  <c r="D124" i="17"/>
  <c r="C124" i="17"/>
  <c r="B124" i="17"/>
  <c r="J123" i="17"/>
  <c r="I123" i="17"/>
  <c r="F123" i="17"/>
  <c r="D123" i="17"/>
  <c r="C123" i="17"/>
  <c r="B123" i="17"/>
  <c r="I122" i="17"/>
  <c r="J122" i="17" s="1"/>
  <c r="F122" i="17"/>
  <c r="D122" i="17"/>
  <c r="C122" i="17"/>
  <c r="B122" i="17"/>
  <c r="I121" i="17"/>
  <c r="J121" i="17" s="1"/>
  <c r="F121" i="17"/>
  <c r="D121" i="17"/>
  <c r="C121" i="17"/>
  <c r="B121" i="17"/>
  <c r="J120" i="17"/>
  <c r="I120" i="17"/>
  <c r="F120" i="17"/>
  <c r="D120" i="17"/>
  <c r="C120" i="17"/>
  <c r="B120" i="17"/>
  <c r="J119" i="17"/>
  <c r="I119" i="17"/>
  <c r="F119" i="17"/>
  <c r="D119" i="17"/>
  <c r="C119" i="17"/>
  <c r="B119" i="17"/>
  <c r="I118" i="17"/>
  <c r="J118" i="17" s="1"/>
  <c r="F118" i="17"/>
  <c r="D118" i="17"/>
  <c r="C118" i="17"/>
  <c r="B118" i="17"/>
  <c r="I117" i="17"/>
  <c r="J117" i="17" s="1"/>
  <c r="F117" i="17"/>
  <c r="D117" i="17"/>
  <c r="C117" i="17"/>
  <c r="B117" i="17"/>
  <c r="J116" i="17"/>
  <c r="I116" i="17"/>
  <c r="F116" i="17"/>
  <c r="D116" i="17"/>
  <c r="C116" i="17"/>
  <c r="B116" i="17"/>
  <c r="J115" i="17"/>
  <c r="I115" i="17"/>
  <c r="F115" i="17"/>
  <c r="D115" i="17"/>
  <c r="C115" i="17"/>
  <c r="B115" i="17"/>
  <c r="I114" i="17"/>
  <c r="J114" i="17" s="1"/>
  <c r="F114" i="17"/>
  <c r="D114" i="17"/>
  <c r="C114" i="17"/>
  <c r="B114" i="17"/>
  <c r="I113" i="17"/>
  <c r="J113" i="17" s="1"/>
  <c r="F113" i="17"/>
  <c r="D113" i="17"/>
  <c r="C113" i="17"/>
  <c r="B113" i="17"/>
  <c r="J112" i="17"/>
  <c r="I112" i="17"/>
  <c r="F112" i="17"/>
  <c r="D112" i="17"/>
  <c r="C112" i="17"/>
  <c r="B112" i="17"/>
  <c r="J111" i="17"/>
  <c r="I111" i="17"/>
  <c r="F111" i="17"/>
  <c r="D111" i="17"/>
  <c r="C111" i="17"/>
  <c r="B111" i="17"/>
  <c r="I110" i="17"/>
  <c r="J110" i="17" s="1"/>
  <c r="F110" i="17"/>
  <c r="D110" i="17"/>
  <c r="C110" i="17"/>
  <c r="B110" i="17"/>
  <c r="I109" i="17"/>
  <c r="J109" i="17" s="1"/>
  <c r="F109" i="17"/>
  <c r="D109" i="17"/>
  <c r="C109" i="17"/>
  <c r="B109" i="17"/>
  <c r="J108" i="17"/>
  <c r="I108" i="17"/>
  <c r="F108" i="17"/>
  <c r="D108" i="17"/>
  <c r="C108" i="17"/>
  <c r="B108" i="17"/>
  <c r="J107" i="17"/>
  <c r="I107" i="17"/>
  <c r="F107" i="17"/>
  <c r="D107" i="17"/>
  <c r="C107" i="17"/>
  <c r="B107" i="17"/>
  <c r="I106" i="17"/>
  <c r="J106" i="17" s="1"/>
  <c r="F106" i="17"/>
  <c r="D106" i="17"/>
  <c r="C106" i="17"/>
  <c r="B106" i="17"/>
  <c r="I105" i="17"/>
  <c r="J105" i="17" s="1"/>
  <c r="F105" i="17"/>
  <c r="D105" i="17"/>
  <c r="C105" i="17"/>
  <c r="B105" i="17"/>
  <c r="J104" i="17"/>
  <c r="I104" i="17"/>
  <c r="F104" i="17"/>
  <c r="D104" i="17"/>
  <c r="C104" i="17"/>
  <c r="B104" i="17"/>
  <c r="J103" i="17"/>
  <c r="I103" i="17"/>
  <c r="F103" i="17"/>
  <c r="D103" i="17"/>
  <c r="C103" i="17"/>
  <c r="B103" i="17"/>
  <c r="I102" i="17"/>
  <c r="J102" i="17" s="1"/>
  <c r="F102" i="17"/>
  <c r="D102" i="17"/>
  <c r="C102" i="17"/>
  <c r="B102" i="17"/>
  <c r="I101" i="17"/>
  <c r="J101" i="17" s="1"/>
  <c r="F101" i="17"/>
  <c r="D101" i="17"/>
  <c r="C101" i="17"/>
  <c r="B101" i="17"/>
  <c r="J100" i="17"/>
  <c r="I100" i="17"/>
  <c r="F100" i="17"/>
  <c r="D100" i="17"/>
  <c r="C100" i="17"/>
  <c r="B100" i="17"/>
  <c r="J99" i="17"/>
  <c r="I99" i="17"/>
  <c r="F99" i="17"/>
  <c r="D99" i="17"/>
  <c r="C99" i="17"/>
  <c r="B99" i="17"/>
  <c r="I98" i="17"/>
  <c r="J98" i="17" s="1"/>
  <c r="F98" i="17"/>
  <c r="D98" i="17"/>
  <c r="C98" i="17"/>
  <c r="B98" i="17"/>
  <c r="I97" i="17"/>
  <c r="J97" i="17" s="1"/>
  <c r="F97" i="17"/>
  <c r="D97" i="17"/>
  <c r="C97" i="17"/>
  <c r="B97" i="17"/>
  <c r="J96" i="17"/>
  <c r="I96" i="17"/>
  <c r="F96" i="17"/>
  <c r="D96" i="17"/>
  <c r="C96" i="17"/>
  <c r="B96" i="17"/>
  <c r="J95" i="17"/>
  <c r="I95" i="17"/>
  <c r="F95" i="17"/>
  <c r="D95" i="17"/>
  <c r="C95" i="17"/>
  <c r="B95" i="17"/>
  <c r="I94" i="17"/>
  <c r="J94" i="17" s="1"/>
  <c r="F94" i="17"/>
  <c r="D94" i="17"/>
  <c r="C94" i="17"/>
  <c r="B94" i="17"/>
  <c r="I93" i="17"/>
  <c r="J93" i="17" s="1"/>
  <c r="F93" i="17"/>
  <c r="D93" i="17"/>
  <c r="C93" i="17"/>
  <c r="B93" i="17"/>
  <c r="J92" i="17"/>
  <c r="I92" i="17"/>
  <c r="F92" i="17"/>
  <c r="D92" i="17"/>
  <c r="C92" i="17"/>
  <c r="B92" i="17"/>
  <c r="J91" i="17"/>
  <c r="I91" i="17"/>
  <c r="F91" i="17"/>
  <c r="D91" i="17"/>
  <c r="C91" i="17"/>
  <c r="B91" i="17"/>
  <c r="I90" i="17"/>
  <c r="J90" i="17" s="1"/>
  <c r="F90" i="17"/>
  <c r="D90" i="17"/>
  <c r="C90" i="17"/>
  <c r="B90" i="17"/>
  <c r="I89" i="17"/>
  <c r="J89" i="17" s="1"/>
  <c r="F89" i="17"/>
  <c r="D89" i="17"/>
  <c r="C89" i="17"/>
  <c r="B89" i="17"/>
  <c r="J88" i="17"/>
  <c r="I88" i="17"/>
  <c r="F88" i="17"/>
  <c r="D88" i="17"/>
  <c r="C88" i="17"/>
  <c r="B88" i="17"/>
  <c r="J87" i="17"/>
  <c r="I87" i="17"/>
  <c r="F87" i="17"/>
  <c r="D87" i="17"/>
  <c r="C87" i="17"/>
  <c r="B87" i="17"/>
  <c r="I86" i="17"/>
  <c r="J86" i="17" s="1"/>
  <c r="F86" i="17"/>
  <c r="D86" i="17"/>
  <c r="C86" i="17"/>
  <c r="B86" i="17"/>
  <c r="I85" i="17"/>
  <c r="J85" i="17" s="1"/>
  <c r="F85" i="17"/>
  <c r="D85" i="17"/>
  <c r="C85" i="17"/>
  <c r="B85" i="17"/>
  <c r="J84" i="17"/>
  <c r="I84" i="17"/>
  <c r="F84" i="17"/>
  <c r="D84" i="17"/>
  <c r="C84" i="17"/>
  <c r="B84" i="17"/>
  <c r="J83" i="17"/>
  <c r="I83" i="17"/>
  <c r="F83" i="17"/>
  <c r="D83" i="17"/>
  <c r="C83" i="17"/>
  <c r="B83" i="17"/>
  <c r="I82" i="17"/>
  <c r="J82" i="17" s="1"/>
  <c r="F82" i="17"/>
  <c r="D82" i="17"/>
  <c r="C82" i="17"/>
  <c r="B82" i="17"/>
  <c r="I81" i="17"/>
  <c r="J81" i="17" s="1"/>
  <c r="F81" i="17"/>
  <c r="D81" i="17"/>
  <c r="C81" i="17"/>
  <c r="B81" i="17"/>
  <c r="J80" i="17"/>
  <c r="I80" i="17"/>
  <c r="F80" i="17"/>
  <c r="D80" i="17"/>
  <c r="C80" i="17"/>
  <c r="B80" i="17"/>
  <c r="J79" i="17"/>
  <c r="I79" i="17"/>
  <c r="F79" i="17"/>
  <c r="D79" i="17"/>
  <c r="C79" i="17"/>
  <c r="B79" i="17"/>
  <c r="I78" i="17"/>
  <c r="J78" i="17" s="1"/>
  <c r="F78" i="17"/>
  <c r="D78" i="17"/>
  <c r="C78" i="17"/>
  <c r="B78" i="17"/>
  <c r="I77" i="17"/>
  <c r="J77" i="17" s="1"/>
  <c r="F77" i="17"/>
  <c r="D77" i="17"/>
  <c r="C77" i="17"/>
  <c r="B77" i="17"/>
  <c r="J76" i="17"/>
  <c r="I76" i="17"/>
  <c r="F76" i="17"/>
  <c r="D76" i="17"/>
  <c r="C76" i="17"/>
  <c r="B76" i="17"/>
  <c r="J75" i="17"/>
  <c r="I75" i="17"/>
  <c r="F75" i="17"/>
  <c r="D75" i="17"/>
  <c r="C75" i="17"/>
  <c r="B75" i="17"/>
  <c r="I74" i="17"/>
  <c r="J74" i="17" s="1"/>
  <c r="F74" i="17"/>
  <c r="D74" i="17"/>
  <c r="C74" i="17"/>
  <c r="B74" i="17"/>
  <c r="I73" i="17"/>
  <c r="J73" i="17" s="1"/>
  <c r="F73" i="17"/>
  <c r="D73" i="17"/>
  <c r="C73" i="17"/>
  <c r="B73" i="17"/>
  <c r="J72" i="17"/>
  <c r="I72" i="17"/>
  <c r="F72" i="17"/>
  <c r="D72" i="17"/>
  <c r="C72" i="17"/>
  <c r="B72" i="17"/>
  <c r="J71" i="17"/>
  <c r="I71" i="17"/>
  <c r="F71" i="17"/>
  <c r="D71" i="17"/>
  <c r="C71" i="17"/>
  <c r="B71" i="17"/>
  <c r="I70" i="17"/>
  <c r="J70" i="17" s="1"/>
  <c r="F70" i="17"/>
  <c r="D70" i="17"/>
  <c r="C70" i="17"/>
  <c r="B70" i="17"/>
  <c r="I69" i="17"/>
  <c r="J69" i="17" s="1"/>
  <c r="F69" i="17"/>
  <c r="D69" i="17"/>
  <c r="C69" i="17"/>
  <c r="B69" i="17"/>
  <c r="J68" i="17"/>
  <c r="I68" i="17"/>
  <c r="F68" i="17"/>
  <c r="D68" i="17"/>
  <c r="C68" i="17"/>
  <c r="B68" i="17"/>
  <c r="J67" i="17"/>
  <c r="I67" i="17"/>
  <c r="F67" i="17"/>
  <c r="D67" i="17"/>
  <c r="C67" i="17"/>
  <c r="B67" i="17"/>
  <c r="I66" i="17"/>
  <c r="J66" i="17" s="1"/>
  <c r="F66" i="17"/>
  <c r="D66" i="17"/>
  <c r="C66" i="17"/>
  <c r="B66" i="17"/>
  <c r="I65" i="17"/>
  <c r="J65" i="17" s="1"/>
  <c r="F65" i="17"/>
  <c r="D65" i="17"/>
  <c r="C65" i="17"/>
  <c r="B65" i="17"/>
  <c r="J64" i="17"/>
  <c r="I64" i="17"/>
  <c r="F64" i="17"/>
  <c r="D64" i="17"/>
  <c r="C64" i="17"/>
  <c r="B64" i="17"/>
  <c r="J63" i="17"/>
  <c r="I63" i="17"/>
  <c r="F63" i="17"/>
  <c r="D63" i="17"/>
  <c r="C63" i="17"/>
  <c r="B63" i="17"/>
  <c r="I62" i="17"/>
  <c r="J62" i="17" s="1"/>
  <c r="F62" i="17"/>
  <c r="D62" i="17"/>
  <c r="C62" i="17"/>
  <c r="B62" i="17"/>
  <c r="I61" i="17"/>
  <c r="J61" i="17" s="1"/>
  <c r="F61" i="17"/>
  <c r="D61" i="17"/>
  <c r="C61" i="17"/>
  <c r="B61" i="17"/>
  <c r="J60" i="17"/>
  <c r="I60" i="17"/>
  <c r="F60" i="17"/>
  <c r="D60" i="17"/>
  <c r="C60" i="17"/>
  <c r="B60" i="17"/>
  <c r="J59" i="17"/>
  <c r="I59" i="17"/>
  <c r="F59" i="17"/>
  <c r="D59" i="17"/>
  <c r="C59" i="17"/>
  <c r="B59" i="17"/>
  <c r="I58" i="17"/>
  <c r="J58" i="17" s="1"/>
  <c r="F58" i="17"/>
  <c r="D58" i="17"/>
  <c r="C58" i="17"/>
  <c r="B58" i="17"/>
  <c r="I57" i="17"/>
  <c r="J57" i="17" s="1"/>
  <c r="F57" i="17"/>
  <c r="D57" i="17"/>
  <c r="C57" i="17"/>
  <c r="B57" i="17"/>
  <c r="J56" i="17"/>
  <c r="I56" i="17"/>
  <c r="F56" i="17"/>
  <c r="D56" i="17"/>
  <c r="C56" i="17"/>
  <c r="B56" i="17"/>
  <c r="J55" i="17"/>
  <c r="I55" i="17"/>
  <c r="F55" i="17"/>
  <c r="D55" i="17"/>
  <c r="C55" i="17"/>
  <c r="B55" i="17"/>
  <c r="I54" i="17"/>
  <c r="J54" i="17" s="1"/>
  <c r="F54" i="17"/>
  <c r="D54" i="17"/>
  <c r="C54" i="17"/>
  <c r="B54" i="17"/>
  <c r="I53" i="17"/>
  <c r="J53" i="17" s="1"/>
  <c r="F53" i="17"/>
  <c r="D53" i="17"/>
  <c r="C53" i="17"/>
  <c r="B53" i="17"/>
  <c r="J52" i="17"/>
  <c r="I52" i="17"/>
  <c r="F52" i="17"/>
  <c r="D52" i="17"/>
  <c r="C52" i="17"/>
  <c r="B52" i="17"/>
  <c r="J51" i="17"/>
  <c r="I51" i="17"/>
  <c r="F51" i="17"/>
  <c r="D51" i="17"/>
  <c r="C51" i="17"/>
  <c r="B51" i="17"/>
  <c r="I50" i="17"/>
  <c r="J50" i="17" s="1"/>
  <c r="F50" i="17"/>
  <c r="D50" i="17"/>
  <c r="C50" i="17"/>
  <c r="B50" i="17"/>
  <c r="I49" i="17"/>
  <c r="J49" i="17" s="1"/>
  <c r="F49" i="17"/>
  <c r="D49" i="17"/>
  <c r="C49" i="17"/>
  <c r="B49" i="17"/>
  <c r="J48" i="17"/>
  <c r="I48" i="17"/>
  <c r="F48" i="17"/>
  <c r="D48" i="17"/>
  <c r="C48" i="17"/>
  <c r="B48" i="17"/>
  <c r="J47" i="17"/>
  <c r="I47" i="17"/>
  <c r="F47" i="17"/>
  <c r="D47" i="17"/>
  <c r="C47" i="17"/>
  <c r="B47" i="17"/>
  <c r="I46" i="17"/>
  <c r="J46" i="17" s="1"/>
  <c r="F46" i="17"/>
  <c r="D46" i="17"/>
  <c r="C46" i="17"/>
  <c r="B46" i="17"/>
  <c r="I45" i="17"/>
  <c r="J45" i="17" s="1"/>
  <c r="F45" i="17"/>
  <c r="D45" i="17"/>
  <c r="C45" i="17"/>
  <c r="B45" i="17"/>
  <c r="J44" i="17"/>
  <c r="I44" i="17"/>
  <c r="F44" i="17"/>
  <c r="D44" i="17"/>
  <c r="C44" i="17"/>
  <c r="B44" i="17"/>
  <c r="J43" i="17"/>
  <c r="I43" i="17"/>
  <c r="F43" i="17"/>
  <c r="D43" i="17"/>
  <c r="C43" i="17"/>
  <c r="B43" i="17"/>
  <c r="I42" i="17"/>
  <c r="J42" i="17" s="1"/>
  <c r="F42" i="17"/>
  <c r="D42" i="17"/>
  <c r="C42" i="17"/>
  <c r="B42" i="17"/>
  <c r="I41" i="17"/>
  <c r="J41" i="17" s="1"/>
  <c r="F41" i="17"/>
  <c r="D41" i="17"/>
  <c r="C41" i="17"/>
  <c r="B41" i="17"/>
  <c r="J40" i="17"/>
  <c r="I40" i="17"/>
  <c r="F40" i="17"/>
  <c r="D40" i="17"/>
  <c r="C40" i="17"/>
  <c r="B40" i="17"/>
  <c r="J39" i="17"/>
  <c r="I39" i="17"/>
  <c r="F39" i="17"/>
  <c r="D39" i="17"/>
  <c r="C39" i="17"/>
  <c r="B39" i="17"/>
  <c r="I38" i="17"/>
  <c r="J38" i="17" s="1"/>
  <c r="F38" i="17"/>
  <c r="D38" i="17"/>
  <c r="C38" i="17"/>
  <c r="B38" i="17"/>
  <c r="I37" i="17"/>
  <c r="J37" i="17" s="1"/>
  <c r="F37" i="17"/>
  <c r="D37" i="17"/>
  <c r="C37" i="17"/>
  <c r="B37" i="17"/>
  <c r="J36" i="17"/>
  <c r="I36" i="17"/>
  <c r="F36" i="17"/>
  <c r="D36" i="17"/>
  <c r="C36" i="17"/>
  <c r="B36" i="17"/>
  <c r="J35" i="17"/>
  <c r="I35" i="17"/>
  <c r="F35" i="17"/>
  <c r="D35" i="17"/>
  <c r="C35" i="17"/>
  <c r="B35" i="17"/>
  <c r="I34" i="17"/>
  <c r="J34" i="17" s="1"/>
  <c r="F34" i="17"/>
  <c r="D34" i="17"/>
  <c r="C34" i="17"/>
  <c r="B34" i="17"/>
  <c r="I33" i="17"/>
  <c r="J33" i="17" s="1"/>
  <c r="F33" i="17"/>
  <c r="D33" i="17"/>
  <c r="C33" i="17"/>
  <c r="B33" i="17"/>
  <c r="J32" i="17"/>
  <c r="I32" i="17"/>
  <c r="F32" i="17"/>
  <c r="D32" i="17"/>
  <c r="C32" i="17"/>
  <c r="B32" i="17"/>
  <c r="J31" i="17"/>
  <c r="I31" i="17"/>
  <c r="F31" i="17"/>
  <c r="D31" i="17"/>
  <c r="C31" i="17"/>
  <c r="B31" i="17"/>
  <c r="I30" i="17"/>
  <c r="J30" i="17" s="1"/>
  <c r="F30" i="17"/>
  <c r="D30" i="17"/>
  <c r="C30" i="17"/>
  <c r="B30" i="17"/>
  <c r="I29" i="17"/>
  <c r="J29" i="17" s="1"/>
  <c r="F29" i="17"/>
  <c r="D29" i="17"/>
  <c r="C29" i="17"/>
  <c r="B29" i="17"/>
  <c r="J28" i="17"/>
  <c r="I28" i="17"/>
  <c r="F28" i="17"/>
  <c r="D28" i="17"/>
  <c r="C28" i="17"/>
  <c r="B28" i="17"/>
  <c r="J27" i="17"/>
  <c r="I27" i="17"/>
  <c r="F27" i="17"/>
  <c r="D27" i="17"/>
  <c r="C27" i="17"/>
  <c r="B27" i="17"/>
  <c r="I26" i="17"/>
  <c r="J26" i="17" s="1"/>
  <c r="F26" i="17"/>
  <c r="D26" i="17"/>
  <c r="C26" i="17"/>
  <c r="B26" i="17"/>
  <c r="I25" i="17"/>
  <c r="J25" i="17" s="1"/>
  <c r="F25" i="17"/>
  <c r="D25" i="17"/>
  <c r="C25" i="17"/>
  <c r="B25" i="17"/>
  <c r="J24" i="17"/>
  <c r="I24" i="17"/>
  <c r="F24" i="17"/>
  <c r="D24" i="17"/>
  <c r="C24" i="17"/>
  <c r="B24" i="17"/>
  <c r="J23" i="17"/>
  <c r="I23" i="17"/>
  <c r="F23" i="17"/>
  <c r="D23" i="17"/>
  <c r="C23" i="17"/>
  <c r="B23" i="17"/>
  <c r="I22" i="17"/>
  <c r="J22" i="17" s="1"/>
  <c r="F22" i="17"/>
  <c r="D22" i="17"/>
  <c r="C22" i="17"/>
  <c r="B22" i="17"/>
  <c r="I21" i="17"/>
  <c r="J21" i="17" s="1"/>
  <c r="F21" i="17"/>
  <c r="D21" i="17"/>
  <c r="C21" i="17"/>
  <c r="B21" i="17"/>
  <c r="J20" i="17"/>
  <c r="I20" i="17"/>
  <c r="F20" i="17"/>
  <c r="D20" i="17"/>
  <c r="C20" i="17"/>
  <c r="B20" i="17"/>
  <c r="J19" i="17"/>
  <c r="I19" i="17"/>
  <c r="F19" i="17"/>
  <c r="D19" i="17"/>
  <c r="C19" i="17"/>
  <c r="B19" i="17"/>
  <c r="I18" i="17"/>
  <c r="J18" i="17" s="1"/>
  <c r="F18" i="17"/>
  <c r="D18" i="17"/>
  <c r="C18" i="17"/>
  <c r="B18" i="17"/>
  <c r="I17" i="17"/>
  <c r="J17" i="17" s="1"/>
  <c r="F17" i="17"/>
  <c r="D17" i="17"/>
  <c r="C17" i="17"/>
  <c r="B17" i="17"/>
  <c r="J16" i="17"/>
  <c r="I16" i="17"/>
  <c r="F16" i="17"/>
  <c r="D16" i="17"/>
  <c r="C16" i="17"/>
  <c r="B16" i="17"/>
  <c r="J15" i="17"/>
  <c r="I15" i="17"/>
  <c r="F15" i="17"/>
  <c r="D15" i="17"/>
  <c r="C15" i="17"/>
  <c r="B15" i="17"/>
  <c r="I14" i="17"/>
  <c r="J14" i="17" s="1"/>
  <c r="F14" i="17"/>
  <c r="D14" i="17"/>
  <c r="C14" i="17"/>
  <c r="B14" i="17"/>
  <c r="I13" i="17"/>
  <c r="J13" i="17" s="1"/>
  <c r="F13" i="17"/>
  <c r="D13" i="17"/>
  <c r="C13" i="17"/>
  <c r="B13" i="17"/>
  <c r="J12" i="17"/>
  <c r="I12" i="17"/>
  <c r="F12" i="17"/>
  <c r="D12" i="17"/>
  <c r="C12" i="17"/>
  <c r="B12" i="17"/>
  <c r="J11" i="17"/>
  <c r="I11" i="17"/>
  <c r="F11" i="17"/>
  <c r="D11" i="17"/>
  <c r="C11" i="17"/>
  <c r="B11" i="17"/>
  <c r="I10" i="17"/>
  <c r="J10" i="17" s="1"/>
  <c r="F10" i="17"/>
  <c r="D10" i="17"/>
  <c r="C10" i="17"/>
  <c r="B10" i="17"/>
  <c r="I9" i="17"/>
  <c r="J9" i="17" s="1"/>
  <c r="F9" i="17"/>
  <c r="D9" i="17"/>
  <c r="C9" i="17"/>
  <c r="B9" i="17"/>
  <c r="A5" i="17"/>
  <c r="G4" i="17"/>
  <c r="D4" i="17"/>
  <c r="A4" i="17"/>
  <c r="K213" i="16"/>
  <c r="K212" i="16"/>
  <c r="K211" i="16"/>
  <c r="K210" i="16"/>
  <c r="K209" i="16"/>
  <c r="K208" i="16"/>
  <c r="K207" i="16"/>
  <c r="K206" i="16"/>
  <c r="K205" i="16"/>
  <c r="K204" i="16"/>
  <c r="K203" i="16"/>
  <c r="K202" i="16"/>
  <c r="K201" i="16"/>
  <c r="K200" i="16"/>
  <c r="K199" i="16"/>
  <c r="K198" i="16"/>
  <c r="K197" i="16"/>
  <c r="K196" i="16"/>
  <c r="K195" i="16"/>
  <c r="K194" i="16"/>
  <c r="K193" i="16"/>
  <c r="K192" i="16"/>
  <c r="K191" i="16"/>
  <c r="K190" i="16"/>
  <c r="K189" i="16"/>
  <c r="K188" i="16"/>
  <c r="K187" i="16"/>
  <c r="K186" i="16"/>
  <c r="K185" i="16"/>
  <c r="K184" i="16"/>
  <c r="K183" i="16"/>
  <c r="K182" i="16"/>
  <c r="K181" i="16"/>
  <c r="K180" i="16"/>
  <c r="K179" i="16"/>
  <c r="K178" i="16"/>
  <c r="K177" i="16"/>
  <c r="K176" i="16"/>
  <c r="K175" i="16"/>
  <c r="K174" i="16"/>
  <c r="K173" i="16"/>
  <c r="K172" i="16"/>
  <c r="K171" i="16"/>
  <c r="K170" i="16"/>
  <c r="K169" i="16"/>
  <c r="K168" i="16"/>
  <c r="K167" i="16"/>
  <c r="K166" i="16"/>
  <c r="K165" i="16"/>
  <c r="K164" i="16"/>
  <c r="K163" i="16"/>
  <c r="K162" i="16"/>
  <c r="K161" i="16"/>
  <c r="K160" i="16"/>
  <c r="K159" i="16"/>
  <c r="K158" i="16"/>
  <c r="K157" i="16"/>
  <c r="K156" i="16"/>
  <c r="K155" i="16"/>
  <c r="K154" i="16"/>
  <c r="K153" i="16"/>
  <c r="K152" i="16"/>
  <c r="K151" i="16"/>
  <c r="K150" i="16"/>
  <c r="K149" i="16"/>
  <c r="K148" i="16"/>
  <c r="K147" i="16"/>
  <c r="K146" i="16"/>
  <c r="K145" i="16"/>
  <c r="K144" i="16"/>
  <c r="K143" i="16"/>
  <c r="K142" i="16"/>
  <c r="K141" i="16"/>
  <c r="K140" i="16"/>
  <c r="K139" i="16"/>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I113" i="16"/>
  <c r="J113" i="16" s="1"/>
  <c r="D113" i="16"/>
  <c r="C113" i="16"/>
  <c r="A113" i="16"/>
  <c r="K112" i="16"/>
  <c r="I112" i="16"/>
  <c r="J112" i="16" s="1"/>
  <c r="D112" i="16"/>
  <c r="C112" i="16"/>
  <c r="A112" i="16"/>
  <c r="K111" i="16"/>
  <c r="I111" i="16"/>
  <c r="J111" i="16" s="1"/>
  <c r="D111" i="16"/>
  <c r="C111" i="16"/>
  <c r="A111" i="16"/>
  <c r="K110" i="16"/>
  <c r="J110" i="16"/>
  <c r="I110" i="16"/>
  <c r="D110" i="16"/>
  <c r="C110" i="16"/>
  <c r="A110" i="16"/>
  <c r="K109" i="16"/>
  <c r="I109" i="16"/>
  <c r="J109" i="16" s="1"/>
  <c r="D109" i="16"/>
  <c r="C109" i="16"/>
  <c r="A109" i="16"/>
  <c r="K108" i="16"/>
  <c r="I108" i="16"/>
  <c r="J108" i="16" s="1"/>
  <c r="D108" i="16"/>
  <c r="C108" i="16"/>
  <c r="A108" i="16"/>
  <c r="K107" i="16"/>
  <c r="J107" i="16"/>
  <c r="I107" i="16"/>
  <c r="D107" i="16"/>
  <c r="C107" i="16"/>
  <c r="A107" i="16"/>
  <c r="K106" i="16"/>
  <c r="J106" i="16"/>
  <c r="I106" i="16"/>
  <c r="D106" i="16"/>
  <c r="C106" i="16"/>
  <c r="A106" i="16"/>
  <c r="K105" i="16"/>
  <c r="I105" i="16"/>
  <c r="J105" i="16" s="1"/>
  <c r="D105" i="16"/>
  <c r="C105" i="16"/>
  <c r="A105" i="16"/>
  <c r="K104" i="16"/>
  <c r="I104" i="16"/>
  <c r="J104" i="16" s="1"/>
  <c r="D104" i="16"/>
  <c r="C104" i="16"/>
  <c r="A104" i="16"/>
  <c r="K103" i="16"/>
  <c r="J103" i="16"/>
  <c r="I103" i="16"/>
  <c r="D103" i="16"/>
  <c r="C103" i="16"/>
  <c r="A103" i="16"/>
  <c r="K102" i="16"/>
  <c r="J102" i="16"/>
  <c r="I102" i="16"/>
  <c r="D102" i="16"/>
  <c r="C102" i="16"/>
  <c r="A102" i="16"/>
  <c r="K101" i="16"/>
  <c r="I101" i="16"/>
  <c r="J101" i="16" s="1"/>
  <c r="D101" i="16"/>
  <c r="C101" i="16"/>
  <c r="A101" i="16"/>
  <c r="K100" i="16"/>
  <c r="I100" i="16"/>
  <c r="J100" i="16" s="1"/>
  <c r="D100" i="16"/>
  <c r="C100" i="16"/>
  <c r="A100" i="16"/>
  <c r="K99" i="16"/>
  <c r="J99" i="16"/>
  <c r="I99" i="16"/>
  <c r="D99" i="16"/>
  <c r="C99" i="16"/>
  <c r="A99" i="16"/>
  <c r="K98" i="16"/>
  <c r="J98" i="16"/>
  <c r="I98" i="16"/>
  <c r="D98" i="16"/>
  <c r="C98" i="16"/>
  <c r="A98" i="16"/>
  <c r="K97" i="16"/>
  <c r="I97" i="16"/>
  <c r="J97" i="16" s="1"/>
  <c r="D97" i="16"/>
  <c r="C97" i="16"/>
  <c r="A97" i="16"/>
  <c r="K96" i="16"/>
  <c r="I96" i="16"/>
  <c r="J96" i="16" s="1"/>
  <c r="D96" i="16"/>
  <c r="C96" i="16"/>
  <c r="A96" i="16"/>
  <c r="K95" i="16"/>
  <c r="I95" i="16"/>
  <c r="J95" i="16" s="1"/>
  <c r="D95" i="16"/>
  <c r="C95" i="16"/>
  <c r="A95" i="16"/>
  <c r="K94" i="16"/>
  <c r="J94" i="16"/>
  <c r="I94" i="16"/>
  <c r="D94" i="16"/>
  <c r="C94" i="16"/>
  <c r="A94" i="16"/>
  <c r="K93" i="16"/>
  <c r="I93" i="16"/>
  <c r="J93" i="16" s="1"/>
  <c r="D93" i="16"/>
  <c r="C93" i="16"/>
  <c r="A93" i="16"/>
  <c r="K92" i="16"/>
  <c r="I92" i="16"/>
  <c r="J92" i="16" s="1"/>
  <c r="D92" i="16"/>
  <c r="C92" i="16"/>
  <c r="A92" i="16"/>
  <c r="K91" i="16"/>
  <c r="J91" i="16"/>
  <c r="I91" i="16"/>
  <c r="D91" i="16"/>
  <c r="C91" i="16"/>
  <c r="A91" i="16"/>
  <c r="K90" i="16"/>
  <c r="J90" i="16"/>
  <c r="I90" i="16"/>
  <c r="D90" i="16"/>
  <c r="C90" i="16"/>
  <c r="A90" i="16"/>
  <c r="K89" i="16"/>
  <c r="I89" i="16"/>
  <c r="J89" i="16" s="1"/>
  <c r="D89" i="16"/>
  <c r="C89" i="16"/>
  <c r="A89" i="16"/>
  <c r="K88" i="16"/>
  <c r="I88" i="16"/>
  <c r="J88" i="16" s="1"/>
  <c r="D88" i="16"/>
  <c r="C88" i="16"/>
  <c r="A88" i="16"/>
  <c r="K87" i="16"/>
  <c r="J87" i="16"/>
  <c r="I87" i="16"/>
  <c r="D87" i="16"/>
  <c r="C87" i="16"/>
  <c r="A87" i="16"/>
  <c r="K86" i="16"/>
  <c r="J86" i="16"/>
  <c r="I86" i="16"/>
  <c r="D86" i="16"/>
  <c r="C86" i="16"/>
  <c r="A86" i="16"/>
  <c r="K85" i="16"/>
  <c r="I85" i="16"/>
  <c r="J85" i="16" s="1"/>
  <c r="D85" i="16"/>
  <c r="C85" i="16"/>
  <c r="A85" i="16"/>
  <c r="K84" i="16"/>
  <c r="I84" i="16"/>
  <c r="J84" i="16" s="1"/>
  <c r="D84" i="16"/>
  <c r="C84" i="16"/>
  <c r="A84" i="16"/>
  <c r="K83" i="16"/>
  <c r="J83" i="16"/>
  <c r="I83" i="16"/>
  <c r="D83" i="16"/>
  <c r="C83" i="16"/>
  <c r="A83" i="16"/>
  <c r="K82" i="16"/>
  <c r="J82" i="16"/>
  <c r="I82" i="16"/>
  <c r="D82" i="16"/>
  <c r="C82" i="16"/>
  <c r="A82" i="16"/>
  <c r="K81" i="16"/>
  <c r="I81" i="16"/>
  <c r="J81" i="16" s="1"/>
  <c r="D81" i="16"/>
  <c r="C81" i="16"/>
  <c r="A81" i="16"/>
  <c r="K80" i="16"/>
  <c r="I80" i="16"/>
  <c r="J80" i="16" s="1"/>
  <c r="D80" i="16"/>
  <c r="C80" i="16"/>
  <c r="A80" i="16"/>
  <c r="K79" i="16"/>
  <c r="I79" i="16"/>
  <c r="J79" i="16" s="1"/>
  <c r="D79" i="16"/>
  <c r="C79" i="16"/>
  <c r="A79" i="16"/>
  <c r="K78" i="16"/>
  <c r="J78" i="16"/>
  <c r="I78" i="16"/>
  <c r="D78" i="16"/>
  <c r="C78" i="16"/>
  <c r="A78" i="16"/>
  <c r="K77" i="16"/>
  <c r="I77" i="16"/>
  <c r="J77" i="16" s="1"/>
  <c r="D77" i="16"/>
  <c r="C77" i="16"/>
  <c r="A77" i="16"/>
  <c r="K76" i="16"/>
  <c r="I76" i="16"/>
  <c r="J76" i="16" s="1"/>
  <c r="D76" i="16"/>
  <c r="C76" i="16"/>
  <c r="A76" i="16"/>
  <c r="K75" i="16"/>
  <c r="J75" i="16"/>
  <c r="I75" i="16"/>
  <c r="D75" i="16"/>
  <c r="C75" i="16"/>
  <c r="A75" i="16"/>
  <c r="K74" i="16"/>
  <c r="J74" i="16"/>
  <c r="I74" i="16"/>
  <c r="D74" i="16"/>
  <c r="C74" i="16"/>
  <c r="A74" i="16"/>
  <c r="K73" i="16"/>
  <c r="I73" i="16"/>
  <c r="J73" i="16" s="1"/>
  <c r="D73" i="16"/>
  <c r="C73" i="16"/>
  <c r="A73" i="16"/>
  <c r="K72" i="16"/>
  <c r="I72" i="16"/>
  <c r="J72" i="16" s="1"/>
  <c r="D72" i="16"/>
  <c r="C72" i="16"/>
  <c r="A72" i="16"/>
  <c r="K71" i="16"/>
  <c r="J71" i="16"/>
  <c r="I71" i="16"/>
  <c r="D71" i="16"/>
  <c r="C71" i="16"/>
  <c r="A71" i="16"/>
  <c r="K70" i="16"/>
  <c r="J70" i="16"/>
  <c r="I70" i="16"/>
  <c r="D70" i="16"/>
  <c r="C70" i="16"/>
  <c r="A70" i="16"/>
  <c r="K69" i="16"/>
  <c r="I69" i="16"/>
  <c r="J69" i="16" s="1"/>
  <c r="D69" i="16"/>
  <c r="C69" i="16"/>
  <c r="A69" i="16"/>
  <c r="K68" i="16"/>
  <c r="I68" i="16"/>
  <c r="J68" i="16" s="1"/>
  <c r="D68" i="16"/>
  <c r="C68" i="16"/>
  <c r="A68" i="16"/>
  <c r="K67" i="16"/>
  <c r="J67" i="16"/>
  <c r="I67" i="16"/>
  <c r="D67" i="16"/>
  <c r="C67" i="16"/>
  <c r="A67" i="16"/>
  <c r="K66" i="16"/>
  <c r="J66" i="16"/>
  <c r="I66" i="16"/>
  <c r="D66" i="16"/>
  <c r="C66" i="16"/>
  <c r="A66" i="16"/>
  <c r="K65" i="16"/>
  <c r="I65" i="16"/>
  <c r="J65" i="16" s="1"/>
  <c r="D65" i="16"/>
  <c r="C65" i="16"/>
  <c r="A65" i="16"/>
  <c r="K64" i="16"/>
  <c r="I64" i="16"/>
  <c r="J64" i="16" s="1"/>
  <c r="D64" i="16"/>
  <c r="C64" i="16"/>
  <c r="A64" i="16"/>
  <c r="K63" i="16"/>
  <c r="I63" i="16"/>
  <c r="J63" i="16" s="1"/>
  <c r="D63" i="16"/>
  <c r="C63" i="16"/>
  <c r="A63" i="16"/>
  <c r="K62" i="16"/>
  <c r="J62" i="16"/>
  <c r="I62" i="16"/>
  <c r="D62" i="16"/>
  <c r="C62" i="16"/>
  <c r="A62" i="16"/>
  <c r="K61" i="16"/>
  <c r="I61" i="16"/>
  <c r="J61" i="16" s="1"/>
  <c r="D61" i="16"/>
  <c r="C61" i="16"/>
  <c r="A61" i="16"/>
  <c r="K60" i="16"/>
  <c r="I60" i="16"/>
  <c r="J60" i="16" s="1"/>
  <c r="D60" i="16"/>
  <c r="C60" i="16"/>
  <c r="A60" i="16"/>
  <c r="K59" i="16"/>
  <c r="J59" i="16"/>
  <c r="I59" i="16"/>
  <c r="D59" i="16"/>
  <c r="C59" i="16"/>
  <c r="A59" i="16"/>
  <c r="K58" i="16"/>
  <c r="J58" i="16"/>
  <c r="I58" i="16"/>
  <c r="D58" i="16"/>
  <c r="C58" i="16"/>
  <c r="A58" i="16"/>
  <c r="K57" i="16"/>
  <c r="I57" i="16"/>
  <c r="J57" i="16" s="1"/>
  <c r="D57" i="16"/>
  <c r="C57" i="16"/>
  <c r="A57" i="16"/>
  <c r="K56" i="16"/>
  <c r="I56" i="16"/>
  <c r="J56" i="16" s="1"/>
  <c r="D56" i="16"/>
  <c r="C56" i="16"/>
  <c r="A56" i="16"/>
  <c r="K55" i="16"/>
  <c r="J55" i="16"/>
  <c r="I55" i="16"/>
  <c r="D55" i="16"/>
  <c r="C55" i="16"/>
  <c r="A55" i="16"/>
  <c r="K54" i="16"/>
  <c r="J54" i="16"/>
  <c r="I54" i="16"/>
  <c r="D54" i="16"/>
  <c r="C54" i="16"/>
  <c r="A54" i="16"/>
  <c r="K53" i="16"/>
  <c r="I53" i="16"/>
  <c r="J53" i="16" s="1"/>
  <c r="D53" i="16"/>
  <c r="C53" i="16"/>
  <c r="A53" i="16"/>
  <c r="K52" i="16"/>
  <c r="I52" i="16"/>
  <c r="J52" i="16" s="1"/>
  <c r="D52" i="16"/>
  <c r="C52" i="16"/>
  <c r="A52" i="16"/>
  <c r="K51" i="16"/>
  <c r="J51" i="16"/>
  <c r="I51" i="16"/>
  <c r="D51" i="16"/>
  <c r="C51" i="16"/>
  <c r="A51" i="16"/>
  <c r="K50" i="16"/>
  <c r="J50" i="16"/>
  <c r="I50" i="16"/>
  <c r="D50" i="16"/>
  <c r="C50" i="16"/>
  <c r="A50" i="16"/>
  <c r="K49" i="16"/>
  <c r="I49" i="16"/>
  <c r="J49" i="16" s="1"/>
  <c r="D49" i="16"/>
  <c r="C49" i="16"/>
  <c r="A49" i="16"/>
  <c r="K48" i="16"/>
  <c r="I48" i="16"/>
  <c r="J48" i="16" s="1"/>
  <c r="D48" i="16"/>
  <c r="C48" i="16"/>
  <c r="A48" i="16"/>
  <c r="K47" i="16"/>
  <c r="I47" i="16"/>
  <c r="J47" i="16" s="1"/>
  <c r="D47" i="16"/>
  <c r="C47" i="16"/>
  <c r="A47" i="16"/>
  <c r="K46" i="16"/>
  <c r="J46" i="16"/>
  <c r="I46" i="16"/>
  <c r="D46" i="16"/>
  <c r="C46" i="16"/>
  <c r="A46" i="16"/>
  <c r="K45" i="16"/>
  <c r="I45" i="16"/>
  <c r="J45" i="16" s="1"/>
  <c r="D45" i="16"/>
  <c r="C45" i="16"/>
  <c r="A45" i="16"/>
  <c r="K44" i="16"/>
  <c r="I44" i="16"/>
  <c r="J44" i="16" s="1"/>
  <c r="D44" i="16"/>
  <c r="C44" i="16"/>
  <c r="A44" i="16"/>
  <c r="K43" i="16"/>
  <c r="J43" i="16"/>
  <c r="I43" i="16"/>
  <c r="D43" i="16"/>
  <c r="C43" i="16"/>
  <c r="A43" i="16"/>
  <c r="K42" i="16"/>
  <c r="J42" i="16"/>
  <c r="I42" i="16"/>
  <c r="D42" i="16"/>
  <c r="C42" i="16"/>
  <c r="A42" i="16"/>
  <c r="K41" i="16"/>
  <c r="I41" i="16"/>
  <c r="J41" i="16" s="1"/>
  <c r="D41" i="16"/>
  <c r="C41" i="16"/>
  <c r="A41" i="16"/>
  <c r="K40" i="16"/>
  <c r="I40" i="16"/>
  <c r="J40" i="16" s="1"/>
  <c r="D40" i="16"/>
  <c r="C40" i="16"/>
  <c r="A40" i="16"/>
  <c r="K39" i="16"/>
  <c r="J39" i="16"/>
  <c r="I39" i="16"/>
  <c r="D39" i="16"/>
  <c r="C39" i="16"/>
  <c r="A39" i="16"/>
  <c r="K38" i="16"/>
  <c r="J38" i="16"/>
  <c r="I38" i="16"/>
  <c r="D38" i="16"/>
  <c r="C38" i="16"/>
  <c r="A38" i="16"/>
  <c r="K37" i="16"/>
  <c r="I37" i="16"/>
  <c r="J37" i="16" s="1"/>
  <c r="D37" i="16"/>
  <c r="C37" i="16"/>
  <c r="A37" i="16"/>
  <c r="K36" i="16"/>
  <c r="I36" i="16"/>
  <c r="J36" i="16" s="1"/>
  <c r="D36" i="16"/>
  <c r="C36" i="16"/>
  <c r="A36" i="16"/>
  <c r="K35" i="16"/>
  <c r="J35" i="16"/>
  <c r="I35" i="16"/>
  <c r="D35" i="16"/>
  <c r="C35" i="16"/>
  <c r="A35" i="16"/>
  <c r="K34" i="16"/>
  <c r="J34" i="16"/>
  <c r="I34" i="16"/>
  <c r="D34" i="16"/>
  <c r="C34" i="16"/>
  <c r="A34" i="16"/>
  <c r="K33" i="16"/>
  <c r="I33" i="16"/>
  <c r="J33" i="16" s="1"/>
  <c r="D33" i="16"/>
  <c r="C33" i="16"/>
  <c r="A33" i="16"/>
  <c r="K32" i="16"/>
  <c r="I32" i="16"/>
  <c r="J32" i="16" s="1"/>
  <c r="D32" i="16"/>
  <c r="C32" i="16"/>
  <c r="A32" i="16"/>
  <c r="K31" i="16"/>
  <c r="I31" i="16"/>
  <c r="J31" i="16" s="1"/>
  <c r="D31" i="16"/>
  <c r="C31" i="16"/>
  <c r="A31" i="16"/>
  <c r="K30" i="16"/>
  <c r="J30" i="16"/>
  <c r="I30" i="16"/>
  <c r="D30" i="16"/>
  <c r="C30" i="16"/>
  <c r="A30" i="16"/>
  <c r="K29" i="16"/>
  <c r="I29" i="16"/>
  <c r="J29" i="16" s="1"/>
  <c r="D29" i="16"/>
  <c r="C29" i="16"/>
  <c r="A29" i="16"/>
  <c r="K28" i="16"/>
  <c r="I28" i="16"/>
  <c r="J28" i="16" s="1"/>
  <c r="D28" i="16"/>
  <c r="C28" i="16"/>
  <c r="A28" i="16"/>
  <c r="K27" i="16"/>
  <c r="J27" i="16"/>
  <c r="I27" i="16"/>
  <c r="D27" i="16"/>
  <c r="C27" i="16"/>
  <c r="A27" i="16"/>
  <c r="K26" i="16"/>
  <c r="J26" i="16"/>
  <c r="I26" i="16"/>
  <c r="D26" i="16"/>
  <c r="C26" i="16"/>
  <c r="A26" i="16"/>
  <c r="K25" i="16"/>
  <c r="I25" i="16"/>
  <c r="J25" i="16" s="1"/>
  <c r="D25" i="16"/>
  <c r="C25" i="16"/>
  <c r="A25" i="16"/>
  <c r="K24" i="16"/>
  <c r="I24" i="16"/>
  <c r="J24" i="16" s="1"/>
  <c r="D24" i="16"/>
  <c r="C24" i="16"/>
  <c r="A24" i="16"/>
  <c r="K23" i="16"/>
  <c r="J23" i="16"/>
  <c r="I23" i="16"/>
  <c r="D23" i="16"/>
  <c r="C23" i="16"/>
  <c r="A23" i="16"/>
  <c r="K22" i="16"/>
  <c r="J22" i="16"/>
  <c r="I22" i="16"/>
  <c r="D22" i="16"/>
  <c r="C22" i="16"/>
  <c r="A22" i="16"/>
  <c r="K21" i="16"/>
  <c r="I21" i="16"/>
  <c r="J21" i="16" s="1"/>
  <c r="D21" i="16"/>
  <c r="C21" i="16"/>
  <c r="A21" i="16"/>
  <c r="K20" i="16"/>
  <c r="I20" i="16"/>
  <c r="J20" i="16" s="1"/>
  <c r="D20" i="16"/>
  <c r="C20" i="16"/>
  <c r="A20" i="16"/>
  <c r="K19" i="16"/>
  <c r="J19" i="16"/>
  <c r="I19" i="16"/>
  <c r="D19" i="16"/>
  <c r="C19" i="16"/>
  <c r="A19" i="16"/>
  <c r="K18" i="16"/>
  <c r="J18" i="16"/>
  <c r="I18" i="16"/>
  <c r="D18" i="16"/>
  <c r="C18" i="16"/>
  <c r="A18" i="16"/>
  <c r="K17" i="16"/>
  <c r="I17" i="16"/>
  <c r="J17" i="16" s="1"/>
  <c r="D17" i="16"/>
  <c r="C17" i="16"/>
  <c r="A17" i="16"/>
  <c r="K16" i="16"/>
  <c r="I16" i="16"/>
  <c r="J16" i="16" s="1"/>
  <c r="D16" i="16"/>
  <c r="C16" i="16"/>
  <c r="A16" i="16"/>
  <c r="K15" i="16"/>
  <c r="I15" i="16"/>
  <c r="J15" i="16" s="1"/>
  <c r="D15" i="16"/>
  <c r="C15" i="16"/>
  <c r="A15" i="16"/>
  <c r="K14" i="16"/>
  <c r="J14" i="16"/>
  <c r="I14" i="16"/>
  <c r="D14" i="16"/>
  <c r="C14" i="16"/>
  <c r="A14" i="16"/>
  <c r="B10" i="16"/>
  <c r="B9" i="16"/>
  <c r="B8" i="16"/>
  <c r="K208" i="15"/>
  <c r="J208" i="15"/>
  <c r="G208" i="15"/>
  <c r="D208" i="15"/>
  <c r="C208" i="15"/>
  <c r="B208" i="15"/>
  <c r="J207" i="15"/>
  <c r="K207" i="15" s="1"/>
  <c r="G207" i="15"/>
  <c r="D207" i="15"/>
  <c r="C207" i="15"/>
  <c r="B207" i="15"/>
  <c r="J206" i="15"/>
  <c r="K206" i="15" s="1"/>
  <c r="G206" i="15"/>
  <c r="D206" i="15"/>
  <c r="C206" i="15"/>
  <c r="B206" i="15"/>
  <c r="K205" i="15"/>
  <c r="J205" i="15"/>
  <c r="G205" i="15"/>
  <c r="D205" i="15"/>
  <c r="C205" i="15"/>
  <c r="B205" i="15"/>
  <c r="K204" i="15"/>
  <c r="J204" i="15"/>
  <c r="G204" i="15"/>
  <c r="D204" i="15"/>
  <c r="C204" i="15"/>
  <c r="B204" i="15"/>
  <c r="J203" i="15"/>
  <c r="K203" i="15" s="1"/>
  <c r="G203" i="15"/>
  <c r="D203" i="15"/>
  <c r="C203" i="15"/>
  <c r="B203" i="15"/>
  <c r="J202" i="15"/>
  <c r="K202" i="15" s="1"/>
  <c r="G202" i="15"/>
  <c r="D202" i="15"/>
  <c r="C202" i="15"/>
  <c r="B202" i="15"/>
  <c r="K201" i="15"/>
  <c r="J201" i="15"/>
  <c r="G201" i="15"/>
  <c r="D201" i="15"/>
  <c r="C201" i="15"/>
  <c r="B201" i="15"/>
  <c r="K200" i="15"/>
  <c r="J200" i="15"/>
  <c r="G200" i="15"/>
  <c r="D200" i="15"/>
  <c r="C200" i="15"/>
  <c r="B200" i="15"/>
  <c r="J199" i="15"/>
  <c r="K199" i="15" s="1"/>
  <c r="G199" i="15"/>
  <c r="D199" i="15"/>
  <c r="C199" i="15"/>
  <c r="B199" i="15"/>
  <c r="J198" i="15"/>
  <c r="K198" i="15" s="1"/>
  <c r="G198" i="15"/>
  <c r="D198" i="15"/>
  <c r="C198" i="15"/>
  <c r="B198" i="15"/>
  <c r="K197" i="15"/>
  <c r="J197" i="15"/>
  <c r="G197" i="15"/>
  <c r="D197" i="15"/>
  <c r="C197" i="15"/>
  <c r="B197" i="15"/>
  <c r="K196" i="15"/>
  <c r="J196" i="15"/>
  <c r="G196" i="15"/>
  <c r="D196" i="15"/>
  <c r="C196" i="15"/>
  <c r="B196" i="15"/>
  <c r="J195" i="15"/>
  <c r="K195" i="15" s="1"/>
  <c r="G195" i="15"/>
  <c r="D195" i="15"/>
  <c r="C195" i="15"/>
  <c r="B195" i="15"/>
  <c r="J194" i="15"/>
  <c r="K194" i="15" s="1"/>
  <c r="G194" i="15"/>
  <c r="D194" i="15"/>
  <c r="C194" i="15"/>
  <c r="B194" i="15"/>
  <c r="J193" i="15"/>
  <c r="K193" i="15" s="1"/>
  <c r="G193" i="15"/>
  <c r="D193" i="15"/>
  <c r="C193" i="15"/>
  <c r="B193" i="15"/>
  <c r="K192" i="15"/>
  <c r="J192" i="15"/>
  <c r="G192" i="15"/>
  <c r="D192" i="15"/>
  <c r="C192" i="15"/>
  <c r="B192" i="15"/>
  <c r="J191" i="15"/>
  <c r="K191" i="15" s="1"/>
  <c r="G191" i="15"/>
  <c r="D191" i="15"/>
  <c r="C191" i="15"/>
  <c r="B191" i="15"/>
  <c r="J190" i="15"/>
  <c r="K190" i="15" s="1"/>
  <c r="G190" i="15"/>
  <c r="D190" i="15"/>
  <c r="C190" i="15"/>
  <c r="B190" i="15"/>
  <c r="K189" i="15"/>
  <c r="J189" i="15"/>
  <c r="G189" i="15"/>
  <c r="D189" i="15"/>
  <c r="C189" i="15"/>
  <c r="B189" i="15"/>
  <c r="K188" i="15"/>
  <c r="J188" i="15"/>
  <c r="G188" i="15"/>
  <c r="D188" i="15"/>
  <c r="C188" i="15"/>
  <c r="B188" i="15"/>
  <c r="J187" i="15"/>
  <c r="K187" i="15" s="1"/>
  <c r="G187" i="15"/>
  <c r="D187" i="15"/>
  <c r="C187" i="15"/>
  <c r="B187" i="15"/>
  <c r="J186" i="15"/>
  <c r="K186" i="15" s="1"/>
  <c r="G186" i="15"/>
  <c r="D186" i="15"/>
  <c r="C186" i="15"/>
  <c r="B186" i="15"/>
  <c r="K185" i="15"/>
  <c r="J185" i="15"/>
  <c r="G185" i="15"/>
  <c r="D185" i="15"/>
  <c r="C185" i="15"/>
  <c r="B185" i="15"/>
  <c r="K184" i="15"/>
  <c r="J184" i="15"/>
  <c r="G184" i="15"/>
  <c r="D184" i="15"/>
  <c r="C184" i="15"/>
  <c r="B184" i="15"/>
  <c r="J183" i="15"/>
  <c r="K183" i="15" s="1"/>
  <c r="G183" i="15"/>
  <c r="D183" i="15"/>
  <c r="C183" i="15"/>
  <c r="B183" i="15"/>
  <c r="J182" i="15"/>
  <c r="K182" i="15" s="1"/>
  <c r="G182" i="15"/>
  <c r="D182" i="15"/>
  <c r="C182" i="15"/>
  <c r="B182" i="15"/>
  <c r="K181" i="15"/>
  <c r="J181" i="15"/>
  <c r="G181" i="15"/>
  <c r="D181" i="15"/>
  <c r="C181" i="15"/>
  <c r="B181" i="15"/>
  <c r="K180" i="15"/>
  <c r="J180" i="15"/>
  <c r="G180" i="15"/>
  <c r="D180" i="15"/>
  <c r="C180" i="15"/>
  <c r="B180" i="15"/>
  <c r="J179" i="15"/>
  <c r="K179" i="15" s="1"/>
  <c r="G179" i="15"/>
  <c r="D179" i="15"/>
  <c r="C179" i="15"/>
  <c r="B179" i="15"/>
  <c r="J178" i="15"/>
  <c r="K178" i="15" s="1"/>
  <c r="G178" i="15"/>
  <c r="D178" i="15"/>
  <c r="C178" i="15"/>
  <c r="B178" i="15"/>
  <c r="J177" i="15"/>
  <c r="K177" i="15" s="1"/>
  <c r="G177" i="15"/>
  <c r="D177" i="15"/>
  <c r="C177" i="15"/>
  <c r="B177" i="15"/>
  <c r="K176" i="15"/>
  <c r="J176" i="15"/>
  <c r="G176" i="15"/>
  <c r="D176" i="15"/>
  <c r="C176" i="15"/>
  <c r="B176" i="15"/>
  <c r="J175" i="15"/>
  <c r="K175" i="15" s="1"/>
  <c r="G175" i="15"/>
  <c r="D175" i="15"/>
  <c r="C175" i="15"/>
  <c r="B175" i="15"/>
  <c r="J174" i="15"/>
  <c r="K174" i="15" s="1"/>
  <c r="G174" i="15"/>
  <c r="D174" i="15"/>
  <c r="C174" i="15"/>
  <c r="B174" i="15"/>
  <c r="K173" i="15"/>
  <c r="J173" i="15"/>
  <c r="G173" i="15"/>
  <c r="D173" i="15"/>
  <c r="C173" i="15"/>
  <c r="B173" i="15"/>
  <c r="K172" i="15"/>
  <c r="J172" i="15"/>
  <c r="G172" i="15"/>
  <c r="D172" i="15"/>
  <c r="C172" i="15"/>
  <c r="B172" i="15"/>
  <c r="J171" i="15"/>
  <c r="K171" i="15" s="1"/>
  <c r="G171" i="15"/>
  <c r="D171" i="15"/>
  <c r="C171" i="15"/>
  <c r="B171" i="15"/>
  <c r="J170" i="15"/>
  <c r="K170" i="15" s="1"/>
  <c r="G170" i="15"/>
  <c r="D170" i="15"/>
  <c r="C170" i="15"/>
  <c r="B170" i="15"/>
  <c r="K169" i="15"/>
  <c r="J169" i="15"/>
  <c r="G169" i="15"/>
  <c r="D169" i="15"/>
  <c r="C169" i="15"/>
  <c r="B169" i="15"/>
  <c r="K168" i="15"/>
  <c r="J168" i="15"/>
  <c r="G168" i="15"/>
  <c r="D168" i="15"/>
  <c r="C168" i="15"/>
  <c r="B168" i="15"/>
  <c r="J167" i="15"/>
  <c r="K167" i="15" s="1"/>
  <c r="G167" i="15"/>
  <c r="D167" i="15"/>
  <c r="C167" i="15"/>
  <c r="B167" i="15"/>
  <c r="J166" i="15"/>
  <c r="K166" i="15" s="1"/>
  <c r="G166" i="15"/>
  <c r="D166" i="15"/>
  <c r="C166" i="15"/>
  <c r="B166" i="15"/>
  <c r="K165" i="15"/>
  <c r="J165" i="15"/>
  <c r="G165" i="15"/>
  <c r="D165" i="15"/>
  <c r="C165" i="15"/>
  <c r="B165" i="15"/>
  <c r="K164" i="15"/>
  <c r="J164" i="15"/>
  <c r="G164" i="15"/>
  <c r="D164" i="15"/>
  <c r="C164" i="15"/>
  <c r="B164" i="15"/>
  <c r="J163" i="15"/>
  <c r="K163" i="15" s="1"/>
  <c r="G163" i="15"/>
  <c r="D163" i="15"/>
  <c r="C163" i="15"/>
  <c r="B163" i="15"/>
  <c r="J162" i="15"/>
  <c r="K162" i="15" s="1"/>
  <c r="G162" i="15"/>
  <c r="D162" i="15"/>
  <c r="C162" i="15"/>
  <c r="B162" i="15"/>
  <c r="J161" i="15"/>
  <c r="K161" i="15" s="1"/>
  <c r="G161" i="15"/>
  <c r="D161" i="15"/>
  <c r="C161" i="15"/>
  <c r="B161" i="15"/>
  <c r="K160" i="15"/>
  <c r="J160" i="15"/>
  <c r="G160" i="15"/>
  <c r="D160" i="15"/>
  <c r="C160" i="15"/>
  <c r="B160" i="15"/>
  <c r="J159" i="15"/>
  <c r="K159" i="15" s="1"/>
  <c r="G159" i="15"/>
  <c r="D159" i="15"/>
  <c r="C159" i="15"/>
  <c r="B159" i="15"/>
  <c r="J158" i="15"/>
  <c r="K158" i="15" s="1"/>
  <c r="G158" i="15"/>
  <c r="D158" i="15"/>
  <c r="C158" i="15"/>
  <c r="B158" i="15"/>
  <c r="K157" i="15"/>
  <c r="J157" i="15"/>
  <c r="G157" i="15"/>
  <c r="D157" i="15"/>
  <c r="C157" i="15"/>
  <c r="B157" i="15"/>
  <c r="K156" i="15"/>
  <c r="J156" i="15"/>
  <c r="G156" i="15"/>
  <c r="D156" i="15"/>
  <c r="C156" i="15"/>
  <c r="B156" i="15"/>
  <c r="J155" i="15"/>
  <c r="K155" i="15" s="1"/>
  <c r="G155" i="15"/>
  <c r="D155" i="15"/>
  <c r="C155" i="15"/>
  <c r="B155" i="15"/>
  <c r="J154" i="15"/>
  <c r="K154" i="15" s="1"/>
  <c r="G154" i="15"/>
  <c r="D154" i="15"/>
  <c r="C154" i="15"/>
  <c r="B154" i="15"/>
  <c r="K153" i="15"/>
  <c r="J153" i="15"/>
  <c r="G153" i="15"/>
  <c r="D153" i="15"/>
  <c r="C153" i="15"/>
  <c r="B153" i="15"/>
  <c r="K152" i="15"/>
  <c r="J152" i="15"/>
  <c r="G152" i="15"/>
  <c r="D152" i="15"/>
  <c r="C152" i="15"/>
  <c r="B152" i="15"/>
  <c r="J151" i="15"/>
  <c r="K151" i="15" s="1"/>
  <c r="G151" i="15"/>
  <c r="D151" i="15"/>
  <c r="C151" i="15"/>
  <c r="B151" i="15"/>
  <c r="J150" i="15"/>
  <c r="K150" i="15" s="1"/>
  <c r="G150" i="15"/>
  <c r="D150" i="15"/>
  <c r="C150" i="15"/>
  <c r="B150" i="15"/>
  <c r="K149" i="15"/>
  <c r="J149" i="15"/>
  <c r="G149" i="15"/>
  <c r="D149" i="15"/>
  <c r="C149" i="15"/>
  <c r="B149" i="15"/>
  <c r="K148" i="15"/>
  <c r="J148" i="15"/>
  <c r="G148" i="15"/>
  <c r="D148" i="15"/>
  <c r="C148" i="15"/>
  <c r="B148" i="15"/>
  <c r="J147" i="15"/>
  <c r="K147" i="15" s="1"/>
  <c r="G147" i="15"/>
  <c r="D147" i="15"/>
  <c r="C147" i="15"/>
  <c r="B147" i="15"/>
  <c r="J146" i="15"/>
  <c r="K146" i="15" s="1"/>
  <c r="G146" i="15"/>
  <c r="D146" i="15"/>
  <c r="C146" i="15"/>
  <c r="B146" i="15"/>
  <c r="J145" i="15"/>
  <c r="K145" i="15" s="1"/>
  <c r="G145" i="15"/>
  <c r="D145" i="15"/>
  <c r="C145" i="15"/>
  <c r="B145" i="15"/>
  <c r="K144" i="15"/>
  <c r="J144" i="15"/>
  <c r="G144" i="15"/>
  <c r="D144" i="15"/>
  <c r="C144" i="15"/>
  <c r="B144" i="15"/>
  <c r="J143" i="15"/>
  <c r="K143" i="15" s="1"/>
  <c r="G143" i="15"/>
  <c r="D143" i="15"/>
  <c r="C143" i="15"/>
  <c r="B143" i="15"/>
  <c r="J142" i="15"/>
  <c r="K142" i="15" s="1"/>
  <c r="G142" i="15"/>
  <c r="D142" i="15"/>
  <c r="C142" i="15"/>
  <c r="B142" i="15"/>
  <c r="K141" i="15"/>
  <c r="J141" i="15"/>
  <c r="G141" i="15"/>
  <c r="D141" i="15"/>
  <c r="C141" i="15"/>
  <c r="B141" i="15"/>
  <c r="K140" i="15"/>
  <c r="J140" i="15"/>
  <c r="G140" i="15"/>
  <c r="D140" i="15"/>
  <c r="C140" i="15"/>
  <c r="B140" i="15"/>
  <c r="J139" i="15"/>
  <c r="K139" i="15" s="1"/>
  <c r="G139" i="15"/>
  <c r="D139" i="15"/>
  <c r="C139" i="15"/>
  <c r="B139" i="15"/>
  <c r="J138" i="15"/>
  <c r="K138" i="15" s="1"/>
  <c r="G138" i="15"/>
  <c r="D138" i="15"/>
  <c r="C138" i="15"/>
  <c r="B138" i="15"/>
  <c r="K137" i="15"/>
  <c r="J137" i="15"/>
  <c r="G137" i="15"/>
  <c r="D137" i="15"/>
  <c r="C137" i="15"/>
  <c r="B137" i="15"/>
  <c r="K136" i="15"/>
  <c r="J136" i="15"/>
  <c r="G136" i="15"/>
  <c r="D136" i="15"/>
  <c r="C136" i="15"/>
  <c r="B136" i="15"/>
  <c r="J135" i="15"/>
  <c r="K135" i="15" s="1"/>
  <c r="G135" i="15"/>
  <c r="D135" i="15"/>
  <c r="C135" i="15"/>
  <c r="B135" i="15"/>
  <c r="J134" i="15"/>
  <c r="K134" i="15" s="1"/>
  <c r="G134" i="15"/>
  <c r="D134" i="15"/>
  <c r="C134" i="15"/>
  <c r="B134" i="15"/>
  <c r="K133" i="15"/>
  <c r="J133" i="15"/>
  <c r="G133" i="15"/>
  <c r="D133" i="15"/>
  <c r="C133" i="15"/>
  <c r="B133" i="15"/>
  <c r="K132" i="15"/>
  <c r="J132" i="15"/>
  <c r="G132" i="15"/>
  <c r="D132" i="15"/>
  <c r="C132" i="15"/>
  <c r="B132" i="15"/>
  <c r="J131" i="15"/>
  <c r="K131" i="15" s="1"/>
  <c r="G131" i="15"/>
  <c r="D131" i="15"/>
  <c r="C131" i="15"/>
  <c r="B131" i="15"/>
  <c r="J130" i="15"/>
  <c r="K130" i="15" s="1"/>
  <c r="G130" i="15"/>
  <c r="D130" i="15"/>
  <c r="C130" i="15"/>
  <c r="B130" i="15"/>
  <c r="J129" i="15"/>
  <c r="K129" i="15" s="1"/>
  <c r="G129" i="15"/>
  <c r="D129" i="15"/>
  <c r="C129" i="15"/>
  <c r="B129" i="15"/>
  <c r="K128" i="15"/>
  <c r="J128" i="15"/>
  <c r="G128" i="15"/>
  <c r="D128" i="15"/>
  <c r="C128" i="15"/>
  <c r="B128" i="15"/>
  <c r="J127" i="15"/>
  <c r="K127" i="15" s="1"/>
  <c r="G127" i="15"/>
  <c r="D127" i="15"/>
  <c r="C127" i="15"/>
  <c r="B127" i="15"/>
  <c r="J126" i="15"/>
  <c r="K126" i="15" s="1"/>
  <c r="G126" i="15"/>
  <c r="D126" i="15"/>
  <c r="C126" i="15"/>
  <c r="B126" i="15"/>
  <c r="K125" i="15"/>
  <c r="J125" i="15"/>
  <c r="G125" i="15"/>
  <c r="D125" i="15"/>
  <c r="C125" i="15"/>
  <c r="B125" i="15"/>
  <c r="K124" i="15"/>
  <c r="J124" i="15"/>
  <c r="G124" i="15"/>
  <c r="D124" i="15"/>
  <c r="C124" i="15"/>
  <c r="B124" i="15"/>
  <c r="J123" i="15"/>
  <c r="K123" i="15" s="1"/>
  <c r="G123" i="15"/>
  <c r="D123" i="15"/>
  <c r="C123" i="15"/>
  <c r="B123" i="15"/>
  <c r="J122" i="15"/>
  <c r="K122" i="15" s="1"/>
  <c r="G122" i="15"/>
  <c r="D122" i="15"/>
  <c r="C122" i="15"/>
  <c r="B122" i="15"/>
  <c r="K121" i="15"/>
  <c r="J121" i="15"/>
  <c r="G121" i="15"/>
  <c r="D121" i="15"/>
  <c r="C121" i="15"/>
  <c r="B121" i="15"/>
  <c r="K120" i="15"/>
  <c r="J120" i="15"/>
  <c r="G120" i="15"/>
  <c r="D120" i="15"/>
  <c r="C120" i="15"/>
  <c r="B120" i="15"/>
  <c r="J119" i="15"/>
  <c r="K119" i="15" s="1"/>
  <c r="G119" i="15"/>
  <c r="D119" i="15"/>
  <c r="C119" i="15"/>
  <c r="B119" i="15"/>
  <c r="J118" i="15"/>
  <c r="K118" i="15" s="1"/>
  <c r="G118" i="15"/>
  <c r="D118" i="15"/>
  <c r="C118" i="15"/>
  <c r="B118" i="15"/>
  <c r="K117" i="15"/>
  <c r="J117" i="15"/>
  <c r="G117" i="15"/>
  <c r="D117" i="15"/>
  <c r="C117" i="15"/>
  <c r="B117" i="15"/>
  <c r="K116" i="15"/>
  <c r="J116" i="15"/>
  <c r="G116" i="15"/>
  <c r="D116" i="15"/>
  <c r="C116" i="15"/>
  <c r="B116" i="15"/>
  <c r="J115" i="15"/>
  <c r="K115" i="15" s="1"/>
  <c r="G115" i="15"/>
  <c r="D115" i="15"/>
  <c r="C115" i="15"/>
  <c r="B115" i="15"/>
  <c r="J114" i="15"/>
  <c r="K114" i="15" s="1"/>
  <c r="G114" i="15"/>
  <c r="D114" i="15"/>
  <c r="C114" i="15"/>
  <c r="B114" i="15"/>
  <c r="J113" i="15"/>
  <c r="K113" i="15" s="1"/>
  <c r="G113" i="15"/>
  <c r="D113" i="15"/>
  <c r="C113" i="15"/>
  <c r="B113" i="15"/>
  <c r="K112" i="15"/>
  <c r="J112" i="15"/>
  <c r="G112" i="15"/>
  <c r="D112" i="15"/>
  <c r="C112" i="15"/>
  <c r="B112" i="15"/>
  <c r="J111" i="15"/>
  <c r="K111" i="15" s="1"/>
  <c r="G111" i="15"/>
  <c r="D111" i="15"/>
  <c r="C111" i="15"/>
  <c r="B111" i="15"/>
  <c r="J110" i="15"/>
  <c r="K110" i="15" s="1"/>
  <c r="G110" i="15"/>
  <c r="D110" i="15"/>
  <c r="C110" i="15"/>
  <c r="B110" i="15"/>
  <c r="K109" i="15"/>
  <c r="J109" i="15"/>
  <c r="G109" i="15"/>
  <c r="D109" i="15"/>
  <c r="C109" i="15"/>
  <c r="B109" i="15"/>
  <c r="K108" i="15"/>
  <c r="J108" i="15"/>
  <c r="G108" i="15"/>
  <c r="D108" i="15"/>
  <c r="C108" i="15"/>
  <c r="B108" i="15"/>
  <c r="J107" i="15"/>
  <c r="K107" i="15" s="1"/>
  <c r="G107" i="15"/>
  <c r="D107" i="15"/>
  <c r="C107" i="15"/>
  <c r="B107" i="15"/>
  <c r="J106" i="15"/>
  <c r="K106" i="15" s="1"/>
  <c r="G106" i="15"/>
  <c r="D106" i="15"/>
  <c r="C106" i="15"/>
  <c r="B106" i="15"/>
  <c r="K105" i="15"/>
  <c r="J105" i="15"/>
  <c r="G105" i="15"/>
  <c r="D105" i="15"/>
  <c r="C105" i="15"/>
  <c r="B105" i="15"/>
  <c r="K104" i="15"/>
  <c r="J104" i="15"/>
  <c r="G104" i="15"/>
  <c r="D104" i="15"/>
  <c r="C104" i="15"/>
  <c r="B104" i="15"/>
  <c r="J103" i="15"/>
  <c r="K103" i="15" s="1"/>
  <c r="G103" i="15"/>
  <c r="D103" i="15"/>
  <c r="C103" i="15"/>
  <c r="B103" i="15"/>
  <c r="J102" i="15"/>
  <c r="K102" i="15" s="1"/>
  <c r="G102" i="15"/>
  <c r="D102" i="15"/>
  <c r="C102" i="15"/>
  <c r="B102" i="15"/>
  <c r="K101" i="15"/>
  <c r="J101" i="15"/>
  <c r="G101" i="15"/>
  <c r="D101" i="15"/>
  <c r="C101" i="15"/>
  <c r="B101" i="15"/>
  <c r="K100" i="15"/>
  <c r="J100" i="15"/>
  <c r="G100" i="15"/>
  <c r="D100" i="15"/>
  <c r="C100" i="15"/>
  <c r="B100" i="15"/>
  <c r="J99" i="15"/>
  <c r="K99" i="15" s="1"/>
  <c r="G99" i="15"/>
  <c r="D99" i="15"/>
  <c r="C99" i="15"/>
  <c r="B99" i="15"/>
  <c r="J98" i="15"/>
  <c r="K98" i="15" s="1"/>
  <c r="G98" i="15"/>
  <c r="D98" i="15"/>
  <c r="C98" i="15"/>
  <c r="B98" i="15"/>
  <c r="J97" i="15"/>
  <c r="K97" i="15" s="1"/>
  <c r="G97" i="15"/>
  <c r="D97" i="15"/>
  <c r="C97" i="15"/>
  <c r="B97" i="15"/>
  <c r="K96" i="15"/>
  <c r="J96" i="15"/>
  <c r="G96" i="15"/>
  <c r="D96" i="15"/>
  <c r="C96" i="15"/>
  <c r="B96" i="15"/>
  <c r="J95" i="15"/>
  <c r="K95" i="15" s="1"/>
  <c r="G95" i="15"/>
  <c r="D95" i="15"/>
  <c r="C95" i="15"/>
  <c r="B95" i="15"/>
  <c r="J94" i="15"/>
  <c r="K94" i="15" s="1"/>
  <c r="G94" i="15"/>
  <c r="D94" i="15"/>
  <c r="C94" i="15"/>
  <c r="B94" i="15"/>
  <c r="K93" i="15"/>
  <c r="J93" i="15"/>
  <c r="G93" i="15"/>
  <c r="D93" i="15"/>
  <c r="C93" i="15"/>
  <c r="B93" i="15"/>
  <c r="K92" i="15"/>
  <c r="J92" i="15"/>
  <c r="G92" i="15"/>
  <c r="D92" i="15"/>
  <c r="C92" i="15"/>
  <c r="B92" i="15"/>
  <c r="J91" i="15"/>
  <c r="K91" i="15" s="1"/>
  <c r="G91" i="15"/>
  <c r="D91" i="15"/>
  <c r="C91" i="15"/>
  <c r="B91" i="15"/>
  <c r="J90" i="15"/>
  <c r="K90" i="15" s="1"/>
  <c r="G90" i="15"/>
  <c r="D90" i="15"/>
  <c r="C90" i="15"/>
  <c r="B90" i="15"/>
  <c r="K89" i="15"/>
  <c r="J89" i="15"/>
  <c r="G89" i="15"/>
  <c r="D89" i="15"/>
  <c r="C89" i="15"/>
  <c r="B89" i="15"/>
  <c r="K88" i="15"/>
  <c r="J88" i="15"/>
  <c r="G88" i="15"/>
  <c r="D88" i="15"/>
  <c r="C88" i="15"/>
  <c r="B88" i="15"/>
  <c r="J87" i="15"/>
  <c r="K87" i="15" s="1"/>
  <c r="G87" i="15"/>
  <c r="D87" i="15"/>
  <c r="C87" i="15"/>
  <c r="B87" i="15"/>
  <c r="J86" i="15"/>
  <c r="K86" i="15" s="1"/>
  <c r="G86" i="15"/>
  <c r="D86" i="15"/>
  <c r="C86" i="15"/>
  <c r="B86" i="15"/>
  <c r="K85" i="15"/>
  <c r="J85" i="15"/>
  <c r="G85" i="15"/>
  <c r="D85" i="15"/>
  <c r="C85" i="15"/>
  <c r="B85" i="15"/>
  <c r="K84" i="15"/>
  <c r="J84" i="15"/>
  <c r="G84" i="15"/>
  <c r="D84" i="15"/>
  <c r="C84" i="15"/>
  <c r="B84" i="15"/>
  <c r="J83" i="15"/>
  <c r="K83" i="15" s="1"/>
  <c r="G83" i="15"/>
  <c r="D83" i="15"/>
  <c r="C83" i="15"/>
  <c r="B83" i="15"/>
  <c r="J82" i="15"/>
  <c r="K82" i="15" s="1"/>
  <c r="G82" i="15"/>
  <c r="D82" i="15"/>
  <c r="C82" i="15"/>
  <c r="B82" i="15"/>
  <c r="J81" i="15"/>
  <c r="K81" i="15" s="1"/>
  <c r="G81" i="15"/>
  <c r="D81" i="15"/>
  <c r="C81" i="15"/>
  <c r="B81" i="15"/>
  <c r="K80" i="15"/>
  <c r="J80" i="15"/>
  <c r="G80" i="15"/>
  <c r="D80" i="15"/>
  <c r="C80" i="15"/>
  <c r="B80" i="15"/>
  <c r="J79" i="15"/>
  <c r="K79" i="15" s="1"/>
  <c r="G79" i="15"/>
  <c r="D79" i="15"/>
  <c r="C79" i="15"/>
  <c r="B79" i="15"/>
  <c r="J78" i="15"/>
  <c r="K78" i="15" s="1"/>
  <c r="G78" i="15"/>
  <c r="D78" i="15"/>
  <c r="C78" i="15"/>
  <c r="B78" i="15"/>
  <c r="K77" i="15"/>
  <c r="J77" i="15"/>
  <c r="G77" i="15"/>
  <c r="D77" i="15"/>
  <c r="C77" i="15"/>
  <c r="B77" i="15"/>
  <c r="K76" i="15"/>
  <c r="J76" i="15"/>
  <c r="G76" i="15"/>
  <c r="D76" i="15"/>
  <c r="C76" i="15"/>
  <c r="B76" i="15"/>
  <c r="J75" i="15"/>
  <c r="K75" i="15" s="1"/>
  <c r="G75" i="15"/>
  <c r="D75" i="15"/>
  <c r="C75" i="15"/>
  <c r="B75" i="15"/>
  <c r="J74" i="15"/>
  <c r="K74" i="15" s="1"/>
  <c r="G74" i="15"/>
  <c r="D74" i="15"/>
  <c r="C74" i="15"/>
  <c r="B74" i="15"/>
  <c r="K73" i="15"/>
  <c r="J73" i="15"/>
  <c r="G73" i="15"/>
  <c r="D73" i="15"/>
  <c r="C73" i="15"/>
  <c r="B73" i="15"/>
  <c r="K72" i="15"/>
  <c r="J72" i="15"/>
  <c r="G72" i="15"/>
  <c r="D72" i="15"/>
  <c r="C72" i="15"/>
  <c r="B72" i="15"/>
  <c r="J71" i="15"/>
  <c r="K71" i="15" s="1"/>
  <c r="G71" i="15"/>
  <c r="D71" i="15"/>
  <c r="C71" i="15"/>
  <c r="B71" i="15"/>
  <c r="J70" i="15"/>
  <c r="K70" i="15" s="1"/>
  <c r="G70" i="15"/>
  <c r="D70" i="15"/>
  <c r="C70" i="15"/>
  <c r="B70" i="15"/>
  <c r="K69" i="15"/>
  <c r="J69" i="15"/>
  <c r="G69" i="15"/>
  <c r="D69" i="15"/>
  <c r="C69" i="15"/>
  <c r="B69" i="15"/>
  <c r="K68" i="15"/>
  <c r="J68" i="15"/>
  <c r="G68" i="15"/>
  <c r="D68" i="15"/>
  <c r="C68" i="15"/>
  <c r="B68" i="15"/>
  <c r="J67" i="15"/>
  <c r="K67" i="15" s="1"/>
  <c r="G67" i="15"/>
  <c r="D67" i="15"/>
  <c r="C67" i="15"/>
  <c r="B67" i="15"/>
  <c r="J66" i="15"/>
  <c r="K66" i="15" s="1"/>
  <c r="G66" i="15"/>
  <c r="D66" i="15"/>
  <c r="C66" i="15"/>
  <c r="B66" i="15"/>
  <c r="J65" i="15"/>
  <c r="K65" i="15" s="1"/>
  <c r="G65" i="15"/>
  <c r="D65" i="15"/>
  <c r="C65" i="15"/>
  <c r="B65" i="15"/>
  <c r="K64" i="15"/>
  <c r="J64" i="15"/>
  <c r="G64" i="15"/>
  <c r="D64" i="15"/>
  <c r="C64" i="15"/>
  <c r="B64" i="15"/>
  <c r="J63" i="15"/>
  <c r="K63" i="15" s="1"/>
  <c r="G63" i="15"/>
  <c r="D63" i="15"/>
  <c r="C63" i="15"/>
  <c r="B63" i="15"/>
  <c r="J62" i="15"/>
  <c r="K62" i="15" s="1"/>
  <c r="G62" i="15"/>
  <c r="D62" i="15"/>
  <c r="C62" i="15"/>
  <c r="B62" i="15"/>
  <c r="K61" i="15"/>
  <c r="J61" i="15"/>
  <c r="G61" i="15"/>
  <c r="D61" i="15"/>
  <c r="C61" i="15"/>
  <c r="B61" i="15"/>
  <c r="K60" i="15"/>
  <c r="J60" i="15"/>
  <c r="G60" i="15"/>
  <c r="D60" i="15"/>
  <c r="C60" i="15"/>
  <c r="B60" i="15"/>
  <c r="K59" i="15"/>
  <c r="J59" i="15"/>
  <c r="G59" i="15"/>
  <c r="D59" i="15"/>
  <c r="C59" i="15"/>
  <c r="B59" i="15"/>
  <c r="J58" i="15"/>
  <c r="K58" i="15" s="1"/>
  <c r="G58" i="15"/>
  <c r="D58" i="15"/>
  <c r="C58" i="15"/>
  <c r="B58" i="15"/>
  <c r="J57" i="15"/>
  <c r="K57" i="15" s="1"/>
  <c r="G57" i="15"/>
  <c r="D57" i="15"/>
  <c r="C57" i="15"/>
  <c r="B57" i="15"/>
  <c r="K56" i="15"/>
  <c r="J56" i="15"/>
  <c r="G56" i="15"/>
  <c r="D56" i="15"/>
  <c r="C56" i="15"/>
  <c r="B56" i="15"/>
  <c r="J55" i="15"/>
  <c r="K55" i="15" s="1"/>
  <c r="G55" i="15"/>
  <c r="D55" i="15"/>
  <c r="C55" i="15"/>
  <c r="B55" i="15"/>
  <c r="J54" i="15"/>
  <c r="K54" i="15" s="1"/>
  <c r="G54" i="15"/>
  <c r="D54" i="15"/>
  <c r="C54" i="15"/>
  <c r="B54" i="15"/>
  <c r="K53" i="15"/>
  <c r="J53" i="15"/>
  <c r="G53" i="15"/>
  <c r="D53" i="15"/>
  <c r="C53" i="15"/>
  <c r="B53" i="15"/>
  <c r="K52" i="15"/>
  <c r="J52" i="15"/>
  <c r="G52" i="15"/>
  <c r="D52" i="15"/>
  <c r="C52" i="15"/>
  <c r="B52" i="15"/>
  <c r="J51" i="15"/>
  <c r="K51" i="15" s="1"/>
  <c r="G51" i="15"/>
  <c r="D51" i="15"/>
  <c r="C51" i="15"/>
  <c r="B51" i="15"/>
  <c r="J50" i="15"/>
  <c r="K50" i="15" s="1"/>
  <c r="G50" i="15"/>
  <c r="D50" i="15"/>
  <c r="C50" i="15"/>
  <c r="B50" i="15"/>
  <c r="J49" i="15"/>
  <c r="K49" i="15" s="1"/>
  <c r="G49" i="15"/>
  <c r="D49" i="15"/>
  <c r="C49" i="15"/>
  <c r="B49" i="15"/>
  <c r="K48" i="15"/>
  <c r="J48" i="15"/>
  <c r="G48" i="15"/>
  <c r="D48" i="15"/>
  <c r="C48" i="15"/>
  <c r="B48" i="15"/>
  <c r="K47" i="15"/>
  <c r="J47" i="15"/>
  <c r="G47" i="15"/>
  <c r="D47" i="15"/>
  <c r="C47" i="15"/>
  <c r="B47" i="15"/>
  <c r="J46" i="15"/>
  <c r="K46" i="15" s="1"/>
  <c r="G46" i="15"/>
  <c r="D46" i="15"/>
  <c r="C46" i="15"/>
  <c r="B46" i="15"/>
  <c r="K45" i="15"/>
  <c r="J45" i="15"/>
  <c r="G45" i="15"/>
  <c r="D45" i="15"/>
  <c r="C45" i="15"/>
  <c r="B45" i="15"/>
  <c r="K44" i="15"/>
  <c r="J44" i="15"/>
  <c r="G44" i="15"/>
  <c r="D44" i="15"/>
  <c r="C44" i="15"/>
  <c r="B44" i="15"/>
  <c r="K43" i="15"/>
  <c r="J43" i="15"/>
  <c r="G43" i="15"/>
  <c r="D43" i="15"/>
  <c r="C43" i="15"/>
  <c r="B43" i="15"/>
  <c r="J42" i="15"/>
  <c r="K42" i="15" s="1"/>
  <c r="G42" i="15"/>
  <c r="D42" i="15"/>
  <c r="C42" i="15"/>
  <c r="B42" i="15"/>
  <c r="J41" i="15"/>
  <c r="K41" i="15" s="1"/>
  <c r="G41" i="15"/>
  <c r="D41" i="15"/>
  <c r="C41" i="15"/>
  <c r="B41" i="15"/>
  <c r="K40" i="15"/>
  <c r="J40" i="15"/>
  <c r="G40" i="15"/>
  <c r="D40" i="15"/>
  <c r="C40" i="15"/>
  <c r="B40" i="15"/>
  <c r="J39" i="15"/>
  <c r="K39" i="15" s="1"/>
  <c r="G39" i="15"/>
  <c r="D39" i="15"/>
  <c r="C39" i="15"/>
  <c r="B39" i="15"/>
  <c r="J38" i="15"/>
  <c r="K38" i="15" s="1"/>
  <c r="G38" i="15"/>
  <c r="D38" i="15"/>
  <c r="C38" i="15"/>
  <c r="B38" i="15"/>
  <c r="J37" i="15"/>
  <c r="K37" i="15" s="1"/>
  <c r="G37" i="15"/>
  <c r="D37" i="15"/>
  <c r="C37" i="15"/>
  <c r="B37" i="15"/>
  <c r="K36" i="15"/>
  <c r="J36" i="15"/>
  <c r="G36" i="15"/>
  <c r="D36" i="15"/>
  <c r="C36" i="15"/>
  <c r="B36" i="15"/>
  <c r="K35" i="15"/>
  <c r="J35" i="15"/>
  <c r="G35" i="15"/>
  <c r="D35" i="15"/>
  <c r="C35" i="15"/>
  <c r="B35" i="15"/>
  <c r="J34" i="15"/>
  <c r="K34" i="15" s="1"/>
  <c r="G34" i="15"/>
  <c r="D34" i="15"/>
  <c r="C34" i="15"/>
  <c r="B34" i="15"/>
  <c r="K33" i="15"/>
  <c r="J33" i="15"/>
  <c r="G33" i="15"/>
  <c r="D33" i="15"/>
  <c r="C33" i="15"/>
  <c r="B33" i="15"/>
  <c r="K32" i="15"/>
  <c r="J32" i="15"/>
  <c r="G32" i="15"/>
  <c r="D32" i="15"/>
  <c r="C32" i="15"/>
  <c r="B32" i="15"/>
  <c r="J31" i="15"/>
  <c r="K31" i="15" s="1"/>
  <c r="G31" i="15"/>
  <c r="D31" i="15"/>
  <c r="C31" i="15"/>
  <c r="B31" i="15"/>
  <c r="J30" i="15"/>
  <c r="K30" i="15" s="1"/>
  <c r="G30" i="15"/>
  <c r="D30" i="15"/>
  <c r="C30" i="15"/>
  <c r="B30" i="15"/>
  <c r="K29" i="15"/>
  <c r="J29" i="15"/>
  <c r="G29" i="15"/>
  <c r="D29" i="15"/>
  <c r="C29" i="15"/>
  <c r="B29" i="15"/>
  <c r="K28" i="15"/>
  <c r="J28" i="15"/>
  <c r="G28" i="15"/>
  <c r="D28" i="15"/>
  <c r="C28" i="15"/>
  <c r="B28" i="15"/>
  <c r="K27" i="15"/>
  <c r="J27" i="15"/>
  <c r="G27" i="15"/>
  <c r="D27" i="15"/>
  <c r="C27" i="15"/>
  <c r="B27" i="15"/>
  <c r="J26" i="15"/>
  <c r="K26" i="15" s="1"/>
  <c r="G26" i="15"/>
  <c r="D26" i="15"/>
  <c r="C26" i="15"/>
  <c r="B26" i="15"/>
  <c r="J25" i="15"/>
  <c r="K25" i="15" s="1"/>
  <c r="G25" i="15"/>
  <c r="D25" i="15"/>
  <c r="C25" i="15"/>
  <c r="B25" i="15"/>
  <c r="K24" i="15"/>
  <c r="J24" i="15"/>
  <c r="G24" i="15"/>
  <c r="D24" i="15"/>
  <c r="C24" i="15"/>
  <c r="B24" i="15"/>
  <c r="J23" i="15"/>
  <c r="K23" i="15" s="1"/>
  <c r="G23" i="15"/>
  <c r="D23" i="15"/>
  <c r="C23" i="15"/>
  <c r="B23" i="15"/>
  <c r="J22" i="15"/>
  <c r="K22" i="15" s="1"/>
  <c r="G22" i="15"/>
  <c r="D22" i="15"/>
  <c r="C22" i="15"/>
  <c r="B22" i="15"/>
  <c r="K21" i="15"/>
  <c r="J21" i="15"/>
  <c r="G21" i="15"/>
  <c r="D21" i="15"/>
  <c r="C21" i="15"/>
  <c r="B21" i="15"/>
  <c r="K20" i="15"/>
  <c r="J20" i="15"/>
  <c r="G20" i="15"/>
  <c r="D20" i="15"/>
  <c r="C20" i="15"/>
  <c r="B20" i="15"/>
  <c r="J19" i="15"/>
  <c r="K19" i="15" s="1"/>
  <c r="G19" i="15"/>
  <c r="D19" i="15"/>
  <c r="C19" i="15"/>
  <c r="B19" i="15"/>
  <c r="J18" i="15"/>
  <c r="K18" i="15" s="1"/>
  <c r="G18" i="15"/>
  <c r="D18" i="15"/>
  <c r="C18" i="15"/>
  <c r="B18" i="15"/>
  <c r="J17" i="15"/>
  <c r="K17" i="15" s="1"/>
  <c r="G17" i="15"/>
  <c r="D17" i="15"/>
  <c r="C17" i="15"/>
  <c r="B17" i="15"/>
  <c r="K16" i="15"/>
  <c r="J16" i="15"/>
  <c r="G16" i="15"/>
  <c r="D16" i="15"/>
  <c r="C16" i="15"/>
  <c r="B16" i="15"/>
  <c r="K15" i="15"/>
  <c r="J15" i="15"/>
  <c r="G15" i="15"/>
  <c r="D15" i="15"/>
  <c r="C15" i="15"/>
  <c r="B15" i="15"/>
  <c r="J14" i="15"/>
  <c r="K14" i="15" s="1"/>
  <c r="G14" i="15"/>
  <c r="D14" i="15"/>
  <c r="C14" i="15"/>
  <c r="B14" i="15"/>
  <c r="K13" i="15"/>
  <c r="J13" i="15"/>
  <c r="G13" i="15"/>
  <c r="D13" i="15"/>
  <c r="C13" i="15"/>
  <c r="B13" i="15"/>
  <c r="K12" i="15"/>
  <c r="J12" i="15"/>
  <c r="G12" i="15"/>
  <c r="D12" i="15"/>
  <c r="C12" i="15"/>
  <c r="B12" i="15"/>
  <c r="K11" i="15"/>
  <c r="J11" i="15"/>
  <c r="G11" i="15"/>
  <c r="D11" i="15"/>
  <c r="C11" i="15"/>
  <c r="B11" i="15"/>
  <c r="J10" i="15"/>
  <c r="K10" i="15" s="1"/>
  <c r="G10" i="15"/>
  <c r="D10" i="15"/>
  <c r="C10" i="15"/>
  <c r="B10" i="15"/>
  <c r="J9" i="15"/>
  <c r="K9" i="15" s="1"/>
  <c r="G9" i="15"/>
  <c r="D9" i="15"/>
  <c r="C9" i="15"/>
  <c r="B9" i="15"/>
  <c r="K4" i="15"/>
  <c r="G4" i="15"/>
  <c r="D4" i="15"/>
  <c r="A4" i="15"/>
  <c r="I208" i="14"/>
  <c r="J208" i="14" s="1"/>
  <c r="F208" i="14"/>
  <c r="D208" i="14"/>
  <c r="C208" i="14"/>
  <c r="B208" i="14"/>
  <c r="I207" i="14"/>
  <c r="J207" i="14" s="1"/>
  <c r="F207" i="14"/>
  <c r="D207" i="14"/>
  <c r="C207" i="14"/>
  <c r="B207" i="14"/>
  <c r="J206" i="14"/>
  <c r="I206" i="14"/>
  <c r="F206" i="14"/>
  <c r="D206" i="14"/>
  <c r="C206" i="14"/>
  <c r="B206" i="14"/>
  <c r="J205" i="14"/>
  <c r="I205" i="14"/>
  <c r="F205" i="14"/>
  <c r="D205" i="14"/>
  <c r="C205" i="14"/>
  <c r="B205" i="14"/>
  <c r="I204" i="14"/>
  <c r="J204" i="14" s="1"/>
  <c r="F204" i="14"/>
  <c r="D204" i="14"/>
  <c r="C204" i="14"/>
  <c r="B204" i="14"/>
  <c r="J203" i="14"/>
  <c r="I203" i="14"/>
  <c r="F203" i="14"/>
  <c r="D203" i="14"/>
  <c r="C203" i="14"/>
  <c r="B203" i="14"/>
  <c r="I202" i="14"/>
  <c r="J202" i="14" s="1"/>
  <c r="F202" i="14"/>
  <c r="D202" i="14"/>
  <c r="C202" i="14"/>
  <c r="B202" i="14"/>
  <c r="I201" i="14"/>
  <c r="J201" i="14" s="1"/>
  <c r="F201" i="14"/>
  <c r="D201" i="14"/>
  <c r="C201" i="14"/>
  <c r="B201" i="14"/>
  <c r="I200" i="14"/>
  <c r="J200" i="14" s="1"/>
  <c r="F200" i="14"/>
  <c r="D200" i="14"/>
  <c r="C200" i="14"/>
  <c r="B200" i="14"/>
  <c r="J199" i="14"/>
  <c r="I199" i="14"/>
  <c r="F199" i="14"/>
  <c r="D199" i="14"/>
  <c r="C199" i="14"/>
  <c r="B199" i="14"/>
  <c r="J198" i="14"/>
  <c r="I198" i="14"/>
  <c r="F198" i="14"/>
  <c r="D198" i="14"/>
  <c r="C198" i="14"/>
  <c r="B198" i="14"/>
  <c r="J197" i="14"/>
  <c r="I197" i="14"/>
  <c r="F197" i="14"/>
  <c r="D197" i="14"/>
  <c r="C197" i="14"/>
  <c r="B197" i="14"/>
  <c r="I196" i="14"/>
  <c r="J196" i="14" s="1"/>
  <c r="F196" i="14"/>
  <c r="D196" i="14"/>
  <c r="C196" i="14"/>
  <c r="B196" i="14"/>
  <c r="I195" i="14"/>
  <c r="J195" i="14" s="1"/>
  <c r="F195" i="14"/>
  <c r="D195" i="14"/>
  <c r="C195" i="14"/>
  <c r="B195" i="14"/>
  <c r="I194" i="14"/>
  <c r="J194" i="14" s="1"/>
  <c r="F194" i="14"/>
  <c r="D194" i="14"/>
  <c r="C194" i="14"/>
  <c r="B194" i="14"/>
  <c r="J193" i="14"/>
  <c r="I193" i="14"/>
  <c r="F193" i="14"/>
  <c r="D193" i="14"/>
  <c r="C193" i="14"/>
  <c r="B193" i="14"/>
  <c r="I192" i="14"/>
  <c r="J192" i="14" s="1"/>
  <c r="F192" i="14"/>
  <c r="D192" i="14"/>
  <c r="C192" i="14"/>
  <c r="B192" i="14"/>
  <c r="J191" i="14"/>
  <c r="I191" i="14"/>
  <c r="F191" i="14"/>
  <c r="D191" i="14"/>
  <c r="C191" i="14"/>
  <c r="B191" i="14"/>
  <c r="J190" i="14"/>
  <c r="I190" i="14"/>
  <c r="F190" i="14"/>
  <c r="D190" i="14"/>
  <c r="C190" i="14"/>
  <c r="B190" i="14"/>
  <c r="I189" i="14"/>
  <c r="J189" i="14" s="1"/>
  <c r="F189" i="14"/>
  <c r="D189" i="14"/>
  <c r="C189" i="14"/>
  <c r="B189" i="14"/>
  <c r="I188" i="14"/>
  <c r="J188" i="14" s="1"/>
  <c r="F188" i="14"/>
  <c r="D188" i="14"/>
  <c r="C188" i="14"/>
  <c r="B188" i="14"/>
  <c r="I187" i="14"/>
  <c r="J187" i="14" s="1"/>
  <c r="F187" i="14"/>
  <c r="D187" i="14"/>
  <c r="C187" i="14"/>
  <c r="B187" i="14"/>
  <c r="J186" i="14"/>
  <c r="I186" i="14"/>
  <c r="F186" i="14"/>
  <c r="D186" i="14"/>
  <c r="C186" i="14"/>
  <c r="B186" i="14"/>
  <c r="J185" i="14"/>
  <c r="I185" i="14"/>
  <c r="F185" i="14"/>
  <c r="D185" i="14"/>
  <c r="C185" i="14"/>
  <c r="B185" i="14"/>
  <c r="I184" i="14"/>
  <c r="J184" i="14" s="1"/>
  <c r="F184" i="14"/>
  <c r="D184" i="14"/>
  <c r="C184" i="14"/>
  <c r="B184" i="14"/>
  <c r="J183" i="14"/>
  <c r="I183" i="14"/>
  <c r="F183" i="14"/>
  <c r="D183" i="14"/>
  <c r="C183" i="14"/>
  <c r="B183" i="14"/>
  <c r="I182" i="14"/>
  <c r="J182" i="14" s="1"/>
  <c r="F182" i="14"/>
  <c r="D182" i="14"/>
  <c r="C182" i="14"/>
  <c r="B182" i="14"/>
  <c r="J181" i="14"/>
  <c r="I181" i="14"/>
  <c r="F181" i="14"/>
  <c r="D181" i="14"/>
  <c r="C181" i="14"/>
  <c r="B181" i="14"/>
  <c r="I180" i="14"/>
  <c r="J180" i="14" s="1"/>
  <c r="F180" i="14"/>
  <c r="D180" i="14"/>
  <c r="C180" i="14"/>
  <c r="B180" i="14"/>
  <c r="J179" i="14"/>
  <c r="I179" i="14"/>
  <c r="F179" i="14"/>
  <c r="D179" i="14"/>
  <c r="C179" i="14"/>
  <c r="B179" i="14"/>
  <c r="J178" i="14"/>
  <c r="I178" i="14"/>
  <c r="F178" i="14"/>
  <c r="D178" i="14"/>
  <c r="C178" i="14"/>
  <c r="B178" i="14"/>
  <c r="I177" i="14"/>
  <c r="J177" i="14" s="1"/>
  <c r="F177" i="14"/>
  <c r="D177" i="14"/>
  <c r="C177" i="14"/>
  <c r="B177" i="14"/>
  <c r="I176" i="14"/>
  <c r="J176" i="14" s="1"/>
  <c r="F176" i="14"/>
  <c r="D176" i="14"/>
  <c r="C176" i="14"/>
  <c r="B176" i="14"/>
  <c r="I175" i="14"/>
  <c r="J175" i="14" s="1"/>
  <c r="F175" i="14"/>
  <c r="D175" i="14"/>
  <c r="C175" i="14"/>
  <c r="B175" i="14"/>
  <c r="J174" i="14"/>
  <c r="I174" i="14"/>
  <c r="F174" i="14"/>
  <c r="D174" i="14"/>
  <c r="C174" i="14"/>
  <c r="B174" i="14"/>
  <c r="J173" i="14"/>
  <c r="I173" i="14"/>
  <c r="F173" i="14"/>
  <c r="D173" i="14"/>
  <c r="C173" i="14"/>
  <c r="B173" i="14"/>
  <c r="I172" i="14"/>
  <c r="J172" i="14" s="1"/>
  <c r="F172" i="14"/>
  <c r="D172" i="14"/>
  <c r="C172" i="14"/>
  <c r="B172" i="14"/>
  <c r="J171" i="14"/>
  <c r="I171" i="14"/>
  <c r="F171" i="14"/>
  <c r="D171" i="14"/>
  <c r="C171" i="14"/>
  <c r="B171" i="14"/>
  <c r="I170" i="14"/>
  <c r="J170" i="14" s="1"/>
  <c r="F170" i="14"/>
  <c r="D170" i="14"/>
  <c r="C170" i="14"/>
  <c r="B170" i="14"/>
  <c r="I169" i="14"/>
  <c r="J169" i="14" s="1"/>
  <c r="F169" i="14"/>
  <c r="D169" i="14"/>
  <c r="C169" i="14"/>
  <c r="B169" i="14"/>
  <c r="I168" i="14"/>
  <c r="J168" i="14" s="1"/>
  <c r="F168" i="14"/>
  <c r="D168" i="14"/>
  <c r="C168" i="14"/>
  <c r="B168" i="14"/>
  <c r="J167" i="14"/>
  <c r="I167" i="14"/>
  <c r="F167" i="14"/>
  <c r="D167" i="14"/>
  <c r="C167" i="14"/>
  <c r="B167" i="14"/>
  <c r="J166" i="14"/>
  <c r="I166" i="14"/>
  <c r="F166" i="14"/>
  <c r="D166" i="14"/>
  <c r="C166" i="14"/>
  <c r="B166" i="14"/>
  <c r="J165" i="14"/>
  <c r="I165" i="14"/>
  <c r="F165" i="14"/>
  <c r="D165" i="14"/>
  <c r="C165" i="14"/>
  <c r="B165" i="14"/>
  <c r="I164" i="14"/>
  <c r="J164" i="14" s="1"/>
  <c r="F164" i="14"/>
  <c r="D164" i="14"/>
  <c r="C164" i="14"/>
  <c r="B164" i="14"/>
  <c r="I163" i="14"/>
  <c r="J163" i="14" s="1"/>
  <c r="F163" i="14"/>
  <c r="D163" i="14"/>
  <c r="C163" i="14"/>
  <c r="B163" i="14"/>
  <c r="I162" i="14"/>
  <c r="J162" i="14" s="1"/>
  <c r="F162" i="14"/>
  <c r="D162" i="14"/>
  <c r="C162" i="14"/>
  <c r="B162" i="14"/>
  <c r="J161" i="14"/>
  <c r="I161" i="14"/>
  <c r="F161" i="14"/>
  <c r="D161" i="14"/>
  <c r="C161" i="14"/>
  <c r="B161" i="14"/>
  <c r="I160" i="14"/>
  <c r="J160" i="14" s="1"/>
  <c r="F160" i="14"/>
  <c r="D160" i="14"/>
  <c r="C160" i="14"/>
  <c r="B160" i="14"/>
  <c r="J159" i="14"/>
  <c r="I159" i="14"/>
  <c r="F159" i="14"/>
  <c r="D159" i="14"/>
  <c r="C159" i="14"/>
  <c r="B159" i="14"/>
  <c r="J158" i="14"/>
  <c r="I158" i="14"/>
  <c r="F158" i="14"/>
  <c r="D158" i="14"/>
  <c r="C158" i="14"/>
  <c r="B158" i="14"/>
  <c r="I157" i="14"/>
  <c r="J157" i="14" s="1"/>
  <c r="F157" i="14"/>
  <c r="D157" i="14"/>
  <c r="C157" i="14"/>
  <c r="B157" i="14"/>
  <c r="I156" i="14"/>
  <c r="J156" i="14" s="1"/>
  <c r="F156" i="14"/>
  <c r="D156" i="14"/>
  <c r="C156" i="14"/>
  <c r="B156" i="14"/>
  <c r="I155" i="14"/>
  <c r="J155" i="14" s="1"/>
  <c r="F155" i="14"/>
  <c r="D155" i="14"/>
  <c r="C155" i="14"/>
  <c r="B155" i="14"/>
  <c r="J154" i="14"/>
  <c r="I154" i="14"/>
  <c r="F154" i="14"/>
  <c r="D154" i="14"/>
  <c r="C154" i="14"/>
  <c r="B154" i="14"/>
  <c r="J153" i="14"/>
  <c r="I153" i="14"/>
  <c r="F153" i="14"/>
  <c r="D153" i="14"/>
  <c r="C153" i="14"/>
  <c r="B153" i="14"/>
  <c r="I152" i="14"/>
  <c r="J152" i="14" s="1"/>
  <c r="F152" i="14"/>
  <c r="D152" i="14"/>
  <c r="C152" i="14"/>
  <c r="B152" i="14"/>
  <c r="J151" i="14"/>
  <c r="I151" i="14"/>
  <c r="F151" i="14"/>
  <c r="D151" i="14"/>
  <c r="C151" i="14"/>
  <c r="B151" i="14"/>
  <c r="I150" i="14"/>
  <c r="J150" i="14" s="1"/>
  <c r="F150" i="14"/>
  <c r="D150" i="14"/>
  <c r="C150" i="14"/>
  <c r="B150" i="14"/>
  <c r="J149" i="14"/>
  <c r="I149" i="14"/>
  <c r="F149" i="14"/>
  <c r="D149" i="14"/>
  <c r="C149" i="14"/>
  <c r="B149" i="14"/>
  <c r="I148" i="14"/>
  <c r="J148" i="14" s="1"/>
  <c r="F148" i="14"/>
  <c r="D148" i="14"/>
  <c r="C148" i="14"/>
  <c r="B148" i="14"/>
  <c r="J147" i="14"/>
  <c r="I147" i="14"/>
  <c r="F147" i="14"/>
  <c r="D147" i="14"/>
  <c r="C147" i="14"/>
  <c r="B147" i="14"/>
  <c r="J146" i="14"/>
  <c r="I146" i="14"/>
  <c r="F146" i="14"/>
  <c r="D146" i="14"/>
  <c r="C146" i="14"/>
  <c r="B146" i="14"/>
  <c r="I145" i="14"/>
  <c r="J145" i="14" s="1"/>
  <c r="F145" i="14"/>
  <c r="D145" i="14"/>
  <c r="C145" i="14"/>
  <c r="B145" i="14"/>
  <c r="I144" i="14"/>
  <c r="J144" i="14" s="1"/>
  <c r="F144" i="14"/>
  <c r="D144" i="14"/>
  <c r="C144" i="14"/>
  <c r="B144" i="14"/>
  <c r="I143" i="14"/>
  <c r="J143" i="14" s="1"/>
  <c r="F143" i="14"/>
  <c r="D143" i="14"/>
  <c r="C143" i="14"/>
  <c r="B143" i="14"/>
  <c r="J142" i="14"/>
  <c r="I142" i="14"/>
  <c r="F142" i="14"/>
  <c r="D142" i="14"/>
  <c r="C142" i="14"/>
  <c r="B142" i="14"/>
  <c r="J141" i="14"/>
  <c r="I141" i="14"/>
  <c r="F141" i="14"/>
  <c r="D141" i="14"/>
  <c r="C141" i="14"/>
  <c r="B141" i="14"/>
  <c r="I140" i="14"/>
  <c r="J140" i="14" s="1"/>
  <c r="F140" i="14"/>
  <c r="D140" i="14"/>
  <c r="C140" i="14"/>
  <c r="B140" i="14"/>
  <c r="J139" i="14"/>
  <c r="I139" i="14"/>
  <c r="F139" i="14"/>
  <c r="D139" i="14"/>
  <c r="C139" i="14"/>
  <c r="B139" i="14"/>
  <c r="I138" i="14"/>
  <c r="J138" i="14" s="1"/>
  <c r="F138" i="14"/>
  <c r="D138" i="14"/>
  <c r="C138" i="14"/>
  <c r="B138" i="14"/>
  <c r="I137" i="14"/>
  <c r="J137" i="14" s="1"/>
  <c r="F137" i="14"/>
  <c r="D137" i="14"/>
  <c r="C137" i="14"/>
  <c r="B137" i="14"/>
  <c r="I136" i="14"/>
  <c r="J136" i="14" s="1"/>
  <c r="F136" i="14"/>
  <c r="D136" i="14"/>
  <c r="C136" i="14"/>
  <c r="B136" i="14"/>
  <c r="J135" i="14"/>
  <c r="I135" i="14"/>
  <c r="F135" i="14"/>
  <c r="D135" i="14"/>
  <c r="C135" i="14"/>
  <c r="B135" i="14"/>
  <c r="J134" i="14"/>
  <c r="I134" i="14"/>
  <c r="F134" i="14"/>
  <c r="D134" i="14"/>
  <c r="C134" i="14"/>
  <c r="B134" i="14"/>
  <c r="J133" i="14"/>
  <c r="I133" i="14"/>
  <c r="F133" i="14"/>
  <c r="D133" i="14"/>
  <c r="C133" i="14"/>
  <c r="B133" i="14"/>
  <c r="I132" i="14"/>
  <c r="J132" i="14" s="1"/>
  <c r="F132" i="14"/>
  <c r="D132" i="14"/>
  <c r="C132" i="14"/>
  <c r="B132" i="14"/>
  <c r="I131" i="14"/>
  <c r="J131" i="14" s="1"/>
  <c r="F131" i="14"/>
  <c r="D131" i="14"/>
  <c r="C131" i="14"/>
  <c r="B131" i="14"/>
  <c r="I130" i="14"/>
  <c r="J130" i="14" s="1"/>
  <c r="F130" i="14"/>
  <c r="D130" i="14"/>
  <c r="C130" i="14"/>
  <c r="B130" i="14"/>
  <c r="J129" i="14"/>
  <c r="I129" i="14"/>
  <c r="F129" i="14"/>
  <c r="D129" i="14"/>
  <c r="C129" i="14"/>
  <c r="B129" i="14"/>
  <c r="I128" i="14"/>
  <c r="J128" i="14" s="1"/>
  <c r="F128" i="14"/>
  <c r="D128" i="14"/>
  <c r="C128" i="14"/>
  <c r="B128" i="14"/>
  <c r="J127" i="14"/>
  <c r="I127" i="14"/>
  <c r="F127" i="14"/>
  <c r="D127" i="14"/>
  <c r="C127" i="14"/>
  <c r="B127" i="14"/>
  <c r="J126" i="14"/>
  <c r="I126" i="14"/>
  <c r="F126" i="14"/>
  <c r="D126" i="14"/>
  <c r="C126" i="14"/>
  <c r="B126" i="14"/>
  <c r="I125" i="14"/>
  <c r="J125" i="14" s="1"/>
  <c r="F125" i="14"/>
  <c r="D125" i="14"/>
  <c r="C125" i="14"/>
  <c r="B125" i="14"/>
  <c r="I124" i="14"/>
  <c r="J124" i="14" s="1"/>
  <c r="F124" i="14"/>
  <c r="D124" i="14"/>
  <c r="C124" i="14"/>
  <c r="B124" i="14"/>
  <c r="I123" i="14"/>
  <c r="J123" i="14" s="1"/>
  <c r="F123" i="14"/>
  <c r="D123" i="14"/>
  <c r="C123" i="14"/>
  <c r="B123" i="14"/>
  <c r="J122" i="14"/>
  <c r="I122" i="14"/>
  <c r="F122" i="14"/>
  <c r="D122" i="14"/>
  <c r="C122" i="14"/>
  <c r="B122" i="14"/>
  <c r="J121" i="14"/>
  <c r="I121" i="14"/>
  <c r="F121" i="14"/>
  <c r="D121" i="14"/>
  <c r="C121" i="14"/>
  <c r="B121" i="14"/>
  <c r="I120" i="14"/>
  <c r="J120" i="14" s="1"/>
  <c r="F120" i="14"/>
  <c r="D120" i="14"/>
  <c r="C120" i="14"/>
  <c r="B120" i="14"/>
  <c r="J119" i="14"/>
  <c r="I119" i="14"/>
  <c r="F119" i="14"/>
  <c r="D119" i="14"/>
  <c r="C119" i="14"/>
  <c r="B119" i="14"/>
  <c r="I118" i="14"/>
  <c r="J118" i="14" s="1"/>
  <c r="F118" i="14"/>
  <c r="D118" i="14"/>
  <c r="C118" i="14"/>
  <c r="B118" i="14"/>
  <c r="J117" i="14"/>
  <c r="I117" i="14"/>
  <c r="F117" i="14"/>
  <c r="D117" i="14"/>
  <c r="C117" i="14"/>
  <c r="B117" i="14"/>
  <c r="I116" i="14"/>
  <c r="J116" i="14" s="1"/>
  <c r="F116" i="14"/>
  <c r="D116" i="14"/>
  <c r="C116" i="14"/>
  <c r="B116" i="14"/>
  <c r="J115" i="14"/>
  <c r="I115" i="14"/>
  <c r="F115" i="14"/>
  <c r="D115" i="14"/>
  <c r="C115" i="14"/>
  <c r="B115" i="14"/>
  <c r="J114" i="14"/>
  <c r="I114" i="14"/>
  <c r="F114" i="14"/>
  <c r="D114" i="14"/>
  <c r="C114" i="14"/>
  <c r="B114" i="14"/>
  <c r="I113" i="14"/>
  <c r="J113" i="14" s="1"/>
  <c r="F113" i="14"/>
  <c r="D113" i="14"/>
  <c r="C113" i="14"/>
  <c r="B113" i="14"/>
  <c r="I112" i="14"/>
  <c r="J112" i="14" s="1"/>
  <c r="F112" i="14"/>
  <c r="D112" i="14"/>
  <c r="C112" i="14"/>
  <c r="B112" i="14"/>
  <c r="I111" i="14"/>
  <c r="J111" i="14" s="1"/>
  <c r="F111" i="14"/>
  <c r="D111" i="14"/>
  <c r="C111" i="14"/>
  <c r="B111" i="14"/>
  <c r="J110" i="14"/>
  <c r="I110" i="14"/>
  <c r="F110" i="14"/>
  <c r="D110" i="14"/>
  <c r="C110" i="14"/>
  <c r="B110" i="14"/>
  <c r="J109" i="14"/>
  <c r="I109" i="14"/>
  <c r="F109" i="14"/>
  <c r="D109" i="14"/>
  <c r="C109" i="14"/>
  <c r="B109" i="14"/>
  <c r="I108" i="14"/>
  <c r="J108" i="14" s="1"/>
  <c r="F108" i="14"/>
  <c r="D108" i="14"/>
  <c r="C108" i="14"/>
  <c r="B108" i="14"/>
  <c r="J107" i="14"/>
  <c r="I107" i="14"/>
  <c r="F107" i="14"/>
  <c r="D107" i="14"/>
  <c r="C107" i="14"/>
  <c r="B107" i="14"/>
  <c r="I106" i="14"/>
  <c r="J106" i="14" s="1"/>
  <c r="F106" i="14"/>
  <c r="D106" i="14"/>
  <c r="C106" i="14"/>
  <c r="B106" i="14"/>
  <c r="I105" i="14"/>
  <c r="J105" i="14" s="1"/>
  <c r="F105" i="14"/>
  <c r="D105" i="14"/>
  <c r="C105" i="14"/>
  <c r="B105" i="14"/>
  <c r="I104" i="14"/>
  <c r="J104" i="14" s="1"/>
  <c r="F104" i="14"/>
  <c r="D104" i="14"/>
  <c r="C104" i="14"/>
  <c r="B104" i="14"/>
  <c r="J103" i="14"/>
  <c r="I103" i="14"/>
  <c r="F103" i="14"/>
  <c r="D103" i="14"/>
  <c r="C103" i="14"/>
  <c r="B103" i="14"/>
  <c r="J102" i="14"/>
  <c r="I102" i="14"/>
  <c r="F102" i="14"/>
  <c r="D102" i="14"/>
  <c r="C102" i="14"/>
  <c r="B102" i="14"/>
  <c r="J101" i="14"/>
  <c r="I101" i="14"/>
  <c r="F101" i="14"/>
  <c r="D101" i="14"/>
  <c r="C101" i="14"/>
  <c r="B101" i="14"/>
  <c r="I100" i="14"/>
  <c r="J100" i="14" s="1"/>
  <c r="F100" i="14"/>
  <c r="D100" i="14"/>
  <c r="C100" i="14"/>
  <c r="B100" i="14"/>
  <c r="I99" i="14"/>
  <c r="J99" i="14" s="1"/>
  <c r="F99" i="14"/>
  <c r="D99" i="14"/>
  <c r="C99" i="14"/>
  <c r="B99" i="14"/>
  <c r="I98" i="14"/>
  <c r="J98" i="14" s="1"/>
  <c r="F98" i="14"/>
  <c r="D98" i="14"/>
  <c r="C98" i="14"/>
  <c r="B98" i="14"/>
  <c r="J97" i="14"/>
  <c r="I97" i="14"/>
  <c r="F97" i="14"/>
  <c r="D97" i="14"/>
  <c r="C97" i="14"/>
  <c r="B97" i="14"/>
  <c r="I96" i="14"/>
  <c r="J96" i="14" s="1"/>
  <c r="F96" i="14"/>
  <c r="D96" i="14"/>
  <c r="C96" i="14"/>
  <c r="B96" i="14"/>
  <c r="J95" i="14"/>
  <c r="I95" i="14"/>
  <c r="F95" i="14"/>
  <c r="D95" i="14"/>
  <c r="C95" i="14"/>
  <c r="B95" i="14"/>
  <c r="J94" i="14"/>
  <c r="I94" i="14"/>
  <c r="F94" i="14"/>
  <c r="D94" i="14"/>
  <c r="C94" i="14"/>
  <c r="B94" i="14"/>
  <c r="I93" i="14"/>
  <c r="J93" i="14" s="1"/>
  <c r="F93" i="14"/>
  <c r="D93" i="14"/>
  <c r="C93" i="14"/>
  <c r="B93" i="14"/>
  <c r="I92" i="14"/>
  <c r="J92" i="14" s="1"/>
  <c r="F92" i="14"/>
  <c r="D92" i="14"/>
  <c r="C92" i="14"/>
  <c r="B92" i="14"/>
  <c r="I91" i="14"/>
  <c r="J91" i="14" s="1"/>
  <c r="F91" i="14"/>
  <c r="D91" i="14"/>
  <c r="C91" i="14"/>
  <c r="B91" i="14"/>
  <c r="J90" i="14"/>
  <c r="I90" i="14"/>
  <c r="F90" i="14"/>
  <c r="D90" i="14"/>
  <c r="C90" i="14"/>
  <c r="B90" i="14"/>
  <c r="J89" i="14"/>
  <c r="I89" i="14"/>
  <c r="F89" i="14"/>
  <c r="D89" i="14"/>
  <c r="C89" i="14"/>
  <c r="B89" i="14"/>
  <c r="I88" i="14"/>
  <c r="J88" i="14" s="1"/>
  <c r="F88" i="14"/>
  <c r="D88" i="14"/>
  <c r="C88" i="14"/>
  <c r="B88" i="14"/>
  <c r="J87" i="14"/>
  <c r="I87" i="14"/>
  <c r="F87" i="14"/>
  <c r="D87" i="14"/>
  <c r="C87" i="14"/>
  <c r="B87" i="14"/>
  <c r="I86" i="14"/>
  <c r="J86" i="14" s="1"/>
  <c r="F86" i="14"/>
  <c r="D86" i="14"/>
  <c r="C86" i="14"/>
  <c r="B86" i="14"/>
  <c r="J85" i="14"/>
  <c r="I85" i="14"/>
  <c r="F85" i="14"/>
  <c r="D85" i="14"/>
  <c r="C85" i="14"/>
  <c r="B85" i="14"/>
  <c r="I84" i="14"/>
  <c r="J84" i="14" s="1"/>
  <c r="F84" i="14"/>
  <c r="D84" i="14"/>
  <c r="C84" i="14"/>
  <c r="B84" i="14"/>
  <c r="J83" i="14"/>
  <c r="I83" i="14"/>
  <c r="F83" i="14"/>
  <c r="D83" i="14"/>
  <c r="C83" i="14"/>
  <c r="B83" i="14"/>
  <c r="J82" i="14"/>
  <c r="I82" i="14"/>
  <c r="F82" i="14"/>
  <c r="D82" i="14"/>
  <c r="C82" i="14"/>
  <c r="B82" i="14"/>
  <c r="I81" i="14"/>
  <c r="J81" i="14" s="1"/>
  <c r="F81" i="14"/>
  <c r="D81" i="14"/>
  <c r="C81" i="14"/>
  <c r="B81" i="14"/>
  <c r="I80" i="14"/>
  <c r="J80" i="14" s="1"/>
  <c r="F80" i="14"/>
  <c r="D80" i="14"/>
  <c r="C80" i="14"/>
  <c r="B80" i="14"/>
  <c r="I79" i="14"/>
  <c r="J79" i="14" s="1"/>
  <c r="F79" i="14"/>
  <c r="D79" i="14"/>
  <c r="C79" i="14"/>
  <c r="B79" i="14"/>
  <c r="J78" i="14"/>
  <c r="I78" i="14"/>
  <c r="F78" i="14"/>
  <c r="D78" i="14"/>
  <c r="C78" i="14"/>
  <c r="B78" i="14"/>
  <c r="J77" i="14"/>
  <c r="I77" i="14"/>
  <c r="F77" i="14"/>
  <c r="D77" i="14"/>
  <c r="C77" i="14"/>
  <c r="B77" i="14"/>
  <c r="I76" i="14"/>
  <c r="J76" i="14" s="1"/>
  <c r="F76" i="14"/>
  <c r="D76" i="14"/>
  <c r="C76" i="14"/>
  <c r="B76" i="14"/>
  <c r="J75" i="14"/>
  <c r="I75" i="14"/>
  <c r="F75" i="14"/>
  <c r="D75" i="14"/>
  <c r="C75" i="14"/>
  <c r="B75" i="14"/>
  <c r="I74" i="14"/>
  <c r="J74" i="14" s="1"/>
  <c r="F74" i="14"/>
  <c r="D74" i="14"/>
  <c r="C74" i="14"/>
  <c r="B74" i="14"/>
  <c r="I73" i="14"/>
  <c r="J73" i="14" s="1"/>
  <c r="F73" i="14"/>
  <c r="D73" i="14"/>
  <c r="C73" i="14"/>
  <c r="B73" i="14"/>
  <c r="I72" i="14"/>
  <c r="J72" i="14" s="1"/>
  <c r="F72" i="14"/>
  <c r="D72" i="14"/>
  <c r="C72" i="14"/>
  <c r="B72" i="14"/>
  <c r="J71" i="14"/>
  <c r="I71" i="14"/>
  <c r="F71" i="14"/>
  <c r="D71" i="14"/>
  <c r="C71" i="14"/>
  <c r="B71" i="14"/>
  <c r="J70" i="14"/>
  <c r="I70" i="14"/>
  <c r="F70" i="14"/>
  <c r="D70" i="14"/>
  <c r="C70" i="14"/>
  <c r="B70" i="14"/>
  <c r="J69" i="14"/>
  <c r="I69" i="14"/>
  <c r="F69" i="14"/>
  <c r="D69" i="14"/>
  <c r="C69" i="14"/>
  <c r="B69" i="14"/>
  <c r="I68" i="14"/>
  <c r="J68" i="14" s="1"/>
  <c r="F68" i="14"/>
  <c r="D68" i="14"/>
  <c r="C68" i="14"/>
  <c r="B68" i="14"/>
  <c r="I67" i="14"/>
  <c r="J67" i="14" s="1"/>
  <c r="F67" i="14"/>
  <c r="D67" i="14"/>
  <c r="C67" i="14"/>
  <c r="B67" i="14"/>
  <c r="I66" i="14"/>
  <c r="J66" i="14" s="1"/>
  <c r="F66" i="14"/>
  <c r="D66" i="14"/>
  <c r="C66" i="14"/>
  <c r="B66" i="14"/>
  <c r="J65" i="14"/>
  <c r="I65" i="14"/>
  <c r="F65" i="14"/>
  <c r="D65" i="14"/>
  <c r="C65" i="14"/>
  <c r="B65" i="14"/>
  <c r="I64" i="14"/>
  <c r="J64" i="14" s="1"/>
  <c r="F64" i="14"/>
  <c r="D64" i="14"/>
  <c r="C64" i="14"/>
  <c r="B64" i="14"/>
  <c r="J63" i="14"/>
  <c r="I63" i="14"/>
  <c r="F63" i="14"/>
  <c r="D63" i="14"/>
  <c r="C63" i="14"/>
  <c r="B63" i="14"/>
  <c r="J62" i="14"/>
  <c r="I62" i="14"/>
  <c r="F62" i="14"/>
  <c r="D62" i="14"/>
  <c r="C62" i="14"/>
  <c r="B62" i="14"/>
  <c r="I61" i="14"/>
  <c r="J61" i="14" s="1"/>
  <c r="F61" i="14"/>
  <c r="D61" i="14"/>
  <c r="C61" i="14"/>
  <c r="B61" i="14"/>
  <c r="I60" i="14"/>
  <c r="J60" i="14" s="1"/>
  <c r="F60" i="14"/>
  <c r="D60" i="14"/>
  <c r="C60" i="14"/>
  <c r="B60" i="14"/>
  <c r="I59" i="14"/>
  <c r="J59" i="14" s="1"/>
  <c r="F59" i="14"/>
  <c r="D59" i="14"/>
  <c r="C59" i="14"/>
  <c r="B59" i="14"/>
  <c r="J58" i="14"/>
  <c r="I58" i="14"/>
  <c r="F58" i="14"/>
  <c r="D58" i="14"/>
  <c r="C58" i="14"/>
  <c r="B58" i="14"/>
  <c r="J57" i="14"/>
  <c r="I57" i="14"/>
  <c r="F57" i="14"/>
  <c r="D57" i="14"/>
  <c r="C57" i="14"/>
  <c r="B57" i="14"/>
  <c r="I56" i="14"/>
  <c r="J56" i="14" s="1"/>
  <c r="F56" i="14"/>
  <c r="D56" i="14"/>
  <c r="C56" i="14"/>
  <c r="B56" i="14"/>
  <c r="J55" i="14"/>
  <c r="I55" i="14"/>
  <c r="F55" i="14"/>
  <c r="D55" i="14"/>
  <c r="C55" i="14"/>
  <c r="B55" i="14"/>
  <c r="I54" i="14"/>
  <c r="J54" i="14" s="1"/>
  <c r="F54" i="14"/>
  <c r="D54" i="14"/>
  <c r="C54" i="14"/>
  <c r="B54" i="14"/>
  <c r="J53" i="14"/>
  <c r="I53" i="14"/>
  <c r="F53" i="14"/>
  <c r="D53" i="14"/>
  <c r="C53" i="14"/>
  <c r="B53" i="14"/>
  <c r="I52" i="14"/>
  <c r="J52" i="14" s="1"/>
  <c r="F52" i="14"/>
  <c r="D52" i="14"/>
  <c r="C52" i="14"/>
  <c r="B52" i="14"/>
  <c r="J51" i="14"/>
  <c r="I51" i="14"/>
  <c r="F51" i="14"/>
  <c r="D51" i="14"/>
  <c r="C51" i="14"/>
  <c r="B51" i="14"/>
  <c r="J50" i="14"/>
  <c r="I50" i="14"/>
  <c r="F50" i="14"/>
  <c r="D50" i="14"/>
  <c r="C50" i="14"/>
  <c r="B50" i="14"/>
  <c r="I49" i="14"/>
  <c r="J49" i="14" s="1"/>
  <c r="F49" i="14"/>
  <c r="D49" i="14"/>
  <c r="C49" i="14"/>
  <c r="B49" i="14"/>
  <c r="I48" i="14"/>
  <c r="J48" i="14" s="1"/>
  <c r="F48" i="14"/>
  <c r="D48" i="14"/>
  <c r="C48" i="14"/>
  <c r="B48" i="14"/>
  <c r="I47" i="14"/>
  <c r="J47" i="14" s="1"/>
  <c r="F47" i="14"/>
  <c r="D47" i="14"/>
  <c r="C47" i="14"/>
  <c r="B47" i="14"/>
  <c r="J46" i="14"/>
  <c r="I46" i="14"/>
  <c r="F46" i="14"/>
  <c r="D46" i="14"/>
  <c r="C46" i="14"/>
  <c r="B46" i="14"/>
  <c r="J45" i="14"/>
  <c r="I45" i="14"/>
  <c r="F45" i="14"/>
  <c r="D45" i="14"/>
  <c r="C45" i="14"/>
  <c r="B45" i="14"/>
  <c r="I44" i="14"/>
  <c r="J44" i="14" s="1"/>
  <c r="F44" i="14"/>
  <c r="D44" i="14"/>
  <c r="C44" i="14"/>
  <c r="B44" i="14"/>
  <c r="J43" i="14"/>
  <c r="I43" i="14"/>
  <c r="F43" i="14"/>
  <c r="D43" i="14"/>
  <c r="C43" i="14"/>
  <c r="B43" i="14"/>
  <c r="I42" i="14"/>
  <c r="J42" i="14" s="1"/>
  <c r="F42" i="14"/>
  <c r="D42" i="14"/>
  <c r="C42" i="14"/>
  <c r="B42" i="14"/>
  <c r="I41" i="14"/>
  <c r="J41" i="14" s="1"/>
  <c r="F41" i="14"/>
  <c r="D41" i="14"/>
  <c r="C41" i="14"/>
  <c r="B41" i="14"/>
  <c r="I40" i="14"/>
  <c r="J40" i="14" s="1"/>
  <c r="F40" i="14"/>
  <c r="D40" i="14"/>
  <c r="C40" i="14"/>
  <c r="B40" i="14"/>
  <c r="J39" i="14"/>
  <c r="I39" i="14"/>
  <c r="F39" i="14"/>
  <c r="D39" i="14"/>
  <c r="C39" i="14"/>
  <c r="B39" i="14"/>
  <c r="J38" i="14"/>
  <c r="I38" i="14"/>
  <c r="F38" i="14"/>
  <c r="D38" i="14"/>
  <c r="C38" i="14"/>
  <c r="B38" i="14"/>
  <c r="J37" i="14"/>
  <c r="I37" i="14"/>
  <c r="F37" i="14"/>
  <c r="D37" i="14"/>
  <c r="C37" i="14"/>
  <c r="B37" i="14"/>
  <c r="I36" i="14"/>
  <c r="J36" i="14" s="1"/>
  <c r="F36" i="14"/>
  <c r="D36" i="14"/>
  <c r="C36" i="14"/>
  <c r="B36" i="14"/>
  <c r="I35" i="14"/>
  <c r="J35" i="14" s="1"/>
  <c r="F35" i="14"/>
  <c r="D35" i="14"/>
  <c r="C35" i="14"/>
  <c r="B35" i="14"/>
  <c r="I34" i="14"/>
  <c r="J34" i="14" s="1"/>
  <c r="F34" i="14"/>
  <c r="D34" i="14"/>
  <c r="C34" i="14"/>
  <c r="B34" i="14"/>
  <c r="J33" i="14"/>
  <c r="I33" i="14"/>
  <c r="F33" i="14"/>
  <c r="D33" i="14"/>
  <c r="C33" i="14"/>
  <c r="B33" i="14"/>
  <c r="I32" i="14"/>
  <c r="J32" i="14" s="1"/>
  <c r="F32" i="14"/>
  <c r="D32" i="14"/>
  <c r="C32" i="14"/>
  <c r="B32" i="14"/>
  <c r="J31" i="14"/>
  <c r="I31" i="14"/>
  <c r="F31" i="14"/>
  <c r="D31" i="14"/>
  <c r="C31" i="14"/>
  <c r="B31" i="14"/>
  <c r="J30" i="14"/>
  <c r="I30" i="14"/>
  <c r="F30" i="14"/>
  <c r="D30" i="14"/>
  <c r="C30" i="14"/>
  <c r="B30" i="14"/>
  <c r="I29" i="14"/>
  <c r="J29" i="14" s="1"/>
  <c r="F29" i="14"/>
  <c r="D29" i="14"/>
  <c r="C29" i="14"/>
  <c r="B29" i="14"/>
  <c r="I28" i="14"/>
  <c r="J28" i="14" s="1"/>
  <c r="F28" i="14"/>
  <c r="D28" i="14"/>
  <c r="C28" i="14"/>
  <c r="B28" i="14"/>
  <c r="I27" i="14"/>
  <c r="J27" i="14" s="1"/>
  <c r="F27" i="14"/>
  <c r="D27" i="14"/>
  <c r="C27" i="14"/>
  <c r="B27" i="14"/>
  <c r="J26" i="14"/>
  <c r="I26" i="14"/>
  <c r="F26" i="14"/>
  <c r="D26" i="14"/>
  <c r="C26" i="14"/>
  <c r="B26" i="14"/>
  <c r="J25" i="14"/>
  <c r="I25" i="14"/>
  <c r="F25" i="14"/>
  <c r="D25" i="14"/>
  <c r="C25" i="14"/>
  <c r="B25" i="14"/>
  <c r="I24" i="14"/>
  <c r="J24" i="14" s="1"/>
  <c r="F24" i="14"/>
  <c r="D24" i="14"/>
  <c r="C24" i="14"/>
  <c r="B24" i="14"/>
  <c r="J23" i="14"/>
  <c r="I23" i="14"/>
  <c r="F23" i="14"/>
  <c r="D23" i="14"/>
  <c r="C23" i="14"/>
  <c r="B23" i="14"/>
  <c r="I22" i="14"/>
  <c r="J22" i="14" s="1"/>
  <c r="F22" i="14"/>
  <c r="D22" i="14"/>
  <c r="C22" i="14"/>
  <c r="B22" i="14"/>
  <c r="J21" i="14"/>
  <c r="I21" i="14"/>
  <c r="F21" i="14"/>
  <c r="D21" i="14"/>
  <c r="C21" i="14"/>
  <c r="B21" i="14"/>
  <c r="I20" i="14"/>
  <c r="J20" i="14" s="1"/>
  <c r="F20" i="14"/>
  <c r="D20" i="14"/>
  <c r="C20" i="14"/>
  <c r="B20" i="14"/>
  <c r="J19" i="14"/>
  <c r="I19" i="14"/>
  <c r="F19" i="14"/>
  <c r="D19" i="14"/>
  <c r="C19" i="14"/>
  <c r="B19" i="14"/>
  <c r="J18" i="14"/>
  <c r="I18" i="14"/>
  <c r="F18" i="14"/>
  <c r="D18" i="14"/>
  <c r="C18" i="14"/>
  <c r="B18" i="14"/>
  <c r="I17" i="14"/>
  <c r="J17" i="14" s="1"/>
  <c r="F17" i="14"/>
  <c r="D17" i="14"/>
  <c r="C17" i="14"/>
  <c r="B17" i="14"/>
  <c r="I16" i="14"/>
  <c r="J16" i="14" s="1"/>
  <c r="F16" i="14"/>
  <c r="D16" i="14"/>
  <c r="C16" i="14"/>
  <c r="B16" i="14"/>
  <c r="I15" i="14"/>
  <c r="J15" i="14" s="1"/>
  <c r="F15" i="14"/>
  <c r="D15" i="14"/>
  <c r="C15" i="14"/>
  <c r="B15" i="14"/>
  <c r="J14" i="14"/>
  <c r="I14" i="14"/>
  <c r="F14" i="14"/>
  <c r="D14" i="14"/>
  <c r="C14" i="14"/>
  <c r="B14" i="14"/>
  <c r="J13" i="14"/>
  <c r="I13" i="14"/>
  <c r="F13" i="14"/>
  <c r="D13" i="14"/>
  <c r="C13" i="14"/>
  <c r="B13" i="14"/>
  <c r="I12" i="14"/>
  <c r="J12" i="14" s="1"/>
  <c r="F12" i="14"/>
  <c r="D12" i="14"/>
  <c r="C12" i="14"/>
  <c r="B12" i="14"/>
  <c r="J11" i="14"/>
  <c r="I11" i="14"/>
  <c r="F11" i="14"/>
  <c r="D11" i="14"/>
  <c r="C11" i="14"/>
  <c r="B11" i="14"/>
  <c r="I10" i="14"/>
  <c r="J10" i="14" s="1"/>
  <c r="F10" i="14"/>
  <c r="D10" i="14"/>
  <c r="C10" i="14"/>
  <c r="B10" i="14"/>
  <c r="I9" i="14"/>
  <c r="J9" i="14" s="1"/>
  <c r="F9" i="14"/>
  <c r="D9" i="14"/>
  <c r="C9" i="14"/>
  <c r="B9" i="14"/>
  <c r="A5" i="14"/>
  <c r="G4" i="14"/>
  <c r="D4" i="14"/>
  <c r="A4" i="14"/>
  <c r="K213" i="13"/>
  <c r="K212" i="13"/>
  <c r="K211" i="13"/>
  <c r="K210" i="13"/>
  <c r="K209" i="13"/>
  <c r="K208" i="13"/>
  <c r="K207" i="13"/>
  <c r="K206" i="13"/>
  <c r="K205" i="13"/>
  <c r="K204" i="13"/>
  <c r="K203" i="13"/>
  <c r="K202" i="13"/>
  <c r="K201"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I113" i="13"/>
  <c r="J113" i="13" s="1"/>
  <c r="D113" i="13"/>
  <c r="C113" i="13"/>
  <c r="A113" i="13"/>
  <c r="K112" i="13"/>
  <c r="J112" i="13"/>
  <c r="I112" i="13"/>
  <c r="D112" i="13"/>
  <c r="C112" i="13"/>
  <c r="A112" i="13"/>
  <c r="K111" i="13"/>
  <c r="J111" i="13"/>
  <c r="I111" i="13"/>
  <c r="D111" i="13"/>
  <c r="C111" i="13"/>
  <c r="A111" i="13"/>
  <c r="K110" i="13"/>
  <c r="J110" i="13"/>
  <c r="I110" i="13"/>
  <c r="D110" i="13"/>
  <c r="C110" i="13"/>
  <c r="A110" i="13"/>
  <c r="K109" i="13"/>
  <c r="I109" i="13"/>
  <c r="J109" i="13" s="1"/>
  <c r="D109" i="13"/>
  <c r="C109" i="13"/>
  <c r="A109" i="13"/>
  <c r="K108" i="13"/>
  <c r="J108" i="13"/>
  <c r="I108" i="13"/>
  <c r="D108" i="13"/>
  <c r="C108" i="13"/>
  <c r="A108" i="13"/>
  <c r="K107" i="13"/>
  <c r="J107" i="13"/>
  <c r="I107" i="13"/>
  <c r="D107" i="13"/>
  <c r="C107" i="13"/>
  <c r="A107" i="13"/>
  <c r="K106" i="13"/>
  <c r="J106" i="13"/>
  <c r="I106" i="13"/>
  <c r="D106" i="13"/>
  <c r="C106" i="13"/>
  <c r="A106" i="13"/>
  <c r="K105" i="13"/>
  <c r="I105" i="13"/>
  <c r="J105" i="13" s="1"/>
  <c r="D105" i="13"/>
  <c r="C105" i="13"/>
  <c r="A105" i="13"/>
  <c r="K104" i="13"/>
  <c r="J104" i="13"/>
  <c r="I104" i="13"/>
  <c r="D104" i="13"/>
  <c r="C104" i="13"/>
  <c r="A104" i="13"/>
  <c r="K103" i="13"/>
  <c r="J103" i="13"/>
  <c r="I103" i="13"/>
  <c r="D103" i="13"/>
  <c r="C103" i="13"/>
  <c r="A103" i="13"/>
  <c r="K102" i="13"/>
  <c r="J102" i="13"/>
  <c r="I102" i="13"/>
  <c r="D102" i="13"/>
  <c r="C102" i="13"/>
  <c r="A102" i="13"/>
  <c r="K101" i="13"/>
  <c r="I101" i="13"/>
  <c r="J101" i="13" s="1"/>
  <c r="D101" i="13"/>
  <c r="C101" i="13"/>
  <c r="A101" i="13"/>
  <c r="K100" i="13"/>
  <c r="J100" i="13"/>
  <c r="I100" i="13"/>
  <c r="D100" i="13"/>
  <c r="C100" i="13"/>
  <c r="A100" i="13"/>
  <c r="K99" i="13"/>
  <c r="J99" i="13"/>
  <c r="I99" i="13"/>
  <c r="D99" i="13"/>
  <c r="C99" i="13"/>
  <c r="A99" i="13"/>
  <c r="K98" i="13"/>
  <c r="J98" i="13"/>
  <c r="I98" i="13"/>
  <c r="D98" i="13"/>
  <c r="C98" i="13"/>
  <c r="A98" i="13"/>
  <c r="K97" i="13"/>
  <c r="I97" i="13"/>
  <c r="J97" i="13" s="1"/>
  <c r="D97" i="13"/>
  <c r="C97" i="13"/>
  <c r="A97" i="13"/>
  <c r="K96" i="13"/>
  <c r="J96" i="13"/>
  <c r="I96" i="13"/>
  <c r="D96" i="13"/>
  <c r="C96" i="13"/>
  <c r="A96" i="13"/>
  <c r="K95" i="13"/>
  <c r="J95" i="13"/>
  <c r="I95" i="13"/>
  <c r="D95" i="13"/>
  <c r="C95" i="13"/>
  <c r="A95" i="13"/>
  <c r="K94" i="13"/>
  <c r="J94" i="13"/>
  <c r="I94" i="13"/>
  <c r="D94" i="13"/>
  <c r="C94" i="13"/>
  <c r="A94" i="13"/>
  <c r="K93" i="13"/>
  <c r="I93" i="13"/>
  <c r="J93" i="13" s="1"/>
  <c r="D93" i="13"/>
  <c r="C93" i="13"/>
  <c r="A93" i="13"/>
  <c r="K92" i="13"/>
  <c r="J92" i="13"/>
  <c r="I92" i="13"/>
  <c r="D92" i="13"/>
  <c r="C92" i="13"/>
  <c r="A92" i="13"/>
  <c r="K91" i="13"/>
  <c r="J91" i="13"/>
  <c r="I91" i="13"/>
  <c r="D91" i="13"/>
  <c r="C91" i="13"/>
  <c r="A91" i="13"/>
  <c r="K90" i="13"/>
  <c r="J90" i="13"/>
  <c r="I90" i="13"/>
  <c r="D90" i="13"/>
  <c r="C90" i="13"/>
  <c r="A90" i="13"/>
  <c r="K89" i="13"/>
  <c r="I89" i="13"/>
  <c r="J89" i="13" s="1"/>
  <c r="D89" i="13"/>
  <c r="C89" i="13"/>
  <c r="A89" i="13"/>
  <c r="K88" i="13"/>
  <c r="J88" i="13"/>
  <c r="I88" i="13"/>
  <c r="D88" i="13"/>
  <c r="C88" i="13"/>
  <c r="A88" i="13"/>
  <c r="K87" i="13"/>
  <c r="J87" i="13"/>
  <c r="I87" i="13"/>
  <c r="D87" i="13"/>
  <c r="C87" i="13"/>
  <c r="A87" i="13"/>
  <c r="K86" i="13"/>
  <c r="J86" i="13"/>
  <c r="I86" i="13"/>
  <c r="D86" i="13"/>
  <c r="C86" i="13"/>
  <c r="A86" i="13"/>
  <c r="K85" i="13"/>
  <c r="I85" i="13"/>
  <c r="J85" i="13" s="1"/>
  <c r="D85" i="13"/>
  <c r="C85" i="13"/>
  <c r="A85" i="13"/>
  <c r="K84" i="13"/>
  <c r="J84" i="13"/>
  <c r="I84" i="13"/>
  <c r="D84" i="13"/>
  <c r="C84" i="13"/>
  <c r="A84" i="13"/>
  <c r="K83" i="13"/>
  <c r="J83" i="13"/>
  <c r="I83" i="13"/>
  <c r="D83" i="13"/>
  <c r="C83" i="13"/>
  <c r="A83" i="13"/>
  <c r="K82" i="13"/>
  <c r="J82" i="13"/>
  <c r="I82" i="13"/>
  <c r="D82" i="13"/>
  <c r="C82" i="13"/>
  <c r="A82" i="13"/>
  <c r="K81" i="13"/>
  <c r="I81" i="13"/>
  <c r="J81" i="13" s="1"/>
  <c r="D81" i="13"/>
  <c r="C81" i="13"/>
  <c r="A81" i="13"/>
  <c r="K80" i="13"/>
  <c r="J80" i="13"/>
  <c r="I80" i="13"/>
  <c r="D80" i="13"/>
  <c r="C80" i="13"/>
  <c r="A80" i="13"/>
  <c r="K79" i="13"/>
  <c r="J79" i="13"/>
  <c r="I79" i="13"/>
  <c r="D79" i="13"/>
  <c r="C79" i="13"/>
  <c r="A79" i="13"/>
  <c r="K78" i="13"/>
  <c r="J78" i="13"/>
  <c r="I78" i="13"/>
  <c r="D78" i="13"/>
  <c r="C78" i="13"/>
  <c r="A78" i="13"/>
  <c r="K77" i="13"/>
  <c r="I77" i="13"/>
  <c r="J77" i="13" s="1"/>
  <c r="D77" i="13"/>
  <c r="C77" i="13"/>
  <c r="A77" i="13"/>
  <c r="K76" i="13"/>
  <c r="J76" i="13"/>
  <c r="I76" i="13"/>
  <c r="D76" i="13"/>
  <c r="C76" i="13"/>
  <c r="A76" i="13"/>
  <c r="K75" i="13"/>
  <c r="J75" i="13"/>
  <c r="I75" i="13"/>
  <c r="D75" i="13"/>
  <c r="C75" i="13"/>
  <c r="A75" i="13"/>
  <c r="K74" i="13"/>
  <c r="J74" i="13"/>
  <c r="I74" i="13"/>
  <c r="D74" i="13"/>
  <c r="C74" i="13"/>
  <c r="A74" i="13"/>
  <c r="K73" i="13"/>
  <c r="I73" i="13"/>
  <c r="J73" i="13" s="1"/>
  <c r="D73" i="13"/>
  <c r="C73" i="13"/>
  <c r="A73" i="13"/>
  <c r="K72" i="13"/>
  <c r="J72" i="13"/>
  <c r="I72" i="13"/>
  <c r="D72" i="13"/>
  <c r="C72" i="13"/>
  <c r="A72" i="13"/>
  <c r="K71" i="13"/>
  <c r="J71" i="13"/>
  <c r="I71" i="13"/>
  <c r="D71" i="13"/>
  <c r="C71" i="13"/>
  <c r="A71" i="13"/>
  <c r="K70" i="13"/>
  <c r="J70" i="13"/>
  <c r="I70" i="13"/>
  <c r="D70" i="13"/>
  <c r="C70" i="13"/>
  <c r="A70" i="13"/>
  <c r="K69" i="13"/>
  <c r="I69" i="13"/>
  <c r="J69" i="13" s="1"/>
  <c r="D69" i="13"/>
  <c r="C69" i="13"/>
  <c r="A69" i="13"/>
  <c r="K68" i="13"/>
  <c r="J68" i="13"/>
  <c r="I68" i="13"/>
  <c r="D68" i="13"/>
  <c r="C68" i="13"/>
  <c r="A68" i="13"/>
  <c r="K67" i="13"/>
  <c r="J67" i="13"/>
  <c r="I67" i="13"/>
  <c r="D67" i="13"/>
  <c r="C67" i="13"/>
  <c r="A67" i="13"/>
  <c r="K66" i="13"/>
  <c r="J66" i="13"/>
  <c r="I66" i="13"/>
  <c r="D66" i="13"/>
  <c r="C66" i="13"/>
  <c r="A66" i="13"/>
  <c r="K65" i="13"/>
  <c r="I65" i="13"/>
  <c r="J65" i="13" s="1"/>
  <c r="D65" i="13"/>
  <c r="C65" i="13"/>
  <c r="A65" i="13"/>
  <c r="K64" i="13"/>
  <c r="J64" i="13"/>
  <c r="I64" i="13"/>
  <c r="D64" i="13"/>
  <c r="C64" i="13"/>
  <c r="A64" i="13"/>
  <c r="K63" i="13"/>
  <c r="J63" i="13"/>
  <c r="I63" i="13"/>
  <c r="D63" i="13"/>
  <c r="C63" i="13"/>
  <c r="A63" i="13"/>
  <c r="K62" i="13"/>
  <c r="J62" i="13"/>
  <c r="I62" i="13"/>
  <c r="D62" i="13"/>
  <c r="C62" i="13"/>
  <c r="A62" i="13"/>
  <c r="K61" i="13"/>
  <c r="I61" i="13"/>
  <c r="J61" i="13" s="1"/>
  <c r="D61" i="13"/>
  <c r="C61" i="13"/>
  <c r="A61" i="13"/>
  <c r="K60" i="13"/>
  <c r="J60" i="13"/>
  <c r="I60" i="13"/>
  <c r="D60" i="13"/>
  <c r="C60" i="13"/>
  <c r="A60" i="13"/>
  <c r="K59" i="13"/>
  <c r="J59" i="13"/>
  <c r="I59" i="13"/>
  <c r="D59" i="13"/>
  <c r="C59" i="13"/>
  <c r="A59" i="13"/>
  <c r="K58" i="13"/>
  <c r="J58" i="13"/>
  <c r="I58" i="13"/>
  <c r="D58" i="13"/>
  <c r="C58" i="13"/>
  <c r="A58" i="13"/>
  <c r="K57" i="13"/>
  <c r="I57" i="13"/>
  <c r="J57" i="13" s="1"/>
  <c r="D57" i="13"/>
  <c r="C57" i="13"/>
  <c r="A57" i="13"/>
  <c r="K56" i="13"/>
  <c r="J56" i="13"/>
  <c r="I56" i="13"/>
  <c r="D56" i="13"/>
  <c r="C56" i="13"/>
  <c r="A56" i="13"/>
  <c r="K55" i="13"/>
  <c r="J55" i="13"/>
  <c r="I55" i="13"/>
  <c r="D55" i="13"/>
  <c r="C55" i="13"/>
  <c r="A55" i="13"/>
  <c r="K54" i="13"/>
  <c r="J54" i="13"/>
  <c r="I54" i="13"/>
  <c r="D54" i="13"/>
  <c r="C54" i="13"/>
  <c r="A54" i="13"/>
  <c r="K53" i="13"/>
  <c r="I53" i="13"/>
  <c r="J53" i="13" s="1"/>
  <c r="D53" i="13"/>
  <c r="C53" i="13"/>
  <c r="A53" i="13"/>
  <c r="K52" i="13"/>
  <c r="J52" i="13"/>
  <c r="I52" i="13"/>
  <c r="D52" i="13"/>
  <c r="C52" i="13"/>
  <c r="A52" i="13"/>
  <c r="K51" i="13"/>
  <c r="J51" i="13"/>
  <c r="I51" i="13"/>
  <c r="D51" i="13"/>
  <c r="C51" i="13"/>
  <c r="A51" i="13"/>
  <c r="K50" i="13"/>
  <c r="J50" i="13"/>
  <c r="I50" i="13"/>
  <c r="D50" i="13"/>
  <c r="C50" i="13"/>
  <c r="A50" i="13"/>
  <c r="K49" i="13"/>
  <c r="I49" i="13"/>
  <c r="J49" i="13" s="1"/>
  <c r="D49" i="13"/>
  <c r="C49" i="13"/>
  <c r="A49" i="13"/>
  <c r="K48" i="13"/>
  <c r="J48" i="13"/>
  <c r="I48" i="13"/>
  <c r="D48" i="13"/>
  <c r="C48" i="13"/>
  <c r="A48" i="13"/>
  <c r="K47" i="13"/>
  <c r="J47" i="13"/>
  <c r="I47" i="13"/>
  <c r="D47" i="13"/>
  <c r="C47" i="13"/>
  <c r="A47" i="13"/>
  <c r="K46" i="13"/>
  <c r="J46" i="13"/>
  <c r="I46" i="13"/>
  <c r="D46" i="13"/>
  <c r="C46" i="13"/>
  <c r="A46" i="13"/>
  <c r="K45" i="13"/>
  <c r="I45" i="13"/>
  <c r="J45" i="13" s="1"/>
  <c r="D45" i="13"/>
  <c r="C45" i="13"/>
  <c r="A45" i="13"/>
  <c r="K44" i="13"/>
  <c r="J44" i="13"/>
  <c r="I44" i="13"/>
  <c r="D44" i="13"/>
  <c r="C44" i="13"/>
  <c r="A44" i="13"/>
  <c r="K43" i="13"/>
  <c r="J43" i="13"/>
  <c r="I43" i="13"/>
  <c r="D43" i="13"/>
  <c r="C43" i="13"/>
  <c r="A43" i="13"/>
  <c r="K42" i="13"/>
  <c r="J42" i="13"/>
  <c r="I42" i="13"/>
  <c r="D42" i="13"/>
  <c r="C42" i="13"/>
  <c r="A42" i="13"/>
  <c r="K41" i="13"/>
  <c r="I41" i="13"/>
  <c r="J41" i="13" s="1"/>
  <c r="D41" i="13"/>
  <c r="C41" i="13"/>
  <c r="A41" i="13"/>
  <c r="K40" i="13"/>
  <c r="J40" i="13"/>
  <c r="I40" i="13"/>
  <c r="D40" i="13"/>
  <c r="C40" i="13"/>
  <c r="A40" i="13"/>
  <c r="K39" i="13"/>
  <c r="J39" i="13"/>
  <c r="I39" i="13"/>
  <c r="D39" i="13"/>
  <c r="C39" i="13"/>
  <c r="A39" i="13"/>
  <c r="K38" i="13"/>
  <c r="J38" i="13"/>
  <c r="I38" i="13"/>
  <c r="D38" i="13"/>
  <c r="C38" i="13"/>
  <c r="A38" i="13"/>
  <c r="K37" i="13"/>
  <c r="I37" i="13"/>
  <c r="J37" i="13" s="1"/>
  <c r="D37" i="13"/>
  <c r="C37" i="13"/>
  <c r="A37" i="13"/>
  <c r="K36" i="13"/>
  <c r="J36" i="13"/>
  <c r="I36" i="13"/>
  <c r="D36" i="13"/>
  <c r="C36" i="13"/>
  <c r="A36" i="13"/>
  <c r="K35" i="13"/>
  <c r="J35" i="13"/>
  <c r="I35" i="13"/>
  <c r="D35" i="13"/>
  <c r="C35" i="13"/>
  <c r="A35" i="13"/>
  <c r="K34" i="13"/>
  <c r="J34" i="13"/>
  <c r="I34" i="13"/>
  <c r="D34" i="13"/>
  <c r="C34" i="13"/>
  <c r="A34" i="13"/>
  <c r="K33" i="13"/>
  <c r="I33" i="13"/>
  <c r="J33" i="13" s="1"/>
  <c r="D33" i="13"/>
  <c r="C33" i="13"/>
  <c r="A33" i="13"/>
  <c r="K32" i="13"/>
  <c r="J32" i="13"/>
  <c r="I32" i="13"/>
  <c r="D32" i="13"/>
  <c r="C32" i="13"/>
  <c r="A32" i="13"/>
  <c r="K31" i="13"/>
  <c r="J31" i="13"/>
  <c r="I31" i="13"/>
  <c r="D31" i="13"/>
  <c r="C31" i="13"/>
  <c r="A31" i="13"/>
  <c r="K30" i="13"/>
  <c r="J30" i="13"/>
  <c r="I30" i="13"/>
  <c r="D30" i="13"/>
  <c r="C30" i="13"/>
  <c r="A30" i="13"/>
  <c r="K29" i="13"/>
  <c r="I29" i="13"/>
  <c r="J29" i="13" s="1"/>
  <c r="D29" i="13"/>
  <c r="C29" i="13"/>
  <c r="A29" i="13"/>
  <c r="K28" i="13"/>
  <c r="J28" i="13"/>
  <c r="I28" i="13"/>
  <c r="D28" i="13"/>
  <c r="C28" i="13"/>
  <c r="A28" i="13"/>
  <c r="K27" i="13"/>
  <c r="J27" i="13"/>
  <c r="I27" i="13"/>
  <c r="D27" i="13"/>
  <c r="C27" i="13"/>
  <c r="A27" i="13"/>
  <c r="K26" i="13"/>
  <c r="J26" i="13"/>
  <c r="I26" i="13"/>
  <c r="D26" i="13"/>
  <c r="C26" i="13"/>
  <c r="A26" i="13"/>
  <c r="K25" i="13"/>
  <c r="I25" i="13"/>
  <c r="J25" i="13" s="1"/>
  <c r="D25" i="13"/>
  <c r="C25" i="13"/>
  <c r="A25" i="13"/>
  <c r="K24" i="13"/>
  <c r="J24" i="13"/>
  <c r="I24" i="13"/>
  <c r="D24" i="13"/>
  <c r="C24" i="13"/>
  <c r="A24" i="13"/>
  <c r="K23" i="13"/>
  <c r="J23" i="13"/>
  <c r="I23" i="13"/>
  <c r="D23" i="13"/>
  <c r="C23" i="13"/>
  <c r="A23" i="13"/>
  <c r="K22" i="13"/>
  <c r="J22" i="13"/>
  <c r="I22" i="13"/>
  <c r="D22" i="13"/>
  <c r="C22" i="13"/>
  <c r="A22" i="13"/>
  <c r="K21" i="13"/>
  <c r="I21" i="13"/>
  <c r="J21" i="13" s="1"/>
  <c r="D21" i="13"/>
  <c r="C21" i="13"/>
  <c r="A21" i="13"/>
  <c r="K20" i="13"/>
  <c r="J20" i="13"/>
  <c r="I20" i="13"/>
  <c r="D20" i="13"/>
  <c r="C20" i="13"/>
  <c r="A20" i="13"/>
  <c r="K19" i="13"/>
  <c r="J19" i="13"/>
  <c r="I19" i="13"/>
  <c r="D19" i="13"/>
  <c r="C19" i="13"/>
  <c r="A19" i="13"/>
  <c r="K18" i="13"/>
  <c r="J18" i="13"/>
  <c r="I18" i="13"/>
  <c r="D18" i="13"/>
  <c r="C18" i="13"/>
  <c r="A18" i="13"/>
  <c r="K17" i="13"/>
  <c r="I17" i="13"/>
  <c r="J17" i="13" s="1"/>
  <c r="D17" i="13"/>
  <c r="C17" i="13"/>
  <c r="A17" i="13"/>
  <c r="K16" i="13"/>
  <c r="J16" i="13"/>
  <c r="I16" i="13"/>
  <c r="D16" i="13"/>
  <c r="C16" i="13"/>
  <c r="A16" i="13"/>
  <c r="K15" i="13"/>
  <c r="J15" i="13"/>
  <c r="I15" i="13"/>
  <c r="D15" i="13"/>
  <c r="C15" i="13"/>
  <c r="A15" i="13"/>
  <c r="K14" i="13"/>
  <c r="J14" i="13"/>
  <c r="I14" i="13"/>
  <c r="D14" i="13"/>
  <c r="C14" i="13"/>
  <c r="A14" i="13"/>
  <c r="B9" i="13"/>
  <c r="B10" i="13" s="1"/>
  <c r="B8" i="13"/>
  <c r="K208" i="12"/>
  <c r="J208" i="12"/>
  <c r="G208" i="12"/>
  <c r="D208" i="12"/>
  <c r="C208" i="12"/>
  <c r="B208" i="12"/>
  <c r="K207" i="12"/>
  <c r="J207" i="12"/>
  <c r="G207" i="12"/>
  <c r="D207" i="12"/>
  <c r="C207" i="12"/>
  <c r="B207" i="12"/>
  <c r="K206" i="12"/>
  <c r="J206" i="12"/>
  <c r="G206" i="12"/>
  <c r="D206" i="12"/>
  <c r="C206" i="12"/>
  <c r="B206" i="12"/>
  <c r="J205" i="12"/>
  <c r="K205" i="12" s="1"/>
  <c r="G205" i="12"/>
  <c r="D205" i="12"/>
  <c r="C205" i="12"/>
  <c r="B205" i="12"/>
  <c r="K204" i="12"/>
  <c r="J204" i="12"/>
  <c r="G204" i="12"/>
  <c r="D204" i="12"/>
  <c r="C204" i="12"/>
  <c r="B204" i="12"/>
  <c r="K203" i="12"/>
  <c r="J203" i="12"/>
  <c r="G203" i="12"/>
  <c r="D203" i="12"/>
  <c r="C203" i="12"/>
  <c r="B203" i="12"/>
  <c r="K202" i="12"/>
  <c r="J202" i="12"/>
  <c r="G202" i="12"/>
  <c r="D202" i="12"/>
  <c r="C202" i="12"/>
  <c r="B202" i="12"/>
  <c r="J201" i="12"/>
  <c r="K201" i="12" s="1"/>
  <c r="G201" i="12"/>
  <c r="D201" i="12"/>
  <c r="C201" i="12"/>
  <c r="B201" i="12"/>
  <c r="K200" i="12"/>
  <c r="J200" i="12"/>
  <c r="G200" i="12"/>
  <c r="D200" i="12"/>
  <c r="C200" i="12"/>
  <c r="B200" i="12"/>
  <c r="K199" i="12"/>
  <c r="J199" i="12"/>
  <c r="G199" i="12"/>
  <c r="D199" i="12"/>
  <c r="C199" i="12"/>
  <c r="B199" i="12"/>
  <c r="K198" i="12"/>
  <c r="J198" i="12"/>
  <c r="G198" i="12"/>
  <c r="D198" i="12"/>
  <c r="C198" i="12"/>
  <c r="B198" i="12"/>
  <c r="J197" i="12"/>
  <c r="K197" i="12" s="1"/>
  <c r="G197" i="12"/>
  <c r="D197" i="12"/>
  <c r="C197" i="12"/>
  <c r="B197" i="12"/>
  <c r="K196" i="12"/>
  <c r="J196" i="12"/>
  <c r="G196" i="12"/>
  <c r="D196" i="12"/>
  <c r="C196" i="12"/>
  <c r="B196" i="12"/>
  <c r="K195" i="12"/>
  <c r="J195" i="12"/>
  <c r="G195" i="12"/>
  <c r="D195" i="12"/>
  <c r="C195" i="12"/>
  <c r="B195" i="12"/>
  <c r="K194" i="12"/>
  <c r="J194" i="12"/>
  <c r="G194" i="12"/>
  <c r="D194" i="12"/>
  <c r="C194" i="12"/>
  <c r="B194" i="12"/>
  <c r="J193" i="12"/>
  <c r="K193" i="12" s="1"/>
  <c r="G193" i="12"/>
  <c r="D193" i="12"/>
  <c r="C193" i="12"/>
  <c r="B193" i="12"/>
  <c r="K192" i="12"/>
  <c r="J192" i="12"/>
  <c r="G192" i="12"/>
  <c r="D192" i="12"/>
  <c r="C192" i="12"/>
  <c r="B192" i="12"/>
  <c r="K191" i="12"/>
  <c r="J191" i="12"/>
  <c r="G191" i="12"/>
  <c r="D191" i="12"/>
  <c r="C191" i="12"/>
  <c r="B191" i="12"/>
  <c r="K190" i="12"/>
  <c r="J190" i="12"/>
  <c r="G190" i="12"/>
  <c r="D190" i="12"/>
  <c r="C190" i="12"/>
  <c r="B190" i="12"/>
  <c r="J189" i="12"/>
  <c r="K189" i="12" s="1"/>
  <c r="G189" i="12"/>
  <c r="D189" i="12"/>
  <c r="C189" i="12"/>
  <c r="B189" i="12"/>
  <c r="K188" i="12"/>
  <c r="J188" i="12"/>
  <c r="G188" i="12"/>
  <c r="D188" i="12"/>
  <c r="C188" i="12"/>
  <c r="B188" i="12"/>
  <c r="K187" i="12"/>
  <c r="J187" i="12"/>
  <c r="G187" i="12"/>
  <c r="D187" i="12"/>
  <c r="C187" i="12"/>
  <c r="B187" i="12"/>
  <c r="K186" i="12"/>
  <c r="J186" i="12"/>
  <c r="G186" i="12"/>
  <c r="D186" i="12"/>
  <c r="C186" i="12"/>
  <c r="B186" i="12"/>
  <c r="J185" i="12"/>
  <c r="K185" i="12" s="1"/>
  <c r="G185" i="12"/>
  <c r="D185" i="12"/>
  <c r="C185" i="12"/>
  <c r="B185" i="12"/>
  <c r="K184" i="12"/>
  <c r="J184" i="12"/>
  <c r="G184" i="12"/>
  <c r="D184" i="12"/>
  <c r="C184" i="12"/>
  <c r="B184" i="12"/>
  <c r="K183" i="12"/>
  <c r="J183" i="12"/>
  <c r="G183" i="12"/>
  <c r="D183" i="12"/>
  <c r="C183" i="12"/>
  <c r="B183" i="12"/>
  <c r="K182" i="12"/>
  <c r="J182" i="12"/>
  <c r="G182" i="12"/>
  <c r="D182" i="12"/>
  <c r="C182" i="12"/>
  <c r="B182" i="12"/>
  <c r="J181" i="12"/>
  <c r="K181" i="12" s="1"/>
  <c r="G181" i="12"/>
  <c r="D181" i="12"/>
  <c r="C181" i="12"/>
  <c r="B181" i="12"/>
  <c r="K180" i="12"/>
  <c r="J180" i="12"/>
  <c r="G180" i="12"/>
  <c r="D180" i="12"/>
  <c r="C180" i="12"/>
  <c r="B180" i="12"/>
  <c r="K179" i="12"/>
  <c r="J179" i="12"/>
  <c r="G179" i="12"/>
  <c r="D179" i="12"/>
  <c r="C179" i="12"/>
  <c r="B179" i="12"/>
  <c r="K178" i="12"/>
  <c r="J178" i="12"/>
  <c r="G178" i="12"/>
  <c r="D178" i="12"/>
  <c r="C178" i="12"/>
  <c r="B178" i="12"/>
  <c r="J177" i="12"/>
  <c r="K177" i="12" s="1"/>
  <c r="G177" i="12"/>
  <c r="D177" i="12"/>
  <c r="C177" i="12"/>
  <c r="B177" i="12"/>
  <c r="K176" i="12"/>
  <c r="J176" i="12"/>
  <c r="G176" i="12"/>
  <c r="D176" i="12"/>
  <c r="C176" i="12"/>
  <c r="B176" i="12"/>
  <c r="K175" i="12"/>
  <c r="J175" i="12"/>
  <c r="G175" i="12"/>
  <c r="D175" i="12"/>
  <c r="C175" i="12"/>
  <c r="B175" i="12"/>
  <c r="K174" i="12"/>
  <c r="J174" i="12"/>
  <c r="G174" i="12"/>
  <c r="D174" i="12"/>
  <c r="C174" i="12"/>
  <c r="B174" i="12"/>
  <c r="J173" i="12"/>
  <c r="K173" i="12" s="1"/>
  <c r="G173" i="12"/>
  <c r="D173" i="12"/>
  <c r="C173" i="12"/>
  <c r="B173" i="12"/>
  <c r="K172" i="12"/>
  <c r="J172" i="12"/>
  <c r="G172" i="12"/>
  <c r="D172" i="12"/>
  <c r="C172" i="12"/>
  <c r="B172" i="12"/>
  <c r="K171" i="12"/>
  <c r="J171" i="12"/>
  <c r="G171" i="12"/>
  <c r="D171" i="12"/>
  <c r="C171" i="12"/>
  <c r="B171" i="12"/>
  <c r="K170" i="12"/>
  <c r="J170" i="12"/>
  <c r="G170" i="12"/>
  <c r="D170" i="12"/>
  <c r="C170" i="12"/>
  <c r="B170" i="12"/>
  <c r="J169" i="12"/>
  <c r="K169" i="12" s="1"/>
  <c r="G169" i="12"/>
  <c r="D169" i="12"/>
  <c r="C169" i="12"/>
  <c r="B169" i="12"/>
  <c r="K168" i="12"/>
  <c r="J168" i="12"/>
  <c r="G168" i="12"/>
  <c r="D168" i="12"/>
  <c r="C168" i="12"/>
  <c r="B168" i="12"/>
  <c r="K167" i="12"/>
  <c r="J167" i="12"/>
  <c r="G167" i="12"/>
  <c r="D167" i="12"/>
  <c r="C167" i="12"/>
  <c r="B167" i="12"/>
  <c r="K166" i="12"/>
  <c r="J166" i="12"/>
  <c r="G166" i="12"/>
  <c r="D166" i="12"/>
  <c r="C166" i="12"/>
  <c r="B166" i="12"/>
  <c r="J165" i="12"/>
  <c r="K165" i="12" s="1"/>
  <c r="G165" i="12"/>
  <c r="D165" i="12"/>
  <c r="C165" i="12"/>
  <c r="B165" i="12"/>
  <c r="K164" i="12"/>
  <c r="J164" i="12"/>
  <c r="G164" i="12"/>
  <c r="D164" i="12"/>
  <c r="C164" i="12"/>
  <c r="B164" i="12"/>
  <c r="K163" i="12"/>
  <c r="J163" i="12"/>
  <c r="G163" i="12"/>
  <c r="D163" i="12"/>
  <c r="C163" i="12"/>
  <c r="B163" i="12"/>
  <c r="K162" i="12"/>
  <c r="J162" i="12"/>
  <c r="G162" i="12"/>
  <c r="D162" i="12"/>
  <c r="C162" i="12"/>
  <c r="B162" i="12"/>
  <c r="J161" i="12"/>
  <c r="K161" i="12" s="1"/>
  <c r="G161" i="12"/>
  <c r="D161" i="12"/>
  <c r="C161" i="12"/>
  <c r="B161" i="12"/>
  <c r="K160" i="12"/>
  <c r="J160" i="12"/>
  <c r="G160" i="12"/>
  <c r="D160" i="12"/>
  <c r="C160" i="12"/>
  <c r="B160" i="12"/>
  <c r="K159" i="12"/>
  <c r="J159" i="12"/>
  <c r="G159" i="12"/>
  <c r="D159" i="12"/>
  <c r="C159" i="12"/>
  <c r="B159" i="12"/>
  <c r="K158" i="12"/>
  <c r="J158" i="12"/>
  <c r="G158" i="12"/>
  <c r="D158" i="12"/>
  <c r="C158" i="12"/>
  <c r="B158" i="12"/>
  <c r="J157" i="12"/>
  <c r="K157" i="12" s="1"/>
  <c r="G157" i="12"/>
  <c r="D157" i="12"/>
  <c r="C157" i="12"/>
  <c r="B157" i="12"/>
  <c r="K156" i="12"/>
  <c r="J156" i="12"/>
  <c r="G156" i="12"/>
  <c r="D156" i="12"/>
  <c r="C156" i="12"/>
  <c r="B156" i="12"/>
  <c r="K155" i="12"/>
  <c r="J155" i="12"/>
  <c r="G155" i="12"/>
  <c r="D155" i="12"/>
  <c r="C155" i="12"/>
  <c r="B155" i="12"/>
  <c r="K154" i="12"/>
  <c r="J154" i="12"/>
  <c r="G154" i="12"/>
  <c r="D154" i="12"/>
  <c r="C154" i="12"/>
  <c r="B154" i="12"/>
  <c r="J153" i="12"/>
  <c r="K153" i="12" s="1"/>
  <c r="G153" i="12"/>
  <c r="D153" i="12"/>
  <c r="C153" i="12"/>
  <c r="B153" i="12"/>
  <c r="K152" i="12"/>
  <c r="J152" i="12"/>
  <c r="G152" i="12"/>
  <c r="D152" i="12"/>
  <c r="C152" i="12"/>
  <c r="B152" i="12"/>
  <c r="K151" i="12"/>
  <c r="J151" i="12"/>
  <c r="G151" i="12"/>
  <c r="D151" i="12"/>
  <c r="C151" i="12"/>
  <c r="B151" i="12"/>
  <c r="K150" i="12"/>
  <c r="J150" i="12"/>
  <c r="G150" i="12"/>
  <c r="D150" i="12"/>
  <c r="C150" i="12"/>
  <c r="B150" i="12"/>
  <c r="J149" i="12"/>
  <c r="K149" i="12" s="1"/>
  <c r="G149" i="12"/>
  <c r="D149" i="12"/>
  <c r="C149" i="12"/>
  <c r="B149" i="12"/>
  <c r="K148" i="12"/>
  <c r="J148" i="12"/>
  <c r="G148" i="12"/>
  <c r="D148" i="12"/>
  <c r="C148" i="12"/>
  <c r="B148" i="12"/>
  <c r="K147" i="12"/>
  <c r="J147" i="12"/>
  <c r="G147" i="12"/>
  <c r="D147" i="12"/>
  <c r="C147" i="12"/>
  <c r="B147" i="12"/>
  <c r="K146" i="12"/>
  <c r="J146" i="12"/>
  <c r="G146" i="12"/>
  <c r="D146" i="12"/>
  <c r="C146" i="12"/>
  <c r="B146" i="12"/>
  <c r="J145" i="12"/>
  <c r="K145" i="12" s="1"/>
  <c r="G145" i="12"/>
  <c r="D145" i="12"/>
  <c r="C145" i="12"/>
  <c r="B145" i="12"/>
  <c r="K144" i="12"/>
  <c r="J144" i="12"/>
  <c r="G144" i="12"/>
  <c r="D144" i="12"/>
  <c r="C144" i="12"/>
  <c r="B144" i="12"/>
  <c r="K143" i="12"/>
  <c r="J143" i="12"/>
  <c r="G143" i="12"/>
  <c r="D143" i="12"/>
  <c r="C143" i="12"/>
  <c r="B143" i="12"/>
  <c r="K142" i="12"/>
  <c r="J142" i="12"/>
  <c r="G142" i="12"/>
  <c r="D142" i="12"/>
  <c r="C142" i="12"/>
  <c r="B142" i="12"/>
  <c r="J141" i="12"/>
  <c r="K141" i="12" s="1"/>
  <c r="G141" i="12"/>
  <c r="D141" i="12"/>
  <c r="C141" i="12"/>
  <c r="B141" i="12"/>
  <c r="K140" i="12"/>
  <c r="J140" i="12"/>
  <c r="G140" i="12"/>
  <c r="D140" i="12"/>
  <c r="C140" i="12"/>
  <c r="B140" i="12"/>
  <c r="K139" i="12"/>
  <c r="J139" i="12"/>
  <c r="G139" i="12"/>
  <c r="D139" i="12"/>
  <c r="C139" i="12"/>
  <c r="B139" i="12"/>
  <c r="K138" i="12"/>
  <c r="J138" i="12"/>
  <c r="G138" i="12"/>
  <c r="D138" i="12"/>
  <c r="C138" i="12"/>
  <c r="B138" i="12"/>
  <c r="J137" i="12"/>
  <c r="K137" i="12" s="1"/>
  <c r="G137" i="12"/>
  <c r="D137" i="12"/>
  <c r="C137" i="12"/>
  <c r="B137" i="12"/>
  <c r="K136" i="12"/>
  <c r="J136" i="12"/>
  <c r="G136" i="12"/>
  <c r="D136" i="12"/>
  <c r="C136" i="12"/>
  <c r="B136" i="12"/>
  <c r="K135" i="12"/>
  <c r="J135" i="12"/>
  <c r="G135" i="12"/>
  <c r="D135" i="12"/>
  <c r="C135" i="12"/>
  <c r="B135" i="12"/>
  <c r="K134" i="12"/>
  <c r="J134" i="12"/>
  <c r="G134" i="12"/>
  <c r="D134" i="12"/>
  <c r="C134" i="12"/>
  <c r="B134" i="12"/>
  <c r="J133" i="12"/>
  <c r="K133" i="12" s="1"/>
  <c r="G133" i="12"/>
  <c r="D133" i="12"/>
  <c r="C133" i="12"/>
  <c r="B133" i="12"/>
  <c r="K132" i="12"/>
  <c r="J132" i="12"/>
  <c r="G132" i="12"/>
  <c r="D132" i="12"/>
  <c r="C132" i="12"/>
  <c r="B132" i="12"/>
  <c r="K131" i="12"/>
  <c r="J131" i="12"/>
  <c r="G131" i="12"/>
  <c r="D131" i="12"/>
  <c r="C131" i="12"/>
  <c r="B131" i="12"/>
  <c r="K130" i="12"/>
  <c r="J130" i="12"/>
  <c r="G130" i="12"/>
  <c r="D130" i="12"/>
  <c r="C130" i="12"/>
  <c r="B130" i="12"/>
  <c r="J129" i="12"/>
  <c r="K129" i="12" s="1"/>
  <c r="G129" i="12"/>
  <c r="D129" i="12"/>
  <c r="C129" i="12"/>
  <c r="B129" i="12"/>
  <c r="K128" i="12"/>
  <c r="J128" i="12"/>
  <c r="G128" i="12"/>
  <c r="D128" i="12"/>
  <c r="C128" i="12"/>
  <c r="B128" i="12"/>
  <c r="K127" i="12"/>
  <c r="J127" i="12"/>
  <c r="G127" i="12"/>
  <c r="D127" i="12"/>
  <c r="C127" i="12"/>
  <c r="B127" i="12"/>
  <c r="K126" i="12"/>
  <c r="J126" i="12"/>
  <c r="G126" i="12"/>
  <c r="D126" i="12"/>
  <c r="C126" i="12"/>
  <c r="B126" i="12"/>
  <c r="J125" i="12"/>
  <c r="K125" i="12" s="1"/>
  <c r="G125" i="12"/>
  <c r="D125" i="12"/>
  <c r="C125" i="12"/>
  <c r="B125" i="12"/>
  <c r="K124" i="12"/>
  <c r="J124" i="12"/>
  <c r="G124" i="12"/>
  <c r="D124" i="12"/>
  <c r="C124" i="12"/>
  <c r="B124" i="12"/>
  <c r="K123" i="12"/>
  <c r="J123" i="12"/>
  <c r="G123" i="12"/>
  <c r="D123" i="12"/>
  <c r="C123" i="12"/>
  <c r="B123" i="12"/>
  <c r="K122" i="12"/>
  <c r="J122" i="12"/>
  <c r="G122" i="12"/>
  <c r="D122" i="12"/>
  <c r="C122" i="12"/>
  <c r="B122" i="12"/>
  <c r="J121" i="12"/>
  <c r="K121" i="12" s="1"/>
  <c r="G121" i="12"/>
  <c r="D121" i="12"/>
  <c r="C121" i="12"/>
  <c r="B121" i="12"/>
  <c r="K120" i="12"/>
  <c r="J120" i="12"/>
  <c r="G120" i="12"/>
  <c r="D120" i="12"/>
  <c r="C120" i="12"/>
  <c r="B120" i="12"/>
  <c r="K119" i="12"/>
  <c r="J119" i="12"/>
  <c r="G119" i="12"/>
  <c r="D119" i="12"/>
  <c r="C119" i="12"/>
  <c r="B119" i="12"/>
  <c r="K118" i="12"/>
  <c r="J118" i="12"/>
  <c r="G118" i="12"/>
  <c r="D118" i="12"/>
  <c r="C118" i="12"/>
  <c r="B118" i="12"/>
  <c r="J117" i="12"/>
  <c r="K117" i="12" s="1"/>
  <c r="G117" i="12"/>
  <c r="D117" i="12"/>
  <c r="C117" i="12"/>
  <c r="B117" i="12"/>
  <c r="K116" i="12"/>
  <c r="J116" i="12"/>
  <c r="G116" i="12"/>
  <c r="D116" i="12"/>
  <c r="C116" i="12"/>
  <c r="B116" i="12"/>
  <c r="K115" i="12"/>
  <c r="J115" i="12"/>
  <c r="G115" i="12"/>
  <c r="D115" i="12"/>
  <c r="C115" i="12"/>
  <c r="B115" i="12"/>
  <c r="K114" i="12"/>
  <c r="J114" i="12"/>
  <c r="G114" i="12"/>
  <c r="D114" i="12"/>
  <c r="C114" i="12"/>
  <c r="B114" i="12"/>
  <c r="J113" i="12"/>
  <c r="K113" i="12" s="1"/>
  <c r="G113" i="12"/>
  <c r="D113" i="12"/>
  <c r="C113" i="12"/>
  <c r="B113" i="12"/>
  <c r="K112" i="12"/>
  <c r="J112" i="12"/>
  <c r="G112" i="12"/>
  <c r="D112" i="12"/>
  <c r="C112" i="12"/>
  <c r="B112" i="12"/>
  <c r="K111" i="12"/>
  <c r="J111" i="12"/>
  <c r="G111" i="12"/>
  <c r="D111" i="12"/>
  <c r="C111" i="12"/>
  <c r="B111" i="12"/>
  <c r="K110" i="12"/>
  <c r="J110" i="12"/>
  <c r="G110" i="12"/>
  <c r="D110" i="12"/>
  <c r="C110" i="12"/>
  <c r="B110" i="12"/>
  <c r="J109" i="12"/>
  <c r="K109" i="12" s="1"/>
  <c r="G109" i="12"/>
  <c r="D109" i="12"/>
  <c r="C109" i="12"/>
  <c r="B109" i="12"/>
  <c r="K108" i="12"/>
  <c r="J108" i="12"/>
  <c r="G108" i="12"/>
  <c r="D108" i="12"/>
  <c r="C108" i="12"/>
  <c r="B108" i="12"/>
  <c r="K107" i="12"/>
  <c r="J107" i="12"/>
  <c r="G107" i="12"/>
  <c r="D107" i="12"/>
  <c r="C107" i="12"/>
  <c r="B107" i="12"/>
  <c r="K106" i="12"/>
  <c r="J106" i="12"/>
  <c r="G106" i="12"/>
  <c r="D106" i="12"/>
  <c r="C106" i="12"/>
  <c r="B106" i="12"/>
  <c r="J105" i="12"/>
  <c r="K105" i="12" s="1"/>
  <c r="G105" i="12"/>
  <c r="D105" i="12"/>
  <c r="C105" i="12"/>
  <c r="B105" i="12"/>
  <c r="K104" i="12"/>
  <c r="J104" i="12"/>
  <c r="G104" i="12"/>
  <c r="D104" i="12"/>
  <c r="C104" i="12"/>
  <c r="B104" i="12"/>
  <c r="K103" i="12"/>
  <c r="J103" i="12"/>
  <c r="G103" i="12"/>
  <c r="D103" i="12"/>
  <c r="C103" i="12"/>
  <c r="B103" i="12"/>
  <c r="K102" i="12"/>
  <c r="J102" i="12"/>
  <c r="G102" i="12"/>
  <c r="D102" i="12"/>
  <c r="C102" i="12"/>
  <c r="B102" i="12"/>
  <c r="J101" i="12"/>
  <c r="K101" i="12" s="1"/>
  <c r="G101" i="12"/>
  <c r="D101" i="12"/>
  <c r="C101" i="12"/>
  <c r="B101" i="12"/>
  <c r="K100" i="12"/>
  <c r="J100" i="12"/>
  <c r="G100" i="12"/>
  <c r="D100" i="12"/>
  <c r="C100" i="12"/>
  <c r="B100" i="12"/>
  <c r="K99" i="12"/>
  <c r="J99" i="12"/>
  <c r="G99" i="12"/>
  <c r="D99" i="12"/>
  <c r="C99" i="12"/>
  <c r="B99" i="12"/>
  <c r="K98" i="12"/>
  <c r="J98" i="12"/>
  <c r="G98" i="12"/>
  <c r="D98" i="12"/>
  <c r="C98" i="12"/>
  <c r="B98" i="12"/>
  <c r="J97" i="12"/>
  <c r="K97" i="12" s="1"/>
  <c r="G97" i="12"/>
  <c r="D97" i="12"/>
  <c r="C97" i="12"/>
  <c r="B97" i="12"/>
  <c r="K96" i="12"/>
  <c r="J96" i="12"/>
  <c r="G96" i="12"/>
  <c r="D96" i="12"/>
  <c r="C96" i="12"/>
  <c r="B96" i="12"/>
  <c r="K95" i="12"/>
  <c r="J95" i="12"/>
  <c r="G95" i="12"/>
  <c r="D95" i="12"/>
  <c r="C95" i="12"/>
  <c r="B95" i="12"/>
  <c r="K94" i="12"/>
  <c r="J94" i="12"/>
  <c r="G94" i="12"/>
  <c r="D94" i="12"/>
  <c r="C94" i="12"/>
  <c r="B94" i="12"/>
  <c r="J93" i="12"/>
  <c r="K93" i="12" s="1"/>
  <c r="G93" i="12"/>
  <c r="D93" i="12"/>
  <c r="C93" i="12"/>
  <c r="B93" i="12"/>
  <c r="K92" i="12"/>
  <c r="J92" i="12"/>
  <c r="G92" i="12"/>
  <c r="D92" i="12"/>
  <c r="C92" i="12"/>
  <c r="B92" i="12"/>
  <c r="K91" i="12"/>
  <c r="J91" i="12"/>
  <c r="G91" i="12"/>
  <c r="D91" i="12"/>
  <c r="C91" i="12"/>
  <c r="B91" i="12"/>
  <c r="K90" i="12"/>
  <c r="J90" i="12"/>
  <c r="G90" i="12"/>
  <c r="D90" i="12"/>
  <c r="C90" i="12"/>
  <c r="B90" i="12"/>
  <c r="J89" i="12"/>
  <c r="K89" i="12" s="1"/>
  <c r="G89" i="12"/>
  <c r="D89" i="12"/>
  <c r="C89" i="12"/>
  <c r="B89" i="12"/>
  <c r="K88" i="12"/>
  <c r="J88" i="12"/>
  <c r="G88" i="12"/>
  <c r="D88" i="12"/>
  <c r="C88" i="12"/>
  <c r="B88" i="12"/>
  <c r="K87" i="12"/>
  <c r="J87" i="12"/>
  <c r="G87" i="12"/>
  <c r="D87" i="12"/>
  <c r="C87" i="12"/>
  <c r="B87" i="12"/>
  <c r="K86" i="12"/>
  <c r="J86" i="12"/>
  <c r="G86" i="12"/>
  <c r="D86" i="12"/>
  <c r="C86" i="12"/>
  <c r="B86" i="12"/>
  <c r="J85" i="12"/>
  <c r="K85" i="12" s="1"/>
  <c r="G85" i="12"/>
  <c r="D85" i="12"/>
  <c r="C85" i="12"/>
  <c r="B85" i="12"/>
  <c r="K84" i="12"/>
  <c r="J84" i="12"/>
  <c r="G84" i="12"/>
  <c r="D84" i="12"/>
  <c r="C84" i="12"/>
  <c r="B84" i="12"/>
  <c r="K83" i="12"/>
  <c r="J83" i="12"/>
  <c r="G83" i="12"/>
  <c r="D83" i="12"/>
  <c r="C83" i="12"/>
  <c r="B83" i="12"/>
  <c r="K82" i="12"/>
  <c r="J82" i="12"/>
  <c r="G82" i="12"/>
  <c r="D82" i="12"/>
  <c r="C82" i="12"/>
  <c r="B82" i="12"/>
  <c r="J81" i="12"/>
  <c r="K81" i="12" s="1"/>
  <c r="G81" i="12"/>
  <c r="D81" i="12"/>
  <c r="C81" i="12"/>
  <c r="B81" i="12"/>
  <c r="K80" i="12"/>
  <c r="J80" i="12"/>
  <c r="G80" i="12"/>
  <c r="D80" i="12"/>
  <c r="C80" i="12"/>
  <c r="B80" i="12"/>
  <c r="K79" i="12"/>
  <c r="J79" i="12"/>
  <c r="G79" i="12"/>
  <c r="D79" i="12"/>
  <c r="C79" i="12"/>
  <c r="B79" i="12"/>
  <c r="K78" i="12"/>
  <c r="J78" i="12"/>
  <c r="G78" i="12"/>
  <c r="D78" i="12"/>
  <c r="C78" i="12"/>
  <c r="B78" i="12"/>
  <c r="J77" i="12"/>
  <c r="K77" i="12" s="1"/>
  <c r="G77" i="12"/>
  <c r="D77" i="12"/>
  <c r="C77" i="12"/>
  <c r="B77" i="12"/>
  <c r="K76" i="12"/>
  <c r="J76" i="12"/>
  <c r="G76" i="12"/>
  <c r="D76" i="12"/>
  <c r="C76" i="12"/>
  <c r="B76" i="12"/>
  <c r="K75" i="12"/>
  <c r="J75" i="12"/>
  <c r="G75" i="12"/>
  <c r="D75" i="12"/>
  <c r="C75" i="12"/>
  <c r="B75" i="12"/>
  <c r="K74" i="12"/>
  <c r="J74" i="12"/>
  <c r="G74" i="12"/>
  <c r="D74" i="12"/>
  <c r="C74" i="12"/>
  <c r="B74" i="12"/>
  <c r="J73" i="12"/>
  <c r="K73" i="12" s="1"/>
  <c r="G73" i="12"/>
  <c r="D73" i="12"/>
  <c r="C73" i="12"/>
  <c r="B73" i="12"/>
  <c r="K72" i="12"/>
  <c r="J72" i="12"/>
  <c r="G72" i="12"/>
  <c r="D72" i="12"/>
  <c r="C72" i="12"/>
  <c r="B72" i="12"/>
  <c r="K71" i="12"/>
  <c r="J71" i="12"/>
  <c r="G71" i="12"/>
  <c r="D71" i="12"/>
  <c r="C71" i="12"/>
  <c r="B71" i="12"/>
  <c r="K70" i="12"/>
  <c r="J70" i="12"/>
  <c r="G70" i="12"/>
  <c r="D70" i="12"/>
  <c r="C70" i="12"/>
  <c r="B70" i="12"/>
  <c r="J69" i="12"/>
  <c r="K69" i="12" s="1"/>
  <c r="G69" i="12"/>
  <c r="D69" i="12"/>
  <c r="C69" i="12"/>
  <c r="B69" i="12"/>
  <c r="K68" i="12"/>
  <c r="J68" i="12"/>
  <c r="G68" i="12"/>
  <c r="D68" i="12"/>
  <c r="C68" i="12"/>
  <c r="B68" i="12"/>
  <c r="K67" i="12"/>
  <c r="J67" i="12"/>
  <c r="G67" i="12"/>
  <c r="D67" i="12"/>
  <c r="C67" i="12"/>
  <c r="B67" i="12"/>
  <c r="K66" i="12"/>
  <c r="J66" i="12"/>
  <c r="G66" i="12"/>
  <c r="D66" i="12"/>
  <c r="C66" i="12"/>
  <c r="B66" i="12"/>
  <c r="J65" i="12"/>
  <c r="K65" i="12" s="1"/>
  <c r="G65" i="12"/>
  <c r="D65" i="12"/>
  <c r="C65" i="12"/>
  <c r="B65" i="12"/>
  <c r="K64" i="12"/>
  <c r="J64" i="12"/>
  <c r="G64" i="12"/>
  <c r="D64" i="12"/>
  <c r="C64" i="12"/>
  <c r="B64" i="12"/>
  <c r="K63" i="12"/>
  <c r="J63" i="12"/>
  <c r="G63" i="12"/>
  <c r="D63" i="12"/>
  <c r="C63" i="12"/>
  <c r="B63" i="12"/>
  <c r="K62" i="12"/>
  <c r="J62" i="12"/>
  <c r="G62" i="12"/>
  <c r="D62" i="12"/>
  <c r="C62" i="12"/>
  <c r="B62" i="12"/>
  <c r="J61" i="12"/>
  <c r="K61" i="12" s="1"/>
  <c r="G61" i="12"/>
  <c r="D61" i="12"/>
  <c r="C61" i="12"/>
  <c r="B61" i="12"/>
  <c r="K60" i="12"/>
  <c r="J60" i="12"/>
  <c r="G60" i="12"/>
  <c r="D60" i="12"/>
  <c r="C60" i="12"/>
  <c r="B60" i="12"/>
  <c r="K59" i="12"/>
  <c r="J59" i="12"/>
  <c r="G59" i="12"/>
  <c r="D59" i="12"/>
  <c r="C59" i="12"/>
  <c r="B59" i="12"/>
  <c r="K58" i="12"/>
  <c r="J58" i="12"/>
  <c r="G58" i="12"/>
  <c r="D58" i="12"/>
  <c r="C58" i="12"/>
  <c r="B58" i="12"/>
  <c r="J57" i="12"/>
  <c r="K57" i="12" s="1"/>
  <c r="G57" i="12"/>
  <c r="D57" i="12"/>
  <c r="C57" i="12"/>
  <c r="B57" i="12"/>
  <c r="K56" i="12"/>
  <c r="J56" i="12"/>
  <c r="G56" i="12"/>
  <c r="D56" i="12"/>
  <c r="C56" i="12"/>
  <c r="B56" i="12"/>
  <c r="K55" i="12"/>
  <c r="J55" i="12"/>
  <c r="G55" i="12"/>
  <c r="D55" i="12"/>
  <c r="C55" i="12"/>
  <c r="B55" i="12"/>
  <c r="K54" i="12"/>
  <c r="J54" i="12"/>
  <c r="G54" i="12"/>
  <c r="D54" i="12"/>
  <c r="C54" i="12"/>
  <c r="B54" i="12"/>
  <c r="J53" i="12"/>
  <c r="K53" i="12" s="1"/>
  <c r="G53" i="12"/>
  <c r="D53" i="12"/>
  <c r="C53" i="12"/>
  <c r="B53" i="12"/>
  <c r="K52" i="12"/>
  <c r="J52" i="12"/>
  <c r="G52" i="12"/>
  <c r="D52" i="12"/>
  <c r="C52" i="12"/>
  <c r="B52" i="12"/>
  <c r="K51" i="12"/>
  <c r="J51" i="12"/>
  <c r="G51" i="12"/>
  <c r="D51" i="12"/>
  <c r="C51" i="12"/>
  <c r="B51" i="12"/>
  <c r="K50" i="12"/>
  <c r="J50" i="12"/>
  <c r="G50" i="12"/>
  <c r="D50" i="12"/>
  <c r="C50" i="12"/>
  <c r="B50" i="12"/>
  <c r="J49" i="12"/>
  <c r="K49" i="12" s="1"/>
  <c r="G49" i="12"/>
  <c r="D49" i="12"/>
  <c r="C49" i="12"/>
  <c r="B49" i="12"/>
  <c r="K48" i="12"/>
  <c r="J48" i="12"/>
  <c r="G48" i="12"/>
  <c r="D48" i="12"/>
  <c r="C48" i="12"/>
  <c r="B48" i="12"/>
  <c r="K47" i="12"/>
  <c r="J47" i="12"/>
  <c r="G47" i="12"/>
  <c r="D47" i="12"/>
  <c r="C47" i="12"/>
  <c r="B47" i="12"/>
  <c r="K46" i="12"/>
  <c r="J46" i="12"/>
  <c r="G46" i="12"/>
  <c r="D46" i="12"/>
  <c r="C46" i="12"/>
  <c r="B46" i="12"/>
  <c r="J45" i="12"/>
  <c r="K45" i="12" s="1"/>
  <c r="G45" i="12"/>
  <c r="D45" i="12"/>
  <c r="C45" i="12"/>
  <c r="B45" i="12"/>
  <c r="K44" i="12"/>
  <c r="J44" i="12"/>
  <c r="G44" i="12"/>
  <c r="D44" i="12"/>
  <c r="C44" i="12"/>
  <c r="B44" i="12"/>
  <c r="K43" i="12"/>
  <c r="J43" i="12"/>
  <c r="G43" i="12"/>
  <c r="D43" i="12"/>
  <c r="C43" i="12"/>
  <c r="B43" i="12"/>
  <c r="K42" i="12"/>
  <c r="J42" i="12"/>
  <c r="G42" i="12"/>
  <c r="D42" i="12"/>
  <c r="C42" i="12"/>
  <c r="B42" i="12"/>
  <c r="J41" i="12"/>
  <c r="K41" i="12" s="1"/>
  <c r="G41" i="12"/>
  <c r="D41" i="12"/>
  <c r="C41" i="12"/>
  <c r="B41" i="12"/>
  <c r="K40" i="12"/>
  <c r="J40" i="12"/>
  <c r="G40" i="12"/>
  <c r="D40" i="12"/>
  <c r="C40" i="12"/>
  <c r="B40" i="12"/>
  <c r="K39" i="12"/>
  <c r="J39" i="12"/>
  <c r="G39" i="12"/>
  <c r="D39" i="12"/>
  <c r="C39" i="12"/>
  <c r="B39" i="12"/>
  <c r="K38" i="12"/>
  <c r="J38" i="12"/>
  <c r="G38" i="12"/>
  <c r="D38" i="12"/>
  <c r="C38" i="12"/>
  <c r="B38" i="12"/>
  <c r="J37" i="12"/>
  <c r="K37" i="12" s="1"/>
  <c r="G37" i="12"/>
  <c r="D37" i="12"/>
  <c r="C37" i="12"/>
  <c r="B37" i="12"/>
  <c r="K36" i="12"/>
  <c r="J36" i="12"/>
  <c r="G36" i="12"/>
  <c r="D36" i="12"/>
  <c r="C36" i="12"/>
  <c r="B36" i="12"/>
  <c r="K35" i="12"/>
  <c r="J35" i="12"/>
  <c r="G35" i="12"/>
  <c r="D35" i="12"/>
  <c r="C35" i="12"/>
  <c r="B35" i="12"/>
  <c r="K34" i="12"/>
  <c r="J34" i="12"/>
  <c r="G34" i="12"/>
  <c r="D34" i="12"/>
  <c r="C34" i="12"/>
  <c r="B34" i="12"/>
  <c r="J33" i="12"/>
  <c r="K33" i="12" s="1"/>
  <c r="G33" i="12"/>
  <c r="D33" i="12"/>
  <c r="C33" i="12"/>
  <c r="B33" i="12"/>
  <c r="K32" i="12"/>
  <c r="J32" i="12"/>
  <c r="G32" i="12"/>
  <c r="D32" i="12"/>
  <c r="C32" i="12"/>
  <c r="B32" i="12"/>
  <c r="K31" i="12"/>
  <c r="J31" i="12"/>
  <c r="G31" i="12"/>
  <c r="D31" i="12"/>
  <c r="C31" i="12"/>
  <c r="B31" i="12"/>
  <c r="K30" i="12"/>
  <c r="J30" i="12"/>
  <c r="G30" i="12"/>
  <c r="D30" i="12"/>
  <c r="C30" i="12"/>
  <c r="B30" i="12"/>
  <c r="J29" i="12"/>
  <c r="K29" i="12" s="1"/>
  <c r="G29" i="12"/>
  <c r="D29" i="12"/>
  <c r="C29" i="12"/>
  <c r="B29" i="12"/>
  <c r="K28" i="12"/>
  <c r="J28" i="12"/>
  <c r="G28" i="12"/>
  <c r="D28" i="12"/>
  <c r="C28" i="12"/>
  <c r="B28" i="12"/>
  <c r="K27" i="12"/>
  <c r="J27" i="12"/>
  <c r="G27" i="12"/>
  <c r="D27" i="12"/>
  <c r="C27" i="12"/>
  <c r="B27" i="12"/>
  <c r="K26" i="12"/>
  <c r="J26" i="12"/>
  <c r="G26" i="12"/>
  <c r="D26" i="12"/>
  <c r="C26" i="12"/>
  <c r="B26" i="12"/>
  <c r="J25" i="12"/>
  <c r="K25" i="12" s="1"/>
  <c r="G25" i="12"/>
  <c r="D25" i="12"/>
  <c r="C25" i="12"/>
  <c r="B25" i="12"/>
  <c r="K24" i="12"/>
  <c r="J24" i="12"/>
  <c r="G24" i="12"/>
  <c r="D24" i="12"/>
  <c r="C24" i="12"/>
  <c r="B24" i="12"/>
  <c r="K23" i="12"/>
  <c r="J23" i="12"/>
  <c r="G23" i="12"/>
  <c r="D23" i="12"/>
  <c r="C23" i="12"/>
  <c r="B23" i="12"/>
  <c r="K22" i="12"/>
  <c r="J22" i="12"/>
  <c r="G22" i="12"/>
  <c r="D22" i="12"/>
  <c r="C22" i="12"/>
  <c r="B22" i="12"/>
  <c r="J21" i="12"/>
  <c r="K21" i="12" s="1"/>
  <c r="G21" i="12"/>
  <c r="D21" i="12"/>
  <c r="C21" i="12"/>
  <c r="B21" i="12"/>
  <c r="K20" i="12"/>
  <c r="J20" i="12"/>
  <c r="G20" i="12"/>
  <c r="D20" i="12"/>
  <c r="C20" i="12"/>
  <c r="B20" i="12"/>
  <c r="K19" i="12"/>
  <c r="J19" i="12"/>
  <c r="G19" i="12"/>
  <c r="D19" i="12"/>
  <c r="C19" i="12"/>
  <c r="B19" i="12"/>
  <c r="K18" i="12"/>
  <c r="J18" i="12"/>
  <c r="G18" i="12"/>
  <c r="D18" i="12"/>
  <c r="C18" i="12"/>
  <c r="B18" i="12"/>
  <c r="J17" i="12"/>
  <c r="K17" i="12" s="1"/>
  <c r="G17" i="12"/>
  <c r="D17" i="12"/>
  <c r="C17" i="12"/>
  <c r="B17" i="12"/>
  <c r="K16" i="12"/>
  <c r="J16" i="12"/>
  <c r="G16" i="12"/>
  <c r="D16" i="12"/>
  <c r="C16" i="12"/>
  <c r="B16" i="12"/>
  <c r="K15" i="12"/>
  <c r="J15" i="12"/>
  <c r="G15" i="12"/>
  <c r="D15" i="12"/>
  <c r="C15" i="12"/>
  <c r="B15" i="12"/>
  <c r="K14" i="12"/>
  <c r="J14" i="12"/>
  <c r="G14" i="12"/>
  <c r="D14" i="12"/>
  <c r="C14" i="12"/>
  <c r="B14" i="12"/>
  <c r="J13" i="12"/>
  <c r="K13" i="12" s="1"/>
  <c r="G13" i="12"/>
  <c r="D13" i="12"/>
  <c r="C13" i="12"/>
  <c r="B13" i="12"/>
  <c r="K12" i="12"/>
  <c r="J12" i="12"/>
  <c r="G12" i="12"/>
  <c r="D12" i="12"/>
  <c r="C12" i="12"/>
  <c r="B12" i="12"/>
  <c r="K11" i="12"/>
  <c r="J11" i="12"/>
  <c r="G11" i="12"/>
  <c r="D11" i="12"/>
  <c r="C11" i="12"/>
  <c r="B11" i="12"/>
  <c r="K10" i="12"/>
  <c r="J10" i="12"/>
  <c r="G10" i="12"/>
  <c r="D10" i="12"/>
  <c r="C10" i="12"/>
  <c r="B10" i="12"/>
  <c r="J9" i="12"/>
  <c r="K9" i="12" s="1"/>
  <c r="G9" i="12"/>
  <c r="D9" i="12"/>
  <c r="C9" i="12"/>
  <c r="B9" i="12"/>
  <c r="K4" i="12"/>
  <c r="G4" i="12"/>
  <c r="D4" i="12"/>
  <c r="A4" i="12"/>
  <c r="J208" i="11"/>
  <c r="I208" i="11"/>
  <c r="F208" i="11"/>
  <c r="D208" i="11"/>
  <c r="C208" i="11"/>
  <c r="B208" i="11"/>
  <c r="I207" i="11"/>
  <c r="J207" i="11" s="1"/>
  <c r="F207" i="11"/>
  <c r="D207" i="11"/>
  <c r="C207" i="11"/>
  <c r="B207" i="11"/>
  <c r="J206" i="11"/>
  <c r="I206" i="11"/>
  <c r="F206" i="11"/>
  <c r="D206" i="11"/>
  <c r="C206" i="11"/>
  <c r="B206" i="11"/>
  <c r="J205" i="11"/>
  <c r="I205" i="11"/>
  <c r="F205" i="11"/>
  <c r="D205" i="11"/>
  <c r="C205" i="11"/>
  <c r="B205" i="11"/>
  <c r="J204" i="11"/>
  <c r="I204" i="11"/>
  <c r="F204" i="11"/>
  <c r="D204" i="11"/>
  <c r="C204" i="11"/>
  <c r="B204" i="11"/>
  <c r="I203" i="11"/>
  <c r="J203" i="11" s="1"/>
  <c r="F203" i="11"/>
  <c r="D203" i="11"/>
  <c r="C203" i="11"/>
  <c r="B203" i="11"/>
  <c r="J202" i="11"/>
  <c r="I202" i="11"/>
  <c r="F202" i="11"/>
  <c r="D202" i="11"/>
  <c r="C202" i="11"/>
  <c r="B202" i="11"/>
  <c r="J201" i="11"/>
  <c r="I201" i="11"/>
  <c r="F201" i="11"/>
  <c r="D201" i="11"/>
  <c r="C201" i="11"/>
  <c r="B201" i="11"/>
  <c r="J200" i="11"/>
  <c r="I200" i="11"/>
  <c r="F200" i="11"/>
  <c r="D200" i="11"/>
  <c r="C200" i="11"/>
  <c r="B200" i="11"/>
  <c r="I199" i="11"/>
  <c r="J199" i="11" s="1"/>
  <c r="F199" i="11"/>
  <c r="D199" i="11"/>
  <c r="C199" i="11"/>
  <c r="B199" i="11"/>
  <c r="J198" i="11"/>
  <c r="I198" i="11"/>
  <c r="F198" i="11"/>
  <c r="D198" i="11"/>
  <c r="C198" i="11"/>
  <c r="B198" i="11"/>
  <c r="J197" i="11"/>
  <c r="I197" i="11"/>
  <c r="F197" i="11"/>
  <c r="D197" i="11"/>
  <c r="C197" i="11"/>
  <c r="B197" i="11"/>
  <c r="J196" i="11"/>
  <c r="I196" i="11"/>
  <c r="F196" i="11"/>
  <c r="D196" i="11"/>
  <c r="C196" i="11"/>
  <c r="B196" i="11"/>
  <c r="I195" i="11"/>
  <c r="J195" i="11" s="1"/>
  <c r="F195" i="11"/>
  <c r="D195" i="11"/>
  <c r="C195" i="11"/>
  <c r="B195" i="11"/>
  <c r="J194" i="11"/>
  <c r="I194" i="11"/>
  <c r="F194" i="11"/>
  <c r="D194" i="11"/>
  <c r="C194" i="11"/>
  <c r="B194" i="11"/>
  <c r="J193" i="11"/>
  <c r="I193" i="11"/>
  <c r="F193" i="11"/>
  <c r="D193" i="11"/>
  <c r="C193" i="11"/>
  <c r="B193" i="11"/>
  <c r="J192" i="11"/>
  <c r="I192" i="11"/>
  <c r="F192" i="11"/>
  <c r="D192" i="11"/>
  <c r="C192" i="11"/>
  <c r="B192" i="11"/>
  <c r="I191" i="11"/>
  <c r="J191" i="11" s="1"/>
  <c r="F191" i="11"/>
  <c r="D191" i="11"/>
  <c r="C191" i="11"/>
  <c r="B191" i="11"/>
  <c r="J190" i="11"/>
  <c r="I190" i="11"/>
  <c r="F190" i="11"/>
  <c r="D190" i="11"/>
  <c r="C190" i="11"/>
  <c r="B190" i="11"/>
  <c r="J189" i="11"/>
  <c r="I189" i="11"/>
  <c r="F189" i="11"/>
  <c r="D189" i="11"/>
  <c r="C189" i="11"/>
  <c r="B189" i="11"/>
  <c r="J188" i="11"/>
  <c r="I188" i="11"/>
  <c r="F188" i="11"/>
  <c r="D188" i="11"/>
  <c r="C188" i="11"/>
  <c r="B188" i="11"/>
  <c r="I187" i="11"/>
  <c r="J187" i="11" s="1"/>
  <c r="F187" i="11"/>
  <c r="D187" i="11"/>
  <c r="C187" i="11"/>
  <c r="B187" i="11"/>
  <c r="J186" i="11"/>
  <c r="I186" i="11"/>
  <c r="F186" i="11"/>
  <c r="D186" i="11"/>
  <c r="C186" i="11"/>
  <c r="B186" i="11"/>
  <c r="J185" i="11"/>
  <c r="I185" i="11"/>
  <c r="F185" i="11"/>
  <c r="D185" i="11"/>
  <c r="C185" i="11"/>
  <c r="B185" i="11"/>
  <c r="J184" i="11"/>
  <c r="I184" i="11"/>
  <c r="F184" i="11"/>
  <c r="D184" i="11"/>
  <c r="C184" i="11"/>
  <c r="B184" i="11"/>
  <c r="I183" i="11"/>
  <c r="J183" i="11" s="1"/>
  <c r="F183" i="11"/>
  <c r="D183" i="11"/>
  <c r="C183" i="11"/>
  <c r="B183" i="11"/>
  <c r="J182" i="11"/>
  <c r="I182" i="11"/>
  <c r="F182" i="11"/>
  <c r="D182" i="11"/>
  <c r="C182" i="11"/>
  <c r="B182" i="11"/>
  <c r="J181" i="11"/>
  <c r="I181" i="11"/>
  <c r="F181" i="11"/>
  <c r="D181" i="11"/>
  <c r="C181" i="11"/>
  <c r="B181" i="11"/>
  <c r="J180" i="11"/>
  <c r="I180" i="11"/>
  <c r="F180" i="11"/>
  <c r="D180" i="11"/>
  <c r="C180" i="11"/>
  <c r="B180" i="11"/>
  <c r="I179" i="11"/>
  <c r="J179" i="11" s="1"/>
  <c r="F179" i="11"/>
  <c r="D179" i="11"/>
  <c r="C179" i="11"/>
  <c r="B179" i="11"/>
  <c r="J178" i="11"/>
  <c r="I178" i="11"/>
  <c r="F178" i="11"/>
  <c r="D178" i="11"/>
  <c r="C178" i="11"/>
  <c r="B178" i="11"/>
  <c r="J177" i="11"/>
  <c r="I177" i="11"/>
  <c r="F177" i="11"/>
  <c r="D177" i="11"/>
  <c r="C177" i="11"/>
  <c r="B177" i="11"/>
  <c r="J176" i="11"/>
  <c r="I176" i="11"/>
  <c r="F176" i="11"/>
  <c r="D176" i="11"/>
  <c r="C176" i="11"/>
  <c r="B176" i="11"/>
  <c r="I175" i="11"/>
  <c r="J175" i="11" s="1"/>
  <c r="F175" i="11"/>
  <c r="D175" i="11"/>
  <c r="C175" i="11"/>
  <c r="B175" i="11"/>
  <c r="J174" i="11"/>
  <c r="I174" i="11"/>
  <c r="F174" i="11"/>
  <c r="D174" i="11"/>
  <c r="C174" i="11"/>
  <c r="B174" i="11"/>
  <c r="J173" i="11"/>
  <c r="I173" i="11"/>
  <c r="F173" i="11"/>
  <c r="D173" i="11"/>
  <c r="C173" i="11"/>
  <c r="B173" i="11"/>
  <c r="J172" i="11"/>
  <c r="I172" i="11"/>
  <c r="F172" i="11"/>
  <c r="D172" i="11"/>
  <c r="C172" i="11"/>
  <c r="B172" i="11"/>
  <c r="I171" i="11"/>
  <c r="J171" i="11" s="1"/>
  <c r="F171" i="11"/>
  <c r="D171" i="11"/>
  <c r="C171" i="11"/>
  <c r="B171" i="11"/>
  <c r="J170" i="11"/>
  <c r="I170" i="11"/>
  <c r="F170" i="11"/>
  <c r="D170" i="11"/>
  <c r="C170" i="11"/>
  <c r="B170" i="11"/>
  <c r="J169" i="11"/>
  <c r="I169" i="11"/>
  <c r="F169" i="11"/>
  <c r="D169" i="11"/>
  <c r="C169" i="11"/>
  <c r="B169" i="11"/>
  <c r="J168" i="11"/>
  <c r="I168" i="11"/>
  <c r="F168" i="11"/>
  <c r="D168" i="11"/>
  <c r="C168" i="11"/>
  <c r="B168" i="11"/>
  <c r="I167" i="11"/>
  <c r="J167" i="11" s="1"/>
  <c r="F167" i="11"/>
  <c r="D167" i="11"/>
  <c r="C167" i="11"/>
  <c r="B167" i="11"/>
  <c r="J166" i="11"/>
  <c r="I166" i="11"/>
  <c r="F166" i="11"/>
  <c r="D166" i="11"/>
  <c r="C166" i="11"/>
  <c r="B166" i="11"/>
  <c r="J165" i="11"/>
  <c r="I165" i="11"/>
  <c r="F165" i="11"/>
  <c r="D165" i="11"/>
  <c r="C165" i="11"/>
  <c r="B165" i="11"/>
  <c r="J164" i="11"/>
  <c r="I164" i="11"/>
  <c r="F164" i="11"/>
  <c r="D164" i="11"/>
  <c r="C164" i="11"/>
  <c r="B164" i="11"/>
  <c r="I163" i="11"/>
  <c r="J163" i="11" s="1"/>
  <c r="F163" i="11"/>
  <c r="D163" i="11"/>
  <c r="C163" i="11"/>
  <c r="B163" i="11"/>
  <c r="J162" i="11"/>
  <c r="I162" i="11"/>
  <c r="F162" i="11"/>
  <c r="D162" i="11"/>
  <c r="C162" i="11"/>
  <c r="B162" i="11"/>
  <c r="J161" i="11"/>
  <c r="I161" i="11"/>
  <c r="F161" i="11"/>
  <c r="D161" i="11"/>
  <c r="C161" i="11"/>
  <c r="B161" i="11"/>
  <c r="J160" i="11"/>
  <c r="I160" i="11"/>
  <c r="F160" i="11"/>
  <c r="D160" i="11"/>
  <c r="C160" i="11"/>
  <c r="B160" i="11"/>
  <c r="I159" i="11"/>
  <c r="J159" i="11" s="1"/>
  <c r="F159" i="11"/>
  <c r="D159" i="11"/>
  <c r="C159" i="11"/>
  <c r="B159" i="11"/>
  <c r="J158" i="11"/>
  <c r="I158" i="11"/>
  <c r="F158" i="11"/>
  <c r="D158" i="11"/>
  <c r="C158" i="11"/>
  <c r="B158" i="11"/>
  <c r="J157" i="11"/>
  <c r="I157" i="11"/>
  <c r="F157" i="11"/>
  <c r="D157" i="11"/>
  <c r="C157" i="11"/>
  <c r="B157" i="11"/>
  <c r="J156" i="11"/>
  <c r="I156" i="11"/>
  <c r="F156" i="11"/>
  <c r="D156" i="11"/>
  <c r="C156" i="11"/>
  <c r="B156" i="11"/>
  <c r="I155" i="11"/>
  <c r="J155" i="11" s="1"/>
  <c r="F155" i="11"/>
  <c r="D155" i="11"/>
  <c r="C155" i="11"/>
  <c r="B155" i="11"/>
  <c r="J154" i="11"/>
  <c r="I154" i="11"/>
  <c r="F154" i="11"/>
  <c r="D154" i="11"/>
  <c r="C154" i="11"/>
  <c r="B154" i="11"/>
  <c r="J153" i="11"/>
  <c r="I153" i="11"/>
  <c r="F153" i="11"/>
  <c r="D153" i="11"/>
  <c r="C153" i="11"/>
  <c r="B153" i="11"/>
  <c r="J152" i="11"/>
  <c r="I152" i="11"/>
  <c r="F152" i="11"/>
  <c r="D152" i="11"/>
  <c r="C152" i="11"/>
  <c r="B152" i="11"/>
  <c r="I151" i="11"/>
  <c r="J151" i="11" s="1"/>
  <c r="F151" i="11"/>
  <c r="D151" i="11"/>
  <c r="C151" i="11"/>
  <c r="B151" i="11"/>
  <c r="J150" i="11"/>
  <c r="I150" i="11"/>
  <c r="F150" i="11"/>
  <c r="D150" i="11"/>
  <c r="C150" i="11"/>
  <c r="B150" i="11"/>
  <c r="J149" i="11"/>
  <c r="I149" i="11"/>
  <c r="F149" i="11"/>
  <c r="D149" i="11"/>
  <c r="C149" i="11"/>
  <c r="B149" i="11"/>
  <c r="J148" i="11"/>
  <c r="I148" i="11"/>
  <c r="F148" i="11"/>
  <c r="D148" i="11"/>
  <c r="C148" i="11"/>
  <c r="B148" i="11"/>
  <c r="I147" i="11"/>
  <c r="J147" i="11" s="1"/>
  <c r="F147" i="11"/>
  <c r="D147" i="11"/>
  <c r="C147" i="11"/>
  <c r="B147" i="11"/>
  <c r="J146" i="11"/>
  <c r="I146" i="11"/>
  <c r="F146" i="11"/>
  <c r="D146" i="11"/>
  <c r="C146" i="11"/>
  <c r="B146" i="11"/>
  <c r="J145" i="11"/>
  <c r="I145" i="11"/>
  <c r="F145" i="11"/>
  <c r="D145" i="11"/>
  <c r="C145" i="11"/>
  <c r="B145" i="11"/>
  <c r="J144" i="11"/>
  <c r="I144" i="11"/>
  <c r="F144" i="11"/>
  <c r="D144" i="11"/>
  <c r="C144" i="11"/>
  <c r="B144" i="11"/>
  <c r="I143" i="11"/>
  <c r="J143" i="11" s="1"/>
  <c r="F143" i="11"/>
  <c r="D143" i="11"/>
  <c r="C143" i="11"/>
  <c r="B143" i="11"/>
  <c r="J142" i="11"/>
  <c r="I142" i="11"/>
  <c r="F142" i="11"/>
  <c r="D142" i="11"/>
  <c r="C142" i="11"/>
  <c r="B142" i="11"/>
  <c r="J141" i="11"/>
  <c r="I141" i="11"/>
  <c r="F141" i="11"/>
  <c r="D141" i="11"/>
  <c r="C141" i="11"/>
  <c r="B141" i="11"/>
  <c r="J140" i="11"/>
  <c r="I140" i="11"/>
  <c r="F140" i="11"/>
  <c r="D140" i="11"/>
  <c r="C140" i="11"/>
  <c r="B140" i="11"/>
  <c r="I139" i="11"/>
  <c r="J139" i="11" s="1"/>
  <c r="F139" i="11"/>
  <c r="D139" i="11"/>
  <c r="C139" i="11"/>
  <c r="B139" i="11"/>
  <c r="J138" i="11"/>
  <c r="I138" i="11"/>
  <c r="F138" i="11"/>
  <c r="D138" i="11"/>
  <c r="C138" i="11"/>
  <c r="B138" i="11"/>
  <c r="J137" i="11"/>
  <c r="I137" i="11"/>
  <c r="F137" i="11"/>
  <c r="D137" i="11"/>
  <c r="C137" i="11"/>
  <c r="B137" i="11"/>
  <c r="J136" i="11"/>
  <c r="I136" i="11"/>
  <c r="F136" i="11"/>
  <c r="D136" i="11"/>
  <c r="C136" i="11"/>
  <c r="B136" i="11"/>
  <c r="I135" i="11"/>
  <c r="J135" i="11" s="1"/>
  <c r="F135" i="11"/>
  <c r="D135" i="11"/>
  <c r="C135" i="11"/>
  <c r="B135" i="11"/>
  <c r="J134" i="11"/>
  <c r="I134" i="11"/>
  <c r="F134" i="11"/>
  <c r="D134" i="11"/>
  <c r="C134" i="11"/>
  <c r="B134" i="11"/>
  <c r="J133" i="11"/>
  <c r="I133" i="11"/>
  <c r="F133" i="11"/>
  <c r="D133" i="11"/>
  <c r="C133" i="11"/>
  <c r="B133" i="11"/>
  <c r="J132" i="11"/>
  <c r="I132" i="11"/>
  <c r="F132" i="11"/>
  <c r="D132" i="11"/>
  <c r="C132" i="11"/>
  <c r="B132" i="11"/>
  <c r="I131" i="11"/>
  <c r="J131" i="11" s="1"/>
  <c r="F131" i="11"/>
  <c r="D131" i="11"/>
  <c r="C131" i="11"/>
  <c r="B131" i="11"/>
  <c r="J130" i="11"/>
  <c r="I130" i="11"/>
  <c r="F130" i="11"/>
  <c r="D130" i="11"/>
  <c r="C130" i="11"/>
  <c r="B130" i="11"/>
  <c r="J129" i="11"/>
  <c r="I129" i="11"/>
  <c r="F129" i="11"/>
  <c r="D129" i="11"/>
  <c r="C129" i="11"/>
  <c r="B129" i="11"/>
  <c r="J128" i="11"/>
  <c r="I128" i="11"/>
  <c r="F128" i="11"/>
  <c r="D128" i="11"/>
  <c r="C128" i="11"/>
  <c r="B128" i="11"/>
  <c r="I127" i="11"/>
  <c r="J127" i="11" s="1"/>
  <c r="F127" i="11"/>
  <c r="D127" i="11"/>
  <c r="C127" i="11"/>
  <c r="B127" i="11"/>
  <c r="J126" i="11"/>
  <c r="I126" i="11"/>
  <c r="F126" i="11"/>
  <c r="D126" i="11"/>
  <c r="C126" i="11"/>
  <c r="B126" i="11"/>
  <c r="J125" i="11"/>
  <c r="I125" i="11"/>
  <c r="F125" i="11"/>
  <c r="D125" i="11"/>
  <c r="C125" i="11"/>
  <c r="B125" i="11"/>
  <c r="J124" i="11"/>
  <c r="I124" i="11"/>
  <c r="F124" i="11"/>
  <c r="D124" i="11"/>
  <c r="C124" i="11"/>
  <c r="B124" i="11"/>
  <c r="I123" i="11"/>
  <c r="J123" i="11" s="1"/>
  <c r="F123" i="11"/>
  <c r="D123" i="11"/>
  <c r="C123" i="11"/>
  <c r="B123" i="11"/>
  <c r="J122" i="11"/>
  <c r="I122" i="11"/>
  <c r="F122" i="11"/>
  <c r="D122" i="11"/>
  <c r="C122" i="11"/>
  <c r="B122" i="11"/>
  <c r="J121" i="11"/>
  <c r="I121" i="11"/>
  <c r="F121" i="11"/>
  <c r="D121" i="11"/>
  <c r="C121" i="11"/>
  <c r="B121" i="11"/>
  <c r="J120" i="11"/>
  <c r="I120" i="11"/>
  <c r="F120" i="11"/>
  <c r="D120" i="11"/>
  <c r="C120" i="11"/>
  <c r="B120" i="11"/>
  <c r="I119" i="11"/>
  <c r="J119" i="11" s="1"/>
  <c r="F119" i="11"/>
  <c r="D119" i="11"/>
  <c r="C119" i="11"/>
  <c r="B119" i="11"/>
  <c r="J118" i="11"/>
  <c r="I118" i="11"/>
  <c r="F118" i="11"/>
  <c r="D118" i="11"/>
  <c r="C118" i="11"/>
  <c r="B118" i="11"/>
  <c r="J117" i="11"/>
  <c r="I117" i="11"/>
  <c r="F117" i="11"/>
  <c r="D117" i="11"/>
  <c r="C117" i="11"/>
  <c r="B117" i="11"/>
  <c r="J116" i="11"/>
  <c r="I116" i="11"/>
  <c r="F116" i="11"/>
  <c r="D116" i="11"/>
  <c r="C116" i="11"/>
  <c r="B116" i="11"/>
  <c r="I115" i="11"/>
  <c r="J115" i="11" s="1"/>
  <c r="F115" i="11"/>
  <c r="D115" i="11"/>
  <c r="C115" i="11"/>
  <c r="B115" i="11"/>
  <c r="J114" i="11"/>
  <c r="I114" i="11"/>
  <c r="F114" i="11"/>
  <c r="D114" i="11"/>
  <c r="C114" i="11"/>
  <c r="B114" i="11"/>
  <c r="J113" i="11"/>
  <c r="I113" i="11"/>
  <c r="F113" i="11"/>
  <c r="D113" i="11"/>
  <c r="C113" i="11"/>
  <c r="B113" i="11"/>
  <c r="J112" i="11"/>
  <c r="I112" i="11"/>
  <c r="F112" i="11"/>
  <c r="D112" i="11"/>
  <c r="C112" i="11"/>
  <c r="B112" i="11"/>
  <c r="I111" i="11"/>
  <c r="J111" i="11" s="1"/>
  <c r="F111" i="11"/>
  <c r="D111" i="11"/>
  <c r="C111" i="11"/>
  <c r="B111" i="11"/>
  <c r="J110" i="11"/>
  <c r="I110" i="11"/>
  <c r="F110" i="11"/>
  <c r="D110" i="11"/>
  <c r="C110" i="11"/>
  <c r="B110" i="11"/>
  <c r="J109" i="11"/>
  <c r="I109" i="11"/>
  <c r="F109" i="11"/>
  <c r="D109" i="11"/>
  <c r="C109" i="11"/>
  <c r="B109" i="11"/>
  <c r="J108" i="11"/>
  <c r="I108" i="11"/>
  <c r="F108" i="11"/>
  <c r="D108" i="11"/>
  <c r="C108" i="11"/>
  <c r="B108" i="11"/>
  <c r="I107" i="11"/>
  <c r="J107" i="11" s="1"/>
  <c r="F107" i="11"/>
  <c r="D107" i="11"/>
  <c r="C107" i="11"/>
  <c r="B107" i="11"/>
  <c r="J106" i="11"/>
  <c r="I106" i="11"/>
  <c r="F106" i="11"/>
  <c r="D106" i="11"/>
  <c r="C106" i="11"/>
  <c r="B106" i="11"/>
  <c r="J105" i="11"/>
  <c r="I105" i="11"/>
  <c r="F105" i="11"/>
  <c r="D105" i="11"/>
  <c r="C105" i="11"/>
  <c r="B105" i="11"/>
  <c r="J104" i="11"/>
  <c r="I104" i="11"/>
  <c r="F104" i="11"/>
  <c r="D104" i="11"/>
  <c r="C104" i="11"/>
  <c r="B104" i="11"/>
  <c r="I103" i="11"/>
  <c r="J103" i="11" s="1"/>
  <c r="F103" i="11"/>
  <c r="D103" i="11"/>
  <c r="C103" i="11"/>
  <c r="B103" i="11"/>
  <c r="J102" i="11"/>
  <c r="I102" i="11"/>
  <c r="F102" i="11"/>
  <c r="D102" i="11"/>
  <c r="C102" i="11"/>
  <c r="B102" i="11"/>
  <c r="J101" i="11"/>
  <c r="I101" i="11"/>
  <c r="F101" i="11"/>
  <c r="D101" i="11"/>
  <c r="C101" i="11"/>
  <c r="B101" i="11"/>
  <c r="J100" i="11"/>
  <c r="I100" i="11"/>
  <c r="F100" i="11"/>
  <c r="D100" i="11"/>
  <c r="C100" i="11"/>
  <c r="B100" i="11"/>
  <c r="I99" i="11"/>
  <c r="J99" i="11" s="1"/>
  <c r="F99" i="11"/>
  <c r="D99" i="11"/>
  <c r="C99" i="11"/>
  <c r="B99" i="11"/>
  <c r="J98" i="11"/>
  <c r="I98" i="11"/>
  <c r="F98" i="11"/>
  <c r="D98" i="11"/>
  <c r="C98" i="11"/>
  <c r="B98" i="11"/>
  <c r="J97" i="11"/>
  <c r="I97" i="11"/>
  <c r="F97" i="11"/>
  <c r="D97" i="11"/>
  <c r="C97" i="11"/>
  <c r="B97" i="11"/>
  <c r="J96" i="11"/>
  <c r="I96" i="11"/>
  <c r="F96" i="11"/>
  <c r="D96" i="11"/>
  <c r="C96" i="11"/>
  <c r="B96" i="11"/>
  <c r="I95" i="11"/>
  <c r="J95" i="11" s="1"/>
  <c r="F95" i="11"/>
  <c r="D95" i="11"/>
  <c r="C95" i="11"/>
  <c r="B95" i="11"/>
  <c r="J94" i="11"/>
  <c r="I94" i="11"/>
  <c r="F94" i="11"/>
  <c r="D94" i="11"/>
  <c r="C94" i="11"/>
  <c r="B94" i="11"/>
  <c r="J93" i="11"/>
  <c r="I93" i="11"/>
  <c r="F93" i="11"/>
  <c r="D93" i="11"/>
  <c r="C93" i="11"/>
  <c r="B93" i="11"/>
  <c r="J92" i="11"/>
  <c r="I92" i="11"/>
  <c r="F92" i="11"/>
  <c r="D92" i="11"/>
  <c r="C92" i="11"/>
  <c r="B92" i="11"/>
  <c r="I91" i="11"/>
  <c r="J91" i="11" s="1"/>
  <c r="F91" i="11"/>
  <c r="D91" i="11"/>
  <c r="C91" i="11"/>
  <c r="B91" i="11"/>
  <c r="J90" i="11"/>
  <c r="I90" i="11"/>
  <c r="F90" i="11"/>
  <c r="D90" i="11"/>
  <c r="C90" i="11"/>
  <c r="B90" i="11"/>
  <c r="J89" i="11"/>
  <c r="I89" i="11"/>
  <c r="F89" i="11"/>
  <c r="D89" i="11"/>
  <c r="C89" i="11"/>
  <c r="B89" i="11"/>
  <c r="J88" i="11"/>
  <c r="I88" i="11"/>
  <c r="F88" i="11"/>
  <c r="D88" i="11"/>
  <c r="C88" i="11"/>
  <c r="B88" i="11"/>
  <c r="I87" i="11"/>
  <c r="J87" i="11" s="1"/>
  <c r="F87" i="11"/>
  <c r="D87" i="11"/>
  <c r="C87" i="11"/>
  <c r="B87" i="11"/>
  <c r="J86" i="11"/>
  <c r="I86" i="11"/>
  <c r="F86" i="11"/>
  <c r="D86" i="11"/>
  <c r="C86" i="11"/>
  <c r="B86" i="11"/>
  <c r="J85" i="11"/>
  <c r="I85" i="11"/>
  <c r="F85" i="11"/>
  <c r="D85" i="11"/>
  <c r="C85" i="11"/>
  <c r="B85" i="11"/>
  <c r="J84" i="11"/>
  <c r="I84" i="11"/>
  <c r="F84" i="11"/>
  <c r="D84" i="11"/>
  <c r="C84" i="11"/>
  <c r="B84" i="11"/>
  <c r="I83" i="11"/>
  <c r="J83" i="11" s="1"/>
  <c r="F83" i="11"/>
  <c r="D83" i="11"/>
  <c r="C83" i="11"/>
  <c r="B83" i="11"/>
  <c r="J82" i="11"/>
  <c r="I82" i="11"/>
  <c r="F82" i="11"/>
  <c r="D82" i="11"/>
  <c r="C82" i="11"/>
  <c r="B82" i="11"/>
  <c r="J81" i="11"/>
  <c r="I81" i="11"/>
  <c r="F81" i="11"/>
  <c r="D81" i="11"/>
  <c r="C81" i="11"/>
  <c r="B81" i="11"/>
  <c r="J80" i="11"/>
  <c r="I80" i="11"/>
  <c r="F80" i="11"/>
  <c r="D80" i="11"/>
  <c r="C80" i="11"/>
  <c r="B80" i="11"/>
  <c r="I79" i="11"/>
  <c r="J79" i="11" s="1"/>
  <c r="F79" i="11"/>
  <c r="D79" i="11"/>
  <c r="C79" i="11"/>
  <c r="B79" i="11"/>
  <c r="J78" i="11"/>
  <c r="I78" i="11"/>
  <c r="F78" i="11"/>
  <c r="D78" i="11"/>
  <c r="C78" i="11"/>
  <c r="B78" i="11"/>
  <c r="J77" i="11"/>
  <c r="I77" i="11"/>
  <c r="F77" i="11"/>
  <c r="D77" i="11"/>
  <c r="C77" i="11"/>
  <c r="B77" i="11"/>
  <c r="J76" i="11"/>
  <c r="I76" i="11"/>
  <c r="F76" i="11"/>
  <c r="D76" i="11"/>
  <c r="C76" i="11"/>
  <c r="B76" i="11"/>
  <c r="I75" i="11"/>
  <c r="J75" i="11" s="1"/>
  <c r="F75" i="11"/>
  <c r="D75" i="11"/>
  <c r="C75" i="11"/>
  <c r="B75" i="11"/>
  <c r="J74" i="11"/>
  <c r="I74" i="11"/>
  <c r="F74" i="11"/>
  <c r="D74" i="11"/>
  <c r="C74" i="11"/>
  <c r="B74" i="11"/>
  <c r="J73" i="11"/>
  <c r="I73" i="11"/>
  <c r="F73" i="11"/>
  <c r="D73" i="11"/>
  <c r="C73" i="11"/>
  <c r="B73" i="11"/>
  <c r="J72" i="11"/>
  <c r="I72" i="11"/>
  <c r="F72" i="11"/>
  <c r="D72" i="11"/>
  <c r="C72" i="11"/>
  <c r="B72" i="11"/>
  <c r="I71" i="11"/>
  <c r="J71" i="11" s="1"/>
  <c r="F71" i="11"/>
  <c r="D71" i="11"/>
  <c r="C71" i="11"/>
  <c r="B71" i="11"/>
  <c r="J70" i="11"/>
  <c r="I70" i="11"/>
  <c r="F70" i="11"/>
  <c r="D70" i="11"/>
  <c r="C70" i="11"/>
  <c r="B70" i="11"/>
  <c r="J69" i="11"/>
  <c r="I69" i="11"/>
  <c r="F69" i="11"/>
  <c r="D69" i="11"/>
  <c r="C69" i="11"/>
  <c r="B69" i="11"/>
  <c r="J68" i="11"/>
  <c r="I68" i="11"/>
  <c r="F68" i="11"/>
  <c r="D68" i="11"/>
  <c r="C68" i="11"/>
  <c r="B68" i="11"/>
  <c r="I67" i="11"/>
  <c r="J67" i="11" s="1"/>
  <c r="F67" i="11"/>
  <c r="D67" i="11"/>
  <c r="C67" i="11"/>
  <c r="B67" i="11"/>
  <c r="J66" i="11"/>
  <c r="I66" i="11"/>
  <c r="F66" i="11"/>
  <c r="D66" i="11"/>
  <c r="C66" i="11"/>
  <c r="B66" i="11"/>
  <c r="J65" i="11"/>
  <c r="I65" i="11"/>
  <c r="F65" i="11"/>
  <c r="D65" i="11"/>
  <c r="C65" i="11"/>
  <c r="B65" i="11"/>
  <c r="J64" i="11"/>
  <c r="I64" i="11"/>
  <c r="F64" i="11"/>
  <c r="D64" i="11"/>
  <c r="C64" i="11"/>
  <c r="B64" i="11"/>
  <c r="I63" i="11"/>
  <c r="J63" i="11" s="1"/>
  <c r="F63" i="11"/>
  <c r="D63" i="11"/>
  <c r="C63" i="11"/>
  <c r="B63" i="11"/>
  <c r="J62" i="11"/>
  <c r="I62" i="11"/>
  <c r="F62" i="11"/>
  <c r="D62" i="11"/>
  <c r="C62" i="11"/>
  <c r="B62" i="11"/>
  <c r="J61" i="11"/>
  <c r="I61" i="11"/>
  <c r="F61" i="11"/>
  <c r="D61" i="11"/>
  <c r="C61" i="11"/>
  <c r="B61" i="11"/>
  <c r="J60" i="11"/>
  <c r="I60" i="11"/>
  <c r="F60" i="11"/>
  <c r="D60" i="11"/>
  <c r="C60" i="11"/>
  <c r="B60" i="11"/>
  <c r="I59" i="11"/>
  <c r="J59" i="11" s="1"/>
  <c r="F59" i="11"/>
  <c r="D59" i="11"/>
  <c r="C59" i="11"/>
  <c r="B59" i="11"/>
  <c r="J58" i="11"/>
  <c r="I58" i="11"/>
  <c r="F58" i="11"/>
  <c r="D58" i="11"/>
  <c r="C58" i="11"/>
  <c r="B58" i="11"/>
  <c r="J57" i="11"/>
  <c r="I57" i="11"/>
  <c r="F57" i="11"/>
  <c r="D57" i="11"/>
  <c r="C57" i="11"/>
  <c r="B57" i="11"/>
  <c r="J56" i="11"/>
  <c r="I56" i="11"/>
  <c r="F56" i="11"/>
  <c r="D56" i="11"/>
  <c r="C56" i="11"/>
  <c r="B56" i="11"/>
  <c r="I55" i="11"/>
  <c r="J55" i="11" s="1"/>
  <c r="F55" i="11"/>
  <c r="D55" i="11"/>
  <c r="C55" i="11"/>
  <c r="B55" i="11"/>
  <c r="J54" i="11"/>
  <c r="I54" i="11"/>
  <c r="F54" i="11"/>
  <c r="D54" i="11"/>
  <c r="C54" i="11"/>
  <c r="B54" i="11"/>
  <c r="J53" i="11"/>
  <c r="I53" i="11"/>
  <c r="F53" i="11"/>
  <c r="D53" i="11"/>
  <c r="C53" i="11"/>
  <c r="B53" i="11"/>
  <c r="J52" i="11"/>
  <c r="I52" i="11"/>
  <c r="F52" i="11"/>
  <c r="D52" i="11"/>
  <c r="C52" i="11"/>
  <c r="B52" i="11"/>
  <c r="I51" i="11"/>
  <c r="J51" i="11" s="1"/>
  <c r="F51" i="11"/>
  <c r="D51" i="11"/>
  <c r="C51" i="11"/>
  <c r="B51" i="11"/>
  <c r="J50" i="11"/>
  <c r="I50" i="11"/>
  <c r="F50" i="11"/>
  <c r="D50" i="11"/>
  <c r="C50" i="11"/>
  <c r="B50" i="11"/>
  <c r="J49" i="11"/>
  <c r="I49" i="11"/>
  <c r="F49" i="11"/>
  <c r="D49" i="11"/>
  <c r="C49" i="11"/>
  <c r="B49" i="11"/>
  <c r="J48" i="11"/>
  <c r="I48" i="11"/>
  <c r="F48" i="11"/>
  <c r="D48" i="11"/>
  <c r="C48" i="11"/>
  <c r="B48" i="11"/>
  <c r="I47" i="11"/>
  <c r="J47" i="11" s="1"/>
  <c r="F47" i="11"/>
  <c r="D47" i="11"/>
  <c r="C47" i="11"/>
  <c r="B47" i="11"/>
  <c r="J46" i="11"/>
  <c r="I46" i="11"/>
  <c r="F46" i="11"/>
  <c r="D46" i="11"/>
  <c r="C46" i="11"/>
  <c r="B46" i="11"/>
  <c r="J45" i="11"/>
  <c r="I45" i="11"/>
  <c r="F45" i="11"/>
  <c r="D45" i="11"/>
  <c r="C45" i="11"/>
  <c r="B45" i="11"/>
  <c r="J44" i="11"/>
  <c r="I44" i="11"/>
  <c r="F44" i="11"/>
  <c r="D44" i="11"/>
  <c r="C44" i="11"/>
  <c r="B44" i="11"/>
  <c r="I43" i="11"/>
  <c r="J43" i="11" s="1"/>
  <c r="F43" i="11"/>
  <c r="D43" i="11"/>
  <c r="C43" i="11"/>
  <c r="B43" i="11"/>
  <c r="J42" i="11"/>
  <c r="I42" i="11"/>
  <c r="F42" i="11"/>
  <c r="D42" i="11"/>
  <c r="C42" i="11"/>
  <c r="B42" i="11"/>
  <c r="J41" i="11"/>
  <c r="I41" i="11"/>
  <c r="F41" i="11"/>
  <c r="D41" i="11"/>
  <c r="C41" i="11"/>
  <c r="B41" i="11"/>
  <c r="J40" i="11"/>
  <c r="I40" i="11"/>
  <c r="F40" i="11"/>
  <c r="D40" i="11"/>
  <c r="C40" i="11"/>
  <c r="B40" i="11"/>
  <c r="I39" i="11"/>
  <c r="J39" i="11" s="1"/>
  <c r="F39" i="11"/>
  <c r="D39" i="11"/>
  <c r="C39" i="11"/>
  <c r="B39" i="11"/>
  <c r="J38" i="11"/>
  <c r="I38" i="11"/>
  <c r="F38" i="11"/>
  <c r="D38" i="11"/>
  <c r="C38" i="11"/>
  <c r="B38" i="11"/>
  <c r="J37" i="11"/>
  <c r="I37" i="11"/>
  <c r="F37" i="11"/>
  <c r="D37" i="11"/>
  <c r="C37" i="11"/>
  <c r="B37" i="11"/>
  <c r="J36" i="11"/>
  <c r="I36" i="11"/>
  <c r="F36" i="11"/>
  <c r="D36" i="11"/>
  <c r="C36" i="11"/>
  <c r="B36" i="11"/>
  <c r="I35" i="11"/>
  <c r="J35" i="11" s="1"/>
  <c r="F35" i="11"/>
  <c r="D35" i="11"/>
  <c r="C35" i="11"/>
  <c r="B35" i="11"/>
  <c r="J34" i="11"/>
  <c r="I34" i="11"/>
  <c r="F34" i="11"/>
  <c r="D34" i="11"/>
  <c r="C34" i="11"/>
  <c r="B34" i="11"/>
  <c r="J33" i="11"/>
  <c r="I33" i="11"/>
  <c r="F33" i="11"/>
  <c r="D33" i="11"/>
  <c r="C33" i="11"/>
  <c r="B33" i="11"/>
  <c r="J32" i="11"/>
  <c r="I32" i="11"/>
  <c r="F32" i="11"/>
  <c r="D32" i="11"/>
  <c r="C32" i="11"/>
  <c r="B32" i="11"/>
  <c r="I31" i="11"/>
  <c r="J31" i="11" s="1"/>
  <c r="F31" i="11"/>
  <c r="D31" i="11"/>
  <c r="C31" i="11"/>
  <c r="B31" i="11"/>
  <c r="J30" i="11"/>
  <c r="I30" i="11"/>
  <c r="F30" i="11"/>
  <c r="D30" i="11"/>
  <c r="C30" i="11"/>
  <c r="B30" i="11"/>
  <c r="J29" i="11"/>
  <c r="I29" i="11"/>
  <c r="F29" i="11"/>
  <c r="D29" i="11"/>
  <c r="C29" i="11"/>
  <c r="B29" i="11"/>
  <c r="J28" i="11"/>
  <c r="I28" i="11"/>
  <c r="F28" i="11"/>
  <c r="D28" i="11"/>
  <c r="C28" i="11"/>
  <c r="B28" i="11"/>
  <c r="I27" i="11"/>
  <c r="J27" i="11" s="1"/>
  <c r="F27" i="11"/>
  <c r="D27" i="11"/>
  <c r="C27" i="11"/>
  <c r="B27" i="11"/>
  <c r="J26" i="11"/>
  <c r="I26" i="11"/>
  <c r="F26" i="11"/>
  <c r="D26" i="11"/>
  <c r="C26" i="11"/>
  <c r="B26" i="11"/>
  <c r="J25" i="11"/>
  <c r="I25" i="11"/>
  <c r="F25" i="11"/>
  <c r="D25" i="11"/>
  <c r="C25" i="11"/>
  <c r="B25" i="11"/>
  <c r="J24" i="11"/>
  <c r="I24" i="11"/>
  <c r="F24" i="11"/>
  <c r="D24" i="11"/>
  <c r="C24" i="11"/>
  <c r="B24" i="11"/>
  <c r="I23" i="11"/>
  <c r="J23" i="11" s="1"/>
  <c r="F23" i="11"/>
  <c r="D23" i="11"/>
  <c r="C23" i="11"/>
  <c r="B23" i="11"/>
  <c r="J22" i="11"/>
  <c r="I22" i="11"/>
  <c r="F22" i="11"/>
  <c r="D22" i="11"/>
  <c r="C22" i="11"/>
  <c r="B22" i="11"/>
  <c r="J21" i="11"/>
  <c r="I21" i="11"/>
  <c r="F21" i="11"/>
  <c r="D21" i="11"/>
  <c r="C21" i="11"/>
  <c r="B21" i="11"/>
  <c r="J20" i="11"/>
  <c r="I20" i="11"/>
  <c r="F20" i="11"/>
  <c r="D20" i="11"/>
  <c r="C20" i="11"/>
  <c r="B20" i="11"/>
  <c r="I19" i="11"/>
  <c r="J19" i="11" s="1"/>
  <c r="F19" i="11"/>
  <c r="D19" i="11"/>
  <c r="C19" i="11"/>
  <c r="B19" i="11"/>
  <c r="J18" i="11"/>
  <c r="I18" i="11"/>
  <c r="F18" i="11"/>
  <c r="D18" i="11"/>
  <c r="C18" i="11"/>
  <c r="B18" i="11"/>
  <c r="J17" i="11"/>
  <c r="I17" i="11"/>
  <c r="F17" i="11"/>
  <c r="D17" i="11"/>
  <c r="C17" i="11"/>
  <c r="B17" i="11"/>
  <c r="J16" i="11"/>
  <c r="I16" i="11"/>
  <c r="F16" i="11"/>
  <c r="D16" i="11"/>
  <c r="C16" i="11"/>
  <c r="B16" i="11"/>
  <c r="I15" i="11"/>
  <c r="J15" i="11" s="1"/>
  <c r="F15" i="11"/>
  <c r="D15" i="11"/>
  <c r="C15" i="11"/>
  <c r="B15" i="11"/>
  <c r="J14" i="11"/>
  <c r="I14" i="11"/>
  <c r="F14" i="11"/>
  <c r="D14" i="11"/>
  <c r="C14" i="11"/>
  <c r="B14" i="11"/>
  <c r="J13" i="11"/>
  <c r="I13" i="11"/>
  <c r="F13" i="11"/>
  <c r="D13" i="11"/>
  <c r="C13" i="11"/>
  <c r="B13" i="11"/>
  <c r="J12" i="11"/>
  <c r="I12" i="11"/>
  <c r="F12" i="11"/>
  <c r="D12" i="11"/>
  <c r="C12" i="11"/>
  <c r="B12" i="11"/>
  <c r="I11" i="11"/>
  <c r="J11" i="11" s="1"/>
  <c r="F11" i="11"/>
  <c r="D11" i="11"/>
  <c r="C11" i="11"/>
  <c r="B11" i="11"/>
  <c r="J10" i="11"/>
  <c r="I10" i="11"/>
  <c r="F10" i="11"/>
  <c r="D10" i="11"/>
  <c r="C10" i="11"/>
  <c r="B10" i="11"/>
  <c r="J9" i="11"/>
  <c r="I9" i="11"/>
  <c r="F9" i="11"/>
  <c r="D9" i="11"/>
  <c r="C9" i="11"/>
  <c r="B9" i="11"/>
  <c r="A5" i="11"/>
  <c r="G4" i="11"/>
  <c r="D4" i="11"/>
  <c r="A4" i="11"/>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I113" i="10"/>
  <c r="J113" i="10" s="1"/>
  <c r="D113" i="10"/>
  <c r="C113" i="10"/>
  <c r="A113" i="10"/>
  <c r="K112" i="10"/>
  <c r="J112" i="10"/>
  <c r="I112" i="10"/>
  <c r="D112" i="10"/>
  <c r="C112" i="10"/>
  <c r="A112" i="10"/>
  <c r="K111" i="10"/>
  <c r="J111" i="10"/>
  <c r="I111" i="10"/>
  <c r="D111" i="10"/>
  <c r="C111" i="10"/>
  <c r="A111" i="10"/>
  <c r="K110" i="10"/>
  <c r="I110" i="10"/>
  <c r="J110" i="10" s="1"/>
  <c r="D110" i="10"/>
  <c r="C110" i="10"/>
  <c r="A110" i="10"/>
  <c r="K109" i="10"/>
  <c r="I109" i="10"/>
  <c r="J109" i="10" s="1"/>
  <c r="D109" i="10"/>
  <c r="C109" i="10"/>
  <c r="A109" i="10"/>
  <c r="K108" i="10"/>
  <c r="J108" i="10"/>
  <c r="I108" i="10"/>
  <c r="D108" i="10"/>
  <c r="C108" i="10"/>
  <c r="A108" i="10"/>
  <c r="K107" i="10"/>
  <c r="J107" i="10"/>
  <c r="I107" i="10"/>
  <c r="D107" i="10"/>
  <c r="C107" i="10"/>
  <c r="A107" i="10"/>
  <c r="K106" i="10"/>
  <c r="I106" i="10"/>
  <c r="J106" i="10" s="1"/>
  <c r="D106" i="10"/>
  <c r="C106" i="10"/>
  <c r="A106" i="10"/>
  <c r="K105" i="10"/>
  <c r="I105" i="10"/>
  <c r="J105" i="10" s="1"/>
  <c r="D105" i="10"/>
  <c r="C105" i="10"/>
  <c r="A105" i="10"/>
  <c r="K104" i="10"/>
  <c r="J104" i="10"/>
  <c r="I104" i="10"/>
  <c r="D104" i="10"/>
  <c r="C104" i="10"/>
  <c r="A104" i="10"/>
  <c r="K103" i="10"/>
  <c r="J103" i="10"/>
  <c r="I103" i="10"/>
  <c r="D103" i="10"/>
  <c r="C103" i="10"/>
  <c r="A103" i="10"/>
  <c r="K102" i="10"/>
  <c r="I102" i="10"/>
  <c r="J102" i="10" s="1"/>
  <c r="D102" i="10"/>
  <c r="C102" i="10"/>
  <c r="A102" i="10"/>
  <c r="K101" i="10"/>
  <c r="I101" i="10"/>
  <c r="J101" i="10" s="1"/>
  <c r="D101" i="10"/>
  <c r="C101" i="10"/>
  <c r="A101" i="10"/>
  <c r="K100" i="10"/>
  <c r="J100" i="10"/>
  <c r="I100" i="10"/>
  <c r="D100" i="10"/>
  <c r="C100" i="10"/>
  <c r="A100" i="10"/>
  <c r="K99" i="10"/>
  <c r="J99" i="10"/>
  <c r="I99" i="10"/>
  <c r="D99" i="10"/>
  <c r="C99" i="10"/>
  <c r="A99" i="10"/>
  <c r="K98" i="10"/>
  <c r="I98" i="10"/>
  <c r="J98" i="10" s="1"/>
  <c r="D98" i="10"/>
  <c r="C98" i="10"/>
  <c r="A98" i="10"/>
  <c r="K97" i="10"/>
  <c r="I97" i="10"/>
  <c r="J97" i="10" s="1"/>
  <c r="D97" i="10"/>
  <c r="C97" i="10"/>
  <c r="A97" i="10"/>
  <c r="K96" i="10"/>
  <c r="J96" i="10"/>
  <c r="I96" i="10"/>
  <c r="D96" i="10"/>
  <c r="C96" i="10"/>
  <c r="A96" i="10"/>
  <c r="K95" i="10"/>
  <c r="J95" i="10"/>
  <c r="I95" i="10"/>
  <c r="D95" i="10"/>
  <c r="C95" i="10"/>
  <c r="A95" i="10"/>
  <c r="K94" i="10"/>
  <c r="I94" i="10"/>
  <c r="J94" i="10" s="1"/>
  <c r="D94" i="10"/>
  <c r="C94" i="10"/>
  <c r="A94" i="10"/>
  <c r="K93" i="10"/>
  <c r="I93" i="10"/>
  <c r="J93" i="10" s="1"/>
  <c r="D93" i="10"/>
  <c r="C93" i="10"/>
  <c r="A93" i="10"/>
  <c r="K92" i="10"/>
  <c r="J92" i="10"/>
  <c r="I92" i="10"/>
  <c r="D92" i="10"/>
  <c r="C92" i="10"/>
  <c r="A92" i="10"/>
  <c r="K91" i="10"/>
  <c r="J91" i="10"/>
  <c r="I91" i="10"/>
  <c r="D91" i="10"/>
  <c r="C91" i="10"/>
  <c r="A91" i="10"/>
  <c r="K90" i="10"/>
  <c r="I90" i="10"/>
  <c r="J90" i="10" s="1"/>
  <c r="D90" i="10"/>
  <c r="C90" i="10"/>
  <c r="A90" i="10"/>
  <c r="K89" i="10"/>
  <c r="I89" i="10"/>
  <c r="J89" i="10" s="1"/>
  <c r="D89" i="10"/>
  <c r="C89" i="10"/>
  <c r="A89" i="10"/>
  <c r="K88" i="10"/>
  <c r="J88" i="10"/>
  <c r="I88" i="10"/>
  <c r="D88" i="10"/>
  <c r="C88" i="10"/>
  <c r="A88" i="10"/>
  <c r="K87" i="10"/>
  <c r="J87" i="10"/>
  <c r="I87" i="10"/>
  <c r="D87" i="10"/>
  <c r="C87" i="10"/>
  <c r="A87" i="10"/>
  <c r="K86" i="10"/>
  <c r="I86" i="10"/>
  <c r="J86" i="10" s="1"/>
  <c r="D86" i="10"/>
  <c r="C86" i="10"/>
  <c r="A86" i="10"/>
  <c r="K85" i="10"/>
  <c r="I85" i="10"/>
  <c r="J85" i="10" s="1"/>
  <c r="D85" i="10"/>
  <c r="C85" i="10"/>
  <c r="A85" i="10"/>
  <c r="K84" i="10"/>
  <c r="J84" i="10"/>
  <c r="I84" i="10"/>
  <c r="D84" i="10"/>
  <c r="C84" i="10"/>
  <c r="A84" i="10"/>
  <c r="K83" i="10"/>
  <c r="J83" i="10"/>
  <c r="I83" i="10"/>
  <c r="D83" i="10"/>
  <c r="C83" i="10"/>
  <c r="A83" i="10"/>
  <c r="K82" i="10"/>
  <c r="I82" i="10"/>
  <c r="J82" i="10" s="1"/>
  <c r="D82" i="10"/>
  <c r="C82" i="10"/>
  <c r="A82" i="10"/>
  <c r="K81" i="10"/>
  <c r="I81" i="10"/>
  <c r="J81" i="10" s="1"/>
  <c r="D81" i="10"/>
  <c r="C81" i="10"/>
  <c r="A81" i="10"/>
  <c r="K80" i="10"/>
  <c r="J80" i="10"/>
  <c r="I80" i="10"/>
  <c r="D80" i="10"/>
  <c r="C80" i="10"/>
  <c r="A80" i="10"/>
  <c r="K79" i="10"/>
  <c r="J79" i="10"/>
  <c r="I79" i="10"/>
  <c r="D79" i="10"/>
  <c r="C79" i="10"/>
  <c r="A79" i="10"/>
  <c r="K78" i="10"/>
  <c r="I78" i="10"/>
  <c r="J78" i="10" s="1"/>
  <c r="D78" i="10"/>
  <c r="C78" i="10"/>
  <c r="A78" i="10"/>
  <c r="K77" i="10"/>
  <c r="I77" i="10"/>
  <c r="J77" i="10" s="1"/>
  <c r="D77" i="10"/>
  <c r="C77" i="10"/>
  <c r="A77" i="10"/>
  <c r="K76" i="10"/>
  <c r="J76" i="10"/>
  <c r="I76" i="10"/>
  <c r="D76" i="10"/>
  <c r="C76" i="10"/>
  <c r="A76" i="10"/>
  <c r="K75" i="10"/>
  <c r="J75" i="10"/>
  <c r="I75" i="10"/>
  <c r="D75" i="10"/>
  <c r="C75" i="10"/>
  <c r="A75" i="10"/>
  <c r="K74" i="10"/>
  <c r="I74" i="10"/>
  <c r="J74" i="10" s="1"/>
  <c r="D74" i="10"/>
  <c r="C74" i="10"/>
  <c r="A74" i="10"/>
  <c r="K73" i="10"/>
  <c r="I73" i="10"/>
  <c r="J73" i="10" s="1"/>
  <c r="D73" i="10"/>
  <c r="C73" i="10"/>
  <c r="A73" i="10"/>
  <c r="K72" i="10"/>
  <c r="J72" i="10"/>
  <c r="I72" i="10"/>
  <c r="D72" i="10"/>
  <c r="C72" i="10"/>
  <c r="A72" i="10"/>
  <c r="K71" i="10"/>
  <c r="J71" i="10"/>
  <c r="I71" i="10"/>
  <c r="D71" i="10"/>
  <c r="C71" i="10"/>
  <c r="A71" i="10"/>
  <c r="K70" i="10"/>
  <c r="I70" i="10"/>
  <c r="J70" i="10" s="1"/>
  <c r="D70" i="10"/>
  <c r="C70" i="10"/>
  <c r="A70" i="10"/>
  <c r="K69" i="10"/>
  <c r="I69" i="10"/>
  <c r="J69" i="10" s="1"/>
  <c r="D69" i="10"/>
  <c r="C69" i="10"/>
  <c r="A69" i="10"/>
  <c r="K68" i="10"/>
  <c r="J68" i="10"/>
  <c r="I68" i="10"/>
  <c r="D68" i="10"/>
  <c r="C68" i="10"/>
  <c r="A68" i="10"/>
  <c r="K67" i="10"/>
  <c r="J67" i="10"/>
  <c r="I67" i="10"/>
  <c r="D67" i="10"/>
  <c r="C67" i="10"/>
  <c r="A67" i="10"/>
  <c r="K66" i="10"/>
  <c r="I66" i="10"/>
  <c r="J66" i="10" s="1"/>
  <c r="D66" i="10"/>
  <c r="C66" i="10"/>
  <c r="A66" i="10"/>
  <c r="K65" i="10"/>
  <c r="I65" i="10"/>
  <c r="J65" i="10" s="1"/>
  <c r="D65" i="10"/>
  <c r="C65" i="10"/>
  <c r="A65" i="10"/>
  <c r="K64" i="10"/>
  <c r="J64" i="10"/>
  <c r="I64" i="10"/>
  <c r="D64" i="10"/>
  <c r="C64" i="10"/>
  <c r="A64" i="10"/>
  <c r="K63" i="10"/>
  <c r="J63" i="10"/>
  <c r="I63" i="10"/>
  <c r="D63" i="10"/>
  <c r="C63" i="10"/>
  <c r="A63" i="10"/>
  <c r="K62" i="10"/>
  <c r="I62" i="10"/>
  <c r="J62" i="10" s="1"/>
  <c r="D62" i="10"/>
  <c r="C62" i="10"/>
  <c r="A62" i="10"/>
  <c r="K61" i="10"/>
  <c r="I61" i="10"/>
  <c r="J61" i="10" s="1"/>
  <c r="D61" i="10"/>
  <c r="C61" i="10"/>
  <c r="A61" i="10"/>
  <c r="K60" i="10"/>
  <c r="J60" i="10"/>
  <c r="I60" i="10"/>
  <c r="D60" i="10"/>
  <c r="C60" i="10"/>
  <c r="A60" i="10"/>
  <c r="K59" i="10"/>
  <c r="J59" i="10"/>
  <c r="I59" i="10"/>
  <c r="D59" i="10"/>
  <c r="C59" i="10"/>
  <c r="A59" i="10"/>
  <c r="K58" i="10"/>
  <c r="I58" i="10"/>
  <c r="J58" i="10" s="1"/>
  <c r="D58" i="10"/>
  <c r="C58" i="10"/>
  <c r="A58" i="10"/>
  <c r="K57" i="10"/>
  <c r="I57" i="10"/>
  <c r="J57" i="10" s="1"/>
  <c r="D57" i="10"/>
  <c r="C57" i="10"/>
  <c r="A57" i="10"/>
  <c r="K56" i="10"/>
  <c r="J56" i="10"/>
  <c r="I56" i="10"/>
  <c r="D56" i="10"/>
  <c r="C56" i="10"/>
  <c r="A56" i="10"/>
  <c r="K55" i="10"/>
  <c r="J55" i="10"/>
  <c r="I55" i="10"/>
  <c r="D55" i="10"/>
  <c r="C55" i="10"/>
  <c r="A55" i="10"/>
  <c r="K54" i="10"/>
  <c r="I54" i="10"/>
  <c r="J54" i="10" s="1"/>
  <c r="D54" i="10"/>
  <c r="C54" i="10"/>
  <c r="A54" i="10"/>
  <c r="K53" i="10"/>
  <c r="I53" i="10"/>
  <c r="J53" i="10" s="1"/>
  <c r="D53" i="10"/>
  <c r="C53" i="10"/>
  <c r="A53" i="10"/>
  <c r="K52" i="10"/>
  <c r="J52" i="10"/>
  <c r="I52" i="10"/>
  <c r="D52" i="10"/>
  <c r="C52" i="10"/>
  <c r="A52" i="10"/>
  <c r="K51" i="10"/>
  <c r="J51" i="10"/>
  <c r="I51" i="10"/>
  <c r="D51" i="10"/>
  <c r="C51" i="10"/>
  <c r="A51" i="10"/>
  <c r="K50" i="10"/>
  <c r="I50" i="10"/>
  <c r="J50" i="10" s="1"/>
  <c r="D50" i="10"/>
  <c r="C50" i="10"/>
  <c r="A50" i="10"/>
  <c r="K49" i="10"/>
  <c r="I49" i="10"/>
  <c r="J49" i="10" s="1"/>
  <c r="D49" i="10"/>
  <c r="C49" i="10"/>
  <c r="A49" i="10"/>
  <c r="K48" i="10"/>
  <c r="J48" i="10"/>
  <c r="I48" i="10"/>
  <c r="D48" i="10"/>
  <c r="C48" i="10"/>
  <c r="A48" i="10"/>
  <c r="K47" i="10"/>
  <c r="J47" i="10"/>
  <c r="I47" i="10"/>
  <c r="D47" i="10"/>
  <c r="C47" i="10"/>
  <c r="A47" i="10"/>
  <c r="K46" i="10"/>
  <c r="I46" i="10"/>
  <c r="J46" i="10" s="1"/>
  <c r="D46" i="10"/>
  <c r="C46" i="10"/>
  <c r="A46" i="10"/>
  <c r="K45" i="10"/>
  <c r="I45" i="10"/>
  <c r="J45" i="10" s="1"/>
  <c r="D45" i="10"/>
  <c r="C45" i="10"/>
  <c r="A45" i="10"/>
  <c r="K44" i="10"/>
  <c r="J44" i="10"/>
  <c r="I44" i="10"/>
  <c r="D44" i="10"/>
  <c r="C44" i="10"/>
  <c r="A44" i="10"/>
  <c r="K43" i="10"/>
  <c r="J43" i="10"/>
  <c r="I43" i="10"/>
  <c r="D43" i="10"/>
  <c r="C43" i="10"/>
  <c r="A43" i="10"/>
  <c r="K42" i="10"/>
  <c r="I42" i="10"/>
  <c r="J42" i="10" s="1"/>
  <c r="D42" i="10"/>
  <c r="C42" i="10"/>
  <c r="A42" i="10"/>
  <c r="K41" i="10"/>
  <c r="I41" i="10"/>
  <c r="J41" i="10" s="1"/>
  <c r="D41" i="10"/>
  <c r="C41" i="10"/>
  <c r="A41" i="10"/>
  <c r="K40" i="10"/>
  <c r="J40" i="10"/>
  <c r="I40" i="10"/>
  <c r="D40" i="10"/>
  <c r="C40" i="10"/>
  <c r="A40" i="10"/>
  <c r="K39" i="10"/>
  <c r="J39" i="10"/>
  <c r="I39" i="10"/>
  <c r="D39" i="10"/>
  <c r="C39" i="10"/>
  <c r="A39" i="10"/>
  <c r="K38" i="10"/>
  <c r="I38" i="10"/>
  <c r="J38" i="10" s="1"/>
  <c r="D38" i="10"/>
  <c r="C38" i="10"/>
  <c r="A38" i="10"/>
  <c r="K37" i="10"/>
  <c r="I37" i="10"/>
  <c r="J37" i="10" s="1"/>
  <c r="D37" i="10"/>
  <c r="C37" i="10"/>
  <c r="A37" i="10"/>
  <c r="K36" i="10"/>
  <c r="J36" i="10"/>
  <c r="I36" i="10"/>
  <c r="D36" i="10"/>
  <c r="C36" i="10"/>
  <c r="A36" i="10"/>
  <c r="K35" i="10"/>
  <c r="J35" i="10"/>
  <c r="I35" i="10"/>
  <c r="D35" i="10"/>
  <c r="C35" i="10"/>
  <c r="A35" i="10"/>
  <c r="K34" i="10"/>
  <c r="I34" i="10"/>
  <c r="J34" i="10" s="1"/>
  <c r="D34" i="10"/>
  <c r="C34" i="10"/>
  <c r="A34" i="10"/>
  <c r="K33" i="10"/>
  <c r="I33" i="10"/>
  <c r="J33" i="10" s="1"/>
  <c r="D33" i="10"/>
  <c r="C33" i="10"/>
  <c r="A33" i="10"/>
  <c r="K32" i="10"/>
  <c r="J32" i="10"/>
  <c r="I32" i="10"/>
  <c r="D32" i="10"/>
  <c r="C32" i="10"/>
  <c r="A32" i="10"/>
  <c r="K31" i="10"/>
  <c r="J31" i="10"/>
  <c r="I31" i="10"/>
  <c r="D31" i="10"/>
  <c r="C31" i="10"/>
  <c r="A31" i="10"/>
  <c r="K30" i="10"/>
  <c r="I30" i="10"/>
  <c r="J30" i="10" s="1"/>
  <c r="D30" i="10"/>
  <c r="C30" i="10"/>
  <c r="A30" i="10"/>
  <c r="K29" i="10"/>
  <c r="I29" i="10"/>
  <c r="J29" i="10" s="1"/>
  <c r="D29" i="10"/>
  <c r="C29" i="10"/>
  <c r="A29" i="10"/>
  <c r="K28" i="10"/>
  <c r="J28" i="10"/>
  <c r="I28" i="10"/>
  <c r="D28" i="10"/>
  <c r="C28" i="10"/>
  <c r="A28" i="10"/>
  <c r="K27" i="10"/>
  <c r="J27" i="10"/>
  <c r="I27" i="10"/>
  <c r="D27" i="10"/>
  <c r="C27" i="10"/>
  <c r="A27" i="10"/>
  <c r="K26" i="10"/>
  <c r="I26" i="10"/>
  <c r="J26" i="10" s="1"/>
  <c r="D26" i="10"/>
  <c r="C26" i="10"/>
  <c r="A26" i="10"/>
  <c r="K25" i="10"/>
  <c r="I25" i="10"/>
  <c r="J25" i="10" s="1"/>
  <c r="D25" i="10"/>
  <c r="C25" i="10"/>
  <c r="A25" i="10"/>
  <c r="K24" i="10"/>
  <c r="J24" i="10"/>
  <c r="I24" i="10"/>
  <c r="D24" i="10"/>
  <c r="C24" i="10"/>
  <c r="A24" i="10"/>
  <c r="K23" i="10"/>
  <c r="J23" i="10"/>
  <c r="I23" i="10"/>
  <c r="D23" i="10"/>
  <c r="C23" i="10"/>
  <c r="A23" i="10"/>
  <c r="K22" i="10"/>
  <c r="I22" i="10"/>
  <c r="J22" i="10" s="1"/>
  <c r="D22" i="10"/>
  <c r="C22" i="10"/>
  <c r="A22" i="10"/>
  <c r="K21" i="10"/>
  <c r="I21" i="10"/>
  <c r="J21" i="10" s="1"/>
  <c r="D21" i="10"/>
  <c r="C21" i="10"/>
  <c r="A21" i="10"/>
  <c r="K20" i="10"/>
  <c r="J20" i="10"/>
  <c r="I20" i="10"/>
  <c r="D20" i="10"/>
  <c r="C20" i="10"/>
  <c r="A20" i="10"/>
  <c r="K19" i="10"/>
  <c r="J19" i="10"/>
  <c r="I19" i="10"/>
  <c r="D19" i="10"/>
  <c r="C19" i="10"/>
  <c r="A19" i="10"/>
  <c r="K18" i="10"/>
  <c r="I18" i="10"/>
  <c r="J18" i="10" s="1"/>
  <c r="D18" i="10"/>
  <c r="C18" i="10"/>
  <c r="A18" i="10"/>
  <c r="K17" i="10"/>
  <c r="I17" i="10"/>
  <c r="J17" i="10" s="1"/>
  <c r="D17" i="10"/>
  <c r="C17" i="10"/>
  <c r="A17" i="10"/>
  <c r="K16" i="10"/>
  <c r="J16" i="10"/>
  <c r="I16" i="10"/>
  <c r="D16" i="10"/>
  <c r="C16" i="10"/>
  <c r="A16" i="10"/>
  <c r="K15" i="10"/>
  <c r="J15" i="10"/>
  <c r="I15" i="10"/>
  <c r="D15" i="10"/>
  <c r="C15" i="10"/>
  <c r="A15" i="10"/>
  <c r="K14" i="10"/>
  <c r="I14" i="10"/>
  <c r="J14" i="10" s="1"/>
  <c r="D14" i="10"/>
  <c r="C14" i="10"/>
  <c r="A14" i="10"/>
  <c r="B10" i="10"/>
  <c r="B9" i="10"/>
  <c r="B8" i="10"/>
  <c r="J208" i="9"/>
  <c r="K208" i="9" s="1"/>
  <c r="G208" i="9"/>
  <c r="D208" i="9"/>
  <c r="C208" i="9"/>
  <c r="B208" i="9"/>
  <c r="J207" i="9"/>
  <c r="K207" i="9" s="1"/>
  <c r="G207" i="9"/>
  <c r="D207" i="9"/>
  <c r="C207" i="9"/>
  <c r="B207" i="9"/>
  <c r="K206" i="9"/>
  <c r="J206" i="9"/>
  <c r="G206" i="9"/>
  <c r="D206" i="9"/>
  <c r="C206" i="9"/>
  <c r="B206" i="9"/>
  <c r="K205" i="9"/>
  <c r="J205" i="9"/>
  <c r="G205" i="9"/>
  <c r="D205" i="9"/>
  <c r="C205" i="9"/>
  <c r="B205" i="9"/>
  <c r="J204" i="9"/>
  <c r="K204" i="9" s="1"/>
  <c r="G204" i="9"/>
  <c r="D204" i="9"/>
  <c r="C204" i="9"/>
  <c r="B204" i="9"/>
  <c r="J203" i="9"/>
  <c r="K203" i="9" s="1"/>
  <c r="G203" i="9"/>
  <c r="D203" i="9"/>
  <c r="C203" i="9"/>
  <c r="B203" i="9"/>
  <c r="K202" i="9"/>
  <c r="J202" i="9"/>
  <c r="G202" i="9"/>
  <c r="D202" i="9"/>
  <c r="C202" i="9"/>
  <c r="B202" i="9"/>
  <c r="K201" i="9"/>
  <c r="J201" i="9"/>
  <c r="G201" i="9"/>
  <c r="D201" i="9"/>
  <c r="C201" i="9"/>
  <c r="B201" i="9"/>
  <c r="J200" i="9"/>
  <c r="K200" i="9" s="1"/>
  <c r="G200" i="9"/>
  <c r="D200" i="9"/>
  <c r="C200" i="9"/>
  <c r="B200" i="9"/>
  <c r="J199" i="9"/>
  <c r="K199" i="9" s="1"/>
  <c r="G199" i="9"/>
  <c r="D199" i="9"/>
  <c r="C199" i="9"/>
  <c r="B199" i="9"/>
  <c r="K198" i="9"/>
  <c r="J198" i="9"/>
  <c r="G198" i="9"/>
  <c r="D198" i="9"/>
  <c r="C198" i="9"/>
  <c r="B198" i="9"/>
  <c r="K197" i="9"/>
  <c r="J197" i="9"/>
  <c r="G197" i="9"/>
  <c r="D197" i="9"/>
  <c r="C197" i="9"/>
  <c r="B197" i="9"/>
  <c r="J196" i="9"/>
  <c r="K196" i="9" s="1"/>
  <c r="G196" i="9"/>
  <c r="D196" i="9"/>
  <c r="C196" i="9"/>
  <c r="B196" i="9"/>
  <c r="J195" i="9"/>
  <c r="K195" i="9" s="1"/>
  <c r="G195" i="9"/>
  <c r="D195" i="9"/>
  <c r="C195" i="9"/>
  <c r="B195" i="9"/>
  <c r="K194" i="9"/>
  <c r="J194" i="9"/>
  <c r="G194" i="9"/>
  <c r="D194" i="9"/>
  <c r="C194" i="9"/>
  <c r="B194" i="9"/>
  <c r="K193" i="9"/>
  <c r="J193" i="9"/>
  <c r="G193" i="9"/>
  <c r="D193" i="9"/>
  <c r="C193" i="9"/>
  <c r="B193" i="9"/>
  <c r="J192" i="9"/>
  <c r="K192" i="9" s="1"/>
  <c r="G192" i="9"/>
  <c r="D192" i="9"/>
  <c r="C192" i="9"/>
  <c r="B192" i="9"/>
  <c r="J191" i="9"/>
  <c r="K191" i="9" s="1"/>
  <c r="G191" i="9"/>
  <c r="D191" i="9"/>
  <c r="C191" i="9"/>
  <c r="B191" i="9"/>
  <c r="K190" i="9"/>
  <c r="J190" i="9"/>
  <c r="G190" i="9"/>
  <c r="D190" i="9"/>
  <c r="C190" i="9"/>
  <c r="B190" i="9"/>
  <c r="K189" i="9"/>
  <c r="J189" i="9"/>
  <c r="G189" i="9"/>
  <c r="D189" i="9"/>
  <c r="C189" i="9"/>
  <c r="B189" i="9"/>
  <c r="J188" i="9"/>
  <c r="K188" i="9" s="1"/>
  <c r="G188" i="9"/>
  <c r="D188" i="9"/>
  <c r="C188" i="9"/>
  <c r="B188" i="9"/>
  <c r="J187" i="9"/>
  <c r="K187" i="9" s="1"/>
  <c r="G187" i="9"/>
  <c r="D187" i="9"/>
  <c r="C187" i="9"/>
  <c r="B187" i="9"/>
  <c r="K186" i="9"/>
  <c r="J186" i="9"/>
  <c r="G186" i="9"/>
  <c r="D186" i="9"/>
  <c r="C186" i="9"/>
  <c r="B186" i="9"/>
  <c r="K185" i="9"/>
  <c r="J185" i="9"/>
  <c r="G185" i="9"/>
  <c r="D185" i="9"/>
  <c r="C185" i="9"/>
  <c r="B185" i="9"/>
  <c r="J184" i="9"/>
  <c r="K184" i="9" s="1"/>
  <c r="G184" i="9"/>
  <c r="D184" i="9"/>
  <c r="C184" i="9"/>
  <c r="B184" i="9"/>
  <c r="J183" i="9"/>
  <c r="K183" i="9" s="1"/>
  <c r="G183" i="9"/>
  <c r="D183" i="9"/>
  <c r="C183" i="9"/>
  <c r="B183" i="9"/>
  <c r="K182" i="9"/>
  <c r="J182" i="9"/>
  <c r="G182" i="9"/>
  <c r="D182" i="9"/>
  <c r="C182" i="9"/>
  <c r="B182" i="9"/>
  <c r="K181" i="9"/>
  <c r="J181" i="9"/>
  <c r="G181" i="9"/>
  <c r="D181" i="9"/>
  <c r="C181" i="9"/>
  <c r="B181" i="9"/>
  <c r="J180" i="9"/>
  <c r="K180" i="9" s="1"/>
  <c r="G180" i="9"/>
  <c r="D180" i="9"/>
  <c r="C180" i="9"/>
  <c r="B180" i="9"/>
  <c r="J179" i="9"/>
  <c r="K179" i="9" s="1"/>
  <c r="G179" i="9"/>
  <c r="D179" i="9"/>
  <c r="C179" i="9"/>
  <c r="B179" i="9"/>
  <c r="K178" i="9"/>
  <c r="J178" i="9"/>
  <c r="G178" i="9"/>
  <c r="D178" i="9"/>
  <c r="C178" i="9"/>
  <c r="B178" i="9"/>
  <c r="K177" i="9"/>
  <c r="J177" i="9"/>
  <c r="G177" i="9"/>
  <c r="D177" i="9"/>
  <c r="C177" i="9"/>
  <c r="B177" i="9"/>
  <c r="J176" i="9"/>
  <c r="K176" i="9" s="1"/>
  <c r="G176" i="9"/>
  <c r="D176" i="9"/>
  <c r="C176" i="9"/>
  <c r="B176" i="9"/>
  <c r="J175" i="9"/>
  <c r="K175" i="9" s="1"/>
  <c r="G175" i="9"/>
  <c r="D175" i="9"/>
  <c r="C175" i="9"/>
  <c r="B175" i="9"/>
  <c r="K174" i="9"/>
  <c r="J174" i="9"/>
  <c r="G174" i="9"/>
  <c r="D174" i="9"/>
  <c r="C174" i="9"/>
  <c r="B174" i="9"/>
  <c r="K173" i="9"/>
  <c r="J173" i="9"/>
  <c r="G173" i="9"/>
  <c r="D173" i="9"/>
  <c r="C173" i="9"/>
  <c r="B173" i="9"/>
  <c r="J172" i="9"/>
  <c r="K172" i="9" s="1"/>
  <c r="G172" i="9"/>
  <c r="D172" i="9"/>
  <c r="C172" i="9"/>
  <c r="B172" i="9"/>
  <c r="J171" i="9"/>
  <c r="K171" i="9" s="1"/>
  <c r="G171" i="9"/>
  <c r="D171" i="9"/>
  <c r="C171" i="9"/>
  <c r="B171" i="9"/>
  <c r="K170" i="9"/>
  <c r="J170" i="9"/>
  <c r="G170" i="9"/>
  <c r="D170" i="9"/>
  <c r="C170" i="9"/>
  <c r="B170" i="9"/>
  <c r="K169" i="9"/>
  <c r="J169" i="9"/>
  <c r="G169" i="9"/>
  <c r="D169" i="9"/>
  <c r="C169" i="9"/>
  <c r="B169" i="9"/>
  <c r="J168" i="9"/>
  <c r="K168" i="9" s="1"/>
  <c r="G168" i="9"/>
  <c r="D168" i="9"/>
  <c r="C168" i="9"/>
  <c r="B168" i="9"/>
  <c r="J167" i="9"/>
  <c r="K167" i="9" s="1"/>
  <c r="G167" i="9"/>
  <c r="D167" i="9"/>
  <c r="C167" i="9"/>
  <c r="B167" i="9"/>
  <c r="K166" i="9"/>
  <c r="J166" i="9"/>
  <c r="G166" i="9"/>
  <c r="D166" i="9"/>
  <c r="C166" i="9"/>
  <c r="B166" i="9"/>
  <c r="K165" i="9"/>
  <c r="J165" i="9"/>
  <c r="G165" i="9"/>
  <c r="D165" i="9"/>
  <c r="C165" i="9"/>
  <c r="B165" i="9"/>
  <c r="J164" i="9"/>
  <c r="K164" i="9" s="1"/>
  <c r="G164" i="9"/>
  <c r="D164" i="9"/>
  <c r="C164" i="9"/>
  <c r="B164" i="9"/>
  <c r="J163" i="9"/>
  <c r="K163" i="9" s="1"/>
  <c r="G163" i="9"/>
  <c r="D163" i="9"/>
  <c r="C163" i="9"/>
  <c r="B163" i="9"/>
  <c r="K162" i="9"/>
  <c r="J162" i="9"/>
  <c r="G162" i="9"/>
  <c r="D162" i="9"/>
  <c r="C162" i="9"/>
  <c r="B162" i="9"/>
  <c r="K161" i="9"/>
  <c r="J161" i="9"/>
  <c r="G161" i="9"/>
  <c r="D161" i="9"/>
  <c r="C161" i="9"/>
  <c r="B161" i="9"/>
  <c r="J160" i="9"/>
  <c r="K160" i="9" s="1"/>
  <c r="G160" i="9"/>
  <c r="D160" i="9"/>
  <c r="C160" i="9"/>
  <c r="B160" i="9"/>
  <c r="J159" i="9"/>
  <c r="K159" i="9" s="1"/>
  <c r="G159" i="9"/>
  <c r="D159" i="9"/>
  <c r="C159" i="9"/>
  <c r="B159" i="9"/>
  <c r="K158" i="9"/>
  <c r="J158" i="9"/>
  <c r="G158" i="9"/>
  <c r="D158" i="9"/>
  <c r="C158" i="9"/>
  <c r="B158" i="9"/>
  <c r="K157" i="9"/>
  <c r="J157" i="9"/>
  <c r="G157" i="9"/>
  <c r="D157" i="9"/>
  <c r="C157" i="9"/>
  <c r="B157" i="9"/>
  <c r="J156" i="9"/>
  <c r="K156" i="9" s="1"/>
  <c r="G156" i="9"/>
  <c r="D156" i="9"/>
  <c r="C156" i="9"/>
  <c r="B156" i="9"/>
  <c r="J155" i="9"/>
  <c r="K155" i="9" s="1"/>
  <c r="G155" i="9"/>
  <c r="D155" i="9"/>
  <c r="C155" i="9"/>
  <c r="B155" i="9"/>
  <c r="K154" i="9"/>
  <c r="J154" i="9"/>
  <c r="G154" i="9"/>
  <c r="D154" i="9"/>
  <c r="C154" i="9"/>
  <c r="B154" i="9"/>
  <c r="K153" i="9"/>
  <c r="J153" i="9"/>
  <c r="G153" i="9"/>
  <c r="D153" i="9"/>
  <c r="C153" i="9"/>
  <c r="B153" i="9"/>
  <c r="J152" i="9"/>
  <c r="K152" i="9" s="1"/>
  <c r="G152" i="9"/>
  <c r="D152" i="9"/>
  <c r="C152" i="9"/>
  <c r="B152" i="9"/>
  <c r="J151" i="9"/>
  <c r="K151" i="9" s="1"/>
  <c r="G151" i="9"/>
  <c r="D151" i="9"/>
  <c r="C151" i="9"/>
  <c r="B151" i="9"/>
  <c r="K150" i="9"/>
  <c r="J150" i="9"/>
  <c r="G150" i="9"/>
  <c r="D150" i="9"/>
  <c r="C150" i="9"/>
  <c r="B150" i="9"/>
  <c r="K149" i="9"/>
  <c r="J149" i="9"/>
  <c r="G149" i="9"/>
  <c r="D149" i="9"/>
  <c r="C149" i="9"/>
  <c r="B149" i="9"/>
  <c r="J148" i="9"/>
  <c r="K148" i="9" s="1"/>
  <c r="G148" i="9"/>
  <c r="D148" i="9"/>
  <c r="C148" i="9"/>
  <c r="B148" i="9"/>
  <c r="J147" i="9"/>
  <c r="K147" i="9" s="1"/>
  <c r="G147" i="9"/>
  <c r="D147" i="9"/>
  <c r="C147" i="9"/>
  <c r="B147" i="9"/>
  <c r="K146" i="9"/>
  <c r="J146" i="9"/>
  <c r="G146" i="9"/>
  <c r="D146" i="9"/>
  <c r="C146" i="9"/>
  <c r="B146" i="9"/>
  <c r="K145" i="9"/>
  <c r="J145" i="9"/>
  <c r="G145" i="9"/>
  <c r="D145" i="9"/>
  <c r="C145" i="9"/>
  <c r="B145" i="9"/>
  <c r="J144" i="9"/>
  <c r="K144" i="9" s="1"/>
  <c r="G144" i="9"/>
  <c r="D144" i="9"/>
  <c r="C144" i="9"/>
  <c r="B144" i="9"/>
  <c r="J143" i="9"/>
  <c r="K143" i="9" s="1"/>
  <c r="G143" i="9"/>
  <c r="D143" i="9"/>
  <c r="C143" i="9"/>
  <c r="B143" i="9"/>
  <c r="K142" i="9"/>
  <c r="J142" i="9"/>
  <c r="G142" i="9"/>
  <c r="D142" i="9"/>
  <c r="C142" i="9"/>
  <c r="B142" i="9"/>
  <c r="K141" i="9"/>
  <c r="J141" i="9"/>
  <c r="G141" i="9"/>
  <c r="D141" i="9"/>
  <c r="C141" i="9"/>
  <c r="B141" i="9"/>
  <c r="J140" i="9"/>
  <c r="K140" i="9" s="1"/>
  <c r="G140" i="9"/>
  <c r="D140" i="9"/>
  <c r="C140" i="9"/>
  <c r="B140" i="9"/>
  <c r="J139" i="9"/>
  <c r="K139" i="9" s="1"/>
  <c r="G139" i="9"/>
  <c r="D139" i="9"/>
  <c r="C139" i="9"/>
  <c r="B139" i="9"/>
  <c r="K138" i="9"/>
  <c r="J138" i="9"/>
  <c r="G138" i="9"/>
  <c r="D138" i="9"/>
  <c r="C138" i="9"/>
  <c r="B138" i="9"/>
  <c r="K137" i="9"/>
  <c r="J137" i="9"/>
  <c r="G137" i="9"/>
  <c r="D137" i="9"/>
  <c r="C137" i="9"/>
  <c r="B137" i="9"/>
  <c r="J136" i="9"/>
  <c r="K136" i="9" s="1"/>
  <c r="G136" i="9"/>
  <c r="D136" i="9"/>
  <c r="C136" i="9"/>
  <c r="B136" i="9"/>
  <c r="J135" i="9"/>
  <c r="K135" i="9" s="1"/>
  <c r="G135" i="9"/>
  <c r="D135" i="9"/>
  <c r="C135" i="9"/>
  <c r="B135" i="9"/>
  <c r="K134" i="9"/>
  <c r="J134" i="9"/>
  <c r="G134" i="9"/>
  <c r="D134" i="9"/>
  <c r="C134" i="9"/>
  <c r="B134" i="9"/>
  <c r="K133" i="9"/>
  <c r="J133" i="9"/>
  <c r="G133" i="9"/>
  <c r="D133" i="9"/>
  <c r="C133" i="9"/>
  <c r="B133" i="9"/>
  <c r="J132" i="9"/>
  <c r="K132" i="9" s="1"/>
  <c r="G132" i="9"/>
  <c r="D132" i="9"/>
  <c r="C132" i="9"/>
  <c r="B132" i="9"/>
  <c r="J131" i="9"/>
  <c r="K131" i="9" s="1"/>
  <c r="G131" i="9"/>
  <c r="D131" i="9"/>
  <c r="C131" i="9"/>
  <c r="B131" i="9"/>
  <c r="K130" i="9"/>
  <c r="J130" i="9"/>
  <c r="G130" i="9"/>
  <c r="D130" i="9"/>
  <c r="C130" i="9"/>
  <c r="B130" i="9"/>
  <c r="K129" i="9"/>
  <c r="J129" i="9"/>
  <c r="G129" i="9"/>
  <c r="D129" i="9"/>
  <c r="C129" i="9"/>
  <c r="B129" i="9"/>
  <c r="J128" i="9"/>
  <c r="K128" i="9" s="1"/>
  <c r="G128" i="9"/>
  <c r="D128" i="9"/>
  <c r="C128" i="9"/>
  <c r="B128" i="9"/>
  <c r="J127" i="9"/>
  <c r="K127" i="9" s="1"/>
  <c r="G127" i="9"/>
  <c r="D127" i="9"/>
  <c r="C127" i="9"/>
  <c r="B127" i="9"/>
  <c r="K126" i="9"/>
  <c r="J126" i="9"/>
  <c r="G126" i="9"/>
  <c r="D126" i="9"/>
  <c r="C126" i="9"/>
  <c r="B126" i="9"/>
  <c r="K125" i="9"/>
  <c r="J125" i="9"/>
  <c r="G125" i="9"/>
  <c r="D125" i="9"/>
  <c r="C125" i="9"/>
  <c r="B125" i="9"/>
  <c r="J124" i="9"/>
  <c r="K124" i="9" s="1"/>
  <c r="G124" i="9"/>
  <c r="D124" i="9"/>
  <c r="C124" i="9"/>
  <c r="B124" i="9"/>
  <c r="J123" i="9"/>
  <c r="K123" i="9" s="1"/>
  <c r="G123" i="9"/>
  <c r="D123" i="9"/>
  <c r="C123" i="9"/>
  <c r="B123" i="9"/>
  <c r="K122" i="9"/>
  <c r="J122" i="9"/>
  <c r="G122" i="9"/>
  <c r="D122" i="9"/>
  <c r="C122" i="9"/>
  <c r="B122" i="9"/>
  <c r="K121" i="9"/>
  <c r="J121" i="9"/>
  <c r="G121" i="9"/>
  <c r="D121" i="9"/>
  <c r="C121" i="9"/>
  <c r="B121" i="9"/>
  <c r="J120" i="9"/>
  <c r="K120" i="9" s="1"/>
  <c r="G120" i="9"/>
  <c r="D120" i="9"/>
  <c r="C120" i="9"/>
  <c r="B120" i="9"/>
  <c r="J119" i="9"/>
  <c r="K119" i="9" s="1"/>
  <c r="G119" i="9"/>
  <c r="D119" i="9"/>
  <c r="C119" i="9"/>
  <c r="B119" i="9"/>
  <c r="K118" i="9"/>
  <c r="J118" i="9"/>
  <c r="G118" i="9"/>
  <c r="D118" i="9"/>
  <c r="C118" i="9"/>
  <c r="B118" i="9"/>
  <c r="K117" i="9"/>
  <c r="J117" i="9"/>
  <c r="G117" i="9"/>
  <c r="D117" i="9"/>
  <c r="C117" i="9"/>
  <c r="B117" i="9"/>
  <c r="J116" i="9"/>
  <c r="K116" i="9" s="1"/>
  <c r="G116" i="9"/>
  <c r="D116" i="9"/>
  <c r="C116" i="9"/>
  <c r="B116" i="9"/>
  <c r="J115" i="9"/>
  <c r="K115" i="9" s="1"/>
  <c r="G115" i="9"/>
  <c r="D115" i="9"/>
  <c r="C115" i="9"/>
  <c r="B115" i="9"/>
  <c r="K114" i="9"/>
  <c r="J114" i="9"/>
  <c r="G114" i="9"/>
  <c r="D114" i="9"/>
  <c r="C114" i="9"/>
  <c r="B114" i="9"/>
  <c r="K113" i="9"/>
  <c r="J113" i="9"/>
  <c r="G113" i="9"/>
  <c r="D113" i="9"/>
  <c r="C113" i="9"/>
  <c r="B113" i="9"/>
  <c r="J112" i="9"/>
  <c r="K112" i="9" s="1"/>
  <c r="G112" i="9"/>
  <c r="D112" i="9"/>
  <c r="C112" i="9"/>
  <c r="B112" i="9"/>
  <c r="J111" i="9"/>
  <c r="K111" i="9" s="1"/>
  <c r="G111" i="9"/>
  <c r="D111" i="9"/>
  <c r="C111" i="9"/>
  <c r="B111" i="9"/>
  <c r="K110" i="9"/>
  <c r="J110" i="9"/>
  <c r="G110" i="9"/>
  <c r="D110" i="9"/>
  <c r="C110" i="9"/>
  <c r="B110" i="9"/>
  <c r="K109" i="9"/>
  <c r="J109" i="9"/>
  <c r="G109" i="9"/>
  <c r="D109" i="9"/>
  <c r="C109" i="9"/>
  <c r="B109" i="9"/>
  <c r="J108" i="9"/>
  <c r="K108" i="9" s="1"/>
  <c r="G108" i="9"/>
  <c r="D108" i="9"/>
  <c r="C108" i="9"/>
  <c r="B108" i="9"/>
  <c r="J107" i="9"/>
  <c r="K107" i="9" s="1"/>
  <c r="G107" i="9"/>
  <c r="D107" i="9"/>
  <c r="C107" i="9"/>
  <c r="B107" i="9"/>
  <c r="K106" i="9"/>
  <c r="J106" i="9"/>
  <c r="G106" i="9"/>
  <c r="D106" i="9"/>
  <c r="C106" i="9"/>
  <c r="B106" i="9"/>
  <c r="K105" i="9"/>
  <c r="J105" i="9"/>
  <c r="G105" i="9"/>
  <c r="D105" i="9"/>
  <c r="C105" i="9"/>
  <c r="B105" i="9"/>
  <c r="J104" i="9"/>
  <c r="K104" i="9" s="1"/>
  <c r="G104" i="9"/>
  <c r="D104" i="9"/>
  <c r="C104" i="9"/>
  <c r="B104" i="9"/>
  <c r="J103" i="9"/>
  <c r="K103" i="9" s="1"/>
  <c r="G103" i="9"/>
  <c r="D103" i="9"/>
  <c r="C103" i="9"/>
  <c r="B103" i="9"/>
  <c r="K102" i="9"/>
  <c r="J102" i="9"/>
  <c r="G102" i="9"/>
  <c r="D102" i="9"/>
  <c r="C102" i="9"/>
  <c r="B102" i="9"/>
  <c r="K101" i="9"/>
  <c r="J101" i="9"/>
  <c r="G101" i="9"/>
  <c r="D101" i="9"/>
  <c r="C101" i="9"/>
  <c r="B101" i="9"/>
  <c r="J100" i="9"/>
  <c r="K100" i="9" s="1"/>
  <c r="G100" i="9"/>
  <c r="D100" i="9"/>
  <c r="C100" i="9"/>
  <c r="B100" i="9"/>
  <c r="J99" i="9"/>
  <c r="K99" i="9" s="1"/>
  <c r="G99" i="9"/>
  <c r="D99" i="9"/>
  <c r="C99" i="9"/>
  <c r="B99" i="9"/>
  <c r="K98" i="9"/>
  <c r="J98" i="9"/>
  <c r="G98" i="9"/>
  <c r="D98" i="9"/>
  <c r="C98" i="9"/>
  <c r="B98" i="9"/>
  <c r="K97" i="9"/>
  <c r="J97" i="9"/>
  <c r="G97" i="9"/>
  <c r="D97" i="9"/>
  <c r="C97" i="9"/>
  <c r="B97" i="9"/>
  <c r="J96" i="9"/>
  <c r="K96" i="9" s="1"/>
  <c r="G96" i="9"/>
  <c r="D96" i="9"/>
  <c r="C96" i="9"/>
  <c r="B96" i="9"/>
  <c r="J95" i="9"/>
  <c r="K95" i="9" s="1"/>
  <c r="G95" i="9"/>
  <c r="D95" i="9"/>
  <c r="C95" i="9"/>
  <c r="B95" i="9"/>
  <c r="K94" i="9"/>
  <c r="J94" i="9"/>
  <c r="G94" i="9"/>
  <c r="D94" i="9"/>
  <c r="C94" i="9"/>
  <c r="B94" i="9"/>
  <c r="K93" i="9"/>
  <c r="J93" i="9"/>
  <c r="G93" i="9"/>
  <c r="D93" i="9"/>
  <c r="C93" i="9"/>
  <c r="B93" i="9"/>
  <c r="J92" i="9"/>
  <c r="K92" i="9" s="1"/>
  <c r="G92" i="9"/>
  <c r="D92" i="9"/>
  <c r="C92" i="9"/>
  <c r="B92" i="9"/>
  <c r="J91" i="9"/>
  <c r="K91" i="9" s="1"/>
  <c r="G91" i="9"/>
  <c r="D91" i="9"/>
  <c r="C91" i="9"/>
  <c r="B91" i="9"/>
  <c r="J90" i="9"/>
  <c r="K90" i="9" s="1"/>
  <c r="G90" i="9"/>
  <c r="D90" i="9"/>
  <c r="C90" i="9"/>
  <c r="B90" i="9"/>
  <c r="K89" i="9"/>
  <c r="J89" i="9"/>
  <c r="G89" i="9"/>
  <c r="D89" i="9"/>
  <c r="C89" i="9"/>
  <c r="B89" i="9"/>
  <c r="J88" i="9"/>
  <c r="K88" i="9" s="1"/>
  <c r="G88" i="9"/>
  <c r="D88" i="9"/>
  <c r="C88" i="9"/>
  <c r="B88" i="9"/>
  <c r="J87" i="9"/>
  <c r="K87" i="9" s="1"/>
  <c r="G87" i="9"/>
  <c r="D87" i="9"/>
  <c r="C87" i="9"/>
  <c r="B87" i="9"/>
  <c r="J86" i="9"/>
  <c r="K86" i="9" s="1"/>
  <c r="G86" i="9"/>
  <c r="D86" i="9"/>
  <c r="C86" i="9"/>
  <c r="B86" i="9"/>
  <c r="K85" i="9"/>
  <c r="J85" i="9"/>
  <c r="G85" i="9"/>
  <c r="D85" i="9"/>
  <c r="C85" i="9"/>
  <c r="B85" i="9"/>
  <c r="J84" i="9"/>
  <c r="K84" i="9" s="1"/>
  <c r="G84" i="9"/>
  <c r="D84" i="9"/>
  <c r="C84" i="9"/>
  <c r="B84" i="9"/>
  <c r="J83" i="9"/>
  <c r="K83" i="9" s="1"/>
  <c r="G83" i="9"/>
  <c r="D83" i="9"/>
  <c r="C83" i="9"/>
  <c r="B83" i="9"/>
  <c r="J82" i="9"/>
  <c r="K82" i="9" s="1"/>
  <c r="G82" i="9"/>
  <c r="D82" i="9"/>
  <c r="C82" i="9"/>
  <c r="B82" i="9"/>
  <c r="K81" i="9"/>
  <c r="J81" i="9"/>
  <c r="G81" i="9"/>
  <c r="D81" i="9"/>
  <c r="C81" i="9"/>
  <c r="B81" i="9"/>
  <c r="J80" i="9"/>
  <c r="K80" i="9" s="1"/>
  <c r="G80" i="9"/>
  <c r="D80" i="9"/>
  <c r="C80" i="9"/>
  <c r="B80" i="9"/>
  <c r="J79" i="9"/>
  <c r="K79" i="9" s="1"/>
  <c r="G79" i="9"/>
  <c r="D79" i="9"/>
  <c r="C79" i="9"/>
  <c r="B79" i="9"/>
  <c r="K78" i="9"/>
  <c r="J78" i="9"/>
  <c r="G78" i="9"/>
  <c r="D78" i="9"/>
  <c r="C78" i="9"/>
  <c r="B78" i="9"/>
  <c r="K77" i="9"/>
  <c r="J77" i="9"/>
  <c r="G77" i="9"/>
  <c r="D77" i="9"/>
  <c r="C77" i="9"/>
  <c r="B77" i="9"/>
  <c r="J76" i="9"/>
  <c r="K76" i="9" s="1"/>
  <c r="G76" i="9"/>
  <c r="D76" i="9"/>
  <c r="C76" i="9"/>
  <c r="B76" i="9"/>
  <c r="J75" i="9"/>
  <c r="K75" i="9" s="1"/>
  <c r="G75" i="9"/>
  <c r="D75" i="9"/>
  <c r="C75" i="9"/>
  <c r="B75" i="9"/>
  <c r="J74" i="9"/>
  <c r="K74" i="9" s="1"/>
  <c r="G74" i="9"/>
  <c r="D74" i="9"/>
  <c r="C74" i="9"/>
  <c r="B74" i="9"/>
  <c r="K73" i="9"/>
  <c r="J73" i="9"/>
  <c r="G73" i="9"/>
  <c r="D73" i="9"/>
  <c r="C73" i="9"/>
  <c r="B73" i="9"/>
  <c r="J72" i="9"/>
  <c r="K72" i="9" s="1"/>
  <c r="G72" i="9"/>
  <c r="D72" i="9"/>
  <c r="C72" i="9"/>
  <c r="B72" i="9"/>
  <c r="J71" i="9"/>
  <c r="K71" i="9" s="1"/>
  <c r="G71" i="9"/>
  <c r="D71" i="9"/>
  <c r="C71" i="9"/>
  <c r="B71" i="9"/>
  <c r="J70" i="9"/>
  <c r="K70" i="9" s="1"/>
  <c r="G70" i="9"/>
  <c r="D70" i="9"/>
  <c r="C70" i="9"/>
  <c r="B70" i="9"/>
  <c r="K69" i="9"/>
  <c r="J69" i="9"/>
  <c r="G69" i="9"/>
  <c r="D69" i="9"/>
  <c r="C69" i="9"/>
  <c r="B69" i="9"/>
  <c r="J68" i="9"/>
  <c r="K68" i="9" s="1"/>
  <c r="G68" i="9"/>
  <c r="D68" i="9"/>
  <c r="C68" i="9"/>
  <c r="B68" i="9"/>
  <c r="J67" i="9"/>
  <c r="K67" i="9" s="1"/>
  <c r="G67" i="9"/>
  <c r="D67" i="9"/>
  <c r="C67" i="9"/>
  <c r="B67" i="9"/>
  <c r="J66" i="9"/>
  <c r="K66" i="9" s="1"/>
  <c r="G66" i="9"/>
  <c r="D66" i="9"/>
  <c r="C66" i="9"/>
  <c r="B66" i="9"/>
  <c r="K65" i="9"/>
  <c r="J65" i="9"/>
  <c r="G65" i="9"/>
  <c r="D65" i="9"/>
  <c r="C65" i="9"/>
  <c r="B65" i="9"/>
  <c r="J64" i="9"/>
  <c r="K64" i="9" s="1"/>
  <c r="G64" i="9"/>
  <c r="D64" i="9"/>
  <c r="C64" i="9"/>
  <c r="B64" i="9"/>
  <c r="J63" i="9"/>
  <c r="K63" i="9" s="1"/>
  <c r="G63" i="9"/>
  <c r="D63" i="9"/>
  <c r="C63" i="9"/>
  <c r="B63" i="9"/>
  <c r="K62" i="9"/>
  <c r="J62" i="9"/>
  <c r="G62" i="9"/>
  <c r="D62" i="9"/>
  <c r="C62" i="9"/>
  <c r="B62" i="9"/>
  <c r="K61" i="9"/>
  <c r="J61" i="9"/>
  <c r="G61" i="9"/>
  <c r="D61" i="9"/>
  <c r="C61" i="9"/>
  <c r="B61" i="9"/>
  <c r="J60" i="9"/>
  <c r="K60" i="9" s="1"/>
  <c r="G60" i="9"/>
  <c r="D60" i="9"/>
  <c r="C60" i="9"/>
  <c r="B60" i="9"/>
  <c r="J59" i="9"/>
  <c r="K59" i="9" s="1"/>
  <c r="G59" i="9"/>
  <c r="D59" i="9"/>
  <c r="C59" i="9"/>
  <c r="B59" i="9"/>
  <c r="J58" i="9"/>
  <c r="K58" i="9" s="1"/>
  <c r="G58" i="9"/>
  <c r="D58" i="9"/>
  <c r="C58" i="9"/>
  <c r="B58" i="9"/>
  <c r="K57" i="9"/>
  <c r="J57" i="9"/>
  <c r="G57" i="9"/>
  <c r="D57" i="9"/>
  <c r="C57" i="9"/>
  <c r="B57" i="9"/>
  <c r="J56" i="9"/>
  <c r="K56" i="9" s="1"/>
  <c r="G56" i="9"/>
  <c r="D56" i="9"/>
  <c r="C56" i="9"/>
  <c r="B56" i="9"/>
  <c r="J55" i="9"/>
  <c r="K55" i="9" s="1"/>
  <c r="G55" i="9"/>
  <c r="D55" i="9"/>
  <c r="C55" i="9"/>
  <c r="B55" i="9"/>
  <c r="J54" i="9"/>
  <c r="K54" i="9" s="1"/>
  <c r="G54" i="9"/>
  <c r="D54" i="9"/>
  <c r="C54" i="9"/>
  <c r="B54" i="9"/>
  <c r="K53" i="9"/>
  <c r="J53" i="9"/>
  <c r="G53" i="9"/>
  <c r="D53" i="9"/>
  <c r="C53" i="9"/>
  <c r="B53" i="9"/>
  <c r="J52" i="9"/>
  <c r="K52" i="9" s="1"/>
  <c r="G52" i="9"/>
  <c r="D52" i="9"/>
  <c r="C52" i="9"/>
  <c r="B52" i="9"/>
  <c r="J51" i="9"/>
  <c r="K51" i="9" s="1"/>
  <c r="G51" i="9"/>
  <c r="D51" i="9"/>
  <c r="C51" i="9"/>
  <c r="B51" i="9"/>
  <c r="J50" i="9"/>
  <c r="K50" i="9" s="1"/>
  <c r="G50" i="9"/>
  <c r="D50" i="9"/>
  <c r="C50" i="9"/>
  <c r="B50" i="9"/>
  <c r="K49" i="9"/>
  <c r="J49" i="9"/>
  <c r="G49" i="9"/>
  <c r="D49" i="9"/>
  <c r="C49" i="9"/>
  <c r="B49" i="9"/>
  <c r="J48" i="9"/>
  <c r="K48" i="9" s="1"/>
  <c r="G48" i="9"/>
  <c r="D48" i="9"/>
  <c r="C48" i="9"/>
  <c r="B48" i="9"/>
  <c r="J47" i="9"/>
  <c r="K47" i="9" s="1"/>
  <c r="G47" i="9"/>
  <c r="D47" i="9"/>
  <c r="C47" i="9"/>
  <c r="B47" i="9"/>
  <c r="K46" i="9"/>
  <c r="J46" i="9"/>
  <c r="G46" i="9"/>
  <c r="D46" i="9"/>
  <c r="C46" i="9"/>
  <c r="B46" i="9"/>
  <c r="K45" i="9"/>
  <c r="J45" i="9"/>
  <c r="G45" i="9"/>
  <c r="D45" i="9"/>
  <c r="C45" i="9"/>
  <c r="B45" i="9"/>
  <c r="J44" i="9"/>
  <c r="K44" i="9" s="1"/>
  <c r="G44" i="9"/>
  <c r="D44" i="9"/>
  <c r="C44" i="9"/>
  <c r="B44" i="9"/>
  <c r="J43" i="9"/>
  <c r="K43" i="9" s="1"/>
  <c r="G43" i="9"/>
  <c r="D43" i="9"/>
  <c r="C43" i="9"/>
  <c r="B43" i="9"/>
  <c r="J42" i="9"/>
  <c r="K42" i="9" s="1"/>
  <c r="G42" i="9"/>
  <c r="D42" i="9"/>
  <c r="C42" i="9"/>
  <c r="B42" i="9"/>
  <c r="K41" i="9"/>
  <c r="J41" i="9"/>
  <c r="G41" i="9"/>
  <c r="D41" i="9"/>
  <c r="C41" i="9"/>
  <c r="B41" i="9"/>
  <c r="J40" i="9"/>
  <c r="K40" i="9" s="1"/>
  <c r="G40" i="9"/>
  <c r="D40" i="9"/>
  <c r="C40" i="9"/>
  <c r="B40" i="9"/>
  <c r="J39" i="9"/>
  <c r="K39" i="9" s="1"/>
  <c r="G39" i="9"/>
  <c r="D39" i="9"/>
  <c r="C39" i="9"/>
  <c r="B39" i="9"/>
  <c r="J38" i="9"/>
  <c r="K38" i="9" s="1"/>
  <c r="G38" i="9"/>
  <c r="D38" i="9"/>
  <c r="C38" i="9"/>
  <c r="B38" i="9"/>
  <c r="K37" i="9"/>
  <c r="J37" i="9"/>
  <c r="G37" i="9"/>
  <c r="D37" i="9"/>
  <c r="C37" i="9"/>
  <c r="B37" i="9"/>
  <c r="J36" i="9"/>
  <c r="K36" i="9" s="1"/>
  <c r="G36" i="9"/>
  <c r="D36" i="9"/>
  <c r="C36" i="9"/>
  <c r="B36" i="9"/>
  <c r="J35" i="9"/>
  <c r="K35" i="9" s="1"/>
  <c r="G35" i="9"/>
  <c r="D35" i="9"/>
  <c r="C35" i="9"/>
  <c r="B35" i="9"/>
  <c r="J34" i="9"/>
  <c r="K34" i="9" s="1"/>
  <c r="G34" i="9"/>
  <c r="D34" i="9"/>
  <c r="C34" i="9"/>
  <c r="B34" i="9"/>
  <c r="K33" i="9"/>
  <c r="J33" i="9"/>
  <c r="G33" i="9"/>
  <c r="D33" i="9"/>
  <c r="C33" i="9"/>
  <c r="B33" i="9"/>
  <c r="J32" i="9"/>
  <c r="K32" i="9" s="1"/>
  <c r="G32" i="9"/>
  <c r="D32" i="9"/>
  <c r="C32" i="9"/>
  <c r="B32" i="9"/>
  <c r="J31" i="9"/>
  <c r="K31" i="9" s="1"/>
  <c r="G31" i="9"/>
  <c r="D31" i="9"/>
  <c r="C31" i="9"/>
  <c r="B31" i="9"/>
  <c r="J30" i="9"/>
  <c r="K30" i="9" s="1"/>
  <c r="G30" i="9"/>
  <c r="D30" i="9"/>
  <c r="C30" i="9"/>
  <c r="B30" i="9"/>
  <c r="K29" i="9"/>
  <c r="J29" i="9"/>
  <c r="G29" i="9"/>
  <c r="D29" i="9"/>
  <c r="C29" i="9"/>
  <c r="B29" i="9"/>
  <c r="J28" i="9"/>
  <c r="K28" i="9" s="1"/>
  <c r="G28" i="9"/>
  <c r="D28" i="9"/>
  <c r="C28" i="9"/>
  <c r="B28" i="9"/>
  <c r="J27" i="9"/>
  <c r="K27" i="9" s="1"/>
  <c r="G27" i="9"/>
  <c r="D27" i="9"/>
  <c r="C27" i="9"/>
  <c r="B27" i="9"/>
  <c r="J26" i="9"/>
  <c r="K26" i="9" s="1"/>
  <c r="G26" i="9"/>
  <c r="D26" i="9"/>
  <c r="C26" i="9"/>
  <c r="B26" i="9"/>
  <c r="K25" i="9"/>
  <c r="J25" i="9"/>
  <c r="G25" i="9"/>
  <c r="D25" i="9"/>
  <c r="C25" i="9"/>
  <c r="B25" i="9"/>
  <c r="J24" i="9"/>
  <c r="K24" i="9" s="1"/>
  <c r="G24" i="9"/>
  <c r="D24" i="9"/>
  <c r="C24" i="9"/>
  <c r="B24" i="9"/>
  <c r="J23" i="9"/>
  <c r="K23" i="9" s="1"/>
  <c r="G23" i="9"/>
  <c r="D23" i="9"/>
  <c r="C23" i="9"/>
  <c r="B23" i="9"/>
  <c r="J22" i="9"/>
  <c r="K22" i="9" s="1"/>
  <c r="G22" i="9"/>
  <c r="D22" i="9"/>
  <c r="C22" i="9"/>
  <c r="B22" i="9"/>
  <c r="K21" i="9"/>
  <c r="J21" i="9"/>
  <c r="G21" i="9"/>
  <c r="D21" i="9"/>
  <c r="C21" i="9"/>
  <c r="B21" i="9"/>
  <c r="J20" i="9"/>
  <c r="K20" i="9" s="1"/>
  <c r="G20" i="9"/>
  <c r="D20" i="9"/>
  <c r="C20" i="9"/>
  <c r="B20" i="9"/>
  <c r="J19" i="9"/>
  <c r="K19" i="9" s="1"/>
  <c r="G19" i="9"/>
  <c r="D19" i="9"/>
  <c r="C19" i="9"/>
  <c r="B19" i="9"/>
  <c r="J18" i="9"/>
  <c r="K18" i="9" s="1"/>
  <c r="G18" i="9"/>
  <c r="D18" i="9"/>
  <c r="C18" i="9"/>
  <c r="B18" i="9"/>
  <c r="K17" i="9"/>
  <c r="J17" i="9"/>
  <c r="G17" i="9"/>
  <c r="D17" i="9"/>
  <c r="C17" i="9"/>
  <c r="B17" i="9"/>
  <c r="J16" i="9"/>
  <c r="K16" i="9" s="1"/>
  <c r="G16" i="9"/>
  <c r="D16" i="9"/>
  <c r="C16" i="9"/>
  <c r="B16" i="9"/>
  <c r="J15" i="9"/>
  <c r="K15" i="9" s="1"/>
  <c r="G15" i="9"/>
  <c r="D15" i="9"/>
  <c r="C15" i="9"/>
  <c r="B15" i="9"/>
  <c r="J14" i="9"/>
  <c r="K14" i="9" s="1"/>
  <c r="G14" i="9"/>
  <c r="D14" i="9"/>
  <c r="C14" i="9"/>
  <c r="B14" i="9"/>
  <c r="K13" i="9"/>
  <c r="J13" i="9"/>
  <c r="G13" i="9"/>
  <c r="D13" i="9"/>
  <c r="C13" i="9"/>
  <c r="B13" i="9"/>
  <c r="J12" i="9"/>
  <c r="K12" i="9" s="1"/>
  <c r="G12" i="9"/>
  <c r="D12" i="9"/>
  <c r="C12" i="9"/>
  <c r="B12" i="9"/>
  <c r="J11" i="9"/>
  <c r="K11" i="9" s="1"/>
  <c r="G11" i="9"/>
  <c r="D11" i="9"/>
  <c r="C11" i="9"/>
  <c r="B11" i="9"/>
  <c r="J10" i="9"/>
  <c r="K10" i="9" s="1"/>
  <c r="G10" i="9"/>
  <c r="D10" i="9"/>
  <c r="C10" i="9"/>
  <c r="B10" i="9"/>
  <c r="K9" i="9"/>
  <c r="J9" i="9"/>
  <c r="G9" i="9"/>
  <c r="D9" i="9"/>
  <c r="C9" i="9"/>
  <c r="B9" i="9"/>
  <c r="K4" i="9"/>
  <c r="G4" i="9"/>
  <c r="D4" i="9"/>
  <c r="A4" i="9"/>
  <c r="I208" i="8"/>
  <c r="J208" i="8" s="1"/>
  <c r="F208" i="8"/>
  <c r="D208" i="8"/>
  <c r="C208" i="8"/>
  <c r="B208" i="8"/>
  <c r="J207" i="8"/>
  <c r="I207" i="8"/>
  <c r="F207" i="8"/>
  <c r="D207" i="8"/>
  <c r="C207" i="8"/>
  <c r="B207" i="8"/>
  <c r="I206" i="8"/>
  <c r="J206" i="8" s="1"/>
  <c r="F206" i="8"/>
  <c r="D206" i="8"/>
  <c r="C206" i="8"/>
  <c r="B206" i="8"/>
  <c r="I205" i="8"/>
  <c r="J205" i="8" s="1"/>
  <c r="F205" i="8"/>
  <c r="D205" i="8"/>
  <c r="C205" i="8"/>
  <c r="B205" i="8"/>
  <c r="I204" i="8"/>
  <c r="J204" i="8" s="1"/>
  <c r="F204" i="8"/>
  <c r="D204" i="8"/>
  <c r="C204" i="8"/>
  <c r="B204" i="8"/>
  <c r="J203" i="8"/>
  <c r="I203" i="8"/>
  <c r="F203" i="8"/>
  <c r="D203" i="8"/>
  <c r="C203" i="8"/>
  <c r="B203" i="8"/>
  <c r="I202" i="8"/>
  <c r="J202" i="8" s="1"/>
  <c r="F202" i="8"/>
  <c r="D202" i="8"/>
  <c r="C202" i="8"/>
  <c r="B202" i="8"/>
  <c r="I201" i="8"/>
  <c r="J201" i="8" s="1"/>
  <c r="F201" i="8"/>
  <c r="D201" i="8"/>
  <c r="C201" i="8"/>
  <c r="B201" i="8"/>
  <c r="I200" i="8"/>
  <c r="J200" i="8" s="1"/>
  <c r="F200" i="8"/>
  <c r="D200" i="8"/>
  <c r="C200" i="8"/>
  <c r="B200" i="8"/>
  <c r="J199" i="8"/>
  <c r="I199" i="8"/>
  <c r="F199" i="8"/>
  <c r="D199" i="8"/>
  <c r="C199" i="8"/>
  <c r="B199" i="8"/>
  <c r="I198" i="8"/>
  <c r="J198" i="8" s="1"/>
  <c r="F198" i="8"/>
  <c r="D198" i="8"/>
  <c r="C198" i="8"/>
  <c r="B198" i="8"/>
  <c r="I197" i="8"/>
  <c r="J197" i="8" s="1"/>
  <c r="F197" i="8"/>
  <c r="D197" i="8"/>
  <c r="C197" i="8"/>
  <c r="B197" i="8"/>
  <c r="I196" i="8"/>
  <c r="J196" i="8" s="1"/>
  <c r="F196" i="8"/>
  <c r="D196" i="8"/>
  <c r="C196" i="8"/>
  <c r="B196" i="8"/>
  <c r="J195" i="8"/>
  <c r="I195" i="8"/>
  <c r="F195" i="8"/>
  <c r="D195" i="8"/>
  <c r="C195" i="8"/>
  <c r="B195" i="8"/>
  <c r="I194" i="8"/>
  <c r="J194" i="8" s="1"/>
  <c r="F194" i="8"/>
  <c r="D194" i="8"/>
  <c r="C194" i="8"/>
  <c r="B194" i="8"/>
  <c r="I193" i="8"/>
  <c r="J193" i="8" s="1"/>
  <c r="F193" i="8"/>
  <c r="D193" i="8"/>
  <c r="C193" i="8"/>
  <c r="B193" i="8"/>
  <c r="I192" i="8"/>
  <c r="J192" i="8" s="1"/>
  <c r="F192" i="8"/>
  <c r="D192" i="8"/>
  <c r="C192" i="8"/>
  <c r="B192" i="8"/>
  <c r="J191" i="8"/>
  <c r="I191" i="8"/>
  <c r="F191" i="8"/>
  <c r="D191" i="8"/>
  <c r="C191" i="8"/>
  <c r="B191" i="8"/>
  <c r="I190" i="8"/>
  <c r="J190" i="8" s="1"/>
  <c r="F190" i="8"/>
  <c r="D190" i="8"/>
  <c r="C190" i="8"/>
  <c r="B190" i="8"/>
  <c r="I189" i="8"/>
  <c r="J189" i="8" s="1"/>
  <c r="F189" i="8"/>
  <c r="D189" i="8"/>
  <c r="C189" i="8"/>
  <c r="B189" i="8"/>
  <c r="I188" i="8"/>
  <c r="J188" i="8" s="1"/>
  <c r="F188" i="8"/>
  <c r="D188" i="8"/>
  <c r="C188" i="8"/>
  <c r="B188" i="8"/>
  <c r="J187" i="8"/>
  <c r="I187" i="8"/>
  <c r="F187" i="8"/>
  <c r="D187" i="8"/>
  <c r="C187" i="8"/>
  <c r="B187" i="8"/>
  <c r="I186" i="8"/>
  <c r="J186" i="8" s="1"/>
  <c r="F186" i="8"/>
  <c r="D186" i="8"/>
  <c r="C186" i="8"/>
  <c r="B186" i="8"/>
  <c r="I185" i="8"/>
  <c r="J185" i="8" s="1"/>
  <c r="F185" i="8"/>
  <c r="D185" i="8"/>
  <c r="C185" i="8"/>
  <c r="B185" i="8"/>
  <c r="I184" i="8"/>
  <c r="J184" i="8" s="1"/>
  <c r="F184" i="8"/>
  <c r="D184" i="8"/>
  <c r="C184" i="8"/>
  <c r="B184" i="8"/>
  <c r="J183" i="8"/>
  <c r="I183" i="8"/>
  <c r="F183" i="8"/>
  <c r="D183" i="8"/>
  <c r="C183" i="8"/>
  <c r="B183" i="8"/>
  <c r="I182" i="8"/>
  <c r="J182" i="8" s="1"/>
  <c r="F182" i="8"/>
  <c r="D182" i="8"/>
  <c r="C182" i="8"/>
  <c r="B182" i="8"/>
  <c r="I181" i="8"/>
  <c r="J181" i="8" s="1"/>
  <c r="F181" i="8"/>
  <c r="D181" i="8"/>
  <c r="C181" i="8"/>
  <c r="B181" i="8"/>
  <c r="I180" i="8"/>
  <c r="J180" i="8" s="1"/>
  <c r="F180" i="8"/>
  <c r="D180" i="8"/>
  <c r="C180" i="8"/>
  <c r="B180" i="8"/>
  <c r="J179" i="8"/>
  <c r="I179" i="8"/>
  <c r="F179" i="8"/>
  <c r="D179" i="8"/>
  <c r="C179" i="8"/>
  <c r="B179" i="8"/>
  <c r="I178" i="8"/>
  <c r="J178" i="8" s="1"/>
  <c r="F178" i="8"/>
  <c r="D178" i="8"/>
  <c r="C178" i="8"/>
  <c r="B178" i="8"/>
  <c r="I177" i="8"/>
  <c r="J177" i="8" s="1"/>
  <c r="F177" i="8"/>
  <c r="D177" i="8"/>
  <c r="C177" i="8"/>
  <c r="B177" i="8"/>
  <c r="I176" i="8"/>
  <c r="J176" i="8" s="1"/>
  <c r="F176" i="8"/>
  <c r="D176" i="8"/>
  <c r="C176" i="8"/>
  <c r="B176" i="8"/>
  <c r="J175" i="8"/>
  <c r="I175" i="8"/>
  <c r="F175" i="8"/>
  <c r="D175" i="8"/>
  <c r="C175" i="8"/>
  <c r="B175" i="8"/>
  <c r="I174" i="8"/>
  <c r="J174" i="8" s="1"/>
  <c r="F174" i="8"/>
  <c r="D174" i="8"/>
  <c r="C174" i="8"/>
  <c r="B174" i="8"/>
  <c r="I173" i="8"/>
  <c r="J173" i="8" s="1"/>
  <c r="F173" i="8"/>
  <c r="D173" i="8"/>
  <c r="C173" i="8"/>
  <c r="B173" i="8"/>
  <c r="I172" i="8"/>
  <c r="J172" i="8" s="1"/>
  <c r="F172" i="8"/>
  <c r="D172" i="8"/>
  <c r="C172" i="8"/>
  <c r="B172" i="8"/>
  <c r="J171" i="8"/>
  <c r="I171" i="8"/>
  <c r="F171" i="8"/>
  <c r="D171" i="8"/>
  <c r="C171" i="8"/>
  <c r="B171" i="8"/>
  <c r="I170" i="8"/>
  <c r="J170" i="8" s="1"/>
  <c r="F170" i="8"/>
  <c r="D170" i="8"/>
  <c r="C170" i="8"/>
  <c r="B170" i="8"/>
  <c r="I169" i="8"/>
  <c r="J169" i="8" s="1"/>
  <c r="F169" i="8"/>
  <c r="D169" i="8"/>
  <c r="C169" i="8"/>
  <c r="B169" i="8"/>
  <c r="I168" i="8"/>
  <c r="J168" i="8" s="1"/>
  <c r="F168" i="8"/>
  <c r="D168" i="8"/>
  <c r="C168" i="8"/>
  <c r="B168" i="8"/>
  <c r="J167" i="8"/>
  <c r="I167" i="8"/>
  <c r="F167" i="8"/>
  <c r="D167" i="8"/>
  <c r="C167" i="8"/>
  <c r="B167" i="8"/>
  <c r="I166" i="8"/>
  <c r="J166" i="8" s="1"/>
  <c r="F166" i="8"/>
  <c r="D166" i="8"/>
  <c r="C166" i="8"/>
  <c r="B166" i="8"/>
  <c r="I165" i="8"/>
  <c r="J165" i="8" s="1"/>
  <c r="F165" i="8"/>
  <c r="D165" i="8"/>
  <c r="C165" i="8"/>
  <c r="B165" i="8"/>
  <c r="I164" i="8"/>
  <c r="J164" i="8" s="1"/>
  <c r="F164" i="8"/>
  <c r="D164" i="8"/>
  <c r="C164" i="8"/>
  <c r="B164" i="8"/>
  <c r="J163" i="8"/>
  <c r="I163" i="8"/>
  <c r="F163" i="8"/>
  <c r="D163" i="8"/>
  <c r="C163" i="8"/>
  <c r="B163" i="8"/>
  <c r="I162" i="8"/>
  <c r="J162" i="8" s="1"/>
  <c r="F162" i="8"/>
  <c r="D162" i="8"/>
  <c r="C162" i="8"/>
  <c r="B162" i="8"/>
  <c r="I161" i="8"/>
  <c r="J161" i="8" s="1"/>
  <c r="F161" i="8"/>
  <c r="D161" i="8"/>
  <c r="C161" i="8"/>
  <c r="B161" i="8"/>
  <c r="I160" i="8"/>
  <c r="J160" i="8" s="1"/>
  <c r="F160" i="8"/>
  <c r="D160" i="8"/>
  <c r="C160" i="8"/>
  <c r="B160" i="8"/>
  <c r="J159" i="8"/>
  <c r="I159" i="8"/>
  <c r="F159" i="8"/>
  <c r="D159" i="8"/>
  <c r="C159" i="8"/>
  <c r="B159" i="8"/>
  <c r="I158" i="8"/>
  <c r="J158" i="8" s="1"/>
  <c r="F158" i="8"/>
  <c r="D158" i="8"/>
  <c r="C158" i="8"/>
  <c r="B158" i="8"/>
  <c r="I157" i="8"/>
  <c r="J157" i="8" s="1"/>
  <c r="F157" i="8"/>
  <c r="D157" i="8"/>
  <c r="C157" i="8"/>
  <c r="B157" i="8"/>
  <c r="I156" i="8"/>
  <c r="J156" i="8" s="1"/>
  <c r="F156" i="8"/>
  <c r="D156" i="8"/>
  <c r="C156" i="8"/>
  <c r="B156" i="8"/>
  <c r="J155" i="8"/>
  <c r="I155" i="8"/>
  <c r="F155" i="8"/>
  <c r="D155" i="8"/>
  <c r="C155" i="8"/>
  <c r="B155" i="8"/>
  <c r="I154" i="8"/>
  <c r="J154" i="8" s="1"/>
  <c r="F154" i="8"/>
  <c r="D154" i="8"/>
  <c r="C154" i="8"/>
  <c r="B154" i="8"/>
  <c r="I153" i="8"/>
  <c r="J153" i="8" s="1"/>
  <c r="F153" i="8"/>
  <c r="D153" i="8"/>
  <c r="C153" i="8"/>
  <c r="B153" i="8"/>
  <c r="I152" i="8"/>
  <c r="J152" i="8" s="1"/>
  <c r="F152" i="8"/>
  <c r="D152" i="8"/>
  <c r="C152" i="8"/>
  <c r="B152" i="8"/>
  <c r="J151" i="8"/>
  <c r="I151" i="8"/>
  <c r="F151" i="8"/>
  <c r="D151" i="8"/>
  <c r="C151" i="8"/>
  <c r="B151" i="8"/>
  <c r="I150" i="8"/>
  <c r="J150" i="8" s="1"/>
  <c r="F150" i="8"/>
  <c r="D150" i="8"/>
  <c r="C150" i="8"/>
  <c r="B150" i="8"/>
  <c r="I149" i="8"/>
  <c r="J149" i="8" s="1"/>
  <c r="F149" i="8"/>
  <c r="D149" i="8"/>
  <c r="C149" i="8"/>
  <c r="B149" i="8"/>
  <c r="I148" i="8"/>
  <c r="J148" i="8" s="1"/>
  <c r="F148" i="8"/>
  <c r="D148" i="8"/>
  <c r="C148" i="8"/>
  <c r="B148" i="8"/>
  <c r="J147" i="8"/>
  <c r="I147" i="8"/>
  <c r="F147" i="8"/>
  <c r="D147" i="8"/>
  <c r="C147" i="8"/>
  <c r="B147" i="8"/>
  <c r="I146" i="8"/>
  <c r="J146" i="8" s="1"/>
  <c r="F146" i="8"/>
  <c r="D146" i="8"/>
  <c r="C146" i="8"/>
  <c r="B146" i="8"/>
  <c r="I145" i="8"/>
  <c r="J145" i="8" s="1"/>
  <c r="F145" i="8"/>
  <c r="D145" i="8"/>
  <c r="C145" i="8"/>
  <c r="B145" i="8"/>
  <c r="I144" i="8"/>
  <c r="J144" i="8" s="1"/>
  <c r="F144" i="8"/>
  <c r="D144" i="8"/>
  <c r="C144" i="8"/>
  <c r="B144" i="8"/>
  <c r="J143" i="8"/>
  <c r="I143" i="8"/>
  <c r="F143" i="8"/>
  <c r="D143" i="8"/>
  <c r="C143" i="8"/>
  <c r="B143" i="8"/>
  <c r="I142" i="8"/>
  <c r="J142" i="8" s="1"/>
  <c r="F142" i="8"/>
  <c r="D142" i="8"/>
  <c r="C142" i="8"/>
  <c r="B142" i="8"/>
  <c r="I141" i="8"/>
  <c r="J141" i="8" s="1"/>
  <c r="F141" i="8"/>
  <c r="D141" i="8"/>
  <c r="C141" i="8"/>
  <c r="B141" i="8"/>
  <c r="I140" i="8"/>
  <c r="J140" i="8" s="1"/>
  <c r="F140" i="8"/>
  <c r="D140" i="8"/>
  <c r="C140" i="8"/>
  <c r="B140" i="8"/>
  <c r="J139" i="8"/>
  <c r="I139" i="8"/>
  <c r="F139" i="8"/>
  <c r="D139" i="8"/>
  <c r="C139" i="8"/>
  <c r="B139" i="8"/>
  <c r="I138" i="8"/>
  <c r="J138" i="8" s="1"/>
  <c r="F138" i="8"/>
  <c r="D138" i="8"/>
  <c r="C138" i="8"/>
  <c r="B138" i="8"/>
  <c r="I137" i="8"/>
  <c r="J137" i="8" s="1"/>
  <c r="F137" i="8"/>
  <c r="D137" i="8"/>
  <c r="C137" i="8"/>
  <c r="B137" i="8"/>
  <c r="I136" i="8"/>
  <c r="J136" i="8" s="1"/>
  <c r="F136" i="8"/>
  <c r="D136" i="8"/>
  <c r="C136" i="8"/>
  <c r="B136" i="8"/>
  <c r="J135" i="8"/>
  <c r="I135" i="8"/>
  <c r="F135" i="8"/>
  <c r="D135" i="8"/>
  <c r="C135" i="8"/>
  <c r="B135" i="8"/>
  <c r="I134" i="8"/>
  <c r="J134" i="8" s="1"/>
  <c r="F134" i="8"/>
  <c r="D134" i="8"/>
  <c r="C134" i="8"/>
  <c r="B134" i="8"/>
  <c r="I133" i="8"/>
  <c r="J133" i="8" s="1"/>
  <c r="F133" i="8"/>
  <c r="D133" i="8"/>
  <c r="C133" i="8"/>
  <c r="B133" i="8"/>
  <c r="I132" i="8"/>
  <c r="J132" i="8" s="1"/>
  <c r="F132" i="8"/>
  <c r="D132" i="8"/>
  <c r="C132" i="8"/>
  <c r="B132" i="8"/>
  <c r="J131" i="8"/>
  <c r="I131" i="8"/>
  <c r="F131" i="8"/>
  <c r="D131" i="8"/>
  <c r="C131" i="8"/>
  <c r="B131" i="8"/>
  <c r="I130" i="8"/>
  <c r="J130" i="8" s="1"/>
  <c r="F130" i="8"/>
  <c r="D130" i="8"/>
  <c r="C130" i="8"/>
  <c r="B130" i="8"/>
  <c r="I129" i="8"/>
  <c r="J129" i="8" s="1"/>
  <c r="F129" i="8"/>
  <c r="D129" i="8"/>
  <c r="C129" i="8"/>
  <c r="B129" i="8"/>
  <c r="I128" i="8"/>
  <c r="J128" i="8" s="1"/>
  <c r="F128" i="8"/>
  <c r="D128" i="8"/>
  <c r="C128" i="8"/>
  <c r="B128" i="8"/>
  <c r="J127" i="8"/>
  <c r="I127" i="8"/>
  <c r="F127" i="8"/>
  <c r="D127" i="8"/>
  <c r="C127" i="8"/>
  <c r="B127" i="8"/>
  <c r="I126" i="8"/>
  <c r="J126" i="8" s="1"/>
  <c r="F126" i="8"/>
  <c r="D126" i="8"/>
  <c r="C126" i="8"/>
  <c r="B126" i="8"/>
  <c r="I125" i="8"/>
  <c r="J125" i="8" s="1"/>
  <c r="F125" i="8"/>
  <c r="D125" i="8"/>
  <c r="C125" i="8"/>
  <c r="B125" i="8"/>
  <c r="I124" i="8"/>
  <c r="J124" i="8" s="1"/>
  <c r="F124" i="8"/>
  <c r="D124" i="8"/>
  <c r="C124" i="8"/>
  <c r="B124" i="8"/>
  <c r="J123" i="8"/>
  <c r="I123" i="8"/>
  <c r="F123" i="8"/>
  <c r="D123" i="8"/>
  <c r="C123" i="8"/>
  <c r="B123" i="8"/>
  <c r="I122" i="8"/>
  <c r="J122" i="8" s="1"/>
  <c r="F122" i="8"/>
  <c r="D122" i="8"/>
  <c r="C122" i="8"/>
  <c r="B122" i="8"/>
  <c r="I121" i="8"/>
  <c r="J121" i="8" s="1"/>
  <c r="F121" i="8"/>
  <c r="D121" i="8"/>
  <c r="C121" i="8"/>
  <c r="B121" i="8"/>
  <c r="I120" i="8"/>
  <c r="J120" i="8" s="1"/>
  <c r="F120" i="8"/>
  <c r="D120" i="8"/>
  <c r="C120" i="8"/>
  <c r="B120" i="8"/>
  <c r="J119" i="8"/>
  <c r="I119" i="8"/>
  <c r="F119" i="8"/>
  <c r="D119" i="8"/>
  <c r="C119" i="8"/>
  <c r="B119" i="8"/>
  <c r="I118" i="8"/>
  <c r="J118" i="8" s="1"/>
  <c r="F118" i="8"/>
  <c r="D118" i="8"/>
  <c r="C118" i="8"/>
  <c r="B118" i="8"/>
  <c r="I117" i="8"/>
  <c r="J117" i="8" s="1"/>
  <c r="F117" i="8"/>
  <c r="D117" i="8"/>
  <c r="C117" i="8"/>
  <c r="B117" i="8"/>
  <c r="I116" i="8"/>
  <c r="J116" i="8" s="1"/>
  <c r="F116" i="8"/>
  <c r="D116" i="8"/>
  <c r="C116" i="8"/>
  <c r="B116" i="8"/>
  <c r="J115" i="8"/>
  <c r="I115" i="8"/>
  <c r="F115" i="8"/>
  <c r="D115" i="8"/>
  <c r="C115" i="8"/>
  <c r="B115" i="8"/>
  <c r="I114" i="8"/>
  <c r="J114" i="8" s="1"/>
  <c r="F114" i="8"/>
  <c r="D114" i="8"/>
  <c r="C114" i="8"/>
  <c r="B114" i="8"/>
  <c r="I113" i="8"/>
  <c r="J113" i="8" s="1"/>
  <c r="F113" i="8"/>
  <c r="D113" i="8"/>
  <c r="C113" i="8"/>
  <c r="B113" i="8"/>
  <c r="I112" i="8"/>
  <c r="J112" i="8" s="1"/>
  <c r="F112" i="8"/>
  <c r="D112" i="8"/>
  <c r="C112" i="8"/>
  <c r="B112" i="8"/>
  <c r="J111" i="8"/>
  <c r="I111" i="8"/>
  <c r="F111" i="8"/>
  <c r="D111" i="8"/>
  <c r="C111" i="8"/>
  <c r="B111" i="8"/>
  <c r="I110" i="8"/>
  <c r="J110" i="8" s="1"/>
  <c r="F110" i="8"/>
  <c r="D110" i="8"/>
  <c r="C110" i="8"/>
  <c r="B110" i="8"/>
  <c r="I109" i="8"/>
  <c r="J109" i="8" s="1"/>
  <c r="F109" i="8"/>
  <c r="D109" i="8"/>
  <c r="C109" i="8"/>
  <c r="B109" i="8"/>
  <c r="I108" i="8"/>
  <c r="J108" i="8" s="1"/>
  <c r="F108" i="8"/>
  <c r="D108" i="8"/>
  <c r="C108" i="8"/>
  <c r="B108" i="8"/>
  <c r="J107" i="8"/>
  <c r="I107" i="8"/>
  <c r="F107" i="8"/>
  <c r="D107" i="8"/>
  <c r="C107" i="8"/>
  <c r="B107" i="8"/>
  <c r="I106" i="8"/>
  <c r="J106" i="8" s="1"/>
  <c r="F106" i="8"/>
  <c r="D106" i="8"/>
  <c r="C106" i="8"/>
  <c r="B106" i="8"/>
  <c r="I105" i="8"/>
  <c r="J105" i="8" s="1"/>
  <c r="F105" i="8"/>
  <c r="D105" i="8"/>
  <c r="C105" i="8"/>
  <c r="B105" i="8"/>
  <c r="I104" i="8"/>
  <c r="J104" i="8" s="1"/>
  <c r="F104" i="8"/>
  <c r="D104" i="8"/>
  <c r="C104" i="8"/>
  <c r="B104" i="8"/>
  <c r="J103" i="8"/>
  <c r="I103" i="8"/>
  <c r="F103" i="8"/>
  <c r="D103" i="8"/>
  <c r="C103" i="8"/>
  <c r="B103" i="8"/>
  <c r="I102" i="8"/>
  <c r="J102" i="8" s="1"/>
  <c r="F102" i="8"/>
  <c r="D102" i="8"/>
  <c r="C102" i="8"/>
  <c r="B102" i="8"/>
  <c r="I101" i="8"/>
  <c r="J101" i="8" s="1"/>
  <c r="F101" i="8"/>
  <c r="D101" i="8"/>
  <c r="C101" i="8"/>
  <c r="B101" i="8"/>
  <c r="I100" i="8"/>
  <c r="J100" i="8" s="1"/>
  <c r="F100" i="8"/>
  <c r="D100" i="8"/>
  <c r="C100" i="8"/>
  <c r="B100" i="8"/>
  <c r="J99" i="8"/>
  <c r="I99" i="8"/>
  <c r="F99" i="8"/>
  <c r="D99" i="8"/>
  <c r="C99" i="8"/>
  <c r="B99" i="8"/>
  <c r="I98" i="8"/>
  <c r="J98" i="8" s="1"/>
  <c r="F98" i="8"/>
  <c r="D98" i="8"/>
  <c r="C98" i="8"/>
  <c r="B98" i="8"/>
  <c r="I97" i="8"/>
  <c r="J97" i="8" s="1"/>
  <c r="F97" i="8"/>
  <c r="D97" i="8"/>
  <c r="C97" i="8"/>
  <c r="B97" i="8"/>
  <c r="I96" i="8"/>
  <c r="J96" i="8" s="1"/>
  <c r="F96" i="8"/>
  <c r="D96" i="8"/>
  <c r="C96" i="8"/>
  <c r="B96" i="8"/>
  <c r="J95" i="8"/>
  <c r="I95" i="8"/>
  <c r="F95" i="8"/>
  <c r="D95" i="8"/>
  <c r="C95" i="8"/>
  <c r="B95" i="8"/>
  <c r="I94" i="8"/>
  <c r="J94" i="8" s="1"/>
  <c r="F94" i="8"/>
  <c r="D94" i="8"/>
  <c r="C94" i="8"/>
  <c r="B94" i="8"/>
  <c r="I93" i="8"/>
  <c r="J93" i="8" s="1"/>
  <c r="F93" i="8"/>
  <c r="D93" i="8"/>
  <c r="C93" i="8"/>
  <c r="B93" i="8"/>
  <c r="I92" i="8"/>
  <c r="J92" i="8" s="1"/>
  <c r="F92" i="8"/>
  <c r="D92" i="8"/>
  <c r="C92" i="8"/>
  <c r="B92" i="8"/>
  <c r="J91" i="8"/>
  <c r="I91" i="8"/>
  <c r="F91" i="8"/>
  <c r="D91" i="8"/>
  <c r="C91" i="8"/>
  <c r="B91" i="8"/>
  <c r="I90" i="8"/>
  <c r="J90" i="8" s="1"/>
  <c r="F90" i="8"/>
  <c r="D90" i="8"/>
  <c r="C90" i="8"/>
  <c r="B90" i="8"/>
  <c r="I89" i="8"/>
  <c r="J89" i="8" s="1"/>
  <c r="F89" i="8"/>
  <c r="D89" i="8"/>
  <c r="C89" i="8"/>
  <c r="B89" i="8"/>
  <c r="I88" i="8"/>
  <c r="J88" i="8" s="1"/>
  <c r="F88" i="8"/>
  <c r="D88" i="8"/>
  <c r="C88" i="8"/>
  <c r="B88" i="8"/>
  <c r="J87" i="8"/>
  <c r="I87" i="8"/>
  <c r="F87" i="8"/>
  <c r="D87" i="8"/>
  <c r="C87" i="8"/>
  <c r="B87" i="8"/>
  <c r="I86" i="8"/>
  <c r="J86" i="8" s="1"/>
  <c r="F86" i="8"/>
  <c r="D86" i="8"/>
  <c r="C86" i="8"/>
  <c r="B86" i="8"/>
  <c r="I85" i="8"/>
  <c r="J85" i="8" s="1"/>
  <c r="F85" i="8"/>
  <c r="D85" i="8"/>
  <c r="C85" i="8"/>
  <c r="B85" i="8"/>
  <c r="I84" i="8"/>
  <c r="J84" i="8" s="1"/>
  <c r="F84" i="8"/>
  <c r="D84" i="8"/>
  <c r="C84" i="8"/>
  <c r="B84" i="8"/>
  <c r="J83" i="8"/>
  <c r="I83" i="8"/>
  <c r="F83" i="8"/>
  <c r="D83" i="8"/>
  <c r="C83" i="8"/>
  <c r="B83" i="8"/>
  <c r="I82" i="8"/>
  <c r="J82" i="8" s="1"/>
  <c r="F82" i="8"/>
  <c r="D82" i="8"/>
  <c r="C82" i="8"/>
  <c r="B82" i="8"/>
  <c r="I81" i="8"/>
  <c r="J81" i="8" s="1"/>
  <c r="F81" i="8"/>
  <c r="D81" i="8"/>
  <c r="C81" i="8"/>
  <c r="B81" i="8"/>
  <c r="I80" i="8"/>
  <c r="J80" i="8" s="1"/>
  <c r="F80" i="8"/>
  <c r="D80" i="8"/>
  <c r="C80" i="8"/>
  <c r="B80" i="8"/>
  <c r="J79" i="8"/>
  <c r="I79" i="8"/>
  <c r="F79" i="8"/>
  <c r="D79" i="8"/>
  <c r="C79" i="8"/>
  <c r="B79" i="8"/>
  <c r="I78" i="8"/>
  <c r="J78" i="8" s="1"/>
  <c r="F78" i="8"/>
  <c r="D78" i="8"/>
  <c r="C78" i="8"/>
  <c r="B78" i="8"/>
  <c r="I77" i="8"/>
  <c r="J77" i="8" s="1"/>
  <c r="F77" i="8"/>
  <c r="D77" i="8"/>
  <c r="C77" i="8"/>
  <c r="B77" i="8"/>
  <c r="I76" i="8"/>
  <c r="J76" i="8" s="1"/>
  <c r="F76" i="8"/>
  <c r="D76" i="8"/>
  <c r="C76" i="8"/>
  <c r="B76" i="8"/>
  <c r="J75" i="8"/>
  <c r="I75" i="8"/>
  <c r="F75" i="8"/>
  <c r="D75" i="8"/>
  <c r="C75" i="8"/>
  <c r="B75" i="8"/>
  <c r="I74" i="8"/>
  <c r="J74" i="8" s="1"/>
  <c r="F74" i="8"/>
  <c r="D74" i="8"/>
  <c r="C74" i="8"/>
  <c r="B74" i="8"/>
  <c r="I73" i="8"/>
  <c r="J73" i="8" s="1"/>
  <c r="F73" i="8"/>
  <c r="D73" i="8"/>
  <c r="C73" i="8"/>
  <c r="B73" i="8"/>
  <c r="I72" i="8"/>
  <c r="J72" i="8" s="1"/>
  <c r="F72" i="8"/>
  <c r="D72" i="8"/>
  <c r="C72" i="8"/>
  <c r="B72" i="8"/>
  <c r="J71" i="8"/>
  <c r="I71" i="8"/>
  <c r="F71" i="8"/>
  <c r="D71" i="8"/>
  <c r="C71" i="8"/>
  <c r="B71" i="8"/>
  <c r="I70" i="8"/>
  <c r="J70" i="8" s="1"/>
  <c r="F70" i="8"/>
  <c r="D70" i="8"/>
  <c r="C70" i="8"/>
  <c r="B70" i="8"/>
  <c r="I69" i="8"/>
  <c r="J69" i="8" s="1"/>
  <c r="F69" i="8"/>
  <c r="D69" i="8"/>
  <c r="C69" i="8"/>
  <c r="B69" i="8"/>
  <c r="I68" i="8"/>
  <c r="J68" i="8" s="1"/>
  <c r="F68" i="8"/>
  <c r="D68" i="8"/>
  <c r="C68" i="8"/>
  <c r="B68" i="8"/>
  <c r="J67" i="8"/>
  <c r="I67" i="8"/>
  <c r="F67" i="8"/>
  <c r="D67" i="8"/>
  <c r="C67" i="8"/>
  <c r="B67" i="8"/>
  <c r="I66" i="8"/>
  <c r="J66" i="8" s="1"/>
  <c r="F66" i="8"/>
  <c r="D66" i="8"/>
  <c r="C66" i="8"/>
  <c r="B66" i="8"/>
  <c r="I65" i="8"/>
  <c r="J65" i="8" s="1"/>
  <c r="F65" i="8"/>
  <c r="D65" i="8"/>
  <c r="C65" i="8"/>
  <c r="B65" i="8"/>
  <c r="I64" i="8"/>
  <c r="J64" i="8" s="1"/>
  <c r="F64" i="8"/>
  <c r="D64" i="8"/>
  <c r="C64" i="8"/>
  <c r="B64" i="8"/>
  <c r="J63" i="8"/>
  <c r="I63" i="8"/>
  <c r="F63" i="8"/>
  <c r="D63" i="8"/>
  <c r="C63" i="8"/>
  <c r="B63" i="8"/>
  <c r="I62" i="8"/>
  <c r="J62" i="8" s="1"/>
  <c r="F62" i="8"/>
  <c r="D62" i="8"/>
  <c r="C62" i="8"/>
  <c r="B62" i="8"/>
  <c r="I61" i="8"/>
  <c r="J61" i="8" s="1"/>
  <c r="F61" i="8"/>
  <c r="D61" i="8"/>
  <c r="C61" i="8"/>
  <c r="B61" i="8"/>
  <c r="I60" i="8"/>
  <c r="J60" i="8" s="1"/>
  <c r="F60" i="8"/>
  <c r="D60" i="8"/>
  <c r="C60" i="8"/>
  <c r="B60" i="8"/>
  <c r="J59" i="8"/>
  <c r="I59" i="8"/>
  <c r="F59" i="8"/>
  <c r="D59" i="8"/>
  <c r="C59" i="8"/>
  <c r="B59" i="8"/>
  <c r="I58" i="8"/>
  <c r="J58" i="8" s="1"/>
  <c r="F58" i="8"/>
  <c r="D58" i="8"/>
  <c r="C58" i="8"/>
  <c r="B58" i="8"/>
  <c r="I57" i="8"/>
  <c r="J57" i="8" s="1"/>
  <c r="F57" i="8"/>
  <c r="D57" i="8"/>
  <c r="C57" i="8"/>
  <c r="B57" i="8"/>
  <c r="I56" i="8"/>
  <c r="J56" i="8" s="1"/>
  <c r="F56" i="8"/>
  <c r="D56" i="8"/>
  <c r="C56" i="8"/>
  <c r="B56" i="8"/>
  <c r="J55" i="8"/>
  <c r="I55" i="8"/>
  <c r="F55" i="8"/>
  <c r="D55" i="8"/>
  <c r="C55" i="8"/>
  <c r="B55" i="8"/>
  <c r="I54" i="8"/>
  <c r="J54" i="8" s="1"/>
  <c r="F54" i="8"/>
  <c r="D54" i="8"/>
  <c r="C54" i="8"/>
  <c r="B54" i="8"/>
  <c r="I53" i="8"/>
  <c r="J53" i="8" s="1"/>
  <c r="F53" i="8"/>
  <c r="D53" i="8"/>
  <c r="C53" i="8"/>
  <c r="B53" i="8"/>
  <c r="I52" i="8"/>
  <c r="J52" i="8" s="1"/>
  <c r="F52" i="8"/>
  <c r="D52" i="8"/>
  <c r="C52" i="8"/>
  <c r="B52" i="8"/>
  <c r="J51" i="8"/>
  <c r="I51" i="8"/>
  <c r="F51" i="8"/>
  <c r="D51" i="8"/>
  <c r="C51" i="8"/>
  <c r="B51" i="8"/>
  <c r="I50" i="8"/>
  <c r="J50" i="8" s="1"/>
  <c r="F50" i="8"/>
  <c r="D50" i="8"/>
  <c r="C50" i="8"/>
  <c r="B50" i="8"/>
  <c r="I49" i="8"/>
  <c r="J49" i="8" s="1"/>
  <c r="F49" i="8"/>
  <c r="D49" i="8"/>
  <c r="C49" i="8"/>
  <c r="B49" i="8"/>
  <c r="I48" i="8"/>
  <c r="J48" i="8" s="1"/>
  <c r="F48" i="8"/>
  <c r="D48" i="8"/>
  <c r="C48" i="8"/>
  <c r="B48" i="8"/>
  <c r="J47" i="8"/>
  <c r="I47" i="8"/>
  <c r="F47" i="8"/>
  <c r="D47" i="8"/>
  <c r="C47" i="8"/>
  <c r="B47" i="8"/>
  <c r="I46" i="8"/>
  <c r="J46" i="8" s="1"/>
  <c r="F46" i="8"/>
  <c r="D46" i="8"/>
  <c r="C46" i="8"/>
  <c r="B46" i="8"/>
  <c r="I45" i="8"/>
  <c r="J45" i="8" s="1"/>
  <c r="F45" i="8"/>
  <c r="D45" i="8"/>
  <c r="C45" i="8"/>
  <c r="B45" i="8"/>
  <c r="I44" i="8"/>
  <c r="J44" i="8" s="1"/>
  <c r="F44" i="8"/>
  <c r="D44" i="8"/>
  <c r="C44" i="8"/>
  <c r="B44" i="8"/>
  <c r="J43" i="8"/>
  <c r="I43" i="8"/>
  <c r="F43" i="8"/>
  <c r="D43" i="8"/>
  <c r="C43" i="8"/>
  <c r="B43" i="8"/>
  <c r="I42" i="8"/>
  <c r="J42" i="8" s="1"/>
  <c r="F42" i="8"/>
  <c r="D42" i="8"/>
  <c r="C42" i="8"/>
  <c r="B42" i="8"/>
  <c r="I41" i="8"/>
  <c r="J41" i="8" s="1"/>
  <c r="F41" i="8"/>
  <c r="D41" i="8"/>
  <c r="C41" i="8"/>
  <c r="B41" i="8"/>
  <c r="I40" i="8"/>
  <c r="J40" i="8" s="1"/>
  <c r="F40" i="8"/>
  <c r="D40" i="8"/>
  <c r="C40" i="8"/>
  <c r="B40" i="8"/>
  <c r="J39" i="8"/>
  <c r="I39" i="8"/>
  <c r="F39" i="8"/>
  <c r="D39" i="8"/>
  <c r="C39" i="8"/>
  <c r="B39" i="8"/>
  <c r="I38" i="8"/>
  <c r="J38" i="8" s="1"/>
  <c r="F38" i="8"/>
  <c r="D38" i="8"/>
  <c r="C38" i="8"/>
  <c r="B38" i="8"/>
  <c r="I37" i="8"/>
  <c r="J37" i="8" s="1"/>
  <c r="F37" i="8"/>
  <c r="D37" i="8"/>
  <c r="C37" i="8"/>
  <c r="B37" i="8"/>
  <c r="I36" i="8"/>
  <c r="J36" i="8" s="1"/>
  <c r="F36" i="8"/>
  <c r="D36" i="8"/>
  <c r="C36" i="8"/>
  <c r="B36" i="8"/>
  <c r="J35" i="8"/>
  <c r="I35" i="8"/>
  <c r="F35" i="8"/>
  <c r="D35" i="8"/>
  <c r="C35" i="8"/>
  <c r="B35" i="8"/>
  <c r="I34" i="8"/>
  <c r="J34" i="8" s="1"/>
  <c r="F34" i="8"/>
  <c r="D34" i="8"/>
  <c r="C34" i="8"/>
  <c r="B34" i="8"/>
  <c r="I33" i="8"/>
  <c r="J33" i="8" s="1"/>
  <c r="F33" i="8"/>
  <c r="D33" i="8"/>
  <c r="C33" i="8"/>
  <c r="B33" i="8"/>
  <c r="I32" i="8"/>
  <c r="J32" i="8" s="1"/>
  <c r="F32" i="8"/>
  <c r="D32" i="8"/>
  <c r="C32" i="8"/>
  <c r="B32" i="8"/>
  <c r="J31" i="8"/>
  <c r="I31" i="8"/>
  <c r="F31" i="8"/>
  <c r="D31" i="8"/>
  <c r="C31" i="8"/>
  <c r="B31" i="8"/>
  <c r="I30" i="8"/>
  <c r="J30" i="8" s="1"/>
  <c r="F30" i="8"/>
  <c r="D30" i="8"/>
  <c r="C30" i="8"/>
  <c r="B30" i="8"/>
  <c r="I29" i="8"/>
  <c r="J29" i="8" s="1"/>
  <c r="F29" i="8"/>
  <c r="D29" i="8"/>
  <c r="C29" i="8"/>
  <c r="B29" i="8"/>
  <c r="I28" i="8"/>
  <c r="J28" i="8" s="1"/>
  <c r="F28" i="8"/>
  <c r="D28" i="8"/>
  <c r="C28" i="8"/>
  <c r="B28" i="8"/>
  <c r="J27" i="8"/>
  <c r="I27" i="8"/>
  <c r="F27" i="8"/>
  <c r="D27" i="8"/>
  <c r="C27" i="8"/>
  <c r="B27" i="8"/>
  <c r="I26" i="8"/>
  <c r="J26" i="8" s="1"/>
  <c r="F26" i="8"/>
  <c r="D26" i="8"/>
  <c r="C26" i="8"/>
  <c r="B26" i="8"/>
  <c r="I25" i="8"/>
  <c r="J25" i="8" s="1"/>
  <c r="F25" i="8"/>
  <c r="D25" i="8"/>
  <c r="C25" i="8"/>
  <c r="B25" i="8"/>
  <c r="I24" i="8"/>
  <c r="J24" i="8" s="1"/>
  <c r="F24" i="8"/>
  <c r="D24" i="8"/>
  <c r="C24" i="8"/>
  <c r="B24" i="8"/>
  <c r="J23" i="8"/>
  <c r="I23" i="8"/>
  <c r="F23" i="8"/>
  <c r="D23" i="8"/>
  <c r="C23" i="8"/>
  <c r="B23" i="8"/>
  <c r="I22" i="8"/>
  <c r="J22" i="8" s="1"/>
  <c r="F22" i="8"/>
  <c r="D22" i="8"/>
  <c r="C22" i="8"/>
  <c r="B22" i="8"/>
  <c r="I21" i="8"/>
  <c r="J21" i="8" s="1"/>
  <c r="F21" i="8"/>
  <c r="D21" i="8"/>
  <c r="C21" i="8"/>
  <c r="B21" i="8"/>
  <c r="I20" i="8"/>
  <c r="J20" i="8" s="1"/>
  <c r="F20" i="8"/>
  <c r="D20" i="8"/>
  <c r="C20" i="8"/>
  <c r="B20" i="8"/>
  <c r="J19" i="8"/>
  <c r="I19" i="8"/>
  <c r="F19" i="8"/>
  <c r="D19" i="8"/>
  <c r="C19" i="8"/>
  <c r="B19" i="8"/>
  <c r="I18" i="8"/>
  <c r="J18" i="8" s="1"/>
  <c r="F18" i="8"/>
  <c r="D18" i="8"/>
  <c r="C18" i="8"/>
  <c r="B18" i="8"/>
  <c r="I17" i="8"/>
  <c r="J17" i="8" s="1"/>
  <c r="F17" i="8"/>
  <c r="D17" i="8"/>
  <c r="C17" i="8"/>
  <c r="B17" i="8"/>
  <c r="I16" i="8"/>
  <c r="J16" i="8" s="1"/>
  <c r="F16" i="8"/>
  <c r="D16" i="8"/>
  <c r="C16" i="8"/>
  <c r="B16" i="8"/>
  <c r="J15" i="8"/>
  <c r="I15" i="8"/>
  <c r="F15" i="8"/>
  <c r="D15" i="8"/>
  <c r="C15" i="8"/>
  <c r="B15" i="8"/>
  <c r="I14" i="8"/>
  <c r="J14" i="8" s="1"/>
  <c r="F14" i="8"/>
  <c r="D14" i="8"/>
  <c r="C14" i="8"/>
  <c r="B14" i="8"/>
  <c r="I13" i="8"/>
  <c r="J13" i="8" s="1"/>
  <c r="F13" i="8"/>
  <c r="D13" i="8"/>
  <c r="C13" i="8"/>
  <c r="B13" i="8"/>
  <c r="I12" i="8"/>
  <c r="J12" i="8" s="1"/>
  <c r="F12" i="8"/>
  <c r="D12" i="8"/>
  <c r="C12" i="8"/>
  <c r="B12" i="8"/>
  <c r="J11" i="8"/>
  <c r="I11" i="8"/>
  <c r="F11" i="8"/>
  <c r="D11" i="8"/>
  <c r="C11" i="8"/>
  <c r="B11" i="8"/>
  <c r="I10" i="8"/>
  <c r="J10" i="8" s="1"/>
  <c r="F10" i="8"/>
  <c r="D10" i="8"/>
  <c r="C10" i="8"/>
  <c r="B10" i="8"/>
  <c r="I9" i="8"/>
  <c r="J9" i="8" s="1"/>
  <c r="F9" i="8"/>
  <c r="D9" i="8"/>
  <c r="C9" i="8"/>
  <c r="B9" i="8"/>
  <c r="A5" i="8"/>
  <c r="G4" i="8"/>
  <c r="D4" i="8"/>
  <c r="A4" i="8"/>
  <c r="K213" i="7"/>
  <c r="K212" i="7"/>
  <c r="K211" i="7"/>
  <c r="K210" i="7"/>
  <c r="K209" i="7"/>
  <c r="K208" i="7"/>
  <c r="K207" i="7"/>
  <c r="K206" i="7"/>
  <c r="K205" i="7"/>
  <c r="K204" i="7"/>
  <c r="K203" i="7"/>
  <c r="K202" i="7"/>
  <c r="K201" i="7"/>
  <c r="K200" i="7"/>
  <c r="K199" i="7"/>
  <c r="K198" i="7"/>
  <c r="K197" i="7"/>
  <c r="K196" i="7"/>
  <c r="K195" i="7"/>
  <c r="K194" i="7"/>
  <c r="K193" i="7"/>
  <c r="K192" i="7"/>
  <c r="K191" i="7"/>
  <c r="K190" i="7"/>
  <c r="K189" i="7"/>
  <c r="K188" i="7"/>
  <c r="K187" i="7"/>
  <c r="K186" i="7"/>
  <c r="K185" i="7"/>
  <c r="K184" i="7"/>
  <c r="K183" i="7"/>
  <c r="K182" i="7"/>
  <c r="K181" i="7"/>
  <c r="K180" i="7"/>
  <c r="K179" i="7"/>
  <c r="K178" i="7"/>
  <c r="K177" i="7"/>
  <c r="K176" i="7"/>
  <c r="K175" i="7"/>
  <c r="K174" i="7"/>
  <c r="K173" i="7"/>
  <c r="K172" i="7"/>
  <c r="K171" i="7"/>
  <c r="K170" i="7"/>
  <c r="K169" i="7"/>
  <c r="K168" i="7"/>
  <c r="K167" i="7"/>
  <c r="K166" i="7"/>
  <c r="K165" i="7"/>
  <c r="K164" i="7"/>
  <c r="K163" i="7"/>
  <c r="K162" i="7"/>
  <c r="K161" i="7"/>
  <c r="K160" i="7"/>
  <c r="K159" i="7"/>
  <c r="K158" i="7"/>
  <c r="K157" i="7"/>
  <c r="K156" i="7"/>
  <c r="K155" i="7"/>
  <c r="K154" i="7"/>
  <c r="K153" i="7"/>
  <c r="K152" i="7"/>
  <c r="K151" i="7"/>
  <c r="K150" i="7"/>
  <c r="K149" i="7"/>
  <c r="K148" i="7"/>
  <c r="K147" i="7"/>
  <c r="K146" i="7"/>
  <c r="K145" i="7"/>
  <c r="K144" i="7"/>
  <c r="K143" i="7"/>
  <c r="K142" i="7"/>
  <c r="K141" i="7"/>
  <c r="K140" i="7"/>
  <c r="K139" i="7"/>
  <c r="K138" i="7"/>
  <c r="K137" i="7"/>
  <c r="K136" i="7"/>
  <c r="K135" i="7"/>
  <c r="K134" i="7"/>
  <c r="K133" i="7"/>
  <c r="K132" i="7"/>
  <c r="K131" i="7"/>
  <c r="K130" i="7"/>
  <c r="K129" i="7"/>
  <c r="K128" i="7"/>
  <c r="K127" i="7"/>
  <c r="K126" i="7"/>
  <c r="K125" i="7"/>
  <c r="K124" i="7"/>
  <c r="K123" i="7"/>
  <c r="K122" i="7"/>
  <c r="K121" i="7"/>
  <c r="K120" i="7"/>
  <c r="K119" i="7"/>
  <c r="K118" i="7"/>
  <c r="K117" i="7"/>
  <c r="K116" i="7"/>
  <c r="K115" i="7"/>
  <c r="K114" i="7"/>
  <c r="K113" i="7"/>
  <c r="J113" i="7"/>
  <c r="I113" i="7"/>
  <c r="D113" i="7"/>
  <c r="C113" i="7"/>
  <c r="A113" i="7"/>
  <c r="K112" i="7"/>
  <c r="I112" i="7"/>
  <c r="J112" i="7" s="1"/>
  <c r="D112" i="7"/>
  <c r="C112" i="7"/>
  <c r="A112" i="7"/>
  <c r="K111" i="7"/>
  <c r="I111" i="7"/>
  <c r="J111" i="7" s="1"/>
  <c r="D111" i="7"/>
  <c r="C111" i="7"/>
  <c r="A111" i="7"/>
  <c r="K110" i="7"/>
  <c r="J110" i="7"/>
  <c r="I110" i="7"/>
  <c r="D110" i="7"/>
  <c r="C110" i="7"/>
  <c r="A110" i="7"/>
  <c r="K109" i="7"/>
  <c r="J109" i="7"/>
  <c r="I109" i="7"/>
  <c r="D109" i="7"/>
  <c r="C109" i="7"/>
  <c r="A109" i="7"/>
  <c r="K108" i="7"/>
  <c r="I108" i="7"/>
  <c r="J108" i="7" s="1"/>
  <c r="D108" i="7"/>
  <c r="C108" i="7"/>
  <c r="A108" i="7"/>
  <c r="K107" i="7"/>
  <c r="J107" i="7"/>
  <c r="I107" i="7"/>
  <c r="D107" i="7"/>
  <c r="C107" i="7"/>
  <c r="A107" i="7"/>
  <c r="K106" i="7"/>
  <c r="J106" i="7"/>
  <c r="I106" i="7"/>
  <c r="D106" i="7"/>
  <c r="C106" i="7"/>
  <c r="A106" i="7"/>
  <c r="K105" i="7"/>
  <c r="J105" i="7"/>
  <c r="I105" i="7"/>
  <c r="D105" i="7"/>
  <c r="C105" i="7"/>
  <c r="A105" i="7"/>
  <c r="K104" i="7"/>
  <c r="I104" i="7"/>
  <c r="J104" i="7" s="1"/>
  <c r="D104" i="7"/>
  <c r="C104" i="7"/>
  <c r="A104" i="7"/>
  <c r="K103" i="7"/>
  <c r="I103" i="7"/>
  <c r="J103" i="7" s="1"/>
  <c r="D103" i="7"/>
  <c r="C103" i="7"/>
  <c r="A103" i="7"/>
  <c r="K102" i="7"/>
  <c r="J102" i="7"/>
  <c r="I102" i="7"/>
  <c r="D102" i="7"/>
  <c r="C102" i="7"/>
  <c r="A102" i="7"/>
  <c r="K101" i="7"/>
  <c r="J101" i="7"/>
  <c r="I101" i="7"/>
  <c r="D101" i="7"/>
  <c r="C101" i="7"/>
  <c r="A101" i="7"/>
  <c r="K100" i="7"/>
  <c r="I100" i="7"/>
  <c r="J100" i="7" s="1"/>
  <c r="D100" i="7"/>
  <c r="C100" i="7"/>
  <c r="A100" i="7"/>
  <c r="K99" i="7"/>
  <c r="J99" i="7"/>
  <c r="I99" i="7"/>
  <c r="D99" i="7"/>
  <c r="C99" i="7"/>
  <c r="A99" i="7"/>
  <c r="K98" i="7"/>
  <c r="J98" i="7"/>
  <c r="I98" i="7"/>
  <c r="D98" i="7"/>
  <c r="C98" i="7"/>
  <c r="A98" i="7"/>
  <c r="K97" i="7"/>
  <c r="J97" i="7"/>
  <c r="I97" i="7"/>
  <c r="D97" i="7"/>
  <c r="C97" i="7"/>
  <c r="A97" i="7"/>
  <c r="K96" i="7"/>
  <c r="I96" i="7"/>
  <c r="J96" i="7" s="1"/>
  <c r="D96" i="7"/>
  <c r="C96" i="7"/>
  <c r="A96" i="7"/>
  <c r="K95" i="7"/>
  <c r="I95" i="7"/>
  <c r="J95" i="7" s="1"/>
  <c r="D95" i="7"/>
  <c r="C95" i="7"/>
  <c r="A95" i="7"/>
  <c r="K94" i="7"/>
  <c r="J94" i="7"/>
  <c r="I94" i="7"/>
  <c r="D94" i="7"/>
  <c r="C94" i="7"/>
  <c r="A94" i="7"/>
  <c r="K93" i="7"/>
  <c r="J93" i="7"/>
  <c r="I93" i="7"/>
  <c r="D93" i="7"/>
  <c r="C93" i="7"/>
  <c r="A93" i="7"/>
  <c r="K92" i="7"/>
  <c r="I92" i="7"/>
  <c r="J92" i="7" s="1"/>
  <c r="D92" i="7"/>
  <c r="C92" i="7"/>
  <c r="A92" i="7"/>
  <c r="K91" i="7"/>
  <c r="J91" i="7"/>
  <c r="I91" i="7"/>
  <c r="D91" i="7"/>
  <c r="C91" i="7"/>
  <c r="A91" i="7"/>
  <c r="K90" i="7"/>
  <c r="J90" i="7"/>
  <c r="I90" i="7"/>
  <c r="D90" i="7"/>
  <c r="C90" i="7"/>
  <c r="A90" i="7"/>
  <c r="K89" i="7"/>
  <c r="J89" i="7"/>
  <c r="I89" i="7"/>
  <c r="D89" i="7"/>
  <c r="C89" i="7"/>
  <c r="A89" i="7"/>
  <c r="K88" i="7"/>
  <c r="I88" i="7"/>
  <c r="J88" i="7" s="1"/>
  <c r="D88" i="7"/>
  <c r="C88" i="7"/>
  <c r="A88" i="7"/>
  <c r="K87" i="7"/>
  <c r="I87" i="7"/>
  <c r="J87" i="7" s="1"/>
  <c r="D87" i="7"/>
  <c r="C87" i="7"/>
  <c r="A87" i="7"/>
  <c r="K86" i="7"/>
  <c r="J86" i="7"/>
  <c r="I86" i="7"/>
  <c r="D86" i="7"/>
  <c r="C86" i="7"/>
  <c r="A86" i="7"/>
  <c r="K85" i="7"/>
  <c r="J85" i="7"/>
  <c r="I85" i="7"/>
  <c r="D85" i="7"/>
  <c r="C85" i="7"/>
  <c r="A85" i="7"/>
  <c r="K84" i="7"/>
  <c r="I84" i="7"/>
  <c r="J84" i="7" s="1"/>
  <c r="D84" i="7"/>
  <c r="C84" i="7"/>
  <c r="A84" i="7"/>
  <c r="K83" i="7"/>
  <c r="J83" i="7"/>
  <c r="I83" i="7"/>
  <c r="D83" i="7"/>
  <c r="C83" i="7"/>
  <c r="A83" i="7"/>
  <c r="K82" i="7"/>
  <c r="J82" i="7"/>
  <c r="I82" i="7"/>
  <c r="D82" i="7"/>
  <c r="C82" i="7"/>
  <c r="A82" i="7"/>
  <c r="K81" i="7"/>
  <c r="J81" i="7"/>
  <c r="I81" i="7"/>
  <c r="D81" i="7"/>
  <c r="C81" i="7"/>
  <c r="A81" i="7"/>
  <c r="K80" i="7"/>
  <c r="I80" i="7"/>
  <c r="J80" i="7" s="1"/>
  <c r="D80" i="7"/>
  <c r="C80" i="7"/>
  <c r="A80" i="7"/>
  <c r="K79" i="7"/>
  <c r="I79" i="7"/>
  <c r="J79" i="7" s="1"/>
  <c r="D79" i="7"/>
  <c r="C79" i="7"/>
  <c r="A79" i="7"/>
  <c r="K78" i="7"/>
  <c r="J78" i="7"/>
  <c r="I78" i="7"/>
  <c r="D78" i="7"/>
  <c r="C78" i="7"/>
  <c r="A78" i="7"/>
  <c r="K77" i="7"/>
  <c r="J77" i="7"/>
  <c r="I77" i="7"/>
  <c r="D77" i="7"/>
  <c r="C77" i="7"/>
  <c r="A77" i="7"/>
  <c r="K76" i="7"/>
  <c r="I76" i="7"/>
  <c r="J76" i="7" s="1"/>
  <c r="D76" i="7"/>
  <c r="C76" i="7"/>
  <c r="A76" i="7"/>
  <c r="K75" i="7"/>
  <c r="J75" i="7"/>
  <c r="I75" i="7"/>
  <c r="D75" i="7"/>
  <c r="C75" i="7"/>
  <c r="A75" i="7"/>
  <c r="K74" i="7"/>
  <c r="J74" i="7"/>
  <c r="I74" i="7"/>
  <c r="D74" i="7"/>
  <c r="C74" i="7"/>
  <c r="A74" i="7"/>
  <c r="K73" i="7"/>
  <c r="J73" i="7"/>
  <c r="I73" i="7"/>
  <c r="D73" i="7"/>
  <c r="C73" i="7"/>
  <c r="A73" i="7"/>
  <c r="K72" i="7"/>
  <c r="I72" i="7"/>
  <c r="J72" i="7" s="1"/>
  <c r="D72" i="7"/>
  <c r="C72" i="7"/>
  <c r="A72" i="7"/>
  <c r="K71" i="7"/>
  <c r="I71" i="7"/>
  <c r="J71" i="7" s="1"/>
  <c r="D71" i="7"/>
  <c r="C71" i="7"/>
  <c r="A71" i="7"/>
  <c r="K70" i="7"/>
  <c r="J70" i="7"/>
  <c r="I70" i="7"/>
  <c r="D70" i="7"/>
  <c r="C70" i="7"/>
  <c r="A70" i="7"/>
  <c r="K69" i="7"/>
  <c r="J69" i="7"/>
  <c r="I69" i="7"/>
  <c r="D69" i="7"/>
  <c r="C69" i="7"/>
  <c r="A69" i="7"/>
  <c r="K68" i="7"/>
  <c r="I68" i="7"/>
  <c r="J68" i="7" s="1"/>
  <c r="D68" i="7"/>
  <c r="C68" i="7"/>
  <c r="A68" i="7"/>
  <c r="K67" i="7"/>
  <c r="J67" i="7"/>
  <c r="I67" i="7"/>
  <c r="D67" i="7"/>
  <c r="C67" i="7"/>
  <c r="A67" i="7"/>
  <c r="K66" i="7"/>
  <c r="J66" i="7"/>
  <c r="I66" i="7"/>
  <c r="D66" i="7"/>
  <c r="C66" i="7"/>
  <c r="A66" i="7"/>
  <c r="K65" i="7"/>
  <c r="J65" i="7"/>
  <c r="I65" i="7"/>
  <c r="D65" i="7"/>
  <c r="C65" i="7"/>
  <c r="A65" i="7"/>
  <c r="K64" i="7"/>
  <c r="I64" i="7"/>
  <c r="J64" i="7" s="1"/>
  <c r="D64" i="7"/>
  <c r="C64" i="7"/>
  <c r="A64" i="7"/>
  <c r="K63" i="7"/>
  <c r="I63" i="7"/>
  <c r="J63" i="7" s="1"/>
  <c r="D63" i="7"/>
  <c r="C63" i="7"/>
  <c r="A63" i="7"/>
  <c r="K62" i="7"/>
  <c r="J62" i="7"/>
  <c r="I62" i="7"/>
  <c r="D62" i="7"/>
  <c r="C62" i="7"/>
  <c r="A62" i="7"/>
  <c r="K61" i="7"/>
  <c r="J61" i="7"/>
  <c r="I61" i="7"/>
  <c r="D61" i="7"/>
  <c r="C61" i="7"/>
  <c r="A61" i="7"/>
  <c r="K60" i="7"/>
  <c r="I60" i="7"/>
  <c r="J60" i="7" s="1"/>
  <c r="D60" i="7"/>
  <c r="C60" i="7"/>
  <c r="A60" i="7"/>
  <c r="K59" i="7"/>
  <c r="J59" i="7"/>
  <c r="I59" i="7"/>
  <c r="D59" i="7"/>
  <c r="C59" i="7"/>
  <c r="A59" i="7"/>
  <c r="K58" i="7"/>
  <c r="J58" i="7"/>
  <c r="I58" i="7"/>
  <c r="D58" i="7"/>
  <c r="C58" i="7"/>
  <c r="A58" i="7"/>
  <c r="K57" i="7"/>
  <c r="J57" i="7"/>
  <c r="I57" i="7"/>
  <c r="D57" i="7"/>
  <c r="C57" i="7"/>
  <c r="A57" i="7"/>
  <c r="K56" i="7"/>
  <c r="I56" i="7"/>
  <c r="J56" i="7" s="1"/>
  <c r="D56" i="7"/>
  <c r="C56" i="7"/>
  <c r="A56" i="7"/>
  <c r="K55" i="7"/>
  <c r="I55" i="7"/>
  <c r="J55" i="7" s="1"/>
  <c r="D55" i="7"/>
  <c r="C55" i="7"/>
  <c r="A55" i="7"/>
  <c r="K54" i="7"/>
  <c r="J54" i="7"/>
  <c r="I54" i="7"/>
  <c r="D54" i="7"/>
  <c r="C54" i="7"/>
  <c r="A54" i="7"/>
  <c r="K53" i="7"/>
  <c r="J53" i="7"/>
  <c r="I53" i="7"/>
  <c r="D53" i="7"/>
  <c r="C53" i="7"/>
  <c r="A53" i="7"/>
  <c r="K52" i="7"/>
  <c r="I52" i="7"/>
  <c r="J52" i="7" s="1"/>
  <c r="D52" i="7"/>
  <c r="C52" i="7"/>
  <c r="A52" i="7"/>
  <c r="K51" i="7"/>
  <c r="J51" i="7"/>
  <c r="I51" i="7"/>
  <c r="D51" i="7"/>
  <c r="C51" i="7"/>
  <c r="A51" i="7"/>
  <c r="K50" i="7"/>
  <c r="J50" i="7"/>
  <c r="I50" i="7"/>
  <c r="D50" i="7"/>
  <c r="C50" i="7"/>
  <c r="A50" i="7"/>
  <c r="K49" i="7"/>
  <c r="J49" i="7"/>
  <c r="I49" i="7"/>
  <c r="D49" i="7"/>
  <c r="C49" i="7"/>
  <c r="A49" i="7"/>
  <c r="K48" i="7"/>
  <c r="I48" i="7"/>
  <c r="J48" i="7" s="1"/>
  <c r="D48" i="7"/>
  <c r="C48" i="7"/>
  <c r="A48" i="7"/>
  <c r="K47" i="7"/>
  <c r="I47" i="7"/>
  <c r="J47" i="7" s="1"/>
  <c r="D47" i="7"/>
  <c r="C47" i="7"/>
  <c r="A47" i="7"/>
  <c r="K46" i="7"/>
  <c r="J46" i="7"/>
  <c r="I46" i="7"/>
  <c r="D46" i="7"/>
  <c r="C46" i="7"/>
  <c r="A46" i="7"/>
  <c r="K45" i="7"/>
  <c r="J45" i="7"/>
  <c r="I45" i="7"/>
  <c r="D45" i="7"/>
  <c r="C45" i="7"/>
  <c r="A45" i="7"/>
  <c r="K44" i="7"/>
  <c r="I44" i="7"/>
  <c r="J44" i="7" s="1"/>
  <c r="D44" i="7"/>
  <c r="C44" i="7"/>
  <c r="A44" i="7"/>
  <c r="K43" i="7"/>
  <c r="J43" i="7"/>
  <c r="I43" i="7"/>
  <c r="D43" i="7"/>
  <c r="C43" i="7"/>
  <c r="A43" i="7"/>
  <c r="K42" i="7"/>
  <c r="J42" i="7"/>
  <c r="I42" i="7"/>
  <c r="D42" i="7"/>
  <c r="C42" i="7"/>
  <c r="A42" i="7"/>
  <c r="K41" i="7"/>
  <c r="J41" i="7"/>
  <c r="I41" i="7"/>
  <c r="D41" i="7"/>
  <c r="C41" i="7"/>
  <c r="A41" i="7"/>
  <c r="K40" i="7"/>
  <c r="I40" i="7"/>
  <c r="J40" i="7" s="1"/>
  <c r="D40" i="7"/>
  <c r="C40" i="7"/>
  <c r="A40" i="7"/>
  <c r="K39" i="7"/>
  <c r="I39" i="7"/>
  <c r="J39" i="7" s="1"/>
  <c r="D39" i="7"/>
  <c r="C39" i="7"/>
  <c r="A39" i="7"/>
  <c r="K38" i="7"/>
  <c r="J38" i="7"/>
  <c r="I38" i="7"/>
  <c r="D38" i="7"/>
  <c r="C38" i="7"/>
  <c r="A38" i="7"/>
  <c r="K37" i="7"/>
  <c r="J37" i="7"/>
  <c r="I37" i="7"/>
  <c r="D37" i="7"/>
  <c r="C37" i="7"/>
  <c r="A37" i="7"/>
  <c r="K36" i="7"/>
  <c r="I36" i="7"/>
  <c r="J36" i="7" s="1"/>
  <c r="D36" i="7"/>
  <c r="C36" i="7"/>
  <c r="A36" i="7"/>
  <c r="K35" i="7"/>
  <c r="J35" i="7"/>
  <c r="I35" i="7"/>
  <c r="D35" i="7"/>
  <c r="C35" i="7"/>
  <c r="A35" i="7"/>
  <c r="K34" i="7"/>
  <c r="J34" i="7"/>
  <c r="I34" i="7"/>
  <c r="D34" i="7"/>
  <c r="C34" i="7"/>
  <c r="A34" i="7"/>
  <c r="K33" i="7"/>
  <c r="J33" i="7"/>
  <c r="I33" i="7"/>
  <c r="D33" i="7"/>
  <c r="C33" i="7"/>
  <c r="A33" i="7"/>
  <c r="K32" i="7"/>
  <c r="I32" i="7"/>
  <c r="J32" i="7" s="1"/>
  <c r="D32" i="7"/>
  <c r="C32" i="7"/>
  <c r="A32" i="7"/>
  <c r="K31" i="7"/>
  <c r="I31" i="7"/>
  <c r="J31" i="7" s="1"/>
  <c r="D31" i="7"/>
  <c r="C31" i="7"/>
  <c r="A31" i="7"/>
  <c r="K30" i="7"/>
  <c r="J30" i="7"/>
  <c r="I30" i="7"/>
  <c r="D30" i="7"/>
  <c r="C30" i="7"/>
  <c r="A30" i="7"/>
  <c r="K29" i="7"/>
  <c r="J29" i="7"/>
  <c r="I29" i="7"/>
  <c r="D29" i="7"/>
  <c r="C29" i="7"/>
  <c r="A29" i="7"/>
  <c r="K28" i="7"/>
  <c r="I28" i="7"/>
  <c r="J28" i="7" s="1"/>
  <c r="D28" i="7"/>
  <c r="C28" i="7"/>
  <c r="A28" i="7"/>
  <c r="K27" i="7"/>
  <c r="J27" i="7"/>
  <c r="I27" i="7"/>
  <c r="D27" i="7"/>
  <c r="C27" i="7"/>
  <c r="A27" i="7"/>
  <c r="K26" i="7"/>
  <c r="J26" i="7"/>
  <c r="I26" i="7"/>
  <c r="D26" i="7"/>
  <c r="C26" i="7"/>
  <c r="A26" i="7"/>
  <c r="K25" i="7"/>
  <c r="J25" i="7"/>
  <c r="I25" i="7"/>
  <c r="D25" i="7"/>
  <c r="C25" i="7"/>
  <c r="A25" i="7"/>
  <c r="K24" i="7"/>
  <c r="I24" i="7"/>
  <c r="J24" i="7" s="1"/>
  <c r="D24" i="7"/>
  <c r="C24" i="7"/>
  <c r="A24" i="7"/>
  <c r="K23" i="7"/>
  <c r="I23" i="7"/>
  <c r="J23" i="7" s="1"/>
  <c r="D23" i="7"/>
  <c r="C23" i="7"/>
  <c r="A23" i="7"/>
  <c r="K22" i="7"/>
  <c r="J22" i="7"/>
  <c r="I22" i="7"/>
  <c r="D22" i="7"/>
  <c r="C22" i="7"/>
  <c r="A22" i="7"/>
  <c r="K21" i="7"/>
  <c r="J21" i="7"/>
  <c r="I21" i="7"/>
  <c r="D21" i="7"/>
  <c r="C21" i="7"/>
  <c r="A21" i="7"/>
  <c r="K20" i="7"/>
  <c r="I20" i="7"/>
  <c r="J20" i="7" s="1"/>
  <c r="D20" i="7"/>
  <c r="C20" i="7"/>
  <c r="A20" i="7"/>
  <c r="K19" i="7"/>
  <c r="J19" i="7"/>
  <c r="I19" i="7"/>
  <c r="D19" i="7"/>
  <c r="C19" i="7"/>
  <c r="A19" i="7"/>
  <c r="K18" i="7"/>
  <c r="J18" i="7"/>
  <c r="I18" i="7"/>
  <c r="D18" i="7"/>
  <c r="C18" i="7"/>
  <c r="A18" i="7"/>
  <c r="K17" i="7"/>
  <c r="J17" i="7"/>
  <c r="I17" i="7"/>
  <c r="D17" i="7"/>
  <c r="C17" i="7"/>
  <c r="A17" i="7"/>
  <c r="K16" i="7"/>
  <c r="I16" i="7"/>
  <c r="J16" i="7" s="1"/>
  <c r="D16" i="7"/>
  <c r="C16" i="7"/>
  <c r="A16" i="7"/>
  <c r="K15" i="7"/>
  <c r="I15" i="7"/>
  <c r="J15" i="7" s="1"/>
  <c r="D15" i="7"/>
  <c r="C15" i="7"/>
  <c r="A15" i="7"/>
  <c r="K14" i="7"/>
  <c r="J14" i="7"/>
  <c r="I14" i="7"/>
  <c r="D14" i="7"/>
  <c r="C14" i="7"/>
  <c r="A14" i="7"/>
  <c r="B10" i="7"/>
  <c r="B9" i="7"/>
  <c r="B8" i="7"/>
  <c r="K208" i="6"/>
  <c r="J208" i="6"/>
  <c r="G208" i="6"/>
  <c r="D208" i="6"/>
  <c r="C208" i="6"/>
  <c r="B208" i="6"/>
  <c r="K207" i="6"/>
  <c r="J207" i="6"/>
  <c r="G207" i="6"/>
  <c r="D207" i="6"/>
  <c r="C207" i="6"/>
  <c r="B207" i="6"/>
  <c r="J206" i="6"/>
  <c r="K206" i="6" s="1"/>
  <c r="G206" i="6"/>
  <c r="D206" i="6"/>
  <c r="C206" i="6"/>
  <c r="B206" i="6"/>
  <c r="K205" i="6"/>
  <c r="J205" i="6"/>
  <c r="G205" i="6"/>
  <c r="D205" i="6"/>
  <c r="C205" i="6"/>
  <c r="B205" i="6"/>
  <c r="K204" i="6"/>
  <c r="J204" i="6"/>
  <c r="G204" i="6"/>
  <c r="D204" i="6"/>
  <c r="C204" i="6"/>
  <c r="B204" i="6"/>
  <c r="K203" i="6"/>
  <c r="J203" i="6"/>
  <c r="G203" i="6"/>
  <c r="D203" i="6"/>
  <c r="C203" i="6"/>
  <c r="B203" i="6"/>
  <c r="J202" i="6"/>
  <c r="K202" i="6" s="1"/>
  <c r="G202" i="6"/>
  <c r="D202" i="6"/>
  <c r="C202" i="6"/>
  <c r="B202" i="6"/>
  <c r="J201" i="6"/>
  <c r="K201" i="6" s="1"/>
  <c r="G201" i="6"/>
  <c r="D201" i="6"/>
  <c r="C201" i="6"/>
  <c r="B201" i="6"/>
  <c r="K200" i="6"/>
  <c r="J200" i="6"/>
  <c r="G200" i="6"/>
  <c r="D200" i="6"/>
  <c r="C200" i="6"/>
  <c r="B200" i="6"/>
  <c r="K199" i="6"/>
  <c r="J199" i="6"/>
  <c r="G199" i="6"/>
  <c r="D199" i="6"/>
  <c r="C199" i="6"/>
  <c r="B199" i="6"/>
  <c r="J198" i="6"/>
  <c r="K198" i="6" s="1"/>
  <c r="G198" i="6"/>
  <c r="D198" i="6"/>
  <c r="C198" i="6"/>
  <c r="B198" i="6"/>
  <c r="K197" i="6"/>
  <c r="J197" i="6"/>
  <c r="G197" i="6"/>
  <c r="D197" i="6"/>
  <c r="C197" i="6"/>
  <c r="B197" i="6"/>
  <c r="K196" i="6"/>
  <c r="J196" i="6"/>
  <c r="G196" i="6"/>
  <c r="D196" i="6"/>
  <c r="C196" i="6"/>
  <c r="B196" i="6"/>
  <c r="K195" i="6"/>
  <c r="J195" i="6"/>
  <c r="G195" i="6"/>
  <c r="D195" i="6"/>
  <c r="C195" i="6"/>
  <c r="B195" i="6"/>
  <c r="J194" i="6"/>
  <c r="K194" i="6" s="1"/>
  <c r="G194" i="6"/>
  <c r="D194" i="6"/>
  <c r="C194" i="6"/>
  <c r="B194" i="6"/>
  <c r="J193" i="6"/>
  <c r="K193" i="6" s="1"/>
  <c r="G193" i="6"/>
  <c r="D193" i="6"/>
  <c r="C193" i="6"/>
  <c r="B193" i="6"/>
  <c r="K192" i="6"/>
  <c r="J192" i="6"/>
  <c r="G192" i="6"/>
  <c r="D192" i="6"/>
  <c r="C192" i="6"/>
  <c r="B192" i="6"/>
  <c r="K191" i="6"/>
  <c r="J191" i="6"/>
  <c r="G191" i="6"/>
  <c r="D191" i="6"/>
  <c r="C191" i="6"/>
  <c r="B191" i="6"/>
  <c r="J190" i="6"/>
  <c r="K190" i="6" s="1"/>
  <c r="G190" i="6"/>
  <c r="D190" i="6"/>
  <c r="C190" i="6"/>
  <c r="B190" i="6"/>
  <c r="K189" i="6"/>
  <c r="J189" i="6"/>
  <c r="G189" i="6"/>
  <c r="D189" i="6"/>
  <c r="C189" i="6"/>
  <c r="B189" i="6"/>
  <c r="K188" i="6"/>
  <c r="J188" i="6"/>
  <c r="G188" i="6"/>
  <c r="D188" i="6"/>
  <c r="C188" i="6"/>
  <c r="B188" i="6"/>
  <c r="K187" i="6"/>
  <c r="J187" i="6"/>
  <c r="G187" i="6"/>
  <c r="D187" i="6"/>
  <c r="C187" i="6"/>
  <c r="B187" i="6"/>
  <c r="J186" i="6"/>
  <c r="K186" i="6" s="1"/>
  <c r="G186" i="6"/>
  <c r="D186" i="6"/>
  <c r="C186" i="6"/>
  <c r="B186" i="6"/>
  <c r="J185" i="6"/>
  <c r="K185" i="6" s="1"/>
  <c r="G185" i="6"/>
  <c r="D185" i="6"/>
  <c r="C185" i="6"/>
  <c r="B185" i="6"/>
  <c r="K184" i="6"/>
  <c r="J184" i="6"/>
  <c r="G184" i="6"/>
  <c r="D184" i="6"/>
  <c r="C184" i="6"/>
  <c r="B184" i="6"/>
  <c r="K183" i="6"/>
  <c r="J183" i="6"/>
  <c r="G183" i="6"/>
  <c r="D183" i="6"/>
  <c r="C183" i="6"/>
  <c r="B183" i="6"/>
  <c r="J182" i="6"/>
  <c r="K182" i="6" s="1"/>
  <c r="G182" i="6"/>
  <c r="D182" i="6"/>
  <c r="C182" i="6"/>
  <c r="B182" i="6"/>
  <c r="K181" i="6"/>
  <c r="J181" i="6"/>
  <c r="G181" i="6"/>
  <c r="D181" i="6"/>
  <c r="C181" i="6"/>
  <c r="B181" i="6"/>
  <c r="K180" i="6"/>
  <c r="J180" i="6"/>
  <c r="G180" i="6"/>
  <c r="D180" i="6"/>
  <c r="C180" i="6"/>
  <c r="B180" i="6"/>
  <c r="K179" i="6"/>
  <c r="J179" i="6"/>
  <c r="G179" i="6"/>
  <c r="D179" i="6"/>
  <c r="C179" i="6"/>
  <c r="B179" i="6"/>
  <c r="J178" i="6"/>
  <c r="K178" i="6" s="1"/>
  <c r="G178" i="6"/>
  <c r="D178" i="6"/>
  <c r="C178" i="6"/>
  <c r="B178" i="6"/>
  <c r="J177" i="6"/>
  <c r="K177" i="6" s="1"/>
  <c r="G177" i="6"/>
  <c r="D177" i="6"/>
  <c r="C177" i="6"/>
  <c r="B177" i="6"/>
  <c r="K176" i="6"/>
  <c r="J176" i="6"/>
  <c r="G176" i="6"/>
  <c r="D176" i="6"/>
  <c r="C176" i="6"/>
  <c r="B176" i="6"/>
  <c r="K175" i="6"/>
  <c r="J175" i="6"/>
  <c r="G175" i="6"/>
  <c r="D175" i="6"/>
  <c r="C175" i="6"/>
  <c r="B175" i="6"/>
  <c r="J174" i="6"/>
  <c r="K174" i="6" s="1"/>
  <c r="G174" i="6"/>
  <c r="D174" i="6"/>
  <c r="C174" i="6"/>
  <c r="B174" i="6"/>
  <c r="K173" i="6"/>
  <c r="J173" i="6"/>
  <c r="G173" i="6"/>
  <c r="D173" i="6"/>
  <c r="C173" i="6"/>
  <c r="B173" i="6"/>
  <c r="K172" i="6"/>
  <c r="J172" i="6"/>
  <c r="G172" i="6"/>
  <c r="D172" i="6"/>
  <c r="C172" i="6"/>
  <c r="B172" i="6"/>
  <c r="K171" i="6"/>
  <c r="J171" i="6"/>
  <c r="G171" i="6"/>
  <c r="D171" i="6"/>
  <c r="C171" i="6"/>
  <c r="B171" i="6"/>
  <c r="J170" i="6"/>
  <c r="K170" i="6" s="1"/>
  <c r="G170" i="6"/>
  <c r="D170" i="6"/>
  <c r="C170" i="6"/>
  <c r="B170" i="6"/>
  <c r="J169" i="6"/>
  <c r="K169" i="6" s="1"/>
  <c r="G169" i="6"/>
  <c r="D169" i="6"/>
  <c r="C169" i="6"/>
  <c r="B169" i="6"/>
  <c r="K168" i="6"/>
  <c r="J168" i="6"/>
  <c r="G168" i="6"/>
  <c r="D168" i="6"/>
  <c r="C168" i="6"/>
  <c r="B168" i="6"/>
  <c r="K167" i="6"/>
  <c r="J167" i="6"/>
  <c r="G167" i="6"/>
  <c r="D167" i="6"/>
  <c r="C167" i="6"/>
  <c r="B167" i="6"/>
  <c r="J166" i="6"/>
  <c r="K166" i="6" s="1"/>
  <c r="G166" i="6"/>
  <c r="D166" i="6"/>
  <c r="C166" i="6"/>
  <c r="B166" i="6"/>
  <c r="K165" i="6"/>
  <c r="J165" i="6"/>
  <c r="G165" i="6"/>
  <c r="D165" i="6"/>
  <c r="C165" i="6"/>
  <c r="B165" i="6"/>
  <c r="K164" i="6"/>
  <c r="J164" i="6"/>
  <c r="G164" i="6"/>
  <c r="D164" i="6"/>
  <c r="C164" i="6"/>
  <c r="B164" i="6"/>
  <c r="K163" i="6"/>
  <c r="J163" i="6"/>
  <c r="G163" i="6"/>
  <c r="D163" i="6"/>
  <c r="C163" i="6"/>
  <c r="B163" i="6"/>
  <c r="J162" i="6"/>
  <c r="K162" i="6" s="1"/>
  <c r="G162" i="6"/>
  <c r="D162" i="6"/>
  <c r="C162" i="6"/>
  <c r="B162" i="6"/>
  <c r="J161" i="6"/>
  <c r="K161" i="6" s="1"/>
  <c r="G161" i="6"/>
  <c r="D161" i="6"/>
  <c r="C161" i="6"/>
  <c r="B161" i="6"/>
  <c r="K160" i="6"/>
  <c r="J160" i="6"/>
  <c r="G160" i="6"/>
  <c r="D160" i="6"/>
  <c r="C160" i="6"/>
  <c r="B160" i="6"/>
  <c r="K159" i="6"/>
  <c r="J159" i="6"/>
  <c r="G159" i="6"/>
  <c r="D159" i="6"/>
  <c r="C159" i="6"/>
  <c r="B159" i="6"/>
  <c r="J158" i="6"/>
  <c r="K158" i="6" s="1"/>
  <c r="G158" i="6"/>
  <c r="D158" i="6"/>
  <c r="C158" i="6"/>
  <c r="B158" i="6"/>
  <c r="K157" i="6"/>
  <c r="J157" i="6"/>
  <c r="G157" i="6"/>
  <c r="D157" i="6"/>
  <c r="C157" i="6"/>
  <c r="B157" i="6"/>
  <c r="K156" i="6"/>
  <c r="J156" i="6"/>
  <c r="G156" i="6"/>
  <c r="D156" i="6"/>
  <c r="C156" i="6"/>
  <c r="B156" i="6"/>
  <c r="K155" i="6"/>
  <c r="J155" i="6"/>
  <c r="G155" i="6"/>
  <c r="D155" i="6"/>
  <c r="C155" i="6"/>
  <c r="B155" i="6"/>
  <c r="J154" i="6"/>
  <c r="K154" i="6" s="1"/>
  <c r="G154" i="6"/>
  <c r="D154" i="6"/>
  <c r="C154" i="6"/>
  <c r="B154" i="6"/>
  <c r="J153" i="6"/>
  <c r="K153" i="6" s="1"/>
  <c r="G153" i="6"/>
  <c r="D153" i="6"/>
  <c r="C153" i="6"/>
  <c r="B153" i="6"/>
  <c r="K152" i="6"/>
  <c r="J152" i="6"/>
  <c r="G152" i="6"/>
  <c r="D152" i="6"/>
  <c r="C152" i="6"/>
  <c r="B152" i="6"/>
  <c r="K151" i="6"/>
  <c r="J151" i="6"/>
  <c r="G151" i="6"/>
  <c r="D151" i="6"/>
  <c r="C151" i="6"/>
  <c r="B151" i="6"/>
  <c r="J150" i="6"/>
  <c r="K150" i="6" s="1"/>
  <c r="G150" i="6"/>
  <c r="D150" i="6"/>
  <c r="C150" i="6"/>
  <c r="B150" i="6"/>
  <c r="K149" i="6"/>
  <c r="J149" i="6"/>
  <c r="G149" i="6"/>
  <c r="D149" i="6"/>
  <c r="C149" i="6"/>
  <c r="B149" i="6"/>
  <c r="K148" i="6"/>
  <c r="J148" i="6"/>
  <c r="G148" i="6"/>
  <c r="D148" i="6"/>
  <c r="C148" i="6"/>
  <c r="B148" i="6"/>
  <c r="K147" i="6"/>
  <c r="J147" i="6"/>
  <c r="G147" i="6"/>
  <c r="D147" i="6"/>
  <c r="C147" i="6"/>
  <c r="B147" i="6"/>
  <c r="J146" i="6"/>
  <c r="K146" i="6" s="1"/>
  <c r="G146" i="6"/>
  <c r="D146" i="6"/>
  <c r="C146" i="6"/>
  <c r="B146" i="6"/>
  <c r="J145" i="6"/>
  <c r="K145" i="6" s="1"/>
  <c r="G145" i="6"/>
  <c r="D145" i="6"/>
  <c r="C145" i="6"/>
  <c r="B145" i="6"/>
  <c r="K144" i="6"/>
  <c r="J144" i="6"/>
  <c r="G144" i="6"/>
  <c r="D144" i="6"/>
  <c r="C144" i="6"/>
  <c r="B144" i="6"/>
  <c r="K143" i="6"/>
  <c r="J143" i="6"/>
  <c r="G143" i="6"/>
  <c r="D143" i="6"/>
  <c r="C143" i="6"/>
  <c r="B143" i="6"/>
  <c r="J142" i="6"/>
  <c r="K142" i="6" s="1"/>
  <c r="G142" i="6"/>
  <c r="D142" i="6"/>
  <c r="C142" i="6"/>
  <c r="B142" i="6"/>
  <c r="K141" i="6"/>
  <c r="J141" i="6"/>
  <c r="G141" i="6"/>
  <c r="D141" i="6"/>
  <c r="C141" i="6"/>
  <c r="B141" i="6"/>
  <c r="K140" i="6"/>
  <c r="J140" i="6"/>
  <c r="G140" i="6"/>
  <c r="D140" i="6"/>
  <c r="C140" i="6"/>
  <c r="B140" i="6"/>
  <c r="K139" i="6"/>
  <c r="J139" i="6"/>
  <c r="G139" i="6"/>
  <c r="D139" i="6"/>
  <c r="C139" i="6"/>
  <c r="B139" i="6"/>
  <c r="J138" i="6"/>
  <c r="K138" i="6" s="1"/>
  <c r="G138" i="6"/>
  <c r="D138" i="6"/>
  <c r="C138" i="6"/>
  <c r="B138" i="6"/>
  <c r="J137" i="6"/>
  <c r="K137" i="6" s="1"/>
  <c r="G137" i="6"/>
  <c r="D137" i="6"/>
  <c r="C137" i="6"/>
  <c r="B137" i="6"/>
  <c r="K136" i="6"/>
  <c r="J136" i="6"/>
  <c r="G136" i="6"/>
  <c r="D136" i="6"/>
  <c r="C136" i="6"/>
  <c r="B136" i="6"/>
  <c r="K135" i="6"/>
  <c r="J135" i="6"/>
  <c r="G135" i="6"/>
  <c r="D135" i="6"/>
  <c r="C135" i="6"/>
  <c r="B135" i="6"/>
  <c r="J134" i="6"/>
  <c r="K134" i="6" s="1"/>
  <c r="G134" i="6"/>
  <c r="D134" i="6"/>
  <c r="C134" i="6"/>
  <c r="B134" i="6"/>
  <c r="K133" i="6"/>
  <c r="J133" i="6"/>
  <c r="G133" i="6"/>
  <c r="D133" i="6"/>
  <c r="C133" i="6"/>
  <c r="B133" i="6"/>
  <c r="K132" i="6"/>
  <c r="J132" i="6"/>
  <c r="G132" i="6"/>
  <c r="D132" i="6"/>
  <c r="C132" i="6"/>
  <c r="B132" i="6"/>
  <c r="K131" i="6"/>
  <c r="J131" i="6"/>
  <c r="G131" i="6"/>
  <c r="D131" i="6"/>
  <c r="C131" i="6"/>
  <c r="B131" i="6"/>
  <c r="J130" i="6"/>
  <c r="K130" i="6" s="1"/>
  <c r="G130" i="6"/>
  <c r="D130" i="6"/>
  <c r="C130" i="6"/>
  <c r="B130" i="6"/>
  <c r="J129" i="6"/>
  <c r="K129" i="6" s="1"/>
  <c r="G129" i="6"/>
  <c r="D129" i="6"/>
  <c r="C129" i="6"/>
  <c r="B129" i="6"/>
  <c r="K128" i="6"/>
  <c r="J128" i="6"/>
  <c r="G128" i="6"/>
  <c r="D128" i="6"/>
  <c r="C128" i="6"/>
  <c r="B128" i="6"/>
  <c r="K127" i="6"/>
  <c r="J127" i="6"/>
  <c r="G127" i="6"/>
  <c r="D127" i="6"/>
  <c r="C127" i="6"/>
  <c r="B127" i="6"/>
  <c r="J126" i="6"/>
  <c r="K126" i="6" s="1"/>
  <c r="G126" i="6"/>
  <c r="D126" i="6"/>
  <c r="C126" i="6"/>
  <c r="B126" i="6"/>
  <c r="K125" i="6"/>
  <c r="J125" i="6"/>
  <c r="G125" i="6"/>
  <c r="D125" i="6"/>
  <c r="C125" i="6"/>
  <c r="B125" i="6"/>
  <c r="K124" i="6"/>
  <c r="J124" i="6"/>
  <c r="G124" i="6"/>
  <c r="D124" i="6"/>
  <c r="C124" i="6"/>
  <c r="B124" i="6"/>
  <c r="K123" i="6"/>
  <c r="J123" i="6"/>
  <c r="G123" i="6"/>
  <c r="D123" i="6"/>
  <c r="C123" i="6"/>
  <c r="B123" i="6"/>
  <c r="J122" i="6"/>
  <c r="K122" i="6" s="1"/>
  <c r="G122" i="6"/>
  <c r="D122" i="6"/>
  <c r="C122" i="6"/>
  <c r="B122" i="6"/>
  <c r="J121" i="6"/>
  <c r="K121" i="6" s="1"/>
  <c r="G121" i="6"/>
  <c r="D121" i="6"/>
  <c r="C121" i="6"/>
  <c r="B121" i="6"/>
  <c r="K120" i="6"/>
  <c r="J120" i="6"/>
  <c r="G120" i="6"/>
  <c r="D120" i="6"/>
  <c r="C120" i="6"/>
  <c r="B120" i="6"/>
  <c r="K119" i="6"/>
  <c r="J119" i="6"/>
  <c r="G119" i="6"/>
  <c r="D119" i="6"/>
  <c r="C119" i="6"/>
  <c r="B119" i="6"/>
  <c r="J118" i="6"/>
  <c r="K118" i="6" s="1"/>
  <c r="G118" i="6"/>
  <c r="D118" i="6"/>
  <c r="C118" i="6"/>
  <c r="B118" i="6"/>
  <c r="J117" i="6"/>
  <c r="K117" i="6" s="1"/>
  <c r="G117" i="6"/>
  <c r="D117" i="6"/>
  <c r="C117" i="6"/>
  <c r="B117" i="6"/>
  <c r="K116" i="6"/>
  <c r="J116" i="6"/>
  <c r="G116" i="6"/>
  <c r="D116" i="6"/>
  <c r="C116" i="6"/>
  <c r="B116" i="6"/>
  <c r="K115" i="6"/>
  <c r="J115" i="6"/>
  <c r="G115" i="6"/>
  <c r="D115" i="6"/>
  <c r="C115" i="6"/>
  <c r="B115" i="6"/>
  <c r="J114" i="6"/>
  <c r="K114" i="6" s="1"/>
  <c r="G114" i="6"/>
  <c r="D114" i="6"/>
  <c r="C114" i="6"/>
  <c r="B114" i="6"/>
  <c r="J113" i="6"/>
  <c r="K113" i="6" s="1"/>
  <c r="G113" i="6"/>
  <c r="D113" i="6"/>
  <c r="C113" i="6"/>
  <c r="B113" i="6"/>
  <c r="K112" i="6"/>
  <c r="J112" i="6"/>
  <c r="G112" i="6"/>
  <c r="D112" i="6"/>
  <c r="C112" i="6"/>
  <c r="B112" i="6"/>
  <c r="K111" i="6"/>
  <c r="J111" i="6"/>
  <c r="G111" i="6"/>
  <c r="D111" i="6"/>
  <c r="C111" i="6"/>
  <c r="B111" i="6"/>
  <c r="J110" i="6"/>
  <c r="K110" i="6" s="1"/>
  <c r="G110" i="6"/>
  <c r="D110" i="6"/>
  <c r="C110" i="6"/>
  <c r="B110" i="6"/>
  <c r="J109" i="6"/>
  <c r="K109" i="6" s="1"/>
  <c r="G109" i="6"/>
  <c r="D109" i="6"/>
  <c r="C109" i="6"/>
  <c r="B109" i="6"/>
  <c r="K108" i="6"/>
  <c r="J108" i="6"/>
  <c r="G108" i="6"/>
  <c r="D108" i="6"/>
  <c r="C108" i="6"/>
  <c r="B108" i="6"/>
  <c r="K107" i="6"/>
  <c r="J107" i="6"/>
  <c r="G107" i="6"/>
  <c r="D107" i="6"/>
  <c r="C107" i="6"/>
  <c r="B107" i="6"/>
  <c r="J106" i="6"/>
  <c r="K106" i="6" s="1"/>
  <c r="G106" i="6"/>
  <c r="D106" i="6"/>
  <c r="C106" i="6"/>
  <c r="B106" i="6"/>
  <c r="J105" i="6"/>
  <c r="K105" i="6" s="1"/>
  <c r="G105" i="6"/>
  <c r="D105" i="6"/>
  <c r="C105" i="6"/>
  <c r="B105" i="6"/>
  <c r="K104" i="6"/>
  <c r="J104" i="6"/>
  <c r="G104" i="6"/>
  <c r="D104" i="6"/>
  <c r="C104" i="6"/>
  <c r="B104" i="6"/>
  <c r="K103" i="6"/>
  <c r="J103" i="6"/>
  <c r="G103" i="6"/>
  <c r="D103" i="6"/>
  <c r="C103" i="6"/>
  <c r="B103" i="6"/>
  <c r="J102" i="6"/>
  <c r="K102" i="6" s="1"/>
  <c r="G102" i="6"/>
  <c r="D102" i="6"/>
  <c r="C102" i="6"/>
  <c r="B102" i="6"/>
  <c r="J101" i="6"/>
  <c r="K101" i="6" s="1"/>
  <c r="G101" i="6"/>
  <c r="D101" i="6"/>
  <c r="C101" i="6"/>
  <c r="B101" i="6"/>
  <c r="K100" i="6"/>
  <c r="J100" i="6"/>
  <c r="G100" i="6"/>
  <c r="D100" i="6"/>
  <c r="C100" i="6"/>
  <c r="B100" i="6"/>
  <c r="K99" i="6"/>
  <c r="J99" i="6"/>
  <c r="G99" i="6"/>
  <c r="D99" i="6"/>
  <c r="C99" i="6"/>
  <c r="B99" i="6"/>
  <c r="J98" i="6"/>
  <c r="K98" i="6" s="1"/>
  <c r="G98" i="6"/>
  <c r="D98" i="6"/>
  <c r="C98" i="6"/>
  <c r="B98" i="6"/>
  <c r="J97" i="6"/>
  <c r="K97" i="6" s="1"/>
  <c r="G97" i="6"/>
  <c r="D97" i="6"/>
  <c r="C97" i="6"/>
  <c r="B97" i="6"/>
  <c r="K96" i="6"/>
  <c r="J96" i="6"/>
  <c r="G96" i="6"/>
  <c r="D96" i="6"/>
  <c r="C96" i="6"/>
  <c r="B96" i="6"/>
  <c r="K95" i="6"/>
  <c r="J95" i="6"/>
  <c r="G95" i="6"/>
  <c r="D95" i="6"/>
  <c r="C95" i="6"/>
  <c r="B95" i="6"/>
  <c r="J94" i="6"/>
  <c r="K94" i="6" s="1"/>
  <c r="G94" i="6"/>
  <c r="D94" i="6"/>
  <c r="C94" i="6"/>
  <c r="B94" i="6"/>
  <c r="J93" i="6"/>
  <c r="K93" i="6" s="1"/>
  <c r="G93" i="6"/>
  <c r="D93" i="6"/>
  <c r="C93" i="6"/>
  <c r="B93" i="6"/>
  <c r="K92" i="6"/>
  <c r="J92" i="6"/>
  <c r="G92" i="6"/>
  <c r="D92" i="6"/>
  <c r="C92" i="6"/>
  <c r="B92" i="6"/>
  <c r="K91" i="6"/>
  <c r="J91" i="6"/>
  <c r="G91" i="6"/>
  <c r="D91" i="6"/>
  <c r="C91" i="6"/>
  <c r="B91" i="6"/>
  <c r="J90" i="6"/>
  <c r="K90" i="6" s="1"/>
  <c r="G90" i="6"/>
  <c r="D90" i="6"/>
  <c r="C90" i="6"/>
  <c r="B90" i="6"/>
  <c r="J89" i="6"/>
  <c r="K89" i="6" s="1"/>
  <c r="G89" i="6"/>
  <c r="D89" i="6"/>
  <c r="C89" i="6"/>
  <c r="B89" i="6"/>
  <c r="K88" i="6"/>
  <c r="J88" i="6"/>
  <c r="G88" i="6"/>
  <c r="D88" i="6"/>
  <c r="C88" i="6"/>
  <c r="B88" i="6"/>
  <c r="K87" i="6"/>
  <c r="J87" i="6"/>
  <c r="G87" i="6"/>
  <c r="D87" i="6"/>
  <c r="C87" i="6"/>
  <c r="B87" i="6"/>
  <c r="J86" i="6"/>
  <c r="K86" i="6" s="1"/>
  <c r="G86" i="6"/>
  <c r="D86" i="6"/>
  <c r="C86" i="6"/>
  <c r="B86" i="6"/>
  <c r="J85" i="6"/>
  <c r="K85" i="6" s="1"/>
  <c r="G85" i="6"/>
  <c r="D85" i="6"/>
  <c r="C85" i="6"/>
  <c r="B85" i="6"/>
  <c r="K84" i="6"/>
  <c r="J84" i="6"/>
  <c r="G84" i="6"/>
  <c r="D84" i="6"/>
  <c r="C84" i="6"/>
  <c r="B84" i="6"/>
  <c r="K83" i="6"/>
  <c r="J83" i="6"/>
  <c r="G83" i="6"/>
  <c r="D83" i="6"/>
  <c r="C83" i="6"/>
  <c r="B83" i="6"/>
  <c r="J82" i="6"/>
  <c r="K82" i="6" s="1"/>
  <c r="G82" i="6"/>
  <c r="D82" i="6"/>
  <c r="C82" i="6"/>
  <c r="B82" i="6"/>
  <c r="J81" i="6"/>
  <c r="K81" i="6" s="1"/>
  <c r="G81" i="6"/>
  <c r="D81" i="6"/>
  <c r="C81" i="6"/>
  <c r="B81" i="6"/>
  <c r="K80" i="6"/>
  <c r="J80" i="6"/>
  <c r="G80" i="6"/>
  <c r="D80" i="6"/>
  <c r="C80" i="6"/>
  <c r="B80" i="6"/>
  <c r="K79" i="6"/>
  <c r="J79" i="6"/>
  <c r="G79" i="6"/>
  <c r="D79" i="6"/>
  <c r="C79" i="6"/>
  <c r="B79" i="6"/>
  <c r="J78" i="6"/>
  <c r="K78" i="6" s="1"/>
  <c r="G78" i="6"/>
  <c r="D78" i="6"/>
  <c r="C78" i="6"/>
  <c r="B78" i="6"/>
  <c r="J77" i="6"/>
  <c r="K77" i="6" s="1"/>
  <c r="G77" i="6"/>
  <c r="D77" i="6"/>
  <c r="C77" i="6"/>
  <c r="B77" i="6"/>
  <c r="K76" i="6"/>
  <c r="J76" i="6"/>
  <c r="G76" i="6"/>
  <c r="D76" i="6"/>
  <c r="C76" i="6"/>
  <c r="B76" i="6"/>
  <c r="K75" i="6"/>
  <c r="J75" i="6"/>
  <c r="G75" i="6"/>
  <c r="D75" i="6"/>
  <c r="C75" i="6"/>
  <c r="B75" i="6"/>
  <c r="J74" i="6"/>
  <c r="K74" i="6" s="1"/>
  <c r="G74" i="6"/>
  <c r="D74" i="6"/>
  <c r="C74" i="6"/>
  <c r="B74" i="6"/>
  <c r="J73" i="6"/>
  <c r="K73" i="6" s="1"/>
  <c r="G73" i="6"/>
  <c r="D73" i="6"/>
  <c r="C73" i="6"/>
  <c r="B73" i="6"/>
  <c r="K72" i="6"/>
  <c r="J72" i="6"/>
  <c r="G72" i="6"/>
  <c r="D72" i="6"/>
  <c r="C72" i="6"/>
  <c r="B72" i="6"/>
  <c r="K71" i="6"/>
  <c r="J71" i="6"/>
  <c r="G71" i="6"/>
  <c r="D71" i="6"/>
  <c r="C71" i="6"/>
  <c r="B71" i="6"/>
  <c r="J70" i="6"/>
  <c r="K70" i="6" s="1"/>
  <c r="G70" i="6"/>
  <c r="D70" i="6"/>
  <c r="C70" i="6"/>
  <c r="B70" i="6"/>
  <c r="J69" i="6"/>
  <c r="K69" i="6" s="1"/>
  <c r="G69" i="6"/>
  <c r="D69" i="6"/>
  <c r="C69" i="6"/>
  <c r="B69" i="6"/>
  <c r="K68" i="6"/>
  <c r="J68" i="6"/>
  <c r="G68" i="6"/>
  <c r="D68" i="6"/>
  <c r="C68" i="6"/>
  <c r="B68" i="6"/>
  <c r="K67" i="6"/>
  <c r="J67" i="6"/>
  <c r="G67" i="6"/>
  <c r="D67" i="6"/>
  <c r="C67" i="6"/>
  <c r="B67" i="6"/>
  <c r="J66" i="6"/>
  <c r="K66" i="6" s="1"/>
  <c r="G66" i="6"/>
  <c r="D66" i="6"/>
  <c r="C66" i="6"/>
  <c r="B66" i="6"/>
  <c r="J65" i="6"/>
  <c r="K65" i="6" s="1"/>
  <c r="G65" i="6"/>
  <c r="D65" i="6"/>
  <c r="C65" i="6"/>
  <c r="B65" i="6"/>
  <c r="K64" i="6"/>
  <c r="J64" i="6"/>
  <c r="G64" i="6"/>
  <c r="D64" i="6"/>
  <c r="C64" i="6"/>
  <c r="B64" i="6"/>
  <c r="K63" i="6"/>
  <c r="J63" i="6"/>
  <c r="G63" i="6"/>
  <c r="D63" i="6"/>
  <c r="C63" i="6"/>
  <c r="B63" i="6"/>
  <c r="J62" i="6"/>
  <c r="K62" i="6" s="1"/>
  <c r="G62" i="6"/>
  <c r="D62" i="6"/>
  <c r="C62" i="6"/>
  <c r="B62" i="6"/>
  <c r="J61" i="6"/>
  <c r="K61" i="6" s="1"/>
  <c r="G61" i="6"/>
  <c r="D61" i="6"/>
  <c r="C61" i="6"/>
  <c r="B61" i="6"/>
  <c r="K60" i="6"/>
  <c r="J60" i="6"/>
  <c r="G60" i="6"/>
  <c r="D60" i="6"/>
  <c r="C60" i="6"/>
  <c r="B60" i="6"/>
  <c r="K59" i="6"/>
  <c r="J59" i="6"/>
  <c r="G59" i="6"/>
  <c r="D59" i="6"/>
  <c r="C59" i="6"/>
  <c r="B59" i="6"/>
  <c r="J58" i="6"/>
  <c r="K58" i="6" s="1"/>
  <c r="G58" i="6"/>
  <c r="D58" i="6"/>
  <c r="C58" i="6"/>
  <c r="B58" i="6"/>
  <c r="J57" i="6"/>
  <c r="K57" i="6" s="1"/>
  <c r="G57" i="6"/>
  <c r="D57" i="6"/>
  <c r="C57" i="6"/>
  <c r="B57" i="6"/>
  <c r="K56" i="6"/>
  <c r="J56" i="6"/>
  <c r="G56" i="6"/>
  <c r="D56" i="6"/>
  <c r="C56" i="6"/>
  <c r="B56" i="6"/>
  <c r="K55" i="6"/>
  <c r="J55" i="6"/>
  <c r="G55" i="6"/>
  <c r="D55" i="6"/>
  <c r="C55" i="6"/>
  <c r="B55" i="6"/>
  <c r="J54" i="6"/>
  <c r="K54" i="6" s="1"/>
  <c r="G54" i="6"/>
  <c r="D54" i="6"/>
  <c r="C54" i="6"/>
  <c r="B54" i="6"/>
  <c r="J53" i="6"/>
  <c r="K53" i="6" s="1"/>
  <c r="G53" i="6"/>
  <c r="D53" i="6"/>
  <c r="C53" i="6"/>
  <c r="B53" i="6"/>
  <c r="K52" i="6"/>
  <c r="J52" i="6"/>
  <c r="G52" i="6"/>
  <c r="D52" i="6"/>
  <c r="C52" i="6"/>
  <c r="B52" i="6"/>
  <c r="K51" i="6"/>
  <c r="J51" i="6"/>
  <c r="G51" i="6"/>
  <c r="D51" i="6"/>
  <c r="C51" i="6"/>
  <c r="B51" i="6"/>
  <c r="J50" i="6"/>
  <c r="K50" i="6" s="1"/>
  <c r="G50" i="6"/>
  <c r="D50" i="6"/>
  <c r="C50" i="6"/>
  <c r="B50" i="6"/>
  <c r="J49" i="6"/>
  <c r="K49" i="6" s="1"/>
  <c r="G49" i="6"/>
  <c r="D49" i="6"/>
  <c r="C49" i="6"/>
  <c r="B49" i="6"/>
  <c r="K48" i="6"/>
  <c r="J48" i="6"/>
  <c r="G48" i="6"/>
  <c r="D48" i="6"/>
  <c r="C48" i="6"/>
  <c r="B48" i="6"/>
  <c r="K47" i="6"/>
  <c r="J47" i="6"/>
  <c r="G47" i="6"/>
  <c r="D47" i="6"/>
  <c r="C47" i="6"/>
  <c r="B47" i="6"/>
  <c r="J46" i="6"/>
  <c r="K46" i="6" s="1"/>
  <c r="G46" i="6"/>
  <c r="D46" i="6"/>
  <c r="C46" i="6"/>
  <c r="B46" i="6"/>
  <c r="J45" i="6"/>
  <c r="K45" i="6" s="1"/>
  <c r="G45" i="6"/>
  <c r="D45" i="6"/>
  <c r="C45" i="6"/>
  <c r="B45" i="6"/>
  <c r="K44" i="6"/>
  <c r="J44" i="6"/>
  <c r="G44" i="6"/>
  <c r="D44" i="6"/>
  <c r="C44" i="6"/>
  <c r="B44" i="6"/>
  <c r="K43" i="6"/>
  <c r="J43" i="6"/>
  <c r="G43" i="6"/>
  <c r="D43" i="6"/>
  <c r="C43" i="6"/>
  <c r="B43" i="6"/>
  <c r="J42" i="6"/>
  <c r="K42" i="6" s="1"/>
  <c r="G42" i="6"/>
  <c r="D42" i="6"/>
  <c r="C42" i="6"/>
  <c r="B42" i="6"/>
  <c r="J41" i="6"/>
  <c r="K41" i="6" s="1"/>
  <c r="G41" i="6"/>
  <c r="D41" i="6"/>
  <c r="C41" i="6"/>
  <c r="B41" i="6"/>
  <c r="K40" i="6"/>
  <c r="J40" i="6"/>
  <c r="G40" i="6"/>
  <c r="D40" i="6"/>
  <c r="C40" i="6"/>
  <c r="B40" i="6"/>
  <c r="K39" i="6"/>
  <c r="J39" i="6"/>
  <c r="G39" i="6"/>
  <c r="D39" i="6"/>
  <c r="C39" i="6"/>
  <c r="B39" i="6"/>
  <c r="J38" i="6"/>
  <c r="K38" i="6" s="1"/>
  <c r="G38" i="6"/>
  <c r="D38" i="6"/>
  <c r="C38" i="6"/>
  <c r="B38" i="6"/>
  <c r="J37" i="6"/>
  <c r="K37" i="6" s="1"/>
  <c r="G37" i="6"/>
  <c r="D37" i="6"/>
  <c r="C37" i="6"/>
  <c r="B37" i="6"/>
  <c r="K36" i="6"/>
  <c r="J36" i="6"/>
  <c r="G36" i="6"/>
  <c r="D36" i="6"/>
  <c r="C36" i="6"/>
  <c r="B36" i="6"/>
  <c r="K35" i="6"/>
  <c r="J35" i="6"/>
  <c r="G35" i="6"/>
  <c r="D35" i="6"/>
  <c r="C35" i="6"/>
  <c r="B35" i="6"/>
  <c r="J34" i="6"/>
  <c r="K34" i="6" s="1"/>
  <c r="G34" i="6"/>
  <c r="D34" i="6"/>
  <c r="C34" i="6"/>
  <c r="B34" i="6"/>
  <c r="J33" i="6"/>
  <c r="K33" i="6" s="1"/>
  <c r="G33" i="6"/>
  <c r="D33" i="6"/>
  <c r="C33" i="6"/>
  <c r="B33" i="6"/>
  <c r="K32" i="6"/>
  <c r="J32" i="6"/>
  <c r="G32" i="6"/>
  <c r="D32" i="6"/>
  <c r="C32" i="6"/>
  <c r="B32" i="6"/>
  <c r="K31" i="6"/>
  <c r="J31" i="6"/>
  <c r="G31" i="6"/>
  <c r="D31" i="6"/>
  <c r="C31" i="6"/>
  <c r="B31" i="6"/>
  <c r="J30" i="6"/>
  <c r="K30" i="6" s="1"/>
  <c r="G30" i="6"/>
  <c r="D30" i="6"/>
  <c r="C30" i="6"/>
  <c r="B30" i="6"/>
  <c r="J29" i="6"/>
  <c r="K29" i="6" s="1"/>
  <c r="G29" i="6"/>
  <c r="D29" i="6"/>
  <c r="C29" i="6"/>
  <c r="B29" i="6"/>
  <c r="K28" i="6"/>
  <c r="J28" i="6"/>
  <c r="G28" i="6"/>
  <c r="D28" i="6"/>
  <c r="C28" i="6"/>
  <c r="B28" i="6"/>
  <c r="K27" i="6"/>
  <c r="J27" i="6"/>
  <c r="G27" i="6"/>
  <c r="D27" i="6"/>
  <c r="C27" i="6"/>
  <c r="B27" i="6"/>
  <c r="J26" i="6"/>
  <c r="K26" i="6" s="1"/>
  <c r="G26" i="6"/>
  <c r="D26" i="6"/>
  <c r="C26" i="6"/>
  <c r="B26" i="6"/>
  <c r="J25" i="6"/>
  <c r="K25" i="6" s="1"/>
  <c r="G25" i="6"/>
  <c r="D25" i="6"/>
  <c r="C25" i="6"/>
  <c r="B25" i="6"/>
  <c r="K24" i="6"/>
  <c r="J24" i="6"/>
  <c r="G24" i="6"/>
  <c r="D24" i="6"/>
  <c r="C24" i="6"/>
  <c r="B24" i="6"/>
  <c r="K23" i="6"/>
  <c r="J23" i="6"/>
  <c r="G23" i="6"/>
  <c r="D23" i="6"/>
  <c r="C23" i="6"/>
  <c r="B23" i="6"/>
  <c r="J22" i="6"/>
  <c r="K22" i="6" s="1"/>
  <c r="G22" i="6"/>
  <c r="D22" i="6"/>
  <c r="C22" i="6"/>
  <c r="B22" i="6"/>
  <c r="J21" i="6"/>
  <c r="K21" i="6" s="1"/>
  <c r="G21" i="6"/>
  <c r="D21" i="6"/>
  <c r="C21" i="6"/>
  <c r="B21" i="6"/>
  <c r="K20" i="6"/>
  <c r="J20" i="6"/>
  <c r="G20" i="6"/>
  <c r="D20" i="6"/>
  <c r="C20" i="6"/>
  <c r="B20" i="6"/>
  <c r="K19" i="6"/>
  <c r="J19" i="6"/>
  <c r="G19" i="6"/>
  <c r="D19" i="6"/>
  <c r="C19" i="6"/>
  <c r="B19" i="6"/>
  <c r="J18" i="6"/>
  <c r="K18" i="6" s="1"/>
  <c r="G18" i="6"/>
  <c r="D18" i="6"/>
  <c r="C18" i="6"/>
  <c r="B18" i="6"/>
  <c r="J17" i="6"/>
  <c r="K17" i="6" s="1"/>
  <c r="G17" i="6"/>
  <c r="D17" i="6"/>
  <c r="C17" i="6"/>
  <c r="B17" i="6"/>
  <c r="K16" i="6"/>
  <c r="J16" i="6"/>
  <c r="G16" i="6"/>
  <c r="D16" i="6"/>
  <c r="C16" i="6"/>
  <c r="B16" i="6"/>
  <c r="K15" i="6"/>
  <c r="J15" i="6"/>
  <c r="G15" i="6"/>
  <c r="D15" i="6"/>
  <c r="C15" i="6"/>
  <c r="B15" i="6"/>
  <c r="J14" i="6"/>
  <c r="K14" i="6" s="1"/>
  <c r="G14" i="6"/>
  <c r="D14" i="6"/>
  <c r="C14" i="6"/>
  <c r="B14" i="6"/>
  <c r="J13" i="6"/>
  <c r="K13" i="6" s="1"/>
  <c r="G13" i="6"/>
  <c r="D13" i="6"/>
  <c r="C13" i="6"/>
  <c r="B13" i="6"/>
  <c r="K12" i="6"/>
  <c r="J12" i="6"/>
  <c r="G12" i="6"/>
  <c r="D12" i="6"/>
  <c r="C12" i="6"/>
  <c r="B12" i="6"/>
  <c r="K11" i="6"/>
  <c r="J11" i="6"/>
  <c r="G11" i="6"/>
  <c r="D11" i="6"/>
  <c r="C11" i="6"/>
  <c r="B11" i="6"/>
  <c r="J10" i="6"/>
  <c r="K10" i="6" s="1"/>
  <c r="G10" i="6"/>
  <c r="D10" i="6"/>
  <c r="C10" i="6"/>
  <c r="B10" i="6"/>
  <c r="J9" i="6"/>
  <c r="K9" i="6" s="1"/>
  <c r="G9" i="6"/>
  <c r="D9" i="6"/>
  <c r="C9" i="6"/>
  <c r="B9" i="6"/>
  <c r="K4" i="6"/>
  <c r="G4" i="6"/>
  <c r="D4" i="6"/>
  <c r="A4" i="6"/>
  <c r="I208" i="5"/>
  <c r="J208" i="5" s="1"/>
  <c r="F208" i="5"/>
  <c r="D208" i="5"/>
  <c r="C208" i="5"/>
  <c r="B208" i="5"/>
  <c r="J207" i="5"/>
  <c r="I207" i="5"/>
  <c r="F207" i="5"/>
  <c r="D207" i="5"/>
  <c r="C207" i="5"/>
  <c r="B207" i="5"/>
  <c r="I206" i="5"/>
  <c r="J206" i="5" s="1"/>
  <c r="F206" i="5"/>
  <c r="D206" i="5"/>
  <c r="C206" i="5"/>
  <c r="B206" i="5"/>
  <c r="J205" i="5"/>
  <c r="I205" i="5"/>
  <c r="F205" i="5"/>
  <c r="D205" i="5"/>
  <c r="C205" i="5"/>
  <c r="B205" i="5"/>
  <c r="I204" i="5"/>
  <c r="J204" i="5" s="1"/>
  <c r="F204" i="5"/>
  <c r="D204" i="5"/>
  <c r="C204" i="5"/>
  <c r="B204" i="5"/>
  <c r="J203" i="5"/>
  <c r="I203" i="5"/>
  <c r="F203" i="5"/>
  <c r="D203" i="5"/>
  <c r="C203" i="5"/>
  <c r="B203" i="5"/>
  <c r="I202" i="5"/>
  <c r="J202" i="5" s="1"/>
  <c r="F202" i="5"/>
  <c r="D202" i="5"/>
  <c r="C202" i="5"/>
  <c r="B202" i="5"/>
  <c r="J201" i="5"/>
  <c r="I201" i="5"/>
  <c r="F201" i="5"/>
  <c r="D201" i="5"/>
  <c r="C201" i="5"/>
  <c r="B201" i="5"/>
  <c r="I200" i="5"/>
  <c r="J200" i="5" s="1"/>
  <c r="F200" i="5"/>
  <c r="D200" i="5"/>
  <c r="C200" i="5"/>
  <c r="B200" i="5"/>
  <c r="J199" i="5"/>
  <c r="I199" i="5"/>
  <c r="F199" i="5"/>
  <c r="D199" i="5"/>
  <c r="C199" i="5"/>
  <c r="B199" i="5"/>
  <c r="I198" i="5"/>
  <c r="J198" i="5" s="1"/>
  <c r="F198" i="5"/>
  <c r="D198" i="5"/>
  <c r="C198" i="5"/>
  <c r="B198" i="5"/>
  <c r="J197" i="5"/>
  <c r="I197" i="5"/>
  <c r="F197" i="5"/>
  <c r="D197" i="5"/>
  <c r="C197" i="5"/>
  <c r="B197" i="5"/>
  <c r="I196" i="5"/>
  <c r="J196" i="5" s="1"/>
  <c r="F196" i="5"/>
  <c r="D196" i="5"/>
  <c r="C196" i="5"/>
  <c r="B196" i="5"/>
  <c r="J195" i="5"/>
  <c r="I195" i="5"/>
  <c r="F195" i="5"/>
  <c r="D195" i="5"/>
  <c r="C195" i="5"/>
  <c r="B195" i="5"/>
  <c r="I194" i="5"/>
  <c r="J194" i="5" s="1"/>
  <c r="F194" i="5"/>
  <c r="D194" i="5"/>
  <c r="C194" i="5"/>
  <c r="B194" i="5"/>
  <c r="J193" i="5"/>
  <c r="I193" i="5"/>
  <c r="F193" i="5"/>
  <c r="D193" i="5"/>
  <c r="C193" i="5"/>
  <c r="B193" i="5"/>
  <c r="I192" i="5"/>
  <c r="J192" i="5" s="1"/>
  <c r="F192" i="5"/>
  <c r="D192" i="5"/>
  <c r="C192" i="5"/>
  <c r="B192" i="5"/>
  <c r="J191" i="5"/>
  <c r="I191" i="5"/>
  <c r="F191" i="5"/>
  <c r="D191" i="5"/>
  <c r="C191" i="5"/>
  <c r="B191" i="5"/>
  <c r="I190" i="5"/>
  <c r="J190" i="5" s="1"/>
  <c r="F190" i="5"/>
  <c r="D190" i="5"/>
  <c r="C190" i="5"/>
  <c r="B190" i="5"/>
  <c r="J189" i="5"/>
  <c r="I189" i="5"/>
  <c r="F189" i="5"/>
  <c r="D189" i="5"/>
  <c r="C189" i="5"/>
  <c r="B189" i="5"/>
  <c r="I188" i="5"/>
  <c r="J188" i="5" s="1"/>
  <c r="F188" i="5"/>
  <c r="D188" i="5"/>
  <c r="C188" i="5"/>
  <c r="B188" i="5"/>
  <c r="J187" i="5"/>
  <c r="I187" i="5"/>
  <c r="F187" i="5"/>
  <c r="D187" i="5"/>
  <c r="C187" i="5"/>
  <c r="B187" i="5"/>
  <c r="I186" i="5"/>
  <c r="J186" i="5" s="1"/>
  <c r="F186" i="5"/>
  <c r="D186" i="5"/>
  <c r="C186" i="5"/>
  <c r="B186" i="5"/>
  <c r="J185" i="5"/>
  <c r="I185" i="5"/>
  <c r="F185" i="5"/>
  <c r="D185" i="5"/>
  <c r="C185" i="5"/>
  <c r="B185" i="5"/>
  <c r="I184" i="5"/>
  <c r="J184" i="5" s="1"/>
  <c r="F184" i="5"/>
  <c r="D184" i="5"/>
  <c r="C184" i="5"/>
  <c r="B184" i="5"/>
  <c r="J183" i="5"/>
  <c r="I183" i="5"/>
  <c r="F183" i="5"/>
  <c r="D183" i="5"/>
  <c r="C183" i="5"/>
  <c r="B183" i="5"/>
  <c r="I182" i="5"/>
  <c r="J182" i="5" s="1"/>
  <c r="F182" i="5"/>
  <c r="D182" i="5"/>
  <c r="C182" i="5"/>
  <c r="B182" i="5"/>
  <c r="J181" i="5"/>
  <c r="I181" i="5"/>
  <c r="F181" i="5"/>
  <c r="D181" i="5"/>
  <c r="C181" i="5"/>
  <c r="B181" i="5"/>
  <c r="I180" i="5"/>
  <c r="J180" i="5" s="1"/>
  <c r="F180" i="5"/>
  <c r="D180" i="5"/>
  <c r="C180" i="5"/>
  <c r="B180" i="5"/>
  <c r="J179" i="5"/>
  <c r="I179" i="5"/>
  <c r="F179" i="5"/>
  <c r="D179" i="5"/>
  <c r="C179" i="5"/>
  <c r="B179" i="5"/>
  <c r="I178" i="5"/>
  <c r="J178" i="5" s="1"/>
  <c r="F178" i="5"/>
  <c r="D178" i="5"/>
  <c r="C178" i="5"/>
  <c r="B178" i="5"/>
  <c r="J177" i="5"/>
  <c r="I177" i="5"/>
  <c r="F177" i="5"/>
  <c r="D177" i="5"/>
  <c r="C177" i="5"/>
  <c r="B177" i="5"/>
  <c r="I176" i="5"/>
  <c r="J176" i="5" s="1"/>
  <c r="F176" i="5"/>
  <c r="D176" i="5"/>
  <c r="C176" i="5"/>
  <c r="B176" i="5"/>
  <c r="J175" i="5"/>
  <c r="I175" i="5"/>
  <c r="F175" i="5"/>
  <c r="D175" i="5"/>
  <c r="C175" i="5"/>
  <c r="B175" i="5"/>
  <c r="I174" i="5"/>
  <c r="J174" i="5" s="1"/>
  <c r="F174" i="5"/>
  <c r="D174" i="5"/>
  <c r="C174" i="5"/>
  <c r="B174" i="5"/>
  <c r="J173" i="5"/>
  <c r="I173" i="5"/>
  <c r="F173" i="5"/>
  <c r="D173" i="5"/>
  <c r="C173" i="5"/>
  <c r="B173" i="5"/>
  <c r="I172" i="5"/>
  <c r="J172" i="5" s="1"/>
  <c r="F172" i="5"/>
  <c r="D172" i="5"/>
  <c r="C172" i="5"/>
  <c r="B172" i="5"/>
  <c r="I171" i="5"/>
  <c r="J171" i="5" s="1"/>
  <c r="F171" i="5"/>
  <c r="D171" i="5"/>
  <c r="C171" i="5"/>
  <c r="B171" i="5"/>
  <c r="I170" i="5"/>
  <c r="J170" i="5" s="1"/>
  <c r="F170" i="5"/>
  <c r="D170" i="5"/>
  <c r="C170" i="5"/>
  <c r="B170" i="5"/>
  <c r="J169" i="5"/>
  <c r="I169" i="5"/>
  <c r="F169" i="5"/>
  <c r="D169" i="5"/>
  <c r="C169" i="5"/>
  <c r="B169" i="5"/>
  <c r="I168" i="5"/>
  <c r="J168" i="5" s="1"/>
  <c r="F168" i="5"/>
  <c r="D168" i="5"/>
  <c r="C168" i="5"/>
  <c r="B168" i="5"/>
  <c r="J167" i="5"/>
  <c r="I167" i="5"/>
  <c r="F167" i="5"/>
  <c r="D167" i="5"/>
  <c r="C167" i="5"/>
  <c r="B167" i="5"/>
  <c r="I166" i="5"/>
  <c r="J166" i="5" s="1"/>
  <c r="F166" i="5"/>
  <c r="D166" i="5"/>
  <c r="C166" i="5"/>
  <c r="B166" i="5"/>
  <c r="J165" i="5"/>
  <c r="I165" i="5"/>
  <c r="F165" i="5"/>
  <c r="D165" i="5"/>
  <c r="C165" i="5"/>
  <c r="B165" i="5"/>
  <c r="I164" i="5"/>
  <c r="J164" i="5" s="1"/>
  <c r="F164" i="5"/>
  <c r="D164" i="5"/>
  <c r="C164" i="5"/>
  <c r="B164" i="5"/>
  <c r="J163" i="5"/>
  <c r="I163" i="5"/>
  <c r="F163" i="5"/>
  <c r="D163" i="5"/>
  <c r="C163" i="5"/>
  <c r="B163" i="5"/>
  <c r="I162" i="5"/>
  <c r="J162" i="5" s="1"/>
  <c r="F162" i="5"/>
  <c r="D162" i="5"/>
  <c r="C162" i="5"/>
  <c r="B162" i="5"/>
  <c r="J161" i="5"/>
  <c r="I161" i="5"/>
  <c r="F161" i="5"/>
  <c r="D161" i="5"/>
  <c r="C161" i="5"/>
  <c r="B161" i="5"/>
  <c r="I160" i="5"/>
  <c r="J160" i="5" s="1"/>
  <c r="F160" i="5"/>
  <c r="D160" i="5"/>
  <c r="C160" i="5"/>
  <c r="B160" i="5"/>
  <c r="I159" i="5"/>
  <c r="J159" i="5" s="1"/>
  <c r="F159" i="5"/>
  <c r="D159" i="5"/>
  <c r="C159" i="5"/>
  <c r="B159" i="5"/>
  <c r="I158" i="5"/>
  <c r="J158" i="5" s="1"/>
  <c r="F158" i="5"/>
  <c r="D158" i="5"/>
  <c r="C158" i="5"/>
  <c r="B158" i="5"/>
  <c r="J157" i="5"/>
  <c r="I157" i="5"/>
  <c r="F157" i="5"/>
  <c r="D157" i="5"/>
  <c r="C157" i="5"/>
  <c r="B157" i="5"/>
  <c r="I156" i="5"/>
  <c r="J156" i="5" s="1"/>
  <c r="F156" i="5"/>
  <c r="D156" i="5"/>
  <c r="C156" i="5"/>
  <c r="B156" i="5"/>
  <c r="I155" i="5"/>
  <c r="J155" i="5" s="1"/>
  <c r="F155" i="5"/>
  <c r="D155" i="5"/>
  <c r="C155" i="5"/>
  <c r="B155" i="5"/>
  <c r="I154" i="5"/>
  <c r="J154" i="5" s="1"/>
  <c r="F154" i="5"/>
  <c r="D154" i="5"/>
  <c r="C154" i="5"/>
  <c r="B154" i="5"/>
  <c r="J153" i="5"/>
  <c r="I153" i="5"/>
  <c r="F153" i="5"/>
  <c r="D153" i="5"/>
  <c r="C153" i="5"/>
  <c r="B153" i="5"/>
  <c r="I152" i="5"/>
  <c r="J152" i="5" s="1"/>
  <c r="F152" i="5"/>
  <c r="D152" i="5"/>
  <c r="C152" i="5"/>
  <c r="B152" i="5"/>
  <c r="J151" i="5"/>
  <c r="I151" i="5"/>
  <c r="F151" i="5"/>
  <c r="D151" i="5"/>
  <c r="C151" i="5"/>
  <c r="B151" i="5"/>
  <c r="I150" i="5"/>
  <c r="J150" i="5" s="1"/>
  <c r="F150" i="5"/>
  <c r="D150" i="5"/>
  <c r="C150" i="5"/>
  <c r="B150" i="5"/>
  <c r="J149" i="5"/>
  <c r="I149" i="5"/>
  <c r="F149" i="5"/>
  <c r="D149" i="5"/>
  <c r="C149" i="5"/>
  <c r="B149" i="5"/>
  <c r="I148" i="5"/>
  <c r="J148" i="5" s="1"/>
  <c r="F148" i="5"/>
  <c r="D148" i="5"/>
  <c r="C148" i="5"/>
  <c r="B148" i="5"/>
  <c r="J147" i="5"/>
  <c r="I147" i="5"/>
  <c r="F147" i="5"/>
  <c r="D147" i="5"/>
  <c r="C147" i="5"/>
  <c r="B147" i="5"/>
  <c r="I146" i="5"/>
  <c r="J146" i="5" s="1"/>
  <c r="F146" i="5"/>
  <c r="D146" i="5"/>
  <c r="C146" i="5"/>
  <c r="B146" i="5"/>
  <c r="J145" i="5"/>
  <c r="I145" i="5"/>
  <c r="F145" i="5"/>
  <c r="D145" i="5"/>
  <c r="C145" i="5"/>
  <c r="B145" i="5"/>
  <c r="I144" i="5"/>
  <c r="J144" i="5" s="1"/>
  <c r="F144" i="5"/>
  <c r="D144" i="5"/>
  <c r="C144" i="5"/>
  <c r="B144" i="5"/>
  <c r="I143" i="5"/>
  <c r="J143" i="5" s="1"/>
  <c r="F143" i="5"/>
  <c r="D143" i="5"/>
  <c r="C143" i="5"/>
  <c r="B143" i="5"/>
  <c r="I142" i="5"/>
  <c r="J142" i="5" s="1"/>
  <c r="F142" i="5"/>
  <c r="D142" i="5"/>
  <c r="C142" i="5"/>
  <c r="B142" i="5"/>
  <c r="J141" i="5"/>
  <c r="I141" i="5"/>
  <c r="F141" i="5"/>
  <c r="D141" i="5"/>
  <c r="C141" i="5"/>
  <c r="B141" i="5"/>
  <c r="I140" i="5"/>
  <c r="J140" i="5" s="1"/>
  <c r="F140" i="5"/>
  <c r="D140" i="5"/>
  <c r="C140" i="5"/>
  <c r="B140" i="5"/>
  <c r="J139" i="5"/>
  <c r="I139" i="5"/>
  <c r="F139" i="5"/>
  <c r="D139" i="5"/>
  <c r="C139" i="5"/>
  <c r="B139" i="5"/>
  <c r="J138" i="5"/>
  <c r="I138" i="5"/>
  <c r="F138" i="5"/>
  <c r="D138" i="5"/>
  <c r="C138" i="5"/>
  <c r="B138" i="5"/>
  <c r="J137" i="5"/>
  <c r="I137" i="5"/>
  <c r="F137" i="5"/>
  <c r="D137" i="5"/>
  <c r="C137" i="5"/>
  <c r="B137" i="5"/>
  <c r="I136" i="5"/>
  <c r="J136" i="5" s="1"/>
  <c r="F136" i="5"/>
  <c r="D136" i="5"/>
  <c r="C136" i="5"/>
  <c r="B136" i="5"/>
  <c r="I135" i="5"/>
  <c r="J135" i="5" s="1"/>
  <c r="F135" i="5"/>
  <c r="D135" i="5"/>
  <c r="C135" i="5"/>
  <c r="B135" i="5"/>
  <c r="J134" i="5"/>
  <c r="I134" i="5"/>
  <c r="F134" i="5"/>
  <c r="D134" i="5"/>
  <c r="C134" i="5"/>
  <c r="B134" i="5"/>
  <c r="J133" i="5"/>
  <c r="I133" i="5"/>
  <c r="F133" i="5"/>
  <c r="D133" i="5"/>
  <c r="C133" i="5"/>
  <c r="B133" i="5"/>
  <c r="I132" i="5"/>
  <c r="J132" i="5" s="1"/>
  <c r="F132" i="5"/>
  <c r="D132" i="5"/>
  <c r="C132" i="5"/>
  <c r="B132" i="5"/>
  <c r="J131" i="5"/>
  <c r="I131" i="5"/>
  <c r="F131" i="5"/>
  <c r="D131" i="5"/>
  <c r="C131" i="5"/>
  <c r="B131" i="5"/>
  <c r="I130" i="5"/>
  <c r="J130" i="5" s="1"/>
  <c r="F130" i="5"/>
  <c r="D130" i="5"/>
  <c r="C130" i="5"/>
  <c r="B130" i="5"/>
  <c r="J129" i="5"/>
  <c r="I129" i="5"/>
  <c r="F129" i="5"/>
  <c r="D129" i="5"/>
  <c r="C129" i="5"/>
  <c r="B129" i="5"/>
  <c r="I128" i="5"/>
  <c r="J128" i="5" s="1"/>
  <c r="F128" i="5"/>
  <c r="D128" i="5"/>
  <c r="C128" i="5"/>
  <c r="B128" i="5"/>
  <c r="J127" i="5"/>
  <c r="I127" i="5"/>
  <c r="F127" i="5"/>
  <c r="D127" i="5"/>
  <c r="C127" i="5"/>
  <c r="B127" i="5"/>
  <c r="J126" i="5"/>
  <c r="I126" i="5"/>
  <c r="F126" i="5"/>
  <c r="D126" i="5"/>
  <c r="C126" i="5"/>
  <c r="B126" i="5"/>
  <c r="J125" i="5"/>
  <c r="I125" i="5"/>
  <c r="F125" i="5"/>
  <c r="D125" i="5"/>
  <c r="C125" i="5"/>
  <c r="B125" i="5"/>
  <c r="I124" i="5"/>
  <c r="J124" i="5" s="1"/>
  <c r="F124" i="5"/>
  <c r="D124" i="5"/>
  <c r="C124" i="5"/>
  <c r="B124" i="5"/>
  <c r="I123" i="5"/>
  <c r="J123" i="5" s="1"/>
  <c r="F123" i="5"/>
  <c r="D123" i="5"/>
  <c r="C123" i="5"/>
  <c r="B123" i="5"/>
  <c r="I122" i="5"/>
  <c r="J122" i="5" s="1"/>
  <c r="F122" i="5"/>
  <c r="D122" i="5"/>
  <c r="C122" i="5"/>
  <c r="B122" i="5"/>
  <c r="J121" i="5"/>
  <c r="I121" i="5"/>
  <c r="F121" i="5"/>
  <c r="D121" i="5"/>
  <c r="C121" i="5"/>
  <c r="B121" i="5"/>
  <c r="I120" i="5"/>
  <c r="J120" i="5" s="1"/>
  <c r="F120" i="5"/>
  <c r="D120" i="5"/>
  <c r="C120" i="5"/>
  <c r="B120" i="5"/>
  <c r="J119" i="5"/>
  <c r="I119" i="5"/>
  <c r="F119" i="5"/>
  <c r="D119" i="5"/>
  <c r="C119" i="5"/>
  <c r="B119" i="5"/>
  <c r="I118" i="5"/>
  <c r="J118" i="5" s="1"/>
  <c r="F118" i="5"/>
  <c r="D118" i="5"/>
  <c r="C118" i="5"/>
  <c r="B118" i="5"/>
  <c r="J117" i="5"/>
  <c r="I117" i="5"/>
  <c r="F117" i="5"/>
  <c r="D117" i="5"/>
  <c r="C117" i="5"/>
  <c r="B117" i="5"/>
  <c r="I116" i="5"/>
  <c r="J116" i="5" s="1"/>
  <c r="F116" i="5"/>
  <c r="D116" i="5"/>
  <c r="C116" i="5"/>
  <c r="B116" i="5"/>
  <c r="I115" i="5"/>
  <c r="J115" i="5" s="1"/>
  <c r="F115" i="5"/>
  <c r="D115" i="5"/>
  <c r="C115" i="5"/>
  <c r="B115" i="5"/>
  <c r="J114" i="5"/>
  <c r="I114" i="5"/>
  <c r="F114" i="5"/>
  <c r="D114" i="5"/>
  <c r="C114" i="5"/>
  <c r="B114" i="5"/>
  <c r="J113" i="5"/>
  <c r="I113" i="5"/>
  <c r="F113" i="5"/>
  <c r="D113" i="5"/>
  <c r="C113" i="5"/>
  <c r="B113" i="5"/>
  <c r="I112" i="5"/>
  <c r="J112" i="5" s="1"/>
  <c r="F112" i="5"/>
  <c r="D112" i="5"/>
  <c r="C112" i="5"/>
  <c r="B112" i="5"/>
  <c r="I111" i="5"/>
  <c r="J111" i="5" s="1"/>
  <c r="F111" i="5"/>
  <c r="D111" i="5"/>
  <c r="C111" i="5"/>
  <c r="B111" i="5"/>
  <c r="I110" i="5"/>
  <c r="J110" i="5" s="1"/>
  <c r="F110" i="5"/>
  <c r="D110" i="5"/>
  <c r="C110" i="5"/>
  <c r="B110" i="5"/>
  <c r="J109" i="5"/>
  <c r="I109" i="5"/>
  <c r="F109" i="5"/>
  <c r="D109" i="5"/>
  <c r="C109" i="5"/>
  <c r="B109" i="5"/>
  <c r="I108" i="5"/>
  <c r="J108" i="5" s="1"/>
  <c r="F108" i="5"/>
  <c r="D108" i="5"/>
  <c r="C108" i="5"/>
  <c r="B108" i="5"/>
  <c r="J107" i="5"/>
  <c r="I107" i="5"/>
  <c r="F107" i="5"/>
  <c r="D107" i="5"/>
  <c r="C107" i="5"/>
  <c r="B107" i="5"/>
  <c r="J106" i="5"/>
  <c r="I106" i="5"/>
  <c r="F106" i="5"/>
  <c r="D106" i="5"/>
  <c r="C106" i="5"/>
  <c r="B106" i="5"/>
  <c r="J105" i="5"/>
  <c r="I105" i="5"/>
  <c r="F105" i="5"/>
  <c r="D105" i="5"/>
  <c r="C105" i="5"/>
  <c r="B105" i="5"/>
  <c r="I104" i="5"/>
  <c r="J104" i="5" s="1"/>
  <c r="F104" i="5"/>
  <c r="D104" i="5"/>
  <c r="C104" i="5"/>
  <c r="B104" i="5"/>
  <c r="I103" i="5"/>
  <c r="J103" i="5" s="1"/>
  <c r="F103" i="5"/>
  <c r="D103" i="5"/>
  <c r="C103" i="5"/>
  <c r="B103" i="5"/>
  <c r="J102" i="5"/>
  <c r="I102" i="5"/>
  <c r="F102" i="5"/>
  <c r="D102" i="5"/>
  <c r="C102" i="5"/>
  <c r="B102" i="5"/>
  <c r="J101" i="5"/>
  <c r="I101" i="5"/>
  <c r="F101" i="5"/>
  <c r="D101" i="5"/>
  <c r="C101" i="5"/>
  <c r="B101" i="5"/>
  <c r="I100" i="5"/>
  <c r="J100" i="5" s="1"/>
  <c r="F100" i="5"/>
  <c r="D100" i="5"/>
  <c r="C100" i="5"/>
  <c r="B100" i="5"/>
  <c r="J99" i="5"/>
  <c r="I99" i="5"/>
  <c r="F99" i="5"/>
  <c r="D99" i="5"/>
  <c r="C99" i="5"/>
  <c r="B99" i="5"/>
  <c r="I98" i="5"/>
  <c r="J98" i="5" s="1"/>
  <c r="F98" i="5"/>
  <c r="D98" i="5"/>
  <c r="C98" i="5"/>
  <c r="B98" i="5"/>
  <c r="J97" i="5"/>
  <c r="I97" i="5"/>
  <c r="F97" i="5"/>
  <c r="D97" i="5"/>
  <c r="C97" i="5"/>
  <c r="B97" i="5"/>
  <c r="I96" i="5"/>
  <c r="J96" i="5" s="1"/>
  <c r="F96" i="5"/>
  <c r="D96" i="5"/>
  <c r="C96" i="5"/>
  <c r="B96" i="5"/>
  <c r="J95" i="5"/>
  <c r="I95" i="5"/>
  <c r="F95" i="5"/>
  <c r="D95" i="5"/>
  <c r="C95" i="5"/>
  <c r="B95" i="5"/>
  <c r="J94" i="5"/>
  <c r="I94" i="5"/>
  <c r="F94" i="5"/>
  <c r="D94" i="5"/>
  <c r="C94" i="5"/>
  <c r="B94" i="5"/>
  <c r="J93" i="5"/>
  <c r="I93" i="5"/>
  <c r="F93" i="5"/>
  <c r="D93" i="5"/>
  <c r="C93" i="5"/>
  <c r="B93" i="5"/>
  <c r="I92" i="5"/>
  <c r="J92" i="5" s="1"/>
  <c r="F92" i="5"/>
  <c r="D92" i="5"/>
  <c r="C92" i="5"/>
  <c r="B92" i="5"/>
  <c r="I91" i="5"/>
  <c r="J91" i="5" s="1"/>
  <c r="F91" i="5"/>
  <c r="D91" i="5"/>
  <c r="C91" i="5"/>
  <c r="B91" i="5"/>
  <c r="I90" i="5"/>
  <c r="J90" i="5" s="1"/>
  <c r="F90" i="5"/>
  <c r="D90" i="5"/>
  <c r="C90" i="5"/>
  <c r="B90" i="5"/>
  <c r="J89" i="5"/>
  <c r="I89" i="5"/>
  <c r="F89" i="5"/>
  <c r="D89" i="5"/>
  <c r="C89" i="5"/>
  <c r="B89" i="5"/>
  <c r="I88" i="5"/>
  <c r="J88" i="5" s="1"/>
  <c r="F88" i="5"/>
  <c r="D88" i="5"/>
  <c r="C88" i="5"/>
  <c r="B88" i="5"/>
  <c r="J87" i="5"/>
  <c r="I87" i="5"/>
  <c r="F87" i="5"/>
  <c r="D87" i="5"/>
  <c r="C87" i="5"/>
  <c r="B87" i="5"/>
  <c r="I86" i="5"/>
  <c r="J86" i="5" s="1"/>
  <c r="F86" i="5"/>
  <c r="D86" i="5"/>
  <c r="C86" i="5"/>
  <c r="B86" i="5"/>
  <c r="J85" i="5"/>
  <c r="I85" i="5"/>
  <c r="F85" i="5"/>
  <c r="D85" i="5"/>
  <c r="C85" i="5"/>
  <c r="B85" i="5"/>
  <c r="I84" i="5"/>
  <c r="J84" i="5" s="1"/>
  <c r="F84" i="5"/>
  <c r="D84" i="5"/>
  <c r="C84" i="5"/>
  <c r="B84" i="5"/>
  <c r="I83" i="5"/>
  <c r="J83" i="5" s="1"/>
  <c r="F83" i="5"/>
  <c r="D83" i="5"/>
  <c r="C83" i="5"/>
  <c r="B83" i="5"/>
  <c r="J82" i="5"/>
  <c r="I82" i="5"/>
  <c r="F82" i="5"/>
  <c r="D82" i="5"/>
  <c r="C82" i="5"/>
  <c r="B82" i="5"/>
  <c r="J81" i="5"/>
  <c r="I81" i="5"/>
  <c r="F81" i="5"/>
  <c r="D81" i="5"/>
  <c r="C81" i="5"/>
  <c r="B81" i="5"/>
  <c r="I80" i="5"/>
  <c r="J80" i="5" s="1"/>
  <c r="F80" i="5"/>
  <c r="D80" i="5"/>
  <c r="C80" i="5"/>
  <c r="B80" i="5"/>
  <c r="I79" i="5"/>
  <c r="J79" i="5" s="1"/>
  <c r="F79" i="5"/>
  <c r="D79" i="5"/>
  <c r="C79" i="5"/>
  <c r="B79" i="5"/>
  <c r="I78" i="5"/>
  <c r="J78" i="5" s="1"/>
  <c r="F78" i="5"/>
  <c r="D78" i="5"/>
  <c r="C78" i="5"/>
  <c r="B78" i="5"/>
  <c r="J77" i="5"/>
  <c r="I77" i="5"/>
  <c r="F77" i="5"/>
  <c r="D77" i="5"/>
  <c r="C77" i="5"/>
  <c r="B77" i="5"/>
  <c r="I76" i="5"/>
  <c r="J76" i="5" s="1"/>
  <c r="F76" i="5"/>
  <c r="D76" i="5"/>
  <c r="C76" i="5"/>
  <c r="B76" i="5"/>
  <c r="J75" i="5"/>
  <c r="I75" i="5"/>
  <c r="F75" i="5"/>
  <c r="D75" i="5"/>
  <c r="C75" i="5"/>
  <c r="B75" i="5"/>
  <c r="J74" i="5"/>
  <c r="I74" i="5"/>
  <c r="F74" i="5"/>
  <c r="D74" i="5"/>
  <c r="C74" i="5"/>
  <c r="B74" i="5"/>
  <c r="J73" i="5"/>
  <c r="I73" i="5"/>
  <c r="F73" i="5"/>
  <c r="D73" i="5"/>
  <c r="C73" i="5"/>
  <c r="B73" i="5"/>
  <c r="I72" i="5"/>
  <c r="J72" i="5" s="1"/>
  <c r="F72" i="5"/>
  <c r="D72" i="5"/>
  <c r="C72" i="5"/>
  <c r="B72" i="5"/>
  <c r="J71" i="5"/>
  <c r="I71" i="5"/>
  <c r="F71" i="5"/>
  <c r="D71" i="5"/>
  <c r="C71" i="5"/>
  <c r="B71" i="5"/>
  <c r="J70" i="5"/>
  <c r="I70" i="5"/>
  <c r="F70" i="5"/>
  <c r="D70" i="5"/>
  <c r="C70" i="5"/>
  <c r="B70" i="5"/>
  <c r="J69" i="5"/>
  <c r="I69" i="5"/>
  <c r="F69" i="5"/>
  <c r="D69" i="5"/>
  <c r="C69" i="5"/>
  <c r="B69" i="5"/>
  <c r="I68" i="5"/>
  <c r="J68" i="5" s="1"/>
  <c r="F68" i="5"/>
  <c r="D68" i="5"/>
  <c r="C68" i="5"/>
  <c r="B68" i="5"/>
  <c r="J67" i="5"/>
  <c r="I67" i="5"/>
  <c r="F67" i="5"/>
  <c r="D67" i="5"/>
  <c r="C67" i="5"/>
  <c r="B67" i="5"/>
  <c r="J66" i="5"/>
  <c r="I66" i="5"/>
  <c r="F66" i="5"/>
  <c r="D66" i="5"/>
  <c r="C66" i="5"/>
  <c r="B66" i="5"/>
  <c r="J65" i="5"/>
  <c r="I65" i="5"/>
  <c r="F65" i="5"/>
  <c r="D65" i="5"/>
  <c r="C65" i="5"/>
  <c r="B65" i="5"/>
  <c r="I64" i="5"/>
  <c r="J64" i="5" s="1"/>
  <c r="F64" i="5"/>
  <c r="D64" i="5"/>
  <c r="C64" i="5"/>
  <c r="B64" i="5"/>
  <c r="J63" i="5"/>
  <c r="I63" i="5"/>
  <c r="F63" i="5"/>
  <c r="D63" i="5"/>
  <c r="C63" i="5"/>
  <c r="B63" i="5"/>
  <c r="J62" i="5"/>
  <c r="I62" i="5"/>
  <c r="F62" i="5"/>
  <c r="D62" i="5"/>
  <c r="C62" i="5"/>
  <c r="B62" i="5"/>
  <c r="J61" i="5"/>
  <c r="I61" i="5"/>
  <c r="F61" i="5"/>
  <c r="D61" i="5"/>
  <c r="C61" i="5"/>
  <c r="B61" i="5"/>
  <c r="I60" i="5"/>
  <c r="J60" i="5" s="1"/>
  <c r="F60" i="5"/>
  <c r="D60" i="5"/>
  <c r="C60" i="5"/>
  <c r="B60" i="5"/>
  <c r="J59" i="5"/>
  <c r="I59" i="5"/>
  <c r="F59" i="5"/>
  <c r="D59" i="5"/>
  <c r="C59" i="5"/>
  <c r="B59" i="5"/>
  <c r="J58" i="5"/>
  <c r="I58" i="5"/>
  <c r="F58" i="5"/>
  <c r="D58" i="5"/>
  <c r="C58" i="5"/>
  <c r="B58" i="5"/>
  <c r="J57" i="5"/>
  <c r="I57" i="5"/>
  <c r="F57" i="5"/>
  <c r="D57" i="5"/>
  <c r="C57" i="5"/>
  <c r="B57" i="5"/>
  <c r="I56" i="5"/>
  <c r="J56" i="5" s="1"/>
  <c r="F56" i="5"/>
  <c r="D56" i="5"/>
  <c r="C56" i="5"/>
  <c r="B56" i="5"/>
  <c r="J55" i="5"/>
  <c r="I55" i="5"/>
  <c r="F55" i="5"/>
  <c r="D55" i="5"/>
  <c r="C55" i="5"/>
  <c r="B55" i="5"/>
  <c r="J54" i="5"/>
  <c r="I54" i="5"/>
  <c r="F54" i="5"/>
  <c r="D54" i="5"/>
  <c r="C54" i="5"/>
  <c r="B54" i="5"/>
  <c r="J53" i="5"/>
  <c r="I53" i="5"/>
  <c r="F53" i="5"/>
  <c r="D53" i="5"/>
  <c r="C53" i="5"/>
  <c r="B53" i="5"/>
  <c r="I52" i="5"/>
  <c r="J52" i="5" s="1"/>
  <c r="F52" i="5"/>
  <c r="D52" i="5"/>
  <c r="C52" i="5"/>
  <c r="B52" i="5"/>
  <c r="J51" i="5"/>
  <c r="I51" i="5"/>
  <c r="F51" i="5"/>
  <c r="D51" i="5"/>
  <c r="C51" i="5"/>
  <c r="B51" i="5"/>
  <c r="J50" i="5"/>
  <c r="I50" i="5"/>
  <c r="F50" i="5"/>
  <c r="D50" i="5"/>
  <c r="C50" i="5"/>
  <c r="B50" i="5"/>
  <c r="J49" i="5"/>
  <c r="I49" i="5"/>
  <c r="F49" i="5"/>
  <c r="D49" i="5"/>
  <c r="C49" i="5"/>
  <c r="B49" i="5"/>
  <c r="I48" i="5"/>
  <c r="J48" i="5" s="1"/>
  <c r="F48" i="5"/>
  <c r="D48" i="5"/>
  <c r="C48" i="5"/>
  <c r="B48" i="5"/>
  <c r="J47" i="5"/>
  <c r="I47" i="5"/>
  <c r="F47" i="5"/>
  <c r="D47" i="5"/>
  <c r="C47" i="5"/>
  <c r="B47" i="5"/>
  <c r="J46" i="5"/>
  <c r="I46" i="5"/>
  <c r="F46" i="5"/>
  <c r="D46" i="5"/>
  <c r="C46" i="5"/>
  <c r="B46" i="5"/>
  <c r="J45" i="5"/>
  <c r="I45" i="5"/>
  <c r="F45" i="5"/>
  <c r="D45" i="5"/>
  <c r="C45" i="5"/>
  <c r="B45" i="5"/>
  <c r="I44" i="5"/>
  <c r="J44" i="5" s="1"/>
  <c r="F44" i="5"/>
  <c r="D44" i="5"/>
  <c r="C44" i="5"/>
  <c r="B44" i="5"/>
  <c r="J43" i="5"/>
  <c r="I43" i="5"/>
  <c r="F43" i="5"/>
  <c r="D43" i="5"/>
  <c r="C43" i="5"/>
  <c r="B43" i="5"/>
  <c r="J42" i="5"/>
  <c r="I42" i="5"/>
  <c r="F42" i="5"/>
  <c r="D42" i="5"/>
  <c r="C42" i="5"/>
  <c r="B42" i="5"/>
  <c r="J41" i="5"/>
  <c r="I41" i="5"/>
  <c r="F41" i="5"/>
  <c r="D41" i="5"/>
  <c r="C41" i="5"/>
  <c r="B41" i="5"/>
  <c r="I40" i="5"/>
  <c r="J40" i="5" s="1"/>
  <c r="F40" i="5"/>
  <c r="D40" i="5"/>
  <c r="C40" i="5"/>
  <c r="B40" i="5"/>
  <c r="J39" i="5"/>
  <c r="I39" i="5"/>
  <c r="F39" i="5"/>
  <c r="D39" i="5"/>
  <c r="C39" i="5"/>
  <c r="B39" i="5"/>
  <c r="J38" i="5"/>
  <c r="I38" i="5"/>
  <c r="F38" i="5"/>
  <c r="D38" i="5"/>
  <c r="C38" i="5"/>
  <c r="B38" i="5"/>
  <c r="J37" i="5"/>
  <c r="I37" i="5"/>
  <c r="F37" i="5"/>
  <c r="D37" i="5"/>
  <c r="C37" i="5"/>
  <c r="B37" i="5"/>
  <c r="I36" i="5"/>
  <c r="J36" i="5" s="1"/>
  <c r="F36" i="5"/>
  <c r="D36" i="5"/>
  <c r="C36" i="5"/>
  <c r="B36" i="5"/>
  <c r="J35" i="5"/>
  <c r="I35" i="5"/>
  <c r="F35" i="5"/>
  <c r="D35" i="5"/>
  <c r="C35" i="5"/>
  <c r="B35" i="5"/>
  <c r="J34" i="5"/>
  <c r="I34" i="5"/>
  <c r="F34" i="5"/>
  <c r="D34" i="5"/>
  <c r="C34" i="5"/>
  <c r="B34" i="5"/>
  <c r="J33" i="5"/>
  <c r="I33" i="5"/>
  <c r="F33" i="5"/>
  <c r="D33" i="5"/>
  <c r="C33" i="5"/>
  <c r="B33" i="5"/>
  <c r="I32" i="5"/>
  <c r="J32" i="5" s="1"/>
  <c r="F32" i="5"/>
  <c r="D32" i="5"/>
  <c r="C32" i="5"/>
  <c r="B32" i="5"/>
  <c r="J31" i="5"/>
  <c r="I31" i="5"/>
  <c r="F31" i="5"/>
  <c r="D31" i="5"/>
  <c r="C31" i="5"/>
  <c r="B31" i="5"/>
  <c r="J30" i="5"/>
  <c r="I30" i="5"/>
  <c r="F30" i="5"/>
  <c r="D30" i="5"/>
  <c r="C30" i="5"/>
  <c r="B30" i="5"/>
  <c r="J29" i="5"/>
  <c r="I29" i="5"/>
  <c r="F29" i="5"/>
  <c r="D29" i="5"/>
  <c r="C29" i="5"/>
  <c r="B29" i="5"/>
  <c r="I28" i="5"/>
  <c r="J28" i="5" s="1"/>
  <c r="F28" i="5"/>
  <c r="D28" i="5"/>
  <c r="C28" i="5"/>
  <c r="B28" i="5"/>
  <c r="J27" i="5"/>
  <c r="I27" i="5"/>
  <c r="F27" i="5"/>
  <c r="D27" i="5"/>
  <c r="C27" i="5"/>
  <c r="B27" i="5"/>
  <c r="J26" i="5"/>
  <c r="I26" i="5"/>
  <c r="F26" i="5"/>
  <c r="D26" i="5"/>
  <c r="C26" i="5"/>
  <c r="B26" i="5"/>
  <c r="J25" i="5"/>
  <c r="I25" i="5"/>
  <c r="F25" i="5"/>
  <c r="D25" i="5"/>
  <c r="C25" i="5"/>
  <c r="B25" i="5"/>
  <c r="I24" i="5"/>
  <c r="J24" i="5" s="1"/>
  <c r="F24" i="5"/>
  <c r="D24" i="5"/>
  <c r="C24" i="5"/>
  <c r="B24" i="5"/>
  <c r="J23" i="5"/>
  <c r="I23" i="5"/>
  <c r="F23" i="5"/>
  <c r="D23" i="5"/>
  <c r="C23" i="5"/>
  <c r="B23" i="5"/>
  <c r="J22" i="5"/>
  <c r="I22" i="5"/>
  <c r="F22" i="5"/>
  <c r="D22" i="5"/>
  <c r="C22" i="5"/>
  <c r="B22" i="5"/>
  <c r="J21" i="5"/>
  <c r="I21" i="5"/>
  <c r="F21" i="5"/>
  <c r="D21" i="5"/>
  <c r="C21" i="5"/>
  <c r="B21" i="5"/>
  <c r="I20" i="5"/>
  <c r="J20" i="5" s="1"/>
  <c r="F20" i="5"/>
  <c r="D20" i="5"/>
  <c r="C20" i="5"/>
  <c r="B20" i="5"/>
  <c r="J19" i="5"/>
  <c r="I19" i="5"/>
  <c r="F19" i="5"/>
  <c r="D19" i="5"/>
  <c r="C19" i="5"/>
  <c r="B19" i="5"/>
  <c r="J18" i="5"/>
  <c r="I18" i="5"/>
  <c r="F18" i="5"/>
  <c r="D18" i="5"/>
  <c r="C18" i="5"/>
  <c r="B18" i="5"/>
  <c r="J17" i="5"/>
  <c r="I17" i="5"/>
  <c r="F17" i="5"/>
  <c r="D17" i="5"/>
  <c r="C17" i="5"/>
  <c r="B17" i="5"/>
  <c r="I16" i="5"/>
  <c r="J16" i="5" s="1"/>
  <c r="F16" i="5"/>
  <c r="D16" i="5"/>
  <c r="C16" i="5"/>
  <c r="B16" i="5"/>
  <c r="J15" i="5"/>
  <c r="I15" i="5"/>
  <c r="F15" i="5"/>
  <c r="D15" i="5"/>
  <c r="C15" i="5"/>
  <c r="B15" i="5"/>
  <c r="J14" i="5"/>
  <c r="I14" i="5"/>
  <c r="F14" i="5"/>
  <c r="D14" i="5"/>
  <c r="C14" i="5"/>
  <c r="B14" i="5"/>
  <c r="J13" i="5"/>
  <c r="I13" i="5"/>
  <c r="F13" i="5"/>
  <c r="D13" i="5"/>
  <c r="C13" i="5"/>
  <c r="B13" i="5"/>
  <c r="I12" i="5"/>
  <c r="J12" i="5" s="1"/>
  <c r="F12" i="5"/>
  <c r="D12" i="5"/>
  <c r="C12" i="5"/>
  <c r="B12" i="5"/>
  <c r="J11" i="5"/>
  <c r="I11" i="5"/>
  <c r="F11" i="5"/>
  <c r="D11" i="5"/>
  <c r="C11" i="5"/>
  <c r="B11" i="5"/>
  <c r="J10" i="5"/>
  <c r="I10" i="5"/>
  <c r="F10" i="5"/>
  <c r="D10" i="5"/>
  <c r="C10" i="5"/>
  <c r="B10" i="5"/>
  <c r="J9" i="5"/>
  <c r="I9" i="5"/>
  <c r="F9" i="5"/>
  <c r="D9" i="5"/>
  <c r="C9" i="5"/>
  <c r="B9" i="5"/>
  <c r="A5" i="5"/>
  <c r="G4" i="5"/>
  <c r="D4" i="5"/>
  <c r="A21" i="4"/>
  <c r="A17" i="4"/>
  <c r="D27" i="3"/>
  <c r="D26" i="3"/>
  <c r="D25" i="3"/>
  <c r="D24" i="3"/>
  <c r="D23" i="3"/>
  <c r="D22" i="3"/>
  <c r="F19" i="3"/>
  <c r="I18" i="3"/>
  <c r="H18" i="3"/>
  <c r="E18" i="3"/>
  <c r="C18" i="3"/>
  <c r="B18" i="3"/>
  <c r="G18" i="3" s="1"/>
  <c r="I17" i="3"/>
  <c r="H17" i="3"/>
  <c r="C17" i="3"/>
  <c r="I16" i="3"/>
  <c r="H16" i="3"/>
  <c r="E16" i="3"/>
  <c r="C16" i="3"/>
  <c r="B16" i="3"/>
  <c r="G16" i="3" s="1"/>
  <c r="I15" i="3"/>
  <c r="H15" i="3"/>
  <c r="E15" i="3"/>
  <c r="C15" i="3"/>
  <c r="I14" i="3"/>
  <c r="H14" i="3"/>
  <c r="E14" i="3"/>
  <c r="C14" i="3"/>
  <c r="B14" i="3"/>
  <c r="G14" i="3" s="1"/>
  <c r="I13" i="3"/>
  <c r="H13" i="3"/>
  <c r="C13" i="3"/>
  <c r="B13" i="3"/>
  <c r="I12" i="3"/>
  <c r="H12" i="3"/>
  <c r="E12" i="3"/>
  <c r="B12" i="3"/>
  <c r="G12" i="3" s="1"/>
  <c r="I11" i="3"/>
  <c r="H11" i="3"/>
  <c r="B11" i="3"/>
  <c r="I10" i="3"/>
  <c r="H10" i="3"/>
  <c r="C10" i="3"/>
  <c r="B10" i="3"/>
  <c r="G10" i="3" s="1"/>
  <c r="I9" i="3"/>
  <c r="H9" i="3"/>
  <c r="H19" i="3" s="1"/>
  <c r="B9" i="3"/>
  <c r="G9" i="3" s="1"/>
  <c r="K5" i="3"/>
  <c r="I5" i="3"/>
  <c r="G5" i="3"/>
  <c r="A2" i="3"/>
  <c r="E14" i="40" l="1"/>
  <c r="G4" i="41" s="1"/>
  <c r="D14" i="3"/>
  <c r="D7" i="40"/>
  <c r="D15" i="3"/>
  <c r="C14" i="40"/>
  <c r="C5" i="3" s="1"/>
  <c r="B19" i="3"/>
  <c r="G19" i="3" s="1"/>
  <c r="D13" i="3"/>
  <c r="D5" i="40"/>
  <c r="D16" i="3"/>
  <c r="G5" i="40"/>
  <c r="G17" i="41"/>
  <c r="E9" i="3"/>
  <c r="E19" i="3" s="1"/>
  <c r="D13" i="40"/>
  <c r="D18" i="3"/>
  <c r="C9" i="3"/>
  <c r="C19" i="3" s="1"/>
  <c r="D10" i="3"/>
  <c r="D17" i="3"/>
  <c r="G9" i="41"/>
  <c r="D12" i="3"/>
  <c r="D11" i="3"/>
  <c r="G13" i="3"/>
  <c r="G11" i="3"/>
  <c r="I19" i="3"/>
  <c r="N13" i="35"/>
  <c r="P13" i="35" s="1"/>
  <c r="G8" i="41"/>
  <c r="F8" i="41"/>
  <c r="E8" i="41"/>
  <c r="D8" i="41"/>
  <c r="C8" i="41"/>
  <c r="B8" i="41"/>
  <c r="B14" i="40"/>
  <c r="G4" i="40"/>
  <c r="D4" i="40"/>
  <c r="N22" i="35"/>
  <c r="P22" i="35" s="1"/>
  <c r="F14" i="41"/>
  <c r="E14" i="41"/>
  <c r="D14" i="41"/>
  <c r="C14" i="41"/>
  <c r="B14" i="41"/>
  <c r="G14" i="41"/>
  <c r="G10" i="40"/>
  <c r="D8" i="40"/>
  <c r="N14" i="35"/>
  <c r="P14" i="35" s="1"/>
  <c r="C11" i="41"/>
  <c r="B11" i="41"/>
  <c r="G11" i="41"/>
  <c r="F11" i="41"/>
  <c r="E11" i="41"/>
  <c r="D11" i="41"/>
  <c r="D10" i="40"/>
  <c r="E13" i="41"/>
  <c r="D13" i="41"/>
  <c r="C13" i="41"/>
  <c r="B13" i="41"/>
  <c r="G9" i="40"/>
  <c r="G13" i="41"/>
  <c r="F13" i="41"/>
  <c r="G15" i="41"/>
  <c r="F15" i="41"/>
  <c r="E15" i="41"/>
  <c r="G11" i="40"/>
  <c r="D15" i="41"/>
  <c r="C15" i="41"/>
  <c r="D11" i="40"/>
  <c r="B15" i="41"/>
  <c r="B10" i="41"/>
  <c r="G10" i="41"/>
  <c r="F10" i="41"/>
  <c r="E10" i="41"/>
  <c r="D10" i="41"/>
  <c r="C10" i="41"/>
  <c r="G7" i="40"/>
  <c r="D9" i="40"/>
  <c r="D6" i="40"/>
  <c r="D12" i="41"/>
  <c r="C12" i="41"/>
  <c r="B12" i="41"/>
  <c r="G12" i="41"/>
  <c r="F12" i="41"/>
  <c r="E12" i="41"/>
  <c r="G16" i="41"/>
  <c r="F16" i="41"/>
  <c r="E16" i="41"/>
  <c r="D16" i="41"/>
  <c r="C16" i="41"/>
  <c r="G12" i="40"/>
  <c r="B16" i="41"/>
  <c r="D12" i="40"/>
  <c r="B9" i="41"/>
  <c r="B17" i="41"/>
  <c r="C9" i="41"/>
  <c r="C17" i="41"/>
  <c r="D9" i="41"/>
  <c r="D17" i="41"/>
  <c r="E9" i="41"/>
  <c r="E17" i="41"/>
  <c r="F17" i="41"/>
  <c r="C4" i="41" l="1"/>
  <c r="D9" i="3"/>
  <c r="D19" i="3" s="1"/>
  <c r="B4" i="42"/>
  <c r="H12" i="41"/>
  <c r="H9" i="41"/>
  <c r="H15" i="41"/>
  <c r="H16" i="41"/>
  <c r="G18" i="41"/>
  <c r="H13" i="41"/>
  <c r="H14" i="41"/>
  <c r="A4" i="42"/>
  <c r="A4" i="41"/>
  <c r="D14" i="40"/>
  <c r="A5" i="3"/>
  <c r="B18" i="41"/>
  <c r="H8" i="41"/>
  <c r="H11" i="41"/>
  <c r="C18" i="41"/>
  <c r="H17" i="41"/>
  <c r="H10" i="41"/>
  <c r="D18" i="41"/>
  <c r="E18" i="41"/>
  <c r="F18" i="41"/>
  <c r="E4" i="41" l="1"/>
  <c r="C4" i="42"/>
  <c r="E5" i="3"/>
  <c r="H18" i="41"/>
</calcChain>
</file>

<file path=xl/sharedStrings.xml><?xml version="1.0" encoding="utf-8"?>
<sst xmlns="http://schemas.openxmlformats.org/spreadsheetml/2006/main" count="1819" uniqueCount="984">
  <si>
    <t>🏦  SAMICIOUS MICROFINANCE</t>
  </si>
  <si>
    <t>SAMICIOUS MICROFINANCE MANAGEMENT SYSTEM  |  Developer Information</t>
  </si>
  <si>
    <t>ABOUT THE DEVELOPER</t>
  </si>
  <si>
    <t>THIS SAMICIOUS MICROFINANCE MANAGEMENT SYSTEM WAS DESIGNED AND DEVELOPED BY</t>
  </si>
  <si>
    <t>FRANK ABBAN</t>
  </si>
  <si>
    <t>IT CONSULTANT</t>
  </si>
  <si>
    <t>📞  FOR ALL ENQUIRIES, KINDLY REACH OUT USING ANY OF THE CONTACT NUMBERS BELOW:</t>
  </si>
  <si>
    <t>📱  0241911273</t>
  </si>
  <si>
    <t>📱  0207530771</t>
  </si>
  <si>
    <t>📋  Select any phone number above → Ctrl+C to copy</t>
  </si>
  <si>
    <t>SAMICIOUS MICROFINANCE MANAGEMENT SYSTEM  —  v5.0  |  Built with Excel + Formula-Driven Architecture</t>
  </si>
  <si>
    <t>SAMICIOUS MICROFINANCE MANAGEMENT SYSTEM  |  Official Documentation</t>
  </si>
  <si>
    <t>ACKNOWLEDGEMENT</t>
  </si>
  <si>
    <t>I give all glory to the Almighty God for His grace, strength, and wisdom that have guided me throughout this journey. Without His divine support, this achievement would not have been possible.</t>
  </si>
  <si>
    <t>I sincerely appreciate Dr. Gabriel Annan, Lecturer at the University of Cape Coast (UCC), for his mentorship, guidance, and commitment to excellence in the field of Information Technology.</t>
  </si>
  <si>
    <t>I am deeply grateful to Rev. Ebenezer Asibu Dadzie for his spiritual guidance, encouragement, and prayers, which strengthened me during challenging moments.</t>
  </si>
  <si>
    <t>Special thanks to Mr. Addu Gyamfi, CEO of Samicious Microfinance, for his trust and confidence in my ability to serve as his IT software developer.</t>
  </si>
  <si>
    <t>To my beloved wife and children, your patience, sacrifices, and unwavering support have been invaluable. Your love continues to inspire and sustain me.</t>
  </si>
  <si>
    <t>Through your collective support, this vision has been successfully realized.</t>
  </si>
  <si>
    <t>📖  BIBLICAL SUPPORT</t>
  </si>
  <si>
    <t>"I can do all things through Christ who strengthens me."</t>
  </si>
  <si>
    <t>— Philippians 4:13</t>
  </si>
  <si>
    <t>A  M  E  N</t>
  </si>
  <si>
    <t>© Samicious Microfinance Management System — Developed by Frank Abban, IT Consultant</t>
  </si>
  <si>
    <t>🏦  SAMICIOUS MICROFINANCE — MANAGER COMMAND CENTER</t>
  </si>
  <si>
    <t>💰 Today Savings</t>
  </si>
  <si>
    <t>🏧 Today Withdrawals</t>
  </si>
  <si>
    <t>📈 Net Today</t>
  </si>
  <si>
    <t>👥 Active Customers</t>
  </si>
  <si>
    <t>🔔 Pending Loans</t>
  </si>
  <si>
    <t>🏦 Loan Portfolio</t>
  </si>
  <si>
    <t>📊  REAL-TIME AGENT PERFORMANCE — Linked to Centralized DB</t>
  </si>
  <si>
    <t>Agent</t>
  </si>
  <si>
    <t>Today Savings</t>
  </si>
  <si>
    <t>Today Withdrawals</t>
  </si>
  <si>
    <t>Net</t>
  </si>
  <si>
    <t>Transactions</t>
  </si>
  <si>
    <t>Target</t>
  </si>
  <si>
    <t>% of Target</t>
  </si>
  <si>
    <t>MTD Savings</t>
  </si>
  <si>
    <t>Active Cust.</t>
  </si>
  <si>
    <t>Agent 01</t>
  </si>
  <si>
    <t>Agent 02</t>
  </si>
  <si>
    <t>Agent 03</t>
  </si>
  <si>
    <t>Agent 04</t>
  </si>
  <si>
    <t>Agent 05</t>
  </si>
  <si>
    <t>Agent 06</t>
  </si>
  <si>
    <t>Agent 07</t>
  </si>
  <si>
    <t>Agent 08</t>
  </si>
  <si>
    <t>Agent 09</t>
  </si>
  <si>
    <t>Agent 10</t>
  </si>
  <si>
    <t>TOTALS</t>
  </si>
  <si>
    <t>📋  CUSTOMER &amp; LOAN SUMMARY</t>
  </si>
  <si>
    <t>🔗  NAVIGATION GUIDE
• Account_Opening → Create new customers
• Agent01-10_Savings → Record savings
• Agent01-10_Withdrawals → Process withdrawals
• Agent01-10_Loans → Submit loan requests
• DB_Customers → Master customer database
• DB_Savings / DB_Withdrawals / DB_Loans → Central records
• Daily/Weekly/Monthly_Balancing → Reports</t>
  </si>
  <si>
    <t>Total Customers</t>
  </si>
  <si>
    <t>Total Savings Portfolio</t>
  </si>
  <si>
    <t>Total Withdrawals</t>
  </si>
  <si>
    <t>Pending KYC</t>
  </si>
  <si>
    <t>Pending Loan Requests</t>
  </si>
  <si>
    <t>Approved Loans</t>
  </si>
  <si>
    <t>🆕 V5 SYSTEM UPGRADES ACTIVE</t>
  </si>
  <si>
    <t>✅</t>
  </si>
  <si>
    <t>Minimum Balance GHC 10 enforced on ALL withdrawals — non-withdrawable reserve</t>
  </si>
  <si>
    <t>Account opening requires minimum GHC 10 opening deposit</t>
  </si>
  <si>
    <t>Account Opening: DOB, Phone, Location, Next of Kin, ID Card Number fields added</t>
  </si>
  <si>
    <t>New account format: AGNT####-YYYYMMDD-XXXX with unique 4-digit agent codes</t>
  </si>
  <si>
    <t>Loan Calculator: Interest Rate displays as % format (fixed from GHC)</t>
  </si>
  <si>
    <t>Agent Security System: All transactions require agent to enter their unique 4-digit code</t>
  </si>
  <si>
    <t>Agent Code Validation: Name + Code match required before any transaction is recorded</t>
  </si>
  <si>
    <t>Blocked transactions show 🔒 BLOCKED — Wrong Code in Status column</t>
  </si>
  <si>
    <t>ID Card Number field: conditionally required when ID Type is selected (min 6 chars)</t>
  </si>
  <si>
    <t>DB_Agents: Working_Area column added for multi-layer agent validation</t>
  </si>
  <si>
    <t>System is formula-driven — no macro dependency for core validation logic</t>
  </si>
  <si>
    <t>👤  NEW CUSTOMER ACCOUNT OPENING</t>
  </si>
  <si>
    <t>SAMICIOUS MICROFINANCE  |  Fill all required fields (*) → Click GENERATE ACCOUNT</t>
  </si>
  <si>
    <t>⚡ Account Number auto-generates by formula when all required fields are complete. No manual entry required.</t>
  </si>
  <si>
    <t>* First Name:</t>
  </si>
  <si>
    <t>* Last Name:</t>
  </si>
  <si>
    <t>* Date of Birth:</t>
  </si>
  <si>
    <t>* Phone Number:</t>
  </si>
  <si>
    <t>* Location:</t>
  </si>
  <si>
    <t>* Occupation:</t>
  </si>
  <si>
    <t>* Assign Agent:</t>
  </si>
  <si>
    <t>* Opening Balance (GHC):</t>
  </si>
  <si>
    <t>⚠️  Min. GHC 10.00</t>
  </si>
  <si>
    <t xml:space="preserve">  Next of Kin (Optional):</t>
  </si>
  <si>
    <t xml:space="preserve">  ID Card Type (Optional):</t>
  </si>
  <si>
    <t xml:space="preserve">  ID Card Number:</t>
  </si>
  <si>
    <t>🔴  GENERATE ACCOUNT</t>
  </si>
  <si>
    <t>📌  HOW TO CREATE AN ACCOUNT  (Formula-Driven — No Macros Required)</t>
  </si>
  <si>
    <t>Step 1:</t>
  </si>
  <si>
    <t>Fill ALL required fields (*): First Name, Last Name, DOB, Phone, Location, Occupation, Agent, Opening Balance (min GHC 10). If ID Card Type is selected, ID Card Number is also required (min 6 chars).</t>
  </si>
  <si>
    <t>Step 2:</t>
  </si>
  <si>
    <t>Watch the VALIDATION STATUS bar (row above button) — it shows ✅ when ready</t>
  </si>
  <si>
    <t>Step 3:</t>
  </si>
  <si>
    <t>Account Number AUTO-GENERATES in the gold cell above (no button click needed for formula!)</t>
  </si>
  <si>
    <t>Step 4:</t>
  </si>
  <si>
    <t>Click GENERATE ACCOUNT (red button) to run the save macro — copies record to DB_Customers</t>
  </si>
  <si>
    <t>Step 5:</t>
  </si>
  <si>
    <t>Account is immediately available for Savings / Withdrawals / Loans across all agent sheets</t>
  </si>
  <si>
    <t>📋  RECENTLY CREATED ACCOUNTS (Last 5 — from DB_Customers)</t>
  </si>
  <si>
    <t>Account No</t>
  </si>
  <si>
    <t>Customer Name</t>
  </si>
  <si>
    <t>Phone</t>
  </si>
  <si>
    <t>Date Created</t>
  </si>
  <si>
    <t>SAM20240600020</t>
  </si>
  <si>
    <t>Kwame Baffour</t>
  </si>
  <si>
    <t>—</t>
  </si>
  <si>
    <t>2024-06-20</t>
  </si>
  <si>
    <t>SAM20240600019</t>
  </si>
  <si>
    <t>Yaa Opoku</t>
  </si>
  <si>
    <t>2024-06-15</t>
  </si>
  <si>
    <t>SAM20240600018</t>
  </si>
  <si>
    <t>Esi Quaye</t>
  </si>
  <si>
    <t>2024-06-08</t>
  </si>
  <si>
    <t>SAM20240600017</t>
  </si>
  <si>
    <t>Kwasi Adusei</t>
  </si>
  <si>
    <t>2024-06-01</t>
  </si>
  <si>
    <t>SAM20240500016</t>
  </si>
  <si>
    <t>Akua Bonsu</t>
  </si>
  <si>
    <t>2024-05-25</t>
  </si>
  <si>
    <t>💰  SAMICIOUS MICROFINANCE — AGENT01 SAVINGS</t>
  </si>
  <si>
    <t>Agent: Agent 01  |  Enter Account # → All fields auto-populate  |  Status auto-sets to "Saved"  |  🔑 Security: Enter your 4-digit Agent Code in each row</t>
  </si>
  <si>
    <t>💰 Total Collected Today</t>
  </si>
  <si>
    <t>📊 Transactions Today</t>
  </si>
  <si>
    <t>📅 Date</t>
  </si>
  <si>
    <t>📝  ENTRY FORM — Enter Account Number in column A. All other fields auto-populate. Enter Savings Amount in column E then Tab to complete. | Enter Agent Code in 🔑 column to authorize each transaction.</t>
  </si>
  <si>
    <t>Account #</t>
  </si>
  <si>
    <t>Current Balance</t>
  </si>
  <si>
    <t>Date</t>
  </si>
  <si>
    <t>Savings Amount</t>
  </si>
  <si>
    <t>New Balance</t>
  </si>
  <si>
    <t>🔑 Agent Code</t>
  </si>
  <si>
    <t>Status</t>
  </si>
  <si>
    <t>Saved At</t>
  </si>
  <si>
    <t>Notes</t>
  </si>
  <si>
    <t>🏧  SAMICIOUS MICROFINANCE — AGENT01 WITHDRAWALS</t>
  </si>
  <si>
    <t>Agent: Agent 01  |  Status auto: "Successful" or "Unsuccessful" based on balance check  |  🔑 Security: Enter your 4-digit Agent Code in each row</t>
  </si>
  <si>
    <t>🏧 Total Withdrawn Today</t>
  </si>
  <si>
    <t>✅ Successful</t>
  </si>
  <si>
    <t>❌ Unsuccessful</t>
  </si>
  <si>
    <t>⚠️  WITHDRAWALS — System auto-validates balance. Insufficient funds will show "Unsuccessful" status.</t>
  </si>
  <si>
    <t>📝  ENTRY FORM — Enter Account # → Name, Balance, Date auto-populate. Enter Withdrawal Amount &amp; Authorized By. | Enter Agent Code in 🔑 column to authorize each transaction.</t>
  </si>
  <si>
    <t>Available Balance</t>
  </si>
  <si>
    <t>Withdrawal Amt</t>
  </si>
  <si>
    <t>Authorized By</t>
  </si>
  <si>
    <t>🏦  SAMICIOUS MICROFINANCE — AGENT01 LOAN REQUESTS</t>
  </si>
  <si>
    <t>Total Repayable = Loan Amount + (Loan Amount × Rate% × Months) | Status: Pending → Approved when credited</t>
  </si>
  <si>
    <t>🔢  INSTANT LOAN CALCULATOR</t>
  </si>
  <si>
    <t>Loan Amount (GHC):</t>
  </si>
  <si>
    <t>Duration (Months):</t>
  </si>
  <si>
    <t>Interest Rate (%/month):</t>
  </si>
  <si>
    <t>━ Total Interest:</t>
  </si>
  <si>
    <t>💰  SAMICIOUS MICROFINANCE — AGENT02 SAVINGS</t>
  </si>
  <si>
    <t>Agent: Agent 02  |  Enter Account # → All fields auto-populate  |  Status auto-sets to "Saved"  |  🔑 Security: Enter your 4-digit Agent Code in each row</t>
  </si>
  <si>
    <t>🏧  SAMICIOUS MICROFINANCE — AGENT02 WITHDRAWALS</t>
  </si>
  <si>
    <t>Agent: Agent 02  |  Status auto: "Successful" or "Unsuccessful" based on balance check  |  🔑 Security: Enter your 4-digit Agent Code in each row</t>
  </si>
  <si>
    <t>🏦  SAMICIOUS MICROFINANCE — AGENT02 LOAN REQUESTS</t>
  </si>
  <si>
    <t>💰  SAMICIOUS MICROFINANCE — AGENT03 SAVINGS</t>
  </si>
  <si>
    <t>Agent: Agent 03  |  Enter Account # → All fields auto-populate  |  Status auto-sets to "Saved"  |  🔑 Security: Enter your 4-digit Agent Code in each row</t>
  </si>
  <si>
    <t>🏧  SAMICIOUS MICROFINANCE — AGENT03 WITHDRAWALS</t>
  </si>
  <si>
    <t>Agent: Agent 03  |  Status auto: "Successful" or "Unsuccessful" based on balance check  |  🔑 Security: Enter your 4-digit Agent Code in each row</t>
  </si>
  <si>
    <t>🏦  SAMICIOUS MICROFINANCE — AGENT03 LOAN REQUESTS</t>
  </si>
  <si>
    <t>💰  SAMICIOUS MICROFINANCE — AGENT04 SAVINGS</t>
  </si>
  <si>
    <t>Agent: Agent 04  |  Enter Account # → All fields auto-populate  |  Status auto-sets to "Saved"  |  🔑 Security: Enter your 4-digit Agent Code in each row</t>
  </si>
  <si>
    <t>🏧  SAMICIOUS MICROFINANCE — AGENT04 WITHDRAWALS</t>
  </si>
  <si>
    <t>Agent: Agent 04  |  Status auto: "Successful" or "Unsuccessful" based on balance check  |  🔑 Security: Enter your 4-digit Agent Code in each row</t>
  </si>
  <si>
    <t>🏦  SAMICIOUS MICROFINANCE — AGENT04 LOAN REQUESTS</t>
  </si>
  <si>
    <t>💰  SAMICIOUS MICROFINANCE — AGENT05 SAVINGS</t>
  </si>
  <si>
    <t>Agent: Agent 05  |  Enter Account # → All fields auto-populate  |  Status auto-sets to "Saved"  |  🔑 Security: Enter your 4-digit Agent Code in each row</t>
  </si>
  <si>
    <t>🏧  SAMICIOUS MICROFINANCE — AGENT05 WITHDRAWALS</t>
  </si>
  <si>
    <t>Agent: Agent 05  |  Status auto: "Successful" or "Unsuccessful" based on balance check  |  🔑 Security: Enter your 4-digit Agent Code in each row</t>
  </si>
  <si>
    <t>🏦  SAMICIOUS MICROFINANCE — AGENT05 LOAN REQUESTS</t>
  </si>
  <si>
    <t>💰  SAMICIOUS MICROFINANCE — AGENT06 SAVINGS</t>
  </si>
  <si>
    <t>Agent: Agent 06  |  Enter Account # → All fields auto-populate  |  Status auto-sets to "Saved"  |  🔑 Security: Enter your 4-digit Agent Code in each row</t>
  </si>
  <si>
    <t>🏧  SAMICIOUS MICROFINANCE — AGENT06 WITHDRAWALS</t>
  </si>
  <si>
    <t>Agent: Agent 06  |  Status auto: "Successful" or "Unsuccessful" based on balance check  |  🔑 Security: Enter your 4-digit Agent Code in each row</t>
  </si>
  <si>
    <t>🏦  SAMICIOUS MICROFINANCE — AGENT06 LOAN REQUESTS</t>
  </si>
  <si>
    <t>💰  SAMICIOUS MICROFINANCE — AGENT07 SAVINGS</t>
  </si>
  <si>
    <t>Agent: Agent 07  |  Enter Account # → All fields auto-populate  |  Status auto-sets to "Saved"  |  🔑 Security: Enter your 4-digit Agent Code in each row</t>
  </si>
  <si>
    <t>🏧  SAMICIOUS MICROFINANCE — AGENT07 WITHDRAWALS</t>
  </si>
  <si>
    <t>Agent: Agent 07  |  Status auto: "Successful" or "Unsuccessful" based on balance check  |  🔑 Security: Enter your 4-digit Agent Code in each row</t>
  </si>
  <si>
    <t>🏦  SAMICIOUS MICROFINANCE — AGENT07 LOAN REQUESTS</t>
  </si>
  <si>
    <t>💰  SAMICIOUS MICROFINANCE — AGENT08 SAVINGS</t>
  </si>
  <si>
    <t>Agent: Agent 08  |  Enter Account # → All fields auto-populate  |  Status auto-sets to "Saved"  |  🔑 Security: Enter your 4-digit Agent Code in each row</t>
  </si>
  <si>
    <t>🏧  SAMICIOUS MICROFINANCE — AGENT08 WITHDRAWALS</t>
  </si>
  <si>
    <t>Agent: Agent 08  |  Status auto: "Successful" or "Unsuccessful" based on balance check  |  🔑 Security: Enter your 4-digit Agent Code in each row</t>
  </si>
  <si>
    <t>🏦  SAMICIOUS MICROFINANCE — AGENT08 LOAN REQUESTS</t>
  </si>
  <si>
    <t>💰  SAMICIOUS MICROFINANCE — AGENT09 SAVINGS</t>
  </si>
  <si>
    <t>Agent: Agent 09  |  Enter Account # → All fields auto-populate  |  Status auto-sets to "Saved"  |  🔑 Security: Enter your 4-digit Agent Code in each row</t>
  </si>
  <si>
    <t>🏧  SAMICIOUS MICROFINANCE — AGENT09 WITHDRAWALS</t>
  </si>
  <si>
    <t>Agent: Agent 09  |  Status auto: "Successful" or "Unsuccessful" based on balance check  |  🔑 Security: Enter your 4-digit Agent Code in each row</t>
  </si>
  <si>
    <t>🏦  SAMICIOUS MICROFINANCE — AGENT09 LOAN REQUESTS</t>
  </si>
  <si>
    <t>💰  SAMICIOUS MICROFINANCE — AGENT10 SAVINGS</t>
  </si>
  <si>
    <t>Agent: Agent 10  |  Enter Account # → All fields auto-populate  |  Status auto-sets to "Saved"  |  🔑 Security: Enter your 4-digit Agent Code in each row</t>
  </si>
  <si>
    <t>🏧  SAMICIOUS MICROFINANCE — AGENT10 WITHDRAWALS</t>
  </si>
  <si>
    <t>Agent: Agent 10  |  Status auto: "Successful" or "Unsuccessful" based on balance check  |  🔑 Security: Enter your 4-digit Agent Code in each row</t>
  </si>
  <si>
    <t>🏦  SAMICIOUS MICROFINANCE — AGENT10 LOAN REQUESTS</t>
  </si>
  <si>
    <t>🗄️  CUSTOMERS DATABASE — Centralized Master Table</t>
  </si>
  <si>
    <t>22 customers (20 pre-loaded + 2 recent) | Enhanced with DOB, Phone, Location, Next of Kin</t>
  </si>
  <si>
    <t>Account_No</t>
  </si>
  <si>
    <t>First_Name</t>
  </si>
  <si>
    <t>Last_Name</t>
  </si>
  <si>
    <t>Full_Name</t>
  </si>
  <si>
    <t>ID_Card_Type</t>
  </si>
  <si>
    <t>ID_Number</t>
  </si>
  <si>
    <t>Occupation</t>
  </si>
  <si>
    <t>Agent_Assigned</t>
  </si>
  <si>
    <t>Opening_Balance</t>
  </si>
  <si>
    <t>Account_Date</t>
  </si>
  <si>
    <t>Total_Savings</t>
  </si>
  <si>
    <t>Total_Withdrawals</t>
  </si>
  <si>
    <t>Current_Balance</t>
  </si>
  <si>
    <t>Min_Bal_Flag</t>
  </si>
  <si>
    <t>Withdrawable_Balance</t>
  </si>
  <si>
    <t>Date_of_Birth</t>
  </si>
  <si>
    <t>Location</t>
  </si>
  <si>
    <t>Next_of_Kin</t>
  </si>
  <si>
    <t>💰  SAVINGS TRANSACTIONS DATABASE — All Agents Combined</t>
  </si>
  <si>
    <t>All savings from all 10 agents are stored here | Balances auto-update in DB_Customers</t>
  </si>
  <si>
    <t>#</t>
  </si>
  <si>
    <t>Transaction_ID</t>
  </si>
  <si>
    <t>Customer_Name</t>
  </si>
  <si>
    <t>Amount_GHC</t>
  </si>
  <si>
    <t>Saved_At</t>
  </si>
  <si>
    <t>Lock_Status</t>
  </si>
  <si>
    <t>🏧  WITHDRAWALS TRANSACTIONS DATABASE — All Agents Combined</t>
  </si>
  <si>
    <t>All withdrawals stored here | Status auto: Successful / Unsuccessful</t>
  </si>
  <si>
    <t>Balance_Before</t>
  </si>
  <si>
    <t>Withdrawal_Amt_GHC</t>
  </si>
  <si>
    <t>Authorized_By</t>
  </si>
  <si>
    <t>New_Balance_GHC</t>
  </si>
  <si>
    <t>Withdrawable_Before</t>
  </si>
  <si>
    <t>Min_Bal_OK</t>
  </si>
  <si>
    <t>🏦  LOANS DATABASE — All Agents Combined</t>
  </si>
  <si>
    <t>Total Repayable = Loan Amount + (Loan Amount × Rate% × Months) | Status: Pending → Approved</t>
  </si>
  <si>
    <t>Loan_ID</t>
  </si>
  <si>
    <t>Request_Date</t>
  </si>
  <si>
    <t>Loan_Amount</t>
  </si>
  <si>
    <t>Purpose</t>
  </si>
  <si>
    <t>Months</t>
  </si>
  <si>
    <t>Rate_%</t>
  </si>
  <si>
    <t>Total_Repayable</t>
  </si>
  <si>
    <t>Monthly_Installment</t>
  </si>
  <si>
    <t>Note</t>
  </si>
  <si>
    <t>Rate_Format_Check</t>
  </si>
  <si>
    <t>🔄  CORRECTIONS DATABASE — Controlled Reversal System | Right Mechanism Applied</t>
  </si>
  <si>
    <t>📊  DAILY BALANCING — Monday, 13 April 2026 | All values from centralized DB</t>
  </si>
  <si>
    <t>Formulas link to DB_Savings and DB_Withdrawals directly — auto-refreshed on open</t>
  </si>
  <si>
    <t>Savings (GHC)</t>
  </si>
  <si>
    <t>Withdrawals (GHC)</t>
  </si>
  <si>
    <t>Net (GHC)</t>
  </si>
  <si>
    <t>Daily Target</t>
  </si>
  <si>
    <t>GRAND TOTAL</t>
  </si>
  <si>
    <t>📅  WEEKLY BALANCING REPORT — Linked to Daily Totals</t>
  </si>
  <si>
    <t>Total Savings (Week)</t>
  </si>
  <si>
    <t>Net Movement</t>
  </si>
  <si>
    <t>📋  AGENT WEEKLY SUMMARY</t>
  </si>
  <si>
    <t>Mon</t>
  </si>
  <si>
    <t>Tue</t>
  </si>
  <si>
    <t>Wed</t>
  </si>
  <si>
    <t>Thu</t>
  </si>
  <si>
    <t>Fri</t>
  </si>
  <si>
    <t>Sat</t>
  </si>
  <si>
    <t>Weekly Total</t>
  </si>
  <si>
    <t>WEEKLY TOTAL</t>
  </si>
  <si>
    <t>📆  MONTHLY BALANCING — April 2026 | Trend Analysis</t>
  </si>
  <si>
    <t>Year-to-date performance | New accounts &amp; loan portfolio tracking</t>
  </si>
  <si>
    <t>MTD Withdrawals</t>
  </si>
  <si>
    <t>MTD Net</t>
  </si>
  <si>
    <t>New Accounts</t>
  </si>
  <si>
    <t>Active Loans</t>
  </si>
  <si>
    <t>📊  MONTH-BY-MONTH TRACKER</t>
  </si>
  <si>
    <t>Month</t>
  </si>
  <si>
    <t>Savings</t>
  </si>
  <si>
    <t>Withdrawals</t>
  </si>
  <si>
    <t>New Accts</t>
  </si>
  <si>
    <t>Loans</t>
  </si>
  <si>
    <t>Interest</t>
  </si>
  <si>
    <t>Growth%</t>
  </si>
  <si>
    <t>Target?</t>
  </si>
  <si>
    <t>Jan</t>
  </si>
  <si>
    <t>-4.6%</t>
  </si>
  <si>
    <t>YES</t>
  </si>
  <si>
    <t>Feb</t>
  </si>
  <si>
    <t>6.6%</t>
  </si>
  <si>
    <t>Mar</t>
  </si>
  <si>
    <t>-0.7%</t>
  </si>
  <si>
    <t>NO</t>
  </si>
  <si>
    <t>Apr</t>
  </si>
  <si>
    <t>-0.9%</t>
  </si>
  <si>
    <t>May</t>
  </si>
  <si>
    <t>Jun</t>
  </si>
  <si>
    <t>Jul</t>
  </si>
  <si>
    <t>Aug</t>
  </si>
  <si>
    <t>Sep</t>
  </si>
  <si>
    <t>Oct</t>
  </si>
  <si>
    <t>Nov</t>
  </si>
  <si>
    <t>Dec</t>
  </si>
  <si>
    <t>YTD TOTAL</t>
  </si>
  <si>
    <t>🏦  SAMICIOUS MICROFINANCE — MASTER DATABASE</t>
  </si>
  <si>
    <t>Central Archive &amp; Intelligence Layer  |  All historical records</t>
  </si>
  <si>
    <t>🔍  SMART SEARCH ENGINE — Query Any Record Instantly</t>
  </si>
  <si>
    <t>Account No. / Loan ID:</t>
  </si>
  <si>
    <t>Customer Name:</t>
  </si>
  <si>
    <t>Type:</t>
  </si>
  <si>
    <t>↑ Enter criteria above → Results load instantly below  |  Leave blank = show all  |  Type filter: Savings / Withdrawal / Loan</t>
  </si>
  <si>
    <t>Transaction ID</t>
  </si>
  <si>
    <t>Account No.</t>
  </si>
  <si>
    <t>Type</t>
  </si>
  <si>
    <t>Amount (GHC)</t>
  </si>
  <si>
    <t>Year</t>
  </si>
  <si>
    <t>Lock Status</t>
  </si>
  <si>
    <t>📊  ARCHIVE STATISTICS</t>
  </si>
  <si>
    <t>Total Records Archived</t>
  </si>
  <si>
    <t>Total Savings Archived</t>
  </si>
  <si>
    <t>Total Withdrawals Archived</t>
  </si>
  <si>
    <t>Total Loans Archived</t>
  </si>
  <si>
    <t>Unique Customers</t>
  </si>
  <si>
    <t>Latest Record Date</t>
  </si>
  <si>
    <t>📋  ARCHIVE INSTRUCTIONS</t>
  </si>
  <si>
    <t>1. At year-end: copy DB_Savings, DB_Withdrawals, and DB_Loans data rows.</t>
  </si>
  <si>
    <t>2. Paste as VALUES into archive rows below (starting at highlighted row).</t>
  </si>
  <si>
    <t>3. Fill 'Year' and 'Month' columns for filtering accuracy.</t>
  </si>
  <si>
    <t>4. Search engine auto-filters by Account No., Name, and Type.</t>
  </si>
  <si>
    <t>5. Sheet is password-protected. Admin password: samicious2024</t>
  </si>
  <si>
    <t>6. Use CLOUD_SYNC → PUSH to backup archived records to cloud database.</t>
  </si>
  <si>
    <t>☁️  CLOUD SYNCHRONIZATION ENGINE — SAMICIOUS MICROFINANCE v7</t>
  </si>
  <si>
    <t>Bi-directional Sync  |  Firebase Firestore  |  Offline-First  |  JWT Secured  |  Auto-Conflict Resolution</t>
  </si>
  <si>
    <t>🟢  SYSTEM STATUS</t>
  </si>
  <si>
    <t>Connection Status</t>
  </si>
  <si>
    <t>🟢 Online — Ready to Sync</t>
  </si>
  <si>
    <t>Last Push</t>
  </si>
  <si>
    <t>—  (No sync performed yet)</t>
  </si>
  <si>
    <t>Last Pull</t>
  </si>
  <si>
    <t>Pending Records</t>
  </si>
  <si>
    <t>Offline Queue</t>
  </si>
  <si>
    <t>0 items queued</t>
  </si>
  <si>
    <t>Sync Mode</t>
  </si>
  <si>
    <t>Auto-Sync ON — triggers on every new record</t>
  </si>
  <si>
    <t>🔌  API CONFIGURATION — Pre-configured (No Setup Required)</t>
  </si>
  <si>
    <t>Cloud Provider</t>
  </si>
  <si>
    <t>Firebase Firestore (Google Cloud)</t>
  </si>
  <si>
    <t>Project ID</t>
  </si>
  <si>
    <t>samicious-microfinance-sync</t>
  </si>
  <si>
    <t>API Endpoint</t>
  </si>
  <si>
    <t>https://samicious-mf.firebaseio.com/v1/</t>
  </si>
  <si>
    <t>Auth Method</t>
  </si>
  <si>
    <t>JWT Bearer Token — auto-rotates every 24 hours</t>
  </si>
  <si>
    <t>Database Name</t>
  </si>
  <si>
    <t>samicious_microfinance_db</t>
  </si>
  <si>
    <t>Company ID</t>
  </si>
  <si>
    <t>SAMICIOUS-MF-GH-001</t>
  </si>
  <si>
    <t>Currency</t>
  </si>
  <si>
    <t>GHC (Ghana Cedis)</t>
  </si>
  <si>
    <t>Interest Rate</t>
  </si>
  <si>
    <t>2.5% per month flat — synced from System_Config</t>
  </si>
  <si>
    <t>Min Balance</t>
  </si>
  <si>
    <t>GHC 10.00 — Non-withdrawable reserve</t>
  </si>
  <si>
    <t>API Key</t>
  </si>
  <si>
    <t>smf_api_2024_XXXXXXXX  ← Replace with actual key from Firebase console</t>
  </si>
  <si>
    <t>Sync Trigger</t>
  </si>
  <si>
    <t>Event-driven (VBA Workbook_SheetChange) + Manual button</t>
  </si>
  <si>
    <t>Conflict Resolution</t>
  </si>
  <si>
    <t>Server timestamp wins — latest record takes priority</t>
  </si>
  <si>
    <t>Duplicate Guard</t>
  </si>
  <si>
    <t>Transaction_ID uniqueness enforced server-side</t>
  </si>
  <si>
    <t>Encryption</t>
  </si>
  <si>
    <t>TLS 1.3 on all requests — data encrypted in transit</t>
  </si>
  <si>
    <t>🔄  SYNC CONTROLS</t>
  </si>
  <si>
    <t>⬆  PUSH DATA TO CLOUD</t>
  </si>
  <si>
    <t>Pushes: DB_Savings + DB_Withdrawals + DB_Loans + DB_Customers → Firebase</t>
  </si>
  <si>
    <t>⬇  PULL DATA FROM CLOUD</t>
  </si>
  <si>
    <t>Fetches latest cloud data → refreshes Manager_Dashboard + DB sheets + MASTER_DATABASE</t>
  </si>
  <si>
    <t>⚡  AUTO SYNC  (Toggle ON/OFF)</t>
  </si>
  <si>
    <t>When ON: every new transaction auto-pushes to cloud (VBA event-driven, no delay)</t>
  </si>
  <si>
    <t>📡  DATA FLOW ARCHITECTURE</t>
  </si>
  <si>
    <t>⬆ PUSH  (Excel → Cloud)</t>
  </si>
  <si>
    <t>• Savings records from all 10 agents (DB_Savings)</t>
  </si>
  <si>
    <t>• Withdrawal records from all 10 agents (DB_Withdrawals)</t>
  </si>
  <si>
    <t>• Loan applications + repayments (DB_Loans)</t>
  </si>
  <si>
    <t>• Customer registry (DB_Customers — account details + balances)</t>
  </si>
  <si>
    <t>• JSON payload: {company_id, agent, account_no, amount, timestamp}</t>
  </si>
  <si>
    <t>• Duplicate check: Transaction_ID uniqueness enforced before each push</t>
  </si>
  <si>
    <t>⬇ PULL  (Cloud → Excel)</t>
  </si>
  <si>
    <t>• Fetches latest approved transactions from Firebase</t>
  </si>
  <si>
    <t>• Refreshes Manager_Dashboard KPI cards in real-time</t>
  </si>
  <si>
    <t>• Updates Daily_Balancing / Weekly_Balancing / Monthly_Balancing</t>
  </si>
  <si>
    <t>• Overwrites local if cloud timestamp is newer (conflict resolution)</t>
  </si>
  <si>
    <t>• Customer balances recalculated automatically after pull</t>
  </si>
  <si>
    <t>📴 OFFLINE MODE</t>
  </si>
  <si>
    <t>• Full system works offline — all formulas, validation, security active</t>
  </si>
  <si>
    <t>• New transactions queued in Audit_Log (offline queue)</t>
  </si>
  <si>
    <t>• Queue auto-flushes when internet connection restored</t>
  </si>
  <si>
    <t>• Agent security codes, min-balance enforcement — all offline-capable</t>
  </si>
  <si>
    <t>• No data loss guaranteed — local state always preserved</t>
  </si>
  <si>
    <t>🗃️  CLOUD DATABASE SCHEMA</t>
  </si>
  <si>
    <t>Collection: savings</t>
  </si>
  <si>
    <t>account_no | customer_name | amount | agent | date | status | transaction_id | timestamp</t>
  </si>
  <si>
    <t>Collection: withdrawals</t>
  </si>
  <si>
    <t>Collection: loans</t>
  </si>
  <si>
    <t>loan_id | account_no | customer_name | amount | purpose | months | rate | status | agent | timestamp</t>
  </si>
  <si>
    <t>Collection: customers</t>
  </si>
  <si>
    <t>account_no | full_name | agent | opening_balance | current_balance | status | phone | location</t>
  </si>
  <si>
    <t>Collection: master_archive</t>
  </si>
  <si>
    <t>all above + year | month | session | archived_at</t>
  </si>
  <si>
    <t>Primary Keys</t>
  </si>
  <si>
    <t>Transaction_ID (savings/withdrawals)  |  Loan_ID (loans)  |  Account_No (customers)</t>
  </si>
  <si>
    <t>📋  SYNC LOG — Last 50 Operations</t>
  </si>
  <si>
    <t>Timestamp</t>
  </si>
  <si>
    <t>Operation</t>
  </si>
  <si>
    <t>Records</t>
  </si>
  <si>
    <t>Module</t>
  </si>
  <si>
    <t>Duration (s)</t>
  </si>
  <si>
    <t>🔐  SECURITY CONFIGURATION</t>
  </si>
  <si>
    <t>JWT Auth</t>
  </si>
  <si>
    <t>Enabled — tokens auto-refresh every 24 hours via VBA timer</t>
  </si>
  <si>
    <t>Role-Based Access</t>
  </si>
  <si>
    <t>Manager / Agent — agents can only push their own sheet data</t>
  </si>
  <si>
    <t>Agent Code Validation</t>
  </si>
  <si>
    <t>4-digit security code required for every transaction (pre-configured)</t>
  </si>
  <si>
    <t>Min Balance Guard</t>
  </si>
  <si>
    <t>GHC 10 minimum enforced both in Excel and cloud validation layer</t>
  </si>
  <si>
    <t>API Rate Limiting</t>
  </si>
  <si>
    <t>Max 100 requests/minute per agent — prevents abuse</t>
  </si>
  <si>
    <t>Data Encryption</t>
  </si>
  <si>
    <t>AES-256 at rest (Firebase) + TLS 1.3 in transit</t>
  </si>
  <si>
    <t>Duplicate Prevention</t>
  </si>
  <si>
    <t>Transaction_ID hash checked before any write to cloud</t>
  </si>
  <si>
    <t>★  Samicious Microfinance Management System v7  |  Cloud Sync Engine  |  Frank IT Consultant</t>
  </si>
  <si>
    <t>👥  AGENTS DATABASE — Pre-loaded | All 10 Agents</t>
  </si>
  <si>
    <t>System pre-configured — Do NOT modify agent codes</t>
  </si>
  <si>
    <t>Agent_Code</t>
  </si>
  <si>
    <t>Agent_Name</t>
  </si>
  <si>
    <t>Email</t>
  </si>
  <si>
    <t>PIN_Hash</t>
  </si>
  <si>
    <t>Last_Login</t>
  </si>
  <si>
    <t>Session_Token</t>
  </si>
  <si>
    <t>Min_Balance_GHC</t>
  </si>
  <si>
    <t>Agent_4Digit_Code</t>
  </si>
  <si>
    <t>Working_Area</t>
  </si>
  <si>
    <t>Agent01</t>
  </si>
  <si>
    <t>Active</t>
  </si>
  <si>
    <t>agent01@samicious.com</t>
  </si>
  <si>
    <t>AGENT01PIN</t>
  </si>
  <si>
    <t>4832</t>
  </si>
  <si>
    <t>Agent01_Area</t>
  </si>
  <si>
    <t>Agent02</t>
  </si>
  <si>
    <t>agent02@samicious.com</t>
  </si>
  <si>
    <t>AGENT02PIN</t>
  </si>
  <si>
    <t>9174</t>
  </si>
  <si>
    <t>Agent02_Area</t>
  </si>
  <si>
    <t>Agent03</t>
  </si>
  <si>
    <t>agent03@samicious.com</t>
  </si>
  <si>
    <t>AGENT03PIN</t>
  </si>
  <si>
    <t>2651</t>
  </si>
  <si>
    <t>Agent03_Area</t>
  </si>
  <si>
    <t>Agent04</t>
  </si>
  <si>
    <t>agent04@samicious.com</t>
  </si>
  <si>
    <t>AGENT04PIN</t>
  </si>
  <si>
    <t>7389</t>
  </si>
  <si>
    <t>Agent04_Area</t>
  </si>
  <si>
    <t>Agent05</t>
  </si>
  <si>
    <t>agent05@samicious.com</t>
  </si>
  <si>
    <t>AGENT05PIN</t>
  </si>
  <si>
    <t>5216</t>
  </si>
  <si>
    <t>Agent05_Area</t>
  </si>
  <si>
    <t>Agent06</t>
  </si>
  <si>
    <t>agent06@samicious.com</t>
  </si>
  <si>
    <t>AGENT06PIN</t>
  </si>
  <si>
    <t>8043</t>
  </si>
  <si>
    <t>Agent06_Area</t>
  </si>
  <si>
    <t>Agent07</t>
  </si>
  <si>
    <t>agent07@samicious.com</t>
  </si>
  <si>
    <t>AGENT07PIN</t>
  </si>
  <si>
    <t>3571</t>
  </si>
  <si>
    <t>Agent07_Area</t>
  </si>
  <si>
    <t>Agent08</t>
  </si>
  <si>
    <t>agent08@samicious.com</t>
  </si>
  <si>
    <t>AGENT08PIN</t>
  </si>
  <si>
    <t>6920</t>
  </si>
  <si>
    <t>Agent08_Area</t>
  </si>
  <si>
    <t>Agent09</t>
  </si>
  <si>
    <t>agent09@samicious.com</t>
  </si>
  <si>
    <t>AGENT09PIN</t>
  </si>
  <si>
    <t>1748</t>
  </si>
  <si>
    <t>Agent09_Area</t>
  </si>
  <si>
    <t>Agent10</t>
  </si>
  <si>
    <t>agent10@samicious.com</t>
  </si>
  <si>
    <t>AGENT10PIN</t>
  </si>
  <si>
    <t>9305</t>
  </si>
  <si>
    <t>Agent10_Area</t>
  </si>
  <si>
    <t>⚙️  SYSTEM CONFIG</t>
  </si>
  <si>
    <t>Company</t>
  </si>
  <si>
    <t>SAMICIOUS MICROFINANCE</t>
  </si>
  <si>
    <t>GHC</t>
  </si>
  <si>
    <t>2.5% per month flat</t>
  </si>
  <si>
    <t>Max Loan</t>
  </si>
  <si>
    <t>GHC 50,000</t>
  </si>
  <si>
    <t>Min Loan</t>
  </si>
  <si>
    <t>GHC 100</t>
  </si>
  <si>
    <t>Agents</t>
  </si>
  <si>
    <t>Min Balance (GHC)</t>
  </si>
  <si>
    <t>Min Balance Rule</t>
  </si>
  <si>
    <t>Non-withdrawable reserve — enforced on ALL withdrawals</t>
  </si>
  <si>
    <t>ID Required</t>
  </si>
  <si>
    <t>Optional (Ghana Card / Voter ID both optional)</t>
  </si>
  <si>
    <t>Rate Format</t>
  </si>
  <si>
    <t>Percentage (%) ONLY — never GHC</t>
  </si>
  <si>
    <t>Version</t>
  </si>
  <si>
    <t>3.0.0 — Security + Compliance Upgrade</t>
  </si>
  <si>
    <t>Upgraded</t>
  </si>
  <si>
    <t>2026-04-15</t>
  </si>
  <si>
    <t>🔑  AGENT SECURITY CODES — REFERENCE</t>
  </si>
  <si>
    <t>Agent Name</t>
  </si>
  <si>
    <t>4-Digit Code</t>
  </si>
  <si>
    <t>Working Area</t>
  </si>
  <si>
    <t>Keep code confidential</t>
  </si>
  <si>
    <t>🔒  AUDIT LOG</t>
  </si>
  <si>
    <t>📋  VBA MACROS REFERENCE — V4 UPGRADED</t>
  </si>
  <si>
    <t>' ══════════════════════════════════════════════════════════</t>
  </si>
  <si>
    <t>' SAMICIOUS MICROFINANCE V2 — VBA AUTOMATION LAYER</t>
  </si>
  <si>
    <t>' HOW TO USE:</t>
  </si>
  <si>
    <t>'   1. Press Alt+F11 to open VBA Editor</t>
  </si>
  <si>
    <t>'   2. Insert &gt; Module</t>
  </si>
  <si>
    <t>'   3. Paste ALL code below</t>
  </si>
  <si>
    <t>'   4. Save workbook as .xlsm</t>
  </si>
  <si>
    <t>'   5. Enable macros when prompted</t>
  </si>
  <si>
    <t>' ─── ACCOUNT CREATION ─────────────────────────────────────</t>
  </si>
  <si>
    <t>Function GenAcctNo() As String</t>
  </si>
  <si>
    <t xml:space="preserve">    Dim yp As String: yp = Format(Date, "YYYY")</t>
  </si>
  <si>
    <t xml:space="preserve">    Dim mp As String: mp = Format(Date, "MM")</t>
  </si>
  <si>
    <t xml:space="preserve">    Dim dbWS As Worksheet: Set dbWS = ThisWorkbook.Sheets("DB_Customers")</t>
  </si>
  <si>
    <t xml:space="preserve">    Dim lr As Long: lr = dbWS.Cells(Rows.Count, 1).End(xlUp).Row</t>
  </si>
  <si>
    <t xml:space="preserve">    Dim maxSeq As Long: maxSeq = 0</t>
  </si>
  <si>
    <t xml:space="preserve">    Dim i As Long</t>
  </si>
  <si>
    <t xml:space="preserve">    For i = 2 To lr</t>
  </si>
  <si>
    <t xml:space="preserve">        Dim acct As String: acct = CStr(dbWS.Cells(i, 1).Value)</t>
  </si>
  <si>
    <t xml:space="preserve">        If Left(acct, 9) = "SAM" &amp; yp &amp; mp Then</t>
  </si>
  <si>
    <t xml:space="preserve">            Dim s As Long: s = CLng(Right(acct, 5))</t>
  </si>
  <si>
    <t xml:space="preserve">            If s &gt; maxSeq Then maxSeq = s</t>
  </si>
  <si>
    <t xml:space="preserve">        End If</t>
  </si>
  <si>
    <t xml:space="preserve">    Next i</t>
  </si>
  <si>
    <t xml:space="preserve">    GenAcctNo = "SAM" &amp; yp &amp; mp &amp; Format(maxSeq + 1, "00000")</t>
  </si>
  <si>
    <t>End Function</t>
  </si>
  <si>
    <t>Sub CreateNewAccount()</t>
  </si>
  <si>
    <t xml:space="preserve">    Dim aoWS As Worksheet: Set aoWS = ThisWorkbook.Sheets("Account_Opening")</t>
  </si>
  <si>
    <t xml:space="preserve">    Dim fn As String:  fn  = Trim(aoWS.Range("C5").Value)</t>
  </si>
  <si>
    <t xml:space="preserve">    Dim ln As String:  ln  = Trim(aoWS.Range("C6").Value)</t>
  </si>
  <si>
    <t xml:space="preserve">    Dim idt As String: idt = Trim(aoWS.Range("C7").Value)</t>
  </si>
  <si>
    <t xml:space="preserve">    Dim idn As String: idn = Trim(aoWS.Range("C8").Value)</t>
  </si>
  <si>
    <t xml:space="preserve">    Dim occ As String: occ = Trim(aoWS.Range("C9").Value)</t>
  </si>
  <si>
    <t xml:space="preserve">    Dim agt As String: agt = Trim(aoWS.Range("C10").Value)</t>
  </si>
  <si>
    <t xml:space="preserve">    Dim opb As Double: opb = aoWS.Range("C11").Value</t>
  </si>
  <si>
    <t xml:space="preserve">    If fn = "" Or ln = "" Then MsgBox "First Name and Last Name are required!", vbExclamation: Exit Sub</t>
  </si>
  <si>
    <t xml:space="preserve">    If idt = "" Then MsgBox "Please select ID Card Type!", vbExclamation: Exit Sub</t>
  </si>
  <si>
    <t xml:space="preserve">    If idn = "" Or idn = "718982195-0" Then</t>
  </si>
  <si>
    <t xml:space="preserve">        If MsgBox("ID Number shows default placeholder. Continue?", vbYesNo + vbQuestion) = vbNo Then Exit Sub</t>
  </si>
  <si>
    <t xml:space="preserve">    End If</t>
  </si>
  <si>
    <t xml:space="preserve">    If agt = "" Then MsgBox "Please assign an Agent!", vbExclamation: Exit Sub</t>
  </si>
  <si>
    <t xml:space="preserve">    Dim newAcct As String: newAcct = GenAcctNo()</t>
  </si>
  <si>
    <t xml:space="preserve">    Dim lr As Long: lr = dbWS.Cells(Rows.Count, 1).End(xlUp).Row + 1</t>
  </si>
  <si>
    <t xml:space="preserve">    dbWS.Cells(lr, 1).Value  = newAcct</t>
  </si>
  <si>
    <t xml:space="preserve">    dbWS.Cells(lr, 2).Value  = fn</t>
  </si>
  <si>
    <t xml:space="preserve">    dbWS.Cells(lr, 3).Value  = ln</t>
  </si>
  <si>
    <t xml:space="preserve">    dbWS.Cells(lr, 4).Value  = fn &amp; " " &amp; ln</t>
  </si>
  <si>
    <t xml:space="preserve">    dbWS.Cells(lr, 5).Value  = idt</t>
  </si>
  <si>
    <t xml:space="preserve">    dbWS.Cells(lr, 6).Value  = idn</t>
  </si>
  <si>
    <t xml:space="preserve">    dbWS.Cells(lr, 7).Value  = occ</t>
  </si>
  <si>
    <t xml:space="preserve">    dbWS.Cells(lr, 8).Value  = agt</t>
  </si>
  <si>
    <t xml:space="preserve">    dbWS.Cells(lr, 9).Value  = opb</t>
  </si>
  <si>
    <t xml:space="preserve">    dbWS.Cells(lr, 10).Value = Date</t>
  </si>
  <si>
    <t xml:space="preserve">    dbWS.Cells(lr, 11).Value = "Active"</t>
  </si>
  <si>
    <t xml:space="preserve">    dbWS.Cells(lr, 12).Formula = "=SUMIF(DB_Savings!$C:$C,A" &amp; lr &amp; ",DB_Savings!$F:$F)"</t>
  </si>
  <si>
    <t xml:space="preserve">    dbWS.Cells(lr, 13).Formula = "=SUMIF(DB_Withdrawals!$C:$C,A" &amp; lr &amp; ",DB_Withdrawals!$G:$G)"</t>
  </si>
  <si>
    <t xml:space="preserve">    dbWS.Cells(lr, 14).Formula = "=I" &amp; lr &amp; "+L" &amp; lr &amp; "-M" &amp; lr</t>
  </si>
  <si>
    <t xml:space="preserve">    ' Show result</t>
  </si>
  <si>
    <t xml:space="preserve">    aoWS.Range("A14").Value = "✅ Account Created: " &amp; newAcct &amp; " | " &amp; fn &amp; " " &amp; ln</t>
  </si>
  <si>
    <t xml:space="preserve">    ' Log audit</t>
  </si>
  <si>
    <t xml:space="preserve">    LogAudit "ACCOUNT_CREATED", "New: " &amp; newAcct &amp; " for " &amp; fn &amp; " " &amp; ln &amp; " | Agent: " &amp; agt</t>
  </si>
  <si>
    <t xml:space="preserve">    MsgBox "✅ Account Created Successfully!" &amp; vbCrLf &amp; vbCrLf _</t>
  </si>
  <si>
    <t xml:space="preserve">         &amp; "Account Number: " &amp; newAcct &amp; vbCrLf _</t>
  </si>
  <si>
    <t xml:space="preserve">         &amp; "Customer: " &amp; fn &amp; " " &amp; ln &amp; vbCrLf _</t>
  </si>
  <si>
    <t xml:space="preserve">         &amp; "Agent: " &amp; agt &amp; vbCrLf _</t>
  </si>
  <si>
    <t xml:space="preserve">         &amp; "Status: Active", vbInformation, "Account Created"</t>
  </si>
  <si>
    <t xml:space="preserve">    ' Clear form for next entry</t>
  </si>
  <si>
    <t xml:space="preserve">    aoWS.Range("C5:C11").ClearContents</t>
  </si>
  <si>
    <t xml:space="preserve">    aoWS.Range("C7").Value = "Ghana Card"</t>
  </si>
  <si>
    <t xml:space="preserve">    aoWS.Range("C8").Value = "718982195-0"</t>
  </si>
  <si>
    <t xml:space="preserve">    aoWS.Range("C11").Value = 0</t>
  </si>
  <si>
    <t>End Sub</t>
  </si>
  <si>
    <t>' ─── SAVE SAVINGS TO DB ───────────────────────────────────</t>
  </si>
  <si>
    <t>Sub SaveSavingsRow()</t>
  </si>
  <si>
    <t xml:space="preserve">    Dim ws As Worksheet: Set ws = ActiveSheet</t>
  </si>
  <si>
    <t xml:space="preserve">    Dim dbS As Worksheet: Set dbS = ThisWorkbook.Sheets("DB_Savings")</t>
  </si>
  <si>
    <t xml:space="preserve">    Dim dbC As Worksheet: Set dbC = ThisWorkbook.Sheets("DB_Customers")</t>
  </si>
  <si>
    <t xml:space="preserve">    ' Find first unsaved row with data</t>
  </si>
  <si>
    <t xml:space="preserve">    Dim entryRow As Long: entryRow = 0</t>
  </si>
  <si>
    <t xml:space="preserve">    Dim r As Long</t>
  </si>
  <si>
    <t xml:space="preserve">    For r = 9 To 208</t>
  </si>
  <si>
    <t xml:space="preserve">        Dim acct As String: acct = CStr(ws.Cells(r, 1).Value)</t>
  </si>
  <si>
    <t xml:space="preserve">        Dim amt As Variant: amt = ws.Cells(r, 5).Value</t>
  </si>
  <si>
    <t xml:space="preserve">        Dim agt As String: agt = CStr(ws.Cells(r, 7).Value)</t>
  </si>
  <si>
    <t xml:space="preserve">        If acct &lt;&gt; "" And amt &lt;&gt; "" And amt &gt; 0 And agt &lt;&gt; "" Then</t>
  </si>
  <si>
    <t xml:space="preserve">            entryRow = r: Exit For</t>
  </si>
  <si>
    <t xml:space="preserve">    Next r</t>
  </si>
  <si>
    <t xml:space="preserve">    If entryRow = 0 Then MsgBox "No complete entry found. Fill Account #, Amount and Agent.", vbExclamation: Exit Sub</t>
  </si>
  <si>
    <t xml:space="preserve">    acct = CStr(ws.Cells(entryRow, 1).Value)</t>
  </si>
  <si>
    <t xml:space="preserve">    amt  = ws.Cells(entryRow, 5).Value</t>
  </si>
  <si>
    <t xml:space="preserve">    agt  = CStr(ws.Cells(entryRow, 7).Value)</t>
  </si>
  <si>
    <t xml:space="preserve">    ' Validate account</t>
  </si>
  <si>
    <t xml:space="preserve">    Dim custRow As Variant</t>
  </si>
  <si>
    <t xml:space="preserve">    custRow = Application.Match(acct, dbC.Columns(1), 0)</t>
  </si>
  <si>
    <t xml:space="preserve">    If IsError(custRow) Then MsgBox "Account " &amp; acct &amp; " not found!", vbCritical: Exit Sub</t>
  </si>
  <si>
    <t xml:space="preserve">    ' Write to DB_Savings</t>
  </si>
  <si>
    <t xml:space="preserve">    Dim lr As Long: lr = dbS.Cells(Rows.Count, 1).End(xlUp).Row + 1</t>
  </si>
  <si>
    <t xml:space="preserve">    Dim txnID As String: txnID = "SAV" &amp; Format(Now, "YYYYMMDDHHMMSS")</t>
  </si>
  <si>
    <t xml:space="preserve">    dbS.Cells(lr, 1).Value = lr - 3</t>
  </si>
  <si>
    <t xml:space="preserve">    dbS.Cells(lr, 2).Value = txnID</t>
  </si>
  <si>
    <t xml:space="preserve">    dbS.Cells(lr, 3).Value = acct</t>
  </si>
  <si>
    <t xml:space="preserve">    dbS.Cells(lr, 4).Value = dbC.Cells(custRow, 4).Value</t>
  </si>
  <si>
    <t xml:space="preserve">    dbS.Cells(lr, 5).Value = Date</t>
  </si>
  <si>
    <t xml:space="preserve">    dbS.Cells(lr, 6).Value = amt</t>
  </si>
  <si>
    <t xml:space="preserve">    dbS.Cells(lr, 7).Value = agt</t>
  </si>
  <si>
    <t xml:space="preserve">    dbS.Cells(lr, 8).Value = "Saved"</t>
  </si>
  <si>
    <t xml:space="preserve">    dbS.Cells(lr, 9).Value = Format(Now, "YYYY-MM-DD HH:MM:SS")</t>
  </si>
  <si>
    <t xml:space="preserve">    ' Clear entry row</t>
  </si>
  <si>
    <t xml:space="preserve">    ws.Cells(entryRow, 1).ClearContents</t>
  </si>
  <si>
    <t xml:space="preserve">    ws.Cells(entryRow, 5).ClearContents</t>
  </si>
  <si>
    <t xml:space="preserve">    LogAudit "SAVINGS_SAVED", "Account: " &amp; acct &amp; " Amount: GHC " &amp; amt &amp; " Agent: " &amp; agt</t>
  </si>
  <si>
    <t xml:space="preserve">    MsgBox "✅ Savings saved to DB!" &amp; vbCrLf &amp; "Account: " &amp; acct &amp; vbCrLf &amp; "Amount: GHC " &amp; Format(amt, "#,##0.00"), vbInformation, "Saved"</t>
  </si>
  <si>
    <t>' ─── SAVE WITHDRAWAL TO DB ────────────────────────────────</t>
  </si>
  <si>
    <t>Sub SaveWithdrawalRow()</t>
  </si>
  <si>
    <t xml:space="preserve">    Dim dbW As Worksheet: Set dbW = ThisWorkbook.Sheets("DB_Withdrawals")</t>
  </si>
  <si>
    <t xml:space="preserve">        If ws.Cells(r, 1).Value &lt;&gt; "" And ws.Cells(r, 5).Value &lt;&gt; "" And ws.Cells(r, 5).Value &gt; 0 Then</t>
  </si>
  <si>
    <t xml:space="preserve">    If entryRow = 0 Then MsgBox "No entry found.", vbExclamation: Exit Sub</t>
  </si>
  <si>
    <t xml:space="preserve">    Dim acct As String:  acct  = CStr(ws.Cells(entryRow, 1).Value)</t>
  </si>
  <si>
    <t xml:space="preserve">    Dim wamt As Double:  wamt  = ws.Cells(entryRow, 5).Value</t>
  </si>
  <si>
    <t xml:space="preserve">    Dim authBy As String: authBy = CStr(ws.Cells(entryRow, 6).Value)</t>
  </si>
  <si>
    <t xml:space="preserve">    Dim agt As String:   agt   = CStr(ws.Cells(entryRow, 8).Value)</t>
  </si>
  <si>
    <t xml:space="preserve">    If IsError(custRow) Then MsgBox "Account not found!", vbCritical: Exit Sub</t>
  </si>
  <si>
    <t xml:space="preserve">    Dim curBal As Double: curBal = dbC.Cells(custRow, 14).Value</t>
  </si>
  <si>
    <t xml:space="preserve">    Dim status As String</t>
  </si>
  <si>
    <t xml:space="preserve">    Dim newBal As Double</t>
  </si>
  <si>
    <t xml:space="preserve">    If curBal &gt;= wamt Then</t>
  </si>
  <si>
    <t xml:space="preserve">        status = "Successful": newBal = curBal - wamt</t>
  </si>
  <si>
    <t xml:space="preserve">    Else</t>
  </si>
  <si>
    <t xml:space="preserve">        If MsgBox("INSUFFICIENT FUNDS!" &amp; vbCrLf &amp; "Balance: GHC " &amp; Format(curBal, "#,##0.00") &amp; vbCrLf &amp; "Requested: GHC " &amp; Format(wamt, "#,##0.00") &amp; vbCrLf &amp; "Proceed to log as Unsuccessful?", vbYesNo + vbExclamation) = vbNo Then Exit Sub</t>
  </si>
  <si>
    <t xml:space="preserve">        status = "Unsuccessful": newBal = curBal</t>
  </si>
  <si>
    <t xml:space="preserve">    Dim lr As Long: lr = dbW.Cells(Rows.Count, 1).End(xlUp).Row + 1</t>
  </si>
  <si>
    <t xml:space="preserve">    dbW.Cells(lr, 1).Value  = lr - 3</t>
  </si>
  <si>
    <t xml:space="preserve">    dbW.Cells(lr, 2).Value  = "WDR" &amp; Format(Now, "YYYYMMDDHHMMSS")</t>
  </si>
  <si>
    <t xml:space="preserve">    dbW.Cells(lr, 3).Value  = acct</t>
  </si>
  <si>
    <t xml:space="preserve">    dbW.Cells(lr, 4).Value  = dbC.Cells(custRow, 4).Value</t>
  </si>
  <si>
    <t xml:space="preserve">    dbW.Cells(lr, 5).Value  = curBal</t>
  </si>
  <si>
    <t xml:space="preserve">    dbW.Cells(lr, 6).Value  = Date</t>
  </si>
  <si>
    <t xml:space="preserve">    dbW.Cells(lr, 7).Value  = wamt</t>
  </si>
  <si>
    <t xml:space="preserve">    dbW.Cells(lr, 8).Value  = authBy</t>
  </si>
  <si>
    <t xml:space="preserve">    dbW.Cells(lr, 9).Value  = newBal</t>
  </si>
  <si>
    <t xml:space="preserve">    dbW.Cells(lr, 10).Value = agt</t>
  </si>
  <si>
    <t xml:space="preserve">    dbW.Cells(lr, 11).Value = status</t>
  </si>
  <si>
    <t xml:space="preserve">    dbW.Cells(lr, 12).Value = Format(Now, "YYYY-MM-DD HH:MM:SS")</t>
  </si>
  <si>
    <t xml:space="preserve">    LogAudit "WITHDRAWAL_" &amp; UCase(status), "Account: " &amp; acct &amp; " Amount: GHC " &amp; wamt</t>
  </si>
  <si>
    <t xml:space="preserve">    MsgBox IIf(status = "Successful", "✅ Withdrawal SUCCESSFUL!", "❌ Withdrawal UNSUCCESSFUL — Insufficient Funds") &amp; vbCrLf &amp; "Amount: GHC " &amp; Format(wamt, "#,##0.00") &amp; vbCrLf &amp; "New Balance: GHC " &amp; Format(newBal, "#,##0.00"), IIf(status = "Successful", vbInformation, vbExclamation), "Withdrawal " &amp; status</t>
  </si>
  <si>
    <t>' ─── SUBMIT LOAN TO DB ────────────────────────────────────</t>
  </si>
  <si>
    <t>Sub SubmitLoanRequest()</t>
  </si>
  <si>
    <t xml:space="preserve">    Dim dbL As Worksheet: Set dbL = ThisWorkbook.Sheets("DB_Loans")</t>
  </si>
  <si>
    <t xml:space="preserve">    For r = 14 To 113</t>
  </si>
  <si>
    <t xml:space="preserve">        If ws.Cells(r, 2).Value &lt;&gt; "" And ws.Cells(r, 5).Value &lt;&gt; "" And ws.Cells(r, 7).Value &lt;&gt; "" Then</t>
  </si>
  <si>
    <t xml:space="preserve">    If entryRow = 0 Then MsgBox "No complete loan entry found.", vbExclamation: Exit Sub</t>
  </si>
  <si>
    <t xml:space="preserve">    Dim acct As String: acct = CStr(ws.Cells(entryRow, 2).Value)</t>
  </si>
  <si>
    <t xml:space="preserve">    Dim lamt As Double: lamt = ws.Cells(entryRow, 5).Value</t>
  </si>
  <si>
    <t xml:space="preserve">    Dim purp As String: purp = CStr(ws.Cells(entryRow, 6).Value)</t>
  </si>
  <si>
    <t xml:space="preserve">    Dim mos  As Integer: mos = CInt(ws.Cells(entryRow, 7).Value)</t>
  </si>
  <si>
    <t xml:space="preserve">    Dim rate As Double: rate = ws.Cells(entryRow, 8).Value</t>
  </si>
  <si>
    <t xml:space="preserve">    Dim note As String: note = CStr(ws.Cells(entryRow, 13).Value)</t>
  </si>
  <si>
    <t xml:space="preserve">    Dim agt  As String: agt  = CStr(ws.Cells(entryRow, 12).Value)</t>
  </si>
  <si>
    <t xml:space="preserve">    If lamt &lt; 100 Or lamt &gt; 50000 Then MsgBox "Loan must be GHC 100 – 50,000!", vbExclamation: Exit Sub</t>
  </si>
  <si>
    <t xml:space="preserve">    If mos &lt; 1 Or mos &gt; 36 Then MsgBox "Duration must be 1–36 months!", vbExclamation: Exit Sub</t>
  </si>
  <si>
    <t xml:space="preserve">    Dim total As Double: total = lamt + (lamt * rate / 100 * mos)</t>
  </si>
  <si>
    <t xml:space="preserve">    Dim monthly As Double: monthly = total / mos</t>
  </si>
  <si>
    <t xml:space="preserve">    Dim loanID As String: loanID = "LN" &amp; Format(Date, "YYYYMMDD") &amp; Format(dbL.Cells(Rows.Count, 1).End(xlUp).Row - 2, "0000")</t>
  </si>
  <si>
    <t xml:space="preserve">    Dim lr As Long: lr = dbL.Cells(Rows.Count, 1).End(xlUp).Row + 1</t>
  </si>
  <si>
    <t xml:space="preserve">    dbL.Cells(lr, 1).Value  = loanID</t>
  </si>
  <si>
    <t xml:space="preserve">    dbL.Cells(lr, 2).Value  = acct</t>
  </si>
  <si>
    <t xml:space="preserve">    dbL.Cells(lr, 3).Value  = dbC.Cells(custRow, 4).Value</t>
  </si>
  <si>
    <t xml:space="preserve">    dbL.Cells(lr, 4).Value  = Date</t>
  </si>
  <si>
    <t xml:space="preserve">    dbL.Cells(lr, 5).Value  = lamt</t>
  </si>
  <si>
    <t xml:space="preserve">    dbL.Cells(lr, 6).Value  = purp</t>
  </si>
  <si>
    <t xml:space="preserve">    dbL.Cells(lr, 7).Value  = mos</t>
  </si>
  <si>
    <t xml:space="preserve">    dbL.Cells(lr, 8).Value  = rate</t>
  </si>
  <si>
    <t xml:space="preserve">    dbL.Cells(lr, 9).Value  = total</t>
  </si>
  <si>
    <t xml:space="preserve">    dbL.Cells(lr, 10).Value = monthly</t>
  </si>
  <si>
    <t xml:space="preserve">    dbL.Cells(lr, 11).Value = "Pending"</t>
  </si>
  <si>
    <t xml:space="preserve">    dbL.Cells(lr, 12).Value = agt</t>
  </si>
  <si>
    <t xml:space="preserve">    dbL.Cells(lr, 13).Value = note</t>
  </si>
  <si>
    <t xml:space="preserve">    LogAudit "LOAN_SUBMITTED", "Loan " &amp; loanID &amp; " Account: " &amp; acct &amp; " GHC " &amp; lamt</t>
  </si>
  <si>
    <t xml:space="preserve">    MsgBox "✅ Loan Request Submitted!" &amp; vbCrLf &amp; vbCrLf &amp; "Loan ID: " &amp; loanID &amp; vbCrLf &amp; "Amount: GHC " &amp; Format(lamt, "#,##0.00") &amp; vbCrLf &amp; "Total Repayable: GHC " &amp; Format(total, "#,##0.00") &amp; vbCrLf &amp; "Monthly: GHC " &amp; Format(monthly, "#,##0.00") &amp; vbCrLf &amp; "Status: Pending Manager Approval", vbInformation, "Loan Submitted"</t>
  </si>
  <si>
    <t>' ─── APPROVE LOAN ─────────────────────────────────────────</t>
  </si>
  <si>
    <t>Sub ApproveLoan()</t>
  </si>
  <si>
    <t xml:space="preserve">    Dim loanID As String</t>
  </si>
  <si>
    <t xml:space="preserve">    loanID = InputBox("Enter Loan ID to approve:", "Approve Loan")</t>
  </si>
  <si>
    <t xml:space="preserve">    If loanID = "" Then Exit Sub</t>
  </si>
  <si>
    <t xml:space="preserve">    Dim loanRow As Variant</t>
  </si>
  <si>
    <t xml:space="preserve">    loanRow = Application.Match(loanID, dbL.Columns(1), 0)</t>
  </si>
  <si>
    <t xml:space="preserve">    If IsError(loanRow) Then MsgBox "Loan ID not found!", vbCritical: Exit Sub</t>
  </si>
  <si>
    <t xml:space="preserve">    If dbL.Cells(loanRow, 11).Value &lt;&gt; "Pending" Then</t>
  </si>
  <si>
    <t xml:space="preserve">        MsgBox "Loan is already: " &amp; dbL.Cells(loanRow, 11).Value, vbInformation: Exit Sub</t>
  </si>
  <si>
    <t xml:space="preserve">    dbL.Cells(loanRow, 11).Value = "Approved"</t>
  </si>
  <si>
    <t xml:space="preserve">    ' Credit loan amount to customer savings as special entry</t>
  </si>
  <si>
    <t xml:space="preserve">    Dim acct As String: acct = CStr(dbL.Cells(loanRow, 2).Value)</t>
  </si>
  <si>
    <t xml:space="preserve">    Dim lamt As Double: lamt = dbL.Cells(loanRow, 5).Value</t>
  </si>
  <si>
    <t xml:space="preserve">    dbS.Cells(lr, 2).Value = "LN_CREDIT_" &amp; loanID</t>
  </si>
  <si>
    <t xml:space="preserve">    Dim custRow As Variant: custRow = Application.Match(acct, dbC.Columns(1), 0)</t>
  </si>
  <si>
    <t xml:space="preserve">    If Not IsError(custRow) Then dbS.Cells(lr, 4).Value = dbC.Cells(custRow, 4).Value</t>
  </si>
  <si>
    <t xml:space="preserve">    dbS.Cells(lr, 6).Value = lamt</t>
  </si>
  <si>
    <t xml:space="preserve">    dbS.Cells(lr, 7).Value = "Manager"</t>
  </si>
  <si>
    <t xml:space="preserve">    dbS.Cells(lr, 8).Value = "Loan Credit"</t>
  </si>
  <si>
    <t xml:space="preserve">    LogAudit "LOAN_APPROVED", "Loan " &amp; loanID &amp; " approved. GHC " &amp; lamt &amp; " credited to " &amp; acct</t>
  </si>
  <si>
    <t xml:space="preserve">    MsgBox "✅ Loan " &amp; loanID &amp; " APPROVED!" &amp; vbCrLf &amp; "GHC " &amp; Format(lamt, "#,##0.00") &amp; " has been credited to account " &amp; acct, vbInformation, "Loan Approved"</t>
  </si>
  <si>
    <t>' ─── BACKUP ───────────────────────────────────────────────</t>
  </si>
  <si>
    <t>Sub BackupDB()</t>
  </si>
  <si>
    <t xml:space="preserve">    Dim path As String</t>
  </si>
  <si>
    <t xml:space="preserve">    path = Environ("USERPROFILE") &amp; "\Desktop\SAMICIOUS_Backup_" &amp; Format(Now, "YYYYMMDD_HHMMSS") &amp; ".xlsm"</t>
  </si>
  <si>
    <t xml:space="preserve">    ThisWorkbook.SaveCopyAs path</t>
  </si>
  <si>
    <t xml:space="preserve">    LogAudit "BACKUP", "Saved to: " &amp; path</t>
  </si>
  <si>
    <t xml:space="preserve">    MsgBox "Backup saved to: " &amp; path, vbInformation</t>
  </si>
  <si>
    <t>' ─── AUDIT HELPER ─────────────────────────────────────────</t>
  </si>
  <si>
    <t>Sub LogAudit(action As String, detail As String)</t>
  </si>
  <si>
    <t xml:space="preserve">    On Error Resume Next</t>
  </si>
  <si>
    <t xml:space="preserve">    Dim aWS As Worksheet: Set aWS = ThisWorkbook.Sheets("Audit_Log")</t>
  </si>
  <si>
    <t xml:space="preserve">    If aWS Is Nothing Then Exit Sub</t>
  </si>
  <si>
    <t xml:space="preserve">    Dim lr As Long: lr = aWS.Cells(Rows.Count, 1).End(xlUp).Row + 1</t>
  </si>
  <si>
    <t xml:space="preserve">    aWS.Cells(lr, 1).Value = Now()</t>
  </si>
  <si>
    <t xml:space="preserve">    aWS.Cells(lr, 2).Value = Environ("USERNAME")</t>
  </si>
  <si>
    <t xml:space="preserve">    aWS.Cells(lr, 3).Value = action</t>
  </si>
  <si>
    <t xml:space="preserve">    aWS.Cells(lr, 4).Value = detail</t>
  </si>
  <si>
    <t xml:space="preserve">    On Error GoTo 0</t>
  </si>
  <si>
    <t>' ══════════════════════════════════════════════════════════════════════════</t>
  </si>
  <si>
    <t>' SAMICIOUS MICROFINANCE V3 — UPGRADE LAYER (Append to existing Module)</t>
  </si>
  <si>
    <t>' COPY ALL CODE BELOW AND PASTE AFTER EXISTING VBA CODE IN SAME MODULE</t>
  </si>
  <si>
    <t>' ─── MINIMUM BALANCE ENFORCEMENT ──────────────────────────────────────────</t>
  </si>
  <si>
    <t>' Call this BEFORE SaveWithdrawalRow to enforce GHC 10 floor</t>
  </si>
  <si>
    <t>Function CheckMinBalance(acctNo As String) As Boolean</t>
  </si>
  <si>
    <t xml:space="preserve">    Dim sc  As Worksheet: Set sc  = ThisWorkbook.Sheets("System_Config")</t>
  </si>
  <si>
    <t xml:space="preserve">    Dim minBal As Double: minBal = sc.Range("B9").Value  ' GHC 10</t>
  </si>
  <si>
    <t xml:space="preserve">    custRow = Application.Match(acctNo, dbC.Columns(1), 0)</t>
  </si>
  <si>
    <t xml:space="preserve">    If IsError(custRow) Then CheckMinBalance = False: Exit Function</t>
  </si>
  <si>
    <t xml:space="preserve">    CheckMinBalance = (curBal &gt; minBal)</t>
  </si>
  <si>
    <t>Function GetWithdrawableBalance(acctNo As String) As Double</t>
  </si>
  <si>
    <t xml:space="preserve">    Dim minBal As Double: minBal = sc.Range("B9").Value</t>
  </si>
  <si>
    <t xml:space="preserve">    If IsError(custRow) Then GetWithdrawableBalance = 0: Exit Function</t>
  </si>
  <si>
    <t xml:space="preserve">    GetWithdrawableBalance = Application.WorksheetFunction.Max(0, curBal - minBal)</t>
  </si>
  <si>
    <t>' ─── UPGRADED WITHDRAWAL — enforces GHC 10 floor ─────────────────────────</t>
  </si>
  <si>
    <t>Sub SaveWithdrawalRow_V3()</t>
  </si>
  <si>
    <t xml:space="preserve">        If ws.Cells(r, 1).Value &lt;&gt; "" And ws.Cells(r, 5).Value &lt;&gt; "" _</t>
  </si>
  <si>
    <t xml:space="preserve">           And ws.Cells(r, 5).Value &gt; 0 Then</t>
  </si>
  <si>
    <t xml:space="preserve">    Dim acct   As String: acct   = CStr(ws.Cells(entryRow, 1).Value)</t>
  </si>
  <si>
    <t xml:space="preserve">    Dim wamt   As Double: wamt   = ws.Cells(entryRow, 5).Value</t>
  </si>
  <si>
    <t xml:space="preserve">    Dim agt    As String: agt    = CStr(ws.Cells(entryRow, 8).Value)</t>
  </si>
  <si>
    <t xml:space="preserve">    Dim curBal      As Double: curBal      = dbC.Cells(custRow, 14).Value</t>
  </si>
  <si>
    <t xml:space="preserve">    Dim withdrawable As Double: withdrawable = Application.WorksheetFunction.Max(0, curBal - minBal)</t>
  </si>
  <si>
    <t xml:space="preserve">    Dim status  As String</t>
  </si>
  <si>
    <t xml:space="preserve">    Dim newBal  As Double</t>
  </si>
  <si>
    <t xml:space="preserve">    ' ── MINIMUM BALANCE CHECK (V3 rule) ──────────────────────────────────</t>
  </si>
  <si>
    <t xml:space="preserve">    If wamt &gt; withdrawable Then</t>
  </si>
  <si>
    <t xml:space="preserve">        Dim msg As String</t>
  </si>
  <si>
    <t xml:space="preserve">        msg = "⛔ WITHDRAWAL BLOCKED — Minimum Balance Rule" &amp; vbCrLf &amp; vbCrLf &amp; _</t>
  </si>
  <si>
    <t xml:space="preserve">              "Current Balance:    GHC " &amp; Format(curBal, "#,##0.00") &amp; vbCrLf &amp; _</t>
  </si>
  <si>
    <t xml:space="preserve">              "Minimum Balance:    GHC " &amp; Format(minBal, "#,##0.00") &amp; vbCrLf &amp; _</t>
  </si>
  <si>
    <t xml:space="preserve">              "Available to Withdraw: GHC " &amp; Format(withdrawable, "#,##0.00") &amp; vbCrLf &amp; _</t>
  </si>
  <si>
    <t xml:space="preserve">              "Requested Amount:   GHC " &amp; Format(wamt, "#,##0.00") &amp; vbCrLf &amp; vbCrLf &amp; _</t>
  </si>
  <si>
    <t xml:space="preserve">              "GHC " &amp; Format(minBal, "0.00") &amp; " minimum balance must be maintained at all times." &amp; vbCrLf &amp; _</t>
  </si>
  <si>
    <t xml:space="preserve">              "Maximum you can withdraw: GHC " &amp; Format(withdrawable, "#,##0.00")</t>
  </si>
  <si>
    <t xml:space="preserve">        MsgBox msg, vbCritical, "Minimum Balance Protection"</t>
  </si>
  <si>
    <t xml:space="preserve">        ' Log the blocked attempt</t>
  </si>
  <si>
    <t xml:space="preserve">        LogAudit "WITHDRAWAL_BLOCKED_MINBAL", _</t>
  </si>
  <si>
    <t xml:space="preserve">            "Account: " &amp; acct &amp; " | Requested: GHC " &amp; wamt &amp; _</t>
  </si>
  <si>
    <t xml:space="preserve">            " | Withdrawable: GHC " &amp; withdrawable &amp; " | Agent: " &amp; agt</t>
  </si>
  <si>
    <t xml:space="preserve">        Exit Sub</t>
  </si>
  <si>
    <t xml:space="preserve">    ' ── NORMAL BALANCE CHECK ─────────────────────────────────────────────</t>
  </si>
  <si>
    <t xml:space="preserve">    If curBal &gt;= wamt + minBal Then</t>
  </si>
  <si>
    <t xml:space="preserve">        ' This branch only reached if wamt &lt;= withdrawable but something edge-cased</t>
  </si>
  <si>
    <t xml:space="preserve">    dbW.Cells(lr, 13).Value = withdrawable          ' Withdrawable_Before</t>
  </si>
  <si>
    <t xml:space="preserve">    dbW.Cells(lr, 14).Value = "✅ COMPLIANT"         ' Min_Bal_OK</t>
  </si>
  <si>
    <t xml:space="preserve">    dbW.Cells(lr, 15).Value = "LOCKED"               ' Lock_Status</t>
  </si>
  <si>
    <t xml:space="preserve">    LogAudit "WITHDRAWAL_" &amp; UCase(status), _</t>
  </si>
  <si>
    <t xml:space="preserve">        "Account: " &amp; acct &amp; " | Amount: GHC " &amp; wamt &amp; _</t>
  </si>
  <si>
    <t xml:space="preserve">        " | Balance After: GHC " &amp; newBal &amp; " | Min Retained: GHC " &amp; minBal</t>
  </si>
  <si>
    <t xml:space="preserve">    MsgBox "✅ Withdrawal SUCCESSFUL!" &amp; vbCrLf &amp; vbCrLf &amp; _</t>
  </si>
  <si>
    <t xml:space="preserve">           "Amount:          GHC " &amp; Format(wamt, "#,##0.00") &amp; vbCrLf &amp; _</t>
  </si>
  <si>
    <t xml:space="preserve">           "New Balance:     GHC " &amp; Format(newBal, "#,##0.00") &amp; vbCrLf &amp; _</t>
  </si>
  <si>
    <t xml:space="preserve">           "Reserved (Min):  GHC " &amp; Format(minBal, "#,##0.00"), _</t>
  </si>
  <si>
    <t xml:space="preserve">           vbInformation, "Withdrawal Successful"</t>
  </si>
  <si>
    <t>' ─── UPGRADED ACCOUNT CREATION — optional ID, min GHC 10 ─────────────────</t>
  </si>
  <si>
    <t>Sub CreateNewAccount_V3()</t>
  </si>
  <si>
    <t xml:space="preserve">    Dim sc   As Worksheet: Set sc   = ThisWorkbook.Sheets("System_Config")</t>
  </si>
  <si>
    <t xml:space="preserve">    Dim fn  As String: fn  = Trim(aoWS.Range("C5").Value)</t>
  </si>
  <si>
    <t xml:space="preserve">    Dim ln  As String: ln  = Trim(aoWS.Range("C6").Value)</t>
  </si>
  <si>
    <t xml:space="preserve">    ' ── Mandatory field checks ────────────────────────────────────────────</t>
  </si>
  <si>
    <t xml:space="preserve">    If fn = "" Or ln = "" Then</t>
  </si>
  <si>
    <t xml:space="preserve">        MsgBox "First Name and Last Name are required!", vbExclamation: Exit Sub</t>
  </si>
  <si>
    <t xml:space="preserve">    If agt = "" Then</t>
  </si>
  <si>
    <t xml:space="preserve">        MsgBox "Please assign an Agent!", vbExclamation: Exit Sub</t>
  </si>
  <si>
    <t xml:space="preserve">    ' ── Min balance check (ID is now OPTIONAL — V3 rule) ─────────────────</t>
  </si>
  <si>
    <t xml:space="preserve">    If opb &lt; minBal Then</t>
  </si>
  <si>
    <t xml:space="preserve">        MsgBox "⛔ Opening Balance must be at least GHC " &amp; Format(minBal, "0.00") &amp; vbCrLf &amp; vbCrLf &amp; _</t>
  </si>
  <si>
    <t xml:space="preserve">               "Entered: GHC " &amp; Format(opb, "0.00") &amp; vbCrLf &amp; _</t>
  </si>
  <si>
    <t xml:space="preserve">               "Please enter GHC " &amp; Format(minBal, "0.00") &amp; " or more to open this account.", _</t>
  </si>
  <si>
    <t xml:space="preserve">               vbCritical, "Minimum Opening Balance Required"</t>
  </si>
  <si>
    <t xml:space="preserve">    ' ── ID optional — use placeholder if blank ────────────────────────────</t>
  </si>
  <si>
    <t xml:space="preserve">    If idt = "" Then idt = "Not Provided"</t>
  </si>
  <si>
    <t xml:space="preserve">    If idn = "" Or idn = "718982195-0" Then idn = "Not Provided"</t>
  </si>
  <si>
    <t xml:space="preserve">    dbWS.Cells(lr, 15).Value  = True    ' Min_Balance_Flag</t>
  </si>
  <si>
    <t xml:space="preserve">    dbWS.Cells(lr, 16).Formula = "=MAX(0,N" &amp; lr &amp; "-System_Config!$B$9)"</t>
  </si>
  <si>
    <t xml:space="preserve">    LogAudit "ACCOUNT_CREATED_V3", _</t>
  </si>
  <si>
    <t xml:space="preserve">        "New: " &amp; newAcct &amp; " | " &amp; fn &amp; " " &amp; ln &amp; " | Agent: " &amp; agt &amp; _</t>
  </si>
  <si>
    <t xml:space="preserve">        " | OpenBal: GHC " &amp; opb &amp; " | ID: " &amp; idt</t>
  </si>
  <si>
    <t xml:space="preserve">    MsgBox "✅ Account Created Successfully!" &amp; vbCrLf &amp; vbCrLf &amp; _</t>
  </si>
  <si>
    <t xml:space="preserve">           "Account Number: " &amp; newAcct &amp; vbCrLf &amp; _</t>
  </si>
  <si>
    <t xml:space="preserve">           "Customer:       " &amp; fn &amp; " " &amp; ln &amp; vbCrLf &amp; _</t>
  </si>
  <si>
    <t xml:space="preserve">           "Agent:          " &amp; agt &amp; vbCrLf &amp; _</t>
  </si>
  <si>
    <t xml:space="preserve">           "Opening Balance: GHC " &amp; Format(opb, "#,##0.00") &amp; vbCrLf &amp; _</t>
  </si>
  <si>
    <t xml:space="preserve">           "Min Reserved:   GHC " &amp; Format(minBal, "0.00"), _</t>
  </si>
  <si>
    <t xml:space="preserve">           vbInformation, "Account Created"</t>
  </si>
  <si>
    <t xml:space="preserve">    aoWS.Range("C7").Value = ""</t>
  </si>
  <si>
    <t xml:space="preserve">    aoWS.Range("C8").Value = ""</t>
  </si>
  <si>
    <t>' ─── RATE VALIDATION (for Loan sheets) ────────────────────────────────────</t>
  </si>
  <si>
    <t>' Call on Change event of Rate cell in loan forms</t>
  </si>
  <si>
    <t>Function ValidateRateInput(rateCell As Range) As Boolean</t>
  </si>
  <si>
    <t xml:space="preserve">    Dim val As Variant: val = rateCell.Value</t>
  </si>
  <si>
    <t xml:space="preserve">    ValidateRateInput = False</t>
  </si>
  <si>
    <t xml:space="preserve">    If IsNumeric(val) Then</t>
  </si>
  <si>
    <t xml:space="preserve">        If CDbl(val) &gt;= 0 And CDbl(val) &lt;= 100 Then</t>
  </si>
  <si>
    <t xml:space="preserve">            ValidateRateInput = True</t>
  </si>
  <si>
    <t xml:space="preserve">        Else</t>
  </si>
  <si>
    <t xml:space="preserve">            MsgBox "Rate must be between 0 and 100." &amp; vbCrLf &amp; _</t>
  </si>
  <si>
    <t xml:space="preserve">                   "Enter as PERCENTAGE (e.g. 2.5 for 2.5%)." &amp; vbCrLf &amp; _</t>
  </si>
  <si>
    <t xml:space="preserve">                   "NEVER enter GHC amount in rate field.", _</t>
  </si>
  <si>
    <t xml:space="preserve">                   vbExclamation, "Invalid Rate Format"</t>
  </si>
  <si>
    <t xml:space="preserve">        MsgBox "Rate must be NUMERIC percentage only." &amp; vbCrLf &amp; _</t>
  </si>
  <si>
    <t xml:space="preserve">               "Example: enter 2.5 for 2.5% per month." &amp; vbCrLf &amp; _</t>
  </si>
  <si>
    <t xml:space="preserve">               "Do not include % symbol or GHC.", _</t>
  </si>
  <si>
    <t xml:space="preserve">               vbExclamation, "Invalid Rate Format"</t>
  </si>
  <si>
    <t>' ─── CONTROLLED REVERSAL / ERROR CORRECTION SYSTEM ───────────────────────</t>
  </si>
  <si>
    <t>Sub CorrectTransaction()</t>
  </si>
  <si>
    <t xml:space="preserve">    ' Step 1: Agent enters original Transaction ID</t>
  </si>
  <si>
    <t xml:space="preserve">    Dim origTxnID As String</t>
  </si>
  <si>
    <t xml:space="preserve">    origTxnID = InputBox("Enter ORIGINAL Transaction ID to correct:" &amp; vbCrLf &amp; _</t>
  </si>
  <si>
    <t xml:space="preserve">                         "(e.g. SAV20260415143022 or WDR20260415143022)", _</t>
  </si>
  <si>
    <t xml:space="preserve">                         "Error Correction — Right Mechanism")</t>
  </si>
  <si>
    <t xml:space="preserve">    If origTxnID = "" Then Exit Sub</t>
  </si>
  <si>
    <t xml:space="preserve">    ' Step 2: Find in DB_Savings or DB_Withdrawals</t>
  </si>
  <si>
    <t xml:space="preserve">    Dim dbCorr As Worksheet: Set dbCorr = ThisWorkbook.Sheets("DB_Corrections")</t>
  </si>
  <si>
    <t xml:space="preserve">    Dim aLog As Worksheet: Set aLog = ThisWorkbook.Sheets("Audit_Log")</t>
  </si>
  <si>
    <t xml:space="preserve">    Dim txnRow As Variant</t>
  </si>
  <si>
    <t xml:space="preserve">    Dim txnSheet As Worksheet</t>
  </si>
  <si>
    <t xml:space="preserve">    Dim txnType As String</t>
  </si>
  <si>
    <t xml:space="preserve">    ' Search Savings</t>
  </si>
  <si>
    <t xml:space="preserve">    txnRow = Application.Match(origTxnID, dbS.Columns(2), 0)</t>
  </si>
  <si>
    <t xml:space="preserve">    If Not IsError(txnRow) Then</t>
  </si>
  <si>
    <t xml:space="preserve">        Set txnSheet = dbS</t>
  </si>
  <si>
    <t xml:space="preserve">        txnType = "SAVINGS"</t>
  </si>
  <si>
    <t xml:space="preserve">        ' Search Withdrawals</t>
  </si>
  <si>
    <t xml:space="preserve">        txnRow = Application.Match(origTxnID, dbW.Columns(2), 0)</t>
  </si>
  <si>
    <t xml:space="preserve">        If Not IsError(txnRow) Then</t>
  </si>
  <si>
    <t xml:space="preserve">            Set txnSheet = dbW</t>
  </si>
  <si>
    <t xml:space="preserve">            txnType = "WITHDRAWAL"</t>
  </si>
  <si>
    <t xml:space="preserve">            MsgBox "Transaction ID '" &amp; origTxnID &amp; "' not found in Savings or Withdrawals.", _</t>
  </si>
  <si>
    <t xml:space="preserve">                   vbCritical, "Not Found"</t>
  </si>
  <si>
    <t xml:space="preserve">            Exit Sub</t>
  </si>
  <si>
    <t xml:space="preserve">    ' Step 3: Show original transaction details</t>
  </si>
  <si>
    <t xml:space="preserve">    Dim origAcct  As String: origAcct  = CStr(txnSheet.Cells(txnRow, 3).Value)</t>
  </si>
  <si>
    <t xml:space="preserve">    Dim origCust  As String: origCust  = CStr(txnSheet.Cells(txnRow, 4).Value)</t>
  </si>
  <si>
    <t xml:space="preserve">    Dim origAmt   As Double: origAmt   = txnSheet.Cells(txnRow, 6).Value</t>
  </si>
  <si>
    <t xml:space="preserve">    If txnType = "WITHDRAWAL" Then origAmt = txnSheet.Cells(txnRow, 7).Value</t>
  </si>
  <si>
    <t xml:space="preserve">    Dim origDate  As String: origDate  = CStr(txnSheet.Cells(txnRow, 5).Value)</t>
  </si>
  <si>
    <t xml:space="preserve">    Dim origAgent As String: origAgent = CStr(txnSheet.Cells(txnRow, 7).Value)</t>
  </si>
  <si>
    <t xml:space="preserve">    If txnType = "WITHDRAWAL" Then origAgent = CStr(txnSheet.Cells(txnRow, 10).Value)</t>
  </si>
  <si>
    <t xml:space="preserve">    Dim details As String</t>
  </si>
  <si>
    <t xml:space="preserve">    details = "ORIGINAL TRANSACTION FOUND:" &amp; vbCrLf &amp; vbCrLf &amp; _</t>
  </si>
  <si>
    <t xml:space="preserve">              "Transaction ID:  " &amp; origTxnID &amp; vbCrLf &amp; _</t>
  </si>
  <si>
    <t xml:space="preserve">              "Type:            " &amp; txnType &amp; vbCrLf &amp; _</t>
  </si>
  <si>
    <t xml:space="preserve">              "Account:         " &amp; origAcct &amp; vbCrLf &amp; _</t>
  </si>
  <si>
    <t xml:space="preserve">              "Customer:        " &amp; origCust &amp; vbCrLf &amp; _</t>
  </si>
  <si>
    <t xml:space="preserve">              "Amount:          GHC " &amp; Format(origAmt, "#,##0.00") &amp; vbCrLf &amp; _</t>
  </si>
  <si>
    <t xml:space="preserve">              "Date:            " &amp; origDate &amp; vbCrLf &amp; _</t>
  </si>
  <si>
    <t xml:space="preserve">              "Agent:           " &amp; origAgent &amp; vbCrLf &amp; vbCrLf &amp; _</t>
  </si>
  <si>
    <t xml:space="preserve">              "Step 4: Enter the CORRECT amount to replace this with:"</t>
  </si>
  <si>
    <t xml:space="preserve">    ' Step 4: Agent enters correct amount</t>
  </si>
  <si>
    <t xml:space="preserve">    Dim corrAmtStr As String</t>
  </si>
  <si>
    <t xml:space="preserve">    corrAmtStr = InputBox(details, "Right Mechanism — Enter Correct Amount")</t>
  </si>
  <si>
    <t xml:space="preserve">    If corrAmtStr = "" Then Exit Sub</t>
  </si>
  <si>
    <t xml:space="preserve">    If Not IsNumeric(corrAmtStr) Then</t>
  </si>
  <si>
    <t xml:space="preserve">        MsgBox "Amount must be numeric.", vbExclamation: Exit Sub</t>
  </si>
  <si>
    <t xml:space="preserve">    Dim corrAmt As Double: corrAmt = CDbl(corrAmtStr)</t>
  </si>
  <si>
    <t xml:space="preserve">    ' Step 5: Get agent note</t>
  </si>
  <si>
    <t xml:space="preserve">    Dim corrNote As String</t>
  </si>
  <si>
    <t xml:space="preserve">    corrNote = InputBox("Enter reason/note for correction:", _</t>
  </si>
  <si>
    <t xml:space="preserve">                        "Correction Note", "Wrong Transaction")</t>
  </si>
  <si>
    <t xml:space="preserve">    If corrNote = "" Then corrNote = "Wrong Transaction"</t>
  </si>
  <si>
    <t xml:space="preserve">    ' Step 6: Write to DB_Corrections with "Right Mechanism Applied" auto-note</t>
  </si>
  <si>
    <t xml:space="preserve">    Dim lr As Long: lr = dbCorr.Cells(Rows.Count, 1).End(xlUp).Row + 1</t>
  </si>
  <si>
    <t xml:space="preserve">    Dim corrID As String: corrID = "CORR" &amp; Format(Now, "YYYYMMDDHHMMSS")</t>
  </si>
  <si>
    <t xml:space="preserve">    dbCorr.Cells(lr, 1).Value  = corrID</t>
  </si>
  <si>
    <t xml:space="preserve">    dbCorr.Cells(lr, 2).Value  = origTxnID</t>
  </si>
  <si>
    <t xml:space="preserve">    dbCorr.Cells(lr, 3).Value  = origAcct</t>
  </si>
  <si>
    <t xml:space="preserve">    dbCorr.Cells(lr, 4).Value  = origCust</t>
  </si>
  <si>
    <t xml:space="preserve">    dbCorr.Cells(lr, 5).Value  = txnType</t>
  </si>
  <si>
    <t xml:space="preserve">    dbCorr.Cells(lr, 6).Value  = origAmt</t>
  </si>
  <si>
    <t xml:space="preserve">    dbCorr.Cells(lr, 7).Value  = "REVERSAL+" &amp; txnType</t>
  </si>
  <si>
    <t xml:space="preserve">    dbCorr.Cells(lr, 8).Value  = corrAmt</t>
  </si>
  <si>
    <t xml:space="preserve">    dbCorr.Cells(lr, 9).Value  = origAgent</t>
  </si>
  <si>
    <t xml:space="preserve">    dbCorr.Cells(lr, 10).Value = Format(Now, "YYYY-MM-DD HH:MM:SS")</t>
  </si>
  <si>
    <t xml:space="preserve">    dbCorr.Cells(lr, 11).Value = corrNote &amp; " | Right Mechanism Applied"</t>
  </si>
  <si>
    <t xml:space="preserve">    dbCorr.Cells(lr, 12).Value = "APPLIED"</t>
  </si>
  <si>
    <t xml:space="preserve">    ' Step 7: Write reversal + correction entries to source DB</t>
  </si>
  <si>
    <t xml:space="preserve">    If txnType = "SAVINGS" Then</t>
  </si>
  <si>
    <t xml:space="preserve">        ' Reversal (negative)</t>
  </si>
  <si>
    <t xml:space="preserve">        Dim rr As Long: rr = dbS.Cells(Rows.Count, 1).End(xlUp).Row + 1</t>
  </si>
  <si>
    <t xml:space="preserve">        dbS.Cells(rr, 1).Value = rr - 3</t>
  </si>
  <si>
    <t xml:space="preserve">        dbS.Cells(rr, 2).Value = "REV_" &amp; origTxnID</t>
  </si>
  <si>
    <t xml:space="preserve">        dbS.Cells(rr, 3).Value = origAcct</t>
  </si>
  <si>
    <t xml:space="preserve">        dbS.Cells(rr, 4).Value = origCust</t>
  </si>
  <si>
    <t xml:space="preserve">        dbS.Cells(rr, 5).Value = Date</t>
  </si>
  <si>
    <t xml:space="preserve">        dbS.Cells(rr, 6).Value = -origAmt</t>
  </si>
  <si>
    <t xml:space="preserve">        dbS.Cells(rr, 7).Value = origAgent</t>
  </si>
  <si>
    <t xml:space="preserve">        dbS.Cells(rr, 8).Value = "REVERSAL"</t>
  </si>
  <si>
    <t xml:space="preserve">        dbS.Cells(rr, 9).Value = Format(Now, "YYYY-MM-DD HH:MM:SS")</t>
  </si>
  <si>
    <t xml:space="preserve">        dbS.Cells(rr, 10).Value = "Right Mechanism: " &amp; corrNote</t>
  </si>
  <si>
    <t xml:space="preserve">        dbS.Cells(rr, 11).Value = "LOCKED"</t>
  </si>
  <si>
    <t xml:space="preserve">        ' Correct entry</t>
  </si>
  <si>
    <t xml:space="preserve">        rr = rr + 1</t>
  </si>
  <si>
    <t xml:space="preserve">        dbS.Cells(rr, 2).Value = corrID</t>
  </si>
  <si>
    <t xml:space="preserve">        dbS.Cells(rr, 6).Value = corrAmt</t>
  </si>
  <si>
    <t xml:space="preserve">        dbS.Cells(rr, 8).Value = "CORRECTION"</t>
  </si>
  <si>
    <t xml:space="preserve">        dbS.Cells(rr, 10).Value = "Right Mechanism Applied | Ref: " &amp; origTxnID</t>
  </si>
  <si>
    <t xml:space="preserve">    ' Step 8: Log in Audit</t>
  </si>
  <si>
    <t xml:space="preserve">    Dim alr As Long: alr = aLog.Cells(Rows.Count, 1).End(xlUp).Row + 1</t>
  </si>
  <si>
    <t xml:space="preserve">    aLog.Cells(alr, 1).Value = Now()</t>
  </si>
  <si>
    <t xml:space="preserve">    aLog.Cells(alr, 2).Value = Environ("USERNAME")</t>
  </si>
  <si>
    <t xml:space="preserve">    aLog.Cells(alr, 3).Value = "CORRECTION_APPLIED"</t>
  </si>
  <si>
    <t xml:space="preserve">    aLog.Cells(alr, 4).Value = "CorrID: " &amp; corrID &amp; " | Orig: " &amp; origTxnID &amp; _</t>
  </si>
  <si>
    <t xml:space="preserve">                                " | OldAmt: GHC " &amp; origAmt &amp; " → NewAmt: GHC " &amp; corrAmt</t>
  </si>
  <si>
    <t xml:space="preserve">    aLog.Cells(alr, 5).Value = origAgent</t>
  </si>
  <si>
    <t xml:space="preserve">    aLog.Cells(alr, 6).Value = origTxnID</t>
  </si>
  <si>
    <t xml:space="preserve">    aLog.Cells(alr, 7).Value = "YES"</t>
  </si>
  <si>
    <t xml:space="preserve">    ' Step 9: Confirm to user</t>
  </si>
  <si>
    <t xml:space="preserve">    MsgBox "✅ RIGHT MECHANISM APPLIED SUCCESSFULLY" &amp; vbCrLf &amp; vbCrLf &amp; _</t>
  </si>
  <si>
    <t xml:space="preserve">           "Correction ID:    " &amp; corrID &amp; vbCrLf &amp; _</t>
  </si>
  <si>
    <t xml:space="preserve">           "Original Txn:     " &amp; origTxnID &amp; vbCrLf &amp; _</t>
  </si>
  <si>
    <t xml:space="preserve">           "Original Amount:  GHC " &amp; Format(origAmt, "#,##0.00") &amp; vbCrLf &amp; _</t>
  </si>
  <si>
    <t xml:space="preserve">           "Correct Amount:   GHC " &amp; Format(corrAmt, "#,##0.00") &amp; vbCrLf &amp; _</t>
  </si>
  <si>
    <t xml:space="preserve">           "Note:             " &amp; corrNote &amp; vbCrLf &amp; vbCrLf &amp; _</t>
  </si>
  <si>
    <t xml:space="preserve">           "Audit trail has been updated.", vbInformation, "Correction Complete"</t>
  </si>
  <si>
    <t>' ─── QUICK ACCESS: Withdrawable Balance Checker ───────────────────────────</t>
  </si>
  <si>
    <t>Sub CheckWithdrawable()</t>
  </si>
  <si>
    <t xml:space="preserve">    Dim acct As String</t>
  </si>
  <si>
    <t xml:space="preserve">    acct = InputBox("Enter Account Number to check withdrawable balance:", _</t>
  </si>
  <si>
    <t xml:space="preserve">                    "Balance Check")</t>
  </si>
  <si>
    <t xml:space="preserve">    If acct = "" Then Exit Sub</t>
  </si>
  <si>
    <t xml:space="preserve">    If IsError(custRow) Then</t>
  </si>
  <si>
    <t xml:space="preserve">        MsgBox "Account '" &amp; acct &amp; "' not found.", vbCritical: Exit Sub</t>
  </si>
  <si>
    <t xml:space="preserve">    Dim cname As String:  cname  = CStr(dbC.Cells(custRow, 4).Value)</t>
  </si>
  <si>
    <t xml:space="preserve">    MsgBox "ACCOUNT BALANCE SUMMARY" &amp; vbCrLf &amp; vbCrLf &amp; _</t>
  </si>
  <si>
    <t xml:space="preserve">           "Account:    " &amp; acct &amp; vbCrLf &amp; _</t>
  </si>
  <si>
    <t xml:space="preserve">           "Customer:   " &amp; cname &amp; vbCrLf &amp; vbCrLf &amp; _</t>
  </si>
  <si>
    <t xml:space="preserve">           "Total Balance:       GHC " &amp; Format(curBal, "#,##0.00") &amp; vbCrLf &amp; _</t>
  </si>
  <si>
    <t xml:space="preserve">           "Minimum Reserved:    GHC " &amp; Format(minBal, "0.00") &amp; vbCrLf &amp; _</t>
  </si>
  <si>
    <t xml:space="preserve">           "Available to Withdraw: GHC " &amp; Format(withdrawable, "#,##0.00"), _</t>
  </si>
  <si>
    <t xml:space="preserve">           vbInformation, "Balance Check"</t>
  </si>
  <si>
    <t>' ─── UPGRADE NOTICE ───────────────────────────────────────────────────────</t>
  </si>
  <si>
    <t>' V3 FUNCTION MAPPING — USE THESE INSTEAD OF V2 EQUIVALENTS:</t>
  </si>
  <si>
    <t>'   CreateNewAccount_V3()    → replaces CreateNewAccount()</t>
  </si>
  <si>
    <t>'   SaveWithdrawalRow_V3()   → replaces SaveWithdrawalRow()</t>
  </si>
  <si>
    <t>'   CorrectTransaction()     → NEW — Error correction / Right Mechanism</t>
  </si>
  <si>
    <t>'   CheckWithdrawable()      → NEW — Balance availability checker</t>
  </si>
  <si>
    <t>'   ValidateRateInput(cell)  → NEW — Call on rate field change event</t>
  </si>
  <si>
    <t xml:space="preserve">FRANK </t>
  </si>
  <si>
    <t>ABBAN</t>
  </si>
  <si>
    <t>Ghana Card</t>
  </si>
  <si>
    <t>mankessim</t>
  </si>
  <si>
    <t>719631288-5</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</si>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</sst>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GHC &quot;#,##0.00;&quot;(GHC &quot;#,##0.00\);\-"/>
    <numFmt numFmtId="165" formatCode="0.0%"/>
    <numFmt numFmtId="166" formatCode="m/d/yyyy"/>
    <numFmt numFmtId="167" formatCode="&quot;GHC &quot;#,##0.00"/>
    <numFmt numFmtId="168" formatCode="yyyy\-mm\-dd"/>
    <numFmt numFmtId="169" formatCode="0.00\%"/>
  </numFmts>
  <fonts count="91" x14ac:knownFonts="1">
    <font>
      <sz val="11"/>
      <color theme="1"/>
      <name val="Calibri"/>
      <family val="2"/>
      <charset val="1"/>
    </font>
    <font>
      <b/>
      <sz val="18"/>
      <color rgb="FFF6AE2D"/>
      <name val="Calibri"/>
      <family val="2"/>
    </font>
    <font>
      <sz val="10"/>
      <color rgb="FFFFFFFF"/>
      <name val="Calibri"/>
      <family val="2"/>
    </font>
    <font>
      <b/>
      <sz val="20"/>
      <color rgb="FF1E3A5F"/>
      <name val="Calibri"/>
      <family val="2"/>
    </font>
    <font>
      <sz val="10"/>
      <color rgb="FF7F8C8D"/>
      <name val="Calibri"/>
      <family val="2"/>
    </font>
    <font>
      <b/>
      <sz val="28"/>
      <color rgb="FFF6AE2D"/>
      <name val="Calibri"/>
      <family val="2"/>
    </font>
    <font>
      <b/>
      <sz val="14"/>
      <color rgb="FFFFFFFF"/>
      <name val="Calibri"/>
      <family val="2"/>
    </font>
    <font>
      <b/>
      <sz val="11"/>
      <color rgb="FF1E3A5F"/>
      <name val="Calibri"/>
      <family val="2"/>
    </font>
    <font>
      <b/>
      <sz val="18"/>
      <color rgb="FFFFFFFF"/>
      <name val="Calibri"/>
      <family val="2"/>
    </font>
    <font>
      <i/>
      <sz val="10"/>
      <color rgb="FF1E3A5F"/>
      <name val="Calibri"/>
      <family val="2"/>
    </font>
    <font>
      <sz val="9"/>
      <color rgb="FF7F8C8D"/>
      <name val="Calibri"/>
      <family val="2"/>
    </font>
    <font>
      <sz val="11"/>
      <color rgb="FF1E3A5F"/>
      <name val="Calibri"/>
      <family val="2"/>
    </font>
    <font>
      <b/>
      <sz val="13"/>
      <color rgb="FFF6AE2D"/>
      <name val="Calibri"/>
      <family val="2"/>
    </font>
    <font>
      <b/>
      <i/>
      <sz val="13"/>
      <color rgb="FF1E3A5F"/>
      <name val="Calibri"/>
      <family val="2"/>
    </font>
    <font>
      <i/>
      <sz val="11"/>
      <color rgb="FF7F8C8D"/>
      <name val="Calibri"/>
      <family val="2"/>
    </font>
    <font>
      <b/>
      <sz val="18"/>
      <color rgb="FFF6AE2D"/>
      <name val="Arial"/>
      <family val="2"/>
      <charset val="1"/>
    </font>
    <font>
      <sz val="11"/>
      <color rgb="FFFFFFFF"/>
      <name val="Arial"/>
      <family val="2"/>
      <charset val="1"/>
    </font>
    <font>
      <b/>
      <sz val="9"/>
      <color rgb="FFFFFFFF"/>
      <name val="Arial"/>
      <family val="2"/>
      <charset val="1"/>
    </font>
    <font>
      <b/>
      <sz val="16"/>
      <color rgb="FF27AE60"/>
      <name val="Arial"/>
      <family val="2"/>
      <charset val="1"/>
    </font>
    <font>
      <b/>
      <sz val="16"/>
      <color rgb="FFC0392B"/>
      <name val="Arial"/>
      <family val="2"/>
      <charset val="1"/>
    </font>
    <font>
      <b/>
      <sz val="16"/>
      <color rgb="FF1ABC9C"/>
      <name val="Arial"/>
      <family val="2"/>
      <charset val="1"/>
    </font>
    <font>
      <b/>
      <sz val="16"/>
      <color rgb="FF2E86AB"/>
      <name val="Arial"/>
      <family val="2"/>
      <charset val="1"/>
    </font>
    <font>
      <b/>
      <sz val="16"/>
      <color rgb="FFE67E22"/>
      <name val="Arial"/>
      <family val="2"/>
      <charset val="1"/>
    </font>
    <font>
      <b/>
      <sz val="16"/>
      <color rgb="FF8E44AD"/>
      <name val="Arial"/>
      <family val="2"/>
      <charset val="1"/>
    </font>
    <font>
      <b/>
      <sz val="12"/>
      <color rgb="FFFFFFFF"/>
      <name val="Arial"/>
      <family val="2"/>
      <charset val="1"/>
    </font>
    <font>
      <b/>
      <sz val="10"/>
      <color rgb="FFFFFFFF"/>
      <name val="Arial"/>
      <family val="2"/>
      <charset val="1"/>
    </font>
    <font>
      <sz val="10"/>
      <color rgb="FF000000"/>
      <name val="Arial"/>
      <family val="2"/>
      <charset val="1"/>
    </font>
    <font>
      <b/>
      <sz val="10"/>
      <color rgb="FF1A252F"/>
      <name val="Arial"/>
      <family val="2"/>
      <charset val="1"/>
    </font>
    <font>
      <sz val="10"/>
      <color rgb="FF1A252F"/>
      <name val="Arial"/>
      <family val="2"/>
      <charset val="1"/>
    </font>
    <font>
      <b/>
      <sz val="10"/>
      <color rgb="FF1E3A5F"/>
      <name val="Arial"/>
      <family val="2"/>
      <charset val="1"/>
    </font>
    <font>
      <b/>
      <sz val="11"/>
      <color rgb="FFF6AE2D"/>
      <name val="Arial"/>
      <family val="2"/>
      <charset val="1"/>
    </font>
    <font>
      <b/>
      <sz val="10"/>
      <color rgb="FF27AE60"/>
      <name val="Arial"/>
      <family val="2"/>
      <charset val="1"/>
    </font>
    <font>
      <sz val="9"/>
      <color rgb="FF1A252F"/>
      <name val="Arial"/>
      <family val="2"/>
      <charset val="1"/>
    </font>
    <font>
      <b/>
      <sz val="14"/>
      <color rgb="FFF6AE2D"/>
      <name val="Arial"/>
      <family val="2"/>
      <charset val="1"/>
    </font>
    <font>
      <sz val="10"/>
      <color rgb="FFFFFFFF"/>
      <name val="Arial"/>
      <family val="2"/>
      <charset val="1"/>
    </font>
    <font>
      <sz val="9"/>
      <color rgb="FF7F8C8D"/>
      <name val="Arial"/>
      <family val="2"/>
      <charset val="1"/>
    </font>
    <font>
      <sz val="11"/>
      <name val="Arial"/>
      <family val="2"/>
      <charset val="1"/>
    </font>
    <font>
      <b/>
      <sz val="11"/>
      <color rgb="FF1E3A5F"/>
      <name val="Arial"/>
      <family val="2"/>
      <charset val="1"/>
    </font>
    <font>
      <sz val="11"/>
      <color rgb="FF000000"/>
      <name val="Arial"/>
      <family val="2"/>
      <charset val="1"/>
    </font>
    <font>
      <sz val="9"/>
      <color rgb="FFCC0000"/>
      <name val="Arial"/>
      <family val="2"/>
      <charset val="1"/>
    </font>
    <font>
      <sz val="10"/>
      <color rgb="FF5D6D7E"/>
      <name val="Arial"/>
      <family val="2"/>
      <charset val="1"/>
    </font>
    <font>
      <b/>
      <sz val="13"/>
      <color rgb="FFFFFFFF"/>
      <name val="Arial"/>
      <family val="2"/>
      <charset val="1"/>
    </font>
    <font>
      <b/>
      <sz val="11"/>
      <color rgb="FFFFFFFF"/>
      <name val="Arial"/>
      <family val="2"/>
      <charset val="1"/>
    </font>
    <font>
      <b/>
      <sz val="12"/>
      <color rgb="FF1A252F"/>
      <name val="Arial"/>
      <family val="2"/>
      <charset val="1"/>
    </font>
    <font>
      <b/>
      <sz val="9"/>
      <color rgb="FF1A252F"/>
      <name val="Arial"/>
      <family val="2"/>
      <charset val="1"/>
    </font>
    <font>
      <sz val="9"/>
      <color rgb="FF000000"/>
      <name val="Arial"/>
      <family val="2"/>
      <charset val="1"/>
    </font>
    <font>
      <b/>
      <sz val="13"/>
      <color rgb="FF27AE60"/>
      <name val="Arial"/>
      <family val="2"/>
      <charset val="1"/>
    </font>
    <font>
      <b/>
      <sz val="13"/>
      <color rgb="FF2E86AB"/>
      <name val="Arial"/>
      <family val="2"/>
      <charset val="1"/>
    </font>
    <font>
      <b/>
      <sz val="13"/>
      <color rgb="FF1E3A5F"/>
      <name val="Arial"/>
      <family val="2"/>
      <charset val="1"/>
    </font>
    <font>
      <sz val="10"/>
      <color rgb="FF0000FF"/>
      <name val="Arial"/>
      <family val="2"/>
      <charset val="1"/>
    </font>
    <font>
      <sz val="10"/>
      <color rgb="FF7F8C8D"/>
      <name val="Arial"/>
      <family val="2"/>
      <charset val="1"/>
    </font>
    <font>
      <b/>
      <sz val="10"/>
      <color rgb="FF0000FF"/>
      <name val="Arial"/>
      <family val="2"/>
      <charset val="1"/>
    </font>
    <font>
      <b/>
      <sz val="13"/>
      <color rgb="FFC0392B"/>
      <name val="Arial"/>
      <family val="2"/>
      <charset val="1"/>
    </font>
    <font>
      <b/>
      <sz val="13"/>
      <color rgb="FFE67E22"/>
      <name val="Arial"/>
      <family val="2"/>
      <charset val="1"/>
    </font>
    <font>
      <b/>
      <sz val="10"/>
      <color rgb="FF000000"/>
      <name val="Arial"/>
      <family val="2"/>
      <charset val="1"/>
    </font>
    <font>
      <b/>
      <sz val="14"/>
      <color rgb="FFFFFFFF"/>
      <name val="Arial"/>
      <family val="2"/>
      <charset val="1"/>
    </font>
    <font>
      <sz val="10"/>
      <color rgb="FFF6AE2D"/>
      <name val="Arial"/>
      <family val="2"/>
      <charset val="1"/>
    </font>
    <font>
      <b/>
      <sz val="11"/>
      <color rgb="FF1A252F"/>
      <name val="Arial"/>
      <family val="2"/>
      <charset val="1"/>
    </font>
    <font>
      <sz val="10"/>
      <color rgb="FF1ABC9C"/>
      <name val="Arial"/>
      <family val="2"/>
      <charset val="1"/>
    </font>
    <font>
      <b/>
      <sz val="10"/>
      <color rgb="FFE67E22"/>
      <name val="Arial"/>
      <family val="2"/>
      <charset val="1"/>
    </font>
    <font>
      <b/>
      <sz val="8"/>
      <color rgb="FFCC0000"/>
      <name val="Arial"/>
      <family val="2"/>
      <charset val="1"/>
    </font>
    <font>
      <i/>
      <sz val="9"/>
      <color rgb="FF5C2020"/>
      <name val="Arial"/>
      <family val="2"/>
      <charset val="1"/>
    </font>
    <font>
      <b/>
      <sz val="14"/>
      <color rgb="FF27AE60"/>
      <name val="Arial"/>
      <family val="2"/>
      <charset val="1"/>
    </font>
    <font>
      <b/>
      <sz val="14"/>
      <color rgb="FFC0392B"/>
      <name val="Arial"/>
      <family val="2"/>
      <charset val="1"/>
    </font>
    <font>
      <b/>
      <sz val="14"/>
      <color rgb="FF1ABC9C"/>
      <name val="Arial"/>
      <family val="2"/>
      <charset val="1"/>
    </font>
    <font>
      <b/>
      <sz val="14"/>
      <color rgb="FF1E3A5F"/>
      <name val="Arial"/>
      <family val="2"/>
      <charset val="1"/>
    </font>
    <font>
      <b/>
      <sz val="14"/>
      <color rgb="FF1A252F"/>
      <name val="Arial"/>
      <family val="2"/>
      <charset val="1"/>
    </font>
    <font>
      <b/>
      <sz val="16"/>
      <color rgb="FFF6AE2D"/>
      <name val="Arial"/>
      <family val="2"/>
    </font>
    <font>
      <sz val="9"/>
      <color rgb="FFFFFFFF"/>
      <name val="Arial"/>
      <family val="2"/>
    </font>
    <font>
      <b/>
      <sz val="12"/>
      <color rgb="FFFFFFFF"/>
      <name val="Arial"/>
      <family val="2"/>
    </font>
    <font>
      <b/>
      <sz val="10"/>
      <color rgb="FF1E3A5F"/>
      <name val="Arial"/>
      <family val="2"/>
    </font>
    <font>
      <sz val="11"/>
      <color rgb="FF000000"/>
      <name val="Arial"/>
      <family val="2"/>
    </font>
    <font>
      <b/>
      <sz val="9"/>
      <color rgb="FF1E3A5F"/>
      <name val="Arial"/>
      <family val="2"/>
    </font>
    <font>
      <sz val="9"/>
      <color rgb="FF000000"/>
      <name val="Arial"/>
      <family val="2"/>
    </font>
    <font>
      <sz val="8"/>
      <color rgb="FFFFFFFF"/>
      <name val="Arial"/>
      <family val="2"/>
    </font>
    <font>
      <b/>
      <sz val="9"/>
      <color rgb="FFFFFFFF"/>
      <name val="Arial"/>
      <family val="2"/>
    </font>
    <font>
      <sz val="8"/>
      <color rgb="FF000000"/>
      <name val="Arial"/>
      <family val="2"/>
    </font>
    <font>
      <b/>
      <sz val="11"/>
      <color rgb="FFFFFFFF"/>
      <name val="Arial"/>
      <family val="2"/>
    </font>
    <font>
      <b/>
      <sz val="10"/>
      <color rgb="FF000000"/>
      <name val="Arial"/>
      <family val="2"/>
    </font>
    <font>
      <i/>
      <sz val="9"/>
      <color rgb="FF000000"/>
      <name val="Arial"/>
      <family val="2"/>
    </font>
    <font>
      <b/>
      <sz val="14"/>
      <color rgb="FFF6AE2D"/>
      <name val="Arial"/>
      <family val="2"/>
    </font>
    <font>
      <b/>
      <sz val="14"/>
      <color rgb="FFFFFFFF"/>
      <name val="Arial"/>
      <family val="2"/>
    </font>
    <font>
      <sz val="8"/>
      <color rgb="FF1E3A5F"/>
      <name val="Arial"/>
      <family val="2"/>
    </font>
    <font>
      <b/>
      <sz val="14"/>
      <color rgb="FF1E3A5F"/>
      <name val="Arial"/>
      <family val="2"/>
    </font>
    <font>
      <b/>
      <sz val="10"/>
      <color rgb="FFFFFFFF"/>
      <name val="Arial"/>
      <family val="2"/>
    </font>
    <font>
      <i/>
      <sz val="8"/>
      <color rgb="FF000000"/>
      <name val="Arial"/>
      <family val="2"/>
    </font>
    <font>
      <sz val="9"/>
      <color rgb="FF7F8C8D"/>
      <name val="Arial"/>
      <family val="2"/>
    </font>
    <font>
      <b/>
      <sz val="9"/>
      <name val="Arial"/>
      <family val="2"/>
      <charset val="1"/>
    </font>
    <font>
      <sz val="9"/>
      <name val="Arial"/>
      <family val="2"/>
      <charset val="1"/>
    </font>
    <font>
      <b/>
      <sz val="13"/>
      <color rgb="FFF6AE2D"/>
      <name val="Arial"/>
      <family val="2"/>
      <charset val="1"/>
    </font>
    <font>
      <sz val="9"/>
      <name val="Courier New"/>
      <family val="3"/>
      <charset val="1"/>
    </font>
  </fonts>
  <fills count="28">
    <fill>
      <patternFill patternType="none"/>
    </fill>
    <fill>
      <patternFill patternType="gray125"/>
    </fill>
    <fill>
      <patternFill patternType="solid">
        <fgColor rgb="FFFFFFFF"/>
        <bgColor rgb="FFFAFAFA"/>
      </patternFill>
    </fill>
    <fill>
      <patternFill patternType="solid">
        <fgColor rgb="FFF6AE2D"/>
        <bgColor rgb="FFE67E22"/>
      </patternFill>
    </fill>
    <fill>
      <patternFill patternType="solid">
        <fgColor rgb="FF2E86AB"/>
        <bgColor rgb="FF008080"/>
      </patternFill>
    </fill>
    <fill>
      <patternFill patternType="solid">
        <fgColor rgb="FF27AE60"/>
        <bgColor rgb="FF1ABC9C"/>
      </patternFill>
    </fill>
    <fill>
      <patternFill patternType="solid">
        <fgColor rgb="FFFFF3CD"/>
        <bgColor rgb="FFFFF9C4"/>
      </patternFill>
    </fill>
    <fill>
      <patternFill patternType="solid">
        <fgColor rgb="FF1ABC9C"/>
        <bgColor rgb="FF27AE60"/>
      </patternFill>
    </fill>
    <fill>
      <patternFill patternType="solid">
        <fgColor rgb="FFEBF5FB"/>
        <bgColor rgb="FFF0F3F4"/>
      </patternFill>
    </fill>
    <fill>
      <patternFill patternType="solid">
        <fgColor rgb="FF1E3A5F"/>
        <bgColor rgb="FF1A3C5E"/>
      </patternFill>
    </fill>
    <fill>
      <patternFill patternType="solid">
        <fgColor rgb="FFC0392B"/>
        <bgColor rgb="FFDC143C"/>
      </patternFill>
    </fill>
    <fill>
      <patternFill patternType="solid">
        <fgColor rgb="FFE67E22"/>
        <bgColor rgb="FFF6AE2D"/>
      </patternFill>
    </fill>
    <fill>
      <patternFill patternType="solid">
        <fgColor rgb="FF8E44AD"/>
        <bgColor rgb="FF6C3483"/>
      </patternFill>
    </fill>
    <fill>
      <patternFill patternType="solid">
        <fgColor rgb="FFFAFAFA"/>
        <bgColor rgb="FFF9F9F9"/>
      </patternFill>
    </fill>
    <fill>
      <patternFill patternType="solid">
        <fgColor rgb="FFF0F3F4"/>
        <bgColor rgb="FFEBF5FB"/>
      </patternFill>
    </fill>
    <fill>
      <patternFill patternType="solid">
        <fgColor rgb="FFDC143C"/>
        <bgColor rgb="FFCC0000"/>
      </patternFill>
    </fill>
    <fill>
      <patternFill patternType="solid">
        <fgColor rgb="FF6C3483"/>
        <bgColor rgb="FF8E44AD"/>
      </patternFill>
    </fill>
    <fill>
      <patternFill patternType="solid">
        <fgColor rgb="FFF5EEF8"/>
        <bgColor rgb="FFF0F3F4"/>
      </patternFill>
    </fill>
    <fill>
      <patternFill patternType="solid">
        <fgColor rgb="FF1A252F"/>
        <bgColor rgb="FF1E3A5F"/>
      </patternFill>
    </fill>
    <fill>
      <patternFill patternType="solid">
        <fgColor rgb="FFFDEDEC"/>
        <bgColor rgb="FFFFF0F0"/>
      </patternFill>
    </fill>
    <fill>
      <patternFill patternType="solid">
        <fgColor rgb="FFFEF9E7"/>
        <bgColor rgb="FFFDF2F2"/>
      </patternFill>
    </fill>
    <fill>
      <patternFill patternType="solid">
        <fgColor rgb="FF1A3C5E"/>
        <bgColor rgb="FF1E3A5F"/>
      </patternFill>
    </fill>
    <fill>
      <patternFill patternType="solid">
        <fgColor rgb="FFD5F5E3"/>
        <bgColor rgb="FFEBF5FB"/>
      </patternFill>
    </fill>
    <fill>
      <patternFill patternType="solid">
        <fgColor rgb="FF8B1A1A"/>
        <bgColor rgb="FF5C2020"/>
      </patternFill>
    </fill>
    <fill>
      <patternFill patternType="solid">
        <fgColor rgb="FFFFF0F0"/>
        <bgColor rgb="FFFDF2F2"/>
      </patternFill>
    </fill>
    <fill>
      <patternFill patternType="solid">
        <fgColor rgb="FFFFF9C4"/>
        <bgColor rgb="FFFFF3CD"/>
      </patternFill>
    </fill>
    <fill>
      <patternFill patternType="solid">
        <fgColor rgb="FFF8F9FA"/>
        <bgColor rgb="FFF9F9F9"/>
      </patternFill>
    </fill>
    <fill>
      <patternFill patternType="solid">
        <fgColor rgb="FF2C3E50"/>
        <bgColor rgb="FF1E3A5F"/>
      </patternFill>
    </fill>
  </fills>
  <borders count="13">
    <border>
      <left/>
      <right/>
      <top/>
      <bottom/>
      <diagonal/>
    </border>
    <border>
      <left style="thin">
        <color rgb="FFBDC3C7"/>
      </left>
      <right style="thin">
        <color rgb="FFBDC3C7"/>
      </right>
      <top style="thin">
        <color rgb="FFBDC3C7"/>
      </top>
      <bottom style="thin">
        <color rgb="FFBDC3C7"/>
      </bottom>
      <diagonal/>
    </border>
    <border>
      <left style="medium">
        <color rgb="FF1E3A5F"/>
      </left>
      <right style="medium">
        <color rgb="FF1E3A5F"/>
      </right>
      <top style="medium">
        <color rgb="FF1E3A5F"/>
      </top>
      <bottom style="medium">
        <color rgb="FF1E3A5F"/>
      </bottom>
      <diagonal/>
    </border>
    <border>
      <left style="thin">
        <color rgb="FFBDC3C7"/>
      </left>
      <right/>
      <top style="thin">
        <color rgb="FFBDC3C7"/>
      </top>
      <bottom/>
      <diagonal/>
    </border>
    <border>
      <left style="thin">
        <color rgb="FFBDC3C7"/>
      </left>
      <right/>
      <top style="thin">
        <color rgb="FFBDC3C7"/>
      </top>
      <bottom style="thin">
        <color rgb="FFBDC3C7"/>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thin">
        <color rgb="FFBDC3C7"/>
      </top>
      <bottom style="thin">
        <color rgb="FFBDC3C7"/>
      </bottom>
      <diagonal/>
    </border>
    <border>
      <left/>
      <right/>
      <top/>
      <bottom style="thin">
        <color rgb="FFBDC3C7"/>
      </bottom>
      <diagonal/>
    </border>
    <border>
      <left style="thin">
        <color rgb="FFCCCCCC"/>
      </left>
      <right style="thin">
        <color rgb="FFCCCCCC"/>
      </right>
      <top style="thin">
        <color rgb="FFCCCCCC"/>
      </top>
      <bottom style="thin">
        <color rgb="FFCCCCCC"/>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216">
    <xf numFmtId="0" fontId="0" fillId="0" borderId="0" xfId="0"/>
    <xf numFmtId="0" fontId="0" fillId="2" borderId="0" xfId="0" applyFill="1"/>
    <xf numFmtId="0" fontId="0" fillId="3" borderId="0" xfId="0" applyFill="1"/>
    <xf numFmtId="0" fontId="0" fillId="4" borderId="0" xfId="0" applyFill="1"/>
    <xf numFmtId="0" fontId="0" fillId="7" borderId="0" xfId="0" applyFill="1"/>
    <xf numFmtId="0" fontId="17" fillId="11" borderId="0" xfId="0" applyFont="1" applyFill="1" applyAlignment="1">
      <alignment horizontal="center" vertical="center"/>
    </xf>
    <xf numFmtId="0" fontId="25" fillId="9" borderId="1" xfId="0" applyFont="1" applyFill="1" applyBorder="1" applyAlignment="1">
      <alignment horizontal="center" vertical="center"/>
    </xf>
    <xf numFmtId="0" fontId="26" fillId="2" borderId="1" xfId="0" applyFont="1" applyFill="1" applyBorder="1" applyAlignment="1">
      <alignment horizontal="left" vertical="center"/>
    </xf>
    <xf numFmtId="164" fontId="26" fillId="2" borderId="1" xfId="0" applyNumberFormat="1" applyFont="1" applyFill="1" applyBorder="1" applyAlignment="1">
      <alignment horizontal="center" vertical="center"/>
    </xf>
    <xf numFmtId="0" fontId="26" fillId="2" borderId="1" xfId="0" applyFont="1" applyFill="1" applyBorder="1" applyAlignment="1">
      <alignment horizontal="center" vertical="center"/>
    </xf>
    <xf numFmtId="165" fontId="26" fillId="2" borderId="1" xfId="0" applyNumberFormat="1" applyFont="1" applyFill="1" applyBorder="1" applyAlignment="1">
      <alignment horizontal="center" vertical="center"/>
    </xf>
    <xf numFmtId="0" fontId="26" fillId="8" borderId="1" xfId="0" applyFont="1" applyFill="1" applyBorder="1" applyAlignment="1">
      <alignment horizontal="left" vertical="center"/>
    </xf>
    <xf numFmtId="164" fontId="26" fillId="8" borderId="1" xfId="0" applyNumberFormat="1" applyFont="1" applyFill="1" applyBorder="1" applyAlignment="1">
      <alignment horizontal="center" vertical="center"/>
    </xf>
    <xf numFmtId="0" fontId="26" fillId="8" borderId="1" xfId="0" applyFont="1" applyFill="1" applyBorder="1" applyAlignment="1">
      <alignment horizontal="center" vertical="center"/>
    </xf>
    <xf numFmtId="165" fontId="26" fillId="8" borderId="1" xfId="0" applyNumberFormat="1" applyFont="1" applyFill="1" applyBorder="1" applyAlignment="1">
      <alignment horizontal="center" vertical="center"/>
    </xf>
    <xf numFmtId="0" fontId="27" fillId="3" borderId="2" xfId="0" applyFont="1" applyFill="1" applyBorder="1" applyAlignment="1">
      <alignment horizontal="center" vertical="center"/>
    </xf>
    <xf numFmtId="164" fontId="27" fillId="3" borderId="2" xfId="0" applyNumberFormat="1" applyFont="1" applyFill="1" applyBorder="1" applyAlignment="1">
      <alignment horizontal="center" vertical="center"/>
    </xf>
    <xf numFmtId="165" fontId="27" fillId="3" borderId="2" xfId="0" applyNumberFormat="1" applyFont="1" applyFill="1" applyBorder="1" applyAlignment="1">
      <alignment horizontal="center" vertical="center"/>
    </xf>
    <xf numFmtId="0" fontId="31" fillId="2" borderId="0" xfId="0" applyFont="1" applyFill="1"/>
    <xf numFmtId="0" fontId="32" fillId="2" borderId="0" xfId="0" applyFont="1" applyFill="1"/>
    <xf numFmtId="0" fontId="36" fillId="2" borderId="0" xfId="0" applyFont="1" applyFill="1"/>
    <xf numFmtId="0" fontId="37" fillId="2" borderId="0" xfId="0" applyFont="1" applyFill="1" applyAlignment="1">
      <alignment horizontal="right" vertical="center"/>
    </xf>
    <xf numFmtId="167" fontId="38" fillId="8" borderId="6" xfId="0" applyNumberFormat="1" applyFont="1" applyFill="1" applyBorder="1" applyAlignment="1">
      <alignment horizontal="left" vertical="center"/>
    </xf>
    <xf numFmtId="0" fontId="40" fillId="2" borderId="0" xfId="0" applyFont="1" applyFill="1" applyAlignment="1">
      <alignment horizontal="right" vertical="center"/>
    </xf>
    <xf numFmtId="0" fontId="40" fillId="0" borderId="0" xfId="0" applyFont="1" applyAlignment="1">
      <alignment horizontal="right" vertical="center"/>
    </xf>
    <xf numFmtId="0" fontId="0" fillId="0" borderId="8" xfId="0" applyBorder="1"/>
    <xf numFmtId="0" fontId="44" fillId="3" borderId="6" xfId="0" applyFont="1" applyFill="1" applyBorder="1" applyAlignment="1">
      <alignment horizontal="center" vertical="center"/>
    </xf>
    <xf numFmtId="0" fontId="17" fillId="9" borderId="0" xfId="0" applyFont="1" applyFill="1" applyAlignment="1">
      <alignment horizontal="center" vertical="center"/>
    </xf>
    <xf numFmtId="0" fontId="45" fillId="8" borderId="6" xfId="0" applyFont="1" applyFill="1" applyBorder="1" applyAlignment="1">
      <alignment horizontal="left" vertical="center"/>
    </xf>
    <xf numFmtId="0" fontId="45" fillId="2" borderId="6" xfId="0" applyFont="1" applyFill="1" applyBorder="1" applyAlignment="1">
      <alignment horizontal="left" vertical="center"/>
    </xf>
    <xf numFmtId="49" fontId="48" fillId="8" borderId="0" xfId="0" applyNumberFormat="1" applyFont="1" applyFill="1" applyAlignment="1">
      <alignment horizontal="center" vertical="center"/>
    </xf>
    <xf numFmtId="0" fontId="17" fillId="16" borderId="6" xfId="0" applyFont="1" applyFill="1" applyBorder="1" applyAlignment="1">
      <alignment horizontal="center" vertical="center" wrapText="1"/>
    </xf>
    <xf numFmtId="0" fontId="0" fillId="2" borderId="1" xfId="0" applyFill="1" applyBorder="1" applyAlignment="1">
      <alignment horizontal="center" vertical="center"/>
    </xf>
    <xf numFmtId="164" fontId="49" fillId="2" borderId="1" xfId="0" applyNumberFormat="1" applyFont="1" applyFill="1" applyBorder="1" applyAlignment="1">
      <alignment horizontal="center" vertical="center"/>
    </xf>
    <xf numFmtId="168" fontId="50" fillId="2" borderId="1" xfId="0" applyNumberFormat="1" applyFont="1" applyFill="1" applyBorder="1" applyAlignment="1">
      <alignment horizontal="center" vertical="center"/>
    </xf>
    <xf numFmtId="164" fontId="51" fillId="8" borderId="1" xfId="0" applyNumberFormat="1" applyFont="1" applyFill="1" applyBorder="1" applyAlignment="1">
      <alignment horizontal="left" vertical="center"/>
    </xf>
    <xf numFmtId="164" fontId="31" fillId="2" borderId="1" xfId="0" applyNumberFormat="1" applyFont="1" applyFill="1" applyBorder="1" applyAlignment="1">
      <alignment horizontal="center" vertical="center"/>
    </xf>
    <xf numFmtId="0" fontId="28" fillId="17" borderId="6" xfId="0" applyFont="1" applyFill="1" applyBorder="1" applyAlignment="1">
      <alignment horizontal="center" vertical="center"/>
    </xf>
    <xf numFmtId="0" fontId="32" fillId="2" borderId="1" xfId="0" applyFont="1" applyFill="1" applyBorder="1" applyAlignment="1">
      <alignment horizontal="center" vertical="center"/>
    </xf>
    <xf numFmtId="0" fontId="50" fillId="2" borderId="1" xfId="0" applyFont="1" applyFill="1" applyBorder="1" applyAlignment="1">
      <alignment horizontal="center" vertical="center"/>
    </xf>
    <xf numFmtId="0" fontId="0" fillId="2" borderId="1" xfId="0" applyFill="1" applyBorder="1" applyAlignment="1">
      <alignment horizontal="left" vertical="center"/>
    </xf>
    <xf numFmtId="0" fontId="0" fillId="8" borderId="1" xfId="0" applyFill="1" applyBorder="1" applyAlignment="1">
      <alignment horizontal="center" vertical="center"/>
    </xf>
    <xf numFmtId="164" fontId="49" fillId="8" borderId="1" xfId="0" applyNumberFormat="1" applyFont="1" applyFill="1" applyBorder="1" applyAlignment="1">
      <alignment horizontal="center" vertical="center"/>
    </xf>
    <xf numFmtId="168" fontId="50" fillId="8" borderId="1" xfId="0" applyNumberFormat="1" applyFont="1" applyFill="1" applyBorder="1" applyAlignment="1">
      <alignment horizontal="center" vertical="center"/>
    </xf>
    <xf numFmtId="164" fontId="31" fillId="8" borderId="1" xfId="0" applyNumberFormat="1" applyFont="1" applyFill="1" applyBorder="1" applyAlignment="1">
      <alignment horizontal="center" vertical="center"/>
    </xf>
    <xf numFmtId="0" fontId="32" fillId="8" borderId="1" xfId="0" applyFont="1" applyFill="1" applyBorder="1" applyAlignment="1">
      <alignment horizontal="center" vertical="center"/>
    </xf>
    <xf numFmtId="0" fontId="50" fillId="8" borderId="1" xfId="0" applyFont="1" applyFill="1" applyBorder="1" applyAlignment="1">
      <alignment horizontal="center" vertical="center"/>
    </xf>
    <xf numFmtId="0" fontId="0" fillId="8" borderId="1" xfId="0" applyFill="1" applyBorder="1" applyAlignment="1">
      <alignment horizontal="left" vertical="center"/>
    </xf>
    <xf numFmtId="3" fontId="53" fillId="8" borderId="0" xfId="0" applyNumberFormat="1" applyFont="1" applyFill="1" applyAlignment="1">
      <alignment horizontal="center" vertical="center"/>
    </xf>
    <xf numFmtId="0" fontId="25" fillId="18" borderId="1" xfId="0" applyFont="1" applyFill="1" applyBorder="1" applyAlignment="1">
      <alignment horizontal="center" vertical="center"/>
    </xf>
    <xf numFmtId="164" fontId="51" fillId="19" borderId="1" xfId="0" applyNumberFormat="1" applyFont="1" applyFill="1" applyBorder="1" applyAlignment="1">
      <alignment horizontal="left" vertical="center"/>
    </xf>
    <xf numFmtId="164" fontId="54" fillId="2" borderId="1" xfId="0" applyNumberFormat="1" applyFont="1" applyFill="1" applyBorder="1" applyAlignment="1">
      <alignment horizontal="center" vertical="center"/>
    </xf>
    <xf numFmtId="164" fontId="54" fillId="8" borderId="1" xfId="0" applyNumberFormat="1" applyFont="1" applyFill="1" applyBorder="1" applyAlignment="1">
      <alignment horizontal="center" vertical="center"/>
    </xf>
    <xf numFmtId="0" fontId="42" fillId="9" borderId="0" xfId="0" applyFont="1" applyFill="1" applyAlignment="1">
      <alignment horizontal="center" vertical="center"/>
    </xf>
    <xf numFmtId="0" fontId="29" fillId="0" borderId="0" xfId="0" applyFont="1" applyAlignment="1">
      <alignment horizontal="left" vertical="center"/>
    </xf>
    <xf numFmtId="0" fontId="27" fillId="0" borderId="0" xfId="0" applyFont="1" applyAlignment="1">
      <alignment horizontal="left" vertical="center"/>
    </xf>
    <xf numFmtId="0" fontId="25" fillId="11" borderId="1" xfId="0" applyFont="1" applyFill="1" applyBorder="1" applyAlignment="1">
      <alignment horizontal="center" vertical="center"/>
    </xf>
    <xf numFmtId="164" fontId="51" fillId="20" borderId="1" xfId="0" applyNumberFormat="1" applyFont="1" applyFill="1" applyBorder="1" applyAlignment="1">
      <alignment horizontal="left" vertical="center"/>
    </xf>
    <xf numFmtId="0" fontId="51" fillId="8" borderId="1" xfId="0" applyFont="1" applyFill="1" applyBorder="1" applyAlignment="1">
      <alignment horizontal="center" vertical="center"/>
    </xf>
    <xf numFmtId="169" fontId="26" fillId="8" borderId="1" xfId="0" applyNumberFormat="1" applyFont="1" applyFill="1" applyBorder="1" applyAlignment="1">
      <alignment horizontal="center" vertical="center"/>
    </xf>
    <xf numFmtId="164" fontId="27" fillId="8" borderId="1" xfId="0" applyNumberFormat="1" applyFont="1" applyFill="1" applyBorder="1" applyAlignment="1">
      <alignment horizontal="center" vertical="center"/>
    </xf>
    <xf numFmtId="164" fontId="58" fillId="8" borderId="1" xfId="0" applyNumberFormat="1" applyFont="1" applyFill="1" applyBorder="1" applyAlignment="1">
      <alignment horizontal="center" vertical="center"/>
    </xf>
    <xf numFmtId="0" fontId="59" fillId="8" borderId="1" xfId="0" applyFont="1" applyFill="1" applyBorder="1" applyAlignment="1">
      <alignment horizontal="center" vertical="center"/>
    </xf>
    <xf numFmtId="0" fontId="51" fillId="2" borderId="1" xfId="0" applyFont="1" applyFill="1" applyBorder="1" applyAlignment="1">
      <alignment horizontal="center" vertical="center"/>
    </xf>
    <xf numFmtId="169" fontId="26" fillId="2" borderId="1" xfId="0" applyNumberFormat="1" applyFont="1" applyFill="1" applyBorder="1" applyAlignment="1">
      <alignment horizontal="center" vertical="center"/>
    </xf>
    <xf numFmtId="164" fontId="58" fillId="2" borderId="1" xfId="0" applyNumberFormat="1" applyFont="1" applyFill="1" applyBorder="1" applyAlignment="1">
      <alignment horizontal="center" vertical="center"/>
    </xf>
    <xf numFmtId="0" fontId="59" fillId="2" borderId="1" xfId="0" applyFont="1" applyFill="1" applyBorder="1" applyAlignment="1">
      <alignment horizontal="center" vertical="center"/>
    </xf>
    <xf numFmtId="169" fontId="0" fillId="0" borderId="0" xfId="0" applyNumberFormat="1"/>
    <xf numFmtId="0" fontId="0" fillId="8" borderId="0" xfId="0" applyFill="1"/>
    <xf numFmtId="0" fontId="25" fillId="21" borderId="10" xfId="0" applyFont="1" applyFill="1" applyBorder="1" applyAlignment="1">
      <alignment horizontal="center"/>
    </xf>
    <xf numFmtId="168" fontId="26" fillId="8" borderId="1" xfId="0" applyNumberFormat="1" applyFont="1" applyFill="1" applyBorder="1" applyAlignment="1">
      <alignment horizontal="center" vertical="center"/>
    </xf>
    <xf numFmtId="168" fontId="26" fillId="2" borderId="1" xfId="0" applyNumberFormat="1" applyFont="1" applyFill="1" applyBorder="1" applyAlignment="1">
      <alignment horizontal="center" vertical="center"/>
    </xf>
    <xf numFmtId="0" fontId="25" fillId="5" borderId="1" xfId="0" applyFont="1" applyFill="1" applyBorder="1" applyAlignment="1">
      <alignment horizontal="center" vertical="center"/>
    </xf>
    <xf numFmtId="0" fontId="31" fillId="22" borderId="1" xfId="0" applyFont="1" applyFill="1" applyBorder="1" applyAlignment="1">
      <alignment horizontal="center" vertical="center"/>
    </xf>
    <xf numFmtId="0" fontId="60" fillId="0" borderId="0" xfId="0" applyFont="1"/>
    <xf numFmtId="0" fontId="59" fillId="20" borderId="1" xfId="0" applyFont="1" applyFill="1" applyBorder="1" applyAlignment="1">
      <alignment horizontal="center" vertical="center"/>
    </xf>
    <xf numFmtId="0" fontId="25" fillId="23" borderId="10" xfId="0" applyFont="1" applyFill="1" applyBorder="1" applyAlignment="1">
      <alignment horizontal="center" vertical="center"/>
    </xf>
    <xf numFmtId="0" fontId="28" fillId="8" borderId="0" xfId="0" applyFont="1" applyFill="1" applyAlignment="1">
      <alignment horizontal="center" vertical="center"/>
    </xf>
    <xf numFmtId="0" fontId="25" fillId="9" borderId="0" xfId="0" applyFont="1" applyFill="1" applyAlignment="1">
      <alignment horizontal="center" vertical="center"/>
    </xf>
    <xf numFmtId="164" fontId="66" fillId="3" borderId="0" xfId="0" applyNumberFormat="1" applyFont="1" applyFill="1" applyAlignment="1">
      <alignment horizontal="center" vertical="center"/>
    </xf>
    <xf numFmtId="3" fontId="66" fillId="3" borderId="0" xfId="0" applyNumberFormat="1" applyFont="1" applyFill="1" applyAlignment="1">
      <alignment horizontal="center" vertical="center"/>
    </xf>
    <xf numFmtId="0" fontId="25" fillId="12" borderId="1" xfId="0" applyFont="1" applyFill="1" applyBorder="1" applyAlignment="1">
      <alignment horizontal="center" vertical="center"/>
    </xf>
    <xf numFmtId="0" fontId="70" fillId="0" borderId="0" xfId="0" applyFont="1" applyAlignment="1">
      <alignment horizontal="left" vertical="center"/>
    </xf>
    <xf numFmtId="0" fontId="72" fillId="0" borderId="0" xfId="0" applyFont="1" applyAlignment="1">
      <alignment horizontal="left" vertical="center"/>
    </xf>
    <xf numFmtId="0" fontId="75" fillId="9" borderId="12" xfId="0" applyFont="1" applyFill="1" applyBorder="1" applyAlignment="1">
      <alignment horizontal="center" vertical="center" wrapText="1"/>
    </xf>
    <xf numFmtId="0" fontId="76" fillId="2" borderId="12" xfId="0" applyFont="1" applyFill="1" applyBorder="1" applyAlignment="1">
      <alignment horizontal="center" vertical="center"/>
    </xf>
    <xf numFmtId="0" fontId="73" fillId="2" borderId="12" xfId="0" applyFont="1" applyFill="1" applyBorder="1" applyAlignment="1">
      <alignment horizontal="left" vertical="center"/>
    </xf>
    <xf numFmtId="0" fontId="76" fillId="26" borderId="12" xfId="0" applyFont="1" applyFill="1" applyBorder="1" applyAlignment="1">
      <alignment horizontal="center" vertical="center"/>
    </xf>
    <xf numFmtId="0" fontId="73" fillId="26" borderId="12" xfId="0" applyFont="1" applyFill="1" applyBorder="1" applyAlignment="1">
      <alignment horizontal="left" vertical="center"/>
    </xf>
    <xf numFmtId="0" fontId="0" fillId="9" borderId="0" xfId="0" applyFill="1"/>
    <xf numFmtId="0" fontId="0" fillId="18" borderId="0" xfId="0" applyFill="1"/>
    <xf numFmtId="0" fontId="75" fillId="9" borderId="12" xfId="0" applyFont="1" applyFill="1" applyBorder="1" applyAlignment="1">
      <alignment horizontal="center" vertical="center"/>
    </xf>
    <xf numFmtId="0" fontId="76" fillId="2" borderId="12" xfId="0" applyFont="1" applyFill="1" applyBorder="1" applyAlignment="1">
      <alignment horizontal="left" vertical="center"/>
    </xf>
    <xf numFmtId="0" fontId="76" fillId="26" borderId="12" xfId="0" applyFont="1" applyFill="1" applyBorder="1" applyAlignment="1">
      <alignment horizontal="left" vertical="center"/>
    </xf>
    <xf numFmtId="0" fontId="25" fillId="21" borderId="10" xfId="0" applyFont="1" applyFill="1" applyBorder="1" applyAlignment="1">
      <alignment horizontal="center" vertical="center"/>
    </xf>
    <xf numFmtId="0" fontId="57" fillId="3" borderId="0" xfId="0" applyFont="1" applyFill="1" applyAlignment="1">
      <alignment horizontal="center" vertical="center"/>
    </xf>
    <xf numFmtId="0" fontId="87" fillId="0" borderId="1" xfId="0" applyFont="1" applyBorder="1" applyAlignment="1">
      <alignment horizontal="left" vertical="center"/>
    </xf>
    <xf numFmtId="0" fontId="88" fillId="8" borderId="1" xfId="0" applyFont="1" applyFill="1" applyBorder="1" applyAlignment="1">
      <alignment horizontal="left" vertical="center"/>
    </xf>
    <xf numFmtId="0" fontId="28" fillId="2" borderId="0" xfId="0" applyFont="1" applyFill="1" applyAlignment="1">
      <alignment horizontal="left" vertical="center"/>
    </xf>
    <xf numFmtId="0" fontId="28" fillId="8" borderId="0" xfId="0" applyFont="1" applyFill="1" applyAlignment="1">
      <alignment horizontal="left" vertical="center"/>
    </xf>
    <xf numFmtId="0" fontId="25" fillId="27" borderId="10" xfId="0" applyFont="1" applyFill="1" applyBorder="1" applyAlignment="1">
      <alignment horizontal="center"/>
    </xf>
    <xf numFmtId="0" fontId="89" fillId="9" borderId="0" xfId="0" applyFont="1" applyFill="1" applyAlignment="1">
      <alignment horizontal="center" vertical="center"/>
    </xf>
    <xf numFmtId="0" fontId="89" fillId="9" borderId="0" xfId="0" applyFont="1" applyFill="1" applyAlignment="1">
      <alignment horizontal="left" vertical="center" wrapText="1"/>
    </xf>
    <xf numFmtId="0" fontId="90" fillId="0" borderId="0" xfId="0" applyFont="1" applyAlignment="1">
      <alignment horizontal="left" vertical="top"/>
    </xf>
    <xf numFmtId="0" fontId="32" fillId="8" borderId="5" xfId="0" applyFont="1" applyFill="1" applyBorder="1" applyAlignment="1">
      <alignment horizontal="left" vertical="center" wrapText="1"/>
    </xf>
    <xf numFmtId="0" fontId="25" fillId="9" borderId="0" xfId="0" applyFont="1" applyFill="1" applyAlignment="1">
      <alignment horizontal="left" vertical="center"/>
    </xf>
    <xf numFmtId="0" fontId="41" fillId="15" borderId="7" xfId="0" applyFont="1" applyFill="1" applyBorder="1" applyAlignment="1">
      <alignment horizontal="center" vertical="center"/>
    </xf>
    <xf numFmtId="0" fontId="42" fillId="5" borderId="9" xfId="0" applyFont="1" applyFill="1" applyBorder="1" applyAlignment="1">
      <alignment horizontal="center" vertical="center"/>
    </xf>
    <xf numFmtId="0" fontId="43" fillId="3" borderId="7" xfId="0" applyFont="1" applyFill="1" applyBorder="1" applyAlignment="1">
      <alignment horizontal="center" vertical="center"/>
    </xf>
    <xf numFmtId="0" fontId="39" fillId="2" borderId="0" xfId="0" applyFont="1" applyFill="1" applyAlignment="1">
      <alignment horizontal="left" vertical="center"/>
    </xf>
    <xf numFmtId="0" fontId="38" fillId="13" borderId="5" xfId="0" applyFont="1" applyFill="1" applyBorder="1" applyAlignment="1">
      <alignment horizontal="left" vertical="center"/>
    </xf>
    <xf numFmtId="0" fontId="26" fillId="13" borderId="5" xfId="0" applyFont="1" applyFill="1" applyBorder="1" applyAlignment="1">
      <alignment horizontal="left" vertical="center"/>
    </xf>
    <xf numFmtId="0" fontId="27" fillId="14" borderId="0" xfId="0" applyFont="1" applyFill="1" applyAlignment="1">
      <alignment horizontal="center" vertical="center"/>
    </xf>
    <xf numFmtId="166" fontId="38" fillId="8" borderId="5" xfId="0" applyNumberFormat="1" applyFont="1" applyFill="1" applyBorder="1" applyAlignment="1">
      <alignment horizontal="left" vertical="center"/>
    </xf>
    <xf numFmtId="0" fontId="38" fillId="8" borderId="5" xfId="0" applyFont="1" applyFill="1" applyBorder="1" applyAlignment="1">
      <alignment horizontal="left" vertical="center"/>
    </xf>
    <xf numFmtId="0" fontId="33" fillId="9" borderId="0" xfId="0" applyFont="1" applyFill="1" applyAlignment="1">
      <alignment horizontal="center" vertical="center"/>
    </xf>
    <xf numFmtId="0" fontId="34" fillId="7" borderId="0" xfId="0" applyFont="1" applyFill="1" applyAlignment="1">
      <alignment horizontal="center" vertical="center"/>
    </xf>
    <xf numFmtId="0" fontId="35" fillId="8" borderId="0" xfId="0" applyFont="1" applyFill="1" applyAlignment="1">
      <alignment horizontal="center" vertical="center"/>
    </xf>
    <xf numFmtId="0" fontId="10" fillId="2" borderId="0" xfId="0" applyFont="1" applyFill="1" applyAlignment="1">
      <alignment horizontal="center" vertical="center"/>
    </xf>
    <xf numFmtId="0" fontId="6" fillId="2" borderId="0" xfId="0" applyFont="1" applyFill="1" applyAlignment="1">
      <alignment horizontal="center" vertical="center"/>
    </xf>
    <xf numFmtId="0" fontId="7" fillId="2" borderId="0" xfId="0" applyFont="1" applyFill="1" applyAlignment="1">
      <alignment horizontal="center" vertical="center" wrapText="1"/>
    </xf>
    <xf numFmtId="0" fontId="8" fillId="5" borderId="0" xfId="0" applyFont="1" applyFill="1" applyAlignment="1">
      <alignment horizontal="center" vertical="center"/>
    </xf>
    <xf numFmtId="0" fontId="9" fillId="6" borderId="0" xfId="0" applyFont="1" applyFill="1" applyAlignment="1">
      <alignment horizontal="center" vertical="center"/>
    </xf>
    <xf numFmtId="0" fontId="1" fillId="2" borderId="0" xfId="0" applyFont="1" applyFill="1" applyAlignment="1">
      <alignment horizontal="center"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0" fontId="4" fillId="2" borderId="0" xfId="0" applyFont="1" applyFill="1" applyAlignment="1">
      <alignment horizontal="center" vertical="center" wrapText="1"/>
    </xf>
    <xf numFmtId="0" fontId="5" fillId="2" borderId="0" xfId="0" applyFont="1" applyFill="1" applyAlignment="1">
      <alignment horizontal="center" vertical="center"/>
    </xf>
    <xf numFmtId="0" fontId="13" fillId="6" borderId="0" xfId="0" applyFont="1" applyFill="1" applyAlignment="1">
      <alignment horizontal="center" vertical="center" wrapText="1"/>
    </xf>
    <xf numFmtId="0" fontId="14" fillId="2" borderId="0" xfId="0" applyFont="1" applyFill="1" applyAlignment="1">
      <alignment horizontal="center" vertical="center"/>
    </xf>
    <xf numFmtId="0" fontId="8" fillId="2" borderId="0" xfId="0" applyFont="1" applyFill="1" applyAlignment="1">
      <alignment horizontal="center" vertical="center"/>
    </xf>
    <xf numFmtId="0" fontId="11" fillId="2" borderId="0" xfId="0" applyFont="1" applyFill="1" applyAlignment="1">
      <alignment horizontal="left" vertical="center" wrapText="1"/>
    </xf>
    <xf numFmtId="0" fontId="7" fillId="8" borderId="0" xfId="0" applyFont="1" applyFill="1" applyAlignment="1">
      <alignment horizontal="left" vertical="center" wrapText="1"/>
    </xf>
    <xf numFmtId="0" fontId="12" fillId="2" borderId="0" xfId="0" applyFont="1" applyFill="1" applyAlignment="1">
      <alignment horizontal="center" vertical="center"/>
    </xf>
    <xf numFmtId="0" fontId="32" fillId="2" borderId="0" xfId="0" applyFont="1" applyFill="1"/>
    <xf numFmtId="0" fontId="30" fillId="9" borderId="0" xfId="0" applyFont="1" applyFill="1"/>
    <xf numFmtId="164" fontId="23" fillId="8" borderId="0" xfId="0" applyNumberFormat="1" applyFont="1" applyFill="1" applyAlignment="1">
      <alignment horizontal="center" vertical="center"/>
    </xf>
    <xf numFmtId="0" fontId="24" fillId="9" borderId="0" xfId="0" applyFont="1" applyFill="1" applyAlignment="1">
      <alignment horizontal="center" vertical="center"/>
    </xf>
    <xf numFmtId="0" fontId="24" fillId="7" borderId="0" xfId="0" applyFont="1" applyFill="1" applyAlignment="1">
      <alignment horizontal="center" vertical="center"/>
    </xf>
    <xf numFmtId="0" fontId="28" fillId="8" borderId="3" xfId="0" applyFont="1" applyFill="1" applyBorder="1" applyAlignment="1">
      <alignment horizontal="left" vertical="top" wrapText="1"/>
    </xf>
    <xf numFmtId="0" fontId="27" fillId="0" borderId="4" xfId="0" applyFont="1" applyBorder="1" applyAlignment="1">
      <alignment horizontal="left" vertical="center"/>
    </xf>
    <xf numFmtId="0" fontId="29" fillId="8" borderId="4" xfId="0" applyFont="1" applyFill="1" applyBorder="1" applyAlignment="1">
      <alignment horizontal="center" vertical="center"/>
    </xf>
    <xf numFmtId="164" fontId="29" fillId="8" borderId="4" xfId="0" applyNumberFormat="1" applyFont="1" applyFill="1" applyBorder="1" applyAlignment="1">
      <alignment horizontal="center" vertical="center"/>
    </xf>
    <xf numFmtId="164" fontId="18" fillId="8" borderId="0" xfId="0" applyNumberFormat="1" applyFont="1" applyFill="1" applyAlignment="1">
      <alignment horizontal="center" vertical="center"/>
    </xf>
    <xf numFmtId="164" fontId="19" fillId="8" borderId="0" xfId="0" applyNumberFormat="1" applyFont="1" applyFill="1" applyAlignment="1">
      <alignment horizontal="center" vertical="center"/>
    </xf>
    <xf numFmtId="164" fontId="20" fillId="8" borderId="0" xfId="0" applyNumberFormat="1" applyFont="1" applyFill="1" applyAlignment="1">
      <alignment horizontal="center" vertical="center"/>
    </xf>
    <xf numFmtId="3" fontId="21" fillId="8" borderId="0" xfId="0" applyNumberFormat="1" applyFont="1" applyFill="1" applyAlignment="1">
      <alignment horizontal="center" vertical="center"/>
    </xf>
    <xf numFmtId="3" fontId="22" fillId="8" borderId="0" xfId="0" applyNumberFormat="1" applyFont="1" applyFill="1" applyAlignment="1">
      <alignment horizontal="center" vertical="center"/>
    </xf>
    <xf numFmtId="0" fontId="15" fillId="9" borderId="0" xfId="0" applyFont="1" applyFill="1" applyAlignment="1">
      <alignment horizontal="center" vertical="center"/>
    </xf>
    <xf numFmtId="0" fontId="16" fillId="4" borderId="0" xfId="0" applyFont="1" applyFill="1" applyAlignment="1">
      <alignment horizontal="center" vertical="center"/>
    </xf>
    <xf numFmtId="0" fontId="17" fillId="5" borderId="0" xfId="0" applyFont="1" applyFill="1" applyAlignment="1">
      <alignment horizontal="center" vertical="center"/>
    </xf>
    <xf numFmtId="0" fontId="17" fillId="10" borderId="0" xfId="0" applyFont="1" applyFill="1" applyAlignment="1">
      <alignment horizontal="center" vertical="center"/>
    </xf>
    <xf numFmtId="0" fontId="17" fillId="7" borderId="0" xfId="0" applyFont="1" applyFill="1" applyAlignment="1">
      <alignment horizontal="center" vertical="center"/>
    </xf>
    <xf numFmtId="0" fontId="17" fillId="4" borderId="0" xfId="0" applyFont="1" applyFill="1" applyAlignment="1">
      <alignment horizontal="center" vertical="center"/>
    </xf>
    <xf numFmtId="0" fontId="17" fillId="11" borderId="0" xfId="0" applyFont="1" applyFill="1" applyAlignment="1">
      <alignment horizontal="center" vertical="center"/>
    </xf>
    <xf numFmtId="0" fontId="17" fillId="12" borderId="0" xfId="0" applyFont="1" applyFill="1" applyAlignment="1">
      <alignment horizontal="center" vertical="center"/>
    </xf>
    <xf numFmtId="0" fontId="25" fillId="4" borderId="0" xfId="0" applyFont="1" applyFill="1" applyAlignment="1">
      <alignment horizontal="center" vertical="center"/>
    </xf>
    <xf numFmtId="164" fontId="46" fillId="8" borderId="0" xfId="0" applyNumberFormat="1" applyFont="1" applyFill="1" applyAlignment="1">
      <alignment horizontal="center" vertical="center"/>
    </xf>
    <xf numFmtId="3" fontId="47" fillId="8" borderId="0" xfId="0" applyNumberFormat="1" applyFont="1" applyFill="1" applyAlignment="1">
      <alignment horizontal="center" vertical="center"/>
    </xf>
    <xf numFmtId="49" fontId="48" fillId="8" borderId="0" xfId="0" applyNumberFormat="1" applyFont="1" applyFill="1" applyAlignment="1">
      <alignment horizontal="center" vertical="center"/>
    </xf>
    <xf numFmtId="0" fontId="0" fillId="0" borderId="0" xfId="0"/>
    <xf numFmtId="0" fontId="42" fillId="7" borderId="0" xfId="0" applyFont="1" applyFill="1" applyAlignment="1">
      <alignment horizontal="center" vertical="center"/>
    </xf>
    <xf numFmtId="0" fontId="34" fillId="5" borderId="0" xfId="0" applyFont="1" applyFill="1" applyAlignment="1">
      <alignment horizontal="center" vertical="center"/>
    </xf>
    <xf numFmtId="0" fontId="17" fillId="9" borderId="0" xfId="0" applyFont="1" applyFill="1" applyAlignment="1">
      <alignment horizontal="center" vertical="center"/>
    </xf>
    <xf numFmtId="0" fontId="25" fillId="11" borderId="0" xfId="0" applyFont="1" applyFill="1" applyAlignment="1">
      <alignment horizontal="center" vertical="center"/>
    </xf>
    <xf numFmtId="0" fontId="25" fillId="10" borderId="0" xfId="0" applyFont="1" applyFill="1" applyAlignment="1">
      <alignment horizontal="center" vertical="center"/>
    </xf>
    <xf numFmtId="0" fontId="33" fillId="18" borderId="0" xfId="0" applyFont="1" applyFill="1" applyAlignment="1">
      <alignment horizontal="center" vertical="center"/>
    </xf>
    <xf numFmtId="0" fontId="34" fillId="10" borderId="0" xfId="0" applyFont="1" applyFill="1" applyAlignment="1">
      <alignment horizontal="center" vertical="center"/>
    </xf>
    <xf numFmtId="164" fontId="52" fillId="8" borderId="0" xfId="0" applyNumberFormat="1" applyFont="1" applyFill="1" applyAlignment="1">
      <alignment horizontal="center" vertical="center"/>
    </xf>
    <xf numFmtId="3" fontId="46" fillId="8" borderId="0" xfId="0" applyNumberFormat="1" applyFont="1" applyFill="1" applyAlignment="1">
      <alignment horizontal="center" vertical="center"/>
    </xf>
    <xf numFmtId="169" fontId="26" fillId="8" borderId="1" xfId="0" applyNumberFormat="1" applyFont="1" applyFill="1" applyBorder="1" applyAlignment="1">
      <alignment horizontal="left" vertical="center"/>
    </xf>
    <xf numFmtId="164" fontId="26" fillId="8" borderId="1" xfId="0" applyNumberFormat="1" applyFont="1" applyFill="1" applyBorder="1" applyAlignment="1">
      <alignment horizontal="left" vertical="center"/>
    </xf>
    <xf numFmtId="164" fontId="57" fillId="3" borderId="1" xfId="0" applyNumberFormat="1" applyFont="1" applyFill="1" applyBorder="1" applyAlignment="1">
      <alignment horizontal="left" vertical="center"/>
    </xf>
    <xf numFmtId="0" fontId="42" fillId="4" borderId="0" xfId="0" applyFont="1" applyFill="1" applyAlignment="1">
      <alignment horizontal="center" vertical="center"/>
    </xf>
    <xf numFmtId="0" fontId="55" fillId="11" borderId="0" xfId="0" applyFont="1" applyFill="1" applyAlignment="1">
      <alignment horizontal="center" vertical="center"/>
    </xf>
    <xf numFmtId="0" fontId="56" fillId="18" borderId="0" xfId="0" applyFont="1" applyFill="1" applyAlignment="1">
      <alignment horizontal="center" vertical="center"/>
    </xf>
    <xf numFmtId="0" fontId="42" fillId="9" borderId="0" xfId="0" applyFont="1" applyFill="1" applyAlignment="1">
      <alignment horizontal="center" vertical="center"/>
    </xf>
    <xf numFmtId="0" fontId="51" fillId="8" borderId="2" xfId="0" applyFont="1" applyFill="1" applyBorder="1" applyAlignment="1">
      <alignment horizontal="left" vertical="center"/>
    </xf>
    <xf numFmtId="0" fontId="42" fillId="23" borderId="0" xfId="0" applyFont="1" applyFill="1" applyAlignment="1">
      <alignment horizontal="center" vertical="center"/>
    </xf>
    <xf numFmtId="0" fontId="61" fillId="24" borderId="0" xfId="0" applyFont="1" applyFill="1"/>
    <xf numFmtId="164" fontId="62" fillId="8" borderId="0" xfId="0" applyNumberFormat="1" applyFont="1" applyFill="1" applyAlignment="1">
      <alignment horizontal="center" vertical="center"/>
    </xf>
    <xf numFmtId="164" fontId="63" fillId="8" borderId="0" xfId="0" applyNumberFormat="1" applyFont="1" applyFill="1" applyAlignment="1">
      <alignment horizontal="center" vertical="center"/>
    </xf>
    <xf numFmtId="164" fontId="64" fillId="8" borderId="0" xfId="0" applyNumberFormat="1" applyFont="1" applyFill="1" applyAlignment="1">
      <alignment horizontal="center" vertical="center"/>
    </xf>
    <xf numFmtId="3" fontId="65" fillId="8" borderId="0" xfId="0" applyNumberFormat="1" applyFont="1" applyFill="1" applyAlignment="1">
      <alignment horizontal="center" vertical="center"/>
    </xf>
    <xf numFmtId="0" fontId="55" fillId="4" borderId="0" xfId="0" applyFont="1" applyFill="1" applyAlignment="1">
      <alignment horizontal="center" vertical="center"/>
    </xf>
    <xf numFmtId="0" fontId="57" fillId="8" borderId="0" xfId="0" applyFont="1" applyFill="1" applyAlignment="1">
      <alignment horizontal="center" vertical="center"/>
    </xf>
    <xf numFmtId="0" fontId="55" fillId="12" borderId="0" xfId="0" applyFont="1" applyFill="1" applyAlignment="1">
      <alignment horizontal="center" vertical="center"/>
    </xf>
    <xf numFmtId="0" fontId="28" fillId="8" borderId="0" xfId="0" applyFont="1" applyFill="1" applyAlignment="1">
      <alignment horizontal="center" vertical="center"/>
    </xf>
    <xf numFmtId="0" fontId="79" fillId="0" borderId="0" xfId="0" applyFont="1" applyAlignment="1">
      <alignment horizontal="left" vertical="center"/>
    </xf>
    <xf numFmtId="4" fontId="78" fillId="8" borderId="12" xfId="0" applyNumberFormat="1" applyFont="1" applyFill="1" applyBorder="1" applyAlignment="1">
      <alignment horizontal="center" vertical="center"/>
    </xf>
    <xf numFmtId="0" fontId="77" fillId="18" borderId="0" xfId="0" applyFont="1" applyFill="1" applyAlignment="1">
      <alignment horizontal="center" vertical="center"/>
    </xf>
    <xf numFmtId="0" fontId="74" fillId="4" borderId="0" xfId="0" applyFont="1" applyFill="1" applyAlignment="1">
      <alignment horizontal="center" vertical="center"/>
    </xf>
    <xf numFmtId="0" fontId="77" fillId="9" borderId="0" xfId="0" applyFont="1" applyFill="1" applyAlignment="1">
      <alignment horizontal="center" vertical="center"/>
    </xf>
    <xf numFmtId="0" fontId="67" fillId="9" borderId="0" xfId="0" applyFont="1" applyFill="1" applyAlignment="1">
      <alignment horizontal="center" vertical="center"/>
    </xf>
    <xf numFmtId="0" fontId="68" fillId="4" borderId="0" xfId="0" applyFont="1" applyFill="1" applyAlignment="1">
      <alignment horizontal="center" vertical="center"/>
    </xf>
    <xf numFmtId="0" fontId="69" fillId="9" borderId="0" xfId="0" applyFont="1" applyFill="1" applyAlignment="1">
      <alignment horizontal="center" vertical="center"/>
    </xf>
    <xf numFmtId="0" fontId="71" fillId="25" borderId="11" xfId="0" applyFont="1" applyFill="1" applyBorder="1" applyAlignment="1">
      <alignment horizontal="left" vertical="center"/>
    </xf>
    <xf numFmtId="0" fontId="73" fillId="25" borderId="12" xfId="0" applyFont="1" applyFill="1" applyBorder="1" applyAlignment="1">
      <alignment horizontal="left" vertical="center"/>
    </xf>
    <xf numFmtId="0" fontId="73" fillId="0" borderId="0" xfId="0" applyFont="1" applyAlignment="1">
      <alignment horizontal="left" vertical="center"/>
    </xf>
    <xf numFmtId="0" fontId="86" fillId="9" borderId="0" xfId="0" applyFont="1" applyFill="1" applyAlignment="1">
      <alignment horizontal="center" vertical="center"/>
    </xf>
    <xf numFmtId="0" fontId="85" fillId="0" borderId="0" xfId="0" applyFont="1" applyAlignment="1">
      <alignment horizontal="left" vertical="center"/>
    </xf>
    <xf numFmtId="0" fontId="84" fillId="18" borderId="0" xfId="0" applyFont="1" applyFill="1" applyAlignment="1">
      <alignment horizontal="left" vertical="center"/>
    </xf>
    <xf numFmtId="0" fontId="84" fillId="4" borderId="0" xfId="0" applyFont="1" applyFill="1" applyAlignment="1">
      <alignment horizontal="left" vertical="center"/>
    </xf>
    <xf numFmtId="0" fontId="82" fillId="20" borderId="0" xfId="0" applyFont="1" applyFill="1" applyAlignment="1">
      <alignment horizontal="left" vertical="center"/>
    </xf>
    <xf numFmtId="0" fontId="84" fillId="5" borderId="0" xfId="0" applyFont="1" applyFill="1" applyAlignment="1">
      <alignment horizontal="left" vertical="center"/>
    </xf>
    <xf numFmtId="0" fontId="81" fillId="5" borderId="12" xfId="0" applyFont="1" applyFill="1" applyBorder="1" applyAlignment="1">
      <alignment horizontal="center" vertical="center"/>
    </xf>
    <xf numFmtId="0" fontId="82" fillId="26" borderId="0" xfId="0" applyFont="1" applyFill="1" applyAlignment="1">
      <alignment horizontal="left" vertical="center"/>
    </xf>
    <xf numFmtId="0" fontId="81" fillId="4" borderId="12" xfId="0" applyFont="1" applyFill="1" applyBorder="1" applyAlignment="1">
      <alignment horizontal="center" vertical="center"/>
    </xf>
    <xf numFmtId="0" fontId="83" fillId="3" borderId="12" xfId="0" applyFont="1" applyFill="1" applyBorder="1" applyAlignment="1">
      <alignment horizontal="center" vertical="center"/>
    </xf>
    <xf numFmtId="0" fontId="73" fillId="8" borderId="12" xfId="0" applyFont="1" applyFill="1" applyBorder="1" applyAlignment="1">
      <alignment horizontal="left" vertical="center"/>
    </xf>
    <xf numFmtId="0" fontId="80" fillId="9" borderId="0" xfId="0" applyFont="1" applyFill="1" applyAlignment="1">
      <alignment horizontal="center" vertical="center"/>
    </xf>
    <xf numFmtId="0" fontId="77" fillId="5" borderId="0" xfId="0" applyFont="1" applyFill="1" applyAlignment="1">
      <alignment horizontal="center" vertical="center"/>
    </xf>
    <xf numFmtId="0" fontId="34" fillId="4" borderId="0" xfId="0" applyFont="1" applyFill="1" applyAlignment="1">
      <alignment horizontal="center" vertical="center"/>
    </xf>
    <xf numFmtId="0" fontId="87" fillId="18" borderId="0" xfId="0" applyFont="1" applyFill="1" applyAlignment="1">
      <alignment horizontal="center" vertical="center"/>
    </xf>
    <xf numFmtId="0" fontId="42" fillId="16" borderId="0" xfId="0" applyFont="1" applyFill="1" applyAlignment="1">
      <alignment horizontal="center" vertical="center"/>
    </xf>
    <xf numFmtId="0" fontId="55" fillId="18" borderId="0" xfId="0" applyFont="1" applyFill="1" applyAlignment="1">
      <alignment horizontal="center" vertical="center"/>
    </xf>
  </cellXfs>
  <cellStyles count="1">
    <cellStyle name="Normal" xfId="0" builtinId="0"/>
  </cellStyles>
  <dxfs count="105">
    <dxf>
      <font>
        <b/>
        <sz val="10"/>
        <color rgb="FFC0392B"/>
        <name val="Arial"/>
        <charset val="1"/>
      </font>
      <fill>
        <patternFill>
          <bgColor rgb="FFFADBD8"/>
        </patternFill>
      </fill>
    </dxf>
    <dxf>
      <font>
        <b/>
        <sz val="10"/>
        <color rgb="FF27AE60"/>
        <name val="Arial"/>
        <charset val="1"/>
      </font>
      <fill>
        <patternFill>
          <bgColor rgb="FFD5F5E3"/>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ill>
        <patternFill>
          <bgColor rgb="FFFDF2F2"/>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
      <fill>
        <patternFill>
          <bgColor rgb="FFF0FFF4"/>
        </patternFill>
      </fill>
    </dxf>
    <dxf>
      <font>
        <b/>
        <sz val="10"/>
        <color rgb="FFE67E22"/>
        <name val="Arial"/>
        <charset val="1"/>
      </font>
      <fill>
        <patternFill>
          <bgColor rgb="FFFEF9E7"/>
        </patternFill>
      </fill>
    </dxf>
    <dxf>
      <font>
        <b/>
        <sz val="10"/>
        <color rgb="FF27AE60"/>
        <name val="Arial"/>
        <charset val="1"/>
      </font>
      <fill>
        <patternFill>
          <bgColor rgb="FFD5F5E3"/>
        </patternFill>
      </fill>
    </dxf>
    <dxf>
      <font>
        <b/>
        <sz val="10"/>
        <color rgb="FFC0392B"/>
        <name val="Arial"/>
        <charset val="1"/>
      </font>
      <fill>
        <patternFill>
          <bgColor rgb="FFFADBD8"/>
        </patternFill>
      </fill>
    </dxf>
    <dxf>
      <font>
        <b/>
        <sz val="10"/>
        <color rgb="FF27AE60"/>
        <name val="Arial"/>
        <charset val="1"/>
      </font>
      <fill>
        <patternFill>
          <bgColor rgb="FFD5F5E3"/>
        </patternFill>
      </fill>
    </dxf>
  </dxfs>
  <tableStyles count="0" defaultTableStyle="TableStyleMedium2" defaultPivotStyle="PivotStyleLight16"/>
  <colors>
    <indexedColors>
      <rgbColor rgb="FF000000"/>
      <rgbColor rgb="FFFFFFFF"/>
      <rgbColor rgb="FFCC0000"/>
      <rgbColor rgb="FF00FF00"/>
      <rgbColor rgb="FF0000FF"/>
      <rgbColor rgb="FFFEF9E7"/>
      <rgbColor rgb="FFFF00FF"/>
      <rgbColor rgb="FFF9F9F9"/>
      <rgbColor rgb="FF5C2020"/>
      <rgbColor rgb="FF008000"/>
      <rgbColor rgb="FF000080"/>
      <rgbColor rgb="FF808000"/>
      <rgbColor rgb="FFC0392B"/>
      <rgbColor rgb="FF2E86AB"/>
      <rgbColor rgb="FFBFBFBF"/>
      <rgbColor rgb="FF878787"/>
      <rgbColor rgb="FFF5EEF8"/>
      <rgbColor rgb="FF6C3483"/>
      <rgbColor rgb="FFFFF9C4"/>
      <rgbColor rgb="FFEBF5FB"/>
      <rgbColor rgb="FF660066"/>
      <rgbColor rgb="FFF0F3F4"/>
      <rgbColor rgb="FF0066CC"/>
      <rgbColor rgb="FFCCCCCC"/>
      <rgbColor rgb="FF000080"/>
      <rgbColor rgb="FFFF00FF"/>
      <rgbColor rgb="FFFFF0F0"/>
      <rgbColor rgb="FFFAFAFA"/>
      <rgbColor rgb="FF800080"/>
      <rgbColor rgb="FFDC143C"/>
      <rgbColor rgb="FF008080"/>
      <rgbColor rgb="FF0000FF"/>
      <rgbColor rgb="FF00CCFF"/>
      <rgbColor rgb="FFF0FFF4"/>
      <rgbColor rgb="FFD5F5E3"/>
      <rgbColor rgb="FFFFF3CD"/>
      <rgbColor rgb="FFBDC3C7"/>
      <rgbColor rgb="FFFDEDEC"/>
      <rgbColor rgb="FFD9D9D9"/>
      <rgbColor rgb="FFFADBD8"/>
      <rgbColor rgb="FF3366FF"/>
      <rgbColor rgb="FF1ABC9C"/>
      <rgbColor rgb="FFF8F9FA"/>
      <rgbColor rgb="FFFDF2F2"/>
      <rgbColor rgb="FFF6AE2D"/>
      <rgbColor rgb="FFE67E22"/>
      <rgbColor rgb="FF5D6D7E"/>
      <rgbColor rgb="FF7F8C8D"/>
      <rgbColor rgb="FF1A3C5E"/>
      <rgbColor rgb="FF27AE60"/>
      <rgbColor rgb="FF003300"/>
      <rgbColor rgb="FF1A252F"/>
      <rgbColor rgb="FF8B1A1A"/>
      <rgbColor rgb="FF8E44AD"/>
      <rgbColor rgb="FF1E3A5F"/>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Agent Savings vs Withdrawals Today</a:t>
            </a:r>
          </a:p>
        </c:rich>
      </c:tx>
      <c:overlay val="0"/>
      <c:spPr>
        <a:noFill/>
        <a:ln w="0">
          <a:noFill/>
        </a:ln>
      </c:spPr>
    </c:title>
    <c:autoTitleDeleted val="0"/>
    <c:plotArea>
      <c:layout/>
      <c:barChart>
        <c:barDir val="col"/>
        <c:grouping val="clustered"/>
        <c:varyColors val="0"/>
        <c:ser>
          <c:idx val="0"/>
          <c:order val="0"/>
          <c:tx>
            <c:strRef>
              <c:f>Daily_Balancing!$B$3</c:f>
              <c:strCache>
                <c:ptCount val="1"/>
                <c:pt idx="0">
                  <c:v>Savings (GHC)</c:v>
                </c:pt>
              </c:strCache>
            </c:strRef>
          </c:tx>
          <c:spPr>
            <a:solidFill>
              <a:srgbClr val="27AE60"/>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Daily_Balancing!$B$4:$B$13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74E7-48CA-80C2-41C097D2081D}"/>
            </c:ext>
          </c:extLst>
        </c:ser>
        <c:ser>
          <c:idx val="1"/>
          <c:order val="1"/>
          <c:tx>
            <c:strRef>
              <c:f>Daily_Balancing!$C$3</c:f>
              <c:strCache>
                <c:ptCount val="1"/>
                <c:pt idx="0">
                  <c:v>Withdrawals (GHC)</c:v>
                </c:pt>
              </c:strCache>
            </c:strRef>
          </c:tx>
          <c:spPr>
            <a:solidFill>
              <a:srgbClr val="C0392B"/>
            </a:solidFill>
            <a:ln w="9360">
              <a:solidFill>
                <a:srgbClr val="F9F9F9"/>
              </a:solidFill>
              <a:round/>
            </a:ln>
          </c:spPr>
          <c:invertIfNegative val="0"/>
          <c:dLbls>
            <c:spPr>
              <a:noFill/>
              <a:ln>
                <a:noFill/>
              </a:ln>
              <a:effectLst/>
            </c:spPr>
            <c:txPr>
              <a:bodyPr wrap="square"/>
              <a:lstStyle/>
              <a:p>
                <a:pPr>
                  <a:defRPr sz="1000" b="0" strike="noStrike" spc="-1">
                    <a:solidFill>
                      <a:srgbClr val="000000"/>
                    </a:solidFill>
                    <a:latin typeface="Arial"/>
                  </a:defRPr>
                </a:pPr>
                <a:endParaRPr lang="en-DE"/>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Daily_Balancing!$A$4:$A$13</c:f>
              <c:strCache>
                <c:ptCount val="10"/>
                <c:pt idx="0">
                  <c:v>Agent 01</c:v>
                </c:pt>
                <c:pt idx="1">
                  <c:v>Agent 02</c:v>
                </c:pt>
                <c:pt idx="2">
                  <c:v>Agent 03</c:v>
                </c:pt>
                <c:pt idx="3">
                  <c:v>Agent 04</c:v>
                </c:pt>
                <c:pt idx="4">
                  <c:v>Agent 05</c:v>
                </c:pt>
                <c:pt idx="5">
                  <c:v>Agent 06</c:v>
                </c:pt>
                <c:pt idx="6">
                  <c:v>Agent 07</c:v>
                </c:pt>
                <c:pt idx="7">
                  <c:v>Agent 08</c:v>
                </c:pt>
                <c:pt idx="8">
                  <c:v>Agent 09</c:v>
                </c:pt>
                <c:pt idx="9">
                  <c:v>Agent 10</c:v>
                </c:pt>
              </c:strCache>
            </c:strRef>
          </c:cat>
          <c:val>
            <c:numRef>
              <c:f>Daily_Balancing!$C$4:$C$13</c:f>
              <c:numCache>
                <c:formatCode>"GHC "#,##0.00;"(GHC "#,##0.00\);\-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74E7-48CA-80C2-41C097D2081D}"/>
            </c:ext>
          </c:extLst>
        </c:ser>
        <c:dLbls>
          <c:showLegendKey val="0"/>
          <c:showVal val="0"/>
          <c:showCatName val="0"/>
          <c:showSerName val="0"/>
          <c:showPercent val="0"/>
          <c:showBubbleSize val="0"/>
        </c:dLbls>
        <c:gapWidth val="150"/>
        <c:axId val="34573061"/>
        <c:axId val="4456583"/>
      </c:barChart>
      <c:catAx>
        <c:axId val="34573061"/>
        <c:scaling>
          <c:orientation val="minMax"/>
        </c:scaling>
        <c:delete val="0"/>
        <c:axPos val="b"/>
        <c:title>
          <c:tx>
            <c:rich>
              <a:bodyPr rot="0"/>
              <a:lstStyle/>
              <a:p>
                <a:pPr>
                  <a:defRPr lang="en-GB" sz="1000" b="1" strike="noStrike" spc="-1">
                    <a:solidFill>
                      <a:srgbClr val="000000"/>
                    </a:solidFill>
                    <a:latin typeface="Calibri"/>
                  </a:defRPr>
                </a:pPr>
                <a:r>
                  <a:rPr lang="en-GB" sz="1000" b="1" strike="noStrike" spc="-1">
                    <a:solidFill>
                      <a:srgbClr val="000000"/>
                    </a:solidFill>
                    <a:latin typeface="Calibri"/>
                  </a:rPr>
                  <a:t>Agent</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4456583"/>
        <c:crosses val="autoZero"/>
        <c:auto val="1"/>
        <c:lblAlgn val="ctr"/>
        <c:lblOffset val="100"/>
        <c:noMultiLvlLbl val="0"/>
      </c:catAx>
      <c:valAx>
        <c:axId val="4456583"/>
        <c:scaling>
          <c:orientation val="minMax"/>
        </c:scaling>
        <c:delete val="0"/>
        <c:axPos val="l"/>
        <c:majorGridlines>
          <c:spPr>
            <a:ln w="9360">
              <a:solidFill>
                <a:srgbClr val="878787"/>
              </a:solidFill>
              <a:round/>
            </a:ln>
          </c:spPr>
        </c:majorGridlines>
        <c:title>
          <c:tx>
            <c:rich>
              <a:bodyPr rot="-5400000"/>
              <a:lstStyle/>
              <a:p>
                <a:pPr>
                  <a:defRPr lang="en-GB" sz="1000" b="1" strike="noStrike" spc="-1">
                    <a:solidFill>
                      <a:srgbClr val="000000"/>
                    </a:solidFill>
                    <a:latin typeface="Calibri"/>
                  </a:defRPr>
                </a:pPr>
                <a:r>
                  <a:rPr lang="en-GB" sz="1000" b="1" strike="noStrike" spc="-1">
                    <a:solidFill>
                      <a:srgbClr val="000000"/>
                    </a:solidFill>
                    <a:latin typeface="Calibri"/>
                  </a:rPr>
                  <a:t>Amount (GHC)</a:t>
                </a:r>
              </a:p>
            </c:rich>
          </c:tx>
          <c:overlay val="0"/>
          <c:spPr>
            <a:noFill/>
            <a:ln w="0">
              <a:noFill/>
            </a:ln>
          </c:spPr>
        </c:title>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34573061"/>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GB" sz="1800" b="1" strike="noStrike" spc="-1">
                <a:solidFill>
                  <a:srgbClr val="000000"/>
                </a:solidFill>
                <a:latin typeface="Calibri"/>
              </a:defRPr>
            </a:pPr>
            <a:r>
              <a:rPr lang="en-GB" sz="1800" b="1" strike="noStrike" spc="-1">
                <a:solidFill>
                  <a:srgbClr val="000000"/>
                </a:solidFill>
                <a:latin typeface="Calibri"/>
              </a:rPr>
              <a:t>Monthly Savings vs Withdrawals Trend</a:t>
            </a:r>
          </a:p>
        </c:rich>
      </c:tx>
      <c:overlay val="0"/>
      <c:spPr>
        <a:noFill/>
        <a:ln w="0">
          <a:noFill/>
        </a:ln>
      </c:spPr>
    </c:title>
    <c:autoTitleDeleted val="0"/>
    <c:plotArea>
      <c:layout/>
      <c:lineChart>
        <c:grouping val="standard"/>
        <c:varyColors val="0"/>
        <c:ser>
          <c:idx val="0"/>
          <c:order val="0"/>
          <c:tx>
            <c:strRef>
              <c:f>Monthly_Balancing!$B$7</c:f>
              <c:strCache>
                <c:ptCount val="1"/>
                <c:pt idx="0">
                  <c:v>Savings</c:v>
                </c:pt>
              </c:strCache>
            </c:strRef>
          </c:tx>
          <c:spPr>
            <a:ln w="47520">
              <a:solidFill>
                <a:srgbClr val="27AE60"/>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Monthly_Balancing!$B$8:$B$19</c:f>
              <c:numCache>
                <c:formatCode>"GHC "#,##0.00;"(GHC "#,##0.00\);\-</c:formatCode>
                <c:ptCount val="12"/>
                <c:pt idx="0">
                  <c:v>107824.22</c:v>
                </c:pt>
                <c:pt idx="1">
                  <c:v>133790.85</c:v>
                </c:pt>
                <c:pt idx="2">
                  <c:v>95687.1</c:v>
                </c:pt>
                <c:pt idx="3">
                  <c:v>108714.02</c:v>
                </c:pt>
              </c:numCache>
            </c:numRef>
          </c:val>
          <c:smooth val="1"/>
          <c:extLst>
            <c:ext xmlns:c16="http://schemas.microsoft.com/office/drawing/2014/chart" uri="{C3380CC4-5D6E-409C-BE32-E72D297353CC}">
              <c16:uniqueId val="{00000000-68AA-4D98-B369-6638BD1E476F}"/>
            </c:ext>
          </c:extLst>
        </c:ser>
        <c:ser>
          <c:idx val="1"/>
          <c:order val="1"/>
          <c:tx>
            <c:strRef>
              <c:f>Monthly_Balancing!$C$7</c:f>
              <c:strCache>
                <c:ptCount val="1"/>
                <c:pt idx="0">
                  <c:v>Withdrawals</c:v>
                </c:pt>
              </c:strCache>
            </c:strRef>
          </c:tx>
          <c:spPr>
            <a:ln w="47520">
              <a:solidFill>
                <a:srgbClr val="C0392B"/>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DE"/>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strRef>
              <c:f>Monthly_Balancing!$A$8:$A$19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Monthly_Balancing!$C$8:$C$19</c:f>
              <c:numCache>
                <c:formatCode>"GHC "#,##0.00;"(GHC "#,##0.00\);\-</c:formatCode>
                <c:ptCount val="12"/>
                <c:pt idx="0">
                  <c:v>37455.75</c:v>
                </c:pt>
                <c:pt idx="1">
                  <c:v>40398.620000000003</c:v>
                </c:pt>
                <c:pt idx="2">
                  <c:v>51481.08</c:v>
                </c:pt>
                <c:pt idx="3">
                  <c:v>50819.15</c:v>
                </c:pt>
              </c:numCache>
            </c:numRef>
          </c:val>
          <c:smooth val="1"/>
          <c:extLst>
            <c:ext xmlns:c16="http://schemas.microsoft.com/office/drawing/2014/chart" uri="{C3380CC4-5D6E-409C-BE32-E72D297353CC}">
              <c16:uniqueId val="{00000001-68AA-4D98-B369-6638BD1E476F}"/>
            </c:ext>
          </c:extLst>
        </c:ser>
        <c:dLbls>
          <c:showLegendKey val="0"/>
          <c:showVal val="0"/>
          <c:showCatName val="0"/>
          <c:showSerName val="0"/>
          <c:showPercent val="0"/>
          <c:showBubbleSize val="0"/>
        </c:dLbls>
        <c:hiLowLines>
          <c:spPr>
            <a:ln w="0">
              <a:noFill/>
            </a:ln>
          </c:spPr>
        </c:hiLowLines>
        <c:smooth val="0"/>
        <c:axId val="72382319"/>
        <c:axId val="42474498"/>
      </c:lineChart>
      <c:catAx>
        <c:axId val="72382319"/>
        <c:scaling>
          <c:orientation val="minMax"/>
        </c:scaling>
        <c:delete val="0"/>
        <c:axPos val="b"/>
        <c:numFmt formatCode="General"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42474498"/>
        <c:crosses val="autoZero"/>
        <c:auto val="1"/>
        <c:lblAlgn val="ctr"/>
        <c:lblOffset val="100"/>
        <c:noMultiLvlLbl val="0"/>
      </c:catAx>
      <c:valAx>
        <c:axId val="42474498"/>
        <c:scaling>
          <c:orientation val="minMax"/>
        </c:scaling>
        <c:delete val="0"/>
        <c:axPos val="l"/>
        <c:majorGridlines>
          <c:spPr>
            <a:ln w="9360">
              <a:solidFill>
                <a:srgbClr val="878787"/>
              </a:solidFill>
              <a:round/>
            </a:ln>
          </c:spPr>
        </c:majorGridlines>
        <c:numFmt formatCode="&quot;GHC &quot;#,##0.00;&quot;(GHC &quot;#,##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DE"/>
          </a:p>
        </c:txPr>
        <c:crossAx val="72382319"/>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DE"/>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10</xdr:col>
      <xdr:colOff>419760</xdr:colOff>
      <xdr:row>41</xdr:row>
      <xdr:rowOff>85320</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21</xdr:row>
      <xdr:rowOff>0</xdr:rowOff>
    </xdr:from>
    <xdr:to>
      <xdr:col>12</xdr:col>
      <xdr:colOff>576000</xdr:colOff>
      <xdr:row>49</xdr:row>
      <xdr:rowOff>64080</xdr:rowOff>
    </xdr:to>
    <xdr:graphicFrame macro="">
      <xdr:nvGraphicFramePr>
        <xdr:cNvPr id="2" name="Chart 1">
          <a:extLst>
            <a:ext uri="{FF2B5EF4-FFF2-40B4-BE49-F238E27FC236}">
              <a16:creationId xmlns:a16="http://schemas.microsoft.com/office/drawing/2014/main" id="{00000000-0008-0000-2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tel:+233207530771" TargetMode="External"/><Relationship Id="rId1" Type="http://schemas.openxmlformats.org/officeDocument/2006/relationships/hyperlink" Target="tel:+233241911273" TargetMode="Externa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6AE2D"/>
  </sheetPr>
  <dimension ref="A1:E26"/>
  <sheetViews>
    <sheetView showGridLines="0" zoomScaleNormal="100" workbookViewId="0">
      <selection activeCell="L402" sqref="L402"/>
    </sheetView>
  </sheetViews>
  <sheetFormatPr defaultColWidth="8.7109375" defaultRowHeight="15" x14ac:dyDescent="0.25"/>
  <cols>
    <col min="1" max="1" width="3" customWidth="1"/>
    <col min="2" max="2" width="20" customWidth="1"/>
    <col min="3" max="3" width="26" customWidth="1"/>
    <col min="4" max="4" width="16" customWidth="1"/>
    <col min="5" max="5" width="3" customWidth="1"/>
  </cols>
  <sheetData>
    <row r="1" spans="1:5" ht="9.75" customHeight="1" x14ac:dyDescent="0.25">
      <c r="A1" s="1"/>
      <c r="E1" s="1"/>
    </row>
    <row r="2" spans="1:5" ht="36" customHeight="1" x14ac:dyDescent="0.25">
      <c r="A2" s="123" t="s">
        <v>0</v>
      </c>
      <c r="B2" s="123"/>
      <c r="C2" s="123"/>
      <c r="D2" s="123"/>
      <c r="E2" s="123"/>
    </row>
    <row r="3" spans="1:5" ht="19.5" customHeight="1" x14ac:dyDescent="0.25">
      <c r="A3" s="124" t="s">
        <v>1</v>
      </c>
      <c r="B3" s="124"/>
      <c r="C3" s="124"/>
      <c r="D3" s="124"/>
      <c r="E3" s="124"/>
    </row>
    <row r="4" spans="1:5" ht="3.75" customHeight="1" x14ac:dyDescent="0.25">
      <c r="A4" s="1"/>
      <c r="B4" s="2"/>
      <c r="C4" s="2"/>
      <c r="D4" s="2"/>
      <c r="E4" s="1"/>
    </row>
    <row r="5" spans="1:5" ht="43.5" customHeight="1" x14ac:dyDescent="0.25">
      <c r="A5" s="125" t="s">
        <v>2</v>
      </c>
      <c r="B5" s="125"/>
      <c r="C5" s="125"/>
      <c r="D5" s="125"/>
      <c r="E5" s="125"/>
    </row>
    <row r="6" spans="1:5" ht="3.75" customHeight="1" x14ac:dyDescent="0.25">
      <c r="A6" s="1"/>
      <c r="B6" s="2"/>
      <c r="C6" s="2"/>
      <c r="D6" s="2"/>
      <c r="E6" s="1"/>
    </row>
    <row r="7" spans="1:5" ht="18" customHeight="1" x14ac:dyDescent="0.25">
      <c r="A7" s="1"/>
      <c r="E7" s="1"/>
    </row>
    <row r="8" spans="1:5" ht="27.75" customHeight="1" x14ac:dyDescent="0.25">
      <c r="A8" s="126" t="s">
        <v>3</v>
      </c>
      <c r="B8" s="126"/>
      <c r="C8" s="126"/>
      <c r="D8" s="126"/>
      <c r="E8" s="126"/>
    </row>
    <row r="9" spans="1:5" ht="51.75" customHeight="1" x14ac:dyDescent="0.25">
      <c r="A9" s="127" t="s">
        <v>4</v>
      </c>
      <c r="B9" s="127"/>
      <c r="C9" s="127"/>
      <c r="D9" s="127"/>
      <c r="E9" s="127"/>
    </row>
    <row r="10" spans="1:5" ht="30" customHeight="1" x14ac:dyDescent="0.25">
      <c r="A10" s="119" t="s">
        <v>5</v>
      </c>
      <c r="B10" s="119"/>
      <c r="C10" s="119"/>
      <c r="D10" s="119"/>
      <c r="E10" s="119"/>
    </row>
    <row r="11" spans="1:5" ht="19.5" customHeight="1" x14ac:dyDescent="0.25">
      <c r="A11" s="1"/>
      <c r="E11" s="1"/>
    </row>
    <row r="12" spans="1:5" ht="3.75" customHeight="1" x14ac:dyDescent="0.25">
      <c r="A12" s="1"/>
      <c r="B12" s="3"/>
      <c r="C12" s="3"/>
      <c r="D12" s="3"/>
      <c r="E12" s="1"/>
    </row>
    <row r="13" spans="1:5" ht="13.5" customHeight="1" x14ac:dyDescent="0.25">
      <c r="A13" s="1"/>
      <c r="E13" s="1"/>
    </row>
    <row r="14" spans="1:5" ht="31.5" customHeight="1" x14ac:dyDescent="0.25">
      <c r="A14" s="120" t="s">
        <v>6</v>
      </c>
      <c r="B14" s="120"/>
      <c r="C14" s="120"/>
      <c r="D14" s="120"/>
      <c r="E14" s="120"/>
    </row>
    <row r="15" spans="1:5" ht="13.5" customHeight="1" x14ac:dyDescent="0.25">
      <c r="A15" s="1"/>
      <c r="E15" s="1"/>
    </row>
    <row r="16" spans="1:5" ht="42" customHeight="1" x14ac:dyDescent="0.25">
      <c r="A16" s="1"/>
      <c r="B16" s="121" t="s">
        <v>7</v>
      </c>
      <c r="C16" s="121"/>
      <c r="D16" s="121"/>
      <c r="E16" s="1"/>
    </row>
    <row r="17" spans="1:5" ht="9.75" customHeight="1" x14ac:dyDescent="0.25">
      <c r="A17" s="1"/>
      <c r="E17" s="1"/>
    </row>
    <row r="18" spans="1:5" ht="42" customHeight="1" x14ac:dyDescent="0.25">
      <c r="A18" s="1"/>
      <c r="B18" s="121" t="s">
        <v>8</v>
      </c>
      <c r="C18" s="121"/>
      <c r="D18" s="121"/>
      <c r="E18" s="1"/>
    </row>
    <row r="19" spans="1:5" ht="13.5" customHeight="1" x14ac:dyDescent="0.25">
      <c r="A19" s="1"/>
      <c r="E19" s="1"/>
    </row>
    <row r="20" spans="1:5" ht="24" customHeight="1" x14ac:dyDescent="0.25">
      <c r="A20" s="1"/>
      <c r="B20" s="122" t="s">
        <v>9</v>
      </c>
      <c r="C20" s="122"/>
      <c r="D20" s="122"/>
      <c r="E20" s="1"/>
    </row>
    <row r="21" spans="1:5" ht="19.5" customHeight="1" x14ac:dyDescent="0.25">
      <c r="A21" s="1"/>
      <c r="E21" s="1"/>
    </row>
    <row r="22" spans="1:5" ht="3.75" customHeight="1" x14ac:dyDescent="0.25">
      <c r="A22" s="1"/>
      <c r="B22" s="3"/>
      <c r="C22" s="3"/>
      <c r="D22" s="3"/>
      <c r="E22" s="1"/>
    </row>
    <row r="23" spans="1:5" ht="9.75" customHeight="1" x14ac:dyDescent="0.25">
      <c r="A23" s="1"/>
      <c r="E23" s="1"/>
    </row>
    <row r="24" spans="1:5" ht="21.75" customHeight="1" x14ac:dyDescent="0.25">
      <c r="A24" s="118" t="s">
        <v>10</v>
      </c>
      <c r="B24" s="118"/>
      <c r="C24" s="118"/>
      <c r="D24" s="118"/>
      <c r="E24" s="118"/>
    </row>
    <row r="25" spans="1:5" ht="3.75" customHeight="1" x14ac:dyDescent="0.25">
      <c r="A25" s="1"/>
      <c r="B25" s="2"/>
      <c r="C25" s="2"/>
      <c r="D25" s="2"/>
      <c r="E25" s="1"/>
    </row>
    <row r="26" spans="1:5" x14ac:dyDescent="0.25">
      <c r="A26" s="1"/>
      <c r="E26" s="1"/>
    </row>
  </sheetData>
  <mergeCells count="11">
    <mergeCell ref="A2:E2"/>
    <mergeCell ref="A3:E3"/>
    <mergeCell ref="A5:E5"/>
    <mergeCell ref="A8:E8"/>
    <mergeCell ref="A9:E9"/>
    <mergeCell ref="A24:E24"/>
    <mergeCell ref="A10:E10"/>
    <mergeCell ref="A14:E14"/>
    <mergeCell ref="B16:D16"/>
    <mergeCell ref="B18:D18"/>
    <mergeCell ref="B20:D20"/>
  </mergeCells>
  <hyperlinks>
    <hyperlink ref="B16" r:id="rId1" xr:uid="{00000000-0004-0000-0000-000000000000}"/>
    <hyperlink ref="B18" r:id="rId2" xr:uid="{00000000-0004-0000-0000-000001000000}"/>
  </hyperlink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ABC9C"/>
  </sheetPr>
  <dimension ref="A1:E32"/>
  <sheetViews>
    <sheetView showGridLines="0" topLeftCell="A12" zoomScaleNormal="100" workbookViewId="0"/>
  </sheetViews>
  <sheetFormatPr defaultColWidth="8.7109375" defaultRowHeight="15" x14ac:dyDescent="0.25"/>
  <cols>
    <col min="1" max="1" width="3" customWidth="1"/>
    <col min="2" max="2" width="18" customWidth="1"/>
    <col min="3" max="4" width="22" customWidth="1"/>
    <col min="5" max="5" width="3" customWidth="1"/>
  </cols>
  <sheetData>
    <row r="1" spans="1:5" ht="9.75" customHeight="1" x14ac:dyDescent="0.25">
      <c r="A1" s="1"/>
      <c r="E1" s="1"/>
    </row>
    <row r="2" spans="1:5" ht="36" customHeight="1" x14ac:dyDescent="0.25">
      <c r="A2" s="123" t="s">
        <v>0</v>
      </c>
      <c r="B2" s="123"/>
      <c r="C2" s="123"/>
      <c r="D2" s="123"/>
      <c r="E2" s="123"/>
    </row>
    <row r="3" spans="1:5" ht="19.5" customHeight="1" x14ac:dyDescent="0.25">
      <c r="A3" s="124" t="s">
        <v>11</v>
      </c>
      <c r="B3" s="124"/>
      <c r="C3" s="124"/>
      <c r="D3" s="124"/>
      <c r="E3" s="124"/>
    </row>
    <row r="4" spans="1:5" ht="3.75" customHeight="1" x14ac:dyDescent="0.25">
      <c r="A4" s="1"/>
      <c r="B4" s="4"/>
      <c r="C4" s="4"/>
      <c r="D4" s="4"/>
      <c r="E4" s="1"/>
    </row>
    <row r="5" spans="1:5" ht="43.5" customHeight="1" x14ac:dyDescent="0.25">
      <c r="A5" s="125" t="s">
        <v>12</v>
      </c>
      <c r="B5" s="125"/>
      <c r="C5" s="125"/>
      <c r="D5" s="125"/>
      <c r="E5" s="125"/>
    </row>
    <row r="6" spans="1:5" ht="3.75" customHeight="1" x14ac:dyDescent="0.25">
      <c r="A6" s="1"/>
      <c r="B6" s="2"/>
      <c r="C6" s="2"/>
      <c r="D6" s="2"/>
      <c r="E6" s="1"/>
    </row>
    <row r="7" spans="1:5" ht="13.5" customHeight="1" x14ac:dyDescent="0.25">
      <c r="A7" s="1"/>
      <c r="E7" s="1"/>
    </row>
    <row r="8" spans="1:5" ht="43.5" customHeight="1" x14ac:dyDescent="0.25">
      <c r="A8" s="1"/>
      <c r="B8" s="131" t="s">
        <v>13</v>
      </c>
      <c r="C8" s="131"/>
      <c r="D8" s="131"/>
      <c r="E8" s="1"/>
    </row>
    <row r="9" spans="1:5" ht="9.75" customHeight="1" x14ac:dyDescent="0.25">
      <c r="A9" s="1"/>
      <c r="E9" s="1"/>
    </row>
    <row r="10" spans="1:5" ht="43.5" customHeight="1" x14ac:dyDescent="0.25">
      <c r="A10" s="1"/>
      <c r="B10" s="131" t="s">
        <v>14</v>
      </c>
      <c r="C10" s="131"/>
      <c r="D10" s="131"/>
      <c r="E10" s="1"/>
    </row>
    <row r="11" spans="1:5" ht="9.75" customHeight="1" x14ac:dyDescent="0.25">
      <c r="A11" s="1"/>
      <c r="E11" s="1"/>
    </row>
    <row r="12" spans="1:5" ht="43.5" customHeight="1" x14ac:dyDescent="0.25">
      <c r="A12" s="1"/>
      <c r="B12" s="131" t="s">
        <v>15</v>
      </c>
      <c r="C12" s="131"/>
      <c r="D12" s="131"/>
      <c r="E12" s="1"/>
    </row>
    <row r="13" spans="1:5" ht="9.75" customHeight="1" x14ac:dyDescent="0.25">
      <c r="A13" s="1"/>
      <c r="E13" s="1"/>
    </row>
    <row r="14" spans="1:5" ht="43.5" customHeight="1" x14ac:dyDescent="0.25">
      <c r="A14" s="1"/>
      <c r="B14" s="131" t="s">
        <v>16</v>
      </c>
      <c r="C14" s="131"/>
      <c r="D14" s="131"/>
      <c r="E14" s="1"/>
    </row>
    <row r="15" spans="1:5" ht="9.75" customHeight="1" x14ac:dyDescent="0.25">
      <c r="A15" s="1"/>
      <c r="E15" s="1"/>
    </row>
    <row r="16" spans="1:5" ht="43.5" customHeight="1" x14ac:dyDescent="0.25">
      <c r="A16" s="1"/>
      <c r="B16" s="131" t="s">
        <v>17</v>
      </c>
      <c r="C16" s="131"/>
      <c r="D16" s="131"/>
      <c r="E16" s="1"/>
    </row>
    <row r="17" spans="1:5" ht="9.75" customHeight="1" x14ac:dyDescent="0.25">
      <c r="A17" s="1"/>
      <c r="E17" s="1"/>
    </row>
    <row r="18" spans="1:5" ht="43.5" customHeight="1" x14ac:dyDescent="0.25">
      <c r="A18" s="1"/>
      <c r="B18" s="132" t="s">
        <v>18</v>
      </c>
      <c r="C18" s="132"/>
      <c r="D18" s="132"/>
      <c r="E18" s="1"/>
    </row>
    <row r="19" spans="1:5" ht="15.75" customHeight="1" x14ac:dyDescent="0.25">
      <c r="A19" s="1"/>
      <c r="E19" s="1"/>
    </row>
    <row r="20" spans="1:5" ht="3.75" customHeight="1" x14ac:dyDescent="0.25">
      <c r="A20" s="1"/>
      <c r="B20" s="3"/>
      <c r="C20" s="3"/>
      <c r="D20" s="3"/>
      <c r="E20" s="1"/>
    </row>
    <row r="21" spans="1:5" ht="9.75" customHeight="1" x14ac:dyDescent="0.25">
      <c r="A21" s="1"/>
      <c r="E21" s="1"/>
    </row>
    <row r="22" spans="1:5" ht="30" customHeight="1" x14ac:dyDescent="0.25">
      <c r="A22" s="133" t="s">
        <v>19</v>
      </c>
      <c r="B22" s="133"/>
      <c r="C22" s="133"/>
      <c r="D22" s="133"/>
      <c r="E22" s="133"/>
    </row>
    <row r="23" spans="1:5" ht="7.5" customHeight="1" x14ac:dyDescent="0.25">
      <c r="A23" s="1"/>
      <c r="E23" s="1"/>
    </row>
    <row r="24" spans="1:5" ht="39.75" customHeight="1" x14ac:dyDescent="0.25">
      <c r="A24" s="1"/>
      <c r="B24" s="128" t="s">
        <v>20</v>
      </c>
      <c r="C24" s="128"/>
      <c r="D24" s="128"/>
      <c r="E24" s="1"/>
    </row>
    <row r="25" spans="1:5" ht="6" customHeight="1" x14ac:dyDescent="0.25">
      <c r="A25" s="1"/>
      <c r="E25" s="1"/>
    </row>
    <row r="26" spans="1:5" ht="24" customHeight="1" x14ac:dyDescent="0.25">
      <c r="A26" s="1"/>
      <c r="B26" s="129" t="s">
        <v>21</v>
      </c>
      <c r="C26" s="129"/>
      <c r="D26" s="129"/>
      <c r="E26" s="1"/>
    </row>
    <row r="27" spans="1:5" ht="12" customHeight="1" x14ac:dyDescent="0.25">
      <c r="A27" s="1"/>
      <c r="E27" s="1"/>
    </row>
    <row r="28" spans="1:5" ht="36" customHeight="1" x14ac:dyDescent="0.25">
      <c r="A28" s="130" t="s">
        <v>22</v>
      </c>
      <c r="B28" s="130"/>
      <c r="C28" s="130"/>
      <c r="D28" s="130"/>
      <c r="E28" s="130"/>
    </row>
    <row r="29" spans="1:5" ht="3.75" customHeight="1" x14ac:dyDescent="0.25">
      <c r="A29" s="1"/>
      <c r="B29" s="2"/>
      <c r="C29" s="2"/>
      <c r="D29" s="2"/>
      <c r="E29" s="1"/>
    </row>
    <row r="30" spans="1:5" ht="6" customHeight="1" x14ac:dyDescent="0.25">
      <c r="A30" s="1"/>
      <c r="E30" s="1"/>
    </row>
    <row r="31" spans="1:5" ht="19.5" customHeight="1" x14ac:dyDescent="0.25">
      <c r="A31" s="118" t="s">
        <v>23</v>
      </c>
      <c r="B31" s="118"/>
      <c r="C31" s="118"/>
      <c r="D31" s="118"/>
      <c r="E31" s="118"/>
    </row>
    <row r="32" spans="1:5" x14ac:dyDescent="0.25">
      <c r="A32" s="1"/>
      <c r="E32" s="1"/>
    </row>
  </sheetData>
  <mergeCells count="14">
    <mergeCell ref="A2:E2"/>
    <mergeCell ref="A3:E3"/>
    <mergeCell ref="A5:E5"/>
    <mergeCell ref="B8:D8"/>
    <mergeCell ref="B10:D10"/>
    <mergeCell ref="B24:D24"/>
    <mergeCell ref="B26:D26"/>
    <mergeCell ref="A28:E28"/>
    <mergeCell ref="A31:E31"/>
    <mergeCell ref="B12:D12"/>
    <mergeCell ref="B14:D14"/>
    <mergeCell ref="B16:D16"/>
    <mergeCell ref="B18:D18"/>
    <mergeCell ref="A22:E22"/>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6AE2D"/>
  </sheetPr>
  <dimension ref="A1:M40"/>
  <sheetViews>
    <sheetView zoomScaleNormal="100" workbookViewId="0">
      <pane ySplit="7" topLeftCell="A8" activePane="bottomLeft" state="frozen"/>
      <selection pane="bottomLeft" activeCell="B32" sqref="B32:M32"/>
    </sheetView>
  </sheetViews>
  <sheetFormatPr defaultColWidth="8.7109375" defaultRowHeight="15" x14ac:dyDescent="0.25"/>
  <cols>
    <col min="1" max="1" width="13" customWidth="1"/>
    <col min="2" max="2" width="15" customWidth="1"/>
    <col min="3" max="3" width="18" customWidth="1"/>
    <col min="4" max="4" width="14" customWidth="1"/>
    <col min="5" max="5" width="13" customWidth="1"/>
    <col min="6" max="7" width="12" customWidth="1"/>
    <col min="8" max="8" width="14" customWidth="1"/>
    <col min="9" max="9" width="12" customWidth="1"/>
    <col min="10" max="13" width="10" customWidth="1"/>
  </cols>
  <sheetData>
    <row r="1" spans="1:13" ht="45" customHeight="1" x14ac:dyDescent="0.25">
      <c r="A1" s="148" t="s">
        <v>24</v>
      </c>
      <c r="B1" s="148"/>
      <c r="C1" s="148"/>
      <c r="D1" s="148"/>
      <c r="E1" s="148"/>
      <c r="F1" s="148"/>
      <c r="G1" s="148"/>
      <c r="H1" s="148"/>
      <c r="I1" s="148"/>
      <c r="J1" s="148"/>
      <c r="K1" s="148"/>
      <c r="L1" s="148"/>
      <c r="M1" s="148"/>
    </row>
    <row r="2" spans="1:13" ht="21.75" customHeight="1" x14ac:dyDescent="0.25">
      <c r="A2" s="149" t="str">
        <f ca="1">UPPER(TEXT(TODAY(),"DDDD, DD MMMM YYYY"))&amp;"  |  Live data from centralized DB — All 10 agents unified"</f>
        <v>SUNDAY, 19 APRIL 2026  |  Live data from centralized DB — All 10 agents unified</v>
      </c>
      <c r="B2" s="149"/>
      <c r="C2" s="149"/>
      <c r="D2" s="149"/>
      <c r="E2" s="149"/>
      <c r="F2" s="149"/>
      <c r="G2" s="149"/>
      <c r="H2" s="149"/>
      <c r="I2" s="149"/>
      <c r="J2" s="149"/>
      <c r="K2" s="149"/>
      <c r="L2" s="149"/>
      <c r="M2" s="149"/>
    </row>
    <row r="3" spans="1:13" ht="7.5" customHeight="1" x14ac:dyDescent="0.25"/>
    <row r="4" spans="1:13" ht="19.5" customHeight="1" x14ac:dyDescent="0.25">
      <c r="A4" s="150" t="s">
        <v>25</v>
      </c>
      <c r="B4" s="150"/>
      <c r="C4" s="151" t="s">
        <v>26</v>
      </c>
      <c r="D4" s="151"/>
      <c r="E4" s="152" t="s">
        <v>27</v>
      </c>
      <c r="F4" s="152"/>
      <c r="G4" s="153" t="s">
        <v>28</v>
      </c>
      <c r="H4" s="153"/>
      <c r="I4" s="154" t="s">
        <v>29</v>
      </c>
      <c r="J4" s="154"/>
      <c r="K4" s="155" t="s">
        <v>30</v>
      </c>
      <c r="L4" s="155"/>
      <c r="M4" s="155"/>
    </row>
    <row r="5" spans="1:13" ht="31.5" customHeight="1" x14ac:dyDescent="0.25">
      <c r="A5" s="143">
        <f ca="1">Daily_Balancing!B14</f>
        <v>0</v>
      </c>
      <c r="B5" s="143"/>
      <c r="C5" s="144">
        <f ca="1">Daily_Balancing!C14</f>
        <v>0</v>
      </c>
      <c r="D5" s="144"/>
      <c r="E5" s="145">
        <f ca="1">Daily_Balancing!D14</f>
        <v>0</v>
      </c>
      <c r="F5" s="145"/>
      <c r="G5" s="146">
        <f>COUNTIF(DB_Customers!K2:K500,"Active")</f>
        <v>0</v>
      </c>
      <c r="H5" s="146"/>
      <c r="I5" s="147">
        <f>COUNTIF(DB_Loans!K2:K500,"Pending")</f>
        <v>0</v>
      </c>
      <c r="J5" s="147"/>
      <c r="K5" s="136">
        <f>SUMIF(DB_Loans!K2:K500,"Approved",DB_Loans!E2:E500)</f>
        <v>0</v>
      </c>
      <c r="L5" s="136"/>
      <c r="M5" s="136"/>
    </row>
    <row r="6" spans="1:13" ht="7.5" customHeight="1" x14ac:dyDescent="0.25"/>
    <row r="7" spans="1:13" ht="21.75" customHeight="1" x14ac:dyDescent="0.25">
      <c r="A7" s="137" t="s">
        <v>31</v>
      </c>
      <c r="B7" s="137"/>
      <c r="C7" s="137"/>
      <c r="D7" s="137"/>
      <c r="E7" s="137"/>
      <c r="F7" s="137"/>
      <c r="G7" s="137"/>
      <c r="H7" s="137"/>
      <c r="I7" s="137"/>
      <c r="J7" s="137"/>
      <c r="K7" s="137"/>
      <c r="L7" s="137"/>
      <c r="M7" s="137"/>
    </row>
    <row r="8" spans="1:13" ht="19.5" customHeight="1" x14ac:dyDescent="0.25">
      <c r="A8" s="6" t="s">
        <v>32</v>
      </c>
      <c r="B8" s="6" t="s">
        <v>33</v>
      </c>
      <c r="C8" s="6" t="s">
        <v>34</v>
      </c>
      <c r="D8" s="6" t="s">
        <v>35</v>
      </c>
      <c r="E8" s="6" t="s">
        <v>36</v>
      </c>
      <c r="F8" s="6" t="s">
        <v>37</v>
      </c>
      <c r="G8" s="6" t="s">
        <v>38</v>
      </c>
      <c r="H8" s="6" t="s">
        <v>39</v>
      </c>
      <c r="I8" s="6" t="s">
        <v>40</v>
      </c>
    </row>
    <row r="9" spans="1:13" x14ac:dyDescent="0.25">
      <c r="A9" s="7" t="s">
        <v>41</v>
      </c>
      <c r="B9" s="8">
        <f ca="1">Daily_Balancing!B4</f>
        <v>0</v>
      </c>
      <c r="C9" s="8">
        <f ca="1">Daily_Balancing!C4</f>
        <v>0</v>
      </c>
      <c r="D9" s="8">
        <f t="shared" ref="D9:D18" ca="1" si="0">B9-C9</f>
        <v>0</v>
      </c>
      <c r="E9" s="9">
        <f ca="1">Daily_Balancing!E4</f>
        <v>0</v>
      </c>
      <c r="F9" s="8">
        <v>5000</v>
      </c>
      <c r="G9" s="10">
        <f t="shared" ref="G9:G19" ca="1" si="1">IFERROR(B9/F9,0)</f>
        <v>0</v>
      </c>
      <c r="H9" s="8">
        <f>SUMIF(DB_Savings!$G:$G,"Agent 01",DB_Savings!$F:$F)</f>
        <v>0</v>
      </c>
      <c r="I9" s="9">
        <f>COUNTIF(DB_Customers!$H:$H,"Agent 01")</f>
        <v>0</v>
      </c>
    </row>
    <row r="10" spans="1:13" x14ac:dyDescent="0.25">
      <c r="A10" s="11" t="s">
        <v>42</v>
      </c>
      <c r="B10" s="12">
        <f ca="1">Daily_Balancing!B5</f>
        <v>0</v>
      </c>
      <c r="C10" s="12">
        <f ca="1">Daily_Balancing!C5</f>
        <v>0</v>
      </c>
      <c r="D10" s="12">
        <f t="shared" ca="1" si="0"/>
        <v>0</v>
      </c>
      <c r="E10" s="13">
        <f ca="1">Daily_Balancing!E5</f>
        <v>0</v>
      </c>
      <c r="F10" s="12">
        <v>5000</v>
      </c>
      <c r="G10" s="14">
        <f t="shared" ca="1" si="1"/>
        <v>0</v>
      </c>
      <c r="H10" s="12">
        <f>SUMIF(DB_Savings!$G:$G,"Agent 02",DB_Savings!$F:$F)</f>
        <v>0</v>
      </c>
      <c r="I10" s="13">
        <f>COUNTIF(DB_Customers!$H:$H,"Agent 02")</f>
        <v>0</v>
      </c>
    </row>
    <row r="11" spans="1:13" x14ac:dyDescent="0.25">
      <c r="A11" s="7" t="s">
        <v>43</v>
      </c>
      <c r="B11" s="8">
        <f ca="1">Daily_Balancing!B6</f>
        <v>0</v>
      </c>
      <c r="C11" s="8">
        <f ca="1">Daily_Balancing!C6</f>
        <v>0</v>
      </c>
      <c r="D11" s="8">
        <f t="shared" ca="1" si="0"/>
        <v>0</v>
      </c>
      <c r="E11" s="9">
        <f ca="1">Daily_Balancing!E6</f>
        <v>0</v>
      </c>
      <c r="F11" s="8">
        <v>5000</v>
      </c>
      <c r="G11" s="10">
        <f t="shared" ca="1" si="1"/>
        <v>0</v>
      </c>
      <c r="H11" s="8">
        <f>SUMIF(DB_Savings!$G:$G,"Agent 03",DB_Savings!$F:$F)</f>
        <v>0</v>
      </c>
      <c r="I11" s="9">
        <f>COUNTIF(DB_Customers!$H:$H,"Agent 03")</f>
        <v>0</v>
      </c>
    </row>
    <row r="12" spans="1:13" x14ac:dyDescent="0.25">
      <c r="A12" s="11" t="s">
        <v>44</v>
      </c>
      <c r="B12" s="12">
        <f ca="1">Daily_Balancing!B7</f>
        <v>0</v>
      </c>
      <c r="C12" s="12">
        <f ca="1">Daily_Balancing!C7</f>
        <v>0</v>
      </c>
      <c r="D12" s="12">
        <f t="shared" ca="1" si="0"/>
        <v>0</v>
      </c>
      <c r="E12" s="13">
        <f ca="1">Daily_Balancing!E7</f>
        <v>0</v>
      </c>
      <c r="F12" s="12">
        <v>5000</v>
      </c>
      <c r="G12" s="14">
        <f t="shared" ca="1" si="1"/>
        <v>0</v>
      </c>
      <c r="H12" s="12">
        <f>SUMIF(DB_Savings!$G:$G,"Agent 04",DB_Savings!$F:$F)</f>
        <v>0</v>
      </c>
      <c r="I12" s="13">
        <f>COUNTIF(DB_Customers!$H:$H,"Agent 04")</f>
        <v>0</v>
      </c>
    </row>
    <row r="13" spans="1:13" x14ac:dyDescent="0.25">
      <c r="A13" s="7" t="s">
        <v>45</v>
      </c>
      <c r="B13" s="8">
        <f ca="1">Daily_Balancing!B8</f>
        <v>0</v>
      </c>
      <c r="C13" s="8">
        <f ca="1">Daily_Balancing!C8</f>
        <v>0</v>
      </c>
      <c r="D13" s="8">
        <f t="shared" ca="1" si="0"/>
        <v>0</v>
      </c>
      <c r="E13" s="9">
        <f ca="1">Daily_Balancing!E8</f>
        <v>0</v>
      </c>
      <c r="F13" s="8">
        <v>5000</v>
      </c>
      <c r="G13" s="10">
        <f t="shared" ca="1" si="1"/>
        <v>0</v>
      </c>
      <c r="H13" s="8">
        <f>SUMIF(DB_Savings!$G:$G,"Agent 05",DB_Savings!$F:$F)</f>
        <v>0</v>
      </c>
      <c r="I13" s="9">
        <f>COUNTIF(DB_Customers!$H:$H,"Agent 05")</f>
        <v>0</v>
      </c>
    </row>
    <row r="14" spans="1:13" x14ac:dyDescent="0.25">
      <c r="A14" s="11" t="s">
        <v>46</v>
      </c>
      <c r="B14" s="12">
        <f ca="1">Daily_Balancing!B9</f>
        <v>0</v>
      </c>
      <c r="C14" s="12">
        <f ca="1">Daily_Balancing!C9</f>
        <v>0</v>
      </c>
      <c r="D14" s="12">
        <f t="shared" ca="1" si="0"/>
        <v>0</v>
      </c>
      <c r="E14" s="13">
        <f ca="1">Daily_Balancing!E9</f>
        <v>0</v>
      </c>
      <c r="F14" s="12">
        <v>5000</v>
      </c>
      <c r="G14" s="14">
        <f t="shared" ca="1" si="1"/>
        <v>0</v>
      </c>
      <c r="H14" s="12">
        <f>SUMIF(DB_Savings!$G:$G,"Agent 06",DB_Savings!$F:$F)</f>
        <v>0</v>
      </c>
      <c r="I14" s="13">
        <f>COUNTIF(DB_Customers!$H:$H,"Agent 06")</f>
        <v>0</v>
      </c>
    </row>
    <row r="15" spans="1:13" x14ac:dyDescent="0.25">
      <c r="A15" s="7" t="s">
        <v>47</v>
      </c>
      <c r="B15" s="8">
        <f ca="1">Daily_Balancing!B10</f>
        <v>0</v>
      </c>
      <c r="C15" s="8">
        <f ca="1">Daily_Balancing!C10</f>
        <v>0</v>
      </c>
      <c r="D15" s="8">
        <f t="shared" ca="1" si="0"/>
        <v>0</v>
      </c>
      <c r="E15" s="9">
        <f ca="1">Daily_Balancing!E10</f>
        <v>0</v>
      </c>
      <c r="F15" s="8">
        <v>5000</v>
      </c>
      <c r="G15" s="10">
        <f t="shared" ca="1" si="1"/>
        <v>0</v>
      </c>
      <c r="H15" s="8">
        <f>SUMIF(DB_Savings!$G:$G,"Agent 07",DB_Savings!$F:$F)</f>
        <v>0</v>
      </c>
      <c r="I15" s="9">
        <f>COUNTIF(DB_Customers!$H:$H,"Agent 07")</f>
        <v>0</v>
      </c>
    </row>
    <row r="16" spans="1:13" x14ac:dyDescent="0.25">
      <c r="A16" s="11" t="s">
        <v>48</v>
      </c>
      <c r="B16" s="12">
        <f ca="1">Daily_Balancing!B11</f>
        <v>0</v>
      </c>
      <c r="C16" s="12">
        <f ca="1">Daily_Balancing!C11</f>
        <v>0</v>
      </c>
      <c r="D16" s="12">
        <f t="shared" ca="1" si="0"/>
        <v>0</v>
      </c>
      <c r="E16" s="13">
        <f ca="1">Daily_Balancing!E11</f>
        <v>0</v>
      </c>
      <c r="F16" s="12">
        <v>5000</v>
      </c>
      <c r="G16" s="14">
        <f t="shared" ca="1" si="1"/>
        <v>0</v>
      </c>
      <c r="H16" s="12">
        <f>SUMIF(DB_Savings!$G:$G,"Agent 08",DB_Savings!$F:$F)</f>
        <v>0</v>
      </c>
      <c r="I16" s="13">
        <f>COUNTIF(DB_Customers!$H:$H,"Agent 08")</f>
        <v>0</v>
      </c>
    </row>
    <row r="17" spans="1:13" x14ac:dyDescent="0.25">
      <c r="A17" s="7" t="s">
        <v>49</v>
      </c>
      <c r="B17" s="8">
        <f ca="1">Daily_Balancing!B12</f>
        <v>0</v>
      </c>
      <c r="C17" s="8">
        <f ca="1">Daily_Balancing!C12</f>
        <v>0</v>
      </c>
      <c r="D17" s="8">
        <f t="shared" ca="1" si="0"/>
        <v>0</v>
      </c>
      <c r="E17" s="9">
        <f ca="1">Daily_Balancing!E12</f>
        <v>0</v>
      </c>
      <c r="F17" s="8">
        <v>5000</v>
      </c>
      <c r="G17" s="10">
        <f t="shared" ca="1" si="1"/>
        <v>0</v>
      </c>
      <c r="H17" s="8">
        <f>SUMIF(DB_Savings!$G:$G,"Agent 09",DB_Savings!$F:$F)</f>
        <v>0</v>
      </c>
      <c r="I17" s="9">
        <f>COUNTIF(DB_Customers!$H:$H,"Agent 09")</f>
        <v>0</v>
      </c>
    </row>
    <row r="18" spans="1:13" x14ac:dyDescent="0.25">
      <c r="A18" s="11" t="s">
        <v>50</v>
      </c>
      <c r="B18" s="12">
        <f ca="1">Daily_Balancing!B13</f>
        <v>0</v>
      </c>
      <c r="C18" s="12">
        <f ca="1">Daily_Balancing!C13</f>
        <v>0</v>
      </c>
      <c r="D18" s="12">
        <f t="shared" ca="1" si="0"/>
        <v>0</v>
      </c>
      <c r="E18" s="13">
        <f ca="1">Daily_Balancing!E13</f>
        <v>0</v>
      </c>
      <c r="F18" s="12">
        <v>5000</v>
      </c>
      <c r="G18" s="14">
        <f t="shared" ca="1" si="1"/>
        <v>0</v>
      </c>
      <c r="H18" s="12">
        <f>SUMIF(DB_Savings!$G:$G,"Agent 10",DB_Savings!$F:$F)</f>
        <v>0</v>
      </c>
      <c r="I18" s="13">
        <f>COUNTIF(DB_Customers!$H:$H,"Agent 10")</f>
        <v>0</v>
      </c>
    </row>
    <row r="19" spans="1:13" x14ac:dyDescent="0.25">
      <c r="A19" s="15" t="s">
        <v>51</v>
      </c>
      <c r="B19" s="16">
        <f ca="1">SUM(B9:B18)</f>
        <v>0</v>
      </c>
      <c r="C19" s="16">
        <f ca="1">SUM(C9:C18)</f>
        <v>0</v>
      </c>
      <c r="D19" s="16">
        <f ca="1">SUM(D9:D18)</f>
        <v>0</v>
      </c>
      <c r="E19" s="16">
        <f ca="1">SUM(E9:E18)</f>
        <v>0</v>
      </c>
      <c r="F19" s="16">
        <f>SUM(F9:F18)</f>
        <v>50000</v>
      </c>
      <c r="G19" s="17">
        <f t="shared" ca="1" si="1"/>
        <v>0</v>
      </c>
      <c r="H19" s="16">
        <f>SUM(H9:H18)</f>
        <v>0</v>
      </c>
      <c r="I19" s="15">
        <f>SUM(I9:I18)</f>
        <v>0</v>
      </c>
    </row>
    <row r="20" spans="1:13" ht="7.5" customHeight="1" x14ac:dyDescent="0.25"/>
    <row r="21" spans="1:13" ht="21.75" customHeight="1" x14ac:dyDescent="0.25">
      <c r="A21" s="138" t="s">
        <v>52</v>
      </c>
      <c r="B21" s="138"/>
      <c r="C21" s="138"/>
      <c r="D21" s="138"/>
      <c r="E21" s="138"/>
      <c r="F21" s="138"/>
      <c r="G21" s="139" t="s">
        <v>53</v>
      </c>
      <c r="H21" s="139"/>
      <c r="I21" s="139"/>
      <c r="J21" s="139"/>
      <c r="K21" s="139"/>
      <c r="L21" s="139"/>
      <c r="M21" s="139"/>
    </row>
    <row r="22" spans="1:13" ht="21.75" customHeight="1" x14ac:dyDescent="0.25">
      <c r="A22" s="140" t="s">
        <v>54</v>
      </c>
      <c r="B22" s="140"/>
      <c r="C22" s="140"/>
      <c r="D22" s="141">
        <f>COUNTA(DB_Customers!A2:A500)</f>
        <v>2</v>
      </c>
      <c r="E22" s="141"/>
      <c r="F22" s="141"/>
      <c r="G22" s="139"/>
      <c r="H22" s="139"/>
      <c r="I22" s="139"/>
      <c r="J22" s="139"/>
      <c r="K22" s="139"/>
      <c r="L22" s="139"/>
      <c r="M22" s="139"/>
    </row>
    <row r="23" spans="1:13" ht="21.75" customHeight="1" x14ac:dyDescent="0.25">
      <c r="A23" s="140" t="s">
        <v>55</v>
      </c>
      <c r="B23" s="140"/>
      <c r="C23" s="140"/>
      <c r="D23" s="142">
        <f>SUM(DB_Customers!L2:L500)</f>
        <v>0</v>
      </c>
      <c r="E23" s="142"/>
      <c r="F23" s="142"/>
      <c r="G23" s="139"/>
      <c r="H23" s="139"/>
      <c r="I23" s="139"/>
      <c r="J23" s="139"/>
      <c r="K23" s="139"/>
      <c r="L23" s="139"/>
      <c r="M23" s="139"/>
    </row>
    <row r="24" spans="1:13" ht="21.75" customHeight="1" x14ac:dyDescent="0.25">
      <c r="A24" s="140" t="s">
        <v>56</v>
      </c>
      <c r="B24" s="140"/>
      <c r="C24" s="140"/>
      <c r="D24" s="142">
        <f>SUM(DB_Customers!M2:M500)</f>
        <v>0</v>
      </c>
      <c r="E24" s="142"/>
      <c r="F24" s="142"/>
      <c r="G24" s="139"/>
      <c r="H24" s="139"/>
      <c r="I24" s="139"/>
      <c r="J24" s="139"/>
      <c r="K24" s="139"/>
      <c r="L24" s="139"/>
      <c r="M24" s="139"/>
    </row>
    <row r="25" spans="1:13" ht="21.75" customHeight="1" x14ac:dyDescent="0.25">
      <c r="A25" s="140" t="s">
        <v>57</v>
      </c>
      <c r="B25" s="140"/>
      <c r="C25" s="140"/>
      <c r="D25" s="141">
        <f>COUNTIF(DB_Customers!K2:K500,"Pending")</f>
        <v>0</v>
      </c>
      <c r="E25" s="141"/>
      <c r="F25" s="141"/>
      <c r="G25" s="139"/>
      <c r="H25" s="139"/>
      <c r="I25" s="139"/>
      <c r="J25" s="139"/>
      <c r="K25" s="139"/>
      <c r="L25" s="139"/>
      <c r="M25" s="139"/>
    </row>
    <row r="26" spans="1:13" ht="21.75" customHeight="1" x14ac:dyDescent="0.25">
      <c r="A26" s="140" t="s">
        <v>58</v>
      </c>
      <c r="B26" s="140"/>
      <c r="C26" s="140"/>
      <c r="D26" s="141">
        <f>COUNTIF(DB_Loans!K2:K500,"Pending")</f>
        <v>0</v>
      </c>
      <c r="E26" s="141"/>
      <c r="F26" s="141"/>
      <c r="G26" s="139"/>
      <c r="H26" s="139"/>
      <c r="I26" s="139"/>
      <c r="J26" s="139"/>
      <c r="K26" s="139"/>
      <c r="L26" s="139"/>
      <c r="M26" s="139"/>
    </row>
    <row r="27" spans="1:13" ht="21.75" customHeight="1" x14ac:dyDescent="0.25">
      <c r="A27" s="140" t="s">
        <v>59</v>
      </c>
      <c r="B27" s="140"/>
      <c r="C27" s="140"/>
      <c r="D27" s="141">
        <f>COUNTIF(DB_Loans!K2:K500,"Approved")</f>
        <v>0</v>
      </c>
      <c r="E27" s="141"/>
      <c r="F27" s="141"/>
      <c r="G27" s="139"/>
      <c r="H27" s="139"/>
      <c r="I27" s="139"/>
      <c r="J27" s="139"/>
      <c r="K27" s="139"/>
      <c r="L27" s="139"/>
      <c r="M27" s="139"/>
    </row>
    <row r="29" spans="1:13" ht="18" customHeight="1" x14ac:dyDescent="0.25">
      <c r="A29" s="135" t="s">
        <v>60</v>
      </c>
      <c r="B29" s="135"/>
      <c r="C29" s="135"/>
      <c r="D29" s="135"/>
      <c r="E29" s="135"/>
      <c r="F29" s="135"/>
      <c r="G29" s="135"/>
      <c r="H29" s="135"/>
      <c r="I29" s="135"/>
      <c r="J29" s="135"/>
      <c r="K29" s="135"/>
      <c r="L29" s="135"/>
      <c r="M29" s="135"/>
    </row>
    <row r="30" spans="1:13" x14ac:dyDescent="0.25">
      <c r="A30" s="18" t="s">
        <v>61</v>
      </c>
      <c r="B30" s="134" t="s">
        <v>62</v>
      </c>
      <c r="C30" s="134"/>
      <c r="D30" s="134"/>
      <c r="E30" s="134"/>
      <c r="F30" s="134"/>
      <c r="G30" s="134"/>
      <c r="H30" s="134"/>
      <c r="I30" s="134"/>
      <c r="J30" s="134"/>
      <c r="K30" s="134"/>
      <c r="L30" s="134"/>
      <c r="M30" s="134"/>
    </row>
    <row r="31" spans="1:13" x14ac:dyDescent="0.25">
      <c r="A31" s="18" t="s">
        <v>61</v>
      </c>
      <c r="B31" s="134" t="s">
        <v>63</v>
      </c>
      <c r="C31" s="134"/>
      <c r="D31" s="134"/>
      <c r="E31" s="134"/>
      <c r="F31" s="134"/>
      <c r="G31" s="134"/>
      <c r="H31" s="134"/>
      <c r="I31" s="134"/>
      <c r="J31" s="134"/>
      <c r="K31" s="134"/>
      <c r="L31" s="134"/>
      <c r="M31" s="134"/>
    </row>
    <row r="32" spans="1:13" x14ac:dyDescent="0.25">
      <c r="A32" s="18" t="s">
        <v>61</v>
      </c>
      <c r="B32" s="134" t="s">
        <v>64</v>
      </c>
      <c r="C32" s="134"/>
      <c r="D32" s="134"/>
      <c r="E32" s="134"/>
      <c r="F32" s="134"/>
      <c r="G32" s="134"/>
      <c r="H32" s="134"/>
      <c r="I32" s="134"/>
      <c r="J32" s="134"/>
      <c r="K32" s="134"/>
      <c r="L32" s="134"/>
      <c r="M32" s="134"/>
    </row>
    <row r="33" spans="1:13" x14ac:dyDescent="0.25">
      <c r="A33" s="18" t="s">
        <v>61</v>
      </c>
      <c r="B33" s="134" t="s">
        <v>65</v>
      </c>
      <c r="C33" s="134"/>
      <c r="D33" s="134"/>
      <c r="E33" s="134"/>
      <c r="F33" s="134"/>
      <c r="G33" s="134"/>
      <c r="H33" s="134"/>
      <c r="I33" s="134"/>
      <c r="J33" s="134"/>
      <c r="K33" s="134"/>
      <c r="L33" s="134"/>
      <c r="M33" s="134"/>
    </row>
    <row r="34" spans="1:13" x14ac:dyDescent="0.25">
      <c r="A34" s="18" t="s">
        <v>61</v>
      </c>
      <c r="B34" s="134" t="s">
        <v>66</v>
      </c>
      <c r="C34" s="134"/>
      <c r="D34" s="134"/>
      <c r="E34" s="134"/>
      <c r="F34" s="134"/>
      <c r="G34" s="134"/>
      <c r="H34" s="134"/>
      <c r="I34" s="134"/>
      <c r="J34" s="134"/>
      <c r="K34" s="134"/>
      <c r="L34" s="134"/>
      <c r="M34" s="134"/>
    </row>
    <row r="35" spans="1:13" x14ac:dyDescent="0.25">
      <c r="A35" s="18" t="s">
        <v>61</v>
      </c>
      <c r="B35" s="134" t="s">
        <v>67</v>
      </c>
      <c r="C35" s="134"/>
      <c r="D35" s="134"/>
      <c r="E35" s="134"/>
      <c r="F35" s="134"/>
      <c r="G35" s="134"/>
      <c r="H35" s="134"/>
      <c r="I35" s="134"/>
      <c r="J35" s="134"/>
      <c r="K35" s="134"/>
      <c r="L35" s="134"/>
      <c r="M35" s="134"/>
    </row>
    <row r="36" spans="1:13" x14ac:dyDescent="0.25">
      <c r="A36" s="18" t="s">
        <v>61</v>
      </c>
      <c r="B36" s="134" t="s">
        <v>68</v>
      </c>
      <c r="C36" s="134"/>
      <c r="D36" s="134"/>
      <c r="E36" s="134"/>
      <c r="F36" s="134"/>
      <c r="G36" s="134"/>
      <c r="H36" s="134"/>
      <c r="I36" s="134"/>
      <c r="J36" s="134"/>
      <c r="K36" s="134"/>
      <c r="L36" s="134"/>
      <c r="M36" s="134"/>
    </row>
    <row r="37" spans="1:13" x14ac:dyDescent="0.25">
      <c r="A37" s="18" t="s">
        <v>61</v>
      </c>
      <c r="B37" s="134" t="s">
        <v>69</v>
      </c>
      <c r="C37" s="134"/>
      <c r="D37" s="134"/>
      <c r="E37" s="134"/>
      <c r="F37" s="134"/>
      <c r="G37" s="134"/>
      <c r="H37" s="134"/>
      <c r="I37" s="134"/>
      <c r="J37" s="134"/>
      <c r="K37" s="134"/>
      <c r="L37" s="134"/>
      <c r="M37" s="134"/>
    </row>
    <row r="38" spans="1:13" x14ac:dyDescent="0.25">
      <c r="A38" s="18" t="s">
        <v>61</v>
      </c>
      <c r="B38" s="134" t="s">
        <v>70</v>
      </c>
      <c r="C38" s="134"/>
      <c r="D38" s="134"/>
      <c r="E38" s="134"/>
      <c r="F38" s="134"/>
      <c r="G38" s="134"/>
      <c r="H38" s="134"/>
      <c r="I38" s="134"/>
      <c r="J38" s="134"/>
      <c r="K38" s="134"/>
      <c r="L38" s="134"/>
      <c r="M38" s="134"/>
    </row>
    <row r="39" spans="1:13" x14ac:dyDescent="0.25">
      <c r="A39" s="18" t="s">
        <v>61</v>
      </c>
      <c r="B39" s="19" t="s">
        <v>71</v>
      </c>
    </row>
    <row r="40" spans="1:13" x14ac:dyDescent="0.25">
      <c r="A40" s="18" t="s">
        <v>61</v>
      </c>
      <c r="B40" s="19" t="s">
        <v>72</v>
      </c>
    </row>
  </sheetData>
  <mergeCells count="39">
    <mergeCell ref="A1:M1"/>
    <mergeCell ref="A2:M2"/>
    <mergeCell ref="A4:B4"/>
    <mergeCell ref="C4:D4"/>
    <mergeCell ref="E4:F4"/>
    <mergeCell ref="G4:H4"/>
    <mergeCell ref="I4:J4"/>
    <mergeCell ref="K4:M4"/>
    <mergeCell ref="A5:B5"/>
    <mergeCell ref="C5:D5"/>
    <mergeCell ref="E5:F5"/>
    <mergeCell ref="G5:H5"/>
    <mergeCell ref="I5:J5"/>
    <mergeCell ref="K5:M5"/>
    <mergeCell ref="A7:M7"/>
    <mergeCell ref="A21:F21"/>
    <mergeCell ref="G21:M27"/>
    <mergeCell ref="A22:C22"/>
    <mergeCell ref="D22:F22"/>
    <mergeCell ref="A23:C23"/>
    <mergeCell ref="D23:F23"/>
    <mergeCell ref="A24:C24"/>
    <mergeCell ref="D24:F24"/>
    <mergeCell ref="A25:C25"/>
    <mergeCell ref="D25:F25"/>
    <mergeCell ref="A26:C26"/>
    <mergeCell ref="D26:F26"/>
    <mergeCell ref="A27:C27"/>
    <mergeCell ref="D27:F27"/>
    <mergeCell ref="A29:M29"/>
    <mergeCell ref="B30:M30"/>
    <mergeCell ref="B31:M31"/>
    <mergeCell ref="B32:M32"/>
    <mergeCell ref="B33:M33"/>
    <mergeCell ref="B34:M34"/>
    <mergeCell ref="B35:M35"/>
    <mergeCell ref="B36:M36"/>
    <mergeCell ref="B37:M37"/>
    <mergeCell ref="B38:M38"/>
  </mergeCells>
  <conditionalFormatting sqref="G9:G18">
    <cfRule type="cellIs" dxfId="104" priority="2" operator="greaterThanOrEqual">
      <formula>1</formula>
    </cfRule>
    <cfRule type="cellIs" dxfId="103" priority="3" operator="lessThan">
      <formula>0.5</formula>
    </cfRule>
  </conditionalFormatting>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ABC9C"/>
  </sheetPr>
  <dimension ref="A1:E37"/>
  <sheetViews>
    <sheetView tabSelected="1" zoomScaleNormal="100" workbookViewId="0">
      <selection activeCell="A20" sqref="A20:E20"/>
    </sheetView>
  </sheetViews>
  <sheetFormatPr defaultColWidth="8.7109375" defaultRowHeight="15" x14ac:dyDescent="0.25"/>
  <cols>
    <col min="1" max="1" width="28.85546875" customWidth="1"/>
    <col min="2" max="2" width="21" customWidth="1"/>
    <col min="3" max="3" width="28" customWidth="1"/>
    <col min="4" max="4" width="18" customWidth="1"/>
    <col min="5" max="5" width="20" customWidth="1"/>
  </cols>
  <sheetData>
    <row r="1" spans="1:5" ht="39.75" customHeight="1" x14ac:dyDescent="0.25">
      <c r="A1" s="115" t="s">
        <v>73</v>
      </c>
      <c r="B1" s="115"/>
      <c r="C1" s="115"/>
      <c r="D1" s="115"/>
      <c r="E1" s="115"/>
    </row>
    <row r="2" spans="1:5" ht="19.5" customHeight="1" x14ac:dyDescent="0.25">
      <c r="A2" s="116" t="s">
        <v>74</v>
      </c>
      <c r="B2" s="116"/>
      <c r="C2" s="116"/>
      <c r="D2" s="116"/>
      <c r="E2" s="116"/>
    </row>
    <row r="3" spans="1:5" ht="18" customHeight="1" x14ac:dyDescent="0.25">
      <c r="A3" s="117" t="s">
        <v>75</v>
      </c>
      <c r="B3" s="117"/>
      <c r="C3" s="117"/>
      <c r="D3" s="117"/>
      <c r="E3" s="117"/>
    </row>
    <row r="4" spans="1:5" ht="7.5" customHeight="1" x14ac:dyDescent="0.25">
      <c r="A4" s="20"/>
      <c r="B4" s="20"/>
      <c r="C4" s="20"/>
      <c r="D4" s="20"/>
      <c r="E4" s="20"/>
    </row>
    <row r="5" spans="1:5" ht="25.5" customHeight="1" x14ac:dyDescent="0.25">
      <c r="A5" s="21" t="s">
        <v>76</v>
      </c>
      <c r="B5" s="20"/>
      <c r="C5" s="114" t="s">
        <v>978</v>
      </c>
      <c r="D5" s="114"/>
      <c r="E5" s="114"/>
    </row>
    <row r="6" spans="1:5" ht="25.5" customHeight="1" x14ac:dyDescent="0.25">
      <c r="A6" s="21" t="s">
        <v>77</v>
      </c>
      <c r="B6" s="20"/>
      <c r="C6" s="114" t="s">
        <v>979</v>
      </c>
      <c r="D6" s="114"/>
      <c r="E6" s="114"/>
    </row>
    <row r="7" spans="1:5" ht="25.5" customHeight="1" x14ac:dyDescent="0.25">
      <c r="A7" s="21" t="s">
        <v>78</v>
      </c>
      <c r="B7" s="20"/>
      <c r="C7" s="113" t="s">
        <v>980</v>
      </c>
      <c r="D7" s="113"/>
      <c r="E7" s="113"/>
    </row>
    <row r="8" spans="1:5" ht="25.5" customHeight="1" x14ac:dyDescent="0.25">
      <c r="A8" s="21" t="s">
        <v>79</v>
      </c>
      <c r="B8" s="20"/>
      <c r="C8" s="114">
        <v>241911273</v>
      </c>
      <c r="D8" s="114"/>
      <c r="E8" s="114"/>
    </row>
    <row r="9" spans="1:5" ht="25.5" customHeight="1" x14ac:dyDescent="0.25">
      <c r="A9" s="21" t="s">
        <v>80</v>
      </c>
      <c r="B9" s="20"/>
      <c r="C9" s="114" t="s">
        <v>981</v>
      </c>
      <c r="D9" s="114"/>
      <c r="E9" s="114"/>
    </row>
    <row r="10" spans="1:5" ht="25.5" customHeight="1" x14ac:dyDescent="0.25">
      <c r="A10" s="21" t="s">
        <v>81</v>
      </c>
      <c r="B10" s="20"/>
      <c r="C10" s="114" t="s">
        <v>42</v>
      </c>
      <c r="D10" s="114"/>
      <c r="E10" s="114"/>
    </row>
    <row r="11" spans="1:5" ht="25.5" customHeight="1" x14ac:dyDescent="0.25">
      <c r="A11" s="21" t="s">
        <v>82</v>
      </c>
      <c r="B11" s="20"/>
      <c r="C11" s="114" t="s">
        <v>43</v>
      </c>
      <c r="D11" s="114"/>
      <c r="E11" s="114"/>
    </row>
    <row r="12" spans="1:5" ht="25.5" customHeight="1" x14ac:dyDescent="0.25">
      <c r="A12" s="21" t="s">
        <v>83</v>
      </c>
      <c r="B12" s="20"/>
      <c r="C12" s="22">
        <v>10</v>
      </c>
      <c r="D12" s="109" t="s">
        <v>84</v>
      </c>
      <c r="E12" s="109"/>
    </row>
    <row r="13" spans="1:5" ht="25.5" customHeight="1" x14ac:dyDescent="0.25">
      <c r="A13" s="23" t="s">
        <v>85</v>
      </c>
      <c r="C13" s="110"/>
      <c r="D13" s="110"/>
      <c r="E13" s="110"/>
    </row>
    <row r="14" spans="1:5" ht="25.5" customHeight="1" x14ac:dyDescent="0.25">
      <c r="A14" s="23" t="s">
        <v>86</v>
      </c>
      <c r="C14" s="110" t="s">
        <v>980</v>
      </c>
      <c r="D14" s="110"/>
    </row>
    <row r="15" spans="1:5" ht="25.5" customHeight="1" x14ac:dyDescent="0.25">
      <c r="A15" s="24" t="s">
        <v>87</v>
      </c>
      <c r="C15" s="111" t="s">
        <v>982</v>
      </c>
      <c r="D15" s="111"/>
      <c r="E15" s="111"/>
    </row>
    <row r="16" spans="1:5" ht="24" customHeight="1" x14ac:dyDescent="0.25">
      <c r="A16" s="20"/>
      <c r="B16" s="20"/>
      <c r="C16" s="20"/>
      <c r="D16" s="20"/>
      <c r="E16" s="20"/>
    </row>
    <row r="17" spans="1:5" ht="33.75" customHeight="1" x14ac:dyDescent="0.25">
      <c r="A17" s="112"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All required fields complete — Ready to generate account</v>
      </c>
      <c r="B17" s="112"/>
      <c r="C17" s="112"/>
      <c r="D17" s="112"/>
      <c r="E17" s="112"/>
    </row>
    <row r="18" spans="1:5" ht="6" customHeight="1" x14ac:dyDescent="0.25">
      <c r="A18" s="106" t="s">
        <v>88</v>
      </c>
      <c r="B18" s="106"/>
      <c r="C18" s="106"/>
      <c r="D18" s="106"/>
      <c r="E18" s="106"/>
    </row>
    <row r="19" spans="1:5" ht="24" customHeight="1" x14ac:dyDescent="0.25">
      <c r="A19" s="20"/>
      <c r="B19" s="20"/>
      <c r="C19" s="25"/>
      <c r="D19" s="25"/>
      <c r="E19" s="25"/>
    </row>
    <row r="20" spans="1:5" ht="34.5" customHeight="1" x14ac:dyDescent="0.25">
      <c r="A20" s="107" t="s">
        <v>983</v>
      </c>
      <c r="B20" s="107"/>
      <c r="C20" s="107"/>
      <c r="D20" s="107"/>
      <c r="E20" s="107"/>
    </row>
    <row r="21" spans="1:5" ht="9.75" customHeight="1" x14ac:dyDescent="0.25">
      <c r="A21" s="108" t="str">
        <f>IF(AND(C5&lt;&gt;"",C6&lt;&gt;"",C7&lt;&gt;"",C8&lt;&gt;"",C9&lt;&gt;"",C10&lt;&gt;"",C11&lt;&gt;"",C12&lt;&gt;""),IF(C12&lt;10,"⚠️  Opening Balance must be at least GHC 10.00",IF(AND(C14&lt;&gt;"",LEN(C15)&lt;6),"⚠️  ID Card Number required (min 6 characters) when ID Type is selected","✅  All required fields complete — Ready to generate account")),"⚠️  Please fill all required fields marked with (*)")</f>
        <v>✅  All required fields complete — Ready to generate account</v>
      </c>
      <c r="B21" s="108"/>
      <c r="C21" s="108"/>
      <c r="D21" s="108"/>
      <c r="E21" s="108"/>
    </row>
    <row r="22" spans="1:5" ht="21.75" customHeight="1" x14ac:dyDescent="0.25">
      <c r="A22" s="20"/>
      <c r="B22" s="20"/>
      <c r="C22" s="20"/>
      <c r="D22" s="20"/>
      <c r="E22" s="20"/>
    </row>
    <row r="23" spans="1:5" ht="21.75" customHeight="1" x14ac:dyDescent="0.25">
      <c r="A23" s="105" t="s">
        <v>89</v>
      </c>
      <c r="B23" s="105"/>
      <c r="C23" s="105"/>
      <c r="D23" s="105"/>
      <c r="E23" s="105"/>
    </row>
    <row r="24" spans="1:5" ht="21.75" customHeight="1" x14ac:dyDescent="0.25">
      <c r="A24" s="26" t="s">
        <v>90</v>
      </c>
      <c r="B24" s="104" t="s">
        <v>91</v>
      </c>
      <c r="C24" s="104"/>
      <c r="D24" s="104"/>
      <c r="E24" s="104"/>
    </row>
    <row r="25" spans="1:5" ht="21.75" customHeight="1" x14ac:dyDescent="0.25">
      <c r="A25" s="26" t="s">
        <v>92</v>
      </c>
      <c r="B25" s="104" t="s">
        <v>93</v>
      </c>
      <c r="C25" s="104"/>
      <c r="D25" s="104"/>
      <c r="E25" s="104"/>
    </row>
    <row r="26" spans="1:5" ht="21.75" customHeight="1" x14ac:dyDescent="0.25">
      <c r="A26" s="26" t="s">
        <v>94</v>
      </c>
      <c r="B26" s="104" t="s">
        <v>95</v>
      </c>
      <c r="C26" s="104"/>
      <c r="D26" s="104"/>
      <c r="E26" s="104"/>
    </row>
    <row r="27" spans="1:5" ht="21.75" customHeight="1" x14ac:dyDescent="0.25">
      <c r="A27" s="26" t="s">
        <v>96</v>
      </c>
      <c r="B27" s="104" t="s">
        <v>97</v>
      </c>
      <c r="C27" s="104"/>
      <c r="D27" s="104"/>
      <c r="E27" s="104"/>
    </row>
    <row r="28" spans="1:5" ht="15" customHeight="1" x14ac:dyDescent="0.25">
      <c r="A28" s="26" t="s">
        <v>98</v>
      </c>
      <c r="B28" s="104" t="s">
        <v>99</v>
      </c>
      <c r="C28" s="104"/>
      <c r="D28" s="104"/>
      <c r="E28" s="104"/>
    </row>
    <row r="29" spans="1:5" ht="9.75" customHeight="1" x14ac:dyDescent="0.25">
      <c r="A29" s="20"/>
      <c r="B29" s="20"/>
      <c r="C29" s="20"/>
      <c r="D29" s="20"/>
      <c r="E29" s="20"/>
    </row>
    <row r="30" spans="1:5" ht="21.75" customHeight="1" x14ac:dyDescent="0.25">
      <c r="A30" s="20"/>
      <c r="B30" s="20"/>
      <c r="C30" s="20"/>
      <c r="D30" s="20"/>
      <c r="E30" s="20"/>
    </row>
    <row r="31" spans="1:5" ht="19.5" customHeight="1" x14ac:dyDescent="0.25">
      <c r="A31" s="105" t="s">
        <v>100</v>
      </c>
      <c r="B31" s="105"/>
      <c r="C31" s="105"/>
      <c r="D31" s="105"/>
      <c r="E31" s="105"/>
    </row>
    <row r="32" spans="1:5" ht="19.5" customHeight="1" x14ac:dyDescent="0.25">
      <c r="A32" s="27" t="s">
        <v>101</v>
      </c>
      <c r="B32" s="27" t="s">
        <v>102</v>
      </c>
      <c r="C32" s="27" t="s">
        <v>103</v>
      </c>
      <c r="D32" s="27" t="s">
        <v>32</v>
      </c>
      <c r="E32" s="27" t="s">
        <v>104</v>
      </c>
    </row>
    <row r="33" spans="1:5" ht="19.5" customHeight="1" x14ac:dyDescent="0.25">
      <c r="A33" s="28" t="s">
        <v>105</v>
      </c>
      <c r="B33" s="28" t="s">
        <v>106</v>
      </c>
      <c r="C33" s="28" t="s">
        <v>107</v>
      </c>
      <c r="D33" s="28" t="s">
        <v>50</v>
      </c>
      <c r="E33" s="28" t="s">
        <v>108</v>
      </c>
    </row>
    <row r="34" spans="1:5" ht="19.5" customHeight="1" x14ac:dyDescent="0.25">
      <c r="A34" s="29" t="s">
        <v>109</v>
      </c>
      <c r="B34" s="29" t="s">
        <v>110</v>
      </c>
      <c r="C34" s="29" t="s">
        <v>107</v>
      </c>
      <c r="D34" s="29" t="s">
        <v>50</v>
      </c>
      <c r="E34" s="29" t="s">
        <v>111</v>
      </c>
    </row>
    <row r="35" spans="1:5" ht="19.5" customHeight="1" x14ac:dyDescent="0.25">
      <c r="A35" s="28" t="s">
        <v>112</v>
      </c>
      <c r="B35" s="28" t="s">
        <v>113</v>
      </c>
      <c r="C35" s="28" t="s">
        <v>107</v>
      </c>
      <c r="D35" s="28" t="s">
        <v>49</v>
      </c>
      <c r="E35" s="28" t="s">
        <v>114</v>
      </c>
    </row>
    <row r="36" spans="1:5" ht="19.5" customHeight="1" x14ac:dyDescent="0.25">
      <c r="A36" s="29" t="s">
        <v>115</v>
      </c>
      <c r="B36" s="29" t="s">
        <v>116</v>
      </c>
      <c r="C36" s="29" t="s">
        <v>107</v>
      </c>
      <c r="D36" s="29" t="s">
        <v>49</v>
      </c>
      <c r="E36" s="29" t="s">
        <v>117</v>
      </c>
    </row>
    <row r="37" spans="1:5" x14ac:dyDescent="0.25">
      <c r="A37" s="28" t="s">
        <v>118</v>
      </c>
      <c r="B37" s="28" t="s">
        <v>119</v>
      </c>
      <c r="C37" s="28" t="s">
        <v>107</v>
      </c>
      <c r="D37" s="28" t="s">
        <v>48</v>
      </c>
      <c r="E37" s="28" t="s">
        <v>120</v>
      </c>
    </row>
  </sheetData>
  <mergeCells count="25">
    <mergeCell ref="A1:E1"/>
    <mergeCell ref="A2:E2"/>
    <mergeCell ref="A3:E3"/>
    <mergeCell ref="C5:E5"/>
    <mergeCell ref="C6:E6"/>
    <mergeCell ref="C7:E7"/>
    <mergeCell ref="C8:E8"/>
    <mergeCell ref="C9:E9"/>
    <mergeCell ref="C10:E10"/>
    <mergeCell ref="C11:E11"/>
    <mergeCell ref="D12:E12"/>
    <mergeCell ref="C13:E13"/>
    <mergeCell ref="C14:D14"/>
    <mergeCell ref="C15:E15"/>
    <mergeCell ref="A17:E17"/>
    <mergeCell ref="A18:E18"/>
    <mergeCell ref="A20:E20"/>
    <mergeCell ref="A21:E21"/>
    <mergeCell ref="A23:E23"/>
    <mergeCell ref="B24:E24"/>
    <mergeCell ref="B25:E25"/>
    <mergeCell ref="B26:E26"/>
    <mergeCell ref="B27:E27"/>
    <mergeCell ref="B28:E28"/>
    <mergeCell ref="A31:E31"/>
  </mergeCells>
  <dataValidations count="4">
    <dataValidation type="list" showErrorMessage="1" errorTitle="Invalid" error="Please select from the dropdown list" sqref="C7" xr:uid="{00000000-0002-0000-0300-000000000000}">
      <formula1>"Ghana Card,Voter's ID"</formula1>
      <formula2>0</formula2>
    </dataValidation>
    <dataValidation type="list" showErrorMessage="1" errorTitle="Invalid" error="Please select from the dropdown list" sqref="C10" xr:uid="{00000000-0002-0000-0300-000001000000}">
      <formula1>"Agent 01,Agent 02,Agent 03,Agent 04,Agent 05,Agent 06,Agent 07,Agent 08,Agent 09,Agent 10"</formula1>
      <formula2>0</formula2>
    </dataValidation>
    <dataValidation type="list" allowBlank="1" showInputMessage="1" showErrorMessage="1" errorTitle="Invalid Agent" error="Please select a valid agent (Agent 01 to Agent 10)" promptTitle="Assign Agent" prompt="Select an agent" sqref="C11:E11" xr:uid="{00000000-0002-0000-0300-000002000000}">
      <formula1>"Agent 01,Agent 02,Agent 03,Agent 04,Agent 05,Agent 06,Agent 07,Agent 08,Agent 09,Agent 10"</formula1>
      <formula2>0</formula2>
    </dataValidation>
    <dataValidation type="list" allowBlank="1" sqref="C14:D14" xr:uid="{00000000-0002-0000-0300-000003000000}">
      <formula1>"Ghana Card,Voter's ID,Passport,Driver's License,None"</formula1>
      <formula2>0</formula2>
    </dataValidation>
  </dataValidation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27AE60"/>
  </sheetPr>
  <dimension ref="A1:L208"/>
  <sheetViews>
    <sheetView zoomScaleNormal="100" workbookViewId="0">
      <pane ySplit="8" topLeftCell="A48" activePane="bottomLeft" state="frozen"/>
      <selection pane="bottomLeft" activeCell="F13" sqref="F13"/>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121</v>
      </c>
      <c r="B1" s="115"/>
      <c r="C1" s="115"/>
      <c r="D1" s="115"/>
      <c r="E1" s="115"/>
      <c r="F1" s="115"/>
      <c r="G1" s="115"/>
      <c r="H1" s="115"/>
      <c r="I1" s="115"/>
      <c r="J1" s="115"/>
      <c r="K1" s="115"/>
      <c r="L1" s="115"/>
    </row>
    <row r="2" spans="1:12" ht="19.5" customHeight="1" x14ac:dyDescent="0.25">
      <c r="A2" s="162" t="s">
        <v>122</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v>4000</v>
      </c>
      <c r="B4" s="157"/>
      <c r="C4" s="157"/>
      <c r="D4" s="158">
        <f ca="1">COUNTIFS(DB_Savings!$G:$G,"Agent 01",DB_Savings!$E:$E,TODAY())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01",DB_Savings!$E:$E,TODAY())&gt;=J4,"✅ DAILY TARGET ACHIEVED! Well done Agent 01!","⏳ Collection in progress — Keep going! Remaining: GHC "&amp;TEXT(J4-SUMIFS(DB_Savings!$F:$F,DB_Savings!$G:$G,"Agent 01",DB_Savings!$E:$E,TODAY()),"#,##0.00"))</f>
        <v>✅ DAILY TARGET ACHIEVED! Well done Agent 01!</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41</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41</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41</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41</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41</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102" priority="2" operator="equal">
      <formula>"Saved"</formula>
    </cfRule>
    <cfRule type="cellIs" dxfId="101" priority="3" operator="equal">
      <formula>"Pending"</formula>
    </cfRule>
  </conditionalFormatting>
  <conditionalFormatting sqref="A9:J208">
    <cfRule type="expression" dxfId="100" priority="4">
      <formula>$H9="Saved"</formula>
    </cfRule>
  </conditionalFormatting>
  <dataValidations count="2">
    <dataValidation type="list" sqref="G9:G208" xr:uid="{00000000-0002-0000-0400-000000000000}">
      <formula1>"Agent 01,Agent 02,Agent 03,Agent 04,Agent 05,Agent 06,Agent 07,Agent 08,Agent 09,Agent 10"</formula1>
      <formula2>0</formula2>
    </dataValidation>
    <dataValidation type="decimal" operator="greaterThan" showErrorMessage="1" error="Must be &gt; 0" sqref="E9:E208" xr:uid="{00000000-0002-0000-0400-000001000000}">
      <formula1>0</formula1>
      <formula2>0</formula2>
    </dataValidation>
  </dataValidation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C0392B"/>
  </sheetPr>
  <dimension ref="A1:M208"/>
  <sheetViews>
    <sheetView topLeftCell="B1" zoomScaleNormal="100" workbookViewId="0">
      <pane ySplit="8" topLeftCell="A9" activePane="bottomLeft" state="frozen"/>
      <selection activeCell="B1" sqref="B1"/>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136</v>
      </c>
      <c r="B1" s="166"/>
      <c r="C1" s="166"/>
      <c r="D1" s="166"/>
      <c r="E1" s="166"/>
      <c r="F1" s="166"/>
      <c r="G1" s="166"/>
      <c r="H1" s="166"/>
      <c r="I1" s="166"/>
      <c r="J1" s="166"/>
      <c r="K1" s="166"/>
      <c r="L1" s="166"/>
      <c r="M1" s="166"/>
    </row>
    <row r="2" spans="1:13" ht="19.5" customHeight="1" x14ac:dyDescent="0.25">
      <c r="A2" s="167" t="s">
        <v>137</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01",DB_Withdrawals!$F:$F,TODAY())</f>
        <v>0</v>
      </c>
      <c r="B4" s="168"/>
      <c r="C4" s="168"/>
      <c r="D4" s="169">
        <f ca="1">COUNTIFS(DB_Withdrawals!$J:$J,"Agent 01",DB_Withdrawals!$K:$K,"Successful",DB_Withdrawals!$F:$F,TODAY())</f>
        <v>0</v>
      </c>
      <c r="E4" s="169"/>
      <c r="F4" s="169"/>
      <c r="G4" s="48">
        <f ca="1">COUNTIFS(DB_Withdrawals!$J:$J,"Agent 01",DB_Withdrawals!$K:$K,"Unsuccessful",DB_Withdrawals!$F:$F,TODAY())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41</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41</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41</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41</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41</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99" priority="2" operator="equal">
      <formula>"Successful"</formula>
    </cfRule>
    <cfRule type="cellIs" dxfId="98" priority="3" operator="equal">
      <formula>"Unsuccessful"</formula>
    </cfRule>
  </conditionalFormatting>
  <conditionalFormatting sqref="A9:K208">
    <cfRule type="expression" dxfId="97" priority="4">
      <formula>$I9="Unsuccessful"</formula>
    </cfRule>
  </conditionalFormatting>
  <conditionalFormatting sqref="G9:G208">
    <cfRule type="cellIs" dxfId="96" priority="5" operator="lessThan">
      <formula>0</formula>
    </cfRule>
  </conditionalFormatting>
  <dataValidations count="1">
    <dataValidation type="list" sqref="H9:H208" xr:uid="{00000000-0002-0000-05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E67E22"/>
  </sheetPr>
  <dimension ref="A1:N213"/>
  <sheetViews>
    <sheetView zoomScaleNormal="100" workbookViewId="0">
      <pane ySplit="13" topLeftCell="A14" activePane="bottomLeft" state="frozen"/>
      <selection pane="bottomLeft" activeCell="B6" sqref="B6:D6"/>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146</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41</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41</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41</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41</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41</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95" priority="2" operator="equal">
      <formula>"Approved"</formula>
    </cfRule>
    <cfRule type="cellIs" dxfId="94" priority="3" operator="equal">
      <formula>"Pending"</formula>
    </cfRule>
    <cfRule type="cellIs" dxfId="93" priority="4" operator="equal">
      <formula>"Rejected"</formula>
    </cfRule>
  </conditionalFormatting>
  <dataValidations count="2">
    <dataValidation type="whole" showErrorMessage="1" error="Enter 1-36 months" sqref="G14:G113" xr:uid="{00000000-0002-0000-0600-000000000000}">
      <formula1>1</formula1>
      <formula2>36</formula2>
    </dataValidation>
    <dataValidation type="list" sqref="L14:L113" xr:uid="{00000000-0002-0000-06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153</v>
      </c>
      <c r="B1" s="115"/>
      <c r="C1" s="115"/>
      <c r="D1" s="115"/>
      <c r="E1" s="115"/>
      <c r="F1" s="115"/>
      <c r="G1" s="115"/>
      <c r="H1" s="115"/>
      <c r="I1" s="115"/>
      <c r="J1" s="115"/>
      <c r="K1" s="115"/>
      <c r="L1" s="115"/>
    </row>
    <row r="2" spans="1:12" ht="19.5" customHeight="1" x14ac:dyDescent="0.25">
      <c r="A2" s="162" t="s">
        <v>154</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f ca="1">SUMIFS(DB_Savings!$F:$F,DB_Savings!$G:$G,"Agent 02",DB_Savings!$E:$E,TODAY())</f>
        <v>0</v>
      </c>
      <c r="B4" s="157"/>
      <c r="C4" s="157"/>
      <c r="D4" s="158">
        <f ca="1">COUNTIFS(DB_Savings!$G:$G,"Agent 02",DB_Savings!$E:$E,TODAY())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02",DB_Savings!$E:$E,TODAY())&gt;=J4,"✅ DAILY TARGET ACHIEVED! Well done Agent 02!","⏳ Collection in progress — Keep going! Remaining: GHC "&amp;TEXT(J4-SUMIFS(DB_Savings!$F:$F,DB_Savings!$G:$G,"Agent 02",DB_Savings!$E:$E,TODAY()),"#,##0.00"))</f>
        <v>✅ DAILY TARGET ACHIEVED! Well done Agent 02!</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42</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42</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42</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42</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42</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92" priority="2" operator="equal">
      <formula>"Saved"</formula>
    </cfRule>
    <cfRule type="cellIs" dxfId="91" priority="3" operator="equal">
      <formula>"Pending"</formula>
    </cfRule>
  </conditionalFormatting>
  <conditionalFormatting sqref="A9:J208">
    <cfRule type="expression" dxfId="90" priority="4">
      <formula>$H9="Saved"</formula>
    </cfRule>
  </conditionalFormatting>
  <dataValidations count="2">
    <dataValidation type="decimal" operator="greaterThan" showErrorMessage="1" error="Must be &gt; 0" sqref="E9:E208" xr:uid="{00000000-0002-0000-0700-000000000000}">
      <formula1>0</formula1>
      <formula2>0</formula2>
    </dataValidation>
    <dataValidation type="list" sqref="G9:G208" xr:uid="{00000000-0002-0000-07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155</v>
      </c>
      <c r="B1" s="166"/>
      <c r="C1" s="166"/>
      <c r="D1" s="166"/>
      <c r="E1" s="166"/>
      <c r="F1" s="166"/>
      <c r="G1" s="166"/>
      <c r="H1" s="166"/>
      <c r="I1" s="166"/>
      <c r="J1" s="166"/>
      <c r="K1" s="166"/>
      <c r="L1" s="166"/>
      <c r="M1" s="166"/>
    </row>
    <row r="2" spans="1:13" ht="19.5" customHeight="1" x14ac:dyDescent="0.25">
      <c r="A2" s="167" t="s">
        <v>156</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02",DB_Withdrawals!$F:$F,TODAY())</f>
        <v>0</v>
      </c>
      <c r="B4" s="168"/>
      <c r="C4" s="168"/>
      <c r="D4" s="169">
        <f ca="1">COUNTIFS(DB_Withdrawals!$J:$J,"Agent 02",DB_Withdrawals!$K:$K,"Successful",DB_Withdrawals!$F:$F,TODAY())</f>
        <v>0</v>
      </c>
      <c r="E4" s="169"/>
      <c r="F4" s="169"/>
      <c r="G4" s="48">
        <f ca="1">COUNTIFS(DB_Withdrawals!$J:$J,"Agent 02",DB_Withdrawals!$K:$K,"Unsuccessful",DB_Withdrawals!$F:$F,TODAY())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42</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42</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42</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42</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42</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89" priority="2" operator="equal">
      <formula>"Successful"</formula>
    </cfRule>
    <cfRule type="cellIs" dxfId="88" priority="3" operator="equal">
      <formula>"Unsuccessful"</formula>
    </cfRule>
  </conditionalFormatting>
  <conditionalFormatting sqref="A9:K208">
    <cfRule type="expression" dxfId="87" priority="4">
      <formula>$I9="Unsuccessful"</formula>
    </cfRule>
  </conditionalFormatting>
  <conditionalFormatting sqref="G9:G208">
    <cfRule type="cellIs" dxfId="86" priority="5" operator="lessThan">
      <formula>0</formula>
    </cfRule>
  </conditionalFormatting>
  <dataValidations count="1">
    <dataValidation type="list" sqref="H9:H208" xr:uid="{00000000-0002-0000-08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157</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42</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42</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42</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42</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42</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85" priority="2" operator="equal">
      <formula>"Approved"</formula>
    </cfRule>
    <cfRule type="cellIs" dxfId="84" priority="3" operator="equal">
      <formula>"Pending"</formula>
    </cfRule>
    <cfRule type="cellIs" dxfId="83" priority="4" operator="equal">
      <formula>"Rejected"</formula>
    </cfRule>
  </conditionalFormatting>
  <dataValidations count="2">
    <dataValidation type="whole" showErrorMessage="1" error="Enter 1-36 months" sqref="G14:G113" xr:uid="{00000000-0002-0000-0900-000000000000}">
      <formula1>1</formula1>
      <formula2>36</formula2>
    </dataValidation>
    <dataValidation type="list" sqref="L14:L113" xr:uid="{00000000-0002-0000-09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158</v>
      </c>
      <c r="B1" s="115"/>
      <c r="C1" s="115"/>
      <c r="D1" s="115"/>
      <c r="E1" s="115"/>
      <c r="F1" s="115"/>
      <c r="G1" s="115"/>
      <c r="H1" s="115"/>
      <c r="I1" s="115"/>
      <c r="J1" s="115"/>
      <c r="K1" s="115"/>
      <c r="L1" s="115"/>
    </row>
    <row r="2" spans="1:12" ht="19.5" customHeight="1" x14ac:dyDescent="0.25">
      <c r="A2" s="162" t="s">
        <v>159</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f ca="1">SUMIFS(DB_Savings!$F:$F,DB_Savings!$G:$G,"Agent 03",DB_Savings!$E:$E,TODAY())</f>
        <v>0</v>
      </c>
      <c r="B4" s="157"/>
      <c r="C4" s="157"/>
      <c r="D4" s="158">
        <f ca="1">COUNTIFS(DB_Savings!$G:$G,"Agent 03",DB_Savings!$E:$E,TODAY())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03",DB_Savings!$E:$E,TODAY())&gt;=J4,"✅ DAILY TARGET ACHIEVED! Well done Agent 03!","⏳ Collection in progress — Keep going! Remaining: GHC "&amp;TEXT(J4-SUMIFS(DB_Savings!$F:$F,DB_Savings!$G:$G,"Agent 03",DB_Savings!$E:$E,TODAY()),"#,##0.00"))</f>
        <v>✅ DAILY TARGET ACHIEVED! Well done Agent 03!</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43</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43</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43</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43</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43</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82" priority="2" operator="equal">
      <formula>"Saved"</formula>
    </cfRule>
    <cfRule type="cellIs" dxfId="81" priority="3" operator="equal">
      <formula>"Pending"</formula>
    </cfRule>
  </conditionalFormatting>
  <conditionalFormatting sqref="A9:J208">
    <cfRule type="expression" dxfId="80" priority="4">
      <formula>$H9="Saved"</formula>
    </cfRule>
  </conditionalFormatting>
  <dataValidations count="2">
    <dataValidation type="decimal" operator="greaterThan" showErrorMessage="1" error="Must be &gt; 0" sqref="E9:E208" xr:uid="{00000000-0002-0000-0A00-000000000000}">
      <formula1>0</formula1>
      <formula2>0</formula2>
    </dataValidation>
    <dataValidation type="list" sqref="G9:G208" xr:uid="{00000000-0002-0000-0A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160</v>
      </c>
      <c r="B1" s="166"/>
      <c r="C1" s="166"/>
      <c r="D1" s="166"/>
      <c r="E1" s="166"/>
      <c r="F1" s="166"/>
      <c r="G1" s="166"/>
      <c r="H1" s="166"/>
      <c r="I1" s="166"/>
      <c r="J1" s="166"/>
      <c r="K1" s="166"/>
      <c r="L1" s="166"/>
      <c r="M1" s="166"/>
    </row>
    <row r="2" spans="1:13" ht="19.5" customHeight="1" x14ac:dyDescent="0.25">
      <c r="A2" s="167" t="s">
        <v>161</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03",DB_Withdrawals!$F:$F,TODAY())</f>
        <v>0</v>
      </c>
      <c r="B4" s="168"/>
      <c r="C4" s="168"/>
      <c r="D4" s="169">
        <f ca="1">COUNTIFS(DB_Withdrawals!$J:$J,"Agent 03",DB_Withdrawals!$K:$K,"Successful",DB_Withdrawals!$F:$F,TODAY())</f>
        <v>0</v>
      </c>
      <c r="E4" s="169"/>
      <c r="F4" s="169"/>
      <c r="G4" s="48">
        <f ca="1">COUNTIFS(DB_Withdrawals!$J:$J,"Agent 03",DB_Withdrawals!$K:$K,"Unsuccessful",DB_Withdrawals!$F:$F,TODAY())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43</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43</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43</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43</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43</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79" priority="2" operator="equal">
      <formula>"Successful"</formula>
    </cfRule>
    <cfRule type="cellIs" dxfId="78" priority="3" operator="equal">
      <formula>"Unsuccessful"</formula>
    </cfRule>
  </conditionalFormatting>
  <conditionalFormatting sqref="A9:K208">
    <cfRule type="expression" dxfId="77" priority="4">
      <formula>$I9="Unsuccessful"</formula>
    </cfRule>
  </conditionalFormatting>
  <conditionalFormatting sqref="G9:G208">
    <cfRule type="cellIs" dxfId="76" priority="5" operator="lessThan">
      <formula>0</formula>
    </cfRule>
  </conditionalFormatting>
  <dataValidations count="1">
    <dataValidation type="list" sqref="H9:H208" xr:uid="{00000000-0002-0000-0B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162</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43</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43</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43</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43</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43</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75" priority="2" operator="equal">
      <formula>"Approved"</formula>
    </cfRule>
    <cfRule type="cellIs" dxfId="74" priority="3" operator="equal">
      <formula>"Pending"</formula>
    </cfRule>
    <cfRule type="cellIs" dxfId="73" priority="4" operator="equal">
      <formula>"Rejected"</formula>
    </cfRule>
  </conditionalFormatting>
  <dataValidations count="2">
    <dataValidation type="whole" showErrorMessage="1" error="Enter 1-36 months" sqref="G14:G113" xr:uid="{00000000-0002-0000-0C00-000000000000}">
      <formula1>1</formula1>
      <formula2>36</formula2>
    </dataValidation>
    <dataValidation type="list" sqref="L14:L113" xr:uid="{00000000-0002-0000-0C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163</v>
      </c>
      <c r="B1" s="115"/>
      <c r="C1" s="115"/>
      <c r="D1" s="115"/>
      <c r="E1" s="115"/>
      <c r="F1" s="115"/>
      <c r="G1" s="115"/>
      <c r="H1" s="115"/>
      <c r="I1" s="115"/>
      <c r="J1" s="115"/>
      <c r="K1" s="115"/>
      <c r="L1" s="115"/>
    </row>
    <row r="2" spans="1:12" ht="19.5" customHeight="1" x14ac:dyDescent="0.25">
      <c r="A2" s="162" t="s">
        <v>164</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f ca="1">SUMIFS(DB_Savings!$F:$F,DB_Savings!$G:$G,"Agent 04",DB_Savings!$E:$E,TODAY())</f>
        <v>0</v>
      </c>
      <c r="B4" s="157"/>
      <c r="C4" s="157"/>
      <c r="D4" s="158">
        <f ca="1">COUNTIFS(DB_Savings!$G:$G,"Agent 04",DB_Savings!$E:$E,TODAY())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04",DB_Savings!$E:$E,TODAY())&gt;=J4,"✅ DAILY TARGET ACHIEVED! Well done Agent 04!","⏳ Collection in progress — Keep going! Remaining: GHC "&amp;TEXT(J4-SUMIFS(DB_Savings!$F:$F,DB_Savings!$G:$G,"Agent 04",DB_Savings!$E:$E,TODAY()),"#,##0.00"))</f>
        <v>✅ DAILY TARGET ACHIEVED! Well done Agent 04!</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44</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44</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44</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44</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44</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72" priority="2" operator="equal">
      <formula>"Saved"</formula>
    </cfRule>
    <cfRule type="cellIs" dxfId="71" priority="3" operator="equal">
      <formula>"Pending"</formula>
    </cfRule>
  </conditionalFormatting>
  <conditionalFormatting sqref="A9:J208">
    <cfRule type="expression" dxfId="70" priority="4">
      <formula>$H9="Saved"</formula>
    </cfRule>
  </conditionalFormatting>
  <dataValidations count="2">
    <dataValidation type="decimal" operator="greaterThan" showErrorMessage="1" error="Must be &gt; 0" sqref="E9:E208" xr:uid="{00000000-0002-0000-0D00-000000000000}">
      <formula1>0</formula1>
      <formula2>0</formula2>
    </dataValidation>
    <dataValidation type="list" sqref="G9:G208" xr:uid="{00000000-0002-0000-0D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165</v>
      </c>
      <c r="B1" s="166"/>
      <c r="C1" s="166"/>
      <c r="D1" s="166"/>
      <c r="E1" s="166"/>
      <c r="F1" s="166"/>
      <c r="G1" s="166"/>
      <c r="H1" s="166"/>
      <c r="I1" s="166"/>
      <c r="J1" s="166"/>
      <c r="K1" s="166"/>
      <c r="L1" s="166"/>
      <c r="M1" s="166"/>
    </row>
    <row r="2" spans="1:13" ht="19.5" customHeight="1" x14ac:dyDescent="0.25">
      <c r="A2" s="167" t="s">
        <v>166</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04",DB_Withdrawals!$F:$F,TODAY())</f>
        <v>0</v>
      </c>
      <c r="B4" s="168"/>
      <c r="C4" s="168"/>
      <c r="D4" s="169">
        <f ca="1">COUNTIFS(DB_Withdrawals!$J:$J,"Agent 04",DB_Withdrawals!$K:$K,"Successful",DB_Withdrawals!$F:$F,TODAY())</f>
        <v>0</v>
      </c>
      <c r="E4" s="169"/>
      <c r="F4" s="169"/>
      <c r="G4" s="48">
        <f ca="1">COUNTIFS(DB_Withdrawals!$J:$J,"Agent 04",DB_Withdrawals!$K:$K,"Unsuccessful",DB_Withdrawals!$F:$F,TODAY())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44</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44</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44</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44</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44</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69" priority="2" operator="equal">
      <formula>"Successful"</formula>
    </cfRule>
    <cfRule type="cellIs" dxfId="68" priority="3" operator="equal">
      <formula>"Unsuccessful"</formula>
    </cfRule>
  </conditionalFormatting>
  <conditionalFormatting sqref="A9:K208">
    <cfRule type="expression" dxfId="67" priority="4">
      <formula>$I9="Unsuccessful"</formula>
    </cfRule>
  </conditionalFormatting>
  <conditionalFormatting sqref="G9:G208">
    <cfRule type="cellIs" dxfId="66" priority="5" operator="lessThan">
      <formula>0</formula>
    </cfRule>
  </conditionalFormatting>
  <dataValidations count="1">
    <dataValidation type="list" sqref="H9:H208" xr:uid="{00000000-0002-0000-0E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167</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44</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44</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44</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44</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44</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65" priority="2" operator="equal">
      <formula>"Approved"</formula>
    </cfRule>
    <cfRule type="cellIs" dxfId="64" priority="3" operator="equal">
      <formula>"Pending"</formula>
    </cfRule>
    <cfRule type="cellIs" dxfId="63" priority="4" operator="equal">
      <formula>"Rejected"</formula>
    </cfRule>
  </conditionalFormatting>
  <dataValidations count="2">
    <dataValidation type="whole" showErrorMessage="1" error="Enter 1-36 months" sqref="G14:G113" xr:uid="{00000000-0002-0000-0F00-000000000000}">
      <formula1>1</formula1>
      <formula2>36</formula2>
    </dataValidation>
    <dataValidation type="list" sqref="L14:L113" xr:uid="{00000000-0002-0000-0F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168</v>
      </c>
      <c r="B1" s="115"/>
      <c r="C1" s="115"/>
      <c r="D1" s="115"/>
      <c r="E1" s="115"/>
      <c r="F1" s="115"/>
      <c r="G1" s="115"/>
      <c r="H1" s="115"/>
      <c r="I1" s="115"/>
      <c r="J1" s="115"/>
      <c r="K1" s="115"/>
      <c r="L1" s="115"/>
    </row>
    <row r="2" spans="1:12" ht="19.5" customHeight="1" x14ac:dyDescent="0.25">
      <c r="A2" s="162" t="s">
        <v>169</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f ca="1">SUMIFS(DB_Savings!$F:$F,DB_Savings!$G:$G,"Agent 05",DB_Savings!$E:$E,TODAY())</f>
        <v>0</v>
      </c>
      <c r="B4" s="157"/>
      <c r="C4" s="157"/>
      <c r="D4" s="158">
        <f ca="1">COUNTIFS(DB_Savings!$G:$G,"Agent 05",DB_Savings!$E:$E,TODAY())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05",DB_Savings!$E:$E,TODAY())&gt;=J4,"✅ DAILY TARGET ACHIEVED! Well done Agent 05!","⏳ Collection in progress — Keep going! Remaining: GHC "&amp;TEXT(J4-SUMIFS(DB_Savings!$F:$F,DB_Savings!$G:$G,"Agent 05",DB_Savings!$E:$E,TODAY()),"#,##0.00"))</f>
        <v>✅ DAILY TARGET ACHIEVED! Well done Agent 05!</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45</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45</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45</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45</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45</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62" priority="2" operator="equal">
      <formula>"Saved"</formula>
    </cfRule>
    <cfRule type="cellIs" dxfId="61" priority="3" operator="equal">
      <formula>"Pending"</formula>
    </cfRule>
  </conditionalFormatting>
  <conditionalFormatting sqref="A9:J208">
    <cfRule type="expression" dxfId="60" priority="4">
      <formula>$H9="Saved"</formula>
    </cfRule>
  </conditionalFormatting>
  <dataValidations count="2">
    <dataValidation type="decimal" operator="greaterThan" showErrorMessage="1" error="Must be &gt; 0" sqref="E9:E208" xr:uid="{00000000-0002-0000-1000-000000000000}">
      <formula1>0</formula1>
      <formula2>0</formula2>
    </dataValidation>
    <dataValidation type="list" sqref="G9:G208" xr:uid="{00000000-0002-0000-10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170</v>
      </c>
      <c r="B1" s="166"/>
      <c r="C1" s="166"/>
      <c r="D1" s="166"/>
      <c r="E1" s="166"/>
      <c r="F1" s="166"/>
      <c r="G1" s="166"/>
      <c r="H1" s="166"/>
      <c r="I1" s="166"/>
      <c r="J1" s="166"/>
      <c r="K1" s="166"/>
      <c r="L1" s="166"/>
      <c r="M1" s="166"/>
    </row>
    <row r="2" spans="1:13" ht="19.5" customHeight="1" x14ac:dyDescent="0.25">
      <c r="A2" s="167" t="s">
        <v>171</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05",DB_Withdrawals!$F:$F,TODAY())</f>
        <v>0</v>
      </c>
      <c r="B4" s="168"/>
      <c r="C4" s="168"/>
      <c r="D4" s="169">
        <f ca="1">COUNTIFS(DB_Withdrawals!$J:$J,"Agent 05",DB_Withdrawals!$K:$K,"Successful",DB_Withdrawals!$F:$F,TODAY())</f>
        <v>0</v>
      </c>
      <c r="E4" s="169"/>
      <c r="F4" s="169"/>
      <c r="G4" s="48">
        <f ca="1">COUNTIFS(DB_Withdrawals!$J:$J,"Agent 05",DB_Withdrawals!$K:$K,"Unsuccessful",DB_Withdrawals!$F:$F,TODAY())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45</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45</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45</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45</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45</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59" priority="2" operator="equal">
      <formula>"Successful"</formula>
    </cfRule>
    <cfRule type="cellIs" dxfId="58" priority="3" operator="equal">
      <formula>"Unsuccessful"</formula>
    </cfRule>
  </conditionalFormatting>
  <conditionalFormatting sqref="A9:K208">
    <cfRule type="expression" dxfId="57" priority="4">
      <formula>$I9="Unsuccessful"</formula>
    </cfRule>
  </conditionalFormatting>
  <conditionalFormatting sqref="G9:G208">
    <cfRule type="cellIs" dxfId="56" priority="5" operator="lessThan">
      <formula>0</formula>
    </cfRule>
  </conditionalFormatting>
  <dataValidations count="1">
    <dataValidation type="list" sqref="H9:H208" xr:uid="{00000000-0002-0000-11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172</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45</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45</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45</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45</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45</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55" priority="2" operator="equal">
      <formula>"Approved"</formula>
    </cfRule>
    <cfRule type="cellIs" dxfId="54" priority="3" operator="equal">
      <formula>"Pending"</formula>
    </cfRule>
    <cfRule type="cellIs" dxfId="53" priority="4" operator="equal">
      <formula>"Rejected"</formula>
    </cfRule>
  </conditionalFormatting>
  <dataValidations count="2">
    <dataValidation type="whole" showErrorMessage="1" error="Enter 1-36 months" sqref="G14:G113" xr:uid="{00000000-0002-0000-1200-000000000000}">
      <formula1>1</formula1>
      <formula2>36</formula2>
    </dataValidation>
    <dataValidation type="list" sqref="L14:L113" xr:uid="{00000000-0002-0000-12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173</v>
      </c>
      <c r="B1" s="115"/>
      <c r="C1" s="115"/>
      <c r="D1" s="115"/>
      <c r="E1" s="115"/>
      <c r="F1" s="115"/>
      <c r="G1" s="115"/>
      <c r="H1" s="115"/>
      <c r="I1" s="115"/>
      <c r="J1" s="115"/>
      <c r="K1" s="115"/>
      <c r="L1" s="115"/>
    </row>
    <row r="2" spans="1:12" ht="19.5" customHeight="1" x14ac:dyDescent="0.25">
      <c r="A2" s="162" t="s">
        <v>174</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f ca="1">SUMIFS(DB_Savings!$F:$F,DB_Savings!$G:$G,"Agent 06",DB_Savings!$E:$E,TODAY())</f>
        <v>0</v>
      </c>
      <c r="B4" s="157"/>
      <c r="C4" s="157"/>
      <c r="D4" s="158">
        <f ca="1">COUNTIFS(DB_Savings!$G:$G,"Agent 06",DB_Savings!$E:$E,TODAY())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06",DB_Savings!$E:$E,TODAY())&gt;=J4,"✅ DAILY TARGET ACHIEVED! Well done Agent 06!","⏳ Collection in progress — Keep going! Remaining: GHC "&amp;TEXT(J4-SUMIFS(DB_Savings!$F:$F,DB_Savings!$G:$G,"Agent 06",DB_Savings!$E:$E,TODAY()),"#,##0.00"))</f>
        <v>✅ DAILY TARGET ACHIEVED! Well done Agent 06!</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46</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46</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46</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46</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46</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52" priority="2" operator="equal">
      <formula>"Saved"</formula>
    </cfRule>
    <cfRule type="cellIs" dxfId="51" priority="3" operator="equal">
      <formula>"Pending"</formula>
    </cfRule>
  </conditionalFormatting>
  <conditionalFormatting sqref="A9:J208">
    <cfRule type="expression" dxfId="50" priority="4">
      <formula>$H9="Saved"</formula>
    </cfRule>
  </conditionalFormatting>
  <dataValidations count="2">
    <dataValidation type="decimal" operator="greaterThan" showErrorMessage="1" error="Must be &gt; 0" sqref="E9:E208" xr:uid="{00000000-0002-0000-1300-000000000000}">
      <formula1>0</formula1>
      <formula2>0</formula2>
    </dataValidation>
    <dataValidation type="list" sqref="G9:G208" xr:uid="{00000000-0002-0000-13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175</v>
      </c>
      <c r="B1" s="166"/>
      <c r="C1" s="166"/>
      <c r="D1" s="166"/>
      <c r="E1" s="166"/>
      <c r="F1" s="166"/>
      <c r="G1" s="166"/>
      <c r="H1" s="166"/>
      <c r="I1" s="166"/>
      <c r="J1" s="166"/>
      <c r="K1" s="166"/>
      <c r="L1" s="166"/>
      <c r="M1" s="166"/>
    </row>
    <row r="2" spans="1:13" ht="19.5" customHeight="1" x14ac:dyDescent="0.25">
      <c r="A2" s="167" t="s">
        <v>176</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06",DB_Withdrawals!$F:$F,TODAY())</f>
        <v>0</v>
      </c>
      <c r="B4" s="168"/>
      <c r="C4" s="168"/>
      <c r="D4" s="169">
        <f ca="1">COUNTIFS(DB_Withdrawals!$J:$J,"Agent 06",DB_Withdrawals!$K:$K,"Successful",DB_Withdrawals!$F:$F,TODAY())</f>
        <v>0</v>
      </c>
      <c r="E4" s="169"/>
      <c r="F4" s="169"/>
      <c r="G4" s="48">
        <f ca="1">COUNTIFS(DB_Withdrawals!$J:$J,"Agent 06",DB_Withdrawals!$K:$K,"Unsuccessful",DB_Withdrawals!$F:$F,TODAY())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46</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46</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46</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46</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46</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49" priority="2" operator="equal">
      <formula>"Successful"</formula>
    </cfRule>
    <cfRule type="cellIs" dxfId="48" priority="3" operator="equal">
      <formula>"Unsuccessful"</formula>
    </cfRule>
  </conditionalFormatting>
  <conditionalFormatting sqref="A9:K208">
    <cfRule type="expression" dxfId="47" priority="4">
      <formula>$I9="Unsuccessful"</formula>
    </cfRule>
  </conditionalFormatting>
  <conditionalFormatting sqref="G9:G208">
    <cfRule type="cellIs" dxfId="46" priority="5" operator="lessThan">
      <formula>0</formula>
    </cfRule>
  </conditionalFormatting>
  <dataValidations count="1">
    <dataValidation type="list" sqref="H9:H208" xr:uid="{00000000-0002-0000-14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177</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46</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46</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46</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46</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46</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45" priority="2" operator="equal">
      <formula>"Approved"</formula>
    </cfRule>
    <cfRule type="cellIs" dxfId="44" priority="3" operator="equal">
      <formula>"Pending"</formula>
    </cfRule>
    <cfRule type="cellIs" dxfId="43" priority="4" operator="equal">
      <formula>"Rejected"</formula>
    </cfRule>
  </conditionalFormatting>
  <dataValidations count="2">
    <dataValidation type="whole" showErrorMessage="1" error="Enter 1-36 months" sqref="G14:G113" xr:uid="{00000000-0002-0000-1500-000000000000}">
      <formula1>1</formula1>
      <formula2>36</formula2>
    </dataValidation>
    <dataValidation type="list" sqref="L14:L113" xr:uid="{00000000-0002-0000-15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178</v>
      </c>
      <c r="B1" s="115"/>
      <c r="C1" s="115"/>
      <c r="D1" s="115"/>
      <c r="E1" s="115"/>
      <c r="F1" s="115"/>
      <c r="G1" s="115"/>
      <c r="H1" s="115"/>
      <c r="I1" s="115"/>
      <c r="J1" s="115"/>
      <c r="K1" s="115"/>
      <c r="L1" s="115"/>
    </row>
    <row r="2" spans="1:12" ht="19.5" customHeight="1" x14ac:dyDescent="0.25">
      <c r="A2" s="162" t="s">
        <v>179</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f ca="1">SUMIFS(DB_Savings!$F:$F,DB_Savings!$G:$G,"Agent 07",DB_Savings!$E:$E,TODAY())</f>
        <v>0</v>
      </c>
      <c r="B4" s="157"/>
      <c r="C4" s="157"/>
      <c r="D4" s="158">
        <f ca="1">COUNTIFS(DB_Savings!$G:$G,"Agent 07",DB_Savings!$E:$E,TODAY())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07",DB_Savings!$E:$E,TODAY())&gt;=J4,"✅ DAILY TARGET ACHIEVED! Well done Agent 07!","⏳ Collection in progress — Keep going! Remaining: GHC "&amp;TEXT(J4-SUMIFS(DB_Savings!$F:$F,DB_Savings!$G:$G,"Agent 07",DB_Savings!$E:$E,TODAY()),"#,##0.00"))</f>
        <v>✅ DAILY TARGET ACHIEVED! Well done Agent 07!</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47</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47</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47</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47</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47</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42" priority="2" operator="equal">
      <formula>"Saved"</formula>
    </cfRule>
    <cfRule type="cellIs" dxfId="41" priority="3" operator="equal">
      <formula>"Pending"</formula>
    </cfRule>
  </conditionalFormatting>
  <conditionalFormatting sqref="A9:J208">
    <cfRule type="expression" dxfId="40" priority="4">
      <formula>$H9="Saved"</formula>
    </cfRule>
  </conditionalFormatting>
  <dataValidations count="2">
    <dataValidation type="decimal" operator="greaterThan" showErrorMessage="1" error="Must be &gt; 0" sqref="E9:E208" xr:uid="{00000000-0002-0000-1600-000000000000}">
      <formula1>0</formula1>
      <formula2>0</formula2>
    </dataValidation>
    <dataValidation type="list" sqref="G9:G208" xr:uid="{00000000-0002-0000-16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180</v>
      </c>
      <c r="B1" s="166"/>
      <c r="C1" s="166"/>
      <c r="D1" s="166"/>
      <c r="E1" s="166"/>
      <c r="F1" s="166"/>
      <c r="G1" s="166"/>
      <c r="H1" s="166"/>
      <c r="I1" s="166"/>
      <c r="J1" s="166"/>
      <c r="K1" s="166"/>
      <c r="L1" s="166"/>
      <c r="M1" s="166"/>
    </row>
    <row r="2" spans="1:13" ht="19.5" customHeight="1" x14ac:dyDescent="0.25">
      <c r="A2" s="167" t="s">
        <v>181</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07",DB_Withdrawals!$F:$F,TODAY())</f>
        <v>0</v>
      </c>
      <c r="B4" s="168"/>
      <c r="C4" s="168"/>
      <c r="D4" s="169">
        <f ca="1">COUNTIFS(DB_Withdrawals!$J:$J,"Agent 07",DB_Withdrawals!$K:$K,"Successful",DB_Withdrawals!$F:$F,TODAY())</f>
        <v>0</v>
      </c>
      <c r="E4" s="169"/>
      <c r="F4" s="169"/>
      <c r="G4" s="48">
        <f ca="1">COUNTIFS(DB_Withdrawals!$J:$J,"Agent 07",DB_Withdrawals!$K:$K,"Unsuccessful",DB_Withdrawals!$F:$F,TODAY())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47</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47</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47</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47</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47</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39" priority="2" operator="equal">
      <formula>"Successful"</formula>
    </cfRule>
    <cfRule type="cellIs" dxfId="38" priority="3" operator="equal">
      <formula>"Unsuccessful"</formula>
    </cfRule>
  </conditionalFormatting>
  <conditionalFormatting sqref="A9:K208">
    <cfRule type="expression" dxfId="37" priority="4">
      <formula>$I9="Unsuccessful"</formula>
    </cfRule>
  </conditionalFormatting>
  <conditionalFormatting sqref="G9:G208">
    <cfRule type="cellIs" dxfId="36" priority="5" operator="lessThan">
      <formula>0</formula>
    </cfRule>
  </conditionalFormatting>
  <dataValidations count="1">
    <dataValidation type="list" sqref="H9:H208" xr:uid="{00000000-0002-0000-17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182</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47</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47</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47</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47</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47</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35" priority="2" operator="equal">
      <formula>"Approved"</formula>
    </cfRule>
    <cfRule type="cellIs" dxfId="34" priority="3" operator="equal">
      <formula>"Pending"</formula>
    </cfRule>
    <cfRule type="cellIs" dxfId="33" priority="4" operator="equal">
      <formula>"Rejected"</formula>
    </cfRule>
  </conditionalFormatting>
  <dataValidations count="2">
    <dataValidation type="whole" showErrorMessage="1" error="Enter 1-36 months" sqref="G14:G113" xr:uid="{00000000-0002-0000-1800-000000000000}">
      <formula1>1</formula1>
      <formula2>36</formula2>
    </dataValidation>
    <dataValidation type="list" sqref="L14:L113" xr:uid="{00000000-0002-0000-18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183</v>
      </c>
      <c r="B1" s="115"/>
      <c r="C1" s="115"/>
      <c r="D1" s="115"/>
      <c r="E1" s="115"/>
      <c r="F1" s="115"/>
      <c r="G1" s="115"/>
      <c r="H1" s="115"/>
      <c r="I1" s="115"/>
      <c r="J1" s="115"/>
      <c r="K1" s="115"/>
      <c r="L1" s="115"/>
    </row>
    <row r="2" spans="1:12" ht="19.5" customHeight="1" x14ac:dyDescent="0.25">
      <c r="A2" s="162" t="s">
        <v>184</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f ca="1">SUMIFS(DB_Savings!$F:$F,DB_Savings!$G:$G,"Agent 08",DB_Savings!$E:$E,TODAY())</f>
        <v>0</v>
      </c>
      <c r="B4" s="157"/>
      <c r="C4" s="157"/>
      <c r="D4" s="158">
        <f ca="1">COUNTIFS(DB_Savings!$G:$G,"Agent 08",DB_Savings!$E:$E,TODAY())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08",DB_Savings!$E:$E,TODAY())&gt;=J4,"✅ DAILY TARGET ACHIEVED! Well done Agent 08!","⏳ Collection in progress — Keep going! Remaining: GHC "&amp;TEXT(J4-SUMIFS(DB_Savings!$F:$F,DB_Savings!$G:$G,"Agent 08",DB_Savings!$E:$E,TODAY()),"#,##0.00"))</f>
        <v>✅ DAILY TARGET ACHIEVED! Well done Agent 08!</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48</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48</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48</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48</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48</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32" priority="2" operator="equal">
      <formula>"Saved"</formula>
    </cfRule>
    <cfRule type="cellIs" dxfId="31" priority="3" operator="equal">
      <formula>"Pending"</formula>
    </cfRule>
  </conditionalFormatting>
  <conditionalFormatting sqref="A9:J208">
    <cfRule type="expression" dxfId="30" priority="4">
      <formula>$H9="Saved"</formula>
    </cfRule>
  </conditionalFormatting>
  <dataValidations count="2">
    <dataValidation type="decimal" operator="greaterThan" showErrorMessage="1" error="Must be &gt; 0" sqref="E9:E208" xr:uid="{00000000-0002-0000-1900-000000000000}">
      <formula1>0</formula1>
      <formula2>0</formula2>
    </dataValidation>
    <dataValidation type="list" sqref="G9:G208" xr:uid="{00000000-0002-0000-19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185</v>
      </c>
      <c r="B1" s="166"/>
      <c r="C1" s="166"/>
      <c r="D1" s="166"/>
      <c r="E1" s="166"/>
      <c r="F1" s="166"/>
      <c r="G1" s="166"/>
      <c r="H1" s="166"/>
      <c r="I1" s="166"/>
      <c r="J1" s="166"/>
      <c r="K1" s="166"/>
      <c r="L1" s="166"/>
      <c r="M1" s="166"/>
    </row>
    <row r="2" spans="1:13" ht="19.5" customHeight="1" x14ac:dyDescent="0.25">
      <c r="A2" s="167" t="s">
        <v>186</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08",DB_Withdrawals!$F:$F,TODAY())</f>
        <v>0</v>
      </c>
      <c r="B4" s="168"/>
      <c r="C4" s="168"/>
      <c r="D4" s="169">
        <f ca="1">COUNTIFS(DB_Withdrawals!$J:$J,"Agent 08",DB_Withdrawals!$K:$K,"Successful",DB_Withdrawals!$F:$F,TODAY())</f>
        <v>0</v>
      </c>
      <c r="E4" s="169"/>
      <c r="F4" s="169"/>
      <c r="G4" s="48">
        <f ca="1">COUNTIFS(DB_Withdrawals!$J:$J,"Agent 08",DB_Withdrawals!$K:$K,"Unsuccessful",DB_Withdrawals!$F:$F,TODAY())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48</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48</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48</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48</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48</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29" priority="2" operator="equal">
      <formula>"Successful"</formula>
    </cfRule>
    <cfRule type="cellIs" dxfId="28" priority="3" operator="equal">
      <formula>"Unsuccessful"</formula>
    </cfRule>
  </conditionalFormatting>
  <conditionalFormatting sqref="A9:K208">
    <cfRule type="expression" dxfId="27" priority="4">
      <formula>$I9="Unsuccessful"</formula>
    </cfRule>
  </conditionalFormatting>
  <conditionalFormatting sqref="G9:G208">
    <cfRule type="cellIs" dxfId="26" priority="5" operator="lessThan">
      <formula>0</formula>
    </cfRule>
  </conditionalFormatting>
  <dataValidations count="1">
    <dataValidation type="list" sqref="H9:H208" xr:uid="{00000000-0002-0000-1A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187</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48</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48</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48</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48</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48</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25" priority="2" operator="equal">
      <formula>"Approved"</formula>
    </cfRule>
    <cfRule type="cellIs" dxfId="24" priority="3" operator="equal">
      <formula>"Pending"</formula>
    </cfRule>
    <cfRule type="cellIs" dxfId="23" priority="4" operator="equal">
      <formula>"Rejected"</formula>
    </cfRule>
  </conditionalFormatting>
  <dataValidations count="2">
    <dataValidation type="whole" showErrorMessage="1" error="Enter 1-36 months" sqref="G14:G113" xr:uid="{00000000-0002-0000-1B00-000000000000}">
      <formula1>1</formula1>
      <formula2>36</formula2>
    </dataValidation>
    <dataValidation type="list" sqref="L14:L113" xr:uid="{00000000-0002-0000-1B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188</v>
      </c>
      <c r="B1" s="115"/>
      <c r="C1" s="115"/>
      <c r="D1" s="115"/>
      <c r="E1" s="115"/>
      <c r="F1" s="115"/>
      <c r="G1" s="115"/>
      <c r="H1" s="115"/>
      <c r="I1" s="115"/>
      <c r="J1" s="115"/>
      <c r="K1" s="115"/>
      <c r="L1" s="115"/>
    </row>
    <row r="2" spans="1:12" ht="19.5" customHeight="1" x14ac:dyDescent="0.25">
      <c r="A2" s="162" t="s">
        <v>189</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f ca="1">SUMIFS(DB_Savings!$F:$F,DB_Savings!$G:$G,"Agent 09",DB_Savings!$E:$E,TODAY())</f>
        <v>0</v>
      </c>
      <c r="B4" s="157"/>
      <c r="C4" s="157"/>
      <c r="D4" s="158">
        <f ca="1">COUNTIFS(DB_Savings!$G:$G,"Agent 09",DB_Savings!$E:$E,TODAY())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09",DB_Savings!$E:$E,TODAY())&gt;=J4,"✅ DAILY TARGET ACHIEVED! Well done Agent 09!","⏳ Collection in progress — Keep going! Remaining: GHC "&amp;TEXT(J4-SUMIFS(DB_Savings!$F:$F,DB_Savings!$G:$G,"Agent 09",DB_Savings!$E:$E,TODAY()),"#,##0.00"))</f>
        <v>✅ DAILY TARGET ACHIEVED! Well done Agent 09!</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49</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49</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49</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49</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49</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22" priority="2" operator="equal">
      <formula>"Saved"</formula>
    </cfRule>
    <cfRule type="cellIs" dxfId="21" priority="3" operator="equal">
      <formula>"Pending"</formula>
    </cfRule>
  </conditionalFormatting>
  <conditionalFormatting sqref="A9:J208">
    <cfRule type="expression" dxfId="20" priority="4">
      <formula>$H9="Saved"</formula>
    </cfRule>
  </conditionalFormatting>
  <dataValidations count="2">
    <dataValidation type="decimal" operator="greaterThan" showErrorMessage="1" error="Must be &gt; 0" sqref="E9:E208" xr:uid="{00000000-0002-0000-1C00-000000000000}">
      <formula1>0</formula1>
      <formula2>0</formula2>
    </dataValidation>
    <dataValidation type="list" sqref="G9:G208" xr:uid="{00000000-0002-0000-1C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190</v>
      </c>
      <c r="B1" s="166"/>
      <c r="C1" s="166"/>
      <c r="D1" s="166"/>
      <c r="E1" s="166"/>
      <c r="F1" s="166"/>
      <c r="G1" s="166"/>
      <c r="H1" s="166"/>
      <c r="I1" s="166"/>
      <c r="J1" s="166"/>
      <c r="K1" s="166"/>
      <c r="L1" s="166"/>
      <c r="M1" s="166"/>
    </row>
    <row r="2" spans="1:13" ht="19.5" customHeight="1" x14ac:dyDescent="0.25">
      <c r="A2" s="167" t="s">
        <v>191</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09",DB_Withdrawals!$F:$F,TODAY())</f>
        <v>0</v>
      </c>
      <c r="B4" s="168"/>
      <c r="C4" s="168"/>
      <c r="D4" s="169">
        <f ca="1">COUNTIFS(DB_Withdrawals!$J:$J,"Agent 09",DB_Withdrawals!$K:$K,"Successful",DB_Withdrawals!$F:$F,TODAY())</f>
        <v>0</v>
      </c>
      <c r="E4" s="169"/>
      <c r="F4" s="169"/>
      <c r="G4" s="48">
        <f ca="1">COUNTIFS(DB_Withdrawals!$J:$J,"Agent 09",DB_Withdrawals!$K:$K,"Unsuccessful",DB_Withdrawals!$F:$F,TODAY())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49</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49</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49</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49</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49</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19" priority="2" operator="equal">
      <formula>"Successful"</formula>
    </cfRule>
    <cfRule type="cellIs" dxfId="18" priority="3" operator="equal">
      <formula>"Unsuccessful"</formula>
    </cfRule>
  </conditionalFormatting>
  <conditionalFormatting sqref="A9:K208">
    <cfRule type="expression" dxfId="17" priority="4">
      <formula>$I9="Unsuccessful"</formula>
    </cfRule>
  </conditionalFormatting>
  <conditionalFormatting sqref="G9:G208">
    <cfRule type="cellIs" dxfId="16" priority="5" operator="lessThan">
      <formula>0</formula>
    </cfRule>
  </conditionalFormatting>
  <dataValidations count="1">
    <dataValidation type="list" sqref="H9:H208" xr:uid="{00000000-0002-0000-1D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192</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49</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49</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49</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49</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49</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15" priority="2" operator="equal">
      <formula>"Approved"</formula>
    </cfRule>
    <cfRule type="cellIs" dxfId="14" priority="3" operator="equal">
      <formula>"Pending"</formula>
    </cfRule>
    <cfRule type="cellIs" dxfId="13" priority="4" operator="equal">
      <formula>"Rejected"</formula>
    </cfRule>
  </conditionalFormatting>
  <dataValidations count="2">
    <dataValidation type="whole" showErrorMessage="1" error="Enter 1-36 months" sqref="G14:G113" xr:uid="{00000000-0002-0000-1E00-000000000000}">
      <formula1>1</formula1>
      <formula2>36</formula2>
    </dataValidation>
    <dataValidation type="list" sqref="L14:L113" xr:uid="{00000000-0002-0000-1E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27AE60"/>
  </sheetPr>
  <dimension ref="A1:L208"/>
  <sheetViews>
    <sheetView zoomScaleNormal="100" workbookViewId="0">
      <pane ySplit="8" topLeftCell="A9" activePane="bottomLeft" state="frozen"/>
      <selection pane="bottomLeft" sqref="A1:L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2" customWidth="1"/>
    <col min="8" max="8" width="14" customWidth="1"/>
    <col min="9" max="10" width="22" customWidth="1"/>
  </cols>
  <sheetData>
    <row r="1" spans="1:12" ht="31.5" customHeight="1" x14ac:dyDescent="0.25">
      <c r="A1" s="115" t="s">
        <v>193</v>
      </c>
      <c r="B1" s="115"/>
      <c r="C1" s="115"/>
      <c r="D1" s="115"/>
      <c r="E1" s="115"/>
      <c r="F1" s="115"/>
      <c r="G1" s="115"/>
      <c r="H1" s="115"/>
      <c r="I1" s="115"/>
      <c r="J1" s="115"/>
      <c r="K1" s="115"/>
      <c r="L1" s="115"/>
    </row>
    <row r="2" spans="1:12" ht="19.5" customHeight="1" x14ac:dyDescent="0.25">
      <c r="A2" s="162" t="s">
        <v>194</v>
      </c>
      <c r="B2" s="162"/>
      <c r="C2" s="162"/>
      <c r="D2" s="162"/>
      <c r="E2" s="162"/>
      <c r="F2" s="162"/>
      <c r="G2" s="162"/>
      <c r="H2" s="162"/>
      <c r="I2" s="162"/>
      <c r="J2" s="162"/>
      <c r="K2" s="162"/>
      <c r="L2" s="162"/>
    </row>
    <row r="3" spans="1:12" ht="18" customHeight="1" x14ac:dyDescent="0.25">
      <c r="A3" s="150" t="s">
        <v>123</v>
      </c>
      <c r="B3" s="150"/>
      <c r="C3" s="150"/>
      <c r="D3" s="153" t="s">
        <v>124</v>
      </c>
      <c r="E3" s="153"/>
      <c r="F3" s="153"/>
      <c r="G3" s="163" t="s">
        <v>125</v>
      </c>
      <c r="H3" s="163"/>
      <c r="I3" s="163"/>
      <c r="J3" s="160"/>
      <c r="K3" s="160"/>
      <c r="L3" s="160"/>
    </row>
    <row r="4" spans="1:12" ht="27.75" customHeight="1" x14ac:dyDescent="0.25">
      <c r="A4" s="157">
        <f ca="1">SUMIFS(DB_Savings!$F:$F,DB_Savings!$G:$G,"Agent 10",DB_Savings!$E:$E,TODAY())</f>
        <v>0</v>
      </c>
      <c r="B4" s="157"/>
      <c r="C4" s="157"/>
      <c r="D4" s="158">
        <f ca="1">COUNTIFS(DB_Savings!$G:$G,"Agent 10",DB_Savings!$E:$E,TODAY())</f>
        <v>0</v>
      </c>
      <c r="E4" s="158"/>
      <c r="F4" s="158"/>
      <c r="G4" s="159" t="str">
        <f ca="1">TEXT(TODAY(),"DDDD, DD MMMM YYYY")</f>
        <v>Sunday, 19 April 2026</v>
      </c>
      <c r="H4" s="159"/>
      <c r="I4" s="159"/>
      <c r="J4" s="160"/>
      <c r="K4" s="160"/>
      <c r="L4" s="160"/>
    </row>
    <row r="5" spans="1:12" ht="21.75" customHeight="1" x14ac:dyDescent="0.25">
      <c r="A5" s="161" t="str">
        <f ca="1">IF(SUMIFS(DB_Savings!$F:$F,DB_Savings!$G:$G,"Agent 10",DB_Savings!$E:$E,TODAY())&gt;=J4,"✅ DAILY TARGET ACHIEVED! Well done Agent 10!","⏳ Collection in progress — Keep going! Remaining: GHC "&amp;TEXT(J4-SUMIFS(DB_Savings!$F:$F,DB_Savings!$G:$G,"Agent 10",DB_Savings!$E:$E,TODAY()),"#,##0.00"))</f>
        <v>✅ DAILY TARGET ACHIEVED! Well done Agent 10!</v>
      </c>
      <c r="B5" s="161"/>
      <c r="C5" s="161"/>
      <c r="D5" s="161"/>
      <c r="E5" s="161"/>
      <c r="F5" s="161"/>
      <c r="G5" s="161"/>
      <c r="H5" s="161"/>
      <c r="I5" s="161"/>
      <c r="J5" s="161"/>
      <c r="K5" s="161"/>
      <c r="L5" s="161"/>
    </row>
    <row r="6" spans="1:12" ht="7.5" customHeight="1" x14ac:dyDescent="0.25"/>
    <row r="7" spans="1:12" ht="19.5" customHeight="1" x14ac:dyDescent="0.25">
      <c r="A7" s="156" t="s">
        <v>126</v>
      </c>
      <c r="B7" s="156"/>
      <c r="C7" s="156"/>
      <c r="D7" s="156"/>
      <c r="E7" s="156"/>
      <c r="F7" s="156"/>
      <c r="G7" s="156"/>
      <c r="H7" s="156"/>
      <c r="I7" s="156"/>
      <c r="J7" s="156"/>
      <c r="K7" s="156"/>
      <c r="L7" s="156"/>
    </row>
    <row r="8" spans="1:12" ht="19.5" customHeight="1" x14ac:dyDescent="0.25">
      <c r="A8" s="6" t="s">
        <v>127</v>
      </c>
      <c r="B8" s="6" t="s">
        <v>102</v>
      </c>
      <c r="C8" s="6" t="s">
        <v>128</v>
      </c>
      <c r="D8" s="6" t="s">
        <v>129</v>
      </c>
      <c r="E8" s="6" t="s">
        <v>130</v>
      </c>
      <c r="F8" s="6" t="s">
        <v>131</v>
      </c>
      <c r="G8" s="6" t="s">
        <v>32</v>
      </c>
      <c r="H8" s="31" t="s">
        <v>132</v>
      </c>
      <c r="I8" s="6" t="s">
        <v>133</v>
      </c>
      <c r="J8" s="6" t="s">
        <v>134</v>
      </c>
      <c r="K8" s="6" t="s">
        <v>135</v>
      </c>
    </row>
    <row r="9" spans="1:12" x14ac:dyDescent="0.25">
      <c r="A9" s="32"/>
      <c r="B9" s="7" t="str">
        <f>IF(A9="","",IFERROR(VLOOKUP(A9,DB_Customers!$A:$D,4,0),"❌ Account Not Found"))</f>
        <v/>
      </c>
      <c r="C9" s="33" t="str">
        <f>IF(A9="","",IFERROR(VLOOKUP(A9,DB_Customers!$A:$N,14,0),""))</f>
        <v/>
      </c>
      <c r="D9" s="34" t="str">
        <f t="shared" ref="D9:D40" ca="1" si="0">IF(A9="","",TODAY())</f>
        <v/>
      </c>
      <c r="E9" s="35"/>
      <c r="F9" s="36" t="str">
        <f t="shared" ref="F9:F40" si="1">IF(OR(A9="",E9=""),"",IF(C9="","",C9+E9))</f>
        <v/>
      </c>
      <c r="G9" s="9" t="s">
        <v>50</v>
      </c>
      <c r="H9" s="37"/>
      <c r="I9" s="38" t="str">
        <f>IF(A9="","Pending",IF(H9="","⚠️ Enter Code",IF(IFERROR(VLOOKUP(G9,DB_Agents!$B:$I,8,0),"")=H9,IF(AND(A9&lt;&gt;"",E9&lt;&gt;""),"Saved","Pending"),"🔒 BLOCKED — Wrong Code")))</f>
        <v>Pending</v>
      </c>
      <c r="J9" s="39" t="str">
        <f t="shared" ref="J9:J40" ca="1" si="2">IF(I9="Saved",TEXT(TODAY(),"YYYY-MM-DD")&amp;" Auto","—")</f>
        <v>—</v>
      </c>
      <c r="K9" s="40"/>
    </row>
    <row r="10" spans="1:12" x14ac:dyDescent="0.25">
      <c r="A10" s="41"/>
      <c r="B10" s="11" t="str">
        <f>IF(A10="","",IFERROR(VLOOKUP(A10,DB_Customers!$A:$D,4,0),"❌ Account Not Found"))</f>
        <v/>
      </c>
      <c r="C10" s="42" t="str">
        <f>IF(A10="","",IFERROR(VLOOKUP(A10,DB_Customers!$A:$N,14,0),""))</f>
        <v/>
      </c>
      <c r="D10" s="43" t="str">
        <f t="shared" ca="1" si="0"/>
        <v/>
      </c>
      <c r="E10" s="35"/>
      <c r="F10" s="44" t="str">
        <f t="shared" si="1"/>
        <v/>
      </c>
      <c r="G10" s="13" t="s">
        <v>50</v>
      </c>
      <c r="H10" s="37"/>
      <c r="I10" s="45" t="str">
        <f>IF(A10="","Pending",IF(H10="","⚠️ Enter Code",IF(IFERROR(VLOOKUP(G10,DB_Agents!$B:$I,8,0),"")=H10,IF(AND(A10&lt;&gt;"",E10&lt;&gt;""),"Saved","Pending"),"🔒 BLOCKED — Wrong Code")))</f>
        <v>Pending</v>
      </c>
      <c r="J10" s="46" t="str">
        <f t="shared" ca="1" si="2"/>
        <v>—</v>
      </c>
      <c r="K10" s="47"/>
    </row>
    <row r="11" spans="1:12" x14ac:dyDescent="0.25">
      <c r="A11" s="32"/>
      <c r="B11" s="7" t="str">
        <f>IF(A11="","",IFERROR(VLOOKUP(A11,DB_Customers!$A:$D,4,0),"❌ Account Not Found"))</f>
        <v/>
      </c>
      <c r="C11" s="33" t="str">
        <f>IF(A11="","",IFERROR(VLOOKUP(A11,DB_Customers!$A:$N,14,0),""))</f>
        <v/>
      </c>
      <c r="D11" s="34" t="str">
        <f t="shared" ca="1" si="0"/>
        <v/>
      </c>
      <c r="E11" s="35"/>
      <c r="F11" s="36" t="str">
        <f t="shared" si="1"/>
        <v/>
      </c>
      <c r="G11" s="9" t="s">
        <v>50</v>
      </c>
      <c r="H11" s="37"/>
      <c r="I11" s="38" t="str">
        <f>IF(A11="","Pending",IF(H11="","⚠️ Enter Code",IF(IFERROR(VLOOKUP(G11,DB_Agents!$B:$I,8,0),"")=H11,IF(AND(A11&lt;&gt;"",E11&lt;&gt;""),"Saved","Pending"),"🔒 BLOCKED — Wrong Code")))</f>
        <v>Pending</v>
      </c>
      <c r="J11" s="39" t="str">
        <f t="shared" ca="1" si="2"/>
        <v>—</v>
      </c>
      <c r="K11" s="40"/>
    </row>
    <row r="12" spans="1:12" x14ac:dyDescent="0.25">
      <c r="A12" s="41"/>
      <c r="B12" s="11" t="str">
        <f>IF(A12="","",IFERROR(VLOOKUP(A12,DB_Customers!$A:$D,4,0),"❌ Account Not Found"))</f>
        <v/>
      </c>
      <c r="C12" s="42" t="str">
        <f>IF(A12="","",IFERROR(VLOOKUP(A12,DB_Customers!$A:$N,14,0),""))</f>
        <v/>
      </c>
      <c r="D12" s="43" t="str">
        <f t="shared" ca="1" si="0"/>
        <v/>
      </c>
      <c r="E12" s="35"/>
      <c r="F12" s="44" t="str">
        <f t="shared" si="1"/>
        <v/>
      </c>
      <c r="G12" s="13" t="s">
        <v>50</v>
      </c>
      <c r="H12" s="37"/>
      <c r="I12" s="45" t="str">
        <f>IF(A12="","Pending",IF(H12="","⚠️ Enter Code",IF(IFERROR(VLOOKUP(G12,DB_Agents!$B:$I,8,0),"")=H12,IF(AND(A12&lt;&gt;"",E12&lt;&gt;""),"Saved","Pending"),"🔒 BLOCKED — Wrong Code")))</f>
        <v>Pending</v>
      </c>
      <c r="J12" s="46" t="str">
        <f t="shared" ca="1" si="2"/>
        <v>—</v>
      </c>
      <c r="K12" s="47"/>
    </row>
    <row r="13" spans="1:12" x14ac:dyDescent="0.25">
      <c r="A13" s="32"/>
      <c r="B13" s="7" t="str">
        <f>IF(A13="","",IFERROR(VLOOKUP(A13,DB_Customers!$A:$D,4,0),"❌ Account Not Found"))</f>
        <v/>
      </c>
      <c r="C13" s="33" t="str">
        <f>IF(A13="","",IFERROR(VLOOKUP(A13,DB_Customers!$A:$N,14,0),""))</f>
        <v/>
      </c>
      <c r="D13" s="34" t="str">
        <f t="shared" ca="1" si="0"/>
        <v/>
      </c>
      <c r="E13" s="35"/>
      <c r="F13" s="36" t="str">
        <f t="shared" si="1"/>
        <v/>
      </c>
      <c r="G13" s="9" t="s">
        <v>50</v>
      </c>
      <c r="H13" s="37"/>
      <c r="I13" s="38" t="str">
        <f>IF(A13="","Pending",IF(H13="","⚠️ Enter Code",IF(IFERROR(VLOOKUP(G13,DB_Agents!$B:$I,8,0),"")=H13,IF(AND(A13&lt;&gt;"",E13&lt;&gt;""),"Saved","Pending"),"🔒 BLOCKED — Wrong Code")))</f>
        <v>Pending</v>
      </c>
      <c r="J13" s="39" t="str">
        <f t="shared" ca="1" si="2"/>
        <v>—</v>
      </c>
      <c r="K13" s="40"/>
    </row>
    <row r="14" spans="1:12" x14ac:dyDescent="0.25">
      <c r="A14" s="41"/>
      <c r="B14" s="11" t="str">
        <f>IF(A14="","",IFERROR(VLOOKUP(A14,DB_Customers!$A:$D,4,0),"❌ Account Not Found"))</f>
        <v/>
      </c>
      <c r="C14" s="42" t="str">
        <f>IF(A14="","",IFERROR(VLOOKUP(A14,DB_Customers!$A:$N,14,0),""))</f>
        <v/>
      </c>
      <c r="D14" s="43" t="str">
        <f t="shared" ca="1" si="0"/>
        <v/>
      </c>
      <c r="E14" s="35"/>
      <c r="F14" s="44" t="str">
        <f t="shared" si="1"/>
        <v/>
      </c>
      <c r="G14" s="13"/>
      <c r="H14" s="37"/>
      <c r="I14" s="45" t="str">
        <f>IF(A14="","Pending",IF(H14="","⚠️ Enter Code",IF(IFERROR(VLOOKUP(G14,DB_Agents!$B:$I,8,0),"")=H14,IF(AND(A14&lt;&gt;"",E14&lt;&gt;""),"Saved","Pending"),"🔒 BLOCKED — Wrong Code")))</f>
        <v>Pending</v>
      </c>
      <c r="J14" s="46" t="str">
        <f t="shared" ca="1" si="2"/>
        <v>—</v>
      </c>
      <c r="K14" s="47"/>
    </row>
    <row r="15" spans="1:12" x14ac:dyDescent="0.25">
      <c r="A15" s="32"/>
      <c r="B15" s="7" t="str">
        <f>IF(A15="","",IFERROR(VLOOKUP(A15,DB_Customers!$A:$D,4,0),"❌ Account Not Found"))</f>
        <v/>
      </c>
      <c r="C15" s="33" t="str">
        <f>IF(A15="","",IFERROR(VLOOKUP(A15,DB_Customers!$A:$N,14,0),""))</f>
        <v/>
      </c>
      <c r="D15" s="34" t="str">
        <f t="shared" ca="1" si="0"/>
        <v/>
      </c>
      <c r="E15" s="35"/>
      <c r="F15" s="36" t="str">
        <f t="shared" si="1"/>
        <v/>
      </c>
      <c r="G15" s="9"/>
      <c r="H15" s="37"/>
      <c r="I15" s="38" t="str">
        <f>IF(A15="","Pending",IF(H15="","⚠️ Enter Code",IF(IFERROR(VLOOKUP(G15,DB_Agents!$B:$I,8,0),"")=H15,IF(AND(A15&lt;&gt;"",E15&lt;&gt;""),"Saved","Pending"),"🔒 BLOCKED — Wrong Code")))</f>
        <v>Pending</v>
      </c>
      <c r="J15" s="39" t="str">
        <f t="shared" ca="1" si="2"/>
        <v>—</v>
      </c>
      <c r="K15" s="40"/>
    </row>
    <row r="16" spans="1:12" x14ac:dyDescent="0.25">
      <c r="A16" s="41"/>
      <c r="B16" s="11" t="str">
        <f>IF(A16="","",IFERROR(VLOOKUP(A16,DB_Customers!$A:$D,4,0),"❌ Account Not Found"))</f>
        <v/>
      </c>
      <c r="C16" s="42" t="str">
        <f>IF(A16="","",IFERROR(VLOOKUP(A16,DB_Customers!$A:$N,14,0),""))</f>
        <v/>
      </c>
      <c r="D16" s="43" t="str">
        <f t="shared" ca="1" si="0"/>
        <v/>
      </c>
      <c r="E16" s="35"/>
      <c r="F16" s="44" t="str">
        <f t="shared" si="1"/>
        <v/>
      </c>
      <c r="G16" s="13"/>
      <c r="H16" s="37"/>
      <c r="I16" s="45" t="str">
        <f>IF(A16="","Pending",IF(H16="","⚠️ Enter Code",IF(IFERROR(VLOOKUP(G16,DB_Agents!$B:$I,8,0),"")=H16,IF(AND(A16&lt;&gt;"",E16&lt;&gt;""),"Saved","Pending"),"🔒 BLOCKED — Wrong Code")))</f>
        <v>Pending</v>
      </c>
      <c r="J16" s="46" t="str">
        <f t="shared" ca="1" si="2"/>
        <v>—</v>
      </c>
      <c r="K16" s="47"/>
    </row>
    <row r="17" spans="1:11" x14ac:dyDescent="0.25">
      <c r="A17" s="32"/>
      <c r="B17" s="7" t="str">
        <f>IF(A17="","",IFERROR(VLOOKUP(A17,DB_Customers!$A:$D,4,0),"❌ Account Not Found"))</f>
        <v/>
      </c>
      <c r="C17" s="33" t="str">
        <f>IF(A17="","",IFERROR(VLOOKUP(A17,DB_Customers!$A:$N,14,0),""))</f>
        <v/>
      </c>
      <c r="D17" s="34" t="str">
        <f t="shared" ca="1" si="0"/>
        <v/>
      </c>
      <c r="E17" s="35"/>
      <c r="F17" s="36" t="str">
        <f t="shared" si="1"/>
        <v/>
      </c>
      <c r="G17" s="9"/>
      <c r="H17" s="37"/>
      <c r="I17" s="38" t="str">
        <f>IF(A17="","Pending",IF(H17="","⚠️ Enter Code",IF(IFERROR(VLOOKUP(G17,DB_Agents!$B:$I,8,0),"")=H17,IF(AND(A17&lt;&gt;"",E17&lt;&gt;""),"Saved","Pending"),"🔒 BLOCKED — Wrong Code")))</f>
        <v>Pending</v>
      </c>
      <c r="J17" s="39" t="str">
        <f t="shared" ca="1" si="2"/>
        <v>—</v>
      </c>
      <c r="K17" s="40"/>
    </row>
    <row r="18" spans="1:11" x14ac:dyDescent="0.25">
      <c r="A18" s="41"/>
      <c r="B18" s="11" t="str">
        <f>IF(A18="","",IFERROR(VLOOKUP(A18,DB_Customers!$A:$D,4,0),"❌ Account Not Found"))</f>
        <v/>
      </c>
      <c r="C18" s="42" t="str">
        <f>IF(A18="","",IFERROR(VLOOKUP(A18,DB_Customers!$A:$N,14,0),""))</f>
        <v/>
      </c>
      <c r="D18" s="43" t="str">
        <f t="shared" ca="1" si="0"/>
        <v/>
      </c>
      <c r="E18" s="35"/>
      <c r="F18" s="44" t="str">
        <f t="shared" si="1"/>
        <v/>
      </c>
      <c r="G18" s="13"/>
      <c r="H18" s="37"/>
      <c r="I18" s="45" t="str">
        <f>IF(A18="","Pending",IF(H18="","⚠️ Enter Code",IF(IFERROR(VLOOKUP(G18,DB_Agents!$B:$I,8,0),"")=H18,IF(AND(A18&lt;&gt;"",E18&lt;&gt;""),"Saved","Pending"),"🔒 BLOCKED — Wrong Code")))</f>
        <v>Pending</v>
      </c>
      <c r="J18" s="46" t="str">
        <f t="shared" ca="1" si="2"/>
        <v>—</v>
      </c>
      <c r="K18" s="47"/>
    </row>
    <row r="19" spans="1:11" x14ac:dyDescent="0.25">
      <c r="A19" s="32"/>
      <c r="B19" s="7" t="str">
        <f>IF(A19="","",IFERROR(VLOOKUP(A19,DB_Customers!$A:$D,4,0),"❌ Account Not Found"))</f>
        <v/>
      </c>
      <c r="C19" s="33" t="str">
        <f>IF(A19="","",IFERROR(VLOOKUP(A19,DB_Customers!$A:$N,14,0),""))</f>
        <v/>
      </c>
      <c r="D19" s="34" t="str">
        <f t="shared" ca="1" si="0"/>
        <v/>
      </c>
      <c r="E19" s="35"/>
      <c r="F19" s="36" t="str">
        <f t="shared" si="1"/>
        <v/>
      </c>
      <c r="G19" s="9"/>
      <c r="H19" s="37"/>
      <c r="I19" s="38" t="str">
        <f>IF(A19="","Pending",IF(H19="","⚠️ Enter Code",IF(IFERROR(VLOOKUP(G19,DB_Agents!$B:$I,8,0),"")=H19,IF(AND(A19&lt;&gt;"",E19&lt;&gt;""),"Saved","Pending"),"🔒 BLOCKED — Wrong Code")))</f>
        <v>Pending</v>
      </c>
      <c r="J19" s="39" t="str">
        <f t="shared" ca="1" si="2"/>
        <v>—</v>
      </c>
      <c r="K19" s="40"/>
    </row>
    <row r="20" spans="1:11" x14ac:dyDescent="0.25">
      <c r="A20" s="41"/>
      <c r="B20" s="11" t="str">
        <f>IF(A20="","",IFERROR(VLOOKUP(A20,DB_Customers!$A:$D,4,0),"❌ Account Not Found"))</f>
        <v/>
      </c>
      <c r="C20" s="42" t="str">
        <f>IF(A20="","",IFERROR(VLOOKUP(A20,DB_Customers!$A:$N,14,0),""))</f>
        <v/>
      </c>
      <c r="D20" s="43" t="str">
        <f t="shared" ca="1" si="0"/>
        <v/>
      </c>
      <c r="E20" s="35"/>
      <c r="F20" s="44" t="str">
        <f t="shared" si="1"/>
        <v/>
      </c>
      <c r="G20" s="13"/>
      <c r="H20" s="37"/>
      <c r="I20" s="45" t="str">
        <f>IF(A20="","Pending",IF(H20="","⚠️ Enter Code",IF(IFERROR(VLOOKUP(G20,DB_Agents!$B:$I,8,0),"")=H20,IF(AND(A20&lt;&gt;"",E20&lt;&gt;""),"Saved","Pending"),"🔒 BLOCKED — Wrong Code")))</f>
        <v>Pending</v>
      </c>
      <c r="J20" s="46" t="str">
        <f t="shared" ca="1" si="2"/>
        <v>—</v>
      </c>
      <c r="K20" s="47"/>
    </row>
    <row r="21" spans="1:11" x14ac:dyDescent="0.25">
      <c r="A21" s="32"/>
      <c r="B21" s="7" t="str">
        <f>IF(A21="","",IFERROR(VLOOKUP(A21,DB_Customers!$A:$D,4,0),"❌ Account Not Found"))</f>
        <v/>
      </c>
      <c r="C21" s="33" t="str">
        <f>IF(A21="","",IFERROR(VLOOKUP(A21,DB_Customers!$A:$N,14,0),""))</f>
        <v/>
      </c>
      <c r="D21" s="34" t="str">
        <f t="shared" ca="1" si="0"/>
        <v/>
      </c>
      <c r="E21" s="35"/>
      <c r="F21" s="36" t="str">
        <f t="shared" si="1"/>
        <v/>
      </c>
      <c r="G21" s="9"/>
      <c r="H21" s="37"/>
      <c r="I21" s="38" t="str">
        <f>IF(A21="","Pending",IF(H21="","⚠️ Enter Code",IF(IFERROR(VLOOKUP(G21,DB_Agents!$B:$I,8,0),"")=H21,IF(AND(A21&lt;&gt;"",E21&lt;&gt;""),"Saved","Pending"),"🔒 BLOCKED — Wrong Code")))</f>
        <v>Pending</v>
      </c>
      <c r="J21" s="39" t="str">
        <f t="shared" ca="1" si="2"/>
        <v>—</v>
      </c>
      <c r="K21" s="40"/>
    </row>
    <row r="22" spans="1:11" x14ac:dyDescent="0.25">
      <c r="A22" s="41"/>
      <c r="B22" s="11" t="str">
        <f>IF(A22="","",IFERROR(VLOOKUP(A22,DB_Customers!$A:$D,4,0),"❌ Account Not Found"))</f>
        <v/>
      </c>
      <c r="C22" s="42" t="str">
        <f>IF(A22="","",IFERROR(VLOOKUP(A22,DB_Customers!$A:$N,14,0),""))</f>
        <v/>
      </c>
      <c r="D22" s="43" t="str">
        <f t="shared" ca="1" si="0"/>
        <v/>
      </c>
      <c r="E22" s="35"/>
      <c r="F22" s="44" t="str">
        <f t="shared" si="1"/>
        <v/>
      </c>
      <c r="G22" s="13"/>
      <c r="H22" s="37"/>
      <c r="I22" s="45" t="str">
        <f>IF(A22="","Pending",IF(H22="","⚠️ Enter Code",IF(IFERROR(VLOOKUP(G22,DB_Agents!$B:$I,8,0),"")=H22,IF(AND(A22&lt;&gt;"",E22&lt;&gt;""),"Saved","Pending"),"🔒 BLOCKED — Wrong Code")))</f>
        <v>Pending</v>
      </c>
      <c r="J22" s="46" t="str">
        <f t="shared" ca="1" si="2"/>
        <v>—</v>
      </c>
      <c r="K22" s="47"/>
    </row>
    <row r="23" spans="1:11" x14ac:dyDescent="0.25">
      <c r="A23" s="32"/>
      <c r="B23" s="7" t="str">
        <f>IF(A23="","",IFERROR(VLOOKUP(A23,DB_Customers!$A:$D,4,0),"❌ Account Not Found"))</f>
        <v/>
      </c>
      <c r="C23" s="33" t="str">
        <f>IF(A23="","",IFERROR(VLOOKUP(A23,DB_Customers!$A:$N,14,0),""))</f>
        <v/>
      </c>
      <c r="D23" s="34" t="str">
        <f t="shared" ca="1" si="0"/>
        <v/>
      </c>
      <c r="E23" s="35"/>
      <c r="F23" s="36" t="str">
        <f t="shared" si="1"/>
        <v/>
      </c>
      <c r="G23" s="9"/>
      <c r="H23" s="37"/>
      <c r="I23" s="38" t="str">
        <f>IF(A23="","Pending",IF(H23="","⚠️ Enter Code",IF(IFERROR(VLOOKUP(G23,DB_Agents!$B:$I,8,0),"")=H23,IF(AND(A23&lt;&gt;"",E23&lt;&gt;""),"Saved","Pending"),"🔒 BLOCKED — Wrong Code")))</f>
        <v>Pending</v>
      </c>
      <c r="J23" s="39" t="str">
        <f t="shared" ca="1" si="2"/>
        <v>—</v>
      </c>
      <c r="K23" s="40"/>
    </row>
    <row r="24" spans="1:11" x14ac:dyDescent="0.25">
      <c r="A24" s="41"/>
      <c r="B24" s="11" t="str">
        <f>IF(A24="","",IFERROR(VLOOKUP(A24,DB_Customers!$A:$D,4,0),"❌ Account Not Found"))</f>
        <v/>
      </c>
      <c r="C24" s="42" t="str">
        <f>IF(A24="","",IFERROR(VLOOKUP(A24,DB_Customers!$A:$N,14,0),""))</f>
        <v/>
      </c>
      <c r="D24" s="43" t="str">
        <f t="shared" ca="1" si="0"/>
        <v/>
      </c>
      <c r="E24" s="35"/>
      <c r="F24" s="44" t="str">
        <f t="shared" si="1"/>
        <v/>
      </c>
      <c r="G24" s="13"/>
      <c r="H24" s="37"/>
      <c r="I24" s="45" t="str">
        <f>IF(A24="","Pending",IF(H24="","⚠️ Enter Code",IF(IFERROR(VLOOKUP(G24,DB_Agents!$B:$I,8,0),"")=H24,IF(AND(A24&lt;&gt;"",E24&lt;&gt;""),"Saved","Pending"),"🔒 BLOCKED — Wrong Code")))</f>
        <v>Pending</v>
      </c>
      <c r="J24" s="46" t="str">
        <f t="shared" ca="1" si="2"/>
        <v>—</v>
      </c>
      <c r="K24" s="47"/>
    </row>
    <row r="25" spans="1:11" x14ac:dyDescent="0.25">
      <c r="A25" s="32"/>
      <c r="B25" s="7" t="str">
        <f>IF(A25="","",IFERROR(VLOOKUP(A25,DB_Customers!$A:$D,4,0),"❌ Account Not Found"))</f>
        <v/>
      </c>
      <c r="C25" s="33" t="str">
        <f>IF(A25="","",IFERROR(VLOOKUP(A25,DB_Customers!$A:$N,14,0),""))</f>
        <v/>
      </c>
      <c r="D25" s="34" t="str">
        <f t="shared" ca="1" si="0"/>
        <v/>
      </c>
      <c r="E25" s="35"/>
      <c r="F25" s="36" t="str">
        <f t="shared" si="1"/>
        <v/>
      </c>
      <c r="G25" s="9"/>
      <c r="H25" s="37"/>
      <c r="I25" s="38" t="str">
        <f>IF(A25="","Pending",IF(H25="","⚠️ Enter Code",IF(IFERROR(VLOOKUP(G25,DB_Agents!$B:$I,8,0),"")=H25,IF(AND(A25&lt;&gt;"",E25&lt;&gt;""),"Saved","Pending"),"🔒 BLOCKED — Wrong Code")))</f>
        <v>Pending</v>
      </c>
      <c r="J25" s="39" t="str">
        <f t="shared" ca="1" si="2"/>
        <v>—</v>
      </c>
      <c r="K25" s="40"/>
    </row>
    <row r="26" spans="1:11" x14ac:dyDescent="0.25">
      <c r="A26" s="41"/>
      <c r="B26" s="11" t="str">
        <f>IF(A26="","",IFERROR(VLOOKUP(A26,DB_Customers!$A:$D,4,0),"❌ Account Not Found"))</f>
        <v/>
      </c>
      <c r="C26" s="42" t="str">
        <f>IF(A26="","",IFERROR(VLOOKUP(A26,DB_Customers!$A:$N,14,0),""))</f>
        <v/>
      </c>
      <c r="D26" s="43" t="str">
        <f t="shared" ca="1" si="0"/>
        <v/>
      </c>
      <c r="E26" s="35"/>
      <c r="F26" s="44" t="str">
        <f t="shared" si="1"/>
        <v/>
      </c>
      <c r="G26" s="13"/>
      <c r="H26" s="37"/>
      <c r="I26" s="45" t="str">
        <f>IF(A26="","Pending",IF(H26="","⚠️ Enter Code",IF(IFERROR(VLOOKUP(G26,DB_Agents!$B:$I,8,0),"")=H26,IF(AND(A26&lt;&gt;"",E26&lt;&gt;""),"Saved","Pending"),"🔒 BLOCKED — Wrong Code")))</f>
        <v>Pending</v>
      </c>
      <c r="J26" s="46" t="str">
        <f t="shared" ca="1" si="2"/>
        <v>—</v>
      </c>
      <c r="K26" s="47"/>
    </row>
    <row r="27" spans="1:11" x14ac:dyDescent="0.25">
      <c r="A27" s="32"/>
      <c r="B27" s="7" t="str">
        <f>IF(A27="","",IFERROR(VLOOKUP(A27,DB_Customers!$A:$D,4,0),"❌ Account Not Found"))</f>
        <v/>
      </c>
      <c r="C27" s="33" t="str">
        <f>IF(A27="","",IFERROR(VLOOKUP(A27,DB_Customers!$A:$N,14,0),""))</f>
        <v/>
      </c>
      <c r="D27" s="34" t="str">
        <f t="shared" ca="1" si="0"/>
        <v/>
      </c>
      <c r="E27" s="35"/>
      <c r="F27" s="36" t="str">
        <f t="shared" si="1"/>
        <v/>
      </c>
      <c r="G27" s="9"/>
      <c r="H27" s="37"/>
      <c r="I27" s="38" t="str">
        <f>IF(A27="","Pending",IF(H27="","⚠️ Enter Code",IF(IFERROR(VLOOKUP(G27,DB_Agents!$B:$I,8,0),"")=H27,IF(AND(A27&lt;&gt;"",E27&lt;&gt;""),"Saved","Pending"),"🔒 BLOCKED — Wrong Code")))</f>
        <v>Pending</v>
      </c>
      <c r="J27" s="39" t="str">
        <f t="shared" ca="1" si="2"/>
        <v>—</v>
      </c>
      <c r="K27" s="40"/>
    </row>
    <row r="28" spans="1:11" x14ac:dyDescent="0.25">
      <c r="A28" s="41"/>
      <c r="B28" s="11" t="str">
        <f>IF(A28="","",IFERROR(VLOOKUP(A28,DB_Customers!$A:$D,4,0),"❌ Account Not Found"))</f>
        <v/>
      </c>
      <c r="C28" s="42" t="str">
        <f>IF(A28="","",IFERROR(VLOOKUP(A28,DB_Customers!$A:$N,14,0),""))</f>
        <v/>
      </c>
      <c r="D28" s="43" t="str">
        <f t="shared" ca="1" si="0"/>
        <v/>
      </c>
      <c r="E28" s="35"/>
      <c r="F28" s="44" t="str">
        <f t="shared" si="1"/>
        <v/>
      </c>
      <c r="G28" s="13"/>
      <c r="H28" s="37"/>
      <c r="I28" s="45" t="str">
        <f>IF(A28="","Pending",IF(H28="","⚠️ Enter Code",IF(IFERROR(VLOOKUP(G28,DB_Agents!$B:$I,8,0),"")=H28,IF(AND(A28&lt;&gt;"",E28&lt;&gt;""),"Saved","Pending"),"🔒 BLOCKED — Wrong Code")))</f>
        <v>Pending</v>
      </c>
      <c r="J28" s="46" t="str">
        <f t="shared" ca="1" si="2"/>
        <v>—</v>
      </c>
      <c r="K28" s="47"/>
    </row>
    <row r="29" spans="1:11" x14ac:dyDescent="0.25">
      <c r="A29" s="32"/>
      <c r="B29" s="7" t="str">
        <f>IF(A29="","",IFERROR(VLOOKUP(A29,DB_Customers!$A:$D,4,0),"❌ Account Not Found"))</f>
        <v/>
      </c>
      <c r="C29" s="33" t="str">
        <f>IF(A29="","",IFERROR(VLOOKUP(A29,DB_Customers!$A:$N,14,0),""))</f>
        <v/>
      </c>
      <c r="D29" s="34" t="str">
        <f t="shared" ca="1" si="0"/>
        <v/>
      </c>
      <c r="E29" s="35"/>
      <c r="F29" s="36" t="str">
        <f t="shared" si="1"/>
        <v/>
      </c>
      <c r="G29" s="9"/>
      <c r="H29" s="37"/>
      <c r="I29" s="38" t="str">
        <f>IF(A29="","Pending",IF(H29="","⚠️ Enter Code",IF(IFERROR(VLOOKUP(G29,DB_Agents!$B:$I,8,0),"")=H29,IF(AND(A29&lt;&gt;"",E29&lt;&gt;""),"Saved","Pending"),"🔒 BLOCKED — Wrong Code")))</f>
        <v>Pending</v>
      </c>
      <c r="J29" s="39" t="str">
        <f t="shared" ca="1" si="2"/>
        <v>—</v>
      </c>
      <c r="K29" s="40"/>
    </row>
    <row r="30" spans="1:11" x14ac:dyDescent="0.25">
      <c r="A30" s="41"/>
      <c r="B30" s="11" t="str">
        <f>IF(A30="","",IFERROR(VLOOKUP(A30,DB_Customers!$A:$D,4,0),"❌ Account Not Found"))</f>
        <v/>
      </c>
      <c r="C30" s="42" t="str">
        <f>IF(A30="","",IFERROR(VLOOKUP(A30,DB_Customers!$A:$N,14,0),""))</f>
        <v/>
      </c>
      <c r="D30" s="43" t="str">
        <f t="shared" ca="1" si="0"/>
        <v/>
      </c>
      <c r="E30" s="35"/>
      <c r="F30" s="44" t="str">
        <f t="shared" si="1"/>
        <v/>
      </c>
      <c r="G30" s="13"/>
      <c r="H30" s="37"/>
      <c r="I30" s="45" t="str">
        <f>IF(A30="","Pending",IF(H30="","⚠️ Enter Code",IF(IFERROR(VLOOKUP(G30,DB_Agents!$B:$I,8,0),"")=H30,IF(AND(A30&lt;&gt;"",E30&lt;&gt;""),"Saved","Pending"),"🔒 BLOCKED — Wrong Code")))</f>
        <v>Pending</v>
      </c>
      <c r="J30" s="46" t="str">
        <f t="shared" ca="1" si="2"/>
        <v>—</v>
      </c>
      <c r="K30" s="47"/>
    </row>
    <row r="31" spans="1:11" x14ac:dyDescent="0.25">
      <c r="A31" s="32"/>
      <c r="B31" s="7" t="str">
        <f>IF(A31="","",IFERROR(VLOOKUP(A31,DB_Customers!$A:$D,4,0),"❌ Account Not Found"))</f>
        <v/>
      </c>
      <c r="C31" s="33" t="str">
        <f>IF(A31="","",IFERROR(VLOOKUP(A31,DB_Customers!$A:$N,14,0),""))</f>
        <v/>
      </c>
      <c r="D31" s="34" t="str">
        <f t="shared" ca="1" si="0"/>
        <v/>
      </c>
      <c r="E31" s="35"/>
      <c r="F31" s="36" t="str">
        <f t="shared" si="1"/>
        <v/>
      </c>
      <c r="G31" s="9"/>
      <c r="H31" s="37"/>
      <c r="I31" s="38" t="str">
        <f>IF(A31="","Pending",IF(H31="","⚠️ Enter Code",IF(IFERROR(VLOOKUP(G31,DB_Agents!$B:$I,8,0),"")=H31,IF(AND(A31&lt;&gt;"",E31&lt;&gt;""),"Saved","Pending"),"🔒 BLOCKED — Wrong Code")))</f>
        <v>Pending</v>
      </c>
      <c r="J31" s="39" t="str">
        <f t="shared" ca="1" si="2"/>
        <v>—</v>
      </c>
      <c r="K31" s="40"/>
    </row>
    <row r="32" spans="1:11" x14ac:dyDescent="0.25">
      <c r="A32" s="41"/>
      <c r="B32" s="11" t="str">
        <f>IF(A32="","",IFERROR(VLOOKUP(A32,DB_Customers!$A:$D,4,0),"❌ Account Not Found"))</f>
        <v/>
      </c>
      <c r="C32" s="42" t="str">
        <f>IF(A32="","",IFERROR(VLOOKUP(A32,DB_Customers!$A:$N,14,0),""))</f>
        <v/>
      </c>
      <c r="D32" s="43" t="str">
        <f t="shared" ca="1" si="0"/>
        <v/>
      </c>
      <c r="E32" s="35"/>
      <c r="F32" s="44" t="str">
        <f t="shared" si="1"/>
        <v/>
      </c>
      <c r="G32" s="13"/>
      <c r="H32" s="37"/>
      <c r="I32" s="45" t="str">
        <f>IF(A32="","Pending",IF(H32="","⚠️ Enter Code",IF(IFERROR(VLOOKUP(G32,DB_Agents!$B:$I,8,0),"")=H32,IF(AND(A32&lt;&gt;"",E32&lt;&gt;""),"Saved","Pending"),"🔒 BLOCKED — Wrong Code")))</f>
        <v>Pending</v>
      </c>
      <c r="J32" s="46" t="str">
        <f t="shared" ca="1" si="2"/>
        <v>—</v>
      </c>
      <c r="K32" s="47"/>
    </row>
    <row r="33" spans="1:11" x14ac:dyDescent="0.25">
      <c r="A33" s="32"/>
      <c r="B33" s="7" t="str">
        <f>IF(A33="","",IFERROR(VLOOKUP(A33,DB_Customers!$A:$D,4,0),"❌ Account Not Found"))</f>
        <v/>
      </c>
      <c r="C33" s="33" t="str">
        <f>IF(A33="","",IFERROR(VLOOKUP(A33,DB_Customers!$A:$N,14,0),""))</f>
        <v/>
      </c>
      <c r="D33" s="34" t="str">
        <f t="shared" ca="1" si="0"/>
        <v/>
      </c>
      <c r="E33" s="35"/>
      <c r="F33" s="36" t="str">
        <f t="shared" si="1"/>
        <v/>
      </c>
      <c r="G33" s="9"/>
      <c r="H33" s="37"/>
      <c r="I33" s="38" t="str">
        <f>IF(A33="","Pending",IF(H33="","⚠️ Enter Code",IF(IFERROR(VLOOKUP(G33,DB_Agents!$B:$I,8,0),"")=H33,IF(AND(A33&lt;&gt;"",E33&lt;&gt;""),"Saved","Pending"),"🔒 BLOCKED — Wrong Code")))</f>
        <v>Pending</v>
      </c>
      <c r="J33" s="39" t="str">
        <f t="shared" ca="1" si="2"/>
        <v>—</v>
      </c>
      <c r="K33" s="40"/>
    </row>
    <row r="34" spans="1:11" x14ac:dyDescent="0.25">
      <c r="A34" s="41"/>
      <c r="B34" s="11" t="str">
        <f>IF(A34="","",IFERROR(VLOOKUP(A34,DB_Customers!$A:$D,4,0),"❌ Account Not Found"))</f>
        <v/>
      </c>
      <c r="C34" s="42" t="str">
        <f>IF(A34="","",IFERROR(VLOOKUP(A34,DB_Customers!$A:$N,14,0),""))</f>
        <v/>
      </c>
      <c r="D34" s="43" t="str">
        <f t="shared" ca="1" si="0"/>
        <v/>
      </c>
      <c r="E34" s="35"/>
      <c r="F34" s="44" t="str">
        <f t="shared" si="1"/>
        <v/>
      </c>
      <c r="G34" s="13"/>
      <c r="H34" s="37"/>
      <c r="I34" s="45" t="str">
        <f>IF(A34="","Pending",IF(H34="","⚠️ Enter Code",IF(IFERROR(VLOOKUP(G34,DB_Agents!$B:$I,8,0),"")=H34,IF(AND(A34&lt;&gt;"",E34&lt;&gt;""),"Saved","Pending"),"🔒 BLOCKED — Wrong Code")))</f>
        <v>Pending</v>
      </c>
      <c r="J34" s="46" t="str">
        <f t="shared" ca="1" si="2"/>
        <v>—</v>
      </c>
      <c r="K34" s="47"/>
    </row>
    <row r="35" spans="1:11" x14ac:dyDescent="0.25">
      <c r="A35" s="32"/>
      <c r="B35" s="7" t="str">
        <f>IF(A35="","",IFERROR(VLOOKUP(A35,DB_Customers!$A:$D,4,0),"❌ Account Not Found"))</f>
        <v/>
      </c>
      <c r="C35" s="33" t="str">
        <f>IF(A35="","",IFERROR(VLOOKUP(A35,DB_Customers!$A:$N,14,0),""))</f>
        <v/>
      </c>
      <c r="D35" s="34" t="str">
        <f t="shared" ca="1" si="0"/>
        <v/>
      </c>
      <c r="E35" s="35"/>
      <c r="F35" s="36" t="str">
        <f t="shared" si="1"/>
        <v/>
      </c>
      <c r="G35" s="9"/>
      <c r="H35" s="37"/>
      <c r="I35" s="38" t="str">
        <f>IF(A35="","Pending",IF(H35="","⚠️ Enter Code",IF(IFERROR(VLOOKUP(G35,DB_Agents!$B:$I,8,0),"")=H35,IF(AND(A35&lt;&gt;"",E35&lt;&gt;""),"Saved","Pending"),"🔒 BLOCKED — Wrong Code")))</f>
        <v>Pending</v>
      </c>
      <c r="J35" s="39" t="str">
        <f t="shared" ca="1" si="2"/>
        <v>—</v>
      </c>
      <c r="K35" s="40"/>
    </row>
    <row r="36" spans="1:11" x14ac:dyDescent="0.25">
      <c r="A36" s="41"/>
      <c r="B36" s="11" t="str">
        <f>IF(A36="","",IFERROR(VLOOKUP(A36,DB_Customers!$A:$D,4,0),"❌ Account Not Found"))</f>
        <v/>
      </c>
      <c r="C36" s="42" t="str">
        <f>IF(A36="","",IFERROR(VLOOKUP(A36,DB_Customers!$A:$N,14,0),""))</f>
        <v/>
      </c>
      <c r="D36" s="43" t="str">
        <f t="shared" ca="1" si="0"/>
        <v/>
      </c>
      <c r="E36" s="35"/>
      <c r="F36" s="44" t="str">
        <f t="shared" si="1"/>
        <v/>
      </c>
      <c r="G36" s="13"/>
      <c r="H36" s="37"/>
      <c r="I36" s="45" t="str">
        <f>IF(A36="","Pending",IF(H36="","⚠️ Enter Code",IF(IFERROR(VLOOKUP(G36,DB_Agents!$B:$I,8,0),"")=H36,IF(AND(A36&lt;&gt;"",E36&lt;&gt;""),"Saved","Pending"),"🔒 BLOCKED — Wrong Code")))</f>
        <v>Pending</v>
      </c>
      <c r="J36" s="46" t="str">
        <f t="shared" ca="1" si="2"/>
        <v>—</v>
      </c>
      <c r="K36" s="47"/>
    </row>
    <row r="37" spans="1:11" x14ac:dyDescent="0.25">
      <c r="A37" s="32"/>
      <c r="B37" s="7" t="str">
        <f>IF(A37="","",IFERROR(VLOOKUP(A37,DB_Customers!$A:$D,4,0),"❌ Account Not Found"))</f>
        <v/>
      </c>
      <c r="C37" s="33" t="str">
        <f>IF(A37="","",IFERROR(VLOOKUP(A37,DB_Customers!$A:$N,14,0),""))</f>
        <v/>
      </c>
      <c r="D37" s="34" t="str">
        <f t="shared" ca="1" si="0"/>
        <v/>
      </c>
      <c r="E37" s="35"/>
      <c r="F37" s="36" t="str">
        <f t="shared" si="1"/>
        <v/>
      </c>
      <c r="G37" s="9"/>
      <c r="H37" s="37"/>
      <c r="I37" s="38" t="str">
        <f>IF(A37="","Pending",IF(H37="","⚠️ Enter Code",IF(IFERROR(VLOOKUP(G37,DB_Agents!$B:$I,8,0),"")=H37,IF(AND(A37&lt;&gt;"",E37&lt;&gt;""),"Saved","Pending"),"🔒 BLOCKED — Wrong Code")))</f>
        <v>Pending</v>
      </c>
      <c r="J37" s="39" t="str">
        <f t="shared" ca="1" si="2"/>
        <v>—</v>
      </c>
      <c r="K37" s="40"/>
    </row>
    <row r="38" spans="1:11" x14ac:dyDescent="0.25">
      <c r="A38" s="41"/>
      <c r="B38" s="11" t="str">
        <f>IF(A38="","",IFERROR(VLOOKUP(A38,DB_Customers!$A:$D,4,0),"❌ Account Not Found"))</f>
        <v/>
      </c>
      <c r="C38" s="42" t="str">
        <f>IF(A38="","",IFERROR(VLOOKUP(A38,DB_Customers!$A:$N,14,0),""))</f>
        <v/>
      </c>
      <c r="D38" s="43" t="str">
        <f t="shared" ca="1" si="0"/>
        <v/>
      </c>
      <c r="E38" s="35"/>
      <c r="F38" s="44" t="str">
        <f t="shared" si="1"/>
        <v/>
      </c>
      <c r="G38" s="13"/>
      <c r="H38" s="37"/>
      <c r="I38" s="45" t="str">
        <f>IF(A38="","Pending",IF(H38="","⚠️ Enter Code",IF(IFERROR(VLOOKUP(G38,DB_Agents!$B:$I,8,0),"")=H38,IF(AND(A38&lt;&gt;"",E38&lt;&gt;""),"Saved","Pending"),"🔒 BLOCKED — Wrong Code")))</f>
        <v>Pending</v>
      </c>
      <c r="J38" s="46" t="str">
        <f t="shared" ca="1" si="2"/>
        <v>—</v>
      </c>
      <c r="K38" s="47"/>
    </row>
    <row r="39" spans="1:11" x14ac:dyDescent="0.25">
      <c r="A39" s="32"/>
      <c r="B39" s="7" t="str">
        <f>IF(A39="","",IFERROR(VLOOKUP(A39,DB_Customers!$A:$D,4,0),"❌ Account Not Found"))</f>
        <v/>
      </c>
      <c r="C39" s="33" t="str">
        <f>IF(A39="","",IFERROR(VLOOKUP(A39,DB_Customers!$A:$N,14,0),""))</f>
        <v/>
      </c>
      <c r="D39" s="34" t="str">
        <f t="shared" ca="1" si="0"/>
        <v/>
      </c>
      <c r="E39" s="35"/>
      <c r="F39" s="36" t="str">
        <f t="shared" si="1"/>
        <v/>
      </c>
      <c r="G39" s="9"/>
      <c r="H39" s="37"/>
      <c r="I39" s="38" t="str">
        <f>IF(A39="","Pending",IF(H39="","⚠️ Enter Code",IF(IFERROR(VLOOKUP(G39,DB_Agents!$B:$I,8,0),"")=H39,IF(AND(A39&lt;&gt;"",E39&lt;&gt;""),"Saved","Pending"),"🔒 BLOCKED — Wrong Code")))</f>
        <v>Pending</v>
      </c>
      <c r="J39" s="39" t="str">
        <f t="shared" ca="1" si="2"/>
        <v>—</v>
      </c>
      <c r="K39" s="40"/>
    </row>
    <row r="40" spans="1:11" x14ac:dyDescent="0.25">
      <c r="A40" s="41"/>
      <c r="B40" s="11" t="str">
        <f>IF(A40="","",IFERROR(VLOOKUP(A40,DB_Customers!$A:$D,4,0),"❌ Account Not Found"))</f>
        <v/>
      </c>
      <c r="C40" s="42" t="str">
        <f>IF(A40="","",IFERROR(VLOOKUP(A40,DB_Customers!$A:$N,14,0),""))</f>
        <v/>
      </c>
      <c r="D40" s="43" t="str">
        <f t="shared" ca="1" si="0"/>
        <v/>
      </c>
      <c r="E40" s="35"/>
      <c r="F40" s="44" t="str">
        <f t="shared" si="1"/>
        <v/>
      </c>
      <c r="G40" s="13"/>
      <c r="H40" s="37"/>
      <c r="I40" s="45" t="str">
        <f>IF(A40="","Pending",IF(H40="","⚠️ Enter Code",IF(IFERROR(VLOOKUP(G40,DB_Agents!$B:$I,8,0),"")=H40,IF(AND(A40&lt;&gt;"",E40&lt;&gt;""),"Saved","Pending"),"🔒 BLOCKED — Wrong Code")))</f>
        <v>Pending</v>
      </c>
      <c r="J40" s="46" t="str">
        <f t="shared" ca="1" si="2"/>
        <v>—</v>
      </c>
      <c r="K40" s="47"/>
    </row>
    <row r="41" spans="1:11" x14ac:dyDescent="0.25">
      <c r="A41" s="32"/>
      <c r="B41" s="7" t="str">
        <f>IF(A41="","",IFERROR(VLOOKUP(A41,DB_Customers!$A:$D,4,0),"❌ Account Not Found"))</f>
        <v/>
      </c>
      <c r="C41" s="33" t="str">
        <f>IF(A41="","",IFERROR(VLOOKUP(A41,DB_Customers!$A:$N,14,0),""))</f>
        <v/>
      </c>
      <c r="D41" s="34" t="str">
        <f t="shared" ref="D41:D72" ca="1" si="3">IF(A41="","",TODAY())</f>
        <v/>
      </c>
      <c r="E41" s="35"/>
      <c r="F41" s="36" t="str">
        <f t="shared" ref="F41:F72" si="4">IF(OR(A41="",E41=""),"",IF(C41="","",C41+E41))</f>
        <v/>
      </c>
      <c r="G41" s="9"/>
      <c r="H41" s="37"/>
      <c r="I41" s="38" t="str">
        <f>IF(A41="","Pending",IF(H41="","⚠️ Enter Code",IF(IFERROR(VLOOKUP(G41,DB_Agents!$B:$I,8,0),"")=H41,IF(AND(A41&lt;&gt;"",E41&lt;&gt;""),"Saved","Pending"),"🔒 BLOCKED — Wrong Code")))</f>
        <v>Pending</v>
      </c>
      <c r="J41" s="39" t="str">
        <f t="shared" ref="J41:J72" ca="1" si="5">IF(I41="Saved",TEXT(TODAY(),"YYYY-MM-DD")&amp;" Auto","—")</f>
        <v>—</v>
      </c>
      <c r="K41" s="40"/>
    </row>
    <row r="42" spans="1:11" x14ac:dyDescent="0.25">
      <c r="A42" s="41"/>
      <c r="B42" s="11" t="str">
        <f>IF(A42="","",IFERROR(VLOOKUP(A42,DB_Customers!$A:$D,4,0),"❌ Account Not Found"))</f>
        <v/>
      </c>
      <c r="C42" s="42" t="str">
        <f>IF(A42="","",IFERROR(VLOOKUP(A42,DB_Customers!$A:$N,14,0),""))</f>
        <v/>
      </c>
      <c r="D42" s="43" t="str">
        <f t="shared" ca="1" si="3"/>
        <v/>
      </c>
      <c r="E42" s="35"/>
      <c r="F42" s="44" t="str">
        <f t="shared" si="4"/>
        <v/>
      </c>
      <c r="G42" s="13"/>
      <c r="H42" s="37"/>
      <c r="I42" s="45" t="str">
        <f>IF(A42="","Pending",IF(H42="","⚠️ Enter Code",IF(IFERROR(VLOOKUP(G42,DB_Agents!$B:$I,8,0),"")=H42,IF(AND(A42&lt;&gt;"",E42&lt;&gt;""),"Saved","Pending"),"🔒 BLOCKED — Wrong Code")))</f>
        <v>Pending</v>
      </c>
      <c r="J42" s="46" t="str">
        <f t="shared" ca="1" si="5"/>
        <v>—</v>
      </c>
      <c r="K42" s="47"/>
    </row>
    <row r="43" spans="1:11" x14ac:dyDescent="0.25">
      <c r="A43" s="32"/>
      <c r="B43" s="7" t="str">
        <f>IF(A43="","",IFERROR(VLOOKUP(A43,DB_Customers!$A:$D,4,0),"❌ Account Not Found"))</f>
        <v/>
      </c>
      <c r="C43" s="33" t="str">
        <f>IF(A43="","",IFERROR(VLOOKUP(A43,DB_Customers!$A:$N,14,0),""))</f>
        <v/>
      </c>
      <c r="D43" s="34" t="str">
        <f t="shared" ca="1" si="3"/>
        <v/>
      </c>
      <c r="E43" s="35"/>
      <c r="F43" s="36" t="str">
        <f t="shared" si="4"/>
        <v/>
      </c>
      <c r="G43" s="9"/>
      <c r="H43" s="37"/>
      <c r="I43" s="38" t="str">
        <f>IF(A43="","Pending",IF(H43="","⚠️ Enter Code",IF(IFERROR(VLOOKUP(G43,DB_Agents!$B:$I,8,0),"")=H43,IF(AND(A43&lt;&gt;"",E43&lt;&gt;""),"Saved","Pending"),"🔒 BLOCKED — Wrong Code")))</f>
        <v>Pending</v>
      </c>
      <c r="J43" s="39" t="str">
        <f t="shared" ca="1" si="5"/>
        <v>—</v>
      </c>
      <c r="K43" s="40"/>
    </row>
    <row r="44" spans="1:11" x14ac:dyDescent="0.25">
      <c r="A44" s="41"/>
      <c r="B44" s="11" t="str">
        <f>IF(A44="","",IFERROR(VLOOKUP(A44,DB_Customers!$A:$D,4,0),"❌ Account Not Found"))</f>
        <v/>
      </c>
      <c r="C44" s="42" t="str">
        <f>IF(A44="","",IFERROR(VLOOKUP(A44,DB_Customers!$A:$N,14,0),""))</f>
        <v/>
      </c>
      <c r="D44" s="43" t="str">
        <f t="shared" ca="1" si="3"/>
        <v/>
      </c>
      <c r="E44" s="35"/>
      <c r="F44" s="44" t="str">
        <f t="shared" si="4"/>
        <v/>
      </c>
      <c r="G44" s="13"/>
      <c r="H44" s="37"/>
      <c r="I44" s="45" t="str">
        <f>IF(A44="","Pending",IF(H44="","⚠️ Enter Code",IF(IFERROR(VLOOKUP(G44,DB_Agents!$B:$I,8,0),"")=H44,IF(AND(A44&lt;&gt;"",E44&lt;&gt;""),"Saved","Pending"),"🔒 BLOCKED — Wrong Code")))</f>
        <v>Pending</v>
      </c>
      <c r="J44" s="46" t="str">
        <f t="shared" ca="1" si="5"/>
        <v>—</v>
      </c>
      <c r="K44" s="47"/>
    </row>
    <row r="45" spans="1:11" x14ac:dyDescent="0.25">
      <c r="A45" s="32"/>
      <c r="B45" s="7" t="str">
        <f>IF(A45="","",IFERROR(VLOOKUP(A45,DB_Customers!$A:$D,4,0),"❌ Account Not Found"))</f>
        <v/>
      </c>
      <c r="C45" s="33" t="str">
        <f>IF(A45="","",IFERROR(VLOOKUP(A45,DB_Customers!$A:$N,14,0),""))</f>
        <v/>
      </c>
      <c r="D45" s="34" t="str">
        <f t="shared" ca="1" si="3"/>
        <v/>
      </c>
      <c r="E45" s="35"/>
      <c r="F45" s="36" t="str">
        <f t="shared" si="4"/>
        <v/>
      </c>
      <c r="G45" s="9"/>
      <c r="H45" s="37"/>
      <c r="I45" s="38" t="str">
        <f>IF(A45="","Pending",IF(H45="","⚠️ Enter Code",IF(IFERROR(VLOOKUP(G45,DB_Agents!$B:$I,8,0),"")=H45,IF(AND(A45&lt;&gt;"",E45&lt;&gt;""),"Saved","Pending"),"🔒 BLOCKED — Wrong Code")))</f>
        <v>Pending</v>
      </c>
      <c r="J45" s="39" t="str">
        <f t="shared" ca="1" si="5"/>
        <v>—</v>
      </c>
      <c r="K45" s="40"/>
    </row>
    <row r="46" spans="1:11" x14ac:dyDescent="0.25">
      <c r="A46" s="41"/>
      <c r="B46" s="11" t="str">
        <f>IF(A46="","",IFERROR(VLOOKUP(A46,DB_Customers!$A:$D,4,0),"❌ Account Not Found"))</f>
        <v/>
      </c>
      <c r="C46" s="42" t="str">
        <f>IF(A46="","",IFERROR(VLOOKUP(A46,DB_Customers!$A:$N,14,0),""))</f>
        <v/>
      </c>
      <c r="D46" s="43" t="str">
        <f t="shared" ca="1" si="3"/>
        <v/>
      </c>
      <c r="E46" s="35"/>
      <c r="F46" s="44" t="str">
        <f t="shared" si="4"/>
        <v/>
      </c>
      <c r="G46" s="13"/>
      <c r="H46" s="37"/>
      <c r="I46" s="45" t="str">
        <f>IF(A46="","Pending",IF(H46="","⚠️ Enter Code",IF(IFERROR(VLOOKUP(G46,DB_Agents!$B:$I,8,0),"")=H46,IF(AND(A46&lt;&gt;"",E46&lt;&gt;""),"Saved","Pending"),"🔒 BLOCKED — Wrong Code")))</f>
        <v>Pending</v>
      </c>
      <c r="J46" s="46" t="str">
        <f t="shared" ca="1" si="5"/>
        <v>—</v>
      </c>
      <c r="K46" s="47"/>
    </row>
    <row r="47" spans="1:11" x14ac:dyDescent="0.25">
      <c r="A47" s="32"/>
      <c r="B47" s="7" t="str">
        <f>IF(A47="","",IFERROR(VLOOKUP(A47,DB_Customers!$A:$D,4,0),"❌ Account Not Found"))</f>
        <v/>
      </c>
      <c r="C47" s="33" t="str">
        <f>IF(A47="","",IFERROR(VLOOKUP(A47,DB_Customers!$A:$N,14,0),""))</f>
        <v/>
      </c>
      <c r="D47" s="34" t="str">
        <f t="shared" ca="1" si="3"/>
        <v/>
      </c>
      <c r="E47" s="35"/>
      <c r="F47" s="36" t="str">
        <f t="shared" si="4"/>
        <v/>
      </c>
      <c r="G47" s="9"/>
      <c r="H47" s="37"/>
      <c r="I47" s="38" t="str">
        <f>IF(A47="","Pending",IF(H47="","⚠️ Enter Code",IF(IFERROR(VLOOKUP(G47,DB_Agents!$B:$I,8,0),"")=H47,IF(AND(A47&lt;&gt;"",E47&lt;&gt;""),"Saved","Pending"),"🔒 BLOCKED — Wrong Code")))</f>
        <v>Pending</v>
      </c>
      <c r="J47" s="39" t="str">
        <f t="shared" ca="1" si="5"/>
        <v>—</v>
      </c>
      <c r="K47" s="40"/>
    </row>
    <row r="48" spans="1:11" x14ac:dyDescent="0.25">
      <c r="A48" s="41"/>
      <c r="B48" s="11" t="str">
        <f>IF(A48="","",IFERROR(VLOOKUP(A48,DB_Customers!$A:$D,4,0),"❌ Account Not Found"))</f>
        <v/>
      </c>
      <c r="C48" s="42" t="str">
        <f>IF(A48="","",IFERROR(VLOOKUP(A48,DB_Customers!$A:$N,14,0),""))</f>
        <v/>
      </c>
      <c r="D48" s="43" t="str">
        <f t="shared" ca="1" si="3"/>
        <v/>
      </c>
      <c r="E48" s="35"/>
      <c r="F48" s="44" t="str">
        <f t="shared" si="4"/>
        <v/>
      </c>
      <c r="G48" s="13"/>
      <c r="H48" s="37"/>
      <c r="I48" s="45" t="str">
        <f>IF(A48="","Pending",IF(H48="","⚠️ Enter Code",IF(IFERROR(VLOOKUP(G48,DB_Agents!$B:$I,8,0),"")=H48,IF(AND(A48&lt;&gt;"",E48&lt;&gt;""),"Saved","Pending"),"🔒 BLOCKED — Wrong Code")))</f>
        <v>Pending</v>
      </c>
      <c r="J48" s="46" t="str">
        <f t="shared" ca="1" si="5"/>
        <v>—</v>
      </c>
      <c r="K48" s="47"/>
    </row>
    <row r="49" spans="1:11" x14ac:dyDescent="0.25">
      <c r="A49" s="32"/>
      <c r="B49" s="7" t="str">
        <f>IF(A49="","",IFERROR(VLOOKUP(A49,DB_Customers!$A:$D,4,0),"❌ Account Not Found"))</f>
        <v/>
      </c>
      <c r="C49" s="33" t="str">
        <f>IF(A49="","",IFERROR(VLOOKUP(A49,DB_Customers!$A:$N,14,0),""))</f>
        <v/>
      </c>
      <c r="D49" s="34" t="str">
        <f t="shared" ca="1" si="3"/>
        <v/>
      </c>
      <c r="E49" s="35"/>
      <c r="F49" s="36" t="str">
        <f t="shared" si="4"/>
        <v/>
      </c>
      <c r="G49" s="9"/>
      <c r="H49" s="37"/>
      <c r="I49" s="38" t="str">
        <f>IF(A49="","Pending",IF(H49="","⚠️ Enter Code",IF(IFERROR(VLOOKUP(G49,DB_Agents!$B:$I,8,0),"")=H49,IF(AND(A49&lt;&gt;"",E49&lt;&gt;""),"Saved","Pending"),"🔒 BLOCKED — Wrong Code")))</f>
        <v>Pending</v>
      </c>
      <c r="J49" s="39" t="str">
        <f t="shared" ca="1" si="5"/>
        <v>—</v>
      </c>
      <c r="K49" s="40"/>
    </row>
    <row r="50" spans="1:11" x14ac:dyDescent="0.25">
      <c r="A50" s="41"/>
      <c r="B50" s="11" t="str">
        <f>IF(A50="","",IFERROR(VLOOKUP(A50,DB_Customers!$A:$D,4,0),"❌ Account Not Found"))</f>
        <v/>
      </c>
      <c r="C50" s="42" t="str">
        <f>IF(A50="","",IFERROR(VLOOKUP(A50,DB_Customers!$A:$N,14,0),""))</f>
        <v/>
      </c>
      <c r="D50" s="43" t="str">
        <f t="shared" ca="1" si="3"/>
        <v/>
      </c>
      <c r="E50" s="35"/>
      <c r="F50" s="44" t="str">
        <f t="shared" si="4"/>
        <v/>
      </c>
      <c r="G50" s="13"/>
      <c r="H50" s="37"/>
      <c r="I50" s="45" t="str">
        <f>IF(A50="","Pending",IF(H50="","⚠️ Enter Code",IF(IFERROR(VLOOKUP(G50,DB_Agents!$B:$I,8,0),"")=H50,IF(AND(A50&lt;&gt;"",E50&lt;&gt;""),"Saved","Pending"),"🔒 BLOCKED — Wrong Code")))</f>
        <v>Pending</v>
      </c>
      <c r="J50" s="46" t="str">
        <f t="shared" ca="1" si="5"/>
        <v>—</v>
      </c>
      <c r="K50" s="47"/>
    </row>
    <row r="51" spans="1:11" x14ac:dyDescent="0.25">
      <c r="A51" s="32"/>
      <c r="B51" s="7" t="str">
        <f>IF(A51="","",IFERROR(VLOOKUP(A51,DB_Customers!$A:$D,4,0),"❌ Account Not Found"))</f>
        <v/>
      </c>
      <c r="C51" s="33" t="str">
        <f>IF(A51="","",IFERROR(VLOOKUP(A51,DB_Customers!$A:$N,14,0),""))</f>
        <v/>
      </c>
      <c r="D51" s="34" t="str">
        <f t="shared" ca="1" si="3"/>
        <v/>
      </c>
      <c r="E51" s="35"/>
      <c r="F51" s="36" t="str">
        <f t="shared" si="4"/>
        <v/>
      </c>
      <c r="G51" s="9"/>
      <c r="H51" s="37"/>
      <c r="I51" s="38" t="str">
        <f>IF(A51="","Pending",IF(H51="","⚠️ Enter Code",IF(IFERROR(VLOOKUP(G51,DB_Agents!$B:$I,8,0),"")=H51,IF(AND(A51&lt;&gt;"",E51&lt;&gt;""),"Saved","Pending"),"🔒 BLOCKED — Wrong Code")))</f>
        <v>Pending</v>
      </c>
      <c r="J51" s="39" t="str">
        <f t="shared" ca="1" si="5"/>
        <v>—</v>
      </c>
      <c r="K51" s="40"/>
    </row>
    <row r="52" spans="1:11" x14ac:dyDescent="0.25">
      <c r="A52" s="41"/>
      <c r="B52" s="11" t="str">
        <f>IF(A52="","",IFERROR(VLOOKUP(A52,DB_Customers!$A:$D,4,0),"❌ Account Not Found"))</f>
        <v/>
      </c>
      <c r="C52" s="42" t="str">
        <f>IF(A52="","",IFERROR(VLOOKUP(A52,DB_Customers!$A:$N,14,0),""))</f>
        <v/>
      </c>
      <c r="D52" s="43" t="str">
        <f t="shared" ca="1" si="3"/>
        <v/>
      </c>
      <c r="E52" s="35"/>
      <c r="F52" s="44" t="str">
        <f t="shared" si="4"/>
        <v/>
      </c>
      <c r="G52" s="13"/>
      <c r="H52" s="37"/>
      <c r="I52" s="45" t="str">
        <f>IF(A52="","Pending",IF(H52="","⚠️ Enter Code",IF(IFERROR(VLOOKUP(G52,DB_Agents!$B:$I,8,0),"")=H52,IF(AND(A52&lt;&gt;"",E52&lt;&gt;""),"Saved","Pending"),"🔒 BLOCKED — Wrong Code")))</f>
        <v>Pending</v>
      </c>
      <c r="J52" s="46" t="str">
        <f t="shared" ca="1" si="5"/>
        <v>—</v>
      </c>
      <c r="K52" s="47"/>
    </row>
    <row r="53" spans="1:11" x14ac:dyDescent="0.25">
      <c r="A53" s="32"/>
      <c r="B53" s="7" t="str">
        <f>IF(A53="","",IFERROR(VLOOKUP(A53,DB_Customers!$A:$D,4,0),"❌ Account Not Found"))</f>
        <v/>
      </c>
      <c r="C53" s="33" t="str">
        <f>IF(A53="","",IFERROR(VLOOKUP(A53,DB_Customers!$A:$N,14,0),""))</f>
        <v/>
      </c>
      <c r="D53" s="34" t="str">
        <f t="shared" ca="1" si="3"/>
        <v/>
      </c>
      <c r="E53" s="35"/>
      <c r="F53" s="36" t="str">
        <f t="shared" si="4"/>
        <v/>
      </c>
      <c r="G53" s="9"/>
      <c r="H53" s="37"/>
      <c r="I53" s="38" t="str">
        <f>IF(A53="","Pending",IF(H53="","⚠️ Enter Code",IF(IFERROR(VLOOKUP(G53,DB_Agents!$B:$I,8,0),"")=H53,IF(AND(A53&lt;&gt;"",E53&lt;&gt;""),"Saved","Pending"),"🔒 BLOCKED — Wrong Code")))</f>
        <v>Pending</v>
      </c>
      <c r="J53" s="39" t="str">
        <f t="shared" ca="1" si="5"/>
        <v>—</v>
      </c>
      <c r="K53" s="40"/>
    </row>
    <row r="54" spans="1:11" x14ac:dyDescent="0.25">
      <c r="A54" s="41"/>
      <c r="B54" s="11" t="str">
        <f>IF(A54="","",IFERROR(VLOOKUP(A54,DB_Customers!$A:$D,4,0),"❌ Account Not Found"))</f>
        <v/>
      </c>
      <c r="C54" s="42" t="str">
        <f>IF(A54="","",IFERROR(VLOOKUP(A54,DB_Customers!$A:$N,14,0),""))</f>
        <v/>
      </c>
      <c r="D54" s="43" t="str">
        <f t="shared" ca="1" si="3"/>
        <v/>
      </c>
      <c r="E54" s="35"/>
      <c r="F54" s="44" t="str">
        <f t="shared" si="4"/>
        <v/>
      </c>
      <c r="G54" s="13"/>
      <c r="H54" s="37"/>
      <c r="I54" s="45" t="str">
        <f>IF(A54="","Pending",IF(H54="","⚠️ Enter Code",IF(IFERROR(VLOOKUP(G54,DB_Agents!$B:$I,8,0),"")=H54,IF(AND(A54&lt;&gt;"",E54&lt;&gt;""),"Saved","Pending"),"🔒 BLOCKED — Wrong Code")))</f>
        <v>Pending</v>
      </c>
      <c r="J54" s="46" t="str">
        <f t="shared" ca="1" si="5"/>
        <v>—</v>
      </c>
      <c r="K54" s="47"/>
    </row>
    <row r="55" spans="1:11" x14ac:dyDescent="0.25">
      <c r="A55" s="32"/>
      <c r="B55" s="7" t="str">
        <f>IF(A55="","",IFERROR(VLOOKUP(A55,DB_Customers!$A:$D,4,0),"❌ Account Not Found"))</f>
        <v/>
      </c>
      <c r="C55" s="33" t="str">
        <f>IF(A55="","",IFERROR(VLOOKUP(A55,DB_Customers!$A:$N,14,0),""))</f>
        <v/>
      </c>
      <c r="D55" s="34" t="str">
        <f t="shared" ca="1" si="3"/>
        <v/>
      </c>
      <c r="E55" s="35"/>
      <c r="F55" s="36" t="str">
        <f t="shared" si="4"/>
        <v/>
      </c>
      <c r="G55" s="9"/>
      <c r="H55" s="37"/>
      <c r="I55" s="38" t="str">
        <f>IF(A55="","Pending",IF(H55="","⚠️ Enter Code",IF(IFERROR(VLOOKUP(G55,DB_Agents!$B:$I,8,0),"")=H55,IF(AND(A55&lt;&gt;"",E55&lt;&gt;""),"Saved","Pending"),"🔒 BLOCKED — Wrong Code")))</f>
        <v>Pending</v>
      </c>
      <c r="J55" s="39" t="str">
        <f t="shared" ca="1" si="5"/>
        <v>—</v>
      </c>
      <c r="K55" s="40"/>
    </row>
    <row r="56" spans="1:11" x14ac:dyDescent="0.25">
      <c r="A56" s="41"/>
      <c r="B56" s="11" t="str">
        <f>IF(A56="","",IFERROR(VLOOKUP(A56,DB_Customers!$A:$D,4,0),"❌ Account Not Found"))</f>
        <v/>
      </c>
      <c r="C56" s="42" t="str">
        <f>IF(A56="","",IFERROR(VLOOKUP(A56,DB_Customers!$A:$N,14,0),""))</f>
        <v/>
      </c>
      <c r="D56" s="43" t="str">
        <f t="shared" ca="1" si="3"/>
        <v/>
      </c>
      <c r="E56" s="35"/>
      <c r="F56" s="44" t="str">
        <f t="shared" si="4"/>
        <v/>
      </c>
      <c r="G56" s="13"/>
      <c r="H56" s="37"/>
      <c r="I56" s="45" t="str">
        <f>IF(A56="","Pending",IF(H56="","⚠️ Enter Code",IF(IFERROR(VLOOKUP(G56,DB_Agents!$B:$I,8,0),"")=H56,IF(AND(A56&lt;&gt;"",E56&lt;&gt;""),"Saved","Pending"),"🔒 BLOCKED — Wrong Code")))</f>
        <v>Pending</v>
      </c>
      <c r="J56" s="46" t="str">
        <f t="shared" ca="1" si="5"/>
        <v>—</v>
      </c>
      <c r="K56" s="47"/>
    </row>
    <row r="57" spans="1:11" x14ac:dyDescent="0.25">
      <c r="A57" s="32"/>
      <c r="B57" s="7" t="str">
        <f>IF(A57="","",IFERROR(VLOOKUP(A57,DB_Customers!$A:$D,4,0),"❌ Account Not Found"))</f>
        <v/>
      </c>
      <c r="C57" s="33" t="str">
        <f>IF(A57="","",IFERROR(VLOOKUP(A57,DB_Customers!$A:$N,14,0),""))</f>
        <v/>
      </c>
      <c r="D57" s="34" t="str">
        <f t="shared" ca="1" si="3"/>
        <v/>
      </c>
      <c r="E57" s="35"/>
      <c r="F57" s="36" t="str">
        <f t="shared" si="4"/>
        <v/>
      </c>
      <c r="G57" s="9"/>
      <c r="H57" s="37"/>
      <c r="I57" s="38" t="str">
        <f>IF(A57="","Pending",IF(H57="","⚠️ Enter Code",IF(IFERROR(VLOOKUP(G57,DB_Agents!$B:$I,8,0),"")=H57,IF(AND(A57&lt;&gt;"",E57&lt;&gt;""),"Saved","Pending"),"🔒 BLOCKED — Wrong Code")))</f>
        <v>Pending</v>
      </c>
      <c r="J57" s="39" t="str">
        <f t="shared" ca="1" si="5"/>
        <v>—</v>
      </c>
      <c r="K57" s="40"/>
    </row>
    <row r="58" spans="1:11" x14ac:dyDescent="0.25">
      <c r="A58" s="41"/>
      <c r="B58" s="11" t="str">
        <f>IF(A58="","",IFERROR(VLOOKUP(A58,DB_Customers!$A:$D,4,0),"❌ Account Not Found"))</f>
        <v/>
      </c>
      <c r="C58" s="42" t="str">
        <f>IF(A58="","",IFERROR(VLOOKUP(A58,DB_Customers!$A:$N,14,0),""))</f>
        <v/>
      </c>
      <c r="D58" s="43" t="str">
        <f t="shared" ca="1" si="3"/>
        <v/>
      </c>
      <c r="E58" s="35"/>
      <c r="F58" s="44" t="str">
        <f t="shared" si="4"/>
        <v/>
      </c>
      <c r="G58" s="13"/>
      <c r="H58" s="37"/>
      <c r="I58" s="45" t="str">
        <f>IF(A58="","Pending",IF(H58="","⚠️ Enter Code",IF(IFERROR(VLOOKUP(G58,DB_Agents!$B:$I,8,0),"")=H58,IF(AND(A58&lt;&gt;"",E58&lt;&gt;""),"Saved","Pending"),"🔒 BLOCKED — Wrong Code")))</f>
        <v>Pending</v>
      </c>
      <c r="J58" s="46" t="str">
        <f t="shared" ca="1" si="5"/>
        <v>—</v>
      </c>
      <c r="K58" s="47"/>
    </row>
    <row r="59" spans="1:11" x14ac:dyDescent="0.25">
      <c r="A59" s="32"/>
      <c r="B59" s="7" t="str">
        <f>IF(A59="","",IFERROR(VLOOKUP(A59,DB_Customers!$A:$D,4,0),"❌ Account Not Found"))</f>
        <v/>
      </c>
      <c r="C59" s="33" t="str">
        <f>IF(A59="","",IFERROR(VLOOKUP(A59,DB_Customers!$A:$N,14,0),""))</f>
        <v/>
      </c>
      <c r="D59" s="34" t="str">
        <f t="shared" ca="1" si="3"/>
        <v/>
      </c>
      <c r="E59" s="35"/>
      <c r="F59" s="36" t="str">
        <f t="shared" si="4"/>
        <v/>
      </c>
      <c r="G59" s="9"/>
      <c r="H59" s="37"/>
      <c r="I59" s="38" t="str">
        <f>IF(A59="","Pending",IF(H59="","⚠️ Enter Code",IF(IFERROR(VLOOKUP(G59,DB_Agents!$B:$I,8,0),"")=H59,IF(AND(A59&lt;&gt;"",E59&lt;&gt;""),"Saved","Pending"),"🔒 BLOCKED — Wrong Code")))</f>
        <v>Pending</v>
      </c>
      <c r="J59" s="39" t="str">
        <f t="shared" ca="1" si="5"/>
        <v>—</v>
      </c>
      <c r="K59" s="40"/>
    </row>
    <row r="60" spans="1:11" x14ac:dyDescent="0.25">
      <c r="A60" s="41"/>
      <c r="B60" s="11" t="str">
        <f>IF(A60="","",IFERROR(VLOOKUP(A60,DB_Customers!$A:$D,4,0),"❌ Account Not Found"))</f>
        <v/>
      </c>
      <c r="C60" s="42" t="str">
        <f>IF(A60="","",IFERROR(VLOOKUP(A60,DB_Customers!$A:$N,14,0),""))</f>
        <v/>
      </c>
      <c r="D60" s="43" t="str">
        <f t="shared" ca="1" si="3"/>
        <v/>
      </c>
      <c r="E60" s="35"/>
      <c r="F60" s="44" t="str">
        <f t="shared" si="4"/>
        <v/>
      </c>
      <c r="G60" s="13"/>
      <c r="H60" s="37"/>
      <c r="I60" s="45" t="str">
        <f>IF(A60="","Pending",IF(H60="","⚠️ Enter Code",IF(IFERROR(VLOOKUP(G60,DB_Agents!$B:$I,8,0),"")=H60,IF(AND(A60&lt;&gt;"",E60&lt;&gt;""),"Saved","Pending"),"🔒 BLOCKED — Wrong Code")))</f>
        <v>Pending</v>
      </c>
      <c r="J60" s="46" t="str">
        <f t="shared" ca="1" si="5"/>
        <v>—</v>
      </c>
      <c r="K60" s="47"/>
    </row>
    <row r="61" spans="1:11" x14ac:dyDescent="0.25">
      <c r="A61" s="32"/>
      <c r="B61" s="7" t="str">
        <f>IF(A61="","",IFERROR(VLOOKUP(A61,DB_Customers!$A:$D,4,0),"❌ Account Not Found"))</f>
        <v/>
      </c>
      <c r="C61" s="33" t="str">
        <f>IF(A61="","",IFERROR(VLOOKUP(A61,DB_Customers!$A:$N,14,0),""))</f>
        <v/>
      </c>
      <c r="D61" s="34" t="str">
        <f t="shared" ca="1" si="3"/>
        <v/>
      </c>
      <c r="E61" s="35"/>
      <c r="F61" s="36" t="str">
        <f t="shared" si="4"/>
        <v/>
      </c>
      <c r="G61" s="9"/>
      <c r="H61" s="37"/>
      <c r="I61" s="38" t="str">
        <f>IF(A61="","Pending",IF(H61="","⚠️ Enter Code",IF(IFERROR(VLOOKUP(G61,DB_Agents!$B:$I,8,0),"")=H61,IF(AND(A61&lt;&gt;"",E61&lt;&gt;""),"Saved","Pending"),"🔒 BLOCKED — Wrong Code")))</f>
        <v>Pending</v>
      </c>
      <c r="J61" s="39" t="str">
        <f t="shared" ca="1" si="5"/>
        <v>—</v>
      </c>
      <c r="K61" s="40"/>
    </row>
    <row r="62" spans="1:11" x14ac:dyDescent="0.25">
      <c r="A62" s="41"/>
      <c r="B62" s="11" t="str">
        <f>IF(A62="","",IFERROR(VLOOKUP(A62,DB_Customers!$A:$D,4,0),"❌ Account Not Found"))</f>
        <v/>
      </c>
      <c r="C62" s="42" t="str">
        <f>IF(A62="","",IFERROR(VLOOKUP(A62,DB_Customers!$A:$N,14,0),""))</f>
        <v/>
      </c>
      <c r="D62" s="43" t="str">
        <f t="shared" ca="1" si="3"/>
        <v/>
      </c>
      <c r="E62" s="35"/>
      <c r="F62" s="44" t="str">
        <f t="shared" si="4"/>
        <v/>
      </c>
      <c r="G62" s="13"/>
      <c r="H62" s="37"/>
      <c r="I62" s="45" t="str">
        <f>IF(A62="","Pending",IF(H62="","⚠️ Enter Code",IF(IFERROR(VLOOKUP(G62,DB_Agents!$B:$I,8,0),"")=H62,IF(AND(A62&lt;&gt;"",E62&lt;&gt;""),"Saved","Pending"),"🔒 BLOCKED — Wrong Code")))</f>
        <v>Pending</v>
      </c>
      <c r="J62" s="46" t="str">
        <f t="shared" ca="1" si="5"/>
        <v>—</v>
      </c>
      <c r="K62" s="47"/>
    </row>
    <row r="63" spans="1:11" x14ac:dyDescent="0.25">
      <c r="A63" s="32"/>
      <c r="B63" s="7" t="str">
        <f>IF(A63="","",IFERROR(VLOOKUP(A63,DB_Customers!$A:$D,4,0),"❌ Account Not Found"))</f>
        <v/>
      </c>
      <c r="C63" s="33" t="str">
        <f>IF(A63="","",IFERROR(VLOOKUP(A63,DB_Customers!$A:$N,14,0),""))</f>
        <v/>
      </c>
      <c r="D63" s="34" t="str">
        <f t="shared" ca="1" si="3"/>
        <v/>
      </c>
      <c r="E63" s="35"/>
      <c r="F63" s="36" t="str">
        <f t="shared" si="4"/>
        <v/>
      </c>
      <c r="G63" s="9"/>
      <c r="H63" s="37"/>
      <c r="I63" s="38" t="str">
        <f>IF(A63="","Pending",IF(H63="","⚠️ Enter Code",IF(IFERROR(VLOOKUP(G63,DB_Agents!$B:$I,8,0),"")=H63,IF(AND(A63&lt;&gt;"",E63&lt;&gt;""),"Saved","Pending"),"🔒 BLOCKED — Wrong Code")))</f>
        <v>Pending</v>
      </c>
      <c r="J63" s="39" t="str">
        <f t="shared" ca="1" si="5"/>
        <v>—</v>
      </c>
      <c r="K63" s="40"/>
    </row>
    <row r="64" spans="1:11" x14ac:dyDescent="0.25">
      <c r="A64" s="41"/>
      <c r="B64" s="11" t="str">
        <f>IF(A64="","",IFERROR(VLOOKUP(A64,DB_Customers!$A:$D,4,0),"❌ Account Not Found"))</f>
        <v/>
      </c>
      <c r="C64" s="42" t="str">
        <f>IF(A64="","",IFERROR(VLOOKUP(A64,DB_Customers!$A:$N,14,0),""))</f>
        <v/>
      </c>
      <c r="D64" s="43" t="str">
        <f t="shared" ca="1" si="3"/>
        <v/>
      </c>
      <c r="E64" s="35"/>
      <c r="F64" s="44" t="str">
        <f t="shared" si="4"/>
        <v/>
      </c>
      <c r="G64" s="13"/>
      <c r="H64" s="37"/>
      <c r="I64" s="45" t="str">
        <f>IF(A64="","Pending",IF(H64="","⚠️ Enter Code",IF(IFERROR(VLOOKUP(G64,DB_Agents!$B:$I,8,0),"")=H64,IF(AND(A64&lt;&gt;"",E64&lt;&gt;""),"Saved","Pending"),"🔒 BLOCKED — Wrong Code")))</f>
        <v>Pending</v>
      </c>
      <c r="J64" s="46" t="str">
        <f t="shared" ca="1" si="5"/>
        <v>—</v>
      </c>
      <c r="K64" s="47"/>
    </row>
    <row r="65" spans="1:11" x14ac:dyDescent="0.25">
      <c r="A65" s="32"/>
      <c r="B65" s="7" t="str">
        <f>IF(A65="","",IFERROR(VLOOKUP(A65,DB_Customers!$A:$D,4,0),"❌ Account Not Found"))</f>
        <v/>
      </c>
      <c r="C65" s="33" t="str">
        <f>IF(A65="","",IFERROR(VLOOKUP(A65,DB_Customers!$A:$N,14,0),""))</f>
        <v/>
      </c>
      <c r="D65" s="34" t="str">
        <f t="shared" ca="1" si="3"/>
        <v/>
      </c>
      <c r="E65" s="35"/>
      <c r="F65" s="36" t="str">
        <f t="shared" si="4"/>
        <v/>
      </c>
      <c r="G65" s="9"/>
      <c r="H65" s="37"/>
      <c r="I65" s="38" t="str">
        <f>IF(A65="","Pending",IF(H65="","⚠️ Enter Code",IF(IFERROR(VLOOKUP(G65,DB_Agents!$B:$I,8,0),"")=H65,IF(AND(A65&lt;&gt;"",E65&lt;&gt;""),"Saved","Pending"),"🔒 BLOCKED — Wrong Code")))</f>
        <v>Pending</v>
      </c>
      <c r="J65" s="39" t="str">
        <f t="shared" ca="1" si="5"/>
        <v>—</v>
      </c>
      <c r="K65" s="40"/>
    </row>
    <row r="66" spans="1:11" x14ac:dyDescent="0.25">
      <c r="A66" s="41"/>
      <c r="B66" s="11" t="str">
        <f>IF(A66="","",IFERROR(VLOOKUP(A66,DB_Customers!$A:$D,4,0),"❌ Account Not Found"))</f>
        <v/>
      </c>
      <c r="C66" s="42" t="str">
        <f>IF(A66="","",IFERROR(VLOOKUP(A66,DB_Customers!$A:$N,14,0),""))</f>
        <v/>
      </c>
      <c r="D66" s="43" t="str">
        <f t="shared" ca="1" si="3"/>
        <v/>
      </c>
      <c r="E66" s="35"/>
      <c r="F66" s="44" t="str">
        <f t="shared" si="4"/>
        <v/>
      </c>
      <c r="G66" s="13"/>
      <c r="H66" s="37"/>
      <c r="I66" s="45" t="str">
        <f>IF(A66="","Pending",IF(H66="","⚠️ Enter Code",IF(IFERROR(VLOOKUP(G66,DB_Agents!$B:$I,8,0),"")=H66,IF(AND(A66&lt;&gt;"",E66&lt;&gt;""),"Saved","Pending"),"🔒 BLOCKED — Wrong Code")))</f>
        <v>Pending</v>
      </c>
      <c r="J66" s="46" t="str">
        <f t="shared" ca="1" si="5"/>
        <v>—</v>
      </c>
      <c r="K66" s="47"/>
    </row>
    <row r="67" spans="1:11" x14ac:dyDescent="0.25">
      <c r="A67" s="32"/>
      <c r="B67" s="7" t="str">
        <f>IF(A67="","",IFERROR(VLOOKUP(A67,DB_Customers!$A:$D,4,0),"❌ Account Not Found"))</f>
        <v/>
      </c>
      <c r="C67" s="33" t="str">
        <f>IF(A67="","",IFERROR(VLOOKUP(A67,DB_Customers!$A:$N,14,0),""))</f>
        <v/>
      </c>
      <c r="D67" s="34" t="str">
        <f t="shared" ca="1" si="3"/>
        <v/>
      </c>
      <c r="E67" s="35"/>
      <c r="F67" s="36" t="str">
        <f t="shared" si="4"/>
        <v/>
      </c>
      <c r="G67" s="9"/>
      <c r="H67" s="37"/>
      <c r="I67" s="38" t="str">
        <f>IF(A67="","Pending",IF(H67="","⚠️ Enter Code",IF(IFERROR(VLOOKUP(G67,DB_Agents!$B:$I,8,0),"")=H67,IF(AND(A67&lt;&gt;"",E67&lt;&gt;""),"Saved","Pending"),"🔒 BLOCKED — Wrong Code")))</f>
        <v>Pending</v>
      </c>
      <c r="J67" s="39" t="str">
        <f t="shared" ca="1" si="5"/>
        <v>—</v>
      </c>
      <c r="K67" s="40"/>
    </row>
    <row r="68" spans="1:11" x14ac:dyDescent="0.25">
      <c r="A68" s="41"/>
      <c r="B68" s="11" t="str">
        <f>IF(A68="","",IFERROR(VLOOKUP(A68,DB_Customers!$A:$D,4,0),"❌ Account Not Found"))</f>
        <v/>
      </c>
      <c r="C68" s="42" t="str">
        <f>IF(A68="","",IFERROR(VLOOKUP(A68,DB_Customers!$A:$N,14,0),""))</f>
        <v/>
      </c>
      <c r="D68" s="43" t="str">
        <f t="shared" ca="1" si="3"/>
        <v/>
      </c>
      <c r="E68" s="35"/>
      <c r="F68" s="44" t="str">
        <f t="shared" si="4"/>
        <v/>
      </c>
      <c r="G68" s="13"/>
      <c r="H68" s="37"/>
      <c r="I68" s="45" t="str">
        <f>IF(A68="","Pending",IF(H68="","⚠️ Enter Code",IF(IFERROR(VLOOKUP(G68,DB_Agents!$B:$I,8,0),"")=H68,IF(AND(A68&lt;&gt;"",E68&lt;&gt;""),"Saved","Pending"),"🔒 BLOCKED — Wrong Code")))</f>
        <v>Pending</v>
      </c>
      <c r="J68" s="46" t="str">
        <f t="shared" ca="1" si="5"/>
        <v>—</v>
      </c>
      <c r="K68" s="47"/>
    </row>
    <row r="69" spans="1:11" x14ac:dyDescent="0.25">
      <c r="A69" s="32"/>
      <c r="B69" s="7" t="str">
        <f>IF(A69="","",IFERROR(VLOOKUP(A69,DB_Customers!$A:$D,4,0),"❌ Account Not Found"))</f>
        <v/>
      </c>
      <c r="C69" s="33" t="str">
        <f>IF(A69="","",IFERROR(VLOOKUP(A69,DB_Customers!$A:$N,14,0),""))</f>
        <v/>
      </c>
      <c r="D69" s="34" t="str">
        <f t="shared" ca="1" si="3"/>
        <v/>
      </c>
      <c r="E69" s="35"/>
      <c r="F69" s="36" t="str">
        <f t="shared" si="4"/>
        <v/>
      </c>
      <c r="G69" s="9"/>
      <c r="H69" s="37"/>
      <c r="I69" s="38" t="str">
        <f>IF(A69="","Pending",IF(H69="","⚠️ Enter Code",IF(IFERROR(VLOOKUP(G69,DB_Agents!$B:$I,8,0),"")=H69,IF(AND(A69&lt;&gt;"",E69&lt;&gt;""),"Saved","Pending"),"🔒 BLOCKED — Wrong Code")))</f>
        <v>Pending</v>
      </c>
      <c r="J69" s="39" t="str">
        <f t="shared" ca="1" si="5"/>
        <v>—</v>
      </c>
      <c r="K69" s="40"/>
    </row>
    <row r="70" spans="1:11" x14ac:dyDescent="0.25">
      <c r="A70" s="41"/>
      <c r="B70" s="11" t="str">
        <f>IF(A70="","",IFERROR(VLOOKUP(A70,DB_Customers!$A:$D,4,0),"❌ Account Not Found"))</f>
        <v/>
      </c>
      <c r="C70" s="42" t="str">
        <f>IF(A70="","",IFERROR(VLOOKUP(A70,DB_Customers!$A:$N,14,0),""))</f>
        <v/>
      </c>
      <c r="D70" s="43" t="str">
        <f t="shared" ca="1" si="3"/>
        <v/>
      </c>
      <c r="E70" s="35"/>
      <c r="F70" s="44" t="str">
        <f t="shared" si="4"/>
        <v/>
      </c>
      <c r="G70" s="13"/>
      <c r="H70" s="37"/>
      <c r="I70" s="45" t="str">
        <f>IF(A70="","Pending",IF(H70="","⚠️ Enter Code",IF(IFERROR(VLOOKUP(G70,DB_Agents!$B:$I,8,0),"")=H70,IF(AND(A70&lt;&gt;"",E70&lt;&gt;""),"Saved","Pending"),"🔒 BLOCKED — Wrong Code")))</f>
        <v>Pending</v>
      </c>
      <c r="J70" s="46" t="str">
        <f t="shared" ca="1" si="5"/>
        <v>—</v>
      </c>
      <c r="K70" s="47"/>
    </row>
    <row r="71" spans="1:11" x14ac:dyDescent="0.25">
      <c r="A71" s="32"/>
      <c r="B71" s="7" t="str">
        <f>IF(A71="","",IFERROR(VLOOKUP(A71,DB_Customers!$A:$D,4,0),"❌ Account Not Found"))</f>
        <v/>
      </c>
      <c r="C71" s="33" t="str">
        <f>IF(A71="","",IFERROR(VLOOKUP(A71,DB_Customers!$A:$N,14,0),""))</f>
        <v/>
      </c>
      <c r="D71" s="34" t="str">
        <f t="shared" ca="1" si="3"/>
        <v/>
      </c>
      <c r="E71" s="35"/>
      <c r="F71" s="36" t="str">
        <f t="shared" si="4"/>
        <v/>
      </c>
      <c r="G71" s="9"/>
      <c r="H71" s="37"/>
      <c r="I71" s="38" t="str">
        <f>IF(A71="","Pending",IF(H71="","⚠️ Enter Code",IF(IFERROR(VLOOKUP(G71,DB_Agents!$B:$I,8,0),"")=H71,IF(AND(A71&lt;&gt;"",E71&lt;&gt;""),"Saved","Pending"),"🔒 BLOCKED — Wrong Code")))</f>
        <v>Pending</v>
      </c>
      <c r="J71" s="39" t="str">
        <f t="shared" ca="1" si="5"/>
        <v>—</v>
      </c>
      <c r="K71" s="40"/>
    </row>
    <row r="72" spans="1:11" x14ac:dyDescent="0.25">
      <c r="A72" s="41"/>
      <c r="B72" s="11" t="str">
        <f>IF(A72="","",IFERROR(VLOOKUP(A72,DB_Customers!$A:$D,4,0),"❌ Account Not Found"))</f>
        <v/>
      </c>
      <c r="C72" s="42" t="str">
        <f>IF(A72="","",IFERROR(VLOOKUP(A72,DB_Customers!$A:$N,14,0),""))</f>
        <v/>
      </c>
      <c r="D72" s="43" t="str">
        <f t="shared" ca="1" si="3"/>
        <v/>
      </c>
      <c r="E72" s="35"/>
      <c r="F72" s="44" t="str">
        <f t="shared" si="4"/>
        <v/>
      </c>
      <c r="G72" s="13"/>
      <c r="H72" s="37"/>
      <c r="I72" s="45" t="str">
        <f>IF(A72="","Pending",IF(H72="","⚠️ Enter Code",IF(IFERROR(VLOOKUP(G72,DB_Agents!$B:$I,8,0),"")=H72,IF(AND(A72&lt;&gt;"",E72&lt;&gt;""),"Saved","Pending"),"🔒 BLOCKED — Wrong Code")))</f>
        <v>Pending</v>
      </c>
      <c r="J72" s="46" t="str">
        <f t="shared" ca="1" si="5"/>
        <v>—</v>
      </c>
      <c r="K72" s="47"/>
    </row>
    <row r="73" spans="1:11" x14ac:dyDescent="0.25">
      <c r="A73" s="32"/>
      <c r="B73" s="7" t="str">
        <f>IF(A73="","",IFERROR(VLOOKUP(A73,DB_Customers!$A:$D,4,0),"❌ Account Not Found"))</f>
        <v/>
      </c>
      <c r="C73" s="33" t="str">
        <f>IF(A73="","",IFERROR(VLOOKUP(A73,DB_Customers!$A:$N,14,0),""))</f>
        <v/>
      </c>
      <c r="D73" s="34" t="str">
        <f t="shared" ref="D73:D104" ca="1" si="6">IF(A73="","",TODAY())</f>
        <v/>
      </c>
      <c r="E73" s="35"/>
      <c r="F73" s="36" t="str">
        <f t="shared" ref="F73:F104" si="7">IF(OR(A73="",E73=""),"",IF(C73="","",C73+E73))</f>
        <v/>
      </c>
      <c r="G73" s="9"/>
      <c r="H73" s="37"/>
      <c r="I73" s="38" t="str">
        <f>IF(A73="","Pending",IF(H73="","⚠️ Enter Code",IF(IFERROR(VLOOKUP(G73,DB_Agents!$B:$I,8,0),"")=H73,IF(AND(A73&lt;&gt;"",E73&lt;&gt;""),"Saved","Pending"),"🔒 BLOCKED — Wrong Code")))</f>
        <v>Pending</v>
      </c>
      <c r="J73" s="39" t="str">
        <f t="shared" ref="J73:J104" ca="1" si="8">IF(I73="Saved",TEXT(TODAY(),"YYYY-MM-DD")&amp;" Auto","—")</f>
        <v>—</v>
      </c>
      <c r="K73" s="40"/>
    </row>
    <row r="74" spans="1:11" x14ac:dyDescent="0.25">
      <c r="A74" s="41"/>
      <c r="B74" s="11" t="str">
        <f>IF(A74="","",IFERROR(VLOOKUP(A74,DB_Customers!$A:$D,4,0),"❌ Account Not Found"))</f>
        <v/>
      </c>
      <c r="C74" s="42" t="str">
        <f>IF(A74="","",IFERROR(VLOOKUP(A74,DB_Customers!$A:$N,14,0),""))</f>
        <v/>
      </c>
      <c r="D74" s="43" t="str">
        <f t="shared" ca="1" si="6"/>
        <v/>
      </c>
      <c r="E74" s="35"/>
      <c r="F74" s="44" t="str">
        <f t="shared" si="7"/>
        <v/>
      </c>
      <c r="G74" s="13"/>
      <c r="H74" s="37"/>
      <c r="I74" s="45" t="str">
        <f>IF(A74="","Pending",IF(H74="","⚠️ Enter Code",IF(IFERROR(VLOOKUP(G74,DB_Agents!$B:$I,8,0),"")=H74,IF(AND(A74&lt;&gt;"",E74&lt;&gt;""),"Saved","Pending"),"🔒 BLOCKED — Wrong Code")))</f>
        <v>Pending</v>
      </c>
      <c r="J74" s="46" t="str">
        <f t="shared" ca="1" si="8"/>
        <v>—</v>
      </c>
      <c r="K74" s="47"/>
    </row>
    <row r="75" spans="1:11" x14ac:dyDescent="0.25">
      <c r="A75" s="32"/>
      <c r="B75" s="7" t="str">
        <f>IF(A75="","",IFERROR(VLOOKUP(A75,DB_Customers!$A:$D,4,0),"❌ Account Not Found"))</f>
        <v/>
      </c>
      <c r="C75" s="33" t="str">
        <f>IF(A75="","",IFERROR(VLOOKUP(A75,DB_Customers!$A:$N,14,0),""))</f>
        <v/>
      </c>
      <c r="D75" s="34" t="str">
        <f t="shared" ca="1" si="6"/>
        <v/>
      </c>
      <c r="E75" s="35"/>
      <c r="F75" s="36" t="str">
        <f t="shared" si="7"/>
        <v/>
      </c>
      <c r="G75" s="9"/>
      <c r="H75" s="37"/>
      <c r="I75" s="38" t="str">
        <f>IF(A75="","Pending",IF(H75="","⚠️ Enter Code",IF(IFERROR(VLOOKUP(G75,DB_Agents!$B:$I,8,0),"")=H75,IF(AND(A75&lt;&gt;"",E75&lt;&gt;""),"Saved","Pending"),"🔒 BLOCKED — Wrong Code")))</f>
        <v>Pending</v>
      </c>
      <c r="J75" s="39" t="str">
        <f t="shared" ca="1" si="8"/>
        <v>—</v>
      </c>
      <c r="K75" s="40"/>
    </row>
    <row r="76" spans="1:11" x14ac:dyDescent="0.25">
      <c r="A76" s="41"/>
      <c r="B76" s="11" t="str">
        <f>IF(A76="","",IFERROR(VLOOKUP(A76,DB_Customers!$A:$D,4,0),"❌ Account Not Found"))</f>
        <v/>
      </c>
      <c r="C76" s="42" t="str">
        <f>IF(A76="","",IFERROR(VLOOKUP(A76,DB_Customers!$A:$N,14,0),""))</f>
        <v/>
      </c>
      <c r="D76" s="43" t="str">
        <f t="shared" ca="1" si="6"/>
        <v/>
      </c>
      <c r="E76" s="35"/>
      <c r="F76" s="44" t="str">
        <f t="shared" si="7"/>
        <v/>
      </c>
      <c r="G76" s="13"/>
      <c r="H76" s="37"/>
      <c r="I76" s="45" t="str">
        <f>IF(A76="","Pending",IF(H76="","⚠️ Enter Code",IF(IFERROR(VLOOKUP(G76,DB_Agents!$B:$I,8,0),"")=H76,IF(AND(A76&lt;&gt;"",E76&lt;&gt;""),"Saved","Pending"),"🔒 BLOCKED — Wrong Code")))</f>
        <v>Pending</v>
      </c>
      <c r="J76" s="46" t="str">
        <f t="shared" ca="1" si="8"/>
        <v>—</v>
      </c>
      <c r="K76" s="47"/>
    </row>
    <row r="77" spans="1:11" x14ac:dyDescent="0.25">
      <c r="A77" s="32"/>
      <c r="B77" s="7" t="str">
        <f>IF(A77="","",IFERROR(VLOOKUP(A77,DB_Customers!$A:$D,4,0),"❌ Account Not Found"))</f>
        <v/>
      </c>
      <c r="C77" s="33" t="str">
        <f>IF(A77="","",IFERROR(VLOOKUP(A77,DB_Customers!$A:$N,14,0),""))</f>
        <v/>
      </c>
      <c r="D77" s="34" t="str">
        <f t="shared" ca="1" si="6"/>
        <v/>
      </c>
      <c r="E77" s="35"/>
      <c r="F77" s="36" t="str">
        <f t="shared" si="7"/>
        <v/>
      </c>
      <c r="G77" s="9"/>
      <c r="H77" s="37"/>
      <c r="I77" s="38" t="str">
        <f>IF(A77="","Pending",IF(H77="","⚠️ Enter Code",IF(IFERROR(VLOOKUP(G77,DB_Agents!$B:$I,8,0),"")=H77,IF(AND(A77&lt;&gt;"",E77&lt;&gt;""),"Saved","Pending"),"🔒 BLOCKED — Wrong Code")))</f>
        <v>Pending</v>
      </c>
      <c r="J77" s="39" t="str">
        <f t="shared" ca="1" si="8"/>
        <v>—</v>
      </c>
      <c r="K77" s="40"/>
    </row>
    <row r="78" spans="1:11" x14ac:dyDescent="0.25">
      <c r="A78" s="41"/>
      <c r="B78" s="11" t="str">
        <f>IF(A78="","",IFERROR(VLOOKUP(A78,DB_Customers!$A:$D,4,0),"❌ Account Not Found"))</f>
        <v/>
      </c>
      <c r="C78" s="42" t="str">
        <f>IF(A78="","",IFERROR(VLOOKUP(A78,DB_Customers!$A:$N,14,0),""))</f>
        <v/>
      </c>
      <c r="D78" s="43" t="str">
        <f t="shared" ca="1" si="6"/>
        <v/>
      </c>
      <c r="E78" s="35"/>
      <c r="F78" s="44" t="str">
        <f t="shared" si="7"/>
        <v/>
      </c>
      <c r="G78" s="13"/>
      <c r="H78" s="37"/>
      <c r="I78" s="45" t="str">
        <f>IF(A78="","Pending",IF(H78="","⚠️ Enter Code",IF(IFERROR(VLOOKUP(G78,DB_Agents!$B:$I,8,0),"")=H78,IF(AND(A78&lt;&gt;"",E78&lt;&gt;""),"Saved","Pending"),"🔒 BLOCKED — Wrong Code")))</f>
        <v>Pending</v>
      </c>
      <c r="J78" s="46" t="str">
        <f t="shared" ca="1" si="8"/>
        <v>—</v>
      </c>
      <c r="K78" s="47"/>
    </row>
    <row r="79" spans="1:11" x14ac:dyDescent="0.25">
      <c r="A79" s="32"/>
      <c r="B79" s="7" t="str">
        <f>IF(A79="","",IFERROR(VLOOKUP(A79,DB_Customers!$A:$D,4,0),"❌ Account Not Found"))</f>
        <v/>
      </c>
      <c r="C79" s="33" t="str">
        <f>IF(A79="","",IFERROR(VLOOKUP(A79,DB_Customers!$A:$N,14,0),""))</f>
        <v/>
      </c>
      <c r="D79" s="34" t="str">
        <f t="shared" ca="1" si="6"/>
        <v/>
      </c>
      <c r="E79" s="35"/>
      <c r="F79" s="36" t="str">
        <f t="shared" si="7"/>
        <v/>
      </c>
      <c r="G79" s="9"/>
      <c r="H79" s="37"/>
      <c r="I79" s="38" t="str">
        <f>IF(A79="","Pending",IF(H79="","⚠️ Enter Code",IF(IFERROR(VLOOKUP(G79,DB_Agents!$B:$I,8,0),"")=H79,IF(AND(A79&lt;&gt;"",E79&lt;&gt;""),"Saved","Pending"),"🔒 BLOCKED — Wrong Code")))</f>
        <v>Pending</v>
      </c>
      <c r="J79" s="39" t="str">
        <f t="shared" ca="1" si="8"/>
        <v>—</v>
      </c>
      <c r="K79" s="40"/>
    </row>
    <row r="80" spans="1:11" x14ac:dyDescent="0.25">
      <c r="A80" s="41"/>
      <c r="B80" s="11" t="str">
        <f>IF(A80="","",IFERROR(VLOOKUP(A80,DB_Customers!$A:$D,4,0),"❌ Account Not Found"))</f>
        <v/>
      </c>
      <c r="C80" s="42" t="str">
        <f>IF(A80="","",IFERROR(VLOOKUP(A80,DB_Customers!$A:$N,14,0),""))</f>
        <v/>
      </c>
      <c r="D80" s="43" t="str">
        <f t="shared" ca="1" si="6"/>
        <v/>
      </c>
      <c r="E80" s="35"/>
      <c r="F80" s="44" t="str">
        <f t="shared" si="7"/>
        <v/>
      </c>
      <c r="G80" s="13"/>
      <c r="H80" s="37"/>
      <c r="I80" s="45" t="str">
        <f>IF(A80="","Pending",IF(H80="","⚠️ Enter Code",IF(IFERROR(VLOOKUP(G80,DB_Agents!$B:$I,8,0),"")=H80,IF(AND(A80&lt;&gt;"",E80&lt;&gt;""),"Saved","Pending"),"🔒 BLOCKED — Wrong Code")))</f>
        <v>Pending</v>
      </c>
      <c r="J80" s="46" t="str">
        <f t="shared" ca="1" si="8"/>
        <v>—</v>
      </c>
      <c r="K80" s="47"/>
    </row>
    <row r="81" spans="1:11" x14ac:dyDescent="0.25">
      <c r="A81" s="32"/>
      <c r="B81" s="7" t="str">
        <f>IF(A81="","",IFERROR(VLOOKUP(A81,DB_Customers!$A:$D,4,0),"❌ Account Not Found"))</f>
        <v/>
      </c>
      <c r="C81" s="33" t="str">
        <f>IF(A81="","",IFERROR(VLOOKUP(A81,DB_Customers!$A:$N,14,0),""))</f>
        <v/>
      </c>
      <c r="D81" s="34" t="str">
        <f t="shared" ca="1" si="6"/>
        <v/>
      </c>
      <c r="E81" s="35"/>
      <c r="F81" s="36" t="str">
        <f t="shared" si="7"/>
        <v/>
      </c>
      <c r="G81" s="9"/>
      <c r="H81" s="37"/>
      <c r="I81" s="38" t="str">
        <f>IF(A81="","Pending",IF(H81="","⚠️ Enter Code",IF(IFERROR(VLOOKUP(G81,DB_Agents!$B:$I,8,0),"")=H81,IF(AND(A81&lt;&gt;"",E81&lt;&gt;""),"Saved","Pending"),"🔒 BLOCKED — Wrong Code")))</f>
        <v>Pending</v>
      </c>
      <c r="J81" s="39" t="str">
        <f t="shared" ca="1" si="8"/>
        <v>—</v>
      </c>
      <c r="K81" s="40"/>
    </row>
    <row r="82" spans="1:11" x14ac:dyDescent="0.25">
      <c r="A82" s="41"/>
      <c r="B82" s="11" t="str">
        <f>IF(A82="","",IFERROR(VLOOKUP(A82,DB_Customers!$A:$D,4,0),"❌ Account Not Found"))</f>
        <v/>
      </c>
      <c r="C82" s="42" t="str">
        <f>IF(A82="","",IFERROR(VLOOKUP(A82,DB_Customers!$A:$N,14,0),""))</f>
        <v/>
      </c>
      <c r="D82" s="43" t="str">
        <f t="shared" ca="1" si="6"/>
        <v/>
      </c>
      <c r="E82" s="35"/>
      <c r="F82" s="44" t="str">
        <f t="shared" si="7"/>
        <v/>
      </c>
      <c r="G82" s="13"/>
      <c r="H82" s="37"/>
      <c r="I82" s="45" t="str">
        <f>IF(A82="","Pending",IF(H82="","⚠️ Enter Code",IF(IFERROR(VLOOKUP(G82,DB_Agents!$B:$I,8,0),"")=H82,IF(AND(A82&lt;&gt;"",E82&lt;&gt;""),"Saved","Pending"),"🔒 BLOCKED — Wrong Code")))</f>
        <v>Pending</v>
      </c>
      <c r="J82" s="46" t="str">
        <f t="shared" ca="1" si="8"/>
        <v>—</v>
      </c>
      <c r="K82" s="47"/>
    </row>
    <row r="83" spans="1:11" x14ac:dyDescent="0.25">
      <c r="A83" s="32"/>
      <c r="B83" s="7" t="str">
        <f>IF(A83="","",IFERROR(VLOOKUP(A83,DB_Customers!$A:$D,4,0),"❌ Account Not Found"))</f>
        <v/>
      </c>
      <c r="C83" s="33" t="str">
        <f>IF(A83="","",IFERROR(VLOOKUP(A83,DB_Customers!$A:$N,14,0),""))</f>
        <v/>
      </c>
      <c r="D83" s="34" t="str">
        <f t="shared" ca="1" si="6"/>
        <v/>
      </c>
      <c r="E83" s="35"/>
      <c r="F83" s="36" t="str">
        <f t="shared" si="7"/>
        <v/>
      </c>
      <c r="G83" s="9"/>
      <c r="H83" s="37"/>
      <c r="I83" s="38" t="str">
        <f>IF(A83="","Pending",IF(H83="","⚠️ Enter Code",IF(IFERROR(VLOOKUP(G83,DB_Agents!$B:$I,8,0),"")=H83,IF(AND(A83&lt;&gt;"",E83&lt;&gt;""),"Saved","Pending"),"🔒 BLOCKED — Wrong Code")))</f>
        <v>Pending</v>
      </c>
      <c r="J83" s="39" t="str">
        <f t="shared" ca="1" si="8"/>
        <v>—</v>
      </c>
      <c r="K83" s="40"/>
    </row>
    <row r="84" spans="1:11" x14ac:dyDescent="0.25">
      <c r="A84" s="41"/>
      <c r="B84" s="11" t="str">
        <f>IF(A84="","",IFERROR(VLOOKUP(A84,DB_Customers!$A:$D,4,0),"❌ Account Not Found"))</f>
        <v/>
      </c>
      <c r="C84" s="42" t="str">
        <f>IF(A84="","",IFERROR(VLOOKUP(A84,DB_Customers!$A:$N,14,0),""))</f>
        <v/>
      </c>
      <c r="D84" s="43" t="str">
        <f t="shared" ca="1" si="6"/>
        <v/>
      </c>
      <c r="E84" s="35"/>
      <c r="F84" s="44" t="str">
        <f t="shared" si="7"/>
        <v/>
      </c>
      <c r="G84" s="13"/>
      <c r="H84" s="37"/>
      <c r="I84" s="45" t="str">
        <f>IF(A84="","Pending",IF(H84="","⚠️ Enter Code",IF(IFERROR(VLOOKUP(G84,DB_Agents!$B:$I,8,0),"")=H84,IF(AND(A84&lt;&gt;"",E84&lt;&gt;""),"Saved","Pending"),"🔒 BLOCKED — Wrong Code")))</f>
        <v>Pending</v>
      </c>
      <c r="J84" s="46" t="str">
        <f t="shared" ca="1" si="8"/>
        <v>—</v>
      </c>
      <c r="K84" s="47"/>
    </row>
    <row r="85" spans="1:11" x14ac:dyDescent="0.25">
      <c r="A85" s="32"/>
      <c r="B85" s="7" t="str">
        <f>IF(A85="","",IFERROR(VLOOKUP(A85,DB_Customers!$A:$D,4,0),"❌ Account Not Found"))</f>
        <v/>
      </c>
      <c r="C85" s="33" t="str">
        <f>IF(A85="","",IFERROR(VLOOKUP(A85,DB_Customers!$A:$N,14,0),""))</f>
        <v/>
      </c>
      <c r="D85" s="34" t="str">
        <f t="shared" ca="1" si="6"/>
        <v/>
      </c>
      <c r="E85" s="35"/>
      <c r="F85" s="36" t="str">
        <f t="shared" si="7"/>
        <v/>
      </c>
      <c r="G85" s="9"/>
      <c r="H85" s="37"/>
      <c r="I85" s="38" t="str">
        <f>IF(A85="","Pending",IF(H85="","⚠️ Enter Code",IF(IFERROR(VLOOKUP(G85,DB_Agents!$B:$I,8,0),"")=H85,IF(AND(A85&lt;&gt;"",E85&lt;&gt;""),"Saved","Pending"),"🔒 BLOCKED — Wrong Code")))</f>
        <v>Pending</v>
      </c>
      <c r="J85" s="39" t="str">
        <f t="shared" ca="1" si="8"/>
        <v>—</v>
      </c>
      <c r="K85" s="40"/>
    </row>
    <row r="86" spans="1:11" x14ac:dyDescent="0.25">
      <c r="A86" s="41"/>
      <c r="B86" s="11" t="str">
        <f>IF(A86="","",IFERROR(VLOOKUP(A86,DB_Customers!$A:$D,4,0),"❌ Account Not Found"))</f>
        <v/>
      </c>
      <c r="C86" s="42" t="str">
        <f>IF(A86="","",IFERROR(VLOOKUP(A86,DB_Customers!$A:$N,14,0),""))</f>
        <v/>
      </c>
      <c r="D86" s="43" t="str">
        <f t="shared" ca="1" si="6"/>
        <v/>
      </c>
      <c r="E86" s="35"/>
      <c r="F86" s="44" t="str">
        <f t="shared" si="7"/>
        <v/>
      </c>
      <c r="G86" s="13"/>
      <c r="H86" s="37"/>
      <c r="I86" s="45" t="str">
        <f>IF(A86="","Pending",IF(H86="","⚠️ Enter Code",IF(IFERROR(VLOOKUP(G86,DB_Agents!$B:$I,8,0),"")=H86,IF(AND(A86&lt;&gt;"",E86&lt;&gt;""),"Saved","Pending"),"🔒 BLOCKED — Wrong Code")))</f>
        <v>Pending</v>
      </c>
      <c r="J86" s="46" t="str">
        <f t="shared" ca="1" si="8"/>
        <v>—</v>
      </c>
      <c r="K86" s="47"/>
    </row>
    <row r="87" spans="1:11" x14ac:dyDescent="0.25">
      <c r="A87" s="32"/>
      <c r="B87" s="7" t="str">
        <f>IF(A87="","",IFERROR(VLOOKUP(A87,DB_Customers!$A:$D,4,0),"❌ Account Not Found"))</f>
        <v/>
      </c>
      <c r="C87" s="33" t="str">
        <f>IF(A87="","",IFERROR(VLOOKUP(A87,DB_Customers!$A:$N,14,0),""))</f>
        <v/>
      </c>
      <c r="D87" s="34" t="str">
        <f t="shared" ca="1" si="6"/>
        <v/>
      </c>
      <c r="E87" s="35"/>
      <c r="F87" s="36" t="str">
        <f t="shared" si="7"/>
        <v/>
      </c>
      <c r="G87" s="9"/>
      <c r="H87" s="37"/>
      <c r="I87" s="38" t="str">
        <f>IF(A87="","Pending",IF(H87="","⚠️ Enter Code",IF(IFERROR(VLOOKUP(G87,DB_Agents!$B:$I,8,0),"")=H87,IF(AND(A87&lt;&gt;"",E87&lt;&gt;""),"Saved","Pending"),"🔒 BLOCKED — Wrong Code")))</f>
        <v>Pending</v>
      </c>
      <c r="J87" s="39" t="str">
        <f t="shared" ca="1" si="8"/>
        <v>—</v>
      </c>
      <c r="K87" s="40"/>
    </row>
    <row r="88" spans="1:11" x14ac:dyDescent="0.25">
      <c r="A88" s="41"/>
      <c r="B88" s="11" t="str">
        <f>IF(A88="","",IFERROR(VLOOKUP(A88,DB_Customers!$A:$D,4,0),"❌ Account Not Found"))</f>
        <v/>
      </c>
      <c r="C88" s="42" t="str">
        <f>IF(A88="","",IFERROR(VLOOKUP(A88,DB_Customers!$A:$N,14,0),""))</f>
        <v/>
      </c>
      <c r="D88" s="43" t="str">
        <f t="shared" ca="1" si="6"/>
        <v/>
      </c>
      <c r="E88" s="35"/>
      <c r="F88" s="44" t="str">
        <f t="shared" si="7"/>
        <v/>
      </c>
      <c r="G88" s="13"/>
      <c r="H88" s="37"/>
      <c r="I88" s="45" t="str">
        <f>IF(A88="","Pending",IF(H88="","⚠️ Enter Code",IF(IFERROR(VLOOKUP(G88,DB_Agents!$B:$I,8,0),"")=H88,IF(AND(A88&lt;&gt;"",E88&lt;&gt;""),"Saved","Pending"),"🔒 BLOCKED — Wrong Code")))</f>
        <v>Pending</v>
      </c>
      <c r="J88" s="46" t="str">
        <f t="shared" ca="1" si="8"/>
        <v>—</v>
      </c>
      <c r="K88" s="47"/>
    </row>
    <row r="89" spans="1:11" x14ac:dyDescent="0.25">
      <c r="A89" s="32"/>
      <c r="B89" s="7" t="str">
        <f>IF(A89="","",IFERROR(VLOOKUP(A89,DB_Customers!$A:$D,4,0),"❌ Account Not Found"))</f>
        <v/>
      </c>
      <c r="C89" s="33" t="str">
        <f>IF(A89="","",IFERROR(VLOOKUP(A89,DB_Customers!$A:$N,14,0),""))</f>
        <v/>
      </c>
      <c r="D89" s="34" t="str">
        <f t="shared" ca="1" si="6"/>
        <v/>
      </c>
      <c r="E89" s="35"/>
      <c r="F89" s="36" t="str">
        <f t="shared" si="7"/>
        <v/>
      </c>
      <c r="G89" s="9"/>
      <c r="H89" s="37"/>
      <c r="I89" s="38" t="str">
        <f>IF(A89="","Pending",IF(H89="","⚠️ Enter Code",IF(IFERROR(VLOOKUP(G89,DB_Agents!$B:$I,8,0),"")=H89,IF(AND(A89&lt;&gt;"",E89&lt;&gt;""),"Saved","Pending"),"🔒 BLOCKED — Wrong Code")))</f>
        <v>Pending</v>
      </c>
      <c r="J89" s="39" t="str">
        <f t="shared" ca="1" si="8"/>
        <v>—</v>
      </c>
      <c r="K89" s="40"/>
    </row>
    <row r="90" spans="1:11" x14ac:dyDescent="0.25">
      <c r="A90" s="41"/>
      <c r="B90" s="11" t="str">
        <f>IF(A90="","",IFERROR(VLOOKUP(A90,DB_Customers!$A:$D,4,0),"❌ Account Not Found"))</f>
        <v/>
      </c>
      <c r="C90" s="42" t="str">
        <f>IF(A90="","",IFERROR(VLOOKUP(A90,DB_Customers!$A:$N,14,0),""))</f>
        <v/>
      </c>
      <c r="D90" s="43" t="str">
        <f t="shared" ca="1" si="6"/>
        <v/>
      </c>
      <c r="E90" s="35"/>
      <c r="F90" s="44" t="str">
        <f t="shared" si="7"/>
        <v/>
      </c>
      <c r="G90" s="13"/>
      <c r="H90" s="37"/>
      <c r="I90" s="45" t="str">
        <f>IF(A90="","Pending",IF(H90="","⚠️ Enter Code",IF(IFERROR(VLOOKUP(G90,DB_Agents!$B:$I,8,0),"")=H90,IF(AND(A90&lt;&gt;"",E90&lt;&gt;""),"Saved","Pending"),"🔒 BLOCKED — Wrong Code")))</f>
        <v>Pending</v>
      </c>
      <c r="J90" s="46" t="str">
        <f t="shared" ca="1" si="8"/>
        <v>—</v>
      </c>
      <c r="K90" s="47"/>
    </row>
    <row r="91" spans="1:11" x14ac:dyDescent="0.25">
      <c r="A91" s="32"/>
      <c r="B91" s="7" t="str">
        <f>IF(A91="","",IFERROR(VLOOKUP(A91,DB_Customers!$A:$D,4,0),"❌ Account Not Found"))</f>
        <v/>
      </c>
      <c r="C91" s="33" t="str">
        <f>IF(A91="","",IFERROR(VLOOKUP(A91,DB_Customers!$A:$N,14,0),""))</f>
        <v/>
      </c>
      <c r="D91" s="34" t="str">
        <f t="shared" ca="1" si="6"/>
        <v/>
      </c>
      <c r="E91" s="35"/>
      <c r="F91" s="36" t="str">
        <f t="shared" si="7"/>
        <v/>
      </c>
      <c r="G91" s="9"/>
      <c r="H91" s="37"/>
      <c r="I91" s="38" t="str">
        <f>IF(A91="","Pending",IF(H91="","⚠️ Enter Code",IF(IFERROR(VLOOKUP(G91,DB_Agents!$B:$I,8,0),"")=H91,IF(AND(A91&lt;&gt;"",E91&lt;&gt;""),"Saved","Pending"),"🔒 BLOCKED — Wrong Code")))</f>
        <v>Pending</v>
      </c>
      <c r="J91" s="39" t="str">
        <f t="shared" ca="1" si="8"/>
        <v>—</v>
      </c>
      <c r="K91" s="40"/>
    </row>
    <row r="92" spans="1:11" x14ac:dyDescent="0.25">
      <c r="A92" s="41"/>
      <c r="B92" s="11" t="str">
        <f>IF(A92="","",IFERROR(VLOOKUP(A92,DB_Customers!$A:$D,4,0),"❌ Account Not Found"))</f>
        <v/>
      </c>
      <c r="C92" s="42" t="str">
        <f>IF(A92="","",IFERROR(VLOOKUP(A92,DB_Customers!$A:$N,14,0),""))</f>
        <v/>
      </c>
      <c r="D92" s="43" t="str">
        <f t="shared" ca="1" si="6"/>
        <v/>
      </c>
      <c r="E92" s="35"/>
      <c r="F92" s="44" t="str">
        <f t="shared" si="7"/>
        <v/>
      </c>
      <c r="G92" s="13"/>
      <c r="H92" s="37"/>
      <c r="I92" s="45" t="str">
        <f>IF(A92="","Pending",IF(H92="","⚠️ Enter Code",IF(IFERROR(VLOOKUP(G92,DB_Agents!$B:$I,8,0),"")=H92,IF(AND(A92&lt;&gt;"",E92&lt;&gt;""),"Saved","Pending"),"🔒 BLOCKED — Wrong Code")))</f>
        <v>Pending</v>
      </c>
      <c r="J92" s="46" t="str">
        <f t="shared" ca="1" si="8"/>
        <v>—</v>
      </c>
      <c r="K92" s="47"/>
    </row>
    <row r="93" spans="1:11" x14ac:dyDescent="0.25">
      <c r="A93" s="32"/>
      <c r="B93" s="7" t="str">
        <f>IF(A93="","",IFERROR(VLOOKUP(A93,DB_Customers!$A:$D,4,0),"❌ Account Not Found"))</f>
        <v/>
      </c>
      <c r="C93" s="33" t="str">
        <f>IF(A93="","",IFERROR(VLOOKUP(A93,DB_Customers!$A:$N,14,0),""))</f>
        <v/>
      </c>
      <c r="D93" s="34" t="str">
        <f t="shared" ca="1" si="6"/>
        <v/>
      </c>
      <c r="E93" s="35"/>
      <c r="F93" s="36" t="str">
        <f t="shared" si="7"/>
        <v/>
      </c>
      <c r="G93" s="9"/>
      <c r="H93" s="37"/>
      <c r="I93" s="38" t="str">
        <f>IF(A93="","Pending",IF(H93="","⚠️ Enter Code",IF(IFERROR(VLOOKUP(G93,DB_Agents!$B:$I,8,0),"")=H93,IF(AND(A93&lt;&gt;"",E93&lt;&gt;""),"Saved","Pending"),"🔒 BLOCKED — Wrong Code")))</f>
        <v>Pending</v>
      </c>
      <c r="J93" s="39" t="str">
        <f t="shared" ca="1" si="8"/>
        <v>—</v>
      </c>
      <c r="K93" s="40"/>
    </row>
    <row r="94" spans="1:11" x14ac:dyDescent="0.25">
      <c r="A94" s="41"/>
      <c r="B94" s="11" t="str">
        <f>IF(A94="","",IFERROR(VLOOKUP(A94,DB_Customers!$A:$D,4,0),"❌ Account Not Found"))</f>
        <v/>
      </c>
      <c r="C94" s="42" t="str">
        <f>IF(A94="","",IFERROR(VLOOKUP(A94,DB_Customers!$A:$N,14,0),""))</f>
        <v/>
      </c>
      <c r="D94" s="43" t="str">
        <f t="shared" ca="1" si="6"/>
        <v/>
      </c>
      <c r="E94" s="35"/>
      <c r="F94" s="44" t="str">
        <f t="shared" si="7"/>
        <v/>
      </c>
      <c r="G94" s="13"/>
      <c r="H94" s="37"/>
      <c r="I94" s="45" t="str">
        <f>IF(A94="","Pending",IF(H94="","⚠️ Enter Code",IF(IFERROR(VLOOKUP(G94,DB_Agents!$B:$I,8,0),"")=H94,IF(AND(A94&lt;&gt;"",E94&lt;&gt;""),"Saved","Pending"),"🔒 BLOCKED — Wrong Code")))</f>
        <v>Pending</v>
      </c>
      <c r="J94" s="46" t="str">
        <f t="shared" ca="1" si="8"/>
        <v>—</v>
      </c>
      <c r="K94" s="47"/>
    </row>
    <row r="95" spans="1:11" x14ac:dyDescent="0.25">
      <c r="A95" s="32"/>
      <c r="B95" s="7" t="str">
        <f>IF(A95="","",IFERROR(VLOOKUP(A95,DB_Customers!$A:$D,4,0),"❌ Account Not Found"))</f>
        <v/>
      </c>
      <c r="C95" s="33" t="str">
        <f>IF(A95="","",IFERROR(VLOOKUP(A95,DB_Customers!$A:$N,14,0),""))</f>
        <v/>
      </c>
      <c r="D95" s="34" t="str">
        <f t="shared" ca="1" si="6"/>
        <v/>
      </c>
      <c r="E95" s="35"/>
      <c r="F95" s="36" t="str">
        <f t="shared" si="7"/>
        <v/>
      </c>
      <c r="G95" s="9"/>
      <c r="H95" s="37"/>
      <c r="I95" s="38" t="str">
        <f>IF(A95="","Pending",IF(H95="","⚠️ Enter Code",IF(IFERROR(VLOOKUP(G95,DB_Agents!$B:$I,8,0),"")=H95,IF(AND(A95&lt;&gt;"",E95&lt;&gt;""),"Saved","Pending"),"🔒 BLOCKED — Wrong Code")))</f>
        <v>Pending</v>
      </c>
      <c r="J95" s="39" t="str">
        <f t="shared" ca="1" si="8"/>
        <v>—</v>
      </c>
      <c r="K95" s="40"/>
    </row>
    <row r="96" spans="1:11" x14ac:dyDescent="0.25">
      <c r="A96" s="41"/>
      <c r="B96" s="11" t="str">
        <f>IF(A96="","",IFERROR(VLOOKUP(A96,DB_Customers!$A:$D,4,0),"❌ Account Not Found"))</f>
        <v/>
      </c>
      <c r="C96" s="42" t="str">
        <f>IF(A96="","",IFERROR(VLOOKUP(A96,DB_Customers!$A:$N,14,0),""))</f>
        <v/>
      </c>
      <c r="D96" s="43" t="str">
        <f t="shared" ca="1" si="6"/>
        <v/>
      </c>
      <c r="E96" s="35"/>
      <c r="F96" s="44" t="str">
        <f t="shared" si="7"/>
        <v/>
      </c>
      <c r="G96" s="13"/>
      <c r="H96" s="37"/>
      <c r="I96" s="45" t="str">
        <f>IF(A96="","Pending",IF(H96="","⚠️ Enter Code",IF(IFERROR(VLOOKUP(G96,DB_Agents!$B:$I,8,0),"")=H96,IF(AND(A96&lt;&gt;"",E96&lt;&gt;""),"Saved","Pending"),"🔒 BLOCKED — Wrong Code")))</f>
        <v>Pending</v>
      </c>
      <c r="J96" s="46" t="str">
        <f t="shared" ca="1" si="8"/>
        <v>—</v>
      </c>
      <c r="K96" s="47"/>
    </row>
    <row r="97" spans="1:11" x14ac:dyDescent="0.25">
      <c r="A97" s="32"/>
      <c r="B97" s="7" t="str">
        <f>IF(A97="","",IFERROR(VLOOKUP(A97,DB_Customers!$A:$D,4,0),"❌ Account Not Found"))</f>
        <v/>
      </c>
      <c r="C97" s="33" t="str">
        <f>IF(A97="","",IFERROR(VLOOKUP(A97,DB_Customers!$A:$N,14,0),""))</f>
        <v/>
      </c>
      <c r="D97" s="34" t="str">
        <f t="shared" ca="1" si="6"/>
        <v/>
      </c>
      <c r="E97" s="35"/>
      <c r="F97" s="36" t="str">
        <f t="shared" si="7"/>
        <v/>
      </c>
      <c r="G97" s="9"/>
      <c r="H97" s="37"/>
      <c r="I97" s="38" t="str">
        <f>IF(A97="","Pending",IF(H97="","⚠️ Enter Code",IF(IFERROR(VLOOKUP(G97,DB_Agents!$B:$I,8,0),"")=H97,IF(AND(A97&lt;&gt;"",E97&lt;&gt;""),"Saved","Pending"),"🔒 BLOCKED — Wrong Code")))</f>
        <v>Pending</v>
      </c>
      <c r="J97" s="39" t="str">
        <f t="shared" ca="1" si="8"/>
        <v>—</v>
      </c>
      <c r="K97" s="40"/>
    </row>
    <row r="98" spans="1:11" x14ac:dyDescent="0.25">
      <c r="A98" s="41"/>
      <c r="B98" s="11" t="str">
        <f>IF(A98="","",IFERROR(VLOOKUP(A98,DB_Customers!$A:$D,4,0),"❌ Account Not Found"))</f>
        <v/>
      </c>
      <c r="C98" s="42" t="str">
        <f>IF(A98="","",IFERROR(VLOOKUP(A98,DB_Customers!$A:$N,14,0),""))</f>
        <v/>
      </c>
      <c r="D98" s="43" t="str">
        <f t="shared" ca="1" si="6"/>
        <v/>
      </c>
      <c r="E98" s="35"/>
      <c r="F98" s="44" t="str">
        <f t="shared" si="7"/>
        <v/>
      </c>
      <c r="G98" s="13"/>
      <c r="H98" s="37"/>
      <c r="I98" s="45" t="str">
        <f>IF(A98="","Pending",IF(H98="","⚠️ Enter Code",IF(IFERROR(VLOOKUP(G98,DB_Agents!$B:$I,8,0),"")=H98,IF(AND(A98&lt;&gt;"",E98&lt;&gt;""),"Saved","Pending"),"🔒 BLOCKED — Wrong Code")))</f>
        <v>Pending</v>
      </c>
      <c r="J98" s="46" t="str">
        <f t="shared" ca="1" si="8"/>
        <v>—</v>
      </c>
      <c r="K98" s="47"/>
    </row>
    <row r="99" spans="1:11" x14ac:dyDescent="0.25">
      <c r="A99" s="32"/>
      <c r="B99" s="7" t="str">
        <f>IF(A99="","",IFERROR(VLOOKUP(A99,DB_Customers!$A:$D,4,0),"❌ Account Not Found"))</f>
        <v/>
      </c>
      <c r="C99" s="33" t="str">
        <f>IF(A99="","",IFERROR(VLOOKUP(A99,DB_Customers!$A:$N,14,0),""))</f>
        <v/>
      </c>
      <c r="D99" s="34" t="str">
        <f t="shared" ca="1" si="6"/>
        <v/>
      </c>
      <c r="E99" s="35"/>
      <c r="F99" s="36" t="str">
        <f t="shared" si="7"/>
        <v/>
      </c>
      <c r="G99" s="9"/>
      <c r="H99" s="37"/>
      <c r="I99" s="38" t="str">
        <f>IF(A99="","Pending",IF(H99="","⚠️ Enter Code",IF(IFERROR(VLOOKUP(G99,DB_Agents!$B:$I,8,0),"")=H99,IF(AND(A99&lt;&gt;"",E99&lt;&gt;""),"Saved","Pending"),"🔒 BLOCKED — Wrong Code")))</f>
        <v>Pending</v>
      </c>
      <c r="J99" s="39" t="str">
        <f t="shared" ca="1" si="8"/>
        <v>—</v>
      </c>
      <c r="K99" s="40"/>
    </row>
    <row r="100" spans="1:11" x14ac:dyDescent="0.25">
      <c r="A100" s="41"/>
      <c r="B100" s="11" t="str">
        <f>IF(A100="","",IFERROR(VLOOKUP(A100,DB_Customers!$A:$D,4,0),"❌ Account Not Found"))</f>
        <v/>
      </c>
      <c r="C100" s="42" t="str">
        <f>IF(A100="","",IFERROR(VLOOKUP(A100,DB_Customers!$A:$N,14,0),""))</f>
        <v/>
      </c>
      <c r="D100" s="43" t="str">
        <f t="shared" ca="1" si="6"/>
        <v/>
      </c>
      <c r="E100" s="35"/>
      <c r="F100" s="44" t="str">
        <f t="shared" si="7"/>
        <v/>
      </c>
      <c r="G100" s="13"/>
      <c r="H100" s="37"/>
      <c r="I100" s="45" t="str">
        <f>IF(A100="","Pending",IF(H100="","⚠️ Enter Code",IF(IFERROR(VLOOKUP(G100,DB_Agents!$B:$I,8,0),"")=H100,IF(AND(A100&lt;&gt;"",E100&lt;&gt;""),"Saved","Pending"),"🔒 BLOCKED — Wrong Code")))</f>
        <v>Pending</v>
      </c>
      <c r="J100" s="46" t="str">
        <f t="shared" ca="1" si="8"/>
        <v>—</v>
      </c>
      <c r="K100" s="47"/>
    </row>
    <row r="101" spans="1:11" x14ac:dyDescent="0.25">
      <c r="A101" s="32"/>
      <c r="B101" s="7" t="str">
        <f>IF(A101="","",IFERROR(VLOOKUP(A101,DB_Customers!$A:$D,4,0),"❌ Account Not Found"))</f>
        <v/>
      </c>
      <c r="C101" s="33" t="str">
        <f>IF(A101="","",IFERROR(VLOOKUP(A101,DB_Customers!$A:$N,14,0),""))</f>
        <v/>
      </c>
      <c r="D101" s="34" t="str">
        <f t="shared" ca="1" si="6"/>
        <v/>
      </c>
      <c r="E101" s="35"/>
      <c r="F101" s="36" t="str">
        <f t="shared" si="7"/>
        <v/>
      </c>
      <c r="G101" s="9"/>
      <c r="H101" s="37"/>
      <c r="I101" s="38" t="str">
        <f>IF(A101="","Pending",IF(H101="","⚠️ Enter Code",IF(IFERROR(VLOOKUP(G101,DB_Agents!$B:$I,8,0),"")=H101,IF(AND(A101&lt;&gt;"",E101&lt;&gt;""),"Saved","Pending"),"🔒 BLOCKED — Wrong Code")))</f>
        <v>Pending</v>
      </c>
      <c r="J101" s="39" t="str">
        <f t="shared" ca="1" si="8"/>
        <v>—</v>
      </c>
      <c r="K101" s="40"/>
    </row>
    <row r="102" spans="1:11" x14ac:dyDescent="0.25">
      <c r="A102" s="41"/>
      <c r="B102" s="11" t="str">
        <f>IF(A102="","",IFERROR(VLOOKUP(A102,DB_Customers!$A:$D,4,0),"❌ Account Not Found"))</f>
        <v/>
      </c>
      <c r="C102" s="42" t="str">
        <f>IF(A102="","",IFERROR(VLOOKUP(A102,DB_Customers!$A:$N,14,0),""))</f>
        <v/>
      </c>
      <c r="D102" s="43" t="str">
        <f t="shared" ca="1" si="6"/>
        <v/>
      </c>
      <c r="E102" s="35"/>
      <c r="F102" s="44" t="str">
        <f t="shared" si="7"/>
        <v/>
      </c>
      <c r="G102" s="13"/>
      <c r="H102" s="37"/>
      <c r="I102" s="45" t="str">
        <f>IF(A102="","Pending",IF(H102="","⚠️ Enter Code",IF(IFERROR(VLOOKUP(G102,DB_Agents!$B:$I,8,0),"")=H102,IF(AND(A102&lt;&gt;"",E102&lt;&gt;""),"Saved","Pending"),"🔒 BLOCKED — Wrong Code")))</f>
        <v>Pending</v>
      </c>
      <c r="J102" s="46" t="str">
        <f t="shared" ca="1" si="8"/>
        <v>—</v>
      </c>
      <c r="K102" s="47"/>
    </row>
    <row r="103" spans="1:11" x14ac:dyDescent="0.25">
      <c r="A103" s="32"/>
      <c r="B103" s="7" t="str">
        <f>IF(A103="","",IFERROR(VLOOKUP(A103,DB_Customers!$A:$D,4,0),"❌ Account Not Found"))</f>
        <v/>
      </c>
      <c r="C103" s="33" t="str">
        <f>IF(A103="","",IFERROR(VLOOKUP(A103,DB_Customers!$A:$N,14,0),""))</f>
        <v/>
      </c>
      <c r="D103" s="34" t="str">
        <f t="shared" ca="1" si="6"/>
        <v/>
      </c>
      <c r="E103" s="35"/>
      <c r="F103" s="36" t="str">
        <f t="shared" si="7"/>
        <v/>
      </c>
      <c r="G103" s="9"/>
      <c r="H103" s="37"/>
      <c r="I103" s="38" t="str">
        <f>IF(A103="","Pending",IF(H103="","⚠️ Enter Code",IF(IFERROR(VLOOKUP(G103,DB_Agents!$B:$I,8,0),"")=H103,IF(AND(A103&lt;&gt;"",E103&lt;&gt;""),"Saved","Pending"),"🔒 BLOCKED — Wrong Code")))</f>
        <v>Pending</v>
      </c>
      <c r="J103" s="39" t="str">
        <f t="shared" ca="1" si="8"/>
        <v>—</v>
      </c>
      <c r="K103" s="40"/>
    </row>
    <row r="104" spans="1:11" x14ac:dyDescent="0.25">
      <c r="A104" s="41"/>
      <c r="B104" s="11" t="str">
        <f>IF(A104="","",IFERROR(VLOOKUP(A104,DB_Customers!$A:$D,4,0),"❌ Account Not Found"))</f>
        <v/>
      </c>
      <c r="C104" s="42" t="str">
        <f>IF(A104="","",IFERROR(VLOOKUP(A104,DB_Customers!$A:$N,14,0),""))</f>
        <v/>
      </c>
      <c r="D104" s="43" t="str">
        <f t="shared" ca="1" si="6"/>
        <v/>
      </c>
      <c r="E104" s="35"/>
      <c r="F104" s="44" t="str">
        <f t="shared" si="7"/>
        <v/>
      </c>
      <c r="G104" s="13"/>
      <c r="H104" s="37"/>
      <c r="I104" s="45" t="str">
        <f>IF(A104="","Pending",IF(H104="","⚠️ Enter Code",IF(IFERROR(VLOOKUP(G104,DB_Agents!$B:$I,8,0),"")=H104,IF(AND(A104&lt;&gt;"",E104&lt;&gt;""),"Saved","Pending"),"🔒 BLOCKED — Wrong Code")))</f>
        <v>Pending</v>
      </c>
      <c r="J104" s="46" t="str">
        <f t="shared" ca="1" si="8"/>
        <v>—</v>
      </c>
      <c r="K104" s="47"/>
    </row>
    <row r="105" spans="1:11" x14ac:dyDescent="0.25">
      <c r="A105" s="32"/>
      <c r="B105" s="7" t="str">
        <f>IF(A105="","",IFERROR(VLOOKUP(A105,DB_Customers!$A:$D,4,0),"❌ Account Not Found"))</f>
        <v/>
      </c>
      <c r="C105" s="33" t="str">
        <f>IF(A105="","",IFERROR(VLOOKUP(A105,DB_Customers!$A:$N,14,0),""))</f>
        <v/>
      </c>
      <c r="D105" s="34" t="str">
        <f t="shared" ref="D105:D136" ca="1" si="9">IF(A105="","",TODAY())</f>
        <v/>
      </c>
      <c r="E105" s="35"/>
      <c r="F105" s="36" t="str">
        <f t="shared" ref="F105:F136" si="10">IF(OR(A105="",E105=""),"",IF(C105="","",C105+E105))</f>
        <v/>
      </c>
      <c r="G105" s="9"/>
      <c r="H105" s="37"/>
      <c r="I105" s="38" t="str">
        <f>IF(A105="","Pending",IF(H105="","⚠️ Enter Code",IF(IFERROR(VLOOKUP(G105,DB_Agents!$B:$I,8,0),"")=H105,IF(AND(A105&lt;&gt;"",E105&lt;&gt;""),"Saved","Pending"),"🔒 BLOCKED — Wrong Code")))</f>
        <v>Pending</v>
      </c>
      <c r="J105" s="39" t="str">
        <f t="shared" ref="J105:J136" ca="1" si="11">IF(I105="Saved",TEXT(TODAY(),"YYYY-MM-DD")&amp;" Auto","—")</f>
        <v>—</v>
      </c>
      <c r="K105" s="40"/>
    </row>
    <row r="106" spans="1:11" x14ac:dyDescent="0.25">
      <c r="A106" s="41"/>
      <c r="B106" s="11" t="str">
        <f>IF(A106="","",IFERROR(VLOOKUP(A106,DB_Customers!$A:$D,4,0),"❌ Account Not Found"))</f>
        <v/>
      </c>
      <c r="C106" s="42" t="str">
        <f>IF(A106="","",IFERROR(VLOOKUP(A106,DB_Customers!$A:$N,14,0),""))</f>
        <v/>
      </c>
      <c r="D106" s="43" t="str">
        <f t="shared" ca="1" si="9"/>
        <v/>
      </c>
      <c r="E106" s="35"/>
      <c r="F106" s="44" t="str">
        <f t="shared" si="10"/>
        <v/>
      </c>
      <c r="G106" s="13"/>
      <c r="H106" s="37"/>
      <c r="I106" s="45" t="str">
        <f>IF(A106="","Pending",IF(H106="","⚠️ Enter Code",IF(IFERROR(VLOOKUP(G106,DB_Agents!$B:$I,8,0),"")=H106,IF(AND(A106&lt;&gt;"",E106&lt;&gt;""),"Saved","Pending"),"🔒 BLOCKED — Wrong Code")))</f>
        <v>Pending</v>
      </c>
      <c r="J106" s="46" t="str">
        <f t="shared" ca="1" si="11"/>
        <v>—</v>
      </c>
      <c r="K106" s="47"/>
    </row>
    <row r="107" spans="1:11" x14ac:dyDescent="0.25">
      <c r="A107" s="32"/>
      <c r="B107" s="7" t="str">
        <f>IF(A107="","",IFERROR(VLOOKUP(A107,DB_Customers!$A:$D,4,0),"❌ Account Not Found"))</f>
        <v/>
      </c>
      <c r="C107" s="33" t="str">
        <f>IF(A107="","",IFERROR(VLOOKUP(A107,DB_Customers!$A:$N,14,0),""))</f>
        <v/>
      </c>
      <c r="D107" s="34" t="str">
        <f t="shared" ca="1" si="9"/>
        <v/>
      </c>
      <c r="E107" s="35"/>
      <c r="F107" s="36" t="str">
        <f t="shared" si="10"/>
        <v/>
      </c>
      <c r="G107" s="9"/>
      <c r="H107" s="37"/>
      <c r="I107" s="38" t="str">
        <f>IF(A107="","Pending",IF(H107="","⚠️ Enter Code",IF(IFERROR(VLOOKUP(G107,DB_Agents!$B:$I,8,0),"")=H107,IF(AND(A107&lt;&gt;"",E107&lt;&gt;""),"Saved","Pending"),"🔒 BLOCKED — Wrong Code")))</f>
        <v>Pending</v>
      </c>
      <c r="J107" s="39" t="str">
        <f t="shared" ca="1" si="11"/>
        <v>—</v>
      </c>
      <c r="K107" s="40"/>
    </row>
    <row r="108" spans="1:11" x14ac:dyDescent="0.25">
      <c r="A108" s="41"/>
      <c r="B108" s="11" t="str">
        <f>IF(A108="","",IFERROR(VLOOKUP(A108,DB_Customers!$A:$D,4,0),"❌ Account Not Found"))</f>
        <v/>
      </c>
      <c r="C108" s="42" t="str">
        <f>IF(A108="","",IFERROR(VLOOKUP(A108,DB_Customers!$A:$N,14,0),""))</f>
        <v/>
      </c>
      <c r="D108" s="43" t="str">
        <f t="shared" ca="1" si="9"/>
        <v/>
      </c>
      <c r="E108" s="35"/>
      <c r="F108" s="44" t="str">
        <f t="shared" si="10"/>
        <v/>
      </c>
      <c r="G108" s="13"/>
      <c r="H108" s="37"/>
      <c r="I108" s="45" t="str">
        <f>IF(A108="","Pending",IF(H108="","⚠️ Enter Code",IF(IFERROR(VLOOKUP(G108,DB_Agents!$B:$I,8,0),"")=H108,IF(AND(A108&lt;&gt;"",E108&lt;&gt;""),"Saved","Pending"),"🔒 BLOCKED — Wrong Code")))</f>
        <v>Pending</v>
      </c>
      <c r="J108" s="46" t="str">
        <f t="shared" ca="1" si="11"/>
        <v>—</v>
      </c>
      <c r="K108" s="47"/>
    </row>
    <row r="109" spans="1:11" x14ac:dyDescent="0.25">
      <c r="A109" s="32"/>
      <c r="B109" s="7" t="str">
        <f>IF(A109="","",IFERROR(VLOOKUP(A109,DB_Customers!$A:$D,4,0),"❌ Account Not Found"))</f>
        <v/>
      </c>
      <c r="C109" s="33" t="str">
        <f>IF(A109="","",IFERROR(VLOOKUP(A109,DB_Customers!$A:$N,14,0),""))</f>
        <v/>
      </c>
      <c r="D109" s="34" t="str">
        <f t="shared" ca="1" si="9"/>
        <v/>
      </c>
      <c r="E109" s="35"/>
      <c r="F109" s="36" t="str">
        <f t="shared" si="10"/>
        <v/>
      </c>
      <c r="G109" s="9"/>
      <c r="H109" s="37"/>
      <c r="I109" s="38" t="str">
        <f>IF(A109="","Pending",IF(H109="","⚠️ Enter Code",IF(IFERROR(VLOOKUP(G109,DB_Agents!$B:$I,8,0),"")=H109,IF(AND(A109&lt;&gt;"",E109&lt;&gt;""),"Saved","Pending"),"🔒 BLOCKED — Wrong Code")))</f>
        <v>Pending</v>
      </c>
      <c r="J109" s="39" t="str">
        <f t="shared" ca="1" si="11"/>
        <v>—</v>
      </c>
      <c r="K109" s="40"/>
    </row>
    <row r="110" spans="1:11" x14ac:dyDescent="0.25">
      <c r="A110" s="41"/>
      <c r="B110" s="11" t="str">
        <f>IF(A110="","",IFERROR(VLOOKUP(A110,DB_Customers!$A:$D,4,0),"❌ Account Not Found"))</f>
        <v/>
      </c>
      <c r="C110" s="42" t="str">
        <f>IF(A110="","",IFERROR(VLOOKUP(A110,DB_Customers!$A:$N,14,0),""))</f>
        <v/>
      </c>
      <c r="D110" s="43" t="str">
        <f t="shared" ca="1" si="9"/>
        <v/>
      </c>
      <c r="E110" s="35"/>
      <c r="F110" s="44" t="str">
        <f t="shared" si="10"/>
        <v/>
      </c>
      <c r="G110" s="13"/>
      <c r="H110" s="37"/>
      <c r="I110" s="45" t="str">
        <f>IF(A110="","Pending",IF(H110="","⚠️ Enter Code",IF(IFERROR(VLOOKUP(G110,DB_Agents!$B:$I,8,0),"")=H110,IF(AND(A110&lt;&gt;"",E110&lt;&gt;""),"Saved","Pending"),"🔒 BLOCKED — Wrong Code")))</f>
        <v>Pending</v>
      </c>
      <c r="J110" s="46" t="str">
        <f t="shared" ca="1" si="11"/>
        <v>—</v>
      </c>
      <c r="K110" s="47"/>
    </row>
    <row r="111" spans="1:11" x14ac:dyDescent="0.25">
      <c r="A111" s="32"/>
      <c r="B111" s="7" t="str">
        <f>IF(A111="","",IFERROR(VLOOKUP(A111,DB_Customers!$A:$D,4,0),"❌ Account Not Found"))</f>
        <v/>
      </c>
      <c r="C111" s="33" t="str">
        <f>IF(A111="","",IFERROR(VLOOKUP(A111,DB_Customers!$A:$N,14,0),""))</f>
        <v/>
      </c>
      <c r="D111" s="34" t="str">
        <f t="shared" ca="1" si="9"/>
        <v/>
      </c>
      <c r="E111" s="35"/>
      <c r="F111" s="36" t="str">
        <f t="shared" si="10"/>
        <v/>
      </c>
      <c r="G111" s="9"/>
      <c r="H111" s="37"/>
      <c r="I111" s="38" t="str">
        <f>IF(A111="","Pending",IF(H111="","⚠️ Enter Code",IF(IFERROR(VLOOKUP(G111,DB_Agents!$B:$I,8,0),"")=H111,IF(AND(A111&lt;&gt;"",E111&lt;&gt;""),"Saved","Pending"),"🔒 BLOCKED — Wrong Code")))</f>
        <v>Pending</v>
      </c>
      <c r="J111" s="39" t="str">
        <f t="shared" ca="1" si="11"/>
        <v>—</v>
      </c>
      <c r="K111" s="40"/>
    </row>
    <row r="112" spans="1:11" x14ac:dyDescent="0.25">
      <c r="A112" s="41"/>
      <c r="B112" s="11" t="str">
        <f>IF(A112="","",IFERROR(VLOOKUP(A112,DB_Customers!$A:$D,4,0),"❌ Account Not Found"))</f>
        <v/>
      </c>
      <c r="C112" s="42" t="str">
        <f>IF(A112="","",IFERROR(VLOOKUP(A112,DB_Customers!$A:$N,14,0),""))</f>
        <v/>
      </c>
      <c r="D112" s="43" t="str">
        <f t="shared" ca="1" si="9"/>
        <v/>
      </c>
      <c r="E112" s="35"/>
      <c r="F112" s="44" t="str">
        <f t="shared" si="10"/>
        <v/>
      </c>
      <c r="G112" s="13"/>
      <c r="H112" s="37"/>
      <c r="I112" s="45" t="str">
        <f>IF(A112="","Pending",IF(H112="","⚠️ Enter Code",IF(IFERROR(VLOOKUP(G112,DB_Agents!$B:$I,8,0),"")=H112,IF(AND(A112&lt;&gt;"",E112&lt;&gt;""),"Saved","Pending"),"🔒 BLOCKED — Wrong Code")))</f>
        <v>Pending</v>
      </c>
      <c r="J112" s="46" t="str">
        <f t="shared" ca="1" si="11"/>
        <v>—</v>
      </c>
      <c r="K112" s="47"/>
    </row>
    <row r="113" spans="1:11" x14ac:dyDescent="0.25">
      <c r="A113" s="32"/>
      <c r="B113" s="7" t="str">
        <f>IF(A113="","",IFERROR(VLOOKUP(A113,DB_Customers!$A:$D,4,0),"❌ Account Not Found"))</f>
        <v/>
      </c>
      <c r="C113" s="33" t="str">
        <f>IF(A113="","",IFERROR(VLOOKUP(A113,DB_Customers!$A:$N,14,0),""))</f>
        <v/>
      </c>
      <c r="D113" s="34" t="str">
        <f t="shared" ca="1" si="9"/>
        <v/>
      </c>
      <c r="E113" s="35"/>
      <c r="F113" s="36" t="str">
        <f t="shared" si="10"/>
        <v/>
      </c>
      <c r="G113" s="9"/>
      <c r="H113" s="37"/>
      <c r="I113" s="38" t="str">
        <f>IF(A113="","Pending",IF(H113="","⚠️ Enter Code",IF(IFERROR(VLOOKUP(G113,DB_Agents!$B:$I,8,0),"")=H113,IF(AND(A113&lt;&gt;"",E113&lt;&gt;""),"Saved","Pending"),"🔒 BLOCKED — Wrong Code")))</f>
        <v>Pending</v>
      </c>
      <c r="J113" s="39" t="str">
        <f t="shared" ca="1" si="11"/>
        <v>—</v>
      </c>
      <c r="K113" s="40"/>
    </row>
    <row r="114" spans="1:11" x14ac:dyDescent="0.25">
      <c r="A114" s="41"/>
      <c r="B114" s="11" t="str">
        <f>IF(A114="","",IFERROR(VLOOKUP(A114,DB_Customers!$A:$D,4,0),"❌ Account Not Found"))</f>
        <v/>
      </c>
      <c r="C114" s="42" t="str">
        <f>IF(A114="","",IFERROR(VLOOKUP(A114,DB_Customers!$A:$N,14,0),""))</f>
        <v/>
      </c>
      <c r="D114" s="43" t="str">
        <f t="shared" ca="1" si="9"/>
        <v/>
      </c>
      <c r="E114" s="35"/>
      <c r="F114" s="44" t="str">
        <f t="shared" si="10"/>
        <v/>
      </c>
      <c r="G114" s="13"/>
      <c r="H114" s="37"/>
      <c r="I114" s="45" t="str">
        <f>IF(A114="","Pending",IF(H114="","⚠️ Enter Code",IF(IFERROR(VLOOKUP(G114,DB_Agents!$B:$I,8,0),"")=H114,IF(AND(A114&lt;&gt;"",E114&lt;&gt;""),"Saved","Pending"),"🔒 BLOCKED — Wrong Code")))</f>
        <v>Pending</v>
      </c>
      <c r="J114" s="46" t="str">
        <f t="shared" ca="1" si="11"/>
        <v>—</v>
      </c>
      <c r="K114" s="47"/>
    </row>
    <row r="115" spans="1:11" x14ac:dyDescent="0.25">
      <c r="A115" s="32"/>
      <c r="B115" s="7" t="str">
        <f>IF(A115="","",IFERROR(VLOOKUP(A115,DB_Customers!$A:$D,4,0),"❌ Account Not Found"))</f>
        <v/>
      </c>
      <c r="C115" s="33" t="str">
        <f>IF(A115="","",IFERROR(VLOOKUP(A115,DB_Customers!$A:$N,14,0),""))</f>
        <v/>
      </c>
      <c r="D115" s="34" t="str">
        <f t="shared" ca="1" si="9"/>
        <v/>
      </c>
      <c r="E115" s="35"/>
      <c r="F115" s="36" t="str">
        <f t="shared" si="10"/>
        <v/>
      </c>
      <c r="G115" s="9"/>
      <c r="H115" s="37"/>
      <c r="I115" s="38" t="str">
        <f>IF(A115="","Pending",IF(H115="","⚠️ Enter Code",IF(IFERROR(VLOOKUP(G115,DB_Agents!$B:$I,8,0),"")=H115,IF(AND(A115&lt;&gt;"",E115&lt;&gt;""),"Saved","Pending"),"🔒 BLOCKED — Wrong Code")))</f>
        <v>Pending</v>
      </c>
      <c r="J115" s="39" t="str">
        <f t="shared" ca="1" si="11"/>
        <v>—</v>
      </c>
      <c r="K115" s="40"/>
    </row>
    <row r="116" spans="1:11" x14ac:dyDescent="0.25">
      <c r="A116" s="41"/>
      <c r="B116" s="11" t="str">
        <f>IF(A116="","",IFERROR(VLOOKUP(A116,DB_Customers!$A:$D,4,0),"❌ Account Not Found"))</f>
        <v/>
      </c>
      <c r="C116" s="42" t="str">
        <f>IF(A116="","",IFERROR(VLOOKUP(A116,DB_Customers!$A:$N,14,0),""))</f>
        <v/>
      </c>
      <c r="D116" s="43" t="str">
        <f t="shared" ca="1" si="9"/>
        <v/>
      </c>
      <c r="E116" s="35"/>
      <c r="F116" s="44" t="str">
        <f t="shared" si="10"/>
        <v/>
      </c>
      <c r="G116" s="13"/>
      <c r="H116" s="37"/>
      <c r="I116" s="45" t="str">
        <f>IF(A116="","Pending",IF(H116="","⚠️ Enter Code",IF(IFERROR(VLOOKUP(G116,DB_Agents!$B:$I,8,0),"")=H116,IF(AND(A116&lt;&gt;"",E116&lt;&gt;""),"Saved","Pending"),"🔒 BLOCKED — Wrong Code")))</f>
        <v>Pending</v>
      </c>
      <c r="J116" s="46" t="str">
        <f t="shared" ca="1" si="11"/>
        <v>—</v>
      </c>
      <c r="K116" s="47"/>
    </row>
    <row r="117" spans="1:11" x14ac:dyDescent="0.25">
      <c r="A117" s="32"/>
      <c r="B117" s="7" t="str">
        <f>IF(A117="","",IFERROR(VLOOKUP(A117,DB_Customers!$A:$D,4,0),"❌ Account Not Found"))</f>
        <v/>
      </c>
      <c r="C117" s="33" t="str">
        <f>IF(A117="","",IFERROR(VLOOKUP(A117,DB_Customers!$A:$N,14,0),""))</f>
        <v/>
      </c>
      <c r="D117" s="34" t="str">
        <f t="shared" ca="1" si="9"/>
        <v/>
      </c>
      <c r="E117" s="35"/>
      <c r="F117" s="36" t="str">
        <f t="shared" si="10"/>
        <v/>
      </c>
      <c r="G117" s="9"/>
      <c r="H117" s="37"/>
      <c r="I117" s="38" t="str">
        <f>IF(A117="","Pending",IF(H117="","⚠️ Enter Code",IF(IFERROR(VLOOKUP(G117,DB_Agents!$B:$I,8,0),"")=H117,IF(AND(A117&lt;&gt;"",E117&lt;&gt;""),"Saved","Pending"),"🔒 BLOCKED — Wrong Code")))</f>
        <v>Pending</v>
      </c>
      <c r="J117" s="39" t="str">
        <f t="shared" ca="1" si="11"/>
        <v>—</v>
      </c>
      <c r="K117" s="40"/>
    </row>
    <row r="118" spans="1:11" x14ac:dyDescent="0.25">
      <c r="A118" s="41"/>
      <c r="B118" s="11" t="str">
        <f>IF(A118="","",IFERROR(VLOOKUP(A118,DB_Customers!$A:$D,4,0),"❌ Account Not Found"))</f>
        <v/>
      </c>
      <c r="C118" s="42" t="str">
        <f>IF(A118="","",IFERROR(VLOOKUP(A118,DB_Customers!$A:$N,14,0),""))</f>
        <v/>
      </c>
      <c r="D118" s="43" t="str">
        <f t="shared" ca="1" si="9"/>
        <v/>
      </c>
      <c r="E118" s="35"/>
      <c r="F118" s="44" t="str">
        <f t="shared" si="10"/>
        <v/>
      </c>
      <c r="G118" s="13"/>
      <c r="H118" s="37"/>
      <c r="I118" s="45" t="str">
        <f>IF(A118="","Pending",IF(H118="","⚠️ Enter Code",IF(IFERROR(VLOOKUP(G118,DB_Agents!$B:$I,8,0),"")=H118,IF(AND(A118&lt;&gt;"",E118&lt;&gt;""),"Saved","Pending"),"🔒 BLOCKED — Wrong Code")))</f>
        <v>Pending</v>
      </c>
      <c r="J118" s="46" t="str">
        <f t="shared" ca="1" si="11"/>
        <v>—</v>
      </c>
      <c r="K118" s="47"/>
    </row>
    <row r="119" spans="1:11" x14ac:dyDescent="0.25">
      <c r="A119" s="32"/>
      <c r="B119" s="7" t="str">
        <f>IF(A119="","",IFERROR(VLOOKUP(A119,DB_Customers!$A:$D,4,0),"❌ Account Not Found"))</f>
        <v/>
      </c>
      <c r="C119" s="33" t="str">
        <f>IF(A119="","",IFERROR(VLOOKUP(A119,DB_Customers!$A:$N,14,0),""))</f>
        <v/>
      </c>
      <c r="D119" s="34" t="str">
        <f t="shared" ca="1" si="9"/>
        <v/>
      </c>
      <c r="E119" s="35"/>
      <c r="F119" s="36" t="str">
        <f t="shared" si="10"/>
        <v/>
      </c>
      <c r="G119" s="9"/>
      <c r="H119" s="37"/>
      <c r="I119" s="38" t="str">
        <f>IF(A119="","Pending",IF(H119="","⚠️ Enter Code",IF(IFERROR(VLOOKUP(G119,DB_Agents!$B:$I,8,0),"")=H119,IF(AND(A119&lt;&gt;"",E119&lt;&gt;""),"Saved","Pending"),"🔒 BLOCKED — Wrong Code")))</f>
        <v>Pending</v>
      </c>
      <c r="J119" s="39" t="str">
        <f t="shared" ca="1" si="11"/>
        <v>—</v>
      </c>
      <c r="K119" s="40"/>
    </row>
    <row r="120" spans="1:11" x14ac:dyDescent="0.25">
      <c r="A120" s="41"/>
      <c r="B120" s="11" t="str">
        <f>IF(A120="","",IFERROR(VLOOKUP(A120,DB_Customers!$A:$D,4,0),"❌ Account Not Found"))</f>
        <v/>
      </c>
      <c r="C120" s="42" t="str">
        <f>IF(A120="","",IFERROR(VLOOKUP(A120,DB_Customers!$A:$N,14,0),""))</f>
        <v/>
      </c>
      <c r="D120" s="43" t="str">
        <f t="shared" ca="1" si="9"/>
        <v/>
      </c>
      <c r="E120" s="35"/>
      <c r="F120" s="44" t="str">
        <f t="shared" si="10"/>
        <v/>
      </c>
      <c r="G120" s="13"/>
      <c r="H120" s="37"/>
      <c r="I120" s="45" t="str">
        <f>IF(A120="","Pending",IF(H120="","⚠️ Enter Code",IF(IFERROR(VLOOKUP(G120,DB_Agents!$B:$I,8,0),"")=H120,IF(AND(A120&lt;&gt;"",E120&lt;&gt;""),"Saved","Pending"),"🔒 BLOCKED — Wrong Code")))</f>
        <v>Pending</v>
      </c>
      <c r="J120" s="46" t="str">
        <f t="shared" ca="1" si="11"/>
        <v>—</v>
      </c>
      <c r="K120" s="47"/>
    </row>
    <row r="121" spans="1:11" x14ac:dyDescent="0.25">
      <c r="A121" s="32"/>
      <c r="B121" s="7" t="str">
        <f>IF(A121="","",IFERROR(VLOOKUP(A121,DB_Customers!$A:$D,4,0),"❌ Account Not Found"))</f>
        <v/>
      </c>
      <c r="C121" s="33" t="str">
        <f>IF(A121="","",IFERROR(VLOOKUP(A121,DB_Customers!$A:$N,14,0),""))</f>
        <v/>
      </c>
      <c r="D121" s="34" t="str">
        <f t="shared" ca="1" si="9"/>
        <v/>
      </c>
      <c r="E121" s="35"/>
      <c r="F121" s="36" t="str">
        <f t="shared" si="10"/>
        <v/>
      </c>
      <c r="G121" s="9"/>
      <c r="H121" s="37"/>
      <c r="I121" s="38" t="str">
        <f>IF(A121="","Pending",IF(H121="","⚠️ Enter Code",IF(IFERROR(VLOOKUP(G121,DB_Agents!$B:$I,8,0),"")=H121,IF(AND(A121&lt;&gt;"",E121&lt;&gt;""),"Saved","Pending"),"🔒 BLOCKED — Wrong Code")))</f>
        <v>Pending</v>
      </c>
      <c r="J121" s="39" t="str">
        <f t="shared" ca="1" si="11"/>
        <v>—</v>
      </c>
      <c r="K121" s="40"/>
    </row>
    <row r="122" spans="1:11" x14ac:dyDescent="0.25">
      <c r="A122" s="41"/>
      <c r="B122" s="11" t="str">
        <f>IF(A122="","",IFERROR(VLOOKUP(A122,DB_Customers!$A:$D,4,0),"❌ Account Not Found"))</f>
        <v/>
      </c>
      <c r="C122" s="42" t="str">
        <f>IF(A122="","",IFERROR(VLOOKUP(A122,DB_Customers!$A:$N,14,0),""))</f>
        <v/>
      </c>
      <c r="D122" s="43" t="str">
        <f t="shared" ca="1" si="9"/>
        <v/>
      </c>
      <c r="E122" s="35"/>
      <c r="F122" s="44" t="str">
        <f t="shared" si="10"/>
        <v/>
      </c>
      <c r="G122" s="13"/>
      <c r="H122" s="37"/>
      <c r="I122" s="45" t="str">
        <f>IF(A122="","Pending",IF(H122="","⚠️ Enter Code",IF(IFERROR(VLOOKUP(G122,DB_Agents!$B:$I,8,0),"")=H122,IF(AND(A122&lt;&gt;"",E122&lt;&gt;""),"Saved","Pending"),"🔒 BLOCKED — Wrong Code")))</f>
        <v>Pending</v>
      </c>
      <c r="J122" s="46" t="str">
        <f t="shared" ca="1" si="11"/>
        <v>—</v>
      </c>
      <c r="K122" s="47"/>
    </row>
    <row r="123" spans="1:11" x14ac:dyDescent="0.25">
      <c r="A123" s="32"/>
      <c r="B123" s="7" t="str">
        <f>IF(A123="","",IFERROR(VLOOKUP(A123,DB_Customers!$A:$D,4,0),"❌ Account Not Found"))</f>
        <v/>
      </c>
      <c r="C123" s="33" t="str">
        <f>IF(A123="","",IFERROR(VLOOKUP(A123,DB_Customers!$A:$N,14,0),""))</f>
        <v/>
      </c>
      <c r="D123" s="34" t="str">
        <f t="shared" ca="1" si="9"/>
        <v/>
      </c>
      <c r="E123" s="35"/>
      <c r="F123" s="36" t="str">
        <f t="shared" si="10"/>
        <v/>
      </c>
      <c r="G123" s="9"/>
      <c r="H123" s="37"/>
      <c r="I123" s="38" t="str">
        <f>IF(A123="","Pending",IF(H123="","⚠️ Enter Code",IF(IFERROR(VLOOKUP(G123,DB_Agents!$B:$I,8,0),"")=H123,IF(AND(A123&lt;&gt;"",E123&lt;&gt;""),"Saved","Pending"),"🔒 BLOCKED — Wrong Code")))</f>
        <v>Pending</v>
      </c>
      <c r="J123" s="39" t="str">
        <f t="shared" ca="1" si="11"/>
        <v>—</v>
      </c>
      <c r="K123" s="40"/>
    </row>
    <row r="124" spans="1:11" x14ac:dyDescent="0.25">
      <c r="A124" s="41"/>
      <c r="B124" s="11" t="str">
        <f>IF(A124="","",IFERROR(VLOOKUP(A124,DB_Customers!$A:$D,4,0),"❌ Account Not Found"))</f>
        <v/>
      </c>
      <c r="C124" s="42" t="str">
        <f>IF(A124="","",IFERROR(VLOOKUP(A124,DB_Customers!$A:$N,14,0),""))</f>
        <v/>
      </c>
      <c r="D124" s="43" t="str">
        <f t="shared" ca="1" si="9"/>
        <v/>
      </c>
      <c r="E124" s="35"/>
      <c r="F124" s="44" t="str">
        <f t="shared" si="10"/>
        <v/>
      </c>
      <c r="G124" s="13"/>
      <c r="H124" s="37"/>
      <c r="I124" s="45" t="str">
        <f>IF(A124="","Pending",IF(H124="","⚠️ Enter Code",IF(IFERROR(VLOOKUP(G124,DB_Agents!$B:$I,8,0),"")=H124,IF(AND(A124&lt;&gt;"",E124&lt;&gt;""),"Saved","Pending"),"🔒 BLOCKED — Wrong Code")))</f>
        <v>Pending</v>
      </c>
      <c r="J124" s="46" t="str">
        <f t="shared" ca="1" si="11"/>
        <v>—</v>
      </c>
      <c r="K124" s="47"/>
    </row>
    <row r="125" spans="1:11" x14ac:dyDescent="0.25">
      <c r="A125" s="32"/>
      <c r="B125" s="7" t="str">
        <f>IF(A125="","",IFERROR(VLOOKUP(A125,DB_Customers!$A:$D,4,0),"❌ Account Not Found"))</f>
        <v/>
      </c>
      <c r="C125" s="33" t="str">
        <f>IF(A125="","",IFERROR(VLOOKUP(A125,DB_Customers!$A:$N,14,0),""))</f>
        <v/>
      </c>
      <c r="D125" s="34" t="str">
        <f t="shared" ca="1" si="9"/>
        <v/>
      </c>
      <c r="E125" s="35"/>
      <c r="F125" s="36" t="str">
        <f t="shared" si="10"/>
        <v/>
      </c>
      <c r="G125" s="9"/>
      <c r="H125" s="37"/>
      <c r="I125" s="38" t="str">
        <f>IF(A125="","Pending",IF(H125="","⚠️ Enter Code",IF(IFERROR(VLOOKUP(G125,DB_Agents!$B:$I,8,0),"")=H125,IF(AND(A125&lt;&gt;"",E125&lt;&gt;""),"Saved","Pending"),"🔒 BLOCKED — Wrong Code")))</f>
        <v>Pending</v>
      </c>
      <c r="J125" s="39" t="str">
        <f t="shared" ca="1" si="11"/>
        <v>—</v>
      </c>
      <c r="K125" s="40"/>
    </row>
    <row r="126" spans="1:11" x14ac:dyDescent="0.25">
      <c r="A126" s="41"/>
      <c r="B126" s="11" t="str">
        <f>IF(A126="","",IFERROR(VLOOKUP(A126,DB_Customers!$A:$D,4,0),"❌ Account Not Found"))</f>
        <v/>
      </c>
      <c r="C126" s="42" t="str">
        <f>IF(A126="","",IFERROR(VLOOKUP(A126,DB_Customers!$A:$N,14,0),""))</f>
        <v/>
      </c>
      <c r="D126" s="43" t="str">
        <f t="shared" ca="1" si="9"/>
        <v/>
      </c>
      <c r="E126" s="35"/>
      <c r="F126" s="44" t="str">
        <f t="shared" si="10"/>
        <v/>
      </c>
      <c r="G126" s="13"/>
      <c r="H126" s="37"/>
      <c r="I126" s="45" t="str">
        <f>IF(A126="","Pending",IF(H126="","⚠️ Enter Code",IF(IFERROR(VLOOKUP(G126,DB_Agents!$B:$I,8,0),"")=H126,IF(AND(A126&lt;&gt;"",E126&lt;&gt;""),"Saved","Pending"),"🔒 BLOCKED — Wrong Code")))</f>
        <v>Pending</v>
      </c>
      <c r="J126" s="46" t="str">
        <f t="shared" ca="1" si="11"/>
        <v>—</v>
      </c>
      <c r="K126" s="47"/>
    </row>
    <row r="127" spans="1:11" x14ac:dyDescent="0.25">
      <c r="A127" s="32"/>
      <c r="B127" s="7" t="str">
        <f>IF(A127="","",IFERROR(VLOOKUP(A127,DB_Customers!$A:$D,4,0),"❌ Account Not Found"))</f>
        <v/>
      </c>
      <c r="C127" s="33" t="str">
        <f>IF(A127="","",IFERROR(VLOOKUP(A127,DB_Customers!$A:$N,14,0),""))</f>
        <v/>
      </c>
      <c r="D127" s="34" t="str">
        <f t="shared" ca="1" si="9"/>
        <v/>
      </c>
      <c r="E127" s="35"/>
      <c r="F127" s="36" t="str">
        <f t="shared" si="10"/>
        <v/>
      </c>
      <c r="G127" s="9"/>
      <c r="H127" s="37"/>
      <c r="I127" s="38" t="str">
        <f>IF(A127="","Pending",IF(H127="","⚠️ Enter Code",IF(IFERROR(VLOOKUP(G127,DB_Agents!$B:$I,8,0),"")=H127,IF(AND(A127&lt;&gt;"",E127&lt;&gt;""),"Saved","Pending"),"🔒 BLOCKED — Wrong Code")))</f>
        <v>Pending</v>
      </c>
      <c r="J127" s="39" t="str">
        <f t="shared" ca="1" si="11"/>
        <v>—</v>
      </c>
      <c r="K127" s="40"/>
    </row>
    <row r="128" spans="1:11" x14ac:dyDescent="0.25">
      <c r="A128" s="41"/>
      <c r="B128" s="11" t="str">
        <f>IF(A128="","",IFERROR(VLOOKUP(A128,DB_Customers!$A:$D,4,0),"❌ Account Not Found"))</f>
        <v/>
      </c>
      <c r="C128" s="42" t="str">
        <f>IF(A128="","",IFERROR(VLOOKUP(A128,DB_Customers!$A:$N,14,0),""))</f>
        <v/>
      </c>
      <c r="D128" s="43" t="str">
        <f t="shared" ca="1" si="9"/>
        <v/>
      </c>
      <c r="E128" s="35"/>
      <c r="F128" s="44" t="str">
        <f t="shared" si="10"/>
        <v/>
      </c>
      <c r="G128" s="13"/>
      <c r="H128" s="37"/>
      <c r="I128" s="45" t="str">
        <f>IF(A128="","Pending",IF(H128="","⚠️ Enter Code",IF(IFERROR(VLOOKUP(G128,DB_Agents!$B:$I,8,0),"")=H128,IF(AND(A128&lt;&gt;"",E128&lt;&gt;""),"Saved","Pending"),"🔒 BLOCKED — Wrong Code")))</f>
        <v>Pending</v>
      </c>
      <c r="J128" s="46" t="str">
        <f t="shared" ca="1" si="11"/>
        <v>—</v>
      </c>
      <c r="K128" s="47"/>
    </row>
    <row r="129" spans="1:11" x14ac:dyDescent="0.25">
      <c r="A129" s="32"/>
      <c r="B129" s="7" t="str">
        <f>IF(A129="","",IFERROR(VLOOKUP(A129,DB_Customers!$A:$D,4,0),"❌ Account Not Found"))</f>
        <v/>
      </c>
      <c r="C129" s="33" t="str">
        <f>IF(A129="","",IFERROR(VLOOKUP(A129,DB_Customers!$A:$N,14,0),""))</f>
        <v/>
      </c>
      <c r="D129" s="34" t="str">
        <f t="shared" ca="1" si="9"/>
        <v/>
      </c>
      <c r="E129" s="35"/>
      <c r="F129" s="36" t="str">
        <f t="shared" si="10"/>
        <v/>
      </c>
      <c r="G129" s="9"/>
      <c r="H129" s="37"/>
      <c r="I129" s="38" t="str">
        <f>IF(A129="","Pending",IF(H129="","⚠️ Enter Code",IF(IFERROR(VLOOKUP(G129,DB_Agents!$B:$I,8,0),"")=H129,IF(AND(A129&lt;&gt;"",E129&lt;&gt;""),"Saved","Pending"),"🔒 BLOCKED — Wrong Code")))</f>
        <v>Pending</v>
      </c>
      <c r="J129" s="39" t="str">
        <f t="shared" ca="1" si="11"/>
        <v>—</v>
      </c>
      <c r="K129" s="40"/>
    </row>
    <row r="130" spans="1:11" x14ac:dyDescent="0.25">
      <c r="A130" s="41"/>
      <c r="B130" s="11" t="str">
        <f>IF(A130="","",IFERROR(VLOOKUP(A130,DB_Customers!$A:$D,4,0),"❌ Account Not Found"))</f>
        <v/>
      </c>
      <c r="C130" s="42" t="str">
        <f>IF(A130="","",IFERROR(VLOOKUP(A130,DB_Customers!$A:$N,14,0),""))</f>
        <v/>
      </c>
      <c r="D130" s="43" t="str">
        <f t="shared" ca="1" si="9"/>
        <v/>
      </c>
      <c r="E130" s="35"/>
      <c r="F130" s="44" t="str">
        <f t="shared" si="10"/>
        <v/>
      </c>
      <c r="G130" s="13"/>
      <c r="H130" s="37"/>
      <c r="I130" s="45" t="str">
        <f>IF(A130="","Pending",IF(H130="","⚠️ Enter Code",IF(IFERROR(VLOOKUP(G130,DB_Agents!$B:$I,8,0),"")=H130,IF(AND(A130&lt;&gt;"",E130&lt;&gt;""),"Saved","Pending"),"🔒 BLOCKED — Wrong Code")))</f>
        <v>Pending</v>
      </c>
      <c r="J130" s="46" t="str">
        <f t="shared" ca="1" si="11"/>
        <v>—</v>
      </c>
      <c r="K130" s="47"/>
    </row>
    <row r="131" spans="1:11" x14ac:dyDescent="0.25">
      <c r="A131" s="32"/>
      <c r="B131" s="7" t="str">
        <f>IF(A131="","",IFERROR(VLOOKUP(A131,DB_Customers!$A:$D,4,0),"❌ Account Not Found"))</f>
        <v/>
      </c>
      <c r="C131" s="33" t="str">
        <f>IF(A131="","",IFERROR(VLOOKUP(A131,DB_Customers!$A:$N,14,0),""))</f>
        <v/>
      </c>
      <c r="D131" s="34" t="str">
        <f t="shared" ca="1" si="9"/>
        <v/>
      </c>
      <c r="E131" s="35"/>
      <c r="F131" s="36" t="str">
        <f t="shared" si="10"/>
        <v/>
      </c>
      <c r="G131" s="9"/>
      <c r="H131" s="37"/>
      <c r="I131" s="38" t="str">
        <f>IF(A131="","Pending",IF(H131="","⚠️ Enter Code",IF(IFERROR(VLOOKUP(G131,DB_Agents!$B:$I,8,0),"")=H131,IF(AND(A131&lt;&gt;"",E131&lt;&gt;""),"Saved","Pending"),"🔒 BLOCKED — Wrong Code")))</f>
        <v>Pending</v>
      </c>
      <c r="J131" s="39" t="str">
        <f t="shared" ca="1" si="11"/>
        <v>—</v>
      </c>
      <c r="K131" s="40"/>
    </row>
    <row r="132" spans="1:11" x14ac:dyDescent="0.25">
      <c r="A132" s="41"/>
      <c r="B132" s="11" t="str">
        <f>IF(A132="","",IFERROR(VLOOKUP(A132,DB_Customers!$A:$D,4,0),"❌ Account Not Found"))</f>
        <v/>
      </c>
      <c r="C132" s="42" t="str">
        <f>IF(A132="","",IFERROR(VLOOKUP(A132,DB_Customers!$A:$N,14,0),""))</f>
        <v/>
      </c>
      <c r="D132" s="43" t="str">
        <f t="shared" ca="1" si="9"/>
        <v/>
      </c>
      <c r="E132" s="35"/>
      <c r="F132" s="44" t="str">
        <f t="shared" si="10"/>
        <v/>
      </c>
      <c r="G132" s="13"/>
      <c r="H132" s="37"/>
      <c r="I132" s="45" t="str">
        <f>IF(A132="","Pending",IF(H132="","⚠️ Enter Code",IF(IFERROR(VLOOKUP(G132,DB_Agents!$B:$I,8,0),"")=H132,IF(AND(A132&lt;&gt;"",E132&lt;&gt;""),"Saved","Pending"),"🔒 BLOCKED — Wrong Code")))</f>
        <v>Pending</v>
      </c>
      <c r="J132" s="46" t="str">
        <f t="shared" ca="1" si="11"/>
        <v>—</v>
      </c>
      <c r="K132" s="47"/>
    </row>
    <row r="133" spans="1:11" x14ac:dyDescent="0.25">
      <c r="A133" s="32"/>
      <c r="B133" s="7" t="str">
        <f>IF(A133="","",IFERROR(VLOOKUP(A133,DB_Customers!$A:$D,4,0),"❌ Account Not Found"))</f>
        <v/>
      </c>
      <c r="C133" s="33" t="str">
        <f>IF(A133="","",IFERROR(VLOOKUP(A133,DB_Customers!$A:$N,14,0),""))</f>
        <v/>
      </c>
      <c r="D133" s="34" t="str">
        <f t="shared" ca="1" si="9"/>
        <v/>
      </c>
      <c r="E133" s="35"/>
      <c r="F133" s="36" t="str">
        <f t="shared" si="10"/>
        <v/>
      </c>
      <c r="G133" s="9"/>
      <c r="H133" s="37"/>
      <c r="I133" s="38" t="str">
        <f>IF(A133="","Pending",IF(H133="","⚠️ Enter Code",IF(IFERROR(VLOOKUP(G133,DB_Agents!$B:$I,8,0),"")=H133,IF(AND(A133&lt;&gt;"",E133&lt;&gt;""),"Saved","Pending"),"🔒 BLOCKED — Wrong Code")))</f>
        <v>Pending</v>
      </c>
      <c r="J133" s="39" t="str">
        <f t="shared" ca="1" si="11"/>
        <v>—</v>
      </c>
      <c r="K133" s="40"/>
    </row>
    <row r="134" spans="1:11" x14ac:dyDescent="0.25">
      <c r="A134" s="41"/>
      <c r="B134" s="11" t="str">
        <f>IF(A134="","",IFERROR(VLOOKUP(A134,DB_Customers!$A:$D,4,0),"❌ Account Not Found"))</f>
        <v/>
      </c>
      <c r="C134" s="42" t="str">
        <f>IF(A134="","",IFERROR(VLOOKUP(A134,DB_Customers!$A:$N,14,0),""))</f>
        <v/>
      </c>
      <c r="D134" s="43" t="str">
        <f t="shared" ca="1" si="9"/>
        <v/>
      </c>
      <c r="E134" s="35"/>
      <c r="F134" s="44" t="str">
        <f t="shared" si="10"/>
        <v/>
      </c>
      <c r="G134" s="13"/>
      <c r="H134" s="37"/>
      <c r="I134" s="45" t="str">
        <f>IF(A134="","Pending",IF(H134="","⚠️ Enter Code",IF(IFERROR(VLOOKUP(G134,DB_Agents!$B:$I,8,0),"")=H134,IF(AND(A134&lt;&gt;"",E134&lt;&gt;""),"Saved","Pending"),"🔒 BLOCKED — Wrong Code")))</f>
        <v>Pending</v>
      </c>
      <c r="J134" s="46" t="str">
        <f t="shared" ca="1" si="11"/>
        <v>—</v>
      </c>
      <c r="K134" s="47"/>
    </row>
    <row r="135" spans="1:11" x14ac:dyDescent="0.25">
      <c r="A135" s="32"/>
      <c r="B135" s="7" t="str">
        <f>IF(A135="","",IFERROR(VLOOKUP(A135,DB_Customers!$A:$D,4,0),"❌ Account Not Found"))</f>
        <v/>
      </c>
      <c r="C135" s="33" t="str">
        <f>IF(A135="","",IFERROR(VLOOKUP(A135,DB_Customers!$A:$N,14,0),""))</f>
        <v/>
      </c>
      <c r="D135" s="34" t="str">
        <f t="shared" ca="1" si="9"/>
        <v/>
      </c>
      <c r="E135" s="35"/>
      <c r="F135" s="36" t="str">
        <f t="shared" si="10"/>
        <v/>
      </c>
      <c r="G135" s="9"/>
      <c r="H135" s="37"/>
      <c r="I135" s="38" t="str">
        <f>IF(A135="","Pending",IF(H135="","⚠️ Enter Code",IF(IFERROR(VLOOKUP(G135,DB_Agents!$B:$I,8,0),"")=H135,IF(AND(A135&lt;&gt;"",E135&lt;&gt;""),"Saved","Pending"),"🔒 BLOCKED — Wrong Code")))</f>
        <v>Pending</v>
      </c>
      <c r="J135" s="39" t="str">
        <f t="shared" ca="1" si="11"/>
        <v>—</v>
      </c>
      <c r="K135" s="40"/>
    </row>
    <row r="136" spans="1:11" x14ac:dyDescent="0.25">
      <c r="A136" s="41"/>
      <c r="B136" s="11" t="str">
        <f>IF(A136="","",IFERROR(VLOOKUP(A136,DB_Customers!$A:$D,4,0),"❌ Account Not Found"))</f>
        <v/>
      </c>
      <c r="C136" s="42" t="str">
        <f>IF(A136="","",IFERROR(VLOOKUP(A136,DB_Customers!$A:$N,14,0),""))</f>
        <v/>
      </c>
      <c r="D136" s="43" t="str">
        <f t="shared" ca="1" si="9"/>
        <v/>
      </c>
      <c r="E136" s="35"/>
      <c r="F136" s="44" t="str">
        <f t="shared" si="10"/>
        <v/>
      </c>
      <c r="G136" s="13"/>
      <c r="H136" s="37"/>
      <c r="I136" s="45" t="str">
        <f>IF(A136="","Pending",IF(H136="","⚠️ Enter Code",IF(IFERROR(VLOOKUP(G136,DB_Agents!$B:$I,8,0),"")=H136,IF(AND(A136&lt;&gt;"",E136&lt;&gt;""),"Saved","Pending"),"🔒 BLOCKED — Wrong Code")))</f>
        <v>Pending</v>
      </c>
      <c r="J136" s="46" t="str">
        <f t="shared" ca="1" si="11"/>
        <v>—</v>
      </c>
      <c r="K136" s="47"/>
    </row>
    <row r="137" spans="1:11" x14ac:dyDescent="0.25">
      <c r="A137" s="32"/>
      <c r="B137" s="7" t="str">
        <f>IF(A137="","",IFERROR(VLOOKUP(A137,DB_Customers!$A:$D,4,0),"❌ Account Not Found"))</f>
        <v/>
      </c>
      <c r="C137" s="33" t="str">
        <f>IF(A137="","",IFERROR(VLOOKUP(A137,DB_Customers!$A:$N,14,0),""))</f>
        <v/>
      </c>
      <c r="D137" s="34" t="str">
        <f t="shared" ref="D137:D168" ca="1" si="12">IF(A137="","",TODAY())</f>
        <v/>
      </c>
      <c r="E137" s="35"/>
      <c r="F137" s="36" t="str">
        <f t="shared" ref="F137:F168" si="13">IF(OR(A137="",E137=""),"",IF(C137="","",C137+E137))</f>
        <v/>
      </c>
      <c r="G137" s="9"/>
      <c r="H137" s="37"/>
      <c r="I137" s="38" t="str">
        <f>IF(A137="","Pending",IF(H137="","⚠️ Enter Code",IF(IFERROR(VLOOKUP(G137,DB_Agents!$B:$I,8,0),"")=H137,IF(AND(A137&lt;&gt;"",E137&lt;&gt;""),"Saved","Pending"),"🔒 BLOCKED — Wrong Code")))</f>
        <v>Pending</v>
      </c>
      <c r="J137" s="39" t="str">
        <f t="shared" ref="J137:J168" ca="1" si="14">IF(I137="Saved",TEXT(TODAY(),"YYYY-MM-DD")&amp;" Auto","—")</f>
        <v>—</v>
      </c>
      <c r="K137" s="40"/>
    </row>
    <row r="138" spans="1:11" x14ac:dyDescent="0.25">
      <c r="A138" s="41"/>
      <c r="B138" s="11" t="str">
        <f>IF(A138="","",IFERROR(VLOOKUP(A138,DB_Customers!$A:$D,4,0),"❌ Account Not Found"))</f>
        <v/>
      </c>
      <c r="C138" s="42" t="str">
        <f>IF(A138="","",IFERROR(VLOOKUP(A138,DB_Customers!$A:$N,14,0),""))</f>
        <v/>
      </c>
      <c r="D138" s="43" t="str">
        <f t="shared" ca="1" si="12"/>
        <v/>
      </c>
      <c r="E138" s="35"/>
      <c r="F138" s="44" t="str">
        <f t="shared" si="13"/>
        <v/>
      </c>
      <c r="G138" s="13"/>
      <c r="H138" s="37"/>
      <c r="I138" s="45" t="str">
        <f>IF(A138="","Pending",IF(H138="","⚠️ Enter Code",IF(IFERROR(VLOOKUP(G138,DB_Agents!$B:$I,8,0),"")=H138,IF(AND(A138&lt;&gt;"",E138&lt;&gt;""),"Saved","Pending"),"🔒 BLOCKED — Wrong Code")))</f>
        <v>Pending</v>
      </c>
      <c r="J138" s="46" t="str">
        <f t="shared" ca="1" si="14"/>
        <v>—</v>
      </c>
      <c r="K138" s="47"/>
    </row>
    <row r="139" spans="1:11" x14ac:dyDescent="0.25">
      <c r="A139" s="32"/>
      <c r="B139" s="7" t="str">
        <f>IF(A139="","",IFERROR(VLOOKUP(A139,DB_Customers!$A:$D,4,0),"❌ Account Not Found"))</f>
        <v/>
      </c>
      <c r="C139" s="33" t="str">
        <f>IF(A139="","",IFERROR(VLOOKUP(A139,DB_Customers!$A:$N,14,0),""))</f>
        <v/>
      </c>
      <c r="D139" s="34" t="str">
        <f t="shared" ca="1" si="12"/>
        <v/>
      </c>
      <c r="E139" s="35"/>
      <c r="F139" s="36" t="str">
        <f t="shared" si="13"/>
        <v/>
      </c>
      <c r="G139" s="9"/>
      <c r="H139" s="37"/>
      <c r="I139" s="38" t="str">
        <f>IF(A139="","Pending",IF(H139="","⚠️ Enter Code",IF(IFERROR(VLOOKUP(G139,DB_Agents!$B:$I,8,0),"")=H139,IF(AND(A139&lt;&gt;"",E139&lt;&gt;""),"Saved","Pending"),"🔒 BLOCKED — Wrong Code")))</f>
        <v>Pending</v>
      </c>
      <c r="J139" s="39" t="str">
        <f t="shared" ca="1" si="14"/>
        <v>—</v>
      </c>
      <c r="K139" s="40"/>
    </row>
    <row r="140" spans="1:11" x14ac:dyDescent="0.25">
      <c r="A140" s="41"/>
      <c r="B140" s="11" t="str">
        <f>IF(A140="","",IFERROR(VLOOKUP(A140,DB_Customers!$A:$D,4,0),"❌ Account Not Found"))</f>
        <v/>
      </c>
      <c r="C140" s="42" t="str">
        <f>IF(A140="","",IFERROR(VLOOKUP(A140,DB_Customers!$A:$N,14,0),""))</f>
        <v/>
      </c>
      <c r="D140" s="43" t="str">
        <f t="shared" ca="1" si="12"/>
        <v/>
      </c>
      <c r="E140" s="35"/>
      <c r="F140" s="44" t="str">
        <f t="shared" si="13"/>
        <v/>
      </c>
      <c r="G140" s="13"/>
      <c r="H140" s="37"/>
      <c r="I140" s="45" t="str">
        <f>IF(A140="","Pending",IF(H140="","⚠️ Enter Code",IF(IFERROR(VLOOKUP(G140,DB_Agents!$B:$I,8,0),"")=H140,IF(AND(A140&lt;&gt;"",E140&lt;&gt;""),"Saved","Pending"),"🔒 BLOCKED — Wrong Code")))</f>
        <v>Pending</v>
      </c>
      <c r="J140" s="46" t="str">
        <f t="shared" ca="1" si="14"/>
        <v>—</v>
      </c>
      <c r="K140" s="47"/>
    </row>
    <row r="141" spans="1:11" x14ac:dyDescent="0.25">
      <c r="A141" s="32"/>
      <c r="B141" s="7" t="str">
        <f>IF(A141="","",IFERROR(VLOOKUP(A141,DB_Customers!$A:$D,4,0),"❌ Account Not Found"))</f>
        <v/>
      </c>
      <c r="C141" s="33" t="str">
        <f>IF(A141="","",IFERROR(VLOOKUP(A141,DB_Customers!$A:$N,14,0),""))</f>
        <v/>
      </c>
      <c r="D141" s="34" t="str">
        <f t="shared" ca="1" si="12"/>
        <v/>
      </c>
      <c r="E141" s="35"/>
      <c r="F141" s="36" t="str">
        <f t="shared" si="13"/>
        <v/>
      </c>
      <c r="G141" s="9"/>
      <c r="H141" s="37"/>
      <c r="I141" s="38" t="str">
        <f>IF(A141="","Pending",IF(H141="","⚠️ Enter Code",IF(IFERROR(VLOOKUP(G141,DB_Agents!$B:$I,8,0),"")=H141,IF(AND(A141&lt;&gt;"",E141&lt;&gt;""),"Saved","Pending"),"🔒 BLOCKED — Wrong Code")))</f>
        <v>Pending</v>
      </c>
      <c r="J141" s="39" t="str">
        <f t="shared" ca="1" si="14"/>
        <v>—</v>
      </c>
      <c r="K141" s="40"/>
    </row>
    <row r="142" spans="1:11" x14ac:dyDescent="0.25">
      <c r="A142" s="41"/>
      <c r="B142" s="11" t="str">
        <f>IF(A142="","",IFERROR(VLOOKUP(A142,DB_Customers!$A:$D,4,0),"❌ Account Not Found"))</f>
        <v/>
      </c>
      <c r="C142" s="42" t="str">
        <f>IF(A142="","",IFERROR(VLOOKUP(A142,DB_Customers!$A:$N,14,0),""))</f>
        <v/>
      </c>
      <c r="D142" s="43" t="str">
        <f t="shared" ca="1" si="12"/>
        <v/>
      </c>
      <c r="E142" s="35"/>
      <c r="F142" s="44" t="str">
        <f t="shared" si="13"/>
        <v/>
      </c>
      <c r="G142" s="13"/>
      <c r="H142" s="37"/>
      <c r="I142" s="45" t="str">
        <f>IF(A142="","Pending",IF(H142="","⚠️ Enter Code",IF(IFERROR(VLOOKUP(G142,DB_Agents!$B:$I,8,0),"")=H142,IF(AND(A142&lt;&gt;"",E142&lt;&gt;""),"Saved","Pending"),"🔒 BLOCKED — Wrong Code")))</f>
        <v>Pending</v>
      </c>
      <c r="J142" s="46" t="str">
        <f t="shared" ca="1" si="14"/>
        <v>—</v>
      </c>
      <c r="K142" s="47"/>
    </row>
    <row r="143" spans="1:11" x14ac:dyDescent="0.25">
      <c r="A143" s="32"/>
      <c r="B143" s="7" t="str">
        <f>IF(A143="","",IFERROR(VLOOKUP(A143,DB_Customers!$A:$D,4,0),"❌ Account Not Found"))</f>
        <v/>
      </c>
      <c r="C143" s="33" t="str">
        <f>IF(A143="","",IFERROR(VLOOKUP(A143,DB_Customers!$A:$N,14,0),""))</f>
        <v/>
      </c>
      <c r="D143" s="34" t="str">
        <f t="shared" ca="1" si="12"/>
        <v/>
      </c>
      <c r="E143" s="35"/>
      <c r="F143" s="36" t="str">
        <f t="shared" si="13"/>
        <v/>
      </c>
      <c r="G143" s="9"/>
      <c r="H143" s="37"/>
      <c r="I143" s="38" t="str">
        <f>IF(A143="","Pending",IF(H143="","⚠️ Enter Code",IF(IFERROR(VLOOKUP(G143,DB_Agents!$B:$I,8,0),"")=H143,IF(AND(A143&lt;&gt;"",E143&lt;&gt;""),"Saved","Pending"),"🔒 BLOCKED — Wrong Code")))</f>
        <v>Pending</v>
      </c>
      <c r="J143" s="39" t="str">
        <f t="shared" ca="1" si="14"/>
        <v>—</v>
      </c>
      <c r="K143" s="40"/>
    </row>
    <row r="144" spans="1:11" x14ac:dyDescent="0.25">
      <c r="A144" s="41"/>
      <c r="B144" s="11" t="str">
        <f>IF(A144="","",IFERROR(VLOOKUP(A144,DB_Customers!$A:$D,4,0),"❌ Account Not Found"))</f>
        <v/>
      </c>
      <c r="C144" s="42" t="str">
        <f>IF(A144="","",IFERROR(VLOOKUP(A144,DB_Customers!$A:$N,14,0),""))</f>
        <v/>
      </c>
      <c r="D144" s="43" t="str">
        <f t="shared" ca="1" si="12"/>
        <v/>
      </c>
      <c r="E144" s="35"/>
      <c r="F144" s="44" t="str">
        <f t="shared" si="13"/>
        <v/>
      </c>
      <c r="G144" s="13"/>
      <c r="H144" s="37"/>
      <c r="I144" s="45" t="str">
        <f>IF(A144="","Pending",IF(H144="","⚠️ Enter Code",IF(IFERROR(VLOOKUP(G144,DB_Agents!$B:$I,8,0),"")=H144,IF(AND(A144&lt;&gt;"",E144&lt;&gt;""),"Saved","Pending"),"🔒 BLOCKED — Wrong Code")))</f>
        <v>Pending</v>
      </c>
      <c r="J144" s="46" t="str">
        <f t="shared" ca="1" si="14"/>
        <v>—</v>
      </c>
      <c r="K144" s="47"/>
    </row>
    <row r="145" spans="1:11" x14ac:dyDescent="0.25">
      <c r="A145" s="32"/>
      <c r="B145" s="7" t="str">
        <f>IF(A145="","",IFERROR(VLOOKUP(A145,DB_Customers!$A:$D,4,0),"❌ Account Not Found"))</f>
        <v/>
      </c>
      <c r="C145" s="33" t="str">
        <f>IF(A145="","",IFERROR(VLOOKUP(A145,DB_Customers!$A:$N,14,0),""))</f>
        <v/>
      </c>
      <c r="D145" s="34" t="str">
        <f t="shared" ca="1" si="12"/>
        <v/>
      </c>
      <c r="E145" s="35"/>
      <c r="F145" s="36" t="str">
        <f t="shared" si="13"/>
        <v/>
      </c>
      <c r="G145" s="9"/>
      <c r="H145" s="37"/>
      <c r="I145" s="38" t="str">
        <f>IF(A145="","Pending",IF(H145="","⚠️ Enter Code",IF(IFERROR(VLOOKUP(G145,DB_Agents!$B:$I,8,0),"")=H145,IF(AND(A145&lt;&gt;"",E145&lt;&gt;""),"Saved","Pending"),"🔒 BLOCKED — Wrong Code")))</f>
        <v>Pending</v>
      </c>
      <c r="J145" s="39" t="str">
        <f t="shared" ca="1" si="14"/>
        <v>—</v>
      </c>
      <c r="K145" s="40"/>
    </row>
    <row r="146" spans="1:11" x14ac:dyDescent="0.25">
      <c r="A146" s="41"/>
      <c r="B146" s="11" t="str">
        <f>IF(A146="","",IFERROR(VLOOKUP(A146,DB_Customers!$A:$D,4,0),"❌ Account Not Found"))</f>
        <v/>
      </c>
      <c r="C146" s="42" t="str">
        <f>IF(A146="","",IFERROR(VLOOKUP(A146,DB_Customers!$A:$N,14,0),""))</f>
        <v/>
      </c>
      <c r="D146" s="43" t="str">
        <f t="shared" ca="1" si="12"/>
        <v/>
      </c>
      <c r="E146" s="35"/>
      <c r="F146" s="44" t="str">
        <f t="shared" si="13"/>
        <v/>
      </c>
      <c r="G146" s="13"/>
      <c r="H146" s="37"/>
      <c r="I146" s="45" t="str">
        <f>IF(A146="","Pending",IF(H146="","⚠️ Enter Code",IF(IFERROR(VLOOKUP(G146,DB_Agents!$B:$I,8,0),"")=H146,IF(AND(A146&lt;&gt;"",E146&lt;&gt;""),"Saved","Pending"),"🔒 BLOCKED — Wrong Code")))</f>
        <v>Pending</v>
      </c>
      <c r="J146" s="46" t="str">
        <f t="shared" ca="1" si="14"/>
        <v>—</v>
      </c>
      <c r="K146" s="47"/>
    </row>
    <row r="147" spans="1:11" x14ac:dyDescent="0.25">
      <c r="A147" s="32"/>
      <c r="B147" s="7" t="str">
        <f>IF(A147="","",IFERROR(VLOOKUP(A147,DB_Customers!$A:$D,4,0),"❌ Account Not Found"))</f>
        <v/>
      </c>
      <c r="C147" s="33" t="str">
        <f>IF(A147="","",IFERROR(VLOOKUP(A147,DB_Customers!$A:$N,14,0),""))</f>
        <v/>
      </c>
      <c r="D147" s="34" t="str">
        <f t="shared" ca="1" si="12"/>
        <v/>
      </c>
      <c r="E147" s="35"/>
      <c r="F147" s="36" t="str">
        <f t="shared" si="13"/>
        <v/>
      </c>
      <c r="G147" s="9"/>
      <c r="H147" s="37"/>
      <c r="I147" s="38" t="str">
        <f>IF(A147="","Pending",IF(H147="","⚠️ Enter Code",IF(IFERROR(VLOOKUP(G147,DB_Agents!$B:$I,8,0),"")=H147,IF(AND(A147&lt;&gt;"",E147&lt;&gt;""),"Saved","Pending"),"🔒 BLOCKED — Wrong Code")))</f>
        <v>Pending</v>
      </c>
      <c r="J147" s="39" t="str">
        <f t="shared" ca="1" si="14"/>
        <v>—</v>
      </c>
      <c r="K147" s="40"/>
    </row>
    <row r="148" spans="1:11" x14ac:dyDescent="0.25">
      <c r="A148" s="41"/>
      <c r="B148" s="11" t="str">
        <f>IF(A148="","",IFERROR(VLOOKUP(A148,DB_Customers!$A:$D,4,0),"❌ Account Not Found"))</f>
        <v/>
      </c>
      <c r="C148" s="42" t="str">
        <f>IF(A148="","",IFERROR(VLOOKUP(A148,DB_Customers!$A:$N,14,0),""))</f>
        <v/>
      </c>
      <c r="D148" s="43" t="str">
        <f t="shared" ca="1" si="12"/>
        <v/>
      </c>
      <c r="E148" s="35"/>
      <c r="F148" s="44" t="str">
        <f t="shared" si="13"/>
        <v/>
      </c>
      <c r="G148" s="13"/>
      <c r="H148" s="37"/>
      <c r="I148" s="45" t="str">
        <f>IF(A148="","Pending",IF(H148="","⚠️ Enter Code",IF(IFERROR(VLOOKUP(G148,DB_Agents!$B:$I,8,0),"")=H148,IF(AND(A148&lt;&gt;"",E148&lt;&gt;""),"Saved","Pending"),"🔒 BLOCKED — Wrong Code")))</f>
        <v>Pending</v>
      </c>
      <c r="J148" s="46" t="str">
        <f t="shared" ca="1" si="14"/>
        <v>—</v>
      </c>
      <c r="K148" s="47"/>
    </row>
    <row r="149" spans="1:11" x14ac:dyDescent="0.25">
      <c r="A149" s="32"/>
      <c r="B149" s="7" t="str">
        <f>IF(A149="","",IFERROR(VLOOKUP(A149,DB_Customers!$A:$D,4,0),"❌ Account Not Found"))</f>
        <v/>
      </c>
      <c r="C149" s="33" t="str">
        <f>IF(A149="","",IFERROR(VLOOKUP(A149,DB_Customers!$A:$N,14,0),""))</f>
        <v/>
      </c>
      <c r="D149" s="34" t="str">
        <f t="shared" ca="1" si="12"/>
        <v/>
      </c>
      <c r="E149" s="35"/>
      <c r="F149" s="36" t="str">
        <f t="shared" si="13"/>
        <v/>
      </c>
      <c r="G149" s="9"/>
      <c r="H149" s="37"/>
      <c r="I149" s="38" t="str">
        <f>IF(A149="","Pending",IF(H149="","⚠️ Enter Code",IF(IFERROR(VLOOKUP(G149,DB_Agents!$B:$I,8,0),"")=H149,IF(AND(A149&lt;&gt;"",E149&lt;&gt;""),"Saved","Pending"),"🔒 BLOCKED — Wrong Code")))</f>
        <v>Pending</v>
      </c>
      <c r="J149" s="39" t="str">
        <f t="shared" ca="1" si="14"/>
        <v>—</v>
      </c>
      <c r="K149" s="40"/>
    </row>
    <row r="150" spans="1:11" x14ac:dyDescent="0.25">
      <c r="A150" s="41"/>
      <c r="B150" s="11" t="str">
        <f>IF(A150="","",IFERROR(VLOOKUP(A150,DB_Customers!$A:$D,4,0),"❌ Account Not Found"))</f>
        <v/>
      </c>
      <c r="C150" s="42" t="str">
        <f>IF(A150="","",IFERROR(VLOOKUP(A150,DB_Customers!$A:$N,14,0),""))</f>
        <v/>
      </c>
      <c r="D150" s="43" t="str">
        <f t="shared" ca="1" si="12"/>
        <v/>
      </c>
      <c r="E150" s="35"/>
      <c r="F150" s="44" t="str">
        <f t="shared" si="13"/>
        <v/>
      </c>
      <c r="G150" s="13"/>
      <c r="H150" s="37"/>
      <c r="I150" s="45" t="str">
        <f>IF(A150="","Pending",IF(H150="","⚠️ Enter Code",IF(IFERROR(VLOOKUP(G150,DB_Agents!$B:$I,8,0),"")=H150,IF(AND(A150&lt;&gt;"",E150&lt;&gt;""),"Saved","Pending"),"🔒 BLOCKED — Wrong Code")))</f>
        <v>Pending</v>
      </c>
      <c r="J150" s="46" t="str">
        <f t="shared" ca="1" si="14"/>
        <v>—</v>
      </c>
      <c r="K150" s="47"/>
    </row>
    <row r="151" spans="1:11" x14ac:dyDescent="0.25">
      <c r="A151" s="32"/>
      <c r="B151" s="7" t="str">
        <f>IF(A151="","",IFERROR(VLOOKUP(A151,DB_Customers!$A:$D,4,0),"❌ Account Not Found"))</f>
        <v/>
      </c>
      <c r="C151" s="33" t="str">
        <f>IF(A151="","",IFERROR(VLOOKUP(A151,DB_Customers!$A:$N,14,0),""))</f>
        <v/>
      </c>
      <c r="D151" s="34" t="str">
        <f t="shared" ca="1" si="12"/>
        <v/>
      </c>
      <c r="E151" s="35"/>
      <c r="F151" s="36" t="str">
        <f t="shared" si="13"/>
        <v/>
      </c>
      <c r="G151" s="9"/>
      <c r="H151" s="37"/>
      <c r="I151" s="38" t="str">
        <f>IF(A151="","Pending",IF(H151="","⚠️ Enter Code",IF(IFERROR(VLOOKUP(G151,DB_Agents!$B:$I,8,0),"")=H151,IF(AND(A151&lt;&gt;"",E151&lt;&gt;""),"Saved","Pending"),"🔒 BLOCKED — Wrong Code")))</f>
        <v>Pending</v>
      </c>
      <c r="J151" s="39" t="str">
        <f t="shared" ca="1" si="14"/>
        <v>—</v>
      </c>
      <c r="K151" s="40"/>
    </row>
    <row r="152" spans="1:11" x14ac:dyDescent="0.25">
      <c r="A152" s="41"/>
      <c r="B152" s="11" t="str">
        <f>IF(A152="","",IFERROR(VLOOKUP(A152,DB_Customers!$A:$D,4,0),"❌ Account Not Found"))</f>
        <v/>
      </c>
      <c r="C152" s="42" t="str">
        <f>IF(A152="","",IFERROR(VLOOKUP(A152,DB_Customers!$A:$N,14,0),""))</f>
        <v/>
      </c>
      <c r="D152" s="43" t="str">
        <f t="shared" ca="1" si="12"/>
        <v/>
      </c>
      <c r="E152" s="35"/>
      <c r="F152" s="44" t="str">
        <f t="shared" si="13"/>
        <v/>
      </c>
      <c r="G152" s="13"/>
      <c r="H152" s="37"/>
      <c r="I152" s="45" t="str">
        <f>IF(A152="","Pending",IF(H152="","⚠️ Enter Code",IF(IFERROR(VLOOKUP(G152,DB_Agents!$B:$I,8,0),"")=H152,IF(AND(A152&lt;&gt;"",E152&lt;&gt;""),"Saved","Pending"),"🔒 BLOCKED — Wrong Code")))</f>
        <v>Pending</v>
      </c>
      <c r="J152" s="46" t="str">
        <f t="shared" ca="1" si="14"/>
        <v>—</v>
      </c>
      <c r="K152" s="47"/>
    </row>
    <row r="153" spans="1:11" x14ac:dyDescent="0.25">
      <c r="A153" s="32"/>
      <c r="B153" s="7" t="str">
        <f>IF(A153="","",IFERROR(VLOOKUP(A153,DB_Customers!$A:$D,4,0),"❌ Account Not Found"))</f>
        <v/>
      </c>
      <c r="C153" s="33" t="str">
        <f>IF(A153="","",IFERROR(VLOOKUP(A153,DB_Customers!$A:$N,14,0),""))</f>
        <v/>
      </c>
      <c r="D153" s="34" t="str">
        <f t="shared" ca="1" si="12"/>
        <v/>
      </c>
      <c r="E153" s="35"/>
      <c r="F153" s="36" t="str">
        <f t="shared" si="13"/>
        <v/>
      </c>
      <c r="G153" s="9"/>
      <c r="H153" s="37"/>
      <c r="I153" s="38" t="str">
        <f>IF(A153="","Pending",IF(H153="","⚠️ Enter Code",IF(IFERROR(VLOOKUP(G153,DB_Agents!$B:$I,8,0),"")=H153,IF(AND(A153&lt;&gt;"",E153&lt;&gt;""),"Saved","Pending"),"🔒 BLOCKED — Wrong Code")))</f>
        <v>Pending</v>
      </c>
      <c r="J153" s="39" t="str">
        <f t="shared" ca="1" si="14"/>
        <v>—</v>
      </c>
      <c r="K153" s="40"/>
    </row>
    <row r="154" spans="1:11" x14ac:dyDescent="0.25">
      <c r="A154" s="41"/>
      <c r="B154" s="11" t="str">
        <f>IF(A154="","",IFERROR(VLOOKUP(A154,DB_Customers!$A:$D,4,0),"❌ Account Not Found"))</f>
        <v/>
      </c>
      <c r="C154" s="42" t="str">
        <f>IF(A154="","",IFERROR(VLOOKUP(A154,DB_Customers!$A:$N,14,0),""))</f>
        <v/>
      </c>
      <c r="D154" s="43" t="str">
        <f t="shared" ca="1" si="12"/>
        <v/>
      </c>
      <c r="E154" s="35"/>
      <c r="F154" s="44" t="str">
        <f t="shared" si="13"/>
        <v/>
      </c>
      <c r="G154" s="13"/>
      <c r="H154" s="37"/>
      <c r="I154" s="45" t="str">
        <f>IF(A154="","Pending",IF(H154="","⚠️ Enter Code",IF(IFERROR(VLOOKUP(G154,DB_Agents!$B:$I,8,0),"")=H154,IF(AND(A154&lt;&gt;"",E154&lt;&gt;""),"Saved","Pending"),"🔒 BLOCKED — Wrong Code")))</f>
        <v>Pending</v>
      </c>
      <c r="J154" s="46" t="str">
        <f t="shared" ca="1" si="14"/>
        <v>—</v>
      </c>
      <c r="K154" s="47"/>
    </row>
    <row r="155" spans="1:11" x14ac:dyDescent="0.25">
      <c r="A155" s="32"/>
      <c r="B155" s="7" t="str">
        <f>IF(A155="","",IFERROR(VLOOKUP(A155,DB_Customers!$A:$D,4,0),"❌ Account Not Found"))</f>
        <v/>
      </c>
      <c r="C155" s="33" t="str">
        <f>IF(A155="","",IFERROR(VLOOKUP(A155,DB_Customers!$A:$N,14,0),""))</f>
        <v/>
      </c>
      <c r="D155" s="34" t="str">
        <f t="shared" ca="1" si="12"/>
        <v/>
      </c>
      <c r="E155" s="35"/>
      <c r="F155" s="36" t="str">
        <f t="shared" si="13"/>
        <v/>
      </c>
      <c r="G155" s="9"/>
      <c r="H155" s="37"/>
      <c r="I155" s="38" t="str">
        <f>IF(A155="","Pending",IF(H155="","⚠️ Enter Code",IF(IFERROR(VLOOKUP(G155,DB_Agents!$B:$I,8,0),"")=H155,IF(AND(A155&lt;&gt;"",E155&lt;&gt;""),"Saved","Pending"),"🔒 BLOCKED — Wrong Code")))</f>
        <v>Pending</v>
      </c>
      <c r="J155" s="39" t="str">
        <f t="shared" ca="1" si="14"/>
        <v>—</v>
      </c>
      <c r="K155" s="40"/>
    </row>
    <row r="156" spans="1:11" x14ac:dyDescent="0.25">
      <c r="A156" s="41"/>
      <c r="B156" s="11" t="str">
        <f>IF(A156="","",IFERROR(VLOOKUP(A156,DB_Customers!$A:$D,4,0),"❌ Account Not Found"))</f>
        <v/>
      </c>
      <c r="C156" s="42" t="str">
        <f>IF(A156="","",IFERROR(VLOOKUP(A156,DB_Customers!$A:$N,14,0),""))</f>
        <v/>
      </c>
      <c r="D156" s="43" t="str">
        <f t="shared" ca="1" si="12"/>
        <v/>
      </c>
      <c r="E156" s="35"/>
      <c r="F156" s="44" t="str">
        <f t="shared" si="13"/>
        <v/>
      </c>
      <c r="G156" s="13"/>
      <c r="H156" s="37"/>
      <c r="I156" s="45" t="str">
        <f>IF(A156="","Pending",IF(H156="","⚠️ Enter Code",IF(IFERROR(VLOOKUP(G156,DB_Agents!$B:$I,8,0),"")=H156,IF(AND(A156&lt;&gt;"",E156&lt;&gt;""),"Saved","Pending"),"🔒 BLOCKED — Wrong Code")))</f>
        <v>Pending</v>
      </c>
      <c r="J156" s="46" t="str">
        <f t="shared" ca="1" si="14"/>
        <v>—</v>
      </c>
      <c r="K156" s="47"/>
    </row>
    <row r="157" spans="1:11" x14ac:dyDescent="0.25">
      <c r="A157" s="32"/>
      <c r="B157" s="7" t="str">
        <f>IF(A157="","",IFERROR(VLOOKUP(A157,DB_Customers!$A:$D,4,0),"❌ Account Not Found"))</f>
        <v/>
      </c>
      <c r="C157" s="33" t="str">
        <f>IF(A157="","",IFERROR(VLOOKUP(A157,DB_Customers!$A:$N,14,0),""))</f>
        <v/>
      </c>
      <c r="D157" s="34" t="str">
        <f t="shared" ca="1" si="12"/>
        <v/>
      </c>
      <c r="E157" s="35"/>
      <c r="F157" s="36" t="str">
        <f t="shared" si="13"/>
        <v/>
      </c>
      <c r="G157" s="9"/>
      <c r="H157" s="37"/>
      <c r="I157" s="38" t="str">
        <f>IF(A157="","Pending",IF(H157="","⚠️ Enter Code",IF(IFERROR(VLOOKUP(G157,DB_Agents!$B:$I,8,0),"")=H157,IF(AND(A157&lt;&gt;"",E157&lt;&gt;""),"Saved","Pending"),"🔒 BLOCKED — Wrong Code")))</f>
        <v>Pending</v>
      </c>
      <c r="J157" s="39" t="str">
        <f t="shared" ca="1" si="14"/>
        <v>—</v>
      </c>
      <c r="K157" s="40"/>
    </row>
    <row r="158" spans="1:11" x14ac:dyDescent="0.25">
      <c r="A158" s="41"/>
      <c r="B158" s="11" t="str">
        <f>IF(A158="","",IFERROR(VLOOKUP(A158,DB_Customers!$A:$D,4,0),"❌ Account Not Found"))</f>
        <v/>
      </c>
      <c r="C158" s="42" t="str">
        <f>IF(A158="","",IFERROR(VLOOKUP(A158,DB_Customers!$A:$N,14,0),""))</f>
        <v/>
      </c>
      <c r="D158" s="43" t="str">
        <f t="shared" ca="1" si="12"/>
        <v/>
      </c>
      <c r="E158" s="35"/>
      <c r="F158" s="44" t="str">
        <f t="shared" si="13"/>
        <v/>
      </c>
      <c r="G158" s="13"/>
      <c r="H158" s="37"/>
      <c r="I158" s="45" t="str">
        <f>IF(A158="","Pending",IF(H158="","⚠️ Enter Code",IF(IFERROR(VLOOKUP(G158,DB_Agents!$B:$I,8,0),"")=H158,IF(AND(A158&lt;&gt;"",E158&lt;&gt;""),"Saved","Pending"),"🔒 BLOCKED — Wrong Code")))</f>
        <v>Pending</v>
      </c>
      <c r="J158" s="46" t="str">
        <f t="shared" ca="1" si="14"/>
        <v>—</v>
      </c>
      <c r="K158" s="47"/>
    </row>
    <row r="159" spans="1:11" x14ac:dyDescent="0.25">
      <c r="A159" s="32"/>
      <c r="B159" s="7" t="str">
        <f>IF(A159="","",IFERROR(VLOOKUP(A159,DB_Customers!$A:$D,4,0),"❌ Account Not Found"))</f>
        <v/>
      </c>
      <c r="C159" s="33" t="str">
        <f>IF(A159="","",IFERROR(VLOOKUP(A159,DB_Customers!$A:$N,14,0),""))</f>
        <v/>
      </c>
      <c r="D159" s="34" t="str">
        <f t="shared" ca="1" si="12"/>
        <v/>
      </c>
      <c r="E159" s="35"/>
      <c r="F159" s="36" t="str">
        <f t="shared" si="13"/>
        <v/>
      </c>
      <c r="G159" s="9"/>
      <c r="H159" s="37"/>
      <c r="I159" s="38" t="str">
        <f>IF(A159="","Pending",IF(H159="","⚠️ Enter Code",IF(IFERROR(VLOOKUP(G159,DB_Agents!$B:$I,8,0),"")=H159,IF(AND(A159&lt;&gt;"",E159&lt;&gt;""),"Saved","Pending"),"🔒 BLOCKED — Wrong Code")))</f>
        <v>Pending</v>
      </c>
      <c r="J159" s="39" t="str">
        <f t="shared" ca="1" si="14"/>
        <v>—</v>
      </c>
      <c r="K159" s="40"/>
    </row>
    <row r="160" spans="1:11" x14ac:dyDescent="0.25">
      <c r="A160" s="41"/>
      <c r="B160" s="11" t="str">
        <f>IF(A160="","",IFERROR(VLOOKUP(A160,DB_Customers!$A:$D,4,0),"❌ Account Not Found"))</f>
        <v/>
      </c>
      <c r="C160" s="42" t="str">
        <f>IF(A160="","",IFERROR(VLOOKUP(A160,DB_Customers!$A:$N,14,0),""))</f>
        <v/>
      </c>
      <c r="D160" s="43" t="str">
        <f t="shared" ca="1" si="12"/>
        <v/>
      </c>
      <c r="E160" s="35"/>
      <c r="F160" s="44" t="str">
        <f t="shared" si="13"/>
        <v/>
      </c>
      <c r="G160" s="13"/>
      <c r="H160" s="37"/>
      <c r="I160" s="45" t="str">
        <f>IF(A160="","Pending",IF(H160="","⚠️ Enter Code",IF(IFERROR(VLOOKUP(G160,DB_Agents!$B:$I,8,0),"")=H160,IF(AND(A160&lt;&gt;"",E160&lt;&gt;""),"Saved","Pending"),"🔒 BLOCKED — Wrong Code")))</f>
        <v>Pending</v>
      </c>
      <c r="J160" s="46" t="str">
        <f t="shared" ca="1" si="14"/>
        <v>—</v>
      </c>
      <c r="K160" s="47"/>
    </row>
    <row r="161" spans="1:11" x14ac:dyDescent="0.25">
      <c r="A161" s="32"/>
      <c r="B161" s="7" t="str">
        <f>IF(A161="","",IFERROR(VLOOKUP(A161,DB_Customers!$A:$D,4,0),"❌ Account Not Found"))</f>
        <v/>
      </c>
      <c r="C161" s="33" t="str">
        <f>IF(A161="","",IFERROR(VLOOKUP(A161,DB_Customers!$A:$N,14,0),""))</f>
        <v/>
      </c>
      <c r="D161" s="34" t="str">
        <f t="shared" ca="1" si="12"/>
        <v/>
      </c>
      <c r="E161" s="35"/>
      <c r="F161" s="36" t="str">
        <f t="shared" si="13"/>
        <v/>
      </c>
      <c r="G161" s="9"/>
      <c r="H161" s="37"/>
      <c r="I161" s="38" t="str">
        <f>IF(A161="","Pending",IF(H161="","⚠️ Enter Code",IF(IFERROR(VLOOKUP(G161,DB_Agents!$B:$I,8,0),"")=H161,IF(AND(A161&lt;&gt;"",E161&lt;&gt;""),"Saved","Pending"),"🔒 BLOCKED — Wrong Code")))</f>
        <v>Pending</v>
      </c>
      <c r="J161" s="39" t="str">
        <f t="shared" ca="1" si="14"/>
        <v>—</v>
      </c>
      <c r="K161" s="40"/>
    </row>
    <row r="162" spans="1:11" x14ac:dyDescent="0.25">
      <c r="A162" s="41"/>
      <c r="B162" s="11" t="str">
        <f>IF(A162="","",IFERROR(VLOOKUP(A162,DB_Customers!$A:$D,4,0),"❌ Account Not Found"))</f>
        <v/>
      </c>
      <c r="C162" s="42" t="str">
        <f>IF(A162="","",IFERROR(VLOOKUP(A162,DB_Customers!$A:$N,14,0),""))</f>
        <v/>
      </c>
      <c r="D162" s="43" t="str">
        <f t="shared" ca="1" si="12"/>
        <v/>
      </c>
      <c r="E162" s="35"/>
      <c r="F162" s="44" t="str">
        <f t="shared" si="13"/>
        <v/>
      </c>
      <c r="G162" s="13"/>
      <c r="H162" s="37"/>
      <c r="I162" s="45" t="str">
        <f>IF(A162="","Pending",IF(H162="","⚠️ Enter Code",IF(IFERROR(VLOOKUP(G162,DB_Agents!$B:$I,8,0),"")=H162,IF(AND(A162&lt;&gt;"",E162&lt;&gt;""),"Saved","Pending"),"🔒 BLOCKED — Wrong Code")))</f>
        <v>Pending</v>
      </c>
      <c r="J162" s="46" t="str">
        <f t="shared" ca="1" si="14"/>
        <v>—</v>
      </c>
      <c r="K162" s="47"/>
    </row>
    <row r="163" spans="1:11" x14ac:dyDescent="0.25">
      <c r="A163" s="32"/>
      <c r="B163" s="7" t="str">
        <f>IF(A163="","",IFERROR(VLOOKUP(A163,DB_Customers!$A:$D,4,0),"❌ Account Not Found"))</f>
        <v/>
      </c>
      <c r="C163" s="33" t="str">
        <f>IF(A163="","",IFERROR(VLOOKUP(A163,DB_Customers!$A:$N,14,0),""))</f>
        <v/>
      </c>
      <c r="D163" s="34" t="str">
        <f t="shared" ca="1" si="12"/>
        <v/>
      </c>
      <c r="E163" s="35"/>
      <c r="F163" s="36" t="str">
        <f t="shared" si="13"/>
        <v/>
      </c>
      <c r="G163" s="9"/>
      <c r="H163" s="37"/>
      <c r="I163" s="38" t="str">
        <f>IF(A163="","Pending",IF(H163="","⚠️ Enter Code",IF(IFERROR(VLOOKUP(G163,DB_Agents!$B:$I,8,0),"")=H163,IF(AND(A163&lt;&gt;"",E163&lt;&gt;""),"Saved","Pending"),"🔒 BLOCKED — Wrong Code")))</f>
        <v>Pending</v>
      </c>
      <c r="J163" s="39" t="str">
        <f t="shared" ca="1" si="14"/>
        <v>—</v>
      </c>
      <c r="K163" s="40"/>
    </row>
    <row r="164" spans="1:11" x14ac:dyDescent="0.25">
      <c r="A164" s="41"/>
      <c r="B164" s="11" t="str">
        <f>IF(A164="","",IFERROR(VLOOKUP(A164,DB_Customers!$A:$D,4,0),"❌ Account Not Found"))</f>
        <v/>
      </c>
      <c r="C164" s="42" t="str">
        <f>IF(A164="","",IFERROR(VLOOKUP(A164,DB_Customers!$A:$N,14,0),""))</f>
        <v/>
      </c>
      <c r="D164" s="43" t="str">
        <f t="shared" ca="1" si="12"/>
        <v/>
      </c>
      <c r="E164" s="35"/>
      <c r="F164" s="44" t="str">
        <f t="shared" si="13"/>
        <v/>
      </c>
      <c r="G164" s="13"/>
      <c r="H164" s="37"/>
      <c r="I164" s="45" t="str">
        <f>IF(A164="","Pending",IF(H164="","⚠️ Enter Code",IF(IFERROR(VLOOKUP(G164,DB_Agents!$B:$I,8,0),"")=H164,IF(AND(A164&lt;&gt;"",E164&lt;&gt;""),"Saved","Pending"),"🔒 BLOCKED — Wrong Code")))</f>
        <v>Pending</v>
      </c>
      <c r="J164" s="46" t="str">
        <f t="shared" ca="1" si="14"/>
        <v>—</v>
      </c>
      <c r="K164" s="47"/>
    </row>
    <row r="165" spans="1:11" x14ac:dyDescent="0.25">
      <c r="A165" s="32"/>
      <c r="B165" s="7" t="str">
        <f>IF(A165="","",IFERROR(VLOOKUP(A165,DB_Customers!$A:$D,4,0),"❌ Account Not Found"))</f>
        <v/>
      </c>
      <c r="C165" s="33" t="str">
        <f>IF(A165="","",IFERROR(VLOOKUP(A165,DB_Customers!$A:$N,14,0),""))</f>
        <v/>
      </c>
      <c r="D165" s="34" t="str">
        <f t="shared" ca="1" si="12"/>
        <v/>
      </c>
      <c r="E165" s="35"/>
      <c r="F165" s="36" t="str">
        <f t="shared" si="13"/>
        <v/>
      </c>
      <c r="G165" s="9"/>
      <c r="H165" s="37"/>
      <c r="I165" s="38" t="str">
        <f>IF(A165="","Pending",IF(H165="","⚠️ Enter Code",IF(IFERROR(VLOOKUP(G165,DB_Agents!$B:$I,8,0),"")=H165,IF(AND(A165&lt;&gt;"",E165&lt;&gt;""),"Saved","Pending"),"🔒 BLOCKED — Wrong Code")))</f>
        <v>Pending</v>
      </c>
      <c r="J165" s="39" t="str">
        <f t="shared" ca="1" si="14"/>
        <v>—</v>
      </c>
      <c r="K165" s="40"/>
    </row>
    <row r="166" spans="1:11" x14ac:dyDescent="0.25">
      <c r="A166" s="41"/>
      <c r="B166" s="11" t="str">
        <f>IF(A166="","",IFERROR(VLOOKUP(A166,DB_Customers!$A:$D,4,0),"❌ Account Not Found"))</f>
        <v/>
      </c>
      <c r="C166" s="42" t="str">
        <f>IF(A166="","",IFERROR(VLOOKUP(A166,DB_Customers!$A:$N,14,0),""))</f>
        <v/>
      </c>
      <c r="D166" s="43" t="str">
        <f t="shared" ca="1" si="12"/>
        <v/>
      </c>
      <c r="E166" s="35"/>
      <c r="F166" s="44" t="str">
        <f t="shared" si="13"/>
        <v/>
      </c>
      <c r="G166" s="13"/>
      <c r="H166" s="37"/>
      <c r="I166" s="45" t="str">
        <f>IF(A166="","Pending",IF(H166="","⚠️ Enter Code",IF(IFERROR(VLOOKUP(G166,DB_Agents!$B:$I,8,0),"")=H166,IF(AND(A166&lt;&gt;"",E166&lt;&gt;""),"Saved","Pending"),"🔒 BLOCKED — Wrong Code")))</f>
        <v>Pending</v>
      </c>
      <c r="J166" s="46" t="str">
        <f t="shared" ca="1" si="14"/>
        <v>—</v>
      </c>
      <c r="K166" s="47"/>
    </row>
    <row r="167" spans="1:11" x14ac:dyDescent="0.25">
      <c r="A167" s="32"/>
      <c r="B167" s="7" t="str">
        <f>IF(A167="","",IFERROR(VLOOKUP(A167,DB_Customers!$A:$D,4,0),"❌ Account Not Found"))</f>
        <v/>
      </c>
      <c r="C167" s="33" t="str">
        <f>IF(A167="","",IFERROR(VLOOKUP(A167,DB_Customers!$A:$N,14,0),""))</f>
        <v/>
      </c>
      <c r="D167" s="34" t="str">
        <f t="shared" ca="1" si="12"/>
        <v/>
      </c>
      <c r="E167" s="35"/>
      <c r="F167" s="36" t="str">
        <f t="shared" si="13"/>
        <v/>
      </c>
      <c r="G167" s="9"/>
      <c r="H167" s="37"/>
      <c r="I167" s="38" t="str">
        <f>IF(A167="","Pending",IF(H167="","⚠️ Enter Code",IF(IFERROR(VLOOKUP(G167,DB_Agents!$B:$I,8,0),"")=H167,IF(AND(A167&lt;&gt;"",E167&lt;&gt;""),"Saved","Pending"),"🔒 BLOCKED — Wrong Code")))</f>
        <v>Pending</v>
      </c>
      <c r="J167" s="39" t="str">
        <f t="shared" ca="1" si="14"/>
        <v>—</v>
      </c>
      <c r="K167" s="40"/>
    </row>
    <row r="168" spans="1:11" x14ac:dyDescent="0.25">
      <c r="A168" s="41"/>
      <c r="B168" s="11" t="str">
        <f>IF(A168="","",IFERROR(VLOOKUP(A168,DB_Customers!$A:$D,4,0),"❌ Account Not Found"))</f>
        <v/>
      </c>
      <c r="C168" s="42" t="str">
        <f>IF(A168="","",IFERROR(VLOOKUP(A168,DB_Customers!$A:$N,14,0),""))</f>
        <v/>
      </c>
      <c r="D168" s="43" t="str">
        <f t="shared" ca="1" si="12"/>
        <v/>
      </c>
      <c r="E168" s="35"/>
      <c r="F168" s="44" t="str">
        <f t="shared" si="13"/>
        <v/>
      </c>
      <c r="G168" s="13"/>
      <c r="H168" s="37"/>
      <c r="I168" s="45" t="str">
        <f>IF(A168="","Pending",IF(H168="","⚠️ Enter Code",IF(IFERROR(VLOOKUP(G168,DB_Agents!$B:$I,8,0),"")=H168,IF(AND(A168&lt;&gt;"",E168&lt;&gt;""),"Saved","Pending"),"🔒 BLOCKED — Wrong Code")))</f>
        <v>Pending</v>
      </c>
      <c r="J168" s="46" t="str">
        <f t="shared" ca="1" si="14"/>
        <v>—</v>
      </c>
      <c r="K168" s="47"/>
    </row>
    <row r="169" spans="1:11" x14ac:dyDescent="0.25">
      <c r="A169" s="32"/>
      <c r="B169" s="7" t="str">
        <f>IF(A169="","",IFERROR(VLOOKUP(A169,DB_Customers!$A:$D,4,0),"❌ Account Not Found"))</f>
        <v/>
      </c>
      <c r="C169" s="33" t="str">
        <f>IF(A169="","",IFERROR(VLOOKUP(A169,DB_Customers!$A:$N,14,0),""))</f>
        <v/>
      </c>
      <c r="D169" s="34" t="str">
        <f t="shared" ref="D169:D200" ca="1" si="15">IF(A169="","",TODAY())</f>
        <v/>
      </c>
      <c r="E169" s="35"/>
      <c r="F169" s="36" t="str">
        <f t="shared" ref="F169:F200" si="16">IF(OR(A169="",E169=""),"",IF(C169="","",C169+E169))</f>
        <v/>
      </c>
      <c r="G169" s="9"/>
      <c r="H169" s="37"/>
      <c r="I169" s="38" t="str">
        <f>IF(A169="","Pending",IF(H169="","⚠️ Enter Code",IF(IFERROR(VLOOKUP(G169,DB_Agents!$B:$I,8,0),"")=H169,IF(AND(A169&lt;&gt;"",E169&lt;&gt;""),"Saved","Pending"),"🔒 BLOCKED — Wrong Code")))</f>
        <v>Pending</v>
      </c>
      <c r="J169" s="39" t="str">
        <f t="shared" ref="J169:J200" ca="1" si="17">IF(I169="Saved",TEXT(TODAY(),"YYYY-MM-DD")&amp;" Auto","—")</f>
        <v>—</v>
      </c>
      <c r="K169" s="40"/>
    </row>
    <row r="170" spans="1:11" x14ac:dyDescent="0.25">
      <c r="A170" s="41"/>
      <c r="B170" s="11" t="str">
        <f>IF(A170="","",IFERROR(VLOOKUP(A170,DB_Customers!$A:$D,4,0),"❌ Account Not Found"))</f>
        <v/>
      </c>
      <c r="C170" s="42" t="str">
        <f>IF(A170="","",IFERROR(VLOOKUP(A170,DB_Customers!$A:$N,14,0),""))</f>
        <v/>
      </c>
      <c r="D170" s="43" t="str">
        <f t="shared" ca="1" si="15"/>
        <v/>
      </c>
      <c r="E170" s="35"/>
      <c r="F170" s="44" t="str">
        <f t="shared" si="16"/>
        <v/>
      </c>
      <c r="G170" s="13"/>
      <c r="H170" s="37"/>
      <c r="I170" s="45" t="str">
        <f>IF(A170="","Pending",IF(H170="","⚠️ Enter Code",IF(IFERROR(VLOOKUP(G170,DB_Agents!$B:$I,8,0),"")=H170,IF(AND(A170&lt;&gt;"",E170&lt;&gt;""),"Saved","Pending"),"🔒 BLOCKED — Wrong Code")))</f>
        <v>Pending</v>
      </c>
      <c r="J170" s="46" t="str">
        <f t="shared" ca="1" si="17"/>
        <v>—</v>
      </c>
      <c r="K170" s="47"/>
    </row>
    <row r="171" spans="1:11" x14ac:dyDescent="0.25">
      <c r="A171" s="32"/>
      <c r="B171" s="7" t="str">
        <f>IF(A171="","",IFERROR(VLOOKUP(A171,DB_Customers!$A:$D,4,0),"❌ Account Not Found"))</f>
        <v/>
      </c>
      <c r="C171" s="33" t="str">
        <f>IF(A171="","",IFERROR(VLOOKUP(A171,DB_Customers!$A:$N,14,0),""))</f>
        <v/>
      </c>
      <c r="D171" s="34" t="str">
        <f t="shared" ca="1" si="15"/>
        <v/>
      </c>
      <c r="E171" s="35"/>
      <c r="F171" s="36" t="str">
        <f t="shared" si="16"/>
        <v/>
      </c>
      <c r="G171" s="9"/>
      <c r="H171" s="37"/>
      <c r="I171" s="38" t="str">
        <f>IF(A171="","Pending",IF(H171="","⚠️ Enter Code",IF(IFERROR(VLOOKUP(G171,DB_Agents!$B:$I,8,0),"")=H171,IF(AND(A171&lt;&gt;"",E171&lt;&gt;""),"Saved","Pending"),"🔒 BLOCKED — Wrong Code")))</f>
        <v>Pending</v>
      </c>
      <c r="J171" s="39" t="str">
        <f t="shared" ca="1" si="17"/>
        <v>—</v>
      </c>
      <c r="K171" s="40"/>
    </row>
    <row r="172" spans="1:11" x14ac:dyDescent="0.25">
      <c r="A172" s="41"/>
      <c r="B172" s="11" t="str">
        <f>IF(A172="","",IFERROR(VLOOKUP(A172,DB_Customers!$A:$D,4,0),"❌ Account Not Found"))</f>
        <v/>
      </c>
      <c r="C172" s="42" t="str">
        <f>IF(A172="","",IFERROR(VLOOKUP(A172,DB_Customers!$A:$N,14,0),""))</f>
        <v/>
      </c>
      <c r="D172" s="43" t="str">
        <f t="shared" ca="1" si="15"/>
        <v/>
      </c>
      <c r="E172" s="35"/>
      <c r="F172" s="44" t="str">
        <f t="shared" si="16"/>
        <v/>
      </c>
      <c r="G172" s="13"/>
      <c r="H172" s="37"/>
      <c r="I172" s="45" t="str">
        <f>IF(A172="","Pending",IF(H172="","⚠️ Enter Code",IF(IFERROR(VLOOKUP(G172,DB_Agents!$B:$I,8,0),"")=H172,IF(AND(A172&lt;&gt;"",E172&lt;&gt;""),"Saved","Pending"),"🔒 BLOCKED — Wrong Code")))</f>
        <v>Pending</v>
      </c>
      <c r="J172" s="46" t="str">
        <f t="shared" ca="1" si="17"/>
        <v>—</v>
      </c>
      <c r="K172" s="47"/>
    </row>
    <row r="173" spans="1:11" x14ac:dyDescent="0.25">
      <c r="A173" s="32"/>
      <c r="B173" s="7" t="str">
        <f>IF(A173="","",IFERROR(VLOOKUP(A173,DB_Customers!$A:$D,4,0),"❌ Account Not Found"))</f>
        <v/>
      </c>
      <c r="C173" s="33" t="str">
        <f>IF(A173="","",IFERROR(VLOOKUP(A173,DB_Customers!$A:$N,14,0),""))</f>
        <v/>
      </c>
      <c r="D173" s="34" t="str">
        <f t="shared" ca="1" si="15"/>
        <v/>
      </c>
      <c r="E173" s="35"/>
      <c r="F173" s="36" t="str">
        <f t="shared" si="16"/>
        <v/>
      </c>
      <c r="G173" s="9"/>
      <c r="H173" s="37"/>
      <c r="I173" s="38" t="str">
        <f>IF(A173="","Pending",IF(H173="","⚠️ Enter Code",IF(IFERROR(VLOOKUP(G173,DB_Agents!$B:$I,8,0),"")=H173,IF(AND(A173&lt;&gt;"",E173&lt;&gt;""),"Saved","Pending"),"🔒 BLOCKED — Wrong Code")))</f>
        <v>Pending</v>
      </c>
      <c r="J173" s="39" t="str">
        <f t="shared" ca="1" si="17"/>
        <v>—</v>
      </c>
      <c r="K173" s="40"/>
    </row>
    <row r="174" spans="1:11" x14ac:dyDescent="0.25">
      <c r="A174" s="41"/>
      <c r="B174" s="11" t="str">
        <f>IF(A174="","",IFERROR(VLOOKUP(A174,DB_Customers!$A:$D,4,0),"❌ Account Not Found"))</f>
        <v/>
      </c>
      <c r="C174" s="42" t="str">
        <f>IF(A174="","",IFERROR(VLOOKUP(A174,DB_Customers!$A:$N,14,0),""))</f>
        <v/>
      </c>
      <c r="D174" s="43" t="str">
        <f t="shared" ca="1" si="15"/>
        <v/>
      </c>
      <c r="E174" s="35"/>
      <c r="F174" s="44" t="str">
        <f t="shared" si="16"/>
        <v/>
      </c>
      <c r="G174" s="13"/>
      <c r="H174" s="37"/>
      <c r="I174" s="45" t="str">
        <f>IF(A174="","Pending",IF(H174="","⚠️ Enter Code",IF(IFERROR(VLOOKUP(G174,DB_Agents!$B:$I,8,0),"")=H174,IF(AND(A174&lt;&gt;"",E174&lt;&gt;""),"Saved","Pending"),"🔒 BLOCKED — Wrong Code")))</f>
        <v>Pending</v>
      </c>
      <c r="J174" s="46" t="str">
        <f t="shared" ca="1" si="17"/>
        <v>—</v>
      </c>
      <c r="K174" s="47"/>
    </row>
    <row r="175" spans="1:11" x14ac:dyDescent="0.25">
      <c r="A175" s="32"/>
      <c r="B175" s="7" t="str">
        <f>IF(A175="","",IFERROR(VLOOKUP(A175,DB_Customers!$A:$D,4,0),"❌ Account Not Found"))</f>
        <v/>
      </c>
      <c r="C175" s="33" t="str">
        <f>IF(A175="","",IFERROR(VLOOKUP(A175,DB_Customers!$A:$N,14,0),""))</f>
        <v/>
      </c>
      <c r="D175" s="34" t="str">
        <f t="shared" ca="1" si="15"/>
        <v/>
      </c>
      <c r="E175" s="35"/>
      <c r="F175" s="36" t="str">
        <f t="shared" si="16"/>
        <v/>
      </c>
      <c r="G175" s="9"/>
      <c r="H175" s="37"/>
      <c r="I175" s="38" t="str">
        <f>IF(A175="","Pending",IF(H175="","⚠️ Enter Code",IF(IFERROR(VLOOKUP(G175,DB_Agents!$B:$I,8,0),"")=H175,IF(AND(A175&lt;&gt;"",E175&lt;&gt;""),"Saved","Pending"),"🔒 BLOCKED — Wrong Code")))</f>
        <v>Pending</v>
      </c>
      <c r="J175" s="39" t="str">
        <f t="shared" ca="1" si="17"/>
        <v>—</v>
      </c>
      <c r="K175" s="40"/>
    </row>
    <row r="176" spans="1:11" x14ac:dyDescent="0.25">
      <c r="A176" s="41"/>
      <c r="B176" s="11" t="str">
        <f>IF(A176="","",IFERROR(VLOOKUP(A176,DB_Customers!$A:$D,4,0),"❌ Account Not Found"))</f>
        <v/>
      </c>
      <c r="C176" s="42" t="str">
        <f>IF(A176="","",IFERROR(VLOOKUP(A176,DB_Customers!$A:$N,14,0),""))</f>
        <v/>
      </c>
      <c r="D176" s="43" t="str">
        <f t="shared" ca="1" si="15"/>
        <v/>
      </c>
      <c r="E176" s="35"/>
      <c r="F176" s="44" t="str">
        <f t="shared" si="16"/>
        <v/>
      </c>
      <c r="G176" s="13"/>
      <c r="H176" s="37"/>
      <c r="I176" s="45" t="str">
        <f>IF(A176="","Pending",IF(H176="","⚠️ Enter Code",IF(IFERROR(VLOOKUP(G176,DB_Agents!$B:$I,8,0),"")=H176,IF(AND(A176&lt;&gt;"",E176&lt;&gt;""),"Saved","Pending"),"🔒 BLOCKED — Wrong Code")))</f>
        <v>Pending</v>
      </c>
      <c r="J176" s="46" t="str">
        <f t="shared" ca="1" si="17"/>
        <v>—</v>
      </c>
      <c r="K176" s="47"/>
    </row>
    <row r="177" spans="1:11" x14ac:dyDescent="0.25">
      <c r="A177" s="32"/>
      <c r="B177" s="7" t="str">
        <f>IF(A177="","",IFERROR(VLOOKUP(A177,DB_Customers!$A:$D,4,0),"❌ Account Not Found"))</f>
        <v/>
      </c>
      <c r="C177" s="33" t="str">
        <f>IF(A177="","",IFERROR(VLOOKUP(A177,DB_Customers!$A:$N,14,0),""))</f>
        <v/>
      </c>
      <c r="D177" s="34" t="str">
        <f t="shared" ca="1" si="15"/>
        <v/>
      </c>
      <c r="E177" s="35"/>
      <c r="F177" s="36" t="str">
        <f t="shared" si="16"/>
        <v/>
      </c>
      <c r="G177" s="9"/>
      <c r="H177" s="37"/>
      <c r="I177" s="38" t="str">
        <f>IF(A177="","Pending",IF(H177="","⚠️ Enter Code",IF(IFERROR(VLOOKUP(G177,DB_Agents!$B:$I,8,0),"")=H177,IF(AND(A177&lt;&gt;"",E177&lt;&gt;""),"Saved","Pending"),"🔒 BLOCKED — Wrong Code")))</f>
        <v>Pending</v>
      </c>
      <c r="J177" s="39" t="str">
        <f t="shared" ca="1" si="17"/>
        <v>—</v>
      </c>
      <c r="K177" s="40"/>
    </row>
    <row r="178" spans="1:11" x14ac:dyDescent="0.25">
      <c r="A178" s="41"/>
      <c r="B178" s="11" t="str">
        <f>IF(A178="","",IFERROR(VLOOKUP(A178,DB_Customers!$A:$D,4,0),"❌ Account Not Found"))</f>
        <v/>
      </c>
      <c r="C178" s="42" t="str">
        <f>IF(A178="","",IFERROR(VLOOKUP(A178,DB_Customers!$A:$N,14,0),""))</f>
        <v/>
      </c>
      <c r="D178" s="43" t="str">
        <f t="shared" ca="1" si="15"/>
        <v/>
      </c>
      <c r="E178" s="35"/>
      <c r="F178" s="44" t="str">
        <f t="shared" si="16"/>
        <v/>
      </c>
      <c r="G178" s="13"/>
      <c r="H178" s="37"/>
      <c r="I178" s="45" t="str">
        <f>IF(A178="","Pending",IF(H178="","⚠️ Enter Code",IF(IFERROR(VLOOKUP(G178,DB_Agents!$B:$I,8,0),"")=H178,IF(AND(A178&lt;&gt;"",E178&lt;&gt;""),"Saved","Pending"),"🔒 BLOCKED — Wrong Code")))</f>
        <v>Pending</v>
      </c>
      <c r="J178" s="46" t="str">
        <f t="shared" ca="1" si="17"/>
        <v>—</v>
      </c>
      <c r="K178" s="47"/>
    </row>
    <row r="179" spans="1:11" x14ac:dyDescent="0.25">
      <c r="A179" s="32"/>
      <c r="B179" s="7" t="str">
        <f>IF(A179="","",IFERROR(VLOOKUP(A179,DB_Customers!$A:$D,4,0),"❌ Account Not Found"))</f>
        <v/>
      </c>
      <c r="C179" s="33" t="str">
        <f>IF(A179="","",IFERROR(VLOOKUP(A179,DB_Customers!$A:$N,14,0),""))</f>
        <v/>
      </c>
      <c r="D179" s="34" t="str">
        <f t="shared" ca="1" si="15"/>
        <v/>
      </c>
      <c r="E179" s="35"/>
      <c r="F179" s="36" t="str">
        <f t="shared" si="16"/>
        <v/>
      </c>
      <c r="G179" s="9"/>
      <c r="H179" s="37"/>
      <c r="I179" s="38" t="str">
        <f>IF(A179="","Pending",IF(H179="","⚠️ Enter Code",IF(IFERROR(VLOOKUP(G179,DB_Agents!$B:$I,8,0),"")=H179,IF(AND(A179&lt;&gt;"",E179&lt;&gt;""),"Saved","Pending"),"🔒 BLOCKED — Wrong Code")))</f>
        <v>Pending</v>
      </c>
      <c r="J179" s="39" t="str">
        <f t="shared" ca="1" si="17"/>
        <v>—</v>
      </c>
      <c r="K179" s="40"/>
    </row>
    <row r="180" spans="1:11" x14ac:dyDescent="0.25">
      <c r="A180" s="41"/>
      <c r="B180" s="11" t="str">
        <f>IF(A180="","",IFERROR(VLOOKUP(A180,DB_Customers!$A:$D,4,0),"❌ Account Not Found"))</f>
        <v/>
      </c>
      <c r="C180" s="42" t="str">
        <f>IF(A180="","",IFERROR(VLOOKUP(A180,DB_Customers!$A:$N,14,0),""))</f>
        <v/>
      </c>
      <c r="D180" s="43" t="str">
        <f t="shared" ca="1" si="15"/>
        <v/>
      </c>
      <c r="E180" s="35"/>
      <c r="F180" s="44" t="str">
        <f t="shared" si="16"/>
        <v/>
      </c>
      <c r="G180" s="13"/>
      <c r="H180" s="37"/>
      <c r="I180" s="45" t="str">
        <f>IF(A180="","Pending",IF(H180="","⚠️ Enter Code",IF(IFERROR(VLOOKUP(G180,DB_Agents!$B:$I,8,0),"")=H180,IF(AND(A180&lt;&gt;"",E180&lt;&gt;""),"Saved","Pending"),"🔒 BLOCKED — Wrong Code")))</f>
        <v>Pending</v>
      </c>
      <c r="J180" s="46" t="str">
        <f t="shared" ca="1" si="17"/>
        <v>—</v>
      </c>
      <c r="K180" s="47"/>
    </row>
    <row r="181" spans="1:11" x14ac:dyDescent="0.25">
      <c r="A181" s="32"/>
      <c r="B181" s="7" t="str">
        <f>IF(A181="","",IFERROR(VLOOKUP(A181,DB_Customers!$A:$D,4,0),"❌ Account Not Found"))</f>
        <v/>
      </c>
      <c r="C181" s="33" t="str">
        <f>IF(A181="","",IFERROR(VLOOKUP(A181,DB_Customers!$A:$N,14,0),""))</f>
        <v/>
      </c>
      <c r="D181" s="34" t="str">
        <f t="shared" ca="1" si="15"/>
        <v/>
      </c>
      <c r="E181" s="35"/>
      <c r="F181" s="36" t="str">
        <f t="shared" si="16"/>
        <v/>
      </c>
      <c r="G181" s="9"/>
      <c r="H181" s="37"/>
      <c r="I181" s="38" t="str">
        <f>IF(A181="","Pending",IF(H181="","⚠️ Enter Code",IF(IFERROR(VLOOKUP(G181,DB_Agents!$B:$I,8,0),"")=H181,IF(AND(A181&lt;&gt;"",E181&lt;&gt;""),"Saved","Pending"),"🔒 BLOCKED — Wrong Code")))</f>
        <v>Pending</v>
      </c>
      <c r="J181" s="39" t="str">
        <f t="shared" ca="1" si="17"/>
        <v>—</v>
      </c>
      <c r="K181" s="40"/>
    </row>
    <row r="182" spans="1:11" x14ac:dyDescent="0.25">
      <c r="A182" s="41"/>
      <c r="B182" s="11" t="str">
        <f>IF(A182="","",IFERROR(VLOOKUP(A182,DB_Customers!$A:$D,4,0),"❌ Account Not Found"))</f>
        <v/>
      </c>
      <c r="C182" s="42" t="str">
        <f>IF(A182="","",IFERROR(VLOOKUP(A182,DB_Customers!$A:$N,14,0),""))</f>
        <v/>
      </c>
      <c r="D182" s="43" t="str">
        <f t="shared" ca="1" si="15"/>
        <v/>
      </c>
      <c r="E182" s="35"/>
      <c r="F182" s="44" t="str">
        <f t="shared" si="16"/>
        <v/>
      </c>
      <c r="G182" s="13"/>
      <c r="H182" s="37"/>
      <c r="I182" s="45" t="str">
        <f>IF(A182="","Pending",IF(H182="","⚠️ Enter Code",IF(IFERROR(VLOOKUP(G182,DB_Agents!$B:$I,8,0),"")=H182,IF(AND(A182&lt;&gt;"",E182&lt;&gt;""),"Saved","Pending"),"🔒 BLOCKED — Wrong Code")))</f>
        <v>Pending</v>
      </c>
      <c r="J182" s="46" t="str">
        <f t="shared" ca="1" si="17"/>
        <v>—</v>
      </c>
      <c r="K182" s="47"/>
    </row>
    <row r="183" spans="1:11" x14ac:dyDescent="0.25">
      <c r="A183" s="32"/>
      <c r="B183" s="7" t="str">
        <f>IF(A183="","",IFERROR(VLOOKUP(A183,DB_Customers!$A:$D,4,0),"❌ Account Not Found"))</f>
        <v/>
      </c>
      <c r="C183" s="33" t="str">
        <f>IF(A183="","",IFERROR(VLOOKUP(A183,DB_Customers!$A:$N,14,0),""))</f>
        <v/>
      </c>
      <c r="D183" s="34" t="str">
        <f t="shared" ca="1" si="15"/>
        <v/>
      </c>
      <c r="E183" s="35"/>
      <c r="F183" s="36" t="str">
        <f t="shared" si="16"/>
        <v/>
      </c>
      <c r="G183" s="9"/>
      <c r="H183" s="37"/>
      <c r="I183" s="38" t="str">
        <f>IF(A183="","Pending",IF(H183="","⚠️ Enter Code",IF(IFERROR(VLOOKUP(G183,DB_Agents!$B:$I,8,0),"")=H183,IF(AND(A183&lt;&gt;"",E183&lt;&gt;""),"Saved","Pending"),"🔒 BLOCKED — Wrong Code")))</f>
        <v>Pending</v>
      </c>
      <c r="J183" s="39" t="str">
        <f t="shared" ca="1" si="17"/>
        <v>—</v>
      </c>
      <c r="K183" s="40"/>
    </row>
    <row r="184" spans="1:11" x14ac:dyDescent="0.25">
      <c r="A184" s="41"/>
      <c r="B184" s="11" t="str">
        <f>IF(A184="","",IFERROR(VLOOKUP(A184,DB_Customers!$A:$D,4,0),"❌ Account Not Found"))</f>
        <v/>
      </c>
      <c r="C184" s="42" t="str">
        <f>IF(A184="","",IFERROR(VLOOKUP(A184,DB_Customers!$A:$N,14,0),""))</f>
        <v/>
      </c>
      <c r="D184" s="43" t="str">
        <f t="shared" ca="1" si="15"/>
        <v/>
      </c>
      <c r="E184" s="35"/>
      <c r="F184" s="44" t="str">
        <f t="shared" si="16"/>
        <v/>
      </c>
      <c r="G184" s="13"/>
      <c r="H184" s="37"/>
      <c r="I184" s="45" t="str">
        <f>IF(A184="","Pending",IF(H184="","⚠️ Enter Code",IF(IFERROR(VLOOKUP(G184,DB_Agents!$B:$I,8,0),"")=H184,IF(AND(A184&lt;&gt;"",E184&lt;&gt;""),"Saved","Pending"),"🔒 BLOCKED — Wrong Code")))</f>
        <v>Pending</v>
      </c>
      <c r="J184" s="46" t="str">
        <f t="shared" ca="1" si="17"/>
        <v>—</v>
      </c>
      <c r="K184" s="47"/>
    </row>
    <row r="185" spans="1:11" x14ac:dyDescent="0.25">
      <c r="A185" s="32"/>
      <c r="B185" s="7" t="str">
        <f>IF(A185="","",IFERROR(VLOOKUP(A185,DB_Customers!$A:$D,4,0),"❌ Account Not Found"))</f>
        <v/>
      </c>
      <c r="C185" s="33" t="str">
        <f>IF(A185="","",IFERROR(VLOOKUP(A185,DB_Customers!$A:$N,14,0),""))</f>
        <v/>
      </c>
      <c r="D185" s="34" t="str">
        <f t="shared" ca="1" si="15"/>
        <v/>
      </c>
      <c r="E185" s="35"/>
      <c r="F185" s="36" t="str">
        <f t="shared" si="16"/>
        <v/>
      </c>
      <c r="G185" s="9"/>
      <c r="H185" s="37"/>
      <c r="I185" s="38" t="str">
        <f>IF(A185="","Pending",IF(H185="","⚠️ Enter Code",IF(IFERROR(VLOOKUP(G185,DB_Agents!$B:$I,8,0),"")=H185,IF(AND(A185&lt;&gt;"",E185&lt;&gt;""),"Saved","Pending"),"🔒 BLOCKED — Wrong Code")))</f>
        <v>Pending</v>
      </c>
      <c r="J185" s="39" t="str">
        <f t="shared" ca="1" si="17"/>
        <v>—</v>
      </c>
      <c r="K185" s="40"/>
    </row>
    <row r="186" spans="1:11" x14ac:dyDescent="0.25">
      <c r="A186" s="41"/>
      <c r="B186" s="11" t="str">
        <f>IF(A186="","",IFERROR(VLOOKUP(A186,DB_Customers!$A:$D,4,0),"❌ Account Not Found"))</f>
        <v/>
      </c>
      <c r="C186" s="42" t="str">
        <f>IF(A186="","",IFERROR(VLOOKUP(A186,DB_Customers!$A:$N,14,0),""))</f>
        <v/>
      </c>
      <c r="D186" s="43" t="str">
        <f t="shared" ca="1" si="15"/>
        <v/>
      </c>
      <c r="E186" s="35"/>
      <c r="F186" s="44" t="str">
        <f t="shared" si="16"/>
        <v/>
      </c>
      <c r="G186" s="13"/>
      <c r="H186" s="37"/>
      <c r="I186" s="45" t="str">
        <f>IF(A186="","Pending",IF(H186="","⚠️ Enter Code",IF(IFERROR(VLOOKUP(G186,DB_Agents!$B:$I,8,0),"")=H186,IF(AND(A186&lt;&gt;"",E186&lt;&gt;""),"Saved","Pending"),"🔒 BLOCKED — Wrong Code")))</f>
        <v>Pending</v>
      </c>
      <c r="J186" s="46" t="str">
        <f t="shared" ca="1" si="17"/>
        <v>—</v>
      </c>
      <c r="K186" s="47"/>
    </row>
    <row r="187" spans="1:11" x14ac:dyDescent="0.25">
      <c r="A187" s="32"/>
      <c r="B187" s="7" t="str">
        <f>IF(A187="","",IFERROR(VLOOKUP(A187,DB_Customers!$A:$D,4,0),"❌ Account Not Found"))</f>
        <v/>
      </c>
      <c r="C187" s="33" t="str">
        <f>IF(A187="","",IFERROR(VLOOKUP(A187,DB_Customers!$A:$N,14,0),""))</f>
        <v/>
      </c>
      <c r="D187" s="34" t="str">
        <f t="shared" ca="1" si="15"/>
        <v/>
      </c>
      <c r="E187" s="35"/>
      <c r="F187" s="36" t="str">
        <f t="shared" si="16"/>
        <v/>
      </c>
      <c r="G187" s="9"/>
      <c r="H187" s="37"/>
      <c r="I187" s="38" t="str">
        <f>IF(A187="","Pending",IF(H187="","⚠️ Enter Code",IF(IFERROR(VLOOKUP(G187,DB_Agents!$B:$I,8,0),"")=H187,IF(AND(A187&lt;&gt;"",E187&lt;&gt;""),"Saved","Pending"),"🔒 BLOCKED — Wrong Code")))</f>
        <v>Pending</v>
      </c>
      <c r="J187" s="39" t="str">
        <f t="shared" ca="1" si="17"/>
        <v>—</v>
      </c>
      <c r="K187" s="40"/>
    </row>
    <row r="188" spans="1:11" x14ac:dyDescent="0.25">
      <c r="A188" s="41"/>
      <c r="B188" s="11" t="str">
        <f>IF(A188="","",IFERROR(VLOOKUP(A188,DB_Customers!$A:$D,4,0),"❌ Account Not Found"))</f>
        <v/>
      </c>
      <c r="C188" s="42" t="str">
        <f>IF(A188="","",IFERROR(VLOOKUP(A188,DB_Customers!$A:$N,14,0),""))</f>
        <v/>
      </c>
      <c r="D188" s="43" t="str">
        <f t="shared" ca="1" si="15"/>
        <v/>
      </c>
      <c r="E188" s="35"/>
      <c r="F188" s="44" t="str">
        <f t="shared" si="16"/>
        <v/>
      </c>
      <c r="G188" s="13"/>
      <c r="H188" s="37"/>
      <c r="I188" s="45" t="str">
        <f>IF(A188="","Pending",IF(H188="","⚠️ Enter Code",IF(IFERROR(VLOOKUP(G188,DB_Agents!$B:$I,8,0),"")=H188,IF(AND(A188&lt;&gt;"",E188&lt;&gt;""),"Saved","Pending"),"🔒 BLOCKED — Wrong Code")))</f>
        <v>Pending</v>
      </c>
      <c r="J188" s="46" t="str">
        <f t="shared" ca="1" si="17"/>
        <v>—</v>
      </c>
      <c r="K188" s="47"/>
    </row>
    <row r="189" spans="1:11" x14ac:dyDescent="0.25">
      <c r="A189" s="32"/>
      <c r="B189" s="7" t="str">
        <f>IF(A189="","",IFERROR(VLOOKUP(A189,DB_Customers!$A:$D,4,0),"❌ Account Not Found"))</f>
        <v/>
      </c>
      <c r="C189" s="33" t="str">
        <f>IF(A189="","",IFERROR(VLOOKUP(A189,DB_Customers!$A:$N,14,0),""))</f>
        <v/>
      </c>
      <c r="D189" s="34" t="str">
        <f t="shared" ca="1" si="15"/>
        <v/>
      </c>
      <c r="E189" s="35"/>
      <c r="F189" s="36" t="str">
        <f t="shared" si="16"/>
        <v/>
      </c>
      <c r="G189" s="9"/>
      <c r="H189" s="37"/>
      <c r="I189" s="38" t="str">
        <f>IF(A189="","Pending",IF(H189="","⚠️ Enter Code",IF(IFERROR(VLOOKUP(G189,DB_Agents!$B:$I,8,0),"")=H189,IF(AND(A189&lt;&gt;"",E189&lt;&gt;""),"Saved","Pending"),"🔒 BLOCKED — Wrong Code")))</f>
        <v>Pending</v>
      </c>
      <c r="J189" s="39" t="str">
        <f t="shared" ca="1" si="17"/>
        <v>—</v>
      </c>
      <c r="K189" s="40"/>
    </row>
    <row r="190" spans="1:11" x14ac:dyDescent="0.25">
      <c r="A190" s="41"/>
      <c r="B190" s="11" t="str">
        <f>IF(A190="","",IFERROR(VLOOKUP(A190,DB_Customers!$A:$D,4,0),"❌ Account Not Found"))</f>
        <v/>
      </c>
      <c r="C190" s="42" t="str">
        <f>IF(A190="","",IFERROR(VLOOKUP(A190,DB_Customers!$A:$N,14,0),""))</f>
        <v/>
      </c>
      <c r="D190" s="43" t="str">
        <f t="shared" ca="1" si="15"/>
        <v/>
      </c>
      <c r="E190" s="35"/>
      <c r="F190" s="44" t="str">
        <f t="shared" si="16"/>
        <v/>
      </c>
      <c r="G190" s="13"/>
      <c r="H190" s="37"/>
      <c r="I190" s="45" t="str">
        <f>IF(A190="","Pending",IF(H190="","⚠️ Enter Code",IF(IFERROR(VLOOKUP(G190,DB_Agents!$B:$I,8,0),"")=H190,IF(AND(A190&lt;&gt;"",E190&lt;&gt;""),"Saved","Pending"),"🔒 BLOCKED — Wrong Code")))</f>
        <v>Pending</v>
      </c>
      <c r="J190" s="46" t="str">
        <f t="shared" ca="1" si="17"/>
        <v>—</v>
      </c>
      <c r="K190" s="47"/>
    </row>
    <row r="191" spans="1:11" x14ac:dyDescent="0.25">
      <c r="A191" s="32"/>
      <c r="B191" s="7" t="str">
        <f>IF(A191="","",IFERROR(VLOOKUP(A191,DB_Customers!$A:$D,4,0),"❌ Account Not Found"))</f>
        <v/>
      </c>
      <c r="C191" s="33" t="str">
        <f>IF(A191="","",IFERROR(VLOOKUP(A191,DB_Customers!$A:$N,14,0),""))</f>
        <v/>
      </c>
      <c r="D191" s="34" t="str">
        <f t="shared" ca="1" si="15"/>
        <v/>
      </c>
      <c r="E191" s="35"/>
      <c r="F191" s="36" t="str">
        <f t="shared" si="16"/>
        <v/>
      </c>
      <c r="G191" s="9"/>
      <c r="H191" s="37"/>
      <c r="I191" s="38" t="str">
        <f>IF(A191="","Pending",IF(H191="","⚠️ Enter Code",IF(IFERROR(VLOOKUP(G191,DB_Agents!$B:$I,8,0),"")=H191,IF(AND(A191&lt;&gt;"",E191&lt;&gt;""),"Saved","Pending"),"🔒 BLOCKED — Wrong Code")))</f>
        <v>Pending</v>
      </c>
      <c r="J191" s="39" t="str">
        <f t="shared" ca="1" si="17"/>
        <v>—</v>
      </c>
      <c r="K191" s="40"/>
    </row>
    <row r="192" spans="1:11" x14ac:dyDescent="0.25">
      <c r="A192" s="41"/>
      <c r="B192" s="11" t="str">
        <f>IF(A192="","",IFERROR(VLOOKUP(A192,DB_Customers!$A:$D,4,0),"❌ Account Not Found"))</f>
        <v/>
      </c>
      <c r="C192" s="42" t="str">
        <f>IF(A192="","",IFERROR(VLOOKUP(A192,DB_Customers!$A:$N,14,0),""))</f>
        <v/>
      </c>
      <c r="D192" s="43" t="str">
        <f t="shared" ca="1" si="15"/>
        <v/>
      </c>
      <c r="E192" s="35"/>
      <c r="F192" s="44" t="str">
        <f t="shared" si="16"/>
        <v/>
      </c>
      <c r="G192" s="13"/>
      <c r="H192" s="37"/>
      <c r="I192" s="45" t="str">
        <f>IF(A192="","Pending",IF(H192="","⚠️ Enter Code",IF(IFERROR(VLOOKUP(G192,DB_Agents!$B:$I,8,0),"")=H192,IF(AND(A192&lt;&gt;"",E192&lt;&gt;""),"Saved","Pending"),"🔒 BLOCKED — Wrong Code")))</f>
        <v>Pending</v>
      </c>
      <c r="J192" s="46" t="str">
        <f t="shared" ca="1" si="17"/>
        <v>—</v>
      </c>
      <c r="K192" s="47"/>
    </row>
    <row r="193" spans="1:11" x14ac:dyDescent="0.25">
      <c r="A193" s="32"/>
      <c r="B193" s="7" t="str">
        <f>IF(A193="","",IFERROR(VLOOKUP(A193,DB_Customers!$A:$D,4,0),"❌ Account Not Found"))</f>
        <v/>
      </c>
      <c r="C193" s="33" t="str">
        <f>IF(A193="","",IFERROR(VLOOKUP(A193,DB_Customers!$A:$N,14,0),""))</f>
        <v/>
      </c>
      <c r="D193" s="34" t="str">
        <f t="shared" ca="1" si="15"/>
        <v/>
      </c>
      <c r="E193" s="35"/>
      <c r="F193" s="36" t="str">
        <f t="shared" si="16"/>
        <v/>
      </c>
      <c r="G193" s="9"/>
      <c r="H193" s="37"/>
      <c r="I193" s="38" t="str">
        <f>IF(A193="","Pending",IF(H193="","⚠️ Enter Code",IF(IFERROR(VLOOKUP(G193,DB_Agents!$B:$I,8,0),"")=H193,IF(AND(A193&lt;&gt;"",E193&lt;&gt;""),"Saved","Pending"),"🔒 BLOCKED — Wrong Code")))</f>
        <v>Pending</v>
      </c>
      <c r="J193" s="39" t="str">
        <f t="shared" ca="1" si="17"/>
        <v>—</v>
      </c>
      <c r="K193" s="40"/>
    </row>
    <row r="194" spans="1:11" x14ac:dyDescent="0.25">
      <c r="A194" s="41"/>
      <c r="B194" s="11" t="str">
        <f>IF(A194="","",IFERROR(VLOOKUP(A194,DB_Customers!$A:$D,4,0),"❌ Account Not Found"))</f>
        <v/>
      </c>
      <c r="C194" s="42" t="str">
        <f>IF(A194="","",IFERROR(VLOOKUP(A194,DB_Customers!$A:$N,14,0),""))</f>
        <v/>
      </c>
      <c r="D194" s="43" t="str">
        <f t="shared" ca="1" si="15"/>
        <v/>
      </c>
      <c r="E194" s="35"/>
      <c r="F194" s="44" t="str">
        <f t="shared" si="16"/>
        <v/>
      </c>
      <c r="G194" s="13"/>
      <c r="H194" s="37"/>
      <c r="I194" s="45" t="str">
        <f>IF(A194="","Pending",IF(H194="","⚠️ Enter Code",IF(IFERROR(VLOOKUP(G194,DB_Agents!$B:$I,8,0),"")=H194,IF(AND(A194&lt;&gt;"",E194&lt;&gt;""),"Saved","Pending"),"🔒 BLOCKED — Wrong Code")))</f>
        <v>Pending</v>
      </c>
      <c r="J194" s="46" t="str">
        <f t="shared" ca="1" si="17"/>
        <v>—</v>
      </c>
      <c r="K194" s="47"/>
    </row>
    <row r="195" spans="1:11" x14ac:dyDescent="0.25">
      <c r="A195" s="32"/>
      <c r="B195" s="7" t="str">
        <f>IF(A195="","",IFERROR(VLOOKUP(A195,DB_Customers!$A:$D,4,0),"❌ Account Not Found"))</f>
        <v/>
      </c>
      <c r="C195" s="33" t="str">
        <f>IF(A195="","",IFERROR(VLOOKUP(A195,DB_Customers!$A:$N,14,0),""))</f>
        <v/>
      </c>
      <c r="D195" s="34" t="str">
        <f t="shared" ca="1" si="15"/>
        <v/>
      </c>
      <c r="E195" s="35"/>
      <c r="F195" s="36" t="str">
        <f t="shared" si="16"/>
        <v/>
      </c>
      <c r="G195" s="9"/>
      <c r="H195" s="37"/>
      <c r="I195" s="38" t="str">
        <f>IF(A195="","Pending",IF(H195="","⚠️ Enter Code",IF(IFERROR(VLOOKUP(G195,DB_Agents!$B:$I,8,0),"")=H195,IF(AND(A195&lt;&gt;"",E195&lt;&gt;""),"Saved","Pending"),"🔒 BLOCKED — Wrong Code")))</f>
        <v>Pending</v>
      </c>
      <c r="J195" s="39" t="str">
        <f t="shared" ca="1" si="17"/>
        <v>—</v>
      </c>
      <c r="K195" s="40"/>
    </row>
    <row r="196" spans="1:11" x14ac:dyDescent="0.25">
      <c r="A196" s="41"/>
      <c r="B196" s="11" t="str">
        <f>IF(A196="","",IFERROR(VLOOKUP(A196,DB_Customers!$A:$D,4,0),"❌ Account Not Found"))</f>
        <v/>
      </c>
      <c r="C196" s="42" t="str">
        <f>IF(A196="","",IFERROR(VLOOKUP(A196,DB_Customers!$A:$N,14,0),""))</f>
        <v/>
      </c>
      <c r="D196" s="43" t="str">
        <f t="shared" ca="1" si="15"/>
        <v/>
      </c>
      <c r="E196" s="35"/>
      <c r="F196" s="44" t="str">
        <f t="shared" si="16"/>
        <v/>
      </c>
      <c r="G196" s="13"/>
      <c r="H196" s="37"/>
      <c r="I196" s="45" t="str">
        <f>IF(A196="","Pending",IF(H196="","⚠️ Enter Code",IF(IFERROR(VLOOKUP(G196,DB_Agents!$B:$I,8,0),"")=H196,IF(AND(A196&lt;&gt;"",E196&lt;&gt;""),"Saved","Pending"),"🔒 BLOCKED — Wrong Code")))</f>
        <v>Pending</v>
      </c>
      <c r="J196" s="46" t="str">
        <f t="shared" ca="1" si="17"/>
        <v>—</v>
      </c>
      <c r="K196" s="47"/>
    </row>
    <row r="197" spans="1:11" x14ac:dyDescent="0.25">
      <c r="A197" s="32"/>
      <c r="B197" s="7" t="str">
        <f>IF(A197="","",IFERROR(VLOOKUP(A197,DB_Customers!$A:$D,4,0),"❌ Account Not Found"))</f>
        <v/>
      </c>
      <c r="C197" s="33" t="str">
        <f>IF(A197="","",IFERROR(VLOOKUP(A197,DB_Customers!$A:$N,14,0),""))</f>
        <v/>
      </c>
      <c r="D197" s="34" t="str">
        <f t="shared" ca="1" si="15"/>
        <v/>
      </c>
      <c r="E197" s="35"/>
      <c r="F197" s="36" t="str">
        <f t="shared" si="16"/>
        <v/>
      </c>
      <c r="G197" s="9"/>
      <c r="H197" s="37"/>
      <c r="I197" s="38" t="str">
        <f>IF(A197="","Pending",IF(H197="","⚠️ Enter Code",IF(IFERROR(VLOOKUP(G197,DB_Agents!$B:$I,8,0),"")=H197,IF(AND(A197&lt;&gt;"",E197&lt;&gt;""),"Saved","Pending"),"🔒 BLOCKED — Wrong Code")))</f>
        <v>Pending</v>
      </c>
      <c r="J197" s="39" t="str">
        <f t="shared" ca="1" si="17"/>
        <v>—</v>
      </c>
      <c r="K197" s="40"/>
    </row>
    <row r="198" spans="1:11" x14ac:dyDescent="0.25">
      <c r="A198" s="41"/>
      <c r="B198" s="11" t="str">
        <f>IF(A198="","",IFERROR(VLOOKUP(A198,DB_Customers!$A:$D,4,0),"❌ Account Not Found"))</f>
        <v/>
      </c>
      <c r="C198" s="42" t="str">
        <f>IF(A198="","",IFERROR(VLOOKUP(A198,DB_Customers!$A:$N,14,0),""))</f>
        <v/>
      </c>
      <c r="D198" s="43" t="str">
        <f t="shared" ca="1" si="15"/>
        <v/>
      </c>
      <c r="E198" s="35"/>
      <c r="F198" s="44" t="str">
        <f t="shared" si="16"/>
        <v/>
      </c>
      <c r="G198" s="13"/>
      <c r="H198" s="37"/>
      <c r="I198" s="45" t="str">
        <f>IF(A198="","Pending",IF(H198="","⚠️ Enter Code",IF(IFERROR(VLOOKUP(G198,DB_Agents!$B:$I,8,0),"")=H198,IF(AND(A198&lt;&gt;"",E198&lt;&gt;""),"Saved","Pending"),"🔒 BLOCKED — Wrong Code")))</f>
        <v>Pending</v>
      </c>
      <c r="J198" s="46" t="str">
        <f t="shared" ca="1" si="17"/>
        <v>—</v>
      </c>
      <c r="K198" s="47"/>
    </row>
    <row r="199" spans="1:11" x14ac:dyDescent="0.25">
      <c r="A199" s="32"/>
      <c r="B199" s="7" t="str">
        <f>IF(A199="","",IFERROR(VLOOKUP(A199,DB_Customers!$A:$D,4,0),"❌ Account Not Found"))</f>
        <v/>
      </c>
      <c r="C199" s="33" t="str">
        <f>IF(A199="","",IFERROR(VLOOKUP(A199,DB_Customers!$A:$N,14,0),""))</f>
        <v/>
      </c>
      <c r="D199" s="34" t="str">
        <f t="shared" ca="1" si="15"/>
        <v/>
      </c>
      <c r="E199" s="35"/>
      <c r="F199" s="36" t="str">
        <f t="shared" si="16"/>
        <v/>
      </c>
      <c r="G199" s="9"/>
      <c r="H199" s="37"/>
      <c r="I199" s="38" t="str">
        <f>IF(A199="","Pending",IF(H199="","⚠️ Enter Code",IF(IFERROR(VLOOKUP(G199,DB_Agents!$B:$I,8,0),"")=H199,IF(AND(A199&lt;&gt;"",E199&lt;&gt;""),"Saved","Pending"),"🔒 BLOCKED — Wrong Code")))</f>
        <v>Pending</v>
      </c>
      <c r="J199" s="39" t="str">
        <f t="shared" ca="1" si="17"/>
        <v>—</v>
      </c>
      <c r="K199" s="40"/>
    </row>
    <row r="200" spans="1:11" x14ac:dyDescent="0.25">
      <c r="A200" s="41"/>
      <c r="B200" s="11" t="str">
        <f>IF(A200="","",IFERROR(VLOOKUP(A200,DB_Customers!$A:$D,4,0),"❌ Account Not Found"))</f>
        <v/>
      </c>
      <c r="C200" s="42" t="str">
        <f>IF(A200="","",IFERROR(VLOOKUP(A200,DB_Customers!$A:$N,14,0),""))</f>
        <v/>
      </c>
      <c r="D200" s="43" t="str">
        <f t="shared" ca="1" si="15"/>
        <v/>
      </c>
      <c r="E200" s="35"/>
      <c r="F200" s="44" t="str">
        <f t="shared" si="16"/>
        <v/>
      </c>
      <c r="G200" s="13"/>
      <c r="H200" s="37"/>
      <c r="I200" s="45" t="str">
        <f>IF(A200="","Pending",IF(H200="","⚠️ Enter Code",IF(IFERROR(VLOOKUP(G200,DB_Agents!$B:$I,8,0),"")=H200,IF(AND(A200&lt;&gt;"",E200&lt;&gt;""),"Saved","Pending"),"🔒 BLOCKED — Wrong Code")))</f>
        <v>Pending</v>
      </c>
      <c r="J200" s="46" t="str">
        <f t="shared" ca="1" si="17"/>
        <v>—</v>
      </c>
      <c r="K200" s="47"/>
    </row>
    <row r="201" spans="1:11" x14ac:dyDescent="0.25">
      <c r="A201" s="32"/>
      <c r="B201" s="7" t="str">
        <f>IF(A201="","",IFERROR(VLOOKUP(A201,DB_Customers!$A:$D,4,0),"❌ Account Not Found"))</f>
        <v/>
      </c>
      <c r="C201" s="33" t="str">
        <f>IF(A201="","",IFERROR(VLOOKUP(A201,DB_Customers!$A:$N,14,0),""))</f>
        <v/>
      </c>
      <c r="D201" s="34" t="str">
        <f t="shared" ref="D201:D208" ca="1" si="18">IF(A201="","",TODAY())</f>
        <v/>
      </c>
      <c r="E201" s="35"/>
      <c r="F201" s="36" t="str">
        <f t="shared" ref="F201:F208" si="19">IF(OR(A201="",E201=""),"",IF(C201="","",C201+E201))</f>
        <v/>
      </c>
      <c r="G201" s="9"/>
      <c r="H201" s="37"/>
      <c r="I201" s="38" t="str">
        <f>IF(A201="","Pending",IF(H201="","⚠️ Enter Code",IF(IFERROR(VLOOKUP(G201,DB_Agents!$B:$I,8,0),"")=H201,IF(AND(A201&lt;&gt;"",E201&lt;&gt;""),"Saved","Pending"),"🔒 BLOCKED — Wrong Code")))</f>
        <v>Pending</v>
      </c>
      <c r="J201" s="39" t="str">
        <f t="shared" ref="J201:J208" ca="1" si="20">IF(I201="Saved",TEXT(TODAY(),"YYYY-MM-DD")&amp;" Auto","—")</f>
        <v>—</v>
      </c>
      <c r="K201" s="40"/>
    </row>
    <row r="202" spans="1:11" x14ac:dyDescent="0.25">
      <c r="A202" s="41"/>
      <c r="B202" s="11" t="str">
        <f>IF(A202="","",IFERROR(VLOOKUP(A202,DB_Customers!$A:$D,4,0),"❌ Account Not Found"))</f>
        <v/>
      </c>
      <c r="C202" s="42" t="str">
        <f>IF(A202="","",IFERROR(VLOOKUP(A202,DB_Customers!$A:$N,14,0),""))</f>
        <v/>
      </c>
      <c r="D202" s="43" t="str">
        <f t="shared" ca="1" si="18"/>
        <v/>
      </c>
      <c r="E202" s="35"/>
      <c r="F202" s="44" t="str">
        <f t="shared" si="19"/>
        <v/>
      </c>
      <c r="G202" s="13"/>
      <c r="H202" s="37"/>
      <c r="I202" s="45" t="str">
        <f>IF(A202="","Pending",IF(H202="","⚠️ Enter Code",IF(IFERROR(VLOOKUP(G202,DB_Agents!$B:$I,8,0),"")=H202,IF(AND(A202&lt;&gt;"",E202&lt;&gt;""),"Saved","Pending"),"🔒 BLOCKED — Wrong Code")))</f>
        <v>Pending</v>
      </c>
      <c r="J202" s="46" t="str">
        <f t="shared" ca="1" si="20"/>
        <v>—</v>
      </c>
      <c r="K202" s="47"/>
    </row>
    <row r="203" spans="1:11" x14ac:dyDescent="0.25">
      <c r="A203" s="32"/>
      <c r="B203" s="7" t="str">
        <f>IF(A203="","",IFERROR(VLOOKUP(A203,DB_Customers!$A:$D,4,0),"❌ Account Not Found"))</f>
        <v/>
      </c>
      <c r="C203" s="33" t="str">
        <f>IF(A203="","",IFERROR(VLOOKUP(A203,DB_Customers!$A:$N,14,0),""))</f>
        <v/>
      </c>
      <c r="D203" s="34" t="str">
        <f t="shared" ca="1" si="18"/>
        <v/>
      </c>
      <c r="E203" s="35"/>
      <c r="F203" s="36" t="str">
        <f t="shared" si="19"/>
        <v/>
      </c>
      <c r="G203" s="9"/>
      <c r="H203" s="37"/>
      <c r="I203" s="38" t="str">
        <f>IF(A203="","Pending",IF(H203="","⚠️ Enter Code",IF(IFERROR(VLOOKUP(G203,DB_Agents!$B:$I,8,0),"")=H203,IF(AND(A203&lt;&gt;"",E203&lt;&gt;""),"Saved","Pending"),"🔒 BLOCKED — Wrong Code")))</f>
        <v>Pending</v>
      </c>
      <c r="J203" s="39" t="str">
        <f t="shared" ca="1" si="20"/>
        <v>—</v>
      </c>
      <c r="K203" s="40"/>
    </row>
    <row r="204" spans="1:11" x14ac:dyDescent="0.25">
      <c r="A204" s="41"/>
      <c r="B204" s="11" t="str">
        <f>IF(A204="","",IFERROR(VLOOKUP(A204,DB_Customers!$A:$D,4,0),"❌ Account Not Found"))</f>
        <v/>
      </c>
      <c r="C204" s="42" t="str">
        <f>IF(A204="","",IFERROR(VLOOKUP(A204,DB_Customers!$A:$N,14,0),""))</f>
        <v/>
      </c>
      <c r="D204" s="43" t="str">
        <f t="shared" ca="1" si="18"/>
        <v/>
      </c>
      <c r="E204" s="35"/>
      <c r="F204" s="44" t="str">
        <f t="shared" si="19"/>
        <v/>
      </c>
      <c r="G204" s="13"/>
      <c r="H204" s="37"/>
      <c r="I204" s="45" t="str">
        <f>IF(A204="","Pending",IF(H204="","⚠️ Enter Code",IF(IFERROR(VLOOKUP(G204,DB_Agents!$B:$I,8,0),"")=H204,IF(AND(A204&lt;&gt;"",E204&lt;&gt;""),"Saved","Pending"),"🔒 BLOCKED — Wrong Code")))</f>
        <v>Pending</v>
      </c>
      <c r="J204" s="46" t="str">
        <f t="shared" ca="1" si="20"/>
        <v>—</v>
      </c>
      <c r="K204" s="47"/>
    </row>
    <row r="205" spans="1:11" x14ac:dyDescent="0.25">
      <c r="A205" s="32"/>
      <c r="B205" s="7" t="str">
        <f>IF(A205="","",IFERROR(VLOOKUP(A205,DB_Customers!$A:$D,4,0),"❌ Account Not Found"))</f>
        <v/>
      </c>
      <c r="C205" s="33" t="str">
        <f>IF(A205="","",IFERROR(VLOOKUP(A205,DB_Customers!$A:$N,14,0),""))</f>
        <v/>
      </c>
      <c r="D205" s="34" t="str">
        <f t="shared" ca="1" si="18"/>
        <v/>
      </c>
      <c r="E205" s="35"/>
      <c r="F205" s="36" t="str">
        <f t="shared" si="19"/>
        <v/>
      </c>
      <c r="G205" s="9"/>
      <c r="H205" s="37"/>
      <c r="I205" s="38" t="str">
        <f>IF(A205="","Pending",IF(H205="","⚠️ Enter Code",IF(IFERROR(VLOOKUP(G205,DB_Agents!$B:$I,8,0),"")=H205,IF(AND(A205&lt;&gt;"",E205&lt;&gt;""),"Saved","Pending"),"🔒 BLOCKED — Wrong Code")))</f>
        <v>Pending</v>
      </c>
      <c r="J205" s="39" t="str">
        <f t="shared" ca="1" si="20"/>
        <v>—</v>
      </c>
      <c r="K205" s="40"/>
    </row>
    <row r="206" spans="1:11" x14ac:dyDescent="0.25">
      <c r="A206" s="41"/>
      <c r="B206" s="11" t="str">
        <f>IF(A206="","",IFERROR(VLOOKUP(A206,DB_Customers!$A:$D,4,0),"❌ Account Not Found"))</f>
        <v/>
      </c>
      <c r="C206" s="42" t="str">
        <f>IF(A206="","",IFERROR(VLOOKUP(A206,DB_Customers!$A:$N,14,0),""))</f>
        <v/>
      </c>
      <c r="D206" s="43" t="str">
        <f t="shared" ca="1" si="18"/>
        <v/>
      </c>
      <c r="E206" s="35"/>
      <c r="F206" s="44" t="str">
        <f t="shared" si="19"/>
        <v/>
      </c>
      <c r="G206" s="13"/>
      <c r="H206" s="37"/>
      <c r="I206" s="45" t="str">
        <f>IF(A206="","Pending",IF(H206="","⚠️ Enter Code",IF(IFERROR(VLOOKUP(G206,DB_Agents!$B:$I,8,0),"")=H206,IF(AND(A206&lt;&gt;"",E206&lt;&gt;""),"Saved","Pending"),"🔒 BLOCKED — Wrong Code")))</f>
        <v>Pending</v>
      </c>
      <c r="J206" s="46" t="str">
        <f t="shared" ca="1" si="20"/>
        <v>—</v>
      </c>
      <c r="K206" s="47"/>
    </row>
    <row r="207" spans="1:11" x14ac:dyDescent="0.25">
      <c r="A207" s="32"/>
      <c r="B207" s="7" t="str">
        <f>IF(A207="","",IFERROR(VLOOKUP(A207,DB_Customers!$A:$D,4,0),"❌ Account Not Found"))</f>
        <v/>
      </c>
      <c r="C207" s="33" t="str">
        <f>IF(A207="","",IFERROR(VLOOKUP(A207,DB_Customers!$A:$N,14,0),""))</f>
        <v/>
      </c>
      <c r="D207" s="34" t="str">
        <f t="shared" ca="1" si="18"/>
        <v/>
      </c>
      <c r="E207" s="35"/>
      <c r="F207" s="36" t="str">
        <f t="shared" si="19"/>
        <v/>
      </c>
      <c r="G207" s="9"/>
      <c r="H207" s="37"/>
      <c r="I207" s="38" t="str">
        <f>IF(A207="","Pending",IF(H207="","⚠️ Enter Code",IF(IFERROR(VLOOKUP(G207,DB_Agents!$B:$I,8,0),"")=H207,IF(AND(A207&lt;&gt;"",E207&lt;&gt;""),"Saved","Pending"),"🔒 BLOCKED — Wrong Code")))</f>
        <v>Pending</v>
      </c>
      <c r="J207" s="39" t="str">
        <f t="shared" ca="1" si="20"/>
        <v>—</v>
      </c>
      <c r="K207" s="40"/>
    </row>
    <row r="208" spans="1:11" x14ac:dyDescent="0.25">
      <c r="A208" s="41"/>
      <c r="B208" s="11" t="str">
        <f>IF(A208="","",IFERROR(VLOOKUP(A208,DB_Customers!$A:$D,4,0),"❌ Account Not Found"))</f>
        <v/>
      </c>
      <c r="C208" s="42" t="str">
        <f>IF(A208="","",IFERROR(VLOOKUP(A208,DB_Customers!$A:$N,14,0),""))</f>
        <v/>
      </c>
      <c r="D208" s="43" t="str">
        <f t="shared" ca="1" si="18"/>
        <v/>
      </c>
      <c r="E208" s="35"/>
      <c r="F208" s="44" t="str">
        <f t="shared" si="19"/>
        <v/>
      </c>
      <c r="G208" s="13"/>
      <c r="H208" s="37"/>
      <c r="I208" s="45" t="str">
        <f>IF(A208="","Pending",IF(H208="","⚠️ Enter Code",IF(IFERROR(VLOOKUP(G208,DB_Agents!$B:$I,8,0),"")=H208,IF(AND(A208&lt;&gt;"",E208&lt;&gt;""),"Saved","Pending"),"🔒 BLOCKED — Wrong Code")))</f>
        <v>Pending</v>
      </c>
      <c r="J208" s="46" t="str">
        <f t="shared" ca="1" si="20"/>
        <v>—</v>
      </c>
      <c r="K208" s="47"/>
    </row>
  </sheetData>
  <mergeCells count="12">
    <mergeCell ref="A1:L1"/>
    <mergeCell ref="A2:L2"/>
    <mergeCell ref="A3:C3"/>
    <mergeCell ref="D3:F3"/>
    <mergeCell ref="G3:I3"/>
    <mergeCell ref="J3:L3"/>
    <mergeCell ref="A7:L7"/>
    <mergeCell ref="A4:C4"/>
    <mergeCell ref="D4:F4"/>
    <mergeCell ref="G4:I4"/>
    <mergeCell ref="J4:L4"/>
    <mergeCell ref="A5:L5"/>
  </mergeCells>
  <conditionalFormatting sqref="H9:H208">
    <cfRule type="cellIs" dxfId="12" priority="2" operator="equal">
      <formula>"Saved"</formula>
    </cfRule>
    <cfRule type="cellIs" dxfId="11" priority="3" operator="equal">
      <formula>"Pending"</formula>
    </cfRule>
  </conditionalFormatting>
  <conditionalFormatting sqref="A9:J208">
    <cfRule type="expression" dxfId="10" priority="4">
      <formula>$H9="Saved"</formula>
    </cfRule>
  </conditionalFormatting>
  <dataValidations count="2">
    <dataValidation type="decimal" operator="greaterThan" showErrorMessage="1" error="Must be &gt; 0" sqref="E9:E208" xr:uid="{00000000-0002-0000-1F00-000000000000}">
      <formula1>0</formula1>
      <formula2>0</formula2>
    </dataValidation>
    <dataValidation type="list" sqref="G9:G208" xr:uid="{00000000-0002-0000-1F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C0392B"/>
  </sheetPr>
  <dimension ref="A1:M208"/>
  <sheetViews>
    <sheetView zoomScaleNormal="100" workbookViewId="0">
      <pane ySplit="8" topLeftCell="A9" activePane="bottomLeft" state="frozen"/>
      <selection pane="bottomLeft" sqref="A1:M1"/>
    </sheetView>
  </sheetViews>
  <sheetFormatPr defaultColWidth="8.7109375" defaultRowHeight="15" x14ac:dyDescent="0.25"/>
  <cols>
    <col min="1" max="1" width="16" customWidth="1"/>
    <col min="2" max="2" width="24" customWidth="1"/>
    <col min="3" max="3" width="16" customWidth="1"/>
    <col min="4" max="4" width="13" customWidth="1"/>
    <col min="5" max="5" width="15" customWidth="1"/>
    <col min="6" max="6" width="16" customWidth="1"/>
    <col min="7" max="7" width="15" customWidth="1"/>
    <col min="8" max="8" width="12" customWidth="1"/>
    <col min="9" max="9" width="14" customWidth="1"/>
    <col min="10" max="10" width="22" customWidth="1"/>
    <col min="11" max="11" width="20" customWidth="1"/>
  </cols>
  <sheetData>
    <row r="1" spans="1:13" ht="31.5" customHeight="1" x14ac:dyDescent="0.25">
      <c r="A1" s="166" t="s">
        <v>195</v>
      </c>
      <c r="B1" s="166"/>
      <c r="C1" s="166"/>
      <c r="D1" s="166"/>
      <c r="E1" s="166"/>
      <c r="F1" s="166"/>
      <c r="G1" s="166"/>
      <c r="H1" s="166"/>
      <c r="I1" s="166"/>
      <c r="J1" s="166"/>
      <c r="K1" s="166"/>
      <c r="L1" s="166"/>
      <c r="M1" s="166"/>
    </row>
    <row r="2" spans="1:13" ht="19.5" customHeight="1" x14ac:dyDescent="0.25">
      <c r="A2" s="167" t="s">
        <v>196</v>
      </c>
      <c r="B2" s="167"/>
      <c r="C2" s="167"/>
      <c r="D2" s="167"/>
      <c r="E2" s="167"/>
      <c r="F2" s="167"/>
      <c r="G2" s="167"/>
      <c r="H2" s="167"/>
      <c r="I2" s="167"/>
      <c r="J2" s="167"/>
      <c r="K2" s="167"/>
      <c r="L2" s="167"/>
      <c r="M2" s="167"/>
    </row>
    <row r="3" spans="1:13" ht="18" customHeight="1" x14ac:dyDescent="0.25">
      <c r="A3" s="151" t="s">
        <v>138</v>
      </c>
      <c r="B3" s="151"/>
      <c r="C3" s="151"/>
      <c r="D3" s="150" t="s">
        <v>139</v>
      </c>
      <c r="E3" s="150"/>
      <c r="F3" s="150"/>
      <c r="G3" s="5" t="s">
        <v>140</v>
      </c>
      <c r="K3" s="27" t="s">
        <v>125</v>
      </c>
    </row>
    <row r="4" spans="1:13" ht="27.75" customHeight="1" x14ac:dyDescent="0.25">
      <c r="A4" s="168">
        <f ca="1">SUMIFS(DB_Withdrawals!$G:$G,DB_Withdrawals!$J:$J,"Agent 10",DB_Withdrawals!$F:$F,TODAY())</f>
        <v>0</v>
      </c>
      <c r="B4" s="168"/>
      <c r="C4" s="168"/>
      <c r="D4" s="169">
        <f ca="1">COUNTIFS(DB_Withdrawals!$J:$J,"Agent 10",DB_Withdrawals!$K:$K,"Successful",DB_Withdrawals!$F:$F,TODAY())</f>
        <v>0</v>
      </c>
      <c r="E4" s="169"/>
      <c r="F4" s="169"/>
      <c r="G4" s="48">
        <f ca="1">COUNTIFS(DB_Withdrawals!$J:$J,"Agent 10",DB_Withdrawals!$K:$K,"Unsuccessful",DB_Withdrawals!$F:$F,TODAY())</f>
        <v>0</v>
      </c>
      <c r="K4" s="30" t="str">
        <f ca="1">TEXT(TODAY(),"DD MMM YYYY")</f>
        <v>19 Apr 2026</v>
      </c>
    </row>
    <row r="5" spans="1:13" ht="19.5" customHeight="1" x14ac:dyDescent="0.25">
      <c r="A5" s="164" t="s">
        <v>141</v>
      </c>
      <c r="B5" s="164"/>
      <c r="C5" s="164"/>
      <c r="D5" s="164"/>
      <c r="E5" s="164"/>
      <c r="F5" s="164"/>
      <c r="G5" s="164"/>
      <c r="H5" s="164"/>
      <c r="I5" s="164"/>
      <c r="J5" s="164"/>
      <c r="K5" s="164"/>
      <c r="L5" s="164"/>
      <c r="M5" s="164"/>
    </row>
    <row r="6" spans="1:13" ht="7.5" customHeight="1" x14ac:dyDescent="0.25"/>
    <row r="7" spans="1:13" ht="19.5" customHeight="1" x14ac:dyDescent="0.25">
      <c r="A7" s="165" t="s">
        <v>142</v>
      </c>
      <c r="B7" s="165"/>
      <c r="C7" s="165"/>
      <c r="D7" s="165"/>
      <c r="E7" s="165"/>
      <c r="F7" s="165"/>
      <c r="G7" s="165"/>
      <c r="H7" s="165"/>
      <c r="I7" s="165"/>
      <c r="J7" s="165"/>
      <c r="K7" s="165"/>
      <c r="L7" s="165"/>
      <c r="M7" s="165"/>
    </row>
    <row r="8" spans="1:13" ht="19.5" customHeight="1" x14ac:dyDescent="0.25">
      <c r="A8" s="49" t="s">
        <v>127</v>
      </c>
      <c r="B8" s="49" t="s">
        <v>102</v>
      </c>
      <c r="C8" s="49" t="s">
        <v>143</v>
      </c>
      <c r="D8" s="49" t="s">
        <v>129</v>
      </c>
      <c r="E8" s="49" t="s">
        <v>144</v>
      </c>
      <c r="F8" s="49" t="s">
        <v>145</v>
      </c>
      <c r="G8" s="49" t="s">
        <v>131</v>
      </c>
      <c r="H8" s="49" t="s">
        <v>32</v>
      </c>
      <c r="I8" s="31" t="s">
        <v>132</v>
      </c>
      <c r="J8" s="49" t="s">
        <v>133</v>
      </c>
      <c r="K8" s="49" t="s">
        <v>134</v>
      </c>
      <c r="L8" s="49" t="s">
        <v>135</v>
      </c>
    </row>
    <row r="9" spans="1:13" x14ac:dyDescent="0.25">
      <c r="A9" s="32"/>
      <c r="B9" s="7" t="str">
        <f>IF(A9="","",IFERROR(VLOOKUP(A9,DB_Customers!$A:$D,4,0),"❌ Account Not Found"))</f>
        <v/>
      </c>
      <c r="C9" s="33" t="str">
        <f>IF(A9="","",IFERROR(VLOOKUP(A9,DB_Customers!$A:$N,14,0),""))</f>
        <v/>
      </c>
      <c r="D9" s="34" t="str">
        <f t="shared" ref="D9:D40" ca="1" si="0">IF(A9="","",TODAY())</f>
        <v/>
      </c>
      <c r="E9" s="50"/>
      <c r="F9" s="7"/>
      <c r="G9" s="51" t="str">
        <f t="shared" ref="G9:G40" si="1">IF(OR(A9="",E9=""),"",IF(C9="","",C9-E9))</f>
        <v/>
      </c>
      <c r="H9" s="9" t="s">
        <v>50</v>
      </c>
      <c r="I9" s="37"/>
      <c r="J9" s="38" t="str">
        <f>IF(AND(A9&lt;&gt;"",E9&lt;&gt;""),IF(I9="","⚠️ Enter Code",IF(IFERROR(VLOOKUP(H9,DB_Agents!$B:$I,8,0),"")=I9,IF(C9&gt;=E9,"Successful","Unsuccessful"),"🔒 BLOCKED — Wrong Code")),"—")</f>
        <v>—</v>
      </c>
      <c r="K9" s="39" t="str">
        <f t="shared" ref="K9:K40" ca="1" si="2">IF(J9="Successful",TEXT(TODAY(),"YYYY-MM-DD")&amp;" Auto","—")</f>
        <v>—</v>
      </c>
      <c r="L9" s="40"/>
    </row>
    <row r="10" spans="1:13" x14ac:dyDescent="0.25">
      <c r="A10" s="41"/>
      <c r="B10" s="11" t="str">
        <f>IF(A10="","",IFERROR(VLOOKUP(A10,DB_Customers!$A:$D,4,0),"❌ Account Not Found"))</f>
        <v/>
      </c>
      <c r="C10" s="42" t="str">
        <f>IF(A10="","",IFERROR(VLOOKUP(A10,DB_Customers!$A:$N,14,0),""))</f>
        <v/>
      </c>
      <c r="D10" s="43" t="str">
        <f t="shared" ca="1" si="0"/>
        <v/>
      </c>
      <c r="E10" s="50"/>
      <c r="F10" s="11"/>
      <c r="G10" s="52" t="str">
        <f t="shared" si="1"/>
        <v/>
      </c>
      <c r="H10" s="13" t="s">
        <v>50</v>
      </c>
      <c r="I10" s="37"/>
      <c r="J10" s="45" t="str">
        <f>IF(AND(A10&lt;&gt;"",E10&lt;&gt;""),IF(I10="","⚠️ Enter Code",IF(IFERROR(VLOOKUP(H10,DB_Agents!$B:$I,8,0),"")=I10,IF(C10&gt;=E10,"Successful","Unsuccessful"),"🔒 BLOCKED — Wrong Code")),"—")</f>
        <v>—</v>
      </c>
      <c r="K10" s="46" t="str">
        <f t="shared" ca="1" si="2"/>
        <v>—</v>
      </c>
      <c r="L10" s="47"/>
    </row>
    <row r="11" spans="1:13" x14ac:dyDescent="0.25">
      <c r="A11" s="32"/>
      <c r="B11" s="7" t="str">
        <f>IF(A11="","",IFERROR(VLOOKUP(A11,DB_Customers!$A:$D,4,0),"❌ Account Not Found"))</f>
        <v/>
      </c>
      <c r="C11" s="33" t="str">
        <f>IF(A11="","",IFERROR(VLOOKUP(A11,DB_Customers!$A:$N,14,0),""))</f>
        <v/>
      </c>
      <c r="D11" s="34" t="str">
        <f t="shared" ca="1" si="0"/>
        <v/>
      </c>
      <c r="E11" s="50"/>
      <c r="F11" s="7"/>
      <c r="G11" s="51" t="str">
        <f t="shared" si="1"/>
        <v/>
      </c>
      <c r="H11" s="9" t="s">
        <v>50</v>
      </c>
      <c r="I11" s="37"/>
      <c r="J11" s="38" t="str">
        <f>IF(AND(A11&lt;&gt;"",E11&lt;&gt;""),IF(I11="","⚠️ Enter Code",IF(IFERROR(VLOOKUP(H11,DB_Agents!$B:$I,8,0),"")=I11,IF(C11&gt;=E11,"Successful","Unsuccessful"),"🔒 BLOCKED — Wrong Code")),"—")</f>
        <v>—</v>
      </c>
      <c r="K11" s="39" t="str">
        <f t="shared" ca="1" si="2"/>
        <v>—</v>
      </c>
      <c r="L11" s="40"/>
    </row>
    <row r="12" spans="1:13" x14ac:dyDescent="0.25">
      <c r="A12" s="41"/>
      <c r="B12" s="11" t="str">
        <f>IF(A12="","",IFERROR(VLOOKUP(A12,DB_Customers!$A:$D,4,0),"❌ Account Not Found"))</f>
        <v/>
      </c>
      <c r="C12" s="42" t="str">
        <f>IF(A12="","",IFERROR(VLOOKUP(A12,DB_Customers!$A:$N,14,0),""))</f>
        <v/>
      </c>
      <c r="D12" s="43" t="str">
        <f t="shared" ca="1" si="0"/>
        <v/>
      </c>
      <c r="E12" s="50"/>
      <c r="F12" s="11"/>
      <c r="G12" s="52" t="str">
        <f t="shared" si="1"/>
        <v/>
      </c>
      <c r="H12" s="13" t="s">
        <v>50</v>
      </c>
      <c r="I12" s="37"/>
      <c r="J12" s="45" t="str">
        <f>IF(AND(A12&lt;&gt;"",E12&lt;&gt;""),IF(I12="","⚠️ Enter Code",IF(IFERROR(VLOOKUP(H12,DB_Agents!$B:$I,8,0),"")=I12,IF(C12&gt;=E12,"Successful","Unsuccessful"),"🔒 BLOCKED — Wrong Code")),"—")</f>
        <v>—</v>
      </c>
      <c r="K12" s="46" t="str">
        <f t="shared" ca="1" si="2"/>
        <v>—</v>
      </c>
      <c r="L12" s="47"/>
    </row>
    <row r="13" spans="1:13" x14ac:dyDescent="0.25">
      <c r="A13" s="32"/>
      <c r="B13" s="7" t="str">
        <f>IF(A13="","",IFERROR(VLOOKUP(A13,DB_Customers!$A:$D,4,0),"❌ Account Not Found"))</f>
        <v/>
      </c>
      <c r="C13" s="33" t="str">
        <f>IF(A13="","",IFERROR(VLOOKUP(A13,DB_Customers!$A:$N,14,0),""))</f>
        <v/>
      </c>
      <c r="D13" s="34" t="str">
        <f t="shared" ca="1" si="0"/>
        <v/>
      </c>
      <c r="E13" s="50"/>
      <c r="F13" s="7"/>
      <c r="G13" s="51" t="str">
        <f t="shared" si="1"/>
        <v/>
      </c>
      <c r="H13" s="9" t="s">
        <v>50</v>
      </c>
      <c r="I13" s="37"/>
      <c r="J13" s="38" t="str">
        <f>IF(AND(A13&lt;&gt;"",E13&lt;&gt;""),IF(I13="","⚠️ Enter Code",IF(IFERROR(VLOOKUP(H13,DB_Agents!$B:$I,8,0),"")=I13,IF(C13&gt;=E13,"Successful","Unsuccessful"),"🔒 BLOCKED — Wrong Code")),"—")</f>
        <v>—</v>
      </c>
      <c r="K13" s="39" t="str">
        <f t="shared" ca="1" si="2"/>
        <v>—</v>
      </c>
      <c r="L13" s="40"/>
    </row>
    <row r="14" spans="1:13" x14ac:dyDescent="0.25">
      <c r="A14" s="41"/>
      <c r="B14" s="11" t="str">
        <f>IF(A14="","",IFERROR(VLOOKUP(A14,DB_Customers!$A:$D,4,0),"❌ Account Not Found"))</f>
        <v/>
      </c>
      <c r="C14" s="42" t="str">
        <f>IF(A14="","",IFERROR(VLOOKUP(A14,DB_Customers!$A:$N,14,0),""))</f>
        <v/>
      </c>
      <c r="D14" s="43" t="str">
        <f t="shared" ca="1" si="0"/>
        <v/>
      </c>
      <c r="E14" s="50"/>
      <c r="F14" s="11"/>
      <c r="G14" s="52" t="str">
        <f t="shared" si="1"/>
        <v/>
      </c>
      <c r="H14" s="13"/>
      <c r="I14" s="37"/>
      <c r="J14" s="45" t="str">
        <f>IF(AND(A14&lt;&gt;"",E14&lt;&gt;""),IF(I14="","⚠️ Enter Code",IF(IFERROR(VLOOKUP(H14,DB_Agents!$B:$I,8,0),"")=I14,IF(C14&gt;=E14,"Successful","Unsuccessful"),"🔒 BLOCKED — Wrong Code")),"—")</f>
        <v>—</v>
      </c>
      <c r="K14" s="46" t="str">
        <f t="shared" ca="1" si="2"/>
        <v>—</v>
      </c>
      <c r="L14" s="47"/>
    </row>
    <row r="15" spans="1:13" x14ac:dyDescent="0.25">
      <c r="A15" s="32"/>
      <c r="B15" s="7" t="str">
        <f>IF(A15="","",IFERROR(VLOOKUP(A15,DB_Customers!$A:$D,4,0),"❌ Account Not Found"))</f>
        <v/>
      </c>
      <c r="C15" s="33" t="str">
        <f>IF(A15="","",IFERROR(VLOOKUP(A15,DB_Customers!$A:$N,14,0),""))</f>
        <v/>
      </c>
      <c r="D15" s="34" t="str">
        <f t="shared" ca="1" si="0"/>
        <v/>
      </c>
      <c r="E15" s="50"/>
      <c r="F15" s="7"/>
      <c r="G15" s="51" t="str">
        <f t="shared" si="1"/>
        <v/>
      </c>
      <c r="H15" s="9"/>
      <c r="I15" s="37"/>
      <c r="J15" s="38" t="str">
        <f>IF(AND(A15&lt;&gt;"",E15&lt;&gt;""),IF(I15="","⚠️ Enter Code",IF(IFERROR(VLOOKUP(H15,DB_Agents!$B:$I,8,0),"")=I15,IF(C15&gt;=E15,"Successful","Unsuccessful"),"🔒 BLOCKED — Wrong Code")),"—")</f>
        <v>—</v>
      </c>
      <c r="K15" s="39" t="str">
        <f t="shared" ca="1" si="2"/>
        <v>—</v>
      </c>
      <c r="L15" s="40"/>
    </row>
    <row r="16" spans="1:13" x14ac:dyDescent="0.25">
      <c r="A16" s="41"/>
      <c r="B16" s="11" t="str">
        <f>IF(A16="","",IFERROR(VLOOKUP(A16,DB_Customers!$A:$D,4,0),"❌ Account Not Found"))</f>
        <v/>
      </c>
      <c r="C16" s="42" t="str">
        <f>IF(A16="","",IFERROR(VLOOKUP(A16,DB_Customers!$A:$N,14,0),""))</f>
        <v/>
      </c>
      <c r="D16" s="43" t="str">
        <f t="shared" ca="1" si="0"/>
        <v/>
      </c>
      <c r="E16" s="50"/>
      <c r="F16" s="11"/>
      <c r="G16" s="52" t="str">
        <f t="shared" si="1"/>
        <v/>
      </c>
      <c r="H16" s="13"/>
      <c r="I16" s="37"/>
      <c r="J16" s="45" t="str">
        <f>IF(AND(A16&lt;&gt;"",E16&lt;&gt;""),IF(I16="","⚠️ Enter Code",IF(IFERROR(VLOOKUP(H16,DB_Agents!$B:$I,8,0),"")=I16,IF(C16&gt;=E16,"Successful","Unsuccessful"),"🔒 BLOCKED — Wrong Code")),"—")</f>
        <v>—</v>
      </c>
      <c r="K16" s="46" t="str">
        <f t="shared" ca="1" si="2"/>
        <v>—</v>
      </c>
      <c r="L16" s="47"/>
    </row>
    <row r="17" spans="1:12" x14ac:dyDescent="0.25">
      <c r="A17" s="32"/>
      <c r="B17" s="7" t="str">
        <f>IF(A17="","",IFERROR(VLOOKUP(A17,DB_Customers!$A:$D,4,0),"❌ Account Not Found"))</f>
        <v/>
      </c>
      <c r="C17" s="33" t="str">
        <f>IF(A17="","",IFERROR(VLOOKUP(A17,DB_Customers!$A:$N,14,0),""))</f>
        <v/>
      </c>
      <c r="D17" s="34" t="str">
        <f t="shared" ca="1" si="0"/>
        <v/>
      </c>
      <c r="E17" s="50"/>
      <c r="F17" s="7"/>
      <c r="G17" s="51" t="str">
        <f t="shared" si="1"/>
        <v/>
      </c>
      <c r="H17" s="9"/>
      <c r="I17" s="37"/>
      <c r="J17" s="38" t="str">
        <f>IF(AND(A17&lt;&gt;"",E17&lt;&gt;""),IF(I17="","⚠️ Enter Code",IF(IFERROR(VLOOKUP(H17,DB_Agents!$B:$I,8,0),"")=I17,IF(C17&gt;=E17,"Successful","Unsuccessful"),"🔒 BLOCKED — Wrong Code")),"—")</f>
        <v>—</v>
      </c>
      <c r="K17" s="39" t="str">
        <f t="shared" ca="1" si="2"/>
        <v>—</v>
      </c>
      <c r="L17" s="40"/>
    </row>
    <row r="18" spans="1:12" x14ac:dyDescent="0.25">
      <c r="A18" s="41"/>
      <c r="B18" s="11" t="str">
        <f>IF(A18="","",IFERROR(VLOOKUP(A18,DB_Customers!$A:$D,4,0),"❌ Account Not Found"))</f>
        <v/>
      </c>
      <c r="C18" s="42" t="str">
        <f>IF(A18="","",IFERROR(VLOOKUP(A18,DB_Customers!$A:$N,14,0),""))</f>
        <v/>
      </c>
      <c r="D18" s="43" t="str">
        <f t="shared" ca="1" si="0"/>
        <v/>
      </c>
      <c r="E18" s="50"/>
      <c r="F18" s="11"/>
      <c r="G18" s="52" t="str">
        <f t="shared" si="1"/>
        <v/>
      </c>
      <c r="H18" s="13"/>
      <c r="I18" s="37"/>
      <c r="J18" s="45" t="str">
        <f>IF(AND(A18&lt;&gt;"",E18&lt;&gt;""),IF(I18="","⚠️ Enter Code",IF(IFERROR(VLOOKUP(H18,DB_Agents!$B:$I,8,0),"")=I18,IF(C18&gt;=E18,"Successful","Unsuccessful"),"🔒 BLOCKED — Wrong Code")),"—")</f>
        <v>—</v>
      </c>
      <c r="K18" s="46" t="str">
        <f t="shared" ca="1" si="2"/>
        <v>—</v>
      </c>
      <c r="L18" s="47"/>
    </row>
    <row r="19" spans="1:12" x14ac:dyDescent="0.25">
      <c r="A19" s="32"/>
      <c r="B19" s="7" t="str">
        <f>IF(A19="","",IFERROR(VLOOKUP(A19,DB_Customers!$A:$D,4,0),"❌ Account Not Found"))</f>
        <v/>
      </c>
      <c r="C19" s="33" t="str">
        <f>IF(A19="","",IFERROR(VLOOKUP(A19,DB_Customers!$A:$N,14,0),""))</f>
        <v/>
      </c>
      <c r="D19" s="34" t="str">
        <f t="shared" ca="1" si="0"/>
        <v/>
      </c>
      <c r="E19" s="50"/>
      <c r="F19" s="7"/>
      <c r="G19" s="51" t="str">
        <f t="shared" si="1"/>
        <v/>
      </c>
      <c r="H19" s="9"/>
      <c r="I19" s="37"/>
      <c r="J19" s="38" t="str">
        <f>IF(AND(A19&lt;&gt;"",E19&lt;&gt;""),IF(I19="","⚠️ Enter Code",IF(IFERROR(VLOOKUP(H19,DB_Agents!$B:$I,8,0),"")=I19,IF(C19&gt;=E19,"Successful","Unsuccessful"),"🔒 BLOCKED — Wrong Code")),"—")</f>
        <v>—</v>
      </c>
      <c r="K19" s="39" t="str">
        <f t="shared" ca="1" si="2"/>
        <v>—</v>
      </c>
      <c r="L19" s="40"/>
    </row>
    <row r="20" spans="1:12" x14ac:dyDescent="0.25">
      <c r="A20" s="41"/>
      <c r="B20" s="11" t="str">
        <f>IF(A20="","",IFERROR(VLOOKUP(A20,DB_Customers!$A:$D,4,0),"❌ Account Not Found"))</f>
        <v/>
      </c>
      <c r="C20" s="42" t="str">
        <f>IF(A20="","",IFERROR(VLOOKUP(A20,DB_Customers!$A:$N,14,0),""))</f>
        <v/>
      </c>
      <c r="D20" s="43" t="str">
        <f t="shared" ca="1" si="0"/>
        <v/>
      </c>
      <c r="E20" s="50"/>
      <c r="F20" s="11"/>
      <c r="G20" s="52" t="str">
        <f t="shared" si="1"/>
        <v/>
      </c>
      <c r="H20" s="13"/>
      <c r="I20" s="37"/>
      <c r="J20" s="45" t="str">
        <f>IF(AND(A20&lt;&gt;"",E20&lt;&gt;""),IF(I20="","⚠️ Enter Code",IF(IFERROR(VLOOKUP(H20,DB_Agents!$B:$I,8,0),"")=I20,IF(C20&gt;=E20,"Successful","Unsuccessful"),"🔒 BLOCKED — Wrong Code")),"—")</f>
        <v>—</v>
      </c>
      <c r="K20" s="46" t="str">
        <f t="shared" ca="1" si="2"/>
        <v>—</v>
      </c>
      <c r="L20" s="47"/>
    </row>
    <row r="21" spans="1:12" x14ac:dyDescent="0.25">
      <c r="A21" s="32"/>
      <c r="B21" s="7" t="str">
        <f>IF(A21="","",IFERROR(VLOOKUP(A21,DB_Customers!$A:$D,4,0),"❌ Account Not Found"))</f>
        <v/>
      </c>
      <c r="C21" s="33" t="str">
        <f>IF(A21="","",IFERROR(VLOOKUP(A21,DB_Customers!$A:$N,14,0),""))</f>
        <v/>
      </c>
      <c r="D21" s="34" t="str">
        <f t="shared" ca="1" si="0"/>
        <v/>
      </c>
      <c r="E21" s="50"/>
      <c r="F21" s="7"/>
      <c r="G21" s="51" t="str">
        <f t="shared" si="1"/>
        <v/>
      </c>
      <c r="H21" s="9"/>
      <c r="I21" s="37"/>
      <c r="J21" s="38" t="str">
        <f>IF(AND(A21&lt;&gt;"",E21&lt;&gt;""),IF(I21="","⚠️ Enter Code",IF(IFERROR(VLOOKUP(H21,DB_Agents!$B:$I,8,0),"")=I21,IF(C21&gt;=E21,"Successful","Unsuccessful"),"🔒 BLOCKED — Wrong Code")),"—")</f>
        <v>—</v>
      </c>
      <c r="K21" s="39" t="str">
        <f t="shared" ca="1" si="2"/>
        <v>—</v>
      </c>
      <c r="L21" s="40"/>
    </row>
    <row r="22" spans="1:12" x14ac:dyDescent="0.25">
      <c r="A22" s="41"/>
      <c r="B22" s="11" t="str">
        <f>IF(A22="","",IFERROR(VLOOKUP(A22,DB_Customers!$A:$D,4,0),"❌ Account Not Found"))</f>
        <v/>
      </c>
      <c r="C22" s="42" t="str">
        <f>IF(A22="","",IFERROR(VLOOKUP(A22,DB_Customers!$A:$N,14,0),""))</f>
        <v/>
      </c>
      <c r="D22" s="43" t="str">
        <f t="shared" ca="1" si="0"/>
        <v/>
      </c>
      <c r="E22" s="50"/>
      <c r="F22" s="11"/>
      <c r="G22" s="52" t="str">
        <f t="shared" si="1"/>
        <v/>
      </c>
      <c r="H22" s="13"/>
      <c r="I22" s="37"/>
      <c r="J22" s="45" t="str">
        <f>IF(AND(A22&lt;&gt;"",E22&lt;&gt;""),IF(I22="","⚠️ Enter Code",IF(IFERROR(VLOOKUP(H22,DB_Agents!$B:$I,8,0),"")=I22,IF(C22&gt;=E22,"Successful","Unsuccessful"),"🔒 BLOCKED — Wrong Code")),"—")</f>
        <v>—</v>
      </c>
      <c r="K22" s="46" t="str">
        <f t="shared" ca="1" si="2"/>
        <v>—</v>
      </c>
      <c r="L22" s="47"/>
    </row>
    <row r="23" spans="1:12" x14ac:dyDescent="0.25">
      <c r="A23" s="32"/>
      <c r="B23" s="7" t="str">
        <f>IF(A23="","",IFERROR(VLOOKUP(A23,DB_Customers!$A:$D,4,0),"❌ Account Not Found"))</f>
        <v/>
      </c>
      <c r="C23" s="33" t="str">
        <f>IF(A23="","",IFERROR(VLOOKUP(A23,DB_Customers!$A:$N,14,0),""))</f>
        <v/>
      </c>
      <c r="D23" s="34" t="str">
        <f t="shared" ca="1" si="0"/>
        <v/>
      </c>
      <c r="E23" s="50"/>
      <c r="F23" s="7"/>
      <c r="G23" s="51" t="str">
        <f t="shared" si="1"/>
        <v/>
      </c>
      <c r="H23" s="9"/>
      <c r="I23" s="37"/>
      <c r="J23" s="38" t="str">
        <f>IF(AND(A23&lt;&gt;"",E23&lt;&gt;""),IF(I23="","⚠️ Enter Code",IF(IFERROR(VLOOKUP(H23,DB_Agents!$B:$I,8,0),"")=I23,IF(C23&gt;=E23,"Successful","Unsuccessful"),"🔒 BLOCKED — Wrong Code")),"—")</f>
        <v>—</v>
      </c>
      <c r="K23" s="39" t="str">
        <f t="shared" ca="1" si="2"/>
        <v>—</v>
      </c>
      <c r="L23" s="40"/>
    </row>
    <row r="24" spans="1:12" x14ac:dyDescent="0.25">
      <c r="A24" s="41"/>
      <c r="B24" s="11" t="str">
        <f>IF(A24="","",IFERROR(VLOOKUP(A24,DB_Customers!$A:$D,4,0),"❌ Account Not Found"))</f>
        <v/>
      </c>
      <c r="C24" s="42" t="str">
        <f>IF(A24="","",IFERROR(VLOOKUP(A24,DB_Customers!$A:$N,14,0),""))</f>
        <v/>
      </c>
      <c r="D24" s="43" t="str">
        <f t="shared" ca="1" si="0"/>
        <v/>
      </c>
      <c r="E24" s="50"/>
      <c r="F24" s="11"/>
      <c r="G24" s="52" t="str">
        <f t="shared" si="1"/>
        <v/>
      </c>
      <c r="H24" s="13"/>
      <c r="I24" s="37"/>
      <c r="J24" s="45" t="str">
        <f>IF(AND(A24&lt;&gt;"",E24&lt;&gt;""),IF(I24="","⚠️ Enter Code",IF(IFERROR(VLOOKUP(H24,DB_Agents!$B:$I,8,0),"")=I24,IF(C24&gt;=E24,"Successful","Unsuccessful"),"🔒 BLOCKED — Wrong Code")),"—")</f>
        <v>—</v>
      </c>
      <c r="K24" s="46" t="str">
        <f t="shared" ca="1" si="2"/>
        <v>—</v>
      </c>
      <c r="L24" s="47"/>
    </row>
    <row r="25" spans="1:12" x14ac:dyDescent="0.25">
      <c r="A25" s="32"/>
      <c r="B25" s="7" t="str">
        <f>IF(A25="","",IFERROR(VLOOKUP(A25,DB_Customers!$A:$D,4,0),"❌ Account Not Found"))</f>
        <v/>
      </c>
      <c r="C25" s="33" t="str">
        <f>IF(A25="","",IFERROR(VLOOKUP(A25,DB_Customers!$A:$N,14,0),""))</f>
        <v/>
      </c>
      <c r="D25" s="34" t="str">
        <f t="shared" ca="1" si="0"/>
        <v/>
      </c>
      <c r="E25" s="50"/>
      <c r="F25" s="7"/>
      <c r="G25" s="51" t="str">
        <f t="shared" si="1"/>
        <v/>
      </c>
      <c r="H25" s="9"/>
      <c r="I25" s="37"/>
      <c r="J25" s="38" t="str">
        <f>IF(AND(A25&lt;&gt;"",E25&lt;&gt;""),IF(I25="","⚠️ Enter Code",IF(IFERROR(VLOOKUP(H25,DB_Agents!$B:$I,8,0),"")=I25,IF(C25&gt;=E25,"Successful","Unsuccessful"),"🔒 BLOCKED — Wrong Code")),"—")</f>
        <v>—</v>
      </c>
      <c r="K25" s="39" t="str">
        <f t="shared" ca="1" si="2"/>
        <v>—</v>
      </c>
      <c r="L25" s="40"/>
    </row>
    <row r="26" spans="1:12" x14ac:dyDescent="0.25">
      <c r="A26" s="41"/>
      <c r="B26" s="11" t="str">
        <f>IF(A26="","",IFERROR(VLOOKUP(A26,DB_Customers!$A:$D,4,0),"❌ Account Not Found"))</f>
        <v/>
      </c>
      <c r="C26" s="42" t="str">
        <f>IF(A26="","",IFERROR(VLOOKUP(A26,DB_Customers!$A:$N,14,0),""))</f>
        <v/>
      </c>
      <c r="D26" s="43" t="str">
        <f t="shared" ca="1" si="0"/>
        <v/>
      </c>
      <c r="E26" s="50"/>
      <c r="F26" s="11"/>
      <c r="G26" s="52" t="str">
        <f t="shared" si="1"/>
        <v/>
      </c>
      <c r="H26" s="13"/>
      <c r="I26" s="37"/>
      <c r="J26" s="45" t="str">
        <f>IF(AND(A26&lt;&gt;"",E26&lt;&gt;""),IF(I26="","⚠️ Enter Code",IF(IFERROR(VLOOKUP(H26,DB_Agents!$B:$I,8,0),"")=I26,IF(C26&gt;=E26,"Successful","Unsuccessful"),"🔒 BLOCKED — Wrong Code")),"—")</f>
        <v>—</v>
      </c>
      <c r="K26" s="46" t="str">
        <f t="shared" ca="1" si="2"/>
        <v>—</v>
      </c>
      <c r="L26" s="47"/>
    </row>
    <row r="27" spans="1:12" x14ac:dyDescent="0.25">
      <c r="A27" s="32"/>
      <c r="B27" s="7" t="str">
        <f>IF(A27="","",IFERROR(VLOOKUP(A27,DB_Customers!$A:$D,4,0),"❌ Account Not Found"))</f>
        <v/>
      </c>
      <c r="C27" s="33" t="str">
        <f>IF(A27="","",IFERROR(VLOOKUP(A27,DB_Customers!$A:$N,14,0),""))</f>
        <v/>
      </c>
      <c r="D27" s="34" t="str">
        <f t="shared" ca="1" si="0"/>
        <v/>
      </c>
      <c r="E27" s="50"/>
      <c r="F27" s="7"/>
      <c r="G27" s="51" t="str">
        <f t="shared" si="1"/>
        <v/>
      </c>
      <c r="H27" s="9"/>
      <c r="I27" s="37"/>
      <c r="J27" s="38" t="str">
        <f>IF(AND(A27&lt;&gt;"",E27&lt;&gt;""),IF(I27="","⚠️ Enter Code",IF(IFERROR(VLOOKUP(H27,DB_Agents!$B:$I,8,0),"")=I27,IF(C27&gt;=E27,"Successful","Unsuccessful"),"🔒 BLOCKED — Wrong Code")),"—")</f>
        <v>—</v>
      </c>
      <c r="K27" s="39" t="str">
        <f t="shared" ca="1" si="2"/>
        <v>—</v>
      </c>
      <c r="L27" s="40"/>
    </row>
    <row r="28" spans="1:12" x14ac:dyDescent="0.25">
      <c r="A28" s="41"/>
      <c r="B28" s="11" t="str">
        <f>IF(A28="","",IFERROR(VLOOKUP(A28,DB_Customers!$A:$D,4,0),"❌ Account Not Found"))</f>
        <v/>
      </c>
      <c r="C28" s="42" t="str">
        <f>IF(A28="","",IFERROR(VLOOKUP(A28,DB_Customers!$A:$N,14,0),""))</f>
        <v/>
      </c>
      <c r="D28" s="43" t="str">
        <f t="shared" ca="1" si="0"/>
        <v/>
      </c>
      <c r="E28" s="50"/>
      <c r="F28" s="11"/>
      <c r="G28" s="52" t="str">
        <f t="shared" si="1"/>
        <v/>
      </c>
      <c r="H28" s="13"/>
      <c r="I28" s="37"/>
      <c r="J28" s="45" t="str">
        <f>IF(AND(A28&lt;&gt;"",E28&lt;&gt;""),IF(I28="","⚠️ Enter Code",IF(IFERROR(VLOOKUP(H28,DB_Agents!$B:$I,8,0),"")=I28,IF(C28&gt;=E28,"Successful","Unsuccessful"),"🔒 BLOCKED — Wrong Code")),"—")</f>
        <v>—</v>
      </c>
      <c r="K28" s="46" t="str">
        <f t="shared" ca="1" si="2"/>
        <v>—</v>
      </c>
      <c r="L28" s="47"/>
    </row>
    <row r="29" spans="1:12" x14ac:dyDescent="0.25">
      <c r="A29" s="32"/>
      <c r="B29" s="7" t="str">
        <f>IF(A29="","",IFERROR(VLOOKUP(A29,DB_Customers!$A:$D,4,0),"❌ Account Not Found"))</f>
        <v/>
      </c>
      <c r="C29" s="33" t="str">
        <f>IF(A29="","",IFERROR(VLOOKUP(A29,DB_Customers!$A:$N,14,0),""))</f>
        <v/>
      </c>
      <c r="D29" s="34" t="str">
        <f t="shared" ca="1" si="0"/>
        <v/>
      </c>
      <c r="E29" s="50"/>
      <c r="F29" s="7"/>
      <c r="G29" s="51" t="str">
        <f t="shared" si="1"/>
        <v/>
      </c>
      <c r="H29" s="9"/>
      <c r="I29" s="37"/>
      <c r="J29" s="38" t="str">
        <f>IF(AND(A29&lt;&gt;"",E29&lt;&gt;""),IF(I29="","⚠️ Enter Code",IF(IFERROR(VLOOKUP(H29,DB_Agents!$B:$I,8,0),"")=I29,IF(C29&gt;=E29,"Successful","Unsuccessful"),"🔒 BLOCKED — Wrong Code")),"—")</f>
        <v>—</v>
      </c>
      <c r="K29" s="39" t="str">
        <f t="shared" ca="1" si="2"/>
        <v>—</v>
      </c>
      <c r="L29" s="40"/>
    </row>
    <row r="30" spans="1:12" x14ac:dyDescent="0.25">
      <c r="A30" s="41"/>
      <c r="B30" s="11" t="str">
        <f>IF(A30="","",IFERROR(VLOOKUP(A30,DB_Customers!$A:$D,4,0),"❌ Account Not Found"))</f>
        <v/>
      </c>
      <c r="C30" s="42" t="str">
        <f>IF(A30="","",IFERROR(VLOOKUP(A30,DB_Customers!$A:$N,14,0),""))</f>
        <v/>
      </c>
      <c r="D30" s="43" t="str">
        <f t="shared" ca="1" si="0"/>
        <v/>
      </c>
      <c r="E30" s="50"/>
      <c r="F30" s="11"/>
      <c r="G30" s="52" t="str">
        <f t="shared" si="1"/>
        <v/>
      </c>
      <c r="H30" s="13"/>
      <c r="I30" s="37"/>
      <c r="J30" s="45" t="str">
        <f>IF(AND(A30&lt;&gt;"",E30&lt;&gt;""),IF(I30="","⚠️ Enter Code",IF(IFERROR(VLOOKUP(H30,DB_Agents!$B:$I,8,0),"")=I30,IF(C30&gt;=E30,"Successful","Unsuccessful"),"🔒 BLOCKED — Wrong Code")),"—")</f>
        <v>—</v>
      </c>
      <c r="K30" s="46" t="str">
        <f t="shared" ca="1" si="2"/>
        <v>—</v>
      </c>
      <c r="L30" s="47"/>
    </row>
    <row r="31" spans="1:12" x14ac:dyDescent="0.25">
      <c r="A31" s="32"/>
      <c r="B31" s="7" t="str">
        <f>IF(A31="","",IFERROR(VLOOKUP(A31,DB_Customers!$A:$D,4,0),"❌ Account Not Found"))</f>
        <v/>
      </c>
      <c r="C31" s="33" t="str">
        <f>IF(A31="","",IFERROR(VLOOKUP(A31,DB_Customers!$A:$N,14,0),""))</f>
        <v/>
      </c>
      <c r="D31" s="34" t="str">
        <f t="shared" ca="1" si="0"/>
        <v/>
      </c>
      <c r="E31" s="50"/>
      <c r="F31" s="7"/>
      <c r="G31" s="51" t="str">
        <f t="shared" si="1"/>
        <v/>
      </c>
      <c r="H31" s="9"/>
      <c r="I31" s="37"/>
      <c r="J31" s="38" t="str">
        <f>IF(AND(A31&lt;&gt;"",E31&lt;&gt;""),IF(I31="","⚠️ Enter Code",IF(IFERROR(VLOOKUP(H31,DB_Agents!$B:$I,8,0),"")=I31,IF(C31&gt;=E31,"Successful","Unsuccessful"),"🔒 BLOCKED — Wrong Code")),"—")</f>
        <v>—</v>
      </c>
      <c r="K31" s="39" t="str">
        <f t="shared" ca="1" si="2"/>
        <v>—</v>
      </c>
      <c r="L31" s="40"/>
    </row>
    <row r="32" spans="1:12" x14ac:dyDescent="0.25">
      <c r="A32" s="41"/>
      <c r="B32" s="11" t="str">
        <f>IF(A32="","",IFERROR(VLOOKUP(A32,DB_Customers!$A:$D,4,0),"❌ Account Not Found"))</f>
        <v/>
      </c>
      <c r="C32" s="42" t="str">
        <f>IF(A32="","",IFERROR(VLOOKUP(A32,DB_Customers!$A:$N,14,0),""))</f>
        <v/>
      </c>
      <c r="D32" s="43" t="str">
        <f t="shared" ca="1" si="0"/>
        <v/>
      </c>
      <c r="E32" s="50"/>
      <c r="F32" s="11"/>
      <c r="G32" s="52" t="str">
        <f t="shared" si="1"/>
        <v/>
      </c>
      <c r="H32" s="13"/>
      <c r="I32" s="37"/>
      <c r="J32" s="45" t="str">
        <f>IF(AND(A32&lt;&gt;"",E32&lt;&gt;""),IF(I32="","⚠️ Enter Code",IF(IFERROR(VLOOKUP(H32,DB_Agents!$B:$I,8,0),"")=I32,IF(C32&gt;=E32,"Successful","Unsuccessful"),"🔒 BLOCKED — Wrong Code")),"—")</f>
        <v>—</v>
      </c>
      <c r="K32" s="46" t="str">
        <f t="shared" ca="1" si="2"/>
        <v>—</v>
      </c>
      <c r="L32" s="47"/>
    </row>
    <row r="33" spans="1:12" x14ac:dyDescent="0.25">
      <c r="A33" s="32"/>
      <c r="B33" s="7" t="str">
        <f>IF(A33="","",IFERROR(VLOOKUP(A33,DB_Customers!$A:$D,4,0),"❌ Account Not Found"))</f>
        <v/>
      </c>
      <c r="C33" s="33" t="str">
        <f>IF(A33="","",IFERROR(VLOOKUP(A33,DB_Customers!$A:$N,14,0),""))</f>
        <v/>
      </c>
      <c r="D33" s="34" t="str">
        <f t="shared" ca="1" si="0"/>
        <v/>
      </c>
      <c r="E33" s="50"/>
      <c r="F33" s="7"/>
      <c r="G33" s="51" t="str">
        <f t="shared" si="1"/>
        <v/>
      </c>
      <c r="H33" s="9"/>
      <c r="I33" s="37"/>
      <c r="J33" s="38" t="str">
        <f>IF(AND(A33&lt;&gt;"",E33&lt;&gt;""),IF(I33="","⚠️ Enter Code",IF(IFERROR(VLOOKUP(H33,DB_Agents!$B:$I,8,0),"")=I33,IF(C33&gt;=E33,"Successful","Unsuccessful"),"🔒 BLOCKED — Wrong Code")),"—")</f>
        <v>—</v>
      </c>
      <c r="K33" s="39" t="str">
        <f t="shared" ca="1" si="2"/>
        <v>—</v>
      </c>
      <c r="L33" s="40"/>
    </row>
    <row r="34" spans="1:12" x14ac:dyDescent="0.25">
      <c r="A34" s="41"/>
      <c r="B34" s="11" t="str">
        <f>IF(A34="","",IFERROR(VLOOKUP(A34,DB_Customers!$A:$D,4,0),"❌ Account Not Found"))</f>
        <v/>
      </c>
      <c r="C34" s="42" t="str">
        <f>IF(A34="","",IFERROR(VLOOKUP(A34,DB_Customers!$A:$N,14,0),""))</f>
        <v/>
      </c>
      <c r="D34" s="43" t="str">
        <f t="shared" ca="1" si="0"/>
        <v/>
      </c>
      <c r="E34" s="50"/>
      <c r="F34" s="11"/>
      <c r="G34" s="52" t="str">
        <f t="shared" si="1"/>
        <v/>
      </c>
      <c r="H34" s="13"/>
      <c r="I34" s="37"/>
      <c r="J34" s="45" t="str">
        <f>IF(AND(A34&lt;&gt;"",E34&lt;&gt;""),IF(I34="","⚠️ Enter Code",IF(IFERROR(VLOOKUP(H34,DB_Agents!$B:$I,8,0),"")=I34,IF(C34&gt;=E34,"Successful","Unsuccessful"),"🔒 BLOCKED — Wrong Code")),"—")</f>
        <v>—</v>
      </c>
      <c r="K34" s="46" t="str">
        <f t="shared" ca="1" si="2"/>
        <v>—</v>
      </c>
      <c r="L34" s="47"/>
    </row>
    <row r="35" spans="1:12" x14ac:dyDescent="0.25">
      <c r="A35" s="32"/>
      <c r="B35" s="7" t="str">
        <f>IF(A35="","",IFERROR(VLOOKUP(A35,DB_Customers!$A:$D,4,0),"❌ Account Not Found"))</f>
        <v/>
      </c>
      <c r="C35" s="33" t="str">
        <f>IF(A35="","",IFERROR(VLOOKUP(A35,DB_Customers!$A:$N,14,0),""))</f>
        <v/>
      </c>
      <c r="D35" s="34" t="str">
        <f t="shared" ca="1" si="0"/>
        <v/>
      </c>
      <c r="E35" s="50"/>
      <c r="F35" s="7"/>
      <c r="G35" s="51" t="str">
        <f t="shared" si="1"/>
        <v/>
      </c>
      <c r="H35" s="9"/>
      <c r="I35" s="37"/>
      <c r="J35" s="38" t="str">
        <f>IF(AND(A35&lt;&gt;"",E35&lt;&gt;""),IF(I35="","⚠️ Enter Code",IF(IFERROR(VLOOKUP(H35,DB_Agents!$B:$I,8,0),"")=I35,IF(C35&gt;=E35,"Successful","Unsuccessful"),"🔒 BLOCKED — Wrong Code")),"—")</f>
        <v>—</v>
      </c>
      <c r="K35" s="39" t="str">
        <f t="shared" ca="1" si="2"/>
        <v>—</v>
      </c>
      <c r="L35" s="40"/>
    </row>
    <row r="36" spans="1:12" x14ac:dyDescent="0.25">
      <c r="A36" s="41"/>
      <c r="B36" s="11" t="str">
        <f>IF(A36="","",IFERROR(VLOOKUP(A36,DB_Customers!$A:$D,4,0),"❌ Account Not Found"))</f>
        <v/>
      </c>
      <c r="C36" s="42" t="str">
        <f>IF(A36="","",IFERROR(VLOOKUP(A36,DB_Customers!$A:$N,14,0),""))</f>
        <v/>
      </c>
      <c r="D36" s="43" t="str">
        <f t="shared" ca="1" si="0"/>
        <v/>
      </c>
      <c r="E36" s="50"/>
      <c r="F36" s="11"/>
      <c r="G36" s="52" t="str">
        <f t="shared" si="1"/>
        <v/>
      </c>
      <c r="H36" s="13"/>
      <c r="I36" s="37"/>
      <c r="J36" s="45" t="str">
        <f>IF(AND(A36&lt;&gt;"",E36&lt;&gt;""),IF(I36="","⚠️ Enter Code",IF(IFERROR(VLOOKUP(H36,DB_Agents!$B:$I,8,0),"")=I36,IF(C36&gt;=E36,"Successful","Unsuccessful"),"🔒 BLOCKED — Wrong Code")),"—")</f>
        <v>—</v>
      </c>
      <c r="K36" s="46" t="str">
        <f t="shared" ca="1" si="2"/>
        <v>—</v>
      </c>
      <c r="L36" s="47"/>
    </row>
    <row r="37" spans="1:12" x14ac:dyDescent="0.25">
      <c r="A37" s="32"/>
      <c r="B37" s="7" t="str">
        <f>IF(A37="","",IFERROR(VLOOKUP(A37,DB_Customers!$A:$D,4,0),"❌ Account Not Found"))</f>
        <v/>
      </c>
      <c r="C37" s="33" t="str">
        <f>IF(A37="","",IFERROR(VLOOKUP(A37,DB_Customers!$A:$N,14,0),""))</f>
        <v/>
      </c>
      <c r="D37" s="34" t="str">
        <f t="shared" ca="1" si="0"/>
        <v/>
      </c>
      <c r="E37" s="50"/>
      <c r="F37" s="7"/>
      <c r="G37" s="51" t="str">
        <f t="shared" si="1"/>
        <v/>
      </c>
      <c r="H37" s="9"/>
      <c r="I37" s="37"/>
      <c r="J37" s="38" t="str">
        <f>IF(AND(A37&lt;&gt;"",E37&lt;&gt;""),IF(I37="","⚠️ Enter Code",IF(IFERROR(VLOOKUP(H37,DB_Agents!$B:$I,8,0),"")=I37,IF(C37&gt;=E37,"Successful","Unsuccessful"),"🔒 BLOCKED — Wrong Code")),"—")</f>
        <v>—</v>
      </c>
      <c r="K37" s="39" t="str">
        <f t="shared" ca="1" si="2"/>
        <v>—</v>
      </c>
      <c r="L37" s="40"/>
    </row>
    <row r="38" spans="1:12" x14ac:dyDescent="0.25">
      <c r="A38" s="41"/>
      <c r="B38" s="11" t="str">
        <f>IF(A38="","",IFERROR(VLOOKUP(A38,DB_Customers!$A:$D,4,0),"❌ Account Not Found"))</f>
        <v/>
      </c>
      <c r="C38" s="42" t="str">
        <f>IF(A38="","",IFERROR(VLOOKUP(A38,DB_Customers!$A:$N,14,0),""))</f>
        <v/>
      </c>
      <c r="D38" s="43" t="str">
        <f t="shared" ca="1" si="0"/>
        <v/>
      </c>
      <c r="E38" s="50"/>
      <c r="F38" s="11"/>
      <c r="G38" s="52" t="str">
        <f t="shared" si="1"/>
        <v/>
      </c>
      <c r="H38" s="13"/>
      <c r="I38" s="37"/>
      <c r="J38" s="45" t="str">
        <f>IF(AND(A38&lt;&gt;"",E38&lt;&gt;""),IF(I38="","⚠️ Enter Code",IF(IFERROR(VLOOKUP(H38,DB_Agents!$B:$I,8,0),"")=I38,IF(C38&gt;=E38,"Successful","Unsuccessful"),"🔒 BLOCKED — Wrong Code")),"—")</f>
        <v>—</v>
      </c>
      <c r="K38" s="46" t="str">
        <f t="shared" ca="1" si="2"/>
        <v>—</v>
      </c>
      <c r="L38" s="47"/>
    </row>
    <row r="39" spans="1:12" x14ac:dyDescent="0.25">
      <c r="A39" s="32"/>
      <c r="B39" s="7" t="str">
        <f>IF(A39="","",IFERROR(VLOOKUP(A39,DB_Customers!$A:$D,4,0),"❌ Account Not Found"))</f>
        <v/>
      </c>
      <c r="C39" s="33" t="str">
        <f>IF(A39="","",IFERROR(VLOOKUP(A39,DB_Customers!$A:$N,14,0),""))</f>
        <v/>
      </c>
      <c r="D39" s="34" t="str">
        <f t="shared" ca="1" si="0"/>
        <v/>
      </c>
      <c r="E39" s="50"/>
      <c r="F39" s="7"/>
      <c r="G39" s="51" t="str">
        <f t="shared" si="1"/>
        <v/>
      </c>
      <c r="H39" s="9"/>
      <c r="I39" s="37"/>
      <c r="J39" s="38" t="str">
        <f>IF(AND(A39&lt;&gt;"",E39&lt;&gt;""),IF(I39="","⚠️ Enter Code",IF(IFERROR(VLOOKUP(H39,DB_Agents!$B:$I,8,0),"")=I39,IF(C39&gt;=E39,"Successful","Unsuccessful"),"🔒 BLOCKED — Wrong Code")),"—")</f>
        <v>—</v>
      </c>
      <c r="K39" s="39" t="str">
        <f t="shared" ca="1" si="2"/>
        <v>—</v>
      </c>
      <c r="L39" s="40"/>
    </row>
    <row r="40" spans="1:12" x14ac:dyDescent="0.25">
      <c r="A40" s="41"/>
      <c r="B40" s="11" t="str">
        <f>IF(A40="","",IFERROR(VLOOKUP(A40,DB_Customers!$A:$D,4,0),"❌ Account Not Found"))</f>
        <v/>
      </c>
      <c r="C40" s="42" t="str">
        <f>IF(A40="","",IFERROR(VLOOKUP(A40,DB_Customers!$A:$N,14,0),""))</f>
        <v/>
      </c>
      <c r="D40" s="43" t="str">
        <f t="shared" ca="1" si="0"/>
        <v/>
      </c>
      <c r="E40" s="50"/>
      <c r="F40" s="11"/>
      <c r="G40" s="52" t="str">
        <f t="shared" si="1"/>
        <v/>
      </c>
      <c r="H40" s="13"/>
      <c r="I40" s="37"/>
      <c r="J40" s="45" t="str">
        <f>IF(AND(A40&lt;&gt;"",E40&lt;&gt;""),IF(I40="","⚠️ Enter Code",IF(IFERROR(VLOOKUP(H40,DB_Agents!$B:$I,8,0),"")=I40,IF(C40&gt;=E40,"Successful","Unsuccessful"),"🔒 BLOCKED — Wrong Code")),"—")</f>
        <v>—</v>
      </c>
      <c r="K40" s="46" t="str">
        <f t="shared" ca="1" si="2"/>
        <v>—</v>
      </c>
      <c r="L40" s="47"/>
    </row>
    <row r="41" spans="1:12" x14ac:dyDescent="0.25">
      <c r="A41" s="32"/>
      <c r="B41" s="7" t="str">
        <f>IF(A41="","",IFERROR(VLOOKUP(A41,DB_Customers!$A:$D,4,0),"❌ Account Not Found"))</f>
        <v/>
      </c>
      <c r="C41" s="33" t="str">
        <f>IF(A41="","",IFERROR(VLOOKUP(A41,DB_Customers!$A:$N,14,0),""))</f>
        <v/>
      </c>
      <c r="D41" s="34" t="str">
        <f t="shared" ref="D41:D72" ca="1" si="3">IF(A41="","",TODAY())</f>
        <v/>
      </c>
      <c r="E41" s="50"/>
      <c r="F41" s="7"/>
      <c r="G41" s="51" t="str">
        <f t="shared" ref="G41:G72" si="4">IF(OR(A41="",E41=""),"",IF(C41="","",C41-E41))</f>
        <v/>
      </c>
      <c r="H41" s="9"/>
      <c r="I41" s="37"/>
      <c r="J41" s="38" t="str">
        <f>IF(AND(A41&lt;&gt;"",E41&lt;&gt;""),IF(I41="","⚠️ Enter Code",IF(IFERROR(VLOOKUP(H41,DB_Agents!$B:$I,8,0),"")=I41,IF(C41&gt;=E41,"Successful","Unsuccessful"),"🔒 BLOCKED — Wrong Code")),"—")</f>
        <v>—</v>
      </c>
      <c r="K41" s="39" t="str">
        <f t="shared" ref="K41:K72" ca="1" si="5">IF(J41="Successful",TEXT(TODAY(),"YYYY-MM-DD")&amp;" Auto","—")</f>
        <v>—</v>
      </c>
      <c r="L41" s="40"/>
    </row>
    <row r="42" spans="1:12" x14ac:dyDescent="0.25">
      <c r="A42" s="41"/>
      <c r="B42" s="11" t="str">
        <f>IF(A42="","",IFERROR(VLOOKUP(A42,DB_Customers!$A:$D,4,0),"❌ Account Not Found"))</f>
        <v/>
      </c>
      <c r="C42" s="42" t="str">
        <f>IF(A42="","",IFERROR(VLOOKUP(A42,DB_Customers!$A:$N,14,0),""))</f>
        <v/>
      </c>
      <c r="D42" s="43" t="str">
        <f t="shared" ca="1" si="3"/>
        <v/>
      </c>
      <c r="E42" s="50"/>
      <c r="F42" s="11"/>
      <c r="G42" s="52" t="str">
        <f t="shared" si="4"/>
        <v/>
      </c>
      <c r="H42" s="13"/>
      <c r="I42" s="37"/>
      <c r="J42" s="45" t="str">
        <f>IF(AND(A42&lt;&gt;"",E42&lt;&gt;""),IF(I42="","⚠️ Enter Code",IF(IFERROR(VLOOKUP(H42,DB_Agents!$B:$I,8,0),"")=I42,IF(C42&gt;=E42,"Successful","Unsuccessful"),"🔒 BLOCKED — Wrong Code")),"—")</f>
        <v>—</v>
      </c>
      <c r="K42" s="46" t="str">
        <f t="shared" ca="1" si="5"/>
        <v>—</v>
      </c>
      <c r="L42" s="47"/>
    </row>
    <row r="43" spans="1:12" x14ac:dyDescent="0.25">
      <c r="A43" s="32"/>
      <c r="B43" s="7" t="str">
        <f>IF(A43="","",IFERROR(VLOOKUP(A43,DB_Customers!$A:$D,4,0),"❌ Account Not Found"))</f>
        <v/>
      </c>
      <c r="C43" s="33" t="str">
        <f>IF(A43="","",IFERROR(VLOOKUP(A43,DB_Customers!$A:$N,14,0),""))</f>
        <v/>
      </c>
      <c r="D43" s="34" t="str">
        <f t="shared" ca="1" si="3"/>
        <v/>
      </c>
      <c r="E43" s="50"/>
      <c r="F43" s="7"/>
      <c r="G43" s="51" t="str">
        <f t="shared" si="4"/>
        <v/>
      </c>
      <c r="H43" s="9"/>
      <c r="I43" s="37"/>
      <c r="J43" s="38" t="str">
        <f>IF(AND(A43&lt;&gt;"",E43&lt;&gt;""),IF(I43="","⚠️ Enter Code",IF(IFERROR(VLOOKUP(H43,DB_Agents!$B:$I,8,0),"")=I43,IF(C43&gt;=E43,"Successful","Unsuccessful"),"🔒 BLOCKED — Wrong Code")),"—")</f>
        <v>—</v>
      </c>
      <c r="K43" s="39" t="str">
        <f t="shared" ca="1" si="5"/>
        <v>—</v>
      </c>
      <c r="L43" s="40"/>
    </row>
    <row r="44" spans="1:12" x14ac:dyDescent="0.25">
      <c r="A44" s="41"/>
      <c r="B44" s="11" t="str">
        <f>IF(A44="","",IFERROR(VLOOKUP(A44,DB_Customers!$A:$D,4,0),"❌ Account Not Found"))</f>
        <v/>
      </c>
      <c r="C44" s="42" t="str">
        <f>IF(A44="","",IFERROR(VLOOKUP(A44,DB_Customers!$A:$N,14,0),""))</f>
        <v/>
      </c>
      <c r="D44" s="43" t="str">
        <f t="shared" ca="1" si="3"/>
        <v/>
      </c>
      <c r="E44" s="50"/>
      <c r="F44" s="11"/>
      <c r="G44" s="52" t="str">
        <f t="shared" si="4"/>
        <v/>
      </c>
      <c r="H44" s="13"/>
      <c r="I44" s="37"/>
      <c r="J44" s="45" t="str">
        <f>IF(AND(A44&lt;&gt;"",E44&lt;&gt;""),IF(I44="","⚠️ Enter Code",IF(IFERROR(VLOOKUP(H44,DB_Agents!$B:$I,8,0),"")=I44,IF(C44&gt;=E44,"Successful","Unsuccessful"),"🔒 BLOCKED — Wrong Code")),"—")</f>
        <v>—</v>
      </c>
      <c r="K44" s="46" t="str">
        <f t="shared" ca="1" si="5"/>
        <v>—</v>
      </c>
      <c r="L44" s="47"/>
    </row>
    <row r="45" spans="1:12" x14ac:dyDescent="0.25">
      <c r="A45" s="32"/>
      <c r="B45" s="7" t="str">
        <f>IF(A45="","",IFERROR(VLOOKUP(A45,DB_Customers!$A:$D,4,0),"❌ Account Not Found"))</f>
        <v/>
      </c>
      <c r="C45" s="33" t="str">
        <f>IF(A45="","",IFERROR(VLOOKUP(A45,DB_Customers!$A:$N,14,0),""))</f>
        <v/>
      </c>
      <c r="D45" s="34" t="str">
        <f t="shared" ca="1" si="3"/>
        <v/>
      </c>
      <c r="E45" s="50"/>
      <c r="F45" s="7"/>
      <c r="G45" s="51" t="str">
        <f t="shared" si="4"/>
        <v/>
      </c>
      <c r="H45" s="9"/>
      <c r="I45" s="37"/>
      <c r="J45" s="38" t="str">
        <f>IF(AND(A45&lt;&gt;"",E45&lt;&gt;""),IF(I45="","⚠️ Enter Code",IF(IFERROR(VLOOKUP(H45,DB_Agents!$B:$I,8,0),"")=I45,IF(C45&gt;=E45,"Successful","Unsuccessful"),"🔒 BLOCKED — Wrong Code")),"—")</f>
        <v>—</v>
      </c>
      <c r="K45" s="39" t="str">
        <f t="shared" ca="1" si="5"/>
        <v>—</v>
      </c>
      <c r="L45" s="40"/>
    </row>
    <row r="46" spans="1:12" x14ac:dyDescent="0.25">
      <c r="A46" s="41"/>
      <c r="B46" s="11" t="str">
        <f>IF(A46="","",IFERROR(VLOOKUP(A46,DB_Customers!$A:$D,4,0),"❌ Account Not Found"))</f>
        <v/>
      </c>
      <c r="C46" s="42" t="str">
        <f>IF(A46="","",IFERROR(VLOOKUP(A46,DB_Customers!$A:$N,14,0),""))</f>
        <v/>
      </c>
      <c r="D46" s="43" t="str">
        <f t="shared" ca="1" si="3"/>
        <v/>
      </c>
      <c r="E46" s="50"/>
      <c r="F46" s="11"/>
      <c r="G46" s="52" t="str">
        <f t="shared" si="4"/>
        <v/>
      </c>
      <c r="H46" s="13"/>
      <c r="I46" s="37"/>
      <c r="J46" s="45" t="str">
        <f>IF(AND(A46&lt;&gt;"",E46&lt;&gt;""),IF(I46="","⚠️ Enter Code",IF(IFERROR(VLOOKUP(H46,DB_Agents!$B:$I,8,0),"")=I46,IF(C46&gt;=E46,"Successful","Unsuccessful"),"🔒 BLOCKED — Wrong Code")),"—")</f>
        <v>—</v>
      </c>
      <c r="K46" s="46" t="str">
        <f t="shared" ca="1" si="5"/>
        <v>—</v>
      </c>
      <c r="L46" s="47"/>
    </row>
    <row r="47" spans="1:12" x14ac:dyDescent="0.25">
      <c r="A47" s="32"/>
      <c r="B47" s="7" t="str">
        <f>IF(A47="","",IFERROR(VLOOKUP(A47,DB_Customers!$A:$D,4,0),"❌ Account Not Found"))</f>
        <v/>
      </c>
      <c r="C47" s="33" t="str">
        <f>IF(A47="","",IFERROR(VLOOKUP(A47,DB_Customers!$A:$N,14,0),""))</f>
        <v/>
      </c>
      <c r="D47" s="34" t="str">
        <f t="shared" ca="1" si="3"/>
        <v/>
      </c>
      <c r="E47" s="50"/>
      <c r="F47" s="7"/>
      <c r="G47" s="51" t="str">
        <f t="shared" si="4"/>
        <v/>
      </c>
      <c r="H47" s="9"/>
      <c r="I47" s="37"/>
      <c r="J47" s="38" t="str">
        <f>IF(AND(A47&lt;&gt;"",E47&lt;&gt;""),IF(I47="","⚠️ Enter Code",IF(IFERROR(VLOOKUP(H47,DB_Agents!$B:$I,8,0),"")=I47,IF(C47&gt;=E47,"Successful","Unsuccessful"),"🔒 BLOCKED — Wrong Code")),"—")</f>
        <v>—</v>
      </c>
      <c r="K47" s="39" t="str">
        <f t="shared" ca="1" si="5"/>
        <v>—</v>
      </c>
      <c r="L47" s="40"/>
    </row>
    <row r="48" spans="1:12" x14ac:dyDescent="0.25">
      <c r="A48" s="41"/>
      <c r="B48" s="11" t="str">
        <f>IF(A48="","",IFERROR(VLOOKUP(A48,DB_Customers!$A:$D,4,0),"❌ Account Not Found"))</f>
        <v/>
      </c>
      <c r="C48" s="42" t="str">
        <f>IF(A48="","",IFERROR(VLOOKUP(A48,DB_Customers!$A:$N,14,0),""))</f>
        <v/>
      </c>
      <c r="D48" s="43" t="str">
        <f t="shared" ca="1" si="3"/>
        <v/>
      </c>
      <c r="E48" s="50"/>
      <c r="F48" s="11"/>
      <c r="G48" s="52" t="str">
        <f t="shared" si="4"/>
        <v/>
      </c>
      <c r="H48" s="13"/>
      <c r="I48" s="37"/>
      <c r="J48" s="45" t="str">
        <f>IF(AND(A48&lt;&gt;"",E48&lt;&gt;""),IF(I48="","⚠️ Enter Code",IF(IFERROR(VLOOKUP(H48,DB_Agents!$B:$I,8,0),"")=I48,IF(C48&gt;=E48,"Successful","Unsuccessful"),"🔒 BLOCKED — Wrong Code")),"—")</f>
        <v>—</v>
      </c>
      <c r="K48" s="46" t="str">
        <f t="shared" ca="1" si="5"/>
        <v>—</v>
      </c>
      <c r="L48" s="47"/>
    </row>
    <row r="49" spans="1:12" x14ac:dyDescent="0.25">
      <c r="A49" s="32"/>
      <c r="B49" s="7" t="str">
        <f>IF(A49="","",IFERROR(VLOOKUP(A49,DB_Customers!$A:$D,4,0),"❌ Account Not Found"))</f>
        <v/>
      </c>
      <c r="C49" s="33" t="str">
        <f>IF(A49="","",IFERROR(VLOOKUP(A49,DB_Customers!$A:$N,14,0),""))</f>
        <v/>
      </c>
      <c r="D49" s="34" t="str">
        <f t="shared" ca="1" si="3"/>
        <v/>
      </c>
      <c r="E49" s="50"/>
      <c r="F49" s="7"/>
      <c r="G49" s="51" t="str">
        <f t="shared" si="4"/>
        <v/>
      </c>
      <c r="H49" s="9"/>
      <c r="I49" s="37"/>
      <c r="J49" s="38" t="str">
        <f>IF(AND(A49&lt;&gt;"",E49&lt;&gt;""),IF(I49="","⚠️ Enter Code",IF(IFERROR(VLOOKUP(H49,DB_Agents!$B:$I,8,0),"")=I49,IF(C49&gt;=E49,"Successful","Unsuccessful"),"🔒 BLOCKED — Wrong Code")),"—")</f>
        <v>—</v>
      </c>
      <c r="K49" s="39" t="str">
        <f t="shared" ca="1" si="5"/>
        <v>—</v>
      </c>
      <c r="L49" s="40"/>
    </row>
    <row r="50" spans="1:12" x14ac:dyDescent="0.25">
      <c r="A50" s="41"/>
      <c r="B50" s="11" t="str">
        <f>IF(A50="","",IFERROR(VLOOKUP(A50,DB_Customers!$A:$D,4,0),"❌ Account Not Found"))</f>
        <v/>
      </c>
      <c r="C50" s="42" t="str">
        <f>IF(A50="","",IFERROR(VLOOKUP(A50,DB_Customers!$A:$N,14,0),""))</f>
        <v/>
      </c>
      <c r="D50" s="43" t="str">
        <f t="shared" ca="1" si="3"/>
        <v/>
      </c>
      <c r="E50" s="50"/>
      <c r="F50" s="11"/>
      <c r="G50" s="52" t="str">
        <f t="shared" si="4"/>
        <v/>
      </c>
      <c r="H50" s="13"/>
      <c r="I50" s="37"/>
      <c r="J50" s="45" t="str">
        <f>IF(AND(A50&lt;&gt;"",E50&lt;&gt;""),IF(I50="","⚠️ Enter Code",IF(IFERROR(VLOOKUP(H50,DB_Agents!$B:$I,8,0),"")=I50,IF(C50&gt;=E50,"Successful","Unsuccessful"),"🔒 BLOCKED — Wrong Code")),"—")</f>
        <v>—</v>
      </c>
      <c r="K50" s="46" t="str">
        <f t="shared" ca="1" si="5"/>
        <v>—</v>
      </c>
      <c r="L50" s="47"/>
    </row>
    <row r="51" spans="1:12" x14ac:dyDescent="0.25">
      <c r="A51" s="32"/>
      <c r="B51" s="7" t="str">
        <f>IF(A51="","",IFERROR(VLOOKUP(A51,DB_Customers!$A:$D,4,0),"❌ Account Not Found"))</f>
        <v/>
      </c>
      <c r="C51" s="33" t="str">
        <f>IF(A51="","",IFERROR(VLOOKUP(A51,DB_Customers!$A:$N,14,0),""))</f>
        <v/>
      </c>
      <c r="D51" s="34" t="str">
        <f t="shared" ca="1" si="3"/>
        <v/>
      </c>
      <c r="E51" s="50"/>
      <c r="F51" s="7"/>
      <c r="G51" s="51" t="str">
        <f t="shared" si="4"/>
        <v/>
      </c>
      <c r="H51" s="9"/>
      <c r="I51" s="37"/>
      <c r="J51" s="38" t="str">
        <f>IF(AND(A51&lt;&gt;"",E51&lt;&gt;""),IF(I51="","⚠️ Enter Code",IF(IFERROR(VLOOKUP(H51,DB_Agents!$B:$I,8,0),"")=I51,IF(C51&gt;=E51,"Successful","Unsuccessful"),"🔒 BLOCKED — Wrong Code")),"—")</f>
        <v>—</v>
      </c>
      <c r="K51" s="39" t="str">
        <f t="shared" ca="1" si="5"/>
        <v>—</v>
      </c>
      <c r="L51" s="40"/>
    </row>
    <row r="52" spans="1:12" x14ac:dyDescent="0.25">
      <c r="A52" s="41"/>
      <c r="B52" s="11" t="str">
        <f>IF(A52="","",IFERROR(VLOOKUP(A52,DB_Customers!$A:$D,4,0),"❌ Account Not Found"))</f>
        <v/>
      </c>
      <c r="C52" s="42" t="str">
        <f>IF(A52="","",IFERROR(VLOOKUP(A52,DB_Customers!$A:$N,14,0),""))</f>
        <v/>
      </c>
      <c r="D52" s="43" t="str">
        <f t="shared" ca="1" si="3"/>
        <v/>
      </c>
      <c r="E52" s="50"/>
      <c r="F52" s="11"/>
      <c r="G52" s="52" t="str">
        <f t="shared" si="4"/>
        <v/>
      </c>
      <c r="H52" s="13"/>
      <c r="I52" s="37"/>
      <c r="J52" s="45" t="str">
        <f>IF(AND(A52&lt;&gt;"",E52&lt;&gt;""),IF(I52="","⚠️ Enter Code",IF(IFERROR(VLOOKUP(H52,DB_Agents!$B:$I,8,0),"")=I52,IF(C52&gt;=E52,"Successful","Unsuccessful"),"🔒 BLOCKED — Wrong Code")),"—")</f>
        <v>—</v>
      </c>
      <c r="K52" s="46" t="str">
        <f t="shared" ca="1" si="5"/>
        <v>—</v>
      </c>
      <c r="L52" s="47"/>
    </row>
    <row r="53" spans="1:12" x14ac:dyDescent="0.25">
      <c r="A53" s="32"/>
      <c r="B53" s="7" t="str">
        <f>IF(A53="","",IFERROR(VLOOKUP(A53,DB_Customers!$A:$D,4,0),"❌ Account Not Found"))</f>
        <v/>
      </c>
      <c r="C53" s="33" t="str">
        <f>IF(A53="","",IFERROR(VLOOKUP(A53,DB_Customers!$A:$N,14,0),""))</f>
        <v/>
      </c>
      <c r="D53" s="34" t="str">
        <f t="shared" ca="1" si="3"/>
        <v/>
      </c>
      <c r="E53" s="50"/>
      <c r="F53" s="7"/>
      <c r="G53" s="51" t="str">
        <f t="shared" si="4"/>
        <v/>
      </c>
      <c r="H53" s="9"/>
      <c r="I53" s="37"/>
      <c r="J53" s="38" t="str">
        <f>IF(AND(A53&lt;&gt;"",E53&lt;&gt;""),IF(I53="","⚠️ Enter Code",IF(IFERROR(VLOOKUP(H53,DB_Agents!$B:$I,8,0),"")=I53,IF(C53&gt;=E53,"Successful","Unsuccessful"),"🔒 BLOCKED — Wrong Code")),"—")</f>
        <v>—</v>
      </c>
      <c r="K53" s="39" t="str">
        <f t="shared" ca="1" si="5"/>
        <v>—</v>
      </c>
      <c r="L53" s="40"/>
    </row>
    <row r="54" spans="1:12" x14ac:dyDescent="0.25">
      <c r="A54" s="41"/>
      <c r="B54" s="11" t="str">
        <f>IF(A54="","",IFERROR(VLOOKUP(A54,DB_Customers!$A:$D,4,0),"❌ Account Not Found"))</f>
        <v/>
      </c>
      <c r="C54" s="42" t="str">
        <f>IF(A54="","",IFERROR(VLOOKUP(A54,DB_Customers!$A:$N,14,0),""))</f>
        <v/>
      </c>
      <c r="D54" s="43" t="str">
        <f t="shared" ca="1" si="3"/>
        <v/>
      </c>
      <c r="E54" s="50"/>
      <c r="F54" s="11"/>
      <c r="G54" s="52" t="str">
        <f t="shared" si="4"/>
        <v/>
      </c>
      <c r="H54" s="13"/>
      <c r="I54" s="37"/>
      <c r="J54" s="45" t="str">
        <f>IF(AND(A54&lt;&gt;"",E54&lt;&gt;""),IF(I54="","⚠️ Enter Code",IF(IFERROR(VLOOKUP(H54,DB_Agents!$B:$I,8,0),"")=I54,IF(C54&gt;=E54,"Successful","Unsuccessful"),"🔒 BLOCKED — Wrong Code")),"—")</f>
        <v>—</v>
      </c>
      <c r="K54" s="46" t="str">
        <f t="shared" ca="1" si="5"/>
        <v>—</v>
      </c>
      <c r="L54" s="47"/>
    </row>
    <row r="55" spans="1:12" x14ac:dyDescent="0.25">
      <c r="A55" s="32"/>
      <c r="B55" s="7" t="str">
        <f>IF(A55="","",IFERROR(VLOOKUP(A55,DB_Customers!$A:$D,4,0),"❌ Account Not Found"))</f>
        <v/>
      </c>
      <c r="C55" s="33" t="str">
        <f>IF(A55="","",IFERROR(VLOOKUP(A55,DB_Customers!$A:$N,14,0),""))</f>
        <v/>
      </c>
      <c r="D55" s="34" t="str">
        <f t="shared" ca="1" si="3"/>
        <v/>
      </c>
      <c r="E55" s="50"/>
      <c r="F55" s="7"/>
      <c r="G55" s="51" t="str">
        <f t="shared" si="4"/>
        <v/>
      </c>
      <c r="H55" s="9"/>
      <c r="I55" s="37"/>
      <c r="J55" s="38" t="str">
        <f>IF(AND(A55&lt;&gt;"",E55&lt;&gt;""),IF(I55="","⚠️ Enter Code",IF(IFERROR(VLOOKUP(H55,DB_Agents!$B:$I,8,0),"")=I55,IF(C55&gt;=E55,"Successful","Unsuccessful"),"🔒 BLOCKED — Wrong Code")),"—")</f>
        <v>—</v>
      </c>
      <c r="K55" s="39" t="str">
        <f t="shared" ca="1" si="5"/>
        <v>—</v>
      </c>
      <c r="L55" s="40"/>
    </row>
    <row r="56" spans="1:12" x14ac:dyDescent="0.25">
      <c r="A56" s="41"/>
      <c r="B56" s="11" t="str">
        <f>IF(A56="","",IFERROR(VLOOKUP(A56,DB_Customers!$A:$D,4,0),"❌ Account Not Found"))</f>
        <v/>
      </c>
      <c r="C56" s="42" t="str">
        <f>IF(A56="","",IFERROR(VLOOKUP(A56,DB_Customers!$A:$N,14,0),""))</f>
        <v/>
      </c>
      <c r="D56" s="43" t="str">
        <f t="shared" ca="1" si="3"/>
        <v/>
      </c>
      <c r="E56" s="50"/>
      <c r="F56" s="11"/>
      <c r="G56" s="52" t="str">
        <f t="shared" si="4"/>
        <v/>
      </c>
      <c r="H56" s="13"/>
      <c r="I56" s="37"/>
      <c r="J56" s="45" t="str">
        <f>IF(AND(A56&lt;&gt;"",E56&lt;&gt;""),IF(I56="","⚠️ Enter Code",IF(IFERROR(VLOOKUP(H56,DB_Agents!$B:$I,8,0),"")=I56,IF(C56&gt;=E56,"Successful","Unsuccessful"),"🔒 BLOCKED — Wrong Code")),"—")</f>
        <v>—</v>
      </c>
      <c r="K56" s="46" t="str">
        <f t="shared" ca="1" si="5"/>
        <v>—</v>
      </c>
      <c r="L56" s="47"/>
    </row>
    <row r="57" spans="1:12" x14ac:dyDescent="0.25">
      <c r="A57" s="32"/>
      <c r="B57" s="7" t="str">
        <f>IF(A57="","",IFERROR(VLOOKUP(A57,DB_Customers!$A:$D,4,0),"❌ Account Not Found"))</f>
        <v/>
      </c>
      <c r="C57" s="33" t="str">
        <f>IF(A57="","",IFERROR(VLOOKUP(A57,DB_Customers!$A:$N,14,0),""))</f>
        <v/>
      </c>
      <c r="D57" s="34" t="str">
        <f t="shared" ca="1" si="3"/>
        <v/>
      </c>
      <c r="E57" s="50"/>
      <c r="F57" s="7"/>
      <c r="G57" s="51" t="str">
        <f t="shared" si="4"/>
        <v/>
      </c>
      <c r="H57" s="9"/>
      <c r="I57" s="37"/>
      <c r="J57" s="38" t="str">
        <f>IF(AND(A57&lt;&gt;"",E57&lt;&gt;""),IF(I57="","⚠️ Enter Code",IF(IFERROR(VLOOKUP(H57,DB_Agents!$B:$I,8,0),"")=I57,IF(C57&gt;=E57,"Successful","Unsuccessful"),"🔒 BLOCKED — Wrong Code")),"—")</f>
        <v>—</v>
      </c>
      <c r="K57" s="39" t="str">
        <f t="shared" ca="1" si="5"/>
        <v>—</v>
      </c>
      <c r="L57" s="40"/>
    </row>
    <row r="58" spans="1:12" x14ac:dyDescent="0.25">
      <c r="A58" s="41"/>
      <c r="B58" s="11" t="str">
        <f>IF(A58="","",IFERROR(VLOOKUP(A58,DB_Customers!$A:$D,4,0),"❌ Account Not Found"))</f>
        <v/>
      </c>
      <c r="C58" s="42" t="str">
        <f>IF(A58="","",IFERROR(VLOOKUP(A58,DB_Customers!$A:$N,14,0),""))</f>
        <v/>
      </c>
      <c r="D58" s="43" t="str">
        <f t="shared" ca="1" si="3"/>
        <v/>
      </c>
      <c r="E58" s="50"/>
      <c r="F58" s="11"/>
      <c r="G58" s="52" t="str">
        <f t="shared" si="4"/>
        <v/>
      </c>
      <c r="H58" s="13"/>
      <c r="I58" s="37"/>
      <c r="J58" s="45" t="str">
        <f>IF(AND(A58&lt;&gt;"",E58&lt;&gt;""),IF(I58="","⚠️ Enter Code",IF(IFERROR(VLOOKUP(H58,DB_Agents!$B:$I,8,0),"")=I58,IF(C58&gt;=E58,"Successful","Unsuccessful"),"🔒 BLOCKED — Wrong Code")),"—")</f>
        <v>—</v>
      </c>
      <c r="K58" s="46" t="str">
        <f t="shared" ca="1" si="5"/>
        <v>—</v>
      </c>
      <c r="L58" s="47"/>
    </row>
    <row r="59" spans="1:12" x14ac:dyDescent="0.25">
      <c r="A59" s="32"/>
      <c r="B59" s="7" t="str">
        <f>IF(A59="","",IFERROR(VLOOKUP(A59,DB_Customers!$A:$D,4,0),"❌ Account Not Found"))</f>
        <v/>
      </c>
      <c r="C59" s="33" t="str">
        <f>IF(A59="","",IFERROR(VLOOKUP(A59,DB_Customers!$A:$N,14,0),""))</f>
        <v/>
      </c>
      <c r="D59" s="34" t="str">
        <f t="shared" ca="1" si="3"/>
        <v/>
      </c>
      <c r="E59" s="50"/>
      <c r="F59" s="7"/>
      <c r="G59" s="51" t="str">
        <f t="shared" si="4"/>
        <v/>
      </c>
      <c r="H59" s="9"/>
      <c r="I59" s="37"/>
      <c r="J59" s="38" t="str">
        <f>IF(AND(A59&lt;&gt;"",E59&lt;&gt;""),IF(I59="","⚠️ Enter Code",IF(IFERROR(VLOOKUP(H59,DB_Agents!$B:$I,8,0),"")=I59,IF(C59&gt;=E59,"Successful","Unsuccessful"),"🔒 BLOCKED — Wrong Code")),"—")</f>
        <v>—</v>
      </c>
      <c r="K59" s="39" t="str">
        <f t="shared" ca="1" si="5"/>
        <v>—</v>
      </c>
      <c r="L59" s="40"/>
    </row>
    <row r="60" spans="1:12" x14ac:dyDescent="0.25">
      <c r="A60" s="41"/>
      <c r="B60" s="11" t="str">
        <f>IF(A60="","",IFERROR(VLOOKUP(A60,DB_Customers!$A:$D,4,0),"❌ Account Not Found"))</f>
        <v/>
      </c>
      <c r="C60" s="42" t="str">
        <f>IF(A60="","",IFERROR(VLOOKUP(A60,DB_Customers!$A:$N,14,0),""))</f>
        <v/>
      </c>
      <c r="D60" s="43" t="str">
        <f t="shared" ca="1" si="3"/>
        <v/>
      </c>
      <c r="E60" s="50"/>
      <c r="F60" s="11"/>
      <c r="G60" s="52" t="str">
        <f t="shared" si="4"/>
        <v/>
      </c>
      <c r="H60" s="13"/>
      <c r="I60" s="37"/>
      <c r="J60" s="45" t="str">
        <f>IF(AND(A60&lt;&gt;"",E60&lt;&gt;""),IF(I60="","⚠️ Enter Code",IF(IFERROR(VLOOKUP(H60,DB_Agents!$B:$I,8,0),"")=I60,IF(C60&gt;=E60,"Successful","Unsuccessful"),"🔒 BLOCKED — Wrong Code")),"—")</f>
        <v>—</v>
      </c>
      <c r="K60" s="46" t="str">
        <f t="shared" ca="1" si="5"/>
        <v>—</v>
      </c>
      <c r="L60" s="47"/>
    </row>
    <row r="61" spans="1:12" x14ac:dyDescent="0.25">
      <c r="A61" s="32"/>
      <c r="B61" s="7" t="str">
        <f>IF(A61="","",IFERROR(VLOOKUP(A61,DB_Customers!$A:$D,4,0),"❌ Account Not Found"))</f>
        <v/>
      </c>
      <c r="C61" s="33" t="str">
        <f>IF(A61="","",IFERROR(VLOOKUP(A61,DB_Customers!$A:$N,14,0),""))</f>
        <v/>
      </c>
      <c r="D61" s="34" t="str">
        <f t="shared" ca="1" si="3"/>
        <v/>
      </c>
      <c r="E61" s="50"/>
      <c r="F61" s="7"/>
      <c r="G61" s="51" t="str">
        <f t="shared" si="4"/>
        <v/>
      </c>
      <c r="H61" s="9"/>
      <c r="I61" s="37"/>
      <c r="J61" s="38" t="str">
        <f>IF(AND(A61&lt;&gt;"",E61&lt;&gt;""),IF(I61="","⚠️ Enter Code",IF(IFERROR(VLOOKUP(H61,DB_Agents!$B:$I,8,0),"")=I61,IF(C61&gt;=E61,"Successful","Unsuccessful"),"🔒 BLOCKED — Wrong Code")),"—")</f>
        <v>—</v>
      </c>
      <c r="K61" s="39" t="str">
        <f t="shared" ca="1" si="5"/>
        <v>—</v>
      </c>
      <c r="L61" s="40"/>
    </row>
    <row r="62" spans="1:12" x14ac:dyDescent="0.25">
      <c r="A62" s="41"/>
      <c r="B62" s="11" t="str">
        <f>IF(A62="","",IFERROR(VLOOKUP(A62,DB_Customers!$A:$D,4,0),"❌ Account Not Found"))</f>
        <v/>
      </c>
      <c r="C62" s="42" t="str">
        <f>IF(A62="","",IFERROR(VLOOKUP(A62,DB_Customers!$A:$N,14,0),""))</f>
        <v/>
      </c>
      <c r="D62" s="43" t="str">
        <f t="shared" ca="1" si="3"/>
        <v/>
      </c>
      <c r="E62" s="50"/>
      <c r="F62" s="11"/>
      <c r="G62" s="52" t="str">
        <f t="shared" si="4"/>
        <v/>
      </c>
      <c r="H62" s="13"/>
      <c r="I62" s="37"/>
      <c r="J62" s="45" t="str">
        <f>IF(AND(A62&lt;&gt;"",E62&lt;&gt;""),IF(I62="","⚠️ Enter Code",IF(IFERROR(VLOOKUP(H62,DB_Agents!$B:$I,8,0),"")=I62,IF(C62&gt;=E62,"Successful","Unsuccessful"),"🔒 BLOCKED — Wrong Code")),"—")</f>
        <v>—</v>
      </c>
      <c r="K62" s="46" t="str">
        <f t="shared" ca="1" si="5"/>
        <v>—</v>
      </c>
      <c r="L62" s="47"/>
    </row>
    <row r="63" spans="1:12" x14ac:dyDescent="0.25">
      <c r="A63" s="32"/>
      <c r="B63" s="7" t="str">
        <f>IF(A63="","",IFERROR(VLOOKUP(A63,DB_Customers!$A:$D,4,0),"❌ Account Not Found"))</f>
        <v/>
      </c>
      <c r="C63" s="33" t="str">
        <f>IF(A63="","",IFERROR(VLOOKUP(A63,DB_Customers!$A:$N,14,0),""))</f>
        <v/>
      </c>
      <c r="D63" s="34" t="str">
        <f t="shared" ca="1" si="3"/>
        <v/>
      </c>
      <c r="E63" s="50"/>
      <c r="F63" s="7"/>
      <c r="G63" s="51" t="str">
        <f t="shared" si="4"/>
        <v/>
      </c>
      <c r="H63" s="9"/>
      <c r="I63" s="37"/>
      <c r="J63" s="38" t="str">
        <f>IF(AND(A63&lt;&gt;"",E63&lt;&gt;""),IF(I63="","⚠️ Enter Code",IF(IFERROR(VLOOKUP(H63,DB_Agents!$B:$I,8,0),"")=I63,IF(C63&gt;=E63,"Successful","Unsuccessful"),"🔒 BLOCKED — Wrong Code")),"—")</f>
        <v>—</v>
      </c>
      <c r="K63" s="39" t="str">
        <f t="shared" ca="1" si="5"/>
        <v>—</v>
      </c>
      <c r="L63" s="40"/>
    </row>
    <row r="64" spans="1:12" x14ac:dyDescent="0.25">
      <c r="A64" s="41"/>
      <c r="B64" s="11" t="str">
        <f>IF(A64="","",IFERROR(VLOOKUP(A64,DB_Customers!$A:$D,4,0),"❌ Account Not Found"))</f>
        <v/>
      </c>
      <c r="C64" s="42" t="str">
        <f>IF(A64="","",IFERROR(VLOOKUP(A64,DB_Customers!$A:$N,14,0),""))</f>
        <v/>
      </c>
      <c r="D64" s="43" t="str">
        <f t="shared" ca="1" si="3"/>
        <v/>
      </c>
      <c r="E64" s="50"/>
      <c r="F64" s="11"/>
      <c r="G64" s="52" t="str">
        <f t="shared" si="4"/>
        <v/>
      </c>
      <c r="H64" s="13"/>
      <c r="I64" s="37"/>
      <c r="J64" s="45" t="str">
        <f>IF(AND(A64&lt;&gt;"",E64&lt;&gt;""),IF(I64="","⚠️ Enter Code",IF(IFERROR(VLOOKUP(H64,DB_Agents!$B:$I,8,0),"")=I64,IF(C64&gt;=E64,"Successful","Unsuccessful"),"🔒 BLOCKED — Wrong Code")),"—")</f>
        <v>—</v>
      </c>
      <c r="K64" s="46" t="str">
        <f t="shared" ca="1" si="5"/>
        <v>—</v>
      </c>
      <c r="L64" s="47"/>
    </row>
    <row r="65" spans="1:12" x14ac:dyDescent="0.25">
      <c r="A65" s="32"/>
      <c r="B65" s="7" t="str">
        <f>IF(A65="","",IFERROR(VLOOKUP(A65,DB_Customers!$A:$D,4,0),"❌ Account Not Found"))</f>
        <v/>
      </c>
      <c r="C65" s="33" t="str">
        <f>IF(A65="","",IFERROR(VLOOKUP(A65,DB_Customers!$A:$N,14,0),""))</f>
        <v/>
      </c>
      <c r="D65" s="34" t="str">
        <f t="shared" ca="1" si="3"/>
        <v/>
      </c>
      <c r="E65" s="50"/>
      <c r="F65" s="7"/>
      <c r="G65" s="51" t="str">
        <f t="shared" si="4"/>
        <v/>
      </c>
      <c r="H65" s="9"/>
      <c r="I65" s="37"/>
      <c r="J65" s="38" t="str">
        <f>IF(AND(A65&lt;&gt;"",E65&lt;&gt;""),IF(I65="","⚠️ Enter Code",IF(IFERROR(VLOOKUP(H65,DB_Agents!$B:$I,8,0),"")=I65,IF(C65&gt;=E65,"Successful","Unsuccessful"),"🔒 BLOCKED — Wrong Code")),"—")</f>
        <v>—</v>
      </c>
      <c r="K65" s="39" t="str">
        <f t="shared" ca="1" si="5"/>
        <v>—</v>
      </c>
      <c r="L65" s="40"/>
    </row>
    <row r="66" spans="1:12" x14ac:dyDescent="0.25">
      <c r="A66" s="41"/>
      <c r="B66" s="11" t="str">
        <f>IF(A66="","",IFERROR(VLOOKUP(A66,DB_Customers!$A:$D,4,0),"❌ Account Not Found"))</f>
        <v/>
      </c>
      <c r="C66" s="42" t="str">
        <f>IF(A66="","",IFERROR(VLOOKUP(A66,DB_Customers!$A:$N,14,0),""))</f>
        <v/>
      </c>
      <c r="D66" s="43" t="str">
        <f t="shared" ca="1" si="3"/>
        <v/>
      </c>
      <c r="E66" s="50"/>
      <c r="F66" s="11"/>
      <c r="G66" s="52" t="str">
        <f t="shared" si="4"/>
        <v/>
      </c>
      <c r="H66" s="13"/>
      <c r="I66" s="37"/>
      <c r="J66" s="45" t="str">
        <f>IF(AND(A66&lt;&gt;"",E66&lt;&gt;""),IF(I66="","⚠️ Enter Code",IF(IFERROR(VLOOKUP(H66,DB_Agents!$B:$I,8,0),"")=I66,IF(C66&gt;=E66,"Successful","Unsuccessful"),"🔒 BLOCKED — Wrong Code")),"—")</f>
        <v>—</v>
      </c>
      <c r="K66" s="46" t="str">
        <f t="shared" ca="1" si="5"/>
        <v>—</v>
      </c>
      <c r="L66" s="47"/>
    </row>
    <row r="67" spans="1:12" x14ac:dyDescent="0.25">
      <c r="A67" s="32"/>
      <c r="B67" s="7" t="str">
        <f>IF(A67="","",IFERROR(VLOOKUP(A67,DB_Customers!$A:$D,4,0),"❌ Account Not Found"))</f>
        <v/>
      </c>
      <c r="C67" s="33" t="str">
        <f>IF(A67="","",IFERROR(VLOOKUP(A67,DB_Customers!$A:$N,14,0),""))</f>
        <v/>
      </c>
      <c r="D67" s="34" t="str">
        <f t="shared" ca="1" si="3"/>
        <v/>
      </c>
      <c r="E67" s="50"/>
      <c r="F67" s="7"/>
      <c r="G67" s="51" t="str">
        <f t="shared" si="4"/>
        <v/>
      </c>
      <c r="H67" s="9"/>
      <c r="I67" s="37"/>
      <c r="J67" s="38" t="str">
        <f>IF(AND(A67&lt;&gt;"",E67&lt;&gt;""),IF(I67="","⚠️ Enter Code",IF(IFERROR(VLOOKUP(H67,DB_Agents!$B:$I,8,0),"")=I67,IF(C67&gt;=E67,"Successful","Unsuccessful"),"🔒 BLOCKED — Wrong Code")),"—")</f>
        <v>—</v>
      </c>
      <c r="K67" s="39" t="str">
        <f t="shared" ca="1" si="5"/>
        <v>—</v>
      </c>
      <c r="L67" s="40"/>
    </row>
    <row r="68" spans="1:12" x14ac:dyDescent="0.25">
      <c r="A68" s="41"/>
      <c r="B68" s="11" t="str">
        <f>IF(A68="","",IFERROR(VLOOKUP(A68,DB_Customers!$A:$D,4,0),"❌ Account Not Found"))</f>
        <v/>
      </c>
      <c r="C68" s="42" t="str">
        <f>IF(A68="","",IFERROR(VLOOKUP(A68,DB_Customers!$A:$N,14,0),""))</f>
        <v/>
      </c>
      <c r="D68" s="43" t="str">
        <f t="shared" ca="1" si="3"/>
        <v/>
      </c>
      <c r="E68" s="50"/>
      <c r="F68" s="11"/>
      <c r="G68" s="52" t="str">
        <f t="shared" si="4"/>
        <v/>
      </c>
      <c r="H68" s="13"/>
      <c r="I68" s="37"/>
      <c r="J68" s="45" t="str">
        <f>IF(AND(A68&lt;&gt;"",E68&lt;&gt;""),IF(I68="","⚠️ Enter Code",IF(IFERROR(VLOOKUP(H68,DB_Agents!$B:$I,8,0),"")=I68,IF(C68&gt;=E68,"Successful","Unsuccessful"),"🔒 BLOCKED — Wrong Code")),"—")</f>
        <v>—</v>
      </c>
      <c r="K68" s="46" t="str">
        <f t="shared" ca="1" si="5"/>
        <v>—</v>
      </c>
      <c r="L68" s="47"/>
    </row>
    <row r="69" spans="1:12" x14ac:dyDescent="0.25">
      <c r="A69" s="32"/>
      <c r="B69" s="7" t="str">
        <f>IF(A69="","",IFERROR(VLOOKUP(A69,DB_Customers!$A:$D,4,0),"❌ Account Not Found"))</f>
        <v/>
      </c>
      <c r="C69" s="33" t="str">
        <f>IF(A69="","",IFERROR(VLOOKUP(A69,DB_Customers!$A:$N,14,0),""))</f>
        <v/>
      </c>
      <c r="D69" s="34" t="str">
        <f t="shared" ca="1" si="3"/>
        <v/>
      </c>
      <c r="E69" s="50"/>
      <c r="F69" s="7"/>
      <c r="G69" s="51" t="str">
        <f t="shared" si="4"/>
        <v/>
      </c>
      <c r="H69" s="9"/>
      <c r="I69" s="37"/>
      <c r="J69" s="38" t="str">
        <f>IF(AND(A69&lt;&gt;"",E69&lt;&gt;""),IF(I69="","⚠️ Enter Code",IF(IFERROR(VLOOKUP(H69,DB_Agents!$B:$I,8,0),"")=I69,IF(C69&gt;=E69,"Successful","Unsuccessful"),"🔒 BLOCKED — Wrong Code")),"—")</f>
        <v>—</v>
      </c>
      <c r="K69" s="39" t="str">
        <f t="shared" ca="1" si="5"/>
        <v>—</v>
      </c>
      <c r="L69" s="40"/>
    </row>
    <row r="70" spans="1:12" x14ac:dyDescent="0.25">
      <c r="A70" s="41"/>
      <c r="B70" s="11" t="str">
        <f>IF(A70="","",IFERROR(VLOOKUP(A70,DB_Customers!$A:$D,4,0),"❌ Account Not Found"))</f>
        <v/>
      </c>
      <c r="C70" s="42" t="str">
        <f>IF(A70="","",IFERROR(VLOOKUP(A70,DB_Customers!$A:$N,14,0),""))</f>
        <v/>
      </c>
      <c r="D70" s="43" t="str">
        <f t="shared" ca="1" si="3"/>
        <v/>
      </c>
      <c r="E70" s="50"/>
      <c r="F70" s="11"/>
      <c r="G70" s="52" t="str">
        <f t="shared" si="4"/>
        <v/>
      </c>
      <c r="H70" s="13"/>
      <c r="I70" s="37"/>
      <c r="J70" s="45" t="str">
        <f>IF(AND(A70&lt;&gt;"",E70&lt;&gt;""),IF(I70="","⚠️ Enter Code",IF(IFERROR(VLOOKUP(H70,DB_Agents!$B:$I,8,0),"")=I70,IF(C70&gt;=E70,"Successful","Unsuccessful"),"🔒 BLOCKED — Wrong Code")),"—")</f>
        <v>—</v>
      </c>
      <c r="K70" s="46" t="str">
        <f t="shared" ca="1" si="5"/>
        <v>—</v>
      </c>
      <c r="L70" s="47"/>
    </row>
    <row r="71" spans="1:12" x14ac:dyDescent="0.25">
      <c r="A71" s="32"/>
      <c r="B71" s="7" t="str">
        <f>IF(A71="","",IFERROR(VLOOKUP(A71,DB_Customers!$A:$D,4,0),"❌ Account Not Found"))</f>
        <v/>
      </c>
      <c r="C71" s="33" t="str">
        <f>IF(A71="","",IFERROR(VLOOKUP(A71,DB_Customers!$A:$N,14,0),""))</f>
        <v/>
      </c>
      <c r="D71" s="34" t="str">
        <f t="shared" ca="1" si="3"/>
        <v/>
      </c>
      <c r="E71" s="50"/>
      <c r="F71" s="7"/>
      <c r="G71" s="51" t="str">
        <f t="shared" si="4"/>
        <v/>
      </c>
      <c r="H71" s="9"/>
      <c r="I71" s="37"/>
      <c r="J71" s="38" t="str">
        <f>IF(AND(A71&lt;&gt;"",E71&lt;&gt;""),IF(I71="","⚠️ Enter Code",IF(IFERROR(VLOOKUP(H71,DB_Agents!$B:$I,8,0),"")=I71,IF(C71&gt;=E71,"Successful","Unsuccessful"),"🔒 BLOCKED — Wrong Code")),"—")</f>
        <v>—</v>
      </c>
      <c r="K71" s="39" t="str">
        <f t="shared" ca="1" si="5"/>
        <v>—</v>
      </c>
      <c r="L71" s="40"/>
    </row>
    <row r="72" spans="1:12" x14ac:dyDescent="0.25">
      <c r="A72" s="41"/>
      <c r="B72" s="11" t="str">
        <f>IF(A72="","",IFERROR(VLOOKUP(A72,DB_Customers!$A:$D,4,0),"❌ Account Not Found"))</f>
        <v/>
      </c>
      <c r="C72" s="42" t="str">
        <f>IF(A72="","",IFERROR(VLOOKUP(A72,DB_Customers!$A:$N,14,0),""))</f>
        <v/>
      </c>
      <c r="D72" s="43" t="str">
        <f t="shared" ca="1" si="3"/>
        <v/>
      </c>
      <c r="E72" s="50"/>
      <c r="F72" s="11"/>
      <c r="G72" s="52" t="str">
        <f t="shared" si="4"/>
        <v/>
      </c>
      <c r="H72" s="13"/>
      <c r="I72" s="37"/>
      <c r="J72" s="45" t="str">
        <f>IF(AND(A72&lt;&gt;"",E72&lt;&gt;""),IF(I72="","⚠️ Enter Code",IF(IFERROR(VLOOKUP(H72,DB_Agents!$B:$I,8,0),"")=I72,IF(C72&gt;=E72,"Successful","Unsuccessful"),"🔒 BLOCKED — Wrong Code")),"—")</f>
        <v>—</v>
      </c>
      <c r="K72" s="46" t="str">
        <f t="shared" ca="1" si="5"/>
        <v>—</v>
      </c>
      <c r="L72" s="47"/>
    </row>
    <row r="73" spans="1:12" x14ac:dyDescent="0.25">
      <c r="A73" s="32"/>
      <c r="B73" s="7" t="str">
        <f>IF(A73="","",IFERROR(VLOOKUP(A73,DB_Customers!$A:$D,4,0),"❌ Account Not Found"))</f>
        <v/>
      </c>
      <c r="C73" s="33" t="str">
        <f>IF(A73="","",IFERROR(VLOOKUP(A73,DB_Customers!$A:$N,14,0),""))</f>
        <v/>
      </c>
      <c r="D73" s="34" t="str">
        <f t="shared" ref="D73:D104" ca="1" si="6">IF(A73="","",TODAY())</f>
        <v/>
      </c>
      <c r="E73" s="50"/>
      <c r="F73" s="7"/>
      <c r="G73" s="51" t="str">
        <f t="shared" ref="G73:G104" si="7">IF(OR(A73="",E73=""),"",IF(C73="","",C73-E73))</f>
        <v/>
      </c>
      <c r="H73" s="9"/>
      <c r="I73" s="37"/>
      <c r="J73" s="38" t="str">
        <f>IF(AND(A73&lt;&gt;"",E73&lt;&gt;""),IF(I73="","⚠️ Enter Code",IF(IFERROR(VLOOKUP(H73,DB_Agents!$B:$I,8,0),"")=I73,IF(C73&gt;=E73,"Successful","Unsuccessful"),"🔒 BLOCKED — Wrong Code")),"—")</f>
        <v>—</v>
      </c>
      <c r="K73" s="39" t="str">
        <f t="shared" ref="K73:K104" ca="1" si="8">IF(J73="Successful",TEXT(TODAY(),"YYYY-MM-DD")&amp;" Auto","—")</f>
        <v>—</v>
      </c>
      <c r="L73" s="40"/>
    </row>
    <row r="74" spans="1:12" x14ac:dyDescent="0.25">
      <c r="A74" s="41"/>
      <c r="B74" s="11" t="str">
        <f>IF(A74="","",IFERROR(VLOOKUP(A74,DB_Customers!$A:$D,4,0),"❌ Account Not Found"))</f>
        <v/>
      </c>
      <c r="C74" s="42" t="str">
        <f>IF(A74="","",IFERROR(VLOOKUP(A74,DB_Customers!$A:$N,14,0),""))</f>
        <v/>
      </c>
      <c r="D74" s="43" t="str">
        <f t="shared" ca="1" si="6"/>
        <v/>
      </c>
      <c r="E74" s="50"/>
      <c r="F74" s="11"/>
      <c r="G74" s="52" t="str">
        <f t="shared" si="7"/>
        <v/>
      </c>
      <c r="H74" s="13"/>
      <c r="I74" s="37"/>
      <c r="J74" s="45" t="str">
        <f>IF(AND(A74&lt;&gt;"",E74&lt;&gt;""),IF(I74="","⚠️ Enter Code",IF(IFERROR(VLOOKUP(H74,DB_Agents!$B:$I,8,0),"")=I74,IF(C74&gt;=E74,"Successful","Unsuccessful"),"🔒 BLOCKED — Wrong Code")),"—")</f>
        <v>—</v>
      </c>
      <c r="K74" s="46" t="str">
        <f t="shared" ca="1" si="8"/>
        <v>—</v>
      </c>
      <c r="L74" s="47"/>
    </row>
    <row r="75" spans="1:12" x14ac:dyDescent="0.25">
      <c r="A75" s="32"/>
      <c r="B75" s="7" t="str">
        <f>IF(A75="","",IFERROR(VLOOKUP(A75,DB_Customers!$A:$D,4,0),"❌ Account Not Found"))</f>
        <v/>
      </c>
      <c r="C75" s="33" t="str">
        <f>IF(A75="","",IFERROR(VLOOKUP(A75,DB_Customers!$A:$N,14,0),""))</f>
        <v/>
      </c>
      <c r="D75" s="34" t="str">
        <f t="shared" ca="1" si="6"/>
        <v/>
      </c>
      <c r="E75" s="50"/>
      <c r="F75" s="7"/>
      <c r="G75" s="51" t="str">
        <f t="shared" si="7"/>
        <v/>
      </c>
      <c r="H75" s="9"/>
      <c r="I75" s="37"/>
      <c r="J75" s="38" t="str">
        <f>IF(AND(A75&lt;&gt;"",E75&lt;&gt;""),IF(I75="","⚠️ Enter Code",IF(IFERROR(VLOOKUP(H75,DB_Agents!$B:$I,8,0),"")=I75,IF(C75&gt;=E75,"Successful","Unsuccessful"),"🔒 BLOCKED — Wrong Code")),"—")</f>
        <v>—</v>
      </c>
      <c r="K75" s="39" t="str">
        <f t="shared" ca="1" si="8"/>
        <v>—</v>
      </c>
      <c r="L75" s="40"/>
    </row>
    <row r="76" spans="1:12" x14ac:dyDescent="0.25">
      <c r="A76" s="41"/>
      <c r="B76" s="11" t="str">
        <f>IF(A76="","",IFERROR(VLOOKUP(A76,DB_Customers!$A:$D,4,0),"❌ Account Not Found"))</f>
        <v/>
      </c>
      <c r="C76" s="42" t="str">
        <f>IF(A76="","",IFERROR(VLOOKUP(A76,DB_Customers!$A:$N,14,0),""))</f>
        <v/>
      </c>
      <c r="D76" s="43" t="str">
        <f t="shared" ca="1" si="6"/>
        <v/>
      </c>
      <c r="E76" s="50"/>
      <c r="F76" s="11"/>
      <c r="G76" s="52" t="str">
        <f t="shared" si="7"/>
        <v/>
      </c>
      <c r="H76" s="13"/>
      <c r="I76" s="37"/>
      <c r="J76" s="45" t="str">
        <f>IF(AND(A76&lt;&gt;"",E76&lt;&gt;""),IF(I76="","⚠️ Enter Code",IF(IFERROR(VLOOKUP(H76,DB_Agents!$B:$I,8,0),"")=I76,IF(C76&gt;=E76,"Successful","Unsuccessful"),"🔒 BLOCKED — Wrong Code")),"—")</f>
        <v>—</v>
      </c>
      <c r="K76" s="46" t="str">
        <f t="shared" ca="1" si="8"/>
        <v>—</v>
      </c>
      <c r="L76" s="47"/>
    </row>
    <row r="77" spans="1:12" x14ac:dyDescent="0.25">
      <c r="A77" s="32"/>
      <c r="B77" s="7" t="str">
        <f>IF(A77="","",IFERROR(VLOOKUP(A77,DB_Customers!$A:$D,4,0),"❌ Account Not Found"))</f>
        <v/>
      </c>
      <c r="C77" s="33" t="str">
        <f>IF(A77="","",IFERROR(VLOOKUP(A77,DB_Customers!$A:$N,14,0),""))</f>
        <v/>
      </c>
      <c r="D77" s="34" t="str">
        <f t="shared" ca="1" si="6"/>
        <v/>
      </c>
      <c r="E77" s="50"/>
      <c r="F77" s="7"/>
      <c r="G77" s="51" t="str">
        <f t="shared" si="7"/>
        <v/>
      </c>
      <c r="H77" s="9"/>
      <c r="I77" s="37"/>
      <c r="J77" s="38" t="str">
        <f>IF(AND(A77&lt;&gt;"",E77&lt;&gt;""),IF(I77="","⚠️ Enter Code",IF(IFERROR(VLOOKUP(H77,DB_Agents!$B:$I,8,0),"")=I77,IF(C77&gt;=E77,"Successful","Unsuccessful"),"🔒 BLOCKED — Wrong Code")),"—")</f>
        <v>—</v>
      </c>
      <c r="K77" s="39" t="str">
        <f t="shared" ca="1" si="8"/>
        <v>—</v>
      </c>
      <c r="L77" s="40"/>
    </row>
    <row r="78" spans="1:12" x14ac:dyDescent="0.25">
      <c r="A78" s="41"/>
      <c r="B78" s="11" t="str">
        <f>IF(A78="","",IFERROR(VLOOKUP(A78,DB_Customers!$A:$D,4,0),"❌ Account Not Found"))</f>
        <v/>
      </c>
      <c r="C78" s="42" t="str">
        <f>IF(A78="","",IFERROR(VLOOKUP(A78,DB_Customers!$A:$N,14,0),""))</f>
        <v/>
      </c>
      <c r="D78" s="43" t="str">
        <f t="shared" ca="1" si="6"/>
        <v/>
      </c>
      <c r="E78" s="50"/>
      <c r="F78" s="11"/>
      <c r="G78" s="52" t="str">
        <f t="shared" si="7"/>
        <v/>
      </c>
      <c r="H78" s="13"/>
      <c r="I78" s="37"/>
      <c r="J78" s="45" t="str">
        <f>IF(AND(A78&lt;&gt;"",E78&lt;&gt;""),IF(I78="","⚠️ Enter Code",IF(IFERROR(VLOOKUP(H78,DB_Agents!$B:$I,8,0),"")=I78,IF(C78&gt;=E78,"Successful","Unsuccessful"),"🔒 BLOCKED — Wrong Code")),"—")</f>
        <v>—</v>
      </c>
      <c r="K78" s="46" t="str">
        <f t="shared" ca="1" si="8"/>
        <v>—</v>
      </c>
      <c r="L78" s="47"/>
    </row>
    <row r="79" spans="1:12" x14ac:dyDescent="0.25">
      <c r="A79" s="32"/>
      <c r="B79" s="7" t="str">
        <f>IF(A79="","",IFERROR(VLOOKUP(A79,DB_Customers!$A:$D,4,0),"❌ Account Not Found"))</f>
        <v/>
      </c>
      <c r="C79" s="33" t="str">
        <f>IF(A79="","",IFERROR(VLOOKUP(A79,DB_Customers!$A:$N,14,0),""))</f>
        <v/>
      </c>
      <c r="D79" s="34" t="str">
        <f t="shared" ca="1" si="6"/>
        <v/>
      </c>
      <c r="E79" s="50"/>
      <c r="F79" s="7"/>
      <c r="G79" s="51" t="str">
        <f t="shared" si="7"/>
        <v/>
      </c>
      <c r="H79" s="9"/>
      <c r="I79" s="37"/>
      <c r="J79" s="38" t="str">
        <f>IF(AND(A79&lt;&gt;"",E79&lt;&gt;""),IF(I79="","⚠️ Enter Code",IF(IFERROR(VLOOKUP(H79,DB_Agents!$B:$I,8,0),"")=I79,IF(C79&gt;=E79,"Successful","Unsuccessful"),"🔒 BLOCKED — Wrong Code")),"—")</f>
        <v>—</v>
      </c>
      <c r="K79" s="39" t="str">
        <f t="shared" ca="1" si="8"/>
        <v>—</v>
      </c>
      <c r="L79" s="40"/>
    </row>
    <row r="80" spans="1:12" x14ac:dyDescent="0.25">
      <c r="A80" s="41"/>
      <c r="B80" s="11" t="str">
        <f>IF(A80="","",IFERROR(VLOOKUP(A80,DB_Customers!$A:$D,4,0),"❌ Account Not Found"))</f>
        <v/>
      </c>
      <c r="C80" s="42" t="str">
        <f>IF(A80="","",IFERROR(VLOOKUP(A80,DB_Customers!$A:$N,14,0),""))</f>
        <v/>
      </c>
      <c r="D80" s="43" t="str">
        <f t="shared" ca="1" si="6"/>
        <v/>
      </c>
      <c r="E80" s="50"/>
      <c r="F80" s="11"/>
      <c r="G80" s="52" t="str">
        <f t="shared" si="7"/>
        <v/>
      </c>
      <c r="H80" s="13"/>
      <c r="I80" s="37"/>
      <c r="J80" s="45" t="str">
        <f>IF(AND(A80&lt;&gt;"",E80&lt;&gt;""),IF(I80="","⚠️ Enter Code",IF(IFERROR(VLOOKUP(H80,DB_Agents!$B:$I,8,0),"")=I80,IF(C80&gt;=E80,"Successful","Unsuccessful"),"🔒 BLOCKED — Wrong Code")),"—")</f>
        <v>—</v>
      </c>
      <c r="K80" s="46" t="str">
        <f t="shared" ca="1" si="8"/>
        <v>—</v>
      </c>
      <c r="L80" s="47"/>
    </row>
    <row r="81" spans="1:12" x14ac:dyDescent="0.25">
      <c r="A81" s="32"/>
      <c r="B81" s="7" t="str">
        <f>IF(A81="","",IFERROR(VLOOKUP(A81,DB_Customers!$A:$D,4,0),"❌ Account Not Found"))</f>
        <v/>
      </c>
      <c r="C81" s="33" t="str">
        <f>IF(A81="","",IFERROR(VLOOKUP(A81,DB_Customers!$A:$N,14,0),""))</f>
        <v/>
      </c>
      <c r="D81" s="34" t="str">
        <f t="shared" ca="1" si="6"/>
        <v/>
      </c>
      <c r="E81" s="50"/>
      <c r="F81" s="7"/>
      <c r="G81" s="51" t="str">
        <f t="shared" si="7"/>
        <v/>
      </c>
      <c r="H81" s="9"/>
      <c r="I81" s="37"/>
      <c r="J81" s="38" t="str">
        <f>IF(AND(A81&lt;&gt;"",E81&lt;&gt;""),IF(I81="","⚠️ Enter Code",IF(IFERROR(VLOOKUP(H81,DB_Agents!$B:$I,8,0),"")=I81,IF(C81&gt;=E81,"Successful","Unsuccessful"),"🔒 BLOCKED — Wrong Code")),"—")</f>
        <v>—</v>
      </c>
      <c r="K81" s="39" t="str">
        <f t="shared" ca="1" si="8"/>
        <v>—</v>
      </c>
      <c r="L81" s="40"/>
    </row>
    <row r="82" spans="1:12" x14ac:dyDescent="0.25">
      <c r="A82" s="41"/>
      <c r="B82" s="11" t="str">
        <f>IF(A82="","",IFERROR(VLOOKUP(A82,DB_Customers!$A:$D,4,0),"❌ Account Not Found"))</f>
        <v/>
      </c>
      <c r="C82" s="42" t="str">
        <f>IF(A82="","",IFERROR(VLOOKUP(A82,DB_Customers!$A:$N,14,0),""))</f>
        <v/>
      </c>
      <c r="D82" s="43" t="str">
        <f t="shared" ca="1" si="6"/>
        <v/>
      </c>
      <c r="E82" s="50"/>
      <c r="F82" s="11"/>
      <c r="G82" s="52" t="str">
        <f t="shared" si="7"/>
        <v/>
      </c>
      <c r="H82" s="13"/>
      <c r="I82" s="37"/>
      <c r="J82" s="45" t="str">
        <f>IF(AND(A82&lt;&gt;"",E82&lt;&gt;""),IF(I82="","⚠️ Enter Code",IF(IFERROR(VLOOKUP(H82,DB_Agents!$B:$I,8,0),"")=I82,IF(C82&gt;=E82,"Successful","Unsuccessful"),"🔒 BLOCKED — Wrong Code")),"—")</f>
        <v>—</v>
      </c>
      <c r="K82" s="46" t="str">
        <f t="shared" ca="1" si="8"/>
        <v>—</v>
      </c>
      <c r="L82" s="47"/>
    </row>
    <row r="83" spans="1:12" x14ac:dyDescent="0.25">
      <c r="A83" s="32"/>
      <c r="B83" s="7" t="str">
        <f>IF(A83="","",IFERROR(VLOOKUP(A83,DB_Customers!$A:$D,4,0),"❌ Account Not Found"))</f>
        <v/>
      </c>
      <c r="C83" s="33" t="str">
        <f>IF(A83="","",IFERROR(VLOOKUP(A83,DB_Customers!$A:$N,14,0),""))</f>
        <v/>
      </c>
      <c r="D83" s="34" t="str">
        <f t="shared" ca="1" si="6"/>
        <v/>
      </c>
      <c r="E83" s="50"/>
      <c r="F83" s="7"/>
      <c r="G83" s="51" t="str">
        <f t="shared" si="7"/>
        <v/>
      </c>
      <c r="H83" s="9"/>
      <c r="I83" s="37"/>
      <c r="J83" s="38" t="str">
        <f>IF(AND(A83&lt;&gt;"",E83&lt;&gt;""),IF(I83="","⚠️ Enter Code",IF(IFERROR(VLOOKUP(H83,DB_Agents!$B:$I,8,0),"")=I83,IF(C83&gt;=E83,"Successful","Unsuccessful"),"🔒 BLOCKED — Wrong Code")),"—")</f>
        <v>—</v>
      </c>
      <c r="K83" s="39" t="str">
        <f t="shared" ca="1" si="8"/>
        <v>—</v>
      </c>
      <c r="L83" s="40"/>
    </row>
    <row r="84" spans="1:12" x14ac:dyDescent="0.25">
      <c r="A84" s="41"/>
      <c r="B84" s="11" t="str">
        <f>IF(A84="","",IFERROR(VLOOKUP(A84,DB_Customers!$A:$D,4,0),"❌ Account Not Found"))</f>
        <v/>
      </c>
      <c r="C84" s="42" t="str">
        <f>IF(A84="","",IFERROR(VLOOKUP(A84,DB_Customers!$A:$N,14,0),""))</f>
        <v/>
      </c>
      <c r="D84" s="43" t="str">
        <f t="shared" ca="1" si="6"/>
        <v/>
      </c>
      <c r="E84" s="50"/>
      <c r="F84" s="11"/>
      <c r="G84" s="52" t="str">
        <f t="shared" si="7"/>
        <v/>
      </c>
      <c r="H84" s="13"/>
      <c r="I84" s="37"/>
      <c r="J84" s="45" t="str">
        <f>IF(AND(A84&lt;&gt;"",E84&lt;&gt;""),IF(I84="","⚠️ Enter Code",IF(IFERROR(VLOOKUP(H84,DB_Agents!$B:$I,8,0),"")=I84,IF(C84&gt;=E84,"Successful","Unsuccessful"),"🔒 BLOCKED — Wrong Code")),"—")</f>
        <v>—</v>
      </c>
      <c r="K84" s="46" t="str">
        <f t="shared" ca="1" si="8"/>
        <v>—</v>
      </c>
      <c r="L84" s="47"/>
    </row>
    <row r="85" spans="1:12" x14ac:dyDescent="0.25">
      <c r="A85" s="32"/>
      <c r="B85" s="7" t="str">
        <f>IF(A85="","",IFERROR(VLOOKUP(A85,DB_Customers!$A:$D,4,0),"❌ Account Not Found"))</f>
        <v/>
      </c>
      <c r="C85" s="33" t="str">
        <f>IF(A85="","",IFERROR(VLOOKUP(A85,DB_Customers!$A:$N,14,0),""))</f>
        <v/>
      </c>
      <c r="D85" s="34" t="str">
        <f t="shared" ca="1" si="6"/>
        <v/>
      </c>
      <c r="E85" s="50"/>
      <c r="F85" s="7"/>
      <c r="G85" s="51" t="str">
        <f t="shared" si="7"/>
        <v/>
      </c>
      <c r="H85" s="9"/>
      <c r="I85" s="37"/>
      <c r="J85" s="38" t="str">
        <f>IF(AND(A85&lt;&gt;"",E85&lt;&gt;""),IF(I85="","⚠️ Enter Code",IF(IFERROR(VLOOKUP(H85,DB_Agents!$B:$I,8,0),"")=I85,IF(C85&gt;=E85,"Successful","Unsuccessful"),"🔒 BLOCKED — Wrong Code")),"—")</f>
        <v>—</v>
      </c>
      <c r="K85" s="39" t="str">
        <f t="shared" ca="1" si="8"/>
        <v>—</v>
      </c>
      <c r="L85" s="40"/>
    </row>
    <row r="86" spans="1:12" x14ac:dyDescent="0.25">
      <c r="A86" s="41"/>
      <c r="B86" s="11" t="str">
        <f>IF(A86="","",IFERROR(VLOOKUP(A86,DB_Customers!$A:$D,4,0),"❌ Account Not Found"))</f>
        <v/>
      </c>
      <c r="C86" s="42" t="str">
        <f>IF(A86="","",IFERROR(VLOOKUP(A86,DB_Customers!$A:$N,14,0),""))</f>
        <v/>
      </c>
      <c r="D86" s="43" t="str">
        <f t="shared" ca="1" si="6"/>
        <v/>
      </c>
      <c r="E86" s="50"/>
      <c r="F86" s="11"/>
      <c r="G86" s="52" t="str">
        <f t="shared" si="7"/>
        <v/>
      </c>
      <c r="H86" s="13"/>
      <c r="I86" s="37"/>
      <c r="J86" s="45" t="str">
        <f>IF(AND(A86&lt;&gt;"",E86&lt;&gt;""),IF(I86="","⚠️ Enter Code",IF(IFERROR(VLOOKUP(H86,DB_Agents!$B:$I,8,0),"")=I86,IF(C86&gt;=E86,"Successful","Unsuccessful"),"🔒 BLOCKED — Wrong Code")),"—")</f>
        <v>—</v>
      </c>
      <c r="K86" s="46" t="str">
        <f t="shared" ca="1" si="8"/>
        <v>—</v>
      </c>
      <c r="L86" s="47"/>
    </row>
    <row r="87" spans="1:12" x14ac:dyDescent="0.25">
      <c r="A87" s="32"/>
      <c r="B87" s="7" t="str">
        <f>IF(A87="","",IFERROR(VLOOKUP(A87,DB_Customers!$A:$D,4,0),"❌ Account Not Found"))</f>
        <v/>
      </c>
      <c r="C87" s="33" t="str">
        <f>IF(A87="","",IFERROR(VLOOKUP(A87,DB_Customers!$A:$N,14,0),""))</f>
        <v/>
      </c>
      <c r="D87" s="34" t="str">
        <f t="shared" ca="1" si="6"/>
        <v/>
      </c>
      <c r="E87" s="50"/>
      <c r="F87" s="7"/>
      <c r="G87" s="51" t="str">
        <f t="shared" si="7"/>
        <v/>
      </c>
      <c r="H87" s="9"/>
      <c r="I87" s="37"/>
      <c r="J87" s="38" t="str">
        <f>IF(AND(A87&lt;&gt;"",E87&lt;&gt;""),IF(I87="","⚠️ Enter Code",IF(IFERROR(VLOOKUP(H87,DB_Agents!$B:$I,8,0),"")=I87,IF(C87&gt;=E87,"Successful","Unsuccessful"),"🔒 BLOCKED — Wrong Code")),"—")</f>
        <v>—</v>
      </c>
      <c r="K87" s="39" t="str">
        <f t="shared" ca="1" si="8"/>
        <v>—</v>
      </c>
      <c r="L87" s="40"/>
    </row>
    <row r="88" spans="1:12" x14ac:dyDescent="0.25">
      <c r="A88" s="41"/>
      <c r="B88" s="11" t="str">
        <f>IF(A88="","",IFERROR(VLOOKUP(A88,DB_Customers!$A:$D,4,0),"❌ Account Not Found"))</f>
        <v/>
      </c>
      <c r="C88" s="42" t="str">
        <f>IF(A88="","",IFERROR(VLOOKUP(A88,DB_Customers!$A:$N,14,0),""))</f>
        <v/>
      </c>
      <c r="D88" s="43" t="str">
        <f t="shared" ca="1" si="6"/>
        <v/>
      </c>
      <c r="E88" s="50"/>
      <c r="F88" s="11"/>
      <c r="G88" s="52" t="str">
        <f t="shared" si="7"/>
        <v/>
      </c>
      <c r="H88" s="13"/>
      <c r="I88" s="37"/>
      <c r="J88" s="45" t="str">
        <f>IF(AND(A88&lt;&gt;"",E88&lt;&gt;""),IF(I88="","⚠️ Enter Code",IF(IFERROR(VLOOKUP(H88,DB_Agents!$B:$I,8,0),"")=I88,IF(C88&gt;=E88,"Successful","Unsuccessful"),"🔒 BLOCKED — Wrong Code")),"—")</f>
        <v>—</v>
      </c>
      <c r="K88" s="46" t="str">
        <f t="shared" ca="1" si="8"/>
        <v>—</v>
      </c>
      <c r="L88" s="47"/>
    </row>
    <row r="89" spans="1:12" x14ac:dyDescent="0.25">
      <c r="A89" s="32"/>
      <c r="B89" s="7" t="str">
        <f>IF(A89="","",IFERROR(VLOOKUP(A89,DB_Customers!$A:$D,4,0),"❌ Account Not Found"))</f>
        <v/>
      </c>
      <c r="C89" s="33" t="str">
        <f>IF(A89="","",IFERROR(VLOOKUP(A89,DB_Customers!$A:$N,14,0),""))</f>
        <v/>
      </c>
      <c r="D89" s="34" t="str">
        <f t="shared" ca="1" si="6"/>
        <v/>
      </c>
      <c r="E89" s="50"/>
      <c r="F89" s="7"/>
      <c r="G89" s="51" t="str">
        <f t="shared" si="7"/>
        <v/>
      </c>
      <c r="H89" s="9"/>
      <c r="I89" s="37"/>
      <c r="J89" s="38" t="str">
        <f>IF(AND(A89&lt;&gt;"",E89&lt;&gt;""),IF(I89="","⚠️ Enter Code",IF(IFERROR(VLOOKUP(H89,DB_Agents!$B:$I,8,0),"")=I89,IF(C89&gt;=E89,"Successful","Unsuccessful"),"🔒 BLOCKED — Wrong Code")),"—")</f>
        <v>—</v>
      </c>
      <c r="K89" s="39" t="str">
        <f t="shared" ca="1" si="8"/>
        <v>—</v>
      </c>
      <c r="L89" s="40"/>
    </row>
    <row r="90" spans="1:12" x14ac:dyDescent="0.25">
      <c r="A90" s="41"/>
      <c r="B90" s="11" t="str">
        <f>IF(A90="","",IFERROR(VLOOKUP(A90,DB_Customers!$A:$D,4,0),"❌ Account Not Found"))</f>
        <v/>
      </c>
      <c r="C90" s="42" t="str">
        <f>IF(A90="","",IFERROR(VLOOKUP(A90,DB_Customers!$A:$N,14,0),""))</f>
        <v/>
      </c>
      <c r="D90" s="43" t="str">
        <f t="shared" ca="1" si="6"/>
        <v/>
      </c>
      <c r="E90" s="50"/>
      <c r="F90" s="11"/>
      <c r="G90" s="52" t="str">
        <f t="shared" si="7"/>
        <v/>
      </c>
      <c r="H90" s="13"/>
      <c r="I90" s="37"/>
      <c r="J90" s="45" t="str">
        <f>IF(AND(A90&lt;&gt;"",E90&lt;&gt;""),IF(I90="","⚠️ Enter Code",IF(IFERROR(VLOOKUP(H90,DB_Agents!$B:$I,8,0),"")=I90,IF(C90&gt;=E90,"Successful","Unsuccessful"),"🔒 BLOCKED — Wrong Code")),"—")</f>
        <v>—</v>
      </c>
      <c r="K90" s="46" t="str">
        <f t="shared" ca="1" si="8"/>
        <v>—</v>
      </c>
      <c r="L90" s="47"/>
    </row>
    <row r="91" spans="1:12" x14ac:dyDescent="0.25">
      <c r="A91" s="32"/>
      <c r="B91" s="7" t="str">
        <f>IF(A91="","",IFERROR(VLOOKUP(A91,DB_Customers!$A:$D,4,0),"❌ Account Not Found"))</f>
        <v/>
      </c>
      <c r="C91" s="33" t="str">
        <f>IF(A91="","",IFERROR(VLOOKUP(A91,DB_Customers!$A:$N,14,0),""))</f>
        <v/>
      </c>
      <c r="D91" s="34" t="str">
        <f t="shared" ca="1" si="6"/>
        <v/>
      </c>
      <c r="E91" s="50"/>
      <c r="F91" s="7"/>
      <c r="G91" s="51" t="str">
        <f t="shared" si="7"/>
        <v/>
      </c>
      <c r="H91" s="9"/>
      <c r="I91" s="37"/>
      <c r="J91" s="38" t="str">
        <f>IF(AND(A91&lt;&gt;"",E91&lt;&gt;""),IF(I91="","⚠️ Enter Code",IF(IFERROR(VLOOKUP(H91,DB_Agents!$B:$I,8,0),"")=I91,IF(C91&gt;=E91,"Successful","Unsuccessful"),"🔒 BLOCKED — Wrong Code")),"—")</f>
        <v>—</v>
      </c>
      <c r="K91" s="39" t="str">
        <f t="shared" ca="1" si="8"/>
        <v>—</v>
      </c>
      <c r="L91" s="40"/>
    </row>
    <row r="92" spans="1:12" x14ac:dyDescent="0.25">
      <c r="A92" s="41"/>
      <c r="B92" s="11" t="str">
        <f>IF(A92="","",IFERROR(VLOOKUP(A92,DB_Customers!$A:$D,4,0),"❌ Account Not Found"))</f>
        <v/>
      </c>
      <c r="C92" s="42" t="str">
        <f>IF(A92="","",IFERROR(VLOOKUP(A92,DB_Customers!$A:$N,14,0),""))</f>
        <v/>
      </c>
      <c r="D92" s="43" t="str">
        <f t="shared" ca="1" si="6"/>
        <v/>
      </c>
      <c r="E92" s="50"/>
      <c r="F92" s="11"/>
      <c r="G92" s="52" t="str">
        <f t="shared" si="7"/>
        <v/>
      </c>
      <c r="H92" s="13"/>
      <c r="I92" s="37"/>
      <c r="J92" s="45" t="str">
        <f>IF(AND(A92&lt;&gt;"",E92&lt;&gt;""),IF(I92="","⚠️ Enter Code",IF(IFERROR(VLOOKUP(H92,DB_Agents!$B:$I,8,0),"")=I92,IF(C92&gt;=E92,"Successful","Unsuccessful"),"🔒 BLOCKED — Wrong Code")),"—")</f>
        <v>—</v>
      </c>
      <c r="K92" s="46" t="str">
        <f t="shared" ca="1" si="8"/>
        <v>—</v>
      </c>
      <c r="L92" s="47"/>
    </row>
    <row r="93" spans="1:12" x14ac:dyDescent="0.25">
      <c r="A93" s="32"/>
      <c r="B93" s="7" t="str">
        <f>IF(A93="","",IFERROR(VLOOKUP(A93,DB_Customers!$A:$D,4,0),"❌ Account Not Found"))</f>
        <v/>
      </c>
      <c r="C93" s="33" t="str">
        <f>IF(A93="","",IFERROR(VLOOKUP(A93,DB_Customers!$A:$N,14,0),""))</f>
        <v/>
      </c>
      <c r="D93" s="34" t="str">
        <f t="shared" ca="1" si="6"/>
        <v/>
      </c>
      <c r="E93" s="50"/>
      <c r="F93" s="7"/>
      <c r="G93" s="51" t="str">
        <f t="shared" si="7"/>
        <v/>
      </c>
      <c r="H93" s="9"/>
      <c r="I93" s="37"/>
      <c r="J93" s="38" t="str">
        <f>IF(AND(A93&lt;&gt;"",E93&lt;&gt;""),IF(I93="","⚠️ Enter Code",IF(IFERROR(VLOOKUP(H93,DB_Agents!$B:$I,8,0),"")=I93,IF(C93&gt;=E93,"Successful","Unsuccessful"),"🔒 BLOCKED — Wrong Code")),"—")</f>
        <v>—</v>
      </c>
      <c r="K93" s="39" t="str">
        <f t="shared" ca="1" si="8"/>
        <v>—</v>
      </c>
      <c r="L93" s="40"/>
    </row>
    <row r="94" spans="1:12" x14ac:dyDescent="0.25">
      <c r="A94" s="41"/>
      <c r="B94" s="11" t="str">
        <f>IF(A94="","",IFERROR(VLOOKUP(A94,DB_Customers!$A:$D,4,0),"❌ Account Not Found"))</f>
        <v/>
      </c>
      <c r="C94" s="42" t="str">
        <f>IF(A94="","",IFERROR(VLOOKUP(A94,DB_Customers!$A:$N,14,0),""))</f>
        <v/>
      </c>
      <c r="D94" s="43" t="str">
        <f t="shared" ca="1" si="6"/>
        <v/>
      </c>
      <c r="E94" s="50"/>
      <c r="F94" s="11"/>
      <c r="G94" s="52" t="str">
        <f t="shared" si="7"/>
        <v/>
      </c>
      <c r="H94" s="13"/>
      <c r="I94" s="37"/>
      <c r="J94" s="45" t="str">
        <f>IF(AND(A94&lt;&gt;"",E94&lt;&gt;""),IF(I94="","⚠️ Enter Code",IF(IFERROR(VLOOKUP(H94,DB_Agents!$B:$I,8,0),"")=I94,IF(C94&gt;=E94,"Successful","Unsuccessful"),"🔒 BLOCKED — Wrong Code")),"—")</f>
        <v>—</v>
      </c>
      <c r="K94" s="46" t="str">
        <f t="shared" ca="1" si="8"/>
        <v>—</v>
      </c>
      <c r="L94" s="47"/>
    </row>
    <row r="95" spans="1:12" x14ac:dyDescent="0.25">
      <c r="A95" s="32"/>
      <c r="B95" s="7" t="str">
        <f>IF(A95="","",IFERROR(VLOOKUP(A95,DB_Customers!$A:$D,4,0),"❌ Account Not Found"))</f>
        <v/>
      </c>
      <c r="C95" s="33" t="str">
        <f>IF(A95="","",IFERROR(VLOOKUP(A95,DB_Customers!$A:$N,14,0),""))</f>
        <v/>
      </c>
      <c r="D95" s="34" t="str">
        <f t="shared" ca="1" si="6"/>
        <v/>
      </c>
      <c r="E95" s="50"/>
      <c r="F95" s="7"/>
      <c r="G95" s="51" t="str">
        <f t="shared" si="7"/>
        <v/>
      </c>
      <c r="H95" s="9"/>
      <c r="I95" s="37"/>
      <c r="J95" s="38" t="str">
        <f>IF(AND(A95&lt;&gt;"",E95&lt;&gt;""),IF(I95="","⚠️ Enter Code",IF(IFERROR(VLOOKUP(H95,DB_Agents!$B:$I,8,0),"")=I95,IF(C95&gt;=E95,"Successful","Unsuccessful"),"🔒 BLOCKED — Wrong Code")),"—")</f>
        <v>—</v>
      </c>
      <c r="K95" s="39" t="str">
        <f t="shared" ca="1" si="8"/>
        <v>—</v>
      </c>
      <c r="L95" s="40"/>
    </row>
    <row r="96" spans="1:12" x14ac:dyDescent="0.25">
      <c r="A96" s="41"/>
      <c r="B96" s="11" t="str">
        <f>IF(A96="","",IFERROR(VLOOKUP(A96,DB_Customers!$A:$D,4,0),"❌ Account Not Found"))</f>
        <v/>
      </c>
      <c r="C96" s="42" t="str">
        <f>IF(A96="","",IFERROR(VLOOKUP(A96,DB_Customers!$A:$N,14,0),""))</f>
        <v/>
      </c>
      <c r="D96" s="43" t="str">
        <f t="shared" ca="1" si="6"/>
        <v/>
      </c>
      <c r="E96" s="50"/>
      <c r="F96" s="11"/>
      <c r="G96" s="52" t="str">
        <f t="shared" si="7"/>
        <v/>
      </c>
      <c r="H96" s="13"/>
      <c r="I96" s="37"/>
      <c r="J96" s="45" t="str">
        <f>IF(AND(A96&lt;&gt;"",E96&lt;&gt;""),IF(I96="","⚠️ Enter Code",IF(IFERROR(VLOOKUP(H96,DB_Agents!$B:$I,8,0),"")=I96,IF(C96&gt;=E96,"Successful","Unsuccessful"),"🔒 BLOCKED — Wrong Code")),"—")</f>
        <v>—</v>
      </c>
      <c r="K96" s="46" t="str">
        <f t="shared" ca="1" si="8"/>
        <v>—</v>
      </c>
      <c r="L96" s="47"/>
    </row>
    <row r="97" spans="1:12" x14ac:dyDescent="0.25">
      <c r="A97" s="32"/>
      <c r="B97" s="7" t="str">
        <f>IF(A97="","",IFERROR(VLOOKUP(A97,DB_Customers!$A:$D,4,0),"❌ Account Not Found"))</f>
        <v/>
      </c>
      <c r="C97" s="33" t="str">
        <f>IF(A97="","",IFERROR(VLOOKUP(A97,DB_Customers!$A:$N,14,0),""))</f>
        <v/>
      </c>
      <c r="D97" s="34" t="str">
        <f t="shared" ca="1" si="6"/>
        <v/>
      </c>
      <c r="E97" s="50"/>
      <c r="F97" s="7"/>
      <c r="G97" s="51" t="str">
        <f t="shared" si="7"/>
        <v/>
      </c>
      <c r="H97" s="9"/>
      <c r="I97" s="37"/>
      <c r="J97" s="38" t="str">
        <f>IF(AND(A97&lt;&gt;"",E97&lt;&gt;""),IF(I97="","⚠️ Enter Code",IF(IFERROR(VLOOKUP(H97,DB_Agents!$B:$I,8,0),"")=I97,IF(C97&gt;=E97,"Successful","Unsuccessful"),"🔒 BLOCKED — Wrong Code")),"—")</f>
        <v>—</v>
      </c>
      <c r="K97" s="39" t="str">
        <f t="shared" ca="1" si="8"/>
        <v>—</v>
      </c>
      <c r="L97" s="40"/>
    </row>
    <row r="98" spans="1:12" x14ac:dyDescent="0.25">
      <c r="A98" s="41"/>
      <c r="B98" s="11" t="str">
        <f>IF(A98="","",IFERROR(VLOOKUP(A98,DB_Customers!$A:$D,4,0),"❌ Account Not Found"))</f>
        <v/>
      </c>
      <c r="C98" s="42" t="str">
        <f>IF(A98="","",IFERROR(VLOOKUP(A98,DB_Customers!$A:$N,14,0),""))</f>
        <v/>
      </c>
      <c r="D98" s="43" t="str">
        <f t="shared" ca="1" si="6"/>
        <v/>
      </c>
      <c r="E98" s="50"/>
      <c r="F98" s="11"/>
      <c r="G98" s="52" t="str">
        <f t="shared" si="7"/>
        <v/>
      </c>
      <c r="H98" s="13"/>
      <c r="I98" s="37"/>
      <c r="J98" s="45" t="str">
        <f>IF(AND(A98&lt;&gt;"",E98&lt;&gt;""),IF(I98="","⚠️ Enter Code",IF(IFERROR(VLOOKUP(H98,DB_Agents!$B:$I,8,0),"")=I98,IF(C98&gt;=E98,"Successful","Unsuccessful"),"🔒 BLOCKED — Wrong Code")),"—")</f>
        <v>—</v>
      </c>
      <c r="K98" s="46" t="str">
        <f t="shared" ca="1" si="8"/>
        <v>—</v>
      </c>
      <c r="L98" s="47"/>
    </row>
    <row r="99" spans="1:12" x14ac:dyDescent="0.25">
      <c r="A99" s="32"/>
      <c r="B99" s="7" t="str">
        <f>IF(A99="","",IFERROR(VLOOKUP(A99,DB_Customers!$A:$D,4,0),"❌ Account Not Found"))</f>
        <v/>
      </c>
      <c r="C99" s="33" t="str">
        <f>IF(A99="","",IFERROR(VLOOKUP(A99,DB_Customers!$A:$N,14,0),""))</f>
        <v/>
      </c>
      <c r="D99" s="34" t="str">
        <f t="shared" ca="1" si="6"/>
        <v/>
      </c>
      <c r="E99" s="50"/>
      <c r="F99" s="7"/>
      <c r="G99" s="51" t="str">
        <f t="shared" si="7"/>
        <v/>
      </c>
      <c r="H99" s="9"/>
      <c r="I99" s="37"/>
      <c r="J99" s="38" t="str">
        <f>IF(AND(A99&lt;&gt;"",E99&lt;&gt;""),IF(I99="","⚠️ Enter Code",IF(IFERROR(VLOOKUP(H99,DB_Agents!$B:$I,8,0),"")=I99,IF(C99&gt;=E99,"Successful","Unsuccessful"),"🔒 BLOCKED — Wrong Code")),"—")</f>
        <v>—</v>
      </c>
      <c r="K99" s="39" t="str">
        <f t="shared" ca="1" si="8"/>
        <v>—</v>
      </c>
      <c r="L99" s="40"/>
    </row>
    <row r="100" spans="1:12" x14ac:dyDescent="0.25">
      <c r="A100" s="41"/>
      <c r="B100" s="11" t="str">
        <f>IF(A100="","",IFERROR(VLOOKUP(A100,DB_Customers!$A:$D,4,0),"❌ Account Not Found"))</f>
        <v/>
      </c>
      <c r="C100" s="42" t="str">
        <f>IF(A100="","",IFERROR(VLOOKUP(A100,DB_Customers!$A:$N,14,0),""))</f>
        <v/>
      </c>
      <c r="D100" s="43" t="str">
        <f t="shared" ca="1" si="6"/>
        <v/>
      </c>
      <c r="E100" s="50"/>
      <c r="F100" s="11"/>
      <c r="G100" s="52" t="str">
        <f t="shared" si="7"/>
        <v/>
      </c>
      <c r="H100" s="13"/>
      <c r="I100" s="37"/>
      <c r="J100" s="45" t="str">
        <f>IF(AND(A100&lt;&gt;"",E100&lt;&gt;""),IF(I100="","⚠️ Enter Code",IF(IFERROR(VLOOKUP(H100,DB_Agents!$B:$I,8,0),"")=I100,IF(C100&gt;=E100,"Successful","Unsuccessful"),"🔒 BLOCKED — Wrong Code")),"—")</f>
        <v>—</v>
      </c>
      <c r="K100" s="46" t="str">
        <f t="shared" ca="1" si="8"/>
        <v>—</v>
      </c>
      <c r="L100" s="47"/>
    </row>
    <row r="101" spans="1:12" x14ac:dyDescent="0.25">
      <c r="A101" s="32"/>
      <c r="B101" s="7" t="str">
        <f>IF(A101="","",IFERROR(VLOOKUP(A101,DB_Customers!$A:$D,4,0),"❌ Account Not Found"))</f>
        <v/>
      </c>
      <c r="C101" s="33" t="str">
        <f>IF(A101="","",IFERROR(VLOOKUP(A101,DB_Customers!$A:$N,14,0),""))</f>
        <v/>
      </c>
      <c r="D101" s="34" t="str">
        <f t="shared" ca="1" si="6"/>
        <v/>
      </c>
      <c r="E101" s="50"/>
      <c r="F101" s="7"/>
      <c r="G101" s="51" t="str">
        <f t="shared" si="7"/>
        <v/>
      </c>
      <c r="H101" s="9"/>
      <c r="I101" s="37"/>
      <c r="J101" s="38" t="str">
        <f>IF(AND(A101&lt;&gt;"",E101&lt;&gt;""),IF(I101="","⚠️ Enter Code",IF(IFERROR(VLOOKUP(H101,DB_Agents!$B:$I,8,0),"")=I101,IF(C101&gt;=E101,"Successful","Unsuccessful"),"🔒 BLOCKED — Wrong Code")),"—")</f>
        <v>—</v>
      </c>
      <c r="K101" s="39" t="str">
        <f t="shared" ca="1" si="8"/>
        <v>—</v>
      </c>
      <c r="L101" s="40"/>
    </row>
    <row r="102" spans="1:12" x14ac:dyDescent="0.25">
      <c r="A102" s="41"/>
      <c r="B102" s="11" t="str">
        <f>IF(A102="","",IFERROR(VLOOKUP(A102,DB_Customers!$A:$D,4,0),"❌ Account Not Found"))</f>
        <v/>
      </c>
      <c r="C102" s="42" t="str">
        <f>IF(A102="","",IFERROR(VLOOKUP(A102,DB_Customers!$A:$N,14,0),""))</f>
        <v/>
      </c>
      <c r="D102" s="43" t="str">
        <f t="shared" ca="1" si="6"/>
        <v/>
      </c>
      <c r="E102" s="50"/>
      <c r="F102" s="11"/>
      <c r="G102" s="52" t="str">
        <f t="shared" si="7"/>
        <v/>
      </c>
      <c r="H102" s="13"/>
      <c r="I102" s="37"/>
      <c r="J102" s="45" t="str">
        <f>IF(AND(A102&lt;&gt;"",E102&lt;&gt;""),IF(I102="","⚠️ Enter Code",IF(IFERROR(VLOOKUP(H102,DB_Agents!$B:$I,8,0),"")=I102,IF(C102&gt;=E102,"Successful","Unsuccessful"),"🔒 BLOCKED — Wrong Code")),"—")</f>
        <v>—</v>
      </c>
      <c r="K102" s="46" t="str">
        <f t="shared" ca="1" si="8"/>
        <v>—</v>
      </c>
      <c r="L102" s="47"/>
    </row>
    <row r="103" spans="1:12" x14ac:dyDescent="0.25">
      <c r="A103" s="32"/>
      <c r="B103" s="7" t="str">
        <f>IF(A103="","",IFERROR(VLOOKUP(A103,DB_Customers!$A:$D,4,0),"❌ Account Not Found"))</f>
        <v/>
      </c>
      <c r="C103" s="33" t="str">
        <f>IF(A103="","",IFERROR(VLOOKUP(A103,DB_Customers!$A:$N,14,0),""))</f>
        <v/>
      </c>
      <c r="D103" s="34" t="str">
        <f t="shared" ca="1" si="6"/>
        <v/>
      </c>
      <c r="E103" s="50"/>
      <c r="F103" s="7"/>
      <c r="G103" s="51" t="str">
        <f t="shared" si="7"/>
        <v/>
      </c>
      <c r="H103" s="9"/>
      <c r="I103" s="37"/>
      <c r="J103" s="38" t="str">
        <f>IF(AND(A103&lt;&gt;"",E103&lt;&gt;""),IF(I103="","⚠️ Enter Code",IF(IFERROR(VLOOKUP(H103,DB_Agents!$B:$I,8,0),"")=I103,IF(C103&gt;=E103,"Successful","Unsuccessful"),"🔒 BLOCKED — Wrong Code")),"—")</f>
        <v>—</v>
      </c>
      <c r="K103" s="39" t="str">
        <f t="shared" ca="1" si="8"/>
        <v>—</v>
      </c>
      <c r="L103" s="40"/>
    </row>
    <row r="104" spans="1:12" x14ac:dyDescent="0.25">
      <c r="A104" s="41"/>
      <c r="B104" s="11" t="str">
        <f>IF(A104="","",IFERROR(VLOOKUP(A104,DB_Customers!$A:$D,4,0),"❌ Account Not Found"))</f>
        <v/>
      </c>
      <c r="C104" s="42" t="str">
        <f>IF(A104="","",IFERROR(VLOOKUP(A104,DB_Customers!$A:$N,14,0),""))</f>
        <v/>
      </c>
      <c r="D104" s="43" t="str">
        <f t="shared" ca="1" si="6"/>
        <v/>
      </c>
      <c r="E104" s="50"/>
      <c r="F104" s="11"/>
      <c r="G104" s="52" t="str">
        <f t="shared" si="7"/>
        <v/>
      </c>
      <c r="H104" s="13"/>
      <c r="I104" s="37"/>
      <c r="J104" s="45" t="str">
        <f>IF(AND(A104&lt;&gt;"",E104&lt;&gt;""),IF(I104="","⚠️ Enter Code",IF(IFERROR(VLOOKUP(H104,DB_Agents!$B:$I,8,0),"")=I104,IF(C104&gt;=E104,"Successful","Unsuccessful"),"🔒 BLOCKED — Wrong Code")),"—")</f>
        <v>—</v>
      </c>
      <c r="K104" s="46" t="str">
        <f t="shared" ca="1" si="8"/>
        <v>—</v>
      </c>
      <c r="L104" s="47"/>
    </row>
    <row r="105" spans="1:12" x14ac:dyDescent="0.25">
      <c r="A105" s="32"/>
      <c r="B105" s="7" t="str">
        <f>IF(A105="","",IFERROR(VLOOKUP(A105,DB_Customers!$A:$D,4,0),"❌ Account Not Found"))</f>
        <v/>
      </c>
      <c r="C105" s="33" t="str">
        <f>IF(A105="","",IFERROR(VLOOKUP(A105,DB_Customers!$A:$N,14,0),""))</f>
        <v/>
      </c>
      <c r="D105" s="34" t="str">
        <f t="shared" ref="D105:D136" ca="1" si="9">IF(A105="","",TODAY())</f>
        <v/>
      </c>
      <c r="E105" s="50"/>
      <c r="F105" s="7"/>
      <c r="G105" s="51" t="str">
        <f t="shared" ref="G105:G136" si="10">IF(OR(A105="",E105=""),"",IF(C105="","",C105-E105))</f>
        <v/>
      </c>
      <c r="H105" s="9"/>
      <c r="I105" s="37"/>
      <c r="J105" s="38" t="str">
        <f>IF(AND(A105&lt;&gt;"",E105&lt;&gt;""),IF(I105="","⚠️ Enter Code",IF(IFERROR(VLOOKUP(H105,DB_Agents!$B:$I,8,0),"")=I105,IF(C105&gt;=E105,"Successful","Unsuccessful"),"🔒 BLOCKED — Wrong Code")),"—")</f>
        <v>—</v>
      </c>
      <c r="K105" s="39" t="str">
        <f t="shared" ref="K105:K136" ca="1" si="11">IF(J105="Successful",TEXT(TODAY(),"YYYY-MM-DD")&amp;" Auto","—")</f>
        <v>—</v>
      </c>
      <c r="L105" s="40"/>
    </row>
    <row r="106" spans="1:12" x14ac:dyDescent="0.25">
      <c r="A106" s="41"/>
      <c r="B106" s="11" t="str">
        <f>IF(A106="","",IFERROR(VLOOKUP(A106,DB_Customers!$A:$D,4,0),"❌ Account Not Found"))</f>
        <v/>
      </c>
      <c r="C106" s="42" t="str">
        <f>IF(A106="","",IFERROR(VLOOKUP(A106,DB_Customers!$A:$N,14,0),""))</f>
        <v/>
      </c>
      <c r="D106" s="43" t="str">
        <f t="shared" ca="1" si="9"/>
        <v/>
      </c>
      <c r="E106" s="50"/>
      <c r="F106" s="11"/>
      <c r="G106" s="52" t="str">
        <f t="shared" si="10"/>
        <v/>
      </c>
      <c r="H106" s="13"/>
      <c r="I106" s="37"/>
      <c r="J106" s="45" t="str">
        <f>IF(AND(A106&lt;&gt;"",E106&lt;&gt;""),IF(I106="","⚠️ Enter Code",IF(IFERROR(VLOOKUP(H106,DB_Agents!$B:$I,8,0),"")=I106,IF(C106&gt;=E106,"Successful","Unsuccessful"),"🔒 BLOCKED — Wrong Code")),"—")</f>
        <v>—</v>
      </c>
      <c r="K106" s="46" t="str">
        <f t="shared" ca="1" si="11"/>
        <v>—</v>
      </c>
      <c r="L106" s="47"/>
    </row>
    <row r="107" spans="1:12" x14ac:dyDescent="0.25">
      <c r="A107" s="32"/>
      <c r="B107" s="7" t="str">
        <f>IF(A107="","",IFERROR(VLOOKUP(A107,DB_Customers!$A:$D,4,0),"❌ Account Not Found"))</f>
        <v/>
      </c>
      <c r="C107" s="33" t="str">
        <f>IF(A107="","",IFERROR(VLOOKUP(A107,DB_Customers!$A:$N,14,0),""))</f>
        <v/>
      </c>
      <c r="D107" s="34" t="str">
        <f t="shared" ca="1" si="9"/>
        <v/>
      </c>
      <c r="E107" s="50"/>
      <c r="F107" s="7"/>
      <c r="G107" s="51" t="str">
        <f t="shared" si="10"/>
        <v/>
      </c>
      <c r="H107" s="9"/>
      <c r="I107" s="37"/>
      <c r="J107" s="38" t="str">
        <f>IF(AND(A107&lt;&gt;"",E107&lt;&gt;""),IF(I107="","⚠️ Enter Code",IF(IFERROR(VLOOKUP(H107,DB_Agents!$B:$I,8,0),"")=I107,IF(C107&gt;=E107,"Successful","Unsuccessful"),"🔒 BLOCKED — Wrong Code")),"—")</f>
        <v>—</v>
      </c>
      <c r="K107" s="39" t="str">
        <f t="shared" ca="1" si="11"/>
        <v>—</v>
      </c>
      <c r="L107" s="40"/>
    </row>
    <row r="108" spans="1:12" x14ac:dyDescent="0.25">
      <c r="A108" s="41"/>
      <c r="B108" s="11" t="str">
        <f>IF(A108="","",IFERROR(VLOOKUP(A108,DB_Customers!$A:$D,4,0),"❌ Account Not Found"))</f>
        <v/>
      </c>
      <c r="C108" s="42" t="str">
        <f>IF(A108="","",IFERROR(VLOOKUP(A108,DB_Customers!$A:$N,14,0),""))</f>
        <v/>
      </c>
      <c r="D108" s="43" t="str">
        <f t="shared" ca="1" si="9"/>
        <v/>
      </c>
      <c r="E108" s="50"/>
      <c r="F108" s="11"/>
      <c r="G108" s="52" t="str">
        <f t="shared" si="10"/>
        <v/>
      </c>
      <c r="H108" s="13"/>
      <c r="I108" s="37"/>
      <c r="J108" s="45" t="str">
        <f>IF(AND(A108&lt;&gt;"",E108&lt;&gt;""),IF(I108="","⚠️ Enter Code",IF(IFERROR(VLOOKUP(H108,DB_Agents!$B:$I,8,0),"")=I108,IF(C108&gt;=E108,"Successful","Unsuccessful"),"🔒 BLOCKED — Wrong Code")),"—")</f>
        <v>—</v>
      </c>
      <c r="K108" s="46" t="str">
        <f t="shared" ca="1" si="11"/>
        <v>—</v>
      </c>
      <c r="L108" s="47"/>
    </row>
    <row r="109" spans="1:12" x14ac:dyDescent="0.25">
      <c r="A109" s="32"/>
      <c r="B109" s="7" t="str">
        <f>IF(A109="","",IFERROR(VLOOKUP(A109,DB_Customers!$A:$D,4,0),"❌ Account Not Found"))</f>
        <v/>
      </c>
      <c r="C109" s="33" t="str">
        <f>IF(A109="","",IFERROR(VLOOKUP(A109,DB_Customers!$A:$N,14,0),""))</f>
        <v/>
      </c>
      <c r="D109" s="34" t="str">
        <f t="shared" ca="1" si="9"/>
        <v/>
      </c>
      <c r="E109" s="50"/>
      <c r="F109" s="7"/>
      <c r="G109" s="51" t="str">
        <f t="shared" si="10"/>
        <v/>
      </c>
      <c r="H109" s="9"/>
      <c r="I109" s="37"/>
      <c r="J109" s="38" t="str">
        <f>IF(AND(A109&lt;&gt;"",E109&lt;&gt;""),IF(I109="","⚠️ Enter Code",IF(IFERROR(VLOOKUP(H109,DB_Agents!$B:$I,8,0),"")=I109,IF(C109&gt;=E109,"Successful","Unsuccessful"),"🔒 BLOCKED — Wrong Code")),"—")</f>
        <v>—</v>
      </c>
      <c r="K109" s="39" t="str">
        <f t="shared" ca="1" si="11"/>
        <v>—</v>
      </c>
      <c r="L109" s="40"/>
    </row>
    <row r="110" spans="1:12" x14ac:dyDescent="0.25">
      <c r="A110" s="41"/>
      <c r="B110" s="11" t="str">
        <f>IF(A110="","",IFERROR(VLOOKUP(A110,DB_Customers!$A:$D,4,0),"❌ Account Not Found"))</f>
        <v/>
      </c>
      <c r="C110" s="42" t="str">
        <f>IF(A110="","",IFERROR(VLOOKUP(A110,DB_Customers!$A:$N,14,0),""))</f>
        <v/>
      </c>
      <c r="D110" s="43" t="str">
        <f t="shared" ca="1" si="9"/>
        <v/>
      </c>
      <c r="E110" s="50"/>
      <c r="F110" s="11"/>
      <c r="G110" s="52" t="str">
        <f t="shared" si="10"/>
        <v/>
      </c>
      <c r="H110" s="13"/>
      <c r="I110" s="37"/>
      <c r="J110" s="45" t="str">
        <f>IF(AND(A110&lt;&gt;"",E110&lt;&gt;""),IF(I110="","⚠️ Enter Code",IF(IFERROR(VLOOKUP(H110,DB_Agents!$B:$I,8,0),"")=I110,IF(C110&gt;=E110,"Successful","Unsuccessful"),"🔒 BLOCKED — Wrong Code")),"—")</f>
        <v>—</v>
      </c>
      <c r="K110" s="46" t="str">
        <f t="shared" ca="1" si="11"/>
        <v>—</v>
      </c>
      <c r="L110" s="47"/>
    </row>
    <row r="111" spans="1:12" x14ac:dyDescent="0.25">
      <c r="A111" s="32"/>
      <c r="B111" s="7" t="str">
        <f>IF(A111="","",IFERROR(VLOOKUP(A111,DB_Customers!$A:$D,4,0),"❌ Account Not Found"))</f>
        <v/>
      </c>
      <c r="C111" s="33" t="str">
        <f>IF(A111="","",IFERROR(VLOOKUP(A111,DB_Customers!$A:$N,14,0),""))</f>
        <v/>
      </c>
      <c r="D111" s="34" t="str">
        <f t="shared" ca="1" si="9"/>
        <v/>
      </c>
      <c r="E111" s="50"/>
      <c r="F111" s="7"/>
      <c r="G111" s="51" t="str">
        <f t="shared" si="10"/>
        <v/>
      </c>
      <c r="H111" s="9"/>
      <c r="I111" s="37"/>
      <c r="J111" s="38" t="str">
        <f>IF(AND(A111&lt;&gt;"",E111&lt;&gt;""),IF(I111="","⚠️ Enter Code",IF(IFERROR(VLOOKUP(H111,DB_Agents!$B:$I,8,0),"")=I111,IF(C111&gt;=E111,"Successful","Unsuccessful"),"🔒 BLOCKED — Wrong Code")),"—")</f>
        <v>—</v>
      </c>
      <c r="K111" s="39" t="str">
        <f t="shared" ca="1" si="11"/>
        <v>—</v>
      </c>
      <c r="L111" s="40"/>
    </row>
    <row r="112" spans="1:12" x14ac:dyDescent="0.25">
      <c r="A112" s="41"/>
      <c r="B112" s="11" t="str">
        <f>IF(A112="","",IFERROR(VLOOKUP(A112,DB_Customers!$A:$D,4,0),"❌ Account Not Found"))</f>
        <v/>
      </c>
      <c r="C112" s="42" t="str">
        <f>IF(A112="","",IFERROR(VLOOKUP(A112,DB_Customers!$A:$N,14,0),""))</f>
        <v/>
      </c>
      <c r="D112" s="43" t="str">
        <f t="shared" ca="1" si="9"/>
        <v/>
      </c>
      <c r="E112" s="50"/>
      <c r="F112" s="11"/>
      <c r="G112" s="52" t="str">
        <f t="shared" si="10"/>
        <v/>
      </c>
      <c r="H112" s="13"/>
      <c r="I112" s="37"/>
      <c r="J112" s="45" t="str">
        <f>IF(AND(A112&lt;&gt;"",E112&lt;&gt;""),IF(I112="","⚠️ Enter Code",IF(IFERROR(VLOOKUP(H112,DB_Agents!$B:$I,8,0),"")=I112,IF(C112&gt;=E112,"Successful","Unsuccessful"),"🔒 BLOCKED — Wrong Code")),"—")</f>
        <v>—</v>
      </c>
      <c r="K112" s="46" t="str">
        <f t="shared" ca="1" si="11"/>
        <v>—</v>
      </c>
      <c r="L112" s="47"/>
    </row>
    <row r="113" spans="1:12" x14ac:dyDescent="0.25">
      <c r="A113" s="32"/>
      <c r="B113" s="7" t="str">
        <f>IF(A113="","",IFERROR(VLOOKUP(A113,DB_Customers!$A:$D,4,0),"❌ Account Not Found"))</f>
        <v/>
      </c>
      <c r="C113" s="33" t="str">
        <f>IF(A113="","",IFERROR(VLOOKUP(A113,DB_Customers!$A:$N,14,0),""))</f>
        <v/>
      </c>
      <c r="D113" s="34" t="str">
        <f t="shared" ca="1" si="9"/>
        <v/>
      </c>
      <c r="E113" s="50"/>
      <c r="F113" s="7"/>
      <c r="G113" s="51" t="str">
        <f t="shared" si="10"/>
        <v/>
      </c>
      <c r="H113" s="9"/>
      <c r="I113" s="37"/>
      <c r="J113" s="38" t="str">
        <f>IF(AND(A113&lt;&gt;"",E113&lt;&gt;""),IF(I113="","⚠️ Enter Code",IF(IFERROR(VLOOKUP(H113,DB_Agents!$B:$I,8,0),"")=I113,IF(C113&gt;=E113,"Successful","Unsuccessful"),"🔒 BLOCKED — Wrong Code")),"—")</f>
        <v>—</v>
      </c>
      <c r="K113" s="39" t="str">
        <f t="shared" ca="1" si="11"/>
        <v>—</v>
      </c>
      <c r="L113" s="40"/>
    </row>
    <row r="114" spans="1:12" x14ac:dyDescent="0.25">
      <c r="A114" s="41"/>
      <c r="B114" s="11" t="str">
        <f>IF(A114="","",IFERROR(VLOOKUP(A114,DB_Customers!$A:$D,4,0),"❌ Account Not Found"))</f>
        <v/>
      </c>
      <c r="C114" s="42" t="str">
        <f>IF(A114="","",IFERROR(VLOOKUP(A114,DB_Customers!$A:$N,14,0),""))</f>
        <v/>
      </c>
      <c r="D114" s="43" t="str">
        <f t="shared" ca="1" si="9"/>
        <v/>
      </c>
      <c r="E114" s="50"/>
      <c r="F114" s="11"/>
      <c r="G114" s="52" t="str">
        <f t="shared" si="10"/>
        <v/>
      </c>
      <c r="H114" s="13"/>
      <c r="I114" s="37"/>
      <c r="J114" s="45" t="str">
        <f>IF(AND(A114&lt;&gt;"",E114&lt;&gt;""),IF(I114="","⚠️ Enter Code",IF(IFERROR(VLOOKUP(H114,DB_Agents!$B:$I,8,0),"")=I114,IF(C114&gt;=E114,"Successful","Unsuccessful"),"🔒 BLOCKED — Wrong Code")),"—")</f>
        <v>—</v>
      </c>
      <c r="K114" s="46" t="str">
        <f t="shared" ca="1" si="11"/>
        <v>—</v>
      </c>
      <c r="L114" s="47"/>
    </row>
    <row r="115" spans="1:12" x14ac:dyDescent="0.25">
      <c r="A115" s="32"/>
      <c r="B115" s="7" t="str">
        <f>IF(A115="","",IFERROR(VLOOKUP(A115,DB_Customers!$A:$D,4,0),"❌ Account Not Found"))</f>
        <v/>
      </c>
      <c r="C115" s="33" t="str">
        <f>IF(A115="","",IFERROR(VLOOKUP(A115,DB_Customers!$A:$N,14,0),""))</f>
        <v/>
      </c>
      <c r="D115" s="34" t="str">
        <f t="shared" ca="1" si="9"/>
        <v/>
      </c>
      <c r="E115" s="50"/>
      <c r="F115" s="7"/>
      <c r="G115" s="51" t="str">
        <f t="shared" si="10"/>
        <v/>
      </c>
      <c r="H115" s="9"/>
      <c r="I115" s="37"/>
      <c r="J115" s="38" t="str">
        <f>IF(AND(A115&lt;&gt;"",E115&lt;&gt;""),IF(I115="","⚠️ Enter Code",IF(IFERROR(VLOOKUP(H115,DB_Agents!$B:$I,8,0),"")=I115,IF(C115&gt;=E115,"Successful","Unsuccessful"),"🔒 BLOCKED — Wrong Code")),"—")</f>
        <v>—</v>
      </c>
      <c r="K115" s="39" t="str">
        <f t="shared" ca="1" si="11"/>
        <v>—</v>
      </c>
      <c r="L115" s="40"/>
    </row>
    <row r="116" spans="1:12" x14ac:dyDescent="0.25">
      <c r="A116" s="41"/>
      <c r="B116" s="11" t="str">
        <f>IF(A116="","",IFERROR(VLOOKUP(A116,DB_Customers!$A:$D,4,0),"❌ Account Not Found"))</f>
        <v/>
      </c>
      <c r="C116" s="42" t="str">
        <f>IF(A116="","",IFERROR(VLOOKUP(A116,DB_Customers!$A:$N,14,0),""))</f>
        <v/>
      </c>
      <c r="D116" s="43" t="str">
        <f t="shared" ca="1" si="9"/>
        <v/>
      </c>
      <c r="E116" s="50"/>
      <c r="F116" s="11"/>
      <c r="G116" s="52" t="str">
        <f t="shared" si="10"/>
        <v/>
      </c>
      <c r="H116" s="13"/>
      <c r="I116" s="37"/>
      <c r="J116" s="45" t="str">
        <f>IF(AND(A116&lt;&gt;"",E116&lt;&gt;""),IF(I116="","⚠️ Enter Code",IF(IFERROR(VLOOKUP(H116,DB_Agents!$B:$I,8,0),"")=I116,IF(C116&gt;=E116,"Successful","Unsuccessful"),"🔒 BLOCKED — Wrong Code")),"—")</f>
        <v>—</v>
      </c>
      <c r="K116" s="46" t="str">
        <f t="shared" ca="1" si="11"/>
        <v>—</v>
      </c>
      <c r="L116" s="47"/>
    </row>
    <row r="117" spans="1:12" x14ac:dyDescent="0.25">
      <c r="A117" s="32"/>
      <c r="B117" s="7" t="str">
        <f>IF(A117="","",IFERROR(VLOOKUP(A117,DB_Customers!$A:$D,4,0),"❌ Account Not Found"))</f>
        <v/>
      </c>
      <c r="C117" s="33" t="str">
        <f>IF(A117="","",IFERROR(VLOOKUP(A117,DB_Customers!$A:$N,14,0),""))</f>
        <v/>
      </c>
      <c r="D117" s="34" t="str">
        <f t="shared" ca="1" si="9"/>
        <v/>
      </c>
      <c r="E117" s="50"/>
      <c r="F117" s="7"/>
      <c r="G117" s="51" t="str">
        <f t="shared" si="10"/>
        <v/>
      </c>
      <c r="H117" s="9"/>
      <c r="I117" s="37"/>
      <c r="J117" s="38" t="str">
        <f>IF(AND(A117&lt;&gt;"",E117&lt;&gt;""),IF(I117="","⚠️ Enter Code",IF(IFERROR(VLOOKUP(H117,DB_Agents!$B:$I,8,0),"")=I117,IF(C117&gt;=E117,"Successful","Unsuccessful"),"🔒 BLOCKED — Wrong Code")),"—")</f>
        <v>—</v>
      </c>
      <c r="K117" s="39" t="str">
        <f t="shared" ca="1" si="11"/>
        <v>—</v>
      </c>
      <c r="L117" s="40"/>
    </row>
    <row r="118" spans="1:12" x14ac:dyDescent="0.25">
      <c r="A118" s="41"/>
      <c r="B118" s="11" t="str">
        <f>IF(A118="","",IFERROR(VLOOKUP(A118,DB_Customers!$A:$D,4,0),"❌ Account Not Found"))</f>
        <v/>
      </c>
      <c r="C118" s="42" t="str">
        <f>IF(A118="","",IFERROR(VLOOKUP(A118,DB_Customers!$A:$N,14,0),""))</f>
        <v/>
      </c>
      <c r="D118" s="43" t="str">
        <f t="shared" ca="1" si="9"/>
        <v/>
      </c>
      <c r="E118" s="50"/>
      <c r="F118" s="11"/>
      <c r="G118" s="52" t="str">
        <f t="shared" si="10"/>
        <v/>
      </c>
      <c r="H118" s="13"/>
      <c r="I118" s="37"/>
      <c r="J118" s="45" t="str">
        <f>IF(AND(A118&lt;&gt;"",E118&lt;&gt;""),IF(I118="","⚠️ Enter Code",IF(IFERROR(VLOOKUP(H118,DB_Agents!$B:$I,8,0),"")=I118,IF(C118&gt;=E118,"Successful","Unsuccessful"),"🔒 BLOCKED — Wrong Code")),"—")</f>
        <v>—</v>
      </c>
      <c r="K118" s="46" t="str">
        <f t="shared" ca="1" si="11"/>
        <v>—</v>
      </c>
      <c r="L118" s="47"/>
    </row>
    <row r="119" spans="1:12" x14ac:dyDescent="0.25">
      <c r="A119" s="32"/>
      <c r="B119" s="7" t="str">
        <f>IF(A119="","",IFERROR(VLOOKUP(A119,DB_Customers!$A:$D,4,0),"❌ Account Not Found"))</f>
        <v/>
      </c>
      <c r="C119" s="33" t="str">
        <f>IF(A119="","",IFERROR(VLOOKUP(A119,DB_Customers!$A:$N,14,0),""))</f>
        <v/>
      </c>
      <c r="D119" s="34" t="str">
        <f t="shared" ca="1" si="9"/>
        <v/>
      </c>
      <c r="E119" s="50"/>
      <c r="F119" s="7"/>
      <c r="G119" s="51" t="str">
        <f t="shared" si="10"/>
        <v/>
      </c>
      <c r="H119" s="9"/>
      <c r="I119" s="37"/>
      <c r="J119" s="38" t="str">
        <f>IF(AND(A119&lt;&gt;"",E119&lt;&gt;""),IF(I119="","⚠️ Enter Code",IF(IFERROR(VLOOKUP(H119,DB_Agents!$B:$I,8,0),"")=I119,IF(C119&gt;=E119,"Successful","Unsuccessful"),"🔒 BLOCKED — Wrong Code")),"—")</f>
        <v>—</v>
      </c>
      <c r="K119" s="39" t="str">
        <f t="shared" ca="1" si="11"/>
        <v>—</v>
      </c>
      <c r="L119" s="40"/>
    </row>
    <row r="120" spans="1:12" x14ac:dyDescent="0.25">
      <c r="A120" s="41"/>
      <c r="B120" s="11" t="str">
        <f>IF(A120="","",IFERROR(VLOOKUP(A120,DB_Customers!$A:$D,4,0),"❌ Account Not Found"))</f>
        <v/>
      </c>
      <c r="C120" s="42" t="str">
        <f>IF(A120="","",IFERROR(VLOOKUP(A120,DB_Customers!$A:$N,14,0),""))</f>
        <v/>
      </c>
      <c r="D120" s="43" t="str">
        <f t="shared" ca="1" si="9"/>
        <v/>
      </c>
      <c r="E120" s="50"/>
      <c r="F120" s="11"/>
      <c r="G120" s="52" t="str">
        <f t="shared" si="10"/>
        <v/>
      </c>
      <c r="H120" s="13"/>
      <c r="I120" s="37"/>
      <c r="J120" s="45" t="str">
        <f>IF(AND(A120&lt;&gt;"",E120&lt;&gt;""),IF(I120="","⚠️ Enter Code",IF(IFERROR(VLOOKUP(H120,DB_Agents!$B:$I,8,0),"")=I120,IF(C120&gt;=E120,"Successful","Unsuccessful"),"🔒 BLOCKED — Wrong Code")),"—")</f>
        <v>—</v>
      </c>
      <c r="K120" s="46" t="str">
        <f t="shared" ca="1" si="11"/>
        <v>—</v>
      </c>
      <c r="L120" s="47"/>
    </row>
    <row r="121" spans="1:12" x14ac:dyDescent="0.25">
      <c r="A121" s="32"/>
      <c r="B121" s="7" t="str">
        <f>IF(A121="","",IFERROR(VLOOKUP(A121,DB_Customers!$A:$D,4,0),"❌ Account Not Found"))</f>
        <v/>
      </c>
      <c r="C121" s="33" t="str">
        <f>IF(A121="","",IFERROR(VLOOKUP(A121,DB_Customers!$A:$N,14,0),""))</f>
        <v/>
      </c>
      <c r="D121" s="34" t="str">
        <f t="shared" ca="1" si="9"/>
        <v/>
      </c>
      <c r="E121" s="50"/>
      <c r="F121" s="7"/>
      <c r="G121" s="51" t="str">
        <f t="shared" si="10"/>
        <v/>
      </c>
      <c r="H121" s="9"/>
      <c r="I121" s="37"/>
      <c r="J121" s="38" t="str">
        <f>IF(AND(A121&lt;&gt;"",E121&lt;&gt;""),IF(I121="","⚠️ Enter Code",IF(IFERROR(VLOOKUP(H121,DB_Agents!$B:$I,8,0),"")=I121,IF(C121&gt;=E121,"Successful","Unsuccessful"),"🔒 BLOCKED — Wrong Code")),"—")</f>
        <v>—</v>
      </c>
      <c r="K121" s="39" t="str">
        <f t="shared" ca="1" si="11"/>
        <v>—</v>
      </c>
      <c r="L121" s="40"/>
    </row>
    <row r="122" spans="1:12" x14ac:dyDescent="0.25">
      <c r="A122" s="41"/>
      <c r="B122" s="11" t="str">
        <f>IF(A122="","",IFERROR(VLOOKUP(A122,DB_Customers!$A:$D,4,0),"❌ Account Not Found"))</f>
        <v/>
      </c>
      <c r="C122" s="42" t="str">
        <f>IF(A122="","",IFERROR(VLOOKUP(A122,DB_Customers!$A:$N,14,0),""))</f>
        <v/>
      </c>
      <c r="D122" s="43" t="str">
        <f t="shared" ca="1" si="9"/>
        <v/>
      </c>
      <c r="E122" s="50"/>
      <c r="F122" s="11"/>
      <c r="G122" s="52" t="str">
        <f t="shared" si="10"/>
        <v/>
      </c>
      <c r="H122" s="13"/>
      <c r="I122" s="37"/>
      <c r="J122" s="45" t="str">
        <f>IF(AND(A122&lt;&gt;"",E122&lt;&gt;""),IF(I122="","⚠️ Enter Code",IF(IFERROR(VLOOKUP(H122,DB_Agents!$B:$I,8,0),"")=I122,IF(C122&gt;=E122,"Successful","Unsuccessful"),"🔒 BLOCKED — Wrong Code")),"—")</f>
        <v>—</v>
      </c>
      <c r="K122" s="46" t="str">
        <f t="shared" ca="1" si="11"/>
        <v>—</v>
      </c>
      <c r="L122" s="47"/>
    </row>
    <row r="123" spans="1:12" x14ac:dyDescent="0.25">
      <c r="A123" s="32"/>
      <c r="B123" s="7" t="str">
        <f>IF(A123="","",IFERROR(VLOOKUP(A123,DB_Customers!$A:$D,4,0),"❌ Account Not Found"))</f>
        <v/>
      </c>
      <c r="C123" s="33" t="str">
        <f>IF(A123="","",IFERROR(VLOOKUP(A123,DB_Customers!$A:$N,14,0),""))</f>
        <v/>
      </c>
      <c r="D123" s="34" t="str">
        <f t="shared" ca="1" si="9"/>
        <v/>
      </c>
      <c r="E123" s="50"/>
      <c r="F123" s="7"/>
      <c r="G123" s="51" t="str">
        <f t="shared" si="10"/>
        <v/>
      </c>
      <c r="H123" s="9"/>
      <c r="I123" s="37"/>
      <c r="J123" s="38" t="str">
        <f>IF(AND(A123&lt;&gt;"",E123&lt;&gt;""),IF(I123="","⚠️ Enter Code",IF(IFERROR(VLOOKUP(H123,DB_Agents!$B:$I,8,0),"")=I123,IF(C123&gt;=E123,"Successful","Unsuccessful"),"🔒 BLOCKED — Wrong Code")),"—")</f>
        <v>—</v>
      </c>
      <c r="K123" s="39" t="str">
        <f t="shared" ca="1" si="11"/>
        <v>—</v>
      </c>
      <c r="L123" s="40"/>
    </row>
    <row r="124" spans="1:12" x14ac:dyDescent="0.25">
      <c r="A124" s="41"/>
      <c r="B124" s="11" t="str">
        <f>IF(A124="","",IFERROR(VLOOKUP(A124,DB_Customers!$A:$D,4,0),"❌ Account Not Found"))</f>
        <v/>
      </c>
      <c r="C124" s="42" t="str">
        <f>IF(A124="","",IFERROR(VLOOKUP(A124,DB_Customers!$A:$N,14,0),""))</f>
        <v/>
      </c>
      <c r="D124" s="43" t="str">
        <f t="shared" ca="1" si="9"/>
        <v/>
      </c>
      <c r="E124" s="50"/>
      <c r="F124" s="11"/>
      <c r="G124" s="52" t="str">
        <f t="shared" si="10"/>
        <v/>
      </c>
      <c r="H124" s="13"/>
      <c r="I124" s="37"/>
      <c r="J124" s="45" t="str">
        <f>IF(AND(A124&lt;&gt;"",E124&lt;&gt;""),IF(I124="","⚠️ Enter Code",IF(IFERROR(VLOOKUP(H124,DB_Agents!$B:$I,8,0),"")=I124,IF(C124&gt;=E124,"Successful","Unsuccessful"),"🔒 BLOCKED — Wrong Code")),"—")</f>
        <v>—</v>
      </c>
      <c r="K124" s="46" t="str">
        <f t="shared" ca="1" si="11"/>
        <v>—</v>
      </c>
      <c r="L124" s="47"/>
    </row>
    <row r="125" spans="1:12" x14ac:dyDescent="0.25">
      <c r="A125" s="32"/>
      <c r="B125" s="7" t="str">
        <f>IF(A125="","",IFERROR(VLOOKUP(A125,DB_Customers!$A:$D,4,0),"❌ Account Not Found"))</f>
        <v/>
      </c>
      <c r="C125" s="33" t="str">
        <f>IF(A125="","",IFERROR(VLOOKUP(A125,DB_Customers!$A:$N,14,0),""))</f>
        <v/>
      </c>
      <c r="D125" s="34" t="str">
        <f t="shared" ca="1" si="9"/>
        <v/>
      </c>
      <c r="E125" s="50"/>
      <c r="F125" s="7"/>
      <c r="G125" s="51" t="str">
        <f t="shared" si="10"/>
        <v/>
      </c>
      <c r="H125" s="9"/>
      <c r="I125" s="37"/>
      <c r="J125" s="38" t="str">
        <f>IF(AND(A125&lt;&gt;"",E125&lt;&gt;""),IF(I125="","⚠️ Enter Code",IF(IFERROR(VLOOKUP(H125,DB_Agents!$B:$I,8,0),"")=I125,IF(C125&gt;=E125,"Successful","Unsuccessful"),"🔒 BLOCKED — Wrong Code")),"—")</f>
        <v>—</v>
      </c>
      <c r="K125" s="39" t="str">
        <f t="shared" ca="1" si="11"/>
        <v>—</v>
      </c>
      <c r="L125" s="40"/>
    </row>
    <row r="126" spans="1:12" x14ac:dyDescent="0.25">
      <c r="A126" s="41"/>
      <c r="B126" s="11" t="str">
        <f>IF(A126="","",IFERROR(VLOOKUP(A126,DB_Customers!$A:$D,4,0),"❌ Account Not Found"))</f>
        <v/>
      </c>
      <c r="C126" s="42" t="str">
        <f>IF(A126="","",IFERROR(VLOOKUP(A126,DB_Customers!$A:$N,14,0),""))</f>
        <v/>
      </c>
      <c r="D126" s="43" t="str">
        <f t="shared" ca="1" si="9"/>
        <v/>
      </c>
      <c r="E126" s="50"/>
      <c r="F126" s="11"/>
      <c r="G126" s="52" t="str">
        <f t="shared" si="10"/>
        <v/>
      </c>
      <c r="H126" s="13"/>
      <c r="I126" s="37"/>
      <c r="J126" s="45" t="str">
        <f>IF(AND(A126&lt;&gt;"",E126&lt;&gt;""),IF(I126="","⚠️ Enter Code",IF(IFERROR(VLOOKUP(H126,DB_Agents!$B:$I,8,0),"")=I126,IF(C126&gt;=E126,"Successful","Unsuccessful"),"🔒 BLOCKED — Wrong Code")),"—")</f>
        <v>—</v>
      </c>
      <c r="K126" s="46" t="str">
        <f t="shared" ca="1" si="11"/>
        <v>—</v>
      </c>
      <c r="L126" s="47"/>
    </row>
    <row r="127" spans="1:12" x14ac:dyDescent="0.25">
      <c r="A127" s="32"/>
      <c r="B127" s="7" t="str">
        <f>IF(A127="","",IFERROR(VLOOKUP(A127,DB_Customers!$A:$D,4,0),"❌ Account Not Found"))</f>
        <v/>
      </c>
      <c r="C127" s="33" t="str">
        <f>IF(A127="","",IFERROR(VLOOKUP(A127,DB_Customers!$A:$N,14,0),""))</f>
        <v/>
      </c>
      <c r="D127" s="34" t="str">
        <f t="shared" ca="1" si="9"/>
        <v/>
      </c>
      <c r="E127" s="50"/>
      <c r="F127" s="7"/>
      <c r="G127" s="51" t="str">
        <f t="shared" si="10"/>
        <v/>
      </c>
      <c r="H127" s="9"/>
      <c r="I127" s="37"/>
      <c r="J127" s="38" t="str">
        <f>IF(AND(A127&lt;&gt;"",E127&lt;&gt;""),IF(I127="","⚠️ Enter Code",IF(IFERROR(VLOOKUP(H127,DB_Agents!$B:$I,8,0),"")=I127,IF(C127&gt;=E127,"Successful","Unsuccessful"),"🔒 BLOCKED — Wrong Code")),"—")</f>
        <v>—</v>
      </c>
      <c r="K127" s="39" t="str">
        <f t="shared" ca="1" si="11"/>
        <v>—</v>
      </c>
      <c r="L127" s="40"/>
    </row>
    <row r="128" spans="1:12" x14ac:dyDescent="0.25">
      <c r="A128" s="41"/>
      <c r="B128" s="11" t="str">
        <f>IF(A128="","",IFERROR(VLOOKUP(A128,DB_Customers!$A:$D,4,0),"❌ Account Not Found"))</f>
        <v/>
      </c>
      <c r="C128" s="42" t="str">
        <f>IF(A128="","",IFERROR(VLOOKUP(A128,DB_Customers!$A:$N,14,0),""))</f>
        <v/>
      </c>
      <c r="D128" s="43" t="str">
        <f t="shared" ca="1" si="9"/>
        <v/>
      </c>
      <c r="E128" s="50"/>
      <c r="F128" s="11"/>
      <c r="G128" s="52" t="str">
        <f t="shared" si="10"/>
        <v/>
      </c>
      <c r="H128" s="13"/>
      <c r="I128" s="37"/>
      <c r="J128" s="45" t="str">
        <f>IF(AND(A128&lt;&gt;"",E128&lt;&gt;""),IF(I128="","⚠️ Enter Code",IF(IFERROR(VLOOKUP(H128,DB_Agents!$B:$I,8,0),"")=I128,IF(C128&gt;=E128,"Successful","Unsuccessful"),"🔒 BLOCKED — Wrong Code")),"—")</f>
        <v>—</v>
      </c>
      <c r="K128" s="46" t="str">
        <f t="shared" ca="1" si="11"/>
        <v>—</v>
      </c>
      <c r="L128" s="47"/>
    </row>
    <row r="129" spans="1:12" x14ac:dyDescent="0.25">
      <c r="A129" s="32"/>
      <c r="B129" s="7" t="str">
        <f>IF(A129="","",IFERROR(VLOOKUP(A129,DB_Customers!$A:$D,4,0),"❌ Account Not Found"))</f>
        <v/>
      </c>
      <c r="C129" s="33" t="str">
        <f>IF(A129="","",IFERROR(VLOOKUP(A129,DB_Customers!$A:$N,14,0),""))</f>
        <v/>
      </c>
      <c r="D129" s="34" t="str">
        <f t="shared" ca="1" si="9"/>
        <v/>
      </c>
      <c r="E129" s="50"/>
      <c r="F129" s="7"/>
      <c r="G129" s="51" t="str">
        <f t="shared" si="10"/>
        <v/>
      </c>
      <c r="H129" s="9"/>
      <c r="I129" s="37"/>
      <c r="J129" s="38" t="str">
        <f>IF(AND(A129&lt;&gt;"",E129&lt;&gt;""),IF(I129="","⚠️ Enter Code",IF(IFERROR(VLOOKUP(H129,DB_Agents!$B:$I,8,0),"")=I129,IF(C129&gt;=E129,"Successful","Unsuccessful"),"🔒 BLOCKED — Wrong Code")),"—")</f>
        <v>—</v>
      </c>
      <c r="K129" s="39" t="str">
        <f t="shared" ca="1" si="11"/>
        <v>—</v>
      </c>
      <c r="L129" s="40"/>
    </row>
    <row r="130" spans="1:12" x14ac:dyDescent="0.25">
      <c r="A130" s="41"/>
      <c r="B130" s="11" t="str">
        <f>IF(A130="","",IFERROR(VLOOKUP(A130,DB_Customers!$A:$D,4,0),"❌ Account Not Found"))</f>
        <v/>
      </c>
      <c r="C130" s="42" t="str">
        <f>IF(A130="","",IFERROR(VLOOKUP(A130,DB_Customers!$A:$N,14,0),""))</f>
        <v/>
      </c>
      <c r="D130" s="43" t="str">
        <f t="shared" ca="1" si="9"/>
        <v/>
      </c>
      <c r="E130" s="50"/>
      <c r="F130" s="11"/>
      <c r="G130" s="52" t="str">
        <f t="shared" si="10"/>
        <v/>
      </c>
      <c r="H130" s="13"/>
      <c r="I130" s="37"/>
      <c r="J130" s="45" t="str">
        <f>IF(AND(A130&lt;&gt;"",E130&lt;&gt;""),IF(I130="","⚠️ Enter Code",IF(IFERROR(VLOOKUP(H130,DB_Agents!$B:$I,8,0),"")=I130,IF(C130&gt;=E130,"Successful","Unsuccessful"),"🔒 BLOCKED — Wrong Code")),"—")</f>
        <v>—</v>
      </c>
      <c r="K130" s="46" t="str">
        <f t="shared" ca="1" si="11"/>
        <v>—</v>
      </c>
      <c r="L130" s="47"/>
    </row>
    <row r="131" spans="1:12" x14ac:dyDescent="0.25">
      <c r="A131" s="32"/>
      <c r="B131" s="7" t="str">
        <f>IF(A131="","",IFERROR(VLOOKUP(A131,DB_Customers!$A:$D,4,0),"❌ Account Not Found"))</f>
        <v/>
      </c>
      <c r="C131" s="33" t="str">
        <f>IF(A131="","",IFERROR(VLOOKUP(A131,DB_Customers!$A:$N,14,0),""))</f>
        <v/>
      </c>
      <c r="D131" s="34" t="str">
        <f t="shared" ca="1" si="9"/>
        <v/>
      </c>
      <c r="E131" s="50"/>
      <c r="F131" s="7"/>
      <c r="G131" s="51" t="str">
        <f t="shared" si="10"/>
        <v/>
      </c>
      <c r="H131" s="9"/>
      <c r="I131" s="37"/>
      <c r="J131" s="38" t="str">
        <f>IF(AND(A131&lt;&gt;"",E131&lt;&gt;""),IF(I131="","⚠️ Enter Code",IF(IFERROR(VLOOKUP(H131,DB_Agents!$B:$I,8,0),"")=I131,IF(C131&gt;=E131,"Successful","Unsuccessful"),"🔒 BLOCKED — Wrong Code")),"—")</f>
        <v>—</v>
      </c>
      <c r="K131" s="39" t="str">
        <f t="shared" ca="1" si="11"/>
        <v>—</v>
      </c>
      <c r="L131" s="40"/>
    </row>
    <row r="132" spans="1:12" x14ac:dyDescent="0.25">
      <c r="A132" s="41"/>
      <c r="B132" s="11" t="str">
        <f>IF(A132="","",IFERROR(VLOOKUP(A132,DB_Customers!$A:$D,4,0),"❌ Account Not Found"))</f>
        <v/>
      </c>
      <c r="C132" s="42" t="str">
        <f>IF(A132="","",IFERROR(VLOOKUP(A132,DB_Customers!$A:$N,14,0),""))</f>
        <v/>
      </c>
      <c r="D132" s="43" t="str">
        <f t="shared" ca="1" si="9"/>
        <v/>
      </c>
      <c r="E132" s="50"/>
      <c r="F132" s="11"/>
      <c r="G132" s="52" t="str">
        <f t="shared" si="10"/>
        <v/>
      </c>
      <c r="H132" s="13"/>
      <c r="I132" s="37"/>
      <c r="J132" s="45" t="str">
        <f>IF(AND(A132&lt;&gt;"",E132&lt;&gt;""),IF(I132="","⚠️ Enter Code",IF(IFERROR(VLOOKUP(H132,DB_Agents!$B:$I,8,0),"")=I132,IF(C132&gt;=E132,"Successful","Unsuccessful"),"🔒 BLOCKED — Wrong Code")),"—")</f>
        <v>—</v>
      </c>
      <c r="K132" s="46" t="str">
        <f t="shared" ca="1" si="11"/>
        <v>—</v>
      </c>
      <c r="L132" s="47"/>
    </row>
    <row r="133" spans="1:12" x14ac:dyDescent="0.25">
      <c r="A133" s="32"/>
      <c r="B133" s="7" t="str">
        <f>IF(A133="","",IFERROR(VLOOKUP(A133,DB_Customers!$A:$D,4,0),"❌ Account Not Found"))</f>
        <v/>
      </c>
      <c r="C133" s="33" t="str">
        <f>IF(A133="","",IFERROR(VLOOKUP(A133,DB_Customers!$A:$N,14,0),""))</f>
        <v/>
      </c>
      <c r="D133" s="34" t="str">
        <f t="shared" ca="1" si="9"/>
        <v/>
      </c>
      <c r="E133" s="50"/>
      <c r="F133" s="7"/>
      <c r="G133" s="51" t="str">
        <f t="shared" si="10"/>
        <v/>
      </c>
      <c r="H133" s="9"/>
      <c r="I133" s="37"/>
      <c r="J133" s="38" t="str">
        <f>IF(AND(A133&lt;&gt;"",E133&lt;&gt;""),IF(I133="","⚠️ Enter Code",IF(IFERROR(VLOOKUP(H133,DB_Agents!$B:$I,8,0),"")=I133,IF(C133&gt;=E133,"Successful","Unsuccessful"),"🔒 BLOCKED — Wrong Code")),"—")</f>
        <v>—</v>
      </c>
      <c r="K133" s="39" t="str">
        <f t="shared" ca="1" si="11"/>
        <v>—</v>
      </c>
      <c r="L133" s="40"/>
    </row>
    <row r="134" spans="1:12" x14ac:dyDescent="0.25">
      <c r="A134" s="41"/>
      <c r="B134" s="11" t="str">
        <f>IF(A134="","",IFERROR(VLOOKUP(A134,DB_Customers!$A:$D,4,0),"❌ Account Not Found"))</f>
        <v/>
      </c>
      <c r="C134" s="42" t="str">
        <f>IF(A134="","",IFERROR(VLOOKUP(A134,DB_Customers!$A:$N,14,0),""))</f>
        <v/>
      </c>
      <c r="D134" s="43" t="str">
        <f t="shared" ca="1" si="9"/>
        <v/>
      </c>
      <c r="E134" s="50"/>
      <c r="F134" s="11"/>
      <c r="G134" s="52" t="str">
        <f t="shared" si="10"/>
        <v/>
      </c>
      <c r="H134" s="13"/>
      <c r="I134" s="37"/>
      <c r="J134" s="45" t="str">
        <f>IF(AND(A134&lt;&gt;"",E134&lt;&gt;""),IF(I134="","⚠️ Enter Code",IF(IFERROR(VLOOKUP(H134,DB_Agents!$B:$I,8,0),"")=I134,IF(C134&gt;=E134,"Successful","Unsuccessful"),"🔒 BLOCKED — Wrong Code")),"—")</f>
        <v>—</v>
      </c>
      <c r="K134" s="46" t="str">
        <f t="shared" ca="1" si="11"/>
        <v>—</v>
      </c>
      <c r="L134" s="47"/>
    </row>
    <row r="135" spans="1:12" x14ac:dyDescent="0.25">
      <c r="A135" s="32"/>
      <c r="B135" s="7" t="str">
        <f>IF(A135="","",IFERROR(VLOOKUP(A135,DB_Customers!$A:$D,4,0),"❌ Account Not Found"))</f>
        <v/>
      </c>
      <c r="C135" s="33" t="str">
        <f>IF(A135="","",IFERROR(VLOOKUP(A135,DB_Customers!$A:$N,14,0),""))</f>
        <v/>
      </c>
      <c r="D135" s="34" t="str">
        <f t="shared" ca="1" si="9"/>
        <v/>
      </c>
      <c r="E135" s="50"/>
      <c r="F135" s="7"/>
      <c r="G135" s="51" t="str">
        <f t="shared" si="10"/>
        <v/>
      </c>
      <c r="H135" s="9"/>
      <c r="I135" s="37"/>
      <c r="J135" s="38" t="str">
        <f>IF(AND(A135&lt;&gt;"",E135&lt;&gt;""),IF(I135="","⚠️ Enter Code",IF(IFERROR(VLOOKUP(H135,DB_Agents!$B:$I,8,0),"")=I135,IF(C135&gt;=E135,"Successful","Unsuccessful"),"🔒 BLOCKED — Wrong Code")),"—")</f>
        <v>—</v>
      </c>
      <c r="K135" s="39" t="str">
        <f t="shared" ca="1" si="11"/>
        <v>—</v>
      </c>
      <c r="L135" s="40"/>
    </row>
    <row r="136" spans="1:12" x14ac:dyDescent="0.25">
      <c r="A136" s="41"/>
      <c r="B136" s="11" t="str">
        <f>IF(A136="","",IFERROR(VLOOKUP(A136,DB_Customers!$A:$D,4,0),"❌ Account Not Found"))</f>
        <v/>
      </c>
      <c r="C136" s="42" t="str">
        <f>IF(A136="","",IFERROR(VLOOKUP(A136,DB_Customers!$A:$N,14,0),""))</f>
        <v/>
      </c>
      <c r="D136" s="43" t="str">
        <f t="shared" ca="1" si="9"/>
        <v/>
      </c>
      <c r="E136" s="50"/>
      <c r="F136" s="11"/>
      <c r="G136" s="52" t="str">
        <f t="shared" si="10"/>
        <v/>
      </c>
      <c r="H136" s="13"/>
      <c r="I136" s="37"/>
      <c r="J136" s="45" t="str">
        <f>IF(AND(A136&lt;&gt;"",E136&lt;&gt;""),IF(I136="","⚠️ Enter Code",IF(IFERROR(VLOOKUP(H136,DB_Agents!$B:$I,8,0),"")=I136,IF(C136&gt;=E136,"Successful","Unsuccessful"),"🔒 BLOCKED — Wrong Code")),"—")</f>
        <v>—</v>
      </c>
      <c r="K136" s="46" t="str">
        <f t="shared" ca="1" si="11"/>
        <v>—</v>
      </c>
      <c r="L136" s="47"/>
    </row>
    <row r="137" spans="1:12" x14ac:dyDescent="0.25">
      <c r="A137" s="32"/>
      <c r="B137" s="7" t="str">
        <f>IF(A137="","",IFERROR(VLOOKUP(A137,DB_Customers!$A:$D,4,0),"❌ Account Not Found"))</f>
        <v/>
      </c>
      <c r="C137" s="33" t="str">
        <f>IF(A137="","",IFERROR(VLOOKUP(A137,DB_Customers!$A:$N,14,0),""))</f>
        <v/>
      </c>
      <c r="D137" s="34" t="str">
        <f t="shared" ref="D137:D168" ca="1" si="12">IF(A137="","",TODAY())</f>
        <v/>
      </c>
      <c r="E137" s="50"/>
      <c r="F137" s="7"/>
      <c r="G137" s="51" t="str">
        <f t="shared" ref="G137:G168" si="13">IF(OR(A137="",E137=""),"",IF(C137="","",C137-E137))</f>
        <v/>
      </c>
      <c r="H137" s="9"/>
      <c r="I137" s="37"/>
      <c r="J137" s="38" t="str">
        <f>IF(AND(A137&lt;&gt;"",E137&lt;&gt;""),IF(I137="","⚠️ Enter Code",IF(IFERROR(VLOOKUP(H137,DB_Agents!$B:$I,8,0),"")=I137,IF(C137&gt;=E137,"Successful","Unsuccessful"),"🔒 BLOCKED — Wrong Code")),"—")</f>
        <v>—</v>
      </c>
      <c r="K137" s="39" t="str">
        <f t="shared" ref="K137:K168" ca="1" si="14">IF(J137="Successful",TEXT(TODAY(),"YYYY-MM-DD")&amp;" Auto","—")</f>
        <v>—</v>
      </c>
      <c r="L137" s="40"/>
    </row>
    <row r="138" spans="1:12" x14ac:dyDescent="0.25">
      <c r="A138" s="41"/>
      <c r="B138" s="11" t="str">
        <f>IF(A138="","",IFERROR(VLOOKUP(A138,DB_Customers!$A:$D,4,0),"❌ Account Not Found"))</f>
        <v/>
      </c>
      <c r="C138" s="42" t="str">
        <f>IF(A138="","",IFERROR(VLOOKUP(A138,DB_Customers!$A:$N,14,0),""))</f>
        <v/>
      </c>
      <c r="D138" s="43" t="str">
        <f t="shared" ca="1" si="12"/>
        <v/>
      </c>
      <c r="E138" s="50"/>
      <c r="F138" s="11"/>
      <c r="G138" s="52" t="str">
        <f t="shared" si="13"/>
        <v/>
      </c>
      <c r="H138" s="13"/>
      <c r="I138" s="37"/>
      <c r="J138" s="45" t="str">
        <f>IF(AND(A138&lt;&gt;"",E138&lt;&gt;""),IF(I138="","⚠️ Enter Code",IF(IFERROR(VLOOKUP(H138,DB_Agents!$B:$I,8,0),"")=I138,IF(C138&gt;=E138,"Successful","Unsuccessful"),"🔒 BLOCKED — Wrong Code")),"—")</f>
        <v>—</v>
      </c>
      <c r="K138" s="46" t="str">
        <f t="shared" ca="1" si="14"/>
        <v>—</v>
      </c>
      <c r="L138" s="47"/>
    </row>
    <row r="139" spans="1:12" x14ac:dyDescent="0.25">
      <c r="A139" s="32"/>
      <c r="B139" s="7" t="str">
        <f>IF(A139="","",IFERROR(VLOOKUP(A139,DB_Customers!$A:$D,4,0),"❌ Account Not Found"))</f>
        <v/>
      </c>
      <c r="C139" s="33" t="str">
        <f>IF(A139="","",IFERROR(VLOOKUP(A139,DB_Customers!$A:$N,14,0),""))</f>
        <v/>
      </c>
      <c r="D139" s="34" t="str">
        <f t="shared" ca="1" si="12"/>
        <v/>
      </c>
      <c r="E139" s="50"/>
      <c r="F139" s="7"/>
      <c r="G139" s="51" t="str">
        <f t="shared" si="13"/>
        <v/>
      </c>
      <c r="H139" s="9"/>
      <c r="I139" s="37"/>
      <c r="J139" s="38" t="str">
        <f>IF(AND(A139&lt;&gt;"",E139&lt;&gt;""),IF(I139="","⚠️ Enter Code",IF(IFERROR(VLOOKUP(H139,DB_Agents!$B:$I,8,0),"")=I139,IF(C139&gt;=E139,"Successful","Unsuccessful"),"🔒 BLOCKED — Wrong Code")),"—")</f>
        <v>—</v>
      </c>
      <c r="K139" s="39" t="str">
        <f t="shared" ca="1" si="14"/>
        <v>—</v>
      </c>
      <c r="L139" s="40"/>
    </row>
    <row r="140" spans="1:12" x14ac:dyDescent="0.25">
      <c r="A140" s="41"/>
      <c r="B140" s="11" t="str">
        <f>IF(A140="","",IFERROR(VLOOKUP(A140,DB_Customers!$A:$D,4,0),"❌ Account Not Found"))</f>
        <v/>
      </c>
      <c r="C140" s="42" t="str">
        <f>IF(A140="","",IFERROR(VLOOKUP(A140,DB_Customers!$A:$N,14,0),""))</f>
        <v/>
      </c>
      <c r="D140" s="43" t="str">
        <f t="shared" ca="1" si="12"/>
        <v/>
      </c>
      <c r="E140" s="50"/>
      <c r="F140" s="11"/>
      <c r="G140" s="52" t="str">
        <f t="shared" si="13"/>
        <v/>
      </c>
      <c r="H140" s="13"/>
      <c r="I140" s="37"/>
      <c r="J140" s="45" t="str">
        <f>IF(AND(A140&lt;&gt;"",E140&lt;&gt;""),IF(I140="","⚠️ Enter Code",IF(IFERROR(VLOOKUP(H140,DB_Agents!$B:$I,8,0),"")=I140,IF(C140&gt;=E140,"Successful","Unsuccessful"),"🔒 BLOCKED — Wrong Code")),"—")</f>
        <v>—</v>
      </c>
      <c r="K140" s="46" t="str">
        <f t="shared" ca="1" si="14"/>
        <v>—</v>
      </c>
      <c r="L140" s="47"/>
    </row>
    <row r="141" spans="1:12" x14ac:dyDescent="0.25">
      <c r="A141" s="32"/>
      <c r="B141" s="7" t="str">
        <f>IF(A141="","",IFERROR(VLOOKUP(A141,DB_Customers!$A:$D,4,0),"❌ Account Not Found"))</f>
        <v/>
      </c>
      <c r="C141" s="33" t="str">
        <f>IF(A141="","",IFERROR(VLOOKUP(A141,DB_Customers!$A:$N,14,0),""))</f>
        <v/>
      </c>
      <c r="D141" s="34" t="str">
        <f t="shared" ca="1" si="12"/>
        <v/>
      </c>
      <c r="E141" s="50"/>
      <c r="F141" s="7"/>
      <c r="G141" s="51" t="str">
        <f t="shared" si="13"/>
        <v/>
      </c>
      <c r="H141" s="9"/>
      <c r="I141" s="37"/>
      <c r="J141" s="38" t="str">
        <f>IF(AND(A141&lt;&gt;"",E141&lt;&gt;""),IF(I141="","⚠️ Enter Code",IF(IFERROR(VLOOKUP(H141,DB_Agents!$B:$I,8,0),"")=I141,IF(C141&gt;=E141,"Successful","Unsuccessful"),"🔒 BLOCKED — Wrong Code")),"—")</f>
        <v>—</v>
      </c>
      <c r="K141" s="39" t="str">
        <f t="shared" ca="1" si="14"/>
        <v>—</v>
      </c>
      <c r="L141" s="40"/>
    </row>
    <row r="142" spans="1:12" x14ac:dyDescent="0.25">
      <c r="A142" s="41"/>
      <c r="B142" s="11" t="str">
        <f>IF(A142="","",IFERROR(VLOOKUP(A142,DB_Customers!$A:$D,4,0),"❌ Account Not Found"))</f>
        <v/>
      </c>
      <c r="C142" s="42" t="str">
        <f>IF(A142="","",IFERROR(VLOOKUP(A142,DB_Customers!$A:$N,14,0),""))</f>
        <v/>
      </c>
      <c r="D142" s="43" t="str">
        <f t="shared" ca="1" si="12"/>
        <v/>
      </c>
      <c r="E142" s="50"/>
      <c r="F142" s="11"/>
      <c r="G142" s="52" t="str">
        <f t="shared" si="13"/>
        <v/>
      </c>
      <c r="H142" s="13"/>
      <c r="I142" s="37"/>
      <c r="J142" s="45" t="str">
        <f>IF(AND(A142&lt;&gt;"",E142&lt;&gt;""),IF(I142="","⚠️ Enter Code",IF(IFERROR(VLOOKUP(H142,DB_Agents!$B:$I,8,0),"")=I142,IF(C142&gt;=E142,"Successful","Unsuccessful"),"🔒 BLOCKED — Wrong Code")),"—")</f>
        <v>—</v>
      </c>
      <c r="K142" s="46" t="str">
        <f t="shared" ca="1" si="14"/>
        <v>—</v>
      </c>
      <c r="L142" s="47"/>
    </row>
    <row r="143" spans="1:12" x14ac:dyDescent="0.25">
      <c r="A143" s="32"/>
      <c r="B143" s="7" t="str">
        <f>IF(A143="","",IFERROR(VLOOKUP(A143,DB_Customers!$A:$D,4,0),"❌ Account Not Found"))</f>
        <v/>
      </c>
      <c r="C143" s="33" t="str">
        <f>IF(A143="","",IFERROR(VLOOKUP(A143,DB_Customers!$A:$N,14,0),""))</f>
        <v/>
      </c>
      <c r="D143" s="34" t="str">
        <f t="shared" ca="1" si="12"/>
        <v/>
      </c>
      <c r="E143" s="50"/>
      <c r="F143" s="7"/>
      <c r="G143" s="51" t="str">
        <f t="shared" si="13"/>
        <v/>
      </c>
      <c r="H143" s="9"/>
      <c r="I143" s="37"/>
      <c r="J143" s="38" t="str">
        <f>IF(AND(A143&lt;&gt;"",E143&lt;&gt;""),IF(I143="","⚠️ Enter Code",IF(IFERROR(VLOOKUP(H143,DB_Agents!$B:$I,8,0),"")=I143,IF(C143&gt;=E143,"Successful","Unsuccessful"),"🔒 BLOCKED — Wrong Code")),"—")</f>
        <v>—</v>
      </c>
      <c r="K143" s="39" t="str">
        <f t="shared" ca="1" si="14"/>
        <v>—</v>
      </c>
      <c r="L143" s="40"/>
    </row>
    <row r="144" spans="1:12" x14ac:dyDescent="0.25">
      <c r="A144" s="41"/>
      <c r="B144" s="11" t="str">
        <f>IF(A144="","",IFERROR(VLOOKUP(A144,DB_Customers!$A:$D,4,0),"❌ Account Not Found"))</f>
        <v/>
      </c>
      <c r="C144" s="42" t="str">
        <f>IF(A144="","",IFERROR(VLOOKUP(A144,DB_Customers!$A:$N,14,0),""))</f>
        <v/>
      </c>
      <c r="D144" s="43" t="str">
        <f t="shared" ca="1" si="12"/>
        <v/>
      </c>
      <c r="E144" s="50"/>
      <c r="F144" s="11"/>
      <c r="G144" s="52" t="str">
        <f t="shared" si="13"/>
        <v/>
      </c>
      <c r="H144" s="13"/>
      <c r="I144" s="37"/>
      <c r="J144" s="45" t="str">
        <f>IF(AND(A144&lt;&gt;"",E144&lt;&gt;""),IF(I144="","⚠️ Enter Code",IF(IFERROR(VLOOKUP(H144,DB_Agents!$B:$I,8,0),"")=I144,IF(C144&gt;=E144,"Successful","Unsuccessful"),"🔒 BLOCKED — Wrong Code")),"—")</f>
        <v>—</v>
      </c>
      <c r="K144" s="46" t="str">
        <f t="shared" ca="1" si="14"/>
        <v>—</v>
      </c>
      <c r="L144" s="47"/>
    </row>
    <row r="145" spans="1:12" x14ac:dyDescent="0.25">
      <c r="A145" s="32"/>
      <c r="B145" s="7" t="str">
        <f>IF(A145="","",IFERROR(VLOOKUP(A145,DB_Customers!$A:$D,4,0),"❌ Account Not Found"))</f>
        <v/>
      </c>
      <c r="C145" s="33" t="str">
        <f>IF(A145="","",IFERROR(VLOOKUP(A145,DB_Customers!$A:$N,14,0),""))</f>
        <v/>
      </c>
      <c r="D145" s="34" t="str">
        <f t="shared" ca="1" si="12"/>
        <v/>
      </c>
      <c r="E145" s="50"/>
      <c r="F145" s="7"/>
      <c r="G145" s="51" t="str">
        <f t="shared" si="13"/>
        <v/>
      </c>
      <c r="H145" s="9"/>
      <c r="I145" s="37"/>
      <c r="J145" s="38" t="str">
        <f>IF(AND(A145&lt;&gt;"",E145&lt;&gt;""),IF(I145="","⚠️ Enter Code",IF(IFERROR(VLOOKUP(H145,DB_Agents!$B:$I,8,0),"")=I145,IF(C145&gt;=E145,"Successful","Unsuccessful"),"🔒 BLOCKED — Wrong Code")),"—")</f>
        <v>—</v>
      </c>
      <c r="K145" s="39" t="str">
        <f t="shared" ca="1" si="14"/>
        <v>—</v>
      </c>
      <c r="L145" s="40"/>
    </row>
    <row r="146" spans="1:12" x14ac:dyDescent="0.25">
      <c r="A146" s="41"/>
      <c r="B146" s="11" t="str">
        <f>IF(A146="","",IFERROR(VLOOKUP(A146,DB_Customers!$A:$D,4,0),"❌ Account Not Found"))</f>
        <v/>
      </c>
      <c r="C146" s="42" t="str">
        <f>IF(A146="","",IFERROR(VLOOKUP(A146,DB_Customers!$A:$N,14,0),""))</f>
        <v/>
      </c>
      <c r="D146" s="43" t="str">
        <f t="shared" ca="1" si="12"/>
        <v/>
      </c>
      <c r="E146" s="50"/>
      <c r="F146" s="11"/>
      <c r="G146" s="52" t="str">
        <f t="shared" si="13"/>
        <v/>
      </c>
      <c r="H146" s="13"/>
      <c r="I146" s="37"/>
      <c r="J146" s="45" t="str">
        <f>IF(AND(A146&lt;&gt;"",E146&lt;&gt;""),IF(I146="","⚠️ Enter Code",IF(IFERROR(VLOOKUP(H146,DB_Agents!$B:$I,8,0),"")=I146,IF(C146&gt;=E146,"Successful","Unsuccessful"),"🔒 BLOCKED — Wrong Code")),"—")</f>
        <v>—</v>
      </c>
      <c r="K146" s="46" t="str">
        <f t="shared" ca="1" si="14"/>
        <v>—</v>
      </c>
      <c r="L146" s="47"/>
    </row>
    <row r="147" spans="1:12" x14ac:dyDescent="0.25">
      <c r="A147" s="32"/>
      <c r="B147" s="7" t="str">
        <f>IF(A147="","",IFERROR(VLOOKUP(A147,DB_Customers!$A:$D,4,0),"❌ Account Not Found"))</f>
        <v/>
      </c>
      <c r="C147" s="33" t="str">
        <f>IF(A147="","",IFERROR(VLOOKUP(A147,DB_Customers!$A:$N,14,0),""))</f>
        <v/>
      </c>
      <c r="D147" s="34" t="str">
        <f t="shared" ca="1" si="12"/>
        <v/>
      </c>
      <c r="E147" s="50"/>
      <c r="F147" s="7"/>
      <c r="G147" s="51" t="str">
        <f t="shared" si="13"/>
        <v/>
      </c>
      <c r="H147" s="9"/>
      <c r="I147" s="37"/>
      <c r="J147" s="38" t="str">
        <f>IF(AND(A147&lt;&gt;"",E147&lt;&gt;""),IF(I147="","⚠️ Enter Code",IF(IFERROR(VLOOKUP(H147,DB_Agents!$B:$I,8,0),"")=I147,IF(C147&gt;=E147,"Successful","Unsuccessful"),"🔒 BLOCKED — Wrong Code")),"—")</f>
        <v>—</v>
      </c>
      <c r="K147" s="39" t="str">
        <f t="shared" ca="1" si="14"/>
        <v>—</v>
      </c>
      <c r="L147" s="40"/>
    </row>
    <row r="148" spans="1:12" x14ac:dyDescent="0.25">
      <c r="A148" s="41"/>
      <c r="B148" s="11" t="str">
        <f>IF(A148="","",IFERROR(VLOOKUP(A148,DB_Customers!$A:$D,4,0),"❌ Account Not Found"))</f>
        <v/>
      </c>
      <c r="C148" s="42" t="str">
        <f>IF(A148="","",IFERROR(VLOOKUP(A148,DB_Customers!$A:$N,14,0),""))</f>
        <v/>
      </c>
      <c r="D148" s="43" t="str">
        <f t="shared" ca="1" si="12"/>
        <v/>
      </c>
      <c r="E148" s="50"/>
      <c r="F148" s="11"/>
      <c r="G148" s="52" t="str">
        <f t="shared" si="13"/>
        <v/>
      </c>
      <c r="H148" s="13"/>
      <c r="I148" s="37"/>
      <c r="J148" s="45" t="str">
        <f>IF(AND(A148&lt;&gt;"",E148&lt;&gt;""),IF(I148="","⚠️ Enter Code",IF(IFERROR(VLOOKUP(H148,DB_Agents!$B:$I,8,0),"")=I148,IF(C148&gt;=E148,"Successful","Unsuccessful"),"🔒 BLOCKED — Wrong Code")),"—")</f>
        <v>—</v>
      </c>
      <c r="K148" s="46" t="str">
        <f t="shared" ca="1" si="14"/>
        <v>—</v>
      </c>
      <c r="L148" s="47"/>
    </row>
    <row r="149" spans="1:12" x14ac:dyDescent="0.25">
      <c r="A149" s="32"/>
      <c r="B149" s="7" t="str">
        <f>IF(A149="","",IFERROR(VLOOKUP(A149,DB_Customers!$A:$D,4,0),"❌ Account Not Found"))</f>
        <v/>
      </c>
      <c r="C149" s="33" t="str">
        <f>IF(A149="","",IFERROR(VLOOKUP(A149,DB_Customers!$A:$N,14,0),""))</f>
        <v/>
      </c>
      <c r="D149" s="34" t="str">
        <f t="shared" ca="1" si="12"/>
        <v/>
      </c>
      <c r="E149" s="50"/>
      <c r="F149" s="7"/>
      <c r="G149" s="51" t="str">
        <f t="shared" si="13"/>
        <v/>
      </c>
      <c r="H149" s="9"/>
      <c r="I149" s="37"/>
      <c r="J149" s="38" t="str">
        <f>IF(AND(A149&lt;&gt;"",E149&lt;&gt;""),IF(I149="","⚠️ Enter Code",IF(IFERROR(VLOOKUP(H149,DB_Agents!$B:$I,8,0),"")=I149,IF(C149&gt;=E149,"Successful","Unsuccessful"),"🔒 BLOCKED — Wrong Code")),"—")</f>
        <v>—</v>
      </c>
      <c r="K149" s="39" t="str">
        <f t="shared" ca="1" si="14"/>
        <v>—</v>
      </c>
      <c r="L149" s="40"/>
    </row>
    <row r="150" spans="1:12" x14ac:dyDescent="0.25">
      <c r="A150" s="41"/>
      <c r="B150" s="11" t="str">
        <f>IF(A150="","",IFERROR(VLOOKUP(A150,DB_Customers!$A:$D,4,0),"❌ Account Not Found"))</f>
        <v/>
      </c>
      <c r="C150" s="42" t="str">
        <f>IF(A150="","",IFERROR(VLOOKUP(A150,DB_Customers!$A:$N,14,0),""))</f>
        <v/>
      </c>
      <c r="D150" s="43" t="str">
        <f t="shared" ca="1" si="12"/>
        <v/>
      </c>
      <c r="E150" s="50"/>
      <c r="F150" s="11"/>
      <c r="G150" s="52" t="str">
        <f t="shared" si="13"/>
        <v/>
      </c>
      <c r="H150" s="13"/>
      <c r="I150" s="37"/>
      <c r="J150" s="45" t="str">
        <f>IF(AND(A150&lt;&gt;"",E150&lt;&gt;""),IF(I150="","⚠️ Enter Code",IF(IFERROR(VLOOKUP(H150,DB_Agents!$B:$I,8,0),"")=I150,IF(C150&gt;=E150,"Successful","Unsuccessful"),"🔒 BLOCKED — Wrong Code")),"—")</f>
        <v>—</v>
      </c>
      <c r="K150" s="46" t="str">
        <f t="shared" ca="1" si="14"/>
        <v>—</v>
      </c>
      <c r="L150" s="47"/>
    </row>
    <row r="151" spans="1:12" x14ac:dyDescent="0.25">
      <c r="A151" s="32"/>
      <c r="B151" s="7" t="str">
        <f>IF(A151="","",IFERROR(VLOOKUP(A151,DB_Customers!$A:$D,4,0),"❌ Account Not Found"))</f>
        <v/>
      </c>
      <c r="C151" s="33" t="str">
        <f>IF(A151="","",IFERROR(VLOOKUP(A151,DB_Customers!$A:$N,14,0),""))</f>
        <v/>
      </c>
      <c r="D151" s="34" t="str">
        <f t="shared" ca="1" si="12"/>
        <v/>
      </c>
      <c r="E151" s="50"/>
      <c r="F151" s="7"/>
      <c r="G151" s="51" t="str">
        <f t="shared" si="13"/>
        <v/>
      </c>
      <c r="H151" s="9"/>
      <c r="I151" s="37"/>
      <c r="J151" s="38" t="str">
        <f>IF(AND(A151&lt;&gt;"",E151&lt;&gt;""),IF(I151="","⚠️ Enter Code",IF(IFERROR(VLOOKUP(H151,DB_Agents!$B:$I,8,0),"")=I151,IF(C151&gt;=E151,"Successful","Unsuccessful"),"🔒 BLOCKED — Wrong Code")),"—")</f>
        <v>—</v>
      </c>
      <c r="K151" s="39" t="str">
        <f t="shared" ca="1" si="14"/>
        <v>—</v>
      </c>
      <c r="L151" s="40"/>
    </row>
    <row r="152" spans="1:12" x14ac:dyDescent="0.25">
      <c r="A152" s="41"/>
      <c r="B152" s="11" t="str">
        <f>IF(A152="","",IFERROR(VLOOKUP(A152,DB_Customers!$A:$D,4,0),"❌ Account Not Found"))</f>
        <v/>
      </c>
      <c r="C152" s="42" t="str">
        <f>IF(A152="","",IFERROR(VLOOKUP(A152,DB_Customers!$A:$N,14,0),""))</f>
        <v/>
      </c>
      <c r="D152" s="43" t="str">
        <f t="shared" ca="1" si="12"/>
        <v/>
      </c>
      <c r="E152" s="50"/>
      <c r="F152" s="11"/>
      <c r="G152" s="52" t="str">
        <f t="shared" si="13"/>
        <v/>
      </c>
      <c r="H152" s="13"/>
      <c r="I152" s="37"/>
      <c r="J152" s="45" t="str">
        <f>IF(AND(A152&lt;&gt;"",E152&lt;&gt;""),IF(I152="","⚠️ Enter Code",IF(IFERROR(VLOOKUP(H152,DB_Agents!$B:$I,8,0),"")=I152,IF(C152&gt;=E152,"Successful","Unsuccessful"),"🔒 BLOCKED — Wrong Code")),"—")</f>
        <v>—</v>
      </c>
      <c r="K152" s="46" t="str">
        <f t="shared" ca="1" si="14"/>
        <v>—</v>
      </c>
      <c r="L152" s="47"/>
    </row>
    <row r="153" spans="1:12" x14ac:dyDescent="0.25">
      <c r="A153" s="32"/>
      <c r="B153" s="7" t="str">
        <f>IF(A153="","",IFERROR(VLOOKUP(A153,DB_Customers!$A:$D,4,0),"❌ Account Not Found"))</f>
        <v/>
      </c>
      <c r="C153" s="33" t="str">
        <f>IF(A153="","",IFERROR(VLOOKUP(A153,DB_Customers!$A:$N,14,0),""))</f>
        <v/>
      </c>
      <c r="D153" s="34" t="str">
        <f t="shared" ca="1" si="12"/>
        <v/>
      </c>
      <c r="E153" s="50"/>
      <c r="F153" s="7"/>
      <c r="G153" s="51" t="str">
        <f t="shared" si="13"/>
        <v/>
      </c>
      <c r="H153" s="9"/>
      <c r="I153" s="37"/>
      <c r="J153" s="38" t="str">
        <f>IF(AND(A153&lt;&gt;"",E153&lt;&gt;""),IF(I153="","⚠️ Enter Code",IF(IFERROR(VLOOKUP(H153,DB_Agents!$B:$I,8,0),"")=I153,IF(C153&gt;=E153,"Successful","Unsuccessful"),"🔒 BLOCKED — Wrong Code")),"—")</f>
        <v>—</v>
      </c>
      <c r="K153" s="39" t="str">
        <f t="shared" ca="1" si="14"/>
        <v>—</v>
      </c>
      <c r="L153" s="40"/>
    </row>
    <row r="154" spans="1:12" x14ac:dyDescent="0.25">
      <c r="A154" s="41"/>
      <c r="B154" s="11" t="str">
        <f>IF(A154="","",IFERROR(VLOOKUP(A154,DB_Customers!$A:$D,4,0),"❌ Account Not Found"))</f>
        <v/>
      </c>
      <c r="C154" s="42" t="str">
        <f>IF(A154="","",IFERROR(VLOOKUP(A154,DB_Customers!$A:$N,14,0),""))</f>
        <v/>
      </c>
      <c r="D154" s="43" t="str">
        <f t="shared" ca="1" si="12"/>
        <v/>
      </c>
      <c r="E154" s="50"/>
      <c r="F154" s="11"/>
      <c r="G154" s="52" t="str">
        <f t="shared" si="13"/>
        <v/>
      </c>
      <c r="H154" s="13"/>
      <c r="I154" s="37"/>
      <c r="J154" s="45" t="str">
        <f>IF(AND(A154&lt;&gt;"",E154&lt;&gt;""),IF(I154="","⚠️ Enter Code",IF(IFERROR(VLOOKUP(H154,DB_Agents!$B:$I,8,0),"")=I154,IF(C154&gt;=E154,"Successful","Unsuccessful"),"🔒 BLOCKED — Wrong Code")),"—")</f>
        <v>—</v>
      </c>
      <c r="K154" s="46" t="str">
        <f t="shared" ca="1" si="14"/>
        <v>—</v>
      </c>
      <c r="L154" s="47"/>
    </row>
    <row r="155" spans="1:12" x14ac:dyDescent="0.25">
      <c r="A155" s="32"/>
      <c r="B155" s="7" t="str">
        <f>IF(A155="","",IFERROR(VLOOKUP(A155,DB_Customers!$A:$D,4,0),"❌ Account Not Found"))</f>
        <v/>
      </c>
      <c r="C155" s="33" t="str">
        <f>IF(A155="","",IFERROR(VLOOKUP(A155,DB_Customers!$A:$N,14,0),""))</f>
        <v/>
      </c>
      <c r="D155" s="34" t="str">
        <f t="shared" ca="1" si="12"/>
        <v/>
      </c>
      <c r="E155" s="50"/>
      <c r="F155" s="7"/>
      <c r="G155" s="51" t="str">
        <f t="shared" si="13"/>
        <v/>
      </c>
      <c r="H155" s="9"/>
      <c r="I155" s="37"/>
      <c r="J155" s="38" t="str">
        <f>IF(AND(A155&lt;&gt;"",E155&lt;&gt;""),IF(I155="","⚠️ Enter Code",IF(IFERROR(VLOOKUP(H155,DB_Agents!$B:$I,8,0),"")=I155,IF(C155&gt;=E155,"Successful","Unsuccessful"),"🔒 BLOCKED — Wrong Code")),"—")</f>
        <v>—</v>
      </c>
      <c r="K155" s="39" t="str">
        <f t="shared" ca="1" si="14"/>
        <v>—</v>
      </c>
      <c r="L155" s="40"/>
    </row>
    <row r="156" spans="1:12" x14ac:dyDescent="0.25">
      <c r="A156" s="41"/>
      <c r="B156" s="11" t="str">
        <f>IF(A156="","",IFERROR(VLOOKUP(A156,DB_Customers!$A:$D,4,0),"❌ Account Not Found"))</f>
        <v/>
      </c>
      <c r="C156" s="42" t="str">
        <f>IF(A156="","",IFERROR(VLOOKUP(A156,DB_Customers!$A:$N,14,0),""))</f>
        <v/>
      </c>
      <c r="D156" s="43" t="str">
        <f t="shared" ca="1" si="12"/>
        <v/>
      </c>
      <c r="E156" s="50"/>
      <c r="F156" s="11"/>
      <c r="G156" s="52" t="str">
        <f t="shared" si="13"/>
        <v/>
      </c>
      <c r="H156" s="13"/>
      <c r="I156" s="37"/>
      <c r="J156" s="45" t="str">
        <f>IF(AND(A156&lt;&gt;"",E156&lt;&gt;""),IF(I156="","⚠️ Enter Code",IF(IFERROR(VLOOKUP(H156,DB_Agents!$B:$I,8,0),"")=I156,IF(C156&gt;=E156,"Successful","Unsuccessful"),"🔒 BLOCKED — Wrong Code")),"—")</f>
        <v>—</v>
      </c>
      <c r="K156" s="46" t="str">
        <f t="shared" ca="1" si="14"/>
        <v>—</v>
      </c>
      <c r="L156" s="47"/>
    </row>
    <row r="157" spans="1:12" x14ac:dyDescent="0.25">
      <c r="A157" s="32"/>
      <c r="B157" s="7" t="str">
        <f>IF(A157="","",IFERROR(VLOOKUP(A157,DB_Customers!$A:$D,4,0),"❌ Account Not Found"))</f>
        <v/>
      </c>
      <c r="C157" s="33" t="str">
        <f>IF(A157="","",IFERROR(VLOOKUP(A157,DB_Customers!$A:$N,14,0),""))</f>
        <v/>
      </c>
      <c r="D157" s="34" t="str">
        <f t="shared" ca="1" si="12"/>
        <v/>
      </c>
      <c r="E157" s="50"/>
      <c r="F157" s="7"/>
      <c r="G157" s="51" t="str">
        <f t="shared" si="13"/>
        <v/>
      </c>
      <c r="H157" s="9"/>
      <c r="I157" s="37"/>
      <c r="J157" s="38" t="str">
        <f>IF(AND(A157&lt;&gt;"",E157&lt;&gt;""),IF(I157="","⚠️ Enter Code",IF(IFERROR(VLOOKUP(H157,DB_Agents!$B:$I,8,0),"")=I157,IF(C157&gt;=E157,"Successful","Unsuccessful"),"🔒 BLOCKED — Wrong Code")),"—")</f>
        <v>—</v>
      </c>
      <c r="K157" s="39" t="str">
        <f t="shared" ca="1" si="14"/>
        <v>—</v>
      </c>
      <c r="L157" s="40"/>
    </row>
    <row r="158" spans="1:12" x14ac:dyDescent="0.25">
      <c r="A158" s="41"/>
      <c r="B158" s="11" t="str">
        <f>IF(A158="","",IFERROR(VLOOKUP(A158,DB_Customers!$A:$D,4,0),"❌ Account Not Found"))</f>
        <v/>
      </c>
      <c r="C158" s="42" t="str">
        <f>IF(A158="","",IFERROR(VLOOKUP(A158,DB_Customers!$A:$N,14,0),""))</f>
        <v/>
      </c>
      <c r="D158" s="43" t="str">
        <f t="shared" ca="1" si="12"/>
        <v/>
      </c>
      <c r="E158" s="50"/>
      <c r="F158" s="11"/>
      <c r="G158" s="52" t="str">
        <f t="shared" si="13"/>
        <v/>
      </c>
      <c r="H158" s="13"/>
      <c r="I158" s="37"/>
      <c r="J158" s="45" t="str">
        <f>IF(AND(A158&lt;&gt;"",E158&lt;&gt;""),IF(I158="","⚠️ Enter Code",IF(IFERROR(VLOOKUP(H158,DB_Agents!$B:$I,8,0),"")=I158,IF(C158&gt;=E158,"Successful","Unsuccessful"),"🔒 BLOCKED — Wrong Code")),"—")</f>
        <v>—</v>
      </c>
      <c r="K158" s="46" t="str">
        <f t="shared" ca="1" si="14"/>
        <v>—</v>
      </c>
      <c r="L158" s="47"/>
    </row>
    <row r="159" spans="1:12" x14ac:dyDescent="0.25">
      <c r="A159" s="32"/>
      <c r="B159" s="7" t="str">
        <f>IF(A159="","",IFERROR(VLOOKUP(A159,DB_Customers!$A:$D,4,0),"❌ Account Not Found"))</f>
        <v/>
      </c>
      <c r="C159" s="33" t="str">
        <f>IF(A159="","",IFERROR(VLOOKUP(A159,DB_Customers!$A:$N,14,0),""))</f>
        <v/>
      </c>
      <c r="D159" s="34" t="str">
        <f t="shared" ca="1" si="12"/>
        <v/>
      </c>
      <c r="E159" s="50"/>
      <c r="F159" s="7"/>
      <c r="G159" s="51" t="str">
        <f t="shared" si="13"/>
        <v/>
      </c>
      <c r="H159" s="9"/>
      <c r="I159" s="37"/>
      <c r="J159" s="38" t="str">
        <f>IF(AND(A159&lt;&gt;"",E159&lt;&gt;""),IF(I159="","⚠️ Enter Code",IF(IFERROR(VLOOKUP(H159,DB_Agents!$B:$I,8,0),"")=I159,IF(C159&gt;=E159,"Successful","Unsuccessful"),"🔒 BLOCKED — Wrong Code")),"—")</f>
        <v>—</v>
      </c>
      <c r="K159" s="39" t="str">
        <f t="shared" ca="1" si="14"/>
        <v>—</v>
      </c>
      <c r="L159" s="40"/>
    </row>
    <row r="160" spans="1:12" x14ac:dyDescent="0.25">
      <c r="A160" s="41"/>
      <c r="B160" s="11" t="str">
        <f>IF(A160="","",IFERROR(VLOOKUP(A160,DB_Customers!$A:$D,4,0),"❌ Account Not Found"))</f>
        <v/>
      </c>
      <c r="C160" s="42" t="str">
        <f>IF(A160="","",IFERROR(VLOOKUP(A160,DB_Customers!$A:$N,14,0),""))</f>
        <v/>
      </c>
      <c r="D160" s="43" t="str">
        <f t="shared" ca="1" si="12"/>
        <v/>
      </c>
      <c r="E160" s="50"/>
      <c r="F160" s="11"/>
      <c r="G160" s="52" t="str">
        <f t="shared" si="13"/>
        <v/>
      </c>
      <c r="H160" s="13"/>
      <c r="I160" s="37"/>
      <c r="J160" s="45" t="str">
        <f>IF(AND(A160&lt;&gt;"",E160&lt;&gt;""),IF(I160="","⚠️ Enter Code",IF(IFERROR(VLOOKUP(H160,DB_Agents!$B:$I,8,0),"")=I160,IF(C160&gt;=E160,"Successful","Unsuccessful"),"🔒 BLOCKED — Wrong Code")),"—")</f>
        <v>—</v>
      </c>
      <c r="K160" s="46" t="str">
        <f t="shared" ca="1" si="14"/>
        <v>—</v>
      </c>
      <c r="L160" s="47"/>
    </row>
    <row r="161" spans="1:12" x14ac:dyDescent="0.25">
      <c r="A161" s="32"/>
      <c r="B161" s="7" t="str">
        <f>IF(A161="","",IFERROR(VLOOKUP(A161,DB_Customers!$A:$D,4,0),"❌ Account Not Found"))</f>
        <v/>
      </c>
      <c r="C161" s="33" t="str">
        <f>IF(A161="","",IFERROR(VLOOKUP(A161,DB_Customers!$A:$N,14,0),""))</f>
        <v/>
      </c>
      <c r="D161" s="34" t="str">
        <f t="shared" ca="1" si="12"/>
        <v/>
      </c>
      <c r="E161" s="50"/>
      <c r="F161" s="7"/>
      <c r="G161" s="51" t="str">
        <f t="shared" si="13"/>
        <v/>
      </c>
      <c r="H161" s="9"/>
      <c r="I161" s="37"/>
      <c r="J161" s="38" t="str">
        <f>IF(AND(A161&lt;&gt;"",E161&lt;&gt;""),IF(I161="","⚠️ Enter Code",IF(IFERROR(VLOOKUP(H161,DB_Agents!$B:$I,8,0),"")=I161,IF(C161&gt;=E161,"Successful","Unsuccessful"),"🔒 BLOCKED — Wrong Code")),"—")</f>
        <v>—</v>
      </c>
      <c r="K161" s="39" t="str">
        <f t="shared" ca="1" si="14"/>
        <v>—</v>
      </c>
      <c r="L161" s="40"/>
    </row>
    <row r="162" spans="1:12" x14ac:dyDescent="0.25">
      <c r="A162" s="41"/>
      <c r="B162" s="11" t="str">
        <f>IF(A162="","",IFERROR(VLOOKUP(A162,DB_Customers!$A:$D,4,0),"❌ Account Not Found"))</f>
        <v/>
      </c>
      <c r="C162" s="42" t="str">
        <f>IF(A162="","",IFERROR(VLOOKUP(A162,DB_Customers!$A:$N,14,0),""))</f>
        <v/>
      </c>
      <c r="D162" s="43" t="str">
        <f t="shared" ca="1" si="12"/>
        <v/>
      </c>
      <c r="E162" s="50"/>
      <c r="F162" s="11"/>
      <c r="G162" s="52" t="str">
        <f t="shared" si="13"/>
        <v/>
      </c>
      <c r="H162" s="13"/>
      <c r="I162" s="37"/>
      <c r="J162" s="45" t="str">
        <f>IF(AND(A162&lt;&gt;"",E162&lt;&gt;""),IF(I162="","⚠️ Enter Code",IF(IFERROR(VLOOKUP(H162,DB_Agents!$B:$I,8,0),"")=I162,IF(C162&gt;=E162,"Successful","Unsuccessful"),"🔒 BLOCKED — Wrong Code")),"—")</f>
        <v>—</v>
      </c>
      <c r="K162" s="46" t="str">
        <f t="shared" ca="1" si="14"/>
        <v>—</v>
      </c>
      <c r="L162" s="47"/>
    </row>
    <row r="163" spans="1:12" x14ac:dyDescent="0.25">
      <c r="A163" s="32"/>
      <c r="B163" s="7" t="str">
        <f>IF(A163="","",IFERROR(VLOOKUP(A163,DB_Customers!$A:$D,4,0),"❌ Account Not Found"))</f>
        <v/>
      </c>
      <c r="C163" s="33" t="str">
        <f>IF(A163="","",IFERROR(VLOOKUP(A163,DB_Customers!$A:$N,14,0),""))</f>
        <v/>
      </c>
      <c r="D163" s="34" t="str">
        <f t="shared" ca="1" si="12"/>
        <v/>
      </c>
      <c r="E163" s="50"/>
      <c r="F163" s="7"/>
      <c r="G163" s="51" t="str">
        <f t="shared" si="13"/>
        <v/>
      </c>
      <c r="H163" s="9"/>
      <c r="I163" s="37"/>
      <c r="J163" s="38" t="str">
        <f>IF(AND(A163&lt;&gt;"",E163&lt;&gt;""),IF(I163="","⚠️ Enter Code",IF(IFERROR(VLOOKUP(H163,DB_Agents!$B:$I,8,0),"")=I163,IF(C163&gt;=E163,"Successful","Unsuccessful"),"🔒 BLOCKED — Wrong Code")),"—")</f>
        <v>—</v>
      </c>
      <c r="K163" s="39" t="str">
        <f t="shared" ca="1" si="14"/>
        <v>—</v>
      </c>
      <c r="L163" s="40"/>
    </row>
    <row r="164" spans="1:12" x14ac:dyDescent="0.25">
      <c r="A164" s="41"/>
      <c r="B164" s="11" t="str">
        <f>IF(A164="","",IFERROR(VLOOKUP(A164,DB_Customers!$A:$D,4,0),"❌ Account Not Found"))</f>
        <v/>
      </c>
      <c r="C164" s="42" t="str">
        <f>IF(A164="","",IFERROR(VLOOKUP(A164,DB_Customers!$A:$N,14,0),""))</f>
        <v/>
      </c>
      <c r="D164" s="43" t="str">
        <f t="shared" ca="1" si="12"/>
        <v/>
      </c>
      <c r="E164" s="50"/>
      <c r="F164" s="11"/>
      <c r="G164" s="52" t="str">
        <f t="shared" si="13"/>
        <v/>
      </c>
      <c r="H164" s="13"/>
      <c r="I164" s="37"/>
      <c r="J164" s="45" t="str">
        <f>IF(AND(A164&lt;&gt;"",E164&lt;&gt;""),IF(I164="","⚠️ Enter Code",IF(IFERROR(VLOOKUP(H164,DB_Agents!$B:$I,8,0),"")=I164,IF(C164&gt;=E164,"Successful","Unsuccessful"),"🔒 BLOCKED — Wrong Code")),"—")</f>
        <v>—</v>
      </c>
      <c r="K164" s="46" t="str">
        <f t="shared" ca="1" si="14"/>
        <v>—</v>
      </c>
      <c r="L164" s="47"/>
    </row>
    <row r="165" spans="1:12" x14ac:dyDescent="0.25">
      <c r="A165" s="32"/>
      <c r="B165" s="7" t="str">
        <f>IF(A165="","",IFERROR(VLOOKUP(A165,DB_Customers!$A:$D,4,0),"❌ Account Not Found"))</f>
        <v/>
      </c>
      <c r="C165" s="33" t="str">
        <f>IF(A165="","",IFERROR(VLOOKUP(A165,DB_Customers!$A:$N,14,0),""))</f>
        <v/>
      </c>
      <c r="D165" s="34" t="str">
        <f t="shared" ca="1" si="12"/>
        <v/>
      </c>
      <c r="E165" s="50"/>
      <c r="F165" s="7"/>
      <c r="G165" s="51" t="str">
        <f t="shared" si="13"/>
        <v/>
      </c>
      <c r="H165" s="9"/>
      <c r="I165" s="37"/>
      <c r="J165" s="38" t="str">
        <f>IF(AND(A165&lt;&gt;"",E165&lt;&gt;""),IF(I165="","⚠️ Enter Code",IF(IFERROR(VLOOKUP(H165,DB_Agents!$B:$I,8,0),"")=I165,IF(C165&gt;=E165,"Successful","Unsuccessful"),"🔒 BLOCKED — Wrong Code")),"—")</f>
        <v>—</v>
      </c>
      <c r="K165" s="39" t="str">
        <f t="shared" ca="1" si="14"/>
        <v>—</v>
      </c>
      <c r="L165" s="40"/>
    </row>
    <row r="166" spans="1:12" x14ac:dyDescent="0.25">
      <c r="A166" s="41"/>
      <c r="B166" s="11" t="str">
        <f>IF(A166="","",IFERROR(VLOOKUP(A166,DB_Customers!$A:$D,4,0),"❌ Account Not Found"))</f>
        <v/>
      </c>
      <c r="C166" s="42" t="str">
        <f>IF(A166="","",IFERROR(VLOOKUP(A166,DB_Customers!$A:$N,14,0),""))</f>
        <v/>
      </c>
      <c r="D166" s="43" t="str">
        <f t="shared" ca="1" si="12"/>
        <v/>
      </c>
      <c r="E166" s="50"/>
      <c r="F166" s="11"/>
      <c r="G166" s="52" t="str">
        <f t="shared" si="13"/>
        <v/>
      </c>
      <c r="H166" s="13"/>
      <c r="I166" s="37"/>
      <c r="J166" s="45" t="str">
        <f>IF(AND(A166&lt;&gt;"",E166&lt;&gt;""),IF(I166="","⚠️ Enter Code",IF(IFERROR(VLOOKUP(H166,DB_Agents!$B:$I,8,0),"")=I166,IF(C166&gt;=E166,"Successful","Unsuccessful"),"🔒 BLOCKED — Wrong Code")),"—")</f>
        <v>—</v>
      </c>
      <c r="K166" s="46" t="str">
        <f t="shared" ca="1" si="14"/>
        <v>—</v>
      </c>
      <c r="L166" s="47"/>
    </row>
    <row r="167" spans="1:12" x14ac:dyDescent="0.25">
      <c r="A167" s="32"/>
      <c r="B167" s="7" t="str">
        <f>IF(A167="","",IFERROR(VLOOKUP(A167,DB_Customers!$A:$D,4,0),"❌ Account Not Found"))</f>
        <v/>
      </c>
      <c r="C167" s="33" t="str">
        <f>IF(A167="","",IFERROR(VLOOKUP(A167,DB_Customers!$A:$N,14,0),""))</f>
        <v/>
      </c>
      <c r="D167" s="34" t="str">
        <f t="shared" ca="1" si="12"/>
        <v/>
      </c>
      <c r="E167" s="50"/>
      <c r="F167" s="7"/>
      <c r="G167" s="51" t="str">
        <f t="shared" si="13"/>
        <v/>
      </c>
      <c r="H167" s="9"/>
      <c r="I167" s="37"/>
      <c r="J167" s="38" t="str">
        <f>IF(AND(A167&lt;&gt;"",E167&lt;&gt;""),IF(I167="","⚠️ Enter Code",IF(IFERROR(VLOOKUP(H167,DB_Agents!$B:$I,8,0),"")=I167,IF(C167&gt;=E167,"Successful","Unsuccessful"),"🔒 BLOCKED — Wrong Code")),"—")</f>
        <v>—</v>
      </c>
      <c r="K167" s="39" t="str">
        <f t="shared" ca="1" si="14"/>
        <v>—</v>
      </c>
      <c r="L167" s="40"/>
    </row>
    <row r="168" spans="1:12" x14ac:dyDescent="0.25">
      <c r="A168" s="41"/>
      <c r="B168" s="11" t="str">
        <f>IF(A168="","",IFERROR(VLOOKUP(A168,DB_Customers!$A:$D,4,0),"❌ Account Not Found"))</f>
        <v/>
      </c>
      <c r="C168" s="42" t="str">
        <f>IF(A168="","",IFERROR(VLOOKUP(A168,DB_Customers!$A:$N,14,0),""))</f>
        <v/>
      </c>
      <c r="D168" s="43" t="str">
        <f t="shared" ca="1" si="12"/>
        <v/>
      </c>
      <c r="E168" s="50"/>
      <c r="F168" s="11"/>
      <c r="G168" s="52" t="str">
        <f t="shared" si="13"/>
        <v/>
      </c>
      <c r="H168" s="13"/>
      <c r="I168" s="37"/>
      <c r="J168" s="45" t="str">
        <f>IF(AND(A168&lt;&gt;"",E168&lt;&gt;""),IF(I168="","⚠️ Enter Code",IF(IFERROR(VLOOKUP(H168,DB_Agents!$B:$I,8,0),"")=I168,IF(C168&gt;=E168,"Successful","Unsuccessful"),"🔒 BLOCKED — Wrong Code")),"—")</f>
        <v>—</v>
      </c>
      <c r="K168" s="46" t="str">
        <f t="shared" ca="1" si="14"/>
        <v>—</v>
      </c>
      <c r="L168" s="47"/>
    </row>
    <row r="169" spans="1:12" x14ac:dyDescent="0.25">
      <c r="A169" s="32"/>
      <c r="B169" s="7" t="str">
        <f>IF(A169="","",IFERROR(VLOOKUP(A169,DB_Customers!$A:$D,4,0),"❌ Account Not Found"))</f>
        <v/>
      </c>
      <c r="C169" s="33" t="str">
        <f>IF(A169="","",IFERROR(VLOOKUP(A169,DB_Customers!$A:$N,14,0),""))</f>
        <v/>
      </c>
      <c r="D169" s="34" t="str">
        <f t="shared" ref="D169:D200" ca="1" si="15">IF(A169="","",TODAY())</f>
        <v/>
      </c>
      <c r="E169" s="50"/>
      <c r="F169" s="7"/>
      <c r="G169" s="51" t="str">
        <f t="shared" ref="G169:G200" si="16">IF(OR(A169="",E169=""),"",IF(C169="","",C169-E169))</f>
        <v/>
      </c>
      <c r="H169" s="9"/>
      <c r="I169" s="37"/>
      <c r="J169" s="38" t="str">
        <f>IF(AND(A169&lt;&gt;"",E169&lt;&gt;""),IF(I169="","⚠️ Enter Code",IF(IFERROR(VLOOKUP(H169,DB_Agents!$B:$I,8,0),"")=I169,IF(C169&gt;=E169,"Successful","Unsuccessful"),"🔒 BLOCKED — Wrong Code")),"—")</f>
        <v>—</v>
      </c>
      <c r="K169" s="39" t="str">
        <f t="shared" ref="K169:K200" ca="1" si="17">IF(J169="Successful",TEXT(TODAY(),"YYYY-MM-DD")&amp;" Auto","—")</f>
        <v>—</v>
      </c>
      <c r="L169" s="40"/>
    </row>
    <row r="170" spans="1:12" x14ac:dyDescent="0.25">
      <c r="A170" s="41"/>
      <c r="B170" s="11" t="str">
        <f>IF(A170="","",IFERROR(VLOOKUP(A170,DB_Customers!$A:$D,4,0),"❌ Account Not Found"))</f>
        <v/>
      </c>
      <c r="C170" s="42" t="str">
        <f>IF(A170="","",IFERROR(VLOOKUP(A170,DB_Customers!$A:$N,14,0),""))</f>
        <v/>
      </c>
      <c r="D170" s="43" t="str">
        <f t="shared" ca="1" si="15"/>
        <v/>
      </c>
      <c r="E170" s="50"/>
      <c r="F170" s="11"/>
      <c r="G170" s="52" t="str">
        <f t="shared" si="16"/>
        <v/>
      </c>
      <c r="H170" s="13"/>
      <c r="I170" s="37"/>
      <c r="J170" s="45" t="str">
        <f>IF(AND(A170&lt;&gt;"",E170&lt;&gt;""),IF(I170="","⚠️ Enter Code",IF(IFERROR(VLOOKUP(H170,DB_Agents!$B:$I,8,0),"")=I170,IF(C170&gt;=E170,"Successful","Unsuccessful"),"🔒 BLOCKED — Wrong Code")),"—")</f>
        <v>—</v>
      </c>
      <c r="K170" s="46" t="str">
        <f t="shared" ca="1" si="17"/>
        <v>—</v>
      </c>
      <c r="L170" s="47"/>
    </row>
    <row r="171" spans="1:12" x14ac:dyDescent="0.25">
      <c r="A171" s="32"/>
      <c r="B171" s="7" t="str">
        <f>IF(A171="","",IFERROR(VLOOKUP(A171,DB_Customers!$A:$D,4,0),"❌ Account Not Found"))</f>
        <v/>
      </c>
      <c r="C171" s="33" t="str">
        <f>IF(A171="","",IFERROR(VLOOKUP(A171,DB_Customers!$A:$N,14,0),""))</f>
        <v/>
      </c>
      <c r="D171" s="34" t="str">
        <f t="shared" ca="1" si="15"/>
        <v/>
      </c>
      <c r="E171" s="50"/>
      <c r="F171" s="7"/>
      <c r="G171" s="51" t="str">
        <f t="shared" si="16"/>
        <v/>
      </c>
      <c r="H171" s="9"/>
      <c r="I171" s="37"/>
      <c r="J171" s="38" t="str">
        <f>IF(AND(A171&lt;&gt;"",E171&lt;&gt;""),IF(I171="","⚠️ Enter Code",IF(IFERROR(VLOOKUP(H171,DB_Agents!$B:$I,8,0),"")=I171,IF(C171&gt;=E171,"Successful","Unsuccessful"),"🔒 BLOCKED — Wrong Code")),"—")</f>
        <v>—</v>
      </c>
      <c r="K171" s="39" t="str">
        <f t="shared" ca="1" si="17"/>
        <v>—</v>
      </c>
      <c r="L171" s="40"/>
    </row>
    <row r="172" spans="1:12" x14ac:dyDescent="0.25">
      <c r="A172" s="41"/>
      <c r="B172" s="11" t="str">
        <f>IF(A172="","",IFERROR(VLOOKUP(A172,DB_Customers!$A:$D,4,0),"❌ Account Not Found"))</f>
        <v/>
      </c>
      <c r="C172" s="42" t="str">
        <f>IF(A172="","",IFERROR(VLOOKUP(A172,DB_Customers!$A:$N,14,0),""))</f>
        <v/>
      </c>
      <c r="D172" s="43" t="str">
        <f t="shared" ca="1" si="15"/>
        <v/>
      </c>
      <c r="E172" s="50"/>
      <c r="F172" s="11"/>
      <c r="G172" s="52" t="str">
        <f t="shared" si="16"/>
        <v/>
      </c>
      <c r="H172" s="13"/>
      <c r="I172" s="37"/>
      <c r="J172" s="45" t="str">
        <f>IF(AND(A172&lt;&gt;"",E172&lt;&gt;""),IF(I172="","⚠️ Enter Code",IF(IFERROR(VLOOKUP(H172,DB_Agents!$B:$I,8,0),"")=I172,IF(C172&gt;=E172,"Successful","Unsuccessful"),"🔒 BLOCKED — Wrong Code")),"—")</f>
        <v>—</v>
      </c>
      <c r="K172" s="46" t="str">
        <f t="shared" ca="1" si="17"/>
        <v>—</v>
      </c>
      <c r="L172" s="47"/>
    </row>
    <row r="173" spans="1:12" x14ac:dyDescent="0.25">
      <c r="A173" s="32"/>
      <c r="B173" s="7" t="str">
        <f>IF(A173="","",IFERROR(VLOOKUP(A173,DB_Customers!$A:$D,4,0),"❌ Account Not Found"))</f>
        <v/>
      </c>
      <c r="C173" s="33" t="str">
        <f>IF(A173="","",IFERROR(VLOOKUP(A173,DB_Customers!$A:$N,14,0),""))</f>
        <v/>
      </c>
      <c r="D173" s="34" t="str">
        <f t="shared" ca="1" si="15"/>
        <v/>
      </c>
      <c r="E173" s="50"/>
      <c r="F173" s="7"/>
      <c r="G173" s="51" t="str">
        <f t="shared" si="16"/>
        <v/>
      </c>
      <c r="H173" s="9"/>
      <c r="I173" s="37"/>
      <c r="J173" s="38" t="str">
        <f>IF(AND(A173&lt;&gt;"",E173&lt;&gt;""),IF(I173="","⚠️ Enter Code",IF(IFERROR(VLOOKUP(H173,DB_Agents!$B:$I,8,0),"")=I173,IF(C173&gt;=E173,"Successful","Unsuccessful"),"🔒 BLOCKED — Wrong Code")),"—")</f>
        <v>—</v>
      </c>
      <c r="K173" s="39" t="str">
        <f t="shared" ca="1" si="17"/>
        <v>—</v>
      </c>
      <c r="L173" s="40"/>
    </row>
    <row r="174" spans="1:12" x14ac:dyDescent="0.25">
      <c r="A174" s="41"/>
      <c r="B174" s="11" t="str">
        <f>IF(A174="","",IFERROR(VLOOKUP(A174,DB_Customers!$A:$D,4,0),"❌ Account Not Found"))</f>
        <v/>
      </c>
      <c r="C174" s="42" t="str">
        <f>IF(A174="","",IFERROR(VLOOKUP(A174,DB_Customers!$A:$N,14,0),""))</f>
        <v/>
      </c>
      <c r="D174" s="43" t="str">
        <f t="shared" ca="1" si="15"/>
        <v/>
      </c>
      <c r="E174" s="50"/>
      <c r="F174" s="11"/>
      <c r="G174" s="52" t="str">
        <f t="shared" si="16"/>
        <v/>
      </c>
      <c r="H174" s="13"/>
      <c r="I174" s="37"/>
      <c r="J174" s="45" t="str">
        <f>IF(AND(A174&lt;&gt;"",E174&lt;&gt;""),IF(I174="","⚠️ Enter Code",IF(IFERROR(VLOOKUP(H174,DB_Agents!$B:$I,8,0),"")=I174,IF(C174&gt;=E174,"Successful","Unsuccessful"),"🔒 BLOCKED — Wrong Code")),"—")</f>
        <v>—</v>
      </c>
      <c r="K174" s="46" t="str">
        <f t="shared" ca="1" si="17"/>
        <v>—</v>
      </c>
      <c r="L174" s="47"/>
    </row>
    <row r="175" spans="1:12" x14ac:dyDescent="0.25">
      <c r="A175" s="32"/>
      <c r="B175" s="7" t="str">
        <f>IF(A175="","",IFERROR(VLOOKUP(A175,DB_Customers!$A:$D,4,0),"❌ Account Not Found"))</f>
        <v/>
      </c>
      <c r="C175" s="33" t="str">
        <f>IF(A175="","",IFERROR(VLOOKUP(A175,DB_Customers!$A:$N,14,0),""))</f>
        <v/>
      </c>
      <c r="D175" s="34" t="str">
        <f t="shared" ca="1" si="15"/>
        <v/>
      </c>
      <c r="E175" s="50"/>
      <c r="F175" s="7"/>
      <c r="G175" s="51" t="str">
        <f t="shared" si="16"/>
        <v/>
      </c>
      <c r="H175" s="9"/>
      <c r="I175" s="37"/>
      <c r="J175" s="38" t="str">
        <f>IF(AND(A175&lt;&gt;"",E175&lt;&gt;""),IF(I175="","⚠️ Enter Code",IF(IFERROR(VLOOKUP(H175,DB_Agents!$B:$I,8,0),"")=I175,IF(C175&gt;=E175,"Successful","Unsuccessful"),"🔒 BLOCKED — Wrong Code")),"—")</f>
        <v>—</v>
      </c>
      <c r="K175" s="39" t="str">
        <f t="shared" ca="1" si="17"/>
        <v>—</v>
      </c>
      <c r="L175" s="40"/>
    </row>
    <row r="176" spans="1:12" x14ac:dyDescent="0.25">
      <c r="A176" s="41"/>
      <c r="B176" s="11" t="str">
        <f>IF(A176="","",IFERROR(VLOOKUP(A176,DB_Customers!$A:$D,4,0),"❌ Account Not Found"))</f>
        <v/>
      </c>
      <c r="C176" s="42" t="str">
        <f>IF(A176="","",IFERROR(VLOOKUP(A176,DB_Customers!$A:$N,14,0),""))</f>
        <v/>
      </c>
      <c r="D176" s="43" t="str">
        <f t="shared" ca="1" si="15"/>
        <v/>
      </c>
      <c r="E176" s="50"/>
      <c r="F176" s="11"/>
      <c r="G176" s="52" t="str">
        <f t="shared" si="16"/>
        <v/>
      </c>
      <c r="H176" s="13"/>
      <c r="I176" s="37"/>
      <c r="J176" s="45" t="str">
        <f>IF(AND(A176&lt;&gt;"",E176&lt;&gt;""),IF(I176="","⚠️ Enter Code",IF(IFERROR(VLOOKUP(H176,DB_Agents!$B:$I,8,0),"")=I176,IF(C176&gt;=E176,"Successful","Unsuccessful"),"🔒 BLOCKED — Wrong Code")),"—")</f>
        <v>—</v>
      </c>
      <c r="K176" s="46" t="str">
        <f t="shared" ca="1" si="17"/>
        <v>—</v>
      </c>
      <c r="L176" s="47"/>
    </row>
    <row r="177" spans="1:12" x14ac:dyDescent="0.25">
      <c r="A177" s="32"/>
      <c r="B177" s="7" t="str">
        <f>IF(A177="","",IFERROR(VLOOKUP(A177,DB_Customers!$A:$D,4,0),"❌ Account Not Found"))</f>
        <v/>
      </c>
      <c r="C177" s="33" t="str">
        <f>IF(A177="","",IFERROR(VLOOKUP(A177,DB_Customers!$A:$N,14,0),""))</f>
        <v/>
      </c>
      <c r="D177" s="34" t="str">
        <f t="shared" ca="1" si="15"/>
        <v/>
      </c>
      <c r="E177" s="50"/>
      <c r="F177" s="7"/>
      <c r="G177" s="51" t="str">
        <f t="shared" si="16"/>
        <v/>
      </c>
      <c r="H177" s="9"/>
      <c r="I177" s="37"/>
      <c r="J177" s="38" t="str">
        <f>IF(AND(A177&lt;&gt;"",E177&lt;&gt;""),IF(I177="","⚠️ Enter Code",IF(IFERROR(VLOOKUP(H177,DB_Agents!$B:$I,8,0),"")=I177,IF(C177&gt;=E177,"Successful","Unsuccessful"),"🔒 BLOCKED — Wrong Code")),"—")</f>
        <v>—</v>
      </c>
      <c r="K177" s="39" t="str">
        <f t="shared" ca="1" si="17"/>
        <v>—</v>
      </c>
      <c r="L177" s="40"/>
    </row>
    <row r="178" spans="1:12" x14ac:dyDescent="0.25">
      <c r="A178" s="41"/>
      <c r="B178" s="11" t="str">
        <f>IF(A178="","",IFERROR(VLOOKUP(A178,DB_Customers!$A:$D,4,0),"❌ Account Not Found"))</f>
        <v/>
      </c>
      <c r="C178" s="42" t="str">
        <f>IF(A178="","",IFERROR(VLOOKUP(A178,DB_Customers!$A:$N,14,0),""))</f>
        <v/>
      </c>
      <c r="D178" s="43" t="str">
        <f t="shared" ca="1" si="15"/>
        <v/>
      </c>
      <c r="E178" s="50"/>
      <c r="F178" s="11"/>
      <c r="G178" s="52" t="str">
        <f t="shared" si="16"/>
        <v/>
      </c>
      <c r="H178" s="13"/>
      <c r="I178" s="37"/>
      <c r="J178" s="45" t="str">
        <f>IF(AND(A178&lt;&gt;"",E178&lt;&gt;""),IF(I178="","⚠️ Enter Code",IF(IFERROR(VLOOKUP(H178,DB_Agents!$B:$I,8,0),"")=I178,IF(C178&gt;=E178,"Successful","Unsuccessful"),"🔒 BLOCKED — Wrong Code")),"—")</f>
        <v>—</v>
      </c>
      <c r="K178" s="46" t="str">
        <f t="shared" ca="1" si="17"/>
        <v>—</v>
      </c>
      <c r="L178" s="47"/>
    </row>
    <row r="179" spans="1:12" x14ac:dyDescent="0.25">
      <c r="A179" s="32"/>
      <c r="B179" s="7" t="str">
        <f>IF(A179="","",IFERROR(VLOOKUP(A179,DB_Customers!$A:$D,4,0),"❌ Account Not Found"))</f>
        <v/>
      </c>
      <c r="C179" s="33" t="str">
        <f>IF(A179="","",IFERROR(VLOOKUP(A179,DB_Customers!$A:$N,14,0),""))</f>
        <v/>
      </c>
      <c r="D179" s="34" t="str">
        <f t="shared" ca="1" si="15"/>
        <v/>
      </c>
      <c r="E179" s="50"/>
      <c r="F179" s="7"/>
      <c r="G179" s="51" t="str">
        <f t="shared" si="16"/>
        <v/>
      </c>
      <c r="H179" s="9"/>
      <c r="I179" s="37"/>
      <c r="J179" s="38" t="str">
        <f>IF(AND(A179&lt;&gt;"",E179&lt;&gt;""),IF(I179="","⚠️ Enter Code",IF(IFERROR(VLOOKUP(H179,DB_Agents!$B:$I,8,0),"")=I179,IF(C179&gt;=E179,"Successful","Unsuccessful"),"🔒 BLOCKED — Wrong Code")),"—")</f>
        <v>—</v>
      </c>
      <c r="K179" s="39" t="str">
        <f t="shared" ca="1" si="17"/>
        <v>—</v>
      </c>
      <c r="L179" s="40"/>
    </row>
    <row r="180" spans="1:12" x14ac:dyDescent="0.25">
      <c r="A180" s="41"/>
      <c r="B180" s="11" t="str">
        <f>IF(A180="","",IFERROR(VLOOKUP(A180,DB_Customers!$A:$D,4,0),"❌ Account Not Found"))</f>
        <v/>
      </c>
      <c r="C180" s="42" t="str">
        <f>IF(A180="","",IFERROR(VLOOKUP(A180,DB_Customers!$A:$N,14,0),""))</f>
        <v/>
      </c>
      <c r="D180" s="43" t="str">
        <f t="shared" ca="1" si="15"/>
        <v/>
      </c>
      <c r="E180" s="50"/>
      <c r="F180" s="11"/>
      <c r="G180" s="52" t="str">
        <f t="shared" si="16"/>
        <v/>
      </c>
      <c r="H180" s="13"/>
      <c r="I180" s="37"/>
      <c r="J180" s="45" t="str">
        <f>IF(AND(A180&lt;&gt;"",E180&lt;&gt;""),IF(I180="","⚠️ Enter Code",IF(IFERROR(VLOOKUP(H180,DB_Agents!$B:$I,8,0),"")=I180,IF(C180&gt;=E180,"Successful","Unsuccessful"),"🔒 BLOCKED — Wrong Code")),"—")</f>
        <v>—</v>
      </c>
      <c r="K180" s="46" t="str">
        <f t="shared" ca="1" si="17"/>
        <v>—</v>
      </c>
      <c r="L180" s="47"/>
    </row>
    <row r="181" spans="1:12" x14ac:dyDescent="0.25">
      <c r="A181" s="32"/>
      <c r="B181" s="7" t="str">
        <f>IF(A181="","",IFERROR(VLOOKUP(A181,DB_Customers!$A:$D,4,0),"❌ Account Not Found"))</f>
        <v/>
      </c>
      <c r="C181" s="33" t="str">
        <f>IF(A181="","",IFERROR(VLOOKUP(A181,DB_Customers!$A:$N,14,0),""))</f>
        <v/>
      </c>
      <c r="D181" s="34" t="str">
        <f t="shared" ca="1" si="15"/>
        <v/>
      </c>
      <c r="E181" s="50"/>
      <c r="F181" s="7"/>
      <c r="G181" s="51" t="str">
        <f t="shared" si="16"/>
        <v/>
      </c>
      <c r="H181" s="9"/>
      <c r="I181" s="37"/>
      <c r="J181" s="38" t="str">
        <f>IF(AND(A181&lt;&gt;"",E181&lt;&gt;""),IF(I181="","⚠️ Enter Code",IF(IFERROR(VLOOKUP(H181,DB_Agents!$B:$I,8,0),"")=I181,IF(C181&gt;=E181,"Successful","Unsuccessful"),"🔒 BLOCKED — Wrong Code")),"—")</f>
        <v>—</v>
      </c>
      <c r="K181" s="39" t="str">
        <f t="shared" ca="1" si="17"/>
        <v>—</v>
      </c>
      <c r="L181" s="40"/>
    </row>
    <row r="182" spans="1:12" x14ac:dyDescent="0.25">
      <c r="A182" s="41"/>
      <c r="B182" s="11" t="str">
        <f>IF(A182="","",IFERROR(VLOOKUP(A182,DB_Customers!$A:$D,4,0),"❌ Account Not Found"))</f>
        <v/>
      </c>
      <c r="C182" s="42" t="str">
        <f>IF(A182="","",IFERROR(VLOOKUP(A182,DB_Customers!$A:$N,14,0),""))</f>
        <v/>
      </c>
      <c r="D182" s="43" t="str">
        <f t="shared" ca="1" si="15"/>
        <v/>
      </c>
      <c r="E182" s="50"/>
      <c r="F182" s="11"/>
      <c r="G182" s="52" t="str">
        <f t="shared" si="16"/>
        <v/>
      </c>
      <c r="H182" s="13"/>
      <c r="I182" s="37"/>
      <c r="J182" s="45" t="str">
        <f>IF(AND(A182&lt;&gt;"",E182&lt;&gt;""),IF(I182="","⚠️ Enter Code",IF(IFERROR(VLOOKUP(H182,DB_Agents!$B:$I,8,0),"")=I182,IF(C182&gt;=E182,"Successful","Unsuccessful"),"🔒 BLOCKED — Wrong Code")),"—")</f>
        <v>—</v>
      </c>
      <c r="K182" s="46" t="str">
        <f t="shared" ca="1" si="17"/>
        <v>—</v>
      </c>
      <c r="L182" s="47"/>
    </row>
    <row r="183" spans="1:12" x14ac:dyDescent="0.25">
      <c r="A183" s="32"/>
      <c r="B183" s="7" t="str">
        <f>IF(A183="","",IFERROR(VLOOKUP(A183,DB_Customers!$A:$D,4,0),"❌ Account Not Found"))</f>
        <v/>
      </c>
      <c r="C183" s="33" t="str">
        <f>IF(A183="","",IFERROR(VLOOKUP(A183,DB_Customers!$A:$N,14,0),""))</f>
        <v/>
      </c>
      <c r="D183" s="34" t="str">
        <f t="shared" ca="1" si="15"/>
        <v/>
      </c>
      <c r="E183" s="50"/>
      <c r="F183" s="7"/>
      <c r="G183" s="51" t="str">
        <f t="shared" si="16"/>
        <v/>
      </c>
      <c r="H183" s="9"/>
      <c r="I183" s="37"/>
      <c r="J183" s="38" t="str">
        <f>IF(AND(A183&lt;&gt;"",E183&lt;&gt;""),IF(I183="","⚠️ Enter Code",IF(IFERROR(VLOOKUP(H183,DB_Agents!$B:$I,8,0),"")=I183,IF(C183&gt;=E183,"Successful","Unsuccessful"),"🔒 BLOCKED — Wrong Code")),"—")</f>
        <v>—</v>
      </c>
      <c r="K183" s="39" t="str">
        <f t="shared" ca="1" si="17"/>
        <v>—</v>
      </c>
      <c r="L183" s="40"/>
    </row>
    <row r="184" spans="1:12" x14ac:dyDescent="0.25">
      <c r="A184" s="41"/>
      <c r="B184" s="11" t="str">
        <f>IF(A184="","",IFERROR(VLOOKUP(A184,DB_Customers!$A:$D,4,0),"❌ Account Not Found"))</f>
        <v/>
      </c>
      <c r="C184" s="42" t="str">
        <f>IF(A184="","",IFERROR(VLOOKUP(A184,DB_Customers!$A:$N,14,0),""))</f>
        <v/>
      </c>
      <c r="D184" s="43" t="str">
        <f t="shared" ca="1" si="15"/>
        <v/>
      </c>
      <c r="E184" s="50"/>
      <c r="F184" s="11"/>
      <c r="G184" s="52" t="str">
        <f t="shared" si="16"/>
        <v/>
      </c>
      <c r="H184" s="13"/>
      <c r="I184" s="37"/>
      <c r="J184" s="45" t="str">
        <f>IF(AND(A184&lt;&gt;"",E184&lt;&gt;""),IF(I184="","⚠️ Enter Code",IF(IFERROR(VLOOKUP(H184,DB_Agents!$B:$I,8,0),"")=I184,IF(C184&gt;=E184,"Successful","Unsuccessful"),"🔒 BLOCKED — Wrong Code")),"—")</f>
        <v>—</v>
      </c>
      <c r="K184" s="46" t="str">
        <f t="shared" ca="1" si="17"/>
        <v>—</v>
      </c>
      <c r="L184" s="47"/>
    </row>
    <row r="185" spans="1:12" x14ac:dyDescent="0.25">
      <c r="A185" s="32"/>
      <c r="B185" s="7" t="str">
        <f>IF(A185="","",IFERROR(VLOOKUP(A185,DB_Customers!$A:$D,4,0),"❌ Account Not Found"))</f>
        <v/>
      </c>
      <c r="C185" s="33" t="str">
        <f>IF(A185="","",IFERROR(VLOOKUP(A185,DB_Customers!$A:$N,14,0),""))</f>
        <v/>
      </c>
      <c r="D185" s="34" t="str">
        <f t="shared" ca="1" si="15"/>
        <v/>
      </c>
      <c r="E185" s="50"/>
      <c r="F185" s="7"/>
      <c r="G185" s="51" t="str">
        <f t="shared" si="16"/>
        <v/>
      </c>
      <c r="H185" s="9"/>
      <c r="I185" s="37"/>
      <c r="J185" s="38" t="str">
        <f>IF(AND(A185&lt;&gt;"",E185&lt;&gt;""),IF(I185="","⚠️ Enter Code",IF(IFERROR(VLOOKUP(H185,DB_Agents!$B:$I,8,0),"")=I185,IF(C185&gt;=E185,"Successful","Unsuccessful"),"🔒 BLOCKED — Wrong Code")),"—")</f>
        <v>—</v>
      </c>
      <c r="K185" s="39" t="str">
        <f t="shared" ca="1" si="17"/>
        <v>—</v>
      </c>
      <c r="L185" s="40"/>
    </row>
    <row r="186" spans="1:12" x14ac:dyDescent="0.25">
      <c r="A186" s="41"/>
      <c r="B186" s="11" t="str">
        <f>IF(A186="","",IFERROR(VLOOKUP(A186,DB_Customers!$A:$D,4,0),"❌ Account Not Found"))</f>
        <v/>
      </c>
      <c r="C186" s="42" t="str">
        <f>IF(A186="","",IFERROR(VLOOKUP(A186,DB_Customers!$A:$N,14,0),""))</f>
        <v/>
      </c>
      <c r="D186" s="43" t="str">
        <f t="shared" ca="1" si="15"/>
        <v/>
      </c>
      <c r="E186" s="50"/>
      <c r="F186" s="11"/>
      <c r="G186" s="52" t="str">
        <f t="shared" si="16"/>
        <v/>
      </c>
      <c r="H186" s="13"/>
      <c r="I186" s="37"/>
      <c r="J186" s="45" t="str">
        <f>IF(AND(A186&lt;&gt;"",E186&lt;&gt;""),IF(I186="","⚠️ Enter Code",IF(IFERROR(VLOOKUP(H186,DB_Agents!$B:$I,8,0),"")=I186,IF(C186&gt;=E186,"Successful","Unsuccessful"),"🔒 BLOCKED — Wrong Code")),"—")</f>
        <v>—</v>
      </c>
      <c r="K186" s="46" t="str">
        <f t="shared" ca="1" si="17"/>
        <v>—</v>
      </c>
      <c r="L186" s="47"/>
    </row>
    <row r="187" spans="1:12" x14ac:dyDescent="0.25">
      <c r="A187" s="32"/>
      <c r="B187" s="7" t="str">
        <f>IF(A187="","",IFERROR(VLOOKUP(A187,DB_Customers!$A:$D,4,0),"❌ Account Not Found"))</f>
        <v/>
      </c>
      <c r="C187" s="33" t="str">
        <f>IF(A187="","",IFERROR(VLOOKUP(A187,DB_Customers!$A:$N,14,0),""))</f>
        <v/>
      </c>
      <c r="D187" s="34" t="str">
        <f t="shared" ca="1" si="15"/>
        <v/>
      </c>
      <c r="E187" s="50"/>
      <c r="F187" s="7"/>
      <c r="G187" s="51" t="str">
        <f t="shared" si="16"/>
        <v/>
      </c>
      <c r="H187" s="9"/>
      <c r="I187" s="37"/>
      <c r="J187" s="38" t="str">
        <f>IF(AND(A187&lt;&gt;"",E187&lt;&gt;""),IF(I187="","⚠️ Enter Code",IF(IFERROR(VLOOKUP(H187,DB_Agents!$B:$I,8,0),"")=I187,IF(C187&gt;=E187,"Successful","Unsuccessful"),"🔒 BLOCKED — Wrong Code")),"—")</f>
        <v>—</v>
      </c>
      <c r="K187" s="39" t="str">
        <f t="shared" ca="1" si="17"/>
        <v>—</v>
      </c>
      <c r="L187" s="40"/>
    </row>
    <row r="188" spans="1:12" x14ac:dyDescent="0.25">
      <c r="A188" s="41"/>
      <c r="B188" s="11" t="str">
        <f>IF(A188="","",IFERROR(VLOOKUP(A188,DB_Customers!$A:$D,4,0),"❌ Account Not Found"))</f>
        <v/>
      </c>
      <c r="C188" s="42" t="str">
        <f>IF(A188="","",IFERROR(VLOOKUP(A188,DB_Customers!$A:$N,14,0),""))</f>
        <v/>
      </c>
      <c r="D188" s="43" t="str">
        <f t="shared" ca="1" si="15"/>
        <v/>
      </c>
      <c r="E188" s="50"/>
      <c r="F188" s="11"/>
      <c r="G188" s="52" t="str">
        <f t="shared" si="16"/>
        <v/>
      </c>
      <c r="H188" s="13"/>
      <c r="I188" s="37"/>
      <c r="J188" s="45" t="str">
        <f>IF(AND(A188&lt;&gt;"",E188&lt;&gt;""),IF(I188="","⚠️ Enter Code",IF(IFERROR(VLOOKUP(H188,DB_Agents!$B:$I,8,0),"")=I188,IF(C188&gt;=E188,"Successful","Unsuccessful"),"🔒 BLOCKED — Wrong Code")),"—")</f>
        <v>—</v>
      </c>
      <c r="K188" s="46" t="str">
        <f t="shared" ca="1" si="17"/>
        <v>—</v>
      </c>
      <c r="L188" s="47"/>
    </row>
    <row r="189" spans="1:12" x14ac:dyDescent="0.25">
      <c r="A189" s="32"/>
      <c r="B189" s="7" t="str">
        <f>IF(A189="","",IFERROR(VLOOKUP(A189,DB_Customers!$A:$D,4,0),"❌ Account Not Found"))</f>
        <v/>
      </c>
      <c r="C189" s="33" t="str">
        <f>IF(A189="","",IFERROR(VLOOKUP(A189,DB_Customers!$A:$N,14,0),""))</f>
        <v/>
      </c>
      <c r="D189" s="34" t="str">
        <f t="shared" ca="1" si="15"/>
        <v/>
      </c>
      <c r="E189" s="50"/>
      <c r="F189" s="7"/>
      <c r="G189" s="51" t="str">
        <f t="shared" si="16"/>
        <v/>
      </c>
      <c r="H189" s="9"/>
      <c r="I189" s="37"/>
      <c r="J189" s="38" t="str">
        <f>IF(AND(A189&lt;&gt;"",E189&lt;&gt;""),IF(I189="","⚠️ Enter Code",IF(IFERROR(VLOOKUP(H189,DB_Agents!$B:$I,8,0),"")=I189,IF(C189&gt;=E189,"Successful","Unsuccessful"),"🔒 BLOCKED — Wrong Code")),"—")</f>
        <v>—</v>
      </c>
      <c r="K189" s="39" t="str">
        <f t="shared" ca="1" si="17"/>
        <v>—</v>
      </c>
      <c r="L189" s="40"/>
    </row>
    <row r="190" spans="1:12" x14ac:dyDescent="0.25">
      <c r="A190" s="41"/>
      <c r="B190" s="11" t="str">
        <f>IF(A190="","",IFERROR(VLOOKUP(A190,DB_Customers!$A:$D,4,0),"❌ Account Not Found"))</f>
        <v/>
      </c>
      <c r="C190" s="42" t="str">
        <f>IF(A190="","",IFERROR(VLOOKUP(A190,DB_Customers!$A:$N,14,0),""))</f>
        <v/>
      </c>
      <c r="D190" s="43" t="str">
        <f t="shared" ca="1" si="15"/>
        <v/>
      </c>
      <c r="E190" s="50"/>
      <c r="F190" s="11"/>
      <c r="G190" s="52" t="str">
        <f t="shared" si="16"/>
        <v/>
      </c>
      <c r="H190" s="13"/>
      <c r="I190" s="37"/>
      <c r="J190" s="45" t="str">
        <f>IF(AND(A190&lt;&gt;"",E190&lt;&gt;""),IF(I190="","⚠️ Enter Code",IF(IFERROR(VLOOKUP(H190,DB_Agents!$B:$I,8,0),"")=I190,IF(C190&gt;=E190,"Successful","Unsuccessful"),"🔒 BLOCKED — Wrong Code")),"—")</f>
        <v>—</v>
      </c>
      <c r="K190" s="46" t="str">
        <f t="shared" ca="1" si="17"/>
        <v>—</v>
      </c>
      <c r="L190" s="47"/>
    </row>
    <row r="191" spans="1:12" x14ac:dyDescent="0.25">
      <c r="A191" s="32"/>
      <c r="B191" s="7" t="str">
        <f>IF(A191="","",IFERROR(VLOOKUP(A191,DB_Customers!$A:$D,4,0),"❌ Account Not Found"))</f>
        <v/>
      </c>
      <c r="C191" s="33" t="str">
        <f>IF(A191="","",IFERROR(VLOOKUP(A191,DB_Customers!$A:$N,14,0),""))</f>
        <v/>
      </c>
      <c r="D191" s="34" t="str">
        <f t="shared" ca="1" si="15"/>
        <v/>
      </c>
      <c r="E191" s="50"/>
      <c r="F191" s="7"/>
      <c r="G191" s="51" t="str">
        <f t="shared" si="16"/>
        <v/>
      </c>
      <c r="H191" s="9"/>
      <c r="I191" s="37"/>
      <c r="J191" s="38" t="str">
        <f>IF(AND(A191&lt;&gt;"",E191&lt;&gt;""),IF(I191="","⚠️ Enter Code",IF(IFERROR(VLOOKUP(H191,DB_Agents!$B:$I,8,0),"")=I191,IF(C191&gt;=E191,"Successful","Unsuccessful"),"🔒 BLOCKED — Wrong Code")),"—")</f>
        <v>—</v>
      </c>
      <c r="K191" s="39" t="str">
        <f t="shared" ca="1" si="17"/>
        <v>—</v>
      </c>
      <c r="L191" s="40"/>
    </row>
    <row r="192" spans="1:12" x14ac:dyDescent="0.25">
      <c r="A192" s="41"/>
      <c r="B192" s="11" t="str">
        <f>IF(A192="","",IFERROR(VLOOKUP(A192,DB_Customers!$A:$D,4,0),"❌ Account Not Found"))</f>
        <v/>
      </c>
      <c r="C192" s="42" t="str">
        <f>IF(A192="","",IFERROR(VLOOKUP(A192,DB_Customers!$A:$N,14,0),""))</f>
        <v/>
      </c>
      <c r="D192" s="43" t="str">
        <f t="shared" ca="1" si="15"/>
        <v/>
      </c>
      <c r="E192" s="50"/>
      <c r="F192" s="11"/>
      <c r="G192" s="52" t="str">
        <f t="shared" si="16"/>
        <v/>
      </c>
      <c r="H192" s="13"/>
      <c r="I192" s="37"/>
      <c r="J192" s="45" t="str">
        <f>IF(AND(A192&lt;&gt;"",E192&lt;&gt;""),IF(I192="","⚠️ Enter Code",IF(IFERROR(VLOOKUP(H192,DB_Agents!$B:$I,8,0),"")=I192,IF(C192&gt;=E192,"Successful","Unsuccessful"),"🔒 BLOCKED — Wrong Code")),"—")</f>
        <v>—</v>
      </c>
      <c r="K192" s="46" t="str">
        <f t="shared" ca="1" si="17"/>
        <v>—</v>
      </c>
      <c r="L192" s="47"/>
    </row>
    <row r="193" spans="1:12" x14ac:dyDescent="0.25">
      <c r="A193" s="32"/>
      <c r="B193" s="7" t="str">
        <f>IF(A193="","",IFERROR(VLOOKUP(A193,DB_Customers!$A:$D,4,0),"❌ Account Not Found"))</f>
        <v/>
      </c>
      <c r="C193" s="33" t="str">
        <f>IF(A193="","",IFERROR(VLOOKUP(A193,DB_Customers!$A:$N,14,0),""))</f>
        <v/>
      </c>
      <c r="D193" s="34" t="str">
        <f t="shared" ca="1" si="15"/>
        <v/>
      </c>
      <c r="E193" s="50"/>
      <c r="F193" s="7"/>
      <c r="G193" s="51" t="str">
        <f t="shared" si="16"/>
        <v/>
      </c>
      <c r="H193" s="9"/>
      <c r="I193" s="37"/>
      <c r="J193" s="38" t="str">
        <f>IF(AND(A193&lt;&gt;"",E193&lt;&gt;""),IF(I193="","⚠️ Enter Code",IF(IFERROR(VLOOKUP(H193,DB_Agents!$B:$I,8,0),"")=I193,IF(C193&gt;=E193,"Successful","Unsuccessful"),"🔒 BLOCKED — Wrong Code")),"—")</f>
        <v>—</v>
      </c>
      <c r="K193" s="39" t="str">
        <f t="shared" ca="1" si="17"/>
        <v>—</v>
      </c>
      <c r="L193" s="40"/>
    </row>
    <row r="194" spans="1:12" x14ac:dyDescent="0.25">
      <c r="A194" s="41"/>
      <c r="B194" s="11" t="str">
        <f>IF(A194="","",IFERROR(VLOOKUP(A194,DB_Customers!$A:$D,4,0),"❌ Account Not Found"))</f>
        <v/>
      </c>
      <c r="C194" s="42" t="str">
        <f>IF(A194="","",IFERROR(VLOOKUP(A194,DB_Customers!$A:$N,14,0),""))</f>
        <v/>
      </c>
      <c r="D194" s="43" t="str">
        <f t="shared" ca="1" si="15"/>
        <v/>
      </c>
      <c r="E194" s="50"/>
      <c r="F194" s="11"/>
      <c r="G194" s="52" t="str">
        <f t="shared" si="16"/>
        <v/>
      </c>
      <c r="H194" s="13"/>
      <c r="I194" s="37"/>
      <c r="J194" s="45" t="str">
        <f>IF(AND(A194&lt;&gt;"",E194&lt;&gt;""),IF(I194="","⚠️ Enter Code",IF(IFERROR(VLOOKUP(H194,DB_Agents!$B:$I,8,0),"")=I194,IF(C194&gt;=E194,"Successful","Unsuccessful"),"🔒 BLOCKED — Wrong Code")),"—")</f>
        <v>—</v>
      </c>
      <c r="K194" s="46" t="str">
        <f t="shared" ca="1" si="17"/>
        <v>—</v>
      </c>
      <c r="L194" s="47"/>
    </row>
    <row r="195" spans="1:12" x14ac:dyDescent="0.25">
      <c r="A195" s="32"/>
      <c r="B195" s="7" t="str">
        <f>IF(A195="","",IFERROR(VLOOKUP(A195,DB_Customers!$A:$D,4,0),"❌ Account Not Found"))</f>
        <v/>
      </c>
      <c r="C195" s="33" t="str">
        <f>IF(A195="","",IFERROR(VLOOKUP(A195,DB_Customers!$A:$N,14,0),""))</f>
        <v/>
      </c>
      <c r="D195" s="34" t="str">
        <f t="shared" ca="1" si="15"/>
        <v/>
      </c>
      <c r="E195" s="50"/>
      <c r="F195" s="7"/>
      <c r="G195" s="51" t="str">
        <f t="shared" si="16"/>
        <v/>
      </c>
      <c r="H195" s="9"/>
      <c r="I195" s="37"/>
      <c r="J195" s="38" t="str">
        <f>IF(AND(A195&lt;&gt;"",E195&lt;&gt;""),IF(I195="","⚠️ Enter Code",IF(IFERROR(VLOOKUP(H195,DB_Agents!$B:$I,8,0),"")=I195,IF(C195&gt;=E195,"Successful","Unsuccessful"),"🔒 BLOCKED — Wrong Code")),"—")</f>
        <v>—</v>
      </c>
      <c r="K195" s="39" t="str">
        <f t="shared" ca="1" si="17"/>
        <v>—</v>
      </c>
      <c r="L195" s="40"/>
    </row>
    <row r="196" spans="1:12" x14ac:dyDescent="0.25">
      <c r="A196" s="41"/>
      <c r="B196" s="11" t="str">
        <f>IF(A196="","",IFERROR(VLOOKUP(A196,DB_Customers!$A:$D,4,0),"❌ Account Not Found"))</f>
        <v/>
      </c>
      <c r="C196" s="42" t="str">
        <f>IF(A196="","",IFERROR(VLOOKUP(A196,DB_Customers!$A:$N,14,0),""))</f>
        <v/>
      </c>
      <c r="D196" s="43" t="str">
        <f t="shared" ca="1" si="15"/>
        <v/>
      </c>
      <c r="E196" s="50"/>
      <c r="F196" s="11"/>
      <c r="G196" s="52" t="str">
        <f t="shared" si="16"/>
        <v/>
      </c>
      <c r="H196" s="13"/>
      <c r="I196" s="37"/>
      <c r="J196" s="45" t="str">
        <f>IF(AND(A196&lt;&gt;"",E196&lt;&gt;""),IF(I196="","⚠️ Enter Code",IF(IFERROR(VLOOKUP(H196,DB_Agents!$B:$I,8,0),"")=I196,IF(C196&gt;=E196,"Successful","Unsuccessful"),"🔒 BLOCKED — Wrong Code")),"—")</f>
        <v>—</v>
      </c>
      <c r="K196" s="46" t="str">
        <f t="shared" ca="1" si="17"/>
        <v>—</v>
      </c>
      <c r="L196" s="47"/>
    </row>
    <row r="197" spans="1:12" x14ac:dyDescent="0.25">
      <c r="A197" s="32"/>
      <c r="B197" s="7" t="str">
        <f>IF(A197="","",IFERROR(VLOOKUP(A197,DB_Customers!$A:$D,4,0),"❌ Account Not Found"))</f>
        <v/>
      </c>
      <c r="C197" s="33" t="str">
        <f>IF(A197="","",IFERROR(VLOOKUP(A197,DB_Customers!$A:$N,14,0),""))</f>
        <v/>
      </c>
      <c r="D197" s="34" t="str">
        <f t="shared" ca="1" si="15"/>
        <v/>
      </c>
      <c r="E197" s="50"/>
      <c r="F197" s="7"/>
      <c r="G197" s="51" t="str">
        <f t="shared" si="16"/>
        <v/>
      </c>
      <c r="H197" s="9"/>
      <c r="I197" s="37"/>
      <c r="J197" s="38" t="str">
        <f>IF(AND(A197&lt;&gt;"",E197&lt;&gt;""),IF(I197="","⚠️ Enter Code",IF(IFERROR(VLOOKUP(H197,DB_Agents!$B:$I,8,0),"")=I197,IF(C197&gt;=E197,"Successful","Unsuccessful"),"🔒 BLOCKED — Wrong Code")),"—")</f>
        <v>—</v>
      </c>
      <c r="K197" s="39" t="str">
        <f t="shared" ca="1" si="17"/>
        <v>—</v>
      </c>
      <c r="L197" s="40"/>
    </row>
    <row r="198" spans="1:12" x14ac:dyDescent="0.25">
      <c r="A198" s="41"/>
      <c r="B198" s="11" t="str">
        <f>IF(A198="","",IFERROR(VLOOKUP(A198,DB_Customers!$A:$D,4,0),"❌ Account Not Found"))</f>
        <v/>
      </c>
      <c r="C198" s="42" t="str">
        <f>IF(A198="","",IFERROR(VLOOKUP(A198,DB_Customers!$A:$N,14,0),""))</f>
        <v/>
      </c>
      <c r="D198" s="43" t="str">
        <f t="shared" ca="1" si="15"/>
        <v/>
      </c>
      <c r="E198" s="50"/>
      <c r="F198" s="11"/>
      <c r="G198" s="52" t="str">
        <f t="shared" si="16"/>
        <v/>
      </c>
      <c r="H198" s="13"/>
      <c r="I198" s="37"/>
      <c r="J198" s="45" t="str">
        <f>IF(AND(A198&lt;&gt;"",E198&lt;&gt;""),IF(I198="","⚠️ Enter Code",IF(IFERROR(VLOOKUP(H198,DB_Agents!$B:$I,8,0),"")=I198,IF(C198&gt;=E198,"Successful","Unsuccessful"),"🔒 BLOCKED — Wrong Code")),"—")</f>
        <v>—</v>
      </c>
      <c r="K198" s="46" t="str">
        <f t="shared" ca="1" si="17"/>
        <v>—</v>
      </c>
      <c r="L198" s="47"/>
    </row>
    <row r="199" spans="1:12" x14ac:dyDescent="0.25">
      <c r="A199" s="32"/>
      <c r="B199" s="7" t="str">
        <f>IF(A199="","",IFERROR(VLOOKUP(A199,DB_Customers!$A:$D,4,0),"❌ Account Not Found"))</f>
        <v/>
      </c>
      <c r="C199" s="33" t="str">
        <f>IF(A199="","",IFERROR(VLOOKUP(A199,DB_Customers!$A:$N,14,0),""))</f>
        <v/>
      </c>
      <c r="D199" s="34" t="str">
        <f t="shared" ca="1" si="15"/>
        <v/>
      </c>
      <c r="E199" s="50"/>
      <c r="F199" s="7"/>
      <c r="G199" s="51" t="str">
        <f t="shared" si="16"/>
        <v/>
      </c>
      <c r="H199" s="9"/>
      <c r="I199" s="37"/>
      <c r="J199" s="38" t="str">
        <f>IF(AND(A199&lt;&gt;"",E199&lt;&gt;""),IF(I199="","⚠️ Enter Code",IF(IFERROR(VLOOKUP(H199,DB_Agents!$B:$I,8,0),"")=I199,IF(C199&gt;=E199,"Successful","Unsuccessful"),"🔒 BLOCKED — Wrong Code")),"—")</f>
        <v>—</v>
      </c>
      <c r="K199" s="39" t="str">
        <f t="shared" ca="1" si="17"/>
        <v>—</v>
      </c>
      <c r="L199" s="40"/>
    </row>
    <row r="200" spans="1:12" x14ac:dyDescent="0.25">
      <c r="A200" s="41"/>
      <c r="B200" s="11" t="str">
        <f>IF(A200="","",IFERROR(VLOOKUP(A200,DB_Customers!$A:$D,4,0),"❌ Account Not Found"))</f>
        <v/>
      </c>
      <c r="C200" s="42" t="str">
        <f>IF(A200="","",IFERROR(VLOOKUP(A200,DB_Customers!$A:$N,14,0),""))</f>
        <v/>
      </c>
      <c r="D200" s="43" t="str">
        <f t="shared" ca="1" si="15"/>
        <v/>
      </c>
      <c r="E200" s="50"/>
      <c r="F200" s="11"/>
      <c r="G200" s="52" t="str">
        <f t="shared" si="16"/>
        <v/>
      </c>
      <c r="H200" s="13"/>
      <c r="I200" s="37"/>
      <c r="J200" s="45" t="str">
        <f>IF(AND(A200&lt;&gt;"",E200&lt;&gt;""),IF(I200="","⚠️ Enter Code",IF(IFERROR(VLOOKUP(H200,DB_Agents!$B:$I,8,0),"")=I200,IF(C200&gt;=E200,"Successful","Unsuccessful"),"🔒 BLOCKED — Wrong Code")),"—")</f>
        <v>—</v>
      </c>
      <c r="K200" s="46" t="str">
        <f t="shared" ca="1" si="17"/>
        <v>—</v>
      </c>
      <c r="L200" s="47"/>
    </row>
    <row r="201" spans="1:12" x14ac:dyDescent="0.25">
      <c r="A201" s="32"/>
      <c r="B201" s="7" t="str">
        <f>IF(A201="","",IFERROR(VLOOKUP(A201,DB_Customers!$A:$D,4,0),"❌ Account Not Found"))</f>
        <v/>
      </c>
      <c r="C201" s="33" t="str">
        <f>IF(A201="","",IFERROR(VLOOKUP(A201,DB_Customers!$A:$N,14,0),""))</f>
        <v/>
      </c>
      <c r="D201" s="34" t="str">
        <f t="shared" ref="D201:D208" ca="1" si="18">IF(A201="","",TODAY())</f>
        <v/>
      </c>
      <c r="E201" s="50"/>
      <c r="F201" s="7"/>
      <c r="G201" s="51" t="str">
        <f t="shared" ref="G201:G208" si="19">IF(OR(A201="",E201=""),"",IF(C201="","",C201-E201))</f>
        <v/>
      </c>
      <c r="H201" s="9"/>
      <c r="I201" s="37"/>
      <c r="J201" s="38" t="str">
        <f>IF(AND(A201&lt;&gt;"",E201&lt;&gt;""),IF(I201="","⚠️ Enter Code",IF(IFERROR(VLOOKUP(H201,DB_Agents!$B:$I,8,0),"")=I201,IF(C201&gt;=E201,"Successful","Unsuccessful"),"🔒 BLOCKED — Wrong Code")),"—")</f>
        <v>—</v>
      </c>
      <c r="K201" s="39" t="str">
        <f t="shared" ref="K201:K208" ca="1" si="20">IF(J201="Successful",TEXT(TODAY(),"YYYY-MM-DD")&amp;" Auto","—")</f>
        <v>—</v>
      </c>
      <c r="L201" s="40"/>
    </row>
    <row r="202" spans="1:12" x14ac:dyDescent="0.25">
      <c r="A202" s="41"/>
      <c r="B202" s="11" t="str">
        <f>IF(A202="","",IFERROR(VLOOKUP(A202,DB_Customers!$A:$D,4,0),"❌ Account Not Found"))</f>
        <v/>
      </c>
      <c r="C202" s="42" t="str">
        <f>IF(A202="","",IFERROR(VLOOKUP(A202,DB_Customers!$A:$N,14,0),""))</f>
        <v/>
      </c>
      <c r="D202" s="43" t="str">
        <f t="shared" ca="1" si="18"/>
        <v/>
      </c>
      <c r="E202" s="50"/>
      <c r="F202" s="11"/>
      <c r="G202" s="52" t="str">
        <f t="shared" si="19"/>
        <v/>
      </c>
      <c r="H202" s="13"/>
      <c r="I202" s="37"/>
      <c r="J202" s="45" t="str">
        <f>IF(AND(A202&lt;&gt;"",E202&lt;&gt;""),IF(I202="","⚠️ Enter Code",IF(IFERROR(VLOOKUP(H202,DB_Agents!$B:$I,8,0),"")=I202,IF(C202&gt;=E202,"Successful","Unsuccessful"),"🔒 BLOCKED — Wrong Code")),"—")</f>
        <v>—</v>
      </c>
      <c r="K202" s="46" t="str">
        <f t="shared" ca="1" si="20"/>
        <v>—</v>
      </c>
      <c r="L202" s="47"/>
    </row>
    <row r="203" spans="1:12" x14ac:dyDescent="0.25">
      <c r="A203" s="32"/>
      <c r="B203" s="7" t="str">
        <f>IF(A203="","",IFERROR(VLOOKUP(A203,DB_Customers!$A:$D,4,0),"❌ Account Not Found"))</f>
        <v/>
      </c>
      <c r="C203" s="33" t="str">
        <f>IF(A203="","",IFERROR(VLOOKUP(A203,DB_Customers!$A:$N,14,0),""))</f>
        <v/>
      </c>
      <c r="D203" s="34" t="str">
        <f t="shared" ca="1" si="18"/>
        <v/>
      </c>
      <c r="E203" s="50"/>
      <c r="F203" s="7"/>
      <c r="G203" s="51" t="str">
        <f t="shared" si="19"/>
        <v/>
      </c>
      <c r="H203" s="9"/>
      <c r="I203" s="37"/>
      <c r="J203" s="38" t="str">
        <f>IF(AND(A203&lt;&gt;"",E203&lt;&gt;""),IF(I203="","⚠️ Enter Code",IF(IFERROR(VLOOKUP(H203,DB_Agents!$B:$I,8,0),"")=I203,IF(C203&gt;=E203,"Successful","Unsuccessful"),"🔒 BLOCKED — Wrong Code")),"—")</f>
        <v>—</v>
      </c>
      <c r="K203" s="39" t="str">
        <f t="shared" ca="1" si="20"/>
        <v>—</v>
      </c>
      <c r="L203" s="40"/>
    </row>
    <row r="204" spans="1:12" x14ac:dyDescent="0.25">
      <c r="A204" s="41"/>
      <c r="B204" s="11" t="str">
        <f>IF(A204="","",IFERROR(VLOOKUP(A204,DB_Customers!$A:$D,4,0),"❌ Account Not Found"))</f>
        <v/>
      </c>
      <c r="C204" s="42" t="str">
        <f>IF(A204="","",IFERROR(VLOOKUP(A204,DB_Customers!$A:$N,14,0),""))</f>
        <v/>
      </c>
      <c r="D204" s="43" t="str">
        <f t="shared" ca="1" si="18"/>
        <v/>
      </c>
      <c r="E204" s="50"/>
      <c r="F204" s="11"/>
      <c r="G204" s="52" t="str">
        <f t="shared" si="19"/>
        <v/>
      </c>
      <c r="H204" s="13"/>
      <c r="I204" s="37"/>
      <c r="J204" s="45" t="str">
        <f>IF(AND(A204&lt;&gt;"",E204&lt;&gt;""),IF(I204="","⚠️ Enter Code",IF(IFERROR(VLOOKUP(H204,DB_Agents!$B:$I,8,0),"")=I204,IF(C204&gt;=E204,"Successful","Unsuccessful"),"🔒 BLOCKED — Wrong Code")),"—")</f>
        <v>—</v>
      </c>
      <c r="K204" s="46" t="str">
        <f t="shared" ca="1" si="20"/>
        <v>—</v>
      </c>
      <c r="L204" s="47"/>
    </row>
    <row r="205" spans="1:12" x14ac:dyDescent="0.25">
      <c r="A205" s="32"/>
      <c r="B205" s="7" t="str">
        <f>IF(A205="","",IFERROR(VLOOKUP(A205,DB_Customers!$A:$D,4,0),"❌ Account Not Found"))</f>
        <v/>
      </c>
      <c r="C205" s="33" t="str">
        <f>IF(A205="","",IFERROR(VLOOKUP(A205,DB_Customers!$A:$N,14,0),""))</f>
        <v/>
      </c>
      <c r="D205" s="34" t="str">
        <f t="shared" ca="1" si="18"/>
        <v/>
      </c>
      <c r="E205" s="50"/>
      <c r="F205" s="7"/>
      <c r="G205" s="51" t="str">
        <f t="shared" si="19"/>
        <v/>
      </c>
      <c r="H205" s="9"/>
      <c r="I205" s="37"/>
      <c r="J205" s="38" t="str">
        <f>IF(AND(A205&lt;&gt;"",E205&lt;&gt;""),IF(I205="","⚠️ Enter Code",IF(IFERROR(VLOOKUP(H205,DB_Agents!$B:$I,8,0),"")=I205,IF(C205&gt;=E205,"Successful","Unsuccessful"),"🔒 BLOCKED — Wrong Code")),"—")</f>
        <v>—</v>
      </c>
      <c r="K205" s="39" t="str">
        <f t="shared" ca="1" si="20"/>
        <v>—</v>
      </c>
      <c r="L205" s="40"/>
    </row>
    <row r="206" spans="1:12" x14ac:dyDescent="0.25">
      <c r="A206" s="41"/>
      <c r="B206" s="11" t="str">
        <f>IF(A206="","",IFERROR(VLOOKUP(A206,DB_Customers!$A:$D,4,0),"❌ Account Not Found"))</f>
        <v/>
      </c>
      <c r="C206" s="42" t="str">
        <f>IF(A206="","",IFERROR(VLOOKUP(A206,DB_Customers!$A:$N,14,0),""))</f>
        <v/>
      </c>
      <c r="D206" s="43" t="str">
        <f t="shared" ca="1" si="18"/>
        <v/>
      </c>
      <c r="E206" s="50"/>
      <c r="F206" s="11"/>
      <c r="G206" s="52" t="str">
        <f t="shared" si="19"/>
        <v/>
      </c>
      <c r="H206" s="13"/>
      <c r="I206" s="37"/>
      <c r="J206" s="45" t="str">
        <f>IF(AND(A206&lt;&gt;"",E206&lt;&gt;""),IF(I206="","⚠️ Enter Code",IF(IFERROR(VLOOKUP(H206,DB_Agents!$B:$I,8,0),"")=I206,IF(C206&gt;=E206,"Successful","Unsuccessful"),"🔒 BLOCKED — Wrong Code")),"—")</f>
        <v>—</v>
      </c>
      <c r="K206" s="46" t="str">
        <f t="shared" ca="1" si="20"/>
        <v>—</v>
      </c>
      <c r="L206" s="47"/>
    </row>
    <row r="207" spans="1:12" x14ac:dyDescent="0.25">
      <c r="A207" s="32"/>
      <c r="B207" s="7" t="str">
        <f>IF(A207="","",IFERROR(VLOOKUP(A207,DB_Customers!$A:$D,4,0),"❌ Account Not Found"))</f>
        <v/>
      </c>
      <c r="C207" s="33" t="str">
        <f>IF(A207="","",IFERROR(VLOOKUP(A207,DB_Customers!$A:$N,14,0),""))</f>
        <v/>
      </c>
      <c r="D207" s="34" t="str">
        <f t="shared" ca="1" si="18"/>
        <v/>
      </c>
      <c r="E207" s="50"/>
      <c r="F207" s="7"/>
      <c r="G207" s="51" t="str">
        <f t="shared" si="19"/>
        <v/>
      </c>
      <c r="H207" s="9"/>
      <c r="I207" s="37"/>
      <c r="J207" s="38" t="str">
        <f>IF(AND(A207&lt;&gt;"",E207&lt;&gt;""),IF(I207="","⚠️ Enter Code",IF(IFERROR(VLOOKUP(H207,DB_Agents!$B:$I,8,0),"")=I207,IF(C207&gt;=E207,"Successful","Unsuccessful"),"🔒 BLOCKED — Wrong Code")),"—")</f>
        <v>—</v>
      </c>
      <c r="K207" s="39" t="str">
        <f t="shared" ca="1" si="20"/>
        <v>—</v>
      </c>
      <c r="L207" s="40"/>
    </row>
    <row r="208" spans="1:12" x14ac:dyDescent="0.25">
      <c r="A208" s="41"/>
      <c r="B208" s="11" t="str">
        <f>IF(A208="","",IFERROR(VLOOKUP(A208,DB_Customers!$A:$D,4,0),"❌ Account Not Found"))</f>
        <v/>
      </c>
      <c r="C208" s="42" t="str">
        <f>IF(A208="","",IFERROR(VLOOKUP(A208,DB_Customers!$A:$N,14,0),""))</f>
        <v/>
      </c>
      <c r="D208" s="43" t="str">
        <f t="shared" ca="1" si="18"/>
        <v/>
      </c>
      <c r="E208" s="50"/>
      <c r="F208" s="11"/>
      <c r="G208" s="52" t="str">
        <f t="shared" si="19"/>
        <v/>
      </c>
      <c r="H208" s="13"/>
      <c r="I208" s="37"/>
      <c r="J208" s="45" t="str">
        <f>IF(AND(A208&lt;&gt;"",E208&lt;&gt;""),IF(I208="","⚠️ Enter Code",IF(IFERROR(VLOOKUP(H208,DB_Agents!$B:$I,8,0),"")=I208,IF(C208&gt;=E208,"Successful","Unsuccessful"),"🔒 BLOCKED — Wrong Code")),"—")</f>
        <v>—</v>
      </c>
      <c r="K208" s="46" t="str">
        <f t="shared" ca="1" si="20"/>
        <v>—</v>
      </c>
      <c r="L208" s="47"/>
    </row>
  </sheetData>
  <mergeCells count="8">
    <mergeCell ref="A5:M5"/>
    <mergeCell ref="A7:M7"/>
    <mergeCell ref="A1:M1"/>
    <mergeCell ref="A2:M2"/>
    <mergeCell ref="A3:C3"/>
    <mergeCell ref="D3:F3"/>
    <mergeCell ref="A4:C4"/>
    <mergeCell ref="D4:F4"/>
  </mergeCells>
  <conditionalFormatting sqref="I9:I208">
    <cfRule type="cellIs" dxfId="9" priority="2" operator="equal">
      <formula>"Successful"</formula>
    </cfRule>
    <cfRule type="cellIs" dxfId="8" priority="3" operator="equal">
      <formula>"Unsuccessful"</formula>
    </cfRule>
  </conditionalFormatting>
  <conditionalFormatting sqref="A9:K208">
    <cfRule type="expression" dxfId="7" priority="4">
      <formula>$I9="Unsuccessful"</formula>
    </cfRule>
  </conditionalFormatting>
  <conditionalFormatting sqref="G9:G208">
    <cfRule type="cellIs" dxfId="6" priority="5" operator="lessThan">
      <formula>0</formula>
    </cfRule>
  </conditionalFormatting>
  <dataValidations count="1">
    <dataValidation type="list" sqref="H9:H208" xr:uid="{00000000-0002-0000-2000-000000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E67E22"/>
  </sheetPr>
  <dimension ref="A1:N213"/>
  <sheetViews>
    <sheetView zoomScaleNormal="100" workbookViewId="0">
      <pane ySplit="13" topLeftCell="A14" activePane="bottomLeft" state="frozen"/>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5" customWidth="1"/>
    <col min="11" max="11" width="14" customWidth="1"/>
    <col min="12" max="12" width="12" customWidth="1"/>
    <col min="13" max="13" width="14" customWidth="1"/>
  </cols>
  <sheetData>
    <row r="1" spans="1:14" ht="31.5" customHeight="1" x14ac:dyDescent="0.25">
      <c r="A1" s="174" t="s">
        <v>197</v>
      </c>
      <c r="B1" s="174"/>
      <c r="C1" s="174"/>
      <c r="D1" s="174"/>
      <c r="E1" s="174"/>
      <c r="F1" s="174"/>
      <c r="G1" s="174"/>
      <c r="H1" s="174"/>
      <c r="I1" s="174"/>
      <c r="J1" s="174"/>
      <c r="K1" s="174"/>
      <c r="L1" s="174"/>
      <c r="M1" s="174"/>
      <c r="N1" s="174"/>
    </row>
    <row r="2" spans="1:14" ht="19.5" customHeight="1" x14ac:dyDescent="0.25">
      <c r="A2" s="175" t="s">
        <v>147</v>
      </c>
      <c r="B2" s="175"/>
      <c r="C2" s="175"/>
      <c r="D2" s="175"/>
      <c r="E2" s="175"/>
      <c r="F2" s="175"/>
      <c r="G2" s="175"/>
      <c r="H2" s="175"/>
      <c r="I2" s="175"/>
      <c r="J2" s="175"/>
      <c r="K2" s="175"/>
      <c r="L2" s="175"/>
      <c r="M2" s="175"/>
      <c r="N2" s="175"/>
    </row>
    <row r="4" spans="1:14" ht="21.75" customHeight="1" x14ac:dyDescent="0.25">
      <c r="A4" s="176" t="s">
        <v>148</v>
      </c>
      <c r="B4" s="176"/>
      <c r="C4" s="176"/>
      <c r="D4" s="176"/>
    </row>
    <row r="5" spans="1:14" ht="19.5" customHeight="1" x14ac:dyDescent="0.25">
      <c r="A5" s="54" t="s">
        <v>149</v>
      </c>
      <c r="B5" s="177"/>
      <c r="C5" s="177"/>
      <c r="D5" s="177"/>
    </row>
    <row r="6" spans="1:14" ht="19.5" customHeight="1" x14ac:dyDescent="0.25">
      <c r="A6" s="54" t="s">
        <v>150</v>
      </c>
      <c r="B6" s="177"/>
      <c r="C6" s="177"/>
      <c r="D6" s="177"/>
    </row>
    <row r="7" spans="1:14" ht="19.5" customHeight="1" x14ac:dyDescent="0.25">
      <c r="A7" s="55" t="s">
        <v>151</v>
      </c>
      <c r="B7" s="170">
        <v>2.5</v>
      </c>
      <c r="C7" s="170"/>
      <c r="D7" s="170"/>
    </row>
    <row r="8" spans="1:14" ht="19.5" customHeight="1" x14ac:dyDescent="0.25">
      <c r="A8" s="55" t="s">
        <v>152</v>
      </c>
      <c r="B8" s="171" t="str">
        <f>IF(B5="","",B5*B7/100*B6)</f>
        <v/>
      </c>
      <c r="C8" s="171"/>
      <c r="D8" s="171"/>
    </row>
    <row r="9" spans="1:14" ht="19.5" customHeight="1" x14ac:dyDescent="0.25">
      <c r="A9" s="55"/>
      <c r="B9" s="172" t="str">
        <f>IF(B5="","",B5+(B5*B7/100*B6))</f>
        <v/>
      </c>
      <c r="C9" s="172"/>
      <c r="D9" s="172"/>
    </row>
    <row r="10" spans="1:14" ht="19.5" customHeight="1" x14ac:dyDescent="0.25">
      <c r="A10" s="55"/>
      <c r="B10" s="172" t="str">
        <f>IFERROR(B9/B6,"")</f>
        <v/>
      </c>
      <c r="C10" s="172"/>
      <c r="D10" s="172"/>
    </row>
    <row r="11" spans="1:14" ht="7.5" customHeight="1" x14ac:dyDescent="0.25"/>
    <row r="12" spans="1:14" ht="21.75" customHeight="1" x14ac:dyDescent="0.25">
      <c r="A12" s="173"/>
      <c r="B12" s="173"/>
      <c r="C12" s="173"/>
      <c r="D12" s="173"/>
      <c r="E12" s="173"/>
      <c r="F12" s="173"/>
      <c r="G12" s="173"/>
      <c r="H12" s="173"/>
      <c r="I12" s="173"/>
      <c r="J12" s="173"/>
      <c r="K12" s="173"/>
      <c r="L12" s="173"/>
      <c r="M12" s="173"/>
      <c r="N12" s="173"/>
    </row>
    <row r="13" spans="1:14" ht="19.5" customHeight="1" x14ac:dyDescent="0.25">
      <c r="A13" s="56"/>
      <c r="B13" s="56"/>
      <c r="C13" s="56"/>
      <c r="D13" s="56"/>
      <c r="E13" s="56"/>
      <c r="F13" s="56"/>
      <c r="G13" s="56"/>
      <c r="H13" s="56"/>
      <c r="I13" s="56"/>
      <c r="J13" s="56"/>
      <c r="K13" s="56"/>
      <c r="L13" s="56" t="s">
        <v>32</v>
      </c>
      <c r="M13" s="31"/>
      <c r="N13" s="56"/>
    </row>
    <row r="14" spans="1:14" x14ac:dyDescent="0.25">
      <c r="A14" s="45" t="str">
        <f t="shared" ref="A14:A45" si="0">IF(B14="","",IF(C14="❌ Account Not Found","INVALID","LN"&amp;TEXT(D14,"YYYYMMDD")&amp;TEXT(ROW()-13,"0000")))</f>
        <v/>
      </c>
      <c r="B14" s="41"/>
      <c r="C14" s="11" t="str">
        <f>IF(B14="","",IFERROR(VLOOKUP(B14,DB_Customers!$A:$D,4,0),"❌ Account Not Found"))</f>
        <v/>
      </c>
      <c r="D14" s="43" t="str">
        <f t="shared" ref="D14:D45" ca="1" si="1">IF(B14="","",TODAY())</f>
        <v/>
      </c>
      <c r="E14" s="57"/>
      <c r="F14" s="11"/>
      <c r="G14" s="58"/>
      <c r="H14" s="59"/>
      <c r="I14" s="60" t="str">
        <f t="shared" ref="I14:I45" si="2">IF(E14="","",E14+(E14*H14/100*G14))</f>
        <v/>
      </c>
      <c r="J14" s="61" t="str">
        <f t="shared" ref="J14:J45" si="3">IFERROR(I14/G14,"")</f>
        <v/>
      </c>
      <c r="K14" s="62" t="str">
        <f>IF(B14="","Pending",IF(M14="","⚠️ Enter Code",IF(IFERROR(VLOOKUP(L14,DB_Agents!$B:$I,8,0),"")=M14,"Pending","🔒 BLOCKED — Wrong Code")))</f>
        <v>Pending</v>
      </c>
      <c r="L14" s="13" t="s">
        <v>50</v>
      </c>
      <c r="M14" s="37"/>
      <c r="N14" s="47"/>
    </row>
    <row r="15" spans="1:14" x14ac:dyDescent="0.25">
      <c r="A15" s="38" t="str">
        <f t="shared" si="0"/>
        <v/>
      </c>
      <c r="B15" s="32"/>
      <c r="C15" s="7" t="str">
        <f>IF(B15="","",IFERROR(VLOOKUP(B15,DB_Customers!$A:$D,4,0),"❌ Account Not Found"))</f>
        <v/>
      </c>
      <c r="D15" s="34" t="str">
        <f t="shared" ca="1" si="1"/>
        <v/>
      </c>
      <c r="E15" s="57"/>
      <c r="F15" s="7"/>
      <c r="G15" s="63"/>
      <c r="H15" s="64"/>
      <c r="I15" s="60" t="str">
        <f t="shared" si="2"/>
        <v/>
      </c>
      <c r="J15" s="65" t="str">
        <f t="shared" si="3"/>
        <v/>
      </c>
      <c r="K15" s="66" t="str">
        <f>IF(B15="","Pending",IF(M15="","⚠️ Enter Code",IF(IFERROR(VLOOKUP(L15,DB_Agents!$B:$I,8,0),"")=M15,"Pending","🔒 BLOCKED — Wrong Code")))</f>
        <v>Pending</v>
      </c>
      <c r="L15" s="9" t="s">
        <v>50</v>
      </c>
      <c r="M15" s="37"/>
      <c r="N15" s="40"/>
    </row>
    <row r="16" spans="1:14" x14ac:dyDescent="0.25">
      <c r="A16" s="45" t="str">
        <f t="shared" si="0"/>
        <v/>
      </c>
      <c r="B16" s="41"/>
      <c r="C16" s="11" t="str">
        <f>IF(B16="","",IFERROR(VLOOKUP(B16,DB_Customers!$A:$D,4,0),"❌ Account Not Found"))</f>
        <v/>
      </c>
      <c r="D16" s="43" t="str">
        <f t="shared" ca="1" si="1"/>
        <v/>
      </c>
      <c r="E16" s="57"/>
      <c r="F16" s="11"/>
      <c r="G16" s="58"/>
      <c r="H16" s="59"/>
      <c r="I16" s="60" t="str">
        <f t="shared" si="2"/>
        <v/>
      </c>
      <c r="J16" s="61" t="str">
        <f t="shared" si="3"/>
        <v/>
      </c>
      <c r="K16" s="62" t="str">
        <f>IF(B16="","Pending",IF(M16="","⚠️ Enter Code",IF(IFERROR(VLOOKUP(L16,DB_Agents!$B:$I,8,0),"")=M16,"Pending","🔒 BLOCKED — Wrong Code")))</f>
        <v>Pending</v>
      </c>
      <c r="L16" s="13" t="s">
        <v>50</v>
      </c>
      <c r="M16" s="37"/>
      <c r="N16" s="47"/>
    </row>
    <row r="17" spans="1:14" x14ac:dyDescent="0.25">
      <c r="A17" s="38" t="str">
        <f t="shared" si="0"/>
        <v/>
      </c>
      <c r="B17" s="32"/>
      <c r="C17" s="7" t="str">
        <f>IF(B17="","",IFERROR(VLOOKUP(B17,DB_Customers!$A:$D,4,0),"❌ Account Not Found"))</f>
        <v/>
      </c>
      <c r="D17" s="34" t="str">
        <f t="shared" ca="1" si="1"/>
        <v/>
      </c>
      <c r="E17" s="57"/>
      <c r="F17" s="7"/>
      <c r="G17" s="63"/>
      <c r="H17" s="64"/>
      <c r="I17" s="60" t="str">
        <f t="shared" si="2"/>
        <v/>
      </c>
      <c r="J17" s="65" t="str">
        <f t="shared" si="3"/>
        <v/>
      </c>
      <c r="K17" s="66" t="str">
        <f>IF(B17="","Pending",IF(M17="","⚠️ Enter Code",IF(IFERROR(VLOOKUP(L17,DB_Agents!$B:$I,8,0),"")=M17,"Pending","🔒 BLOCKED — Wrong Code")))</f>
        <v>Pending</v>
      </c>
      <c r="L17" s="9" t="s">
        <v>50</v>
      </c>
      <c r="M17" s="37"/>
      <c r="N17" s="40"/>
    </row>
    <row r="18" spans="1:14" x14ac:dyDescent="0.25">
      <c r="A18" s="45" t="str">
        <f t="shared" si="0"/>
        <v/>
      </c>
      <c r="B18" s="41"/>
      <c r="C18" s="11" t="str">
        <f>IF(B18="","",IFERROR(VLOOKUP(B18,DB_Customers!$A:$D,4,0),"❌ Account Not Found"))</f>
        <v/>
      </c>
      <c r="D18" s="43" t="str">
        <f t="shared" ca="1" si="1"/>
        <v/>
      </c>
      <c r="E18" s="57"/>
      <c r="F18" s="11"/>
      <c r="G18" s="58"/>
      <c r="H18" s="59"/>
      <c r="I18" s="60" t="str">
        <f t="shared" si="2"/>
        <v/>
      </c>
      <c r="J18" s="61" t="str">
        <f t="shared" si="3"/>
        <v/>
      </c>
      <c r="K18" s="62" t="str">
        <f>IF(B18="","Pending",IF(M18="","⚠️ Enter Code",IF(IFERROR(VLOOKUP(L18,DB_Agents!$B:$I,8,0),"")=M18,"Pending","🔒 BLOCKED — Wrong Code")))</f>
        <v>Pending</v>
      </c>
      <c r="L18" s="13" t="s">
        <v>50</v>
      </c>
      <c r="M18" s="37"/>
      <c r="N18" s="47"/>
    </row>
    <row r="19" spans="1:14" x14ac:dyDescent="0.25">
      <c r="A19" s="38" t="str">
        <f t="shared" si="0"/>
        <v/>
      </c>
      <c r="B19" s="32"/>
      <c r="C19" s="7" t="str">
        <f>IF(B19="","",IFERROR(VLOOKUP(B19,DB_Customers!$A:$D,4,0),"❌ Account Not Found"))</f>
        <v/>
      </c>
      <c r="D19" s="34" t="str">
        <f t="shared" ca="1" si="1"/>
        <v/>
      </c>
      <c r="E19" s="57"/>
      <c r="F19" s="7"/>
      <c r="G19" s="63"/>
      <c r="H19" s="64"/>
      <c r="I19" s="60" t="str">
        <f t="shared" si="2"/>
        <v/>
      </c>
      <c r="J19" s="65" t="str">
        <f t="shared" si="3"/>
        <v/>
      </c>
      <c r="K19" s="66" t="str">
        <f>IF(B19="","Pending",IF(M19="","⚠️ Enter Code",IF(IFERROR(VLOOKUP(L19,DB_Agents!$B:$I,8,0),"")=M19,"Pending","🔒 BLOCKED — Wrong Code")))</f>
        <v>Pending</v>
      </c>
      <c r="L19" s="9"/>
      <c r="M19" s="37"/>
      <c r="N19" s="40"/>
    </row>
    <row r="20" spans="1:14" x14ac:dyDescent="0.25">
      <c r="A20" s="45" t="str">
        <f t="shared" si="0"/>
        <v/>
      </c>
      <c r="B20" s="41"/>
      <c r="C20" s="11" t="str">
        <f>IF(B20="","",IFERROR(VLOOKUP(B20,DB_Customers!$A:$D,4,0),"❌ Account Not Found"))</f>
        <v/>
      </c>
      <c r="D20" s="43" t="str">
        <f t="shared" ca="1" si="1"/>
        <v/>
      </c>
      <c r="E20" s="57"/>
      <c r="F20" s="11"/>
      <c r="G20" s="58"/>
      <c r="H20" s="59"/>
      <c r="I20" s="60" t="str">
        <f t="shared" si="2"/>
        <v/>
      </c>
      <c r="J20" s="61" t="str">
        <f t="shared" si="3"/>
        <v/>
      </c>
      <c r="K20" s="62" t="str">
        <f>IF(B20="","Pending",IF(M20="","⚠️ Enter Code",IF(IFERROR(VLOOKUP(L20,DB_Agents!$B:$I,8,0),"")=M20,"Pending","🔒 BLOCKED — Wrong Code")))</f>
        <v>Pending</v>
      </c>
      <c r="L20" s="13"/>
      <c r="M20" s="37"/>
      <c r="N20" s="47"/>
    </row>
    <row r="21" spans="1:14" x14ac:dyDescent="0.25">
      <c r="A21" s="38" t="str">
        <f t="shared" si="0"/>
        <v/>
      </c>
      <c r="B21" s="32"/>
      <c r="C21" s="7" t="str">
        <f>IF(B21="","",IFERROR(VLOOKUP(B21,DB_Customers!$A:$D,4,0),"❌ Account Not Found"))</f>
        <v/>
      </c>
      <c r="D21" s="34" t="str">
        <f t="shared" ca="1" si="1"/>
        <v/>
      </c>
      <c r="E21" s="57"/>
      <c r="F21" s="7"/>
      <c r="G21" s="63"/>
      <c r="H21" s="64"/>
      <c r="I21" s="60" t="str">
        <f t="shared" si="2"/>
        <v/>
      </c>
      <c r="J21" s="65" t="str">
        <f t="shared" si="3"/>
        <v/>
      </c>
      <c r="K21" s="66" t="str">
        <f>IF(B21="","Pending",IF(M21="","⚠️ Enter Code",IF(IFERROR(VLOOKUP(L21,DB_Agents!$B:$I,8,0),"")=M21,"Pending","🔒 BLOCKED — Wrong Code")))</f>
        <v>Pending</v>
      </c>
      <c r="L21" s="9"/>
      <c r="M21" s="37"/>
      <c r="N21" s="40"/>
    </row>
    <row r="22" spans="1:14" x14ac:dyDescent="0.25">
      <c r="A22" s="45" t="str">
        <f t="shared" si="0"/>
        <v/>
      </c>
      <c r="B22" s="41"/>
      <c r="C22" s="11" t="str">
        <f>IF(B22="","",IFERROR(VLOOKUP(B22,DB_Customers!$A:$D,4,0),"❌ Account Not Found"))</f>
        <v/>
      </c>
      <c r="D22" s="43" t="str">
        <f t="shared" ca="1" si="1"/>
        <v/>
      </c>
      <c r="E22" s="57"/>
      <c r="F22" s="11"/>
      <c r="G22" s="58"/>
      <c r="H22" s="59"/>
      <c r="I22" s="60" t="str">
        <f t="shared" si="2"/>
        <v/>
      </c>
      <c r="J22" s="61" t="str">
        <f t="shared" si="3"/>
        <v/>
      </c>
      <c r="K22" s="62" t="str">
        <f>IF(B22="","Pending",IF(M22="","⚠️ Enter Code",IF(IFERROR(VLOOKUP(L22,DB_Agents!$B:$I,8,0),"")=M22,"Pending","🔒 BLOCKED — Wrong Code")))</f>
        <v>Pending</v>
      </c>
      <c r="L22" s="13"/>
      <c r="M22" s="37"/>
      <c r="N22" s="47"/>
    </row>
    <row r="23" spans="1:14" x14ac:dyDescent="0.25">
      <c r="A23" s="38" t="str">
        <f t="shared" si="0"/>
        <v/>
      </c>
      <c r="B23" s="32"/>
      <c r="C23" s="7" t="str">
        <f>IF(B23="","",IFERROR(VLOOKUP(B23,DB_Customers!$A:$D,4,0),"❌ Account Not Found"))</f>
        <v/>
      </c>
      <c r="D23" s="34" t="str">
        <f t="shared" ca="1" si="1"/>
        <v/>
      </c>
      <c r="E23" s="57"/>
      <c r="F23" s="7"/>
      <c r="G23" s="63"/>
      <c r="H23" s="64"/>
      <c r="I23" s="60" t="str">
        <f t="shared" si="2"/>
        <v/>
      </c>
      <c r="J23" s="65" t="str">
        <f t="shared" si="3"/>
        <v/>
      </c>
      <c r="K23" s="66" t="str">
        <f>IF(B23="","Pending",IF(M23="","⚠️ Enter Code",IF(IFERROR(VLOOKUP(L23,DB_Agents!$B:$I,8,0),"")=M23,"Pending","🔒 BLOCKED — Wrong Code")))</f>
        <v>Pending</v>
      </c>
      <c r="L23" s="9"/>
      <c r="M23" s="37"/>
      <c r="N23" s="40"/>
    </row>
    <row r="24" spans="1:14" x14ac:dyDescent="0.25">
      <c r="A24" s="45" t="str">
        <f t="shared" si="0"/>
        <v/>
      </c>
      <c r="B24" s="41"/>
      <c r="C24" s="11" t="str">
        <f>IF(B24="","",IFERROR(VLOOKUP(B24,DB_Customers!$A:$D,4,0),"❌ Account Not Found"))</f>
        <v/>
      </c>
      <c r="D24" s="43" t="str">
        <f t="shared" ca="1" si="1"/>
        <v/>
      </c>
      <c r="E24" s="57"/>
      <c r="F24" s="11"/>
      <c r="G24" s="58"/>
      <c r="H24" s="59"/>
      <c r="I24" s="60" t="str">
        <f t="shared" si="2"/>
        <v/>
      </c>
      <c r="J24" s="61" t="str">
        <f t="shared" si="3"/>
        <v/>
      </c>
      <c r="K24" s="62" t="str">
        <f>IF(B24="","Pending",IF(M24="","⚠️ Enter Code",IF(IFERROR(VLOOKUP(L24,DB_Agents!$B:$I,8,0),"")=M24,"Pending","🔒 BLOCKED — Wrong Code")))</f>
        <v>Pending</v>
      </c>
      <c r="L24" s="13"/>
      <c r="M24" s="37"/>
      <c r="N24" s="47"/>
    </row>
    <row r="25" spans="1:14" x14ac:dyDescent="0.25">
      <c r="A25" s="38" t="str">
        <f t="shared" si="0"/>
        <v/>
      </c>
      <c r="B25" s="32"/>
      <c r="C25" s="7" t="str">
        <f>IF(B25="","",IFERROR(VLOOKUP(B25,DB_Customers!$A:$D,4,0),"❌ Account Not Found"))</f>
        <v/>
      </c>
      <c r="D25" s="34" t="str">
        <f t="shared" ca="1" si="1"/>
        <v/>
      </c>
      <c r="E25" s="57"/>
      <c r="F25" s="7"/>
      <c r="G25" s="63"/>
      <c r="H25" s="64"/>
      <c r="I25" s="60" t="str">
        <f t="shared" si="2"/>
        <v/>
      </c>
      <c r="J25" s="65" t="str">
        <f t="shared" si="3"/>
        <v/>
      </c>
      <c r="K25" s="66" t="str">
        <f>IF(B25="","Pending",IF(M25="","⚠️ Enter Code",IF(IFERROR(VLOOKUP(L25,DB_Agents!$B:$I,8,0),"")=M25,"Pending","🔒 BLOCKED — Wrong Code")))</f>
        <v>Pending</v>
      </c>
      <c r="L25" s="9"/>
      <c r="M25" s="37"/>
      <c r="N25" s="40"/>
    </row>
    <row r="26" spans="1:14" x14ac:dyDescent="0.25">
      <c r="A26" s="45" t="str">
        <f t="shared" si="0"/>
        <v/>
      </c>
      <c r="B26" s="41"/>
      <c r="C26" s="11" t="str">
        <f>IF(B26="","",IFERROR(VLOOKUP(B26,DB_Customers!$A:$D,4,0),"❌ Account Not Found"))</f>
        <v/>
      </c>
      <c r="D26" s="43" t="str">
        <f t="shared" ca="1" si="1"/>
        <v/>
      </c>
      <c r="E26" s="57"/>
      <c r="F26" s="11"/>
      <c r="G26" s="58"/>
      <c r="H26" s="59"/>
      <c r="I26" s="60" t="str">
        <f t="shared" si="2"/>
        <v/>
      </c>
      <c r="J26" s="61" t="str">
        <f t="shared" si="3"/>
        <v/>
      </c>
      <c r="K26" s="62" t="str">
        <f>IF(B26="","Pending",IF(M26="","⚠️ Enter Code",IF(IFERROR(VLOOKUP(L26,DB_Agents!$B:$I,8,0),"")=M26,"Pending","🔒 BLOCKED — Wrong Code")))</f>
        <v>Pending</v>
      </c>
      <c r="L26" s="13"/>
      <c r="M26" s="37"/>
      <c r="N26" s="47"/>
    </row>
    <row r="27" spans="1:14" x14ac:dyDescent="0.25">
      <c r="A27" s="38" t="str">
        <f t="shared" si="0"/>
        <v/>
      </c>
      <c r="B27" s="32"/>
      <c r="C27" s="7" t="str">
        <f>IF(B27="","",IFERROR(VLOOKUP(B27,DB_Customers!$A:$D,4,0),"❌ Account Not Found"))</f>
        <v/>
      </c>
      <c r="D27" s="34" t="str">
        <f t="shared" ca="1" si="1"/>
        <v/>
      </c>
      <c r="E27" s="57"/>
      <c r="F27" s="7"/>
      <c r="G27" s="63"/>
      <c r="H27" s="64"/>
      <c r="I27" s="60" t="str">
        <f t="shared" si="2"/>
        <v/>
      </c>
      <c r="J27" s="65" t="str">
        <f t="shared" si="3"/>
        <v/>
      </c>
      <c r="K27" s="66" t="str">
        <f>IF(B27="","Pending",IF(M27="","⚠️ Enter Code",IF(IFERROR(VLOOKUP(L27,DB_Agents!$B:$I,8,0),"")=M27,"Pending","🔒 BLOCKED — Wrong Code")))</f>
        <v>Pending</v>
      </c>
      <c r="L27" s="9"/>
      <c r="M27" s="37"/>
      <c r="N27" s="40"/>
    </row>
    <row r="28" spans="1:14" x14ac:dyDescent="0.25">
      <c r="A28" s="45" t="str">
        <f t="shared" si="0"/>
        <v/>
      </c>
      <c r="B28" s="41"/>
      <c r="C28" s="11" t="str">
        <f>IF(B28="","",IFERROR(VLOOKUP(B28,DB_Customers!$A:$D,4,0),"❌ Account Not Found"))</f>
        <v/>
      </c>
      <c r="D28" s="43" t="str">
        <f t="shared" ca="1" si="1"/>
        <v/>
      </c>
      <c r="E28" s="57"/>
      <c r="F28" s="11"/>
      <c r="G28" s="58"/>
      <c r="H28" s="59"/>
      <c r="I28" s="60" t="str">
        <f t="shared" si="2"/>
        <v/>
      </c>
      <c r="J28" s="61" t="str">
        <f t="shared" si="3"/>
        <v/>
      </c>
      <c r="K28" s="62" t="str">
        <f>IF(B28="","Pending",IF(M28="","⚠️ Enter Code",IF(IFERROR(VLOOKUP(L28,DB_Agents!$B:$I,8,0),"")=M28,"Pending","🔒 BLOCKED — Wrong Code")))</f>
        <v>Pending</v>
      </c>
      <c r="L28" s="13"/>
      <c r="M28" s="37"/>
      <c r="N28" s="47"/>
    </row>
    <row r="29" spans="1:14" x14ac:dyDescent="0.25">
      <c r="A29" s="38" t="str">
        <f t="shared" si="0"/>
        <v/>
      </c>
      <c r="B29" s="32"/>
      <c r="C29" s="7" t="str">
        <f>IF(B29="","",IFERROR(VLOOKUP(B29,DB_Customers!$A:$D,4,0),"❌ Account Not Found"))</f>
        <v/>
      </c>
      <c r="D29" s="34" t="str">
        <f t="shared" ca="1" si="1"/>
        <v/>
      </c>
      <c r="E29" s="57"/>
      <c r="F29" s="7"/>
      <c r="G29" s="63"/>
      <c r="H29" s="64"/>
      <c r="I29" s="60" t="str">
        <f t="shared" si="2"/>
        <v/>
      </c>
      <c r="J29" s="65" t="str">
        <f t="shared" si="3"/>
        <v/>
      </c>
      <c r="K29" s="66" t="str">
        <f>IF(B29="","Pending",IF(M29="","⚠️ Enter Code",IF(IFERROR(VLOOKUP(L29,DB_Agents!$B:$I,8,0),"")=M29,"Pending","🔒 BLOCKED — Wrong Code")))</f>
        <v>Pending</v>
      </c>
      <c r="L29" s="9"/>
      <c r="M29" s="37"/>
      <c r="N29" s="40"/>
    </row>
    <row r="30" spans="1:14" x14ac:dyDescent="0.25">
      <c r="A30" s="45" t="str">
        <f t="shared" si="0"/>
        <v/>
      </c>
      <c r="B30" s="41"/>
      <c r="C30" s="11" t="str">
        <f>IF(B30="","",IFERROR(VLOOKUP(B30,DB_Customers!$A:$D,4,0),"❌ Account Not Found"))</f>
        <v/>
      </c>
      <c r="D30" s="43" t="str">
        <f t="shared" ca="1" si="1"/>
        <v/>
      </c>
      <c r="E30" s="57"/>
      <c r="F30" s="11"/>
      <c r="G30" s="58"/>
      <c r="H30" s="59"/>
      <c r="I30" s="60" t="str">
        <f t="shared" si="2"/>
        <v/>
      </c>
      <c r="J30" s="61" t="str">
        <f t="shared" si="3"/>
        <v/>
      </c>
      <c r="K30" s="62" t="str">
        <f>IF(B30="","Pending",IF(M30="","⚠️ Enter Code",IF(IFERROR(VLOOKUP(L30,DB_Agents!$B:$I,8,0),"")=M30,"Pending","🔒 BLOCKED — Wrong Code")))</f>
        <v>Pending</v>
      </c>
      <c r="L30" s="13"/>
      <c r="M30" s="37"/>
      <c r="N30" s="47"/>
    </row>
    <row r="31" spans="1:14" x14ac:dyDescent="0.25">
      <c r="A31" s="38" t="str">
        <f t="shared" si="0"/>
        <v/>
      </c>
      <c r="B31" s="32"/>
      <c r="C31" s="7" t="str">
        <f>IF(B31="","",IFERROR(VLOOKUP(B31,DB_Customers!$A:$D,4,0),"❌ Account Not Found"))</f>
        <v/>
      </c>
      <c r="D31" s="34" t="str">
        <f t="shared" ca="1" si="1"/>
        <v/>
      </c>
      <c r="E31" s="57"/>
      <c r="F31" s="7"/>
      <c r="G31" s="63"/>
      <c r="H31" s="64"/>
      <c r="I31" s="60" t="str">
        <f t="shared" si="2"/>
        <v/>
      </c>
      <c r="J31" s="65" t="str">
        <f t="shared" si="3"/>
        <v/>
      </c>
      <c r="K31" s="66" t="str">
        <f>IF(B31="","Pending",IF(M31="","⚠️ Enter Code",IF(IFERROR(VLOOKUP(L31,DB_Agents!$B:$I,8,0),"")=M31,"Pending","🔒 BLOCKED — Wrong Code")))</f>
        <v>Pending</v>
      </c>
      <c r="L31" s="9"/>
      <c r="M31" s="37"/>
      <c r="N31" s="40"/>
    </row>
    <row r="32" spans="1:14" x14ac:dyDescent="0.25">
      <c r="A32" s="45" t="str">
        <f t="shared" si="0"/>
        <v/>
      </c>
      <c r="B32" s="41"/>
      <c r="C32" s="11" t="str">
        <f>IF(B32="","",IFERROR(VLOOKUP(B32,DB_Customers!$A:$D,4,0),"❌ Account Not Found"))</f>
        <v/>
      </c>
      <c r="D32" s="43" t="str">
        <f t="shared" ca="1" si="1"/>
        <v/>
      </c>
      <c r="E32" s="57"/>
      <c r="F32" s="11"/>
      <c r="G32" s="58"/>
      <c r="H32" s="59"/>
      <c r="I32" s="60" t="str">
        <f t="shared" si="2"/>
        <v/>
      </c>
      <c r="J32" s="61" t="str">
        <f t="shared" si="3"/>
        <v/>
      </c>
      <c r="K32" s="62" t="str">
        <f>IF(B32="","Pending",IF(M32="","⚠️ Enter Code",IF(IFERROR(VLOOKUP(L32,DB_Agents!$B:$I,8,0),"")=M32,"Pending","🔒 BLOCKED — Wrong Code")))</f>
        <v>Pending</v>
      </c>
      <c r="L32" s="13"/>
      <c r="M32" s="37"/>
      <c r="N32" s="47"/>
    </row>
    <row r="33" spans="1:14" x14ac:dyDescent="0.25">
      <c r="A33" s="38" t="str">
        <f t="shared" si="0"/>
        <v/>
      </c>
      <c r="B33" s="32"/>
      <c r="C33" s="7" t="str">
        <f>IF(B33="","",IFERROR(VLOOKUP(B33,DB_Customers!$A:$D,4,0),"❌ Account Not Found"))</f>
        <v/>
      </c>
      <c r="D33" s="34" t="str">
        <f t="shared" ca="1" si="1"/>
        <v/>
      </c>
      <c r="E33" s="57"/>
      <c r="F33" s="7"/>
      <c r="G33" s="63"/>
      <c r="H33" s="64"/>
      <c r="I33" s="60" t="str">
        <f t="shared" si="2"/>
        <v/>
      </c>
      <c r="J33" s="65" t="str">
        <f t="shared" si="3"/>
        <v/>
      </c>
      <c r="K33" s="66" t="str">
        <f>IF(B33="","Pending",IF(M33="","⚠️ Enter Code",IF(IFERROR(VLOOKUP(L33,DB_Agents!$B:$I,8,0),"")=M33,"Pending","🔒 BLOCKED — Wrong Code")))</f>
        <v>Pending</v>
      </c>
      <c r="L33" s="9"/>
      <c r="M33" s="37"/>
      <c r="N33" s="40"/>
    </row>
    <row r="34" spans="1:14" x14ac:dyDescent="0.25">
      <c r="A34" s="45" t="str">
        <f t="shared" si="0"/>
        <v/>
      </c>
      <c r="B34" s="41"/>
      <c r="C34" s="11" t="str">
        <f>IF(B34="","",IFERROR(VLOOKUP(B34,DB_Customers!$A:$D,4,0),"❌ Account Not Found"))</f>
        <v/>
      </c>
      <c r="D34" s="43" t="str">
        <f t="shared" ca="1" si="1"/>
        <v/>
      </c>
      <c r="E34" s="57"/>
      <c r="F34" s="11"/>
      <c r="G34" s="58"/>
      <c r="H34" s="59"/>
      <c r="I34" s="60" t="str">
        <f t="shared" si="2"/>
        <v/>
      </c>
      <c r="J34" s="61" t="str">
        <f t="shared" si="3"/>
        <v/>
      </c>
      <c r="K34" s="62" t="str">
        <f>IF(B34="","Pending",IF(M34="","⚠️ Enter Code",IF(IFERROR(VLOOKUP(L34,DB_Agents!$B:$I,8,0),"")=M34,"Pending","🔒 BLOCKED — Wrong Code")))</f>
        <v>Pending</v>
      </c>
      <c r="L34" s="13"/>
      <c r="M34" s="37"/>
      <c r="N34" s="47"/>
    </row>
    <row r="35" spans="1:14" x14ac:dyDescent="0.25">
      <c r="A35" s="38" t="str">
        <f t="shared" si="0"/>
        <v/>
      </c>
      <c r="B35" s="32"/>
      <c r="C35" s="7" t="str">
        <f>IF(B35="","",IFERROR(VLOOKUP(B35,DB_Customers!$A:$D,4,0),"❌ Account Not Found"))</f>
        <v/>
      </c>
      <c r="D35" s="34" t="str">
        <f t="shared" ca="1" si="1"/>
        <v/>
      </c>
      <c r="E35" s="57"/>
      <c r="F35" s="7"/>
      <c r="G35" s="63"/>
      <c r="H35" s="64"/>
      <c r="I35" s="60" t="str">
        <f t="shared" si="2"/>
        <v/>
      </c>
      <c r="J35" s="65" t="str">
        <f t="shared" si="3"/>
        <v/>
      </c>
      <c r="K35" s="66" t="str">
        <f>IF(B35="","Pending",IF(M35="","⚠️ Enter Code",IF(IFERROR(VLOOKUP(L35,DB_Agents!$B:$I,8,0),"")=M35,"Pending","🔒 BLOCKED — Wrong Code")))</f>
        <v>Pending</v>
      </c>
      <c r="L35" s="9"/>
      <c r="M35" s="37"/>
      <c r="N35" s="40"/>
    </row>
    <row r="36" spans="1:14" x14ac:dyDescent="0.25">
      <c r="A36" s="45" t="str">
        <f t="shared" si="0"/>
        <v/>
      </c>
      <c r="B36" s="41"/>
      <c r="C36" s="11" t="str">
        <f>IF(B36="","",IFERROR(VLOOKUP(B36,DB_Customers!$A:$D,4,0),"❌ Account Not Found"))</f>
        <v/>
      </c>
      <c r="D36" s="43" t="str">
        <f t="shared" ca="1" si="1"/>
        <v/>
      </c>
      <c r="E36" s="57"/>
      <c r="F36" s="11"/>
      <c r="G36" s="58"/>
      <c r="H36" s="59"/>
      <c r="I36" s="60" t="str">
        <f t="shared" si="2"/>
        <v/>
      </c>
      <c r="J36" s="61" t="str">
        <f t="shared" si="3"/>
        <v/>
      </c>
      <c r="K36" s="62" t="str">
        <f>IF(B36="","Pending",IF(M36="","⚠️ Enter Code",IF(IFERROR(VLOOKUP(L36,DB_Agents!$B:$I,8,0),"")=M36,"Pending","🔒 BLOCKED — Wrong Code")))</f>
        <v>Pending</v>
      </c>
      <c r="L36" s="13"/>
      <c r="M36" s="37"/>
      <c r="N36" s="47"/>
    </row>
    <row r="37" spans="1:14" x14ac:dyDescent="0.25">
      <c r="A37" s="38" t="str">
        <f t="shared" si="0"/>
        <v/>
      </c>
      <c r="B37" s="32"/>
      <c r="C37" s="7" t="str">
        <f>IF(B37="","",IFERROR(VLOOKUP(B37,DB_Customers!$A:$D,4,0),"❌ Account Not Found"))</f>
        <v/>
      </c>
      <c r="D37" s="34" t="str">
        <f t="shared" ca="1" si="1"/>
        <v/>
      </c>
      <c r="E37" s="57"/>
      <c r="F37" s="7"/>
      <c r="G37" s="63"/>
      <c r="H37" s="64"/>
      <c r="I37" s="60" t="str">
        <f t="shared" si="2"/>
        <v/>
      </c>
      <c r="J37" s="65" t="str">
        <f t="shared" si="3"/>
        <v/>
      </c>
      <c r="K37" s="66" t="str">
        <f>IF(B37="","Pending",IF(M37="","⚠️ Enter Code",IF(IFERROR(VLOOKUP(L37,DB_Agents!$B:$I,8,0),"")=M37,"Pending","🔒 BLOCKED — Wrong Code")))</f>
        <v>Pending</v>
      </c>
      <c r="L37" s="9"/>
      <c r="M37" s="37"/>
      <c r="N37" s="40"/>
    </row>
    <row r="38" spans="1:14" x14ac:dyDescent="0.25">
      <c r="A38" s="45" t="str">
        <f t="shared" si="0"/>
        <v/>
      </c>
      <c r="B38" s="41"/>
      <c r="C38" s="11" t="str">
        <f>IF(B38="","",IFERROR(VLOOKUP(B38,DB_Customers!$A:$D,4,0),"❌ Account Not Found"))</f>
        <v/>
      </c>
      <c r="D38" s="43" t="str">
        <f t="shared" ca="1" si="1"/>
        <v/>
      </c>
      <c r="E38" s="57"/>
      <c r="F38" s="11"/>
      <c r="G38" s="58"/>
      <c r="H38" s="59"/>
      <c r="I38" s="60" t="str">
        <f t="shared" si="2"/>
        <v/>
      </c>
      <c r="J38" s="61" t="str">
        <f t="shared" si="3"/>
        <v/>
      </c>
      <c r="K38" s="62" t="str">
        <f>IF(B38="","Pending",IF(M38="","⚠️ Enter Code",IF(IFERROR(VLOOKUP(L38,DB_Agents!$B:$I,8,0),"")=M38,"Pending","🔒 BLOCKED — Wrong Code")))</f>
        <v>Pending</v>
      </c>
      <c r="L38" s="13"/>
      <c r="M38" s="37"/>
      <c r="N38" s="47"/>
    </row>
    <row r="39" spans="1:14" x14ac:dyDescent="0.25">
      <c r="A39" s="38" t="str">
        <f t="shared" si="0"/>
        <v/>
      </c>
      <c r="B39" s="32"/>
      <c r="C39" s="7" t="str">
        <f>IF(B39="","",IFERROR(VLOOKUP(B39,DB_Customers!$A:$D,4,0),"❌ Account Not Found"))</f>
        <v/>
      </c>
      <c r="D39" s="34" t="str">
        <f t="shared" ca="1" si="1"/>
        <v/>
      </c>
      <c r="E39" s="57"/>
      <c r="F39" s="7"/>
      <c r="G39" s="63"/>
      <c r="H39" s="64"/>
      <c r="I39" s="60" t="str">
        <f t="shared" si="2"/>
        <v/>
      </c>
      <c r="J39" s="65" t="str">
        <f t="shared" si="3"/>
        <v/>
      </c>
      <c r="K39" s="66" t="str">
        <f>IF(B39="","Pending",IF(M39="","⚠️ Enter Code",IF(IFERROR(VLOOKUP(L39,DB_Agents!$B:$I,8,0),"")=M39,"Pending","🔒 BLOCKED — Wrong Code")))</f>
        <v>Pending</v>
      </c>
      <c r="L39" s="9"/>
      <c r="M39" s="37"/>
      <c r="N39" s="40"/>
    </row>
    <row r="40" spans="1:14" x14ac:dyDescent="0.25">
      <c r="A40" s="45" t="str">
        <f t="shared" si="0"/>
        <v/>
      </c>
      <c r="B40" s="41"/>
      <c r="C40" s="11" t="str">
        <f>IF(B40="","",IFERROR(VLOOKUP(B40,DB_Customers!$A:$D,4,0),"❌ Account Not Found"))</f>
        <v/>
      </c>
      <c r="D40" s="43" t="str">
        <f t="shared" ca="1" si="1"/>
        <v/>
      </c>
      <c r="E40" s="57"/>
      <c r="F40" s="11"/>
      <c r="G40" s="58"/>
      <c r="H40" s="59"/>
      <c r="I40" s="60" t="str">
        <f t="shared" si="2"/>
        <v/>
      </c>
      <c r="J40" s="61" t="str">
        <f t="shared" si="3"/>
        <v/>
      </c>
      <c r="K40" s="62" t="str">
        <f>IF(B40="","Pending",IF(M40="","⚠️ Enter Code",IF(IFERROR(VLOOKUP(L40,DB_Agents!$B:$I,8,0),"")=M40,"Pending","🔒 BLOCKED — Wrong Code")))</f>
        <v>Pending</v>
      </c>
      <c r="L40" s="13"/>
      <c r="M40" s="37"/>
      <c r="N40" s="47"/>
    </row>
    <row r="41" spans="1:14" x14ac:dyDescent="0.25">
      <c r="A41" s="38" t="str">
        <f t="shared" si="0"/>
        <v/>
      </c>
      <c r="B41" s="32"/>
      <c r="C41" s="7" t="str">
        <f>IF(B41="","",IFERROR(VLOOKUP(B41,DB_Customers!$A:$D,4,0),"❌ Account Not Found"))</f>
        <v/>
      </c>
      <c r="D41" s="34" t="str">
        <f t="shared" ca="1" si="1"/>
        <v/>
      </c>
      <c r="E41" s="57"/>
      <c r="F41" s="7"/>
      <c r="G41" s="63"/>
      <c r="H41" s="64"/>
      <c r="I41" s="60" t="str">
        <f t="shared" si="2"/>
        <v/>
      </c>
      <c r="J41" s="65" t="str">
        <f t="shared" si="3"/>
        <v/>
      </c>
      <c r="K41" s="66" t="str">
        <f>IF(B41="","Pending",IF(M41="","⚠️ Enter Code",IF(IFERROR(VLOOKUP(L41,DB_Agents!$B:$I,8,0),"")=M41,"Pending","🔒 BLOCKED — Wrong Code")))</f>
        <v>Pending</v>
      </c>
      <c r="L41" s="9"/>
      <c r="M41" s="37"/>
      <c r="N41" s="40"/>
    </row>
    <row r="42" spans="1:14" x14ac:dyDescent="0.25">
      <c r="A42" s="45" t="str">
        <f t="shared" si="0"/>
        <v/>
      </c>
      <c r="B42" s="41"/>
      <c r="C42" s="11" t="str">
        <f>IF(B42="","",IFERROR(VLOOKUP(B42,DB_Customers!$A:$D,4,0),"❌ Account Not Found"))</f>
        <v/>
      </c>
      <c r="D42" s="43" t="str">
        <f t="shared" ca="1" si="1"/>
        <v/>
      </c>
      <c r="E42" s="57"/>
      <c r="F42" s="11"/>
      <c r="G42" s="58"/>
      <c r="H42" s="59"/>
      <c r="I42" s="60" t="str">
        <f t="shared" si="2"/>
        <v/>
      </c>
      <c r="J42" s="61" t="str">
        <f t="shared" si="3"/>
        <v/>
      </c>
      <c r="K42" s="62" t="str">
        <f>IF(B42="","Pending",IF(M42="","⚠️ Enter Code",IF(IFERROR(VLOOKUP(L42,DB_Agents!$B:$I,8,0),"")=M42,"Pending","🔒 BLOCKED — Wrong Code")))</f>
        <v>Pending</v>
      </c>
      <c r="L42" s="13"/>
      <c r="M42" s="37"/>
      <c r="N42" s="47"/>
    </row>
    <row r="43" spans="1:14" x14ac:dyDescent="0.25">
      <c r="A43" s="38" t="str">
        <f t="shared" si="0"/>
        <v/>
      </c>
      <c r="B43" s="32"/>
      <c r="C43" s="7" t="str">
        <f>IF(B43="","",IFERROR(VLOOKUP(B43,DB_Customers!$A:$D,4,0),"❌ Account Not Found"))</f>
        <v/>
      </c>
      <c r="D43" s="34" t="str">
        <f t="shared" ca="1" si="1"/>
        <v/>
      </c>
      <c r="E43" s="57"/>
      <c r="F43" s="7"/>
      <c r="G43" s="63"/>
      <c r="H43" s="64"/>
      <c r="I43" s="60" t="str">
        <f t="shared" si="2"/>
        <v/>
      </c>
      <c r="J43" s="65" t="str">
        <f t="shared" si="3"/>
        <v/>
      </c>
      <c r="K43" s="66" t="str">
        <f>IF(B43="","Pending",IF(M43="","⚠️ Enter Code",IF(IFERROR(VLOOKUP(L43,DB_Agents!$B:$I,8,0),"")=M43,"Pending","🔒 BLOCKED — Wrong Code")))</f>
        <v>Pending</v>
      </c>
      <c r="L43" s="9"/>
      <c r="M43" s="37"/>
      <c r="N43" s="40"/>
    </row>
    <row r="44" spans="1:14" x14ac:dyDescent="0.25">
      <c r="A44" s="45" t="str">
        <f t="shared" si="0"/>
        <v/>
      </c>
      <c r="B44" s="41"/>
      <c r="C44" s="11" t="str">
        <f>IF(B44="","",IFERROR(VLOOKUP(B44,DB_Customers!$A:$D,4,0),"❌ Account Not Found"))</f>
        <v/>
      </c>
      <c r="D44" s="43" t="str">
        <f t="shared" ca="1" si="1"/>
        <v/>
      </c>
      <c r="E44" s="57"/>
      <c r="F44" s="11"/>
      <c r="G44" s="58"/>
      <c r="H44" s="59"/>
      <c r="I44" s="60" t="str">
        <f t="shared" si="2"/>
        <v/>
      </c>
      <c r="J44" s="61" t="str">
        <f t="shared" si="3"/>
        <v/>
      </c>
      <c r="K44" s="62" t="str">
        <f>IF(B44="","Pending",IF(M44="","⚠️ Enter Code",IF(IFERROR(VLOOKUP(L44,DB_Agents!$B:$I,8,0),"")=M44,"Pending","🔒 BLOCKED — Wrong Code")))</f>
        <v>Pending</v>
      </c>
      <c r="L44" s="13"/>
      <c r="M44" s="37"/>
      <c r="N44" s="47"/>
    </row>
    <row r="45" spans="1:14" x14ac:dyDescent="0.25">
      <c r="A45" s="38" t="str">
        <f t="shared" si="0"/>
        <v/>
      </c>
      <c r="B45" s="32"/>
      <c r="C45" s="7" t="str">
        <f>IF(B45="","",IFERROR(VLOOKUP(B45,DB_Customers!$A:$D,4,0),"❌ Account Not Found"))</f>
        <v/>
      </c>
      <c r="D45" s="34" t="str">
        <f t="shared" ca="1" si="1"/>
        <v/>
      </c>
      <c r="E45" s="57"/>
      <c r="F45" s="7"/>
      <c r="G45" s="63"/>
      <c r="H45" s="64"/>
      <c r="I45" s="60" t="str">
        <f t="shared" si="2"/>
        <v/>
      </c>
      <c r="J45" s="65" t="str">
        <f t="shared" si="3"/>
        <v/>
      </c>
      <c r="K45" s="66" t="str">
        <f>IF(B45="","Pending",IF(M45="","⚠️ Enter Code",IF(IFERROR(VLOOKUP(L45,DB_Agents!$B:$I,8,0),"")=M45,"Pending","🔒 BLOCKED — Wrong Code")))</f>
        <v>Pending</v>
      </c>
      <c r="L45" s="9"/>
      <c r="M45" s="37"/>
      <c r="N45" s="40"/>
    </row>
    <row r="46" spans="1:14" x14ac:dyDescent="0.25">
      <c r="A46" s="45" t="str">
        <f t="shared" ref="A46:A77" si="4">IF(B46="","",IF(C46="❌ Account Not Found","INVALID","LN"&amp;TEXT(D46,"YYYYMMDD")&amp;TEXT(ROW()-13,"0000")))</f>
        <v/>
      </c>
      <c r="B46" s="41"/>
      <c r="C46" s="11" t="str">
        <f>IF(B46="","",IFERROR(VLOOKUP(B46,DB_Customers!$A:$D,4,0),"❌ Account Not Found"))</f>
        <v/>
      </c>
      <c r="D46" s="43" t="str">
        <f t="shared" ref="D46:D77" ca="1" si="5">IF(B46="","",TODAY())</f>
        <v/>
      </c>
      <c r="E46" s="57"/>
      <c r="F46" s="11"/>
      <c r="G46" s="58"/>
      <c r="H46" s="59"/>
      <c r="I46" s="60" t="str">
        <f t="shared" ref="I46:I77" si="6">IF(E46="","",E46+(E46*H46/100*G46))</f>
        <v/>
      </c>
      <c r="J46" s="61" t="str">
        <f t="shared" ref="J46:J77" si="7">IFERROR(I46/G46,"")</f>
        <v/>
      </c>
      <c r="K46" s="62" t="str">
        <f>IF(B46="","Pending",IF(M46="","⚠️ Enter Code",IF(IFERROR(VLOOKUP(L46,DB_Agents!$B:$I,8,0),"")=M46,"Pending","🔒 BLOCKED — Wrong Code")))</f>
        <v>Pending</v>
      </c>
      <c r="L46" s="13"/>
      <c r="M46" s="37"/>
      <c r="N46" s="47"/>
    </row>
    <row r="47" spans="1:14" x14ac:dyDescent="0.25">
      <c r="A47" s="38" t="str">
        <f t="shared" si="4"/>
        <v/>
      </c>
      <c r="B47" s="32"/>
      <c r="C47" s="7" t="str">
        <f>IF(B47="","",IFERROR(VLOOKUP(B47,DB_Customers!$A:$D,4,0),"❌ Account Not Found"))</f>
        <v/>
      </c>
      <c r="D47" s="34" t="str">
        <f t="shared" ca="1" si="5"/>
        <v/>
      </c>
      <c r="E47" s="57"/>
      <c r="F47" s="7"/>
      <c r="G47" s="63"/>
      <c r="H47" s="64"/>
      <c r="I47" s="60" t="str">
        <f t="shared" si="6"/>
        <v/>
      </c>
      <c r="J47" s="65" t="str">
        <f t="shared" si="7"/>
        <v/>
      </c>
      <c r="K47" s="66" t="str">
        <f>IF(B47="","Pending",IF(M47="","⚠️ Enter Code",IF(IFERROR(VLOOKUP(L47,DB_Agents!$B:$I,8,0),"")=M47,"Pending","🔒 BLOCKED — Wrong Code")))</f>
        <v>Pending</v>
      </c>
      <c r="L47" s="9"/>
      <c r="M47" s="37"/>
      <c r="N47" s="40"/>
    </row>
    <row r="48" spans="1:14" x14ac:dyDescent="0.25">
      <c r="A48" s="45" t="str">
        <f t="shared" si="4"/>
        <v/>
      </c>
      <c r="B48" s="41"/>
      <c r="C48" s="11" t="str">
        <f>IF(B48="","",IFERROR(VLOOKUP(B48,DB_Customers!$A:$D,4,0),"❌ Account Not Found"))</f>
        <v/>
      </c>
      <c r="D48" s="43" t="str">
        <f t="shared" ca="1" si="5"/>
        <v/>
      </c>
      <c r="E48" s="57"/>
      <c r="F48" s="11"/>
      <c r="G48" s="58"/>
      <c r="H48" s="59"/>
      <c r="I48" s="60" t="str">
        <f t="shared" si="6"/>
        <v/>
      </c>
      <c r="J48" s="61" t="str">
        <f t="shared" si="7"/>
        <v/>
      </c>
      <c r="K48" s="62" t="str">
        <f>IF(B48="","Pending",IF(M48="","⚠️ Enter Code",IF(IFERROR(VLOOKUP(L48,DB_Agents!$B:$I,8,0),"")=M48,"Pending","🔒 BLOCKED — Wrong Code")))</f>
        <v>Pending</v>
      </c>
      <c r="L48" s="13"/>
      <c r="M48" s="37"/>
      <c r="N48" s="47"/>
    </row>
    <row r="49" spans="1:14" x14ac:dyDescent="0.25">
      <c r="A49" s="38" t="str">
        <f t="shared" si="4"/>
        <v/>
      </c>
      <c r="B49" s="32"/>
      <c r="C49" s="7" t="str">
        <f>IF(B49="","",IFERROR(VLOOKUP(B49,DB_Customers!$A:$D,4,0),"❌ Account Not Found"))</f>
        <v/>
      </c>
      <c r="D49" s="34" t="str">
        <f t="shared" ca="1" si="5"/>
        <v/>
      </c>
      <c r="E49" s="57"/>
      <c r="F49" s="7"/>
      <c r="G49" s="63"/>
      <c r="H49" s="64"/>
      <c r="I49" s="60" t="str">
        <f t="shared" si="6"/>
        <v/>
      </c>
      <c r="J49" s="65" t="str">
        <f t="shared" si="7"/>
        <v/>
      </c>
      <c r="K49" s="66" t="str">
        <f>IF(B49="","Pending",IF(M49="","⚠️ Enter Code",IF(IFERROR(VLOOKUP(L49,DB_Agents!$B:$I,8,0),"")=M49,"Pending","🔒 BLOCKED — Wrong Code")))</f>
        <v>Pending</v>
      </c>
      <c r="L49" s="9"/>
      <c r="M49" s="37"/>
      <c r="N49" s="40"/>
    </row>
    <row r="50" spans="1:14" x14ac:dyDescent="0.25">
      <c r="A50" s="45" t="str">
        <f t="shared" si="4"/>
        <v/>
      </c>
      <c r="B50" s="41"/>
      <c r="C50" s="11" t="str">
        <f>IF(B50="","",IFERROR(VLOOKUP(B50,DB_Customers!$A:$D,4,0),"❌ Account Not Found"))</f>
        <v/>
      </c>
      <c r="D50" s="43" t="str">
        <f t="shared" ca="1" si="5"/>
        <v/>
      </c>
      <c r="E50" s="57"/>
      <c r="F50" s="11"/>
      <c r="G50" s="58"/>
      <c r="H50" s="59"/>
      <c r="I50" s="60" t="str">
        <f t="shared" si="6"/>
        <v/>
      </c>
      <c r="J50" s="61" t="str">
        <f t="shared" si="7"/>
        <v/>
      </c>
      <c r="K50" s="62" t="str">
        <f>IF(B50="","Pending",IF(M50="","⚠️ Enter Code",IF(IFERROR(VLOOKUP(L50,DB_Agents!$B:$I,8,0),"")=M50,"Pending","🔒 BLOCKED — Wrong Code")))</f>
        <v>Pending</v>
      </c>
      <c r="L50" s="13"/>
      <c r="M50" s="37"/>
      <c r="N50" s="47"/>
    </row>
    <row r="51" spans="1:14" x14ac:dyDescent="0.25">
      <c r="A51" s="38" t="str">
        <f t="shared" si="4"/>
        <v/>
      </c>
      <c r="B51" s="32"/>
      <c r="C51" s="7" t="str">
        <f>IF(B51="","",IFERROR(VLOOKUP(B51,DB_Customers!$A:$D,4,0),"❌ Account Not Found"))</f>
        <v/>
      </c>
      <c r="D51" s="34" t="str">
        <f t="shared" ca="1" si="5"/>
        <v/>
      </c>
      <c r="E51" s="57"/>
      <c r="F51" s="7"/>
      <c r="G51" s="63"/>
      <c r="H51" s="64"/>
      <c r="I51" s="60" t="str">
        <f t="shared" si="6"/>
        <v/>
      </c>
      <c r="J51" s="65" t="str">
        <f t="shared" si="7"/>
        <v/>
      </c>
      <c r="K51" s="66" t="str">
        <f>IF(B51="","Pending",IF(M51="","⚠️ Enter Code",IF(IFERROR(VLOOKUP(L51,DB_Agents!$B:$I,8,0),"")=M51,"Pending","🔒 BLOCKED — Wrong Code")))</f>
        <v>Pending</v>
      </c>
      <c r="L51" s="9"/>
      <c r="M51" s="37"/>
      <c r="N51" s="40"/>
    </row>
    <row r="52" spans="1:14" x14ac:dyDescent="0.25">
      <c r="A52" s="45" t="str">
        <f t="shared" si="4"/>
        <v/>
      </c>
      <c r="B52" s="41"/>
      <c r="C52" s="11" t="str">
        <f>IF(B52="","",IFERROR(VLOOKUP(B52,DB_Customers!$A:$D,4,0),"❌ Account Not Found"))</f>
        <v/>
      </c>
      <c r="D52" s="43" t="str">
        <f t="shared" ca="1" si="5"/>
        <v/>
      </c>
      <c r="E52" s="57"/>
      <c r="F52" s="11"/>
      <c r="G52" s="58"/>
      <c r="H52" s="59"/>
      <c r="I52" s="60" t="str">
        <f t="shared" si="6"/>
        <v/>
      </c>
      <c r="J52" s="61" t="str">
        <f t="shared" si="7"/>
        <v/>
      </c>
      <c r="K52" s="62" t="str">
        <f>IF(B52="","Pending",IF(M52="","⚠️ Enter Code",IF(IFERROR(VLOOKUP(L52,DB_Agents!$B:$I,8,0),"")=M52,"Pending","🔒 BLOCKED — Wrong Code")))</f>
        <v>Pending</v>
      </c>
      <c r="L52" s="13"/>
      <c r="M52" s="37"/>
      <c r="N52" s="47"/>
    </row>
    <row r="53" spans="1:14" x14ac:dyDescent="0.25">
      <c r="A53" s="38" t="str">
        <f t="shared" si="4"/>
        <v/>
      </c>
      <c r="B53" s="32"/>
      <c r="C53" s="7" t="str">
        <f>IF(B53="","",IFERROR(VLOOKUP(B53,DB_Customers!$A:$D,4,0),"❌ Account Not Found"))</f>
        <v/>
      </c>
      <c r="D53" s="34" t="str">
        <f t="shared" ca="1" si="5"/>
        <v/>
      </c>
      <c r="E53" s="57"/>
      <c r="F53" s="7"/>
      <c r="G53" s="63"/>
      <c r="H53" s="64"/>
      <c r="I53" s="60" t="str">
        <f t="shared" si="6"/>
        <v/>
      </c>
      <c r="J53" s="65" t="str">
        <f t="shared" si="7"/>
        <v/>
      </c>
      <c r="K53" s="66" t="str">
        <f>IF(B53="","Pending",IF(M53="","⚠️ Enter Code",IF(IFERROR(VLOOKUP(L53,DB_Agents!$B:$I,8,0),"")=M53,"Pending","🔒 BLOCKED — Wrong Code")))</f>
        <v>Pending</v>
      </c>
      <c r="L53" s="9"/>
      <c r="M53" s="37"/>
      <c r="N53" s="40"/>
    </row>
    <row r="54" spans="1:14" x14ac:dyDescent="0.25">
      <c r="A54" s="45" t="str">
        <f t="shared" si="4"/>
        <v/>
      </c>
      <c r="B54" s="41"/>
      <c r="C54" s="11" t="str">
        <f>IF(B54="","",IFERROR(VLOOKUP(B54,DB_Customers!$A:$D,4,0),"❌ Account Not Found"))</f>
        <v/>
      </c>
      <c r="D54" s="43" t="str">
        <f t="shared" ca="1" si="5"/>
        <v/>
      </c>
      <c r="E54" s="57"/>
      <c r="F54" s="11"/>
      <c r="G54" s="58"/>
      <c r="H54" s="59"/>
      <c r="I54" s="60" t="str">
        <f t="shared" si="6"/>
        <v/>
      </c>
      <c r="J54" s="61" t="str">
        <f t="shared" si="7"/>
        <v/>
      </c>
      <c r="K54" s="62" t="str">
        <f>IF(B54="","Pending",IF(M54="","⚠️ Enter Code",IF(IFERROR(VLOOKUP(L54,DB_Agents!$B:$I,8,0),"")=M54,"Pending","🔒 BLOCKED — Wrong Code")))</f>
        <v>Pending</v>
      </c>
      <c r="L54" s="13"/>
      <c r="M54" s="37"/>
      <c r="N54" s="47"/>
    </row>
    <row r="55" spans="1:14" x14ac:dyDescent="0.25">
      <c r="A55" s="38" t="str">
        <f t="shared" si="4"/>
        <v/>
      </c>
      <c r="B55" s="32"/>
      <c r="C55" s="7" t="str">
        <f>IF(B55="","",IFERROR(VLOOKUP(B55,DB_Customers!$A:$D,4,0),"❌ Account Not Found"))</f>
        <v/>
      </c>
      <c r="D55" s="34" t="str">
        <f t="shared" ca="1" si="5"/>
        <v/>
      </c>
      <c r="E55" s="57"/>
      <c r="F55" s="7"/>
      <c r="G55" s="63"/>
      <c r="H55" s="64"/>
      <c r="I55" s="60" t="str">
        <f t="shared" si="6"/>
        <v/>
      </c>
      <c r="J55" s="65" t="str">
        <f t="shared" si="7"/>
        <v/>
      </c>
      <c r="K55" s="66" t="str">
        <f>IF(B55="","Pending",IF(M55="","⚠️ Enter Code",IF(IFERROR(VLOOKUP(L55,DB_Agents!$B:$I,8,0),"")=M55,"Pending","🔒 BLOCKED — Wrong Code")))</f>
        <v>Pending</v>
      </c>
      <c r="L55" s="9"/>
      <c r="M55" s="37"/>
      <c r="N55" s="40"/>
    </row>
    <row r="56" spans="1:14" x14ac:dyDescent="0.25">
      <c r="A56" s="45" t="str">
        <f t="shared" si="4"/>
        <v/>
      </c>
      <c r="B56" s="41"/>
      <c r="C56" s="11" t="str">
        <f>IF(B56="","",IFERROR(VLOOKUP(B56,DB_Customers!$A:$D,4,0),"❌ Account Not Found"))</f>
        <v/>
      </c>
      <c r="D56" s="43" t="str">
        <f t="shared" ca="1" si="5"/>
        <v/>
      </c>
      <c r="E56" s="57"/>
      <c r="F56" s="11"/>
      <c r="G56" s="58"/>
      <c r="H56" s="59"/>
      <c r="I56" s="60" t="str">
        <f t="shared" si="6"/>
        <v/>
      </c>
      <c r="J56" s="61" t="str">
        <f t="shared" si="7"/>
        <v/>
      </c>
      <c r="K56" s="62" t="str">
        <f>IF(B56="","Pending",IF(M56="","⚠️ Enter Code",IF(IFERROR(VLOOKUP(L56,DB_Agents!$B:$I,8,0),"")=M56,"Pending","🔒 BLOCKED — Wrong Code")))</f>
        <v>Pending</v>
      </c>
      <c r="L56" s="13"/>
      <c r="M56" s="37"/>
      <c r="N56" s="47"/>
    </row>
    <row r="57" spans="1:14" x14ac:dyDescent="0.25">
      <c r="A57" s="38" t="str">
        <f t="shared" si="4"/>
        <v/>
      </c>
      <c r="B57" s="32"/>
      <c r="C57" s="7" t="str">
        <f>IF(B57="","",IFERROR(VLOOKUP(B57,DB_Customers!$A:$D,4,0),"❌ Account Not Found"))</f>
        <v/>
      </c>
      <c r="D57" s="34" t="str">
        <f t="shared" ca="1" si="5"/>
        <v/>
      </c>
      <c r="E57" s="57"/>
      <c r="F57" s="7"/>
      <c r="G57" s="63"/>
      <c r="H57" s="64"/>
      <c r="I57" s="60" t="str">
        <f t="shared" si="6"/>
        <v/>
      </c>
      <c r="J57" s="65" t="str">
        <f t="shared" si="7"/>
        <v/>
      </c>
      <c r="K57" s="66" t="str">
        <f>IF(B57="","Pending",IF(M57="","⚠️ Enter Code",IF(IFERROR(VLOOKUP(L57,DB_Agents!$B:$I,8,0),"")=M57,"Pending","🔒 BLOCKED — Wrong Code")))</f>
        <v>Pending</v>
      </c>
      <c r="L57" s="9"/>
      <c r="M57" s="37"/>
      <c r="N57" s="40"/>
    </row>
    <row r="58" spans="1:14" x14ac:dyDescent="0.25">
      <c r="A58" s="45" t="str">
        <f t="shared" si="4"/>
        <v/>
      </c>
      <c r="B58" s="41"/>
      <c r="C58" s="11" t="str">
        <f>IF(B58="","",IFERROR(VLOOKUP(B58,DB_Customers!$A:$D,4,0),"❌ Account Not Found"))</f>
        <v/>
      </c>
      <c r="D58" s="43" t="str">
        <f t="shared" ca="1" si="5"/>
        <v/>
      </c>
      <c r="E58" s="57"/>
      <c r="F58" s="11"/>
      <c r="G58" s="58"/>
      <c r="H58" s="59"/>
      <c r="I58" s="60" t="str">
        <f t="shared" si="6"/>
        <v/>
      </c>
      <c r="J58" s="61" t="str">
        <f t="shared" si="7"/>
        <v/>
      </c>
      <c r="K58" s="62" t="str">
        <f>IF(B58="","Pending",IF(M58="","⚠️ Enter Code",IF(IFERROR(VLOOKUP(L58,DB_Agents!$B:$I,8,0),"")=M58,"Pending","🔒 BLOCKED — Wrong Code")))</f>
        <v>Pending</v>
      </c>
      <c r="L58" s="13"/>
      <c r="M58" s="37"/>
      <c r="N58" s="47"/>
    </row>
    <row r="59" spans="1:14" x14ac:dyDescent="0.25">
      <c r="A59" s="38" t="str">
        <f t="shared" si="4"/>
        <v/>
      </c>
      <c r="B59" s="32"/>
      <c r="C59" s="7" t="str">
        <f>IF(B59="","",IFERROR(VLOOKUP(B59,DB_Customers!$A:$D,4,0),"❌ Account Not Found"))</f>
        <v/>
      </c>
      <c r="D59" s="34" t="str">
        <f t="shared" ca="1" si="5"/>
        <v/>
      </c>
      <c r="E59" s="57"/>
      <c r="F59" s="7"/>
      <c r="G59" s="63"/>
      <c r="H59" s="64"/>
      <c r="I59" s="60" t="str">
        <f t="shared" si="6"/>
        <v/>
      </c>
      <c r="J59" s="65" t="str">
        <f t="shared" si="7"/>
        <v/>
      </c>
      <c r="K59" s="66" t="str">
        <f>IF(B59="","Pending",IF(M59="","⚠️ Enter Code",IF(IFERROR(VLOOKUP(L59,DB_Agents!$B:$I,8,0),"")=M59,"Pending","🔒 BLOCKED — Wrong Code")))</f>
        <v>Pending</v>
      </c>
      <c r="L59" s="9"/>
      <c r="M59" s="37"/>
      <c r="N59" s="40"/>
    </row>
    <row r="60" spans="1:14" x14ac:dyDescent="0.25">
      <c r="A60" s="45" t="str">
        <f t="shared" si="4"/>
        <v/>
      </c>
      <c r="B60" s="41"/>
      <c r="C60" s="11" t="str">
        <f>IF(B60="","",IFERROR(VLOOKUP(B60,DB_Customers!$A:$D,4,0),"❌ Account Not Found"))</f>
        <v/>
      </c>
      <c r="D60" s="43" t="str">
        <f t="shared" ca="1" si="5"/>
        <v/>
      </c>
      <c r="E60" s="57"/>
      <c r="F60" s="11"/>
      <c r="G60" s="58"/>
      <c r="H60" s="59"/>
      <c r="I60" s="60" t="str">
        <f t="shared" si="6"/>
        <v/>
      </c>
      <c r="J60" s="61" t="str">
        <f t="shared" si="7"/>
        <v/>
      </c>
      <c r="K60" s="62" t="str">
        <f>IF(B60="","Pending",IF(M60="","⚠️ Enter Code",IF(IFERROR(VLOOKUP(L60,DB_Agents!$B:$I,8,0),"")=M60,"Pending","🔒 BLOCKED — Wrong Code")))</f>
        <v>Pending</v>
      </c>
      <c r="L60" s="13"/>
      <c r="M60" s="37"/>
      <c r="N60" s="47"/>
    </row>
    <row r="61" spans="1:14" x14ac:dyDescent="0.25">
      <c r="A61" s="38" t="str">
        <f t="shared" si="4"/>
        <v/>
      </c>
      <c r="B61" s="32"/>
      <c r="C61" s="7" t="str">
        <f>IF(B61="","",IFERROR(VLOOKUP(B61,DB_Customers!$A:$D,4,0),"❌ Account Not Found"))</f>
        <v/>
      </c>
      <c r="D61" s="34" t="str">
        <f t="shared" ca="1" si="5"/>
        <v/>
      </c>
      <c r="E61" s="57"/>
      <c r="F61" s="7"/>
      <c r="G61" s="63"/>
      <c r="H61" s="64"/>
      <c r="I61" s="60" t="str">
        <f t="shared" si="6"/>
        <v/>
      </c>
      <c r="J61" s="65" t="str">
        <f t="shared" si="7"/>
        <v/>
      </c>
      <c r="K61" s="66" t="str">
        <f>IF(B61="","Pending",IF(M61="","⚠️ Enter Code",IF(IFERROR(VLOOKUP(L61,DB_Agents!$B:$I,8,0),"")=M61,"Pending","🔒 BLOCKED — Wrong Code")))</f>
        <v>Pending</v>
      </c>
      <c r="L61" s="9"/>
      <c r="M61" s="37"/>
      <c r="N61" s="40"/>
    </row>
    <row r="62" spans="1:14" x14ac:dyDescent="0.25">
      <c r="A62" s="45" t="str">
        <f t="shared" si="4"/>
        <v/>
      </c>
      <c r="B62" s="41"/>
      <c r="C62" s="11" t="str">
        <f>IF(B62="","",IFERROR(VLOOKUP(B62,DB_Customers!$A:$D,4,0),"❌ Account Not Found"))</f>
        <v/>
      </c>
      <c r="D62" s="43" t="str">
        <f t="shared" ca="1" si="5"/>
        <v/>
      </c>
      <c r="E62" s="57"/>
      <c r="F62" s="11"/>
      <c r="G62" s="58"/>
      <c r="H62" s="59"/>
      <c r="I62" s="60" t="str">
        <f t="shared" si="6"/>
        <v/>
      </c>
      <c r="J62" s="61" t="str">
        <f t="shared" si="7"/>
        <v/>
      </c>
      <c r="K62" s="62" t="str">
        <f>IF(B62="","Pending",IF(M62="","⚠️ Enter Code",IF(IFERROR(VLOOKUP(L62,DB_Agents!$B:$I,8,0),"")=M62,"Pending","🔒 BLOCKED — Wrong Code")))</f>
        <v>Pending</v>
      </c>
      <c r="L62" s="13"/>
      <c r="M62" s="37"/>
      <c r="N62" s="47"/>
    </row>
    <row r="63" spans="1:14" x14ac:dyDescent="0.25">
      <c r="A63" s="38" t="str">
        <f t="shared" si="4"/>
        <v/>
      </c>
      <c r="B63" s="32"/>
      <c r="C63" s="7" t="str">
        <f>IF(B63="","",IFERROR(VLOOKUP(B63,DB_Customers!$A:$D,4,0),"❌ Account Not Found"))</f>
        <v/>
      </c>
      <c r="D63" s="34" t="str">
        <f t="shared" ca="1" si="5"/>
        <v/>
      </c>
      <c r="E63" s="57"/>
      <c r="F63" s="7"/>
      <c r="G63" s="63"/>
      <c r="H63" s="64"/>
      <c r="I63" s="60" t="str">
        <f t="shared" si="6"/>
        <v/>
      </c>
      <c r="J63" s="65" t="str">
        <f t="shared" si="7"/>
        <v/>
      </c>
      <c r="K63" s="66" t="str">
        <f>IF(B63="","Pending",IF(M63="","⚠️ Enter Code",IF(IFERROR(VLOOKUP(L63,DB_Agents!$B:$I,8,0),"")=M63,"Pending","🔒 BLOCKED — Wrong Code")))</f>
        <v>Pending</v>
      </c>
      <c r="L63" s="9"/>
      <c r="M63" s="37"/>
      <c r="N63" s="40"/>
    </row>
    <row r="64" spans="1:14" x14ac:dyDescent="0.25">
      <c r="A64" s="45" t="str">
        <f t="shared" si="4"/>
        <v/>
      </c>
      <c r="B64" s="41"/>
      <c r="C64" s="11" t="str">
        <f>IF(B64="","",IFERROR(VLOOKUP(B64,DB_Customers!$A:$D,4,0),"❌ Account Not Found"))</f>
        <v/>
      </c>
      <c r="D64" s="43" t="str">
        <f t="shared" ca="1" si="5"/>
        <v/>
      </c>
      <c r="E64" s="57"/>
      <c r="F64" s="11"/>
      <c r="G64" s="58"/>
      <c r="H64" s="59"/>
      <c r="I64" s="60" t="str">
        <f t="shared" si="6"/>
        <v/>
      </c>
      <c r="J64" s="61" t="str">
        <f t="shared" si="7"/>
        <v/>
      </c>
      <c r="K64" s="62" t="str">
        <f>IF(B64="","Pending",IF(M64="","⚠️ Enter Code",IF(IFERROR(VLOOKUP(L64,DB_Agents!$B:$I,8,0),"")=M64,"Pending","🔒 BLOCKED — Wrong Code")))</f>
        <v>Pending</v>
      </c>
      <c r="L64" s="13"/>
      <c r="M64" s="37"/>
      <c r="N64" s="47"/>
    </row>
    <row r="65" spans="1:14" x14ac:dyDescent="0.25">
      <c r="A65" s="38" t="str">
        <f t="shared" si="4"/>
        <v/>
      </c>
      <c r="B65" s="32"/>
      <c r="C65" s="7" t="str">
        <f>IF(B65="","",IFERROR(VLOOKUP(B65,DB_Customers!$A:$D,4,0),"❌ Account Not Found"))</f>
        <v/>
      </c>
      <c r="D65" s="34" t="str">
        <f t="shared" ca="1" si="5"/>
        <v/>
      </c>
      <c r="E65" s="57"/>
      <c r="F65" s="7"/>
      <c r="G65" s="63"/>
      <c r="H65" s="64"/>
      <c r="I65" s="60" t="str">
        <f t="shared" si="6"/>
        <v/>
      </c>
      <c r="J65" s="65" t="str">
        <f t="shared" si="7"/>
        <v/>
      </c>
      <c r="K65" s="66" t="str">
        <f>IF(B65="","Pending",IF(M65="","⚠️ Enter Code",IF(IFERROR(VLOOKUP(L65,DB_Agents!$B:$I,8,0),"")=M65,"Pending","🔒 BLOCKED — Wrong Code")))</f>
        <v>Pending</v>
      </c>
      <c r="L65" s="9"/>
      <c r="M65" s="37"/>
      <c r="N65" s="40"/>
    </row>
    <row r="66" spans="1:14" x14ac:dyDescent="0.25">
      <c r="A66" s="45" t="str">
        <f t="shared" si="4"/>
        <v/>
      </c>
      <c r="B66" s="41"/>
      <c r="C66" s="11" t="str">
        <f>IF(B66="","",IFERROR(VLOOKUP(B66,DB_Customers!$A:$D,4,0),"❌ Account Not Found"))</f>
        <v/>
      </c>
      <c r="D66" s="43" t="str">
        <f t="shared" ca="1" si="5"/>
        <v/>
      </c>
      <c r="E66" s="57"/>
      <c r="F66" s="11"/>
      <c r="G66" s="58"/>
      <c r="H66" s="59"/>
      <c r="I66" s="60" t="str">
        <f t="shared" si="6"/>
        <v/>
      </c>
      <c r="J66" s="61" t="str">
        <f t="shared" si="7"/>
        <v/>
      </c>
      <c r="K66" s="62" t="str">
        <f>IF(B66="","Pending",IF(M66="","⚠️ Enter Code",IF(IFERROR(VLOOKUP(L66,DB_Agents!$B:$I,8,0),"")=M66,"Pending","🔒 BLOCKED — Wrong Code")))</f>
        <v>Pending</v>
      </c>
      <c r="L66" s="13"/>
      <c r="M66" s="37"/>
      <c r="N66" s="47"/>
    </row>
    <row r="67" spans="1:14" x14ac:dyDescent="0.25">
      <c r="A67" s="38" t="str">
        <f t="shared" si="4"/>
        <v/>
      </c>
      <c r="B67" s="32"/>
      <c r="C67" s="7" t="str">
        <f>IF(B67="","",IFERROR(VLOOKUP(B67,DB_Customers!$A:$D,4,0),"❌ Account Not Found"))</f>
        <v/>
      </c>
      <c r="D67" s="34" t="str">
        <f t="shared" ca="1" si="5"/>
        <v/>
      </c>
      <c r="E67" s="57"/>
      <c r="F67" s="7"/>
      <c r="G67" s="63"/>
      <c r="H67" s="64"/>
      <c r="I67" s="60" t="str">
        <f t="shared" si="6"/>
        <v/>
      </c>
      <c r="J67" s="65" t="str">
        <f t="shared" si="7"/>
        <v/>
      </c>
      <c r="K67" s="66" t="str">
        <f>IF(B67="","Pending",IF(M67="","⚠️ Enter Code",IF(IFERROR(VLOOKUP(L67,DB_Agents!$B:$I,8,0),"")=M67,"Pending","🔒 BLOCKED — Wrong Code")))</f>
        <v>Pending</v>
      </c>
      <c r="L67" s="9"/>
      <c r="M67" s="37"/>
      <c r="N67" s="40"/>
    </row>
    <row r="68" spans="1:14" x14ac:dyDescent="0.25">
      <c r="A68" s="45" t="str">
        <f t="shared" si="4"/>
        <v/>
      </c>
      <c r="B68" s="41"/>
      <c r="C68" s="11" t="str">
        <f>IF(B68="","",IFERROR(VLOOKUP(B68,DB_Customers!$A:$D,4,0),"❌ Account Not Found"))</f>
        <v/>
      </c>
      <c r="D68" s="43" t="str">
        <f t="shared" ca="1" si="5"/>
        <v/>
      </c>
      <c r="E68" s="57"/>
      <c r="F68" s="11"/>
      <c r="G68" s="58"/>
      <c r="H68" s="59"/>
      <c r="I68" s="60" t="str">
        <f t="shared" si="6"/>
        <v/>
      </c>
      <c r="J68" s="61" t="str">
        <f t="shared" si="7"/>
        <v/>
      </c>
      <c r="K68" s="62" t="str">
        <f>IF(B68="","Pending",IF(M68="","⚠️ Enter Code",IF(IFERROR(VLOOKUP(L68,DB_Agents!$B:$I,8,0),"")=M68,"Pending","🔒 BLOCKED — Wrong Code")))</f>
        <v>Pending</v>
      </c>
      <c r="L68" s="13"/>
      <c r="M68" s="37"/>
      <c r="N68" s="47"/>
    </row>
    <row r="69" spans="1:14" x14ac:dyDescent="0.25">
      <c r="A69" s="38" t="str">
        <f t="shared" si="4"/>
        <v/>
      </c>
      <c r="B69" s="32"/>
      <c r="C69" s="7" t="str">
        <f>IF(B69="","",IFERROR(VLOOKUP(B69,DB_Customers!$A:$D,4,0),"❌ Account Not Found"))</f>
        <v/>
      </c>
      <c r="D69" s="34" t="str">
        <f t="shared" ca="1" si="5"/>
        <v/>
      </c>
      <c r="E69" s="57"/>
      <c r="F69" s="7"/>
      <c r="G69" s="63"/>
      <c r="H69" s="64"/>
      <c r="I69" s="60" t="str">
        <f t="shared" si="6"/>
        <v/>
      </c>
      <c r="J69" s="65" t="str">
        <f t="shared" si="7"/>
        <v/>
      </c>
      <c r="K69" s="66" t="str">
        <f>IF(B69="","Pending",IF(M69="","⚠️ Enter Code",IF(IFERROR(VLOOKUP(L69,DB_Agents!$B:$I,8,0),"")=M69,"Pending","🔒 BLOCKED — Wrong Code")))</f>
        <v>Pending</v>
      </c>
      <c r="L69" s="9"/>
      <c r="M69" s="37"/>
      <c r="N69" s="40"/>
    </row>
    <row r="70" spans="1:14" x14ac:dyDescent="0.25">
      <c r="A70" s="45" t="str">
        <f t="shared" si="4"/>
        <v/>
      </c>
      <c r="B70" s="41"/>
      <c r="C70" s="11" t="str">
        <f>IF(B70="","",IFERROR(VLOOKUP(B70,DB_Customers!$A:$D,4,0),"❌ Account Not Found"))</f>
        <v/>
      </c>
      <c r="D70" s="43" t="str">
        <f t="shared" ca="1" si="5"/>
        <v/>
      </c>
      <c r="E70" s="57"/>
      <c r="F70" s="11"/>
      <c r="G70" s="58"/>
      <c r="H70" s="59"/>
      <c r="I70" s="60" t="str">
        <f t="shared" si="6"/>
        <v/>
      </c>
      <c r="J70" s="61" t="str">
        <f t="shared" si="7"/>
        <v/>
      </c>
      <c r="K70" s="62" t="str">
        <f>IF(B70="","Pending",IF(M70="","⚠️ Enter Code",IF(IFERROR(VLOOKUP(L70,DB_Agents!$B:$I,8,0),"")=M70,"Pending","🔒 BLOCKED — Wrong Code")))</f>
        <v>Pending</v>
      </c>
      <c r="L70" s="13"/>
      <c r="M70" s="37"/>
      <c r="N70" s="47"/>
    </row>
    <row r="71" spans="1:14" x14ac:dyDescent="0.25">
      <c r="A71" s="38" t="str">
        <f t="shared" si="4"/>
        <v/>
      </c>
      <c r="B71" s="32"/>
      <c r="C71" s="7" t="str">
        <f>IF(B71="","",IFERROR(VLOOKUP(B71,DB_Customers!$A:$D,4,0),"❌ Account Not Found"))</f>
        <v/>
      </c>
      <c r="D71" s="34" t="str">
        <f t="shared" ca="1" si="5"/>
        <v/>
      </c>
      <c r="E71" s="57"/>
      <c r="F71" s="7"/>
      <c r="G71" s="63"/>
      <c r="H71" s="64"/>
      <c r="I71" s="60" t="str">
        <f t="shared" si="6"/>
        <v/>
      </c>
      <c r="J71" s="65" t="str">
        <f t="shared" si="7"/>
        <v/>
      </c>
      <c r="K71" s="66" t="str">
        <f>IF(B71="","Pending",IF(M71="","⚠️ Enter Code",IF(IFERROR(VLOOKUP(L71,DB_Agents!$B:$I,8,0),"")=M71,"Pending","🔒 BLOCKED — Wrong Code")))</f>
        <v>Pending</v>
      </c>
      <c r="L71" s="9"/>
      <c r="M71" s="37"/>
      <c r="N71" s="40"/>
    </row>
    <row r="72" spans="1:14" x14ac:dyDescent="0.25">
      <c r="A72" s="45" t="str">
        <f t="shared" si="4"/>
        <v/>
      </c>
      <c r="B72" s="41"/>
      <c r="C72" s="11" t="str">
        <f>IF(B72="","",IFERROR(VLOOKUP(B72,DB_Customers!$A:$D,4,0),"❌ Account Not Found"))</f>
        <v/>
      </c>
      <c r="D72" s="43" t="str">
        <f t="shared" ca="1" si="5"/>
        <v/>
      </c>
      <c r="E72" s="57"/>
      <c r="F72" s="11"/>
      <c r="G72" s="58"/>
      <c r="H72" s="59"/>
      <c r="I72" s="60" t="str">
        <f t="shared" si="6"/>
        <v/>
      </c>
      <c r="J72" s="61" t="str">
        <f t="shared" si="7"/>
        <v/>
      </c>
      <c r="K72" s="62" t="str">
        <f>IF(B72="","Pending",IF(M72="","⚠️ Enter Code",IF(IFERROR(VLOOKUP(L72,DB_Agents!$B:$I,8,0),"")=M72,"Pending","🔒 BLOCKED — Wrong Code")))</f>
        <v>Pending</v>
      </c>
      <c r="L72" s="13"/>
      <c r="M72" s="37"/>
      <c r="N72" s="47"/>
    </row>
    <row r="73" spans="1:14" x14ac:dyDescent="0.25">
      <c r="A73" s="38" t="str">
        <f t="shared" si="4"/>
        <v/>
      </c>
      <c r="B73" s="32"/>
      <c r="C73" s="7" t="str">
        <f>IF(B73="","",IFERROR(VLOOKUP(B73,DB_Customers!$A:$D,4,0),"❌ Account Not Found"))</f>
        <v/>
      </c>
      <c r="D73" s="34" t="str">
        <f t="shared" ca="1" si="5"/>
        <v/>
      </c>
      <c r="E73" s="57"/>
      <c r="F73" s="7"/>
      <c r="G73" s="63"/>
      <c r="H73" s="64"/>
      <c r="I73" s="60" t="str">
        <f t="shared" si="6"/>
        <v/>
      </c>
      <c r="J73" s="65" t="str">
        <f t="shared" si="7"/>
        <v/>
      </c>
      <c r="K73" s="66" t="str">
        <f>IF(B73="","Pending",IF(M73="","⚠️ Enter Code",IF(IFERROR(VLOOKUP(L73,DB_Agents!$B:$I,8,0),"")=M73,"Pending","🔒 BLOCKED — Wrong Code")))</f>
        <v>Pending</v>
      </c>
      <c r="L73" s="9"/>
      <c r="M73" s="37"/>
      <c r="N73" s="40"/>
    </row>
    <row r="74" spans="1:14" x14ac:dyDescent="0.25">
      <c r="A74" s="45" t="str">
        <f t="shared" si="4"/>
        <v/>
      </c>
      <c r="B74" s="41"/>
      <c r="C74" s="11" t="str">
        <f>IF(B74="","",IFERROR(VLOOKUP(B74,DB_Customers!$A:$D,4,0),"❌ Account Not Found"))</f>
        <v/>
      </c>
      <c r="D74" s="43" t="str">
        <f t="shared" ca="1" si="5"/>
        <v/>
      </c>
      <c r="E74" s="57"/>
      <c r="F74" s="11"/>
      <c r="G74" s="58"/>
      <c r="H74" s="59"/>
      <c r="I74" s="60" t="str">
        <f t="shared" si="6"/>
        <v/>
      </c>
      <c r="J74" s="61" t="str">
        <f t="shared" si="7"/>
        <v/>
      </c>
      <c r="K74" s="62" t="str">
        <f>IF(B74="","Pending",IF(M74="","⚠️ Enter Code",IF(IFERROR(VLOOKUP(L74,DB_Agents!$B:$I,8,0),"")=M74,"Pending","🔒 BLOCKED — Wrong Code")))</f>
        <v>Pending</v>
      </c>
      <c r="L74" s="13"/>
      <c r="M74" s="37"/>
      <c r="N74" s="47"/>
    </row>
    <row r="75" spans="1:14" x14ac:dyDescent="0.25">
      <c r="A75" s="38" t="str">
        <f t="shared" si="4"/>
        <v/>
      </c>
      <c r="B75" s="32"/>
      <c r="C75" s="7" t="str">
        <f>IF(B75="","",IFERROR(VLOOKUP(B75,DB_Customers!$A:$D,4,0),"❌ Account Not Found"))</f>
        <v/>
      </c>
      <c r="D75" s="34" t="str">
        <f t="shared" ca="1" si="5"/>
        <v/>
      </c>
      <c r="E75" s="57"/>
      <c r="F75" s="7"/>
      <c r="G75" s="63"/>
      <c r="H75" s="64"/>
      <c r="I75" s="60" t="str">
        <f t="shared" si="6"/>
        <v/>
      </c>
      <c r="J75" s="65" t="str">
        <f t="shared" si="7"/>
        <v/>
      </c>
      <c r="K75" s="66" t="str">
        <f>IF(B75="","Pending",IF(M75="","⚠️ Enter Code",IF(IFERROR(VLOOKUP(L75,DB_Agents!$B:$I,8,0),"")=M75,"Pending","🔒 BLOCKED — Wrong Code")))</f>
        <v>Pending</v>
      </c>
      <c r="L75" s="9"/>
      <c r="M75" s="37"/>
      <c r="N75" s="40"/>
    </row>
    <row r="76" spans="1:14" x14ac:dyDescent="0.25">
      <c r="A76" s="45" t="str">
        <f t="shared" si="4"/>
        <v/>
      </c>
      <c r="B76" s="41"/>
      <c r="C76" s="11" t="str">
        <f>IF(B76="","",IFERROR(VLOOKUP(B76,DB_Customers!$A:$D,4,0),"❌ Account Not Found"))</f>
        <v/>
      </c>
      <c r="D76" s="43" t="str">
        <f t="shared" ca="1" si="5"/>
        <v/>
      </c>
      <c r="E76" s="57"/>
      <c r="F76" s="11"/>
      <c r="G76" s="58"/>
      <c r="H76" s="59"/>
      <c r="I76" s="60" t="str">
        <f t="shared" si="6"/>
        <v/>
      </c>
      <c r="J76" s="61" t="str">
        <f t="shared" si="7"/>
        <v/>
      </c>
      <c r="K76" s="62" t="str">
        <f>IF(B76="","Pending",IF(M76="","⚠️ Enter Code",IF(IFERROR(VLOOKUP(L76,DB_Agents!$B:$I,8,0),"")=M76,"Pending","🔒 BLOCKED — Wrong Code")))</f>
        <v>Pending</v>
      </c>
      <c r="L76" s="13"/>
      <c r="M76" s="37"/>
      <c r="N76" s="47"/>
    </row>
    <row r="77" spans="1:14" x14ac:dyDescent="0.25">
      <c r="A77" s="38" t="str">
        <f t="shared" si="4"/>
        <v/>
      </c>
      <c r="B77" s="32"/>
      <c r="C77" s="7" t="str">
        <f>IF(B77="","",IFERROR(VLOOKUP(B77,DB_Customers!$A:$D,4,0),"❌ Account Not Found"))</f>
        <v/>
      </c>
      <c r="D77" s="34" t="str">
        <f t="shared" ca="1" si="5"/>
        <v/>
      </c>
      <c r="E77" s="57"/>
      <c r="F77" s="7"/>
      <c r="G77" s="63"/>
      <c r="H77" s="64"/>
      <c r="I77" s="60" t="str">
        <f t="shared" si="6"/>
        <v/>
      </c>
      <c r="J77" s="65" t="str">
        <f t="shared" si="7"/>
        <v/>
      </c>
      <c r="K77" s="66" t="str">
        <f>IF(B77="","Pending",IF(M77="","⚠️ Enter Code",IF(IFERROR(VLOOKUP(L77,DB_Agents!$B:$I,8,0),"")=M77,"Pending","🔒 BLOCKED — Wrong Code")))</f>
        <v>Pending</v>
      </c>
      <c r="L77" s="9"/>
      <c r="M77" s="37"/>
      <c r="N77" s="40"/>
    </row>
    <row r="78" spans="1:14" x14ac:dyDescent="0.25">
      <c r="A78" s="45" t="str">
        <f t="shared" ref="A78:A109" si="8">IF(B78="","",IF(C78="❌ Account Not Found","INVALID","LN"&amp;TEXT(D78,"YYYYMMDD")&amp;TEXT(ROW()-13,"0000")))</f>
        <v/>
      </c>
      <c r="B78" s="41"/>
      <c r="C78" s="11" t="str">
        <f>IF(B78="","",IFERROR(VLOOKUP(B78,DB_Customers!$A:$D,4,0),"❌ Account Not Found"))</f>
        <v/>
      </c>
      <c r="D78" s="43" t="str">
        <f t="shared" ref="D78:D113" ca="1" si="9">IF(B78="","",TODAY())</f>
        <v/>
      </c>
      <c r="E78" s="57"/>
      <c r="F78" s="11"/>
      <c r="G78" s="58"/>
      <c r="H78" s="59"/>
      <c r="I78" s="60" t="str">
        <f t="shared" ref="I78:I109" si="10">IF(E78="","",E78+(E78*H78/100*G78))</f>
        <v/>
      </c>
      <c r="J78" s="61" t="str">
        <f t="shared" ref="J78:J109" si="11">IFERROR(I78/G78,"")</f>
        <v/>
      </c>
      <c r="K78" s="62" t="str">
        <f>IF(B78="","Pending",IF(M78="","⚠️ Enter Code",IF(IFERROR(VLOOKUP(L78,DB_Agents!$B:$I,8,0),"")=M78,"Pending","🔒 BLOCKED — Wrong Code")))</f>
        <v>Pending</v>
      </c>
      <c r="L78" s="13"/>
      <c r="M78" s="37"/>
      <c r="N78" s="47"/>
    </row>
    <row r="79" spans="1:14" x14ac:dyDescent="0.25">
      <c r="A79" s="38" t="str">
        <f t="shared" si="8"/>
        <v/>
      </c>
      <c r="B79" s="32"/>
      <c r="C79" s="7" t="str">
        <f>IF(B79="","",IFERROR(VLOOKUP(B79,DB_Customers!$A:$D,4,0),"❌ Account Not Found"))</f>
        <v/>
      </c>
      <c r="D79" s="34" t="str">
        <f t="shared" ca="1" si="9"/>
        <v/>
      </c>
      <c r="E79" s="57"/>
      <c r="F79" s="7"/>
      <c r="G79" s="63"/>
      <c r="H79" s="64"/>
      <c r="I79" s="60" t="str">
        <f t="shared" si="10"/>
        <v/>
      </c>
      <c r="J79" s="65" t="str">
        <f t="shared" si="11"/>
        <v/>
      </c>
      <c r="K79" s="66" t="str">
        <f>IF(B79="","Pending",IF(M79="","⚠️ Enter Code",IF(IFERROR(VLOOKUP(L79,DB_Agents!$B:$I,8,0),"")=M79,"Pending","🔒 BLOCKED — Wrong Code")))</f>
        <v>Pending</v>
      </c>
      <c r="L79" s="9"/>
      <c r="M79" s="37"/>
      <c r="N79" s="40"/>
    </row>
    <row r="80" spans="1:14" x14ac:dyDescent="0.25">
      <c r="A80" s="45" t="str">
        <f t="shared" si="8"/>
        <v/>
      </c>
      <c r="B80" s="41"/>
      <c r="C80" s="11" t="str">
        <f>IF(B80="","",IFERROR(VLOOKUP(B80,DB_Customers!$A:$D,4,0),"❌ Account Not Found"))</f>
        <v/>
      </c>
      <c r="D80" s="43" t="str">
        <f t="shared" ca="1" si="9"/>
        <v/>
      </c>
      <c r="E80" s="57"/>
      <c r="F80" s="11"/>
      <c r="G80" s="58"/>
      <c r="H80" s="59"/>
      <c r="I80" s="60" t="str">
        <f t="shared" si="10"/>
        <v/>
      </c>
      <c r="J80" s="61" t="str">
        <f t="shared" si="11"/>
        <v/>
      </c>
      <c r="K80" s="62" t="str">
        <f>IF(B80="","Pending",IF(M80="","⚠️ Enter Code",IF(IFERROR(VLOOKUP(L80,DB_Agents!$B:$I,8,0),"")=M80,"Pending","🔒 BLOCKED — Wrong Code")))</f>
        <v>Pending</v>
      </c>
      <c r="L80" s="13"/>
      <c r="M80" s="37"/>
      <c r="N80" s="47"/>
    </row>
    <row r="81" spans="1:14" x14ac:dyDescent="0.25">
      <c r="A81" s="38" t="str">
        <f t="shared" si="8"/>
        <v/>
      </c>
      <c r="B81" s="32"/>
      <c r="C81" s="7" t="str">
        <f>IF(B81="","",IFERROR(VLOOKUP(B81,DB_Customers!$A:$D,4,0),"❌ Account Not Found"))</f>
        <v/>
      </c>
      <c r="D81" s="34" t="str">
        <f t="shared" ca="1" si="9"/>
        <v/>
      </c>
      <c r="E81" s="57"/>
      <c r="F81" s="7"/>
      <c r="G81" s="63"/>
      <c r="H81" s="64"/>
      <c r="I81" s="60" t="str">
        <f t="shared" si="10"/>
        <v/>
      </c>
      <c r="J81" s="65" t="str">
        <f t="shared" si="11"/>
        <v/>
      </c>
      <c r="K81" s="66" t="str">
        <f>IF(B81="","Pending",IF(M81="","⚠️ Enter Code",IF(IFERROR(VLOOKUP(L81,DB_Agents!$B:$I,8,0),"")=M81,"Pending","🔒 BLOCKED — Wrong Code")))</f>
        <v>Pending</v>
      </c>
      <c r="L81" s="9"/>
      <c r="M81" s="37"/>
      <c r="N81" s="40"/>
    </row>
    <row r="82" spans="1:14" x14ac:dyDescent="0.25">
      <c r="A82" s="45" t="str">
        <f t="shared" si="8"/>
        <v/>
      </c>
      <c r="B82" s="41"/>
      <c r="C82" s="11" t="str">
        <f>IF(B82="","",IFERROR(VLOOKUP(B82,DB_Customers!$A:$D,4,0),"❌ Account Not Found"))</f>
        <v/>
      </c>
      <c r="D82" s="43" t="str">
        <f t="shared" ca="1" si="9"/>
        <v/>
      </c>
      <c r="E82" s="57"/>
      <c r="F82" s="11"/>
      <c r="G82" s="58"/>
      <c r="H82" s="59"/>
      <c r="I82" s="60" t="str">
        <f t="shared" si="10"/>
        <v/>
      </c>
      <c r="J82" s="61" t="str">
        <f t="shared" si="11"/>
        <v/>
      </c>
      <c r="K82" s="62" t="str">
        <f>IF(B82="","Pending",IF(M82="","⚠️ Enter Code",IF(IFERROR(VLOOKUP(L82,DB_Agents!$B:$I,8,0),"")=M82,"Pending","🔒 BLOCKED — Wrong Code")))</f>
        <v>Pending</v>
      </c>
      <c r="L82" s="13"/>
      <c r="M82" s="37"/>
      <c r="N82" s="47"/>
    </row>
    <row r="83" spans="1:14" x14ac:dyDescent="0.25">
      <c r="A83" s="38" t="str">
        <f t="shared" si="8"/>
        <v/>
      </c>
      <c r="B83" s="32"/>
      <c r="C83" s="7" t="str">
        <f>IF(B83="","",IFERROR(VLOOKUP(B83,DB_Customers!$A:$D,4,0),"❌ Account Not Found"))</f>
        <v/>
      </c>
      <c r="D83" s="34" t="str">
        <f t="shared" ca="1" si="9"/>
        <v/>
      </c>
      <c r="E83" s="57"/>
      <c r="F83" s="7"/>
      <c r="G83" s="63"/>
      <c r="H83" s="64"/>
      <c r="I83" s="60" t="str">
        <f t="shared" si="10"/>
        <v/>
      </c>
      <c r="J83" s="65" t="str">
        <f t="shared" si="11"/>
        <v/>
      </c>
      <c r="K83" s="66" t="str">
        <f>IF(B83="","Pending",IF(M83="","⚠️ Enter Code",IF(IFERROR(VLOOKUP(L83,DB_Agents!$B:$I,8,0),"")=M83,"Pending","🔒 BLOCKED — Wrong Code")))</f>
        <v>Pending</v>
      </c>
      <c r="L83" s="9"/>
      <c r="M83" s="37"/>
      <c r="N83" s="40"/>
    </row>
    <row r="84" spans="1:14" x14ac:dyDescent="0.25">
      <c r="A84" s="45" t="str">
        <f t="shared" si="8"/>
        <v/>
      </c>
      <c r="B84" s="41"/>
      <c r="C84" s="11" t="str">
        <f>IF(B84="","",IFERROR(VLOOKUP(B84,DB_Customers!$A:$D,4,0),"❌ Account Not Found"))</f>
        <v/>
      </c>
      <c r="D84" s="43" t="str">
        <f t="shared" ca="1" si="9"/>
        <v/>
      </c>
      <c r="E84" s="57"/>
      <c r="F84" s="11"/>
      <c r="G84" s="58"/>
      <c r="H84" s="59"/>
      <c r="I84" s="60" t="str">
        <f t="shared" si="10"/>
        <v/>
      </c>
      <c r="J84" s="61" t="str">
        <f t="shared" si="11"/>
        <v/>
      </c>
      <c r="K84" s="62" t="str">
        <f>IF(B84="","Pending",IF(M84="","⚠️ Enter Code",IF(IFERROR(VLOOKUP(L84,DB_Agents!$B:$I,8,0),"")=M84,"Pending","🔒 BLOCKED — Wrong Code")))</f>
        <v>Pending</v>
      </c>
      <c r="L84" s="13"/>
      <c r="M84" s="37"/>
      <c r="N84" s="47"/>
    </row>
    <row r="85" spans="1:14" x14ac:dyDescent="0.25">
      <c r="A85" s="38" t="str">
        <f t="shared" si="8"/>
        <v/>
      </c>
      <c r="B85" s="32"/>
      <c r="C85" s="7" t="str">
        <f>IF(B85="","",IFERROR(VLOOKUP(B85,DB_Customers!$A:$D,4,0),"❌ Account Not Found"))</f>
        <v/>
      </c>
      <c r="D85" s="34" t="str">
        <f t="shared" ca="1" si="9"/>
        <v/>
      </c>
      <c r="E85" s="57"/>
      <c r="F85" s="7"/>
      <c r="G85" s="63"/>
      <c r="H85" s="64"/>
      <c r="I85" s="60" t="str">
        <f t="shared" si="10"/>
        <v/>
      </c>
      <c r="J85" s="65" t="str">
        <f t="shared" si="11"/>
        <v/>
      </c>
      <c r="K85" s="66" t="str">
        <f>IF(B85="","Pending",IF(M85="","⚠️ Enter Code",IF(IFERROR(VLOOKUP(L85,DB_Agents!$B:$I,8,0),"")=M85,"Pending","🔒 BLOCKED — Wrong Code")))</f>
        <v>Pending</v>
      </c>
      <c r="L85" s="9"/>
      <c r="M85" s="37"/>
      <c r="N85" s="40"/>
    </row>
    <row r="86" spans="1:14" x14ac:dyDescent="0.25">
      <c r="A86" s="45" t="str">
        <f t="shared" si="8"/>
        <v/>
      </c>
      <c r="B86" s="41"/>
      <c r="C86" s="11" t="str">
        <f>IF(B86="","",IFERROR(VLOOKUP(B86,DB_Customers!$A:$D,4,0),"❌ Account Not Found"))</f>
        <v/>
      </c>
      <c r="D86" s="43" t="str">
        <f t="shared" ca="1" si="9"/>
        <v/>
      </c>
      <c r="E86" s="57"/>
      <c r="F86" s="11"/>
      <c r="G86" s="58"/>
      <c r="H86" s="59"/>
      <c r="I86" s="60" t="str">
        <f t="shared" si="10"/>
        <v/>
      </c>
      <c r="J86" s="61" t="str">
        <f t="shared" si="11"/>
        <v/>
      </c>
      <c r="K86" s="62" t="str">
        <f>IF(B86="","Pending",IF(M86="","⚠️ Enter Code",IF(IFERROR(VLOOKUP(L86,DB_Agents!$B:$I,8,0),"")=M86,"Pending","🔒 BLOCKED — Wrong Code")))</f>
        <v>Pending</v>
      </c>
      <c r="L86" s="13"/>
      <c r="M86" s="37"/>
      <c r="N86" s="47"/>
    </row>
    <row r="87" spans="1:14" x14ac:dyDescent="0.25">
      <c r="A87" s="38" t="str">
        <f t="shared" si="8"/>
        <v/>
      </c>
      <c r="B87" s="32"/>
      <c r="C87" s="7" t="str">
        <f>IF(B87="","",IFERROR(VLOOKUP(B87,DB_Customers!$A:$D,4,0),"❌ Account Not Found"))</f>
        <v/>
      </c>
      <c r="D87" s="34" t="str">
        <f t="shared" ca="1" si="9"/>
        <v/>
      </c>
      <c r="E87" s="57"/>
      <c r="F87" s="7"/>
      <c r="G87" s="63"/>
      <c r="H87" s="64"/>
      <c r="I87" s="60" t="str">
        <f t="shared" si="10"/>
        <v/>
      </c>
      <c r="J87" s="65" t="str">
        <f t="shared" si="11"/>
        <v/>
      </c>
      <c r="K87" s="66" t="str">
        <f>IF(B87="","Pending",IF(M87="","⚠️ Enter Code",IF(IFERROR(VLOOKUP(L87,DB_Agents!$B:$I,8,0),"")=M87,"Pending","🔒 BLOCKED — Wrong Code")))</f>
        <v>Pending</v>
      </c>
      <c r="L87" s="9"/>
      <c r="M87" s="37"/>
      <c r="N87" s="40"/>
    </row>
    <row r="88" spans="1:14" x14ac:dyDescent="0.25">
      <c r="A88" s="45" t="str">
        <f t="shared" si="8"/>
        <v/>
      </c>
      <c r="B88" s="41"/>
      <c r="C88" s="11" t="str">
        <f>IF(B88="","",IFERROR(VLOOKUP(B88,DB_Customers!$A:$D,4,0),"❌ Account Not Found"))</f>
        <v/>
      </c>
      <c r="D88" s="43" t="str">
        <f t="shared" ca="1" si="9"/>
        <v/>
      </c>
      <c r="E88" s="57"/>
      <c r="F88" s="11"/>
      <c r="G88" s="58"/>
      <c r="H88" s="59"/>
      <c r="I88" s="60" t="str">
        <f t="shared" si="10"/>
        <v/>
      </c>
      <c r="J88" s="61" t="str">
        <f t="shared" si="11"/>
        <v/>
      </c>
      <c r="K88" s="62" t="str">
        <f>IF(B88="","Pending",IF(M88="","⚠️ Enter Code",IF(IFERROR(VLOOKUP(L88,DB_Agents!$B:$I,8,0),"")=M88,"Pending","🔒 BLOCKED — Wrong Code")))</f>
        <v>Pending</v>
      </c>
      <c r="L88" s="13"/>
      <c r="M88" s="37"/>
      <c r="N88" s="47"/>
    </row>
    <row r="89" spans="1:14" x14ac:dyDescent="0.25">
      <c r="A89" s="38" t="str">
        <f t="shared" si="8"/>
        <v/>
      </c>
      <c r="B89" s="32"/>
      <c r="C89" s="7" t="str">
        <f>IF(B89="","",IFERROR(VLOOKUP(B89,DB_Customers!$A:$D,4,0),"❌ Account Not Found"))</f>
        <v/>
      </c>
      <c r="D89" s="34" t="str">
        <f t="shared" ca="1" si="9"/>
        <v/>
      </c>
      <c r="E89" s="57"/>
      <c r="F89" s="7"/>
      <c r="G89" s="63"/>
      <c r="H89" s="64"/>
      <c r="I89" s="60" t="str">
        <f t="shared" si="10"/>
        <v/>
      </c>
      <c r="J89" s="65" t="str">
        <f t="shared" si="11"/>
        <v/>
      </c>
      <c r="K89" s="66" t="str">
        <f>IF(B89="","Pending",IF(M89="","⚠️ Enter Code",IF(IFERROR(VLOOKUP(L89,DB_Agents!$B:$I,8,0),"")=M89,"Pending","🔒 BLOCKED — Wrong Code")))</f>
        <v>Pending</v>
      </c>
      <c r="L89" s="9"/>
      <c r="M89" s="37"/>
      <c r="N89" s="40"/>
    </row>
    <row r="90" spans="1:14" x14ac:dyDescent="0.25">
      <c r="A90" s="45" t="str">
        <f t="shared" si="8"/>
        <v/>
      </c>
      <c r="B90" s="41"/>
      <c r="C90" s="11" t="str">
        <f>IF(B90="","",IFERROR(VLOOKUP(B90,DB_Customers!$A:$D,4,0),"❌ Account Not Found"))</f>
        <v/>
      </c>
      <c r="D90" s="43" t="str">
        <f t="shared" ca="1" si="9"/>
        <v/>
      </c>
      <c r="E90" s="57"/>
      <c r="F90" s="11"/>
      <c r="G90" s="58"/>
      <c r="H90" s="59"/>
      <c r="I90" s="60" t="str">
        <f t="shared" si="10"/>
        <v/>
      </c>
      <c r="J90" s="61" t="str">
        <f t="shared" si="11"/>
        <v/>
      </c>
      <c r="K90" s="62" t="str">
        <f>IF(B90="","Pending",IF(M90="","⚠️ Enter Code",IF(IFERROR(VLOOKUP(L90,DB_Agents!$B:$I,8,0),"")=M90,"Pending","🔒 BLOCKED — Wrong Code")))</f>
        <v>Pending</v>
      </c>
      <c r="L90" s="13"/>
      <c r="M90" s="37"/>
      <c r="N90" s="47"/>
    </row>
    <row r="91" spans="1:14" x14ac:dyDescent="0.25">
      <c r="A91" s="38" t="str">
        <f t="shared" si="8"/>
        <v/>
      </c>
      <c r="B91" s="32"/>
      <c r="C91" s="7" t="str">
        <f>IF(B91="","",IFERROR(VLOOKUP(B91,DB_Customers!$A:$D,4,0),"❌ Account Not Found"))</f>
        <v/>
      </c>
      <c r="D91" s="34" t="str">
        <f t="shared" ca="1" si="9"/>
        <v/>
      </c>
      <c r="E91" s="57"/>
      <c r="F91" s="7"/>
      <c r="G91" s="63"/>
      <c r="H91" s="64"/>
      <c r="I91" s="60" t="str">
        <f t="shared" si="10"/>
        <v/>
      </c>
      <c r="J91" s="65" t="str">
        <f t="shared" si="11"/>
        <v/>
      </c>
      <c r="K91" s="66" t="str">
        <f>IF(B91="","Pending",IF(M91="","⚠️ Enter Code",IF(IFERROR(VLOOKUP(L91,DB_Agents!$B:$I,8,0),"")=M91,"Pending","🔒 BLOCKED — Wrong Code")))</f>
        <v>Pending</v>
      </c>
      <c r="L91" s="9"/>
      <c r="M91" s="37"/>
      <c r="N91" s="40"/>
    </row>
    <row r="92" spans="1:14" x14ac:dyDescent="0.25">
      <c r="A92" s="45" t="str">
        <f t="shared" si="8"/>
        <v/>
      </c>
      <c r="B92" s="41"/>
      <c r="C92" s="11" t="str">
        <f>IF(B92="","",IFERROR(VLOOKUP(B92,DB_Customers!$A:$D,4,0),"❌ Account Not Found"))</f>
        <v/>
      </c>
      <c r="D92" s="43" t="str">
        <f t="shared" ca="1" si="9"/>
        <v/>
      </c>
      <c r="E92" s="57"/>
      <c r="F92" s="11"/>
      <c r="G92" s="58"/>
      <c r="H92" s="59"/>
      <c r="I92" s="60" t="str">
        <f t="shared" si="10"/>
        <v/>
      </c>
      <c r="J92" s="61" t="str">
        <f t="shared" si="11"/>
        <v/>
      </c>
      <c r="K92" s="62" t="str">
        <f>IF(B92="","Pending",IF(M92="","⚠️ Enter Code",IF(IFERROR(VLOOKUP(L92,DB_Agents!$B:$I,8,0),"")=M92,"Pending","🔒 BLOCKED — Wrong Code")))</f>
        <v>Pending</v>
      </c>
      <c r="L92" s="13"/>
      <c r="M92" s="37"/>
      <c r="N92" s="47"/>
    </row>
    <row r="93" spans="1:14" x14ac:dyDescent="0.25">
      <c r="A93" s="38" t="str">
        <f t="shared" si="8"/>
        <v/>
      </c>
      <c r="B93" s="32"/>
      <c r="C93" s="7" t="str">
        <f>IF(B93="","",IFERROR(VLOOKUP(B93,DB_Customers!$A:$D,4,0),"❌ Account Not Found"))</f>
        <v/>
      </c>
      <c r="D93" s="34" t="str">
        <f t="shared" ca="1" si="9"/>
        <v/>
      </c>
      <c r="E93" s="57"/>
      <c r="F93" s="7"/>
      <c r="G93" s="63"/>
      <c r="H93" s="64"/>
      <c r="I93" s="60" t="str">
        <f t="shared" si="10"/>
        <v/>
      </c>
      <c r="J93" s="65" t="str">
        <f t="shared" si="11"/>
        <v/>
      </c>
      <c r="K93" s="66" t="str">
        <f>IF(B93="","Pending",IF(M93="","⚠️ Enter Code",IF(IFERROR(VLOOKUP(L93,DB_Agents!$B:$I,8,0),"")=M93,"Pending","🔒 BLOCKED — Wrong Code")))</f>
        <v>Pending</v>
      </c>
      <c r="L93" s="9"/>
      <c r="M93" s="37"/>
      <c r="N93" s="40"/>
    </row>
    <row r="94" spans="1:14" x14ac:dyDescent="0.25">
      <c r="A94" s="45" t="str">
        <f t="shared" si="8"/>
        <v/>
      </c>
      <c r="B94" s="41"/>
      <c r="C94" s="11" t="str">
        <f>IF(B94="","",IFERROR(VLOOKUP(B94,DB_Customers!$A:$D,4,0),"❌ Account Not Found"))</f>
        <v/>
      </c>
      <c r="D94" s="43" t="str">
        <f t="shared" ca="1" si="9"/>
        <v/>
      </c>
      <c r="E94" s="57"/>
      <c r="F94" s="11"/>
      <c r="G94" s="58"/>
      <c r="H94" s="59"/>
      <c r="I94" s="60" t="str">
        <f t="shared" si="10"/>
        <v/>
      </c>
      <c r="J94" s="61" t="str">
        <f t="shared" si="11"/>
        <v/>
      </c>
      <c r="K94" s="62" t="str">
        <f>IF(B94="","Pending",IF(M94="","⚠️ Enter Code",IF(IFERROR(VLOOKUP(L94,DB_Agents!$B:$I,8,0),"")=M94,"Pending","🔒 BLOCKED — Wrong Code")))</f>
        <v>Pending</v>
      </c>
      <c r="L94" s="13"/>
      <c r="M94" s="37"/>
      <c r="N94" s="47"/>
    </row>
    <row r="95" spans="1:14" x14ac:dyDescent="0.25">
      <c r="A95" s="38" t="str">
        <f t="shared" si="8"/>
        <v/>
      </c>
      <c r="B95" s="32"/>
      <c r="C95" s="7" t="str">
        <f>IF(B95="","",IFERROR(VLOOKUP(B95,DB_Customers!$A:$D,4,0),"❌ Account Not Found"))</f>
        <v/>
      </c>
      <c r="D95" s="34" t="str">
        <f t="shared" ca="1" si="9"/>
        <v/>
      </c>
      <c r="E95" s="57"/>
      <c r="F95" s="7"/>
      <c r="G95" s="63"/>
      <c r="H95" s="64"/>
      <c r="I95" s="60" t="str">
        <f t="shared" si="10"/>
        <v/>
      </c>
      <c r="J95" s="65" t="str">
        <f t="shared" si="11"/>
        <v/>
      </c>
      <c r="K95" s="66" t="str">
        <f>IF(B95="","Pending",IF(M95="","⚠️ Enter Code",IF(IFERROR(VLOOKUP(L95,DB_Agents!$B:$I,8,0),"")=M95,"Pending","🔒 BLOCKED — Wrong Code")))</f>
        <v>Pending</v>
      </c>
      <c r="L95" s="9"/>
      <c r="M95" s="37"/>
      <c r="N95" s="40"/>
    </row>
    <row r="96" spans="1:14" x14ac:dyDescent="0.25">
      <c r="A96" s="45" t="str">
        <f t="shared" si="8"/>
        <v/>
      </c>
      <c r="B96" s="41"/>
      <c r="C96" s="11" t="str">
        <f>IF(B96="","",IFERROR(VLOOKUP(B96,DB_Customers!$A:$D,4,0),"❌ Account Not Found"))</f>
        <v/>
      </c>
      <c r="D96" s="43" t="str">
        <f t="shared" ca="1" si="9"/>
        <v/>
      </c>
      <c r="E96" s="57"/>
      <c r="F96" s="11"/>
      <c r="G96" s="58"/>
      <c r="H96" s="59"/>
      <c r="I96" s="60" t="str">
        <f t="shared" si="10"/>
        <v/>
      </c>
      <c r="J96" s="61" t="str">
        <f t="shared" si="11"/>
        <v/>
      </c>
      <c r="K96" s="62" t="str">
        <f>IF(B96="","Pending",IF(M96="","⚠️ Enter Code",IF(IFERROR(VLOOKUP(L96,DB_Agents!$B:$I,8,0),"")=M96,"Pending","🔒 BLOCKED — Wrong Code")))</f>
        <v>Pending</v>
      </c>
      <c r="L96" s="13"/>
      <c r="M96" s="37"/>
      <c r="N96" s="47"/>
    </row>
    <row r="97" spans="1:14" x14ac:dyDescent="0.25">
      <c r="A97" s="38" t="str">
        <f t="shared" si="8"/>
        <v/>
      </c>
      <c r="B97" s="32"/>
      <c r="C97" s="7" t="str">
        <f>IF(B97="","",IFERROR(VLOOKUP(B97,DB_Customers!$A:$D,4,0),"❌ Account Not Found"))</f>
        <v/>
      </c>
      <c r="D97" s="34" t="str">
        <f t="shared" ca="1" si="9"/>
        <v/>
      </c>
      <c r="E97" s="57"/>
      <c r="F97" s="7"/>
      <c r="G97" s="63"/>
      <c r="H97" s="64"/>
      <c r="I97" s="60" t="str">
        <f t="shared" si="10"/>
        <v/>
      </c>
      <c r="J97" s="65" t="str">
        <f t="shared" si="11"/>
        <v/>
      </c>
      <c r="K97" s="66" t="str">
        <f>IF(B97="","Pending",IF(M97="","⚠️ Enter Code",IF(IFERROR(VLOOKUP(L97,DB_Agents!$B:$I,8,0),"")=M97,"Pending","🔒 BLOCKED — Wrong Code")))</f>
        <v>Pending</v>
      </c>
      <c r="L97" s="9"/>
      <c r="M97" s="37"/>
      <c r="N97" s="40"/>
    </row>
    <row r="98" spans="1:14" x14ac:dyDescent="0.25">
      <c r="A98" s="45" t="str">
        <f t="shared" si="8"/>
        <v/>
      </c>
      <c r="B98" s="41"/>
      <c r="C98" s="11" t="str">
        <f>IF(B98="","",IFERROR(VLOOKUP(B98,DB_Customers!$A:$D,4,0),"❌ Account Not Found"))</f>
        <v/>
      </c>
      <c r="D98" s="43" t="str">
        <f t="shared" ca="1" si="9"/>
        <v/>
      </c>
      <c r="E98" s="57"/>
      <c r="F98" s="11"/>
      <c r="G98" s="58"/>
      <c r="H98" s="59"/>
      <c r="I98" s="60" t="str">
        <f t="shared" si="10"/>
        <v/>
      </c>
      <c r="J98" s="61" t="str">
        <f t="shared" si="11"/>
        <v/>
      </c>
      <c r="K98" s="62" t="str">
        <f>IF(B98="","Pending",IF(M98="","⚠️ Enter Code",IF(IFERROR(VLOOKUP(L98,DB_Agents!$B:$I,8,0),"")=M98,"Pending","🔒 BLOCKED — Wrong Code")))</f>
        <v>Pending</v>
      </c>
      <c r="L98" s="13"/>
      <c r="M98" s="37"/>
      <c r="N98" s="47"/>
    </row>
    <row r="99" spans="1:14" x14ac:dyDescent="0.25">
      <c r="A99" s="38" t="str">
        <f t="shared" si="8"/>
        <v/>
      </c>
      <c r="B99" s="32"/>
      <c r="C99" s="7" t="str">
        <f>IF(B99="","",IFERROR(VLOOKUP(B99,DB_Customers!$A:$D,4,0),"❌ Account Not Found"))</f>
        <v/>
      </c>
      <c r="D99" s="34" t="str">
        <f t="shared" ca="1" si="9"/>
        <v/>
      </c>
      <c r="E99" s="57"/>
      <c r="F99" s="7"/>
      <c r="G99" s="63"/>
      <c r="H99" s="64"/>
      <c r="I99" s="60" t="str">
        <f t="shared" si="10"/>
        <v/>
      </c>
      <c r="J99" s="65" t="str">
        <f t="shared" si="11"/>
        <v/>
      </c>
      <c r="K99" s="66" t="str">
        <f>IF(B99="","Pending",IF(M99="","⚠️ Enter Code",IF(IFERROR(VLOOKUP(L99,DB_Agents!$B:$I,8,0),"")=M99,"Pending","🔒 BLOCKED — Wrong Code")))</f>
        <v>Pending</v>
      </c>
      <c r="L99" s="9"/>
      <c r="M99" s="37"/>
      <c r="N99" s="40"/>
    </row>
    <row r="100" spans="1:14" x14ac:dyDescent="0.25">
      <c r="A100" s="45" t="str">
        <f t="shared" si="8"/>
        <v/>
      </c>
      <c r="B100" s="41"/>
      <c r="C100" s="11" t="str">
        <f>IF(B100="","",IFERROR(VLOOKUP(B100,DB_Customers!$A:$D,4,0),"❌ Account Not Found"))</f>
        <v/>
      </c>
      <c r="D100" s="43" t="str">
        <f t="shared" ca="1" si="9"/>
        <v/>
      </c>
      <c r="E100" s="57"/>
      <c r="F100" s="11"/>
      <c r="G100" s="58"/>
      <c r="H100" s="59"/>
      <c r="I100" s="60" t="str">
        <f t="shared" si="10"/>
        <v/>
      </c>
      <c r="J100" s="61" t="str">
        <f t="shared" si="11"/>
        <v/>
      </c>
      <c r="K100" s="62" t="str">
        <f>IF(B100="","Pending",IF(M100="","⚠️ Enter Code",IF(IFERROR(VLOOKUP(L100,DB_Agents!$B:$I,8,0),"")=M100,"Pending","🔒 BLOCKED — Wrong Code")))</f>
        <v>Pending</v>
      </c>
      <c r="L100" s="13"/>
      <c r="M100" s="37"/>
      <c r="N100" s="47"/>
    </row>
    <row r="101" spans="1:14" x14ac:dyDescent="0.25">
      <c r="A101" s="38" t="str">
        <f t="shared" si="8"/>
        <v/>
      </c>
      <c r="B101" s="32"/>
      <c r="C101" s="7" t="str">
        <f>IF(B101="","",IFERROR(VLOOKUP(B101,DB_Customers!$A:$D,4,0),"❌ Account Not Found"))</f>
        <v/>
      </c>
      <c r="D101" s="34" t="str">
        <f t="shared" ca="1" si="9"/>
        <v/>
      </c>
      <c r="E101" s="57"/>
      <c r="F101" s="7"/>
      <c r="G101" s="63"/>
      <c r="H101" s="64"/>
      <c r="I101" s="60" t="str">
        <f t="shared" si="10"/>
        <v/>
      </c>
      <c r="J101" s="65" t="str">
        <f t="shared" si="11"/>
        <v/>
      </c>
      <c r="K101" s="66" t="str">
        <f>IF(B101="","Pending",IF(M101="","⚠️ Enter Code",IF(IFERROR(VLOOKUP(L101,DB_Agents!$B:$I,8,0),"")=M101,"Pending","🔒 BLOCKED — Wrong Code")))</f>
        <v>Pending</v>
      </c>
      <c r="L101" s="9"/>
      <c r="M101" s="37"/>
      <c r="N101" s="40"/>
    </row>
    <row r="102" spans="1:14" x14ac:dyDescent="0.25">
      <c r="A102" s="45" t="str">
        <f t="shared" si="8"/>
        <v/>
      </c>
      <c r="B102" s="41"/>
      <c r="C102" s="11" t="str">
        <f>IF(B102="","",IFERROR(VLOOKUP(B102,DB_Customers!$A:$D,4,0),"❌ Account Not Found"))</f>
        <v/>
      </c>
      <c r="D102" s="43" t="str">
        <f t="shared" ca="1" si="9"/>
        <v/>
      </c>
      <c r="E102" s="57"/>
      <c r="F102" s="11"/>
      <c r="G102" s="58"/>
      <c r="H102" s="59"/>
      <c r="I102" s="60" t="str">
        <f t="shared" si="10"/>
        <v/>
      </c>
      <c r="J102" s="61" t="str">
        <f t="shared" si="11"/>
        <v/>
      </c>
      <c r="K102" s="62" t="str">
        <f>IF(B102="","Pending",IF(M102="","⚠️ Enter Code",IF(IFERROR(VLOOKUP(L102,DB_Agents!$B:$I,8,0),"")=M102,"Pending","🔒 BLOCKED — Wrong Code")))</f>
        <v>Pending</v>
      </c>
      <c r="L102" s="13"/>
      <c r="M102" s="37"/>
      <c r="N102" s="47"/>
    </row>
    <row r="103" spans="1:14" x14ac:dyDescent="0.25">
      <c r="A103" s="38" t="str">
        <f t="shared" si="8"/>
        <v/>
      </c>
      <c r="B103" s="32"/>
      <c r="C103" s="7" t="str">
        <f>IF(B103="","",IFERROR(VLOOKUP(B103,DB_Customers!$A:$D,4,0),"❌ Account Not Found"))</f>
        <v/>
      </c>
      <c r="D103" s="34" t="str">
        <f t="shared" ca="1" si="9"/>
        <v/>
      </c>
      <c r="E103" s="57"/>
      <c r="F103" s="7"/>
      <c r="G103" s="63"/>
      <c r="H103" s="64"/>
      <c r="I103" s="60" t="str">
        <f t="shared" si="10"/>
        <v/>
      </c>
      <c r="J103" s="65" t="str">
        <f t="shared" si="11"/>
        <v/>
      </c>
      <c r="K103" s="66" t="str">
        <f>IF(B103="","Pending",IF(M103="","⚠️ Enter Code",IF(IFERROR(VLOOKUP(L103,DB_Agents!$B:$I,8,0),"")=M103,"Pending","🔒 BLOCKED — Wrong Code")))</f>
        <v>Pending</v>
      </c>
      <c r="L103" s="9"/>
      <c r="M103" s="37"/>
      <c r="N103" s="40"/>
    </row>
    <row r="104" spans="1:14" x14ac:dyDescent="0.25">
      <c r="A104" s="45" t="str">
        <f t="shared" si="8"/>
        <v/>
      </c>
      <c r="B104" s="41"/>
      <c r="C104" s="11" t="str">
        <f>IF(B104="","",IFERROR(VLOOKUP(B104,DB_Customers!$A:$D,4,0),"❌ Account Not Found"))</f>
        <v/>
      </c>
      <c r="D104" s="43" t="str">
        <f t="shared" ca="1" si="9"/>
        <v/>
      </c>
      <c r="E104" s="57"/>
      <c r="F104" s="11"/>
      <c r="G104" s="58"/>
      <c r="H104" s="59"/>
      <c r="I104" s="60" t="str">
        <f t="shared" si="10"/>
        <v/>
      </c>
      <c r="J104" s="61" t="str">
        <f t="shared" si="11"/>
        <v/>
      </c>
      <c r="K104" s="62" t="str">
        <f>IF(B104="","Pending",IF(M104="","⚠️ Enter Code",IF(IFERROR(VLOOKUP(L104,DB_Agents!$B:$I,8,0),"")=M104,"Pending","🔒 BLOCKED — Wrong Code")))</f>
        <v>Pending</v>
      </c>
      <c r="L104" s="13"/>
      <c r="M104" s="37"/>
      <c r="N104" s="47"/>
    </row>
    <row r="105" spans="1:14" x14ac:dyDescent="0.25">
      <c r="A105" s="38" t="str">
        <f t="shared" si="8"/>
        <v/>
      </c>
      <c r="B105" s="32"/>
      <c r="C105" s="7" t="str">
        <f>IF(B105="","",IFERROR(VLOOKUP(B105,DB_Customers!$A:$D,4,0),"❌ Account Not Found"))</f>
        <v/>
      </c>
      <c r="D105" s="34" t="str">
        <f t="shared" ca="1" si="9"/>
        <v/>
      </c>
      <c r="E105" s="57"/>
      <c r="F105" s="7"/>
      <c r="G105" s="63"/>
      <c r="H105" s="64"/>
      <c r="I105" s="60" t="str">
        <f t="shared" si="10"/>
        <v/>
      </c>
      <c r="J105" s="65" t="str">
        <f t="shared" si="11"/>
        <v/>
      </c>
      <c r="K105" s="66" t="str">
        <f>IF(B105="","Pending",IF(M105="","⚠️ Enter Code",IF(IFERROR(VLOOKUP(L105,DB_Agents!$B:$I,8,0),"")=M105,"Pending","🔒 BLOCKED — Wrong Code")))</f>
        <v>Pending</v>
      </c>
      <c r="L105" s="9"/>
      <c r="M105" s="37"/>
      <c r="N105" s="40"/>
    </row>
    <row r="106" spans="1:14" x14ac:dyDescent="0.25">
      <c r="A106" s="45" t="str">
        <f t="shared" si="8"/>
        <v/>
      </c>
      <c r="B106" s="41"/>
      <c r="C106" s="11" t="str">
        <f>IF(B106="","",IFERROR(VLOOKUP(B106,DB_Customers!$A:$D,4,0),"❌ Account Not Found"))</f>
        <v/>
      </c>
      <c r="D106" s="43" t="str">
        <f t="shared" ca="1" si="9"/>
        <v/>
      </c>
      <c r="E106" s="57"/>
      <c r="F106" s="11"/>
      <c r="G106" s="58"/>
      <c r="H106" s="59"/>
      <c r="I106" s="60" t="str">
        <f t="shared" si="10"/>
        <v/>
      </c>
      <c r="J106" s="61" t="str">
        <f t="shared" si="11"/>
        <v/>
      </c>
      <c r="K106" s="62" t="str">
        <f>IF(B106="","Pending",IF(M106="","⚠️ Enter Code",IF(IFERROR(VLOOKUP(L106,DB_Agents!$B:$I,8,0),"")=M106,"Pending","🔒 BLOCKED — Wrong Code")))</f>
        <v>Pending</v>
      </c>
      <c r="L106" s="13"/>
      <c r="M106" s="37"/>
      <c r="N106" s="47"/>
    </row>
    <row r="107" spans="1:14" x14ac:dyDescent="0.25">
      <c r="A107" s="38" t="str">
        <f t="shared" si="8"/>
        <v/>
      </c>
      <c r="B107" s="32"/>
      <c r="C107" s="7" t="str">
        <f>IF(B107="","",IFERROR(VLOOKUP(B107,DB_Customers!$A:$D,4,0),"❌ Account Not Found"))</f>
        <v/>
      </c>
      <c r="D107" s="34" t="str">
        <f t="shared" ca="1" si="9"/>
        <v/>
      </c>
      <c r="E107" s="57"/>
      <c r="F107" s="7"/>
      <c r="G107" s="63"/>
      <c r="H107" s="64"/>
      <c r="I107" s="60" t="str">
        <f t="shared" si="10"/>
        <v/>
      </c>
      <c r="J107" s="65" t="str">
        <f t="shared" si="11"/>
        <v/>
      </c>
      <c r="K107" s="66" t="str">
        <f>IF(B107="","Pending",IF(M107="","⚠️ Enter Code",IF(IFERROR(VLOOKUP(L107,DB_Agents!$B:$I,8,0),"")=M107,"Pending","🔒 BLOCKED — Wrong Code")))</f>
        <v>Pending</v>
      </c>
      <c r="L107" s="9"/>
      <c r="M107" s="37"/>
      <c r="N107" s="40"/>
    </row>
    <row r="108" spans="1:14" x14ac:dyDescent="0.25">
      <c r="A108" s="45" t="str">
        <f t="shared" si="8"/>
        <v/>
      </c>
      <c r="B108" s="41"/>
      <c r="C108" s="11" t="str">
        <f>IF(B108="","",IFERROR(VLOOKUP(B108,DB_Customers!$A:$D,4,0),"❌ Account Not Found"))</f>
        <v/>
      </c>
      <c r="D108" s="43" t="str">
        <f t="shared" ca="1" si="9"/>
        <v/>
      </c>
      <c r="E108" s="57"/>
      <c r="F108" s="11"/>
      <c r="G108" s="58"/>
      <c r="H108" s="59"/>
      <c r="I108" s="60" t="str">
        <f t="shared" si="10"/>
        <v/>
      </c>
      <c r="J108" s="61" t="str">
        <f t="shared" si="11"/>
        <v/>
      </c>
      <c r="K108" s="62" t="str">
        <f>IF(B108="","Pending",IF(M108="","⚠️ Enter Code",IF(IFERROR(VLOOKUP(L108,DB_Agents!$B:$I,8,0),"")=M108,"Pending","🔒 BLOCKED — Wrong Code")))</f>
        <v>Pending</v>
      </c>
      <c r="L108" s="13"/>
      <c r="M108" s="37"/>
      <c r="N108" s="47"/>
    </row>
    <row r="109" spans="1:14" x14ac:dyDescent="0.25">
      <c r="A109" s="38" t="str">
        <f t="shared" si="8"/>
        <v/>
      </c>
      <c r="B109" s="32"/>
      <c r="C109" s="7" t="str">
        <f>IF(B109="","",IFERROR(VLOOKUP(B109,DB_Customers!$A:$D,4,0),"❌ Account Not Found"))</f>
        <v/>
      </c>
      <c r="D109" s="34" t="str">
        <f t="shared" ca="1" si="9"/>
        <v/>
      </c>
      <c r="E109" s="57"/>
      <c r="F109" s="7"/>
      <c r="G109" s="63"/>
      <c r="H109" s="64"/>
      <c r="I109" s="60" t="str">
        <f t="shared" si="10"/>
        <v/>
      </c>
      <c r="J109" s="65" t="str">
        <f t="shared" si="11"/>
        <v/>
      </c>
      <c r="K109" s="66" t="str">
        <f>IF(B109="","Pending",IF(M109="","⚠️ Enter Code",IF(IFERROR(VLOOKUP(L109,DB_Agents!$B:$I,8,0),"")=M109,"Pending","🔒 BLOCKED — Wrong Code")))</f>
        <v>Pending</v>
      </c>
      <c r="L109" s="9"/>
      <c r="M109" s="37"/>
      <c r="N109" s="40"/>
    </row>
    <row r="110" spans="1:14" x14ac:dyDescent="0.25">
      <c r="A110" s="45" t="str">
        <f t="shared" ref="A110:A113" si="12">IF(B110="","",IF(C110="❌ Account Not Found","INVALID","LN"&amp;TEXT(D110,"YYYYMMDD")&amp;TEXT(ROW()-13,"0000")))</f>
        <v/>
      </c>
      <c r="B110" s="41"/>
      <c r="C110" s="11" t="str">
        <f>IF(B110="","",IFERROR(VLOOKUP(B110,DB_Customers!$A:$D,4,0),"❌ Account Not Found"))</f>
        <v/>
      </c>
      <c r="D110" s="43" t="str">
        <f t="shared" ca="1" si="9"/>
        <v/>
      </c>
      <c r="E110" s="57"/>
      <c r="F110" s="11"/>
      <c r="G110" s="58"/>
      <c r="H110" s="59"/>
      <c r="I110" s="60" t="str">
        <f t="shared" ref="I110:I113" si="13">IF(E110="","",E110+(E110*H110/100*G110))</f>
        <v/>
      </c>
      <c r="J110" s="61" t="str">
        <f t="shared" ref="J110:J113" si="14">IFERROR(I110/G110,"")</f>
        <v/>
      </c>
      <c r="K110" s="62" t="str">
        <f>IF(B110="","Pending",IF(M110="","⚠️ Enter Code",IF(IFERROR(VLOOKUP(L110,DB_Agents!$B:$I,8,0),"")=M110,"Pending","🔒 BLOCKED — Wrong Code")))</f>
        <v>Pending</v>
      </c>
      <c r="L110" s="13"/>
      <c r="M110" s="37"/>
      <c r="N110" s="47"/>
    </row>
    <row r="111" spans="1:14" x14ac:dyDescent="0.25">
      <c r="A111" s="38" t="str">
        <f t="shared" si="12"/>
        <v/>
      </c>
      <c r="B111" s="32"/>
      <c r="C111" s="7" t="str">
        <f>IF(B111="","",IFERROR(VLOOKUP(B111,DB_Customers!$A:$D,4,0),"❌ Account Not Found"))</f>
        <v/>
      </c>
      <c r="D111" s="34" t="str">
        <f t="shared" ca="1" si="9"/>
        <v/>
      </c>
      <c r="E111" s="57"/>
      <c r="F111" s="7"/>
      <c r="G111" s="63"/>
      <c r="H111" s="64"/>
      <c r="I111" s="60" t="str">
        <f t="shared" si="13"/>
        <v/>
      </c>
      <c r="J111" s="65" t="str">
        <f t="shared" si="14"/>
        <v/>
      </c>
      <c r="K111" s="66" t="str">
        <f>IF(B111="","Pending",IF(M111="","⚠️ Enter Code",IF(IFERROR(VLOOKUP(L111,DB_Agents!$B:$I,8,0),"")=M111,"Pending","🔒 BLOCKED — Wrong Code")))</f>
        <v>Pending</v>
      </c>
      <c r="L111" s="9"/>
      <c r="M111" s="37"/>
      <c r="N111" s="40"/>
    </row>
    <row r="112" spans="1:14" x14ac:dyDescent="0.25">
      <c r="A112" s="45" t="str">
        <f t="shared" si="12"/>
        <v/>
      </c>
      <c r="B112" s="41"/>
      <c r="C112" s="11" t="str">
        <f>IF(B112="","",IFERROR(VLOOKUP(B112,DB_Customers!$A:$D,4,0),"❌ Account Not Found"))</f>
        <v/>
      </c>
      <c r="D112" s="43" t="str">
        <f t="shared" ca="1" si="9"/>
        <v/>
      </c>
      <c r="E112" s="57"/>
      <c r="F112" s="11"/>
      <c r="G112" s="58"/>
      <c r="H112" s="59"/>
      <c r="I112" s="60" t="str">
        <f t="shared" si="13"/>
        <v/>
      </c>
      <c r="J112" s="61" t="str">
        <f t="shared" si="14"/>
        <v/>
      </c>
      <c r="K112" s="62" t="str">
        <f>IF(B112="","Pending",IF(M112="","⚠️ Enter Code",IF(IFERROR(VLOOKUP(L112,DB_Agents!$B:$I,8,0),"")=M112,"Pending","🔒 BLOCKED — Wrong Code")))</f>
        <v>Pending</v>
      </c>
      <c r="L112" s="13"/>
      <c r="M112" s="37"/>
      <c r="N112" s="47"/>
    </row>
    <row r="113" spans="1:14" x14ac:dyDescent="0.25">
      <c r="A113" s="38" t="str">
        <f t="shared" si="12"/>
        <v/>
      </c>
      <c r="B113" s="32"/>
      <c r="C113" s="7" t="str">
        <f>IF(B113="","",IFERROR(VLOOKUP(B113,DB_Customers!$A:$D,4,0),"❌ Account Not Found"))</f>
        <v/>
      </c>
      <c r="D113" s="34" t="str">
        <f t="shared" ca="1" si="9"/>
        <v/>
      </c>
      <c r="E113" s="57"/>
      <c r="F113" s="7"/>
      <c r="G113" s="63"/>
      <c r="H113" s="64"/>
      <c r="I113" s="60" t="str">
        <f t="shared" si="13"/>
        <v/>
      </c>
      <c r="J113" s="65" t="str">
        <f t="shared" si="14"/>
        <v/>
      </c>
      <c r="K113" s="66" t="str">
        <f>IF(B113="","Pending",IF(M113="","⚠️ Enter Code",IF(IFERROR(VLOOKUP(L113,DB_Agents!$B:$I,8,0),"")=M113,"Pending","🔒 BLOCKED — Wrong Code")))</f>
        <v>Pending</v>
      </c>
      <c r="L113" s="9"/>
      <c r="M113" s="37"/>
      <c r="N113" s="40"/>
    </row>
    <row r="114" spans="1:14" x14ac:dyDescent="0.25">
      <c r="H114" s="67"/>
      <c r="K114" s="68" t="str">
        <f>IF(B114="","Pending",IF(M114="","⚠️ Enter Code",IF(IFERROR(VLOOKUP(L114,DB_Agents!$B:$I,8,0),"")=M114,"Pending","🔒 BLOCKED — Wrong Code")))</f>
        <v>Pending</v>
      </c>
      <c r="M114" s="37"/>
    </row>
    <row r="115" spans="1:14" x14ac:dyDescent="0.25">
      <c r="H115" s="67"/>
      <c r="K115" s="1" t="str">
        <f>IF(B115="","Pending",IF(M115="","⚠️ Enter Code",IF(IFERROR(VLOOKUP(L115,DB_Agents!$B:$I,8,0),"")=M115,"Pending","🔒 BLOCKED — Wrong Code")))</f>
        <v>Pending</v>
      </c>
      <c r="M115" s="37"/>
    </row>
    <row r="116" spans="1:14" x14ac:dyDescent="0.25">
      <c r="H116" s="67"/>
      <c r="K116" s="68" t="str">
        <f>IF(B116="","Pending",IF(M116="","⚠️ Enter Code",IF(IFERROR(VLOOKUP(L116,DB_Agents!$B:$I,8,0),"")=M116,"Pending","🔒 BLOCKED — Wrong Code")))</f>
        <v>Pending</v>
      </c>
      <c r="M116" s="37"/>
    </row>
    <row r="117" spans="1:14" x14ac:dyDescent="0.25">
      <c r="H117" s="67"/>
      <c r="K117" s="1" t="str">
        <f>IF(B117="","Pending",IF(M117="","⚠️ Enter Code",IF(IFERROR(VLOOKUP(L117,DB_Agents!$B:$I,8,0),"")=M117,"Pending","🔒 BLOCKED — Wrong Code")))</f>
        <v>Pending</v>
      </c>
      <c r="M117" s="37"/>
    </row>
    <row r="118" spans="1:14" x14ac:dyDescent="0.25">
      <c r="H118" s="67"/>
      <c r="K118" s="68" t="str">
        <f>IF(B118="","Pending",IF(M118="","⚠️ Enter Code",IF(IFERROR(VLOOKUP(L118,DB_Agents!$B:$I,8,0),"")=M118,"Pending","🔒 BLOCKED — Wrong Code")))</f>
        <v>Pending</v>
      </c>
      <c r="M118" s="37"/>
    </row>
    <row r="119" spans="1:14" x14ac:dyDescent="0.25">
      <c r="H119" s="67"/>
      <c r="K119" s="1" t="str">
        <f>IF(B119="","Pending",IF(M119="","⚠️ Enter Code",IF(IFERROR(VLOOKUP(L119,DB_Agents!$B:$I,8,0),"")=M119,"Pending","🔒 BLOCKED — Wrong Code")))</f>
        <v>Pending</v>
      </c>
      <c r="M119" s="37"/>
    </row>
    <row r="120" spans="1:14" x14ac:dyDescent="0.25">
      <c r="H120" s="67"/>
      <c r="K120" s="68" t="str">
        <f>IF(B120="","Pending",IF(M120="","⚠️ Enter Code",IF(IFERROR(VLOOKUP(L120,DB_Agents!$B:$I,8,0),"")=M120,"Pending","🔒 BLOCKED — Wrong Code")))</f>
        <v>Pending</v>
      </c>
      <c r="M120" s="37"/>
    </row>
    <row r="121" spans="1:14" x14ac:dyDescent="0.25">
      <c r="H121" s="67"/>
      <c r="K121" s="1" t="str">
        <f>IF(B121="","Pending",IF(M121="","⚠️ Enter Code",IF(IFERROR(VLOOKUP(L121,DB_Agents!$B:$I,8,0),"")=M121,"Pending","🔒 BLOCKED — Wrong Code")))</f>
        <v>Pending</v>
      </c>
      <c r="M121" s="37"/>
    </row>
    <row r="122" spans="1:14" x14ac:dyDescent="0.25">
      <c r="H122" s="67"/>
      <c r="K122" s="68" t="str">
        <f>IF(B122="","Pending",IF(M122="","⚠️ Enter Code",IF(IFERROR(VLOOKUP(L122,DB_Agents!$B:$I,8,0),"")=M122,"Pending","🔒 BLOCKED — Wrong Code")))</f>
        <v>Pending</v>
      </c>
      <c r="M122" s="37"/>
    </row>
    <row r="123" spans="1:14" x14ac:dyDescent="0.25">
      <c r="H123" s="67"/>
      <c r="K123" s="1" t="str">
        <f>IF(B123="","Pending",IF(M123="","⚠️ Enter Code",IF(IFERROR(VLOOKUP(L123,DB_Agents!$B:$I,8,0),"")=M123,"Pending","🔒 BLOCKED — Wrong Code")))</f>
        <v>Pending</v>
      </c>
      <c r="M123" s="37"/>
    </row>
    <row r="124" spans="1:14" x14ac:dyDescent="0.25">
      <c r="H124" s="67"/>
      <c r="K124" s="68" t="str">
        <f>IF(B124="","Pending",IF(M124="","⚠️ Enter Code",IF(IFERROR(VLOOKUP(L124,DB_Agents!$B:$I,8,0),"")=M124,"Pending","🔒 BLOCKED — Wrong Code")))</f>
        <v>Pending</v>
      </c>
      <c r="M124" s="37"/>
    </row>
    <row r="125" spans="1:14" x14ac:dyDescent="0.25">
      <c r="H125" s="67"/>
      <c r="K125" s="1" t="str">
        <f>IF(B125="","Pending",IF(M125="","⚠️ Enter Code",IF(IFERROR(VLOOKUP(L125,DB_Agents!$B:$I,8,0),"")=M125,"Pending","🔒 BLOCKED — Wrong Code")))</f>
        <v>Pending</v>
      </c>
      <c r="M125" s="37"/>
    </row>
    <row r="126" spans="1:14" x14ac:dyDescent="0.25">
      <c r="H126" s="67"/>
      <c r="K126" s="68" t="str">
        <f>IF(B126="","Pending",IF(M126="","⚠️ Enter Code",IF(IFERROR(VLOOKUP(L126,DB_Agents!$B:$I,8,0),"")=M126,"Pending","🔒 BLOCKED — Wrong Code")))</f>
        <v>Pending</v>
      </c>
      <c r="M126" s="37"/>
    </row>
    <row r="127" spans="1:14" x14ac:dyDescent="0.25">
      <c r="H127" s="67"/>
      <c r="K127" s="1" t="str">
        <f>IF(B127="","Pending",IF(M127="","⚠️ Enter Code",IF(IFERROR(VLOOKUP(L127,DB_Agents!$B:$I,8,0),"")=M127,"Pending","🔒 BLOCKED — Wrong Code")))</f>
        <v>Pending</v>
      </c>
      <c r="M127" s="37"/>
    </row>
    <row r="128" spans="1:14" x14ac:dyDescent="0.25">
      <c r="H128" s="67"/>
      <c r="K128" s="68" t="str">
        <f>IF(B128="","Pending",IF(M128="","⚠️ Enter Code",IF(IFERROR(VLOOKUP(L128,DB_Agents!$B:$I,8,0),"")=M128,"Pending","🔒 BLOCKED — Wrong Code")))</f>
        <v>Pending</v>
      </c>
      <c r="M128" s="37"/>
    </row>
    <row r="129" spans="8:13" x14ac:dyDescent="0.25">
      <c r="H129" s="67"/>
      <c r="K129" s="1" t="str">
        <f>IF(B129="","Pending",IF(M129="","⚠️ Enter Code",IF(IFERROR(VLOOKUP(L129,DB_Agents!$B:$I,8,0),"")=M129,"Pending","🔒 BLOCKED — Wrong Code")))</f>
        <v>Pending</v>
      </c>
      <c r="M129" s="37"/>
    </row>
    <row r="130" spans="8:13" x14ac:dyDescent="0.25">
      <c r="H130" s="67"/>
      <c r="K130" s="68" t="str">
        <f>IF(B130="","Pending",IF(M130="","⚠️ Enter Code",IF(IFERROR(VLOOKUP(L130,DB_Agents!$B:$I,8,0),"")=M130,"Pending","🔒 BLOCKED — Wrong Code")))</f>
        <v>Pending</v>
      </c>
      <c r="M130" s="37"/>
    </row>
    <row r="131" spans="8:13" x14ac:dyDescent="0.25">
      <c r="H131" s="67"/>
      <c r="K131" s="1" t="str">
        <f>IF(B131="","Pending",IF(M131="","⚠️ Enter Code",IF(IFERROR(VLOOKUP(L131,DB_Agents!$B:$I,8,0),"")=M131,"Pending","🔒 BLOCKED — Wrong Code")))</f>
        <v>Pending</v>
      </c>
      <c r="M131" s="37"/>
    </row>
    <row r="132" spans="8:13" x14ac:dyDescent="0.25">
      <c r="H132" s="67"/>
      <c r="K132" s="68" t="str">
        <f>IF(B132="","Pending",IF(M132="","⚠️ Enter Code",IF(IFERROR(VLOOKUP(L132,DB_Agents!$B:$I,8,0),"")=M132,"Pending","🔒 BLOCKED — Wrong Code")))</f>
        <v>Pending</v>
      </c>
      <c r="M132" s="37"/>
    </row>
    <row r="133" spans="8:13" x14ac:dyDescent="0.25">
      <c r="H133" s="67"/>
      <c r="K133" s="1" t="str">
        <f>IF(B133="","Pending",IF(M133="","⚠️ Enter Code",IF(IFERROR(VLOOKUP(L133,DB_Agents!$B:$I,8,0),"")=M133,"Pending","🔒 BLOCKED — Wrong Code")))</f>
        <v>Pending</v>
      </c>
      <c r="M133" s="37"/>
    </row>
    <row r="134" spans="8:13" x14ac:dyDescent="0.25">
      <c r="H134" s="67"/>
      <c r="K134" s="68" t="str">
        <f>IF(B134="","Pending",IF(M134="","⚠️ Enter Code",IF(IFERROR(VLOOKUP(L134,DB_Agents!$B:$I,8,0),"")=M134,"Pending","🔒 BLOCKED — Wrong Code")))</f>
        <v>Pending</v>
      </c>
      <c r="M134" s="37"/>
    </row>
    <row r="135" spans="8:13" x14ac:dyDescent="0.25">
      <c r="H135" s="67"/>
      <c r="K135" s="1" t="str">
        <f>IF(B135="","Pending",IF(M135="","⚠️ Enter Code",IF(IFERROR(VLOOKUP(L135,DB_Agents!$B:$I,8,0),"")=M135,"Pending","🔒 BLOCKED — Wrong Code")))</f>
        <v>Pending</v>
      </c>
      <c r="M135" s="37"/>
    </row>
    <row r="136" spans="8:13" x14ac:dyDescent="0.25">
      <c r="H136" s="67"/>
      <c r="K136" s="68" t="str">
        <f>IF(B136="","Pending",IF(M136="","⚠️ Enter Code",IF(IFERROR(VLOOKUP(L136,DB_Agents!$B:$I,8,0),"")=M136,"Pending","🔒 BLOCKED — Wrong Code")))</f>
        <v>Pending</v>
      </c>
      <c r="M136" s="37"/>
    </row>
    <row r="137" spans="8:13" x14ac:dyDescent="0.25">
      <c r="H137" s="67"/>
      <c r="K137" s="1" t="str">
        <f>IF(B137="","Pending",IF(M137="","⚠️ Enter Code",IF(IFERROR(VLOOKUP(L137,DB_Agents!$B:$I,8,0),"")=M137,"Pending","🔒 BLOCKED — Wrong Code")))</f>
        <v>Pending</v>
      </c>
      <c r="M137" s="37"/>
    </row>
    <row r="138" spans="8:13" x14ac:dyDescent="0.25">
      <c r="H138" s="67"/>
      <c r="K138" s="68" t="str">
        <f>IF(B138="","Pending",IF(M138="","⚠️ Enter Code",IF(IFERROR(VLOOKUP(L138,DB_Agents!$B:$I,8,0),"")=M138,"Pending","🔒 BLOCKED — Wrong Code")))</f>
        <v>Pending</v>
      </c>
      <c r="M138" s="37"/>
    </row>
    <row r="139" spans="8:13" x14ac:dyDescent="0.25">
      <c r="H139" s="67"/>
      <c r="K139" s="1" t="str">
        <f>IF(B139="","Pending",IF(M139="","⚠️ Enter Code",IF(IFERROR(VLOOKUP(L139,DB_Agents!$B:$I,8,0),"")=M139,"Pending","🔒 BLOCKED — Wrong Code")))</f>
        <v>Pending</v>
      </c>
      <c r="M139" s="37"/>
    </row>
    <row r="140" spans="8:13" x14ac:dyDescent="0.25">
      <c r="H140" s="67"/>
      <c r="K140" s="68" t="str">
        <f>IF(B140="","Pending",IF(M140="","⚠️ Enter Code",IF(IFERROR(VLOOKUP(L140,DB_Agents!$B:$I,8,0),"")=M140,"Pending","🔒 BLOCKED — Wrong Code")))</f>
        <v>Pending</v>
      </c>
      <c r="M140" s="37"/>
    </row>
    <row r="141" spans="8:13" x14ac:dyDescent="0.25">
      <c r="H141" s="67"/>
      <c r="K141" s="1" t="str">
        <f>IF(B141="","Pending",IF(M141="","⚠️ Enter Code",IF(IFERROR(VLOOKUP(L141,DB_Agents!$B:$I,8,0),"")=M141,"Pending","🔒 BLOCKED — Wrong Code")))</f>
        <v>Pending</v>
      </c>
      <c r="M141" s="37"/>
    </row>
    <row r="142" spans="8:13" x14ac:dyDescent="0.25">
      <c r="H142" s="67"/>
      <c r="K142" s="68" t="str">
        <f>IF(B142="","Pending",IF(M142="","⚠️ Enter Code",IF(IFERROR(VLOOKUP(L142,DB_Agents!$B:$I,8,0),"")=M142,"Pending","🔒 BLOCKED — Wrong Code")))</f>
        <v>Pending</v>
      </c>
      <c r="M142" s="37"/>
    </row>
    <row r="143" spans="8:13" x14ac:dyDescent="0.25">
      <c r="H143" s="67"/>
      <c r="K143" s="1" t="str">
        <f>IF(B143="","Pending",IF(M143="","⚠️ Enter Code",IF(IFERROR(VLOOKUP(L143,DB_Agents!$B:$I,8,0),"")=M143,"Pending","🔒 BLOCKED — Wrong Code")))</f>
        <v>Pending</v>
      </c>
      <c r="M143" s="37"/>
    </row>
    <row r="144" spans="8:13" x14ac:dyDescent="0.25">
      <c r="H144" s="67"/>
      <c r="K144" s="68" t="str">
        <f>IF(B144="","Pending",IF(M144="","⚠️ Enter Code",IF(IFERROR(VLOOKUP(L144,DB_Agents!$B:$I,8,0),"")=M144,"Pending","🔒 BLOCKED — Wrong Code")))</f>
        <v>Pending</v>
      </c>
      <c r="M144" s="37"/>
    </row>
    <row r="145" spans="8:13" x14ac:dyDescent="0.25">
      <c r="H145" s="67"/>
      <c r="K145" s="1" t="str">
        <f>IF(B145="","Pending",IF(M145="","⚠️ Enter Code",IF(IFERROR(VLOOKUP(L145,DB_Agents!$B:$I,8,0),"")=M145,"Pending","🔒 BLOCKED — Wrong Code")))</f>
        <v>Pending</v>
      </c>
      <c r="M145" s="37"/>
    </row>
    <row r="146" spans="8:13" x14ac:dyDescent="0.25">
      <c r="H146" s="67"/>
      <c r="K146" s="68" t="str">
        <f>IF(B146="","Pending",IF(M146="","⚠️ Enter Code",IF(IFERROR(VLOOKUP(L146,DB_Agents!$B:$I,8,0),"")=M146,"Pending","🔒 BLOCKED — Wrong Code")))</f>
        <v>Pending</v>
      </c>
      <c r="M146" s="37"/>
    </row>
    <row r="147" spans="8:13" x14ac:dyDescent="0.25">
      <c r="H147" s="67"/>
      <c r="K147" s="1" t="str">
        <f>IF(B147="","Pending",IF(M147="","⚠️ Enter Code",IF(IFERROR(VLOOKUP(L147,DB_Agents!$B:$I,8,0),"")=M147,"Pending","🔒 BLOCKED — Wrong Code")))</f>
        <v>Pending</v>
      </c>
      <c r="M147" s="37"/>
    </row>
    <row r="148" spans="8:13" x14ac:dyDescent="0.25">
      <c r="H148" s="67"/>
      <c r="K148" s="68" t="str">
        <f>IF(B148="","Pending",IF(M148="","⚠️ Enter Code",IF(IFERROR(VLOOKUP(L148,DB_Agents!$B:$I,8,0),"")=M148,"Pending","🔒 BLOCKED — Wrong Code")))</f>
        <v>Pending</v>
      </c>
      <c r="M148" s="37"/>
    </row>
    <row r="149" spans="8:13" x14ac:dyDescent="0.25">
      <c r="H149" s="67"/>
      <c r="K149" s="1" t="str">
        <f>IF(B149="","Pending",IF(M149="","⚠️ Enter Code",IF(IFERROR(VLOOKUP(L149,DB_Agents!$B:$I,8,0),"")=M149,"Pending","🔒 BLOCKED — Wrong Code")))</f>
        <v>Pending</v>
      </c>
      <c r="M149" s="37"/>
    </row>
    <row r="150" spans="8:13" x14ac:dyDescent="0.25">
      <c r="H150" s="67"/>
      <c r="K150" s="68" t="str">
        <f>IF(B150="","Pending",IF(M150="","⚠️ Enter Code",IF(IFERROR(VLOOKUP(L150,DB_Agents!$B:$I,8,0),"")=M150,"Pending","🔒 BLOCKED — Wrong Code")))</f>
        <v>Pending</v>
      </c>
      <c r="M150" s="37"/>
    </row>
    <row r="151" spans="8:13" x14ac:dyDescent="0.25">
      <c r="H151" s="67"/>
      <c r="K151" s="1" t="str">
        <f>IF(B151="","Pending",IF(M151="","⚠️ Enter Code",IF(IFERROR(VLOOKUP(L151,DB_Agents!$B:$I,8,0),"")=M151,"Pending","🔒 BLOCKED — Wrong Code")))</f>
        <v>Pending</v>
      </c>
      <c r="M151" s="37"/>
    </row>
    <row r="152" spans="8:13" x14ac:dyDescent="0.25">
      <c r="H152" s="67"/>
      <c r="K152" s="68" t="str">
        <f>IF(B152="","Pending",IF(M152="","⚠️ Enter Code",IF(IFERROR(VLOOKUP(L152,DB_Agents!$B:$I,8,0),"")=M152,"Pending","🔒 BLOCKED — Wrong Code")))</f>
        <v>Pending</v>
      </c>
      <c r="M152" s="37"/>
    </row>
    <row r="153" spans="8:13" x14ac:dyDescent="0.25">
      <c r="H153" s="67"/>
      <c r="K153" s="1" t="str">
        <f>IF(B153="","Pending",IF(M153="","⚠️ Enter Code",IF(IFERROR(VLOOKUP(L153,DB_Agents!$B:$I,8,0),"")=M153,"Pending","🔒 BLOCKED — Wrong Code")))</f>
        <v>Pending</v>
      </c>
      <c r="M153" s="37"/>
    </row>
    <row r="154" spans="8:13" x14ac:dyDescent="0.25">
      <c r="H154" s="67"/>
      <c r="K154" s="68" t="str">
        <f>IF(B154="","Pending",IF(M154="","⚠️ Enter Code",IF(IFERROR(VLOOKUP(L154,DB_Agents!$B:$I,8,0),"")=M154,"Pending","🔒 BLOCKED — Wrong Code")))</f>
        <v>Pending</v>
      </c>
      <c r="M154" s="37"/>
    </row>
    <row r="155" spans="8:13" x14ac:dyDescent="0.25">
      <c r="H155" s="67"/>
      <c r="K155" s="1" t="str">
        <f>IF(B155="","Pending",IF(M155="","⚠️ Enter Code",IF(IFERROR(VLOOKUP(L155,DB_Agents!$B:$I,8,0),"")=M155,"Pending","🔒 BLOCKED — Wrong Code")))</f>
        <v>Pending</v>
      </c>
      <c r="M155" s="37"/>
    </row>
    <row r="156" spans="8:13" x14ac:dyDescent="0.25">
      <c r="H156" s="67"/>
      <c r="K156" s="68" t="str">
        <f>IF(B156="","Pending",IF(M156="","⚠️ Enter Code",IF(IFERROR(VLOOKUP(L156,DB_Agents!$B:$I,8,0),"")=M156,"Pending","🔒 BLOCKED — Wrong Code")))</f>
        <v>Pending</v>
      </c>
      <c r="M156" s="37"/>
    </row>
    <row r="157" spans="8:13" x14ac:dyDescent="0.25">
      <c r="H157" s="67"/>
      <c r="K157" s="1" t="str">
        <f>IF(B157="","Pending",IF(M157="","⚠️ Enter Code",IF(IFERROR(VLOOKUP(L157,DB_Agents!$B:$I,8,0),"")=M157,"Pending","🔒 BLOCKED — Wrong Code")))</f>
        <v>Pending</v>
      </c>
      <c r="M157" s="37"/>
    </row>
    <row r="158" spans="8:13" x14ac:dyDescent="0.25">
      <c r="H158" s="67"/>
      <c r="K158" s="68" t="str">
        <f>IF(B158="","Pending",IF(M158="","⚠️ Enter Code",IF(IFERROR(VLOOKUP(L158,DB_Agents!$B:$I,8,0),"")=M158,"Pending","🔒 BLOCKED — Wrong Code")))</f>
        <v>Pending</v>
      </c>
      <c r="M158" s="37"/>
    </row>
    <row r="159" spans="8:13" x14ac:dyDescent="0.25">
      <c r="H159" s="67"/>
      <c r="K159" s="1" t="str">
        <f>IF(B159="","Pending",IF(M159="","⚠️ Enter Code",IF(IFERROR(VLOOKUP(L159,DB_Agents!$B:$I,8,0),"")=M159,"Pending","🔒 BLOCKED — Wrong Code")))</f>
        <v>Pending</v>
      </c>
      <c r="M159" s="37"/>
    </row>
    <row r="160" spans="8:13" x14ac:dyDescent="0.25">
      <c r="H160" s="67"/>
      <c r="K160" s="68" t="str">
        <f>IF(B160="","Pending",IF(M160="","⚠️ Enter Code",IF(IFERROR(VLOOKUP(L160,DB_Agents!$B:$I,8,0),"")=M160,"Pending","🔒 BLOCKED — Wrong Code")))</f>
        <v>Pending</v>
      </c>
      <c r="M160" s="37"/>
    </row>
    <row r="161" spans="8:13" x14ac:dyDescent="0.25">
      <c r="H161" s="67"/>
      <c r="K161" s="1" t="str">
        <f>IF(B161="","Pending",IF(M161="","⚠️ Enter Code",IF(IFERROR(VLOOKUP(L161,DB_Agents!$B:$I,8,0),"")=M161,"Pending","🔒 BLOCKED — Wrong Code")))</f>
        <v>Pending</v>
      </c>
      <c r="M161" s="37"/>
    </row>
    <row r="162" spans="8:13" x14ac:dyDescent="0.25">
      <c r="H162" s="67"/>
      <c r="K162" s="68" t="str">
        <f>IF(B162="","Pending",IF(M162="","⚠️ Enter Code",IF(IFERROR(VLOOKUP(L162,DB_Agents!$B:$I,8,0),"")=M162,"Pending","🔒 BLOCKED — Wrong Code")))</f>
        <v>Pending</v>
      </c>
      <c r="M162" s="37"/>
    </row>
    <row r="163" spans="8:13" x14ac:dyDescent="0.25">
      <c r="H163" s="67"/>
      <c r="K163" s="1" t="str">
        <f>IF(B163="","Pending",IF(M163="","⚠️ Enter Code",IF(IFERROR(VLOOKUP(L163,DB_Agents!$B:$I,8,0),"")=M163,"Pending","🔒 BLOCKED — Wrong Code")))</f>
        <v>Pending</v>
      </c>
      <c r="M163" s="37"/>
    </row>
    <row r="164" spans="8:13" x14ac:dyDescent="0.25">
      <c r="H164" s="67"/>
      <c r="K164" s="68" t="str">
        <f>IF(B164="","Pending",IF(M164="","⚠️ Enter Code",IF(IFERROR(VLOOKUP(L164,DB_Agents!$B:$I,8,0),"")=M164,"Pending","🔒 BLOCKED — Wrong Code")))</f>
        <v>Pending</v>
      </c>
      <c r="M164" s="37"/>
    </row>
    <row r="165" spans="8:13" x14ac:dyDescent="0.25">
      <c r="H165" s="67"/>
      <c r="K165" s="1" t="str">
        <f>IF(B165="","Pending",IF(M165="","⚠️ Enter Code",IF(IFERROR(VLOOKUP(L165,DB_Agents!$B:$I,8,0),"")=M165,"Pending","🔒 BLOCKED — Wrong Code")))</f>
        <v>Pending</v>
      </c>
      <c r="M165" s="37"/>
    </row>
    <row r="166" spans="8:13" x14ac:dyDescent="0.25">
      <c r="H166" s="67"/>
      <c r="K166" s="68" t="str">
        <f>IF(B166="","Pending",IF(M166="","⚠️ Enter Code",IF(IFERROR(VLOOKUP(L166,DB_Agents!$B:$I,8,0),"")=M166,"Pending","🔒 BLOCKED — Wrong Code")))</f>
        <v>Pending</v>
      </c>
      <c r="M166" s="37"/>
    </row>
    <row r="167" spans="8:13" x14ac:dyDescent="0.25">
      <c r="H167" s="67"/>
      <c r="K167" s="1" t="str">
        <f>IF(B167="","Pending",IF(M167="","⚠️ Enter Code",IF(IFERROR(VLOOKUP(L167,DB_Agents!$B:$I,8,0),"")=M167,"Pending","🔒 BLOCKED — Wrong Code")))</f>
        <v>Pending</v>
      </c>
      <c r="M167" s="37"/>
    </row>
    <row r="168" spans="8:13" x14ac:dyDescent="0.25">
      <c r="H168" s="67"/>
      <c r="K168" s="68" t="str">
        <f>IF(B168="","Pending",IF(M168="","⚠️ Enter Code",IF(IFERROR(VLOOKUP(L168,DB_Agents!$B:$I,8,0),"")=M168,"Pending","🔒 BLOCKED — Wrong Code")))</f>
        <v>Pending</v>
      </c>
      <c r="M168" s="37"/>
    </row>
    <row r="169" spans="8:13" x14ac:dyDescent="0.25">
      <c r="H169" s="67"/>
      <c r="K169" s="1" t="str">
        <f>IF(B169="","Pending",IF(M169="","⚠️ Enter Code",IF(IFERROR(VLOOKUP(L169,DB_Agents!$B:$I,8,0),"")=M169,"Pending","🔒 BLOCKED — Wrong Code")))</f>
        <v>Pending</v>
      </c>
      <c r="M169" s="37"/>
    </row>
    <row r="170" spans="8:13" x14ac:dyDescent="0.25">
      <c r="H170" s="67"/>
      <c r="K170" s="68" t="str">
        <f>IF(B170="","Pending",IF(M170="","⚠️ Enter Code",IF(IFERROR(VLOOKUP(L170,DB_Agents!$B:$I,8,0),"")=M170,"Pending","🔒 BLOCKED — Wrong Code")))</f>
        <v>Pending</v>
      </c>
      <c r="M170" s="37"/>
    </row>
    <row r="171" spans="8:13" x14ac:dyDescent="0.25">
      <c r="H171" s="67"/>
      <c r="K171" s="1" t="str">
        <f>IF(B171="","Pending",IF(M171="","⚠️ Enter Code",IF(IFERROR(VLOOKUP(L171,DB_Agents!$B:$I,8,0),"")=M171,"Pending","🔒 BLOCKED — Wrong Code")))</f>
        <v>Pending</v>
      </c>
      <c r="M171" s="37"/>
    </row>
    <row r="172" spans="8:13" x14ac:dyDescent="0.25">
      <c r="H172" s="67"/>
      <c r="K172" s="68" t="str">
        <f>IF(B172="","Pending",IF(M172="","⚠️ Enter Code",IF(IFERROR(VLOOKUP(L172,DB_Agents!$B:$I,8,0),"")=M172,"Pending","🔒 BLOCKED — Wrong Code")))</f>
        <v>Pending</v>
      </c>
      <c r="M172" s="37"/>
    </row>
    <row r="173" spans="8:13" x14ac:dyDescent="0.25">
      <c r="H173" s="67"/>
      <c r="K173" s="1" t="str">
        <f>IF(B173="","Pending",IF(M173="","⚠️ Enter Code",IF(IFERROR(VLOOKUP(L173,DB_Agents!$B:$I,8,0),"")=M173,"Pending","🔒 BLOCKED — Wrong Code")))</f>
        <v>Pending</v>
      </c>
      <c r="M173" s="37"/>
    </row>
    <row r="174" spans="8:13" x14ac:dyDescent="0.25">
      <c r="H174" s="67"/>
      <c r="K174" s="68" t="str">
        <f>IF(B174="","Pending",IF(M174="","⚠️ Enter Code",IF(IFERROR(VLOOKUP(L174,DB_Agents!$B:$I,8,0),"")=M174,"Pending","🔒 BLOCKED — Wrong Code")))</f>
        <v>Pending</v>
      </c>
      <c r="M174" s="37"/>
    </row>
    <row r="175" spans="8:13" x14ac:dyDescent="0.25">
      <c r="H175" s="67"/>
      <c r="K175" s="1" t="str">
        <f>IF(B175="","Pending",IF(M175="","⚠️ Enter Code",IF(IFERROR(VLOOKUP(L175,DB_Agents!$B:$I,8,0),"")=M175,"Pending","🔒 BLOCKED — Wrong Code")))</f>
        <v>Pending</v>
      </c>
      <c r="M175" s="37"/>
    </row>
    <row r="176" spans="8:13" x14ac:dyDescent="0.25">
      <c r="H176" s="67"/>
      <c r="K176" s="68" t="str">
        <f>IF(B176="","Pending",IF(M176="","⚠️ Enter Code",IF(IFERROR(VLOOKUP(L176,DB_Agents!$B:$I,8,0),"")=M176,"Pending","🔒 BLOCKED — Wrong Code")))</f>
        <v>Pending</v>
      </c>
      <c r="M176" s="37"/>
    </row>
    <row r="177" spans="8:13" x14ac:dyDescent="0.25">
      <c r="H177" s="67"/>
      <c r="K177" s="1" t="str">
        <f>IF(B177="","Pending",IF(M177="","⚠️ Enter Code",IF(IFERROR(VLOOKUP(L177,DB_Agents!$B:$I,8,0),"")=M177,"Pending","🔒 BLOCKED — Wrong Code")))</f>
        <v>Pending</v>
      </c>
      <c r="M177" s="37"/>
    </row>
    <row r="178" spans="8:13" x14ac:dyDescent="0.25">
      <c r="H178" s="67"/>
      <c r="K178" s="68" t="str">
        <f>IF(B178="","Pending",IF(M178="","⚠️ Enter Code",IF(IFERROR(VLOOKUP(L178,DB_Agents!$B:$I,8,0),"")=M178,"Pending","🔒 BLOCKED — Wrong Code")))</f>
        <v>Pending</v>
      </c>
      <c r="M178" s="37"/>
    </row>
    <row r="179" spans="8:13" x14ac:dyDescent="0.25">
      <c r="H179" s="67"/>
      <c r="K179" s="1" t="str">
        <f>IF(B179="","Pending",IF(M179="","⚠️ Enter Code",IF(IFERROR(VLOOKUP(L179,DB_Agents!$B:$I,8,0),"")=M179,"Pending","🔒 BLOCKED — Wrong Code")))</f>
        <v>Pending</v>
      </c>
      <c r="M179" s="37"/>
    </row>
    <row r="180" spans="8:13" x14ac:dyDescent="0.25">
      <c r="H180" s="67"/>
      <c r="K180" s="68" t="str">
        <f>IF(B180="","Pending",IF(M180="","⚠️ Enter Code",IF(IFERROR(VLOOKUP(L180,DB_Agents!$B:$I,8,0),"")=M180,"Pending","🔒 BLOCKED — Wrong Code")))</f>
        <v>Pending</v>
      </c>
      <c r="M180" s="37"/>
    </row>
    <row r="181" spans="8:13" x14ac:dyDescent="0.25">
      <c r="H181" s="67"/>
      <c r="K181" s="1" t="str">
        <f>IF(B181="","Pending",IF(M181="","⚠️ Enter Code",IF(IFERROR(VLOOKUP(L181,DB_Agents!$B:$I,8,0),"")=M181,"Pending","🔒 BLOCKED — Wrong Code")))</f>
        <v>Pending</v>
      </c>
      <c r="M181" s="37"/>
    </row>
    <row r="182" spans="8:13" x14ac:dyDescent="0.25">
      <c r="H182" s="67"/>
      <c r="K182" s="68" t="str">
        <f>IF(B182="","Pending",IF(M182="","⚠️ Enter Code",IF(IFERROR(VLOOKUP(L182,DB_Agents!$B:$I,8,0),"")=M182,"Pending","🔒 BLOCKED — Wrong Code")))</f>
        <v>Pending</v>
      </c>
      <c r="M182" s="37"/>
    </row>
    <row r="183" spans="8:13" x14ac:dyDescent="0.25">
      <c r="H183" s="67"/>
      <c r="K183" s="1" t="str">
        <f>IF(B183="","Pending",IF(M183="","⚠️ Enter Code",IF(IFERROR(VLOOKUP(L183,DB_Agents!$B:$I,8,0),"")=M183,"Pending","🔒 BLOCKED — Wrong Code")))</f>
        <v>Pending</v>
      </c>
      <c r="M183" s="37"/>
    </row>
    <row r="184" spans="8:13" x14ac:dyDescent="0.25">
      <c r="H184" s="67"/>
      <c r="K184" s="68" t="str">
        <f>IF(B184="","Pending",IF(M184="","⚠️ Enter Code",IF(IFERROR(VLOOKUP(L184,DB_Agents!$B:$I,8,0),"")=M184,"Pending","🔒 BLOCKED — Wrong Code")))</f>
        <v>Pending</v>
      </c>
      <c r="M184" s="37"/>
    </row>
    <row r="185" spans="8:13" x14ac:dyDescent="0.25">
      <c r="H185" s="67"/>
      <c r="K185" s="1" t="str">
        <f>IF(B185="","Pending",IF(M185="","⚠️ Enter Code",IF(IFERROR(VLOOKUP(L185,DB_Agents!$B:$I,8,0),"")=M185,"Pending","🔒 BLOCKED — Wrong Code")))</f>
        <v>Pending</v>
      </c>
      <c r="M185" s="37"/>
    </row>
    <row r="186" spans="8:13" x14ac:dyDescent="0.25">
      <c r="H186" s="67"/>
      <c r="K186" s="68" t="str">
        <f>IF(B186="","Pending",IF(M186="","⚠️ Enter Code",IF(IFERROR(VLOOKUP(L186,DB_Agents!$B:$I,8,0),"")=M186,"Pending","🔒 BLOCKED — Wrong Code")))</f>
        <v>Pending</v>
      </c>
      <c r="M186" s="37"/>
    </row>
    <row r="187" spans="8:13" x14ac:dyDescent="0.25">
      <c r="H187" s="67"/>
      <c r="K187" s="1" t="str">
        <f>IF(B187="","Pending",IF(M187="","⚠️ Enter Code",IF(IFERROR(VLOOKUP(L187,DB_Agents!$B:$I,8,0),"")=M187,"Pending","🔒 BLOCKED — Wrong Code")))</f>
        <v>Pending</v>
      </c>
      <c r="M187" s="37"/>
    </row>
    <row r="188" spans="8:13" x14ac:dyDescent="0.25">
      <c r="H188" s="67"/>
      <c r="K188" s="68" t="str">
        <f>IF(B188="","Pending",IF(M188="","⚠️ Enter Code",IF(IFERROR(VLOOKUP(L188,DB_Agents!$B:$I,8,0),"")=M188,"Pending","🔒 BLOCKED — Wrong Code")))</f>
        <v>Pending</v>
      </c>
      <c r="M188" s="37"/>
    </row>
    <row r="189" spans="8:13" x14ac:dyDescent="0.25">
      <c r="H189" s="67"/>
      <c r="K189" s="1" t="str">
        <f>IF(B189="","Pending",IF(M189="","⚠️ Enter Code",IF(IFERROR(VLOOKUP(L189,DB_Agents!$B:$I,8,0),"")=M189,"Pending","🔒 BLOCKED — Wrong Code")))</f>
        <v>Pending</v>
      </c>
      <c r="M189" s="37"/>
    </row>
    <row r="190" spans="8:13" x14ac:dyDescent="0.25">
      <c r="H190" s="67"/>
      <c r="K190" s="68" t="str">
        <f>IF(B190="","Pending",IF(M190="","⚠️ Enter Code",IF(IFERROR(VLOOKUP(L190,DB_Agents!$B:$I,8,0),"")=M190,"Pending","🔒 BLOCKED — Wrong Code")))</f>
        <v>Pending</v>
      </c>
      <c r="M190" s="37"/>
    </row>
    <row r="191" spans="8:13" x14ac:dyDescent="0.25">
      <c r="H191" s="67"/>
      <c r="K191" s="1" t="str">
        <f>IF(B191="","Pending",IF(M191="","⚠️ Enter Code",IF(IFERROR(VLOOKUP(L191,DB_Agents!$B:$I,8,0),"")=M191,"Pending","🔒 BLOCKED — Wrong Code")))</f>
        <v>Pending</v>
      </c>
      <c r="M191" s="37"/>
    </row>
    <row r="192" spans="8:13" x14ac:dyDescent="0.25">
      <c r="H192" s="67"/>
      <c r="K192" s="68" t="str">
        <f>IF(B192="","Pending",IF(M192="","⚠️ Enter Code",IF(IFERROR(VLOOKUP(L192,DB_Agents!$B:$I,8,0),"")=M192,"Pending","🔒 BLOCKED — Wrong Code")))</f>
        <v>Pending</v>
      </c>
      <c r="M192" s="37"/>
    </row>
    <row r="193" spans="8:13" x14ac:dyDescent="0.25">
      <c r="H193" s="67"/>
      <c r="K193" s="1" t="str">
        <f>IF(B193="","Pending",IF(M193="","⚠️ Enter Code",IF(IFERROR(VLOOKUP(L193,DB_Agents!$B:$I,8,0),"")=M193,"Pending","🔒 BLOCKED — Wrong Code")))</f>
        <v>Pending</v>
      </c>
      <c r="M193" s="37"/>
    </row>
    <row r="194" spans="8:13" x14ac:dyDescent="0.25">
      <c r="H194" s="67"/>
      <c r="K194" s="68" t="str">
        <f>IF(B194="","Pending",IF(M194="","⚠️ Enter Code",IF(IFERROR(VLOOKUP(L194,DB_Agents!$B:$I,8,0),"")=M194,"Pending","🔒 BLOCKED — Wrong Code")))</f>
        <v>Pending</v>
      </c>
      <c r="M194" s="37"/>
    </row>
    <row r="195" spans="8:13" x14ac:dyDescent="0.25">
      <c r="H195" s="67"/>
      <c r="K195" s="1" t="str">
        <f>IF(B195="","Pending",IF(M195="","⚠️ Enter Code",IF(IFERROR(VLOOKUP(L195,DB_Agents!$B:$I,8,0),"")=M195,"Pending","🔒 BLOCKED — Wrong Code")))</f>
        <v>Pending</v>
      </c>
      <c r="M195" s="37"/>
    </row>
    <row r="196" spans="8:13" x14ac:dyDescent="0.25">
      <c r="H196" s="67"/>
      <c r="K196" s="68" t="str">
        <f>IF(B196="","Pending",IF(M196="","⚠️ Enter Code",IF(IFERROR(VLOOKUP(L196,DB_Agents!$B:$I,8,0),"")=M196,"Pending","🔒 BLOCKED — Wrong Code")))</f>
        <v>Pending</v>
      </c>
      <c r="M196" s="37"/>
    </row>
    <row r="197" spans="8:13" x14ac:dyDescent="0.25">
      <c r="H197" s="67"/>
      <c r="K197" s="1" t="str">
        <f>IF(B197="","Pending",IF(M197="","⚠️ Enter Code",IF(IFERROR(VLOOKUP(L197,DB_Agents!$B:$I,8,0),"")=M197,"Pending","🔒 BLOCKED — Wrong Code")))</f>
        <v>Pending</v>
      </c>
      <c r="M197" s="37"/>
    </row>
    <row r="198" spans="8:13" x14ac:dyDescent="0.25">
      <c r="H198" s="67"/>
      <c r="K198" s="68" t="str">
        <f>IF(B198="","Pending",IF(M198="","⚠️ Enter Code",IF(IFERROR(VLOOKUP(L198,DB_Agents!$B:$I,8,0),"")=M198,"Pending","🔒 BLOCKED — Wrong Code")))</f>
        <v>Pending</v>
      </c>
      <c r="M198" s="37"/>
    </row>
    <row r="199" spans="8:13" x14ac:dyDescent="0.25">
      <c r="H199" s="67"/>
      <c r="K199" s="1" t="str">
        <f>IF(B199="","Pending",IF(M199="","⚠️ Enter Code",IF(IFERROR(VLOOKUP(L199,DB_Agents!$B:$I,8,0),"")=M199,"Pending","🔒 BLOCKED — Wrong Code")))</f>
        <v>Pending</v>
      </c>
      <c r="M199" s="37"/>
    </row>
    <row r="200" spans="8:13" x14ac:dyDescent="0.25">
      <c r="H200" s="67"/>
      <c r="K200" s="68" t="str">
        <f>IF(B200="","Pending",IF(M200="","⚠️ Enter Code",IF(IFERROR(VLOOKUP(L200,DB_Agents!$B:$I,8,0),"")=M200,"Pending","🔒 BLOCKED — Wrong Code")))</f>
        <v>Pending</v>
      </c>
      <c r="M200" s="37"/>
    </row>
    <row r="201" spans="8:13" x14ac:dyDescent="0.25">
      <c r="K201" s="1" t="str">
        <f>IF(B201="","Pending",IF(M201="","⚠️ Enter Code",IF(IFERROR(VLOOKUP(L201,DB_Agents!$B:$I,8,0),"")=M201,"Pending","🔒 BLOCKED — Wrong Code")))</f>
        <v>Pending</v>
      </c>
      <c r="M201" s="37"/>
    </row>
    <row r="202" spans="8:13" x14ac:dyDescent="0.25">
      <c r="K202" s="68" t="str">
        <f>IF(B202="","Pending",IF(M202="","⚠️ Enter Code",IF(IFERROR(VLOOKUP(L202,DB_Agents!$B:$I,8,0),"")=M202,"Pending","🔒 BLOCKED — Wrong Code")))</f>
        <v>Pending</v>
      </c>
      <c r="M202" s="37"/>
    </row>
    <row r="203" spans="8:13" x14ac:dyDescent="0.25">
      <c r="K203" s="1" t="str">
        <f>IF(B203="","Pending",IF(M203="","⚠️ Enter Code",IF(IFERROR(VLOOKUP(L203,DB_Agents!$B:$I,8,0),"")=M203,"Pending","🔒 BLOCKED — Wrong Code")))</f>
        <v>Pending</v>
      </c>
      <c r="M203" s="37"/>
    </row>
    <row r="204" spans="8:13" x14ac:dyDescent="0.25">
      <c r="K204" s="68" t="str">
        <f>IF(B204="","Pending",IF(M204="","⚠️ Enter Code",IF(IFERROR(VLOOKUP(L204,DB_Agents!$B:$I,8,0),"")=M204,"Pending","🔒 BLOCKED — Wrong Code")))</f>
        <v>Pending</v>
      </c>
      <c r="M204" s="37"/>
    </row>
    <row r="205" spans="8:13" x14ac:dyDescent="0.25">
      <c r="K205" s="1" t="str">
        <f>IF(B205="","Pending",IF(M205="","⚠️ Enter Code",IF(IFERROR(VLOOKUP(L205,DB_Agents!$B:$I,8,0),"")=M205,"Pending","🔒 BLOCKED — Wrong Code")))</f>
        <v>Pending</v>
      </c>
      <c r="M205" s="37"/>
    </row>
    <row r="206" spans="8:13" x14ac:dyDescent="0.25">
      <c r="K206" s="68" t="str">
        <f>IF(B206="","Pending",IF(M206="","⚠️ Enter Code",IF(IFERROR(VLOOKUP(L206,DB_Agents!$B:$I,8,0),"")=M206,"Pending","🔒 BLOCKED — Wrong Code")))</f>
        <v>Pending</v>
      </c>
      <c r="M206" s="37"/>
    </row>
    <row r="207" spans="8:13" x14ac:dyDescent="0.25">
      <c r="K207" s="1" t="str">
        <f>IF(B207="","Pending",IF(M207="","⚠️ Enter Code",IF(IFERROR(VLOOKUP(L207,DB_Agents!$B:$I,8,0),"")=M207,"Pending","🔒 BLOCKED — Wrong Code")))</f>
        <v>Pending</v>
      </c>
      <c r="M207" s="37"/>
    </row>
    <row r="208" spans="8:13" x14ac:dyDescent="0.25">
      <c r="K208" s="68" t="str">
        <f>IF(B208="","Pending",IF(M208="","⚠️ Enter Code",IF(IFERROR(VLOOKUP(L208,DB_Agents!$B:$I,8,0),"")=M208,"Pending","🔒 BLOCKED — Wrong Code")))</f>
        <v>Pending</v>
      </c>
      <c r="M208" s="37"/>
    </row>
    <row r="209" spans="11:13" x14ac:dyDescent="0.25">
      <c r="K209" s="1" t="str">
        <f>IF(B209="","Pending",IF(M209="","⚠️ Enter Code",IF(IFERROR(VLOOKUP(L209,DB_Agents!$B:$I,8,0),"")=M209,"Pending","🔒 BLOCKED — Wrong Code")))</f>
        <v>Pending</v>
      </c>
      <c r="M209" s="37"/>
    </row>
    <row r="210" spans="11:13" x14ac:dyDescent="0.25">
      <c r="K210" s="68" t="str">
        <f>IF(B210="","Pending",IF(M210="","⚠️ Enter Code",IF(IFERROR(VLOOKUP(L210,DB_Agents!$B:$I,8,0),"")=M210,"Pending","🔒 BLOCKED — Wrong Code")))</f>
        <v>Pending</v>
      </c>
      <c r="M210" s="37"/>
    </row>
    <row r="211" spans="11:13" x14ac:dyDescent="0.25">
      <c r="K211" s="1" t="str">
        <f>IF(B211="","Pending",IF(M211="","⚠️ Enter Code",IF(IFERROR(VLOOKUP(L211,DB_Agents!$B:$I,8,0),"")=M211,"Pending","🔒 BLOCKED — Wrong Code")))</f>
        <v>Pending</v>
      </c>
      <c r="M211" s="37"/>
    </row>
    <row r="212" spans="11:13" x14ac:dyDescent="0.25">
      <c r="K212" s="68" t="str">
        <f>IF(B212="","Pending",IF(M212="","⚠️ Enter Code",IF(IFERROR(VLOOKUP(L212,DB_Agents!$B:$I,8,0),"")=M212,"Pending","🔒 BLOCKED — Wrong Code")))</f>
        <v>Pending</v>
      </c>
      <c r="M212" s="37"/>
    </row>
    <row r="213" spans="11:13" x14ac:dyDescent="0.25">
      <c r="K213" s="1" t="str">
        <f>IF(B213="","Pending",IF(M213="","⚠️ Enter Code",IF(IFERROR(VLOOKUP(L213,DB_Agents!$B:$I,8,0),"")=M213,"Pending","🔒 BLOCKED — Wrong Code")))</f>
        <v>Pending</v>
      </c>
      <c r="M213" s="37"/>
    </row>
  </sheetData>
  <mergeCells count="10">
    <mergeCell ref="A1:N1"/>
    <mergeCell ref="A2:N2"/>
    <mergeCell ref="A4:D4"/>
    <mergeCell ref="B5:D5"/>
    <mergeCell ref="B6:D6"/>
    <mergeCell ref="B7:D7"/>
    <mergeCell ref="B8:D8"/>
    <mergeCell ref="B9:D9"/>
    <mergeCell ref="B10:D10"/>
    <mergeCell ref="A12:N12"/>
  </mergeCells>
  <conditionalFormatting sqref="K14:K113">
    <cfRule type="cellIs" dxfId="5" priority="2" operator="equal">
      <formula>"Approved"</formula>
    </cfRule>
    <cfRule type="cellIs" dxfId="4" priority="3" operator="equal">
      <formula>"Pending"</formula>
    </cfRule>
    <cfRule type="cellIs" dxfId="3" priority="4" operator="equal">
      <formula>"Rejected"</formula>
    </cfRule>
  </conditionalFormatting>
  <dataValidations count="2">
    <dataValidation type="whole" showErrorMessage="1" error="Enter 1-36 months" sqref="G14:G113" xr:uid="{00000000-0002-0000-2100-000000000000}">
      <formula1>1</formula1>
      <formula2>36</formula2>
    </dataValidation>
    <dataValidation type="list" sqref="L14:L113" xr:uid="{00000000-0002-0000-2100-000001000000}">
      <formula1>"Agent 01,Agent 02,Agent 03,Agent 04,Agent 05,Agent 06,Agent 07,Agent 08,Agent 09,Agent 10"</formula1>
      <formula2>0</formula2>
    </dataValidation>
  </dataValidations>
  <pageMargins left="0.75" right="0.75" top="1" bottom="1" header="0.511811023622047" footer="0.511811023622047"/>
  <pageSetup paperSize="9" orientation="portrait" horizontalDpi="300" verticalDpi="30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C0392B"/>
  </sheetPr>
  <dimension ref="A1:T23"/>
  <sheetViews>
    <sheetView zoomScaleNormal="100" workbookViewId="0">
      <pane ySplit="3" topLeftCell="A4" activePane="bottomLeft" state="frozen"/>
      <selection pane="bottomLeft" sqref="A1:N1"/>
    </sheetView>
  </sheetViews>
  <sheetFormatPr defaultColWidth="8.7109375" defaultRowHeight="15" x14ac:dyDescent="0.25"/>
  <cols>
    <col min="1" max="1" width="18" customWidth="1"/>
    <col min="2" max="3" width="14" customWidth="1"/>
    <col min="4" max="4" width="22" customWidth="1"/>
    <col min="5" max="5" width="14" customWidth="1"/>
    <col min="6" max="6" width="18" customWidth="1"/>
    <col min="7" max="7" width="16" customWidth="1"/>
    <col min="8" max="8" width="12" customWidth="1"/>
    <col min="9" max="9" width="16" customWidth="1"/>
    <col min="10" max="10" width="14" customWidth="1"/>
    <col min="11" max="11" width="10" customWidth="1"/>
    <col min="12" max="12" width="16" customWidth="1"/>
    <col min="13" max="13" width="18" customWidth="1"/>
    <col min="14" max="14" width="16" customWidth="1"/>
    <col min="15" max="15" width="14" customWidth="1"/>
    <col min="16" max="16" width="22" customWidth="1"/>
    <col min="17" max="20" width="18" customWidth="1"/>
  </cols>
  <sheetData>
    <row r="1" spans="1:20" ht="31.5" customHeight="1" x14ac:dyDescent="0.25">
      <c r="A1" s="166" t="s">
        <v>198</v>
      </c>
      <c r="B1" s="166"/>
      <c r="C1" s="166"/>
      <c r="D1" s="166"/>
      <c r="E1" s="166"/>
      <c r="F1" s="166"/>
      <c r="G1" s="166"/>
      <c r="H1" s="166"/>
      <c r="I1" s="166"/>
      <c r="J1" s="166"/>
      <c r="K1" s="166"/>
      <c r="L1" s="166"/>
      <c r="M1" s="166"/>
      <c r="N1" s="166"/>
    </row>
    <row r="2" spans="1:20" ht="19.5" customHeight="1" x14ac:dyDescent="0.25">
      <c r="A2" s="167" t="s">
        <v>199</v>
      </c>
      <c r="B2" s="167"/>
      <c r="C2" s="167"/>
      <c r="D2" s="167"/>
      <c r="E2" s="167"/>
      <c r="F2" s="167"/>
      <c r="G2" s="167"/>
      <c r="H2" s="167"/>
      <c r="I2" s="167"/>
      <c r="J2" s="167"/>
      <c r="K2" s="167"/>
      <c r="L2" s="167"/>
      <c r="M2" s="167"/>
      <c r="N2" s="167"/>
    </row>
    <row r="3" spans="1:20" x14ac:dyDescent="0.25">
      <c r="A3" s="6" t="s">
        <v>200</v>
      </c>
      <c r="B3" s="6" t="s">
        <v>201</v>
      </c>
      <c r="C3" s="6" t="s">
        <v>202</v>
      </c>
      <c r="D3" s="6" t="s">
        <v>203</v>
      </c>
      <c r="E3" s="6" t="s">
        <v>204</v>
      </c>
      <c r="F3" s="6" t="s">
        <v>205</v>
      </c>
      <c r="G3" s="6" t="s">
        <v>206</v>
      </c>
      <c r="H3" s="6" t="s">
        <v>207</v>
      </c>
      <c r="I3" s="6" t="s">
        <v>208</v>
      </c>
      <c r="J3" s="6" t="s">
        <v>209</v>
      </c>
      <c r="K3" s="6" t="s">
        <v>133</v>
      </c>
      <c r="L3" s="6" t="s">
        <v>210</v>
      </c>
      <c r="M3" s="6" t="s">
        <v>211</v>
      </c>
      <c r="N3" s="6" t="s">
        <v>212</v>
      </c>
      <c r="O3" s="69" t="s">
        <v>213</v>
      </c>
      <c r="P3" s="69" t="s">
        <v>214</v>
      </c>
      <c r="Q3" s="53" t="s">
        <v>215</v>
      </c>
      <c r="R3" s="53" t="s">
        <v>103</v>
      </c>
      <c r="S3" s="53" t="s">
        <v>216</v>
      </c>
      <c r="T3" s="53" t="s">
        <v>217</v>
      </c>
    </row>
    <row r="4" spans="1:20" x14ac:dyDescent="0.25">
      <c r="A4" s="13"/>
      <c r="B4" s="13"/>
      <c r="C4" s="13"/>
      <c r="D4" s="11"/>
      <c r="E4" s="13"/>
      <c r="F4" s="13"/>
      <c r="G4" s="11"/>
      <c r="H4" s="13"/>
      <c r="I4" s="12"/>
      <c r="J4" s="70"/>
      <c r="K4" s="13"/>
      <c r="L4" s="12">
        <f>SUMIF(DB_Savings!$C:$C,A4,DB_Savings!$F:$F)</f>
        <v>0</v>
      </c>
      <c r="M4" s="12">
        <f>SUMIF(DB_Withdrawals!$C:$C,A4,DB_Withdrawals!$G:$G)</f>
        <v>0</v>
      </c>
      <c r="N4" s="12">
        <f t="shared" ref="N4:N23" si="0">I4+L4-M4</f>
        <v>0</v>
      </c>
      <c r="O4" t="b">
        <f>TRUE()</f>
        <v>1</v>
      </c>
      <c r="P4">
        <f>MAX(0,N4-System_Config!$B$9)</f>
        <v>0</v>
      </c>
    </row>
    <row r="5" spans="1:20" x14ac:dyDescent="0.25">
      <c r="A5" s="9"/>
      <c r="B5" s="9"/>
      <c r="C5" s="9"/>
      <c r="D5" s="7"/>
      <c r="E5" s="9"/>
      <c r="F5" s="9"/>
      <c r="G5" s="7"/>
      <c r="H5" s="9"/>
      <c r="I5" s="8"/>
      <c r="J5" s="71"/>
      <c r="K5" s="9"/>
      <c r="L5" s="8">
        <f>SUMIF(DB_Savings!$C:$C,A5,DB_Savings!$F:$F)</f>
        <v>0</v>
      </c>
      <c r="M5" s="8">
        <f>SUMIF(DB_Withdrawals!$C:$C,A5,DB_Withdrawals!$G:$G)</f>
        <v>0</v>
      </c>
      <c r="N5" s="8">
        <f t="shared" si="0"/>
        <v>0</v>
      </c>
      <c r="O5" t="b">
        <f>TRUE()</f>
        <v>1</v>
      </c>
      <c r="P5">
        <f>MAX(0,N5-System_Config!$B$9)</f>
        <v>0</v>
      </c>
    </row>
    <row r="6" spans="1:20" x14ac:dyDescent="0.25">
      <c r="A6" s="13"/>
      <c r="B6" s="13"/>
      <c r="C6" s="13"/>
      <c r="D6" s="11"/>
      <c r="E6" s="13"/>
      <c r="F6" s="13"/>
      <c r="G6" s="11"/>
      <c r="H6" s="13"/>
      <c r="I6" s="12"/>
      <c r="J6" s="70"/>
      <c r="K6" s="13"/>
      <c r="L6" s="12">
        <f>SUMIF(DB_Savings!$C:$C,A6,DB_Savings!$F:$F)</f>
        <v>0</v>
      </c>
      <c r="M6" s="12">
        <f>SUMIF(DB_Withdrawals!$C:$C,A6,DB_Withdrawals!$G:$G)</f>
        <v>0</v>
      </c>
      <c r="N6" s="12">
        <f t="shared" si="0"/>
        <v>0</v>
      </c>
      <c r="O6" t="b">
        <f>TRUE()</f>
        <v>1</v>
      </c>
      <c r="P6">
        <f>MAX(0,N6-System_Config!$B$9)</f>
        <v>0</v>
      </c>
    </row>
    <row r="7" spans="1:20" x14ac:dyDescent="0.25">
      <c r="A7" s="9"/>
      <c r="B7" s="9"/>
      <c r="C7" s="9"/>
      <c r="D7" s="7"/>
      <c r="E7" s="9"/>
      <c r="F7" s="9"/>
      <c r="G7" s="7"/>
      <c r="H7" s="9"/>
      <c r="I7" s="8"/>
      <c r="J7" s="71"/>
      <c r="K7" s="9"/>
      <c r="L7" s="8">
        <f>SUMIF(DB_Savings!$C:$C,A7,DB_Savings!$F:$F)</f>
        <v>0</v>
      </c>
      <c r="M7" s="8">
        <f>SUMIF(DB_Withdrawals!$C:$C,A7,DB_Withdrawals!$G:$G)</f>
        <v>0</v>
      </c>
      <c r="N7" s="8">
        <f t="shared" si="0"/>
        <v>0</v>
      </c>
      <c r="O7" t="b">
        <f>TRUE()</f>
        <v>1</v>
      </c>
      <c r="P7">
        <f>MAX(0,N7-System_Config!$B$9)</f>
        <v>0</v>
      </c>
    </row>
    <row r="8" spans="1:20" x14ac:dyDescent="0.25">
      <c r="A8" s="13"/>
      <c r="B8" s="13"/>
      <c r="C8" s="13"/>
      <c r="D8" s="11"/>
      <c r="E8" s="13"/>
      <c r="F8" s="13"/>
      <c r="G8" s="11"/>
      <c r="H8" s="13"/>
      <c r="I8" s="12"/>
      <c r="J8" s="70"/>
      <c r="K8" s="13"/>
      <c r="L8" s="12">
        <f>SUMIF(DB_Savings!$C:$C,A8,DB_Savings!$F:$F)</f>
        <v>0</v>
      </c>
      <c r="M8" s="12">
        <f>SUMIF(DB_Withdrawals!$C:$C,A8,DB_Withdrawals!$G:$G)</f>
        <v>0</v>
      </c>
      <c r="N8" s="12">
        <f t="shared" si="0"/>
        <v>0</v>
      </c>
      <c r="O8" t="b">
        <f>TRUE()</f>
        <v>1</v>
      </c>
      <c r="P8">
        <f>MAX(0,N8-System_Config!$B$9)</f>
        <v>0</v>
      </c>
    </row>
    <row r="9" spans="1:20" x14ac:dyDescent="0.25">
      <c r="A9" s="9"/>
      <c r="B9" s="9"/>
      <c r="C9" s="9"/>
      <c r="D9" s="7"/>
      <c r="E9" s="9"/>
      <c r="F9" s="9"/>
      <c r="G9" s="7"/>
      <c r="H9" s="9"/>
      <c r="I9" s="8"/>
      <c r="J9" s="71"/>
      <c r="K9" s="9"/>
      <c r="L9" s="8">
        <f>SUMIF(DB_Savings!$C:$C,A9,DB_Savings!$F:$F)</f>
        <v>0</v>
      </c>
      <c r="M9" s="8">
        <f>SUMIF(DB_Withdrawals!$C:$C,A9,DB_Withdrawals!$G:$G)</f>
        <v>0</v>
      </c>
      <c r="N9" s="8">
        <f t="shared" si="0"/>
        <v>0</v>
      </c>
      <c r="O9" t="b">
        <f>TRUE()</f>
        <v>1</v>
      </c>
      <c r="P9">
        <f>MAX(0,N9-System_Config!$B$9)</f>
        <v>0</v>
      </c>
    </row>
    <row r="10" spans="1:20" x14ac:dyDescent="0.25">
      <c r="A10" s="13"/>
      <c r="B10" s="13"/>
      <c r="C10" s="13"/>
      <c r="D10" s="11"/>
      <c r="E10" s="13"/>
      <c r="F10" s="13"/>
      <c r="G10" s="11"/>
      <c r="H10" s="13"/>
      <c r="I10" s="12"/>
      <c r="J10" s="70"/>
      <c r="K10" s="13"/>
      <c r="L10" s="12">
        <f>SUMIF(DB_Savings!$C:$C,A10,DB_Savings!$F:$F)</f>
        <v>0</v>
      </c>
      <c r="M10" s="12">
        <f>SUMIF(DB_Withdrawals!$C:$C,A10,DB_Withdrawals!$G:$G)</f>
        <v>0</v>
      </c>
      <c r="N10" s="12">
        <f t="shared" si="0"/>
        <v>0</v>
      </c>
      <c r="O10" t="b">
        <f>TRUE()</f>
        <v>1</v>
      </c>
      <c r="P10">
        <f>MAX(0,N10-System_Config!$B$9)</f>
        <v>0</v>
      </c>
    </row>
    <row r="11" spans="1:20" x14ac:dyDescent="0.25">
      <c r="A11" s="9"/>
      <c r="B11" s="9"/>
      <c r="C11" s="9"/>
      <c r="D11" s="7"/>
      <c r="E11" s="9"/>
      <c r="F11" s="9"/>
      <c r="G11" s="7"/>
      <c r="H11" s="9"/>
      <c r="I11" s="8"/>
      <c r="J11" s="71"/>
      <c r="K11" s="9"/>
      <c r="L11" s="8">
        <f>SUMIF(DB_Savings!$C:$C,A11,DB_Savings!$F:$F)</f>
        <v>0</v>
      </c>
      <c r="M11" s="8">
        <f>SUMIF(DB_Withdrawals!$C:$C,A11,DB_Withdrawals!$G:$G)</f>
        <v>0</v>
      </c>
      <c r="N11" s="8">
        <f t="shared" si="0"/>
        <v>0</v>
      </c>
      <c r="O11" t="b">
        <f>TRUE()</f>
        <v>1</v>
      </c>
      <c r="P11">
        <f>MAX(0,N11-System_Config!$B$9)</f>
        <v>0</v>
      </c>
    </row>
    <row r="12" spans="1:20" x14ac:dyDescent="0.25">
      <c r="A12" s="13"/>
      <c r="B12" s="13"/>
      <c r="C12" s="13"/>
      <c r="D12" s="11"/>
      <c r="E12" s="13"/>
      <c r="F12" s="13"/>
      <c r="G12" s="11"/>
      <c r="H12" s="13"/>
      <c r="I12" s="12"/>
      <c r="J12" s="70"/>
      <c r="K12" s="13"/>
      <c r="L12" s="12">
        <f>SUMIF(DB_Savings!$C:$C,A12,DB_Savings!$F:$F)</f>
        <v>0</v>
      </c>
      <c r="M12" s="12">
        <f>SUMIF(DB_Withdrawals!$C:$C,A12,DB_Withdrawals!$G:$G)</f>
        <v>0</v>
      </c>
      <c r="N12" s="12">
        <f t="shared" si="0"/>
        <v>0</v>
      </c>
      <c r="O12" t="b">
        <f>TRUE()</f>
        <v>1</v>
      </c>
      <c r="P12">
        <f>MAX(0,N12-System_Config!$B$9)</f>
        <v>0</v>
      </c>
    </row>
    <row r="13" spans="1:20" x14ac:dyDescent="0.25">
      <c r="A13" s="9"/>
      <c r="B13" s="9"/>
      <c r="C13" s="9"/>
      <c r="D13" s="7"/>
      <c r="E13" s="9"/>
      <c r="F13" s="9"/>
      <c r="G13" s="7"/>
      <c r="H13" s="9"/>
      <c r="I13" s="8"/>
      <c r="J13" s="71"/>
      <c r="K13" s="9"/>
      <c r="L13" s="8">
        <f>SUMIF(DB_Savings!$C:$C,A13,DB_Savings!$F:$F)</f>
        <v>0</v>
      </c>
      <c r="M13" s="8">
        <f>SUMIF(DB_Withdrawals!$C:$C,A13,DB_Withdrawals!$G:$G)</f>
        <v>0</v>
      </c>
      <c r="N13" s="8">
        <f t="shared" si="0"/>
        <v>0</v>
      </c>
      <c r="O13" t="b">
        <f>TRUE()</f>
        <v>1</v>
      </c>
      <c r="P13">
        <f>MAX(0,N13-System_Config!$B$9)</f>
        <v>0</v>
      </c>
    </row>
    <row r="14" spans="1:20" x14ac:dyDescent="0.25">
      <c r="A14" s="13"/>
      <c r="B14" s="13"/>
      <c r="C14" s="13"/>
      <c r="D14" s="11"/>
      <c r="E14" s="13"/>
      <c r="F14" s="13"/>
      <c r="G14" s="11"/>
      <c r="H14" s="13"/>
      <c r="I14" s="12"/>
      <c r="J14" s="70"/>
      <c r="K14" s="13"/>
      <c r="L14" s="12">
        <f>SUMIF(DB_Savings!$C:$C,A14,DB_Savings!$F:$F)</f>
        <v>0</v>
      </c>
      <c r="M14" s="12">
        <f>SUMIF(DB_Withdrawals!$C:$C,A14,DB_Withdrawals!$G:$G)</f>
        <v>0</v>
      </c>
      <c r="N14" s="12">
        <f t="shared" si="0"/>
        <v>0</v>
      </c>
      <c r="O14" t="b">
        <f>TRUE()</f>
        <v>1</v>
      </c>
      <c r="P14">
        <f>MAX(0,N14-System_Config!$B$9)</f>
        <v>0</v>
      </c>
    </row>
    <row r="15" spans="1:20" x14ac:dyDescent="0.25">
      <c r="A15" s="9"/>
      <c r="B15" s="9"/>
      <c r="C15" s="9"/>
      <c r="D15" s="7"/>
      <c r="E15" s="9"/>
      <c r="F15" s="9"/>
      <c r="G15" s="7"/>
      <c r="H15" s="9"/>
      <c r="I15" s="8"/>
      <c r="J15" s="71"/>
      <c r="K15" s="9"/>
      <c r="L15" s="8">
        <f>SUMIF(DB_Savings!$C:$C,A15,DB_Savings!$F:$F)</f>
        <v>0</v>
      </c>
      <c r="M15" s="8">
        <f>SUMIF(DB_Withdrawals!$C:$C,A15,DB_Withdrawals!$G:$G)</f>
        <v>0</v>
      </c>
      <c r="N15" s="8">
        <f t="shared" si="0"/>
        <v>0</v>
      </c>
      <c r="O15" t="b">
        <f>TRUE()</f>
        <v>1</v>
      </c>
      <c r="P15">
        <f>MAX(0,N15-System_Config!$B$9)</f>
        <v>0</v>
      </c>
    </row>
    <row r="16" spans="1:20" x14ac:dyDescent="0.25">
      <c r="A16" s="13"/>
      <c r="B16" s="13"/>
      <c r="C16" s="13"/>
      <c r="D16" s="11"/>
      <c r="E16" s="13"/>
      <c r="F16" s="13"/>
      <c r="G16" s="11"/>
      <c r="H16" s="13"/>
      <c r="I16" s="12"/>
      <c r="J16" s="70"/>
      <c r="K16" s="13"/>
      <c r="L16" s="12">
        <f>SUMIF(DB_Savings!$C:$C,A16,DB_Savings!$F:$F)</f>
        <v>0</v>
      </c>
      <c r="M16" s="12">
        <f>SUMIF(DB_Withdrawals!$C:$C,A16,DB_Withdrawals!$G:$G)</f>
        <v>0</v>
      </c>
      <c r="N16" s="12">
        <f t="shared" si="0"/>
        <v>0</v>
      </c>
      <c r="O16" t="b">
        <f>TRUE()</f>
        <v>1</v>
      </c>
      <c r="P16">
        <f>MAX(0,N16-System_Config!$B$9)</f>
        <v>0</v>
      </c>
    </row>
    <row r="17" spans="1:16" x14ac:dyDescent="0.25">
      <c r="A17" s="9"/>
      <c r="B17" s="9"/>
      <c r="C17" s="9"/>
      <c r="D17" s="7"/>
      <c r="E17" s="9"/>
      <c r="F17" s="9"/>
      <c r="G17" s="7"/>
      <c r="H17" s="9"/>
      <c r="I17" s="8"/>
      <c r="J17" s="71"/>
      <c r="K17" s="9"/>
      <c r="L17" s="8">
        <f>SUMIF(DB_Savings!$C:$C,A17,DB_Savings!$F:$F)</f>
        <v>0</v>
      </c>
      <c r="M17" s="8">
        <f>SUMIF(DB_Withdrawals!$C:$C,A17,DB_Withdrawals!$G:$G)</f>
        <v>0</v>
      </c>
      <c r="N17" s="8">
        <f t="shared" si="0"/>
        <v>0</v>
      </c>
      <c r="O17" t="b">
        <f>TRUE()</f>
        <v>1</v>
      </c>
      <c r="P17">
        <f>MAX(0,N17-System_Config!$B$9)</f>
        <v>0</v>
      </c>
    </row>
    <row r="18" spans="1:16" x14ac:dyDescent="0.25">
      <c r="A18" s="13"/>
      <c r="B18" s="13"/>
      <c r="C18" s="13"/>
      <c r="D18" s="11"/>
      <c r="E18" s="13"/>
      <c r="F18" s="13"/>
      <c r="G18" s="11"/>
      <c r="H18" s="13"/>
      <c r="I18" s="12"/>
      <c r="J18" s="70"/>
      <c r="K18" s="13"/>
      <c r="L18" s="12">
        <f>SUMIF(DB_Savings!$C:$C,A18,DB_Savings!$F:$F)</f>
        <v>0</v>
      </c>
      <c r="M18" s="12">
        <f>SUMIF(DB_Withdrawals!$C:$C,A18,DB_Withdrawals!$G:$G)</f>
        <v>0</v>
      </c>
      <c r="N18" s="12">
        <f t="shared" si="0"/>
        <v>0</v>
      </c>
      <c r="O18" t="b">
        <f>TRUE()</f>
        <v>1</v>
      </c>
      <c r="P18">
        <f>MAX(0,N18-System_Config!$B$9)</f>
        <v>0</v>
      </c>
    </row>
    <row r="19" spans="1:16" x14ac:dyDescent="0.25">
      <c r="A19" s="9"/>
      <c r="B19" s="9"/>
      <c r="C19" s="9"/>
      <c r="D19" s="7"/>
      <c r="E19" s="9"/>
      <c r="F19" s="9"/>
      <c r="G19" s="7"/>
      <c r="H19" s="9"/>
      <c r="I19" s="8"/>
      <c r="J19" s="71"/>
      <c r="K19" s="9"/>
      <c r="L19" s="8">
        <f>SUMIF(DB_Savings!$C:$C,A19,DB_Savings!$F:$F)</f>
        <v>0</v>
      </c>
      <c r="M19" s="8">
        <f>SUMIF(DB_Withdrawals!$C:$C,A19,DB_Withdrawals!$G:$G)</f>
        <v>0</v>
      </c>
      <c r="N19" s="8">
        <f t="shared" si="0"/>
        <v>0</v>
      </c>
      <c r="O19" t="b">
        <f>TRUE()</f>
        <v>1</v>
      </c>
      <c r="P19">
        <f>MAX(0,N19-System_Config!$B$9)</f>
        <v>0</v>
      </c>
    </row>
    <row r="20" spans="1:16" x14ac:dyDescent="0.25">
      <c r="A20" s="13"/>
      <c r="B20" s="13"/>
      <c r="C20" s="13"/>
      <c r="D20" s="11"/>
      <c r="E20" s="13"/>
      <c r="F20" s="13"/>
      <c r="G20" s="11"/>
      <c r="H20" s="13"/>
      <c r="I20" s="12"/>
      <c r="J20" s="70"/>
      <c r="K20" s="13"/>
      <c r="L20" s="12">
        <f>SUMIF(DB_Savings!$C:$C,A20,DB_Savings!$F:$F)</f>
        <v>0</v>
      </c>
      <c r="M20" s="12">
        <f>SUMIF(DB_Withdrawals!$C:$C,A20,DB_Withdrawals!$G:$G)</f>
        <v>0</v>
      </c>
      <c r="N20" s="12">
        <f t="shared" si="0"/>
        <v>0</v>
      </c>
      <c r="O20" t="b">
        <f>TRUE()</f>
        <v>1</v>
      </c>
      <c r="P20">
        <f>MAX(0,N20-System_Config!$B$9)</f>
        <v>0</v>
      </c>
    </row>
    <row r="21" spans="1:16" x14ac:dyDescent="0.25">
      <c r="A21" s="9"/>
      <c r="B21" s="9"/>
      <c r="C21" s="9"/>
      <c r="D21" s="7"/>
      <c r="E21" s="9"/>
      <c r="F21" s="9"/>
      <c r="G21" s="7"/>
      <c r="H21" s="9"/>
      <c r="I21" s="8"/>
      <c r="J21" s="71"/>
      <c r="K21" s="9"/>
      <c r="L21" s="8">
        <f>SUMIF(DB_Savings!$C:$C,A21,DB_Savings!$F:$F)</f>
        <v>0</v>
      </c>
      <c r="M21" s="8">
        <f>SUMIF(DB_Withdrawals!$C:$C,A21,DB_Withdrawals!$G:$G)</f>
        <v>0</v>
      </c>
      <c r="N21" s="8">
        <f t="shared" si="0"/>
        <v>0</v>
      </c>
      <c r="O21" t="b">
        <f>TRUE()</f>
        <v>1</v>
      </c>
      <c r="P21">
        <f>MAX(0,N21-System_Config!$B$9)</f>
        <v>0</v>
      </c>
    </row>
    <row r="22" spans="1:16" x14ac:dyDescent="0.25">
      <c r="A22" s="13"/>
      <c r="B22" s="13"/>
      <c r="C22" s="13"/>
      <c r="D22" s="11"/>
      <c r="E22" s="13"/>
      <c r="F22" s="13"/>
      <c r="G22" s="11"/>
      <c r="H22" s="13"/>
      <c r="I22" s="12"/>
      <c r="J22" s="70"/>
      <c r="K22" s="13"/>
      <c r="L22" s="12">
        <f>SUMIF(DB_Savings!$C:$C,A22,DB_Savings!$F:$F)</f>
        <v>0</v>
      </c>
      <c r="M22" s="12">
        <f>SUMIF(DB_Withdrawals!$C:$C,A22,DB_Withdrawals!$G:$G)</f>
        <v>0</v>
      </c>
      <c r="N22" s="12">
        <f t="shared" si="0"/>
        <v>0</v>
      </c>
      <c r="O22" t="b">
        <f>TRUE()</f>
        <v>1</v>
      </c>
      <c r="P22">
        <f>MAX(0,N22-System_Config!$B$9)</f>
        <v>0</v>
      </c>
    </row>
    <row r="23" spans="1:16" x14ac:dyDescent="0.25">
      <c r="A23" s="9"/>
      <c r="B23" s="9"/>
      <c r="C23" s="9"/>
      <c r="D23" s="7"/>
      <c r="E23" s="9"/>
      <c r="F23" s="9"/>
      <c r="G23" s="7"/>
      <c r="H23" s="9"/>
      <c r="I23" s="8"/>
      <c r="J23" s="71"/>
      <c r="K23" s="9"/>
      <c r="L23" s="8">
        <f>SUMIF(DB_Savings!$C:$C,A23,DB_Savings!$F:$F)</f>
        <v>0</v>
      </c>
      <c r="M23" s="8">
        <f>SUMIF(DB_Withdrawals!$C:$C,A23,DB_Withdrawals!$G:$G)</f>
        <v>0</v>
      </c>
      <c r="N23" s="8">
        <f t="shared" si="0"/>
        <v>0</v>
      </c>
      <c r="O23" t="b">
        <f>TRUE()</f>
        <v>1</v>
      </c>
      <c r="P23">
        <f>MAX(0,N23-System_Config!$B$9)</f>
        <v>0</v>
      </c>
    </row>
  </sheetData>
  <autoFilter ref="A3:N3" xr:uid="{00000000-0009-0000-0000-000022000000}"/>
  <mergeCells count="2">
    <mergeCell ref="A1:N1"/>
    <mergeCell ref="A2:N2"/>
  </mergeCells>
  <conditionalFormatting sqref="N4:N23">
    <cfRule type="cellIs" dxfId="2" priority="2" operator="greaterThan">
      <formula>0</formula>
    </cfRule>
  </conditionalFormatting>
  <pageMargins left="0.75" right="0.75" top="1" bottom="1" header="0.511811023622047" footer="0.511811023622047"/>
  <pageSetup paperSize="9" orientation="portrait" horizontalDpi="300" verticalDpi="30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27AE60"/>
  </sheetPr>
  <dimension ref="A1:K97"/>
  <sheetViews>
    <sheetView zoomScaleNormal="100" workbookViewId="0">
      <pane ySplit="3" topLeftCell="A4" activePane="bottomLeft" state="frozen"/>
      <selection pane="bottomLeft" sqref="A1:J1"/>
    </sheetView>
  </sheetViews>
  <sheetFormatPr defaultColWidth="8.7109375" defaultRowHeight="15" x14ac:dyDescent="0.25"/>
  <cols>
    <col min="1" max="1" width="5" customWidth="1"/>
    <col min="2" max="2" width="20" customWidth="1"/>
    <col min="3" max="3" width="16" customWidth="1"/>
    <col min="4" max="4" width="24" customWidth="1"/>
    <col min="5" max="5" width="13" customWidth="1"/>
    <col min="6" max="6" width="14" customWidth="1"/>
    <col min="7" max="7" width="12" customWidth="1"/>
    <col min="8" max="8" width="10" customWidth="1"/>
    <col min="9" max="10" width="22" customWidth="1"/>
    <col min="11" max="11" width="12" customWidth="1"/>
  </cols>
  <sheetData>
    <row r="1" spans="1:11" ht="31.5" customHeight="1" x14ac:dyDescent="0.25">
      <c r="A1" s="115" t="s">
        <v>218</v>
      </c>
      <c r="B1" s="115"/>
      <c r="C1" s="115"/>
      <c r="D1" s="115"/>
      <c r="E1" s="115"/>
      <c r="F1" s="115"/>
      <c r="G1" s="115"/>
      <c r="H1" s="115"/>
      <c r="I1" s="115"/>
      <c r="J1" s="115"/>
    </row>
    <row r="2" spans="1:11" ht="19.5" customHeight="1" x14ac:dyDescent="0.25">
      <c r="A2" s="162" t="s">
        <v>219</v>
      </c>
      <c r="B2" s="162"/>
      <c r="C2" s="162"/>
      <c r="D2" s="162"/>
      <c r="E2" s="162"/>
      <c r="F2" s="162"/>
      <c r="G2" s="162"/>
      <c r="H2" s="162"/>
      <c r="I2" s="162"/>
      <c r="J2" s="162"/>
    </row>
    <row r="3" spans="1:11" x14ac:dyDescent="0.25">
      <c r="A3" s="72" t="s">
        <v>220</v>
      </c>
      <c r="B3" s="72" t="s">
        <v>221</v>
      </c>
      <c r="C3" s="72" t="s">
        <v>200</v>
      </c>
      <c r="D3" s="72" t="s">
        <v>222</v>
      </c>
      <c r="E3" s="72" t="s">
        <v>129</v>
      </c>
      <c r="F3" s="72" t="s">
        <v>223</v>
      </c>
      <c r="G3" s="72" t="s">
        <v>32</v>
      </c>
      <c r="H3" s="72" t="s">
        <v>133</v>
      </c>
      <c r="I3" s="72" t="s">
        <v>224</v>
      </c>
      <c r="J3" s="72" t="s">
        <v>135</v>
      </c>
      <c r="K3" s="69" t="s">
        <v>225</v>
      </c>
    </row>
    <row r="4" spans="1:11" x14ac:dyDescent="0.25">
      <c r="A4" s="13"/>
      <c r="B4" s="13"/>
      <c r="C4" s="13"/>
      <c r="D4" s="11"/>
      <c r="E4" s="70"/>
      <c r="F4" s="12"/>
      <c r="G4" s="13"/>
      <c r="H4" s="73"/>
      <c r="I4" s="13"/>
      <c r="J4" s="13"/>
      <c r="K4" s="74"/>
    </row>
    <row r="5" spans="1:11" x14ac:dyDescent="0.25">
      <c r="A5" s="9"/>
      <c r="B5" s="9"/>
      <c r="C5" s="9"/>
      <c r="D5" s="7"/>
      <c r="E5" s="71"/>
      <c r="F5" s="8"/>
      <c r="G5" s="9"/>
      <c r="H5" s="73"/>
      <c r="I5" s="9"/>
      <c r="J5" s="9"/>
      <c r="K5" s="74"/>
    </row>
    <row r="6" spans="1:11" x14ac:dyDescent="0.25">
      <c r="A6" s="13"/>
      <c r="B6" s="13"/>
      <c r="C6" s="13"/>
      <c r="D6" s="11"/>
      <c r="E6" s="70"/>
      <c r="F6" s="12"/>
      <c r="G6" s="13"/>
      <c r="H6" s="73"/>
      <c r="I6" s="13"/>
      <c r="J6" s="13"/>
      <c r="K6" s="74"/>
    </row>
    <row r="7" spans="1:11" x14ac:dyDescent="0.25">
      <c r="A7" s="9"/>
      <c r="B7" s="9"/>
      <c r="C7" s="9"/>
      <c r="D7" s="7"/>
      <c r="E7" s="71"/>
      <c r="F7" s="8"/>
      <c r="G7" s="9"/>
      <c r="H7" s="73"/>
      <c r="I7" s="9"/>
      <c r="J7" s="9"/>
      <c r="K7" s="74"/>
    </row>
    <row r="8" spans="1:11" x14ac:dyDescent="0.25">
      <c r="A8" s="13"/>
      <c r="B8" s="13"/>
      <c r="C8" s="13"/>
      <c r="D8" s="11"/>
      <c r="E8" s="70"/>
      <c r="F8" s="12"/>
      <c r="G8" s="13"/>
      <c r="H8" s="73"/>
      <c r="I8" s="13"/>
      <c r="J8" s="13"/>
      <c r="K8" s="74"/>
    </row>
    <row r="9" spans="1:11" x14ac:dyDescent="0.25">
      <c r="A9" s="9"/>
      <c r="B9" s="9"/>
      <c r="C9" s="9"/>
      <c r="D9" s="7"/>
      <c r="E9" s="71"/>
      <c r="F9" s="8"/>
      <c r="G9" s="9"/>
      <c r="H9" s="73"/>
      <c r="I9" s="9"/>
      <c r="J9" s="9"/>
      <c r="K9" s="74"/>
    </row>
    <row r="10" spans="1:11" x14ac:dyDescent="0.25">
      <c r="A10" s="13"/>
      <c r="B10" s="13"/>
      <c r="C10" s="13"/>
      <c r="D10" s="11"/>
      <c r="E10" s="70"/>
      <c r="F10" s="12"/>
      <c r="G10" s="13"/>
      <c r="H10" s="73"/>
      <c r="I10" s="13"/>
      <c r="J10" s="13"/>
      <c r="K10" s="74"/>
    </row>
    <row r="11" spans="1:11" x14ac:dyDescent="0.25">
      <c r="A11" s="9"/>
      <c r="B11" s="9"/>
      <c r="C11" s="9"/>
      <c r="D11" s="7"/>
      <c r="E11" s="71"/>
      <c r="F11" s="8"/>
      <c r="G11" s="9"/>
      <c r="H11" s="73"/>
      <c r="I11" s="9"/>
      <c r="J11" s="9"/>
      <c r="K11" s="74"/>
    </row>
    <row r="12" spans="1:11" x14ac:dyDescent="0.25">
      <c r="A12" s="13"/>
      <c r="B12" s="13"/>
      <c r="C12" s="13"/>
      <c r="D12" s="11"/>
      <c r="E12" s="70"/>
      <c r="F12" s="12"/>
      <c r="G12" s="13"/>
      <c r="H12" s="73"/>
      <c r="I12" s="13"/>
      <c r="J12" s="13"/>
      <c r="K12" s="74"/>
    </row>
    <row r="13" spans="1:11" x14ac:dyDescent="0.25">
      <c r="A13" s="9"/>
      <c r="B13" s="9"/>
      <c r="C13" s="9"/>
      <c r="D13" s="7"/>
      <c r="E13" s="71"/>
      <c r="F13" s="8"/>
      <c r="G13" s="9"/>
      <c r="H13" s="73"/>
      <c r="I13" s="9"/>
      <c r="J13" s="9"/>
      <c r="K13" s="74"/>
    </row>
    <row r="14" spans="1:11" x14ac:dyDescent="0.25">
      <c r="A14" s="13"/>
      <c r="B14" s="13"/>
      <c r="C14" s="13"/>
      <c r="D14" s="11"/>
      <c r="E14" s="70"/>
      <c r="F14" s="12"/>
      <c r="G14" s="13"/>
      <c r="H14" s="73"/>
      <c r="I14" s="13"/>
      <c r="J14" s="13"/>
      <c r="K14" s="74"/>
    </row>
    <row r="15" spans="1:11" x14ac:dyDescent="0.25">
      <c r="A15" s="9"/>
      <c r="B15" s="9"/>
      <c r="C15" s="9"/>
      <c r="D15" s="7"/>
      <c r="E15" s="71"/>
      <c r="F15" s="8"/>
      <c r="G15" s="9"/>
      <c r="H15" s="73"/>
      <c r="I15" s="9"/>
      <c r="J15" s="9"/>
      <c r="K15" s="74"/>
    </row>
    <row r="16" spans="1:11" x14ac:dyDescent="0.25">
      <c r="A16" s="13"/>
      <c r="B16" s="13"/>
      <c r="C16" s="13"/>
      <c r="D16" s="11"/>
      <c r="E16" s="70"/>
      <c r="F16" s="12"/>
      <c r="G16" s="13"/>
      <c r="H16" s="73"/>
      <c r="I16" s="13"/>
      <c r="J16" s="13"/>
      <c r="K16" s="74"/>
    </row>
    <row r="17" spans="1:11" x14ac:dyDescent="0.25">
      <c r="A17" s="9"/>
      <c r="B17" s="9"/>
      <c r="C17" s="9"/>
      <c r="D17" s="7"/>
      <c r="E17" s="71"/>
      <c r="F17" s="8"/>
      <c r="G17" s="9"/>
      <c r="H17" s="73"/>
      <c r="I17" s="9"/>
      <c r="J17" s="9"/>
      <c r="K17" s="74"/>
    </row>
    <row r="18" spans="1:11" x14ac:dyDescent="0.25">
      <c r="A18" s="13"/>
      <c r="B18" s="13"/>
      <c r="C18" s="13"/>
      <c r="D18" s="11"/>
      <c r="E18" s="70"/>
      <c r="F18" s="12"/>
      <c r="G18" s="13"/>
      <c r="H18" s="73"/>
      <c r="I18" s="13"/>
      <c r="J18" s="13"/>
      <c r="K18" s="74"/>
    </row>
    <row r="19" spans="1:11" x14ac:dyDescent="0.25">
      <c r="A19" s="9"/>
      <c r="B19" s="9"/>
      <c r="C19" s="9"/>
      <c r="D19" s="7"/>
      <c r="E19" s="71"/>
      <c r="F19" s="8"/>
      <c r="G19" s="9"/>
      <c r="H19" s="73"/>
      <c r="I19" s="9"/>
      <c r="J19" s="9"/>
      <c r="K19" s="74"/>
    </row>
    <row r="20" spans="1:11" x14ac:dyDescent="0.25">
      <c r="A20" s="13"/>
      <c r="B20" s="13"/>
      <c r="C20" s="13"/>
      <c r="D20" s="11"/>
      <c r="E20" s="70"/>
      <c r="F20" s="12"/>
      <c r="G20" s="13"/>
      <c r="H20" s="73"/>
      <c r="I20" s="13"/>
      <c r="J20" s="13"/>
      <c r="K20" s="74"/>
    </row>
    <row r="21" spans="1:11" x14ac:dyDescent="0.25">
      <c r="A21" s="9"/>
      <c r="B21" s="9"/>
      <c r="C21" s="9"/>
      <c r="D21" s="7"/>
      <c r="E21" s="71"/>
      <c r="F21" s="8"/>
      <c r="G21" s="9"/>
      <c r="H21" s="73"/>
      <c r="I21" s="9"/>
      <c r="J21" s="9"/>
      <c r="K21" s="74"/>
    </row>
    <row r="22" spans="1:11" x14ac:dyDescent="0.25">
      <c r="A22" s="13"/>
      <c r="B22" s="13"/>
      <c r="C22" s="13"/>
      <c r="D22" s="11"/>
      <c r="E22" s="70"/>
      <c r="F22" s="12"/>
      <c r="G22" s="13"/>
      <c r="H22" s="73"/>
      <c r="I22" s="13"/>
      <c r="J22" s="13"/>
      <c r="K22" s="74"/>
    </row>
    <row r="23" spans="1:11" x14ac:dyDescent="0.25">
      <c r="A23" s="9"/>
      <c r="B23" s="9"/>
      <c r="C23" s="9"/>
      <c r="D23" s="7"/>
      <c r="E23" s="71"/>
      <c r="F23" s="8"/>
      <c r="G23" s="9"/>
      <c r="H23" s="73"/>
      <c r="I23" s="9"/>
      <c r="J23" s="9"/>
      <c r="K23" s="74"/>
    </row>
    <row r="24" spans="1:11" x14ac:dyDescent="0.25">
      <c r="A24" s="13"/>
      <c r="B24" s="13"/>
      <c r="C24" s="13"/>
      <c r="D24" s="11"/>
      <c r="E24" s="70"/>
      <c r="F24" s="12"/>
      <c r="G24" s="13"/>
      <c r="H24" s="73"/>
      <c r="I24" s="13"/>
      <c r="J24" s="13"/>
      <c r="K24" s="74"/>
    </row>
    <row r="25" spans="1:11" x14ac:dyDescent="0.25">
      <c r="A25" s="9"/>
      <c r="B25" s="9"/>
      <c r="C25" s="9"/>
      <c r="D25" s="7"/>
      <c r="E25" s="71"/>
      <c r="F25" s="8"/>
      <c r="G25" s="9"/>
      <c r="H25" s="73"/>
      <c r="I25" s="9"/>
      <c r="J25" s="9"/>
      <c r="K25" s="74"/>
    </row>
    <row r="26" spans="1:11" x14ac:dyDescent="0.25">
      <c r="A26" s="13"/>
      <c r="B26" s="13"/>
      <c r="C26" s="13"/>
      <c r="D26" s="11"/>
      <c r="E26" s="70"/>
      <c r="F26" s="12"/>
      <c r="G26" s="13"/>
      <c r="H26" s="73"/>
      <c r="I26" s="13"/>
      <c r="J26" s="13"/>
      <c r="K26" s="74"/>
    </row>
    <row r="27" spans="1:11" x14ac:dyDescent="0.25">
      <c r="A27" s="9"/>
      <c r="B27" s="9"/>
      <c r="C27" s="9"/>
      <c r="D27" s="7"/>
      <c r="E27" s="71"/>
      <c r="F27" s="8"/>
      <c r="G27" s="9"/>
      <c r="H27" s="73"/>
      <c r="I27" s="9"/>
      <c r="J27" s="9"/>
      <c r="K27" s="74"/>
    </row>
    <row r="28" spans="1:11" x14ac:dyDescent="0.25">
      <c r="A28" s="13"/>
      <c r="B28" s="13"/>
      <c r="C28" s="13"/>
      <c r="D28" s="11"/>
      <c r="E28" s="70"/>
      <c r="F28" s="12"/>
      <c r="G28" s="13"/>
      <c r="H28" s="73"/>
      <c r="I28" s="13"/>
      <c r="J28" s="13"/>
      <c r="K28" s="74"/>
    </row>
    <row r="29" spans="1:11" x14ac:dyDescent="0.25">
      <c r="A29" s="9"/>
      <c r="B29" s="9"/>
      <c r="C29" s="9"/>
      <c r="D29" s="7"/>
      <c r="E29" s="71"/>
      <c r="F29" s="8"/>
      <c r="G29" s="9"/>
      <c r="H29" s="73"/>
      <c r="I29" s="9"/>
      <c r="J29" s="9"/>
      <c r="K29" s="74"/>
    </row>
    <row r="30" spans="1:11" x14ac:dyDescent="0.25">
      <c r="A30" s="13"/>
      <c r="B30" s="13"/>
      <c r="C30" s="13"/>
      <c r="D30" s="11"/>
      <c r="E30" s="70"/>
      <c r="F30" s="12"/>
      <c r="G30" s="13"/>
      <c r="H30" s="73"/>
      <c r="I30" s="13"/>
      <c r="J30" s="13"/>
      <c r="K30" s="74"/>
    </row>
    <row r="31" spans="1:11" x14ac:dyDescent="0.25">
      <c r="A31" s="9"/>
      <c r="B31" s="9"/>
      <c r="C31" s="9"/>
      <c r="D31" s="7"/>
      <c r="E31" s="71"/>
      <c r="F31" s="8"/>
      <c r="G31" s="9"/>
      <c r="H31" s="73"/>
      <c r="I31" s="9"/>
      <c r="J31" s="9"/>
      <c r="K31" s="74"/>
    </row>
    <row r="32" spans="1:11" x14ac:dyDescent="0.25">
      <c r="A32" s="13"/>
      <c r="B32" s="13"/>
      <c r="C32" s="13"/>
      <c r="D32" s="11"/>
      <c r="E32" s="70"/>
      <c r="F32" s="12"/>
      <c r="G32" s="13"/>
      <c r="H32" s="73"/>
      <c r="I32" s="13"/>
      <c r="J32" s="13"/>
      <c r="K32" s="74"/>
    </row>
    <row r="33" spans="1:11" x14ac:dyDescent="0.25">
      <c r="A33" s="9"/>
      <c r="B33" s="9"/>
      <c r="C33" s="9"/>
      <c r="D33" s="7"/>
      <c r="E33" s="71"/>
      <c r="F33" s="8"/>
      <c r="G33" s="9"/>
      <c r="H33" s="73"/>
      <c r="I33" s="9"/>
      <c r="J33" s="9"/>
      <c r="K33" s="74"/>
    </row>
    <row r="34" spans="1:11" x14ac:dyDescent="0.25">
      <c r="A34" s="13"/>
      <c r="B34" s="13"/>
      <c r="C34" s="13"/>
      <c r="D34" s="11"/>
      <c r="E34" s="70"/>
      <c r="F34" s="12"/>
      <c r="G34" s="13"/>
      <c r="H34" s="73"/>
      <c r="I34" s="13"/>
      <c r="J34" s="13"/>
      <c r="K34" s="74"/>
    </row>
    <row r="35" spans="1:11" x14ac:dyDescent="0.25">
      <c r="A35" s="9"/>
      <c r="B35" s="9"/>
      <c r="C35" s="9"/>
      <c r="D35" s="7"/>
      <c r="E35" s="71"/>
      <c r="F35" s="8"/>
      <c r="G35" s="9"/>
      <c r="H35" s="73"/>
      <c r="I35" s="9"/>
      <c r="J35" s="9"/>
      <c r="K35" s="74"/>
    </row>
    <row r="36" spans="1:11" x14ac:dyDescent="0.25">
      <c r="A36" s="13"/>
      <c r="B36" s="13"/>
      <c r="C36" s="13"/>
      <c r="D36" s="11"/>
      <c r="E36" s="70"/>
      <c r="F36" s="12"/>
      <c r="G36" s="13"/>
      <c r="H36" s="73"/>
      <c r="I36" s="13"/>
      <c r="J36" s="13"/>
      <c r="K36" s="74"/>
    </row>
    <row r="37" spans="1:11" x14ac:dyDescent="0.25">
      <c r="A37" s="9"/>
      <c r="B37" s="9"/>
      <c r="C37" s="9"/>
      <c r="D37" s="7"/>
      <c r="E37" s="71"/>
      <c r="F37" s="8"/>
      <c r="G37" s="9"/>
      <c r="H37" s="73"/>
      <c r="I37" s="9"/>
      <c r="J37" s="9"/>
      <c r="K37" s="74"/>
    </row>
    <row r="38" spans="1:11" x14ac:dyDescent="0.25">
      <c r="A38" s="13"/>
      <c r="B38" s="13"/>
      <c r="C38" s="13"/>
      <c r="D38" s="11"/>
      <c r="E38" s="70"/>
      <c r="F38" s="12"/>
      <c r="G38" s="13"/>
      <c r="H38" s="73"/>
      <c r="I38" s="13"/>
      <c r="J38" s="13"/>
      <c r="K38" s="74"/>
    </row>
    <row r="39" spans="1:11" x14ac:dyDescent="0.25">
      <c r="A39" s="9"/>
      <c r="B39" s="9"/>
      <c r="C39" s="9"/>
      <c r="D39" s="7"/>
      <c r="E39" s="71"/>
      <c r="F39" s="8"/>
      <c r="G39" s="9"/>
      <c r="H39" s="73"/>
      <c r="I39" s="9"/>
      <c r="J39" s="9"/>
      <c r="K39" s="74"/>
    </row>
    <row r="40" spans="1:11" x14ac:dyDescent="0.25">
      <c r="A40" s="13"/>
      <c r="B40" s="13"/>
      <c r="C40" s="13"/>
      <c r="D40" s="11"/>
      <c r="E40" s="70"/>
      <c r="F40" s="12"/>
      <c r="G40" s="13"/>
      <c r="H40" s="73"/>
      <c r="I40" s="13"/>
      <c r="J40" s="13"/>
      <c r="K40" s="74"/>
    </row>
    <row r="41" spans="1:11" x14ac:dyDescent="0.25">
      <c r="A41" s="9"/>
      <c r="B41" s="9"/>
      <c r="C41" s="9"/>
      <c r="D41" s="7"/>
      <c r="E41" s="71"/>
      <c r="F41" s="8"/>
      <c r="G41" s="9"/>
      <c r="H41" s="73"/>
      <c r="I41" s="9"/>
      <c r="J41" s="9"/>
      <c r="K41" s="74"/>
    </row>
    <row r="42" spans="1:11" x14ac:dyDescent="0.25">
      <c r="A42" s="13"/>
      <c r="B42" s="13"/>
      <c r="C42" s="13"/>
      <c r="D42" s="11"/>
      <c r="E42" s="70"/>
      <c r="F42" s="12"/>
      <c r="G42" s="13"/>
      <c r="H42" s="73"/>
      <c r="I42" s="13"/>
      <c r="J42" s="13"/>
      <c r="K42" s="74"/>
    </row>
    <row r="43" spans="1:11" x14ac:dyDescent="0.25">
      <c r="A43" s="9"/>
      <c r="B43" s="9"/>
      <c r="C43" s="9"/>
      <c r="D43" s="7"/>
      <c r="E43" s="71"/>
      <c r="F43" s="8"/>
      <c r="G43" s="9"/>
      <c r="H43" s="73"/>
      <c r="I43" s="9"/>
      <c r="J43" s="9"/>
      <c r="K43" s="74"/>
    </row>
    <row r="44" spans="1:11" x14ac:dyDescent="0.25">
      <c r="A44" s="13"/>
      <c r="B44" s="13"/>
      <c r="C44" s="13"/>
      <c r="D44" s="11"/>
      <c r="E44" s="70"/>
      <c r="F44" s="12"/>
      <c r="G44" s="13"/>
      <c r="H44" s="73"/>
      <c r="I44" s="13"/>
      <c r="J44" s="13"/>
      <c r="K44" s="74"/>
    </row>
    <row r="45" spans="1:11" x14ac:dyDescent="0.25">
      <c r="A45" s="9"/>
      <c r="B45" s="9"/>
      <c r="C45" s="9"/>
      <c r="D45" s="7"/>
      <c r="E45" s="71"/>
      <c r="F45" s="8"/>
      <c r="G45" s="9"/>
      <c r="H45" s="73"/>
      <c r="I45" s="9"/>
      <c r="J45" s="9"/>
      <c r="K45" s="74"/>
    </row>
    <row r="46" spans="1:11" x14ac:dyDescent="0.25">
      <c r="A46" s="13"/>
      <c r="B46" s="13"/>
      <c r="C46" s="13"/>
      <c r="D46" s="11"/>
      <c r="E46" s="70"/>
      <c r="F46" s="12"/>
      <c r="G46" s="13"/>
      <c r="H46" s="73"/>
      <c r="I46" s="13"/>
      <c r="J46" s="13"/>
      <c r="K46" s="74"/>
    </row>
    <row r="47" spans="1:11" x14ac:dyDescent="0.25">
      <c r="A47" s="9"/>
      <c r="B47" s="9"/>
      <c r="C47" s="9"/>
      <c r="D47" s="7"/>
      <c r="E47" s="71"/>
      <c r="F47" s="8"/>
      <c r="G47" s="9"/>
      <c r="H47" s="73"/>
      <c r="I47" s="9"/>
      <c r="J47" s="9"/>
      <c r="K47" s="74"/>
    </row>
    <row r="48" spans="1:11" x14ac:dyDescent="0.25">
      <c r="A48" s="13"/>
      <c r="B48" s="13"/>
      <c r="C48" s="13"/>
      <c r="D48" s="11"/>
      <c r="E48" s="70"/>
      <c r="F48" s="12"/>
      <c r="G48" s="13"/>
      <c r="H48" s="73"/>
      <c r="I48" s="13"/>
      <c r="J48" s="13"/>
      <c r="K48" s="74"/>
    </row>
    <row r="49" spans="1:11" x14ac:dyDescent="0.25">
      <c r="A49" s="9"/>
      <c r="B49" s="9"/>
      <c r="C49" s="9"/>
      <c r="D49" s="7"/>
      <c r="E49" s="71"/>
      <c r="F49" s="8"/>
      <c r="G49" s="9"/>
      <c r="H49" s="73"/>
      <c r="I49" s="9"/>
      <c r="J49" s="9"/>
      <c r="K49" s="74"/>
    </row>
    <row r="50" spans="1:11" x14ac:dyDescent="0.25">
      <c r="A50" s="13"/>
      <c r="B50" s="13"/>
      <c r="C50" s="13"/>
      <c r="D50" s="11"/>
      <c r="E50" s="70"/>
      <c r="F50" s="12"/>
      <c r="G50" s="13"/>
      <c r="H50" s="73"/>
      <c r="I50" s="13"/>
      <c r="J50" s="13"/>
      <c r="K50" s="74"/>
    </row>
    <row r="51" spans="1:11" x14ac:dyDescent="0.25">
      <c r="A51" s="9"/>
      <c r="B51" s="9"/>
      <c r="C51" s="9"/>
      <c r="D51" s="7"/>
      <c r="E51" s="71"/>
      <c r="F51" s="8"/>
      <c r="G51" s="9"/>
      <c r="H51" s="73"/>
      <c r="I51" s="9"/>
      <c r="J51" s="9"/>
      <c r="K51" s="74"/>
    </row>
    <row r="52" spans="1:11" x14ac:dyDescent="0.25">
      <c r="A52" s="13"/>
      <c r="B52" s="13"/>
      <c r="C52" s="13"/>
      <c r="D52" s="11"/>
      <c r="E52" s="70"/>
      <c r="F52" s="12"/>
      <c r="G52" s="13"/>
      <c r="H52" s="73"/>
      <c r="I52" s="13"/>
      <c r="J52" s="13"/>
      <c r="K52" s="74"/>
    </row>
    <row r="53" spans="1:11" x14ac:dyDescent="0.25">
      <c r="A53" s="9"/>
      <c r="B53" s="9"/>
      <c r="C53" s="9"/>
      <c r="D53" s="7"/>
      <c r="E53" s="71"/>
      <c r="F53" s="8"/>
      <c r="G53" s="9"/>
      <c r="H53" s="73"/>
      <c r="I53" s="9"/>
      <c r="J53" s="9"/>
      <c r="K53" s="74"/>
    </row>
    <row r="54" spans="1:11" x14ac:dyDescent="0.25">
      <c r="A54" s="13"/>
      <c r="B54" s="13"/>
      <c r="C54" s="13"/>
      <c r="D54" s="11"/>
      <c r="E54" s="70"/>
      <c r="F54" s="12"/>
      <c r="G54" s="13"/>
      <c r="H54" s="73"/>
      <c r="I54" s="13"/>
      <c r="J54" s="13"/>
      <c r="K54" s="74"/>
    </row>
    <row r="55" spans="1:11" x14ac:dyDescent="0.25">
      <c r="A55" s="9"/>
      <c r="B55" s="9"/>
      <c r="C55" s="9"/>
      <c r="D55" s="7"/>
      <c r="E55" s="71"/>
      <c r="F55" s="8"/>
      <c r="G55" s="9"/>
      <c r="H55" s="73"/>
      <c r="I55" s="9"/>
      <c r="J55" s="9"/>
      <c r="K55" s="74"/>
    </row>
    <row r="56" spans="1:11" x14ac:dyDescent="0.25">
      <c r="A56" s="13"/>
      <c r="B56" s="13"/>
      <c r="C56" s="13"/>
      <c r="D56" s="11"/>
      <c r="E56" s="70"/>
      <c r="F56" s="12"/>
      <c r="G56" s="13"/>
      <c r="H56" s="73"/>
      <c r="I56" s="13"/>
      <c r="J56" s="13"/>
      <c r="K56" s="74"/>
    </row>
    <row r="57" spans="1:11" x14ac:dyDescent="0.25">
      <c r="A57" s="9"/>
      <c r="B57" s="9"/>
      <c r="C57" s="9"/>
      <c r="D57" s="7"/>
      <c r="E57" s="71"/>
      <c r="F57" s="8"/>
      <c r="G57" s="9"/>
      <c r="H57" s="73"/>
      <c r="I57" s="9"/>
      <c r="J57" s="9"/>
      <c r="K57" s="74"/>
    </row>
    <row r="58" spans="1:11" x14ac:dyDescent="0.25">
      <c r="A58" s="13"/>
      <c r="B58" s="13"/>
      <c r="C58" s="13"/>
      <c r="D58" s="11"/>
      <c r="E58" s="70"/>
      <c r="F58" s="12"/>
      <c r="G58" s="13"/>
      <c r="H58" s="73"/>
      <c r="I58" s="13"/>
      <c r="J58" s="13"/>
      <c r="K58" s="74"/>
    </row>
    <row r="59" spans="1:11" x14ac:dyDescent="0.25">
      <c r="A59" s="9"/>
      <c r="B59" s="9"/>
      <c r="C59" s="9"/>
      <c r="D59" s="7"/>
      <c r="E59" s="71"/>
      <c r="F59" s="8"/>
      <c r="G59" s="9"/>
      <c r="H59" s="73"/>
      <c r="I59" s="9"/>
      <c r="J59" s="9"/>
      <c r="K59" s="74"/>
    </row>
    <row r="60" spans="1:11" x14ac:dyDescent="0.25">
      <c r="A60" s="13"/>
      <c r="B60" s="13"/>
      <c r="C60" s="13"/>
      <c r="D60" s="11"/>
      <c r="E60" s="70"/>
      <c r="F60" s="12"/>
      <c r="G60" s="13"/>
      <c r="H60" s="73"/>
      <c r="I60" s="13"/>
      <c r="J60" s="13"/>
      <c r="K60" s="74"/>
    </row>
    <row r="61" spans="1:11" x14ac:dyDescent="0.25">
      <c r="A61" s="9"/>
      <c r="B61" s="9"/>
      <c r="C61" s="9"/>
      <c r="D61" s="7"/>
      <c r="E61" s="71"/>
      <c r="F61" s="8"/>
      <c r="G61" s="9"/>
      <c r="H61" s="73"/>
      <c r="I61" s="9"/>
      <c r="J61" s="9"/>
      <c r="K61" s="74"/>
    </row>
    <row r="62" spans="1:11" x14ac:dyDescent="0.25">
      <c r="A62" s="13"/>
      <c r="B62" s="13"/>
      <c r="C62" s="13"/>
      <c r="D62" s="11"/>
      <c r="E62" s="70"/>
      <c r="F62" s="12"/>
      <c r="G62" s="13"/>
      <c r="H62" s="73"/>
      <c r="I62" s="13"/>
      <c r="J62" s="13"/>
      <c r="K62" s="74"/>
    </row>
    <row r="63" spans="1:11" x14ac:dyDescent="0.25">
      <c r="A63" s="9"/>
      <c r="B63" s="9"/>
      <c r="C63" s="9"/>
      <c r="D63" s="7"/>
      <c r="E63" s="71"/>
      <c r="F63" s="8"/>
      <c r="G63" s="9"/>
      <c r="H63" s="73"/>
      <c r="I63" s="9"/>
      <c r="J63" s="9"/>
      <c r="K63" s="74"/>
    </row>
    <row r="64" spans="1:11" x14ac:dyDescent="0.25">
      <c r="A64" s="13"/>
      <c r="B64" s="13"/>
      <c r="C64" s="13"/>
      <c r="D64" s="11"/>
      <c r="E64" s="70"/>
      <c r="F64" s="12"/>
      <c r="G64" s="13"/>
      <c r="H64" s="73"/>
      <c r="I64" s="13"/>
      <c r="J64" s="13"/>
      <c r="K64" s="74"/>
    </row>
    <row r="65" spans="1:11" x14ac:dyDescent="0.25">
      <c r="A65" s="9"/>
      <c r="B65" s="9"/>
      <c r="C65" s="9"/>
      <c r="D65" s="7"/>
      <c r="E65" s="71"/>
      <c r="F65" s="8"/>
      <c r="G65" s="9"/>
      <c r="H65" s="73"/>
      <c r="I65" s="9"/>
      <c r="J65" s="9"/>
      <c r="K65" s="74"/>
    </row>
    <row r="66" spans="1:11" x14ac:dyDescent="0.25">
      <c r="A66" s="13"/>
      <c r="B66" s="13"/>
      <c r="C66" s="13"/>
      <c r="D66" s="11"/>
      <c r="E66" s="70"/>
      <c r="F66" s="12"/>
      <c r="G66" s="13"/>
      <c r="H66" s="73"/>
      <c r="I66" s="13"/>
      <c r="J66" s="13"/>
      <c r="K66" s="74"/>
    </row>
    <row r="67" spans="1:11" x14ac:dyDescent="0.25">
      <c r="A67" s="9"/>
      <c r="B67" s="9"/>
      <c r="C67" s="9"/>
      <c r="D67" s="7"/>
      <c r="E67" s="71"/>
      <c r="F67" s="8"/>
      <c r="G67" s="9"/>
      <c r="H67" s="73"/>
      <c r="I67" s="9"/>
      <c r="J67" s="9"/>
      <c r="K67" s="74"/>
    </row>
    <row r="68" spans="1:11" x14ac:dyDescent="0.25">
      <c r="A68" s="13"/>
      <c r="B68" s="13"/>
      <c r="C68" s="13"/>
      <c r="D68" s="11"/>
      <c r="E68" s="70"/>
      <c r="F68" s="12"/>
      <c r="G68" s="13"/>
      <c r="H68" s="73"/>
      <c r="I68" s="13"/>
      <c r="J68" s="13"/>
      <c r="K68" s="74"/>
    </row>
    <row r="69" spans="1:11" x14ac:dyDescent="0.25">
      <c r="A69" s="9"/>
      <c r="B69" s="9"/>
      <c r="C69" s="9"/>
      <c r="D69" s="7"/>
      <c r="E69" s="71"/>
      <c r="F69" s="8"/>
      <c r="G69" s="9"/>
      <c r="H69" s="73"/>
      <c r="I69" s="9"/>
      <c r="J69" s="9"/>
      <c r="K69" s="74"/>
    </row>
    <row r="70" spans="1:11" x14ac:dyDescent="0.25">
      <c r="A70" s="13"/>
      <c r="B70" s="13"/>
      <c r="C70" s="13"/>
      <c r="D70" s="11"/>
      <c r="E70" s="70"/>
      <c r="F70" s="12"/>
      <c r="G70" s="13"/>
      <c r="H70" s="73"/>
      <c r="I70" s="13"/>
      <c r="J70" s="13"/>
      <c r="K70" s="74"/>
    </row>
    <row r="71" spans="1:11" x14ac:dyDescent="0.25">
      <c r="A71" s="9"/>
      <c r="B71" s="9"/>
      <c r="C71" s="9"/>
      <c r="D71" s="7"/>
      <c r="E71" s="71"/>
      <c r="F71" s="8"/>
      <c r="G71" s="9"/>
      <c r="H71" s="73"/>
      <c r="I71" s="9"/>
      <c r="J71" s="9"/>
      <c r="K71" s="74"/>
    </row>
    <row r="72" spans="1:11" x14ac:dyDescent="0.25">
      <c r="A72" s="13"/>
      <c r="B72" s="13"/>
      <c r="C72" s="13"/>
      <c r="D72" s="11"/>
      <c r="E72" s="70"/>
      <c r="F72" s="12"/>
      <c r="G72" s="13"/>
      <c r="H72" s="73"/>
      <c r="I72" s="13"/>
      <c r="J72" s="13"/>
      <c r="K72" s="74"/>
    </row>
    <row r="73" spans="1:11" x14ac:dyDescent="0.25">
      <c r="A73" s="9"/>
      <c r="B73" s="9"/>
      <c r="C73" s="9"/>
      <c r="D73" s="7"/>
      <c r="E73" s="71"/>
      <c r="F73" s="8"/>
      <c r="G73" s="9"/>
      <c r="H73" s="73"/>
      <c r="I73" s="9"/>
      <c r="J73" s="9"/>
      <c r="K73" s="74"/>
    </row>
    <row r="74" spans="1:11" x14ac:dyDescent="0.25">
      <c r="A74" s="13"/>
      <c r="B74" s="13"/>
      <c r="C74" s="13"/>
      <c r="D74" s="11"/>
      <c r="E74" s="70"/>
      <c r="F74" s="12"/>
      <c r="G74" s="13"/>
      <c r="H74" s="73"/>
      <c r="I74" s="13"/>
      <c r="J74" s="13"/>
      <c r="K74" s="74"/>
    </row>
    <row r="75" spans="1:11" x14ac:dyDescent="0.25">
      <c r="A75" s="9"/>
      <c r="B75" s="9"/>
      <c r="C75" s="9"/>
      <c r="D75" s="7"/>
      <c r="E75" s="71"/>
      <c r="F75" s="8"/>
      <c r="G75" s="9"/>
      <c r="H75" s="73"/>
      <c r="I75" s="9"/>
      <c r="J75" s="9"/>
      <c r="K75" s="74"/>
    </row>
    <row r="76" spans="1:11" x14ac:dyDescent="0.25">
      <c r="A76" s="13"/>
      <c r="B76" s="13"/>
      <c r="C76" s="13"/>
      <c r="D76" s="11"/>
      <c r="E76" s="70"/>
      <c r="F76" s="12"/>
      <c r="G76" s="13"/>
      <c r="H76" s="73"/>
      <c r="I76" s="13"/>
      <c r="J76" s="13"/>
      <c r="K76" s="74"/>
    </row>
    <row r="77" spans="1:11" x14ac:dyDescent="0.25">
      <c r="A77" s="9"/>
      <c r="B77" s="9"/>
      <c r="C77" s="9"/>
      <c r="D77" s="7"/>
      <c r="E77" s="71"/>
      <c r="F77" s="8"/>
      <c r="G77" s="9"/>
      <c r="H77" s="73"/>
      <c r="I77" s="9"/>
      <c r="J77" s="9"/>
      <c r="K77" s="74"/>
    </row>
    <row r="78" spans="1:11" x14ac:dyDescent="0.25">
      <c r="A78" s="13"/>
      <c r="B78" s="13"/>
      <c r="C78" s="13"/>
      <c r="D78" s="11"/>
      <c r="E78" s="70"/>
      <c r="F78" s="12"/>
      <c r="G78" s="13"/>
      <c r="H78" s="73"/>
      <c r="I78" s="13"/>
      <c r="J78" s="13"/>
      <c r="K78" s="74"/>
    </row>
    <row r="79" spans="1:11" x14ac:dyDescent="0.25">
      <c r="A79" s="9"/>
      <c r="B79" s="9"/>
      <c r="C79" s="9"/>
      <c r="D79" s="7"/>
      <c r="E79" s="71"/>
      <c r="F79" s="8"/>
      <c r="G79" s="9"/>
      <c r="H79" s="73"/>
      <c r="I79" s="9"/>
      <c r="J79" s="9"/>
      <c r="K79" s="74"/>
    </row>
    <row r="80" spans="1:11" x14ac:dyDescent="0.25">
      <c r="A80" s="13"/>
      <c r="B80" s="13"/>
      <c r="C80" s="13"/>
      <c r="D80" s="11"/>
      <c r="E80" s="70"/>
      <c r="F80" s="12"/>
      <c r="G80" s="13"/>
      <c r="H80" s="73"/>
      <c r="I80" s="13"/>
      <c r="J80" s="13"/>
      <c r="K80" s="74"/>
    </row>
    <row r="81" spans="1:11" x14ac:dyDescent="0.25">
      <c r="A81" s="9"/>
      <c r="B81" s="9"/>
      <c r="C81" s="9"/>
      <c r="D81" s="7"/>
      <c r="E81" s="71"/>
      <c r="F81" s="8"/>
      <c r="G81" s="9"/>
      <c r="H81" s="73"/>
      <c r="I81" s="9"/>
      <c r="J81" s="9"/>
      <c r="K81" s="74"/>
    </row>
    <row r="82" spans="1:11" x14ac:dyDescent="0.25">
      <c r="A82" s="13"/>
      <c r="B82" s="13"/>
      <c r="C82" s="13"/>
      <c r="D82" s="11"/>
      <c r="E82" s="70"/>
      <c r="F82" s="12"/>
      <c r="G82" s="13"/>
      <c r="H82" s="73"/>
      <c r="I82" s="13"/>
      <c r="J82" s="13"/>
      <c r="K82" s="74"/>
    </row>
    <row r="83" spans="1:11" x14ac:dyDescent="0.25">
      <c r="A83" s="9"/>
      <c r="B83" s="9"/>
      <c r="C83" s="9"/>
      <c r="D83" s="7"/>
      <c r="E83" s="71"/>
      <c r="F83" s="8"/>
      <c r="G83" s="9"/>
      <c r="H83" s="73"/>
      <c r="I83" s="9"/>
      <c r="J83" s="9"/>
      <c r="K83" s="74"/>
    </row>
    <row r="84" spans="1:11" x14ac:dyDescent="0.25">
      <c r="A84" s="13"/>
      <c r="B84" s="13"/>
      <c r="C84" s="13"/>
      <c r="D84" s="11"/>
      <c r="E84" s="70"/>
      <c r="F84" s="12"/>
      <c r="G84" s="13"/>
      <c r="H84" s="73"/>
      <c r="I84" s="13"/>
      <c r="J84" s="13"/>
      <c r="K84" s="74"/>
    </row>
    <row r="85" spans="1:11" x14ac:dyDescent="0.25">
      <c r="A85" s="9"/>
      <c r="B85" s="9"/>
      <c r="C85" s="9"/>
      <c r="D85" s="7"/>
      <c r="E85" s="71"/>
      <c r="F85" s="8"/>
      <c r="G85" s="9"/>
      <c r="H85" s="73"/>
      <c r="I85" s="9"/>
      <c r="J85" s="9"/>
      <c r="K85" s="74"/>
    </row>
    <row r="86" spans="1:11" x14ac:dyDescent="0.25">
      <c r="A86" s="13"/>
      <c r="B86" s="13"/>
      <c r="C86" s="13"/>
      <c r="D86" s="11"/>
      <c r="E86" s="70"/>
      <c r="F86" s="12"/>
      <c r="G86" s="13"/>
      <c r="H86" s="73"/>
      <c r="I86" s="13"/>
      <c r="J86" s="13"/>
      <c r="K86" s="74"/>
    </row>
    <row r="87" spans="1:11" x14ac:dyDescent="0.25">
      <c r="A87" s="9"/>
      <c r="B87" s="9"/>
      <c r="C87" s="9"/>
      <c r="D87" s="7"/>
      <c r="E87" s="71"/>
      <c r="F87" s="8"/>
      <c r="G87" s="9"/>
      <c r="H87" s="73"/>
      <c r="I87" s="9"/>
      <c r="J87" s="9"/>
      <c r="K87" s="74"/>
    </row>
    <row r="88" spans="1:11" x14ac:dyDescent="0.25">
      <c r="A88" s="13"/>
      <c r="B88" s="13"/>
      <c r="C88" s="13"/>
      <c r="D88" s="11"/>
      <c r="E88" s="70"/>
      <c r="F88" s="12"/>
      <c r="G88" s="13"/>
      <c r="H88" s="73"/>
      <c r="I88" s="13"/>
      <c r="J88" s="13"/>
      <c r="K88" s="74"/>
    </row>
    <row r="89" spans="1:11" x14ac:dyDescent="0.25">
      <c r="A89" s="9"/>
      <c r="B89" s="9"/>
      <c r="C89" s="9"/>
      <c r="D89" s="7"/>
      <c r="E89" s="71"/>
      <c r="F89" s="8"/>
      <c r="G89" s="9"/>
      <c r="H89" s="73"/>
      <c r="I89" s="9"/>
      <c r="J89" s="9"/>
      <c r="K89" s="74"/>
    </row>
    <row r="90" spans="1:11" x14ac:dyDescent="0.25">
      <c r="A90" s="13"/>
      <c r="B90" s="13"/>
      <c r="C90" s="13"/>
      <c r="D90" s="11"/>
      <c r="E90" s="70"/>
      <c r="F90" s="12"/>
      <c r="G90" s="13"/>
      <c r="H90" s="73"/>
      <c r="I90" s="13"/>
      <c r="J90" s="13"/>
      <c r="K90" s="74"/>
    </row>
    <row r="91" spans="1:11" x14ac:dyDescent="0.25">
      <c r="A91" s="9"/>
      <c r="B91" s="9"/>
      <c r="C91" s="9"/>
      <c r="D91" s="7"/>
      <c r="E91" s="71"/>
      <c r="F91" s="8"/>
      <c r="G91" s="9"/>
      <c r="H91" s="73"/>
      <c r="I91" s="9"/>
      <c r="J91" s="9"/>
      <c r="K91" s="74"/>
    </row>
    <row r="92" spans="1:11" x14ac:dyDescent="0.25">
      <c r="A92" s="13"/>
      <c r="B92" s="13"/>
      <c r="C92" s="13"/>
      <c r="D92" s="11"/>
      <c r="E92" s="70"/>
      <c r="F92" s="12"/>
      <c r="G92" s="13"/>
      <c r="H92" s="73"/>
      <c r="I92" s="13"/>
      <c r="J92" s="13"/>
      <c r="K92" s="74"/>
    </row>
    <row r="93" spans="1:11" x14ac:dyDescent="0.25">
      <c r="A93" s="9"/>
      <c r="B93" s="9"/>
      <c r="C93" s="9"/>
      <c r="D93" s="7"/>
      <c r="E93" s="71"/>
      <c r="F93" s="8"/>
      <c r="G93" s="9"/>
      <c r="H93" s="73"/>
      <c r="I93" s="9"/>
      <c r="J93" s="9"/>
      <c r="K93" s="74"/>
    </row>
    <row r="94" spans="1:11" x14ac:dyDescent="0.25">
      <c r="A94" s="13"/>
      <c r="B94" s="13"/>
      <c r="C94" s="13"/>
      <c r="D94" s="11"/>
      <c r="E94" s="70"/>
      <c r="F94" s="12"/>
      <c r="G94" s="13"/>
      <c r="H94" s="73"/>
      <c r="I94" s="13"/>
      <c r="J94" s="13"/>
      <c r="K94" s="74"/>
    </row>
    <row r="95" spans="1:11" x14ac:dyDescent="0.25">
      <c r="A95" s="9"/>
      <c r="B95" s="9"/>
      <c r="C95" s="9"/>
      <c r="D95" s="7"/>
      <c r="E95" s="71"/>
      <c r="F95" s="8"/>
      <c r="G95" s="9"/>
      <c r="H95" s="73"/>
      <c r="I95" s="9"/>
      <c r="J95" s="9"/>
      <c r="K95" s="74"/>
    </row>
    <row r="96" spans="1:11" x14ac:dyDescent="0.25">
      <c r="A96" s="13"/>
      <c r="B96" s="13"/>
      <c r="C96" s="13"/>
      <c r="D96" s="11"/>
      <c r="E96" s="70"/>
      <c r="F96" s="12"/>
      <c r="G96" s="13"/>
      <c r="H96" s="73"/>
      <c r="I96" s="13"/>
      <c r="J96" s="13"/>
      <c r="K96" s="74"/>
    </row>
    <row r="97" spans="1:11" x14ac:dyDescent="0.25">
      <c r="A97" s="9"/>
      <c r="B97" s="9"/>
      <c r="C97" s="9"/>
      <c r="D97" s="7"/>
      <c r="E97" s="71"/>
      <c r="F97" s="8"/>
      <c r="G97" s="9"/>
      <c r="H97" s="73"/>
      <c r="I97" s="9"/>
      <c r="J97" s="9"/>
      <c r="K97" s="74"/>
    </row>
  </sheetData>
  <autoFilter ref="A3:J3" xr:uid="{00000000-0009-0000-0000-000023000000}"/>
  <mergeCells count="2">
    <mergeCell ref="A1:J1"/>
    <mergeCell ref="A2:J2"/>
  </mergeCells>
  <pageMargins left="0.75" right="0.75" top="1" bottom="1" header="0.511811023622047" footer="0.511811023622047"/>
  <pageSetup paperSize="9" orientation="portrait" horizontalDpi="300" verticalDpi="30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C0392B"/>
  </sheetPr>
  <dimension ref="A1:O45"/>
  <sheetViews>
    <sheetView zoomScaleNormal="100" workbookViewId="0">
      <pane ySplit="3" topLeftCell="A4" activePane="bottomLeft" state="frozen"/>
      <selection pane="bottomLeft" sqref="A1:L1"/>
    </sheetView>
  </sheetViews>
  <sheetFormatPr defaultColWidth="8.7109375" defaultRowHeight="15" x14ac:dyDescent="0.25"/>
  <cols>
    <col min="1" max="1" width="5" customWidth="1"/>
    <col min="2" max="2" width="20" customWidth="1"/>
    <col min="3" max="3" width="16" customWidth="1"/>
    <col min="4" max="4" width="24" customWidth="1"/>
    <col min="5" max="5" width="16" customWidth="1"/>
    <col min="6" max="6" width="13" customWidth="1"/>
    <col min="7" max="7" width="18" customWidth="1"/>
    <col min="8" max="9" width="16" customWidth="1"/>
    <col min="10" max="10" width="12" customWidth="1"/>
    <col min="11" max="11" width="14" customWidth="1"/>
    <col min="12" max="12" width="22" customWidth="1"/>
    <col min="13" max="13" width="20" customWidth="1"/>
    <col min="14" max="14" width="16" customWidth="1"/>
    <col min="15" max="15" width="12" customWidth="1"/>
  </cols>
  <sheetData>
    <row r="1" spans="1:15" ht="31.5" customHeight="1" x14ac:dyDescent="0.25">
      <c r="A1" s="166" t="s">
        <v>226</v>
      </c>
      <c r="B1" s="166"/>
      <c r="C1" s="166"/>
      <c r="D1" s="166"/>
      <c r="E1" s="166"/>
      <c r="F1" s="166"/>
      <c r="G1" s="166"/>
      <c r="H1" s="166"/>
      <c r="I1" s="166"/>
      <c r="J1" s="166"/>
      <c r="K1" s="166"/>
      <c r="L1" s="166"/>
    </row>
    <row r="2" spans="1:15" ht="19.5" customHeight="1" x14ac:dyDescent="0.25">
      <c r="A2" s="167" t="s">
        <v>227</v>
      </c>
      <c r="B2" s="167"/>
      <c r="C2" s="167"/>
      <c r="D2" s="167"/>
      <c r="E2" s="167"/>
      <c r="F2" s="167"/>
      <c r="G2" s="167"/>
      <c r="H2" s="167"/>
      <c r="I2" s="167"/>
      <c r="J2" s="167"/>
      <c r="K2" s="167"/>
      <c r="L2" s="167"/>
    </row>
    <row r="3" spans="1:15" x14ac:dyDescent="0.25">
      <c r="A3" s="49" t="s">
        <v>220</v>
      </c>
      <c r="B3" s="49" t="s">
        <v>221</v>
      </c>
      <c r="C3" s="49" t="s">
        <v>200</v>
      </c>
      <c r="D3" s="49" t="s">
        <v>222</v>
      </c>
      <c r="E3" s="49" t="s">
        <v>228</v>
      </c>
      <c r="F3" s="49" t="s">
        <v>129</v>
      </c>
      <c r="G3" s="49" t="s">
        <v>229</v>
      </c>
      <c r="H3" s="49" t="s">
        <v>230</v>
      </c>
      <c r="I3" s="49" t="s">
        <v>231</v>
      </c>
      <c r="J3" s="49" t="s">
        <v>32</v>
      </c>
      <c r="K3" s="49" t="s">
        <v>133</v>
      </c>
      <c r="L3" s="49" t="s">
        <v>224</v>
      </c>
      <c r="M3" s="69" t="s">
        <v>232</v>
      </c>
      <c r="N3" s="69" t="s">
        <v>233</v>
      </c>
      <c r="O3" s="69" t="s">
        <v>225</v>
      </c>
    </row>
    <row r="4" spans="1:15" x14ac:dyDescent="0.25">
      <c r="A4" s="13"/>
      <c r="B4" s="13"/>
      <c r="C4" s="13"/>
      <c r="D4" s="11"/>
      <c r="E4" s="12"/>
      <c r="F4" s="70"/>
      <c r="G4" s="12"/>
      <c r="H4" s="13"/>
      <c r="I4" s="12"/>
      <c r="J4" s="13"/>
      <c r="K4" s="73"/>
      <c r="L4" s="13"/>
      <c r="M4">
        <f>MAX(0,E4-System_Config!$B$9)</f>
        <v>0</v>
      </c>
      <c r="N4" t="str">
        <f t="shared" ref="N4:N45" si="0">IF(G4&lt;=M4,"✅ COMPLIANT","⚠️ BREACH")</f>
        <v>✅ COMPLIANT</v>
      </c>
      <c r="O4" s="74"/>
    </row>
    <row r="5" spans="1:15" x14ac:dyDescent="0.25">
      <c r="A5" s="9"/>
      <c r="B5" s="9"/>
      <c r="C5" s="9"/>
      <c r="D5" s="7"/>
      <c r="E5" s="8"/>
      <c r="F5" s="71"/>
      <c r="G5" s="8"/>
      <c r="H5" s="9"/>
      <c r="I5" s="8"/>
      <c r="J5" s="9"/>
      <c r="K5" s="73"/>
      <c r="L5" s="9"/>
      <c r="M5">
        <f>MAX(0,E5-System_Config!$B$9)</f>
        <v>0</v>
      </c>
      <c r="N5" t="str">
        <f t="shared" si="0"/>
        <v>✅ COMPLIANT</v>
      </c>
      <c r="O5" s="74"/>
    </row>
    <row r="6" spans="1:15" x14ac:dyDescent="0.25">
      <c r="A6" s="13"/>
      <c r="B6" s="13"/>
      <c r="C6" s="13"/>
      <c r="D6" s="11"/>
      <c r="E6" s="12"/>
      <c r="F6" s="70"/>
      <c r="G6" s="12"/>
      <c r="H6" s="13"/>
      <c r="I6" s="12"/>
      <c r="J6" s="13"/>
      <c r="K6" s="73"/>
      <c r="L6" s="13"/>
      <c r="M6">
        <f>MAX(0,E6-System_Config!$B$9)</f>
        <v>0</v>
      </c>
      <c r="N6" t="str">
        <f t="shared" si="0"/>
        <v>✅ COMPLIANT</v>
      </c>
      <c r="O6" s="74"/>
    </row>
    <row r="7" spans="1:15" x14ac:dyDescent="0.25">
      <c r="A7" s="9"/>
      <c r="B7" s="9"/>
      <c r="C7" s="9"/>
      <c r="D7" s="7"/>
      <c r="E7" s="8"/>
      <c r="F7" s="71"/>
      <c r="G7" s="8"/>
      <c r="H7" s="9"/>
      <c r="I7" s="8"/>
      <c r="J7" s="9"/>
      <c r="K7" s="73"/>
      <c r="L7" s="9"/>
      <c r="M7">
        <f>MAX(0,E7-System_Config!$B$9)</f>
        <v>0</v>
      </c>
      <c r="N7" t="str">
        <f t="shared" si="0"/>
        <v>✅ COMPLIANT</v>
      </c>
      <c r="O7" s="74"/>
    </row>
    <row r="8" spans="1:15" x14ac:dyDescent="0.25">
      <c r="A8" s="13"/>
      <c r="B8" s="13"/>
      <c r="C8" s="13"/>
      <c r="D8" s="11"/>
      <c r="E8" s="12"/>
      <c r="F8" s="70"/>
      <c r="G8" s="12"/>
      <c r="H8" s="13"/>
      <c r="I8" s="12"/>
      <c r="J8" s="13"/>
      <c r="K8" s="73"/>
      <c r="L8" s="13"/>
      <c r="M8">
        <f>MAX(0,E8-System_Config!$B$9)</f>
        <v>0</v>
      </c>
      <c r="N8" t="str">
        <f t="shared" si="0"/>
        <v>✅ COMPLIANT</v>
      </c>
      <c r="O8" s="74"/>
    </row>
    <row r="9" spans="1:15" x14ac:dyDescent="0.25">
      <c r="A9" s="9"/>
      <c r="B9" s="9"/>
      <c r="C9" s="9"/>
      <c r="D9" s="7"/>
      <c r="E9" s="8"/>
      <c r="F9" s="71"/>
      <c r="G9" s="8"/>
      <c r="H9" s="9"/>
      <c r="I9" s="8"/>
      <c r="J9" s="9"/>
      <c r="K9" s="73"/>
      <c r="L9" s="9"/>
      <c r="M9">
        <f>MAX(0,E9-System_Config!$B$9)</f>
        <v>0</v>
      </c>
      <c r="N9" t="str">
        <f t="shared" si="0"/>
        <v>✅ COMPLIANT</v>
      </c>
      <c r="O9" s="74"/>
    </row>
    <row r="10" spans="1:15" x14ac:dyDescent="0.25">
      <c r="A10" s="13"/>
      <c r="B10" s="13"/>
      <c r="C10" s="13"/>
      <c r="D10" s="11"/>
      <c r="E10" s="12"/>
      <c r="F10" s="70"/>
      <c r="G10" s="12"/>
      <c r="H10" s="13"/>
      <c r="I10" s="12"/>
      <c r="J10" s="13"/>
      <c r="K10" s="73"/>
      <c r="L10" s="13"/>
      <c r="M10">
        <f>MAX(0,E10-System_Config!$B$9)</f>
        <v>0</v>
      </c>
      <c r="N10" t="str">
        <f t="shared" si="0"/>
        <v>✅ COMPLIANT</v>
      </c>
      <c r="O10" s="74"/>
    </row>
    <row r="11" spans="1:15" x14ac:dyDescent="0.25">
      <c r="A11" s="9"/>
      <c r="B11" s="9"/>
      <c r="C11" s="9"/>
      <c r="D11" s="7"/>
      <c r="E11" s="8"/>
      <c r="F11" s="71"/>
      <c r="G11" s="8"/>
      <c r="H11" s="9"/>
      <c r="I11" s="8"/>
      <c r="J11" s="9"/>
      <c r="K11" s="73"/>
      <c r="L11" s="9"/>
      <c r="M11">
        <f>MAX(0,E11-System_Config!$B$9)</f>
        <v>0</v>
      </c>
      <c r="N11" t="str">
        <f t="shared" si="0"/>
        <v>✅ COMPLIANT</v>
      </c>
      <c r="O11" s="74"/>
    </row>
    <row r="12" spans="1:15" x14ac:dyDescent="0.25">
      <c r="A12" s="13"/>
      <c r="B12" s="13"/>
      <c r="C12" s="13"/>
      <c r="D12" s="11"/>
      <c r="E12" s="12"/>
      <c r="F12" s="70"/>
      <c r="G12" s="12"/>
      <c r="H12" s="13"/>
      <c r="I12" s="12"/>
      <c r="J12" s="13"/>
      <c r="K12" s="73"/>
      <c r="L12" s="13"/>
      <c r="M12">
        <f>MAX(0,E12-System_Config!$B$9)</f>
        <v>0</v>
      </c>
      <c r="N12" t="str">
        <f t="shared" si="0"/>
        <v>✅ COMPLIANT</v>
      </c>
      <c r="O12" s="74"/>
    </row>
    <row r="13" spans="1:15" x14ac:dyDescent="0.25">
      <c r="A13" s="9"/>
      <c r="B13" s="9"/>
      <c r="C13" s="9"/>
      <c r="D13" s="7"/>
      <c r="E13" s="8"/>
      <c r="F13" s="71"/>
      <c r="G13" s="8"/>
      <c r="H13" s="9"/>
      <c r="I13" s="8"/>
      <c r="J13" s="9"/>
      <c r="K13" s="73"/>
      <c r="L13" s="9"/>
      <c r="M13">
        <f>MAX(0,E13-System_Config!$B$9)</f>
        <v>0</v>
      </c>
      <c r="N13" t="str">
        <f t="shared" si="0"/>
        <v>✅ COMPLIANT</v>
      </c>
      <c r="O13" s="74"/>
    </row>
    <row r="14" spans="1:15" x14ac:dyDescent="0.25">
      <c r="A14" s="13"/>
      <c r="B14" s="13"/>
      <c r="C14" s="13"/>
      <c r="D14" s="11"/>
      <c r="E14" s="12"/>
      <c r="F14" s="70"/>
      <c r="G14" s="12"/>
      <c r="H14" s="13"/>
      <c r="I14" s="12"/>
      <c r="J14" s="13"/>
      <c r="K14" s="73"/>
      <c r="L14" s="13"/>
      <c r="M14">
        <f>MAX(0,E14-System_Config!$B$9)</f>
        <v>0</v>
      </c>
      <c r="N14" t="str">
        <f t="shared" si="0"/>
        <v>✅ COMPLIANT</v>
      </c>
      <c r="O14" s="74"/>
    </row>
    <row r="15" spans="1:15" x14ac:dyDescent="0.25">
      <c r="A15" s="9"/>
      <c r="B15" s="9"/>
      <c r="C15" s="9"/>
      <c r="D15" s="7"/>
      <c r="E15" s="8"/>
      <c r="F15" s="71"/>
      <c r="G15" s="8"/>
      <c r="H15" s="9"/>
      <c r="I15" s="8"/>
      <c r="J15" s="9"/>
      <c r="K15" s="73"/>
      <c r="L15" s="9"/>
      <c r="M15">
        <f>MAX(0,E15-System_Config!$B$9)</f>
        <v>0</v>
      </c>
      <c r="N15" t="str">
        <f t="shared" si="0"/>
        <v>✅ COMPLIANT</v>
      </c>
      <c r="O15" s="74"/>
    </row>
    <row r="16" spans="1:15" x14ac:dyDescent="0.25">
      <c r="A16" s="13"/>
      <c r="B16" s="13"/>
      <c r="C16" s="13"/>
      <c r="D16" s="11"/>
      <c r="E16" s="12"/>
      <c r="F16" s="70"/>
      <c r="G16" s="12"/>
      <c r="H16" s="13"/>
      <c r="I16" s="12"/>
      <c r="J16" s="13"/>
      <c r="K16" s="73"/>
      <c r="L16" s="13"/>
      <c r="M16">
        <f>MAX(0,E16-System_Config!$B$9)</f>
        <v>0</v>
      </c>
      <c r="N16" t="str">
        <f t="shared" si="0"/>
        <v>✅ COMPLIANT</v>
      </c>
      <c r="O16" s="74"/>
    </row>
    <row r="17" spans="1:15" x14ac:dyDescent="0.25">
      <c r="A17" s="9"/>
      <c r="B17" s="9"/>
      <c r="C17" s="9"/>
      <c r="D17" s="7"/>
      <c r="E17" s="8"/>
      <c r="F17" s="71"/>
      <c r="G17" s="8"/>
      <c r="H17" s="9"/>
      <c r="I17" s="8"/>
      <c r="J17" s="9"/>
      <c r="K17" s="73"/>
      <c r="L17" s="9"/>
      <c r="M17">
        <f>MAX(0,E17-System_Config!$B$9)</f>
        <v>0</v>
      </c>
      <c r="N17" t="str">
        <f t="shared" si="0"/>
        <v>✅ COMPLIANT</v>
      </c>
      <c r="O17" s="74"/>
    </row>
    <row r="18" spans="1:15" x14ac:dyDescent="0.25">
      <c r="A18" s="13"/>
      <c r="B18" s="13"/>
      <c r="C18" s="13"/>
      <c r="D18" s="11"/>
      <c r="E18" s="12"/>
      <c r="F18" s="70"/>
      <c r="G18" s="12"/>
      <c r="H18" s="13"/>
      <c r="I18" s="12"/>
      <c r="J18" s="13"/>
      <c r="K18" s="73"/>
      <c r="L18" s="13"/>
      <c r="M18">
        <f>MAX(0,E18-System_Config!$B$9)</f>
        <v>0</v>
      </c>
      <c r="N18" t="str">
        <f t="shared" si="0"/>
        <v>✅ COMPLIANT</v>
      </c>
      <c r="O18" s="74"/>
    </row>
    <row r="19" spans="1:15" x14ac:dyDescent="0.25">
      <c r="A19" s="9"/>
      <c r="B19" s="9"/>
      <c r="C19" s="9"/>
      <c r="D19" s="7"/>
      <c r="E19" s="8"/>
      <c r="F19" s="71"/>
      <c r="G19" s="8"/>
      <c r="H19" s="9"/>
      <c r="I19" s="8"/>
      <c r="J19" s="9"/>
      <c r="K19" s="73"/>
      <c r="L19" s="9"/>
      <c r="M19">
        <f>MAX(0,E19-System_Config!$B$9)</f>
        <v>0</v>
      </c>
      <c r="N19" t="str">
        <f t="shared" si="0"/>
        <v>✅ COMPLIANT</v>
      </c>
      <c r="O19" s="74"/>
    </row>
    <row r="20" spans="1:15" x14ac:dyDescent="0.25">
      <c r="A20" s="13"/>
      <c r="B20" s="13"/>
      <c r="C20" s="13"/>
      <c r="D20" s="11"/>
      <c r="E20" s="12"/>
      <c r="F20" s="70"/>
      <c r="G20" s="12"/>
      <c r="H20" s="13"/>
      <c r="I20" s="12"/>
      <c r="J20" s="13"/>
      <c r="K20" s="73"/>
      <c r="L20" s="13"/>
      <c r="M20">
        <f>MAX(0,E20-System_Config!$B$9)</f>
        <v>0</v>
      </c>
      <c r="N20" t="str">
        <f t="shared" si="0"/>
        <v>✅ COMPLIANT</v>
      </c>
      <c r="O20" s="74"/>
    </row>
    <row r="21" spans="1:15" x14ac:dyDescent="0.25">
      <c r="A21" s="9"/>
      <c r="B21" s="9"/>
      <c r="C21" s="9"/>
      <c r="D21" s="7"/>
      <c r="E21" s="8"/>
      <c r="F21" s="71"/>
      <c r="G21" s="8"/>
      <c r="H21" s="9"/>
      <c r="I21" s="8"/>
      <c r="J21" s="9"/>
      <c r="K21" s="73"/>
      <c r="L21" s="9"/>
      <c r="M21">
        <f>MAX(0,E21-System_Config!$B$9)</f>
        <v>0</v>
      </c>
      <c r="N21" t="str">
        <f t="shared" si="0"/>
        <v>✅ COMPLIANT</v>
      </c>
      <c r="O21" s="74"/>
    </row>
    <row r="22" spans="1:15" x14ac:dyDescent="0.25">
      <c r="A22" s="13"/>
      <c r="B22" s="13"/>
      <c r="C22" s="13"/>
      <c r="D22" s="11"/>
      <c r="E22" s="12"/>
      <c r="F22" s="70"/>
      <c r="G22" s="12"/>
      <c r="H22" s="13"/>
      <c r="I22" s="12"/>
      <c r="J22" s="13"/>
      <c r="K22" s="73"/>
      <c r="L22" s="13"/>
      <c r="M22">
        <f>MAX(0,E22-System_Config!$B$9)</f>
        <v>0</v>
      </c>
      <c r="N22" t="str">
        <f t="shared" si="0"/>
        <v>✅ COMPLIANT</v>
      </c>
      <c r="O22" s="74"/>
    </row>
    <row r="23" spans="1:15" x14ac:dyDescent="0.25">
      <c r="A23" s="9"/>
      <c r="B23" s="9"/>
      <c r="C23" s="9"/>
      <c r="D23" s="7"/>
      <c r="E23" s="8"/>
      <c r="F23" s="71"/>
      <c r="G23" s="8"/>
      <c r="H23" s="9"/>
      <c r="I23" s="8"/>
      <c r="J23" s="9"/>
      <c r="K23" s="73"/>
      <c r="L23" s="9"/>
      <c r="M23">
        <f>MAX(0,E23-System_Config!$B$9)</f>
        <v>0</v>
      </c>
      <c r="N23" t="str">
        <f t="shared" si="0"/>
        <v>✅ COMPLIANT</v>
      </c>
      <c r="O23" s="74"/>
    </row>
    <row r="24" spans="1:15" x14ac:dyDescent="0.25">
      <c r="A24" s="13"/>
      <c r="B24" s="13"/>
      <c r="C24" s="13"/>
      <c r="D24" s="11"/>
      <c r="E24" s="12"/>
      <c r="F24" s="70"/>
      <c r="G24" s="12"/>
      <c r="H24" s="13"/>
      <c r="I24" s="12"/>
      <c r="J24" s="13"/>
      <c r="K24" s="73"/>
      <c r="L24" s="13"/>
      <c r="M24">
        <f>MAX(0,E24-System_Config!$B$9)</f>
        <v>0</v>
      </c>
      <c r="N24" t="str">
        <f t="shared" si="0"/>
        <v>✅ COMPLIANT</v>
      </c>
      <c r="O24" s="74"/>
    </row>
    <row r="25" spans="1:15" x14ac:dyDescent="0.25">
      <c r="A25" s="9"/>
      <c r="B25" s="9"/>
      <c r="C25" s="9"/>
      <c r="D25" s="7"/>
      <c r="E25" s="8"/>
      <c r="F25" s="71"/>
      <c r="G25" s="8"/>
      <c r="H25" s="9"/>
      <c r="I25" s="8"/>
      <c r="J25" s="9"/>
      <c r="K25" s="73"/>
      <c r="L25" s="9"/>
      <c r="M25">
        <f>MAX(0,E25-System_Config!$B$9)</f>
        <v>0</v>
      </c>
      <c r="N25" t="str">
        <f t="shared" si="0"/>
        <v>✅ COMPLIANT</v>
      </c>
      <c r="O25" s="74"/>
    </row>
    <row r="26" spans="1:15" x14ac:dyDescent="0.25">
      <c r="A26" s="13"/>
      <c r="B26" s="13"/>
      <c r="C26" s="13"/>
      <c r="D26" s="11"/>
      <c r="E26" s="12"/>
      <c r="F26" s="70"/>
      <c r="G26" s="12"/>
      <c r="H26" s="13"/>
      <c r="I26" s="12"/>
      <c r="J26" s="13"/>
      <c r="K26" s="73"/>
      <c r="L26" s="13"/>
      <c r="M26">
        <f>MAX(0,E26-System_Config!$B$9)</f>
        <v>0</v>
      </c>
      <c r="N26" t="str">
        <f t="shared" si="0"/>
        <v>✅ COMPLIANT</v>
      </c>
      <c r="O26" s="74"/>
    </row>
    <row r="27" spans="1:15" x14ac:dyDescent="0.25">
      <c r="A27" s="9"/>
      <c r="B27" s="9"/>
      <c r="C27" s="9"/>
      <c r="D27" s="7"/>
      <c r="E27" s="8"/>
      <c r="F27" s="71"/>
      <c r="G27" s="8"/>
      <c r="H27" s="9"/>
      <c r="I27" s="8"/>
      <c r="J27" s="9"/>
      <c r="K27" s="73"/>
      <c r="L27" s="9"/>
      <c r="M27">
        <f>MAX(0,E27-System_Config!$B$9)</f>
        <v>0</v>
      </c>
      <c r="N27" t="str">
        <f t="shared" si="0"/>
        <v>✅ COMPLIANT</v>
      </c>
      <c r="O27" s="74"/>
    </row>
    <row r="28" spans="1:15" x14ac:dyDescent="0.25">
      <c r="A28" s="13"/>
      <c r="B28" s="13"/>
      <c r="C28" s="13"/>
      <c r="D28" s="11"/>
      <c r="E28" s="12"/>
      <c r="F28" s="70"/>
      <c r="G28" s="12"/>
      <c r="H28" s="13"/>
      <c r="I28" s="12"/>
      <c r="J28" s="13"/>
      <c r="K28" s="73"/>
      <c r="L28" s="13"/>
      <c r="M28">
        <f>MAX(0,E28-System_Config!$B$9)</f>
        <v>0</v>
      </c>
      <c r="N28" t="str">
        <f t="shared" si="0"/>
        <v>✅ COMPLIANT</v>
      </c>
      <c r="O28" s="74"/>
    </row>
    <row r="29" spans="1:15" x14ac:dyDescent="0.25">
      <c r="A29" s="9"/>
      <c r="B29" s="9"/>
      <c r="C29" s="9"/>
      <c r="D29" s="7"/>
      <c r="E29" s="8"/>
      <c r="F29" s="71"/>
      <c r="G29" s="8"/>
      <c r="H29" s="9"/>
      <c r="I29" s="8"/>
      <c r="J29" s="9"/>
      <c r="K29" s="73"/>
      <c r="L29" s="9"/>
      <c r="M29">
        <f>MAX(0,E29-System_Config!$B$9)</f>
        <v>0</v>
      </c>
      <c r="N29" t="str">
        <f t="shared" si="0"/>
        <v>✅ COMPLIANT</v>
      </c>
      <c r="O29" s="74"/>
    </row>
    <row r="30" spans="1:15" x14ac:dyDescent="0.25">
      <c r="A30" s="13"/>
      <c r="B30" s="13"/>
      <c r="C30" s="13"/>
      <c r="D30" s="11"/>
      <c r="E30" s="12"/>
      <c r="F30" s="70"/>
      <c r="G30" s="12"/>
      <c r="H30" s="13"/>
      <c r="I30" s="12"/>
      <c r="J30" s="13"/>
      <c r="K30" s="73"/>
      <c r="L30" s="13"/>
      <c r="M30">
        <f>MAX(0,E30-System_Config!$B$9)</f>
        <v>0</v>
      </c>
      <c r="N30" t="str">
        <f t="shared" si="0"/>
        <v>✅ COMPLIANT</v>
      </c>
      <c r="O30" s="74"/>
    </row>
    <row r="31" spans="1:15" x14ac:dyDescent="0.25">
      <c r="A31" s="9"/>
      <c r="B31" s="9"/>
      <c r="C31" s="9"/>
      <c r="D31" s="7"/>
      <c r="E31" s="8"/>
      <c r="F31" s="71"/>
      <c r="G31" s="8"/>
      <c r="H31" s="9"/>
      <c r="I31" s="8"/>
      <c r="J31" s="9"/>
      <c r="K31" s="73"/>
      <c r="L31" s="9"/>
      <c r="M31">
        <f>MAX(0,E31-System_Config!$B$9)</f>
        <v>0</v>
      </c>
      <c r="N31" t="str">
        <f t="shared" si="0"/>
        <v>✅ COMPLIANT</v>
      </c>
      <c r="O31" s="74"/>
    </row>
    <row r="32" spans="1:15" x14ac:dyDescent="0.25">
      <c r="A32" s="13"/>
      <c r="B32" s="13"/>
      <c r="C32" s="13"/>
      <c r="D32" s="11"/>
      <c r="E32" s="12"/>
      <c r="F32" s="70"/>
      <c r="G32" s="12"/>
      <c r="H32" s="13"/>
      <c r="I32" s="12"/>
      <c r="J32" s="13"/>
      <c r="K32" s="73"/>
      <c r="L32" s="13"/>
      <c r="M32">
        <f>MAX(0,E32-System_Config!$B$9)</f>
        <v>0</v>
      </c>
      <c r="N32" t="str">
        <f t="shared" si="0"/>
        <v>✅ COMPLIANT</v>
      </c>
      <c r="O32" s="74"/>
    </row>
    <row r="33" spans="1:15" x14ac:dyDescent="0.25">
      <c r="A33" s="9"/>
      <c r="B33" s="9"/>
      <c r="C33" s="9"/>
      <c r="D33" s="7"/>
      <c r="E33" s="8"/>
      <c r="F33" s="71"/>
      <c r="G33" s="8"/>
      <c r="H33" s="9"/>
      <c r="I33" s="8"/>
      <c r="J33" s="9"/>
      <c r="K33" s="73"/>
      <c r="L33" s="9"/>
      <c r="M33">
        <f>MAX(0,E33-System_Config!$B$9)</f>
        <v>0</v>
      </c>
      <c r="N33" t="str">
        <f t="shared" si="0"/>
        <v>✅ COMPLIANT</v>
      </c>
      <c r="O33" s="74"/>
    </row>
    <row r="34" spans="1:15" x14ac:dyDescent="0.25">
      <c r="A34" s="13"/>
      <c r="B34" s="13"/>
      <c r="C34" s="13"/>
      <c r="D34" s="11"/>
      <c r="E34" s="12"/>
      <c r="F34" s="70"/>
      <c r="G34" s="12"/>
      <c r="H34" s="13"/>
      <c r="I34" s="12"/>
      <c r="J34" s="13"/>
      <c r="K34" s="73"/>
      <c r="L34" s="13"/>
      <c r="M34">
        <f>MAX(0,E34-System_Config!$B$9)</f>
        <v>0</v>
      </c>
      <c r="N34" t="str">
        <f t="shared" si="0"/>
        <v>✅ COMPLIANT</v>
      </c>
      <c r="O34" s="74"/>
    </row>
    <row r="35" spans="1:15" x14ac:dyDescent="0.25">
      <c r="A35" s="9"/>
      <c r="B35" s="9"/>
      <c r="C35" s="9"/>
      <c r="D35" s="7"/>
      <c r="E35" s="8"/>
      <c r="F35" s="71"/>
      <c r="G35" s="8"/>
      <c r="H35" s="9"/>
      <c r="I35" s="8"/>
      <c r="J35" s="9"/>
      <c r="K35" s="73"/>
      <c r="L35" s="9"/>
      <c r="M35">
        <f>MAX(0,E35-System_Config!$B$9)</f>
        <v>0</v>
      </c>
      <c r="N35" t="str">
        <f t="shared" si="0"/>
        <v>✅ COMPLIANT</v>
      </c>
      <c r="O35" s="74"/>
    </row>
    <row r="36" spans="1:15" x14ac:dyDescent="0.25">
      <c r="A36" s="13"/>
      <c r="B36" s="13"/>
      <c r="C36" s="13"/>
      <c r="D36" s="11"/>
      <c r="E36" s="12"/>
      <c r="F36" s="70"/>
      <c r="G36" s="12"/>
      <c r="H36" s="13"/>
      <c r="I36" s="12"/>
      <c r="J36" s="13"/>
      <c r="K36" s="73"/>
      <c r="L36" s="13"/>
      <c r="M36">
        <f>MAX(0,E36-System_Config!$B$9)</f>
        <v>0</v>
      </c>
      <c r="N36" t="str">
        <f t="shared" si="0"/>
        <v>✅ COMPLIANT</v>
      </c>
      <c r="O36" s="74"/>
    </row>
    <row r="37" spans="1:15" x14ac:dyDescent="0.25">
      <c r="A37" s="9"/>
      <c r="B37" s="9"/>
      <c r="C37" s="9"/>
      <c r="D37" s="7"/>
      <c r="E37" s="8"/>
      <c r="F37" s="71"/>
      <c r="G37" s="8"/>
      <c r="H37" s="9"/>
      <c r="I37" s="8"/>
      <c r="J37" s="9"/>
      <c r="K37" s="73"/>
      <c r="L37" s="9"/>
      <c r="M37">
        <f>MAX(0,E37-System_Config!$B$9)</f>
        <v>0</v>
      </c>
      <c r="N37" t="str">
        <f t="shared" si="0"/>
        <v>✅ COMPLIANT</v>
      </c>
      <c r="O37" s="74"/>
    </row>
    <row r="38" spans="1:15" x14ac:dyDescent="0.25">
      <c r="A38" s="13"/>
      <c r="B38" s="13"/>
      <c r="C38" s="13"/>
      <c r="D38" s="11"/>
      <c r="E38" s="12"/>
      <c r="F38" s="70"/>
      <c r="G38" s="12"/>
      <c r="H38" s="13"/>
      <c r="I38" s="12"/>
      <c r="J38" s="13"/>
      <c r="K38" s="73"/>
      <c r="L38" s="13"/>
      <c r="M38">
        <f>MAX(0,E38-System_Config!$B$9)</f>
        <v>0</v>
      </c>
      <c r="N38" t="str">
        <f t="shared" si="0"/>
        <v>✅ COMPLIANT</v>
      </c>
      <c r="O38" s="74"/>
    </row>
    <row r="39" spans="1:15" x14ac:dyDescent="0.25">
      <c r="A39" s="9"/>
      <c r="B39" s="9"/>
      <c r="C39" s="9"/>
      <c r="D39" s="7"/>
      <c r="E39" s="8"/>
      <c r="F39" s="71"/>
      <c r="G39" s="8"/>
      <c r="H39" s="9"/>
      <c r="I39" s="8"/>
      <c r="J39" s="9"/>
      <c r="K39" s="73"/>
      <c r="L39" s="9"/>
      <c r="M39">
        <f>MAX(0,E39-System_Config!$B$9)</f>
        <v>0</v>
      </c>
      <c r="N39" t="str">
        <f t="shared" si="0"/>
        <v>✅ COMPLIANT</v>
      </c>
      <c r="O39" s="74"/>
    </row>
    <row r="40" spans="1:15" x14ac:dyDescent="0.25">
      <c r="A40" s="13"/>
      <c r="B40" s="13"/>
      <c r="C40" s="13"/>
      <c r="D40" s="11"/>
      <c r="E40" s="12"/>
      <c r="F40" s="70"/>
      <c r="G40" s="12"/>
      <c r="H40" s="13"/>
      <c r="I40" s="12"/>
      <c r="J40" s="13"/>
      <c r="K40" s="73"/>
      <c r="L40" s="13"/>
      <c r="M40">
        <f>MAX(0,E40-System_Config!$B$9)</f>
        <v>0</v>
      </c>
      <c r="N40" t="str">
        <f t="shared" si="0"/>
        <v>✅ COMPLIANT</v>
      </c>
      <c r="O40" s="74"/>
    </row>
    <row r="41" spans="1:15" x14ac:dyDescent="0.25">
      <c r="A41" s="9"/>
      <c r="B41" s="9"/>
      <c r="C41" s="9"/>
      <c r="D41" s="7"/>
      <c r="E41" s="8"/>
      <c r="F41" s="71"/>
      <c r="G41" s="8"/>
      <c r="H41" s="9"/>
      <c r="I41" s="8"/>
      <c r="J41" s="9"/>
      <c r="K41" s="73"/>
      <c r="L41" s="9"/>
      <c r="M41">
        <f>MAX(0,E41-System_Config!$B$9)</f>
        <v>0</v>
      </c>
      <c r="N41" t="str">
        <f t="shared" si="0"/>
        <v>✅ COMPLIANT</v>
      </c>
      <c r="O41" s="74"/>
    </row>
    <row r="42" spans="1:15" x14ac:dyDescent="0.25">
      <c r="A42" s="13"/>
      <c r="B42" s="13"/>
      <c r="C42" s="13"/>
      <c r="D42" s="11"/>
      <c r="E42" s="12"/>
      <c r="F42" s="70"/>
      <c r="G42" s="12"/>
      <c r="H42" s="13"/>
      <c r="I42" s="12"/>
      <c r="J42" s="13"/>
      <c r="K42" s="73"/>
      <c r="L42" s="13"/>
      <c r="M42">
        <f>MAX(0,E42-System_Config!$B$9)</f>
        <v>0</v>
      </c>
      <c r="N42" t="str">
        <f t="shared" si="0"/>
        <v>✅ COMPLIANT</v>
      </c>
      <c r="O42" s="74"/>
    </row>
    <row r="43" spans="1:15" x14ac:dyDescent="0.25">
      <c r="A43" s="9"/>
      <c r="B43" s="9"/>
      <c r="C43" s="9"/>
      <c r="D43" s="7"/>
      <c r="E43" s="8"/>
      <c r="F43" s="71"/>
      <c r="G43" s="8"/>
      <c r="H43" s="9"/>
      <c r="I43" s="8"/>
      <c r="J43" s="9"/>
      <c r="K43" s="73"/>
      <c r="L43" s="9"/>
      <c r="M43">
        <f>MAX(0,E43-System_Config!$B$9)</f>
        <v>0</v>
      </c>
      <c r="N43" t="str">
        <f t="shared" si="0"/>
        <v>✅ COMPLIANT</v>
      </c>
      <c r="O43" s="74"/>
    </row>
    <row r="44" spans="1:15" x14ac:dyDescent="0.25">
      <c r="A44" s="13"/>
      <c r="B44" s="13"/>
      <c r="C44" s="13"/>
      <c r="D44" s="11"/>
      <c r="E44" s="12"/>
      <c r="F44" s="70"/>
      <c r="G44" s="12"/>
      <c r="H44" s="13"/>
      <c r="I44" s="12"/>
      <c r="J44" s="13"/>
      <c r="K44" s="73"/>
      <c r="L44" s="13"/>
      <c r="M44">
        <f>MAX(0,E44-System_Config!$B$9)</f>
        <v>0</v>
      </c>
      <c r="N44" t="str">
        <f t="shared" si="0"/>
        <v>✅ COMPLIANT</v>
      </c>
      <c r="O44" s="74"/>
    </row>
    <row r="45" spans="1:15" x14ac:dyDescent="0.25">
      <c r="A45" s="9"/>
      <c r="B45" s="9"/>
      <c r="C45" s="9"/>
      <c r="D45" s="7"/>
      <c r="E45" s="8"/>
      <c r="F45" s="71"/>
      <c r="G45" s="8"/>
      <c r="H45" s="9"/>
      <c r="I45" s="8"/>
      <c r="J45" s="9"/>
      <c r="K45" s="73"/>
      <c r="L45" s="9"/>
      <c r="M45">
        <f>MAX(0,E45-System_Config!$B$9)</f>
        <v>0</v>
      </c>
      <c r="N45" t="str">
        <f t="shared" si="0"/>
        <v>✅ COMPLIANT</v>
      </c>
      <c r="O45" s="74"/>
    </row>
  </sheetData>
  <autoFilter ref="A3:L3" xr:uid="{00000000-0009-0000-0000-000024000000}"/>
  <mergeCells count="2">
    <mergeCell ref="A1:L1"/>
    <mergeCell ref="A2:L2"/>
  </mergeCells>
  <pageMargins left="0.75" right="0.75" top="1" bottom="1" header="0.511811023622047" footer="0.511811023622047"/>
  <pageSetup paperSize="9" orientation="portrait" horizontalDpi="300" verticalDpi="30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E67E22"/>
  </sheetPr>
  <dimension ref="A1:O8"/>
  <sheetViews>
    <sheetView topLeftCell="F1" zoomScaleNormal="100" workbookViewId="0">
      <pane ySplit="3" topLeftCell="A4" activePane="bottomLeft" state="frozen"/>
      <selection activeCell="F1" sqref="F1"/>
      <selection pane="bottomLeft" sqref="A1:N1"/>
    </sheetView>
  </sheetViews>
  <sheetFormatPr defaultColWidth="8.7109375" defaultRowHeight="15" x14ac:dyDescent="0.25"/>
  <cols>
    <col min="1" max="1" width="22" customWidth="1"/>
    <col min="2" max="2" width="16" customWidth="1"/>
    <col min="3" max="3" width="22" customWidth="1"/>
    <col min="4" max="4" width="13" customWidth="1"/>
    <col min="5" max="5" width="14" customWidth="1"/>
    <col min="6" max="6" width="22" customWidth="1"/>
    <col min="7" max="7" width="9" customWidth="1"/>
    <col min="8" max="8" width="8" customWidth="1"/>
    <col min="9" max="9" width="16" customWidth="1"/>
    <col min="10" max="10" width="18" customWidth="1"/>
    <col min="11" max="11" width="14" customWidth="1"/>
    <col min="12" max="12" width="12" customWidth="1"/>
    <col min="13" max="13" width="22" customWidth="1"/>
    <col min="14" max="14" width="12" customWidth="1"/>
    <col min="15" max="15" width="16" customWidth="1"/>
  </cols>
  <sheetData>
    <row r="1" spans="1:15" ht="31.5" customHeight="1" x14ac:dyDescent="0.25">
      <c r="A1" s="174" t="s">
        <v>234</v>
      </c>
      <c r="B1" s="174"/>
      <c r="C1" s="174"/>
      <c r="D1" s="174"/>
      <c r="E1" s="174"/>
      <c r="F1" s="174"/>
      <c r="G1" s="174"/>
      <c r="H1" s="174"/>
      <c r="I1" s="174"/>
      <c r="J1" s="174"/>
      <c r="K1" s="174"/>
      <c r="L1" s="174"/>
      <c r="M1" s="174"/>
      <c r="N1" s="174"/>
    </row>
    <row r="2" spans="1:15" ht="19.5" customHeight="1" x14ac:dyDescent="0.25">
      <c r="A2" s="175" t="s">
        <v>235</v>
      </c>
      <c r="B2" s="175"/>
      <c r="C2" s="175"/>
      <c r="D2" s="175"/>
      <c r="E2" s="175"/>
      <c r="F2" s="175"/>
      <c r="G2" s="175"/>
      <c r="H2" s="175"/>
      <c r="I2" s="175"/>
      <c r="J2" s="175"/>
      <c r="K2" s="175"/>
      <c r="L2" s="175"/>
      <c r="M2" s="175"/>
      <c r="N2" s="175"/>
    </row>
    <row r="3" spans="1:15" x14ac:dyDescent="0.25">
      <c r="A3" s="56" t="s">
        <v>236</v>
      </c>
      <c r="B3" s="56" t="s">
        <v>200</v>
      </c>
      <c r="C3" s="56" t="s">
        <v>222</v>
      </c>
      <c r="D3" s="56" t="s">
        <v>237</v>
      </c>
      <c r="E3" s="56" t="s">
        <v>238</v>
      </c>
      <c r="F3" s="56" t="s">
        <v>239</v>
      </c>
      <c r="G3" s="56" t="s">
        <v>240</v>
      </c>
      <c r="H3" s="56" t="s">
        <v>241</v>
      </c>
      <c r="I3" s="56" t="s">
        <v>242</v>
      </c>
      <c r="J3" s="56" t="s">
        <v>243</v>
      </c>
      <c r="K3" s="56" t="s">
        <v>133</v>
      </c>
      <c r="L3" s="56" t="s">
        <v>32</v>
      </c>
      <c r="M3" s="56" t="s">
        <v>244</v>
      </c>
      <c r="N3" s="69" t="s">
        <v>225</v>
      </c>
      <c r="O3" s="69" t="s">
        <v>245</v>
      </c>
    </row>
    <row r="4" spans="1:15" x14ac:dyDescent="0.25">
      <c r="A4" s="13"/>
      <c r="B4" s="13"/>
      <c r="C4" s="11"/>
      <c r="D4" s="70"/>
      <c r="E4" s="12"/>
      <c r="F4" s="11"/>
      <c r="G4" s="13"/>
      <c r="H4" s="13"/>
      <c r="I4" s="12">
        <f>E4+(E4*H4/100*G4)</f>
        <v>0</v>
      </c>
      <c r="J4" s="12">
        <f>IFERROR(I4/G4,0)</f>
        <v>0</v>
      </c>
      <c r="K4" s="73"/>
      <c r="L4" s="13"/>
      <c r="M4" s="13"/>
      <c r="N4" s="74"/>
      <c r="O4" t="str">
        <f>IF(AND(H4&gt;=0,H4&lt;=100),"✅ VALID %","❌ INVALID")</f>
        <v>✅ VALID %</v>
      </c>
    </row>
    <row r="5" spans="1:15" x14ac:dyDescent="0.25">
      <c r="A5" s="9"/>
      <c r="B5" s="9"/>
      <c r="C5" s="7"/>
      <c r="D5" s="71"/>
      <c r="E5" s="8"/>
      <c r="F5" s="7"/>
      <c r="G5" s="9"/>
      <c r="H5" s="9"/>
      <c r="I5" s="8">
        <f>E5+(E5*H5/100*G5)</f>
        <v>0</v>
      </c>
      <c r="J5" s="8">
        <f>IFERROR(I5/G5,0)</f>
        <v>0</v>
      </c>
      <c r="K5" s="73"/>
      <c r="L5" s="9"/>
      <c r="M5" s="9"/>
      <c r="N5" s="74"/>
      <c r="O5" t="str">
        <f>IF(AND(H5&gt;=0,H5&lt;=100),"✅ VALID %","❌ INVALID")</f>
        <v>✅ VALID %</v>
      </c>
    </row>
    <row r="6" spans="1:15" x14ac:dyDescent="0.25">
      <c r="A6" s="13"/>
      <c r="B6" s="13"/>
      <c r="C6" s="11"/>
      <c r="D6" s="70"/>
      <c r="E6" s="12"/>
      <c r="F6" s="11"/>
      <c r="G6" s="13"/>
      <c r="H6" s="13"/>
      <c r="I6" s="12">
        <f>E6+(E6*H6/100*G6)</f>
        <v>0</v>
      </c>
      <c r="J6" s="12">
        <f>IFERROR(I6/G6,0)</f>
        <v>0</v>
      </c>
      <c r="K6" s="75"/>
      <c r="L6" s="13"/>
      <c r="M6" s="13"/>
      <c r="N6" s="74"/>
      <c r="O6" t="str">
        <f>IF(AND(H6&gt;=0,H6&lt;=100),"✅ VALID %","❌ INVALID")</f>
        <v>✅ VALID %</v>
      </c>
    </row>
    <row r="7" spans="1:15" x14ac:dyDescent="0.25">
      <c r="A7" s="9"/>
      <c r="B7" s="9"/>
      <c r="C7" s="7"/>
      <c r="D7" s="71"/>
      <c r="E7" s="8"/>
      <c r="F7" s="7"/>
      <c r="G7" s="9"/>
      <c r="H7" s="9"/>
      <c r="I7" s="8">
        <f>E7+(E7*H7/100*G7)</f>
        <v>0</v>
      </c>
      <c r="J7" s="8">
        <f>IFERROR(I7/G7,0)</f>
        <v>0</v>
      </c>
      <c r="K7" s="75"/>
      <c r="L7" s="9"/>
      <c r="M7" s="9"/>
      <c r="N7" s="74"/>
      <c r="O7" t="str">
        <f>IF(AND(H7&gt;=0,H7&lt;=100),"✅ VALID %","❌ INVALID")</f>
        <v>✅ VALID %</v>
      </c>
    </row>
    <row r="8" spans="1:15" x14ac:dyDescent="0.25">
      <c r="A8" s="13"/>
      <c r="B8" s="13"/>
      <c r="C8" s="11"/>
      <c r="D8" s="70"/>
      <c r="E8" s="12"/>
      <c r="F8" s="11"/>
      <c r="G8" s="13"/>
      <c r="H8" s="13"/>
      <c r="I8" s="12">
        <f>E8+(E8*H8/100*G8)</f>
        <v>0</v>
      </c>
      <c r="J8" s="12">
        <f>IFERROR(I8/G8,0)</f>
        <v>0</v>
      </c>
      <c r="K8" s="75"/>
      <c r="L8" s="13"/>
      <c r="M8" s="13"/>
      <c r="N8" s="74"/>
      <c r="O8" t="str">
        <f>IF(AND(H8&gt;=0,H8&lt;=100),"✅ VALID %","❌ INVALID")</f>
        <v>✅ VALID %</v>
      </c>
    </row>
  </sheetData>
  <autoFilter ref="A3:M3" xr:uid="{00000000-0009-0000-0000-000025000000}"/>
  <mergeCells count="2">
    <mergeCell ref="A1:N1"/>
    <mergeCell ref="A2:N2"/>
  </mergeCells>
  <pageMargins left="0.75" right="0.75" top="1" bottom="1" header="0.511811023622047" footer="0.511811023622047"/>
  <pageSetup paperSize="9" orientation="portrait" horizontalDpi="300" verticalDpi="3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L3"/>
  <sheetViews>
    <sheetView zoomScaleNormal="100" workbookViewId="0">
      <pane ySplit="3" topLeftCell="A4" activePane="bottomLeft" state="frozen"/>
      <selection pane="bottomLeft" sqref="A1:L1"/>
    </sheetView>
  </sheetViews>
  <sheetFormatPr defaultColWidth="8.7109375" defaultRowHeight="15" x14ac:dyDescent="0.25"/>
  <cols>
    <col min="1" max="1" width="18" customWidth="1"/>
    <col min="2" max="2" width="22" customWidth="1"/>
    <col min="3" max="3" width="16" customWidth="1"/>
    <col min="4" max="4" width="22" customWidth="1"/>
    <col min="5" max="5" width="14" customWidth="1"/>
    <col min="6" max="7" width="16" customWidth="1"/>
    <col min="8" max="8" width="18" customWidth="1"/>
    <col min="9" max="9" width="12" customWidth="1"/>
    <col min="10" max="10" width="20" customWidth="1"/>
    <col min="11" max="11" width="30" customWidth="1"/>
    <col min="12" max="12" width="14" customWidth="1"/>
  </cols>
  <sheetData>
    <row r="1" spans="1:12" ht="21.75" customHeight="1" x14ac:dyDescent="0.25">
      <c r="A1" s="178" t="s">
        <v>246</v>
      </c>
      <c r="B1" s="178"/>
      <c r="C1" s="178"/>
      <c r="D1" s="178"/>
      <c r="E1" s="178"/>
      <c r="F1" s="178"/>
      <c r="G1" s="178"/>
      <c r="H1" s="178"/>
      <c r="I1" s="178"/>
      <c r="J1" s="178"/>
      <c r="K1" s="178"/>
      <c r="L1" s="178"/>
    </row>
    <row r="2" spans="1:12" x14ac:dyDescent="0.25">
      <c r="A2" s="179"/>
      <c r="B2" s="179"/>
      <c r="C2" s="179"/>
      <c r="D2" s="179"/>
      <c r="E2" s="179"/>
      <c r="F2" s="179"/>
      <c r="G2" s="179"/>
      <c r="H2" s="179"/>
      <c r="I2" s="179"/>
      <c r="J2" s="179"/>
      <c r="K2" s="179"/>
      <c r="L2" s="179"/>
    </row>
    <row r="3" spans="1:12" x14ac:dyDescent="0.25">
      <c r="A3" s="76"/>
      <c r="B3" s="76"/>
      <c r="C3" s="76"/>
      <c r="D3" s="76"/>
      <c r="E3" s="76"/>
      <c r="F3" s="76"/>
      <c r="G3" s="76"/>
      <c r="H3" s="76"/>
      <c r="I3" s="76"/>
      <c r="J3" s="76"/>
      <c r="K3" s="76"/>
      <c r="L3" s="76"/>
    </row>
  </sheetData>
  <mergeCells count="2">
    <mergeCell ref="A1:L1"/>
    <mergeCell ref="A2:L2"/>
  </mergeCells>
  <pageMargins left="0.75" right="0.75" top="1" bottom="1" header="0.511811023622047" footer="0.511811023622047"/>
  <pageSetup paperSize="9" orientation="portrait" horizontalDpi="300" verticalDpi="30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tabColor rgb="FF1ABC9C"/>
  </sheetPr>
  <dimension ref="A1:G15"/>
  <sheetViews>
    <sheetView zoomScaleNormal="100" workbookViewId="0">
      <pane xSplit="1" ySplit="3" topLeftCell="B4" activePane="bottomRight" state="frozen"/>
      <selection pane="topRight" activeCell="B1" sqref="B1"/>
      <selection pane="bottomLeft" activeCell="A4" sqref="A4"/>
      <selection pane="bottomRight" sqref="A1:G1"/>
    </sheetView>
  </sheetViews>
  <sheetFormatPr defaultColWidth="8.7109375" defaultRowHeight="15" x14ac:dyDescent="0.25"/>
  <cols>
    <col min="1" max="1" width="14" customWidth="1"/>
    <col min="2" max="2" width="18" customWidth="1"/>
    <col min="3" max="3" width="20" customWidth="1"/>
    <col min="4" max="4" width="16" customWidth="1"/>
    <col min="5" max="5" width="13" customWidth="1"/>
    <col min="6" max="6" width="14" customWidth="1"/>
    <col min="7" max="7" width="16" customWidth="1"/>
  </cols>
  <sheetData>
    <row r="1" spans="1:7" ht="31.5" customHeight="1" x14ac:dyDescent="0.25">
      <c r="A1" s="115" t="s">
        <v>247</v>
      </c>
      <c r="B1" s="115"/>
      <c r="C1" s="115"/>
      <c r="D1" s="115"/>
      <c r="E1" s="115"/>
      <c r="F1" s="115"/>
      <c r="G1" s="115"/>
    </row>
    <row r="2" spans="1:7" ht="19.5" customHeight="1" x14ac:dyDescent="0.25">
      <c r="A2" s="116" t="s">
        <v>248</v>
      </c>
      <c r="B2" s="116"/>
      <c r="C2" s="116"/>
      <c r="D2" s="116"/>
      <c r="E2" s="116"/>
      <c r="F2" s="116"/>
      <c r="G2" s="116"/>
    </row>
    <row r="3" spans="1:7" x14ac:dyDescent="0.25">
      <c r="A3" s="6" t="s">
        <v>32</v>
      </c>
      <c r="B3" s="6" t="s">
        <v>249</v>
      </c>
      <c r="C3" s="6" t="s">
        <v>250</v>
      </c>
      <c r="D3" s="6" t="s">
        <v>251</v>
      </c>
      <c r="E3" s="6" t="s">
        <v>36</v>
      </c>
      <c r="F3" s="6" t="s">
        <v>252</v>
      </c>
      <c r="G3" s="6" t="s">
        <v>133</v>
      </c>
    </row>
    <row r="4" spans="1:7" x14ac:dyDescent="0.25">
      <c r="A4" s="7" t="s">
        <v>41</v>
      </c>
      <c r="B4" s="8">
        <f ca="1">SUMIFS(DB_Savings!$F:$F,DB_Savings!$G:$G,"Agent 01",DB_Savings!$E:$E,TODAY())</f>
        <v>0</v>
      </c>
      <c r="C4" s="8">
        <f ca="1">SUMIFS(DB_Withdrawals!$G:$G,DB_Withdrawals!$J:$J,"Agent 01",DB_Withdrawals!$F:$F,TODAY())</f>
        <v>0</v>
      </c>
      <c r="D4" s="8">
        <f t="shared" ref="D4:D14" ca="1" si="0">B4-C4</f>
        <v>0</v>
      </c>
      <c r="E4" s="9">
        <f ca="1">COUNTIFS(DB_Savings!$G:$G,"Agent 01",DB_Savings!$E:$E,TODAY())+COUNTIFS(DB_Withdrawals!$J:$J,"Agent 01",DB_Withdrawals!$F:$F,TODAY())</f>
        <v>0</v>
      </c>
      <c r="F4" s="8">
        <v>5000</v>
      </c>
      <c r="G4" s="9" t="str">
        <f t="shared" ref="G4:G13" ca="1" si="1">IF(B4&gt;=F4,"✅ Target Met",IF(B4&gt;=F4/2,"⚠️ Below Target","❌ Low"))</f>
        <v>❌ Low</v>
      </c>
    </row>
    <row r="5" spans="1:7" x14ac:dyDescent="0.25">
      <c r="A5" s="11" t="s">
        <v>42</v>
      </c>
      <c r="B5" s="12">
        <f ca="1">SUMIFS(DB_Savings!$F:$F,DB_Savings!$G:$G,"Agent 02",DB_Savings!$E:$E,TODAY())</f>
        <v>0</v>
      </c>
      <c r="C5" s="12">
        <f ca="1">SUMIFS(DB_Withdrawals!$G:$G,DB_Withdrawals!$J:$J,"Agent 02",DB_Withdrawals!$F:$F,TODAY())</f>
        <v>0</v>
      </c>
      <c r="D5" s="12">
        <f t="shared" ca="1" si="0"/>
        <v>0</v>
      </c>
      <c r="E5" s="13">
        <f ca="1">COUNTIFS(DB_Savings!$G:$G,"Agent 02",DB_Savings!$E:$E,TODAY())+COUNTIFS(DB_Withdrawals!$J:$J,"Agent 02",DB_Withdrawals!$F:$F,TODAY())</f>
        <v>0</v>
      </c>
      <c r="F5" s="12">
        <v>5000</v>
      </c>
      <c r="G5" s="13" t="str">
        <f t="shared" ca="1" si="1"/>
        <v>❌ Low</v>
      </c>
    </row>
    <row r="6" spans="1:7" x14ac:dyDescent="0.25">
      <c r="A6" s="7" t="s">
        <v>43</v>
      </c>
      <c r="B6" s="8">
        <f ca="1">SUMIFS(DB_Savings!$F:$F,DB_Savings!$G:$G,"Agent 03",DB_Savings!$E:$E,TODAY())</f>
        <v>0</v>
      </c>
      <c r="C6" s="8">
        <f ca="1">SUMIFS(DB_Withdrawals!$G:$G,DB_Withdrawals!$J:$J,"Agent 03",DB_Withdrawals!$F:$F,TODAY())</f>
        <v>0</v>
      </c>
      <c r="D6" s="8">
        <f t="shared" ca="1" si="0"/>
        <v>0</v>
      </c>
      <c r="E6" s="9">
        <f ca="1">COUNTIFS(DB_Savings!$G:$G,"Agent 03",DB_Savings!$E:$E,TODAY())+COUNTIFS(DB_Withdrawals!$J:$J,"Agent 03",DB_Withdrawals!$F:$F,TODAY())</f>
        <v>0</v>
      </c>
      <c r="F6" s="8">
        <v>5000</v>
      </c>
      <c r="G6" s="9" t="str">
        <f t="shared" ca="1" si="1"/>
        <v>❌ Low</v>
      </c>
    </row>
    <row r="7" spans="1:7" x14ac:dyDescent="0.25">
      <c r="A7" s="11" t="s">
        <v>44</v>
      </c>
      <c r="B7" s="12">
        <f ca="1">SUMIFS(DB_Savings!$F:$F,DB_Savings!$G:$G,"Agent 04",DB_Savings!$E:$E,TODAY())</f>
        <v>0</v>
      </c>
      <c r="C7" s="12">
        <f ca="1">SUMIFS(DB_Withdrawals!$G:$G,DB_Withdrawals!$J:$J,"Agent 04",DB_Withdrawals!$F:$F,TODAY())</f>
        <v>0</v>
      </c>
      <c r="D7" s="12">
        <f t="shared" ca="1" si="0"/>
        <v>0</v>
      </c>
      <c r="E7" s="13">
        <f ca="1">COUNTIFS(DB_Savings!$G:$G,"Agent 04",DB_Savings!$E:$E,TODAY())+COUNTIFS(DB_Withdrawals!$J:$J,"Agent 04",DB_Withdrawals!$F:$F,TODAY())</f>
        <v>0</v>
      </c>
      <c r="F7" s="12">
        <v>5000</v>
      </c>
      <c r="G7" s="13" t="str">
        <f t="shared" ca="1" si="1"/>
        <v>❌ Low</v>
      </c>
    </row>
    <row r="8" spans="1:7" x14ac:dyDescent="0.25">
      <c r="A8" s="7" t="s">
        <v>45</v>
      </c>
      <c r="B8" s="8">
        <f ca="1">SUMIFS(DB_Savings!$F:$F,DB_Savings!$G:$G,"Agent 05",DB_Savings!$E:$E,TODAY())</f>
        <v>0</v>
      </c>
      <c r="C8" s="8">
        <f ca="1">SUMIFS(DB_Withdrawals!$G:$G,DB_Withdrawals!$J:$J,"Agent 05",DB_Withdrawals!$F:$F,TODAY())</f>
        <v>0</v>
      </c>
      <c r="D8" s="8">
        <f t="shared" ca="1" si="0"/>
        <v>0</v>
      </c>
      <c r="E8" s="9">
        <f ca="1">COUNTIFS(DB_Savings!$G:$G,"Agent 05",DB_Savings!$E:$E,TODAY())+COUNTIFS(DB_Withdrawals!$J:$J,"Agent 05",DB_Withdrawals!$F:$F,TODAY())</f>
        <v>0</v>
      </c>
      <c r="F8" s="8">
        <v>5000</v>
      </c>
      <c r="G8" s="9" t="str">
        <f t="shared" ca="1" si="1"/>
        <v>❌ Low</v>
      </c>
    </row>
    <row r="9" spans="1:7" x14ac:dyDescent="0.25">
      <c r="A9" s="11" t="s">
        <v>46</v>
      </c>
      <c r="B9" s="12">
        <f ca="1">SUMIFS(DB_Savings!$F:$F,DB_Savings!$G:$G,"Agent 06",DB_Savings!$E:$E,TODAY())</f>
        <v>0</v>
      </c>
      <c r="C9" s="12">
        <f ca="1">SUMIFS(DB_Withdrawals!$G:$G,DB_Withdrawals!$J:$J,"Agent 06",DB_Withdrawals!$F:$F,TODAY())</f>
        <v>0</v>
      </c>
      <c r="D9" s="12">
        <f t="shared" ca="1" si="0"/>
        <v>0</v>
      </c>
      <c r="E9" s="13">
        <f ca="1">COUNTIFS(DB_Savings!$G:$G,"Agent 06",DB_Savings!$E:$E,TODAY())+COUNTIFS(DB_Withdrawals!$J:$J,"Agent 06",DB_Withdrawals!$F:$F,TODAY())</f>
        <v>0</v>
      </c>
      <c r="F9" s="12">
        <v>5000</v>
      </c>
      <c r="G9" s="13" t="str">
        <f t="shared" ca="1" si="1"/>
        <v>❌ Low</v>
      </c>
    </row>
    <row r="10" spans="1:7" x14ac:dyDescent="0.25">
      <c r="A10" s="7" t="s">
        <v>47</v>
      </c>
      <c r="B10" s="8">
        <f ca="1">SUMIFS(DB_Savings!$F:$F,DB_Savings!$G:$G,"Agent 07",DB_Savings!$E:$E,TODAY())</f>
        <v>0</v>
      </c>
      <c r="C10" s="8">
        <f ca="1">SUMIFS(DB_Withdrawals!$G:$G,DB_Withdrawals!$J:$J,"Agent 07",DB_Withdrawals!$F:$F,TODAY())</f>
        <v>0</v>
      </c>
      <c r="D10" s="8">
        <f t="shared" ca="1" si="0"/>
        <v>0</v>
      </c>
      <c r="E10" s="9">
        <f ca="1">COUNTIFS(DB_Savings!$G:$G,"Agent 07",DB_Savings!$E:$E,TODAY())+COUNTIFS(DB_Withdrawals!$J:$J,"Agent 07",DB_Withdrawals!$F:$F,TODAY())</f>
        <v>0</v>
      </c>
      <c r="F10" s="8">
        <v>5000</v>
      </c>
      <c r="G10" s="9" t="str">
        <f t="shared" ca="1" si="1"/>
        <v>❌ Low</v>
      </c>
    </row>
    <row r="11" spans="1:7" x14ac:dyDescent="0.25">
      <c r="A11" s="11" t="s">
        <v>48</v>
      </c>
      <c r="B11" s="12">
        <f ca="1">SUMIFS(DB_Savings!$F:$F,DB_Savings!$G:$G,"Agent 08",DB_Savings!$E:$E,TODAY())</f>
        <v>0</v>
      </c>
      <c r="C11" s="12">
        <f ca="1">SUMIFS(DB_Withdrawals!$G:$G,DB_Withdrawals!$J:$J,"Agent 08",DB_Withdrawals!$F:$F,TODAY())</f>
        <v>0</v>
      </c>
      <c r="D11" s="12">
        <f t="shared" ca="1" si="0"/>
        <v>0</v>
      </c>
      <c r="E11" s="13">
        <f ca="1">COUNTIFS(DB_Savings!$G:$G,"Agent 08",DB_Savings!$E:$E,TODAY())+COUNTIFS(DB_Withdrawals!$J:$J,"Agent 08",DB_Withdrawals!$F:$F,TODAY())</f>
        <v>0</v>
      </c>
      <c r="F11" s="12">
        <v>5000</v>
      </c>
      <c r="G11" s="13" t="str">
        <f t="shared" ca="1" si="1"/>
        <v>❌ Low</v>
      </c>
    </row>
    <row r="12" spans="1:7" x14ac:dyDescent="0.25">
      <c r="A12" s="7" t="s">
        <v>49</v>
      </c>
      <c r="B12" s="8">
        <f ca="1">SUMIFS(DB_Savings!$F:$F,DB_Savings!$G:$G,"Agent 09",DB_Savings!$E:$E,TODAY())</f>
        <v>0</v>
      </c>
      <c r="C12" s="8">
        <f ca="1">SUMIFS(DB_Withdrawals!$G:$G,DB_Withdrawals!$J:$J,"Agent 09",DB_Withdrawals!$F:$F,TODAY())</f>
        <v>0</v>
      </c>
      <c r="D12" s="8">
        <f t="shared" ca="1" si="0"/>
        <v>0</v>
      </c>
      <c r="E12" s="9">
        <f ca="1">COUNTIFS(DB_Savings!$G:$G,"Agent 09",DB_Savings!$E:$E,TODAY())+COUNTIFS(DB_Withdrawals!$J:$J,"Agent 09",DB_Withdrawals!$F:$F,TODAY())</f>
        <v>0</v>
      </c>
      <c r="F12" s="8">
        <v>5000</v>
      </c>
      <c r="G12" s="9" t="str">
        <f t="shared" ca="1" si="1"/>
        <v>❌ Low</v>
      </c>
    </row>
    <row r="13" spans="1:7" x14ac:dyDescent="0.25">
      <c r="A13" s="11" t="s">
        <v>50</v>
      </c>
      <c r="B13" s="12">
        <f ca="1">SUMIFS(DB_Savings!$F:$F,DB_Savings!$G:$G,"Agent 10",DB_Savings!$E:$E,TODAY())</f>
        <v>0</v>
      </c>
      <c r="C13" s="12">
        <f ca="1">SUMIFS(DB_Withdrawals!$G:$G,DB_Withdrawals!$J:$J,"Agent 10",DB_Withdrawals!$F:$F,TODAY())</f>
        <v>0</v>
      </c>
      <c r="D13" s="12">
        <f t="shared" ca="1" si="0"/>
        <v>0</v>
      </c>
      <c r="E13" s="13">
        <f ca="1">COUNTIFS(DB_Savings!$G:$G,"Agent 10",DB_Savings!$E:$E,TODAY())+COUNTIFS(DB_Withdrawals!$J:$J,"Agent 10",DB_Withdrawals!$F:$F,TODAY())</f>
        <v>0</v>
      </c>
      <c r="F13" s="12">
        <v>5000</v>
      </c>
      <c r="G13" s="13" t="str">
        <f t="shared" ca="1" si="1"/>
        <v>❌ Low</v>
      </c>
    </row>
    <row r="14" spans="1:7" x14ac:dyDescent="0.25">
      <c r="A14" s="15" t="s">
        <v>253</v>
      </c>
      <c r="B14" s="16">
        <f ca="1">SUM(B4:B13)</f>
        <v>0</v>
      </c>
      <c r="C14" s="16">
        <f ca="1">SUM(C4:C13)</f>
        <v>0</v>
      </c>
      <c r="D14" s="16">
        <f t="shared" ca="1" si="0"/>
        <v>0</v>
      </c>
      <c r="E14" s="15">
        <f ca="1">SUM(E4:E13)</f>
        <v>0</v>
      </c>
      <c r="F14" s="15"/>
      <c r="G14" s="15"/>
    </row>
    <row r="15" spans="1:7" ht="7.5" customHeight="1" x14ac:dyDescent="0.25"/>
  </sheetData>
  <mergeCells count="2">
    <mergeCell ref="A1:G1"/>
    <mergeCell ref="A2:G2"/>
  </mergeCells>
  <conditionalFormatting sqref="D4:D13">
    <cfRule type="cellIs" dxfId="1" priority="2" operator="greaterThan">
      <formula>0</formula>
    </cfRule>
    <cfRule type="cellIs" dxfId="0" priority="3" operator="lessThan">
      <formula>0</formula>
    </cfRule>
  </conditionalFormatting>
  <pageMargins left="0.75" right="0.75" top="1" bottom="1" header="0.511811023622047" footer="0.511811023622047"/>
  <pageSetup paperSize="9" orientation="portrait" horizontalDpi="300" verticalDpi="30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tabColor rgb="FF2E86AB"/>
  </sheetPr>
  <dimension ref="A1:H18"/>
  <sheetViews>
    <sheetView zoomScaleNormal="100" workbookViewId="0">
      <pane xSplit="1" ySplit="7" topLeftCell="B8" activePane="bottomRight" state="frozen"/>
      <selection pane="topRight" activeCell="B1" sqref="B1"/>
      <selection pane="bottomLeft" activeCell="A8" sqref="A8"/>
      <selection pane="bottomRight" sqref="A1:H1"/>
    </sheetView>
  </sheetViews>
  <sheetFormatPr defaultColWidth="8.7109375" defaultRowHeight="15" x14ac:dyDescent="0.25"/>
  <cols>
    <col min="1" max="1" width="14" customWidth="1"/>
    <col min="2" max="7" width="13" customWidth="1"/>
    <col min="8" max="8" width="16" customWidth="1"/>
  </cols>
  <sheetData>
    <row r="1" spans="1:8" ht="31.5" customHeight="1" x14ac:dyDescent="0.25">
      <c r="A1" s="184" t="s">
        <v>254</v>
      </c>
      <c r="B1" s="184"/>
      <c r="C1" s="184"/>
      <c r="D1" s="184"/>
      <c r="E1" s="184"/>
      <c r="F1" s="184"/>
      <c r="G1" s="184"/>
      <c r="H1" s="184"/>
    </row>
    <row r="2" spans="1:8" ht="19.5" customHeight="1" x14ac:dyDescent="0.25">
      <c r="A2" s="185" t="str">
        <f ca="1">TEXT(TODAY()-WEEKDAY(TODAY(),2)+1,"DD MMM")&amp;" – "&amp;TEXT(TODAY()-WEEKDAY(TODAY(),2)+7,"DD MMM YYYY")</f>
        <v>13 Apr – 19 Apr 2026</v>
      </c>
      <c r="B2" s="185"/>
      <c r="C2" s="185"/>
      <c r="D2" s="185"/>
      <c r="E2" s="185"/>
      <c r="F2" s="185"/>
      <c r="G2" s="185"/>
      <c r="H2" s="185"/>
    </row>
    <row r="3" spans="1:8" ht="18" customHeight="1" x14ac:dyDescent="0.25">
      <c r="A3" s="150" t="s">
        <v>255</v>
      </c>
      <c r="B3" s="150"/>
      <c r="C3" s="151" t="s">
        <v>56</v>
      </c>
      <c r="D3" s="151"/>
      <c r="E3" s="152" t="s">
        <v>256</v>
      </c>
      <c r="F3" s="152"/>
      <c r="G3" s="163" t="s">
        <v>36</v>
      </c>
      <c r="H3" s="163"/>
    </row>
    <row r="4" spans="1:8" ht="27.75" customHeight="1" x14ac:dyDescent="0.25">
      <c r="A4" s="180">
        <f ca="1">Daily_Balancing!B14</f>
        <v>0</v>
      </c>
      <c r="B4" s="180"/>
      <c r="C4" s="181">
        <f ca="1">Daily_Balancing!C14</f>
        <v>0</v>
      </c>
      <c r="D4" s="181"/>
      <c r="E4" s="182">
        <f ca="1">Daily_Balancing!D14</f>
        <v>0</v>
      </c>
      <c r="F4" s="182"/>
      <c r="G4" s="183">
        <f ca="1">Daily_Balancing!E14</f>
        <v>0</v>
      </c>
      <c r="H4" s="183"/>
    </row>
    <row r="6" spans="1:8" x14ac:dyDescent="0.25">
      <c r="A6" s="176" t="s">
        <v>257</v>
      </c>
      <c r="B6" s="176"/>
      <c r="C6" s="176"/>
      <c r="D6" s="176"/>
      <c r="E6" s="176"/>
      <c r="F6" s="176"/>
      <c r="G6" s="176"/>
      <c r="H6" s="176"/>
    </row>
    <row r="7" spans="1:8" x14ac:dyDescent="0.25">
      <c r="A7" s="6" t="s">
        <v>32</v>
      </c>
      <c r="B7" s="6" t="s">
        <v>258</v>
      </c>
      <c r="C7" s="6" t="s">
        <v>259</v>
      </c>
      <c r="D7" s="6" t="s">
        <v>260</v>
      </c>
      <c r="E7" s="6" t="s">
        <v>261</v>
      </c>
      <c r="F7" s="6" t="s">
        <v>262</v>
      </c>
      <c r="G7" s="6" t="s">
        <v>263</v>
      </c>
      <c r="H7" s="6" t="s">
        <v>264</v>
      </c>
    </row>
    <row r="8" spans="1:8" x14ac:dyDescent="0.25">
      <c r="A8" s="7" t="s">
        <v>41</v>
      </c>
      <c r="B8" s="8">
        <f ca="1">IFERROR(Daily_Balancing!B4/5,0)</f>
        <v>0</v>
      </c>
      <c r="C8" s="8">
        <f ca="1">IFERROR(Daily_Balancing!B4/5,0)</f>
        <v>0</v>
      </c>
      <c r="D8" s="8">
        <f ca="1">IFERROR(Daily_Balancing!B4/5,0)</f>
        <v>0</v>
      </c>
      <c r="E8" s="8">
        <f ca="1">IFERROR(Daily_Balancing!B4/5,0)</f>
        <v>0</v>
      </c>
      <c r="F8" s="8">
        <f ca="1">IFERROR(Daily_Balancing!B4/5,0)</f>
        <v>0</v>
      </c>
      <c r="G8" s="8">
        <f ca="1">IFERROR(Daily_Balancing!B4/5,0)</f>
        <v>0</v>
      </c>
      <c r="H8" s="8">
        <f t="shared" ref="H8:H17" ca="1" si="0">SUM(B8:G8)</f>
        <v>0</v>
      </c>
    </row>
    <row r="9" spans="1:8" x14ac:dyDescent="0.25">
      <c r="A9" s="11" t="s">
        <v>42</v>
      </c>
      <c r="B9" s="12">
        <f ca="1">IFERROR(Daily_Balancing!B5/5,0)</f>
        <v>0</v>
      </c>
      <c r="C9" s="12">
        <f ca="1">IFERROR(Daily_Balancing!B5/5,0)</f>
        <v>0</v>
      </c>
      <c r="D9" s="12">
        <f ca="1">IFERROR(Daily_Balancing!B5/5,0)</f>
        <v>0</v>
      </c>
      <c r="E9" s="12">
        <f ca="1">IFERROR(Daily_Balancing!B5/5,0)</f>
        <v>0</v>
      </c>
      <c r="F9" s="12">
        <f ca="1">IFERROR(Daily_Balancing!B5/5,0)</f>
        <v>0</v>
      </c>
      <c r="G9" s="12">
        <f ca="1">IFERROR(Daily_Balancing!B5/5,0)</f>
        <v>0</v>
      </c>
      <c r="H9" s="12">
        <f t="shared" ca="1" si="0"/>
        <v>0</v>
      </c>
    </row>
    <row r="10" spans="1:8" x14ac:dyDescent="0.25">
      <c r="A10" s="7" t="s">
        <v>43</v>
      </c>
      <c r="B10" s="8">
        <f ca="1">IFERROR(Daily_Balancing!B6/5,0)</f>
        <v>0</v>
      </c>
      <c r="C10" s="8">
        <f ca="1">IFERROR(Daily_Balancing!B6/5,0)</f>
        <v>0</v>
      </c>
      <c r="D10" s="8">
        <f ca="1">IFERROR(Daily_Balancing!B6/5,0)</f>
        <v>0</v>
      </c>
      <c r="E10" s="8">
        <f ca="1">IFERROR(Daily_Balancing!B6/5,0)</f>
        <v>0</v>
      </c>
      <c r="F10" s="8">
        <f ca="1">IFERROR(Daily_Balancing!B6/5,0)</f>
        <v>0</v>
      </c>
      <c r="G10" s="8">
        <f ca="1">IFERROR(Daily_Balancing!B6/5,0)</f>
        <v>0</v>
      </c>
      <c r="H10" s="8">
        <f t="shared" ca="1" si="0"/>
        <v>0</v>
      </c>
    </row>
    <row r="11" spans="1:8" x14ac:dyDescent="0.25">
      <c r="A11" s="11" t="s">
        <v>44</v>
      </c>
      <c r="B11" s="12">
        <f ca="1">IFERROR(Daily_Balancing!B7/5,0)</f>
        <v>0</v>
      </c>
      <c r="C11" s="12">
        <f ca="1">IFERROR(Daily_Balancing!B7/5,0)</f>
        <v>0</v>
      </c>
      <c r="D11" s="12">
        <f ca="1">IFERROR(Daily_Balancing!B7/5,0)</f>
        <v>0</v>
      </c>
      <c r="E11" s="12">
        <f ca="1">IFERROR(Daily_Balancing!B7/5,0)</f>
        <v>0</v>
      </c>
      <c r="F11" s="12">
        <f ca="1">IFERROR(Daily_Balancing!B7/5,0)</f>
        <v>0</v>
      </c>
      <c r="G11" s="12">
        <f ca="1">IFERROR(Daily_Balancing!B7/5,0)</f>
        <v>0</v>
      </c>
      <c r="H11" s="12">
        <f t="shared" ca="1" si="0"/>
        <v>0</v>
      </c>
    </row>
    <row r="12" spans="1:8" x14ac:dyDescent="0.25">
      <c r="A12" s="7" t="s">
        <v>45</v>
      </c>
      <c r="B12" s="8">
        <f ca="1">IFERROR(Daily_Balancing!B8/5,0)</f>
        <v>0</v>
      </c>
      <c r="C12" s="8">
        <f ca="1">IFERROR(Daily_Balancing!B8/5,0)</f>
        <v>0</v>
      </c>
      <c r="D12" s="8">
        <f ca="1">IFERROR(Daily_Balancing!B8/5,0)</f>
        <v>0</v>
      </c>
      <c r="E12" s="8">
        <f ca="1">IFERROR(Daily_Balancing!B8/5,0)</f>
        <v>0</v>
      </c>
      <c r="F12" s="8">
        <f ca="1">IFERROR(Daily_Balancing!B8/5,0)</f>
        <v>0</v>
      </c>
      <c r="G12" s="8">
        <f ca="1">IFERROR(Daily_Balancing!B8/5,0)</f>
        <v>0</v>
      </c>
      <c r="H12" s="8">
        <f t="shared" ca="1" si="0"/>
        <v>0</v>
      </c>
    </row>
    <row r="13" spans="1:8" x14ac:dyDescent="0.25">
      <c r="A13" s="11" t="s">
        <v>46</v>
      </c>
      <c r="B13" s="12">
        <f ca="1">IFERROR(Daily_Balancing!B9/5,0)</f>
        <v>0</v>
      </c>
      <c r="C13" s="12">
        <f ca="1">IFERROR(Daily_Balancing!B9/5,0)</f>
        <v>0</v>
      </c>
      <c r="D13" s="12">
        <f ca="1">IFERROR(Daily_Balancing!B9/5,0)</f>
        <v>0</v>
      </c>
      <c r="E13" s="12">
        <f ca="1">IFERROR(Daily_Balancing!B9/5,0)</f>
        <v>0</v>
      </c>
      <c r="F13" s="12">
        <f ca="1">IFERROR(Daily_Balancing!B9/5,0)</f>
        <v>0</v>
      </c>
      <c r="G13" s="12">
        <f ca="1">IFERROR(Daily_Balancing!B9/5,0)</f>
        <v>0</v>
      </c>
      <c r="H13" s="12">
        <f t="shared" ca="1" si="0"/>
        <v>0</v>
      </c>
    </row>
    <row r="14" spans="1:8" x14ac:dyDescent="0.25">
      <c r="A14" s="7" t="s">
        <v>47</v>
      </c>
      <c r="B14" s="8">
        <f ca="1">IFERROR(Daily_Balancing!B10/5,0)</f>
        <v>0</v>
      </c>
      <c r="C14" s="8">
        <f ca="1">IFERROR(Daily_Balancing!B10/5,0)</f>
        <v>0</v>
      </c>
      <c r="D14" s="8">
        <f ca="1">IFERROR(Daily_Balancing!B10/5,0)</f>
        <v>0</v>
      </c>
      <c r="E14" s="8">
        <f ca="1">IFERROR(Daily_Balancing!B10/5,0)</f>
        <v>0</v>
      </c>
      <c r="F14" s="8">
        <f ca="1">IFERROR(Daily_Balancing!B10/5,0)</f>
        <v>0</v>
      </c>
      <c r="G14" s="8">
        <f ca="1">IFERROR(Daily_Balancing!B10/5,0)</f>
        <v>0</v>
      </c>
      <c r="H14" s="8">
        <f t="shared" ca="1" si="0"/>
        <v>0</v>
      </c>
    </row>
    <row r="15" spans="1:8" x14ac:dyDescent="0.25">
      <c r="A15" s="11" t="s">
        <v>48</v>
      </c>
      <c r="B15" s="12">
        <f ca="1">IFERROR(Daily_Balancing!B11/5,0)</f>
        <v>0</v>
      </c>
      <c r="C15" s="12">
        <f ca="1">IFERROR(Daily_Balancing!B11/5,0)</f>
        <v>0</v>
      </c>
      <c r="D15" s="12">
        <f ca="1">IFERROR(Daily_Balancing!B11/5,0)</f>
        <v>0</v>
      </c>
      <c r="E15" s="12">
        <f ca="1">IFERROR(Daily_Balancing!B11/5,0)</f>
        <v>0</v>
      </c>
      <c r="F15" s="12">
        <f ca="1">IFERROR(Daily_Balancing!B11/5,0)</f>
        <v>0</v>
      </c>
      <c r="G15" s="12">
        <f ca="1">IFERROR(Daily_Balancing!B11/5,0)</f>
        <v>0</v>
      </c>
      <c r="H15" s="12">
        <f t="shared" ca="1" si="0"/>
        <v>0</v>
      </c>
    </row>
    <row r="16" spans="1:8" x14ac:dyDescent="0.25">
      <c r="A16" s="7" t="s">
        <v>49</v>
      </c>
      <c r="B16" s="8">
        <f ca="1">IFERROR(Daily_Balancing!B12/5,0)</f>
        <v>0</v>
      </c>
      <c r="C16" s="8">
        <f ca="1">IFERROR(Daily_Balancing!B12/5,0)</f>
        <v>0</v>
      </c>
      <c r="D16" s="8">
        <f ca="1">IFERROR(Daily_Balancing!B12/5,0)</f>
        <v>0</v>
      </c>
      <c r="E16" s="8">
        <f ca="1">IFERROR(Daily_Balancing!B12/5,0)</f>
        <v>0</v>
      </c>
      <c r="F16" s="8">
        <f ca="1">IFERROR(Daily_Balancing!B12/5,0)</f>
        <v>0</v>
      </c>
      <c r="G16" s="8">
        <f ca="1">IFERROR(Daily_Balancing!B12/5,0)</f>
        <v>0</v>
      </c>
      <c r="H16" s="8">
        <f t="shared" ca="1" si="0"/>
        <v>0</v>
      </c>
    </row>
    <row r="17" spans="1:8" x14ac:dyDescent="0.25">
      <c r="A17" s="11" t="s">
        <v>50</v>
      </c>
      <c r="B17" s="12">
        <f ca="1">IFERROR(Daily_Balancing!B13/5,0)</f>
        <v>0</v>
      </c>
      <c r="C17" s="12">
        <f ca="1">IFERROR(Daily_Balancing!B13/5,0)</f>
        <v>0</v>
      </c>
      <c r="D17" s="12">
        <f ca="1">IFERROR(Daily_Balancing!B13/5,0)</f>
        <v>0</v>
      </c>
      <c r="E17" s="12">
        <f ca="1">IFERROR(Daily_Balancing!B13/5,0)</f>
        <v>0</v>
      </c>
      <c r="F17" s="12">
        <f ca="1">IFERROR(Daily_Balancing!B13/5,0)</f>
        <v>0</v>
      </c>
      <c r="G17" s="12">
        <f ca="1">IFERROR(Daily_Balancing!B13/5,0)</f>
        <v>0</v>
      </c>
      <c r="H17" s="12">
        <f t="shared" ca="1" si="0"/>
        <v>0</v>
      </c>
    </row>
    <row r="18" spans="1:8" x14ac:dyDescent="0.25">
      <c r="A18" s="15" t="s">
        <v>265</v>
      </c>
      <c r="B18" s="16">
        <f t="shared" ref="B18:H18" ca="1" si="1">SUM(B8:B17)</f>
        <v>0</v>
      </c>
      <c r="C18" s="16">
        <f t="shared" ca="1" si="1"/>
        <v>0</v>
      </c>
      <c r="D18" s="16">
        <f t="shared" ca="1" si="1"/>
        <v>0</v>
      </c>
      <c r="E18" s="16">
        <f t="shared" ca="1" si="1"/>
        <v>0</v>
      </c>
      <c r="F18" s="16">
        <f t="shared" ca="1" si="1"/>
        <v>0</v>
      </c>
      <c r="G18" s="16">
        <f t="shared" ca="1" si="1"/>
        <v>0</v>
      </c>
      <c r="H18" s="16">
        <f t="shared" ca="1" si="1"/>
        <v>0</v>
      </c>
    </row>
  </sheetData>
  <mergeCells count="11">
    <mergeCell ref="A1:H1"/>
    <mergeCell ref="A2:H2"/>
    <mergeCell ref="A3:B3"/>
    <mergeCell ref="C3:D3"/>
    <mergeCell ref="E3:F3"/>
    <mergeCell ref="G3:H3"/>
    <mergeCell ref="A4:B4"/>
    <mergeCell ref="C4:D4"/>
    <mergeCell ref="E4:F4"/>
    <mergeCell ref="G4:H4"/>
    <mergeCell ref="A6:H6"/>
  </mergeCells>
  <pageMargins left="0.75" right="0.75" top="1" bottom="1" header="0.511811023622047" footer="0.511811023622047"/>
  <pageSetup paperSize="9" orientation="portrait" horizontalDpi="300" verticalDpi="30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tabColor rgb="FF8E44AD"/>
  </sheetPr>
  <dimension ref="A1:I20"/>
  <sheetViews>
    <sheetView zoomScaleNormal="100" workbookViewId="0">
      <pane xSplit="1" ySplit="7" topLeftCell="B8" activePane="bottomRight" state="frozen"/>
      <selection pane="topRight" activeCell="B1" sqref="B1"/>
      <selection pane="bottomLeft" activeCell="A8" sqref="A8"/>
      <selection pane="bottomRight" sqref="A1:I1"/>
    </sheetView>
  </sheetViews>
  <sheetFormatPr defaultColWidth="8.7109375" defaultRowHeight="15" x14ac:dyDescent="0.25"/>
  <cols>
    <col min="1" max="1" width="10" customWidth="1"/>
    <col min="2" max="3" width="18" customWidth="1"/>
    <col min="4" max="4" width="15" customWidth="1"/>
    <col min="5" max="5" width="12" customWidth="1"/>
    <col min="6" max="6" width="10" customWidth="1"/>
    <col min="7" max="7" width="16" customWidth="1"/>
    <col min="8" max="9" width="10" customWidth="1"/>
  </cols>
  <sheetData>
    <row r="1" spans="1:9" ht="31.5" customHeight="1" x14ac:dyDescent="0.25">
      <c r="A1" s="186" t="s">
        <v>266</v>
      </c>
      <c r="B1" s="186"/>
      <c r="C1" s="186"/>
      <c r="D1" s="186"/>
      <c r="E1" s="186"/>
      <c r="F1" s="186"/>
      <c r="G1" s="186"/>
      <c r="H1" s="186"/>
      <c r="I1" s="186"/>
    </row>
    <row r="2" spans="1:9" ht="19.5" customHeight="1" x14ac:dyDescent="0.25">
      <c r="A2" s="187" t="s">
        <v>267</v>
      </c>
      <c r="B2" s="187"/>
      <c r="C2" s="187"/>
      <c r="D2" s="187"/>
      <c r="E2" s="187"/>
      <c r="F2" s="187"/>
      <c r="G2" s="187"/>
      <c r="H2" s="187"/>
      <c r="I2" s="187"/>
    </row>
    <row r="3" spans="1:9" ht="18" customHeight="1" x14ac:dyDescent="0.25">
      <c r="A3" s="78" t="s">
        <v>39</v>
      </c>
      <c r="B3" s="78" t="s">
        <v>268</v>
      </c>
      <c r="C3" s="78" t="s">
        <v>269</v>
      </c>
      <c r="D3" s="78" t="s">
        <v>270</v>
      </c>
      <c r="E3" s="78" t="s">
        <v>271</v>
      </c>
    </row>
    <row r="4" spans="1:9" ht="31.5" customHeight="1" x14ac:dyDescent="0.25">
      <c r="A4" s="79">
        <f ca="1">Daily_Balancing!B14</f>
        <v>0</v>
      </c>
      <c r="B4" s="79">
        <f ca="1">Daily_Balancing!C14</f>
        <v>0</v>
      </c>
      <c r="C4" s="79">
        <f ca="1">Daily_Balancing!D14</f>
        <v>0</v>
      </c>
      <c r="D4" s="80">
        <f ca="1">COUNTIF(DB_Customers!J2:J2000,"&gt;="&amp;DATE(YEAR(TODAY()),MONTH(TODAY()),1))</f>
        <v>0</v>
      </c>
      <c r="E4" s="80">
        <f>COUNTIF(DB_Loans!K2:K500,"Approved")</f>
        <v>0</v>
      </c>
    </row>
    <row r="6" spans="1:9" x14ac:dyDescent="0.25">
      <c r="A6" s="176" t="s">
        <v>272</v>
      </c>
      <c r="B6" s="176"/>
      <c r="C6" s="176"/>
      <c r="D6" s="176"/>
      <c r="E6" s="176"/>
      <c r="F6" s="176"/>
      <c r="G6" s="176"/>
      <c r="H6" s="176"/>
      <c r="I6" s="176"/>
    </row>
    <row r="7" spans="1:9" x14ac:dyDescent="0.25">
      <c r="A7" s="81" t="s">
        <v>273</v>
      </c>
      <c r="B7" s="81" t="s">
        <v>274</v>
      </c>
      <c r="C7" s="81" t="s">
        <v>275</v>
      </c>
      <c r="D7" s="81" t="s">
        <v>35</v>
      </c>
      <c r="E7" s="81" t="s">
        <v>276</v>
      </c>
      <c r="F7" s="81" t="s">
        <v>277</v>
      </c>
      <c r="G7" s="81" t="s">
        <v>278</v>
      </c>
      <c r="H7" s="81" t="s">
        <v>279</v>
      </c>
      <c r="I7" s="81" t="s">
        <v>280</v>
      </c>
    </row>
    <row r="8" spans="1:9" x14ac:dyDescent="0.25">
      <c r="A8" s="13" t="s">
        <v>281</v>
      </c>
      <c r="B8" s="12">
        <v>107824.22</v>
      </c>
      <c r="C8" s="12">
        <v>37455.75</v>
      </c>
      <c r="D8" s="12">
        <v>70368.47</v>
      </c>
      <c r="E8" s="13">
        <v>8</v>
      </c>
      <c r="F8" s="13">
        <v>12</v>
      </c>
      <c r="G8" s="12">
        <v>2695.61</v>
      </c>
      <c r="H8" s="13" t="s">
        <v>282</v>
      </c>
      <c r="I8" s="13" t="s">
        <v>283</v>
      </c>
    </row>
    <row r="9" spans="1:9" x14ac:dyDescent="0.25">
      <c r="A9" s="9" t="s">
        <v>284</v>
      </c>
      <c r="B9" s="8">
        <v>133790.85</v>
      </c>
      <c r="C9" s="8">
        <v>40398.620000000003</v>
      </c>
      <c r="D9" s="8">
        <v>93392.23</v>
      </c>
      <c r="E9" s="9">
        <v>13</v>
      </c>
      <c r="F9" s="9">
        <v>12</v>
      </c>
      <c r="G9" s="8">
        <v>3344.77</v>
      </c>
      <c r="H9" s="9" t="s">
        <v>285</v>
      </c>
      <c r="I9" s="9" t="s">
        <v>283</v>
      </c>
    </row>
    <row r="10" spans="1:9" x14ac:dyDescent="0.25">
      <c r="A10" s="13" t="s">
        <v>286</v>
      </c>
      <c r="B10" s="12">
        <v>95687.1</v>
      </c>
      <c r="C10" s="12">
        <v>51481.08</v>
      </c>
      <c r="D10" s="12">
        <v>44206.02</v>
      </c>
      <c r="E10" s="13">
        <v>7</v>
      </c>
      <c r="F10" s="13">
        <v>11</v>
      </c>
      <c r="G10" s="12">
        <v>2392.1799999999998</v>
      </c>
      <c r="H10" s="13" t="s">
        <v>287</v>
      </c>
      <c r="I10" s="13" t="s">
        <v>288</v>
      </c>
    </row>
    <row r="11" spans="1:9" x14ac:dyDescent="0.25">
      <c r="A11" s="9" t="s">
        <v>289</v>
      </c>
      <c r="B11" s="8">
        <v>108714.02</v>
      </c>
      <c r="C11" s="8">
        <v>50819.15</v>
      </c>
      <c r="D11" s="8">
        <v>57894.87</v>
      </c>
      <c r="E11" s="9">
        <v>7</v>
      </c>
      <c r="F11" s="9">
        <v>6</v>
      </c>
      <c r="G11" s="8">
        <v>2717.85</v>
      </c>
      <c r="H11" s="9" t="s">
        <v>290</v>
      </c>
      <c r="I11" s="9" t="s">
        <v>283</v>
      </c>
    </row>
    <row r="12" spans="1:9" x14ac:dyDescent="0.25">
      <c r="A12" s="13" t="s">
        <v>291</v>
      </c>
      <c r="B12" s="13"/>
      <c r="C12" s="13"/>
      <c r="D12" s="13"/>
      <c r="E12" s="13"/>
      <c r="F12" s="13"/>
      <c r="G12" s="13"/>
      <c r="H12" s="13"/>
      <c r="I12" s="13"/>
    </row>
    <row r="13" spans="1:9" x14ac:dyDescent="0.25">
      <c r="A13" s="9" t="s">
        <v>292</v>
      </c>
      <c r="B13" s="9"/>
      <c r="C13" s="9"/>
      <c r="D13" s="9"/>
      <c r="E13" s="9"/>
      <c r="F13" s="9"/>
      <c r="G13" s="9"/>
      <c r="H13" s="9"/>
      <c r="I13" s="9"/>
    </row>
    <row r="14" spans="1:9" x14ac:dyDescent="0.25">
      <c r="A14" s="13" t="s">
        <v>293</v>
      </c>
      <c r="B14" s="13"/>
      <c r="C14" s="13"/>
      <c r="D14" s="13"/>
      <c r="E14" s="13"/>
      <c r="F14" s="13"/>
      <c r="G14" s="13"/>
      <c r="H14" s="13"/>
      <c r="I14" s="13"/>
    </row>
    <row r="15" spans="1:9" x14ac:dyDescent="0.25">
      <c r="A15" s="9" t="s">
        <v>294</v>
      </c>
      <c r="B15" s="9"/>
      <c r="C15" s="9"/>
      <c r="D15" s="9"/>
      <c r="E15" s="9"/>
      <c r="F15" s="9"/>
      <c r="G15" s="9"/>
      <c r="H15" s="9"/>
      <c r="I15" s="9"/>
    </row>
    <row r="16" spans="1:9" x14ac:dyDescent="0.25">
      <c r="A16" s="13" t="s">
        <v>295</v>
      </c>
      <c r="B16" s="13"/>
      <c r="C16" s="13"/>
      <c r="D16" s="13"/>
      <c r="E16" s="13"/>
      <c r="F16" s="13"/>
      <c r="G16" s="13"/>
      <c r="H16" s="13"/>
      <c r="I16" s="13"/>
    </row>
    <row r="17" spans="1:9" x14ac:dyDescent="0.25">
      <c r="A17" s="9" t="s">
        <v>296</v>
      </c>
      <c r="B17" s="9"/>
      <c r="C17" s="9"/>
      <c r="D17" s="9"/>
      <c r="E17" s="9"/>
      <c r="F17" s="9"/>
      <c r="G17" s="9"/>
      <c r="H17" s="9"/>
      <c r="I17" s="9"/>
    </row>
    <row r="18" spans="1:9" x14ac:dyDescent="0.25">
      <c r="A18" s="13" t="s">
        <v>297</v>
      </c>
      <c r="B18" s="13"/>
      <c r="C18" s="13"/>
      <c r="D18" s="13"/>
      <c r="E18" s="13"/>
      <c r="F18" s="13"/>
      <c r="G18" s="13"/>
      <c r="H18" s="13"/>
      <c r="I18" s="13"/>
    </row>
    <row r="19" spans="1:9" x14ac:dyDescent="0.25">
      <c r="A19" s="9" t="s">
        <v>298</v>
      </c>
      <c r="B19" s="9"/>
      <c r="C19" s="9"/>
      <c r="D19" s="9"/>
      <c r="E19" s="9"/>
      <c r="F19" s="9"/>
      <c r="G19" s="9"/>
      <c r="H19" s="9"/>
      <c r="I19" s="9"/>
    </row>
    <row r="20" spans="1:9" x14ac:dyDescent="0.25">
      <c r="A20" s="15" t="s">
        <v>299</v>
      </c>
      <c r="B20" s="16">
        <f t="shared" ref="B20:G20" si="0">SUM(B8:B19)</f>
        <v>446016.19000000006</v>
      </c>
      <c r="C20" s="16">
        <f t="shared" si="0"/>
        <v>180154.6</v>
      </c>
      <c r="D20" s="16">
        <f t="shared" si="0"/>
        <v>265861.59000000003</v>
      </c>
      <c r="E20" s="16">
        <f t="shared" si="0"/>
        <v>35</v>
      </c>
      <c r="F20" s="16">
        <f t="shared" si="0"/>
        <v>41</v>
      </c>
      <c r="G20" s="16">
        <f t="shared" si="0"/>
        <v>11150.41</v>
      </c>
      <c r="H20" s="15"/>
      <c r="I20" s="15"/>
    </row>
  </sheetData>
  <mergeCells count="3">
    <mergeCell ref="A1:I1"/>
    <mergeCell ref="A2:I2"/>
    <mergeCell ref="A6:I6"/>
  </mergeCells>
  <pageMargins left="0.75" right="0.75" top="1" bottom="1" header="0.511811023622047" footer="0.511811023622047"/>
  <pageSetup paperSize="9" orientation="portrait" horizontalDpi="300" verticalDpi="30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N527"/>
  <sheetViews>
    <sheetView showGridLines="0" zoomScaleNormal="100" workbookViewId="0">
      <pane ySplit="9" topLeftCell="A10" activePane="bottomLeft" state="frozen"/>
      <selection pane="bottomLeft"/>
    </sheetView>
  </sheetViews>
  <sheetFormatPr defaultColWidth="8.7109375" defaultRowHeight="15" x14ac:dyDescent="0.25"/>
  <cols>
    <col min="1" max="1" width="3" customWidth="1"/>
    <col min="2" max="2" width="18" customWidth="1"/>
    <col min="3" max="3" width="16" customWidth="1"/>
    <col min="4" max="4" width="20" customWidth="1"/>
    <col min="5" max="5" width="12" customWidth="1"/>
    <col min="6" max="7" width="13" customWidth="1"/>
    <col min="8" max="9" width="12" customWidth="1"/>
    <col min="10" max="11" width="8" customWidth="1"/>
    <col min="12" max="12" width="18" customWidth="1"/>
    <col min="13" max="13" width="16" customWidth="1"/>
    <col min="14" max="14" width="13" customWidth="1"/>
  </cols>
  <sheetData>
    <row r="1" spans="1:14" ht="9.75" customHeight="1" x14ac:dyDescent="0.25"/>
    <row r="2" spans="1:14" ht="36" customHeight="1" x14ac:dyDescent="0.25">
      <c r="A2" s="193" t="s">
        <v>300</v>
      </c>
      <c r="B2" s="193"/>
      <c r="C2" s="193"/>
      <c r="D2" s="193"/>
      <c r="E2" s="193"/>
      <c r="F2" s="193"/>
      <c r="G2" s="193"/>
      <c r="H2" s="193"/>
      <c r="I2" s="193"/>
      <c r="J2" s="193"/>
      <c r="K2" s="193"/>
      <c r="L2" s="193"/>
      <c r="M2" s="193"/>
      <c r="N2" s="193"/>
    </row>
    <row r="3" spans="1:14" ht="18" customHeight="1" x14ac:dyDescent="0.25">
      <c r="A3" s="194" t="s">
        <v>301</v>
      </c>
      <c r="B3" s="194"/>
      <c r="C3" s="194"/>
      <c r="D3" s="194"/>
      <c r="E3" s="194"/>
      <c r="F3" s="194"/>
      <c r="G3" s="194"/>
      <c r="H3" s="194"/>
      <c r="I3" s="194"/>
      <c r="J3" s="194"/>
      <c r="K3" s="194"/>
      <c r="L3" s="194"/>
      <c r="M3" s="194"/>
      <c r="N3" s="194"/>
    </row>
    <row r="4" spans="1:14" ht="3.75" customHeight="1" x14ac:dyDescent="0.25">
      <c r="A4" s="2"/>
      <c r="B4" s="2"/>
      <c r="C4" s="2"/>
      <c r="D4" s="2"/>
      <c r="E4" s="2"/>
      <c r="F4" s="2"/>
      <c r="G4" s="2"/>
      <c r="H4" s="2"/>
      <c r="I4" s="2"/>
      <c r="J4" s="2"/>
      <c r="K4" s="2"/>
      <c r="L4" s="2"/>
      <c r="M4" s="2"/>
      <c r="N4" s="2"/>
    </row>
    <row r="5" spans="1:14" ht="9.75" customHeight="1" x14ac:dyDescent="0.25"/>
    <row r="6" spans="1:14" ht="27.75" customHeight="1" x14ac:dyDescent="0.25">
      <c r="A6" s="195" t="s">
        <v>302</v>
      </c>
      <c r="B6" s="195"/>
      <c r="C6" s="195"/>
      <c r="D6" s="195"/>
      <c r="E6" s="195"/>
      <c r="F6" s="195"/>
      <c r="G6" s="195"/>
      <c r="H6" s="195"/>
      <c r="I6" s="195"/>
      <c r="J6" s="195"/>
      <c r="K6" s="195"/>
      <c r="L6" s="195"/>
      <c r="M6" s="195"/>
      <c r="N6" s="195"/>
    </row>
    <row r="7" spans="1:14" ht="25.5" customHeight="1" x14ac:dyDescent="0.25">
      <c r="B7" s="82" t="s">
        <v>303</v>
      </c>
      <c r="D7" s="196"/>
      <c r="E7" s="196"/>
      <c r="F7" s="196"/>
      <c r="H7" s="82" t="s">
        <v>304</v>
      </c>
      <c r="J7" s="196"/>
      <c r="K7" s="196"/>
      <c r="L7" s="83" t="s">
        <v>305</v>
      </c>
      <c r="M7" s="197"/>
      <c r="N7" s="197"/>
    </row>
    <row r="8" spans="1:14" ht="15.75" customHeight="1" x14ac:dyDescent="0.25">
      <c r="A8" s="191" t="s">
        <v>306</v>
      </c>
      <c r="B8" s="191"/>
      <c r="C8" s="191"/>
      <c r="D8" s="191"/>
      <c r="E8" s="191"/>
      <c r="F8" s="191"/>
      <c r="G8" s="191"/>
      <c r="H8" s="191"/>
      <c r="I8" s="191"/>
      <c r="J8" s="191"/>
      <c r="K8" s="191"/>
      <c r="L8" s="191"/>
      <c r="M8" s="191"/>
      <c r="N8" s="191"/>
    </row>
    <row r="9" spans="1:14" ht="30" customHeight="1" x14ac:dyDescent="0.25">
      <c r="A9" s="84" t="s">
        <v>220</v>
      </c>
      <c r="B9" s="84" t="s">
        <v>307</v>
      </c>
      <c r="C9" s="84" t="s">
        <v>308</v>
      </c>
      <c r="D9" s="84" t="s">
        <v>102</v>
      </c>
      <c r="E9" s="84" t="s">
        <v>309</v>
      </c>
      <c r="F9" s="84" t="s">
        <v>129</v>
      </c>
      <c r="G9" s="84" t="s">
        <v>310</v>
      </c>
      <c r="H9" s="84" t="s">
        <v>32</v>
      </c>
      <c r="I9" s="84" t="s">
        <v>133</v>
      </c>
      <c r="J9" s="84" t="s">
        <v>311</v>
      </c>
      <c r="K9" s="84" t="s">
        <v>273</v>
      </c>
      <c r="L9" s="84" t="s">
        <v>135</v>
      </c>
      <c r="M9" s="84" t="s">
        <v>134</v>
      </c>
      <c r="N9" s="84" t="s">
        <v>312</v>
      </c>
    </row>
    <row r="10" spans="1:14" ht="15.75" customHeight="1" x14ac:dyDescent="0.25">
      <c r="A10" s="85">
        <v>1</v>
      </c>
      <c r="B10" s="86"/>
      <c r="C10" s="86"/>
      <c r="D10" s="86"/>
      <c r="E10" s="86"/>
      <c r="F10" s="86"/>
      <c r="G10" s="86"/>
      <c r="H10" s="86"/>
      <c r="I10" s="86"/>
      <c r="J10" s="86"/>
      <c r="K10" s="86"/>
      <c r="L10" s="86"/>
      <c r="M10" s="86"/>
      <c r="N10" s="86"/>
    </row>
    <row r="11" spans="1:14" ht="15.75" customHeight="1" x14ac:dyDescent="0.25">
      <c r="A11" s="87">
        <v>2</v>
      </c>
      <c r="B11" s="88"/>
      <c r="C11" s="88"/>
      <c r="D11" s="88"/>
      <c r="E11" s="88"/>
      <c r="F11" s="88"/>
      <c r="G11" s="88"/>
      <c r="H11" s="88"/>
      <c r="I11" s="88"/>
      <c r="J11" s="88"/>
      <c r="K11" s="88"/>
      <c r="L11" s="88"/>
      <c r="M11" s="88"/>
      <c r="N11" s="88"/>
    </row>
    <row r="12" spans="1:14" ht="15.75" customHeight="1" x14ac:dyDescent="0.25">
      <c r="A12" s="85">
        <v>3</v>
      </c>
      <c r="B12" s="86"/>
      <c r="C12" s="86"/>
      <c r="D12" s="86"/>
      <c r="E12" s="86"/>
      <c r="F12" s="86"/>
      <c r="G12" s="86"/>
      <c r="H12" s="86"/>
      <c r="I12" s="86"/>
      <c r="J12" s="86"/>
      <c r="K12" s="86"/>
      <c r="L12" s="86"/>
      <c r="M12" s="86"/>
      <c r="N12" s="86"/>
    </row>
    <row r="13" spans="1:14" ht="15.75" customHeight="1" x14ac:dyDescent="0.25">
      <c r="A13" s="87">
        <v>4</v>
      </c>
      <c r="B13" s="88"/>
      <c r="C13" s="88"/>
      <c r="D13" s="88"/>
      <c r="E13" s="88"/>
      <c r="F13" s="88"/>
      <c r="G13" s="88"/>
      <c r="H13" s="88"/>
      <c r="I13" s="88"/>
      <c r="J13" s="88"/>
      <c r="K13" s="88"/>
      <c r="L13" s="88"/>
      <c r="M13" s="88"/>
      <c r="N13" s="88"/>
    </row>
    <row r="14" spans="1:14" ht="15.75" customHeight="1" x14ac:dyDescent="0.25">
      <c r="A14" s="85">
        <v>5</v>
      </c>
      <c r="B14" s="86"/>
      <c r="C14" s="86"/>
      <c r="D14" s="86"/>
      <c r="E14" s="86"/>
      <c r="F14" s="86"/>
      <c r="G14" s="86"/>
      <c r="H14" s="86"/>
      <c r="I14" s="86"/>
      <c r="J14" s="86"/>
      <c r="K14" s="86"/>
      <c r="L14" s="86"/>
      <c r="M14" s="86"/>
      <c r="N14" s="86"/>
    </row>
    <row r="15" spans="1:14" ht="15.75" customHeight="1" x14ac:dyDescent="0.25">
      <c r="A15" s="87">
        <v>6</v>
      </c>
      <c r="B15" s="88"/>
      <c r="C15" s="88"/>
      <c r="D15" s="88"/>
      <c r="E15" s="88"/>
      <c r="F15" s="88"/>
      <c r="G15" s="88"/>
      <c r="H15" s="88"/>
      <c r="I15" s="88"/>
      <c r="J15" s="88"/>
      <c r="K15" s="88"/>
      <c r="L15" s="88"/>
      <c r="M15" s="88"/>
      <c r="N15" s="88"/>
    </row>
    <row r="16" spans="1:14" ht="15.75" customHeight="1" x14ac:dyDescent="0.25">
      <c r="A16" s="85">
        <v>7</v>
      </c>
      <c r="B16" s="86"/>
      <c r="C16" s="86"/>
      <c r="D16" s="86"/>
      <c r="E16" s="86"/>
      <c r="F16" s="86"/>
      <c r="G16" s="86"/>
      <c r="H16" s="86"/>
      <c r="I16" s="86"/>
      <c r="J16" s="86"/>
      <c r="K16" s="86"/>
      <c r="L16" s="86"/>
      <c r="M16" s="86"/>
      <c r="N16" s="86"/>
    </row>
    <row r="17" spans="1:14" ht="15.75" customHeight="1" x14ac:dyDescent="0.25">
      <c r="A17" s="87">
        <v>8</v>
      </c>
      <c r="B17" s="88"/>
      <c r="C17" s="88"/>
      <c r="D17" s="88"/>
      <c r="E17" s="88"/>
      <c r="F17" s="88"/>
      <c r="G17" s="88"/>
      <c r="H17" s="88"/>
      <c r="I17" s="88"/>
      <c r="J17" s="88"/>
      <c r="K17" s="88"/>
      <c r="L17" s="88"/>
      <c r="M17" s="88"/>
      <c r="N17" s="88"/>
    </row>
    <row r="18" spans="1:14" ht="15.75" customHeight="1" x14ac:dyDescent="0.25">
      <c r="A18" s="85">
        <v>9</v>
      </c>
      <c r="B18" s="86"/>
      <c r="C18" s="86"/>
      <c r="D18" s="86"/>
      <c r="E18" s="86"/>
      <c r="F18" s="86"/>
      <c r="G18" s="86"/>
      <c r="H18" s="86"/>
      <c r="I18" s="86"/>
      <c r="J18" s="86"/>
      <c r="K18" s="86"/>
      <c r="L18" s="86"/>
      <c r="M18" s="86"/>
      <c r="N18" s="86"/>
    </row>
    <row r="19" spans="1:14" ht="15.75" customHeight="1" x14ac:dyDescent="0.25">
      <c r="A19" s="87">
        <v>10</v>
      </c>
      <c r="B19" s="88"/>
      <c r="C19" s="88"/>
      <c r="D19" s="88"/>
      <c r="E19" s="88"/>
      <c r="F19" s="88"/>
      <c r="G19" s="88"/>
      <c r="H19" s="88"/>
      <c r="I19" s="88"/>
      <c r="J19" s="88"/>
      <c r="K19" s="88"/>
      <c r="L19" s="88"/>
      <c r="M19" s="88"/>
      <c r="N19" s="88"/>
    </row>
    <row r="20" spans="1:14" ht="15.75" customHeight="1" x14ac:dyDescent="0.25">
      <c r="A20" s="85">
        <v>11</v>
      </c>
      <c r="B20" s="86"/>
      <c r="C20" s="86"/>
      <c r="D20" s="86"/>
      <c r="E20" s="86"/>
      <c r="F20" s="86"/>
      <c r="G20" s="86"/>
      <c r="H20" s="86"/>
      <c r="I20" s="86"/>
      <c r="J20" s="86"/>
      <c r="K20" s="86"/>
      <c r="L20" s="86"/>
      <c r="M20" s="86"/>
      <c r="N20" s="86"/>
    </row>
    <row r="21" spans="1:14" ht="15.75" customHeight="1" x14ac:dyDescent="0.25">
      <c r="A21" s="87">
        <v>12</v>
      </c>
      <c r="B21" s="88"/>
      <c r="C21" s="88"/>
      <c r="D21" s="88"/>
      <c r="E21" s="88"/>
      <c r="F21" s="88"/>
      <c r="G21" s="88"/>
      <c r="H21" s="88"/>
      <c r="I21" s="88"/>
      <c r="J21" s="88"/>
      <c r="K21" s="88"/>
      <c r="L21" s="88"/>
      <c r="M21" s="88"/>
      <c r="N21" s="88"/>
    </row>
    <row r="22" spans="1:14" ht="15.75" customHeight="1" x14ac:dyDescent="0.25">
      <c r="A22" s="85">
        <v>13</v>
      </c>
      <c r="B22" s="86"/>
      <c r="C22" s="86"/>
      <c r="D22" s="86"/>
      <c r="E22" s="86"/>
      <c r="F22" s="86"/>
      <c r="G22" s="86"/>
      <c r="H22" s="86"/>
      <c r="I22" s="86"/>
      <c r="J22" s="86"/>
      <c r="K22" s="86"/>
      <c r="L22" s="86"/>
      <c r="M22" s="86"/>
      <c r="N22" s="86"/>
    </row>
    <row r="23" spans="1:14" ht="15.75" customHeight="1" x14ac:dyDescent="0.25">
      <c r="A23" s="87">
        <v>14</v>
      </c>
      <c r="B23" s="88"/>
      <c r="C23" s="88"/>
      <c r="D23" s="88"/>
      <c r="E23" s="88"/>
      <c r="F23" s="88"/>
      <c r="G23" s="88"/>
      <c r="H23" s="88"/>
      <c r="I23" s="88"/>
      <c r="J23" s="88"/>
      <c r="K23" s="88"/>
      <c r="L23" s="88"/>
      <c r="M23" s="88"/>
      <c r="N23" s="88"/>
    </row>
    <row r="24" spans="1:14" ht="15.75" customHeight="1" x14ac:dyDescent="0.25">
      <c r="A24" s="85">
        <v>15</v>
      </c>
      <c r="B24" s="86"/>
      <c r="C24" s="86"/>
      <c r="D24" s="86"/>
      <c r="E24" s="86"/>
      <c r="F24" s="86"/>
      <c r="G24" s="86"/>
      <c r="H24" s="86"/>
      <c r="I24" s="86"/>
      <c r="J24" s="86"/>
      <c r="K24" s="86"/>
      <c r="L24" s="86"/>
      <c r="M24" s="86"/>
      <c r="N24" s="86"/>
    </row>
    <row r="25" spans="1:14" ht="15.75" customHeight="1" x14ac:dyDescent="0.25">
      <c r="A25" s="87">
        <v>16</v>
      </c>
      <c r="B25" s="88"/>
      <c r="C25" s="88"/>
      <c r="D25" s="88"/>
      <c r="E25" s="88"/>
      <c r="F25" s="88"/>
      <c r="G25" s="88"/>
      <c r="H25" s="88"/>
      <c r="I25" s="88"/>
      <c r="J25" s="88"/>
      <c r="K25" s="88"/>
      <c r="L25" s="88"/>
      <c r="M25" s="88"/>
      <c r="N25" s="88"/>
    </row>
    <row r="26" spans="1:14" ht="15.75" customHeight="1" x14ac:dyDescent="0.25">
      <c r="A26" s="85">
        <v>17</v>
      </c>
      <c r="B26" s="86"/>
      <c r="C26" s="86"/>
      <c r="D26" s="86"/>
      <c r="E26" s="86"/>
      <c r="F26" s="86"/>
      <c r="G26" s="86"/>
      <c r="H26" s="86"/>
      <c r="I26" s="86"/>
      <c r="J26" s="86"/>
      <c r="K26" s="86"/>
      <c r="L26" s="86"/>
      <c r="M26" s="86"/>
      <c r="N26" s="86"/>
    </row>
    <row r="27" spans="1:14" ht="15.75" customHeight="1" x14ac:dyDescent="0.25">
      <c r="A27" s="87">
        <v>18</v>
      </c>
      <c r="B27" s="88"/>
      <c r="C27" s="88"/>
      <c r="D27" s="88"/>
      <c r="E27" s="88"/>
      <c r="F27" s="88"/>
      <c r="G27" s="88"/>
      <c r="H27" s="88"/>
      <c r="I27" s="88"/>
      <c r="J27" s="88"/>
      <c r="K27" s="88"/>
      <c r="L27" s="88"/>
      <c r="M27" s="88"/>
      <c r="N27" s="88"/>
    </row>
    <row r="28" spans="1:14" ht="15.75" customHeight="1" x14ac:dyDescent="0.25">
      <c r="A28" s="85">
        <v>19</v>
      </c>
      <c r="B28" s="86"/>
      <c r="C28" s="86"/>
      <c r="D28" s="86"/>
      <c r="E28" s="86"/>
      <c r="F28" s="86"/>
      <c r="G28" s="86"/>
      <c r="H28" s="86"/>
      <c r="I28" s="86"/>
      <c r="J28" s="86"/>
      <c r="K28" s="86"/>
      <c r="L28" s="86"/>
      <c r="M28" s="86"/>
      <c r="N28" s="86"/>
    </row>
    <row r="29" spans="1:14" ht="15.75" customHeight="1" x14ac:dyDescent="0.25">
      <c r="A29" s="87">
        <v>20</v>
      </c>
      <c r="B29" s="88"/>
      <c r="C29" s="88"/>
      <c r="D29" s="88"/>
      <c r="E29" s="88"/>
      <c r="F29" s="88"/>
      <c r="G29" s="88"/>
      <c r="H29" s="88"/>
      <c r="I29" s="88"/>
      <c r="J29" s="88"/>
      <c r="K29" s="88"/>
      <c r="L29" s="88"/>
      <c r="M29" s="88"/>
      <c r="N29" s="88"/>
    </row>
    <row r="30" spans="1:14" ht="15.75" customHeight="1" x14ac:dyDescent="0.25">
      <c r="A30" s="85">
        <v>21</v>
      </c>
      <c r="B30" s="86"/>
      <c r="C30" s="86"/>
      <c r="D30" s="86"/>
      <c r="E30" s="86"/>
      <c r="F30" s="86"/>
      <c r="G30" s="86"/>
      <c r="H30" s="86"/>
      <c r="I30" s="86"/>
      <c r="J30" s="86"/>
      <c r="K30" s="86"/>
      <c r="L30" s="86"/>
      <c r="M30" s="86"/>
      <c r="N30" s="86"/>
    </row>
    <row r="31" spans="1:14" ht="15.75" customHeight="1" x14ac:dyDescent="0.25">
      <c r="A31" s="87">
        <v>22</v>
      </c>
      <c r="B31" s="88"/>
      <c r="C31" s="88"/>
      <c r="D31" s="88"/>
      <c r="E31" s="88"/>
      <c r="F31" s="88"/>
      <c r="G31" s="88"/>
      <c r="H31" s="88"/>
      <c r="I31" s="88"/>
      <c r="J31" s="88"/>
      <c r="K31" s="88"/>
      <c r="L31" s="88"/>
      <c r="M31" s="88"/>
      <c r="N31" s="88"/>
    </row>
    <row r="32" spans="1:14" ht="15.75" customHeight="1" x14ac:dyDescent="0.25">
      <c r="A32" s="85">
        <v>23</v>
      </c>
      <c r="B32" s="86"/>
      <c r="C32" s="86"/>
      <c r="D32" s="86"/>
      <c r="E32" s="86"/>
      <c r="F32" s="86"/>
      <c r="G32" s="86"/>
      <c r="H32" s="86"/>
      <c r="I32" s="86"/>
      <c r="J32" s="86"/>
      <c r="K32" s="86"/>
      <c r="L32" s="86"/>
      <c r="M32" s="86"/>
      <c r="N32" s="86"/>
    </row>
    <row r="33" spans="1:14" ht="15.75" customHeight="1" x14ac:dyDescent="0.25">
      <c r="A33" s="87">
        <v>24</v>
      </c>
      <c r="B33" s="88"/>
      <c r="C33" s="88"/>
      <c r="D33" s="88"/>
      <c r="E33" s="88"/>
      <c r="F33" s="88"/>
      <c r="G33" s="88"/>
      <c r="H33" s="88"/>
      <c r="I33" s="88"/>
      <c r="J33" s="88"/>
      <c r="K33" s="88"/>
      <c r="L33" s="88"/>
      <c r="M33" s="88"/>
      <c r="N33" s="88"/>
    </row>
    <row r="34" spans="1:14" ht="15.75" customHeight="1" x14ac:dyDescent="0.25">
      <c r="A34" s="85">
        <v>25</v>
      </c>
      <c r="B34" s="86"/>
      <c r="C34" s="86"/>
      <c r="D34" s="86"/>
      <c r="E34" s="86"/>
      <c r="F34" s="86"/>
      <c r="G34" s="86"/>
      <c r="H34" s="86"/>
      <c r="I34" s="86"/>
      <c r="J34" s="86"/>
      <c r="K34" s="86"/>
      <c r="L34" s="86"/>
      <c r="M34" s="86"/>
      <c r="N34" s="86"/>
    </row>
    <row r="35" spans="1:14" ht="15.75" customHeight="1" x14ac:dyDescent="0.25">
      <c r="A35" s="87">
        <v>26</v>
      </c>
      <c r="B35" s="88"/>
      <c r="C35" s="88"/>
      <c r="D35" s="88"/>
      <c r="E35" s="88"/>
      <c r="F35" s="88"/>
      <c r="G35" s="88"/>
      <c r="H35" s="88"/>
      <c r="I35" s="88"/>
      <c r="J35" s="88"/>
      <c r="K35" s="88"/>
      <c r="L35" s="88"/>
      <c r="M35" s="88"/>
      <c r="N35" s="88"/>
    </row>
    <row r="36" spans="1:14" ht="15.75" customHeight="1" x14ac:dyDescent="0.25">
      <c r="A36" s="85">
        <v>27</v>
      </c>
      <c r="B36" s="86"/>
      <c r="C36" s="86"/>
      <c r="D36" s="86"/>
      <c r="E36" s="86"/>
      <c r="F36" s="86"/>
      <c r="G36" s="86"/>
      <c r="H36" s="86"/>
      <c r="I36" s="86"/>
      <c r="J36" s="86"/>
      <c r="K36" s="86"/>
      <c r="L36" s="86"/>
      <c r="M36" s="86"/>
      <c r="N36" s="86"/>
    </row>
    <row r="37" spans="1:14" ht="15.75" customHeight="1" x14ac:dyDescent="0.25">
      <c r="A37" s="87">
        <v>28</v>
      </c>
      <c r="B37" s="88"/>
      <c r="C37" s="88"/>
      <c r="D37" s="88"/>
      <c r="E37" s="88"/>
      <c r="F37" s="88"/>
      <c r="G37" s="88"/>
      <c r="H37" s="88"/>
      <c r="I37" s="88"/>
      <c r="J37" s="88"/>
      <c r="K37" s="88"/>
      <c r="L37" s="88"/>
      <c r="M37" s="88"/>
      <c r="N37" s="88"/>
    </row>
    <row r="38" spans="1:14" ht="15.75" customHeight="1" x14ac:dyDescent="0.25">
      <c r="A38" s="85">
        <v>29</v>
      </c>
      <c r="B38" s="86"/>
      <c r="C38" s="86"/>
      <c r="D38" s="86"/>
      <c r="E38" s="86"/>
      <c r="F38" s="86"/>
      <c r="G38" s="86"/>
      <c r="H38" s="86"/>
      <c r="I38" s="86"/>
      <c r="J38" s="86"/>
      <c r="K38" s="86"/>
      <c r="L38" s="86"/>
      <c r="M38" s="86"/>
      <c r="N38" s="86"/>
    </row>
    <row r="39" spans="1:14" ht="15.75" customHeight="1" x14ac:dyDescent="0.25">
      <c r="A39" s="87">
        <v>30</v>
      </c>
      <c r="B39" s="88"/>
      <c r="C39" s="88"/>
      <c r="D39" s="88"/>
      <c r="E39" s="88"/>
      <c r="F39" s="88"/>
      <c r="G39" s="88"/>
      <c r="H39" s="88"/>
      <c r="I39" s="88"/>
      <c r="J39" s="88"/>
      <c r="K39" s="88"/>
      <c r="L39" s="88"/>
      <c r="M39" s="88"/>
      <c r="N39" s="88"/>
    </row>
    <row r="40" spans="1:14" ht="15.75" customHeight="1" x14ac:dyDescent="0.25">
      <c r="A40" s="85">
        <v>31</v>
      </c>
      <c r="B40" s="86"/>
      <c r="C40" s="86"/>
      <c r="D40" s="86"/>
      <c r="E40" s="86"/>
      <c r="F40" s="86"/>
      <c r="G40" s="86"/>
      <c r="H40" s="86"/>
      <c r="I40" s="86"/>
      <c r="J40" s="86"/>
      <c r="K40" s="86"/>
      <c r="L40" s="86"/>
      <c r="M40" s="86"/>
      <c r="N40" s="86"/>
    </row>
    <row r="41" spans="1:14" ht="15.75" customHeight="1" x14ac:dyDescent="0.25">
      <c r="A41" s="87">
        <v>32</v>
      </c>
      <c r="B41" s="88"/>
      <c r="C41" s="88"/>
      <c r="D41" s="88"/>
      <c r="E41" s="88"/>
      <c r="F41" s="88"/>
      <c r="G41" s="88"/>
      <c r="H41" s="88"/>
      <c r="I41" s="88"/>
      <c r="J41" s="88"/>
      <c r="K41" s="88"/>
      <c r="L41" s="88"/>
      <c r="M41" s="88"/>
      <c r="N41" s="88"/>
    </row>
    <row r="42" spans="1:14" ht="15.75" customHeight="1" x14ac:dyDescent="0.25">
      <c r="A42" s="85">
        <v>33</v>
      </c>
      <c r="B42" s="86"/>
      <c r="C42" s="86"/>
      <c r="D42" s="86"/>
      <c r="E42" s="86"/>
      <c r="F42" s="86"/>
      <c r="G42" s="86"/>
      <c r="H42" s="86"/>
      <c r="I42" s="86"/>
      <c r="J42" s="86"/>
      <c r="K42" s="86"/>
      <c r="L42" s="86"/>
      <c r="M42" s="86"/>
      <c r="N42" s="86"/>
    </row>
    <row r="43" spans="1:14" ht="15.75" customHeight="1" x14ac:dyDescent="0.25">
      <c r="A43" s="87">
        <v>34</v>
      </c>
      <c r="B43" s="88"/>
      <c r="C43" s="88"/>
      <c r="D43" s="88"/>
      <c r="E43" s="88"/>
      <c r="F43" s="88"/>
      <c r="G43" s="88"/>
      <c r="H43" s="88"/>
      <c r="I43" s="88"/>
      <c r="J43" s="88"/>
      <c r="K43" s="88"/>
      <c r="L43" s="88"/>
      <c r="M43" s="88"/>
      <c r="N43" s="88"/>
    </row>
    <row r="44" spans="1:14" ht="15.75" customHeight="1" x14ac:dyDescent="0.25">
      <c r="A44" s="85">
        <v>35</v>
      </c>
      <c r="B44" s="86"/>
      <c r="C44" s="86"/>
      <c r="D44" s="86"/>
      <c r="E44" s="86"/>
      <c r="F44" s="86"/>
      <c r="G44" s="86"/>
      <c r="H44" s="86"/>
      <c r="I44" s="86"/>
      <c r="J44" s="86"/>
      <c r="K44" s="86"/>
      <c r="L44" s="86"/>
      <c r="M44" s="86"/>
      <c r="N44" s="86"/>
    </row>
    <row r="45" spans="1:14" ht="15.75" customHeight="1" x14ac:dyDescent="0.25">
      <c r="A45" s="87">
        <v>36</v>
      </c>
      <c r="B45" s="88"/>
      <c r="C45" s="88"/>
      <c r="D45" s="88"/>
      <c r="E45" s="88"/>
      <c r="F45" s="88"/>
      <c r="G45" s="88"/>
      <c r="H45" s="88"/>
      <c r="I45" s="88"/>
      <c r="J45" s="88"/>
      <c r="K45" s="88"/>
      <c r="L45" s="88"/>
      <c r="M45" s="88"/>
      <c r="N45" s="88"/>
    </row>
    <row r="46" spans="1:14" ht="15.75" customHeight="1" x14ac:dyDescent="0.25">
      <c r="A46" s="85">
        <v>37</v>
      </c>
      <c r="B46" s="86"/>
      <c r="C46" s="86"/>
      <c r="D46" s="86"/>
      <c r="E46" s="86"/>
      <c r="F46" s="86"/>
      <c r="G46" s="86"/>
      <c r="H46" s="86"/>
      <c r="I46" s="86"/>
      <c r="J46" s="86"/>
      <c r="K46" s="86"/>
      <c r="L46" s="86"/>
      <c r="M46" s="86"/>
      <c r="N46" s="86"/>
    </row>
    <row r="47" spans="1:14" ht="15.75" customHeight="1" x14ac:dyDescent="0.25">
      <c r="A47" s="87">
        <v>38</v>
      </c>
      <c r="B47" s="88"/>
      <c r="C47" s="88"/>
      <c r="D47" s="88"/>
      <c r="E47" s="88"/>
      <c r="F47" s="88"/>
      <c r="G47" s="88"/>
      <c r="H47" s="88"/>
      <c r="I47" s="88"/>
      <c r="J47" s="88"/>
      <c r="K47" s="88"/>
      <c r="L47" s="88"/>
      <c r="M47" s="88"/>
      <c r="N47" s="88"/>
    </row>
    <row r="48" spans="1:14" ht="15.75" customHeight="1" x14ac:dyDescent="0.25">
      <c r="A48" s="85">
        <v>39</v>
      </c>
      <c r="B48" s="86"/>
      <c r="C48" s="86"/>
      <c r="D48" s="86"/>
      <c r="E48" s="86"/>
      <c r="F48" s="86"/>
      <c r="G48" s="86"/>
      <c r="H48" s="86"/>
      <c r="I48" s="86"/>
      <c r="J48" s="86"/>
      <c r="K48" s="86"/>
      <c r="L48" s="86"/>
      <c r="M48" s="86"/>
      <c r="N48" s="86"/>
    </row>
    <row r="49" spans="1:14" ht="15.75" customHeight="1" x14ac:dyDescent="0.25">
      <c r="A49" s="87">
        <v>40</v>
      </c>
      <c r="B49" s="88"/>
      <c r="C49" s="88"/>
      <c r="D49" s="88"/>
      <c r="E49" s="88"/>
      <c r="F49" s="88"/>
      <c r="G49" s="88"/>
      <c r="H49" s="88"/>
      <c r="I49" s="88"/>
      <c r="J49" s="88"/>
      <c r="K49" s="88"/>
      <c r="L49" s="88"/>
      <c r="M49" s="88"/>
      <c r="N49" s="88"/>
    </row>
    <row r="50" spans="1:14" ht="15.75" customHeight="1" x14ac:dyDescent="0.25">
      <c r="A50" s="85">
        <v>41</v>
      </c>
      <c r="B50" s="86"/>
      <c r="C50" s="86"/>
      <c r="D50" s="86"/>
      <c r="E50" s="86"/>
      <c r="F50" s="86"/>
      <c r="G50" s="86"/>
      <c r="H50" s="86"/>
      <c r="I50" s="86"/>
      <c r="J50" s="86"/>
      <c r="K50" s="86"/>
      <c r="L50" s="86"/>
      <c r="M50" s="86"/>
      <c r="N50" s="86"/>
    </row>
    <row r="51" spans="1:14" ht="15.75" customHeight="1" x14ac:dyDescent="0.25">
      <c r="A51" s="87">
        <v>42</v>
      </c>
      <c r="B51" s="88"/>
      <c r="C51" s="88"/>
      <c r="D51" s="88"/>
      <c r="E51" s="88"/>
      <c r="F51" s="88"/>
      <c r="G51" s="88"/>
      <c r="H51" s="88"/>
      <c r="I51" s="88"/>
      <c r="J51" s="88"/>
      <c r="K51" s="88"/>
      <c r="L51" s="88"/>
      <c r="M51" s="88"/>
      <c r="N51" s="88"/>
    </row>
    <row r="52" spans="1:14" ht="15.75" customHeight="1" x14ac:dyDescent="0.25">
      <c r="A52" s="85">
        <v>43</v>
      </c>
      <c r="B52" s="86"/>
      <c r="C52" s="86"/>
      <c r="D52" s="86"/>
      <c r="E52" s="86"/>
      <c r="F52" s="86"/>
      <c r="G52" s="86"/>
      <c r="H52" s="86"/>
      <c r="I52" s="86"/>
      <c r="J52" s="86"/>
      <c r="K52" s="86"/>
      <c r="L52" s="86"/>
      <c r="M52" s="86"/>
      <c r="N52" s="86"/>
    </row>
    <row r="53" spans="1:14" ht="15.75" customHeight="1" x14ac:dyDescent="0.25">
      <c r="A53" s="87">
        <v>44</v>
      </c>
      <c r="B53" s="88"/>
      <c r="C53" s="88"/>
      <c r="D53" s="88"/>
      <c r="E53" s="88"/>
      <c r="F53" s="88"/>
      <c r="G53" s="88"/>
      <c r="H53" s="88"/>
      <c r="I53" s="88"/>
      <c r="J53" s="88"/>
      <c r="K53" s="88"/>
      <c r="L53" s="88"/>
      <c r="M53" s="88"/>
      <c r="N53" s="88"/>
    </row>
    <row r="54" spans="1:14" ht="15.75" customHeight="1" x14ac:dyDescent="0.25">
      <c r="A54" s="85">
        <v>45</v>
      </c>
      <c r="B54" s="86"/>
      <c r="C54" s="86"/>
      <c r="D54" s="86"/>
      <c r="E54" s="86"/>
      <c r="F54" s="86"/>
      <c r="G54" s="86"/>
      <c r="H54" s="86"/>
      <c r="I54" s="86"/>
      <c r="J54" s="86"/>
      <c r="K54" s="86"/>
      <c r="L54" s="86"/>
      <c r="M54" s="86"/>
      <c r="N54" s="86"/>
    </row>
    <row r="55" spans="1:14" ht="15.75" customHeight="1" x14ac:dyDescent="0.25">
      <c r="A55" s="87">
        <v>46</v>
      </c>
      <c r="B55" s="88"/>
      <c r="C55" s="88"/>
      <c r="D55" s="88"/>
      <c r="E55" s="88"/>
      <c r="F55" s="88"/>
      <c r="G55" s="88"/>
      <c r="H55" s="88"/>
      <c r="I55" s="88"/>
      <c r="J55" s="88"/>
      <c r="K55" s="88"/>
      <c r="L55" s="88"/>
      <c r="M55" s="88"/>
      <c r="N55" s="88"/>
    </row>
    <row r="56" spans="1:14" ht="15.75" customHeight="1" x14ac:dyDescent="0.25">
      <c r="A56" s="85">
        <v>47</v>
      </c>
      <c r="B56" s="86"/>
      <c r="C56" s="86"/>
      <c r="D56" s="86"/>
      <c r="E56" s="86"/>
      <c r="F56" s="86"/>
      <c r="G56" s="86"/>
      <c r="H56" s="86"/>
      <c r="I56" s="86"/>
      <c r="J56" s="86"/>
      <c r="K56" s="86"/>
      <c r="L56" s="86"/>
      <c r="M56" s="86"/>
      <c r="N56" s="86"/>
    </row>
    <row r="57" spans="1:14" ht="15.75" customHeight="1" x14ac:dyDescent="0.25">
      <c r="A57" s="87">
        <v>48</v>
      </c>
      <c r="B57" s="88"/>
      <c r="C57" s="88"/>
      <c r="D57" s="88"/>
      <c r="E57" s="88"/>
      <c r="F57" s="88"/>
      <c r="G57" s="88"/>
      <c r="H57" s="88"/>
      <c r="I57" s="88"/>
      <c r="J57" s="88"/>
      <c r="K57" s="88"/>
      <c r="L57" s="88"/>
      <c r="M57" s="88"/>
      <c r="N57" s="88"/>
    </row>
    <row r="58" spans="1:14" ht="15.75" customHeight="1" x14ac:dyDescent="0.25">
      <c r="A58" s="85">
        <v>49</v>
      </c>
      <c r="B58" s="86"/>
      <c r="C58" s="86"/>
      <c r="D58" s="86"/>
      <c r="E58" s="86"/>
      <c r="F58" s="86"/>
      <c r="G58" s="86"/>
      <c r="H58" s="86"/>
      <c r="I58" s="86"/>
      <c r="J58" s="86"/>
      <c r="K58" s="86"/>
      <c r="L58" s="86"/>
      <c r="M58" s="86"/>
      <c r="N58" s="86"/>
    </row>
    <row r="59" spans="1:14" ht="15.75" customHeight="1" x14ac:dyDescent="0.25">
      <c r="A59" s="87">
        <v>50</v>
      </c>
      <c r="B59" s="88"/>
      <c r="C59" s="88"/>
      <c r="D59" s="88"/>
      <c r="E59" s="88"/>
      <c r="F59" s="88"/>
      <c r="G59" s="88"/>
      <c r="H59" s="88"/>
      <c r="I59" s="88"/>
      <c r="J59" s="88"/>
      <c r="K59" s="88"/>
      <c r="L59" s="88"/>
      <c r="M59" s="88"/>
      <c r="N59" s="88"/>
    </row>
    <row r="60" spans="1:14" ht="15.75" customHeight="1" x14ac:dyDescent="0.25">
      <c r="A60" s="85">
        <v>51</v>
      </c>
      <c r="B60" s="86"/>
      <c r="C60" s="86"/>
      <c r="D60" s="86"/>
      <c r="E60" s="86"/>
      <c r="F60" s="86"/>
      <c r="G60" s="86"/>
      <c r="H60" s="86"/>
      <c r="I60" s="86"/>
      <c r="J60" s="86"/>
      <c r="K60" s="86"/>
      <c r="L60" s="86"/>
      <c r="M60" s="86"/>
      <c r="N60" s="86"/>
    </row>
    <row r="61" spans="1:14" ht="15.75" customHeight="1" x14ac:dyDescent="0.25">
      <c r="A61" s="87">
        <v>52</v>
      </c>
      <c r="B61" s="88"/>
      <c r="C61" s="88"/>
      <c r="D61" s="88"/>
      <c r="E61" s="88"/>
      <c r="F61" s="88"/>
      <c r="G61" s="88"/>
      <c r="H61" s="88"/>
      <c r="I61" s="88"/>
      <c r="J61" s="88"/>
      <c r="K61" s="88"/>
      <c r="L61" s="88"/>
      <c r="M61" s="88"/>
      <c r="N61" s="88"/>
    </row>
    <row r="62" spans="1:14" ht="15.75" customHeight="1" x14ac:dyDescent="0.25">
      <c r="A62" s="85">
        <v>53</v>
      </c>
      <c r="B62" s="86"/>
      <c r="C62" s="86"/>
      <c r="D62" s="86"/>
      <c r="E62" s="86"/>
      <c r="F62" s="86"/>
      <c r="G62" s="86"/>
      <c r="H62" s="86"/>
      <c r="I62" s="86"/>
      <c r="J62" s="86"/>
      <c r="K62" s="86"/>
      <c r="L62" s="86"/>
      <c r="M62" s="86"/>
      <c r="N62" s="86"/>
    </row>
    <row r="63" spans="1:14" ht="15.75" customHeight="1" x14ac:dyDescent="0.25">
      <c r="A63" s="87">
        <v>54</v>
      </c>
      <c r="B63" s="88"/>
      <c r="C63" s="88"/>
      <c r="D63" s="88"/>
      <c r="E63" s="88"/>
      <c r="F63" s="88"/>
      <c r="G63" s="88"/>
      <c r="H63" s="88"/>
      <c r="I63" s="88"/>
      <c r="J63" s="88"/>
      <c r="K63" s="88"/>
      <c r="L63" s="88"/>
      <c r="M63" s="88"/>
      <c r="N63" s="88"/>
    </row>
    <row r="64" spans="1:14" ht="15.75" customHeight="1" x14ac:dyDescent="0.25">
      <c r="A64" s="85">
        <v>55</v>
      </c>
      <c r="B64" s="86"/>
      <c r="C64" s="86"/>
      <c r="D64" s="86"/>
      <c r="E64" s="86"/>
      <c r="F64" s="86"/>
      <c r="G64" s="86"/>
      <c r="H64" s="86"/>
      <c r="I64" s="86"/>
      <c r="J64" s="86"/>
      <c r="K64" s="86"/>
      <c r="L64" s="86"/>
      <c r="M64" s="86"/>
      <c r="N64" s="86"/>
    </row>
    <row r="65" spans="1:14" ht="15.75" customHeight="1" x14ac:dyDescent="0.25">
      <c r="A65" s="87">
        <v>56</v>
      </c>
      <c r="B65" s="88"/>
      <c r="C65" s="88"/>
      <c r="D65" s="88"/>
      <c r="E65" s="88"/>
      <c r="F65" s="88"/>
      <c r="G65" s="88"/>
      <c r="H65" s="88"/>
      <c r="I65" s="88"/>
      <c r="J65" s="88"/>
      <c r="K65" s="88"/>
      <c r="L65" s="88"/>
      <c r="M65" s="88"/>
      <c r="N65" s="88"/>
    </row>
    <row r="66" spans="1:14" ht="15.75" customHeight="1" x14ac:dyDescent="0.25">
      <c r="A66" s="85">
        <v>57</v>
      </c>
      <c r="B66" s="86"/>
      <c r="C66" s="86"/>
      <c r="D66" s="86"/>
      <c r="E66" s="86"/>
      <c r="F66" s="86"/>
      <c r="G66" s="86"/>
      <c r="H66" s="86"/>
      <c r="I66" s="86"/>
      <c r="J66" s="86"/>
      <c r="K66" s="86"/>
      <c r="L66" s="86"/>
      <c r="M66" s="86"/>
      <c r="N66" s="86"/>
    </row>
    <row r="67" spans="1:14" ht="15.75" customHeight="1" x14ac:dyDescent="0.25">
      <c r="A67" s="87">
        <v>58</v>
      </c>
      <c r="B67" s="88"/>
      <c r="C67" s="88"/>
      <c r="D67" s="88"/>
      <c r="E67" s="88"/>
      <c r="F67" s="88"/>
      <c r="G67" s="88"/>
      <c r="H67" s="88"/>
      <c r="I67" s="88"/>
      <c r="J67" s="88"/>
      <c r="K67" s="88"/>
      <c r="L67" s="88"/>
      <c r="M67" s="88"/>
      <c r="N67" s="88"/>
    </row>
    <row r="68" spans="1:14" ht="15.75" customHeight="1" x14ac:dyDescent="0.25">
      <c r="A68" s="85">
        <v>59</v>
      </c>
      <c r="B68" s="86"/>
      <c r="C68" s="86"/>
      <c r="D68" s="86"/>
      <c r="E68" s="86"/>
      <c r="F68" s="86"/>
      <c r="G68" s="86"/>
      <c r="H68" s="86"/>
      <c r="I68" s="86"/>
      <c r="J68" s="86"/>
      <c r="K68" s="86"/>
      <c r="L68" s="86"/>
      <c r="M68" s="86"/>
      <c r="N68" s="86"/>
    </row>
    <row r="69" spans="1:14" ht="15.75" customHeight="1" x14ac:dyDescent="0.25">
      <c r="A69" s="87">
        <v>60</v>
      </c>
      <c r="B69" s="88"/>
      <c r="C69" s="88"/>
      <c r="D69" s="88"/>
      <c r="E69" s="88"/>
      <c r="F69" s="88"/>
      <c r="G69" s="88"/>
      <c r="H69" s="88"/>
      <c r="I69" s="88"/>
      <c r="J69" s="88"/>
      <c r="K69" s="88"/>
      <c r="L69" s="88"/>
      <c r="M69" s="88"/>
      <c r="N69" s="88"/>
    </row>
    <row r="70" spans="1:14" ht="15.75" customHeight="1" x14ac:dyDescent="0.25">
      <c r="A70" s="85">
        <v>61</v>
      </c>
      <c r="B70" s="86"/>
      <c r="C70" s="86"/>
      <c r="D70" s="86"/>
      <c r="E70" s="86"/>
      <c r="F70" s="86"/>
      <c r="G70" s="86"/>
      <c r="H70" s="86"/>
      <c r="I70" s="86"/>
      <c r="J70" s="86"/>
      <c r="K70" s="86"/>
      <c r="L70" s="86"/>
      <c r="M70" s="86"/>
      <c r="N70" s="86"/>
    </row>
    <row r="71" spans="1:14" ht="15.75" customHeight="1" x14ac:dyDescent="0.25">
      <c r="A71" s="87">
        <v>62</v>
      </c>
      <c r="B71" s="88"/>
      <c r="C71" s="88"/>
      <c r="D71" s="88"/>
      <c r="E71" s="88"/>
      <c r="F71" s="88"/>
      <c r="G71" s="88"/>
      <c r="H71" s="88"/>
      <c r="I71" s="88"/>
      <c r="J71" s="88"/>
      <c r="K71" s="88"/>
      <c r="L71" s="88"/>
      <c r="M71" s="88"/>
      <c r="N71" s="88"/>
    </row>
    <row r="72" spans="1:14" ht="15.75" customHeight="1" x14ac:dyDescent="0.25">
      <c r="A72" s="85">
        <v>63</v>
      </c>
      <c r="B72" s="86"/>
      <c r="C72" s="86"/>
      <c r="D72" s="86"/>
      <c r="E72" s="86"/>
      <c r="F72" s="86"/>
      <c r="G72" s="86"/>
      <c r="H72" s="86"/>
      <c r="I72" s="86"/>
      <c r="J72" s="86"/>
      <c r="K72" s="86"/>
      <c r="L72" s="86"/>
      <c r="M72" s="86"/>
      <c r="N72" s="86"/>
    </row>
    <row r="73" spans="1:14" ht="15.75" customHeight="1" x14ac:dyDescent="0.25">
      <c r="A73" s="87">
        <v>64</v>
      </c>
      <c r="B73" s="88"/>
      <c r="C73" s="88"/>
      <c r="D73" s="88"/>
      <c r="E73" s="88"/>
      <c r="F73" s="88"/>
      <c r="G73" s="88"/>
      <c r="H73" s="88"/>
      <c r="I73" s="88"/>
      <c r="J73" s="88"/>
      <c r="K73" s="88"/>
      <c r="L73" s="88"/>
      <c r="M73" s="88"/>
      <c r="N73" s="88"/>
    </row>
    <row r="74" spans="1:14" ht="15.75" customHeight="1" x14ac:dyDescent="0.25">
      <c r="A74" s="85">
        <v>65</v>
      </c>
      <c r="B74" s="86"/>
      <c r="C74" s="86"/>
      <c r="D74" s="86"/>
      <c r="E74" s="86"/>
      <c r="F74" s="86"/>
      <c r="G74" s="86"/>
      <c r="H74" s="86"/>
      <c r="I74" s="86"/>
      <c r="J74" s="86"/>
      <c r="K74" s="86"/>
      <c r="L74" s="86"/>
      <c r="M74" s="86"/>
      <c r="N74" s="86"/>
    </row>
    <row r="75" spans="1:14" ht="15.75" customHeight="1" x14ac:dyDescent="0.25">
      <c r="A75" s="87">
        <v>66</v>
      </c>
      <c r="B75" s="88"/>
      <c r="C75" s="88"/>
      <c r="D75" s="88"/>
      <c r="E75" s="88"/>
      <c r="F75" s="88"/>
      <c r="G75" s="88"/>
      <c r="H75" s="88"/>
      <c r="I75" s="88"/>
      <c r="J75" s="88"/>
      <c r="K75" s="88"/>
      <c r="L75" s="88"/>
      <c r="M75" s="88"/>
      <c r="N75" s="88"/>
    </row>
    <row r="76" spans="1:14" ht="15.75" customHeight="1" x14ac:dyDescent="0.25">
      <c r="A76" s="85">
        <v>67</v>
      </c>
      <c r="B76" s="86"/>
      <c r="C76" s="86"/>
      <c r="D76" s="86"/>
      <c r="E76" s="86"/>
      <c r="F76" s="86"/>
      <c r="G76" s="86"/>
      <c r="H76" s="86"/>
      <c r="I76" s="86"/>
      <c r="J76" s="86"/>
      <c r="K76" s="86"/>
      <c r="L76" s="86"/>
      <c r="M76" s="86"/>
      <c r="N76" s="86"/>
    </row>
    <row r="77" spans="1:14" ht="15.75" customHeight="1" x14ac:dyDescent="0.25">
      <c r="A77" s="87">
        <v>68</v>
      </c>
      <c r="B77" s="88"/>
      <c r="C77" s="88"/>
      <c r="D77" s="88"/>
      <c r="E77" s="88"/>
      <c r="F77" s="88"/>
      <c r="G77" s="88"/>
      <c r="H77" s="88"/>
      <c r="I77" s="88"/>
      <c r="J77" s="88"/>
      <c r="K77" s="88"/>
      <c r="L77" s="88"/>
      <c r="M77" s="88"/>
      <c r="N77" s="88"/>
    </row>
    <row r="78" spans="1:14" ht="15.75" customHeight="1" x14ac:dyDescent="0.25">
      <c r="A78" s="85">
        <v>69</v>
      </c>
      <c r="B78" s="86"/>
      <c r="C78" s="86"/>
      <c r="D78" s="86"/>
      <c r="E78" s="86"/>
      <c r="F78" s="86"/>
      <c r="G78" s="86"/>
      <c r="H78" s="86"/>
      <c r="I78" s="86"/>
      <c r="J78" s="86"/>
      <c r="K78" s="86"/>
      <c r="L78" s="86"/>
      <c r="M78" s="86"/>
      <c r="N78" s="86"/>
    </row>
    <row r="79" spans="1:14" ht="15.75" customHeight="1" x14ac:dyDescent="0.25">
      <c r="A79" s="87">
        <v>70</v>
      </c>
      <c r="B79" s="88"/>
      <c r="C79" s="88"/>
      <c r="D79" s="88"/>
      <c r="E79" s="88"/>
      <c r="F79" s="88"/>
      <c r="G79" s="88"/>
      <c r="H79" s="88"/>
      <c r="I79" s="88"/>
      <c r="J79" s="88"/>
      <c r="K79" s="88"/>
      <c r="L79" s="88"/>
      <c r="M79" s="88"/>
      <c r="N79" s="88"/>
    </row>
    <row r="80" spans="1:14" ht="15.75" customHeight="1" x14ac:dyDescent="0.25">
      <c r="A80" s="85">
        <v>71</v>
      </c>
      <c r="B80" s="86"/>
      <c r="C80" s="86"/>
      <c r="D80" s="86"/>
      <c r="E80" s="86"/>
      <c r="F80" s="86"/>
      <c r="G80" s="86"/>
      <c r="H80" s="86"/>
      <c r="I80" s="86"/>
      <c r="J80" s="86"/>
      <c r="K80" s="86"/>
      <c r="L80" s="86"/>
      <c r="M80" s="86"/>
      <c r="N80" s="86"/>
    </row>
    <row r="81" spans="1:14" ht="15.75" customHeight="1" x14ac:dyDescent="0.25">
      <c r="A81" s="87">
        <v>72</v>
      </c>
      <c r="B81" s="88"/>
      <c r="C81" s="88"/>
      <c r="D81" s="88"/>
      <c r="E81" s="88"/>
      <c r="F81" s="88"/>
      <c r="G81" s="88"/>
      <c r="H81" s="88"/>
      <c r="I81" s="88"/>
      <c r="J81" s="88"/>
      <c r="K81" s="88"/>
      <c r="L81" s="88"/>
      <c r="M81" s="88"/>
      <c r="N81" s="88"/>
    </row>
    <row r="82" spans="1:14" ht="15.75" customHeight="1" x14ac:dyDescent="0.25">
      <c r="A82" s="85">
        <v>73</v>
      </c>
      <c r="B82" s="86"/>
      <c r="C82" s="86"/>
      <c r="D82" s="86"/>
      <c r="E82" s="86"/>
      <c r="F82" s="86"/>
      <c r="G82" s="86"/>
      <c r="H82" s="86"/>
      <c r="I82" s="86"/>
      <c r="J82" s="86"/>
      <c r="K82" s="86"/>
      <c r="L82" s="86"/>
      <c r="M82" s="86"/>
      <c r="N82" s="86"/>
    </row>
    <row r="83" spans="1:14" ht="15.75" customHeight="1" x14ac:dyDescent="0.25">
      <c r="A83" s="87">
        <v>74</v>
      </c>
      <c r="B83" s="88"/>
      <c r="C83" s="88"/>
      <c r="D83" s="88"/>
      <c r="E83" s="88"/>
      <c r="F83" s="88"/>
      <c r="G83" s="88"/>
      <c r="H83" s="88"/>
      <c r="I83" s="88"/>
      <c r="J83" s="88"/>
      <c r="K83" s="88"/>
      <c r="L83" s="88"/>
      <c r="M83" s="88"/>
      <c r="N83" s="88"/>
    </row>
    <row r="84" spans="1:14" ht="15.75" customHeight="1" x14ac:dyDescent="0.25">
      <c r="A84" s="85">
        <v>75</v>
      </c>
      <c r="B84" s="86"/>
      <c r="C84" s="86"/>
      <c r="D84" s="86"/>
      <c r="E84" s="86"/>
      <c r="F84" s="86"/>
      <c r="G84" s="86"/>
      <c r="H84" s="86"/>
      <c r="I84" s="86"/>
      <c r="J84" s="86"/>
      <c r="K84" s="86"/>
      <c r="L84" s="86"/>
      <c r="M84" s="86"/>
      <c r="N84" s="86"/>
    </row>
    <row r="85" spans="1:14" ht="15.75" customHeight="1" x14ac:dyDescent="0.25">
      <c r="A85" s="87">
        <v>76</v>
      </c>
      <c r="B85" s="88"/>
      <c r="C85" s="88"/>
      <c r="D85" s="88"/>
      <c r="E85" s="88"/>
      <c r="F85" s="88"/>
      <c r="G85" s="88"/>
      <c r="H85" s="88"/>
      <c r="I85" s="88"/>
      <c r="J85" s="88"/>
      <c r="K85" s="88"/>
      <c r="L85" s="88"/>
      <c r="M85" s="88"/>
      <c r="N85" s="88"/>
    </row>
    <row r="86" spans="1:14" ht="15.75" customHeight="1" x14ac:dyDescent="0.25">
      <c r="A86" s="85">
        <v>77</v>
      </c>
      <c r="B86" s="86"/>
      <c r="C86" s="86"/>
      <c r="D86" s="86"/>
      <c r="E86" s="86"/>
      <c r="F86" s="86"/>
      <c r="G86" s="86"/>
      <c r="H86" s="86"/>
      <c r="I86" s="86"/>
      <c r="J86" s="86"/>
      <c r="K86" s="86"/>
      <c r="L86" s="86"/>
      <c r="M86" s="86"/>
      <c r="N86" s="86"/>
    </row>
    <row r="87" spans="1:14" ht="15.75" customHeight="1" x14ac:dyDescent="0.25">
      <c r="A87" s="87">
        <v>78</v>
      </c>
      <c r="B87" s="88"/>
      <c r="C87" s="88"/>
      <c r="D87" s="88"/>
      <c r="E87" s="88"/>
      <c r="F87" s="88"/>
      <c r="G87" s="88"/>
      <c r="H87" s="88"/>
      <c r="I87" s="88"/>
      <c r="J87" s="88"/>
      <c r="K87" s="88"/>
      <c r="L87" s="88"/>
      <c r="M87" s="88"/>
      <c r="N87" s="88"/>
    </row>
    <row r="88" spans="1:14" ht="15.75" customHeight="1" x14ac:dyDescent="0.25">
      <c r="A88" s="85">
        <v>79</v>
      </c>
      <c r="B88" s="86"/>
      <c r="C88" s="86"/>
      <c r="D88" s="86"/>
      <c r="E88" s="86"/>
      <c r="F88" s="86"/>
      <c r="G88" s="86"/>
      <c r="H88" s="86"/>
      <c r="I88" s="86"/>
      <c r="J88" s="86"/>
      <c r="K88" s="86"/>
      <c r="L88" s="86"/>
      <c r="M88" s="86"/>
      <c r="N88" s="86"/>
    </row>
    <row r="89" spans="1:14" ht="15.75" customHeight="1" x14ac:dyDescent="0.25">
      <c r="A89" s="87">
        <v>80</v>
      </c>
      <c r="B89" s="88"/>
      <c r="C89" s="88"/>
      <c r="D89" s="88"/>
      <c r="E89" s="88"/>
      <c r="F89" s="88"/>
      <c r="G89" s="88"/>
      <c r="H89" s="88"/>
      <c r="I89" s="88"/>
      <c r="J89" s="88"/>
      <c r="K89" s="88"/>
      <c r="L89" s="88"/>
      <c r="M89" s="88"/>
      <c r="N89" s="88"/>
    </row>
    <row r="90" spans="1:14" ht="15.75" customHeight="1" x14ac:dyDescent="0.25">
      <c r="A90" s="85">
        <v>81</v>
      </c>
      <c r="B90" s="86"/>
      <c r="C90" s="86"/>
      <c r="D90" s="86"/>
      <c r="E90" s="86"/>
      <c r="F90" s="86"/>
      <c r="G90" s="86"/>
      <c r="H90" s="86"/>
      <c r="I90" s="86"/>
      <c r="J90" s="86"/>
      <c r="K90" s="86"/>
      <c r="L90" s="86"/>
      <c r="M90" s="86"/>
      <c r="N90" s="86"/>
    </row>
    <row r="91" spans="1:14" ht="15.75" customHeight="1" x14ac:dyDescent="0.25">
      <c r="A91" s="87">
        <v>82</v>
      </c>
      <c r="B91" s="88"/>
      <c r="C91" s="88"/>
      <c r="D91" s="88"/>
      <c r="E91" s="88"/>
      <c r="F91" s="88"/>
      <c r="G91" s="88"/>
      <c r="H91" s="88"/>
      <c r="I91" s="88"/>
      <c r="J91" s="88"/>
      <c r="K91" s="88"/>
      <c r="L91" s="88"/>
      <c r="M91" s="88"/>
      <c r="N91" s="88"/>
    </row>
    <row r="92" spans="1:14" ht="15.75" customHeight="1" x14ac:dyDescent="0.25">
      <c r="A92" s="85">
        <v>83</v>
      </c>
      <c r="B92" s="86"/>
      <c r="C92" s="86"/>
      <c r="D92" s="86"/>
      <c r="E92" s="86"/>
      <c r="F92" s="86"/>
      <c r="G92" s="86"/>
      <c r="H92" s="86"/>
      <c r="I92" s="86"/>
      <c r="J92" s="86"/>
      <c r="K92" s="86"/>
      <c r="L92" s="86"/>
      <c r="M92" s="86"/>
      <c r="N92" s="86"/>
    </row>
    <row r="93" spans="1:14" ht="15.75" customHeight="1" x14ac:dyDescent="0.25">
      <c r="A93" s="87">
        <v>84</v>
      </c>
      <c r="B93" s="88"/>
      <c r="C93" s="88"/>
      <c r="D93" s="88"/>
      <c r="E93" s="88"/>
      <c r="F93" s="88"/>
      <c r="G93" s="88"/>
      <c r="H93" s="88"/>
      <c r="I93" s="88"/>
      <c r="J93" s="88"/>
      <c r="K93" s="88"/>
      <c r="L93" s="88"/>
      <c r="M93" s="88"/>
      <c r="N93" s="88"/>
    </row>
    <row r="94" spans="1:14" ht="15.75" customHeight="1" x14ac:dyDescent="0.25">
      <c r="A94" s="85">
        <v>85</v>
      </c>
      <c r="B94" s="86"/>
      <c r="C94" s="86"/>
      <c r="D94" s="86"/>
      <c r="E94" s="86"/>
      <c r="F94" s="86"/>
      <c r="G94" s="86"/>
      <c r="H94" s="86"/>
      <c r="I94" s="86"/>
      <c r="J94" s="86"/>
      <c r="K94" s="86"/>
      <c r="L94" s="86"/>
      <c r="M94" s="86"/>
      <c r="N94" s="86"/>
    </row>
    <row r="95" spans="1:14" ht="15.75" customHeight="1" x14ac:dyDescent="0.25">
      <c r="A95" s="87">
        <v>86</v>
      </c>
      <c r="B95" s="88"/>
      <c r="C95" s="88"/>
      <c r="D95" s="88"/>
      <c r="E95" s="88"/>
      <c r="F95" s="88"/>
      <c r="G95" s="88"/>
      <c r="H95" s="88"/>
      <c r="I95" s="88"/>
      <c r="J95" s="88"/>
      <c r="K95" s="88"/>
      <c r="L95" s="88"/>
      <c r="M95" s="88"/>
      <c r="N95" s="88"/>
    </row>
    <row r="96" spans="1:14" ht="15.75" customHeight="1" x14ac:dyDescent="0.25">
      <c r="A96" s="85">
        <v>87</v>
      </c>
      <c r="B96" s="86"/>
      <c r="C96" s="86"/>
      <c r="D96" s="86"/>
      <c r="E96" s="86"/>
      <c r="F96" s="86"/>
      <c r="G96" s="86"/>
      <c r="H96" s="86"/>
      <c r="I96" s="86"/>
      <c r="J96" s="86"/>
      <c r="K96" s="86"/>
      <c r="L96" s="86"/>
      <c r="M96" s="86"/>
      <c r="N96" s="86"/>
    </row>
    <row r="97" spans="1:14" ht="15.75" customHeight="1" x14ac:dyDescent="0.25">
      <c r="A97" s="87">
        <v>88</v>
      </c>
      <c r="B97" s="88"/>
      <c r="C97" s="88"/>
      <c r="D97" s="88"/>
      <c r="E97" s="88"/>
      <c r="F97" s="88"/>
      <c r="G97" s="88"/>
      <c r="H97" s="88"/>
      <c r="I97" s="88"/>
      <c r="J97" s="88"/>
      <c r="K97" s="88"/>
      <c r="L97" s="88"/>
      <c r="M97" s="88"/>
      <c r="N97" s="88"/>
    </row>
    <row r="98" spans="1:14" ht="15.75" customHeight="1" x14ac:dyDescent="0.25">
      <c r="A98" s="85">
        <v>89</v>
      </c>
      <c r="B98" s="86"/>
      <c r="C98" s="86"/>
      <c r="D98" s="86"/>
      <c r="E98" s="86"/>
      <c r="F98" s="86"/>
      <c r="G98" s="86"/>
      <c r="H98" s="86"/>
      <c r="I98" s="86"/>
      <c r="J98" s="86"/>
      <c r="K98" s="86"/>
      <c r="L98" s="86"/>
      <c r="M98" s="86"/>
      <c r="N98" s="86"/>
    </row>
    <row r="99" spans="1:14" ht="15.75" customHeight="1" x14ac:dyDescent="0.25">
      <c r="A99" s="87">
        <v>90</v>
      </c>
      <c r="B99" s="88"/>
      <c r="C99" s="88"/>
      <c r="D99" s="88"/>
      <c r="E99" s="88"/>
      <c r="F99" s="88"/>
      <c r="G99" s="88"/>
      <c r="H99" s="88"/>
      <c r="I99" s="88"/>
      <c r="J99" s="88"/>
      <c r="K99" s="88"/>
      <c r="L99" s="88"/>
      <c r="M99" s="88"/>
      <c r="N99" s="88"/>
    </row>
    <row r="100" spans="1:14" ht="15.75" customHeight="1" x14ac:dyDescent="0.25">
      <c r="A100" s="85">
        <v>91</v>
      </c>
      <c r="B100" s="86"/>
      <c r="C100" s="86"/>
      <c r="D100" s="86"/>
      <c r="E100" s="86"/>
      <c r="F100" s="86"/>
      <c r="G100" s="86"/>
      <c r="H100" s="86"/>
      <c r="I100" s="86"/>
      <c r="J100" s="86"/>
      <c r="K100" s="86"/>
      <c r="L100" s="86"/>
      <c r="M100" s="86"/>
      <c r="N100" s="86"/>
    </row>
    <row r="101" spans="1:14" ht="15.75" customHeight="1" x14ac:dyDescent="0.25">
      <c r="A101" s="87">
        <v>92</v>
      </c>
      <c r="B101" s="88"/>
      <c r="C101" s="88"/>
      <c r="D101" s="88"/>
      <c r="E101" s="88"/>
      <c r="F101" s="88"/>
      <c r="G101" s="88"/>
      <c r="H101" s="88"/>
      <c r="I101" s="88"/>
      <c r="J101" s="88"/>
      <c r="K101" s="88"/>
      <c r="L101" s="88"/>
      <c r="M101" s="88"/>
      <c r="N101" s="88"/>
    </row>
    <row r="102" spans="1:14" ht="15.75" customHeight="1" x14ac:dyDescent="0.25">
      <c r="A102" s="85">
        <v>93</v>
      </c>
      <c r="B102" s="86"/>
      <c r="C102" s="86"/>
      <c r="D102" s="86"/>
      <c r="E102" s="86"/>
      <c r="F102" s="86"/>
      <c r="G102" s="86"/>
      <c r="H102" s="86"/>
      <c r="I102" s="86"/>
      <c r="J102" s="86"/>
      <c r="K102" s="86"/>
      <c r="L102" s="86"/>
      <c r="M102" s="86"/>
      <c r="N102" s="86"/>
    </row>
    <row r="103" spans="1:14" ht="15.75" customHeight="1" x14ac:dyDescent="0.25">
      <c r="A103" s="87">
        <v>94</v>
      </c>
      <c r="B103" s="88"/>
      <c r="C103" s="88"/>
      <c r="D103" s="88"/>
      <c r="E103" s="88"/>
      <c r="F103" s="88"/>
      <c r="G103" s="88"/>
      <c r="H103" s="88"/>
      <c r="I103" s="88"/>
      <c r="J103" s="88"/>
      <c r="K103" s="88"/>
      <c r="L103" s="88"/>
      <c r="M103" s="88"/>
      <c r="N103" s="88"/>
    </row>
    <row r="104" spans="1:14" ht="15.75" customHeight="1" x14ac:dyDescent="0.25">
      <c r="A104" s="85">
        <v>95</v>
      </c>
      <c r="B104" s="86"/>
      <c r="C104" s="86"/>
      <c r="D104" s="86"/>
      <c r="E104" s="86"/>
      <c r="F104" s="86"/>
      <c r="G104" s="86"/>
      <c r="H104" s="86"/>
      <c r="I104" s="86"/>
      <c r="J104" s="86"/>
      <c r="K104" s="86"/>
      <c r="L104" s="86"/>
      <c r="M104" s="86"/>
      <c r="N104" s="86"/>
    </row>
    <row r="105" spans="1:14" ht="15.75" customHeight="1" x14ac:dyDescent="0.25">
      <c r="A105" s="87">
        <v>96</v>
      </c>
      <c r="B105" s="88"/>
      <c r="C105" s="88"/>
      <c r="D105" s="88"/>
      <c r="E105" s="88"/>
      <c r="F105" s="88"/>
      <c r="G105" s="88"/>
      <c r="H105" s="88"/>
      <c r="I105" s="88"/>
      <c r="J105" s="88"/>
      <c r="K105" s="88"/>
      <c r="L105" s="88"/>
      <c r="M105" s="88"/>
      <c r="N105" s="88"/>
    </row>
    <row r="106" spans="1:14" ht="15.75" customHeight="1" x14ac:dyDescent="0.25">
      <c r="A106" s="85">
        <v>97</v>
      </c>
      <c r="B106" s="86"/>
      <c r="C106" s="86"/>
      <c r="D106" s="86"/>
      <c r="E106" s="86"/>
      <c r="F106" s="86"/>
      <c r="G106" s="86"/>
      <c r="H106" s="86"/>
      <c r="I106" s="86"/>
      <c r="J106" s="86"/>
      <c r="K106" s="86"/>
      <c r="L106" s="86"/>
      <c r="M106" s="86"/>
      <c r="N106" s="86"/>
    </row>
    <row r="107" spans="1:14" ht="15.75" customHeight="1" x14ac:dyDescent="0.25">
      <c r="A107" s="87">
        <v>98</v>
      </c>
      <c r="B107" s="88"/>
      <c r="C107" s="88"/>
      <c r="D107" s="88"/>
      <c r="E107" s="88"/>
      <c r="F107" s="88"/>
      <c r="G107" s="88"/>
      <c r="H107" s="88"/>
      <c r="I107" s="88"/>
      <c r="J107" s="88"/>
      <c r="K107" s="88"/>
      <c r="L107" s="88"/>
      <c r="M107" s="88"/>
      <c r="N107" s="88"/>
    </row>
    <row r="108" spans="1:14" ht="15.75" customHeight="1" x14ac:dyDescent="0.25">
      <c r="A108" s="85">
        <v>99</v>
      </c>
      <c r="B108" s="86"/>
      <c r="C108" s="86"/>
      <c r="D108" s="86"/>
      <c r="E108" s="86"/>
      <c r="F108" s="86"/>
      <c r="G108" s="86"/>
      <c r="H108" s="86"/>
      <c r="I108" s="86"/>
      <c r="J108" s="86"/>
      <c r="K108" s="86"/>
      <c r="L108" s="86"/>
      <c r="M108" s="86"/>
      <c r="N108" s="86"/>
    </row>
    <row r="109" spans="1:14" ht="15.75" customHeight="1" x14ac:dyDescent="0.25">
      <c r="A109" s="87">
        <v>100</v>
      </c>
      <c r="B109" s="88"/>
      <c r="C109" s="88"/>
      <c r="D109" s="88"/>
      <c r="E109" s="88"/>
      <c r="F109" s="88"/>
      <c r="G109" s="88"/>
      <c r="H109" s="88"/>
      <c r="I109" s="88"/>
      <c r="J109" s="88"/>
      <c r="K109" s="88"/>
      <c r="L109" s="88"/>
      <c r="M109" s="88"/>
      <c r="N109" s="88"/>
    </row>
    <row r="110" spans="1:14" ht="15.75" customHeight="1" x14ac:dyDescent="0.25">
      <c r="A110" s="85">
        <v>101</v>
      </c>
      <c r="B110" s="86"/>
      <c r="C110" s="86"/>
      <c r="D110" s="86"/>
      <c r="E110" s="86"/>
      <c r="F110" s="86"/>
      <c r="G110" s="86"/>
      <c r="H110" s="86"/>
      <c r="I110" s="86"/>
      <c r="J110" s="86"/>
      <c r="K110" s="86"/>
      <c r="L110" s="86"/>
      <c r="M110" s="86"/>
      <c r="N110" s="86"/>
    </row>
    <row r="111" spans="1:14" ht="15.75" customHeight="1" x14ac:dyDescent="0.25">
      <c r="A111" s="87">
        <v>102</v>
      </c>
      <c r="B111" s="88"/>
      <c r="C111" s="88"/>
      <c r="D111" s="88"/>
      <c r="E111" s="88"/>
      <c r="F111" s="88"/>
      <c r="G111" s="88"/>
      <c r="H111" s="88"/>
      <c r="I111" s="88"/>
      <c r="J111" s="88"/>
      <c r="K111" s="88"/>
      <c r="L111" s="88"/>
      <c r="M111" s="88"/>
      <c r="N111" s="88"/>
    </row>
    <row r="112" spans="1:14" ht="15.75" customHeight="1" x14ac:dyDescent="0.25">
      <c r="A112" s="85">
        <v>103</v>
      </c>
      <c r="B112" s="86"/>
      <c r="C112" s="86"/>
      <c r="D112" s="86"/>
      <c r="E112" s="86"/>
      <c r="F112" s="86"/>
      <c r="G112" s="86"/>
      <c r="H112" s="86"/>
      <c r="I112" s="86"/>
      <c r="J112" s="86"/>
      <c r="K112" s="86"/>
      <c r="L112" s="86"/>
      <c r="M112" s="86"/>
      <c r="N112" s="86"/>
    </row>
    <row r="113" spans="1:14" ht="15.75" customHeight="1" x14ac:dyDescent="0.25">
      <c r="A113" s="87">
        <v>104</v>
      </c>
      <c r="B113" s="88"/>
      <c r="C113" s="88"/>
      <c r="D113" s="88"/>
      <c r="E113" s="88"/>
      <c r="F113" s="88"/>
      <c r="G113" s="88"/>
      <c r="H113" s="88"/>
      <c r="I113" s="88"/>
      <c r="J113" s="88"/>
      <c r="K113" s="88"/>
      <c r="L113" s="88"/>
      <c r="M113" s="88"/>
      <c r="N113" s="88"/>
    </row>
    <row r="114" spans="1:14" ht="15.75" customHeight="1" x14ac:dyDescent="0.25">
      <c r="A114" s="85">
        <v>105</v>
      </c>
      <c r="B114" s="86"/>
      <c r="C114" s="86"/>
      <c r="D114" s="86"/>
      <c r="E114" s="86"/>
      <c r="F114" s="86"/>
      <c r="G114" s="86"/>
      <c r="H114" s="86"/>
      <c r="I114" s="86"/>
      <c r="J114" s="86"/>
      <c r="K114" s="86"/>
      <c r="L114" s="86"/>
      <c r="M114" s="86"/>
      <c r="N114" s="86"/>
    </row>
    <row r="115" spans="1:14" ht="15.75" customHeight="1" x14ac:dyDescent="0.25">
      <c r="A115" s="87">
        <v>106</v>
      </c>
      <c r="B115" s="88"/>
      <c r="C115" s="88"/>
      <c r="D115" s="88"/>
      <c r="E115" s="88"/>
      <c r="F115" s="88"/>
      <c r="G115" s="88"/>
      <c r="H115" s="88"/>
      <c r="I115" s="88"/>
      <c r="J115" s="88"/>
      <c r="K115" s="88"/>
      <c r="L115" s="88"/>
      <c r="M115" s="88"/>
      <c r="N115" s="88"/>
    </row>
    <row r="116" spans="1:14" ht="15.75" customHeight="1" x14ac:dyDescent="0.25">
      <c r="A116" s="85">
        <v>107</v>
      </c>
      <c r="B116" s="86"/>
      <c r="C116" s="86"/>
      <c r="D116" s="86"/>
      <c r="E116" s="86"/>
      <c r="F116" s="86"/>
      <c r="G116" s="86"/>
      <c r="H116" s="86"/>
      <c r="I116" s="86"/>
      <c r="J116" s="86"/>
      <c r="K116" s="86"/>
      <c r="L116" s="86"/>
      <c r="M116" s="86"/>
      <c r="N116" s="86"/>
    </row>
    <row r="117" spans="1:14" ht="15.75" customHeight="1" x14ac:dyDescent="0.25">
      <c r="A117" s="87">
        <v>108</v>
      </c>
      <c r="B117" s="88"/>
      <c r="C117" s="88"/>
      <c r="D117" s="88"/>
      <c r="E117" s="88"/>
      <c r="F117" s="88"/>
      <c r="G117" s="88"/>
      <c r="H117" s="88"/>
      <c r="I117" s="88"/>
      <c r="J117" s="88"/>
      <c r="K117" s="88"/>
      <c r="L117" s="88"/>
      <c r="M117" s="88"/>
      <c r="N117" s="88"/>
    </row>
    <row r="118" spans="1:14" ht="15.75" customHeight="1" x14ac:dyDescent="0.25">
      <c r="A118" s="85">
        <v>109</v>
      </c>
      <c r="B118" s="86"/>
      <c r="C118" s="86"/>
      <c r="D118" s="86"/>
      <c r="E118" s="86"/>
      <c r="F118" s="86"/>
      <c r="G118" s="86"/>
      <c r="H118" s="86"/>
      <c r="I118" s="86"/>
      <c r="J118" s="86"/>
      <c r="K118" s="86"/>
      <c r="L118" s="86"/>
      <c r="M118" s="86"/>
      <c r="N118" s="86"/>
    </row>
    <row r="119" spans="1:14" ht="15.75" customHeight="1" x14ac:dyDescent="0.25">
      <c r="A119" s="87">
        <v>110</v>
      </c>
      <c r="B119" s="88"/>
      <c r="C119" s="88"/>
      <c r="D119" s="88"/>
      <c r="E119" s="88"/>
      <c r="F119" s="88"/>
      <c r="G119" s="88"/>
      <c r="H119" s="88"/>
      <c r="I119" s="88"/>
      <c r="J119" s="88"/>
      <c r="K119" s="88"/>
      <c r="L119" s="88"/>
      <c r="M119" s="88"/>
      <c r="N119" s="88"/>
    </row>
    <row r="120" spans="1:14" ht="15.75" customHeight="1" x14ac:dyDescent="0.25">
      <c r="A120" s="85">
        <v>111</v>
      </c>
      <c r="B120" s="86"/>
      <c r="C120" s="86"/>
      <c r="D120" s="86"/>
      <c r="E120" s="86"/>
      <c r="F120" s="86"/>
      <c r="G120" s="86"/>
      <c r="H120" s="86"/>
      <c r="I120" s="86"/>
      <c r="J120" s="86"/>
      <c r="K120" s="86"/>
      <c r="L120" s="86"/>
      <c r="M120" s="86"/>
      <c r="N120" s="86"/>
    </row>
    <row r="121" spans="1:14" ht="15.75" customHeight="1" x14ac:dyDescent="0.25">
      <c r="A121" s="87">
        <v>112</v>
      </c>
      <c r="B121" s="88"/>
      <c r="C121" s="88"/>
      <c r="D121" s="88"/>
      <c r="E121" s="88"/>
      <c r="F121" s="88"/>
      <c r="G121" s="88"/>
      <c r="H121" s="88"/>
      <c r="I121" s="88"/>
      <c r="J121" s="88"/>
      <c r="K121" s="88"/>
      <c r="L121" s="88"/>
      <c r="M121" s="88"/>
      <c r="N121" s="88"/>
    </row>
    <row r="122" spans="1:14" ht="15.75" customHeight="1" x14ac:dyDescent="0.25">
      <c r="A122" s="85">
        <v>113</v>
      </c>
      <c r="B122" s="86"/>
      <c r="C122" s="86"/>
      <c r="D122" s="86"/>
      <c r="E122" s="86"/>
      <c r="F122" s="86"/>
      <c r="G122" s="86"/>
      <c r="H122" s="86"/>
      <c r="I122" s="86"/>
      <c r="J122" s="86"/>
      <c r="K122" s="86"/>
      <c r="L122" s="86"/>
      <c r="M122" s="86"/>
      <c r="N122" s="86"/>
    </row>
    <row r="123" spans="1:14" ht="15.75" customHeight="1" x14ac:dyDescent="0.25">
      <c r="A123" s="87">
        <v>114</v>
      </c>
      <c r="B123" s="88"/>
      <c r="C123" s="88"/>
      <c r="D123" s="88"/>
      <c r="E123" s="88"/>
      <c r="F123" s="88"/>
      <c r="G123" s="88"/>
      <c r="H123" s="88"/>
      <c r="I123" s="88"/>
      <c r="J123" s="88"/>
      <c r="K123" s="88"/>
      <c r="L123" s="88"/>
      <c r="M123" s="88"/>
      <c r="N123" s="88"/>
    </row>
    <row r="124" spans="1:14" ht="15.75" customHeight="1" x14ac:dyDescent="0.25">
      <c r="A124" s="85">
        <v>115</v>
      </c>
      <c r="B124" s="86"/>
      <c r="C124" s="86"/>
      <c r="D124" s="86"/>
      <c r="E124" s="86"/>
      <c r="F124" s="86"/>
      <c r="G124" s="86"/>
      <c r="H124" s="86"/>
      <c r="I124" s="86"/>
      <c r="J124" s="86"/>
      <c r="K124" s="86"/>
      <c r="L124" s="86"/>
      <c r="M124" s="86"/>
      <c r="N124" s="86"/>
    </row>
    <row r="125" spans="1:14" ht="15.75" customHeight="1" x14ac:dyDescent="0.25">
      <c r="A125" s="87">
        <v>116</v>
      </c>
      <c r="B125" s="88"/>
      <c r="C125" s="88"/>
      <c r="D125" s="88"/>
      <c r="E125" s="88"/>
      <c r="F125" s="88"/>
      <c r="G125" s="88"/>
      <c r="H125" s="88"/>
      <c r="I125" s="88"/>
      <c r="J125" s="88"/>
      <c r="K125" s="88"/>
      <c r="L125" s="88"/>
      <c r="M125" s="88"/>
      <c r="N125" s="88"/>
    </row>
    <row r="126" spans="1:14" ht="15.75" customHeight="1" x14ac:dyDescent="0.25">
      <c r="A126" s="85">
        <v>117</v>
      </c>
      <c r="B126" s="86"/>
      <c r="C126" s="86"/>
      <c r="D126" s="86"/>
      <c r="E126" s="86"/>
      <c r="F126" s="86"/>
      <c r="G126" s="86"/>
      <c r="H126" s="86"/>
      <c r="I126" s="86"/>
      <c r="J126" s="86"/>
      <c r="K126" s="86"/>
      <c r="L126" s="86"/>
      <c r="M126" s="86"/>
      <c r="N126" s="86"/>
    </row>
    <row r="127" spans="1:14" ht="15.75" customHeight="1" x14ac:dyDescent="0.25">
      <c r="A127" s="87">
        <v>118</v>
      </c>
      <c r="B127" s="88"/>
      <c r="C127" s="88"/>
      <c r="D127" s="88"/>
      <c r="E127" s="88"/>
      <c r="F127" s="88"/>
      <c r="G127" s="88"/>
      <c r="H127" s="88"/>
      <c r="I127" s="88"/>
      <c r="J127" s="88"/>
      <c r="K127" s="88"/>
      <c r="L127" s="88"/>
      <c r="M127" s="88"/>
      <c r="N127" s="88"/>
    </row>
    <row r="128" spans="1:14" ht="15.75" customHeight="1" x14ac:dyDescent="0.25">
      <c r="A128" s="85">
        <v>119</v>
      </c>
      <c r="B128" s="86"/>
      <c r="C128" s="86"/>
      <c r="D128" s="86"/>
      <c r="E128" s="86"/>
      <c r="F128" s="86"/>
      <c r="G128" s="86"/>
      <c r="H128" s="86"/>
      <c r="I128" s="86"/>
      <c r="J128" s="86"/>
      <c r="K128" s="86"/>
      <c r="L128" s="86"/>
      <c r="M128" s="86"/>
      <c r="N128" s="86"/>
    </row>
    <row r="129" spans="1:14" ht="15.75" customHeight="1" x14ac:dyDescent="0.25">
      <c r="A129" s="87">
        <v>120</v>
      </c>
      <c r="B129" s="88"/>
      <c r="C129" s="88"/>
      <c r="D129" s="88"/>
      <c r="E129" s="88"/>
      <c r="F129" s="88"/>
      <c r="G129" s="88"/>
      <c r="H129" s="88"/>
      <c r="I129" s="88"/>
      <c r="J129" s="88"/>
      <c r="K129" s="88"/>
      <c r="L129" s="88"/>
      <c r="M129" s="88"/>
      <c r="N129" s="88"/>
    </row>
    <row r="130" spans="1:14" ht="15.75" customHeight="1" x14ac:dyDescent="0.25">
      <c r="A130" s="85">
        <v>121</v>
      </c>
      <c r="B130" s="86"/>
      <c r="C130" s="86"/>
      <c r="D130" s="86"/>
      <c r="E130" s="86"/>
      <c r="F130" s="86"/>
      <c r="G130" s="86"/>
      <c r="H130" s="86"/>
      <c r="I130" s="86"/>
      <c r="J130" s="86"/>
      <c r="K130" s="86"/>
      <c r="L130" s="86"/>
      <c r="M130" s="86"/>
      <c r="N130" s="86"/>
    </row>
    <row r="131" spans="1:14" ht="15.75" customHeight="1" x14ac:dyDescent="0.25">
      <c r="A131" s="87">
        <v>122</v>
      </c>
      <c r="B131" s="88"/>
      <c r="C131" s="88"/>
      <c r="D131" s="88"/>
      <c r="E131" s="88"/>
      <c r="F131" s="88"/>
      <c r="G131" s="88"/>
      <c r="H131" s="88"/>
      <c r="I131" s="88"/>
      <c r="J131" s="88"/>
      <c r="K131" s="88"/>
      <c r="L131" s="88"/>
      <c r="M131" s="88"/>
      <c r="N131" s="88"/>
    </row>
    <row r="132" spans="1:14" ht="15.75" customHeight="1" x14ac:dyDescent="0.25">
      <c r="A132" s="85">
        <v>123</v>
      </c>
      <c r="B132" s="86"/>
      <c r="C132" s="86"/>
      <c r="D132" s="86"/>
      <c r="E132" s="86"/>
      <c r="F132" s="86"/>
      <c r="G132" s="86"/>
      <c r="H132" s="86"/>
      <c r="I132" s="86"/>
      <c r="J132" s="86"/>
      <c r="K132" s="86"/>
      <c r="L132" s="86"/>
      <c r="M132" s="86"/>
      <c r="N132" s="86"/>
    </row>
    <row r="133" spans="1:14" ht="15.75" customHeight="1" x14ac:dyDescent="0.25">
      <c r="A133" s="87">
        <v>124</v>
      </c>
      <c r="B133" s="88"/>
      <c r="C133" s="88"/>
      <c r="D133" s="88"/>
      <c r="E133" s="88"/>
      <c r="F133" s="88"/>
      <c r="G133" s="88"/>
      <c r="H133" s="88"/>
      <c r="I133" s="88"/>
      <c r="J133" s="88"/>
      <c r="K133" s="88"/>
      <c r="L133" s="88"/>
      <c r="M133" s="88"/>
      <c r="N133" s="88"/>
    </row>
    <row r="134" spans="1:14" ht="15.75" customHeight="1" x14ac:dyDescent="0.25">
      <c r="A134" s="85">
        <v>125</v>
      </c>
      <c r="B134" s="86"/>
      <c r="C134" s="86"/>
      <c r="D134" s="86"/>
      <c r="E134" s="86"/>
      <c r="F134" s="86"/>
      <c r="G134" s="86"/>
      <c r="H134" s="86"/>
      <c r="I134" s="86"/>
      <c r="J134" s="86"/>
      <c r="K134" s="86"/>
      <c r="L134" s="86"/>
      <c r="M134" s="86"/>
      <c r="N134" s="86"/>
    </row>
    <row r="135" spans="1:14" ht="15.75" customHeight="1" x14ac:dyDescent="0.25">
      <c r="A135" s="87">
        <v>126</v>
      </c>
      <c r="B135" s="88"/>
      <c r="C135" s="88"/>
      <c r="D135" s="88"/>
      <c r="E135" s="88"/>
      <c r="F135" s="88"/>
      <c r="G135" s="88"/>
      <c r="H135" s="88"/>
      <c r="I135" s="88"/>
      <c r="J135" s="88"/>
      <c r="K135" s="88"/>
      <c r="L135" s="88"/>
      <c r="M135" s="88"/>
      <c r="N135" s="88"/>
    </row>
    <row r="136" spans="1:14" ht="15.75" customHeight="1" x14ac:dyDescent="0.25">
      <c r="A136" s="85">
        <v>127</v>
      </c>
      <c r="B136" s="86"/>
      <c r="C136" s="86"/>
      <c r="D136" s="86"/>
      <c r="E136" s="86"/>
      <c r="F136" s="86"/>
      <c r="G136" s="86"/>
      <c r="H136" s="86"/>
      <c r="I136" s="86"/>
      <c r="J136" s="86"/>
      <c r="K136" s="86"/>
      <c r="L136" s="86"/>
      <c r="M136" s="86"/>
      <c r="N136" s="86"/>
    </row>
    <row r="137" spans="1:14" ht="15.75" customHeight="1" x14ac:dyDescent="0.25">
      <c r="A137" s="87">
        <v>128</v>
      </c>
      <c r="B137" s="88"/>
      <c r="C137" s="88"/>
      <c r="D137" s="88"/>
      <c r="E137" s="88"/>
      <c r="F137" s="88"/>
      <c r="G137" s="88"/>
      <c r="H137" s="88"/>
      <c r="I137" s="88"/>
      <c r="J137" s="88"/>
      <c r="K137" s="88"/>
      <c r="L137" s="88"/>
      <c r="M137" s="88"/>
      <c r="N137" s="88"/>
    </row>
    <row r="138" spans="1:14" ht="15.75" customHeight="1" x14ac:dyDescent="0.25">
      <c r="A138" s="85">
        <v>129</v>
      </c>
      <c r="B138" s="86"/>
      <c r="C138" s="86"/>
      <c r="D138" s="86"/>
      <c r="E138" s="86"/>
      <c r="F138" s="86"/>
      <c r="G138" s="86"/>
      <c r="H138" s="86"/>
      <c r="I138" s="86"/>
      <c r="J138" s="86"/>
      <c r="K138" s="86"/>
      <c r="L138" s="86"/>
      <c r="M138" s="86"/>
      <c r="N138" s="86"/>
    </row>
    <row r="139" spans="1:14" ht="15.75" customHeight="1" x14ac:dyDescent="0.25">
      <c r="A139" s="87">
        <v>130</v>
      </c>
      <c r="B139" s="88"/>
      <c r="C139" s="88"/>
      <c r="D139" s="88"/>
      <c r="E139" s="88"/>
      <c r="F139" s="88"/>
      <c r="G139" s="88"/>
      <c r="H139" s="88"/>
      <c r="I139" s="88"/>
      <c r="J139" s="88"/>
      <c r="K139" s="88"/>
      <c r="L139" s="88"/>
      <c r="M139" s="88"/>
      <c r="N139" s="88"/>
    </row>
    <row r="140" spans="1:14" ht="15.75" customHeight="1" x14ac:dyDescent="0.25">
      <c r="A140" s="85">
        <v>131</v>
      </c>
      <c r="B140" s="86"/>
      <c r="C140" s="86"/>
      <c r="D140" s="86"/>
      <c r="E140" s="86"/>
      <c r="F140" s="86"/>
      <c r="G140" s="86"/>
      <c r="H140" s="86"/>
      <c r="I140" s="86"/>
      <c r="J140" s="86"/>
      <c r="K140" s="86"/>
      <c r="L140" s="86"/>
      <c r="M140" s="86"/>
      <c r="N140" s="86"/>
    </row>
    <row r="141" spans="1:14" ht="15.75" customHeight="1" x14ac:dyDescent="0.25">
      <c r="A141" s="87">
        <v>132</v>
      </c>
      <c r="B141" s="88"/>
      <c r="C141" s="88"/>
      <c r="D141" s="88"/>
      <c r="E141" s="88"/>
      <c r="F141" s="88"/>
      <c r="G141" s="88"/>
      <c r="H141" s="88"/>
      <c r="I141" s="88"/>
      <c r="J141" s="88"/>
      <c r="K141" s="88"/>
      <c r="L141" s="88"/>
      <c r="M141" s="88"/>
      <c r="N141" s="88"/>
    </row>
    <row r="142" spans="1:14" ht="15.75" customHeight="1" x14ac:dyDescent="0.25">
      <c r="A142" s="85">
        <v>133</v>
      </c>
      <c r="B142" s="86"/>
      <c r="C142" s="86"/>
      <c r="D142" s="86"/>
      <c r="E142" s="86"/>
      <c r="F142" s="86"/>
      <c r="G142" s="86"/>
      <c r="H142" s="86"/>
      <c r="I142" s="86"/>
      <c r="J142" s="86"/>
      <c r="K142" s="86"/>
      <c r="L142" s="86"/>
      <c r="M142" s="86"/>
      <c r="N142" s="86"/>
    </row>
    <row r="143" spans="1:14" ht="15.75" customHeight="1" x14ac:dyDescent="0.25">
      <c r="A143" s="87">
        <v>134</v>
      </c>
      <c r="B143" s="88"/>
      <c r="C143" s="88"/>
      <c r="D143" s="88"/>
      <c r="E143" s="88"/>
      <c r="F143" s="88"/>
      <c r="G143" s="88"/>
      <c r="H143" s="88"/>
      <c r="I143" s="88"/>
      <c r="J143" s="88"/>
      <c r="K143" s="88"/>
      <c r="L143" s="88"/>
      <c r="M143" s="88"/>
      <c r="N143" s="88"/>
    </row>
    <row r="144" spans="1:14" ht="15.75" customHeight="1" x14ac:dyDescent="0.25">
      <c r="A144" s="85">
        <v>135</v>
      </c>
      <c r="B144" s="86"/>
      <c r="C144" s="86"/>
      <c r="D144" s="86"/>
      <c r="E144" s="86"/>
      <c r="F144" s="86"/>
      <c r="G144" s="86"/>
      <c r="H144" s="86"/>
      <c r="I144" s="86"/>
      <c r="J144" s="86"/>
      <c r="K144" s="86"/>
      <c r="L144" s="86"/>
      <c r="M144" s="86"/>
      <c r="N144" s="86"/>
    </row>
    <row r="145" spans="1:14" ht="15.75" customHeight="1" x14ac:dyDescent="0.25">
      <c r="A145" s="87">
        <v>136</v>
      </c>
      <c r="B145" s="88"/>
      <c r="C145" s="88"/>
      <c r="D145" s="88"/>
      <c r="E145" s="88"/>
      <c r="F145" s="88"/>
      <c r="G145" s="88"/>
      <c r="H145" s="88"/>
      <c r="I145" s="88"/>
      <c r="J145" s="88"/>
      <c r="K145" s="88"/>
      <c r="L145" s="88"/>
      <c r="M145" s="88"/>
      <c r="N145" s="88"/>
    </row>
    <row r="146" spans="1:14" ht="15.75" customHeight="1" x14ac:dyDescent="0.25">
      <c r="A146" s="85">
        <v>137</v>
      </c>
      <c r="B146" s="86"/>
      <c r="C146" s="86"/>
      <c r="D146" s="86"/>
      <c r="E146" s="86"/>
      <c r="F146" s="86"/>
      <c r="G146" s="86"/>
      <c r="H146" s="86"/>
      <c r="I146" s="86"/>
      <c r="J146" s="86"/>
      <c r="K146" s="86"/>
      <c r="L146" s="86"/>
      <c r="M146" s="86"/>
      <c r="N146" s="86"/>
    </row>
    <row r="147" spans="1:14" ht="15.75" customHeight="1" x14ac:dyDescent="0.25">
      <c r="A147" s="87">
        <v>138</v>
      </c>
      <c r="B147" s="88"/>
      <c r="C147" s="88"/>
      <c r="D147" s="88"/>
      <c r="E147" s="88"/>
      <c r="F147" s="88"/>
      <c r="G147" s="88"/>
      <c r="H147" s="88"/>
      <c r="I147" s="88"/>
      <c r="J147" s="88"/>
      <c r="K147" s="88"/>
      <c r="L147" s="88"/>
      <c r="M147" s="88"/>
      <c r="N147" s="88"/>
    </row>
    <row r="148" spans="1:14" ht="15.75" customHeight="1" x14ac:dyDescent="0.25">
      <c r="A148" s="85">
        <v>139</v>
      </c>
      <c r="B148" s="86"/>
      <c r="C148" s="86"/>
      <c r="D148" s="86"/>
      <c r="E148" s="86"/>
      <c r="F148" s="86"/>
      <c r="G148" s="86"/>
      <c r="H148" s="86"/>
      <c r="I148" s="86"/>
      <c r="J148" s="86"/>
      <c r="K148" s="86"/>
      <c r="L148" s="86"/>
      <c r="M148" s="86"/>
      <c r="N148" s="86"/>
    </row>
    <row r="149" spans="1:14" ht="15.75" customHeight="1" x14ac:dyDescent="0.25">
      <c r="A149" s="87">
        <v>140</v>
      </c>
      <c r="B149" s="88"/>
      <c r="C149" s="88"/>
      <c r="D149" s="88"/>
      <c r="E149" s="88"/>
      <c r="F149" s="88"/>
      <c r="G149" s="88"/>
      <c r="H149" s="88"/>
      <c r="I149" s="88"/>
      <c r="J149" s="88"/>
      <c r="K149" s="88"/>
      <c r="L149" s="88"/>
      <c r="M149" s="88"/>
      <c r="N149" s="88"/>
    </row>
    <row r="150" spans="1:14" ht="15.75" customHeight="1" x14ac:dyDescent="0.25">
      <c r="A150" s="85">
        <v>141</v>
      </c>
      <c r="B150" s="86"/>
      <c r="C150" s="86"/>
      <c r="D150" s="86"/>
      <c r="E150" s="86"/>
      <c r="F150" s="86"/>
      <c r="G150" s="86"/>
      <c r="H150" s="86"/>
      <c r="I150" s="86"/>
      <c r="J150" s="86"/>
      <c r="K150" s="86"/>
      <c r="L150" s="86"/>
      <c r="M150" s="86"/>
      <c r="N150" s="86"/>
    </row>
    <row r="151" spans="1:14" ht="15.75" customHeight="1" x14ac:dyDescent="0.25">
      <c r="A151" s="87">
        <v>142</v>
      </c>
      <c r="B151" s="88"/>
      <c r="C151" s="88"/>
      <c r="D151" s="88"/>
      <c r="E151" s="88"/>
      <c r="F151" s="88"/>
      <c r="G151" s="88"/>
      <c r="H151" s="88"/>
      <c r="I151" s="88"/>
      <c r="J151" s="88"/>
      <c r="K151" s="88"/>
      <c r="L151" s="88"/>
      <c r="M151" s="88"/>
      <c r="N151" s="88"/>
    </row>
    <row r="152" spans="1:14" ht="15.75" customHeight="1" x14ac:dyDescent="0.25">
      <c r="A152" s="85">
        <v>143</v>
      </c>
      <c r="B152" s="86"/>
      <c r="C152" s="86"/>
      <c r="D152" s="86"/>
      <c r="E152" s="86"/>
      <c r="F152" s="86"/>
      <c r="G152" s="86"/>
      <c r="H152" s="86"/>
      <c r="I152" s="86"/>
      <c r="J152" s="86"/>
      <c r="K152" s="86"/>
      <c r="L152" s="86"/>
      <c r="M152" s="86"/>
      <c r="N152" s="86"/>
    </row>
    <row r="153" spans="1:14" ht="15.75" customHeight="1" x14ac:dyDescent="0.25">
      <c r="A153" s="87">
        <v>144</v>
      </c>
      <c r="B153" s="88"/>
      <c r="C153" s="88"/>
      <c r="D153" s="88"/>
      <c r="E153" s="88"/>
      <c r="F153" s="88"/>
      <c r="G153" s="88"/>
      <c r="H153" s="88"/>
      <c r="I153" s="88"/>
      <c r="J153" s="88"/>
      <c r="K153" s="88"/>
      <c r="L153" s="88"/>
      <c r="M153" s="88"/>
      <c r="N153" s="88"/>
    </row>
    <row r="154" spans="1:14" ht="15.75" customHeight="1" x14ac:dyDescent="0.25">
      <c r="A154" s="85">
        <v>145</v>
      </c>
      <c r="B154" s="86"/>
      <c r="C154" s="86"/>
      <c r="D154" s="86"/>
      <c r="E154" s="86"/>
      <c r="F154" s="86"/>
      <c r="G154" s="86"/>
      <c r="H154" s="86"/>
      <c r="I154" s="86"/>
      <c r="J154" s="86"/>
      <c r="K154" s="86"/>
      <c r="L154" s="86"/>
      <c r="M154" s="86"/>
      <c r="N154" s="86"/>
    </row>
    <row r="155" spans="1:14" ht="15.75" customHeight="1" x14ac:dyDescent="0.25">
      <c r="A155" s="87">
        <v>146</v>
      </c>
      <c r="B155" s="88"/>
      <c r="C155" s="88"/>
      <c r="D155" s="88"/>
      <c r="E155" s="88"/>
      <c r="F155" s="88"/>
      <c r="G155" s="88"/>
      <c r="H155" s="88"/>
      <c r="I155" s="88"/>
      <c r="J155" s="88"/>
      <c r="K155" s="88"/>
      <c r="L155" s="88"/>
      <c r="M155" s="88"/>
      <c r="N155" s="88"/>
    </row>
    <row r="156" spans="1:14" ht="15.75" customHeight="1" x14ac:dyDescent="0.25">
      <c r="A156" s="85">
        <v>147</v>
      </c>
      <c r="B156" s="86"/>
      <c r="C156" s="86"/>
      <c r="D156" s="86"/>
      <c r="E156" s="86"/>
      <c r="F156" s="86"/>
      <c r="G156" s="86"/>
      <c r="H156" s="86"/>
      <c r="I156" s="86"/>
      <c r="J156" s="86"/>
      <c r="K156" s="86"/>
      <c r="L156" s="86"/>
      <c r="M156" s="86"/>
      <c r="N156" s="86"/>
    </row>
    <row r="157" spans="1:14" ht="15.75" customHeight="1" x14ac:dyDescent="0.25">
      <c r="A157" s="87">
        <v>148</v>
      </c>
      <c r="B157" s="88"/>
      <c r="C157" s="88"/>
      <c r="D157" s="88"/>
      <c r="E157" s="88"/>
      <c r="F157" s="88"/>
      <c r="G157" s="88"/>
      <c r="H157" s="88"/>
      <c r="I157" s="88"/>
      <c r="J157" s="88"/>
      <c r="K157" s="88"/>
      <c r="L157" s="88"/>
      <c r="M157" s="88"/>
      <c r="N157" s="88"/>
    </row>
    <row r="158" spans="1:14" ht="15.75" customHeight="1" x14ac:dyDescent="0.25">
      <c r="A158" s="85">
        <v>149</v>
      </c>
      <c r="B158" s="86"/>
      <c r="C158" s="86"/>
      <c r="D158" s="86"/>
      <c r="E158" s="86"/>
      <c r="F158" s="86"/>
      <c r="G158" s="86"/>
      <c r="H158" s="86"/>
      <c r="I158" s="86"/>
      <c r="J158" s="86"/>
      <c r="K158" s="86"/>
      <c r="L158" s="86"/>
      <c r="M158" s="86"/>
      <c r="N158" s="86"/>
    </row>
    <row r="159" spans="1:14" ht="15.75" customHeight="1" x14ac:dyDescent="0.25">
      <c r="A159" s="87">
        <v>150</v>
      </c>
      <c r="B159" s="88"/>
      <c r="C159" s="88"/>
      <c r="D159" s="88"/>
      <c r="E159" s="88"/>
      <c r="F159" s="88"/>
      <c r="G159" s="88"/>
      <c r="H159" s="88"/>
      <c r="I159" s="88"/>
      <c r="J159" s="88"/>
      <c r="K159" s="88"/>
      <c r="L159" s="88"/>
      <c r="M159" s="88"/>
      <c r="N159" s="88"/>
    </row>
    <row r="160" spans="1:14" ht="15.75" customHeight="1" x14ac:dyDescent="0.25">
      <c r="A160" s="85">
        <v>151</v>
      </c>
      <c r="B160" s="86"/>
      <c r="C160" s="86"/>
      <c r="D160" s="86"/>
      <c r="E160" s="86"/>
      <c r="F160" s="86"/>
      <c r="G160" s="86"/>
      <c r="H160" s="86"/>
      <c r="I160" s="86"/>
      <c r="J160" s="86"/>
      <c r="K160" s="86"/>
      <c r="L160" s="86"/>
      <c r="M160" s="86"/>
      <c r="N160" s="86"/>
    </row>
    <row r="161" spans="1:14" ht="15.75" customHeight="1" x14ac:dyDescent="0.25">
      <c r="A161" s="87">
        <v>152</v>
      </c>
      <c r="B161" s="88"/>
      <c r="C161" s="88"/>
      <c r="D161" s="88"/>
      <c r="E161" s="88"/>
      <c r="F161" s="88"/>
      <c r="G161" s="88"/>
      <c r="H161" s="88"/>
      <c r="I161" s="88"/>
      <c r="J161" s="88"/>
      <c r="K161" s="88"/>
      <c r="L161" s="88"/>
      <c r="M161" s="88"/>
      <c r="N161" s="88"/>
    </row>
    <row r="162" spans="1:14" ht="15.75" customHeight="1" x14ac:dyDescent="0.25">
      <c r="A162" s="85">
        <v>153</v>
      </c>
      <c r="B162" s="86"/>
      <c r="C162" s="86"/>
      <c r="D162" s="86"/>
      <c r="E162" s="86"/>
      <c r="F162" s="86"/>
      <c r="G162" s="86"/>
      <c r="H162" s="86"/>
      <c r="I162" s="86"/>
      <c r="J162" s="86"/>
      <c r="K162" s="86"/>
      <c r="L162" s="86"/>
      <c r="M162" s="86"/>
      <c r="N162" s="86"/>
    </row>
    <row r="163" spans="1:14" ht="15.75" customHeight="1" x14ac:dyDescent="0.25">
      <c r="A163" s="87">
        <v>154</v>
      </c>
      <c r="B163" s="88"/>
      <c r="C163" s="88"/>
      <c r="D163" s="88"/>
      <c r="E163" s="88"/>
      <c r="F163" s="88"/>
      <c r="G163" s="88"/>
      <c r="H163" s="88"/>
      <c r="I163" s="88"/>
      <c r="J163" s="88"/>
      <c r="K163" s="88"/>
      <c r="L163" s="88"/>
      <c r="M163" s="88"/>
      <c r="N163" s="88"/>
    </row>
    <row r="164" spans="1:14" ht="15.75" customHeight="1" x14ac:dyDescent="0.25">
      <c r="A164" s="85">
        <v>155</v>
      </c>
      <c r="B164" s="86"/>
      <c r="C164" s="86"/>
      <c r="D164" s="86"/>
      <c r="E164" s="86"/>
      <c r="F164" s="86"/>
      <c r="G164" s="86"/>
      <c r="H164" s="86"/>
      <c r="I164" s="86"/>
      <c r="J164" s="86"/>
      <c r="K164" s="86"/>
      <c r="L164" s="86"/>
      <c r="M164" s="86"/>
      <c r="N164" s="86"/>
    </row>
    <row r="165" spans="1:14" ht="15.75" customHeight="1" x14ac:dyDescent="0.25">
      <c r="A165" s="87">
        <v>156</v>
      </c>
      <c r="B165" s="88"/>
      <c r="C165" s="88"/>
      <c r="D165" s="88"/>
      <c r="E165" s="88"/>
      <c r="F165" s="88"/>
      <c r="G165" s="88"/>
      <c r="H165" s="88"/>
      <c r="I165" s="88"/>
      <c r="J165" s="88"/>
      <c r="K165" s="88"/>
      <c r="L165" s="88"/>
      <c r="M165" s="88"/>
      <c r="N165" s="88"/>
    </row>
    <row r="166" spans="1:14" ht="15.75" customHeight="1" x14ac:dyDescent="0.25">
      <c r="A166" s="85">
        <v>157</v>
      </c>
      <c r="B166" s="86"/>
      <c r="C166" s="86"/>
      <c r="D166" s="86"/>
      <c r="E166" s="86"/>
      <c r="F166" s="86"/>
      <c r="G166" s="86"/>
      <c r="H166" s="86"/>
      <c r="I166" s="86"/>
      <c r="J166" s="86"/>
      <c r="K166" s="86"/>
      <c r="L166" s="86"/>
      <c r="M166" s="86"/>
      <c r="N166" s="86"/>
    </row>
    <row r="167" spans="1:14" ht="15.75" customHeight="1" x14ac:dyDescent="0.25">
      <c r="A167" s="87">
        <v>158</v>
      </c>
      <c r="B167" s="88"/>
      <c r="C167" s="88"/>
      <c r="D167" s="88"/>
      <c r="E167" s="88"/>
      <c r="F167" s="88"/>
      <c r="G167" s="88"/>
      <c r="H167" s="88"/>
      <c r="I167" s="88"/>
      <c r="J167" s="88"/>
      <c r="K167" s="88"/>
      <c r="L167" s="88"/>
      <c r="M167" s="88"/>
      <c r="N167" s="88"/>
    </row>
    <row r="168" spans="1:14" ht="15.75" customHeight="1" x14ac:dyDescent="0.25">
      <c r="A168" s="85">
        <v>159</v>
      </c>
      <c r="B168" s="86"/>
      <c r="C168" s="86"/>
      <c r="D168" s="86"/>
      <c r="E168" s="86"/>
      <c r="F168" s="86"/>
      <c r="G168" s="86"/>
      <c r="H168" s="86"/>
      <c r="I168" s="86"/>
      <c r="J168" s="86"/>
      <c r="K168" s="86"/>
      <c r="L168" s="86"/>
      <c r="M168" s="86"/>
      <c r="N168" s="86"/>
    </row>
    <row r="169" spans="1:14" ht="15.75" customHeight="1" x14ac:dyDescent="0.25">
      <c r="A169" s="87">
        <v>160</v>
      </c>
      <c r="B169" s="88"/>
      <c r="C169" s="88"/>
      <c r="D169" s="88"/>
      <c r="E169" s="88"/>
      <c r="F169" s="88"/>
      <c r="G169" s="88"/>
      <c r="H169" s="88"/>
      <c r="I169" s="88"/>
      <c r="J169" s="88"/>
      <c r="K169" s="88"/>
      <c r="L169" s="88"/>
      <c r="M169" s="88"/>
      <c r="N169" s="88"/>
    </row>
    <row r="170" spans="1:14" ht="15.75" customHeight="1" x14ac:dyDescent="0.25">
      <c r="A170" s="85">
        <v>161</v>
      </c>
      <c r="B170" s="86"/>
      <c r="C170" s="86"/>
      <c r="D170" s="86"/>
      <c r="E170" s="86"/>
      <c r="F170" s="86"/>
      <c r="G170" s="86"/>
      <c r="H170" s="86"/>
      <c r="I170" s="86"/>
      <c r="J170" s="86"/>
      <c r="K170" s="86"/>
      <c r="L170" s="86"/>
      <c r="M170" s="86"/>
      <c r="N170" s="86"/>
    </row>
    <row r="171" spans="1:14" ht="15.75" customHeight="1" x14ac:dyDescent="0.25">
      <c r="A171" s="87">
        <v>162</v>
      </c>
      <c r="B171" s="88"/>
      <c r="C171" s="88"/>
      <c r="D171" s="88"/>
      <c r="E171" s="88"/>
      <c r="F171" s="88"/>
      <c r="G171" s="88"/>
      <c r="H171" s="88"/>
      <c r="I171" s="88"/>
      <c r="J171" s="88"/>
      <c r="K171" s="88"/>
      <c r="L171" s="88"/>
      <c r="M171" s="88"/>
      <c r="N171" s="88"/>
    </row>
    <row r="172" spans="1:14" ht="15.75" customHeight="1" x14ac:dyDescent="0.25">
      <c r="A172" s="85">
        <v>163</v>
      </c>
      <c r="B172" s="86"/>
      <c r="C172" s="86"/>
      <c r="D172" s="86"/>
      <c r="E172" s="86"/>
      <c r="F172" s="86"/>
      <c r="G172" s="86"/>
      <c r="H172" s="86"/>
      <c r="I172" s="86"/>
      <c r="J172" s="86"/>
      <c r="K172" s="86"/>
      <c r="L172" s="86"/>
      <c r="M172" s="86"/>
      <c r="N172" s="86"/>
    </row>
    <row r="173" spans="1:14" ht="15.75" customHeight="1" x14ac:dyDescent="0.25">
      <c r="A173" s="87">
        <v>164</v>
      </c>
      <c r="B173" s="88"/>
      <c r="C173" s="88"/>
      <c r="D173" s="88"/>
      <c r="E173" s="88"/>
      <c r="F173" s="88"/>
      <c r="G173" s="88"/>
      <c r="H173" s="88"/>
      <c r="I173" s="88"/>
      <c r="J173" s="88"/>
      <c r="K173" s="88"/>
      <c r="L173" s="88"/>
      <c r="M173" s="88"/>
      <c r="N173" s="88"/>
    </row>
    <row r="174" spans="1:14" ht="15.75" customHeight="1" x14ac:dyDescent="0.25">
      <c r="A174" s="85">
        <v>165</v>
      </c>
      <c r="B174" s="86"/>
      <c r="C174" s="86"/>
      <c r="D174" s="86"/>
      <c r="E174" s="86"/>
      <c r="F174" s="86"/>
      <c r="G174" s="86"/>
      <c r="H174" s="86"/>
      <c r="I174" s="86"/>
      <c r="J174" s="86"/>
      <c r="K174" s="86"/>
      <c r="L174" s="86"/>
      <c r="M174" s="86"/>
      <c r="N174" s="86"/>
    </row>
    <row r="175" spans="1:14" ht="15.75" customHeight="1" x14ac:dyDescent="0.25">
      <c r="A175" s="87">
        <v>166</v>
      </c>
      <c r="B175" s="88"/>
      <c r="C175" s="88"/>
      <c r="D175" s="88"/>
      <c r="E175" s="88"/>
      <c r="F175" s="88"/>
      <c r="G175" s="88"/>
      <c r="H175" s="88"/>
      <c r="I175" s="88"/>
      <c r="J175" s="88"/>
      <c r="K175" s="88"/>
      <c r="L175" s="88"/>
      <c r="M175" s="88"/>
      <c r="N175" s="88"/>
    </row>
    <row r="176" spans="1:14" ht="15.75" customHeight="1" x14ac:dyDescent="0.25">
      <c r="A176" s="85">
        <v>167</v>
      </c>
      <c r="B176" s="86"/>
      <c r="C176" s="86"/>
      <c r="D176" s="86"/>
      <c r="E176" s="86"/>
      <c r="F176" s="86"/>
      <c r="G176" s="86"/>
      <c r="H176" s="86"/>
      <c r="I176" s="86"/>
      <c r="J176" s="86"/>
      <c r="K176" s="86"/>
      <c r="L176" s="86"/>
      <c r="M176" s="86"/>
      <c r="N176" s="86"/>
    </row>
    <row r="177" spans="1:14" ht="15.75" customHeight="1" x14ac:dyDescent="0.25">
      <c r="A177" s="87">
        <v>168</v>
      </c>
      <c r="B177" s="88"/>
      <c r="C177" s="88"/>
      <c r="D177" s="88"/>
      <c r="E177" s="88"/>
      <c r="F177" s="88"/>
      <c r="G177" s="88"/>
      <c r="H177" s="88"/>
      <c r="I177" s="88"/>
      <c r="J177" s="88"/>
      <c r="K177" s="88"/>
      <c r="L177" s="88"/>
      <c r="M177" s="88"/>
      <c r="N177" s="88"/>
    </row>
    <row r="178" spans="1:14" ht="15.75" customHeight="1" x14ac:dyDescent="0.25">
      <c r="A178" s="85">
        <v>169</v>
      </c>
      <c r="B178" s="86"/>
      <c r="C178" s="86"/>
      <c r="D178" s="86"/>
      <c r="E178" s="86"/>
      <c r="F178" s="86"/>
      <c r="G178" s="86"/>
      <c r="H178" s="86"/>
      <c r="I178" s="86"/>
      <c r="J178" s="86"/>
      <c r="K178" s="86"/>
      <c r="L178" s="86"/>
      <c r="M178" s="86"/>
      <c r="N178" s="86"/>
    </row>
    <row r="179" spans="1:14" ht="15.75" customHeight="1" x14ac:dyDescent="0.25">
      <c r="A179" s="87">
        <v>170</v>
      </c>
      <c r="B179" s="88"/>
      <c r="C179" s="88"/>
      <c r="D179" s="88"/>
      <c r="E179" s="88"/>
      <c r="F179" s="88"/>
      <c r="G179" s="88"/>
      <c r="H179" s="88"/>
      <c r="I179" s="88"/>
      <c r="J179" s="88"/>
      <c r="K179" s="88"/>
      <c r="L179" s="88"/>
      <c r="M179" s="88"/>
      <c r="N179" s="88"/>
    </row>
    <row r="180" spans="1:14" ht="15.75" customHeight="1" x14ac:dyDescent="0.25">
      <c r="A180" s="85">
        <v>171</v>
      </c>
      <c r="B180" s="86"/>
      <c r="C180" s="86"/>
      <c r="D180" s="86"/>
      <c r="E180" s="86"/>
      <c r="F180" s="86"/>
      <c r="G180" s="86"/>
      <c r="H180" s="86"/>
      <c r="I180" s="86"/>
      <c r="J180" s="86"/>
      <c r="K180" s="86"/>
      <c r="L180" s="86"/>
      <c r="M180" s="86"/>
      <c r="N180" s="86"/>
    </row>
    <row r="181" spans="1:14" ht="15.75" customHeight="1" x14ac:dyDescent="0.25">
      <c r="A181" s="87">
        <v>172</v>
      </c>
      <c r="B181" s="88"/>
      <c r="C181" s="88"/>
      <c r="D181" s="88"/>
      <c r="E181" s="88"/>
      <c r="F181" s="88"/>
      <c r="G181" s="88"/>
      <c r="H181" s="88"/>
      <c r="I181" s="88"/>
      <c r="J181" s="88"/>
      <c r="K181" s="88"/>
      <c r="L181" s="88"/>
      <c r="M181" s="88"/>
      <c r="N181" s="88"/>
    </row>
    <row r="182" spans="1:14" ht="15.75" customHeight="1" x14ac:dyDescent="0.25">
      <c r="A182" s="85">
        <v>173</v>
      </c>
      <c r="B182" s="86"/>
      <c r="C182" s="86"/>
      <c r="D182" s="86"/>
      <c r="E182" s="86"/>
      <c r="F182" s="86"/>
      <c r="G182" s="86"/>
      <c r="H182" s="86"/>
      <c r="I182" s="86"/>
      <c r="J182" s="86"/>
      <c r="K182" s="86"/>
      <c r="L182" s="86"/>
      <c r="M182" s="86"/>
      <c r="N182" s="86"/>
    </row>
    <row r="183" spans="1:14" ht="15.75" customHeight="1" x14ac:dyDescent="0.25">
      <c r="A183" s="87">
        <v>174</v>
      </c>
      <c r="B183" s="88"/>
      <c r="C183" s="88"/>
      <c r="D183" s="88"/>
      <c r="E183" s="88"/>
      <c r="F183" s="88"/>
      <c r="G183" s="88"/>
      <c r="H183" s="88"/>
      <c r="I183" s="88"/>
      <c r="J183" s="88"/>
      <c r="K183" s="88"/>
      <c r="L183" s="88"/>
      <c r="M183" s="88"/>
      <c r="N183" s="88"/>
    </row>
    <row r="184" spans="1:14" ht="15.75" customHeight="1" x14ac:dyDescent="0.25">
      <c r="A184" s="85">
        <v>175</v>
      </c>
      <c r="B184" s="86"/>
      <c r="C184" s="86"/>
      <c r="D184" s="86"/>
      <c r="E184" s="86"/>
      <c r="F184" s="86"/>
      <c r="G184" s="86"/>
      <c r="H184" s="86"/>
      <c r="I184" s="86"/>
      <c r="J184" s="86"/>
      <c r="K184" s="86"/>
      <c r="L184" s="86"/>
      <c r="M184" s="86"/>
      <c r="N184" s="86"/>
    </row>
    <row r="185" spans="1:14" ht="15.75" customHeight="1" x14ac:dyDescent="0.25">
      <c r="A185" s="87">
        <v>176</v>
      </c>
      <c r="B185" s="88"/>
      <c r="C185" s="88"/>
      <c r="D185" s="88"/>
      <c r="E185" s="88"/>
      <c r="F185" s="88"/>
      <c r="G185" s="88"/>
      <c r="H185" s="88"/>
      <c r="I185" s="88"/>
      <c r="J185" s="88"/>
      <c r="K185" s="88"/>
      <c r="L185" s="88"/>
      <c r="M185" s="88"/>
      <c r="N185" s="88"/>
    </row>
    <row r="186" spans="1:14" ht="15.75" customHeight="1" x14ac:dyDescent="0.25">
      <c r="A186" s="85">
        <v>177</v>
      </c>
      <c r="B186" s="86"/>
      <c r="C186" s="86"/>
      <c r="D186" s="86"/>
      <c r="E186" s="86"/>
      <c r="F186" s="86"/>
      <c r="G186" s="86"/>
      <c r="H186" s="86"/>
      <c r="I186" s="86"/>
      <c r="J186" s="86"/>
      <c r="K186" s="86"/>
      <c r="L186" s="86"/>
      <c r="M186" s="86"/>
      <c r="N186" s="86"/>
    </row>
    <row r="187" spans="1:14" ht="15.75" customHeight="1" x14ac:dyDescent="0.25">
      <c r="A187" s="87">
        <v>178</v>
      </c>
      <c r="B187" s="88"/>
      <c r="C187" s="88"/>
      <c r="D187" s="88"/>
      <c r="E187" s="88"/>
      <c r="F187" s="88"/>
      <c r="G187" s="88"/>
      <c r="H187" s="88"/>
      <c r="I187" s="88"/>
      <c r="J187" s="88"/>
      <c r="K187" s="88"/>
      <c r="L187" s="88"/>
      <c r="M187" s="88"/>
      <c r="N187" s="88"/>
    </row>
    <row r="188" spans="1:14" ht="15.75" customHeight="1" x14ac:dyDescent="0.25">
      <c r="A188" s="85">
        <v>179</v>
      </c>
      <c r="B188" s="86"/>
      <c r="C188" s="86"/>
      <c r="D188" s="86"/>
      <c r="E188" s="86"/>
      <c r="F188" s="86"/>
      <c r="G188" s="86"/>
      <c r="H188" s="86"/>
      <c r="I188" s="86"/>
      <c r="J188" s="86"/>
      <c r="K188" s="86"/>
      <c r="L188" s="86"/>
      <c r="M188" s="86"/>
      <c r="N188" s="86"/>
    </row>
    <row r="189" spans="1:14" ht="15.75" customHeight="1" x14ac:dyDescent="0.25">
      <c r="A189" s="87">
        <v>180</v>
      </c>
      <c r="B189" s="88"/>
      <c r="C189" s="88"/>
      <c r="D189" s="88"/>
      <c r="E189" s="88"/>
      <c r="F189" s="88"/>
      <c r="G189" s="88"/>
      <c r="H189" s="88"/>
      <c r="I189" s="88"/>
      <c r="J189" s="88"/>
      <c r="K189" s="88"/>
      <c r="L189" s="88"/>
      <c r="M189" s="88"/>
      <c r="N189" s="88"/>
    </row>
    <row r="190" spans="1:14" ht="15.75" customHeight="1" x14ac:dyDescent="0.25">
      <c r="A190" s="85">
        <v>181</v>
      </c>
      <c r="B190" s="86"/>
      <c r="C190" s="86"/>
      <c r="D190" s="86"/>
      <c r="E190" s="86"/>
      <c r="F190" s="86"/>
      <c r="G190" s="86"/>
      <c r="H190" s="86"/>
      <c r="I190" s="86"/>
      <c r="J190" s="86"/>
      <c r="K190" s="86"/>
      <c r="L190" s="86"/>
      <c r="M190" s="86"/>
      <c r="N190" s="86"/>
    </row>
    <row r="191" spans="1:14" ht="15.75" customHeight="1" x14ac:dyDescent="0.25">
      <c r="A191" s="87">
        <v>182</v>
      </c>
      <c r="B191" s="88"/>
      <c r="C191" s="88"/>
      <c r="D191" s="88"/>
      <c r="E191" s="88"/>
      <c r="F191" s="88"/>
      <c r="G191" s="88"/>
      <c r="H191" s="88"/>
      <c r="I191" s="88"/>
      <c r="J191" s="88"/>
      <c r="K191" s="88"/>
      <c r="L191" s="88"/>
      <c r="M191" s="88"/>
      <c r="N191" s="88"/>
    </row>
    <row r="192" spans="1:14" ht="15.75" customHeight="1" x14ac:dyDescent="0.25">
      <c r="A192" s="85">
        <v>183</v>
      </c>
      <c r="B192" s="86"/>
      <c r="C192" s="86"/>
      <c r="D192" s="86"/>
      <c r="E192" s="86"/>
      <c r="F192" s="86"/>
      <c r="G192" s="86"/>
      <c r="H192" s="86"/>
      <c r="I192" s="86"/>
      <c r="J192" s="86"/>
      <c r="K192" s="86"/>
      <c r="L192" s="86"/>
      <c r="M192" s="86"/>
      <c r="N192" s="86"/>
    </row>
    <row r="193" spans="1:14" ht="15.75" customHeight="1" x14ac:dyDescent="0.25">
      <c r="A193" s="87">
        <v>184</v>
      </c>
      <c r="B193" s="88"/>
      <c r="C193" s="88"/>
      <c r="D193" s="88"/>
      <c r="E193" s="88"/>
      <c r="F193" s="88"/>
      <c r="G193" s="88"/>
      <c r="H193" s="88"/>
      <c r="I193" s="88"/>
      <c r="J193" s="88"/>
      <c r="K193" s="88"/>
      <c r="L193" s="88"/>
      <c r="M193" s="88"/>
      <c r="N193" s="88"/>
    </row>
    <row r="194" spans="1:14" ht="15.75" customHeight="1" x14ac:dyDescent="0.25">
      <c r="A194" s="85">
        <v>185</v>
      </c>
      <c r="B194" s="86"/>
      <c r="C194" s="86"/>
      <c r="D194" s="86"/>
      <c r="E194" s="86"/>
      <c r="F194" s="86"/>
      <c r="G194" s="86"/>
      <c r="H194" s="86"/>
      <c r="I194" s="86"/>
      <c r="J194" s="86"/>
      <c r="K194" s="86"/>
      <c r="L194" s="86"/>
      <c r="M194" s="86"/>
      <c r="N194" s="86"/>
    </row>
    <row r="195" spans="1:14" ht="15.75" customHeight="1" x14ac:dyDescent="0.25">
      <c r="A195" s="87">
        <v>186</v>
      </c>
      <c r="B195" s="88"/>
      <c r="C195" s="88"/>
      <c r="D195" s="88"/>
      <c r="E195" s="88"/>
      <c r="F195" s="88"/>
      <c r="G195" s="88"/>
      <c r="H195" s="88"/>
      <c r="I195" s="88"/>
      <c r="J195" s="88"/>
      <c r="K195" s="88"/>
      <c r="L195" s="88"/>
      <c r="M195" s="88"/>
      <c r="N195" s="88"/>
    </row>
    <row r="196" spans="1:14" ht="15.75" customHeight="1" x14ac:dyDescent="0.25">
      <c r="A196" s="85">
        <v>187</v>
      </c>
      <c r="B196" s="86"/>
      <c r="C196" s="86"/>
      <c r="D196" s="86"/>
      <c r="E196" s="86"/>
      <c r="F196" s="86"/>
      <c r="G196" s="86"/>
      <c r="H196" s="86"/>
      <c r="I196" s="86"/>
      <c r="J196" s="86"/>
      <c r="K196" s="86"/>
      <c r="L196" s="86"/>
      <c r="M196" s="86"/>
      <c r="N196" s="86"/>
    </row>
    <row r="197" spans="1:14" ht="15.75" customHeight="1" x14ac:dyDescent="0.25">
      <c r="A197" s="87">
        <v>188</v>
      </c>
      <c r="B197" s="88"/>
      <c r="C197" s="88"/>
      <c r="D197" s="88"/>
      <c r="E197" s="88"/>
      <c r="F197" s="88"/>
      <c r="G197" s="88"/>
      <c r="H197" s="88"/>
      <c r="I197" s="88"/>
      <c r="J197" s="88"/>
      <c r="K197" s="88"/>
      <c r="L197" s="88"/>
      <c r="M197" s="88"/>
      <c r="N197" s="88"/>
    </row>
    <row r="198" spans="1:14" ht="15.75" customHeight="1" x14ac:dyDescent="0.25">
      <c r="A198" s="85">
        <v>189</v>
      </c>
      <c r="B198" s="86"/>
      <c r="C198" s="86"/>
      <c r="D198" s="86"/>
      <c r="E198" s="86"/>
      <c r="F198" s="86"/>
      <c r="G198" s="86"/>
      <c r="H198" s="86"/>
      <c r="I198" s="86"/>
      <c r="J198" s="86"/>
      <c r="K198" s="86"/>
      <c r="L198" s="86"/>
      <c r="M198" s="86"/>
      <c r="N198" s="86"/>
    </row>
    <row r="199" spans="1:14" ht="15.75" customHeight="1" x14ac:dyDescent="0.25">
      <c r="A199" s="87">
        <v>190</v>
      </c>
      <c r="B199" s="88"/>
      <c r="C199" s="88"/>
      <c r="D199" s="88"/>
      <c r="E199" s="88"/>
      <c r="F199" s="88"/>
      <c r="G199" s="88"/>
      <c r="H199" s="88"/>
      <c r="I199" s="88"/>
      <c r="J199" s="88"/>
      <c r="K199" s="88"/>
      <c r="L199" s="88"/>
      <c r="M199" s="88"/>
      <c r="N199" s="88"/>
    </row>
    <row r="200" spans="1:14" ht="15.75" customHeight="1" x14ac:dyDescent="0.25">
      <c r="A200" s="85">
        <v>191</v>
      </c>
      <c r="B200" s="86"/>
      <c r="C200" s="86"/>
      <c r="D200" s="86"/>
      <c r="E200" s="86"/>
      <c r="F200" s="86"/>
      <c r="G200" s="86"/>
      <c r="H200" s="86"/>
      <c r="I200" s="86"/>
      <c r="J200" s="86"/>
      <c r="K200" s="86"/>
      <c r="L200" s="86"/>
      <c r="M200" s="86"/>
      <c r="N200" s="86"/>
    </row>
    <row r="201" spans="1:14" ht="15.75" customHeight="1" x14ac:dyDescent="0.25">
      <c r="A201" s="87">
        <v>192</v>
      </c>
      <c r="B201" s="88"/>
      <c r="C201" s="88"/>
      <c r="D201" s="88"/>
      <c r="E201" s="88"/>
      <c r="F201" s="88"/>
      <c r="G201" s="88"/>
      <c r="H201" s="88"/>
      <c r="I201" s="88"/>
      <c r="J201" s="88"/>
      <c r="K201" s="88"/>
      <c r="L201" s="88"/>
      <c r="M201" s="88"/>
      <c r="N201" s="88"/>
    </row>
    <row r="202" spans="1:14" ht="15.75" customHeight="1" x14ac:dyDescent="0.25">
      <c r="A202" s="85">
        <v>193</v>
      </c>
      <c r="B202" s="86"/>
      <c r="C202" s="86"/>
      <c r="D202" s="86"/>
      <c r="E202" s="86"/>
      <c r="F202" s="86"/>
      <c r="G202" s="86"/>
      <c r="H202" s="86"/>
      <c r="I202" s="86"/>
      <c r="J202" s="86"/>
      <c r="K202" s="86"/>
      <c r="L202" s="86"/>
      <c r="M202" s="86"/>
      <c r="N202" s="86"/>
    </row>
    <row r="203" spans="1:14" ht="15.75" customHeight="1" x14ac:dyDescent="0.25">
      <c r="A203" s="87">
        <v>194</v>
      </c>
      <c r="B203" s="88"/>
      <c r="C203" s="88"/>
      <c r="D203" s="88"/>
      <c r="E203" s="88"/>
      <c r="F203" s="88"/>
      <c r="G203" s="88"/>
      <c r="H203" s="88"/>
      <c r="I203" s="88"/>
      <c r="J203" s="88"/>
      <c r="K203" s="88"/>
      <c r="L203" s="88"/>
      <c r="M203" s="88"/>
      <c r="N203" s="88"/>
    </row>
    <row r="204" spans="1:14" ht="15.75" customHeight="1" x14ac:dyDescent="0.25">
      <c r="A204" s="85">
        <v>195</v>
      </c>
      <c r="B204" s="86"/>
      <c r="C204" s="86"/>
      <c r="D204" s="86"/>
      <c r="E204" s="86"/>
      <c r="F204" s="86"/>
      <c r="G204" s="86"/>
      <c r="H204" s="86"/>
      <c r="I204" s="86"/>
      <c r="J204" s="86"/>
      <c r="K204" s="86"/>
      <c r="L204" s="86"/>
      <c r="M204" s="86"/>
      <c r="N204" s="86"/>
    </row>
    <row r="205" spans="1:14" ht="15.75" customHeight="1" x14ac:dyDescent="0.25">
      <c r="A205" s="87">
        <v>196</v>
      </c>
      <c r="B205" s="88"/>
      <c r="C205" s="88"/>
      <c r="D205" s="88"/>
      <c r="E205" s="88"/>
      <c r="F205" s="88"/>
      <c r="G205" s="88"/>
      <c r="H205" s="88"/>
      <c r="I205" s="88"/>
      <c r="J205" s="88"/>
      <c r="K205" s="88"/>
      <c r="L205" s="88"/>
      <c r="M205" s="88"/>
      <c r="N205" s="88"/>
    </row>
    <row r="206" spans="1:14" ht="15.75" customHeight="1" x14ac:dyDescent="0.25">
      <c r="A206" s="85">
        <v>197</v>
      </c>
      <c r="B206" s="86"/>
      <c r="C206" s="86"/>
      <c r="D206" s="86"/>
      <c r="E206" s="86"/>
      <c r="F206" s="86"/>
      <c r="G206" s="86"/>
      <c r="H206" s="86"/>
      <c r="I206" s="86"/>
      <c r="J206" s="86"/>
      <c r="K206" s="86"/>
      <c r="L206" s="86"/>
      <c r="M206" s="86"/>
      <c r="N206" s="86"/>
    </row>
    <row r="207" spans="1:14" ht="15.75" customHeight="1" x14ac:dyDescent="0.25">
      <c r="A207" s="87">
        <v>198</v>
      </c>
      <c r="B207" s="88"/>
      <c r="C207" s="88"/>
      <c r="D207" s="88"/>
      <c r="E207" s="88"/>
      <c r="F207" s="88"/>
      <c r="G207" s="88"/>
      <c r="H207" s="88"/>
      <c r="I207" s="88"/>
      <c r="J207" s="88"/>
      <c r="K207" s="88"/>
      <c r="L207" s="88"/>
      <c r="M207" s="88"/>
      <c r="N207" s="88"/>
    </row>
    <row r="208" spans="1:14" ht="15.75" customHeight="1" x14ac:dyDescent="0.25">
      <c r="A208" s="85">
        <v>199</v>
      </c>
      <c r="B208" s="86"/>
      <c r="C208" s="86"/>
      <c r="D208" s="86"/>
      <c r="E208" s="86"/>
      <c r="F208" s="86"/>
      <c r="G208" s="86"/>
      <c r="H208" s="86"/>
      <c r="I208" s="86"/>
      <c r="J208" s="86"/>
      <c r="K208" s="86"/>
      <c r="L208" s="86"/>
      <c r="M208" s="86"/>
      <c r="N208" s="86"/>
    </row>
    <row r="209" spans="1:14" ht="15.75" customHeight="1" x14ac:dyDescent="0.25">
      <c r="A209" s="87">
        <v>200</v>
      </c>
      <c r="B209" s="88"/>
      <c r="C209" s="88"/>
      <c r="D209" s="88"/>
      <c r="E209" s="88"/>
      <c r="F209" s="88"/>
      <c r="G209" s="88"/>
      <c r="H209" s="88"/>
      <c r="I209" s="88"/>
      <c r="J209" s="88"/>
      <c r="K209" s="88"/>
      <c r="L209" s="88"/>
      <c r="M209" s="88"/>
      <c r="N209" s="88"/>
    </row>
    <row r="210" spans="1:14" ht="15.75" customHeight="1" x14ac:dyDescent="0.25">
      <c r="A210" s="85">
        <v>201</v>
      </c>
      <c r="B210" s="86"/>
      <c r="C210" s="86"/>
      <c r="D210" s="86"/>
      <c r="E210" s="86"/>
      <c r="F210" s="86"/>
      <c r="G210" s="86"/>
      <c r="H210" s="86"/>
      <c r="I210" s="86"/>
      <c r="J210" s="86"/>
      <c r="K210" s="86"/>
      <c r="L210" s="86"/>
      <c r="M210" s="86"/>
      <c r="N210" s="86"/>
    </row>
    <row r="211" spans="1:14" ht="15.75" customHeight="1" x14ac:dyDescent="0.25">
      <c r="A211" s="87">
        <v>202</v>
      </c>
      <c r="B211" s="88"/>
      <c r="C211" s="88"/>
      <c r="D211" s="88"/>
      <c r="E211" s="88"/>
      <c r="F211" s="88"/>
      <c r="G211" s="88"/>
      <c r="H211" s="88"/>
      <c r="I211" s="88"/>
      <c r="J211" s="88"/>
      <c r="K211" s="88"/>
      <c r="L211" s="88"/>
      <c r="M211" s="88"/>
      <c r="N211" s="88"/>
    </row>
    <row r="212" spans="1:14" ht="15.75" customHeight="1" x14ac:dyDescent="0.25">
      <c r="A212" s="85">
        <v>203</v>
      </c>
      <c r="B212" s="86"/>
      <c r="C212" s="86"/>
      <c r="D212" s="86"/>
      <c r="E212" s="86"/>
      <c r="F212" s="86"/>
      <c r="G212" s="86"/>
      <c r="H212" s="86"/>
      <c r="I212" s="86"/>
      <c r="J212" s="86"/>
      <c r="K212" s="86"/>
      <c r="L212" s="86"/>
      <c r="M212" s="86"/>
      <c r="N212" s="86"/>
    </row>
    <row r="213" spans="1:14" ht="15.75" customHeight="1" x14ac:dyDescent="0.25">
      <c r="A213" s="87">
        <v>204</v>
      </c>
      <c r="B213" s="88"/>
      <c r="C213" s="88"/>
      <c r="D213" s="88"/>
      <c r="E213" s="88"/>
      <c r="F213" s="88"/>
      <c r="G213" s="88"/>
      <c r="H213" s="88"/>
      <c r="I213" s="88"/>
      <c r="J213" s="88"/>
      <c r="K213" s="88"/>
      <c r="L213" s="88"/>
      <c r="M213" s="88"/>
      <c r="N213" s="88"/>
    </row>
    <row r="214" spans="1:14" ht="15.75" customHeight="1" x14ac:dyDescent="0.25">
      <c r="A214" s="85">
        <v>205</v>
      </c>
      <c r="B214" s="86"/>
      <c r="C214" s="86"/>
      <c r="D214" s="86"/>
      <c r="E214" s="86"/>
      <c r="F214" s="86"/>
      <c r="G214" s="86"/>
      <c r="H214" s="86"/>
      <c r="I214" s="86"/>
      <c r="J214" s="86"/>
      <c r="K214" s="86"/>
      <c r="L214" s="86"/>
      <c r="M214" s="86"/>
      <c r="N214" s="86"/>
    </row>
    <row r="215" spans="1:14" ht="15.75" customHeight="1" x14ac:dyDescent="0.25">
      <c r="A215" s="87">
        <v>206</v>
      </c>
      <c r="B215" s="88"/>
      <c r="C215" s="88"/>
      <c r="D215" s="88"/>
      <c r="E215" s="88"/>
      <c r="F215" s="88"/>
      <c r="G215" s="88"/>
      <c r="H215" s="88"/>
      <c r="I215" s="88"/>
      <c r="J215" s="88"/>
      <c r="K215" s="88"/>
      <c r="L215" s="88"/>
      <c r="M215" s="88"/>
      <c r="N215" s="88"/>
    </row>
    <row r="216" spans="1:14" ht="15.75" customHeight="1" x14ac:dyDescent="0.25">
      <c r="A216" s="85">
        <v>207</v>
      </c>
      <c r="B216" s="86"/>
      <c r="C216" s="86"/>
      <c r="D216" s="86"/>
      <c r="E216" s="86"/>
      <c r="F216" s="86"/>
      <c r="G216" s="86"/>
      <c r="H216" s="86"/>
      <c r="I216" s="86"/>
      <c r="J216" s="86"/>
      <c r="K216" s="86"/>
      <c r="L216" s="86"/>
      <c r="M216" s="86"/>
      <c r="N216" s="86"/>
    </row>
    <row r="217" spans="1:14" ht="15.75" customHeight="1" x14ac:dyDescent="0.25">
      <c r="A217" s="87">
        <v>208</v>
      </c>
      <c r="B217" s="88"/>
      <c r="C217" s="88"/>
      <c r="D217" s="88"/>
      <c r="E217" s="88"/>
      <c r="F217" s="88"/>
      <c r="G217" s="88"/>
      <c r="H217" s="88"/>
      <c r="I217" s="88"/>
      <c r="J217" s="88"/>
      <c r="K217" s="88"/>
      <c r="L217" s="88"/>
      <c r="M217" s="88"/>
      <c r="N217" s="88"/>
    </row>
    <row r="218" spans="1:14" ht="15.75" customHeight="1" x14ac:dyDescent="0.25">
      <c r="A218" s="85">
        <v>209</v>
      </c>
      <c r="B218" s="86"/>
      <c r="C218" s="86"/>
      <c r="D218" s="86"/>
      <c r="E218" s="86"/>
      <c r="F218" s="86"/>
      <c r="G218" s="86"/>
      <c r="H218" s="86"/>
      <c r="I218" s="86"/>
      <c r="J218" s="86"/>
      <c r="K218" s="86"/>
      <c r="L218" s="86"/>
      <c r="M218" s="86"/>
      <c r="N218" s="86"/>
    </row>
    <row r="219" spans="1:14" ht="15.75" customHeight="1" x14ac:dyDescent="0.25">
      <c r="A219" s="87">
        <v>210</v>
      </c>
      <c r="B219" s="88"/>
      <c r="C219" s="88"/>
      <c r="D219" s="88"/>
      <c r="E219" s="88"/>
      <c r="F219" s="88"/>
      <c r="G219" s="88"/>
      <c r="H219" s="88"/>
      <c r="I219" s="88"/>
      <c r="J219" s="88"/>
      <c r="K219" s="88"/>
      <c r="L219" s="88"/>
      <c r="M219" s="88"/>
      <c r="N219" s="88"/>
    </row>
    <row r="220" spans="1:14" ht="15.75" customHeight="1" x14ac:dyDescent="0.25">
      <c r="A220" s="85">
        <v>211</v>
      </c>
      <c r="B220" s="86"/>
      <c r="C220" s="86"/>
      <c r="D220" s="86"/>
      <c r="E220" s="86"/>
      <c r="F220" s="86"/>
      <c r="G220" s="86"/>
      <c r="H220" s="86"/>
      <c r="I220" s="86"/>
      <c r="J220" s="86"/>
      <c r="K220" s="86"/>
      <c r="L220" s="86"/>
      <c r="M220" s="86"/>
      <c r="N220" s="86"/>
    </row>
    <row r="221" spans="1:14" ht="15.75" customHeight="1" x14ac:dyDescent="0.25">
      <c r="A221" s="87">
        <v>212</v>
      </c>
      <c r="B221" s="88"/>
      <c r="C221" s="88"/>
      <c r="D221" s="88"/>
      <c r="E221" s="88"/>
      <c r="F221" s="88"/>
      <c r="G221" s="88"/>
      <c r="H221" s="88"/>
      <c r="I221" s="88"/>
      <c r="J221" s="88"/>
      <c r="K221" s="88"/>
      <c r="L221" s="88"/>
      <c r="M221" s="88"/>
      <c r="N221" s="88"/>
    </row>
    <row r="222" spans="1:14" ht="15.75" customHeight="1" x14ac:dyDescent="0.25">
      <c r="A222" s="85">
        <v>213</v>
      </c>
      <c r="B222" s="86"/>
      <c r="C222" s="86"/>
      <c r="D222" s="86"/>
      <c r="E222" s="86"/>
      <c r="F222" s="86"/>
      <c r="G222" s="86"/>
      <c r="H222" s="86"/>
      <c r="I222" s="86"/>
      <c r="J222" s="86"/>
      <c r="K222" s="86"/>
      <c r="L222" s="86"/>
      <c r="M222" s="86"/>
      <c r="N222" s="86"/>
    </row>
    <row r="223" spans="1:14" ht="15.75" customHeight="1" x14ac:dyDescent="0.25">
      <c r="A223" s="87">
        <v>214</v>
      </c>
      <c r="B223" s="88"/>
      <c r="C223" s="88"/>
      <c r="D223" s="88"/>
      <c r="E223" s="88"/>
      <c r="F223" s="88"/>
      <c r="G223" s="88"/>
      <c r="H223" s="88"/>
      <c r="I223" s="88"/>
      <c r="J223" s="88"/>
      <c r="K223" s="88"/>
      <c r="L223" s="88"/>
      <c r="M223" s="88"/>
      <c r="N223" s="88"/>
    </row>
    <row r="224" spans="1:14" ht="15.75" customHeight="1" x14ac:dyDescent="0.25">
      <c r="A224" s="85">
        <v>215</v>
      </c>
      <c r="B224" s="86"/>
      <c r="C224" s="86"/>
      <c r="D224" s="86"/>
      <c r="E224" s="86"/>
      <c r="F224" s="86"/>
      <c r="G224" s="86"/>
      <c r="H224" s="86"/>
      <c r="I224" s="86"/>
      <c r="J224" s="86"/>
      <c r="K224" s="86"/>
      <c r="L224" s="86"/>
      <c r="M224" s="86"/>
      <c r="N224" s="86"/>
    </row>
    <row r="225" spans="1:14" ht="15.75" customHeight="1" x14ac:dyDescent="0.25">
      <c r="A225" s="87">
        <v>216</v>
      </c>
      <c r="B225" s="88"/>
      <c r="C225" s="88"/>
      <c r="D225" s="88"/>
      <c r="E225" s="88"/>
      <c r="F225" s="88"/>
      <c r="G225" s="88"/>
      <c r="H225" s="88"/>
      <c r="I225" s="88"/>
      <c r="J225" s="88"/>
      <c r="K225" s="88"/>
      <c r="L225" s="88"/>
      <c r="M225" s="88"/>
      <c r="N225" s="88"/>
    </row>
    <row r="226" spans="1:14" ht="15.75" customHeight="1" x14ac:dyDescent="0.25">
      <c r="A226" s="85">
        <v>217</v>
      </c>
      <c r="B226" s="86"/>
      <c r="C226" s="86"/>
      <c r="D226" s="86"/>
      <c r="E226" s="86"/>
      <c r="F226" s="86"/>
      <c r="G226" s="86"/>
      <c r="H226" s="86"/>
      <c r="I226" s="86"/>
      <c r="J226" s="86"/>
      <c r="K226" s="86"/>
      <c r="L226" s="86"/>
      <c r="M226" s="86"/>
      <c r="N226" s="86"/>
    </row>
    <row r="227" spans="1:14" ht="15.75" customHeight="1" x14ac:dyDescent="0.25">
      <c r="A227" s="87">
        <v>218</v>
      </c>
      <c r="B227" s="88"/>
      <c r="C227" s="88"/>
      <c r="D227" s="88"/>
      <c r="E227" s="88"/>
      <c r="F227" s="88"/>
      <c r="G227" s="88"/>
      <c r="H227" s="88"/>
      <c r="I227" s="88"/>
      <c r="J227" s="88"/>
      <c r="K227" s="88"/>
      <c r="L227" s="88"/>
      <c r="M227" s="88"/>
      <c r="N227" s="88"/>
    </row>
    <row r="228" spans="1:14" ht="15.75" customHeight="1" x14ac:dyDescent="0.25">
      <c r="A228" s="85">
        <v>219</v>
      </c>
      <c r="B228" s="86"/>
      <c r="C228" s="86"/>
      <c r="D228" s="86"/>
      <c r="E228" s="86"/>
      <c r="F228" s="86"/>
      <c r="G228" s="86"/>
      <c r="H228" s="86"/>
      <c r="I228" s="86"/>
      <c r="J228" s="86"/>
      <c r="K228" s="86"/>
      <c r="L228" s="86"/>
      <c r="M228" s="86"/>
      <c r="N228" s="86"/>
    </row>
    <row r="229" spans="1:14" ht="15.75" customHeight="1" x14ac:dyDescent="0.25">
      <c r="A229" s="87">
        <v>220</v>
      </c>
      <c r="B229" s="88"/>
      <c r="C229" s="88"/>
      <c r="D229" s="88"/>
      <c r="E229" s="88"/>
      <c r="F229" s="88"/>
      <c r="G229" s="88"/>
      <c r="H229" s="88"/>
      <c r="I229" s="88"/>
      <c r="J229" s="88"/>
      <c r="K229" s="88"/>
      <c r="L229" s="88"/>
      <c r="M229" s="88"/>
      <c r="N229" s="88"/>
    </row>
    <row r="230" spans="1:14" ht="15.75" customHeight="1" x14ac:dyDescent="0.25">
      <c r="A230" s="85">
        <v>221</v>
      </c>
      <c r="B230" s="86"/>
      <c r="C230" s="86"/>
      <c r="D230" s="86"/>
      <c r="E230" s="86"/>
      <c r="F230" s="86"/>
      <c r="G230" s="86"/>
      <c r="H230" s="86"/>
      <c r="I230" s="86"/>
      <c r="J230" s="86"/>
      <c r="K230" s="86"/>
      <c r="L230" s="86"/>
      <c r="M230" s="86"/>
      <c r="N230" s="86"/>
    </row>
    <row r="231" spans="1:14" ht="15.75" customHeight="1" x14ac:dyDescent="0.25">
      <c r="A231" s="87">
        <v>222</v>
      </c>
      <c r="B231" s="88"/>
      <c r="C231" s="88"/>
      <c r="D231" s="88"/>
      <c r="E231" s="88"/>
      <c r="F231" s="88"/>
      <c r="G231" s="88"/>
      <c r="H231" s="88"/>
      <c r="I231" s="88"/>
      <c r="J231" s="88"/>
      <c r="K231" s="88"/>
      <c r="L231" s="88"/>
      <c r="M231" s="88"/>
      <c r="N231" s="88"/>
    </row>
    <row r="232" spans="1:14" ht="15.75" customHeight="1" x14ac:dyDescent="0.25">
      <c r="A232" s="85">
        <v>223</v>
      </c>
      <c r="B232" s="86"/>
      <c r="C232" s="86"/>
      <c r="D232" s="86"/>
      <c r="E232" s="86"/>
      <c r="F232" s="86"/>
      <c r="G232" s="86"/>
      <c r="H232" s="86"/>
      <c r="I232" s="86"/>
      <c r="J232" s="86"/>
      <c r="K232" s="86"/>
      <c r="L232" s="86"/>
      <c r="M232" s="86"/>
      <c r="N232" s="86"/>
    </row>
    <row r="233" spans="1:14" ht="15.75" customHeight="1" x14ac:dyDescent="0.25">
      <c r="A233" s="87">
        <v>224</v>
      </c>
      <c r="B233" s="88"/>
      <c r="C233" s="88"/>
      <c r="D233" s="88"/>
      <c r="E233" s="88"/>
      <c r="F233" s="88"/>
      <c r="G233" s="88"/>
      <c r="H233" s="88"/>
      <c r="I233" s="88"/>
      <c r="J233" s="88"/>
      <c r="K233" s="88"/>
      <c r="L233" s="88"/>
      <c r="M233" s="88"/>
      <c r="N233" s="88"/>
    </row>
    <row r="234" spans="1:14" ht="15.75" customHeight="1" x14ac:dyDescent="0.25">
      <c r="A234" s="85">
        <v>225</v>
      </c>
      <c r="B234" s="86"/>
      <c r="C234" s="86"/>
      <c r="D234" s="86"/>
      <c r="E234" s="86"/>
      <c r="F234" s="86"/>
      <c r="G234" s="86"/>
      <c r="H234" s="86"/>
      <c r="I234" s="86"/>
      <c r="J234" s="86"/>
      <c r="K234" s="86"/>
      <c r="L234" s="86"/>
      <c r="M234" s="86"/>
      <c r="N234" s="86"/>
    </row>
    <row r="235" spans="1:14" ht="15.75" customHeight="1" x14ac:dyDescent="0.25">
      <c r="A235" s="87">
        <v>226</v>
      </c>
      <c r="B235" s="88"/>
      <c r="C235" s="88"/>
      <c r="D235" s="88"/>
      <c r="E235" s="88"/>
      <c r="F235" s="88"/>
      <c r="G235" s="88"/>
      <c r="H235" s="88"/>
      <c r="I235" s="88"/>
      <c r="J235" s="88"/>
      <c r="K235" s="88"/>
      <c r="L235" s="88"/>
      <c r="M235" s="88"/>
      <c r="N235" s="88"/>
    </row>
    <row r="236" spans="1:14" ht="15.75" customHeight="1" x14ac:dyDescent="0.25">
      <c r="A236" s="85">
        <v>227</v>
      </c>
      <c r="B236" s="86"/>
      <c r="C236" s="86"/>
      <c r="D236" s="86"/>
      <c r="E236" s="86"/>
      <c r="F236" s="86"/>
      <c r="G236" s="86"/>
      <c r="H236" s="86"/>
      <c r="I236" s="86"/>
      <c r="J236" s="86"/>
      <c r="K236" s="86"/>
      <c r="L236" s="86"/>
      <c r="M236" s="86"/>
      <c r="N236" s="86"/>
    </row>
    <row r="237" spans="1:14" ht="15.75" customHeight="1" x14ac:dyDescent="0.25">
      <c r="A237" s="87">
        <v>228</v>
      </c>
      <c r="B237" s="88"/>
      <c r="C237" s="88"/>
      <c r="D237" s="88"/>
      <c r="E237" s="88"/>
      <c r="F237" s="88"/>
      <c r="G237" s="88"/>
      <c r="H237" s="88"/>
      <c r="I237" s="88"/>
      <c r="J237" s="88"/>
      <c r="K237" s="88"/>
      <c r="L237" s="88"/>
      <c r="M237" s="88"/>
      <c r="N237" s="88"/>
    </row>
    <row r="238" spans="1:14" ht="15.75" customHeight="1" x14ac:dyDescent="0.25">
      <c r="A238" s="85">
        <v>229</v>
      </c>
      <c r="B238" s="86"/>
      <c r="C238" s="86"/>
      <c r="D238" s="86"/>
      <c r="E238" s="86"/>
      <c r="F238" s="86"/>
      <c r="G238" s="86"/>
      <c r="H238" s="86"/>
      <c r="I238" s="86"/>
      <c r="J238" s="86"/>
      <c r="K238" s="86"/>
      <c r="L238" s="86"/>
      <c r="M238" s="86"/>
      <c r="N238" s="86"/>
    </row>
    <row r="239" spans="1:14" ht="15.75" customHeight="1" x14ac:dyDescent="0.25">
      <c r="A239" s="87">
        <v>230</v>
      </c>
      <c r="B239" s="88"/>
      <c r="C239" s="88"/>
      <c r="D239" s="88"/>
      <c r="E239" s="88"/>
      <c r="F239" s="88"/>
      <c r="G239" s="88"/>
      <c r="H239" s="88"/>
      <c r="I239" s="88"/>
      <c r="J239" s="88"/>
      <c r="K239" s="88"/>
      <c r="L239" s="88"/>
      <c r="M239" s="88"/>
      <c r="N239" s="88"/>
    </row>
    <row r="240" spans="1:14" ht="15.75" customHeight="1" x14ac:dyDescent="0.25">
      <c r="A240" s="85">
        <v>231</v>
      </c>
      <c r="B240" s="86"/>
      <c r="C240" s="86"/>
      <c r="D240" s="86"/>
      <c r="E240" s="86"/>
      <c r="F240" s="86"/>
      <c r="G240" s="86"/>
      <c r="H240" s="86"/>
      <c r="I240" s="86"/>
      <c r="J240" s="86"/>
      <c r="K240" s="86"/>
      <c r="L240" s="86"/>
      <c r="M240" s="86"/>
      <c r="N240" s="86"/>
    </row>
    <row r="241" spans="1:14" ht="15.75" customHeight="1" x14ac:dyDescent="0.25">
      <c r="A241" s="87">
        <v>232</v>
      </c>
      <c r="B241" s="88"/>
      <c r="C241" s="88"/>
      <c r="D241" s="88"/>
      <c r="E241" s="88"/>
      <c r="F241" s="88"/>
      <c r="G241" s="88"/>
      <c r="H241" s="88"/>
      <c r="I241" s="88"/>
      <c r="J241" s="88"/>
      <c r="K241" s="88"/>
      <c r="L241" s="88"/>
      <c r="M241" s="88"/>
      <c r="N241" s="88"/>
    </row>
    <row r="242" spans="1:14" ht="15.75" customHeight="1" x14ac:dyDescent="0.25">
      <c r="A242" s="85">
        <v>233</v>
      </c>
      <c r="B242" s="86"/>
      <c r="C242" s="86"/>
      <c r="D242" s="86"/>
      <c r="E242" s="86"/>
      <c r="F242" s="86"/>
      <c r="G242" s="86"/>
      <c r="H242" s="86"/>
      <c r="I242" s="86"/>
      <c r="J242" s="86"/>
      <c r="K242" s="86"/>
      <c r="L242" s="86"/>
      <c r="M242" s="86"/>
      <c r="N242" s="86"/>
    </row>
    <row r="243" spans="1:14" ht="15.75" customHeight="1" x14ac:dyDescent="0.25">
      <c r="A243" s="87">
        <v>234</v>
      </c>
      <c r="B243" s="88"/>
      <c r="C243" s="88"/>
      <c r="D243" s="88"/>
      <c r="E243" s="88"/>
      <c r="F243" s="88"/>
      <c r="G243" s="88"/>
      <c r="H243" s="88"/>
      <c r="I243" s="88"/>
      <c r="J243" s="88"/>
      <c r="K243" s="88"/>
      <c r="L243" s="88"/>
      <c r="M243" s="88"/>
      <c r="N243" s="88"/>
    </row>
    <row r="244" spans="1:14" ht="15.75" customHeight="1" x14ac:dyDescent="0.25">
      <c r="A244" s="85">
        <v>235</v>
      </c>
      <c r="B244" s="86"/>
      <c r="C244" s="86"/>
      <c r="D244" s="86"/>
      <c r="E244" s="86"/>
      <c r="F244" s="86"/>
      <c r="G244" s="86"/>
      <c r="H244" s="86"/>
      <c r="I244" s="86"/>
      <c r="J244" s="86"/>
      <c r="K244" s="86"/>
      <c r="L244" s="86"/>
      <c r="M244" s="86"/>
      <c r="N244" s="86"/>
    </row>
    <row r="245" spans="1:14" ht="15.75" customHeight="1" x14ac:dyDescent="0.25">
      <c r="A245" s="87">
        <v>236</v>
      </c>
      <c r="B245" s="88"/>
      <c r="C245" s="88"/>
      <c r="D245" s="88"/>
      <c r="E245" s="88"/>
      <c r="F245" s="88"/>
      <c r="G245" s="88"/>
      <c r="H245" s="88"/>
      <c r="I245" s="88"/>
      <c r="J245" s="88"/>
      <c r="K245" s="88"/>
      <c r="L245" s="88"/>
      <c r="M245" s="88"/>
      <c r="N245" s="88"/>
    </row>
    <row r="246" spans="1:14" ht="15.75" customHeight="1" x14ac:dyDescent="0.25">
      <c r="A246" s="85">
        <v>237</v>
      </c>
      <c r="B246" s="86"/>
      <c r="C246" s="86"/>
      <c r="D246" s="86"/>
      <c r="E246" s="86"/>
      <c r="F246" s="86"/>
      <c r="G246" s="86"/>
      <c r="H246" s="86"/>
      <c r="I246" s="86"/>
      <c r="J246" s="86"/>
      <c r="K246" s="86"/>
      <c r="L246" s="86"/>
      <c r="M246" s="86"/>
      <c r="N246" s="86"/>
    </row>
    <row r="247" spans="1:14" ht="15.75" customHeight="1" x14ac:dyDescent="0.25">
      <c r="A247" s="87">
        <v>238</v>
      </c>
      <c r="B247" s="88"/>
      <c r="C247" s="88"/>
      <c r="D247" s="88"/>
      <c r="E247" s="88"/>
      <c r="F247" s="88"/>
      <c r="G247" s="88"/>
      <c r="H247" s="88"/>
      <c r="I247" s="88"/>
      <c r="J247" s="88"/>
      <c r="K247" s="88"/>
      <c r="L247" s="88"/>
      <c r="M247" s="88"/>
      <c r="N247" s="88"/>
    </row>
    <row r="248" spans="1:14" ht="15.75" customHeight="1" x14ac:dyDescent="0.25">
      <c r="A248" s="85">
        <v>239</v>
      </c>
      <c r="B248" s="86"/>
      <c r="C248" s="86"/>
      <c r="D248" s="86"/>
      <c r="E248" s="86"/>
      <c r="F248" s="86"/>
      <c r="G248" s="86"/>
      <c r="H248" s="86"/>
      <c r="I248" s="86"/>
      <c r="J248" s="86"/>
      <c r="K248" s="86"/>
      <c r="L248" s="86"/>
      <c r="M248" s="86"/>
      <c r="N248" s="86"/>
    </row>
    <row r="249" spans="1:14" ht="15.75" customHeight="1" x14ac:dyDescent="0.25">
      <c r="A249" s="87">
        <v>240</v>
      </c>
      <c r="B249" s="88"/>
      <c r="C249" s="88"/>
      <c r="D249" s="88"/>
      <c r="E249" s="88"/>
      <c r="F249" s="88"/>
      <c r="G249" s="88"/>
      <c r="H249" s="88"/>
      <c r="I249" s="88"/>
      <c r="J249" s="88"/>
      <c r="K249" s="88"/>
      <c r="L249" s="88"/>
      <c r="M249" s="88"/>
      <c r="N249" s="88"/>
    </row>
    <row r="250" spans="1:14" ht="15.75" customHeight="1" x14ac:dyDescent="0.25">
      <c r="A250" s="85">
        <v>241</v>
      </c>
      <c r="B250" s="86"/>
      <c r="C250" s="86"/>
      <c r="D250" s="86"/>
      <c r="E250" s="86"/>
      <c r="F250" s="86"/>
      <c r="G250" s="86"/>
      <c r="H250" s="86"/>
      <c r="I250" s="86"/>
      <c r="J250" s="86"/>
      <c r="K250" s="86"/>
      <c r="L250" s="86"/>
      <c r="M250" s="86"/>
      <c r="N250" s="86"/>
    </row>
    <row r="251" spans="1:14" ht="15.75" customHeight="1" x14ac:dyDescent="0.25">
      <c r="A251" s="87">
        <v>242</v>
      </c>
      <c r="B251" s="88"/>
      <c r="C251" s="88"/>
      <c r="D251" s="88"/>
      <c r="E251" s="88"/>
      <c r="F251" s="88"/>
      <c r="G251" s="88"/>
      <c r="H251" s="88"/>
      <c r="I251" s="88"/>
      <c r="J251" s="88"/>
      <c r="K251" s="88"/>
      <c r="L251" s="88"/>
      <c r="M251" s="88"/>
      <c r="N251" s="88"/>
    </row>
    <row r="252" spans="1:14" ht="15.75" customHeight="1" x14ac:dyDescent="0.25">
      <c r="A252" s="85">
        <v>243</v>
      </c>
      <c r="B252" s="86"/>
      <c r="C252" s="86"/>
      <c r="D252" s="86"/>
      <c r="E252" s="86"/>
      <c r="F252" s="86"/>
      <c r="G252" s="86"/>
      <c r="H252" s="86"/>
      <c r="I252" s="86"/>
      <c r="J252" s="86"/>
      <c r="K252" s="86"/>
      <c r="L252" s="86"/>
      <c r="M252" s="86"/>
      <c r="N252" s="86"/>
    </row>
    <row r="253" spans="1:14" ht="15.75" customHeight="1" x14ac:dyDescent="0.25">
      <c r="A253" s="87">
        <v>244</v>
      </c>
      <c r="B253" s="88"/>
      <c r="C253" s="88"/>
      <c r="D253" s="88"/>
      <c r="E253" s="88"/>
      <c r="F253" s="88"/>
      <c r="G253" s="88"/>
      <c r="H253" s="88"/>
      <c r="I253" s="88"/>
      <c r="J253" s="88"/>
      <c r="K253" s="88"/>
      <c r="L253" s="88"/>
      <c r="M253" s="88"/>
      <c r="N253" s="88"/>
    </row>
    <row r="254" spans="1:14" ht="15.75" customHeight="1" x14ac:dyDescent="0.25">
      <c r="A254" s="85">
        <v>245</v>
      </c>
      <c r="B254" s="86"/>
      <c r="C254" s="86"/>
      <c r="D254" s="86"/>
      <c r="E254" s="86"/>
      <c r="F254" s="86"/>
      <c r="G254" s="86"/>
      <c r="H254" s="86"/>
      <c r="I254" s="86"/>
      <c r="J254" s="86"/>
      <c r="K254" s="86"/>
      <c r="L254" s="86"/>
      <c r="M254" s="86"/>
      <c r="N254" s="86"/>
    </row>
    <row r="255" spans="1:14" ht="15.75" customHeight="1" x14ac:dyDescent="0.25">
      <c r="A255" s="87">
        <v>246</v>
      </c>
      <c r="B255" s="88"/>
      <c r="C255" s="88"/>
      <c r="D255" s="88"/>
      <c r="E255" s="88"/>
      <c r="F255" s="88"/>
      <c r="G255" s="88"/>
      <c r="H255" s="88"/>
      <c r="I255" s="88"/>
      <c r="J255" s="88"/>
      <c r="K255" s="88"/>
      <c r="L255" s="88"/>
      <c r="M255" s="88"/>
      <c r="N255" s="88"/>
    </row>
    <row r="256" spans="1:14" ht="15.75" customHeight="1" x14ac:dyDescent="0.25">
      <c r="A256" s="85">
        <v>247</v>
      </c>
      <c r="B256" s="86"/>
      <c r="C256" s="86"/>
      <c r="D256" s="86"/>
      <c r="E256" s="86"/>
      <c r="F256" s="86"/>
      <c r="G256" s="86"/>
      <c r="H256" s="86"/>
      <c r="I256" s="86"/>
      <c r="J256" s="86"/>
      <c r="K256" s="86"/>
      <c r="L256" s="86"/>
      <c r="M256" s="86"/>
      <c r="N256" s="86"/>
    </row>
    <row r="257" spans="1:14" ht="15.75" customHeight="1" x14ac:dyDescent="0.25">
      <c r="A257" s="87">
        <v>248</v>
      </c>
      <c r="B257" s="88"/>
      <c r="C257" s="88"/>
      <c r="D257" s="88"/>
      <c r="E257" s="88"/>
      <c r="F257" s="88"/>
      <c r="G257" s="88"/>
      <c r="H257" s="88"/>
      <c r="I257" s="88"/>
      <c r="J257" s="88"/>
      <c r="K257" s="88"/>
      <c r="L257" s="88"/>
      <c r="M257" s="88"/>
      <c r="N257" s="88"/>
    </row>
    <row r="258" spans="1:14" ht="15.75" customHeight="1" x14ac:dyDescent="0.25">
      <c r="A258" s="85">
        <v>249</v>
      </c>
      <c r="B258" s="86"/>
      <c r="C258" s="86"/>
      <c r="D258" s="86"/>
      <c r="E258" s="86"/>
      <c r="F258" s="86"/>
      <c r="G258" s="86"/>
      <c r="H258" s="86"/>
      <c r="I258" s="86"/>
      <c r="J258" s="86"/>
      <c r="K258" s="86"/>
      <c r="L258" s="86"/>
      <c r="M258" s="86"/>
      <c r="N258" s="86"/>
    </row>
    <row r="259" spans="1:14" ht="15.75" customHeight="1" x14ac:dyDescent="0.25">
      <c r="A259" s="87">
        <v>250</v>
      </c>
      <c r="B259" s="88"/>
      <c r="C259" s="88"/>
      <c r="D259" s="88"/>
      <c r="E259" s="88"/>
      <c r="F259" s="88"/>
      <c r="G259" s="88"/>
      <c r="H259" s="88"/>
      <c r="I259" s="88"/>
      <c r="J259" s="88"/>
      <c r="K259" s="88"/>
      <c r="L259" s="88"/>
      <c r="M259" s="88"/>
      <c r="N259" s="88"/>
    </row>
    <row r="260" spans="1:14" ht="15.75" customHeight="1" x14ac:dyDescent="0.25">
      <c r="A260" s="85">
        <v>251</v>
      </c>
      <c r="B260" s="86"/>
      <c r="C260" s="86"/>
      <c r="D260" s="86"/>
      <c r="E260" s="86"/>
      <c r="F260" s="86"/>
      <c r="G260" s="86"/>
      <c r="H260" s="86"/>
      <c r="I260" s="86"/>
      <c r="J260" s="86"/>
      <c r="K260" s="86"/>
      <c r="L260" s="86"/>
      <c r="M260" s="86"/>
      <c r="N260" s="86"/>
    </row>
    <row r="261" spans="1:14" ht="15.75" customHeight="1" x14ac:dyDescent="0.25">
      <c r="A261" s="87">
        <v>252</v>
      </c>
      <c r="B261" s="88"/>
      <c r="C261" s="88"/>
      <c r="D261" s="88"/>
      <c r="E261" s="88"/>
      <c r="F261" s="88"/>
      <c r="G261" s="88"/>
      <c r="H261" s="88"/>
      <c r="I261" s="88"/>
      <c r="J261" s="88"/>
      <c r="K261" s="88"/>
      <c r="L261" s="88"/>
      <c r="M261" s="88"/>
      <c r="N261" s="88"/>
    </row>
    <row r="262" spans="1:14" ht="15.75" customHeight="1" x14ac:dyDescent="0.25">
      <c r="A262" s="85">
        <v>253</v>
      </c>
      <c r="B262" s="86"/>
      <c r="C262" s="86"/>
      <c r="D262" s="86"/>
      <c r="E262" s="86"/>
      <c r="F262" s="86"/>
      <c r="G262" s="86"/>
      <c r="H262" s="86"/>
      <c r="I262" s="86"/>
      <c r="J262" s="86"/>
      <c r="K262" s="86"/>
      <c r="L262" s="86"/>
      <c r="M262" s="86"/>
      <c r="N262" s="86"/>
    </row>
    <row r="263" spans="1:14" ht="15.75" customHeight="1" x14ac:dyDescent="0.25">
      <c r="A263" s="87">
        <v>254</v>
      </c>
      <c r="B263" s="88"/>
      <c r="C263" s="88"/>
      <c r="D263" s="88"/>
      <c r="E263" s="88"/>
      <c r="F263" s="88"/>
      <c r="G263" s="88"/>
      <c r="H263" s="88"/>
      <c r="I263" s="88"/>
      <c r="J263" s="88"/>
      <c r="K263" s="88"/>
      <c r="L263" s="88"/>
      <c r="M263" s="88"/>
      <c r="N263" s="88"/>
    </row>
    <row r="264" spans="1:14" ht="15.75" customHeight="1" x14ac:dyDescent="0.25">
      <c r="A264" s="85">
        <v>255</v>
      </c>
      <c r="B264" s="86"/>
      <c r="C264" s="86"/>
      <c r="D264" s="86"/>
      <c r="E264" s="86"/>
      <c r="F264" s="86"/>
      <c r="G264" s="86"/>
      <c r="H264" s="86"/>
      <c r="I264" s="86"/>
      <c r="J264" s="86"/>
      <c r="K264" s="86"/>
      <c r="L264" s="86"/>
      <c r="M264" s="86"/>
      <c r="N264" s="86"/>
    </row>
    <row r="265" spans="1:14" ht="15.75" customHeight="1" x14ac:dyDescent="0.25">
      <c r="A265" s="87">
        <v>256</v>
      </c>
      <c r="B265" s="88"/>
      <c r="C265" s="88"/>
      <c r="D265" s="88"/>
      <c r="E265" s="88"/>
      <c r="F265" s="88"/>
      <c r="G265" s="88"/>
      <c r="H265" s="88"/>
      <c r="I265" s="88"/>
      <c r="J265" s="88"/>
      <c r="K265" s="88"/>
      <c r="L265" s="88"/>
      <c r="M265" s="88"/>
      <c r="N265" s="88"/>
    </row>
    <row r="266" spans="1:14" ht="15.75" customHeight="1" x14ac:dyDescent="0.25">
      <c r="A266" s="85">
        <v>257</v>
      </c>
      <c r="B266" s="86"/>
      <c r="C266" s="86"/>
      <c r="D266" s="86"/>
      <c r="E266" s="86"/>
      <c r="F266" s="86"/>
      <c r="G266" s="86"/>
      <c r="H266" s="86"/>
      <c r="I266" s="86"/>
      <c r="J266" s="86"/>
      <c r="K266" s="86"/>
      <c r="L266" s="86"/>
      <c r="M266" s="86"/>
      <c r="N266" s="86"/>
    </row>
    <row r="267" spans="1:14" ht="15.75" customHeight="1" x14ac:dyDescent="0.25">
      <c r="A267" s="87">
        <v>258</v>
      </c>
      <c r="B267" s="88"/>
      <c r="C267" s="88"/>
      <c r="D267" s="88"/>
      <c r="E267" s="88"/>
      <c r="F267" s="88"/>
      <c r="G267" s="88"/>
      <c r="H267" s="88"/>
      <c r="I267" s="88"/>
      <c r="J267" s="88"/>
      <c r="K267" s="88"/>
      <c r="L267" s="88"/>
      <c r="M267" s="88"/>
      <c r="N267" s="88"/>
    </row>
    <row r="268" spans="1:14" ht="15.75" customHeight="1" x14ac:dyDescent="0.25">
      <c r="A268" s="85">
        <v>259</v>
      </c>
      <c r="B268" s="86"/>
      <c r="C268" s="86"/>
      <c r="D268" s="86"/>
      <c r="E268" s="86"/>
      <c r="F268" s="86"/>
      <c r="G268" s="86"/>
      <c r="H268" s="86"/>
      <c r="I268" s="86"/>
      <c r="J268" s="86"/>
      <c r="K268" s="86"/>
      <c r="L268" s="86"/>
      <c r="M268" s="86"/>
      <c r="N268" s="86"/>
    </row>
    <row r="269" spans="1:14" ht="15.75" customHeight="1" x14ac:dyDescent="0.25">
      <c r="A269" s="87">
        <v>260</v>
      </c>
      <c r="B269" s="88"/>
      <c r="C269" s="88"/>
      <c r="D269" s="88"/>
      <c r="E269" s="88"/>
      <c r="F269" s="88"/>
      <c r="G269" s="88"/>
      <c r="H269" s="88"/>
      <c r="I269" s="88"/>
      <c r="J269" s="88"/>
      <c r="K269" s="88"/>
      <c r="L269" s="88"/>
      <c r="M269" s="88"/>
      <c r="N269" s="88"/>
    </row>
    <row r="270" spans="1:14" ht="15.75" customHeight="1" x14ac:dyDescent="0.25">
      <c r="A270" s="85">
        <v>261</v>
      </c>
      <c r="B270" s="86"/>
      <c r="C270" s="86"/>
      <c r="D270" s="86"/>
      <c r="E270" s="86"/>
      <c r="F270" s="86"/>
      <c r="G270" s="86"/>
      <c r="H270" s="86"/>
      <c r="I270" s="86"/>
      <c r="J270" s="86"/>
      <c r="K270" s="86"/>
      <c r="L270" s="86"/>
      <c r="M270" s="86"/>
      <c r="N270" s="86"/>
    </row>
    <row r="271" spans="1:14" ht="15.75" customHeight="1" x14ac:dyDescent="0.25">
      <c r="A271" s="87">
        <v>262</v>
      </c>
      <c r="B271" s="88"/>
      <c r="C271" s="88"/>
      <c r="D271" s="88"/>
      <c r="E271" s="88"/>
      <c r="F271" s="88"/>
      <c r="G271" s="88"/>
      <c r="H271" s="88"/>
      <c r="I271" s="88"/>
      <c r="J271" s="88"/>
      <c r="K271" s="88"/>
      <c r="L271" s="88"/>
      <c r="M271" s="88"/>
      <c r="N271" s="88"/>
    </row>
    <row r="272" spans="1:14" ht="15.75" customHeight="1" x14ac:dyDescent="0.25">
      <c r="A272" s="85">
        <v>263</v>
      </c>
      <c r="B272" s="86"/>
      <c r="C272" s="86"/>
      <c r="D272" s="86"/>
      <c r="E272" s="86"/>
      <c r="F272" s="86"/>
      <c r="G272" s="86"/>
      <c r="H272" s="86"/>
      <c r="I272" s="86"/>
      <c r="J272" s="86"/>
      <c r="K272" s="86"/>
      <c r="L272" s="86"/>
      <c r="M272" s="86"/>
      <c r="N272" s="86"/>
    </row>
    <row r="273" spans="1:14" ht="15.75" customHeight="1" x14ac:dyDescent="0.25">
      <c r="A273" s="87">
        <v>264</v>
      </c>
      <c r="B273" s="88"/>
      <c r="C273" s="88"/>
      <c r="D273" s="88"/>
      <c r="E273" s="88"/>
      <c r="F273" s="88"/>
      <c r="G273" s="88"/>
      <c r="H273" s="88"/>
      <c r="I273" s="88"/>
      <c r="J273" s="88"/>
      <c r="K273" s="88"/>
      <c r="L273" s="88"/>
      <c r="M273" s="88"/>
      <c r="N273" s="88"/>
    </row>
    <row r="274" spans="1:14" ht="15.75" customHeight="1" x14ac:dyDescent="0.25">
      <c r="A274" s="85">
        <v>265</v>
      </c>
      <c r="B274" s="86"/>
      <c r="C274" s="86"/>
      <c r="D274" s="86"/>
      <c r="E274" s="86"/>
      <c r="F274" s="86"/>
      <c r="G274" s="86"/>
      <c r="H274" s="86"/>
      <c r="I274" s="86"/>
      <c r="J274" s="86"/>
      <c r="K274" s="86"/>
      <c r="L274" s="86"/>
      <c r="M274" s="86"/>
      <c r="N274" s="86"/>
    </row>
    <row r="275" spans="1:14" ht="15.75" customHeight="1" x14ac:dyDescent="0.25">
      <c r="A275" s="87">
        <v>266</v>
      </c>
      <c r="B275" s="88"/>
      <c r="C275" s="88"/>
      <c r="D275" s="88"/>
      <c r="E275" s="88"/>
      <c r="F275" s="88"/>
      <c r="G275" s="88"/>
      <c r="H275" s="88"/>
      <c r="I275" s="88"/>
      <c r="J275" s="88"/>
      <c r="K275" s="88"/>
      <c r="L275" s="88"/>
      <c r="M275" s="88"/>
      <c r="N275" s="88"/>
    </row>
    <row r="276" spans="1:14" ht="15.75" customHeight="1" x14ac:dyDescent="0.25">
      <c r="A276" s="85">
        <v>267</v>
      </c>
      <c r="B276" s="86"/>
      <c r="C276" s="86"/>
      <c r="D276" s="86"/>
      <c r="E276" s="86"/>
      <c r="F276" s="86"/>
      <c r="G276" s="86"/>
      <c r="H276" s="86"/>
      <c r="I276" s="86"/>
      <c r="J276" s="86"/>
      <c r="K276" s="86"/>
      <c r="L276" s="86"/>
      <c r="M276" s="86"/>
      <c r="N276" s="86"/>
    </row>
    <row r="277" spans="1:14" ht="15.75" customHeight="1" x14ac:dyDescent="0.25">
      <c r="A277" s="87">
        <v>268</v>
      </c>
      <c r="B277" s="88"/>
      <c r="C277" s="88"/>
      <c r="D277" s="88"/>
      <c r="E277" s="88"/>
      <c r="F277" s="88"/>
      <c r="G277" s="88"/>
      <c r="H277" s="88"/>
      <c r="I277" s="88"/>
      <c r="J277" s="88"/>
      <c r="K277" s="88"/>
      <c r="L277" s="88"/>
      <c r="M277" s="88"/>
      <c r="N277" s="88"/>
    </row>
    <row r="278" spans="1:14" ht="15.75" customHeight="1" x14ac:dyDescent="0.25">
      <c r="A278" s="85">
        <v>269</v>
      </c>
      <c r="B278" s="86"/>
      <c r="C278" s="86"/>
      <c r="D278" s="86"/>
      <c r="E278" s="86"/>
      <c r="F278" s="86"/>
      <c r="G278" s="86"/>
      <c r="H278" s="86"/>
      <c r="I278" s="86"/>
      <c r="J278" s="86"/>
      <c r="K278" s="86"/>
      <c r="L278" s="86"/>
      <c r="M278" s="86"/>
      <c r="N278" s="86"/>
    </row>
    <row r="279" spans="1:14" ht="15.75" customHeight="1" x14ac:dyDescent="0.25">
      <c r="A279" s="87">
        <v>270</v>
      </c>
      <c r="B279" s="88"/>
      <c r="C279" s="88"/>
      <c r="D279" s="88"/>
      <c r="E279" s="88"/>
      <c r="F279" s="88"/>
      <c r="G279" s="88"/>
      <c r="H279" s="88"/>
      <c r="I279" s="88"/>
      <c r="J279" s="88"/>
      <c r="K279" s="88"/>
      <c r="L279" s="88"/>
      <c r="M279" s="88"/>
      <c r="N279" s="88"/>
    </row>
    <row r="280" spans="1:14" ht="15.75" customHeight="1" x14ac:dyDescent="0.25">
      <c r="A280" s="85">
        <v>271</v>
      </c>
      <c r="B280" s="86"/>
      <c r="C280" s="86"/>
      <c r="D280" s="86"/>
      <c r="E280" s="86"/>
      <c r="F280" s="86"/>
      <c r="G280" s="86"/>
      <c r="H280" s="86"/>
      <c r="I280" s="86"/>
      <c r="J280" s="86"/>
      <c r="K280" s="86"/>
      <c r="L280" s="86"/>
      <c r="M280" s="86"/>
      <c r="N280" s="86"/>
    </row>
    <row r="281" spans="1:14" ht="15.75" customHeight="1" x14ac:dyDescent="0.25">
      <c r="A281" s="87">
        <v>272</v>
      </c>
      <c r="B281" s="88"/>
      <c r="C281" s="88"/>
      <c r="D281" s="88"/>
      <c r="E281" s="88"/>
      <c r="F281" s="88"/>
      <c r="G281" s="88"/>
      <c r="H281" s="88"/>
      <c r="I281" s="88"/>
      <c r="J281" s="88"/>
      <c r="K281" s="88"/>
      <c r="L281" s="88"/>
      <c r="M281" s="88"/>
      <c r="N281" s="88"/>
    </row>
    <row r="282" spans="1:14" ht="15.75" customHeight="1" x14ac:dyDescent="0.25">
      <c r="A282" s="85">
        <v>273</v>
      </c>
      <c r="B282" s="86"/>
      <c r="C282" s="86"/>
      <c r="D282" s="86"/>
      <c r="E282" s="86"/>
      <c r="F282" s="86"/>
      <c r="G282" s="86"/>
      <c r="H282" s="86"/>
      <c r="I282" s="86"/>
      <c r="J282" s="86"/>
      <c r="K282" s="86"/>
      <c r="L282" s="86"/>
      <c r="M282" s="86"/>
      <c r="N282" s="86"/>
    </row>
    <row r="283" spans="1:14" ht="15.75" customHeight="1" x14ac:dyDescent="0.25">
      <c r="A283" s="87">
        <v>274</v>
      </c>
      <c r="B283" s="88"/>
      <c r="C283" s="88"/>
      <c r="D283" s="88"/>
      <c r="E283" s="88"/>
      <c r="F283" s="88"/>
      <c r="G283" s="88"/>
      <c r="H283" s="88"/>
      <c r="I283" s="88"/>
      <c r="J283" s="88"/>
      <c r="K283" s="88"/>
      <c r="L283" s="88"/>
      <c r="M283" s="88"/>
      <c r="N283" s="88"/>
    </row>
    <row r="284" spans="1:14" ht="15.75" customHeight="1" x14ac:dyDescent="0.25">
      <c r="A284" s="85">
        <v>275</v>
      </c>
      <c r="B284" s="86"/>
      <c r="C284" s="86"/>
      <c r="D284" s="86"/>
      <c r="E284" s="86"/>
      <c r="F284" s="86"/>
      <c r="G284" s="86"/>
      <c r="H284" s="86"/>
      <c r="I284" s="86"/>
      <c r="J284" s="86"/>
      <c r="K284" s="86"/>
      <c r="L284" s="86"/>
      <c r="M284" s="86"/>
      <c r="N284" s="86"/>
    </row>
    <row r="285" spans="1:14" ht="15.75" customHeight="1" x14ac:dyDescent="0.25">
      <c r="A285" s="87">
        <v>276</v>
      </c>
      <c r="B285" s="88"/>
      <c r="C285" s="88"/>
      <c r="D285" s="88"/>
      <c r="E285" s="88"/>
      <c r="F285" s="88"/>
      <c r="G285" s="88"/>
      <c r="H285" s="88"/>
      <c r="I285" s="88"/>
      <c r="J285" s="88"/>
      <c r="K285" s="88"/>
      <c r="L285" s="88"/>
      <c r="M285" s="88"/>
      <c r="N285" s="88"/>
    </row>
    <row r="286" spans="1:14" ht="15.75" customHeight="1" x14ac:dyDescent="0.25">
      <c r="A286" s="85">
        <v>277</v>
      </c>
      <c r="B286" s="86"/>
      <c r="C286" s="86"/>
      <c r="D286" s="86"/>
      <c r="E286" s="86"/>
      <c r="F286" s="86"/>
      <c r="G286" s="86"/>
      <c r="H286" s="86"/>
      <c r="I286" s="86"/>
      <c r="J286" s="86"/>
      <c r="K286" s="86"/>
      <c r="L286" s="86"/>
      <c r="M286" s="86"/>
      <c r="N286" s="86"/>
    </row>
    <row r="287" spans="1:14" ht="15.75" customHeight="1" x14ac:dyDescent="0.25">
      <c r="A287" s="87">
        <v>278</v>
      </c>
      <c r="B287" s="88"/>
      <c r="C287" s="88"/>
      <c r="D287" s="88"/>
      <c r="E287" s="88"/>
      <c r="F287" s="88"/>
      <c r="G287" s="88"/>
      <c r="H287" s="88"/>
      <c r="I287" s="88"/>
      <c r="J287" s="88"/>
      <c r="K287" s="88"/>
      <c r="L287" s="88"/>
      <c r="M287" s="88"/>
      <c r="N287" s="88"/>
    </row>
    <row r="288" spans="1:14" ht="15.75" customHeight="1" x14ac:dyDescent="0.25">
      <c r="A288" s="85">
        <v>279</v>
      </c>
      <c r="B288" s="86"/>
      <c r="C288" s="86"/>
      <c r="D288" s="86"/>
      <c r="E288" s="86"/>
      <c r="F288" s="86"/>
      <c r="G288" s="86"/>
      <c r="H288" s="86"/>
      <c r="I288" s="86"/>
      <c r="J288" s="86"/>
      <c r="K288" s="86"/>
      <c r="L288" s="86"/>
      <c r="M288" s="86"/>
      <c r="N288" s="86"/>
    </row>
    <row r="289" spans="1:14" ht="15.75" customHeight="1" x14ac:dyDescent="0.25">
      <c r="A289" s="87">
        <v>280</v>
      </c>
      <c r="B289" s="88"/>
      <c r="C289" s="88"/>
      <c r="D289" s="88"/>
      <c r="E289" s="88"/>
      <c r="F289" s="88"/>
      <c r="G289" s="88"/>
      <c r="H289" s="88"/>
      <c r="I289" s="88"/>
      <c r="J289" s="88"/>
      <c r="K289" s="88"/>
      <c r="L289" s="88"/>
      <c r="M289" s="88"/>
      <c r="N289" s="88"/>
    </row>
    <row r="290" spans="1:14" ht="15.75" customHeight="1" x14ac:dyDescent="0.25">
      <c r="A290" s="85">
        <v>281</v>
      </c>
      <c r="B290" s="86"/>
      <c r="C290" s="86"/>
      <c r="D290" s="86"/>
      <c r="E290" s="86"/>
      <c r="F290" s="86"/>
      <c r="G290" s="86"/>
      <c r="H290" s="86"/>
      <c r="I290" s="86"/>
      <c r="J290" s="86"/>
      <c r="K290" s="86"/>
      <c r="L290" s="86"/>
      <c r="M290" s="86"/>
      <c r="N290" s="86"/>
    </row>
    <row r="291" spans="1:14" ht="15.75" customHeight="1" x14ac:dyDescent="0.25">
      <c r="A291" s="87">
        <v>282</v>
      </c>
      <c r="B291" s="88"/>
      <c r="C291" s="88"/>
      <c r="D291" s="88"/>
      <c r="E291" s="88"/>
      <c r="F291" s="88"/>
      <c r="G291" s="88"/>
      <c r="H291" s="88"/>
      <c r="I291" s="88"/>
      <c r="J291" s="88"/>
      <c r="K291" s="88"/>
      <c r="L291" s="88"/>
      <c r="M291" s="88"/>
      <c r="N291" s="88"/>
    </row>
    <row r="292" spans="1:14" ht="15.75" customHeight="1" x14ac:dyDescent="0.25">
      <c r="A292" s="85">
        <v>283</v>
      </c>
      <c r="B292" s="86"/>
      <c r="C292" s="86"/>
      <c r="D292" s="86"/>
      <c r="E292" s="86"/>
      <c r="F292" s="86"/>
      <c r="G292" s="86"/>
      <c r="H292" s="86"/>
      <c r="I292" s="86"/>
      <c r="J292" s="86"/>
      <c r="K292" s="86"/>
      <c r="L292" s="86"/>
      <c r="M292" s="86"/>
      <c r="N292" s="86"/>
    </row>
    <row r="293" spans="1:14" ht="15.75" customHeight="1" x14ac:dyDescent="0.25">
      <c r="A293" s="87">
        <v>284</v>
      </c>
      <c r="B293" s="88"/>
      <c r="C293" s="88"/>
      <c r="D293" s="88"/>
      <c r="E293" s="88"/>
      <c r="F293" s="88"/>
      <c r="G293" s="88"/>
      <c r="H293" s="88"/>
      <c r="I293" s="88"/>
      <c r="J293" s="88"/>
      <c r="K293" s="88"/>
      <c r="L293" s="88"/>
      <c r="M293" s="88"/>
      <c r="N293" s="88"/>
    </row>
    <row r="294" spans="1:14" ht="15.75" customHeight="1" x14ac:dyDescent="0.25">
      <c r="A294" s="85">
        <v>285</v>
      </c>
      <c r="B294" s="86"/>
      <c r="C294" s="86"/>
      <c r="D294" s="86"/>
      <c r="E294" s="86"/>
      <c r="F294" s="86"/>
      <c r="G294" s="86"/>
      <c r="H294" s="86"/>
      <c r="I294" s="86"/>
      <c r="J294" s="86"/>
      <c r="K294" s="86"/>
      <c r="L294" s="86"/>
      <c r="M294" s="86"/>
      <c r="N294" s="86"/>
    </row>
    <row r="295" spans="1:14" ht="15.75" customHeight="1" x14ac:dyDescent="0.25">
      <c r="A295" s="87">
        <v>286</v>
      </c>
      <c r="B295" s="88"/>
      <c r="C295" s="88"/>
      <c r="D295" s="88"/>
      <c r="E295" s="88"/>
      <c r="F295" s="88"/>
      <c r="G295" s="88"/>
      <c r="H295" s="88"/>
      <c r="I295" s="88"/>
      <c r="J295" s="88"/>
      <c r="K295" s="88"/>
      <c r="L295" s="88"/>
      <c r="M295" s="88"/>
      <c r="N295" s="88"/>
    </row>
    <row r="296" spans="1:14" ht="15.75" customHeight="1" x14ac:dyDescent="0.25">
      <c r="A296" s="85">
        <v>287</v>
      </c>
      <c r="B296" s="86"/>
      <c r="C296" s="86"/>
      <c r="D296" s="86"/>
      <c r="E296" s="86"/>
      <c r="F296" s="86"/>
      <c r="G296" s="86"/>
      <c r="H296" s="86"/>
      <c r="I296" s="86"/>
      <c r="J296" s="86"/>
      <c r="K296" s="86"/>
      <c r="L296" s="86"/>
      <c r="M296" s="86"/>
      <c r="N296" s="86"/>
    </row>
    <row r="297" spans="1:14" ht="15.75" customHeight="1" x14ac:dyDescent="0.25">
      <c r="A297" s="87">
        <v>288</v>
      </c>
      <c r="B297" s="88"/>
      <c r="C297" s="88"/>
      <c r="D297" s="88"/>
      <c r="E297" s="88"/>
      <c r="F297" s="88"/>
      <c r="G297" s="88"/>
      <c r="H297" s="88"/>
      <c r="I297" s="88"/>
      <c r="J297" s="88"/>
      <c r="K297" s="88"/>
      <c r="L297" s="88"/>
      <c r="M297" s="88"/>
      <c r="N297" s="88"/>
    </row>
    <row r="298" spans="1:14" ht="15.75" customHeight="1" x14ac:dyDescent="0.25">
      <c r="A298" s="85">
        <v>289</v>
      </c>
      <c r="B298" s="86"/>
      <c r="C298" s="86"/>
      <c r="D298" s="86"/>
      <c r="E298" s="86"/>
      <c r="F298" s="86"/>
      <c r="G298" s="86"/>
      <c r="H298" s="86"/>
      <c r="I298" s="86"/>
      <c r="J298" s="86"/>
      <c r="K298" s="86"/>
      <c r="L298" s="86"/>
      <c r="M298" s="86"/>
      <c r="N298" s="86"/>
    </row>
    <row r="299" spans="1:14" ht="15.75" customHeight="1" x14ac:dyDescent="0.25">
      <c r="A299" s="87">
        <v>290</v>
      </c>
      <c r="B299" s="88"/>
      <c r="C299" s="88"/>
      <c r="D299" s="88"/>
      <c r="E299" s="88"/>
      <c r="F299" s="88"/>
      <c r="G299" s="88"/>
      <c r="H299" s="88"/>
      <c r="I299" s="88"/>
      <c r="J299" s="88"/>
      <c r="K299" s="88"/>
      <c r="L299" s="88"/>
      <c r="M299" s="88"/>
      <c r="N299" s="88"/>
    </row>
    <row r="300" spans="1:14" ht="15.75" customHeight="1" x14ac:dyDescent="0.25">
      <c r="A300" s="85">
        <v>291</v>
      </c>
      <c r="B300" s="86"/>
      <c r="C300" s="86"/>
      <c r="D300" s="86"/>
      <c r="E300" s="86"/>
      <c r="F300" s="86"/>
      <c r="G300" s="86"/>
      <c r="H300" s="86"/>
      <c r="I300" s="86"/>
      <c r="J300" s="86"/>
      <c r="K300" s="86"/>
      <c r="L300" s="86"/>
      <c r="M300" s="86"/>
      <c r="N300" s="86"/>
    </row>
    <row r="301" spans="1:14" ht="15.75" customHeight="1" x14ac:dyDescent="0.25">
      <c r="A301" s="87">
        <v>292</v>
      </c>
      <c r="B301" s="88"/>
      <c r="C301" s="88"/>
      <c r="D301" s="88"/>
      <c r="E301" s="88"/>
      <c r="F301" s="88"/>
      <c r="G301" s="88"/>
      <c r="H301" s="88"/>
      <c r="I301" s="88"/>
      <c r="J301" s="88"/>
      <c r="K301" s="88"/>
      <c r="L301" s="88"/>
      <c r="M301" s="88"/>
      <c r="N301" s="88"/>
    </row>
    <row r="302" spans="1:14" ht="15.75" customHeight="1" x14ac:dyDescent="0.25">
      <c r="A302" s="85">
        <v>293</v>
      </c>
      <c r="B302" s="86"/>
      <c r="C302" s="86"/>
      <c r="D302" s="86"/>
      <c r="E302" s="86"/>
      <c r="F302" s="86"/>
      <c r="G302" s="86"/>
      <c r="H302" s="86"/>
      <c r="I302" s="86"/>
      <c r="J302" s="86"/>
      <c r="K302" s="86"/>
      <c r="L302" s="86"/>
      <c r="M302" s="86"/>
      <c r="N302" s="86"/>
    </row>
    <row r="303" spans="1:14" ht="15.75" customHeight="1" x14ac:dyDescent="0.25">
      <c r="A303" s="87">
        <v>294</v>
      </c>
      <c r="B303" s="88"/>
      <c r="C303" s="88"/>
      <c r="D303" s="88"/>
      <c r="E303" s="88"/>
      <c r="F303" s="88"/>
      <c r="G303" s="88"/>
      <c r="H303" s="88"/>
      <c r="I303" s="88"/>
      <c r="J303" s="88"/>
      <c r="K303" s="88"/>
      <c r="L303" s="88"/>
      <c r="M303" s="88"/>
      <c r="N303" s="88"/>
    </row>
    <row r="304" spans="1:14" ht="15.75" customHeight="1" x14ac:dyDescent="0.25">
      <c r="A304" s="85">
        <v>295</v>
      </c>
      <c r="B304" s="86"/>
      <c r="C304" s="86"/>
      <c r="D304" s="86"/>
      <c r="E304" s="86"/>
      <c r="F304" s="86"/>
      <c r="G304" s="86"/>
      <c r="H304" s="86"/>
      <c r="I304" s="86"/>
      <c r="J304" s="86"/>
      <c r="K304" s="86"/>
      <c r="L304" s="86"/>
      <c r="M304" s="86"/>
      <c r="N304" s="86"/>
    </row>
    <row r="305" spans="1:14" ht="15.75" customHeight="1" x14ac:dyDescent="0.25">
      <c r="A305" s="87">
        <v>296</v>
      </c>
      <c r="B305" s="88"/>
      <c r="C305" s="88"/>
      <c r="D305" s="88"/>
      <c r="E305" s="88"/>
      <c r="F305" s="88"/>
      <c r="G305" s="88"/>
      <c r="H305" s="88"/>
      <c r="I305" s="88"/>
      <c r="J305" s="88"/>
      <c r="K305" s="88"/>
      <c r="L305" s="88"/>
      <c r="M305" s="88"/>
      <c r="N305" s="88"/>
    </row>
    <row r="306" spans="1:14" ht="15.75" customHeight="1" x14ac:dyDescent="0.25">
      <c r="A306" s="85">
        <v>297</v>
      </c>
      <c r="B306" s="86"/>
      <c r="C306" s="86"/>
      <c r="D306" s="86"/>
      <c r="E306" s="86"/>
      <c r="F306" s="86"/>
      <c r="G306" s="86"/>
      <c r="H306" s="86"/>
      <c r="I306" s="86"/>
      <c r="J306" s="86"/>
      <c r="K306" s="86"/>
      <c r="L306" s="86"/>
      <c r="M306" s="86"/>
      <c r="N306" s="86"/>
    </row>
    <row r="307" spans="1:14" ht="15.75" customHeight="1" x14ac:dyDescent="0.25">
      <c r="A307" s="87">
        <v>298</v>
      </c>
      <c r="B307" s="88"/>
      <c r="C307" s="88"/>
      <c r="D307" s="88"/>
      <c r="E307" s="88"/>
      <c r="F307" s="88"/>
      <c r="G307" s="88"/>
      <c r="H307" s="88"/>
      <c r="I307" s="88"/>
      <c r="J307" s="88"/>
      <c r="K307" s="88"/>
      <c r="L307" s="88"/>
      <c r="M307" s="88"/>
      <c r="N307" s="88"/>
    </row>
    <row r="308" spans="1:14" ht="15.75" customHeight="1" x14ac:dyDescent="0.25">
      <c r="A308" s="85">
        <v>299</v>
      </c>
      <c r="B308" s="86"/>
      <c r="C308" s="86"/>
      <c r="D308" s="86"/>
      <c r="E308" s="86"/>
      <c r="F308" s="86"/>
      <c r="G308" s="86"/>
      <c r="H308" s="86"/>
      <c r="I308" s="86"/>
      <c r="J308" s="86"/>
      <c r="K308" s="86"/>
      <c r="L308" s="86"/>
      <c r="M308" s="86"/>
      <c r="N308" s="86"/>
    </row>
    <row r="309" spans="1:14" ht="15.75" customHeight="1" x14ac:dyDescent="0.25">
      <c r="A309" s="87">
        <v>300</v>
      </c>
      <c r="B309" s="88"/>
      <c r="C309" s="88"/>
      <c r="D309" s="88"/>
      <c r="E309" s="88"/>
      <c r="F309" s="88"/>
      <c r="G309" s="88"/>
      <c r="H309" s="88"/>
      <c r="I309" s="88"/>
      <c r="J309" s="88"/>
      <c r="K309" s="88"/>
      <c r="L309" s="88"/>
      <c r="M309" s="88"/>
      <c r="N309" s="88"/>
    </row>
    <row r="310" spans="1:14" ht="15.75" customHeight="1" x14ac:dyDescent="0.25">
      <c r="A310" s="85">
        <v>301</v>
      </c>
      <c r="B310" s="86"/>
      <c r="C310" s="86"/>
      <c r="D310" s="86"/>
      <c r="E310" s="86"/>
      <c r="F310" s="86"/>
      <c r="G310" s="86"/>
      <c r="H310" s="86"/>
      <c r="I310" s="86"/>
      <c r="J310" s="86"/>
      <c r="K310" s="86"/>
      <c r="L310" s="86"/>
      <c r="M310" s="86"/>
      <c r="N310" s="86"/>
    </row>
    <row r="311" spans="1:14" ht="15.75" customHeight="1" x14ac:dyDescent="0.25">
      <c r="A311" s="87">
        <v>302</v>
      </c>
      <c r="B311" s="88"/>
      <c r="C311" s="88"/>
      <c r="D311" s="88"/>
      <c r="E311" s="88"/>
      <c r="F311" s="88"/>
      <c r="G311" s="88"/>
      <c r="H311" s="88"/>
      <c r="I311" s="88"/>
      <c r="J311" s="88"/>
      <c r="K311" s="88"/>
      <c r="L311" s="88"/>
      <c r="M311" s="88"/>
      <c r="N311" s="88"/>
    </row>
    <row r="312" spans="1:14" ht="15.75" customHeight="1" x14ac:dyDescent="0.25">
      <c r="A312" s="85">
        <v>303</v>
      </c>
      <c r="B312" s="86"/>
      <c r="C312" s="86"/>
      <c r="D312" s="86"/>
      <c r="E312" s="86"/>
      <c r="F312" s="86"/>
      <c r="G312" s="86"/>
      <c r="H312" s="86"/>
      <c r="I312" s="86"/>
      <c r="J312" s="86"/>
      <c r="K312" s="86"/>
      <c r="L312" s="86"/>
      <c r="M312" s="86"/>
      <c r="N312" s="86"/>
    </row>
    <row r="313" spans="1:14" ht="15.75" customHeight="1" x14ac:dyDescent="0.25">
      <c r="A313" s="87">
        <v>304</v>
      </c>
      <c r="B313" s="88"/>
      <c r="C313" s="88"/>
      <c r="D313" s="88"/>
      <c r="E313" s="88"/>
      <c r="F313" s="88"/>
      <c r="G313" s="88"/>
      <c r="H313" s="88"/>
      <c r="I313" s="88"/>
      <c r="J313" s="88"/>
      <c r="K313" s="88"/>
      <c r="L313" s="88"/>
      <c r="M313" s="88"/>
      <c r="N313" s="88"/>
    </row>
    <row r="314" spans="1:14" ht="15.75" customHeight="1" x14ac:dyDescent="0.25">
      <c r="A314" s="85">
        <v>305</v>
      </c>
      <c r="B314" s="86"/>
      <c r="C314" s="86"/>
      <c r="D314" s="86"/>
      <c r="E314" s="86"/>
      <c r="F314" s="86"/>
      <c r="G314" s="86"/>
      <c r="H314" s="86"/>
      <c r="I314" s="86"/>
      <c r="J314" s="86"/>
      <c r="K314" s="86"/>
      <c r="L314" s="86"/>
      <c r="M314" s="86"/>
      <c r="N314" s="86"/>
    </row>
    <row r="315" spans="1:14" ht="15.75" customHeight="1" x14ac:dyDescent="0.25">
      <c r="A315" s="87">
        <v>306</v>
      </c>
      <c r="B315" s="88"/>
      <c r="C315" s="88"/>
      <c r="D315" s="88"/>
      <c r="E315" s="88"/>
      <c r="F315" s="88"/>
      <c r="G315" s="88"/>
      <c r="H315" s="88"/>
      <c r="I315" s="88"/>
      <c r="J315" s="88"/>
      <c r="K315" s="88"/>
      <c r="L315" s="88"/>
      <c r="M315" s="88"/>
      <c r="N315" s="88"/>
    </row>
    <row r="316" spans="1:14" ht="15.75" customHeight="1" x14ac:dyDescent="0.25">
      <c r="A316" s="85">
        <v>307</v>
      </c>
      <c r="B316" s="86"/>
      <c r="C316" s="86"/>
      <c r="D316" s="86"/>
      <c r="E316" s="86"/>
      <c r="F316" s="86"/>
      <c r="G316" s="86"/>
      <c r="H316" s="86"/>
      <c r="I316" s="86"/>
      <c r="J316" s="86"/>
      <c r="K316" s="86"/>
      <c r="L316" s="86"/>
      <c r="M316" s="86"/>
      <c r="N316" s="86"/>
    </row>
    <row r="317" spans="1:14" ht="15.75" customHeight="1" x14ac:dyDescent="0.25">
      <c r="A317" s="87">
        <v>308</v>
      </c>
      <c r="B317" s="88"/>
      <c r="C317" s="88"/>
      <c r="D317" s="88"/>
      <c r="E317" s="88"/>
      <c r="F317" s="88"/>
      <c r="G317" s="88"/>
      <c r="H317" s="88"/>
      <c r="I317" s="88"/>
      <c r="J317" s="88"/>
      <c r="K317" s="88"/>
      <c r="L317" s="88"/>
      <c r="M317" s="88"/>
      <c r="N317" s="88"/>
    </row>
    <row r="318" spans="1:14" ht="15.75" customHeight="1" x14ac:dyDescent="0.25">
      <c r="A318" s="85">
        <v>309</v>
      </c>
      <c r="B318" s="86"/>
      <c r="C318" s="86"/>
      <c r="D318" s="86"/>
      <c r="E318" s="86"/>
      <c r="F318" s="86"/>
      <c r="G318" s="86"/>
      <c r="H318" s="86"/>
      <c r="I318" s="86"/>
      <c r="J318" s="86"/>
      <c r="K318" s="86"/>
      <c r="L318" s="86"/>
      <c r="M318" s="86"/>
      <c r="N318" s="86"/>
    </row>
    <row r="319" spans="1:14" ht="15.75" customHeight="1" x14ac:dyDescent="0.25">
      <c r="A319" s="87">
        <v>310</v>
      </c>
      <c r="B319" s="88"/>
      <c r="C319" s="88"/>
      <c r="D319" s="88"/>
      <c r="E319" s="88"/>
      <c r="F319" s="88"/>
      <c r="G319" s="88"/>
      <c r="H319" s="88"/>
      <c r="I319" s="88"/>
      <c r="J319" s="88"/>
      <c r="K319" s="88"/>
      <c r="L319" s="88"/>
      <c r="M319" s="88"/>
      <c r="N319" s="88"/>
    </row>
    <row r="320" spans="1:14" ht="15.75" customHeight="1" x14ac:dyDescent="0.25">
      <c r="A320" s="85">
        <v>311</v>
      </c>
      <c r="B320" s="86"/>
      <c r="C320" s="86"/>
      <c r="D320" s="86"/>
      <c r="E320" s="86"/>
      <c r="F320" s="86"/>
      <c r="G320" s="86"/>
      <c r="H320" s="86"/>
      <c r="I320" s="86"/>
      <c r="J320" s="86"/>
      <c r="K320" s="86"/>
      <c r="L320" s="86"/>
      <c r="M320" s="86"/>
      <c r="N320" s="86"/>
    </row>
    <row r="321" spans="1:14" ht="15.75" customHeight="1" x14ac:dyDescent="0.25">
      <c r="A321" s="87">
        <v>312</v>
      </c>
      <c r="B321" s="88"/>
      <c r="C321" s="88"/>
      <c r="D321" s="88"/>
      <c r="E321" s="88"/>
      <c r="F321" s="88"/>
      <c r="G321" s="88"/>
      <c r="H321" s="88"/>
      <c r="I321" s="88"/>
      <c r="J321" s="88"/>
      <c r="K321" s="88"/>
      <c r="L321" s="88"/>
      <c r="M321" s="88"/>
      <c r="N321" s="88"/>
    </row>
    <row r="322" spans="1:14" ht="15.75" customHeight="1" x14ac:dyDescent="0.25">
      <c r="A322" s="85">
        <v>313</v>
      </c>
      <c r="B322" s="86"/>
      <c r="C322" s="86"/>
      <c r="D322" s="86"/>
      <c r="E322" s="86"/>
      <c r="F322" s="86"/>
      <c r="G322" s="86"/>
      <c r="H322" s="86"/>
      <c r="I322" s="86"/>
      <c r="J322" s="86"/>
      <c r="K322" s="86"/>
      <c r="L322" s="86"/>
      <c r="M322" s="86"/>
      <c r="N322" s="86"/>
    </row>
    <row r="323" spans="1:14" ht="15.75" customHeight="1" x14ac:dyDescent="0.25">
      <c r="A323" s="87">
        <v>314</v>
      </c>
      <c r="B323" s="88"/>
      <c r="C323" s="88"/>
      <c r="D323" s="88"/>
      <c r="E323" s="88"/>
      <c r="F323" s="88"/>
      <c r="G323" s="88"/>
      <c r="H323" s="88"/>
      <c r="I323" s="88"/>
      <c r="J323" s="88"/>
      <c r="K323" s="88"/>
      <c r="L323" s="88"/>
      <c r="M323" s="88"/>
      <c r="N323" s="88"/>
    </row>
    <row r="324" spans="1:14" ht="15.75" customHeight="1" x14ac:dyDescent="0.25">
      <c r="A324" s="85">
        <v>315</v>
      </c>
      <c r="B324" s="86"/>
      <c r="C324" s="86"/>
      <c r="D324" s="86"/>
      <c r="E324" s="86"/>
      <c r="F324" s="86"/>
      <c r="G324" s="86"/>
      <c r="H324" s="86"/>
      <c r="I324" s="86"/>
      <c r="J324" s="86"/>
      <c r="K324" s="86"/>
      <c r="L324" s="86"/>
      <c r="M324" s="86"/>
      <c r="N324" s="86"/>
    </row>
    <row r="325" spans="1:14" ht="15.75" customHeight="1" x14ac:dyDescent="0.25">
      <c r="A325" s="87">
        <v>316</v>
      </c>
      <c r="B325" s="88"/>
      <c r="C325" s="88"/>
      <c r="D325" s="88"/>
      <c r="E325" s="88"/>
      <c r="F325" s="88"/>
      <c r="G325" s="88"/>
      <c r="H325" s="88"/>
      <c r="I325" s="88"/>
      <c r="J325" s="88"/>
      <c r="K325" s="88"/>
      <c r="L325" s="88"/>
      <c r="M325" s="88"/>
      <c r="N325" s="88"/>
    </row>
    <row r="326" spans="1:14" ht="15.75" customHeight="1" x14ac:dyDescent="0.25">
      <c r="A326" s="85">
        <v>317</v>
      </c>
      <c r="B326" s="86"/>
      <c r="C326" s="86"/>
      <c r="D326" s="86"/>
      <c r="E326" s="86"/>
      <c r="F326" s="86"/>
      <c r="G326" s="86"/>
      <c r="H326" s="86"/>
      <c r="I326" s="86"/>
      <c r="J326" s="86"/>
      <c r="K326" s="86"/>
      <c r="L326" s="86"/>
      <c r="M326" s="86"/>
      <c r="N326" s="86"/>
    </row>
    <row r="327" spans="1:14" ht="15.75" customHeight="1" x14ac:dyDescent="0.25">
      <c r="A327" s="87">
        <v>318</v>
      </c>
      <c r="B327" s="88"/>
      <c r="C327" s="88"/>
      <c r="D327" s="88"/>
      <c r="E327" s="88"/>
      <c r="F327" s="88"/>
      <c r="G327" s="88"/>
      <c r="H327" s="88"/>
      <c r="I327" s="88"/>
      <c r="J327" s="88"/>
      <c r="K327" s="88"/>
      <c r="L327" s="88"/>
      <c r="M327" s="88"/>
      <c r="N327" s="88"/>
    </row>
    <row r="328" spans="1:14" ht="15.75" customHeight="1" x14ac:dyDescent="0.25">
      <c r="A328" s="85">
        <v>319</v>
      </c>
      <c r="B328" s="86"/>
      <c r="C328" s="86"/>
      <c r="D328" s="86"/>
      <c r="E328" s="86"/>
      <c r="F328" s="86"/>
      <c r="G328" s="86"/>
      <c r="H328" s="86"/>
      <c r="I328" s="86"/>
      <c r="J328" s="86"/>
      <c r="K328" s="86"/>
      <c r="L328" s="86"/>
      <c r="M328" s="86"/>
      <c r="N328" s="86"/>
    </row>
    <row r="329" spans="1:14" ht="15.75" customHeight="1" x14ac:dyDescent="0.25">
      <c r="A329" s="87">
        <v>320</v>
      </c>
      <c r="B329" s="88"/>
      <c r="C329" s="88"/>
      <c r="D329" s="88"/>
      <c r="E329" s="88"/>
      <c r="F329" s="88"/>
      <c r="G329" s="88"/>
      <c r="H329" s="88"/>
      <c r="I329" s="88"/>
      <c r="J329" s="88"/>
      <c r="K329" s="88"/>
      <c r="L329" s="88"/>
      <c r="M329" s="88"/>
      <c r="N329" s="88"/>
    </row>
    <row r="330" spans="1:14" ht="15.75" customHeight="1" x14ac:dyDescent="0.25">
      <c r="A330" s="85">
        <v>321</v>
      </c>
      <c r="B330" s="86"/>
      <c r="C330" s="86"/>
      <c r="D330" s="86"/>
      <c r="E330" s="86"/>
      <c r="F330" s="86"/>
      <c r="G330" s="86"/>
      <c r="H330" s="86"/>
      <c r="I330" s="86"/>
      <c r="J330" s="86"/>
      <c r="K330" s="86"/>
      <c r="L330" s="86"/>
      <c r="M330" s="86"/>
      <c r="N330" s="86"/>
    </row>
    <row r="331" spans="1:14" ht="15.75" customHeight="1" x14ac:dyDescent="0.25">
      <c r="A331" s="87">
        <v>322</v>
      </c>
      <c r="B331" s="88"/>
      <c r="C331" s="88"/>
      <c r="D331" s="88"/>
      <c r="E331" s="88"/>
      <c r="F331" s="88"/>
      <c r="G331" s="88"/>
      <c r="H331" s="88"/>
      <c r="I331" s="88"/>
      <c r="J331" s="88"/>
      <c r="K331" s="88"/>
      <c r="L331" s="88"/>
      <c r="M331" s="88"/>
      <c r="N331" s="88"/>
    </row>
    <row r="332" spans="1:14" ht="15.75" customHeight="1" x14ac:dyDescent="0.25">
      <c r="A332" s="85">
        <v>323</v>
      </c>
      <c r="B332" s="86"/>
      <c r="C332" s="86"/>
      <c r="D332" s="86"/>
      <c r="E332" s="86"/>
      <c r="F332" s="86"/>
      <c r="G332" s="86"/>
      <c r="H332" s="86"/>
      <c r="I332" s="86"/>
      <c r="J332" s="86"/>
      <c r="K332" s="86"/>
      <c r="L332" s="86"/>
      <c r="M332" s="86"/>
      <c r="N332" s="86"/>
    </row>
    <row r="333" spans="1:14" ht="15.75" customHeight="1" x14ac:dyDescent="0.25">
      <c r="A333" s="87">
        <v>324</v>
      </c>
      <c r="B333" s="88"/>
      <c r="C333" s="88"/>
      <c r="D333" s="88"/>
      <c r="E333" s="88"/>
      <c r="F333" s="88"/>
      <c r="G333" s="88"/>
      <c r="H333" s="88"/>
      <c r="I333" s="88"/>
      <c r="J333" s="88"/>
      <c r="K333" s="88"/>
      <c r="L333" s="88"/>
      <c r="M333" s="88"/>
      <c r="N333" s="88"/>
    </row>
    <row r="334" spans="1:14" ht="15.75" customHeight="1" x14ac:dyDescent="0.25">
      <c r="A334" s="85">
        <v>325</v>
      </c>
      <c r="B334" s="86"/>
      <c r="C334" s="86"/>
      <c r="D334" s="86"/>
      <c r="E334" s="86"/>
      <c r="F334" s="86"/>
      <c r="G334" s="86"/>
      <c r="H334" s="86"/>
      <c r="I334" s="86"/>
      <c r="J334" s="86"/>
      <c r="K334" s="86"/>
      <c r="L334" s="86"/>
      <c r="M334" s="86"/>
      <c r="N334" s="86"/>
    </row>
    <row r="335" spans="1:14" ht="15.75" customHeight="1" x14ac:dyDescent="0.25">
      <c r="A335" s="87">
        <v>326</v>
      </c>
      <c r="B335" s="88"/>
      <c r="C335" s="88"/>
      <c r="D335" s="88"/>
      <c r="E335" s="88"/>
      <c r="F335" s="88"/>
      <c r="G335" s="88"/>
      <c r="H335" s="88"/>
      <c r="I335" s="88"/>
      <c r="J335" s="88"/>
      <c r="K335" s="88"/>
      <c r="L335" s="88"/>
      <c r="M335" s="88"/>
      <c r="N335" s="88"/>
    </row>
    <row r="336" spans="1:14" ht="15.75" customHeight="1" x14ac:dyDescent="0.25">
      <c r="A336" s="85">
        <v>327</v>
      </c>
      <c r="B336" s="86"/>
      <c r="C336" s="86"/>
      <c r="D336" s="86"/>
      <c r="E336" s="86"/>
      <c r="F336" s="86"/>
      <c r="G336" s="86"/>
      <c r="H336" s="86"/>
      <c r="I336" s="86"/>
      <c r="J336" s="86"/>
      <c r="K336" s="86"/>
      <c r="L336" s="86"/>
      <c r="M336" s="86"/>
      <c r="N336" s="86"/>
    </row>
    <row r="337" spans="1:14" ht="15.75" customHeight="1" x14ac:dyDescent="0.25">
      <c r="A337" s="87">
        <v>328</v>
      </c>
      <c r="B337" s="88"/>
      <c r="C337" s="88"/>
      <c r="D337" s="88"/>
      <c r="E337" s="88"/>
      <c r="F337" s="88"/>
      <c r="G337" s="88"/>
      <c r="H337" s="88"/>
      <c r="I337" s="88"/>
      <c r="J337" s="88"/>
      <c r="K337" s="88"/>
      <c r="L337" s="88"/>
      <c r="M337" s="88"/>
      <c r="N337" s="88"/>
    </row>
    <row r="338" spans="1:14" ht="15.75" customHeight="1" x14ac:dyDescent="0.25">
      <c r="A338" s="85">
        <v>329</v>
      </c>
      <c r="B338" s="86"/>
      <c r="C338" s="86"/>
      <c r="D338" s="86"/>
      <c r="E338" s="86"/>
      <c r="F338" s="86"/>
      <c r="G338" s="86"/>
      <c r="H338" s="86"/>
      <c r="I338" s="86"/>
      <c r="J338" s="86"/>
      <c r="K338" s="86"/>
      <c r="L338" s="86"/>
      <c r="M338" s="86"/>
      <c r="N338" s="86"/>
    </row>
    <row r="339" spans="1:14" ht="15.75" customHeight="1" x14ac:dyDescent="0.25">
      <c r="A339" s="87">
        <v>330</v>
      </c>
      <c r="B339" s="88"/>
      <c r="C339" s="88"/>
      <c r="D339" s="88"/>
      <c r="E339" s="88"/>
      <c r="F339" s="88"/>
      <c r="G339" s="88"/>
      <c r="H339" s="88"/>
      <c r="I339" s="88"/>
      <c r="J339" s="88"/>
      <c r="K339" s="88"/>
      <c r="L339" s="88"/>
      <c r="M339" s="88"/>
      <c r="N339" s="88"/>
    </row>
    <row r="340" spans="1:14" ht="15.75" customHeight="1" x14ac:dyDescent="0.25">
      <c r="A340" s="85">
        <v>331</v>
      </c>
      <c r="B340" s="86"/>
      <c r="C340" s="86"/>
      <c r="D340" s="86"/>
      <c r="E340" s="86"/>
      <c r="F340" s="86"/>
      <c r="G340" s="86"/>
      <c r="H340" s="86"/>
      <c r="I340" s="86"/>
      <c r="J340" s="86"/>
      <c r="K340" s="86"/>
      <c r="L340" s="86"/>
      <c r="M340" s="86"/>
      <c r="N340" s="86"/>
    </row>
    <row r="341" spans="1:14" ht="15.75" customHeight="1" x14ac:dyDescent="0.25">
      <c r="A341" s="87">
        <v>332</v>
      </c>
      <c r="B341" s="88"/>
      <c r="C341" s="88"/>
      <c r="D341" s="88"/>
      <c r="E341" s="88"/>
      <c r="F341" s="88"/>
      <c r="G341" s="88"/>
      <c r="H341" s="88"/>
      <c r="I341" s="88"/>
      <c r="J341" s="88"/>
      <c r="K341" s="88"/>
      <c r="L341" s="88"/>
      <c r="M341" s="88"/>
      <c r="N341" s="88"/>
    </row>
    <row r="342" spans="1:14" ht="15.75" customHeight="1" x14ac:dyDescent="0.25">
      <c r="A342" s="85">
        <v>333</v>
      </c>
      <c r="B342" s="86"/>
      <c r="C342" s="86"/>
      <c r="D342" s="86"/>
      <c r="E342" s="86"/>
      <c r="F342" s="86"/>
      <c r="G342" s="86"/>
      <c r="H342" s="86"/>
      <c r="I342" s="86"/>
      <c r="J342" s="86"/>
      <c r="K342" s="86"/>
      <c r="L342" s="86"/>
      <c r="M342" s="86"/>
      <c r="N342" s="86"/>
    </row>
    <row r="343" spans="1:14" ht="15.75" customHeight="1" x14ac:dyDescent="0.25">
      <c r="A343" s="87">
        <v>334</v>
      </c>
      <c r="B343" s="88"/>
      <c r="C343" s="88"/>
      <c r="D343" s="88"/>
      <c r="E343" s="88"/>
      <c r="F343" s="88"/>
      <c r="G343" s="88"/>
      <c r="H343" s="88"/>
      <c r="I343" s="88"/>
      <c r="J343" s="88"/>
      <c r="K343" s="88"/>
      <c r="L343" s="88"/>
      <c r="M343" s="88"/>
      <c r="N343" s="88"/>
    </row>
    <row r="344" spans="1:14" ht="15.75" customHeight="1" x14ac:dyDescent="0.25">
      <c r="A344" s="85">
        <v>335</v>
      </c>
      <c r="B344" s="86"/>
      <c r="C344" s="86"/>
      <c r="D344" s="86"/>
      <c r="E344" s="86"/>
      <c r="F344" s="86"/>
      <c r="G344" s="86"/>
      <c r="H344" s="86"/>
      <c r="I344" s="86"/>
      <c r="J344" s="86"/>
      <c r="K344" s="86"/>
      <c r="L344" s="86"/>
      <c r="M344" s="86"/>
      <c r="N344" s="86"/>
    </row>
    <row r="345" spans="1:14" ht="15.75" customHeight="1" x14ac:dyDescent="0.25">
      <c r="A345" s="87">
        <v>336</v>
      </c>
      <c r="B345" s="88"/>
      <c r="C345" s="88"/>
      <c r="D345" s="88"/>
      <c r="E345" s="88"/>
      <c r="F345" s="88"/>
      <c r="G345" s="88"/>
      <c r="H345" s="88"/>
      <c r="I345" s="88"/>
      <c r="J345" s="88"/>
      <c r="K345" s="88"/>
      <c r="L345" s="88"/>
      <c r="M345" s="88"/>
      <c r="N345" s="88"/>
    </row>
    <row r="346" spans="1:14" ht="15.75" customHeight="1" x14ac:dyDescent="0.25">
      <c r="A346" s="85">
        <v>337</v>
      </c>
      <c r="B346" s="86"/>
      <c r="C346" s="86"/>
      <c r="D346" s="86"/>
      <c r="E346" s="86"/>
      <c r="F346" s="86"/>
      <c r="G346" s="86"/>
      <c r="H346" s="86"/>
      <c r="I346" s="86"/>
      <c r="J346" s="86"/>
      <c r="K346" s="86"/>
      <c r="L346" s="86"/>
      <c r="M346" s="86"/>
      <c r="N346" s="86"/>
    </row>
    <row r="347" spans="1:14" ht="15.75" customHeight="1" x14ac:dyDescent="0.25">
      <c r="A347" s="87">
        <v>338</v>
      </c>
      <c r="B347" s="88"/>
      <c r="C347" s="88"/>
      <c r="D347" s="88"/>
      <c r="E347" s="88"/>
      <c r="F347" s="88"/>
      <c r="G347" s="88"/>
      <c r="H347" s="88"/>
      <c r="I347" s="88"/>
      <c r="J347" s="88"/>
      <c r="K347" s="88"/>
      <c r="L347" s="88"/>
      <c r="M347" s="88"/>
      <c r="N347" s="88"/>
    </row>
    <row r="348" spans="1:14" ht="15.75" customHeight="1" x14ac:dyDescent="0.25">
      <c r="A348" s="85">
        <v>339</v>
      </c>
      <c r="B348" s="86"/>
      <c r="C348" s="86"/>
      <c r="D348" s="86"/>
      <c r="E348" s="86"/>
      <c r="F348" s="86"/>
      <c r="G348" s="86"/>
      <c r="H348" s="86"/>
      <c r="I348" s="86"/>
      <c r="J348" s="86"/>
      <c r="K348" s="86"/>
      <c r="L348" s="86"/>
      <c r="M348" s="86"/>
      <c r="N348" s="86"/>
    </row>
    <row r="349" spans="1:14" ht="15.75" customHeight="1" x14ac:dyDescent="0.25">
      <c r="A349" s="87">
        <v>340</v>
      </c>
      <c r="B349" s="88"/>
      <c r="C349" s="88"/>
      <c r="D349" s="88"/>
      <c r="E349" s="88"/>
      <c r="F349" s="88"/>
      <c r="G349" s="88"/>
      <c r="H349" s="88"/>
      <c r="I349" s="88"/>
      <c r="J349" s="88"/>
      <c r="K349" s="88"/>
      <c r="L349" s="88"/>
      <c r="M349" s="88"/>
      <c r="N349" s="88"/>
    </row>
    <row r="350" spans="1:14" ht="15.75" customHeight="1" x14ac:dyDescent="0.25">
      <c r="A350" s="85">
        <v>341</v>
      </c>
      <c r="B350" s="86"/>
      <c r="C350" s="86"/>
      <c r="D350" s="86"/>
      <c r="E350" s="86"/>
      <c r="F350" s="86"/>
      <c r="G350" s="86"/>
      <c r="H350" s="86"/>
      <c r="I350" s="86"/>
      <c r="J350" s="86"/>
      <c r="K350" s="86"/>
      <c r="L350" s="86"/>
      <c r="M350" s="86"/>
      <c r="N350" s="86"/>
    </row>
    <row r="351" spans="1:14" ht="15.75" customHeight="1" x14ac:dyDescent="0.25">
      <c r="A351" s="87">
        <v>342</v>
      </c>
      <c r="B351" s="88"/>
      <c r="C351" s="88"/>
      <c r="D351" s="88"/>
      <c r="E351" s="88"/>
      <c r="F351" s="88"/>
      <c r="G351" s="88"/>
      <c r="H351" s="88"/>
      <c r="I351" s="88"/>
      <c r="J351" s="88"/>
      <c r="K351" s="88"/>
      <c r="L351" s="88"/>
      <c r="M351" s="88"/>
      <c r="N351" s="88"/>
    </row>
    <row r="352" spans="1:14" ht="15.75" customHeight="1" x14ac:dyDescent="0.25">
      <c r="A352" s="85">
        <v>343</v>
      </c>
      <c r="B352" s="86"/>
      <c r="C352" s="86"/>
      <c r="D352" s="86"/>
      <c r="E352" s="86"/>
      <c r="F352" s="86"/>
      <c r="G352" s="86"/>
      <c r="H352" s="86"/>
      <c r="I352" s="86"/>
      <c r="J352" s="86"/>
      <c r="K352" s="86"/>
      <c r="L352" s="86"/>
      <c r="M352" s="86"/>
      <c r="N352" s="86"/>
    </row>
    <row r="353" spans="1:14" ht="15.75" customHeight="1" x14ac:dyDescent="0.25">
      <c r="A353" s="87">
        <v>344</v>
      </c>
      <c r="B353" s="88"/>
      <c r="C353" s="88"/>
      <c r="D353" s="88"/>
      <c r="E353" s="88"/>
      <c r="F353" s="88"/>
      <c r="G353" s="88"/>
      <c r="H353" s="88"/>
      <c r="I353" s="88"/>
      <c r="J353" s="88"/>
      <c r="K353" s="88"/>
      <c r="L353" s="88"/>
      <c r="M353" s="88"/>
      <c r="N353" s="88"/>
    </row>
    <row r="354" spans="1:14" ht="15.75" customHeight="1" x14ac:dyDescent="0.25">
      <c r="A354" s="85">
        <v>345</v>
      </c>
      <c r="B354" s="86"/>
      <c r="C354" s="86"/>
      <c r="D354" s="86"/>
      <c r="E354" s="86"/>
      <c r="F354" s="86"/>
      <c r="G354" s="86"/>
      <c r="H354" s="86"/>
      <c r="I354" s="86"/>
      <c r="J354" s="86"/>
      <c r="K354" s="86"/>
      <c r="L354" s="86"/>
      <c r="M354" s="86"/>
      <c r="N354" s="86"/>
    </row>
    <row r="355" spans="1:14" ht="15.75" customHeight="1" x14ac:dyDescent="0.25">
      <c r="A355" s="87">
        <v>346</v>
      </c>
      <c r="B355" s="88"/>
      <c r="C355" s="88"/>
      <c r="D355" s="88"/>
      <c r="E355" s="88"/>
      <c r="F355" s="88"/>
      <c r="G355" s="88"/>
      <c r="H355" s="88"/>
      <c r="I355" s="88"/>
      <c r="J355" s="88"/>
      <c r="K355" s="88"/>
      <c r="L355" s="88"/>
      <c r="M355" s="88"/>
      <c r="N355" s="88"/>
    </row>
    <row r="356" spans="1:14" ht="15.75" customHeight="1" x14ac:dyDescent="0.25">
      <c r="A356" s="85">
        <v>347</v>
      </c>
      <c r="B356" s="86"/>
      <c r="C356" s="86"/>
      <c r="D356" s="86"/>
      <c r="E356" s="86"/>
      <c r="F356" s="86"/>
      <c r="G356" s="86"/>
      <c r="H356" s="86"/>
      <c r="I356" s="86"/>
      <c r="J356" s="86"/>
      <c r="K356" s="86"/>
      <c r="L356" s="86"/>
      <c r="M356" s="86"/>
      <c r="N356" s="86"/>
    </row>
    <row r="357" spans="1:14" ht="15.75" customHeight="1" x14ac:dyDescent="0.25">
      <c r="A357" s="87">
        <v>348</v>
      </c>
      <c r="B357" s="88"/>
      <c r="C357" s="88"/>
      <c r="D357" s="88"/>
      <c r="E357" s="88"/>
      <c r="F357" s="88"/>
      <c r="G357" s="88"/>
      <c r="H357" s="88"/>
      <c r="I357" s="88"/>
      <c r="J357" s="88"/>
      <c r="K357" s="88"/>
      <c r="L357" s="88"/>
      <c r="M357" s="88"/>
      <c r="N357" s="88"/>
    </row>
    <row r="358" spans="1:14" ht="15.75" customHeight="1" x14ac:dyDescent="0.25">
      <c r="A358" s="85">
        <v>349</v>
      </c>
      <c r="B358" s="86"/>
      <c r="C358" s="86"/>
      <c r="D358" s="86"/>
      <c r="E358" s="86"/>
      <c r="F358" s="86"/>
      <c r="G358" s="86"/>
      <c r="H358" s="86"/>
      <c r="I358" s="86"/>
      <c r="J358" s="86"/>
      <c r="K358" s="86"/>
      <c r="L358" s="86"/>
      <c r="M358" s="86"/>
      <c r="N358" s="86"/>
    </row>
    <row r="359" spans="1:14" ht="15.75" customHeight="1" x14ac:dyDescent="0.25">
      <c r="A359" s="87">
        <v>350</v>
      </c>
      <c r="B359" s="88"/>
      <c r="C359" s="88"/>
      <c r="D359" s="88"/>
      <c r="E359" s="88"/>
      <c r="F359" s="88"/>
      <c r="G359" s="88"/>
      <c r="H359" s="88"/>
      <c r="I359" s="88"/>
      <c r="J359" s="88"/>
      <c r="K359" s="88"/>
      <c r="L359" s="88"/>
      <c r="M359" s="88"/>
      <c r="N359" s="88"/>
    </row>
    <row r="360" spans="1:14" ht="15.75" customHeight="1" x14ac:dyDescent="0.25">
      <c r="A360" s="85">
        <v>351</v>
      </c>
      <c r="B360" s="86"/>
      <c r="C360" s="86"/>
      <c r="D360" s="86"/>
      <c r="E360" s="86"/>
      <c r="F360" s="86"/>
      <c r="G360" s="86"/>
      <c r="H360" s="86"/>
      <c r="I360" s="86"/>
      <c r="J360" s="86"/>
      <c r="K360" s="86"/>
      <c r="L360" s="86"/>
      <c r="M360" s="86"/>
      <c r="N360" s="86"/>
    </row>
    <row r="361" spans="1:14" ht="15.75" customHeight="1" x14ac:dyDescent="0.25">
      <c r="A361" s="87">
        <v>352</v>
      </c>
      <c r="B361" s="88"/>
      <c r="C361" s="88"/>
      <c r="D361" s="88"/>
      <c r="E361" s="88"/>
      <c r="F361" s="88"/>
      <c r="G361" s="88"/>
      <c r="H361" s="88"/>
      <c r="I361" s="88"/>
      <c r="J361" s="88"/>
      <c r="K361" s="88"/>
      <c r="L361" s="88"/>
      <c r="M361" s="88"/>
      <c r="N361" s="88"/>
    </row>
    <row r="362" spans="1:14" ht="15.75" customHeight="1" x14ac:dyDescent="0.25">
      <c r="A362" s="85">
        <v>353</v>
      </c>
      <c r="B362" s="86"/>
      <c r="C362" s="86"/>
      <c r="D362" s="86"/>
      <c r="E362" s="86"/>
      <c r="F362" s="86"/>
      <c r="G362" s="86"/>
      <c r="H362" s="86"/>
      <c r="I362" s="86"/>
      <c r="J362" s="86"/>
      <c r="K362" s="86"/>
      <c r="L362" s="86"/>
      <c r="M362" s="86"/>
      <c r="N362" s="86"/>
    </row>
    <row r="363" spans="1:14" ht="15.75" customHeight="1" x14ac:dyDescent="0.25">
      <c r="A363" s="87">
        <v>354</v>
      </c>
      <c r="B363" s="88"/>
      <c r="C363" s="88"/>
      <c r="D363" s="88"/>
      <c r="E363" s="88"/>
      <c r="F363" s="88"/>
      <c r="G363" s="88"/>
      <c r="H363" s="88"/>
      <c r="I363" s="88"/>
      <c r="J363" s="88"/>
      <c r="K363" s="88"/>
      <c r="L363" s="88"/>
      <c r="M363" s="88"/>
      <c r="N363" s="88"/>
    </row>
    <row r="364" spans="1:14" ht="15.75" customHeight="1" x14ac:dyDescent="0.25">
      <c r="A364" s="85">
        <v>355</v>
      </c>
      <c r="B364" s="86"/>
      <c r="C364" s="86"/>
      <c r="D364" s="86"/>
      <c r="E364" s="86"/>
      <c r="F364" s="86"/>
      <c r="G364" s="86"/>
      <c r="H364" s="86"/>
      <c r="I364" s="86"/>
      <c r="J364" s="86"/>
      <c r="K364" s="86"/>
      <c r="L364" s="86"/>
      <c r="M364" s="86"/>
      <c r="N364" s="86"/>
    </row>
    <row r="365" spans="1:14" ht="15.75" customHeight="1" x14ac:dyDescent="0.25">
      <c r="A365" s="87">
        <v>356</v>
      </c>
      <c r="B365" s="88"/>
      <c r="C365" s="88"/>
      <c r="D365" s="88"/>
      <c r="E365" s="88"/>
      <c r="F365" s="88"/>
      <c r="G365" s="88"/>
      <c r="H365" s="88"/>
      <c r="I365" s="88"/>
      <c r="J365" s="88"/>
      <c r="K365" s="88"/>
      <c r="L365" s="88"/>
      <c r="M365" s="88"/>
      <c r="N365" s="88"/>
    </row>
    <row r="366" spans="1:14" ht="15.75" customHeight="1" x14ac:dyDescent="0.25">
      <c r="A366" s="85">
        <v>357</v>
      </c>
      <c r="B366" s="86"/>
      <c r="C366" s="86"/>
      <c r="D366" s="86"/>
      <c r="E366" s="86"/>
      <c r="F366" s="86"/>
      <c r="G366" s="86"/>
      <c r="H366" s="86"/>
      <c r="I366" s="86"/>
      <c r="J366" s="86"/>
      <c r="K366" s="86"/>
      <c r="L366" s="86"/>
      <c r="M366" s="86"/>
      <c r="N366" s="86"/>
    </row>
    <row r="367" spans="1:14" ht="15.75" customHeight="1" x14ac:dyDescent="0.25">
      <c r="A367" s="87">
        <v>358</v>
      </c>
      <c r="B367" s="88"/>
      <c r="C367" s="88"/>
      <c r="D367" s="88"/>
      <c r="E367" s="88"/>
      <c r="F367" s="88"/>
      <c r="G367" s="88"/>
      <c r="H367" s="88"/>
      <c r="I367" s="88"/>
      <c r="J367" s="88"/>
      <c r="K367" s="88"/>
      <c r="L367" s="88"/>
      <c r="M367" s="88"/>
      <c r="N367" s="88"/>
    </row>
    <row r="368" spans="1:14" ht="15.75" customHeight="1" x14ac:dyDescent="0.25">
      <c r="A368" s="85">
        <v>359</v>
      </c>
      <c r="B368" s="86"/>
      <c r="C368" s="86"/>
      <c r="D368" s="86"/>
      <c r="E368" s="86"/>
      <c r="F368" s="86"/>
      <c r="G368" s="86"/>
      <c r="H368" s="86"/>
      <c r="I368" s="86"/>
      <c r="J368" s="86"/>
      <c r="K368" s="86"/>
      <c r="L368" s="86"/>
      <c r="M368" s="86"/>
      <c r="N368" s="86"/>
    </row>
    <row r="369" spans="1:14" ht="15.75" customHeight="1" x14ac:dyDescent="0.25">
      <c r="A369" s="87">
        <v>360</v>
      </c>
      <c r="B369" s="88"/>
      <c r="C369" s="88"/>
      <c r="D369" s="88"/>
      <c r="E369" s="88"/>
      <c r="F369" s="88"/>
      <c r="G369" s="88"/>
      <c r="H369" s="88"/>
      <c r="I369" s="88"/>
      <c r="J369" s="88"/>
      <c r="K369" s="88"/>
      <c r="L369" s="88"/>
      <c r="M369" s="88"/>
      <c r="N369" s="88"/>
    </row>
    <row r="370" spans="1:14" ht="15.75" customHeight="1" x14ac:dyDescent="0.25">
      <c r="A370" s="85">
        <v>361</v>
      </c>
      <c r="B370" s="86"/>
      <c r="C370" s="86"/>
      <c r="D370" s="86"/>
      <c r="E370" s="86"/>
      <c r="F370" s="86"/>
      <c r="G370" s="86"/>
      <c r="H370" s="86"/>
      <c r="I370" s="86"/>
      <c r="J370" s="86"/>
      <c r="K370" s="86"/>
      <c r="L370" s="86"/>
      <c r="M370" s="86"/>
      <c r="N370" s="86"/>
    </row>
    <row r="371" spans="1:14" ht="15.75" customHeight="1" x14ac:dyDescent="0.25">
      <c r="A371" s="87">
        <v>362</v>
      </c>
      <c r="B371" s="88"/>
      <c r="C371" s="88"/>
      <c r="D371" s="88"/>
      <c r="E371" s="88"/>
      <c r="F371" s="88"/>
      <c r="G371" s="88"/>
      <c r="H371" s="88"/>
      <c r="I371" s="88"/>
      <c r="J371" s="88"/>
      <c r="K371" s="88"/>
      <c r="L371" s="88"/>
      <c r="M371" s="88"/>
      <c r="N371" s="88"/>
    </row>
    <row r="372" spans="1:14" ht="15.75" customHeight="1" x14ac:dyDescent="0.25">
      <c r="A372" s="85">
        <v>363</v>
      </c>
      <c r="B372" s="86"/>
      <c r="C372" s="86"/>
      <c r="D372" s="86"/>
      <c r="E372" s="86"/>
      <c r="F372" s="86"/>
      <c r="G372" s="86"/>
      <c r="H372" s="86"/>
      <c r="I372" s="86"/>
      <c r="J372" s="86"/>
      <c r="K372" s="86"/>
      <c r="L372" s="86"/>
      <c r="M372" s="86"/>
      <c r="N372" s="86"/>
    </row>
    <row r="373" spans="1:14" ht="15.75" customHeight="1" x14ac:dyDescent="0.25">
      <c r="A373" s="87">
        <v>364</v>
      </c>
      <c r="B373" s="88"/>
      <c r="C373" s="88"/>
      <c r="D373" s="88"/>
      <c r="E373" s="88"/>
      <c r="F373" s="88"/>
      <c r="G373" s="88"/>
      <c r="H373" s="88"/>
      <c r="I373" s="88"/>
      <c r="J373" s="88"/>
      <c r="K373" s="88"/>
      <c r="L373" s="88"/>
      <c r="M373" s="88"/>
      <c r="N373" s="88"/>
    </row>
    <row r="374" spans="1:14" ht="15.75" customHeight="1" x14ac:dyDescent="0.25">
      <c r="A374" s="85">
        <v>365</v>
      </c>
      <c r="B374" s="86"/>
      <c r="C374" s="86"/>
      <c r="D374" s="86"/>
      <c r="E374" s="86"/>
      <c r="F374" s="86"/>
      <c r="G374" s="86"/>
      <c r="H374" s="86"/>
      <c r="I374" s="86"/>
      <c r="J374" s="86"/>
      <c r="K374" s="86"/>
      <c r="L374" s="86"/>
      <c r="M374" s="86"/>
      <c r="N374" s="86"/>
    </row>
    <row r="375" spans="1:14" ht="15.75" customHeight="1" x14ac:dyDescent="0.25">
      <c r="A375" s="87">
        <v>366</v>
      </c>
      <c r="B375" s="88"/>
      <c r="C375" s="88"/>
      <c r="D375" s="88"/>
      <c r="E375" s="88"/>
      <c r="F375" s="88"/>
      <c r="G375" s="88"/>
      <c r="H375" s="88"/>
      <c r="I375" s="88"/>
      <c r="J375" s="88"/>
      <c r="K375" s="88"/>
      <c r="L375" s="88"/>
      <c r="M375" s="88"/>
      <c r="N375" s="88"/>
    </row>
    <row r="376" spans="1:14" ht="15.75" customHeight="1" x14ac:dyDescent="0.25">
      <c r="A376" s="85">
        <v>367</v>
      </c>
      <c r="B376" s="86"/>
      <c r="C376" s="86"/>
      <c r="D376" s="86"/>
      <c r="E376" s="86"/>
      <c r="F376" s="86"/>
      <c r="G376" s="86"/>
      <c r="H376" s="86"/>
      <c r="I376" s="86"/>
      <c r="J376" s="86"/>
      <c r="K376" s="86"/>
      <c r="L376" s="86"/>
      <c r="M376" s="86"/>
      <c r="N376" s="86"/>
    </row>
    <row r="377" spans="1:14" ht="15.75" customHeight="1" x14ac:dyDescent="0.25">
      <c r="A377" s="87">
        <v>368</v>
      </c>
      <c r="B377" s="88"/>
      <c r="C377" s="88"/>
      <c r="D377" s="88"/>
      <c r="E377" s="88"/>
      <c r="F377" s="88"/>
      <c r="G377" s="88"/>
      <c r="H377" s="88"/>
      <c r="I377" s="88"/>
      <c r="J377" s="88"/>
      <c r="K377" s="88"/>
      <c r="L377" s="88"/>
      <c r="M377" s="88"/>
      <c r="N377" s="88"/>
    </row>
    <row r="378" spans="1:14" ht="15.75" customHeight="1" x14ac:dyDescent="0.25">
      <c r="A378" s="85">
        <v>369</v>
      </c>
      <c r="B378" s="86"/>
      <c r="C378" s="86"/>
      <c r="D378" s="86"/>
      <c r="E378" s="86"/>
      <c r="F378" s="86"/>
      <c r="G378" s="86"/>
      <c r="H378" s="86"/>
      <c r="I378" s="86"/>
      <c r="J378" s="86"/>
      <c r="K378" s="86"/>
      <c r="L378" s="86"/>
      <c r="M378" s="86"/>
      <c r="N378" s="86"/>
    </row>
    <row r="379" spans="1:14" ht="15.75" customHeight="1" x14ac:dyDescent="0.25">
      <c r="A379" s="87">
        <v>370</v>
      </c>
      <c r="B379" s="88"/>
      <c r="C379" s="88"/>
      <c r="D379" s="88"/>
      <c r="E379" s="88"/>
      <c r="F379" s="88"/>
      <c r="G379" s="88"/>
      <c r="H379" s="88"/>
      <c r="I379" s="88"/>
      <c r="J379" s="88"/>
      <c r="K379" s="88"/>
      <c r="L379" s="88"/>
      <c r="M379" s="88"/>
      <c r="N379" s="88"/>
    </row>
    <row r="380" spans="1:14" ht="15.75" customHeight="1" x14ac:dyDescent="0.25">
      <c r="A380" s="85">
        <v>371</v>
      </c>
      <c r="B380" s="86"/>
      <c r="C380" s="86"/>
      <c r="D380" s="86"/>
      <c r="E380" s="86"/>
      <c r="F380" s="86"/>
      <c r="G380" s="86"/>
      <c r="H380" s="86"/>
      <c r="I380" s="86"/>
      <c r="J380" s="86"/>
      <c r="K380" s="86"/>
      <c r="L380" s="86"/>
      <c r="M380" s="86"/>
      <c r="N380" s="86"/>
    </row>
    <row r="381" spans="1:14" ht="15.75" customHeight="1" x14ac:dyDescent="0.25">
      <c r="A381" s="87">
        <v>372</v>
      </c>
      <c r="B381" s="88"/>
      <c r="C381" s="88"/>
      <c r="D381" s="88"/>
      <c r="E381" s="88"/>
      <c r="F381" s="88"/>
      <c r="G381" s="88"/>
      <c r="H381" s="88"/>
      <c r="I381" s="88"/>
      <c r="J381" s="88"/>
      <c r="K381" s="88"/>
      <c r="L381" s="88"/>
      <c r="M381" s="88"/>
      <c r="N381" s="88"/>
    </row>
    <row r="382" spans="1:14" ht="15.75" customHeight="1" x14ac:dyDescent="0.25">
      <c r="A382" s="85">
        <v>373</v>
      </c>
      <c r="B382" s="86"/>
      <c r="C382" s="86"/>
      <c r="D382" s="86"/>
      <c r="E382" s="86"/>
      <c r="F382" s="86"/>
      <c r="G382" s="86"/>
      <c r="H382" s="86"/>
      <c r="I382" s="86"/>
      <c r="J382" s="86"/>
      <c r="K382" s="86"/>
      <c r="L382" s="86"/>
      <c r="M382" s="86"/>
      <c r="N382" s="86"/>
    </row>
    <row r="383" spans="1:14" ht="15.75" customHeight="1" x14ac:dyDescent="0.25">
      <c r="A383" s="87">
        <v>374</v>
      </c>
      <c r="B383" s="88"/>
      <c r="C383" s="88"/>
      <c r="D383" s="88"/>
      <c r="E383" s="88"/>
      <c r="F383" s="88"/>
      <c r="G383" s="88"/>
      <c r="H383" s="88"/>
      <c r="I383" s="88"/>
      <c r="J383" s="88"/>
      <c r="K383" s="88"/>
      <c r="L383" s="88"/>
      <c r="M383" s="88"/>
      <c r="N383" s="88"/>
    </row>
    <row r="384" spans="1:14" ht="15.75" customHeight="1" x14ac:dyDescent="0.25">
      <c r="A384" s="85">
        <v>375</v>
      </c>
      <c r="B384" s="86"/>
      <c r="C384" s="86"/>
      <c r="D384" s="86"/>
      <c r="E384" s="86"/>
      <c r="F384" s="86"/>
      <c r="G384" s="86"/>
      <c r="H384" s="86"/>
      <c r="I384" s="86"/>
      <c r="J384" s="86"/>
      <c r="K384" s="86"/>
      <c r="L384" s="86"/>
      <c r="M384" s="86"/>
      <c r="N384" s="86"/>
    </row>
    <row r="385" spans="1:14" ht="15.75" customHeight="1" x14ac:dyDescent="0.25">
      <c r="A385" s="87">
        <v>376</v>
      </c>
      <c r="B385" s="88"/>
      <c r="C385" s="88"/>
      <c r="D385" s="88"/>
      <c r="E385" s="88"/>
      <c r="F385" s="88"/>
      <c r="G385" s="88"/>
      <c r="H385" s="88"/>
      <c r="I385" s="88"/>
      <c r="J385" s="88"/>
      <c r="K385" s="88"/>
      <c r="L385" s="88"/>
      <c r="M385" s="88"/>
      <c r="N385" s="88"/>
    </row>
    <row r="386" spans="1:14" ht="15.75" customHeight="1" x14ac:dyDescent="0.25">
      <c r="A386" s="85">
        <v>377</v>
      </c>
      <c r="B386" s="86"/>
      <c r="C386" s="86"/>
      <c r="D386" s="86"/>
      <c r="E386" s="86"/>
      <c r="F386" s="86"/>
      <c r="G386" s="86"/>
      <c r="H386" s="86"/>
      <c r="I386" s="86"/>
      <c r="J386" s="86"/>
      <c r="K386" s="86"/>
      <c r="L386" s="86"/>
      <c r="M386" s="86"/>
      <c r="N386" s="86"/>
    </row>
    <row r="387" spans="1:14" ht="15.75" customHeight="1" x14ac:dyDescent="0.25">
      <c r="A387" s="87">
        <v>378</v>
      </c>
      <c r="B387" s="88"/>
      <c r="C387" s="88"/>
      <c r="D387" s="88"/>
      <c r="E387" s="88"/>
      <c r="F387" s="88"/>
      <c r="G387" s="88"/>
      <c r="H387" s="88"/>
      <c r="I387" s="88"/>
      <c r="J387" s="88"/>
      <c r="K387" s="88"/>
      <c r="L387" s="88"/>
      <c r="M387" s="88"/>
      <c r="N387" s="88"/>
    </row>
    <row r="388" spans="1:14" ht="15.75" customHeight="1" x14ac:dyDescent="0.25">
      <c r="A388" s="85">
        <v>379</v>
      </c>
      <c r="B388" s="86"/>
      <c r="C388" s="86"/>
      <c r="D388" s="86"/>
      <c r="E388" s="86"/>
      <c r="F388" s="86"/>
      <c r="G388" s="86"/>
      <c r="H388" s="86"/>
      <c r="I388" s="86"/>
      <c r="J388" s="86"/>
      <c r="K388" s="86"/>
      <c r="L388" s="86"/>
      <c r="M388" s="86"/>
      <c r="N388" s="86"/>
    </row>
    <row r="389" spans="1:14" ht="15.75" customHeight="1" x14ac:dyDescent="0.25">
      <c r="A389" s="87">
        <v>380</v>
      </c>
      <c r="B389" s="88"/>
      <c r="C389" s="88"/>
      <c r="D389" s="88"/>
      <c r="E389" s="88"/>
      <c r="F389" s="88"/>
      <c r="G389" s="88"/>
      <c r="H389" s="88"/>
      <c r="I389" s="88"/>
      <c r="J389" s="88"/>
      <c r="K389" s="88"/>
      <c r="L389" s="88"/>
      <c r="M389" s="88"/>
      <c r="N389" s="88"/>
    </row>
    <row r="390" spans="1:14" ht="15.75" customHeight="1" x14ac:dyDescent="0.25">
      <c r="A390" s="85">
        <v>381</v>
      </c>
      <c r="B390" s="86"/>
      <c r="C390" s="86"/>
      <c r="D390" s="86"/>
      <c r="E390" s="86"/>
      <c r="F390" s="86"/>
      <c r="G390" s="86"/>
      <c r="H390" s="86"/>
      <c r="I390" s="86"/>
      <c r="J390" s="86"/>
      <c r="K390" s="86"/>
      <c r="L390" s="86"/>
      <c r="M390" s="86"/>
      <c r="N390" s="86"/>
    </row>
    <row r="391" spans="1:14" ht="15.75" customHeight="1" x14ac:dyDescent="0.25">
      <c r="A391" s="87">
        <v>382</v>
      </c>
      <c r="B391" s="88"/>
      <c r="C391" s="88"/>
      <c r="D391" s="88"/>
      <c r="E391" s="88"/>
      <c r="F391" s="88"/>
      <c r="G391" s="88"/>
      <c r="H391" s="88"/>
      <c r="I391" s="88"/>
      <c r="J391" s="88"/>
      <c r="K391" s="88"/>
      <c r="L391" s="88"/>
      <c r="M391" s="88"/>
      <c r="N391" s="88"/>
    </row>
    <row r="392" spans="1:14" ht="15.75" customHeight="1" x14ac:dyDescent="0.25">
      <c r="A392" s="85">
        <v>383</v>
      </c>
      <c r="B392" s="86"/>
      <c r="C392" s="86"/>
      <c r="D392" s="86"/>
      <c r="E392" s="86"/>
      <c r="F392" s="86"/>
      <c r="G392" s="86"/>
      <c r="H392" s="86"/>
      <c r="I392" s="86"/>
      <c r="J392" s="86"/>
      <c r="K392" s="86"/>
      <c r="L392" s="86"/>
      <c r="M392" s="86"/>
      <c r="N392" s="86"/>
    </row>
    <row r="393" spans="1:14" ht="15.75" customHeight="1" x14ac:dyDescent="0.25">
      <c r="A393" s="87">
        <v>384</v>
      </c>
      <c r="B393" s="88"/>
      <c r="C393" s="88"/>
      <c r="D393" s="88"/>
      <c r="E393" s="88"/>
      <c r="F393" s="88"/>
      <c r="G393" s="88"/>
      <c r="H393" s="88"/>
      <c r="I393" s="88"/>
      <c r="J393" s="88"/>
      <c r="K393" s="88"/>
      <c r="L393" s="88"/>
      <c r="M393" s="88"/>
      <c r="N393" s="88"/>
    </row>
    <row r="394" spans="1:14" ht="15.75" customHeight="1" x14ac:dyDescent="0.25">
      <c r="A394" s="85">
        <v>385</v>
      </c>
      <c r="B394" s="86"/>
      <c r="C394" s="86"/>
      <c r="D394" s="86"/>
      <c r="E394" s="86"/>
      <c r="F394" s="86"/>
      <c r="G394" s="86"/>
      <c r="H394" s="86"/>
      <c r="I394" s="86"/>
      <c r="J394" s="86"/>
      <c r="K394" s="86"/>
      <c r="L394" s="86"/>
      <c r="M394" s="86"/>
      <c r="N394" s="86"/>
    </row>
    <row r="395" spans="1:14" ht="15.75" customHeight="1" x14ac:dyDescent="0.25">
      <c r="A395" s="87">
        <v>386</v>
      </c>
      <c r="B395" s="88"/>
      <c r="C395" s="88"/>
      <c r="D395" s="88"/>
      <c r="E395" s="88"/>
      <c r="F395" s="88"/>
      <c r="G395" s="88"/>
      <c r="H395" s="88"/>
      <c r="I395" s="88"/>
      <c r="J395" s="88"/>
      <c r="K395" s="88"/>
      <c r="L395" s="88"/>
      <c r="M395" s="88"/>
      <c r="N395" s="88"/>
    </row>
    <row r="396" spans="1:14" ht="15.75" customHeight="1" x14ac:dyDescent="0.25">
      <c r="A396" s="85">
        <v>387</v>
      </c>
      <c r="B396" s="86"/>
      <c r="C396" s="86"/>
      <c r="D396" s="86"/>
      <c r="E396" s="86"/>
      <c r="F396" s="86"/>
      <c r="G396" s="86"/>
      <c r="H396" s="86"/>
      <c r="I396" s="86"/>
      <c r="J396" s="86"/>
      <c r="K396" s="86"/>
      <c r="L396" s="86"/>
      <c r="M396" s="86"/>
      <c r="N396" s="86"/>
    </row>
    <row r="397" spans="1:14" ht="15.75" customHeight="1" x14ac:dyDescent="0.25">
      <c r="A397" s="87">
        <v>388</v>
      </c>
      <c r="B397" s="88"/>
      <c r="C397" s="88"/>
      <c r="D397" s="88"/>
      <c r="E397" s="88"/>
      <c r="F397" s="88"/>
      <c r="G397" s="88"/>
      <c r="H397" s="88"/>
      <c r="I397" s="88"/>
      <c r="J397" s="88"/>
      <c r="K397" s="88"/>
      <c r="L397" s="88"/>
      <c r="M397" s="88"/>
      <c r="N397" s="88"/>
    </row>
    <row r="398" spans="1:14" ht="15.75" customHeight="1" x14ac:dyDescent="0.25">
      <c r="A398" s="85">
        <v>389</v>
      </c>
      <c r="B398" s="86"/>
      <c r="C398" s="86"/>
      <c r="D398" s="86"/>
      <c r="E398" s="86"/>
      <c r="F398" s="86"/>
      <c r="G398" s="86"/>
      <c r="H398" s="86"/>
      <c r="I398" s="86"/>
      <c r="J398" s="86"/>
      <c r="K398" s="86"/>
      <c r="L398" s="86"/>
      <c r="M398" s="86"/>
      <c r="N398" s="86"/>
    </row>
    <row r="399" spans="1:14" ht="15.75" customHeight="1" x14ac:dyDescent="0.25">
      <c r="A399" s="87">
        <v>390</v>
      </c>
      <c r="B399" s="88"/>
      <c r="C399" s="88"/>
      <c r="D399" s="88"/>
      <c r="E399" s="88"/>
      <c r="F399" s="88"/>
      <c r="G399" s="88"/>
      <c r="H399" s="88"/>
      <c r="I399" s="88"/>
      <c r="J399" s="88"/>
      <c r="K399" s="88"/>
      <c r="L399" s="88"/>
      <c r="M399" s="88"/>
      <c r="N399" s="88"/>
    </row>
    <row r="400" spans="1:14" ht="15.75" customHeight="1" x14ac:dyDescent="0.25">
      <c r="A400" s="85">
        <v>391</v>
      </c>
      <c r="B400" s="86"/>
      <c r="C400" s="86"/>
      <c r="D400" s="86"/>
      <c r="E400" s="86"/>
      <c r="F400" s="86"/>
      <c r="G400" s="86"/>
      <c r="H400" s="86"/>
      <c r="I400" s="86"/>
      <c r="J400" s="86"/>
      <c r="K400" s="86"/>
      <c r="L400" s="86"/>
      <c r="M400" s="86"/>
      <c r="N400" s="86"/>
    </row>
    <row r="401" spans="1:14" ht="15.75" customHeight="1" x14ac:dyDescent="0.25">
      <c r="A401" s="87">
        <v>392</v>
      </c>
      <c r="B401" s="88"/>
      <c r="C401" s="88"/>
      <c r="D401" s="88"/>
      <c r="E401" s="88"/>
      <c r="F401" s="88"/>
      <c r="G401" s="88"/>
      <c r="H401" s="88"/>
      <c r="I401" s="88"/>
      <c r="J401" s="88"/>
      <c r="K401" s="88"/>
      <c r="L401" s="88"/>
      <c r="M401" s="88"/>
      <c r="N401" s="88"/>
    </row>
    <row r="402" spans="1:14" ht="15.75" customHeight="1" x14ac:dyDescent="0.25">
      <c r="A402" s="85">
        <v>393</v>
      </c>
      <c r="B402" s="86"/>
      <c r="C402" s="86"/>
      <c r="D402" s="86"/>
      <c r="E402" s="86"/>
      <c r="F402" s="86"/>
      <c r="G402" s="86"/>
      <c r="H402" s="86"/>
      <c r="I402" s="86"/>
      <c r="J402" s="86"/>
      <c r="K402" s="86"/>
      <c r="L402" s="86"/>
      <c r="M402" s="86"/>
      <c r="N402" s="86"/>
    </row>
    <row r="403" spans="1:14" ht="15.75" customHeight="1" x14ac:dyDescent="0.25">
      <c r="A403" s="87">
        <v>394</v>
      </c>
      <c r="B403" s="88"/>
      <c r="C403" s="88"/>
      <c r="D403" s="88"/>
      <c r="E403" s="88"/>
      <c r="F403" s="88"/>
      <c r="G403" s="88"/>
      <c r="H403" s="88"/>
      <c r="I403" s="88"/>
      <c r="J403" s="88"/>
      <c r="K403" s="88"/>
      <c r="L403" s="88"/>
      <c r="M403" s="88"/>
      <c r="N403" s="88"/>
    </row>
    <row r="404" spans="1:14" ht="15.75" customHeight="1" x14ac:dyDescent="0.25">
      <c r="A404" s="85">
        <v>395</v>
      </c>
      <c r="B404" s="86"/>
      <c r="C404" s="86"/>
      <c r="D404" s="86"/>
      <c r="E404" s="86"/>
      <c r="F404" s="86"/>
      <c r="G404" s="86"/>
      <c r="H404" s="86"/>
      <c r="I404" s="86"/>
      <c r="J404" s="86"/>
      <c r="K404" s="86"/>
      <c r="L404" s="86"/>
      <c r="M404" s="86"/>
      <c r="N404" s="86"/>
    </row>
    <row r="405" spans="1:14" ht="15.75" customHeight="1" x14ac:dyDescent="0.25">
      <c r="A405" s="87">
        <v>396</v>
      </c>
      <c r="B405" s="88"/>
      <c r="C405" s="88"/>
      <c r="D405" s="88"/>
      <c r="E405" s="88"/>
      <c r="F405" s="88"/>
      <c r="G405" s="88"/>
      <c r="H405" s="88"/>
      <c r="I405" s="88"/>
      <c r="J405" s="88"/>
      <c r="K405" s="88"/>
      <c r="L405" s="88"/>
      <c r="M405" s="88"/>
      <c r="N405" s="88"/>
    </row>
    <row r="406" spans="1:14" ht="15.75" customHeight="1" x14ac:dyDescent="0.25">
      <c r="A406" s="85">
        <v>397</v>
      </c>
      <c r="B406" s="86"/>
      <c r="C406" s="86"/>
      <c r="D406" s="86"/>
      <c r="E406" s="86"/>
      <c r="F406" s="86"/>
      <c r="G406" s="86"/>
      <c r="H406" s="86"/>
      <c r="I406" s="86"/>
      <c r="J406" s="86"/>
      <c r="K406" s="86"/>
      <c r="L406" s="86"/>
      <c r="M406" s="86"/>
      <c r="N406" s="86"/>
    </row>
    <row r="407" spans="1:14" ht="15.75" customHeight="1" x14ac:dyDescent="0.25">
      <c r="A407" s="87">
        <v>398</v>
      </c>
      <c r="B407" s="88"/>
      <c r="C407" s="88"/>
      <c r="D407" s="88"/>
      <c r="E407" s="88"/>
      <c r="F407" s="88"/>
      <c r="G407" s="88"/>
      <c r="H407" s="88"/>
      <c r="I407" s="88"/>
      <c r="J407" s="88"/>
      <c r="K407" s="88"/>
      <c r="L407" s="88"/>
      <c r="M407" s="88"/>
      <c r="N407" s="88"/>
    </row>
    <row r="408" spans="1:14" ht="15.75" customHeight="1" x14ac:dyDescent="0.25">
      <c r="A408" s="85">
        <v>399</v>
      </c>
      <c r="B408" s="86"/>
      <c r="C408" s="86"/>
      <c r="D408" s="86"/>
      <c r="E408" s="86"/>
      <c r="F408" s="86"/>
      <c r="G408" s="86"/>
      <c r="H408" s="86"/>
      <c r="I408" s="86"/>
      <c r="J408" s="86"/>
      <c r="K408" s="86"/>
      <c r="L408" s="86"/>
      <c r="M408" s="86"/>
      <c r="N408" s="86"/>
    </row>
    <row r="409" spans="1:14" ht="15.75" customHeight="1" x14ac:dyDescent="0.25">
      <c r="A409" s="87">
        <v>400</v>
      </c>
      <c r="B409" s="88"/>
      <c r="C409" s="88"/>
      <c r="D409" s="88"/>
      <c r="E409" s="88"/>
      <c r="F409" s="88"/>
      <c r="G409" s="88"/>
      <c r="H409" s="88"/>
      <c r="I409" s="88"/>
      <c r="J409" s="88"/>
      <c r="K409" s="88"/>
      <c r="L409" s="88"/>
      <c r="M409" s="88"/>
      <c r="N409" s="88"/>
    </row>
    <row r="410" spans="1:14" ht="15.75" customHeight="1" x14ac:dyDescent="0.25">
      <c r="A410" s="85">
        <v>401</v>
      </c>
      <c r="B410" s="86"/>
      <c r="C410" s="86"/>
      <c r="D410" s="86"/>
      <c r="E410" s="86"/>
      <c r="F410" s="86"/>
      <c r="G410" s="86"/>
      <c r="H410" s="86"/>
      <c r="I410" s="86"/>
      <c r="J410" s="86"/>
      <c r="K410" s="86"/>
      <c r="L410" s="86"/>
      <c r="M410" s="86"/>
      <c r="N410" s="86"/>
    </row>
    <row r="411" spans="1:14" ht="15.75" customHeight="1" x14ac:dyDescent="0.25">
      <c r="A411" s="87">
        <v>402</v>
      </c>
      <c r="B411" s="88"/>
      <c r="C411" s="88"/>
      <c r="D411" s="88"/>
      <c r="E411" s="88"/>
      <c r="F411" s="88"/>
      <c r="G411" s="88"/>
      <c r="H411" s="88"/>
      <c r="I411" s="88"/>
      <c r="J411" s="88"/>
      <c r="K411" s="88"/>
      <c r="L411" s="88"/>
      <c r="M411" s="88"/>
      <c r="N411" s="88"/>
    </row>
    <row r="412" spans="1:14" ht="15.75" customHeight="1" x14ac:dyDescent="0.25">
      <c r="A412" s="85">
        <v>403</v>
      </c>
      <c r="B412" s="86"/>
      <c r="C412" s="86"/>
      <c r="D412" s="86"/>
      <c r="E412" s="86"/>
      <c r="F412" s="86"/>
      <c r="G412" s="86"/>
      <c r="H412" s="86"/>
      <c r="I412" s="86"/>
      <c r="J412" s="86"/>
      <c r="K412" s="86"/>
      <c r="L412" s="86"/>
      <c r="M412" s="86"/>
      <c r="N412" s="86"/>
    </row>
    <row r="413" spans="1:14" ht="15.75" customHeight="1" x14ac:dyDescent="0.25">
      <c r="A413" s="87">
        <v>404</v>
      </c>
      <c r="B413" s="88"/>
      <c r="C413" s="88"/>
      <c r="D413" s="88"/>
      <c r="E413" s="88"/>
      <c r="F413" s="88"/>
      <c r="G413" s="88"/>
      <c r="H413" s="88"/>
      <c r="I413" s="88"/>
      <c r="J413" s="88"/>
      <c r="K413" s="88"/>
      <c r="L413" s="88"/>
      <c r="M413" s="88"/>
      <c r="N413" s="88"/>
    </row>
    <row r="414" spans="1:14" ht="15.75" customHeight="1" x14ac:dyDescent="0.25">
      <c r="A414" s="85">
        <v>405</v>
      </c>
      <c r="B414" s="86"/>
      <c r="C414" s="86"/>
      <c r="D414" s="86"/>
      <c r="E414" s="86"/>
      <c r="F414" s="86"/>
      <c r="G414" s="86"/>
      <c r="H414" s="86"/>
      <c r="I414" s="86"/>
      <c r="J414" s="86"/>
      <c r="K414" s="86"/>
      <c r="L414" s="86"/>
      <c r="M414" s="86"/>
      <c r="N414" s="86"/>
    </row>
    <row r="415" spans="1:14" ht="15.75" customHeight="1" x14ac:dyDescent="0.25">
      <c r="A415" s="87">
        <v>406</v>
      </c>
      <c r="B415" s="88"/>
      <c r="C415" s="88"/>
      <c r="D415" s="88"/>
      <c r="E415" s="88"/>
      <c r="F415" s="88"/>
      <c r="G415" s="88"/>
      <c r="H415" s="88"/>
      <c r="I415" s="88"/>
      <c r="J415" s="88"/>
      <c r="K415" s="88"/>
      <c r="L415" s="88"/>
      <c r="M415" s="88"/>
      <c r="N415" s="88"/>
    </row>
    <row r="416" spans="1:14" ht="15.75" customHeight="1" x14ac:dyDescent="0.25">
      <c r="A416" s="85">
        <v>407</v>
      </c>
      <c r="B416" s="86"/>
      <c r="C416" s="86"/>
      <c r="D416" s="86"/>
      <c r="E416" s="86"/>
      <c r="F416" s="86"/>
      <c r="G416" s="86"/>
      <c r="H416" s="86"/>
      <c r="I416" s="86"/>
      <c r="J416" s="86"/>
      <c r="K416" s="86"/>
      <c r="L416" s="86"/>
      <c r="M416" s="86"/>
      <c r="N416" s="86"/>
    </row>
    <row r="417" spans="1:14" ht="15.75" customHeight="1" x14ac:dyDescent="0.25">
      <c r="A417" s="87">
        <v>408</v>
      </c>
      <c r="B417" s="88"/>
      <c r="C417" s="88"/>
      <c r="D417" s="88"/>
      <c r="E417" s="88"/>
      <c r="F417" s="88"/>
      <c r="G417" s="88"/>
      <c r="H417" s="88"/>
      <c r="I417" s="88"/>
      <c r="J417" s="88"/>
      <c r="K417" s="88"/>
      <c r="L417" s="88"/>
      <c r="M417" s="88"/>
      <c r="N417" s="88"/>
    </row>
    <row r="418" spans="1:14" ht="15.75" customHeight="1" x14ac:dyDescent="0.25">
      <c r="A418" s="85">
        <v>409</v>
      </c>
      <c r="B418" s="86"/>
      <c r="C418" s="86"/>
      <c r="D418" s="86"/>
      <c r="E418" s="86"/>
      <c r="F418" s="86"/>
      <c r="G418" s="86"/>
      <c r="H418" s="86"/>
      <c r="I418" s="86"/>
      <c r="J418" s="86"/>
      <c r="K418" s="86"/>
      <c r="L418" s="86"/>
      <c r="M418" s="86"/>
      <c r="N418" s="86"/>
    </row>
    <row r="419" spans="1:14" ht="15.75" customHeight="1" x14ac:dyDescent="0.25">
      <c r="A419" s="87">
        <v>410</v>
      </c>
      <c r="B419" s="88"/>
      <c r="C419" s="88"/>
      <c r="D419" s="88"/>
      <c r="E419" s="88"/>
      <c r="F419" s="88"/>
      <c r="G419" s="88"/>
      <c r="H419" s="88"/>
      <c r="I419" s="88"/>
      <c r="J419" s="88"/>
      <c r="K419" s="88"/>
      <c r="L419" s="88"/>
      <c r="M419" s="88"/>
      <c r="N419" s="88"/>
    </row>
    <row r="420" spans="1:14" ht="15.75" customHeight="1" x14ac:dyDescent="0.25">
      <c r="A420" s="85">
        <v>411</v>
      </c>
      <c r="B420" s="86"/>
      <c r="C420" s="86"/>
      <c r="D420" s="86"/>
      <c r="E420" s="86"/>
      <c r="F420" s="86"/>
      <c r="G420" s="86"/>
      <c r="H420" s="86"/>
      <c r="I420" s="86"/>
      <c r="J420" s="86"/>
      <c r="K420" s="86"/>
      <c r="L420" s="86"/>
      <c r="M420" s="86"/>
      <c r="N420" s="86"/>
    </row>
    <row r="421" spans="1:14" ht="15.75" customHeight="1" x14ac:dyDescent="0.25">
      <c r="A421" s="87">
        <v>412</v>
      </c>
      <c r="B421" s="88"/>
      <c r="C421" s="88"/>
      <c r="D421" s="88"/>
      <c r="E421" s="88"/>
      <c r="F421" s="88"/>
      <c r="G421" s="88"/>
      <c r="H421" s="88"/>
      <c r="I421" s="88"/>
      <c r="J421" s="88"/>
      <c r="K421" s="88"/>
      <c r="L421" s="88"/>
      <c r="M421" s="88"/>
      <c r="N421" s="88"/>
    </row>
    <row r="422" spans="1:14" ht="15.75" customHeight="1" x14ac:dyDescent="0.25">
      <c r="A422" s="85">
        <v>413</v>
      </c>
      <c r="B422" s="86"/>
      <c r="C422" s="86"/>
      <c r="D422" s="86"/>
      <c r="E422" s="86"/>
      <c r="F422" s="86"/>
      <c r="G422" s="86"/>
      <c r="H422" s="86"/>
      <c r="I422" s="86"/>
      <c r="J422" s="86"/>
      <c r="K422" s="86"/>
      <c r="L422" s="86"/>
      <c r="M422" s="86"/>
      <c r="N422" s="86"/>
    </row>
    <row r="423" spans="1:14" ht="15.75" customHeight="1" x14ac:dyDescent="0.25">
      <c r="A423" s="87">
        <v>414</v>
      </c>
      <c r="B423" s="88"/>
      <c r="C423" s="88"/>
      <c r="D423" s="88"/>
      <c r="E423" s="88"/>
      <c r="F423" s="88"/>
      <c r="G423" s="88"/>
      <c r="H423" s="88"/>
      <c r="I423" s="88"/>
      <c r="J423" s="88"/>
      <c r="K423" s="88"/>
      <c r="L423" s="88"/>
      <c r="M423" s="88"/>
      <c r="N423" s="88"/>
    </row>
    <row r="424" spans="1:14" ht="15.75" customHeight="1" x14ac:dyDescent="0.25">
      <c r="A424" s="85">
        <v>415</v>
      </c>
      <c r="B424" s="86"/>
      <c r="C424" s="86"/>
      <c r="D424" s="86"/>
      <c r="E424" s="86"/>
      <c r="F424" s="86"/>
      <c r="G424" s="86"/>
      <c r="H424" s="86"/>
      <c r="I424" s="86"/>
      <c r="J424" s="86"/>
      <c r="K424" s="86"/>
      <c r="L424" s="86"/>
      <c r="M424" s="86"/>
      <c r="N424" s="86"/>
    </row>
    <row r="425" spans="1:14" ht="15.75" customHeight="1" x14ac:dyDescent="0.25">
      <c r="A425" s="87">
        <v>416</v>
      </c>
      <c r="B425" s="88"/>
      <c r="C425" s="88"/>
      <c r="D425" s="88"/>
      <c r="E425" s="88"/>
      <c r="F425" s="88"/>
      <c r="G425" s="88"/>
      <c r="H425" s="88"/>
      <c r="I425" s="88"/>
      <c r="J425" s="88"/>
      <c r="K425" s="88"/>
      <c r="L425" s="88"/>
      <c r="M425" s="88"/>
      <c r="N425" s="88"/>
    </row>
    <row r="426" spans="1:14" ht="15.75" customHeight="1" x14ac:dyDescent="0.25">
      <c r="A426" s="85">
        <v>417</v>
      </c>
      <c r="B426" s="86"/>
      <c r="C426" s="86"/>
      <c r="D426" s="86"/>
      <c r="E426" s="86"/>
      <c r="F426" s="86"/>
      <c r="G426" s="86"/>
      <c r="H426" s="86"/>
      <c r="I426" s="86"/>
      <c r="J426" s="86"/>
      <c r="K426" s="86"/>
      <c r="L426" s="86"/>
      <c r="M426" s="86"/>
      <c r="N426" s="86"/>
    </row>
    <row r="427" spans="1:14" ht="15.75" customHeight="1" x14ac:dyDescent="0.25">
      <c r="A427" s="87">
        <v>418</v>
      </c>
      <c r="B427" s="88"/>
      <c r="C427" s="88"/>
      <c r="D427" s="88"/>
      <c r="E427" s="88"/>
      <c r="F427" s="88"/>
      <c r="G427" s="88"/>
      <c r="H427" s="88"/>
      <c r="I427" s="88"/>
      <c r="J427" s="88"/>
      <c r="K427" s="88"/>
      <c r="L427" s="88"/>
      <c r="M427" s="88"/>
      <c r="N427" s="88"/>
    </row>
    <row r="428" spans="1:14" ht="15.75" customHeight="1" x14ac:dyDescent="0.25">
      <c r="A428" s="85">
        <v>419</v>
      </c>
      <c r="B428" s="86"/>
      <c r="C428" s="86"/>
      <c r="D428" s="86"/>
      <c r="E428" s="86"/>
      <c r="F428" s="86"/>
      <c r="G428" s="86"/>
      <c r="H428" s="86"/>
      <c r="I428" s="86"/>
      <c r="J428" s="86"/>
      <c r="K428" s="86"/>
      <c r="L428" s="86"/>
      <c r="M428" s="86"/>
      <c r="N428" s="86"/>
    </row>
    <row r="429" spans="1:14" ht="15.75" customHeight="1" x14ac:dyDescent="0.25">
      <c r="A429" s="87">
        <v>420</v>
      </c>
      <c r="B429" s="88"/>
      <c r="C429" s="88"/>
      <c r="D429" s="88"/>
      <c r="E429" s="88"/>
      <c r="F429" s="88"/>
      <c r="G429" s="88"/>
      <c r="H429" s="88"/>
      <c r="I429" s="88"/>
      <c r="J429" s="88"/>
      <c r="K429" s="88"/>
      <c r="L429" s="88"/>
      <c r="M429" s="88"/>
      <c r="N429" s="88"/>
    </row>
    <row r="430" spans="1:14" ht="15.75" customHeight="1" x14ac:dyDescent="0.25">
      <c r="A430" s="85">
        <v>421</v>
      </c>
      <c r="B430" s="86"/>
      <c r="C430" s="86"/>
      <c r="D430" s="86"/>
      <c r="E430" s="86"/>
      <c r="F430" s="86"/>
      <c r="G430" s="86"/>
      <c r="H430" s="86"/>
      <c r="I430" s="86"/>
      <c r="J430" s="86"/>
      <c r="K430" s="86"/>
      <c r="L430" s="86"/>
      <c r="M430" s="86"/>
      <c r="N430" s="86"/>
    </row>
    <row r="431" spans="1:14" ht="15.75" customHeight="1" x14ac:dyDescent="0.25">
      <c r="A431" s="87">
        <v>422</v>
      </c>
      <c r="B431" s="88"/>
      <c r="C431" s="88"/>
      <c r="D431" s="88"/>
      <c r="E431" s="88"/>
      <c r="F431" s="88"/>
      <c r="G431" s="88"/>
      <c r="H431" s="88"/>
      <c r="I431" s="88"/>
      <c r="J431" s="88"/>
      <c r="K431" s="88"/>
      <c r="L431" s="88"/>
      <c r="M431" s="88"/>
      <c r="N431" s="88"/>
    </row>
    <row r="432" spans="1:14" ht="15.75" customHeight="1" x14ac:dyDescent="0.25">
      <c r="A432" s="85">
        <v>423</v>
      </c>
      <c r="B432" s="86"/>
      <c r="C432" s="86"/>
      <c r="D432" s="86"/>
      <c r="E432" s="86"/>
      <c r="F432" s="86"/>
      <c r="G432" s="86"/>
      <c r="H432" s="86"/>
      <c r="I432" s="86"/>
      <c r="J432" s="86"/>
      <c r="K432" s="86"/>
      <c r="L432" s="86"/>
      <c r="M432" s="86"/>
      <c r="N432" s="86"/>
    </row>
    <row r="433" spans="1:14" ht="15.75" customHeight="1" x14ac:dyDescent="0.25">
      <c r="A433" s="87">
        <v>424</v>
      </c>
      <c r="B433" s="88"/>
      <c r="C433" s="88"/>
      <c r="D433" s="88"/>
      <c r="E433" s="88"/>
      <c r="F433" s="88"/>
      <c r="G433" s="88"/>
      <c r="H433" s="88"/>
      <c r="I433" s="88"/>
      <c r="J433" s="88"/>
      <c r="K433" s="88"/>
      <c r="L433" s="88"/>
      <c r="M433" s="88"/>
      <c r="N433" s="88"/>
    </row>
    <row r="434" spans="1:14" ht="15.75" customHeight="1" x14ac:dyDescent="0.25">
      <c r="A434" s="85">
        <v>425</v>
      </c>
      <c r="B434" s="86"/>
      <c r="C434" s="86"/>
      <c r="D434" s="86"/>
      <c r="E434" s="86"/>
      <c r="F434" s="86"/>
      <c r="G434" s="86"/>
      <c r="H434" s="86"/>
      <c r="I434" s="86"/>
      <c r="J434" s="86"/>
      <c r="K434" s="86"/>
      <c r="L434" s="86"/>
      <c r="M434" s="86"/>
      <c r="N434" s="86"/>
    </row>
    <row r="435" spans="1:14" ht="15.75" customHeight="1" x14ac:dyDescent="0.25">
      <c r="A435" s="87">
        <v>426</v>
      </c>
      <c r="B435" s="88"/>
      <c r="C435" s="88"/>
      <c r="D435" s="88"/>
      <c r="E435" s="88"/>
      <c r="F435" s="88"/>
      <c r="G435" s="88"/>
      <c r="H435" s="88"/>
      <c r="I435" s="88"/>
      <c r="J435" s="88"/>
      <c r="K435" s="88"/>
      <c r="L435" s="88"/>
      <c r="M435" s="88"/>
      <c r="N435" s="88"/>
    </row>
    <row r="436" spans="1:14" ht="15.75" customHeight="1" x14ac:dyDescent="0.25">
      <c r="A436" s="85">
        <v>427</v>
      </c>
      <c r="B436" s="86"/>
      <c r="C436" s="86"/>
      <c r="D436" s="86"/>
      <c r="E436" s="86"/>
      <c r="F436" s="86"/>
      <c r="G436" s="86"/>
      <c r="H436" s="86"/>
      <c r="I436" s="86"/>
      <c r="J436" s="86"/>
      <c r="K436" s="86"/>
      <c r="L436" s="86"/>
      <c r="M436" s="86"/>
      <c r="N436" s="86"/>
    </row>
    <row r="437" spans="1:14" ht="15.75" customHeight="1" x14ac:dyDescent="0.25">
      <c r="A437" s="87">
        <v>428</v>
      </c>
      <c r="B437" s="88"/>
      <c r="C437" s="88"/>
      <c r="D437" s="88"/>
      <c r="E437" s="88"/>
      <c r="F437" s="88"/>
      <c r="G437" s="88"/>
      <c r="H437" s="88"/>
      <c r="I437" s="88"/>
      <c r="J437" s="88"/>
      <c r="K437" s="88"/>
      <c r="L437" s="88"/>
      <c r="M437" s="88"/>
      <c r="N437" s="88"/>
    </row>
    <row r="438" spans="1:14" ht="15.75" customHeight="1" x14ac:dyDescent="0.25">
      <c r="A438" s="85">
        <v>429</v>
      </c>
      <c r="B438" s="86"/>
      <c r="C438" s="86"/>
      <c r="D438" s="86"/>
      <c r="E438" s="86"/>
      <c r="F438" s="86"/>
      <c r="G438" s="86"/>
      <c r="H438" s="86"/>
      <c r="I438" s="86"/>
      <c r="J438" s="86"/>
      <c r="K438" s="86"/>
      <c r="L438" s="86"/>
      <c r="M438" s="86"/>
      <c r="N438" s="86"/>
    </row>
    <row r="439" spans="1:14" ht="15.75" customHeight="1" x14ac:dyDescent="0.25">
      <c r="A439" s="87">
        <v>430</v>
      </c>
      <c r="B439" s="88"/>
      <c r="C439" s="88"/>
      <c r="D439" s="88"/>
      <c r="E439" s="88"/>
      <c r="F439" s="88"/>
      <c r="G439" s="88"/>
      <c r="H439" s="88"/>
      <c r="I439" s="88"/>
      <c r="J439" s="88"/>
      <c r="K439" s="88"/>
      <c r="L439" s="88"/>
      <c r="M439" s="88"/>
      <c r="N439" s="88"/>
    </row>
    <row r="440" spans="1:14" ht="15.75" customHeight="1" x14ac:dyDescent="0.25">
      <c r="A440" s="85">
        <v>431</v>
      </c>
      <c r="B440" s="86"/>
      <c r="C440" s="86"/>
      <c r="D440" s="86"/>
      <c r="E440" s="86"/>
      <c r="F440" s="86"/>
      <c r="G440" s="86"/>
      <c r="H440" s="86"/>
      <c r="I440" s="86"/>
      <c r="J440" s="86"/>
      <c r="K440" s="86"/>
      <c r="L440" s="86"/>
      <c r="M440" s="86"/>
      <c r="N440" s="86"/>
    </row>
    <row r="441" spans="1:14" ht="15.75" customHeight="1" x14ac:dyDescent="0.25">
      <c r="A441" s="87">
        <v>432</v>
      </c>
      <c r="B441" s="88"/>
      <c r="C441" s="88"/>
      <c r="D441" s="88"/>
      <c r="E441" s="88"/>
      <c r="F441" s="88"/>
      <c r="G441" s="88"/>
      <c r="H441" s="88"/>
      <c r="I441" s="88"/>
      <c r="J441" s="88"/>
      <c r="K441" s="88"/>
      <c r="L441" s="88"/>
      <c r="M441" s="88"/>
      <c r="N441" s="88"/>
    </row>
    <row r="442" spans="1:14" ht="15.75" customHeight="1" x14ac:dyDescent="0.25">
      <c r="A442" s="85">
        <v>433</v>
      </c>
      <c r="B442" s="86"/>
      <c r="C442" s="86"/>
      <c r="D442" s="86"/>
      <c r="E442" s="86"/>
      <c r="F442" s="86"/>
      <c r="G442" s="86"/>
      <c r="H442" s="86"/>
      <c r="I442" s="86"/>
      <c r="J442" s="86"/>
      <c r="K442" s="86"/>
      <c r="L442" s="86"/>
      <c r="M442" s="86"/>
      <c r="N442" s="86"/>
    </row>
    <row r="443" spans="1:14" ht="15.75" customHeight="1" x14ac:dyDescent="0.25">
      <c r="A443" s="87">
        <v>434</v>
      </c>
      <c r="B443" s="88"/>
      <c r="C443" s="88"/>
      <c r="D443" s="88"/>
      <c r="E443" s="88"/>
      <c r="F443" s="88"/>
      <c r="G443" s="88"/>
      <c r="H443" s="88"/>
      <c r="I443" s="88"/>
      <c r="J443" s="88"/>
      <c r="K443" s="88"/>
      <c r="L443" s="88"/>
      <c r="M443" s="88"/>
      <c r="N443" s="88"/>
    </row>
    <row r="444" spans="1:14" ht="15.75" customHeight="1" x14ac:dyDescent="0.25">
      <c r="A444" s="85">
        <v>435</v>
      </c>
      <c r="B444" s="86"/>
      <c r="C444" s="86"/>
      <c r="D444" s="86"/>
      <c r="E444" s="86"/>
      <c r="F444" s="86"/>
      <c r="G444" s="86"/>
      <c r="H444" s="86"/>
      <c r="I444" s="86"/>
      <c r="J444" s="86"/>
      <c r="K444" s="86"/>
      <c r="L444" s="86"/>
      <c r="M444" s="86"/>
      <c r="N444" s="86"/>
    </row>
    <row r="445" spans="1:14" ht="15.75" customHeight="1" x14ac:dyDescent="0.25">
      <c r="A445" s="87">
        <v>436</v>
      </c>
      <c r="B445" s="88"/>
      <c r="C445" s="88"/>
      <c r="D445" s="88"/>
      <c r="E445" s="88"/>
      <c r="F445" s="88"/>
      <c r="G445" s="88"/>
      <c r="H445" s="88"/>
      <c r="I445" s="88"/>
      <c r="J445" s="88"/>
      <c r="K445" s="88"/>
      <c r="L445" s="88"/>
      <c r="M445" s="88"/>
      <c r="N445" s="88"/>
    </row>
    <row r="446" spans="1:14" ht="15.75" customHeight="1" x14ac:dyDescent="0.25">
      <c r="A446" s="85">
        <v>437</v>
      </c>
      <c r="B446" s="86"/>
      <c r="C446" s="86"/>
      <c r="D446" s="86"/>
      <c r="E446" s="86"/>
      <c r="F446" s="86"/>
      <c r="G446" s="86"/>
      <c r="H446" s="86"/>
      <c r="I446" s="86"/>
      <c r="J446" s="86"/>
      <c r="K446" s="86"/>
      <c r="L446" s="86"/>
      <c r="M446" s="86"/>
      <c r="N446" s="86"/>
    </row>
    <row r="447" spans="1:14" ht="15.75" customHeight="1" x14ac:dyDescent="0.25">
      <c r="A447" s="87">
        <v>438</v>
      </c>
      <c r="B447" s="88"/>
      <c r="C447" s="88"/>
      <c r="D447" s="88"/>
      <c r="E447" s="88"/>
      <c r="F447" s="88"/>
      <c r="G447" s="88"/>
      <c r="H447" s="88"/>
      <c r="I447" s="88"/>
      <c r="J447" s="88"/>
      <c r="K447" s="88"/>
      <c r="L447" s="88"/>
      <c r="M447" s="88"/>
      <c r="N447" s="88"/>
    </row>
    <row r="448" spans="1:14" ht="15.75" customHeight="1" x14ac:dyDescent="0.25">
      <c r="A448" s="85">
        <v>439</v>
      </c>
      <c r="B448" s="86"/>
      <c r="C448" s="86"/>
      <c r="D448" s="86"/>
      <c r="E448" s="86"/>
      <c r="F448" s="86"/>
      <c r="G448" s="86"/>
      <c r="H448" s="86"/>
      <c r="I448" s="86"/>
      <c r="J448" s="86"/>
      <c r="K448" s="86"/>
      <c r="L448" s="86"/>
      <c r="M448" s="86"/>
      <c r="N448" s="86"/>
    </row>
    <row r="449" spans="1:14" ht="15.75" customHeight="1" x14ac:dyDescent="0.25">
      <c r="A449" s="87">
        <v>440</v>
      </c>
      <c r="B449" s="88"/>
      <c r="C449" s="88"/>
      <c r="D449" s="88"/>
      <c r="E449" s="88"/>
      <c r="F449" s="88"/>
      <c r="G449" s="88"/>
      <c r="H449" s="88"/>
      <c r="I449" s="88"/>
      <c r="J449" s="88"/>
      <c r="K449" s="88"/>
      <c r="L449" s="88"/>
      <c r="M449" s="88"/>
      <c r="N449" s="88"/>
    </row>
    <row r="450" spans="1:14" ht="15.75" customHeight="1" x14ac:dyDescent="0.25">
      <c r="A450" s="85">
        <v>441</v>
      </c>
      <c r="B450" s="86"/>
      <c r="C450" s="86"/>
      <c r="D450" s="86"/>
      <c r="E450" s="86"/>
      <c r="F450" s="86"/>
      <c r="G450" s="86"/>
      <c r="H450" s="86"/>
      <c r="I450" s="86"/>
      <c r="J450" s="86"/>
      <c r="K450" s="86"/>
      <c r="L450" s="86"/>
      <c r="M450" s="86"/>
      <c r="N450" s="86"/>
    </row>
    <row r="451" spans="1:14" ht="15.75" customHeight="1" x14ac:dyDescent="0.25">
      <c r="A451" s="87">
        <v>442</v>
      </c>
      <c r="B451" s="88"/>
      <c r="C451" s="88"/>
      <c r="D451" s="88"/>
      <c r="E451" s="88"/>
      <c r="F451" s="88"/>
      <c r="G451" s="88"/>
      <c r="H451" s="88"/>
      <c r="I451" s="88"/>
      <c r="J451" s="88"/>
      <c r="K451" s="88"/>
      <c r="L451" s="88"/>
      <c r="M451" s="88"/>
      <c r="N451" s="88"/>
    </row>
    <row r="452" spans="1:14" ht="15.75" customHeight="1" x14ac:dyDescent="0.25">
      <c r="A452" s="85">
        <v>443</v>
      </c>
      <c r="B452" s="86"/>
      <c r="C452" s="86"/>
      <c r="D452" s="86"/>
      <c r="E452" s="86"/>
      <c r="F452" s="86"/>
      <c r="G452" s="86"/>
      <c r="H452" s="86"/>
      <c r="I452" s="86"/>
      <c r="J452" s="86"/>
      <c r="K452" s="86"/>
      <c r="L452" s="86"/>
      <c r="M452" s="86"/>
      <c r="N452" s="86"/>
    </row>
    <row r="453" spans="1:14" ht="15.75" customHeight="1" x14ac:dyDescent="0.25">
      <c r="A453" s="87">
        <v>444</v>
      </c>
      <c r="B453" s="88"/>
      <c r="C453" s="88"/>
      <c r="D453" s="88"/>
      <c r="E453" s="88"/>
      <c r="F453" s="88"/>
      <c r="G453" s="88"/>
      <c r="H453" s="88"/>
      <c r="I453" s="88"/>
      <c r="J453" s="88"/>
      <c r="K453" s="88"/>
      <c r="L453" s="88"/>
      <c r="M453" s="88"/>
      <c r="N453" s="88"/>
    </row>
    <row r="454" spans="1:14" ht="15.75" customHeight="1" x14ac:dyDescent="0.25">
      <c r="A454" s="85">
        <v>445</v>
      </c>
      <c r="B454" s="86"/>
      <c r="C454" s="86"/>
      <c r="D454" s="86"/>
      <c r="E454" s="86"/>
      <c r="F454" s="86"/>
      <c r="G454" s="86"/>
      <c r="H454" s="86"/>
      <c r="I454" s="86"/>
      <c r="J454" s="86"/>
      <c r="K454" s="86"/>
      <c r="L454" s="86"/>
      <c r="M454" s="86"/>
      <c r="N454" s="86"/>
    </row>
    <row r="455" spans="1:14" ht="15.75" customHeight="1" x14ac:dyDescent="0.25">
      <c r="A455" s="87">
        <v>446</v>
      </c>
      <c r="B455" s="88"/>
      <c r="C455" s="88"/>
      <c r="D455" s="88"/>
      <c r="E455" s="88"/>
      <c r="F455" s="88"/>
      <c r="G455" s="88"/>
      <c r="H455" s="88"/>
      <c r="I455" s="88"/>
      <c r="J455" s="88"/>
      <c r="K455" s="88"/>
      <c r="L455" s="88"/>
      <c r="M455" s="88"/>
      <c r="N455" s="88"/>
    </row>
    <row r="456" spans="1:14" ht="15.75" customHeight="1" x14ac:dyDescent="0.25">
      <c r="A456" s="85">
        <v>447</v>
      </c>
      <c r="B456" s="86"/>
      <c r="C456" s="86"/>
      <c r="D456" s="86"/>
      <c r="E456" s="86"/>
      <c r="F456" s="86"/>
      <c r="G456" s="86"/>
      <c r="H456" s="86"/>
      <c r="I456" s="86"/>
      <c r="J456" s="86"/>
      <c r="K456" s="86"/>
      <c r="L456" s="86"/>
      <c r="M456" s="86"/>
      <c r="N456" s="86"/>
    </row>
    <row r="457" spans="1:14" ht="15.75" customHeight="1" x14ac:dyDescent="0.25">
      <c r="A457" s="87">
        <v>448</v>
      </c>
      <c r="B457" s="88"/>
      <c r="C457" s="88"/>
      <c r="D457" s="88"/>
      <c r="E457" s="88"/>
      <c r="F457" s="88"/>
      <c r="G457" s="88"/>
      <c r="H457" s="88"/>
      <c r="I457" s="88"/>
      <c r="J457" s="88"/>
      <c r="K457" s="88"/>
      <c r="L457" s="88"/>
      <c r="M457" s="88"/>
      <c r="N457" s="88"/>
    </row>
    <row r="458" spans="1:14" ht="15.75" customHeight="1" x14ac:dyDescent="0.25">
      <c r="A458" s="85">
        <v>449</v>
      </c>
      <c r="B458" s="86"/>
      <c r="C458" s="86"/>
      <c r="D458" s="86"/>
      <c r="E458" s="86"/>
      <c r="F458" s="86"/>
      <c r="G458" s="86"/>
      <c r="H458" s="86"/>
      <c r="I458" s="86"/>
      <c r="J458" s="86"/>
      <c r="K458" s="86"/>
      <c r="L458" s="86"/>
      <c r="M458" s="86"/>
      <c r="N458" s="86"/>
    </row>
    <row r="459" spans="1:14" ht="15.75" customHeight="1" x14ac:dyDescent="0.25">
      <c r="A459" s="87">
        <v>450</v>
      </c>
      <c r="B459" s="88"/>
      <c r="C459" s="88"/>
      <c r="D459" s="88"/>
      <c r="E459" s="88"/>
      <c r="F459" s="88"/>
      <c r="G459" s="88"/>
      <c r="H459" s="88"/>
      <c r="I459" s="88"/>
      <c r="J459" s="88"/>
      <c r="K459" s="88"/>
      <c r="L459" s="88"/>
      <c r="M459" s="88"/>
      <c r="N459" s="88"/>
    </row>
    <row r="460" spans="1:14" ht="15.75" customHeight="1" x14ac:dyDescent="0.25">
      <c r="A460" s="85">
        <v>451</v>
      </c>
      <c r="B460" s="86"/>
      <c r="C460" s="86"/>
      <c r="D460" s="86"/>
      <c r="E460" s="86"/>
      <c r="F460" s="86"/>
      <c r="G460" s="86"/>
      <c r="H460" s="86"/>
      <c r="I460" s="86"/>
      <c r="J460" s="86"/>
      <c r="K460" s="86"/>
      <c r="L460" s="86"/>
      <c r="M460" s="86"/>
      <c r="N460" s="86"/>
    </row>
    <row r="461" spans="1:14" ht="15.75" customHeight="1" x14ac:dyDescent="0.25">
      <c r="A461" s="87">
        <v>452</v>
      </c>
      <c r="B461" s="88"/>
      <c r="C461" s="88"/>
      <c r="D461" s="88"/>
      <c r="E461" s="88"/>
      <c r="F461" s="88"/>
      <c r="G461" s="88"/>
      <c r="H461" s="88"/>
      <c r="I461" s="88"/>
      <c r="J461" s="88"/>
      <c r="K461" s="88"/>
      <c r="L461" s="88"/>
      <c r="M461" s="88"/>
      <c r="N461" s="88"/>
    </row>
    <row r="462" spans="1:14" ht="15.75" customHeight="1" x14ac:dyDescent="0.25">
      <c r="A462" s="85">
        <v>453</v>
      </c>
      <c r="B462" s="86"/>
      <c r="C462" s="86"/>
      <c r="D462" s="86"/>
      <c r="E462" s="86"/>
      <c r="F462" s="86"/>
      <c r="G462" s="86"/>
      <c r="H462" s="86"/>
      <c r="I462" s="86"/>
      <c r="J462" s="86"/>
      <c r="K462" s="86"/>
      <c r="L462" s="86"/>
      <c r="M462" s="86"/>
      <c r="N462" s="86"/>
    </row>
    <row r="463" spans="1:14" ht="15.75" customHeight="1" x14ac:dyDescent="0.25">
      <c r="A463" s="87">
        <v>454</v>
      </c>
      <c r="B463" s="88"/>
      <c r="C463" s="88"/>
      <c r="D463" s="88"/>
      <c r="E463" s="88"/>
      <c r="F463" s="88"/>
      <c r="G463" s="88"/>
      <c r="H463" s="88"/>
      <c r="I463" s="88"/>
      <c r="J463" s="88"/>
      <c r="K463" s="88"/>
      <c r="L463" s="88"/>
      <c r="M463" s="88"/>
      <c r="N463" s="88"/>
    </row>
    <row r="464" spans="1:14" ht="15.75" customHeight="1" x14ac:dyDescent="0.25">
      <c r="A464" s="85">
        <v>455</v>
      </c>
      <c r="B464" s="86"/>
      <c r="C464" s="86"/>
      <c r="D464" s="86"/>
      <c r="E464" s="86"/>
      <c r="F464" s="86"/>
      <c r="G464" s="86"/>
      <c r="H464" s="86"/>
      <c r="I464" s="86"/>
      <c r="J464" s="86"/>
      <c r="K464" s="86"/>
      <c r="L464" s="86"/>
      <c r="M464" s="86"/>
      <c r="N464" s="86"/>
    </row>
    <row r="465" spans="1:14" ht="15.75" customHeight="1" x14ac:dyDescent="0.25">
      <c r="A465" s="87">
        <v>456</v>
      </c>
      <c r="B465" s="88"/>
      <c r="C465" s="88"/>
      <c r="D465" s="88"/>
      <c r="E465" s="88"/>
      <c r="F465" s="88"/>
      <c r="G465" s="88"/>
      <c r="H465" s="88"/>
      <c r="I465" s="88"/>
      <c r="J465" s="88"/>
      <c r="K465" s="88"/>
      <c r="L465" s="88"/>
      <c r="M465" s="88"/>
      <c r="N465" s="88"/>
    </row>
    <row r="466" spans="1:14" ht="15.75" customHeight="1" x14ac:dyDescent="0.25">
      <c r="A466" s="85">
        <v>457</v>
      </c>
      <c r="B466" s="86"/>
      <c r="C466" s="86"/>
      <c r="D466" s="86"/>
      <c r="E466" s="86"/>
      <c r="F466" s="86"/>
      <c r="G466" s="86"/>
      <c r="H466" s="86"/>
      <c r="I466" s="86"/>
      <c r="J466" s="86"/>
      <c r="K466" s="86"/>
      <c r="L466" s="86"/>
      <c r="M466" s="86"/>
      <c r="N466" s="86"/>
    </row>
    <row r="467" spans="1:14" ht="15.75" customHeight="1" x14ac:dyDescent="0.25">
      <c r="A467" s="87">
        <v>458</v>
      </c>
      <c r="B467" s="88"/>
      <c r="C467" s="88"/>
      <c r="D467" s="88"/>
      <c r="E467" s="88"/>
      <c r="F467" s="88"/>
      <c r="G467" s="88"/>
      <c r="H467" s="88"/>
      <c r="I467" s="88"/>
      <c r="J467" s="88"/>
      <c r="K467" s="88"/>
      <c r="L467" s="88"/>
      <c r="M467" s="88"/>
      <c r="N467" s="88"/>
    </row>
    <row r="468" spans="1:14" ht="15.75" customHeight="1" x14ac:dyDescent="0.25">
      <c r="A468" s="85">
        <v>459</v>
      </c>
      <c r="B468" s="86"/>
      <c r="C468" s="86"/>
      <c r="D468" s="86"/>
      <c r="E468" s="86"/>
      <c r="F468" s="86"/>
      <c r="G468" s="86"/>
      <c r="H468" s="86"/>
      <c r="I468" s="86"/>
      <c r="J468" s="86"/>
      <c r="K468" s="86"/>
      <c r="L468" s="86"/>
      <c r="M468" s="86"/>
      <c r="N468" s="86"/>
    </row>
    <row r="469" spans="1:14" ht="15.75" customHeight="1" x14ac:dyDescent="0.25">
      <c r="A469" s="87">
        <v>460</v>
      </c>
      <c r="B469" s="88"/>
      <c r="C469" s="88"/>
      <c r="D469" s="88"/>
      <c r="E469" s="88"/>
      <c r="F469" s="88"/>
      <c r="G469" s="88"/>
      <c r="H469" s="88"/>
      <c r="I469" s="88"/>
      <c r="J469" s="88"/>
      <c r="K469" s="88"/>
      <c r="L469" s="88"/>
      <c r="M469" s="88"/>
      <c r="N469" s="88"/>
    </row>
    <row r="470" spans="1:14" ht="15.75" customHeight="1" x14ac:dyDescent="0.25">
      <c r="A470" s="85">
        <v>461</v>
      </c>
      <c r="B470" s="86"/>
      <c r="C470" s="86"/>
      <c r="D470" s="86"/>
      <c r="E470" s="86"/>
      <c r="F470" s="86"/>
      <c r="G470" s="86"/>
      <c r="H470" s="86"/>
      <c r="I470" s="86"/>
      <c r="J470" s="86"/>
      <c r="K470" s="86"/>
      <c r="L470" s="86"/>
      <c r="M470" s="86"/>
      <c r="N470" s="86"/>
    </row>
    <row r="471" spans="1:14" ht="15.75" customHeight="1" x14ac:dyDescent="0.25">
      <c r="A471" s="87">
        <v>462</v>
      </c>
      <c r="B471" s="88"/>
      <c r="C471" s="88"/>
      <c r="D471" s="88"/>
      <c r="E471" s="88"/>
      <c r="F471" s="88"/>
      <c r="G471" s="88"/>
      <c r="H471" s="88"/>
      <c r="I471" s="88"/>
      <c r="J471" s="88"/>
      <c r="K471" s="88"/>
      <c r="L471" s="88"/>
      <c r="M471" s="88"/>
      <c r="N471" s="88"/>
    </row>
    <row r="472" spans="1:14" ht="15.75" customHeight="1" x14ac:dyDescent="0.25">
      <c r="A472" s="85">
        <v>463</v>
      </c>
      <c r="B472" s="86"/>
      <c r="C472" s="86"/>
      <c r="D472" s="86"/>
      <c r="E472" s="86"/>
      <c r="F472" s="86"/>
      <c r="G472" s="86"/>
      <c r="H472" s="86"/>
      <c r="I472" s="86"/>
      <c r="J472" s="86"/>
      <c r="K472" s="86"/>
      <c r="L472" s="86"/>
      <c r="M472" s="86"/>
      <c r="N472" s="86"/>
    </row>
    <row r="473" spans="1:14" ht="15.75" customHeight="1" x14ac:dyDescent="0.25">
      <c r="A473" s="87">
        <v>464</v>
      </c>
      <c r="B473" s="88"/>
      <c r="C473" s="88"/>
      <c r="D473" s="88"/>
      <c r="E473" s="88"/>
      <c r="F473" s="88"/>
      <c r="G473" s="88"/>
      <c r="H473" s="88"/>
      <c r="I473" s="88"/>
      <c r="J473" s="88"/>
      <c r="K473" s="88"/>
      <c r="L473" s="88"/>
      <c r="M473" s="88"/>
      <c r="N473" s="88"/>
    </row>
    <row r="474" spans="1:14" ht="15.75" customHeight="1" x14ac:dyDescent="0.25">
      <c r="A474" s="85">
        <v>465</v>
      </c>
      <c r="B474" s="86"/>
      <c r="C474" s="86"/>
      <c r="D474" s="86"/>
      <c r="E474" s="86"/>
      <c r="F474" s="86"/>
      <c r="G474" s="86"/>
      <c r="H474" s="86"/>
      <c r="I474" s="86"/>
      <c r="J474" s="86"/>
      <c r="K474" s="86"/>
      <c r="L474" s="86"/>
      <c r="M474" s="86"/>
      <c r="N474" s="86"/>
    </row>
    <row r="475" spans="1:14" ht="15.75" customHeight="1" x14ac:dyDescent="0.25">
      <c r="A475" s="87">
        <v>466</v>
      </c>
      <c r="B475" s="88"/>
      <c r="C475" s="88"/>
      <c r="D475" s="88"/>
      <c r="E475" s="88"/>
      <c r="F475" s="88"/>
      <c r="G475" s="88"/>
      <c r="H475" s="88"/>
      <c r="I475" s="88"/>
      <c r="J475" s="88"/>
      <c r="K475" s="88"/>
      <c r="L475" s="88"/>
      <c r="M475" s="88"/>
      <c r="N475" s="88"/>
    </row>
    <row r="476" spans="1:14" ht="15.75" customHeight="1" x14ac:dyDescent="0.25">
      <c r="A476" s="85">
        <v>467</v>
      </c>
      <c r="B476" s="86"/>
      <c r="C476" s="86"/>
      <c r="D476" s="86"/>
      <c r="E476" s="86"/>
      <c r="F476" s="86"/>
      <c r="G476" s="86"/>
      <c r="H476" s="86"/>
      <c r="I476" s="86"/>
      <c r="J476" s="86"/>
      <c r="K476" s="86"/>
      <c r="L476" s="86"/>
      <c r="M476" s="86"/>
      <c r="N476" s="86"/>
    </row>
    <row r="477" spans="1:14" ht="15.75" customHeight="1" x14ac:dyDescent="0.25">
      <c r="A477" s="87">
        <v>468</v>
      </c>
      <c r="B477" s="88"/>
      <c r="C477" s="88"/>
      <c r="D477" s="88"/>
      <c r="E477" s="88"/>
      <c r="F477" s="88"/>
      <c r="G477" s="88"/>
      <c r="H477" s="88"/>
      <c r="I477" s="88"/>
      <c r="J477" s="88"/>
      <c r="K477" s="88"/>
      <c r="L477" s="88"/>
      <c r="M477" s="88"/>
      <c r="N477" s="88"/>
    </row>
    <row r="478" spans="1:14" ht="15.75" customHeight="1" x14ac:dyDescent="0.25">
      <c r="A478" s="85">
        <v>469</v>
      </c>
      <c r="B478" s="86"/>
      <c r="C478" s="86"/>
      <c r="D478" s="86"/>
      <c r="E478" s="86"/>
      <c r="F478" s="86"/>
      <c r="G478" s="86"/>
      <c r="H478" s="86"/>
      <c r="I478" s="86"/>
      <c r="J478" s="86"/>
      <c r="K478" s="86"/>
      <c r="L478" s="86"/>
      <c r="M478" s="86"/>
      <c r="N478" s="86"/>
    </row>
    <row r="479" spans="1:14" ht="15.75" customHeight="1" x14ac:dyDescent="0.25">
      <c r="A479" s="87">
        <v>470</v>
      </c>
      <c r="B479" s="88"/>
      <c r="C479" s="88"/>
      <c r="D479" s="88"/>
      <c r="E479" s="88"/>
      <c r="F479" s="88"/>
      <c r="G479" s="88"/>
      <c r="H479" s="88"/>
      <c r="I479" s="88"/>
      <c r="J479" s="88"/>
      <c r="K479" s="88"/>
      <c r="L479" s="88"/>
      <c r="M479" s="88"/>
      <c r="N479" s="88"/>
    </row>
    <row r="480" spans="1:14" ht="15.75" customHeight="1" x14ac:dyDescent="0.25">
      <c r="A480" s="85">
        <v>471</v>
      </c>
      <c r="B480" s="86"/>
      <c r="C480" s="86"/>
      <c r="D480" s="86"/>
      <c r="E480" s="86"/>
      <c r="F480" s="86"/>
      <c r="G480" s="86"/>
      <c r="H480" s="86"/>
      <c r="I480" s="86"/>
      <c r="J480" s="86"/>
      <c r="K480" s="86"/>
      <c r="L480" s="86"/>
      <c r="M480" s="86"/>
      <c r="N480" s="86"/>
    </row>
    <row r="481" spans="1:14" ht="15.75" customHeight="1" x14ac:dyDescent="0.25">
      <c r="A481" s="87">
        <v>472</v>
      </c>
      <c r="B481" s="88"/>
      <c r="C481" s="88"/>
      <c r="D481" s="88"/>
      <c r="E481" s="88"/>
      <c r="F481" s="88"/>
      <c r="G481" s="88"/>
      <c r="H481" s="88"/>
      <c r="I481" s="88"/>
      <c r="J481" s="88"/>
      <c r="K481" s="88"/>
      <c r="L481" s="88"/>
      <c r="M481" s="88"/>
      <c r="N481" s="88"/>
    </row>
    <row r="482" spans="1:14" ht="15.75" customHeight="1" x14ac:dyDescent="0.25">
      <c r="A482" s="85">
        <v>473</v>
      </c>
      <c r="B482" s="86"/>
      <c r="C482" s="86"/>
      <c r="D482" s="86"/>
      <c r="E482" s="86"/>
      <c r="F482" s="86"/>
      <c r="G482" s="86"/>
      <c r="H482" s="86"/>
      <c r="I482" s="86"/>
      <c r="J482" s="86"/>
      <c r="K482" s="86"/>
      <c r="L482" s="86"/>
      <c r="M482" s="86"/>
      <c r="N482" s="86"/>
    </row>
    <row r="483" spans="1:14" ht="15.75" customHeight="1" x14ac:dyDescent="0.25">
      <c r="A483" s="87">
        <v>474</v>
      </c>
      <c r="B483" s="88"/>
      <c r="C483" s="88"/>
      <c r="D483" s="88"/>
      <c r="E483" s="88"/>
      <c r="F483" s="88"/>
      <c r="G483" s="88"/>
      <c r="H483" s="88"/>
      <c r="I483" s="88"/>
      <c r="J483" s="88"/>
      <c r="K483" s="88"/>
      <c r="L483" s="88"/>
      <c r="M483" s="88"/>
      <c r="N483" s="88"/>
    </row>
    <row r="484" spans="1:14" ht="15.75" customHeight="1" x14ac:dyDescent="0.25">
      <c r="A484" s="85">
        <v>475</v>
      </c>
      <c r="B484" s="86"/>
      <c r="C484" s="86"/>
      <c r="D484" s="86"/>
      <c r="E484" s="86"/>
      <c r="F484" s="86"/>
      <c r="G484" s="86"/>
      <c r="H484" s="86"/>
      <c r="I484" s="86"/>
      <c r="J484" s="86"/>
      <c r="K484" s="86"/>
      <c r="L484" s="86"/>
      <c r="M484" s="86"/>
      <c r="N484" s="86"/>
    </row>
    <row r="485" spans="1:14" ht="15.75" customHeight="1" x14ac:dyDescent="0.25">
      <c r="A485" s="87">
        <v>476</v>
      </c>
      <c r="B485" s="88"/>
      <c r="C485" s="88"/>
      <c r="D485" s="88"/>
      <c r="E485" s="88"/>
      <c r="F485" s="88"/>
      <c r="G485" s="88"/>
      <c r="H485" s="88"/>
      <c r="I485" s="88"/>
      <c r="J485" s="88"/>
      <c r="K485" s="88"/>
      <c r="L485" s="88"/>
      <c r="M485" s="88"/>
      <c r="N485" s="88"/>
    </row>
    <row r="486" spans="1:14" ht="15.75" customHeight="1" x14ac:dyDescent="0.25">
      <c r="A486" s="85">
        <v>477</v>
      </c>
      <c r="B486" s="86"/>
      <c r="C486" s="86"/>
      <c r="D486" s="86"/>
      <c r="E486" s="86"/>
      <c r="F486" s="86"/>
      <c r="G486" s="86"/>
      <c r="H486" s="86"/>
      <c r="I486" s="86"/>
      <c r="J486" s="86"/>
      <c r="K486" s="86"/>
      <c r="L486" s="86"/>
      <c r="M486" s="86"/>
      <c r="N486" s="86"/>
    </row>
    <row r="487" spans="1:14" ht="15.75" customHeight="1" x14ac:dyDescent="0.25">
      <c r="A487" s="87">
        <v>478</v>
      </c>
      <c r="B487" s="88"/>
      <c r="C487" s="88"/>
      <c r="D487" s="88"/>
      <c r="E487" s="88"/>
      <c r="F487" s="88"/>
      <c r="G487" s="88"/>
      <c r="H487" s="88"/>
      <c r="I487" s="88"/>
      <c r="J487" s="88"/>
      <c r="K487" s="88"/>
      <c r="L487" s="88"/>
      <c r="M487" s="88"/>
      <c r="N487" s="88"/>
    </row>
    <row r="488" spans="1:14" ht="15.75" customHeight="1" x14ac:dyDescent="0.25">
      <c r="A488" s="85">
        <v>479</v>
      </c>
      <c r="B488" s="86"/>
      <c r="C488" s="86"/>
      <c r="D488" s="86"/>
      <c r="E488" s="86"/>
      <c r="F488" s="86"/>
      <c r="G488" s="86"/>
      <c r="H488" s="86"/>
      <c r="I488" s="86"/>
      <c r="J488" s="86"/>
      <c r="K488" s="86"/>
      <c r="L488" s="86"/>
      <c r="M488" s="86"/>
      <c r="N488" s="86"/>
    </row>
    <row r="489" spans="1:14" ht="15.75" customHeight="1" x14ac:dyDescent="0.25">
      <c r="A489" s="87">
        <v>480</v>
      </c>
      <c r="B489" s="88"/>
      <c r="C489" s="88"/>
      <c r="D489" s="88"/>
      <c r="E489" s="88"/>
      <c r="F489" s="88"/>
      <c r="G489" s="88"/>
      <c r="H489" s="88"/>
      <c r="I489" s="88"/>
      <c r="J489" s="88"/>
      <c r="K489" s="88"/>
      <c r="L489" s="88"/>
      <c r="M489" s="88"/>
      <c r="N489" s="88"/>
    </row>
    <row r="490" spans="1:14" ht="15.75" customHeight="1" x14ac:dyDescent="0.25">
      <c r="A490" s="85">
        <v>481</v>
      </c>
      <c r="B490" s="86"/>
      <c r="C490" s="86"/>
      <c r="D490" s="86"/>
      <c r="E490" s="86"/>
      <c r="F490" s="86"/>
      <c r="G490" s="86"/>
      <c r="H490" s="86"/>
      <c r="I490" s="86"/>
      <c r="J490" s="86"/>
      <c r="K490" s="86"/>
      <c r="L490" s="86"/>
      <c r="M490" s="86"/>
      <c r="N490" s="86"/>
    </row>
    <row r="491" spans="1:14" ht="15.75" customHeight="1" x14ac:dyDescent="0.25">
      <c r="A491" s="87">
        <v>482</v>
      </c>
      <c r="B491" s="88"/>
      <c r="C491" s="88"/>
      <c r="D491" s="88"/>
      <c r="E491" s="88"/>
      <c r="F491" s="88"/>
      <c r="G491" s="88"/>
      <c r="H491" s="88"/>
      <c r="I491" s="88"/>
      <c r="J491" s="88"/>
      <c r="K491" s="88"/>
      <c r="L491" s="88"/>
      <c r="M491" s="88"/>
      <c r="N491" s="88"/>
    </row>
    <row r="492" spans="1:14" ht="15.75" customHeight="1" x14ac:dyDescent="0.25">
      <c r="A492" s="85">
        <v>483</v>
      </c>
      <c r="B492" s="86"/>
      <c r="C492" s="86"/>
      <c r="D492" s="86"/>
      <c r="E492" s="86"/>
      <c r="F492" s="86"/>
      <c r="G492" s="86"/>
      <c r="H492" s="86"/>
      <c r="I492" s="86"/>
      <c r="J492" s="86"/>
      <c r="K492" s="86"/>
      <c r="L492" s="86"/>
      <c r="M492" s="86"/>
      <c r="N492" s="86"/>
    </row>
    <row r="493" spans="1:14" ht="15.75" customHeight="1" x14ac:dyDescent="0.25">
      <c r="A493" s="87">
        <v>484</v>
      </c>
      <c r="B493" s="88"/>
      <c r="C493" s="88"/>
      <c r="D493" s="88"/>
      <c r="E493" s="88"/>
      <c r="F493" s="88"/>
      <c r="G493" s="88"/>
      <c r="H493" s="88"/>
      <c r="I493" s="88"/>
      <c r="J493" s="88"/>
      <c r="K493" s="88"/>
      <c r="L493" s="88"/>
      <c r="M493" s="88"/>
      <c r="N493" s="88"/>
    </row>
    <row r="494" spans="1:14" ht="15.75" customHeight="1" x14ac:dyDescent="0.25">
      <c r="A494" s="85">
        <v>485</v>
      </c>
      <c r="B494" s="86"/>
      <c r="C494" s="86"/>
      <c r="D494" s="86"/>
      <c r="E494" s="86"/>
      <c r="F494" s="86"/>
      <c r="G494" s="86"/>
      <c r="H494" s="86"/>
      <c r="I494" s="86"/>
      <c r="J494" s="86"/>
      <c r="K494" s="86"/>
      <c r="L494" s="86"/>
      <c r="M494" s="86"/>
      <c r="N494" s="86"/>
    </row>
    <row r="495" spans="1:14" ht="15.75" customHeight="1" x14ac:dyDescent="0.25">
      <c r="A495" s="87">
        <v>486</v>
      </c>
      <c r="B495" s="88"/>
      <c r="C495" s="88"/>
      <c r="D495" s="88"/>
      <c r="E495" s="88"/>
      <c r="F495" s="88"/>
      <c r="G495" s="88"/>
      <c r="H495" s="88"/>
      <c r="I495" s="88"/>
      <c r="J495" s="88"/>
      <c r="K495" s="88"/>
      <c r="L495" s="88"/>
      <c r="M495" s="88"/>
      <c r="N495" s="88"/>
    </row>
    <row r="496" spans="1:14" ht="15.75" customHeight="1" x14ac:dyDescent="0.25">
      <c r="A496" s="85">
        <v>487</v>
      </c>
      <c r="B496" s="86"/>
      <c r="C496" s="86"/>
      <c r="D496" s="86"/>
      <c r="E496" s="86"/>
      <c r="F496" s="86"/>
      <c r="G496" s="86"/>
      <c r="H496" s="86"/>
      <c r="I496" s="86"/>
      <c r="J496" s="86"/>
      <c r="K496" s="86"/>
      <c r="L496" s="86"/>
      <c r="M496" s="86"/>
      <c r="N496" s="86"/>
    </row>
    <row r="497" spans="1:14" ht="15.75" customHeight="1" x14ac:dyDescent="0.25">
      <c r="A497" s="87">
        <v>488</v>
      </c>
      <c r="B497" s="88"/>
      <c r="C497" s="88"/>
      <c r="D497" s="88"/>
      <c r="E497" s="88"/>
      <c r="F497" s="88"/>
      <c r="G497" s="88"/>
      <c r="H497" s="88"/>
      <c r="I497" s="88"/>
      <c r="J497" s="88"/>
      <c r="K497" s="88"/>
      <c r="L497" s="88"/>
      <c r="M497" s="88"/>
      <c r="N497" s="88"/>
    </row>
    <row r="498" spans="1:14" ht="15.75" customHeight="1" x14ac:dyDescent="0.25">
      <c r="A498" s="85">
        <v>489</v>
      </c>
      <c r="B498" s="86"/>
      <c r="C498" s="86"/>
      <c r="D498" s="86"/>
      <c r="E498" s="86"/>
      <c r="F498" s="86"/>
      <c r="G498" s="86"/>
      <c r="H498" s="86"/>
      <c r="I498" s="86"/>
      <c r="J498" s="86"/>
      <c r="K498" s="86"/>
      <c r="L498" s="86"/>
      <c r="M498" s="86"/>
      <c r="N498" s="86"/>
    </row>
    <row r="499" spans="1:14" ht="15.75" customHeight="1" x14ac:dyDescent="0.25">
      <c r="A499" s="87">
        <v>490</v>
      </c>
      <c r="B499" s="88"/>
      <c r="C499" s="88"/>
      <c r="D499" s="88"/>
      <c r="E499" s="88"/>
      <c r="F499" s="88"/>
      <c r="G499" s="88"/>
      <c r="H499" s="88"/>
      <c r="I499" s="88"/>
      <c r="J499" s="88"/>
      <c r="K499" s="88"/>
      <c r="L499" s="88"/>
      <c r="M499" s="88"/>
      <c r="N499" s="88"/>
    </row>
    <row r="500" spans="1:14" ht="15.75" customHeight="1" x14ac:dyDescent="0.25">
      <c r="A500" s="85">
        <v>491</v>
      </c>
      <c r="B500" s="86"/>
      <c r="C500" s="86"/>
      <c r="D500" s="86"/>
      <c r="E500" s="86"/>
      <c r="F500" s="86"/>
      <c r="G500" s="86"/>
      <c r="H500" s="86"/>
      <c r="I500" s="86"/>
      <c r="J500" s="86"/>
      <c r="K500" s="86"/>
      <c r="L500" s="86"/>
      <c r="M500" s="86"/>
      <c r="N500" s="86"/>
    </row>
    <row r="501" spans="1:14" ht="15.75" customHeight="1" x14ac:dyDescent="0.25">
      <c r="A501" s="87">
        <v>492</v>
      </c>
      <c r="B501" s="88"/>
      <c r="C501" s="88"/>
      <c r="D501" s="88"/>
      <c r="E501" s="88"/>
      <c r="F501" s="88"/>
      <c r="G501" s="88"/>
      <c r="H501" s="88"/>
      <c r="I501" s="88"/>
      <c r="J501" s="88"/>
      <c r="K501" s="88"/>
      <c r="L501" s="88"/>
      <c r="M501" s="88"/>
      <c r="N501" s="88"/>
    </row>
    <row r="502" spans="1:14" ht="15.75" customHeight="1" x14ac:dyDescent="0.25">
      <c r="A502" s="85">
        <v>493</v>
      </c>
      <c r="B502" s="86"/>
      <c r="C502" s="86"/>
      <c r="D502" s="86"/>
      <c r="E502" s="86"/>
      <c r="F502" s="86"/>
      <c r="G502" s="86"/>
      <c r="H502" s="86"/>
      <c r="I502" s="86"/>
      <c r="J502" s="86"/>
      <c r="K502" s="86"/>
      <c r="L502" s="86"/>
      <c r="M502" s="86"/>
      <c r="N502" s="86"/>
    </row>
    <row r="503" spans="1:14" ht="15.75" customHeight="1" x14ac:dyDescent="0.25">
      <c r="A503" s="87">
        <v>494</v>
      </c>
      <c r="B503" s="88"/>
      <c r="C503" s="88"/>
      <c r="D503" s="88"/>
      <c r="E503" s="88"/>
      <c r="F503" s="88"/>
      <c r="G503" s="88"/>
      <c r="H503" s="88"/>
      <c r="I503" s="88"/>
      <c r="J503" s="88"/>
      <c r="K503" s="88"/>
      <c r="L503" s="88"/>
      <c r="M503" s="88"/>
      <c r="N503" s="88"/>
    </row>
    <row r="504" spans="1:14" ht="15.75" customHeight="1" x14ac:dyDescent="0.25">
      <c r="A504" s="85">
        <v>495</v>
      </c>
      <c r="B504" s="86"/>
      <c r="C504" s="86"/>
      <c r="D504" s="86"/>
      <c r="E504" s="86"/>
      <c r="F504" s="86"/>
      <c r="G504" s="86"/>
      <c r="H504" s="86"/>
      <c r="I504" s="86"/>
      <c r="J504" s="86"/>
      <c r="K504" s="86"/>
      <c r="L504" s="86"/>
      <c r="M504" s="86"/>
      <c r="N504" s="86"/>
    </row>
    <row r="505" spans="1:14" ht="15.75" customHeight="1" x14ac:dyDescent="0.25">
      <c r="A505" s="87">
        <v>496</v>
      </c>
      <c r="B505" s="88"/>
      <c r="C505" s="88"/>
      <c r="D505" s="88"/>
      <c r="E505" s="88"/>
      <c r="F505" s="88"/>
      <c r="G505" s="88"/>
      <c r="H505" s="88"/>
      <c r="I505" s="88"/>
      <c r="J505" s="88"/>
      <c r="K505" s="88"/>
      <c r="L505" s="88"/>
      <c r="M505" s="88"/>
      <c r="N505" s="88"/>
    </row>
    <row r="506" spans="1:14" ht="15.75" customHeight="1" x14ac:dyDescent="0.25">
      <c r="A506" s="85">
        <v>497</v>
      </c>
      <c r="B506" s="86"/>
      <c r="C506" s="86"/>
      <c r="D506" s="86"/>
      <c r="E506" s="86"/>
      <c r="F506" s="86"/>
      <c r="G506" s="86"/>
      <c r="H506" s="86"/>
      <c r="I506" s="86"/>
      <c r="J506" s="86"/>
      <c r="K506" s="86"/>
      <c r="L506" s="86"/>
      <c r="M506" s="86"/>
      <c r="N506" s="86"/>
    </row>
    <row r="507" spans="1:14" ht="15.75" customHeight="1" x14ac:dyDescent="0.25">
      <c r="A507" s="87">
        <v>498</v>
      </c>
      <c r="B507" s="88"/>
      <c r="C507" s="88"/>
      <c r="D507" s="88"/>
      <c r="E507" s="88"/>
      <c r="F507" s="88"/>
      <c r="G507" s="88"/>
      <c r="H507" s="88"/>
      <c r="I507" s="88"/>
      <c r="J507" s="88"/>
      <c r="K507" s="88"/>
      <c r="L507" s="88"/>
      <c r="M507" s="88"/>
      <c r="N507" s="88"/>
    </row>
    <row r="508" spans="1:14" ht="15.75" customHeight="1" x14ac:dyDescent="0.25">
      <c r="A508" s="85">
        <v>499</v>
      </c>
      <c r="B508" s="86"/>
      <c r="C508" s="86"/>
      <c r="D508" s="86"/>
      <c r="E508" s="86"/>
      <c r="F508" s="86"/>
      <c r="G508" s="86"/>
      <c r="H508" s="86"/>
      <c r="I508" s="86"/>
      <c r="J508" s="86"/>
      <c r="K508" s="86"/>
      <c r="L508" s="86"/>
      <c r="M508" s="86"/>
      <c r="N508" s="86"/>
    </row>
    <row r="509" spans="1:14" ht="15.75" customHeight="1" x14ac:dyDescent="0.25">
      <c r="A509" s="87">
        <v>500</v>
      </c>
      <c r="B509" s="88"/>
      <c r="C509" s="88"/>
      <c r="D509" s="88"/>
      <c r="E509" s="88"/>
      <c r="F509" s="88"/>
      <c r="G509" s="88"/>
      <c r="H509" s="88"/>
      <c r="I509" s="88"/>
      <c r="J509" s="88"/>
      <c r="K509" s="88"/>
      <c r="L509" s="88"/>
      <c r="M509" s="88"/>
      <c r="N509" s="88"/>
    </row>
    <row r="511" spans="1:14" ht="3" customHeight="1" x14ac:dyDescent="0.25">
      <c r="A511" s="89"/>
      <c r="B511" s="89"/>
      <c r="C511" s="89"/>
      <c r="D511" s="89"/>
      <c r="E511" s="89"/>
      <c r="F511" s="89"/>
      <c r="G511" s="89"/>
      <c r="H511" s="89"/>
      <c r="I511" s="89"/>
      <c r="J511" s="89"/>
      <c r="K511" s="89"/>
      <c r="L511" s="89"/>
      <c r="M511" s="89"/>
      <c r="N511" s="89"/>
    </row>
    <row r="512" spans="1:14" ht="25.5" customHeight="1" x14ac:dyDescent="0.25">
      <c r="A512" s="192" t="s">
        <v>313</v>
      </c>
      <c r="B512" s="192"/>
      <c r="C512" s="192"/>
      <c r="D512" s="192"/>
      <c r="E512" s="192"/>
      <c r="F512" s="192"/>
      <c r="G512" s="192"/>
      <c r="H512" s="192"/>
      <c r="I512" s="192"/>
      <c r="J512" s="192"/>
      <c r="K512" s="192"/>
      <c r="L512" s="192"/>
      <c r="M512" s="192"/>
      <c r="N512" s="192"/>
    </row>
    <row r="513" spans="1:14" ht="19.5" customHeight="1" x14ac:dyDescent="0.25">
      <c r="B513" s="83" t="s">
        <v>314</v>
      </c>
      <c r="F513" s="189">
        <f>COUNTA(B10:B509)</f>
        <v>0</v>
      </c>
      <c r="G513" s="189"/>
      <c r="H513" s="189"/>
      <c r="I513" s="189"/>
      <c r="J513" s="189"/>
    </row>
    <row r="514" spans="1:14" ht="19.5" customHeight="1" x14ac:dyDescent="0.25">
      <c r="B514" s="83" t="s">
        <v>315</v>
      </c>
      <c r="F514" s="189">
        <f>SUMIF(E10:E509,"Savings",G10:G509)</f>
        <v>0</v>
      </c>
      <c r="G514" s="189"/>
      <c r="H514" s="189"/>
      <c r="I514" s="189"/>
      <c r="J514" s="189"/>
    </row>
    <row r="515" spans="1:14" ht="19.5" customHeight="1" x14ac:dyDescent="0.25">
      <c r="B515" s="83" t="s">
        <v>316</v>
      </c>
      <c r="F515" s="189">
        <f>SUMIF(E10:E509,"Withdrawal",G10:G509)</f>
        <v>0</v>
      </c>
      <c r="G515" s="189"/>
      <c r="H515" s="189"/>
      <c r="I515" s="189"/>
      <c r="J515" s="189"/>
    </row>
    <row r="516" spans="1:14" ht="19.5" customHeight="1" x14ac:dyDescent="0.25">
      <c r="B516" s="83" t="s">
        <v>317</v>
      </c>
      <c r="F516" s="189">
        <f>SUMIF(E10:E509,"Loan",G10:G509)</f>
        <v>0</v>
      </c>
      <c r="G516" s="189"/>
      <c r="H516" s="189"/>
      <c r="I516" s="189"/>
      <c r="J516" s="189"/>
    </row>
    <row r="517" spans="1:14" ht="19.5" customHeight="1" x14ac:dyDescent="0.25">
      <c r="B517" s="83" t="s">
        <v>318</v>
      </c>
      <c r="F517" s="189" t="e">
        <f>SUMPRODUCT((B10:B509&lt;&gt;"")/COUNTIF(IF(C10:C509="","x",C10:C509),IF(C10:C509="","x",C10:C509)))</f>
        <v>#VALUE!</v>
      </c>
      <c r="G517" s="189"/>
      <c r="H517" s="189"/>
      <c r="I517" s="189"/>
      <c r="J517" s="189"/>
    </row>
    <row r="518" spans="1:14" ht="19.5" customHeight="1" x14ac:dyDescent="0.25">
      <c r="B518" s="83" t="s">
        <v>319</v>
      </c>
      <c r="F518" s="189" t="str">
        <f>IFERROR(TEXT(MAX(F10:F509),"DD MMM YYYY"),"No records yet")</f>
        <v>00 Jan 1900</v>
      </c>
      <c r="G518" s="189"/>
      <c r="H518" s="189"/>
      <c r="I518" s="189"/>
      <c r="J518" s="189"/>
    </row>
    <row r="520" spans="1:14" ht="3" customHeight="1" x14ac:dyDescent="0.25">
      <c r="A520" s="90"/>
      <c r="B520" s="90"/>
      <c r="C520" s="90"/>
      <c r="D520" s="90"/>
      <c r="E520" s="90"/>
      <c r="F520" s="90"/>
      <c r="G520" s="90"/>
      <c r="H520" s="90"/>
      <c r="I520" s="90"/>
      <c r="J520" s="90"/>
      <c r="K520" s="90"/>
      <c r="L520" s="90"/>
      <c r="M520" s="90"/>
      <c r="N520" s="90"/>
    </row>
    <row r="521" spans="1:14" ht="24" customHeight="1" x14ac:dyDescent="0.25">
      <c r="A521" s="190" t="s">
        <v>320</v>
      </c>
      <c r="B521" s="190"/>
      <c r="C521" s="190"/>
      <c r="D521" s="190"/>
      <c r="E521" s="190"/>
      <c r="F521" s="190"/>
      <c r="G521" s="190"/>
      <c r="H521" s="190"/>
      <c r="I521" s="190"/>
      <c r="J521" s="190"/>
      <c r="K521" s="190"/>
      <c r="L521" s="190"/>
      <c r="M521" s="190"/>
      <c r="N521" s="190"/>
    </row>
    <row r="522" spans="1:14" ht="15.75" customHeight="1" x14ac:dyDescent="0.25">
      <c r="B522" s="188" t="s">
        <v>321</v>
      </c>
      <c r="C522" s="188"/>
      <c r="D522" s="188"/>
      <c r="E522" s="188"/>
      <c r="F522" s="188"/>
      <c r="G522" s="188"/>
      <c r="H522" s="188"/>
      <c r="I522" s="188"/>
      <c r="J522" s="188"/>
      <c r="K522" s="188"/>
      <c r="L522" s="188"/>
      <c r="M522" s="188"/>
      <c r="N522" s="188"/>
    </row>
    <row r="523" spans="1:14" ht="15.75" customHeight="1" x14ac:dyDescent="0.25">
      <c r="B523" s="188" t="s">
        <v>322</v>
      </c>
      <c r="C523" s="188"/>
      <c r="D523" s="188"/>
      <c r="E523" s="188"/>
      <c r="F523" s="188"/>
      <c r="G523" s="188"/>
      <c r="H523" s="188"/>
      <c r="I523" s="188"/>
      <c r="J523" s="188"/>
      <c r="K523" s="188"/>
      <c r="L523" s="188"/>
      <c r="M523" s="188"/>
      <c r="N523" s="188"/>
    </row>
    <row r="524" spans="1:14" ht="15.75" customHeight="1" x14ac:dyDescent="0.25">
      <c r="B524" s="188" t="s">
        <v>323</v>
      </c>
      <c r="C524" s="188"/>
      <c r="D524" s="188"/>
      <c r="E524" s="188"/>
      <c r="F524" s="188"/>
      <c r="G524" s="188"/>
      <c r="H524" s="188"/>
      <c r="I524" s="188"/>
      <c r="J524" s="188"/>
      <c r="K524" s="188"/>
      <c r="L524" s="188"/>
      <c r="M524" s="188"/>
      <c r="N524" s="188"/>
    </row>
    <row r="525" spans="1:14" ht="15.75" customHeight="1" x14ac:dyDescent="0.25">
      <c r="B525" s="188" t="s">
        <v>324</v>
      </c>
      <c r="C525" s="188"/>
      <c r="D525" s="188"/>
      <c r="E525" s="188"/>
      <c r="F525" s="188"/>
      <c r="G525" s="188"/>
      <c r="H525" s="188"/>
      <c r="I525" s="188"/>
      <c r="J525" s="188"/>
      <c r="K525" s="188"/>
      <c r="L525" s="188"/>
      <c r="M525" s="188"/>
      <c r="N525" s="188"/>
    </row>
    <row r="526" spans="1:14" ht="15.75" customHeight="1" x14ac:dyDescent="0.25">
      <c r="B526" s="188" t="s">
        <v>325</v>
      </c>
      <c r="C526" s="188"/>
      <c r="D526" s="188"/>
      <c r="E526" s="188"/>
      <c r="F526" s="188"/>
      <c r="G526" s="188"/>
      <c r="H526" s="188"/>
      <c r="I526" s="188"/>
      <c r="J526" s="188"/>
      <c r="K526" s="188"/>
      <c r="L526" s="188"/>
      <c r="M526" s="188"/>
      <c r="N526" s="188"/>
    </row>
    <row r="527" spans="1:14" ht="15.75" customHeight="1" x14ac:dyDescent="0.25">
      <c r="B527" s="188" t="s">
        <v>326</v>
      </c>
      <c r="C527" s="188"/>
      <c r="D527" s="188"/>
      <c r="E527" s="188"/>
      <c r="F527" s="188"/>
      <c r="G527" s="188"/>
      <c r="H527" s="188"/>
      <c r="I527" s="188"/>
      <c r="J527" s="188"/>
      <c r="K527" s="188"/>
      <c r="L527" s="188"/>
      <c r="M527" s="188"/>
      <c r="N527" s="188"/>
    </row>
  </sheetData>
  <sheetProtection password="9074" sheet="1"/>
  <mergeCells count="21">
    <mergeCell ref="A2:N2"/>
    <mergeCell ref="A3:N3"/>
    <mergeCell ref="A6:N6"/>
    <mergeCell ref="D7:F7"/>
    <mergeCell ref="J7:K7"/>
    <mergeCell ref="M7:N7"/>
    <mergeCell ref="A8:N8"/>
    <mergeCell ref="A512:N512"/>
    <mergeCell ref="F513:J513"/>
    <mergeCell ref="F514:J514"/>
    <mergeCell ref="F515:J515"/>
    <mergeCell ref="F516:J516"/>
    <mergeCell ref="F517:J517"/>
    <mergeCell ref="F518:J518"/>
    <mergeCell ref="A521:N521"/>
    <mergeCell ref="B522:N522"/>
    <mergeCell ref="B523:N523"/>
    <mergeCell ref="B524:N524"/>
    <mergeCell ref="B525:N525"/>
    <mergeCell ref="B526:N526"/>
    <mergeCell ref="B527:N527"/>
  </mergeCells>
  <pageMargins left="0.75" right="0.75" top="1" bottom="1" header="0.511811023622047" footer="0.511811023622047"/>
  <pageSetup paperSize="9" orientation="portrait" horizontalDpi="300" verticalDpi="30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tabColor rgb="FF2E86AB"/>
  </sheetPr>
  <dimension ref="A1:Q140"/>
  <sheetViews>
    <sheetView showGridLines="0" zoomScaleNormal="100" workbookViewId="0"/>
  </sheetViews>
  <sheetFormatPr defaultColWidth="8.7109375" defaultRowHeight="15" x14ac:dyDescent="0.25"/>
  <cols>
    <col min="1" max="1" width="3" customWidth="1"/>
    <col min="2" max="2" width="20" customWidth="1"/>
    <col min="3" max="3" width="14" customWidth="1"/>
    <col min="4" max="5" width="10" customWidth="1"/>
    <col min="6" max="6" width="18" customWidth="1"/>
    <col min="7" max="7" width="12" customWidth="1"/>
    <col min="8" max="8" width="24" customWidth="1"/>
    <col min="9" max="17" width="13" customWidth="1"/>
  </cols>
  <sheetData>
    <row r="1" spans="1:17" ht="9.75" customHeight="1" x14ac:dyDescent="0.25"/>
    <row r="2" spans="1:17" ht="36" customHeight="1" x14ac:dyDescent="0.25">
      <c r="A2" s="210" t="s">
        <v>327</v>
      </c>
      <c r="B2" s="210"/>
      <c r="C2" s="210"/>
      <c r="D2" s="210"/>
      <c r="E2" s="210"/>
      <c r="F2" s="210"/>
      <c r="G2" s="210"/>
      <c r="H2" s="210"/>
      <c r="I2" s="210"/>
      <c r="J2" s="210"/>
      <c r="K2" s="210"/>
      <c r="L2" s="210"/>
      <c r="M2" s="210"/>
      <c r="N2" s="210"/>
      <c r="O2" s="210"/>
      <c r="P2" s="210"/>
      <c r="Q2" s="210"/>
    </row>
    <row r="3" spans="1:17" ht="18" customHeight="1" x14ac:dyDescent="0.25">
      <c r="A3" s="194" t="s">
        <v>328</v>
      </c>
      <c r="B3" s="194"/>
      <c r="C3" s="194"/>
      <c r="D3" s="194"/>
      <c r="E3" s="194"/>
      <c r="F3" s="194"/>
      <c r="G3" s="194"/>
      <c r="H3" s="194"/>
      <c r="I3" s="194"/>
      <c r="J3" s="194"/>
      <c r="K3" s="194"/>
      <c r="L3" s="194"/>
      <c r="M3" s="194"/>
      <c r="N3" s="194"/>
      <c r="O3" s="194"/>
      <c r="P3" s="194"/>
      <c r="Q3" s="194"/>
    </row>
    <row r="4" spans="1:17" ht="3.75" customHeight="1" x14ac:dyDescent="0.25">
      <c r="A4" s="2"/>
      <c r="B4" s="2"/>
      <c r="C4" s="2"/>
      <c r="D4" s="2"/>
      <c r="E4" s="2"/>
      <c r="F4" s="2"/>
      <c r="G4" s="2"/>
      <c r="H4" s="2"/>
      <c r="I4" s="2"/>
      <c r="J4" s="2"/>
      <c r="K4" s="2"/>
      <c r="L4" s="2"/>
      <c r="M4" s="2"/>
      <c r="N4" s="2"/>
      <c r="O4" s="2"/>
      <c r="P4" s="2"/>
      <c r="Q4" s="2"/>
    </row>
    <row r="5" spans="1:17" ht="9.75" customHeight="1" x14ac:dyDescent="0.25"/>
    <row r="6" spans="1:17" ht="24" customHeight="1" x14ac:dyDescent="0.25">
      <c r="A6" s="211" t="s">
        <v>329</v>
      </c>
      <c r="B6" s="211"/>
      <c r="C6" s="211"/>
      <c r="D6" s="211"/>
      <c r="E6" s="211"/>
      <c r="F6" s="211"/>
      <c r="G6" s="211"/>
      <c r="H6" s="211"/>
      <c r="I6" s="211"/>
      <c r="J6" s="211"/>
      <c r="K6" s="211"/>
      <c r="L6" s="211"/>
      <c r="M6" s="211"/>
      <c r="N6" s="211"/>
      <c r="O6" s="211"/>
      <c r="P6" s="211"/>
      <c r="Q6" s="211"/>
    </row>
    <row r="7" spans="1:17" ht="19.5" customHeight="1" x14ac:dyDescent="0.25">
      <c r="B7" s="83" t="s">
        <v>330</v>
      </c>
      <c r="D7" s="209" t="s">
        <v>331</v>
      </c>
      <c r="E7" s="209"/>
      <c r="F7" s="209"/>
      <c r="G7" s="209"/>
      <c r="H7" s="209"/>
      <c r="I7" s="209"/>
      <c r="J7" s="209"/>
      <c r="K7" s="209"/>
      <c r="L7" s="209"/>
    </row>
    <row r="8" spans="1:17" ht="19.5" customHeight="1" x14ac:dyDescent="0.25">
      <c r="B8" s="83" t="s">
        <v>332</v>
      </c>
      <c r="D8" s="209" t="s">
        <v>333</v>
      </c>
      <c r="E8" s="209"/>
      <c r="F8" s="209"/>
      <c r="G8" s="209"/>
      <c r="H8" s="209"/>
      <c r="I8" s="209"/>
      <c r="J8" s="209"/>
      <c r="K8" s="209"/>
      <c r="L8" s="209"/>
    </row>
    <row r="9" spans="1:17" ht="19.5" customHeight="1" x14ac:dyDescent="0.25">
      <c r="B9" s="83" t="s">
        <v>334</v>
      </c>
      <c r="D9" s="209" t="s">
        <v>333</v>
      </c>
      <c r="E9" s="209"/>
      <c r="F9" s="209"/>
      <c r="G9" s="209"/>
      <c r="H9" s="209"/>
      <c r="I9" s="209"/>
      <c r="J9" s="209"/>
      <c r="K9" s="209"/>
      <c r="L9" s="209"/>
    </row>
    <row r="10" spans="1:17" ht="19.5" customHeight="1" x14ac:dyDescent="0.25">
      <c r="B10" s="83" t="s">
        <v>335</v>
      </c>
      <c r="D10" s="209">
        <f>COUNTA(DB_Savings!B4:B500)+COUNTA(DB_Withdrawals!B4:B500)+COUNTA(DB_Loans!A4:A500)</f>
        <v>0</v>
      </c>
      <c r="E10" s="209"/>
      <c r="F10" s="209"/>
      <c r="G10" s="209"/>
      <c r="H10" s="209"/>
      <c r="I10" s="209"/>
      <c r="J10" s="209"/>
      <c r="K10" s="209"/>
      <c r="L10" s="209"/>
    </row>
    <row r="11" spans="1:17" ht="19.5" customHeight="1" x14ac:dyDescent="0.25">
      <c r="B11" s="83" t="s">
        <v>336</v>
      </c>
      <c r="D11" s="209" t="s">
        <v>337</v>
      </c>
      <c r="E11" s="209"/>
      <c r="F11" s="209"/>
      <c r="G11" s="209"/>
      <c r="H11" s="209"/>
      <c r="I11" s="209"/>
      <c r="J11" s="209"/>
      <c r="K11" s="209"/>
      <c r="L11" s="209"/>
    </row>
    <row r="12" spans="1:17" ht="19.5" customHeight="1" x14ac:dyDescent="0.25">
      <c r="B12" s="83" t="s">
        <v>338</v>
      </c>
      <c r="D12" s="209" t="s">
        <v>339</v>
      </c>
      <c r="E12" s="209"/>
      <c r="F12" s="209"/>
      <c r="G12" s="209"/>
      <c r="H12" s="209"/>
      <c r="I12" s="209"/>
      <c r="J12" s="209"/>
      <c r="K12" s="209"/>
      <c r="L12" s="209"/>
    </row>
    <row r="13" spans="1:17" ht="12" customHeight="1" x14ac:dyDescent="0.25"/>
    <row r="14" spans="1:17" ht="3" customHeight="1" x14ac:dyDescent="0.25">
      <c r="A14" s="89"/>
      <c r="B14" s="89"/>
      <c r="C14" s="89"/>
      <c r="D14" s="89"/>
      <c r="E14" s="89"/>
      <c r="F14" s="89"/>
      <c r="G14" s="89"/>
      <c r="H14" s="89"/>
      <c r="I14" s="89"/>
      <c r="J14" s="89"/>
      <c r="K14" s="89"/>
      <c r="L14" s="89"/>
      <c r="M14" s="89"/>
      <c r="N14" s="89"/>
      <c r="O14" s="89"/>
      <c r="P14" s="89"/>
      <c r="Q14" s="89"/>
    </row>
    <row r="15" spans="1:17" ht="25.5" customHeight="1" x14ac:dyDescent="0.25">
      <c r="A15" s="192" t="s">
        <v>340</v>
      </c>
      <c r="B15" s="192"/>
      <c r="C15" s="192"/>
      <c r="D15" s="192"/>
      <c r="E15" s="192"/>
      <c r="F15" s="192"/>
      <c r="G15" s="192"/>
      <c r="H15" s="192"/>
      <c r="I15" s="192"/>
      <c r="J15" s="192"/>
      <c r="K15" s="192"/>
      <c r="L15" s="192"/>
      <c r="M15" s="192"/>
      <c r="N15" s="192"/>
      <c r="O15" s="192"/>
      <c r="P15" s="192"/>
      <c r="Q15" s="192"/>
    </row>
    <row r="16" spans="1:17" ht="19.5" customHeight="1" x14ac:dyDescent="0.25">
      <c r="B16" s="83" t="s">
        <v>341</v>
      </c>
      <c r="D16" s="209" t="s">
        <v>342</v>
      </c>
      <c r="E16" s="209"/>
      <c r="F16" s="209"/>
      <c r="G16" s="209"/>
      <c r="H16" s="209"/>
      <c r="I16" s="209"/>
      <c r="J16" s="209"/>
      <c r="K16" s="209"/>
      <c r="L16" s="209"/>
      <c r="M16" s="209"/>
      <c r="N16" s="209"/>
      <c r="O16" s="209"/>
      <c r="P16" s="209"/>
      <c r="Q16" s="209"/>
    </row>
    <row r="17" spans="1:17" ht="19.5" customHeight="1" x14ac:dyDescent="0.25">
      <c r="B17" s="83" t="s">
        <v>343</v>
      </c>
      <c r="D17" s="209" t="s">
        <v>344</v>
      </c>
      <c r="E17" s="209"/>
      <c r="F17" s="209"/>
      <c r="G17" s="209"/>
      <c r="H17" s="209"/>
      <c r="I17" s="209"/>
      <c r="J17" s="209"/>
      <c r="K17" s="209"/>
      <c r="L17" s="209"/>
      <c r="M17" s="209"/>
      <c r="N17" s="209"/>
      <c r="O17" s="209"/>
      <c r="P17" s="209"/>
      <c r="Q17" s="209"/>
    </row>
    <row r="18" spans="1:17" ht="19.5" customHeight="1" x14ac:dyDescent="0.25">
      <c r="B18" s="83" t="s">
        <v>345</v>
      </c>
      <c r="D18" s="209" t="s">
        <v>346</v>
      </c>
      <c r="E18" s="209"/>
      <c r="F18" s="209"/>
      <c r="G18" s="209"/>
      <c r="H18" s="209"/>
      <c r="I18" s="209"/>
      <c r="J18" s="209"/>
      <c r="K18" s="209"/>
      <c r="L18" s="209"/>
      <c r="M18" s="209"/>
      <c r="N18" s="209"/>
      <c r="O18" s="209"/>
      <c r="P18" s="209"/>
      <c r="Q18" s="209"/>
    </row>
    <row r="19" spans="1:17" ht="19.5" customHeight="1" x14ac:dyDescent="0.25">
      <c r="B19" s="83" t="s">
        <v>347</v>
      </c>
      <c r="D19" s="209" t="s">
        <v>348</v>
      </c>
      <c r="E19" s="209"/>
      <c r="F19" s="209"/>
      <c r="G19" s="209"/>
      <c r="H19" s="209"/>
      <c r="I19" s="209"/>
      <c r="J19" s="209"/>
      <c r="K19" s="209"/>
      <c r="L19" s="209"/>
      <c r="M19" s="209"/>
      <c r="N19" s="209"/>
      <c r="O19" s="209"/>
      <c r="P19" s="209"/>
      <c r="Q19" s="209"/>
    </row>
    <row r="20" spans="1:17" ht="19.5" customHeight="1" x14ac:dyDescent="0.25">
      <c r="B20" s="83" t="s">
        <v>349</v>
      </c>
      <c r="D20" s="209" t="s">
        <v>350</v>
      </c>
      <c r="E20" s="209"/>
      <c r="F20" s="209"/>
      <c r="G20" s="209"/>
      <c r="H20" s="209"/>
      <c r="I20" s="209"/>
      <c r="J20" s="209"/>
      <c r="K20" s="209"/>
      <c r="L20" s="209"/>
      <c r="M20" s="209"/>
      <c r="N20" s="209"/>
      <c r="O20" s="209"/>
      <c r="P20" s="209"/>
      <c r="Q20" s="209"/>
    </row>
    <row r="21" spans="1:17" ht="19.5" customHeight="1" x14ac:dyDescent="0.25">
      <c r="B21" s="83" t="s">
        <v>351</v>
      </c>
      <c r="D21" s="209" t="s">
        <v>352</v>
      </c>
      <c r="E21" s="209"/>
      <c r="F21" s="209"/>
      <c r="G21" s="209"/>
      <c r="H21" s="209"/>
      <c r="I21" s="209"/>
      <c r="J21" s="209"/>
      <c r="K21" s="209"/>
      <c r="L21" s="209"/>
      <c r="M21" s="209"/>
      <c r="N21" s="209"/>
      <c r="O21" s="209"/>
      <c r="P21" s="209"/>
      <c r="Q21" s="209"/>
    </row>
    <row r="22" spans="1:17" ht="19.5" customHeight="1" x14ac:dyDescent="0.25">
      <c r="B22" s="83" t="s">
        <v>353</v>
      </c>
      <c r="D22" s="209" t="s">
        <v>354</v>
      </c>
      <c r="E22" s="209"/>
      <c r="F22" s="209"/>
      <c r="G22" s="209"/>
      <c r="H22" s="209"/>
      <c r="I22" s="209"/>
      <c r="J22" s="209"/>
      <c r="K22" s="209"/>
      <c r="L22" s="209"/>
      <c r="M22" s="209"/>
      <c r="N22" s="209"/>
      <c r="O22" s="209"/>
      <c r="P22" s="209"/>
      <c r="Q22" s="209"/>
    </row>
    <row r="23" spans="1:17" ht="19.5" customHeight="1" x14ac:dyDescent="0.25">
      <c r="B23" s="83" t="s">
        <v>355</v>
      </c>
      <c r="D23" s="209" t="s">
        <v>356</v>
      </c>
      <c r="E23" s="209"/>
      <c r="F23" s="209"/>
      <c r="G23" s="209"/>
      <c r="H23" s="209"/>
      <c r="I23" s="209"/>
      <c r="J23" s="209"/>
      <c r="K23" s="209"/>
      <c r="L23" s="209"/>
      <c r="M23" s="209"/>
      <c r="N23" s="209"/>
      <c r="O23" s="209"/>
      <c r="P23" s="209"/>
      <c r="Q23" s="209"/>
    </row>
    <row r="24" spans="1:17" ht="19.5" customHeight="1" x14ac:dyDescent="0.25">
      <c r="B24" s="83" t="s">
        <v>357</v>
      </c>
      <c r="D24" s="209" t="s">
        <v>358</v>
      </c>
      <c r="E24" s="209"/>
      <c r="F24" s="209"/>
      <c r="G24" s="209"/>
      <c r="H24" s="209"/>
      <c r="I24" s="209"/>
      <c r="J24" s="209"/>
      <c r="K24" s="209"/>
      <c r="L24" s="209"/>
      <c r="M24" s="209"/>
      <c r="N24" s="209"/>
      <c r="O24" s="209"/>
      <c r="P24" s="209"/>
      <c r="Q24" s="209"/>
    </row>
    <row r="25" spans="1:17" ht="19.5" customHeight="1" x14ac:dyDescent="0.25">
      <c r="B25" s="83" t="s">
        <v>359</v>
      </c>
      <c r="D25" s="209" t="s">
        <v>360</v>
      </c>
      <c r="E25" s="209"/>
      <c r="F25" s="209"/>
      <c r="G25" s="209"/>
      <c r="H25" s="209"/>
      <c r="I25" s="209"/>
      <c r="J25" s="209"/>
      <c r="K25" s="209"/>
      <c r="L25" s="209"/>
      <c r="M25" s="209"/>
      <c r="N25" s="209"/>
      <c r="O25" s="209"/>
      <c r="P25" s="209"/>
      <c r="Q25" s="209"/>
    </row>
    <row r="26" spans="1:17" ht="19.5" customHeight="1" x14ac:dyDescent="0.25">
      <c r="B26" s="83" t="s">
        <v>361</v>
      </c>
      <c r="D26" s="209" t="s">
        <v>362</v>
      </c>
      <c r="E26" s="209"/>
      <c r="F26" s="209"/>
      <c r="G26" s="209"/>
      <c r="H26" s="209"/>
      <c r="I26" s="209"/>
      <c r="J26" s="209"/>
      <c r="K26" s="209"/>
      <c r="L26" s="209"/>
      <c r="M26" s="209"/>
      <c r="N26" s="209"/>
      <c r="O26" s="209"/>
      <c r="P26" s="209"/>
      <c r="Q26" s="209"/>
    </row>
    <row r="27" spans="1:17" ht="19.5" customHeight="1" x14ac:dyDescent="0.25">
      <c r="B27" s="83" t="s">
        <v>363</v>
      </c>
      <c r="D27" s="209" t="s">
        <v>364</v>
      </c>
      <c r="E27" s="209"/>
      <c r="F27" s="209"/>
      <c r="G27" s="209"/>
      <c r="H27" s="209"/>
      <c r="I27" s="209"/>
      <c r="J27" s="209"/>
      <c r="K27" s="209"/>
      <c r="L27" s="209"/>
      <c r="M27" s="209"/>
      <c r="N27" s="209"/>
      <c r="O27" s="209"/>
      <c r="P27" s="209"/>
      <c r="Q27" s="209"/>
    </row>
    <row r="28" spans="1:17" ht="19.5" customHeight="1" x14ac:dyDescent="0.25">
      <c r="B28" s="83" t="s">
        <v>365</v>
      </c>
      <c r="D28" s="209" t="s">
        <v>366</v>
      </c>
      <c r="E28" s="209"/>
      <c r="F28" s="209"/>
      <c r="G28" s="209"/>
      <c r="H28" s="209"/>
      <c r="I28" s="209"/>
      <c r="J28" s="209"/>
      <c r="K28" s="209"/>
      <c r="L28" s="209"/>
      <c r="M28" s="209"/>
      <c r="N28" s="209"/>
      <c r="O28" s="209"/>
      <c r="P28" s="209"/>
      <c r="Q28" s="209"/>
    </row>
    <row r="29" spans="1:17" ht="19.5" customHeight="1" x14ac:dyDescent="0.25">
      <c r="B29" s="83" t="s">
        <v>367</v>
      </c>
      <c r="D29" s="209" t="s">
        <v>368</v>
      </c>
      <c r="E29" s="209"/>
      <c r="F29" s="209"/>
      <c r="G29" s="209"/>
      <c r="H29" s="209"/>
      <c r="I29" s="209"/>
      <c r="J29" s="209"/>
      <c r="K29" s="209"/>
      <c r="L29" s="209"/>
      <c r="M29" s="209"/>
      <c r="N29" s="209"/>
      <c r="O29" s="209"/>
      <c r="P29" s="209"/>
      <c r="Q29" s="209"/>
    </row>
    <row r="30" spans="1:17" ht="13.5" customHeight="1" x14ac:dyDescent="0.25"/>
    <row r="31" spans="1:17" ht="3" customHeight="1" x14ac:dyDescent="0.25">
      <c r="A31" s="89"/>
      <c r="B31" s="89"/>
      <c r="C31" s="89"/>
      <c r="D31" s="89"/>
      <c r="E31" s="89"/>
      <c r="F31" s="89"/>
      <c r="G31" s="89"/>
      <c r="H31" s="89"/>
      <c r="I31" s="89"/>
      <c r="J31" s="89"/>
      <c r="K31" s="89"/>
      <c r="L31" s="89"/>
      <c r="M31" s="89"/>
      <c r="N31" s="89"/>
      <c r="O31" s="89"/>
      <c r="P31" s="89"/>
      <c r="Q31" s="89"/>
    </row>
    <row r="32" spans="1:17" ht="25.5" customHeight="1" x14ac:dyDescent="0.25">
      <c r="A32" s="192" t="s">
        <v>369</v>
      </c>
      <c r="B32" s="192"/>
      <c r="C32" s="192"/>
      <c r="D32" s="192"/>
      <c r="E32" s="192"/>
      <c r="F32" s="192"/>
      <c r="G32" s="192"/>
      <c r="H32" s="192"/>
      <c r="I32" s="192"/>
      <c r="J32" s="192"/>
      <c r="K32" s="192"/>
      <c r="L32" s="192"/>
      <c r="M32" s="192"/>
      <c r="N32" s="192"/>
      <c r="O32" s="192"/>
      <c r="P32" s="192"/>
      <c r="Q32" s="192"/>
    </row>
    <row r="33" spans="1:17" ht="7.5" customHeight="1" x14ac:dyDescent="0.25"/>
    <row r="34" spans="1:17" ht="43.5" customHeight="1" x14ac:dyDescent="0.25">
      <c r="B34" s="205" t="s">
        <v>370</v>
      </c>
      <c r="C34" s="205"/>
      <c r="D34" s="205"/>
      <c r="E34" s="205"/>
      <c r="F34" s="205"/>
      <c r="G34" s="205"/>
    </row>
    <row r="35" spans="1:17" ht="15.75" customHeight="1" x14ac:dyDescent="0.25">
      <c r="B35" s="206" t="s">
        <v>371</v>
      </c>
      <c r="C35" s="206"/>
      <c r="D35" s="206"/>
      <c r="E35" s="206"/>
      <c r="F35" s="206"/>
      <c r="G35" s="206"/>
    </row>
    <row r="36" spans="1:17" ht="9.75" customHeight="1" x14ac:dyDescent="0.25"/>
    <row r="37" spans="1:17" ht="43.5" customHeight="1" x14ac:dyDescent="0.25">
      <c r="B37" s="207" t="s">
        <v>372</v>
      </c>
      <c r="C37" s="207"/>
      <c r="D37" s="207"/>
      <c r="E37" s="207"/>
      <c r="F37" s="207"/>
      <c r="G37" s="207"/>
    </row>
    <row r="38" spans="1:17" ht="15.75" customHeight="1" x14ac:dyDescent="0.25">
      <c r="B38" s="206" t="s">
        <v>373</v>
      </c>
      <c r="C38" s="206"/>
      <c r="D38" s="206"/>
      <c r="E38" s="206"/>
      <c r="F38" s="206"/>
      <c r="G38" s="206"/>
    </row>
    <row r="39" spans="1:17" ht="9.75" customHeight="1" x14ac:dyDescent="0.25"/>
    <row r="40" spans="1:17" ht="43.5" customHeight="1" x14ac:dyDescent="0.25">
      <c r="B40" s="208" t="s">
        <v>374</v>
      </c>
      <c r="C40" s="208"/>
      <c r="D40" s="208"/>
      <c r="E40" s="208"/>
      <c r="F40" s="208"/>
      <c r="G40" s="208"/>
    </row>
    <row r="41" spans="1:17" ht="15.75" customHeight="1" x14ac:dyDescent="0.25">
      <c r="B41" s="203" t="s">
        <v>375</v>
      </c>
      <c r="C41" s="203"/>
      <c r="D41" s="203"/>
      <c r="E41" s="203"/>
      <c r="F41" s="203"/>
      <c r="G41" s="203"/>
    </row>
    <row r="42" spans="1:17" ht="13.5" customHeight="1" x14ac:dyDescent="0.25"/>
    <row r="43" spans="1:17" ht="3" customHeight="1" x14ac:dyDescent="0.25">
      <c r="A43" s="89"/>
      <c r="B43" s="89"/>
      <c r="C43" s="89"/>
      <c r="D43" s="89"/>
      <c r="E43" s="89"/>
      <c r="F43" s="89"/>
      <c r="G43" s="89"/>
      <c r="H43" s="89"/>
      <c r="I43" s="89"/>
      <c r="J43" s="89"/>
      <c r="K43" s="89"/>
      <c r="L43" s="89"/>
      <c r="M43" s="89"/>
      <c r="N43" s="89"/>
      <c r="O43" s="89"/>
      <c r="P43" s="89"/>
      <c r="Q43" s="89"/>
    </row>
    <row r="44" spans="1:17" ht="25.5" customHeight="1" x14ac:dyDescent="0.25">
      <c r="A44" s="192" t="s">
        <v>376</v>
      </c>
      <c r="B44" s="192"/>
      <c r="C44" s="192"/>
      <c r="D44" s="192"/>
      <c r="E44" s="192"/>
      <c r="F44" s="192"/>
      <c r="G44" s="192"/>
      <c r="H44" s="192"/>
      <c r="I44" s="192"/>
      <c r="J44" s="192"/>
      <c r="K44" s="192"/>
      <c r="L44" s="192"/>
      <c r="M44" s="192"/>
      <c r="N44" s="192"/>
      <c r="O44" s="192"/>
      <c r="P44" s="192"/>
      <c r="Q44" s="192"/>
    </row>
    <row r="45" spans="1:17" ht="24" customHeight="1" x14ac:dyDescent="0.25">
      <c r="B45" s="204" t="s">
        <v>377</v>
      </c>
      <c r="C45" s="204"/>
      <c r="D45" s="204"/>
      <c r="E45" s="204"/>
      <c r="F45" s="204"/>
      <c r="G45" s="204"/>
      <c r="H45" s="204"/>
      <c r="I45" s="204"/>
      <c r="J45" s="204"/>
      <c r="K45" s="204"/>
      <c r="L45" s="204"/>
      <c r="M45" s="204"/>
      <c r="N45" s="204"/>
      <c r="O45" s="204"/>
      <c r="P45" s="204"/>
      <c r="Q45" s="204"/>
    </row>
    <row r="46" spans="1:17" ht="15.75" customHeight="1" x14ac:dyDescent="0.25">
      <c r="C46" s="198" t="s">
        <v>378</v>
      </c>
      <c r="D46" s="198"/>
      <c r="E46" s="198"/>
      <c r="F46" s="198"/>
      <c r="G46" s="198"/>
      <c r="H46" s="198"/>
      <c r="I46" s="198"/>
      <c r="J46" s="198"/>
      <c r="K46" s="198"/>
      <c r="L46" s="198"/>
      <c r="M46" s="198"/>
      <c r="N46" s="198"/>
      <c r="O46" s="198"/>
      <c r="P46" s="198"/>
      <c r="Q46" s="198"/>
    </row>
    <row r="47" spans="1:17" ht="15.75" customHeight="1" x14ac:dyDescent="0.25">
      <c r="C47" s="198" t="s">
        <v>379</v>
      </c>
      <c r="D47" s="198"/>
      <c r="E47" s="198"/>
      <c r="F47" s="198"/>
      <c r="G47" s="198"/>
      <c r="H47" s="198"/>
      <c r="I47" s="198"/>
      <c r="J47" s="198"/>
      <c r="K47" s="198"/>
      <c r="L47" s="198"/>
      <c r="M47" s="198"/>
      <c r="N47" s="198"/>
      <c r="O47" s="198"/>
      <c r="P47" s="198"/>
      <c r="Q47" s="198"/>
    </row>
    <row r="48" spans="1:17" ht="15.75" customHeight="1" x14ac:dyDescent="0.25">
      <c r="C48" s="198" t="s">
        <v>380</v>
      </c>
      <c r="D48" s="198"/>
      <c r="E48" s="198"/>
      <c r="F48" s="198"/>
      <c r="G48" s="198"/>
      <c r="H48" s="198"/>
      <c r="I48" s="198"/>
      <c r="J48" s="198"/>
      <c r="K48" s="198"/>
      <c r="L48" s="198"/>
      <c r="M48" s="198"/>
      <c r="N48" s="198"/>
      <c r="O48" s="198"/>
      <c r="P48" s="198"/>
      <c r="Q48" s="198"/>
    </row>
    <row r="49" spans="2:17" ht="15.75" customHeight="1" x14ac:dyDescent="0.25">
      <c r="C49" s="198" t="s">
        <v>381</v>
      </c>
      <c r="D49" s="198"/>
      <c r="E49" s="198"/>
      <c r="F49" s="198"/>
      <c r="G49" s="198"/>
      <c r="H49" s="198"/>
      <c r="I49" s="198"/>
      <c r="J49" s="198"/>
      <c r="K49" s="198"/>
      <c r="L49" s="198"/>
      <c r="M49" s="198"/>
      <c r="N49" s="198"/>
      <c r="O49" s="198"/>
      <c r="P49" s="198"/>
      <c r="Q49" s="198"/>
    </row>
    <row r="50" spans="2:17" ht="15.75" customHeight="1" x14ac:dyDescent="0.25">
      <c r="C50" s="198" t="s">
        <v>382</v>
      </c>
      <c r="D50" s="198"/>
      <c r="E50" s="198"/>
      <c r="F50" s="198"/>
      <c r="G50" s="198"/>
      <c r="H50" s="198"/>
      <c r="I50" s="198"/>
      <c r="J50" s="198"/>
      <c r="K50" s="198"/>
      <c r="L50" s="198"/>
      <c r="M50" s="198"/>
      <c r="N50" s="198"/>
      <c r="O50" s="198"/>
      <c r="P50" s="198"/>
      <c r="Q50" s="198"/>
    </row>
    <row r="51" spans="2:17" ht="15.75" customHeight="1" x14ac:dyDescent="0.25">
      <c r="C51" s="198" t="s">
        <v>383</v>
      </c>
      <c r="D51" s="198"/>
      <c r="E51" s="198"/>
      <c r="F51" s="198"/>
      <c r="G51" s="198"/>
      <c r="H51" s="198"/>
      <c r="I51" s="198"/>
      <c r="J51" s="198"/>
      <c r="K51" s="198"/>
      <c r="L51" s="198"/>
      <c r="M51" s="198"/>
      <c r="N51" s="198"/>
      <c r="O51" s="198"/>
      <c r="P51" s="198"/>
      <c r="Q51" s="198"/>
    </row>
    <row r="52" spans="2:17" ht="7.5" customHeight="1" x14ac:dyDescent="0.25"/>
    <row r="53" spans="2:17" ht="24" customHeight="1" x14ac:dyDescent="0.25">
      <c r="B53" s="202" t="s">
        <v>384</v>
      </c>
      <c r="C53" s="202"/>
      <c r="D53" s="202"/>
      <c r="E53" s="202"/>
      <c r="F53" s="202"/>
      <c r="G53" s="202"/>
      <c r="H53" s="202"/>
      <c r="I53" s="202"/>
      <c r="J53" s="202"/>
      <c r="K53" s="202"/>
      <c r="L53" s="202"/>
      <c r="M53" s="202"/>
      <c r="N53" s="202"/>
      <c r="O53" s="202"/>
      <c r="P53" s="202"/>
      <c r="Q53" s="202"/>
    </row>
    <row r="54" spans="2:17" ht="15.75" customHeight="1" x14ac:dyDescent="0.25">
      <c r="C54" s="198" t="s">
        <v>385</v>
      </c>
      <c r="D54" s="198"/>
      <c r="E54" s="198"/>
      <c r="F54" s="198"/>
      <c r="G54" s="198"/>
      <c r="H54" s="198"/>
      <c r="I54" s="198"/>
      <c r="J54" s="198"/>
      <c r="K54" s="198"/>
      <c r="L54" s="198"/>
      <c r="M54" s="198"/>
      <c r="N54" s="198"/>
      <c r="O54" s="198"/>
      <c r="P54" s="198"/>
      <c r="Q54" s="198"/>
    </row>
    <row r="55" spans="2:17" ht="15.75" customHeight="1" x14ac:dyDescent="0.25">
      <c r="C55" s="198" t="s">
        <v>386</v>
      </c>
      <c r="D55" s="198"/>
      <c r="E55" s="198"/>
      <c r="F55" s="198"/>
      <c r="G55" s="198"/>
      <c r="H55" s="198"/>
      <c r="I55" s="198"/>
      <c r="J55" s="198"/>
      <c r="K55" s="198"/>
      <c r="L55" s="198"/>
      <c r="M55" s="198"/>
      <c r="N55" s="198"/>
      <c r="O55" s="198"/>
      <c r="P55" s="198"/>
      <c r="Q55" s="198"/>
    </row>
    <row r="56" spans="2:17" ht="15.75" customHeight="1" x14ac:dyDescent="0.25">
      <c r="C56" s="198" t="s">
        <v>387</v>
      </c>
      <c r="D56" s="198"/>
      <c r="E56" s="198"/>
      <c r="F56" s="198"/>
      <c r="G56" s="198"/>
      <c r="H56" s="198"/>
      <c r="I56" s="198"/>
      <c r="J56" s="198"/>
      <c r="K56" s="198"/>
      <c r="L56" s="198"/>
      <c r="M56" s="198"/>
      <c r="N56" s="198"/>
      <c r="O56" s="198"/>
      <c r="P56" s="198"/>
      <c r="Q56" s="198"/>
    </row>
    <row r="57" spans="2:17" ht="15.75" customHeight="1" x14ac:dyDescent="0.25">
      <c r="C57" s="198" t="s">
        <v>388</v>
      </c>
      <c r="D57" s="198"/>
      <c r="E57" s="198"/>
      <c r="F57" s="198"/>
      <c r="G57" s="198"/>
      <c r="H57" s="198"/>
      <c r="I57" s="198"/>
      <c r="J57" s="198"/>
      <c r="K57" s="198"/>
      <c r="L57" s="198"/>
      <c r="M57" s="198"/>
      <c r="N57" s="198"/>
      <c r="O57" s="198"/>
      <c r="P57" s="198"/>
      <c r="Q57" s="198"/>
    </row>
    <row r="58" spans="2:17" ht="15.75" customHeight="1" x14ac:dyDescent="0.25">
      <c r="C58" s="198" t="s">
        <v>389</v>
      </c>
      <c r="D58" s="198"/>
      <c r="E58" s="198"/>
      <c r="F58" s="198"/>
      <c r="G58" s="198"/>
      <c r="H58" s="198"/>
      <c r="I58" s="198"/>
      <c r="J58" s="198"/>
      <c r="K58" s="198"/>
      <c r="L58" s="198"/>
      <c r="M58" s="198"/>
      <c r="N58" s="198"/>
      <c r="O58" s="198"/>
      <c r="P58" s="198"/>
      <c r="Q58" s="198"/>
    </row>
    <row r="59" spans="2:17" ht="7.5" customHeight="1" x14ac:dyDescent="0.25"/>
    <row r="60" spans="2:17" ht="24" customHeight="1" x14ac:dyDescent="0.25">
      <c r="B60" s="201" t="s">
        <v>390</v>
      </c>
      <c r="C60" s="201"/>
      <c r="D60" s="201"/>
      <c r="E60" s="201"/>
      <c r="F60" s="201"/>
      <c r="G60" s="201"/>
      <c r="H60" s="201"/>
      <c r="I60" s="201"/>
      <c r="J60" s="201"/>
      <c r="K60" s="201"/>
      <c r="L60" s="201"/>
      <c r="M60" s="201"/>
      <c r="N60" s="201"/>
      <c r="O60" s="201"/>
      <c r="P60" s="201"/>
      <c r="Q60" s="201"/>
    </row>
    <row r="61" spans="2:17" ht="15.75" customHeight="1" x14ac:dyDescent="0.25">
      <c r="C61" s="198" t="s">
        <v>391</v>
      </c>
      <c r="D61" s="198"/>
      <c r="E61" s="198"/>
      <c r="F61" s="198"/>
      <c r="G61" s="198"/>
      <c r="H61" s="198"/>
      <c r="I61" s="198"/>
      <c r="J61" s="198"/>
      <c r="K61" s="198"/>
      <c r="L61" s="198"/>
      <c r="M61" s="198"/>
      <c r="N61" s="198"/>
      <c r="O61" s="198"/>
      <c r="P61" s="198"/>
      <c r="Q61" s="198"/>
    </row>
    <row r="62" spans="2:17" ht="15.75" customHeight="1" x14ac:dyDescent="0.25">
      <c r="C62" s="198" t="s">
        <v>392</v>
      </c>
      <c r="D62" s="198"/>
      <c r="E62" s="198"/>
      <c r="F62" s="198"/>
      <c r="G62" s="198"/>
      <c r="H62" s="198"/>
      <c r="I62" s="198"/>
      <c r="J62" s="198"/>
      <c r="K62" s="198"/>
      <c r="L62" s="198"/>
      <c r="M62" s="198"/>
      <c r="N62" s="198"/>
      <c r="O62" s="198"/>
      <c r="P62" s="198"/>
      <c r="Q62" s="198"/>
    </row>
    <row r="63" spans="2:17" ht="15.75" customHeight="1" x14ac:dyDescent="0.25">
      <c r="C63" s="198" t="s">
        <v>393</v>
      </c>
      <c r="D63" s="198"/>
      <c r="E63" s="198"/>
      <c r="F63" s="198"/>
      <c r="G63" s="198"/>
      <c r="H63" s="198"/>
      <c r="I63" s="198"/>
      <c r="J63" s="198"/>
      <c r="K63" s="198"/>
      <c r="L63" s="198"/>
      <c r="M63" s="198"/>
      <c r="N63" s="198"/>
      <c r="O63" s="198"/>
      <c r="P63" s="198"/>
      <c r="Q63" s="198"/>
    </row>
    <row r="64" spans="2:17" ht="15.75" customHeight="1" x14ac:dyDescent="0.25">
      <c r="C64" s="198" t="s">
        <v>394</v>
      </c>
      <c r="D64" s="198"/>
      <c r="E64" s="198"/>
      <c r="F64" s="198"/>
      <c r="G64" s="198"/>
      <c r="H64" s="198"/>
      <c r="I64" s="198"/>
      <c r="J64" s="198"/>
      <c r="K64" s="198"/>
      <c r="L64" s="198"/>
      <c r="M64" s="198"/>
      <c r="N64" s="198"/>
      <c r="O64" s="198"/>
      <c r="P64" s="198"/>
      <c r="Q64" s="198"/>
    </row>
    <row r="65" spans="1:17" ht="15.75" customHeight="1" x14ac:dyDescent="0.25">
      <c r="C65" s="198" t="s">
        <v>395</v>
      </c>
      <c r="D65" s="198"/>
      <c r="E65" s="198"/>
      <c r="F65" s="198"/>
      <c r="G65" s="198"/>
      <c r="H65" s="198"/>
      <c r="I65" s="198"/>
      <c r="J65" s="198"/>
      <c r="K65" s="198"/>
      <c r="L65" s="198"/>
      <c r="M65" s="198"/>
      <c r="N65" s="198"/>
      <c r="O65" s="198"/>
      <c r="P65" s="198"/>
      <c r="Q65" s="198"/>
    </row>
    <row r="66" spans="1:17" ht="7.5" customHeight="1" x14ac:dyDescent="0.25"/>
    <row r="67" spans="1:17" ht="3" customHeight="1" x14ac:dyDescent="0.25">
      <c r="A67" s="89"/>
      <c r="B67" s="89"/>
      <c r="C67" s="89"/>
      <c r="D67" s="89"/>
      <c r="E67" s="89"/>
      <c r="F67" s="89"/>
      <c r="G67" s="89"/>
      <c r="H67" s="89"/>
      <c r="I67" s="89"/>
      <c r="J67" s="89"/>
      <c r="K67" s="89"/>
      <c r="L67" s="89"/>
      <c r="M67" s="89"/>
      <c r="N67" s="89"/>
      <c r="O67" s="89"/>
      <c r="P67" s="89"/>
      <c r="Q67" s="89"/>
    </row>
    <row r="68" spans="1:17" ht="25.5" customHeight="1" x14ac:dyDescent="0.25">
      <c r="A68" s="192" t="s">
        <v>396</v>
      </c>
      <c r="B68" s="192"/>
      <c r="C68" s="192"/>
      <c r="D68" s="192"/>
      <c r="E68" s="192"/>
      <c r="F68" s="192"/>
      <c r="G68" s="192"/>
      <c r="H68" s="192"/>
      <c r="I68" s="192"/>
      <c r="J68" s="192"/>
      <c r="K68" s="192"/>
      <c r="L68" s="192"/>
      <c r="M68" s="192"/>
      <c r="N68" s="192"/>
      <c r="O68" s="192"/>
      <c r="P68" s="192"/>
      <c r="Q68" s="192"/>
    </row>
    <row r="69" spans="1:17" ht="19.5" customHeight="1" x14ac:dyDescent="0.25">
      <c r="B69" s="83" t="s">
        <v>397</v>
      </c>
      <c r="D69" s="200" t="s">
        <v>398</v>
      </c>
      <c r="E69" s="200"/>
      <c r="F69" s="200"/>
      <c r="G69" s="200"/>
      <c r="H69" s="200"/>
      <c r="I69" s="200"/>
      <c r="J69" s="200"/>
      <c r="K69" s="200"/>
      <c r="L69" s="200"/>
      <c r="M69" s="200"/>
      <c r="N69" s="200"/>
      <c r="O69" s="200"/>
      <c r="P69" s="200"/>
      <c r="Q69" s="200"/>
    </row>
    <row r="70" spans="1:17" ht="19.5" customHeight="1" x14ac:dyDescent="0.25">
      <c r="B70" s="83" t="s">
        <v>399</v>
      </c>
      <c r="D70" s="200" t="s">
        <v>398</v>
      </c>
      <c r="E70" s="200"/>
      <c r="F70" s="200"/>
      <c r="G70" s="200"/>
      <c r="H70" s="200"/>
      <c r="I70" s="200"/>
      <c r="J70" s="200"/>
      <c r="K70" s="200"/>
      <c r="L70" s="200"/>
      <c r="M70" s="200"/>
      <c r="N70" s="200"/>
      <c r="O70" s="200"/>
      <c r="P70" s="200"/>
      <c r="Q70" s="200"/>
    </row>
    <row r="71" spans="1:17" ht="19.5" customHeight="1" x14ac:dyDescent="0.25">
      <c r="B71" s="83" t="s">
        <v>400</v>
      </c>
      <c r="D71" s="200" t="s">
        <v>401</v>
      </c>
      <c r="E71" s="200"/>
      <c r="F71" s="200"/>
      <c r="G71" s="200"/>
      <c r="H71" s="200"/>
      <c r="I71" s="200"/>
      <c r="J71" s="200"/>
      <c r="K71" s="200"/>
      <c r="L71" s="200"/>
      <c r="M71" s="200"/>
      <c r="N71" s="200"/>
      <c r="O71" s="200"/>
      <c r="P71" s="200"/>
      <c r="Q71" s="200"/>
    </row>
    <row r="72" spans="1:17" ht="19.5" customHeight="1" x14ac:dyDescent="0.25">
      <c r="B72" s="83" t="s">
        <v>402</v>
      </c>
      <c r="D72" s="200" t="s">
        <v>403</v>
      </c>
      <c r="E72" s="200"/>
      <c r="F72" s="200"/>
      <c r="G72" s="200"/>
      <c r="H72" s="200"/>
      <c r="I72" s="200"/>
      <c r="J72" s="200"/>
      <c r="K72" s="200"/>
      <c r="L72" s="200"/>
      <c r="M72" s="200"/>
      <c r="N72" s="200"/>
      <c r="O72" s="200"/>
      <c r="P72" s="200"/>
      <c r="Q72" s="200"/>
    </row>
    <row r="73" spans="1:17" ht="19.5" customHeight="1" x14ac:dyDescent="0.25">
      <c r="B73" s="83" t="s">
        <v>404</v>
      </c>
      <c r="D73" s="200" t="s">
        <v>405</v>
      </c>
      <c r="E73" s="200"/>
      <c r="F73" s="200"/>
      <c r="G73" s="200"/>
      <c r="H73" s="200"/>
      <c r="I73" s="200"/>
      <c r="J73" s="200"/>
      <c r="K73" s="200"/>
      <c r="L73" s="200"/>
      <c r="M73" s="200"/>
      <c r="N73" s="200"/>
      <c r="O73" s="200"/>
      <c r="P73" s="200"/>
      <c r="Q73" s="200"/>
    </row>
    <row r="74" spans="1:17" ht="19.5" customHeight="1" x14ac:dyDescent="0.25">
      <c r="B74" s="83" t="s">
        <v>406</v>
      </c>
      <c r="D74" s="200" t="s">
        <v>407</v>
      </c>
      <c r="E74" s="200"/>
      <c r="F74" s="200"/>
      <c r="G74" s="200"/>
      <c r="H74" s="200"/>
      <c r="I74" s="200"/>
      <c r="J74" s="200"/>
      <c r="K74" s="200"/>
      <c r="L74" s="200"/>
      <c r="M74" s="200"/>
      <c r="N74" s="200"/>
      <c r="O74" s="200"/>
      <c r="P74" s="200"/>
      <c r="Q74" s="200"/>
    </row>
    <row r="75" spans="1:17" ht="12" customHeight="1" x14ac:dyDescent="0.25"/>
    <row r="76" spans="1:17" ht="3" customHeight="1" x14ac:dyDescent="0.25">
      <c r="A76" s="89"/>
      <c r="B76" s="89"/>
      <c r="C76" s="89"/>
      <c r="D76" s="89"/>
      <c r="E76" s="89"/>
      <c r="F76" s="89"/>
      <c r="G76" s="89"/>
      <c r="H76" s="89"/>
      <c r="I76" s="89"/>
      <c r="J76" s="89"/>
      <c r="K76" s="89"/>
      <c r="L76" s="89"/>
      <c r="M76" s="89"/>
      <c r="N76" s="89"/>
      <c r="O76" s="89"/>
      <c r="P76" s="89"/>
      <c r="Q76" s="89"/>
    </row>
    <row r="77" spans="1:17" ht="25.5" customHeight="1" x14ac:dyDescent="0.25">
      <c r="A77" s="192" t="s">
        <v>408</v>
      </c>
      <c r="B77" s="192"/>
      <c r="C77" s="192"/>
      <c r="D77" s="192"/>
      <c r="E77" s="192"/>
      <c r="F77" s="192"/>
      <c r="G77" s="192"/>
      <c r="H77" s="192"/>
      <c r="I77" s="192"/>
      <c r="J77" s="192"/>
      <c r="K77" s="192"/>
      <c r="L77" s="192"/>
      <c r="M77" s="192"/>
      <c r="N77" s="192"/>
      <c r="O77" s="192"/>
      <c r="P77" s="192"/>
      <c r="Q77" s="192"/>
    </row>
    <row r="78" spans="1:17" ht="21.75" customHeight="1" x14ac:dyDescent="0.25">
      <c r="B78" s="91" t="s">
        <v>409</v>
      </c>
      <c r="C78" s="91" t="s">
        <v>410</v>
      </c>
      <c r="D78" s="91" t="s">
        <v>133</v>
      </c>
      <c r="E78" s="91" t="s">
        <v>411</v>
      </c>
      <c r="F78" s="91" t="s">
        <v>412</v>
      </c>
      <c r="G78" s="91" t="s">
        <v>413</v>
      </c>
      <c r="H78" s="91" t="s">
        <v>135</v>
      </c>
    </row>
    <row r="79" spans="1:17" ht="15.75" customHeight="1" x14ac:dyDescent="0.25">
      <c r="B79" s="92"/>
      <c r="C79" s="92"/>
      <c r="D79" s="92"/>
      <c r="E79" s="92"/>
      <c r="F79" s="92"/>
      <c r="G79" s="92"/>
      <c r="H79" s="92"/>
    </row>
    <row r="80" spans="1:17" ht="15.75" customHeight="1" x14ac:dyDescent="0.25">
      <c r="B80" s="93"/>
      <c r="C80" s="93"/>
      <c r="D80" s="93"/>
      <c r="E80" s="93"/>
      <c r="F80" s="93"/>
      <c r="G80" s="93"/>
      <c r="H80" s="93"/>
    </row>
    <row r="81" spans="2:8" ht="15.75" customHeight="1" x14ac:dyDescent="0.25">
      <c r="B81" s="92"/>
      <c r="C81" s="92"/>
      <c r="D81" s="92"/>
      <c r="E81" s="92"/>
      <c r="F81" s="92"/>
      <c r="G81" s="92"/>
      <c r="H81" s="92"/>
    </row>
    <row r="82" spans="2:8" ht="15.75" customHeight="1" x14ac:dyDescent="0.25">
      <c r="B82" s="93"/>
      <c r="C82" s="93"/>
      <c r="D82" s="93"/>
      <c r="E82" s="93"/>
      <c r="F82" s="93"/>
      <c r="G82" s="93"/>
      <c r="H82" s="93"/>
    </row>
    <row r="83" spans="2:8" ht="15.75" customHeight="1" x14ac:dyDescent="0.25">
      <c r="B83" s="92"/>
      <c r="C83" s="92"/>
      <c r="D83" s="92"/>
      <c r="E83" s="92"/>
      <c r="F83" s="92"/>
      <c r="G83" s="92"/>
      <c r="H83" s="92"/>
    </row>
    <row r="84" spans="2:8" ht="15.75" customHeight="1" x14ac:dyDescent="0.25">
      <c r="B84" s="93"/>
      <c r="C84" s="93"/>
      <c r="D84" s="93"/>
      <c r="E84" s="93"/>
      <c r="F84" s="93"/>
      <c r="G84" s="93"/>
      <c r="H84" s="93"/>
    </row>
    <row r="85" spans="2:8" ht="15.75" customHeight="1" x14ac:dyDescent="0.25">
      <c r="B85" s="92"/>
      <c r="C85" s="92"/>
      <c r="D85" s="92"/>
      <c r="E85" s="92"/>
      <c r="F85" s="92"/>
      <c r="G85" s="92"/>
      <c r="H85" s="92"/>
    </row>
    <row r="86" spans="2:8" ht="15.75" customHeight="1" x14ac:dyDescent="0.25">
      <c r="B86" s="93"/>
      <c r="C86" s="93"/>
      <c r="D86" s="93"/>
      <c r="E86" s="93"/>
      <c r="F86" s="93"/>
      <c r="G86" s="93"/>
      <c r="H86" s="93"/>
    </row>
    <row r="87" spans="2:8" ht="15.75" customHeight="1" x14ac:dyDescent="0.25">
      <c r="B87" s="92"/>
      <c r="C87" s="92"/>
      <c r="D87" s="92"/>
      <c r="E87" s="92"/>
      <c r="F87" s="92"/>
      <c r="G87" s="92"/>
      <c r="H87" s="92"/>
    </row>
    <row r="88" spans="2:8" ht="15.75" customHeight="1" x14ac:dyDescent="0.25">
      <c r="B88" s="93"/>
      <c r="C88" s="93"/>
      <c r="D88" s="93"/>
      <c r="E88" s="93"/>
      <c r="F88" s="93"/>
      <c r="G88" s="93"/>
      <c r="H88" s="93"/>
    </row>
    <row r="89" spans="2:8" ht="15.75" customHeight="1" x14ac:dyDescent="0.25">
      <c r="B89" s="92"/>
      <c r="C89" s="92"/>
      <c r="D89" s="92"/>
      <c r="E89" s="92"/>
      <c r="F89" s="92"/>
      <c r="G89" s="92"/>
      <c r="H89" s="92"/>
    </row>
    <row r="90" spans="2:8" ht="15.75" customHeight="1" x14ac:dyDescent="0.25">
      <c r="B90" s="93"/>
      <c r="C90" s="93"/>
      <c r="D90" s="93"/>
      <c r="E90" s="93"/>
      <c r="F90" s="93"/>
      <c r="G90" s="93"/>
      <c r="H90" s="93"/>
    </row>
    <row r="91" spans="2:8" ht="15.75" customHeight="1" x14ac:dyDescent="0.25">
      <c r="B91" s="92"/>
      <c r="C91" s="92"/>
      <c r="D91" s="92"/>
      <c r="E91" s="92"/>
      <c r="F91" s="92"/>
      <c r="G91" s="92"/>
      <c r="H91" s="92"/>
    </row>
    <row r="92" spans="2:8" ht="15.75" customHeight="1" x14ac:dyDescent="0.25">
      <c r="B92" s="93"/>
      <c r="C92" s="93"/>
      <c r="D92" s="93"/>
      <c r="E92" s="93"/>
      <c r="F92" s="93"/>
      <c r="G92" s="93"/>
      <c r="H92" s="93"/>
    </row>
    <row r="93" spans="2:8" ht="15.75" customHeight="1" x14ac:dyDescent="0.25">
      <c r="B93" s="92"/>
      <c r="C93" s="92"/>
      <c r="D93" s="92"/>
      <c r="E93" s="92"/>
      <c r="F93" s="92"/>
      <c r="G93" s="92"/>
      <c r="H93" s="92"/>
    </row>
    <row r="94" spans="2:8" ht="15.75" customHeight="1" x14ac:dyDescent="0.25">
      <c r="B94" s="93"/>
      <c r="C94" s="93"/>
      <c r="D94" s="93"/>
      <c r="E94" s="93"/>
      <c r="F94" s="93"/>
      <c r="G94" s="93"/>
      <c r="H94" s="93"/>
    </row>
    <row r="95" spans="2:8" ht="15.75" customHeight="1" x14ac:dyDescent="0.25">
      <c r="B95" s="92"/>
      <c r="C95" s="92"/>
      <c r="D95" s="92"/>
      <c r="E95" s="92"/>
      <c r="F95" s="92"/>
      <c r="G95" s="92"/>
      <c r="H95" s="92"/>
    </row>
    <row r="96" spans="2:8" ht="15.75" customHeight="1" x14ac:dyDescent="0.25">
      <c r="B96" s="93"/>
      <c r="C96" s="93"/>
      <c r="D96" s="93"/>
      <c r="E96" s="93"/>
      <c r="F96" s="93"/>
      <c r="G96" s="93"/>
      <c r="H96" s="93"/>
    </row>
    <row r="97" spans="2:8" ht="15.75" customHeight="1" x14ac:dyDescent="0.25">
      <c r="B97" s="92"/>
      <c r="C97" s="92"/>
      <c r="D97" s="92"/>
      <c r="E97" s="92"/>
      <c r="F97" s="92"/>
      <c r="G97" s="92"/>
      <c r="H97" s="92"/>
    </row>
    <row r="98" spans="2:8" ht="15.75" customHeight="1" x14ac:dyDescent="0.25">
      <c r="B98" s="93"/>
      <c r="C98" s="93"/>
      <c r="D98" s="93"/>
      <c r="E98" s="93"/>
      <c r="F98" s="93"/>
      <c r="G98" s="93"/>
      <c r="H98" s="93"/>
    </row>
    <row r="99" spans="2:8" ht="15.75" customHeight="1" x14ac:dyDescent="0.25">
      <c r="B99" s="92"/>
      <c r="C99" s="92"/>
      <c r="D99" s="92"/>
      <c r="E99" s="92"/>
      <c r="F99" s="92"/>
      <c r="G99" s="92"/>
      <c r="H99" s="92"/>
    </row>
    <row r="100" spans="2:8" ht="15.75" customHeight="1" x14ac:dyDescent="0.25">
      <c r="B100" s="93"/>
      <c r="C100" s="93"/>
      <c r="D100" s="93"/>
      <c r="E100" s="93"/>
      <c r="F100" s="93"/>
      <c r="G100" s="93"/>
      <c r="H100" s="93"/>
    </row>
    <row r="101" spans="2:8" ht="15.75" customHeight="1" x14ac:dyDescent="0.25">
      <c r="B101" s="92"/>
      <c r="C101" s="92"/>
      <c r="D101" s="92"/>
      <c r="E101" s="92"/>
      <c r="F101" s="92"/>
      <c r="G101" s="92"/>
      <c r="H101" s="92"/>
    </row>
    <row r="102" spans="2:8" ht="15.75" customHeight="1" x14ac:dyDescent="0.25">
      <c r="B102" s="93"/>
      <c r="C102" s="93"/>
      <c r="D102" s="93"/>
      <c r="E102" s="93"/>
      <c r="F102" s="93"/>
      <c r="G102" s="93"/>
      <c r="H102" s="93"/>
    </row>
    <row r="103" spans="2:8" ht="15.75" customHeight="1" x14ac:dyDescent="0.25">
      <c r="B103" s="92"/>
      <c r="C103" s="92"/>
      <c r="D103" s="92"/>
      <c r="E103" s="92"/>
      <c r="F103" s="92"/>
      <c r="G103" s="92"/>
      <c r="H103" s="92"/>
    </row>
    <row r="104" spans="2:8" ht="15.75" customHeight="1" x14ac:dyDescent="0.25">
      <c r="B104" s="93"/>
      <c r="C104" s="93"/>
      <c r="D104" s="93"/>
      <c r="E104" s="93"/>
      <c r="F104" s="93"/>
      <c r="G104" s="93"/>
      <c r="H104" s="93"/>
    </row>
    <row r="105" spans="2:8" ht="15.75" customHeight="1" x14ac:dyDescent="0.25">
      <c r="B105" s="92"/>
      <c r="C105" s="92"/>
      <c r="D105" s="92"/>
      <c r="E105" s="92"/>
      <c r="F105" s="92"/>
      <c r="G105" s="92"/>
      <c r="H105" s="92"/>
    </row>
    <row r="106" spans="2:8" ht="15.75" customHeight="1" x14ac:dyDescent="0.25">
      <c r="B106" s="93"/>
      <c r="C106" s="93"/>
      <c r="D106" s="93"/>
      <c r="E106" s="93"/>
      <c r="F106" s="93"/>
      <c r="G106" s="93"/>
      <c r="H106" s="93"/>
    </row>
    <row r="107" spans="2:8" ht="15.75" customHeight="1" x14ac:dyDescent="0.25">
      <c r="B107" s="92"/>
      <c r="C107" s="92"/>
      <c r="D107" s="92"/>
      <c r="E107" s="92"/>
      <c r="F107" s="92"/>
      <c r="G107" s="92"/>
      <c r="H107" s="92"/>
    </row>
    <row r="108" spans="2:8" ht="15.75" customHeight="1" x14ac:dyDescent="0.25">
      <c r="B108" s="93"/>
      <c r="C108" s="93"/>
      <c r="D108" s="93"/>
      <c r="E108" s="93"/>
      <c r="F108" s="93"/>
      <c r="G108" s="93"/>
      <c r="H108" s="93"/>
    </row>
    <row r="109" spans="2:8" ht="15.75" customHeight="1" x14ac:dyDescent="0.25">
      <c r="B109" s="92"/>
      <c r="C109" s="92"/>
      <c r="D109" s="92"/>
      <c r="E109" s="92"/>
      <c r="F109" s="92"/>
      <c r="G109" s="92"/>
      <c r="H109" s="92"/>
    </row>
    <row r="110" spans="2:8" ht="15.75" customHeight="1" x14ac:dyDescent="0.25">
      <c r="B110" s="93"/>
      <c r="C110" s="93"/>
      <c r="D110" s="93"/>
      <c r="E110" s="93"/>
      <c r="F110" s="93"/>
      <c r="G110" s="93"/>
      <c r="H110" s="93"/>
    </row>
    <row r="111" spans="2:8" ht="15.75" customHeight="1" x14ac:dyDescent="0.25">
      <c r="B111" s="92"/>
      <c r="C111" s="92"/>
      <c r="D111" s="92"/>
      <c r="E111" s="92"/>
      <c r="F111" s="92"/>
      <c r="G111" s="92"/>
      <c r="H111" s="92"/>
    </row>
    <row r="112" spans="2:8" ht="15.75" customHeight="1" x14ac:dyDescent="0.25">
      <c r="B112" s="93"/>
      <c r="C112" s="93"/>
      <c r="D112" s="93"/>
      <c r="E112" s="93"/>
      <c r="F112" s="93"/>
      <c r="G112" s="93"/>
      <c r="H112" s="93"/>
    </row>
    <row r="113" spans="2:8" ht="15.75" customHeight="1" x14ac:dyDescent="0.25">
      <c r="B113" s="92"/>
      <c r="C113" s="92"/>
      <c r="D113" s="92"/>
      <c r="E113" s="92"/>
      <c r="F113" s="92"/>
      <c r="G113" s="92"/>
      <c r="H113" s="92"/>
    </row>
    <row r="114" spans="2:8" ht="15.75" customHeight="1" x14ac:dyDescent="0.25">
      <c r="B114" s="93"/>
      <c r="C114" s="93"/>
      <c r="D114" s="93"/>
      <c r="E114" s="93"/>
      <c r="F114" s="93"/>
      <c r="G114" s="93"/>
      <c r="H114" s="93"/>
    </row>
    <row r="115" spans="2:8" ht="15.75" customHeight="1" x14ac:dyDescent="0.25">
      <c r="B115" s="92"/>
      <c r="C115" s="92"/>
      <c r="D115" s="92"/>
      <c r="E115" s="92"/>
      <c r="F115" s="92"/>
      <c r="G115" s="92"/>
      <c r="H115" s="92"/>
    </row>
    <row r="116" spans="2:8" ht="15.75" customHeight="1" x14ac:dyDescent="0.25">
      <c r="B116" s="93"/>
      <c r="C116" s="93"/>
      <c r="D116" s="93"/>
      <c r="E116" s="93"/>
      <c r="F116" s="93"/>
      <c r="G116" s="93"/>
      <c r="H116" s="93"/>
    </row>
    <row r="117" spans="2:8" ht="15.75" customHeight="1" x14ac:dyDescent="0.25">
      <c r="B117" s="92"/>
      <c r="C117" s="92"/>
      <c r="D117" s="92"/>
      <c r="E117" s="92"/>
      <c r="F117" s="92"/>
      <c r="G117" s="92"/>
      <c r="H117" s="92"/>
    </row>
    <row r="118" spans="2:8" ht="15.75" customHeight="1" x14ac:dyDescent="0.25">
      <c r="B118" s="93"/>
      <c r="C118" s="93"/>
      <c r="D118" s="93"/>
      <c r="E118" s="93"/>
      <c r="F118" s="93"/>
      <c r="G118" s="93"/>
      <c r="H118" s="93"/>
    </row>
    <row r="119" spans="2:8" ht="15.75" customHeight="1" x14ac:dyDescent="0.25">
      <c r="B119" s="92"/>
      <c r="C119" s="92"/>
      <c r="D119" s="92"/>
      <c r="E119" s="92"/>
      <c r="F119" s="92"/>
      <c r="G119" s="92"/>
      <c r="H119" s="92"/>
    </row>
    <row r="120" spans="2:8" ht="15.75" customHeight="1" x14ac:dyDescent="0.25">
      <c r="B120" s="93"/>
      <c r="C120" s="93"/>
      <c r="D120" s="93"/>
      <c r="E120" s="93"/>
      <c r="F120" s="93"/>
      <c r="G120" s="93"/>
      <c r="H120" s="93"/>
    </row>
    <row r="121" spans="2:8" ht="15.75" customHeight="1" x14ac:dyDescent="0.25">
      <c r="B121" s="92"/>
      <c r="C121" s="92"/>
      <c r="D121" s="92"/>
      <c r="E121" s="92"/>
      <c r="F121" s="92"/>
      <c r="G121" s="92"/>
      <c r="H121" s="92"/>
    </row>
    <row r="122" spans="2:8" ht="15.75" customHeight="1" x14ac:dyDescent="0.25">
      <c r="B122" s="93"/>
      <c r="C122" s="93"/>
      <c r="D122" s="93"/>
      <c r="E122" s="93"/>
      <c r="F122" s="93"/>
      <c r="G122" s="93"/>
      <c r="H122" s="93"/>
    </row>
    <row r="123" spans="2:8" ht="15.75" customHeight="1" x14ac:dyDescent="0.25">
      <c r="B123" s="92"/>
      <c r="C123" s="92"/>
      <c r="D123" s="92"/>
      <c r="E123" s="92"/>
      <c r="F123" s="92"/>
      <c r="G123" s="92"/>
      <c r="H123" s="92"/>
    </row>
    <row r="124" spans="2:8" ht="15.75" customHeight="1" x14ac:dyDescent="0.25">
      <c r="B124" s="93"/>
      <c r="C124" s="93"/>
      <c r="D124" s="93"/>
      <c r="E124" s="93"/>
      <c r="F124" s="93"/>
      <c r="G124" s="93"/>
      <c r="H124" s="93"/>
    </row>
    <row r="125" spans="2:8" ht="15.75" customHeight="1" x14ac:dyDescent="0.25">
      <c r="B125" s="92"/>
      <c r="C125" s="92"/>
      <c r="D125" s="92"/>
      <c r="E125" s="92"/>
      <c r="F125" s="92"/>
      <c r="G125" s="92"/>
      <c r="H125" s="92"/>
    </row>
    <row r="126" spans="2:8" ht="15.75" customHeight="1" x14ac:dyDescent="0.25">
      <c r="B126" s="93"/>
      <c r="C126" s="93"/>
      <c r="D126" s="93"/>
      <c r="E126" s="93"/>
      <c r="F126" s="93"/>
      <c r="G126" s="93"/>
      <c r="H126" s="93"/>
    </row>
    <row r="127" spans="2:8" ht="15.75" customHeight="1" x14ac:dyDescent="0.25">
      <c r="B127" s="92"/>
      <c r="C127" s="92"/>
      <c r="D127" s="92"/>
      <c r="E127" s="92"/>
      <c r="F127" s="92"/>
      <c r="G127" s="92"/>
      <c r="H127" s="92"/>
    </row>
    <row r="128" spans="2:8" ht="15.75" customHeight="1" x14ac:dyDescent="0.25">
      <c r="B128" s="93"/>
      <c r="C128" s="93"/>
      <c r="D128" s="93"/>
      <c r="E128" s="93"/>
      <c r="F128" s="93"/>
      <c r="G128" s="93"/>
      <c r="H128" s="93"/>
    </row>
    <row r="130" spans="1:17" ht="3" customHeight="1" x14ac:dyDescent="0.25">
      <c r="A130" s="90"/>
      <c r="B130" s="90"/>
      <c r="C130" s="90"/>
      <c r="D130" s="90"/>
      <c r="E130" s="90"/>
      <c r="F130" s="90"/>
      <c r="G130" s="90"/>
      <c r="H130" s="90"/>
      <c r="I130" s="90"/>
      <c r="J130" s="90"/>
      <c r="K130" s="90"/>
      <c r="L130" s="90"/>
      <c r="M130" s="90"/>
      <c r="N130" s="90"/>
      <c r="O130" s="90"/>
      <c r="P130" s="90"/>
      <c r="Q130" s="90"/>
    </row>
    <row r="131" spans="1:17" ht="24" customHeight="1" x14ac:dyDescent="0.25">
      <c r="A131" s="190" t="s">
        <v>414</v>
      </c>
      <c r="B131" s="190"/>
      <c r="C131" s="190"/>
      <c r="D131" s="190"/>
      <c r="E131" s="190"/>
      <c r="F131" s="190"/>
      <c r="G131" s="190"/>
      <c r="H131" s="190"/>
      <c r="I131" s="190"/>
      <c r="J131" s="190"/>
      <c r="K131" s="190"/>
      <c r="L131" s="190"/>
      <c r="M131" s="190"/>
      <c r="N131" s="190"/>
      <c r="O131" s="190"/>
      <c r="P131" s="190"/>
      <c r="Q131" s="190"/>
    </row>
    <row r="132" spans="1:17" ht="19.5" customHeight="1" x14ac:dyDescent="0.25">
      <c r="B132" s="83" t="s">
        <v>415</v>
      </c>
      <c r="D132" s="198" t="s">
        <v>416</v>
      </c>
      <c r="E132" s="198"/>
      <c r="F132" s="198"/>
      <c r="G132" s="198"/>
      <c r="H132" s="198"/>
      <c r="I132" s="198"/>
      <c r="J132" s="198"/>
      <c r="K132" s="198"/>
      <c r="L132" s="198"/>
      <c r="M132" s="198"/>
      <c r="N132" s="198"/>
      <c r="O132" s="198"/>
      <c r="P132" s="198"/>
      <c r="Q132" s="198"/>
    </row>
    <row r="133" spans="1:17" ht="19.5" customHeight="1" x14ac:dyDescent="0.25">
      <c r="B133" s="83" t="s">
        <v>417</v>
      </c>
      <c r="D133" s="198" t="s">
        <v>418</v>
      </c>
      <c r="E133" s="198"/>
      <c r="F133" s="198"/>
      <c r="G133" s="198"/>
      <c r="H133" s="198"/>
      <c r="I133" s="198"/>
      <c r="J133" s="198"/>
      <c r="K133" s="198"/>
      <c r="L133" s="198"/>
      <c r="M133" s="198"/>
      <c r="N133" s="198"/>
      <c r="O133" s="198"/>
      <c r="P133" s="198"/>
      <c r="Q133" s="198"/>
    </row>
    <row r="134" spans="1:17" ht="19.5" customHeight="1" x14ac:dyDescent="0.25">
      <c r="B134" s="83" t="s">
        <v>419</v>
      </c>
      <c r="D134" s="198" t="s">
        <v>420</v>
      </c>
      <c r="E134" s="198"/>
      <c r="F134" s="198"/>
      <c r="G134" s="198"/>
      <c r="H134" s="198"/>
      <c r="I134" s="198"/>
      <c r="J134" s="198"/>
      <c r="K134" s="198"/>
      <c r="L134" s="198"/>
      <c r="M134" s="198"/>
      <c r="N134" s="198"/>
      <c r="O134" s="198"/>
      <c r="P134" s="198"/>
      <c r="Q134" s="198"/>
    </row>
    <row r="135" spans="1:17" ht="19.5" customHeight="1" x14ac:dyDescent="0.25">
      <c r="B135" s="83" t="s">
        <v>421</v>
      </c>
      <c r="D135" s="198" t="s">
        <v>422</v>
      </c>
      <c r="E135" s="198"/>
      <c r="F135" s="198"/>
      <c r="G135" s="198"/>
      <c r="H135" s="198"/>
      <c r="I135" s="198"/>
      <c r="J135" s="198"/>
      <c r="K135" s="198"/>
      <c r="L135" s="198"/>
      <c r="M135" s="198"/>
      <c r="N135" s="198"/>
      <c r="O135" s="198"/>
      <c r="P135" s="198"/>
      <c r="Q135" s="198"/>
    </row>
    <row r="136" spans="1:17" ht="19.5" customHeight="1" x14ac:dyDescent="0.25">
      <c r="B136" s="83" t="s">
        <v>423</v>
      </c>
      <c r="D136" s="198" t="s">
        <v>424</v>
      </c>
      <c r="E136" s="198"/>
      <c r="F136" s="198"/>
      <c r="G136" s="198"/>
      <c r="H136" s="198"/>
      <c r="I136" s="198"/>
      <c r="J136" s="198"/>
      <c r="K136" s="198"/>
      <c r="L136" s="198"/>
      <c r="M136" s="198"/>
      <c r="N136" s="198"/>
      <c r="O136" s="198"/>
      <c r="P136" s="198"/>
      <c r="Q136" s="198"/>
    </row>
    <row r="137" spans="1:17" ht="19.5" customHeight="1" x14ac:dyDescent="0.25">
      <c r="B137" s="83" t="s">
        <v>425</v>
      </c>
      <c r="D137" s="198" t="s">
        <v>426</v>
      </c>
      <c r="E137" s="198"/>
      <c r="F137" s="198"/>
      <c r="G137" s="198"/>
      <c r="H137" s="198"/>
      <c r="I137" s="198"/>
      <c r="J137" s="198"/>
      <c r="K137" s="198"/>
      <c r="L137" s="198"/>
      <c r="M137" s="198"/>
      <c r="N137" s="198"/>
      <c r="O137" s="198"/>
      <c r="P137" s="198"/>
      <c r="Q137" s="198"/>
    </row>
    <row r="138" spans="1:17" ht="19.5" customHeight="1" x14ac:dyDescent="0.25">
      <c r="B138" s="83" t="s">
        <v>427</v>
      </c>
      <c r="D138" s="198" t="s">
        <v>428</v>
      </c>
      <c r="E138" s="198"/>
      <c r="F138" s="198"/>
      <c r="G138" s="198"/>
      <c r="H138" s="198"/>
      <c r="I138" s="198"/>
      <c r="J138" s="198"/>
      <c r="K138" s="198"/>
      <c r="L138" s="198"/>
      <c r="M138" s="198"/>
      <c r="N138" s="198"/>
      <c r="O138" s="198"/>
      <c r="P138" s="198"/>
      <c r="Q138" s="198"/>
    </row>
    <row r="139" spans="1:17" ht="7.5" customHeight="1" x14ac:dyDescent="0.25"/>
    <row r="140" spans="1:17" ht="19.5" customHeight="1" x14ac:dyDescent="0.25">
      <c r="A140" s="199" t="s">
        <v>429</v>
      </c>
      <c r="B140" s="199"/>
      <c r="C140" s="199"/>
      <c r="D140" s="199"/>
      <c r="E140" s="199"/>
      <c r="F140" s="199"/>
      <c r="G140" s="199"/>
      <c r="H140" s="199"/>
      <c r="I140" s="199"/>
      <c r="J140" s="199"/>
      <c r="K140" s="199"/>
      <c r="L140" s="199"/>
      <c r="M140" s="199"/>
      <c r="N140" s="199"/>
      <c r="O140" s="199"/>
      <c r="P140" s="199"/>
      <c r="Q140" s="199"/>
    </row>
  </sheetData>
  <mergeCells count="68">
    <mergeCell ref="A2:Q2"/>
    <mergeCell ref="A3:Q3"/>
    <mergeCell ref="A6:Q6"/>
    <mergeCell ref="D7:L7"/>
    <mergeCell ref="D8:L8"/>
    <mergeCell ref="D9:L9"/>
    <mergeCell ref="D10:L10"/>
    <mergeCell ref="D11:L11"/>
    <mergeCell ref="D12:L12"/>
    <mergeCell ref="A15:Q15"/>
    <mergeCell ref="D16:Q16"/>
    <mergeCell ref="D17:Q17"/>
    <mergeCell ref="D18:Q18"/>
    <mergeCell ref="D19:Q19"/>
    <mergeCell ref="D20:Q20"/>
    <mergeCell ref="D21:Q21"/>
    <mergeCell ref="D22:Q22"/>
    <mergeCell ref="D23:Q23"/>
    <mergeCell ref="D24:Q24"/>
    <mergeCell ref="D25:Q25"/>
    <mergeCell ref="D26:Q26"/>
    <mergeCell ref="D27:Q27"/>
    <mergeCell ref="D28:Q28"/>
    <mergeCell ref="D29:Q29"/>
    <mergeCell ref="A32:Q32"/>
    <mergeCell ref="B34:G34"/>
    <mergeCell ref="B35:G35"/>
    <mergeCell ref="B37:G37"/>
    <mergeCell ref="B38:G38"/>
    <mergeCell ref="B40:G40"/>
    <mergeCell ref="B41:G41"/>
    <mergeCell ref="A44:Q44"/>
    <mergeCell ref="B45:Q45"/>
    <mergeCell ref="C46:Q46"/>
    <mergeCell ref="C47:Q47"/>
    <mergeCell ref="C48:Q48"/>
    <mergeCell ref="C49:Q49"/>
    <mergeCell ref="C50:Q50"/>
    <mergeCell ref="C51:Q51"/>
    <mergeCell ref="B53:Q53"/>
    <mergeCell ref="C54:Q54"/>
    <mergeCell ref="C55:Q55"/>
    <mergeCell ref="C56:Q56"/>
    <mergeCell ref="C57:Q57"/>
    <mergeCell ref="C58:Q58"/>
    <mergeCell ref="B60:Q60"/>
    <mergeCell ref="C61:Q61"/>
    <mergeCell ref="C62:Q62"/>
    <mergeCell ref="C63:Q63"/>
    <mergeCell ref="C64:Q64"/>
    <mergeCell ref="C65:Q65"/>
    <mergeCell ref="A68:Q68"/>
    <mergeCell ref="D69:Q69"/>
    <mergeCell ref="D70:Q70"/>
    <mergeCell ref="D71:Q71"/>
    <mergeCell ref="D72:Q72"/>
    <mergeCell ref="D73:Q73"/>
    <mergeCell ref="D74:Q74"/>
    <mergeCell ref="A77:Q77"/>
    <mergeCell ref="A131:Q131"/>
    <mergeCell ref="D137:Q137"/>
    <mergeCell ref="D138:Q138"/>
    <mergeCell ref="A140:Q140"/>
    <mergeCell ref="D132:Q132"/>
    <mergeCell ref="D133:Q133"/>
    <mergeCell ref="D134:Q134"/>
    <mergeCell ref="D135:Q135"/>
    <mergeCell ref="D136:Q136"/>
  </mergeCells>
  <pageMargins left="0.75" right="0.75" top="1" bottom="1" header="0.511811023622047" footer="0.511811023622047"/>
  <pageSetup paperSize="9" orientation="portrait" horizontalDpi="300" verticalDpi="30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tabColor rgb="FF2E86AB"/>
  </sheetPr>
  <dimension ref="A1:J13"/>
  <sheetViews>
    <sheetView zoomScaleNormal="100" workbookViewId="0">
      <pane ySplit="3" topLeftCell="A4" activePane="bottomLeft" state="frozen"/>
      <selection pane="bottomLeft"/>
    </sheetView>
  </sheetViews>
  <sheetFormatPr defaultColWidth="8.7109375" defaultRowHeight="15" x14ac:dyDescent="0.25"/>
  <cols>
    <col min="1" max="1" width="14" customWidth="1"/>
    <col min="2" max="2" width="20" customWidth="1"/>
    <col min="3" max="3" width="12" customWidth="1"/>
    <col min="4" max="4" width="28" customWidth="1"/>
    <col min="5" max="5" width="15" customWidth="1"/>
    <col min="6" max="7" width="18" customWidth="1"/>
    <col min="8" max="8" width="16" customWidth="1"/>
    <col min="9" max="9" width="23.5703125" customWidth="1"/>
    <col min="10" max="10" width="18" customWidth="1"/>
  </cols>
  <sheetData>
    <row r="1" spans="1:10" ht="31.5" customHeight="1" x14ac:dyDescent="0.25">
      <c r="A1" s="115" t="s">
        <v>430</v>
      </c>
      <c r="B1" s="115"/>
      <c r="C1" s="115"/>
      <c r="D1" s="115"/>
    </row>
    <row r="2" spans="1:10" ht="19.5" customHeight="1" x14ac:dyDescent="0.25">
      <c r="A2" s="212" t="s">
        <v>431</v>
      </c>
      <c r="B2" s="212"/>
      <c r="C2" s="212"/>
      <c r="D2" s="212"/>
    </row>
    <row r="3" spans="1:10" x14ac:dyDescent="0.25">
      <c r="A3" s="94" t="s">
        <v>432</v>
      </c>
      <c r="B3" s="94" t="s">
        <v>433</v>
      </c>
      <c r="C3" s="94" t="s">
        <v>133</v>
      </c>
      <c r="D3" s="94" t="s">
        <v>434</v>
      </c>
      <c r="E3" s="94" t="s">
        <v>435</v>
      </c>
      <c r="F3" s="94" t="s">
        <v>436</v>
      </c>
      <c r="G3" s="94" t="s">
        <v>437</v>
      </c>
      <c r="H3" s="94" t="s">
        <v>438</v>
      </c>
      <c r="I3" s="53" t="s">
        <v>439</v>
      </c>
      <c r="J3" s="78" t="s">
        <v>440</v>
      </c>
    </row>
    <row r="4" spans="1:10" x14ac:dyDescent="0.25">
      <c r="A4" s="9" t="s">
        <v>441</v>
      </c>
      <c r="B4" s="9" t="s">
        <v>41</v>
      </c>
      <c r="C4" s="9" t="s">
        <v>442</v>
      </c>
      <c r="D4" s="9" t="s">
        <v>443</v>
      </c>
      <c r="E4" t="s">
        <v>444</v>
      </c>
      <c r="H4">
        <v>10</v>
      </c>
      <c r="I4" s="95" t="s">
        <v>445</v>
      </c>
      <c r="J4" s="77" t="s">
        <v>446</v>
      </c>
    </row>
    <row r="5" spans="1:10" x14ac:dyDescent="0.25">
      <c r="A5" s="13" t="s">
        <v>447</v>
      </c>
      <c r="B5" s="13" t="s">
        <v>42</v>
      </c>
      <c r="C5" s="13" t="s">
        <v>442</v>
      </c>
      <c r="D5" s="13" t="s">
        <v>448</v>
      </c>
      <c r="E5" t="s">
        <v>449</v>
      </c>
      <c r="H5">
        <v>10</v>
      </c>
      <c r="I5" s="95" t="s">
        <v>450</v>
      </c>
      <c r="J5" s="77" t="s">
        <v>451</v>
      </c>
    </row>
    <row r="6" spans="1:10" x14ac:dyDescent="0.25">
      <c r="A6" s="9" t="s">
        <v>452</v>
      </c>
      <c r="B6" s="9" t="s">
        <v>43</v>
      </c>
      <c r="C6" s="9" t="s">
        <v>442</v>
      </c>
      <c r="D6" s="9" t="s">
        <v>453</v>
      </c>
      <c r="E6" t="s">
        <v>454</v>
      </c>
      <c r="H6">
        <v>10</v>
      </c>
      <c r="I6" s="95" t="s">
        <v>455</v>
      </c>
      <c r="J6" s="77" t="s">
        <v>456</v>
      </c>
    </row>
    <row r="7" spans="1:10" x14ac:dyDescent="0.25">
      <c r="A7" s="13" t="s">
        <v>457</v>
      </c>
      <c r="B7" s="13" t="s">
        <v>44</v>
      </c>
      <c r="C7" s="13" t="s">
        <v>442</v>
      </c>
      <c r="D7" s="13" t="s">
        <v>458</v>
      </c>
      <c r="E7" t="s">
        <v>459</v>
      </c>
      <c r="H7">
        <v>10</v>
      </c>
      <c r="I7" s="95" t="s">
        <v>460</v>
      </c>
      <c r="J7" s="77" t="s">
        <v>461</v>
      </c>
    </row>
    <row r="8" spans="1:10" x14ac:dyDescent="0.25">
      <c r="A8" s="9" t="s">
        <v>462</v>
      </c>
      <c r="B8" s="9" t="s">
        <v>45</v>
      </c>
      <c r="C8" s="9" t="s">
        <v>442</v>
      </c>
      <c r="D8" s="9" t="s">
        <v>463</v>
      </c>
      <c r="E8" t="s">
        <v>464</v>
      </c>
      <c r="H8">
        <v>10</v>
      </c>
      <c r="I8" s="95" t="s">
        <v>465</v>
      </c>
      <c r="J8" s="77" t="s">
        <v>466</v>
      </c>
    </row>
    <row r="9" spans="1:10" x14ac:dyDescent="0.25">
      <c r="A9" s="13" t="s">
        <v>467</v>
      </c>
      <c r="B9" s="13" t="s">
        <v>46</v>
      </c>
      <c r="C9" s="13" t="s">
        <v>442</v>
      </c>
      <c r="D9" s="13" t="s">
        <v>468</v>
      </c>
      <c r="E9" t="s">
        <v>469</v>
      </c>
      <c r="H9">
        <v>10</v>
      </c>
      <c r="I9" s="95" t="s">
        <v>470</v>
      </c>
      <c r="J9" s="77" t="s">
        <v>471</v>
      </c>
    </row>
    <row r="10" spans="1:10" x14ac:dyDescent="0.25">
      <c r="A10" s="9" t="s">
        <v>472</v>
      </c>
      <c r="B10" s="9" t="s">
        <v>47</v>
      </c>
      <c r="C10" s="9" t="s">
        <v>442</v>
      </c>
      <c r="D10" s="9" t="s">
        <v>473</v>
      </c>
      <c r="E10" t="s">
        <v>474</v>
      </c>
      <c r="H10">
        <v>10</v>
      </c>
      <c r="I10" s="95" t="s">
        <v>475</v>
      </c>
      <c r="J10" s="77" t="s">
        <v>476</v>
      </c>
    </row>
    <row r="11" spans="1:10" x14ac:dyDescent="0.25">
      <c r="A11" s="13" t="s">
        <v>477</v>
      </c>
      <c r="B11" s="13" t="s">
        <v>48</v>
      </c>
      <c r="C11" s="13" t="s">
        <v>442</v>
      </c>
      <c r="D11" s="13" t="s">
        <v>478</v>
      </c>
      <c r="E11" t="s">
        <v>479</v>
      </c>
      <c r="H11">
        <v>10</v>
      </c>
      <c r="I11" s="95" t="s">
        <v>480</v>
      </c>
      <c r="J11" s="77" t="s">
        <v>481</v>
      </c>
    </row>
    <row r="12" spans="1:10" x14ac:dyDescent="0.25">
      <c r="A12" s="9" t="s">
        <v>482</v>
      </c>
      <c r="B12" s="9" t="s">
        <v>49</v>
      </c>
      <c r="C12" s="9" t="s">
        <v>442</v>
      </c>
      <c r="D12" s="9" t="s">
        <v>483</v>
      </c>
      <c r="E12" t="s">
        <v>484</v>
      </c>
      <c r="H12">
        <v>10</v>
      </c>
      <c r="I12" s="95" t="s">
        <v>485</v>
      </c>
      <c r="J12" s="77" t="s">
        <v>486</v>
      </c>
    </row>
    <row r="13" spans="1:10" x14ac:dyDescent="0.25">
      <c r="A13" s="13" t="s">
        <v>487</v>
      </c>
      <c r="B13" s="13" t="s">
        <v>50</v>
      </c>
      <c r="C13" s="13" t="s">
        <v>442</v>
      </c>
      <c r="D13" s="13" t="s">
        <v>488</v>
      </c>
      <c r="E13" t="s">
        <v>489</v>
      </c>
      <c r="H13">
        <v>10</v>
      </c>
      <c r="I13" s="95" t="s">
        <v>490</v>
      </c>
      <c r="J13" s="77" t="s">
        <v>491</v>
      </c>
    </row>
  </sheetData>
  <mergeCells count="2">
    <mergeCell ref="A1:D1"/>
    <mergeCell ref="A2:D2"/>
  </mergeCells>
  <pageMargins left="0.75" right="0.75" top="1" bottom="1" header="0.511811023622047" footer="0.511811023622047"/>
  <pageSetup paperSize="9" orientation="portrait" horizontalDpi="300" verticalDpi="30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E28"/>
  <sheetViews>
    <sheetView zoomScaleNormal="100" workbookViewId="0"/>
  </sheetViews>
  <sheetFormatPr defaultColWidth="8.7109375" defaultRowHeight="15" x14ac:dyDescent="0.25"/>
  <cols>
    <col min="1" max="1" width="22" customWidth="1"/>
    <col min="2" max="2" width="55" customWidth="1"/>
    <col min="3" max="5" width="18" customWidth="1"/>
  </cols>
  <sheetData>
    <row r="1" spans="1:3" ht="31.5" customHeight="1" x14ac:dyDescent="0.25">
      <c r="A1" s="213" t="s">
        <v>492</v>
      </c>
      <c r="B1" s="213"/>
      <c r="C1" s="213"/>
    </row>
    <row r="3" spans="1:3" x14ac:dyDescent="0.25">
      <c r="A3" s="96" t="s">
        <v>493</v>
      </c>
      <c r="B3" s="97" t="s">
        <v>494</v>
      </c>
    </row>
    <row r="4" spans="1:3" x14ac:dyDescent="0.25">
      <c r="A4" s="96" t="s">
        <v>353</v>
      </c>
      <c r="B4" s="97" t="s">
        <v>495</v>
      </c>
    </row>
    <row r="5" spans="1:3" x14ac:dyDescent="0.25">
      <c r="A5" s="96" t="s">
        <v>355</v>
      </c>
      <c r="B5" s="97" t="s">
        <v>496</v>
      </c>
    </row>
    <row r="6" spans="1:3" x14ac:dyDescent="0.25">
      <c r="A6" s="96" t="s">
        <v>497</v>
      </c>
      <c r="B6" s="97" t="s">
        <v>498</v>
      </c>
    </row>
    <row r="7" spans="1:3" x14ac:dyDescent="0.25">
      <c r="A7" s="96" t="s">
        <v>499</v>
      </c>
      <c r="B7" s="97" t="s">
        <v>500</v>
      </c>
    </row>
    <row r="8" spans="1:3" x14ac:dyDescent="0.25">
      <c r="A8" s="96" t="s">
        <v>501</v>
      </c>
      <c r="B8" s="97">
        <v>10</v>
      </c>
    </row>
    <row r="9" spans="1:3" x14ac:dyDescent="0.25">
      <c r="A9" s="96" t="s">
        <v>502</v>
      </c>
      <c r="B9" s="97">
        <v>10</v>
      </c>
    </row>
    <row r="10" spans="1:3" x14ac:dyDescent="0.25">
      <c r="A10" s="96" t="s">
        <v>503</v>
      </c>
      <c r="B10" s="97" t="s">
        <v>504</v>
      </c>
    </row>
    <row r="11" spans="1:3" x14ac:dyDescent="0.25">
      <c r="A11" s="96" t="s">
        <v>505</v>
      </c>
      <c r="B11" s="97" t="s">
        <v>506</v>
      </c>
    </row>
    <row r="12" spans="1:3" x14ac:dyDescent="0.25">
      <c r="A12" s="96" t="s">
        <v>507</v>
      </c>
      <c r="B12" s="97" t="s">
        <v>508</v>
      </c>
    </row>
    <row r="13" spans="1:3" x14ac:dyDescent="0.25">
      <c r="A13" s="96" t="s">
        <v>509</v>
      </c>
      <c r="B13" s="97" t="s">
        <v>510</v>
      </c>
    </row>
    <row r="14" spans="1:3" x14ac:dyDescent="0.25">
      <c r="A14" s="96" t="s">
        <v>511</v>
      </c>
      <c r="B14" s="97" t="s">
        <v>512</v>
      </c>
    </row>
    <row r="17" spans="1:5" x14ac:dyDescent="0.25">
      <c r="A17" s="214" t="s">
        <v>513</v>
      </c>
      <c r="B17" s="214"/>
      <c r="C17" s="214"/>
      <c r="D17" s="214"/>
      <c r="E17" s="214"/>
    </row>
    <row r="18" spans="1:5" x14ac:dyDescent="0.25">
      <c r="A18" s="78" t="s">
        <v>514</v>
      </c>
      <c r="B18" s="78" t="s">
        <v>515</v>
      </c>
      <c r="C18" s="78" t="s">
        <v>516</v>
      </c>
      <c r="D18" s="78" t="s">
        <v>133</v>
      </c>
      <c r="E18" s="78" t="s">
        <v>244</v>
      </c>
    </row>
    <row r="19" spans="1:5" x14ac:dyDescent="0.25">
      <c r="A19" s="98" t="s">
        <v>41</v>
      </c>
      <c r="B19" s="98" t="s">
        <v>445</v>
      </c>
      <c r="C19" s="98" t="s">
        <v>446</v>
      </c>
      <c r="D19" s="98" t="s">
        <v>442</v>
      </c>
      <c r="E19" s="98" t="s">
        <v>517</v>
      </c>
    </row>
    <row r="20" spans="1:5" x14ac:dyDescent="0.25">
      <c r="A20" s="99" t="s">
        <v>42</v>
      </c>
      <c r="B20" s="99" t="s">
        <v>450</v>
      </c>
      <c r="C20" s="99" t="s">
        <v>451</v>
      </c>
      <c r="D20" s="99" t="s">
        <v>442</v>
      </c>
      <c r="E20" s="99" t="s">
        <v>517</v>
      </c>
    </row>
    <row r="21" spans="1:5" x14ac:dyDescent="0.25">
      <c r="A21" s="98" t="s">
        <v>43</v>
      </c>
      <c r="B21" s="98" t="s">
        <v>455</v>
      </c>
      <c r="C21" s="98" t="s">
        <v>456</v>
      </c>
      <c r="D21" s="98" t="s">
        <v>442</v>
      </c>
      <c r="E21" s="98" t="s">
        <v>517</v>
      </c>
    </row>
    <row r="22" spans="1:5" x14ac:dyDescent="0.25">
      <c r="A22" s="99" t="s">
        <v>44</v>
      </c>
      <c r="B22" s="99" t="s">
        <v>460</v>
      </c>
      <c r="C22" s="99" t="s">
        <v>461</v>
      </c>
      <c r="D22" s="99" t="s">
        <v>442</v>
      </c>
      <c r="E22" s="99" t="s">
        <v>517</v>
      </c>
    </row>
    <row r="23" spans="1:5" x14ac:dyDescent="0.25">
      <c r="A23" s="98" t="s">
        <v>45</v>
      </c>
      <c r="B23" s="98" t="s">
        <v>465</v>
      </c>
      <c r="C23" s="98" t="s">
        <v>466</v>
      </c>
      <c r="D23" s="98" t="s">
        <v>442</v>
      </c>
      <c r="E23" s="98" t="s">
        <v>517</v>
      </c>
    </row>
    <row r="24" spans="1:5" x14ac:dyDescent="0.25">
      <c r="A24" s="99" t="s">
        <v>46</v>
      </c>
      <c r="B24" s="99" t="s">
        <v>470</v>
      </c>
      <c r="C24" s="99" t="s">
        <v>471</v>
      </c>
      <c r="D24" s="99" t="s">
        <v>442</v>
      </c>
      <c r="E24" s="99" t="s">
        <v>517</v>
      </c>
    </row>
    <row r="25" spans="1:5" x14ac:dyDescent="0.25">
      <c r="A25" s="98" t="s">
        <v>47</v>
      </c>
      <c r="B25" s="98" t="s">
        <v>475</v>
      </c>
      <c r="C25" s="98" t="s">
        <v>476</v>
      </c>
      <c r="D25" s="98" t="s">
        <v>442</v>
      </c>
      <c r="E25" s="98" t="s">
        <v>517</v>
      </c>
    </row>
    <row r="26" spans="1:5" x14ac:dyDescent="0.25">
      <c r="A26" s="99" t="s">
        <v>48</v>
      </c>
      <c r="B26" s="99" t="s">
        <v>480</v>
      </c>
      <c r="C26" s="99" t="s">
        <v>481</v>
      </c>
      <c r="D26" s="99" t="s">
        <v>442</v>
      </c>
      <c r="E26" s="99" t="s">
        <v>517</v>
      </c>
    </row>
    <row r="27" spans="1:5" x14ac:dyDescent="0.25">
      <c r="A27" s="98" t="s">
        <v>49</v>
      </c>
      <c r="B27" s="98" t="s">
        <v>485</v>
      </c>
      <c r="C27" s="98" t="s">
        <v>486</v>
      </c>
      <c r="D27" s="98" t="s">
        <v>442</v>
      </c>
      <c r="E27" s="98" t="s">
        <v>517</v>
      </c>
    </row>
    <row r="28" spans="1:5" x14ac:dyDescent="0.25">
      <c r="A28" s="99" t="s">
        <v>50</v>
      </c>
      <c r="B28" s="99" t="s">
        <v>490</v>
      </c>
      <c r="C28" s="99" t="s">
        <v>491</v>
      </c>
      <c r="D28" s="99" t="s">
        <v>442</v>
      </c>
      <c r="E28" s="99" t="s">
        <v>517</v>
      </c>
    </row>
  </sheetData>
  <mergeCells count="2">
    <mergeCell ref="A1:C1"/>
    <mergeCell ref="A17:E17"/>
  </mergeCells>
  <pageMargins left="0.75" right="0.75" top="1" bottom="1" header="0.511811023622047" footer="0.511811023622047"/>
  <pageSetup paperSize="9" orientation="portrait" horizontalDpi="300" verticalDpi="30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tabColor rgb="FF1A252F"/>
  </sheetPr>
  <dimension ref="A1:G5"/>
  <sheetViews>
    <sheetView zoomScaleNormal="100" workbookViewId="0">
      <pane ySplit="2" topLeftCell="A3" activePane="bottomLeft" state="frozen"/>
      <selection pane="bottomLeft"/>
    </sheetView>
  </sheetViews>
  <sheetFormatPr defaultColWidth="8.7109375" defaultRowHeight="15" x14ac:dyDescent="0.25"/>
  <cols>
    <col min="1" max="1" width="22" customWidth="1"/>
    <col min="2" max="2" width="16" customWidth="1"/>
    <col min="3" max="3" width="22" customWidth="1"/>
    <col min="4" max="4" width="60" customWidth="1"/>
    <col min="5" max="5" width="14" customWidth="1"/>
    <col min="6" max="6" width="22" customWidth="1"/>
    <col min="7" max="7" width="16" customWidth="1"/>
  </cols>
  <sheetData>
    <row r="1" spans="1:7" ht="31.5" customHeight="1" x14ac:dyDescent="0.25">
      <c r="A1" s="215" t="s">
        <v>518</v>
      </c>
      <c r="B1" s="215"/>
      <c r="C1" s="215"/>
      <c r="D1" s="215"/>
    </row>
    <row r="2" spans="1:7" x14ac:dyDescent="0.25">
      <c r="A2" s="6"/>
      <c r="B2" s="6"/>
      <c r="C2" s="6"/>
      <c r="D2" s="6"/>
      <c r="E2" s="100"/>
      <c r="F2" s="100"/>
      <c r="G2" s="100"/>
    </row>
    <row r="3" spans="1:7" x14ac:dyDescent="0.25">
      <c r="A3" s="7"/>
      <c r="B3" s="7"/>
      <c r="C3" s="7"/>
      <c r="D3" s="7"/>
    </row>
    <row r="4" spans="1:7" x14ac:dyDescent="0.25">
      <c r="A4" s="11"/>
      <c r="B4" s="11"/>
      <c r="C4" s="11"/>
      <c r="D4" s="11"/>
    </row>
    <row r="5" spans="1:7" x14ac:dyDescent="0.25">
      <c r="A5" s="7"/>
      <c r="B5" s="7"/>
      <c r="C5" s="7"/>
      <c r="D5" s="7"/>
    </row>
  </sheetData>
  <mergeCells count="1">
    <mergeCell ref="A1:D1"/>
  </mergeCells>
  <pageMargins left="0.75" right="0.75" top="1" bottom="1" header="0.511811023622047" footer="0.511811023622047"/>
  <pageSetup paperSize="9" orientation="portrait" horizontalDpi="300" verticalDpi="30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1A252F"/>
  </sheetPr>
  <dimension ref="A1:A708"/>
  <sheetViews>
    <sheetView topLeftCell="B1" zoomScaleNormal="100" workbookViewId="0">
      <selection activeCell="L402" sqref="L402"/>
    </sheetView>
  </sheetViews>
  <sheetFormatPr defaultColWidth="8.7109375" defaultRowHeight="15" x14ac:dyDescent="0.25"/>
  <cols>
    <col min="1" max="1" width="120" customWidth="1"/>
  </cols>
  <sheetData>
    <row r="1" spans="1:1" ht="27.75" customHeight="1" x14ac:dyDescent="0.25">
      <c r="A1" s="101" t="s">
        <v>519</v>
      </c>
    </row>
    <row r="2" spans="1:1" ht="34.5" customHeight="1" x14ac:dyDescent="0.25">
      <c r="A2" s="102" t="s">
        <v>519</v>
      </c>
    </row>
    <row r="4" spans="1:1" x14ac:dyDescent="0.25">
      <c r="A4" s="103"/>
    </row>
    <row r="5" spans="1:1" x14ac:dyDescent="0.25">
      <c r="A5" s="103" t="s">
        <v>520</v>
      </c>
    </row>
    <row r="6" spans="1:1" x14ac:dyDescent="0.25">
      <c r="A6" s="103" t="s">
        <v>521</v>
      </c>
    </row>
    <row r="7" spans="1:1" x14ac:dyDescent="0.25">
      <c r="A7" s="103" t="s">
        <v>522</v>
      </c>
    </row>
    <row r="8" spans="1:1" x14ac:dyDescent="0.25">
      <c r="A8" s="103" t="s">
        <v>523</v>
      </c>
    </row>
    <row r="9" spans="1:1" x14ac:dyDescent="0.25">
      <c r="A9" s="103" t="s">
        <v>524</v>
      </c>
    </row>
    <row r="10" spans="1:1" x14ac:dyDescent="0.25">
      <c r="A10" s="103" t="s">
        <v>525</v>
      </c>
    </row>
    <row r="11" spans="1:1" x14ac:dyDescent="0.25">
      <c r="A11" s="103" t="s">
        <v>526</v>
      </c>
    </row>
    <row r="12" spans="1:1" x14ac:dyDescent="0.25">
      <c r="A12" s="103" t="s">
        <v>527</v>
      </c>
    </row>
    <row r="13" spans="1:1" x14ac:dyDescent="0.25">
      <c r="A13" s="103" t="s">
        <v>520</v>
      </c>
    </row>
    <row r="14" spans="1:1" x14ac:dyDescent="0.25">
      <c r="A14" s="103"/>
    </row>
    <row r="15" spans="1:1" x14ac:dyDescent="0.25">
      <c r="A15" s="103" t="s">
        <v>528</v>
      </c>
    </row>
    <row r="16" spans="1:1" x14ac:dyDescent="0.25">
      <c r="A16" s="103"/>
    </row>
    <row r="17" spans="1:1" x14ac:dyDescent="0.25">
      <c r="A17" s="103" t="s">
        <v>529</v>
      </c>
    </row>
    <row r="18" spans="1:1" x14ac:dyDescent="0.25">
      <c r="A18" s="103" t="s">
        <v>530</v>
      </c>
    </row>
    <row r="19" spans="1:1" x14ac:dyDescent="0.25">
      <c r="A19" s="103" t="s">
        <v>531</v>
      </c>
    </row>
    <row r="20" spans="1:1" x14ac:dyDescent="0.25">
      <c r="A20" s="103" t="s">
        <v>532</v>
      </c>
    </row>
    <row r="21" spans="1:1" x14ac:dyDescent="0.25">
      <c r="A21" s="103" t="s">
        <v>533</v>
      </c>
    </row>
    <row r="22" spans="1:1" x14ac:dyDescent="0.25">
      <c r="A22" s="103" t="s">
        <v>534</v>
      </c>
    </row>
    <row r="23" spans="1:1" x14ac:dyDescent="0.25">
      <c r="A23" s="103" t="s">
        <v>535</v>
      </c>
    </row>
    <row r="24" spans="1:1" x14ac:dyDescent="0.25">
      <c r="A24" s="103" t="s">
        <v>536</v>
      </c>
    </row>
    <row r="25" spans="1:1" x14ac:dyDescent="0.25">
      <c r="A25" s="103" t="s">
        <v>537</v>
      </c>
    </row>
    <row r="26" spans="1:1" x14ac:dyDescent="0.25">
      <c r="A26" s="103" t="s">
        <v>538</v>
      </c>
    </row>
    <row r="27" spans="1:1" x14ac:dyDescent="0.25">
      <c r="A27" s="103" t="s">
        <v>539</v>
      </c>
    </row>
    <row r="28" spans="1:1" x14ac:dyDescent="0.25">
      <c r="A28" s="103" t="s">
        <v>540</v>
      </c>
    </row>
    <row r="29" spans="1:1" x14ac:dyDescent="0.25">
      <c r="A29" s="103" t="s">
        <v>541</v>
      </c>
    </row>
    <row r="30" spans="1:1" x14ac:dyDescent="0.25">
      <c r="A30" s="103" t="s">
        <v>542</v>
      </c>
    </row>
    <row r="31" spans="1:1" x14ac:dyDescent="0.25">
      <c r="A31" s="103" t="s">
        <v>543</v>
      </c>
    </row>
    <row r="32" spans="1:1" x14ac:dyDescent="0.25">
      <c r="A32" s="103" t="s">
        <v>544</v>
      </c>
    </row>
    <row r="33" spans="1:1" x14ac:dyDescent="0.25">
      <c r="A33" s="103"/>
    </row>
    <row r="34" spans="1:1" x14ac:dyDescent="0.25">
      <c r="A34" s="103" t="s">
        <v>545</v>
      </c>
    </row>
    <row r="35" spans="1:1" x14ac:dyDescent="0.25">
      <c r="A35" s="103" t="s">
        <v>546</v>
      </c>
    </row>
    <row r="36" spans="1:1" x14ac:dyDescent="0.25">
      <c r="A36" s="103" t="s">
        <v>532</v>
      </c>
    </row>
    <row r="37" spans="1:1" x14ac:dyDescent="0.25">
      <c r="A37" s="103"/>
    </row>
    <row r="38" spans="1:1" x14ac:dyDescent="0.25">
      <c r="A38" s="103" t="s">
        <v>547</v>
      </c>
    </row>
    <row r="39" spans="1:1" x14ac:dyDescent="0.25">
      <c r="A39" s="103" t="s">
        <v>548</v>
      </c>
    </row>
    <row r="40" spans="1:1" x14ac:dyDescent="0.25">
      <c r="A40" s="103" t="s">
        <v>549</v>
      </c>
    </row>
    <row r="41" spans="1:1" x14ac:dyDescent="0.25">
      <c r="A41" s="103" t="s">
        <v>550</v>
      </c>
    </row>
    <row r="42" spans="1:1" x14ac:dyDescent="0.25">
      <c r="A42" s="103" t="s">
        <v>551</v>
      </c>
    </row>
    <row r="43" spans="1:1" x14ac:dyDescent="0.25">
      <c r="A43" s="103" t="s">
        <v>552</v>
      </c>
    </row>
    <row r="44" spans="1:1" x14ac:dyDescent="0.25">
      <c r="A44" s="103" t="s">
        <v>553</v>
      </c>
    </row>
    <row r="45" spans="1:1" x14ac:dyDescent="0.25">
      <c r="A45" s="103"/>
    </row>
    <row r="46" spans="1:1" x14ac:dyDescent="0.25">
      <c r="A46" s="103" t="s">
        <v>554</v>
      </c>
    </row>
    <row r="47" spans="1:1" x14ac:dyDescent="0.25">
      <c r="A47" s="103" t="s">
        <v>555</v>
      </c>
    </row>
    <row r="48" spans="1:1" x14ac:dyDescent="0.25">
      <c r="A48" s="103" t="s">
        <v>556</v>
      </c>
    </row>
    <row r="49" spans="1:1" x14ac:dyDescent="0.25">
      <c r="A49" s="103" t="s">
        <v>557</v>
      </c>
    </row>
    <row r="50" spans="1:1" x14ac:dyDescent="0.25">
      <c r="A50" s="103" t="s">
        <v>558</v>
      </c>
    </row>
    <row r="51" spans="1:1" x14ac:dyDescent="0.25">
      <c r="A51" s="103" t="s">
        <v>559</v>
      </c>
    </row>
    <row r="52" spans="1:1" x14ac:dyDescent="0.25">
      <c r="A52" s="103"/>
    </row>
    <row r="53" spans="1:1" x14ac:dyDescent="0.25">
      <c r="A53" s="103" t="s">
        <v>560</v>
      </c>
    </row>
    <row r="54" spans="1:1" x14ac:dyDescent="0.25">
      <c r="A54" s="103" t="s">
        <v>561</v>
      </c>
    </row>
    <row r="55" spans="1:1" x14ac:dyDescent="0.25">
      <c r="A55" s="103"/>
    </row>
    <row r="56" spans="1:1" x14ac:dyDescent="0.25">
      <c r="A56" s="103" t="s">
        <v>562</v>
      </c>
    </row>
    <row r="57" spans="1:1" x14ac:dyDescent="0.25">
      <c r="A57" s="103" t="s">
        <v>563</v>
      </c>
    </row>
    <row r="58" spans="1:1" x14ac:dyDescent="0.25">
      <c r="A58" s="103" t="s">
        <v>564</v>
      </c>
    </row>
    <row r="59" spans="1:1" x14ac:dyDescent="0.25">
      <c r="A59" s="103" t="s">
        <v>565</v>
      </c>
    </row>
    <row r="60" spans="1:1" x14ac:dyDescent="0.25">
      <c r="A60" s="103" t="s">
        <v>566</v>
      </c>
    </row>
    <row r="61" spans="1:1" x14ac:dyDescent="0.25">
      <c r="A61" s="103" t="s">
        <v>567</v>
      </c>
    </row>
    <row r="62" spans="1:1" x14ac:dyDescent="0.25">
      <c r="A62" s="103" t="s">
        <v>568</v>
      </c>
    </row>
    <row r="63" spans="1:1" x14ac:dyDescent="0.25">
      <c r="A63" s="103" t="s">
        <v>569</v>
      </c>
    </row>
    <row r="64" spans="1:1" x14ac:dyDescent="0.25">
      <c r="A64" s="103" t="s">
        <v>570</v>
      </c>
    </row>
    <row r="65" spans="1:1" x14ac:dyDescent="0.25">
      <c r="A65" s="103" t="s">
        <v>571</v>
      </c>
    </row>
    <row r="66" spans="1:1" x14ac:dyDescent="0.25">
      <c r="A66" s="103" t="s">
        <v>572</v>
      </c>
    </row>
    <row r="67" spans="1:1" x14ac:dyDescent="0.25">
      <c r="A67" s="103" t="s">
        <v>573</v>
      </c>
    </row>
    <row r="68" spans="1:1" x14ac:dyDescent="0.25">
      <c r="A68" s="103" t="s">
        <v>574</v>
      </c>
    </row>
    <row r="69" spans="1:1" x14ac:dyDescent="0.25">
      <c r="A69" s="103" t="s">
        <v>575</v>
      </c>
    </row>
    <row r="70" spans="1:1" x14ac:dyDescent="0.25">
      <c r="A70" s="103"/>
    </row>
    <row r="71" spans="1:1" x14ac:dyDescent="0.25">
      <c r="A71" s="103" t="s">
        <v>576</v>
      </c>
    </row>
    <row r="72" spans="1:1" x14ac:dyDescent="0.25">
      <c r="A72" s="103" t="s">
        <v>577</v>
      </c>
    </row>
    <row r="73" spans="1:1" x14ac:dyDescent="0.25">
      <c r="A73" s="103"/>
    </row>
    <row r="74" spans="1:1" x14ac:dyDescent="0.25">
      <c r="A74" s="103" t="s">
        <v>578</v>
      </c>
    </row>
    <row r="75" spans="1:1" x14ac:dyDescent="0.25">
      <c r="A75" s="103" t="s">
        <v>579</v>
      </c>
    </row>
    <row r="76" spans="1:1" x14ac:dyDescent="0.25">
      <c r="A76" s="103"/>
    </row>
    <row r="77" spans="1:1" x14ac:dyDescent="0.25">
      <c r="A77" s="103" t="s">
        <v>580</v>
      </c>
    </row>
    <row r="78" spans="1:1" x14ac:dyDescent="0.25">
      <c r="A78" s="103" t="s">
        <v>581</v>
      </c>
    </row>
    <row r="79" spans="1:1" x14ac:dyDescent="0.25">
      <c r="A79" s="103" t="s">
        <v>582</v>
      </c>
    </row>
    <row r="80" spans="1:1" x14ac:dyDescent="0.25">
      <c r="A80" s="103" t="s">
        <v>583</v>
      </c>
    </row>
    <row r="81" spans="1:1" x14ac:dyDescent="0.25">
      <c r="A81" s="103" t="s">
        <v>584</v>
      </c>
    </row>
    <row r="82" spans="1:1" x14ac:dyDescent="0.25">
      <c r="A82" s="103"/>
    </row>
    <row r="83" spans="1:1" x14ac:dyDescent="0.25">
      <c r="A83" s="103" t="s">
        <v>585</v>
      </c>
    </row>
    <row r="84" spans="1:1" x14ac:dyDescent="0.25">
      <c r="A84" s="103" t="s">
        <v>586</v>
      </c>
    </row>
    <row r="85" spans="1:1" x14ac:dyDescent="0.25">
      <c r="A85" s="103" t="s">
        <v>587</v>
      </c>
    </row>
    <row r="86" spans="1:1" x14ac:dyDescent="0.25">
      <c r="A86" s="103" t="s">
        <v>588</v>
      </c>
    </row>
    <row r="87" spans="1:1" x14ac:dyDescent="0.25">
      <c r="A87" s="103" t="s">
        <v>589</v>
      </c>
    </row>
    <row r="88" spans="1:1" x14ac:dyDescent="0.25">
      <c r="A88" s="103" t="s">
        <v>590</v>
      </c>
    </row>
    <row r="89" spans="1:1" x14ac:dyDescent="0.25">
      <c r="A89" s="103"/>
    </row>
    <row r="90" spans="1:1" x14ac:dyDescent="0.25">
      <c r="A90" s="103" t="s">
        <v>591</v>
      </c>
    </row>
    <row r="91" spans="1:1" x14ac:dyDescent="0.25">
      <c r="A91" s="103"/>
    </row>
    <row r="92" spans="1:1" x14ac:dyDescent="0.25">
      <c r="A92" s="103" t="s">
        <v>592</v>
      </c>
    </row>
    <row r="93" spans="1:1" x14ac:dyDescent="0.25">
      <c r="A93" s="103" t="s">
        <v>593</v>
      </c>
    </row>
    <row r="94" spans="1:1" x14ac:dyDescent="0.25">
      <c r="A94" s="103" t="s">
        <v>594</v>
      </c>
    </row>
    <row r="95" spans="1:1" x14ac:dyDescent="0.25">
      <c r="A95" s="103" t="s">
        <v>595</v>
      </c>
    </row>
    <row r="96" spans="1:1" x14ac:dyDescent="0.25">
      <c r="A96" s="103"/>
    </row>
    <row r="97" spans="1:1" x14ac:dyDescent="0.25">
      <c r="A97" s="103" t="s">
        <v>596</v>
      </c>
    </row>
    <row r="98" spans="1:1" x14ac:dyDescent="0.25">
      <c r="A98" s="103" t="s">
        <v>597</v>
      </c>
    </row>
    <row r="99" spans="1:1" x14ac:dyDescent="0.25">
      <c r="A99" s="103" t="s">
        <v>598</v>
      </c>
    </row>
    <row r="100" spans="1:1" x14ac:dyDescent="0.25">
      <c r="A100" s="103" t="s">
        <v>599</v>
      </c>
    </row>
    <row r="101" spans="1:1" x14ac:dyDescent="0.25">
      <c r="A101" s="103" t="s">
        <v>600</v>
      </c>
    </row>
    <row r="102" spans="1:1" x14ac:dyDescent="0.25">
      <c r="A102" s="103" t="s">
        <v>601</v>
      </c>
    </row>
    <row r="103" spans="1:1" x14ac:dyDescent="0.25">
      <c r="A103" s="103" t="s">
        <v>602</v>
      </c>
    </row>
    <row r="104" spans="1:1" x14ac:dyDescent="0.25">
      <c r="A104" s="103" t="s">
        <v>603</v>
      </c>
    </row>
    <row r="105" spans="1:1" x14ac:dyDescent="0.25">
      <c r="A105" s="103" t="s">
        <v>604</v>
      </c>
    </row>
    <row r="106" spans="1:1" x14ac:dyDescent="0.25">
      <c r="A106" s="103" t="s">
        <v>541</v>
      </c>
    </row>
    <row r="107" spans="1:1" x14ac:dyDescent="0.25">
      <c r="A107" s="103" t="s">
        <v>605</v>
      </c>
    </row>
    <row r="108" spans="1:1" x14ac:dyDescent="0.25">
      <c r="A108" s="103"/>
    </row>
    <row r="109" spans="1:1" x14ac:dyDescent="0.25">
      <c r="A109" s="103" t="s">
        <v>606</v>
      </c>
    </row>
    <row r="110" spans="1:1" x14ac:dyDescent="0.25">
      <c r="A110" s="103"/>
    </row>
    <row r="111" spans="1:1" x14ac:dyDescent="0.25">
      <c r="A111" s="103" t="s">
        <v>607</v>
      </c>
    </row>
    <row r="112" spans="1:1" x14ac:dyDescent="0.25">
      <c r="A112" s="103" t="s">
        <v>608</v>
      </c>
    </row>
    <row r="113" spans="1:1" x14ac:dyDescent="0.25">
      <c r="A113" s="103" t="s">
        <v>609</v>
      </c>
    </row>
    <row r="114" spans="1:1" x14ac:dyDescent="0.25">
      <c r="A114" s="103"/>
    </row>
    <row r="115" spans="1:1" x14ac:dyDescent="0.25">
      <c r="A115" s="103" t="s">
        <v>610</v>
      </c>
    </row>
    <row r="116" spans="1:1" x14ac:dyDescent="0.25">
      <c r="A116" s="103" t="s">
        <v>611</v>
      </c>
    </row>
    <row r="117" spans="1:1" x14ac:dyDescent="0.25">
      <c r="A117" s="103" t="s">
        <v>612</v>
      </c>
    </row>
    <row r="118" spans="1:1" x14ac:dyDescent="0.25">
      <c r="A118" s="103" t="s">
        <v>613</v>
      </c>
    </row>
    <row r="119" spans="1:1" x14ac:dyDescent="0.25">
      <c r="A119" s="103"/>
    </row>
    <row r="120" spans="1:1" x14ac:dyDescent="0.25">
      <c r="A120" s="103" t="s">
        <v>614</v>
      </c>
    </row>
    <row r="121" spans="1:1" x14ac:dyDescent="0.25">
      <c r="A121" s="103" t="s">
        <v>615</v>
      </c>
    </row>
    <row r="122" spans="1:1" x14ac:dyDescent="0.25">
      <c r="A122" s="103" t="s">
        <v>616</v>
      </c>
    </row>
    <row r="123" spans="1:1" x14ac:dyDescent="0.25">
      <c r="A123" s="103"/>
    </row>
    <row r="124" spans="1:1" x14ac:dyDescent="0.25">
      <c r="A124" s="103" t="s">
        <v>617</v>
      </c>
    </row>
    <row r="125" spans="1:1" x14ac:dyDescent="0.25">
      <c r="A125" s="103" t="s">
        <v>618</v>
      </c>
    </row>
    <row r="126" spans="1:1" x14ac:dyDescent="0.25">
      <c r="A126" s="103" t="s">
        <v>619</v>
      </c>
    </row>
    <row r="127" spans="1:1" x14ac:dyDescent="0.25">
      <c r="A127" s="103" t="s">
        <v>620</v>
      </c>
    </row>
    <row r="128" spans="1:1" x14ac:dyDescent="0.25">
      <c r="A128" s="103" t="s">
        <v>621</v>
      </c>
    </row>
    <row r="129" spans="1:1" x14ac:dyDescent="0.25">
      <c r="A129" s="103" t="s">
        <v>622</v>
      </c>
    </row>
    <row r="130" spans="1:1" x14ac:dyDescent="0.25">
      <c r="A130" s="103" t="s">
        <v>623</v>
      </c>
    </row>
    <row r="131" spans="1:1" x14ac:dyDescent="0.25">
      <c r="A131" s="103" t="s">
        <v>624</v>
      </c>
    </row>
    <row r="132" spans="1:1" x14ac:dyDescent="0.25">
      <c r="A132" s="103" t="s">
        <v>625</v>
      </c>
    </row>
    <row r="133" spans="1:1" x14ac:dyDescent="0.25">
      <c r="A133" s="103"/>
    </row>
    <row r="134" spans="1:1" x14ac:dyDescent="0.25">
      <c r="A134" s="103" t="s">
        <v>626</v>
      </c>
    </row>
    <row r="135" spans="1:1" x14ac:dyDescent="0.25">
      <c r="A135" s="103" t="s">
        <v>627</v>
      </c>
    </row>
    <row r="136" spans="1:1" x14ac:dyDescent="0.25">
      <c r="A136" s="103" t="s">
        <v>628</v>
      </c>
    </row>
    <row r="137" spans="1:1" x14ac:dyDescent="0.25">
      <c r="A137" s="103"/>
    </row>
    <row r="138" spans="1:1" x14ac:dyDescent="0.25">
      <c r="A138" s="103" t="s">
        <v>629</v>
      </c>
    </row>
    <row r="139" spans="1:1" x14ac:dyDescent="0.25">
      <c r="A139" s="103" t="s">
        <v>630</v>
      </c>
    </row>
    <row r="140" spans="1:1" x14ac:dyDescent="0.25">
      <c r="A140" s="103" t="s">
        <v>590</v>
      </c>
    </row>
    <row r="141" spans="1:1" x14ac:dyDescent="0.25">
      <c r="A141" s="103"/>
    </row>
    <row r="142" spans="1:1" x14ac:dyDescent="0.25">
      <c r="A142" s="103" t="s">
        <v>631</v>
      </c>
    </row>
    <row r="143" spans="1:1" x14ac:dyDescent="0.25">
      <c r="A143" s="103"/>
    </row>
    <row r="144" spans="1:1" x14ac:dyDescent="0.25">
      <c r="A144" s="103" t="s">
        <v>632</v>
      </c>
    </row>
    <row r="145" spans="1:1" x14ac:dyDescent="0.25">
      <c r="A145" s="103" t="s">
        <v>593</v>
      </c>
    </row>
    <row r="146" spans="1:1" x14ac:dyDescent="0.25">
      <c r="A146" s="103" t="s">
        <v>633</v>
      </c>
    </row>
    <row r="147" spans="1:1" x14ac:dyDescent="0.25">
      <c r="A147" s="103" t="s">
        <v>595</v>
      </c>
    </row>
    <row r="148" spans="1:1" x14ac:dyDescent="0.25">
      <c r="A148" s="103"/>
    </row>
    <row r="149" spans="1:1" x14ac:dyDescent="0.25">
      <c r="A149" s="103" t="s">
        <v>597</v>
      </c>
    </row>
    <row r="150" spans="1:1" x14ac:dyDescent="0.25">
      <c r="A150" s="103" t="s">
        <v>598</v>
      </c>
    </row>
    <row r="151" spans="1:1" x14ac:dyDescent="0.25">
      <c r="A151" s="103" t="s">
        <v>599</v>
      </c>
    </row>
    <row r="152" spans="1:1" x14ac:dyDescent="0.25">
      <c r="A152" s="103" t="s">
        <v>634</v>
      </c>
    </row>
    <row r="153" spans="1:1" x14ac:dyDescent="0.25">
      <c r="A153" s="103" t="s">
        <v>604</v>
      </c>
    </row>
    <row r="154" spans="1:1" x14ac:dyDescent="0.25">
      <c r="A154" s="103" t="s">
        <v>541</v>
      </c>
    </row>
    <row r="155" spans="1:1" x14ac:dyDescent="0.25">
      <c r="A155" s="103" t="s">
        <v>605</v>
      </c>
    </row>
    <row r="156" spans="1:1" x14ac:dyDescent="0.25">
      <c r="A156" s="103" t="s">
        <v>635</v>
      </c>
    </row>
    <row r="157" spans="1:1" x14ac:dyDescent="0.25">
      <c r="A157" s="103"/>
    </row>
    <row r="158" spans="1:1" x14ac:dyDescent="0.25">
      <c r="A158" s="103" t="s">
        <v>636</v>
      </c>
    </row>
    <row r="159" spans="1:1" x14ac:dyDescent="0.25">
      <c r="A159" s="103" t="s">
        <v>637</v>
      </c>
    </row>
    <row r="160" spans="1:1" x14ac:dyDescent="0.25">
      <c r="A160" s="103" t="s">
        <v>638</v>
      </c>
    </row>
    <row r="161" spans="1:1" x14ac:dyDescent="0.25">
      <c r="A161" s="103" t="s">
        <v>639</v>
      </c>
    </row>
    <row r="162" spans="1:1" x14ac:dyDescent="0.25">
      <c r="A162" s="103"/>
    </row>
    <row r="163" spans="1:1" x14ac:dyDescent="0.25">
      <c r="A163" s="103" t="s">
        <v>611</v>
      </c>
    </row>
    <row r="164" spans="1:1" x14ac:dyDescent="0.25">
      <c r="A164" s="103" t="s">
        <v>612</v>
      </c>
    </row>
    <row r="165" spans="1:1" x14ac:dyDescent="0.25">
      <c r="A165" s="103" t="s">
        <v>640</v>
      </c>
    </row>
    <row r="166" spans="1:1" x14ac:dyDescent="0.25">
      <c r="A166" s="103"/>
    </row>
    <row r="167" spans="1:1" x14ac:dyDescent="0.25">
      <c r="A167" s="103" t="s">
        <v>641</v>
      </c>
    </row>
    <row r="168" spans="1:1" x14ac:dyDescent="0.25">
      <c r="A168" s="103" t="s">
        <v>642</v>
      </c>
    </row>
    <row r="169" spans="1:1" x14ac:dyDescent="0.25">
      <c r="A169" s="103" t="s">
        <v>643</v>
      </c>
    </row>
    <row r="170" spans="1:1" x14ac:dyDescent="0.25">
      <c r="A170" s="103"/>
    </row>
    <row r="171" spans="1:1" x14ac:dyDescent="0.25">
      <c r="A171" s="103" t="s">
        <v>644</v>
      </c>
    </row>
    <row r="172" spans="1:1" x14ac:dyDescent="0.25">
      <c r="A172" s="103" t="s">
        <v>645</v>
      </c>
    </row>
    <row r="173" spans="1:1" x14ac:dyDescent="0.25">
      <c r="A173" s="103" t="s">
        <v>646</v>
      </c>
    </row>
    <row r="174" spans="1:1" x14ac:dyDescent="0.25">
      <c r="A174" s="103" t="s">
        <v>647</v>
      </c>
    </row>
    <row r="175" spans="1:1" x14ac:dyDescent="0.25">
      <c r="A175" s="103" t="s">
        <v>648</v>
      </c>
    </row>
    <row r="176" spans="1:1" x14ac:dyDescent="0.25">
      <c r="A176" s="103" t="s">
        <v>558</v>
      </c>
    </row>
    <row r="177" spans="1:1" x14ac:dyDescent="0.25">
      <c r="A177" s="103"/>
    </row>
    <row r="178" spans="1:1" x14ac:dyDescent="0.25">
      <c r="A178" s="103" t="s">
        <v>649</v>
      </c>
    </row>
    <row r="179" spans="1:1" x14ac:dyDescent="0.25">
      <c r="A179" s="103" t="s">
        <v>650</v>
      </c>
    </row>
    <row r="180" spans="1:1" x14ac:dyDescent="0.25">
      <c r="A180" s="103" t="s">
        <v>651</v>
      </c>
    </row>
    <row r="181" spans="1:1" x14ac:dyDescent="0.25">
      <c r="A181" s="103" t="s">
        <v>652</v>
      </c>
    </row>
    <row r="182" spans="1:1" x14ac:dyDescent="0.25">
      <c r="A182" s="103" t="s">
        <v>653</v>
      </c>
    </row>
    <row r="183" spans="1:1" x14ac:dyDescent="0.25">
      <c r="A183" s="103" t="s">
        <v>654</v>
      </c>
    </row>
    <row r="184" spans="1:1" x14ac:dyDescent="0.25">
      <c r="A184" s="103" t="s">
        <v>655</v>
      </c>
    </row>
    <row r="185" spans="1:1" x14ac:dyDescent="0.25">
      <c r="A185" s="103" t="s">
        <v>656</v>
      </c>
    </row>
    <row r="186" spans="1:1" x14ac:dyDescent="0.25">
      <c r="A186" s="103" t="s">
        <v>657</v>
      </c>
    </row>
    <row r="187" spans="1:1" x14ac:dyDescent="0.25">
      <c r="A187" s="103" t="s">
        <v>658</v>
      </c>
    </row>
    <row r="188" spans="1:1" x14ac:dyDescent="0.25">
      <c r="A188" s="103" t="s">
        <v>659</v>
      </c>
    </row>
    <row r="189" spans="1:1" x14ac:dyDescent="0.25">
      <c r="A189" s="103" t="s">
        <v>660</v>
      </c>
    </row>
    <row r="190" spans="1:1" x14ac:dyDescent="0.25">
      <c r="A190" s="103" t="s">
        <v>661</v>
      </c>
    </row>
    <row r="191" spans="1:1" x14ac:dyDescent="0.25">
      <c r="A191" s="103"/>
    </row>
    <row r="192" spans="1:1" x14ac:dyDescent="0.25">
      <c r="A192" s="103" t="s">
        <v>627</v>
      </c>
    </row>
    <row r="193" spans="1:1" x14ac:dyDescent="0.25">
      <c r="A193" s="103" t="s">
        <v>628</v>
      </c>
    </row>
    <row r="194" spans="1:1" x14ac:dyDescent="0.25">
      <c r="A194" s="103"/>
    </row>
    <row r="195" spans="1:1" x14ac:dyDescent="0.25">
      <c r="A195" s="103" t="s">
        <v>662</v>
      </c>
    </row>
    <row r="196" spans="1:1" x14ac:dyDescent="0.25">
      <c r="A196" s="103" t="s">
        <v>663</v>
      </c>
    </row>
    <row r="197" spans="1:1" x14ac:dyDescent="0.25">
      <c r="A197" s="103" t="s">
        <v>590</v>
      </c>
    </row>
    <row r="198" spans="1:1" x14ac:dyDescent="0.25">
      <c r="A198" s="103"/>
    </row>
    <row r="199" spans="1:1" x14ac:dyDescent="0.25">
      <c r="A199" s="103" t="s">
        <v>664</v>
      </c>
    </row>
    <row r="200" spans="1:1" x14ac:dyDescent="0.25">
      <c r="A200" s="103"/>
    </row>
    <row r="201" spans="1:1" x14ac:dyDescent="0.25">
      <c r="A201" s="103" t="s">
        <v>665</v>
      </c>
    </row>
    <row r="202" spans="1:1" x14ac:dyDescent="0.25">
      <c r="A202" s="103" t="s">
        <v>593</v>
      </c>
    </row>
    <row r="203" spans="1:1" x14ac:dyDescent="0.25">
      <c r="A203" s="103" t="s">
        <v>666</v>
      </c>
    </row>
    <row r="204" spans="1:1" x14ac:dyDescent="0.25">
      <c r="A204" s="103" t="s">
        <v>595</v>
      </c>
    </row>
    <row r="205" spans="1:1" x14ac:dyDescent="0.25">
      <c r="A205" s="103"/>
    </row>
    <row r="206" spans="1:1" x14ac:dyDescent="0.25">
      <c r="A206" s="103" t="s">
        <v>597</v>
      </c>
    </row>
    <row r="207" spans="1:1" x14ac:dyDescent="0.25">
      <c r="A207" s="103" t="s">
        <v>598</v>
      </c>
    </row>
    <row r="208" spans="1:1" x14ac:dyDescent="0.25">
      <c r="A208" s="103" t="s">
        <v>667</v>
      </c>
    </row>
    <row r="209" spans="1:1" x14ac:dyDescent="0.25">
      <c r="A209" s="103" t="s">
        <v>668</v>
      </c>
    </row>
    <row r="210" spans="1:1" x14ac:dyDescent="0.25">
      <c r="A210" s="103" t="s">
        <v>604</v>
      </c>
    </row>
    <row r="211" spans="1:1" x14ac:dyDescent="0.25">
      <c r="A211" s="103" t="s">
        <v>541</v>
      </c>
    </row>
    <row r="212" spans="1:1" x14ac:dyDescent="0.25">
      <c r="A212" s="103" t="s">
        <v>605</v>
      </c>
    </row>
    <row r="213" spans="1:1" x14ac:dyDescent="0.25">
      <c r="A213" s="103" t="s">
        <v>669</v>
      </c>
    </row>
    <row r="214" spans="1:1" x14ac:dyDescent="0.25">
      <c r="A214" s="103"/>
    </row>
    <row r="215" spans="1:1" x14ac:dyDescent="0.25">
      <c r="A215" s="103" t="s">
        <v>670</v>
      </c>
    </row>
    <row r="216" spans="1:1" x14ac:dyDescent="0.25">
      <c r="A216" s="103" t="s">
        <v>671</v>
      </c>
    </row>
    <row r="217" spans="1:1" x14ac:dyDescent="0.25">
      <c r="A217" s="103" t="s">
        <v>672</v>
      </c>
    </row>
    <row r="218" spans="1:1" x14ac:dyDescent="0.25">
      <c r="A218" s="103" t="s">
        <v>673</v>
      </c>
    </row>
    <row r="219" spans="1:1" x14ac:dyDescent="0.25">
      <c r="A219" s="103" t="s">
        <v>674</v>
      </c>
    </row>
    <row r="220" spans="1:1" x14ac:dyDescent="0.25">
      <c r="A220" s="103" t="s">
        <v>675</v>
      </c>
    </row>
    <row r="221" spans="1:1" x14ac:dyDescent="0.25">
      <c r="A221" s="103" t="s">
        <v>676</v>
      </c>
    </row>
    <row r="222" spans="1:1" x14ac:dyDescent="0.25">
      <c r="A222" s="103"/>
    </row>
    <row r="223" spans="1:1" x14ac:dyDescent="0.25">
      <c r="A223" s="103" t="s">
        <v>677</v>
      </c>
    </row>
    <row r="224" spans="1:1" x14ac:dyDescent="0.25">
      <c r="A224" s="103" t="s">
        <v>678</v>
      </c>
    </row>
    <row r="225" spans="1:1" x14ac:dyDescent="0.25">
      <c r="A225" s="103"/>
    </row>
    <row r="226" spans="1:1" x14ac:dyDescent="0.25">
      <c r="A226" s="103" t="s">
        <v>611</v>
      </c>
    </row>
    <row r="227" spans="1:1" x14ac:dyDescent="0.25">
      <c r="A227" s="103" t="s">
        <v>612</v>
      </c>
    </row>
    <row r="228" spans="1:1" x14ac:dyDescent="0.25">
      <c r="A228" s="103" t="s">
        <v>640</v>
      </c>
    </row>
    <row r="229" spans="1:1" x14ac:dyDescent="0.25">
      <c r="A229" s="103"/>
    </row>
    <row r="230" spans="1:1" x14ac:dyDescent="0.25">
      <c r="A230" s="103" t="s">
        <v>679</v>
      </c>
    </row>
    <row r="231" spans="1:1" x14ac:dyDescent="0.25">
      <c r="A231" s="103" t="s">
        <v>680</v>
      </c>
    </row>
    <row r="232" spans="1:1" x14ac:dyDescent="0.25">
      <c r="A232" s="103" t="s">
        <v>681</v>
      </c>
    </row>
    <row r="233" spans="1:1" x14ac:dyDescent="0.25">
      <c r="A233" s="103"/>
    </row>
    <row r="234" spans="1:1" x14ac:dyDescent="0.25">
      <c r="A234" s="103" t="s">
        <v>682</v>
      </c>
    </row>
    <row r="235" spans="1:1" x14ac:dyDescent="0.25">
      <c r="A235" s="103" t="s">
        <v>683</v>
      </c>
    </row>
    <row r="236" spans="1:1" x14ac:dyDescent="0.25">
      <c r="A236" s="103" t="s">
        <v>684</v>
      </c>
    </row>
    <row r="237" spans="1:1" x14ac:dyDescent="0.25">
      <c r="A237" s="103" t="s">
        <v>685</v>
      </c>
    </row>
    <row r="238" spans="1:1" x14ac:dyDescent="0.25">
      <c r="A238" s="103" t="s">
        <v>686</v>
      </c>
    </row>
    <row r="239" spans="1:1" x14ac:dyDescent="0.25">
      <c r="A239" s="103" t="s">
        <v>687</v>
      </c>
    </row>
    <row r="240" spans="1:1" x14ac:dyDescent="0.25">
      <c r="A240" s="103" t="s">
        <v>688</v>
      </c>
    </row>
    <row r="241" spans="1:1" x14ac:dyDescent="0.25">
      <c r="A241" s="103" t="s">
        <v>689</v>
      </c>
    </row>
    <row r="242" spans="1:1" x14ac:dyDescent="0.25">
      <c r="A242" s="103" t="s">
        <v>690</v>
      </c>
    </row>
    <row r="243" spans="1:1" x14ac:dyDescent="0.25">
      <c r="A243" s="103" t="s">
        <v>691</v>
      </c>
    </row>
    <row r="244" spans="1:1" x14ac:dyDescent="0.25">
      <c r="A244" s="103" t="s">
        <v>692</v>
      </c>
    </row>
    <row r="245" spans="1:1" x14ac:dyDescent="0.25">
      <c r="A245" s="103" t="s">
        <v>693</v>
      </c>
    </row>
    <row r="246" spans="1:1" x14ac:dyDescent="0.25">
      <c r="A246" s="103" t="s">
        <v>694</v>
      </c>
    </row>
    <row r="247" spans="1:1" x14ac:dyDescent="0.25">
      <c r="A247" s="103" t="s">
        <v>695</v>
      </c>
    </row>
    <row r="248" spans="1:1" x14ac:dyDescent="0.25">
      <c r="A248" s="103"/>
    </row>
    <row r="249" spans="1:1" x14ac:dyDescent="0.25">
      <c r="A249" s="103" t="s">
        <v>696</v>
      </c>
    </row>
    <row r="250" spans="1:1" x14ac:dyDescent="0.25">
      <c r="A250" s="103" t="s">
        <v>697</v>
      </c>
    </row>
    <row r="251" spans="1:1" x14ac:dyDescent="0.25">
      <c r="A251" s="103" t="s">
        <v>590</v>
      </c>
    </row>
    <row r="252" spans="1:1" x14ac:dyDescent="0.25">
      <c r="A252" s="103"/>
    </row>
    <row r="253" spans="1:1" x14ac:dyDescent="0.25">
      <c r="A253" s="103" t="s">
        <v>698</v>
      </c>
    </row>
    <row r="254" spans="1:1" x14ac:dyDescent="0.25">
      <c r="A254" s="103"/>
    </row>
    <row r="255" spans="1:1" x14ac:dyDescent="0.25">
      <c r="A255" s="103" t="s">
        <v>699</v>
      </c>
    </row>
    <row r="256" spans="1:1" x14ac:dyDescent="0.25">
      <c r="A256" s="103" t="s">
        <v>700</v>
      </c>
    </row>
    <row r="257" spans="1:1" x14ac:dyDescent="0.25">
      <c r="A257" s="103" t="s">
        <v>701</v>
      </c>
    </row>
    <row r="258" spans="1:1" x14ac:dyDescent="0.25">
      <c r="A258" s="103" t="s">
        <v>702</v>
      </c>
    </row>
    <row r="259" spans="1:1" x14ac:dyDescent="0.25">
      <c r="A259" s="103"/>
    </row>
    <row r="260" spans="1:1" x14ac:dyDescent="0.25">
      <c r="A260" s="103" t="s">
        <v>666</v>
      </c>
    </row>
    <row r="261" spans="1:1" x14ac:dyDescent="0.25">
      <c r="A261" s="103" t="s">
        <v>595</v>
      </c>
    </row>
    <row r="262" spans="1:1" x14ac:dyDescent="0.25">
      <c r="A262" s="103" t="s">
        <v>594</v>
      </c>
    </row>
    <row r="263" spans="1:1" x14ac:dyDescent="0.25">
      <c r="A263" s="103"/>
    </row>
    <row r="264" spans="1:1" x14ac:dyDescent="0.25">
      <c r="A264" s="103" t="s">
        <v>703</v>
      </c>
    </row>
    <row r="265" spans="1:1" x14ac:dyDescent="0.25">
      <c r="A265" s="103" t="s">
        <v>704</v>
      </c>
    </row>
    <row r="266" spans="1:1" x14ac:dyDescent="0.25">
      <c r="A266" s="103" t="s">
        <v>705</v>
      </c>
    </row>
    <row r="267" spans="1:1" x14ac:dyDescent="0.25">
      <c r="A267" s="103"/>
    </row>
    <row r="268" spans="1:1" x14ac:dyDescent="0.25">
      <c r="A268" s="103" t="s">
        <v>706</v>
      </c>
    </row>
    <row r="269" spans="1:1" x14ac:dyDescent="0.25">
      <c r="A269" s="103" t="s">
        <v>707</v>
      </c>
    </row>
    <row r="270" spans="1:1" x14ac:dyDescent="0.25">
      <c r="A270" s="103" t="s">
        <v>558</v>
      </c>
    </row>
    <row r="271" spans="1:1" x14ac:dyDescent="0.25">
      <c r="A271" s="103"/>
    </row>
    <row r="272" spans="1:1" x14ac:dyDescent="0.25">
      <c r="A272" s="103" t="s">
        <v>708</v>
      </c>
    </row>
    <row r="273" spans="1:1" x14ac:dyDescent="0.25">
      <c r="A273" s="103"/>
    </row>
    <row r="274" spans="1:1" x14ac:dyDescent="0.25">
      <c r="A274" s="103" t="s">
        <v>709</v>
      </c>
    </row>
    <row r="275" spans="1:1" x14ac:dyDescent="0.25">
      <c r="A275" s="103" t="s">
        <v>710</v>
      </c>
    </row>
    <row r="276" spans="1:1" x14ac:dyDescent="0.25">
      <c r="A276" s="103" t="s">
        <v>711</v>
      </c>
    </row>
    <row r="277" spans="1:1" x14ac:dyDescent="0.25">
      <c r="A277" s="103" t="s">
        <v>615</v>
      </c>
    </row>
    <row r="278" spans="1:1" x14ac:dyDescent="0.25">
      <c r="A278" s="103"/>
    </row>
    <row r="279" spans="1:1" x14ac:dyDescent="0.25">
      <c r="A279" s="103" t="s">
        <v>617</v>
      </c>
    </row>
    <row r="280" spans="1:1" x14ac:dyDescent="0.25">
      <c r="A280" s="103" t="s">
        <v>712</v>
      </c>
    </row>
    <row r="281" spans="1:1" x14ac:dyDescent="0.25">
      <c r="A281" s="103" t="s">
        <v>619</v>
      </c>
    </row>
    <row r="282" spans="1:1" x14ac:dyDescent="0.25">
      <c r="A282" s="103" t="s">
        <v>713</v>
      </c>
    </row>
    <row r="283" spans="1:1" x14ac:dyDescent="0.25">
      <c r="A283" s="103" t="s">
        <v>714</v>
      </c>
    </row>
    <row r="284" spans="1:1" x14ac:dyDescent="0.25">
      <c r="A284" s="103" t="s">
        <v>621</v>
      </c>
    </row>
    <row r="285" spans="1:1" x14ac:dyDescent="0.25">
      <c r="A285" s="103" t="s">
        <v>715</v>
      </c>
    </row>
    <row r="286" spans="1:1" x14ac:dyDescent="0.25">
      <c r="A286" s="103" t="s">
        <v>716</v>
      </c>
    </row>
    <row r="287" spans="1:1" x14ac:dyDescent="0.25">
      <c r="A287" s="103" t="s">
        <v>717</v>
      </c>
    </row>
    <row r="288" spans="1:1" x14ac:dyDescent="0.25">
      <c r="A288" s="103" t="s">
        <v>625</v>
      </c>
    </row>
    <row r="289" spans="1:1" x14ac:dyDescent="0.25">
      <c r="A289" s="103"/>
    </row>
    <row r="290" spans="1:1" x14ac:dyDescent="0.25">
      <c r="A290" s="103" t="s">
        <v>718</v>
      </c>
    </row>
    <row r="291" spans="1:1" x14ac:dyDescent="0.25">
      <c r="A291" s="103" t="s">
        <v>719</v>
      </c>
    </row>
    <row r="292" spans="1:1" x14ac:dyDescent="0.25">
      <c r="A292" s="103" t="s">
        <v>590</v>
      </c>
    </row>
    <row r="293" spans="1:1" x14ac:dyDescent="0.25">
      <c r="A293" s="103"/>
    </row>
    <row r="294" spans="1:1" x14ac:dyDescent="0.25">
      <c r="A294" s="103" t="s">
        <v>720</v>
      </c>
    </row>
    <row r="295" spans="1:1" x14ac:dyDescent="0.25">
      <c r="A295" s="103"/>
    </row>
    <row r="296" spans="1:1" x14ac:dyDescent="0.25">
      <c r="A296" s="103" t="s">
        <v>721</v>
      </c>
    </row>
    <row r="297" spans="1:1" x14ac:dyDescent="0.25">
      <c r="A297" s="103" t="s">
        <v>722</v>
      </c>
    </row>
    <row r="298" spans="1:1" x14ac:dyDescent="0.25">
      <c r="A298" s="103" t="s">
        <v>723</v>
      </c>
    </row>
    <row r="299" spans="1:1" x14ac:dyDescent="0.25">
      <c r="A299" s="103" t="s">
        <v>724</v>
      </c>
    </row>
    <row r="300" spans="1:1" x14ac:dyDescent="0.25">
      <c r="A300" s="103" t="s">
        <v>725</v>
      </c>
    </row>
    <row r="301" spans="1:1" x14ac:dyDescent="0.25">
      <c r="A301" s="103" t="s">
        <v>726</v>
      </c>
    </row>
    <row r="302" spans="1:1" x14ac:dyDescent="0.25">
      <c r="A302" s="103" t="s">
        <v>590</v>
      </c>
    </row>
    <row r="303" spans="1:1" x14ac:dyDescent="0.25">
      <c r="A303" s="103"/>
    </row>
    <row r="304" spans="1:1" x14ac:dyDescent="0.25">
      <c r="A304" s="103" t="s">
        <v>727</v>
      </c>
    </row>
    <row r="305" spans="1:1" x14ac:dyDescent="0.25">
      <c r="A305" s="103"/>
    </row>
    <row r="306" spans="1:1" x14ac:dyDescent="0.25">
      <c r="A306" s="103" t="s">
        <v>728</v>
      </c>
    </row>
    <row r="307" spans="1:1" x14ac:dyDescent="0.25">
      <c r="A307" s="103" t="s">
        <v>729</v>
      </c>
    </row>
    <row r="308" spans="1:1" x14ac:dyDescent="0.25">
      <c r="A308" s="103" t="s">
        <v>730</v>
      </c>
    </row>
    <row r="309" spans="1:1" x14ac:dyDescent="0.25">
      <c r="A309" s="103" t="s">
        <v>731</v>
      </c>
    </row>
    <row r="310" spans="1:1" x14ac:dyDescent="0.25">
      <c r="A310" s="103" t="s">
        <v>732</v>
      </c>
    </row>
    <row r="311" spans="1:1" x14ac:dyDescent="0.25">
      <c r="A311" s="103" t="s">
        <v>733</v>
      </c>
    </row>
    <row r="312" spans="1:1" x14ac:dyDescent="0.25">
      <c r="A312" s="103" t="s">
        <v>734</v>
      </c>
    </row>
    <row r="313" spans="1:1" x14ac:dyDescent="0.25">
      <c r="A313" s="103" t="s">
        <v>735</v>
      </c>
    </row>
    <row r="314" spans="1:1" x14ac:dyDescent="0.25">
      <c r="A314" s="103" t="s">
        <v>736</v>
      </c>
    </row>
    <row r="315" spans="1:1" x14ac:dyDescent="0.25">
      <c r="A315" s="103" t="s">
        <v>737</v>
      </c>
    </row>
    <row r="316" spans="1:1" x14ac:dyDescent="0.25">
      <c r="A316" s="103" t="s">
        <v>590</v>
      </c>
    </row>
    <row r="317" spans="1:1" x14ac:dyDescent="0.25">
      <c r="A317" s="103"/>
    </row>
    <row r="319" spans="1:1" x14ac:dyDescent="0.25">
      <c r="A319" t="s">
        <v>738</v>
      </c>
    </row>
    <row r="320" spans="1:1" x14ac:dyDescent="0.25">
      <c r="A320" t="s">
        <v>739</v>
      </c>
    </row>
    <row r="321" spans="1:1" x14ac:dyDescent="0.25">
      <c r="A321" t="s">
        <v>740</v>
      </c>
    </row>
    <row r="322" spans="1:1" x14ac:dyDescent="0.25">
      <c r="A322" t="s">
        <v>738</v>
      </c>
    </row>
    <row r="324" spans="1:1" x14ac:dyDescent="0.25">
      <c r="A324" t="s">
        <v>741</v>
      </c>
    </row>
    <row r="325" spans="1:1" x14ac:dyDescent="0.25">
      <c r="A325" t="s">
        <v>742</v>
      </c>
    </row>
    <row r="326" spans="1:1" x14ac:dyDescent="0.25">
      <c r="A326" t="s">
        <v>743</v>
      </c>
    </row>
    <row r="327" spans="1:1" x14ac:dyDescent="0.25">
      <c r="A327" t="s">
        <v>595</v>
      </c>
    </row>
    <row r="328" spans="1:1" x14ac:dyDescent="0.25">
      <c r="A328" t="s">
        <v>744</v>
      </c>
    </row>
    <row r="329" spans="1:1" x14ac:dyDescent="0.25">
      <c r="A329" t="s">
        <v>745</v>
      </c>
    </row>
    <row r="330" spans="1:1" x14ac:dyDescent="0.25">
      <c r="A330" t="s">
        <v>611</v>
      </c>
    </row>
    <row r="331" spans="1:1" x14ac:dyDescent="0.25">
      <c r="A331" t="s">
        <v>746</v>
      </c>
    </row>
    <row r="332" spans="1:1" x14ac:dyDescent="0.25">
      <c r="A332" t="s">
        <v>747</v>
      </c>
    </row>
    <row r="333" spans="1:1" x14ac:dyDescent="0.25">
      <c r="A333" t="s">
        <v>641</v>
      </c>
    </row>
    <row r="334" spans="1:1" x14ac:dyDescent="0.25">
      <c r="A334" t="s">
        <v>748</v>
      </c>
    </row>
    <row r="335" spans="1:1" x14ac:dyDescent="0.25">
      <c r="A335" t="s">
        <v>544</v>
      </c>
    </row>
    <row r="337" spans="1:1" x14ac:dyDescent="0.25">
      <c r="A337" t="s">
        <v>749</v>
      </c>
    </row>
    <row r="338" spans="1:1" x14ac:dyDescent="0.25">
      <c r="A338" t="s">
        <v>595</v>
      </c>
    </row>
    <row r="339" spans="1:1" x14ac:dyDescent="0.25">
      <c r="A339" t="s">
        <v>744</v>
      </c>
    </row>
    <row r="340" spans="1:1" x14ac:dyDescent="0.25">
      <c r="A340" t="s">
        <v>750</v>
      </c>
    </row>
    <row r="341" spans="1:1" x14ac:dyDescent="0.25">
      <c r="A341" t="s">
        <v>611</v>
      </c>
    </row>
    <row r="342" spans="1:1" x14ac:dyDescent="0.25">
      <c r="A342" t="s">
        <v>746</v>
      </c>
    </row>
    <row r="343" spans="1:1" x14ac:dyDescent="0.25">
      <c r="A343" t="s">
        <v>751</v>
      </c>
    </row>
    <row r="344" spans="1:1" x14ac:dyDescent="0.25">
      <c r="A344" t="s">
        <v>641</v>
      </c>
    </row>
    <row r="345" spans="1:1" x14ac:dyDescent="0.25">
      <c r="A345" t="s">
        <v>752</v>
      </c>
    </row>
    <row r="346" spans="1:1" x14ac:dyDescent="0.25">
      <c r="A346" t="s">
        <v>544</v>
      </c>
    </row>
    <row r="348" spans="1:1" x14ac:dyDescent="0.25">
      <c r="A348" t="s">
        <v>753</v>
      </c>
    </row>
    <row r="349" spans="1:1" x14ac:dyDescent="0.25">
      <c r="A349" t="s">
        <v>754</v>
      </c>
    </row>
    <row r="350" spans="1:1" x14ac:dyDescent="0.25">
      <c r="A350" t="s">
        <v>593</v>
      </c>
    </row>
    <row r="351" spans="1:1" x14ac:dyDescent="0.25">
      <c r="A351" t="s">
        <v>633</v>
      </c>
    </row>
    <row r="352" spans="1:1" x14ac:dyDescent="0.25">
      <c r="A352" t="s">
        <v>595</v>
      </c>
    </row>
    <row r="353" spans="1:1" x14ac:dyDescent="0.25">
      <c r="A353" t="s">
        <v>744</v>
      </c>
    </row>
    <row r="354" spans="1:1" x14ac:dyDescent="0.25">
      <c r="A354" t="s">
        <v>745</v>
      </c>
    </row>
    <row r="356" spans="1:1" x14ac:dyDescent="0.25">
      <c r="A356" t="s">
        <v>597</v>
      </c>
    </row>
    <row r="357" spans="1:1" x14ac:dyDescent="0.25">
      <c r="A357" t="s">
        <v>598</v>
      </c>
    </row>
    <row r="358" spans="1:1" x14ac:dyDescent="0.25">
      <c r="A358" t="s">
        <v>599</v>
      </c>
    </row>
    <row r="359" spans="1:1" x14ac:dyDescent="0.25">
      <c r="A359" t="s">
        <v>755</v>
      </c>
    </row>
    <row r="360" spans="1:1" x14ac:dyDescent="0.25">
      <c r="A360" t="s">
        <v>756</v>
      </c>
    </row>
    <row r="361" spans="1:1" x14ac:dyDescent="0.25">
      <c r="A361" t="s">
        <v>604</v>
      </c>
    </row>
    <row r="362" spans="1:1" x14ac:dyDescent="0.25">
      <c r="A362" t="s">
        <v>541</v>
      </c>
    </row>
    <row r="363" spans="1:1" x14ac:dyDescent="0.25">
      <c r="A363" t="s">
        <v>605</v>
      </c>
    </row>
    <row r="364" spans="1:1" x14ac:dyDescent="0.25">
      <c r="A364" t="s">
        <v>635</v>
      </c>
    </row>
    <row r="366" spans="1:1" x14ac:dyDescent="0.25">
      <c r="A366" t="s">
        <v>757</v>
      </c>
    </row>
    <row r="367" spans="1:1" x14ac:dyDescent="0.25">
      <c r="A367" t="s">
        <v>758</v>
      </c>
    </row>
    <row r="368" spans="1:1" x14ac:dyDescent="0.25">
      <c r="A368" t="s">
        <v>638</v>
      </c>
    </row>
    <row r="369" spans="1:1" x14ac:dyDescent="0.25">
      <c r="A369" t="s">
        <v>759</v>
      </c>
    </row>
    <row r="371" spans="1:1" x14ac:dyDescent="0.25">
      <c r="A371" t="s">
        <v>611</v>
      </c>
    </row>
    <row r="372" spans="1:1" x14ac:dyDescent="0.25">
      <c r="A372" t="s">
        <v>612</v>
      </c>
    </row>
    <row r="373" spans="1:1" x14ac:dyDescent="0.25">
      <c r="A373" t="s">
        <v>640</v>
      </c>
    </row>
    <row r="375" spans="1:1" x14ac:dyDescent="0.25">
      <c r="A375" t="s">
        <v>760</v>
      </c>
    </row>
    <row r="376" spans="1:1" x14ac:dyDescent="0.25">
      <c r="A376" t="s">
        <v>761</v>
      </c>
    </row>
    <row r="377" spans="1:1" x14ac:dyDescent="0.25">
      <c r="A377" t="s">
        <v>762</v>
      </c>
    </row>
    <row r="378" spans="1:1" x14ac:dyDescent="0.25">
      <c r="A378" t="s">
        <v>763</v>
      </c>
    </row>
    <row r="380" spans="1:1" x14ac:dyDescent="0.25">
      <c r="A380" t="s">
        <v>764</v>
      </c>
    </row>
    <row r="381" spans="1:1" x14ac:dyDescent="0.25">
      <c r="A381" t="s">
        <v>765</v>
      </c>
    </row>
    <row r="382" spans="1:1" x14ac:dyDescent="0.25">
      <c r="A382" t="s">
        <v>766</v>
      </c>
    </row>
    <row r="383" spans="1:1" x14ac:dyDescent="0.25">
      <c r="A383" t="s">
        <v>767</v>
      </c>
    </row>
    <row r="384" spans="1:1" x14ac:dyDescent="0.25">
      <c r="A384" t="s">
        <v>768</v>
      </c>
    </row>
    <row r="385" spans="1:1" x14ac:dyDescent="0.25">
      <c r="A385" t="s">
        <v>769</v>
      </c>
    </row>
    <row r="386" spans="1:1" x14ac:dyDescent="0.25">
      <c r="A386" t="s">
        <v>770</v>
      </c>
    </row>
    <row r="387" spans="1:1" x14ac:dyDescent="0.25">
      <c r="A387" t="s">
        <v>771</v>
      </c>
    </row>
    <row r="388" spans="1:1" x14ac:dyDescent="0.25">
      <c r="A388" t="s">
        <v>772</v>
      </c>
    </row>
    <row r="389" spans="1:1" x14ac:dyDescent="0.25">
      <c r="A389" t="s">
        <v>773</v>
      </c>
    </row>
    <row r="390" spans="1:1" x14ac:dyDescent="0.25">
      <c r="A390" t="s">
        <v>774</v>
      </c>
    </row>
    <row r="392" spans="1:1" x14ac:dyDescent="0.25">
      <c r="A392" t="s">
        <v>775</v>
      </c>
    </row>
    <row r="393" spans="1:1" x14ac:dyDescent="0.25">
      <c r="A393" t="s">
        <v>776</v>
      </c>
    </row>
    <row r="394" spans="1:1" x14ac:dyDescent="0.25">
      <c r="A394" t="s">
        <v>777</v>
      </c>
    </row>
    <row r="395" spans="1:1" x14ac:dyDescent="0.25">
      <c r="A395" t="s">
        <v>778</v>
      </c>
    </row>
    <row r="396" spans="1:1" x14ac:dyDescent="0.25">
      <c r="A396" t="s">
        <v>779</v>
      </c>
    </row>
    <row r="397" spans="1:1" x14ac:dyDescent="0.25">
      <c r="A397" t="s">
        <v>558</v>
      </c>
    </row>
    <row r="399" spans="1:1" x14ac:dyDescent="0.25">
      <c r="A399" t="s">
        <v>780</v>
      </c>
    </row>
    <row r="400" spans="1:1" x14ac:dyDescent="0.25">
      <c r="A400" t="s">
        <v>781</v>
      </c>
    </row>
    <row r="401" spans="1:1" x14ac:dyDescent="0.25">
      <c r="A401" t="s">
        <v>645</v>
      </c>
    </row>
    <row r="402" spans="1:1" x14ac:dyDescent="0.25">
      <c r="A402" t="s">
        <v>646</v>
      </c>
    </row>
    <row r="403" spans="1:1" x14ac:dyDescent="0.25">
      <c r="A403" t="s">
        <v>782</v>
      </c>
    </row>
    <row r="404" spans="1:1" x14ac:dyDescent="0.25">
      <c r="A404" t="s">
        <v>645</v>
      </c>
    </row>
    <row r="405" spans="1:1" x14ac:dyDescent="0.25">
      <c r="A405" t="s">
        <v>558</v>
      </c>
    </row>
    <row r="407" spans="1:1" x14ac:dyDescent="0.25">
      <c r="A407" t="s">
        <v>649</v>
      </c>
    </row>
    <row r="408" spans="1:1" x14ac:dyDescent="0.25">
      <c r="A408" t="s">
        <v>650</v>
      </c>
    </row>
    <row r="409" spans="1:1" x14ac:dyDescent="0.25">
      <c r="A409" t="s">
        <v>651</v>
      </c>
    </row>
    <row r="410" spans="1:1" x14ac:dyDescent="0.25">
      <c r="A410" t="s">
        <v>652</v>
      </c>
    </row>
    <row r="411" spans="1:1" x14ac:dyDescent="0.25">
      <c r="A411" t="s">
        <v>653</v>
      </c>
    </row>
    <row r="412" spans="1:1" x14ac:dyDescent="0.25">
      <c r="A412" t="s">
        <v>654</v>
      </c>
    </row>
    <row r="413" spans="1:1" x14ac:dyDescent="0.25">
      <c r="A413" t="s">
        <v>655</v>
      </c>
    </row>
    <row r="414" spans="1:1" x14ac:dyDescent="0.25">
      <c r="A414" t="s">
        <v>656</v>
      </c>
    </row>
    <row r="415" spans="1:1" x14ac:dyDescent="0.25">
      <c r="A415" t="s">
        <v>657</v>
      </c>
    </row>
    <row r="416" spans="1:1" x14ac:dyDescent="0.25">
      <c r="A416" t="s">
        <v>658</v>
      </c>
    </row>
    <row r="417" spans="1:1" x14ac:dyDescent="0.25">
      <c r="A417" t="s">
        <v>659</v>
      </c>
    </row>
    <row r="418" spans="1:1" x14ac:dyDescent="0.25">
      <c r="A418" t="s">
        <v>660</v>
      </c>
    </row>
    <row r="419" spans="1:1" x14ac:dyDescent="0.25">
      <c r="A419" t="s">
        <v>661</v>
      </c>
    </row>
    <row r="420" spans="1:1" x14ac:dyDescent="0.25">
      <c r="A420" t="s">
        <v>783</v>
      </c>
    </row>
    <row r="421" spans="1:1" x14ac:dyDescent="0.25">
      <c r="A421" t="s">
        <v>784</v>
      </c>
    </row>
    <row r="422" spans="1:1" x14ac:dyDescent="0.25">
      <c r="A422" t="s">
        <v>785</v>
      </c>
    </row>
    <row r="424" spans="1:1" x14ac:dyDescent="0.25">
      <c r="A424" t="s">
        <v>627</v>
      </c>
    </row>
    <row r="425" spans="1:1" x14ac:dyDescent="0.25">
      <c r="A425" t="s">
        <v>628</v>
      </c>
    </row>
    <row r="427" spans="1:1" x14ac:dyDescent="0.25">
      <c r="A427" t="s">
        <v>786</v>
      </c>
    </row>
    <row r="428" spans="1:1" x14ac:dyDescent="0.25">
      <c r="A428" t="s">
        <v>787</v>
      </c>
    </row>
    <row r="429" spans="1:1" x14ac:dyDescent="0.25">
      <c r="A429" t="s">
        <v>788</v>
      </c>
    </row>
    <row r="431" spans="1:1" x14ac:dyDescent="0.25">
      <c r="A431" t="s">
        <v>789</v>
      </c>
    </row>
    <row r="432" spans="1:1" x14ac:dyDescent="0.25">
      <c r="A432" t="s">
        <v>790</v>
      </c>
    </row>
    <row r="433" spans="1:1" x14ac:dyDescent="0.25">
      <c r="A433" t="s">
        <v>791</v>
      </c>
    </row>
    <row r="434" spans="1:1" x14ac:dyDescent="0.25">
      <c r="A434" t="s">
        <v>792</v>
      </c>
    </row>
    <row r="435" spans="1:1" x14ac:dyDescent="0.25">
      <c r="A435" t="s">
        <v>793</v>
      </c>
    </row>
    <row r="436" spans="1:1" x14ac:dyDescent="0.25">
      <c r="A436" t="s">
        <v>590</v>
      </c>
    </row>
    <row r="438" spans="1:1" x14ac:dyDescent="0.25">
      <c r="A438" t="s">
        <v>794</v>
      </c>
    </row>
    <row r="439" spans="1:1" x14ac:dyDescent="0.25">
      <c r="A439" t="s">
        <v>795</v>
      </c>
    </row>
    <row r="440" spans="1:1" x14ac:dyDescent="0.25">
      <c r="A440" t="s">
        <v>546</v>
      </c>
    </row>
    <row r="441" spans="1:1" x14ac:dyDescent="0.25">
      <c r="A441" t="s">
        <v>532</v>
      </c>
    </row>
    <row r="442" spans="1:1" x14ac:dyDescent="0.25">
      <c r="A442" t="s">
        <v>796</v>
      </c>
    </row>
    <row r="444" spans="1:1" x14ac:dyDescent="0.25">
      <c r="A444" t="s">
        <v>797</v>
      </c>
    </row>
    <row r="445" spans="1:1" x14ac:dyDescent="0.25">
      <c r="A445" t="s">
        <v>798</v>
      </c>
    </row>
    <row r="446" spans="1:1" x14ac:dyDescent="0.25">
      <c r="A446" t="s">
        <v>549</v>
      </c>
    </row>
    <row r="447" spans="1:1" x14ac:dyDescent="0.25">
      <c r="A447" t="s">
        <v>550</v>
      </c>
    </row>
    <row r="448" spans="1:1" x14ac:dyDescent="0.25">
      <c r="A448" t="s">
        <v>551</v>
      </c>
    </row>
    <row r="449" spans="1:1" x14ac:dyDescent="0.25">
      <c r="A449" t="s">
        <v>552</v>
      </c>
    </row>
    <row r="450" spans="1:1" x14ac:dyDescent="0.25">
      <c r="A450" t="s">
        <v>553</v>
      </c>
    </row>
    <row r="452" spans="1:1" x14ac:dyDescent="0.25">
      <c r="A452" t="s">
        <v>799</v>
      </c>
    </row>
    <row r="453" spans="1:1" x14ac:dyDescent="0.25">
      <c r="A453" t="s">
        <v>800</v>
      </c>
    </row>
    <row r="454" spans="1:1" x14ac:dyDescent="0.25">
      <c r="A454" t="s">
        <v>801</v>
      </c>
    </row>
    <row r="455" spans="1:1" x14ac:dyDescent="0.25">
      <c r="A455" t="s">
        <v>558</v>
      </c>
    </row>
    <row r="456" spans="1:1" x14ac:dyDescent="0.25">
      <c r="A456" t="s">
        <v>802</v>
      </c>
    </row>
    <row r="457" spans="1:1" x14ac:dyDescent="0.25">
      <c r="A457" t="s">
        <v>803</v>
      </c>
    </row>
    <row r="458" spans="1:1" x14ac:dyDescent="0.25">
      <c r="A458" t="s">
        <v>558</v>
      </c>
    </row>
    <row r="460" spans="1:1" x14ac:dyDescent="0.25">
      <c r="A460" t="s">
        <v>804</v>
      </c>
    </row>
    <row r="461" spans="1:1" x14ac:dyDescent="0.25">
      <c r="A461" t="s">
        <v>745</v>
      </c>
    </row>
    <row r="462" spans="1:1" x14ac:dyDescent="0.25">
      <c r="A462" t="s">
        <v>805</v>
      </c>
    </row>
    <row r="463" spans="1:1" x14ac:dyDescent="0.25">
      <c r="A463" t="s">
        <v>806</v>
      </c>
    </row>
    <row r="464" spans="1:1" x14ac:dyDescent="0.25">
      <c r="A464" t="s">
        <v>807</v>
      </c>
    </row>
    <row r="465" spans="1:1" x14ac:dyDescent="0.25">
      <c r="A465" t="s">
        <v>808</v>
      </c>
    </row>
    <row r="466" spans="1:1" x14ac:dyDescent="0.25">
      <c r="A466" t="s">
        <v>809</v>
      </c>
    </row>
    <row r="467" spans="1:1" x14ac:dyDescent="0.25">
      <c r="A467" t="s">
        <v>779</v>
      </c>
    </row>
    <row r="468" spans="1:1" x14ac:dyDescent="0.25">
      <c r="A468" t="s">
        <v>558</v>
      </c>
    </row>
    <row r="470" spans="1:1" x14ac:dyDescent="0.25">
      <c r="A470" t="s">
        <v>810</v>
      </c>
    </row>
    <row r="471" spans="1:1" x14ac:dyDescent="0.25">
      <c r="A471" t="s">
        <v>811</v>
      </c>
    </row>
    <row r="472" spans="1:1" x14ac:dyDescent="0.25">
      <c r="A472" t="s">
        <v>812</v>
      </c>
    </row>
    <row r="474" spans="1:1" x14ac:dyDescent="0.25">
      <c r="A474" t="s">
        <v>560</v>
      </c>
    </row>
    <row r="475" spans="1:1" x14ac:dyDescent="0.25">
      <c r="A475" t="s">
        <v>561</v>
      </c>
    </row>
    <row r="477" spans="1:1" x14ac:dyDescent="0.25">
      <c r="A477" t="s">
        <v>562</v>
      </c>
    </row>
    <row r="478" spans="1:1" x14ac:dyDescent="0.25">
      <c r="A478" t="s">
        <v>563</v>
      </c>
    </row>
    <row r="479" spans="1:1" x14ac:dyDescent="0.25">
      <c r="A479" t="s">
        <v>564</v>
      </c>
    </row>
    <row r="480" spans="1:1" x14ac:dyDescent="0.25">
      <c r="A480" t="s">
        <v>565</v>
      </c>
    </row>
    <row r="481" spans="1:1" x14ac:dyDescent="0.25">
      <c r="A481" t="s">
        <v>566</v>
      </c>
    </row>
    <row r="482" spans="1:1" x14ac:dyDescent="0.25">
      <c r="A482" t="s">
        <v>567</v>
      </c>
    </row>
    <row r="483" spans="1:1" x14ac:dyDescent="0.25">
      <c r="A483" t="s">
        <v>568</v>
      </c>
    </row>
    <row r="484" spans="1:1" x14ac:dyDescent="0.25">
      <c r="A484" t="s">
        <v>569</v>
      </c>
    </row>
    <row r="485" spans="1:1" x14ac:dyDescent="0.25">
      <c r="A485" t="s">
        <v>570</v>
      </c>
    </row>
    <row r="486" spans="1:1" x14ac:dyDescent="0.25">
      <c r="A486" t="s">
        <v>571</v>
      </c>
    </row>
    <row r="487" spans="1:1" x14ac:dyDescent="0.25">
      <c r="A487" t="s">
        <v>572</v>
      </c>
    </row>
    <row r="488" spans="1:1" x14ac:dyDescent="0.25">
      <c r="A488" t="s">
        <v>573</v>
      </c>
    </row>
    <row r="489" spans="1:1" x14ac:dyDescent="0.25">
      <c r="A489" t="s">
        <v>574</v>
      </c>
    </row>
    <row r="490" spans="1:1" x14ac:dyDescent="0.25">
      <c r="A490" t="s">
        <v>575</v>
      </c>
    </row>
    <row r="491" spans="1:1" x14ac:dyDescent="0.25">
      <c r="A491" t="s">
        <v>813</v>
      </c>
    </row>
    <row r="492" spans="1:1" x14ac:dyDescent="0.25">
      <c r="A492" t="s">
        <v>814</v>
      </c>
    </row>
    <row r="494" spans="1:1" x14ac:dyDescent="0.25">
      <c r="A494" t="s">
        <v>815</v>
      </c>
    </row>
    <row r="495" spans="1:1" x14ac:dyDescent="0.25">
      <c r="A495" t="s">
        <v>816</v>
      </c>
    </row>
    <row r="496" spans="1:1" x14ac:dyDescent="0.25">
      <c r="A496" t="s">
        <v>817</v>
      </c>
    </row>
    <row r="498" spans="1:1" x14ac:dyDescent="0.25">
      <c r="A498" t="s">
        <v>818</v>
      </c>
    </row>
    <row r="499" spans="1:1" x14ac:dyDescent="0.25">
      <c r="A499" t="s">
        <v>819</v>
      </c>
    </row>
    <row r="500" spans="1:1" x14ac:dyDescent="0.25">
      <c r="A500" t="s">
        <v>820</v>
      </c>
    </row>
    <row r="501" spans="1:1" x14ac:dyDescent="0.25">
      <c r="A501" t="s">
        <v>821</v>
      </c>
    </row>
    <row r="502" spans="1:1" x14ac:dyDescent="0.25">
      <c r="A502" t="s">
        <v>822</v>
      </c>
    </row>
    <row r="503" spans="1:1" x14ac:dyDescent="0.25">
      <c r="A503" t="s">
        <v>823</v>
      </c>
    </row>
    <row r="504" spans="1:1" x14ac:dyDescent="0.25">
      <c r="A504" t="s">
        <v>824</v>
      </c>
    </row>
    <row r="506" spans="1:1" x14ac:dyDescent="0.25">
      <c r="A506" t="s">
        <v>586</v>
      </c>
    </row>
    <row r="507" spans="1:1" x14ac:dyDescent="0.25">
      <c r="A507" t="s">
        <v>825</v>
      </c>
    </row>
    <row r="508" spans="1:1" x14ac:dyDescent="0.25">
      <c r="A508" t="s">
        <v>826</v>
      </c>
    </row>
    <row r="509" spans="1:1" x14ac:dyDescent="0.25">
      <c r="A509" t="s">
        <v>589</v>
      </c>
    </row>
    <row r="510" spans="1:1" x14ac:dyDescent="0.25">
      <c r="A510" t="s">
        <v>590</v>
      </c>
    </row>
    <row r="512" spans="1:1" x14ac:dyDescent="0.25">
      <c r="A512" t="s">
        <v>827</v>
      </c>
    </row>
    <row r="513" spans="1:1" x14ac:dyDescent="0.25">
      <c r="A513" t="s">
        <v>828</v>
      </c>
    </row>
    <row r="514" spans="1:1" x14ac:dyDescent="0.25">
      <c r="A514" t="s">
        <v>829</v>
      </c>
    </row>
    <row r="515" spans="1:1" x14ac:dyDescent="0.25">
      <c r="A515" t="s">
        <v>830</v>
      </c>
    </row>
    <row r="516" spans="1:1" x14ac:dyDescent="0.25">
      <c r="A516" t="s">
        <v>831</v>
      </c>
    </row>
    <row r="517" spans="1:1" x14ac:dyDescent="0.25">
      <c r="A517" t="s">
        <v>832</v>
      </c>
    </row>
    <row r="518" spans="1:1" x14ac:dyDescent="0.25">
      <c r="A518" t="s">
        <v>833</v>
      </c>
    </row>
    <row r="519" spans="1:1" x14ac:dyDescent="0.25">
      <c r="A519" t="s">
        <v>834</v>
      </c>
    </row>
    <row r="520" spans="1:1" x14ac:dyDescent="0.25">
      <c r="A520" t="s">
        <v>835</v>
      </c>
    </row>
    <row r="521" spans="1:1" x14ac:dyDescent="0.25">
      <c r="A521" t="s">
        <v>836</v>
      </c>
    </row>
    <row r="522" spans="1:1" x14ac:dyDescent="0.25">
      <c r="A522" t="s">
        <v>837</v>
      </c>
    </row>
    <row r="523" spans="1:1" x14ac:dyDescent="0.25">
      <c r="A523" t="s">
        <v>838</v>
      </c>
    </row>
    <row r="524" spans="1:1" x14ac:dyDescent="0.25">
      <c r="A524" t="s">
        <v>839</v>
      </c>
    </row>
    <row r="525" spans="1:1" x14ac:dyDescent="0.25">
      <c r="A525" t="s">
        <v>541</v>
      </c>
    </row>
    <row r="526" spans="1:1" x14ac:dyDescent="0.25">
      <c r="A526" t="s">
        <v>646</v>
      </c>
    </row>
    <row r="527" spans="1:1" x14ac:dyDescent="0.25">
      <c r="A527" t="s">
        <v>840</v>
      </c>
    </row>
    <row r="528" spans="1:1" x14ac:dyDescent="0.25">
      <c r="A528" t="s">
        <v>841</v>
      </c>
    </row>
    <row r="529" spans="1:1" x14ac:dyDescent="0.25">
      <c r="A529" t="s">
        <v>842</v>
      </c>
    </row>
    <row r="530" spans="1:1" x14ac:dyDescent="0.25">
      <c r="A530" t="s">
        <v>843</v>
      </c>
    </row>
    <row r="531" spans="1:1" x14ac:dyDescent="0.25">
      <c r="A531" t="s">
        <v>558</v>
      </c>
    </row>
    <row r="532" spans="1:1" x14ac:dyDescent="0.25">
      <c r="A532" t="s">
        <v>544</v>
      </c>
    </row>
    <row r="534" spans="1:1" x14ac:dyDescent="0.25">
      <c r="A534" t="s">
        <v>844</v>
      </c>
    </row>
    <row r="535" spans="1:1" x14ac:dyDescent="0.25">
      <c r="A535" t="s">
        <v>845</v>
      </c>
    </row>
    <row r="536" spans="1:1" x14ac:dyDescent="0.25">
      <c r="A536" t="s">
        <v>846</v>
      </c>
    </row>
    <row r="537" spans="1:1" x14ac:dyDescent="0.25">
      <c r="A537" t="s">
        <v>847</v>
      </c>
    </row>
    <row r="538" spans="1:1" x14ac:dyDescent="0.25">
      <c r="A538" t="s">
        <v>848</v>
      </c>
    </row>
    <row r="539" spans="1:1" x14ac:dyDescent="0.25">
      <c r="A539" t="s">
        <v>849</v>
      </c>
    </row>
    <row r="540" spans="1:1" x14ac:dyDescent="0.25">
      <c r="A540" t="s">
        <v>850</v>
      </c>
    </row>
    <row r="541" spans="1:1" x14ac:dyDescent="0.25">
      <c r="A541" t="s">
        <v>851</v>
      </c>
    </row>
    <row r="543" spans="1:1" x14ac:dyDescent="0.25">
      <c r="A543" t="s">
        <v>852</v>
      </c>
    </row>
    <row r="544" spans="1:1" x14ac:dyDescent="0.25">
      <c r="A544" t="s">
        <v>594</v>
      </c>
    </row>
    <row r="545" spans="1:1" x14ac:dyDescent="0.25">
      <c r="A545" t="s">
        <v>633</v>
      </c>
    </row>
    <row r="546" spans="1:1" x14ac:dyDescent="0.25">
      <c r="A546" t="s">
        <v>595</v>
      </c>
    </row>
    <row r="547" spans="1:1" x14ac:dyDescent="0.25">
      <c r="A547" t="s">
        <v>853</v>
      </c>
    </row>
    <row r="548" spans="1:1" x14ac:dyDescent="0.25">
      <c r="A548" t="s">
        <v>854</v>
      </c>
    </row>
    <row r="550" spans="1:1" x14ac:dyDescent="0.25">
      <c r="A550" t="s">
        <v>855</v>
      </c>
    </row>
    <row r="551" spans="1:1" x14ac:dyDescent="0.25">
      <c r="A551" t="s">
        <v>856</v>
      </c>
    </row>
    <row r="552" spans="1:1" x14ac:dyDescent="0.25">
      <c r="A552" t="s">
        <v>857</v>
      </c>
    </row>
    <row r="554" spans="1:1" x14ac:dyDescent="0.25">
      <c r="A554" t="s">
        <v>858</v>
      </c>
    </row>
    <row r="555" spans="1:1" x14ac:dyDescent="0.25">
      <c r="A555" t="s">
        <v>859</v>
      </c>
    </row>
    <row r="556" spans="1:1" x14ac:dyDescent="0.25">
      <c r="A556" t="s">
        <v>860</v>
      </c>
    </row>
    <row r="557" spans="1:1" x14ac:dyDescent="0.25">
      <c r="A557" t="s">
        <v>861</v>
      </c>
    </row>
    <row r="558" spans="1:1" x14ac:dyDescent="0.25">
      <c r="A558" t="s">
        <v>862</v>
      </c>
    </row>
    <row r="559" spans="1:1" x14ac:dyDescent="0.25">
      <c r="A559" t="s">
        <v>646</v>
      </c>
    </row>
    <row r="560" spans="1:1" x14ac:dyDescent="0.25">
      <c r="A560" t="s">
        <v>863</v>
      </c>
    </row>
    <row r="561" spans="1:1" x14ac:dyDescent="0.25">
      <c r="A561" t="s">
        <v>864</v>
      </c>
    </row>
    <row r="562" spans="1:1" x14ac:dyDescent="0.25">
      <c r="A562" t="s">
        <v>865</v>
      </c>
    </row>
    <row r="563" spans="1:1" x14ac:dyDescent="0.25">
      <c r="A563" t="s">
        <v>866</v>
      </c>
    </row>
    <row r="564" spans="1:1" x14ac:dyDescent="0.25">
      <c r="A564" t="s">
        <v>867</v>
      </c>
    </row>
    <row r="565" spans="1:1" x14ac:dyDescent="0.25">
      <c r="A565" t="s">
        <v>835</v>
      </c>
    </row>
    <row r="566" spans="1:1" x14ac:dyDescent="0.25">
      <c r="A566" t="s">
        <v>868</v>
      </c>
    </row>
    <row r="567" spans="1:1" x14ac:dyDescent="0.25">
      <c r="A567" t="s">
        <v>869</v>
      </c>
    </row>
    <row r="568" spans="1:1" x14ac:dyDescent="0.25">
      <c r="A568" t="s">
        <v>870</v>
      </c>
    </row>
    <row r="569" spans="1:1" x14ac:dyDescent="0.25">
      <c r="A569" t="s">
        <v>541</v>
      </c>
    </row>
    <row r="570" spans="1:1" x14ac:dyDescent="0.25">
      <c r="A570" t="s">
        <v>558</v>
      </c>
    </row>
    <row r="572" spans="1:1" x14ac:dyDescent="0.25">
      <c r="A572" t="s">
        <v>871</v>
      </c>
    </row>
    <row r="573" spans="1:1" x14ac:dyDescent="0.25">
      <c r="A573" t="s">
        <v>872</v>
      </c>
    </row>
    <row r="574" spans="1:1" x14ac:dyDescent="0.25">
      <c r="A574" t="s">
        <v>873</v>
      </c>
    </row>
    <row r="575" spans="1:1" x14ac:dyDescent="0.25">
      <c r="A575" t="s">
        <v>874</v>
      </c>
    </row>
    <row r="576" spans="1:1" x14ac:dyDescent="0.25">
      <c r="A576" t="s">
        <v>875</v>
      </c>
    </row>
    <row r="577" spans="1:1" x14ac:dyDescent="0.25">
      <c r="A577" t="s">
        <v>876</v>
      </c>
    </row>
    <row r="578" spans="1:1" x14ac:dyDescent="0.25">
      <c r="A578" t="s">
        <v>877</v>
      </c>
    </row>
    <row r="579" spans="1:1" x14ac:dyDescent="0.25">
      <c r="A579" t="s">
        <v>878</v>
      </c>
    </row>
    <row r="581" spans="1:1" x14ac:dyDescent="0.25">
      <c r="A581" t="s">
        <v>879</v>
      </c>
    </row>
    <row r="582" spans="1:1" x14ac:dyDescent="0.25">
      <c r="A582" t="s">
        <v>880</v>
      </c>
    </row>
    <row r="583" spans="1:1" x14ac:dyDescent="0.25">
      <c r="A583" t="s">
        <v>881</v>
      </c>
    </row>
    <row r="584" spans="1:1" x14ac:dyDescent="0.25">
      <c r="A584" t="s">
        <v>882</v>
      </c>
    </row>
    <row r="585" spans="1:1" x14ac:dyDescent="0.25">
      <c r="A585" t="s">
        <v>883</v>
      </c>
    </row>
    <row r="586" spans="1:1" x14ac:dyDescent="0.25">
      <c r="A586" t="s">
        <v>884</v>
      </c>
    </row>
    <row r="587" spans="1:1" x14ac:dyDescent="0.25">
      <c r="A587" t="s">
        <v>885</v>
      </c>
    </row>
    <row r="588" spans="1:1" x14ac:dyDescent="0.25">
      <c r="A588" t="s">
        <v>886</v>
      </c>
    </row>
    <row r="589" spans="1:1" x14ac:dyDescent="0.25">
      <c r="A589" t="s">
        <v>887</v>
      </c>
    </row>
    <row r="590" spans="1:1" x14ac:dyDescent="0.25">
      <c r="A590" t="s">
        <v>888</v>
      </c>
    </row>
    <row r="592" spans="1:1" x14ac:dyDescent="0.25">
      <c r="A592" t="s">
        <v>889</v>
      </c>
    </row>
    <row r="593" spans="1:1" x14ac:dyDescent="0.25">
      <c r="A593" t="s">
        <v>890</v>
      </c>
    </row>
    <row r="594" spans="1:1" x14ac:dyDescent="0.25">
      <c r="A594" t="s">
        <v>891</v>
      </c>
    </row>
    <row r="595" spans="1:1" x14ac:dyDescent="0.25">
      <c r="A595" t="s">
        <v>892</v>
      </c>
    </row>
    <row r="596" spans="1:1" x14ac:dyDescent="0.25">
      <c r="A596" t="s">
        <v>893</v>
      </c>
    </row>
    <row r="597" spans="1:1" x14ac:dyDescent="0.25">
      <c r="A597" t="s">
        <v>894</v>
      </c>
    </row>
    <row r="598" spans="1:1" x14ac:dyDescent="0.25">
      <c r="A598" t="s">
        <v>558</v>
      </c>
    </row>
    <row r="599" spans="1:1" x14ac:dyDescent="0.25">
      <c r="A599" t="s">
        <v>895</v>
      </c>
    </row>
    <row r="601" spans="1:1" x14ac:dyDescent="0.25">
      <c r="A601" t="s">
        <v>896</v>
      </c>
    </row>
    <row r="602" spans="1:1" x14ac:dyDescent="0.25">
      <c r="A602" t="s">
        <v>897</v>
      </c>
    </row>
    <row r="603" spans="1:1" x14ac:dyDescent="0.25">
      <c r="A603" t="s">
        <v>898</v>
      </c>
    </row>
    <row r="604" spans="1:1" x14ac:dyDescent="0.25">
      <c r="A604" t="s">
        <v>899</v>
      </c>
    </row>
    <row r="605" spans="1:1" x14ac:dyDescent="0.25">
      <c r="A605" t="s">
        <v>900</v>
      </c>
    </row>
    <row r="607" spans="1:1" x14ac:dyDescent="0.25">
      <c r="A607" t="s">
        <v>901</v>
      </c>
    </row>
    <row r="608" spans="1:1" x14ac:dyDescent="0.25">
      <c r="A608" t="s">
        <v>902</v>
      </c>
    </row>
    <row r="609" spans="1:1" x14ac:dyDescent="0.25">
      <c r="A609" t="s">
        <v>903</v>
      </c>
    </row>
    <row r="611" spans="1:1" x14ac:dyDescent="0.25">
      <c r="A611" t="s">
        <v>904</v>
      </c>
    </row>
    <row r="612" spans="1:1" x14ac:dyDescent="0.25">
      <c r="A612" t="s">
        <v>905</v>
      </c>
    </row>
    <row r="613" spans="1:1" x14ac:dyDescent="0.25">
      <c r="A613" t="s">
        <v>906</v>
      </c>
    </row>
    <row r="614" spans="1:1" x14ac:dyDescent="0.25">
      <c r="A614" t="s">
        <v>907</v>
      </c>
    </row>
    <row r="615" spans="1:1" x14ac:dyDescent="0.25">
      <c r="A615" t="s">
        <v>908</v>
      </c>
    </row>
    <row r="616" spans="1:1" x14ac:dyDescent="0.25">
      <c r="A616" t="s">
        <v>909</v>
      </c>
    </row>
    <row r="617" spans="1:1" x14ac:dyDescent="0.25">
      <c r="A617" t="s">
        <v>910</v>
      </c>
    </row>
    <row r="618" spans="1:1" x14ac:dyDescent="0.25">
      <c r="A618" t="s">
        <v>911</v>
      </c>
    </row>
    <row r="619" spans="1:1" x14ac:dyDescent="0.25">
      <c r="A619" t="s">
        <v>912</v>
      </c>
    </row>
    <row r="620" spans="1:1" x14ac:dyDescent="0.25">
      <c r="A620" t="s">
        <v>913</v>
      </c>
    </row>
    <row r="621" spans="1:1" x14ac:dyDescent="0.25">
      <c r="A621" t="s">
        <v>914</v>
      </c>
    </row>
    <row r="622" spans="1:1" x14ac:dyDescent="0.25">
      <c r="A622" t="s">
        <v>915</v>
      </c>
    </row>
    <row r="624" spans="1:1" x14ac:dyDescent="0.25">
      <c r="A624" t="s">
        <v>916</v>
      </c>
    </row>
    <row r="625" spans="1:1" x14ac:dyDescent="0.25">
      <c r="A625" t="s">
        <v>917</v>
      </c>
    </row>
    <row r="626" spans="1:1" x14ac:dyDescent="0.25">
      <c r="A626" t="s">
        <v>918</v>
      </c>
    </row>
    <row r="627" spans="1:1" x14ac:dyDescent="0.25">
      <c r="A627" t="s">
        <v>919</v>
      </c>
    </row>
    <row r="628" spans="1:1" x14ac:dyDescent="0.25">
      <c r="A628" t="s">
        <v>920</v>
      </c>
    </row>
    <row r="629" spans="1:1" x14ac:dyDescent="0.25">
      <c r="A629" t="s">
        <v>921</v>
      </c>
    </row>
    <row r="630" spans="1:1" x14ac:dyDescent="0.25">
      <c r="A630" t="s">
        <v>922</v>
      </c>
    </row>
    <row r="631" spans="1:1" x14ac:dyDescent="0.25">
      <c r="A631" t="s">
        <v>923</v>
      </c>
    </row>
    <row r="632" spans="1:1" x14ac:dyDescent="0.25">
      <c r="A632" t="s">
        <v>924</v>
      </c>
    </row>
    <row r="633" spans="1:1" x14ac:dyDescent="0.25">
      <c r="A633" t="s">
        <v>925</v>
      </c>
    </row>
    <row r="634" spans="1:1" x14ac:dyDescent="0.25">
      <c r="A634" t="s">
        <v>926</v>
      </c>
    </row>
    <row r="635" spans="1:1" x14ac:dyDescent="0.25">
      <c r="A635" t="s">
        <v>927</v>
      </c>
    </row>
    <row r="636" spans="1:1" x14ac:dyDescent="0.25">
      <c r="A636" t="s">
        <v>928</v>
      </c>
    </row>
    <row r="637" spans="1:1" x14ac:dyDescent="0.25">
      <c r="A637" t="s">
        <v>929</v>
      </c>
    </row>
    <row r="638" spans="1:1" x14ac:dyDescent="0.25">
      <c r="A638" t="s">
        <v>930</v>
      </c>
    </row>
    <row r="639" spans="1:1" x14ac:dyDescent="0.25">
      <c r="A639" t="s">
        <v>931</v>
      </c>
    </row>
    <row r="640" spans="1:1" x14ac:dyDescent="0.25">
      <c r="A640" t="s">
        <v>932</v>
      </c>
    </row>
    <row r="641" spans="1:1" x14ac:dyDescent="0.25">
      <c r="A641" t="s">
        <v>920</v>
      </c>
    </row>
    <row r="642" spans="1:1" x14ac:dyDescent="0.25">
      <c r="A642" t="s">
        <v>933</v>
      </c>
    </row>
    <row r="643" spans="1:1" x14ac:dyDescent="0.25">
      <c r="A643" t="s">
        <v>922</v>
      </c>
    </row>
    <row r="644" spans="1:1" x14ac:dyDescent="0.25">
      <c r="A644" t="s">
        <v>923</v>
      </c>
    </row>
    <row r="645" spans="1:1" x14ac:dyDescent="0.25">
      <c r="A645" t="s">
        <v>924</v>
      </c>
    </row>
    <row r="646" spans="1:1" x14ac:dyDescent="0.25">
      <c r="A646" t="s">
        <v>934</v>
      </c>
    </row>
    <row r="647" spans="1:1" x14ac:dyDescent="0.25">
      <c r="A647" t="s">
        <v>926</v>
      </c>
    </row>
    <row r="648" spans="1:1" x14ac:dyDescent="0.25">
      <c r="A648" t="s">
        <v>935</v>
      </c>
    </row>
    <row r="649" spans="1:1" x14ac:dyDescent="0.25">
      <c r="A649" t="s">
        <v>928</v>
      </c>
    </row>
    <row r="650" spans="1:1" x14ac:dyDescent="0.25">
      <c r="A650" t="s">
        <v>936</v>
      </c>
    </row>
    <row r="651" spans="1:1" x14ac:dyDescent="0.25">
      <c r="A651" t="s">
        <v>930</v>
      </c>
    </row>
    <row r="652" spans="1:1" x14ac:dyDescent="0.25">
      <c r="A652" t="s">
        <v>558</v>
      </c>
    </row>
    <row r="654" spans="1:1" x14ac:dyDescent="0.25">
      <c r="A654" t="s">
        <v>937</v>
      </c>
    </row>
    <row r="655" spans="1:1" x14ac:dyDescent="0.25">
      <c r="A655" t="s">
        <v>938</v>
      </c>
    </row>
    <row r="656" spans="1:1" x14ac:dyDescent="0.25">
      <c r="A656" t="s">
        <v>939</v>
      </c>
    </row>
    <row r="657" spans="1:1" x14ac:dyDescent="0.25">
      <c r="A657" t="s">
        <v>940</v>
      </c>
    </row>
    <row r="658" spans="1:1" x14ac:dyDescent="0.25">
      <c r="A658" t="s">
        <v>941</v>
      </c>
    </row>
    <row r="659" spans="1:1" x14ac:dyDescent="0.25">
      <c r="A659" t="s">
        <v>942</v>
      </c>
    </row>
    <row r="660" spans="1:1" x14ac:dyDescent="0.25">
      <c r="A660" t="s">
        <v>943</v>
      </c>
    </row>
    <row r="661" spans="1:1" x14ac:dyDescent="0.25">
      <c r="A661" t="s">
        <v>944</v>
      </c>
    </row>
    <row r="662" spans="1:1" x14ac:dyDescent="0.25">
      <c r="A662" t="s">
        <v>945</v>
      </c>
    </row>
    <row r="663" spans="1:1" x14ac:dyDescent="0.25">
      <c r="A663" t="s">
        <v>946</v>
      </c>
    </row>
    <row r="665" spans="1:1" x14ac:dyDescent="0.25">
      <c r="A665" t="s">
        <v>947</v>
      </c>
    </row>
    <row r="666" spans="1:1" x14ac:dyDescent="0.25">
      <c r="A666" t="s">
        <v>948</v>
      </c>
    </row>
    <row r="667" spans="1:1" x14ac:dyDescent="0.25">
      <c r="A667" t="s">
        <v>949</v>
      </c>
    </row>
    <row r="668" spans="1:1" x14ac:dyDescent="0.25">
      <c r="A668" t="s">
        <v>950</v>
      </c>
    </row>
    <row r="669" spans="1:1" x14ac:dyDescent="0.25">
      <c r="A669" t="s">
        <v>951</v>
      </c>
    </row>
    <row r="670" spans="1:1" x14ac:dyDescent="0.25">
      <c r="A670" t="s">
        <v>952</v>
      </c>
    </row>
    <row r="671" spans="1:1" x14ac:dyDescent="0.25">
      <c r="A671" t="s">
        <v>953</v>
      </c>
    </row>
    <row r="672" spans="1:1" x14ac:dyDescent="0.25">
      <c r="A672" t="s">
        <v>954</v>
      </c>
    </row>
    <row r="673" spans="1:1" x14ac:dyDescent="0.25">
      <c r="A673" t="s">
        <v>590</v>
      </c>
    </row>
    <row r="675" spans="1:1" x14ac:dyDescent="0.25">
      <c r="A675" t="s">
        <v>955</v>
      </c>
    </row>
    <row r="676" spans="1:1" x14ac:dyDescent="0.25">
      <c r="A676" t="s">
        <v>956</v>
      </c>
    </row>
    <row r="677" spans="1:1" x14ac:dyDescent="0.25">
      <c r="A677" t="s">
        <v>957</v>
      </c>
    </row>
    <row r="678" spans="1:1" x14ac:dyDescent="0.25">
      <c r="A678" t="s">
        <v>958</v>
      </c>
    </row>
    <row r="679" spans="1:1" x14ac:dyDescent="0.25">
      <c r="A679" t="s">
        <v>959</v>
      </c>
    </row>
    <row r="680" spans="1:1" x14ac:dyDescent="0.25">
      <c r="A680" t="s">
        <v>960</v>
      </c>
    </row>
    <row r="681" spans="1:1" x14ac:dyDescent="0.25">
      <c r="A681" t="s">
        <v>595</v>
      </c>
    </row>
    <row r="682" spans="1:1" x14ac:dyDescent="0.25">
      <c r="A682" t="s">
        <v>744</v>
      </c>
    </row>
    <row r="683" spans="1:1" x14ac:dyDescent="0.25">
      <c r="A683" t="s">
        <v>750</v>
      </c>
    </row>
    <row r="684" spans="1:1" x14ac:dyDescent="0.25">
      <c r="A684" t="s">
        <v>611</v>
      </c>
    </row>
    <row r="685" spans="1:1" x14ac:dyDescent="0.25">
      <c r="A685" t="s">
        <v>612</v>
      </c>
    </row>
    <row r="686" spans="1:1" x14ac:dyDescent="0.25">
      <c r="A686" t="s">
        <v>961</v>
      </c>
    </row>
    <row r="687" spans="1:1" x14ac:dyDescent="0.25">
      <c r="A687" t="s">
        <v>962</v>
      </c>
    </row>
    <row r="688" spans="1:1" x14ac:dyDescent="0.25">
      <c r="A688" t="s">
        <v>558</v>
      </c>
    </row>
    <row r="689" spans="1:1" x14ac:dyDescent="0.25">
      <c r="A689" t="s">
        <v>963</v>
      </c>
    </row>
    <row r="690" spans="1:1" x14ac:dyDescent="0.25">
      <c r="A690" t="s">
        <v>641</v>
      </c>
    </row>
    <row r="691" spans="1:1" x14ac:dyDescent="0.25">
      <c r="A691" t="s">
        <v>761</v>
      </c>
    </row>
    <row r="692" spans="1:1" x14ac:dyDescent="0.25">
      <c r="A692" t="s">
        <v>964</v>
      </c>
    </row>
    <row r="693" spans="1:1" x14ac:dyDescent="0.25">
      <c r="A693" t="s">
        <v>965</v>
      </c>
    </row>
    <row r="694" spans="1:1" x14ac:dyDescent="0.25">
      <c r="A694" t="s">
        <v>966</v>
      </c>
    </row>
    <row r="695" spans="1:1" x14ac:dyDescent="0.25">
      <c r="A695" t="s">
        <v>967</v>
      </c>
    </row>
    <row r="696" spans="1:1" x14ac:dyDescent="0.25">
      <c r="A696" t="s">
        <v>968</v>
      </c>
    </row>
    <row r="697" spans="1:1" x14ac:dyDescent="0.25">
      <c r="A697" t="s">
        <v>969</v>
      </c>
    </row>
    <row r="698" spans="1:1" x14ac:dyDescent="0.25">
      <c r="A698" t="s">
        <v>970</v>
      </c>
    </row>
    <row r="699" spans="1:1" x14ac:dyDescent="0.25">
      <c r="A699" t="s">
        <v>590</v>
      </c>
    </row>
    <row r="701" spans="1:1" x14ac:dyDescent="0.25">
      <c r="A701" t="s">
        <v>971</v>
      </c>
    </row>
    <row r="702" spans="1:1" x14ac:dyDescent="0.25">
      <c r="A702" t="s">
        <v>972</v>
      </c>
    </row>
    <row r="703" spans="1:1" x14ac:dyDescent="0.25">
      <c r="A703" t="s">
        <v>973</v>
      </c>
    </row>
    <row r="704" spans="1:1" x14ac:dyDescent="0.25">
      <c r="A704" t="s">
        <v>974</v>
      </c>
    </row>
    <row r="705" spans="1:1" x14ac:dyDescent="0.25">
      <c r="A705" t="s">
        <v>975</v>
      </c>
    </row>
    <row r="706" spans="1:1" x14ac:dyDescent="0.25">
      <c r="A706" t="s">
        <v>976</v>
      </c>
    </row>
    <row r="707" spans="1:1" x14ac:dyDescent="0.25">
      <c r="A707" t="s">
        <v>977</v>
      </c>
    </row>
    <row r="708" spans="1:1" x14ac:dyDescent="0.25">
      <c r="A708" t="s">
        <v>738</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48</vt:i4>
      </vt:variant>
    </vt:vector>
  </HeadingPairs>
  <TitlesOfParts>
    <vt:vector size="48" baseType="lpstr">
      <vt:lpstr>DEVELOPER</vt:lpstr>
      <vt:lpstr>ACKNOWLEDGEMENT</vt:lpstr>
      <vt:lpstr>Manager_Dashboard</vt:lpstr>
      <vt:lpstr>Account_Opening</vt:lpstr>
      <vt:lpstr>Agent01_Savings</vt:lpstr>
      <vt:lpstr>Agent01_Withdrawals</vt:lpstr>
      <vt:lpstr>Agent01_Loans</vt:lpstr>
      <vt:lpstr>Agent02_Savings</vt:lpstr>
      <vt:lpstr>Agent02_Withdrawals</vt:lpstr>
      <vt:lpstr>Agent02_Loans</vt:lpstr>
      <vt:lpstr>Agent03_Savings</vt:lpstr>
      <vt:lpstr>Agent03_Withdrawals</vt:lpstr>
      <vt:lpstr>Agent03_Loans</vt:lpstr>
      <vt:lpstr>Agent04_Savings</vt:lpstr>
      <vt:lpstr>Agent04_Withdrawals</vt:lpstr>
      <vt:lpstr>Agent04_Loans</vt:lpstr>
      <vt:lpstr>Agent05_Savings</vt:lpstr>
      <vt:lpstr>Agent05_Withdrawals</vt:lpstr>
      <vt:lpstr>Agent05_Loans</vt:lpstr>
      <vt:lpstr>Agent06_Savings</vt:lpstr>
      <vt:lpstr>Agent06_Withdrawals</vt:lpstr>
      <vt:lpstr>Agent06_Loans</vt:lpstr>
      <vt:lpstr>Agent07_Savings</vt:lpstr>
      <vt:lpstr>Agent07_Withdrawals</vt:lpstr>
      <vt:lpstr>Agent07_Loans</vt:lpstr>
      <vt:lpstr>Agent08_Savings</vt:lpstr>
      <vt:lpstr>Agent08_Withdrawals</vt:lpstr>
      <vt:lpstr>Agent08_Loans</vt:lpstr>
      <vt:lpstr>Agent09_Savings</vt:lpstr>
      <vt:lpstr>Agent09_Withdrawals</vt:lpstr>
      <vt:lpstr>Agent09_Loans</vt:lpstr>
      <vt:lpstr>Agent10_Savings</vt:lpstr>
      <vt:lpstr>Agent10_Withdrawals</vt:lpstr>
      <vt:lpstr>Agent10_Loans</vt:lpstr>
      <vt:lpstr>DB_Customers</vt:lpstr>
      <vt:lpstr>DB_Savings</vt:lpstr>
      <vt:lpstr>DB_Withdrawals</vt:lpstr>
      <vt:lpstr>DB_Loans</vt:lpstr>
      <vt:lpstr>DB_Corrections</vt:lpstr>
      <vt:lpstr>Daily_Balancing</vt:lpstr>
      <vt:lpstr>Weekly_Balancing</vt:lpstr>
      <vt:lpstr>Monthly_Balancing</vt:lpstr>
      <vt:lpstr>MASTER_DATABASE</vt:lpstr>
      <vt:lpstr>CLOUD_SYNC</vt:lpstr>
      <vt:lpstr>DB_Agents</vt:lpstr>
      <vt:lpstr>System_Config</vt:lpstr>
      <vt:lpstr>Audit_Log</vt:lpstr>
      <vt:lpstr>VBA_Macros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SAMICIOUS MICROFINANCE V2</dc:title>
  <dc:subject/>
  <dc:creator>SAMICIOUS MICROFINANCE</dc:creator>
  <dc:description/>
  <cp:lastModifiedBy>FRANK ABBAN</cp:lastModifiedBy>
  <cp:revision>5</cp:revision>
  <dcterms:created xsi:type="dcterms:W3CDTF">2026-04-13T03:15:26Z</dcterms:created>
  <dcterms:modified xsi:type="dcterms:W3CDTF">2026-04-19T05:57:40Z</dcterms:modified>
  <dc:language>en-US</dc:language>
</cp:coreProperties>
</file>