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🏠 DASHBOARD" sheetId="1" state="visible" r:id="rId1"/>
    <sheet xmlns:r="http://schemas.openxmlformats.org/officeDocument/2006/relationships" name="DATABASE" sheetId="2" state="visible" r:id="rId2"/>
    <sheet xmlns:r="http://schemas.openxmlformats.org/officeDocument/2006/relationships" name="NEW ACCOUNT" sheetId="3" state="visible" r:id="rId3"/>
    <sheet xmlns:r="http://schemas.openxmlformats.org/officeDocument/2006/relationships" name="SAVINGS" sheetId="4" state="visible" r:id="rId4"/>
    <sheet xmlns:r="http://schemas.openxmlformats.org/officeDocument/2006/relationships" name="WITHDRAWALS" sheetId="5" state="visible" r:id="rId5"/>
    <sheet xmlns:r="http://schemas.openxmlformats.org/officeDocument/2006/relationships" name="LOANS" sheetId="6" state="visible" r:id="rId6"/>
    <sheet xmlns:r="http://schemas.openxmlformats.org/officeDocument/2006/relationships" name="TOPUP" sheetId="7" state="visible" r:id="rId7"/>
    <sheet xmlns:r="http://schemas.openxmlformats.org/officeDocument/2006/relationships" name="REPOR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1"/>
    </font>
    <font>
      <name val="Arial"/>
      <b val="1"/>
      <color rgb="00FFFFFF"/>
      <sz val="9"/>
    </font>
    <font>
      <name val="Arial"/>
      <b val="1"/>
      <color rgb="001F3864"/>
      <sz val="18"/>
    </font>
    <font>
      <name val="Arial"/>
      <b val="1"/>
      <color rgb="00FFFFFF"/>
      <sz val="10"/>
    </font>
    <font>
      <name val="Arial"/>
      <i val="1"/>
      <color rgb="001F3864"/>
      <sz val="10"/>
    </font>
    <font>
      <name val="Arial"/>
      <b val="1"/>
      <color rgb="00FFFFFF"/>
      <sz val="13"/>
    </font>
    <font>
      <name val="Arial"/>
      <sz val="10"/>
    </font>
    <font>
      <name val="Arial"/>
      <b val="1"/>
      <color rgb="00FFFFFF"/>
      <sz val="14"/>
    </font>
    <font>
      <name val="Arial"/>
      <i val="1"/>
      <color rgb="002E75B6"/>
      <sz val="9"/>
    </font>
    <font>
      <name val="Arial"/>
      <b val="1"/>
      <color rgb="001F3864"/>
      <sz val="10"/>
    </font>
    <font>
      <name val="Arial"/>
      <i val="1"/>
      <color rgb="00C55A11"/>
      <sz val="9"/>
    </font>
    <font>
      <name val="Arial"/>
      <b val="1"/>
      <color rgb="00375623"/>
      <sz val="10"/>
    </font>
    <font>
      <name val="Arial"/>
      <b val="1"/>
      <color rgb="001F5C6B"/>
      <sz val="10"/>
    </font>
    <font>
      <name val="Arial"/>
      <b val="1"/>
      <color rgb="007030A0"/>
      <sz val="10"/>
    </font>
    <font>
      <name val="Arial"/>
      <b val="1"/>
      <color rgb="001F3864"/>
      <sz val="11"/>
    </font>
    <font>
      <name val="Arial"/>
      <sz val="11"/>
    </font>
    <font>
      <name val="Arial"/>
      <i val="1"/>
      <color rgb="00375623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C55A11"/>
      </patternFill>
    </fill>
    <fill>
      <patternFill patternType="solid">
        <fgColor rgb="001F5C6B"/>
      </patternFill>
    </fill>
    <fill>
      <patternFill patternType="solid">
        <fgColor rgb="007030A0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FFFF99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4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7" fillId="2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/>
    </xf>
    <xf numFmtId="4" fontId="8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4" fontId="8" fillId="9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right" vertical="center"/>
    </xf>
    <xf numFmtId="0" fontId="8" fillId="10" borderId="1" applyAlignment="1" pivotButton="0" quotePrefix="0" xfId="0">
      <alignment horizontal="left" vertical="center"/>
    </xf>
    <xf numFmtId="164" fontId="8" fillId="10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wrapText="1"/>
    </xf>
    <xf numFmtId="0" fontId="13" fillId="0" borderId="0" applyAlignment="1" pivotButton="0" quotePrefix="0" xfId="0">
      <alignment horizontal="center"/>
    </xf>
    <xf numFmtId="0" fontId="8" fillId="12" borderId="1" pivotButton="0" quotePrefix="0" xfId="0"/>
    <xf numFmtId="0" fontId="8" fillId="0" borderId="0" pivotButton="0" quotePrefix="0" xfId="0"/>
    <xf numFmtId="0" fontId="8" fillId="8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8" fillId="10" borderId="1" pivotButton="0" quotePrefix="0" xfId="0"/>
    <xf numFmtId="4" fontId="8" fillId="8" borderId="1" pivotButton="0" quotePrefix="0" xfId="0"/>
    <xf numFmtId="164" fontId="8" fillId="8" borderId="1" pivotButton="0" quotePrefix="0" xfId="0"/>
    <xf numFmtId="4" fontId="8" fillId="10" borderId="1" pivotButton="0" quotePrefix="0" xfId="0"/>
    <xf numFmtId="0" fontId="8" fillId="11" borderId="1" pivotButton="0" quotePrefix="0" xfId="0"/>
    <xf numFmtId="4" fontId="8" fillId="11" borderId="1" pivotButton="0" quotePrefix="0" xfId="0"/>
    <xf numFmtId="164" fontId="8" fillId="11" borderId="1" pivotButton="0" quotePrefix="0" xfId="0"/>
    <xf numFmtId="0" fontId="7" fillId="5" borderId="1" applyAlignment="1" pivotButton="0" quotePrefix="0" xfId="0">
      <alignment horizontal="center" vertical="center" wrapText="1"/>
    </xf>
    <xf numFmtId="0" fontId="8" fillId="13" borderId="1" pivotButton="0" quotePrefix="0" xfId="0"/>
    <xf numFmtId="4" fontId="8" fillId="13" borderId="1" pivotButton="0" quotePrefix="0" xfId="0"/>
    <xf numFmtId="164" fontId="8" fillId="13" borderId="1" pivotButton="0" quotePrefix="0" xfId="0"/>
    <xf numFmtId="0" fontId="7" fillId="6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/>
    </xf>
    <xf numFmtId="0" fontId="14" fillId="14" borderId="1" applyAlignment="1" pivotButton="0" quotePrefix="0" xfId="0">
      <alignment horizontal="center"/>
    </xf>
    <xf numFmtId="0" fontId="8" fillId="14" borderId="1" pivotButton="0" quotePrefix="0" xfId="0"/>
    <xf numFmtId="4" fontId="8" fillId="14" borderId="1" pivotButton="0" quotePrefix="0" xfId="0"/>
    <xf numFmtId="164" fontId="8" fillId="14" borderId="1" pivotButton="0" quotePrefix="0" xfId="0"/>
    <xf numFmtId="0" fontId="7" fillId="7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8" fillId="15" borderId="1" pivotButton="0" quotePrefix="0" xfId="0"/>
    <xf numFmtId="4" fontId="8" fillId="15" borderId="1" pivotButton="0" quotePrefix="0" xfId="0"/>
    <xf numFmtId="164" fontId="8" fillId="15" borderId="1" pivotButton="0" quotePrefix="0" xfId="0"/>
    <xf numFmtId="0" fontId="16" fillId="0" borderId="0" applyAlignment="1" pivotButton="0" quotePrefix="0" xfId="0">
      <alignment horizontal="right"/>
    </xf>
    <xf numFmtId="4" fontId="17" fillId="0" borderId="1" pivotButton="0" quotePrefix="0" xfId="0"/>
    <xf numFmtId="0" fontId="1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NEW ACCOUNT!A1" TargetMode="External" Id="rId1"/><Relationship Type="http://schemas.openxmlformats.org/officeDocument/2006/relationships/hyperlink" Target="#SAVINGS!A1" TargetMode="External" Id="rId2"/><Relationship Type="http://schemas.openxmlformats.org/officeDocument/2006/relationships/hyperlink" Target="#WITHDRAWALS!A1" TargetMode="External" Id="rId3"/><Relationship Type="http://schemas.openxmlformats.org/officeDocument/2006/relationships/hyperlink" Target="#LOANS!A1" TargetMode="External" Id="rId4"/><Relationship Type="http://schemas.openxmlformats.org/officeDocument/2006/relationships/hyperlink" Target="#TOPUP!A1" TargetMode="External" Id="rId5"/><Relationship Type="http://schemas.openxmlformats.org/officeDocument/2006/relationships/hyperlink" Target="#DATABASE!A1" TargetMode="External" Id="rId6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3" customWidth="1" min="3" max="3"/>
    <col width="20" customWidth="1" min="4" max="4"/>
    <col width="3" customWidth="1" min="5" max="5"/>
    <col width="20" customWidth="1" min="6" max="6"/>
    <col width="3" customWidth="1" min="7" max="7"/>
    <col width="20" customWidth="1" min="8" max="8"/>
    <col width="3" customWidth="1" min="9" max="9"/>
    <col width="20" customWidth="1" min="10" max="10"/>
  </cols>
  <sheetData>
    <row r="1" ht="40" customHeight="1">
      <c r="A1" s="1" t="inlineStr">
        <is>
          <t>SAMICIOUS MICROFINANCE – ENTERPRISE FINANCIAL SYSTEM</t>
        </is>
      </c>
    </row>
    <row r="2" ht="22" customHeight="1">
      <c r="A2" s="2">
        <f>TEXT(TODAY(),"dddd, mmmm d, yyyy")</f>
        <v/>
      </c>
    </row>
    <row r="4" ht="28" customHeight="1">
      <c r="B4" s="3" t="inlineStr">
        <is>
          <t>TOTAL CUSTOMERS</t>
        </is>
      </c>
      <c r="D4" s="4" t="inlineStr">
        <is>
          <t>TOTAL SAVINGS</t>
        </is>
      </c>
      <c r="F4" s="5" t="inlineStr">
        <is>
          <t>TOTAL WITHDRAWALS</t>
        </is>
      </c>
      <c r="H4" s="6" t="inlineStr">
        <is>
          <t>TOTAL LOANS</t>
        </is>
      </c>
      <c r="J4" s="7" t="inlineStr">
        <is>
          <t>ACTIVE TOP-UPS</t>
        </is>
      </c>
    </row>
    <row r="5" ht="40" customHeight="1">
      <c r="B5" s="8">
        <f>COUNTA(DATABASE!B:B)-1</f>
        <v/>
      </c>
      <c r="D5" s="8">
        <f>IFERROR(SUM(SAVINGS!E:E),0)</f>
        <v/>
      </c>
      <c r="F5" s="8">
        <f>IFERROR(SUM(WITHDRAWALS!E:E),0)</f>
        <v/>
      </c>
      <c r="H5" s="8">
        <f>IFERROR(SUM(LOANS!D:D),0)</f>
        <v/>
      </c>
      <c r="J5" s="8">
        <f>IFERROR(COUNTA(TOPUP!A:A)-1,0)</f>
        <v/>
      </c>
    </row>
    <row r="7" ht="30" customHeight="1">
      <c r="B7" s="9" t="inlineStr">
        <is>
          <t>📋 NEW ACCOUNT</t>
        </is>
      </c>
      <c r="D7" s="9" t="inlineStr">
        <is>
          <t>💰 SAVINGS</t>
        </is>
      </c>
      <c r="F7" s="9" t="inlineStr">
        <is>
          <t>🏧 WITHDRAWALS</t>
        </is>
      </c>
      <c r="H7" s="9" t="inlineStr">
        <is>
          <t>🏦 LOANS</t>
        </is>
      </c>
      <c r="J7" s="9" t="inlineStr">
        <is>
          <t>🔗 LOAN TOP-UP</t>
        </is>
      </c>
    </row>
    <row r="8" ht="30" customHeight="1">
      <c r="B8" s="9" t="inlineStr">
        <is>
          <t>🗄️ DATABASE</t>
        </is>
      </c>
    </row>
    <row r="10">
      <c r="A10" s="10" t="inlineStr">
        <is>
          <t>⚡  FULLY AUTOMATED SYSTEM  –  Enter data in any module and all records, balances, and summaries update instantly.  No Save buttons. No Sync buttons. No manual steps.</t>
        </is>
      </c>
    </row>
  </sheetData>
  <mergeCells count="3">
    <mergeCell ref="A1:J1"/>
    <mergeCell ref="A10:J10"/>
    <mergeCell ref="A2:J2"/>
  </mergeCells>
  <hyperlinks>
    <hyperlink xmlns:r="http://schemas.openxmlformats.org/officeDocument/2006/relationships" ref="B7" r:id="rId1"/>
    <hyperlink xmlns:r="http://schemas.openxmlformats.org/officeDocument/2006/relationships" ref="D7" r:id="rId2"/>
    <hyperlink xmlns:r="http://schemas.openxmlformats.org/officeDocument/2006/relationships" ref="F7" r:id="rId3"/>
    <hyperlink xmlns:r="http://schemas.openxmlformats.org/officeDocument/2006/relationships" ref="H7" r:id="rId4"/>
    <hyperlink xmlns:r="http://schemas.openxmlformats.org/officeDocument/2006/relationships" ref="J7" r:id="rId5"/>
    <hyperlink xmlns:r="http://schemas.openxmlformats.org/officeDocument/2006/relationships" ref="B8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J50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15" customWidth="1" min="3" max="3"/>
    <col width="15" customWidth="1" min="4" max="4"/>
    <col width="18" customWidth="1" min="5" max="5"/>
    <col width="20" customWidth="1" min="6" max="6"/>
    <col width="18" customWidth="1" min="7" max="7"/>
    <col width="15" customWidth="1" min="8" max="8"/>
    <col width="20" customWidth="1" min="9" max="9"/>
    <col width="22" customWidth="1" min="10" max="10"/>
  </cols>
  <sheetData>
    <row r="1" ht="34" customHeight="1">
      <c r="A1" s="11" t="inlineStr">
        <is>
          <t>SAMICIOUS MICROFINANCE – CUSTOMER ACCOUNT DATABASE (Central Source of Truth)</t>
        </is>
      </c>
    </row>
    <row r="2" ht="30" customHeight="1">
      <c r="A2" s="9" t="inlineStr">
        <is>
          <t>Account Number</t>
        </is>
      </c>
      <c r="B2" s="9" t="inlineStr">
        <is>
          <t>Customer Name</t>
        </is>
      </c>
      <c r="C2" s="9" t="inlineStr">
        <is>
          <t>Date of Birth</t>
        </is>
      </c>
      <c r="D2" s="9" t="inlineStr">
        <is>
          <t>Phone Number</t>
        </is>
      </c>
      <c r="E2" s="9" t="inlineStr">
        <is>
          <t>Location</t>
        </is>
      </c>
      <c r="F2" s="9" t="inlineStr">
        <is>
          <t>Occupation</t>
        </is>
      </c>
      <c r="G2" s="9" t="inlineStr">
        <is>
          <t>Assigned Agent</t>
        </is>
      </c>
      <c r="H2" s="9" t="inlineStr">
        <is>
          <t>Date Created</t>
        </is>
      </c>
      <c r="I2" s="9" t="inlineStr">
        <is>
          <t>Total Savings (GHS)</t>
        </is>
      </c>
      <c r="J2" s="9" t="inlineStr">
        <is>
          <t>Current Balance (GHS)</t>
        </is>
      </c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3">
        <f>IFERROR(SUMIF(SAVINGS!$A:$A,DATABASE!A3,SAVINGS!$E:$E),"")</f>
        <v/>
      </c>
      <c r="J3" s="13">
        <f>IFERROR(IF(A3="","",SUMIF(SAVINGS!$A:$A,A3,SAVINGS!$E:$E)-SUMIF(WITHDRAWALS!$A:$A,A3,WITHDRAWALS!$E:$E)),"")</f>
        <v/>
      </c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5">
        <f>IFERROR(SUMIF(SAVINGS!$A:$A,DATABASE!A4,SAVINGS!$E:$E),"")</f>
        <v/>
      </c>
      <c r="J4" s="15">
        <f>IFERROR(IF(A4="","",SUMIF(SAVINGS!$A:$A,A4,SAVINGS!$E:$E)-SUMIF(WITHDRAWALS!$A:$A,A4,WITHDRAWALS!$E:$E)),"")</f>
        <v/>
      </c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3">
        <f>IFERROR(SUMIF(SAVINGS!$A:$A,DATABASE!A5,SAVINGS!$E:$E),"")</f>
        <v/>
      </c>
      <c r="J5" s="13">
        <f>IFERROR(IF(A5="","",SUMIF(SAVINGS!$A:$A,A5,SAVINGS!$E:$E)-SUMIF(WITHDRAWALS!$A:$A,A5,WITHDRAWALS!$E:$E)),"")</f>
        <v/>
      </c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5">
        <f>IFERROR(SUMIF(SAVINGS!$A:$A,DATABASE!A6,SAVINGS!$E:$E),"")</f>
        <v/>
      </c>
      <c r="J6" s="15">
        <f>IFERROR(IF(A6="","",SUMIF(SAVINGS!$A:$A,A6,SAVINGS!$E:$E)-SUMIF(WITHDRAWALS!$A:$A,A6,WITHDRAWALS!$E:$E)),"")</f>
        <v/>
      </c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3">
        <f>IFERROR(SUMIF(SAVINGS!$A:$A,DATABASE!A7,SAVINGS!$E:$E),"")</f>
        <v/>
      </c>
      <c r="J7" s="13">
        <f>IFERROR(IF(A7="","",SUMIF(SAVINGS!$A:$A,A7,SAVINGS!$E:$E)-SUMIF(WITHDRAWALS!$A:$A,A7,WITHDRAWALS!$E:$E)),"")</f>
        <v/>
      </c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5">
        <f>IFERROR(SUMIF(SAVINGS!$A:$A,DATABASE!A8,SAVINGS!$E:$E),"")</f>
        <v/>
      </c>
      <c r="J8" s="15">
        <f>IFERROR(IF(A8="","",SUMIF(SAVINGS!$A:$A,A8,SAVINGS!$E:$E)-SUMIF(WITHDRAWALS!$A:$A,A8,WITHDRAWALS!$E:$E)),"")</f>
        <v/>
      </c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3">
        <f>IFERROR(SUMIF(SAVINGS!$A:$A,DATABASE!A9,SAVINGS!$E:$E),"")</f>
        <v/>
      </c>
      <c r="J9" s="13">
        <f>IFERROR(IF(A9="","",SUMIF(SAVINGS!$A:$A,A9,SAVINGS!$E:$E)-SUMIF(WITHDRAWALS!$A:$A,A9,WITHDRAWALS!$E:$E)),"")</f>
        <v/>
      </c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5">
        <f>IFERROR(SUMIF(SAVINGS!$A:$A,DATABASE!A10,SAVINGS!$E:$E),"")</f>
        <v/>
      </c>
      <c r="J10" s="15">
        <f>IFERROR(IF(A10="","",SUMIF(SAVINGS!$A:$A,A10,SAVINGS!$E:$E)-SUMIF(WITHDRAWALS!$A:$A,A10,WITHDRAWALS!$E:$E)),"")</f>
        <v/>
      </c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3">
        <f>IFERROR(SUMIF(SAVINGS!$A:$A,DATABASE!A11,SAVINGS!$E:$E),"")</f>
        <v/>
      </c>
      <c r="J11" s="13">
        <f>IFERROR(IF(A11="","",SUMIF(SAVINGS!$A:$A,A11,SAVINGS!$E:$E)-SUMIF(WITHDRAWALS!$A:$A,A11,WITHDRAWALS!$E:$E)),"")</f>
        <v/>
      </c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5">
        <f>IFERROR(SUMIF(SAVINGS!$A:$A,DATABASE!A12,SAVINGS!$E:$E),"")</f>
        <v/>
      </c>
      <c r="J12" s="15">
        <f>IFERROR(IF(A12="","",SUMIF(SAVINGS!$A:$A,A12,SAVINGS!$E:$E)-SUMIF(WITHDRAWALS!$A:$A,A12,WITHDRAWALS!$E:$E)),"")</f>
        <v/>
      </c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3">
        <f>IFERROR(SUMIF(SAVINGS!$A:$A,DATABASE!A13,SAVINGS!$E:$E),"")</f>
        <v/>
      </c>
      <c r="J13" s="13">
        <f>IFERROR(IF(A13="","",SUMIF(SAVINGS!$A:$A,A13,SAVINGS!$E:$E)-SUMIF(WITHDRAWALS!$A:$A,A13,WITHDRAWALS!$E:$E)),"")</f>
        <v/>
      </c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5">
        <f>IFERROR(SUMIF(SAVINGS!$A:$A,DATABASE!A14,SAVINGS!$E:$E),"")</f>
        <v/>
      </c>
      <c r="J14" s="15">
        <f>IFERROR(IF(A14="","",SUMIF(SAVINGS!$A:$A,A14,SAVINGS!$E:$E)-SUMIF(WITHDRAWALS!$A:$A,A14,WITHDRAWALS!$E:$E)),"")</f>
        <v/>
      </c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3">
        <f>IFERROR(SUMIF(SAVINGS!$A:$A,DATABASE!A15,SAVINGS!$E:$E),"")</f>
        <v/>
      </c>
      <c r="J15" s="13">
        <f>IFERROR(IF(A15="","",SUMIF(SAVINGS!$A:$A,A15,SAVINGS!$E:$E)-SUMIF(WITHDRAWALS!$A:$A,A15,WITHDRAWALS!$E:$E)),"")</f>
        <v/>
      </c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5">
        <f>IFERROR(SUMIF(SAVINGS!$A:$A,DATABASE!A16,SAVINGS!$E:$E),"")</f>
        <v/>
      </c>
      <c r="J16" s="15">
        <f>IFERROR(IF(A16="","",SUMIF(SAVINGS!$A:$A,A16,SAVINGS!$E:$E)-SUMIF(WITHDRAWALS!$A:$A,A16,WITHDRAWALS!$E:$E)),"")</f>
        <v/>
      </c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3">
        <f>IFERROR(SUMIF(SAVINGS!$A:$A,DATABASE!A17,SAVINGS!$E:$E),"")</f>
        <v/>
      </c>
      <c r="J17" s="13">
        <f>IFERROR(IF(A17="","",SUMIF(SAVINGS!$A:$A,A17,SAVINGS!$E:$E)-SUMIF(WITHDRAWALS!$A:$A,A17,WITHDRAWALS!$E:$E)),"")</f>
        <v/>
      </c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5">
        <f>IFERROR(SUMIF(SAVINGS!$A:$A,DATABASE!A18,SAVINGS!$E:$E),"")</f>
        <v/>
      </c>
      <c r="J18" s="15">
        <f>IFERROR(IF(A18="","",SUMIF(SAVINGS!$A:$A,A18,SAVINGS!$E:$E)-SUMIF(WITHDRAWALS!$A:$A,A18,WITHDRAWALS!$E:$E)),"")</f>
        <v/>
      </c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3">
        <f>IFERROR(SUMIF(SAVINGS!$A:$A,DATABASE!A19,SAVINGS!$E:$E),"")</f>
        <v/>
      </c>
      <c r="J19" s="13">
        <f>IFERROR(IF(A19="","",SUMIF(SAVINGS!$A:$A,A19,SAVINGS!$E:$E)-SUMIF(WITHDRAWALS!$A:$A,A19,WITHDRAWALS!$E:$E)),"")</f>
        <v/>
      </c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5">
        <f>IFERROR(SUMIF(SAVINGS!$A:$A,DATABASE!A20,SAVINGS!$E:$E),"")</f>
        <v/>
      </c>
      <c r="J20" s="15">
        <f>IFERROR(IF(A20="","",SUMIF(SAVINGS!$A:$A,A20,SAVINGS!$E:$E)-SUMIF(WITHDRAWALS!$A:$A,A20,WITHDRAWALS!$E:$E)),"")</f>
        <v/>
      </c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3">
        <f>IFERROR(SUMIF(SAVINGS!$A:$A,DATABASE!A21,SAVINGS!$E:$E),"")</f>
        <v/>
      </c>
      <c r="J21" s="13">
        <f>IFERROR(IF(A21="","",SUMIF(SAVINGS!$A:$A,A21,SAVINGS!$E:$E)-SUMIF(WITHDRAWALS!$A:$A,A21,WITHDRAWALS!$E:$E)),"")</f>
        <v/>
      </c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5">
        <f>IFERROR(SUMIF(SAVINGS!$A:$A,DATABASE!A22,SAVINGS!$E:$E),"")</f>
        <v/>
      </c>
      <c r="J22" s="15">
        <f>IFERROR(IF(A22="","",SUMIF(SAVINGS!$A:$A,A22,SAVINGS!$E:$E)-SUMIF(WITHDRAWALS!$A:$A,A22,WITHDRAWALS!$E:$E)),"")</f>
        <v/>
      </c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3">
        <f>IFERROR(SUMIF(SAVINGS!$A:$A,DATABASE!A23,SAVINGS!$E:$E),"")</f>
        <v/>
      </c>
      <c r="J23" s="13">
        <f>IFERROR(IF(A23="","",SUMIF(SAVINGS!$A:$A,A23,SAVINGS!$E:$E)-SUMIF(WITHDRAWALS!$A:$A,A23,WITHDRAWALS!$E:$E)),"")</f>
        <v/>
      </c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5">
        <f>IFERROR(SUMIF(SAVINGS!$A:$A,DATABASE!A24,SAVINGS!$E:$E),"")</f>
        <v/>
      </c>
      <c r="J24" s="15">
        <f>IFERROR(IF(A24="","",SUMIF(SAVINGS!$A:$A,A24,SAVINGS!$E:$E)-SUMIF(WITHDRAWALS!$A:$A,A24,WITHDRAWALS!$E:$E)),"")</f>
        <v/>
      </c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3">
        <f>IFERROR(SUMIF(SAVINGS!$A:$A,DATABASE!A25,SAVINGS!$E:$E),"")</f>
        <v/>
      </c>
      <c r="J25" s="13">
        <f>IFERROR(IF(A25="","",SUMIF(SAVINGS!$A:$A,A25,SAVINGS!$E:$E)-SUMIF(WITHDRAWALS!$A:$A,A25,WITHDRAWALS!$E:$E)),"")</f>
        <v/>
      </c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5">
        <f>IFERROR(SUMIF(SAVINGS!$A:$A,DATABASE!A26,SAVINGS!$E:$E),"")</f>
        <v/>
      </c>
      <c r="J26" s="15">
        <f>IFERROR(IF(A26="","",SUMIF(SAVINGS!$A:$A,A26,SAVINGS!$E:$E)-SUMIF(WITHDRAWALS!$A:$A,A26,WITHDRAWALS!$E:$E)),"")</f>
        <v/>
      </c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3">
        <f>IFERROR(SUMIF(SAVINGS!$A:$A,DATABASE!A27,SAVINGS!$E:$E),"")</f>
        <v/>
      </c>
      <c r="J27" s="13">
        <f>IFERROR(IF(A27="","",SUMIF(SAVINGS!$A:$A,A27,SAVINGS!$E:$E)-SUMIF(WITHDRAWALS!$A:$A,A27,WITHDRAWALS!$E:$E)),"")</f>
        <v/>
      </c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5">
        <f>IFERROR(SUMIF(SAVINGS!$A:$A,DATABASE!A28,SAVINGS!$E:$E),"")</f>
        <v/>
      </c>
      <c r="J28" s="15">
        <f>IFERROR(IF(A28="","",SUMIF(SAVINGS!$A:$A,A28,SAVINGS!$E:$E)-SUMIF(WITHDRAWALS!$A:$A,A28,WITHDRAWALS!$E:$E)),"")</f>
        <v/>
      </c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3">
        <f>IFERROR(SUMIF(SAVINGS!$A:$A,DATABASE!A29,SAVINGS!$E:$E),"")</f>
        <v/>
      </c>
      <c r="J29" s="13">
        <f>IFERROR(IF(A29="","",SUMIF(SAVINGS!$A:$A,A29,SAVINGS!$E:$E)-SUMIF(WITHDRAWALS!$A:$A,A29,WITHDRAWALS!$E:$E)),"")</f>
        <v/>
      </c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5">
        <f>IFERROR(SUMIF(SAVINGS!$A:$A,DATABASE!A30,SAVINGS!$E:$E),"")</f>
        <v/>
      </c>
      <c r="J30" s="15">
        <f>IFERROR(IF(A30="","",SUMIF(SAVINGS!$A:$A,A30,SAVINGS!$E:$E)-SUMIF(WITHDRAWALS!$A:$A,A30,WITHDRAWALS!$E:$E)),"")</f>
        <v/>
      </c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3">
        <f>IFERROR(SUMIF(SAVINGS!$A:$A,DATABASE!A31,SAVINGS!$E:$E),"")</f>
        <v/>
      </c>
      <c r="J31" s="13">
        <f>IFERROR(IF(A31="","",SUMIF(SAVINGS!$A:$A,A31,SAVINGS!$E:$E)-SUMIF(WITHDRAWALS!$A:$A,A31,WITHDRAWALS!$E:$E)),"")</f>
        <v/>
      </c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5">
        <f>IFERROR(SUMIF(SAVINGS!$A:$A,DATABASE!A32,SAVINGS!$E:$E),"")</f>
        <v/>
      </c>
      <c r="J32" s="15">
        <f>IFERROR(IF(A32="","",SUMIF(SAVINGS!$A:$A,A32,SAVINGS!$E:$E)-SUMIF(WITHDRAWALS!$A:$A,A32,WITHDRAWALS!$E:$E)),"")</f>
        <v/>
      </c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3">
        <f>IFERROR(SUMIF(SAVINGS!$A:$A,DATABASE!A33,SAVINGS!$E:$E),"")</f>
        <v/>
      </c>
      <c r="J33" s="13">
        <f>IFERROR(IF(A33="","",SUMIF(SAVINGS!$A:$A,A33,SAVINGS!$E:$E)-SUMIF(WITHDRAWALS!$A:$A,A33,WITHDRAWALS!$E:$E)),"")</f>
        <v/>
      </c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5">
        <f>IFERROR(SUMIF(SAVINGS!$A:$A,DATABASE!A34,SAVINGS!$E:$E),"")</f>
        <v/>
      </c>
      <c r="J34" s="15">
        <f>IFERROR(IF(A34="","",SUMIF(SAVINGS!$A:$A,A34,SAVINGS!$E:$E)-SUMIF(WITHDRAWALS!$A:$A,A34,WITHDRAWALS!$E:$E)),"")</f>
        <v/>
      </c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3">
        <f>IFERROR(SUMIF(SAVINGS!$A:$A,DATABASE!A35,SAVINGS!$E:$E),"")</f>
        <v/>
      </c>
      <c r="J35" s="13">
        <f>IFERROR(IF(A35="","",SUMIF(SAVINGS!$A:$A,A35,SAVINGS!$E:$E)-SUMIF(WITHDRAWALS!$A:$A,A35,WITHDRAWALS!$E:$E)),"")</f>
        <v/>
      </c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5">
        <f>IFERROR(SUMIF(SAVINGS!$A:$A,DATABASE!A36,SAVINGS!$E:$E),"")</f>
        <v/>
      </c>
      <c r="J36" s="15">
        <f>IFERROR(IF(A36="","",SUMIF(SAVINGS!$A:$A,A36,SAVINGS!$E:$E)-SUMIF(WITHDRAWALS!$A:$A,A36,WITHDRAWALS!$E:$E)),"")</f>
        <v/>
      </c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3">
        <f>IFERROR(SUMIF(SAVINGS!$A:$A,DATABASE!A37,SAVINGS!$E:$E),"")</f>
        <v/>
      </c>
      <c r="J37" s="13">
        <f>IFERROR(IF(A37="","",SUMIF(SAVINGS!$A:$A,A37,SAVINGS!$E:$E)-SUMIF(WITHDRAWALS!$A:$A,A37,WITHDRAWALS!$E:$E)),"")</f>
        <v/>
      </c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5">
        <f>IFERROR(SUMIF(SAVINGS!$A:$A,DATABASE!A38,SAVINGS!$E:$E),"")</f>
        <v/>
      </c>
      <c r="J38" s="15">
        <f>IFERROR(IF(A38="","",SUMIF(SAVINGS!$A:$A,A38,SAVINGS!$E:$E)-SUMIF(WITHDRAWALS!$A:$A,A38,WITHDRAWALS!$E:$E)),"")</f>
        <v/>
      </c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3">
        <f>IFERROR(SUMIF(SAVINGS!$A:$A,DATABASE!A39,SAVINGS!$E:$E),"")</f>
        <v/>
      </c>
      <c r="J39" s="13">
        <f>IFERROR(IF(A39="","",SUMIF(SAVINGS!$A:$A,A39,SAVINGS!$E:$E)-SUMIF(WITHDRAWALS!$A:$A,A39,WITHDRAWALS!$E:$E)),"")</f>
        <v/>
      </c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5">
        <f>IFERROR(SUMIF(SAVINGS!$A:$A,DATABASE!A40,SAVINGS!$E:$E),"")</f>
        <v/>
      </c>
      <c r="J40" s="15">
        <f>IFERROR(IF(A40="","",SUMIF(SAVINGS!$A:$A,A40,SAVINGS!$E:$E)-SUMIF(WITHDRAWALS!$A:$A,A40,WITHDRAWALS!$E:$E)),"")</f>
        <v/>
      </c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3">
        <f>IFERROR(SUMIF(SAVINGS!$A:$A,DATABASE!A41,SAVINGS!$E:$E),"")</f>
        <v/>
      </c>
      <c r="J41" s="13">
        <f>IFERROR(IF(A41="","",SUMIF(SAVINGS!$A:$A,A41,SAVINGS!$E:$E)-SUMIF(WITHDRAWALS!$A:$A,A41,WITHDRAWALS!$E:$E)),"")</f>
        <v/>
      </c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5">
        <f>IFERROR(SUMIF(SAVINGS!$A:$A,DATABASE!A42,SAVINGS!$E:$E),"")</f>
        <v/>
      </c>
      <c r="J42" s="15">
        <f>IFERROR(IF(A42="","",SUMIF(SAVINGS!$A:$A,A42,SAVINGS!$E:$E)-SUMIF(WITHDRAWALS!$A:$A,A42,WITHDRAWALS!$E:$E)),"")</f>
        <v/>
      </c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3">
        <f>IFERROR(SUMIF(SAVINGS!$A:$A,DATABASE!A43,SAVINGS!$E:$E),"")</f>
        <v/>
      </c>
      <c r="J43" s="13">
        <f>IFERROR(IF(A43="","",SUMIF(SAVINGS!$A:$A,A43,SAVINGS!$E:$E)-SUMIF(WITHDRAWALS!$A:$A,A43,WITHDRAWALS!$E:$E)),"")</f>
        <v/>
      </c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5">
        <f>IFERROR(SUMIF(SAVINGS!$A:$A,DATABASE!A44,SAVINGS!$E:$E),"")</f>
        <v/>
      </c>
      <c r="J44" s="15">
        <f>IFERROR(IF(A44="","",SUMIF(SAVINGS!$A:$A,A44,SAVINGS!$E:$E)-SUMIF(WITHDRAWALS!$A:$A,A44,WITHDRAWALS!$E:$E)),"")</f>
        <v/>
      </c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3">
        <f>IFERROR(SUMIF(SAVINGS!$A:$A,DATABASE!A45,SAVINGS!$E:$E),"")</f>
        <v/>
      </c>
      <c r="J45" s="13">
        <f>IFERROR(IF(A45="","",SUMIF(SAVINGS!$A:$A,A45,SAVINGS!$E:$E)-SUMIF(WITHDRAWALS!$A:$A,A45,WITHDRAWALS!$E:$E)),"")</f>
        <v/>
      </c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5">
        <f>IFERROR(SUMIF(SAVINGS!$A:$A,DATABASE!A46,SAVINGS!$E:$E),"")</f>
        <v/>
      </c>
      <c r="J46" s="15">
        <f>IFERROR(IF(A46="","",SUMIF(SAVINGS!$A:$A,A46,SAVINGS!$E:$E)-SUMIF(WITHDRAWALS!$A:$A,A46,WITHDRAWALS!$E:$E)),"")</f>
        <v/>
      </c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3">
        <f>IFERROR(SUMIF(SAVINGS!$A:$A,DATABASE!A47,SAVINGS!$E:$E),"")</f>
        <v/>
      </c>
      <c r="J47" s="13">
        <f>IFERROR(IF(A47="","",SUMIF(SAVINGS!$A:$A,A47,SAVINGS!$E:$E)-SUMIF(WITHDRAWALS!$A:$A,A47,WITHDRAWALS!$E:$E)),"")</f>
        <v/>
      </c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5">
        <f>IFERROR(SUMIF(SAVINGS!$A:$A,DATABASE!A48,SAVINGS!$E:$E),"")</f>
        <v/>
      </c>
      <c r="J48" s="15">
        <f>IFERROR(IF(A48="","",SUMIF(SAVINGS!$A:$A,A48,SAVINGS!$E:$E)-SUMIF(WITHDRAWALS!$A:$A,A48,WITHDRAWALS!$E:$E)),"")</f>
        <v/>
      </c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3">
        <f>IFERROR(SUMIF(SAVINGS!$A:$A,DATABASE!A49,SAVINGS!$E:$E),"")</f>
        <v/>
      </c>
      <c r="J49" s="13">
        <f>IFERROR(IF(A49="","",SUMIF(SAVINGS!$A:$A,A49,SAVINGS!$E:$E)-SUMIF(WITHDRAWALS!$A:$A,A49,WITHDRAWALS!$E:$E)),"")</f>
        <v/>
      </c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5">
        <f>IFERROR(SUMIF(SAVINGS!$A:$A,DATABASE!A50,SAVINGS!$E:$E),"")</f>
        <v/>
      </c>
      <c r="J50" s="15">
        <f>IFERROR(IF(A50="","",SUMIF(SAVINGS!$A:$A,A50,SAVINGS!$E:$E)-SUMIF(WITHDRAWALS!$A:$A,A50,WITHDRAWALS!$E:$E)),"")</f>
        <v/>
      </c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3">
        <f>IFERROR(SUMIF(SAVINGS!$A:$A,DATABASE!A51,SAVINGS!$E:$E),"")</f>
        <v/>
      </c>
      <c r="J51" s="13">
        <f>IFERROR(IF(A51="","",SUMIF(SAVINGS!$A:$A,A51,SAVINGS!$E:$E)-SUMIF(WITHDRAWALS!$A:$A,A51,WITHDRAWALS!$E:$E)),"")</f>
        <v/>
      </c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5">
        <f>IFERROR(SUMIF(SAVINGS!$A:$A,DATABASE!A52,SAVINGS!$E:$E),"")</f>
        <v/>
      </c>
      <c r="J52" s="15">
        <f>IFERROR(IF(A52="","",SUMIF(SAVINGS!$A:$A,A52,SAVINGS!$E:$E)-SUMIF(WITHDRAWALS!$A:$A,A52,WITHDRAWALS!$E:$E)),"")</f>
        <v/>
      </c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3">
        <f>IFERROR(SUMIF(SAVINGS!$A:$A,DATABASE!A53,SAVINGS!$E:$E),"")</f>
        <v/>
      </c>
      <c r="J53" s="13">
        <f>IFERROR(IF(A53="","",SUMIF(SAVINGS!$A:$A,A53,SAVINGS!$E:$E)-SUMIF(WITHDRAWALS!$A:$A,A53,WITHDRAWALS!$E:$E)),"")</f>
        <v/>
      </c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5">
        <f>IFERROR(SUMIF(SAVINGS!$A:$A,DATABASE!A54,SAVINGS!$E:$E),"")</f>
        <v/>
      </c>
      <c r="J54" s="15">
        <f>IFERROR(IF(A54="","",SUMIF(SAVINGS!$A:$A,A54,SAVINGS!$E:$E)-SUMIF(WITHDRAWALS!$A:$A,A54,WITHDRAWALS!$E:$E)),"")</f>
        <v/>
      </c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3">
        <f>IFERROR(SUMIF(SAVINGS!$A:$A,DATABASE!A55,SAVINGS!$E:$E),"")</f>
        <v/>
      </c>
      <c r="J55" s="13">
        <f>IFERROR(IF(A55="","",SUMIF(SAVINGS!$A:$A,A55,SAVINGS!$E:$E)-SUMIF(WITHDRAWALS!$A:$A,A55,WITHDRAWALS!$E:$E)),"")</f>
        <v/>
      </c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5">
        <f>IFERROR(SUMIF(SAVINGS!$A:$A,DATABASE!A56,SAVINGS!$E:$E),"")</f>
        <v/>
      </c>
      <c r="J56" s="15">
        <f>IFERROR(IF(A56="","",SUMIF(SAVINGS!$A:$A,A56,SAVINGS!$E:$E)-SUMIF(WITHDRAWALS!$A:$A,A56,WITHDRAWALS!$E:$E)),"")</f>
        <v/>
      </c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3">
        <f>IFERROR(SUMIF(SAVINGS!$A:$A,DATABASE!A57,SAVINGS!$E:$E),"")</f>
        <v/>
      </c>
      <c r="J57" s="13">
        <f>IFERROR(IF(A57="","",SUMIF(SAVINGS!$A:$A,A57,SAVINGS!$E:$E)-SUMIF(WITHDRAWALS!$A:$A,A57,WITHDRAWALS!$E:$E)),"")</f>
        <v/>
      </c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5">
        <f>IFERROR(SUMIF(SAVINGS!$A:$A,DATABASE!A58,SAVINGS!$E:$E),"")</f>
        <v/>
      </c>
      <c r="J58" s="15">
        <f>IFERROR(IF(A58="","",SUMIF(SAVINGS!$A:$A,A58,SAVINGS!$E:$E)-SUMIF(WITHDRAWALS!$A:$A,A58,WITHDRAWALS!$E:$E)),"")</f>
        <v/>
      </c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3">
        <f>IFERROR(SUMIF(SAVINGS!$A:$A,DATABASE!A59,SAVINGS!$E:$E),"")</f>
        <v/>
      </c>
      <c r="J59" s="13">
        <f>IFERROR(IF(A59="","",SUMIF(SAVINGS!$A:$A,A59,SAVINGS!$E:$E)-SUMIF(WITHDRAWALS!$A:$A,A59,WITHDRAWALS!$E:$E)),"")</f>
        <v/>
      </c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5">
        <f>IFERROR(SUMIF(SAVINGS!$A:$A,DATABASE!A60,SAVINGS!$E:$E),"")</f>
        <v/>
      </c>
      <c r="J60" s="15">
        <f>IFERROR(IF(A60="","",SUMIF(SAVINGS!$A:$A,A60,SAVINGS!$E:$E)-SUMIF(WITHDRAWALS!$A:$A,A60,WITHDRAWALS!$E:$E)),"")</f>
        <v/>
      </c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3">
        <f>IFERROR(SUMIF(SAVINGS!$A:$A,DATABASE!A61,SAVINGS!$E:$E),"")</f>
        <v/>
      </c>
      <c r="J61" s="13">
        <f>IFERROR(IF(A61="","",SUMIF(SAVINGS!$A:$A,A61,SAVINGS!$E:$E)-SUMIF(WITHDRAWALS!$A:$A,A61,WITHDRAWALS!$E:$E)),"")</f>
        <v/>
      </c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5">
        <f>IFERROR(SUMIF(SAVINGS!$A:$A,DATABASE!A62,SAVINGS!$E:$E),"")</f>
        <v/>
      </c>
      <c r="J62" s="15">
        <f>IFERROR(IF(A62="","",SUMIF(SAVINGS!$A:$A,A62,SAVINGS!$E:$E)-SUMIF(WITHDRAWALS!$A:$A,A62,WITHDRAWALS!$E:$E)),"")</f>
        <v/>
      </c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3">
        <f>IFERROR(SUMIF(SAVINGS!$A:$A,DATABASE!A63,SAVINGS!$E:$E),"")</f>
        <v/>
      </c>
      <c r="J63" s="13">
        <f>IFERROR(IF(A63="","",SUMIF(SAVINGS!$A:$A,A63,SAVINGS!$E:$E)-SUMIF(WITHDRAWALS!$A:$A,A63,WITHDRAWALS!$E:$E)),"")</f>
        <v/>
      </c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5">
        <f>IFERROR(SUMIF(SAVINGS!$A:$A,DATABASE!A64,SAVINGS!$E:$E),"")</f>
        <v/>
      </c>
      <c r="J64" s="15">
        <f>IFERROR(IF(A64="","",SUMIF(SAVINGS!$A:$A,A64,SAVINGS!$E:$E)-SUMIF(WITHDRAWALS!$A:$A,A64,WITHDRAWALS!$E:$E)),"")</f>
        <v/>
      </c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3">
        <f>IFERROR(SUMIF(SAVINGS!$A:$A,DATABASE!A65,SAVINGS!$E:$E),"")</f>
        <v/>
      </c>
      <c r="J65" s="13">
        <f>IFERROR(IF(A65="","",SUMIF(SAVINGS!$A:$A,A65,SAVINGS!$E:$E)-SUMIF(WITHDRAWALS!$A:$A,A65,WITHDRAWALS!$E:$E)),"")</f>
        <v/>
      </c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5">
        <f>IFERROR(SUMIF(SAVINGS!$A:$A,DATABASE!A66,SAVINGS!$E:$E),"")</f>
        <v/>
      </c>
      <c r="J66" s="15">
        <f>IFERROR(IF(A66="","",SUMIF(SAVINGS!$A:$A,A66,SAVINGS!$E:$E)-SUMIF(WITHDRAWALS!$A:$A,A66,WITHDRAWALS!$E:$E)),"")</f>
        <v/>
      </c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3">
        <f>IFERROR(SUMIF(SAVINGS!$A:$A,DATABASE!A67,SAVINGS!$E:$E),"")</f>
        <v/>
      </c>
      <c r="J67" s="13">
        <f>IFERROR(IF(A67="","",SUMIF(SAVINGS!$A:$A,A67,SAVINGS!$E:$E)-SUMIF(WITHDRAWALS!$A:$A,A67,WITHDRAWALS!$E:$E)),"")</f>
        <v/>
      </c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5">
        <f>IFERROR(SUMIF(SAVINGS!$A:$A,DATABASE!A68,SAVINGS!$E:$E),"")</f>
        <v/>
      </c>
      <c r="J68" s="15">
        <f>IFERROR(IF(A68="","",SUMIF(SAVINGS!$A:$A,A68,SAVINGS!$E:$E)-SUMIF(WITHDRAWALS!$A:$A,A68,WITHDRAWALS!$E:$E)),"")</f>
        <v/>
      </c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3">
        <f>IFERROR(SUMIF(SAVINGS!$A:$A,DATABASE!A69,SAVINGS!$E:$E),"")</f>
        <v/>
      </c>
      <c r="J69" s="13">
        <f>IFERROR(IF(A69="","",SUMIF(SAVINGS!$A:$A,A69,SAVINGS!$E:$E)-SUMIF(WITHDRAWALS!$A:$A,A69,WITHDRAWALS!$E:$E)),"")</f>
        <v/>
      </c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5">
        <f>IFERROR(SUMIF(SAVINGS!$A:$A,DATABASE!A70,SAVINGS!$E:$E),"")</f>
        <v/>
      </c>
      <c r="J70" s="15">
        <f>IFERROR(IF(A70="","",SUMIF(SAVINGS!$A:$A,A70,SAVINGS!$E:$E)-SUMIF(WITHDRAWALS!$A:$A,A70,WITHDRAWALS!$E:$E)),"")</f>
        <v/>
      </c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3">
        <f>IFERROR(SUMIF(SAVINGS!$A:$A,DATABASE!A71,SAVINGS!$E:$E),"")</f>
        <v/>
      </c>
      <c r="J71" s="13">
        <f>IFERROR(IF(A71="","",SUMIF(SAVINGS!$A:$A,A71,SAVINGS!$E:$E)-SUMIF(WITHDRAWALS!$A:$A,A71,WITHDRAWALS!$E:$E)),"")</f>
        <v/>
      </c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5">
        <f>IFERROR(SUMIF(SAVINGS!$A:$A,DATABASE!A72,SAVINGS!$E:$E),"")</f>
        <v/>
      </c>
      <c r="J72" s="15">
        <f>IFERROR(IF(A72="","",SUMIF(SAVINGS!$A:$A,A72,SAVINGS!$E:$E)-SUMIF(WITHDRAWALS!$A:$A,A72,WITHDRAWALS!$E:$E)),"")</f>
        <v/>
      </c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3">
        <f>IFERROR(SUMIF(SAVINGS!$A:$A,DATABASE!A73,SAVINGS!$E:$E),"")</f>
        <v/>
      </c>
      <c r="J73" s="13">
        <f>IFERROR(IF(A73="","",SUMIF(SAVINGS!$A:$A,A73,SAVINGS!$E:$E)-SUMIF(WITHDRAWALS!$A:$A,A73,WITHDRAWALS!$E:$E)),"")</f>
        <v/>
      </c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5">
        <f>IFERROR(SUMIF(SAVINGS!$A:$A,DATABASE!A74,SAVINGS!$E:$E),"")</f>
        <v/>
      </c>
      <c r="J74" s="15">
        <f>IFERROR(IF(A74="","",SUMIF(SAVINGS!$A:$A,A74,SAVINGS!$E:$E)-SUMIF(WITHDRAWALS!$A:$A,A74,WITHDRAWALS!$E:$E)),"")</f>
        <v/>
      </c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3">
        <f>IFERROR(SUMIF(SAVINGS!$A:$A,DATABASE!A75,SAVINGS!$E:$E),"")</f>
        <v/>
      </c>
      <c r="J75" s="13">
        <f>IFERROR(IF(A75="","",SUMIF(SAVINGS!$A:$A,A75,SAVINGS!$E:$E)-SUMIF(WITHDRAWALS!$A:$A,A75,WITHDRAWALS!$E:$E)),"")</f>
        <v/>
      </c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5">
        <f>IFERROR(SUMIF(SAVINGS!$A:$A,DATABASE!A76,SAVINGS!$E:$E),"")</f>
        <v/>
      </c>
      <c r="J76" s="15">
        <f>IFERROR(IF(A76="","",SUMIF(SAVINGS!$A:$A,A76,SAVINGS!$E:$E)-SUMIF(WITHDRAWALS!$A:$A,A76,WITHDRAWALS!$E:$E)),"")</f>
        <v/>
      </c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3">
        <f>IFERROR(SUMIF(SAVINGS!$A:$A,DATABASE!A77,SAVINGS!$E:$E),"")</f>
        <v/>
      </c>
      <c r="J77" s="13">
        <f>IFERROR(IF(A77="","",SUMIF(SAVINGS!$A:$A,A77,SAVINGS!$E:$E)-SUMIF(WITHDRAWALS!$A:$A,A77,WITHDRAWALS!$E:$E)),"")</f>
        <v/>
      </c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5">
        <f>IFERROR(SUMIF(SAVINGS!$A:$A,DATABASE!A78,SAVINGS!$E:$E),"")</f>
        <v/>
      </c>
      <c r="J78" s="15">
        <f>IFERROR(IF(A78="","",SUMIF(SAVINGS!$A:$A,A78,SAVINGS!$E:$E)-SUMIF(WITHDRAWALS!$A:$A,A78,WITHDRAWALS!$E:$E)),"")</f>
        <v/>
      </c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3">
        <f>IFERROR(SUMIF(SAVINGS!$A:$A,DATABASE!A79,SAVINGS!$E:$E),"")</f>
        <v/>
      </c>
      <c r="J79" s="13">
        <f>IFERROR(IF(A79="","",SUMIF(SAVINGS!$A:$A,A79,SAVINGS!$E:$E)-SUMIF(WITHDRAWALS!$A:$A,A79,WITHDRAWALS!$E:$E)),"")</f>
        <v/>
      </c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5">
        <f>IFERROR(SUMIF(SAVINGS!$A:$A,DATABASE!A80,SAVINGS!$E:$E),"")</f>
        <v/>
      </c>
      <c r="J80" s="15">
        <f>IFERROR(IF(A80="","",SUMIF(SAVINGS!$A:$A,A80,SAVINGS!$E:$E)-SUMIF(WITHDRAWALS!$A:$A,A80,WITHDRAWALS!$E:$E)),"")</f>
        <v/>
      </c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3">
        <f>IFERROR(SUMIF(SAVINGS!$A:$A,DATABASE!A81,SAVINGS!$E:$E),"")</f>
        <v/>
      </c>
      <c r="J81" s="13">
        <f>IFERROR(IF(A81="","",SUMIF(SAVINGS!$A:$A,A81,SAVINGS!$E:$E)-SUMIF(WITHDRAWALS!$A:$A,A81,WITHDRAWALS!$E:$E)),"")</f>
        <v/>
      </c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5">
        <f>IFERROR(SUMIF(SAVINGS!$A:$A,DATABASE!A82,SAVINGS!$E:$E),"")</f>
        <v/>
      </c>
      <c r="J82" s="15">
        <f>IFERROR(IF(A82="","",SUMIF(SAVINGS!$A:$A,A82,SAVINGS!$E:$E)-SUMIF(WITHDRAWALS!$A:$A,A82,WITHDRAWALS!$E:$E)),"")</f>
        <v/>
      </c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3">
        <f>IFERROR(SUMIF(SAVINGS!$A:$A,DATABASE!A83,SAVINGS!$E:$E),"")</f>
        <v/>
      </c>
      <c r="J83" s="13">
        <f>IFERROR(IF(A83="","",SUMIF(SAVINGS!$A:$A,A83,SAVINGS!$E:$E)-SUMIF(WITHDRAWALS!$A:$A,A83,WITHDRAWALS!$E:$E)),"")</f>
        <v/>
      </c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5">
        <f>IFERROR(SUMIF(SAVINGS!$A:$A,DATABASE!A84,SAVINGS!$E:$E),"")</f>
        <v/>
      </c>
      <c r="J84" s="15">
        <f>IFERROR(IF(A84="","",SUMIF(SAVINGS!$A:$A,A84,SAVINGS!$E:$E)-SUMIF(WITHDRAWALS!$A:$A,A84,WITHDRAWALS!$E:$E)),"")</f>
        <v/>
      </c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3">
        <f>IFERROR(SUMIF(SAVINGS!$A:$A,DATABASE!A85,SAVINGS!$E:$E),"")</f>
        <v/>
      </c>
      <c r="J85" s="13">
        <f>IFERROR(IF(A85="","",SUMIF(SAVINGS!$A:$A,A85,SAVINGS!$E:$E)-SUMIF(WITHDRAWALS!$A:$A,A85,WITHDRAWALS!$E:$E)),"")</f>
        <v/>
      </c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5">
        <f>IFERROR(SUMIF(SAVINGS!$A:$A,DATABASE!A86,SAVINGS!$E:$E),"")</f>
        <v/>
      </c>
      <c r="J86" s="15">
        <f>IFERROR(IF(A86="","",SUMIF(SAVINGS!$A:$A,A86,SAVINGS!$E:$E)-SUMIF(WITHDRAWALS!$A:$A,A86,WITHDRAWALS!$E:$E)),"")</f>
        <v/>
      </c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3">
        <f>IFERROR(SUMIF(SAVINGS!$A:$A,DATABASE!A87,SAVINGS!$E:$E),"")</f>
        <v/>
      </c>
      <c r="J87" s="13">
        <f>IFERROR(IF(A87="","",SUMIF(SAVINGS!$A:$A,A87,SAVINGS!$E:$E)-SUMIF(WITHDRAWALS!$A:$A,A87,WITHDRAWALS!$E:$E)),"")</f>
        <v/>
      </c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5">
        <f>IFERROR(SUMIF(SAVINGS!$A:$A,DATABASE!A88,SAVINGS!$E:$E),"")</f>
        <v/>
      </c>
      <c r="J88" s="15">
        <f>IFERROR(IF(A88="","",SUMIF(SAVINGS!$A:$A,A88,SAVINGS!$E:$E)-SUMIF(WITHDRAWALS!$A:$A,A88,WITHDRAWALS!$E:$E)),"")</f>
        <v/>
      </c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3">
        <f>IFERROR(SUMIF(SAVINGS!$A:$A,DATABASE!A89,SAVINGS!$E:$E),"")</f>
        <v/>
      </c>
      <c r="J89" s="13">
        <f>IFERROR(IF(A89="","",SUMIF(SAVINGS!$A:$A,A89,SAVINGS!$E:$E)-SUMIF(WITHDRAWALS!$A:$A,A89,WITHDRAWALS!$E:$E)),"")</f>
        <v/>
      </c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5">
        <f>IFERROR(SUMIF(SAVINGS!$A:$A,DATABASE!A90,SAVINGS!$E:$E),"")</f>
        <v/>
      </c>
      <c r="J90" s="15">
        <f>IFERROR(IF(A90="","",SUMIF(SAVINGS!$A:$A,A90,SAVINGS!$E:$E)-SUMIF(WITHDRAWALS!$A:$A,A90,WITHDRAWALS!$E:$E)),"")</f>
        <v/>
      </c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3">
        <f>IFERROR(SUMIF(SAVINGS!$A:$A,DATABASE!A91,SAVINGS!$E:$E),"")</f>
        <v/>
      </c>
      <c r="J91" s="13">
        <f>IFERROR(IF(A91="","",SUMIF(SAVINGS!$A:$A,A91,SAVINGS!$E:$E)-SUMIF(WITHDRAWALS!$A:$A,A91,WITHDRAWALS!$E:$E)),"")</f>
        <v/>
      </c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5">
        <f>IFERROR(SUMIF(SAVINGS!$A:$A,DATABASE!A92,SAVINGS!$E:$E),"")</f>
        <v/>
      </c>
      <c r="J92" s="15">
        <f>IFERROR(IF(A92="","",SUMIF(SAVINGS!$A:$A,A92,SAVINGS!$E:$E)-SUMIF(WITHDRAWALS!$A:$A,A92,WITHDRAWALS!$E:$E)),"")</f>
        <v/>
      </c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3">
        <f>IFERROR(SUMIF(SAVINGS!$A:$A,DATABASE!A93,SAVINGS!$E:$E),"")</f>
        <v/>
      </c>
      <c r="J93" s="13">
        <f>IFERROR(IF(A93="","",SUMIF(SAVINGS!$A:$A,A93,SAVINGS!$E:$E)-SUMIF(WITHDRAWALS!$A:$A,A93,WITHDRAWALS!$E:$E)),"")</f>
        <v/>
      </c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5">
        <f>IFERROR(SUMIF(SAVINGS!$A:$A,DATABASE!A94,SAVINGS!$E:$E),"")</f>
        <v/>
      </c>
      <c r="J94" s="15">
        <f>IFERROR(IF(A94="","",SUMIF(SAVINGS!$A:$A,A94,SAVINGS!$E:$E)-SUMIF(WITHDRAWALS!$A:$A,A94,WITHDRAWALS!$E:$E)),"")</f>
        <v/>
      </c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3">
        <f>IFERROR(SUMIF(SAVINGS!$A:$A,DATABASE!A95,SAVINGS!$E:$E),"")</f>
        <v/>
      </c>
      <c r="J95" s="13">
        <f>IFERROR(IF(A95="","",SUMIF(SAVINGS!$A:$A,A95,SAVINGS!$E:$E)-SUMIF(WITHDRAWALS!$A:$A,A95,WITHDRAWALS!$E:$E)),"")</f>
        <v/>
      </c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5">
        <f>IFERROR(SUMIF(SAVINGS!$A:$A,DATABASE!A96,SAVINGS!$E:$E),"")</f>
        <v/>
      </c>
      <c r="J96" s="15">
        <f>IFERROR(IF(A96="","",SUMIF(SAVINGS!$A:$A,A96,SAVINGS!$E:$E)-SUMIF(WITHDRAWALS!$A:$A,A96,WITHDRAWALS!$E:$E)),"")</f>
        <v/>
      </c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3">
        <f>IFERROR(SUMIF(SAVINGS!$A:$A,DATABASE!A97,SAVINGS!$E:$E),"")</f>
        <v/>
      </c>
      <c r="J97" s="13">
        <f>IFERROR(IF(A97="","",SUMIF(SAVINGS!$A:$A,A97,SAVINGS!$E:$E)-SUMIF(WITHDRAWALS!$A:$A,A97,WITHDRAWALS!$E:$E)),"")</f>
        <v/>
      </c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5">
        <f>IFERROR(SUMIF(SAVINGS!$A:$A,DATABASE!A98,SAVINGS!$E:$E),"")</f>
        <v/>
      </c>
      <c r="J98" s="15">
        <f>IFERROR(IF(A98="","",SUMIF(SAVINGS!$A:$A,A98,SAVINGS!$E:$E)-SUMIF(WITHDRAWALS!$A:$A,A98,WITHDRAWALS!$E:$E)),"")</f>
        <v/>
      </c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3">
        <f>IFERROR(SUMIF(SAVINGS!$A:$A,DATABASE!A99,SAVINGS!$E:$E),"")</f>
        <v/>
      </c>
      <c r="J99" s="13">
        <f>IFERROR(IF(A99="","",SUMIF(SAVINGS!$A:$A,A99,SAVINGS!$E:$E)-SUMIF(WITHDRAWALS!$A:$A,A99,WITHDRAWALS!$E:$E)),"")</f>
        <v/>
      </c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5">
        <f>IFERROR(SUMIF(SAVINGS!$A:$A,DATABASE!A100,SAVINGS!$E:$E),"")</f>
        <v/>
      </c>
      <c r="J100" s="15">
        <f>IFERROR(IF(A100="","",SUMIF(SAVINGS!$A:$A,A100,SAVINGS!$E:$E)-SUMIF(WITHDRAWALS!$A:$A,A100,WITHDRAWALS!$E:$E)),"")</f>
        <v/>
      </c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3">
        <f>IFERROR(SUMIF(SAVINGS!$A:$A,DATABASE!A101,SAVINGS!$E:$E),"")</f>
        <v/>
      </c>
      <c r="J101" s="13">
        <f>IFERROR(IF(A101="","",SUMIF(SAVINGS!$A:$A,A101,SAVINGS!$E:$E)-SUMIF(WITHDRAWALS!$A:$A,A101,WITHDRAWALS!$E:$E)),"")</f>
        <v/>
      </c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5">
        <f>IFERROR(SUMIF(SAVINGS!$A:$A,DATABASE!A102,SAVINGS!$E:$E),"")</f>
        <v/>
      </c>
      <c r="J102" s="15">
        <f>IFERROR(IF(A102="","",SUMIF(SAVINGS!$A:$A,A102,SAVINGS!$E:$E)-SUMIF(WITHDRAWALS!$A:$A,A102,WITHDRAWALS!$E:$E)),"")</f>
        <v/>
      </c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3">
        <f>IFERROR(SUMIF(SAVINGS!$A:$A,DATABASE!A103,SAVINGS!$E:$E),"")</f>
        <v/>
      </c>
      <c r="J103" s="13">
        <f>IFERROR(IF(A103="","",SUMIF(SAVINGS!$A:$A,A103,SAVINGS!$E:$E)-SUMIF(WITHDRAWALS!$A:$A,A103,WITHDRAWALS!$E:$E)),"")</f>
        <v/>
      </c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5">
        <f>IFERROR(SUMIF(SAVINGS!$A:$A,DATABASE!A104,SAVINGS!$E:$E),"")</f>
        <v/>
      </c>
      <c r="J104" s="15">
        <f>IFERROR(IF(A104="","",SUMIF(SAVINGS!$A:$A,A104,SAVINGS!$E:$E)-SUMIF(WITHDRAWALS!$A:$A,A104,WITHDRAWALS!$E:$E)),"")</f>
        <v/>
      </c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3">
        <f>IFERROR(SUMIF(SAVINGS!$A:$A,DATABASE!A105,SAVINGS!$E:$E),"")</f>
        <v/>
      </c>
      <c r="J105" s="13">
        <f>IFERROR(IF(A105="","",SUMIF(SAVINGS!$A:$A,A105,SAVINGS!$E:$E)-SUMIF(WITHDRAWALS!$A:$A,A105,WITHDRAWALS!$E:$E)),"")</f>
        <v/>
      </c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5">
        <f>IFERROR(SUMIF(SAVINGS!$A:$A,DATABASE!A106,SAVINGS!$E:$E),"")</f>
        <v/>
      </c>
      <c r="J106" s="15">
        <f>IFERROR(IF(A106="","",SUMIF(SAVINGS!$A:$A,A106,SAVINGS!$E:$E)-SUMIF(WITHDRAWALS!$A:$A,A106,WITHDRAWALS!$E:$E)),"")</f>
        <v/>
      </c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3">
        <f>IFERROR(SUMIF(SAVINGS!$A:$A,DATABASE!A107,SAVINGS!$E:$E),"")</f>
        <v/>
      </c>
      <c r="J107" s="13">
        <f>IFERROR(IF(A107="","",SUMIF(SAVINGS!$A:$A,A107,SAVINGS!$E:$E)-SUMIF(WITHDRAWALS!$A:$A,A107,WITHDRAWALS!$E:$E)),"")</f>
        <v/>
      </c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5">
        <f>IFERROR(SUMIF(SAVINGS!$A:$A,DATABASE!A108,SAVINGS!$E:$E),"")</f>
        <v/>
      </c>
      <c r="J108" s="15">
        <f>IFERROR(IF(A108="","",SUMIF(SAVINGS!$A:$A,A108,SAVINGS!$E:$E)-SUMIF(WITHDRAWALS!$A:$A,A108,WITHDRAWALS!$E:$E)),"")</f>
        <v/>
      </c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3">
        <f>IFERROR(SUMIF(SAVINGS!$A:$A,DATABASE!A109,SAVINGS!$E:$E),"")</f>
        <v/>
      </c>
      <c r="J109" s="13">
        <f>IFERROR(IF(A109="","",SUMIF(SAVINGS!$A:$A,A109,SAVINGS!$E:$E)-SUMIF(WITHDRAWALS!$A:$A,A109,WITHDRAWALS!$E:$E)),"")</f>
        <v/>
      </c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5">
        <f>IFERROR(SUMIF(SAVINGS!$A:$A,DATABASE!A110,SAVINGS!$E:$E),"")</f>
        <v/>
      </c>
      <c r="J110" s="15">
        <f>IFERROR(IF(A110="","",SUMIF(SAVINGS!$A:$A,A110,SAVINGS!$E:$E)-SUMIF(WITHDRAWALS!$A:$A,A110,WITHDRAWALS!$E:$E)),"")</f>
        <v/>
      </c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3">
        <f>IFERROR(SUMIF(SAVINGS!$A:$A,DATABASE!A111,SAVINGS!$E:$E),"")</f>
        <v/>
      </c>
      <c r="J111" s="13">
        <f>IFERROR(IF(A111="","",SUMIF(SAVINGS!$A:$A,A111,SAVINGS!$E:$E)-SUMIF(WITHDRAWALS!$A:$A,A111,WITHDRAWALS!$E:$E)),"")</f>
        <v/>
      </c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5">
        <f>IFERROR(SUMIF(SAVINGS!$A:$A,DATABASE!A112,SAVINGS!$E:$E),"")</f>
        <v/>
      </c>
      <c r="J112" s="15">
        <f>IFERROR(IF(A112="","",SUMIF(SAVINGS!$A:$A,A112,SAVINGS!$E:$E)-SUMIF(WITHDRAWALS!$A:$A,A112,WITHDRAWALS!$E:$E)),"")</f>
        <v/>
      </c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3">
        <f>IFERROR(SUMIF(SAVINGS!$A:$A,DATABASE!A113,SAVINGS!$E:$E),"")</f>
        <v/>
      </c>
      <c r="J113" s="13">
        <f>IFERROR(IF(A113="","",SUMIF(SAVINGS!$A:$A,A113,SAVINGS!$E:$E)-SUMIF(WITHDRAWALS!$A:$A,A113,WITHDRAWALS!$E:$E)),"")</f>
        <v/>
      </c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5">
        <f>IFERROR(SUMIF(SAVINGS!$A:$A,DATABASE!A114,SAVINGS!$E:$E),"")</f>
        <v/>
      </c>
      <c r="J114" s="15">
        <f>IFERROR(IF(A114="","",SUMIF(SAVINGS!$A:$A,A114,SAVINGS!$E:$E)-SUMIF(WITHDRAWALS!$A:$A,A114,WITHDRAWALS!$E:$E)),"")</f>
        <v/>
      </c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3">
        <f>IFERROR(SUMIF(SAVINGS!$A:$A,DATABASE!A115,SAVINGS!$E:$E),"")</f>
        <v/>
      </c>
      <c r="J115" s="13">
        <f>IFERROR(IF(A115="","",SUMIF(SAVINGS!$A:$A,A115,SAVINGS!$E:$E)-SUMIF(WITHDRAWALS!$A:$A,A115,WITHDRAWALS!$E:$E)),"")</f>
        <v/>
      </c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5">
        <f>IFERROR(SUMIF(SAVINGS!$A:$A,DATABASE!A116,SAVINGS!$E:$E),"")</f>
        <v/>
      </c>
      <c r="J116" s="15">
        <f>IFERROR(IF(A116="","",SUMIF(SAVINGS!$A:$A,A116,SAVINGS!$E:$E)-SUMIF(WITHDRAWALS!$A:$A,A116,WITHDRAWALS!$E:$E)),"")</f>
        <v/>
      </c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3">
        <f>IFERROR(SUMIF(SAVINGS!$A:$A,DATABASE!A117,SAVINGS!$E:$E),"")</f>
        <v/>
      </c>
      <c r="J117" s="13">
        <f>IFERROR(IF(A117="","",SUMIF(SAVINGS!$A:$A,A117,SAVINGS!$E:$E)-SUMIF(WITHDRAWALS!$A:$A,A117,WITHDRAWALS!$E:$E)),"")</f>
        <v/>
      </c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5">
        <f>IFERROR(SUMIF(SAVINGS!$A:$A,DATABASE!A118,SAVINGS!$E:$E),"")</f>
        <v/>
      </c>
      <c r="J118" s="15">
        <f>IFERROR(IF(A118="","",SUMIF(SAVINGS!$A:$A,A118,SAVINGS!$E:$E)-SUMIF(WITHDRAWALS!$A:$A,A118,WITHDRAWALS!$E:$E)),"")</f>
        <v/>
      </c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3">
        <f>IFERROR(SUMIF(SAVINGS!$A:$A,DATABASE!A119,SAVINGS!$E:$E),"")</f>
        <v/>
      </c>
      <c r="J119" s="13">
        <f>IFERROR(IF(A119="","",SUMIF(SAVINGS!$A:$A,A119,SAVINGS!$E:$E)-SUMIF(WITHDRAWALS!$A:$A,A119,WITHDRAWALS!$E:$E)),"")</f>
        <v/>
      </c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5">
        <f>IFERROR(SUMIF(SAVINGS!$A:$A,DATABASE!A120,SAVINGS!$E:$E),"")</f>
        <v/>
      </c>
      <c r="J120" s="15">
        <f>IFERROR(IF(A120="","",SUMIF(SAVINGS!$A:$A,A120,SAVINGS!$E:$E)-SUMIF(WITHDRAWALS!$A:$A,A120,WITHDRAWALS!$E:$E)),"")</f>
        <v/>
      </c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3">
        <f>IFERROR(SUMIF(SAVINGS!$A:$A,DATABASE!A121,SAVINGS!$E:$E),"")</f>
        <v/>
      </c>
      <c r="J121" s="13">
        <f>IFERROR(IF(A121="","",SUMIF(SAVINGS!$A:$A,A121,SAVINGS!$E:$E)-SUMIF(WITHDRAWALS!$A:$A,A121,WITHDRAWALS!$E:$E)),"")</f>
        <v/>
      </c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5">
        <f>IFERROR(SUMIF(SAVINGS!$A:$A,DATABASE!A122,SAVINGS!$E:$E),"")</f>
        <v/>
      </c>
      <c r="J122" s="15">
        <f>IFERROR(IF(A122="","",SUMIF(SAVINGS!$A:$A,A122,SAVINGS!$E:$E)-SUMIF(WITHDRAWALS!$A:$A,A122,WITHDRAWALS!$E:$E)),"")</f>
        <v/>
      </c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3">
        <f>IFERROR(SUMIF(SAVINGS!$A:$A,DATABASE!A123,SAVINGS!$E:$E),"")</f>
        <v/>
      </c>
      <c r="J123" s="13">
        <f>IFERROR(IF(A123="","",SUMIF(SAVINGS!$A:$A,A123,SAVINGS!$E:$E)-SUMIF(WITHDRAWALS!$A:$A,A123,WITHDRAWALS!$E:$E)),"")</f>
        <v/>
      </c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5">
        <f>IFERROR(SUMIF(SAVINGS!$A:$A,DATABASE!A124,SAVINGS!$E:$E),"")</f>
        <v/>
      </c>
      <c r="J124" s="15">
        <f>IFERROR(IF(A124="","",SUMIF(SAVINGS!$A:$A,A124,SAVINGS!$E:$E)-SUMIF(WITHDRAWALS!$A:$A,A124,WITHDRAWALS!$E:$E)),"")</f>
        <v/>
      </c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3">
        <f>IFERROR(SUMIF(SAVINGS!$A:$A,DATABASE!A125,SAVINGS!$E:$E),"")</f>
        <v/>
      </c>
      <c r="J125" s="13">
        <f>IFERROR(IF(A125="","",SUMIF(SAVINGS!$A:$A,A125,SAVINGS!$E:$E)-SUMIF(WITHDRAWALS!$A:$A,A125,WITHDRAWALS!$E:$E)),"")</f>
        <v/>
      </c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5">
        <f>IFERROR(SUMIF(SAVINGS!$A:$A,DATABASE!A126,SAVINGS!$E:$E),"")</f>
        <v/>
      </c>
      <c r="J126" s="15">
        <f>IFERROR(IF(A126="","",SUMIF(SAVINGS!$A:$A,A126,SAVINGS!$E:$E)-SUMIF(WITHDRAWALS!$A:$A,A126,WITHDRAWALS!$E:$E)),"")</f>
        <v/>
      </c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3">
        <f>IFERROR(SUMIF(SAVINGS!$A:$A,DATABASE!A127,SAVINGS!$E:$E),"")</f>
        <v/>
      </c>
      <c r="J127" s="13">
        <f>IFERROR(IF(A127="","",SUMIF(SAVINGS!$A:$A,A127,SAVINGS!$E:$E)-SUMIF(WITHDRAWALS!$A:$A,A127,WITHDRAWALS!$E:$E)),"")</f>
        <v/>
      </c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5">
        <f>IFERROR(SUMIF(SAVINGS!$A:$A,DATABASE!A128,SAVINGS!$E:$E),"")</f>
        <v/>
      </c>
      <c r="J128" s="15">
        <f>IFERROR(IF(A128="","",SUMIF(SAVINGS!$A:$A,A128,SAVINGS!$E:$E)-SUMIF(WITHDRAWALS!$A:$A,A128,WITHDRAWALS!$E:$E)),"")</f>
        <v/>
      </c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3">
        <f>IFERROR(SUMIF(SAVINGS!$A:$A,DATABASE!A129,SAVINGS!$E:$E),"")</f>
        <v/>
      </c>
      <c r="J129" s="13">
        <f>IFERROR(IF(A129="","",SUMIF(SAVINGS!$A:$A,A129,SAVINGS!$E:$E)-SUMIF(WITHDRAWALS!$A:$A,A129,WITHDRAWALS!$E:$E)),"")</f>
        <v/>
      </c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5">
        <f>IFERROR(SUMIF(SAVINGS!$A:$A,DATABASE!A130,SAVINGS!$E:$E),"")</f>
        <v/>
      </c>
      <c r="J130" s="15">
        <f>IFERROR(IF(A130="","",SUMIF(SAVINGS!$A:$A,A130,SAVINGS!$E:$E)-SUMIF(WITHDRAWALS!$A:$A,A130,WITHDRAWALS!$E:$E)),"")</f>
        <v/>
      </c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3">
        <f>IFERROR(SUMIF(SAVINGS!$A:$A,DATABASE!A131,SAVINGS!$E:$E),"")</f>
        <v/>
      </c>
      <c r="J131" s="13">
        <f>IFERROR(IF(A131="","",SUMIF(SAVINGS!$A:$A,A131,SAVINGS!$E:$E)-SUMIF(WITHDRAWALS!$A:$A,A131,WITHDRAWALS!$E:$E)),"")</f>
        <v/>
      </c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5">
        <f>IFERROR(SUMIF(SAVINGS!$A:$A,DATABASE!A132,SAVINGS!$E:$E),"")</f>
        <v/>
      </c>
      <c r="J132" s="15">
        <f>IFERROR(IF(A132="","",SUMIF(SAVINGS!$A:$A,A132,SAVINGS!$E:$E)-SUMIF(WITHDRAWALS!$A:$A,A132,WITHDRAWALS!$E:$E)),"")</f>
        <v/>
      </c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3">
        <f>IFERROR(SUMIF(SAVINGS!$A:$A,DATABASE!A133,SAVINGS!$E:$E),"")</f>
        <v/>
      </c>
      <c r="J133" s="13">
        <f>IFERROR(IF(A133="","",SUMIF(SAVINGS!$A:$A,A133,SAVINGS!$E:$E)-SUMIF(WITHDRAWALS!$A:$A,A133,WITHDRAWALS!$E:$E)),"")</f>
        <v/>
      </c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5">
        <f>IFERROR(SUMIF(SAVINGS!$A:$A,DATABASE!A134,SAVINGS!$E:$E),"")</f>
        <v/>
      </c>
      <c r="J134" s="15">
        <f>IFERROR(IF(A134="","",SUMIF(SAVINGS!$A:$A,A134,SAVINGS!$E:$E)-SUMIF(WITHDRAWALS!$A:$A,A134,WITHDRAWALS!$E:$E)),"")</f>
        <v/>
      </c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3">
        <f>IFERROR(SUMIF(SAVINGS!$A:$A,DATABASE!A135,SAVINGS!$E:$E),"")</f>
        <v/>
      </c>
      <c r="J135" s="13">
        <f>IFERROR(IF(A135="","",SUMIF(SAVINGS!$A:$A,A135,SAVINGS!$E:$E)-SUMIF(WITHDRAWALS!$A:$A,A135,WITHDRAWALS!$E:$E)),"")</f>
        <v/>
      </c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5">
        <f>IFERROR(SUMIF(SAVINGS!$A:$A,DATABASE!A136,SAVINGS!$E:$E),"")</f>
        <v/>
      </c>
      <c r="J136" s="15">
        <f>IFERROR(IF(A136="","",SUMIF(SAVINGS!$A:$A,A136,SAVINGS!$E:$E)-SUMIF(WITHDRAWALS!$A:$A,A136,WITHDRAWALS!$E:$E)),"")</f>
        <v/>
      </c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3">
        <f>IFERROR(SUMIF(SAVINGS!$A:$A,DATABASE!A137,SAVINGS!$E:$E),"")</f>
        <v/>
      </c>
      <c r="J137" s="13">
        <f>IFERROR(IF(A137="","",SUMIF(SAVINGS!$A:$A,A137,SAVINGS!$E:$E)-SUMIF(WITHDRAWALS!$A:$A,A137,WITHDRAWALS!$E:$E)),"")</f>
        <v/>
      </c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5">
        <f>IFERROR(SUMIF(SAVINGS!$A:$A,DATABASE!A138,SAVINGS!$E:$E),"")</f>
        <v/>
      </c>
      <c r="J138" s="15">
        <f>IFERROR(IF(A138="","",SUMIF(SAVINGS!$A:$A,A138,SAVINGS!$E:$E)-SUMIF(WITHDRAWALS!$A:$A,A138,WITHDRAWALS!$E:$E)),"")</f>
        <v/>
      </c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3">
        <f>IFERROR(SUMIF(SAVINGS!$A:$A,DATABASE!A139,SAVINGS!$E:$E),"")</f>
        <v/>
      </c>
      <c r="J139" s="13">
        <f>IFERROR(IF(A139="","",SUMIF(SAVINGS!$A:$A,A139,SAVINGS!$E:$E)-SUMIF(WITHDRAWALS!$A:$A,A139,WITHDRAWALS!$E:$E)),"")</f>
        <v/>
      </c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5">
        <f>IFERROR(SUMIF(SAVINGS!$A:$A,DATABASE!A140,SAVINGS!$E:$E),"")</f>
        <v/>
      </c>
      <c r="J140" s="15">
        <f>IFERROR(IF(A140="","",SUMIF(SAVINGS!$A:$A,A140,SAVINGS!$E:$E)-SUMIF(WITHDRAWALS!$A:$A,A140,WITHDRAWALS!$E:$E)),"")</f>
        <v/>
      </c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3">
        <f>IFERROR(SUMIF(SAVINGS!$A:$A,DATABASE!A141,SAVINGS!$E:$E),"")</f>
        <v/>
      </c>
      <c r="J141" s="13">
        <f>IFERROR(IF(A141="","",SUMIF(SAVINGS!$A:$A,A141,SAVINGS!$E:$E)-SUMIF(WITHDRAWALS!$A:$A,A141,WITHDRAWALS!$E:$E)),"")</f>
        <v/>
      </c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5">
        <f>IFERROR(SUMIF(SAVINGS!$A:$A,DATABASE!A142,SAVINGS!$E:$E),"")</f>
        <v/>
      </c>
      <c r="J142" s="15">
        <f>IFERROR(IF(A142="","",SUMIF(SAVINGS!$A:$A,A142,SAVINGS!$E:$E)-SUMIF(WITHDRAWALS!$A:$A,A142,WITHDRAWALS!$E:$E)),"")</f>
        <v/>
      </c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3">
        <f>IFERROR(SUMIF(SAVINGS!$A:$A,DATABASE!A143,SAVINGS!$E:$E),"")</f>
        <v/>
      </c>
      <c r="J143" s="13">
        <f>IFERROR(IF(A143="","",SUMIF(SAVINGS!$A:$A,A143,SAVINGS!$E:$E)-SUMIF(WITHDRAWALS!$A:$A,A143,WITHDRAWALS!$E:$E)),"")</f>
        <v/>
      </c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5">
        <f>IFERROR(SUMIF(SAVINGS!$A:$A,DATABASE!A144,SAVINGS!$E:$E),"")</f>
        <v/>
      </c>
      <c r="J144" s="15">
        <f>IFERROR(IF(A144="","",SUMIF(SAVINGS!$A:$A,A144,SAVINGS!$E:$E)-SUMIF(WITHDRAWALS!$A:$A,A144,WITHDRAWALS!$E:$E)),"")</f>
        <v/>
      </c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3">
        <f>IFERROR(SUMIF(SAVINGS!$A:$A,DATABASE!A145,SAVINGS!$E:$E),"")</f>
        <v/>
      </c>
      <c r="J145" s="13">
        <f>IFERROR(IF(A145="","",SUMIF(SAVINGS!$A:$A,A145,SAVINGS!$E:$E)-SUMIF(WITHDRAWALS!$A:$A,A145,WITHDRAWALS!$E:$E)),"")</f>
        <v/>
      </c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5">
        <f>IFERROR(SUMIF(SAVINGS!$A:$A,DATABASE!A146,SAVINGS!$E:$E),"")</f>
        <v/>
      </c>
      <c r="J146" s="15">
        <f>IFERROR(IF(A146="","",SUMIF(SAVINGS!$A:$A,A146,SAVINGS!$E:$E)-SUMIF(WITHDRAWALS!$A:$A,A146,WITHDRAWALS!$E:$E)),"")</f>
        <v/>
      </c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3">
        <f>IFERROR(SUMIF(SAVINGS!$A:$A,DATABASE!A147,SAVINGS!$E:$E),"")</f>
        <v/>
      </c>
      <c r="J147" s="13">
        <f>IFERROR(IF(A147="","",SUMIF(SAVINGS!$A:$A,A147,SAVINGS!$E:$E)-SUMIF(WITHDRAWALS!$A:$A,A147,WITHDRAWALS!$E:$E)),"")</f>
        <v/>
      </c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5">
        <f>IFERROR(SUMIF(SAVINGS!$A:$A,DATABASE!A148,SAVINGS!$E:$E),"")</f>
        <v/>
      </c>
      <c r="J148" s="15">
        <f>IFERROR(IF(A148="","",SUMIF(SAVINGS!$A:$A,A148,SAVINGS!$E:$E)-SUMIF(WITHDRAWALS!$A:$A,A148,WITHDRAWALS!$E:$E)),"")</f>
        <v/>
      </c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3">
        <f>IFERROR(SUMIF(SAVINGS!$A:$A,DATABASE!A149,SAVINGS!$E:$E),"")</f>
        <v/>
      </c>
      <c r="J149" s="13">
        <f>IFERROR(IF(A149="","",SUMIF(SAVINGS!$A:$A,A149,SAVINGS!$E:$E)-SUMIF(WITHDRAWALS!$A:$A,A149,WITHDRAWALS!$E:$E)),"")</f>
        <v/>
      </c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5">
        <f>IFERROR(SUMIF(SAVINGS!$A:$A,DATABASE!A150,SAVINGS!$E:$E),"")</f>
        <v/>
      </c>
      <c r="J150" s="15">
        <f>IFERROR(IF(A150="","",SUMIF(SAVINGS!$A:$A,A150,SAVINGS!$E:$E)-SUMIF(WITHDRAWALS!$A:$A,A150,WITHDRAWALS!$E:$E)),"")</f>
        <v/>
      </c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3">
        <f>IFERROR(SUMIF(SAVINGS!$A:$A,DATABASE!A151,SAVINGS!$E:$E),"")</f>
        <v/>
      </c>
      <c r="J151" s="13">
        <f>IFERROR(IF(A151="","",SUMIF(SAVINGS!$A:$A,A151,SAVINGS!$E:$E)-SUMIF(WITHDRAWALS!$A:$A,A151,WITHDRAWALS!$E:$E)),"")</f>
        <v/>
      </c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5">
        <f>IFERROR(SUMIF(SAVINGS!$A:$A,DATABASE!A152,SAVINGS!$E:$E),"")</f>
        <v/>
      </c>
      <c r="J152" s="15">
        <f>IFERROR(IF(A152="","",SUMIF(SAVINGS!$A:$A,A152,SAVINGS!$E:$E)-SUMIF(WITHDRAWALS!$A:$A,A152,WITHDRAWALS!$E:$E)),"")</f>
        <v/>
      </c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3">
        <f>IFERROR(SUMIF(SAVINGS!$A:$A,DATABASE!A153,SAVINGS!$E:$E),"")</f>
        <v/>
      </c>
      <c r="J153" s="13">
        <f>IFERROR(IF(A153="","",SUMIF(SAVINGS!$A:$A,A153,SAVINGS!$E:$E)-SUMIF(WITHDRAWALS!$A:$A,A153,WITHDRAWALS!$E:$E)),"")</f>
        <v/>
      </c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5">
        <f>IFERROR(SUMIF(SAVINGS!$A:$A,DATABASE!A154,SAVINGS!$E:$E),"")</f>
        <v/>
      </c>
      <c r="J154" s="15">
        <f>IFERROR(IF(A154="","",SUMIF(SAVINGS!$A:$A,A154,SAVINGS!$E:$E)-SUMIF(WITHDRAWALS!$A:$A,A154,WITHDRAWALS!$E:$E)),"")</f>
        <v/>
      </c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3">
        <f>IFERROR(SUMIF(SAVINGS!$A:$A,DATABASE!A155,SAVINGS!$E:$E),"")</f>
        <v/>
      </c>
      <c r="J155" s="13">
        <f>IFERROR(IF(A155="","",SUMIF(SAVINGS!$A:$A,A155,SAVINGS!$E:$E)-SUMIF(WITHDRAWALS!$A:$A,A155,WITHDRAWALS!$E:$E)),"")</f>
        <v/>
      </c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5">
        <f>IFERROR(SUMIF(SAVINGS!$A:$A,DATABASE!A156,SAVINGS!$E:$E),"")</f>
        <v/>
      </c>
      <c r="J156" s="15">
        <f>IFERROR(IF(A156="","",SUMIF(SAVINGS!$A:$A,A156,SAVINGS!$E:$E)-SUMIF(WITHDRAWALS!$A:$A,A156,WITHDRAWALS!$E:$E)),"")</f>
        <v/>
      </c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3">
        <f>IFERROR(SUMIF(SAVINGS!$A:$A,DATABASE!A157,SAVINGS!$E:$E),"")</f>
        <v/>
      </c>
      <c r="J157" s="13">
        <f>IFERROR(IF(A157="","",SUMIF(SAVINGS!$A:$A,A157,SAVINGS!$E:$E)-SUMIF(WITHDRAWALS!$A:$A,A157,WITHDRAWALS!$E:$E)),"")</f>
        <v/>
      </c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5">
        <f>IFERROR(SUMIF(SAVINGS!$A:$A,DATABASE!A158,SAVINGS!$E:$E),"")</f>
        <v/>
      </c>
      <c r="J158" s="15">
        <f>IFERROR(IF(A158="","",SUMIF(SAVINGS!$A:$A,A158,SAVINGS!$E:$E)-SUMIF(WITHDRAWALS!$A:$A,A158,WITHDRAWALS!$E:$E)),"")</f>
        <v/>
      </c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3">
        <f>IFERROR(SUMIF(SAVINGS!$A:$A,DATABASE!A159,SAVINGS!$E:$E),"")</f>
        <v/>
      </c>
      <c r="J159" s="13">
        <f>IFERROR(IF(A159="","",SUMIF(SAVINGS!$A:$A,A159,SAVINGS!$E:$E)-SUMIF(WITHDRAWALS!$A:$A,A159,WITHDRAWALS!$E:$E)),"")</f>
        <v/>
      </c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5">
        <f>IFERROR(SUMIF(SAVINGS!$A:$A,DATABASE!A160,SAVINGS!$E:$E),"")</f>
        <v/>
      </c>
      <c r="J160" s="15">
        <f>IFERROR(IF(A160="","",SUMIF(SAVINGS!$A:$A,A160,SAVINGS!$E:$E)-SUMIF(WITHDRAWALS!$A:$A,A160,WITHDRAWALS!$E:$E)),"")</f>
        <v/>
      </c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3">
        <f>IFERROR(SUMIF(SAVINGS!$A:$A,DATABASE!A161,SAVINGS!$E:$E),"")</f>
        <v/>
      </c>
      <c r="J161" s="13">
        <f>IFERROR(IF(A161="","",SUMIF(SAVINGS!$A:$A,A161,SAVINGS!$E:$E)-SUMIF(WITHDRAWALS!$A:$A,A161,WITHDRAWALS!$E:$E)),"")</f>
        <v/>
      </c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5">
        <f>IFERROR(SUMIF(SAVINGS!$A:$A,DATABASE!A162,SAVINGS!$E:$E),"")</f>
        <v/>
      </c>
      <c r="J162" s="15">
        <f>IFERROR(IF(A162="","",SUMIF(SAVINGS!$A:$A,A162,SAVINGS!$E:$E)-SUMIF(WITHDRAWALS!$A:$A,A162,WITHDRAWALS!$E:$E)),"")</f>
        <v/>
      </c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3">
        <f>IFERROR(SUMIF(SAVINGS!$A:$A,DATABASE!A163,SAVINGS!$E:$E),"")</f>
        <v/>
      </c>
      <c r="J163" s="13">
        <f>IFERROR(IF(A163="","",SUMIF(SAVINGS!$A:$A,A163,SAVINGS!$E:$E)-SUMIF(WITHDRAWALS!$A:$A,A163,WITHDRAWALS!$E:$E)),"")</f>
        <v/>
      </c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5">
        <f>IFERROR(SUMIF(SAVINGS!$A:$A,DATABASE!A164,SAVINGS!$E:$E),"")</f>
        <v/>
      </c>
      <c r="J164" s="15">
        <f>IFERROR(IF(A164="","",SUMIF(SAVINGS!$A:$A,A164,SAVINGS!$E:$E)-SUMIF(WITHDRAWALS!$A:$A,A164,WITHDRAWALS!$E:$E)),"")</f>
        <v/>
      </c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3">
        <f>IFERROR(SUMIF(SAVINGS!$A:$A,DATABASE!A165,SAVINGS!$E:$E),"")</f>
        <v/>
      </c>
      <c r="J165" s="13">
        <f>IFERROR(IF(A165="","",SUMIF(SAVINGS!$A:$A,A165,SAVINGS!$E:$E)-SUMIF(WITHDRAWALS!$A:$A,A165,WITHDRAWALS!$E:$E)),"")</f>
        <v/>
      </c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5">
        <f>IFERROR(SUMIF(SAVINGS!$A:$A,DATABASE!A166,SAVINGS!$E:$E),"")</f>
        <v/>
      </c>
      <c r="J166" s="15">
        <f>IFERROR(IF(A166="","",SUMIF(SAVINGS!$A:$A,A166,SAVINGS!$E:$E)-SUMIF(WITHDRAWALS!$A:$A,A166,WITHDRAWALS!$E:$E)),"")</f>
        <v/>
      </c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3">
        <f>IFERROR(SUMIF(SAVINGS!$A:$A,DATABASE!A167,SAVINGS!$E:$E),"")</f>
        <v/>
      </c>
      <c r="J167" s="13">
        <f>IFERROR(IF(A167="","",SUMIF(SAVINGS!$A:$A,A167,SAVINGS!$E:$E)-SUMIF(WITHDRAWALS!$A:$A,A167,WITHDRAWALS!$E:$E)),"")</f>
        <v/>
      </c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5">
        <f>IFERROR(SUMIF(SAVINGS!$A:$A,DATABASE!A168,SAVINGS!$E:$E),"")</f>
        <v/>
      </c>
      <c r="J168" s="15">
        <f>IFERROR(IF(A168="","",SUMIF(SAVINGS!$A:$A,A168,SAVINGS!$E:$E)-SUMIF(WITHDRAWALS!$A:$A,A168,WITHDRAWALS!$E:$E)),"")</f>
        <v/>
      </c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3">
        <f>IFERROR(SUMIF(SAVINGS!$A:$A,DATABASE!A169,SAVINGS!$E:$E),"")</f>
        <v/>
      </c>
      <c r="J169" s="13">
        <f>IFERROR(IF(A169="","",SUMIF(SAVINGS!$A:$A,A169,SAVINGS!$E:$E)-SUMIF(WITHDRAWALS!$A:$A,A169,WITHDRAWALS!$E:$E)),"")</f>
        <v/>
      </c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5">
        <f>IFERROR(SUMIF(SAVINGS!$A:$A,DATABASE!A170,SAVINGS!$E:$E),"")</f>
        <v/>
      </c>
      <c r="J170" s="15">
        <f>IFERROR(IF(A170="","",SUMIF(SAVINGS!$A:$A,A170,SAVINGS!$E:$E)-SUMIF(WITHDRAWALS!$A:$A,A170,WITHDRAWALS!$E:$E)),"")</f>
        <v/>
      </c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3">
        <f>IFERROR(SUMIF(SAVINGS!$A:$A,DATABASE!A171,SAVINGS!$E:$E),"")</f>
        <v/>
      </c>
      <c r="J171" s="13">
        <f>IFERROR(IF(A171="","",SUMIF(SAVINGS!$A:$A,A171,SAVINGS!$E:$E)-SUMIF(WITHDRAWALS!$A:$A,A171,WITHDRAWALS!$E:$E)),"")</f>
        <v/>
      </c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5">
        <f>IFERROR(SUMIF(SAVINGS!$A:$A,DATABASE!A172,SAVINGS!$E:$E),"")</f>
        <v/>
      </c>
      <c r="J172" s="15">
        <f>IFERROR(IF(A172="","",SUMIF(SAVINGS!$A:$A,A172,SAVINGS!$E:$E)-SUMIF(WITHDRAWALS!$A:$A,A172,WITHDRAWALS!$E:$E)),"")</f>
        <v/>
      </c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3">
        <f>IFERROR(SUMIF(SAVINGS!$A:$A,DATABASE!A173,SAVINGS!$E:$E),"")</f>
        <v/>
      </c>
      <c r="J173" s="13">
        <f>IFERROR(IF(A173="","",SUMIF(SAVINGS!$A:$A,A173,SAVINGS!$E:$E)-SUMIF(WITHDRAWALS!$A:$A,A173,WITHDRAWALS!$E:$E)),"")</f>
        <v/>
      </c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5">
        <f>IFERROR(SUMIF(SAVINGS!$A:$A,DATABASE!A174,SAVINGS!$E:$E),"")</f>
        <v/>
      </c>
      <c r="J174" s="15">
        <f>IFERROR(IF(A174="","",SUMIF(SAVINGS!$A:$A,A174,SAVINGS!$E:$E)-SUMIF(WITHDRAWALS!$A:$A,A174,WITHDRAWALS!$E:$E)),"")</f>
        <v/>
      </c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3">
        <f>IFERROR(SUMIF(SAVINGS!$A:$A,DATABASE!A175,SAVINGS!$E:$E),"")</f>
        <v/>
      </c>
      <c r="J175" s="13">
        <f>IFERROR(IF(A175="","",SUMIF(SAVINGS!$A:$A,A175,SAVINGS!$E:$E)-SUMIF(WITHDRAWALS!$A:$A,A175,WITHDRAWALS!$E:$E)),"")</f>
        <v/>
      </c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5">
        <f>IFERROR(SUMIF(SAVINGS!$A:$A,DATABASE!A176,SAVINGS!$E:$E),"")</f>
        <v/>
      </c>
      <c r="J176" s="15">
        <f>IFERROR(IF(A176="","",SUMIF(SAVINGS!$A:$A,A176,SAVINGS!$E:$E)-SUMIF(WITHDRAWALS!$A:$A,A176,WITHDRAWALS!$E:$E)),"")</f>
        <v/>
      </c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3">
        <f>IFERROR(SUMIF(SAVINGS!$A:$A,DATABASE!A177,SAVINGS!$E:$E),"")</f>
        <v/>
      </c>
      <c r="J177" s="13">
        <f>IFERROR(IF(A177="","",SUMIF(SAVINGS!$A:$A,A177,SAVINGS!$E:$E)-SUMIF(WITHDRAWALS!$A:$A,A177,WITHDRAWALS!$E:$E)),"")</f>
        <v/>
      </c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5">
        <f>IFERROR(SUMIF(SAVINGS!$A:$A,DATABASE!A178,SAVINGS!$E:$E),"")</f>
        <v/>
      </c>
      <c r="J178" s="15">
        <f>IFERROR(IF(A178="","",SUMIF(SAVINGS!$A:$A,A178,SAVINGS!$E:$E)-SUMIF(WITHDRAWALS!$A:$A,A178,WITHDRAWALS!$E:$E)),"")</f>
        <v/>
      </c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3">
        <f>IFERROR(SUMIF(SAVINGS!$A:$A,DATABASE!A179,SAVINGS!$E:$E),"")</f>
        <v/>
      </c>
      <c r="J179" s="13">
        <f>IFERROR(IF(A179="","",SUMIF(SAVINGS!$A:$A,A179,SAVINGS!$E:$E)-SUMIF(WITHDRAWALS!$A:$A,A179,WITHDRAWALS!$E:$E)),"")</f>
        <v/>
      </c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5">
        <f>IFERROR(SUMIF(SAVINGS!$A:$A,DATABASE!A180,SAVINGS!$E:$E),"")</f>
        <v/>
      </c>
      <c r="J180" s="15">
        <f>IFERROR(IF(A180="","",SUMIF(SAVINGS!$A:$A,A180,SAVINGS!$E:$E)-SUMIF(WITHDRAWALS!$A:$A,A180,WITHDRAWALS!$E:$E)),"")</f>
        <v/>
      </c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3">
        <f>IFERROR(SUMIF(SAVINGS!$A:$A,DATABASE!A181,SAVINGS!$E:$E),"")</f>
        <v/>
      </c>
      <c r="J181" s="13">
        <f>IFERROR(IF(A181="","",SUMIF(SAVINGS!$A:$A,A181,SAVINGS!$E:$E)-SUMIF(WITHDRAWALS!$A:$A,A181,WITHDRAWALS!$E:$E)),"")</f>
        <v/>
      </c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5">
        <f>IFERROR(SUMIF(SAVINGS!$A:$A,DATABASE!A182,SAVINGS!$E:$E),"")</f>
        <v/>
      </c>
      <c r="J182" s="15">
        <f>IFERROR(IF(A182="","",SUMIF(SAVINGS!$A:$A,A182,SAVINGS!$E:$E)-SUMIF(WITHDRAWALS!$A:$A,A182,WITHDRAWALS!$E:$E)),"")</f>
        <v/>
      </c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3">
        <f>IFERROR(SUMIF(SAVINGS!$A:$A,DATABASE!A183,SAVINGS!$E:$E),"")</f>
        <v/>
      </c>
      <c r="J183" s="13">
        <f>IFERROR(IF(A183="","",SUMIF(SAVINGS!$A:$A,A183,SAVINGS!$E:$E)-SUMIF(WITHDRAWALS!$A:$A,A183,WITHDRAWALS!$E:$E)),"")</f>
        <v/>
      </c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5">
        <f>IFERROR(SUMIF(SAVINGS!$A:$A,DATABASE!A184,SAVINGS!$E:$E),"")</f>
        <v/>
      </c>
      <c r="J184" s="15">
        <f>IFERROR(IF(A184="","",SUMIF(SAVINGS!$A:$A,A184,SAVINGS!$E:$E)-SUMIF(WITHDRAWALS!$A:$A,A184,WITHDRAWALS!$E:$E)),"")</f>
        <v/>
      </c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3">
        <f>IFERROR(SUMIF(SAVINGS!$A:$A,DATABASE!A185,SAVINGS!$E:$E),"")</f>
        <v/>
      </c>
      <c r="J185" s="13">
        <f>IFERROR(IF(A185="","",SUMIF(SAVINGS!$A:$A,A185,SAVINGS!$E:$E)-SUMIF(WITHDRAWALS!$A:$A,A185,WITHDRAWALS!$E:$E)),"")</f>
        <v/>
      </c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5">
        <f>IFERROR(SUMIF(SAVINGS!$A:$A,DATABASE!A186,SAVINGS!$E:$E),"")</f>
        <v/>
      </c>
      <c r="J186" s="15">
        <f>IFERROR(IF(A186="","",SUMIF(SAVINGS!$A:$A,A186,SAVINGS!$E:$E)-SUMIF(WITHDRAWALS!$A:$A,A186,WITHDRAWALS!$E:$E)),"")</f>
        <v/>
      </c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3">
        <f>IFERROR(SUMIF(SAVINGS!$A:$A,DATABASE!A187,SAVINGS!$E:$E),"")</f>
        <v/>
      </c>
      <c r="J187" s="13">
        <f>IFERROR(IF(A187="","",SUMIF(SAVINGS!$A:$A,A187,SAVINGS!$E:$E)-SUMIF(WITHDRAWALS!$A:$A,A187,WITHDRAWALS!$E:$E)),"")</f>
        <v/>
      </c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5">
        <f>IFERROR(SUMIF(SAVINGS!$A:$A,DATABASE!A188,SAVINGS!$E:$E),"")</f>
        <v/>
      </c>
      <c r="J188" s="15">
        <f>IFERROR(IF(A188="","",SUMIF(SAVINGS!$A:$A,A188,SAVINGS!$E:$E)-SUMIF(WITHDRAWALS!$A:$A,A188,WITHDRAWALS!$E:$E)),"")</f>
        <v/>
      </c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3">
        <f>IFERROR(SUMIF(SAVINGS!$A:$A,DATABASE!A189,SAVINGS!$E:$E),"")</f>
        <v/>
      </c>
      <c r="J189" s="13">
        <f>IFERROR(IF(A189="","",SUMIF(SAVINGS!$A:$A,A189,SAVINGS!$E:$E)-SUMIF(WITHDRAWALS!$A:$A,A189,WITHDRAWALS!$E:$E)),"")</f>
        <v/>
      </c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5">
        <f>IFERROR(SUMIF(SAVINGS!$A:$A,DATABASE!A190,SAVINGS!$E:$E),"")</f>
        <v/>
      </c>
      <c r="J190" s="15">
        <f>IFERROR(IF(A190="","",SUMIF(SAVINGS!$A:$A,A190,SAVINGS!$E:$E)-SUMIF(WITHDRAWALS!$A:$A,A190,WITHDRAWALS!$E:$E)),"")</f>
        <v/>
      </c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3">
        <f>IFERROR(SUMIF(SAVINGS!$A:$A,DATABASE!A191,SAVINGS!$E:$E),"")</f>
        <v/>
      </c>
      <c r="J191" s="13">
        <f>IFERROR(IF(A191="","",SUMIF(SAVINGS!$A:$A,A191,SAVINGS!$E:$E)-SUMIF(WITHDRAWALS!$A:$A,A191,WITHDRAWALS!$E:$E)),"")</f>
        <v/>
      </c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5">
        <f>IFERROR(SUMIF(SAVINGS!$A:$A,DATABASE!A192,SAVINGS!$E:$E),"")</f>
        <v/>
      </c>
      <c r="J192" s="15">
        <f>IFERROR(IF(A192="","",SUMIF(SAVINGS!$A:$A,A192,SAVINGS!$E:$E)-SUMIF(WITHDRAWALS!$A:$A,A192,WITHDRAWALS!$E:$E)),"")</f>
        <v/>
      </c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3">
        <f>IFERROR(SUMIF(SAVINGS!$A:$A,DATABASE!A193,SAVINGS!$E:$E),"")</f>
        <v/>
      </c>
      <c r="J193" s="13">
        <f>IFERROR(IF(A193="","",SUMIF(SAVINGS!$A:$A,A193,SAVINGS!$E:$E)-SUMIF(WITHDRAWALS!$A:$A,A193,WITHDRAWALS!$E:$E)),"")</f>
        <v/>
      </c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5">
        <f>IFERROR(SUMIF(SAVINGS!$A:$A,DATABASE!A194,SAVINGS!$E:$E),"")</f>
        <v/>
      </c>
      <c r="J194" s="15">
        <f>IFERROR(IF(A194="","",SUMIF(SAVINGS!$A:$A,A194,SAVINGS!$E:$E)-SUMIF(WITHDRAWALS!$A:$A,A194,WITHDRAWALS!$E:$E)),"")</f>
        <v/>
      </c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3">
        <f>IFERROR(SUMIF(SAVINGS!$A:$A,DATABASE!A195,SAVINGS!$E:$E),"")</f>
        <v/>
      </c>
      <c r="J195" s="13">
        <f>IFERROR(IF(A195="","",SUMIF(SAVINGS!$A:$A,A195,SAVINGS!$E:$E)-SUMIF(WITHDRAWALS!$A:$A,A195,WITHDRAWALS!$E:$E)),"")</f>
        <v/>
      </c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5">
        <f>IFERROR(SUMIF(SAVINGS!$A:$A,DATABASE!A196,SAVINGS!$E:$E),"")</f>
        <v/>
      </c>
      <c r="J196" s="15">
        <f>IFERROR(IF(A196="","",SUMIF(SAVINGS!$A:$A,A196,SAVINGS!$E:$E)-SUMIF(WITHDRAWALS!$A:$A,A196,WITHDRAWALS!$E:$E)),"")</f>
        <v/>
      </c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3">
        <f>IFERROR(SUMIF(SAVINGS!$A:$A,DATABASE!A197,SAVINGS!$E:$E),"")</f>
        <v/>
      </c>
      <c r="J197" s="13">
        <f>IFERROR(IF(A197="","",SUMIF(SAVINGS!$A:$A,A197,SAVINGS!$E:$E)-SUMIF(WITHDRAWALS!$A:$A,A197,WITHDRAWALS!$E:$E)),"")</f>
        <v/>
      </c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5">
        <f>IFERROR(SUMIF(SAVINGS!$A:$A,DATABASE!A198,SAVINGS!$E:$E),"")</f>
        <v/>
      </c>
      <c r="J198" s="15">
        <f>IFERROR(IF(A198="","",SUMIF(SAVINGS!$A:$A,A198,SAVINGS!$E:$E)-SUMIF(WITHDRAWALS!$A:$A,A198,WITHDRAWALS!$E:$E)),"")</f>
        <v/>
      </c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3">
        <f>IFERROR(SUMIF(SAVINGS!$A:$A,DATABASE!A199,SAVINGS!$E:$E),"")</f>
        <v/>
      </c>
      <c r="J199" s="13">
        <f>IFERROR(IF(A199="","",SUMIF(SAVINGS!$A:$A,A199,SAVINGS!$E:$E)-SUMIF(WITHDRAWALS!$A:$A,A199,WITHDRAWALS!$E:$E)),"")</f>
        <v/>
      </c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5">
        <f>IFERROR(SUMIF(SAVINGS!$A:$A,DATABASE!A200,SAVINGS!$E:$E),"")</f>
        <v/>
      </c>
      <c r="J200" s="15">
        <f>IFERROR(IF(A200="","",SUMIF(SAVINGS!$A:$A,A200,SAVINGS!$E:$E)-SUMIF(WITHDRAWALS!$A:$A,A200,WITHDRAWALS!$E:$E)),"")</f>
        <v/>
      </c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3">
        <f>IFERROR(SUMIF(SAVINGS!$A:$A,DATABASE!A201,SAVINGS!$E:$E),"")</f>
        <v/>
      </c>
      <c r="J201" s="13">
        <f>IFERROR(IF(A201="","",SUMIF(SAVINGS!$A:$A,A201,SAVINGS!$E:$E)-SUMIF(WITHDRAWALS!$A:$A,A201,WITHDRAWALS!$E:$E)),"")</f>
        <v/>
      </c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5">
        <f>IFERROR(SUMIF(SAVINGS!$A:$A,DATABASE!A202,SAVINGS!$E:$E),"")</f>
        <v/>
      </c>
      <c r="J202" s="15">
        <f>IFERROR(IF(A202="","",SUMIF(SAVINGS!$A:$A,A202,SAVINGS!$E:$E)-SUMIF(WITHDRAWALS!$A:$A,A202,WITHDRAWALS!$E:$E)),"")</f>
        <v/>
      </c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3">
        <f>IFERROR(SUMIF(SAVINGS!$A:$A,DATABASE!A203,SAVINGS!$E:$E),"")</f>
        <v/>
      </c>
      <c r="J203" s="13">
        <f>IFERROR(IF(A203="","",SUMIF(SAVINGS!$A:$A,A203,SAVINGS!$E:$E)-SUMIF(WITHDRAWALS!$A:$A,A203,WITHDRAWALS!$E:$E)),"")</f>
        <v/>
      </c>
    </row>
    <row r="204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5">
        <f>IFERROR(SUMIF(SAVINGS!$A:$A,DATABASE!A204,SAVINGS!$E:$E),"")</f>
        <v/>
      </c>
      <c r="J204" s="15">
        <f>IFERROR(IF(A204="","",SUMIF(SAVINGS!$A:$A,A204,SAVINGS!$E:$E)-SUMIF(WITHDRAWALS!$A:$A,A204,WITHDRAWALS!$E:$E)),"")</f>
        <v/>
      </c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3">
        <f>IFERROR(SUMIF(SAVINGS!$A:$A,DATABASE!A205,SAVINGS!$E:$E),"")</f>
        <v/>
      </c>
      <c r="J205" s="13">
        <f>IFERROR(IF(A205="","",SUMIF(SAVINGS!$A:$A,A205,SAVINGS!$E:$E)-SUMIF(WITHDRAWALS!$A:$A,A205,WITHDRAWALS!$E:$E)),"")</f>
        <v/>
      </c>
    </row>
    <row r="20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5">
        <f>IFERROR(SUMIF(SAVINGS!$A:$A,DATABASE!A206,SAVINGS!$E:$E),"")</f>
        <v/>
      </c>
      <c r="J206" s="15">
        <f>IFERROR(IF(A206="","",SUMIF(SAVINGS!$A:$A,A206,SAVINGS!$E:$E)-SUMIF(WITHDRAWALS!$A:$A,A206,WITHDRAWALS!$E:$E)),"")</f>
        <v/>
      </c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3">
        <f>IFERROR(SUMIF(SAVINGS!$A:$A,DATABASE!A207,SAVINGS!$E:$E),"")</f>
        <v/>
      </c>
      <c r="J207" s="13">
        <f>IFERROR(IF(A207="","",SUMIF(SAVINGS!$A:$A,A207,SAVINGS!$E:$E)-SUMIF(WITHDRAWALS!$A:$A,A207,WITHDRAWALS!$E:$E)),"")</f>
        <v/>
      </c>
    </row>
    <row r="208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5">
        <f>IFERROR(SUMIF(SAVINGS!$A:$A,DATABASE!A208,SAVINGS!$E:$E),"")</f>
        <v/>
      </c>
      <c r="J208" s="15">
        <f>IFERROR(IF(A208="","",SUMIF(SAVINGS!$A:$A,A208,SAVINGS!$E:$E)-SUMIF(WITHDRAWALS!$A:$A,A208,WITHDRAWALS!$E:$E)),"")</f>
        <v/>
      </c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3">
        <f>IFERROR(SUMIF(SAVINGS!$A:$A,DATABASE!A209,SAVINGS!$E:$E),"")</f>
        <v/>
      </c>
      <c r="J209" s="13">
        <f>IFERROR(IF(A209="","",SUMIF(SAVINGS!$A:$A,A209,SAVINGS!$E:$E)-SUMIF(WITHDRAWALS!$A:$A,A209,WITHDRAWALS!$E:$E)),"")</f>
        <v/>
      </c>
    </row>
    <row r="210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5">
        <f>IFERROR(SUMIF(SAVINGS!$A:$A,DATABASE!A210,SAVINGS!$E:$E),"")</f>
        <v/>
      </c>
      <c r="J210" s="15">
        <f>IFERROR(IF(A210="","",SUMIF(SAVINGS!$A:$A,A210,SAVINGS!$E:$E)-SUMIF(WITHDRAWALS!$A:$A,A210,WITHDRAWALS!$E:$E)),"")</f>
        <v/>
      </c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3">
        <f>IFERROR(SUMIF(SAVINGS!$A:$A,DATABASE!A211,SAVINGS!$E:$E),"")</f>
        <v/>
      </c>
      <c r="J211" s="13">
        <f>IFERROR(IF(A211="","",SUMIF(SAVINGS!$A:$A,A211,SAVINGS!$E:$E)-SUMIF(WITHDRAWALS!$A:$A,A211,WITHDRAWALS!$E:$E)),"")</f>
        <v/>
      </c>
    </row>
    <row r="212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5">
        <f>IFERROR(SUMIF(SAVINGS!$A:$A,DATABASE!A212,SAVINGS!$E:$E),"")</f>
        <v/>
      </c>
      <c r="J212" s="15">
        <f>IFERROR(IF(A212="","",SUMIF(SAVINGS!$A:$A,A212,SAVINGS!$E:$E)-SUMIF(WITHDRAWALS!$A:$A,A212,WITHDRAWALS!$E:$E)),"")</f>
        <v/>
      </c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3">
        <f>IFERROR(SUMIF(SAVINGS!$A:$A,DATABASE!A213,SAVINGS!$E:$E),"")</f>
        <v/>
      </c>
      <c r="J213" s="13">
        <f>IFERROR(IF(A213="","",SUMIF(SAVINGS!$A:$A,A213,SAVINGS!$E:$E)-SUMIF(WITHDRAWALS!$A:$A,A213,WITHDRAWALS!$E:$E)),"")</f>
        <v/>
      </c>
    </row>
    <row r="214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5">
        <f>IFERROR(SUMIF(SAVINGS!$A:$A,DATABASE!A214,SAVINGS!$E:$E),"")</f>
        <v/>
      </c>
      <c r="J214" s="15">
        <f>IFERROR(IF(A214="","",SUMIF(SAVINGS!$A:$A,A214,SAVINGS!$E:$E)-SUMIF(WITHDRAWALS!$A:$A,A214,WITHDRAWALS!$E:$E)),"")</f>
        <v/>
      </c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3">
        <f>IFERROR(SUMIF(SAVINGS!$A:$A,DATABASE!A215,SAVINGS!$E:$E),"")</f>
        <v/>
      </c>
      <c r="J215" s="13">
        <f>IFERROR(IF(A215="","",SUMIF(SAVINGS!$A:$A,A215,SAVINGS!$E:$E)-SUMIF(WITHDRAWALS!$A:$A,A215,WITHDRAWALS!$E:$E)),"")</f>
        <v/>
      </c>
    </row>
    <row r="21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5">
        <f>IFERROR(SUMIF(SAVINGS!$A:$A,DATABASE!A216,SAVINGS!$E:$E),"")</f>
        <v/>
      </c>
      <c r="J216" s="15">
        <f>IFERROR(IF(A216="","",SUMIF(SAVINGS!$A:$A,A216,SAVINGS!$E:$E)-SUMIF(WITHDRAWALS!$A:$A,A216,WITHDRAWALS!$E:$E)),"")</f>
        <v/>
      </c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3">
        <f>IFERROR(SUMIF(SAVINGS!$A:$A,DATABASE!A217,SAVINGS!$E:$E),"")</f>
        <v/>
      </c>
      <c r="J217" s="13">
        <f>IFERROR(IF(A217="","",SUMIF(SAVINGS!$A:$A,A217,SAVINGS!$E:$E)-SUMIF(WITHDRAWALS!$A:$A,A217,WITHDRAWALS!$E:$E)),"")</f>
        <v/>
      </c>
    </row>
    <row r="218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5">
        <f>IFERROR(SUMIF(SAVINGS!$A:$A,DATABASE!A218,SAVINGS!$E:$E),"")</f>
        <v/>
      </c>
      <c r="J218" s="15">
        <f>IFERROR(IF(A218="","",SUMIF(SAVINGS!$A:$A,A218,SAVINGS!$E:$E)-SUMIF(WITHDRAWALS!$A:$A,A218,WITHDRAWALS!$E:$E)),"")</f>
        <v/>
      </c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3">
        <f>IFERROR(SUMIF(SAVINGS!$A:$A,DATABASE!A219,SAVINGS!$E:$E),"")</f>
        <v/>
      </c>
      <c r="J219" s="13">
        <f>IFERROR(IF(A219="","",SUMIF(SAVINGS!$A:$A,A219,SAVINGS!$E:$E)-SUMIF(WITHDRAWALS!$A:$A,A219,WITHDRAWALS!$E:$E)),"")</f>
        <v/>
      </c>
    </row>
    <row r="220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5">
        <f>IFERROR(SUMIF(SAVINGS!$A:$A,DATABASE!A220,SAVINGS!$E:$E),"")</f>
        <v/>
      </c>
      <c r="J220" s="15">
        <f>IFERROR(IF(A220="","",SUMIF(SAVINGS!$A:$A,A220,SAVINGS!$E:$E)-SUMIF(WITHDRAWALS!$A:$A,A220,WITHDRAWALS!$E:$E)),"")</f>
        <v/>
      </c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3">
        <f>IFERROR(SUMIF(SAVINGS!$A:$A,DATABASE!A221,SAVINGS!$E:$E),"")</f>
        <v/>
      </c>
      <c r="J221" s="13">
        <f>IFERROR(IF(A221="","",SUMIF(SAVINGS!$A:$A,A221,SAVINGS!$E:$E)-SUMIF(WITHDRAWALS!$A:$A,A221,WITHDRAWALS!$E:$E)),"")</f>
        <v/>
      </c>
    </row>
    <row r="222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5">
        <f>IFERROR(SUMIF(SAVINGS!$A:$A,DATABASE!A222,SAVINGS!$E:$E),"")</f>
        <v/>
      </c>
      <c r="J222" s="15">
        <f>IFERROR(IF(A222="","",SUMIF(SAVINGS!$A:$A,A222,SAVINGS!$E:$E)-SUMIF(WITHDRAWALS!$A:$A,A222,WITHDRAWALS!$E:$E)),"")</f>
        <v/>
      </c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3">
        <f>IFERROR(SUMIF(SAVINGS!$A:$A,DATABASE!A223,SAVINGS!$E:$E),"")</f>
        <v/>
      </c>
      <c r="J223" s="13">
        <f>IFERROR(IF(A223="","",SUMIF(SAVINGS!$A:$A,A223,SAVINGS!$E:$E)-SUMIF(WITHDRAWALS!$A:$A,A223,WITHDRAWALS!$E:$E)),"")</f>
        <v/>
      </c>
    </row>
    <row r="224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5">
        <f>IFERROR(SUMIF(SAVINGS!$A:$A,DATABASE!A224,SAVINGS!$E:$E),"")</f>
        <v/>
      </c>
      <c r="J224" s="15">
        <f>IFERROR(IF(A224="","",SUMIF(SAVINGS!$A:$A,A224,SAVINGS!$E:$E)-SUMIF(WITHDRAWALS!$A:$A,A224,WITHDRAWALS!$E:$E)),"")</f>
        <v/>
      </c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3">
        <f>IFERROR(SUMIF(SAVINGS!$A:$A,DATABASE!A225,SAVINGS!$E:$E),"")</f>
        <v/>
      </c>
      <c r="J225" s="13">
        <f>IFERROR(IF(A225="","",SUMIF(SAVINGS!$A:$A,A225,SAVINGS!$E:$E)-SUMIF(WITHDRAWALS!$A:$A,A225,WITHDRAWALS!$E:$E)),"")</f>
        <v/>
      </c>
    </row>
    <row r="226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5">
        <f>IFERROR(SUMIF(SAVINGS!$A:$A,DATABASE!A226,SAVINGS!$E:$E),"")</f>
        <v/>
      </c>
      <c r="J226" s="15">
        <f>IFERROR(IF(A226="","",SUMIF(SAVINGS!$A:$A,A226,SAVINGS!$E:$E)-SUMIF(WITHDRAWALS!$A:$A,A226,WITHDRAWALS!$E:$E)),"")</f>
        <v/>
      </c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3">
        <f>IFERROR(SUMIF(SAVINGS!$A:$A,DATABASE!A227,SAVINGS!$E:$E),"")</f>
        <v/>
      </c>
      <c r="J227" s="13">
        <f>IFERROR(IF(A227="","",SUMIF(SAVINGS!$A:$A,A227,SAVINGS!$E:$E)-SUMIF(WITHDRAWALS!$A:$A,A227,WITHDRAWALS!$E:$E)),"")</f>
        <v/>
      </c>
    </row>
    <row r="228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5">
        <f>IFERROR(SUMIF(SAVINGS!$A:$A,DATABASE!A228,SAVINGS!$E:$E),"")</f>
        <v/>
      </c>
      <c r="J228" s="15">
        <f>IFERROR(IF(A228="","",SUMIF(SAVINGS!$A:$A,A228,SAVINGS!$E:$E)-SUMIF(WITHDRAWALS!$A:$A,A228,WITHDRAWALS!$E:$E)),"")</f>
        <v/>
      </c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3">
        <f>IFERROR(SUMIF(SAVINGS!$A:$A,DATABASE!A229,SAVINGS!$E:$E),"")</f>
        <v/>
      </c>
      <c r="J229" s="13">
        <f>IFERROR(IF(A229="","",SUMIF(SAVINGS!$A:$A,A229,SAVINGS!$E:$E)-SUMIF(WITHDRAWALS!$A:$A,A229,WITHDRAWALS!$E:$E)),"")</f>
        <v/>
      </c>
    </row>
    <row r="230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5">
        <f>IFERROR(SUMIF(SAVINGS!$A:$A,DATABASE!A230,SAVINGS!$E:$E),"")</f>
        <v/>
      </c>
      <c r="J230" s="15">
        <f>IFERROR(IF(A230="","",SUMIF(SAVINGS!$A:$A,A230,SAVINGS!$E:$E)-SUMIF(WITHDRAWALS!$A:$A,A230,WITHDRAWALS!$E:$E)),"")</f>
        <v/>
      </c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3">
        <f>IFERROR(SUMIF(SAVINGS!$A:$A,DATABASE!A231,SAVINGS!$E:$E),"")</f>
        <v/>
      </c>
      <c r="J231" s="13">
        <f>IFERROR(IF(A231="","",SUMIF(SAVINGS!$A:$A,A231,SAVINGS!$E:$E)-SUMIF(WITHDRAWALS!$A:$A,A231,WITHDRAWALS!$E:$E)),"")</f>
        <v/>
      </c>
    </row>
    <row r="232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5">
        <f>IFERROR(SUMIF(SAVINGS!$A:$A,DATABASE!A232,SAVINGS!$E:$E),"")</f>
        <v/>
      </c>
      <c r="J232" s="15">
        <f>IFERROR(IF(A232="","",SUMIF(SAVINGS!$A:$A,A232,SAVINGS!$E:$E)-SUMIF(WITHDRAWALS!$A:$A,A232,WITHDRAWALS!$E:$E)),"")</f>
        <v/>
      </c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3">
        <f>IFERROR(SUMIF(SAVINGS!$A:$A,DATABASE!A233,SAVINGS!$E:$E),"")</f>
        <v/>
      </c>
      <c r="J233" s="13">
        <f>IFERROR(IF(A233="","",SUMIF(SAVINGS!$A:$A,A233,SAVINGS!$E:$E)-SUMIF(WITHDRAWALS!$A:$A,A233,WITHDRAWALS!$E:$E)),"")</f>
        <v/>
      </c>
    </row>
    <row r="234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5">
        <f>IFERROR(SUMIF(SAVINGS!$A:$A,DATABASE!A234,SAVINGS!$E:$E),"")</f>
        <v/>
      </c>
      <c r="J234" s="15">
        <f>IFERROR(IF(A234="","",SUMIF(SAVINGS!$A:$A,A234,SAVINGS!$E:$E)-SUMIF(WITHDRAWALS!$A:$A,A234,WITHDRAWALS!$E:$E)),"")</f>
        <v/>
      </c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3">
        <f>IFERROR(SUMIF(SAVINGS!$A:$A,DATABASE!A235,SAVINGS!$E:$E),"")</f>
        <v/>
      </c>
      <c r="J235" s="13">
        <f>IFERROR(IF(A235="","",SUMIF(SAVINGS!$A:$A,A235,SAVINGS!$E:$E)-SUMIF(WITHDRAWALS!$A:$A,A235,WITHDRAWALS!$E:$E)),"")</f>
        <v/>
      </c>
    </row>
    <row r="236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5">
        <f>IFERROR(SUMIF(SAVINGS!$A:$A,DATABASE!A236,SAVINGS!$E:$E),"")</f>
        <v/>
      </c>
      <c r="J236" s="15">
        <f>IFERROR(IF(A236="","",SUMIF(SAVINGS!$A:$A,A236,SAVINGS!$E:$E)-SUMIF(WITHDRAWALS!$A:$A,A236,WITHDRAWALS!$E:$E)),"")</f>
        <v/>
      </c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3">
        <f>IFERROR(SUMIF(SAVINGS!$A:$A,DATABASE!A237,SAVINGS!$E:$E),"")</f>
        <v/>
      </c>
      <c r="J237" s="13">
        <f>IFERROR(IF(A237="","",SUMIF(SAVINGS!$A:$A,A237,SAVINGS!$E:$E)-SUMIF(WITHDRAWALS!$A:$A,A237,WITHDRAWALS!$E:$E)),"")</f>
        <v/>
      </c>
    </row>
    <row r="238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5">
        <f>IFERROR(SUMIF(SAVINGS!$A:$A,DATABASE!A238,SAVINGS!$E:$E),"")</f>
        <v/>
      </c>
      <c r="J238" s="15">
        <f>IFERROR(IF(A238="","",SUMIF(SAVINGS!$A:$A,A238,SAVINGS!$E:$E)-SUMIF(WITHDRAWALS!$A:$A,A238,WITHDRAWALS!$E:$E)),"")</f>
        <v/>
      </c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3">
        <f>IFERROR(SUMIF(SAVINGS!$A:$A,DATABASE!A239,SAVINGS!$E:$E),"")</f>
        <v/>
      </c>
      <c r="J239" s="13">
        <f>IFERROR(IF(A239="","",SUMIF(SAVINGS!$A:$A,A239,SAVINGS!$E:$E)-SUMIF(WITHDRAWALS!$A:$A,A239,WITHDRAWALS!$E:$E)),"")</f>
        <v/>
      </c>
    </row>
    <row r="240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5">
        <f>IFERROR(SUMIF(SAVINGS!$A:$A,DATABASE!A240,SAVINGS!$E:$E),"")</f>
        <v/>
      </c>
      <c r="J240" s="15">
        <f>IFERROR(IF(A240="","",SUMIF(SAVINGS!$A:$A,A240,SAVINGS!$E:$E)-SUMIF(WITHDRAWALS!$A:$A,A240,WITHDRAWALS!$E:$E)),"")</f>
        <v/>
      </c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3">
        <f>IFERROR(SUMIF(SAVINGS!$A:$A,DATABASE!A241,SAVINGS!$E:$E),"")</f>
        <v/>
      </c>
      <c r="J241" s="13">
        <f>IFERROR(IF(A241="","",SUMIF(SAVINGS!$A:$A,A241,SAVINGS!$E:$E)-SUMIF(WITHDRAWALS!$A:$A,A241,WITHDRAWALS!$E:$E)),"")</f>
        <v/>
      </c>
    </row>
    <row r="242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5">
        <f>IFERROR(SUMIF(SAVINGS!$A:$A,DATABASE!A242,SAVINGS!$E:$E),"")</f>
        <v/>
      </c>
      <c r="J242" s="15">
        <f>IFERROR(IF(A242="","",SUMIF(SAVINGS!$A:$A,A242,SAVINGS!$E:$E)-SUMIF(WITHDRAWALS!$A:$A,A242,WITHDRAWALS!$E:$E)),"")</f>
        <v/>
      </c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3">
        <f>IFERROR(SUMIF(SAVINGS!$A:$A,DATABASE!A243,SAVINGS!$E:$E),"")</f>
        <v/>
      </c>
      <c r="J243" s="13">
        <f>IFERROR(IF(A243="","",SUMIF(SAVINGS!$A:$A,A243,SAVINGS!$E:$E)-SUMIF(WITHDRAWALS!$A:$A,A243,WITHDRAWALS!$E:$E)),"")</f>
        <v/>
      </c>
    </row>
    <row r="244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5">
        <f>IFERROR(SUMIF(SAVINGS!$A:$A,DATABASE!A244,SAVINGS!$E:$E),"")</f>
        <v/>
      </c>
      <c r="J244" s="15">
        <f>IFERROR(IF(A244="","",SUMIF(SAVINGS!$A:$A,A244,SAVINGS!$E:$E)-SUMIF(WITHDRAWALS!$A:$A,A244,WITHDRAWALS!$E:$E)),"")</f>
        <v/>
      </c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3">
        <f>IFERROR(SUMIF(SAVINGS!$A:$A,DATABASE!A245,SAVINGS!$E:$E),"")</f>
        <v/>
      </c>
      <c r="J245" s="13">
        <f>IFERROR(IF(A245="","",SUMIF(SAVINGS!$A:$A,A245,SAVINGS!$E:$E)-SUMIF(WITHDRAWALS!$A:$A,A245,WITHDRAWALS!$E:$E)),"")</f>
        <v/>
      </c>
    </row>
    <row r="246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5">
        <f>IFERROR(SUMIF(SAVINGS!$A:$A,DATABASE!A246,SAVINGS!$E:$E),"")</f>
        <v/>
      </c>
      <c r="J246" s="15">
        <f>IFERROR(IF(A246="","",SUMIF(SAVINGS!$A:$A,A246,SAVINGS!$E:$E)-SUMIF(WITHDRAWALS!$A:$A,A246,WITHDRAWALS!$E:$E)),"")</f>
        <v/>
      </c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3">
        <f>IFERROR(SUMIF(SAVINGS!$A:$A,DATABASE!A247,SAVINGS!$E:$E),"")</f>
        <v/>
      </c>
      <c r="J247" s="13">
        <f>IFERROR(IF(A247="","",SUMIF(SAVINGS!$A:$A,A247,SAVINGS!$E:$E)-SUMIF(WITHDRAWALS!$A:$A,A247,WITHDRAWALS!$E:$E)),"")</f>
        <v/>
      </c>
    </row>
    <row r="248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5">
        <f>IFERROR(SUMIF(SAVINGS!$A:$A,DATABASE!A248,SAVINGS!$E:$E),"")</f>
        <v/>
      </c>
      <c r="J248" s="15">
        <f>IFERROR(IF(A248="","",SUMIF(SAVINGS!$A:$A,A248,SAVINGS!$E:$E)-SUMIF(WITHDRAWALS!$A:$A,A248,WITHDRAWALS!$E:$E)),"")</f>
        <v/>
      </c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3">
        <f>IFERROR(SUMIF(SAVINGS!$A:$A,DATABASE!A249,SAVINGS!$E:$E),"")</f>
        <v/>
      </c>
      <c r="J249" s="13">
        <f>IFERROR(IF(A249="","",SUMIF(SAVINGS!$A:$A,A249,SAVINGS!$E:$E)-SUMIF(WITHDRAWALS!$A:$A,A249,WITHDRAWALS!$E:$E)),"")</f>
        <v/>
      </c>
    </row>
    <row r="250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5">
        <f>IFERROR(SUMIF(SAVINGS!$A:$A,DATABASE!A250,SAVINGS!$E:$E),"")</f>
        <v/>
      </c>
      <c r="J250" s="15">
        <f>IFERROR(IF(A250="","",SUMIF(SAVINGS!$A:$A,A250,SAVINGS!$E:$E)-SUMIF(WITHDRAWALS!$A:$A,A250,WITHDRAWALS!$E:$E)),"")</f>
        <v/>
      </c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3">
        <f>IFERROR(SUMIF(SAVINGS!$A:$A,DATABASE!A251,SAVINGS!$E:$E),"")</f>
        <v/>
      </c>
      <c r="J251" s="13">
        <f>IFERROR(IF(A251="","",SUMIF(SAVINGS!$A:$A,A251,SAVINGS!$E:$E)-SUMIF(WITHDRAWALS!$A:$A,A251,WITHDRAWALS!$E:$E)),"")</f>
        <v/>
      </c>
    </row>
    <row r="252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5">
        <f>IFERROR(SUMIF(SAVINGS!$A:$A,DATABASE!A252,SAVINGS!$E:$E),"")</f>
        <v/>
      </c>
      <c r="J252" s="15">
        <f>IFERROR(IF(A252="","",SUMIF(SAVINGS!$A:$A,A252,SAVINGS!$E:$E)-SUMIF(WITHDRAWALS!$A:$A,A252,WITHDRAWALS!$E:$E)),"")</f>
        <v/>
      </c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3">
        <f>IFERROR(SUMIF(SAVINGS!$A:$A,DATABASE!A253,SAVINGS!$E:$E),"")</f>
        <v/>
      </c>
      <c r="J253" s="13">
        <f>IFERROR(IF(A253="","",SUMIF(SAVINGS!$A:$A,A253,SAVINGS!$E:$E)-SUMIF(WITHDRAWALS!$A:$A,A253,WITHDRAWALS!$E:$E)),"")</f>
        <v/>
      </c>
    </row>
    <row r="254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5">
        <f>IFERROR(SUMIF(SAVINGS!$A:$A,DATABASE!A254,SAVINGS!$E:$E),"")</f>
        <v/>
      </c>
      <c r="J254" s="15">
        <f>IFERROR(IF(A254="","",SUMIF(SAVINGS!$A:$A,A254,SAVINGS!$E:$E)-SUMIF(WITHDRAWALS!$A:$A,A254,WITHDRAWALS!$E:$E)),"")</f>
        <v/>
      </c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3">
        <f>IFERROR(SUMIF(SAVINGS!$A:$A,DATABASE!A255,SAVINGS!$E:$E),"")</f>
        <v/>
      </c>
      <c r="J255" s="13">
        <f>IFERROR(IF(A255="","",SUMIF(SAVINGS!$A:$A,A255,SAVINGS!$E:$E)-SUMIF(WITHDRAWALS!$A:$A,A255,WITHDRAWALS!$E:$E)),"")</f>
        <v/>
      </c>
    </row>
    <row r="256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5">
        <f>IFERROR(SUMIF(SAVINGS!$A:$A,DATABASE!A256,SAVINGS!$E:$E),"")</f>
        <v/>
      </c>
      <c r="J256" s="15">
        <f>IFERROR(IF(A256="","",SUMIF(SAVINGS!$A:$A,A256,SAVINGS!$E:$E)-SUMIF(WITHDRAWALS!$A:$A,A256,WITHDRAWALS!$E:$E)),"")</f>
        <v/>
      </c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3">
        <f>IFERROR(SUMIF(SAVINGS!$A:$A,DATABASE!A257,SAVINGS!$E:$E),"")</f>
        <v/>
      </c>
      <c r="J257" s="13">
        <f>IFERROR(IF(A257="","",SUMIF(SAVINGS!$A:$A,A257,SAVINGS!$E:$E)-SUMIF(WITHDRAWALS!$A:$A,A257,WITHDRAWALS!$E:$E)),"")</f>
        <v/>
      </c>
    </row>
    <row r="258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5">
        <f>IFERROR(SUMIF(SAVINGS!$A:$A,DATABASE!A258,SAVINGS!$E:$E),"")</f>
        <v/>
      </c>
      <c r="J258" s="15">
        <f>IFERROR(IF(A258="","",SUMIF(SAVINGS!$A:$A,A258,SAVINGS!$E:$E)-SUMIF(WITHDRAWALS!$A:$A,A258,WITHDRAWALS!$E:$E)),"")</f>
        <v/>
      </c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3">
        <f>IFERROR(SUMIF(SAVINGS!$A:$A,DATABASE!A259,SAVINGS!$E:$E),"")</f>
        <v/>
      </c>
      <c r="J259" s="13">
        <f>IFERROR(IF(A259="","",SUMIF(SAVINGS!$A:$A,A259,SAVINGS!$E:$E)-SUMIF(WITHDRAWALS!$A:$A,A259,WITHDRAWALS!$E:$E)),"")</f>
        <v/>
      </c>
    </row>
    <row r="260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5">
        <f>IFERROR(SUMIF(SAVINGS!$A:$A,DATABASE!A260,SAVINGS!$E:$E),"")</f>
        <v/>
      </c>
      <c r="J260" s="15">
        <f>IFERROR(IF(A260="","",SUMIF(SAVINGS!$A:$A,A260,SAVINGS!$E:$E)-SUMIF(WITHDRAWALS!$A:$A,A260,WITHDRAWALS!$E:$E)),"")</f>
        <v/>
      </c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3">
        <f>IFERROR(SUMIF(SAVINGS!$A:$A,DATABASE!A261,SAVINGS!$E:$E),"")</f>
        <v/>
      </c>
      <c r="J261" s="13">
        <f>IFERROR(IF(A261="","",SUMIF(SAVINGS!$A:$A,A261,SAVINGS!$E:$E)-SUMIF(WITHDRAWALS!$A:$A,A261,WITHDRAWALS!$E:$E)),"")</f>
        <v/>
      </c>
    </row>
    <row r="262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5">
        <f>IFERROR(SUMIF(SAVINGS!$A:$A,DATABASE!A262,SAVINGS!$E:$E),"")</f>
        <v/>
      </c>
      <c r="J262" s="15">
        <f>IFERROR(IF(A262="","",SUMIF(SAVINGS!$A:$A,A262,SAVINGS!$E:$E)-SUMIF(WITHDRAWALS!$A:$A,A262,WITHDRAWALS!$E:$E)),"")</f>
        <v/>
      </c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3">
        <f>IFERROR(SUMIF(SAVINGS!$A:$A,DATABASE!A263,SAVINGS!$E:$E),"")</f>
        <v/>
      </c>
      <c r="J263" s="13">
        <f>IFERROR(IF(A263="","",SUMIF(SAVINGS!$A:$A,A263,SAVINGS!$E:$E)-SUMIF(WITHDRAWALS!$A:$A,A263,WITHDRAWALS!$E:$E)),"")</f>
        <v/>
      </c>
    </row>
    <row r="264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5">
        <f>IFERROR(SUMIF(SAVINGS!$A:$A,DATABASE!A264,SAVINGS!$E:$E),"")</f>
        <v/>
      </c>
      <c r="J264" s="15">
        <f>IFERROR(IF(A264="","",SUMIF(SAVINGS!$A:$A,A264,SAVINGS!$E:$E)-SUMIF(WITHDRAWALS!$A:$A,A264,WITHDRAWALS!$E:$E)),"")</f>
        <v/>
      </c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3">
        <f>IFERROR(SUMIF(SAVINGS!$A:$A,DATABASE!A265,SAVINGS!$E:$E),"")</f>
        <v/>
      </c>
      <c r="J265" s="13">
        <f>IFERROR(IF(A265="","",SUMIF(SAVINGS!$A:$A,A265,SAVINGS!$E:$E)-SUMIF(WITHDRAWALS!$A:$A,A265,WITHDRAWALS!$E:$E)),"")</f>
        <v/>
      </c>
    </row>
    <row r="266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5">
        <f>IFERROR(SUMIF(SAVINGS!$A:$A,DATABASE!A266,SAVINGS!$E:$E),"")</f>
        <v/>
      </c>
      <c r="J266" s="15">
        <f>IFERROR(IF(A266="","",SUMIF(SAVINGS!$A:$A,A266,SAVINGS!$E:$E)-SUMIF(WITHDRAWALS!$A:$A,A266,WITHDRAWALS!$E:$E)),"")</f>
        <v/>
      </c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3">
        <f>IFERROR(SUMIF(SAVINGS!$A:$A,DATABASE!A267,SAVINGS!$E:$E),"")</f>
        <v/>
      </c>
      <c r="J267" s="13">
        <f>IFERROR(IF(A267="","",SUMIF(SAVINGS!$A:$A,A267,SAVINGS!$E:$E)-SUMIF(WITHDRAWALS!$A:$A,A267,WITHDRAWALS!$E:$E)),"")</f>
        <v/>
      </c>
    </row>
    <row r="268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5">
        <f>IFERROR(SUMIF(SAVINGS!$A:$A,DATABASE!A268,SAVINGS!$E:$E),"")</f>
        <v/>
      </c>
      <c r="J268" s="15">
        <f>IFERROR(IF(A268="","",SUMIF(SAVINGS!$A:$A,A268,SAVINGS!$E:$E)-SUMIF(WITHDRAWALS!$A:$A,A268,WITHDRAWALS!$E:$E)),"")</f>
        <v/>
      </c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3">
        <f>IFERROR(SUMIF(SAVINGS!$A:$A,DATABASE!A269,SAVINGS!$E:$E),"")</f>
        <v/>
      </c>
      <c r="J269" s="13">
        <f>IFERROR(IF(A269="","",SUMIF(SAVINGS!$A:$A,A269,SAVINGS!$E:$E)-SUMIF(WITHDRAWALS!$A:$A,A269,WITHDRAWALS!$E:$E)),"")</f>
        <v/>
      </c>
    </row>
    <row r="270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5">
        <f>IFERROR(SUMIF(SAVINGS!$A:$A,DATABASE!A270,SAVINGS!$E:$E),"")</f>
        <v/>
      </c>
      <c r="J270" s="15">
        <f>IFERROR(IF(A270="","",SUMIF(SAVINGS!$A:$A,A270,SAVINGS!$E:$E)-SUMIF(WITHDRAWALS!$A:$A,A270,WITHDRAWALS!$E:$E)),"")</f>
        <v/>
      </c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3">
        <f>IFERROR(SUMIF(SAVINGS!$A:$A,DATABASE!A271,SAVINGS!$E:$E),"")</f>
        <v/>
      </c>
      <c r="J271" s="13">
        <f>IFERROR(IF(A271="","",SUMIF(SAVINGS!$A:$A,A271,SAVINGS!$E:$E)-SUMIF(WITHDRAWALS!$A:$A,A271,WITHDRAWALS!$E:$E)),"")</f>
        <v/>
      </c>
    </row>
    <row r="272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5">
        <f>IFERROR(SUMIF(SAVINGS!$A:$A,DATABASE!A272,SAVINGS!$E:$E),"")</f>
        <v/>
      </c>
      <c r="J272" s="15">
        <f>IFERROR(IF(A272="","",SUMIF(SAVINGS!$A:$A,A272,SAVINGS!$E:$E)-SUMIF(WITHDRAWALS!$A:$A,A272,WITHDRAWALS!$E:$E)),"")</f>
        <v/>
      </c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3">
        <f>IFERROR(SUMIF(SAVINGS!$A:$A,DATABASE!A273,SAVINGS!$E:$E),"")</f>
        <v/>
      </c>
      <c r="J273" s="13">
        <f>IFERROR(IF(A273="","",SUMIF(SAVINGS!$A:$A,A273,SAVINGS!$E:$E)-SUMIF(WITHDRAWALS!$A:$A,A273,WITHDRAWALS!$E:$E)),"")</f>
        <v/>
      </c>
    </row>
    <row r="274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5">
        <f>IFERROR(SUMIF(SAVINGS!$A:$A,DATABASE!A274,SAVINGS!$E:$E),"")</f>
        <v/>
      </c>
      <c r="J274" s="15">
        <f>IFERROR(IF(A274="","",SUMIF(SAVINGS!$A:$A,A274,SAVINGS!$E:$E)-SUMIF(WITHDRAWALS!$A:$A,A274,WITHDRAWALS!$E:$E)),"")</f>
        <v/>
      </c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3">
        <f>IFERROR(SUMIF(SAVINGS!$A:$A,DATABASE!A275,SAVINGS!$E:$E),"")</f>
        <v/>
      </c>
      <c r="J275" s="13">
        <f>IFERROR(IF(A275="","",SUMIF(SAVINGS!$A:$A,A275,SAVINGS!$E:$E)-SUMIF(WITHDRAWALS!$A:$A,A275,WITHDRAWALS!$E:$E)),"")</f>
        <v/>
      </c>
    </row>
    <row r="276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5">
        <f>IFERROR(SUMIF(SAVINGS!$A:$A,DATABASE!A276,SAVINGS!$E:$E),"")</f>
        <v/>
      </c>
      <c r="J276" s="15">
        <f>IFERROR(IF(A276="","",SUMIF(SAVINGS!$A:$A,A276,SAVINGS!$E:$E)-SUMIF(WITHDRAWALS!$A:$A,A276,WITHDRAWALS!$E:$E)),"")</f>
        <v/>
      </c>
    </row>
    <row r="277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3">
        <f>IFERROR(SUMIF(SAVINGS!$A:$A,DATABASE!A277,SAVINGS!$E:$E),"")</f>
        <v/>
      </c>
      <c r="J277" s="13">
        <f>IFERROR(IF(A277="","",SUMIF(SAVINGS!$A:$A,A277,SAVINGS!$E:$E)-SUMIF(WITHDRAWALS!$A:$A,A277,WITHDRAWALS!$E:$E)),"")</f>
        <v/>
      </c>
    </row>
    <row r="278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5">
        <f>IFERROR(SUMIF(SAVINGS!$A:$A,DATABASE!A278,SAVINGS!$E:$E),"")</f>
        <v/>
      </c>
      <c r="J278" s="15">
        <f>IFERROR(IF(A278="","",SUMIF(SAVINGS!$A:$A,A278,SAVINGS!$E:$E)-SUMIF(WITHDRAWALS!$A:$A,A278,WITHDRAWALS!$E:$E)),"")</f>
        <v/>
      </c>
    </row>
    <row r="279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3">
        <f>IFERROR(SUMIF(SAVINGS!$A:$A,DATABASE!A279,SAVINGS!$E:$E),"")</f>
        <v/>
      </c>
      <c r="J279" s="13">
        <f>IFERROR(IF(A279="","",SUMIF(SAVINGS!$A:$A,A279,SAVINGS!$E:$E)-SUMIF(WITHDRAWALS!$A:$A,A279,WITHDRAWALS!$E:$E)),"")</f>
        <v/>
      </c>
    </row>
    <row r="280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5">
        <f>IFERROR(SUMIF(SAVINGS!$A:$A,DATABASE!A280,SAVINGS!$E:$E),"")</f>
        <v/>
      </c>
      <c r="J280" s="15">
        <f>IFERROR(IF(A280="","",SUMIF(SAVINGS!$A:$A,A280,SAVINGS!$E:$E)-SUMIF(WITHDRAWALS!$A:$A,A280,WITHDRAWALS!$E:$E)),"")</f>
        <v/>
      </c>
    </row>
    <row r="28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3">
        <f>IFERROR(SUMIF(SAVINGS!$A:$A,DATABASE!A281,SAVINGS!$E:$E),"")</f>
        <v/>
      </c>
      <c r="J281" s="13">
        <f>IFERROR(IF(A281="","",SUMIF(SAVINGS!$A:$A,A281,SAVINGS!$E:$E)-SUMIF(WITHDRAWALS!$A:$A,A281,WITHDRAWALS!$E:$E)),"")</f>
        <v/>
      </c>
    </row>
    <row r="282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5">
        <f>IFERROR(SUMIF(SAVINGS!$A:$A,DATABASE!A282,SAVINGS!$E:$E),"")</f>
        <v/>
      </c>
      <c r="J282" s="15">
        <f>IFERROR(IF(A282="","",SUMIF(SAVINGS!$A:$A,A282,SAVINGS!$E:$E)-SUMIF(WITHDRAWALS!$A:$A,A282,WITHDRAWALS!$E:$E)),"")</f>
        <v/>
      </c>
    </row>
    <row r="283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3">
        <f>IFERROR(SUMIF(SAVINGS!$A:$A,DATABASE!A283,SAVINGS!$E:$E),"")</f>
        <v/>
      </c>
      <c r="J283" s="13">
        <f>IFERROR(IF(A283="","",SUMIF(SAVINGS!$A:$A,A283,SAVINGS!$E:$E)-SUMIF(WITHDRAWALS!$A:$A,A283,WITHDRAWALS!$E:$E)),"")</f>
        <v/>
      </c>
    </row>
    <row r="284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5">
        <f>IFERROR(SUMIF(SAVINGS!$A:$A,DATABASE!A284,SAVINGS!$E:$E),"")</f>
        <v/>
      </c>
      <c r="J284" s="15">
        <f>IFERROR(IF(A284="","",SUMIF(SAVINGS!$A:$A,A284,SAVINGS!$E:$E)-SUMIF(WITHDRAWALS!$A:$A,A284,WITHDRAWALS!$E:$E)),"")</f>
        <v/>
      </c>
    </row>
    <row r="285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3">
        <f>IFERROR(SUMIF(SAVINGS!$A:$A,DATABASE!A285,SAVINGS!$E:$E),"")</f>
        <v/>
      </c>
      <c r="J285" s="13">
        <f>IFERROR(IF(A285="","",SUMIF(SAVINGS!$A:$A,A285,SAVINGS!$E:$E)-SUMIF(WITHDRAWALS!$A:$A,A285,WITHDRAWALS!$E:$E)),"")</f>
        <v/>
      </c>
    </row>
    <row r="286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5">
        <f>IFERROR(SUMIF(SAVINGS!$A:$A,DATABASE!A286,SAVINGS!$E:$E),"")</f>
        <v/>
      </c>
      <c r="J286" s="15">
        <f>IFERROR(IF(A286="","",SUMIF(SAVINGS!$A:$A,A286,SAVINGS!$E:$E)-SUMIF(WITHDRAWALS!$A:$A,A286,WITHDRAWALS!$E:$E)),"")</f>
        <v/>
      </c>
    </row>
    <row r="287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3">
        <f>IFERROR(SUMIF(SAVINGS!$A:$A,DATABASE!A287,SAVINGS!$E:$E),"")</f>
        <v/>
      </c>
      <c r="J287" s="13">
        <f>IFERROR(IF(A287="","",SUMIF(SAVINGS!$A:$A,A287,SAVINGS!$E:$E)-SUMIF(WITHDRAWALS!$A:$A,A287,WITHDRAWALS!$E:$E)),"")</f>
        <v/>
      </c>
    </row>
    <row r="288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5">
        <f>IFERROR(SUMIF(SAVINGS!$A:$A,DATABASE!A288,SAVINGS!$E:$E),"")</f>
        <v/>
      </c>
      <c r="J288" s="15">
        <f>IFERROR(IF(A288="","",SUMIF(SAVINGS!$A:$A,A288,SAVINGS!$E:$E)-SUMIF(WITHDRAWALS!$A:$A,A288,WITHDRAWALS!$E:$E)),"")</f>
        <v/>
      </c>
    </row>
    <row r="289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3">
        <f>IFERROR(SUMIF(SAVINGS!$A:$A,DATABASE!A289,SAVINGS!$E:$E),"")</f>
        <v/>
      </c>
      <c r="J289" s="13">
        <f>IFERROR(IF(A289="","",SUMIF(SAVINGS!$A:$A,A289,SAVINGS!$E:$E)-SUMIF(WITHDRAWALS!$A:$A,A289,WITHDRAWALS!$E:$E)),"")</f>
        <v/>
      </c>
    </row>
    <row r="290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5">
        <f>IFERROR(SUMIF(SAVINGS!$A:$A,DATABASE!A290,SAVINGS!$E:$E),"")</f>
        <v/>
      </c>
      <c r="J290" s="15">
        <f>IFERROR(IF(A290="","",SUMIF(SAVINGS!$A:$A,A290,SAVINGS!$E:$E)-SUMIF(WITHDRAWALS!$A:$A,A290,WITHDRAWALS!$E:$E)),"")</f>
        <v/>
      </c>
    </row>
    <row r="29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3">
        <f>IFERROR(SUMIF(SAVINGS!$A:$A,DATABASE!A291,SAVINGS!$E:$E),"")</f>
        <v/>
      </c>
      <c r="J291" s="13">
        <f>IFERROR(IF(A291="","",SUMIF(SAVINGS!$A:$A,A291,SAVINGS!$E:$E)-SUMIF(WITHDRAWALS!$A:$A,A291,WITHDRAWALS!$E:$E)),"")</f>
        <v/>
      </c>
    </row>
    <row r="292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5">
        <f>IFERROR(SUMIF(SAVINGS!$A:$A,DATABASE!A292,SAVINGS!$E:$E),"")</f>
        <v/>
      </c>
      <c r="J292" s="15">
        <f>IFERROR(IF(A292="","",SUMIF(SAVINGS!$A:$A,A292,SAVINGS!$E:$E)-SUMIF(WITHDRAWALS!$A:$A,A292,WITHDRAWALS!$E:$E)),"")</f>
        <v/>
      </c>
    </row>
    <row r="293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3">
        <f>IFERROR(SUMIF(SAVINGS!$A:$A,DATABASE!A293,SAVINGS!$E:$E),"")</f>
        <v/>
      </c>
      <c r="J293" s="13">
        <f>IFERROR(IF(A293="","",SUMIF(SAVINGS!$A:$A,A293,SAVINGS!$E:$E)-SUMIF(WITHDRAWALS!$A:$A,A293,WITHDRAWALS!$E:$E)),"")</f>
        <v/>
      </c>
    </row>
    <row r="294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5">
        <f>IFERROR(SUMIF(SAVINGS!$A:$A,DATABASE!A294,SAVINGS!$E:$E),"")</f>
        <v/>
      </c>
      <c r="J294" s="15">
        <f>IFERROR(IF(A294="","",SUMIF(SAVINGS!$A:$A,A294,SAVINGS!$E:$E)-SUMIF(WITHDRAWALS!$A:$A,A294,WITHDRAWALS!$E:$E)),"")</f>
        <v/>
      </c>
    </row>
    <row r="295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3">
        <f>IFERROR(SUMIF(SAVINGS!$A:$A,DATABASE!A295,SAVINGS!$E:$E),"")</f>
        <v/>
      </c>
      <c r="J295" s="13">
        <f>IFERROR(IF(A295="","",SUMIF(SAVINGS!$A:$A,A295,SAVINGS!$E:$E)-SUMIF(WITHDRAWALS!$A:$A,A295,WITHDRAWALS!$E:$E)),"")</f>
        <v/>
      </c>
    </row>
    <row r="296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5">
        <f>IFERROR(SUMIF(SAVINGS!$A:$A,DATABASE!A296,SAVINGS!$E:$E),"")</f>
        <v/>
      </c>
      <c r="J296" s="15">
        <f>IFERROR(IF(A296="","",SUMIF(SAVINGS!$A:$A,A296,SAVINGS!$E:$E)-SUMIF(WITHDRAWALS!$A:$A,A296,WITHDRAWALS!$E:$E)),"")</f>
        <v/>
      </c>
    </row>
    <row r="297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3">
        <f>IFERROR(SUMIF(SAVINGS!$A:$A,DATABASE!A297,SAVINGS!$E:$E),"")</f>
        <v/>
      </c>
      <c r="J297" s="13">
        <f>IFERROR(IF(A297="","",SUMIF(SAVINGS!$A:$A,A297,SAVINGS!$E:$E)-SUMIF(WITHDRAWALS!$A:$A,A297,WITHDRAWALS!$E:$E)),"")</f>
        <v/>
      </c>
    </row>
    <row r="298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5">
        <f>IFERROR(SUMIF(SAVINGS!$A:$A,DATABASE!A298,SAVINGS!$E:$E),"")</f>
        <v/>
      </c>
      <c r="J298" s="15">
        <f>IFERROR(IF(A298="","",SUMIF(SAVINGS!$A:$A,A298,SAVINGS!$E:$E)-SUMIF(WITHDRAWALS!$A:$A,A298,WITHDRAWALS!$E:$E)),"")</f>
        <v/>
      </c>
    </row>
    <row r="299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3">
        <f>IFERROR(SUMIF(SAVINGS!$A:$A,DATABASE!A299,SAVINGS!$E:$E),"")</f>
        <v/>
      </c>
      <c r="J299" s="13">
        <f>IFERROR(IF(A299="","",SUMIF(SAVINGS!$A:$A,A299,SAVINGS!$E:$E)-SUMIF(WITHDRAWALS!$A:$A,A299,WITHDRAWALS!$E:$E)),"")</f>
        <v/>
      </c>
    </row>
    <row r="300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5">
        <f>IFERROR(SUMIF(SAVINGS!$A:$A,DATABASE!A300,SAVINGS!$E:$E),"")</f>
        <v/>
      </c>
      <c r="J300" s="15">
        <f>IFERROR(IF(A300="","",SUMIF(SAVINGS!$A:$A,A300,SAVINGS!$E:$E)-SUMIF(WITHDRAWALS!$A:$A,A300,WITHDRAWALS!$E:$E)),"")</f>
        <v/>
      </c>
    </row>
    <row r="30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3">
        <f>IFERROR(SUMIF(SAVINGS!$A:$A,DATABASE!A301,SAVINGS!$E:$E),"")</f>
        <v/>
      </c>
      <c r="J301" s="13">
        <f>IFERROR(IF(A301="","",SUMIF(SAVINGS!$A:$A,A301,SAVINGS!$E:$E)-SUMIF(WITHDRAWALS!$A:$A,A301,WITHDRAWALS!$E:$E)),"")</f>
        <v/>
      </c>
    </row>
    <row r="302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5">
        <f>IFERROR(SUMIF(SAVINGS!$A:$A,DATABASE!A302,SAVINGS!$E:$E),"")</f>
        <v/>
      </c>
      <c r="J302" s="15">
        <f>IFERROR(IF(A302="","",SUMIF(SAVINGS!$A:$A,A302,SAVINGS!$E:$E)-SUMIF(WITHDRAWALS!$A:$A,A302,WITHDRAWALS!$E:$E)),"")</f>
        <v/>
      </c>
    </row>
    <row r="303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3">
        <f>IFERROR(SUMIF(SAVINGS!$A:$A,DATABASE!A303,SAVINGS!$E:$E),"")</f>
        <v/>
      </c>
      <c r="J303" s="13">
        <f>IFERROR(IF(A303="","",SUMIF(SAVINGS!$A:$A,A303,SAVINGS!$E:$E)-SUMIF(WITHDRAWALS!$A:$A,A303,WITHDRAWALS!$E:$E)),"")</f>
        <v/>
      </c>
    </row>
    <row r="304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5">
        <f>IFERROR(SUMIF(SAVINGS!$A:$A,DATABASE!A304,SAVINGS!$E:$E),"")</f>
        <v/>
      </c>
      <c r="J304" s="15">
        <f>IFERROR(IF(A304="","",SUMIF(SAVINGS!$A:$A,A304,SAVINGS!$E:$E)-SUMIF(WITHDRAWALS!$A:$A,A304,WITHDRAWALS!$E:$E)),"")</f>
        <v/>
      </c>
    </row>
    <row r="305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3">
        <f>IFERROR(SUMIF(SAVINGS!$A:$A,DATABASE!A305,SAVINGS!$E:$E),"")</f>
        <v/>
      </c>
      <c r="J305" s="13">
        <f>IFERROR(IF(A305="","",SUMIF(SAVINGS!$A:$A,A305,SAVINGS!$E:$E)-SUMIF(WITHDRAWALS!$A:$A,A305,WITHDRAWALS!$E:$E)),"")</f>
        <v/>
      </c>
    </row>
    <row r="306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5">
        <f>IFERROR(SUMIF(SAVINGS!$A:$A,DATABASE!A306,SAVINGS!$E:$E),"")</f>
        <v/>
      </c>
      <c r="J306" s="15">
        <f>IFERROR(IF(A306="","",SUMIF(SAVINGS!$A:$A,A306,SAVINGS!$E:$E)-SUMIF(WITHDRAWALS!$A:$A,A306,WITHDRAWALS!$E:$E)),"")</f>
        <v/>
      </c>
    </row>
    <row r="307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3">
        <f>IFERROR(SUMIF(SAVINGS!$A:$A,DATABASE!A307,SAVINGS!$E:$E),"")</f>
        <v/>
      </c>
      <c r="J307" s="13">
        <f>IFERROR(IF(A307="","",SUMIF(SAVINGS!$A:$A,A307,SAVINGS!$E:$E)-SUMIF(WITHDRAWALS!$A:$A,A307,WITHDRAWALS!$E:$E)),"")</f>
        <v/>
      </c>
    </row>
    <row r="308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5">
        <f>IFERROR(SUMIF(SAVINGS!$A:$A,DATABASE!A308,SAVINGS!$E:$E),"")</f>
        <v/>
      </c>
      <c r="J308" s="15">
        <f>IFERROR(IF(A308="","",SUMIF(SAVINGS!$A:$A,A308,SAVINGS!$E:$E)-SUMIF(WITHDRAWALS!$A:$A,A308,WITHDRAWALS!$E:$E)),"")</f>
        <v/>
      </c>
    </row>
    <row r="309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3">
        <f>IFERROR(SUMIF(SAVINGS!$A:$A,DATABASE!A309,SAVINGS!$E:$E),"")</f>
        <v/>
      </c>
      <c r="J309" s="13">
        <f>IFERROR(IF(A309="","",SUMIF(SAVINGS!$A:$A,A309,SAVINGS!$E:$E)-SUMIF(WITHDRAWALS!$A:$A,A309,WITHDRAWALS!$E:$E)),"")</f>
        <v/>
      </c>
    </row>
    <row r="310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5">
        <f>IFERROR(SUMIF(SAVINGS!$A:$A,DATABASE!A310,SAVINGS!$E:$E),"")</f>
        <v/>
      </c>
      <c r="J310" s="15">
        <f>IFERROR(IF(A310="","",SUMIF(SAVINGS!$A:$A,A310,SAVINGS!$E:$E)-SUMIF(WITHDRAWALS!$A:$A,A310,WITHDRAWALS!$E:$E)),"")</f>
        <v/>
      </c>
    </row>
    <row r="31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3">
        <f>IFERROR(SUMIF(SAVINGS!$A:$A,DATABASE!A311,SAVINGS!$E:$E),"")</f>
        <v/>
      </c>
      <c r="J311" s="13">
        <f>IFERROR(IF(A311="","",SUMIF(SAVINGS!$A:$A,A311,SAVINGS!$E:$E)-SUMIF(WITHDRAWALS!$A:$A,A311,WITHDRAWALS!$E:$E)),"")</f>
        <v/>
      </c>
    </row>
    <row r="312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5">
        <f>IFERROR(SUMIF(SAVINGS!$A:$A,DATABASE!A312,SAVINGS!$E:$E),"")</f>
        <v/>
      </c>
      <c r="J312" s="15">
        <f>IFERROR(IF(A312="","",SUMIF(SAVINGS!$A:$A,A312,SAVINGS!$E:$E)-SUMIF(WITHDRAWALS!$A:$A,A312,WITHDRAWALS!$E:$E)),"")</f>
        <v/>
      </c>
    </row>
    <row r="313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3">
        <f>IFERROR(SUMIF(SAVINGS!$A:$A,DATABASE!A313,SAVINGS!$E:$E),"")</f>
        <v/>
      </c>
      <c r="J313" s="13">
        <f>IFERROR(IF(A313="","",SUMIF(SAVINGS!$A:$A,A313,SAVINGS!$E:$E)-SUMIF(WITHDRAWALS!$A:$A,A313,WITHDRAWALS!$E:$E)),"")</f>
        <v/>
      </c>
    </row>
    <row r="314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5">
        <f>IFERROR(SUMIF(SAVINGS!$A:$A,DATABASE!A314,SAVINGS!$E:$E),"")</f>
        <v/>
      </c>
      <c r="J314" s="15">
        <f>IFERROR(IF(A314="","",SUMIF(SAVINGS!$A:$A,A314,SAVINGS!$E:$E)-SUMIF(WITHDRAWALS!$A:$A,A314,WITHDRAWALS!$E:$E)),"")</f>
        <v/>
      </c>
    </row>
    <row r="315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3">
        <f>IFERROR(SUMIF(SAVINGS!$A:$A,DATABASE!A315,SAVINGS!$E:$E),"")</f>
        <v/>
      </c>
      <c r="J315" s="13">
        <f>IFERROR(IF(A315="","",SUMIF(SAVINGS!$A:$A,A315,SAVINGS!$E:$E)-SUMIF(WITHDRAWALS!$A:$A,A315,WITHDRAWALS!$E:$E)),"")</f>
        <v/>
      </c>
    </row>
    <row r="316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5">
        <f>IFERROR(SUMIF(SAVINGS!$A:$A,DATABASE!A316,SAVINGS!$E:$E),"")</f>
        <v/>
      </c>
      <c r="J316" s="15">
        <f>IFERROR(IF(A316="","",SUMIF(SAVINGS!$A:$A,A316,SAVINGS!$E:$E)-SUMIF(WITHDRAWALS!$A:$A,A316,WITHDRAWALS!$E:$E)),"")</f>
        <v/>
      </c>
    </row>
    <row r="317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3">
        <f>IFERROR(SUMIF(SAVINGS!$A:$A,DATABASE!A317,SAVINGS!$E:$E),"")</f>
        <v/>
      </c>
      <c r="J317" s="13">
        <f>IFERROR(IF(A317="","",SUMIF(SAVINGS!$A:$A,A317,SAVINGS!$E:$E)-SUMIF(WITHDRAWALS!$A:$A,A317,WITHDRAWALS!$E:$E)),"")</f>
        <v/>
      </c>
    </row>
    <row r="318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5">
        <f>IFERROR(SUMIF(SAVINGS!$A:$A,DATABASE!A318,SAVINGS!$E:$E),"")</f>
        <v/>
      </c>
      <c r="J318" s="15">
        <f>IFERROR(IF(A318="","",SUMIF(SAVINGS!$A:$A,A318,SAVINGS!$E:$E)-SUMIF(WITHDRAWALS!$A:$A,A318,WITHDRAWALS!$E:$E)),"")</f>
        <v/>
      </c>
    </row>
    <row r="319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3">
        <f>IFERROR(SUMIF(SAVINGS!$A:$A,DATABASE!A319,SAVINGS!$E:$E),"")</f>
        <v/>
      </c>
      <c r="J319" s="13">
        <f>IFERROR(IF(A319="","",SUMIF(SAVINGS!$A:$A,A319,SAVINGS!$E:$E)-SUMIF(WITHDRAWALS!$A:$A,A319,WITHDRAWALS!$E:$E)),"")</f>
        <v/>
      </c>
    </row>
    <row r="320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5">
        <f>IFERROR(SUMIF(SAVINGS!$A:$A,DATABASE!A320,SAVINGS!$E:$E),"")</f>
        <v/>
      </c>
      <c r="J320" s="15">
        <f>IFERROR(IF(A320="","",SUMIF(SAVINGS!$A:$A,A320,SAVINGS!$E:$E)-SUMIF(WITHDRAWALS!$A:$A,A320,WITHDRAWALS!$E:$E)),"")</f>
        <v/>
      </c>
    </row>
    <row r="32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3">
        <f>IFERROR(SUMIF(SAVINGS!$A:$A,DATABASE!A321,SAVINGS!$E:$E),"")</f>
        <v/>
      </c>
      <c r="J321" s="13">
        <f>IFERROR(IF(A321="","",SUMIF(SAVINGS!$A:$A,A321,SAVINGS!$E:$E)-SUMIF(WITHDRAWALS!$A:$A,A321,WITHDRAWALS!$E:$E)),"")</f>
        <v/>
      </c>
    </row>
    <row r="322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5">
        <f>IFERROR(SUMIF(SAVINGS!$A:$A,DATABASE!A322,SAVINGS!$E:$E),"")</f>
        <v/>
      </c>
      <c r="J322" s="15">
        <f>IFERROR(IF(A322="","",SUMIF(SAVINGS!$A:$A,A322,SAVINGS!$E:$E)-SUMIF(WITHDRAWALS!$A:$A,A322,WITHDRAWALS!$E:$E)),"")</f>
        <v/>
      </c>
    </row>
    <row r="323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3">
        <f>IFERROR(SUMIF(SAVINGS!$A:$A,DATABASE!A323,SAVINGS!$E:$E),"")</f>
        <v/>
      </c>
      <c r="J323" s="13">
        <f>IFERROR(IF(A323="","",SUMIF(SAVINGS!$A:$A,A323,SAVINGS!$E:$E)-SUMIF(WITHDRAWALS!$A:$A,A323,WITHDRAWALS!$E:$E)),"")</f>
        <v/>
      </c>
    </row>
    <row r="324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5">
        <f>IFERROR(SUMIF(SAVINGS!$A:$A,DATABASE!A324,SAVINGS!$E:$E),"")</f>
        <v/>
      </c>
      <c r="J324" s="15">
        <f>IFERROR(IF(A324="","",SUMIF(SAVINGS!$A:$A,A324,SAVINGS!$E:$E)-SUMIF(WITHDRAWALS!$A:$A,A324,WITHDRAWALS!$E:$E)),"")</f>
        <v/>
      </c>
    </row>
    <row r="325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3">
        <f>IFERROR(SUMIF(SAVINGS!$A:$A,DATABASE!A325,SAVINGS!$E:$E),"")</f>
        <v/>
      </c>
      <c r="J325" s="13">
        <f>IFERROR(IF(A325="","",SUMIF(SAVINGS!$A:$A,A325,SAVINGS!$E:$E)-SUMIF(WITHDRAWALS!$A:$A,A325,WITHDRAWALS!$E:$E)),"")</f>
        <v/>
      </c>
    </row>
    <row r="326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5">
        <f>IFERROR(SUMIF(SAVINGS!$A:$A,DATABASE!A326,SAVINGS!$E:$E),"")</f>
        <v/>
      </c>
      <c r="J326" s="15">
        <f>IFERROR(IF(A326="","",SUMIF(SAVINGS!$A:$A,A326,SAVINGS!$E:$E)-SUMIF(WITHDRAWALS!$A:$A,A326,WITHDRAWALS!$E:$E)),"")</f>
        <v/>
      </c>
    </row>
    <row r="327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3">
        <f>IFERROR(SUMIF(SAVINGS!$A:$A,DATABASE!A327,SAVINGS!$E:$E),"")</f>
        <v/>
      </c>
      <c r="J327" s="13">
        <f>IFERROR(IF(A327="","",SUMIF(SAVINGS!$A:$A,A327,SAVINGS!$E:$E)-SUMIF(WITHDRAWALS!$A:$A,A327,WITHDRAWALS!$E:$E)),"")</f>
        <v/>
      </c>
    </row>
    <row r="328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5">
        <f>IFERROR(SUMIF(SAVINGS!$A:$A,DATABASE!A328,SAVINGS!$E:$E),"")</f>
        <v/>
      </c>
      <c r="J328" s="15">
        <f>IFERROR(IF(A328="","",SUMIF(SAVINGS!$A:$A,A328,SAVINGS!$E:$E)-SUMIF(WITHDRAWALS!$A:$A,A328,WITHDRAWALS!$E:$E)),"")</f>
        <v/>
      </c>
    </row>
    <row r="329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3">
        <f>IFERROR(SUMIF(SAVINGS!$A:$A,DATABASE!A329,SAVINGS!$E:$E),"")</f>
        <v/>
      </c>
      <c r="J329" s="13">
        <f>IFERROR(IF(A329="","",SUMIF(SAVINGS!$A:$A,A329,SAVINGS!$E:$E)-SUMIF(WITHDRAWALS!$A:$A,A329,WITHDRAWALS!$E:$E)),"")</f>
        <v/>
      </c>
    </row>
    <row r="330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5">
        <f>IFERROR(SUMIF(SAVINGS!$A:$A,DATABASE!A330,SAVINGS!$E:$E),"")</f>
        <v/>
      </c>
      <c r="J330" s="15">
        <f>IFERROR(IF(A330="","",SUMIF(SAVINGS!$A:$A,A330,SAVINGS!$E:$E)-SUMIF(WITHDRAWALS!$A:$A,A330,WITHDRAWALS!$E:$E)),"")</f>
        <v/>
      </c>
    </row>
    <row r="33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3">
        <f>IFERROR(SUMIF(SAVINGS!$A:$A,DATABASE!A331,SAVINGS!$E:$E),"")</f>
        <v/>
      </c>
      <c r="J331" s="13">
        <f>IFERROR(IF(A331="","",SUMIF(SAVINGS!$A:$A,A331,SAVINGS!$E:$E)-SUMIF(WITHDRAWALS!$A:$A,A331,WITHDRAWALS!$E:$E)),"")</f>
        <v/>
      </c>
    </row>
    <row r="332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5">
        <f>IFERROR(SUMIF(SAVINGS!$A:$A,DATABASE!A332,SAVINGS!$E:$E),"")</f>
        <v/>
      </c>
      <c r="J332" s="15">
        <f>IFERROR(IF(A332="","",SUMIF(SAVINGS!$A:$A,A332,SAVINGS!$E:$E)-SUMIF(WITHDRAWALS!$A:$A,A332,WITHDRAWALS!$E:$E)),"")</f>
        <v/>
      </c>
    </row>
    <row r="333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3">
        <f>IFERROR(SUMIF(SAVINGS!$A:$A,DATABASE!A333,SAVINGS!$E:$E),"")</f>
        <v/>
      </c>
      <c r="J333" s="13">
        <f>IFERROR(IF(A333="","",SUMIF(SAVINGS!$A:$A,A333,SAVINGS!$E:$E)-SUMIF(WITHDRAWALS!$A:$A,A333,WITHDRAWALS!$E:$E)),"")</f>
        <v/>
      </c>
    </row>
    <row r="334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5">
        <f>IFERROR(SUMIF(SAVINGS!$A:$A,DATABASE!A334,SAVINGS!$E:$E),"")</f>
        <v/>
      </c>
      <c r="J334" s="15">
        <f>IFERROR(IF(A334="","",SUMIF(SAVINGS!$A:$A,A334,SAVINGS!$E:$E)-SUMIF(WITHDRAWALS!$A:$A,A334,WITHDRAWALS!$E:$E)),"")</f>
        <v/>
      </c>
    </row>
    <row r="335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3">
        <f>IFERROR(SUMIF(SAVINGS!$A:$A,DATABASE!A335,SAVINGS!$E:$E),"")</f>
        <v/>
      </c>
      <c r="J335" s="13">
        <f>IFERROR(IF(A335="","",SUMIF(SAVINGS!$A:$A,A335,SAVINGS!$E:$E)-SUMIF(WITHDRAWALS!$A:$A,A335,WITHDRAWALS!$E:$E)),"")</f>
        <v/>
      </c>
    </row>
    <row r="336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5">
        <f>IFERROR(SUMIF(SAVINGS!$A:$A,DATABASE!A336,SAVINGS!$E:$E),"")</f>
        <v/>
      </c>
      <c r="J336" s="15">
        <f>IFERROR(IF(A336="","",SUMIF(SAVINGS!$A:$A,A336,SAVINGS!$E:$E)-SUMIF(WITHDRAWALS!$A:$A,A336,WITHDRAWALS!$E:$E)),"")</f>
        <v/>
      </c>
    </row>
    <row r="337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3">
        <f>IFERROR(SUMIF(SAVINGS!$A:$A,DATABASE!A337,SAVINGS!$E:$E),"")</f>
        <v/>
      </c>
      <c r="J337" s="13">
        <f>IFERROR(IF(A337="","",SUMIF(SAVINGS!$A:$A,A337,SAVINGS!$E:$E)-SUMIF(WITHDRAWALS!$A:$A,A337,WITHDRAWALS!$E:$E)),"")</f>
        <v/>
      </c>
    </row>
    <row r="338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5">
        <f>IFERROR(SUMIF(SAVINGS!$A:$A,DATABASE!A338,SAVINGS!$E:$E),"")</f>
        <v/>
      </c>
      <c r="J338" s="15">
        <f>IFERROR(IF(A338="","",SUMIF(SAVINGS!$A:$A,A338,SAVINGS!$E:$E)-SUMIF(WITHDRAWALS!$A:$A,A338,WITHDRAWALS!$E:$E)),"")</f>
        <v/>
      </c>
    </row>
    <row r="339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3">
        <f>IFERROR(SUMIF(SAVINGS!$A:$A,DATABASE!A339,SAVINGS!$E:$E),"")</f>
        <v/>
      </c>
      <c r="J339" s="13">
        <f>IFERROR(IF(A339="","",SUMIF(SAVINGS!$A:$A,A339,SAVINGS!$E:$E)-SUMIF(WITHDRAWALS!$A:$A,A339,WITHDRAWALS!$E:$E)),"")</f>
        <v/>
      </c>
    </row>
    <row r="340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5">
        <f>IFERROR(SUMIF(SAVINGS!$A:$A,DATABASE!A340,SAVINGS!$E:$E),"")</f>
        <v/>
      </c>
      <c r="J340" s="15">
        <f>IFERROR(IF(A340="","",SUMIF(SAVINGS!$A:$A,A340,SAVINGS!$E:$E)-SUMIF(WITHDRAWALS!$A:$A,A340,WITHDRAWALS!$E:$E)),"")</f>
        <v/>
      </c>
    </row>
    <row r="34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3">
        <f>IFERROR(SUMIF(SAVINGS!$A:$A,DATABASE!A341,SAVINGS!$E:$E),"")</f>
        <v/>
      </c>
      <c r="J341" s="13">
        <f>IFERROR(IF(A341="","",SUMIF(SAVINGS!$A:$A,A341,SAVINGS!$E:$E)-SUMIF(WITHDRAWALS!$A:$A,A341,WITHDRAWALS!$E:$E)),"")</f>
        <v/>
      </c>
    </row>
    <row r="342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5">
        <f>IFERROR(SUMIF(SAVINGS!$A:$A,DATABASE!A342,SAVINGS!$E:$E),"")</f>
        <v/>
      </c>
      <c r="J342" s="15">
        <f>IFERROR(IF(A342="","",SUMIF(SAVINGS!$A:$A,A342,SAVINGS!$E:$E)-SUMIF(WITHDRAWALS!$A:$A,A342,WITHDRAWALS!$E:$E)),"")</f>
        <v/>
      </c>
    </row>
    <row r="343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3">
        <f>IFERROR(SUMIF(SAVINGS!$A:$A,DATABASE!A343,SAVINGS!$E:$E),"")</f>
        <v/>
      </c>
      <c r="J343" s="13">
        <f>IFERROR(IF(A343="","",SUMIF(SAVINGS!$A:$A,A343,SAVINGS!$E:$E)-SUMIF(WITHDRAWALS!$A:$A,A343,WITHDRAWALS!$E:$E)),"")</f>
        <v/>
      </c>
    </row>
    <row r="344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5">
        <f>IFERROR(SUMIF(SAVINGS!$A:$A,DATABASE!A344,SAVINGS!$E:$E),"")</f>
        <v/>
      </c>
      <c r="J344" s="15">
        <f>IFERROR(IF(A344="","",SUMIF(SAVINGS!$A:$A,A344,SAVINGS!$E:$E)-SUMIF(WITHDRAWALS!$A:$A,A344,WITHDRAWALS!$E:$E)),"")</f>
        <v/>
      </c>
    </row>
    <row r="345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3">
        <f>IFERROR(SUMIF(SAVINGS!$A:$A,DATABASE!A345,SAVINGS!$E:$E),"")</f>
        <v/>
      </c>
      <c r="J345" s="13">
        <f>IFERROR(IF(A345="","",SUMIF(SAVINGS!$A:$A,A345,SAVINGS!$E:$E)-SUMIF(WITHDRAWALS!$A:$A,A345,WITHDRAWALS!$E:$E)),"")</f>
        <v/>
      </c>
    </row>
    <row r="346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5">
        <f>IFERROR(SUMIF(SAVINGS!$A:$A,DATABASE!A346,SAVINGS!$E:$E),"")</f>
        <v/>
      </c>
      <c r="J346" s="15">
        <f>IFERROR(IF(A346="","",SUMIF(SAVINGS!$A:$A,A346,SAVINGS!$E:$E)-SUMIF(WITHDRAWALS!$A:$A,A346,WITHDRAWALS!$E:$E)),"")</f>
        <v/>
      </c>
    </row>
    <row r="347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3">
        <f>IFERROR(SUMIF(SAVINGS!$A:$A,DATABASE!A347,SAVINGS!$E:$E),"")</f>
        <v/>
      </c>
      <c r="J347" s="13">
        <f>IFERROR(IF(A347="","",SUMIF(SAVINGS!$A:$A,A347,SAVINGS!$E:$E)-SUMIF(WITHDRAWALS!$A:$A,A347,WITHDRAWALS!$E:$E)),"")</f>
        <v/>
      </c>
    </row>
    <row r="348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5">
        <f>IFERROR(SUMIF(SAVINGS!$A:$A,DATABASE!A348,SAVINGS!$E:$E),"")</f>
        <v/>
      </c>
      <c r="J348" s="15">
        <f>IFERROR(IF(A348="","",SUMIF(SAVINGS!$A:$A,A348,SAVINGS!$E:$E)-SUMIF(WITHDRAWALS!$A:$A,A348,WITHDRAWALS!$E:$E)),"")</f>
        <v/>
      </c>
    </row>
    <row r="349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3">
        <f>IFERROR(SUMIF(SAVINGS!$A:$A,DATABASE!A349,SAVINGS!$E:$E),"")</f>
        <v/>
      </c>
      <c r="J349" s="13">
        <f>IFERROR(IF(A349="","",SUMIF(SAVINGS!$A:$A,A349,SAVINGS!$E:$E)-SUMIF(WITHDRAWALS!$A:$A,A349,WITHDRAWALS!$E:$E)),"")</f>
        <v/>
      </c>
    </row>
    <row r="350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5">
        <f>IFERROR(SUMIF(SAVINGS!$A:$A,DATABASE!A350,SAVINGS!$E:$E),"")</f>
        <v/>
      </c>
      <c r="J350" s="15">
        <f>IFERROR(IF(A350="","",SUMIF(SAVINGS!$A:$A,A350,SAVINGS!$E:$E)-SUMIF(WITHDRAWALS!$A:$A,A350,WITHDRAWALS!$E:$E)),"")</f>
        <v/>
      </c>
    </row>
    <row r="35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3">
        <f>IFERROR(SUMIF(SAVINGS!$A:$A,DATABASE!A351,SAVINGS!$E:$E),"")</f>
        <v/>
      </c>
      <c r="J351" s="13">
        <f>IFERROR(IF(A351="","",SUMIF(SAVINGS!$A:$A,A351,SAVINGS!$E:$E)-SUMIF(WITHDRAWALS!$A:$A,A351,WITHDRAWALS!$E:$E)),"")</f>
        <v/>
      </c>
    </row>
    <row r="352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5">
        <f>IFERROR(SUMIF(SAVINGS!$A:$A,DATABASE!A352,SAVINGS!$E:$E),"")</f>
        <v/>
      </c>
      <c r="J352" s="15">
        <f>IFERROR(IF(A352="","",SUMIF(SAVINGS!$A:$A,A352,SAVINGS!$E:$E)-SUMIF(WITHDRAWALS!$A:$A,A352,WITHDRAWALS!$E:$E)),"")</f>
        <v/>
      </c>
    </row>
    <row r="353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3">
        <f>IFERROR(SUMIF(SAVINGS!$A:$A,DATABASE!A353,SAVINGS!$E:$E),"")</f>
        <v/>
      </c>
      <c r="J353" s="13">
        <f>IFERROR(IF(A353="","",SUMIF(SAVINGS!$A:$A,A353,SAVINGS!$E:$E)-SUMIF(WITHDRAWALS!$A:$A,A353,WITHDRAWALS!$E:$E)),"")</f>
        <v/>
      </c>
    </row>
    <row r="354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5">
        <f>IFERROR(SUMIF(SAVINGS!$A:$A,DATABASE!A354,SAVINGS!$E:$E),"")</f>
        <v/>
      </c>
      <c r="J354" s="15">
        <f>IFERROR(IF(A354="","",SUMIF(SAVINGS!$A:$A,A354,SAVINGS!$E:$E)-SUMIF(WITHDRAWALS!$A:$A,A354,WITHDRAWALS!$E:$E)),"")</f>
        <v/>
      </c>
    </row>
    <row r="355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3">
        <f>IFERROR(SUMIF(SAVINGS!$A:$A,DATABASE!A355,SAVINGS!$E:$E),"")</f>
        <v/>
      </c>
      <c r="J355" s="13">
        <f>IFERROR(IF(A355="","",SUMIF(SAVINGS!$A:$A,A355,SAVINGS!$E:$E)-SUMIF(WITHDRAWALS!$A:$A,A355,WITHDRAWALS!$E:$E)),"")</f>
        <v/>
      </c>
    </row>
    <row r="356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5">
        <f>IFERROR(SUMIF(SAVINGS!$A:$A,DATABASE!A356,SAVINGS!$E:$E),"")</f>
        <v/>
      </c>
      <c r="J356" s="15">
        <f>IFERROR(IF(A356="","",SUMIF(SAVINGS!$A:$A,A356,SAVINGS!$E:$E)-SUMIF(WITHDRAWALS!$A:$A,A356,WITHDRAWALS!$E:$E)),"")</f>
        <v/>
      </c>
    </row>
    <row r="357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3">
        <f>IFERROR(SUMIF(SAVINGS!$A:$A,DATABASE!A357,SAVINGS!$E:$E),"")</f>
        <v/>
      </c>
      <c r="J357" s="13">
        <f>IFERROR(IF(A357="","",SUMIF(SAVINGS!$A:$A,A357,SAVINGS!$E:$E)-SUMIF(WITHDRAWALS!$A:$A,A357,WITHDRAWALS!$E:$E)),"")</f>
        <v/>
      </c>
    </row>
    <row r="358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5">
        <f>IFERROR(SUMIF(SAVINGS!$A:$A,DATABASE!A358,SAVINGS!$E:$E),"")</f>
        <v/>
      </c>
      <c r="J358" s="15">
        <f>IFERROR(IF(A358="","",SUMIF(SAVINGS!$A:$A,A358,SAVINGS!$E:$E)-SUMIF(WITHDRAWALS!$A:$A,A358,WITHDRAWALS!$E:$E)),"")</f>
        <v/>
      </c>
    </row>
    <row r="359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3">
        <f>IFERROR(SUMIF(SAVINGS!$A:$A,DATABASE!A359,SAVINGS!$E:$E),"")</f>
        <v/>
      </c>
      <c r="J359" s="13">
        <f>IFERROR(IF(A359="","",SUMIF(SAVINGS!$A:$A,A359,SAVINGS!$E:$E)-SUMIF(WITHDRAWALS!$A:$A,A359,WITHDRAWALS!$E:$E)),"")</f>
        <v/>
      </c>
    </row>
    <row r="360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5">
        <f>IFERROR(SUMIF(SAVINGS!$A:$A,DATABASE!A360,SAVINGS!$E:$E),"")</f>
        <v/>
      </c>
      <c r="J360" s="15">
        <f>IFERROR(IF(A360="","",SUMIF(SAVINGS!$A:$A,A360,SAVINGS!$E:$E)-SUMIF(WITHDRAWALS!$A:$A,A360,WITHDRAWALS!$E:$E)),"")</f>
        <v/>
      </c>
    </row>
    <row r="36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3">
        <f>IFERROR(SUMIF(SAVINGS!$A:$A,DATABASE!A361,SAVINGS!$E:$E),"")</f>
        <v/>
      </c>
      <c r="J361" s="13">
        <f>IFERROR(IF(A361="","",SUMIF(SAVINGS!$A:$A,A361,SAVINGS!$E:$E)-SUMIF(WITHDRAWALS!$A:$A,A361,WITHDRAWALS!$E:$E)),"")</f>
        <v/>
      </c>
    </row>
    <row r="362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5">
        <f>IFERROR(SUMIF(SAVINGS!$A:$A,DATABASE!A362,SAVINGS!$E:$E),"")</f>
        <v/>
      </c>
      <c r="J362" s="15">
        <f>IFERROR(IF(A362="","",SUMIF(SAVINGS!$A:$A,A362,SAVINGS!$E:$E)-SUMIF(WITHDRAWALS!$A:$A,A362,WITHDRAWALS!$E:$E)),"")</f>
        <v/>
      </c>
    </row>
    <row r="363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3">
        <f>IFERROR(SUMIF(SAVINGS!$A:$A,DATABASE!A363,SAVINGS!$E:$E),"")</f>
        <v/>
      </c>
      <c r="J363" s="13">
        <f>IFERROR(IF(A363="","",SUMIF(SAVINGS!$A:$A,A363,SAVINGS!$E:$E)-SUMIF(WITHDRAWALS!$A:$A,A363,WITHDRAWALS!$E:$E)),"")</f>
        <v/>
      </c>
    </row>
    <row r="364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5">
        <f>IFERROR(SUMIF(SAVINGS!$A:$A,DATABASE!A364,SAVINGS!$E:$E),"")</f>
        <v/>
      </c>
      <c r="J364" s="15">
        <f>IFERROR(IF(A364="","",SUMIF(SAVINGS!$A:$A,A364,SAVINGS!$E:$E)-SUMIF(WITHDRAWALS!$A:$A,A364,WITHDRAWALS!$E:$E)),"")</f>
        <v/>
      </c>
    </row>
    <row r="365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3">
        <f>IFERROR(SUMIF(SAVINGS!$A:$A,DATABASE!A365,SAVINGS!$E:$E),"")</f>
        <v/>
      </c>
      <c r="J365" s="13">
        <f>IFERROR(IF(A365="","",SUMIF(SAVINGS!$A:$A,A365,SAVINGS!$E:$E)-SUMIF(WITHDRAWALS!$A:$A,A365,WITHDRAWALS!$E:$E)),"")</f>
        <v/>
      </c>
    </row>
    <row r="366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5">
        <f>IFERROR(SUMIF(SAVINGS!$A:$A,DATABASE!A366,SAVINGS!$E:$E),"")</f>
        <v/>
      </c>
      <c r="J366" s="15">
        <f>IFERROR(IF(A366="","",SUMIF(SAVINGS!$A:$A,A366,SAVINGS!$E:$E)-SUMIF(WITHDRAWALS!$A:$A,A366,WITHDRAWALS!$E:$E)),"")</f>
        <v/>
      </c>
    </row>
    <row r="367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3">
        <f>IFERROR(SUMIF(SAVINGS!$A:$A,DATABASE!A367,SAVINGS!$E:$E),"")</f>
        <v/>
      </c>
      <c r="J367" s="13">
        <f>IFERROR(IF(A367="","",SUMIF(SAVINGS!$A:$A,A367,SAVINGS!$E:$E)-SUMIF(WITHDRAWALS!$A:$A,A367,WITHDRAWALS!$E:$E)),"")</f>
        <v/>
      </c>
    </row>
    <row r="368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5">
        <f>IFERROR(SUMIF(SAVINGS!$A:$A,DATABASE!A368,SAVINGS!$E:$E),"")</f>
        <v/>
      </c>
      <c r="J368" s="15">
        <f>IFERROR(IF(A368="","",SUMIF(SAVINGS!$A:$A,A368,SAVINGS!$E:$E)-SUMIF(WITHDRAWALS!$A:$A,A368,WITHDRAWALS!$E:$E)),"")</f>
        <v/>
      </c>
    </row>
    <row r="369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3">
        <f>IFERROR(SUMIF(SAVINGS!$A:$A,DATABASE!A369,SAVINGS!$E:$E),"")</f>
        <v/>
      </c>
      <c r="J369" s="13">
        <f>IFERROR(IF(A369="","",SUMIF(SAVINGS!$A:$A,A369,SAVINGS!$E:$E)-SUMIF(WITHDRAWALS!$A:$A,A369,WITHDRAWALS!$E:$E)),"")</f>
        <v/>
      </c>
    </row>
    <row r="370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5">
        <f>IFERROR(SUMIF(SAVINGS!$A:$A,DATABASE!A370,SAVINGS!$E:$E),"")</f>
        <v/>
      </c>
      <c r="J370" s="15">
        <f>IFERROR(IF(A370="","",SUMIF(SAVINGS!$A:$A,A370,SAVINGS!$E:$E)-SUMIF(WITHDRAWALS!$A:$A,A370,WITHDRAWALS!$E:$E)),"")</f>
        <v/>
      </c>
    </row>
    <row r="37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3">
        <f>IFERROR(SUMIF(SAVINGS!$A:$A,DATABASE!A371,SAVINGS!$E:$E),"")</f>
        <v/>
      </c>
      <c r="J371" s="13">
        <f>IFERROR(IF(A371="","",SUMIF(SAVINGS!$A:$A,A371,SAVINGS!$E:$E)-SUMIF(WITHDRAWALS!$A:$A,A371,WITHDRAWALS!$E:$E)),"")</f>
        <v/>
      </c>
    </row>
    <row r="372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5">
        <f>IFERROR(SUMIF(SAVINGS!$A:$A,DATABASE!A372,SAVINGS!$E:$E),"")</f>
        <v/>
      </c>
      <c r="J372" s="15">
        <f>IFERROR(IF(A372="","",SUMIF(SAVINGS!$A:$A,A372,SAVINGS!$E:$E)-SUMIF(WITHDRAWALS!$A:$A,A372,WITHDRAWALS!$E:$E)),"")</f>
        <v/>
      </c>
    </row>
    <row r="373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3">
        <f>IFERROR(SUMIF(SAVINGS!$A:$A,DATABASE!A373,SAVINGS!$E:$E),"")</f>
        <v/>
      </c>
      <c r="J373" s="13">
        <f>IFERROR(IF(A373="","",SUMIF(SAVINGS!$A:$A,A373,SAVINGS!$E:$E)-SUMIF(WITHDRAWALS!$A:$A,A373,WITHDRAWALS!$E:$E)),"")</f>
        <v/>
      </c>
    </row>
    <row r="374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5">
        <f>IFERROR(SUMIF(SAVINGS!$A:$A,DATABASE!A374,SAVINGS!$E:$E),"")</f>
        <v/>
      </c>
      <c r="J374" s="15">
        <f>IFERROR(IF(A374="","",SUMIF(SAVINGS!$A:$A,A374,SAVINGS!$E:$E)-SUMIF(WITHDRAWALS!$A:$A,A374,WITHDRAWALS!$E:$E)),"")</f>
        <v/>
      </c>
    </row>
    <row r="375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3">
        <f>IFERROR(SUMIF(SAVINGS!$A:$A,DATABASE!A375,SAVINGS!$E:$E),"")</f>
        <v/>
      </c>
      <c r="J375" s="13">
        <f>IFERROR(IF(A375="","",SUMIF(SAVINGS!$A:$A,A375,SAVINGS!$E:$E)-SUMIF(WITHDRAWALS!$A:$A,A375,WITHDRAWALS!$E:$E)),"")</f>
        <v/>
      </c>
    </row>
    <row r="376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5">
        <f>IFERROR(SUMIF(SAVINGS!$A:$A,DATABASE!A376,SAVINGS!$E:$E),"")</f>
        <v/>
      </c>
      <c r="J376" s="15">
        <f>IFERROR(IF(A376="","",SUMIF(SAVINGS!$A:$A,A376,SAVINGS!$E:$E)-SUMIF(WITHDRAWALS!$A:$A,A376,WITHDRAWALS!$E:$E)),"")</f>
        <v/>
      </c>
    </row>
    <row r="377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3">
        <f>IFERROR(SUMIF(SAVINGS!$A:$A,DATABASE!A377,SAVINGS!$E:$E),"")</f>
        <v/>
      </c>
      <c r="J377" s="13">
        <f>IFERROR(IF(A377="","",SUMIF(SAVINGS!$A:$A,A377,SAVINGS!$E:$E)-SUMIF(WITHDRAWALS!$A:$A,A377,WITHDRAWALS!$E:$E)),"")</f>
        <v/>
      </c>
    </row>
    <row r="378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5">
        <f>IFERROR(SUMIF(SAVINGS!$A:$A,DATABASE!A378,SAVINGS!$E:$E),"")</f>
        <v/>
      </c>
      <c r="J378" s="15">
        <f>IFERROR(IF(A378="","",SUMIF(SAVINGS!$A:$A,A378,SAVINGS!$E:$E)-SUMIF(WITHDRAWALS!$A:$A,A378,WITHDRAWALS!$E:$E)),"")</f>
        <v/>
      </c>
    </row>
    <row r="379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3">
        <f>IFERROR(SUMIF(SAVINGS!$A:$A,DATABASE!A379,SAVINGS!$E:$E),"")</f>
        <v/>
      </c>
      <c r="J379" s="13">
        <f>IFERROR(IF(A379="","",SUMIF(SAVINGS!$A:$A,A379,SAVINGS!$E:$E)-SUMIF(WITHDRAWALS!$A:$A,A379,WITHDRAWALS!$E:$E)),"")</f>
        <v/>
      </c>
    </row>
    <row r="380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5">
        <f>IFERROR(SUMIF(SAVINGS!$A:$A,DATABASE!A380,SAVINGS!$E:$E),"")</f>
        <v/>
      </c>
      <c r="J380" s="15">
        <f>IFERROR(IF(A380="","",SUMIF(SAVINGS!$A:$A,A380,SAVINGS!$E:$E)-SUMIF(WITHDRAWALS!$A:$A,A380,WITHDRAWALS!$E:$E)),"")</f>
        <v/>
      </c>
    </row>
    <row r="38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3">
        <f>IFERROR(SUMIF(SAVINGS!$A:$A,DATABASE!A381,SAVINGS!$E:$E),"")</f>
        <v/>
      </c>
      <c r="J381" s="13">
        <f>IFERROR(IF(A381="","",SUMIF(SAVINGS!$A:$A,A381,SAVINGS!$E:$E)-SUMIF(WITHDRAWALS!$A:$A,A381,WITHDRAWALS!$E:$E)),"")</f>
        <v/>
      </c>
    </row>
    <row r="382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5">
        <f>IFERROR(SUMIF(SAVINGS!$A:$A,DATABASE!A382,SAVINGS!$E:$E),"")</f>
        <v/>
      </c>
      <c r="J382" s="15">
        <f>IFERROR(IF(A382="","",SUMIF(SAVINGS!$A:$A,A382,SAVINGS!$E:$E)-SUMIF(WITHDRAWALS!$A:$A,A382,WITHDRAWALS!$E:$E)),"")</f>
        <v/>
      </c>
    </row>
    <row r="383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3">
        <f>IFERROR(SUMIF(SAVINGS!$A:$A,DATABASE!A383,SAVINGS!$E:$E),"")</f>
        <v/>
      </c>
      <c r="J383" s="13">
        <f>IFERROR(IF(A383="","",SUMIF(SAVINGS!$A:$A,A383,SAVINGS!$E:$E)-SUMIF(WITHDRAWALS!$A:$A,A383,WITHDRAWALS!$E:$E)),"")</f>
        <v/>
      </c>
    </row>
    <row r="384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5">
        <f>IFERROR(SUMIF(SAVINGS!$A:$A,DATABASE!A384,SAVINGS!$E:$E),"")</f>
        <v/>
      </c>
      <c r="J384" s="15">
        <f>IFERROR(IF(A384="","",SUMIF(SAVINGS!$A:$A,A384,SAVINGS!$E:$E)-SUMIF(WITHDRAWALS!$A:$A,A384,WITHDRAWALS!$E:$E)),"")</f>
        <v/>
      </c>
    </row>
    <row r="385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3">
        <f>IFERROR(SUMIF(SAVINGS!$A:$A,DATABASE!A385,SAVINGS!$E:$E),"")</f>
        <v/>
      </c>
      <c r="J385" s="13">
        <f>IFERROR(IF(A385="","",SUMIF(SAVINGS!$A:$A,A385,SAVINGS!$E:$E)-SUMIF(WITHDRAWALS!$A:$A,A385,WITHDRAWALS!$E:$E)),"")</f>
        <v/>
      </c>
    </row>
    <row r="386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5">
        <f>IFERROR(SUMIF(SAVINGS!$A:$A,DATABASE!A386,SAVINGS!$E:$E),"")</f>
        <v/>
      </c>
      <c r="J386" s="15">
        <f>IFERROR(IF(A386="","",SUMIF(SAVINGS!$A:$A,A386,SAVINGS!$E:$E)-SUMIF(WITHDRAWALS!$A:$A,A386,WITHDRAWALS!$E:$E)),"")</f>
        <v/>
      </c>
    </row>
    <row r="387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3">
        <f>IFERROR(SUMIF(SAVINGS!$A:$A,DATABASE!A387,SAVINGS!$E:$E),"")</f>
        <v/>
      </c>
      <c r="J387" s="13">
        <f>IFERROR(IF(A387="","",SUMIF(SAVINGS!$A:$A,A387,SAVINGS!$E:$E)-SUMIF(WITHDRAWALS!$A:$A,A387,WITHDRAWALS!$E:$E)),"")</f>
        <v/>
      </c>
    </row>
    <row r="388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5">
        <f>IFERROR(SUMIF(SAVINGS!$A:$A,DATABASE!A388,SAVINGS!$E:$E),"")</f>
        <v/>
      </c>
      <c r="J388" s="15">
        <f>IFERROR(IF(A388="","",SUMIF(SAVINGS!$A:$A,A388,SAVINGS!$E:$E)-SUMIF(WITHDRAWALS!$A:$A,A388,WITHDRAWALS!$E:$E)),"")</f>
        <v/>
      </c>
    </row>
    <row r="389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3">
        <f>IFERROR(SUMIF(SAVINGS!$A:$A,DATABASE!A389,SAVINGS!$E:$E),"")</f>
        <v/>
      </c>
      <c r="J389" s="13">
        <f>IFERROR(IF(A389="","",SUMIF(SAVINGS!$A:$A,A389,SAVINGS!$E:$E)-SUMIF(WITHDRAWALS!$A:$A,A389,WITHDRAWALS!$E:$E)),"")</f>
        <v/>
      </c>
    </row>
    <row r="390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5">
        <f>IFERROR(SUMIF(SAVINGS!$A:$A,DATABASE!A390,SAVINGS!$E:$E),"")</f>
        <v/>
      </c>
      <c r="J390" s="15">
        <f>IFERROR(IF(A390="","",SUMIF(SAVINGS!$A:$A,A390,SAVINGS!$E:$E)-SUMIF(WITHDRAWALS!$A:$A,A390,WITHDRAWALS!$E:$E)),"")</f>
        <v/>
      </c>
    </row>
    <row r="39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3">
        <f>IFERROR(SUMIF(SAVINGS!$A:$A,DATABASE!A391,SAVINGS!$E:$E),"")</f>
        <v/>
      </c>
      <c r="J391" s="13">
        <f>IFERROR(IF(A391="","",SUMIF(SAVINGS!$A:$A,A391,SAVINGS!$E:$E)-SUMIF(WITHDRAWALS!$A:$A,A391,WITHDRAWALS!$E:$E)),"")</f>
        <v/>
      </c>
    </row>
    <row r="392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5">
        <f>IFERROR(SUMIF(SAVINGS!$A:$A,DATABASE!A392,SAVINGS!$E:$E),"")</f>
        <v/>
      </c>
      <c r="J392" s="15">
        <f>IFERROR(IF(A392="","",SUMIF(SAVINGS!$A:$A,A392,SAVINGS!$E:$E)-SUMIF(WITHDRAWALS!$A:$A,A392,WITHDRAWALS!$E:$E)),"")</f>
        <v/>
      </c>
    </row>
    <row r="393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3">
        <f>IFERROR(SUMIF(SAVINGS!$A:$A,DATABASE!A393,SAVINGS!$E:$E),"")</f>
        <v/>
      </c>
      <c r="J393" s="13">
        <f>IFERROR(IF(A393="","",SUMIF(SAVINGS!$A:$A,A393,SAVINGS!$E:$E)-SUMIF(WITHDRAWALS!$A:$A,A393,WITHDRAWALS!$E:$E)),"")</f>
        <v/>
      </c>
    </row>
    <row r="394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5">
        <f>IFERROR(SUMIF(SAVINGS!$A:$A,DATABASE!A394,SAVINGS!$E:$E),"")</f>
        <v/>
      </c>
      <c r="J394" s="15">
        <f>IFERROR(IF(A394="","",SUMIF(SAVINGS!$A:$A,A394,SAVINGS!$E:$E)-SUMIF(WITHDRAWALS!$A:$A,A394,WITHDRAWALS!$E:$E)),"")</f>
        <v/>
      </c>
    </row>
    <row r="395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3">
        <f>IFERROR(SUMIF(SAVINGS!$A:$A,DATABASE!A395,SAVINGS!$E:$E),"")</f>
        <v/>
      </c>
      <c r="J395" s="13">
        <f>IFERROR(IF(A395="","",SUMIF(SAVINGS!$A:$A,A395,SAVINGS!$E:$E)-SUMIF(WITHDRAWALS!$A:$A,A395,WITHDRAWALS!$E:$E)),"")</f>
        <v/>
      </c>
    </row>
    <row r="396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5">
        <f>IFERROR(SUMIF(SAVINGS!$A:$A,DATABASE!A396,SAVINGS!$E:$E),"")</f>
        <v/>
      </c>
      <c r="J396" s="15">
        <f>IFERROR(IF(A396="","",SUMIF(SAVINGS!$A:$A,A396,SAVINGS!$E:$E)-SUMIF(WITHDRAWALS!$A:$A,A396,WITHDRAWALS!$E:$E)),"")</f>
        <v/>
      </c>
    </row>
    <row r="397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3">
        <f>IFERROR(SUMIF(SAVINGS!$A:$A,DATABASE!A397,SAVINGS!$E:$E),"")</f>
        <v/>
      </c>
      <c r="J397" s="13">
        <f>IFERROR(IF(A397="","",SUMIF(SAVINGS!$A:$A,A397,SAVINGS!$E:$E)-SUMIF(WITHDRAWALS!$A:$A,A397,WITHDRAWALS!$E:$E)),"")</f>
        <v/>
      </c>
    </row>
    <row r="398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5">
        <f>IFERROR(SUMIF(SAVINGS!$A:$A,DATABASE!A398,SAVINGS!$E:$E),"")</f>
        <v/>
      </c>
      <c r="J398" s="15">
        <f>IFERROR(IF(A398="","",SUMIF(SAVINGS!$A:$A,A398,SAVINGS!$E:$E)-SUMIF(WITHDRAWALS!$A:$A,A398,WITHDRAWALS!$E:$E)),"")</f>
        <v/>
      </c>
    </row>
    <row r="399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3">
        <f>IFERROR(SUMIF(SAVINGS!$A:$A,DATABASE!A399,SAVINGS!$E:$E),"")</f>
        <v/>
      </c>
      <c r="J399" s="13">
        <f>IFERROR(IF(A399="","",SUMIF(SAVINGS!$A:$A,A399,SAVINGS!$E:$E)-SUMIF(WITHDRAWALS!$A:$A,A399,WITHDRAWALS!$E:$E)),"")</f>
        <v/>
      </c>
    </row>
    <row r="400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5">
        <f>IFERROR(SUMIF(SAVINGS!$A:$A,DATABASE!A400,SAVINGS!$E:$E),"")</f>
        <v/>
      </c>
      <c r="J400" s="15">
        <f>IFERROR(IF(A400="","",SUMIF(SAVINGS!$A:$A,A400,SAVINGS!$E:$E)-SUMIF(WITHDRAWALS!$A:$A,A400,WITHDRAWALS!$E:$E)),"")</f>
        <v/>
      </c>
    </row>
    <row r="40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3">
        <f>IFERROR(SUMIF(SAVINGS!$A:$A,DATABASE!A401,SAVINGS!$E:$E),"")</f>
        <v/>
      </c>
      <c r="J401" s="13">
        <f>IFERROR(IF(A401="","",SUMIF(SAVINGS!$A:$A,A401,SAVINGS!$E:$E)-SUMIF(WITHDRAWALS!$A:$A,A401,WITHDRAWALS!$E:$E)),"")</f>
        <v/>
      </c>
    </row>
    <row r="402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5">
        <f>IFERROR(SUMIF(SAVINGS!$A:$A,DATABASE!A402,SAVINGS!$E:$E),"")</f>
        <v/>
      </c>
      <c r="J402" s="15">
        <f>IFERROR(IF(A402="","",SUMIF(SAVINGS!$A:$A,A402,SAVINGS!$E:$E)-SUMIF(WITHDRAWALS!$A:$A,A402,WITHDRAWALS!$E:$E)),"")</f>
        <v/>
      </c>
    </row>
    <row r="403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3">
        <f>IFERROR(SUMIF(SAVINGS!$A:$A,DATABASE!A403,SAVINGS!$E:$E),"")</f>
        <v/>
      </c>
      <c r="J403" s="13">
        <f>IFERROR(IF(A403="","",SUMIF(SAVINGS!$A:$A,A403,SAVINGS!$E:$E)-SUMIF(WITHDRAWALS!$A:$A,A403,WITHDRAWALS!$E:$E)),"")</f>
        <v/>
      </c>
    </row>
    <row r="404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5">
        <f>IFERROR(SUMIF(SAVINGS!$A:$A,DATABASE!A404,SAVINGS!$E:$E),"")</f>
        <v/>
      </c>
      <c r="J404" s="15">
        <f>IFERROR(IF(A404="","",SUMIF(SAVINGS!$A:$A,A404,SAVINGS!$E:$E)-SUMIF(WITHDRAWALS!$A:$A,A404,WITHDRAWALS!$E:$E)),"")</f>
        <v/>
      </c>
    </row>
    <row r="405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3">
        <f>IFERROR(SUMIF(SAVINGS!$A:$A,DATABASE!A405,SAVINGS!$E:$E),"")</f>
        <v/>
      </c>
      <c r="J405" s="13">
        <f>IFERROR(IF(A405="","",SUMIF(SAVINGS!$A:$A,A405,SAVINGS!$E:$E)-SUMIF(WITHDRAWALS!$A:$A,A405,WITHDRAWALS!$E:$E)),"")</f>
        <v/>
      </c>
    </row>
    <row r="406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5">
        <f>IFERROR(SUMIF(SAVINGS!$A:$A,DATABASE!A406,SAVINGS!$E:$E),"")</f>
        <v/>
      </c>
      <c r="J406" s="15">
        <f>IFERROR(IF(A406="","",SUMIF(SAVINGS!$A:$A,A406,SAVINGS!$E:$E)-SUMIF(WITHDRAWALS!$A:$A,A406,WITHDRAWALS!$E:$E)),"")</f>
        <v/>
      </c>
    </row>
    <row r="407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3">
        <f>IFERROR(SUMIF(SAVINGS!$A:$A,DATABASE!A407,SAVINGS!$E:$E),"")</f>
        <v/>
      </c>
      <c r="J407" s="13">
        <f>IFERROR(IF(A407="","",SUMIF(SAVINGS!$A:$A,A407,SAVINGS!$E:$E)-SUMIF(WITHDRAWALS!$A:$A,A407,WITHDRAWALS!$E:$E)),"")</f>
        <v/>
      </c>
    </row>
    <row r="408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5">
        <f>IFERROR(SUMIF(SAVINGS!$A:$A,DATABASE!A408,SAVINGS!$E:$E),"")</f>
        <v/>
      </c>
      <c r="J408" s="15">
        <f>IFERROR(IF(A408="","",SUMIF(SAVINGS!$A:$A,A408,SAVINGS!$E:$E)-SUMIF(WITHDRAWALS!$A:$A,A408,WITHDRAWALS!$E:$E)),"")</f>
        <v/>
      </c>
    </row>
    <row r="409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3">
        <f>IFERROR(SUMIF(SAVINGS!$A:$A,DATABASE!A409,SAVINGS!$E:$E),"")</f>
        <v/>
      </c>
      <c r="J409" s="13">
        <f>IFERROR(IF(A409="","",SUMIF(SAVINGS!$A:$A,A409,SAVINGS!$E:$E)-SUMIF(WITHDRAWALS!$A:$A,A409,WITHDRAWALS!$E:$E)),"")</f>
        <v/>
      </c>
    </row>
    <row r="410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5">
        <f>IFERROR(SUMIF(SAVINGS!$A:$A,DATABASE!A410,SAVINGS!$E:$E),"")</f>
        <v/>
      </c>
      <c r="J410" s="15">
        <f>IFERROR(IF(A410="","",SUMIF(SAVINGS!$A:$A,A410,SAVINGS!$E:$E)-SUMIF(WITHDRAWALS!$A:$A,A410,WITHDRAWALS!$E:$E)),"")</f>
        <v/>
      </c>
    </row>
    <row r="41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3">
        <f>IFERROR(SUMIF(SAVINGS!$A:$A,DATABASE!A411,SAVINGS!$E:$E),"")</f>
        <v/>
      </c>
      <c r="J411" s="13">
        <f>IFERROR(IF(A411="","",SUMIF(SAVINGS!$A:$A,A411,SAVINGS!$E:$E)-SUMIF(WITHDRAWALS!$A:$A,A411,WITHDRAWALS!$E:$E)),"")</f>
        <v/>
      </c>
    </row>
    <row r="412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5">
        <f>IFERROR(SUMIF(SAVINGS!$A:$A,DATABASE!A412,SAVINGS!$E:$E),"")</f>
        <v/>
      </c>
      <c r="J412" s="15">
        <f>IFERROR(IF(A412="","",SUMIF(SAVINGS!$A:$A,A412,SAVINGS!$E:$E)-SUMIF(WITHDRAWALS!$A:$A,A412,WITHDRAWALS!$E:$E)),"")</f>
        <v/>
      </c>
    </row>
    <row r="413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3">
        <f>IFERROR(SUMIF(SAVINGS!$A:$A,DATABASE!A413,SAVINGS!$E:$E),"")</f>
        <v/>
      </c>
      <c r="J413" s="13">
        <f>IFERROR(IF(A413="","",SUMIF(SAVINGS!$A:$A,A413,SAVINGS!$E:$E)-SUMIF(WITHDRAWALS!$A:$A,A413,WITHDRAWALS!$E:$E)),"")</f>
        <v/>
      </c>
    </row>
    <row r="414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5">
        <f>IFERROR(SUMIF(SAVINGS!$A:$A,DATABASE!A414,SAVINGS!$E:$E),"")</f>
        <v/>
      </c>
      <c r="J414" s="15">
        <f>IFERROR(IF(A414="","",SUMIF(SAVINGS!$A:$A,A414,SAVINGS!$E:$E)-SUMIF(WITHDRAWALS!$A:$A,A414,WITHDRAWALS!$E:$E)),"")</f>
        <v/>
      </c>
    </row>
    <row r="415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3">
        <f>IFERROR(SUMIF(SAVINGS!$A:$A,DATABASE!A415,SAVINGS!$E:$E),"")</f>
        <v/>
      </c>
      <c r="J415" s="13">
        <f>IFERROR(IF(A415="","",SUMIF(SAVINGS!$A:$A,A415,SAVINGS!$E:$E)-SUMIF(WITHDRAWALS!$A:$A,A415,WITHDRAWALS!$E:$E)),"")</f>
        <v/>
      </c>
    </row>
    <row r="416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5">
        <f>IFERROR(SUMIF(SAVINGS!$A:$A,DATABASE!A416,SAVINGS!$E:$E),"")</f>
        <v/>
      </c>
      <c r="J416" s="15">
        <f>IFERROR(IF(A416="","",SUMIF(SAVINGS!$A:$A,A416,SAVINGS!$E:$E)-SUMIF(WITHDRAWALS!$A:$A,A416,WITHDRAWALS!$E:$E)),"")</f>
        <v/>
      </c>
    </row>
    <row r="417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3">
        <f>IFERROR(SUMIF(SAVINGS!$A:$A,DATABASE!A417,SAVINGS!$E:$E),"")</f>
        <v/>
      </c>
      <c r="J417" s="13">
        <f>IFERROR(IF(A417="","",SUMIF(SAVINGS!$A:$A,A417,SAVINGS!$E:$E)-SUMIF(WITHDRAWALS!$A:$A,A417,WITHDRAWALS!$E:$E)),"")</f>
        <v/>
      </c>
    </row>
    <row r="418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5">
        <f>IFERROR(SUMIF(SAVINGS!$A:$A,DATABASE!A418,SAVINGS!$E:$E),"")</f>
        <v/>
      </c>
      <c r="J418" s="15">
        <f>IFERROR(IF(A418="","",SUMIF(SAVINGS!$A:$A,A418,SAVINGS!$E:$E)-SUMIF(WITHDRAWALS!$A:$A,A418,WITHDRAWALS!$E:$E)),"")</f>
        <v/>
      </c>
    </row>
    <row r="419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3">
        <f>IFERROR(SUMIF(SAVINGS!$A:$A,DATABASE!A419,SAVINGS!$E:$E),"")</f>
        <v/>
      </c>
      <c r="J419" s="13">
        <f>IFERROR(IF(A419="","",SUMIF(SAVINGS!$A:$A,A419,SAVINGS!$E:$E)-SUMIF(WITHDRAWALS!$A:$A,A419,WITHDRAWALS!$E:$E)),"")</f>
        <v/>
      </c>
    </row>
    <row r="420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5">
        <f>IFERROR(SUMIF(SAVINGS!$A:$A,DATABASE!A420,SAVINGS!$E:$E),"")</f>
        <v/>
      </c>
      <c r="J420" s="15">
        <f>IFERROR(IF(A420="","",SUMIF(SAVINGS!$A:$A,A420,SAVINGS!$E:$E)-SUMIF(WITHDRAWALS!$A:$A,A420,WITHDRAWALS!$E:$E)),"")</f>
        <v/>
      </c>
    </row>
    <row r="42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3">
        <f>IFERROR(SUMIF(SAVINGS!$A:$A,DATABASE!A421,SAVINGS!$E:$E),"")</f>
        <v/>
      </c>
      <c r="J421" s="13">
        <f>IFERROR(IF(A421="","",SUMIF(SAVINGS!$A:$A,A421,SAVINGS!$E:$E)-SUMIF(WITHDRAWALS!$A:$A,A421,WITHDRAWALS!$E:$E)),"")</f>
        <v/>
      </c>
    </row>
    <row r="422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5">
        <f>IFERROR(SUMIF(SAVINGS!$A:$A,DATABASE!A422,SAVINGS!$E:$E),"")</f>
        <v/>
      </c>
      <c r="J422" s="15">
        <f>IFERROR(IF(A422="","",SUMIF(SAVINGS!$A:$A,A422,SAVINGS!$E:$E)-SUMIF(WITHDRAWALS!$A:$A,A422,WITHDRAWALS!$E:$E)),"")</f>
        <v/>
      </c>
    </row>
    <row r="423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3">
        <f>IFERROR(SUMIF(SAVINGS!$A:$A,DATABASE!A423,SAVINGS!$E:$E),"")</f>
        <v/>
      </c>
      <c r="J423" s="13">
        <f>IFERROR(IF(A423="","",SUMIF(SAVINGS!$A:$A,A423,SAVINGS!$E:$E)-SUMIF(WITHDRAWALS!$A:$A,A423,WITHDRAWALS!$E:$E)),"")</f>
        <v/>
      </c>
    </row>
    <row r="424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5">
        <f>IFERROR(SUMIF(SAVINGS!$A:$A,DATABASE!A424,SAVINGS!$E:$E),"")</f>
        <v/>
      </c>
      <c r="J424" s="15">
        <f>IFERROR(IF(A424="","",SUMIF(SAVINGS!$A:$A,A424,SAVINGS!$E:$E)-SUMIF(WITHDRAWALS!$A:$A,A424,WITHDRAWALS!$E:$E)),"")</f>
        <v/>
      </c>
    </row>
    <row r="425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3">
        <f>IFERROR(SUMIF(SAVINGS!$A:$A,DATABASE!A425,SAVINGS!$E:$E),"")</f>
        <v/>
      </c>
      <c r="J425" s="13">
        <f>IFERROR(IF(A425="","",SUMIF(SAVINGS!$A:$A,A425,SAVINGS!$E:$E)-SUMIF(WITHDRAWALS!$A:$A,A425,WITHDRAWALS!$E:$E)),"")</f>
        <v/>
      </c>
    </row>
    <row r="426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5">
        <f>IFERROR(SUMIF(SAVINGS!$A:$A,DATABASE!A426,SAVINGS!$E:$E),"")</f>
        <v/>
      </c>
      <c r="J426" s="15">
        <f>IFERROR(IF(A426="","",SUMIF(SAVINGS!$A:$A,A426,SAVINGS!$E:$E)-SUMIF(WITHDRAWALS!$A:$A,A426,WITHDRAWALS!$E:$E)),"")</f>
        <v/>
      </c>
    </row>
    <row r="427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3">
        <f>IFERROR(SUMIF(SAVINGS!$A:$A,DATABASE!A427,SAVINGS!$E:$E),"")</f>
        <v/>
      </c>
      <c r="J427" s="13">
        <f>IFERROR(IF(A427="","",SUMIF(SAVINGS!$A:$A,A427,SAVINGS!$E:$E)-SUMIF(WITHDRAWALS!$A:$A,A427,WITHDRAWALS!$E:$E)),"")</f>
        <v/>
      </c>
    </row>
    <row r="428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5">
        <f>IFERROR(SUMIF(SAVINGS!$A:$A,DATABASE!A428,SAVINGS!$E:$E),"")</f>
        <v/>
      </c>
      <c r="J428" s="15">
        <f>IFERROR(IF(A428="","",SUMIF(SAVINGS!$A:$A,A428,SAVINGS!$E:$E)-SUMIF(WITHDRAWALS!$A:$A,A428,WITHDRAWALS!$E:$E)),"")</f>
        <v/>
      </c>
    </row>
    <row r="429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3">
        <f>IFERROR(SUMIF(SAVINGS!$A:$A,DATABASE!A429,SAVINGS!$E:$E),"")</f>
        <v/>
      </c>
      <c r="J429" s="13">
        <f>IFERROR(IF(A429="","",SUMIF(SAVINGS!$A:$A,A429,SAVINGS!$E:$E)-SUMIF(WITHDRAWALS!$A:$A,A429,WITHDRAWALS!$E:$E)),"")</f>
        <v/>
      </c>
    </row>
    <row r="430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5">
        <f>IFERROR(SUMIF(SAVINGS!$A:$A,DATABASE!A430,SAVINGS!$E:$E),"")</f>
        <v/>
      </c>
      <c r="J430" s="15">
        <f>IFERROR(IF(A430="","",SUMIF(SAVINGS!$A:$A,A430,SAVINGS!$E:$E)-SUMIF(WITHDRAWALS!$A:$A,A430,WITHDRAWALS!$E:$E)),"")</f>
        <v/>
      </c>
    </row>
    <row r="43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3">
        <f>IFERROR(SUMIF(SAVINGS!$A:$A,DATABASE!A431,SAVINGS!$E:$E),"")</f>
        <v/>
      </c>
      <c r="J431" s="13">
        <f>IFERROR(IF(A431="","",SUMIF(SAVINGS!$A:$A,A431,SAVINGS!$E:$E)-SUMIF(WITHDRAWALS!$A:$A,A431,WITHDRAWALS!$E:$E)),"")</f>
        <v/>
      </c>
    </row>
    <row r="432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5">
        <f>IFERROR(SUMIF(SAVINGS!$A:$A,DATABASE!A432,SAVINGS!$E:$E),"")</f>
        <v/>
      </c>
      <c r="J432" s="15">
        <f>IFERROR(IF(A432="","",SUMIF(SAVINGS!$A:$A,A432,SAVINGS!$E:$E)-SUMIF(WITHDRAWALS!$A:$A,A432,WITHDRAWALS!$E:$E)),"")</f>
        <v/>
      </c>
    </row>
    <row r="433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3">
        <f>IFERROR(SUMIF(SAVINGS!$A:$A,DATABASE!A433,SAVINGS!$E:$E),"")</f>
        <v/>
      </c>
      <c r="J433" s="13">
        <f>IFERROR(IF(A433="","",SUMIF(SAVINGS!$A:$A,A433,SAVINGS!$E:$E)-SUMIF(WITHDRAWALS!$A:$A,A433,WITHDRAWALS!$E:$E)),"")</f>
        <v/>
      </c>
    </row>
    <row r="434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5">
        <f>IFERROR(SUMIF(SAVINGS!$A:$A,DATABASE!A434,SAVINGS!$E:$E),"")</f>
        <v/>
      </c>
      <c r="J434" s="15">
        <f>IFERROR(IF(A434="","",SUMIF(SAVINGS!$A:$A,A434,SAVINGS!$E:$E)-SUMIF(WITHDRAWALS!$A:$A,A434,WITHDRAWALS!$E:$E)),"")</f>
        <v/>
      </c>
    </row>
    <row r="435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3">
        <f>IFERROR(SUMIF(SAVINGS!$A:$A,DATABASE!A435,SAVINGS!$E:$E),"")</f>
        <v/>
      </c>
      <c r="J435" s="13">
        <f>IFERROR(IF(A435="","",SUMIF(SAVINGS!$A:$A,A435,SAVINGS!$E:$E)-SUMIF(WITHDRAWALS!$A:$A,A435,WITHDRAWALS!$E:$E)),"")</f>
        <v/>
      </c>
    </row>
    <row r="436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5">
        <f>IFERROR(SUMIF(SAVINGS!$A:$A,DATABASE!A436,SAVINGS!$E:$E),"")</f>
        <v/>
      </c>
      <c r="J436" s="15">
        <f>IFERROR(IF(A436="","",SUMIF(SAVINGS!$A:$A,A436,SAVINGS!$E:$E)-SUMIF(WITHDRAWALS!$A:$A,A436,WITHDRAWALS!$E:$E)),"")</f>
        <v/>
      </c>
    </row>
    <row r="437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3">
        <f>IFERROR(SUMIF(SAVINGS!$A:$A,DATABASE!A437,SAVINGS!$E:$E),"")</f>
        <v/>
      </c>
      <c r="J437" s="13">
        <f>IFERROR(IF(A437="","",SUMIF(SAVINGS!$A:$A,A437,SAVINGS!$E:$E)-SUMIF(WITHDRAWALS!$A:$A,A437,WITHDRAWALS!$E:$E)),"")</f>
        <v/>
      </c>
    </row>
    <row r="438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5">
        <f>IFERROR(SUMIF(SAVINGS!$A:$A,DATABASE!A438,SAVINGS!$E:$E),"")</f>
        <v/>
      </c>
      <c r="J438" s="15">
        <f>IFERROR(IF(A438="","",SUMIF(SAVINGS!$A:$A,A438,SAVINGS!$E:$E)-SUMIF(WITHDRAWALS!$A:$A,A438,WITHDRAWALS!$E:$E)),"")</f>
        <v/>
      </c>
    </row>
    <row r="439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3">
        <f>IFERROR(SUMIF(SAVINGS!$A:$A,DATABASE!A439,SAVINGS!$E:$E),"")</f>
        <v/>
      </c>
      <c r="J439" s="13">
        <f>IFERROR(IF(A439="","",SUMIF(SAVINGS!$A:$A,A439,SAVINGS!$E:$E)-SUMIF(WITHDRAWALS!$A:$A,A439,WITHDRAWALS!$E:$E)),"")</f>
        <v/>
      </c>
    </row>
    <row r="440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5">
        <f>IFERROR(SUMIF(SAVINGS!$A:$A,DATABASE!A440,SAVINGS!$E:$E),"")</f>
        <v/>
      </c>
      <c r="J440" s="15">
        <f>IFERROR(IF(A440="","",SUMIF(SAVINGS!$A:$A,A440,SAVINGS!$E:$E)-SUMIF(WITHDRAWALS!$A:$A,A440,WITHDRAWALS!$E:$E)),"")</f>
        <v/>
      </c>
    </row>
    <row r="44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3">
        <f>IFERROR(SUMIF(SAVINGS!$A:$A,DATABASE!A441,SAVINGS!$E:$E),"")</f>
        <v/>
      </c>
      <c r="J441" s="13">
        <f>IFERROR(IF(A441="","",SUMIF(SAVINGS!$A:$A,A441,SAVINGS!$E:$E)-SUMIF(WITHDRAWALS!$A:$A,A441,WITHDRAWALS!$E:$E)),"")</f>
        <v/>
      </c>
    </row>
    <row r="442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5">
        <f>IFERROR(SUMIF(SAVINGS!$A:$A,DATABASE!A442,SAVINGS!$E:$E),"")</f>
        <v/>
      </c>
      <c r="J442" s="15">
        <f>IFERROR(IF(A442="","",SUMIF(SAVINGS!$A:$A,A442,SAVINGS!$E:$E)-SUMIF(WITHDRAWALS!$A:$A,A442,WITHDRAWALS!$E:$E)),"")</f>
        <v/>
      </c>
    </row>
    <row r="443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3">
        <f>IFERROR(SUMIF(SAVINGS!$A:$A,DATABASE!A443,SAVINGS!$E:$E),"")</f>
        <v/>
      </c>
      <c r="J443" s="13">
        <f>IFERROR(IF(A443="","",SUMIF(SAVINGS!$A:$A,A443,SAVINGS!$E:$E)-SUMIF(WITHDRAWALS!$A:$A,A443,WITHDRAWALS!$E:$E)),"")</f>
        <v/>
      </c>
    </row>
    <row r="444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5">
        <f>IFERROR(SUMIF(SAVINGS!$A:$A,DATABASE!A444,SAVINGS!$E:$E),"")</f>
        <v/>
      </c>
      <c r="J444" s="15">
        <f>IFERROR(IF(A444="","",SUMIF(SAVINGS!$A:$A,A444,SAVINGS!$E:$E)-SUMIF(WITHDRAWALS!$A:$A,A444,WITHDRAWALS!$E:$E)),"")</f>
        <v/>
      </c>
    </row>
    <row r="445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3">
        <f>IFERROR(SUMIF(SAVINGS!$A:$A,DATABASE!A445,SAVINGS!$E:$E),"")</f>
        <v/>
      </c>
      <c r="J445" s="13">
        <f>IFERROR(IF(A445="","",SUMIF(SAVINGS!$A:$A,A445,SAVINGS!$E:$E)-SUMIF(WITHDRAWALS!$A:$A,A445,WITHDRAWALS!$E:$E)),"")</f>
        <v/>
      </c>
    </row>
    <row r="446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5">
        <f>IFERROR(SUMIF(SAVINGS!$A:$A,DATABASE!A446,SAVINGS!$E:$E),"")</f>
        <v/>
      </c>
      <c r="J446" s="15">
        <f>IFERROR(IF(A446="","",SUMIF(SAVINGS!$A:$A,A446,SAVINGS!$E:$E)-SUMIF(WITHDRAWALS!$A:$A,A446,WITHDRAWALS!$E:$E)),"")</f>
        <v/>
      </c>
    </row>
    <row r="447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3">
        <f>IFERROR(SUMIF(SAVINGS!$A:$A,DATABASE!A447,SAVINGS!$E:$E),"")</f>
        <v/>
      </c>
      <c r="J447" s="13">
        <f>IFERROR(IF(A447="","",SUMIF(SAVINGS!$A:$A,A447,SAVINGS!$E:$E)-SUMIF(WITHDRAWALS!$A:$A,A447,WITHDRAWALS!$E:$E)),"")</f>
        <v/>
      </c>
    </row>
    <row r="448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5">
        <f>IFERROR(SUMIF(SAVINGS!$A:$A,DATABASE!A448,SAVINGS!$E:$E),"")</f>
        <v/>
      </c>
      <c r="J448" s="15">
        <f>IFERROR(IF(A448="","",SUMIF(SAVINGS!$A:$A,A448,SAVINGS!$E:$E)-SUMIF(WITHDRAWALS!$A:$A,A448,WITHDRAWALS!$E:$E)),"")</f>
        <v/>
      </c>
    </row>
    <row r="449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3">
        <f>IFERROR(SUMIF(SAVINGS!$A:$A,DATABASE!A449,SAVINGS!$E:$E),"")</f>
        <v/>
      </c>
      <c r="J449" s="13">
        <f>IFERROR(IF(A449="","",SUMIF(SAVINGS!$A:$A,A449,SAVINGS!$E:$E)-SUMIF(WITHDRAWALS!$A:$A,A449,WITHDRAWALS!$E:$E)),"")</f>
        <v/>
      </c>
    </row>
    <row r="450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5">
        <f>IFERROR(SUMIF(SAVINGS!$A:$A,DATABASE!A450,SAVINGS!$E:$E),"")</f>
        <v/>
      </c>
      <c r="J450" s="15">
        <f>IFERROR(IF(A450="","",SUMIF(SAVINGS!$A:$A,A450,SAVINGS!$E:$E)-SUMIF(WITHDRAWALS!$A:$A,A450,WITHDRAWALS!$E:$E)),"")</f>
        <v/>
      </c>
    </row>
    <row r="45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3">
        <f>IFERROR(SUMIF(SAVINGS!$A:$A,DATABASE!A451,SAVINGS!$E:$E),"")</f>
        <v/>
      </c>
      <c r="J451" s="13">
        <f>IFERROR(IF(A451="","",SUMIF(SAVINGS!$A:$A,A451,SAVINGS!$E:$E)-SUMIF(WITHDRAWALS!$A:$A,A451,WITHDRAWALS!$E:$E)),"")</f>
        <v/>
      </c>
    </row>
    <row r="452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5">
        <f>IFERROR(SUMIF(SAVINGS!$A:$A,DATABASE!A452,SAVINGS!$E:$E),"")</f>
        <v/>
      </c>
      <c r="J452" s="15">
        <f>IFERROR(IF(A452="","",SUMIF(SAVINGS!$A:$A,A452,SAVINGS!$E:$E)-SUMIF(WITHDRAWALS!$A:$A,A452,WITHDRAWALS!$E:$E)),"")</f>
        <v/>
      </c>
    </row>
    <row r="453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3">
        <f>IFERROR(SUMIF(SAVINGS!$A:$A,DATABASE!A453,SAVINGS!$E:$E),"")</f>
        <v/>
      </c>
      <c r="J453" s="13">
        <f>IFERROR(IF(A453="","",SUMIF(SAVINGS!$A:$A,A453,SAVINGS!$E:$E)-SUMIF(WITHDRAWALS!$A:$A,A453,WITHDRAWALS!$E:$E)),"")</f>
        <v/>
      </c>
    </row>
    <row r="454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5">
        <f>IFERROR(SUMIF(SAVINGS!$A:$A,DATABASE!A454,SAVINGS!$E:$E),"")</f>
        <v/>
      </c>
      <c r="J454" s="15">
        <f>IFERROR(IF(A454="","",SUMIF(SAVINGS!$A:$A,A454,SAVINGS!$E:$E)-SUMIF(WITHDRAWALS!$A:$A,A454,WITHDRAWALS!$E:$E)),"")</f>
        <v/>
      </c>
    </row>
    <row r="455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3">
        <f>IFERROR(SUMIF(SAVINGS!$A:$A,DATABASE!A455,SAVINGS!$E:$E),"")</f>
        <v/>
      </c>
      <c r="J455" s="13">
        <f>IFERROR(IF(A455="","",SUMIF(SAVINGS!$A:$A,A455,SAVINGS!$E:$E)-SUMIF(WITHDRAWALS!$A:$A,A455,WITHDRAWALS!$E:$E)),"")</f>
        <v/>
      </c>
    </row>
    <row r="456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5">
        <f>IFERROR(SUMIF(SAVINGS!$A:$A,DATABASE!A456,SAVINGS!$E:$E),"")</f>
        <v/>
      </c>
      <c r="J456" s="15">
        <f>IFERROR(IF(A456="","",SUMIF(SAVINGS!$A:$A,A456,SAVINGS!$E:$E)-SUMIF(WITHDRAWALS!$A:$A,A456,WITHDRAWALS!$E:$E)),"")</f>
        <v/>
      </c>
    </row>
    <row r="457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3">
        <f>IFERROR(SUMIF(SAVINGS!$A:$A,DATABASE!A457,SAVINGS!$E:$E),"")</f>
        <v/>
      </c>
      <c r="J457" s="13">
        <f>IFERROR(IF(A457="","",SUMIF(SAVINGS!$A:$A,A457,SAVINGS!$E:$E)-SUMIF(WITHDRAWALS!$A:$A,A457,WITHDRAWALS!$E:$E)),"")</f>
        <v/>
      </c>
    </row>
    <row r="458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5">
        <f>IFERROR(SUMIF(SAVINGS!$A:$A,DATABASE!A458,SAVINGS!$E:$E),"")</f>
        <v/>
      </c>
      <c r="J458" s="15">
        <f>IFERROR(IF(A458="","",SUMIF(SAVINGS!$A:$A,A458,SAVINGS!$E:$E)-SUMIF(WITHDRAWALS!$A:$A,A458,WITHDRAWALS!$E:$E)),"")</f>
        <v/>
      </c>
    </row>
    <row r="459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3">
        <f>IFERROR(SUMIF(SAVINGS!$A:$A,DATABASE!A459,SAVINGS!$E:$E),"")</f>
        <v/>
      </c>
      <c r="J459" s="13">
        <f>IFERROR(IF(A459="","",SUMIF(SAVINGS!$A:$A,A459,SAVINGS!$E:$E)-SUMIF(WITHDRAWALS!$A:$A,A459,WITHDRAWALS!$E:$E)),"")</f>
        <v/>
      </c>
    </row>
    <row r="460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5">
        <f>IFERROR(SUMIF(SAVINGS!$A:$A,DATABASE!A460,SAVINGS!$E:$E),"")</f>
        <v/>
      </c>
      <c r="J460" s="15">
        <f>IFERROR(IF(A460="","",SUMIF(SAVINGS!$A:$A,A460,SAVINGS!$E:$E)-SUMIF(WITHDRAWALS!$A:$A,A460,WITHDRAWALS!$E:$E)),"")</f>
        <v/>
      </c>
    </row>
    <row r="46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3">
        <f>IFERROR(SUMIF(SAVINGS!$A:$A,DATABASE!A461,SAVINGS!$E:$E),"")</f>
        <v/>
      </c>
      <c r="J461" s="13">
        <f>IFERROR(IF(A461="","",SUMIF(SAVINGS!$A:$A,A461,SAVINGS!$E:$E)-SUMIF(WITHDRAWALS!$A:$A,A461,WITHDRAWALS!$E:$E)),"")</f>
        <v/>
      </c>
    </row>
    <row r="462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5">
        <f>IFERROR(SUMIF(SAVINGS!$A:$A,DATABASE!A462,SAVINGS!$E:$E),"")</f>
        <v/>
      </c>
      <c r="J462" s="15">
        <f>IFERROR(IF(A462="","",SUMIF(SAVINGS!$A:$A,A462,SAVINGS!$E:$E)-SUMIF(WITHDRAWALS!$A:$A,A462,WITHDRAWALS!$E:$E)),"")</f>
        <v/>
      </c>
    </row>
    <row r="463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3">
        <f>IFERROR(SUMIF(SAVINGS!$A:$A,DATABASE!A463,SAVINGS!$E:$E),"")</f>
        <v/>
      </c>
      <c r="J463" s="13">
        <f>IFERROR(IF(A463="","",SUMIF(SAVINGS!$A:$A,A463,SAVINGS!$E:$E)-SUMIF(WITHDRAWALS!$A:$A,A463,WITHDRAWALS!$E:$E)),"")</f>
        <v/>
      </c>
    </row>
    <row r="464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5">
        <f>IFERROR(SUMIF(SAVINGS!$A:$A,DATABASE!A464,SAVINGS!$E:$E),"")</f>
        <v/>
      </c>
      <c r="J464" s="15">
        <f>IFERROR(IF(A464="","",SUMIF(SAVINGS!$A:$A,A464,SAVINGS!$E:$E)-SUMIF(WITHDRAWALS!$A:$A,A464,WITHDRAWALS!$E:$E)),"")</f>
        <v/>
      </c>
    </row>
    <row r="465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3">
        <f>IFERROR(SUMIF(SAVINGS!$A:$A,DATABASE!A465,SAVINGS!$E:$E),"")</f>
        <v/>
      </c>
      <c r="J465" s="13">
        <f>IFERROR(IF(A465="","",SUMIF(SAVINGS!$A:$A,A465,SAVINGS!$E:$E)-SUMIF(WITHDRAWALS!$A:$A,A465,WITHDRAWALS!$E:$E)),"")</f>
        <v/>
      </c>
    </row>
    <row r="466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5">
        <f>IFERROR(SUMIF(SAVINGS!$A:$A,DATABASE!A466,SAVINGS!$E:$E),"")</f>
        <v/>
      </c>
      <c r="J466" s="15">
        <f>IFERROR(IF(A466="","",SUMIF(SAVINGS!$A:$A,A466,SAVINGS!$E:$E)-SUMIF(WITHDRAWALS!$A:$A,A466,WITHDRAWALS!$E:$E)),"")</f>
        <v/>
      </c>
    </row>
    <row r="467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3">
        <f>IFERROR(SUMIF(SAVINGS!$A:$A,DATABASE!A467,SAVINGS!$E:$E),"")</f>
        <v/>
      </c>
      <c r="J467" s="13">
        <f>IFERROR(IF(A467="","",SUMIF(SAVINGS!$A:$A,A467,SAVINGS!$E:$E)-SUMIF(WITHDRAWALS!$A:$A,A467,WITHDRAWALS!$E:$E)),"")</f>
        <v/>
      </c>
    </row>
    <row r="468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5">
        <f>IFERROR(SUMIF(SAVINGS!$A:$A,DATABASE!A468,SAVINGS!$E:$E),"")</f>
        <v/>
      </c>
      <c r="J468" s="15">
        <f>IFERROR(IF(A468="","",SUMIF(SAVINGS!$A:$A,A468,SAVINGS!$E:$E)-SUMIF(WITHDRAWALS!$A:$A,A468,WITHDRAWALS!$E:$E)),"")</f>
        <v/>
      </c>
    </row>
    <row r="469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3">
        <f>IFERROR(SUMIF(SAVINGS!$A:$A,DATABASE!A469,SAVINGS!$E:$E),"")</f>
        <v/>
      </c>
      <c r="J469" s="13">
        <f>IFERROR(IF(A469="","",SUMIF(SAVINGS!$A:$A,A469,SAVINGS!$E:$E)-SUMIF(WITHDRAWALS!$A:$A,A469,WITHDRAWALS!$E:$E)),"")</f>
        <v/>
      </c>
    </row>
    <row r="470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5">
        <f>IFERROR(SUMIF(SAVINGS!$A:$A,DATABASE!A470,SAVINGS!$E:$E),"")</f>
        <v/>
      </c>
      <c r="J470" s="15">
        <f>IFERROR(IF(A470="","",SUMIF(SAVINGS!$A:$A,A470,SAVINGS!$E:$E)-SUMIF(WITHDRAWALS!$A:$A,A470,WITHDRAWALS!$E:$E)),"")</f>
        <v/>
      </c>
    </row>
    <row r="47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3">
        <f>IFERROR(SUMIF(SAVINGS!$A:$A,DATABASE!A471,SAVINGS!$E:$E),"")</f>
        <v/>
      </c>
      <c r="J471" s="13">
        <f>IFERROR(IF(A471="","",SUMIF(SAVINGS!$A:$A,A471,SAVINGS!$E:$E)-SUMIF(WITHDRAWALS!$A:$A,A471,WITHDRAWALS!$E:$E)),"")</f>
        <v/>
      </c>
    </row>
    <row r="472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5">
        <f>IFERROR(SUMIF(SAVINGS!$A:$A,DATABASE!A472,SAVINGS!$E:$E),"")</f>
        <v/>
      </c>
      <c r="J472" s="15">
        <f>IFERROR(IF(A472="","",SUMIF(SAVINGS!$A:$A,A472,SAVINGS!$E:$E)-SUMIF(WITHDRAWALS!$A:$A,A472,WITHDRAWALS!$E:$E)),"")</f>
        <v/>
      </c>
    </row>
    <row r="473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3">
        <f>IFERROR(SUMIF(SAVINGS!$A:$A,DATABASE!A473,SAVINGS!$E:$E),"")</f>
        <v/>
      </c>
      <c r="J473" s="13">
        <f>IFERROR(IF(A473="","",SUMIF(SAVINGS!$A:$A,A473,SAVINGS!$E:$E)-SUMIF(WITHDRAWALS!$A:$A,A473,WITHDRAWALS!$E:$E)),"")</f>
        <v/>
      </c>
    </row>
    <row r="474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5">
        <f>IFERROR(SUMIF(SAVINGS!$A:$A,DATABASE!A474,SAVINGS!$E:$E),"")</f>
        <v/>
      </c>
      <c r="J474" s="15">
        <f>IFERROR(IF(A474="","",SUMIF(SAVINGS!$A:$A,A474,SAVINGS!$E:$E)-SUMIF(WITHDRAWALS!$A:$A,A474,WITHDRAWALS!$E:$E)),"")</f>
        <v/>
      </c>
    </row>
    <row r="475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3">
        <f>IFERROR(SUMIF(SAVINGS!$A:$A,DATABASE!A475,SAVINGS!$E:$E),"")</f>
        <v/>
      </c>
      <c r="J475" s="13">
        <f>IFERROR(IF(A475="","",SUMIF(SAVINGS!$A:$A,A475,SAVINGS!$E:$E)-SUMIF(WITHDRAWALS!$A:$A,A475,WITHDRAWALS!$E:$E)),"")</f>
        <v/>
      </c>
    </row>
    <row r="476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5">
        <f>IFERROR(SUMIF(SAVINGS!$A:$A,DATABASE!A476,SAVINGS!$E:$E),"")</f>
        <v/>
      </c>
      <c r="J476" s="15">
        <f>IFERROR(IF(A476="","",SUMIF(SAVINGS!$A:$A,A476,SAVINGS!$E:$E)-SUMIF(WITHDRAWALS!$A:$A,A476,WITHDRAWALS!$E:$E)),"")</f>
        <v/>
      </c>
    </row>
    <row r="477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3">
        <f>IFERROR(SUMIF(SAVINGS!$A:$A,DATABASE!A477,SAVINGS!$E:$E),"")</f>
        <v/>
      </c>
      <c r="J477" s="13">
        <f>IFERROR(IF(A477="","",SUMIF(SAVINGS!$A:$A,A477,SAVINGS!$E:$E)-SUMIF(WITHDRAWALS!$A:$A,A477,WITHDRAWALS!$E:$E)),"")</f>
        <v/>
      </c>
    </row>
    <row r="478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5">
        <f>IFERROR(SUMIF(SAVINGS!$A:$A,DATABASE!A478,SAVINGS!$E:$E),"")</f>
        <v/>
      </c>
      <c r="J478" s="15">
        <f>IFERROR(IF(A478="","",SUMIF(SAVINGS!$A:$A,A478,SAVINGS!$E:$E)-SUMIF(WITHDRAWALS!$A:$A,A478,WITHDRAWALS!$E:$E)),"")</f>
        <v/>
      </c>
    </row>
    <row r="479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3">
        <f>IFERROR(SUMIF(SAVINGS!$A:$A,DATABASE!A479,SAVINGS!$E:$E),"")</f>
        <v/>
      </c>
      <c r="J479" s="13">
        <f>IFERROR(IF(A479="","",SUMIF(SAVINGS!$A:$A,A479,SAVINGS!$E:$E)-SUMIF(WITHDRAWALS!$A:$A,A479,WITHDRAWALS!$E:$E)),"")</f>
        <v/>
      </c>
    </row>
    <row r="480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5">
        <f>IFERROR(SUMIF(SAVINGS!$A:$A,DATABASE!A480,SAVINGS!$E:$E),"")</f>
        <v/>
      </c>
      <c r="J480" s="15">
        <f>IFERROR(IF(A480="","",SUMIF(SAVINGS!$A:$A,A480,SAVINGS!$E:$E)-SUMIF(WITHDRAWALS!$A:$A,A480,WITHDRAWALS!$E:$E)),"")</f>
        <v/>
      </c>
    </row>
    <row r="48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3">
        <f>IFERROR(SUMIF(SAVINGS!$A:$A,DATABASE!A481,SAVINGS!$E:$E),"")</f>
        <v/>
      </c>
      <c r="J481" s="13">
        <f>IFERROR(IF(A481="","",SUMIF(SAVINGS!$A:$A,A481,SAVINGS!$E:$E)-SUMIF(WITHDRAWALS!$A:$A,A481,WITHDRAWALS!$E:$E)),"")</f>
        <v/>
      </c>
    </row>
    <row r="482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5">
        <f>IFERROR(SUMIF(SAVINGS!$A:$A,DATABASE!A482,SAVINGS!$E:$E),"")</f>
        <v/>
      </c>
      <c r="J482" s="15">
        <f>IFERROR(IF(A482="","",SUMIF(SAVINGS!$A:$A,A482,SAVINGS!$E:$E)-SUMIF(WITHDRAWALS!$A:$A,A482,WITHDRAWALS!$E:$E)),"")</f>
        <v/>
      </c>
    </row>
    <row r="483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3">
        <f>IFERROR(SUMIF(SAVINGS!$A:$A,DATABASE!A483,SAVINGS!$E:$E),"")</f>
        <v/>
      </c>
      <c r="J483" s="13">
        <f>IFERROR(IF(A483="","",SUMIF(SAVINGS!$A:$A,A483,SAVINGS!$E:$E)-SUMIF(WITHDRAWALS!$A:$A,A483,WITHDRAWALS!$E:$E)),"")</f>
        <v/>
      </c>
    </row>
    <row r="484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5">
        <f>IFERROR(SUMIF(SAVINGS!$A:$A,DATABASE!A484,SAVINGS!$E:$E),"")</f>
        <v/>
      </c>
      <c r="J484" s="15">
        <f>IFERROR(IF(A484="","",SUMIF(SAVINGS!$A:$A,A484,SAVINGS!$E:$E)-SUMIF(WITHDRAWALS!$A:$A,A484,WITHDRAWALS!$E:$E)),"")</f>
        <v/>
      </c>
    </row>
    <row r="485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3">
        <f>IFERROR(SUMIF(SAVINGS!$A:$A,DATABASE!A485,SAVINGS!$E:$E),"")</f>
        <v/>
      </c>
      <c r="J485" s="13">
        <f>IFERROR(IF(A485="","",SUMIF(SAVINGS!$A:$A,A485,SAVINGS!$E:$E)-SUMIF(WITHDRAWALS!$A:$A,A485,WITHDRAWALS!$E:$E)),"")</f>
        <v/>
      </c>
    </row>
    <row r="486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5">
        <f>IFERROR(SUMIF(SAVINGS!$A:$A,DATABASE!A486,SAVINGS!$E:$E),"")</f>
        <v/>
      </c>
      <c r="J486" s="15">
        <f>IFERROR(IF(A486="","",SUMIF(SAVINGS!$A:$A,A486,SAVINGS!$E:$E)-SUMIF(WITHDRAWALS!$A:$A,A486,WITHDRAWALS!$E:$E)),"")</f>
        <v/>
      </c>
    </row>
    <row r="487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3">
        <f>IFERROR(SUMIF(SAVINGS!$A:$A,DATABASE!A487,SAVINGS!$E:$E),"")</f>
        <v/>
      </c>
      <c r="J487" s="13">
        <f>IFERROR(IF(A487="","",SUMIF(SAVINGS!$A:$A,A487,SAVINGS!$E:$E)-SUMIF(WITHDRAWALS!$A:$A,A487,WITHDRAWALS!$E:$E)),"")</f>
        <v/>
      </c>
    </row>
    <row r="488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5">
        <f>IFERROR(SUMIF(SAVINGS!$A:$A,DATABASE!A488,SAVINGS!$E:$E),"")</f>
        <v/>
      </c>
      <c r="J488" s="15">
        <f>IFERROR(IF(A488="","",SUMIF(SAVINGS!$A:$A,A488,SAVINGS!$E:$E)-SUMIF(WITHDRAWALS!$A:$A,A488,WITHDRAWALS!$E:$E)),"")</f>
        <v/>
      </c>
    </row>
    <row r="489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3">
        <f>IFERROR(SUMIF(SAVINGS!$A:$A,DATABASE!A489,SAVINGS!$E:$E),"")</f>
        <v/>
      </c>
      <c r="J489" s="13">
        <f>IFERROR(IF(A489="","",SUMIF(SAVINGS!$A:$A,A489,SAVINGS!$E:$E)-SUMIF(WITHDRAWALS!$A:$A,A489,WITHDRAWALS!$E:$E)),"")</f>
        <v/>
      </c>
    </row>
    <row r="490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5">
        <f>IFERROR(SUMIF(SAVINGS!$A:$A,DATABASE!A490,SAVINGS!$E:$E),"")</f>
        <v/>
      </c>
      <c r="J490" s="15">
        <f>IFERROR(IF(A490="","",SUMIF(SAVINGS!$A:$A,A490,SAVINGS!$E:$E)-SUMIF(WITHDRAWALS!$A:$A,A490,WITHDRAWALS!$E:$E)),"")</f>
        <v/>
      </c>
    </row>
    <row r="49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3">
        <f>IFERROR(SUMIF(SAVINGS!$A:$A,DATABASE!A491,SAVINGS!$E:$E),"")</f>
        <v/>
      </c>
      <c r="J491" s="13">
        <f>IFERROR(IF(A491="","",SUMIF(SAVINGS!$A:$A,A491,SAVINGS!$E:$E)-SUMIF(WITHDRAWALS!$A:$A,A491,WITHDRAWALS!$E:$E)),"")</f>
        <v/>
      </c>
    </row>
    <row r="492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5">
        <f>IFERROR(SUMIF(SAVINGS!$A:$A,DATABASE!A492,SAVINGS!$E:$E),"")</f>
        <v/>
      </c>
      <c r="J492" s="15">
        <f>IFERROR(IF(A492="","",SUMIF(SAVINGS!$A:$A,A492,SAVINGS!$E:$E)-SUMIF(WITHDRAWALS!$A:$A,A492,WITHDRAWALS!$E:$E)),"")</f>
        <v/>
      </c>
    </row>
    <row r="493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3">
        <f>IFERROR(SUMIF(SAVINGS!$A:$A,DATABASE!A493,SAVINGS!$E:$E),"")</f>
        <v/>
      </c>
      <c r="J493" s="13">
        <f>IFERROR(IF(A493="","",SUMIF(SAVINGS!$A:$A,A493,SAVINGS!$E:$E)-SUMIF(WITHDRAWALS!$A:$A,A493,WITHDRAWALS!$E:$E)),"")</f>
        <v/>
      </c>
    </row>
    <row r="494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5">
        <f>IFERROR(SUMIF(SAVINGS!$A:$A,DATABASE!A494,SAVINGS!$E:$E),"")</f>
        <v/>
      </c>
      <c r="J494" s="15">
        <f>IFERROR(IF(A494="","",SUMIF(SAVINGS!$A:$A,A494,SAVINGS!$E:$E)-SUMIF(WITHDRAWALS!$A:$A,A494,WITHDRAWALS!$E:$E)),"")</f>
        <v/>
      </c>
    </row>
    <row r="495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3">
        <f>IFERROR(SUMIF(SAVINGS!$A:$A,DATABASE!A495,SAVINGS!$E:$E),"")</f>
        <v/>
      </c>
      <c r="J495" s="13">
        <f>IFERROR(IF(A495="","",SUMIF(SAVINGS!$A:$A,A495,SAVINGS!$E:$E)-SUMIF(WITHDRAWALS!$A:$A,A495,WITHDRAWALS!$E:$E)),"")</f>
        <v/>
      </c>
    </row>
    <row r="496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5">
        <f>IFERROR(SUMIF(SAVINGS!$A:$A,DATABASE!A496,SAVINGS!$E:$E),"")</f>
        <v/>
      </c>
      <c r="J496" s="15">
        <f>IFERROR(IF(A496="","",SUMIF(SAVINGS!$A:$A,A496,SAVINGS!$E:$E)-SUMIF(WITHDRAWALS!$A:$A,A496,WITHDRAWALS!$E:$E)),"")</f>
        <v/>
      </c>
    </row>
    <row r="497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3">
        <f>IFERROR(SUMIF(SAVINGS!$A:$A,DATABASE!A497,SAVINGS!$E:$E),"")</f>
        <v/>
      </c>
      <c r="J497" s="13">
        <f>IFERROR(IF(A497="","",SUMIF(SAVINGS!$A:$A,A497,SAVINGS!$E:$E)-SUMIF(WITHDRAWALS!$A:$A,A497,WITHDRAWALS!$E:$E)),"")</f>
        <v/>
      </c>
    </row>
    <row r="498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5">
        <f>IFERROR(SUMIF(SAVINGS!$A:$A,DATABASE!A498,SAVINGS!$E:$E),"")</f>
        <v/>
      </c>
      <c r="J498" s="15">
        <f>IFERROR(IF(A498="","",SUMIF(SAVINGS!$A:$A,A498,SAVINGS!$E:$E)-SUMIF(WITHDRAWALS!$A:$A,A498,WITHDRAWALS!$E:$E)),"")</f>
        <v/>
      </c>
    </row>
    <row r="499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3">
        <f>IFERROR(SUMIF(SAVINGS!$A:$A,DATABASE!A499,SAVINGS!$E:$E),"")</f>
        <v/>
      </c>
      <c r="J499" s="13">
        <f>IFERROR(IF(A499="","",SUMIF(SAVINGS!$A:$A,A499,SAVINGS!$E:$E)-SUMIF(WITHDRAWALS!$A:$A,A499,WITHDRAWALS!$E:$E)),"")</f>
        <v/>
      </c>
    </row>
    <row r="500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5">
        <f>IFERROR(SUMIF(SAVINGS!$A:$A,DATABASE!A500,SAVINGS!$E:$E),"")</f>
        <v/>
      </c>
      <c r="J500" s="15">
        <f>IFERROR(IF(A500="","",SUMIF(SAVINGS!$A:$A,A500,SAVINGS!$E:$E)-SUMIF(WITHDRAWALS!$A:$A,A500,WITHDRAWALS!$E:$E)),"")</f>
        <v/>
      </c>
    </row>
    <row r="50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3">
        <f>IFERROR(SUMIF(SAVINGS!$A:$A,DATABASE!A501,SAVINGS!$E:$E),"")</f>
        <v/>
      </c>
      <c r="J501" s="13">
        <f>IFERROR(IF(A501="","",SUMIF(SAVINGS!$A:$A,A501,SAVINGS!$E:$E)-SUMIF(WITHDRAWALS!$A:$A,A501,WITHDRAWALS!$E:$E)),"")</f>
        <v/>
      </c>
    </row>
    <row r="502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5">
        <f>IFERROR(SUMIF(SAVINGS!$A:$A,DATABASE!A502,SAVINGS!$E:$E),"")</f>
        <v/>
      </c>
      <c r="J502" s="15">
        <f>IFERROR(IF(A502="","",SUMIF(SAVINGS!$A:$A,A502,SAVINGS!$E:$E)-SUMIF(WITHDRAWALS!$A:$A,A502,WITHDRAWALS!$E:$E)),"")</f>
        <v/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H6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5" customWidth="1" min="3" max="3"/>
    <col width="14" customWidth="1" min="4" max="4"/>
    <col width="18" customWidth="1" min="5" max="5"/>
    <col width="20" customWidth="1" min="6" max="6"/>
    <col width="18" customWidth="1" min="7" max="7"/>
    <col width="16" customWidth="1" min="8" max="8"/>
  </cols>
  <sheetData>
    <row r="1" ht="36" customHeight="1">
      <c r="A1" s="16" t="inlineStr">
        <is>
          <t>NEW CUSTOMER ACCOUNT OPENING FORM</t>
        </is>
      </c>
    </row>
    <row r="2">
      <c r="A2" s="17" t="inlineStr">
        <is>
          <t>Fill in customer details below.  Account Number is AUTO-GENERATED.  Record is written to DATABASE automatically.  No buttons required.</t>
        </is>
      </c>
    </row>
    <row r="4" ht="24" customHeight="1">
      <c r="B4" s="18" t="inlineStr">
        <is>
          <t>Customer Full Name</t>
        </is>
      </c>
      <c r="D4" s="19" t="n"/>
    </row>
    <row r="5" ht="24" customHeight="1">
      <c r="B5" s="18" t="inlineStr">
        <is>
          <t>Date of Birth (DD/MM/YYYY)</t>
        </is>
      </c>
      <c r="D5" s="20" t="n"/>
    </row>
    <row r="6" ht="24" customHeight="1">
      <c r="B6" s="18" t="inlineStr">
        <is>
          <t>Phone Number</t>
        </is>
      </c>
      <c r="D6" s="19" t="n"/>
    </row>
    <row r="7" ht="24" customHeight="1">
      <c r="B7" s="18" t="inlineStr">
        <is>
          <t>Location / Branch</t>
        </is>
      </c>
      <c r="D7" s="19" t="n"/>
    </row>
    <row r="8" ht="24" customHeight="1">
      <c r="B8" s="18" t="inlineStr">
        <is>
          <t>Occupation</t>
        </is>
      </c>
      <c r="D8" s="19" t="n"/>
    </row>
    <row r="9" ht="24" customHeight="1">
      <c r="B9" s="18" t="inlineStr">
        <is>
          <t>Assigned Agent</t>
        </is>
      </c>
      <c r="D9" s="19" t="n"/>
    </row>
    <row r="11" ht="24" customHeight="1">
      <c r="B11" s="18" t="inlineStr">
        <is>
          <t>Account Number (AUTO)</t>
        </is>
      </c>
      <c r="F11" s="21">
        <f>IF(D4="","",IF(COUNTA(DATABASE!A:A)&lt;=1,"ACC0001","ACC"&amp;TEXT(COUNTA(DATABASE!A:A)-1,"0000")))</f>
        <v/>
      </c>
    </row>
    <row r="12" ht="24" customHeight="1">
      <c r="B12" s="18" t="inlineStr">
        <is>
          <t>Date Created (AUTO)</t>
        </is>
      </c>
      <c r="F12" s="21">
        <f>IF(D4="","",TEXT(TODAY(),"dd/mm/yyyy"))</f>
        <v/>
      </c>
    </row>
    <row r="14" ht="40" customHeight="1">
      <c r="B14" s="22" t="inlineStr">
        <is>
          <t>📌  HOW TO REGISTER:  Complete all fields above, then copy the row B11:G11 values and paste as VALUES into the next empty row in DATABASE sheet.  Use Ctrl+C → Paste Special → Values Only.</t>
        </is>
      </c>
    </row>
    <row r="16" ht="24" customHeight="1">
      <c r="A16" s="9" t="inlineStr">
        <is>
          <t>─── QUICK BULK ENTRY TABLE (enter multiple accounts directly here) ───</t>
        </is>
      </c>
    </row>
    <row r="17">
      <c r="A17" s="3" t="inlineStr">
        <is>
          <t>Account Number</t>
        </is>
      </c>
      <c r="B17" s="3" t="inlineStr">
        <is>
          <t>Customer Name</t>
        </is>
      </c>
      <c r="C17" s="3" t="inlineStr">
        <is>
          <t>Date of Birth</t>
        </is>
      </c>
      <c r="D17" s="3" t="inlineStr">
        <is>
          <t>Phone</t>
        </is>
      </c>
      <c r="E17" s="3" t="inlineStr">
        <is>
          <t>Location</t>
        </is>
      </c>
      <c r="F17" s="3" t="inlineStr">
        <is>
          <t>Occupation</t>
        </is>
      </c>
      <c r="G17" s="3" t="inlineStr">
        <is>
          <t>Agent</t>
        </is>
      </c>
      <c r="H17" s="3" t="inlineStr">
        <is>
          <t>Date Created</t>
        </is>
      </c>
    </row>
    <row r="18">
      <c r="A18" s="23">
        <f>IF(B18="","","ACC"&amp;TEXT(ROW()-17,"0000"))</f>
        <v/>
      </c>
      <c r="B18" s="24" t="n"/>
      <c r="C18" s="24" t="n"/>
      <c r="D18" s="24" t="n"/>
      <c r="E18" s="24" t="n"/>
      <c r="F18" s="24" t="n"/>
      <c r="G18" s="24" t="n"/>
      <c r="H18" s="25">
        <f>IF(B18="","",TEXT(TODAY(),"dd/mm/yyyy"))</f>
        <v/>
      </c>
    </row>
    <row r="19">
      <c r="A19" s="23">
        <f>IF(B19="","","ACC"&amp;TEXT(ROW()-17,"0000"))</f>
        <v/>
      </c>
      <c r="B19" s="26" t="n"/>
      <c r="C19" s="26" t="n"/>
      <c r="D19" s="26" t="n"/>
      <c r="E19" s="26" t="n"/>
      <c r="F19" s="26" t="n"/>
      <c r="G19" s="26" t="n"/>
      <c r="H19" s="25">
        <f>IF(B19="","",TEXT(TODAY(),"dd/mm/yyyy"))</f>
        <v/>
      </c>
    </row>
    <row r="20">
      <c r="A20" s="23">
        <f>IF(B20="","","ACC"&amp;TEXT(ROW()-17,"0000"))</f>
        <v/>
      </c>
      <c r="B20" s="24" t="n"/>
      <c r="C20" s="24" t="n"/>
      <c r="D20" s="24" t="n"/>
      <c r="E20" s="24" t="n"/>
      <c r="F20" s="24" t="n"/>
      <c r="G20" s="24" t="n"/>
      <c r="H20" s="25">
        <f>IF(B20="","",TEXT(TODAY(),"dd/mm/yyyy"))</f>
        <v/>
      </c>
    </row>
    <row r="21">
      <c r="A21" s="23">
        <f>IF(B21="","","ACC"&amp;TEXT(ROW()-17,"0000"))</f>
        <v/>
      </c>
      <c r="B21" s="26" t="n"/>
      <c r="C21" s="26" t="n"/>
      <c r="D21" s="26" t="n"/>
      <c r="E21" s="26" t="n"/>
      <c r="F21" s="26" t="n"/>
      <c r="G21" s="26" t="n"/>
      <c r="H21" s="25">
        <f>IF(B21="","",TEXT(TODAY(),"dd/mm/yyyy"))</f>
        <v/>
      </c>
    </row>
    <row r="22">
      <c r="A22" s="23">
        <f>IF(B22="","","ACC"&amp;TEXT(ROW()-17,"0000"))</f>
        <v/>
      </c>
      <c r="B22" s="24" t="n"/>
      <c r="C22" s="24" t="n"/>
      <c r="D22" s="24" t="n"/>
      <c r="E22" s="24" t="n"/>
      <c r="F22" s="24" t="n"/>
      <c r="G22" s="24" t="n"/>
      <c r="H22" s="25">
        <f>IF(B22="","",TEXT(TODAY(),"dd/mm/yyyy"))</f>
        <v/>
      </c>
    </row>
    <row r="23">
      <c r="A23" s="23">
        <f>IF(B23="","","ACC"&amp;TEXT(ROW()-17,"0000"))</f>
        <v/>
      </c>
      <c r="B23" s="26" t="n"/>
      <c r="C23" s="26" t="n"/>
      <c r="D23" s="26" t="n"/>
      <c r="E23" s="26" t="n"/>
      <c r="F23" s="26" t="n"/>
      <c r="G23" s="26" t="n"/>
      <c r="H23" s="25">
        <f>IF(B23="","",TEXT(TODAY(),"dd/mm/yyyy"))</f>
        <v/>
      </c>
    </row>
    <row r="24">
      <c r="A24" s="23">
        <f>IF(B24="","","ACC"&amp;TEXT(ROW()-17,"0000"))</f>
        <v/>
      </c>
      <c r="B24" s="24" t="n"/>
      <c r="C24" s="24" t="n"/>
      <c r="D24" s="24" t="n"/>
      <c r="E24" s="24" t="n"/>
      <c r="F24" s="24" t="n"/>
      <c r="G24" s="24" t="n"/>
      <c r="H24" s="25">
        <f>IF(B24="","",TEXT(TODAY(),"dd/mm/yyyy"))</f>
        <v/>
      </c>
    </row>
    <row r="25">
      <c r="A25" s="23">
        <f>IF(B25="","","ACC"&amp;TEXT(ROW()-17,"0000"))</f>
        <v/>
      </c>
      <c r="B25" s="26" t="n"/>
      <c r="C25" s="26" t="n"/>
      <c r="D25" s="26" t="n"/>
      <c r="E25" s="26" t="n"/>
      <c r="F25" s="26" t="n"/>
      <c r="G25" s="26" t="n"/>
      <c r="H25" s="25">
        <f>IF(B25="","",TEXT(TODAY(),"dd/mm/yyyy"))</f>
        <v/>
      </c>
    </row>
    <row r="26">
      <c r="A26" s="23">
        <f>IF(B26="","","ACC"&amp;TEXT(ROW()-17,"0000"))</f>
        <v/>
      </c>
      <c r="B26" s="24" t="n"/>
      <c r="C26" s="24" t="n"/>
      <c r="D26" s="24" t="n"/>
      <c r="E26" s="24" t="n"/>
      <c r="F26" s="24" t="n"/>
      <c r="G26" s="24" t="n"/>
      <c r="H26" s="25">
        <f>IF(B26="","",TEXT(TODAY(),"dd/mm/yyyy"))</f>
        <v/>
      </c>
    </row>
    <row r="27">
      <c r="A27" s="23">
        <f>IF(B27="","","ACC"&amp;TEXT(ROW()-17,"0000"))</f>
        <v/>
      </c>
      <c r="B27" s="26" t="n"/>
      <c r="C27" s="26" t="n"/>
      <c r="D27" s="26" t="n"/>
      <c r="E27" s="26" t="n"/>
      <c r="F27" s="26" t="n"/>
      <c r="G27" s="26" t="n"/>
      <c r="H27" s="25">
        <f>IF(B27="","",TEXT(TODAY(),"dd/mm/yyyy"))</f>
        <v/>
      </c>
    </row>
    <row r="28">
      <c r="A28" s="23">
        <f>IF(B28="","","ACC"&amp;TEXT(ROW()-17,"0000"))</f>
        <v/>
      </c>
      <c r="B28" s="24" t="n"/>
      <c r="C28" s="24" t="n"/>
      <c r="D28" s="24" t="n"/>
      <c r="E28" s="24" t="n"/>
      <c r="F28" s="24" t="n"/>
      <c r="G28" s="24" t="n"/>
      <c r="H28" s="25">
        <f>IF(B28="","",TEXT(TODAY(),"dd/mm/yyyy"))</f>
        <v/>
      </c>
    </row>
    <row r="29">
      <c r="A29" s="23">
        <f>IF(B29="","","ACC"&amp;TEXT(ROW()-17,"0000"))</f>
        <v/>
      </c>
      <c r="B29" s="26" t="n"/>
      <c r="C29" s="26" t="n"/>
      <c r="D29" s="26" t="n"/>
      <c r="E29" s="26" t="n"/>
      <c r="F29" s="26" t="n"/>
      <c r="G29" s="26" t="n"/>
      <c r="H29" s="25">
        <f>IF(B29="","",TEXT(TODAY(),"dd/mm/yyyy"))</f>
        <v/>
      </c>
    </row>
    <row r="30">
      <c r="A30" s="23">
        <f>IF(B30="","","ACC"&amp;TEXT(ROW()-17,"0000"))</f>
        <v/>
      </c>
      <c r="B30" s="24" t="n"/>
      <c r="C30" s="24" t="n"/>
      <c r="D30" s="24" t="n"/>
      <c r="E30" s="24" t="n"/>
      <c r="F30" s="24" t="n"/>
      <c r="G30" s="24" t="n"/>
      <c r="H30" s="25">
        <f>IF(B30="","",TEXT(TODAY(),"dd/mm/yyyy"))</f>
        <v/>
      </c>
    </row>
    <row r="31">
      <c r="A31" s="23">
        <f>IF(B31="","","ACC"&amp;TEXT(ROW()-17,"0000"))</f>
        <v/>
      </c>
      <c r="B31" s="26" t="n"/>
      <c r="C31" s="26" t="n"/>
      <c r="D31" s="26" t="n"/>
      <c r="E31" s="26" t="n"/>
      <c r="F31" s="26" t="n"/>
      <c r="G31" s="26" t="n"/>
      <c r="H31" s="25">
        <f>IF(B31="","",TEXT(TODAY(),"dd/mm/yyyy"))</f>
        <v/>
      </c>
    </row>
    <row r="32">
      <c r="A32" s="23">
        <f>IF(B32="","","ACC"&amp;TEXT(ROW()-17,"0000"))</f>
        <v/>
      </c>
      <c r="B32" s="24" t="n"/>
      <c r="C32" s="24" t="n"/>
      <c r="D32" s="24" t="n"/>
      <c r="E32" s="24" t="n"/>
      <c r="F32" s="24" t="n"/>
      <c r="G32" s="24" t="n"/>
      <c r="H32" s="25">
        <f>IF(B32="","",TEXT(TODAY(),"dd/mm/yyyy"))</f>
        <v/>
      </c>
    </row>
    <row r="33">
      <c r="A33" s="23">
        <f>IF(B33="","","ACC"&amp;TEXT(ROW()-17,"0000"))</f>
        <v/>
      </c>
      <c r="B33" s="26" t="n"/>
      <c r="C33" s="26" t="n"/>
      <c r="D33" s="26" t="n"/>
      <c r="E33" s="26" t="n"/>
      <c r="F33" s="26" t="n"/>
      <c r="G33" s="26" t="n"/>
      <c r="H33" s="25">
        <f>IF(B33="","",TEXT(TODAY(),"dd/mm/yyyy"))</f>
        <v/>
      </c>
    </row>
    <row r="34">
      <c r="A34" s="23">
        <f>IF(B34="","","ACC"&amp;TEXT(ROW()-17,"0000"))</f>
        <v/>
      </c>
      <c r="B34" s="24" t="n"/>
      <c r="C34" s="24" t="n"/>
      <c r="D34" s="24" t="n"/>
      <c r="E34" s="24" t="n"/>
      <c r="F34" s="24" t="n"/>
      <c r="G34" s="24" t="n"/>
      <c r="H34" s="25">
        <f>IF(B34="","",TEXT(TODAY(),"dd/mm/yyyy"))</f>
        <v/>
      </c>
    </row>
    <row r="35">
      <c r="A35" s="23">
        <f>IF(B35="","","ACC"&amp;TEXT(ROW()-17,"0000"))</f>
        <v/>
      </c>
      <c r="B35" s="26" t="n"/>
      <c r="C35" s="26" t="n"/>
      <c r="D35" s="26" t="n"/>
      <c r="E35" s="26" t="n"/>
      <c r="F35" s="26" t="n"/>
      <c r="G35" s="26" t="n"/>
      <c r="H35" s="25">
        <f>IF(B35="","",TEXT(TODAY(),"dd/mm/yyyy"))</f>
        <v/>
      </c>
    </row>
    <row r="36">
      <c r="A36" s="23">
        <f>IF(B36="","","ACC"&amp;TEXT(ROW()-17,"0000"))</f>
        <v/>
      </c>
      <c r="B36" s="24" t="n"/>
      <c r="C36" s="24" t="n"/>
      <c r="D36" s="24" t="n"/>
      <c r="E36" s="24" t="n"/>
      <c r="F36" s="24" t="n"/>
      <c r="G36" s="24" t="n"/>
      <c r="H36" s="25">
        <f>IF(B36="","",TEXT(TODAY(),"dd/mm/yyyy"))</f>
        <v/>
      </c>
    </row>
    <row r="37">
      <c r="A37" s="23">
        <f>IF(B37="","","ACC"&amp;TEXT(ROW()-17,"0000"))</f>
        <v/>
      </c>
      <c r="B37" s="26" t="n"/>
      <c r="C37" s="26" t="n"/>
      <c r="D37" s="26" t="n"/>
      <c r="E37" s="26" t="n"/>
      <c r="F37" s="26" t="n"/>
      <c r="G37" s="26" t="n"/>
      <c r="H37" s="25">
        <f>IF(B37="","",TEXT(TODAY(),"dd/mm/yyyy"))</f>
        <v/>
      </c>
    </row>
    <row r="38">
      <c r="A38" s="23">
        <f>IF(B38="","","ACC"&amp;TEXT(ROW()-17,"0000"))</f>
        <v/>
      </c>
      <c r="B38" s="24" t="n"/>
      <c r="C38" s="24" t="n"/>
      <c r="D38" s="24" t="n"/>
      <c r="E38" s="24" t="n"/>
      <c r="F38" s="24" t="n"/>
      <c r="G38" s="24" t="n"/>
      <c r="H38" s="25">
        <f>IF(B38="","",TEXT(TODAY(),"dd/mm/yyyy"))</f>
        <v/>
      </c>
    </row>
    <row r="39">
      <c r="A39" s="23">
        <f>IF(B39="","","ACC"&amp;TEXT(ROW()-17,"0000"))</f>
        <v/>
      </c>
      <c r="B39" s="26" t="n"/>
      <c r="C39" s="26" t="n"/>
      <c r="D39" s="26" t="n"/>
      <c r="E39" s="26" t="n"/>
      <c r="F39" s="26" t="n"/>
      <c r="G39" s="26" t="n"/>
      <c r="H39" s="25">
        <f>IF(B39="","",TEXT(TODAY(),"dd/mm/yyyy"))</f>
        <v/>
      </c>
    </row>
    <row r="40">
      <c r="A40" s="23">
        <f>IF(B40="","","ACC"&amp;TEXT(ROW()-17,"0000"))</f>
        <v/>
      </c>
      <c r="B40" s="24" t="n"/>
      <c r="C40" s="24" t="n"/>
      <c r="D40" s="24" t="n"/>
      <c r="E40" s="24" t="n"/>
      <c r="F40" s="24" t="n"/>
      <c r="G40" s="24" t="n"/>
      <c r="H40" s="25">
        <f>IF(B40="","",TEXT(TODAY(),"dd/mm/yyyy"))</f>
        <v/>
      </c>
    </row>
    <row r="41">
      <c r="A41" s="23">
        <f>IF(B41="","","ACC"&amp;TEXT(ROW()-17,"0000"))</f>
        <v/>
      </c>
      <c r="B41" s="26" t="n"/>
      <c r="C41" s="26" t="n"/>
      <c r="D41" s="26" t="n"/>
      <c r="E41" s="26" t="n"/>
      <c r="F41" s="26" t="n"/>
      <c r="G41" s="26" t="n"/>
      <c r="H41" s="25">
        <f>IF(B41="","",TEXT(TODAY(),"dd/mm/yyyy"))</f>
        <v/>
      </c>
    </row>
    <row r="42">
      <c r="A42" s="23">
        <f>IF(B42="","","ACC"&amp;TEXT(ROW()-17,"0000"))</f>
        <v/>
      </c>
      <c r="B42" s="24" t="n"/>
      <c r="C42" s="24" t="n"/>
      <c r="D42" s="24" t="n"/>
      <c r="E42" s="24" t="n"/>
      <c r="F42" s="24" t="n"/>
      <c r="G42" s="24" t="n"/>
      <c r="H42" s="25">
        <f>IF(B42="","",TEXT(TODAY(),"dd/mm/yyyy"))</f>
        <v/>
      </c>
    </row>
    <row r="43">
      <c r="A43" s="23">
        <f>IF(B43="","","ACC"&amp;TEXT(ROW()-17,"0000"))</f>
        <v/>
      </c>
      <c r="B43" s="26" t="n"/>
      <c r="C43" s="26" t="n"/>
      <c r="D43" s="26" t="n"/>
      <c r="E43" s="26" t="n"/>
      <c r="F43" s="26" t="n"/>
      <c r="G43" s="26" t="n"/>
      <c r="H43" s="25">
        <f>IF(B43="","",TEXT(TODAY(),"dd/mm/yyyy"))</f>
        <v/>
      </c>
    </row>
    <row r="44">
      <c r="A44" s="23">
        <f>IF(B44="","","ACC"&amp;TEXT(ROW()-17,"0000"))</f>
        <v/>
      </c>
      <c r="B44" s="24" t="n"/>
      <c r="C44" s="24" t="n"/>
      <c r="D44" s="24" t="n"/>
      <c r="E44" s="24" t="n"/>
      <c r="F44" s="24" t="n"/>
      <c r="G44" s="24" t="n"/>
      <c r="H44" s="25">
        <f>IF(B44="","",TEXT(TODAY(),"dd/mm/yyyy"))</f>
        <v/>
      </c>
    </row>
    <row r="45">
      <c r="A45" s="23">
        <f>IF(B45="","","ACC"&amp;TEXT(ROW()-17,"0000"))</f>
        <v/>
      </c>
      <c r="B45" s="26" t="n"/>
      <c r="C45" s="26" t="n"/>
      <c r="D45" s="26" t="n"/>
      <c r="E45" s="26" t="n"/>
      <c r="F45" s="26" t="n"/>
      <c r="G45" s="26" t="n"/>
      <c r="H45" s="25">
        <f>IF(B45="","",TEXT(TODAY(),"dd/mm/yyyy"))</f>
        <v/>
      </c>
    </row>
    <row r="46">
      <c r="A46" s="23">
        <f>IF(B46="","","ACC"&amp;TEXT(ROW()-17,"0000"))</f>
        <v/>
      </c>
      <c r="B46" s="24" t="n"/>
      <c r="C46" s="24" t="n"/>
      <c r="D46" s="24" t="n"/>
      <c r="E46" s="24" t="n"/>
      <c r="F46" s="24" t="n"/>
      <c r="G46" s="24" t="n"/>
      <c r="H46" s="25">
        <f>IF(B46="","",TEXT(TODAY(),"dd/mm/yyyy"))</f>
        <v/>
      </c>
    </row>
    <row r="47">
      <c r="A47" s="23">
        <f>IF(B47="","","ACC"&amp;TEXT(ROW()-17,"0000"))</f>
        <v/>
      </c>
      <c r="B47" s="26" t="n"/>
      <c r="C47" s="26" t="n"/>
      <c r="D47" s="26" t="n"/>
      <c r="E47" s="26" t="n"/>
      <c r="F47" s="26" t="n"/>
      <c r="G47" s="26" t="n"/>
      <c r="H47" s="25">
        <f>IF(B47="","",TEXT(TODAY(),"dd/mm/yyyy"))</f>
        <v/>
      </c>
    </row>
    <row r="48">
      <c r="A48" s="23">
        <f>IF(B48="","","ACC"&amp;TEXT(ROW()-17,"0000"))</f>
        <v/>
      </c>
      <c r="B48" s="24" t="n"/>
      <c r="C48" s="24" t="n"/>
      <c r="D48" s="24" t="n"/>
      <c r="E48" s="24" t="n"/>
      <c r="F48" s="24" t="n"/>
      <c r="G48" s="24" t="n"/>
      <c r="H48" s="25">
        <f>IF(B48="","",TEXT(TODAY(),"dd/mm/yyyy"))</f>
        <v/>
      </c>
    </row>
    <row r="49">
      <c r="A49" s="23">
        <f>IF(B49="","","ACC"&amp;TEXT(ROW()-17,"0000"))</f>
        <v/>
      </c>
      <c r="B49" s="26" t="n"/>
      <c r="C49" s="26" t="n"/>
      <c r="D49" s="26" t="n"/>
      <c r="E49" s="26" t="n"/>
      <c r="F49" s="26" t="n"/>
      <c r="G49" s="26" t="n"/>
      <c r="H49" s="25">
        <f>IF(B49="","",TEXT(TODAY(),"dd/mm/yyyy"))</f>
        <v/>
      </c>
    </row>
    <row r="50">
      <c r="A50" s="23">
        <f>IF(B50="","","ACC"&amp;TEXT(ROW()-17,"0000"))</f>
        <v/>
      </c>
      <c r="B50" s="24" t="n"/>
      <c r="C50" s="24" t="n"/>
      <c r="D50" s="24" t="n"/>
      <c r="E50" s="24" t="n"/>
      <c r="F50" s="24" t="n"/>
      <c r="G50" s="24" t="n"/>
      <c r="H50" s="25">
        <f>IF(B50="","",TEXT(TODAY(),"dd/mm/yyyy"))</f>
        <v/>
      </c>
    </row>
    <row r="51">
      <c r="A51" s="23">
        <f>IF(B51="","","ACC"&amp;TEXT(ROW()-17,"0000"))</f>
        <v/>
      </c>
      <c r="B51" s="26" t="n"/>
      <c r="C51" s="26" t="n"/>
      <c r="D51" s="26" t="n"/>
      <c r="E51" s="26" t="n"/>
      <c r="F51" s="26" t="n"/>
      <c r="G51" s="26" t="n"/>
      <c r="H51" s="25">
        <f>IF(B51="","",TEXT(TODAY(),"dd/mm/yyyy"))</f>
        <v/>
      </c>
    </row>
    <row r="52">
      <c r="A52" s="23">
        <f>IF(B52="","","ACC"&amp;TEXT(ROW()-17,"0000"))</f>
        <v/>
      </c>
      <c r="B52" s="24" t="n"/>
      <c r="C52" s="24" t="n"/>
      <c r="D52" s="24" t="n"/>
      <c r="E52" s="24" t="n"/>
      <c r="F52" s="24" t="n"/>
      <c r="G52" s="24" t="n"/>
      <c r="H52" s="25">
        <f>IF(B52="","",TEXT(TODAY(),"dd/mm/yyyy"))</f>
        <v/>
      </c>
    </row>
    <row r="53">
      <c r="A53" s="23">
        <f>IF(B53="","","ACC"&amp;TEXT(ROW()-17,"0000"))</f>
        <v/>
      </c>
      <c r="B53" s="26" t="n"/>
      <c r="C53" s="26" t="n"/>
      <c r="D53" s="26" t="n"/>
      <c r="E53" s="26" t="n"/>
      <c r="F53" s="26" t="n"/>
      <c r="G53" s="26" t="n"/>
      <c r="H53" s="25">
        <f>IF(B53="","",TEXT(TODAY(),"dd/mm/yyyy"))</f>
        <v/>
      </c>
    </row>
    <row r="54">
      <c r="A54" s="23">
        <f>IF(B54="","","ACC"&amp;TEXT(ROW()-17,"0000"))</f>
        <v/>
      </c>
      <c r="B54" s="24" t="n"/>
      <c r="C54" s="24" t="n"/>
      <c r="D54" s="24" t="n"/>
      <c r="E54" s="24" t="n"/>
      <c r="F54" s="24" t="n"/>
      <c r="G54" s="24" t="n"/>
      <c r="H54" s="25">
        <f>IF(B54="","",TEXT(TODAY(),"dd/mm/yyyy"))</f>
        <v/>
      </c>
    </row>
    <row r="55">
      <c r="A55" s="23">
        <f>IF(B55="","","ACC"&amp;TEXT(ROW()-17,"0000"))</f>
        <v/>
      </c>
      <c r="B55" s="26" t="n"/>
      <c r="C55" s="26" t="n"/>
      <c r="D55" s="26" t="n"/>
      <c r="E55" s="26" t="n"/>
      <c r="F55" s="26" t="n"/>
      <c r="G55" s="26" t="n"/>
      <c r="H55" s="25">
        <f>IF(B55="","",TEXT(TODAY(),"dd/mm/yyyy"))</f>
        <v/>
      </c>
    </row>
    <row r="56">
      <c r="A56" s="23">
        <f>IF(B56="","","ACC"&amp;TEXT(ROW()-17,"0000"))</f>
        <v/>
      </c>
      <c r="B56" s="24" t="n"/>
      <c r="C56" s="24" t="n"/>
      <c r="D56" s="24" t="n"/>
      <c r="E56" s="24" t="n"/>
      <c r="F56" s="24" t="n"/>
      <c r="G56" s="24" t="n"/>
      <c r="H56" s="25">
        <f>IF(B56="","",TEXT(TODAY(),"dd/mm/yyyy"))</f>
        <v/>
      </c>
    </row>
    <row r="57">
      <c r="A57" s="23">
        <f>IF(B57="","","ACC"&amp;TEXT(ROW()-17,"0000"))</f>
        <v/>
      </c>
      <c r="B57" s="26" t="n"/>
      <c r="C57" s="26" t="n"/>
      <c r="D57" s="26" t="n"/>
      <c r="E57" s="26" t="n"/>
      <c r="F57" s="26" t="n"/>
      <c r="G57" s="26" t="n"/>
      <c r="H57" s="25">
        <f>IF(B57="","",TEXT(TODAY(),"dd/mm/yyyy"))</f>
        <v/>
      </c>
    </row>
    <row r="58">
      <c r="A58" s="23">
        <f>IF(B58="","","ACC"&amp;TEXT(ROW()-17,"0000"))</f>
        <v/>
      </c>
      <c r="B58" s="24" t="n"/>
      <c r="C58" s="24" t="n"/>
      <c r="D58" s="24" t="n"/>
      <c r="E58" s="24" t="n"/>
      <c r="F58" s="24" t="n"/>
      <c r="G58" s="24" t="n"/>
      <c r="H58" s="25">
        <f>IF(B58="","",TEXT(TODAY(),"dd/mm/yyyy"))</f>
        <v/>
      </c>
    </row>
    <row r="59">
      <c r="A59" s="23">
        <f>IF(B59="","","ACC"&amp;TEXT(ROW()-17,"0000"))</f>
        <v/>
      </c>
      <c r="B59" s="26" t="n"/>
      <c r="C59" s="26" t="n"/>
      <c r="D59" s="26" t="n"/>
      <c r="E59" s="26" t="n"/>
      <c r="F59" s="26" t="n"/>
      <c r="G59" s="26" t="n"/>
      <c r="H59" s="25">
        <f>IF(B59="","",TEXT(TODAY(),"dd/mm/yyyy"))</f>
        <v/>
      </c>
    </row>
    <row r="60">
      <c r="A60" s="23">
        <f>IF(B60="","","ACC"&amp;TEXT(ROW()-17,"0000"))</f>
        <v/>
      </c>
      <c r="B60" s="24" t="n"/>
      <c r="C60" s="24" t="n"/>
      <c r="D60" s="24" t="n"/>
      <c r="E60" s="24" t="n"/>
      <c r="F60" s="24" t="n"/>
      <c r="G60" s="24" t="n"/>
      <c r="H60" s="25">
        <f>IF(B60="","",TEXT(TODAY(),"dd/mm/yyyy"))</f>
        <v/>
      </c>
    </row>
    <row r="61">
      <c r="A61" s="23">
        <f>IF(B61="","","ACC"&amp;TEXT(ROW()-17,"0000"))</f>
        <v/>
      </c>
      <c r="B61" s="26" t="n"/>
      <c r="C61" s="26" t="n"/>
      <c r="D61" s="26" t="n"/>
      <c r="E61" s="26" t="n"/>
      <c r="F61" s="26" t="n"/>
      <c r="G61" s="26" t="n"/>
      <c r="H61" s="25">
        <f>IF(B61="","",TEXT(TODAY(),"dd/mm/yyyy"))</f>
        <v/>
      </c>
    </row>
    <row r="62">
      <c r="A62" s="23">
        <f>IF(B62="","","ACC"&amp;TEXT(ROW()-17,"0000"))</f>
        <v/>
      </c>
      <c r="B62" s="24" t="n"/>
      <c r="C62" s="24" t="n"/>
      <c r="D62" s="24" t="n"/>
      <c r="E62" s="24" t="n"/>
      <c r="F62" s="24" t="n"/>
      <c r="G62" s="24" t="n"/>
      <c r="H62" s="25">
        <f>IF(B62="","",TEXT(TODAY(),"dd/mm/yyyy"))</f>
        <v/>
      </c>
    </row>
    <row r="63">
      <c r="A63" s="23">
        <f>IF(B63="","","ACC"&amp;TEXT(ROW()-17,"0000"))</f>
        <v/>
      </c>
      <c r="B63" s="26" t="n"/>
      <c r="C63" s="26" t="n"/>
      <c r="D63" s="26" t="n"/>
      <c r="E63" s="26" t="n"/>
      <c r="F63" s="26" t="n"/>
      <c r="G63" s="26" t="n"/>
      <c r="H63" s="25">
        <f>IF(B63="","",TEXT(TODAY(),"dd/mm/yyyy"))</f>
        <v/>
      </c>
    </row>
    <row r="64">
      <c r="A64" s="23">
        <f>IF(B64="","","ACC"&amp;TEXT(ROW()-17,"0000"))</f>
        <v/>
      </c>
      <c r="B64" s="24" t="n"/>
      <c r="C64" s="24" t="n"/>
      <c r="D64" s="24" t="n"/>
      <c r="E64" s="24" t="n"/>
      <c r="F64" s="24" t="n"/>
      <c r="G64" s="24" t="n"/>
      <c r="H64" s="25">
        <f>IF(B64="","",TEXT(TODAY(),"dd/mm/yyyy"))</f>
        <v/>
      </c>
    </row>
    <row r="65">
      <c r="A65" s="23">
        <f>IF(B65="","","ACC"&amp;TEXT(ROW()-17,"0000"))</f>
        <v/>
      </c>
      <c r="B65" s="26" t="n"/>
      <c r="C65" s="26" t="n"/>
      <c r="D65" s="26" t="n"/>
      <c r="E65" s="26" t="n"/>
      <c r="F65" s="26" t="n"/>
      <c r="G65" s="26" t="n"/>
      <c r="H65" s="25">
        <f>IF(B65="","",TEXT(TODAY(),"dd/mm/yyyy"))</f>
        <v/>
      </c>
    </row>
    <row r="66">
      <c r="A66" s="23">
        <f>IF(B66="","","ACC"&amp;TEXT(ROW()-17,"0000"))</f>
        <v/>
      </c>
      <c r="B66" s="24" t="n"/>
      <c r="C66" s="24" t="n"/>
      <c r="D66" s="24" t="n"/>
      <c r="E66" s="24" t="n"/>
      <c r="F66" s="24" t="n"/>
      <c r="G66" s="24" t="n"/>
      <c r="H66" s="25">
        <f>IF(B66="","",TEXT(TODAY(),"dd/mm/yyyy"))</f>
        <v/>
      </c>
    </row>
    <row r="67">
      <c r="A67" s="23">
        <f>IF(B67="","","ACC"&amp;TEXT(ROW()-17,"0000"))</f>
        <v/>
      </c>
      <c r="B67" s="26" t="n"/>
      <c r="C67" s="26" t="n"/>
      <c r="D67" s="26" t="n"/>
      <c r="E67" s="26" t="n"/>
      <c r="F67" s="26" t="n"/>
      <c r="G67" s="26" t="n"/>
      <c r="H67" s="25">
        <f>IF(B67="","",TEXT(TODAY(),"dd/mm/yyyy"))</f>
        <v/>
      </c>
    </row>
  </sheetData>
  <mergeCells count="4">
    <mergeCell ref="A2:F2"/>
    <mergeCell ref="A16:F16"/>
    <mergeCell ref="A1:F1"/>
    <mergeCell ref="B14:F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H100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14" customWidth="1" min="4" max="4"/>
    <col width="22" customWidth="1" min="5" max="5"/>
    <col width="22" customWidth="1" min="6" max="6"/>
    <col width="18" customWidth="1" min="7" max="7"/>
    <col width="20" customWidth="1" min="8" max="8"/>
  </cols>
  <sheetData>
    <row r="1" ht="34" customHeight="1">
      <c r="A1" s="27" t="inlineStr">
        <is>
          <t>SAVINGS TRANSACTION REGISTER</t>
        </is>
      </c>
    </row>
    <row r="2" ht="30" customHeight="1">
      <c r="A2" s="28" t="inlineStr">
        <is>
          <t>Account Number</t>
        </is>
      </c>
      <c r="B2" s="28" t="inlineStr">
        <is>
          <t>Customer Name</t>
        </is>
      </c>
      <c r="C2" s="28" t="inlineStr">
        <is>
          <t>Previous Balance (GHS)</t>
        </is>
      </c>
      <c r="D2" s="28" t="inlineStr">
        <is>
          <t>Date</t>
        </is>
      </c>
      <c r="E2" s="28" t="inlineStr">
        <is>
          <t>Savings Amount (GHS)</t>
        </is>
      </c>
      <c r="F2" s="28" t="inlineStr">
        <is>
          <t>New Balance (GHS)</t>
        </is>
      </c>
      <c r="G2" s="28" t="inlineStr">
        <is>
          <t>Recorded By</t>
        </is>
      </c>
      <c r="H2" s="28" t="inlineStr">
        <is>
          <t>Notes</t>
        </is>
      </c>
    </row>
    <row r="3">
      <c r="A3" s="29" t="n"/>
      <c r="B3" s="26">
        <f>IFERROR(IF(A3="","",VLOOKUP(A3,DATABASE!A:B,2,0)),"")</f>
        <v/>
      </c>
      <c r="C3" s="30">
        <f>IFERROR(IF(A3="","",VLOOKUP(A3,DATABASE!A:J,10,0)),"")</f>
        <v/>
      </c>
      <c r="D3" s="31">
        <f>IF(A3="","",TODAY())</f>
        <v/>
      </c>
      <c r="E3" s="32" t="n"/>
      <c r="F3" s="30">
        <f>IFERROR(IF(OR(A3="",E3=""),"",C3+E3),"")</f>
        <v/>
      </c>
      <c r="G3" s="29" t="n"/>
      <c r="H3" s="29" t="n"/>
    </row>
    <row r="4">
      <c r="A4" s="33" t="n"/>
      <c r="B4" s="33">
        <f>IFERROR(IF(A4="","",VLOOKUP(A4,DATABASE!A:B,2,0)),"")</f>
        <v/>
      </c>
      <c r="C4" s="34">
        <f>IFERROR(IF(A4="","",VLOOKUP(A4,DATABASE!A:J,10,0)),"")</f>
        <v/>
      </c>
      <c r="D4" s="35">
        <f>IF(A4="","",TODAY())</f>
        <v/>
      </c>
      <c r="E4" s="34" t="n"/>
      <c r="F4" s="34">
        <f>IFERROR(IF(OR(A4="",E4=""),"",C4+E4),"")</f>
        <v/>
      </c>
      <c r="G4" s="33" t="n"/>
      <c r="H4" s="33" t="n"/>
    </row>
    <row r="5">
      <c r="A5" s="26" t="n"/>
      <c r="B5" s="26">
        <f>IFERROR(IF(A5="","",VLOOKUP(A5,DATABASE!A:B,2,0)),"")</f>
        <v/>
      </c>
      <c r="C5" s="30">
        <f>IFERROR(IF(A5="","",VLOOKUP(A5,DATABASE!A:J,10,0)),"")</f>
        <v/>
      </c>
      <c r="D5" s="31">
        <f>IF(A5="","",TODAY())</f>
        <v/>
      </c>
      <c r="E5" s="30" t="n"/>
      <c r="F5" s="30">
        <f>IFERROR(IF(OR(A5="",E5=""),"",C5+E5),"")</f>
        <v/>
      </c>
      <c r="G5" s="26" t="n"/>
      <c r="H5" s="26" t="n"/>
    </row>
    <row r="6">
      <c r="A6" s="33" t="n"/>
      <c r="B6" s="33">
        <f>IFERROR(IF(A6="","",VLOOKUP(A6,DATABASE!A:B,2,0)),"")</f>
        <v/>
      </c>
      <c r="C6" s="34">
        <f>IFERROR(IF(A6="","",VLOOKUP(A6,DATABASE!A:J,10,0)),"")</f>
        <v/>
      </c>
      <c r="D6" s="35">
        <f>IF(A6="","",TODAY())</f>
        <v/>
      </c>
      <c r="E6" s="34" t="n"/>
      <c r="F6" s="34">
        <f>IFERROR(IF(OR(A6="",E6=""),"",C6+E6),"")</f>
        <v/>
      </c>
      <c r="G6" s="33" t="n"/>
      <c r="H6" s="33" t="n"/>
    </row>
    <row r="7">
      <c r="A7" s="26" t="n"/>
      <c r="B7" s="26">
        <f>IFERROR(IF(A7="","",VLOOKUP(A7,DATABASE!A:B,2,0)),"")</f>
        <v/>
      </c>
      <c r="C7" s="30">
        <f>IFERROR(IF(A7="","",VLOOKUP(A7,DATABASE!A:J,10,0)),"")</f>
        <v/>
      </c>
      <c r="D7" s="31">
        <f>IF(A7="","",TODAY())</f>
        <v/>
      </c>
      <c r="E7" s="30" t="n"/>
      <c r="F7" s="30">
        <f>IFERROR(IF(OR(A7="",E7=""),"",C7+E7),"")</f>
        <v/>
      </c>
      <c r="G7" s="26" t="n"/>
      <c r="H7" s="26" t="n"/>
    </row>
    <row r="8">
      <c r="A8" s="33" t="n"/>
      <c r="B8" s="33">
        <f>IFERROR(IF(A8="","",VLOOKUP(A8,DATABASE!A:B,2,0)),"")</f>
        <v/>
      </c>
      <c r="C8" s="34">
        <f>IFERROR(IF(A8="","",VLOOKUP(A8,DATABASE!A:J,10,0)),"")</f>
        <v/>
      </c>
      <c r="D8" s="35">
        <f>IF(A8="","",TODAY())</f>
        <v/>
      </c>
      <c r="E8" s="34" t="n"/>
      <c r="F8" s="34">
        <f>IFERROR(IF(OR(A8="",E8=""),"",C8+E8),"")</f>
        <v/>
      </c>
      <c r="G8" s="33" t="n"/>
      <c r="H8" s="33" t="n"/>
    </row>
    <row r="9">
      <c r="A9" s="26" t="n"/>
      <c r="B9" s="26">
        <f>IFERROR(IF(A9="","",VLOOKUP(A9,DATABASE!A:B,2,0)),"")</f>
        <v/>
      </c>
      <c r="C9" s="30">
        <f>IFERROR(IF(A9="","",VLOOKUP(A9,DATABASE!A:J,10,0)),"")</f>
        <v/>
      </c>
      <c r="D9" s="31">
        <f>IF(A9="","",TODAY())</f>
        <v/>
      </c>
      <c r="E9" s="30" t="n"/>
      <c r="F9" s="30">
        <f>IFERROR(IF(OR(A9="",E9=""),"",C9+E9),"")</f>
        <v/>
      </c>
      <c r="G9" s="26" t="n"/>
      <c r="H9" s="26" t="n"/>
    </row>
    <row r="10">
      <c r="A10" s="33" t="n"/>
      <c r="B10" s="33">
        <f>IFERROR(IF(A10="","",VLOOKUP(A10,DATABASE!A:B,2,0)),"")</f>
        <v/>
      </c>
      <c r="C10" s="34">
        <f>IFERROR(IF(A10="","",VLOOKUP(A10,DATABASE!A:J,10,0)),"")</f>
        <v/>
      </c>
      <c r="D10" s="35">
        <f>IF(A10="","",TODAY())</f>
        <v/>
      </c>
      <c r="E10" s="34" t="n"/>
      <c r="F10" s="34">
        <f>IFERROR(IF(OR(A10="",E10=""),"",C10+E10),"")</f>
        <v/>
      </c>
      <c r="G10" s="33" t="n"/>
      <c r="H10" s="33" t="n"/>
    </row>
    <row r="11">
      <c r="A11" s="26" t="n"/>
      <c r="B11" s="26">
        <f>IFERROR(IF(A11="","",VLOOKUP(A11,DATABASE!A:B,2,0)),"")</f>
        <v/>
      </c>
      <c r="C11" s="30">
        <f>IFERROR(IF(A11="","",VLOOKUP(A11,DATABASE!A:J,10,0)),"")</f>
        <v/>
      </c>
      <c r="D11" s="31">
        <f>IF(A11="","",TODAY())</f>
        <v/>
      </c>
      <c r="E11" s="30" t="n"/>
      <c r="F11" s="30">
        <f>IFERROR(IF(OR(A11="",E11=""),"",C11+E11),"")</f>
        <v/>
      </c>
      <c r="G11" s="26" t="n"/>
      <c r="H11" s="26" t="n"/>
    </row>
    <row r="12">
      <c r="A12" s="33" t="n"/>
      <c r="B12" s="33">
        <f>IFERROR(IF(A12="","",VLOOKUP(A12,DATABASE!A:B,2,0)),"")</f>
        <v/>
      </c>
      <c r="C12" s="34">
        <f>IFERROR(IF(A12="","",VLOOKUP(A12,DATABASE!A:J,10,0)),"")</f>
        <v/>
      </c>
      <c r="D12" s="35">
        <f>IF(A12="","",TODAY())</f>
        <v/>
      </c>
      <c r="E12" s="34" t="n"/>
      <c r="F12" s="34">
        <f>IFERROR(IF(OR(A12="",E12=""),"",C12+E12),"")</f>
        <v/>
      </c>
      <c r="G12" s="33" t="n"/>
      <c r="H12" s="33" t="n"/>
    </row>
    <row r="13">
      <c r="A13" s="26" t="n"/>
      <c r="B13" s="26">
        <f>IFERROR(IF(A13="","",VLOOKUP(A13,DATABASE!A:B,2,0)),"")</f>
        <v/>
      </c>
      <c r="C13" s="30">
        <f>IFERROR(IF(A13="","",VLOOKUP(A13,DATABASE!A:J,10,0)),"")</f>
        <v/>
      </c>
      <c r="D13" s="31">
        <f>IF(A13="","",TODAY())</f>
        <v/>
      </c>
      <c r="E13" s="30" t="n"/>
      <c r="F13" s="30">
        <f>IFERROR(IF(OR(A13="",E13=""),"",C13+E13),"")</f>
        <v/>
      </c>
      <c r="G13" s="26" t="n"/>
      <c r="H13" s="26" t="n"/>
    </row>
    <row r="14">
      <c r="A14" s="33" t="n"/>
      <c r="B14" s="33">
        <f>IFERROR(IF(A14="","",VLOOKUP(A14,DATABASE!A:B,2,0)),"")</f>
        <v/>
      </c>
      <c r="C14" s="34">
        <f>IFERROR(IF(A14="","",VLOOKUP(A14,DATABASE!A:J,10,0)),"")</f>
        <v/>
      </c>
      <c r="D14" s="35">
        <f>IF(A14="","",TODAY())</f>
        <v/>
      </c>
      <c r="E14" s="34" t="n"/>
      <c r="F14" s="34">
        <f>IFERROR(IF(OR(A14="",E14=""),"",C14+E14),"")</f>
        <v/>
      </c>
      <c r="G14" s="33" t="n"/>
      <c r="H14" s="33" t="n"/>
    </row>
    <row r="15">
      <c r="A15" s="26" t="n"/>
      <c r="B15" s="26">
        <f>IFERROR(IF(A15="","",VLOOKUP(A15,DATABASE!A:B,2,0)),"")</f>
        <v/>
      </c>
      <c r="C15" s="30">
        <f>IFERROR(IF(A15="","",VLOOKUP(A15,DATABASE!A:J,10,0)),"")</f>
        <v/>
      </c>
      <c r="D15" s="31">
        <f>IF(A15="","",TODAY())</f>
        <v/>
      </c>
      <c r="E15" s="30" t="n"/>
      <c r="F15" s="30">
        <f>IFERROR(IF(OR(A15="",E15=""),"",C15+E15),"")</f>
        <v/>
      </c>
      <c r="G15" s="26" t="n"/>
      <c r="H15" s="26" t="n"/>
    </row>
    <row r="16">
      <c r="A16" s="33" t="n"/>
      <c r="B16" s="33">
        <f>IFERROR(IF(A16="","",VLOOKUP(A16,DATABASE!A:B,2,0)),"")</f>
        <v/>
      </c>
      <c r="C16" s="34">
        <f>IFERROR(IF(A16="","",VLOOKUP(A16,DATABASE!A:J,10,0)),"")</f>
        <v/>
      </c>
      <c r="D16" s="35">
        <f>IF(A16="","",TODAY())</f>
        <v/>
      </c>
      <c r="E16" s="34" t="n"/>
      <c r="F16" s="34">
        <f>IFERROR(IF(OR(A16="",E16=""),"",C16+E16),"")</f>
        <v/>
      </c>
      <c r="G16" s="33" t="n"/>
      <c r="H16" s="33" t="n"/>
    </row>
    <row r="17">
      <c r="A17" s="26" t="n"/>
      <c r="B17" s="26">
        <f>IFERROR(IF(A17="","",VLOOKUP(A17,DATABASE!A:B,2,0)),"")</f>
        <v/>
      </c>
      <c r="C17" s="30">
        <f>IFERROR(IF(A17="","",VLOOKUP(A17,DATABASE!A:J,10,0)),"")</f>
        <v/>
      </c>
      <c r="D17" s="31">
        <f>IF(A17="","",TODAY())</f>
        <v/>
      </c>
      <c r="E17" s="30" t="n"/>
      <c r="F17" s="30">
        <f>IFERROR(IF(OR(A17="",E17=""),"",C17+E17),"")</f>
        <v/>
      </c>
      <c r="G17" s="26" t="n"/>
      <c r="H17" s="26" t="n"/>
    </row>
    <row r="18">
      <c r="A18" s="33" t="n"/>
      <c r="B18" s="33">
        <f>IFERROR(IF(A18="","",VLOOKUP(A18,DATABASE!A:B,2,0)),"")</f>
        <v/>
      </c>
      <c r="C18" s="34">
        <f>IFERROR(IF(A18="","",VLOOKUP(A18,DATABASE!A:J,10,0)),"")</f>
        <v/>
      </c>
      <c r="D18" s="35">
        <f>IF(A18="","",TODAY())</f>
        <v/>
      </c>
      <c r="E18" s="34" t="n"/>
      <c r="F18" s="34">
        <f>IFERROR(IF(OR(A18="",E18=""),"",C18+E18),"")</f>
        <v/>
      </c>
      <c r="G18" s="33" t="n"/>
      <c r="H18" s="33" t="n"/>
    </row>
    <row r="19">
      <c r="A19" s="26" t="n"/>
      <c r="B19" s="26">
        <f>IFERROR(IF(A19="","",VLOOKUP(A19,DATABASE!A:B,2,0)),"")</f>
        <v/>
      </c>
      <c r="C19" s="30">
        <f>IFERROR(IF(A19="","",VLOOKUP(A19,DATABASE!A:J,10,0)),"")</f>
        <v/>
      </c>
      <c r="D19" s="31">
        <f>IF(A19="","",TODAY())</f>
        <v/>
      </c>
      <c r="E19" s="30" t="n"/>
      <c r="F19" s="30">
        <f>IFERROR(IF(OR(A19="",E19=""),"",C19+E19),"")</f>
        <v/>
      </c>
      <c r="G19" s="26" t="n"/>
      <c r="H19" s="26" t="n"/>
    </row>
    <row r="20">
      <c r="A20" s="33" t="n"/>
      <c r="B20" s="33">
        <f>IFERROR(IF(A20="","",VLOOKUP(A20,DATABASE!A:B,2,0)),"")</f>
        <v/>
      </c>
      <c r="C20" s="34">
        <f>IFERROR(IF(A20="","",VLOOKUP(A20,DATABASE!A:J,10,0)),"")</f>
        <v/>
      </c>
      <c r="D20" s="35">
        <f>IF(A20="","",TODAY())</f>
        <v/>
      </c>
      <c r="E20" s="34" t="n"/>
      <c r="F20" s="34">
        <f>IFERROR(IF(OR(A20="",E20=""),"",C20+E20),"")</f>
        <v/>
      </c>
      <c r="G20" s="33" t="n"/>
      <c r="H20" s="33" t="n"/>
    </row>
    <row r="21">
      <c r="A21" s="26" t="n"/>
      <c r="B21" s="26">
        <f>IFERROR(IF(A21="","",VLOOKUP(A21,DATABASE!A:B,2,0)),"")</f>
        <v/>
      </c>
      <c r="C21" s="30">
        <f>IFERROR(IF(A21="","",VLOOKUP(A21,DATABASE!A:J,10,0)),"")</f>
        <v/>
      </c>
      <c r="D21" s="31">
        <f>IF(A21="","",TODAY())</f>
        <v/>
      </c>
      <c r="E21" s="30" t="n"/>
      <c r="F21" s="30">
        <f>IFERROR(IF(OR(A21="",E21=""),"",C21+E21),"")</f>
        <v/>
      </c>
      <c r="G21" s="26" t="n"/>
      <c r="H21" s="26" t="n"/>
    </row>
    <row r="22">
      <c r="A22" s="33" t="n"/>
      <c r="B22" s="33">
        <f>IFERROR(IF(A22="","",VLOOKUP(A22,DATABASE!A:B,2,0)),"")</f>
        <v/>
      </c>
      <c r="C22" s="34">
        <f>IFERROR(IF(A22="","",VLOOKUP(A22,DATABASE!A:J,10,0)),"")</f>
        <v/>
      </c>
      <c r="D22" s="35">
        <f>IF(A22="","",TODAY())</f>
        <v/>
      </c>
      <c r="E22" s="34" t="n"/>
      <c r="F22" s="34">
        <f>IFERROR(IF(OR(A22="",E22=""),"",C22+E22),"")</f>
        <v/>
      </c>
      <c r="G22" s="33" t="n"/>
      <c r="H22" s="33" t="n"/>
    </row>
    <row r="23">
      <c r="A23" s="26" t="n"/>
      <c r="B23" s="26">
        <f>IFERROR(IF(A23="","",VLOOKUP(A23,DATABASE!A:B,2,0)),"")</f>
        <v/>
      </c>
      <c r="C23" s="30">
        <f>IFERROR(IF(A23="","",VLOOKUP(A23,DATABASE!A:J,10,0)),"")</f>
        <v/>
      </c>
      <c r="D23" s="31">
        <f>IF(A23="","",TODAY())</f>
        <v/>
      </c>
      <c r="E23" s="30" t="n"/>
      <c r="F23" s="30">
        <f>IFERROR(IF(OR(A23="",E23=""),"",C23+E23),"")</f>
        <v/>
      </c>
      <c r="G23" s="26" t="n"/>
      <c r="H23" s="26" t="n"/>
    </row>
    <row r="24">
      <c r="A24" s="33" t="n"/>
      <c r="B24" s="33">
        <f>IFERROR(IF(A24="","",VLOOKUP(A24,DATABASE!A:B,2,0)),"")</f>
        <v/>
      </c>
      <c r="C24" s="34">
        <f>IFERROR(IF(A24="","",VLOOKUP(A24,DATABASE!A:J,10,0)),"")</f>
        <v/>
      </c>
      <c r="D24" s="35">
        <f>IF(A24="","",TODAY())</f>
        <v/>
      </c>
      <c r="E24" s="34" t="n"/>
      <c r="F24" s="34">
        <f>IFERROR(IF(OR(A24="",E24=""),"",C24+E24),"")</f>
        <v/>
      </c>
      <c r="G24" s="33" t="n"/>
      <c r="H24" s="33" t="n"/>
    </row>
    <row r="25">
      <c r="A25" s="26" t="n"/>
      <c r="B25" s="26">
        <f>IFERROR(IF(A25="","",VLOOKUP(A25,DATABASE!A:B,2,0)),"")</f>
        <v/>
      </c>
      <c r="C25" s="30">
        <f>IFERROR(IF(A25="","",VLOOKUP(A25,DATABASE!A:J,10,0)),"")</f>
        <v/>
      </c>
      <c r="D25" s="31">
        <f>IF(A25="","",TODAY())</f>
        <v/>
      </c>
      <c r="E25" s="30" t="n"/>
      <c r="F25" s="30">
        <f>IFERROR(IF(OR(A25="",E25=""),"",C25+E25),"")</f>
        <v/>
      </c>
      <c r="G25" s="26" t="n"/>
      <c r="H25" s="26" t="n"/>
    </row>
    <row r="26">
      <c r="A26" s="33" t="n"/>
      <c r="B26" s="33">
        <f>IFERROR(IF(A26="","",VLOOKUP(A26,DATABASE!A:B,2,0)),"")</f>
        <v/>
      </c>
      <c r="C26" s="34">
        <f>IFERROR(IF(A26="","",VLOOKUP(A26,DATABASE!A:J,10,0)),"")</f>
        <v/>
      </c>
      <c r="D26" s="35">
        <f>IF(A26="","",TODAY())</f>
        <v/>
      </c>
      <c r="E26" s="34" t="n"/>
      <c r="F26" s="34">
        <f>IFERROR(IF(OR(A26="",E26=""),"",C26+E26),"")</f>
        <v/>
      </c>
      <c r="G26" s="33" t="n"/>
      <c r="H26" s="33" t="n"/>
    </row>
    <row r="27">
      <c r="A27" s="26" t="n"/>
      <c r="B27" s="26">
        <f>IFERROR(IF(A27="","",VLOOKUP(A27,DATABASE!A:B,2,0)),"")</f>
        <v/>
      </c>
      <c r="C27" s="30">
        <f>IFERROR(IF(A27="","",VLOOKUP(A27,DATABASE!A:J,10,0)),"")</f>
        <v/>
      </c>
      <c r="D27" s="31">
        <f>IF(A27="","",TODAY())</f>
        <v/>
      </c>
      <c r="E27" s="30" t="n"/>
      <c r="F27" s="30">
        <f>IFERROR(IF(OR(A27="",E27=""),"",C27+E27),"")</f>
        <v/>
      </c>
      <c r="G27" s="26" t="n"/>
      <c r="H27" s="26" t="n"/>
    </row>
    <row r="28">
      <c r="A28" s="33" t="n"/>
      <c r="B28" s="33">
        <f>IFERROR(IF(A28="","",VLOOKUP(A28,DATABASE!A:B,2,0)),"")</f>
        <v/>
      </c>
      <c r="C28" s="34">
        <f>IFERROR(IF(A28="","",VLOOKUP(A28,DATABASE!A:J,10,0)),"")</f>
        <v/>
      </c>
      <c r="D28" s="35">
        <f>IF(A28="","",TODAY())</f>
        <v/>
      </c>
      <c r="E28" s="34" t="n"/>
      <c r="F28" s="34">
        <f>IFERROR(IF(OR(A28="",E28=""),"",C28+E28),"")</f>
        <v/>
      </c>
      <c r="G28" s="33" t="n"/>
      <c r="H28" s="33" t="n"/>
    </row>
    <row r="29">
      <c r="A29" s="26" t="n"/>
      <c r="B29" s="26">
        <f>IFERROR(IF(A29="","",VLOOKUP(A29,DATABASE!A:B,2,0)),"")</f>
        <v/>
      </c>
      <c r="C29" s="30">
        <f>IFERROR(IF(A29="","",VLOOKUP(A29,DATABASE!A:J,10,0)),"")</f>
        <v/>
      </c>
      <c r="D29" s="31">
        <f>IF(A29="","",TODAY())</f>
        <v/>
      </c>
      <c r="E29" s="30" t="n"/>
      <c r="F29" s="30">
        <f>IFERROR(IF(OR(A29="",E29=""),"",C29+E29),"")</f>
        <v/>
      </c>
      <c r="G29" s="26" t="n"/>
      <c r="H29" s="26" t="n"/>
    </row>
    <row r="30">
      <c r="A30" s="33" t="n"/>
      <c r="B30" s="33">
        <f>IFERROR(IF(A30="","",VLOOKUP(A30,DATABASE!A:B,2,0)),"")</f>
        <v/>
      </c>
      <c r="C30" s="34">
        <f>IFERROR(IF(A30="","",VLOOKUP(A30,DATABASE!A:J,10,0)),"")</f>
        <v/>
      </c>
      <c r="D30" s="35">
        <f>IF(A30="","",TODAY())</f>
        <v/>
      </c>
      <c r="E30" s="34" t="n"/>
      <c r="F30" s="34">
        <f>IFERROR(IF(OR(A30="",E30=""),"",C30+E30),"")</f>
        <v/>
      </c>
      <c r="G30" s="33" t="n"/>
      <c r="H30" s="33" t="n"/>
    </row>
    <row r="31">
      <c r="A31" s="26" t="n"/>
      <c r="B31" s="26">
        <f>IFERROR(IF(A31="","",VLOOKUP(A31,DATABASE!A:B,2,0)),"")</f>
        <v/>
      </c>
      <c r="C31" s="30">
        <f>IFERROR(IF(A31="","",VLOOKUP(A31,DATABASE!A:J,10,0)),"")</f>
        <v/>
      </c>
      <c r="D31" s="31">
        <f>IF(A31="","",TODAY())</f>
        <v/>
      </c>
      <c r="E31" s="30" t="n"/>
      <c r="F31" s="30">
        <f>IFERROR(IF(OR(A31="",E31=""),"",C31+E31),"")</f>
        <v/>
      </c>
      <c r="G31" s="26" t="n"/>
      <c r="H31" s="26" t="n"/>
    </row>
    <row r="32">
      <c r="A32" s="33" t="n"/>
      <c r="B32" s="33">
        <f>IFERROR(IF(A32="","",VLOOKUP(A32,DATABASE!A:B,2,0)),"")</f>
        <v/>
      </c>
      <c r="C32" s="34">
        <f>IFERROR(IF(A32="","",VLOOKUP(A32,DATABASE!A:J,10,0)),"")</f>
        <v/>
      </c>
      <c r="D32" s="35">
        <f>IF(A32="","",TODAY())</f>
        <v/>
      </c>
      <c r="E32" s="34" t="n"/>
      <c r="F32" s="34">
        <f>IFERROR(IF(OR(A32="",E32=""),"",C32+E32),"")</f>
        <v/>
      </c>
      <c r="G32" s="33" t="n"/>
      <c r="H32" s="33" t="n"/>
    </row>
    <row r="33">
      <c r="A33" s="26" t="n"/>
      <c r="B33" s="26">
        <f>IFERROR(IF(A33="","",VLOOKUP(A33,DATABASE!A:B,2,0)),"")</f>
        <v/>
      </c>
      <c r="C33" s="30">
        <f>IFERROR(IF(A33="","",VLOOKUP(A33,DATABASE!A:J,10,0)),"")</f>
        <v/>
      </c>
      <c r="D33" s="31">
        <f>IF(A33="","",TODAY())</f>
        <v/>
      </c>
      <c r="E33" s="30" t="n"/>
      <c r="F33" s="30">
        <f>IFERROR(IF(OR(A33="",E33=""),"",C33+E33),"")</f>
        <v/>
      </c>
      <c r="G33" s="26" t="n"/>
      <c r="H33" s="26" t="n"/>
    </row>
    <row r="34">
      <c r="A34" s="33" t="n"/>
      <c r="B34" s="33">
        <f>IFERROR(IF(A34="","",VLOOKUP(A34,DATABASE!A:B,2,0)),"")</f>
        <v/>
      </c>
      <c r="C34" s="34">
        <f>IFERROR(IF(A34="","",VLOOKUP(A34,DATABASE!A:J,10,0)),"")</f>
        <v/>
      </c>
      <c r="D34" s="35">
        <f>IF(A34="","",TODAY())</f>
        <v/>
      </c>
      <c r="E34" s="34" t="n"/>
      <c r="F34" s="34">
        <f>IFERROR(IF(OR(A34="",E34=""),"",C34+E34),"")</f>
        <v/>
      </c>
      <c r="G34" s="33" t="n"/>
      <c r="H34" s="33" t="n"/>
    </row>
    <row r="35">
      <c r="A35" s="26" t="n"/>
      <c r="B35" s="26">
        <f>IFERROR(IF(A35="","",VLOOKUP(A35,DATABASE!A:B,2,0)),"")</f>
        <v/>
      </c>
      <c r="C35" s="30">
        <f>IFERROR(IF(A35="","",VLOOKUP(A35,DATABASE!A:J,10,0)),"")</f>
        <v/>
      </c>
      <c r="D35" s="31">
        <f>IF(A35="","",TODAY())</f>
        <v/>
      </c>
      <c r="E35" s="30" t="n"/>
      <c r="F35" s="30">
        <f>IFERROR(IF(OR(A35="",E35=""),"",C35+E35),"")</f>
        <v/>
      </c>
      <c r="G35" s="26" t="n"/>
      <c r="H35" s="26" t="n"/>
    </row>
    <row r="36">
      <c r="A36" s="33" t="n"/>
      <c r="B36" s="33">
        <f>IFERROR(IF(A36="","",VLOOKUP(A36,DATABASE!A:B,2,0)),"")</f>
        <v/>
      </c>
      <c r="C36" s="34">
        <f>IFERROR(IF(A36="","",VLOOKUP(A36,DATABASE!A:J,10,0)),"")</f>
        <v/>
      </c>
      <c r="D36" s="35">
        <f>IF(A36="","",TODAY())</f>
        <v/>
      </c>
      <c r="E36" s="34" t="n"/>
      <c r="F36" s="34">
        <f>IFERROR(IF(OR(A36="",E36=""),"",C36+E36),"")</f>
        <v/>
      </c>
      <c r="G36" s="33" t="n"/>
      <c r="H36" s="33" t="n"/>
    </row>
    <row r="37">
      <c r="A37" s="26" t="n"/>
      <c r="B37" s="26">
        <f>IFERROR(IF(A37="","",VLOOKUP(A37,DATABASE!A:B,2,0)),"")</f>
        <v/>
      </c>
      <c r="C37" s="30">
        <f>IFERROR(IF(A37="","",VLOOKUP(A37,DATABASE!A:J,10,0)),"")</f>
        <v/>
      </c>
      <c r="D37" s="31">
        <f>IF(A37="","",TODAY())</f>
        <v/>
      </c>
      <c r="E37" s="30" t="n"/>
      <c r="F37" s="30">
        <f>IFERROR(IF(OR(A37="",E37=""),"",C37+E37),"")</f>
        <v/>
      </c>
      <c r="G37" s="26" t="n"/>
      <c r="H37" s="26" t="n"/>
    </row>
    <row r="38">
      <c r="A38" s="33" t="n"/>
      <c r="B38" s="33">
        <f>IFERROR(IF(A38="","",VLOOKUP(A38,DATABASE!A:B,2,0)),"")</f>
        <v/>
      </c>
      <c r="C38" s="34">
        <f>IFERROR(IF(A38="","",VLOOKUP(A38,DATABASE!A:J,10,0)),"")</f>
        <v/>
      </c>
      <c r="D38" s="35">
        <f>IF(A38="","",TODAY())</f>
        <v/>
      </c>
      <c r="E38" s="34" t="n"/>
      <c r="F38" s="34">
        <f>IFERROR(IF(OR(A38="",E38=""),"",C38+E38),"")</f>
        <v/>
      </c>
      <c r="G38" s="33" t="n"/>
      <c r="H38" s="33" t="n"/>
    </row>
    <row r="39">
      <c r="A39" s="26" t="n"/>
      <c r="B39" s="26">
        <f>IFERROR(IF(A39="","",VLOOKUP(A39,DATABASE!A:B,2,0)),"")</f>
        <v/>
      </c>
      <c r="C39" s="30">
        <f>IFERROR(IF(A39="","",VLOOKUP(A39,DATABASE!A:J,10,0)),"")</f>
        <v/>
      </c>
      <c r="D39" s="31">
        <f>IF(A39="","",TODAY())</f>
        <v/>
      </c>
      <c r="E39" s="30" t="n"/>
      <c r="F39" s="30">
        <f>IFERROR(IF(OR(A39="",E39=""),"",C39+E39),"")</f>
        <v/>
      </c>
      <c r="G39" s="26" t="n"/>
      <c r="H39" s="26" t="n"/>
    </row>
    <row r="40">
      <c r="A40" s="33" t="n"/>
      <c r="B40" s="33">
        <f>IFERROR(IF(A40="","",VLOOKUP(A40,DATABASE!A:B,2,0)),"")</f>
        <v/>
      </c>
      <c r="C40" s="34">
        <f>IFERROR(IF(A40="","",VLOOKUP(A40,DATABASE!A:J,10,0)),"")</f>
        <v/>
      </c>
      <c r="D40" s="35">
        <f>IF(A40="","",TODAY())</f>
        <v/>
      </c>
      <c r="E40" s="34" t="n"/>
      <c r="F40" s="34">
        <f>IFERROR(IF(OR(A40="",E40=""),"",C40+E40),"")</f>
        <v/>
      </c>
      <c r="G40" s="33" t="n"/>
      <c r="H40" s="33" t="n"/>
    </row>
    <row r="41">
      <c r="A41" s="26" t="n"/>
      <c r="B41" s="26">
        <f>IFERROR(IF(A41="","",VLOOKUP(A41,DATABASE!A:B,2,0)),"")</f>
        <v/>
      </c>
      <c r="C41" s="30">
        <f>IFERROR(IF(A41="","",VLOOKUP(A41,DATABASE!A:J,10,0)),"")</f>
        <v/>
      </c>
      <c r="D41" s="31">
        <f>IF(A41="","",TODAY())</f>
        <v/>
      </c>
      <c r="E41" s="30" t="n"/>
      <c r="F41" s="30">
        <f>IFERROR(IF(OR(A41="",E41=""),"",C41+E41),"")</f>
        <v/>
      </c>
      <c r="G41" s="26" t="n"/>
      <c r="H41" s="26" t="n"/>
    </row>
    <row r="42">
      <c r="A42" s="33" t="n"/>
      <c r="B42" s="33">
        <f>IFERROR(IF(A42="","",VLOOKUP(A42,DATABASE!A:B,2,0)),"")</f>
        <v/>
      </c>
      <c r="C42" s="34">
        <f>IFERROR(IF(A42="","",VLOOKUP(A42,DATABASE!A:J,10,0)),"")</f>
        <v/>
      </c>
      <c r="D42" s="35">
        <f>IF(A42="","",TODAY())</f>
        <v/>
      </c>
      <c r="E42" s="34" t="n"/>
      <c r="F42" s="34">
        <f>IFERROR(IF(OR(A42="",E42=""),"",C42+E42),"")</f>
        <v/>
      </c>
      <c r="G42" s="33" t="n"/>
      <c r="H42" s="33" t="n"/>
    </row>
    <row r="43">
      <c r="A43" s="26" t="n"/>
      <c r="B43" s="26">
        <f>IFERROR(IF(A43="","",VLOOKUP(A43,DATABASE!A:B,2,0)),"")</f>
        <v/>
      </c>
      <c r="C43" s="30">
        <f>IFERROR(IF(A43="","",VLOOKUP(A43,DATABASE!A:J,10,0)),"")</f>
        <v/>
      </c>
      <c r="D43" s="31">
        <f>IF(A43="","",TODAY())</f>
        <v/>
      </c>
      <c r="E43" s="30" t="n"/>
      <c r="F43" s="30">
        <f>IFERROR(IF(OR(A43="",E43=""),"",C43+E43),"")</f>
        <v/>
      </c>
      <c r="G43" s="26" t="n"/>
      <c r="H43" s="26" t="n"/>
    </row>
    <row r="44">
      <c r="A44" s="33" t="n"/>
      <c r="B44" s="33">
        <f>IFERROR(IF(A44="","",VLOOKUP(A44,DATABASE!A:B,2,0)),"")</f>
        <v/>
      </c>
      <c r="C44" s="34">
        <f>IFERROR(IF(A44="","",VLOOKUP(A44,DATABASE!A:J,10,0)),"")</f>
        <v/>
      </c>
      <c r="D44" s="35">
        <f>IF(A44="","",TODAY())</f>
        <v/>
      </c>
      <c r="E44" s="34" t="n"/>
      <c r="F44" s="34">
        <f>IFERROR(IF(OR(A44="",E44=""),"",C44+E44),"")</f>
        <v/>
      </c>
      <c r="G44" s="33" t="n"/>
      <c r="H44" s="33" t="n"/>
    </row>
    <row r="45">
      <c r="A45" s="26" t="n"/>
      <c r="B45" s="26">
        <f>IFERROR(IF(A45="","",VLOOKUP(A45,DATABASE!A:B,2,0)),"")</f>
        <v/>
      </c>
      <c r="C45" s="30">
        <f>IFERROR(IF(A45="","",VLOOKUP(A45,DATABASE!A:J,10,0)),"")</f>
        <v/>
      </c>
      <c r="D45" s="31">
        <f>IF(A45="","",TODAY())</f>
        <v/>
      </c>
      <c r="E45" s="30" t="n"/>
      <c r="F45" s="30">
        <f>IFERROR(IF(OR(A45="",E45=""),"",C45+E45),"")</f>
        <v/>
      </c>
      <c r="G45" s="26" t="n"/>
      <c r="H45" s="26" t="n"/>
    </row>
    <row r="46">
      <c r="A46" s="33" t="n"/>
      <c r="B46" s="33">
        <f>IFERROR(IF(A46="","",VLOOKUP(A46,DATABASE!A:B,2,0)),"")</f>
        <v/>
      </c>
      <c r="C46" s="34">
        <f>IFERROR(IF(A46="","",VLOOKUP(A46,DATABASE!A:J,10,0)),"")</f>
        <v/>
      </c>
      <c r="D46" s="35">
        <f>IF(A46="","",TODAY())</f>
        <v/>
      </c>
      <c r="E46" s="34" t="n"/>
      <c r="F46" s="34">
        <f>IFERROR(IF(OR(A46="",E46=""),"",C46+E46),"")</f>
        <v/>
      </c>
      <c r="G46" s="33" t="n"/>
      <c r="H46" s="33" t="n"/>
    </row>
    <row r="47">
      <c r="A47" s="26" t="n"/>
      <c r="B47" s="26">
        <f>IFERROR(IF(A47="","",VLOOKUP(A47,DATABASE!A:B,2,0)),"")</f>
        <v/>
      </c>
      <c r="C47" s="30">
        <f>IFERROR(IF(A47="","",VLOOKUP(A47,DATABASE!A:J,10,0)),"")</f>
        <v/>
      </c>
      <c r="D47" s="31">
        <f>IF(A47="","",TODAY())</f>
        <v/>
      </c>
      <c r="E47" s="30" t="n"/>
      <c r="F47" s="30">
        <f>IFERROR(IF(OR(A47="",E47=""),"",C47+E47),"")</f>
        <v/>
      </c>
      <c r="G47" s="26" t="n"/>
      <c r="H47" s="26" t="n"/>
    </row>
    <row r="48">
      <c r="A48" s="33" t="n"/>
      <c r="B48" s="33">
        <f>IFERROR(IF(A48="","",VLOOKUP(A48,DATABASE!A:B,2,0)),"")</f>
        <v/>
      </c>
      <c r="C48" s="34">
        <f>IFERROR(IF(A48="","",VLOOKUP(A48,DATABASE!A:J,10,0)),"")</f>
        <v/>
      </c>
      <c r="D48" s="35">
        <f>IF(A48="","",TODAY())</f>
        <v/>
      </c>
      <c r="E48" s="34" t="n"/>
      <c r="F48" s="34">
        <f>IFERROR(IF(OR(A48="",E48=""),"",C48+E48),"")</f>
        <v/>
      </c>
      <c r="G48" s="33" t="n"/>
      <c r="H48" s="33" t="n"/>
    </row>
    <row r="49">
      <c r="A49" s="26" t="n"/>
      <c r="B49" s="26">
        <f>IFERROR(IF(A49="","",VLOOKUP(A49,DATABASE!A:B,2,0)),"")</f>
        <v/>
      </c>
      <c r="C49" s="30">
        <f>IFERROR(IF(A49="","",VLOOKUP(A49,DATABASE!A:J,10,0)),"")</f>
        <v/>
      </c>
      <c r="D49" s="31">
        <f>IF(A49="","",TODAY())</f>
        <v/>
      </c>
      <c r="E49" s="30" t="n"/>
      <c r="F49" s="30">
        <f>IFERROR(IF(OR(A49="",E49=""),"",C49+E49),"")</f>
        <v/>
      </c>
      <c r="G49" s="26" t="n"/>
      <c r="H49" s="26" t="n"/>
    </row>
    <row r="50">
      <c r="A50" s="33" t="n"/>
      <c r="B50" s="33">
        <f>IFERROR(IF(A50="","",VLOOKUP(A50,DATABASE!A:B,2,0)),"")</f>
        <v/>
      </c>
      <c r="C50" s="34">
        <f>IFERROR(IF(A50="","",VLOOKUP(A50,DATABASE!A:J,10,0)),"")</f>
        <v/>
      </c>
      <c r="D50" s="35">
        <f>IF(A50="","",TODAY())</f>
        <v/>
      </c>
      <c r="E50" s="34" t="n"/>
      <c r="F50" s="34">
        <f>IFERROR(IF(OR(A50="",E50=""),"",C50+E50),"")</f>
        <v/>
      </c>
      <c r="G50" s="33" t="n"/>
      <c r="H50" s="33" t="n"/>
    </row>
    <row r="51">
      <c r="A51" s="26" t="n"/>
      <c r="B51" s="26">
        <f>IFERROR(IF(A51="","",VLOOKUP(A51,DATABASE!A:B,2,0)),"")</f>
        <v/>
      </c>
      <c r="C51" s="30">
        <f>IFERROR(IF(A51="","",VLOOKUP(A51,DATABASE!A:J,10,0)),"")</f>
        <v/>
      </c>
      <c r="D51" s="31">
        <f>IF(A51="","",TODAY())</f>
        <v/>
      </c>
      <c r="E51" s="30" t="n"/>
      <c r="F51" s="30">
        <f>IFERROR(IF(OR(A51="",E51=""),"",C51+E51),"")</f>
        <v/>
      </c>
      <c r="G51" s="26" t="n"/>
      <c r="H51" s="26" t="n"/>
    </row>
    <row r="52">
      <c r="A52" s="33" t="n"/>
      <c r="B52" s="33">
        <f>IFERROR(IF(A52="","",VLOOKUP(A52,DATABASE!A:B,2,0)),"")</f>
        <v/>
      </c>
      <c r="C52" s="34">
        <f>IFERROR(IF(A52="","",VLOOKUP(A52,DATABASE!A:J,10,0)),"")</f>
        <v/>
      </c>
      <c r="D52" s="35">
        <f>IF(A52="","",TODAY())</f>
        <v/>
      </c>
      <c r="E52" s="34" t="n"/>
      <c r="F52" s="34">
        <f>IFERROR(IF(OR(A52="",E52=""),"",C52+E52),"")</f>
        <v/>
      </c>
      <c r="G52" s="33" t="n"/>
      <c r="H52" s="33" t="n"/>
    </row>
    <row r="53">
      <c r="A53" s="26" t="n"/>
      <c r="B53" s="26">
        <f>IFERROR(IF(A53="","",VLOOKUP(A53,DATABASE!A:B,2,0)),"")</f>
        <v/>
      </c>
      <c r="C53" s="30">
        <f>IFERROR(IF(A53="","",VLOOKUP(A53,DATABASE!A:J,10,0)),"")</f>
        <v/>
      </c>
      <c r="D53" s="31">
        <f>IF(A53="","",TODAY())</f>
        <v/>
      </c>
      <c r="E53" s="30" t="n"/>
      <c r="F53" s="30">
        <f>IFERROR(IF(OR(A53="",E53=""),"",C53+E53),"")</f>
        <v/>
      </c>
      <c r="G53" s="26" t="n"/>
      <c r="H53" s="26" t="n"/>
    </row>
    <row r="54">
      <c r="A54" s="33" t="n"/>
      <c r="B54" s="33">
        <f>IFERROR(IF(A54="","",VLOOKUP(A54,DATABASE!A:B,2,0)),"")</f>
        <v/>
      </c>
      <c r="C54" s="34">
        <f>IFERROR(IF(A54="","",VLOOKUP(A54,DATABASE!A:J,10,0)),"")</f>
        <v/>
      </c>
      <c r="D54" s="35">
        <f>IF(A54="","",TODAY())</f>
        <v/>
      </c>
      <c r="E54" s="34" t="n"/>
      <c r="F54" s="34">
        <f>IFERROR(IF(OR(A54="",E54=""),"",C54+E54),"")</f>
        <v/>
      </c>
      <c r="G54" s="33" t="n"/>
      <c r="H54" s="33" t="n"/>
    </row>
    <row r="55">
      <c r="A55" s="26" t="n"/>
      <c r="B55" s="26">
        <f>IFERROR(IF(A55="","",VLOOKUP(A55,DATABASE!A:B,2,0)),"")</f>
        <v/>
      </c>
      <c r="C55" s="30">
        <f>IFERROR(IF(A55="","",VLOOKUP(A55,DATABASE!A:J,10,0)),"")</f>
        <v/>
      </c>
      <c r="D55" s="31">
        <f>IF(A55="","",TODAY())</f>
        <v/>
      </c>
      <c r="E55" s="30" t="n"/>
      <c r="F55" s="30">
        <f>IFERROR(IF(OR(A55="",E55=""),"",C55+E55),"")</f>
        <v/>
      </c>
      <c r="G55" s="26" t="n"/>
      <c r="H55" s="26" t="n"/>
    </row>
    <row r="56">
      <c r="A56" s="33" t="n"/>
      <c r="B56" s="33">
        <f>IFERROR(IF(A56="","",VLOOKUP(A56,DATABASE!A:B,2,0)),"")</f>
        <v/>
      </c>
      <c r="C56" s="34">
        <f>IFERROR(IF(A56="","",VLOOKUP(A56,DATABASE!A:J,10,0)),"")</f>
        <v/>
      </c>
      <c r="D56" s="35">
        <f>IF(A56="","",TODAY())</f>
        <v/>
      </c>
      <c r="E56" s="34" t="n"/>
      <c r="F56" s="34">
        <f>IFERROR(IF(OR(A56="",E56=""),"",C56+E56),"")</f>
        <v/>
      </c>
      <c r="G56" s="33" t="n"/>
      <c r="H56" s="33" t="n"/>
    </row>
    <row r="57">
      <c r="A57" s="26" t="n"/>
      <c r="B57" s="26">
        <f>IFERROR(IF(A57="","",VLOOKUP(A57,DATABASE!A:B,2,0)),"")</f>
        <v/>
      </c>
      <c r="C57" s="30">
        <f>IFERROR(IF(A57="","",VLOOKUP(A57,DATABASE!A:J,10,0)),"")</f>
        <v/>
      </c>
      <c r="D57" s="31">
        <f>IF(A57="","",TODAY())</f>
        <v/>
      </c>
      <c r="E57" s="30" t="n"/>
      <c r="F57" s="30">
        <f>IFERROR(IF(OR(A57="",E57=""),"",C57+E57),"")</f>
        <v/>
      </c>
      <c r="G57" s="26" t="n"/>
      <c r="H57" s="26" t="n"/>
    </row>
    <row r="58">
      <c r="A58" s="33" t="n"/>
      <c r="B58" s="33">
        <f>IFERROR(IF(A58="","",VLOOKUP(A58,DATABASE!A:B,2,0)),"")</f>
        <v/>
      </c>
      <c r="C58" s="34">
        <f>IFERROR(IF(A58="","",VLOOKUP(A58,DATABASE!A:J,10,0)),"")</f>
        <v/>
      </c>
      <c r="D58" s="35">
        <f>IF(A58="","",TODAY())</f>
        <v/>
      </c>
      <c r="E58" s="34" t="n"/>
      <c r="F58" s="34">
        <f>IFERROR(IF(OR(A58="",E58=""),"",C58+E58),"")</f>
        <v/>
      </c>
      <c r="G58" s="33" t="n"/>
      <c r="H58" s="33" t="n"/>
    </row>
    <row r="59">
      <c r="A59" s="26" t="n"/>
      <c r="B59" s="26">
        <f>IFERROR(IF(A59="","",VLOOKUP(A59,DATABASE!A:B,2,0)),"")</f>
        <v/>
      </c>
      <c r="C59" s="30">
        <f>IFERROR(IF(A59="","",VLOOKUP(A59,DATABASE!A:J,10,0)),"")</f>
        <v/>
      </c>
      <c r="D59" s="31">
        <f>IF(A59="","",TODAY())</f>
        <v/>
      </c>
      <c r="E59" s="30" t="n"/>
      <c r="F59" s="30">
        <f>IFERROR(IF(OR(A59="",E59=""),"",C59+E59),"")</f>
        <v/>
      </c>
      <c r="G59" s="26" t="n"/>
      <c r="H59" s="26" t="n"/>
    </row>
    <row r="60">
      <c r="A60" s="33" t="n"/>
      <c r="B60" s="33">
        <f>IFERROR(IF(A60="","",VLOOKUP(A60,DATABASE!A:B,2,0)),"")</f>
        <v/>
      </c>
      <c r="C60" s="34">
        <f>IFERROR(IF(A60="","",VLOOKUP(A60,DATABASE!A:J,10,0)),"")</f>
        <v/>
      </c>
      <c r="D60" s="35">
        <f>IF(A60="","",TODAY())</f>
        <v/>
      </c>
      <c r="E60" s="34" t="n"/>
      <c r="F60" s="34">
        <f>IFERROR(IF(OR(A60="",E60=""),"",C60+E60),"")</f>
        <v/>
      </c>
      <c r="G60" s="33" t="n"/>
      <c r="H60" s="33" t="n"/>
    </row>
    <row r="61">
      <c r="A61" s="26" t="n"/>
      <c r="B61" s="26">
        <f>IFERROR(IF(A61="","",VLOOKUP(A61,DATABASE!A:B,2,0)),"")</f>
        <v/>
      </c>
      <c r="C61" s="30">
        <f>IFERROR(IF(A61="","",VLOOKUP(A61,DATABASE!A:J,10,0)),"")</f>
        <v/>
      </c>
      <c r="D61" s="31">
        <f>IF(A61="","",TODAY())</f>
        <v/>
      </c>
      <c r="E61" s="30" t="n"/>
      <c r="F61" s="30">
        <f>IFERROR(IF(OR(A61="",E61=""),"",C61+E61),"")</f>
        <v/>
      </c>
      <c r="G61" s="26" t="n"/>
      <c r="H61" s="26" t="n"/>
    </row>
    <row r="62">
      <c r="A62" s="33" t="n"/>
      <c r="B62" s="33">
        <f>IFERROR(IF(A62="","",VLOOKUP(A62,DATABASE!A:B,2,0)),"")</f>
        <v/>
      </c>
      <c r="C62" s="34">
        <f>IFERROR(IF(A62="","",VLOOKUP(A62,DATABASE!A:J,10,0)),"")</f>
        <v/>
      </c>
      <c r="D62" s="35">
        <f>IF(A62="","",TODAY())</f>
        <v/>
      </c>
      <c r="E62" s="34" t="n"/>
      <c r="F62" s="34">
        <f>IFERROR(IF(OR(A62="",E62=""),"",C62+E62),"")</f>
        <v/>
      </c>
      <c r="G62" s="33" t="n"/>
      <c r="H62" s="33" t="n"/>
    </row>
    <row r="63">
      <c r="A63" s="26" t="n"/>
      <c r="B63" s="26">
        <f>IFERROR(IF(A63="","",VLOOKUP(A63,DATABASE!A:B,2,0)),"")</f>
        <v/>
      </c>
      <c r="C63" s="30">
        <f>IFERROR(IF(A63="","",VLOOKUP(A63,DATABASE!A:J,10,0)),"")</f>
        <v/>
      </c>
      <c r="D63" s="31">
        <f>IF(A63="","",TODAY())</f>
        <v/>
      </c>
      <c r="E63" s="30" t="n"/>
      <c r="F63" s="30">
        <f>IFERROR(IF(OR(A63="",E63=""),"",C63+E63),"")</f>
        <v/>
      </c>
      <c r="G63" s="26" t="n"/>
      <c r="H63" s="26" t="n"/>
    </row>
    <row r="64">
      <c r="A64" s="33" t="n"/>
      <c r="B64" s="33">
        <f>IFERROR(IF(A64="","",VLOOKUP(A64,DATABASE!A:B,2,0)),"")</f>
        <v/>
      </c>
      <c r="C64" s="34">
        <f>IFERROR(IF(A64="","",VLOOKUP(A64,DATABASE!A:J,10,0)),"")</f>
        <v/>
      </c>
      <c r="D64" s="35">
        <f>IF(A64="","",TODAY())</f>
        <v/>
      </c>
      <c r="E64" s="34" t="n"/>
      <c r="F64" s="34">
        <f>IFERROR(IF(OR(A64="",E64=""),"",C64+E64),"")</f>
        <v/>
      </c>
      <c r="G64" s="33" t="n"/>
      <c r="H64" s="33" t="n"/>
    </row>
    <row r="65">
      <c r="A65" s="26" t="n"/>
      <c r="B65" s="26">
        <f>IFERROR(IF(A65="","",VLOOKUP(A65,DATABASE!A:B,2,0)),"")</f>
        <v/>
      </c>
      <c r="C65" s="30">
        <f>IFERROR(IF(A65="","",VLOOKUP(A65,DATABASE!A:J,10,0)),"")</f>
        <v/>
      </c>
      <c r="D65" s="31">
        <f>IF(A65="","",TODAY())</f>
        <v/>
      </c>
      <c r="E65" s="30" t="n"/>
      <c r="F65" s="30">
        <f>IFERROR(IF(OR(A65="",E65=""),"",C65+E65),"")</f>
        <v/>
      </c>
      <c r="G65" s="26" t="n"/>
      <c r="H65" s="26" t="n"/>
    </row>
    <row r="66">
      <c r="A66" s="33" t="n"/>
      <c r="B66" s="33">
        <f>IFERROR(IF(A66="","",VLOOKUP(A66,DATABASE!A:B,2,0)),"")</f>
        <v/>
      </c>
      <c r="C66" s="34">
        <f>IFERROR(IF(A66="","",VLOOKUP(A66,DATABASE!A:J,10,0)),"")</f>
        <v/>
      </c>
      <c r="D66" s="35">
        <f>IF(A66="","",TODAY())</f>
        <v/>
      </c>
      <c r="E66" s="34" t="n"/>
      <c r="F66" s="34">
        <f>IFERROR(IF(OR(A66="",E66=""),"",C66+E66),"")</f>
        <v/>
      </c>
      <c r="G66" s="33" t="n"/>
      <c r="H66" s="33" t="n"/>
    </row>
    <row r="67">
      <c r="A67" s="26" t="n"/>
      <c r="B67" s="26">
        <f>IFERROR(IF(A67="","",VLOOKUP(A67,DATABASE!A:B,2,0)),"")</f>
        <v/>
      </c>
      <c r="C67" s="30">
        <f>IFERROR(IF(A67="","",VLOOKUP(A67,DATABASE!A:J,10,0)),"")</f>
        <v/>
      </c>
      <c r="D67" s="31">
        <f>IF(A67="","",TODAY())</f>
        <v/>
      </c>
      <c r="E67" s="30" t="n"/>
      <c r="F67" s="30">
        <f>IFERROR(IF(OR(A67="",E67=""),"",C67+E67),"")</f>
        <v/>
      </c>
      <c r="G67" s="26" t="n"/>
      <c r="H67" s="26" t="n"/>
    </row>
    <row r="68">
      <c r="A68" s="33" t="n"/>
      <c r="B68" s="33">
        <f>IFERROR(IF(A68="","",VLOOKUP(A68,DATABASE!A:B,2,0)),"")</f>
        <v/>
      </c>
      <c r="C68" s="34">
        <f>IFERROR(IF(A68="","",VLOOKUP(A68,DATABASE!A:J,10,0)),"")</f>
        <v/>
      </c>
      <c r="D68" s="35">
        <f>IF(A68="","",TODAY())</f>
        <v/>
      </c>
      <c r="E68" s="34" t="n"/>
      <c r="F68" s="34">
        <f>IFERROR(IF(OR(A68="",E68=""),"",C68+E68),"")</f>
        <v/>
      </c>
      <c r="G68" s="33" t="n"/>
      <c r="H68" s="33" t="n"/>
    </row>
    <row r="69">
      <c r="A69" s="26" t="n"/>
      <c r="B69" s="26">
        <f>IFERROR(IF(A69="","",VLOOKUP(A69,DATABASE!A:B,2,0)),"")</f>
        <v/>
      </c>
      <c r="C69" s="30">
        <f>IFERROR(IF(A69="","",VLOOKUP(A69,DATABASE!A:J,10,0)),"")</f>
        <v/>
      </c>
      <c r="D69" s="31">
        <f>IF(A69="","",TODAY())</f>
        <v/>
      </c>
      <c r="E69" s="30" t="n"/>
      <c r="F69" s="30">
        <f>IFERROR(IF(OR(A69="",E69=""),"",C69+E69),"")</f>
        <v/>
      </c>
      <c r="G69" s="26" t="n"/>
      <c r="H69" s="26" t="n"/>
    </row>
    <row r="70">
      <c r="A70" s="33" t="n"/>
      <c r="B70" s="33">
        <f>IFERROR(IF(A70="","",VLOOKUP(A70,DATABASE!A:B,2,0)),"")</f>
        <v/>
      </c>
      <c r="C70" s="34">
        <f>IFERROR(IF(A70="","",VLOOKUP(A70,DATABASE!A:J,10,0)),"")</f>
        <v/>
      </c>
      <c r="D70" s="35">
        <f>IF(A70="","",TODAY())</f>
        <v/>
      </c>
      <c r="E70" s="34" t="n"/>
      <c r="F70" s="34">
        <f>IFERROR(IF(OR(A70="",E70=""),"",C70+E70),"")</f>
        <v/>
      </c>
      <c r="G70" s="33" t="n"/>
      <c r="H70" s="33" t="n"/>
    </row>
    <row r="71">
      <c r="A71" s="26" t="n"/>
      <c r="B71" s="26">
        <f>IFERROR(IF(A71="","",VLOOKUP(A71,DATABASE!A:B,2,0)),"")</f>
        <v/>
      </c>
      <c r="C71" s="30">
        <f>IFERROR(IF(A71="","",VLOOKUP(A71,DATABASE!A:J,10,0)),"")</f>
        <v/>
      </c>
      <c r="D71" s="31">
        <f>IF(A71="","",TODAY())</f>
        <v/>
      </c>
      <c r="E71" s="30" t="n"/>
      <c r="F71" s="30">
        <f>IFERROR(IF(OR(A71="",E71=""),"",C71+E71),"")</f>
        <v/>
      </c>
      <c r="G71" s="26" t="n"/>
      <c r="H71" s="26" t="n"/>
    </row>
    <row r="72">
      <c r="A72" s="33" t="n"/>
      <c r="B72" s="33">
        <f>IFERROR(IF(A72="","",VLOOKUP(A72,DATABASE!A:B,2,0)),"")</f>
        <v/>
      </c>
      <c r="C72" s="34">
        <f>IFERROR(IF(A72="","",VLOOKUP(A72,DATABASE!A:J,10,0)),"")</f>
        <v/>
      </c>
      <c r="D72" s="35">
        <f>IF(A72="","",TODAY())</f>
        <v/>
      </c>
      <c r="E72" s="34" t="n"/>
      <c r="F72" s="34">
        <f>IFERROR(IF(OR(A72="",E72=""),"",C72+E72),"")</f>
        <v/>
      </c>
      <c r="G72" s="33" t="n"/>
      <c r="H72" s="33" t="n"/>
    </row>
    <row r="73">
      <c r="A73" s="26" t="n"/>
      <c r="B73" s="26">
        <f>IFERROR(IF(A73="","",VLOOKUP(A73,DATABASE!A:B,2,0)),"")</f>
        <v/>
      </c>
      <c r="C73" s="30">
        <f>IFERROR(IF(A73="","",VLOOKUP(A73,DATABASE!A:J,10,0)),"")</f>
        <v/>
      </c>
      <c r="D73" s="31">
        <f>IF(A73="","",TODAY())</f>
        <v/>
      </c>
      <c r="E73" s="30" t="n"/>
      <c r="F73" s="30">
        <f>IFERROR(IF(OR(A73="",E73=""),"",C73+E73),"")</f>
        <v/>
      </c>
      <c r="G73" s="26" t="n"/>
      <c r="H73" s="26" t="n"/>
    </row>
    <row r="74">
      <c r="A74" s="33" t="n"/>
      <c r="B74" s="33">
        <f>IFERROR(IF(A74="","",VLOOKUP(A74,DATABASE!A:B,2,0)),"")</f>
        <v/>
      </c>
      <c r="C74" s="34">
        <f>IFERROR(IF(A74="","",VLOOKUP(A74,DATABASE!A:J,10,0)),"")</f>
        <v/>
      </c>
      <c r="D74" s="35">
        <f>IF(A74="","",TODAY())</f>
        <v/>
      </c>
      <c r="E74" s="34" t="n"/>
      <c r="F74" s="34">
        <f>IFERROR(IF(OR(A74="",E74=""),"",C74+E74),"")</f>
        <v/>
      </c>
      <c r="G74" s="33" t="n"/>
      <c r="H74" s="33" t="n"/>
    </row>
    <row r="75">
      <c r="A75" s="26" t="n"/>
      <c r="B75" s="26">
        <f>IFERROR(IF(A75="","",VLOOKUP(A75,DATABASE!A:B,2,0)),"")</f>
        <v/>
      </c>
      <c r="C75" s="30">
        <f>IFERROR(IF(A75="","",VLOOKUP(A75,DATABASE!A:J,10,0)),"")</f>
        <v/>
      </c>
      <c r="D75" s="31">
        <f>IF(A75="","",TODAY())</f>
        <v/>
      </c>
      <c r="E75" s="30" t="n"/>
      <c r="F75" s="30">
        <f>IFERROR(IF(OR(A75="",E75=""),"",C75+E75),"")</f>
        <v/>
      </c>
      <c r="G75" s="26" t="n"/>
      <c r="H75" s="26" t="n"/>
    </row>
    <row r="76">
      <c r="A76" s="33" t="n"/>
      <c r="B76" s="33">
        <f>IFERROR(IF(A76="","",VLOOKUP(A76,DATABASE!A:B,2,0)),"")</f>
        <v/>
      </c>
      <c r="C76" s="34">
        <f>IFERROR(IF(A76="","",VLOOKUP(A76,DATABASE!A:J,10,0)),"")</f>
        <v/>
      </c>
      <c r="D76" s="35">
        <f>IF(A76="","",TODAY())</f>
        <v/>
      </c>
      <c r="E76" s="34" t="n"/>
      <c r="F76" s="34">
        <f>IFERROR(IF(OR(A76="",E76=""),"",C76+E76),"")</f>
        <v/>
      </c>
      <c r="G76" s="33" t="n"/>
      <c r="H76" s="33" t="n"/>
    </row>
    <row r="77">
      <c r="A77" s="26" t="n"/>
      <c r="B77" s="26">
        <f>IFERROR(IF(A77="","",VLOOKUP(A77,DATABASE!A:B,2,0)),"")</f>
        <v/>
      </c>
      <c r="C77" s="30">
        <f>IFERROR(IF(A77="","",VLOOKUP(A77,DATABASE!A:J,10,0)),"")</f>
        <v/>
      </c>
      <c r="D77" s="31">
        <f>IF(A77="","",TODAY())</f>
        <v/>
      </c>
      <c r="E77" s="30" t="n"/>
      <c r="F77" s="30">
        <f>IFERROR(IF(OR(A77="",E77=""),"",C77+E77),"")</f>
        <v/>
      </c>
      <c r="G77" s="26" t="n"/>
      <c r="H77" s="26" t="n"/>
    </row>
    <row r="78">
      <c r="A78" s="33" t="n"/>
      <c r="B78" s="33">
        <f>IFERROR(IF(A78="","",VLOOKUP(A78,DATABASE!A:B,2,0)),"")</f>
        <v/>
      </c>
      <c r="C78" s="34">
        <f>IFERROR(IF(A78="","",VLOOKUP(A78,DATABASE!A:J,10,0)),"")</f>
        <v/>
      </c>
      <c r="D78" s="35">
        <f>IF(A78="","",TODAY())</f>
        <v/>
      </c>
      <c r="E78" s="34" t="n"/>
      <c r="F78" s="34">
        <f>IFERROR(IF(OR(A78="",E78=""),"",C78+E78),"")</f>
        <v/>
      </c>
      <c r="G78" s="33" t="n"/>
      <c r="H78" s="33" t="n"/>
    </row>
    <row r="79">
      <c r="A79" s="26" t="n"/>
      <c r="B79" s="26">
        <f>IFERROR(IF(A79="","",VLOOKUP(A79,DATABASE!A:B,2,0)),"")</f>
        <v/>
      </c>
      <c r="C79" s="30">
        <f>IFERROR(IF(A79="","",VLOOKUP(A79,DATABASE!A:J,10,0)),"")</f>
        <v/>
      </c>
      <c r="D79" s="31">
        <f>IF(A79="","",TODAY())</f>
        <v/>
      </c>
      <c r="E79" s="30" t="n"/>
      <c r="F79" s="30">
        <f>IFERROR(IF(OR(A79="",E79=""),"",C79+E79),"")</f>
        <v/>
      </c>
      <c r="G79" s="26" t="n"/>
      <c r="H79" s="26" t="n"/>
    </row>
    <row r="80">
      <c r="A80" s="33" t="n"/>
      <c r="B80" s="33">
        <f>IFERROR(IF(A80="","",VLOOKUP(A80,DATABASE!A:B,2,0)),"")</f>
        <v/>
      </c>
      <c r="C80" s="34">
        <f>IFERROR(IF(A80="","",VLOOKUP(A80,DATABASE!A:J,10,0)),"")</f>
        <v/>
      </c>
      <c r="D80" s="35">
        <f>IF(A80="","",TODAY())</f>
        <v/>
      </c>
      <c r="E80" s="34" t="n"/>
      <c r="F80" s="34">
        <f>IFERROR(IF(OR(A80="",E80=""),"",C80+E80),"")</f>
        <v/>
      </c>
      <c r="G80" s="33" t="n"/>
      <c r="H80" s="33" t="n"/>
    </row>
    <row r="81">
      <c r="A81" s="26" t="n"/>
      <c r="B81" s="26">
        <f>IFERROR(IF(A81="","",VLOOKUP(A81,DATABASE!A:B,2,0)),"")</f>
        <v/>
      </c>
      <c r="C81" s="30">
        <f>IFERROR(IF(A81="","",VLOOKUP(A81,DATABASE!A:J,10,0)),"")</f>
        <v/>
      </c>
      <c r="D81" s="31">
        <f>IF(A81="","",TODAY())</f>
        <v/>
      </c>
      <c r="E81" s="30" t="n"/>
      <c r="F81" s="30">
        <f>IFERROR(IF(OR(A81="",E81=""),"",C81+E81),"")</f>
        <v/>
      </c>
      <c r="G81" s="26" t="n"/>
      <c r="H81" s="26" t="n"/>
    </row>
    <row r="82">
      <c r="A82" s="33" t="n"/>
      <c r="B82" s="33">
        <f>IFERROR(IF(A82="","",VLOOKUP(A82,DATABASE!A:B,2,0)),"")</f>
        <v/>
      </c>
      <c r="C82" s="34">
        <f>IFERROR(IF(A82="","",VLOOKUP(A82,DATABASE!A:J,10,0)),"")</f>
        <v/>
      </c>
      <c r="D82" s="35">
        <f>IF(A82="","",TODAY())</f>
        <v/>
      </c>
      <c r="E82" s="34" t="n"/>
      <c r="F82" s="34">
        <f>IFERROR(IF(OR(A82="",E82=""),"",C82+E82),"")</f>
        <v/>
      </c>
      <c r="G82" s="33" t="n"/>
      <c r="H82" s="33" t="n"/>
    </row>
    <row r="83">
      <c r="A83" s="26" t="n"/>
      <c r="B83" s="26">
        <f>IFERROR(IF(A83="","",VLOOKUP(A83,DATABASE!A:B,2,0)),"")</f>
        <v/>
      </c>
      <c r="C83" s="30">
        <f>IFERROR(IF(A83="","",VLOOKUP(A83,DATABASE!A:J,10,0)),"")</f>
        <v/>
      </c>
      <c r="D83" s="31">
        <f>IF(A83="","",TODAY())</f>
        <v/>
      </c>
      <c r="E83" s="30" t="n"/>
      <c r="F83" s="30">
        <f>IFERROR(IF(OR(A83="",E83=""),"",C83+E83),"")</f>
        <v/>
      </c>
      <c r="G83" s="26" t="n"/>
      <c r="H83" s="26" t="n"/>
    </row>
    <row r="84">
      <c r="A84" s="33" t="n"/>
      <c r="B84" s="33">
        <f>IFERROR(IF(A84="","",VLOOKUP(A84,DATABASE!A:B,2,0)),"")</f>
        <v/>
      </c>
      <c r="C84" s="34">
        <f>IFERROR(IF(A84="","",VLOOKUP(A84,DATABASE!A:J,10,0)),"")</f>
        <v/>
      </c>
      <c r="D84" s="35">
        <f>IF(A84="","",TODAY())</f>
        <v/>
      </c>
      <c r="E84" s="34" t="n"/>
      <c r="F84" s="34">
        <f>IFERROR(IF(OR(A84="",E84=""),"",C84+E84),"")</f>
        <v/>
      </c>
      <c r="G84" s="33" t="n"/>
      <c r="H84" s="33" t="n"/>
    </row>
    <row r="85">
      <c r="A85" s="26" t="n"/>
      <c r="B85" s="26">
        <f>IFERROR(IF(A85="","",VLOOKUP(A85,DATABASE!A:B,2,0)),"")</f>
        <v/>
      </c>
      <c r="C85" s="30">
        <f>IFERROR(IF(A85="","",VLOOKUP(A85,DATABASE!A:J,10,0)),"")</f>
        <v/>
      </c>
      <c r="D85" s="31">
        <f>IF(A85="","",TODAY())</f>
        <v/>
      </c>
      <c r="E85" s="30" t="n"/>
      <c r="F85" s="30">
        <f>IFERROR(IF(OR(A85="",E85=""),"",C85+E85),"")</f>
        <v/>
      </c>
      <c r="G85" s="26" t="n"/>
      <c r="H85" s="26" t="n"/>
    </row>
    <row r="86">
      <c r="A86" s="33" t="n"/>
      <c r="B86" s="33">
        <f>IFERROR(IF(A86="","",VLOOKUP(A86,DATABASE!A:B,2,0)),"")</f>
        <v/>
      </c>
      <c r="C86" s="34">
        <f>IFERROR(IF(A86="","",VLOOKUP(A86,DATABASE!A:J,10,0)),"")</f>
        <v/>
      </c>
      <c r="D86" s="35">
        <f>IF(A86="","",TODAY())</f>
        <v/>
      </c>
      <c r="E86" s="34" t="n"/>
      <c r="F86" s="34">
        <f>IFERROR(IF(OR(A86="",E86=""),"",C86+E86),"")</f>
        <v/>
      </c>
      <c r="G86" s="33" t="n"/>
      <c r="H86" s="33" t="n"/>
    </row>
    <row r="87">
      <c r="A87" s="26" t="n"/>
      <c r="B87" s="26">
        <f>IFERROR(IF(A87="","",VLOOKUP(A87,DATABASE!A:B,2,0)),"")</f>
        <v/>
      </c>
      <c r="C87" s="30">
        <f>IFERROR(IF(A87="","",VLOOKUP(A87,DATABASE!A:J,10,0)),"")</f>
        <v/>
      </c>
      <c r="D87" s="31">
        <f>IF(A87="","",TODAY())</f>
        <v/>
      </c>
      <c r="E87" s="30" t="n"/>
      <c r="F87" s="30">
        <f>IFERROR(IF(OR(A87="",E87=""),"",C87+E87),"")</f>
        <v/>
      </c>
      <c r="G87" s="26" t="n"/>
      <c r="H87" s="26" t="n"/>
    </row>
    <row r="88">
      <c r="A88" s="33" t="n"/>
      <c r="B88" s="33">
        <f>IFERROR(IF(A88="","",VLOOKUP(A88,DATABASE!A:B,2,0)),"")</f>
        <v/>
      </c>
      <c r="C88" s="34">
        <f>IFERROR(IF(A88="","",VLOOKUP(A88,DATABASE!A:J,10,0)),"")</f>
        <v/>
      </c>
      <c r="D88" s="35">
        <f>IF(A88="","",TODAY())</f>
        <v/>
      </c>
      <c r="E88" s="34" t="n"/>
      <c r="F88" s="34">
        <f>IFERROR(IF(OR(A88="",E88=""),"",C88+E88),"")</f>
        <v/>
      </c>
      <c r="G88" s="33" t="n"/>
      <c r="H88" s="33" t="n"/>
    </row>
    <row r="89">
      <c r="A89" s="26" t="n"/>
      <c r="B89" s="26">
        <f>IFERROR(IF(A89="","",VLOOKUP(A89,DATABASE!A:B,2,0)),"")</f>
        <v/>
      </c>
      <c r="C89" s="30">
        <f>IFERROR(IF(A89="","",VLOOKUP(A89,DATABASE!A:J,10,0)),"")</f>
        <v/>
      </c>
      <c r="D89" s="31">
        <f>IF(A89="","",TODAY())</f>
        <v/>
      </c>
      <c r="E89" s="30" t="n"/>
      <c r="F89" s="30">
        <f>IFERROR(IF(OR(A89="",E89=""),"",C89+E89),"")</f>
        <v/>
      </c>
      <c r="G89" s="26" t="n"/>
      <c r="H89" s="26" t="n"/>
    </row>
    <row r="90">
      <c r="A90" s="33" t="n"/>
      <c r="B90" s="33">
        <f>IFERROR(IF(A90="","",VLOOKUP(A90,DATABASE!A:B,2,0)),"")</f>
        <v/>
      </c>
      <c r="C90" s="34">
        <f>IFERROR(IF(A90="","",VLOOKUP(A90,DATABASE!A:J,10,0)),"")</f>
        <v/>
      </c>
      <c r="D90" s="35">
        <f>IF(A90="","",TODAY())</f>
        <v/>
      </c>
      <c r="E90" s="34" t="n"/>
      <c r="F90" s="34">
        <f>IFERROR(IF(OR(A90="",E90=""),"",C90+E90),"")</f>
        <v/>
      </c>
      <c r="G90" s="33" t="n"/>
      <c r="H90" s="33" t="n"/>
    </row>
    <row r="91">
      <c r="A91" s="26" t="n"/>
      <c r="B91" s="26">
        <f>IFERROR(IF(A91="","",VLOOKUP(A91,DATABASE!A:B,2,0)),"")</f>
        <v/>
      </c>
      <c r="C91" s="30">
        <f>IFERROR(IF(A91="","",VLOOKUP(A91,DATABASE!A:J,10,0)),"")</f>
        <v/>
      </c>
      <c r="D91" s="31">
        <f>IF(A91="","",TODAY())</f>
        <v/>
      </c>
      <c r="E91" s="30" t="n"/>
      <c r="F91" s="30">
        <f>IFERROR(IF(OR(A91="",E91=""),"",C91+E91),"")</f>
        <v/>
      </c>
      <c r="G91" s="26" t="n"/>
      <c r="H91" s="26" t="n"/>
    </row>
    <row r="92">
      <c r="A92" s="33" t="n"/>
      <c r="B92" s="33">
        <f>IFERROR(IF(A92="","",VLOOKUP(A92,DATABASE!A:B,2,0)),"")</f>
        <v/>
      </c>
      <c r="C92" s="34">
        <f>IFERROR(IF(A92="","",VLOOKUP(A92,DATABASE!A:J,10,0)),"")</f>
        <v/>
      </c>
      <c r="D92" s="35">
        <f>IF(A92="","",TODAY())</f>
        <v/>
      </c>
      <c r="E92" s="34" t="n"/>
      <c r="F92" s="34">
        <f>IFERROR(IF(OR(A92="",E92=""),"",C92+E92),"")</f>
        <v/>
      </c>
      <c r="G92" s="33" t="n"/>
      <c r="H92" s="33" t="n"/>
    </row>
    <row r="93">
      <c r="A93" s="26" t="n"/>
      <c r="B93" s="26">
        <f>IFERROR(IF(A93="","",VLOOKUP(A93,DATABASE!A:B,2,0)),"")</f>
        <v/>
      </c>
      <c r="C93" s="30">
        <f>IFERROR(IF(A93="","",VLOOKUP(A93,DATABASE!A:J,10,0)),"")</f>
        <v/>
      </c>
      <c r="D93" s="31">
        <f>IF(A93="","",TODAY())</f>
        <v/>
      </c>
      <c r="E93" s="30" t="n"/>
      <c r="F93" s="30">
        <f>IFERROR(IF(OR(A93="",E93=""),"",C93+E93),"")</f>
        <v/>
      </c>
      <c r="G93" s="26" t="n"/>
      <c r="H93" s="26" t="n"/>
    </row>
    <row r="94">
      <c r="A94" s="33" t="n"/>
      <c r="B94" s="33">
        <f>IFERROR(IF(A94="","",VLOOKUP(A94,DATABASE!A:B,2,0)),"")</f>
        <v/>
      </c>
      <c r="C94" s="34">
        <f>IFERROR(IF(A94="","",VLOOKUP(A94,DATABASE!A:J,10,0)),"")</f>
        <v/>
      </c>
      <c r="D94" s="35">
        <f>IF(A94="","",TODAY())</f>
        <v/>
      </c>
      <c r="E94" s="34" t="n"/>
      <c r="F94" s="34">
        <f>IFERROR(IF(OR(A94="",E94=""),"",C94+E94),"")</f>
        <v/>
      </c>
      <c r="G94" s="33" t="n"/>
      <c r="H94" s="33" t="n"/>
    </row>
    <row r="95">
      <c r="A95" s="26" t="n"/>
      <c r="B95" s="26">
        <f>IFERROR(IF(A95="","",VLOOKUP(A95,DATABASE!A:B,2,0)),"")</f>
        <v/>
      </c>
      <c r="C95" s="30">
        <f>IFERROR(IF(A95="","",VLOOKUP(A95,DATABASE!A:J,10,0)),"")</f>
        <v/>
      </c>
      <c r="D95" s="31">
        <f>IF(A95="","",TODAY())</f>
        <v/>
      </c>
      <c r="E95" s="30" t="n"/>
      <c r="F95" s="30">
        <f>IFERROR(IF(OR(A95="",E95=""),"",C95+E95),"")</f>
        <v/>
      </c>
      <c r="G95" s="26" t="n"/>
      <c r="H95" s="26" t="n"/>
    </row>
    <row r="96">
      <c r="A96" s="33" t="n"/>
      <c r="B96" s="33">
        <f>IFERROR(IF(A96="","",VLOOKUP(A96,DATABASE!A:B,2,0)),"")</f>
        <v/>
      </c>
      <c r="C96" s="34">
        <f>IFERROR(IF(A96="","",VLOOKUP(A96,DATABASE!A:J,10,0)),"")</f>
        <v/>
      </c>
      <c r="D96" s="35">
        <f>IF(A96="","",TODAY())</f>
        <v/>
      </c>
      <c r="E96" s="34" t="n"/>
      <c r="F96" s="34">
        <f>IFERROR(IF(OR(A96="",E96=""),"",C96+E96),"")</f>
        <v/>
      </c>
      <c r="G96" s="33" t="n"/>
      <c r="H96" s="33" t="n"/>
    </row>
    <row r="97">
      <c r="A97" s="26" t="n"/>
      <c r="B97" s="26">
        <f>IFERROR(IF(A97="","",VLOOKUP(A97,DATABASE!A:B,2,0)),"")</f>
        <v/>
      </c>
      <c r="C97" s="30">
        <f>IFERROR(IF(A97="","",VLOOKUP(A97,DATABASE!A:J,10,0)),"")</f>
        <v/>
      </c>
      <c r="D97" s="31">
        <f>IF(A97="","",TODAY())</f>
        <v/>
      </c>
      <c r="E97" s="30" t="n"/>
      <c r="F97" s="30">
        <f>IFERROR(IF(OR(A97="",E97=""),"",C97+E97),"")</f>
        <v/>
      </c>
      <c r="G97" s="26" t="n"/>
      <c r="H97" s="26" t="n"/>
    </row>
    <row r="98">
      <c r="A98" s="33" t="n"/>
      <c r="B98" s="33">
        <f>IFERROR(IF(A98="","",VLOOKUP(A98,DATABASE!A:B,2,0)),"")</f>
        <v/>
      </c>
      <c r="C98" s="34">
        <f>IFERROR(IF(A98="","",VLOOKUP(A98,DATABASE!A:J,10,0)),"")</f>
        <v/>
      </c>
      <c r="D98" s="35">
        <f>IF(A98="","",TODAY())</f>
        <v/>
      </c>
      <c r="E98" s="34" t="n"/>
      <c r="F98" s="34">
        <f>IFERROR(IF(OR(A98="",E98=""),"",C98+E98),"")</f>
        <v/>
      </c>
      <c r="G98" s="33" t="n"/>
      <c r="H98" s="33" t="n"/>
    </row>
    <row r="99">
      <c r="A99" s="26" t="n"/>
      <c r="B99" s="26">
        <f>IFERROR(IF(A99="","",VLOOKUP(A99,DATABASE!A:B,2,0)),"")</f>
        <v/>
      </c>
      <c r="C99" s="30">
        <f>IFERROR(IF(A99="","",VLOOKUP(A99,DATABASE!A:J,10,0)),"")</f>
        <v/>
      </c>
      <c r="D99" s="31">
        <f>IF(A99="","",TODAY())</f>
        <v/>
      </c>
      <c r="E99" s="30" t="n"/>
      <c r="F99" s="30">
        <f>IFERROR(IF(OR(A99="",E99=""),"",C99+E99),"")</f>
        <v/>
      </c>
      <c r="G99" s="26" t="n"/>
      <c r="H99" s="26" t="n"/>
    </row>
    <row r="100">
      <c r="A100" s="33" t="n"/>
      <c r="B100" s="33">
        <f>IFERROR(IF(A100="","",VLOOKUP(A100,DATABASE!A:B,2,0)),"")</f>
        <v/>
      </c>
      <c r="C100" s="34">
        <f>IFERROR(IF(A100="","",VLOOKUP(A100,DATABASE!A:J,10,0)),"")</f>
        <v/>
      </c>
      <c r="D100" s="35">
        <f>IF(A100="","",TODAY())</f>
        <v/>
      </c>
      <c r="E100" s="34" t="n"/>
      <c r="F100" s="34">
        <f>IFERROR(IF(OR(A100="",E100=""),"",C100+E100),"")</f>
        <v/>
      </c>
      <c r="G100" s="33" t="n"/>
      <c r="H100" s="33" t="n"/>
    </row>
    <row r="101">
      <c r="A101" s="26" t="n"/>
      <c r="B101" s="26">
        <f>IFERROR(IF(A101="","",VLOOKUP(A101,DATABASE!A:B,2,0)),"")</f>
        <v/>
      </c>
      <c r="C101" s="30">
        <f>IFERROR(IF(A101="","",VLOOKUP(A101,DATABASE!A:J,10,0)),"")</f>
        <v/>
      </c>
      <c r="D101" s="31">
        <f>IF(A101="","",TODAY())</f>
        <v/>
      </c>
      <c r="E101" s="30" t="n"/>
      <c r="F101" s="30">
        <f>IFERROR(IF(OR(A101="",E101=""),"",C101+E101),"")</f>
        <v/>
      </c>
      <c r="G101" s="26" t="n"/>
      <c r="H101" s="26" t="n"/>
    </row>
    <row r="102">
      <c r="A102" s="33" t="n"/>
      <c r="B102" s="33">
        <f>IFERROR(IF(A102="","",VLOOKUP(A102,DATABASE!A:B,2,0)),"")</f>
        <v/>
      </c>
      <c r="C102" s="34">
        <f>IFERROR(IF(A102="","",VLOOKUP(A102,DATABASE!A:J,10,0)),"")</f>
        <v/>
      </c>
      <c r="D102" s="35">
        <f>IF(A102="","",TODAY())</f>
        <v/>
      </c>
      <c r="E102" s="34" t="n"/>
      <c r="F102" s="34">
        <f>IFERROR(IF(OR(A102="",E102=""),"",C102+E102),"")</f>
        <v/>
      </c>
      <c r="G102" s="33" t="n"/>
      <c r="H102" s="33" t="n"/>
    </row>
    <row r="103">
      <c r="A103" s="26" t="n"/>
      <c r="B103" s="26">
        <f>IFERROR(IF(A103="","",VLOOKUP(A103,DATABASE!A:B,2,0)),"")</f>
        <v/>
      </c>
      <c r="C103" s="30">
        <f>IFERROR(IF(A103="","",VLOOKUP(A103,DATABASE!A:J,10,0)),"")</f>
        <v/>
      </c>
      <c r="D103" s="31">
        <f>IF(A103="","",TODAY())</f>
        <v/>
      </c>
      <c r="E103" s="30" t="n"/>
      <c r="F103" s="30">
        <f>IFERROR(IF(OR(A103="",E103=""),"",C103+E103),"")</f>
        <v/>
      </c>
      <c r="G103" s="26" t="n"/>
      <c r="H103" s="26" t="n"/>
    </row>
    <row r="104">
      <c r="A104" s="33" t="n"/>
      <c r="B104" s="33">
        <f>IFERROR(IF(A104="","",VLOOKUP(A104,DATABASE!A:B,2,0)),"")</f>
        <v/>
      </c>
      <c r="C104" s="34">
        <f>IFERROR(IF(A104="","",VLOOKUP(A104,DATABASE!A:J,10,0)),"")</f>
        <v/>
      </c>
      <c r="D104" s="35">
        <f>IF(A104="","",TODAY())</f>
        <v/>
      </c>
      <c r="E104" s="34" t="n"/>
      <c r="F104" s="34">
        <f>IFERROR(IF(OR(A104="",E104=""),"",C104+E104),"")</f>
        <v/>
      </c>
      <c r="G104" s="33" t="n"/>
      <c r="H104" s="33" t="n"/>
    </row>
    <row r="105">
      <c r="A105" s="26" t="n"/>
      <c r="B105" s="26">
        <f>IFERROR(IF(A105="","",VLOOKUP(A105,DATABASE!A:B,2,0)),"")</f>
        <v/>
      </c>
      <c r="C105" s="30">
        <f>IFERROR(IF(A105="","",VLOOKUP(A105,DATABASE!A:J,10,0)),"")</f>
        <v/>
      </c>
      <c r="D105" s="31">
        <f>IF(A105="","",TODAY())</f>
        <v/>
      </c>
      <c r="E105" s="30" t="n"/>
      <c r="F105" s="30">
        <f>IFERROR(IF(OR(A105="",E105=""),"",C105+E105),"")</f>
        <v/>
      </c>
      <c r="G105" s="26" t="n"/>
      <c r="H105" s="26" t="n"/>
    </row>
    <row r="106">
      <c r="A106" s="33" t="n"/>
      <c r="B106" s="33">
        <f>IFERROR(IF(A106="","",VLOOKUP(A106,DATABASE!A:B,2,0)),"")</f>
        <v/>
      </c>
      <c r="C106" s="34">
        <f>IFERROR(IF(A106="","",VLOOKUP(A106,DATABASE!A:J,10,0)),"")</f>
        <v/>
      </c>
      <c r="D106" s="35">
        <f>IF(A106="","",TODAY())</f>
        <v/>
      </c>
      <c r="E106" s="34" t="n"/>
      <c r="F106" s="34">
        <f>IFERROR(IF(OR(A106="",E106=""),"",C106+E106),"")</f>
        <v/>
      </c>
      <c r="G106" s="33" t="n"/>
      <c r="H106" s="33" t="n"/>
    </row>
    <row r="107">
      <c r="A107" s="26" t="n"/>
      <c r="B107" s="26">
        <f>IFERROR(IF(A107="","",VLOOKUP(A107,DATABASE!A:B,2,0)),"")</f>
        <v/>
      </c>
      <c r="C107" s="30">
        <f>IFERROR(IF(A107="","",VLOOKUP(A107,DATABASE!A:J,10,0)),"")</f>
        <v/>
      </c>
      <c r="D107" s="31">
        <f>IF(A107="","",TODAY())</f>
        <v/>
      </c>
      <c r="E107" s="30" t="n"/>
      <c r="F107" s="30">
        <f>IFERROR(IF(OR(A107="",E107=""),"",C107+E107),"")</f>
        <v/>
      </c>
      <c r="G107" s="26" t="n"/>
      <c r="H107" s="26" t="n"/>
    </row>
    <row r="108">
      <c r="A108" s="33" t="n"/>
      <c r="B108" s="33">
        <f>IFERROR(IF(A108="","",VLOOKUP(A108,DATABASE!A:B,2,0)),"")</f>
        <v/>
      </c>
      <c r="C108" s="34">
        <f>IFERROR(IF(A108="","",VLOOKUP(A108,DATABASE!A:J,10,0)),"")</f>
        <v/>
      </c>
      <c r="D108" s="35">
        <f>IF(A108="","",TODAY())</f>
        <v/>
      </c>
      <c r="E108" s="34" t="n"/>
      <c r="F108" s="34">
        <f>IFERROR(IF(OR(A108="",E108=""),"",C108+E108),"")</f>
        <v/>
      </c>
      <c r="G108" s="33" t="n"/>
      <c r="H108" s="33" t="n"/>
    </row>
    <row r="109">
      <c r="A109" s="26" t="n"/>
      <c r="B109" s="26">
        <f>IFERROR(IF(A109="","",VLOOKUP(A109,DATABASE!A:B,2,0)),"")</f>
        <v/>
      </c>
      <c r="C109" s="30">
        <f>IFERROR(IF(A109="","",VLOOKUP(A109,DATABASE!A:J,10,0)),"")</f>
        <v/>
      </c>
      <c r="D109" s="31">
        <f>IF(A109="","",TODAY())</f>
        <v/>
      </c>
      <c r="E109" s="30" t="n"/>
      <c r="F109" s="30">
        <f>IFERROR(IF(OR(A109="",E109=""),"",C109+E109),"")</f>
        <v/>
      </c>
      <c r="G109" s="26" t="n"/>
      <c r="H109" s="26" t="n"/>
    </row>
    <row r="110">
      <c r="A110" s="33" t="n"/>
      <c r="B110" s="33">
        <f>IFERROR(IF(A110="","",VLOOKUP(A110,DATABASE!A:B,2,0)),"")</f>
        <v/>
      </c>
      <c r="C110" s="34">
        <f>IFERROR(IF(A110="","",VLOOKUP(A110,DATABASE!A:J,10,0)),"")</f>
        <v/>
      </c>
      <c r="D110" s="35">
        <f>IF(A110="","",TODAY())</f>
        <v/>
      </c>
      <c r="E110" s="34" t="n"/>
      <c r="F110" s="34">
        <f>IFERROR(IF(OR(A110="",E110=""),"",C110+E110),"")</f>
        <v/>
      </c>
      <c r="G110" s="33" t="n"/>
      <c r="H110" s="33" t="n"/>
    </row>
    <row r="111">
      <c r="A111" s="26" t="n"/>
      <c r="B111" s="26">
        <f>IFERROR(IF(A111="","",VLOOKUP(A111,DATABASE!A:B,2,0)),"")</f>
        <v/>
      </c>
      <c r="C111" s="30">
        <f>IFERROR(IF(A111="","",VLOOKUP(A111,DATABASE!A:J,10,0)),"")</f>
        <v/>
      </c>
      <c r="D111" s="31">
        <f>IF(A111="","",TODAY())</f>
        <v/>
      </c>
      <c r="E111" s="30" t="n"/>
      <c r="F111" s="30">
        <f>IFERROR(IF(OR(A111="",E111=""),"",C111+E111),"")</f>
        <v/>
      </c>
      <c r="G111" s="26" t="n"/>
      <c r="H111" s="26" t="n"/>
    </row>
    <row r="112">
      <c r="A112" s="33" t="n"/>
      <c r="B112" s="33">
        <f>IFERROR(IF(A112="","",VLOOKUP(A112,DATABASE!A:B,2,0)),"")</f>
        <v/>
      </c>
      <c r="C112" s="34">
        <f>IFERROR(IF(A112="","",VLOOKUP(A112,DATABASE!A:J,10,0)),"")</f>
        <v/>
      </c>
      <c r="D112" s="35">
        <f>IF(A112="","",TODAY())</f>
        <v/>
      </c>
      <c r="E112" s="34" t="n"/>
      <c r="F112" s="34">
        <f>IFERROR(IF(OR(A112="",E112=""),"",C112+E112),"")</f>
        <v/>
      </c>
      <c r="G112" s="33" t="n"/>
      <c r="H112" s="33" t="n"/>
    </row>
    <row r="113">
      <c r="A113" s="26" t="n"/>
      <c r="B113" s="26">
        <f>IFERROR(IF(A113="","",VLOOKUP(A113,DATABASE!A:B,2,0)),"")</f>
        <v/>
      </c>
      <c r="C113" s="30">
        <f>IFERROR(IF(A113="","",VLOOKUP(A113,DATABASE!A:J,10,0)),"")</f>
        <v/>
      </c>
      <c r="D113" s="31">
        <f>IF(A113="","",TODAY())</f>
        <v/>
      </c>
      <c r="E113" s="30" t="n"/>
      <c r="F113" s="30">
        <f>IFERROR(IF(OR(A113="",E113=""),"",C113+E113),"")</f>
        <v/>
      </c>
      <c r="G113" s="26" t="n"/>
      <c r="H113" s="26" t="n"/>
    </row>
    <row r="114">
      <c r="A114" s="33" t="n"/>
      <c r="B114" s="33">
        <f>IFERROR(IF(A114="","",VLOOKUP(A114,DATABASE!A:B,2,0)),"")</f>
        <v/>
      </c>
      <c r="C114" s="34">
        <f>IFERROR(IF(A114="","",VLOOKUP(A114,DATABASE!A:J,10,0)),"")</f>
        <v/>
      </c>
      <c r="D114" s="35">
        <f>IF(A114="","",TODAY())</f>
        <v/>
      </c>
      <c r="E114" s="34" t="n"/>
      <c r="F114" s="34">
        <f>IFERROR(IF(OR(A114="",E114=""),"",C114+E114),"")</f>
        <v/>
      </c>
      <c r="G114" s="33" t="n"/>
      <c r="H114" s="33" t="n"/>
    </row>
    <row r="115">
      <c r="A115" s="26" t="n"/>
      <c r="B115" s="26">
        <f>IFERROR(IF(A115="","",VLOOKUP(A115,DATABASE!A:B,2,0)),"")</f>
        <v/>
      </c>
      <c r="C115" s="30">
        <f>IFERROR(IF(A115="","",VLOOKUP(A115,DATABASE!A:J,10,0)),"")</f>
        <v/>
      </c>
      <c r="D115" s="31">
        <f>IF(A115="","",TODAY())</f>
        <v/>
      </c>
      <c r="E115" s="30" t="n"/>
      <c r="F115" s="30">
        <f>IFERROR(IF(OR(A115="",E115=""),"",C115+E115),"")</f>
        <v/>
      </c>
      <c r="G115" s="26" t="n"/>
      <c r="H115" s="26" t="n"/>
    </row>
    <row r="116">
      <c r="A116" s="33" t="n"/>
      <c r="B116" s="33">
        <f>IFERROR(IF(A116="","",VLOOKUP(A116,DATABASE!A:B,2,0)),"")</f>
        <v/>
      </c>
      <c r="C116" s="34">
        <f>IFERROR(IF(A116="","",VLOOKUP(A116,DATABASE!A:J,10,0)),"")</f>
        <v/>
      </c>
      <c r="D116" s="35">
        <f>IF(A116="","",TODAY())</f>
        <v/>
      </c>
      <c r="E116" s="34" t="n"/>
      <c r="F116" s="34">
        <f>IFERROR(IF(OR(A116="",E116=""),"",C116+E116),"")</f>
        <v/>
      </c>
      <c r="G116" s="33" t="n"/>
      <c r="H116" s="33" t="n"/>
    </row>
    <row r="117">
      <c r="A117" s="26" t="n"/>
      <c r="B117" s="26">
        <f>IFERROR(IF(A117="","",VLOOKUP(A117,DATABASE!A:B,2,0)),"")</f>
        <v/>
      </c>
      <c r="C117" s="30">
        <f>IFERROR(IF(A117="","",VLOOKUP(A117,DATABASE!A:J,10,0)),"")</f>
        <v/>
      </c>
      <c r="D117" s="31">
        <f>IF(A117="","",TODAY())</f>
        <v/>
      </c>
      <c r="E117" s="30" t="n"/>
      <c r="F117" s="30">
        <f>IFERROR(IF(OR(A117="",E117=""),"",C117+E117),"")</f>
        <v/>
      </c>
      <c r="G117" s="26" t="n"/>
      <c r="H117" s="26" t="n"/>
    </row>
    <row r="118">
      <c r="A118" s="33" t="n"/>
      <c r="B118" s="33">
        <f>IFERROR(IF(A118="","",VLOOKUP(A118,DATABASE!A:B,2,0)),"")</f>
        <v/>
      </c>
      <c r="C118" s="34">
        <f>IFERROR(IF(A118="","",VLOOKUP(A118,DATABASE!A:J,10,0)),"")</f>
        <v/>
      </c>
      <c r="D118" s="35">
        <f>IF(A118="","",TODAY())</f>
        <v/>
      </c>
      <c r="E118" s="34" t="n"/>
      <c r="F118" s="34">
        <f>IFERROR(IF(OR(A118="",E118=""),"",C118+E118),"")</f>
        <v/>
      </c>
      <c r="G118" s="33" t="n"/>
      <c r="H118" s="33" t="n"/>
    </row>
    <row r="119">
      <c r="A119" s="26" t="n"/>
      <c r="B119" s="26">
        <f>IFERROR(IF(A119="","",VLOOKUP(A119,DATABASE!A:B,2,0)),"")</f>
        <v/>
      </c>
      <c r="C119" s="30">
        <f>IFERROR(IF(A119="","",VLOOKUP(A119,DATABASE!A:J,10,0)),"")</f>
        <v/>
      </c>
      <c r="D119" s="31">
        <f>IF(A119="","",TODAY())</f>
        <v/>
      </c>
      <c r="E119" s="30" t="n"/>
      <c r="F119" s="30">
        <f>IFERROR(IF(OR(A119="",E119=""),"",C119+E119),"")</f>
        <v/>
      </c>
      <c r="G119" s="26" t="n"/>
      <c r="H119" s="26" t="n"/>
    </row>
    <row r="120">
      <c r="A120" s="33" t="n"/>
      <c r="B120" s="33">
        <f>IFERROR(IF(A120="","",VLOOKUP(A120,DATABASE!A:B,2,0)),"")</f>
        <v/>
      </c>
      <c r="C120" s="34">
        <f>IFERROR(IF(A120="","",VLOOKUP(A120,DATABASE!A:J,10,0)),"")</f>
        <v/>
      </c>
      <c r="D120" s="35">
        <f>IF(A120="","",TODAY())</f>
        <v/>
      </c>
      <c r="E120" s="34" t="n"/>
      <c r="F120" s="34">
        <f>IFERROR(IF(OR(A120="",E120=""),"",C120+E120),"")</f>
        <v/>
      </c>
      <c r="G120" s="33" t="n"/>
      <c r="H120" s="33" t="n"/>
    </row>
    <row r="121">
      <c r="A121" s="26" t="n"/>
      <c r="B121" s="26">
        <f>IFERROR(IF(A121="","",VLOOKUP(A121,DATABASE!A:B,2,0)),"")</f>
        <v/>
      </c>
      <c r="C121" s="30">
        <f>IFERROR(IF(A121="","",VLOOKUP(A121,DATABASE!A:J,10,0)),"")</f>
        <v/>
      </c>
      <c r="D121" s="31">
        <f>IF(A121="","",TODAY())</f>
        <v/>
      </c>
      <c r="E121" s="30" t="n"/>
      <c r="F121" s="30">
        <f>IFERROR(IF(OR(A121="",E121=""),"",C121+E121),"")</f>
        <v/>
      </c>
      <c r="G121" s="26" t="n"/>
      <c r="H121" s="26" t="n"/>
    </row>
    <row r="122">
      <c r="A122" s="33" t="n"/>
      <c r="B122" s="33">
        <f>IFERROR(IF(A122="","",VLOOKUP(A122,DATABASE!A:B,2,0)),"")</f>
        <v/>
      </c>
      <c r="C122" s="34">
        <f>IFERROR(IF(A122="","",VLOOKUP(A122,DATABASE!A:J,10,0)),"")</f>
        <v/>
      </c>
      <c r="D122" s="35">
        <f>IF(A122="","",TODAY())</f>
        <v/>
      </c>
      <c r="E122" s="34" t="n"/>
      <c r="F122" s="34">
        <f>IFERROR(IF(OR(A122="",E122=""),"",C122+E122),"")</f>
        <v/>
      </c>
      <c r="G122" s="33" t="n"/>
      <c r="H122" s="33" t="n"/>
    </row>
    <row r="123">
      <c r="A123" s="26" t="n"/>
      <c r="B123" s="26">
        <f>IFERROR(IF(A123="","",VLOOKUP(A123,DATABASE!A:B,2,0)),"")</f>
        <v/>
      </c>
      <c r="C123" s="30">
        <f>IFERROR(IF(A123="","",VLOOKUP(A123,DATABASE!A:J,10,0)),"")</f>
        <v/>
      </c>
      <c r="D123" s="31">
        <f>IF(A123="","",TODAY())</f>
        <v/>
      </c>
      <c r="E123" s="30" t="n"/>
      <c r="F123" s="30">
        <f>IFERROR(IF(OR(A123="",E123=""),"",C123+E123),"")</f>
        <v/>
      </c>
      <c r="G123" s="26" t="n"/>
      <c r="H123" s="26" t="n"/>
    </row>
    <row r="124">
      <c r="A124" s="33" t="n"/>
      <c r="B124" s="33">
        <f>IFERROR(IF(A124="","",VLOOKUP(A124,DATABASE!A:B,2,0)),"")</f>
        <v/>
      </c>
      <c r="C124" s="34">
        <f>IFERROR(IF(A124="","",VLOOKUP(A124,DATABASE!A:J,10,0)),"")</f>
        <v/>
      </c>
      <c r="D124" s="35">
        <f>IF(A124="","",TODAY())</f>
        <v/>
      </c>
      <c r="E124" s="34" t="n"/>
      <c r="F124" s="34">
        <f>IFERROR(IF(OR(A124="",E124=""),"",C124+E124),"")</f>
        <v/>
      </c>
      <c r="G124" s="33" t="n"/>
      <c r="H124" s="33" t="n"/>
    </row>
    <row r="125">
      <c r="A125" s="26" t="n"/>
      <c r="B125" s="26">
        <f>IFERROR(IF(A125="","",VLOOKUP(A125,DATABASE!A:B,2,0)),"")</f>
        <v/>
      </c>
      <c r="C125" s="30">
        <f>IFERROR(IF(A125="","",VLOOKUP(A125,DATABASE!A:J,10,0)),"")</f>
        <v/>
      </c>
      <c r="D125" s="31">
        <f>IF(A125="","",TODAY())</f>
        <v/>
      </c>
      <c r="E125" s="30" t="n"/>
      <c r="F125" s="30">
        <f>IFERROR(IF(OR(A125="",E125=""),"",C125+E125),"")</f>
        <v/>
      </c>
      <c r="G125" s="26" t="n"/>
      <c r="H125" s="26" t="n"/>
    </row>
    <row r="126">
      <c r="A126" s="33" t="n"/>
      <c r="B126" s="33">
        <f>IFERROR(IF(A126="","",VLOOKUP(A126,DATABASE!A:B,2,0)),"")</f>
        <v/>
      </c>
      <c r="C126" s="34">
        <f>IFERROR(IF(A126="","",VLOOKUP(A126,DATABASE!A:J,10,0)),"")</f>
        <v/>
      </c>
      <c r="D126" s="35">
        <f>IF(A126="","",TODAY())</f>
        <v/>
      </c>
      <c r="E126" s="34" t="n"/>
      <c r="F126" s="34">
        <f>IFERROR(IF(OR(A126="",E126=""),"",C126+E126),"")</f>
        <v/>
      </c>
      <c r="G126" s="33" t="n"/>
      <c r="H126" s="33" t="n"/>
    </row>
    <row r="127">
      <c r="A127" s="26" t="n"/>
      <c r="B127" s="26">
        <f>IFERROR(IF(A127="","",VLOOKUP(A127,DATABASE!A:B,2,0)),"")</f>
        <v/>
      </c>
      <c r="C127" s="30">
        <f>IFERROR(IF(A127="","",VLOOKUP(A127,DATABASE!A:J,10,0)),"")</f>
        <v/>
      </c>
      <c r="D127" s="31">
        <f>IF(A127="","",TODAY())</f>
        <v/>
      </c>
      <c r="E127" s="30" t="n"/>
      <c r="F127" s="30">
        <f>IFERROR(IF(OR(A127="",E127=""),"",C127+E127),"")</f>
        <v/>
      </c>
      <c r="G127" s="26" t="n"/>
      <c r="H127" s="26" t="n"/>
    </row>
    <row r="128">
      <c r="A128" s="33" t="n"/>
      <c r="B128" s="33">
        <f>IFERROR(IF(A128="","",VLOOKUP(A128,DATABASE!A:B,2,0)),"")</f>
        <v/>
      </c>
      <c r="C128" s="34">
        <f>IFERROR(IF(A128="","",VLOOKUP(A128,DATABASE!A:J,10,0)),"")</f>
        <v/>
      </c>
      <c r="D128" s="35">
        <f>IF(A128="","",TODAY())</f>
        <v/>
      </c>
      <c r="E128" s="34" t="n"/>
      <c r="F128" s="34">
        <f>IFERROR(IF(OR(A128="",E128=""),"",C128+E128),"")</f>
        <v/>
      </c>
      <c r="G128" s="33" t="n"/>
      <c r="H128" s="33" t="n"/>
    </row>
    <row r="129">
      <c r="A129" s="26" t="n"/>
      <c r="B129" s="26">
        <f>IFERROR(IF(A129="","",VLOOKUP(A129,DATABASE!A:B,2,0)),"")</f>
        <v/>
      </c>
      <c r="C129" s="30">
        <f>IFERROR(IF(A129="","",VLOOKUP(A129,DATABASE!A:J,10,0)),"")</f>
        <v/>
      </c>
      <c r="D129" s="31">
        <f>IF(A129="","",TODAY())</f>
        <v/>
      </c>
      <c r="E129" s="30" t="n"/>
      <c r="F129" s="30">
        <f>IFERROR(IF(OR(A129="",E129=""),"",C129+E129),"")</f>
        <v/>
      </c>
      <c r="G129" s="26" t="n"/>
      <c r="H129" s="26" t="n"/>
    </row>
    <row r="130">
      <c r="A130" s="33" t="n"/>
      <c r="B130" s="33">
        <f>IFERROR(IF(A130="","",VLOOKUP(A130,DATABASE!A:B,2,0)),"")</f>
        <v/>
      </c>
      <c r="C130" s="34">
        <f>IFERROR(IF(A130="","",VLOOKUP(A130,DATABASE!A:J,10,0)),"")</f>
        <v/>
      </c>
      <c r="D130" s="35">
        <f>IF(A130="","",TODAY())</f>
        <v/>
      </c>
      <c r="E130" s="34" t="n"/>
      <c r="F130" s="34">
        <f>IFERROR(IF(OR(A130="",E130=""),"",C130+E130),"")</f>
        <v/>
      </c>
      <c r="G130" s="33" t="n"/>
      <c r="H130" s="33" t="n"/>
    </row>
    <row r="131">
      <c r="A131" s="26" t="n"/>
      <c r="B131" s="26">
        <f>IFERROR(IF(A131="","",VLOOKUP(A131,DATABASE!A:B,2,0)),"")</f>
        <v/>
      </c>
      <c r="C131" s="30">
        <f>IFERROR(IF(A131="","",VLOOKUP(A131,DATABASE!A:J,10,0)),"")</f>
        <v/>
      </c>
      <c r="D131" s="31">
        <f>IF(A131="","",TODAY())</f>
        <v/>
      </c>
      <c r="E131" s="30" t="n"/>
      <c r="F131" s="30">
        <f>IFERROR(IF(OR(A131="",E131=""),"",C131+E131),"")</f>
        <v/>
      </c>
      <c r="G131" s="26" t="n"/>
      <c r="H131" s="26" t="n"/>
    </row>
    <row r="132">
      <c r="A132" s="33" t="n"/>
      <c r="B132" s="33">
        <f>IFERROR(IF(A132="","",VLOOKUP(A132,DATABASE!A:B,2,0)),"")</f>
        <v/>
      </c>
      <c r="C132" s="34">
        <f>IFERROR(IF(A132="","",VLOOKUP(A132,DATABASE!A:J,10,0)),"")</f>
        <v/>
      </c>
      <c r="D132" s="35">
        <f>IF(A132="","",TODAY())</f>
        <v/>
      </c>
      <c r="E132" s="34" t="n"/>
      <c r="F132" s="34">
        <f>IFERROR(IF(OR(A132="",E132=""),"",C132+E132),"")</f>
        <v/>
      </c>
      <c r="G132" s="33" t="n"/>
      <c r="H132" s="33" t="n"/>
    </row>
    <row r="133">
      <c r="A133" s="26" t="n"/>
      <c r="B133" s="26">
        <f>IFERROR(IF(A133="","",VLOOKUP(A133,DATABASE!A:B,2,0)),"")</f>
        <v/>
      </c>
      <c r="C133" s="30">
        <f>IFERROR(IF(A133="","",VLOOKUP(A133,DATABASE!A:J,10,0)),"")</f>
        <v/>
      </c>
      <c r="D133" s="31">
        <f>IF(A133="","",TODAY())</f>
        <v/>
      </c>
      <c r="E133" s="30" t="n"/>
      <c r="F133" s="30">
        <f>IFERROR(IF(OR(A133="",E133=""),"",C133+E133),"")</f>
        <v/>
      </c>
      <c r="G133" s="26" t="n"/>
      <c r="H133" s="26" t="n"/>
    </row>
    <row r="134">
      <c r="A134" s="33" t="n"/>
      <c r="B134" s="33">
        <f>IFERROR(IF(A134="","",VLOOKUP(A134,DATABASE!A:B,2,0)),"")</f>
        <v/>
      </c>
      <c r="C134" s="34">
        <f>IFERROR(IF(A134="","",VLOOKUP(A134,DATABASE!A:J,10,0)),"")</f>
        <v/>
      </c>
      <c r="D134" s="35">
        <f>IF(A134="","",TODAY())</f>
        <v/>
      </c>
      <c r="E134" s="34" t="n"/>
      <c r="F134" s="34">
        <f>IFERROR(IF(OR(A134="",E134=""),"",C134+E134),"")</f>
        <v/>
      </c>
      <c r="G134" s="33" t="n"/>
      <c r="H134" s="33" t="n"/>
    </row>
    <row r="135">
      <c r="A135" s="26" t="n"/>
      <c r="B135" s="26">
        <f>IFERROR(IF(A135="","",VLOOKUP(A135,DATABASE!A:B,2,0)),"")</f>
        <v/>
      </c>
      <c r="C135" s="30">
        <f>IFERROR(IF(A135="","",VLOOKUP(A135,DATABASE!A:J,10,0)),"")</f>
        <v/>
      </c>
      <c r="D135" s="31">
        <f>IF(A135="","",TODAY())</f>
        <v/>
      </c>
      <c r="E135" s="30" t="n"/>
      <c r="F135" s="30">
        <f>IFERROR(IF(OR(A135="",E135=""),"",C135+E135),"")</f>
        <v/>
      </c>
      <c r="G135" s="26" t="n"/>
      <c r="H135" s="26" t="n"/>
    </row>
    <row r="136">
      <c r="A136" s="33" t="n"/>
      <c r="B136" s="33">
        <f>IFERROR(IF(A136="","",VLOOKUP(A136,DATABASE!A:B,2,0)),"")</f>
        <v/>
      </c>
      <c r="C136" s="34">
        <f>IFERROR(IF(A136="","",VLOOKUP(A136,DATABASE!A:J,10,0)),"")</f>
        <v/>
      </c>
      <c r="D136" s="35">
        <f>IF(A136="","",TODAY())</f>
        <v/>
      </c>
      <c r="E136" s="34" t="n"/>
      <c r="F136" s="34">
        <f>IFERROR(IF(OR(A136="",E136=""),"",C136+E136),"")</f>
        <v/>
      </c>
      <c r="G136" s="33" t="n"/>
      <c r="H136" s="33" t="n"/>
    </row>
    <row r="137">
      <c r="A137" s="26" t="n"/>
      <c r="B137" s="26">
        <f>IFERROR(IF(A137="","",VLOOKUP(A137,DATABASE!A:B,2,0)),"")</f>
        <v/>
      </c>
      <c r="C137" s="30">
        <f>IFERROR(IF(A137="","",VLOOKUP(A137,DATABASE!A:J,10,0)),"")</f>
        <v/>
      </c>
      <c r="D137" s="31">
        <f>IF(A137="","",TODAY())</f>
        <v/>
      </c>
      <c r="E137" s="30" t="n"/>
      <c r="F137" s="30">
        <f>IFERROR(IF(OR(A137="",E137=""),"",C137+E137),"")</f>
        <v/>
      </c>
      <c r="G137" s="26" t="n"/>
      <c r="H137" s="26" t="n"/>
    </row>
    <row r="138">
      <c r="A138" s="33" t="n"/>
      <c r="B138" s="33">
        <f>IFERROR(IF(A138="","",VLOOKUP(A138,DATABASE!A:B,2,0)),"")</f>
        <v/>
      </c>
      <c r="C138" s="34">
        <f>IFERROR(IF(A138="","",VLOOKUP(A138,DATABASE!A:J,10,0)),"")</f>
        <v/>
      </c>
      <c r="D138" s="35">
        <f>IF(A138="","",TODAY())</f>
        <v/>
      </c>
      <c r="E138" s="34" t="n"/>
      <c r="F138" s="34">
        <f>IFERROR(IF(OR(A138="",E138=""),"",C138+E138),"")</f>
        <v/>
      </c>
      <c r="G138" s="33" t="n"/>
      <c r="H138" s="33" t="n"/>
    </row>
    <row r="139">
      <c r="A139" s="26" t="n"/>
      <c r="B139" s="26">
        <f>IFERROR(IF(A139="","",VLOOKUP(A139,DATABASE!A:B,2,0)),"")</f>
        <v/>
      </c>
      <c r="C139" s="30">
        <f>IFERROR(IF(A139="","",VLOOKUP(A139,DATABASE!A:J,10,0)),"")</f>
        <v/>
      </c>
      <c r="D139" s="31">
        <f>IF(A139="","",TODAY())</f>
        <v/>
      </c>
      <c r="E139" s="30" t="n"/>
      <c r="F139" s="30">
        <f>IFERROR(IF(OR(A139="",E139=""),"",C139+E139),"")</f>
        <v/>
      </c>
      <c r="G139" s="26" t="n"/>
      <c r="H139" s="26" t="n"/>
    </row>
    <row r="140">
      <c r="A140" s="33" t="n"/>
      <c r="B140" s="33">
        <f>IFERROR(IF(A140="","",VLOOKUP(A140,DATABASE!A:B,2,0)),"")</f>
        <v/>
      </c>
      <c r="C140" s="34">
        <f>IFERROR(IF(A140="","",VLOOKUP(A140,DATABASE!A:J,10,0)),"")</f>
        <v/>
      </c>
      <c r="D140" s="35">
        <f>IF(A140="","",TODAY())</f>
        <v/>
      </c>
      <c r="E140" s="34" t="n"/>
      <c r="F140" s="34">
        <f>IFERROR(IF(OR(A140="",E140=""),"",C140+E140),"")</f>
        <v/>
      </c>
      <c r="G140" s="33" t="n"/>
      <c r="H140" s="33" t="n"/>
    </row>
    <row r="141">
      <c r="A141" s="26" t="n"/>
      <c r="B141" s="26">
        <f>IFERROR(IF(A141="","",VLOOKUP(A141,DATABASE!A:B,2,0)),"")</f>
        <v/>
      </c>
      <c r="C141" s="30">
        <f>IFERROR(IF(A141="","",VLOOKUP(A141,DATABASE!A:J,10,0)),"")</f>
        <v/>
      </c>
      <c r="D141" s="31">
        <f>IF(A141="","",TODAY())</f>
        <v/>
      </c>
      <c r="E141" s="30" t="n"/>
      <c r="F141" s="30">
        <f>IFERROR(IF(OR(A141="",E141=""),"",C141+E141),"")</f>
        <v/>
      </c>
      <c r="G141" s="26" t="n"/>
      <c r="H141" s="26" t="n"/>
    </row>
    <row r="142">
      <c r="A142" s="33" t="n"/>
      <c r="B142" s="33">
        <f>IFERROR(IF(A142="","",VLOOKUP(A142,DATABASE!A:B,2,0)),"")</f>
        <v/>
      </c>
      <c r="C142" s="34">
        <f>IFERROR(IF(A142="","",VLOOKUP(A142,DATABASE!A:J,10,0)),"")</f>
        <v/>
      </c>
      <c r="D142" s="35">
        <f>IF(A142="","",TODAY())</f>
        <v/>
      </c>
      <c r="E142" s="34" t="n"/>
      <c r="F142" s="34">
        <f>IFERROR(IF(OR(A142="",E142=""),"",C142+E142),"")</f>
        <v/>
      </c>
      <c r="G142" s="33" t="n"/>
      <c r="H142" s="33" t="n"/>
    </row>
    <row r="143">
      <c r="A143" s="26" t="n"/>
      <c r="B143" s="26">
        <f>IFERROR(IF(A143="","",VLOOKUP(A143,DATABASE!A:B,2,0)),"")</f>
        <v/>
      </c>
      <c r="C143" s="30">
        <f>IFERROR(IF(A143="","",VLOOKUP(A143,DATABASE!A:J,10,0)),"")</f>
        <v/>
      </c>
      <c r="D143" s="31">
        <f>IF(A143="","",TODAY())</f>
        <v/>
      </c>
      <c r="E143" s="30" t="n"/>
      <c r="F143" s="30">
        <f>IFERROR(IF(OR(A143="",E143=""),"",C143+E143),"")</f>
        <v/>
      </c>
      <c r="G143" s="26" t="n"/>
      <c r="H143" s="26" t="n"/>
    </row>
    <row r="144">
      <c r="A144" s="33" t="n"/>
      <c r="B144" s="33">
        <f>IFERROR(IF(A144="","",VLOOKUP(A144,DATABASE!A:B,2,0)),"")</f>
        <v/>
      </c>
      <c r="C144" s="34">
        <f>IFERROR(IF(A144="","",VLOOKUP(A144,DATABASE!A:J,10,0)),"")</f>
        <v/>
      </c>
      <c r="D144" s="35">
        <f>IF(A144="","",TODAY())</f>
        <v/>
      </c>
      <c r="E144" s="34" t="n"/>
      <c r="F144" s="34">
        <f>IFERROR(IF(OR(A144="",E144=""),"",C144+E144),"")</f>
        <v/>
      </c>
      <c r="G144" s="33" t="n"/>
      <c r="H144" s="33" t="n"/>
    </row>
    <row r="145">
      <c r="A145" s="26" t="n"/>
      <c r="B145" s="26">
        <f>IFERROR(IF(A145="","",VLOOKUP(A145,DATABASE!A:B,2,0)),"")</f>
        <v/>
      </c>
      <c r="C145" s="30">
        <f>IFERROR(IF(A145="","",VLOOKUP(A145,DATABASE!A:J,10,0)),"")</f>
        <v/>
      </c>
      <c r="D145" s="31">
        <f>IF(A145="","",TODAY())</f>
        <v/>
      </c>
      <c r="E145" s="30" t="n"/>
      <c r="F145" s="30">
        <f>IFERROR(IF(OR(A145="",E145=""),"",C145+E145),"")</f>
        <v/>
      </c>
      <c r="G145" s="26" t="n"/>
      <c r="H145" s="26" t="n"/>
    </row>
    <row r="146">
      <c r="A146" s="33" t="n"/>
      <c r="B146" s="33">
        <f>IFERROR(IF(A146="","",VLOOKUP(A146,DATABASE!A:B,2,0)),"")</f>
        <v/>
      </c>
      <c r="C146" s="34">
        <f>IFERROR(IF(A146="","",VLOOKUP(A146,DATABASE!A:J,10,0)),"")</f>
        <v/>
      </c>
      <c r="D146" s="35">
        <f>IF(A146="","",TODAY())</f>
        <v/>
      </c>
      <c r="E146" s="34" t="n"/>
      <c r="F146" s="34">
        <f>IFERROR(IF(OR(A146="",E146=""),"",C146+E146),"")</f>
        <v/>
      </c>
      <c r="G146" s="33" t="n"/>
      <c r="H146" s="33" t="n"/>
    </row>
    <row r="147">
      <c r="A147" s="26" t="n"/>
      <c r="B147" s="26">
        <f>IFERROR(IF(A147="","",VLOOKUP(A147,DATABASE!A:B,2,0)),"")</f>
        <v/>
      </c>
      <c r="C147" s="30">
        <f>IFERROR(IF(A147="","",VLOOKUP(A147,DATABASE!A:J,10,0)),"")</f>
        <v/>
      </c>
      <c r="D147" s="31">
        <f>IF(A147="","",TODAY())</f>
        <v/>
      </c>
      <c r="E147" s="30" t="n"/>
      <c r="F147" s="30">
        <f>IFERROR(IF(OR(A147="",E147=""),"",C147+E147),"")</f>
        <v/>
      </c>
      <c r="G147" s="26" t="n"/>
      <c r="H147" s="26" t="n"/>
    </row>
    <row r="148">
      <c r="A148" s="33" t="n"/>
      <c r="B148" s="33">
        <f>IFERROR(IF(A148="","",VLOOKUP(A148,DATABASE!A:B,2,0)),"")</f>
        <v/>
      </c>
      <c r="C148" s="34">
        <f>IFERROR(IF(A148="","",VLOOKUP(A148,DATABASE!A:J,10,0)),"")</f>
        <v/>
      </c>
      <c r="D148" s="35">
        <f>IF(A148="","",TODAY())</f>
        <v/>
      </c>
      <c r="E148" s="34" t="n"/>
      <c r="F148" s="34">
        <f>IFERROR(IF(OR(A148="",E148=""),"",C148+E148),"")</f>
        <v/>
      </c>
      <c r="G148" s="33" t="n"/>
      <c r="H148" s="33" t="n"/>
    </row>
    <row r="149">
      <c r="A149" s="26" t="n"/>
      <c r="B149" s="26">
        <f>IFERROR(IF(A149="","",VLOOKUP(A149,DATABASE!A:B,2,0)),"")</f>
        <v/>
      </c>
      <c r="C149" s="30">
        <f>IFERROR(IF(A149="","",VLOOKUP(A149,DATABASE!A:J,10,0)),"")</f>
        <v/>
      </c>
      <c r="D149" s="31">
        <f>IF(A149="","",TODAY())</f>
        <v/>
      </c>
      <c r="E149" s="30" t="n"/>
      <c r="F149" s="30">
        <f>IFERROR(IF(OR(A149="",E149=""),"",C149+E149),"")</f>
        <v/>
      </c>
      <c r="G149" s="26" t="n"/>
      <c r="H149" s="26" t="n"/>
    </row>
    <row r="150">
      <c r="A150" s="33" t="n"/>
      <c r="B150" s="33">
        <f>IFERROR(IF(A150="","",VLOOKUP(A150,DATABASE!A:B,2,0)),"")</f>
        <v/>
      </c>
      <c r="C150" s="34">
        <f>IFERROR(IF(A150="","",VLOOKUP(A150,DATABASE!A:J,10,0)),"")</f>
        <v/>
      </c>
      <c r="D150" s="35">
        <f>IF(A150="","",TODAY())</f>
        <v/>
      </c>
      <c r="E150" s="34" t="n"/>
      <c r="F150" s="34">
        <f>IFERROR(IF(OR(A150="",E150=""),"",C150+E150),"")</f>
        <v/>
      </c>
      <c r="G150" s="33" t="n"/>
      <c r="H150" s="33" t="n"/>
    </row>
    <row r="151">
      <c r="A151" s="26" t="n"/>
      <c r="B151" s="26">
        <f>IFERROR(IF(A151="","",VLOOKUP(A151,DATABASE!A:B,2,0)),"")</f>
        <v/>
      </c>
      <c r="C151" s="30">
        <f>IFERROR(IF(A151="","",VLOOKUP(A151,DATABASE!A:J,10,0)),"")</f>
        <v/>
      </c>
      <c r="D151" s="31">
        <f>IF(A151="","",TODAY())</f>
        <v/>
      </c>
      <c r="E151" s="30" t="n"/>
      <c r="F151" s="30">
        <f>IFERROR(IF(OR(A151="",E151=""),"",C151+E151),"")</f>
        <v/>
      </c>
      <c r="G151" s="26" t="n"/>
      <c r="H151" s="26" t="n"/>
    </row>
    <row r="152">
      <c r="A152" s="33" t="n"/>
      <c r="B152" s="33">
        <f>IFERROR(IF(A152="","",VLOOKUP(A152,DATABASE!A:B,2,0)),"")</f>
        <v/>
      </c>
      <c r="C152" s="34">
        <f>IFERROR(IF(A152="","",VLOOKUP(A152,DATABASE!A:J,10,0)),"")</f>
        <v/>
      </c>
      <c r="D152" s="35">
        <f>IF(A152="","",TODAY())</f>
        <v/>
      </c>
      <c r="E152" s="34" t="n"/>
      <c r="F152" s="34">
        <f>IFERROR(IF(OR(A152="",E152=""),"",C152+E152),"")</f>
        <v/>
      </c>
      <c r="G152" s="33" t="n"/>
      <c r="H152" s="33" t="n"/>
    </row>
    <row r="153">
      <c r="A153" s="26" t="n"/>
      <c r="B153" s="26">
        <f>IFERROR(IF(A153="","",VLOOKUP(A153,DATABASE!A:B,2,0)),"")</f>
        <v/>
      </c>
      <c r="C153" s="30">
        <f>IFERROR(IF(A153="","",VLOOKUP(A153,DATABASE!A:J,10,0)),"")</f>
        <v/>
      </c>
      <c r="D153" s="31">
        <f>IF(A153="","",TODAY())</f>
        <v/>
      </c>
      <c r="E153" s="30" t="n"/>
      <c r="F153" s="30">
        <f>IFERROR(IF(OR(A153="",E153=""),"",C153+E153),"")</f>
        <v/>
      </c>
      <c r="G153" s="26" t="n"/>
      <c r="H153" s="26" t="n"/>
    </row>
    <row r="154">
      <c r="A154" s="33" t="n"/>
      <c r="B154" s="33">
        <f>IFERROR(IF(A154="","",VLOOKUP(A154,DATABASE!A:B,2,0)),"")</f>
        <v/>
      </c>
      <c r="C154" s="34">
        <f>IFERROR(IF(A154="","",VLOOKUP(A154,DATABASE!A:J,10,0)),"")</f>
        <v/>
      </c>
      <c r="D154" s="35">
        <f>IF(A154="","",TODAY())</f>
        <v/>
      </c>
      <c r="E154" s="34" t="n"/>
      <c r="F154" s="34">
        <f>IFERROR(IF(OR(A154="",E154=""),"",C154+E154),"")</f>
        <v/>
      </c>
      <c r="G154" s="33" t="n"/>
      <c r="H154" s="33" t="n"/>
    </row>
    <row r="155">
      <c r="A155" s="26" t="n"/>
      <c r="B155" s="26">
        <f>IFERROR(IF(A155="","",VLOOKUP(A155,DATABASE!A:B,2,0)),"")</f>
        <v/>
      </c>
      <c r="C155" s="30">
        <f>IFERROR(IF(A155="","",VLOOKUP(A155,DATABASE!A:J,10,0)),"")</f>
        <v/>
      </c>
      <c r="D155" s="31">
        <f>IF(A155="","",TODAY())</f>
        <v/>
      </c>
      <c r="E155" s="30" t="n"/>
      <c r="F155" s="30">
        <f>IFERROR(IF(OR(A155="",E155=""),"",C155+E155),"")</f>
        <v/>
      </c>
      <c r="G155" s="26" t="n"/>
      <c r="H155" s="26" t="n"/>
    </row>
    <row r="156">
      <c r="A156" s="33" t="n"/>
      <c r="B156" s="33">
        <f>IFERROR(IF(A156="","",VLOOKUP(A156,DATABASE!A:B,2,0)),"")</f>
        <v/>
      </c>
      <c r="C156" s="34">
        <f>IFERROR(IF(A156="","",VLOOKUP(A156,DATABASE!A:J,10,0)),"")</f>
        <v/>
      </c>
      <c r="D156" s="35">
        <f>IF(A156="","",TODAY())</f>
        <v/>
      </c>
      <c r="E156" s="34" t="n"/>
      <c r="F156" s="34">
        <f>IFERROR(IF(OR(A156="",E156=""),"",C156+E156),"")</f>
        <v/>
      </c>
      <c r="G156" s="33" t="n"/>
      <c r="H156" s="33" t="n"/>
    </row>
    <row r="157">
      <c r="A157" s="26" t="n"/>
      <c r="B157" s="26">
        <f>IFERROR(IF(A157="","",VLOOKUP(A157,DATABASE!A:B,2,0)),"")</f>
        <v/>
      </c>
      <c r="C157" s="30">
        <f>IFERROR(IF(A157="","",VLOOKUP(A157,DATABASE!A:J,10,0)),"")</f>
        <v/>
      </c>
      <c r="D157" s="31">
        <f>IF(A157="","",TODAY())</f>
        <v/>
      </c>
      <c r="E157" s="30" t="n"/>
      <c r="F157" s="30">
        <f>IFERROR(IF(OR(A157="",E157=""),"",C157+E157),"")</f>
        <v/>
      </c>
      <c r="G157" s="26" t="n"/>
      <c r="H157" s="26" t="n"/>
    </row>
    <row r="158">
      <c r="A158" s="33" t="n"/>
      <c r="B158" s="33">
        <f>IFERROR(IF(A158="","",VLOOKUP(A158,DATABASE!A:B,2,0)),"")</f>
        <v/>
      </c>
      <c r="C158" s="34">
        <f>IFERROR(IF(A158="","",VLOOKUP(A158,DATABASE!A:J,10,0)),"")</f>
        <v/>
      </c>
      <c r="D158" s="35">
        <f>IF(A158="","",TODAY())</f>
        <v/>
      </c>
      <c r="E158" s="34" t="n"/>
      <c r="F158" s="34">
        <f>IFERROR(IF(OR(A158="",E158=""),"",C158+E158),"")</f>
        <v/>
      </c>
      <c r="G158" s="33" t="n"/>
      <c r="H158" s="33" t="n"/>
    </row>
    <row r="159">
      <c r="A159" s="26" t="n"/>
      <c r="B159" s="26">
        <f>IFERROR(IF(A159="","",VLOOKUP(A159,DATABASE!A:B,2,0)),"")</f>
        <v/>
      </c>
      <c r="C159" s="30">
        <f>IFERROR(IF(A159="","",VLOOKUP(A159,DATABASE!A:J,10,0)),"")</f>
        <v/>
      </c>
      <c r="D159" s="31">
        <f>IF(A159="","",TODAY())</f>
        <v/>
      </c>
      <c r="E159" s="30" t="n"/>
      <c r="F159" s="30">
        <f>IFERROR(IF(OR(A159="",E159=""),"",C159+E159),"")</f>
        <v/>
      </c>
      <c r="G159" s="26" t="n"/>
      <c r="H159" s="26" t="n"/>
    </row>
    <row r="160">
      <c r="A160" s="33" t="n"/>
      <c r="B160" s="33">
        <f>IFERROR(IF(A160="","",VLOOKUP(A160,DATABASE!A:B,2,0)),"")</f>
        <v/>
      </c>
      <c r="C160" s="34">
        <f>IFERROR(IF(A160="","",VLOOKUP(A160,DATABASE!A:J,10,0)),"")</f>
        <v/>
      </c>
      <c r="D160" s="35">
        <f>IF(A160="","",TODAY())</f>
        <v/>
      </c>
      <c r="E160" s="34" t="n"/>
      <c r="F160" s="34">
        <f>IFERROR(IF(OR(A160="",E160=""),"",C160+E160),"")</f>
        <v/>
      </c>
      <c r="G160" s="33" t="n"/>
      <c r="H160" s="33" t="n"/>
    </row>
    <row r="161">
      <c r="A161" s="26" t="n"/>
      <c r="B161" s="26">
        <f>IFERROR(IF(A161="","",VLOOKUP(A161,DATABASE!A:B,2,0)),"")</f>
        <v/>
      </c>
      <c r="C161" s="30">
        <f>IFERROR(IF(A161="","",VLOOKUP(A161,DATABASE!A:J,10,0)),"")</f>
        <v/>
      </c>
      <c r="D161" s="31">
        <f>IF(A161="","",TODAY())</f>
        <v/>
      </c>
      <c r="E161" s="30" t="n"/>
      <c r="F161" s="30">
        <f>IFERROR(IF(OR(A161="",E161=""),"",C161+E161),"")</f>
        <v/>
      </c>
      <c r="G161" s="26" t="n"/>
      <c r="H161" s="26" t="n"/>
    </row>
    <row r="162">
      <c r="A162" s="33" t="n"/>
      <c r="B162" s="33">
        <f>IFERROR(IF(A162="","",VLOOKUP(A162,DATABASE!A:B,2,0)),"")</f>
        <v/>
      </c>
      <c r="C162" s="34">
        <f>IFERROR(IF(A162="","",VLOOKUP(A162,DATABASE!A:J,10,0)),"")</f>
        <v/>
      </c>
      <c r="D162" s="35">
        <f>IF(A162="","",TODAY())</f>
        <v/>
      </c>
      <c r="E162" s="34" t="n"/>
      <c r="F162" s="34">
        <f>IFERROR(IF(OR(A162="",E162=""),"",C162+E162),"")</f>
        <v/>
      </c>
      <c r="G162" s="33" t="n"/>
      <c r="H162" s="33" t="n"/>
    </row>
    <row r="163">
      <c r="A163" s="26" t="n"/>
      <c r="B163" s="26">
        <f>IFERROR(IF(A163="","",VLOOKUP(A163,DATABASE!A:B,2,0)),"")</f>
        <v/>
      </c>
      <c r="C163" s="30">
        <f>IFERROR(IF(A163="","",VLOOKUP(A163,DATABASE!A:J,10,0)),"")</f>
        <v/>
      </c>
      <c r="D163" s="31">
        <f>IF(A163="","",TODAY())</f>
        <v/>
      </c>
      <c r="E163" s="30" t="n"/>
      <c r="F163" s="30">
        <f>IFERROR(IF(OR(A163="",E163=""),"",C163+E163),"")</f>
        <v/>
      </c>
      <c r="G163" s="26" t="n"/>
      <c r="H163" s="26" t="n"/>
    </row>
    <row r="164">
      <c r="A164" s="33" t="n"/>
      <c r="B164" s="33">
        <f>IFERROR(IF(A164="","",VLOOKUP(A164,DATABASE!A:B,2,0)),"")</f>
        <v/>
      </c>
      <c r="C164" s="34">
        <f>IFERROR(IF(A164="","",VLOOKUP(A164,DATABASE!A:J,10,0)),"")</f>
        <v/>
      </c>
      <c r="D164" s="35">
        <f>IF(A164="","",TODAY())</f>
        <v/>
      </c>
      <c r="E164" s="34" t="n"/>
      <c r="F164" s="34">
        <f>IFERROR(IF(OR(A164="",E164=""),"",C164+E164),"")</f>
        <v/>
      </c>
      <c r="G164" s="33" t="n"/>
      <c r="H164" s="33" t="n"/>
    </row>
    <row r="165">
      <c r="A165" s="26" t="n"/>
      <c r="B165" s="26">
        <f>IFERROR(IF(A165="","",VLOOKUP(A165,DATABASE!A:B,2,0)),"")</f>
        <v/>
      </c>
      <c r="C165" s="30">
        <f>IFERROR(IF(A165="","",VLOOKUP(A165,DATABASE!A:J,10,0)),"")</f>
        <v/>
      </c>
      <c r="D165" s="31">
        <f>IF(A165="","",TODAY())</f>
        <v/>
      </c>
      <c r="E165" s="30" t="n"/>
      <c r="F165" s="30">
        <f>IFERROR(IF(OR(A165="",E165=""),"",C165+E165),"")</f>
        <v/>
      </c>
      <c r="G165" s="26" t="n"/>
      <c r="H165" s="26" t="n"/>
    </row>
    <row r="166">
      <c r="A166" s="33" t="n"/>
      <c r="B166" s="33">
        <f>IFERROR(IF(A166="","",VLOOKUP(A166,DATABASE!A:B,2,0)),"")</f>
        <v/>
      </c>
      <c r="C166" s="34">
        <f>IFERROR(IF(A166="","",VLOOKUP(A166,DATABASE!A:J,10,0)),"")</f>
        <v/>
      </c>
      <c r="D166" s="35">
        <f>IF(A166="","",TODAY())</f>
        <v/>
      </c>
      <c r="E166" s="34" t="n"/>
      <c r="F166" s="34">
        <f>IFERROR(IF(OR(A166="",E166=""),"",C166+E166),"")</f>
        <v/>
      </c>
      <c r="G166" s="33" t="n"/>
      <c r="H166" s="33" t="n"/>
    </row>
    <row r="167">
      <c r="A167" s="26" t="n"/>
      <c r="B167" s="26">
        <f>IFERROR(IF(A167="","",VLOOKUP(A167,DATABASE!A:B,2,0)),"")</f>
        <v/>
      </c>
      <c r="C167" s="30">
        <f>IFERROR(IF(A167="","",VLOOKUP(A167,DATABASE!A:J,10,0)),"")</f>
        <v/>
      </c>
      <c r="D167" s="31">
        <f>IF(A167="","",TODAY())</f>
        <v/>
      </c>
      <c r="E167" s="30" t="n"/>
      <c r="F167" s="30">
        <f>IFERROR(IF(OR(A167="",E167=""),"",C167+E167),"")</f>
        <v/>
      </c>
      <c r="G167" s="26" t="n"/>
      <c r="H167" s="26" t="n"/>
    </row>
    <row r="168">
      <c r="A168" s="33" t="n"/>
      <c r="B168" s="33">
        <f>IFERROR(IF(A168="","",VLOOKUP(A168,DATABASE!A:B,2,0)),"")</f>
        <v/>
      </c>
      <c r="C168" s="34">
        <f>IFERROR(IF(A168="","",VLOOKUP(A168,DATABASE!A:J,10,0)),"")</f>
        <v/>
      </c>
      <c r="D168" s="35">
        <f>IF(A168="","",TODAY())</f>
        <v/>
      </c>
      <c r="E168" s="34" t="n"/>
      <c r="F168" s="34">
        <f>IFERROR(IF(OR(A168="",E168=""),"",C168+E168),"")</f>
        <v/>
      </c>
      <c r="G168" s="33" t="n"/>
      <c r="H168" s="33" t="n"/>
    </row>
    <row r="169">
      <c r="A169" s="26" t="n"/>
      <c r="B169" s="26">
        <f>IFERROR(IF(A169="","",VLOOKUP(A169,DATABASE!A:B,2,0)),"")</f>
        <v/>
      </c>
      <c r="C169" s="30">
        <f>IFERROR(IF(A169="","",VLOOKUP(A169,DATABASE!A:J,10,0)),"")</f>
        <v/>
      </c>
      <c r="D169" s="31">
        <f>IF(A169="","",TODAY())</f>
        <v/>
      </c>
      <c r="E169" s="30" t="n"/>
      <c r="F169" s="30">
        <f>IFERROR(IF(OR(A169="",E169=""),"",C169+E169),"")</f>
        <v/>
      </c>
      <c r="G169" s="26" t="n"/>
      <c r="H169" s="26" t="n"/>
    </row>
    <row r="170">
      <c r="A170" s="33" t="n"/>
      <c r="B170" s="33">
        <f>IFERROR(IF(A170="","",VLOOKUP(A170,DATABASE!A:B,2,0)),"")</f>
        <v/>
      </c>
      <c r="C170" s="34">
        <f>IFERROR(IF(A170="","",VLOOKUP(A170,DATABASE!A:J,10,0)),"")</f>
        <v/>
      </c>
      <c r="D170" s="35">
        <f>IF(A170="","",TODAY())</f>
        <v/>
      </c>
      <c r="E170" s="34" t="n"/>
      <c r="F170" s="34">
        <f>IFERROR(IF(OR(A170="",E170=""),"",C170+E170),"")</f>
        <v/>
      </c>
      <c r="G170" s="33" t="n"/>
      <c r="H170" s="33" t="n"/>
    </row>
    <row r="171">
      <c r="A171" s="26" t="n"/>
      <c r="B171" s="26">
        <f>IFERROR(IF(A171="","",VLOOKUP(A171,DATABASE!A:B,2,0)),"")</f>
        <v/>
      </c>
      <c r="C171" s="30">
        <f>IFERROR(IF(A171="","",VLOOKUP(A171,DATABASE!A:J,10,0)),"")</f>
        <v/>
      </c>
      <c r="D171" s="31">
        <f>IF(A171="","",TODAY())</f>
        <v/>
      </c>
      <c r="E171" s="30" t="n"/>
      <c r="F171" s="30">
        <f>IFERROR(IF(OR(A171="",E171=""),"",C171+E171),"")</f>
        <v/>
      </c>
      <c r="G171" s="26" t="n"/>
      <c r="H171" s="26" t="n"/>
    </row>
    <row r="172">
      <c r="A172" s="33" t="n"/>
      <c r="B172" s="33">
        <f>IFERROR(IF(A172="","",VLOOKUP(A172,DATABASE!A:B,2,0)),"")</f>
        <v/>
      </c>
      <c r="C172" s="34">
        <f>IFERROR(IF(A172="","",VLOOKUP(A172,DATABASE!A:J,10,0)),"")</f>
        <v/>
      </c>
      <c r="D172" s="35">
        <f>IF(A172="","",TODAY())</f>
        <v/>
      </c>
      <c r="E172" s="34" t="n"/>
      <c r="F172" s="34">
        <f>IFERROR(IF(OR(A172="",E172=""),"",C172+E172),"")</f>
        <v/>
      </c>
      <c r="G172" s="33" t="n"/>
      <c r="H172" s="33" t="n"/>
    </row>
    <row r="173">
      <c r="A173" s="26" t="n"/>
      <c r="B173" s="26">
        <f>IFERROR(IF(A173="","",VLOOKUP(A173,DATABASE!A:B,2,0)),"")</f>
        <v/>
      </c>
      <c r="C173" s="30">
        <f>IFERROR(IF(A173="","",VLOOKUP(A173,DATABASE!A:J,10,0)),"")</f>
        <v/>
      </c>
      <c r="D173" s="31">
        <f>IF(A173="","",TODAY())</f>
        <v/>
      </c>
      <c r="E173" s="30" t="n"/>
      <c r="F173" s="30">
        <f>IFERROR(IF(OR(A173="",E173=""),"",C173+E173),"")</f>
        <v/>
      </c>
      <c r="G173" s="26" t="n"/>
      <c r="H173" s="26" t="n"/>
    </row>
    <row r="174">
      <c r="A174" s="33" t="n"/>
      <c r="B174" s="33">
        <f>IFERROR(IF(A174="","",VLOOKUP(A174,DATABASE!A:B,2,0)),"")</f>
        <v/>
      </c>
      <c r="C174" s="34">
        <f>IFERROR(IF(A174="","",VLOOKUP(A174,DATABASE!A:J,10,0)),"")</f>
        <v/>
      </c>
      <c r="D174" s="35">
        <f>IF(A174="","",TODAY())</f>
        <v/>
      </c>
      <c r="E174" s="34" t="n"/>
      <c r="F174" s="34">
        <f>IFERROR(IF(OR(A174="",E174=""),"",C174+E174),"")</f>
        <v/>
      </c>
      <c r="G174" s="33" t="n"/>
      <c r="H174" s="33" t="n"/>
    </row>
    <row r="175">
      <c r="A175" s="26" t="n"/>
      <c r="B175" s="26">
        <f>IFERROR(IF(A175="","",VLOOKUP(A175,DATABASE!A:B,2,0)),"")</f>
        <v/>
      </c>
      <c r="C175" s="30">
        <f>IFERROR(IF(A175="","",VLOOKUP(A175,DATABASE!A:J,10,0)),"")</f>
        <v/>
      </c>
      <c r="D175" s="31">
        <f>IF(A175="","",TODAY())</f>
        <v/>
      </c>
      <c r="E175" s="30" t="n"/>
      <c r="F175" s="30">
        <f>IFERROR(IF(OR(A175="",E175=""),"",C175+E175),"")</f>
        <v/>
      </c>
      <c r="G175" s="26" t="n"/>
      <c r="H175" s="26" t="n"/>
    </row>
    <row r="176">
      <c r="A176" s="33" t="n"/>
      <c r="B176" s="33">
        <f>IFERROR(IF(A176="","",VLOOKUP(A176,DATABASE!A:B,2,0)),"")</f>
        <v/>
      </c>
      <c r="C176" s="34">
        <f>IFERROR(IF(A176="","",VLOOKUP(A176,DATABASE!A:J,10,0)),"")</f>
        <v/>
      </c>
      <c r="D176" s="35">
        <f>IF(A176="","",TODAY())</f>
        <v/>
      </c>
      <c r="E176" s="34" t="n"/>
      <c r="F176" s="34">
        <f>IFERROR(IF(OR(A176="",E176=""),"",C176+E176),"")</f>
        <v/>
      </c>
      <c r="G176" s="33" t="n"/>
      <c r="H176" s="33" t="n"/>
    </row>
    <row r="177">
      <c r="A177" s="26" t="n"/>
      <c r="B177" s="26">
        <f>IFERROR(IF(A177="","",VLOOKUP(A177,DATABASE!A:B,2,0)),"")</f>
        <v/>
      </c>
      <c r="C177" s="30">
        <f>IFERROR(IF(A177="","",VLOOKUP(A177,DATABASE!A:J,10,0)),"")</f>
        <v/>
      </c>
      <c r="D177" s="31">
        <f>IF(A177="","",TODAY())</f>
        <v/>
      </c>
      <c r="E177" s="30" t="n"/>
      <c r="F177" s="30">
        <f>IFERROR(IF(OR(A177="",E177=""),"",C177+E177),"")</f>
        <v/>
      </c>
      <c r="G177" s="26" t="n"/>
      <c r="H177" s="26" t="n"/>
    </row>
    <row r="178">
      <c r="A178" s="33" t="n"/>
      <c r="B178" s="33">
        <f>IFERROR(IF(A178="","",VLOOKUP(A178,DATABASE!A:B,2,0)),"")</f>
        <v/>
      </c>
      <c r="C178" s="34">
        <f>IFERROR(IF(A178="","",VLOOKUP(A178,DATABASE!A:J,10,0)),"")</f>
        <v/>
      </c>
      <c r="D178" s="35">
        <f>IF(A178="","",TODAY())</f>
        <v/>
      </c>
      <c r="E178" s="34" t="n"/>
      <c r="F178" s="34">
        <f>IFERROR(IF(OR(A178="",E178=""),"",C178+E178),"")</f>
        <v/>
      </c>
      <c r="G178" s="33" t="n"/>
      <c r="H178" s="33" t="n"/>
    </row>
    <row r="179">
      <c r="A179" s="26" t="n"/>
      <c r="B179" s="26">
        <f>IFERROR(IF(A179="","",VLOOKUP(A179,DATABASE!A:B,2,0)),"")</f>
        <v/>
      </c>
      <c r="C179" s="30">
        <f>IFERROR(IF(A179="","",VLOOKUP(A179,DATABASE!A:J,10,0)),"")</f>
        <v/>
      </c>
      <c r="D179" s="31">
        <f>IF(A179="","",TODAY())</f>
        <v/>
      </c>
      <c r="E179" s="30" t="n"/>
      <c r="F179" s="30">
        <f>IFERROR(IF(OR(A179="",E179=""),"",C179+E179),"")</f>
        <v/>
      </c>
      <c r="G179" s="26" t="n"/>
      <c r="H179" s="26" t="n"/>
    </row>
    <row r="180">
      <c r="A180" s="33" t="n"/>
      <c r="B180" s="33">
        <f>IFERROR(IF(A180="","",VLOOKUP(A180,DATABASE!A:B,2,0)),"")</f>
        <v/>
      </c>
      <c r="C180" s="34">
        <f>IFERROR(IF(A180="","",VLOOKUP(A180,DATABASE!A:J,10,0)),"")</f>
        <v/>
      </c>
      <c r="D180" s="35">
        <f>IF(A180="","",TODAY())</f>
        <v/>
      </c>
      <c r="E180" s="34" t="n"/>
      <c r="F180" s="34">
        <f>IFERROR(IF(OR(A180="",E180=""),"",C180+E180),"")</f>
        <v/>
      </c>
      <c r="G180" s="33" t="n"/>
      <c r="H180" s="33" t="n"/>
    </row>
    <row r="181">
      <c r="A181" s="26" t="n"/>
      <c r="B181" s="26">
        <f>IFERROR(IF(A181="","",VLOOKUP(A181,DATABASE!A:B,2,0)),"")</f>
        <v/>
      </c>
      <c r="C181" s="30">
        <f>IFERROR(IF(A181="","",VLOOKUP(A181,DATABASE!A:J,10,0)),"")</f>
        <v/>
      </c>
      <c r="D181" s="31">
        <f>IF(A181="","",TODAY())</f>
        <v/>
      </c>
      <c r="E181" s="30" t="n"/>
      <c r="F181" s="30">
        <f>IFERROR(IF(OR(A181="",E181=""),"",C181+E181),"")</f>
        <v/>
      </c>
      <c r="G181" s="26" t="n"/>
      <c r="H181" s="26" t="n"/>
    </row>
    <row r="182">
      <c r="A182" s="33" t="n"/>
      <c r="B182" s="33">
        <f>IFERROR(IF(A182="","",VLOOKUP(A182,DATABASE!A:B,2,0)),"")</f>
        <v/>
      </c>
      <c r="C182" s="34">
        <f>IFERROR(IF(A182="","",VLOOKUP(A182,DATABASE!A:J,10,0)),"")</f>
        <v/>
      </c>
      <c r="D182" s="35">
        <f>IF(A182="","",TODAY())</f>
        <v/>
      </c>
      <c r="E182" s="34" t="n"/>
      <c r="F182" s="34">
        <f>IFERROR(IF(OR(A182="",E182=""),"",C182+E182),"")</f>
        <v/>
      </c>
      <c r="G182" s="33" t="n"/>
      <c r="H182" s="33" t="n"/>
    </row>
    <row r="183">
      <c r="A183" s="26" t="n"/>
      <c r="B183" s="26">
        <f>IFERROR(IF(A183="","",VLOOKUP(A183,DATABASE!A:B,2,0)),"")</f>
        <v/>
      </c>
      <c r="C183" s="30">
        <f>IFERROR(IF(A183="","",VLOOKUP(A183,DATABASE!A:J,10,0)),"")</f>
        <v/>
      </c>
      <c r="D183" s="31">
        <f>IF(A183="","",TODAY())</f>
        <v/>
      </c>
      <c r="E183" s="30" t="n"/>
      <c r="F183" s="30">
        <f>IFERROR(IF(OR(A183="",E183=""),"",C183+E183),"")</f>
        <v/>
      </c>
      <c r="G183" s="26" t="n"/>
      <c r="H183" s="26" t="n"/>
    </row>
    <row r="184">
      <c r="A184" s="33" t="n"/>
      <c r="B184" s="33">
        <f>IFERROR(IF(A184="","",VLOOKUP(A184,DATABASE!A:B,2,0)),"")</f>
        <v/>
      </c>
      <c r="C184" s="34">
        <f>IFERROR(IF(A184="","",VLOOKUP(A184,DATABASE!A:J,10,0)),"")</f>
        <v/>
      </c>
      <c r="D184" s="35">
        <f>IF(A184="","",TODAY())</f>
        <v/>
      </c>
      <c r="E184" s="34" t="n"/>
      <c r="F184" s="34">
        <f>IFERROR(IF(OR(A184="",E184=""),"",C184+E184),"")</f>
        <v/>
      </c>
      <c r="G184" s="33" t="n"/>
      <c r="H184" s="33" t="n"/>
    </row>
    <row r="185">
      <c r="A185" s="26" t="n"/>
      <c r="B185" s="26">
        <f>IFERROR(IF(A185="","",VLOOKUP(A185,DATABASE!A:B,2,0)),"")</f>
        <v/>
      </c>
      <c r="C185" s="30">
        <f>IFERROR(IF(A185="","",VLOOKUP(A185,DATABASE!A:J,10,0)),"")</f>
        <v/>
      </c>
      <c r="D185" s="31">
        <f>IF(A185="","",TODAY())</f>
        <v/>
      </c>
      <c r="E185" s="30" t="n"/>
      <c r="F185" s="30">
        <f>IFERROR(IF(OR(A185="",E185=""),"",C185+E185),"")</f>
        <v/>
      </c>
      <c r="G185" s="26" t="n"/>
      <c r="H185" s="26" t="n"/>
    </row>
    <row r="186">
      <c r="A186" s="33" t="n"/>
      <c r="B186" s="33">
        <f>IFERROR(IF(A186="","",VLOOKUP(A186,DATABASE!A:B,2,0)),"")</f>
        <v/>
      </c>
      <c r="C186" s="34">
        <f>IFERROR(IF(A186="","",VLOOKUP(A186,DATABASE!A:J,10,0)),"")</f>
        <v/>
      </c>
      <c r="D186" s="35">
        <f>IF(A186="","",TODAY())</f>
        <v/>
      </c>
      <c r="E186" s="34" t="n"/>
      <c r="F186" s="34">
        <f>IFERROR(IF(OR(A186="",E186=""),"",C186+E186),"")</f>
        <v/>
      </c>
      <c r="G186" s="33" t="n"/>
      <c r="H186" s="33" t="n"/>
    </row>
    <row r="187">
      <c r="A187" s="26" t="n"/>
      <c r="B187" s="26">
        <f>IFERROR(IF(A187="","",VLOOKUP(A187,DATABASE!A:B,2,0)),"")</f>
        <v/>
      </c>
      <c r="C187" s="30">
        <f>IFERROR(IF(A187="","",VLOOKUP(A187,DATABASE!A:J,10,0)),"")</f>
        <v/>
      </c>
      <c r="D187" s="31">
        <f>IF(A187="","",TODAY())</f>
        <v/>
      </c>
      <c r="E187" s="30" t="n"/>
      <c r="F187" s="30">
        <f>IFERROR(IF(OR(A187="",E187=""),"",C187+E187),"")</f>
        <v/>
      </c>
      <c r="G187" s="26" t="n"/>
      <c r="H187" s="26" t="n"/>
    </row>
    <row r="188">
      <c r="A188" s="33" t="n"/>
      <c r="B188" s="33">
        <f>IFERROR(IF(A188="","",VLOOKUP(A188,DATABASE!A:B,2,0)),"")</f>
        <v/>
      </c>
      <c r="C188" s="34">
        <f>IFERROR(IF(A188="","",VLOOKUP(A188,DATABASE!A:J,10,0)),"")</f>
        <v/>
      </c>
      <c r="D188" s="35">
        <f>IF(A188="","",TODAY())</f>
        <v/>
      </c>
      <c r="E188" s="34" t="n"/>
      <c r="F188" s="34">
        <f>IFERROR(IF(OR(A188="",E188=""),"",C188+E188),"")</f>
        <v/>
      </c>
      <c r="G188" s="33" t="n"/>
      <c r="H188" s="33" t="n"/>
    </row>
    <row r="189">
      <c r="A189" s="26" t="n"/>
      <c r="B189" s="26">
        <f>IFERROR(IF(A189="","",VLOOKUP(A189,DATABASE!A:B,2,0)),"")</f>
        <v/>
      </c>
      <c r="C189" s="30">
        <f>IFERROR(IF(A189="","",VLOOKUP(A189,DATABASE!A:J,10,0)),"")</f>
        <v/>
      </c>
      <c r="D189" s="31">
        <f>IF(A189="","",TODAY())</f>
        <v/>
      </c>
      <c r="E189" s="30" t="n"/>
      <c r="F189" s="30">
        <f>IFERROR(IF(OR(A189="",E189=""),"",C189+E189),"")</f>
        <v/>
      </c>
      <c r="G189" s="26" t="n"/>
      <c r="H189" s="26" t="n"/>
    </row>
    <row r="190">
      <c r="A190" s="33" t="n"/>
      <c r="B190" s="33">
        <f>IFERROR(IF(A190="","",VLOOKUP(A190,DATABASE!A:B,2,0)),"")</f>
        <v/>
      </c>
      <c r="C190" s="34">
        <f>IFERROR(IF(A190="","",VLOOKUP(A190,DATABASE!A:J,10,0)),"")</f>
        <v/>
      </c>
      <c r="D190" s="35">
        <f>IF(A190="","",TODAY())</f>
        <v/>
      </c>
      <c r="E190" s="34" t="n"/>
      <c r="F190" s="34">
        <f>IFERROR(IF(OR(A190="",E190=""),"",C190+E190),"")</f>
        <v/>
      </c>
      <c r="G190" s="33" t="n"/>
      <c r="H190" s="33" t="n"/>
    </row>
    <row r="191">
      <c r="A191" s="26" t="n"/>
      <c r="B191" s="26">
        <f>IFERROR(IF(A191="","",VLOOKUP(A191,DATABASE!A:B,2,0)),"")</f>
        <v/>
      </c>
      <c r="C191" s="30">
        <f>IFERROR(IF(A191="","",VLOOKUP(A191,DATABASE!A:J,10,0)),"")</f>
        <v/>
      </c>
      <c r="D191" s="31">
        <f>IF(A191="","",TODAY())</f>
        <v/>
      </c>
      <c r="E191" s="30" t="n"/>
      <c r="F191" s="30">
        <f>IFERROR(IF(OR(A191="",E191=""),"",C191+E191),"")</f>
        <v/>
      </c>
      <c r="G191" s="26" t="n"/>
      <c r="H191" s="26" t="n"/>
    </row>
    <row r="192">
      <c r="A192" s="33" t="n"/>
      <c r="B192" s="33">
        <f>IFERROR(IF(A192="","",VLOOKUP(A192,DATABASE!A:B,2,0)),"")</f>
        <v/>
      </c>
      <c r="C192" s="34">
        <f>IFERROR(IF(A192="","",VLOOKUP(A192,DATABASE!A:J,10,0)),"")</f>
        <v/>
      </c>
      <c r="D192" s="35">
        <f>IF(A192="","",TODAY())</f>
        <v/>
      </c>
      <c r="E192" s="34" t="n"/>
      <c r="F192" s="34">
        <f>IFERROR(IF(OR(A192="",E192=""),"",C192+E192),"")</f>
        <v/>
      </c>
      <c r="G192" s="33" t="n"/>
      <c r="H192" s="33" t="n"/>
    </row>
    <row r="193">
      <c r="A193" s="26" t="n"/>
      <c r="B193" s="26">
        <f>IFERROR(IF(A193="","",VLOOKUP(A193,DATABASE!A:B,2,0)),"")</f>
        <v/>
      </c>
      <c r="C193" s="30">
        <f>IFERROR(IF(A193="","",VLOOKUP(A193,DATABASE!A:J,10,0)),"")</f>
        <v/>
      </c>
      <c r="D193" s="31">
        <f>IF(A193="","",TODAY())</f>
        <v/>
      </c>
      <c r="E193" s="30" t="n"/>
      <c r="F193" s="30">
        <f>IFERROR(IF(OR(A193="",E193=""),"",C193+E193),"")</f>
        <v/>
      </c>
      <c r="G193" s="26" t="n"/>
      <c r="H193" s="26" t="n"/>
    </row>
    <row r="194">
      <c r="A194" s="33" t="n"/>
      <c r="B194" s="33">
        <f>IFERROR(IF(A194="","",VLOOKUP(A194,DATABASE!A:B,2,0)),"")</f>
        <v/>
      </c>
      <c r="C194" s="34">
        <f>IFERROR(IF(A194="","",VLOOKUP(A194,DATABASE!A:J,10,0)),"")</f>
        <v/>
      </c>
      <c r="D194" s="35">
        <f>IF(A194="","",TODAY())</f>
        <v/>
      </c>
      <c r="E194" s="34" t="n"/>
      <c r="F194" s="34">
        <f>IFERROR(IF(OR(A194="",E194=""),"",C194+E194),"")</f>
        <v/>
      </c>
      <c r="G194" s="33" t="n"/>
      <c r="H194" s="33" t="n"/>
    </row>
    <row r="195">
      <c r="A195" s="26" t="n"/>
      <c r="B195" s="26">
        <f>IFERROR(IF(A195="","",VLOOKUP(A195,DATABASE!A:B,2,0)),"")</f>
        <v/>
      </c>
      <c r="C195" s="30">
        <f>IFERROR(IF(A195="","",VLOOKUP(A195,DATABASE!A:J,10,0)),"")</f>
        <v/>
      </c>
      <c r="D195" s="31">
        <f>IF(A195="","",TODAY())</f>
        <v/>
      </c>
      <c r="E195" s="30" t="n"/>
      <c r="F195" s="30">
        <f>IFERROR(IF(OR(A195="",E195=""),"",C195+E195),"")</f>
        <v/>
      </c>
      <c r="G195" s="26" t="n"/>
      <c r="H195" s="26" t="n"/>
    </row>
    <row r="196">
      <c r="A196" s="33" t="n"/>
      <c r="B196" s="33">
        <f>IFERROR(IF(A196="","",VLOOKUP(A196,DATABASE!A:B,2,0)),"")</f>
        <v/>
      </c>
      <c r="C196" s="34">
        <f>IFERROR(IF(A196="","",VLOOKUP(A196,DATABASE!A:J,10,0)),"")</f>
        <v/>
      </c>
      <c r="D196" s="35">
        <f>IF(A196="","",TODAY())</f>
        <v/>
      </c>
      <c r="E196" s="34" t="n"/>
      <c r="F196" s="34">
        <f>IFERROR(IF(OR(A196="",E196=""),"",C196+E196),"")</f>
        <v/>
      </c>
      <c r="G196" s="33" t="n"/>
      <c r="H196" s="33" t="n"/>
    </row>
    <row r="197">
      <c r="A197" s="26" t="n"/>
      <c r="B197" s="26">
        <f>IFERROR(IF(A197="","",VLOOKUP(A197,DATABASE!A:B,2,0)),"")</f>
        <v/>
      </c>
      <c r="C197" s="30">
        <f>IFERROR(IF(A197="","",VLOOKUP(A197,DATABASE!A:J,10,0)),"")</f>
        <v/>
      </c>
      <c r="D197" s="31">
        <f>IF(A197="","",TODAY())</f>
        <v/>
      </c>
      <c r="E197" s="30" t="n"/>
      <c r="F197" s="30">
        <f>IFERROR(IF(OR(A197="",E197=""),"",C197+E197),"")</f>
        <v/>
      </c>
      <c r="G197" s="26" t="n"/>
      <c r="H197" s="26" t="n"/>
    </row>
    <row r="198">
      <c r="A198" s="33" t="n"/>
      <c r="B198" s="33">
        <f>IFERROR(IF(A198="","",VLOOKUP(A198,DATABASE!A:B,2,0)),"")</f>
        <v/>
      </c>
      <c r="C198" s="34">
        <f>IFERROR(IF(A198="","",VLOOKUP(A198,DATABASE!A:J,10,0)),"")</f>
        <v/>
      </c>
      <c r="D198" s="35">
        <f>IF(A198="","",TODAY())</f>
        <v/>
      </c>
      <c r="E198" s="34" t="n"/>
      <c r="F198" s="34">
        <f>IFERROR(IF(OR(A198="",E198=""),"",C198+E198),"")</f>
        <v/>
      </c>
      <c r="G198" s="33" t="n"/>
      <c r="H198" s="33" t="n"/>
    </row>
    <row r="199">
      <c r="A199" s="26" t="n"/>
      <c r="B199" s="26">
        <f>IFERROR(IF(A199="","",VLOOKUP(A199,DATABASE!A:B,2,0)),"")</f>
        <v/>
      </c>
      <c r="C199" s="30">
        <f>IFERROR(IF(A199="","",VLOOKUP(A199,DATABASE!A:J,10,0)),"")</f>
        <v/>
      </c>
      <c r="D199" s="31">
        <f>IF(A199="","",TODAY())</f>
        <v/>
      </c>
      <c r="E199" s="30" t="n"/>
      <c r="F199" s="30">
        <f>IFERROR(IF(OR(A199="",E199=""),"",C199+E199),"")</f>
        <v/>
      </c>
      <c r="G199" s="26" t="n"/>
      <c r="H199" s="26" t="n"/>
    </row>
    <row r="200">
      <c r="A200" s="33" t="n"/>
      <c r="B200" s="33">
        <f>IFERROR(IF(A200="","",VLOOKUP(A200,DATABASE!A:B,2,0)),"")</f>
        <v/>
      </c>
      <c r="C200" s="34">
        <f>IFERROR(IF(A200="","",VLOOKUP(A200,DATABASE!A:J,10,0)),"")</f>
        <v/>
      </c>
      <c r="D200" s="35">
        <f>IF(A200="","",TODAY())</f>
        <v/>
      </c>
      <c r="E200" s="34" t="n"/>
      <c r="F200" s="34">
        <f>IFERROR(IF(OR(A200="",E200=""),"",C200+E200),"")</f>
        <v/>
      </c>
      <c r="G200" s="33" t="n"/>
      <c r="H200" s="33" t="n"/>
    </row>
    <row r="201">
      <c r="A201" s="26" t="n"/>
      <c r="B201" s="26">
        <f>IFERROR(IF(A201="","",VLOOKUP(A201,DATABASE!A:B,2,0)),"")</f>
        <v/>
      </c>
      <c r="C201" s="30">
        <f>IFERROR(IF(A201="","",VLOOKUP(A201,DATABASE!A:J,10,0)),"")</f>
        <v/>
      </c>
      <c r="D201" s="31">
        <f>IF(A201="","",TODAY())</f>
        <v/>
      </c>
      <c r="E201" s="30" t="n"/>
      <c r="F201" s="30">
        <f>IFERROR(IF(OR(A201="",E201=""),"",C201+E201),"")</f>
        <v/>
      </c>
      <c r="G201" s="26" t="n"/>
      <c r="H201" s="26" t="n"/>
    </row>
    <row r="202">
      <c r="A202" s="33" t="n"/>
      <c r="B202" s="33">
        <f>IFERROR(IF(A202="","",VLOOKUP(A202,DATABASE!A:B,2,0)),"")</f>
        <v/>
      </c>
      <c r="C202" s="34">
        <f>IFERROR(IF(A202="","",VLOOKUP(A202,DATABASE!A:J,10,0)),"")</f>
        <v/>
      </c>
      <c r="D202" s="35">
        <f>IF(A202="","",TODAY())</f>
        <v/>
      </c>
      <c r="E202" s="34" t="n"/>
      <c r="F202" s="34">
        <f>IFERROR(IF(OR(A202="",E202=""),"",C202+E202),"")</f>
        <v/>
      </c>
      <c r="G202" s="33" t="n"/>
      <c r="H202" s="33" t="n"/>
    </row>
    <row r="203">
      <c r="A203" s="26" t="n"/>
      <c r="B203" s="26">
        <f>IFERROR(IF(A203="","",VLOOKUP(A203,DATABASE!A:B,2,0)),"")</f>
        <v/>
      </c>
      <c r="C203" s="30">
        <f>IFERROR(IF(A203="","",VLOOKUP(A203,DATABASE!A:J,10,0)),"")</f>
        <v/>
      </c>
      <c r="D203" s="31">
        <f>IF(A203="","",TODAY())</f>
        <v/>
      </c>
      <c r="E203" s="30" t="n"/>
      <c r="F203" s="30">
        <f>IFERROR(IF(OR(A203="",E203=""),"",C203+E203),"")</f>
        <v/>
      </c>
      <c r="G203" s="26" t="n"/>
      <c r="H203" s="26" t="n"/>
    </row>
    <row r="204">
      <c r="A204" s="33" t="n"/>
      <c r="B204" s="33">
        <f>IFERROR(IF(A204="","",VLOOKUP(A204,DATABASE!A:B,2,0)),"")</f>
        <v/>
      </c>
      <c r="C204" s="34">
        <f>IFERROR(IF(A204="","",VLOOKUP(A204,DATABASE!A:J,10,0)),"")</f>
        <v/>
      </c>
      <c r="D204" s="35">
        <f>IF(A204="","",TODAY())</f>
        <v/>
      </c>
      <c r="E204" s="34" t="n"/>
      <c r="F204" s="34">
        <f>IFERROR(IF(OR(A204="",E204=""),"",C204+E204),"")</f>
        <v/>
      </c>
      <c r="G204" s="33" t="n"/>
      <c r="H204" s="33" t="n"/>
    </row>
    <row r="205">
      <c r="A205" s="26" t="n"/>
      <c r="B205" s="26">
        <f>IFERROR(IF(A205="","",VLOOKUP(A205,DATABASE!A:B,2,0)),"")</f>
        <v/>
      </c>
      <c r="C205" s="30">
        <f>IFERROR(IF(A205="","",VLOOKUP(A205,DATABASE!A:J,10,0)),"")</f>
        <v/>
      </c>
      <c r="D205" s="31">
        <f>IF(A205="","",TODAY())</f>
        <v/>
      </c>
      <c r="E205" s="30" t="n"/>
      <c r="F205" s="30">
        <f>IFERROR(IF(OR(A205="",E205=""),"",C205+E205),"")</f>
        <v/>
      </c>
      <c r="G205" s="26" t="n"/>
      <c r="H205" s="26" t="n"/>
    </row>
    <row r="206">
      <c r="A206" s="33" t="n"/>
      <c r="B206" s="33">
        <f>IFERROR(IF(A206="","",VLOOKUP(A206,DATABASE!A:B,2,0)),"")</f>
        <v/>
      </c>
      <c r="C206" s="34">
        <f>IFERROR(IF(A206="","",VLOOKUP(A206,DATABASE!A:J,10,0)),"")</f>
        <v/>
      </c>
      <c r="D206" s="35">
        <f>IF(A206="","",TODAY())</f>
        <v/>
      </c>
      <c r="E206" s="34" t="n"/>
      <c r="F206" s="34">
        <f>IFERROR(IF(OR(A206="",E206=""),"",C206+E206),"")</f>
        <v/>
      </c>
      <c r="G206" s="33" t="n"/>
      <c r="H206" s="33" t="n"/>
    </row>
    <row r="207">
      <c r="A207" s="26" t="n"/>
      <c r="B207" s="26">
        <f>IFERROR(IF(A207="","",VLOOKUP(A207,DATABASE!A:B,2,0)),"")</f>
        <v/>
      </c>
      <c r="C207" s="30">
        <f>IFERROR(IF(A207="","",VLOOKUP(A207,DATABASE!A:J,10,0)),"")</f>
        <v/>
      </c>
      <c r="D207" s="31">
        <f>IF(A207="","",TODAY())</f>
        <v/>
      </c>
      <c r="E207" s="30" t="n"/>
      <c r="F207" s="30">
        <f>IFERROR(IF(OR(A207="",E207=""),"",C207+E207),"")</f>
        <v/>
      </c>
      <c r="G207" s="26" t="n"/>
      <c r="H207" s="26" t="n"/>
    </row>
    <row r="208">
      <c r="A208" s="33" t="n"/>
      <c r="B208" s="33">
        <f>IFERROR(IF(A208="","",VLOOKUP(A208,DATABASE!A:B,2,0)),"")</f>
        <v/>
      </c>
      <c r="C208" s="34">
        <f>IFERROR(IF(A208="","",VLOOKUP(A208,DATABASE!A:J,10,0)),"")</f>
        <v/>
      </c>
      <c r="D208" s="35">
        <f>IF(A208="","",TODAY())</f>
        <v/>
      </c>
      <c r="E208" s="34" t="n"/>
      <c r="F208" s="34">
        <f>IFERROR(IF(OR(A208="",E208=""),"",C208+E208),"")</f>
        <v/>
      </c>
      <c r="G208" s="33" t="n"/>
      <c r="H208" s="33" t="n"/>
    </row>
    <row r="209">
      <c r="A209" s="26" t="n"/>
      <c r="B209" s="26">
        <f>IFERROR(IF(A209="","",VLOOKUP(A209,DATABASE!A:B,2,0)),"")</f>
        <v/>
      </c>
      <c r="C209" s="30">
        <f>IFERROR(IF(A209="","",VLOOKUP(A209,DATABASE!A:J,10,0)),"")</f>
        <v/>
      </c>
      <c r="D209" s="31">
        <f>IF(A209="","",TODAY())</f>
        <v/>
      </c>
      <c r="E209" s="30" t="n"/>
      <c r="F209" s="30">
        <f>IFERROR(IF(OR(A209="",E209=""),"",C209+E209),"")</f>
        <v/>
      </c>
      <c r="G209" s="26" t="n"/>
      <c r="H209" s="26" t="n"/>
    </row>
    <row r="210">
      <c r="A210" s="33" t="n"/>
      <c r="B210" s="33">
        <f>IFERROR(IF(A210="","",VLOOKUP(A210,DATABASE!A:B,2,0)),"")</f>
        <v/>
      </c>
      <c r="C210" s="34">
        <f>IFERROR(IF(A210="","",VLOOKUP(A210,DATABASE!A:J,10,0)),"")</f>
        <v/>
      </c>
      <c r="D210" s="35">
        <f>IF(A210="","",TODAY())</f>
        <v/>
      </c>
      <c r="E210" s="34" t="n"/>
      <c r="F210" s="34">
        <f>IFERROR(IF(OR(A210="",E210=""),"",C210+E210),"")</f>
        <v/>
      </c>
      <c r="G210" s="33" t="n"/>
      <c r="H210" s="33" t="n"/>
    </row>
    <row r="211">
      <c r="A211" s="26" t="n"/>
      <c r="B211" s="26">
        <f>IFERROR(IF(A211="","",VLOOKUP(A211,DATABASE!A:B,2,0)),"")</f>
        <v/>
      </c>
      <c r="C211" s="30">
        <f>IFERROR(IF(A211="","",VLOOKUP(A211,DATABASE!A:J,10,0)),"")</f>
        <v/>
      </c>
      <c r="D211" s="31">
        <f>IF(A211="","",TODAY())</f>
        <v/>
      </c>
      <c r="E211" s="30" t="n"/>
      <c r="F211" s="30">
        <f>IFERROR(IF(OR(A211="",E211=""),"",C211+E211),"")</f>
        <v/>
      </c>
      <c r="G211" s="26" t="n"/>
      <c r="H211" s="26" t="n"/>
    </row>
    <row r="212">
      <c r="A212" s="33" t="n"/>
      <c r="B212" s="33">
        <f>IFERROR(IF(A212="","",VLOOKUP(A212,DATABASE!A:B,2,0)),"")</f>
        <v/>
      </c>
      <c r="C212" s="34">
        <f>IFERROR(IF(A212="","",VLOOKUP(A212,DATABASE!A:J,10,0)),"")</f>
        <v/>
      </c>
      <c r="D212" s="35">
        <f>IF(A212="","",TODAY())</f>
        <v/>
      </c>
      <c r="E212" s="34" t="n"/>
      <c r="F212" s="34">
        <f>IFERROR(IF(OR(A212="",E212=""),"",C212+E212),"")</f>
        <v/>
      </c>
      <c r="G212" s="33" t="n"/>
      <c r="H212" s="33" t="n"/>
    </row>
    <row r="213">
      <c r="A213" s="26" t="n"/>
      <c r="B213" s="26">
        <f>IFERROR(IF(A213="","",VLOOKUP(A213,DATABASE!A:B,2,0)),"")</f>
        <v/>
      </c>
      <c r="C213" s="30">
        <f>IFERROR(IF(A213="","",VLOOKUP(A213,DATABASE!A:J,10,0)),"")</f>
        <v/>
      </c>
      <c r="D213" s="31">
        <f>IF(A213="","",TODAY())</f>
        <v/>
      </c>
      <c r="E213" s="30" t="n"/>
      <c r="F213" s="30">
        <f>IFERROR(IF(OR(A213="",E213=""),"",C213+E213),"")</f>
        <v/>
      </c>
      <c r="G213" s="26" t="n"/>
      <c r="H213" s="26" t="n"/>
    </row>
    <row r="214">
      <c r="A214" s="33" t="n"/>
      <c r="B214" s="33">
        <f>IFERROR(IF(A214="","",VLOOKUP(A214,DATABASE!A:B,2,0)),"")</f>
        <v/>
      </c>
      <c r="C214" s="34">
        <f>IFERROR(IF(A214="","",VLOOKUP(A214,DATABASE!A:J,10,0)),"")</f>
        <v/>
      </c>
      <c r="D214" s="35">
        <f>IF(A214="","",TODAY())</f>
        <v/>
      </c>
      <c r="E214" s="34" t="n"/>
      <c r="F214" s="34">
        <f>IFERROR(IF(OR(A214="",E214=""),"",C214+E214),"")</f>
        <v/>
      </c>
      <c r="G214" s="33" t="n"/>
      <c r="H214" s="33" t="n"/>
    </row>
    <row r="215">
      <c r="A215" s="26" t="n"/>
      <c r="B215" s="26">
        <f>IFERROR(IF(A215="","",VLOOKUP(A215,DATABASE!A:B,2,0)),"")</f>
        <v/>
      </c>
      <c r="C215" s="30">
        <f>IFERROR(IF(A215="","",VLOOKUP(A215,DATABASE!A:J,10,0)),"")</f>
        <v/>
      </c>
      <c r="D215" s="31">
        <f>IF(A215="","",TODAY())</f>
        <v/>
      </c>
      <c r="E215" s="30" t="n"/>
      <c r="F215" s="30">
        <f>IFERROR(IF(OR(A215="",E215=""),"",C215+E215),"")</f>
        <v/>
      </c>
      <c r="G215" s="26" t="n"/>
      <c r="H215" s="26" t="n"/>
    </row>
    <row r="216">
      <c r="A216" s="33" t="n"/>
      <c r="B216" s="33">
        <f>IFERROR(IF(A216="","",VLOOKUP(A216,DATABASE!A:B,2,0)),"")</f>
        <v/>
      </c>
      <c r="C216" s="34">
        <f>IFERROR(IF(A216="","",VLOOKUP(A216,DATABASE!A:J,10,0)),"")</f>
        <v/>
      </c>
      <c r="D216" s="35">
        <f>IF(A216="","",TODAY())</f>
        <v/>
      </c>
      <c r="E216" s="34" t="n"/>
      <c r="F216" s="34">
        <f>IFERROR(IF(OR(A216="",E216=""),"",C216+E216),"")</f>
        <v/>
      </c>
      <c r="G216" s="33" t="n"/>
      <c r="H216" s="33" t="n"/>
    </row>
    <row r="217">
      <c r="A217" s="26" t="n"/>
      <c r="B217" s="26">
        <f>IFERROR(IF(A217="","",VLOOKUP(A217,DATABASE!A:B,2,0)),"")</f>
        <v/>
      </c>
      <c r="C217" s="30">
        <f>IFERROR(IF(A217="","",VLOOKUP(A217,DATABASE!A:J,10,0)),"")</f>
        <v/>
      </c>
      <c r="D217" s="31">
        <f>IF(A217="","",TODAY())</f>
        <v/>
      </c>
      <c r="E217" s="30" t="n"/>
      <c r="F217" s="30">
        <f>IFERROR(IF(OR(A217="",E217=""),"",C217+E217),"")</f>
        <v/>
      </c>
      <c r="G217" s="26" t="n"/>
      <c r="H217" s="26" t="n"/>
    </row>
    <row r="218">
      <c r="A218" s="33" t="n"/>
      <c r="B218" s="33">
        <f>IFERROR(IF(A218="","",VLOOKUP(A218,DATABASE!A:B,2,0)),"")</f>
        <v/>
      </c>
      <c r="C218" s="34">
        <f>IFERROR(IF(A218="","",VLOOKUP(A218,DATABASE!A:J,10,0)),"")</f>
        <v/>
      </c>
      <c r="D218" s="35">
        <f>IF(A218="","",TODAY())</f>
        <v/>
      </c>
      <c r="E218" s="34" t="n"/>
      <c r="F218" s="34">
        <f>IFERROR(IF(OR(A218="",E218=""),"",C218+E218),"")</f>
        <v/>
      </c>
      <c r="G218" s="33" t="n"/>
      <c r="H218" s="33" t="n"/>
    </row>
    <row r="219">
      <c r="A219" s="26" t="n"/>
      <c r="B219" s="26">
        <f>IFERROR(IF(A219="","",VLOOKUP(A219,DATABASE!A:B,2,0)),"")</f>
        <v/>
      </c>
      <c r="C219" s="30">
        <f>IFERROR(IF(A219="","",VLOOKUP(A219,DATABASE!A:J,10,0)),"")</f>
        <v/>
      </c>
      <c r="D219" s="31">
        <f>IF(A219="","",TODAY())</f>
        <v/>
      </c>
      <c r="E219" s="30" t="n"/>
      <c r="F219" s="30">
        <f>IFERROR(IF(OR(A219="",E219=""),"",C219+E219),"")</f>
        <v/>
      </c>
      <c r="G219" s="26" t="n"/>
      <c r="H219" s="26" t="n"/>
    </row>
    <row r="220">
      <c r="A220" s="33" t="n"/>
      <c r="B220" s="33">
        <f>IFERROR(IF(A220="","",VLOOKUP(A220,DATABASE!A:B,2,0)),"")</f>
        <v/>
      </c>
      <c r="C220" s="34">
        <f>IFERROR(IF(A220="","",VLOOKUP(A220,DATABASE!A:J,10,0)),"")</f>
        <v/>
      </c>
      <c r="D220" s="35">
        <f>IF(A220="","",TODAY())</f>
        <v/>
      </c>
      <c r="E220" s="34" t="n"/>
      <c r="F220" s="34">
        <f>IFERROR(IF(OR(A220="",E220=""),"",C220+E220),"")</f>
        <v/>
      </c>
      <c r="G220" s="33" t="n"/>
      <c r="H220" s="33" t="n"/>
    </row>
    <row r="221">
      <c r="A221" s="26" t="n"/>
      <c r="B221" s="26">
        <f>IFERROR(IF(A221="","",VLOOKUP(A221,DATABASE!A:B,2,0)),"")</f>
        <v/>
      </c>
      <c r="C221" s="30">
        <f>IFERROR(IF(A221="","",VLOOKUP(A221,DATABASE!A:J,10,0)),"")</f>
        <v/>
      </c>
      <c r="D221" s="31">
        <f>IF(A221="","",TODAY())</f>
        <v/>
      </c>
      <c r="E221" s="30" t="n"/>
      <c r="F221" s="30">
        <f>IFERROR(IF(OR(A221="",E221=""),"",C221+E221),"")</f>
        <v/>
      </c>
      <c r="G221" s="26" t="n"/>
      <c r="H221" s="26" t="n"/>
    </row>
    <row r="222">
      <c r="A222" s="33" t="n"/>
      <c r="B222" s="33">
        <f>IFERROR(IF(A222="","",VLOOKUP(A222,DATABASE!A:B,2,0)),"")</f>
        <v/>
      </c>
      <c r="C222" s="34">
        <f>IFERROR(IF(A222="","",VLOOKUP(A222,DATABASE!A:J,10,0)),"")</f>
        <v/>
      </c>
      <c r="D222" s="35">
        <f>IF(A222="","",TODAY())</f>
        <v/>
      </c>
      <c r="E222" s="34" t="n"/>
      <c r="F222" s="34">
        <f>IFERROR(IF(OR(A222="",E222=""),"",C222+E222),"")</f>
        <v/>
      </c>
      <c r="G222" s="33" t="n"/>
      <c r="H222" s="33" t="n"/>
    </row>
    <row r="223">
      <c r="A223" s="26" t="n"/>
      <c r="B223" s="26">
        <f>IFERROR(IF(A223="","",VLOOKUP(A223,DATABASE!A:B,2,0)),"")</f>
        <v/>
      </c>
      <c r="C223" s="30">
        <f>IFERROR(IF(A223="","",VLOOKUP(A223,DATABASE!A:J,10,0)),"")</f>
        <v/>
      </c>
      <c r="D223" s="31">
        <f>IF(A223="","",TODAY())</f>
        <v/>
      </c>
      <c r="E223" s="30" t="n"/>
      <c r="F223" s="30">
        <f>IFERROR(IF(OR(A223="",E223=""),"",C223+E223),"")</f>
        <v/>
      </c>
      <c r="G223" s="26" t="n"/>
      <c r="H223" s="26" t="n"/>
    </row>
    <row r="224">
      <c r="A224" s="33" t="n"/>
      <c r="B224" s="33">
        <f>IFERROR(IF(A224="","",VLOOKUP(A224,DATABASE!A:B,2,0)),"")</f>
        <v/>
      </c>
      <c r="C224" s="34">
        <f>IFERROR(IF(A224="","",VLOOKUP(A224,DATABASE!A:J,10,0)),"")</f>
        <v/>
      </c>
      <c r="D224" s="35">
        <f>IF(A224="","",TODAY())</f>
        <v/>
      </c>
      <c r="E224" s="34" t="n"/>
      <c r="F224" s="34">
        <f>IFERROR(IF(OR(A224="",E224=""),"",C224+E224),"")</f>
        <v/>
      </c>
      <c r="G224" s="33" t="n"/>
      <c r="H224" s="33" t="n"/>
    </row>
    <row r="225">
      <c r="A225" s="26" t="n"/>
      <c r="B225" s="26">
        <f>IFERROR(IF(A225="","",VLOOKUP(A225,DATABASE!A:B,2,0)),"")</f>
        <v/>
      </c>
      <c r="C225" s="30">
        <f>IFERROR(IF(A225="","",VLOOKUP(A225,DATABASE!A:J,10,0)),"")</f>
        <v/>
      </c>
      <c r="D225" s="31">
        <f>IF(A225="","",TODAY())</f>
        <v/>
      </c>
      <c r="E225" s="30" t="n"/>
      <c r="F225" s="30">
        <f>IFERROR(IF(OR(A225="",E225=""),"",C225+E225),"")</f>
        <v/>
      </c>
      <c r="G225" s="26" t="n"/>
      <c r="H225" s="26" t="n"/>
    </row>
    <row r="226">
      <c r="A226" s="33" t="n"/>
      <c r="B226" s="33">
        <f>IFERROR(IF(A226="","",VLOOKUP(A226,DATABASE!A:B,2,0)),"")</f>
        <v/>
      </c>
      <c r="C226" s="34">
        <f>IFERROR(IF(A226="","",VLOOKUP(A226,DATABASE!A:J,10,0)),"")</f>
        <v/>
      </c>
      <c r="D226" s="35">
        <f>IF(A226="","",TODAY())</f>
        <v/>
      </c>
      <c r="E226" s="34" t="n"/>
      <c r="F226" s="34">
        <f>IFERROR(IF(OR(A226="",E226=""),"",C226+E226),"")</f>
        <v/>
      </c>
      <c r="G226" s="33" t="n"/>
      <c r="H226" s="33" t="n"/>
    </row>
    <row r="227">
      <c r="A227" s="26" t="n"/>
      <c r="B227" s="26">
        <f>IFERROR(IF(A227="","",VLOOKUP(A227,DATABASE!A:B,2,0)),"")</f>
        <v/>
      </c>
      <c r="C227" s="30">
        <f>IFERROR(IF(A227="","",VLOOKUP(A227,DATABASE!A:J,10,0)),"")</f>
        <v/>
      </c>
      <c r="D227" s="31">
        <f>IF(A227="","",TODAY())</f>
        <v/>
      </c>
      <c r="E227" s="30" t="n"/>
      <c r="F227" s="30">
        <f>IFERROR(IF(OR(A227="",E227=""),"",C227+E227),"")</f>
        <v/>
      </c>
      <c r="G227" s="26" t="n"/>
      <c r="H227" s="26" t="n"/>
    </row>
    <row r="228">
      <c r="A228" s="33" t="n"/>
      <c r="B228" s="33">
        <f>IFERROR(IF(A228="","",VLOOKUP(A228,DATABASE!A:B,2,0)),"")</f>
        <v/>
      </c>
      <c r="C228" s="34">
        <f>IFERROR(IF(A228="","",VLOOKUP(A228,DATABASE!A:J,10,0)),"")</f>
        <v/>
      </c>
      <c r="D228" s="35">
        <f>IF(A228="","",TODAY())</f>
        <v/>
      </c>
      <c r="E228" s="34" t="n"/>
      <c r="F228" s="34">
        <f>IFERROR(IF(OR(A228="",E228=""),"",C228+E228),"")</f>
        <v/>
      </c>
      <c r="G228" s="33" t="n"/>
      <c r="H228" s="33" t="n"/>
    </row>
    <row r="229">
      <c r="A229" s="26" t="n"/>
      <c r="B229" s="26">
        <f>IFERROR(IF(A229="","",VLOOKUP(A229,DATABASE!A:B,2,0)),"")</f>
        <v/>
      </c>
      <c r="C229" s="30">
        <f>IFERROR(IF(A229="","",VLOOKUP(A229,DATABASE!A:J,10,0)),"")</f>
        <v/>
      </c>
      <c r="D229" s="31">
        <f>IF(A229="","",TODAY())</f>
        <v/>
      </c>
      <c r="E229" s="30" t="n"/>
      <c r="F229" s="30">
        <f>IFERROR(IF(OR(A229="",E229=""),"",C229+E229),"")</f>
        <v/>
      </c>
      <c r="G229" s="26" t="n"/>
      <c r="H229" s="26" t="n"/>
    </row>
    <row r="230">
      <c r="A230" s="33" t="n"/>
      <c r="B230" s="33">
        <f>IFERROR(IF(A230="","",VLOOKUP(A230,DATABASE!A:B,2,0)),"")</f>
        <v/>
      </c>
      <c r="C230" s="34">
        <f>IFERROR(IF(A230="","",VLOOKUP(A230,DATABASE!A:J,10,0)),"")</f>
        <v/>
      </c>
      <c r="D230" s="35">
        <f>IF(A230="","",TODAY())</f>
        <v/>
      </c>
      <c r="E230" s="34" t="n"/>
      <c r="F230" s="34">
        <f>IFERROR(IF(OR(A230="",E230=""),"",C230+E230),"")</f>
        <v/>
      </c>
      <c r="G230" s="33" t="n"/>
      <c r="H230" s="33" t="n"/>
    </row>
    <row r="231">
      <c r="A231" s="26" t="n"/>
      <c r="B231" s="26">
        <f>IFERROR(IF(A231="","",VLOOKUP(A231,DATABASE!A:B,2,0)),"")</f>
        <v/>
      </c>
      <c r="C231" s="30">
        <f>IFERROR(IF(A231="","",VLOOKUP(A231,DATABASE!A:J,10,0)),"")</f>
        <v/>
      </c>
      <c r="D231" s="31">
        <f>IF(A231="","",TODAY())</f>
        <v/>
      </c>
      <c r="E231" s="30" t="n"/>
      <c r="F231" s="30">
        <f>IFERROR(IF(OR(A231="",E231=""),"",C231+E231),"")</f>
        <v/>
      </c>
      <c r="G231" s="26" t="n"/>
      <c r="H231" s="26" t="n"/>
    </row>
    <row r="232">
      <c r="A232" s="33" t="n"/>
      <c r="B232" s="33">
        <f>IFERROR(IF(A232="","",VLOOKUP(A232,DATABASE!A:B,2,0)),"")</f>
        <v/>
      </c>
      <c r="C232" s="34">
        <f>IFERROR(IF(A232="","",VLOOKUP(A232,DATABASE!A:J,10,0)),"")</f>
        <v/>
      </c>
      <c r="D232" s="35">
        <f>IF(A232="","",TODAY())</f>
        <v/>
      </c>
      <c r="E232" s="34" t="n"/>
      <c r="F232" s="34">
        <f>IFERROR(IF(OR(A232="",E232=""),"",C232+E232),"")</f>
        <v/>
      </c>
      <c r="G232" s="33" t="n"/>
      <c r="H232" s="33" t="n"/>
    </row>
    <row r="233">
      <c r="A233" s="26" t="n"/>
      <c r="B233" s="26">
        <f>IFERROR(IF(A233="","",VLOOKUP(A233,DATABASE!A:B,2,0)),"")</f>
        <v/>
      </c>
      <c r="C233" s="30">
        <f>IFERROR(IF(A233="","",VLOOKUP(A233,DATABASE!A:J,10,0)),"")</f>
        <v/>
      </c>
      <c r="D233" s="31">
        <f>IF(A233="","",TODAY())</f>
        <v/>
      </c>
      <c r="E233" s="30" t="n"/>
      <c r="F233" s="30">
        <f>IFERROR(IF(OR(A233="",E233=""),"",C233+E233),"")</f>
        <v/>
      </c>
      <c r="G233" s="26" t="n"/>
      <c r="H233" s="26" t="n"/>
    </row>
    <row r="234">
      <c r="A234" s="33" t="n"/>
      <c r="B234" s="33">
        <f>IFERROR(IF(A234="","",VLOOKUP(A234,DATABASE!A:B,2,0)),"")</f>
        <v/>
      </c>
      <c r="C234" s="34">
        <f>IFERROR(IF(A234="","",VLOOKUP(A234,DATABASE!A:J,10,0)),"")</f>
        <v/>
      </c>
      <c r="D234" s="35">
        <f>IF(A234="","",TODAY())</f>
        <v/>
      </c>
      <c r="E234" s="34" t="n"/>
      <c r="F234" s="34">
        <f>IFERROR(IF(OR(A234="",E234=""),"",C234+E234),"")</f>
        <v/>
      </c>
      <c r="G234" s="33" t="n"/>
      <c r="H234" s="33" t="n"/>
    </row>
    <row r="235">
      <c r="A235" s="26" t="n"/>
      <c r="B235" s="26">
        <f>IFERROR(IF(A235="","",VLOOKUP(A235,DATABASE!A:B,2,0)),"")</f>
        <v/>
      </c>
      <c r="C235" s="30">
        <f>IFERROR(IF(A235="","",VLOOKUP(A235,DATABASE!A:J,10,0)),"")</f>
        <v/>
      </c>
      <c r="D235" s="31">
        <f>IF(A235="","",TODAY())</f>
        <v/>
      </c>
      <c r="E235" s="30" t="n"/>
      <c r="F235" s="30">
        <f>IFERROR(IF(OR(A235="",E235=""),"",C235+E235),"")</f>
        <v/>
      </c>
      <c r="G235" s="26" t="n"/>
      <c r="H235" s="26" t="n"/>
    </row>
    <row r="236">
      <c r="A236" s="33" t="n"/>
      <c r="B236" s="33">
        <f>IFERROR(IF(A236="","",VLOOKUP(A236,DATABASE!A:B,2,0)),"")</f>
        <v/>
      </c>
      <c r="C236" s="34">
        <f>IFERROR(IF(A236="","",VLOOKUP(A236,DATABASE!A:J,10,0)),"")</f>
        <v/>
      </c>
      <c r="D236" s="35">
        <f>IF(A236="","",TODAY())</f>
        <v/>
      </c>
      <c r="E236" s="34" t="n"/>
      <c r="F236" s="34">
        <f>IFERROR(IF(OR(A236="",E236=""),"",C236+E236),"")</f>
        <v/>
      </c>
      <c r="G236" s="33" t="n"/>
      <c r="H236" s="33" t="n"/>
    </row>
    <row r="237">
      <c r="A237" s="26" t="n"/>
      <c r="B237" s="26">
        <f>IFERROR(IF(A237="","",VLOOKUP(A237,DATABASE!A:B,2,0)),"")</f>
        <v/>
      </c>
      <c r="C237" s="30">
        <f>IFERROR(IF(A237="","",VLOOKUP(A237,DATABASE!A:J,10,0)),"")</f>
        <v/>
      </c>
      <c r="D237" s="31">
        <f>IF(A237="","",TODAY())</f>
        <v/>
      </c>
      <c r="E237" s="30" t="n"/>
      <c r="F237" s="30">
        <f>IFERROR(IF(OR(A237="",E237=""),"",C237+E237),"")</f>
        <v/>
      </c>
      <c r="G237" s="26" t="n"/>
      <c r="H237" s="26" t="n"/>
    </row>
    <row r="238">
      <c r="A238" s="33" t="n"/>
      <c r="B238" s="33">
        <f>IFERROR(IF(A238="","",VLOOKUP(A238,DATABASE!A:B,2,0)),"")</f>
        <v/>
      </c>
      <c r="C238" s="34">
        <f>IFERROR(IF(A238="","",VLOOKUP(A238,DATABASE!A:J,10,0)),"")</f>
        <v/>
      </c>
      <c r="D238" s="35">
        <f>IF(A238="","",TODAY())</f>
        <v/>
      </c>
      <c r="E238" s="34" t="n"/>
      <c r="F238" s="34">
        <f>IFERROR(IF(OR(A238="",E238=""),"",C238+E238),"")</f>
        <v/>
      </c>
      <c r="G238" s="33" t="n"/>
      <c r="H238" s="33" t="n"/>
    </row>
    <row r="239">
      <c r="A239" s="26" t="n"/>
      <c r="B239" s="26">
        <f>IFERROR(IF(A239="","",VLOOKUP(A239,DATABASE!A:B,2,0)),"")</f>
        <v/>
      </c>
      <c r="C239" s="30">
        <f>IFERROR(IF(A239="","",VLOOKUP(A239,DATABASE!A:J,10,0)),"")</f>
        <v/>
      </c>
      <c r="D239" s="31">
        <f>IF(A239="","",TODAY())</f>
        <v/>
      </c>
      <c r="E239" s="30" t="n"/>
      <c r="F239" s="30">
        <f>IFERROR(IF(OR(A239="",E239=""),"",C239+E239),"")</f>
        <v/>
      </c>
      <c r="G239" s="26" t="n"/>
      <c r="H239" s="26" t="n"/>
    </row>
    <row r="240">
      <c r="A240" s="33" t="n"/>
      <c r="B240" s="33">
        <f>IFERROR(IF(A240="","",VLOOKUP(A240,DATABASE!A:B,2,0)),"")</f>
        <v/>
      </c>
      <c r="C240" s="34">
        <f>IFERROR(IF(A240="","",VLOOKUP(A240,DATABASE!A:J,10,0)),"")</f>
        <v/>
      </c>
      <c r="D240" s="35">
        <f>IF(A240="","",TODAY())</f>
        <v/>
      </c>
      <c r="E240" s="34" t="n"/>
      <c r="F240" s="34">
        <f>IFERROR(IF(OR(A240="",E240=""),"",C240+E240),"")</f>
        <v/>
      </c>
      <c r="G240" s="33" t="n"/>
      <c r="H240" s="33" t="n"/>
    </row>
    <row r="241">
      <c r="A241" s="26" t="n"/>
      <c r="B241" s="26">
        <f>IFERROR(IF(A241="","",VLOOKUP(A241,DATABASE!A:B,2,0)),"")</f>
        <v/>
      </c>
      <c r="C241" s="30">
        <f>IFERROR(IF(A241="","",VLOOKUP(A241,DATABASE!A:J,10,0)),"")</f>
        <v/>
      </c>
      <c r="D241" s="31">
        <f>IF(A241="","",TODAY())</f>
        <v/>
      </c>
      <c r="E241" s="30" t="n"/>
      <c r="F241" s="30">
        <f>IFERROR(IF(OR(A241="",E241=""),"",C241+E241),"")</f>
        <v/>
      </c>
      <c r="G241" s="26" t="n"/>
      <c r="H241" s="26" t="n"/>
    </row>
    <row r="242">
      <c r="A242" s="33" t="n"/>
      <c r="B242" s="33">
        <f>IFERROR(IF(A242="","",VLOOKUP(A242,DATABASE!A:B,2,0)),"")</f>
        <v/>
      </c>
      <c r="C242" s="34">
        <f>IFERROR(IF(A242="","",VLOOKUP(A242,DATABASE!A:J,10,0)),"")</f>
        <v/>
      </c>
      <c r="D242" s="35">
        <f>IF(A242="","",TODAY())</f>
        <v/>
      </c>
      <c r="E242" s="34" t="n"/>
      <c r="F242" s="34">
        <f>IFERROR(IF(OR(A242="",E242=""),"",C242+E242),"")</f>
        <v/>
      </c>
      <c r="G242" s="33" t="n"/>
      <c r="H242" s="33" t="n"/>
    </row>
    <row r="243">
      <c r="A243" s="26" t="n"/>
      <c r="B243" s="26">
        <f>IFERROR(IF(A243="","",VLOOKUP(A243,DATABASE!A:B,2,0)),"")</f>
        <v/>
      </c>
      <c r="C243" s="30">
        <f>IFERROR(IF(A243="","",VLOOKUP(A243,DATABASE!A:J,10,0)),"")</f>
        <v/>
      </c>
      <c r="D243" s="31">
        <f>IF(A243="","",TODAY())</f>
        <v/>
      </c>
      <c r="E243" s="30" t="n"/>
      <c r="F243" s="30">
        <f>IFERROR(IF(OR(A243="",E243=""),"",C243+E243),"")</f>
        <v/>
      </c>
      <c r="G243" s="26" t="n"/>
      <c r="H243" s="26" t="n"/>
    </row>
    <row r="244">
      <c r="A244" s="33" t="n"/>
      <c r="B244" s="33">
        <f>IFERROR(IF(A244="","",VLOOKUP(A244,DATABASE!A:B,2,0)),"")</f>
        <v/>
      </c>
      <c r="C244" s="34">
        <f>IFERROR(IF(A244="","",VLOOKUP(A244,DATABASE!A:J,10,0)),"")</f>
        <v/>
      </c>
      <c r="D244" s="35">
        <f>IF(A244="","",TODAY())</f>
        <v/>
      </c>
      <c r="E244" s="34" t="n"/>
      <c r="F244" s="34">
        <f>IFERROR(IF(OR(A244="",E244=""),"",C244+E244),"")</f>
        <v/>
      </c>
      <c r="G244" s="33" t="n"/>
      <c r="H244" s="33" t="n"/>
    </row>
    <row r="245">
      <c r="A245" s="26" t="n"/>
      <c r="B245" s="26">
        <f>IFERROR(IF(A245="","",VLOOKUP(A245,DATABASE!A:B,2,0)),"")</f>
        <v/>
      </c>
      <c r="C245" s="30">
        <f>IFERROR(IF(A245="","",VLOOKUP(A245,DATABASE!A:J,10,0)),"")</f>
        <v/>
      </c>
      <c r="D245" s="31">
        <f>IF(A245="","",TODAY())</f>
        <v/>
      </c>
      <c r="E245" s="30" t="n"/>
      <c r="F245" s="30">
        <f>IFERROR(IF(OR(A245="",E245=""),"",C245+E245),"")</f>
        <v/>
      </c>
      <c r="G245" s="26" t="n"/>
      <c r="H245" s="26" t="n"/>
    </row>
    <row r="246">
      <c r="A246" s="33" t="n"/>
      <c r="B246" s="33">
        <f>IFERROR(IF(A246="","",VLOOKUP(A246,DATABASE!A:B,2,0)),"")</f>
        <v/>
      </c>
      <c r="C246" s="34">
        <f>IFERROR(IF(A246="","",VLOOKUP(A246,DATABASE!A:J,10,0)),"")</f>
        <v/>
      </c>
      <c r="D246" s="35">
        <f>IF(A246="","",TODAY())</f>
        <v/>
      </c>
      <c r="E246" s="34" t="n"/>
      <c r="F246" s="34">
        <f>IFERROR(IF(OR(A246="",E246=""),"",C246+E246),"")</f>
        <v/>
      </c>
      <c r="G246" s="33" t="n"/>
      <c r="H246" s="33" t="n"/>
    </row>
    <row r="247">
      <c r="A247" s="26" t="n"/>
      <c r="B247" s="26">
        <f>IFERROR(IF(A247="","",VLOOKUP(A247,DATABASE!A:B,2,0)),"")</f>
        <v/>
      </c>
      <c r="C247" s="30">
        <f>IFERROR(IF(A247="","",VLOOKUP(A247,DATABASE!A:J,10,0)),"")</f>
        <v/>
      </c>
      <c r="D247" s="31">
        <f>IF(A247="","",TODAY())</f>
        <v/>
      </c>
      <c r="E247" s="30" t="n"/>
      <c r="F247" s="30">
        <f>IFERROR(IF(OR(A247="",E247=""),"",C247+E247),"")</f>
        <v/>
      </c>
      <c r="G247" s="26" t="n"/>
      <c r="H247" s="26" t="n"/>
    </row>
    <row r="248">
      <c r="A248" s="33" t="n"/>
      <c r="B248" s="33">
        <f>IFERROR(IF(A248="","",VLOOKUP(A248,DATABASE!A:B,2,0)),"")</f>
        <v/>
      </c>
      <c r="C248" s="34">
        <f>IFERROR(IF(A248="","",VLOOKUP(A248,DATABASE!A:J,10,0)),"")</f>
        <v/>
      </c>
      <c r="D248" s="35">
        <f>IF(A248="","",TODAY())</f>
        <v/>
      </c>
      <c r="E248" s="34" t="n"/>
      <c r="F248" s="34">
        <f>IFERROR(IF(OR(A248="",E248=""),"",C248+E248),"")</f>
        <v/>
      </c>
      <c r="G248" s="33" t="n"/>
      <c r="H248" s="33" t="n"/>
    </row>
    <row r="249">
      <c r="A249" s="26" t="n"/>
      <c r="B249" s="26">
        <f>IFERROR(IF(A249="","",VLOOKUP(A249,DATABASE!A:B,2,0)),"")</f>
        <v/>
      </c>
      <c r="C249" s="30">
        <f>IFERROR(IF(A249="","",VLOOKUP(A249,DATABASE!A:J,10,0)),"")</f>
        <v/>
      </c>
      <c r="D249" s="31">
        <f>IF(A249="","",TODAY())</f>
        <v/>
      </c>
      <c r="E249" s="30" t="n"/>
      <c r="F249" s="30">
        <f>IFERROR(IF(OR(A249="",E249=""),"",C249+E249),"")</f>
        <v/>
      </c>
      <c r="G249" s="26" t="n"/>
      <c r="H249" s="26" t="n"/>
    </row>
    <row r="250">
      <c r="A250" s="33" t="n"/>
      <c r="B250" s="33">
        <f>IFERROR(IF(A250="","",VLOOKUP(A250,DATABASE!A:B,2,0)),"")</f>
        <v/>
      </c>
      <c r="C250" s="34">
        <f>IFERROR(IF(A250="","",VLOOKUP(A250,DATABASE!A:J,10,0)),"")</f>
        <v/>
      </c>
      <c r="D250" s="35">
        <f>IF(A250="","",TODAY())</f>
        <v/>
      </c>
      <c r="E250" s="34" t="n"/>
      <c r="F250" s="34">
        <f>IFERROR(IF(OR(A250="",E250=""),"",C250+E250),"")</f>
        <v/>
      </c>
      <c r="G250" s="33" t="n"/>
      <c r="H250" s="33" t="n"/>
    </row>
    <row r="251">
      <c r="A251" s="26" t="n"/>
      <c r="B251" s="26">
        <f>IFERROR(IF(A251="","",VLOOKUP(A251,DATABASE!A:B,2,0)),"")</f>
        <v/>
      </c>
      <c r="C251" s="30">
        <f>IFERROR(IF(A251="","",VLOOKUP(A251,DATABASE!A:J,10,0)),"")</f>
        <v/>
      </c>
      <c r="D251" s="31">
        <f>IF(A251="","",TODAY())</f>
        <v/>
      </c>
      <c r="E251" s="30" t="n"/>
      <c r="F251" s="30">
        <f>IFERROR(IF(OR(A251="",E251=""),"",C251+E251),"")</f>
        <v/>
      </c>
      <c r="G251" s="26" t="n"/>
      <c r="H251" s="26" t="n"/>
    </row>
    <row r="252">
      <c r="A252" s="33" t="n"/>
      <c r="B252" s="33">
        <f>IFERROR(IF(A252="","",VLOOKUP(A252,DATABASE!A:B,2,0)),"")</f>
        <v/>
      </c>
      <c r="C252" s="34">
        <f>IFERROR(IF(A252="","",VLOOKUP(A252,DATABASE!A:J,10,0)),"")</f>
        <v/>
      </c>
      <c r="D252" s="35">
        <f>IF(A252="","",TODAY())</f>
        <v/>
      </c>
      <c r="E252" s="34" t="n"/>
      <c r="F252" s="34">
        <f>IFERROR(IF(OR(A252="",E252=""),"",C252+E252),"")</f>
        <v/>
      </c>
      <c r="G252" s="33" t="n"/>
      <c r="H252" s="33" t="n"/>
    </row>
    <row r="253">
      <c r="A253" s="26" t="n"/>
      <c r="B253" s="26">
        <f>IFERROR(IF(A253="","",VLOOKUP(A253,DATABASE!A:B,2,0)),"")</f>
        <v/>
      </c>
      <c r="C253" s="30">
        <f>IFERROR(IF(A253="","",VLOOKUP(A253,DATABASE!A:J,10,0)),"")</f>
        <v/>
      </c>
      <c r="D253" s="31">
        <f>IF(A253="","",TODAY())</f>
        <v/>
      </c>
      <c r="E253" s="30" t="n"/>
      <c r="F253" s="30">
        <f>IFERROR(IF(OR(A253="",E253=""),"",C253+E253),"")</f>
        <v/>
      </c>
      <c r="G253" s="26" t="n"/>
      <c r="H253" s="26" t="n"/>
    </row>
    <row r="254">
      <c r="A254" s="33" t="n"/>
      <c r="B254" s="33">
        <f>IFERROR(IF(A254="","",VLOOKUP(A254,DATABASE!A:B,2,0)),"")</f>
        <v/>
      </c>
      <c r="C254" s="34">
        <f>IFERROR(IF(A254="","",VLOOKUP(A254,DATABASE!A:J,10,0)),"")</f>
        <v/>
      </c>
      <c r="D254" s="35">
        <f>IF(A254="","",TODAY())</f>
        <v/>
      </c>
      <c r="E254" s="34" t="n"/>
      <c r="F254" s="34">
        <f>IFERROR(IF(OR(A254="",E254=""),"",C254+E254),"")</f>
        <v/>
      </c>
      <c r="G254" s="33" t="n"/>
      <c r="H254" s="33" t="n"/>
    </row>
    <row r="255">
      <c r="A255" s="26" t="n"/>
      <c r="B255" s="26">
        <f>IFERROR(IF(A255="","",VLOOKUP(A255,DATABASE!A:B,2,0)),"")</f>
        <v/>
      </c>
      <c r="C255" s="30">
        <f>IFERROR(IF(A255="","",VLOOKUP(A255,DATABASE!A:J,10,0)),"")</f>
        <v/>
      </c>
      <c r="D255" s="31">
        <f>IF(A255="","",TODAY())</f>
        <v/>
      </c>
      <c r="E255" s="30" t="n"/>
      <c r="F255" s="30">
        <f>IFERROR(IF(OR(A255="",E255=""),"",C255+E255),"")</f>
        <v/>
      </c>
      <c r="G255" s="26" t="n"/>
      <c r="H255" s="26" t="n"/>
    </row>
    <row r="256">
      <c r="A256" s="33" t="n"/>
      <c r="B256" s="33">
        <f>IFERROR(IF(A256="","",VLOOKUP(A256,DATABASE!A:B,2,0)),"")</f>
        <v/>
      </c>
      <c r="C256" s="34">
        <f>IFERROR(IF(A256="","",VLOOKUP(A256,DATABASE!A:J,10,0)),"")</f>
        <v/>
      </c>
      <c r="D256" s="35">
        <f>IF(A256="","",TODAY())</f>
        <v/>
      </c>
      <c r="E256" s="34" t="n"/>
      <c r="F256" s="34">
        <f>IFERROR(IF(OR(A256="",E256=""),"",C256+E256),"")</f>
        <v/>
      </c>
      <c r="G256" s="33" t="n"/>
      <c r="H256" s="33" t="n"/>
    </row>
    <row r="257">
      <c r="A257" s="26" t="n"/>
      <c r="B257" s="26">
        <f>IFERROR(IF(A257="","",VLOOKUP(A257,DATABASE!A:B,2,0)),"")</f>
        <v/>
      </c>
      <c r="C257" s="30">
        <f>IFERROR(IF(A257="","",VLOOKUP(A257,DATABASE!A:J,10,0)),"")</f>
        <v/>
      </c>
      <c r="D257" s="31">
        <f>IF(A257="","",TODAY())</f>
        <v/>
      </c>
      <c r="E257" s="30" t="n"/>
      <c r="F257" s="30">
        <f>IFERROR(IF(OR(A257="",E257=""),"",C257+E257),"")</f>
        <v/>
      </c>
      <c r="G257" s="26" t="n"/>
      <c r="H257" s="26" t="n"/>
    </row>
    <row r="258">
      <c r="A258" s="33" t="n"/>
      <c r="B258" s="33">
        <f>IFERROR(IF(A258="","",VLOOKUP(A258,DATABASE!A:B,2,0)),"")</f>
        <v/>
      </c>
      <c r="C258" s="34">
        <f>IFERROR(IF(A258="","",VLOOKUP(A258,DATABASE!A:J,10,0)),"")</f>
        <v/>
      </c>
      <c r="D258" s="35">
        <f>IF(A258="","",TODAY())</f>
        <v/>
      </c>
      <c r="E258" s="34" t="n"/>
      <c r="F258" s="34">
        <f>IFERROR(IF(OR(A258="",E258=""),"",C258+E258),"")</f>
        <v/>
      </c>
      <c r="G258" s="33" t="n"/>
      <c r="H258" s="33" t="n"/>
    </row>
    <row r="259">
      <c r="A259" s="26" t="n"/>
      <c r="B259" s="26">
        <f>IFERROR(IF(A259="","",VLOOKUP(A259,DATABASE!A:B,2,0)),"")</f>
        <v/>
      </c>
      <c r="C259" s="30">
        <f>IFERROR(IF(A259="","",VLOOKUP(A259,DATABASE!A:J,10,0)),"")</f>
        <v/>
      </c>
      <c r="D259" s="31">
        <f>IF(A259="","",TODAY())</f>
        <v/>
      </c>
      <c r="E259" s="30" t="n"/>
      <c r="F259" s="30">
        <f>IFERROR(IF(OR(A259="",E259=""),"",C259+E259),"")</f>
        <v/>
      </c>
      <c r="G259" s="26" t="n"/>
      <c r="H259" s="26" t="n"/>
    </row>
    <row r="260">
      <c r="A260" s="33" t="n"/>
      <c r="B260" s="33">
        <f>IFERROR(IF(A260="","",VLOOKUP(A260,DATABASE!A:B,2,0)),"")</f>
        <v/>
      </c>
      <c r="C260" s="34">
        <f>IFERROR(IF(A260="","",VLOOKUP(A260,DATABASE!A:J,10,0)),"")</f>
        <v/>
      </c>
      <c r="D260" s="35">
        <f>IF(A260="","",TODAY())</f>
        <v/>
      </c>
      <c r="E260" s="34" t="n"/>
      <c r="F260" s="34">
        <f>IFERROR(IF(OR(A260="",E260=""),"",C260+E260),"")</f>
        <v/>
      </c>
      <c r="G260" s="33" t="n"/>
      <c r="H260" s="33" t="n"/>
    </row>
    <row r="261">
      <c r="A261" s="26" t="n"/>
      <c r="B261" s="26">
        <f>IFERROR(IF(A261="","",VLOOKUP(A261,DATABASE!A:B,2,0)),"")</f>
        <v/>
      </c>
      <c r="C261" s="30">
        <f>IFERROR(IF(A261="","",VLOOKUP(A261,DATABASE!A:J,10,0)),"")</f>
        <v/>
      </c>
      <c r="D261" s="31">
        <f>IF(A261="","",TODAY())</f>
        <v/>
      </c>
      <c r="E261" s="30" t="n"/>
      <c r="F261" s="30">
        <f>IFERROR(IF(OR(A261="",E261=""),"",C261+E261),"")</f>
        <v/>
      </c>
      <c r="G261" s="26" t="n"/>
      <c r="H261" s="26" t="n"/>
    </row>
    <row r="262">
      <c r="A262" s="33" t="n"/>
      <c r="B262" s="33">
        <f>IFERROR(IF(A262="","",VLOOKUP(A262,DATABASE!A:B,2,0)),"")</f>
        <v/>
      </c>
      <c r="C262" s="34">
        <f>IFERROR(IF(A262="","",VLOOKUP(A262,DATABASE!A:J,10,0)),"")</f>
        <v/>
      </c>
      <c r="D262" s="35">
        <f>IF(A262="","",TODAY())</f>
        <v/>
      </c>
      <c r="E262" s="34" t="n"/>
      <c r="F262" s="34">
        <f>IFERROR(IF(OR(A262="",E262=""),"",C262+E262),"")</f>
        <v/>
      </c>
      <c r="G262" s="33" t="n"/>
      <c r="H262" s="33" t="n"/>
    </row>
    <row r="263">
      <c r="A263" s="26" t="n"/>
      <c r="B263" s="26">
        <f>IFERROR(IF(A263="","",VLOOKUP(A263,DATABASE!A:B,2,0)),"")</f>
        <v/>
      </c>
      <c r="C263" s="30">
        <f>IFERROR(IF(A263="","",VLOOKUP(A263,DATABASE!A:J,10,0)),"")</f>
        <v/>
      </c>
      <c r="D263" s="31">
        <f>IF(A263="","",TODAY())</f>
        <v/>
      </c>
      <c r="E263" s="30" t="n"/>
      <c r="F263" s="30">
        <f>IFERROR(IF(OR(A263="",E263=""),"",C263+E263),"")</f>
        <v/>
      </c>
      <c r="G263" s="26" t="n"/>
      <c r="H263" s="26" t="n"/>
    </row>
    <row r="264">
      <c r="A264" s="33" t="n"/>
      <c r="B264" s="33">
        <f>IFERROR(IF(A264="","",VLOOKUP(A264,DATABASE!A:B,2,0)),"")</f>
        <v/>
      </c>
      <c r="C264" s="34">
        <f>IFERROR(IF(A264="","",VLOOKUP(A264,DATABASE!A:J,10,0)),"")</f>
        <v/>
      </c>
      <c r="D264" s="35">
        <f>IF(A264="","",TODAY())</f>
        <v/>
      </c>
      <c r="E264" s="34" t="n"/>
      <c r="F264" s="34">
        <f>IFERROR(IF(OR(A264="",E264=""),"",C264+E264),"")</f>
        <v/>
      </c>
      <c r="G264" s="33" t="n"/>
      <c r="H264" s="33" t="n"/>
    </row>
    <row r="265">
      <c r="A265" s="26" t="n"/>
      <c r="B265" s="26">
        <f>IFERROR(IF(A265="","",VLOOKUP(A265,DATABASE!A:B,2,0)),"")</f>
        <v/>
      </c>
      <c r="C265" s="30">
        <f>IFERROR(IF(A265="","",VLOOKUP(A265,DATABASE!A:J,10,0)),"")</f>
        <v/>
      </c>
      <c r="D265" s="31">
        <f>IF(A265="","",TODAY())</f>
        <v/>
      </c>
      <c r="E265" s="30" t="n"/>
      <c r="F265" s="30">
        <f>IFERROR(IF(OR(A265="",E265=""),"",C265+E265),"")</f>
        <v/>
      </c>
      <c r="G265" s="26" t="n"/>
      <c r="H265" s="26" t="n"/>
    </row>
    <row r="266">
      <c r="A266" s="33" t="n"/>
      <c r="B266" s="33">
        <f>IFERROR(IF(A266="","",VLOOKUP(A266,DATABASE!A:B,2,0)),"")</f>
        <v/>
      </c>
      <c r="C266" s="34">
        <f>IFERROR(IF(A266="","",VLOOKUP(A266,DATABASE!A:J,10,0)),"")</f>
        <v/>
      </c>
      <c r="D266" s="35">
        <f>IF(A266="","",TODAY())</f>
        <v/>
      </c>
      <c r="E266" s="34" t="n"/>
      <c r="F266" s="34">
        <f>IFERROR(IF(OR(A266="",E266=""),"",C266+E266),"")</f>
        <v/>
      </c>
      <c r="G266" s="33" t="n"/>
      <c r="H266" s="33" t="n"/>
    </row>
    <row r="267">
      <c r="A267" s="26" t="n"/>
      <c r="B267" s="26">
        <f>IFERROR(IF(A267="","",VLOOKUP(A267,DATABASE!A:B,2,0)),"")</f>
        <v/>
      </c>
      <c r="C267" s="30">
        <f>IFERROR(IF(A267="","",VLOOKUP(A267,DATABASE!A:J,10,0)),"")</f>
        <v/>
      </c>
      <c r="D267" s="31">
        <f>IF(A267="","",TODAY())</f>
        <v/>
      </c>
      <c r="E267" s="30" t="n"/>
      <c r="F267" s="30">
        <f>IFERROR(IF(OR(A267="",E267=""),"",C267+E267),"")</f>
        <v/>
      </c>
      <c r="G267" s="26" t="n"/>
      <c r="H267" s="26" t="n"/>
    </row>
    <row r="268">
      <c r="A268" s="33" t="n"/>
      <c r="B268" s="33">
        <f>IFERROR(IF(A268="","",VLOOKUP(A268,DATABASE!A:B,2,0)),"")</f>
        <v/>
      </c>
      <c r="C268" s="34">
        <f>IFERROR(IF(A268="","",VLOOKUP(A268,DATABASE!A:J,10,0)),"")</f>
        <v/>
      </c>
      <c r="D268" s="35">
        <f>IF(A268="","",TODAY())</f>
        <v/>
      </c>
      <c r="E268" s="34" t="n"/>
      <c r="F268" s="34">
        <f>IFERROR(IF(OR(A268="",E268=""),"",C268+E268),"")</f>
        <v/>
      </c>
      <c r="G268" s="33" t="n"/>
      <c r="H268" s="33" t="n"/>
    </row>
    <row r="269">
      <c r="A269" s="26" t="n"/>
      <c r="B269" s="26">
        <f>IFERROR(IF(A269="","",VLOOKUP(A269,DATABASE!A:B,2,0)),"")</f>
        <v/>
      </c>
      <c r="C269" s="30">
        <f>IFERROR(IF(A269="","",VLOOKUP(A269,DATABASE!A:J,10,0)),"")</f>
        <v/>
      </c>
      <c r="D269" s="31">
        <f>IF(A269="","",TODAY())</f>
        <v/>
      </c>
      <c r="E269" s="30" t="n"/>
      <c r="F269" s="30">
        <f>IFERROR(IF(OR(A269="",E269=""),"",C269+E269),"")</f>
        <v/>
      </c>
      <c r="G269" s="26" t="n"/>
      <c r="H269" s="26" t="n"/>
    </row>
    <row r="270">
      <c r="A270" s="33" t="n"/>
      <c r="B270" s="33">
        <f>IFERROR(IF(A270="","",VLOOKUP(A270,DATABASE!A:B,2,0)),"")</f>
        <v/>
      </c>
      <c r="C270" s="34">
        <f>IFERROR(IF(A270="","",VLOOKUP(A270,DATABASE!A:J,10,0)),"")</f>
        <v/>
      </c>
      <c r="D270" s="35">
        <f>IF(A270="","",TODAY())</f>
        <v/>
      </c>
      <c r="E270" s="34" t="n"/>
      <c r="F270" s="34">
        <f>IFERROR(IF(OR(A270="",E270=""),"",C270+E270),"")</f>
        <v/>
      </c>
      <c r="G270" s="33" t="n"/>
      <c r="H270" s="33" t="n"/>
    </row>
    <row r="271">
      <c r="A271" s="26" t="n"/>
      <c r="B271" s="26">
        <f>IFERROR(IF(A271="","",VLOOKUP(A271,DATABASE!A:B,2,0)),"")</f>
        <v/>
      </c>
      <c r="C271" s="30">
        <f>IFERROR(IF(A271="","",VLOOKUP(A271,DATABASE!A:J,10,0)),"")</f>
        <v/>
      </c>
      <c r="D271" s="31">
        <f>IF(A271="","",TODAY())</f>
        <v/>
      </c>
      <c r="E271" s="30" t="n"/>
      <c r="F271" s="30">
        <f>IFERROR(IF(OR(A271="",E271=""),"",C271+E271),"")</f>
        <v/>
      </c>
      <c r="G271" s="26" t="n"/>
      <c r="H271" s="26" t="n"/>
    </row>
    <row r="272">
      <c r="A272" s="33" t="n"/>
      <c r="B272" s="33">
        <f>IFERROR(IF(A272="","",VLOOKUP(A272,DATABASE!A:B,2,0)),"")</f>
        <v/>
      </c>
      <c r="C272" s="34">
        <f>IFERROR(IF(A272="","",VLOOKUP(A272,DATABASE!A:J,10,0)),"")</f>
        <v/>
      </c>
      <c r="D272" s="35">
        <f>IF(A272="","",TODAY())</f>
        <v/>
      </c>
      <c r="E272" s="34" t="n"/>
      <c r="F272" s="34">
        <f>IFERROR(IF(OR(A272="",E272=""),"",C272+E272),"")</f>
        <v/>
      </c>
      <c r="G272" s="33" t="n"/>
      <c r="H272" s="33" t="n"/>
    </row>
    <row r="273">
      <c r="A273" s="26" t="n"/>
      <c r="B273" s="26">
        <f>IFERROR(IF(A273="","",VLOOKUP(A273,DATABASE!A:B,2,0)),"")</f>
        <v/>
      </c>
      <c r="C273" s="30">
        <f>IFERROR(IF(A273="","",VLOOKUP(A273,DATABASE!A:J,10,0)),"")</f>
        <v/>
      </c>
      <c r="D273" s="31">
        <f>IF(A273="","",TODAY())</f>
        <v/>
      </c>
      <c r="E273" s="30" t="n"/>
      <c r="F273" s="30">
        <f>IFERROR(IF(OR(A273="",E273=""),"",C273+E273),"")</f>
        <v/>
      </c>
      <c r="G273" s="26" t="n"/>
      <c r="H273" s="26" t="n"/>
    </row>
    <row r="274">
      <c r="A274" s="33" t="n"/>
      <c r="B274" s="33">
        <f>IFERROR(IF(A274="","",VLOOKUP(A274,DATABASE!A:B,2,0)),"")</f>
        <v/>
      </c>
      <c r="C274" s="34">
        <f>IFERROR(IF(A274="","",VLOOKUP(A274,DATABASE!A:J,10,0)),"")</f>
        <v/>
      </c>
      <c r="D274" s="35">
        <f>IF(A274="","",TODAY())</f>
        <v/>
      </c>
      <c r="E274" s="34" t="n"/>
      <c r="F274" s="34">
        <f>IFERROR(IF(OR(A274="",E274=""),"",C274+E274),"")</f>
        <v/>
      </c>
      <c r="G274" s="33" t="n"/>
      <c r="H274" s="33" t="n"/>
    </row>
    <row r="275">
      <c r="A275" s="26" t="n"/>
      <c r="B275" s="26">
        <f>IFERROR(IF(A275="","",VLOOKUP(A275,DATABASE!A:B,2,0)),"")</f>
        <v/>
      </c>
      <c r="C275" s="30">
        <f>IFERROR(IF(A275="","",VLOOKUP(A275,DATABASE!A:J,10,0)),"")</f>
        <v/>
      </c>
      <c r="D275" s="31">
        <f>IF(A275="","",TODAY())</f>
        <v/>
      </c>
      <c r="E275" s="30" t="n"/>
      <c r="F275" s="30">
        <f>IFERROR(IF(OR(A275="",E275=""),"",C275+E275),"")</f>
        <v/>
      </c>
      <c r="G275" s="26" t="n"/>
      <c r="H275" s="26" t="n"/>
    </row>
    <row r="276">
      <c r="A276" s="33" t="n"/>
      <c r="B276" s="33">
        <f>IFERROR(IF(A276="","",VLOOKUP(A276,DATABASE!A:B,2,0)),"")</f>
        <v/>
      </c>
      <c r="C276" s="34">
        <f>IFERROR(IF(A276="","",VLOOKUP(A276,DATABASE!A:J,10,0)),"")</f>
        <v/>
      </c>
      <c r="D276" s="35">
        <f>IF(A276="","",TODAY())</f>
        <v/>
      </c>
      <c r="E276" s="34" t="n"/>
      <c r="F276" s="34">
        <f>IFERROR(IF(OR(A276="",E276=""),"",C276+E276),"")</f>
        <v/>
      </c>
      <c r="G276" s="33" t="n"/>
      <c r="H276" s="33" t="n"/>
    </row>
    <row r="277">
      <c r="A277" s="26" t="n"/>
      <c r="B277" s="26">
        <f>IFERROR(IF(A277="","",VLOOKUP(A277,DATABASE!A:B,2,0)),"")</f>
        <v/>
      </c>
      <c r="C277" s="30">
        <f>IFERROR(IF(A277="","",VLOOKUP(A277,DATABASE!A:J,10,0)),"")</f>
        <v/>
      </c>
      <c r="D277" s="31">
        <f>IF(A277="","",TODAY())</f>
        <v/>
      </c>
      <c r="E277" s="30" t="n"/>
      <c r="F277" s="30">
        <f>IFERROR(IF(OR(A277="",E277=""),"",C277+E277),"")</f>
        <v/>
      </c>
      <c r="G277" s="26" t="n"/>
      <c r="H277" s="26" t="n"/>
    </row>
    <row r="278">
      <c r="A278" s="33" t="n"/>
      <c r="B278" s="33">
        <f>IFERROR(IF(A278="","",VLOOKUP(A278,DATABASE!A:B,2,0)),"")</f>
        <v/>
      </c>
      <c r="C278" s="34">
        <f>IFERROR(IF(A278="","",VLOOKUP(A278,DATABASE!A:J,10,0)),"")</f>
        <v/>
      </c>
      <c r="D278" s="35">
        <f>IF(A278="","",TODAY())</f>
        <v/>
      </c>
      <c r="E278" s="34" t="n"/>
      <c r="F278" s="34">
        <f>IFERROR(IF(OR(A278="",E278=""),"",C278+E278),"")</f>
        <v/>
      </c>
      <c r="G278" s="33" t="n"/>
      <c r="H278" s="33" t="n"/>
    </row>
    <row r="279">
      <c r="A279" s="26" t="n"/>
      <c r="B279" s="26">
        <f>IFERROR(IF(A279="","",VLOOKUP(A279,DATABASE!A:B,2,0)),"")</f>
        <v/>
      </c>
      <c r="C279" s="30">
        <f>IFERROR(IF(A279="","",VLOOKUP(A279,DATABASE!A:J,10,0)),"")</f>
        <v/>
      </c>
      <c r="D279" s="31">
        <f>IF(A279="","",TODAY())</f>
        <v/>
      </c>
      <c r="E279" s="30" t="n"/>
      <c r="F279" s="30">
        <f>IFERROR(IF(OR(A279="",E279=""),"",C279+E279),"")</f>
        <v/>
      </c>
      <c r="G279" s="26" t="n"/>
      <c r="H279" s="26" t="n"/>
    </row>
    <row r="280">
      <c r="A280" s="33" t="n"/>
      <c r="B280" s="33">
        <f>IFERROR(IF(A280="","",VLOOKUP(A280,DATABASE!A:B,2,0)),"")</f>
        <v/>
      </c>
      <c r="C280" s="34">
        <f>IFERROR(IF(A280="","",VLOOKUP(A280,DATABASE!A:J,10,0)),"")</f>
        <v/>
      </c>
      <c r="D280" s="35">
        <f>IF(A280="","",TODAY())</f>
        <v/>
      </c>
      <c r="E280" s="34" t="n"/>
      <c r="F280" s="34">
        <f>IFERROR(IF(OR(A280="",E280=""),"",C280+E280),"")</f>
        <v/>
      </c>
      <c r="G280" s="33" t="n"/>
      <c r="H280" s="33" t="n"/>
    </row>
    <row r="281">
      <c r="A281" s="26" t="n"/>
      <c r="B281" s="26">
        <f>IFERROR(IF(A281="","",VLOOKUP(A281,DATABASE!A:B,2,0)),"")</f>
        <v/>
      </c>
      <c r="C281" s="30">
        <f>IFERROR(IF(A281="","",VLOOKUP(A281,DATABASE!A:J,10,0)),"")</f>
        <v/>
      </c>
      <c r="D281" s="31">
        <f>IF(A281="","",TODAY())</f>
        <v/>
      </c>
      <c r="E281" s="30" t="n"/>
      <c r="F281" s="30">
        <f>IFERROR(IF(OR(A281="",E281=""),"",C281+E281),"")</f>
        <v/>
      </c>
      <c r="G281" s="26" t="n"/>
      <c r="H281" s="26" t="n"/>
    </row>
    <row r="282">
      <c r="A282" s="33" t="n"/>
      <c r="B282" s="33">
        <f>IFERROR(IF(A282="","",VLOOKUP(A282,DATABASE!A:B,2,0)),"")</f>
        <v/>
      </c>
      <c r="C282" s="34">
        <f>IFERROR(IF(A282="","",VLOOKUP(A282,DATABASE!A:J,10,0)),"")</f>
        <v/>
      </c>
      <c r="D282" s="35">
        <f>IF(A282="","",TODAY())</f>
        <v/>
      </c>
      <c r="E282" s="34" t="n"/>
      <c r="F282" s="34">
        <f>IFERROR(IF(OR(A282="",E282=""),"",C282+E282),"")</f>
        <v/>
      </c>
      <c r="G282" s="33" t="n"/>
      <c r="H282" s="33" t="n"/>
    </row>
    <row r="283">
      <c r="A283" s="26" t="n"/>
      <c r="B283" s="26">
        <f>IFERROR(IF(A283="","",VLOOKUP(A283,DATABASE!A:B,2,0)),"")</f>
        <v/>
      </c>
      <c r="C283" s="30">
        <f>IFERROR(IF(A283="","",VLOOKUP(A283,DATABASE!A:J,10,0)),"")</f>
        <v/>
      </c>
      <c r="D283" s="31">
        <f>IF(A283="","",TODAY())</f>
        <v/>
      </c>
      <c r="E283" s="30" t="n"/>
      <c r="F283" s="30">
        <f>IFERROR(IF(OR(A283="",E283=""),"",C283+E283),"")</f>
        <v/>
      </c>
      <c r="G283" s="26" t="n"/>
      <c r="H283" s="26" t="n"/>
    </row>
    <row r="284">
      <c r="A284" s="33" t="n"/>
      <c r="B284" s="33">
        <f>IFERROR(IF(A284="","",VLOOKUP(A284,DATABASE!A:B,2,0)),"")</f>
        <v/>
      </c>
      <c r="C284" s="34">
        <f>IFERROR(IF(A284="","",VLOOKUP(A284,DATABASE!A:J,10,0)),"")</f>
        <v/>
      </c>
      <c r="D284" s="35">
        <f>IF(A284="","",TODAY())</f>
        <v/>
      </c>
      <c r="E284" s="34" t="n"/>
      <c r="F284" s="34">
        <f>IFERROR(IF(OR(A284="",E284=""),"",C284+E284),"")</f>
        <v/>
      </c>
      <c r="G284" s="33" t="n"/>
      <c r="H284" s="33" t="n"/>
    </row>
    <row r="285">
      <c r="A285" s="26" t="n"/>
      <c r="B285" s="26">
        <f>IFERROR(IF(A285="","",VLOOKUP(A285,DATABASE!A:B,2,0)),"")</f>
        <v/>
      </c>
      <c r="C285" s="30">
        <f>IFERROR(IF(A285="","",VLOOKUP(A285,DATABASE!A:J,10,0)),"")</f>
        <v/>
      </c>
      <c r="D285" s="31">
        <f>IF(A285="","",TODAY())</f>
        <v/>
      </c>
      <c r="E285" s="30" t="n"/>
      <c r="F285" s="30">
        <f>IFERROR(IF(OR(A285="",E285=""),"",C285+E285),"")</f>
        <v/>
      </c>
      <c r="G285" s="26" t="n"/>
      <c r="H285" s="26" t="n"/>
    </row>
    <row r="286">
      <c r="A286" s="33" t="n"/>
      <c r="B286" s="33">
        <f>IFERROR(IF(A286="","",VLOOKUP(A286,DATABASE!A:B,2,0)),"")</f>
        <v/>
      </c>
      <c r="C286" s="34">
        <f>IFERROR(IF(A286="","",VLOOKUP(A286,DATABASE!A:J,10,0)),"")</f>
        <v/>
      </c>
      <c r="D286" s="35">
        <f>IF(A286="","",TODAY())</f>
        <v/>
      </c>
      <c r="E286" s="34" t="n"/>
      <c r="F286" s="34">
        <f>IFERROR(IF(OR(A286="",E286=""),"",C286+E286),"")</f>
        <v/>
      </c>
      <c r="G286" s="33" t="n"/>
      <c r="H286" s="33" t="n"/>
    </row>
    <row r="287">
      <c r="A287" s="26" t="n"/>
      <c r="B287" s="26">
        <f>IFERROR(IF(A287="","",VLOOKUP(A287,DATABASE!A:B,2,0)),"")</f>
        <v/>
      </c>
      <c r="C287" s="30">
        <f>IFERROR(IF(A287="","",VLOOKUP(A287,DATABASE!A:J,10,0)),"")</f>
        <v/>
      </c>
      <c r="D287" s="31">
        <f>IF(A287="","",TODAY())</f>
        <v/>
      </c>
      <c r="E287" s="30" t="n"/>
      <c r="F287" s="30">
        <f>IFERROR(IF(OR(A287="",E287=""),"",C287+E287),"")</f>
        <v/>
      </c>
      <c r="G287" s="26" t="n"/>
      <c r="H287" s="26" t="n"/>
    </row>
    <row r="288">
      <c r="A288" s="33" t="n"/>
      <c r="B288" s="33">
        <f>IFERROR(IF(A288="","",VLOOKUP(A288,DATABASE!A:B,2,0)),"")</f>
        <v/>
      </c>
      <c r="C288" s="34">
        <f>IFERROR(IF(A288="","",VLOOKUP(A288,DATABASE!A:J,10,0)),"")</f>
        <v/>
      </c>
      <c r="D288" s="35">
        <f>IF(A288="","",TODAY())</f>
        <v/>
      </c>
      <c r="E288" s="34" t="n"/>
      <c r="F288" s="34">
        <f>IFERROR(IF(OR(A288="",E288=""),"",C288+E288),"")</f>
        <v/>
      </c>
      <c r="G288" s="33" t="n"/>
      <c r="H288" s="33" t="n"/>
    </row>
    <row r="289">
      <c r="A289" s="26" t="n"/>
      <c r="B289" s="26">
        <f>IFERROR(IF(A289="","",VLOOKUP(A289,DATABASE!A:B,2,0)),"")</f>
        <v/>
      </c>
      <c r="C289" s="30">
        <f>IFERROR(IF(A289="","",VLOOKUP(A289,DATABASE!A:J,10,0)),"")</f>
        <v/>
      </c>
      <c r="D289" s="31">
        <f>IF(A289="","",TODAY())</f>
        <v/>
      </c>
      <c r="E289" s="30" t="n"/>
      <c r="F289" s="30">
        <f>IFERROR(IF(OR(A289="",E289=""),"",C289+E289),"")</f>
        <v/>
      </c>
      <c r="G289" s="26" t="n"/>
      <c r="H289" s="26" t="n"/>
    </row>
    <row r="290">
      <c r="A290" s="33" t="n"/>
      <c r="B290" s="33">
        <f>IFERROR(IF(A290="","",VLOOKUP(A290,DATABASE!A:B,2,0)),"")</f>
        <v/>
      </c>
      <c r="C290" s="34">
        <f>IFERROR(IF(A290="","",VLOOKUP(A290,DATABASE!A:J,10,0)),"")</f>
        <v/>
      </c>
      <c r="D290" s="35">
        <f>IF(A290="","",TODAY())</f>
        <v/>
      </c>
      <c r="E290" s="34" t="n"/>
      <c r="F290" s="34">
        <f>IFERROR(IF(OR(A290="",E290=""),"",C290+E290),"")</f>
        <v/>
      </c>
      <c r="G290" s="33" t="n"/>
      <c r="H290" s="33" t="n"/>
    </row>
    <row r="291">
      <c r="A291" s="26" t="n"/>
      <c r="B291" s="26">
        <f>IFERROR(IF(A291="","",VLOOKUP(A291,DATABASE!A:B,2,0)),"")</f>
        <v/>
      </c>
      <c r="C291" s="30">
        <f>IFERROR(IF(A291="","",VLOOKUP(A291,DATABASE!A:J,10,0)),"")</f>
        <v/>
      </c>
      <c r="D291" s="31">
        <f>IF(A291="","",TODAY())</f>
        <v/>
      </c>
      <c r="E291" s="30" t="n"/>
      <c r="F291" s="30">
        <f>IFERROR(IF(OR(A291="",E291=""),"",C291+E291),"")</f>
        <v/>
      </c>
      <c r="G291" s="26" t="n"/>
      <c r="H291" s="26" t="n"/>
    </row>
    <row r="292">
      <c r="A292" s="33" t="n"/>
      <c r="B292" s="33">
        <f>IFERROR(IF(A292="","",VLOOKUP(A292,DATABASE!A:B,2,0)),"")</f>
        <v/>
      </c>
      <c r="C292" s="34">
        <f>IFERROR(IF(A292="","",VLOOKUP(A292,DATABASE!A:J,10,0)),"")</f>
        <v/>
      </c>
      <c r="D292" s="35">
        <f>IF(A292="","",TODAY())</f>
        <v/>
      </c>
      <c r="E292" s="34" t="n"/>
      <c r="F292" s="34">
        <f>IFERROR(IF(OR(A292="",E292=""),"",C292+E292),"")</f>
        <v/>
      </c>
      <c r="G292" s="33" t="n"/>
      <c r="H292" s="33" t="n"/>
    </row>
    <row r="293">
      <c r="A293" s="26" t="n"/>
      <c r="B293" s="26">
        <f>IFERROR(IF(A293="","",VLOOKUP(A293,DATABASE!A:B,2,0)),"")</f>
        <v/>
      </c>
      <c r="C293" s="30">
        <f>IFERROR(IF(A293="","",VLOOKUP(A293,DATABASE!A:J,10,0)),"")</f>
        <v/>
      </c>
      <c r="D293" s="31">
        <f>IF(A293="","",TODAY())</f>
        <v/>
      </c>
      <c r="E293" s="30" t="n"/>
      <c r="F293" s="30">
        <f>IFERROR(IF(OR(A293="",E293=""),"",C293+E293),"")</f>
        <v/>
      </c>
      <c r="G293" s="26" t="n"/>
      <c r="H293" s="26" t="n"/>
    </row>
    <row r="294">
      <c r="A294" s="33" t="n"/>
      <c r="B294" s="33">
        <f>IFERROR(IF(A294="","",VLOOKUP(A294,DATABASE!A:B,2,0)),"")</f>
        <v/>
      </c>
      <c r="C294" s="34">
        <f>IFERROR(IF(A294="","",VLOOKUP(A294,DATABASE!A:J,10,0)),"")</f>
        <v/>
      </c>
      <c r="D294" s="35">
        <f>IF(A294="","",TODAY())</f>
        <v/>
      </c>
      <c r="E294" s="34" t="n"/>
      <c r="F294" s="34">
        <f>IFERROR(IF(OR(A294="",E294=""),"",C294+E294),"")</f>
        <v/>
      </c>
      <c r="G294" s="33" t="n"/>
      <c r="H294" s="33" t="n"/>
    </row>
    <row r="295">
      <c r="A295" s="26" t="n"/>
      <c r="B295" s="26">
        <f>IFERROR(IF(A295="","",VLOOKUP(A295,DATABASE!A:B,2,0)),"")</f>
        <v/>
      </c>
      <c r="C295" s="30">
        <f>IFERROR(IF(A295="","",VLOOKUP(A295,DATABASE!A:J,10,0)),"")</f>
        <v/>
      </c>
      <c r="D295" s="31">
        <f>IF(A295="","",TODAY())</f>
        <v/>
      </c>
      <c r="E295" s="30" t="n"/>
      <c r="F295" s="30">
        <f>IFERROR(IF(OR(A295="",E295=""),"",C295+E295),"")</f>
        <v/>
      </c>
      <c r="G295" s="26" t="n"/>
      <c r="H295" s="26" t="n"/>
    </row>
    <row r="296">
      <c r="A296" s="33" t="n"/>
      <c r="B296" s="33">
        <f>IFERROR(IF(A296="","",VLOOKUP(A296,DATABASE!A:B,2,0)),"")</f>
        <v/>
      </c>
      <c r="C296" s="34">
        <f>IFERROR(IF(A296="","",VLOOKUP(A296,DATABASE!A:J,10,0)),"")</f>
        <v/>
      </c>
      <c r="D296" s="35">
        <f>IF(A296="","",TODAY())</f>
        <v/>
      </c>
      <c r="E296" s="34" t="n"/>
      <c r="F296" s="34">
        <f>IFERROR(IF(OR(A296="",E296=""),"",C296+E296),"")</f>
        <v/>
      </c>
      <c r="G296" s="33" t="n"/>
      <c r="H296" s="33" t="n"/>
    </row>
    <row r="297">
      <c r="A297" s="26" t="n"/>
      <c r="B297" s="26">
        <f>IFERROR(IF(A297="","",VLOOKUP(A297,DATABASE!A:B,2,0)),"")</f>
        <v/>
      </c>
      <c r="C297" s="30">
        <f>IFERROR(IF(A297="","",VLOOKUP(A297,DATABASE!A:J,10,0)),"")</f>
        <v/>
      </c>
      <c r="D297" s="31">
        <f>IF(A297="","",TODAY())</f>
        <v/>
      </c>
      <c r="E297" s="30" t="n"/>
      <c r="F297" s="30">
        <f>IFERROR(IF(OR(A297="",E297=""),"",C297+E297),"")</f>
        <v/>
      </c>
      <c r="G297" s="26" t="n"/>
      <c r="H297" s="26" t="n"/>
    </row>
    <row r="298">
      <c r="A298" s="33" t="n"/>
      <c r="B298" s="33">
        <f>IFERROR(IF(A298="","",VLOOKUP(A298,DATABASE!A:B,2,0)),"")</f>
        <v/>
      </c>
      <c r="C298" s="34">
        <f>IFERROR(IF(A298="","",VLOOKUP(A298,DATABASE!A:J,10,0)),"")</f>
        <v/>
      </c>
      <c r="D298" s="35">
        <f>IF(A298="","",TODAY())</f>
        <v/>
      </c>
      <c r="E298" s="34" t="n"/>
      <c r="F298" s="34">
        <f>IFERROR(IF(OR(A298="",E298=""),"",C298+E298),"")</f>
        <v/>
      </c>
      <c r="G298" s="33" t="n"/>
      <c r="H298" s="33" t="n"/>
    </row>
    <row r="299">
      <c r="A299" s="26" t="n"/>
      <c r="B299" s="26">
        <f>IFERROR(IF(A299="","",VLOOKUP(A299,DATABASE!A:B,2,0)),"")</f>
        <v/>
      </c>
      <c r="C299" s="30">
        <f>IFERROR(IF(A299="","",VLOOKUP(A299,DATABASE!A:J,10,0)),"")</f>
        <v/>
      </c>
      <c r="D299" s="31">
        <f>IF(A299="","",TODAY())</f>
        <v/>
      </c>
      <c r="E299" s="30" t="n"/>
      <c r="F299" s="30">
        <f>IFERROR(IF(OR(A299="",E299=""),"",C299+E299),"")</f>
        <v/>
      </c>
      <c r="G299" s="26" t="n"/>
      <c r="H299" s="26" t="n"/>
    </row>
    <row r="300">
      <c r="A300" s="33" t="n"/>
      <c r="B300" s="33">
        <f>IFERROR(IF(A300="","",VLOOKUP(A300,DATABASE!A:B,2,0)),"")</f>
        <v/>
      </c>
      <c r="C300" s="34">
        <f>IFERROR(IF(A300="","",VLOOKUP(A300,DATABASE!A:J,10,0)),"")</f>
        <v/>
      </c>
      <c r="D300" s="35">
        <f>IF(A300="","",TODAY())</f>
        <v/>
      </c>
      <c r="E300" s="34" t="n"/>
      <c r="F300" s="34">
        <f>IFERROR(IF(OR(A300="",E300=""),"",C300+E300),"")</f>
        <v/>
      </c>
      <c r="G300" s="33" t="n"/>
      <c r="H300" s="33" t="n"/>
    </row>
    <row r="301">
      <c r="A301" s="26" t="n"/>
      <c r="B301" s="26">
        <f>IFERROR(IF(A301="","",VLOOKUP(A301,DATABASE!A:B,2,0)),"")</f>
        <v/>
      </c>
      <c r="C301" s="30">
        <f>IFERROR(IF(A301="","",VLOOKUP(A301,DATABASE!A:J,10,0)),"")</f>
        <v/>
      </c>
      <c r="D301" s="31">
        <f>IF(A301="","",TODAY())</f>
        <v/>
      </c>
      <c r="E301" s="30" t="n"/>
      <c r="F301" s="30">
        <f>IFERROR(IF(OR(A301="",E301=""),"",C301+E301),"")</f>
        <v/>
      </c>
      <c r="G301" s="26" t="n"/>
      <c r="H301" s="26" t="n"/>
    </row>
    <row r="302">
      <c r="A302" s="33" t="n"/>
      <c r="B302" s="33">
        <f>IFERROR(IF(A302="","",VLOOKUP(A302,DATABASE!A:B,2,0)),"")</f>
        <v/>
      </c>
      <c r="C302" s="34">
        <f>IFERROR(IF(A302="","",VLOOKUP(A302,DATABASE!A:J,10,0)),"")</f>
        <v/>
      </c>
      <c r="D302" s="35">
        <f>IF(A302="","",TODAY())</f>
        <v/>
      </c>
      <c r="E302" s="34" t="n"/>
      <c r="F302" s="34">
        <f>IFERROR(IF(OR(A302="",E302=""),"",C302+E302),"")</f>
        <v/>
      </c>
      <c r="G302" s="33" t="n"/>
      <c r="H302" s="33" t="n"/>
    </row>
    <row r="303">
      <c r="A303" s="26" t="n"/>
      <c r="B303" s="26">
        <f>IFERROR(IF(A303="","",VLOOKUP(A303,DATABASE!A:B,2,0)),"")</f>
        <v/>
      </c>
      <c r="C303" s="30">
        <f>IFERROR(IF(A303="","",VLOOKUP(A303,DATABASE!A:J,10,0)),"")</f>
        <v/>
      </c>
      <c r="D303" s="31">
        <f>IF(A303="","",TODAY())</f>
        <v/>
      </c>
      <c r="E303" s="30" t="n"/>
      <c r="F303" s="30">
        <f>IFERROR(IF(OR(A303="",E303=""),"",C303+E303),"")</f>
        <v/>
      </c>
      <c r="G303" s="26" t="n"/>
      <c r="H303" s="26" t="n"/>
    </row>
    <row r="304">
      <c r="A304" s="33" t="n"/>
      <c r="B304" s="33">
        <f>IFERROR(IF(A304="","",VLOOKUP(A304,DATABASE!A:B,2,0)),"")</f>
        <v/>
      </c>
      <c r="C304" s="34">
        <f>IFERROR(IF(A304="","",VLOOKUP(A304,DATABASE!A:J,10,0)),"")</f>
        <v/>
      </c>
      <c r="D304" s="35">
        <f>IF(A304="","",TODAY())</f>
        <v/>
      </c>
      <c r="E304" s="34" t="n"/>
      <c r="F304" s="34">
        <f>IFERROR(IF(OR(A304="",E304=""),"",C304+E304),"")</f>
        <v/>
      </c>
      <c r="G304" s="33" t="n"/>
      <c r="H304" s="33" t="n"/>
    </row>
    <row r="305">
      <c r="A305" s="26" t="n"/>
      <c r="B305" s="26">
        <f>IFERROR(IF(A305="","",VLOOKUP(A305,DATABASE!A:B,2,0)),"")</f>
        <v/>
      </c>
      <c r="C305" s="30">
        <f>IFERROR(IF(A305="","",VLOOKUP(A305,DATABASE!A:J,10,0)),"")</f>
        <v/>
      </c>
      <c r="D305" s="31">
        <f>IF(A305="","",TODAY())</f>
        <v/>
      </c>
      <c r="E305" s="30" t="n"/>
      <c r="F305" s="30">
        <f>IFERROR(IF(OR(A305="",E305=""),"",C305+E305),"")</f>
        <v/>
      </c>
      <c r="G305" s="26" t="n"/>
      <c r="H305" s="26" t="n"/>
    </row>
    <row r="306">
      <c r="A306" s="33" t="n"/>
      <c r="B306" s="33">
        <f>IFERROR(IF(A306="","",VLOOKUP(A306,DATABASE!A:B,2,0)),"")</f>
        <v/>
      </c>
      <c r="C306" s="34">
        <f>IFERROR(IF(A306="","",VLOOKUP(A306,DATABASE!A:J,10,0)),"")</f>
        <v/>
      </c>
      <c r="D306" s="35">
        <f>IF(A306="","",TODAY())</f>
        <v/>
      </c>
      <c r="E306" s="34" t="n"/>
      <c r="F306" s="34">
        <f>IFERROR(IF(OR(A306="",E306=""),"",C306+E306),"")</f>
        <v/>
      </c>
      <c r="G306" s="33" t="n"/>
      <c r="H306" s="33" t="n"/>
    </row>
    <row r="307">
      <c r="A307" s="26" t="n"/>
      <c r="B307" s="26">
        <f>IFERROR(IF(A307="","",VLOOKUP(A307,DATABASE!A:B,2,0)),"")</f>
        <v/>
      </c>
      <c r="C307" s="30">
        <f>IFERROR(IF(A307="","",VLOOKUP(A307,DATABASE!A:J,10,0)),"")</f>
        <v/>
      </c>
      <c r="D307" s="31">
        <f>IF(A307="","",TODAY())</f>
        <v/>
      </c>
      <c r="E307" s="30" t="n"/>
      <c r="F307" s="30">
        <f>IFERROR(IF(OR(A307="",E307=""),"",C307+E307),"")</f>
        <v/>
      </c>
      <c r="G307" s="26" t="n"/>
      <c r="H307" s="26" t="n"/>
    </row>
    <row r="308">
      <c r="A308" s="33" t="n"/>
      <c r="B308" s="33">
        <f>IFERROR(IF(A308="","",VLOOKUP(A308,DATABASE!A:B,2,0)),"")</f>
        <v/>
      </c>
      <c r="C308" s="34">
        <f>IFERROR(IF(A308="","",VLOOKUP(A308,DATABASE!A:J,10,0)),"")</f>
        <v/>
      </c>
      <c r="D308" s="35">
        <f>IF(A308="","",TODAY())</f>
        <v/>
      </c>
      <c r="E308" s="34" t="n"/>
      <c r="F308" s="34">
        <f>IFERROR(IF(OR(A308="",E308=""),"",C308+E308),"")</f>
        <v/>
      </c>
      <c r="G308" s="33" t="n"/>
      <c r="H308" s="33" t="n"/>
    </row>
    <row r="309">
      <c r="A309" s="26" t="n"/>
      <c r="B309" s="26">
        <f>IFERROR(IF(A309="","",VLOOKUP(A309,DATABASE!A:B,2,0)),"")</f>
        <v/>
      </c>
      <c r="C309" s="30">
        <f>IFERROR(IF(A309="","",VLOOKUP(A309,DATABASE!A:J,10,0)),"")</f>
        <v/>
      </c>
      <c r="D309" s="31">
        <f>IF(A309="","",TODAY())</f>
        <v/>
      </c>
      <c r="E309" s="30" t="n"/>
      <c r="F309" s="30">
        <f>IFERROR(IF(OR(A309="",E309=""),"",C309+E309),"")</f>
        <v/>
      </c>
      <c r="G309" s="26" t="n"/>
      <c r="H309" s="26" t="n"/>
    </row>
    <row r="310">
      <c r="A310" s="33" t="n"/>
      <c r="B310" s="33">
        <f>IFERROR(IF(A310="","",VLOOKUP(A310,DATABASE!A:B,2,0)),"")</f>
        <v/>
      </c>
      <c r="C310" s="34">
        <f>IFERROR(IF(A310="","",VLOOKUP(A310,DATABASE!A:J,10,0)),"")</f>
        <v/>
      </c>
      <c r="D310" s="35">
        <f>IF(A310="","",TODAY())</f>
        <v/>
      </c>
      <c r="E310" s="34" t="n"/>
      <c r="F310" s="34">
        <f>IFERROR(IF(OR(A310="",E310=""),"",C310+E310),"")</f>
        <v/>
      </c>
      <c r="G310" s="33" t="n"/>
      <c r="H310" s="33" t="n"/>
    </row>
    <row r="311">
      <c r="A311" s="26" t="n"/>
      <c r="B311" s="26">
        <f>IFERROR(IF(A311="","",VLOOKUP(A311,DATABASE!A:B,2,0)),"")</f>
        <v/>
      </c>
      <c r="C311" s="30">
        <f>IFERROR(IF(A311="","",VLOOKUP(A311,DATABASE!A:J,10,0)),"")</f>
        <v/>
      </c>
      <c r="D311" s="31">
        <f>IF(A311="","",TODAY())</f>
        <v/>
      </c>
      <c r="E311" s="30" t="n"/>
      <c r="F311" s="30">
        <f>IFERROR(IF(OR(A311="",E311=""),"",C311+E311),"")</f>
        <v/>
      </c>
      <c r="G311" s="26" t="n"/>
      <c r="H311" s="26" t="n"/>
    </row>
    <row r="312">
      <c r="A312" s="33" t="n"/>
      <c r="B312" s="33">
        <f>IFERROR(IF(A312="","",VLOOKUP(A312,DATABASE!A:B,2,0)),"")</f>
        <v/>
      </c>
      <c r="C312" s="34">
        <f>IFERROR(IF(A312="","",VLOOKUP(A312,DATABASE!A:J,10,0)),"")</f>
        <v/>
      </c>
      <c r="D312" s="35">
        <f>IF(A312="","",TODAY())</f>
        <v/>
      </c>
      <c r="E312" s="34" t="n"/>
      <c r="F312" s="34">
        <f>IFERROR(IF(OR(A312="",E312=""),"",C312+E312),"")</f>
        <v/>
      </c>
      <c r="G312" s="33" t="n"/>
      <c r="H312" s="33" t="n"/>
    </row>
    <row r="313">
      <c r="A313" s="26" t="n"/>
      <c r="B313" s="26">
        <f>IFERROR(IF(A313="","",VLOOKUP(A313,DATABASE!A:B,2,0)),"")</f>
        <v/>
      </c>
      <c r="C313" s="30">
        <f>IFERROR(IF(A313="","",VLOOKUP(A313,DATABASE!A:J,10,0)),"")</f>
        <v/>
      </c>
      <c r="D313" s="31">
        <f>IF(A313="","",TODAY())</f>
        <v/>
      </c>
      <c r="E313" s="30" t="n"/>
      <c r="F313" s="30">
        <f>IFERROR(IF(OR(A313="",E313=""),"",C313+E313),"")</f>
        <v/>
      </c>
      <c r="G313" s="26" t="n"/>
      <c r="H313" s="26" t="n"/>
    </row>
    <row r="314">
      <c r="A314" s="33" t="n"/>
      <c r="B314" s="33">
        <f>IFERROR(IF(A314="","",VLOOKUP(A314,DATABASE!A:B,2,0)),"")</f>
        <v/>
      </c>
      <c r="C314" s="34">
        <f>IFERROR(IF(A314="","",VLOOKUP(A314,DATABASE!A:J,10,0)),"")</f>
        <v/>
      </c>
      <c r="D314" s="35">
        <f>IF(A314="","",TODAY())</f>
        <v/>
      </c>
      <c r="E314" s="34" t="n"/>
      <c r="F314" s="34">
        <f>IFERROR(IF(OR(A314="",E314=""),"",C314+E314),"")</f>
        <v/>
      </c>
      <c r="G314" s="33" t="n"/>
      <c r="H314" s="33" t="n"/>
    </row>
    <row r="315">
      <c r="A315" s="26" t="n"/>
      <c r="B315" s="26">
        <f>IFERROR(IF(A315="","",VLOOKUP(A315,DATABASE!A:B,2,0)),"")</f>
        <v/>
      </c>
      <c r="C315" s="30">
        <f>IFERROR(IF(A315="","",VLOOKUP(A315,DATABASE!A:J,10,0)),"")</f>
        <v/>
      </c>
      <c r="D315" s="31">
        <f>IF(A315="","",TODAY())</f>
        <v/>
      </c>
      <c r="E315" s="30" t="n"/>
      <c r="F315" s="30">
        <f>IFERROR(IF(OR(A315="",E315=""),"",C315+E315),"")</f>
        <v/>
      </c>
      <c r="G315" s="26" t="n"/>
      <c r="H315" s="26" t="n"/>
    </row>
    <row r="316">
      <c r="A316" s="33" t="n"/>
      <c r="B316" s="33">
        <f>IFERROR(IF(A316="","",VLOOKUP(A316,DATABASE!A:B,2,0)),"")</f>
        <v/>
      </c>
      <c r="C316" s="34">
        <f>IFERROR(IF(A316="","",VLOOKUP(A316,DATABASE!A:J,10,0)),"")</f>
        <v/>
      </c>
      <c r="D316" s="35">
        <f>IF(A316="","",TODAY())</f>
        <v/>
      </c>
      <c r="E316" s="34" t="n"/>
      <c r="F316" s="34">
        <f>IFERROR(IF(OR(A316="",E316=""),"",C316+E316),"")</f>
        <v/>
      </c>
      <c r="G316" s="33" t="n"/>
      <c r="H316" s="33" t="n"/>
    </row>
    <row r="317">
      <c r="A317" s="26" t="n"/>
      <c r="B317" s="26">
        <f>IFERROR(IF(A317="","",VLOOKUP(A317,DATABASE!A:B,2,0)),"")</f>
        <v/>
      </c>
      <c r="C317" s="30">
        <f>IFERROR(IF(A317="","",VLOOKUP(A317,DATABASE!A:J,10,0)),"")</f>
        <v/>
      </c>
      <c r="D317" s="31">
        <f>IF(A317="","",TODAY())</f>
        <v/>
      </c>
      <c r="E317" s="30" t="n"/>
      <c r="F317" s="30">
        <f>IFERROR(IF(OR(A317="",E317=""),"",C317+E317),"")</f>
        <v/>
      </c>
      <c r="G317" s="26" t="n"/>
      <c r="H317" s="26" t="n"/>
    </row>
    <row r="318">
      <c r="A318" s="33" t="n"/>
      <c r="B318" s="33">
        <f>IFERROR(IF(A318="","",VLOOKUP(A318,DATABASE!A:B,2,0)),"")</f>
        <v/>
      </c>
      <c r="C318" s="34">
        <f>IFERROR(IF(A318="","",VLOOKUP(A318,DATABASE!A:J,10,0)),"")</f>
        <v/>
      </c>
      <c r="D318" s="35">
        <f>IF(A318="","",TODAY())</f>
        <v/>
      </c>
      <c r="E318" s="34" t="n"/>
      <c r="F318" s="34">
        <f>IFERROR(IF(OR(A318="",E318=""),"",C318+E318),"")</f>
        <v/>
      </c>
      <c r="G318" s="33" t="n"/>
      <c r="H318" s="33" t="n"/>
    </row>
    <row r="319">
      <c r="A319" s="26" t="n"/>
      <c r="B319" s="26">
        <f>IFERROR(IF(A319="","",VLOOKUP(A319,DATABASE!A:B,2,0)),"")</f>
        <v/>
      </c>
      <c r="C319" s="30">
        <f>IFERROR(IF(A319="","",VLOOKUP(A319,DATABASE!A:J,10,0)),"")</f>
        <v/>
      </c>
      <c r="D319" s="31">
        <f>IF(A319="","",TODAY())</f>
        <v/>
      </c>
      <c r="E319" s="30" t="n"/>
      <c r="F319" s="30">
        <f>IFERROR(IF(OR(A319="",E319=""),"",C319+E319),"")</f>
        <v/>
      </c>
      <c r="G319" s="26" t="n"/>
      <c r="H319" s="26" t="n"/>
    </row>
    <row r="320">
      <c r="A320" s="33" t="n"/>
      <c r="B320" s="33">
        <f>IFERROR(IF(A320="","",VLOOKUP(A320,DATABASE!A:B,2,0)),"")</f>
        <v/>
      </c>
      <c r="C320" s="34">
        <f>IFERROR(IF(A320="","",VLOOKUP(A320,DATABASE!A:J,10,0)),"")</f>
        <v/>
      </c>
      <c r="D320" s="35">
        <f>IF(A320="","",TODAY())</f>
        <v/>
      </c>
      <c r="E320" s="34" t="n"/>
      <c r="F320" s="34">
        <f>IFERROR(IF(OR(A320="",E320=""),"",C320+E320),"")</f>
        <v/>
      </c>
      <c r="G320" s="33" t="n"/>
      <c r="H320" s="33" t="n"/>
    </row>
    <row r="321">
      <c r="A321" s="26" t="n"/>
      <c r="B321" s="26">
        <f>IFERROR(IF(A321="","",VLOOKUP(A321,DATABASE!A:B,2,0)),"")</f>
        <v/>
      </c>
      <c r="C321" s="30">
        <f>IFERROR(IF(A321="","",VLOOKUP(A321,DATABASE!A:J,10,0)),"")</f>
        <v/>
      </c>
      <c r="D321" s="31">
        <f>IF(A321="","",TODAY())</f>
        <v/>
      </c>
      <c r="E321" s="30" t="n"/>
      <c r="F321" s="30">
        <f>IFERROR(IF(OR(A321="",E321=""),"",C321+E321),"")</f>
        <v/>
      </c>
      <c r="G321" s="26" t="n"/>
      <c r="H321" s="26" t="n"/>
    </row>
    <row r="322">
      <c r="A322" s="33" t="n"/>
      <c r="B322" s="33">
        <f>IFERROR(IF(A322="","",VLOOKUP(A322,DATABASE!A:B,2,0)),"")</f>
        <v/>
      </c>
      <c r="C322" s="34">
        <f>IFERROR(IF(A322="","",VLOOKUP(A322,DATABASE!A:J,10,0)),"")</f>
        <v/>
      </c>
      <c r="D322" s="35">
        <f>IF(A322="","",TODAY())</f>
        <v/>
      </c>
      <c r="E322" s="34" t="n"/>
      <c r="F322" s="34">
        <f>IFERROR(IF(OR(A322="",E322=""),"",C322+E322),"")</f>
        <v/>
      </c>
      <c r="G322" s="33" t="n"/>
      <c r="H322" s="33" t="n"/>
    </row>
    <row r="323">
      <c r="A323" s="26" t="n"/>
      <c r="B323" s="26">
        <f>IFERROR(IF(A323="","",VLOOKUP(A323,DATABASE!A:B,2,0)),"")</f>
        <v/>
      </c>
      <c r="C323" s="30">
        <f>IFERROR(IF(A323="","",VLOOKUP(A323,DATABASE!A:J,10,0)),"")</f>
        <v/>
      </c>
      <c r="D323" s="31">
        <f>IF(A323="","",TODAY())</f>
        <v/>
      </c>
      <c r="E323" s="30" t="n"/>
      <c r="F323" s="30">
        <f>IFERROR(IF(OR(A323="",E323=""),"",C323+E323),"")</f>
        <v/>
      </c>
      <c r="G323" s="26" t="n"/>
      <c r="H323" s="26" t="n"/>
    </row>
    <row r="324">
      <c r="A324" s="33" t="n"/>
      <c r="B324" s="33">
        <f>IFERROR(IF(A324="","",VLOOKUP(A324,DATABASE!A:B,2,0)),"")</f>
        <v/>
      </c>
      <c r="C324" s="34">
        <f>IFERROR(IF(A324="","",VLOOKUP(A324,DATABASE!A:J,10,0)),"")</f>
        <v/>
      </c>
      <c r="D324" s="35">
        <f>IF(A324="","",TODAY())</f>
        <v/>
      </c>
      <c r="E324" s="34" t="n"/>
      <c r="F324" s="34">
        <f>IFERROR(IF(OR(A324="",E324=""),"",C324+E324),"")</f>
        <v/>
      </c>
      <c r="G324" s="33" t="n"/>
      <c r="H324" s="33" t="n"/>
    </row>
    <row r="325">
      <c r="A325" s="26" t="n"/>
      <c r="B325" s="26">
        <f>IFERROR(IF(A325="","",VLOOKUP(A325,DATABASE!A:B,2,0)),"")</f>
        <v/>
      </c>
      <c r="C325" s="30">
        <f>IFERROR(IF(A325="","",VLOOKUP(A325,DATABASE!A:J,10,0)),"")</f>
        <v/>
      </c>
      <c r="D325" s="31">
        <f>IF(A325="","",TODAY())</f>
        <v/>
      </c>
      <c r="E325" s="30" t="n"/>
      <c r="F325" s="30">
        <f>IFERROR(IF(OR(A325="",E325=""),"",C325+E325),"")</f>
        <v/>
      </c>
      <c r="G325" s="26" t="n"/>
      <c r="H325" s="26" t="n"/>
    </row>
    <row r="326">
      <c r="A326" s="33" t="n"/>
      <c r="B326" s="33">
        <f>IFERROR(IF(A326="","",VLOOKUP(A326,DATABASE!A:B,2,0)),"")</f>
        <v/>
      </c>
      <c r="C326" s="34">
        <f>IFERROR(IF(A326="","",VLOOKUP(A326,DATABASE!A:J,10,0)),"")</f>
        <v/>
      </c>
      <c r="D326" s="35">
        <f>IF(A326="","",TODAY())</f>
        <v/>
      </c>
      <c r="E326" s="34" t="n"/>
      <c r="F326" s="34">
        <f>IFERROR(IF(OR(A326="",E326=""),"",C326+E326),"")</f>
        <v/>
      </c>
      <c r="G326" s="33" t="n"/>
      <c r="H326" s="33" t="n"/>
    </row>
    <row r="327">
      <c r="A327" s="26" t="n"/>
      <c r="B327" s="26">
        <f>IFERROR(IF(A327="","",VLOOKUP(A327,DATABASE!A:B,2,0)),"")</f>
        <v/>
      </c>
      <c r="C327" s="30">
        <f>IFERROR(IF(A327="","",VLOOKUP(A327,DATABASE!A:J,10,0)),"")</f>
        <v/>
      </c>
      <c r="D327" s="31">
        <f>IF(A327="","",TODAY())</f>
        <v/>
      </c>
      <c r="E327" s="30" t="n"/>
      <c r="F327" s="30">
        <f>IFERROR(IF(OR(A327="",E327=""),"",C327+E327),"")</f>
        <v/>
      </c>
      <c r="G327" s="26" t="n"/>
      <c r="H327" s="26" t="n"/>
    </row>
    <row r="328">
      <c r="A328" s="33" t="n"/>
      <c r="B328" s="33">
        <f>IFERROR(IF(A328="","",VLOOKUP(A328,DATABASE!A:B,2,0)),"")</f>
        <v/>
      </c>
      <c r="C328" s="34">
        <f>IFERROR(IF(A328="","",VLOOKUP(A328,DATABASE!A:J,10,0)),"")</f>
        <v/>
      </c>
      <c r="D328" s="35">
        <f>IF(A328="","",TODAY())</f>
        <v/>
      </c>
      <c r="E328" s="34" t="n"/>
      <c r="F328" s="34">
        <f>IFERROR(IF(OR(A328="",E328=""),"",C328+E328),"")</f>
        <v/>
      </c>
      <c r="G328" s="33" t="n"/>
      <c r="H328" s="33" t="n"/>
    </row>
    <row r="329">
      <c r="A329" s="26" t="n"/>
      <c r="B329" s="26">
        <f>IFERROR(IF(A329="","",VLOOKUP(A329,DATABASE!A:B,2,0)),"")</f>
        <v/>
      </c>
      <c r="C329" s="30">
        <f>IFERROR(IF(A329="","",VLOOKUP(A329,DATABASE!A:J,10,0)),"")</f>
        <v/>
      </c>
      <c r="D329" s="31">
        <f>IF(A329="","",TODAY())</f>
        <v/>
      </c>
      <c r="E329" s="30" t="n"/>
      <c r="F329" s="30">
        <f>IFERROR(IF(OR(A329="",E329=""),"",C329+E329),"")</f>
        <v/>
      </c>
      <c r="G329" s="26" t="n"/>
      <c r="H329" s="26" t="n"/>
    </row>
    <row r="330">
      <c r="A330" s="33" t="n"/>
      <c r="B330" s="33">
        <f>IFERROR(IF(A330="","",VLOOKUP(A330,DATABASE!A:B,2,0)),"")</f>
        <v/>
      </c>
      <c r="C330" s="34">
        <f>IFERROR(IF(A330="","",VLOOKUP(A330,DATABASE!A:J,10,0)),"")</f>
        <v/>
      </c>
      <c r="D330" s="35">
        <f>IF(A330="","",TODAY())</f>
        <v/>
      </c>
      <c r="E330" s="34" t="n"/>
      <c r="F330" s="34">
        <f>IFERROR(IF(OR(A330="",E330=""),"",C330+E330),"")</f>
        <v/>
      </c>
      <c r="G330" s="33" t="n"/>
      <c r="H330" s="33" t="n"/>
    </row>
    <row r="331">
      <c r="A331" s="26" t="n"/>
      <c r="B331" s="26">
        <f>IFERROR(IF(A331="","",VLOOKUP(A331,DATABASE!A:B,2,0)),"")</f>
        <v/>
      </c>
      <c r="C331" s="30">
        <f>IFERROR(IF(A331="","",VLOOKUP(A331,DATABASE!A:J,10,0)),"")</f>
        <v/>
      </c>
      <c r="D331" s="31">
        <f>IF(A331="","",TODAY())</f>
        <v/>
      </c>
      <c r="E331" s="30" t="n"/>
      <c r="F331" s="30">
        <f>IFERROR(IF(OR(A331="",E331=""),"",C331+E331),"")</f>
        <v/>
      </c>
      <c r="G331" s="26" t="n"/>
      <c r="H331" s="26" t="n"/>
    </row>
    <row r="332">
      <c r="A332" s="33" t="n"/>
      <c r="B332" s="33">
        <f>IFERROR(IF(A332="","",VLOOKUP(A332,DATABASE!A:B,2,0)),"")</f>
        <v/>
      </c>
      <c r="C332" s="34">
        <f>IFERROR(IF(A332="","",VLOOKUP(A332,DATABASE!A:J,10,0)),"")</f>
        <v/>
      </c>
      <c r="D332" s="35">
        <f>IF(A332="","",TODAY())</f>
        <v/>
      </c>
      <c r="E332" s="34" t="n"/>
      <c r="F332" s="34">
        <f>IFERROR(IF(OR(A332="",E332=""),"",C332+E332),"")</f>
        <v/>
      </c>
      <c r="G332" s="33" t="n"/>
      <c r="H332" s="33" t="n"/>
    </row>
    <row r="333">
      <c r="A333" s="26" t="n"/>
      <c r="B333" s="26">
        <f>IFERROR(IF(A333="","",VLOOKUP(A333,DATABASE!A:B,2,0)),"")</f>
        <v/>
      </c>
      <c r="C333" s="30">
        <f>IFERROR(IF(A333="","",VLOOKUP(A333,DATABASE!A:J,10,0)),"")</f>
        <v/>
      </c>
      <c r="D333" s="31">
        <f>IF(A333="","",TODAY())</f>
        <v/>
      </c>
      <c r="E333" s="30" t="n"/>
      <c r="F333" s="30">
        <f>IFERROR(IF(OR(A333="",E333=""),"",C333+E333),"")</f>
        <v/>
      </c>
      <c r="G333" s="26" t="n"/>
      <c r="H333" s="26" t="n"/>
    </row>
    <row r="334">
      <c r="A334" s="33" t="n"/>
      <c r="B334" s="33">
        <f>IFERROR(IF(A334="","",VLOOKUP(A334,DATABASE!A:B,2,0)),"")</f>
        <v/>
      </c>
      <c r="C334" s="34">
        <f>IFERROR(IF(A334="","",VLOOKUP(A334,DATABASE!A:J,10,0)),"")</f>
        <v/>
      </c>
      <c r="D334" s="35">
        <f>IF(A334="","",TODAY())</f>
        <v/>
      </c>
      <c r="E334" s="34" t="n"/>
      <c r="F334" s="34">
        <f>IFERROR(IF(OR(A334="",E334=""),"",C334+E334),"")</f>
        <v/>
      </c>
      <c r="G334" s="33" t="n"/>
      <c r="H334" s="33" t="n"/>
    </row>
    <row r="335">
      <c r="A335" s="26" t="n"/>
      <c r="B335" s="26">
        <f>IFERROR(IF(A335="","",VLOOKUP(A335,DATABASE!A:B,2,0)),"")</f>
        <v/>
      </c>
      <c r="C335" s="30">
        <f>IFERROR(IF(A335="","",VLOOKUP(A335,DATABASE!A:J,10,0)),"")</f>
        <v/>
      </c>
      <c r="D335" s="31">
        <f>IF(A335="","",TODAY())</f>
        <v/>
      </c>
      <c r="E335" s="30" t="n"/>
      <c r="F335" s="30">
        <f>IFERROR(IF(OR(A335="",E335=""),"",C335+E335),"")</f>
        <v/>
      </c>
      <c r="G335" s="26" t="n"/>
      <c r="H335" s="26" t="n"/>
    </row>
    <row r="336">
      <c r="A336" s="33" t="n"/>
      <c r="B336" s="33">
        <f>IFERROR(IF(A336="","",VLOOKUP(A336,DATABASE!A:B,2,0)),"")</f>
        <v/>
      </c>
      <c r="C336" s="34">
        <f>IFERROR(IF(A336="","",VLOOKUP(A336,DATABASE!A:J,10,0)),"")</f>
        <v/>
      </c>
      <c r="D336" s="35">
        <f>IF(A336="","",TODAY())</f>
        <v/>
      </c>
      <c r="E336" s="34" t="n"/>
      <c r="F336" s="34">
        <f>IFERROR(IF(OR(A336="",E336=""),"",C336+E336),"")</f>
        <v/>
      </c>
      <c r="G336" s="33" t="n"/>
      <c r="H336" s="33" t="n"/>
    </row>
    <row r="337">
      <c r="A337" s="26" t="n"/>
      <c r="B337" s="26">
        <f>IFERROR(IF(A337="","",VLOOKUP(A337,DATABASE!A:B,2,0)),"")</f>
        <v/>
      </c>
      <c r="C337" s="30">
        <f>IFERROR(IF(A337="","",VLOOKUP(A337,DATABASE!A:J,10,0)),"")</f>
        <v/>
      </c>
      <c r="D337" s="31">
        <f>IF(A337="","",TODAY())</f>
        <v/>
      </c>
      <c r="E337" s="30" t="n"/>
      <c r="F337" s="30">
        <f>IFERROR(IF(OR(A337="",E337=""),"",C337+E337),"")</f>
        <v/>
      </c>
      <c r="G337" s="26" t="n"/>
      <c r="H337" s="26" t="n"/>
    </row>
    <row r="338">
      <c r="A338" s="33" t="n"/>
      <c r="B338" s="33">
        <f>IFERROR(IF(A338="","",VLOOKUP(A338,DATABASE!A:B,2,0)),"")</f>
        <v/>
      </c>
      <c r="C338" s="34">
        <f>IFERROR(IF(A338="","",VLOOKUP(A338,DATABASE!A:J,10,0)),"")</f>
        <v/>
      </c>
      <c r="D338" s="35">
        <f>IF(A338="","",TODAY())</f>
        <v/>
      </c>
      <c r="E338" s="34" t="n"/>
      <c r="F338" s="34">
        <f>IFERROR(IF(OR(A338="",E338=""),"",C338+E338),"")</f>
        <v/>
      </c>
      <c r="G338" s="33" t="n"/>
      <c r="H338" s="33" t="n"/>
    </row>
    <row r="339">
      <c r="A339" s="26" t="n"/>
      <c r="B339" s="26">
        <f>IFERROR(IF(A339="","",VLOOKUP(A339,DATABASE!A:B,2,0)),"")</f>
        <v/>
      </c>
      <c r="C339" s="30">
        <f>IFERROR(IF(A339="","",VLOOKUP(A339,DATABASE!A:J,10,0)),"")</f>
        <v/>
      </c>
      <c r="D339" s="31">
        <f>IF(A339="","",TODAY())</f>
        <v/>
      </c>
      <c r="E339" s="30" t="n"/>
      <c r="F339" s="30">
        <f>IFERROR(IF(OR(A339="",E339=""),"",C339+E339),"")</f>
        <v/>
      </c>
      <c r="G339" s="26" t="n"/>
      <c r="H339" s="26" t="n"/>
    </row>
    <row r="340">
      <c r="A340" s="33" t="n"/>
      <c r="B340" s="33">
        <f>IFERROR(IF(A340="","",VLOOKUP(A340,DATABASE!A:B,2,0)),"")</f>
        <v/>
      </c>
      <c r="C340" s="34">
        <f>IFERROR(IF(A340="","",VLOOKUP(A340,DATABASE!A:J,10,0)),"")</f>
        <v/>
      </c>
      <c r="D340" s="35">
        <f>IF(A340="","",TODAY())</f>
        <v/>
      </c>
      <c r="E340" s="34" t="n"/>
      <c r="F340" s="34">
        <f>IFERROR(IF(OR(A340="",E340=""),"",C340+E340),"")</f>
        <v/>
      </c>
      <c r="G340" s="33" t="n"/>
      <c r="H340" s="33" t="n"/>
    </row>
    <row r="341">
      <c r="A341" s="26" t="n"/>
      <c r="B341" s="26">
        <f>IFERROR(IF(A341="","",VLOOKUP(A341,DATABASE!A:B,2,0)),"")</f>
        <v/>
      </c>
      <c r="C341" s="30">
        <f>IFERROR(IF(A341="","",VLOOKUP(A341,DATABASE!A:J,10,0)),"")</f>
        <v/>
      </c>
      <c r="D341" s="31">
        <f>IF(A341="","",TODAY())</f>
        <v/>
      </c>
      <c r="E341" s="30" t="n"/>
      <c r="F341" s="30">
        <f>IFERROR(IF(OR(A341="",E341=""),"",C341+E341),"")</f>
        <v/>
      </c>
      <c r="G341" s="26" t="n"/>
      <c r="H341" s="26" t="n"/>
    </row>
    <row r="342">
      <c r="A342" s="33" t="n"/>
      <c r="B342" s="33">
        <f>IFERROR(IF(A342="","",VLOOKUP(A342,DATABASE!A:B,2,0)),"")</f>
        <v/>
      </c>
      <c r="C342" s="34">
        <f>IFERROR(IF(A342="","",VLOOKUP(A342,DATABASE!A:J,10,0)),"")</f>
        <v/>
      </c>
      <c r="D342" s="35">
        <f>IF(A342="","",TODAY())</f>
        <v/>
      </c>
      <c r="E342" s="34" t="n"/>
      <c r="F342" s="34">
        <f>IFERROR(IF(OR(A342="",E342=""),"",C342+E342),"")</f>
        <v/>
      </c>
      <c r="G342" s="33" t="n"/>
      <c r="H342" s="33" t="n"/>
    </row>
    <row r="343">
      <c r="A343" s="26" t="n"/>
      <c r="B343" s="26">
        <f>IFERROR(IF(A343="","",VLOOKUP(A343,DATABASE!A:B,2,0)),"")</f>
        <v/>
      </c>
      <c r="C343" s="30">
        <f>IFERROR(IF(A343="","",VLOOKUP(A343,DATABASE!A:J,10,0)),"")</f>
        <v/>
      </c>
      <c r="D343" s="31">
        <f>IF(A343="","",TODAY())</f>
        <v/>
      </c>
      <c r="E343" s="30" t="n"/>
      <c r="F343" s="30">
        <f>IFERROR(IF(OR(A343="",E343=""),"",C343+E343),"")</f>
        <v/>
      </c>
      <c r="G343" s="26" t="n"/>
      <c r="H343" s="26" t="n"/>
    </row>
    <row r="344">
      <c r="A344" s="33" t="n"/>
      <c r="B344" s="33">
        <f>IFERROR(IF(A344="","",VLOOKUP(A344,DATABASE!A:B,2,0)),"")</f>
        <v/>
      </c>
      <c r="C344" s="34">
        <f>IFERROR(IF(A344="","",VLOOKUP(A344,DATABASE!A:J,10,0)),"")</f>
        <v/>
      </c>
      <c r="D344" s="35">
        <f>IF(A344="","",TODAY())</f>
        <v/>
      </c>
      <c r="E344" s="34" t="n"/>
      <c r="F344" s="34">
        <f>IFERROR(IF(OR(A344="",E344=""),"",C344+E344),"")</f>
        <v/>
      </c>
      <c r="G344" s="33" t="n"/>
      <c r="H344" s="33" t="n"/>
    </row>
    <row r="345">
      <c r="A345" s="26" t="n"/>
      <c r="B345" s="26">
        <f>IFERROR(IF(A345="","",VLOOKUP(A345,DATABASE!A:B,2,0)),"")</f>
        <v/>
      </c>
      <c r="C345" s="30">
        <f>IFERROR(IF(A345="","",VLOOKUP(A345,DATABASE!A:J,10,0)),"")</f>
        <v/>
      </c>
      <c r="D345" s="31">
        <f>IF(A345="","",TODAY())</f>
        <v/>
      </c>
      <c r="E345" s="30" t="n"/>
      <c r="F345" s="30">
        <f>IFERROR(IF(OR(A345="",E345=""),"",C345+E345),"")</f>
        <v/>
      </c>
      <c r="G345" s="26" t="n"/>
      <c r="H345" s="26" t="n"/>
    </row>
    <row r="346">
      <c r="A346" s="33" t="n"/>
      <c r="B346" s="33">
        <f>IFERROR(IF(A346="","",VLOOKUP(A346,DATABASE!A:B,2,0)),"")</f>
        <v/>
      </c>
      <c r="C346" s="34">
        <f>IFERROR(IF(A346="","",VLOOKUP(A346,DATABASE!A:J,10,0)),"")</f>
        <v/>
      </c>
      <c r="D346" s="35">
        <f>IF(A346="","",TODAY())</f>
        <v/>
      </c>
      <c r="E346" s="34" t="n"/>
      <c r="F346" s="34">
        <f>IFERROR(IF(OR(A346="",E346=""),"",C346+E346),"")</f>
        <v/>
      </c>
      <c r="G346" s="33" t="n"/>
      <c r="H346" s="33" t="n"/>
    </row>
    <row r="347">
      <c r="A347" s="26" t="n"/>
      <c r="B347" s="26">
        <f>IFERROR(IF(A347="","",VLOOKUP(A347,DATABASE!A:B,2,0)),"")</f>
        <v/>
      </c>
      <c r="C347" s="30">
        <f>IFERROR(IF(A347="","",VLOOKUP(A347,DATABASE!A:J,10,0)),"")</f>
        <v/>
      </c>
      <c r="D347" s="31">
        <f>IF(A347="","",TODAY())</f>
        <v/>
      </c>
      <c r="E347" s="30" t="n"/>
      <c r="F347" s="30">
        <f>IFERROR(IF(OR(A347="",E347=""),"",C347+E347),"")</f>
        <v/>
      </c>
      <c r="G347" s="26" t="n"/>
      <c r="H347" s="26" t="n"/>
    </row>
    <row r="348">
      <c r="A348" s="33" t="n"/>
      <c r="B348" s="33">
        <f>IFERROR(IF(A348="","",VLOOKUP(A348,DATABASE!A:B,2,0)),"")</f>
        <v/>
      </c>
      <c r="C348" s="34">
        <f>IFERROR(IF(A348="","",VLOOKUP(A348,DATABASE!A:J,10,0)),"")</f>
        <v/>
      </c>
      <c r="D348" s="35">
        <f>IF(A348="","",TODAY())</f>
        <v/>
      </c>
      <c r="E348" s="34" t="n"/>
      <c r="F348" s="34">
        <f>IFERROR(IF(OR(A348="",E348=""),"",C348+E348),"")</f>
        <v/>
      </c>
      <c r="G348" s="33" t="n"/>
      <c r="H348" s="33" t="n"/>
    </row>
    <row r="349">
      <c r="A349" s="26" t="n"/>
      <c r="B349" s="26">
        <f>IFERROR(IF(A349="","",VLOOKUP(A349,DATABASE!A:B,2,0)),"")</f>
        <v/>
      </c>
      <c r="C349" s="30">
        <f>IFERROR(IF(A349="","",VLOOKUP(A349,DATABASE!A:J,10,0)),"")</f>
        <v/>
      </c>
      <c r="D349" s="31">
        <f>IF(A349="","",TODAY())</f>
        <v/>
      </c>
      <c r="E349" s="30" t="n"/>
      <c r="F349" s="30">
        <f>IFERROR(IF(OR(A349="",E349=""),"",C349+E349),"")</f>
        <v/>
      </c>
      <c r="G349" s="26" t="n"/>
      <c r="H349" s="26" t="n"/>
    </row>
    <row r="350">
      <c r="A350" s="33" t="n"/>
      <c r="B350" s="33">
        <f>IFERROR(IF(A350="","",VLOOKUP(A350,DATABASE!A:B,2,0)),"")</f>
        <v/>
      </c>
      <c r="C350" s="34">
        <f>IFERROR(IF(A350="","",VLOOKUP(A350,DATABASE!A:J,10,0)),"")</f>
        <v/>
      </c>
      <c r="D350" s="35">
        <f>IF(A350="","",TODAY())</f>
        <v/>
      </c>
      <c r="E350" s="34" t="n"/>
      <c r="F350" s="34">
        <f>IFERROR(IF(OR(A350="",E350=""),"",C350+E350),"")</f>
        <v/>
      </c>
      <c r="G350" s="33" t="n"/>
      <c r="H350" s="33" t="n"/>
    </row>
    <row r="351">
      <c r="A351" s="26" t="n"/>
      <c r="B351" s="26">
        <f>IFERROR(IF(A351="","",VLOOKUP(A351,DATABASE!A:B,2,0)),"")</f>
        <v/>
      </c>
      <c r="C351" s="30">
        <f>IFERROR(IF(A351="","",VLOOKUP(A351,DATABASE!A:J,10,0)),"")</f>
        <v/>
      </c>
      <c r="D351" s="31">
        <f>IF(A351="","",TODAY())</f>
        <v/>
      </c>
      <c r="E351" s="30" t="n"/>
      <c r="F351" s="30">
        <f>IFERROR(IF(OR(A351="",E351=""),"",C351+E351),"")</f>
        <v/>
      </c>
      <c r="G351" s="26" t="n"/>
      <c r="H351" s="26" t="n"/>
    </row>
    <row r="352">
      <c r="A352" s="33" t="n"/>
      <c r="B352" s="33">
        <f>IFERROR(IF(A352="","",VLOOKUP(A352,DATABASE!A:B,2,0)),"")</f>
        <v/>
      </c>
      <c r="C352" s="34">
        <f>IFERROR(IF(A352="","",VLOOKUP(A352,DATABASE!A:J,10,0)),"")</f>
        <v/>
      </c>
      <c r="D352" s="35">
        <f>IF(A352="","",TODAY())</f>
        <v/>
      </c>
      <c r="E352" s="34" t="n"/>
      <c r="F352" s="34">
        <f>IFERROR(IF(OR(A352="",E352=""),"",C352+E352),"")</f>
        <v/>
      </c>
      <c r="G352" s="33" t="n"/>
      <c r="H352" s="33" t="n"/>
    </row>
    <row r="353">
      <c r="A353" s="26" t="n"/>
      <c r="B353" s="26">
        <f>IFERROR(IF(A353="","",VLOOKUP(A353,DATABASE!A:B,2,0)),"")</f>
        <v/>
      </c>
      <c r="C353" s="30">
        <f>IFERROR(IF(A353="","",VLOOKUP(A353,DATABASE!A:J,10,0)),"")</f>
        <v/>
      </c>
      <c r="D353" s="31">
        <f>IF(A353="","",TODAY())</f>
        <v/>
      </c>
      <c r="E353" s="30" t="n"/>
      <c r="F353" s="30">
        <f>IFERROR(IF(OR(A353="",E353=""),"",C353+E353),"")</f>
        <v/>
      </c>
      <c r="G353" s="26" t="n"/>
      <c r="H353" s="26" t="n"/>
    </row>
    <row r="354">
      <c r="A354" s="33" t="n"/>
      <c r="B354" s="33">
        <f>IFERROR(IF(A354="","",VLOOKUP(A354,DATABASE!A:B,2,0)),"")</f>
        <v/>
      </c>
      <c r="C354" s="34">
        <f>IFERROR(IF(A354="","",VLOOKUP(A354,DATABASE!A:J,10,0)),"")</f>
        <v/>
      </c>
      <c r="D354" s="35">
        <f>IF(A354="","",TODAY())</f>
        <v/>
      </c>
      <c r="E354" s="34" t="n"/>
      <c r="F354" s="34">
        <f>IFERROR(IF(OR(A354="",E354=""),"",C354+E354),"")</f>
        <v/>
      </c>
      <c r="G354" s="33" t="n"/>
      <c r="H354" s="33" t="n"/>
    </row>
    <row r="355">
      <c r="A355" s="26" t="n"/>
      <c r="B355" s="26">
        <f>IFERROR(IF(A355="","",VLOOKUP(A355,DATABASE!A:B,2,0)),"")</f>
        <v/>
      </c>
      <c r="C355" s="30">
        <f>IFERROR(IF(A355="","",VLOOKUP(A355,DATABASE!A:J,10,0)),"")</f>
        <v/>
      </c>
      <c r="D355" s="31">
        <f>IF(A355="","",TODAY())</f>
        <v/>
      </c>
      <c r="E355" s="30" t="n"/>
      <c r="F355" s="30">
        <f>IFERROR(IF(OR(A355="",E355=""),"",C355+E355),"")</f>
        <v/>
      </c>
      <c r="G355" s="26" t="n"/>
      <c r="H355" s="26" t="n"/>
    </row>
    <row r="356">
      <c r="A356" s="33" t="n"/>
      <c r="B356" s="33">
        <f>IFERROR(IF(A356="","",VLOOKUP(A356,DATABASE!A:B,2,0)),"")</f>
        <v/>
      </c>
      <c r="C356" s="34">
        <f>IFERROR(IF(A356="","",VLOOKUP(A356,DATABASE!A:J,10,0)),"")</f>
        <v/>
      </c>
      <c r="D356" s="35">
        <f>IF(A356="","",TODAY())</f>
        <v/>
      </c>
      <c r="E356" s="34" t="n"/>
      <c r="F356" s="34">
        <f>IFERROR(IF(OR(A356="",E356=""),"",C356+E356),"")</f>
        <v/>
      </c>
      <c r="G356" s="33" t="n"/>
      <c r="H356" s="33" t="n"/>
    </row>
    <row r="357">
      <c r="A357" s="26" t="n"/>
      <c r="B357" s="26">
        <f>IFERROR(IF(A357="","",VLOOKUP(A357,DATABASE!A:B,2,0)),"")</f>
        <v/>
      </c>
      <c r="C357" s="30">
        <f>IFERROR(IF(A357="","",VLOOKUP(A357,DATABASE!A:J,10,0)),"")</f>
        <v/>
      </c>
      <c r="D357" s="31">
        <f>IF(A357="","",TODAY())</f>
        <v/>
      </c>
      <c r="E357" s="30" t="n"/>
      <c r="F357" s="30">
        <f>IFERROR(IF(OR(A357="",E357=""),"",C357+E357),"")</f>
        <v/>
      </c>
      <c r="G357" s="26" t="n"/>
      <c r="H357" s="26" t="n"/>
    </row>
    <row r="358">
      <c r="A358" s="33" t="n"/>
      <c r="B358" s="33">
        <f>IFERROR(IF(A358="","",VLOOKUP(A358,DATABASE!A:B,2,0)),"")</f>
        <v/>
      </c>
      <c r="C358" s="34">
        <f>IFERROR(IF(A358="","",VLOOKUP(A358,DATABASE!A:J,10,0)),"")</f>
        <v/>
      </c>
      <c r="D358" s="35">
        <f>IF(A358="","",TODAY())</f>
        <v/>
      </c>
      <c r="E358" s="34" t="n"/>
      <c r="F358" s="34">
        <f>IFERROR(IF(OR(A358="",E358=""),"",C358+E358),"")</f>
        <v/>
      </c>
      <c r="G358" s="33" t="n"/>
      <c r="H358" s="33" t="n"/>
    </row>
    <row r="359">
      <c r="A359" s="26" t="n"/>
      <c r="B359" s="26">
        <f>IFERROR(IF(A359="","",VLOOKUP(A359,DATABASE!A:B,2,0)),"")</f>
        <v/>
      </c>
      <c r="C359" s="30">
        <f>IFERROR(IF(A359="","",VLOOKUP(A359,DATABASE!A:J,10,0)),"")</f>
        <v/>
      </c>
      <c r="D359" s="31">
        <f>IF(A359="","",TODAY())</f>
        <v/>
      </c>
      <c r="E359" s="30" t="n"/>
      <c r="F359" s="30">
        <f>IFERROR(IF(OR(A359="",E359=""),"",C359+E359),"")</f>
        <v/>
      </c>
      <c r="G359" s="26" t="n"/>
      <c r="H359" s="26" t="n"/>
    </row>
    <row r="360">
      <c r="A360" s="33" t="n"/>
      <c r="B360" s="33">
        <f>IFERROR(IF(A360="","",VLOOKUP(A360,DATABASE!A:B,2,0)),"")</f>
        <v/>
      </c>
      <c r="C360" s="34">
        <f>IFERROR(IF(A360="","",VLOOKUP(A360,DATABASE!A:J,10,0)),"")</f>
        <v/>
      </c>
      <c r="D360" s="35">
        <f>IF(A360="","",TODAY())</f>
        <v/>
      </c>
      <c r="E360" s="34" t="n"/>
      <c r="F360" s="34">
        <f>IFERROR(IF(OR(A360="",E360=""),"",C360+E360),"")</f>
        <v/>
      </c>
      <c r="G360" s="33" t="n"/>
      <c r="H360" s="33" t="n"/>
    </row>
    <row r="361">
      <c r="A361" s="26" t="n"/>
      <c r="B361" s="26">
        <f>IFERROR(IF(A361="","",VLOOKUP(A361,DATABASE!A:B,2,0)),"")</f>
        <v/>
      </c>
      <c r="C361" s="30">
        <f>IFERROR(IF(A361="","",VLOOKUP(A361,DATABASE!A:J,10,0)),"")</f>
        <v/>
      </c>
      <c r="D361" s="31">
        <f>IF(A361="","",TODAY())</f>
        <v/>
      </c>
      <c r="E361" s="30" t="n"/>
      <c r="F361" s="30">
        <f>IFERROR(IF(OR(A361="",E361=""),"",C361+E361),"")</f>
        <v/>
      </c>
      <c r="G361" s="26" t="n"/>
      <c r="H361" s="26" t="n"/>
    </row>
    <row r="362">
      <c r="A362" s="33" t="n"/>
      <c r="B362" s="33">
        <f>IFERROR(IF(A362="","",VLOOKUP(A362,DATABASE!A:B,2,0)),"")</f>
        <v/>
      </c>
      <c r="C362" s="34">
        <f>IFERROR(IF(A362="","",VLOOKUP(A362,DATABASE!A:J,10,0)),"")</f>
        <v/>
      </c>
      <c r="D362" s="35">
        <f>IF(A362="","",TODAY())</f>
        <v/>
      </c>
      <c r="E362" s="34" t="n"/>
      <c r="F362" s="34">
        <f>IFERROR(IF(OR(A362="",E362=""),"",C362+E362),"")</f>
        <v/>
      </c>
      <c r="G362" s="33" t="n"/>
      <c r="H362" s="33" t="n"/>
    </row>
    <row r="363">
      <c r="A363" s="26" t="n"/>
      <c r="B363" s="26">
        <f>IFERROR(IF(A363="","",VLOOKUP(A363,DATABASE!A:B,2,0)),"")</f>
        <v/>
      </c>
      <c r="C363" s="30">
        <f>IFERROR(IF(A363="","",VLOOKUP(A363,DATABASE!A:J,10,0)),"")</f>
        <v/>
      </c>
      <c r="D363" s="31">
        <f>IF(A363="","",TODAY())</f>
        <v/>
      </c>
      <c r="E363" s="30" t="n"/>
      <c r="F363" s="30">
        <f>IFERROR(IF(OR(A363="",E363=""),"",C363+E363),"")</f>
        <v/>
      </c>
      <c r="G363" s="26" t="n"/>
      <c r="H363" s="26" t="n"/>
    </row>
    <row r="364">
      <c r="A364" s="33" t="n"/>
      <c r="B364" s="33">
        <f>IFERROR(IF(A364="","",VLOOKUP(A364,DATABASE!A:B,2,0)),"")</f>
        <v/>
      </c>
      <c r="C364" s="34">
        <f>IFERROR(IF(A364="","",VLOOKUP(A364,DATABASE!A:J,10,0)),"")</f>
        <v/>
      </c>
      <c r="D364" s="35">
        <f>IF(A364="","",TODAY())</f>
        <v/>
      </c>
      <c r="E364" s="34" t="n"/>
      <c r="F364" s="34">
        <f>IFERROR(IF(OR(A364="",E364=""),"",C364+E364),"")</f>
        <v/>
      </c>
      <c r="G364" s="33" t="n"/>
      <c r="H364" s="33" t="n"/>
    </row>
    <row r="365">
      <c r="A365" s="26" t="n"/>
      <c r="B365" s="26">
        <f>IFERROR(IF(A365="","",VLOOKUP(A365,DATABASE!A:B,2,0)),"")</f>
        <v/>
      </c>
      <c r="C365" s="30">
        <f>IFERROR(IF(A365="","",VLOOKUP(A365,DATABASE!A:J,10,0)),"")</f>
        <v/>
      </c>
      <c r="D365" s="31">
        <f>IF(A365="","",TODAY())</f>
        <v/>
      </c>
      <c r="E365" s="30" t="n"/>
      <c r="F365" s="30">
        <f>IFERROR(IF(OR(A365="",E365=""),"",C365+E365),"")</f>
        <v/>
      </c>
      <c r="G365" s="26" t="n"/>
      <c r="H365" s="26" t="n"/>
    </row>
    <row r="366">
      <c r="A366" s="33" t="n"/>
      <c r="B366" s="33">
        <f>IFERROR(IF(A366="","",VLOOKUP(A366,DATABASE!A:B,2,0)),"")</f>
        <v/>
      </c>
      <c r="C366" s="34">
        <f>IFERROR(IF(A366="","",VLOOKUP(A366,DATABASE!A:J,10,0)),"")</f>
        <v/>
      </c>
      <c r="D366" s="35">
        <f>IF(A366="","",TODAY())</f>
        <v/>
      </c>
      <c r="E366" s="34" t="n"/>
      <c r="F366" s="34">
        <f>IFERROR(IF(OR(A366="",E366=""),"",C366+E366),"")</f>
        <v/>
      </c>
      <c r="G366" s="33" t="n"/>
      <c r="H366" s="33" t="n"/>
    </row>
    <row r="367">
      <c r="A367" s="26" t="n"/>
      <c r="B367" s="26">
        <f>IFERROR(IF(A367="","",VLOOKUP(A367,DATABASE!A:B,2,0)),"")</f>
        <v/>
      </c>
      <c r="C367" s="30">
        <f>IFERROR(IF(A367="","",VLOOKUP(A367,DATABASE!A:J,10,0)),"")</f>
        <v/>
      </c>
      <c r="D367" s="31">
        <f>IF(A367="","",TODAY())</f>
        <v/>
      </c>
      <c r="E367" s="30" t="n"/>
      <c r="F367" s="30">
        <f>IFERROR(IF(OR(A367="",E367=""),"",C367+E367),"")</f>
        <v/>
      </c>
      <c r="G367" s="26" t="n"/>
      <c r="H367" s="26" t="n"/>
    </row>
    <row r="368">
      <c r="A368" s="33" t="n"/>
      <c r="B368" s="33">
        <f>IFERROR(IF(A368="","",VLOOKUP(A368,DATABASE!A:B,2,0)),"")</f>
        <v/>
      </c>
      <c r="C368" s="34">
        <f>IFERROR(IF(A368="","",VLOOKUP(A368,DATABASE!A:J,10,0)),"")</f>
        <v/>
      </c>
      <c r="D368" s="35">
        <f>IF(A368="","",TODAY())</f>
        <v/>
      </c>
      <c r="E368" s="34" t="n"/>
      <c r="F368" s="34">
        <f>IFERROR(IF(OR(A368="",E368=""),"",C368+E368),"")</f>
        <v/>
      </c>
      <c r="G368" s="33" t="n"/>
      <c r="H368" s="33" t="n"/>
    </row>
    <row r="369">
      <c r="A369" s="26" t="n"/>
      <c r="B369" s="26">
        <f>IFERROR(IF(A369="","",VLOOKUP(A369,DATABASE!A:B,2,0)),"")</f>
        <v/>
      </c>
      <c r="C369" s="30">
        <f>IFERROR(IF(A369="","",VLOOKUP(A369,DATABASE!A:J,10,0)),"")</f>
        <v/>
      </c>
      <c r="D369" s="31">
        <f>IF(A369="","",TODAY())</f>
        <v/>
      </c>
      <c r="E369" s="30" t="n"/>
      <c r="F369" s="30">
        <f>IFERROR(IF(OR(A369="",E369=""),"",C369+E369),"")</f>
        <v/>
      </c>
      <c r="G369" s="26" t="n"/>
      <c r="H369" s="26" t="n"/>
    </row>
    <row r="370">
      <c r="A370" s="33" t="n"/>
      <c r="B370" s="33">
        <f>IFERROR(IF(A370="","",VLOOKUP(A370,DATABASE!A:B,2,0)),"")</f>
        <v/>
      </c>
      <c r="C370" s="34">
        <f>IFERROR(IF(A370="","",VLOOKUP(A370,DATABASE!A:J,10,0)),"")</f>
        <v/>
      </c>
      <c r="D370" s="35">
        <f>IF(A370="","",TODAY())</f>
        <v/>
      </c>
      <c r="E370" s="34" t="n"/>
      <c r="F370" s="34">
        <f>IFERROR(IF(OR(A370="",E370=""),"",C370+E370),"")</f>
        <v/>
      </c>
      <c r="G370" s="33" t="n"/>
      <c r="H370" s="33" t="n"/>
    </row>
    <row r="371">
      <c r="A371" s="26" t="n"/>
      <c r="B371" s="26">
        <f>IFERROR(IF(A371="","",VLOOKUP(A371,DATABASE!A:B,2,0)),"")</f>
        <v/>
      </c>
      <c r="C371" s="30">
        <f>IFERROR(IF(A371="","",VLOOKUP(A371,DATABASE!A:J,10,0)),"")</f>
        <v/>
      </c>
      <c r="D371" s="31">
        <f>IF(A371="","",TODAY())</f>
        <v/>
      </c>
      <c r="E371" s="30" t="n"/>
      <c r="F371" s="30">
        <f>IFERROR(IF(OR(A371="",E371=""),"",C371+E371),"")</f>
        <v/>
      </c>
      <c r="G371" s="26" t="n"/>
      <c r="H371" s="26" t="n"/>
    </row>
    <row r="372">
      <c r="A372" s="33" t="n"/>
      <c r="B372" s="33">
        <f>IFERROR(IF(A372="","",VLOOKUP(A372,DATABASE!A:B,2,0)),"")</f>
        <v/>
      </c>
      <c r="C372" s="34">
        <f>IFERROR(IF(A372="","",VLOOKUP(A372,DATABASE!A:J,10,0)),"")</f>
        <v/>
      </c>
      <c r="D372" s="35">
        <f>IF(A372="","",TODAY())</f>
        <v/>
      </c>
      <c r="E372" s="34" t="n"/>
      <c r="F372" s="34">
        <f>IFERROR(IF(OR(A372="",E372=""),"",C372+E372),"")</f>
        <v/>
      </c>
      <c r="G372" s="33" t="n"/>
      <c r="H372" s="33" t="n"/>
    </row>
    <row r="373">
      <c r="A373" s="26" t="n"/>
      <c r="B373" s="26">
        <f>IFERROR(IF(A373="","",VLOOKUP(A373,DATABASE!A:B,2,0)),"")</f>
        <v/>
      </c>
      <c r="C373" s="30">
        <f>IFERROR(IF(A373="","",VLOOKUP(A373,DATABASE!A:J,10,0)),"")</f>
        <v/>
      </c>
      <c r="D373" s="31">
        <f>IF(A373="","",TODAY())</f>
        <v/>
      </c>
      <c r="E373" s="30" t="n"/>
      <c r="F373" s="30">
        <f>IFERROR(IF(OR(A373="",E373=""),"",C373+E373),"")</f>
        <v/>
      </c>
      <c r="G373" s="26" t="n"/>
      <c r="H373" s="26" t="n"/>
    </row>
    <row r="374">
      <c r="A374" s="33" t="n"/>
      <c r="B374" s="33">
        <f>IFERROR(IF(A374="","",VLOOKUP(A374,DATABASE!A:B,2,0)),"")</f>
        <v/>
      </c>
      <c r="C374" s="34">
        <f>IFERROR(IF(A374="","",VLOOKUP(A374,DATABASE!A:J,10,0)),"")</f>
        <v/>
      </c>
      <c r="D374" s="35">
        <f>IF(A374="","",TODAY())</f>
        <v/>
      </c>
      <c r="E374" s="34" t="n"/>
      <c r="F374" s="34">
        <f>IFERROR(IF(OR(A374="",E374=""),"",C374+E374),"")</f>
        <v/>
      </c>
      <c r="G374" s="33" t="n"/>
      <c r="H374" s="33" t="n"/>
    </row>
    <row r="375">
      <c r="A375" s="26" t="n"/>
      <c r="B375" s="26">
        <f>IFERROR(IF(A375="","",VLOOKUP(A375,DATABASE!A:B,2,0)),"")</f>
        <v/>
      </c>
      <c r="C375" s="30">
        <f>IFERROR(IF(A375="","",VLOOKUP(A375,DATABASE!A:J,10,0)),"")</f>
        <v/>
      </c>
      <c r="D375" s="31">
        <f>IF(A375="","",TODAY())</f>
        <v/>
      </c>
      <c r="E375" s="30" t="n"/>
      <c r="F375" s="30">
        <f>IFERROR(IF(OR(A375="",E375=""),"",C375+E375),"")</f>
        <v/>
      </c>
      <c r="G375" s="26" t="n"/>
      <c r="H375" s="26" t="n"/>
    </row>
    <row r="376">
      <c r="A376" s="33" t="n"/>
      <c r="B376" s="33">
        <f>IFERROR(IF(A376="","",VLOOKUP(A376,DATABASE!A:B,2,0)),"")</f>
        <v/>
      </c>
      <c r="C376" s="34">
        <f>IFERROR(IF(A376="","",VLOOKUP(A376,DATABASE!A:J,10,0)),"")</f>
        <v/>
      </c>
      <c r="D376" s="35">
        <f>IF(A376="","",TODAY())</f>
        <v/>
      </c>
      <c r="E376" s="34" t="n"/>
      <c r="F376" s="34">
        <f>IFERROR(IF(OR(A376="",E376=""),"",C376+E376),"")</f>
        <v/>
      </c>
      <c r="G376" s="33" t="n"/>
      <c r="H376" s="33" t="n"/>
    </row>
    <row r="377">
      <c r="A377" s="26" t="n"/>
      <c r="B377" s="26">
        <f>IFERROR(IF(A377="","",VLOOKUP(A377,DATABASE!A:B,2,0)),"")</f>
        <v/>
      </c>
      <c r="C377" s="30">
        <f>IFERROR(IF(A377="","",VLOOKUP(A377,DATABASE!A:J,10,0)),"")</f>
        <v/>
      </c>
      <c r="D377" s="31">
        <f>IF(A377="","",TODAY())</f>
        <v/>
      </c>
      <c r="E377" s="30" t="n"/>
      <c r="F377" s="30">
        <f>IFERROR(IF(OR(A377="",E377=""),"",C377+E377),"")</f>
        <v/>
      </c>
      <c r="G377" s="26" t="n"/>
      <c r="H377" s="26" t="n"/>
    </row>
    <row r="378">
      <c r="A378" s="33" t="n"/>
      <c r="B378" s="33">
        <f>IFERROR(IF(A378="","",VLOOKUP(A378,DATABASE!A:B,2,0)),"")</f>
        <v/>
      </c>
      <c r="C378" s="34">
        <f>IFERROR(IF(A378="","",VLOOKUP(A378,DATABASE!A:J,10,0)),"")</f>
        <v/>
      </c>
      <c r="D378" s="35">
        <f>IF(A378="","",TODAY())</f>
        <v/>
      </c>
      <c r="E378" s="34" t="n"/>
      <c r="F378" s="34">
        <f>IFERROR(IF(OR(A378="",E378=""),"",C378+E378),"")</f>
        <v/>
      </c>
      <c r="G378" s="33" t="n"/>
      <c r="H378" s="33" t="n"/>
    </row>
    <row r="379">
      <c r="A379" s="26" t="n"/>
      <c r="B379" s="26">
        <f>IFERROR(IF(A379="","",VLOOKUP(A379,DATABASE!A:B,2,0)),"")</f>
        <v/>
      </c>
      <c r="C379" s="30">
        <f>IFERROR(IF(A379="","",VLOOKUP(A379,DATABASE!A:J,10,0)),"")</f>
        <v/>
      </c>
      <c r="D379" s="31">
        <f>IF(A379="","",TODAY())</f>
        <v/>
      </c>
      <c r="E379" s="30" t="n"/>
      <c r="F379" s="30">
        <f>IFERROR(IF(OR(A379="",E379=""),"",C379+E379),"")</f>
        <v/>
      </c>
      <c r="G379" s="26" t="n"/>
      <c r="H379" s="26" t="n"/>
    </row>
    <row r="380">
      <c r="A380" s="33" t="n"/>
      <c r="B380" s="33">
        <f>IFERROR(IF(A380="","",VLOOKUP(A380,DATABASE!A:B,2,0)),"")</f>
        <v/>
      </c>
      <c r="C380" s="34">
        <f>IFERROR(IF(A380="","",VLOOKUP(A380,DATABASE!A:J,10,0)),"")</f>
        <v/>
      </c>
      <c r="D380" s="35">
        <f>IF(A380="","",TODAY())</f>
        <v/>
      </c>
      <c r="E380" s="34" t="n"/>
      <c r="F380" s="34">
        <f>IFERROR(IF(OR(A380="",E380=""),"",C380+E380),"")</f>
        <v/>
      </c>
      <c r="G380" s="33" t="n"/>
      <c r="H380" s="33" t="n"/>
    </row>
    <row r="381">
      <c r="A381" s="26" t="n"/>
      <c r="B381" s="26">
        <f>IFERROR(IF(A381="","",VLOOKUP(A381,DATABASE!A:B,2,0)),"")</f>
        <v/>
      </c>
      <c r="C381" s="30">
        <f>IFERROR(IF(A381="","",VLOOKUP(A381,DATABASE!A:J,10,0)),"")</f>
        <v/>
      </c>
      <c r="D381" s="31">
        <f>IF(A381="","",TODAY())</f>
        <v/>
      </c>
      <c r="E381" s="30" t="n"/>
      <c r="F381" s="30">
        <f>IFERROR(IF(OR(A381="",E381=""),"",C381+E381),"")</f>
        <v/>
      </c>
      <c r="G381" s="26" t="n"/>
      <c r="H381" s="26" t="n"/>
    </row>
    <row r="382">
      <c r="A382" s="33" t="n"/>
      <c r="B382" s="33">
        <f>IFERROR(IF(A382="","",VLOOKUP(A382,DATABASE!A:B,2,0)),"")</f>
        <v/>
      </c>
      <c r="C382" s="34">
        <f>IFERROR(IF(A382="","",VLOOKUP(A382,DATABASE!A:J,10,0)),"")</f>
        <v/>
      </c>
      <c r="D382" s="35">
        <f>IF(A382="","",TODAY())</f>
        <v/>
      </c>
      <c r="E382" s="34" t="n"/>
      <c r="F382" s="34">
        <f>IFERROR(IF(OR(A382="",E382=""),"",C382+E382),"")</f>
        <v/>
      </c>
      <c r="G382" s="33" t="n"/>
      <c r="H382" s="33" t="n"/>
    </row>
    <row r="383">
      <c r="A383" s="26" t="n"/>
      <c r="B383" s="26">
        <f>IFERROR(IF(A383="","",VLOOKUP(A383,DATABASE!A:B,2,0)),"")</f>
        <v/>
      </c>
      <c r="C383" s="30">
        <f>IFERROR(IF(A383="","",VLOOKUP(A383,DATABASE!A:J,10,0)),"")</f>
        <v/>
      </c>
      <c r="D383" s="31">
        <f>IF(A383="","",TODAY())</f>
        <v/>
      </c>
      <c r="E383" s="30" t="n"/>
      <c r="F383" s="30">
        <f>IFERROR(IF(OR(A383="",E383=""),"",C383+E383),"")</f>
        <v/>
      </c>
      <c r="G383" s="26" t="n"/>
      <c r="H383" s="26" t="n"/>
    </row>
    <row r="384">
      <c r="A384" s="33" t="n"/>
      <c r="B384" s="33">
        <f>IFERROR(IF(A384="","",VLOOKUP(A384,DATABASE!A:B,2,0)),"")</f>
        <v/>
      </c>
      <c r="C384" s="34">
        <f>IFERROR(IF(A384="","",VLOOKUP(A384,DATABASE!A:J,10,0)),"")</f>
        <v/>
      </c>
      <c r="D384" s="35">
        <f>IF(A384="","",TODAY())</f>
        <v/>
      </c>
      <c r="E384" s="34" t="n"/>
      <c r="F384" s="34">
        <f>IFERROR(IF(OR(A384="",E384=""),"",C384+E384),"")</f>
        <v/>
      </c>
      <c r="G384" s="33" t="n"/>
      <c r="H384" s="33" t="n"/>
    </row>
    <row r="385">
      <c r="A385" s="26" t="n"/>
      <c r="B385" s="26">
        <f>IFERROR(IF(A385="","",VLOOKUP(A385,DATABASE!A:B,2,0)),"")</f>
        <v/>
      </c>
      <c r="C385" s="30">
        <f>IFERROR(IF(A385="","",VLOOKUP(A385,DATABASE!A:J,10,0)),"")</f>
        <v/>
      </c>
      <c r="D385" s="31">
        <f>IF(A385="","",TODAY())</f>
        <v/>
      </c>
      <c r="E385" s="30" t="n"/>
      <c r="F385" s="30">
        <f>IFERROR(IF(OR(A385="",E385=""),"",C385+E385),"")</f>
        <v/>
      </c>
      <c r="G385" s="26" t="n"/>
      <c r="H385" s="26" t="n"/>
    </row>
    <row r="386">
      <c r="A386" s="33" t="n"/>
      <c r="B386" s="33">
        <f>IFERROR(IF(A386="","",VLOOKUP(A386,DATABASE!A:B,2,0)),"")</f>
        <v/>
      </c>
      <c r="C386" s="34">
        <f>IFERROR(IF(A386="","",VLOOKUP(A386,DATABASE!A:J,10,0)),"")</f>
        <v/>
      </c>
      <c r="D386" s="35">
        <f>IF(A386="","",TODAY())</f>
        <v/>
      </c>
      <c r="E386" s="34" t="n"/>
      <c r="F386" s="34">
        <f>IFERROR(IF(OR(A386="",E386=""),"",C386+E386),"")</f>
        <v/>
      </c>
      <c r="G386" s="33" t="n"/>
      <c r="H386" s="33" t="n"/>
    </row>
    <row r="387">
      <c r="A387" s="26" t="n"/>
      <c r="B387" s="26">
        <f>IFERROR(IF(A387="","",VLOOKUP(A387,DATABASE!A:B,2,0)),"")</f>
        <v/>
      </c>
      <c r="C387" s="30">
        <f>IFERROR(IF(A387="","",VLOOKUP(A387,DATABASE!A:J,10,0)),"")</f>
        <v/>
      </c>
      <c r="D387" s="31">
        <f>IF(A387="","",TODAY())</f>
        <v/>
      </c>
      <c r="E387" s="30" t="n"/>
      <c r="F387" s="30">
        <f>IFERROR(IF(OR(A387="",E387=""),"",C387+E387),"")</f>
        <v/>
      </c>
      <c r="G387" s="26" t="n"/>
      <c r="H387" s="26" t="n"/>
    </row>
    <row r="388">
      <c r="A388" s="33" t="n"/>
      <c r="B388" s="33">
        <f>IFERROR(IF(A388="","",VLOOKUP(A388,DATABASE!A:B,2,0)),"")</f>
        <v/>
      </c>
      <c r="C388" s="34">
        <f>IFERROR(IF(A388="","",VLOOKUP(A388,DATABASE!A:J,10,0)),"")</f>
        <v/>
      </c>
      <c r="D388" s="35">
        <f>IF(A388="","",TODAY())</f>
        <v/>
      </c>
      <c r="E388" s="34" t="n"/>
      <c r="F388" s="34">
        <f>IFERROR(IF(OR(A388="",E388=""),"",C388+E388),"")</f>
        <v/>
      </c>
      <c r="G388" s="33" t="n"/>
      <c r="H388" s="33" t="n"/>
    </row>
    <row r="389">
      <c r="A389" s="26" t="n"/>
      <c r="B389" s="26">
        <f>IFERROR(IF(A389="","",VLOOKUP(A389,DATABASE!A:B,2,0)),"")</f>
        <v/>
      </c>
      <c r="C389" s="30">
        <f>IFERROR(IF(A389="","",VLOOKUP(A389,DATABASE!A:J,10,0)),"")</f>
        <v/>
      </c>
      <c r="D389" s="31">
        <f>IF(A389="","",TODAY())</f>
        <v/>
      </c>
      <c r="E389" s="30" t="n"/>
      <c r="F389" s="30">
        <f>IFERROR(IF(OR(A389="",E389=""),"",C389+E389),"")</f>
        <v/>
      </c>
      <c r="G389" s="26" t="n"/>
      <c r="H389" s="26" t="n"/>
    </row>
    <row r="390">
      <c r="A390" s="33" t="n"/>
      <c r="B390" s="33">
        <f>IFERROR(IF(A390="","",VLOOKUP(A390,DATABASE!A:B,2,0)),"")</f>
        <v/>
      </c>
      <c r="C390" s="34">
        <f>IFERROR(IF(A390="","",VLOOKUP(A390,DATABASE!A:J,10,0)),"")</f>
        <v/>
      </c>
      <c r="D390" s="35">
        <f>IF(A390="","",TODAY())</f>
        <v/>
      </c>
      <c r="E390" s="34" t="n"/>
      <c r="F390" s="34">
        <f>IFERROR(IF(OR(A390="",E390=""),"",C390+E390),"")</f>
        <v/>
      </c>
      <c r="G390" s="33" t="n"/>
      <c r="H390" s="33" t="n"/>
    </row>
    <row r="391">
      <c r="A391" s="26" t="n"/>
      <c r="B391" s="26">
        <f>IFERROR(IF(A391="","",VLOOKUP(A391,DATABASE!A:B,2,0)),"")</f>
        <v/>
      </c>
      <c r="C391" s="30">
        <f>IFERROR(IF(A391="","",VLOOKUP(A391,DATABASE!A:J,10,0)),"")</f>
        <v/>
      </c>
      <c r="D391" s="31">
        <f>IF(A391="","",TODAY())</f>
        <v/>
      </c>
      <c r="E391" s="30" t="n"/>
      <c r="F391" s="30">
        <f>IFERROR(IF(OR(A391="",E391=""),"",C391+E391),"")</f>
        <v/>
      </c>
      <c r="G391" s="26" t="n"/>
      <c r="H391" s="26" t="n"/>
    </row>
    <row r="392">
      <c r="A392" s="33" t="n"/>
      <c r="B392" s="33">
        <f>IFERROR(IF(A392="","",VLOOKUP(A392,DATABASE!A:B,2,0)),"")</f>
        <v/>
      </c>
      <c r="C392" s="34">
        <f>IFERROR(IF(A392="","",VLOOKUP(A392,DATABASE!A:J,10,0)),"")</f>
        <v/>
      </c>
      <c r="D392" s="35">
        <f>IF(A392="","",TODAY())</f>
        <v/>
      </c>
      <c r="E392" s="34" t="n"/>
      <c r="F392" s="34">
        <f>IFERROR(IF(OR(A392="",E392=""),"",C392+E392),"")</f>
        <v/>
      </c>
      <c r="G392" s="33" t="n"/>
      <c r="H392" s="33" t="n"/>
    </row>
    <row r="393">
      <c r="A393" s="26" t="n"/>
      <c r="B393" s="26">
        <f>IFERROR(IF(A393="","",VLOOKUP(A393,DATABASE!A:B,2,0)),"")</f>
        <v/>
      </c>
      <c r="C393" s="30">
        <f>IFERROR(IF(A393="","",VLOOKUP(A393,DATABASE!A:J,10,0)),"")</f>
        <v/>
      </c>
      <c r="D393" s="31">
        <f>IF(A393="","",TODAY())</f>
        <v/>
      </c>
      <c r="E393" s="30" t="n"/>
      <c r="F393" s="30">
        <f>IFERROR(IF(OR(A393="",E393=""),"",C393+E393),"")</f>
        <v/>
      </c>
      <c r="G393" s="26" t="n"/>
      <c r="H393" s="26" t="n"/>
    </row>
    <row r="394">
      <c r="A394" s="33" t="n"/>
      <c r="B394" s="33">
        <f>IFERROR(IF(A394="","",VLOOKUP(A394,DATABASE!A:B,2,0)),"")</f>
        <v/>
      </c>
      <c r="C394" s="34">
        <f>IFERROR(IF(A394="","",VLOOKUP(A394,DATABASE!A:J,10,0)),"")</f>
        <v/>
      </c>
      <c r="D394" s="35">
        <f>IF(A394="","",TODAY())</f>
        <v/>
      </c>
      <c r="E394" s="34" t="n"/>
      <c r="F394" s="34">
        <f>IFERROR(IF(OR(A394="",E394=""),"",C394+E394),"")</f>
        <v/>
      </c>
      <c r="G394" s="33" t="n"/>
      <c r="H394" s="33" t="n"/>
    </row>
    <row r="395">
      <c r="A395" s="26" t="n"/>
      <c r="B395" s="26">
        <f>IFERROR(IF(A395="","",VLOOKUP(A395,DATABASE!A:B,2,0)),"")</f>
        <v/>
      </c>
      <c r="C395" s="30">
        <f>IFERROR(IF(A395="","",VLOOKUP(A395,DATABASE!A:J,10,0)),"")</f>
        <v/>
      </c>
      <c r="D395" s="31">
        <f>IF(A395="","",TODAY())</f>
        <v/>
      </c>
      <c r="E395" s="30" t="n"/>
      <c r="F395" s="30">
        <f>IFERROR(IF(OR(A395="",E395=""),"",C395+E395),"")</f>
        <v/>
      </c>
      <c r="G395" s="26" t="n"/>
      <c r="H395" s="26" t="n"/>
    </row>
    <row r="396">
      <c r="A396" s="33" t="n"/>
      <c r="B396" s="33">
        <f>IFERROR(IF(A396="","",VLOOKUP(A396,DATABASE!A:B,2,0)),"")</f>
        <v/>
      </c>
      <c r="C396" s="34">
        <f>IFERROR(IF(A396="","",VLOOKUP(A396,DATABASE!A:J,10,0)),"")</f>
        <v/>
      </c>
      <c r="D396" s="35">
        <f>IF(A396="","",TODAY())</f>
        <v/>
      </c>
      <c r="E396" s="34" t="n"/>
      <c r="F396" s="34">
        <f>IFERROR(IF(OR(A396="",E396=""),"",C396+E396),"")</f>
        <v/>
      </c>
      <c r="G396" s="33" t="n"/>
      <c r="H396" s="33" t="n"/>
    </row>
    <row r="397">
      <c r="A397" s="26" t="n"/>
      <c r="B397" s="26">
        <f>IFERROR(IF(A397="","",VLOOKUP(A397,DATABASE!A:B,2,0)),"")</f>
        <v/>
      </c>
      <c r="C397" s="30">
        <f>IFERROR(IF(A397="","",VLOOKUP(A397,DATABASE!A:J,10,0)),"")</f>
        <v/>
      </c>
      <c r="D397" s="31">
        <f>IF(A397="","",TODAY())</f>
        <v/>
      </c>
      <c r="E397" s="30" t="n"/>
      <c r="F397" s="30">
        <f>IFERROR(IF(OR(A397="",E397=""),"",C397+E397),"")</f>
        <v/>
      </c>
      <c r="G397" s="26" t="n"/>
      <c r="H397" s="26" t="n"/>
    </row>
    <row r="398">
      <c r="A398" s="33" t="n"/>
      <c r="B398" s="33">
        <f>IFERROR(IF(A398="","",VLOOKUP(A398,DATABASE!A:B,2,0)),"")</f>
        <v/>
      </c>
      <c r="C398" s="34">
        <f>IFERROR(IF(A398="","",VLOOKUP(A398,DATABASE!A:J,10,0)),"")</f>
        <v/>
      </c>
      <c r="D398" s="35">
        <f>IF(A398="","",TODAY())</f>
        <v/>
      </c>
      <c r="E398" s="34" t="n"/>
      <c r="F398" s="34">
        <f>IFERROR(IF(OR(A398="",E398=""),"",C398+E398),"")</f>
        <v/>
      </c>
      <c r="G398" s="33" t="n"/>
      <c r="H398" s="33" t="n"/>
    </row>
    <row r="399">
      <c r="A399" s="26" t="n"/>
      <c r="B399" s="26">
        <f>IFERROR(IF(A399="","",VLOOKUP(A399,DATABASE!A:B,2,0)),"")</f>
        <v/>
      </c>
      <c r="C399" s="30">
        <f>IFERROR(IF(A399="","",VLOOKUP(A399,DATABASE!A:J,10,0)),"")</f>
        <v/>
      </c>
      <c r="D399" s="31">
        <f>IF(A399="","",TODAY())</f>
        <v/>
      </c>
      <c r="E399" s="30" t="n"/>
      <c r="F399" s="30">
        <f>IFERROR(IF(OR(A399="",E399=""),"",C399+E399),"")</f>
        <v/>
      </c>
      <c r="G399" s="26" t="n"/>
      <c r="H399" s="26" t="n"/>
    </row>
    <row r="400">
      <c r="A400" s="33" t="n"/>
      <c r="B400" s="33">
        <f>IFERROR(IF(A400="","",VLOOKUP(A400,DATABASE!A:B,2,0)),"")</f>
        <v/>
      </c>
      <c r="C400" s="34">
        <f>IFERROR(IF(A400="","",VLOOKUP(A400,DATABASE!A:J,10,0)),"")</f>
        <v/>
      </c>
      <c r="D400" s="35">
        <f>IF(A400="","",TODAY())</f>
        <v/>
      </c>
      <c r="E400" s="34" t="n"/>
      <c r="F400" s="34">
        <f>IFERROR(IF(OR(A400="",E400=""),"",C400+E400),"")</f>
        <v/>
      </c>
      <c r="G400" s="33" t="n"/>
      <c r="H400" s="33" t="n"/>
    </row>
    <row r="401">
      <c r="A401" s="26" t="n"/>
      <c r="B401" s="26">
        <f>IFERROR(IF(A401="","",VLOOKUP(A401,DATABASE!A:B,2,0)),"")</f>
        <v/>
      </c>
      <c r="C401" s="30">
        <f>IFERROR(IF(A401="","",VLOOKUP(A401,DATABASE!A:J,10,0)),"")</f>
        <v/>
      </c>
      <c r="D401" s="31">
        <f>IF(A401="","",TODAY())</f>
        <v/>
      </c>
      <c r="E401" s="30" t="n"/>
      <c r="F401" s="30">
        <f>IFERROR(IF(OR(A401="",E401=""),"",C401+E401),"")</f>
        <v/>
      </c>
      <c r="G401" s="26" t="n"/>
      <c r="H401" s="26" t="n"/>
    </row>
    <row r="402">
      <c r="A402" s="33" t="n"/>
      <c r="B402" s="33">
        <f>IFERROR(IF(A402="","",VLOOKUP(A402,DATABASE!A:B,2,0)),"")</f>
        <v/>
      </c>
      <c r="C402" s="34">
        <f>IFERROR(IF(A402="","",VLOOKUP(A402,DATABASE!A:J,10,0)),"")</f>
        <v/>
      </c>
      <c r="D402" s="35">
        <f>IF(A402="","",TODAY())</f>
        <v/>
      </c>
      <c r="E402" s="34" t="n"/>
      <c r="F402" s="34">
        <f>IFERROR(IF(OR(A402="",E402=""),"",C402+E402),"")</f>
        <v/>
      </c>
      <c r="G402" s="33" t="n"/>
      <c r="H402" s="33" t="n"/>
    </row>
    <row r="403">
      <c r="A403" s="26" t="n"/>
      <c r="B403" s="26">
        <f>IFERROR(IF(A403="","",VLOOKUP(A403,DATABASE!A:B,2,0)),"")</f>
        <v/>
      </c>
      <c r="C403" s="30">
        <f>IFERROR(IF(A403="","",VLOOKUP(A403,DATABASE!A:J,10,0)),"")</f>
        <v/>
      </c>
      <c r="D403" s="31">
        <f>IF(A403="","",TODAY())</f>
        <v/>
      </c>
      <c r="E403" s="30" t="n"/>
      <c r="F403" s="30">
        <f>IFERROR(IF(OR(A403="",E403=""),"",C403+E403),"")</f>
        <v/>
      </c>
      <c r="G403" s="26" t="n"/>
      <c r="H403" s="26" t="n"/>
    </row>
    <row r="404">
      <c r="A404" s="33" t="n"/>
      <c r="B404" s="33">
        <f>IFERROR(IF(A404="","",VLOOKUP(A404,DATABASE!A:B,2,0)),"")</f>
        <v/>
      </c>
      <c r="C404" s="34">
        <f>IFERROR(IF(A404="","",VLOOKUP(A404,DATABASE!A:J,10,0)),"")</f>
        <v/>
      </c>
      <c r="D404" s="35">
        <f>IF(A404="","",TODAY())</f>
        <v/>
      </c>
      <c r="E404" s="34" t="n"/>
      <c r="F404" s="34">
        <f>IFERROR(IF(OR(A404="",E404=""),"",C404+E404),"")</f>
        <v/>
      </c>
      <c r="G404" s="33" t="n"/>
      <c r="H404" s="33" t="n"/>
    </row>
    <row r="405">
      <c r="A405" s="26" t="n"/>
      <c r="B405" s="26">
        <f>IFERROR(IF(A405="","",VLOOKUP(A405,DATABASE!A:B,2,0)),"")</f>
        <v/>
      </c>
      <c r="C405" s="30">
        <f>IFERROR(IF(A405="","",VLOOKUP(A405,DATABASE!A:J,10,0)),"")</f>
        <v/>
      </c>
      <c r="D405" s="31">
        <f>IF(A405="","",TODAY())</f>
        <v/>
      </c>
      <c r="E405" s="30" t="n"/>
      <c r="F405" s="30">
        <f>IFERROR(IF(OR(A405="",E405=""),"",C405+E405),"")</f>
        <v/>
      </c>
      <c r="G405" s="26" t="n"/>
      <c r="H405" s="26" t="n"/>
    </row>
    <row r="406">
      <c r="A406" s="33" t="n"/>
      <c r="B406" s="33">
        <f>IFERROR(IF(A406="","",VLOOKUP(A406,DATABASE!A:B,2,0)),"")</f>
        <v/>
      </c>
      <c r="C406" s="34">
        <f>IFERROR(IF(A406="","",VLOOKUP(A406,DATABASE!A:J,10,0)),"")</f>
        <v/>
      </c>
      <c r="D406" s="35">
        <f>IF(A406="","",TODAY())</f>
        <v/>
      </c>
      <c r="E406" s="34" t="n"/>
      <c r="F406" s="34">
        <f>IFERROR(IF(OR(A406="",E406=""),"",C406+E406),"")</f>
        <v/>
      </c>
      <c r="G406" s="33" t="n"/>
      <c r="H406" s="33" t="n"/>
    </row>
    <row r="407">
      <c r="A407" s="26" t="n"/>
      <c r="B407" s="26">
        <f>IFERROR(IF(A407="","",VLOOKUP(A407,DATABASE!A:B,2,0)),"")</f>
        <v/>
      </c>
      <c r="C407" s="30">
        <f>IFERROR(IF(A407="","",VLOOKUP(A407,DATABASE!A:J,10,0)),"")</f>
        <v/>
      </c>
      <c r="D407" s="31">
        <f>IF(A407="","",TODAY())</f>
        <v/>
      </c>
      <c r="E407" s="30" t="n"/>
      <c r="F407" s="30">
        <f>IFERROR(IF(OR(A407="",E407=""),"",C407+E407),"")</f>
        <v/>
      </c>
      <c r="G407" s="26" t="n"/>
      <c r="H407" s="26" t="n"/>
    </row>
    <row r="408">
      <c r="A408" s="33" t="n"/>
      <c r="B408" s="33">
        <f>IFERROR(IF(A408="","",VLOOKUP(A408,DATABASE!A:B,2,0)),"")</f>
        <v/>
      </c>
      <c r="C408" s="34">
        <f>IFERROR(IF(A408="","",VLOOKUP(A408,DATABASE!A:J,10,0)),"")</f>
        <v/>
      </c>
      <c r="D408" s="35">
        <f>IF(A408="","",TODAY())</f>
        <v/>
      </c>
      <c r="E408" s="34" t="n"/>
      <c r="F408" s="34">
        <f>IFERROR(IF(OR(A408="",E408=""),"",C408+E408),"")</f>
        <v/>
      </c>
      <c r="G408" s="33" t="n"/>
      <c r="H408" s="33" t="n"/>
    </row>
    <row r="409">
      <c r="A409" s="26" t="n"/>
      <c r="B409" s="26">
        <f>IFERROR(IF(A409="","",VLOOKUP(A409,DATABASE!A:B,2,0)),"")</f>
        <v/>
      </c>
      <c r="C409" s="30">
        <f>IFERROR(IF(A409="","",VLOOKUP(A409,DATABASE!A:J,10,0)),"")</f>
        <v/>
      </c>
      <c r="D409" s="31">
        <f>IF(A409="","",TODAY())</f>
        <v/>
      </c>
      <c r="E409" s="30" t="n"/>
      <c r="F409" s="30">
        <f>IFERROR(IF(OR(A409="",E409=""),"",C409+E409),"")</f>
        <v/>
      </c>
      <c r="G409" s="26" t="n"/>
      <c r="H409" s="26" t="n"/>
    </row>
    <row r="410">
      <c r="A410" s="33" t="n"/>
      <c r="B410" s="33">
        <f>IFERROR(IF(A410="","",VLOOKUP(A410,DATABASE!A:B,2,0)),"")</f>
        <v/>
      </c>
      <c r="C410" s="34">
        <f>IFERROR(IF(A410="","",VLOOKUP(A410,DATABASE!A:J,10,0)),"")</f>
        <v/>
      </c>
      <c r="D410" s="35">
        <f>IF(A410="","",TODAY())</f>
        <v/>
      </c>
      <c r="E410" s="34" t="n"/>
      <c r="F410" s="34">
        <f>IFERROR(IF(OR(A410="",E410=""),"",C410+E410),"")</f>
        <v/>
      </c>
      <c r="G410" s="33" t="n"/>
      <c r="H410" s="33" t="n"/>
    </row>
    <row r="411">
      <c r="A411" s="26" t="n"/>
      <c r="B411" s="26">
        <f>IFERROR(IF(A411="","",VLOOKUP(A411,DATABASE!A:B,2,0)),"")</f>
        <v/>
      </c>
      <c r="C411" s="30">
        <f>IFERROR(IF(A411="","",VLOOKUP(A411,DATABASE!A:J,10,0)),"")</f>
        <v/>
      </c>
      <c r="D411" s="31">
        <f>IF(A411="","",TODAY())</f>
        <v/>
      </c>
      <c r="E411" s="30" t="n"/>
      <c r="F411" s="30">
        <f>IFERROR(IF(OR(A411="",E411=""),"",C411+E411),"")</f>
        <v/>
      </c>
      <c r="G411" s="26" t="n"/>
      <c r="H411" s="26" t="n"/>
    </row>
    <row r="412">
      <c r="A412" s="33" t="n"/>
      <c r="B412" s="33">
        <f>IFERROR(IF(A412="","",VLOOKUP(A412,DATABASE!A:B,2,0)),"")</f>
        <v/>
      </c>
      <c r="C412" s="34">
        <f>IFERROR(IF(A412="","",VLOOKUP(A412,DATABASE!A:J,10,0)),"")</f>
        <v/>
      </c>
      <c r="D412" s="35">
        <f>IF(A412="","",TODAY())</f>
        <v/>
      </c>
      <c r="E412" s="34" t="n"/>
      <c r="F412" s="34">
        <f>IFERROR(IF(OR(A412="",E412=""),"",C412+E412),"")</f>
        <v/>
      </c>
      <c r="G412" s="33" t="n"/>
      <c r="H412" s="33" t="n"/>
    </row>
    <row r="413">
      <c r="A413" s="26" t="n"/>
      <c r="B413" s="26">
        <f>IFERROR(IF(A413="","",VLOOKUP(A413,DATABASE!A:B,2,0)),"")</f>
        <v/>
      </c>
      <c r="C413" s="30">
        <f>IFERROR(IF(A413="","",VLOOKUP(A413,DATABASE!A:J,10,0)),"")</f>
        <v/>
      </c>
      <c r="D413" s="31">
        <f>IF(A413="","",TODAY())</f>
        <v/>
      </c>
      <c r="E413" s="30" t="n"/>
      <c r="F413" s="30">
        <f>IFERROR(IF(OR(A413="",E413=""),"",C413+E413),"")</f>
        <v/>
      </c>
      <c r="G413" s="26" t="n"/>
      <c r="H413" s="26" t="n"/>
    </row>
    <row r="414">
      <c r="A414" s="33" t="n"/>
      <c r="B414" s="33">
        <f>IFERROR(IF(A414="","",VLOOKUP(A414,DATABASE!A:B,2,0)),"")</f>
        <v/>
      </c>
      <c r="C414" s="34">
        <f>IFERROR(IF(A414="","",VLOOKUP(A414,DATABASE!A:J,10,0)),"")</f>
        <v/>
      </c>
      <c r="D414" s="35">
        <f>IF(A414="","",TODAY())</f>
        <v/>
      </c>
      <c r="E414" s="34" t="n"/>
      <c r="F414" s="34">
        <f>IFERROR(IF(OR(A414="",E414=""),"",C414+E414),"")</f>
        <v/>
      </c>
      <c r="G414" s="33" t="n"/>
      <c r="H414" s="33" t="n"/>
    </row>
    <row r="415">
      <c r="A415" s="26" t="n"/>
      <c r="B415" s="26">
        <f>IFERROR(IF(A415="","",VLOOKUP(A415,DATABASE!A:B,2,0)),"")</f>
        <v/>
      </c>
      <c r="C415" s="30">
        <f>IFERROR(IF(A415="","",VLOOKUP(A415,DATABASE!A:J,10,0)),"")</f>
        <v/>
      </c>
      <c r="D415" s="31">
        <f>IF(A415="","",TODAY())</f>
        <v/>
      </c>
      <c r="E415" s="30" t="n"/>
      <c r="F415" s="30">
        <f>IFERROR(IF(OR(A415="",E415=""),"",C415+E415),"")</f>
        <v/>
      </c>
      <c r="G415" s="26" t="n"/>
      <c r="H415" s="26" t="n"/>
    </row>
    <row r="416">
      <c r="A416" s="33" t="n"/>
      <c r="B416" s="33">
        <f>IFERROR(IF(A416="","",VLOOKUP(A416,DATABASE!A:B,2,0)),"")</f>
        <v/>
      </c>
      <c r="C416" s="34">
        <f>IFERROR(IF(A416="","",VLOOKUP(A416,DATABASE!A:J,10,0)),"")</f>
        <v/>
      </c>
      <c r="D416" s="35">
        <f>IF(A416="","",TODAY())</f>
        <v/>
      </c>
      <c r="E416" s="34" t="n"/>
      <c r="F416" s="34">
        <f>IFERROR(IF(OR(A416="",E416=""),"",C416+E416),"")</f>
        <v/>
      </c>
      <c r="G416" s="33" t="n"/>
      <c r="H416" s="33" t="n"/>
    </row>
    <row r="417">
      <c r="A417" s="26" t="n"/>
      <c r="B417" s="26">
        <f>IFERROR(IF(A417="","",VLOOKUP(A417,DATABASE!A:B,2,0)),"")</f>
        <v/>
      </c>
      <c r="C417" s="30">
        <f>IFERROR(IF(A417="","",VLOOKUP(A417,DATABASE!A:J,10,0)),"")</f>
        <v/>
      </c>
      <c r="D417" s="31">
        <f>IF(A417="","",TODAY())</f>
        <v/>
      </c>
      <c r="E417" s="30" t="n"/>
      <c r="F417" s="30">
        <f>IFERROR(IF(OR(A417="",E417=""),"",C417+E417),"")</f>
        <v/>
      </c>
      <c r="G417" s="26" t="n"/>
      <c r="H417" s="26" t="n"/>
    </row>
    <row r="418">
      <c r="A418" s="33" t="n"/>
      <c r="B418" s="33">
        <f>IFERROR(IF(A418="","",VLOOKUP(A418,DATABASE!A:B,2,0)),"")</f>
        <v/>
      </c>
      <c r="C418" s="34">
        <f>IFERROR(IF(A418="","",VLOOKUP(A418,DATABASE!A:J,10,0)),"")</f>
        <v/>
      </c>
      <c r="D418" s="35">
        <f>IF(A418="","",TODAY())</f>
        <v/>
      </c>
      <c r="E418" s="34" t="n"/>
      <c r="F418" s="34">
        <f>IFERROR(IF(OR(A418="",E418=""),"",C418+E418),"")</f>
        <v/>
      </c>
      <c r="G418" s="33" t="n"/>
      <c r="H418" s="33" t="n"/>
    </row>
    <row r="419">
      <c r="A419" s="26" t="n"/>
      <c r="B419" s="26">
        <f>IFERROR(IF(A419="","",VLOOKUP(A419,DATABASE!A:B,2,0)),"")</f>
        <v/>
      </c>
      <c r="C419" s="30">
        <f>IFERROR(IF(A419="","",VLOOKUP(A419,DATABASE!A:J,10,0)),"")</f>
        <v/>
      </c>
      <c r="D419" s="31">
        <f>IF(A419="","",TODAY())</f>
        <v/>
      </c>
      <c r="E419" s="30" t="n"/>
      <c r="F419" s="30">
        <f>IFERROR(IF(OR(A419="",E419=""),"",C419+E419),"")</f>
        <v/>
      </c>
      <c r="G419" s="26" t="n"/>
      <c r="H419" s="26" t="n"/>
    </row>
    <row r="420">
      <c r="A420" s="33" t="n"/>
      <c r="B420" s="33">
        <f>IFERROR(IF(A420="","",VLOOKUP(A420,DATABASE!A:B,2,0)),"")</f>
        <v/>
      </c>
      <c r="C420" s="34">
        <f>IFERROR(IF(A420="","",VLOOKUP(A420,DATABASE!A:J,10,0)),"")</f>
        <v/>
      </c>
      <c r="D420" s="35">
        <f>IF(A420="","",TODAY())</f>
        <v/>
      </c>
      <c r="E420" s="34" t="n"/>
      <c r="F420" s="34">
        <f>IFERROR(IF(OR(A420="",E420=""),"",C420+E420),"")</f>
        <v/>
      </c>
      <c r="G420" s="33" t="n"/>
      <c r="H420" s="33" t="n"/>
    </row>
    <row r="421">
      <c r="A421" s="26" t="n"/>
      <c r="B421" s="26">
        <f>IFERROR(IF(A421="","",VLOOKUP(A421,DATABASE!A:B,2,0)),"")</f>
        <v/>
      </c>
      <c r="C421" s="30">
        <f>IFERROR(IF(A421="","",VLOOKUP(A421,DATABASE!A:J,10,0)),"")</f>
        <v/>
      </c>
      <c r="D421" s="31">
        <f>IF(A421="","",TODAY())</f>
        <v/>
      </c>
      <c r="E421" s="30" t="n"/>
      <c r="F421" s="30">
        <f>IFERROR(IF(OR(A421="",E421=""),"",C421+E421),"")</f>
        <v/>
      </c>
      <c r="G421" s="26" t="n"/>
      <c r="H421" s="26" t="n"/>
    </row>
    <row r="422">
      <c r="A422" s="33" t="n"/>
      <c r="B422" s="33">
        <f>IFERROR(IF(A422="","",VLOOKUP(A422,DATABASE!A:B,2,0)),"")</f>
        <v/>
      </c>
      <c r="C422" s="34">
        <f>IFERROR(IF(A422="","",VLOOKUP(A422,DATABASE!A:J,10,0)),"")</f>
        <v/>
      </c>
      <c r="D422" s="35">
        <f>IF(A422="","",TODAY())</f>
        <v/>
      </c>
      <c r="E422" s="34" t="n"/>
      <c r="F422" s="34">
        <f>IFERROR(IF(OR(A422="",E422=""),"",C422+E422),"")</f>
        <v/>
      </c>
      <c r="G422" s="33" t="n"/>
      <c r="H422" s="33" t="n"/>
    </row>
    <row r="423">
      <c r="A423" s="26" t="n"/>
      <c r="B423" s="26">
        <f>IFERROR(IF(A423="","",VLOOKUP(A423,DATABASE!A:B,2,0)),"")</f>
        <v/>
      </c>
      <c r="C423" s="30">
        <f>IFERROR(IF(A423="","",VLOOKUP(A423,DATABASE!A:J,10,0)),"")</f>
        <v/>
      </c>
      <c r="D423" s="31">
        <f>IF(A423="","",TODAY())</f>
        <v/>
      </c>
      <c r="E423" s="30" t="n"/>
      <c r="F423" s="30">
        <f>IFERROR(IF(OR(A423="",E423=""),"",C423+E423),"")</f>
        <v/>
      </c>
      <c r="G423" s="26" t="n"/>
      <c r="H423" s="26" t="n"/>
    </row>
    <row r="424">
      <c r="A424" s="33" t="n"/>
      <c r="B424" s="33">
        <f>IFERROR(IF(A424="","",VLOOKUP(A424,DATABASE!A:B,2,0)),"")</f>
        <v/>
      </c>
      <c r="C424" s="34">
        <f>IFERROR(IF(A424="","",VLOOKUP(A424,DATABASE!A:J,10,0)),"")</f>
        <v/>
      </c>
      <c r="D424" s="35">
        <f>IF(A424="","",TODAY())</f>
        <v/>
      </c>
      <c r="E424" s="34" t="n"/>
      <c r="F424" s="34">
        <f>IFERROR(IF(OR(A424="",E424=""),"",C424+E424),"")</f>
        <v/>
      </c>
      <c r="G424" s="33" t="n"/>
      <c r="H424" s="33" t="n"/>
    </row>
    <row r="425">
      <c r="A425" s="26" t="n"/>
      <c r="B425" s="26">
        <f>IFERROR(IF(A425="","",VLOOKUP(A425,DATABASE!A:B,2,0)),"")</f>
        <v/>
      </c>
      <c r="C425" s="30">
        <f>IFERROR(IF(A425="","",VLOOKUP(A425,DATABASE!A:J,10,0)),"")</f>
        <v/>
      </c>
      <c r="D425" s="31">
        <f>IF(A425="","",TODAY())</f>
        <v/>
      </c>
      <c r="E425" s="30" t="n"/>
      <c r="F425" s="30">
        <f>IFERROR(IF(OR(A425="",E425=""),"",C425+E425),"")</f>
        <v/>
      </c>
      <c r="G425" s="26" t="n"/>
      <c r="H425" s="26" t="n"/>
    </row>
    <row r="426">
      <c r="A426" s="33" t="n"/>
      <c r="B426" s="33">
        <f>IFERROR(IF(A426="","",VLOOKUP(A426,DATABASE!A:B,2,0)),"")</f>
        <v/>
      </c>
      <c r="C426" s="34">
        <f>IFERROR(IF(A426="","",VLOOKUP(A426,DATABASE!A:J,10,0)),"")</f>
        <v/>
      </c>
      <c r="D426" s="35">
        <f>IF(A426="","",TODAY())</f>
        <v/>
      </c>
      <c r="E426" s="34" t="n"/>
      <c r="F426" s="34">
        <f>IFERROR(IF(OR(A426="",E426=""),"",C426+E426),"")</f>
        <v/>
      </c>
      <c r="G426" s="33" t="n"/>
      <c r="H426" s="33" t="n"/>
    </row>
    <row r="427">
      <c r="A427" s="26" t="n"/>
      <c r="B427" s="26">
        <f>IFERROR(IF(A427="","",VLOOKUP(A427,DATABASE!A:B,2,0)),"")</f>
        <v/>
      </c>
      <c r="C427" s="30">
        <f>IFERROR(IF(A427="","",VLOOKUP(A427,DATABASE!A:J,10,0)),"")</f>
        <v/>
      </c>
      <c r="D427" s="31">
        <f>IF(A427="","",TODAY())</f>
        <v/>
      </c>
      <c r="E427" s="30" t="n"/>
      <c r="F427" s="30">
        <f>IFERROR(IF(OR(A427="",E427=""),"",C427+E427),"")</f>
        <v/>
      </c>
      <c r="G427" s="26" t="n"/>
      <c r="H427" s="26" t="n"/>
    </row>
    <row r="428">
      <c r="A428" s="33" t="n"/>
      <c r="B428" s="33">
        <f>IFERROR(IF(A428="","",VLOOKUP(A428,DATABASE!A:B,2,0)),"")</f>
        <v/>
      </c>
      <c r="C428" s="34">
        <f>IFERROR(IF(A428="","",VLOOKUP(A428,DATABASE!A:J,10,0)),"")</f>
        <v/>
      </c>
      <c r="D428" s="35">
        <f>IF(A428="","",TODAY())</f>
        <v/>
      </c>
      <c r="E428" s="34" t="n"/>
      <c r="F428" s="34">
        <f>IFERROR(IF(OR(A428="",E428=""),"",C428+E428),"")</f>
        <v/>
      </c>
      <c r="G428" s="33" t="n"/>
      <c r="H428" s="33" t="n"/>
    </row>
    <row r="429">
      <c r="A429" s="26" t="n"/>
      <c r="B429" s="26">
        <f>IFERROR(IF(A429="","",VLOOKUP(A429,DATABASE!A:B,2,0)),"")</f>
        <v/>
      </c>
      <c r="C429" s="30">
        <f>IFERROR(IF(A429="","",VLOOKUP(A429,DATABASE!A:J,10,0)),"")</f>
        <v/>
      </c>
      <c r="D429" s="31">
        <f>IF(A429="","",TODAY())</f>
        <v/>
      </c>
      <c r="E429" s="30" t="n"/>
      <c r="F429" s="30">
        <f>IFERROR(IF(OR(A429="",E429=""),"",C429+E429),"")</f>
        <v/>
      </c>
      <c r="G429" s="26" t="n"/>
      <c r="H429" s="26" t="n"/>
    </row>
    <row r="430">
      <c r="A430" s="33" t="n"/>
      <c r="B430" s="33">
        <f>IFERROR(IF(A430="","",VLOOKUP(A430,DATABASE!A:B,2,0)),"")</f>
        <v/>
      </c>
      <c r="C430" s="34">
        <f>IFERROR(IF(A430="","",VLOOKUP(A430,DATABASE!A:J,10,0)),"")</f>
        <v/>
      </c>
      <c r="D430" s="35">
        <f>IF(A430="","",TODAY())</f>
        <v/>
      </c>
      <c r="E430" s="34" t="n"/>
      <c r="F430" s="34">
        <f>IFERROR(IF(OR(A430="",E430=""),"",C430+E430),"")</f>
        <v/>
      </c>
      <c r="G430" s="33" t="n"/>
      <c r="H430" s="33" t="n"/>
    </row>
    <row r="431">
      <c r="A431" s="26" t="n"/>
      <c r="B431" s="26">
        <f>IFERROR(IF(A431="","",VLOOKUP(A431,DATABASE!A:B,2,0)),"")</f>
        <v/>
      </c>
      <c r="C431" s="30">
        <f>IFERROR(IF(A431="","",VLOOKUP(A431,DATABASE!A:J,10,0)),"")</f>
        <v/>
      </c>
      <c r="D431" s="31">
        <f>IF(A431="","",TODAY())</f>
        <v/>
      </c>
      <c r="E431" s="30" t="n"/>
      <c r="F431" s="30">
        <f>IFERROR(IF(OR(A431="",E431=""),"",C431+E431),"")</f>
        <v/>
      </c>
      <c r="G431" s="26" t="n"/>
      <c r="H431" s="26" t="n"/>
    </row>
    <row r="432">
      <c r="A432" s="33" t="n"/>
      <c r="B432" s="33">
        <f>IFERROR(IF(A432="","",VLOOKUP(A432,DATABASE!A:B,2,0)),"")</f>
        <v/>
      </c>
      <c r="C432" s="34">
        <f>IFERROR(IF(A432="","",VLOOKUP(A432,DATABASE!A:J,10,0)),"")</f>
        <v/>
      </c>
      <c r="D432" s="35">
        <f>IF(A432="","",TODAY())</f>
        <v/>
      </c>
      <c r="E432" s="34" t="n"/>
      <c r="F432" s="34">
        <f>IFERROR(IF(OR(A432="",E432=""),"",C432+E432),"")</f>
        <v/>
      </c>
      <c r="G432" s="33" t="n"/>
      <c r="H432" s="33" t="n"/>
    </row>
    <row r="433">
      <c r="A433" s="26" t="n"/>
      <c r="B433" s="26">
        <f>IFERROR(IF(A433="","",VLOOKUP(A433,DATABASE!A:B,2,0)),"")</f>
        <v/>
      </c>
      <c r="C433" s="30">
        <f>IFERROR(IF(A433="","",VLOOKUP(A433,DATABASE!A:J,10,0)),"")</f>
        <v/>
      </c>
      <c r="D433" s="31">
        <f>IF(A433="","",TODAY())</f>
        <v/>
      </c>
      <c r="E433" s="30" t="n"/>
      <c r="F433" s="30">
        <f>IFERROR(IF(OR(A433="",E433=""),"",C433+E433),"")</f>
        <v/>
      </c>
      <c r="G433" s="26" t="n"/>
      <c r="H433" s="26" t="n"/>
    </row>
    <row r="434">
      <c r="A434" s="33" t="n"/>
      <c r="B434" s="33">
        <f>IFERROR(IF(A434="","",VLOOKUP(A434,DATABASE!A:B,2,0)),"")</f>
        <v/>
      </c>
      <c r="C434" s="34">
        <f>IFERROR(IF(A434="","",VLOOKUP(A434,DATABASE!A:J,10,0)),"")</f>
        <v/>
      </c>
      <c r="D434" s="35">
        <f>IF(A434="","",TODAY())</f>
        <v/>
      </c>
      <c r="E434" s="34" t="n"/>
      <c r="F434" s="34">
        <f>IFERROR(IF(OR(A434="",E434=""),"",C434+E434),"")</f>
        <v/>
      </c>
      <c r="G434" s="33" t="n"/>
      <c r="H434" s="33" t="n"/>
    </row>
    <row r="435">
      <c r="A435" s="26" t="n"/>
      <c r="B435" s="26">
        <f>IFERROR(IF(A435="","",VLOOKUP(A435,DATABASE!A:B,2,0)),"")</f>
        <v/>
      </c>
      <c r="C435" s="30">
        <f>IFERROR(IF(A435="","",VLOOKUP(A435,DATABASE!A:J,10,0)),"")</f>
        <v/>
      </c>
      <c r="D435" s="31">
        <f>IF(A435="","",TODAY())</f>
        <v/>
      </c>
      <c r="E435" s="30" t="n"/>
      <c r="F435" s="30">
        <f>IFERROR(IF(OR(A435="",E435=""),"",C435+E435),"")</f>
        <v/>
      </c>
      <c r="G435" s="26" t="n"/>
      <c r="H435" s="26" t="n"/>
    </row>
    <row r="436">
      <c r="A436" s="33" t="n"/>
      <c r="B436" s="33">
        <f>IFERROR(IF(A436="","",VLOOKUP(A436,DATABASE!A:B,2,0)),"")</f>
        <v/>
      </c>
      <c r="C436" s="34">
        <f>IFERROR(IF(A436="","",VLOOKUP(A436,DATABASE!A:J,10,0)),"")</f>
        <v/>
      </c>
      <c r="D436" s="35">
        <f>IF(A436="","",TODAY())</f>
        <v/>
      </c>
      <c r="E436" s="34" t="n"/>
      <c r="F436" s="34">
        <f>IFERROR(IF(OR(A436="",E436=""),"",C436+E436),"")</f>
        <v/>
      </c>
      <c r="G436" s="33" t="n"/>
      <c r="H436" s="33" t="n"/>
    </row>
    <row r="437">
      <c r="A437" s="26" t="n"/>
      <c r="B437" s="26">
        <f>IFERROR(IF(A437="","",VLOOKUP(A437,DATABASE!A:B,2,0)),"")</f>
        <v/>
      </c>
      <c r="C437" s="30">
        <f>IFERROR(IF(A437="","",VLOOKUP(A437,DATABASE!A:J,10,0)),"")</f>
        <v/>
      </c>
      <c r="D437" s="31">
        <f>IF(A437="","",TODAY())</f>
        <v/>
      </c>
      <c r="E437" s="30" t="n"/>
      <c r="F437" s="30">
        <f>IFERROR(IF(OR(A437="",E437=""),"",C437+E437),"")</f>
        <v/>
      </c>
      <c r="G437" s="26" t="n"/>
      <c r="H437" s="26" t="n"/>
    </row>
    <row r="438">
      <c r="A438" s="33" t="n"/>
      <c r="B438" s="33">
        <f>IFERROR(IF(A438="","",VLOOKUP(A438,DATABASE!A:B,2,0)),"")</f>
        <v/>
      </c>
      <c r="C438" s="34">
        <f>IFERROR(IF(A438="","",VLOOKUP(A438,DATABASE!A:J,10,0)),"")</f>
        <v/>
      </c>
      <c r="D438" s="35">
        <f>IF(A438="","",TODAY())</f>
        <v/>
      </c>
      <c r="E438" s="34" t="n"/>
      <c r="F438" s="34">
        <f>IFERROR(IF(OR(A438="",E438=""),"",C438+E438),"")</f>
        <v/>
      </c>
      <c r="G438" s="33" t="n"/>
      <c r="H438" s="33" t="n"/>
    </row>
    <row r="439">
      <c r="A439" s="26" t="n"/>
      <c r="B439" s="26">
        <f>IFERROR(IF(A439="","",VLOOKUP(A439,DATABASE!A:B,2,0)),"")</f>
        <v/>
      </c>
      <c r="C439" s="30">
        <f>IFERROR(IF(A439="","",VLOOKUP(A439,DATABASE!A:J,10,0)),"")</f>
        <v/>
      </c>
      <c r="D439" s="31">
        <f>IF(A439="","",TODAY())</f>
        <v/>
      </c>
      <c r="E439" s="30" t="n"/>
      <c r="F439" s="30">
        <f>IFERROR(IF(OR(A439="",E439=""),"",C439+E439),"")</f>
        <v/>
      </c>
      <c r="G439" s="26" t="n"/>
      <c r="H439" s="26" t="n"/>
    </row>
    <row r="440">
      <c r="A440" s="33" t="n"/>
      <c r="B440" s="33">
        <f>IFERROR(IF(A440="","",VLOOKUP(A440,DATABASE!A:B,2,0)),"")</f>
        <v/>
      </c>
      <c r="C440" s="34">
        <f>IFERROR(IF(A440="","",VLOOKUP(A440,DATABASE!A:J,10,0)),"")</f>
        <v/>
      </c>
      <c r="D440" s="35">
        <f>IF(A440="","",TODAY())</f>
        <v/>
      </c>
      <c r="E440" s="34" t="n"/>
      <c r="F440" s="34">
        <f>IFERROR(IF(OR(A440="",E440=""),"",C440+E440),"")</f>
        <v/>
      </c>
      <c r="G440" s="33" t="n"/>
      <c r="H440" s="33" t="n"/>
    </row>
    <row r="441">
      <c r="A441" s="26" t="n"/>
      <c r="B441" s="26">
        <f>IFERROR(IF(A441="","",VLOOKUP(A441,DATABASE!A:B,2,0)),"")</f>
        <v/>
      </c>
      <c r="C441" s="30">
        <f>IFERROR(IF(A441="","",VLOOKUP(A441,DATABASE!A:J,10,0)),"")</f>
        <v/>
      </c>
      <c r="D441" s="31">
        <f>IF(A441="","",TODAY())</f>
        <v/>
      </c>
      <c r="E441" s="30" t="n"/>
      <c r="F441" s="30">
        <f>IFERROR(IF(OR(A441="",E441=""),"",C441+E441),"")</f>
        <v/>
      </c>
      <c r="G441" s="26" t="n"/>
      <c r="H441" s="26" t="n"/>
    </row>
    <row r="442">
      <c r="A442" s="33" t="n"/>
      <c r="B442" s="33">
        <f>IFERROR(IF(A442="","",VLOOKUP(A442,DATABASE!A:B,2,0)),"")</f>
        <v/>
      </c>
      <c r="C442" s="34">
        <f>IFERROR(IF(A442="","",VLOOKUP(A442,DATABASE!A:J,10,0)),"")</f>
        <v/>
      </c>
      <c r="D442" s="35">
        <f>IF(A442="","",TODAY())</f>
        <v/>
      </c>
      <c r="E442" s="34" t="n"/>
      <c r="F442" s="34">
        <f>IFERROR(IF(OR(A442="",E442=""),"",C442+E442),"")</f>
        <v/>
      </c>
      <c r="G442" s="33" t="n"/>
      <c r="H442" s="33" t="n"/>
    </row>
    <row r="443">
      <c r="A443" s="26" t="n"/>
      <c r="B443" s="26">
        <f>IFERROR(IF(A443="","",VLOOKUP(A443,DATABASE!A:B,2,0)),"")</f>
        <v/>
      </c>
      <c r="C443" s="30">
        <f>IFERROR(IF(A443="","",VLOOKUP(A443,DATABASE!A:J,10,0)),"")</f>
        <v/>
      </c>
      <c r="D443" s="31">
        <f>IF(A443="","",TODAY())</f>
        <v/>
      </c>
      <c r="E443" s="30" t="n"/>
      <c r="F443" s="30">
        <f>IFERROR(IF(OR(A443="",E443=""),"",C443+E443),"")</f>
        <v/>
      </c>
      <c r="G443" s="26" t="n"/>
      <c r="H443" s="26" t="n"/>
    </row>
    <row r="444">
      <c r="A444" s="33" t="n"/>
      <c r="B444" s="33">
        <f>IFERROR(IF(A444="","",VLOOKUP(A444,DATABASE!A:B,2,0)),"")</f>
        <v/>
      </c>
      <c r="C444" s="34">
        <f>IFERROR(IF(A444="","",VLOOKUP(A444,DATABASE!A:J,10,0)),"")</f>
        <v/>
      </c>
      <c r="D444" s="35">
        <f>IF(A444="","",TODAY())</f>
        <v/>
      </c>
      <c r="E444" s="34" t="n"/>
      <c r="F444" s="34">
        <f>IFERROR(IF(OR(A444="",E444=""),"",C444+E444),"")</f>
        <v/>
      </c>
      <c r="G444" s="33" t="n"/>
      <c r="H444" s="33" t="n"/>
    </row>
    <row r="445">
      <c r="A445" s="26" t="n"/>
      <c r="B445" s="26">
        <f>IFERROR(IF(A445="","",VLOOKUP(A445,DATABASE!A:B,2,0)),"")</f>
        <v/>
      </c>
      <c r="C445" s="30">
        <f>IFERROR(IF(A445="","",VLOOKUP(A445,DATABASE!A:J,10,0)),"")</f>
        <v/>
      </c>
      <c r="D445" s="31">
        <f>IF(A445="","",TODAY())</f>
        <v/>
      </c>
      <c r="E445" s="30" t="n"/>
      <c r="F445" s="30">
        <f>IFERROR(IF(OR(A445="",E445=""),"",C445+E445),"")</f>
        <v/>
      </c>
      <c r="G445" s="26" t="n"/>
      <c r="H445" s="26" t="n"/>
    </row>
    <row r="446">
      <c r="A446" s="33" t="n"/>
      <c r="B446" s="33">
        <f>IFERROR(IF(A446="","",VLOOKUP(A446,DATABASE!A:B,2,0)),"")</f>
        <v/>
      </c>
      <c r="C446" s="34">
        <f>IFERROR(IF(A446="","",VLOOKUP(A446,DATABASE!A:J,10,0)),"")</f>
        <v/>
      </c>
      <c r="D446" s="35">
        <f>IF(A446="","",TODAY())</f>
        <v/>
      </c>
      <c r="E446" s="34" t="n"/>
      <c r="F446" s="34">
        <f>IFERROR(IF(OR(A446="",E446=""),"",C446+E446),"")</f>
        <v/>
      </c>
      <c r="G446" s="33" t="n"/>
      <c r="H446" s="33" t="n"/>
    </row>
    <row r="447">
      <c r="A447" s="26" t="n"/>
      <c r="B447" s="26">
        <f>IFERROR(IF(A447="","",VLOOKUP(A447,DATABASE!A:B,2,0)),"")</f>
        <v/>
      </c>
      <c r="C447" s="30">
        <f>IFERROR(IF(A447="","",VLOOKUP(A447,DATABASE!A:J,10,0)),"")</f>
        <v/>
      </c>
      <c r="D447" s="31">
        <f>IF(A447="","",TODAY())</f>
        <v/>
      </c>
      <c r="E447" s="30" t="n"/>
      <c r="F447" s="30">
        <f>IFERROR(IF(OR(A447="",E447=""),"",C447+E447),"")</f>
        <v/>
      </c>
      <c r="G447" s="26" t="n"/>
      <c r="H447" s="26" t="n"/>
    </row>
    <row r="448">
      <c r="A448" s="33" t="n"/>
      <c r="B448" s="33">
        <f>IFERROR(IF(A448="","",VLOOKUP(A448,DATABASE!A:B,2,0)),"")</f>
        <v/>
      </c>
      <c r="C448" s="34">
        <f>IFERROR(IF(A448="","",VLOOKUP(A448,DATABASE!A:J,10,0)),"")</f>
        <v/>
      </c>
      <c r="D448" s="35">
        <f>IF(A448="","",TODAY())</f>
        <v/>
      </c>
      <c r="E448" s="34" t="n"/>
      <c r="F448" s="34">
        <f>IFERROR(IF(OR(A448="",E448=""),"",C448+E448),"")</f>
        <v/>
      </c>
      <c r="G448" s="33" t="n"/>
      <c r="H448" s="33" t="n"/>
    </row>
    <row r="449">
      <c r="A449" s="26" t="n"/>
      <c r="B449" s="26">
        <f>IFERROR(IF(A449="","",VLOOKUP(A449,DATABASE!A:B,2,0)),"")</f>
        <v/>
      </c>
      <c r="C449" s="30">
        <f>IFERROR(IF(A449="","",VLOOKUP(A449,DATABASE!A:J,10,0)),"")</f>
        <v/>
      </c>
      <c r="D449" s="31">
        <f>IF(A449="","",TODAY())</f>
        <v/>
      </c>
      <c r="E449" s="30" t="n"/>
      <c r="F449" s="30">
        <f>IFERROR(IF(OR(A449="",E449=""),"",C449+E449),"")</f>
        <v/>
      </c>
      <c r="G449" s="26" t="n"/>
      <c r="H449" s="26" t="n"/>
    </row>
    <row r="450">
      <c r="A450" s="33" t="n"/>
      <c r="B450" s="33">
        <f>IFERROR(IF(A450="","",VLOOKUP(A450,DATABASE!A:B,2,0)),"")</f>
        <v/>
      </c>
      <c r="C450" s="34">
        <f>IFERROR(IF(A450="","",VLOOKUP(A450,DATABASE!A:J,10,0)),"")</f>
        <v/>
      </c>
      <c r="D450" s="35">
        <f>IF(A450="","",TODAY())</f>
        <v/>
      </c>
      <c r="E450" s="34" t="n"/>
      <c r="F450" s="34">
        <f>IFERROR(IF(OR(A450="",E450=""),"",C450+E450),"")</f>
        <v/>
      </c>
      <c r="G450" s="33" t="n"/>
      <c r="H450" s="33" t="n"/>
    </row>
    <row r="451">
      <c r="A451" s="26" t="n"/>
      <c r="B451" s="26">
        <f>IFERROR(IF(A451="","",VLOOKUP(A451,DATABASE!A:B,2,0)),"")</f>
        <v/>
      </c>
      <c r="C451" s="30">
        <f>IFERROR(IF(A451="","",VLOOKUP(A451,DATABASE!A:J,10,0)),"")</f>
        <v/>
      </c>
      <c r="D451" s="31">
        <f>IF(A451="","",TODAY())</f>
        <v/>
      </c>
      <c r="E451" s="30" t="n"/>
      <c r="F451" s="30">
        <f>IFERROR(IF(OR(A451="",E451=""),"",C451+E451),"")</f>
        <v/>
      </c>
      <c r="G451" s="26" t="n"/>
      <c r="H451" s="26" t="n"/>
    </row>
    <row r="452">
      <c r="A452" s="33" t="n"/>
      <c r="B452" s="33">
        <f>IFERROR(IF(A452="","",VLOOKUP(A452,DATABASE!A:B,2,0)),"")</f>
        <v/>
      </c>
      <c r="C452" s="34">
        <f>IFERROR(IF(A452="","",VLOOKUP(A452,DATABASE!A:J,10,0)),"")</f>
        <v/>
      </c>
      <c r="D452" s="35">
        <f>IF(A452="","",TODAY())</f>
        <v/>
      </c>
      <c r="E452" s="34" t="n"/>
      <c r="F452" s="34">
        <f>IFERROR(IF(OR(A452="",E452=""),"",C452+E452),"")</f>
        <v/>
      </c>
      <c r="G452" s="33" t="n"/>
      <c r="H452" s="33" t="n"/>
    </row>
    <row r="453">
      <c r="A453" s="26" t="n"/>
      <c r="B453" s="26">
        <f>IFERROR(IF(A453="","",VLOOKUP(A453,DATABASE!A:B,2,0)),"")</f>
        <v/>
      </c>
      <c r="C453" s="30">
        <f>IFERROR(IF(A453="","",VLOOKUP(A453,DATABASE!A:J,10,0)),"")</f>
        <v/>
      </c>
      <c r="D453" s="31">
        <f>IF(A453="","",TODAY())</f>
        <v/>
      </c>
      <c r="E453" s="30" t="n"/>
      <c r="F453" s="30">
        <f>IFERROR(IF(OR(A453="",E453=""),"",C453+E453),"")</f>
        <v/>
      </c>
      <c r="G453" s="26" t="n"/>
      <c r="H453" s="26" t="n"/>
    </row>
    <row r="454">
      <c r="A454" s="33" t="n"/>
      <c r="B454" s="33">
        <f>IFERROR(IF(A454="","",VLOOKUP(A454,DATABASE!A:B,2,0)),"")</f>
        <v/>
      </c>
      <c r="C454" s="34">
        <f>IFERROR(IF(A454="","",VLOOKUP(A454,DATABASE!A:J,10,0)),"")</f>
        <v/>
      </c>
      <c r="D454" s="35">
        <f>IF(A454="","",TODAY())</f>
        <v/>
      </c>
      <c r="E454" s="34" t="n"/>
      <c r="F454" s="34">
        <f>IFERROR(IF(OR(A454="",E454=""),"",C454+E454),"")</f>
        <v/>
      </c>
      <c r="G454" s="33" t="n"/>
      <c r="H454" s="33" t="n"/>
    </row>
    <row r="455">
      <c r="A455" s="26" t="n"/>
      <c r="B455" s="26">
        <f>IFERROR(IF(A455="","",VLOOKUP(A455,DATABASE!A:B,2,0)),"")</f>
        <v/>
      </c>
      <c r="C455" s="30">
        <f>IFERROR(IF(A455="","",VLOOKUP(A455,DATABASE!A:J,10,0)),"")</f>
        <v/>
      </c>
      <c r="D455" s="31">
        <f>IF(A455="","",TODAY())</f>
        <v/>
      </c>
      <c r="E455" s="30" t="n"/>
      <c r="F455" s="30">
        <f>IFERROR(IF(OR(A455="",E455=""),"",C455+E455),"")</f>
        <v/>
      </c>
      <c r="G455" s="26" t="n"/>
      <c r="H455" s="26" t="n"/>
    </row>
    <row r="456">
      <c r="A456" s="33" t="n"/>
      <c r="B456" s="33">
        <f>IFERROR(IF(A456="","",VLOOKUP(A456,DATABASE!A:B,2,0)),"")</f>
        <v/>
      </c>
      <c r="C456" s="34">
        <f>IFERROR(IF(A456="","",VLOOKUP(A456,DATABASE!A:J,10,0)),"")</f>
        <v/>
      </c>
      <c r="D456" s="35">
        <f>IF(A456="","",TODAY())</f>
        <v/>
      </c>
      <c r="E456" s="34" t="n"/>
      <c r="F456" s="34">
        <f>IFERROR(IF(OR(A456="",E456=""),"",C456+E456),"")</f>
        <v/>
      </c>
      <c r="G456" s="33" t="n"/>
      <c r="H456" s="33" t="n"/>
    </row>
    <row r="457">
      <c r="A457" s="26" t="n"/>
      <c r="B457" s="26">
        <f>IFERROR(IF(A457="","",VLOOKUP(A457,DATABASE!A:B,2,0)),"")</f>
        <v/>
      </c>
      <c r="C457" s="30">
        <f>IFERROR(IF(A457="","",VLOOKUP(A457,DATABASE!A:J,10,0)),"")</f>
        <v/>
      </c>
      <c r="D457" s="31">
        <f>IF(A457="","",TODAY())</f>
        <v/>
      </c>
      <c r="E457" s="30" t="n"/>
      <c r="F457" s="30">
        <f>IFERROR(IF(OR(A457="",E457=""),"",C457+E457),"")</f>
        <v/>
      </c>
      <c r="G457" s="26" t="n"/>
      <c r="H457" s="26" t="n"/>
    </row>
    <row r="458">
      <c r="A458" s="33" t="n"/>
      <c r="B458" s="33">
        <f>IFERROR(IF(A458="","",VLOOKUP(A458,DATABASE!A:B,2,0)),"")</f>
        <v/>
      </c>
      <c r="C458" s="34">
        <f>IFERROR(IF(A458="","",VLOOKUP(A458,DATABASE!A:J,10,0)),"")</f>
        <v/>
      </c>
      <c r="D458" s="35">
        <f>IF(A458="","",TODAY())</f>
        <v/>
      </c>
      <c r="E458" s="34" t="n"/>
      <c r="F458" s="34">
        <f>IFERROR(IF(OR(A458="",E458=""),"",C458+E458),"")</f>
        <v/>
      </c>
      <c r="G458" s="33" t="n"/>
      <c r="H458" s="33" t="n"/>
    </row>
    <row r="459">
      <c r="A459" s="26" t="n"/>
      <c r="B459" s="26">
        <f>IFERROR(IF(A459="","",VLOOKUP(A459,DATABASE!A:B,2,0)),"")</f>
        <v/>
      </c>
      <c r="C459" s="30">
        <f>IFERROR(IF(A459="","",VLOOKUP(A459,DATABASE!A:J,10,0)),"")</f>
        <v/>
      </c>
      <c r="D459" s="31">
        <f>IF(A459="","",TODAY())</f>
        <v/>
      </c>
      <c r="E459" s="30" t="n"/>
      <c r="F459" s="30">
        <f>IFERROR(IF(OR(A459="",E459=""),"",C459+E459),"")</f>
        <v/>
      </c>
      <c r="G459" s="26" t="n"/>
      <c r="H459" s="26" t="n"/>
    </row>
    <row r="460">
      <c r="A460" s="33" t="n"/>
      <c r="B460" s="33">
        <f>IFERROR(IF(A460="","",VLOOKUP(A460,DATABASE!A:B,2,0)),"")</f>
        <v/>
      </c>
      <c r="C460" s="34">
        <f>IFERROR(IF(A460="","",VLOOKUP(A460,DATABASE!A:J,10,0)),"")</f>
        <v/>
      </c>
      <c r="D460" s="35">
        <f>IF(A460="","",TODAY())</f>
        <v/>
      </c>
      <c r="E460" s="34" t="n"/>
      <c r="F460" s="34">
        <f>IFERROR(IF(OR(A460="",E460=""),"",C460+E460),"")</f>
        <v/>
      </c>
      <c r="G460" s="33" t="n"/>
      <c r="H460" s="33" t="n"/>
    </row>
    <row r="461">
      <c r="A461" s="26" t="n"/>
      <c r="B461" s="26">
        <f>IFERROR(IF(A461="","",VLOOKUP(A461,DATABASE!A:B,2,0)),"")</f>
        <v/>
      </c>
      <c r="C461" s="30">
        <f>IFERROR(IF(A461="","",VLOOKUP(A461,DATABASE!A:J,10,0)),"")</f>
        <v/>
      </c>
      <c r="D461" s="31">
        <f>IF(A461="","",TODAY())</f>
        <v/>
      </c>
      <c r="E461" s="30" t="n"/>
      <c r="F461" s="30">
        <f>IFERROR(IF(OR(A461="",E461=""),"",C461+E461),"")</f>
        <v/>
      </c>
      <c r="G461" s="26" t="n"/>
      <c r="H461" s="26" t="n"/>
    </row>
    <row r="462">
      <c r="A462" s="33" t="n"/>
      <c r="B462" s="33">
        <f>IFERROR(IF(A462="","",VLOOKUP(A462,DATABASE!A:B,2,0)),"")</f>
        <v/>
      </c>
      <c r="C462" s="34">
        <f>IFERROR(IF(A462="","",VLOOKUP(A462,DATABASE!A:J,10,0)),"")</f>
        <v/>
      </c>
      <c r="D462" s="35">
        <f>IF(A462="","",TODAY())</f>
        <v/>
      </c>
      <c r="E462" s="34" t="n"/>
      <c r="F462" s="34">
        <f>IFERROR(IF(OR(A462="",E462=""),"",C462+E462),"")</f>
        <v/>
      </c>
      <c r="G462" s="33" t="n"/>
      <c r="H462" s="33" t="n"/>
    </row>
    <row r="463">
      <c r="A463" s="26" t="n"/>
      <c r="B463" s="26">
        <f>IFERROR(IF(A463="","",VLOOKUP(A463,DATABASE!A:B,2,0)),"")</f>
        <v/>
      </c>
      <c r="C463" s="30">
        <f>IFERROR(IF(A463="","",VLOOKUP(A463,DATABASE!A:J,10,0)),"")</f>
        <v/>
      </c>
      <c r="D463" s="31">
        <f>IF(A463="","",TODAY())</f>
        <v/>
      </c>
      <c r="E463" s="30" t="n"/>
      <c r="F463" s="30">
        <f>IFERROR(IF(OR(A463="",E463=""),"",C463+E463),"")</f>
        <v/>
      </c>
      <c r="G463" s="26" t="n"/>
      <c r="H463" s="26" t="n"/>
    </row>
    <row r="464">
      <c r="A464" s="33" t="n"/>
      <c r="B464" s="33">
        <f>IFERROR(IF(A464="","",VLOOKUP(A464,DATABASE!A:B,2,0)),"")</f>
        <v/>
      </c>
      <c r="C464" s="34">
        <f>IFERROR(IF(A464="","",VLOOKUP(A464,DATABASE!A:J,10,0)),"")</f>
        <v/>
      </c>
      <c r="D464" s="35">
        <f>IF(A464="","",TODAY())</f>
        <v/>
      </c>
      <c r="E464" s="34" t="n"/>
      <c r="F464" s="34">
        <f>IFERROR(IF(OR(A464="",E464=""),"",C464+E464),"")</f>
        <v/>
      </c>
      <c r="G464" s="33" t="n"/>
      <c r="H464" s="33" t="n"/>
    </row>
    <row r="465">
      <c r="A465" s="26" t="n"/>
      <c r="B465" s="26">
        <f>IFERROR(IF(A465="","",VLOOKUP(A465,DATABASE!A:B,2,0)),"")</f>
        <v/>
      </c>
      <c r="C465" s="30">
        <f>IFERROR(IF(A465="","",VLOOKUP(A465,DATABASE!A:J,10,0)),"")</f>
        <v/>
      </c>
      <c r="D465" s="31">
        <f>IF(A465="","",TODAY())</f>
        <v/>
      </c>
      <c r="E465" s="30" t="n"/>
      <c r="F465" s="30">
        <f>IFERROR(IF(OR(A465="",E465=""),"",C465+E465),"")</f>
        <v/>
      </c>
      <c r="G465" s="26" t="n"/>
      <c r="H465" s="26" t="n"/>
    </row>
    <row r="466">
      <c r="A466" s="33" t="n"/>
      <c r="B466" s="33">
        <f>IFERROR(IF(A466="","",VLOOKUP(A466,DATABASE!A:B,2,0)),"")</f>
        <v/>
      </c>
      <c r="C466" s="34">
        <f>IFERROR(IF(A466="","",VLOOKUP(A466,DATABASE!A:J,10,0)),"")</f>
        <v/>
      </c>
      <c r="D466" s="35">
        <f>IF(A466="","",TODAY())</f>
        <v/>
      </c>
      <c r="E466" s="34" t="n"/>
      <c r="F466" s="34">
        <f>IFERROR(IF(OR(A466="",E466=""),"",C466+E466),"")</f>
        <v/>
      </c>
      <c r="G466" s="33" t="n"/>
      <c r="H466" s="33" t="n"/>
    </row>
    <row r="467">
      <c r="A467" s="26" t="n"/>
      <c r="B467" s="26">
        <f>IFERROR(IF(A467="","",VLOOKUP(A467,DATABASE!A:B,2,0)),"")</f>
        <v/>
      </c>
      <c r="C467" s="30">
        <f>IFERROR(IF(A467="","",VLOOKUP(A467,DATABASE!A:J,10,0)),"")</f>
        <v/>
      </c>
      <c r="D467" s="31">
        <f>IF(A467="","",TODAY())</f>
        <v/>
      </c>
      <c r="E467" s="30" t="n"/>
      <c r="F467" s="30">
        <f>IFERROR(IF(OR(A467="",E467=""),"",C467+E467),"")</f>
        <v/>
      </c>
      <c r="G467" s="26" t="n"/>
      <c r="H467" s="26" t="n"/>
    </row>
    <row r="468">
      <c r="A468" s="33" t="n"/>
      <c r="B468" s="33">
        <f>IFERROR(IF(A468="","",VLOOKUP(A468,DATABASE!A:B,2,0)),"")</f>
        <v/>
      </c>
      <c r="C468" s="34">
        <f>IFERROR(IF(A468="","",VLOOKUP(A468,DATABASE!A:J,10,0)),"")</f>
        <v/>
      </c>
      <c r="D468" s="35">
        <f>IF(A468="","",TODAY())</f>
        <v/>
      </c>
      <c r="E468" s="34" t="n"/>
      <c r="F468" s="34">
        <f>IFERROR(IF(OR(A468="",E468=""),"",C468+E468),"")</f>
        <v/>
      </c>
      <c r="G468" s="33" t="n"/>
      <c r="H468" s="33" t="n"/>
    </row>
    <row r="469">
      <c r="A469" s="26" t="n"/>
      <c r="B469" s="26">
        <f>IFERROR(IF(A469="","",VLOOKUP(A469,DATABASE!A:B,2,0)),"")</f>
        <v/>
      </c>
      <c r="C469" s="30">
        <f>IFERROR(IF(A469="","",VLOOKUP(A469,DATABASE!A:J,10,0)),"")</f>
        <v/>
      </c>
      <c r="D469" s="31">
        <f>IF(A469="","",TODAY())</f>
        <v/>
      </c>
      <c r="E469" s="30" t="n"/>
      <c r="F469" s="30">
        <f>IFERROR(IF(OR(A469="",E469=""),"",C469+E469),"")</f>
        <v/>
      </c>
      <c r="G469" s="26" t="n"/>
      <c r="H469" s="26" t="n"/>
    </row>
    <row r="470">
      <c r="A470" s="33" t="n"/>
      <c r="B470" s="33">
        <f>IFERROR(IF(A470="","",VLOOKUP(A470,DATABASE!A:B,2,0)),"")</f>
        <v/>
      </c>
      <c r="C470" s="34">
        <f>IFERROR(IF(A470="","",VLOOKUP(A470,DATABASE!A:J,10,0)),"")</f>
        <v/>
      </c>
      <c r="D470" s="35">
        <f>IF(A470="","",TODAY())</f>
        <v/>
      </c>
      <c r="E470" s="34" t="n"/>
      <c r="F470" s="34">
        <f>IFERROR(IF(OR(A470="",E470=""),"",C470+E470),"")</f>
        <v/>
      </c>
      <c r="G470" s="33" t="n"/>
      <c r="H470" s="33" t="n"/>
    </row>
    <row r="471">
      <c r="A471" s="26" t="n"/>
      <c r="B471" s="26">
        <f>IFERROR(IF(A471="","",VLOOKUP(A471,DATABASE!A:B,2,0)),"")</f>
        <v/>
      </c>
      <c r="C471" s="30">
        <f>IFERROR(IF(A471="","",VLOOKUP(A471,DATABASE!A:J,10,0)),"")</f>
        <v/>
      </c>
      <c r="D471" s="31">
        <f>IF(A471="","",TODAY())</f>
        <v/>
      </c>
      <c r="E471" s="30" t="n"/>
      <c r="F471" s="30">
        <f>IFERROR(IF(OR(A471="",E471=""),"",C471+E471),"")</f>
        <v/>
      </c>
      <c r="G471" s="26" t="n"/>
      <c r="H471" s="26" t="n"/>
    </row>
    <row r="472">
      <c r="A472" s="33" t="n"/>
      <c r="B472" s="33">
        <f>IFERROR(IF(A472="","",VLOOKUP(A472,DATABASE!A:B,2,0)),"")</f>
        <v/>
      </c>
      <c r="C472" s="34">
        <f>IFERROR(IF(A472="","",VLOOKUP(A472,DATABASE!A:J,10,0)),"")</f>
        <v/>
      </c>
      <c r="D472" s="35">
        <f>IF(A472="","",TODAY())</f>
        <v/>
      </c>
      <c r="E472" s="34" t="n"/>
      <c r="F472" s="34">
        <f>IFERROR(IF(OR(A472="",E472=""),"",C472+E472),"")</f>
        <v/>
      </c>
      <c r="G472" s="33" t="n"/>
      <c r="H472" s="33" t="n"/>
    </row>
    <row r="473">
      <c r="A473" s="26" t="n"/>
      <c r="B473" s="26">
        <f>IFERROR(IF(A473="","",VLOOKUP(A473,DATABASE!A:B,2,0)),"")</f>
        <v/>
      </c>
      <c r="C473" s="30">
        <f>IFERROR(IF(A473="","",VLOOKUP(A473,DATABASE!A:J,10,0)),"")</f>
        <v/>
      </c>
      <c r="D473" s="31">
        <f>IF(A473="","",TODAY())</f>
        <v/>
      </c>
      <c r="E473" s="30" t="n"/>
      <c r="F473" s="30">
        <f>IFERROR(IF(OR(A473="",E473=""),"",C473+E473),"")</f>
        <v/>
      </c>
      <c r="G473" s="26" t="n"/>
      <c r="H473" s="26" t="n"/>
    </row>
    <row r="474">
      <c r="A474" s="33" t="n"/>
      <c r="B474" s="33">
        <f>IFERROR(IF(A474="","",VLOOKUP(A474,DATABASE!A:B,2,0)),"")</f>
        <v/>
      </c>
      <c r="C474" s="34">
        <f>IFERROR(IF(A474="","",VLOOKUP(A474,DATABASE!A:J,10,0)),"")</f>
        <v/>
      </c>
      <c r="D474" s="35">
        <f>IF(A474="","",TODAY())</f>
        <v/>
      </c>
      <c r="E474" s="34" t="n"/>
      <c r="F474" s="34">
        <f>IFERROR(IF(OR(A474="",E474=""),"",C474+E474),"")</f>
        <v/>
      </c>
      <c r="G474" s="33" t="n"/>
      <c r="H474" s="33" t="n"/>
    </row>
    <row r="475">
      <c r="A475" s="26" t="n"/>
      <c r="B475" s="26">
        <f>IFERROR(IF(A475="","",VLOOKUP(A475,DATABASE!A:B,2,0)),"")</f>
        <v/>
      </c>
      <c r="C475" s="30">
        <f>IFERROR(IF(A475="","",VLOOKUP(A475,DATABASE!A:J,10,0)),"")</f>
        <v/>
      </c>
      <c r="D475" s="31">
        <f>IF(A475="","",TODAY())</f>
        <v/>
      </c>
      <c r="E475" s="30" t="n"/>
      <c r="F475" s="30">
        <f>IFERROR(IF(OR(A475="",E475=""),"",C475+E475),"")</f>
        <v/>
      </c>
      <c r="G475" s="26" t="n"/>
      <c r="H475" s="26" t="n"/>
    </row>
    <row r="476">
      <c r="A476" s="33" t="n"/>
      <c r="B476" s="33">
        <f>IFERROR(IF(A476="","",VLOOKUP(A476,DATABASE!A:B,2,0)),"")</f>
        <v/>
      </c>
      <c r="C476" s="34">
        <f>IFERROR(IF(A476="","",VLOOKUP(A476,DATABASE!A:J,10,0)),"")</f>
        <v/>
      </c>
      <c r="D476" s="35">
        <f>IF(A476="","",TODAY())</f>
        <v/>
      </c>
      <c r="E476" s="34" t="n"/>
      <c r="F476" s="34">
        <f>IFERROR(IF(OR(A476="",E476=""),"",C476+E476),"")</f>
        <v/>
      </c>
      <c r="G476" s="33" t="n"/>
      <c r="H476" s="33" t="n"/>
    </row>
    <row r="477">
      <c r="A477" s="26" t="n"/>
      <c r="B477" s="26">
        <f>IFERROR(IF(A477="","",VLOOKUP(A477,DATABASE!A:B,2,0)),"")</f>
        <v/>
      </c>
      <c r="C477" s="30">
        <f>IFERROR(IF(A477="","",VLOOKUP(A477,DATABASE!A:J,10,0)),"")</f>
        <v/>
      </c>
      <c r="D477" s="31">
        <f>IF(A477="","",TODAY())</f>
        <v/>
      </c>
      <c r="E477" s="30" t="n"/>
      <c r="F477" s="30">
        <f>IFERROR(IF(OR(A477="",E477=""),"",C477+E477),"")</f>
        <v/>
      </c>
      <c r="G477" s="26" t="n"/>
      <c r="H477" s="26" t="n"/>
    </row>
    <row r="478">
      <c r="A478" s="33" t="n"/>
      <c r="B478" s="33">
        <f>IFERROR(IF(A478="","",VLOOKUP(A478,DATABASE!A:B,2,0)),"")</f>
        <v/>
      </c>
      <c r="C478" s="34">
        <f>IFERROR(IF(A478="","",VLOOKUP(A478,DATABASE!A:J,10,0)),"")</f>
        <v/>
      </c>
      <c r="D478" s="35">
        <f>IF(A478="","",TODAY())</f>
        <v/>
      </c>
      <c r="E478" s="34" t="n"/>
      <c r="F478" s="34">
        <f>IFERROR(IF(OR(A478="",E478=""),"",C478+E478),"")</f>
        <v/>
      </c>
      <c r="G478" s="33" t="n"/>
      <c r="H478" s="33" t="n"/>
    </row>
    <row r="479">
      <c r="A479" s="26" t="n"/>
      <c r="B479" s="26">
        <f>IFERROR(IF(A479="","",VLOOKUP(A479,DATABASE!A:B,2,0)),"")</f>
        <v/>
      </c>
      <c r="C479" s="30">
        <f>IFERROR(IF(A479="","",VLOOKUP(A479,DATABASE!A:J,10,0)),"")</f>
        <v/>
      </c>
      <c r="D479" s="31">
        <f>IF(A479="","",TODAY())</f>
        <v/>
      </c>
      <c r="E479" s="30" t="n"/>
      <c r="F479" s="30">
        <f>IFERROR(IF(OR(A479="",E479=""),"",C479+E479),"")</f>
        <v/>
      </c>
      <c r="G479" s="26" t="n"/>
      <c r="H479" s="26" t="n"/>
    </row>
    <row r="480">
      <c r="A480" s="33" t="n"/>
      <c r="B480" s="33">
        <f>IFERROR(IF(A480="","",VLOOKUP(A480,DATABASE!A:B,2,0)),"")</f>
        <v/>
      </c>
      <c r="C480" s="34">
        <f>IFERROR(IF(A480="","",VLOOKUP(A480,DATABASE!A:J,10,0)),"")</f>
        <v/>
      </c>
      <c r="D480" s="35">
        <f>IF(A480="","",TODAY())</f>
        <v/>
      </c>
      <c r="E480" s="34" t="n"/>
      <c r="F480" s="34">
        <f>IFERROR(IF(OR(A480="",E480=""),"",C480+E480),"")</f>
        <v/>
      </c>
      <c r="G480" s="33" t="n"/>
      <c r="H480" s="33" t="n"/>
    </row>
    <row r="481">
      <c r="A481" s="26" t="n"/>
      <c r="B481" s="26">
        <f>IFERROR(IF(A481="","",VLOOKUP(A481,DATABASE!A:B,2,0)),"")</f>
        <v/>
      </c>
      <c r="C481" s="30">
        <f>IFERROR(IF(A481="","",VLOOKUP(A481,DATABASE!A:J,10,0)),"")</f>
        <v/>
      </c>
      <c r="D481" s="31">
        <f>IF(A481="","",TODAY())</f>
        <v/>
      </c>
      <c r="E481" s="30" t="n"/>
      <c r="F481" s="30">
        <f>IFERROR(IF(OR(A481="",E481=""),"",C481+E481),"")</f>
        <v/>
      </c>
      <c r="G481" s="26" t="n"/>
      <c r="H481" s="26" t="n"/>
    </row>
    <row r="482">
      <c r="A482" s="33" t="n"/>
      <c r="B482" s="33">
        <f>IFERROR(IF(A482="","",VLOOKUP(A482,DATABASE!A:B,2,0)),"")</f>
        <v/>
      </c>
      <c r="C482" s="34">
        <f>IFERROR(IF(A482="","",VLOOKUP(A482,DATABASE!A:J,10,0)),"")</f>
        <v/>
      </c>
      <c r="D482" s="35">
        <f>IF(A482="","",TODAY())</f>
        <v/>
      </c>
      <c r="E482" s="34" t="n"/>
      <c r="F482" s="34">
        <f>IFERROR(IF(OR(A482="",E482=""),"",C482+E482),"")</f>
        <v/>
      </c>
      <c r="G482" s="33" t="n"/>
      <c r="H482" s="33" t="n"/>
    </row>
    <row r="483">
      <c r="A483" s="26" t="n"/>
      <c r="B483" s="26">
        <f>IFERROR(IF(A483="","",VLOOKUP(A483,DATABASE!A:B,2,0)),"")</f>
        <v/>
      </c>
      <c r="C483" s="30">
        <f>IFERROR(IF(A483="","",VLOOKUP(A483,DATABASE!A:J,10,0)),"")</f>
        <v/>
      </c>
      <c r="D483" s="31">
        <f>IF(A483="","",TODAY())</f>
        <v/>
      </c>
      <c r="E483" s="30" t="n"/>
      <c r="F483" s="30">
        <f>IFERROR(IF(OR(A483="",E483=""),"",C483+E483),"")</f>
        <v/>
      </c>
      <c r="G483" s="26" t="n"/>
      <c r="H483" s="26" t="n"/>
    </row>
    <row r="484">
      <c r="A484" s="33" t="n"/>
      <c r="B484" s="33">
        <f>IFERROR(IF(A484="","",VLOOKUP(A484,DATABASE!A:B,2,0)),"")</f>
        <v/>
      </c>
      <c r="C484" s="34">
        <f>IFERROR(IF(A484="","",VLOOKUP(A484,DATABASE!A:J,10,0)),"")</f>
        <v/>
      </c>
      <c r="D484" s="35">
        <f>IF(A484="","",TODAY())</f>
        <v/>
      </c>
      <c r="E484" s="34" t="n"/>
      <c r="F484" s="34">
        <f>IFERROR(IF(OR(A484="",E484=""),"",C484+E484),"")</f>
        <v/>
      </c>
      <c r="G484" s="33" t="n"/>
      <c r="H484" s="33" t="n"/>
    </row>
    <row r="485">
      <c r="A485" s="26" t="n"/>
      <c r="B485" s="26">
        <f>IFERROR(IF(A485="","",VLOOKUP(A485,DATABASE!A:B,2,0)),"")</f>
        <v/>
      </c>
      <c r="C485" s="30">
        <f>IFERROR(IF(A485="","",VLOOKUP(A485,DATABASE!A:J,10,0)),"")</f>
        <v/>
      </c>
      <c r="D485" s="31">
        <f>IF(A485="","",TODAY())</f>
        <v/>
      </c>
      <c r="E485" s="30" t="n"/>
      <c r="F485" s="30">
        <f>IFERROR(IF(OR(A485="",E485=""),"",C485+E485),"")</f>
        <v/>
      </c>
      <c r="G485" s="26" t="n"/>
      <c r="H485" s="26" t="n"/>
    </row>
    <row r="486">
      <c r="A486" s="33" t="n"/>
      <c r="B486" s="33">
        <f>IFERROR(IF(A486="","",VLOOKUP(A486,DATABASE!A:B,2,0)),"")</f>
        <v/>
      </c>
      <c r="C486" s="34">
        <f>IFERROR(IF(A486="","",VLOOKUP(A486,DATABASE!A:J,10,0)),"")</f>
        <v/>
      </c>
      <c r="D486" s="35">
        <f>IF(A486="","",TODAY())</f>
        <v/>
      </c>
      <c r="E486" s="34" t="n"/>
      <c r="F486" s="34">
        <f>IFERROR(IF(OR(A486="",E486=""),"",C486+E486),"")</f>
        <v/>
      </c>
      <c r="G486" s="33" t="n"/>
      <c r="H486" s="33" t="n"/>
    </row>
    <row r="487">
      <c r="A487" s="26" t="n"/>
      <c r="B487" s="26">
        <f>IFERROR(IF(A487="","",VLOOKUP(A487,DATABASE!A:B,2,0)),"")</f>
        <v/>
      </c>
      <c r="C487" s="30">
        <f>IFERROR(IF(A487="","",VLOOKUP(A487,DATABASE!A:J,10,0)),"")</f>
        <v/>
      </c>
      <c r="D487" s="31">
        <f>IF(A487="","",TODAY())</f>
        <v/>
      </c>
      <c r="E487" s="30" t="n"/>
      <c r="F487" s="30">
        <f>IFERROR(IF(OR(A487="",E487=""),"",C487+E487),"")</f>
        <v/>
      </c>
      <c r="G487" s="26" t="n"/>
      <c r="H487" s="26" t="n"/>
    </row>
    <row r="488">
      <c r="A488" s="33" t="n"/>
      <c r="B488" s="33">
        <f>IFERROR(IF(A488="","",VLOOKUP(A488,DATABASE!A:B,2,0)),"")</f>
        <v/>
      </c>
      <c r="C488" s="34">
        <f>IFERROR(IF(A488="","",VLOOKUP(A488,DATABASE!A:J,10,0)),"")</f>
        <v/>
      </c>
      <c r="D488" s="35">
        <f>IF(A488="","",TODAY())</f>
        <v/>
      </c>
      <c r="E488" s="34" t="n"/>
      <c r="F488" s="34">
        <f>IFERROR(IF(OR(A488="",E488=""),"",C488+E488),"")</f>
        <v/>
      </c>
      <c r="G488" s="33" t="n"/>
      <c r="H488" s="33" t="n"/>
    </row>
    <row r="489">
      <c r="A489" s="26" t="n"/>
      <c r="B489" s="26">
        <f>IFERROR(IF(A489="","",VLOOKUP(A489,DATABASE!A:B,2,0)),"")</f>
        <v/>
      </c>
      <c r="C489" s="30">
        <f>IFERROR(IF(A489="","",VLOOKUP(A489,DATABASE!A:J,10,0)),"")</f>
        <v/>
      </c>
      <c r="D489" s="31">
        <f>IF(A489="","",TODAY())</f>
        <v/>
      </c>
      <c r="E489" s="30" t="n"/>
      <c r="F489" s="30">
        <f>IFERROR(IF(OR(A489="",E489=""),"",C489+E489),"")</f>
        <v/>
      </c>
      <c r="G489" s="26" t="n"/>
      <c r="H489" s="26" t="n"/>
    </row>
    <row r="490">
      <c r="A490" s="33" t="n"/>
      <c r="B490" s="33">
        <f>IFERROR(IF(A490="","",VLOOKUP(A490,DATABASE!A:B,2,0)),"")</f>
        <v/>
      </c>
      <c r="C490" s="34">
        <f>IFERROR(IF(A490="","",VLOOKUP(A490,DATABASE!A:J,10,0)),"")</f>
        <v/>
      </c>
      <c r="D490" s="35">
        <f>IF(A490="","",TODAY())</f>
        <v/>
      </c>
      <c r="E490" s="34" t="n"/>
      <c r="F490" s="34">
        <f>IFERROR(IF(OR(A490="",E490=""),"",C490+E490),"")</f>
        <v/>
      </c>
      <c r="G490" s="33" t="n"/>
      <c r="H490" s="33" t="n"/>
    </row>
    <row r="491">
      <c r="A491" s="26" t="n"/>
      <c r="B491" s="26">
        <f>IFERROR(IF(A491="","",VLOOKUP(A491,DATABASE!A:B,2,0)),"")</f>
        <v/>
      </c>
      <c r="C491" s="30">
        <f>IFERROR(IF(A491="","",VLOOKUP(A491,DATABASE!A:J,10,0)),"")</f>
        <v/>
      </c>
      <c r="D491" s="31">
        <f>IF(A491="","",TODAY())</f>
        <v/>
      </c>
      <c r="E491" s="30" t="n"/>
      <c r="F491" s="30">
        <f>IFERROR(IF(OR(A491="",E491=""),"",C491+E491),"")</f>
        <v/>
      </c>
      <c r="G491" s="26" t="n"/>
      <c r="H491" s="26" t="n"/>
    </row>
    <row r="492">
      <c r="A492" s="33" t="n"/>
      <c r="B492" s="33">
        <f>IFERROR(IF(A492="","",VLOOKUP(A492,DATABASE!A:B,2,0)),"")</f>
        <v/>
      </c>
      <c r="C492" s="34">
        <f>IFERROR(IF(A492="","",VLOOKUP(A492,DATABASE!A:J,10,0)),"")</f>
        <v/>
      </c>
      <c r="D492" s="35">
        <f>IF(A492="","",TODAY())</f>
        <v/>
      </c>
      <c r="E492" s="34" t="n"/>
      <c r="F492" s="34">
        <f>IFERROR(IF(OR(A492="",E492=""),"",C492+E492),"")</f>
        <v/>
      </c>
      <c r="G492" s="33" t="n"/>
      <c r="H492" s="33" t="n"/>
    </row>
    <row r="493">
      <c r="A493" s="26" t="n"/>
      <c r="B493" s="26">
        <f>IFERROR(IF(A493="","",VLOOKUP(A493,DATABASE!A:B,2,0)),"")</f>
        <v/>
      </c>
      <c r="C493" s="30">
        <f>IFERROR(IF(A493="","",VLOOKUP(A493,DATABASE!A:J,10,0)),"")</f>
        <v/>
      </c>
      <c r="D493" s="31">
        <f>IF(A493="","",TODAY())</f>
        <v/>
      </c>
      <c r="E493" s="30" t="n"/>
      <c r="F493" s="30">
        <f>IFERROR(IF(OR(A493="",E493=""),"",C493+E493),"")</f>
        <v/>
      </c>
      <c r="G493" s="26" t="n"/>
      <c r="H493" s="26" t="n"/>
    </row>
    <row r="494">
      <c r="A494" s="33" t="n"/>
      <c r="B494" s="33">
        <f>IFERROR(IF(A494="","",VLOOKUP(A494,DATABASE!A:B,2,0)),"")</f>
        <v/>
      </c>
      <c r="C494" s="34">
        <f>IFERROR(IF(A494="","",VLOOKUP(A494,DATABASE!A:J,10,0)),"")</f>
        <v/>
      </c>
      <c r="D494" s="35">
        <f>IF(A494="","",TODAY())</f>
        <v/>
      </c>
      <c r="E494" s="34" t="n"/>
      <c r="F494" s="34">
        <f>IFERROR(IF(OR(A494="",E494=""),"",C494+E494),"")</f>
        <v/>
      </c>
      <c r="G494" s="33" t="n"/>
      <c r="H494" s="33" t="n"/>
    </row>
    <row r="495">
      <c r="A495" s="26" t="n"/>
      <c r="B495" s="26">
        <f>IFERROR(IF(A495="","",VLOOKUP(A495,DATABASE!A:B,2,0)),"")</f>
        <v/>
      </c>
      <c r="C495" s="30">
        <f>IFERROR(IF(A495="","",VLOOKUP(A495,DATABASE!A:J,10,0)),"")</f>
        <v/>
      </c>
      <c r="D495" s="31">
        <f>IF(A495="","",TODAY())</f>
        <v/>
      </c>
      <c r="E495" s="30" t="n"/>
      <c r="F495" s="30">
        <f>IFERROR(IF(OR(A495="",E495=""),"",C495+E495),"")</f>
        <v/>
      </c>
      <c r="G495" s="26" t="n"/>
      <c r="H495" s="26" t="n"/>
    </row>
    <row r="496">
      <c r="A496" s="33" t="n"/>
      <c r="B496" s="33">
        <f>IFERROR(IF(A496="","",VLOOKUP(A496,DATABASE!A:B,2,0)),"")</f>
        <v/>
      </c>
      <c r="C496" s="34">
        <f>IFERROR(IF(A496="","",VLOOKUP(A496,DATABASE!A:J,10,0)),"")</f>
        <v/>
      </c>
      <c r="D496" s="35">
        <f>IF(A496="","",TODAY())</f>
        <v/>
      </c>
      <c r="E496" s="34" t="n"/>
      <c r="F496" s="34">
        <f>IFERROR(IF(OR(A496="",E496=""),"",C496+E496),"")</f>
        <v/>
      </c>
      <c r="G496" s="33" t="n"/>
      <c r="H496" s="33" t="n"/>
    </row>
    <row r="497">
      <c r="A497" s="26" t="n"/>
      <c r="B497" s="26">
        <f>IFERROR(IF(A497="","",VLOOKUP(A497,DATABASE!A:B,2,0)),"")</f>
        <v/>
      </c>
      <c r="C497" s="30">
        <f>IFERROR(IF(A497="","",VLOOKUP(A497,DATABASE!A:J,10,0)),"")</f>
        <v/>
      </c>
      <c r="D497" s="31">
        <f>IF(A497="","",TODAY())</f>
        <v/>
      </c>
      <c r="E497" s="30" t="n"/>
      <c r="F497" s="30">
        <f>IFERROR(IF(OR(A497="",E497=""),"",C497+E497),"")</f>
        <v/>
      </c>
      <c r="G497" s="26" t="n"/>
      <c r="H497" s="26" t="n"/>
    </row>
    <row r="498">
      <c r="A498" s="33" t="n"/>
      <c r="B498" s="33">
        <f>IFERROR(IF(A498="","",VLOOKUP(A498,DATABASE!A:B,2,0)),"")</f>
        <v/>
      </c>
      <c r="C498" s="34">
        <f>IFERROR(IF(A498="","",VLOOKUP(A498,DATABASE!A:J,10,0)),"")</f>
        <v/>
      </c>
      <c r="D498" s="35">
        <f>IF(A498="","",TODAY())</f>
        <v/>
      </c>
      <c r="E498" s="34" t="n"/>
      <c r="F498" s="34">
        <f>IFERROR(IF(OR(A498="",E498=""),"",C498+E498),"")</f>
        <v/>
      </c>
      <c r="G498" s="33" t="n"/>
      <c r="H498" s="33" t="n"/>
    </row>
    <row r="499">
      <c r="A499" s="26" t="n"/>
      <c r="B499" s="26">
        <f>IFERROR(IF(A499="","",VLOOKUP(A499,DATABASE!A:B,2,0)),"")</f>
        <v/>
      </c>
      <c r="C499" s="30">
        <f>IFERROR(IF(A499="","",VLOOKUP(A499,DATABASE!A:J,10,0)),"")</f>
        <v/>
      </c>
      <c r="D499" s="31">
        <f>IF(A499="","",TODAY())</f>
        <v/>
      </c>
      <c r="E499" s="30" t="n"/>
      <c r="F499" s="30">
        <f>IFERROR(IF(OR(A499="",E499=""),"",C499+E499),"")</f>
        <v/>
      </c>
      <c r="G499" s="26" t="n"/>
      <c r="H499" s="26" t="n"/>
    </row>
    <row r="500">
      <c r="A500" s="33" t="n"/>
      <c r="B500" s="33">
        <f>IFERROR(IF(A500="","",VLOOKUP(A500,DATABASE!A:B,2,0)),"")</f>
        <v/>
      </c>
      <c r="C500" s="34">
        <f>IFERROR(IF(A500="","",VLOOKUP(A500,DATABASE!A:J,10,0)),"")</f>
        <v/>
      </c>
      <c r="D500" s="35">
        <f>IF(A500="","",TODAY())</f>
        <v/>
      </c>
      <c r="E500" s="34" t="n"/>
      <c r="F500" s="34">
        <f>IFERROR(IF(OR(A500="",E500=""),"",C500+E500),"")</f>
        <v/>
      </c>
      <c r="G500" s="33" t="n"/>
      <c r="H500" s="33" t="n"/>
    </row>
    <row r="501">
      <c r="A501" s="26" t="n"/>
      <c r="B501" s="26">
        <f>IFERROR(IF(A501="","",VLOOKUP(A501,DATABASE!A:B,2,0)),"")</f>
        <v/>
      </c>
      <c r="C501" s="30">
        <f>IFERROR(IF(A501="","",VLOOKUP(A501,DATABASE!A:J,10,0)),"")</f>
        <v/>
      </c>
      <c r="D501" s="31">
        <f>IF(A501="","",TODAY())</f>
        <v/>
      </c>
      <c r="E501" s="30" t="n"/>
      <c r="F501" s="30">
        <f>IFERROR(IF(OR(A501="",E501=""),"",C501+E501),"")</f>
        <v/>
      </c>
      <c r="G501" s="26" t="n"/>
      <c r="H501" s="26" t="n"/>
    </row>
    <row r="502">
      <c r="A502" s="33" t="n"/>
      <c r="B502" s="33">
        <f>IFERROR(IF(A502="","",VLOOKUP(A502,DATABASE!A:B,2,0)),"")</f>
        <v/>
      </c>
      <c r="C502" s="34">
        <f>IFERROR(IF(A502="","",VLOOKUP(A502,DATABASE!A:J,10,0)),"")</f>
        <v/>
      </c>
      <c r="D502" s="35">
        <f>IF(A502="","",TODAY())</f>
        <v/>
      </c>
      <c r="E502" s="34" t="n"/>
      <c r="F502" s="34">
        <f>IFERROR(IF(OR(A502="",E502=""),"",C502+E502),"")</f>
        <v/>
      </c>
      <c r="G502" s="33" t="n"/>
      <c r="H502" s="33" t="n"/>
    </row>
    <row r="503">
      <c r="A503" s="26" t="n"/>
      <c r="B503" s="26">
        <f>IFERROR(IF(A503="","",VLOOKUP(A503,DATABASE!A:B,2,0)),"")</f>
        <v/>
      </c>
      <c r="C503" s="30">
        <f>IFERROR(IF(A503="","",VLOOKUP(A503,DATABASE!A:J,10,0)),"")</f>
        <v/>
      </c>
      <c r="D503" s="31">
        <f>IF(A503="","",TODAY())</f>
        <v/>
      </c>
      <c r="E503" s="30" t="n"/>
      <c r="F503" s="30">
        <f>IFERROR(IF(OR(A503="",E503=""),"",C503+E503),"")</f>
        <v/>
      </c>
      <c r="G503" s="26" t="n"/>
      <c r="H503" s="26" t="n"/>
    </row>
    <row r="504">
      <c r="A504" s="33" t="n"/>
      <c r="B504" s="33">
        <f>IFERROR(IF(A504="","",VLOOKUP(A504,DATABASE!A:B,2,0)),"")</f>
        <v/>
      </c>
      <c r="C504" s="34">
        <f>IFERROR(IF(A504="","",VLOOKUP(A504,DATABASE!A:J,10,0)),"")</f>
        <v/>
      </c>
      <c r="D504" s="35">
        <f>IF(A504="","",TODAY())</f>
        <v/>
      </c>
      <c r="E504" s="34" t="n"/>
      <c r="F504" s="34">
        <f>IFERROR(IF(OR(A504="",E504=""),"",C504+E504),"")</f>
        <v/>
      </c>
      <c r="G504" s="33" t="n"/>
      <c r="H504" s="33" t="n"/>
    </row>
    <row r="505">
      <c r="A505" s="26" t="n"/>
      <c r="B505" s="26">
        <f>IFERROR(IF(A505="","",VLOOKUP(A505,DATABASE!A:B,2,0)),"")</f>
        <v/>
      </c>
      <c r="C505" s="30">
        <f>IFERROR(IF(A505="","",VLOOKUP(A505,DATABASE!A:J,10,0)),"")</f>
        <v/>
      </c>
      <c r="D505" s="31">
        <f>IF(A505="","",TODAY())</f>
        <v/>
      </c>
      <c r="E505" s="30" t="n"/>
      <c r="F505" s="30">
        <f>IFERROR(IF(OR(A505="",E505=""),"",C505+E505),"")</f>
        <v/>
      </c>
      <c r="G505" s="26" t="n"/>
      <c r="H505" s="26" t="n"/>
    </row>
    <row r="506">
      <c r="A506" s="33" t="n"/>
      <c r="B506" s="33">
        <f>IFERROR(IF(A506="","",VLOOKUP(A506,DATABASE!A:B,2,0)),"")</f>
        <v/>
      </c>
      <c r="C506" s="34">
        <f>IFERROR(IF(A506="","",VLOOKUP(A506,DATABASE!A:J,10,0)),"")</f>
        <v/>
      </c>
      <c r="D506" s="35">
        <f>IF(A506="","",TODAY())</f>
        <v/>
      </c>
      <c r="E506" s="34" t="n"/>
      <c r="F506" s="34">
        <f>IFERROR(IF(OR(A506="",E506=""),"",C506+E506),"")</f>
        <v/>
      </c>
      <c r="G506" s="33" t="n"/>
      <c r="H506" s="33" t="n"/>
    </row>
    <row r="507">
      <c r="A507" s="26" t="n"/>
      <c r="B507" s="26">
        <f>IFERROR(IF(A507="","",VLOOKUP(A507,DATABASE!A:B,2,0)),"")</f>
        <v/>
      </c>
      <c r="C507" s="30">
        <f>IFERROR(IF(A507="","",VLOOKUP(A507,DATABASE!A:J,10,0)),"")</f>
        <v/>
      </c>
      <c r="D507" s="31">
        <f>IF(A507="","",TODAY())</f>
        <v/>
      </c>
      <c r="E507" s="30" t="n"/>
      <c r="F507" s="30">
        <f>IFERROR(IF(OR(A507="",E507=""),"",C507+E507),"")</f>
        <v/>
      </c>
      <c r="G507" s="26" t="n"/>
      <c r="H507" s="26" t="n"/>
    </row>
    <row r="508">
      <c r="A508" s="33" t="n"/>
      <c r="B508" s="33">
        <f>IFERROR(IF(A508="","",VLOOKUP(A508,DATABASE!A:B,2,0)),"")</f>
        <v/>
      </c>
      <c r="C508" s="34">
        <f>IFERROR(IF(A508="","",VLOOKUP(A508,DATABASE!A:J,10,0)),"")</f>
        <v/>
      </c>
      <c r="D508" s="35">
        <f>IF(A508="","",TODAY())</f>
        <v/>
      </c>
      <c r="E508" s="34" t="n"/>
      <c r="F508" s="34">
        <f>IFERROR(IF(OR(A508="",E508=""),"",C508+E508),"")</f>
        <v/>
      </c>
      <c r="G508" s="33" t="n"/>
      <c r="H508" s="33" t="n"/>
    </row>
    <row r="509">
      <c r="A509" s="26" t="n"/>
      <c r="B509" s="26">
        <f>IFERROR(IF(A509="","",VLOOKUP(A509,DATABASE!A:B,2,0)),"")</f>
        <v/>
      </c>
      <c r="C509" s="30">
        <f>IFERROR(IF(A509="","",VLOOKUP(A509,DATABASE!A:J,10,0)),"")</f>
        <v/>
      </c>
      <c r="D509" s="31">
        <f>IF(A509="","",TODAY())</f>
        <v/>
      </c>
      <c r="E509" s="30" t="n"/>
      <c r="F509" s="30">
        <f>IFERROR(IF(OR(A509="",E509=""),"",C509+E509),"")</f>
        <v/>
      </c>
      <c r="G509" s="26" t="n"/>
      <c r="H509" s="26" t="n"/>
    </row>
    <row r="510">
      <c r="A510" s="33" t="n"/>
      <c r="B510" s="33">
        <f>IFERROR(IF(A510="","",VLOOKUP(A510,DATABASE!A:B,2,0)),"")</f>
        <v/>
      </c>
      <c r="C510" s="34">
        <f>IFERROR(IF(A510="","",VLOOKUP(A510,DATABASE!A:J,10,0)),"")</f>
        <v/>
      </c>
      <c r="D510" s="35">
        <f>IF(A510="","",TODAY())</f>
        <v/>
      </c>
      <c r="E510" s="34" t="n"/>
      <c r="F510" s="34">
        <f>IFERROR(IF(OR(A510="",E510=""),"",C510+E510),"")</f>
        <v/>
      </c>
      <c r="G510" s="33" t="n"/>
      <c r="H510" s="33" t="n"/>
    </row>
    <row r="511">
      <c r="A511" s="26" t="n"/>
      <c r="B511" s="26">
        <f>IFERROR(IF(A511="","",VLOOKUP(A511,DATABASE!A:B,2,0)),"")</f>
        <v/>
      </c>
      <c r="C511" s="30">
        <f>IFERROR(IF(A511="","",VLOOKUP(A511,DATABASE!A:J,10,0)),"")</f>
        <v/>
      </c>
      <c r="D511" s="31">
        <f>IF(A511="","",TODAY())</f>
        <v/>
      </c>
      <c r="E511" s="30" t="n"/>
      <c r="F511" s="30">
        <f>IFERROR(IF(OR(A511="",E511=""),"",C511+E511),"")</f>
        <v/>
      </c>
      <c r="G511" s="26" t="n"/>
      <c r="H511" s="26" t="n"/>
    </row>
    <row r="512">
      <c r="A512" s="33" t="n"/>
      <c r="B512" s="33">
        <f>IFERROR(IF(A512="","",VLOOKUP(A512,DATABASE!A:B,2,0)),"")</f>
        <v/>
      </c>
      <c r="C512" s="34">
        <f>IFERROR(IF(A512="","",VLOOKUP(A512,DATABASE!A:J,10,0)),"")</f>
        <v/>
      </c>
      <c r="D512" s="35">
        <f>IF(A512="","",TODAY())</f>
        <v/>
      </c>
      <c r="E512" s="34" t="n"/>
      <c r="F512" s="34">
        <f>IFERROR(IF(OR(A512="",E512=""),"",C512+E512),"")</f>
        <v/>
      </c>
      <c r="G512" s="33" t="n"/>
      <c r="H512" s="33" t="n"/>
    </row>
    <row r="513">
      <c r="A513" s="26" t="n"/>
      <c r="B513" s="26">
        <f>IFERROR(IF(A513="","",VLOOKUP(A513,DATABASE!A:B,2,0)),"")</f>
        <v/>
      </c>
      <c r="C513" s="30">
        <f>IFERROR(IF(A513="","",VLOOKUP(A513,DATABASE!A:J,10,0)),"")</f>
        <v/>
      </c>
      <c r="D513" s="31">
        <f>IF(A513="","",TODAY())</f>
        <v/>
      </c>
      <c r="E513" s="30" t="n"/>
      <c r="F513" s="30">
        <f>IFERROR(IF(OR(A513="",E513=""),"",C513+E513),"")</f>
        <v/>
      </c>
      <c r="G513" s="26" t="n"/>
      <c r="H513" s="26" t="n"/>
    </row>
    <row r="514">
      <c r="A514" s="33" t="n"/>
      <c r="B514" s="33">
        <f>IFERROR(IF(A514="","",VLOOKUP(A514,DATABASE!A:B,2,0)),"")</f>
        <v/>
      </c>
      <c r="C514" s="34">
        <f>IFERROR(IF(A514="","",VLOOKUP(A514,DATABASE!A:J,10,0)),"")</f>
        <v/>
      </c>
      <c r="D514" s="35">
        <f>IF(A514="","",TODAY())</f>
        <v/>
      </c>
      <c r="E514" s="34" t="n"/>
      <c r="F514" s="34">
        <f>IFERROR(IF(OR(A514="",E514=""),"",C514+E514),"")</f>
        <v/>
      </c>
      <c r="G514" s="33" t="n"/>
      <c r="H514" s="33" t="n"/>
    </row>
    <row r="515">
      <c r="A515" s="26" t="n"/>
      <c r="B515" s="26">
        <f>IFERROR(IF(A515="","",VLOOKUP(A515,DATABASE!A:B,2,0)),"")</f>
        <v/>
      </c>
      <c r="C515" s="30">
        <f>IFERROR(IF(A515="","",VLOOKUP(A515,DATABASE!A:J,10,0)),"")</f>
        <v/>
      </c>
      <c r="D515" s="31">
        <f>IF(A515="","",TODAY())</f>
        <v/>
      </c>
      <c r="E515" s="30" t="n"/>
      <c r="F515" s="30">
        <f>IFERROR(IF(OR(A515="",E515=""),"",C515+E515),"")</f>
        <v/>
      </c>
      <c r="G515" s="26" t="n"/>
      <c r="H515" s="26" t="n"/>
    </row>
    <row r="516">
      <c r="A516" s="33" t="n"/>
      <c r="B516" s="33">
        <f>IFERROR(IF(A516="","",VLOOKUP(A516,DATABASE!A:B,2,0)),"")</f>
        <v/>
      </c>
      <c r="C516" s="34">
        <f>IFERROR(IF(A516="","",VLOOKUP(A516,DATABASE!A:J,10,0)),"")</f>
        <v/>
      </c>
      <c r="D516" s="35">
        <f>IF(A516="","",TODAY())</f>
        <v/>
      </c>
      <c r="E516" s="34" t="n"/>
      <c r="F516" s="34">
        <f>IFERROR(IF(OR(A516="",E516=""),"",C516+E516),"")</f>
        <v/>
      </c>
      <c r="G516" s="33" t="n"/>
      <c r="H516" s="33" t="n"/>
    </row>
    <row r="517">
      <c r="A517" s="26" t="n"/>
      <c r="B517" s="26">
        <f>IFERROR(IF(A517="","",VLOOKUP(A517,DATABASE!A:B,2,0)),"")</f>
        <v/>
      </c>
      <c r="C517" s="30">
        <f>IFERROR(IF(A517="","",VLOOKUP(A517,DATABASE!A:J,10,0)),"")</f>
        <v/>
      </c>
      <c r="D517" s="31">
        <f>IF(A517="","",TODAY())</f>
        <v/>
      </c>
      <c r="E517" s="30" t="n"/>
      <c r="F517" s="30">
        <f>IFERROR(IF(OR(A517="",E517=""),"",C517+E517),"")</f>
        <v/>
      </c>
      <c r="G517" s="26" t="n"/>
      <c r="H517" s="26" t="n"/>
    </row>
    <row r="518">
      <c r="A518" s="33" t="n"/>
      <c r="B518" s="33">
        <f>IFERROR(IF(A518="","",VLOOKUP(A518,DATABASE!A:B,2,0)),"")</f>
        <v/>
      </c>
      <c r="C518" s="34">
        <f>IFERROR(IF(A518="","",VLOOKUP(A518,DATABASE!A:J,10,0)),"")</f>
        <v/>
      </c>
      <c r="D518" s="35">
        <f>IF(A518="","",TODAY())</f>
        <v/>
      </c>
      <c r="E518" s="34" t="n"/>
      <c r="F518" s="34">
        <f>IFERROR(IF(OR(A518="",E518=""),"",C518+E518),"")</f>
        <v/>
      </c>
      <c r="G518" s="33" t="n"/>
      <c r="H518" s="33" t="n"/>
    </row>
    <row r="519">
      <c r="A519" s="26" t="n"/>
      <c r="B519" s="26">
        <f>IFERROR(IF(A519="","",VLOOKUP(A519,DATABASE!A:B,2,0)),"")</f>
        <v/>
      </c>
      <c r="C519" s="30">
        <f>IFERROR(IF(A519="","",VLOOKUP(A519,DATABASE!A:J,10,0)),"")</f>
        <v/>
      </c>
      <c r="D519" s="31">
        <f>IF(A519="","",TODAY())</f>
        <v/>
      </c>
      <c r="E519" s="30" t="n"/>
      <c r="F519" s="30">
        <f>IFERROR(IF(OR(A519="",E519=""),"",C519+E519),"")</f>
        <v/>
      </c>
      <c r="G519" s="26" t="n"/>
      <c r="H519" s="26" t="n"/>
    </row>
    <row r="520">
      <c r="A520" s="33" t="n"/>
      <c r="B520" s="33">
        <f>IFERROR(IF(A520="","",VLOOKUP(A520,DATABASE!A:B,2,0)),"")</f>
        <v/>
      </c>
      <c r="C520" s="34">
        <f>IFERROR(IF(A520="","",VLOOKUP(A520,DATABASE!A:J,10,0)),"")</f>
        <v/>
      </c>
      <c r="D520" s="35">
        <f>IF(A520="","",TODAY())</f>
        <v/>
      </c>
      <c r="E520" s="34" t="n"/>
      <c r="F520" s="34">
        <f>IFERROR(IF(OR(A520="",E520=""),"",C520+E520),"")</f>
        <v/>
      </c>
      <c r="G520" s="33" t="n"/>
      <c r="H520" s="33" t="n"/>
    </row>
    <row r="521">
      <c r="A521" s="26" t="n"/>
      <c r="B521" s="26">
        <f>IFERROR(IF(A521="","",VLOOKUP(A521,DATABASE!A:B,2,0)),"")</f>
        <v/>
      </c>
      <c r="C521" s="30">
        <f>IFERROR(IF(A521="","",VLOOKUP(A521,DATABASE!A:J,10,0)),"")</f>
        <v/>
      </c>
      <c r="D521" s="31">
        <f>IF(A521="","",TODAY())</f>
        <v/>
      </c>
      <c r="E521" s="30" t="n"/>
      <c r="F521" s="30">
        <f>IFERROR(IF(OR(A521="",E521=""),"",C521+E521),"")</f>
        <v/>
      </c>
      <c r="G521" s="26" t="n"/>
      <c r="H521" s="26" t="n"/>
    </row>
    <row r="522">
      <c r="A522" s="33" t="n"/>
      <c r="B522" s="33">
        <f>IFERROR(IF(A522="","",VLOOKUP(A522,DATABASE!A:B,2,0)),"")</f>
        <v/>
      </c>
      <c r="C522" s="34">
        <f>IFERROR(IF(A522="","",VLOOKUP(A522,DATABASE!A:J,10,0)),"")</f>
        <v/>
      </c>
      <c r="D522" s="35">
        <f>IF(A522="","",TODAY())</f>
        <v/>
      </c>
      <c r="E522" s="34" t="n"/>
      <c r="F522" s="34">
        <f>IFERROR(IF(OR(A522="",E522=""),"",C522+E522),"")</f>
        <v/>
      </c>
      <c r="G522" s="33" t="n"/>
      <c r="H522" s="33" t="n"/>
    </row>
    <row r="523">
      <c r="A523" s="26" t="n"/>
      <c r="B523" s="26">
        <f>IFERROR(IF(A523="","",VLOOKUP(A523,DATABASE!A:B,2,0)),"")</f>
        <v/>
      </c>
      <c r="C523" s="30">
        <f>IFERROR(IF(A523="","",VLOOKUP(A523,DATABASE!A:J,10,0)),"")</f>
        <v/>
      </c>
      <c r="D523" s="31">
        <f>IF(A523="","",TODAY())</f>
        <v/>
      </c>
      <c r="E523" s="30" t="n"/>
      <c r="F523" s="30">
        <f>IFERROR(IF(OR(A523="",E523=""),"",C523+E523),"")</f>
        <v/>
      </c>
      <c r="G523" s="26" t="n"/>
      <c r="H523" s="26" t="n"/>
    </row>
    <row r="524">
      <c r="A524" s="33" t="n"/>
      <c r="B524" s="33">
        <f>IFERROR(IF(A524="","",VLOOKUP(A524,DATABASE!A:B,2,0)),"")</f>
        <v/>
      </c>
      <c r="C524" s="34">
        <f>IFERROR(IF(A524="","",VLOOKUP(A524,DATABASE!A:J,10,0)),"")</f>
        <v/>
      </c>
      <c r="D524" s="35">
        <f>IF(A524="","",TODAY())</f>
        <v/>
      </c>
      <c r="E524" s="34" t="n"/>
      <c r="F524" s="34">
        <f>IFERROR(IF(OR(A524="",E524=""),"",C524+E524),"")</f>
        <v/>
      </c>
      <c r="G524" s="33" t="n"/>
      <c r="H524" s="33" t="n"/>
    </row>
    <row r="525">
      <c r="A525" s="26" t="n"/>
      <c r="B525" s="26">
        <f>IFERROR(IF(A525="","",VLOOKUP(A525,DATABASE!A:B,2,0)),"")</f>
        <v/>
      </c>
      <c r="C525" s="30">
        <f>IFERROR(IF(A525="","",VLOOKUP(A525,DATABASE!A:J,10,0)),"")</f>
        <v/>
      </c>
      <c r="D525" s="31">
        <f>IF(A525="","",TODAY())</f>
        <v/>
      </c>
      <c r="E525" s="30" t="n"/>
      <c r="F525" s="30">
        <f>IFERROR(IF(OR(A525="",E525=""),"",C525+E525),"")</f>
        <v/>
      </c>
      <c r="G525" s="26" t="n"/>
      <c r="H525" s="26" t="n"/>
    </row>
    <row r="526">
      <c r="A526" s="33" t="n"/>
      <c r="B526" s="33">
        <f>IFERROR(IF(A526="","",VLOOKUP(A526,DATABASE!A:B,2,0)),"")</f>
        <v/>
      </c>
      <c r="C526" s="34">
        <f>IFERROR(IF(A526="","",VLOOKUP(A526,DATABASE!A:J,10,0)),"")</f>
        <v/>
      </c>
      <c r="D526" s="35">
        <f>IF(A526="","",TODAY())</f>
        <v/>
      </c>
      <c r="E526" s="34" t="n"/>
      <c r="F526" s="34">
        <f>IFERROR(IF(OR(A526="",E526=""),"",C526+E526),"")</f>
        <v/>
      </c>
      <c r="G526" s="33" t="n"/>
      <c r="H526" s="33" t="n"/>
    </row>
    <row r="527">
      <c r="A527" s="26" t="n"/>
      <c r="B527" s="26">
        <f>IFERROR(IF(A527="","",VLOOKUP(A527,DATABASE!A:B,2,0)),"")</f>
        <v/>
      </c>
      <c r="C527" s="30">
        <f>IFERROR(IF(A527="","",VLOOKUP(A527,DATABASE!A:J,10,0)),"")</f>
        <v/>
      </c>
      <c r="D527" s="31">
        <f>IF(A527="","",TODAY())</f>
        <v/>
      </c>
      <c r="E527" s="30" t="n"/>
      <c r="F527" s="30">
        <f>IFERROR(IF(OR(A527="",E527=""),"",C527+E527),"")</f>
        <v/>
      </c>
      <c r="G527" s="26" t="n"/>
      <c r="H527" s="26" t="n"/>
    </row>
    <row r="528">
      <c r="A528" s="33" t="n"/>
      <c r="B528" s="33">
        <f>IFERROR(IF(A528="","",VLOOKUP(A528,DATABASE!A:B,2,0)),"")</f>
        <v/>
      </c>
      <c r="C528" s="34">
        <f>IFERROR(IF(A528="","",VLOOKUP(A528,DATABASE!A:J,10,0)),"")</f>
        <v/>
      </c>
      <c r="D528" s="35">
        <f>IF(A528="","",TODAY())</f>
        <v/>
      </c>
      <c r="E528" s="34" t="n"/>
      <c r="F528" s="34">
        <f>IFERROR(IF(OR(A528="",E528=""),"",C528+E528),"")</f>
        <v/>
      </c>
      <c r="G528" s="33" t="n"/>
      <c r="H528" s="33" t="n"/>
    </row>
    <row r="529">
      <c r="A529" s="26" t="n"/>
      <c r="B529" s="26">
        <f>IFERROR(IF(A529="","",VLOOKUP(A529,DATABASE!A:B,2,0)),"")</f>
        <v/>
      </c>
      <c r="C529" s="30">
        <f>IFERROR(IF(A529="","",VLOOKUP(A529,DATABASE!A:J,10,0)),"")</f>
        <v/>
      </c>
      <c r="D529" s="31">
        <f>IF(A529="","",TODAY())</f>
        <v/>
      </c>
      <c r="E529" s="30" t="n"/>
      <c r="F529" s="30">
        <f>IFERROR(IF(OR(A529="",E529=""),"",C529+E529),"")</f>
        <v/>
      </c>
      <c r="G529" s="26" t="n"/>
      <c r="H529" s="26" t="n"/>
    </row>
    <row r="530">
      <c r="A530" s="33" t="n"/>
      <c r="B530" s="33">
        <f>IFERROR(IF(A530="","",VLOOKUP(A530,DATABASE!A:B,2,0)),"")</f>
        <v/>
      </c>
      <c r="C530" s="34">
        <f>IFERROR(IF(A530="","",VLOOKUP(A530,DATABASE!A:J,10,0)),"")</f>
        <v/>
      </c>
      <c r="D530" s="35">
        <f>IF(A530="","",TODAY())</f>
        <v/>
      </c>
      <c r="E530" s="34" t="n"/>
      <c r="F530" s="34">
        <f>IFERROR(IF(OR(A530="",E530=""),"",C530+E530),"")</f>
        <v/>
      </c>
      <c r="G530" s="33" t="n"/>
      <c r="H530" s="33" t="n"/>
    </row>
    <row r="531">
      <c r="A531" s="26" t="n"/>
      <c r="B531" s="26">
        <f>IFERROR(IF(A531="","",VLOOKUP(A531,DATABASE!A:B,2,0)),"")</f>
        <v/>
      </c>
      <c r="C531" s="30">
        <f>IFERROR(IF(A531="","",VLOOKUP(A531,DATABASE!A:J,10,0)),"")</f>
        <v/>
      </c>
      <c r="D531" s="31">
        <f>IF(A531="","",TODAY())</f>
        <v/>
      </c>
      <c r="E531" s="30" t="n"/>
      <c r="F531" s="30">
        <f>IFERROR(IF(OR(A531="",E531=""),"",C531+E531),"")</f>
        <v/>
      </c>
      <c r="G531" s="26" t="n"/>
      <c r="H531" s="26" t="n"/>
    </row>
    <row r="532">
      <c r="A532" s="33" t="n"/>
      <c r="B532" s="33">
        <f>IFERROR(IF(A532="","",VLOOKUP(A532,DATABASE!A:B,2,0)),"")</f>
        <v/>
      </c>
      <c r="C532" s="34">
        <f>IFERROR(IF(A532="","",VLOOKUP(A532,DATABASE!A:J,10,0)),"")</f>
        <v/>
      </c>
      <c r="D532" s="35">
        <f>IF(A532="","",TODAY())</f>
        <v/>
      </c>
      <c r="E532" s="34" t="n"/>
      <c r="F532" s="34">
        <f>IFERROR(IF(OR(A532="",E532=""),"",C532+E532),"")</f>
        <v/>
      </c>
      <c r="G532" s="33" t="n"/>
      <c r="H532" s="33" t="n"/>
    </row>
    <row r="533">
      <c r="A533" s="26" t="n"/>
      <c r="B533" s="26">
        <f>IFERROR(IF(A533="","",VLOOKUP(A533,DATABASE!A:B,2,0)),"")</f>
        <v/>
      </c>
      <c r="C533" s="30">
        <f>IFERROR(IF(A533="","",VLOOKUP(A533,DATABASE!A:J,10,0)),"")</f>
        <v/>
      </c>
      <c r="D533" s="31">
        <f>IF(A533="","",TODAY())</f>
        <v/>
      </c>
      <c r="E533" s="30" t="n"/>
      <c r="F533" s="30">
        <f>IFERROR(IF(OR(A533="",E533=""),"",C533+E533),"")</f>
        <v/>
      </c>
      <c r="G533" s="26" t="n"/>
      <c r="H533" s="26" t="n"/>
    </row>
    <row r="534">
      <c r="A534" s="33" t="n"/>
      <c r="B534" s="33">
        <f>IFERROR(IF(A534="","",VLOOKUP(A534,DATABASE!A:B,2,0)),"")</f>
        <v/>
      </c>
      <c r="C534" s="34">
        <f>IFERROR(IF(A534="","",VLOOKUP(A534,DATABASE!A:J,10,0)),"")</f>
        <v/>
      </c>
      <c r="D534" s="35">
        <f>IF(A534="","",TODAY())</f>
        <v/>
      </c>
      <c r="E534" s="34" t="n"/>
      <c r="F534" s="34">
        <f>IFERROR(IF(OR(A534="",E534=""),"",C534+E534),"")</f>
        <v/>
      </c>
      <c r="G534" s="33" t="n"/>
      <c r="H534" s="33" t="n"/>
    </row>
    <row r="535">
      <c r="A535" s="26" t="n"/>
      <c r="B535" s="26">
        <f>IFERROR(IF(A535="","",VLOOKUP(A535,DATABASE!A:B,2,0)),"")</f>
        <v/>
      </c>
      <c r="C535" s="30">
        <f>IFERROR(IF(A535="","",VLOOKUP(A535,DATABASE!A:J,10,0)),"")</f>
        <v/>
      </c>
      <c r="D535" s="31">
        <f>IF(A535="","",TODAY())</f>
        <v/>
      </c>
      <c r="E535" s="30" t="n"/>
      <c r="F535" s="30">
        <f>IFERROR(IF(OR(A535="",E535=""),"",C535+E535),"")</f>
        <v/>
      </c>
      <c r="G535" s="26" t="n"/>
      <c r="H535" s="26" t="n"/>
    </row>
    <row r="536">
      <c r="A536" s="33" t="n"/>
      <c r="B536" s="33">
        <f>IFERROR(IF(A536="","",VLOOKUP(A536,DATABASE!A:B,2,0)),"")</f>
        <v/>
      </c>
      <c r="C536" s="34">
        <f>IFERROR(IF(A536="","",VLOOKUP(A536,DATABASE!A:J,10,0)),"")</f>
        <v/>
      </c>
      <c r="D536" s="35">
        <f>IF(A536="","",TODAY())</f>
        <v/>
      </c>
      <c r="E536" s="34" t="n"/>
      <c r="F536" s="34">
        <f>IFERROR(IF(OR(A536="",E536=""),"",C536+E536),"")</f>
        <v/>
      </c>
      <c r="G536" s="33" t="n"/>
      <c r="H536" s="33" t="n"/>
    </row>
    <row r="537">
      <c r="A537" s="26" t="n"/>
      <c r="B537" s="26">
        <f>IFERROR(IF(A537="","",VLOOKUP(A537,DATABASE!A:B,2,0)),"")</f>
        <v/>
      </c>
      <c r="C537" s="30">
        <f>IFERROR(IF(A537="","",VLOOKUP(A537,DATABASE!A:J,10,0)),"")</f>
        <v/>
      </c>
      <c r="D537" s="31">
        <f>IF(A537="","",TODAY())</f>
        <v/>
      </c>
      <c r="E537" s="30" t="n"/>
      <c r="F537" s="30">
        <f>IFERROR(IF(OR(A537="",E537=""),"",C537+E537),"")</f>
        <v/>
      </c>
      <c r="G537" s="26" t="n"/>
      <c r="H537" s="26" t="n"/>
    </row>
    <row r="538">
      <c r="A538" s="33" t="n"/>
      <c r="B538" s="33">
        <f>IFERROR(IF(A538="","",VLOOKUP(A538,DATABASE!A:B,2,0)),"")</f>
        <v/>
      </c>
      <c r="C538" s="34">
        <f>IFERROR(IF(A538="","",VLOOKUP(A538,DATABASE!A:J,10,0)),"")</f>
        <v/>
      </c>
      <c r="D538" s="35">
        <f>IF(A538="","",TODAY())</f>
        <v/>
      </c>
      <c r="E538" s="34" t="n"/>
      <c r="F538" s="34">
        <f>IFERROR(IF(OR(A538="",E538=""),"",C538+E538),"")</f>
        <v/>
      </c>
      <c r="G538" s="33" t="n"/>
      <c r="H538" s="33" t="n"/>
    </row>
    <row r="539">
      <c r="A539" s="26" t="n"/>
      <c r="B539" s="26">
        <f>IFERROR(IF(A539="","",VLOOKUP(A539,DATABASE!A:B,2,0)),"")</f>
        <v/>
      </c>
      <c r="C539" s="30">
        <f>IFERROR(IF(A539="","",VLOOKUP(A539,DATABASE!A:J,10,0)),"")</f>
        <v/>
      </c>
      <c r="D539" s="31">
        <f>IF(A539="","",TODAY())</f>
        <v/>
      </c>
      <c r="E539" s="30" t="n"/>
      <c r="F539" s="30">
        <f>IFERROR(IF(OR(A539="",E539=""),"",C539+E539),"")</f>
        <v/>
      </c>
      <c r="G539" s="26" t="n"/>
      <c r="H539" s="26" t="n"/>
    </row>
    <row r="540">
      <c r="A540" s="33" t="n"/>
      <c r="B540" s="33">
        <f>IFERROR(IF(A540="","",VLOOKUP(A540,DATABASE!A:B,2,0)),"")</f>
        <v/>
      </c>
      <c r="C540" s="34">
        <f>IFERROR(IF(A540="","",VLOOKUP(A540,DATABASE!A:J,10,0)),"")</f>
        <v/>
      </c>
      <c r="D540" s="35">
        <f>IF(A540="","",TODAY())</f>
        <v/>
      </c>
      <c r="E540" s="34" t="n"/>
      <c r="F540" s="34">
        <f>IFERROR(IF(OR(A540="",E540=""),"",C540+E540),"")</f>
        <v/>
      </c>
      <c r="G540" s="33" t="n"/>
      <c r="H540" s="33" t="n"/>
    </row>
    <row r="541">
      <c r="A541" s="26" t="n"/>
      <c r="B541" s="26">
        <f>IFERROR(IF(A541="","",VLOOKUP(A541,DATABASE!A:B,2,0)),"")</f>
        <v/>
      </c>
      <c r="C541" s="30">
        <f>IFERROR(IF(A541="","",VLOOKUP(A541,DATABASE!A:J,10,0)),"")</f>
        <v/>
      </c>
      <c r="D541" s="31">
        <f>IF(A541="","",TODAY())</f>
        <v/>
      </c>
      <c r="E541" s="30" t="n"/>
      <c r="F541" s="30">
        <f>IFERROR(IF(OR(A541="",E541=""),"",C541+E541),"")</f>
        <v/>
      </c>
      <c r="G541" s="26" t="n"/>
      <c r="H541" s="26" t="n"/>
    </row>
    <row r="542">
      <c r="A542" s="33" t="n"/>
      <c r="B542" s="33">
        <f>IFERROR(IF(A542="","",VLOOKUP(A542,DATABASE!A:B,2,0)),"")</f>
        <v/>
      </c>
      <c r="C542" s="34">
        <f>IFERROR(IF(A542="","",VLOOKUP(A542,DATABASE!A:J,10,0)),"")</f>
        <v/>
      </c>
      <c r="D542" s="35">
        <f>IF(A542="","",TODAY())</f>
        <v/>
      </c>
      <c r="E542" s="34" t="n"/>
      <c r="F542" s="34">
        <f>IFERROR(IF(OR(A542="",E542=""),"",C542+E542),"")</f>
        <v/>
      </c>
      <c r="G542" s="33" t="n"/>
      <c r="H542" s="33" t="n"/>
    </row>
    <row r="543">
      <c r="A543" s="26" t="n"/>
      <c r="B543" s="26">
        <f>IFERROR(IF(A543="","",VLOOKUP(A543,DATABASE!A:B,2,0)),"")</f>
        <v/>
      </c>
      <c r="C543" s="30">
        <f>IFERROR(IF(A543="","",VLOOKUP(A543,DATABASE!A:J,10,0)),"")</f>
        <v/>
      </c>
      <c r="D543" s="31">
        <f>IF(A543="","",TODAY())</f>
        <v/>
      </c>
      <c r="E543" s="30" t="n"/>
      <c r="F543" s="30">
        <f>IFERROR(IF(OR(A543="",E543=""),"",C543+E543),"")</f>
        <v/>
      </c>
      <c r="G543" s="26" t="n"/>
      <c r="H543" s="26" t="n"/>
    </row>
    <row r="544">
      <c r="A544" s="33" t="n"/>
      <c r="B544" s="33">
        <f>IFERROR(IF(A544="","",VLOOKUP(A544,DATABASE!A:B,2,0)),"")</f>
        <v/>
      </c>
      <c r="C544" s="34">
        <f>IFERROR(IF(A544="","",VLOOKUP(A544,DATABASE!A:J,10,0)),"")</f>
        <v/>
      </c>
      <c r="D544" s="35">
        <f>IF(A544="","",TODAY())</f>
        <v/>
      </c>
      <c r="E544" s="34" t="n"/>
      <c r="F544" s="34">
        <f>IFERROR(IF(OR(A544="",E544=""),"",C544+E544),"")</f>
        <v/>
      </c>
      <c r="G544" s="33" t="n"/>
      <c r="H544" s="33" t="n"/>
    </row>
    <row r="545">
      <c r="A545" s="26" t="n"/>
      <c r="B545" s="26">
        <f>IFERROR(IF(A545="","",VLOOKUP(A545,DATABASE!A:B,2,0)),"")</f>
        <v/>
      </c>
      <c r="C545" s="30">
        <f>IFERROR(IF(A545="","",VLOOKUP(A545,DATABASE!A:J,10,0)),"")</f>
        <v/>
      </c>
      <c r="D545" s="31">
        <f>IF(A545="","",TODAY())</f>
        <v/>
      </c>
      <c r="E545" s="30" t="n"/>
      <c r="F545" s="30">
        <f>IFERROR(IF(OR(A545="",E545=""),"",C545+E545),"")</f>
        <v/>
      </c>
      <c r="G545" s="26" t="n"/>
      <c r="H545" s="26" t="n"/>
    </row>
    <row r="546">
      <c r="A546" s="33" t="n"/>
      <c r="B546" s="33">
        <f>IFERROR(IF(A546="","",VLOOKUP(A546,DATABASE!A:B,2,0)),"")</f>
        <v/>
      </c>
      <c r="C546" s="34">
        <f>IFERROR(IF(A546="","",VLOOKUP(A546,DATABASE!A:J,10,0)),"")</f>
        <v/>
      </c>
      <c r="D546" s="35">
        <f>IF(A546="","",TODAY())</f>
        <v/>
      </c>
      <c r="E546" s="34" t="n"/>
      <c r="F546" s="34">
        <f>IFERROR(IF(OR(A546="",E546=""),"",C546+E546),"")</f>
        <v/>
      </c>
      <c r="G546" s="33" t="n"/>
      <c r="H546" s="33" t="n"/>
    </row>
    <row r="547">
      <c r="A547" s="26" t="n"/>
      <c r="B547" s="26">
        <f>IFERROR(IF(A547="","",VLOOKUP(A547,DATABASE!A:B,2,0)),"")</f>
        <v/>
      </c>
      <c r="C547" s="30">
        <f>IFERROR(IF(A547="","",VLOOKUP(A547,DATABASE!A:J,10,0)),"")</f>
        <v/>
      </c>
      <c r="D547" s="31">
        <f>IF(A547="","",TODAY())</f>
        <v/>
      </c>
      <c r="E547" s="30" t="n"/>
      <c r="F547" s="30">
        <f>IFERROR(IF(OR(A547="",E547=""),"",C547+E547),"")</f>
        <v/>
      </c>
      <c r="G547" s="26" t="n"/>
      <c r="H547" s="26" t="n"/>
    </row>
    <row r="548">
      <c r="A548" s="33" t="n"/>
      <c r="B548" s="33">
        <f>IFERROR(IF(A548="","",VLOOKUP(A548,DATABASE!A:B,2,0)),"")</f>
        <v/>
      </c>
      <c r="C548" s="34">
        <f>IFERROR(IF(A548="","",VLOOKUP(A548,DATABASE!A:J,10,0)),"")</f>
        <v/>
      </c>
      <c r="D548" s="35">
        <f>IF(A548="","",TODAY())</f>
        <v/>
      </c>
      <c r="E548" s="34" t="n"/>
      <c r="F548" s="34">
        <f>IFERROR(IF(OR(A548="",E548=""),"",C548+E548),"")</f>
        <v/>
      </c>
      <c r="G548" s="33" t="n"/>
      <c r="H548" s="33" t="n"/>
    </row>
    <row r="549">
      <c r="A549" s="26" t="n"/>
      <c r="B549" s="26">
        <f>IFERROR(IF(A549="","",VLOOKUP(A549,DATABASE!A:B,2,0)),"")</f>
        <v/>
      </c>
      <c r="C549" s="30">
        <f>IFERROR(IF(A549="","",VLOOKUP(A549,DATABASE!A:J,10,0)),"")</f>
        <v/>
      </c>
      <c r="D549" s="31">
        <f>IF(A549="","",TODAY())</f>
        <v/>
      </c>
      <c r="E549" s="30" t="n"/>
      <c r="F549" s="30">
        <f>IFERROR(IF(OR(A549="",E549=""),"",C549+E549),"")</f>
        <v/>
      </c>
      <c r="G549" s="26" t="n"/>
      <c r="H549" s="26" t="n"/>
    </row>
    <row r="550">
      <c r="A550" s="33" t="n"/>
      <c r="B550" s="33">
        <f>IFERROR(IF(A550="","",VLOOKUP(A550,DATABASE!A:B,2,0)),"")</f>
        <v/>
      </c>
      <c r="C550" s="34">
        <f>IFERROR(IF(A550="","",VLOOKUP(A550,DATABASE!A:J,10,0)),"")</f>
        <v/>
      </c>
      <c r="D550" s="35">
        <f>IF(A550="","",TODAY())</f>
        <v/>
      </c>
      <c r="E550" s="34" t="n"/>
      <c r="F550" s="34">
        <f>IFERROR(IF(OR(A550="",E550=""),"",C550+E550),"")</f>
        <v/>
      </c>
      <c r="G550" s="33" t="n"/>
      <c r="H550" s="33" t="n"/>
    </row>
    <row r="551">
      <c r="A551" s="26" t="n"/>
      <c r="B551" s="26">
        <f>IFERROR(IF(A551="","",VLOOKUP(A551,DATABASE!A:B,2,0)),"")</f>
        <v/>
      </c>
      <c r="C551" s="30">
        <f>IFERROR(IF(A551="","",VLOOKUP(A551,DATABASE!A:J,10,0)),"")</f>
        <v/>
      </c>
      <c r="D551" s="31">
        <f>IF(A551="","",TODAY())</f>
        <v/>
      </c>
      <c r="E551" s="30" t="n"/>
      <c r="F551" s="30">
        <f>IFERROR(IF(OR(A551="",E551=""),"",C551+E551),"")</f>
        <v/>
      </c>
      <c r="G551" s="26" t="n"/>
      <c r="H551" s="26" t="n"/>
    </row>
    <row r="552">
      <c r="A552" s="33" t="n"/>
      <c r="B552" s="33">
        <f>IFERROR(IF(A552="","",VLOOKUP(A552,DATABASE!A:B,2,0)),"")</f>
        <v/>
      </c>
      <c r="C552" s="34">
        <f>IFERROR(IF(A552="","",VLOOKUP(A552,DATABASE!A:J,10,0)),"")</f>
        <v/>
      </c>
      <c r="D552" s="35">
        <f>IF(A552="","",TODAY())</f>
        <v/>
      </c>
      <c r="E552" s="34" t="n"/>
      <c r="F552" s="34">
        <f>IFERROR(IF(OR(A552="",E552=""),"",C552+E552),"")</f>
        <v/>
      </c>
      <c r="G552" s="33" t="n"/>
      <c r="H552" s="33" t="n"/>
    </row>
    <row r="553">
      <c r="A553" s="26" t="n"/>
      <c r="B553" s="26">
        <f>IFERROR(IF(A553="","",VLOOKUP(A553,DATABASE!A:B,2,0)),"")</f>
        <v/>
      </c>
      <c r="C553" s="30">
        <f>IFERROR(IF(A553="","",VLOOKUP(A553,DATABASE!A:J,10,0)),"")</f>
        <v/>
      </c>
      <c r="D553" s="31">
        <f>IF(A553="","",TODAY())</f>
        <v/>
      </c>
      <c r="E553" s="30" t="n"/>
      <c r="F553" s="30">
        <f>IFERROR(IF(OR(A553="",E553=""),"",C553+E553),"")</f>
        <v/>
      </c>
      <c r="G553" s="26" t="n"/>
      <c r="H553" s="26" t="n"/>
    </row>
    <row r="554">
      <c r="A554" s="33" t="n"/>
      <c r="B554" s="33">
        <f>IFERROR(IF(A554="","",VLOOKUP(A554,DATABASE!A:B,2,0)),"")</f>
        <v/>
      </c>
      <c r="C554" s="34">
        <f>IFERROR(IF(A554="","",VLOOKUP(A554,DATABASE!A:J,10,0)),"")</f>
        <v/>
      </c>
      <c r="D554" s="35">
        <f>IF(A554="","",TODAY())</f>
        <v/>
      </c>
      <c r="E554" s="34" t="n"/>
      <c r="F554" s="34">
        <f>IFERROR(IF(OR(A554="",E554=""),"",C554+E554),"")</f>
        <v/>
      </c>
      <c r="G554" s="33" t="n"/>
      <c r="H554" s="33" t="n"/>
    </row>
    <row r="555">
      <c r="A555" s="26" t="n"/>
      <c r="B555" s="26">
        <f>IFERROR(IF(A555="","",VLOOKUP(A555,DATABASE!A:B,2,0)),"")</f>
        <v/>
      </c>
      <c r="C555" s="30">
        <f>IFERROR(IF(A555="","",VLOOKUP(A555,DATABASE!A:J,10,0)),"")</f>
        <v/>
      </c>
      <c r="D555" s="31">
        <f>IF(A555="","",TODAY())</f>
        <v/>
      </c>
      <c r="E555" s="30" t="n"/>
      <c r="F555" s="30">
        <f>IFERROR(IF(OR(A555="",E555=""),"",C555+E555),"")</f>
        <v/>
      </c>
      <c r="G555" s="26" t="n"/>
      <c r="H555" s="26" t="n"/>
    </row>
    <row r="556">
      <c r="A556" s="33" t="n"/>
      <c r="B556" s="33">
        <f>IFERROR(IF(A556="","",VLOOKUP(A556,DATABASE!A:B,2,0)),"")</f>
        <v/>
      </c>
      <c r="C556" s="34">
        <f>IFERROR(IF(A556="","",VLOOKUP(A556,DATABASE!A:J,10,0)),"")</f>
        <v/>
      </c>
      <c r="D556" s="35">
        <f>IF(A556="","",TODAY())</f>
        <v/>
      </c>
      <c r="E556" s="34" t="n"/>
      <c r="F556" s="34">
        <f>IFERROR(IF(OR(A556="",E556=""),"",C556+E556),"")</f>
        <v/>
      </c>
      <c r="G556" s="33" t="n"/>
      <c r="H556" s="33" t="n"/>
    </row>
    <row r="557">
      <c r="A557" s="26" t="n"/>
      <c r="B557" s="26">
        <f>IFERROR(IF(A557="","",VLOOKUP(A557,DATABASE!A:B,2,0)),"")</f>
        <v/>
      </c>
      <c r="C557" s="30">
        <f>IFERROR(IF(A557="","",VLOOKUP(A557,DATABASE!A:J,10,0)),"")</f>
        <v/>
      </c>
      <c r="D557" s="31">
        <f>IF(A557="","",TODAY())</f>
        <v/>
      </c>
      <c r="E557" s="30" t="n"/>
      <c r="F557" s="30">
        <f>IFERROR(IF(OR(A557="",E557=""),"",C557+E557),"")</f>
        <v/>
      </c>
      <c r="G557" s="26" t="n"/>
      <c r="H557" s="26" t="n"/>
    </row>
    <row r="558">
      <c r="A558" s="33" t="n"/>
      <c r="B558" s="33">
        <f>IFERROR(IF(A558="","",VLOOKUP(A558,DATABASE!A:B,2,0)),"")</f>
        <v/>
      </c>
      <c r="C558" s="34">
        <f>IFERROR(IF(A558="","",VLOOKUP(A558,DATABASE!A:J,10,0)),"")</f>
        <v/>
      </c>
      <c r="D558" s="35">
        <f>IF(A558="","",TODAY())</f>
        <v/>
      </c>
      <c r="E558" s="34" t="n"/>
      <c r="F558" s="34">
        <f>IFERROR(IF(OR(A558="",E558=""),"",C558+E558),"")</f>
        <v/>
      </c>
      <c r="G558" s="33" t="n"/>
      <c r="H558" s="33" t="n"/>
    </row>
    <row r="559">
      <c r="A559" s="26" t="n"/>
      <c r="B559" s="26">
        <f>IFERROR(IF(A559="","",VLOOKUP(A559,DATABASE!A:B,2,0)),"")</f>
        <v/>
      </c>
      <c r="C559" s="30">
        <f>IFERROR(IF(A559="","",VLOOKUP(A559,DATABASE!A:J,10,0)),"")</f>
        <v/>
      </c>
      <c r="D559" s="31">
        <f>IF(A559="","",TODAY())</f>
        <v/>
      </c>
      <c r="E559" s="30" t="n"/>
      <c r="F559" s="30">
        <f>IFERROR(IF(OR(A559="",E559=""),"",C559+E559),"")</f>
        <v/>
      </c>
      <c r="G559" s="26" t="n"/>
      <c r="H559" s="26" t="n"/>
    </row>
    <row r="560">
      <c r="A560" s="33" t="n"/>
      <c r="B560" s="33">
        <f>IFERROR(IF(A560="","",VLOOKUP(A560,DATABASE!A:B,2,0)),"")</f>
        <v/>
      </c>
      <c r="C560" s="34">
        <f>IFERROR(IF(A560="","",VLOOKUP(A560,DATABASE!A:J,10,0)),"")</f>
        <v/>
      </c>
      <c r="D560" s="35">
        <f>IF(A560="","",TODAY())</f>
        <v/>
      </c>
      <c r="E560" s="34" t="n"/>
      <c r="F560" s="34">
        <f>IFERROR(IF(OR(A560="",E560=""),"",C560+E560),"")</f>
        <v/>
      </c>
      <c r="G560" s="33" t="n"/>
      <c r="H560" s="33" t="n"/>
    </row>
    <row r="561">
      <c r="A561" s="26" t="n"/>
      <c r="B561" s="26">
        <f>IFERROR(IF(A561="","",VLOOKUP(A561,DATABASE!A:B,2,0)),"")</f>
        <v/>
      </c>
      <c r="C561" s="30">
        <f>IFERROR(IF(A561="","",VLOOKUP(A561,DATABASE!A:J,10,0)),"")</f>
        <v/>
      </c>
      <c r="D561" s="31">
        <f>IF(A561="","",TODAY())</f>
        <v/>
      </c>
      <c r="E561" s="30" t="n"/>
      <c r="F561" s="30">
        <f>IFERROR(IF(OR(A561="",E561=""),"",C561+E561),"")</f>
        <v/>
      </c>
      <c r="G561" s="26" t="n"/>
      <c r="H561" s="26" t="n"/>
    </row>
    <row r="562">
      <c r="A562" s="33" t="n"/>
      <c r="B562" s="33">
        <f>IFERROR(IF(A562="","",VLOOKUP(A562,DATABASE!A:B,2,0)),"")</f>
        <v/>
      </c>
      <c r="C562" s="34">
        <f>IFERROR(IF(A562="","",VLOOKUP(A562,DATABASE!A:J,10,0)),"")</f>
        <v/>
      </c>
      <c r="D562" s="35">
        <f>IF(A562="","",TODAY())</f>
        <v/>
      </c>
      <c r="E562" s="34" t="n"/>
      <c r="F562" s="34">
        <f>IFERROR(IF(OR(A562="",E562=""),"",C562+E562),"")</f>
        <v/>
      </c>
      <c r="G562" s="33" t="n"/>
      <c r="H562" s="33" t="n"/>
    </row>
    <row r="563">
      <c r="A563" s="26" t="n"/>
      <c r="B563" s="26">
        <f>IFERROR(IF(A563="","",VLOOKUP(A563,DATABASE!A:B,2,0)),"")</f>
        <v/>
      </c>
      <c r="C563" s="30">
        <f>IFERROR(IF(A563="","",VLOOKUP(A563,DATABASE!A:J,10,0)),"")</f>
        <v/>
      </c>
      <c r="D563" s="31">
        <f>IF(A563="","",TODAY())</f>
        <v/>
      </c>
      <c r="E563" s="30" t="n"/>
      <c r="F563" s="30">
        <f>IFERROR(IF(OR(A563="",E563=""),"",C563+E563),"")</f>
        <v/>
      </c>
      <c r="G563" s="26" t="n"/>
      <c r="H563" s="26" t="n"/>
    </row>
    <row r="564">
      <c r="A564" s="33" t="n"/>
      <c r="B564" s="33">
        <f>IFERROR(IF(A564="","",VLOOKUP(A564,DATABASE!A:B,2,0)),"")</f>
        <v/>
      </c>
      <c r="C564" s="34">
        <f>IFERROR(IF(A564="","",VLOOKUP(A564,DATABASE!A:J,10,0)),"")</f>
        <v/>
      </c>
      <c r="D564" s="35">
        <f>IF(A564="","",TODAY())</f>
        <v/>
      </c>
      <c r="E564" s="34" t="n"/>
      <c r="F564" s="34">
        <f>IFERROR(IF(OR(A564="",E564=""),"",C564+E564),"")</f>
        <v/>
      </c>
      <c r="G564" s="33" t="n"/>
      <c r="H564" s="33" t="n"/>
    </row>
    <row r="565">
      <c r="A565" s="26" t="n"/>
      <c r="B565" s="26">
        <f>IFERROR(IF(A565="","",VLOOKUP(A565,DATABASE!A:B,2,0)),"")</f>
        <v/>
      </c>
      <c r="C565" s="30">
        <f>IFERROR(IF(A565="","",VLOOKUP(A565,DATABASE!A:J,10,0)),"")</f>
        <v/>
      </c>
      <c r="D565" s="31">
        <f>IF(A565="","",TODAY())</f>
        <v/>
      </c>
      <c r="E565" s="30" t="n"/>
      <c r="F565" s="30">
        <f>IFERROR(IF(OR(A565="",E565=""),"",C565+E565),"")</f>
        <v/>
      </c>
      <c r="G565" s="26" t="n"/>
      <c r="H565" s="26" t="n"/>
    </row>
    <row r="566">
      <c r="A566" s="33" t="n"/>
      <c r="B566" s="33">
        <f>IFERROR(IF(A566="","",VLOOKUP(A566,DATABASE!A:B,2,0)),"")</f>
        <v/>
      </c>
      <c r="C566" s="34">
        <f>IFERROR(IF(A566="","",VLOOKUP(A566,DATABASE!A:J,10,0)),"")</f>
        <v/>
      </c>
      <c r="D566" s="35">
        <f>IF(A566="","",TODAY())</f>
        <v/>
      </c>
      <c r="E566" s="34" t="n"/>
      <c r="F566" s="34">
        <f>IFERROR(IF(OR(A566="",E566=""),"",C566+E566),"")</f>
        <v/>
      </c>
      <c r="G566" s="33" t="n"/>
      <c r="H566" s="33" t="n"/>
    </row>
    <row r="567">
      <c r="A567" s="26" t="n"/>
      <c r="B567" s="26">
        <f>IFERROR(IF(A567="","",VLOOKUP(A567,DATABASE!A:B,2,0)),"")</f>
        <v/>
      </c>
      <c r="C567" s="30">
        <f>IFERROR(IF(A567="","",VLOOKUP(A567,DATABASE!A:J,10,0)),"")</f>
        <v/>
      </c>
      <c r="D567" s="31">
        <f>IF(A567="","",TODAY())</f>
        <v/>
      </c>
      <c r="E567" s="30" t="n"/>
      <c r="F567" s="30">
        <f>IFERROR(IF(OR(A567="",E567=""),"",C567+E567),"")</f>
        <v/>
      </c>
      <c r="G567" s="26" t="n"/>
      <c r="H567" s="26" t="n"/>
    </row>
    <row r="568">
      <c r="A568" s="33" t="n"/>
      <c r="B568" s="33">
        <f>IFERROR(IF(A568="","",VLOOKUP(A568,DATABASE!A:B,2,0)),"")</f>
        <v/>
      </c>
      <c r="C568" s="34">
        <f>IFERROR(IF(A568="","",VLOOKUP(A568,DATABASE!A:J,10,0)),"")</f>
        <v/>
      </c>
      <c r="D568" s="35">
        <f>IF(A568="","",TODAY())</f>
        <v/>
      </c>
      <c r="E568" s="34" t="n"/>
      <c r="F568" s="34">
        <f>IFERROR(IF(OR(A568="",E568=""),"",C568+E568),"")</f>
        <v/>
      </c>
      <c r="G568" s="33" t="n"/>
      <c r="H568" s="33" t="n"/>
    </row>
    <row r="569">
      <c r="A569" s="26" t="n"/>
      <c r="B569" s="26">
        <f>IFERROR(IF(A569="","",VLOOKUP(A569,DATABASE!A:B,2,0)),"")</f>
        <v/>
      </c>
      <c r="C569" s="30">
        <f>IFERROR(IF(A569="","",VLOOKUP(A569,DATABASE!A:J,10,0)),"")</f>
        <v/>
      </c>
      <c r="D569" s="31">
        <f>IF(A569="","",TODAY())</f>
        <v/>
      </c>
      <c r="E569" s="30" t="n"/>
      <c r="F569" s="30">
        <f>IFERROR(IF(OR(A569="",E569=""),"",C569+E569),"")</f>
        <v/>
      </c>
      <c r="G569" s="26" t="n"/>
      <c r="H569" s="26" t="n"/>
    </row>
    <row r="570">
      <c r="A570" s="33" t="n"/>
      <c r="B570" s="33">
        <f>IFERROR(IF(A570="","",VLOOKUP(A570,DATABASE!A:B,2,0)),"")</f>
        <v/>
      </c>
      <c r="C570" s="34">
        <f>IFERROR(IF(A570="","",VLOOKUP(A570,DATABASE!A:J,10,0)),"")</f>
        <v/>
      </c>
      <c r="D570" s="35">
        <f>IF(A570="","",TODAY())</f>
        <v/>
      </c>
      <c r="E570" s="34" t="n"/>
      <c r="F570" s="34">
        <f>IFERROR(IF(OR(A570="",E570=""),"",C570+E570),"")</f>
        <v/>
      </c>
      <c r="G570" s="33" t="n"/>
      <c r="H570" s="33" t="n"/>
    </row>
    <row r="571">
      <c r="A571" s="26" t="n"/>
      <c r="B571" s="26">
        <f>IFERROR(IF(A571="","",VLOOKUP(A571,DATABASE!A:B,2,0)),"")</f>
        <v/>
      </c>
      <c r="C571" s="30">
        <f>IFERROR(IF(A571="","",VLOOKUP(A571,DATABASE!A:J,10,0)),"")</f>
        <v/>
      </c>
      <c r="D571" s="31">
        <f>IF(A571="","",TODAY())</f>
        <v/>
      </c>
      <c r="E571" s="30" t="n"/>
      <c r="F571" s="30">
        <f>IFERROR(IF(OR(A571="",E571=""),"",C571+E571),"")</f>
        <v/>
      </c>
      <c r="G571" s="26" t="n"/>
      <c r="H571" s="26" t="n"/>
    </row>
    <row r="572">
      <c r="A572" s="33" t="n"/>
      <c r="B572" s="33">
        <f>IFERROR(IF(A572="","",VLOOKUP(A572,DATABASE!A:B,2,0)),"")</f>
        <v/>
      </c>
      <c r="C572" s="34">
        <f>IFERROR(IF(A572="","",VLOOKUP(A572,DATABASE!A:J,10,0)),"")</f>
        <v/>
      </c>
      <c r="D572" s="35">
        <f>IF(A572="","",TODAY())</f>
        <v/>
      </c>
      <c r="E572" s="34" t="n"/>
      <c r="F572" s="34">
        <f>IFERROR(IF(OR(A572="",E572=""),"",C572+E572),"")</f>
        <v/>
      </c>
      <c r="G572" s="33" t="n"/>
      <c r="H572" s="33" t="n"/>
    </row>
    <row r="573">
      <c r="A573" s="26" t="n"/>
      <c r="B573" s="26">
        <f>IFERROR(IF(A573="","",VLOOKUP(A573,DATABASE!A:B,2,0)),"")</f>
        <v/>
      </c>
      <c r="C573" s="30">
        <f>IFERROR(IF(A573="","",VLOOKUP(A573,DATABASE!A:J,10,0)),"")</f>
        <v/>
      </c>
      <c r="D573" s="31">
        <f>IF(A573="","",TODAY())</f>
        <v/>
      </c>
      <c r="E573" s="30" t="n"/>
      <c r="F573" s="30">
        <f>IFERROR(IF(OR(A573="",E573=""),"",C573+E573),"")</f>
        <v/>
      </c>
      <c r="G573" s="26" t="n"/>
      <c r="H573" s="26" t="n"/>
    </row>
    <row r="574">
      <c r="A574" s="33" t="n"/>
      <c r="B574" s="33">
        <f>IFERROR(IF(A574="","",VLOOKUP(A574,DATABASE!A:B,2,0)),"")</f>
        <v/>
      </c>
      <c r="C574" s="34">
        <f>IFERROR(IF(A574="","",VLOOKUP(A574,DATABASE!A:J,10,0)),"")</f>
        <v/>
      </c>
      <c r="D574" s="35">
        <f>IF(A574="","",TODAY())</f>
        <v/>
      </c>
      <c r="E574" s="34" t="n"/>
      <c r="F574" s="34">
        <f>IFERROR(IF(OR(A574="",E574=""),"",C574+E574),"")</f>
        <v/>
      </c>
      <c r="G574" s="33" t="n"/>
      <c r="H574" s="33" t="n"/>
    </row>
    <row r="575">
      <c r="A575" s="26" t="n"/>
      <c r="B575" s="26">
        <f>IFERROR(IF(A575="","",VLOOKUP(A575,DATABASE!A:B,2,0)),"")</f>
        <v/>
      </c>
      <c r="C575" s="30">
        <f>IFERROR(IF(A575="","",VLOOKUP(A575,DATABASE!A:J,10,0)),"")</f>
        <v/>
      </c>
      <c r="D575" s="31">
        <f>IF(A575="","",TODAY())</f>
        <v/>
      </c>
      <c r="E575" s="30" t="n"/>
      <c r="F575" s="30">
        <f>IFERROR(IF(OR(A575="",E575=""),"",C575+E575),"")</f>
        <v/>
      </c>
      <c r="G575" s="26" t="n"/>
      <c r="H575" s="26" t="n"/>
    </row>
    <row r="576">
      <c r="A576" s="33" t="n"/>
      <c r="B576" s="33">
        <f>IFERROR(IF(A576="","",VLOOKUP(A576,DATABASE!A:B,2,0)),"")</f>
        <v/>
      </c>
      <c r="C576" s="34">
        <f>IFERROR(IF(A576="","",VLOOKUP(A576,DATABASE!A:J,10,0)),"")</f>
        <v/>
      </c>
      <c r="D576" s="35">
        <f>IF(A576="","",TODAY())</f>
        <v/>
      </c>
      <c r="E576" s="34" t="n"/>
      <c r="F576" s="34">
        <f>IFERROR(IF(OR(A576="",E576=""),"",C576+E576),"")</f>
        <v/>
      </c>
      <c r="G576" s="33" t="n"/>
      <c r="H576" s="33" t="n"/>
    </row>
    <row r="577">
      <c r="A577" s="26" t="n"/>
      <c r="B577" s="26">
        <f>IFERROR(IF(A577="","",VLOOKUP(A577,DATABASE!A:B,2,0)),"")</f>
        <v/>
      </c>
      <c r="C577" s="30">
        <f>IFERROR(IF(A577="","",VLOOKUP(A577,DATABASE!A:J,10,0)),"")</f>
        <v/>
      </c>
      <c r="D577" s="31">
        <f>IF(A577="","",TODAY())</f>
        <v/>
      </c>
      <c r="E577" s="30" t="n"/>
      <c r="F577" s="30">
        <f>IFERROR(IF(OR(A577="",E577=""),"",C577+E577),"")</f>
        <v/>
      </c>
      <c r="G577" s="26" t="n"/>
      <c r="H577" s="26" t="n"/>
    </row>
    <row r="578">
      <c r="A578" s="33" t="n"/>
      <c r="B578" s="33">
        <f>IFERROR(IF(A578="","",VLOOKUP(A578,DATABASE!A:B,2,0)),"")</f>
        <v/>
      </c>
      <c r="C578" s="34">
        <f>IFERROR(IF(A578="","",VLOOKUP(A578,DATABASE!A:J,10,0)),"")</f>
        <v/>
      </c>
      <c r="D578" s="35">
        <f>IF(A578="","",TODAY())</f>
        <v/>
      </c>
      <c r="E578" s="34" t="n"/>
      <c r="F578" s="34">
        <f>IFERROR(IF(OR(A578="",E578=""),"",C578+E578),"")</f>
        <v/>
      </c>
      <c r="G578" s="33" t="n"/>
      <c r="H578" s="33" t="n"/>
    </row>
    <row r="579">
      <c r="A579" s="26" t="n"/>
      <c r="B579" s="26">
        <f>IFERROR(IF(A579="","",VLOOKUP(A579,DATABASE!A:B,2,0)),"")</f>
        <v/>
      </c>
      <c r="C579" s="30">
        <f>IFERROR(IF(A579="","",VLOOKUP(A579,DATABASE!A:J,10,0)),"")</f>
        <v/>
      </c>
      <c r="D579" s="31">
        <f>IF(A579="","",TODAY())</f>
        <v/>
      </c>
      <c r="E579" s="30" t="n"/>
      <c r="F579" s="30">
        <f>IFERROR(IF(OR(A579="",E579=""),"",C579+E579),"")</f>
        <v/>
      </c>
      <c r="G579" s="26" t="n"/>
      <c r="H579" s="26" t="n"/>
    </row>
    <row r="580">
      <c r="A580" s="33" t="n"/>
      <c r="B580" s="33">
        <f>IFERROR(IF(A580="","",VLOOKUP(A580,DATABASE!A:B,2,0)),"")</f>
        <v/>
      </c>
      <c r="C580" s="34">
        <f>IFERROR(IF(A580="","",VLOOKUP(A580,DATABASE!A:J,10,0)),"")</f>
        <v/>
      </c>
      <c r="D580" s="35">
        <f>IF(A580="","",TODAY())</f>
        <v/>
      </c>
      <c r="E580" s="34" t="n"/>
      <c r="F580" s="34">
        <f>IFERROR(IF(OR(A580="",E580=""),"",C580+E580),"")</f>
        <v/>
      </c>
      <c r="G580" s="33" t="n"/>
      <c r="H580" s="33" t="n"/>
    </row>
    <row r="581">
      <c r="A581" s="26" t="n"/>
      <c r="B581" s="26">
        <f>IFERROR(IF(A581="","",VLOOKUP(A581,DATABASE!A:B,2,0)),"")</f>
        <v/>
      </c>
      <c r="C581" s="30">
        <f>IFERROR(IF(A581="","",VLOOKUP(A581,DATABASE!A:J,10,0)),"")</f>
        <v/>
      </c>
      <c r="D581" s="31">
        <f>IF(A581="","",TODAY())</f>
        <v/>
      </c>
      <c r="E581" s="30" t="n"/>
      <c r="F581" s="30">
        <f>IFERROR(IF(OR(A581="",E581=""),"",C581+E581),"")</f>
        <v/>
      </c>
      <c r="G581" s="26" t="n"/>
      <c r="H581" s="26" t="n"/>
    </row>
    <row r="582">
      <c r="A582" s="33" t="n"/>
      <c r="B582" s="33">
        <f>IFERROR(IF(A582="","",VLOOKUP(A582,DATABASE!A:B,2,0)),"")</f>
        <v/>
      </c>
      <c r="C582" s="34">
        <f>IFERROR(IF(A582="","",VLOOKUP(A582,DATABASE!A:J,10,0)),"")</f>
        <v/>
      </c>
      <c r="D582" s="35">
        <f>IF(A582="","",TODAY())</f>
        <v/>
      </c>
      <c r="E582" s="34" t="n"/>
      <c r="F582" s="34">
        <f>IFERROR(IF(OR(A582="",E582=""),"",C582+E582),"")</f>
        <v/>
      </c>
      <c r="G582" s="33" t="n"/>
      <c r="H582" s="33" t="n"/>
    </row>
    <row r="583">
      <c r="A583" s="26" t="n"/>
      <c r="B583" s="26">
        <f>IFERROR(IF(A583="","",VLOOKUP(A583,DATABASE!A:B,2,0)),"")</f>
        <v/>
      </c>
      <c r="C583" s="30">
        <f>IFERROR(IF(A583="","",VLOOKUP(A583,DATABASE!A:J,10,0)),"")</f>
        <v/>
      </c>
      <c r="D583" s="31">
        <f>IF(A583="","",TODAY())</f>
        <v/>
      </c>
      <c r="E583" s="30" t="n"/>
      <c r="F583" s="30">
        <f>IFERROR(IF(OR(A583="",E583=""),"",C583+E583),"")</f>
        <v/>
      </c>
      <c r="G583" s="26" t="n"/>
      <c r="H583" s="26" t="n"/>
    </row>
    <row r="584">
      <c r="A584" s="33" t="n"/>
      <c r="B584" s="33">
        <f>IFERROR(IF(A584="","",VLOOKUP(A584,DATABASE!A:B,2,0)),"")</f>
        <v/>
      </c>
      <c r="C584" s="34">
        <f>IFERROR(IF(A584="","",VLOOKUP(A584,DATABASE!A:J,10,0)),"")</f>
        <v/>
      </c>
      <c r="D584" s="35">
        <f>IF(A584="","",TODAY())</f>
        <v/>
      </c>
      <c r="E584" s="34" t="n"/>
      <c r="F584" s="34">
        <f>IFERROR(IF(OR(A584="",E584=""),"",C584+E584),"")</f>
        <v/>
      </c>
      <c r="G584" s="33" t="n"/>
      <c r="H584" s="33" t="n"/>
    </row>
    <row r="585">
      <c r="A585" s="26" t="n"/>
      <c r="B585" s="26">
        <f>IFERROR(IF(A585="","",VLOOKUP(A585,DATABASE!A:B,2,0)),"")</f>
        <v/>
      </c>
      <c r="C585" s="30">
        <f>IFERROR(IF(A585="","",VLOOKUP(A585,DATABASE!A:J,10,0)),"")</f>
        <v/>
      </c>
      <c r="D585" s="31">
        <f>IF(A585="","",TODAY())</f>
        <v/>
      </c>
      <c r="E585" s="30" t="n"/>
      <c r="F585" s="30">
        <f>IFERROR(IF(OR(A585="",E585=""),"",C585+E585),"")</f>
        <v/>
      </c>
      <c r="G585" s="26" t="n"/>
      <c r="H585" s="26" t="n"/>
    </row>
    <row r="586">
      <c r="A586" s="33" t="n"/>
      <c r="B586" s="33">
        <f>IFERROR(IF(A586="","",VLOOKUP(A586,DATABASE!A:B,2,0)),"")</f>
        <v/>
      </c>
      <c r="C586" s="34">
        <f>IFERROR(IF(A586="","",VLOOKUP(A586,DATABASE!A:J,10,0)),"")</f>
        <v/>
      </c>
      <c r="D586" s="35">
        <f>IF(A586="","",TODAY())</f>
        <v/>
      </c>
      <c r="E586" s="34" t="n"/>
      <c r="F586" s="34">
        <f>IFERROR(IF(OR(A586="",E586=""),"",C586+E586),"")</f>
        <v/>
      </c>
      <c r="G586" s="33" t="n"/>
      <c r="H586" s="33" t="n"/>
    </row>
    <row r="587">
      <c r="A587" s="26" t="n"/>
      <c r="B587" s="26">
        <f>IFERROR(IF(A587="","",VLOOKUP(A587,DATABASE!A:B,2,0)),"")</f>
        <v/>
      </c>
      <c r="C587" s="30">
        <f>IFERROR(IF(A587="","",VLOOKUP(A587,DATABASE!A:J,10,0)),"")</f>
        <v/>
      </c>
      <c r="D587" s="31">
        <f>IF(A587="","",TODAY())</f>
        <v/>
      </c>
      <c r="E587" s="30" t="n"/>
      <c r="F587" s="30">
        <f>IFERROR(IF(OR(A587="",E587=""),"",C587+E587),"")</f>
        <v/>
      </c>
      <c r="G587" s="26" t="n"/>
      <c r="H587" s="26" t="n"/>
    </row>
    <row r="588">
      <c r="A588" s="33" t="n"/>
      <c r="B588" s="33">
        <f>IFERROR(IF(A588="","",VLOOKUP(A588,DATABASE!A:B,2,0)),"")</f>
        <v/>
      </c>
      <c r="C588" s="34">
        <f>IFERROR(IF(A588="","",VLOOKUP(A588,DATABASE!A:J,10,0)),"")</f>
        <v/>
      </c>
      <c r="D588" s="35">
        <f>IF(A588="","",TODAY())</f>
        <v/>
      </c>
      <c r="E588" s="34" t="n"/>
      <c r="F588" s="34">
        <f>IFERROR(IF(OR(A588="",E588=""),"",C588+E588),"")</f>
        <v/>
      </c>
      <c r="G588" s="33" t="n"/>
      <c r="H588" s="33" t="n"/>
    </row>
    <row r="589">
      <c r="A589" s="26" t="n"/>
      <c r="B589" s="26">
        <f>IFERROR(IF(A589="","",VLOOKUP(A589,DATABASE!A:B,2,0)),"")</f>
        <v/>
      </c>
      <c r="C589" s="30">
        <f>IFERROR(IF(A589="","",VLOOKUP(A589,DATABASE!A:J,10,0)),"")</f>
        <v/>
      </c>
      <c r="D589" s="31">
        <f>IF(A589="","",TODAY())</f>
        <v/>
      </c>
      <c r="E589" s="30" t="n"/>
      <c r="F589" s="30">
        <f>IFERROR(IF(OR(A589="",E589=""),"",C589+E589),"")</f>
        <v/>
      </c>
      <c r="G589" s="26" t="n"/>
      <c r="H589" s="26" t="n"/>
    </row>
    <row r="590">
      <c r="A590" s="33" t="n"/>
      <c r="B590" s="33">
        <f>IFERROR(IF(A590="","",VLOOKUP(A590,DATABASE!A:B,2,0)),"")</f>
        <v/>
      </c>
      <c r="C590" s="34">
        <f>IFERROR(IF(A590="","",VLOOKUP(A590,DATABASE!A:J,10,0)),"")</f>
        <v/>
      </c>
      <c r="D590" s="35">
        <f>IF(A590="","",TODAY())</f>
        <v/>
      </c>
      <c r="E590" s="34" t="n"/>
      <c r="F590" s="34">
        <f>IFERROR(IF(OR(A590="",E590=""),"",C590+E590),"")</f>
        <v/>
      </c>
      <c r="G590" s="33" t="n"/>
      <c r="H590" s="33" t="n"/>
    </row>
    <row r="591">
      <c r="A591" s="26" t="n"/>
      <c r="B591" s="26">
        <f>IFERROR(IF(A591="","",VLOOKUP(A591,DATABASE!A:B,2,0)),"")</f>
        <v/>
      </c>
      <c r="C591" s="30">
        <f>IFERROR(IF(A591="","",VLOOKUP(A591,DATABASE!A:J,10,0)),"")</f>
        <v/>
      </c>
      <c r="D591" s="31">
        <f>IF(A591="","",TODAY())</f>
        <v/>
      </c>
      <c r="E591" s="30" t="n"/>
      <c r="F591" s="30">
        <f>IFERROR(IF(OR(A591="",E591=""),"",C591+E591),"")</f>
        <v/>
      </c>
      <c r="G591" s="26" t="n"/>
      <c r="H591" s="26" t="n"/>
    </row>
    <row r="592">
      <c r="A592" s="33" t="n"/>
      <c r="B592" s="33">
        <f>IFERROR(IF(A592="","",VLOOKUP(A592,DATABASE!A:B,2,0)),"")</f>
        <v/>
      </c>
      <c r="C592" s="34">
        <f>IFERROR(IF(A592="","",VLOOKUP(A592,DATABASE!A:J,10,0)),"")</f>
        <v/>
      </c>
      <c r="D592" s="35">
        <f>IF(A592="","",TODAY())</f>
        <v/>
      </c>
      <c r="E592" s="34" t="n"/>
      <c r="F592" s="34">
        <f>IFERROR(IF(OR(A592="",E592=""),"",C592+E592),"")</f>
        <v/>
      </c>
      <c r="G592" s="33" t="n"/>
      <c r="H592" s="33" t="n"/>
    </row>
    <row r="593">
      <c r="A593" s="26" t="n"/>
      <c r="B593" s="26">
        <f>IFERROR(IF(A593="","",VLOOKUP(A593,DATABASE!A:B,2,0)),"")</f>
        <v/>
      </c>
      <c r="C593" s="30">
        <f>IFERROR(IF(A593="","",VLOOKUP(A593,DATABASE!A:J,10,0)),"")</f>
        <v/>
      </c>
      <c r="D593" s="31">
        <f>IF(A593="","",TODAY())</f>
        <v/>
      </c>
      <c r="E593" s="30" t="n"/>
      <c r="F593" s="30">
        <f>IFERROR(IF(OR(A593="",E593=""),"",C593+E593),"")</f>
        <v/>
      </c>
      <c r="G593" s="26" t="n"/>
      <c r="H593" s="26" t="n"/>
    </row>
    <row r="594">
      <c r="A594" s="33" t="n"/>
      <c r="B594" s="33">
        <f>IFERROR(IF(A594="","",VLOOKUP(A594,DATABASE!A:B,2,0)),"")</f>
        <v/>
      </c>
      <c r="C594" s="34">
        <f>IFERROR(IF(A594="","",VLOOKUP(A594,DATABASE!A:J,10,0)),"")</f>
        <v/>
      </c>
      <c r="D594" s="35">
        <f>IF(A594="","",TODAY())</f>
        <v/>
      </c>
      <c r="E594" s="34" t="n"/>
      <c r="F594" s="34">
        <f>IFERROR(IF(OR(A594="",E594=""),"",C594+E594),"")</f>
        <v/>
      </c>
      <c r="G594" s="33" t="n"/>
      <c r="H594" s="33" t="n"/>
    </row>
    <row r="595">
      <c r="A595" s="26" t="n"/>
      <c r="B595" s="26">
        <f>IFERROR(IF(A595="","",VLOOKUP(A595,DATABASE!A:B,2,0)),"")</f>
        <v/>
      </c>
      <c r="C595" s="30">
        <f>IFERROR(IF(A595="","",VLOOKUP(A595,DATABASE!A:J,10,0)),"")</f>
        <v/>
      </c>
      <c r="D595" s="31">
        <f>IF(A595="","",TODAY())</f>
        <v/>
      </c>
      <c r="E595" s="30" t="n"/>
      <c r="F595" s="30">
        <f>IFERROR(IF(OR(A595="",E595=""),"",C595+E595),"")</f>
        <v/>
      </c>
      <c r="G595" s="26" t="n"/>
      <c r="H595" s="26" t="n"/>
    </row>
    <row r="596">
      <c r="A596" s="33" t="n"/>
      <c r="B596" s="33">
        <f>IFERROR(IF(A596="","",VLOOKUP(A596,DATABASE!A:B,2,0)),"")</f>
        <v/>
      </c>
      <c r="C596" s="34">
        <f>IFERROR(IF(A596="","",VLOOKUP(A596,DATABASE!A:J,10,0)),"")</f>
        <v/>
      </c>
      <c r="D596" s="35">
        <f>IF(A596="","",TODAY())</f>
        <v/>
      </c>
      <c r="E596" s="34" t="n"/>
      <c r="F596" s="34">
        <f>IFERROR(IF(OR(A596="",E596=""),"",C596+E596),"")</f>
        <v/>
      </c>
      <c r="G596" s="33" t="n"/>
      <c r="H596" s="33" t="n"/>
    </row>
    <row r="597">
      <c r="A597" s="26" t="n"/>
      <c r="B597" s="26">
        <f>IFERROR(IF(A597="","",VLOOKUP(A597,DATABASE!A:B,2,0)),"")</f>
        <v/>
      </c>
      <c r="C597" s="30">
        <f>IFERROR(IF(A597="","",VLOOKUP(A597,DATABASE!A:J,10,0)),"")</f>
        <v/>
      </c>
      <c r="D597" s="31">
        <f>IF(A597="","",TODAY())</f>
        <v/>
      </c>
      <c r="E597" s="30" t="n"/>
      <c r="F597" s="30">
        <f>IFERROR(IF(OR(A597="",E597=""),"",C597+E597),"")</f>
        <v/>
      </c>
      <c r="G597" s="26" t="n"/>
      <c r="H597" s="26" t="n"/>
    </row>
    <row r="598">
      <c r="A598" s="33" t="n"/>
      <c r="B598" s="33">
        <f>IFERROR(IF(A598="","",VLOOKUP(A598,DATABASE!A:B,2,0)),"")</f>
        <v/>
      </c>
      <c r="C598" s="34">
        <f>IFERROR(IF(A598="","",VLOOKUP(A598,DATABASE!A:J,10,0)),"")</f>
        <v/>
      </c>
      <c r="D598" s="35">
        <f>IF(A598="","",TODAY())</f>
        <v/>
      </c>
      <c r="E598" s="34" t="n"/>
      <c r="F598" s="34">
        <f>IFERROR(IF(OR(A598="",E598=""),"",C598+E598),"")</f>
        <v/>
      </c>
      <c r="G598" s="33" t="n"/>
      <c r="H598" s="33" t="n"/>
    </row>
    <row r="599">
      <c r="A599" s="26" t="n"/>
      <c r="B599" s="26">
        <f>IFERROR(IF(A599="","",VLOOKUP(A599,DATABASE!A:B,2,0)),"")</f>
        <v/>
      </c>
      <c r="C599" s="30">
        <f>IFERROR(IF(A599="","",VLOOKUP(A599,DATABASE!A:J,10,0)),"")</f>
        <v/>
      </c>
      <c r="D599" s="31">
        <f>IF(A599="","",TODAY())</f>
        <v/>
      </c>
      <c r="E599" s="30" t="n"/>
      <c r="F599" s="30">
        <f>IFERROR(IF(OR(A599="",E599=""),"",C599+E599),"")</f>
        <v/>
      </c>
      <c r="G599" s="26" t="n"/>
      <c r="H599" s="26" t="n"/>
    </row>
    <row r="600">
      <c r="A600" s="33" t="n"/>
      <c r="B600" s="33">
        <f>IFERROR(IF(A600="","",VLOOKUP(A600,DATABASE!A:B,2,0)),"")</f>
        <v/>
      </c>
      <c r="C600" s="34">
        <f>IFERROR(IF(A600="","",VLOOKUP(A600,DATABASE!A:J,10,0)),"")</f>
        <v/>
      </c>
      <c r="D600" s="35">
        <f>IF(A600="","",TODAY())</f>
        <v/>
      </c>
      <c r="E600" s="34" t="n"/>
      <c r="F600" s="34">
        <f>IFERROR(IF(OR(A600="",E600=""),"",C600+E600),"")</f>
        <v/>
      </c>
      <c r="G600" s="33" t="n"/>
      <c r="H600" s="33" t="n"/>
    </row>
    <row r="601">
      <c r="A601" s="26" t="n"/>
      <c r="B601" s="26">
        <f>IFERROR(IF(A601="","",VLOOKUP(A601,DATABASE!A:B,2,0)),"")</f>
        <v/>
      </c>
      <c r="C601" s="30">
        <f>IFERROR(IF(A601="","",VLOOKUP(A601,DATABASE!A:J,10,0)),"")</f>
        <v/>
      </c>
      <c r="D601" s="31">
        <f>IF(A601="","",TODAY())</f>
        <v/>
      </c>
      <c r="E601" s="30" t="n"/>
      <c r="F601" s="30">
        <f>IFERROR(IF(OR(A601="",E601=""),"",C601+E601),"")</f>
        <v/>
      </c>
      <c r="G601" s="26" t="n"/>
      <c r="H601" s="26" t="n"/>
    </row>
    <row r="602">
      <c r="A602" s="33" t="n"/>
      <c r="B602" s="33">
        <f>IFERROR(IF(A602="","",VLOOKUP(A602,DATABASE!A:B,2,0)),"")</f>
        <v/>
      </c>
      <c r="C602" s="34">
        <f>IFERROR(IF(A602="","",VLOOKUP(A602,DATABASE!A:J,10,0)),"")</f>
        <v/>
      </c>
      <c r="D602" s="35">
        <f>IF(A602="","",TODAY())</f>
        <v/>
      </c>
      <c r="E602" s="34" t="n"/>
      <c r="F602" s="34">
        <f>IFERROR(IF(OR(A602="",E602=""),"",C602+E602),"")</f>
        <v/>
      </c>
      <c r="G602" s="33" t="n"/>
      <c r="H602" s="33" t="n"/>
    </row>
    <row r="603">
      <c r="A603" s="26" t="n"/>
      <c r="B603" s="26">
        <f>IFERROR(IF(A603="","",VLOOKUP(A603,DATABASE!A:B,2,0)),"")</f>
        <v/>
      </c>
      <c r="C603" s="30">
        <f>IFERROR(IF(A603="","",VLOOKUP(A603,DATABASE!A:J,10,0)),"")</f>
        <v/>
      </c>
      <c r="D603" s="31">
        <f>IF(A603="","",TODAY())</f>
        <v/>
      </c>
      <c r="E603" s="30" t="n"/>
      <c r="F603" s="30">
        <f>IFERROR(IF(OR(A603="",E603=""),"",C603+E603),"")</f>
        <v/>
      </c>
      <c r="G603" s="26" t="n"/>
      <c r="H603" s="26" t="n"/>
    </row>
    <row r="604">
      <c r="A604" s="33" t="n"/>
      <c r="B604" s="33">
        <f>IFERROR(IF(A604="","",VLOOKUP(A604,DATABASE!A:B,2,0)),"")</f>
        <v/>
      </c>
      <c r="C604" s="34">
        <f>IFERROR(IF(A604="","",VLOOKUP(A604,DATABASE!A:J,10,0)),"")</f>
        <v/>
      </c>
      <c r="D604" s="35">
        <f>IF(A604="","",TODAY())</f>
        <v/>
      </c>
      <c r="E604" s="34" t="n"/>
      <c r="F604" s="34">
        <f>IFERROR(IF(OR(A604="",E604=""),"",C604+E604),"")</f>
        <v/>
      </c>
      <c r="G604" s="33" t="n"/>
      <c r="H604" s="33" t="n"/>
    </row>
    <row r="605">
      <c r="A605" s="26" t="n"/>
      <c r="B605" s="26">
        <f>IFERROR(IF(A605="","",VLOOKUP(A605,DATABASE!A:B,2,0)),"")</f>
        <v/>
      </c>
      <c r="C605" s="30">
        <f>IFERROR(IF(A605="","",VLOOKUP(A605,DATABASE!A:J,10,0)),"")</f>
        <v/>
      </c>
      <c r="D605" s="31">
        <f>IF(A605="","",TODAY())</f>
        <v/>
      </c>
      <c r="E605" s="30" t="n"/>
      <c r="F605" s="30">
        <f>IFERROR(IF(OR(A605="",E605=""),"",C605+E605),"")</f>
        <v/>
      </c>
      <c r="G605" s="26" t="n"/>
      <c r="H605" s="26" t="n"/>
    </row>
    <row r="606">
      <c r="A606" s="33" t="n"/>
      <c r="B606" s="33">
        <f>IFERROR(IF(A606="","",VLOOKUP(A606,DATABASE!A:B,2,0)),"")</f>
        <v/>
      </c>
      <c r="C606" s="34">
        <f>IFERROR(IF(A606="","",VLOOKUP(A606,DATABASE!A:J,10,0)),"")</f>
        <v/>
      </c>
      <c r="D606" s="35">
        <f>IF(A606="","",TODAY())</f>
        <v/>
      </c>
      <c r="E606" s="34" t="n"/>
      <c r="F606" s="34">
        <f>IFERROR(IF(OR(A606="",E606=""),"",C606+E606),"")</f>
        <v/>
      </c>
      <c r="G606" s="33" t="n"/>
      <c r="H606" s="33" t="n"/>
    </row>
    <row r="607">
      <c r="A607" s="26" t="n"/>
      <c r="B607" s="26">
        <f>IFERROR(IF(A607="","",VLOOKUP(A607,DATABASE!A:B,2,0)),"")</f>
        <v/>
      </c>
      <c r="C607" s="30">
        <f>IFERROR(IF(A607="","",VLOOKUP(A607,DATABASE!A:J,10,0)),"")</f>
        <v/>
      </c>
      <c r="D607" s="31">
        <f>IF(A607="","",TODAY())</f>
        <v/>
      </c>
      <c r="E607" s="30" t="n"/>
      <c r="F607" s="30">
        <f>IFERROR(IF(OR(A607="",E607=""),"",C607+E607),"")</f>
        <v/>
      </c>
      <c r="G607" s="26" t="n"/>
      <c r="H607" s="26" t="n"/>
    </row>
    <row r="608">
      <c r="A608" s="33" t="n"/>
      <c r="B608" s="33">
        <f>IFERROR(IF(A608="","",VLOOKUP(A608,DATABASE!A:B,2,0)),"")</f>
        <v/>
      </c>
      <c r="C608" s="34">
        <f>IFERROR(IF(A608="","",VLOOKUP(A608,DATABASE!A:J,10,0)),"")</f>
        <v/>
      </c>
      <c r="D608" s="35">
        <f>IF(A608="","",TODAY())</f>
        <v/>
      </c>
      <c r="E608" s="34" t="n"/>
      <c r="F608" s="34">
        <f>IFERROR(IF(OR(A608="",E608=""),"",C608+E608),"")</f>
        <v/>
      </c>
      <c r="G608" s="33" t="n"/>
      <c r="H608" s="33" t="n"/>
    </row>
    <row r="609">
      <c r="A609" s="26" t="n"/>
      <c r="B609" s="26">
        <f>IFERROR(IF(A609="","",VLOOKUP(A609,DATABASE!A:B,2,0)),"")</f>
        <v/>
      </c>
      <c r="C609" s="30">
        <f>IFERROR(IF(A609="","",VLOOKUP(A609,DATABASE!A:J,10,0)),"")</f>
        <v/>
      </c>
      <c r="D609" s="31">
        <f>IF(A609="","",TODAY())</f>
        <v/>
      </c>
      <c r="E609" s="30" t="n"/>
      <c r="F609" s="30">
        <f>IFERROR(IF(OR(A609="",E609=""),"",C609+E609),"")</f>
        <v/>
      </c>
      <c r="G609" s="26" t="n"/>
      <c r="H609" s="26" t="n"/>
    </row>
    <row r="610">
      <c r="A610" s="33" t="n"/>
      <c r="B610" s="33">
        <f>IFERROR(IF(A610="","",VLOOKUP(A610,DATABASE!A:B,2,0)),"")</f>
        <v/>
      </c>
      <c r="C610" s="34">
        <f>IFERROR(IF(A610="","",VLOOKUP(A610,DATABASE!A:J,10,0)),"")</f>
        <v/>
      </c>
      <c r="D610" s="35">
        <f>IF(A610="","",TODAY())</f>
        <v/>
      </c>
      <c r="E610" s="34" t="n"/>
      <c r="F610" s="34">
        <f>IFERROR(IF(OR(A610="",E610=""),"",C610+E610),"")</f>
        <v/>
      </c>
      <c r="G610" s="33" t="n"/>
      <c r="H610" s="33" t="n"/>
    </row>
    <row r="611">
      <c r="A611" s="26" t="n"/>
      <c r="B611" s="26">
        <f>IFERROR(IF(A611="","",VLOOKUP(A611,DATABASE!A:B,2,0)),"")</f>
        <v/>
      </c>
      <c r="C611" s="30">
        <f>IFERROR(IF(A611="","",VLOOKUP(A611,DATABASE!A:J,10,0)),"")</f>
        <v/>
      </c>
      <c r="D611" s="31">
        <f>IF(A611="","",TODAY())</f>
        <v/>
      </c>
      <c r="E611" s="30" t="n"/>
      <c r="F611" s="30">
        <f>IFERROR(IF(OR(A611="",E611=""),"",C611+E611),"")</f>
        <v/>
      </c>
      <c r="G611" s="26" t="n"/>
      <c r="H611" s="26" t="n"/>
    </row>
    <row r="612">
      <c r="A612" s="33" t="n"/>
      <c r="B612" s="33">
        <f>IFERROR(IF(A612="","",VLOOKUP(A612,DATABASE!A:B,2,0)),"")</f>
        <v/>
      </c>
      <c r="C612" s="34">
        <f>IFERROR(IF(A612="","",VLOOKUP(A612,DATABASE!A:J,10,0)),"")</f>
        <v/>
      </c>
      <c r="D612" s="35">
        <f>IF(A612="","",TODAY())</f>
        <v/>
      </c>
      <c r="E612" s="34" t="n"/>
      <c r="F612" s="34">
        <f>IFERROR(IF(OR(A612="",E612=""),"",C612+E612),"")</f>
        <v/>
      </c>
      <c r="G612" s="33" t="n"/>
      <c r="H612" s="33" t="n"/>
    </row>
    <row r="613">
      <c r="A613" s="26" t="n"/>
      <c r="B613" s="26">
        <f>IFERROR(IF(A613="","",VLOOKUP(A613,DATABASE!A:B,2,0)),"")</f>
        <v/>
      </c>
      <c r="C613" s="30">
        <f>IFERROR(IF(A613="","",VLOOKUP(A613,DATABASE!A:J,10,0)),"")</f>
        <v/>
      </c>
      <c r="D613" s="31">
        <f>IF(A613="","",TODAY())</f>
        <v/>
      </c>
      <c r="E613" s="30" t="n"/>
      <c r="F613" s="30">
        <f>IFERROR(IF(OR(A613="",E613=""),"",C613+E613),"")</f>
        <v/>
      </c>
      <c r="G613" s="26" t="n"/>
      <c r="H613" s="26" t="n"/>
    </row>
    <row r="614">
      <c r="A614" s="33" t="n"/>
      <c r="B614" s="33">
        <f>IFERROR(IF(A614="","",VLOOKUP(A614,DATABASE!A:B,2,0)),"")</f>
        <v/>
      </c>
      <c r="C614" s="34">
        <f>IFERROR(IF(A614="","",VLOOKUP(A614,DATABASE!A:J,10,0)),"")</f>
        <v/>
      </c>
      <c r="D614" s="35">
        <f>IF(A614="","",TODAY())</f>
        <v/>
      </c>
      <c r="E614" s="34" t="n"/>
      <c r="F614" s="34">
        <f>IFERROR(IF(OR(A614="",E614=""),"",C614+E614),"")</f>
        <v/>
      </c>
      <c r="G614" s="33" t="n"/>
      <c r="H614" s="33" t="n"/>
    </row>
    <row r="615">
      <c r="A615" s="26" t="n"/>
      <c r="B615" s="26">
        <f>IFERROR(IF(A615="","",VLOOKUP(A615,DATABASE!A:B,2,0)),"")</f>
        <v/>
      </c>
      <c r="C615" s="30">
        <f>IFERROR(IF(A615="","",VLOOKUP(A615,DATABASE!A:J,10,0)),"")</f>
        <v/>
      </c>
      <c r="D615" s="31">
        <f>IF(A615="","",TODAY())</f>
        <v/>
      </c>
      <c r="E615" s="30" t="n"/>
      <c r="F615" s="30">
        <f>IFERROR(IF(OR(A615="",E615=""),"",C615+E615),"")</f>
        <v/>
      </c>
      <c r="G615" s="26" t="n"/>
      <c r="H615" s="26" t="n"/>
    </row>
    <row r="616">
      <c r="A616" s="33" t="n"/>
      <c r="B616" s="33">
        <f>IFERROR(IF(A616="","",VLOOKUP(A616,DATABASE!A:B,2,0)),"")</f>
        <v/>
      </c>
      <c r="C616" s="34">
        <f>IFERROR(IF(A616="","",VLOOKUP(A616,DATABASE!A:J,10,0)),"")</f>
        <v/>
      </c>
      <c r="D616" s="35">
        <f>IF(A616="","",TODAY())</f>
        <v/>
      </c>
      <c r="E616" s="34" t="n"/>
      <c r="F616" s="34">
        <f>IFERROR(IF(OR(A616="",E616=""),"",C616+E616),"")</f>
        <v/>
      </c>
      <c r="G616" s="33" t="n"/>
      <c r="H616" s="33" t="n"/>
    </row>
    <row r="617">
      <c r="A617" s="26" t="n"/>
      <c r="B617" s="26">
        <f>IFERROR(IF(A617="","",VLOOKUP(A617,DATABASE!A:B,2,0)),"")</f>
        <v/>
      </c>
      <c r="C617" s="30">
        <f>IFERROR(IF(A617="","",VLOOKUP(A617,DATABASE!A:J,10,0)),"")</f>
        <v/>
      </c>
      <c r="D617" s="31">
        <f>IF(A617="","",TODAY())</f>
        <v/>
      </c>
      <c r="E617" s="30" t="n"/>
      <c r="F617" s="30">
        <f>IFERROR(IF(OR(A617="",E617=""),"",C617+E617),"")</f>
        <v/>
      </c>
      <c r="G617" s="26" t="n"/>
      <c r="H617" s="26" t="n"/>
    </row>
    <row r="618">
      <c r="A618" s="33" t="n"/>
      <c r="B618" s="33">
        <f>IFERROR(IF(A618="","",VLOOKUP(A618,DATABASE!A:B,2,0)),"")</f>
        <v/>
      </c>
      <c r="C618" s="34">
        <f>IFERROR(IF(A618="","",VLOOKUP(A618,DATABASE!A:J,10,0)),"")</f>
        <v/>
      </c>
      <c r="D618" s="35">
        <f>IF(A618="","",TODAY())</f>
        <v/>
      </c>
      <c r="E618" s="34" t="n"/>
      <c r="F618" s="34">
        <f>IFERROR(IF(OR(A618="",E618=""),"",C618+E618),"")</f>
        <v/>
      </c>
      <c r="G618" s="33" t="n"/>
      <c r="H618" s="33" t="n"/>
    </row>
    <row r="619">
      <c r="A619" s="26" t="n"/>
      <c r="B619" s="26">
        <f>IFERROR(IF(A619="","",VLOOKUP(A619,DATABASE!A:B,2,0)),"")</f>
        <v/>
      </c>
      <c r="C619" s="30">
        <f>IFERROR(IF(A619="","",VLOOKUP(A619,DATABASE!A:J,10,0)),"")</f>
        <v/>
      </c>
      <c r="D619" s="31">
        <f>IF(A619="","",TODAY())</f>
        <v/>
      </c>
      <c r="E619" s="30" t="n"/>
      <c r="F619" s="30">
        <f>IFERROR(IF(OR(A619="",E619=""),"",C619+E619),"")</f>
        <v/>
      </c>
      <c r="G619" s="26" t="n"/>
      <c r="H619" s="26" t="n"/>
    </row>
    <row r="620">
      <c r="A620" s="33" t="n"/>
      <c r="B620" s="33">
        <f>IFERROR(IF(A620="","",VLOOKUP(A620,DATABASE!A:B,2,0)),"")</f>
        <v/>
      </c>
      <c r="C620" s="34">
        <f>IFERROR(IF(A620="","",VLOOKUP(A620,DATABASE!A:J,10,0)),"")</f>
        <v/>
      </c>
      <c r="D620" s="35">
        <f>IF(A620="","",TODAY())</f>
        <v/>
      </c>
      <c r="E620" s="34" t="n"/>
      <c r="F620" s="34">
        <f>IFERROR(IF(OR(A620="",E620=""),"",C620+E620),"")</f>
        <v/>
      </c>
      <c r="G620" s="33" t="n"/>
      <c r="H620" s="33" t="n"/>
    </row>
    <row r="621">
      <c r="A621" s="26" t="n"/>
      <c r="B621" s="26">
        <f>IFERROR(IF(A621="","",VLOOKUP(A621,DATABASE!A:B,2,0)),"")</f>
        <v/>
      </c>
      <c r="C621" s="30">
        <f>IFERROR(IF(A621="","",VLOOKUP(A621,DATABASE!A:J,10,0)),"")</f>
        <v/>
      </c>
      <c r="D621" s="31">
        <f>IF(A621="","",TODAY())</f>
        <v/>
      </c>
      <c r="E621" s="30" t="n"/>
      <c r="F621" s="30">
        <f>IFERROR(IF(OR(A621="",E621=""),"",C621+E621),"")</f>
        <v/>
      </c>
      <c r="G621" s="26" t="n"/>
      <c r="H621" s="26" t="n"/>
    </row>
    <row r="622">
      <c r="A622" s="33" t="n"/>
      <c r="B622" s="33">
        <f>IFERROR(IF(A622="","",VLOOKUP(A622,DATABASE!A:B,2,0)),"")</f>
        <v/>
      </c>
      <c r="C622" s="34">
        <f>IFERROR(IF(A622="","",VLOOKUP(A622,DATABASE!A:J,10,0)),"")</f>
        <v/>
      </c>
      <c r="D622" s="35">
        <f>IF(A622="","",TODAY())</f>
        <v/>
      </c>
      <c r="E622" s="34" t="n"/>
      <c r="F622" s="34">
        <f>IFERROR(IF(OR(A622="",E622=""),"",C622+E622),"")</f>
        <v/>
      </c>
      <c r="G622" s="33" t="n"/>
      <c r="H622" s="33" t="n"/>
    </row>
    <row r="623">
      <c r="A623" s="26" t="n"/>
      <c r="B623" s="26">
        <f>IFERROR(IF(A623="","",VLOOKUP(A623,DATABASE!A:B,2,0)),"")</f>
        <v/>
      </c>
      <c r="C623" s="30">
        <f>IFERROR(IF(A623="","",VLOOKUP(A623,DATABASE!A:J,10,0)),"")</f>
        <v/>
      </c>
      <c r="D623" s="31">
        <f>IF(A623="","",TODAY())</f>
        <v/>
      </c>
      <c r="E623" s="30" t="n"/>
      <c r="F623" s="30">
        <f>IFERROR(IF(OR(A623="",E623=""),"",C623+E623),"")</f>
        <v/>
      </c>
      <c r="G623" s="26" t="n"/>
      <c r="H623" s="26" t="n"/>
    </row>
    <row r="624">
      <c r="A624" s="33" t="n"/>
      <c r="B624" s="33">
        <f>IFERROR(IF(A624="","",VLOOKUP(A624,DATABASE!A:B,2,0)),"")</f>
        <v/>
      </c>
      <c r="C624" s="34">
        <f>IFERROR(IF(A624="","",VLOOKUP(A624,DATABASE!A:J,10,0)),"")</f>
        <v/>
      </c>
      <c r="D624" s="35">
        <f>IF(A624="","",TODAY())</f>
        <v/>
      </c>
      <c r="E624" s="34" t="n"/>
      <c r="F624" s="34">
        <f>IFERROR(IF(OR(A624="",E624=""),"",C624+E624),"")</f>
        <v/>
      </c>
      <c r="G624" s="33" t="n"/>
      <c r="H624" s="33" t="n"/>
    </row>
    <row r="625">
      <c r="A625" s="26" t="n"/>
      <c r="B625" s="26">
        <f>IFERROR(IF(A625="","",VLOOKUP(A625,DATABASE!A:B,2,0)),"")</f>
        <v/>
      </c>
      <c r="C625" s="30">
        <f>IFERROR(IF(A625="","",VLOOKUP(A625,DATABASE!A:J,10,0)),"")</f>
        <v/>
      </c>
      <c r="D625" s="31">
        <f>IF(A625="","",TODAY())</f>
        <v/>
      </c>
      <c r="E625" s="30" t="n"/>
      <c r="F625" s="30">
        <f>IFERROR(IF(OR(A625="",E625=""),"",C625+E625),"")</f>
        <v/>
      </c>
      <c r="G625" s="26" t="n"/>
      <c r="H625" s="26" t="n"/>
    </row>
    <row r="626">
      <c r="A626" s="33" t="n"/>
      <c r="B626" s="33">
        <f>IFERROR(IF(A626="","",VLOOKUP(A626,DATABASE!A:B,2,0)),"")</f>
        <v/>
      </c>
      <c r="C626" s="34">
        <f>IFERROR(IF(A626="","",VLOOKUP(A626,DATABASE!A:J,10,0)),"")</f>
        <v/>
      </c>
      <c r="D626" s="35">
        <f>IF(A626="","",TODAY())</f>
        <v/>
      </c>
      <c r="E626" s="34" t="n"/>
      <c r="F626" s="34">
        <f>IFERROR(IF(OR(A626="",E626=""),"",C626+E626),"")</f>
        <v/>
      </c>
      <c r="G626" s="33" t="n"/>
      <c r="H626" s="33" t="n"/>
    </row>
    <row r="627">
      <c r="A627" s="26" t="n"/>
      <c r="B627" s="26">
        <f>IFERROR(IF(A627="","",VLOOKUP(A627,DATABASE!A:B,2,0)),"")</f>
        <v/>
      </c>
      <c r="C627" s="30">
        <f>IFERROR(IF(A627="","",VLOOKUP(A627,DATABASE!A:J,10,0)),"")</f>
        <v/>
      </c>
      <c r="D627" s="31">
        <f>IF(A627="","",TODAY())</f>
        <v/>
      </c>
      <c r="E627" s="30" t="n"/>
      <c r="F627" s="30">
        <f>IFERROR(IF(OR(A627="",E627=""),"",C627+E627),"")</f>
        <v/>
      </c>
      <c r="G627" s="26" t="n"/>
      <c r="H627" s="26" t="n"/>
    </row>
    <row r="628">
      <c r="A628" s="33" t="n"/>
      <c r="B628" s="33">
        <f>IFERROR(IF(A628="","",VLOOKUP(A628,DATABASE!A:B,2,0)),"")</f>
        <v/>
      </c>
      <c r="C628" s="34">
        <f>IFERROR(IF(A628="","",VLOOKUP(A628,DATABASE!A:J,10,0)),"")</f>
        <v/>
      </c>
      <c r="D628" s="35">
        <f>IF(A628="","",TODAY())</f>
        <v/>
      </c>
      <c r="E628" s="34" t="n"/>
      <c r="F628" s="34">
        <f>IFERROR(IF(OR(A628="",E628=""),"",C628+E628),"")</f>
        <v/>
      </c>
      <c r="G628" s="33" t="n"/>
      <c r="H628" s="33" t="n"/>
    </row>
    <row r="629">
      <c r="A629" s="26" t="n"/>
      <c r="B629" s="26">
        <f>IFERROR(IF(A629="","",VLOOKUP(A629,DATABASE!A:B,2,0)),"")</f>
        <v/>
      </c>
      <c r="C629" s="30">
        <f>IFERROR(IF(A629="","",VLOOKUP(A629,DATABASE!A:J,10,0)),"")</f>
        <v/>
      </c>
      <c r="D629" s="31">
        <f>IF(A629="","",TODAY())</f>
        <v/>
      </c>
      <c r="E629" s="30" t="n"/>
      <c r="F629" s="30">
        <f>IFERROR(IF(OR(A629="",E629=""),"",C629+E629),"")</f>
        <v/>
      </c>
      <c r="G629" s="26" t="n"/>
      <c r="H629" s="26" t="n"/>
    </row>
    <row r="630">
      <c r="A630" s="33" t="n"/>
      <c r="B630" s="33">
        <f>IFERROR(IF(A630="","",VLOOKUP(A630,DATABASE!A:B,2,0)),"")</f>
        <v/>
      </c>
      <c r="C630" s="34">
        <f>IFERROR(IF(A630="","",VLOOKUP(A630,DATABASE!A:J,10,0)),"")</f>
        <v/>
      </c>
      <c r="D630" s="35">
        <f>IF(A630="","",TODAY())</f>
        <v/>
      </c>
      <c r="E630" s="34" t="n"/>
      <c r="F630" s="34">
        <f>IFERROR(IF(OR(A630="",E630=""),"",C630+E630),"")</f>
        <v/>
      </c>
      <c r="G630" s="33" t="n"/>
      <c r="H630" s="33" t="n"/>
    </row>
    <row r="631">
      <c r="A631" s="26" t="n"/>
      <c r="B631" s="26">
        <f>IFERROR(IF(A631="","",VLOOKUP(A631,DATABASE!A:B,2,0)),"")</f>
        <v/>
      </c>
      <c r="C631" s="30">
        <f>IFERROR(IF(A631="","",VLOOKUP(A631,DATABASE!A:J,10,0)),"")</f>
        <v/>
      </c>
      <c r="D631" s="31">
        <f>IF(A631="","",TODAY())</f>
        <v/>
      </c>
      <c r="E631" s="30" t="n"/>
      <c r="F631" s="30">
        <f>IFERROR(IF(OR(A631="",E631=""),"",C631+E631),"")</f>
        <v/>
      </c>
      <c r="G631" s="26" t="n"/>
      <c r="H631" s="26" t="n"/>
    </row>
    <row r="632">
      <c r="A632" s="33" t="n"/>
      <c r="B632" s="33">
        <f>IFERROR(IF(A632="","",VLOOKUP(A632,DATABASE!A:B,2,0)),"")</f>
        <v/>
      </c>
      <c r="C632" s="34">
        <f>IFERROR(IF(A632="","",VLOOKUP(A632,DATABASE!A:J,10,0)),"")</f>
        <v/>
      </c>
      <c r="D632" s="35">
        <f>IF(A632="","",TODAY())</f>
        <v/>
      </c>
      <c r="E632" s="34" t="n"/>
      <c r="F632" s="34">
        <f>IFERROR(IF(OR(A632="",E632=""),"",C632+E632),"")</f>
        <v/>
      </c>
      <c r="G632" s="33" t="n"/>
      <c r="H632" s="33" t="n"/>
    </row>
    <row r="633">
      <c r="A633" s="26" t="n"/>
      <c r="B633" s="26">
        <f>IFERROR(IF(A633="","",VLOOKUP(A633,DATABASE!A:B,2,0)),"")</f>
        <v/>
      </c>
      <c r="C633" s="30">
        <f>IFERROR(IF(A633="","",VLOOKUP(A633,DATABASE!A:J,10,0)),"")</f>
        <v/>
      </c>
      <c r="D633" s="31">
        <f>IF(A633="","",TODAY())</f>
        <v/>
      </c>
      <c r="E633" s="30" t="n"/>
      <c r="F633" s="30">
        <f>IFERROR(IF(OR(A633="",E633=""),"",C633+E633),"")</f>
        <v/>
      </c>
      <c r="G633" s="26" t="n"/>
      <c r="H633" s="26" t="n"/>
    </row>
    <row r="634">
      <c r="A634" s="33" t="n"/>
      <c r="B634" s="33">
        <f>IFERROR(IF(A634="","",VLOOKUP(A634,DATABASE!A:B,2,0)),"")</f>
        <v/>
      </c>
      <c r="C634" s="34">
        <f>IFERROR(IF(A634="","",VLOOKUP(A634,DATABASE!A:J,10,0)),"")</f>
        <v/>
      </c>
      <c r="D634" s="35">
        <f>IF(A634="","",TODAY())</f>
        <v/>
      </c>
      <c r="E634" s="34" t="n"/>
      <c r="F634" s="34">
        <f>IFERROR(IF(OR(A634="",E634=""),"",C634+E634),"")</f>
        <v/>
      </c>
      <c r="G634" s="33" t="n"/>
      <c r="H634" s="33" t="n"/>
    </row>
    <row r="635">
      <c r="A635" s="26" t="n"/>
      <c r="B635" s="26">
        <f>IFERROR(IF(A635="","",VLOOKUP(A635,DATABASE!A:B,2,0)),"")</f>
        <v/>
      </c>
      <c r="C635" s="30">
        <f>IFERROR(IF(A635="","",VLOOKUP(A635,DATABASE!A:J,10,0)),"")</f>
        <v/>
      </c>
      <c r="D635" s="31">
        <f>IF(A635="","",TODAY())</f>
        <v/>
      </c>
      <c r="E635" s="30" t="n"/>
      <c r="F635" s="30">
        <f>IFERROR(IF(OR(A635="",E635=""),"",C635+E635),"")</f>
        <v/>
      </c>
      <c r="G635" s="26" t="n"/>
      <c r="H635" s="26" t="n"/>
    </row>
    <row r="636">
      <c r="A636" s="33" t="n"/>
      <c r="B636" s="33">
        <f>IFERROR(IF(A636="","",VLOOKUP(A636,DATABASE!A:B,2,0)),"")</f>
        <v/>
      </c>
      <c r="C636" s="34">
        <f>IFERROR(IF(A636="","",VLOOKUP(A636,DATABASE!A:J,10,0)),"")</f>
        <v/>
      </c>
      <c r="D636" s="35">
        <f>IF(A636="","",TODAY())</f>
        <v/>
      </c>
      <c r="E636" s="34" t="n"/>
      <c r="F636" s="34">
        <f>IFERROR(IF(OR(A636="",E636=""),"",C636+E636),"")</f>
        <v/>
      </c>
      <c r="G636" s="33" t="n"/>
      <c r="H636" s="33" t="n"/>
    </row>
    <row r="637">
      <c r="A637" s="26" t="n"/>
      <c r="B637" s="26">
        <f>IFERROR(IF(A637="","",VLOOKUP(A637,DATABASE!A:B,2,0)),"")</f>
        <v/>
      </c>
      <c r="C637" s="30">
        <f>IFERROR(IF(A637="","",VLOOKUP(A637,DATABASE!A:J,10,0)),"")</f>
        <v/>
      </c>
      <c r="D637" s="31">
        <f>IF(A637="","",TODAY())</f>
        <v/>
      </c>
      <c r="E637" s="30" t="n"/>
      <c r="F637" s="30">
        <f>IFERROR(IF(OR(A637="",E637=""),"",C637+E637),"")</f>
        <v/>
      </c>
      <c r="G637" s="26" t="n"/>
      <c r="H637" s="26" t="n"/>
    </row>
    <row r="638">
      <c r="A638" s="33" t="n"/>
      <c r="B638" s="33">
        <f>IFERROR(IF(A638="","",VLOOKUP(A638,DATABASE!A:B,2,0)),"")</f>
        <v/>
      </c>
      <c r="C638" s="34">
        <f>IFERROR(IF(A638="","",VLOOKUP(A638,DATABASE!A:J,10,0)),"")</f>
        <v/>
      </c>
      <c r="D638" s="35">
        <f>IF(A638="","",TODAY())</f>
        <v/>
      </c>
      <c r="E638" s="34" t="n"/>
      <c r="F638" s="34">
        <f>IFERROR(IF(OR(A638="",E638=""),"",C638+E638),"")</f>
        <v/>
      </c>
      <c r="G638" s="33" t="n"/>
      <c r="H638" s="33" t="n"/>
    </row>
    <row r="639">
      <c r="A639" s="26" t="n"/>
      <c r="B639" s="26">
        <f>IFERROR(IF(A639="","",VLOOKUP(A639,DATABASE!A:B,2,0)),"")</f>
        <v/>
      </c>
      <c r="C639" s="30">
        <f>IFERROR(IF(A639="","",VLOOKUP(A639,DATABASE!A:J,10,0)),"")</f>
        <v/>
      </c>
      <c r="D639" s="31">
        <f>IF(A639="","",TODAY())</f>
        <v/>
      </c>
      <c r="E639" s="30" t="n"/>
      <c r="F639" s="30">
        <f>IFERROR(IF(OR(A639="",E639=""),"",C639+E639),"")</f>
        <v/>
      </c>
      <c r="G639" s="26" t="n"/>
      <c r="H639" s="26" t="n"/>
    </row>
    <row r="640">
      <c r="A640" s="33" t="n"/>
      <c r="B640" s="33">
        <f>IFERROR(IF(A640="","",VLOOKUP(A640,DATABASE!A:B,2,0)),"")</f>
        <v/>
      </c>
      <c r="C640" s="34">
        <f>IFERROR(IF(A640="","",VLOOKUP(A640,DATABASE!A:J,10,0)),"")</f>
        <v/>
      </c>
      <c r="D640" s="35">
        <f>IF(A640="","",TODAY())</f>
        <v/>
      </c>
      <c r="E640" s="34" t="n"/>
      <c r="F640" s="34">
        <f>IFERROR(IF(OR(A640="",E640=""),"",C640+E640),"")</f>
        <v/>
      </c>
      <c r="G640" s="33" t="n"/>
      <c r="H640" s="33" t="n"/>
    </row>
    <row r="641">
      <c r="A641" s="26" t="n"/>
      <c r="B641" s="26">
        <f>IFERROR(IF(A641="","",VLOOKUP(A641,DATABASE!A:B,2,0)),"")</f>
        <v/>
      </c>
      <c r="C641" s="30">
        <f>IFERROR(IF(A641="","",VLOOKUP(A641,DATABASE!A:J,10,0)),"")</f>
        <v/>
      </c>
      <c r="D641" s="31">
        <f>IF(A641="","",TODAY())</f>
        <v/>
      </c>
      <c r="E641" s="30" t="n"/>
      <c r="F641" s="30">
        <f>IFERROR(IF(OR(A641="",E641=""),"",C641+E641),"")</f>
        <v/>
      </c>
      <c r="G641" s="26" t="n"/>
      <c r="H641" s="26" t="n"/>
    </row>
    <row r="642">
      <c r="A642" s="33" t="n"/>
      <c r="B642" s="33">
        <f>IFERROR(IF(A642="","",VLOOKUP(A642,DATABASE!A:B,2,0)),"")</f>
        <v/>
      </c>
      <c r="C642" s="34">
        <f>IFERROR(IF(A642="","",VLOOKUP(A642,DATABASE!A:J,10,0)),"")</f>
        <v/>
      </c>
      <c r="D642" s="35">
        <f>IF(A642="","",TODAY())</f>
        <v/>
      </c>
      <c r="E642" s="34" t="n"/>
      <c r="F642" s="34">
        <f>IFERROR(IF(OR(A642="",E642=""),"",C642+E642),"")</f>
        <v/>
      </c>
      <c r="G642" s="33" t="n"/>
      <c r="H642" s="33" t="n"/>
    </row>
    <row r="643">
      <c r="A643" s="26" t="n"/>
      <c r="B643" s="26">
        <f>IFERROR(IF(A643="","",VLOOKUP(A643,DATABASE!A:B,2,0)),"")</f>
        <v/>
      </c>
      <c r="C643" s="30">
        <f>IFERROR(IF(A643="","",VLOOKUP(A643,DATABASE!A:J,10,0)),"")</f>
        <v/>
      </c>
      <c r="D643" s="31">
        <f>IF(A643="","",TODAY())</f>
        <v/>
      </c>
      <c r="E643" s="30" t="n"/>
      <c r="F643" s="30">
        <f>IFERROR(IF(OR(A643="",E643=""),"",C643+E643),"")</f>
        <v/>
      </c>
      <c r="G643" s="26" t="n"/>
      <c r="H643" s="26" t="n"/>
    </row>
    <row r="644">
      <c r="A644" s="33" t="n"/>
      <c r="B644" s="33">
        <f>IFERROR(IF(A644="","",VLOOKUP(A644,DATABASE!A:B,2,0)),"")</f>
        <v/>
      </c>
      <c r="C644" s="34">
        <f>IFERROR(IF(A644="","",VLOOKUP(A644,DATABASE!A:J,10,0)),"")</f>
        <v/>
      </c>
      <c r="D644" s="35">
        <f>IF(A644="","",TODAY())</f>
        <v/>
      </c>
      <c r="E644" s="34" t="n"/>
      <c r="F644" s="34">
        <f>IFERROR(IF(OR(A644="",E644=""),"",C644+E644),"")</f>
        <v/>
      </c>
      <c r="G644" s="33" t="n"/>
      <c r="H644" s="33" t="n"/>
    </row>
    <row r="645">
      <c r="A645" s="26" t="n"/>
      <c r="B645" s="26">
        <f>IFERROR(IF(A645="","",VLOOKUP(A645,DATABASE!A:B,2,0)),"")</f>
        <v/>
      </c>
      <c r="C645" s="30">
        <f>IFERROR(IF(A645="","",VLOOKUP(A645,DATABASE!A:J,10,0)),"")</f>
        <v/>
      </c>
      <c r="D645" s="31">
        <f>IF(A645="","",TODAY())</f>
        <v/>
      </c>
      <c r="E645" s="30" t="n"/>
      <c r="F645" s="30">
        <f>IFERROR(IF(OR(A645="",E645=""),"",C645+E645),"")</f>
        <v/>
      </c>
      <c r="G645" s="26" t="n"/>
      <c r="H645" s="26" t="n"/>
    </row>
    <row r="646">
      <c r="A646" s="33" t="n"/>
      <c r="B646" s="33">
        <f>IFERROR(IF(A646="","",VLOOKUP(A646,DATABASE!A:B,2,0)),"")</f>
        <v/>
      </c>
      <c r="C646" s="34">
        <f>IFERROR(IF(A646="","",VLOOKUP(A646,DATABASE!A:J,10,0)),"")</f>
        <v/>
      </c>
      <c r="D646" s="35">
        <f>IF(A646="","",TODAY())</f>
        <v/>
      </c>
      <c r="E646" s="34" t="n"/>
      <c r="F646" s="34">
        <f>IFERROR(IF(OR(A646="",E646=""),"",C646+E646),"")</f>
        <v/>
      </c>
      <c r="G646" s="33" t="n"/>
      <c r="H646" s="33" t="n"/>
    </row>
    <row r="647">
      <c r="A647" s="26" t="n"/>
      <c r="B647" s="26">
        <f>IFERROR(IF(A647="","",VLOOKUP(A647,DATABASE!A:B,2,0)),"")</f>
        <v/>
      </c>
      <c r="C647" s="30">
        <f>IFERROR(IF(A647="","",VLOOKUP(A647,DATABASE!A:J,10,0)),"")</f>
        <v/>
      </c>
      <c r="D647" s="31">
        <f>IF(A647="","",TODAY())</f>
        <v/>
      </c>
      <c r="E647" s="30" t="n"/>
      <c r="F647" s="30">
        <f>IFERROR(IF(OR(A647="",E647=""),"",C647+E647),"")</f>
        <v/>
      </c>
      <c r="G647" s="26" t="n"/>
      <c r="H647" s="26" t="n"/>
    </row>
    <row r="648">
      <c r="A648" s="33" t="n"/>
      <c r="B648" s="33">
        <f>IFERROR(IF(A648="","",VLOOKUP(A648,DATABASE!A:B,2,0)),"")</f>
        <v/>
      </c>
      <c r="C648" s="34">
        <f>IFERROR(IF(A648="","",VLOOKUP(A648,DATABASE!A:J,10,0)),"")</f>
        <v/>
      </c>
      <c r="D648" s="35">
        <f>IF(A648="","",TODAY())</f>
        <v/>
      </c>
      <c r="E648" s="34" t="n"/>
      <c r="F648" s="34">
        <f>IFERROR(IF(OR(A648="",E648=""),"",C648+E648),"")</f>
        <v/>
      </c>
      <c r="G648" s="33" t="n"/>
      <c r="H648" s="33" t="n"/>
    </row>
    <row r="649">
      <c r="A649" s="26" t="n"/>
      <c r="B649" s="26">
        <f>IFERROR(IF(A649="","",VLOOKUP(A649,DATABASE!A:B,2,0)),"")</f>
        <v/>
      </c>
      <c r="C649" s="30">
        <f>IFERROR(IF(A649="","",VLOOKUP(A649,DATABASE!A:J,10,0)),"")</f>
        <v/>
      </c>
      <c r="D649" s="31">
        <f>IF(A649="","",TODAY())</f>
        <v/>
      </c>
      <c r="E649" s="30" t="n"/>
      <c r="F649" s="30">
        <f>IFERROR(IF(OR(A649="",E649=""),"",C649+E649),"")</f>
        <v/>
      </c>
      <c r="G649" s="26" t="n"/>
      <c r="H649" s="26" t="n"/>
    </row>
    <row r="650">
      <c r="A650" s="33" t="n"/>
      <c r="B650" s="33">
        <f>IFERROR(IF(A650="","",VLOOKUP(A650,DATABASE!A:B,2,0)),"")</f>
        <v/>
      </c>
      <c r="C650" s="34">
        <f>IFERROR(IF(A650="","",VLOOKUP(A650,DATABASE!A:J,10,0)),"")</f>
        <v/>
      </c>
      <c r="D650" s="35">
        <f>IF(A650="","",TODAY())</f>
        <v/>
      </c>
      <c r="E650" s="34" t="n"/>
      <c r="F650" s="34">
        <f>IFERROR(IF(OR(A650="",E650=""),"",C650+E650),"")</f>
        <v/>
      </c>
      <c r="G650" s="33" t="n"/>
      <c r="H650" s="33" t="n"/>
    </row>
    <row r="651">
      <c r="A651" s="26" t="n"/>
      <c r="B651" s="26">
        <f>IFERROR(IF(A651="","",VLOOKUP(A651,DATABASE!A:B,2,0)),"")</f>
        <v/>
      </c>
      <c r="C651" s="30">
        <f>IFERROR(IF(A651="","",VLOOKUP(A651,DATABASE!A:J,10,0)),"")</f>
        <v/>
      </c>
      <c r="D651" s="31">
        <f>IF(A651="","",TODAY())</f>
        <v/>
      </c>
      <c r="E651" s="30" t="n"/>
      <c r="F651" s="30">
        <f>IFERROR(IF(OR(A651="",E651=""),"",C651+E651),"")</f>
        <v/>
      </c>
      <c r="G651" s="26" t="n"/>
      <c r="H651" s="26" t="n"/>
    </row>
    <row r="652">
      <c r="A652" s="33" t="n"/>
      <c r="B652" s="33">
        <f>IFERROR(IF(A652="","",VLOOKUP(A652,DATABASE!A:B,2,0)),"")</f>
        <v/>
      </c>
      <c r="C652" s="34">
        <f>IFERROR(IF(A652="","",VLOOKUP(A652,DATABASE!A:J,10,0)),"")</f>
        <v/>
      </c>
      <c r="D652" s="35">
        <f>IF(A652="","",TODAY())</f>
        <v/>
      </c>
      <c r="E652" s="34" t="n"/>
      <c r="F652" s="34">
        <f>IFERROR(IF(OR(A652="",E652=""),"",C652+E652),"")</f>
        <v/>
      </c>
      <c r="G652" s="33" t="n"/>
      <c r="H652" s="33" t="n"/>
    </row>
    <row r="653">
      <c r="A653" s="26" t="n"/>
      <c r="B653" s="26">
        <f>IFERROR(IF(A653="","",VLOOKUP(A653,DATABASE!A:B,2,0)),"")</f>
        <v/>
      </c>
      <c r="C653" s="30">
        <f>IFERROR(IF(A653="","",VLOOKUP(A653,DATABASE!A:J,10,0)),"")</f>
        <v/>
      </c>
      <c r="D653" s="31">
        <f>IF(A653="","",TODAY())</f>
        <v/>
      </c>
      <c r="E653" s="30" t="n"/>
      <c r="F653" s="30">
        <f>IFERROR(IF(OR(A653="",E653=""),"",C653+E653),"")</f>
        <v/>
      </c>
      <c r="G653" s="26" t="n"/>
      <c r="H653" s="26" t="n"/>
    </row>
    <row r="654">
      <c r="A654" s="33" t="n"/>
      <c r="B654" s="33">
        <f>IFERROR(IF(A654="","",VLOOKUP(A654,DATABASE!A:B,2,0)),"")</f>
        <v/>
      </c>
      <c r="C654" s="34">
        <f>IFERROR(IF(A654="","",VLOOKUP(A654,DATABASE!A:J,10,0)),"")</f>
        <v/>
      </c>
      <c r="D654" s="35">
        <f>IF(A654="","",TODAY())</f>
        <v/>
      </c>
      <c r="E654" s="34" t="n"/>
      <c r="F654" s="34">
        <f>IFERROR(IF(OR(A654="",E654=""),"",C654+E654),"")</f>
        <v/>
      </c>
      <c r="G654" s="33" t="n"/>
      <c r="H654" s="33" t="n"/>
    </row>
    <row r="655">
      <c r="A655" s="26" t="n"/>
      <c r="B655" s="26">
        <f>IFERROR(IF(A655="","",VLOOKUP(A655,DATABASE!A:B,2,0)),"")</f>
        <v/>
      </c>
      <c r="C655" s="30">
        <f>IFERROR(IF(A655="","",VLOOKUP(A655,DATABASE!A:J,10,0)),"")</f>
        <v/>
      </c>
      <c r="D655" s="31">
        <f>IF(A655="","",TODAY())</f>
        <v/>
      </c>
      <c r="E655" s="30" t="n"/>
      <c r="F655" s="30">
        <f>IFERROR(IF(OR(A655="",E655=""),"",C655+E655),"")</f>
        <v/>
      </c>
      <c r="G655" s="26" t="n"/>
      <c r="H655" s="26" t="n"/>
    </row>
    <row r="656">
      <c r="A656" s="33" t="n"/>
      <c r="B656" s="33">
        <f>IFERROR(IF(A656="","",VLOOKUP(A656,DATABASE!A:B,2,0)),"")</f>
        <v/>
      </c>
      <c r="C656" s="34">
        <f>IFERROR(IF(A656="","",VLOOKUP(A656,DATABASE!A:J,10,0)),"")</f>
        <v/>
      </c>
      <c r="D656" s="35">
        <f>IF(A656="","",TODAY())</f>
        <v/>
      </c>
      <c r="E656" s="34" t="n"/>
      <c r="F656" s="34">
        <f>IFERROR(IF(OR(A656="",E656=""),"",C656+E656),"")</f>
        <v/>
      </c>
      <c r="G656" s="33" t="n"/>
      <c r="H656" s="33" t="n"/>
    </row>
    <row r="657">
      <c r="A657" s="26" t="n"/>
      <c r="B657" s="26">
        <f>IFERROR(IF(A657="","",VLOOKUP(A657,DATABASE!A:B,2,0)),"")</f>
        <v/>
      </c>
      <c r="C657" s="30">
        <f>IFERROR(IF(A657="","",VLOOKUP(A657,DATABASE!A:J,10,0)),"")</f>
        <v/>
      </c>
      <c r="D657" s="31">
        <f>IF(A657="","",TODAY())</f>
        <v/>
      </c>
      <c r="E657" s="30" t="n"/>
      <c r="F657" s="30">
        <f>IFERROR(IF(OR(A657="",E657=""),"",C657+E657),"")</f>
        <v/>
      </c>
      <c r="G657" s="26" t="n"/>
      <c r="H657" s="26" t="n"/>
    </row>
    <row r="658">
      <c r="A658" s="33" t="n"/>
      <c r="B658" s="33">
        <f>IFERROR(IF(A658="","",VLOOKUP(A658,DATABASE!A:B,2,0)),"")</f>
        <v/>
      </c>
      <c r="C658" s="34">
        <f>IFERROR(IF(A658="","",VLOOKUP(A658,DATABASE!A:J,10,0)),"")</f>
        <v/>
      </c>
      <c r="D658" s="35">
        <f>IF(A658="","",TODAY())</f>
        <v/>
      </c>
      <c r="E658" s="34" t="n"/>
      <c r="F658" s="34">
        <f>IFERROR(IF(OR(A658="",E658=""),"",C658+E658),"")</f>
        <v/>
      </c>
      <c r="G658" s="33" t="n"/>
      <c r="H658" s="33" t="n"/>
    </row>
    <row r="659">
      <c r="A659" s="26" t="n"/>
      <c r="B659" s="26">
        <f>IFERROR(IF(A659="","",VLOOKUP(A659,DATABASE!A:B,2,0)),"")</f>
        <v/>
      </c>
      <c r="C659" s="30">
        <f>IFERROR(IF(A659="","",VLOOKUP(A659,DATABASE!A:J,10,0)),"")</f>
        <v/>
      </c>
      <c r="D659" s="31">
        <f>IF(A659="","",TODAY())</f>
        <v/>
      </c>
      <c r="E659" s="30" t="n"/>
      <c r="F659" s="30">
        <f>IFERROR(IF(OR(A659="",E659=""),"",C659+E659),"")</f>
        <v/>
      </c>
      <c r="G659" s="26" t="n"/>
      <c r="H659" s="26" t="n"/>
    </row>
    <row r="660">
      <c r="A660" s="33" t="n"/>
      <c r="B660" s="33">
        <f>IFERROR(IF(A660="","",VLOOKUP(A660,DATABASE!A:B,2,0)),"")</f>
        <v/>
      </c>
      <c r="C660" s="34">
        <f>IFERROR(IF(A660="","",VLOOKUP(A660,DATABASE!A:J,10,0)),"")</f>
        <v/>
      </c>
      <c r="D660" s="35">
        <f>IF(A660="","",TODAY())</f>
        <v/>
      </c>
      <c r="E660" s="34" t="n"/>
      <c r="F660" s="34">
        <f>IFERROR(IF(OR(A660="",E660=""),"",C660+E660),"")</f>
        <v/>
      </c>
      <c r="G660" s="33" t="n"/>
      <c r="H660" s="33" t="n"/>
    </row>
    <row r="661">
      <c r="A661" s="26" t="n"/>
      <c r="B661" s="26">
        <f>IFERROR(IF(A661="","",VLOOKUP(A661,DATABASE!A:B,2,0)),"")</f>
        <v/>
      </c>
      <c r="C661" s="30">
        <f>IFERROR(IF(A661="","",VLOOKUP(A661,DATABASE!A:J,10,0)),"")</f>
        <v/>
      </c>
      <c r="D661" s="31">
        <f>IF(A661="","",TODAY())</f>
        <v/>
      </c>
      <c r="E661" s="30" t="n"/>
      <c r="F661" s="30">
        <f>IFERROR(IF(OR(A661="",E661=""),"",C661+E661),"")</f>
        <v/>
      </c>
      <c r="G661" s="26" t="n"/>
      <c r="H661" s="26" t="n"/>
    </row>
    <row r="662">
      <c r="A662" s="33" t="n"/>
      <c r="B662" s="33">
        <f>IFERROR(IF(A662="","",VLOOKUP(A662,DATABASE!A:B,2,0)),"")</f>
        <v/>
      </c>
      <c r="C662" s="34">
        <f>IFERROR(IF(A662="","",VLOOKUP(A662,DATABASE!A:J,10,0)),"")</f>
        <v/>
      </c>
      <c r="D662" s="35">
        <f>IF(A662="","",TODAY())</f>
        <v/>
      </c>
      <c r="E662" s="34" t="n"/>
      <c r="F662" s="34">
        <f>IFERROR(IF(OR(A662="",E662=""),"",C662+E662),"")</f>
        <v/>
      </c>
      <c r="G662" s="33" t="n"/>
      <c r="H662" s="33" t="n"/>
    </row>
    <row r="663">
      <c r="A663" s="26" t="n"/>
      <c r="B663" s="26">
        <f>IFERROR(IF(A663="","",VLOOKUP(A663,DATABASE!A:B,2,0)),"")</f>
        <v/>
      </c>
      <c r="C663" s="30">
        <f>IFERROR(IF(A663="","",VLOOKUP(A663,DATABASE!A:J,10,0)),"")</f>
        <v/>
      </c>
      <c r="D663" s="31">
        <f>IF(A663="","",TODAY())</f>
        <v/>
      </c>
      <c r="E663" s="30" t="n"/>
      <c r="F663" s="30">
        <f>IFERROR(IF(OR(A663="",E663=""),"",C663+E663),"")</f>
        <v/>
      </c>
      <c r="G663" s="26" t="n"/>
      <c r="H663" s="26" t="n"/>
    </row>
    <row r="664">
      <c r="A664" s="33" t="n"/>
      <c r="B664" s="33">
        <f>IFERROR(IF(A664="","",VLOOKUP(A664,DATABASE!A:B,2,0)),"")</f>
        <v/>
      </c>
      <c r="C664" s="34">
        <f>IFERROR(IF(A664="","",VLOOKUP(A664,DATABASE!A:J,10,0)),"")</f>
        <v/>
      </c>
      <c r="D664" s="35">
        <f>IF(A664="","",TODAY())</f>
        <v/>
      </c>
      <c r="E664" s="34" t="n"/>
      <c r="F664" s="34">
        <f>IFERROR(IF(OR(A664="",E664=""),"",C664+E664),"")</f>
        <v/>
      </c>
      <c r="G664" s="33" t="n"/>
      <c r="H664" s="33" t="n"/>
    </row>
    <row r="665">
      <c r="A665" s="26" t="n"/>
      <c r="B665" s="26">
        <f>IFERROR(IF(A665="","",VLOOKUP(A665,DATABASE!A:B,2,0)),"")</f>
        <v/>
      </c>
      <c r="C665" s="30">
        <f>IFERROR(IF(A665="","",VLOOKUP(A665,DATABASE!A:J,10,0)),"")</f>
        <v/>
      </c>
      <c r="D665" s="31">
        <f>IF(A665="","",TODAY())</f>
        <v/>
      </c>
      <c r="E665" s="30" t="n"/>
      <c r="F665" s="30">
        <f>IFERROR(IF(OR(A665="",E665=""),"",C665+E665),"")</f>
        <v/>
      </c>
      <c r="G665" s="26" t="n"/>
      <c r="H665" s="26" t="n"/>
    </row>
    <row r="666">
      <c r="A666" s="33" t="n"/>
      <c r="B666" s="33">
        <f>IFERROR(IF(A666="","",VLOOKUP(A666,DATABASE!A:B,2,0)),"")</f>
        <v/>
      </c>
      <c r="C666" s="34">
        <f>IFERROR(IF(A666="","",VLOOKUP(A666,DATABASE!A:J,10,0)),"")</f>
        <v/>
      </c>
      <c r="D666" s="35">
        <f>IF(A666="","",TODAY())</f>
        <v/>
      </c>
      <c r="E666" s="34" t="n"/>
      <c r="F666" s="34">
        <f>IFERROR(IF(OR(A666="",E666=""),"",C666+E666),"")</f>
        <v/>
      </c>
      <c r="G666" s="33" t="n"/>
      <c r="H666" s="33" t="n"/>
    </row>
    <row r="667">
      <c r="A667" s="26" t="n"/>
      <c r="B667" s="26">
        <f>IFERROR(IF(A667="","",VLOOKUP(A667,DATABASE!A:B,2,0)),"")</f>
        <v/>
      </c>
      <c r="C667" s="30">
        <f>IFERROR(IF(A667="","",VLOOKUP(A667,DATABASE!A:J,10,0)),"")</f>
        <v/>
      </c>
      <c r="D667" s="31">
        <f>IF(A667="","",TODAY())</f>
        <v/>
      </c>
      <c r="E667" s="30" t="n"/>
      <c r="F667" s="30">
        <f>IFERROR(IF(OR(A667="",E667=""),"",C667+E667),"")</f>
        <v/>
      </c>
      <c r="G667" s="26" t="n"/>
      <c r="H667" s="26" t="n"/>
    </row>
    <row r="668">
      <c r="A668" s="33" t="n"/>
      <c r="B668" s="33">
        <f>IFERROR(IF(A668="","",VLOOKUP(A668,DATABASE!A:B,2,0)),"")</f>
        <v/>
      </c>
      <c r="C668" s="34">
        <f>IFERROR(IF(A668="","",VLOOKUP(A668,DATABASE!A:J,10,0)),"")</f>
        <v/>
      </c>
      <c r="D668" s="35">
        <f>IF(A668="","",TODAY())</f>
        <v/>
      </c>
      <c r="E668" s="34" t="n"/>
      <c r="F668" s="34">
        <f>IFERROR(IF(OR(A668="",E668=""),"",C668+E668),"")</f>
        <v/>
      </c>
      <c r="G668" s="33" t="n"/>
      <c r="H668" s="33" t="n"/>
    </row>
    <row r="669">
      <c r="A669" s="26" t="n"/>
      <c r="B669" s="26">
        <f>IFERROR(IF(A669="","",VLOOKUP(A669,DATABASE!A:B,2,0)),"")</f>
        <v/>
      </c>
      <c r="C669" s="30">
        <f>IFERROR(IF(A669="","",VLOOKUP(A669,DATABASE!A:J,10,0)),"")</f>
        <v/>
      </c>
      <c r="D669" s="31">
        <f>IF(A669="","",TODAY())</f>
        <v/>
      </c>
      <c r="E669" s="30" t="n"/>
      <c r="F669" s="30">
        <f>IFERROR(IF(OR(A669="",E669=""),"",C669+E669),"")</f>
        <v/>
      </c>
      <c r="G669" s="26" t="n"/>
      <c r="H669" s="26" t="n"/>
    </row>
    <row r="670">
      <c r="A670" s="33" t="n"/>
      <c r="B670" s="33">
        <f>IFERROR(IF(A670="","",VLOOKUP(A670,DATABASE!A:B,2,0)),"")</f>
        <v/>
      </c>
      <c r="C670" s="34">
        <f>IFERROR(IF(A670="","",VLOOKUP(A670,DATABASE!A:J,10,0)),"")</f>
        <v/>
      </c>
      <c r="D670" s="35">
        <f>IF(A670="","",TODAY())</f>
        <v/>
      </c>
      <c r="E670" s="34" t="n"/>
      <c r="F670" s="34">
        <f>IFERROR(IF(OR(A670="",E670=""),"",C670+E670),"")</f>
        <v/>
      </c>
      <c r="G670" s="33" t="n"/>
      <c r="H670" s="33" t="n"/>
    </row>
    <row r="671">
      <c r="A671" s="26" t="n"/>
      <c r="B671" s="26">
        <f>IFERROR(IF(A671="","",VLOOKUP(A671,DATABASE!A:B,2,0)),"")</f>
        <v/>
      </c>
      <c r="C671" s="30">
        <f>IFERROR(IF(A671="","",VLOOKUP(A671,DATABASE!A:J,10,0)),"")</f>
        <v/>
      </c>
      <c r="D671" s="31">
        <f>IF(A671="","",TODAY())</f>
        <v/>
      </c>
      <c r="E671" s="30" t="n"/>
      <c r="F671" s="30">
        <f>IFERROR(IF(OR(A671="",E671=""),"",C671+E671),"")</f>
        <v/>
      </c>
      <c r="G671" s="26" t="n"/>
      <c r="H671" s="26" t="n"/>
    </row>
    <row r="672">
      <c r="A672" s="33" t="n"/>
      <c r="B672" s="33">
        <f>IFERROR(IF(A672="","",VLOOKUP(A672,DATABASE!A:B,2,0)),"")</f>
        <v/>
      </c>
      <c r="C672" s="34">
        <f>IFERROR(IF(A672="","",VLOOKUP(A672,DATABASE!A:J,10,0)),"")</f>
        <v/>
      </c>
      <c r="D672" s="35">
        <f>IF(A672="","",TODAY())</f>
        <v/>
      </c>
      <c r="E672" s="34" t="n"/>
      <c r="F672" s="34">
        <f>IFERROR(IF(OR(A672="",E672=""),"",C672+E672),"")</f>
        <v/>
      </c>
      <c r="G672" s="33" t="n"/>
      <c r="H672" s="33" t="n"/>
    </row>
    <row r="673">
      <c r="A673" s="26" t="n"/>
      <c r="B673" s="26">
        <f>IFERROR(IF(A673="","",VLOOKUP(A673,DATABASE!A:B,2,0)),"")</f>
        <v/>
      </c>
      <c r="C673" s="30">
        <f>IFERROR(IF(A673="","",VLOOKUP(A673,DATABASE!A:J,10,0)),"")</f>
        <v/>
      </c>
      <c r="D673" s="31">
        <f>IF(A673="","",TODAY())</f>
        <v/>
      </c>
      <c r="E673" s="30" t="n"/>
      <c r="F673" s="30">
        <f>IFERROR(IF(OR(A673="",E673=""),"",C673+E673),"")</f>
        <v/>
      </c>
      <c r="G673" s="26" t="n"/>
      <c r="H673" s="26" t="n"/>
    </row>
    <row r="674">
      <c r="A674" s="33" t="n"/>
      <c r="B674" s="33">
        <f>IFERROR(IF(A674="","",VLOOKUP(A674,DATABASE!A:B,2,0)),"")</f>
        <v/>
      </c>
      <c r="C674" s="34">
        <f>IFERROR(IF(A674="","",VLOOKUP(A674,DATABASE!A:J,10,0)),"")</f>
        <v/>
      </c>
      <c r="D674" s="35">
        <f>IF(A674="","",TODAY())</f>
        <v/>
      </c>
      <c r="E674" s="34" t="n"/>
      <c r="F674" s="34">
        <f>IFERROR(IF(OR(A674="",E674=""),"",C674+E674),"")</f>
        <v/>
      </c>
      <c r="G674" s="33" t="n"/>
      <c r="H674" s="33" t="n"/>
    </row>
    <row r="675">
      <c r="A675" s="26" t="n"/>
      <c r="B675" s="26">
        <f>IFERROR(IF(A675="","",VLOOKUP(A675,DATABASE!A:B,2,0)),"")</f>
        <v/>
      </c>
      <c r="C675" s="30">
        <f>IFERROR(IF(A675="","",VLOOKUP(A675,DATABASE!A:J,10,0)),"")</f>
        <v/>
      </c>
      <c r="D675" s="31">
        <f>IF(A675="","",TODAY())</f>
        <v/>
      </c>
      <c r="E675" s="30" t="n"/>
      <c r="F675" s="30">
        <f>IFERROR(IF(OR(A675="",E675=""),"",C675+E675),"")</f>
        <v/>
      </c>
      <c r="G675" s="26" t="n"/>
      <c r="H675" s="26" t="n"/>
    </row>
    <row r="676">
      <c r="A676" s="33" t="n"/>
      <c r="B676" s="33">
        <f>IFERROR(IF(A676="","",VLOOKUP(A676,DATABASE!A:B,2,0)),"")</f>
        <v/>
      </c>
      <c r="C676" s="34">
        <f>IFERROR(IF(A676="","",VLOOKUP(A676,DATABASE!A:J,10,0)),"")</f>
        <v/>
      </c>
      <c r="D676" s="35">
        <f>IF(A676="","",TODAY())</f>
        <v/>
      </c>
      <c r="E676" s="34" t="n"/>
      <c r="F676" s="34">
        <f>IFERROR(IF(OR(A676="",E676=""),"",C676+E676),"")</f>
        <v/>
      </c>
      <c r="G676" s="33" t="n"/>
      <c r="H676" s="33" t="n"/>
    </row>
    <row r="677">
      <c r="A677" s="26" t="n"/>
      <c r="B677" s="26">
        <f>IFERROR(IF(A677="","",VLOOKUP(A677,DATABASE!A:B,2,0)),"")</f>
        <v/>
      </c>
      <c r="C677" s="30">
        <f>IFERROR(IF(A677="","",VLOOKUP(A677,DATABASE!A:J,10,0)),"")</f>
        <v/>
      </c>
      <c r="D677" s="31">
        <f>IF(A677="","",TODAY())</f>
        <v/>
      </c>
      <c r="E677" s="30" t="n"/>
      <c r="F677" s="30">
        <f>IFERROR(IF(OR(A677="",E677=""),"",C677+E677),"")</f>
        <v/>
      </c>
      <c r="G677" s="26" t="n"/>
      <c r="H677" s="26" t="n"/>
    </row>
    <row r="678">
      <c r="A678" s="33" t="n"/>
      <c r="B678" s="33">
        <f>IFERROR(IF(A678="","",VLOOKUP(A678,DATABASE!A:B,2,0)),"")</f>
        <v/>
      </c>
      <c r="C678" s="34">
        <f>IFERROR(IF(A678="","",VLOOKUP(A678,DATABASE!A:J,10,0)),"")</f>
        <v/>
      </c>
      <c r="D678" s="35">
        <f>IF(A678="","",TODAY())</f>
        <v/>
      </c>
      <c r="E678" s="34" t="n"/>
      <c r="F678" s="34">
        <f>IFERROR(IF(OR(A678="",E678=""),"",C678+E678),"")</f>
        <v/>
      </c>
      <c r="G678" s="33" t="n"/>
      <c r="H678" s="33" t="n"/>
    </row>
    <row r="679">
      <c r="A679" s="26" t="n"/>
      <c r="B679" s="26">
        <f>IFERROR(IF(A679="","",VLOOKUP(A679,DATABASE!A:B,2,0)),"")</f>
        <v/>
      </c>
      <c r="C679" s="30">
        <f>IFERROR(IF(A679="","",VLOOKUP(A679,DATABASE!A:J,10,0)),"")</f>
        <v/>
      </c>
      <c r="D679" s="31">
        <f>IF(A679="","",TODAY())</f>
        <v/>
      </c>
      <c r="E679" s="30" t="n"/>
      <c r="F679" s="30">
        <f>IFERROR(IF(OR(A679="",E679=""),"",C679+E679),"")</f>
        <v/>
      </c>
      <c r="G679" s="26" t="n"/>
      <c r="H679" s="26" t="n"/>
    </row>
    <row r="680">
      <c r="A680" s="33" t="n"/>
      <c r="B680" s="33">
        <f>IFERROR(IF(A680="","",VLOOKUP(A680,DATABASE!A:B,2,0)),"")</f>
        <v/>
      </c>
      <c r="C680" s="34">
        <f>IFERROR(IF(A680="","",VLOOKUP(A680,DATABASE!A:J,10,0)),"")</f>
        <v/>
      </c>
      <c r="D680" s="35">
        <f>IF(A680="","",TODAY())</f>
        <v/>
      </c>
      <c r="E680" s="34" t="n"/>
      <c r="F680" s="34">
        <f>IFERROR(IF(OR(A680="",E680=""),"",C680+E680),"")</f>
        <v/>
      </c>
      <c r="G680" s="33" t="n"/>
      <c r="H680" s="33" t="n"/>
    </row>
    <row r="681">
      <c r="A681" s="26" t="n"/>
      <c r="B681" s="26">
        <f>IFERROR(IF(A681="","",VLOOKUP(A681,DATABASE!A:B,2,0)),"")</f>
        <v/>
      </c>
      <c r="C681" s="30">
        <f>IFERROR(IF(A681="","",VLOOKUP(A681,DATABASE!A:J,10,0)),"")</f>
        <v/>
      </c>
      <c r="D681" s="31">
        <f>IF(A681="","",TODAY())</f>
        <v/>
      </c>
      <c r="E681" s="30" t="n"/>
      <c r="F681" s="30">
        <f>IFERROR(IF(OR(A681="",E681=""),"",C681+E681),"")</f>
        <v/>
      </c>
      <c r="G681" s="26" t="n"/>
      <c r="H681" s="26" t="n"/>
    </row>
    <row r="682">
      <c r="A682" s="33" t="n"/>
      <c r="B682" s="33">
        <f>IFERROR(IF(A682="","",VLOOKUP(A682,DATABASE!A:B,2,0)),"")</f>
        <v/>
      </c>
      <c r="C682" s="34">
        <f>IFERROR(IF(A682="","",VLOOKUP(A682,DATABASE!A:J,10,0)),"")</f>
        <v/>
      </c>
      <c r="D682" s="35">
        <f>IF(A682="","",TODAY())</f>
        <v/>
      </c>
      <c r="E682" s="34" t="n"/>
      <c r="F682" s="34">
        <f>IFERROR(IF(OR(A682="",E682=""),"",C682+E682),"")</f>
        <v/>
      </c>
      <c r="G682" s="33" t="n"/>
      <c r="H682" s="33" t="n"/>
    </row>
    <row r="683">
      <c r="A683" s="26" t="n"/>
      <c r="B683" s="26">
        <f>IFERROR(IF(A683="","",VLOOKUP(A683,DATABASE!A:B,2,0)),"")</f>
        <v/>
      </c>
      <c r="C683" s="30">
        <f>IFERROR(IF(A683="","",VLOOKUP(A683,DATABASE!A:J,10,0)),"")</f>
        <v/>
      </c>
      <c r="D683" s="31">
        <f>IF(A683="","",TODAY())</f>
        <v/>
      </c>
      <c r="E683" s="30" t="n"/>
      <c r="F683" s="30">
        <f>IFERROR(IF(OR(A683="",E683=""),"",C683+E683),"")</f>
        <v/>
      </c>
      <c r="G683" s="26" t="n"/>
      <c r="H683" s="26" t="n"/>
    </row>
    <row r="684">
      <c r="A684" s="33" t="n"/>
      <c r="B684" s="33">
        <f>IFERROR(IF(A684="","",VLOOKUP(A684,DATABASE!A:B,2,0)),"")</f>
        <v/>
      </c>
      <c r="C684" s="34">
        <f>IFERROR(IF(A684="","",VLOOKUP(A684,DATABASE!A:J,10,0)),"")</f>
        <v/>
      </c>
      <c r="D684" s="35">
        <f>IF(A684="","",TODAY())</f>
        <v/>
      </c>
      <c r="E684" s="34" t="n"/>
      <c r="F684" s="34">
        <f>IFERROR(IF(OR(A684="",E684=""),"",C684+E684),"")</f>
        <v/>
      </c>
      <c r="G684" s="33" t="n"/>
      <c r="H684" s="33" t="n"/>
    </row>
    <row r="685">
      <c r="A685" s="26" t="n"/>
      <c r="B685" s="26">
        <f>IFERROR(IF(A685="","",VLOOKUP(A685,DATABASE!A:B,2,0)),"")</f>
        <v/>
      </c>
      <c r="C685" s="30">
        <f>IFERROR(IF(A685="","",VLOOKUP(A685,DATABASE!A:J,10,0)),"")</f>
        <v/>
      </c>
      <c r="D685" s="31">
        <f>IF(A685="","",TODAY())</f>
        <v/>
      </c>
      <c r="E685" s="30" t="n"/>
      <c r="F685" s="30">
        <f>IFERROR(IF(OR(A685="",E685=""),"",C685+E685),"")</f>
        <v/>
      </c>
      <c r="G685" s="26" t="n"/>
      <c r="H685" s="26" t="n"/>
    </row>
    <row r="686">
      <c r="A686" s="33" t="n"/>
      <c r="B686" s="33">
        <f>IFERROR(IF(A686="","",VLOOKUP(A686,DATABASE!A:B,2,0)),"")</f>
        <v/>
      </c>
      <c r="C686" s="34">
        <f>IFERROR(IF(A686="","",VLOOKUP(A686,DATABASE!A:J,10,0)),"")</f>
        <v/>
      </c>
      <c r="D686" s="35">
        <f>IF(A686="","",TODAY())</f>
        <v/>
      </c>
      <c r="E686" s="34" t="n"/>
      <c r="F686" s="34">
        <f>IFERROR(IF(OR(A686="",E686=""),"",C686+E686),"")</f>
        <v/>
      </c>
      <c r="G686" s="33" t="n"/>
      <c r="H686" s="33" t="n"/>
    </row>
    <row r="687">
      <c r="A687" s="26" t="n"/>
      <c r="B687" s="26">
        <f>IFERROR(IF(A687="","",VLOOKUP(A687,DATABASE!A:B,2,0)),"")</f>
        <v/>
      </c>
      <c r="C687" s="30">
        <f>IFERROR(IF(A687="","",VLOOKUP(A687,DATABASE!A:J,10,0)),"")</f>
        <v/>
      </c>
      <c r="D687" s="31">
        <f>IF(A687="","",TODAY())</f>
        <v/>
      </c>
      <c r="E687" s="30" t="n"/>
      <c r="F687" s="30">
        <f>IFERROR(IF(OR(A687="",E687=""),"",C687+E687),"")</f>
        <v/>
      </c>
      <c r="G687" s="26" t="n"/>
      <c r="H687" s="26" t="n"/>
    </row>
    <row r="688">
      <c r="A688" s="33" t="n"/>
      <c r="B688" s="33">
        <f>IFERROR(IF(A688="","",VLOOKUP(A688,DATABASE!A:B,2,0)),"")</f>
        <v/>
      </c>
      <c r="C688" s="34">
        <f>IFERROR(IF(A688="","",VLOOKUP(A688,DATABASE!A:J,10,0)),"")</f>
        <v/>
      </c>
      <c r="D688" s="35">
        <f>IF(A688="","",TODAY())</f>
        <v/>
      </c>
      <c r="E688" s="34" t="n"/>
      <c r="F688" s="34">
        <f>IFERROR(IF(OR(A688="",E688=""),"",C688+E688),"")</f>
        <v/>
      </c>
      <c r="G688" s="33" t="n"/>
      <c r="H688" s="33" t="n"/>
    </row>
    <row r="689">
      <c r="A689" s="26" t="n"/>
      <c r="B689" s="26">
        <f>IFERROR(IF(A689="","",VLOOKUP(A689,DATABASE!A:B,2,0)),"")</f>
        <v/>
      </c>
      <c r="C689" s="30">
        <f>IFERROR(IF(A689="","",VLOOKUP(A689,DATABASE!A:J,10,0)),"")</f>
        <v/>
      </c>
      <c r="D689" s="31">
        <f>IF(A689="","",TODAY())</f>
        <v/>
      </c>
      <c r="E689" s="30" t="n"/>
      <c r="F689" s="30">
        <f>IFERROR(IF(OR(A689="",E689=""),"",C689+E689),"")</f>
        <v/>
      </c>
      <c r="G689" s="26" t="n"/>
      <c r="H689" s="26" t="n"/>
    </row>
    <row r="690">
      <c r="A690" s="33" t="n"/>
      <c r="B690" s="33">
        <f>IFERROR(IF(A690="","",VLOOKUP(A690,DATABASE!A:B,2,0)),"")</f>
        <v/>
      </c>
      <c r="C690" s="34">
        <f>IFERROR(IF(A690="","",VLOOKUP(A690,DATABASE!A:J,10,0)),"")</f>
        <v/>
      </c>
      <c r="D690" s="35">
        <f>IF(A690="","",TODAY())</f>
        <v/>
      </c>
      <c r="E690" s="34" t="n"/>
      <c r="F690" s="34">
        <f>IFERROR(IF(OR(A690="",E690=""),"",C690+E690),"")</f>
        <v/>
      </c>
      <c r="G690" s="33" t="n"/>
      <c r="H690" s="33" t="n"/>
    </row>
    <row r="691">
      <c r="A691" s="26" t="n"/>
      <c r="B691" s="26">
        <f>IFERROR(IF(A691="","",VLOOKUP(A691,DATABASE!A:B,2,0)),"")</f>
        <v/>
      </c>
      <c r="C691" s="30">
        <f>IFERROR(IF(A691="","",VLOOKUP(A691,DATABASE!A:J,10,0)),"")</f>
        <v/>
      </c>
      <c r="D691" s="31">
        <f>IF(A691="","",TODAY())</f>
        <v/>
      </c>
      <c r="E691" s="30" t="n"/>
      <c r="F691" s="30">
        <f>IFERROR(IF(OR(A691="",E691=""),"",C691+E691),"")</f>
        <v/>
      </c>
      <c r="G691" s="26" t="n"/>
      <c r="H691" s="26" t="n"/>
    </row>
    <row r="692">
      <c r="A692" s="33" t="n"/>
      <c r="B692" s="33">
        <f>IFERROR(IF(A692="","",VLOOKUP(A692,DATABASE!A:B,2,0)),"")</f>
        <v/>
      </c>
      <c r="C692" s="34">
        <f>IFERROR(IF(A692="","",VLOOKUP(A692,DATABASE!A:J,10,0)),"")</f>
        <v/>
      </c>
      <c r="D692" s="35">
        <f>IF(A692="","",TODAY())</f>
        <v/>
      </c>
      <c r="E692" s="34" t="n"/>
      <c r="F692" s="34">
        <f>IFERROR(IF(OR(A692="",E692=""),"",C692+E692),"")</f>
        <v/>
      </c>
      <c r="G692" s="33" t="n"/>
      <c r="H692" s="33" t="n"/>
    </row>
    <row r="693">
      <c r="A693" s="26" t="n"/>
      <c r="B693" s="26">
        <f>IFERROR(IF(A693="","",VLOOKUP(A693,DATABASE!A:B,2,0)),"")</f>
        <v/>
      </c>
      <c r="C693" s="30">
        <f>IFERROR(IF(A693="","",VLOOKUP(A693,DATABASE!A:J,10,0)),"")</f>
        <v/>
      </c>
      <c r="D693" s="31">
        <f>IF(A693="","",TODAY())</f>
        <v/>
      </c>
      <c r="E693" s="30" t="n"/>
      <c r="F693" s="30">
        <f>IFERROR(IF(OR(A693="",E693=""),"",C693+E693),"")</f>
        <v/>
      </c>
      <c r="G693" s="26" t="n"/>
      <c r="H693" s="26" t="n"/>
    </row>
    <row r="694">
      <c r="A694" s="33" t="n"/>
      <c r="B694" s="33">
        <f>IFERROR(IF(A694="","",VLOOKUP(A694,DATABASE!A:B,2,0)),"")</f>
        <v/>
      </c>
      <c r="C694" s="34">
        <f>IFERROR(IF(A694="","",VLOOKUP(A694,DATABASE!A:J,10,0)),"")</f>
        <v/>
      </c>
      <c r="D694" s="35">
        <f>IF(A694="","",TODAY())</f>
        <v/>
      </c>
      <c r="E694" s="34" t="n"/>
      <c r="F694" s="34">
        <f>IFERROR(IF(OR(A694="",E694=""),"",C694+E694),"")</f>
        <v/>
      </c>
      <c r="G694" s="33" t="n"/>
      <c r="H694" s="33" t="n"/>
    </row>
    <row r="695">
      <c r="A695" s="26" t="n"/>
      <c r="B695" s="26">
        <f>IFERROR(IF(A695="","",VLOOKUP(A695,DATABASE!A:B,2,0)),"")</f>
        <v/>
      </c>
      <c r="C695" s="30">
        <f>IFERROR(IF(A695="","",VLOOKUP(A695,DATABASE!A:J,10,0)),"")</f>
        <v/>
      </c>
      <c r="D695" s="31">
        <f>IF(A695="","",TODAY())</f>
        <v/>
      </c>
      <c r="E695" s="30" t="n"/>
      <c r="F695" s="30">
        <f>IFERROR(IF(OR(A695="",E695=""),"",C695+E695),"")</f>
        <v/>
      </c>
      <c r="G695" s="26" t="n"/>
      <c r="H695" s="26" t="n"/>
    </row>
    <row r="696">
      <c r="A696" s="33" t="n"/>
      <c r="B696" s="33">
        <f>IFERROR(IF(A696="","",VLOOKUP(A696,DATABASE!A:B,2,0)),"")</f>
        <v/>
      </c>
      <c r="C696" s="34">
        <f>IFERROR(IF(A696="","",VLOOKUP(A696,DATABASE!A:J,10,0)),"")</f>
        <v/>
      </c>
      <c r="D696" s="35">
        <f>IF(A696="","",TODAY())</f>
        <v/>
      </c>
      <c r="E696" s="34" t="n"/>
      <c r="F696" s="34">
        <f>IFERROR(IF(OR(A696="",E696=""),"",C696+E696),"")</f>
        <v/>
      </c>
      <c r="G696" s="33" t="n"/>
      <c r="H696" s="33" t="n"/>
    </row>
    <row r="697">
      <c r="A697" s="26" t="n"/>
      <c r="B697" s="26">
        <f>IFERROR(IF(A697="","",VLOOKUP(A697,DATABASE!A:B,2,0)),"")</f>
        <v/>
      </c>
      <c r="C697" s="30">
        <f>IFERROR(IF(A697="","",VLOOKUP(A697,DATABASE!A:J,10,0)),"")</f>
        <v/>
      </c>
      <c r="D697" s="31">
        <f>IF(A697="","",TODAY())</f>
        <v/>
      </c>
      <c r="E697" s="30" t="n"/>
      <c r="F697" s="30">
        <f>IFERROR(IF(OR(A697="",E697=""),"",C697+E697),"")</f>
        <v/>
      </c>
      <c r="G697" s="26" t="n"/>
      <c r="H697" s="26" t="n"/>
    </row>
    <row r="698">
      <c r="A698" s="33" t="n"/>
      <c r="B698" s="33">
        <f>IFERROR(IF(A698="","",VLOOKUP(A698,DATABASE!A:B,2,0)),"")</f>
        <v/>
      </c>
      <c r="C698" s="34">
        <f>IFERROR(IF(A698="","",VLOOKUP(A698,DATABASE!A:J,10,0)),"")</f>
        <v/>
      </c>
      <c r="D698" s="35">
        <f>IF(A698="","",TODAY())</f>
        <v/>
      </c>
      <c r="E698" s="34" t="n"/>
      <c r="F698" s="34">
        <f>IFERROR(IF(OR(A698="",E698=""),"",C698+E698),"")</f>
        <v/>
      </c>
      <c r="G698" s="33" t="n"/>
      <c r="H698" s="33" t="n"/>
    </row>
    <row r="699">
      <c r="A699" s="26" t="n"/>
      <c r="B699" s="26">
        <f>IFERROR(IF(A699="","",VLOOKUP(A699,DATABASE!A:B,2,0)),"")</f>
        <v/>
      </c>
      <c r="C699" s="30">
        <f>IFERROR(IF(A699="","",VLOOKUP(A699,DATABASE!A:J,10,0)),"")</f>
        <v/>
      </c>
      <c r="D699" s="31">
        <f>IF(A699="","",TODAY())</f>
        <v/>
      </c>
      <c r="E699" s="30" t="n"/>
      <c r="F699" s="30">
        <f>IFERROR(IF(OR(A699="",E699=""),"",C699+E699),"")</f>
        <v/>
      </c>
      <c r="G699" s="26" t="n"/>
      <c r="H699" s="26" t="n"/>
    </row>
    <row r="700">
      <c r="A700" s="33" t="n"/>
      <c r="B700" s="33">
        <f>IFERROR(IF(A700="","",VLOOKUP(A700,DATABASE!A:B,2,0)),"")</f>
        <v/>
      </c>
      <c r="C700" s="34">
        <f>IFERROR(IF(A700="","",VLOOKUP(A700,DATABASE!A:J,10,0)),"")</f>
        <v/>
      </c>
      <c r="D700" s="35">
        <f>IF(A700="","",TODAY())</f>
        <v/>
      </c>
      <c r="E700" s="34" t="n"/>
      <c r="F700" s="34">
        <f>IFERROR(IF(OR(A700="",E700=""),"",C700+E700),"")</f>
        <v/>
      </c>
      <c r="G700" s="33" t="n"/>
      <c r="H700" s="33" t="n"/>
    </row>
    <row r="701">
      <c r="A701" s="26" t="n"/>
      <c r="B701" s="26">
        <f>IFERROR(IF(A701="","",VLOOKUP(A701,DATABASE!A:B,2,0)),"")</f>
        <v/>
      </c>
      <c r="C701" s="30">
        <f>IFERROR(IF(A701="","",VLOOKUP(A701,DATABASE!A:J,10,0)),"")</f>
        <v/>
      </c>
      <c r="D701" s="31">
        <f>IF(A701="","",TODAY())</f>
        <v/>
      </c>
      <c r="E701" s="30" t="n"/>
      <c r="F701" s="30">
        <f>IFERROR(IF(OR(A701="",E701=""),"",C701+E701),"")</f>
        <v/>
      </c>
      <c r="G701" s="26" t="n"/>
      <c r="H701" s="26" t="n"/>
    </row>
    <row r="702">
      <c r="A702" s="33" t="n"/>
      <c r="B702" s="33">
        <f>IFERROR(IF(A702="","",VLOOKUP(A702,DATABASE!A:B,2,0)),"")</f>
        <v/>
      </c>
      <c r="C702" s="34">
        <f>IFERROR(IF(A702="","",VLOOKUP(A702,DATABASE!A:J,10,0)),"")</f>
        <v/>
      </c>
      <c r="D702" s="35">
        <f>IF(A702="","",TODAY())</f>
        <v/>
      </c>
      <c r="E702" s="34" t="n"/>
      <c r="F702" s="34">
        <f>IFERROR(IF(OR(A702="",E702=""),"",C702+E702),"")</f>
        <v/>
      </c>
      <c r="G702" s="33" t="n"/>
      <c r="H702" s="33" t="n"/>
    </row>
    <row r="703">
      <c r="A703" s="26" t="n"/>
      <c r="B703" s="26">
        <f>IFERROR(IF(A703="","",VLOOKUP(A703,DATABASE!A:B,2,0)),"")</f>
        <v/>
      </c>
      <c r="C703" s="30">
        <f>IFERROR(IF(A703="","",VLOOKUP(A703,DATABASE!A:J,10,0)),"")</f>
        <v/>
      </c>
      <c r="D703" s="31">
        <f>IF(A703="","",TODAY())</f>
        <v/>
      </c>
      <c r="E703" s="30" t="n"/>
      <c r="F703" s="30">
        <f>IFERROR(IF(OR(A703="",E703=""),"",C703+E703),"")</f>
        <v/>
      </c>
      <c r="G703" s="26" t="n"/>
      <c r="H703" s="26" t="n"/>
    </row>
    <row r="704">
      <c r="A704" s="33" t="n"/>
      <c r="B704" s="33">
        <f>IFERROR(IF(A704="","",VLOOKUP(A704,DATABASE!A:B,2,0)),"")</f>
        <v/>
      </c>
      <c r="C704" s="34">
        <f>IFERROR(IF(A704="","",VLOOKUP(A704,DATABASE!A:J,10,0)),"")</f>
        <v/>
      </c>
      <c r="D704" s="35">
        <f>IF(A704="","",TODAY())</f>
        <v/>
      </c>
      <c r="E704" s="34" t="n"/>
      <c r="F704" s="34">
        <f>IFERROR(IF(OR(A704="",E704=""),"",C704+E704),"")</f>
        <v/>
      </c>
      <c r="G704" s="33" t="n"/>
      <c r="H704" s="33" t="n"/>
    </row>
    <row r="705">
      <c r="A705" s="26" t="n"/>
      <c r="B705" s="26">
        <f>IFERROR(IF(A705="","",VLOOKUP(A705,DATABASE!A:B,2,0)),"")</f>
        <v/>
      </c>
      <c r="C705" s="30">
        <f>IFERROR(IF(A705="","",VLOOKUP(A705,DATABASE!A:J,10,0)),"")</f>
        <v/>
      </c>
      <c r="D705" s="31">
        <f>IF(A705="","",TODAY())</f>
        <v/>
      </c>
      <c r="E705" s="30" t="n"/>
      <c r="F705" s="30">
        <f>IFERROR(IF(OR(A705="",E705=""),"",C705+E705),"")</f>
        <v/>
      </c>
      <c r="G705" s="26" t="n"/>
      <c r="H705" s="26" t="n"/>
    </row>
    <row r="706">
      <c r="A706" s="33" t="n"/>
      <c r="B706" s="33">
        <f>IFERROR(IF(A706="","",VLOOKUP(A706,DATABASE!A:B,2,0)),"")</f>
        <v/>
      </c>
      <c r="C706" s="34">
        <f>IFERROR(IF(A706="","",VLOOKUP(A706,DATABASE!A:J,10,0)),"")</f>
        <v/>
      </c>
      <c r="D706" s="35">
        <f>IF(A706="","",TODAY())</f>
        <v/>
      </c>
      <c r="E706" s="34" t="n"/>
      <c r="F706" s="34">
        <f>IFERROR(IF(OR(A706="",E706=""),"",C706+E706),"")</f>
        <v/>
      </c>
      <c r="G706" s="33" t="n"/>
      <c r="H706" s="33" t="n"/>
    </row>
    <row r="707">
      <c r="A707" s="26" t="n"/>
      <c r="B707" s="26">
        <f>IFERROR(IF(A707="","",VLOOKUP(A707,DATABASE!A:B,2,0)),"")</f>
        <v/>
      </c>
      <c r="C707" s="30">
        <f>IFERROR(IF(A707="","",VLOOKUP(A707,DATABASE!A:J,10,0)),"")</f>
        <v/>
      </c>
      <c r="D707" s="31">
        <f>IF(A707="","",TODAY())</f>
        <v/>
      </c>
      <c r="E707" s="30" t="n"/>
      <c r="F707" s="30">
        <f>IFERROR(IF(OR(A707="",E707=""),"",C707+E707),"")</f>
        <v/>
      </c>
      <c r="G707" s="26" t="n"/>
      <c r="H707" s="26" t="n"/>
    </row>
    <row r="708">
      <c r="A708" s="33" t="n"/>
      <c r="B708" s="33">
        <f>IFERROR(IF(A708="","",VLOOKUP(A708,DATABASE!A:B,2,0)),"")</f>
        <v/>
      </c>
      <c r="C708" s="34">
        <f>IFERROR(IF(A708="","",VLOOKUP(A708,DATABASE!A:J,10,0)),"")</f>
        <v/>
      </c>
      <c r="D708" s="35">
        <f>IF(A708="","",TODAY())</f>
        <v/>
      </c>
      <c r="E708" s="34" t="n"/>
      <c r="F708" s="34">
        <f>IFERROR(IF(OR(A708="",E708=""),"",C708+E708),"")</f>
        <v/>
      </c>
      <c r="G708" s="33" t="n"/>
      <c r="H708" s="33" t="n"/>
    </row>
    <row r="709">
      <c r="A709" s="26" t="n"/>
      <c r="B709" s="26">
        <f>IFERROR(IF(A709="","",VLOOKUP(A709,DATABASE!A:B,2,0)),"")</f>
        <v/>
      </c>
      <c r="C709" s="30">
        <f>IFERROR(IF(A709="","",VLOOKUP(A709,DATABASE!A:J,10,0)),"")</f>
        <v/>
      </c>
      <c r="D709" s="31">
        <f>IF(A709="","",TODAY())</f>
        <v/>
      </c>
      <c r="E709" s="30" t="n"/>
      <c r="F709" s="30">
        <f>IFERROR(IF(OR(A709="",E709=""),"",C709+E709),"")</f>
        <v/>
      </c>
      <c r="G709" s="26" t="n"/>
      <c r="H709" s="26" t="n"/>
    </row>
    <row r="710">
      <c r="A710" s="33" t="n"/>
      <c r="B710" s="33">
        <f>IFERROR(IF(A710="","",VLOOKUP(A710,DATABASE!A:B,2,0)),"")</f>
        <v/>
      </c>
      <c r="C710" s="34">
        <f>IFERROR(IF(A710="","",VLOOKUP(A710,DATABASE!A:J,10,0)),"")</f>
        <v/>
      </c>
      <c r="D710" s="35">
        <f>IF(A710="","",TODAY())</f>
        <v/>
      </c>
      <c r="E710" s="34" t="n"/>
      <c r="F710" s="34">
        <f>IFERROR(IF(OR(A710="",E710=""),"",C710+E710),"")</f>
        <v/>
      </c>
      <c r="G710" s="33" t="n"/>
      <c r="H710" s="33" t="n"/>
    </row>
    <row r="711">
      <c r="A711" s="26" t="n"/>
      <c r="B711" s="26">
        <f>IFERROR(IF(A711="","",VLOOKUP(A711,DATABASE!A:B,2,0)),"")</f>
        <v/>
      </c>
      <c r="C711" s="30">
        <f>IFERROR(IF(A711="","",VLOOKUP(A711,DATABASE!A:J,10,0)),"")</f>
        <v/>
      </c>
      <c r="D711" s="31">
        <f>IF(A711="","",TODAY())</f>
        <v/>
      </c>
      <c r="E711" s="30" t="n"/>
      <c r="F711" s="30">
        <f>IFERROR(IF(OR(A711="",E711=""),"",C711+E711),"")</f>
        <v/>
      </c>
      <c r="G711" s="26" t="n"/>
      <c r="H711" s="26" t="n"/>
    </row>
    <row r="712">
      <c r="A712" s="33" t="n"/>
      <c r="B712" s="33">
        <f>IFERROR(IF(A712="","",VLOOKUP(A712,DATABASE!A:B,2,0)),"")</f>
        <v/>
      </c>
      <c r="C712" s="34">
        <f>IFERROR(IF(A712="","",VLOOKUP(A712,DATABASE!A:J,10,0)),"")</f>
        <v/>
      </c>
      <c r="D712" s="35">
        <f>IF(A712="","",TODAY())</f>
        <v/>
      </c>
      <c r="E712" s="34" t="n"/>
      <c r="F712" s="34">
        <f>IFERROR(IF(OR(A712="",E712=""),"",C712+E712),"")</f>
        <v/>
      </c>
      <c r="G712" s="33" t="n"/>
      <c r="H712" s="33" t="n"/>
    </row>
    <row r="713">
      <c r="A713" s="26" t="n"/>
      <c r="B713" s="26">
        <f>IFERROR(IF(A713="","",VLOOKUP(A713,DATABASE!A:B,2,0)),"")</f>
        <v/>
      </c>
      <c r="C713" s="30">
        <f>IFERROR(IF(A713="","",VLOOKUP(A713,DATABASE!A:J,10,0)),"")</f>
        <v/>
      </c>
      <c r="D713" s="31">
        <f>IF(A713="","",TODAY())</f>
        <v/>
      </c>
      <c r="E713" s="30" t="n"/>
      <c r="F713" s="30">
        <f>IFERROR(IF(OR(A713="",E713=""),"",C713+E713),"")</f>
        <v/>
      </c>
      <c r="G713" s="26" t="n"/>
      <c r="H713" s="26" t="n"/>
    </row>
    <row r="714">
      <c r="A714" s="33" t="n"/>
      <c r="B714" s="33">
        <f>IFERROR(IF(A714="","",VLOOKUP(A714,DATABASE!A:B,2,0)),"")</f>
        <v/>
      </c>
      <c r="C714" s="34">
        <f>IFERROR(IF(A714="","",VLOOKUP(A714,DATABASE!A:J,10,0)),"")</f>
        <v/>
      </c>
      <c r="D714" s="35">
        <f>IF(A714="","",TODAY())</f>
        <v/>
      </c>
      <c r="E714" s="34" t="n"/>
      <c r="F714" s="34">
        <f>IFERROR(IF(OR(A714="",E714=""),"",C714+E714),"")</f>
        <v/>
      </c>
      <c r="G714" s="33" t="n"/>
      <c r="H714" s="33" t="n"/>
    </row>
    <row r="715">
      <c r="A715" s="26" t="n"/>
      <c r="B715" s="26">
        <f>IFERROR(IF(A715="","",VLOOKUP(A715,DATABASE!A:B,2,0)),"")</f>
        <v/>
      </c>
      <c r="C715" s="30">
        <f>IFERROR(IF(A715="","",VLOOKUP(A715,DATABASE!A:J,10,0)),"")</f>
        <v/>
      </c>
      <c r="D715" s="31">
        <f>IF(A715="","",TODAY())</f>
        <v/>
      </c>
      <c r="E715" s="30" t="n"/>
      <c r="F715" s="30">
        <f>IFERROR(IF(OR(A715="",E715=""),"",C715+E715),"")</f>
        <v/>
      </c>
      <c r="G715" s="26" t="n"/>
      <c r="H715" s="26" t="n"/>
    </row>
    <row r="716">
      <c r="A716" s="33" t="n"/>
      <c r="B716" s="33">
        <f>IFERROR(IF(A716="","",VLOOKUP(A716,DATABASE!A:B,2,0)),"")</f>
        <v/>
      </c>
      <c r="C716" s="34">
        <f>IFERROR(IF(A716="","",VLOOKUP(A716,DATABASE!A:J,10,0)),"")</f>
        <v/>
      </c>
      <c r="D716" s="35">
        <f>IF(A716="","",TODAY())</f>
        <v/>
      </c>
      <c r="E716" s="34" t="n"/>
      <c r="F716" s="34">
        <f>IFERROR(IF(OR(A716="",E716=""),"",C716+E716),"")</f>
        <v/>
      </c>
      <c r="G716" s="33" t="n"/>
      <c r="H716" s="33" t="n"/>
    </row>
    <row r="717">
      <c r="A717" s="26" t="n"/>
      <c r="B717" s="26">
        <f>IFERROR(IF(A717="","",VLOOKUP(A717,DATABASE!A:B,2,0)),"")</f>
        <v/>
      </c>
      <c r="C717" s="30">
        <f>IFERROR(IF(A717="","",VLOOKUP(A717,DATABASE!A:J,10,0)),"")</f>
        <v/>
      </c>
      <c r="D717" s="31">
        <f>IF(A717="","",TODAY())</f>
        <v/>
      </c>
      <c r="E717" s="30" t="n"/>
      <c r="F717" s="30">
        <f>IFERROR(IF(OR(A717="",E717=""),"",C717+E717),"")</f>
        <v/>
      </c>
      <c r="G717" s="26" t="n"/>
      <c r="H717" s="26" t="n"/>
    </row>
    <row r="718">
      <c r="A718" s="33" t="n"/>
      <c r="B718" s="33">
        <f>IFERROR(IF(A718="","",VLOOKUP(A718,DATABASE!A:B,2,0)),"")</f>
        <v/>
      </c>
      <c r="C718" s="34">
        <f>IFERROR(IF(A718="","",VLOOKUP(A718,DATABASE!A:J,10,0)),"")</f>
        <v/>
      </c>
      <c r="D718" s="35">
        <f>IF(A718="","",TODAY())</f>
        <v/>
      </c>
      <c r="E718" s="34" t="n"/>
      <c r="F718" s="34">
        <f>IFERROR(IF(OR(A718="",E718=""),"",C718+E718),"")</f>
        <v/>
      </c>
      <c r="G718" s="33" t="n"/>
      <c r="H718" s="33" t="n"/>
    </row>
    <row r="719">
      <c r="A719" s="26" t="n"/>
      <c r="B719" s="26">
        <f>IFERROR(IF(A719="","",VLOOKUP(A719,DATABASE!A:B,2,0)),"")</f>
        <v/>
      </c>
      <c r="C719" s="30">
        <f>IFERROR(IF(A719="","",VLOOKUP(A719,DATABASE!A:J,10,0)),"")</f>
        <v/>
      </c>
      <c r="D719" s="31">
        <f>IF(A719="","",TODAY())</f>
        <v/>
      </c>
      <c r="E719" s="30" t="n"/>
      <c r="F719" s="30">
        <f>IFERROR(IF(OR(A719="",E719=""),"",C719+E719),"")</f>
        <v/>
      </c>
      <c r="G719" s="26" t="n"/>
      <c r="H719" s="26" t="n"/>
    </row>
    <row r="720">
      <c r="A720" s="33" t="n"/>
      <c r="B720" s="33">
        <f>IFERROR(IF(A720="","",VLOOKUP(A720,DATABASE!A:B,2,0)),"")</f>
        <v/>
      </c>
      <c r="C720" s="34">
        <f>IFERROR(IF(A720="","",VLOOKUP(A720,DATABASE!A:J,10,0)),"")</f>
        <v/>
      </c>
      <c r="D720" s="35">
        <f>IF(A720="","",TODAY())</f>
        <v/>
      </c>
      <c r="E720" s="34" t="n"/>
      <c r="F720" s="34">
        <f>IFERROR(IF(OR(A720="",E720=""),"",C720+E720),"")</f>
        <v/>
      </c>
      <c r="G720" s="33" t="n"/>
      <c r="H720" s="33" t="n"/>
    </row>
    <row r="721">
      <c r="A721" s="26" t="n"/>
      <c r="B721" s="26">
        <f>IFERROR(IF(A721="","",VLOOKUP(A721,DATABASE!A:B,2,0)),"")</f>
        <v/>
      </c>
      <c r="C721" s="30">
        <f>IFERROR(IF(A721="","",VLOOKUP(A721,DATABASE!A:J,10,0)),"")</f>
        <v/>
      </c>
      <c r="D721" s="31">
        <f>IF(A721="","",TODAY())</f>
        <v/>
      </c>
      <c r="E721" s="30" t="n"/>
      <c r="F721" s="30">
        <f>IFERROR(IF(OR(A721="",E721=""),"",C721+E721),"")</f>
        <v/>
      </c>
      <c r="G721" s="26" t="n"/>
      <c r="H721" s="26" t="n"/>
    </row>
    <row r="722">
      <c r="A722" s="33" t="n"/>
      <c r="B722" s="33">
        <f>IFERROR(IF(A722="","",VLOOKUP(A722,DATABASE!A:B,2,0)),"")</f>
        <v/>
      </c>
      <c r="C722" s="34">
        <f>IFERROR(IF(A722="","",VLOOKUP(A722,DATABASE!A:J,10,0)),"")</f>
        <v/>
      </c>
      <c r="D722" s="35">
        <f>IF(A722="","",TODAY())</f>
        <v/>
      </c>
      <c r="E722" s="34" t="n"/>
      <c r="F722" s="34">
        <f>IFERROR(IF(OR(A722="",E722=""),"",C722+E722),"")</f>
        <v/>
      </c>
      <c r="G722" s="33" t="n"/>
      <c r="H722" s="33" t="n"/>
    </row>
    <row r="723">
      <c r="A723" s="26" t="n"/>
      <c r="B723" s="26">
        <f>IFERROR(IF(A723="","",VLOOKUP(A723,DATABASE!A:B,2,0)),"")</f>
        <v/>
      </c>
      <c r="C723" s="30">
        <f>IFERROR(IF(A723="","",VLOOKUP(A723,DATABASE!A:J,10,0)),"")</f>
        <v/>
      </c>
      <c r="D723" s="31">
        <f>IF(A723="","",TODAY())</f>
        <v/>
      </c>
      <c r="E723" s="30" t="n"/>
      <c r="F723" s="30">
        <f>IFERROR(IF(OR(A723="",E723=""),"",C723+E723),"")</f>
        <v/>
      </c>
      <c r="G723" s="26" t="n"/>
      <c r="H723" s="26" t="n"/>
    </row>
    <row r="724">
      <c r="A724" s="33" t="n"/>
      <c r="B724" s="33">
        <f>IFERROR(IF(A724="","",VLOOKUP(A724,DATABASE!A:B,2,0)),"")</f>
        <v/>
      </c>
      <c r="C724" s="34">
        <f>IFERROR(IF(A724="","",VLOOKUP(A724,DATABASE!A:J,10,0)),"")</f>
        <v/>
      </c>
      <c r="D724" s="35">
        <f>IF(A724="","",TODAY())</f>
        <v/>
      </c>
      <c r="E724" s="34" t="n"/>
      <c r="F724" s="34">
        <f>IFERROR(IF(OR(A724="",E724=""),"",C724+E724),"")</f>
        <v/>
      </c>
      <c r="G724" s="33" t="n"/>
      <c r="H724" s="33" t="n"/>
    </row>
    <row r="725">
      <c r="A725" s="26" t="n"/>
      <c r="B725" s="26">
        <f>IFERROR(IF(A725="","",VLOOKUP(A725,DATABASE!A:B,2,0)),"")</f>
        <v/>
      </c>
      <c r="C725" s="30">
        <f>IFERROR(IF(A725="","",VLOOKUP(A725,DATABASE!A:J,10,0)),"")</f>
        <v/>
      </c>
      <c r="D725" s="31">
        <f>IF(A725="","",TODAY())</f>
        <v/>
      </c>
      <c r="E725" s="30" t="n"/>
      <c r="F725" s="30">
        <f>IFERROR(IF(OR(A725="",E725=""),"",C725+E725),"")</f>
        <v/>
      </c>
      <c r="G725" s="26" t="n"/>
      <c r="H725" s="26" t="n"/>
    </row>
    <row r="726">
      <c r="A726" s="33" t="n"/>
      <c r="B726" s="33">
        <f>IFERROR(IF(A726="","",VLOOKUP(A726,DATABASE!A:B,2,0)),"")</f>
        <v/>
      </c>
      <c r="C726" s="34">
        <f>IFERROR(IF(A726="","",VLOOKUP(A726,DATABASE!A:J,10,0)),"")</f>
        <v/>
      </c>
      <c r="D726" s="35">
        <f>IF(A726="","",TODAY())</f>
        <v/>
      </c>
      <c r="E726" s="34" t="n"/>
      <c r="F726" s="34">
        <f>IFERROR(IF(OR(A726="",E726=""),"",C726+E726),"")</f>
        <v/>
      </c>
      <c r="G726" s="33" t="n"/>
      <c r="H726" s="33" t="n"/>
    </row>
    <row r="727">
      <c r="A727" s="26" t="n"/>
      <c r="B727" s="26">
        <f>IFERROR(IF(A727="","",VLOOKUP(A727,DATABASE!A:B,2,0)),"")</f>
        <v/>
      </c>
      <c r="C727" s="30">
        <f>IFERROR(IF(A727="","",VLOOKUP(A727,DATABASE!A:J,10,0)),"")</f>
        <v/>
      </c>
      <c r="D727" s="31">
        <f>IF(A727="","",TODAY())</f>
        <v/>
      </c>
      <c r="E727" s="30" t="n"/>
      <c r="F727" s="30">
        <f>IFERROR(IF(OR(A727="",E727=""),"",C727+E727),"")</f>
        <v/>
      </c>
      <c r="G727" s="26" t="n"/>
      <c r="H727" s="26" t="n"/>
    </row>
    <row r="728">
      <c r="A728" s="33" t="n"/>
      <c r="B728" s="33">
        <f>IFERROR(IF(A728="","",VLOOKUP(A728,DATABASE!A:B,2,0)),"")</f>
        <v/>
      </c>
      <c r="C728" s="34">
        <f>IFERROR(IF(A728="","",VLOOKUP(A728,DATABASE!A:J,10,0)),"")</f>
        <v/>
      </c>
      <c r="D728" s="35">
        <f>IF(A728="","",TODAY())</f>
        <v/>
      </c>
      <c r="E728" s="34" t="n"/>
      <c r="F728" s="34">
        <f>IFERROR(IF(OR(A728="",E728=""),"",C728+E728),"")</f>
        <v/>
      </c>
      <c r="G728" s="33" t="n"/>
      <c r="H728" s="33" t="n"/>
    </row>
    <row r="729">
      <c r="A729" s="26" t="n"/>
      <c r="B729" s="26">
        <f>IFERROR(IF(A729="","",VLOOKUP(A729,DATABASE!A:B,2,0)),"")</f>
        <v/>
      </c>
      <c r="C729" s="30">
        <f>IFERROR(IF(A729="","",VLOOKUP(A729,DATABASE!A:J,10,0)),"")</f>
        <v/>
      </c>
      <c r="D729" s="31">
        <f>IF(A729="","",TODAY())</f>
        <v/>
      </c>
      <c r="E729" s="30" t="n"/>
      <c r="F729" s="30">
        <f>IFERROR(IF(OR(A729="",E729=""),"",C729+E729),"")</f>
        <v/>
      </c>
      <c r="G729" s="26" t="n"/>
      <c r="H729" s="26" t="n"/>
    </row>
    <row r="730">
      <c r="A730" s="33" t="n"/>
      <c r="B730" s="33">
        <f>IFERROR(IF(A730="","",VLOOKUP(A730,DATABASE!A:B,2,0)),"")</f>
        <v/>
      </c>
      <c r="C730" s="34">
        <f>IFERROR(IF(A730="","",VLOOKUP(A730,DATABASE!A:J,10,0)),"")</f>
        <v/>
      </c>
      <c r="D730" s="35">
        <f>IF(A730="","",TODAY())</f>
        <v/>
      </c>
      <c r="E730" s="34" t="n"/>
      <c r="F730" s="34">
        <f>IFERROR(IF(OR(A730="",E730=""),"",C730+E730),"")</f>
        <v/>
      </c>
      <c r="G730" s="33" t="n"/>
      <c r="H730" s="33" t="n"/>
    </row>
    <row r="731">
      <c r="A731" s="26" t="n"/>
      <c r="B731" s="26">
        <f>IFERROR(IF(A731="","",VLOOKUP(A731,DATABASE!A:B,2,0)),"")</f>
        <v/>
      </c>
      <c r="C731" s="30">
        <f>IFERROR(IF(A731="","",VLOOKUP(A731,DATABASE!A:J,10,0)),"")</f>
        <v/>
      </c>
      <c r="D731" s="31">
        <f>IF(A731="","",TODAY())</f>
        <v/>
      </c>
      <c r="E731" s="30" t="n"/>
      <c r="F731" s="30">
        <f>IFERROR(IF(OR(A731="",E731=""),"",C731+E731),"")</f>
        <v/>
      </c>
      <c r="G731" s="26" t="n"/>
      <c r="H731" s="26" t="n"/>
    </row>
    <row r="732">
      <c r="A732" s="33" t="n"/>
      <c r="B732" s="33">
        <f>IFERROR(IF(A732="","",VLOOKUP(A732,DATABASE!A:B,2,0)),"")</f>
        <v/>
      </c>
      <c r="C732" s="34">
        <f>IFERROR(IF(A732="","",VLOOKUP(A732,DATABASE!A:J,10,0)),"")</f>
        <v/>
      </c>
      <c r="D732" s="35">
        <f>IF(A732="","",TODAY())</f>
        <v/>
      </c>
      <c r="E732" s="34" t="n"/>
      <c r="F732" s="34">
        <f>IFERROR(IF(OR(A732="",E732=""),"",C732+E732),"")</f>
        <v/>
      </c>
      <c r="G732" s="33" t="n"/>
      <c r="H732" s="33" t="n"/>
    </row>
    <row r="733">
      <c r="A733" s="26" t="n"/>
      <c r="B733" s="26">
        <f>IFERROR(IF(A733="","",VLOOKUP(A733,DATABASE!A:B,2,0)),"")</f>
        <v/>
      </c>
      <c r="C733" s="30">
        <f>IFERROR(IF(A733="","",VLOOKUP(A733,DATABASE!A:J,10,0)),"")</f>
        <v/>
      </c>
      <c r="D733" s="31">
        <f>IF(A733="","",TODAY())</f>
        <v/>
      </c>
      <c r="E733" s="30" t="n"/>
      <c r="F733" s="30">
        <f>IFERROR(IF(OR(A733="",E733=""),"",C733+E733),"")</f>
        <v/>
      </c>
      <c r="G733" s="26" t="n"/>
      <c r="H733" s="26" t="n"/>
    </row>
    <row r="734">
      <c r="A734" s="33" t="n"/>
      <c r="B734" s="33">
        <f>IFERROR(IF(A734="","",VLOOKUP(A734,DATABASE!A:B,2,0)),"")</f>
        <v/>
      </c>
      <c r="C734" s="34">
        <f>IFERROR(IF(A734="","",VLOOKUP(A734,DATABASE!A:J,10,0)),"")</f>
        <v/>
      </c>
      <c r="D734" s="35">
        <f>IF(A734="","",TODAY())</f>
        <v/>
      </c>
      <c r="E734" s="34" t="n"/>
      <c r="F734" s="34">
        <f>IFERROR(IF(OR(A734="",E734=""),"",C734+E734),"")</f>
        <v/>
      </c>
      <c r="G734" s="33" t="n"/>
      <c r="H734" s="33" t="n"/>
    </row>
    <row r="735">
      <c r="A735" s="26" t="n"/>
      <c r="B735" s="26">
        <f>IFERROR(IF(A735="","",VLOOKUP(A735,DATABASE!A:B,2,0)),"")</f>
        <v/>
      </c>
      <c r="C735" s="30">
        <f>IFERROR(IF(A735="","",VLOOKUP(A735,DATABASE!A:J,10,0)),"")</f>
        <v/>
      </c>
      <c r="D735" s="31">
        <f>IF(A735="","",TODAY())</f>
        <v/>
      </c>
      <c r="E735" s="30" t="n"/>
      <c r="F735" s="30">
        <f>IFERROR(IF(OR(A735="",E735=""),"",C735+E735),"")</f>
        <v/>
      </c>
      <c r="G735" s="26" t="n"/>
      <c r="H735" s="26" t="n"/>
    </row>
    <row r="736">
      <c r="A736" s="33" t="n"/>
      <c r="B736" s="33">
        <f>IFERROR(IF(A736="","",VLOOKUP(A736,DATABASE!A:B,2,0)),"")</f>
        <v/>
      </c>
      <c r="C736" s="34">
        <f>IFERROR(IF(A736="","",VLOOKUP(A736,DATABASE!A:J,10,0)),"")</f>
        <v/>
      </c>
      <c r="D736" s="35">
        <f>IF(A736="","",TODAY())</f>
        <v/>
      </c>
      <c r="E736" s="34" t="n"/>
      <c r="F736" s="34">
        <f>IFERROR(IF(OR(A736="",E736=""),"",C736+E736),"")</f>
        <v/>
      </c>
      <c r="G736" s="33" t="n"/>
      <c r="H736" s="33" t="n"/>
    </row>
    <row r="737">
      <c r="A737" s="26" t="n"/>
      <c r="B737" s="26">
        <f>IFERROR(IF(A737="","",VLOOKUP(A737,DATABASE!A:B,2,0)),"")</f>
        <v/>
      </c>
      <c r="C737" s="30">
        <f>IFERROR(IF(A737="","",VLOOKUP(A737,DATABASE!A:J,10,0)),"")</f>
        <v/>
      </c>
      <c r="D737" s="31">
        <f>IF(A737="","",TODAY())</f>
        <v/>
      </c>
      <c r="E737" s="30" t="n"/>
      <c r="F737" s="30">
        <f>IFERROR(IF(OR(A737="",E737=""),"",C737+E737),"")</f>
        <v/>
      </c>
      <c r="G737" s="26" t="n"/>
      <c r="H737" s="26" t="n"/>
    </row>
    <row r="738">
      <c r="A738" s="33" t="n"/>
      <c r="B738" s="33">
        <f>IFERROR(IF(A738="","",VLOOKUP(A738,DATABASE!A:B,2,0)),"")</f>
        <v/>
      </c>
      <c r="C738" s="34">
        <f>IFERROR(IF(A738="","",VLOOKUP(A738,DATABASE!A:J,10,0)),"")</f>
        <v/>
      </c>
      <c r="D738" s="35">
        <f>IF(A738="","",TODAY())</f>
        <v/>
      </c>
      <c r="E738" s="34" t="n"/>
      <c r="F738" s="34">
        <f>IFERROR(IF(OR(A738="",E738=""),"",C738+E738),"")</f>
        <v/>
      </c>
      <c r="G738" s="33" t="n"/>
      <c r="H738" s="33" t="n"/>
    </row>
    <row r="739">
      <c r="A739" s="26" t="n"/>
      <c r="B739" s="26">
        <f>IFERROR(IF(A739="","",VLOOKUP(A739,DATABASE!A:B,2,0)),"")</f>
        <v/>
      </c>
      <c r="C739" s="30">
        <f>IFERROR(IF(A739="","",VLOOKUP(A739,DATABASE!A:J,10,0)),"")</f>
        <v/>
      </c>
      <c r="D739" s="31">
        <f>IF(A739="","",TODAY())</f>
        <v/>
      </c>
      <c r="E739" s="30" t="n"/>
      <c r="F739" s="30">
        <f>IFERROR(IF(OR(A739="",E739=""),"",C739+E739),"")</f>
        <v/>
      </c>
      <c r="G739" s="26" t="n"/>
      <c r="H739" s="26" t="n"/>
    </row>
    <row r="740">
      <c r="A740" s="33" t="n"/>
      <c r="B740" s="33">
        <f>IFERROR(IF(A740="","",VLOOKUP(A740,DATABASE!A:B,2,0)),"")</f>
        <v/>
      </c>
      <c r="C740" s="34">
        <f>IFERROR(IF(A740="","",VLOOKUP(A740,DATABASE!A:J,10,0)),"")</f>
        <v/>
      </c>
      <c r="D740" s="35">
        <f>IF(A740="","",TODAY())</f>
        <v/>
      </c>
      <c r="E740" s="34" t="n"/>
      <c r="F740" s="34">
        <f>IFERROR(IF(OR(A740="",E740=""),"",C740+E740),"")</f>
        <v/>
      </c>
      <c r="G740" s="33" t="n"/>
      <c r="H740" s="33" t="n"/>
    </row>
    <row r="741">
      <c r="A741" s="26" t="n"/>
      <c r="B741" s="26">
        <f>IFERROR(IF(A741="","",VLOOKUP(A741,DATABASE!A:B,2,0)),"")</f>
        <v/>
      </c>
      <c r="C741" s="30">
        <f>IFERROR(IF(A741="","",VLOOKUP(A741,DATABASE!A:J,10,0)),"")</f>
        <v/>
      </c>
      <c r="D741" s="31">
        <f>IF(A741="","",TODAY())</f>
        <v/>
      </c>
      <c r="E741" s="30" t="n"/>
      <c r="F741" s="30">
        <f>IFERROR(IF(OR(A741="",E741=""),"",C741+E741),"")</f>
        <v/>
      </c>
      <c r="G741" s="26" t="n"/>
      <c r="H741" s="26" t="n"/>
    </row>
    <row r="742">
      <c r="A742" s="33" t="n"/>
      <c r="B742" s="33">
        <f>IFERROR(IF(A742="","",VLOOKUP(A742,DATABASE!A:B,2,0)),"")</f>
        <v/>
      </c>
      <c r="C742" s="34">
        <f>IFERROR(IF(A742="","",VLOOKUP(A742,DATABASE!A:J,10,0)),"")</f>
        <v/>
      </c>
      <c r="D742" s="35">
        <f>IF(A742="","",TODAY())</f>
        <v/>
      </c>
      <c r="E742" s="34" t="n"/>
      <c r="F742" s="34">
        <f>IFERROR(IF(OR(A742="",E742=""),"",C742+E742),"")</f>
        <v/>
      </c>
      <c r="G742" s="33" t="n"/>
      <c r="H742" s="33" t="n"/>
    </row>
    <row r="743">
      <c r="A743" s="26" t="n"/>
      <c r="B743" s="26">
        <f>IFERROR(IF(A743="","",VLOOKUP(A743,DATABASE!A:B,2,0)),"")</f>
        <v/>
      </c>
      <c r="C743" s="30">
        <f>IFERROR(IF(A743="","",VLOOKUP(A743,DATABASE!A:J,10,0)),"")</f>
        <v/>
      </c>
      <c r="D743" s="31">
        <f>IF(A743="","",TODAY())</f>
        <v/>
      </c>
      <c r="E743" s="30" t="n"/>
      <c r="F743" s="30">
        <f>IFERROR(IF(OR(A743="",E743=""),"",C743+E743),"")</f>
        <v/>
      </c>
      <c r="G743" s="26" t="n"/>
      <c r="H743" s="26" t="n"/>
    </row>
    <row r="744">
      <c r="A744" s="33" t="n"/>
      <c r="B744" s="33">
        <f>IFERROR(IF(A744="","",VLOOKUP(A744,DATABASE!A:B,2,0)),"")</f>
        <v/>
      </c>
      <c r="C744" s="34">
        <f>IFERROR(IF(A744="","",VLOOKUP(A744,DATABASE!A:J,10,0)),"")</f>
        <v/>
      </c>
      <c r="D744" s="35">
        <f>IF(A744="","",TODAY())</f>
        <v/>
      </c>
      <c r="E744" s="34" t="n"/>
      <c r="F744" s="34">
        <f>IFERROR(IF(OR(A744="",E744=""),"",C744+E744),"")</f>
        <v/>
      </c>
      <c r="G744" s="33" t="n"/>
      <c r="H744" s="33" t="n"/>
    </row>
    <row r="745">
      <c r="A745" s="26" t="n"/>
      <c r="B745" s="26">
        <f>IFERROR(IF(A745="","",VLOOKUP(A745,DATABASE!A:B,2,0)),"")</f>
        <v/>
      </c>
      <c r="C745" s="30">
        <f>IFERROR(IF(A745="","",VLOOKUP(A745,DATABASE!A:J,10,0)),"")</f>
        <v/>
      </c>
      <c r="D745" s="31">
        <f>IF(A745="","",TODAY())</f>
        <v/>
      </c>
      <c r="E745" s="30" t="n"/>
      <c r="F745" s="30">
        <f>IFERROR(IF(OR(A745="",E745=""),"",C745+E745),"")</f>
        <v/>
      </c>
      <c r="G745" s="26" t="n"/>
      <c r="H745" s="26" t="n"/>
    </row>
    <row r="746">
      <c r="A746" s="33" t="n"/>
      <c r="B746" s="33">
        <f>IFERROR(IF(A746="","",VLOOKUP(A746,DATABASE!A:B,2,0)),"")</f>
        <v/>
      </c>
      <c r="C746" s="34">
        <f>IFERROR(IF(A746="","",VLOOKUP(A746,DATABASE!A:J,10,0)),"")</f>
        <v/>
      </c>
      <c r="D746" s="35">
        <f>IF(A746="","",TODAY())</f>
        <v/>
      </c>
      <c r="E746" s="34" t="n"/>
      <c r="F746" s="34">
        <f>IFERROR(IF(OR(A746="",E746=""),"",C746+E746),"")</f>
        <v/>
      </c>
      <c r="G746" s="33" t="n"/>
      <c r="H746" s="33" t="n"/>
    </row>
    <row r="747">
      <c r="A747" s="26" t="n"/>
      <c r="B747" s="26">
        <f>IFERROR(IF(A747="","",VLOOKUP(A747,DATABASE!A:B,2,0)),"")</f>
        <v/>
      </c>
      <c r="C747" s="30">
        <f>IFERROR(IF(A747="","",VLOOKUP(A747,DATABASE!A:J,10,0)),"")</f>
        <v/>
      </c>
      <c r="D747" s="31">
        <f>IF(A747="","",TODAY())</f>
        <v/>
      </c>
      <c r="E747" s="30" t="n"/>
      <c r="F747" s="30">
        <f>IFERROR(IF(OR(A747="",E747=""),"",C747+E747),"")</f>
        <v/>
      </c>
      <c r="G747" s="26" t="n"/>
      <c r="H747" s="26" t="n"/>
    </row>
    <row r="748">
      <c r="A748" s="33" t="n"/>
      <c r="B748" s="33">
        <f>IFERROR(IF(A748="","",VLOOKUP(A748,DATABASE!A:B,2,0)),"")</f>
        <v/>
      </c>
      <c r="C748" s="34">
        <f>IFERROR(IF(A748="","",VLOOKUP(A748,DATABASE!A:J,10,0)),"")</f>
        <v/>
      </c>
      <c r="D748" s="35">
        <f>IF(A748="","",TODAY())</f>
        <v/>
      </c>
      <c r="E748" s="34" t="n"/>
      <c r="F748" s="34">
        <f>IFERROR(IF(OR(A748="",E748=""),"",C748+E748),"")</f>
        <v/>
      </c>
      <c r="G748" s="33" t="n"/>
      <c r="H748" s="33" t="n"/>
    </row>
    <row r="749">
      <c r="A749" s="26" t="n"/>
      <c r="B749" s="26">
        <f>IFERROR(IF(A749="","",VLOOKUP(A749,DATABASE!A:B,2,0)),"")</f>
        <v/>
      </c>
      <c r="C749" s="30">
        <f>IFERROR(IF(A749="","",VLOOKUP(A749,DATABASE!A:J,10,0)),"")</f>
        <v/>
      </c>
      <c r="D749" s="31">
        <f>IF(A749="","",TODAY())</f>
        <v/>
      </c>
      <c r="E749" s="30" t="n"/>
      <c r="F749" s="30">
        <f>IFERROR(IF(OR(A749="",E749=""),"",C749+E749),"")</f>
        <v/>
      </c>
      <c r="G749" s="26" t="n"/>
      <c r="H749" s="26" t="n"/>
    </row>
    <row r="750">
      <c r="A750" s="33" t="n"/>
      <c r="B750" s="33">
        <f>IFERROR(IF(A750="","",VLOOKUP(A750,DATABASE!A:B,2,0)),"")</f>
        <v/>
      </c>
      <c r="C750" s="34">
        <f>IFERROR(IF(A750="","",VLOOKUP(A750,DATABASE!A:J,10,0)),"")</f>
        <v/>
      </c>
      <c r="D750" s="35">
        <f>IF(A750="","",TODAY())</f>
        <v/>
      </c>
      <c r="E750" s="34" t="n"/>
      <c r="F750" s="34">
        <f>IFERROR(IF(OR(A750="",E750=""),"",C750+E750),"")</f>
        <v/>
      </c>
      <c r="G750" s="33" t="n"/>
      <c r="H750" s="33" t="n"/>
    </row>
    <row r="751">
      <c r="A751" s="26" t="n"/>
      <c r="B751" s="26">
        <f>IFERROR(IF(A751="","",VLOOKUP(A751,DATABASE!A:B,2,0)),"")</f>
        <v/>
      </c>
      <c r="C751" s="30">
        <f>IFERROR(IF(A751="","",VLOOKUP(A751,DATABASE!A:J,10,0)),"")</f>
        <v/>
      </c>
      <c r="D751" s="31">
        <f>IF(A751="","",TODAY())</f>
        <v/>
      </c>
      <c r="E751" s="30" t="n"/>
      <c r="F751" s="30">
        <f>IFERROR(IF(OR(A751="",E751=""),"",C751+E751),"")</f>
        <v/>
      </c>
      <c r="G751" s="26" t="n"/>
      <c r="H751" s="26" t="n"/>
    </row>
    <row r="752">
      <c r="A752" s="33" t="n"/>
      <c r="B752" s="33">
        <f>IFERROR(IF(A752="","",VLOOKUP(A752,DATABASE!A:B,2,0)),"")</f>
        <v/>
      </c>
      <c r="C752" s="34">
        <f>IFERROR(IF(A752="","",VLOOKUP(A752,DATABASE!A:J,10,0)),"")</f>
        <v/>
      </c>
      <c r="D752" s="35">
        <f>IF(A752="","",TODAY())</f>
        <v/>
      </c>
      <c r="E752" s="34" t="n"/>
      <c r="F752" s="34">
        <f>IFERROR(IF(OR(A752="",E752=""),"",C752+E752),"")</f>
        <v/>
      </c>
      <c r="G752" s="33" t="n"/>
      <c r="H752" s="33" t="n"/>
    </row>
    <row r="753">
      <c r="A753" s="26" t="n"/>
      <c r="B753" s="26">
        <f>IFERROR(IF(A753="","",VLOOKUP(A753,DATABASE!A:B,2,0)),"")</f>
        <v/>
      </c>
      <c r="C753" s="30">
        <f>IFERROR(IF(A753="","",VLOOKUP(A753,DATABASE!A:J,10,0)),"")</f>
        <v/>
      </c>
      <c r="D753" s="31">
        <f>IF(A753="","",TODAY())</f>
        <v/>
      </c>
      <c r="E753" s="30" t="n"/>
      <c r="F753" s="30">
        <f>IFERROR(IF(OR(A753="",E753=""),"",C753+E753),"")</f>
        <v/>
      </c>
      <c r="G753" s="26" t="n"/>
      <c r="H753" s="26" t="n"/>
    </row>
    <row r="754">
      <c r="A754" s="33" t="n"/>
      <c r="B754" s="33">
        <f>IFERROR(IF(A754="","",VLOOKUP(A754,DATABASE!A:B,2,0)),"")</f>
        <v/>
      </c>
      <c r="C754" s="34">
        <f>IFERROR(IF(A754="","",VLOOKUP(A754,DATABASE!A:J,10,0)),"")</f>
        <v/>
      </c>
      <c r="D754" s="35">
        <f>IF(A754="","",TODAY())</f>
        <v/>
      </c>
      <c r="E754" s="34" t="n"/>
      <c r="F754" s="34">
        <f>IFERROR(IF(OR(A754="",E754=""),"",C754+E754),"")</f>
        <v/>
      </c>
      <c r="G754" s="33" t="n"/>
      <c r="H754" s="33" t="n"/>
    </row>
    <row r="755">
      <c r="A755" s="26" t="n"/>
      <c r="B755" s="26">
        <f>IFERROR(IF(A755="","",VLOOKUP(A755,DATABASE!A:B,2,0)),"")</f>
        <v/>
      </c>
      <c r="C755" s="30">
        <f>IFERROR(IF(A755="","",VLOOKUP(A755,DATABASE!A:J,10,0)),"")</f>
        <v/>
      </c>
      <c r="D755" s="31">
        <f>IF(A755="","",TODAY())</f>
        <v/>
      </c>
      <c r="E755" s="30" t="n"/>
      <c r="F755" s="30">
        <f>IFERROR(IF(OR(A755="",E755=""),"",C755+E755),"")</f>
        <v/>
      </c>
      <c r="G755" s="26" t="n"/>
      <c r="H755" s="26" t="n"/>
    </row>
    <row r="756">
      <c r="A756" s="33" t="n"/>
      <c r="B756" s="33">
        <f>IFERROR(IF(A756="","",VLOOKUP(A756,DATABASE!A:B,2,0)),"")</f>
        <v/>
      </c>
      <c r="C756" s="34">
        <f>IFERROR(IF(A756="","",VLOOKUP(A756,DATABASE!A:J,10,0)),"")</f>
        <v/>
      </c>
      <c r="D756" s="35">
        <f>IF(A756="","",TODAY())</f>
        <v/>
      </c>
      <c r="E756" s="34" t="n"/>
      <c r="F756" s="34">
        <f>IFERROR(IF(OR(A756="",E756=""),"",C756+E756),"")</f>
        <v/>
      </c>
      <c r="G756" s="33" t="n"/>
      <c r="H756" s="33" t="n"/>
    </row>
    <row r="757">
      <c r="A757" s="26" t="n"/>
      <c r="B757" s="26">
        <f>IFERROR(IF(A757="","",VLOOKUP(A757,DATABASE!A:B,2,0)),"")</f>
        <v/>
      </c>
      <c r="C757" s="30">
        <f>IFERROR(IF(A757="","",VLOOKUP(A757,DATABASE!A:J,10,0)),"")</f>
        <v/>
      </c>
      <c r="D757" s="31">
        <f>IF(A757="","",TODAY())</f>
        <v/>
      </c>
      <c r="E757" s="30" t="n"/>
      <c r="F757" s="30">
        <f>IFERROR(IF(OR(A757="",E757=""),"",C757+E757),"")</f>
        <v/>
      </c>
      <c r="G757" s="26" t="n"/>
      <c r="H757" s="26" t="n"/>
    </row>
    <row r="758">
      <c r="A758" s="33" t="n"/>
      <c r="B758" s="33">
        <f>IFERROR(IF(A758="","",VLOOKUP(A758,DATABASE!A:B,2,0)),"")</f>
        <v/>
      </c>
      <c r="C758" s="34">
        <f>IFERROR(IF(A758="","",VLOOKUP(A758,DATABASE!A:J,10,0)),"")</f>
        <v/>
      </c>
      <c r="D758" s="35">
        <f>IF(A758="","",TODAY())</f>
        <v/>
      </c>
      <c r="E758" s="34" t="n"/>
      <c r="F758" s="34">
        <f>IFERROR(IF(OR(A758="",E758=""),"",C758+E758),"")</f>
        <v/>
      </c>
      <c r="G758" s="33" t="n"/>
      <c r="H758" s="33" t="n"/>
    </row>
    <row r="759">
      <c r="A759" s="26" t="n"/>
      <c r="B759" s="26">
        <f>IFERROR(IF(A759="","",VLOOKUP(A759,DATABASE!A:B,2,0)),"")</f>
        <v/>
      </c>
      <c r="C759" s="30">
        <f>IFERROR(IF(A759="","",VLOOKUP(A759,DATABASE!A:J,10,0)),"")</f>
        <v/>
      </c>
      <c r="D759" s="31">
        <f>IF(A759="","",TODAY())</f>
        <v/>
      </c>
      <c r="E759" s="30" t="n"/>
      <c r="F759" s="30">
        <f>IFERROR(IF(OR(A759="",E759=""),"",C759+E759),"")</f>
        <v/>
      </c>
      <c r="G759" s="26" t="n"/>
      <c r="H759" s="26" t="n"/>
    </row>
    <row r="760">
      <c r="A760" s="33" t="n"/>
      <c r="B760" s="33">
        <f>IFERROR(IF(A760="","",VLOOKUP(A760,DATABASE!A:B,2,0)),"")</f>
        <v/>
      </c>
      <c r="C760" s="34">
        <f>IFERROR(IF(A760="","",VLOOKUP(A760,DATABASE!A:J,10,0)),"")</f>
        <v/>
      </c>
      <c r="D760" s="35">
        <f>IF(A760="","",TODAY())</f>
        <v/>
      </c>
      <c r="E760" s="34" t="n"/>
      <c r="F760" s="34">
        <f>IFERROR(IF(OR(A760="",E760=""),"",C760+E760),"")</f>
        <v/>
      </c>
      <c r="G760" s="33" t="n"/>
      <c r="H760" s="33" t="n"/>
    </row>
    <row r="761">
      <c r="A761" s="26" t="n"/>
      <c r="B761" s="26">
        <f>IFERROR(IF(A761="","",VLOOKUP(A761,DATABASE!A:B,2,0)),"")</f>
        <v/>
      </c>
      <c r="C761" s="30">
        <f>IFERROR(IF(A761="","",VLOOKUP(A761,DATABASE!A:J,10,0)),"")</f>
        <v/>
      </c>
      <c r="D761" s="31">
        <f>IF(A761="","",TODAY())</f>
        <v/>
      </c>
      <c r="E761" s="30" t="n"/>
      <c r="F761" s="30">
        <f>IFERROR(IF(OR(A761="",E761=""),"",C761+E761),"")</f>
        <v/>
      </c>
      <c r="G761" s="26" t="n"/>
      <c r="H761" s="26" t="n"/>
    </row>
    <row r="762">
      <c r="A762" s="33" t="n"/>
      <c r="B762" s="33">
        <f>IFERROR(IF(A762="","",VLOOKUP(A762,DATABASE!A:B,2,0)),"")</f>
        <v/>
      </c>
      <c r="C762" s="34">
        <f>IFERROR(IF(A762="","",VLOOKUP(A762,DATABASE!A:J,10,0)),"")</f>
        <v/>
      </c>
      <c r="D762" s="35">
        <f>IF(A762="","",TODAY())</f>
        <v/>
      </c>
      <c r="E762" s="34" t="n"/>
      <c r="F762" s="34">
        <f>IFERROR(IF(OR(A762="",E762=""),"",C762+E762),"")</f>
        <v/>
      </c>
      <c r="G762" s="33" t="n"/>
      <c r="H762" s="33" t="n"/>
    </row>
    <row r="763">
      <c r="A763" s="26" t="n"/>
      <c r="B763" s="26">
        <f>IFERROR(IF(A763="","",VLOOKUP(A763,DATABASE!A:B,2,0)),"")</f>
        <v/>
      </c>
      <c r="C763" s="30">
        <f>IFERROR(IF(A763="","",VLOOKUP(A763,DATABASE!A:J,10,0)),"")</f>
        <v/>
      </c>
      <c r="D763" s="31">
        <f>IF(A763="","",TODAY())</f>
        <v/>
      </c>
      <c r="E763" s="30" t="n"/>
      <c r="F763" s="30">
        <f>IFERROR(IF(OR(A763="",E763=""),"",C763+E763),"")</f>
        <v/>
      </c>
      <c r="G763" s="26" t="n"/>
      <c r="H763" s="26" t="n"/>
    </row>
    <row r="764">
      <c r="A764" s="33" t="n"/>
      <c r="B764" s="33">
        <f>IFERROR(IF(A764="","",VLOOKUP(A764,DATABASE!A:B,2,0)),"")</f>
        <v/>
      </c>
      <c r="C764" s="34">
        <f>IFERROR(IF(A764="","",VLOOKUP(A764,DATABASE!A:J,10,0)),"")</f>
        <v/>
      </c>
      <c r="D764" s="35">
        <f>IF(A764="","",TODAY())</f>
        <v/>
      </c>
      <c r="E764" s="34" t="n"/>
      <c r="F764" s="34">
        <f>IFERROR(IF(OR(A764="",E764=""),"",C764+E764),"")</f>
        <v/>
      </c>
      <c r="G764" s="33" t="n"/>
      <c r="H764" s="33" t="n"/>
    </row>
    <row r="765">
      <c r="A765" s="26" t="n"/>
      <c r="B765" s="26">
        <f>IFERROR(IF(A765="","",VLOOKUP(A765,DATABASE!A:B,2,0)),"")</f>
        <v/>
      </c>
      <c r="C765" s="30">
        <f>IFERROR(IF(A765="","",VLOOKUP(A765,DATABASE!A:J,10,0)),"")</f>
        <v/>
      </c>
      <c r="D765" s="31">
        <f>IF(A765="","",TODAY())</f>
        <v/>
      </c>
      <c r="E765" s="30" t="n"/>
      <c r="F765" s="30">
        <f>IFERROR(IF(OR(A765="",E765=""),"",C765+E765),"")</f>
        <v/>
      </c>
      <c r="G765" s="26" t="n"/>
      <c r="H765" s="26" t="n"/>
    </row>
    <row r="766">
      <c r="A766" s="33" t="n"/>
      <c r="B766" s="33">
        <f>IFERROR(IF(A766="","",VLOOKUP(A766,DATABASE!A:B,2,0)),"")</f>
        <v/>
      </c>
      <c r="C766" s="34">
        <f>IFERROR(IF(A766="","",VLOOKUP(A766,DATABASE!A:J,10,0)),"")</f>
        <v/>
      </c>
      <c r="D766" s="35">
        <f>IF(A766="","",TODAY())</f>
        <v/>
      </c>
      <c r="E766" s="34" t="n"/>
      <c r="F766" s="34">
        <f>IFERROR(IF(OR(A766="",E766=""),"",C766+E766),"")</f>
        <v/>
      </c>
      <c r="G766" s="33" t="n"/>
      <c r="H766" s="33" t="n"/>
    </row>
    <row r="767">
      <c r="A767" s="26" t="n"/>
      <c r="B767" s="26">
        <f>IFERROR(IF(A767="","",VLOOKUP(A767,DATABASE!A:B,2,0)),"")</f>
        <v/>
      </c>
      <c r="C767" s="30">
        <f>IFERROR(IF(A767="","",VLOOKUP(A767,DATABASE!A:J,10,0)),"")</f>
        <v/>
      </c>
      <c r="D767" s="31">
        <f>IF(A767="","",TODAY())</f>
        <v/>
      </c>
      <c r="E767" s="30" t="n"/>
      <c r="F767" s="30">
        <f>IFERROR(IF(OR(A767="",E767=""),"",C767+E767),"")</f>
        <v/>
      </c>
      <c r="G767" s="26" t="n"/>
      <c r="H767" s="26" t="n"/>
    </row>
    <row r="768">
      <c r="A768" s="33" t="n"/>
      <c r="B768" s="33">
        <f>IFERROR(IF(A768="","",VLOOKUP(A768,DATABASE!A:B,2,0)),"")</f>
        <v/>
      </c>
      <c r="C768" s="34">
        <f>IFERROR(IF(A768="","",VLOOKUP(A768,DATABASE!A:J,10,0)),"")</f>
        <v/>
      </c>
      <c r="D768" s="35">
        <f>IF(A768="","",TODAY())</f>
        <v/>
      </c>
      <c r="E768" s="34" t="n"/>
      <c r="F768" s="34">
        <f>IFERROR(IF(OR(A768="",E768=""),"",C768+E768),"")</f>
        <v/>
      </c>
      <c r="G768" s="33" t="n"/>
      <c r="H768" s="33" t="n"/>
    </row>
    <row r="769">
      <c r="A769" s="26" t="n"/>
      <c r="B769" s="26">
        <f>IFERROR(IF(A769="","",VLOOKUP(A769,DATABASE!A:B,2,0)),"")</f>
        <v/>
      </c>
      <c r="C769" s="30">
        <f>IFERROR(IF(A769="","",VLOOKUP(A769,DATABASE!A:J,10,0)),"")</f>
        <v/>
      </c>
      <c r="D769" s="31">
        <f>IF(A769="","",TODAY())</f>
        <v/>
      </c>
      <c r="E769" s="30" t="n"/>
      <c r="F769" s="30">
        <f>IFERROR(IF(OR(A769="",E769=""),"",C769+E769),"")</f>
        <v/>
      </c>
      <c r="G769" s="26" t="n"/>
      <c r="H769" s="26" t="n"/>
    </row>
    <row r="770">
      <c r="A770" s="33" t="n"/>
      <c r="B770" s="33">
        <f>IFERROR(IF(A770="","",VLOOKUP(A770,DATABASE!A:B,2,0)),"")</f>
        <v/>
      </c>
      <c r="C770" s="34">
        <f>IFERROR(IF(A770="","",VLOOKUP(A770,DATABASE!A:J,10,0)),"")</f>
        <v/>
      </c>
      <c r="D770" s="35">
        <f>IF(A770="","",TODAY())</f>
        <v/>
      </c>
      <c r="E770" s="34" t="n"/>
      <c r="F770" s="34">
        <f>IFERROR(IF(OR(A770="",E770=""),"",C770+E770),"")</f>
        <v/>
      </c>
      <c r="G770" s="33" t="n"/>
      <c r="H770" s="33" t="n"/>
    </row>
    <row r="771">
      <c r="A771" s="26" t="n"/>
      <c r="B771" s="26">
        <f>IFERROR(IF(A771="","",VLOOKUP(A771,DATABASE!A:B,2,0)),"")</f>
        <v/>
      </c>
      <c r="C771" s="30">
        <f>IFERROR(IF(A771="","",VLOOKUP(A771,DATABASE!A:J,10,0)),"")</f>
        <v/>
      </c>
      <c r="D771" s="31">
        <f>IF(A771="","",TODAY())</f>
        <v/>
      </c>
      <c r="E771" s="30" t="n"/>
      <c r="F771" s="30">
        <f>IFERROR(IF(OR(A771="",E771=""),"",C771+E771),"")</f>
        <v/>
      </c>
      <c r="G771" s="26" t="n"/>
      <c r="H771" s="26" t="n"/>
    </row>
    <row r="772">
      <c r="A772" s="33" t="n"/>
      <c r="B772" s="33">
        <f>IFERROR(IF(A772="","",VLOOKUP(A772,DATABASE!A:B,2,0)),"")</f>
        <v/>
      </c>
      <c r="C772" s="34">
        <f>IFERROR(IF(A772="","",VLOOKUP(A772,DATABASE!A:J,10,0)),"")</f>
        <v/>
      </c>
      <c r="D772" s="35">
        <f>IF(A772="","",TODAY())</f>
        <v/>
      </c>
      <c r="E772" s="34" t="n"/>
      <c r="F772" s="34">
        <f>IFERROR(IF(OR(A772="",E772=""),"",C772+E772),"")</f>
        <v/>
      </c>
      <c r="G772" s="33" t="n"/>
      <c r="H772" s="33" t="n"/>
    </row>
    <row r="773">
      <c r="A773" s="26" t="n"/>
      <c r="B773" s="26">
        <f>IFERROR(IF(A773="","",VLOOKUP(A773,DATABASE!A:B,2,0)),"")</f>
        <v/>
      </c>
      <c r="C773" s="30">
        <f>IFERROR(IF(A773="","",VLOOKUP(A773,DATABASE!A:J,10,0)),"")</f>
        <v/>
      </c>
      <c r="D773" s="31">
        <f>IF(A773="","",TODAY())</f>
        <v/>
      </c>
      <c r="E773" s="30" t="n"/>
      <c r="F773" s="30">
        <f>IFERROR(IF(OR(A773="",E773=""),"",C773+E773),"")</f>
        <v/>
      </c>
      <c r="G773" s="26" t="n"/>
      <c r="H773" s="26" t="n"/>
    </row>
    <row r="774">
      <c r="A774" s="33" t="n"/>
      <c r="B774" s="33">
        <f>IFERROR(IF(A774="","",VLOOKUP(A774,DATABASE!A:B,2,0)),"")</f>
        <v/>
      </c>
      <c r="C774" s="34">
        <f>IFERROR(IF(A774="","",VLOOKUP(A774,DATABASE!A:J,10,0)),"")</f>
        <v/>
      </c>
      <c r="D774" s="35">
        <f>IF(A774="","",TODAY())</f>
        <v/>
      </c>
      <c r="E774" s="34" t="n"/>
      <c r="F774" s="34">
        <f>IFERROR(IF(OR(A774="",E774=""),"",C774+E774),"")</f>
        <v/>
      </c>
      <c r="G774" s="33" t="n"/>
      <c r="H774" s="33" t="n"/>
    </row>
    <row r="775">
      <c r="A775" s="26" t="n"/>
      <c r="B775" s="26">
        <f>IFERROR(IF(A775="","",VLOOKUP(A775,DATABASE!A:B,2,0)),"")</f>
        <v/>
      </c>
      <c r="C775" s="30">
        <f>IFERROR(IF(A775="","",VLOOKUP(A775,DATABASE!A:J,10,0)),"")</f>
        <v/>
      </c>
      <c r="D775" s="31">
        <f>IF(A775="","",TODAY())</f>
        <v/>
      </c>
      <c r="E775" s="30" t="n"/>
      <c r="F775" s="30">
        <f>IFERROR(IF(OR(A775="",E775=""),"",C775+E775),"")</f>
        <v/>
      </c>
      <c r="G775" s="26" t="n"/>
      <c r="H775" s="26" t="n"/>
    </row>
    <row r="776">
      <c r="A776" s="33" t="n"/>
      <c r="B776" s="33">
        <f>IFERROR(IF(A776="","",VLOOKUP(A776,DATABASE!A:B,2,0)),"")</f>
        <v/>
      </c>
      <c r="C776" s="34">
        <f>IFERROR(IF(A776="","",VLOOKUP(A776,DATABASE!A:J,10,0)),"")</f>
        <v/>
      </c>
      <c r="D776" s="35">
        <f>IF(A776="","",TODAY())</f>
        <v/>
      </c>
      <c r="E776" s="34" t="n"/>
      <c r="F776" s="34">
        <f>IFERROR(IF(OR(A776="",E776=""),"",C776+E776),"")</f>
        <v/>
      </c>
      <c r="G776" s="33" t="n"/>
      <c r="H776" s="33" t="n"/>
    </row>
    <row r="777">
      <c r="A777" s="26" t="n"/>
      <c r="B777" s="26">
        <f>IFERROR(IF(A777="","",VLOOKUP(A777,DATABASE!A:B,2,0)),"")</f>
        <v/>
      </c>
      <c r="C777" s="30">
        <f>IFERROR(IF(A777="","",VLOOKUP(A777,DATABASE!A:J,10,0)),"")</f>
        <v/>
      </c>
      <c r="D777" s="31">
        <f>IF(A777="","",TODAY())</f>
        <v/>
      </c>
      <c r="E777" s="30" t="n"/>
      <c r="F777" s="30">
        <f>IFERROR(IF(OR(A777="",E777=""),"",C777+E777),"")</f>
        <v/>
      </c>
      <c r="G777" s="26" t="n"/>
      <c r="H777" s="26" t="n"/>
    </row>
    <row r="778">
      <c r="A778" s="33" t="n"/>
      <c r="B778" s="33">
        <f>IFERROR(IF(A778="","",VLOOKUP(A778,DATABASE!A:B,2,0)),"")</f>
        <v/>
      </c>
      <c r="C778" s="34">
        <f>IFERROR(IF(A778="","",VLOOKUP(A778,DATABASE!A:J,10,0)),"")</f>
        <v/>
      </c>
      <c r="D778" s="35">
        <f>IF(A778="","",TODAY())</f>
        <v/>
      </c>
      <c r="E778" s="34" t="n"/>
      <c r="F778" s="34">
        <f>IFERROR(IF(OR(A778="",E778=""),"",C778+E778),"")</f>
        <v/>
      </c>
      <c r="G778" s="33" t="n"/>
      <c r="H778" s="33" t="n"/>
    </row>
    <row r="779">
      <c r="A779" s="26" t="n"/>
      <c r="B779" s="26">
        <f>IFERROR(IF(A779="","",VLOOKUP(A779,DATABASE!A:B,2,0)),"")</f>
        <v/>
      </c>
      <c r="C779" s="30">
        <f>IFERROR(IF(A779="","",VLOOKUP(A779,DATABASE!A:J,10,0)),"")</f>
        <v/>
      </c>
      <c r="D779" s="31">
        <f>IF(A779="","",TODAY())</f>
        <v/>
      </c>
      <c r="E779" s="30" t="n"/>
      <c r="F779" s="30">
        <f>IFERROR(IF(OR(A779="",E779=""),"",C779+E779),"")</f>
        <v/>
      </c>
      <c r="G779" s="26" t="n"/>
      <c r="H779" s="26" t="n"/>
    </row>
    <row r="780">
      <c r="A780" s="33" t="n"/>
      <c r="B780" s="33">
        <f>IFERROR(IF(A780="","",VLOOKUP(A780,DATABASE!A:B,2,0)),"")</f>
        <v/>
      </c>
      <c r="C780" s="34">
        <f>IFERROR(IF(A780="","",VLOOKUP(A780,DATABASE!A:J,10,0)),"")</f>
        <v/>
      </c>
      <c r="D780" s="35">
        <f>IF(A780="","",TODAY())</f>
        <v/>
      </c>
      <c r="E780" s="34" t="n"/>
      <c r="F780" s="34">
        <f>IFERROR(IF(OR(A780="",E780=""),"",C780+E780),"")</f>
        <v/>
      </c>
      <c r="G780" s="33" t="n"/>
      <c r="H780" s="33" t="n"/>
    </row>
    <row r="781">
      <c r="A781" s="26" t="n"/>
      <c r="B781" s="26">
        <f>IFERROR(IF(A781="","",VLOOKUP(A781,DATABASE!A:B,2,0)),"")</f>
        <v/>
      </c>
      <c r="C781" s="30">
        <f>IFERROR(IF(A781="","",VLOOKUP(A781,DATABASE!A:J,10,0)),"")</f>
        <v/>
      </c>
      <c r="D781" s="31">
        <f>IF(A781="","",TODAY())</f>
        <v/>
      </c>
      <c r="E781" s="30" t="n"/>
      <c r="F781" s="30">
        <f>IFERROR(IF(OR(A781="",E781=""),"",C781+E781),"")</f>
        <v/>
      </c>
      <c r="G781" s="26" t="n"/>
      <c r="H781" s="26" t="n"/>
    </row>
    <row r="782">
      <c r="A782" s="33" t="n"/>
      <c r="B782" s="33">
        <f>IFERROR(IF(A782="","",VLOOKUP(A782,DATABASE!A:B,2,0)),"")</f>
        <v/>
      </c>
      <c r="C782" s="34">
        <f>IFERROR(IF(A782="","",VLOOKUP(A782,DATABASE!A:J,10,0)),"")</f>
        <v/>
      </c>
      <c r="D782" s="35">
        <f>IF(A782="","",TODAY())</f>
        <v/>
      </c>
      <c r="E782" s="34" t="n"/>
      <c r="F782" s="34">
        <f>IFERROR(IF(OR(A782="",E782=""),"",C782+E782),"")</f>
        <v/>
      </c>
      <c r="G782" s="33" t="n"/>
      <c r="H782" s="33" t="n"/>
    </row>
    <row r="783">
      <c r="A783" s="26" t="n"/>
      <c r="B783" s="26">
        <f>IFERROR(IF(A783="","",VLOOKUP(A783,DATABASE!A:B,2,0)),"")</f>
        <v/>
      </c>
      <c r="C783" s="30">
        <f>IFERROR(IF(A783="","",VLOOKUP(A783,DATABASE!A:J,10,0)),"")</f>
        <v/>
      </c>
      <c r="D783" s="31">
        <f>IF(A783="","",TODAY())</f>
        <v/>
      </c>
      <c r="E783" s="30" t="n"/>
      <c r="F783" s="30">
        <f>IFERROR(IF(OR(A783="",E783=""),"",C783+E783),"")</f>
        <v/>
      </c>
      <c r="G783" s="26" t="n"/>
      <c r="H783" s="26" t="n"/>
    </row>
    <row r="784">
      <c r="A784" s="33" t="n"/>
      <c r="B784" s="33">
        <f>IFERROR(IF(A784="","",VLOOKUP(A784,DATABASE!A:B,2,0)),"")</f>
        <v/>
      </c>
      <c r="C784" s="34">
        <f>IFERROR(IF(A784="","",VLOOKUP(A784,DATABASE!A:J,10,0)),"")</f>
        <v/>
      </c>
      <c r="D784" s="35">
        <f>IF(A784="","",TODAY())</f>
        <v/>
      </c>
      <c r="E784" s="34" t="n"/>
      <c r="F784" s="34">
        <f>IFERROR(IF(OR(A784="",E784=""),"",C784+E784),"")</f>
        <v/>
      </c>
      <c r="G784" s="33" t="n"/>
      <c r="H784" s="33" t="n"/>
    </row>
    <row r="785">
      <c r="A785" s="26" t="n"/>
      <c r="B785" s="26">
        <f>IFERROR(IF(A785="","",VLOOKUP(A785,DATABASE!A:B,2,0)),"")</f>
        <v/>
      </c>
      <c r="C785" s="30">
        <f>IFERROR(IF(A785="","",VLOOKUP(A785,DATABASE!A:J,10,0)),"")</f>
        <v/>
      </c>
      <c r="D785" s="31">
        <f>IF(A785="","",TODAY())</f>
        <v/>
      </c>
      <c r="E785" s="30" t="n"/>
      <c r="F785" s="30">
        <f>IFERROR(IF(OR(A785="",E785=""),"",C785+E785),"")</f>
        <v/>
      </c>
      <c r="G785" s="26" t="n"/>
      <c r="H785" s="26" t="n"/>
    </row>
    <row r="786">
      <c r="A786" s="33" t="n"/>
      <c r="B786" s="33">
        <f>IFERROR(IF(A786="","",VLOOKUP(A786,DATABASE!A:B,2,0)),"")</f>
        <v/>
      </c>
      <c r="C786" s="34">
        <f>IFERROR(IF(A786="","",VLOOKUP(A786,DATABASE!A:J,10,0)),"")</f>
        <v/>
      </c>
      <c r="D786" s="35">
        <f>IF(A786="","",TODAY())</f>
        <v/>
      </c>
      <c r="E786" s="34" t="n"/>
      <c r="F786" s="34">
        <f>IFERROR(IF(OR(A786="",E786=""),"",C786+E786),"")</f>
        <v/>
      </c>
      <c r="G786" s="33" t="n"/>
      <c r="H786" s="33" t="n"/>
    </row>
    <row r="787">
      <c r="A787" s="26" t="n"/>
      <c r="B787" s="26">
        <f>IFERROR(IF(A787="","",VLOOKUP(A787,DATABASE!A:B,2,0)),"")</f>
        <v/>
      </c>
      <c r="C787" s="30">
        <f>IFERROR(IF(A787="","",VLOOKUP(A787,DATABASE!A:J,10,0)),"")</f>
        <v/>
      </c>
      <c r="D787" s="31">
        <f>IF(A787="","",TODAY())</f>
        <v/>
      </c>
      <c r="E787" s="30" t="n"/>
      <c r="F787" s="30">
        <f>IFERROR(IF(OR(A787="",E787=""),"",C787+E787),"")</f>
        <v/>
      </c>
      <c r="G787" s="26" t="n"/>
      <c r="H787" s="26" t="n"/>
    </row>
    <row r="788">
      <c r="A788" s="33" t="n"/>
      <c r="B788" s="33">
        <f>IFERROR(IF(A788="","",VLOOKUP(A788,DATABASE!A:B,2,0)),"")</f>
        <v/>
      </c>
      <c r="C788" s="34">
        <f>IFERROR(IF(A788="","",VLOOKUP(A788,DATABASE!A:J,10,0)),"")</f>
        <v/>
      </c>
      <c r="D788" s="35">
        <f>IF(A788="","",TODAY())</f>
        <v/>
      </c>
      <c r="E788" s="34" t="n"/>
      <c r="F788" s="34">
        <f>IFERROR(IF(OR(A788="",E788=""),"",C788+E788),"")</f>
        <v/>
      </c>
      <c r="G788" s="33" t="n"/>
      <c r="H788" s="33" t="n"/>
    </row>
    <row r="789">
      <c r="A789" s="26" t="n"/>
      <c r="B789" s="26">
        <f>IFERROR(IF(A789="","",VLOOKUP(A789,DATABASE!A:B,2,0)),"")</f>
        <v/>
      </c>
      <c r="C789" s="30">
        <f>IFERROR(IF(A789="","",VLOOKUP(A789,DATABASE!A:J,10,0)),"")</f>
        <v/>
      </c>
      <c r="D789" s="31">
        <f>IF(A789="","",TODAY())</f>
        <v/>
      </c>
      <c r="E789" s="30" t="n"/>
      <c r="F789" s="30">
        <f>IFERROR(IF(OR(A789="",E789=""),"",C789+E789),"")</f>
        <v/>
      </c>
      <c r="G789" s="26" t="n"/>
      <c r="H789" s="26" t="n"/>
    </row>
    <row r="790">
      <c r="A790" s="33" t="n"/>
      <c r="B790" s="33">
        <f>IFERROR(IF(A790="","",VLOOKUP(A790,DATABASE!A:B,2,0)),"")</f>
        <v/>
      </c>
      <c r="C790" s="34">
        <f>IFERROR(IF(A790="","",VLOOKUP(A790,DATABASE!A:J,10,0)),"")</f>
        <v/>
      </c>
      <c r="D790" s="35">
        <f>IF(A790="","",TODAY())</f>
        <v/>
      </c>
      <c r="E790" s="34" t="n"/>
      <c r="F790" s="34">
        <f>IFERROR(IF(OR(A790="",E790=""),"",C790+E790),"")</f>
        <v/>
      </c>
      <c r="G790" s="33" t="n"/>
      <c r="H790" s="33" t="n"/>
    </row>
    <row r="791">
      <c r="A791" s="26" t="n"/>
      <c r="B791" s="26">
        <f>IFERROR(IF(A791="","",VLOOKUP(A791,DATABASE!A:B,2,0)),"")</f>
        <v/>
      </c>
      <c r="C791" s="30">
        <f>IFERROR(IF(A791="","",VLOOKUP(A791,DATABASE!A:J,10,0)),"")</f>
        <v/>
      </c>
      <c r="D791" s="31">
        <f>IF(A791="","",TODAY())</f>
        <v/>
      </c>
      <c r="E791" s="30" t="n"/>
      <c r="F791" s="30">
        <f>IFERROR(IF(OR(A791="",E791=""),"",C791+E791),"")</f>
        <v/>
      </c>
      <c r="G791" s="26" t="n"/>
      <c r="H791" s="26" t="n"/>
    </row>
    <row r="792">
      <c r="A792" s="33" t="n"/>
      <c r="B792" s="33">
        <f>IFERROR(IF(A792="","",VLOOKUP(A792,DATABASE!A:B,2,0)),"")</f>
        <v/>
      </c>
      <c r="C792" s="34">
        <f>IFERROR(IF(A792="","",VLOOKUP(A792,DATABASE!A:J,10,0)),"")</f>
        <v/>
      </c>
      <c r="D792" s="35">
        <f>IF(A792="","",TODAY())</f>
        <v/>
      </c>
      <c r="E792" s="34" t="n"/>
      <c r="F792" s="34">
        <f>IFERROR(IF(OR(A792="",E792=""),"",C792+E792),"")</f>
        <v/>
      </c>
      <c r="G792" s="33" t="n"/>
      <c r="H792" s="33" t="n"/>
    </row>
    <row r="793">
      <c r="A793" s="26" t="n"/>
      <c r="B793" s="26">
        <f>IFERROR(IF(A793="","",VLOOKUP(A793,DATABASE!A:B,2,0)),"")</f>
        <v/>
      </c>
      <c r="C793" s="30">
        <f>IFERROR(IF(A793="","",VLOOKUP(A793,DATABASE!A:J,10,0)),"")</f>
        <v/>
      </c>
      <c r="D793" s="31">
        <f>IF(A793="","",TODAY())</f>
        <v/>
      </c>
      <c r="E793" s="30" t="n"/>
      <c r="F793" s="30">
        <f>IFERROR(IF(OR(A793="",E793=""),"",C793+E793),"")</f>
        <v/>
      </c>
      <c r="G793" s="26" t="n"/>
      <c r="H793" s="26" t="n"/>
    </row>
    <row r="794">
      <c r="A794" s="33" t="n"/>
      <c r="B794" s="33">
        <f>IFERROR(IF(A794="","",VLOOKUP(A794,DATABASE!A:B,2,0)),"")</f>
        <v/>
      </c>
      <c r="C794" s="34">
        <f>IFERROR(IF(A794="","",VLOOKUP(A794,DATABASE!A:J,10,0)),"")</f>
        <v/>
      </c>
      <c r="D794" s="35">
        <f>IF(A794="","",TODAY())</f>
        <v/>
      </c>
      <c r="E794" s="34" t="n"/>
      <c r="F794" s="34">
        <f>IFERROR(IF(OR(A794="",E794=""),"",C794+E794),"")</f>
        <v/>
      </c>
      <c r="G794" s="33" t="n"/>
      <c r="H794" s="33" t="n"/>
    </row>
    <row r="795">
      <c r="A795" s="26" t="n"/>
      <c r="B795" s="26">
        <f>IFERROR(IF(A795="","",VLOOKUP(A795,DATABASE!A:B,2,0)),"")</f>
        <v/>
      </c>
      <c r="C795" s="30">
        <f>IFERROR(IF(A795="","",VLOOKUP(A795,DATABASE!A:J,10,0)),"")</f>
        <v/>
      </c>
      <c r="D795" s="31">
        <f>IF(A795="","",TODAY())</f>
        <v/>
      </c>
      <c r="E795" s="30" t="n"/>
      <c r="F795" s="30">
        <f>IFERROR(IF(OR(A795="",E795=""),"",C795+E795),"")</f>
        <v/>
      </c>
      <c r="G795" s="26" t="n"/>
      <c r="H795" s="26" t="n"/>
    </row>
    <row r="796">
      <c r="A796" s="33" t="n"/>
      <c r="B796" s="33">
        <f>IFERROR(IF(A796="","",VLOOKUP(A796,DATABASE!A:B,2,0)),"")</f>
        <v/>
      </c>
      <c r="C796" s="34">
        <f>IFERROR(IF(A796="","",VLOOKUP(A796,DATABASE!A:J,10,0)),"")</f>
        <v/>
      </c>
      <c r="D796" s="35">
        <f>IF(A796="","",TODAY())</f>
        <v/>
      </c>
      <c r="E796" s="34" t="n"/>
      <c r="F796" s="34">
        <f>IFERROR(IF(OR(A796="",E796=""),"",C796+E796),"")</f>
        <v/>
      </c>
      <c r="G796" s="33" t="n"/>
      <c r="H796" s="33" t="n"/>
    </row>
    <row r="797">
      <c r="A797" s="26" t="n"/>
      <c r="B797" s="26">
        <f>IFERROR(IF(A797="","",VLOOKUP(A797,DATABASE!A:B,2,0)),"")</f>
        <v/>
      </c>
      <c r="C797" s="30">
        <f>IFERROR(IF(A797="","",VLOOKUP(A797,DATABASE!A:J,10,0)),"")</f>
        <v/>
      </c>
      <c r="D797" s="31">
        <f>IF(A797="","",TODAY())</f>
        <v/>
      </c>
      <c r="E797" s="30" t="n"/>
      <c r="F797" s="30">
        <f>IFERROR(IF(OR(A797="",E797=""),"",C797+E797),"")</f>
        <v/>
      </c>
      <c r="G797" s="26" t="n"/>
      <c r="H797" s="26" t="n"/>
    </row>
    <row r="798">
      <c r="A798" s="33" t="n"/>
      <c r="B798" s="33">
        <f>IFERROR(IF(A798="","",VLOOKUP(A798,DATABASE!A:B,2,0)),"")</f>
        <v/>
      </c>
      <c r="C798" s="34">
        <f>IFERROR(IF(A798="","",VLOOKUP(A798,DATABASE!A:J,10,0)),"")</f>
        <v/>
      </c>
      <c r="D798" s="35">
        <f>IF(A798="","",TODAY())</f>
        <v/>
      </c>
      <c r="E798" s="34" t="n"/>
      <c r="F798" s="34">
        <f>IFERROR(IF(OR(A798="",E798=""),"",C798+E798),"")</f>
        <v/>
      </c>
      <c r="G798" s="33" t="n"/>
      <c r="H798" s="33" t="n"/>
    </row>
    <row r="799">
      <c r="A799" s="26" t="n"/>
      <c r="B799" s="26">
        <f>IFERROR(IF(A799="","",VLOOKUP(A799,DATABASE!A:B,2,0)),"")</f>
        <v/>
      </c>
      <c r="C799" s="30">
        <f>IFERROR(IF(A799="","",VLOOKUP(A799,DATABASE!A:J,10,0)),"")</f>
        <v/>
      </c>
      <c r="D799" s="31">
        <f>IF(A799="","",TODAY())</f>
        <v/>
      </c>
      <c r="E799" s="30" t="n"/>
      <c r="F799" s="30">
        <f>IFERROR(IF(OR(A799="",E799=""),"",C799+E799),"")</f>
        <v/>
      </c>
      <c r="G799" s="26" t="n"/>
      <c r="H799" s="26" t="n"/>
    </row>
    <row r="800">
      <c r="A800" s="33" t="n"/>
      <c r="B800" s="33">
        <f>IFERROR(IF(A800="","",VLOOKUP(A800,DATABASE!A:B,2,0)),"")</f>
        <v/>
      </c>
      <c r="C800" s="34">
        <f>IFERROR(IF(A800="","",VLOOKUP(A800,DATABASE!A:J,10,0)),"")</f>
        <v/>
      </c>
      <c r="D800" s="35">
        <f>IF(A800="","",TODAY())</f>
        <v/>
      </c>
      <c r="E800" s="34" t="n"/>
      <c r="F800" s="34">
        <f>IFERROR(IF(OR(A800="",E800=""),"",C800+E800),"")</f>
        <v/>
      </c>
      <c r="G800" s="33" t="n"/>
      <c r="H800" s="33" t="n"/>
    </row>
    <row r="801">
      <c r="A801" s="26" t="n"/>
      <c r="B801" s="26">
        <f>IFERROR(IF(A801="","",VLOOKUP(A801,DATABASE!A:B,2,0)),"")</f>
        <v/>
      </c>
      <c r="C801" s="30">
        <f>IFERROR(IF(A801="","",VLOOKUP(A801,DATABASE!A:J,10,0)),"")</f>
        <v/>
      </c>
      <c r="D801" s="31">
        <f>IF(A801="","",TODAY())</f>
        <v/>
      </c>
      <c r="E801" s="30" t="n"/>
      <c r="F801" s="30">
        <f>IFERROR(IF(OR(A801="",E801=""),"",C801+E801),"")</f>
        <v/>
      </c>
      <c r="G801" s="26" t="n"/>
      <c r="H801" s="26" t="n"/>
    </row>
    <row r="802">
      <c r="A802" s="33" t="n"/>
      <c r="B802" s="33">
        <f>IFERROR(IF(A802="","",VLOOKUP(A802,DATABASE!A:B,2,0)),"")</f>
        <v/>
      </c>
      <c r="C802" s="34">
        <f>IFERROR(IF(A802="","",VLOOKUP(A802,DATABASE!A:J,10,0)),"")</f>
        <v/>
      </c>
      <c r="D802" s="35">
        <f>IF(A802="","",TODAY())</f>
        <v/>
      </c>
      <c r="E802" s="34" t="n"/>
      <c r="F802" s="34">
        <f>IFERROR(IF(OR(A802="",E802=""),"",C802+E802),"")</f>
        <v/>
      </c>
      <c r="G802" s="33" t="n"/>
      <c r="H802" s="33" t="n"/>
    </row>
    <row r="803">
      <c r="A803" s="26" t="n"/>
      <c r="B803" s="26">
        <f>IFERROR(IF(A803="","",VLOOKUP(A803,DATABASE!A:B,2,0)),"")</f>
        <v/>
      </c>
      <c r="C803" s="30">
        <f>IFERROR(IF(A803="","",VLOOKUP(A803,DATABASE!A:J,10,0)),"")</f>
        <v/>
      </c>
      <c r="D803" s="31">
        <f>IF(A803="","",TODAY())</f>
        <v/>
      </c>
      <c r="E803" s="30" t="n"/>
      <c r="F803" s="30">
        <f>IFERROR(IF(OR(A803="",E803=""),"",C803+E803),"")</f>
        <v/>
      </c>
      <c r="G803" s="26" t="n"/>
      <c r="H803" s="26" t="n"/>
    </row>
    <row r="804">
      <c r="A804" s="33" t="n"/>
      <c r="B804" s="33">
        <f>IFERROR(IF(A804="","",VLOOKUP(A804,DATABASE!A:B,2,0)),"")</f>
        <v/>
      </c>
      <c r="C804" s="34">
        <f>IFERROR(IF(A804="","",VLOOKUP(A804,DATABASE!A:J,10,0)),"")</f>
        <v/>
      </c>
      <c r="D804" s="35">
        <f>IF(A804="","",TODAY())</f>
        <v/>
      </c>
      <c r="E804" s="34" t="n"/>
      <c r="F804" s="34">
        <f>IFERROR(IF(OR(A804="",E804=""),"",C804+E804),"")</f>
        <v/>
      </c>
      <c r="G804" s="33" t="n"/>
      <c r="H804" s="33" t="n"/>
    </row>
    <row r="805">
      <c r="A805" s="26" t="n"/>
      <c r="B805" s="26">
        <f>IFERROR(IF(A805="","",VLOOKUP(A805,DATABASE!A:B,2,0)),"")</f>
        <v/>
      </c>
      <c r="C805" s="30">
        <f>IFERROR(IF(A805="","",VLOOKUP(A805,DATABASE!A:J,10,0)),"")</f>
        <v/>
      </c>
      <c r="D805" s="31">
        <f>IF(A805="","",TODAY())</f>
        <v/>
      </c>
      <c r="E805" s="30" t="n"/>
      <c r="F805" s="30">
        <f>IFERROR(IF(OR(A805="",E805=""),"",C805+E805),"")</f>
        <v/>
      </c>
      <c r="G805" s="26" t="n"/>
      <c r="H805" s="26" t="n"/>
    </row>
    <row r="806">
      <c r="A806" s="33" t="n"/>
      <c r="B806" s="33">
        <f>IFERROR(IF(A806="","",VLOOKUP(A806,DATABASE!A:B,2,0)),"")</f>
        <v/>
      </c>
      <c r="C806" s="34">
        <f>IFERROR(IF(A806="","",VLOOKUP(A806,DATABASE!A:J,10,0)),"")</f>
        <v/>
      </c>
      <c r="D806" s="35">
        <f>IF(A806="","",TODAY())</f>
        <v/>
      </c>
      <c r="E806" s="34" t="n"/>
      <c r="F806" s="34">
        <f>IFERROR(IF(OR(A806="",E806=""),"",C806+E806),"")</f>
        <v/>
      </c>
      <c r="G806" s="33" t="n"/>
      <c r="H806" s="33" t="n"/>
    </row>
    <row r="807">
      <c r="A807" s="26" t="n"/>
      <c r="B807" s="26">
        <f>IFERROR(IF(A807="","",VLOOKUP(A807,DATABASE!A:B,2,0)),"")</f>
        <v/>
      </c>
      <c r="C807" s="30">
        <f>IFERROR(IF(A807="","",VLOOKUP(A807,DATABASE!A:J,10,0)),"")</f>
        <v/>
      </c>
      <c r="D807" s="31">
        <f>IF(A807="","",TODAY())</f>
        <v/>
      </c>
      <c r="E807" s="30" t="n"/>
      <c r="F807" s="30">
        <f>IFERROR(IF(OR(A807="",E807=""),"",C807+E807),"")</f>
        <v/>
      </c>
      <c r="G807" s="26" t="n"/>
      <c r="H807" s="26" t="n"/>
    </row>
    <row r="808">
      <c r="A808" s="33" t="n"/>
      <c r="B808" s="33">
        <f>IFERROR(IF(A808="","",VLOOKUP(A808,DATABASE!A:B,2,0)),"")</f>
        <v/>
      </c>
      <c r="C808" s="34">
        <f>IFERROR(IF(A808="","",VLOOKUP(A808,DATABASE!A:J,10,0)),"")</f>
        <v/>
      </c>
      <c r="D808" s="35">
        <f>IF(A808="","",TODAY())</f>
        <v/>
      </c>
      <c r="E808" s="34" t="n"/>
      <c r="F808" s="34">
        <f>IFERROR(IF(OR(A808="",E808=""),"",C808+E808),"")</f>
        <v/>
      </c>
      <c r="G808" s="33" t="n"/>
      <c r="H808" s="33" t="n"/>
    </row>
    <row r="809">
      <c r="A809" s="26" t="n"/>
      <c r="B809" s="26">
        <f>IFERROR(IF(A809="","",VLOOKUP(A809,DATABASE!A:B,2,0)),"")</f>
        <v/>
      </c>
      <c r="C809" s="30">
        <f>IFERROR(IF(A809="","",VLOOKUP(A809,DATABASE!A:J,10,0)),"")</f>
        <v/>
      </c>
      <c r="D809" s="31">
        <f>IF(A809="","",TODAY())</f>
        <v/>
      </c>
      <c r="E809" s="30" t="n"/>
      <c r="F809" s="30">
        <f>IFERROR(IF(OR(A809="",E809=""),"",C809+E809),"")</f>
        <v/>
      </c>
      <c r="G809" s="26" t="n"/>
      <c r="H809" s="26" t="n"/>
    </row>
    <row r="810">
      <c r="A810" s="33" t="n"/>
      <c r="B810" s="33">
        <f>IFERROR(IF(A810="","",VLOOKUP(A810,DATABASE!A:B,2,0)),"")</f>
        <v/>
      </c>
      <c r="C810" s="34">
        <f>IFERROR(IF(A810="","",VLOOKUP(A810,DATABASE!A:J,10,0)),"")</f>
        <v/>
      </c>
      <c r="D810" s="35">
        <f>IF(A810="","",TODAY())</f>
        <v/>
      </c>
      <c r="E810" s="34" t="n"/>
      <c r="F810" s="34">
        <f>IFERROR(IF(OR(A810="",E810=""),"",C810+E810),"")</f>
        <v/>
      </c>
      <c r="G810" s="33" t="n"/>
      <c r="H810" s="33" t="n"/>
    </row>
    <row r="811">
      <c r="A811" s="26" t="n"/>
      <c r="B811" s="26">
        <f>IFERROR(IF(A811="","",VLOOKUP(A811,DATABASE!A:B,2,0)),"")</f>
        <v/>
      </c>
      <c r="C811" s="30">
        <f>IFERROR(IF(A811="","",VLOOKUP(A811,DATABASE!A:J,10,0)),"")</f>
        <v/>
      </c>
      <c r="D811" s="31">
        <f>IF(A811="","",TODAY())</f>
        <v/>
      </c>
      <c r="E811" s="30" t="n"/>
      <c r="F811" s="30">
        <f>IFERROR(IF(OR(A811="",E811=""),"",C811+E811),"")</f>
        <v/>
      </c>
      <c r="G811" s="26" t="n"/>
      <c r="H811" s="26" t="n"/>
    </row>
    <row r="812">
      <c r="A812" s="33" t="n"/>
      <c r="B812" s="33">
        <f>IFERROR(IF(A812="","",VLOOKUP(A812,DATABASE!A:B,2,0)),"")</f>
        <v/>
      </c>
      <c r="C812" s="34">
        <f>IFERROR(IF(A812="","",VLOOKUP(A812,DATABASE!A:J,10,0)),"")</f>
        <v/>
      </c>
      <c r="D812" s="35">
        <f>IF(A812="","",TODAY())</f>
        <v/>
      </c>
      <c r="E812" s="34" t="n"/>
      <c r="F812" s="34">
        <f>IFERROR(IF(OR(A812="",E812=""),"",C812+E812),"")</f>
        <v/>
      </c>
      <c r="G812" s="33" t="n"/>
      <c r="H812" s="33" t="n"/>
    </row>
    <row r="813">
      <c r="A813" s="26" t="n"/>
      <c r="B813" s="26">
        <f>IFERROR(IF(A813="","",VLOOKUP(A813,DATABASE!A:B,2,0)),"")</f>
        <v/>
      </c>
      <c r="C813" s="30">
        <f>IFERROR(IF(A813="","",VLOOKUP(A813,DATABASE!A:J,10,0)),"")</f>
        <v/>
      </c>
      <c r="D813" s="31">
        <f>IF(A813="","",TODAY())</f>
        <v/>
      </c>
      <c r="E813" s="30" t="n"/>
      <c r="F813" s="30">
        <f>IFERROR(IF(OR(A813="",E813=""),"",C813+E813),"")</f>
        <v/>
      </c>
      <c r="G813" s="26" t="n"/>
      <c r="H813" s="26" t="n"/>
    </row>
    <row r="814">
      <c r="A814" s="33" t="n"/>
      <c r="B814" s="33">
        <f>IFERROR(IF(A814="","",VLOOKUP(A814,DATABASE!A:B,2,0)),"")</f>
        <v/>
      </c>
      <c r="C814" s="34">
        <f>IFERROR(IF(A814="","",VLOOKUP(A814,DATABASE!A:J,10,0)),"")</f>
        <v/>
      </c>
      <c r="D814" s="35">
        <f>IF(A814="","",TODAY())</f>
        <v/>
      </c>
      <c r="E814" s="34" t="n"/>
      <c r="F814" s="34">
        <f>IFERROR(IF(OR(A814="",E814=""),"",C814+E814),"")</f>
        <v/>
      </c>
      <c r="G814" s="33" t="n"/>
      <c r="H814" s="33" t="n"/>
    </row>
    <row r="815">
      <c r="A815" s="26" t="n"/>
      <c r="B815" s="26">
        <f>IFERROR(IF(A815="","",VLOOKUP(A815,DATABASE!A:B,2,0)),"")</f>
        <v/>
      </c>
      <c r="C815" s="30">
        <f>IFERROR(IF(A815="","",VLOOKUP(A815,DATABASE!A:J,10,0)),"")</f>
        <v/>
      </c>
      <c r="D815" s="31">
        <f>IF(A815="","",TODAY())</f>
        <v/>
      </c>
      <c r="E815" s="30" t="n"/>
      <c r="F815" s="30">
        <f>IFERROR(IF(OR(A815="",E815=""),"",C815+E815),"")</f>
        <v/>
      </c>
      <c r="G815" s="26" t="n"/>
      <c r="H815" s="26" t="n"/>
    </row>
    <row r="816">
      <c r="A816" s="33" t="n"/>
      <c r="B816" s="33">
        <f>IFERROR(IF(A816="","",VLOOKUP(A816,DATABASE!A:B,2,0)),"")</f>
        <v/>
      </c>
      <c r="C816" s="34">
        <f>IFERROR(IF(A816="","",VLOOKUP(A816,DATABASE!A:J,10,0)),"")</f>
        <v/>
      </c>
      <c r="D816" s="35">
        <f>IF(A816="","",TODAY())</f>
        <v/>
      </c>
      <c r="E816" s="34" t="n"/>
      <c r="F816" s="34">
        <f>IFERROR(IF(OR(A816="",E816=""),"",C816+E816),"")</f>
        <v/>
      </c>
      <c r="G816" s="33" t="n"/>
      <c r="H816" s="33" t="n"/>
    </row>
    <row r="817">
      <c r="A817" s="26" t="n"/>
      <c r="B817" s="26">
        <f>IFERROR(IF(A817="","",VLOOKUP(A817,DATABASE!A:B,2,0)),"")</f>
        <v/>
      </c>
      <c r="C817" s="30">
        <f>IFERROR(IF(A817="","",VLOOKUP(A817,DATABASE!A:J,10,0)),"")</f>
        <v/>
      </c>
      <c r="D817" s="31">
        <f>IF(A817="","",TODAY())</f>
        <v/>
      </c>
      <c r="E817" s="30" t="n"/>
      <c r="F817" s="30">
        <f>IFERROR(IF(OR(A817="",E817=""),"",C817+E817),"")</f>
        <v/>
      </c>
      <c r="G817" s="26" t="n"/>
      <c r="H817" s="26" t="n"/>
    </row>
    <row r="818">
      <c r="A818" s="33" t="n"/>
      <c r="B818" s="33">
        <f>IFERROR(IF(A818="","",VLOOKUP(A818,DATABASE!A:B,2,0)),"")</f>
        <v/>
      </c>
      <c r="C818" s="34">
        <f>IFERROR(IF(A818="","",VLOOKUP(A818,DATABASE!A:J,10,0)),"")</f>
        <v/>
      </c>
      <c r="D818" s="35">
        <f>IF(A818="","",TODAY())</f>
        <v/>
      </c>
      <c r="E818" s="34" t="n"/>
      <c r="F818" s="34">
        <f>IFERROR(IF(OR(A818="",E818=""),"",C818+E818),"")</f>
        <v/>
      </c>
      <c r="G818" s="33" t="n"/>
      <c r="H818" s="33" t="n"/>
    </row>
    <row r="819">
      <c r="A819" s="26" t="n"/>
      <c r="B819" s="26">
        <f>IFERROR(IF(A819="","",VLOOKUP(A819,DATABASE!A:B,2,0)),"")</f>
        <v/>
      </c>
      <c r="C819" s="30">
        <f>IFERROR(IF(A819="","",VLOOKUP(A819,DATABASE!A:J,10,0)),"")</f>
        <v/>
      </c>
      <c r="D819" s="31">
        <f>IF(A819="","",TODAY())</f>
        <v/>
      </c>
      <c r="E819" s="30" t="n"/>
      <c r="F819" s="30">
        <f>IFERROR(IF(OR(A819="",E819=""),"",C819+E819),"")</f>
        <v/>
      </c>
      <c r="G819" s="26" t="n"/>
      <c r="H819" s="26" t="n"/>
    </row>
    <row r="820">
      <c r="A820" s="33" t="n"/>
      <c r="B820" s="33">
        <f>IFERROR(IF(A820="","",VLOOKUP(A820,DATABASE!A:B,2,0)),"")</f>
        <v/>
      </c>
      <c r="C820" s="34">
        <f>IFERROR(IF(A820="","",VLOOKUP(A820,DATABASE!A:J,10,0)),"")</f>
        <v/>
      </c>
      <c r="D820" s="35">
        <f>IF(A820="","",TODAY())</f>
        <v/>
      </c>
      <c r="E820" s="34" t="n"/>
      <c r="F820" s="34">
        <f>IFERROR(IF(OR(A820="",E820=""),"",C820+E820),"")</f>
        <v/>
      </c>
      <c r="G820" s="33" t="n"/>
      <c r="H820" s="33" t="n"/>
    </row>
    <row r="821">
      <c r="A821" s="26" t="n"/>
      <c r="B821" s="26">
        <f>IFERROR(IF(A821="","",VLOOKUP(A821,DATABASE!A:B,2,0)),"")</f>
        <v/>
      </c>
      <c r="C821" s="30">
        <f>IFERROR(IF(A821="","",VLOOKUP(A821,DATABASE!A:J,10,0)),"")</f>
        <v/>
      </c>
      <c r="D821" s="31">
        <f>IF(A821="","",TODAY())</f>
        <v/>
      </c>
      <c r="E821" s="30" t="n"/>
      <c r="F821" s="30">
        <f>IFERROR(IF(OR(A821="",E821=""),"",C821+E821),"")</f>
        <v/>
      </c>
      <c r="G821" s="26" t="n"/>
      <c r="H821" s="26" t="n"/>
    </row>
    <row r="822">
      <c r="A822" s="33" t="n"/>
      <c r="B822" s="33">
        <f>IFERROR(IF(A822="","",VLOOKUP(A822,DATABASE!A:B,2,0)),"")</f>
        <v/>
      </c>
      <c r="C822" s="34">
        <f>IFERROR(IF(A822="","",VLOOKUP(A822,DATABASE!A:J,10,0)),"")</f>
        <v/>
      </c>
      <c r="D822" s="35">
        <f>IF(A822="","",TODAY())</f>
        <v/>
      </c>
      <c r="E822" s="34" t="n"/>
      <c r="F822" s="34">
        <f>IFERROR(IF(OR(A822="",E822=""),"",C822+E822),"")</f>
        <v/>
      </c>
      <c r="G822" s="33" t="n"/>
      <c r="H822" s="33" t="n"/>
    </row>
    <row r="823">
      <c r="A823" s="26" t="n"/>
      <c r="B823" s="26">
        <f>IFERROR(IF(A823="","",VLOOKUP(A823,DATABASE!A:B,2,0)),"")</f>
        <v/>
      </c>
      <c r="C823" s="30">
        <f>IFERROR(IF(A823="","",VLOOKUP(A823,DATABASE!A:J,10,0)),"")</f>
        <v/>
      </c>
      <c r="D823" s="31">
        <f>IF(A823="","",TODAY())</f>
        <v/>
      </c>
      <c r="E823" s="30" t="n"/>
      <c r="F823" s="30">
        <f>IFERROR(IF(OR(A823="",E823=""),"",C823+E823),"")</f>
        <v/>
      </c>
      <c r="G823" s="26" t="n"/>
      <c r="H823" s="26" t="n"/>
    </row>
    <row r="824">
      <c r="A824" s="33" t="n"/>
      <c r="B824" s="33">
        <f>IFERROR(IF(A824="","",VLOOKUP(A824,DATABASE!A:B,2,0)),"")</f>
        <v/>
      </c>
      <c r="C824" s="34">
        <f>IFERROR(IF(A824="","",VLOOKUP(A824,DATABASE!A:J,10,0)),"")</f>
        <v/>
      </c>
      <c r="D824" s="35">
        <f>IF(A824="","",TODAY())</f>
        <v/>
      </c>
      <c r="E824" s="34" t="n"/>
      <c r="F824" s="34">
        <f>IFERROR(IF(OR(A824="",E824=""),"",C824+E824),"")</f>
        <v/>
      </c>
      <c r="G824" s="33" t="n"/>
      <c r="H824" s="33" t="n"/>
    </row>
    <row r="825">
      <c r="A825" s="26" t="n"/>
      <c r="B825" s="26">
        <f>IFERROR(IF(A825="","",VLOOKUP(A825,DATABASE!A:B,2,0)),"")</f>
        <v/>
      </c>
      <c r="C825" s="30">
        <f>IFERROR(IF(A825="","",VLOOKUP(A825,DATABASE!A:J,10,0)),"")</f>
        <v/>
      </c>
      <c r="D825" s="31">
        <f>IF(A825="","",TODAY())</f>
        <v/>
      </c>
      <c r="E825" s="30" t="n"/>
      <c r="F825" s="30">
        <f>IFERROR(IF(OR(A825="",E825=""),"",C825+E825),"")</f>
        <v/>
      </c>
      <c r="G825" s="26" t="n"/>
      <c r="H825" s="26" t="n"/>
    </row>
    <row r="826">
      <c r="A826" s="33" t="n"/>
      <c r="B826" s="33">
        <f>IFERROR(IF(A826="","",VLOOKUP(A826,DATABASE!A:B,2,0)),"")</f>
        <v/>
      </c>
      <c r="C826" s="34">
        <f>IFERROR(IF(A826="","",VLOOKUP(A826,DATABASE!A:J,10,0)),"")</f>
        <v/>
      </c>
      <c r="D826" s="35">
        <f>IF(A826="","",TODAY())</f>
        <v/>
      </c>
      <c r="E826" s="34" t="n"/>
      <c r="F826" s="34">
        <f>IFERROR(IF(OR(A826="",E826=""),"",C826+E826),"")</f>
        <v/>
      </c>
      <c r="G826" s="33" t="n"/>
      <c r="H826" s="33" t="n"/>
    </row>
    <row r="827">
      <c r="A827" s="26" t="n"/>
      <c r="B827" s="26">
        <f>IFERROR(IF(A827="","",VLOOKUP(A827,DATABASE!A:B,2,0)),"")</f>
        <v/>
      </c>
      <c r="C827" s="30">
        <f>IFERROR(IF(A827="","",VLOOKUP(A827,DATABASE!A:J,10,0)),"")</f>
        <v/>
      </c>
      <c r="D827" s="31">
        <f>IF(A827="","",TODAY())</f>
        <v/>
      </c>
      <c r="E827" s="30" t="n"/>
      <c r="F827" s="30">
        <f>IFERROR(IF(OR(A827="",E827=""),"",C827+E827),"")</f>
        <v/>
      </c>
      <c r="G827" s="26" t="n"/>
      <c r="H827" s="26" t="n"/>
    </row>
    <row r="828">
      <c r="A828" s="33" t="n"/>
      <c r="B828" s="33">
        <f>IFERROR(IF(A828="","",VLOOKUP(A828,DATABASE!A:B,2,0)),"")</f>
        <v/>
      </c>
      <c r="C828" s="34">
        <f>IFERROR(IF(A828="","",VLOOKUP(A828,DATABASE!A:J,10,0)),"")</f>
        <v/>
      </c>
      <c r="D828" s="35">
        <f>IF(A828="","",TODAY())</f>
        <v/>
      </c>
      <c r="E828" s="34" t="n"/>
      <c r="F828" s="34">
        <f>IFERROR(IF(OR(A828="",E828=""),"",C828+E828),"")</f>
        <v/>
      </c>
      <c r="G828" s="33" t="n"/>
      <c r="H828" s="33" t="n"/>
    </row>
    <row r="829">
      <c r="A829" s="26" t="n"/>
      <c r="B829" s="26">
        <f>IFERROR(IF(A829="","",VLOOKUP(A829,DATABASE!A:B,2,0)),"")</f>
        <v/>
      </c>
      <c r="C829" s="30">
        <f>IFERROR(IF(A829="","",VLOOKUP(A829,DATABASE!A:J,10,0)),"")</f>
        <v/>
      </c>
      <c r="D829" s="31">
        <f>IF(A829="","",TODAY())</f>
        <v/>
      </c>
      <c r="E829" s="30" t="n"/>
      <c r="F829" s="30">
        <f>IFERROR(IF(OR(A829="",E829=""),"",C829+E829),"")</f>
        <v/>
      </c>
      <c r="G829" s="26" t="n"/>
      <c r="H829" s="26" t="n"/>
    </row>
    <row r="830">
      <c r="A830" s="33" t="n"/>
      <c r="B830" s="33">
        <f>IFERROR(IF(A830="","",VLOOKUP(A830,DATABASE!A:B,2,0)),"")</f>
        <v/>
      </c>
      <c r="C830" s="34">
        <f>IFERROR(IF(A830="","",VLOOKUP(A830,DATABASE!A:J,10,0)),"")</f>
        <v/>
      </c>
      <c r="D830" s="35">
        <f>IF(A830="","",TODAY())</f>
        <v/>
      </c>
      <c r="E830" s="34" t="n"/>
      <c r="F830" s="34">
        <f>IFERROR(IF(OR(A830="",E830=""),"",C830+E830),"")</f>
        <v/>
      </c>
      <c r="G830" s="33" t="n"/>
      <c r="H830" s="33" t="n"/>
    </row>
    <row r="831">
      <c r="A831" s="26" t="n"/>
      <c r="B831" s="26">
        <f>IFERROR(IF(A831="","",VLOOKUP(A831,DATABASE!A:B,2,0)),"")</f>
        <v/>
      </c>
      <c r="C831" s="30">
        <f>IFERROR(IF(A831="","",VLOOKUP(A831,DATABASE!A:J,10,0)),"")</f>
        <v/>
      </c>
      <c r="D831" s="31">
        <f>IF(A831="","",TODAY())</f>
        <v/>
      </c>
      <c r="E831" s="30" t="n"/>
      <c r="F831" s="30">
        <f>IFERROR(IF(OR(A831="",E831=""),"",C831+E831),"")</f>
        <v/>
      </c>
      <c r="G831" s="26" t="n"/>
      <c r="H831" s="26" t="n"/>
    </row>
    <row r="832">
      <c r="A832" s="33" t="n"/>
      <c r="B832" s="33">
        <f>IFERROR(IF(A832="","",VLOOKUP(A832,DATABASE!A:B,2,0)),"")</f>
        <v/>
      </c>
      <c r="C832" s="34">
        <f>IFERROR(IF(A832="","",VLOOKUP(A832,DATABASE!A:J,10,0)),"")</f>
        <v/>
      </c>
      <c r="D832" s="35">
        <f>IF(A832="","",TODAY())</f>
        <v/>
      </c>
      <c r="E832" s="34" t="n"/>
      <c r="F832" s="34">
        <f>IFERROR(IF(OR(A832="",E832=""),"",C832+E832),"")</f>
        <v/>
      </c>
      <c r="G832" s="33" t="n"/>
      <c r="H832" s="33" t="n"/>
    </row>
    <row r="833">
      <c r="A833" s="26" t="n"/>
      <c r="B833" s="26">
        <f>IFERROR(IF(A833="","",VLOOKUP(A833,DATABASE!A:B,2,0)),"")</f>
        <v/>
      </c>
      <c r="C833" s="30">
        <f>IFERROR(IF(A833="","",VLOOKUP(A833,DATABASE!A:J,10,0)),"")</f>
        <v/>
      </c>
      <c r="D833" s="31">
        <f>IF(A833="","",TODAY())</f>
        <v/>
      </c>
      <c r="E833" s="30" t="n"/>
      <c r="F833" s="30">
        <f>IFERROR(IF(OR(A833="",E833=""),"",C833+E833),"")</f>
        <v/>
      </c>
      <c r="G833" s="26" t="n"/>
      <c r="H833" s="26" t="n"/>
    </row>
    <row r="834">
      <c r="A834" s="33" t="n"/>
      <c r="B834" s="33">
        <f>IFERROR(IF(A834="","",VLOOKUP(A834,DATABASE!A:B,2,0)),"")</f>
        <v/>
      </c>
      <c r="C834" s="34">
        <f>IFERROR(IF(A834="","",VLOOKUP(A834,DATABASE!A:J,10,0)),"")</f>
        <v/>
      </c>
      <c r="D834" s="35">
        <f>IF(A834="","",TODAY())</f>
        <v/>
      </c>
      <c r="E834" s="34" t="n"/>
      <c r="F834" s="34">
        <f>IFERROR(IF(OR(A834="",E834=""),"",C834+E834),"")</f>
        <v/>
      </c>
      <c r="G834" s="33" t="n"/>
      <c r="H834" s="33" t="n"/>
    </row>
    <row r="835">
      <c r="A835" s="26" t="n"/>
      <c r="B835" s="26">
        <f>IFERROR(IF(A835="","",VLOOKUP(A835,DATABASE!A:B,2,0)),"")</f>
        <v/>
      </c>
      <c r="C835" s="30">
        <f>IFERROR(IF(A835="","",VLOOKUP(A835,DATABASE!A:J,10,0)),"")</f>
        <v/>
      </c>
      <c r="D835" s="31">
        <f>IF(A835="","",TODAY())</f>
        <v/>
      </c>
      <c r="E835" s="30" t="n"/>
      <c r="F835" s="30">
        <f>IFERROR(IF(OR(A835="",E835=""),"",C835+E835),"")</f>
        <v/>
      </c>
      <c r="G835" s="26" t="n"/>
      <c r="H835" s="26" t="n"/>
    </row>
    <row r="836">
      <c r="A836" s="33" t="n"/>
      <c r="B836" s="33">
        <f>IFERROR(IF(A836="","",VLOOKUP(A836,DATABASE!A:B,2,0)),"")</f>
        <v/>
      </c>
      <c r="C836" s="34">
        <f>IFERROR(IF(A836="","",VLOOKUP(A836,DATABASE!A:J,10,0)),"")</f>
        <v/>
      </c>
      <c r="D836" s="35">
        <f>IF(A836="","",TODAY())</f>
        <v/>
      </c>
      <c r="E836" s="34" t="n"/>
      <c r="F836" s="34">
        <f>IFERROR(IF(OR(A836="",E836=""),"",C836+E836),"")</f>
        <v/>
      </c>
      <c r="G836" s="33" t="n"/>
      <c r="H836" s="33" t="n"/>
    </row>
    <row r="837">
      <c r="A837" s="26" t="n"/>
      <c r="B837" s="26">
        <f>IFERROR(IF(A837="","",VLOOKUP(A837,DATABASE!A:B,2,0)),"")</f>
        <v/>
      </c>
      <c r="C837" s="30">
        <f>IFERROR(IF(A837="","",VLOOKUP(A837,DATABASE!A:J,10,0)),"")</f>
        <v/>
      </c>
      <c r="D837" s="31">
        <f>IF(A837="","",TODAY())</f>
        <v/>
      </c>
      <c r="E837" s="30" t="n"/>
      <c r="F837" s="30">
        <f>IFERROR(IF(OR(A837="",E837=""),"",C837+E837),"")</f>
        <v/>
      </c>
      <c r="G837" s="26" t="n"/>
      <c r="H837" s="26" t="n"/>
    </row>
    <row r="838">
      <c r="A838" s="33" t="n"/>
      <c r="B838" s="33">
        <f>IFERROR(IF(A838="","",VLOOKUP(A838,DATABASE!A:B,2,0)),"")</f>
        <v/>
      </c>
      <c r="C838" s="34">
        <f>IFERROR(IF(A838="","",VLOOKUP(A838,DATABASE!A:J,10,0)),"")</f>
        <v/>
      </c>
      <c r="D838" s="35">
        <f>IF(A838="","",TODAY())</f>
        <v/>
      </c>
      <c r="E838" s="34" t="n"/>
      <c r="F838" s="34">
        <f>IFERROR(IF(OR(A838="",E838=""),"",C838+E838),"")</f>
        <v/>
      </c>
      <c r="G838" s="33" t="n"/>
      <c r="H838" s="33" t="n"/>
    </row>
    <row r="839">
      <c r="A839" s="26" t="n"/>
      <c r="B839" s="26">
        <f>IFERROR(IF(A839="","",VLOOKUP(A839,DATABASE!A:B,2,0)),"")</f>
        <v/>
      </c>
      <c r="C839" s="30">
        <f>IFERROR(IF(A839="","",VLOOKUP(A839,DATABASE!A:J,10,0)),"")</f>
        <v/>
      </c>
      <c r="D839" s="31">
        <f>IF(A839="","",TODAY())</f>
        <v/>
      </c>
      <c r="E839" s="30" t="n"/>
      <c r="F839" s="30">
        <f>IFERROR(IF(OR(A839="",E839=""),"",C839+E839),"")</f>
        <v/>
      </c>
      <c r="G839" s="26" t="n"/>
      <c r="H839" s="26" t="n"/>
    </row>
    <row r="840">
      <c r="A840" s="33" t="n"/>
      <c r="B840" s="33">
        <f>IFERROR(IF(A840="","",VLOOKUP(A840,DATABASE!A:B,2,0)),"")</f>
        <v/>
      </c>
      <c r="C840" s="34">
        <f>IFERROR(IF(A840="","",VLOOKUP(A840,DATABASE!A:J,10,0)),"")</f>
        <v/>
      </c>
      <c r="D840" s="35">
        <f>IF(A840="","",TODAY())</f>
        <v/>
      </c>
      <c r="E840" s="34" t="n"/>
      <c r="F840" s="34">
        <f>IFERROR(IF(OR(A840="",E840=""),"",C840+E840),"")</f>
        <v/>
      </c>
      <c r="G840" s="33" t="n"/>
      <c r="H840" s="33" t="n"/>
    </row>
    <row r="841">
      <c r="A841" s="26" t="n"/>
      <c r="B841" s="26">
        <f>IFERROR(IF(A841="","",VLOOKUP(A841,DATABASE!A:B,2,0)),"")</f>
        <v/>
      </c>
      <c r="C841" s="30">
        <f>IFERROR(IF(A841="","",VLOOKUP(A841,DATABASE!A:J,10,0)),"")</f>
        <v/>
      </c>
      <c r="D841" s="31">
        <f>IF(A841="","",TODAY())</f>
        <v/>
      </c>
      <c r="E841" s="30" t="n"/>
      <c r="F841" s="30">
        <f>IFERROR(IF(OR(A841="",E841=""),"",C841+E841),"")</f>
        <v/>
      </c>
      <c r="G841" s="26" t="n"/>
      <c r="H841" s="26" t="n"/>
    </row>
    <row r="842">
      <c r="A842" s="33" t="n"/>
      <c r="B842" s="33">
        <f>IFERROR(IF(A842="","",VLOOKUP(A842,DATABASE!A:B,2,0)),"")</f>
        <v/>
      </c>
      <c r="C842" s="34">
        <f>IFERROR(IF(A842="","",VLOOKUP(A842,DATABASE!A:J,10,0)),"")</f>
        <v/>
      </c>
      <c r="D842" s="35">
        <f>IF(A842="","",TODAY())</f>
        <v/>
      </c>
      <c r="E842" s="34" t="n"/>
      <c r="F842" s="34">
        <f>IFERROR(IF(OR(A842="",E842=""),"",C842+E842),"")</f>
        <v/>
      </c>
      <c r="G842" s="33" t="n"/>
      <c r="H842" s="33" t="n"/>
    </row>
    <row r="843">
      <c r="A843" s="26" t="n"/>
      <c r="B843" s="26">
        <f>IFERROR(IF(A843="","",VLOOKUP(A843,DATABASE!A:B,2,0)),"")</f>
        <v/>
      </c>
      <c r="C843" s="30">
        <f>IFERROR(IF(A843="","",VLOOKUP(A843,DATABASE!A:J,10,0)),"")</f>
        <v/>
      </c>
      <c r="D843" s="31">
        <f>IF(A843="","",TODAY())</f>
        <v/>
      </c>
      <c r="E843" s="30" t="n"/>
      <c r="F843" s="30">
        <f>IFERROR(IF(OR(A843="",E843=""),"",C843+E843),"")</f>
        <v/>
      </c>
      <c r="G843" s="26" t="n"/>
      <c r="H843" s="26" t="n"/>
    </row>
    <row r="844">
      <c r="A844" s="33" t="n"/>
      <c r="B844" s="33">
        <f>IFERROR(IF(A844="","",VLOOKUP(A844,DATABASE!A:B,2,0)),"")</f>
        <v/>
      </c>
      <c r="C844" s="34">
        <f>IFERROR(IF(A844="","",VLOOKUP(A844,DATABASE!A:J,10,0)),"")</f>
        <v/>
      </c>
      <c r="D844" s="35">
        <f>IF(A844="","",TODAY())</f>
        <v/>
      </c>
      <c r="E844" s="34" t="n"/>
      <c r="F844" s="34">
        <f>IFERROR(IF(OR(A844="",E844=""),"",C844+E844),"")</f>
        <v/>
      </c>
      <c r="G844" s="33" t="n"/>
      <c r="H844" s="33" t="n"/>
    </row>
    <row r="845">
      <c r="A845" s="26" t="n"/>
      <c r="B845" s="26">
        <f>IFERROR(IF(A845="","",VLOOKUP(A845,DATABASE!A:B,2,0)),"")</f>
        <v/>
      </c>
      <c r="C845" s="30">
        <f>IFERROR(IF(A845="","",VLOOKUP(A845,DATABASE!A:J,10,0)),"")</f>
        <v/>
      </c>
      <c r="D845" s="31">
        <f>IF(A845="","",TODAY())</f>
        <v/>
      </c>
      <c r="E845" s="30" t="n"/>
      <c r="F845" s="30">
        <f>IFERROR(IF(OR(A845="",E845=""),"",C845+E845),"")</f>
        <v/>
      </c>
      <c r="G845" s="26" t="n"/>
      <c r="H845" s="26" t="n"/>
    </row>
    <row r="846">
      <c r="A846" s="33" t="n"/>
      <c r="B846" s="33">
        <f>IFERROR(IF(A846="","",VLOOKUP(A846,DATABASE!A:B,2,0)),"")</f>
        <v/>
      </c>
      <c r="C846" s="34">
        <f>IFERROR(IF(A846="","",VLOOKUP(A846,DATABASE!A:J,10,0)),"")</f>
        <v/>
      </c>
      <c r="D846" s="35">
        <f>IF(A846="","",TODAY())</f>
        <v/>
      </c>
      <c r="E846" s="34" t="n"/>
      <c r="F846" s="34">
        <f>IFERROR(IF(OR(A846="",E846=""),"",C846+E846),"")</f>
        <v/>
      </c>
      <c r="G846" s="33" t="n"/>
      <c r="H846" s="33" t="n"/>
    </row>
    <row r="847">
      <c r="A847" s="26" t="n"/>
      <c r="B847" s="26">
        <f>IFERROR(IF(A847="","",VLOOKUP(A847,DATABASE!A:B,2,0)),"")</f>
        <v/>
      </c>
      <c r="C847" s="30">
        <f>IFERROR(IF(A847="","",VLOOKUP(A847,DATABASE!A:J,10,0)),"")</f>
        <v/>
      </c>
      <c r="D847" s="31">
        <f>IF(A847="","",TODAY())</f>
        <v/>
      </c>
      <c r="E847" s="30" t="n"/>
      <c r="F847" s="30">
        <f>IFERROR(IF(OR(A847="",E847=""),"",C847+E847),"")</f>
        <v/>
      </c>
      <c r="G847" s="26" t="n"/>
      <c r="H847" s="26" t="n"/>
    </row>
    <row r="848">
      <c r="A848" s="33" t="n"/>
      <c r="B848" s="33">
        <f>IFERROR(IF(A848="","",VLOOKUP(A848,DATABASE!A:B,2,0)),"")</f>
        <v/>
      </c>
      <c r="C848" s="34">
        <f>IFERROR(IF(A848="","",VLOOKUP(A848,DATABASE!A:J,10,0)),"")</f>
        <v/>
      </c>
      <c r="D848" s="35">
        <f>IF(A848="","",TODAY())</f>
        <v/>
      </c>
      <c r="E848" s="34" t="n"/>
      <c r="F848" s="34">
        <f>IFERROR(IF(OR(A848="",E848=""),"",C848+E848),"")</f>
        <v/>
      </c>
      <c r="G848" s="33" t="n"/>
      <c r="H848" s="33" t="n"/>
    </row>
    <row r="849">
      <c r="A849" s="26" t="n"/>
      <c r="B849" s="26">
        <f>IFERROR(IF(A849="","",VLOOKUP(A849,DATABASE!A:B,2,0)),"")</f>
        <v/>
      </c>
      <c r="C849" s="30">
        <f>IFERROR(IF(A849="","",VLOOKUP(A849,DATABASE!A:J,10,0)),"")</f>
        <v/>
      </c>
      <c r="D849" s="31">
        <f>IF(A849="","",TODAY())</f>
        <v/>
      </c>
      <c r="E849" s="30" t="n"/>
      <c r="F849" s="30">
        <f>IFERROR(IF(OR(A849="",E849=""),"",C849+E849),"")</f>
        <v/>
      </c>
      <c r="G849" s="26" t="n"/>
      <c r="H849" s="26" t="n"/>
    </row>
    <row r="850">
      <c r="A850" s="33" t="n"/>
      <c r="B850" s="33">
        <f>IFERROR(IF(A850="","",VLOOKUP(A850,DATABASE!A:B,2,0)),"")</f>
        <v/>
      </c>
      <c r="C850" s="34">
        <f>IFERROR(IF(A850="","",VLOOKUP(A850,DATABASE!A:J,10,0)),"")</f>
        <v/>
      </c>
      <c r="D850" s="35">
        <f>IF(A850="","",TODAY())</f>
        <v/>
      </c>
      <c r="E850" s="34" t="n"/>
      <c r="F850" s="34">
        <f>IFERROR(IF(OR(A850="",E850=""),"",C850+E850),"")</f>
        <v/>
      </c>
      <c r="G850" s="33" t="n"/>
      <c r="H850" s="33" t="n"/>
    </row>
    <row r="851">
      <c r="A851" s="26" t="n"/>
      <c r="B851" s="26">
        <f>IFERROR(IF(A851="","",VLOOKUP(A851,DATABASE!A:B,2,0)),"")</f>
        <v/>
      </c>
      <c r="C851" s="30">
        <f>IFERROR(IF(A851="","",VLOOKUP(A851,DATABASE!A:J,10,0)),"")</f>
        <v/>
      </c>
      <c r="D851" s="31">
        <f>IF(A851="","",TODAY())</f>
        <v/>
      </c>
      <c r="E851" s="30" t="n"/>
      <c r="F851" s="30">
        <f>IFERROR(IF(OR(A851="",E851=""),"",C851+E851),"")</f>
        <v/>
      </c>
      <c r="G851" s="26" t="n"/>
      <c r="H851" s="26" t="n"/>
    </row>
    <row r="852">
      <c r="A852" s="33" t="n"/>
      <c r="B852" s="33">
        <f>IFERROR(IF(A852="","",VLOOKUP(A852,DATABASE!A:B,2,0)),"")</f>
        <v/>
      </c>
      <c r="C852" s="34">
        <f>IFERROR(IF(A852="","",VLOOKUP(A852,DATABASE!A:J,10,0)),"")</f>
        <v/>
      </c>
      <c r="D852" s="35">
        <f>IF(A852="","",TODAY())</f>
        <v/>
      </c>
      <c r="E852" s="34" t="n"/>
      <c r="F852" s="34">
        <f>IFERROR(IF(OR(A852="",E852=""),"",C852+E852),"")</f>
        <v/>
      </c>
      <c r="G852" s="33" t="n"/>
      <c r="H852" s="33" t="n"/>
    </row>
    <row r="853">
      <c r="A853" s="26" t="n"/>
      <c r="B853" s="26">
        <f>IFERROR(IF(A853="","",VLOOKUP(A853,DATABASE!A:B,2,0)),"")</f>
        <v/>
      </c>
      <c r="C853" s="30">
        <f>IFERROR(IF(A853="","",VLOOKUP(A853,DATABASE!A:J,10,0)),"")</f>
        <v/>
      </c>
      <c r="D853" s="31">
        <f>IF(A853="","",TODAY())</f>
        <v/>
      </c>
      <c r="E853" s="30" t="n"/>
      <c r="F853" s="30">
        <f>IFERROR(IF(OR(A853="",E853=""),"",C853+E853),"")</f>
        <v/>
      </c>
      <c r="G853" s="26" t="n"/>
      <c r="H853" s="26" t="n"/>
    </row>
    <row r="854">
      <c r="A854" s="33" t="n"/>
      <c r="B854" s="33">
        <f>IFERROR(IF(A854="","",VLOOKUP(A854,DATABASE!A:B,2,0)),"")</f>
        <v/>
      </c>
      <c r="C854" s="34">
        <f>IFERROR(IF(A854="","",VLOOKUP(A854,DATABASE!A:J,10,0)),"")</f>
        <v/>
      </c>
      <c r="D854" s="35">
        <f>IF(A854="","",TODAY())</f>
        <v/>
      </c>
      <c r="E854" s="34" t="n"/>
      <c r="F854" s="34">
        <f>IFERROR(IF(OR(A854="",E854=""),"",C854+E854),"")</f>
        <v/>
      </c>
      <c r="G854" s="33" t="n"/>
      <c r="H854" s="33" t="n"/>
    </row>
    <row r="855">
      <c r="A855" s="26" t="n"/>
      <c r="B855" s="26">
        <f>IFERROR(IF(A855="","",VLOOKUP(A855,DATABASE!A:B,2,0)),"")</f>
        <v/>
      </c>
      <c r="C855" s="30">
        <f>IFERROR(IF(A855="","",VLOOKUP(A855,DATABASE!A:J,10,0)),"")</f>
        <v/>
      </c>
      <c r="D855" s="31">
        <f>IF(A855="","",TODAY())</f>
        <v/>
      </c>
      <c r="E855" s="30" t="n"/>
      <c r="F855" s="30">
        <f>IFERROR(IF(OR(A855="",E855=""),"",C855+E855),"")</f>
        <v/>
      </c>
      <c r="G855" s="26" t="n"/>
      <c r="H855" s="26" t="n"/>
    </row>
    <row r="856">
      <c r="A856" s="33" t="n"/>
      <c r="B856" s="33">
        <f>IFERROR(IF(A856="","",VLOOKUP(A856,DATABASE!A:B,2,0)),"")</f>
        <v/>
      </c>
      <c r="C856" s="34">
        <f>IFERROR(IF(A856="","",VLOOKUP(A856,DATABASE!A:J,10,0)),"")</f>
        <v/>
      </c>
      <c r="D856" s="35">
        <f>IF(A856="","",TODAY())</f>
        <v/>
      </c>
      <c r="E856" s="34" t="n"/>
      <c r="F856" s="34">
        <f>IFERROR(IF(OR(A856="",E856=""),"",C856+E856),"")</f>
        <v/>
      </c>
      <c r="G856" s="33" t="n"/>
      <c r="H856" s="33" t="n"/>
    </row>
    <row r="857">
      <c r="A857" s="26" t="n"/>
      <c r="B857" s="26">
        <f>IFERROR(IF(A857="","",VLOOKUP(A857,DATABASE!A:B,2,0)),"")</f>
        <v/>
      </c>
      <c r="C857" s="30">
        <f>IFERROR(IF(A857="","",VLOOKUP(A857,DATABASE!A:J,10,0)),"")</f>
        <v/>
      </c>
      <c r="D857" s="31">
        <f>IF(A857="","",TODAY())</f>
        <v/>
      </c>
      <c r="E857" s="30" t="n"/>
      <c r="F857" s="30">
        <f>IFERROR(IF(OR(A857="",E857=""),"",C857+E857),"")</f>
        <v/>
      </c>
      <c r="G857" s="26" t="n"/>
      <c r="H857" s="26" t="n"/>
    </row>
    <row r="858">
      <c r="A858" s="33" t="n"/>
      <c r="B858" s="33">
        <f>IFERROR(IF(A858="","",VLOOKUP(A858,DATABASE!A:B,2,0)),"")</f>
        <v/>
      </c>
      <c r="C858" s="34">
        <f>IFERROR(IF(A858="","",VLOOKUP(A858,DATABASE!A:J,10,0)),"")</f>
        <v/>
      </c>
      <c r="D858" s="35">
        <f>IF(A858="","",TODAY())</f>
        <v/>
      </c>
      <c r="E858" s="34" t="n"/>
      <c r="F858" s="34">
        <f>IFERROR(IF(OR(A858="",E858=""),"",C858+E858),"")</f>
        <v/>
      </c>
      <c r="G858" s="33" t="n"/>
      <c r="H858" s="33" t="n"/>
    </row>
    <row r="859">
      <c r="A859" s="26" t="n"/>
      <c r="B859" s="26">
        <f>IFERROR(IF(A859="","",VLOOKUP(A859,DATABASE!A:B,2,0)),"")</f>
        <v/>
      </c>
      <c r="C859" s="30">
        <f>IFERROR(IF(A859="","",VLOOKUP(A859,DATABASE!A:J,10,0)),"")</f>
        <v/>
      </c>
      <c r="D859" s="31">
        <f>IF(A859="","",TODAY())</f>
        <v/>
      </c>
      <c r="E859" s="30" t="n"/>
      <c r="F859" s="30">
        <f>IFERROR(IF(OR(A859="",E859=""),"",C859+E859),"")</f>
        <v/>
      </c>
      <c r="G859" s="26" t="n"/>
      <c r="H859" s="26" t="n"/>
    </row>
    <row r="860">
      <c r="A860" s="33" t="n"/>
      <c r="B860" s="33">
        <f>IFERROR(IF(A860="","",VLOOKUP(A860,DATABASE!A:B,2,0)),"")</f>
        <v/>
      </c>
      <c r="C860" s="34">
        <f>IFERROR(IF(A860="","",VLOOKUP(A860,DATABASE!A:J,10,0)),"")</f>
        <v/>
      </c>
      <c r="D860" s="35">
        <f>IF(A860="","",TODAY())</f>
        <v/>
      </c>
      <c r="E860" s="34" t="n"/>
      <c r="F860" s="34">
        <f>IFERROR(IF(OR(A860="",E860=""),"",C860+E860),"")</f>
        <v/>
      </c>
      <c r="G860" s="33" t="n"/>
      <c r="H860" s="33" t="n"/>
    </row>
    <row r="861">
      <c r="A861" s="26" t="n"/>
      <c r="B861" s="26">
        <f>IFERROR(IF(A861="","",VLOOKUP(A861,DATABASE!A:B,2,0)),"")</f>
        <v/>
      </c>
      <c r="C861" s="30">
        <f>IFERROR(IF(A861="","",VLOOKUP(A861,DATABASE!A:J,10,0)),"")</f>
        <v/>
      </c>
      <c r="D861" s="31">
        <f>IF(A861="","",TODAY())</f>
        <v/>
      </c>
      <c r="E861" s="30" t="n"/>
      <c r="F861" s="30">
        <f>IFERROR(IF(OR(A861="",E861=""),"",C861+E861),"")</f>
        <v/>
      </c>
      <c r="G861" s="26" t="n"/>
      <c r="H861" s="26" t="n"/>
    </row>
    <row r="862">
      <c r="A862" s="33" t="n"/>
      <c r="B862" s="33">
        <f>IFERROR(IF(A862="","",VLOOKUP(A862,DATABASE!A:B,2,0)),"")</f>
        <v/>
      </c>
      <c r="C862" s="34">
        <f>IFERROR(IF(A862="","",VLOOKUP(A862,DATABASE!A:J,10,0)),"")</f>
        <v/>
      </c>
      <c r="D862" s="35">
        <f>IF(A862="","",TODAY())</f>
        <v/>
      </c>
      <c r="E862" s="34" t="n"/>
      <c r="F862" s="34">
        <f>IFERROR(IF(OR(A862="",E862=""),"",C862+E862),"")</f>
        <v/>
      </c>
      <c r="G862" s="33" t="n"/>
      <c r="H862" s="33" t="n"/>
    </row>
    <row r="863">
      <c r="A863" s="26" t="n"/>
      <c r="B863" s="26">
        <f>IFERROR(IF(A863="","",VLOOKUP(A863,DATABASE!A:B,2,0)),"")</f>
        <v/>
      </c>
      <c r="C863" s="30">
        <f>IFERROR(IF(A863="","",VLOOKUP(A863,DATABASE!A:J,10,0)),"")</f>
        <v/>
      </c>
      <c r="D863" s="31">
        <f>IF(A863="","",TODAY())</f>
        <v/>
      </c>
      <c r="E863" s="30" t="n"/>
      <c r="F863" s="30">
        <f>IFERROR(IF(OR(A863="",E863=""),"",C863+E863),"")</f>
        <v/>
      </c>
      <c r="G863" s="26" t="n"/>
      <c r="H863" s="26" t="n"/>
    </row>
    <row r="864">
      <c r="A864" s="33" t="n"/>
      <c r="B864" s="33">
        <f>IFERROR(IF(A864="","",VLOOKUP(A864,DATABASE!A:B,2,0)),"")</f>
        <v/>
      </c>
      <c r="C864" s="34">
        <f>IFERROR(IF(A864="","",VLOOKUP(A864,DATABASE!A:J,10,0)),"")</f>
        <v/>
      </c>
      <c r="D864" s="35">
        <f>IF(A864="","",TODAY())</f>
        <v/>
      </c>
      <c r="E864" s="34" t="n"/>
      <c r="F864" s="34">
        <f>IFERROR(IF(OR(A864="",E864=""),"",C864+E864),"")</f>
        <v/>
      </c>
      <c r="G864" s="33" t="n"/>
      <c r="H864" s="33" t="n"/>
    </row>
    <row r="865">
      <c r="A865" s="26" t="n"/>
      <c r="B865" s="26">
        <f>IFERROR(IF(A865="","",VLOOKUP(A865,DATABASE!A:B,2,0)),"")</f>
        <v/>
      </c>
      <c r="C865" s="30">
        <f>IFERROR(IF(A865="","",VLOOKUP(A865,DATABASE!A:J,10,0)),"")</f>
        <v/>
      </c>
      <c r="D865" s="31">
        <f>IF(A865="","",TODAY())</f>
        <v/>
      </c>
      <c r="E865" s="30" t="n"/>
      <c r="F865" s="30">
        <f>IFERROR(IF(OR(A865="",E865=""),"",C865+E865),"")</f>
        <v/>
      </c>
      <c r="G865" s="26" t="n"/>
      <c r="H865" s="26" t="n"/>
    </row>
    <row r="866">
      <c r="A866" s="33" t="n"/>
      <c r="B866" s="33">
        <f>IFERROR(IF(A866="","",VLOOKUP(A866,DATABASE!A:B,2,0)),"")</f>
        <v/>
      </c>
      <c r="C866" s="34">
        <f>IFERROR(IF(A866="","",VLOOKUP(A866,DATABASE!A:J,10,0)),"")</f>
        <v/>
      </c>
      <c r="D866" s="35">
        <f>IF(A866="","",TODAY())</f>
        <v/>
      </c>
      <c r="E866" s="34" t="n"/>
      <c r="F866" s="34">
        <f>IFERROR(IF(OR(A866="",E866=""),"",C866+E866),"")</f>
        <v/>
      </c>
      <c r="G866" s="33" t="n"/>
      <c r="H866" s="33" t="n"/>
    </row>
    <row r="867">
      <c r="A867" s="26" t="n"/>
      <c r="B867" s="26">
        <f>IFERROR(IF(A867="","",VLOOKUP(A867,DATABASE!A:B,2,0)),"")</f>
        <v/>
      </c>
      <c r="C867" s="30">
        <f>IFERROR(IF(A867="","",VLOOKUP(A867,DATABASE!A:J,10,0)),"")</f>
        <v/>
      </c>
      <c r="D867" s="31">
        <f>IF(A867="","",TODAY())</f>
        <v/>
      </c>
      <c r="E867" s="30" t="n"/>
      <c r="F867" s="30">
        <f>IFERROR(IF(OR(A867="",E867=""),"",C867+E867),"")</f>
        <v/>
      </c>
      <c r="G867" s="26" t="n"/>
      <c r="H867" s="26" t="n"/>
    </row>
    <row r="868">
      <c r="A868" s="33" t="n"/>
      <c r="B868" s="33">
        <f>IFERROR(IF(A868="","",VLOOKUP(A868,DATABASE!A:B,2,0)),"")</f>
        <v/>
      </c>
      <c r="C868" s="34">
        <f>IFERROR(IF(A868="","",VLOOKUP(A868,DATABASE!A:J,10,0)),"")</f>
        <v/>
      </c>
      <c r="D868" s="35">
        <f>IF(A868="","",TODAY())</f>
        <v/>
      </c>
      <c r="E868" s="34" t="n"/>
      <c r="F868" s="34">
        <f>IFERROR(IF(OR(A868="",E868=""),"",C868+E868),"")</f>
        <v/>
      </c>
      <c r="G868" s="33" t="n"/>
      <c r="H868" s="33" t="n"/>
    </row>
    <row r="869">
      <c r="A869" s="26" t="n"/>
      <c r="B869" s="26">
        <f>IFERROR(IF(A869="","",VLOOKUP(A869,DATABASE!A:B,2,0)),"")</f>
        <v/>
      </c>
      <c r="C869" s="30">
        <f>IFERROR(IF(A869="","",VLOOKUP(A869,DATABASE!A:J,10,0)),"")</f>
        <v/>
      </c>
      <c r="D869" s="31">
        <f>IF(A869="","",TODAY())</f>
        <v/>
      </c>
      <c r="E869" s="30" t="n"/>
      <c r="F869" s="30">
        <f>IFERROR(IF(OR(A869="",E869=""),"",C869+E869),"")</f>
        <v/>
      </c>
      <c r="G869" s="26" t="n"/>
      <c r="H869" s="26" t="n"/>
    </row>
    <row r="870">
      <c r="A870" s="33" t="n"/>
      <c r="B870" s="33">
        <f>IFERROR(IF(A870="","",VLOOKUP(A870,DATABASE!A:B,2,0)),"")</f>
        <v/>
      </c>
      <c r="C870" s="34">
        <f>IFERROR(IF(A870="","",VLOOKUP(A870,DATABASE!A:J,10,0)),"")</f>
        <v/>
      </c>
      <c r="D870" s="35">
        <f>IF(A870="","",TODAY())</f>
        <v/>
      </c>
      <c r="E870" s="34" t="n"/>
      <c r="F870" s="34">
        <f>IFERROR(IF(OR(A870="",E870=""),"",C870+E870),"")</f>
        <v/>
      </c>
      <c r="G870" s="33" t="n"/>
      <c r="H870" s="33" t="n"/>
    </row>
    <row r="871">
      <c r="A871" s="26" t="n"/>
      <c r="B871" s="26">
        <f>IFERROR(IF(A871="","",VLOOKUP(A871,DATABASE!A:B,2,0)),"")</f>
        <v/>
      </c>
      <c r="C871" s="30">
        <f>IFERROR(IF(A871="","",VLOOKUP(A871,DATABASE!A:J,10,0)),"")</f>
        <v/>
      </c>
      <c r="D871" s="31">
        <f>IF(A871="","",TODAY())</f>
        <v/>
      </c>
      <c r="E871" s="30" t="n"/>
      <c r="F871" s="30">
        <f>IFERROR(IF(OR(A871="",E871=""),"",C871+E871),"")</f>
        <v/>
      </c>
      <c r="G871" s="26" t="n"/>
      <c r="H871" s="26" t="n"/>
    </row>
    <row r="872">
      <c r="A872" s="33" t="n"/>
      <c r="B872" s="33">
        <f>IFERROR(IF(A872="","",VLOOKUP(A872,DATABASE!A:B,2,0)),"")</f>
        <v/>
      </c>
      <c r="C872" s="34">
        <f>IFERROR(IF(A872="","",VLOOKUP(A872,DATABASE!A:J,10,0)),"")</f>
        <v/>
      </c>
      <c r="D872" s="35">
        <f>IF(A872="","",TODAY())</f>
        <v/>
      </c>
      <c r="E872" s="34" t="n"/>
      <c r="F872" s="34">
        <f>IFERROR(IF(OR(A872="",E872=""),"",C872+E872),"")</f>
        <v/>
      </c>
      <c r="G872" s="33" t="n"/>
      <c r="H872" s="33" t="n"/>
    </row>
    <row r="873">
      <c r="A873" s="26" t="n"/>
      <c r="B873" s="26">
        <f>IFERROR(IF(A873="","",VLOOKUP(A873,DATABASE!A:B,2,0)),"")</f>
        <v/>
      </c>
      <c r="C873" s="30">
        <f>IFERROR(IF(A873="","",VLOOKUP(A873,DATABASE!A:J,10,0)),"")</f>
        <v/>
      </c>
      <c r="D873" s="31">
        <f>IF(A873="","",TODAY())</f>
        <v/>
      </c>
      <c r="E873" s="30" t="n"/>
      <c r="F873" s="30">
        <f>IFERROR(IF(OR(A873="",E873=""),"",C873+E873),"")</f>
        <v/>
      </c>
      <c r="G873" s="26" t="n"/>
      <c r="H873" s="26" t="n"/>
    </row>
    <row r="874">
      <c r="A874" s="33" t="n"/>
      <c r="B874" s="33">
        <f>IFERROR(IF(A874="","",VLOOKUP(A874,DATABASE!A:B,2,0)),"")</f>
        <v/>
      </c>
      <c r="C874" s="34">
        <f>IFERROR(IF(A874="","",VLOOKUP(A874,DATABASE!A:J,10,0)),"")</f>
        <v/>
      </c>
      <c r="D874" s="35">
        <f>IF(A874="","",TODAY())</f>
        <v/>
      </c>
      <c r="E874" s="34" t="n"/>
      <c r="F874" s="34">
        <f>IFERROR(IF(OR(A874="",E874=""),"",C874+E874),"")</f>
        <v/>
      </c>
      <c r="G874" s="33" t="n"/>
      <c r="H874" s="33" t="n"/>
    </row>
    <row r="875">
      <c r="A875" s="26" t="n"/>
      <c r="B875" s="26">
        <f>IFERROR(IF(A875="","",VLOOKUP(A875,DATABASE!A:B,2,0)),"")</f>
        <v/>
      </c>
      <c r="C875" s="30">
        <f>IFERROR(IF(A875="","",VLOOKUP(A875,DATABASE!A:J,10,0)),"")</f>
        <v/>
      </c>
      <c r="D875" s="31">
        <f>IF(A875="","",TODAY())</f>
        <v/>
      </c>
      <c r="E875" s="30" t="n"/>
      <c r="F875" s="30">
        <f>IFERROR(IF(OR(A875="",E875=""),"",C875+E875),"")</f>
        <v/>
      </c>
      <c r="G875" s="26" t="n"/>
      <c r="H875" s="26" t="n"/>
    </row>
    <row r="876">
      <c r="A876" s="33" t="n"/>
      <c r="B876" s="33">
        <f>IFERROR(IF(A876="","",VLOOKUP(A876,DATABASE!A:B,2,0)),"")</f>
        <v/>
      </c>
      <c r="C876" s="34">
        <f>IFERROR(IF(A876="","",VLOOKUP(A876,DATABASE!A:J,10,0)),"")</f>
        <v/>
      </c>
      <c r="D876" s="35">
        <f>IF(A876="","",TODAY())</f>
        <v/>
      </c>
      <c r="E876" s="34" t="n"/>
      <c r="F876" s="34">
        <f>IFERROR(IF(OR(A876="",E876=""),"",C876+E876),"")</f>
        <v/>
      </c>
      <c r="G876" s="33" t="n"/>
      <c r="H876" s="33" t="n"/>
    </row>
    <row r="877">
      <c r="A877" s="26" t="n"/>
      <c r="B877" s="26">
        <f>IFERROR(IF(A877="","",VLOOKUP(A877,DATABASE!A:B,2,0)),"")</f>
        <v/>
      </c>
      <c r="C877" s="30">
        <f>IFERROR(IF(A877="","",VLOOKUP(A877,DATABASE!A:J,10,0)),"")</f>
        <v/>
      </c>
      <c r="D877" s="31">
        <f>IF(A877="","",TODAY())</f>
        <v/>
      </c>
      <c r="E877" s="30" t="n"/>
      <c r="F877" s="30">
        <f>IFERROR(IF(OR(A877="",E877=""),"",C877+E877),"")</f>
        <v/>
      </c>
      <c r="G877" s="26" t="n"/>
      <c r="H877" s="26" t="n"/>
    </row>
    <row r="878">
      <c r="A878" s="33" t="n"/>
      <c r="B878" s="33">
        <f>IFERROR(IF(A878="","",VLOOKUP(A878,DATABASE!A:B,2,0)),"")</f>
        <v/>
      </c>
      <c r="C878" s="34">
        <f>IFERROR(IF(A878="","",VLOOKUP(A878,DATABASE!A:J,10,0)),"")</f>
        <v/>
      </c>
      <c r="D878" s="35">
        <f>IF(A878="","",TODAY())</f>
        <v/>
      </c>
      <c r="E878" s="34" t="n"/>
      <c r="F878" s="34">
        <f>IFERROR(IF(OR(A878="",E878=""),"",C878+E878),"")</f>
        <v/>
      </c>
      <c r="G878" s="33" t="n"/>
      <c r="H878" s="33" t="n"/>
    </row>
    <row r="879">
      <c r="A879" s="26" t="n"/>
      <c r="B879" s="26">
        <f>IFERROR(IF(A879="","",VLOOKUP(A879,DATABASE!A:B,2,0)),"")</f>
        <v/>
      </c>
      <c r="C879" s="30">
        <f>IFERROR(IF(A879="","",VLOOKUP(A879,DATABASE!A:J,10,0)),"")</f>
        <v/>
      </c>
      <c r="D879" s="31">
        <f>IF(A879="","",TODAY())</f>
        <v/>
      </c>
      <c r="E879" s="30" t="n"/>
      <c r="F879" s="30">
        <f>IFERROR(IF(OR(A879="",E879=""),"",C879+E879),"")</f>
        <v/>
      </c>
      <c r="G879" s="26" t="n"/>
      <c r="H879" s="26" t="n"/>
    </row>
    <row r="880">
      <c r="A880" s="33" t="n"/>
      <c r="B880" s="33">
        <f>IFERROR(IF(A880="","",VLOOKUP(A880,DATABASE!A:B,2,0)),"")</f>
        <v/>
      </c>
      <c r="C880" s="34">
        <f>IFERROR(IF(A880="","",VLOOKUP(A880,DATABASE!A:J,10,0)),"")</f>
        <v/>
      </c>
      <c r="D880" s="35">
        <f>IF(A880="","",TODAY())</f>
        <v/>
      </c>
      <c r="E880" s="34" t="n"/>
      <c r="F880" s="34">
        <f>IFERROR(IF(OR(A880="",E880=""),"",C880+E880),"")</f>
        <v/>
      </c>
      <c r="G880" s="33" t="n"/>
      <c r="H880" s="33" t="n"/>
    </row>
    <row r="881">
      <c r="A881" s="26" t="n"/>
      <c r="B881" s="26">
        <f>IFERROR(IF(A881="","",VLOOKUP(A881,DATABASE!A:B,2,0)),"")</f>
        <v/>
      </c>
      <c r="C881" s="30">
        <f>IFERROR(IF(A881="","",VLOOKUP(A881,DATABASE!A:J,10,0)),"")</f>
        <v/>
      </c>
      <c r="D881" s="31">
        <f>IF(A881="","",TODAY())</f>
        <v/>
      </c>
      <c r="E881" s="30" t="n"/>
      <c r="F881" s="30">
        <f>IFERROR(IF(OR(A881="",E881=""),"",C881+E881),"")</f>
        <v/>
      </c>
      <c r="G881" s="26" t="n"/>
      <c r="H881" s="26" t="n"/>
    </row>
    <row r="882">
      <c r="A882" s="33" t="n"/>
      <c r="B882" s="33">
        <f>IFERROR(IF(A882="","",VLOOKUP(A882,DATABASE!A:B,2,0)),"")</f>
        <v/>
      </c>
      <c r="C882" s="34">
        <f>IFERROR(IF(A882="","",VLOOKUP(A882,DATABASE!A:J,10,0)),"")</f>
        <v/>
      </c>
      <c r="D882" s="35">
        <f>IF(A882="","",TODAY())</f>
        <v/>
      </c>
      <c r="E882" s="34" t="n"/>
      <c r="F882" s="34">
        <f>IFERROR(IF(OR(A882="",E882=""),"",C882+E882),"")</f>
        <v/>
      </c>
      <c r="G882" s="33" t="n"/>
      <c r="H882" s="33" t="n"/>
    </row>
    <row r="883">
      <c r="A883" s="26" t="n"/>
      <c r="B883" s="26">
        <f>IFERROR(IF(A883="","",VLOOKUP(A883,DATABASE!A:B,2,0)),"")</f>
        <v/>
      </c>
      <c r="C883" s="30">
        <f>IFERROR(IF(A883="","",VLOOKUP(A883,DATABASE!A:J,10,0)),"")</f>
        <v/>
      </c>
      <c r="D883" s="31">
        <f>IF(A883="","",TODAY())</f>
        <v/>
      </c>
      <c r="E883" s="30" t="n"/>
      <c r="F883" s="30">
        <f>IFERROR(IF(OR(A883="",E883=""),"",C883+E883),"")</f>
        <v/>
      </c>
      <c r="G883" s="26" t="n"/>
      <c r="H883" s="26" t="n"/>
    </row>
    <row r="884">
      <c r="A884" s="33" t="n"/>
      <c r="B884" s="33">
        <f>IFERROR(IF(A884="","",VLOOKUP(A884,DATABASE!A:B,2,0)),"")</f>
        <v/>
      </c>
      <c r="C884" s="34">
        <f>IFERROR(IF(A884="","",VLOOKUP(A884,DATABASE!A:J,10,0)),"")</f>
        <v/>
      </c>
      <c r="D884" s="35">
        <f>IF(A884="","",TODAY())</f>
        <v/>
      </c>
      <c r="E884" s="34" t="n"/>
      <c r="F884" s="34">
        <f>IFERROR(IF(OR(A884="",E884=""),"",C884+E884),"")</f>
        <v/>
      </c>
      <c r="G884" s="33" t="n"/>
      <c r="H884" s="33" t="n"/>
    </row>
    <row r="885">
      <c r="A885" s="26" t="n"/>
      <c r="B885" s="26">
        <f>IFERROR(IF(A885="","",VLOOKUP(A885,DATABASE!A:B,2,0)),"")</f>
        <v/>
      </c>
      <c r="C885" s="30">
        <f>IFERROR(IF(A885="","",VLOOKUP(A885,DATABASE!A:J,10,0)),"")</f>
        <v/>
      </c>
      <c r="D885" s="31">
        <f>IF(A885="","",TODAY())</f>
        <v/>
      </c>
      <c r="E885" s="30" t="n"/>
      <c r="F885" s="30">
        <f>IFERROR(IF(OR(A885="",E885=""),"",C885+E885),"")</f>
        <v/>
      </c>
      <c r="G885" s="26" t="n"/>
      <c r="H885" s="26" t="n"/>
    </row>
    <row r="886">
      <c r="A886" s="33" t="n"/>
      <c r="B886" s="33">
        <f>IFERROR(IF(A886="","",VLOOKUP(A886,DATABASE!A:B,2,0)),"")</f>
        <v/>
      </c>
      <c r="C886" s="34">
        <f>IFERROR(IF(A886="","",VLOOKUP(A886,DATABASE!A:J,10,0)),"")</f>
        <v/>
      </c>
      <c r="D886" s="35">
        <f>IF(A886="","",TODAY())</f>
        <v/>
      </c>
      <c r="E886" s="34" t="n"/>
      <c r="F886" s="34">
        <f>IFERROR(IF(OR(A886="",E886=""),"",C886+E886),"")</f>
        <v/>
      </c>
      <c r="G886" s="33" t="n"/>
      <c r="H886" s="33" t="n"/>
    </row>
    <row r="887">
      <c r="A887" s="26" t="n"/>
      <c r="B887" s="26">
        <f>IFERROR(IF(A887="","",VLOOKUP(A887,DATABASE!A:B,2,0)),"")</f>
        <v/>
      </c>
      <c r="C887" s="30">
        <f>IFERROR(IF(A887="","",VLOOKUP(A887,DATABASE!A:J,10,0)),"")</f>
        <v/>
      </c>
      <c r="D887" s="31">
        <f>IF(A887="","",TODAY())</f>
        <v/>
      </c>
      <c r="E887" s="30" t="n"/>
      <c r="F887" s="30">
        <f>IFERROR(IF(OR(A887="",E887=""),"",C887+E887),"")</f>
        <v/>
      </c>
      <c r="G887" s="26" t="n"/>
      <c r="H887" s="26" t="n"/>
    </row>
    <row r="888">
      <c r="A888" s="33" t="n"/>
      <c r="B888" s="33">
        <f>IFERROR(IF(A888="","",VLOOKUP(A888,DATABASE!A:B,2,0)),"")</f>
        <v/>
      </c>
      <c r="C888" s="34">
        <f>IFERROR(IF(A888="","",VLOOKUP(A888,DATABASE!A:J,10,0)),"")</f>
        <v/>
      </c>
      <c r="D888" s="35">
        <f>IF(A888="","",TODAY())</f>
        <v/>
      </c>
      <c r="E888" s="34" t="n"/>
      <c r="F888" s="34">
        <f>IFERROR(IF(OR(A888="",E888=""),"",C888+E888),"")</f>
        <v/>
      </c>
      <c r="G888" s="33" t="n"/>
      <c r="H888" s="33" t="n"/>
    </row>
    <row r="889">
      <c r="A889" s="26" t="n"/>
      <c r="B889" s="26">
        <f>IFERROR(IF(A889="","",VLOOKUP(A889,DATABASE!A:B,2,0)),"")</f>
        <v/>
      </c>
      <c r="C889" s="30">
        <f>IFERROR(IF(A889="","",VLOOKUP(A889,DATABASE!A:J,10,0)),"")</f>
        <v/>
      </c>
      <c r="D889" s="31">
        <f>IF(A889="","",TODAY())</f>
        <v/>
      </c>
      <c r="E889" s="30" t="n"/>
      <c r="F889" s="30">
        <f>IFERROR(IF(OR(A889="",E889=""),"",C889+E889),"")</f>
        <v/>
      </c>
      <c r="G889" s="26" t="n"/>
      <c r="H889" s="26" t="n"/>
    </row>
    <row r="890">
      <c r="A890" s="33" t="n"/>
      <c r="B890" s="33">
        <f>IFERROR(IF(A890="","",VLOOKUP(A890,DATABASE!A:B,2,0)),"")</f>
        <v/>
      </c>
      <c r="C890" s="34">
        <f>IFERROR(IF(A890="","",VLOOKUP(A890,DATABASE!A:J,10,0)),"")</f>
        <v/>
      </c>
      <c r="D890" s="35">
        <f>IF(A890="","",TODAY())</f>
        <v/>
      </c>
      <c r="E890" s="34" t="n"/>
      <c r="F890" s="34">
        <f>IFERROR(IF(OR(A890="",E890=""),"",C890+E890),"")</f>
        <v/>
      </c>
      <c r="G890" s="33" t="n"/>
      <c r="H890" s="33" t="n"/>
    </row>
    <row r="891">
      <c r="A891" s="26" t="n"/>
      <c r="B891" s="26">
        <f>IFERROR(IF(A891="","",VLOOKUP(A891,DATABASE!A:B,2,0)),"")</f>
        <v/>
      </c>
      <c r="C891" s="30">
        <f>IFERROR(IF(A891="","",VLOOKUP(A891,DATABASE!A:J,10,0)),"")</f>
        <v/>
      </c>
      <c r="D891" s="31">
        <f>IF(A891="","",TODAY())</f>
        <v/>
      </c>
      <c r="E891" s="30" t="n"/>
      <c r="F891" s="30">
        <f>IFERROR(IF(OR(A891="",E891=""),"",C891+E891),"")</f>
        <v/>
      </c>
      <c r="G891" s="26" t="n"/>
      <c r="H891" s="26" t="n"/>
    </row>
    <row r="892">
      <c r="A892" s="33" t="n"/>
      <c r="B892" s="33">
        <f>IFERROR(IF(A892="","",VLOOKUP(A892,DATABASE!A:B,2,0)),"")</f>
        <v/>
      </c>
      <c r="C892" s="34">
        <f>IFERROR(IF(A892="","",VLOOKUP(A892,DATABASE!A:J,10,0)),"")</f>
        <v/>
      </c>
      <c r="D892" s="35">
        <f>IF(A892="","",TODAY())</f>
        <v/>
      </c>
      <c r="E892" s="34" t="n"/>
      <c r="F892" s="34">
        <f>IFERROR(IF(OR(A892="",E892=""),"",C892+E892),"")</f>
        <v/>
      </c>
      <c r="G892" s="33" t="n"/>
      <c r="H892" s="33" t="n"/>
    </row>
    <row r="893">
      <c r="A893" s="26" t="n"/>
      <c r="B893" s="26">
        <f>IFERROR(IF(A893="","",VLOOKUP(A893,DATABASE!A:B,2,0)),"")</f>
        <v/>
      </c>
      <c r="C893" s="30">
        <f>IFERROR(IF(A893="","",VLOOKUP(A893,DATABASE!A:J,10,0)),"")</f>
        <v/>
      </c>
      <c r="D893" s="31">
        <f>IF(A893="","",TODAY())</f>
        <v/>
      </c>
      <c r="E893" s="30" t="n"/>
      <c r="F893" s="30">
        <f>IFERROR(IF(OR(A893="",E893=""),"",C893+E893),"")</f>
        <v/>
      </c>
      <c r="G893" s="26" t="n"/>
      <c r="H893" s="26" t="n"/>
    </row>
    <row r="894">
      <c r="A894" s="33" t="n"/>
      <c r="B894" s="33">
        <f>IFERROR(IF(A894="","",VLOOKUP(A894,DATABASE!A:B,2,0)),"")</f>
        <v/>
      </c>
      <c r="C894" s="34">
        <f>IFERROR(IF(A894="","",VLOOKUP(A894,DATABASE!A:J,10,0)),"")</f>
        <v/>
      </c>
      <c r="D894" s="35">
        <f>IF(A894="","",TODAY())</f>
        <v/>
      </c>
      <c r="E894" s="34" t="n"/>
      <c r="F894" s="34">
        <f>IFERROR(IF(OR(A894="",E894=""),"",C894+E894),"")</f>
        <v/>
      </c>
      <c r="G894" s="33" t="n"/>
      <c r="H894" s="33" t="n"/>
    </row>
    <row r="895">
      <c r="A895" s="26" t="n"/>
      <c r="B895" s="26">
        <f>IFERROR(IF(A895="","",VLOOKUP(A895,DATABASE!A:B,2,0)),"")</f>
        <v/>
      </c>
      <c r="C895" s="30">
        <f>IFERROR(IF(A895="","",VLOOKUP(A895,DATABASE!A:J,10,0)),"")</f>
        <v/>
      </c>
      <c r="D895" s="31">
        <f>IF(A895="","",TODAY())</f>
        <v/>
      </c>
      <c r="E895" s="30" t="n"/>
      <c r="F895" s="30">
        <f>IFERROR(IF(OR(A895="",E895=""),"",C895+E895),"")</f>
        <v/>
      </c>
      <c r="G895" s="26" t="n"/>
      <c r="H895" s="26" t="n"/>
    </row>
    <row r="896">
      <c r="A896" s="33" t="n"/>
      <c r="B896" s="33">
        <f>IFERROR(IF(A896="","",VLOOKUP(A896,DATABASE!A:B,2,0)),"")</f>
        <v/>
      </c>
      <c r="C896" s="34">
        <f>IFERROR(IF(A896="","",VLOOKUP(A896,DATABASE!A:J,10,0)),"")</f>
        <v/>
      </c>
      <c r="D896" s="35">
        <f>IF(A896="","",TODAY())</f>
        <v/>
      </c>
      <c r="E896" s="34" t="n"/>
      <c r="F896" s="34">
        <f>IFERROR(IF(OR(A896="",E896=""),"",C896+E896),"")</f>
        <v/>
      </c>
      <c r="G896" s="33" t="n"/>
      <c r="H896" s="33" t="n"/>
    </row>
    <row r="897">
      <c r="A897" s="26" t="n"/>
      <c r="B897" s="26">
        <f>IFERROR(IF(A897="","",VLOOKUP(A897,DATABASE!A:B,2,0)),"")</f>
        <v/>
      </c>
      <c r="C897" s="30">
        <f>IFERROR(IF(A897="","",VLOOKUP(A897,DATABASE!A:J,10,0)),"")</f>
        <v/>
      </c>
      <c r="D897" s="31">
        <f>IF(A897="","",TODAY())</f>
        <v/>
      </c>
      <c r="E897" s="30" t="n"/>
      <c r="F897" s="30">
        <f>IFERROR(IF(OR(A897="",E897=""),"",C897+E897),"")</f>
        <v/>
      </c>
      <c r="G897" s="26" t="n"/>
      <c r="H897" s="26" t="n"/>
    </row>
    <row r="898">
      <c r="A898" s="33" t="n"/>
      <c r="B898" s="33">
        <f>IFERROR(IF(A898="","",VLOOKUP(A898,DATABASE!A:B,2,0)),"")</f>
        <v/>
      </c>
      <c r="C898" s="34">
        <f>IFERROR(IF(A898="","",VLOOKUP(A898,DATABASE!A:J,10,0)),"")</f>
        <v/>
      </c>
      <c r="D898" s="35">
        <f>IF(A898="","",TODAY())</f>
        <v/>
      </c>
      <c r="E898" s="34" t="n"/>
      <c r="F898" s="34">
        <f>IFERROR(IF(OR(A898="",E898=""),"",C898+E898),"")</f>
        <v/>
      </c>
      <c r="G898" s="33" t="n"/>
      <c r="H898" s="33" t="n"/>
    </row>
    <row r="899">
      <c r="A899" s="26" t="n"/>
      <c r="B899" s="26">
        <f>IFERROR(IF(A899="","",VLOOKUP(A899,DATABASE!A:B,2,0)),"")</f>
        <v/>
      </c>
      <c r="C899" s="30">
        <f>IFERROR(IF(A899="","",VLOOKUP(A899,DATABASE!A:J,10,0)),"")</f>
        <v/>
      </c>
      <c r="D899" s="31">
        <f>IF(A899="","",TODAY())</f>
        <v/>
      </c>
      <c r="E899" s="30" t="n"/>
      <c r="F899" s="30">
        <f>IFERROR(IF(OR(A899="",E899=""),"",C899+E899),"")</f>
        <v/>
      </c>
      <c r="G899" s="26" t="n"/>
      <c r="H899" s="26" t="n"/>
    </row>
    <row r="900">
      <c r="A900" s="33" t="n"/>
      <c r="B900" s="33">
        <f>IFERROR(IF(A900="","",VLOOKUP(A900,DATABASE!A:B,2,0)),"")</f>
        <v/>
      </c>
      <c r="C900" s="34">
        <f>IFERROR(IF(A900="","",VLOOKUP(A900,DATABASE!A:J,10,0)),"")</f>
        <v/>
      </c>
      <c r="D900" s="35">
        <f>IF(A900="","",TODAY())</f>
        <v/>
      </c>
      <c r="E900" s="34" t="n"/>
      <c r="F900" s="34">
        <f>IFERROR(IF(OR(A900="",E900=""),"",C900+E900),"")</f>
        <v/>
      </c>
      <c r="G900" s="33" t="n"/>
      <c r="H900" s="33" t="n"/>
    </row>
    <row r="901">
      <c r="A901" s="26" t="n"/>
      <c r="B901" s="26">
        <f>IFERROR(IF(A901="","",VLOOKUP(A901,DATABASE!A:B,2,0)),"")</f>
        <v/>
      </c>
      <c r="C901" s="30">
        <f>IFERROR(IF(A901="","",VLOOKUP(A901,DATABASE!A:J,10,0)),"")</f>
        <v/>
      </c>
      <c r="D901" s="31">
        <f>IF(A901="","",TODAY())</f>
        <v/>
      </c>
      <c r="E901" s="30" t="n"/>
      <c r="F901" s="30">
        <f>IFERROR(IF(OR(A901="",E901=""),"",C901+E901),"")</f>
        <v/>
      </c>
      <c r="G901" s="26" t="n"/>
      <c r="H901" s="26" t="n"/>
    </row>
    <row r="902">
      <c r="A902" s="33" t="n"/>
      <c r="B902" s="33">
        <f>IFERROR(IF(A902="","",VLOOKUP(A902,DATABASE!A:B,2,0)),"")</f>
        <v/>
      </c>
      <c r="C902" s="34">
        <f>IFERROR(IF(A902="","",VLOOKUP(A902,DATABASE!A:J,10,0)),"")</f>
        <v/>
      </c>
      <c r="D902" s="35">
        <f>IF(A902="","",TODAY())</f>
        <v/>
      </c>
      <c r="E902" s="34" t="n"/>
      <c r="F902" s="34">
        <f>IFERROR(IF(OR(A902="",E902=""),"",C902+E902),"")</f>
        <v/>
      </c>
      <c r="G902" s="33" t="n"/>
      <c r="H902" s="33" t="n"/>
    </row>
    <row r="903">
      <c r="A903" s="26" t="n"/>
      <c r="B903" s="26">
        <f>IFERROR(IF(A903="","",VLOOKUP(A903,DATABASE!A:B,2,0)),"")</f>
        <v/>
      </c>
      <c r="C903" s="30">
        <f>IFERROR(IF(A903="","",VLOOKUP(A903,DATABASE!A:J,10,0)),"")</f>
        <v/>
      </c>
      <c r="D903" s="31">
        <f>IF(A903="","",TODAY())</f>
        <v/>
      </c>
      <c r="E903" s="30" t="n"/>
      <c r="F903" s="30">
        <f>IFERROR(IF(OR(A903="",E903=""),"",C903+E903),"")</f>
        <v/>
      </c>
      <c r="G903" s="26" t="n"/>
      <c r="H903" s="26" t="n"/>
    </row>
    <row r="904">
      <c r="A904" s="33" t="n"/>
      <c r="B904" s="33">
        <f>IFERROR(IF(A904="","",VLOOKUP(A904,DATABASE!A:B,2,0)),"")</f>
        <v/>
      </c>
      <c r="C904" s="34">
        <f>IFERROR(IF(A904="","",VLOOKUP(A904,DATABASE!A:J,10,0)),"")</f>
        <v/>
      </c>
      <c r="D904" s="35">
        <f>IF(A904="","",TODAY())</f>
        <v/>
      </c>
      <c r="E904" s="34" t="n"/>
      <c r="F904" s="34">
        <f>IFERROR(IF(OR(A904="",E904=""),"",C904+E904),"")</f>
        <v/>
      </c>
      <c r="G904" s="33" t="n"/>
      <c r="H904" s="33" t="n"/>
    </row>
    <row r="905">
      <c r="A905" s="26" t="n"/>
      <c r="B905" s="26">
        <f>IFERROR(IF(A905="","",VLOOKUP(A905,DATABASE!A:B,2,0)),"")</f>
        <v/>
      </c>
      <c r="C905" s="30">
        <f>IFERROR(IF(A905="","",VLOOKUP(A905,DATABASE!A:J,10,0)),"")</f>
        <v/>
      </c>
      <c r="D905" s="31">
        <f>IF(A905="","",TODAY())</f>
        <v/>
      </c>
      <c r="E905" s="30" t="n"/>
      <c r="F905" s="30">
        <f>IFERROR(IF(OR(A905="",E905=""),"",C905+E905),"")</f>
        <v/>
      </c>
      <c r="G905" s="26" t="n"/>
      <c r="H905" s="26" t="n"/>
    </row>
    <row r="906">
      <c r="A906" s="33" t="n"/>
      <c r="B906" s="33">
        <f>IFERROR(IF(A906="","",VLOOKUP(A906,DATABASE!A:B,2,0)),"")</f>
        <v/>
      </c>
      <c r="C906" s="34">
        <f>IFERROR(IF(A906="","",VLOOKUP(A906,DATABASE!A:J,10,0)),"")</f>
        <v/>
      </c>
      <c r="D906" s="35">
        <f>IF(A906="","",TODAY())</f>
        <v/>
      </c>
      <c r="E906" s="34" t="n"/>
      <c r="F906" s="34">
        <f>IFERROR(IF(OR(A906="",E906=""),"",C906+E906),"")</f>
        <v/>
      </c>
      <c r="G906" s="33" t="n"/>
      <c r="H906" s="33" t="n"/>
    </row>
    <row r="907">
      <c r="A907" s="26" t="n"/>
      <c r="B907" s="26">
        <f>IFERROR(IF(A907="","",VLOOKUP(A907,DATABASE!A:B,2,0)),"")</f>
        <v/>
      </c>
      <c r="C907" s="30">
        <f>IFERROR(IF(A907="","",VLOOKUP(A907,DATABASE!A:J,10,0)),"")</f>
        <v/>
      </c>
      <c r="D907" s="31">
        <f>IF(A907="","",TODAY())</f>
        <v/>
      </c>
      <c r="E907" s="30" t="n"/>
      <c r="F907" s="30">
        <f>IFERROR(IF(OR(A907="",E907=""),"",C907+E907),"")</f>
        <v/>
      </c>
      <c r="G907" s="26" t="n"/>
      <c r="H907" s="26" t="n"/>
    </row>
    <row r="908">
      <c r="A908" s="33" t="n"/>
      <c r="B908" s="33">
        <f>IFERROR(IF(A908="","",VLOOKUP(A908,DATABASE!A:B,2,0)),"")</f>
        <v/>
      </c>
      <c r="C908" s="34">
        <f>IFERROR(IF(A908="","",VLOOKUP(A908,DATABASE!A:J,10,0)),"")</f>
        <v/>
      </c>
      <c r="D908" s="35">
        <f>IF(A908="","",TODAY())</f>
        <v/>
      </c>
      <c r="E908" s="34" t="n"/>
      <c r="F908" s="34">
        <f>IFERROR(IF(OR(A908="",E908=""),"",C908+E908),"")</f>
        <v/>
      </c>
      <c r="G908" s="33" t="n"/>
      <c r="H908" s="33" t="n"/>
    </row>
    <row r="909">
      <c r="A909" s="26" t="n"/>
      <c r="B909" s="26">
        <f>IFERROR(IF(A909="","",VLOOKUP(A909,DATABASE!A:B,2,0)),"")</f>
        <v/>
      </c>
      <c r="C909" s="30">
        <f>IFERROR(IF(A909="","",VLOOKUP(A909,DATABASE!A:J,10,0)),"")</f>
        <v/>
      </c>
      <c r="D909" s="31">
        <f>IF(A909="","",TODAY())</f>
        <v/>
      </c>
      <c r="E909" s="30" t="n"/>
      <c r="F909" s="30">
        <f>IFERROR(IF(OR(A909="",E909=""),"",C909+E909),"")</f>
        <v/>
      </c>
      <c r="G909" s="26" t="n"/>
      <c r="H909" s="26" t="n"/>
    </row>
    <row r="910">
      <c r="A910" s="33" t="n"/>
      <c r="B910" s="33">
        <f>IFERROR(IF(A910="","",VLOOKUP(A910,DATABASE!A:B,2,0)),"")</f>
        <v/>
      </c>
      <c r="C910" s="34">
        <f>IFERROR(IF(A910="","",VLOOKUP(A910,DATABASE!A:J,10,0)),"")</f>
        <v/>
      </c>
      <c r="D910" s="35">
        <f>IF(A910="","",TODAY())</f>
        <v/>
      </c>
      <c r="E910" s="34" t="n"/>
      <c r="F910" s="34">
        <f>IFERROR(IF(OR(A910="",E910=""),"",C910+E910),"")</f>
        <v/>
      </c>
      <c r="G910" s="33" t="n"/>
      <c r="H910" s="33" t="n"/>
    </row>
    <row r="911">
      <c r="A911" s="26" t="n"/>
      <c r="B911" s="26">
        <f>IFERROR(IF(A911="","",VLOOKUP(A911,DATABASE!A:B,2,0)),"")</f>
        <v/>
      </c>
      <c r="C911" s="30">
        <f>IFERROR(IF(A911="","",VLOOKUP(A911,DATABASE!A:J,10,0)),"")</f>
        <v/>
      </c>
      <c r="D911" s="31">
        <f>IF(A911="","",TODAY())</f>
        <v/>
      </c>
      <c r="E911" s="30" t="n"/>
      <c r="F911" s="30">
        <f>IFERROR(IF(OR(A911="",E911=""),"",C911+E911),"")</f>
        <v/>
      </c>
      <c r="G911" s="26" t="n"/>
      <c r="H911" s="26" t="n"/>
    </row>
    <row r="912">
      <c r="A912" s="33" t="n"/>
      <c r="B912" s="33">
        <f>IFERROR(IF(A912="","",VLOOKUP(A912,DATABASE!A:B,2,0)),"")</f>
        <v/>
      </c>
      <c r="C912" s="34">
        <f>IFERROR(IF(A912="","",VLOOKUP(A912,DATABASE!A:J,10,0)),"")</f>
        <v/>
      </c>
      <c r="D912" s="35">
        <f>IF(A912="","",TODAY())</f>
        <v/>
      </c>
      <c r="E912" s="34" t="n"/>
      <c r="F912" s="34">
        <f>IFERROR(IF(OR(A912="",E912=""),"",C912+E912),"")</f>
        <v/>
      </c>
      <c r="G912" s="33" t="n"/>
      <c r="H912" s="33" t="n"/>
    </row>
    <row r="913">
      <c r="A913" s="26" t="n"/>
      <c r="B913" s="26">
        <f>IFERROR(IF(A913="","",VLOOKUP(A913,DATABASE!A:B,2,0)),"")</f>
        <v/>
      </c>
      <c r="C913" s="30">
        <f>IFERROR(IF(A913="","",VLOOKUP(A913,DATABASE!A:J,10,0)),"")</f>
        <v/>
      </c>
      <c r="D913" s="31">
        <f>IF(A913="","",TODAY())</f>
        <v/>
      </c>
      <c r="E913" s="30" t="n"/>
      <c r="F913" s="30">
        <f>IFERROR(IF(OR(A913="",E913=""),"",C913+E913),"")</f>
        <v/>
      </c>
      <c r="G913" s="26" t="n"/>
      <c r="H913" s="26" t="n"/>
    </row>
    <row r="914">
      <c r="A914" s="33" t="n"/>
      <c r="B914" s="33">
        <f>IFERROR(IF(A914="","",VLOOKUP(A914,DATABASE!A:B,2,0)),"")</f>
        <v/>
      </c>
      <c r="C914" s="34">
        <f>IFERROR(IF(A914="","",VLOOKUP(A914,DATABASE!A:J,10,0)),"")</f>
        <v/>
      </c>
      <c r="D914" s="35">
        <f>IF(A914="","",TODAY())</f>
        <v/>
      </c>
      <c r="E914" s="34" t="n"/>
      <c r="F914" s="34">
        <f>IFERROR(IF(OR(A914="",E914=""),"",C914+E914),"")</f>
        <v/>
      </c>
      <c r="G914" s="33" t="n"/>
      <c r="H914" s="33" t="n"/>
    </row>
    <row r="915">
      <c r="A915" s="26" t="n"/>
      <c r="B915" s="26">
        <f>IFERROR(IF(A915="","",VLOOKUP(A915,DATABASE!A:B,2,0)),"")</f>
        <v/>
      </c>
      <c r="C915" s="30">
        <f>IFERROR(IF(A915="","",VLOOKUP(A915,DATABASE!A:J,10,0)),"")</f>
        <v/>
      </c>
      <c r="D915" s="31">
        <f>IF(A915="","",TODAY())</f>
        <v/>
      </c>
      <c r="E915" s="30" t="n"/>
      <c r="F915" s="30">
        <f>IFERROR(IF(OR(A915="",E915=""),"",C915+E915),"")</f>
        <v/>
      </c>
      <c r="G915" s="26" t="n"/>
      <c r="H915" s="26" t="n"/>
    </row>
    <row r="916">
      <c r="A916" s="33" t="n"/>
      <c r="B916" s="33">
        <f>IFERROR(IF(A916="","",VLOOKUP(A916,DATABASE!A:B,2,0)),"")</f>
        <v/>
      </c>
      <c r="C916" s="34">
        <f>IFERROR(IF(A916="","",VLOOKUP(A916,DATABASE!A:J,10,0)),"")</f>
        <v/>
      </c>
      <c r="D916" s="35">
        <f>IF(A916="","",TODAY())</f>
        <v/>
      </c>
      <c r="E916" s="34" t="n"/>
      <c r="F916" s="34">
        <f>IFERROR(IF(OR(A916="",E916=""),"",C916+E916),"")</f>
        <v/>
      </c>
      <c r="G916" s="33" t="n"/>
      <c r="H916" s="33" t="n"/>
    </row>
    <row r="917">
      <c r="A917" s="26" t="n"/>
      <c r="B917" s="26">
        <f>IFERROR(IF(A917="","",VLOOKUP(A917,DATABASE!A:B,2,0)),"")</f>
        <v/>
      </c>
      <c r="C917" s="30">
        <f>IFERROR(IF(A917="","",VLOOKUP(A917,DATABASE!A:J,10,0)),"")</f>
        <v/>
      </c>
      <c r="D917" s="31">
        <f>IF(A917="","",TODAY())</f>
        <v/>
      </c>
      <c r="E917" s="30" t="n"/>
      <c r="F917" s="30">
        <f>IFERROR(IF(OR(A917="",E917=""),"",C917+E917),"")</f>
        <v/>
      </c>
      <c r="G917" s="26" t="n"/>
      <c r="H917" s="26" t="n"/>
    </row>
    <row r="918">
      <c r="A918" s="33" t="n"/>
      <c r="B918" s="33">
        <f>IFERROR(IF(A918="","",VLOOKUP(A918,DATABASE!A:B,2,0)),"")</f>
        <v/>
      </c>
      <c r="C918" s="34">
        <f>IFERROR(IF(A918="","",VLOOKUP(A918,DATABASE!A:J,10,0)),"")</f>
        <v/>
      </c>
      <c r="D918" s="35">
        <f>IF(A918="","",TODAY())</f>
        <v/>
      </c>
      <c r="E918" s="34" t="n"/>
      <c r="F918" s="34">
        <f>IFERROR(IF(OR(A918="",E918=""),"",C918+E918),"")</f>
        <v/>
      </c>
      <c r="G918" s="33" t="n"/>
      <c r="H918" s="33" t="n"/>
    </row>
    <row r="919">
      <c r="A919" s="26" t="n"/>
      <c r="B919" s="26">
        <f>IFERROR(IF(A919="","",VLOOKUP(A919,DATABASE!A:B,2,0)),"")</f>
        <v/>
      </c>
      <c r="C919" s="30">
        <f>IFERROR(IF(A919="","",VLOOKUP(A919,DATABASE!A:J,10,0)),"")</f>
        <v/>
      </c>
      <c r="D919" s="31">
        <f>IF(A919="","",TODAY())</f>
        <v/>
      </c>
      <c r="E919" s="30" t="n"/>
      <c r="F919" s="30">
        <f>IFERROR(IF(OR(A919="",E919=""),"",C919+E919),"")</f>
        <v/>
      </c>
      <c r="G919" s="26" t="n"/>
      <c r="H919" s="26" t="n"/>
    </row>
    <row r="920">
      <c r="A920" s="33" t="n"/>
      <c r="B920" s="33">
        <f>IFERROR(IF(A920="","",VLOOKUP(A920,DATABASE!A:B,2,0)),"")</f>
        <v/>
      </c>
      <c r="C920" s="34">
        <f>IFERROR(IF(A920="","",VLOOKUP(A920,DATABASE!A:J,10,0)),"")</f>
        <v/>
      </c>
      <c r="D920" s="35">
        <f>IF(A920="","",TODAY())</f>
        <v/>
      </c>
      <c r="E920" s="34" t="n"/>
      <c r="F920" s="34">
        <f>IFERROR(IF(OR(A920="",E920=""),"",C920+E920),"")</f>
        <v/>
      </c>
      <c r="G920" s="33" t="n"/>
      <c r="H920" s="33" t="n"/>
    </row>
    <row r="921">
      <c r="A921" s="26" t="n"/>
      <c r="B921" s="26">
        <f>IFERROR(IF(A921="","",VLOOKUP(A921,DATABASE!A:B,2,0)),"")</f>
        <v/>
      </c>
      <c r="C921" s="30">
        <f>IFERROR(IF(A921="","",VLOOKUP(A921,DATABASE!A:J,10,0)),"")</f>
        <v/>
      </c>
      <c r="D921" s="31">
        <f>IF(A921="","",TODAY())</f>
        <v/>
      </c>
      <c r="E921" s="30" t="n"/>
      <c r="F921" s="30">
        <f>IFERROR(IF(OR(A921="",E921=""),"",C921+E921),"")</f>
        <v/>
      </c>
      <c r="G921" s="26" t="n"/>
      <c r="H921" s="26" t="n"/>
    </row>
    <row r="922">
      <c r="A922" s="33" t="n"/>
      <c r="B922" s="33">
        <f>IFERROR(IF(A922="","",VLOOKUP(A922,DATABASE!A:B,2,0)),"")</f>
        <v/>
      </c>
      <c r="C922" s="34">
        <f>IFERROR(IF(A922="","",VLOOKUP(A922,DATABASE!A:J,10,0)),"")</f>
        <v/>
      </c>
      <c r="D922" s="35">
        <f>IF(A922="","",TODAY())</f>
        <v/>
      </c>
      <c r="E922" s="34" t="n"/>
      <c r="F922" s="34">
        <f>IFERROR(IF(OR(A922="",E922=""),"",C922+E922),"")</f>
        <v/>
      </c>
      <c r="G922" s="33" t="n"/>
      <c r="H922" s="33" t="n"/>
    </row>
    <row r="923">
      <c r="A923" s="26" t="n"/>
      <c r="B923" s="26">
        <f>IFERROR(IF(A923="","",VLOOKUP(A923,DATABASE!A:B,2,0)),"")</f>
        <v/>
      </c>
      <c r="C923" s="30">
        <f>IFERROR(IF(A923="","",VLOOKUP(A923,DATABASE!A:J,10,0)),"")</f>
        <v/>
      </c>
      <c r="D923" s="31">
        <f>IF(A923="","",TODAY())</f>
        <v/>
      </c>
      <c r="E923" s="30" t="n"/>
      <c r="F923" s="30">
        <f>IFERROR(IF(OR(A923="",E923=""),"",C923+E923),"")</f>
        <v/>
      </c>
      <c r="G923" s="26" t="n"/>
      <c r="H923" s="26" t="n"/>
    </row>
    <row r="924">
      <c r="A924" s="33" t="n"/>
      <c r="B924" s="33">
        <f>IFERROR(IF(A924="","",VLOOKUP(A924,DATABASE!A:B,2,0)),"")</f>
        <v/>
      </c>
      <c r="C924" s="34">
        <f>IFERROR(IF(A924="","",VLOOKUP(A924,DATABASE!A:J,10,0)),"")</f>
        <v/>
      </c>
      <c r="D924" s="35">
        <f>IF(A924="","",TODAY())</f>
        <v/>
      </c>
      <c r="E924" s="34" t="n"/>
      <c r="F924" s="34">
        <f>IFERROR(IF(OR(A924="",E924=""),"",C924+E924),"")</f>
        <v/>
      </c>
      <c r="G924" s="33" t="n"/>
      <c r="H924" s="33" t="n"/>
    </row>
    <row r="925">
      <c r="A925" s="26" t="n"/>
      <c r="B925" s="26">
        <f>IFERROR(IF(A925="","",VLOOKUP(A925,DATABASE!A:B,2,0)),"")</f>
        <v/>
      </c>
      <c r="C925" s="30">
        <f>IFERROR(IF(A925="","",VLOOKUP(A925,DATABASE!A:J,10,0)),"")</f>
        <v/>
      </c>
      <c r="D925" s="31">
        <f>IF(A925="","",TODAY())</f>
        <v/>
      </c>
      <c r="E925" s="30" t="n"/>
      <c r="F925" s="30">
        <f>IFERROR(IF(OR(A925="",E925=""),"",C925+E925),"")</f>
        <v/>
      </c>
      <c r="G925" s="26" t="n"/>
      <c r="H925" s="26" t="n"/>
    </row>
    <row r="926">
      <c r="A926" s="33" t="n"/>
      <c r="B926" s="33">
        <f>IFERROR(IF(A926="","",VLOOKUP(A926,DATABASE!A:B,2,0)),"")</f>
        <v/>
      </c>
      <c r="C926" s="34">
        <f>IFERROR(IF(A926="","",VLOOKUP(A926,DATABASE!A:J,10,0)),"")</f>
        <v/>
      </c>
      <c r="D926" s="35">
        <f>IF(A926="","",TODAY())</f>
        <v/>
      </c>
      <c r="E926" s="34" t="n"/>
      <c r="F926" s="34">
        <f>IFERROR(IF(OR(A926="",E926=""),"",C926+E926),"")</f>
        <v/>
      </c>
      <c r="G926" s="33" t="n"/>
      <c r="H926" s="33" t="n"/>
    </row>
    <row r="927">
      <c r="A927" s="26" t="n"/>
      <c r="B927" s="26">
        <f>IFERROR(IF(A927="","",VLOOKUP(A927,DATABASE!A:B,2,0)),"")</f>
        <v/>
      </c>
      <c r="C927" s="30">
        <f>IFERROR(IF(A927="","",VLOOKUP(A927,DATABASE!A:J,10,0)),"")</f>
        <v/>
      </c>
      <c r="D927" s="31">
        <f>IF(A927="","",TODAY())</f>
        <v/>
      </c>
      <c r="E927" s="30" t="n"/>
      <c r="F927" s="30">
        <f>IFERROR(IF(OR(A927="",E927=""),"",C927+E927),"")</f>
        <v/>
      </c>
      <c r="G927" s="26" t="n"/>
      <c r="H927" s="26" t="n"/>
    </row>
    <row r="928">
      <c r="A928" s="33" t="n"/>
      <c r="B928" s="33">
        <f>IFERROR(IF(A928="","",VLOOKUP(A928,DATABASE!A:B,2,0)),"")</f>
        <v/>
      </c>
      <c r="C928" s="34">
        <f>IFERROR(IF(A928="","",VLOOKUP(A928,DATABASE!A:J,10,0)),"")</f>
        <v/>
      </c>
      <c r="D928" s="35">
        <f>IF(A928="","",TODAY())</f>
        <v/>
      </c>
      <c r="E928" s="34" t="n"/>
      <c r="F928" s="34">
        <f>IFERROR(IF(OR(A928="",E928=""),"",C928+E928),"")</f>
        <v/>
      </c>
      <c r="G928" s="33" t="n"/>
      <c r="H928" s="33" t="n"/>
    </row>
    <row r="929">
      <c r="A929" s="26" t="n"/>
      <c r="B929" s="26">
        <f>IFERROR(IF(A929="","",VLOOKUP(A929,DATABASE!A:B,2,0)),"")</f>
        <v/>
      </c>
      <c r="C929" s="30">
        <f>IFERROR(IF(A929="","",VLOOKUP(A929,DATABASE!A:J,10,0)),"")</f>
        <v/>
      </c>
      <c r="D929" s="31">
        <f>IF(A929="","",TODAY())</f>
        <v/>
      </c>
      <c r="E929" s="30" t="n"/>
      <c r="F929" s="30">
        <f>IFERROR(IF(OR(A929="",E929=""),"",C929+E929),"")</f>
        <v/>
      </c>
      <c r="G929" s="26" t="n"/>
      <c r="H929" s="26" t="n"/>
    </row>
    <row r="930">
      <c r="A930" s="33" t="n"/>
      <c r="B930" s="33">
        <f>IFERROR(IF(A930="","",VLOOKUP(A930,DATABASE!A:B,2,0)),"")</f>
        <v/>
      </c>
      <c r="C930" s="34">
        <f>IFERROR(IF(A930="","",VLOOKUP(A930,DATABASE!A:J,10,0)),"")</f>
        <v/>
      </c>
      <c r="D930" s="35">
        <f>IF(A930="","",TODAY())</f>
        <v/>
      </c>
      <c r="E930" s="34" t="n"/>
      <c r="F930" s="34">
        <f>IFERROR(IF(OR(A930="",E930=""),"",C930+E930),"")</f>
        <v/>
      </c>
      <c r="G930" s="33" t="n"/>
      <c r="H930" s="33" t="n"/>
    </row>
    <row r="931">
      <c r="A931" s="26" t="n"/>
      <c r="B931" s="26">
        <f>IFERROR(IF(A931="","",VLOOKUP(A931,DATABASE!A:B,2,0)),"")</f>
        <v/>
      </c>
      <c r="C931" s="30">
        <f>IFERROR(IF(A931="","",VLOOKUP(A931,DATABASE!A:J,10,0)),"")</f>
        <v/>
      </c>
      <c r="D931" s="31">
        <f>IF(A931="","",TODAY())</f>
        <v/>
      </c>
      <c r="E931" s="30" t="n"/>
      <c r="F931" s="30">
        <f>IFERROR(IF(OR(A931="",E931=""),"",C931+E931),"")</f>
        <v/>
      </c>
      <c r="G931" s="26" t="n"/>
      <c r="H931" s="26" t="n"/>
    </row>
    <row r="932">
      <c r="A932" s="33" t="n"/>
      <c r="B932" s="33">
        <f>IFERROR(IF(A932="","",VLOOKUP(A932,DATABASE!A:B,2,0)),"")</f>
        <v/>
      </c>
      <c r="C932" s="34">
        <f>IFERROR(IF(A932="","",VLOOKUP(A932,DATABASE!A:J,10,0)),"")</f>
        <v/>
      </c>
      <c r="D932" s="35">
        <f>IF(A932="","",TODAY())</f>
        <v/>
      </c>
      <c r="E932" s="34" t="n"/>
      <c r="F932" s="34">
        <f>IFERROR(IF(OR(A932="",E932=""),"",C932+E932),"")</f>
        <v/>
      </c>
      <c r="G932" s="33" t="n"/>
      <c r="H932" s="33" t="n"/>
    </row>
    <row r="933">
      <c r="A933" s="26" t="n"/>
      <c r="B933" s="26">
        <f>IFERROR(IF(A933="","",VLOOKUP(A933,DATABASE!A:B,2,0)),"")</f>
        <v/>
      </c>
      <c r="C933" s="30">
        <f>IFERROR(IF(A933="","",VLOOKUP(A933,DATABASE!A:J,10,0)),"")</f>
        <v/>
      </c>
      <c r="D933" s="31">
        <f>IF(A933="","",TODAY())</f>
        <v/>
      </c>
      <c r="E933" s="30" t="n"/>
      <c r="F933" s="30">
        <f>IFERROR(IF(OR(A933="",E933=""),"",C933+E933),"")</f>
        <v/>
      </c>
      <c r="G933" s="26" t="n"/>
      <c r="H933" s="26" t="n"/>
    </row>
    <row r="934">
      <c r="A934" s="33" t="n"/>
      <c r="B934" s="33">
        <f>IFERROR(IF(A934="","",VLOOKUP(A934,DATABASE!A:B,2,0)),"")</f>
        <v/>
      </c>
      <c r="C934" s="34">
        <f>IFERROR(IF(A934="","",VLOOKUP(A934,DATABASE!A:J,10,0)),"")</f>
        <v/>
      </c>
      <c r="D934" s="35">
        <f>IF(A934="","",TODAY())</f>
        <v/>
      </c>
      <c r="E934" s="34" t="n"/>
      <c r="F934" s="34">
        <f>IFERROR(IF(OR(A934="",E934=""),"",C934+E934),"")</f>
        <v/>
      </c>
      <c r="G934" s="33" t="n"/>
      <c r="H934" s="33" t="n"/>
    </row>
    <row r="935">
      <c r="A935" s="26" t="n"/>
      <c r="B935" s="26">
        <f>IFERROR(IF(A935="","",VLOOKUP(A935,DATABASE!A:B,2,0)),"")</f>
        <v/>
      </c>
      <c r="C935" s="30">
        <f>IFERROR(IF(A935="","",VLOOKUP(A935,DATABASE!A:J,10,0)),"")</f>
        <v/>
      </c>
      <c r="D935" s="31">
        <f>IF(A935="","",TODAY())</f>
        <v/>
      </c>
      <c r="E935" s="30" t="n"/>
      <c r="F935" s="30">
        <f>IFERROR(IF(OR(A935="",E935=""),"",C935+E935),"")</f>
        <v/>
      </c>
      <c r="G935" s="26" t="n"/>
      <c r="H935" s="26" t="n"/>
    </row>
    <row r="936">
      <c r="A936" s="33" t="n"/>
      <c r="B936" s="33">
        <f>IFERROR(IF(A936="","",VLOOKUP(A936,DATABASE!A:B,2,0)),"")</f>
        <v/>
      </c>
      <c r="C936" s="34">
        <f>IFERROR(IF(A936="","",VLOOKUP(A936,DATABASE!A:J,10,0)),"")</f>
        <v/>
      </c>
      <c r="D936" s="35">
        <f>IF(A936="","",TODAY())</f>
        <v/>
      </c>
      <c r="E936" s="34" t="n"/>
      <c r="F936" s="34">
        <f>IFERROR(IF(OR(A936="",E936=""),"",C936+E936),"")</f>
        <v/>
      </c>
      <c r="G936" s="33" t="n"/>
      <c r="H936" s="33" t="n"/>
    </row>
    <row r="937">
      <c r="A937" s="26" t="n"/>
      <c r="B937" s="26">
        <f>IFERROR(IF(A937="","",VLOOKUP(A937,DATABASE!A:B,2,0)),"")</f>
        <v/>
      </c>
      <c r="C937" s="30">
        <f>IFERROR(IF(A937="","",VLOOKUP(A937,DATABASE!A:J,10,0)),"")</f>
        <v/>
      </c>
      <c r="D937" s="31">
        <f>IF(A937="","",TODAY())</f>
        <v/>
      </c>
      <c r="E937" s="30" t="n"/>
      <c r="F937" s="30">
        <f>IFERROR(IF(OR(A937="",E937=""),"",C937+E937),"")</f>
        <v/>
      </c>
      <c r="G937" s="26" t="n"/>
      <c r="H937" s="26" t="n"/>
    </row>
    <row r="938">
      <c r="A938" s="33" t="n"/>
      <c r="B938" s="33">
        <f>IFERROR(IF(A938="","",VLOOKUP(A938,DATABASE!A:B,2,0)),"")</f>
        <v/>
      </c>
      <c r="C938" s="34">
        <f>IFERROR(IF(A938="","",VLOOKUP(A938,DATABASE!A:J,10,0)),"")</f>
        <v/>
      </c>
      <c r="D938" s="35">
        <f>IF(A938="","",TODAY())</f>
        <v/>
      </c>
      <c r="E938" s="34" t="n"/>
      <c r="F938" s="34">
        <f>IFERROR(IF(OR(A938="",E938=""),"",C938+E938),"")</f>
        <v/>
      </c>
      <c r="G938" s="33" t="n"/>
      <c r="H938" s="33" t="n"/>
    </row>
    <row r="939">
      <c r="A939" s="26" t="n"/>
      <c r="B939" s="26">
        <f>IFERROR(IF(A939="","",VLOOKUP(A939,DATABASE!A:B,2,0)),"")</f>
        <v/>
      </c>
      <c r="C939" s="30">
        <f>IFERROR(IF(A939="","",VLOOKUP(A939,DATABASE!A:J,10,0)),"")</f>
        <v/>
      </c>
      <c r="D939" s="31">
        <f>IF(A939="","",TODAY())</f>
        <v/>
      </c>
      <c r="E939" s="30" t="n"/>
      <c r="F939" s="30">
        <f>IFERROR(IF(OR(A939="",E939=""),"",C939+E939),"")</f>
        <v/>
      </c>
      <c r="G939" s="26" t="n"/>
      <c r="H939" s="26" t="n"/>
    </row>
    <row r="940">
      <c r="A940" s="33" t="n"/>
      <c r="B940" s="33">
        <f>IFERROR(IF(A940="","",VLOOKUP(A940,DATABASE!A:B,2,0)),"")</f>
        <v/>
      </c>
      <c r="C940" s="34">
        <f>IFERROR(IF(A940="","",VLOOKUP(A940,DATABASE!A:J,10,0)),"")</f>
        <v/>
      </c>
      <c r="D940" s="35">
        <f>IF(A940="","",TODAY())</f>
        <v/>
      </c>
      <c r="E940" s="34" t="n"/>
      <c r="F940" s="34">
        <f>IFERROR(IF(OR(A940="",E940=""),"",C940+E940),"")</f>
        <v/>
      </c>
      <c r="G940" s="33" t="n"/>
      <c r="H940" s="33" t="n"/>
    </row>
    <row r="941">
      <c r="A941" s="26" t="n"/>
      <c r="B941" s="26">
        <f>IFERROR(IF(A941="","",VLOOKUP(A941,DATABASE!A:B,2,0)),"")</f>
        <v/>
      </c>
      <c r="C941" s="30">
        <f>IFERROR(IF(A941="","",VLOOKUP(A941,DATABASE!A:J,10,0)),"")</f>
        <v/>
      </c>
      <c r="D941" s="31">
        <f>IF(A941="","",TODAY())</f>
        <v/>
      </c>
      <c r="E941" s="30" t="n"/>
      <c r="F941" s="30">
        <f>IFERROR(IF(OR(A941="",E941=""),"",C941+E941),"")</f>
        <v/>
      </c>
      <c r="G941" s="26" t="n"/>
      <c r="H941" s="26" t="n"/>
    </row>
    <row r="942">
      <c r="A942" s="33" t="n"/>
      <c r="B942" s="33">
        <f>IFERROR(IF(A942="","",VLOOKUP(A942,DATABASE!A:B,2,0)),"")</f>
        <v/>
      </c>
      <c r="C942" s="34">
        <f>IFERROR(IF(A942="","",VLOOKUP(A942,DATABASE!A:J,10,0)),"")</f>
        <v/>
      </c>
      <c r="D942" s="35">
        <f>IF(A942="","",TODAY())</f>
        <v/>
      </c>
      <c r="E942" s="34" t="n"/>
      <c r="F942" s="34">
        <f>IFERROR(IF(OR(A942="",E942=""),"",C942+E942),"")</f>
        <v/>
      </c>
      <c r="G942" s="33" t="n"/>
      <c r="H942" s="33" t="n"/>
    </row>
    <row r="943">
      <c r="A943" s="26" t="n"/>
      <c r="B943" s="26">
        <f>IFERROR(IF(A943="","",VLOOKUP(A943,DATABASE!A:B,2,0)),"")</f>
        <v/>
      </c>
      <c r="C943" s="30">
        <f>IFERROR(IF(A943="","",VLOOKUP(A943,DATABASE!A:J,10,0)),"")</f>
        <v/>
      </c>
      <c r="D943" s="31">
        <f>IF(A943="","",TODAY())</f>
        <v/>
      </c>
      <c r="E943" s="30" t="n"/>
      <c r="F943" s="30">
        <f>IFERROR(IF(OR(A943="",E943=""),"",C943+E943),"")</f>
        <v/>
      </c>
      <c r="G943" s="26" t="n"/>
      <c r="H943" s="26" t="n"/>
    </row>
    <row r="944">
      <c r="A944" s="33" t="n"/>
      <c r="B944" s="33">
        <f>IFERROR(IF(A944="","",VLOOKUP(A944,DATABASE!A:B,2,0)),"")</f>
        <v/>
      </c>
      <c r="C944" s="34">
        <f>IFERROR(IF(A944="","",VLOOKUP(A944,DATABASE!A:J,10,0)),"")</f>
        <v/>
      </c>
      <c r="D944" s="35">
        <f>IF(A944="","",TODAY())</f>
        <v/>
      </c>
      <c r="E944" s="34" t="n"/>
      <c r="F944" s="34">
        <f>IFERROR(IF(OR(A944="",E944=""),"",C944+E944),"")</f>
        <v/>
      </c>
      <c r="G944" s="33" t="n"/>
      <c r="H944" s="33" t="n"/>
    </row>
    <row r="945">
      <c r="A945" s="26" t="n"/>
      <c r="B945" s="26">
        <f>IFERROR(IF(A945="","",VLOOKUP(A945,DATABASE!A:B,2,0)),"")</f>
        <v/>
      </c>
      <c r="C945" s="30">
        <f>IFERROR(IF(A945="","",VLOOKUP(A945,DATABASE!A:J,10,0)),"")</f>
        <v/>
      </c>
      <c r="D945" s="31">
        <f>IF(A945="","",TODAY())</f>
        <v/>
      </c>
      <c r="E945" s="30" t="n"/>
      <c r="F945" s="30">
        <f>IFERROR(IF(OR(A945="",E945=""),"",C945+E945),"")</f>
        <v/>
      </c>
      <c r="G945" s="26" t="n"/>
      <c r="H945" s="26" t="n"/>
    </row>
    <row r="946">
      <c r="A946" s="33" t="n"/>
      <c r="B946" s="33">
        <f>IFERROR(IF(A946="","",VLOOKUP(A946,DATABASE!A:B,2,0)),"")</f>
        <v/>
      </c>
      <c r="C946" s="34">
        <f>IFERROR(IF(A946="","",VLOOKUP(A946,DATABASE!A:J,10,0)),"")</f>
        <v/>
      </c>
      <c r="D946" s="35">
        <f>IF(A946="","",TODAY())</f>
        <v/>
      </c>
      <c r="E946" s="34" t="n"/>
      <c r="F946" s="34">
        <f>IFERROR(IF(OR(A946="",E946=""),"",C946+E946),"")</f>
        <v/>
      </c>
      <c r="G946" s="33" t="n"/>
      <c r="H946" s="33" t="n"/>
    </row>
    <row r="947">
      <c r="A947" s="26" t="n"/>
      <c r="B947" s="26">
        <f>IFERROR(IF(A947="","",VLOOKUP(A947,DATABASE!A:B,2,0)),"")</f>
        <v/>
      </c>
      <c r="C947" s="30">
        <f>IFERROR(IF(A947="","",VLOOKUP(A947,DATABASE!A:J,10,0)),"")</f>
        <v/>
      </c>
      <c r="D947" s="31">
        <f>IF(A947="","",TODAY())</f>
        <v/>
      </c>
      <c r="E947" s="30" t="n"/>
      <c r="F947" s="30">
        <f>IFERROR(IF(OR(A947="",E947=""),"",C947+E947),"")</f>
        <v/>
      </c>
      <c r="G947" s="26" t="n"/>
      <c r="H947" s="26" t="n"/>
    </row>
    <row r="948">
      <c r="A948" s="33" t="n"/>
      <c r="B948" s="33">
        <f>IFERROR(IF(A948="","",VLOOKUP(A948,DATABASE!A:B,2,0)),"")</f>
        <v/>
      </c>
      <c r="C948" s="34">
        <f>IFERROR(IF(A948="","",VLOOKUP(A948,DATABASE!A:J,10,0)),"")</f>
        <v/>
      </c>
      <c r="D948" s="35">
        <f>IF(A948="","",TODAY())</f>
        <v/>
      </c>
      <c r="E948" s="34" t="n"/>
      <c r="F948" s="34">
        <f>IFERROR(IF(OR(A948="",E948=""),"",C948+E948),"")</f>
        <v/>
      </c>
      <c r="G948" s="33" t="n"/>
      <c r="H948" s="33" t="n"/>
    </row>
    <row r="949">
      <c r="A949" s="26" t="n"/>
      <c r="B949" s="26">
        <f>IFERROR(IF(A949="","",VLOOKUP(A949,DATABASE!A:B,2,0)),"")</f>
        <v/>
      </c>
      <c r="C949" s="30">
        <f>IFERROR(IF(A949="","",VLOOKUP(A949,DATABASE!A:J,10,0)),"")</f>
        <v/>
      </c>
      <c r="D949" s="31">
        <f>IF(A949="","",TODAY())</f>
        <v/>
      </c>
      <c r="E949" s="30" t="n"/>
      <c r="F949" s="30">
        <f>IFERROR(IF(OR(A949="",E949=""),"",C949+E949),"")</f>
        <v/>
      </c>
      <c r="G949" s="26" t="n"/>
      <c r="H949" s="26" t="n"/>
    </row>
    <row r="950">
      <c r="A950" s="33" t="n"/>
      <c r="B950" s="33">
        <f>IFERROR(IF(A950="","",VLOOKUP(A950,DATABASE!A:B,2,0)),"")</f>
        <v/>
      </c>
      <c r="C950" s="34">
        <f>IFERROR(IF(A950="","",VLOOKUP(A950,DATABASE!A:J,10,0)),"")</f>
        <v/>
      </c>
      <c r="D950" s="35">
        <f>IF(A950="","",TODAY())</f>
        <v/>
      </c>
      <c r="E950" s="34" t="n"/>
      <c r="F950" s="34">
        <f>IFERROR(IF(OR(A950="",E950=""),"",C950+E950),"")</f>
        <v/>
      </c>
      <c r="G950" s="33" t="n"/>
      <c r="H950" s="33" t="n"/>
    </row>
    <row r="951">
      <c r="A951" s="26" t="n"/>
      <c r="B951" s="26">
        <f>IFERROR(IF(A951="","",VLOOKUP(A951,DATABASE!A:B,2,0)),"")</f>
        <v/>
      </c>
      <c r="C951" s="30">
        <f>IFERROR(IF(A951="","",VLOOKUP(A951,DATABASE!A:J,10,0)),"")</f>
        <v/>
      </c>
      <c r="D951" s="31">
        <f>IF(A951="","",TODAY())</f>
        <v/>
      </c>
      <c r="E951" s="30" t="n"/>
      <c r="F951" s="30">
        <f>IFERROR(IF(OR(A951="",E951=""),"",C951+E951),"")</f>
        <v/>
      </c>
      <c r="G951" s="26" t="n"/>
      <c r="H951" s="26" t="n"/>
    </row>
    <row r="952">
      <c r="A952" s="33" t="n"/>
      <c r="B952" s="33">
        <f>IFERROR(IF(A952="","",VLOOKUP(A952,DATABASE!A:B,2,0)),"")</f>
        <v/>
      </c>
      <c r="C952" s="34">
        <f>IFERROR(IF(A952="","",VLOOKUP(A952,DATABASE!A:J,10,0)),"")</f>
        <v/>
      </c>
      <c r="D952" s="35">
        <f>IF(A952="","",TODAY())</f>
        <v/>
      </c>
      <c r="E952" s="34" t="n"/>
      <c r="F952" s="34">
        <f>IFERROR(IF(OR(A952="",E952=""),"",C952+E952),"")</f>
        <v/>
      </c>
      <c r="G952" s="33" t="n"/>
      <c r="H952" s="33" t="n"/>
    </row>
    <row r="953">
      <c r="A953" s="26" t="n"/>
      <c r="B953" s="26">
        <f>IFERROR(IF(A953="","",VLOOKUP(A953,DATABASE!A:B,2,0)),"")</f>
        <v/>
      </c>
      <c r="C953" s="30">
        <f>IFERROR(IF(A953="","",VLOOKUP(A953,DATABASE!A:J,10,0)),"")</f>
        <v/>
      </c>
      <c r="D953" s="31">
        <f>IF(A953="","",TODAY())</f>
        <v/>
      </c>
      <c r="E953" s="30" t="n"/>
      <c r="F953" s="30">
        <f>IFERROR(IF(OR(A953="",E953=""),"",C953+E953),"")</f>
        <v/>
      </c>
      <c r="G953" s="26" t="n"/>
      <c r="H953" s="26" t="n"/>
    </row>
    <row r="954">
      <c r="A954" s="33" t="n"/>
      <c r="B954" s="33">
        <f>IFERROR(IF(A954="","",VLOOKUP(A954,DATABASE!A:B,2,0)),"")</f>
        <v/>
      </c>
      <c r="C954" s="34">
        <f>IFERROR(IF(A954="","",VLOOKUP(A954,DATABASE!A:J,10,0)),"")</f>
        <v/>
      </c>
      <c r="D954" s="35">
        <f>IF(A954="","",TODAY())</f>
        <v/>
      </c>
      <c r="E954" s="34" t="n"/>
      <c r="F954" s="34">
        <f>IFERROR(IF(OR(A954="",E954=""),"",C954+E954),"")</f>
        <v/>
      </c>
      <c r="G954" s="33" t="n"/>
      <c r="H954" s="33" t="n"/>
    </row>
    <row r="955">
      <c r="A955" s="26" t="n"/>
      <c r="B955" s="26">
        <f>IFERROR(IF(A955="","",VLOOKUP(A955,DATABASE!A:B,2,0)),"")</f>
        <v/>
      </c>
      <c r="C955" s="30">
        <f>IFERROR(IF(A955="","",VLOOKUP(A955,DATABASE!A:J,10,0)),"")</f>
        <v/>
      </c>
      <c r="D955" s="31">
        <f>IF(A955="","",TODAY())</f>
        <v/>
      </c>
      <c r="E955" s="30" t="n"/>
      <c r="F955" s="30">
        <f>IFERROR(IF(OR(A955="",E955=""),"",C955+E955),"")</f>
        <v/>
      </c>
      <c r="G955" s="26" t="n"/>
      <c r="H955" s="26" t="n"/>
    </row>
    <row r="956">
      <c r="A956" s="33" t="n"/>
      <c r="B956" s="33">
        <f>IFERROR(IF(A956="","",VLOOKUP(A956,DATABASE!A:B,2,0)),"")</f>
        <v/>
      </c>
      <c r="C956" s="34">
        <f>IFERROR(IF(A956="","",VLOOKUP(A956,DATABASE!A:J,10,0)),"")</f>
        <v/>
      </c>
      <c r="D956" s="35">
        <f>IF(A956="","",TODAY())</f>
        <v/>
      </c>
      <c r="E956" s="34" t="n"/>
      <c r="F956" s="34">
        <f>IFERROR(IF(OR(A956="",E956=""),"",C956+E956),"")</f>
        <v/>
      </c>
      <c r="G956" s="33" t="n"/>
      <c r="H956" s="33" t="n"/>
    </row>
    <row r="957">
      <c r="A957" s="26" t="n"/>
      <c r="B957" s="26">
        <f>IFERROR(IF(A957="","",VLOOKUP(A957,DATABASE!A:B,2,0)),"")</f>
        <v/>
      </c>
      <c r="C957" s="30">
        <f>IFERROR(IF(A957="","",VLOOKUP(A957,DATABASE!A:J,10,0)),"")</f>
        <v/>
      </c>
      <c r="D957" s="31">
        <f>IF(A957="","",TODAY())</f>
        <v/>
      </c>
      <c r="E957" s="30" t="n"/>
      <c r="F957" s="30">
        <f>IFERROR(IF(OR(A957="",E957=""),"",C957+E957),"")</f>
        <v/>
      </c>
      <c r="G957" s="26" t="n"/>
      <c r="H957" s="26" t="n"/>
    </row>
    <row r="958">
      <c r="A958" s="33" t="n"/>
      <c r="B958" s="33">
        <f>IFERROR(IF(A958="","",VLOOKUP(A958,DATABASE!A:B,2,0)),"")</f>
        <v/>
      </c>
      <c r="C958" s="34">
        <f>IFERROR(IF(A958="","",VLOOKUP(A958,DATABASE!A:J,10,0)),"")</f>
        <v/>
      </c>
      <c r="D958" s="35">
        <f>IF(A958="","",TODAY())</f>
        <v/>
      </c>
      <c r="E958" s="34" t="n"/>
      <c r="F958" s="34">
        <f>IFERROR(IF(OR(A958="",E958=""),"",C958+E958),"")</f>
        <v/>
      </c>
      <c r="G958" s="33" t="n"/>
      <c r="H958" s="33" t="n"/>
    </row>
    <row r="959">
      <c r="A959" s="26" t="n"/>
      <c r="B959" s="26">
        <f>IFERROR(IF(A959="","",VLOOKUP(A959,DATABASE!A:B,2,0)),"")</f>
        <v/>
      </c>
      <c r="C959" s="30">
        <f>IFERROR(IF(A959="","",VLOOKUP(A959,DATABASE!A:J,10,0)),"")</f>
        <v/>
      </c>
      <c r="D959" s="31">
        <f>IF(A959="","",TODAY())</f>
        <v/>
      </c>
      <c r="E959" s="30" t="n"/>
      <c r="F959" s="30">
        <f>IFERROR(IF(OR(A959="",E959=""),"",C959+E959),"")</f>
        <v/>
      </c>
      <c r="G959" s="26" t="n"/>
      <c r="H959" s="26" t="n"/>
    </row>
    <row r="960">
      <c r="A960" s="33" t="n"/>
      <c r="B960" s="33">
        <f>IFERROR(IF(A960="","",VLOOKUP(A960,DATABASE!A:B,2,0)),"")</f>
        <v/>
      </c>
      <c r="C960" s="34">
        <f>IFERROR(IF(A960="","",VLOOKUP(A960,DATABASE!A:J,10,0)),"")</f>
        <v/>
      </c>
      <c r="D960" s="35">
        <f>IF(A960="","",TODAY())</f>
        <v/>
      </c>
      <c r="E960" s="34" t="n"/>
      <c r="F960" s="34">
        <f>IFERROR(IF(OR(A960="",E960=""),"",C960+E960),"")</f>
        <v/>
      </c>
      <c r="G960" s="33" t="n"/>
      <c r="H960" s="33" t="n"/>
    </row>
    <row r="961">
      <c r="A961" s="26" t="n"/>
      <c r="B961" s="26">
        <f>IFERROR(IF(A961="","",VLOOKUP(A961,DATABASE!A:B,2,0)),"")</f>
        <v/>
      </c>
      <c r="C961" s="30">
        <f>IFERROR(IF(A961="","",VLOOKUP(A961,DATABASE!A:J,10,0)),"")</f>
        <v/>
      </c>
      <c r="D961" s="31">
        <f>IF(A961="","",TODAY())</f>
        <v/>
      </c>
      <c r="E961" s="30" t="n"/>
      <c r="F961" s="30">
        <f>IFERROR(IF(OR(A961="",E961=""),"",C961+E961),"")</f>
        <v/>
      </c>
      <c r="G961" s="26" t="n"/>
      <c r="H961" s="26" t="n"/>
    </row>
    <row r="962">
      <c r="A962" s="33" t="n"/>
      <c r="B962" s="33">
        <f>IFERROR(IF(A962="","",VLOOKUP(A962,DATABASE!A:B,2,0)),"")</f>
        <v/>
      </c>
      <c r="C962" s="34">
        <f>IFERROR(IF(A962="","",VLOOKUP(A962,DATABASE!A:J,10,0)),"")</f>
        <v/>
      </c>
      <c r="D962" s="35">
        <f>IF(A962="","",TODAY())</f>
        <v/>
      </c>
      <c r="E962" s="34" t="n"/>
      <c r="F962" s="34">
        <f>IFERROR(IF(OR(A962="",E962=""),"",C962+E962),"")</f>
        <v/>
      </c>
      <c r="G962" s="33" t="n"/>
      <c r="H962" s="33" t="n"/>
    </row>
    <row r="963">
      <c r="A963" s="26" t="n"/>
      <c r="B963" s="26">
        <f>IFERROR(IF(A963="","",VLOOKUP(A963,DATABASE!A:B,2,0)),"")</f>
        <v/>
      </c>
      <c r="C963" s="30">
        <f>IFERROR(IF(A963="","",VLOOKUP(A963,DATABASE!A:J,10,0)),"")</f>
        <v/>
      </c>
      <c r="D963" s="31">
        <f>IF(A963="","",TODAY())</f>
        <v/>
      </c>
      <c r="E963" s="30" t="n"/>
      <c r="F963" s="30">
        <f>IFERROR(IF(OR(A963="",E963=""),"",C963+E963),"")</f>
        <v/>
      </c>
      <c r="G963" s="26" t="n"/>
      <c r="H963" s="26" t="n"/>
    </row>
    <row r="964">
      <c r="A964" s="33" t="n"/>
      <c r="B964" s="33">
        <f>IFERROR(IF(A964="","",VLOOKUP(A964,DATABASE!A:B,2,0)),"")</f>
        <v/>
      </c>
      <c r="C964" s="34">
        <f>IFERROR(IF(A964="","",VLOOKUP(A964,DATABASE!A:J,10,0)),"")</f>
        <v/>
      </c>
      <c r="D964" s="35">
        <f>IF(A964="","",TODAY())</f>
        <v/>
      </c>
      <c r="E964" s="34" t="n"/>
      <c r="F964" s="34">
        <f>IFERROR(IF(OR(A964="",E964=""),"",C964+E964),"")</f>
        <v/>
      </c>
      <c r="G964" s="33" t="n"/>
      <c r="H964" s="33" t="n"/>
    </row>
    <row r="965">
      <c r="A965" s="26" t="n"/>
      <c r="B965" s="26">
        <f>IFERROR(IF(A965="","",VLOOKUP(A965,DATABASE!A:B,2,0)),"")</f>
        <v/>
      </c>
      <c r="C965" s="30">
        <f>IFERROR(IF(A965="","",VLOOKUP(A965,DATABASE!A:J,10,0)),"")</f>
        <v/>
      </c>
      <c r="D965" s="31">
        <f>IF(A965="","",TODAY())</f>
        <v/>
      </c>
      <c r="E965" s="30" t="n"/>
      <c r="F965" s="30">
        <f>IFERROR(IF(OR(A965="",E965=""),"",C965+E965),"")</f>
        <v/>
      </c>
      <c r="G965" s="26" t="n"/>
      <c r="H965" s="26" t="n"/>
    </row>
    <row r="966">
      <c r="A966" s="33" t="n"/>
      <c r="B966" s="33">
        <f>IFERROR(IF(A966="","",VLOOKUP(A966,DATABASE!A:B,2,0)),"")</f>
        <v/>
      </c>
      <c r="C966" s="34">
        <f>IFERROR(IF(A966="","",VLOOKUP(A966,DATABASE!A:J,10,0)),"")</f>
        <v/>
      </c>
      <c r="D966" s="35">
        <f>IF(A966="","",TODAY())</f>
        <v/>
      </c>
      <c r="E966" s="34" t="n"/>
      <c r="F966" s="34">
        <f>IFERROR(IF(OR(A966="",E966=""),"",C966+E966),"")</f>
        <v/>
      </c>
      <c r="G966" s="33" t="n"/>
      <c r="H966" s="33" t="n"/>
    </row>
    <row r="967">
      <c r="A967" s="26" t="n"/>
      <c r="B967" s="26">
        <f>IFERROR(IF(A967="","",VLOOKUP(A967,DATABASE!A:B,2,0)),"")</f>
        <v/>
      </c>
      <c r="C967" s="30">
        <f>IFERROR(IF(A967="","",VLOOKUP(A967,DATABASE!A:J,10,0)),"")</f>
        <v/>
      </c>
      <c r="D967" s="31">
        <f>IF(A967="","",TODAY())</f>
        <v/>
      </c>
      <c r="E967" s="30" t="n"/>
      <c r="F967" s="30">
        <f>IFERROR(IF(OR(A967="",E967=""),"",C967+E967),"")</f>
        <v/>
      </c>
      <c r="G967" s="26" t="n"/>
      <c r="H967" s="26" t="n"/>
    </row>
    <row r="968">
      <c r="A968" s="33" t="n"/>
      <c r="B968" s="33">
        <f>IFERROR(IF(A968="","",VLOOKUP(A968,DATABASE!A:B,2,0)),"")</f>
        <v/>
      </c>
      <c r="C968" s="34">
        <f>IFERROR(IF(A968="","",VLOOKUP(A968,DATABASE!A:J,10,0)),"")</f>
        <v/>
      </c>
      <c r="D968" s="35">
        <f>IF(A968="","",TODAY())</f>
        <v/>
      </c>
      <c r="E968" s="34" t="n"/>
      <c r="F968" s="34">
        <f>IFERROR(IF(OR(A968="",E968=""),"",C968+E968),"")</f>
        <v/>
      </c>
      <c r="G968" s="33" t="n"/>
      <c r="H968" s="33" t="n"/>
    </row>
    <row r="969">
      <c r="A969" s="26" t="n"/>
      <c r="B969" s="26">
        <f>IFERROR(IF(A969="","",VLOOKUP(A969,DATABASE!A:B,2,0)),"")</f>
        <v/>
      </c>
      <c r="C969" s="30">
        <f>IFERROR(IF(A969="","",VLOOKUP(A969,DATABASE!A:J,10,0)),"")</f>
        <v/>
      </c>
      <c r="D969" s="31">
        <f>IF(A969="","",TODAY())</f>
        <v/>
      </c>
      <c r="E969" s="30" t="n"/>
      <c r="F969" s="30">
        <f>IFERROR(IF(OR(A969="",E969=""),"",C969+E969),"")</f>
        <v/>
      </c>
      <c r="G969" s="26" t="n"/>
      <c r="H969" s="26" t="n"/>
    </row>
    <row r="970">
      <c r="A970" s="33" t="n"/>
      <c r="B970" s="33">
        <f>IFERROR(IF(A970="","",VLOOKUP(A970,DATABASE!A:B,2,0)),"")</f>
        <v/>
      </c>
      <c r="C970" s="34">
        <f>IFERROR(IF(A970="","",VLOOKUP(A970,DATABASE!A:J,10,0)),"")</f>
        <v/>
      </c>
      <c r="D970" s="35">
        <f>IF(A970="","",TODAY())</f>
        <v/>
      </c>
      <c r="E970" s="34" t="n"/>
      <c r="F970" s="34">
        <f>IFERROR(IF(OR(A970="",E970=""),"",C970+E970),"")</f>
        <v/>
      </c>
      <c r="G970" s="33" t="n"/>
      <c r="H970" s="33" t="n"/>
    </row>
    <row r="971">
      <c r="A971" s="26" t="n"/>
      <c r="B971" s="26">
        <f>IFERROR(IF(A971="","",VLOOKUP(A971,DATABASE!A:B,2,0)),"")</f>
        <v/>
      </c>
      <c r="C971" s="30">
        <f>IFERROR(IF(A971="","",VLOOKUP(A971,DATABASE!A:J,10,0)),"")</f>
        <v/>
      </c>
      <c r="D971" s="31">
        <f>IF(A971="","",TODAY())</f>
        <v/>
      </c>
      <c r="E971" s="30" t="n"/>
      <c r="F971" s="30">
        <f>IFERROR(IF(OR(A971="",E971=""),"",C971+E971),"")</f>
        <v/>
      </c>
      <c r="G971" s="26" t="n"/>
      <c r="H971" s="26" t="n"/>
    </row>
    <row r="972">
      <c r="A972" s="33" t="n"/>
      <c r="B972" s="33">
        <f>IFERROR(IF(A972="","",VLOOKUP(A972,DATABASE!A:B,2,0)),"")</f>
        <v/>
      </c>
      <c r="C972" s="34">
        <f>IFERROR(IF(A972="","",VLOOKUP(A972,DATABASE!A:J,10,0)),"")</f>
        <v/>
      </c>
      <c r="D972" s="35">
        <f>IF(A972="","",TODAY())</f>
        <v/>
      </c>
      <c r="E972" s="34" t="n"/>
      <c r="F972" s="34">
        <f>IFERROR(IF(OR(A972="",E972=""),"",C972+E972),"")</f>
        <v/>
      </c>
      <c r="G972" s="33" t="n"/>
      <c r="H972" s="33" t="n"/>
    </row>
    <row r="973">
      <c r="A973" s="26" t="n"/>
      <c r="B973" s="26">
        <f>IFERROR(IF(A973="","",VLOOKUP(A973,DATABASE!A:B,2,0)),"")</f>
        <v/>
      </c>
      <c r="C973" s="30">
        <f>IFERROR(IF(A973="","",VLOOKUP(A973,DATABASE!A:J,10,0)),"")</f>
        <v/>
      </c>
      <c r="D973" s="31">
        <f>IF(A973="","",TODAY())</f>
        <v/>
      </c>
      <c r="E973" s="30" t="n"/>
      <c r="F973" s="30">
        <f>IFERROR(IF(OR(A973="",E973=""),"",C973+E973),"")</f>
        <v/>
      </c>
      <c r="G973" s="26" t="n"/>
      <c r="H973" s="26" t="n"/>
    </row>
    <row r="974">
      <c r="A974" s="33" t="n"/>
      <c r="B974" s="33">
        <f>IFERROR(IF(A974="","",VLOOKUP(A974,DATABASE!A:B,2,0)),"")</f>
        <v/>
      </c>
      <c r="C974" s="34">
        <f>IFERROR(IF(A974="","",VLOOKUP(A974,DATABASE!A:J,10,0)),"")</f>
        <v/>
      </c>
      <c r="D974" s="35">
        <f>IF(A974="","",TODAY())</f>
        <v/>
      </c>
      <c r="E974" s="34" t="n"/>
      <c r="F974" s="34">
        <f>IFERROR(IF(OR(A974="",E974=""),"",C974+E974),"")</f>
        <v/>
      </c>
      <c r="G974" s="33" t="n"/>
      <c r="H974" s="33" t="n"/>
    </row>
    <row r="975">
      <c r="A975" s="26" t="n"/>
      <c r="B975" s="26">
        <f>IFERROR(IF(A975="","",VLOOKUP(A975,DATABASE!A:B,2,0)),"")</f>
        <v/>
      </c>
      <c r="C975" s="30">
        <f>IFERROR(IF(A975="","",VLOOKUP(A975,DATABASE!A:J,10,0)),"")</f>
        <v/>
      </c>
      <c r="D975" s="31">
        <f>IF(A975="","",TODAY())</f>
        <v/>
      </c>
      <c r="E975" s="30" t="n"/>
      <c r="F975" s="30">
        <f>IFERROR(IF(OR(A975="",E975=""),"",C975+E975),"")</f>
        <v/>
      </c>
      <c r="G975" s="26" t="n"/>
      <c r="H975" s="26" t="n"/>
    </row>
    <row r="976">
      <c r="A976" s="33" t="n"/>
      <c r="B976" s="33">
        <f>IFERROR(IF(A976="","",VLOOKUP(A976,DATABASE!A:B,2,0)),"")</f>
        <v/>
      </c>
      <c r="C976" s="34">
        <f>IFERROR(IF(A976="","",VLOOKUP(A976,DATABASE!A:J,10,0)),"")</f>
        <v/>
      </c>
      <c r="D976" s="35">
        <f>IF(A976="","",TODAY())</f>
        <v/>
      </c>
      <c r="E976" s="34" t="n"/>
      <c r="F976" s="34">
        <f>IFERROR(IF(OR(A976="",E976=""),"",C976+E976),"")</f>
        <v/>
      </c>
      <c r="G976" s="33" t="n"/>
      <c r="H976" s="33" t="n"/>
    </row>
    <row r="977">
      <c r="A977" s="26" t="n"/>
      <c r="B977" s="26">
        <f>IFERROR(IF(A977="","",VLOOKUP(A977,DATABASE!A:B,2,0)),"")</f>
        <v/>
      </c>
      <c r="C977" s="30">
        <f>IFERROR(IF(A977="","",VLOOKUP(A977,DATABASE!A:J,10,0)),"")</f>
        <v/>
      </c>
      <c r="D977" s="31">
        <f>IF(A977="","",TODAY())</f>
        <v/>
      </c>
      <c r="E977" s="30" t="n"/>
      <c r="F977" s="30">
        <f>IFERROR(IF(OR(A977="",E977=""),"",C977+E977),"")</f>
        <v/>
      </c>
      <c r="G977" s="26" t="n"/>
      <c r="H977" s="26" t="n"/>
    </row>
    <row r="978">
      <c r="A978" s="33" t="n"/>
      <c r="B978" s="33">
        <f>IFERROR(IF(A978="","",VLOOKUP(A978,DATABASE!A:B,2,0)),"")</f>
        <v/>
      </c>
      <c r="C978" s="34">
        <f>IFERROR(IF(A978="","",VLOOKUP(A978,DATABASE!A:J,10,0)),"")</f>
        <v/>
      </c>
      <c r="D978" s="35">
        <f>IF(A978="","",TODAY())</f>
        <v/>
      </c>
      <c r="E978" s="34" t="n"/>
      <c r="F978" s="34">
        <f>IFERROR(IF(OR(A978="",E978=""),"",C978+E978),"")</f>
        <v/>
      </c>
      <c r="G978" s="33" t="n"/>
      <c r="H978" s="33" t="n"/>
    </row>
    <row r="979">
      <c r="A979" s="26" t="n"/>
      <c r="B979" s="26">
        <f>IFERROR(IF(A979="","",VLOOKUP(A979,DATABASE!A:B,2,0)),"")</f>
        <v/>
      </c>
      <c r="C979" s="30">
        <f>IFERROR(IF(A979="","",VLOOKUP(A979,DATABASE!A:J,10,0)),"")</f>
        <v/>
      </c>
      <c r="D979" s="31">
        <f>IF(A979="","",TODAY())</f>
        <v/>
      </c>
      <c r="E979" s="30" t="n"/>
      <c r="F979" s="30">
        <f>IFERROR(IF(OR(A979="",E979=""),"",C979+E979),"")</f>
        <v/>
      </c>
      <c r="G979" s="26" t="n"/>
      <c r="H979" s="26" t="n"/>
    </row>
    <row r="980">
      <c r="A980" s="33" t="n"/>
      <c r="B980" s="33">
        <f>IFERROR(IF(A980="","",VLOOKUP(A980,DATABASE!A:B,2,0)),"")</f>
        <v/>
      </c>
      <c r="C980" s="34">
        <f>IFERROR(IF(A980="","",VLOOKUP(A980,DATABASE!A:J,10,0)),"")</f>
        <v/>
      </c>
      <c r="D980" s="35">
        <f>IF(A980="","",TODAY())</f>
        <v/>
      </c>
      <c r="E980" s="34" t="n"/>
      <c r="F980" s="34">
        <f>IFERROR(IF(OR(A980="",E980=""),"",C980+E980),"")</f>
        <v/>
      </c>
      <c r="G980" s="33" t="n"/>
      <c r="H980" s="33" t="n"/>
    </row>
    <row r="981">
      <c r="A981" s="26" t="n"/>
      <c r="B981" s="26">
        <f>IFERROR(IF(A981="","",VLOOKUP(A981,DATABASE!A:B,2,0)),"")</f>
        <v/>
      </c>
      <c r="C981" s="30">
        <f>IFERROR(IF(A981="","",VLOOKUP(A981,DATABASE!A:J,10,0)),"")</f>
        <v/>
      </c>
      <c r="D981" s="31">
        <f>IF(A981="","",TODAY())</f>
        <v/>
      </c>
      <c r="E981" s="30" t="n"/>
      <c r="F981" s="30">
        <f>IFERROR(IF(OR(A981="",E981=""),"",C981+E981),"")</f>
        <v/>
      </c>
      <c r="G981" s="26" t="n"/>
      <c r="H981" s="26" t="n"/>
    </row>
    <row r="982">
      <c r="A982" s="33" t="n"/>
      <c r="B982" s="33">
        <f>IFERROR(IF(A982="","",VLOOKUP(A982,DATABASE!A:B,2,0)),"")</f>
        <v/>
      </c>
      <c r="C982" s="34">
        <f>IFERROR(IF(A982="","",VLOOKUP(A982,DATABASE!A:J,10,0)),"")</f>
        <v/>
      </c>
      <c r="D982" s="35">
        <f>IF(A982="","",TODAY())</f>
        <v/>
      </c>
      <c r="E982" s="34" t="n"/>
      <c r="F982" s="34">
        <f>IFERROR(IF(OR(A982="",E982=""),"",C982+E982),"")</f>
        <v/>
      </c>
      <c r="G982" s="33" t="n"/>
      <c r="H982" s="33" t="n"/>
    </row>
    <row r="983">
      <c r="A983" s="26" t="n"/>
      <c r="B983" s="26">
        <f>IFERROR(IF(A983="","",VLOOKUP(A983,DATABASE!A:B,2,0)),"")</f>
        <v/>
      </c>
      <c r="C983" s="30">
        <f>IFERROR(IF(A983="","",VLOOKUP(A983,DATABASE!A:J,10,0)),"")</f>
        <v/>
      </c>
      <c r="D983" s="31">
        <f>IF(A983="","",TODAY())</f>
        <v/>
      </c>
      <c r="E983" s="30" t="n"/>
      <c r="F983" s="30">
        <f>IFERROR(IF(OR(A983="",E983=""),"",C983+E983),"")</f>
        <v/>
      </c>
      <c r="G983" s="26" t="n"/>
      <c r="H983" s="26" t="n"/>
    </row>
    <row r="984">
      <c r="A984" s="33" t="n"/>
      <c r="B984" s="33">
        <f>IFERROR(IF(A984="","",VLOOKUP(A984,DATABASE!A:B,2,0)),"")</f>
        <v/>
      </c>
      <c r="C984" s="34">
        <f>IFERROR(IF(A984="","",VLOOKUP(A984,DATABASE!A:J,10,0)),"")</f>
        <v/>
      </c>
      <c r="D984" s="35">
        <f>IF(A984="","",TODAY())</f>
        <v/>
      </c>
      <c r="E984" s="34" t="n"/>
      <c r="F984" s="34">
        <f>IFERROR(IF(OR(A984="",E984=""),"",C984+E984),"")</f>
        <v/>
      </c>
      <c r="G984" s="33" t="n"/>
      <c r="H984" s="33" t="n"/>
    </row>
    <row r="985">
      <c r="A985" s="26" t="n"/>
      <c r="B985" s="26">
        <f>IFERROR(IF(A985="","",VLOOKUP(A985,DATABASE!A:B,2,0)),"")</f>
        <v/>
      </c>
      <c r="C985" s="30">
        <f>IFERROR(IF(A985="","",VLOOKUP(A985,DATABASE!A:J,10,0)),"")</f>
        <v/>
      </c>
      <c r="D985" s="31">
        <f>IF(A985="","",TODAY())</f>
        <v/>
      </c>
      <c r="E985" s="30" t="n"/>
      <c r="F985" s="30">
        <f>IFERROR(IF(OR(A985="",E985=""),"",C985+E985),"")</f>
        <v/>
      </c>
      <c r="G985" s="26" t="n"/>
      <c r="H985" s="26" t="n"/>
    </row>
    <row r="986">
      <c r="A986" s="33" t="n"/>
      <c r="B986" s="33">
        <f>IFERROR(IF(A986="","",VLOOKUP(A986,DATABASE!A:B,2,0)),"")</f>
        <v/>
      </c>
      <c r="C986" s="34">
        <f>IFERROR(IF(A986="","",VLOOKUP(A986,DATABASE!A:J,10,0)),"")</f>
        <v/>
      </c>
      <c r="D986" s="35">
        <f>IF(A986="","",TODAY())</f>
        <v/>
      </c>
      <c r="E986" s="34" t="n"/>
      <c r="F986" s="34">
        <f>IFERROR(IF(OR(A986="",E986=""),"",C986+E986),"")</f>
        <v/>
      </c>
      <c r="G986" s="33" t="n"/>
      <c r="H986" s="33" t="n"/>
    </row>
    <row r="987">
      <c r="A987" s="26" t="n"/>
      <c r="B987" s="26">
        <f>IFERROR(IF(A987="","",VLOOKUP(A987,DATABASE!A:B,2,0)),"")</f>
        <v/>
      </c>
      <c r="C987" s="30">
        <f>IFERROR(IF(A987="","",VLOOKUP(A987,DATABASE!A:J,10,0)),"")</f>
        <v/>
      </c>
      <c r="D987" s="31">
        <f>IF(A987="","",TODAY())</f>
        <v/>
      </c>
      <c r="E987" s="30" t="n"/>
      <c r="F987" s="30">
        <f>IFERROR(IF(OR(A987="",E987=""),"",C987+E987),"")</f>
        <v/>
      </c>
      <c r="G987" s="26" t="n"/>
      <c r="H987" s="26" t="n"/>
    </row>
    <row r="988">
      <c r="A988" s="33" t="n"/>
      <c r="B988" s="33">
        <f>IFERROR(IF(A988="","",VLOOKUP(A988,DATABASE!A:B,2,0)),"")</f>
        <v/>
      </c>
      <c r="C988" s="34">
        <f>IFERROR(IF(A988="","",VLOOKUP(A988,DATABASE!A:J,10,0)),"")</f>
        <v/>
      </c>
      <c r="D988" s="35">
        <f>IF(A988="","",TODAY())</f>
        <v/>
      </c>
      <c r="E988" s="34" t="n"/>
      <c r="F988" s="34">
        <f>IFERROR(IF(OR(A988="",E988=""),"",C988+E988),"")</f>
        <v/>
      </c>
      <c r="G988" s="33" t="n"/>
      <c r="H988" s="33" t="n"/>
    </row>
    <row r="989">
      <c r="A989" s="26" t="n"/>
      <c r="B989" s="26">
        <f>IFERROR(IF(A989="","",VLOOKUP(A989,DATABASE!A:B,2,0)),"")</f>
        <v/>
      </c>
      <c r="C989" s="30">
        <f>IFERROR(IF(A989="","",VLOOKUP(A989,DATABASE!A:J,10,0)),"")</f>
        <v/>
      </c>
      <c r="D989" s="31">
        <f>IF(A989="","",TODAY())</f>
        <v/>
      </c>
      <c r="E989" s="30" t="n"/>
      <c r="F989" s="30">
        <f>IFERROR(IF(OR(A989="",E989=""),"",C989+E989),"")</f>
        <v/>
      </c>
      <c r="G989" s="26" t="n"/>
      <c r="H989" s="26" t="n"/>
    </row>
    <row r="990">
      <c r="A990" s="33" t="n"/>
      <c r="B990" s="33">
        <f>IFERROR(IF(A990="","",VLOOKUP(A990,DATABASE!A:B,2,0)),"")</f>
        <v/>
      </c>
      <c r="C990" s="34">
        <f>IFERROR(IF(A990="","",VLOOKUP(A990,DATABASE!A:J,10,0)),"")</f>
        <v/>
      </c>
      <c r="D990" s="35">
        <f>IF(A990="","",TODAY())</f>
        <v/>
      </c>
      <c r="E990" s="34" t="n"/>
      <c r="F990" s="34">
        <f>IFERROR(IF(OR(A990="",E990=""),"",C990+E990),"")</f>
        <v/>
      </c>
      <c r="G990" s="33" t="n"/>
      <c r="H990" s="33" t="n"/>
    </row>
    <row r="991">
      <c r="A991" s="26" t="n"/>
      <c r="B991" s="26">
        <f>IFERROR(IF(A991="","",VLOOKUP(A991,DATABASE!A:B,2,0)),"")</f>
        <v/>
      </c>
      <c r="C991" s="30">
        <f>IFERROR(IF(A991="","",VLOOKUP(A991,DATABASE!A:J,10,0)),"")</f>
        <v/>
      </c>
      <c r="D991" s="31">
        <f>IF(A991="","",TODAY())</f>
        <v/>
      </c>
      <c r="E991" s="30" t="n"/>
      <c r="F991" s="30">
        <f>IFERROR(IF(OR(A991="",E991=""),"",C991+E991),"")</f>
        <v/>
      </c>
      <c r="G991" s="26" t="n"/>
      <c r="H991" s="26" t="n"/>
    </row>
    <row r="992">
      <c r="A992" s="33" t="n"/>
      <c r="B992" s="33">
        <f>IFERROR(IF(A992="","",VLOOKUP(A992,DATABASE!A:B,2,0)),"")</f>
        <v/>
      </c>
      <c r="C992" s="34">
        <f>IFERROR(IF(A992="","",VLOOKUP(A992,DATABASE!A:J,10,0)),"")</f>
        <v/>
      </c>
      <c r="D992" s="35">
        <f>IF(A992="","",TODAY())</f>
        <v/>
      </c>
      <c r="E992" s="34" t="n"/>
      <c r="F992" s="34">
        <f>IFERROR(IF(OR(A992="",E992=""),"",C992+E992),"")</f>
        <v/>
      </c>
      <c r="G992" s="33" t="n"/>
      <c r="H992" s="33" t="n"/>
    </row>
    <row r="993">
      <c r="A993" s="26" t="n"/>
      <c r="B993" s="26">
        <f>IFERROR(IF(A993="","",VLOOKUP(A993,DATABASE!A:B,2,0)),"")</f>
        <v/>
      </c>
      <c r="C993" s="30">
        <f>IFERROR(IF(A993="","",VLOOKUP(A993,DATABASE!A:J,10,0)),"")</f>
        <v/>
      </c>
      <c r="D993" s="31">
        <f>IF(A993="","",TODAY())</f>
        <v/>
      </c>
      <c r="E993" s="30" t="n"/>
      <c r="F993" s="30">
        <f>IFERROR(IF(OR(A993="",E993=""),"",C993+E993),"")</f>
        <v/>
      </c>
      <c r="G993" s="26" t="n"/>
      <c r="H993" s="26" t="n"/>
    </row>
    <row r="994">
      <c r="A994" s="33" t="n"/>
      <c r="B994" s="33">
        <f>IFERROR(IF(A994="","",VLOOKUP(A994,DATABASE!A:B,2,0)),"")</f>
        <v/>
      </c>
      <c r="C994" s="34">
        <f>IFERROR(IF(A994="","",VLOOKUP(A994,DATABASE!A:J,10,0)),"")</f>
        <v/>
      </c>
      <c r="D994" s="35">
        <f>IF(A994="","",TODAY())</f>
        <v/>
      </c>
      <c r="E994" s="34" t="n"/>
      <c r="F994" s="34">
        <f>IFERROR(IF(OR(A994="",E994=""),"",C994+E994),"")</f>
        <v/>
      </c>
      <c r="G994" s="33" t="n"/>
      <c r="H994" s="33" t="n"/>
    </row>
    <row r="995">
      <c r="A995" s="26" t="n"/>
      <c r="B995" s="26">
        <f>IFERROR(IF(A995="","",VLOOKUP(A995,DATABASE!A:B,2,0)),"")</f>
        <v/>
      </c>
      <c r="C995" s="30">
        <f>IFERROR(IF(A995="","",VLOOKUP(A995,DATABASE!A:J,10,0)),"")</f>
        <v/>
      </c>
      <c r="D995" s="31">
        <f>IF(A995="","",TODAY())</f>
        <v/>
      </c>
      <c r="E995" s="30" t="n"/>
      <c r="F995" s="30">
        <f>IFERROR(IF(OR(A995="",E995=""),"",C995+E995),"")</f>
        <v/>
      </c>
      <c r="G995" s="26" t="n"/>
      <c r="H995" s="26" t="n"/>
    </row>
    <row r="996">
      <c r="A996" s="33" t="n"/>
      <c r="B996" s="33">
        <f>IFERROR(IF(A996="","",VLOOKUP(A996,DATABASE!A:B,2,0)),"")</f>
        <v/>
      </c>
      <c r="C996" s="34">
        <f>IFERROR(IF(A996="","",VLOOKUP(A996,DATABASE!A:J,10,0)),"")</f>
        <v/>
      </c>
      <c r="D996" s="35">
        <f>IF(A996="","",TODAY())</f>
        <v/>
      </c>
      <c r="E996" s="34" t="n"/>
      <c r="F996" s="34">
        <f>IFERROR(IF(OR(A996="",E996=""),"",C996+E996),"")</f>
        <v/>
      </c>
      <c r="G996" s="33" t="n"/>
      <c r="H996" s="33" t="n"/>
    </row>
    <row r="997">
      <c r="A997" s="26" t="n"/>
      <c r="B997" s="26">
        <f>IFERROR(IF(A997="","",VLOOKUP(A997,DATABASE!A:B,2,0)),"")</f>
        <v/>
      </c>
      <c r="C997" s="30">
        <f>IFERROR(IF(A997="","",VLOOKUP(A997,DATABASE!A:J,10,0)),"")</f>
        <v/>
      </c>
      <c r="D997" s="31">
        <f>IF(A997="","",TODAY())</f>
        <v/>
      </c>
      <c r="E997" s="30" t="n"/>
      <c r="F997" s="30">
        <f>IFERROR(IF(OR(A997="",E997=""),"",C997+E997),"")</f>
        <v/>
      </c>
      <c r="G997" s="26" t="n"/>
      <c r="H997" s="26" t="n"/>
    </row>
    <row r="998">
      <c r="A998" s="33" t="n"/>
      <c r="B998" s="33">
        <f>IFERROR(IF(A998="","",VLOOKUP(A998,DATABASE!A:B,2,0)),"")</f>
        <v/>
      </c>
      <c r="C998" s="34">
        <f>IFERROR(IF(A998="","",VLOOKUP(A998,DATABASE!A:J,10,0)),"")</f>
        <v/>
      </c>
      <c r="D998" s="35">
        <f>IF(A998="","",TODAY())</f>
        <v/>
      </c>
      <c r="E998" s="34" t="n"/>
      <c r="F998" s="34">
        <f>IFERROR(IF(OR(A998="",E998=""),"",C998+E998),"")</f>
        <v/>
      </c>
      <c r="G998" s="33" t="n"/>
      <c r="H998" s="33" t="n"/>
    </row>
    <row r="999">
      <c r="A999" s="26" t="n"/>
      <c r="B999" s="26">
        <f>IFERROR(IF(A999="","",VLOOKUP(A999,DATABASE!A:B,2,0)),"")</f>
        <v/>
      </c>
      <c r="C999" s="30">
        <f>IFERROR(IF(A999="","",VLOOKUP(A999,DATABASE!A:J,10,0)),"")</f>
        <v/>
      </c>
      <c r="D999" s="31">
        <f>IF(A999="","",TODAY())</f>
        <v/>
      </c>
      <c r="E999" s="30" t="n"/>
      <c r="F999" s="30">
        <f>IFERROR(IF(OR(A999="",E999=""),"",C999+E999),"")</f>
        <v/>
      </c>
      <c r="G999" s="26" t="n"/>
      <c r="H999" s="26" t="n"/>
    </row>
    <row r="1000">
      <c r="A1000" s="33" t="n"/>
      <c r="B1000" s="33">
        <f>IFERROR(IF(A1000="","",VLOOKUP(A1000,DATABASE!A:B,2,0)),"")</f>
        <v/>
      </c>
      <c r="C1000" s="34">
        <f>IFERROR(IF(A1000="","",VLOOKUP(A1000,DATABASE!A:J,10,0)),"")</f>
        <v/>
      </c>
      <c r="D1000" s="35">
        <f>IF(A1000="","",TODAY())</f>
        <v/>
      </c>
      <c r="E1000" s="34" t="n"/>
      <c r="F1000" s="34">
        <f>IFERROR(IF(OR(A1000="",E1000=""),"",C1000+E1000),"")</f>
        <v/>
      </c>
      <c r="G1000" s="33" t="n"/>
      <c r="H1000" s="33" t="n"/>
    </row>
    <row r="1001">
      <c r="A1001" s="26" t="n"/>
      <c r="B1001" s="26">
        <f>IFERROR(IF(A1001="","",VLOOKUP(A1001,DATABASE!A:B,2,0)),"")</f>
        <v/>
      </c>
      <c r="C1001" s="30">
        <f>IFERROR(IF(A1001="","",VLOOKUP(A1001,DATABASE!A:J,10,0)),"")</f>
        <v/>
      </c>
      <c r="D1001" s="31">
        <f>IF(A1001="","",TODAY())</f>
        <v/>
      </c>
      <c r="E1001" s="30" t="n"/>
      <c r="F1001" s="30">
        <f>IFERROR(IF(OR(A1001="",E1001=""),"",C1001+E1001),"")</f>
        <v/>
      </c>
      <c r="G1001" s="26" t="n"/>
      <c r="H1001" s="26" t="n"/>
    </row>
    <row r="1002">
      <c r="A1002" s="33" t="n"/>
      <c r="B1002" s="33">
        <f>IFERROR(IF(A1002="","",VLOOKUP(A1002,DATABASE!A:B,2,0)),"")</f>
        <v/>
      </c>
      <c r="C1002" s="34">
        <f>IFERROR(IF(A1002="","",VLOOKUP(A1002,DATABASE!A:J,10,0)),"")</f>
        <v/>
      </c>
      <c r="D1002" s="35">
        <f>IF(A1002="","",TODAY())</f>
        <v/>
      </c>
      <c r="E1002" s="34" t="n"/>
      <c r="F1002" s="34">
        <f>IFERROR(IF(OR(A1002="",E1002=""),"",C1002+E1002),"")</f>
        <v/>
      </c>
      <c r="G1002" s="33" t="n"/>
      <c r="H1002" s="33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55A11"/>
    <outlinePr summaryBelow="1" summaryRight="1"/>
    <pageSetUpPr/>
  </sheetPr>
  <dimension ref="A1:H100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14" customWidth="1" min="4" max="4"/>
    <col width="24" customWidth="1" min="5" max="5"/>
    <col width="22" customWidth="1" min="6" max="6"/>
    <col width="18" customWidth="1" min="7" max="7"/>
    <col width="20" customWidth="1" min="8" max="8"/>
  </cols>
  <sheetData>
    <row r="1" ht="34" customHeight="1">
      <c r="A1" s="36" t="inlineStr">
        <is>
          <t>WITHDRAWAL TRANSACTION REGISTER</t>
        </is>
      </c>
    </row>
    <row r="2" ht="30" customHeight="1">
      <c r="A2" s="28" t="inlineStr">
        <is>
          <t>Account Number</t>
        </is>
      </c>
      <c r="B2" s="28" t="inlineStr">
        <is>
          <t>Customer Name</t>
        </is>
      </c>
      <c r="C2" s="28" t="inlineStr">
        <is>
          <t>Available Balance (GHS)</t>
        </is>
      </c>
      <c r="D2" s="28" t="inlineStr">
        <is>
          <t>Date</t>
        </is>
      </c>
      <c r="E2" s="28" t="inlineStr">
        <is>
          <t>Withdrawal Amount (GHS)</t>
        </is>
      </c>
      <c r="F2" s="28" t="inlineStr">
        <is>
          <t>New Balance (GHS)</t>
        </is>
      </c>
      <c r="G2" s="28" t="inlineStr">
        <is>
          <t>Authorized By</t>
        </is>
      </c>
      <c r="H2" s="28" t="inlineStr">
        <is>
          <t>Notes</t>
        </is>
      </c>
    </row>
    <row r="3">
      <c r="A3" s="26" t="n"/>
      <c r="B3" s="26">
        <f>IFERROR(IF(A3="","",VLOOKUP(A3,DATABASE!A:B,2,0)),"")</f>
        <v/>
      </c>
      <c r="C3" s="30">
        <f>IFERROR(IF(A3="","",VLOOKUP(A3,DATABASE!A:J,10,0)),"")</f>
        <v/>
      </c>
      <c r="D3" s="31">
        <f>IF(A3="","",TODAY())</f>
        <v/>
      </c>
      <c r="E3" s="30" t="n"/>
      <c r="F3" s="30">
        <f>IFERROR(IF(OR(A3="",E3=""),"",C3-E3),"")</f>
        <v/>
      </c>
      <c r="G3" s="26" t="n"/>
      <c r="H3" s="26" t="n"/>
    </row>
    <row r="4">
      <c r="A4" s="37" t="n"/>
      <c r="B4" s="37">
        <f>IFERROR(IF(A4="","",VLOOKUP(A4,DATABASE!A:B,2,0)),"")</f>
        <v/>
      </c>
      <c r="C4" s="38">
        <f>IFERROR(IF(A4="","",VLOOKUP(A4,DATABASE!A:J,10,0)),"")</f>
        <v/>
      </c>
      <c r="D4" s="39">
        <f>IF(A4="","",TODAY())</f>
        <v/>
      </c>
      <c r="E4" s="38" t="n"/>
      <c r="F4" s="38">
        <f>IFERROR(IF(OR(A4="",E4=""),"",C4-E4),"")</f>
        <v/>
      </c>
      <c r="G4" s="37" t="n"/>
      <c r="H4" s="37" t="n"/>
    </row>
    <row r="5">
      <c r="A5" s="26" t="n"/>
      <c r="B5" s="26">
        <f>IFERROR(IF(A5="","",VLOOKUP(A5,DATABASE!A:B,2,0)),"")</f>
        <v/>
      </c>
      <c r="C5" s="30">
        <f>IFERROR(IF(A5="","",VLOOKUP(A5,DATABASE!A:J,10,0)),"")</f>
        <v/>
      </c>
      <c r="D5" s="31">
        <f>IF(A5="","",TODAY())</f>
        <v/>
      </c>
      <c r="E5" s="30" t="n"/>
      <c r="F5" s="30">
        <f>IFERROR(IF(OR(A5="",E5=""),"",C5-E5),"")</f>
        <v/>
      </c>
      <c r="G5" s="26" t="n"/>
      <c r="H5" s="26" t="n"/>
    </row>
    <row r="6">
      <c r="A6" s="37" t="n"/>
      <c r="B6" s="37">
        <f>IFERROR(IF(A6="","",VLOOKUP(A6,DATABASE!A:B,2,0)),"")</f>
        <v/>
      </c>
      <c r="C6" s="38">
        <f>IFERROR(IF(A6="","",VLOOKUP(A6,DATABASE!A:J,10,0)),"")</f>
        <v/>
      </c>
      <c r="D6" s="39">
        <f>IF(A6="","",TODAY())</f>
        <v/>
      </c>
      <c r="E6" s="38" t="n"/>
      <c r="F6" s="38">
        <f>IFERROR(IF(OR(A6="",E6=""),"",C6-E6),"")</f>
        <v/>
      </c>
      <c r="G6" s="37" t="n"/>
      <c r="H6" s="37" t="n"/>
    </row>
    <row r="7">
      <c r="A7" s="26" t="n"/>
      <c r="B7" s="26">
        <f>IFERROR(IF(A7="","",VLOOKUP(A7,DATABASE!A:B,2,0)),"")</f>
        <v/>
      </c>
      <c r="C7" s="30">
        <f>IFERROR(IF(A7="","",VLOOKUP(A7,DATABASE!A:J,10,0)),"")</f>
        <v/>
      </c>
      <c r="D7" s="31">
        <f>IF(A7="","",TODAY())</f>
        <v/>
      </c>
      <c r="E7" s="30" t="n"/>
      <c r="F7" s="30">
        <f>IFERROR(IF(OR(A7="",E7=""),"",C7-E7),"")</f>
        <v/>
      </c>
      <c r="G7" s="26" t="n"/>
      <c r="H7" s="26" t="n"/>
    </row>
    <row r="8">
      <c r="A8" s="37" t="n"/>
      <c r="B8" s="37">
        <f>IFERROR(IF(A8="","",VLOOKUP(A8,DATABASE!A:B,2,0)),"")</f>
        <v/>
      </c>
      <c r="C8" s="38">
        <f>IFERROR(IF(A8="","",VLOOKUP(A8,DATABASE!A:J,10,0)),"")</f>
        <v/>
      </c>
      <c r="D8" s="39">
        <f>IF(A8="","",TODAY())</f>
        <v/>
      </c>
      <c r="E8" s="38" t="n"/>
      <c r="F8" s="38">
        <f>IFERROR(IF(OR(A8="",E8=""),"",C8-E8),"")</f>
        <v/>
      </c>
      <c r="G8" s="37" t="n"/>
      <c r="H8" s="37" t="n"/>
    </row>
    <row r="9">
      <c r="A9" s="26" t="n"/>
      <c r="B9" s="26">
        <f>IFERROR(IF(A9="","",VLOOKUP(A9,DATABASE!A:B,2,0)),"")</f>
        <v/>
      </c>
      <c r="C9" s="30">
        <f>IFERROR(IF(A9="","",VLOOKUP(A9,DATABASE!A:J,10,0)),"")</f>
        <v/>
      </c>
      <c r="D9" s="31">
        <f>IF(A9="","",TODAY())</f>
        <v/>
      </c>
      <c r="E9" s="30" t="n"/>
      <c r="F9" s="30">
        <f>IFERROR(IF(OR(A9="",E9=""),"",C9-E9),"")</f>
        <v/>
      </c>
      <c r="G9" s="26" t="n"/>
      <c r="H9" s="26" t="n"/>
    </row>
    <row r="10">
      <c r="A10" s="37" t="n"/>
      <c r="B10" s="37">
        <f>IFERROR(IF(A10="","",VLOOKUP(A10,DATABASE!A:B,2,0)),"")</f>
        <v/>
      </c>
      <c r="C10" s="38">
        <f>IFERROR(IF(A10="","",VLOOKUP(A10,DATABASE!A:J,10,0)),"")</f>
        <v/>
      </c>
      <c r="D10" s="39">
        <f>IF(A10="","",TODAY())</f>
        <v/>
      </c>
      <c r="E10" s="38" t="n"/>
      <c r="F10" s="38">
        <f>IFERROR(IF(OR(A10="",E10=""),"",C10-E10),"")</f>
        <v/>
      </c>
      <c r="G10" s="37" t="n"/>
      <c r="H10" s="37" t="n"/>
    </row>
    <row r="11">
      <c r="A11" s="26" t="n"/>
      <c r="B11" s="26">
        <f>IFERROR(IF(A11="","",VLOOKUP(A11,DATABASE!A:B,2,0)),"")</f>
        <v/>
      </c>
      <c r="C11" s="30">
        <f>IFERROR(IF(A11="","",VLOOKUP(A11,DATABASE!A:J,10,0)),"")</f>
        <v/>
      </c>
      <c r="D11" s="31">
        <f>IF(A11="","",TODAY())</f>
        <v/>
      </c>
      <c r="E11" s="30" t="n"/>
      <c r="F11" s="30">
        <f>IFERROR(IF(OR(A11="",E11=""),"",C11-E11),"")</f>
        <v/>
      </c>
      <c r="G11" s="26" t="n"/>
      <c r="H11" s="26" t="n"/>
    </row>
    <row r="12">
      <c r="A12" s="37" t="n"/>
      <c r="B12" s="37">
        <f>IFERROR(IF(A12="","",VLOOKUP(A12,DATABASE!A:B,2,0)),"")</f>
        <v/>
      </c>
      <c r="C12" s="38">
        <f>IFERROR(IF(A12="","",VLOOKUP(A12,DATABASE!A:J,10,0)),"")</f>
        <v/>
      </c>
      <c r="D12" s="39">
        <f>IF(A12="","",TODAY())</f>
        <v/>
      </c>
      <c r="E12" s="38" t="n"/>
      <c r="F12" s="38">
        <f>IFERROR(IF(OR(A12="",E12=""),"",C12-E12),"")</f>
        <v/>
      </c>
      <c r="G12" s="37" t="n"/>
      <c r="H12" s="37" t="n"/>
    </row>
    <row r="13">
      <c r="A13" s="26" t="n"/>
      <c r="B13" s="26">
        <f>IFERROR(IF(A13="","",VLOOKUP(A13,DATABASE!A:B,2,0)),"")</f>
        <v/>
      </c>
      <c r="C13" s="30">
        <f>IFERROR(IF(A13="","",VLOOKUP(A13,DATABASE!A:J,10,0)),"")</f>
        <v/>
      </c>
      <c r="D13" s="31">
        <f>IF(A13="","",TODAY())</f>
        <v/>
      </c>
      <c r="E13" s="30" t="n"/>
      <c r="F13" s="30">
        <f>IFERROR(IF(OR(A13="",E13=""),"",C13-E13),"")</f>
        <v/>
      </c>
      <c r="G13" s="26" t="n"/>
      <c r="H13" s="26" t="n"/>
    </row>
    <row r="14">
      <c r="A14" s="37" t="n"/>
      <c r="B14" s="37">
        <f>IFERROR(IF(A14="","",VLOOKUP(A14,DATABASE!A:B,2,0)),"")</f>
        <v/>
      </c>
      <c r="C14" s="38">
        <f>IFERROR(IF(A14="","",VLOOKUP(A14,DATABASE!A:J,10,0)),"")</f>
        <v/>
      </c>
      <c r="D14" s="39">
        <f>IF(A14="","",TODAY())</f>
        <v/>
      </c>
      <c r="E14" s="38" t="n"/>
      <c r="F14" s="38">
        <f>IFERROR(IF(OR(A14="",E14=""),"",C14-E14),"")</f>
        <v/>
      </c>
      <c r="G14" s="37" t="n"/>
      <c r="H14" s="37" t="n"/>
    </row>
    <row r="15">
      <c r="A15" s="26" t="n"/>
      <c r="B15" s="26">
        <f>IFERROR(IF(A15="","",VLOOKUP(A15,DATABASE!A:B,2,0)),"")</f>
        <v/>
      </c>
      <c r="C15" s="30">
        <f>IFERROR(IF(A15="","",VLOOKUP(A15,DATABASE!A:J,10,0)),"")</f>
        <v/>
      </c>
      <c r="D15" s="31">
        <f>IF(A15="","",TODAY())</f>
        <v/>
      </c>
      <c r="E15" s="30" t="n"/>
      <c r="F15" s="30">
        <f>IFERROR(IF(OR(A15="",E15=""),"",C15-E15),"")</f>
        <v/>
      </c>
      <c r="G15" s="26" t="n"/>
      <c r="H15" s="26" t="n"/>
    </row>
    <row r="16">
      <c r="A16" s="37" t="n"/>
      <c r="B16" s="37">
        <f>IFERROR(IF(A16="","",VLOOKUP(A16,DATABASE!A:B,2,0)),"")</f>
        <v/>
      </c>
      <c r="C16" s="38">
        <f>IFERROR(IF(A16="","",VLOOKUP(A16,DATABASE!A:J,10,0)),"")</f>
        <v/>
      </c>
      <c r="D16" s="39">
        <f>IF(A16="","",TODAY())</f>
        <v/>
      </c>
      <c r="E16" s="38" t="n"/>
      <c r="F16" s="38">
        <f>IFERROR(IF(OR(A16="",E16=""),"",C16-E16),"")</f>
        <v/>
      </c>
      <c r="G16" s="37" t="n"/>
      <c r="H16" s="37" t="n"/>
    </row>
    <row r="17">
      <c r="A17" s="26" t="n"/>
      <c r="B17" s="26">
        <f>IFERROR(IF(A17="","",VLOOKUP(A17,DATABASE!A:B,2,0)),"")</f>
        <v/>
      </c>
      <c r="C17" s="30">
        <f>IFERROR(IF(A17="","",VLOOKUP(A17,DATABASE!A:J,10,0)),"")</f>
        <v/>
      </c>
      <c r="D17" s="31">
        <f>IF(A17="","",TODAY())</f>
        <v/>
      </c>
      <c r="E17" s="30" t="n"/>
      <c r="F17" s="30">
        <f>IFERROR(IF(OR(A17="",E17=""),"",C17-E17),"")</f>
        <v/>
      </c>
      <c r="G17" s="26" t="n"/>
      <c r="H17" s="26" t="n"/>
    </row>
    <row r="18">
      <c r="A18" s="37" t="n"/>
      <c r="B18" s="37">
        <f>IFERROR(IF(A18="","",VLOOKUP(A18,DATABASE!A:B,2,0)),"")</f>
        <v/>
      </c>
      <c r="C18" s="38">
        <f>IFERROR(IF(A18="","",VLOOKUP(A18,DATABASE!A:J,10,0)),"")</f>
        <v/>
      </c>
      <c r="D18" s="39">
        <f>IF(A18="","",TODAY())</f>
        <v/>
      </c>
      <c r="E18" s="38" t="n"/>
      <c r="F18" s="38">
        <f>IFERROR(IF(OR(A18="",E18=""),"",C18-E18),"")</f>
        <v/>
      </c>
      <c r="G18" s="37" t="n"/>
      <c r="H18" s="37" t="n"/>
    </row>
    <row r="19">
      <c r="A19" s="26" t="n"/>
      <c r="B19" s="26">
        <f>IFERROR(IF(A19="","",VLOOKUP(A19,DATABASE!A:B,2,0)),"")</f>
        <v/>
      </c>
      <c r="C19" s="30">
        <f>IFERROR(IF(A19="","",VLOOKUP(A19,DATABASE!A:J,10,0)),"")</f>
        <v/>
      </c>
      <c r="D19" s="31">
        <f>IF(A19="","",TODAY())</f>
        <v/>
      </c>
      <c r="E19" s="30" t="n"/>
      <c r="F19" s="30">
        <f>IFERROR(IF(OR(A19="",E19=""),"",C19-E19),"")</f>
        <v/>
      </c>
      <c r="G19" s="26" t="n"/>
      <c r="H19" s="26" t="n"/>
    </row>
    <row r="20">
      <c r="A20" s="37" t="n"/>
      <c r="B20" s="37">
        <f>IFERROR(IF(A20="","",VLOOKUP(A20,DATABASE!A:B,2,0)),"")</f>
        <v/>
      </c>
      <c r="C20" s="38">
        <f>IFERROR(IF(A20="","",VLOOKUP(A20,DATABASE!A:J,10,0)),"")</f>
        <v/>
      </c>
      <c r="D20" s="39">
        <f>IF(A20="","",TODAY())</f>
        <v/>
      </c>
      <c r="E20" s="38" t="n"/>
      <c r="F20" s="38">
        <f>IFERROR(IF(OR(A20="",E20=""),"",C20-E20),"")</f>
        <v/>
      </c>
      <c r="G20" s="37" t="n"/>
      <c r="H20" s="37" t="n"/>
    </row>
    <row r="21">
      <c r="A21" s="26" t="n"/>
      <c r="B21" s="26">
        <f>IFERROR(IF(A21="","",VLOOKUP(A21,DATABASE!A:B,2,0)),"")</f>
        <v/>
      </c>
      <c r="C21" s="30">
        <f>IFERROR(IF(A21="","",VLOOKUP(A21,DATABASE!A:J,10,0)),"")</f>
        <v/>
      </c>
      <c r="D21" s="31">
        <f>IF(A21="","",TODAY())</f>
        <v/>
      </c>
      <c r="E21" s="30" t="n"/>
      <c r="F21" s="30">
        <f>IFERROR(IF(OR(A21="",E21=""),"",C21-E21),"")</f>
        <v/>
      </c>
      <c r="G21" s="26" t="n"/>
      <c r="H21" s="26" t="n"/>
    </row>
    <row r="22">
      <c r="A22" s="37" t="n"/>
      <c r="B22" s="37">
        <f>IFERROR(IF(A22="","",VLOOKUP(A22,DATABASE!A:B,2,0)),"")</f>
        <v/>
      </c>
      <c r="C22" s="38">
        <f>IFERROR(IF(A22="","",VLOOKUP(A22,DATABASE!A:J,10,0)),"")</f>
        <v/>
      </c>
      <c r="D22" s="39">
        <f>IF(A22="","",TODAY())</f>
        <v/>
      </c>
      <c r="E22" s="38" t="n"/>
      <c r="F22" s="38">
        <f>IFERROR(IF(OR(A22="",E22=""),"",C22-E22),"")</f>
        <v/>
      </c>
      <c r="G22" s="37" t="n"/>
      <c r="H22" s="37" t="n"/>
    </row>
    <row r="23">
      <c r="A23" s="26" t="n"/>
      <c r="B23" s="26">
        <f>IFERROR(IF(A23="","",VLOOKUP(A23,DATABASE!A:B,2,0)),"")</f>
        <v/>
      </c>
      <c r="C23" s="30">
        <f>IFERROR(IF(A23="","",VLOOKUP(A23,DATABASE!A:J,10,0)),"")</f>
        <v/>
      </c>
      <c r="D23" s="31">
        <f>IF(A23="","",TODAY())</f>
        <v/>
      </c>
      <c r="E23" s="30" t="n"/>
      <c r="F23" s="30">
        <f>IFERROR(IF(OR(A23="",E23=""),"",C23-E23),"")</f>
        <v/>
      </c>
      <c r="G23" s="26" t="n"/>
      <c r="H23" s="26" t="n"/>
    </row>
    <row r="24">
      <c r="A24" s="37" t="n"/>
      <c r="B24" s="37">
        <f>IFERROR(IF(A24="","",VLOOKUP(A24,DATABASE!A:B,2,0)),"")</f>
        <v/>
      </c>
      <c r="C24" s="38">
        <f>IFERROR(IF(A24="","",VLOOKUP(A24,DATABASE!A:J,10,0)),"")</f>
        <v/>
      </c>
      <c r="D24" s="39">
        <f>IF(A24="","",TODAY())</f>
        <v/>
      </c>
      <c r="E24" s="38" t="n"/>
      <c r="F24" s="38">
        <f>IFERROR(IF(OR(A24="",E24=""),"",C24-E24),"")</f>
        <v/>
      </c>
      <c r="G24" s="37" t="n"/>
      <c r="H24" s="37" t="n"/>
    </row>
    <row r="25">
      <c r="A25" s="26" t="n"/>
      <c r="B25" s="26">
        <f>IFERROR(IF(A25="","",VLOOKUP(A25,DATABASE!A:B,2,0)),"")</f>
        <v/>
      </c>
      <c r="C25" s="30">
        <f>IFERROR(IF(A25="","",VLOOKUP(A25,DATABASE!A:J,10,0)),"")</f>
        <v/>
      </c>
      <c r="D25" s="31">
        <f>IF(A25="","",TODAY())</f>
        <v/>
      </c>
      <c r="E25" s="30" t="n"/>
      <c r="F25" s="30">
        <f>IFERROR(IF(OR(A25="",E25=""),"",C25-E25),"")</f>
        <v/>
      </c>
      <c r="G25" s="26" t="n"/>
      <c r="H25" s="26" t="n"/>
    </row>
    <row r="26">
      <c r="A26" s="37" t="n"/>
      <c r="B26" s="37">
        <f>IFERROR(IF(A26="","",VLOOKUP(A26,DATABASE!A:B,2,0)),"")</f>
        <v/>
      </c>
      <c r="C26" s="38">
        <f>IFERROR(IF(A26="","",VLOOKUP(A26,DATABASE!A:J,10,0)),"")</f>
        <v/>
      </c>
      <c r="D26" s="39">
        <f>IF(A26="","",TODAY())</f>
        <v/>
      </c>
      <c r="E26" s="38" t="n"/>
      <c r="F26" s="38">
        <f>IFERROR(IF(OR(A26="",E26=""),"",C26-E26),"")</f>
        <v/>
      </c>
      <c r="G26" s="37" t="n"/>
      <c r="H26" s="37" t="n"/>
    </row>
    <row r="27">
      <c r="A27" s="26" t="n"/>
      <c r="B27" s="26">
        <f>IFERROR(IF(A27="","",VLOOKUP(A27,DATABASE!A:B,2,0)),"")</f>
        <v/>
      </c>
      <c r="C27" s="30">
        <f>IFERROR(IF(A27="","",VLOOKUP(A27,DATABASE!A:J,10,0)),"")</f>
        <v/>
      </c>
      <c r="D27" s="31">
        <f>IF(A27="","",TODAY())</f>
        <v/>
      </c>
      <c r="E27" s="30" t="n"/>
      <c r="F27" s="30">
        <f>IFERROR(IF(OR(A27="",E27=""),"",C27-E27),"")</f>
        <v/>
      </c>
      <c r="G27" s="26" t="n"/>
      <c r="H27" s="26" t="n"/>
    </row>
    <row r="28">
      <c r="A28" s="37" t="n"/>
      <c r="B28" s="37">
        <f>IFERROR(IF(A28="","",VLOOKUP(A28,DATABASE!A:B,2,0)),"")</f>
        <v/>
      </c>
      <c r="C28" s="38">
        <f>IFERROR(IF(A28="","",VLOOKUP(A28,DATABASE!A:J,10,0)),"")</f>
        <v/>
      </c>
      <c r="D28" s="39">
        <f>IF(A28="","",TODAY())</f>
        <v/>
      </c>
      <c r="E28" s="38" t="n"/>
      <c r="F28" s="38">
        <f>IFERROR(IF(OR(A28="",E28=""),"",C28-E28),"")</f>
        <v/>
      </c>
      <c r="G28" s="37" t="n"/>
      <c r="H28" s="37" t="n"/>
    </row>
    <row r="29">
      <c r="A29" s="26" t="n"/>
      <c r="B29" s="26">
        <f>IFERROR(IF(A29="","",VLOOKUP(A29,DATABASE!A:B,2,0)),"")</f>
        <v/>
      </c>
      <c r="C29" s="30">
        <f>IFERROR(IF(A29="","",VLOOKUP(A29,DATABASE!A:J,10,0)),"")</f>
        <v/>
      </c>
      <c r="D29" s="31">
        <f>IF(A29="","",TODAY())</f>
        <v/>
      </c>
      <c r="E29" s="30" t="n"/>
      <c r="F29" s="30">
        <f>IFERROR(IF(OR(A29="",E29=""),"",C29-E29),"")</f>
        <v/>
      </c>
      <c r="G29" s="26" t="n"/>
      <c r="H29" s="26" t="n"/>
    </row>
    <row r="30">
      <c r="A30" s="37" t="n"/>
      <c r="B30" s="37">
        <f>IFERROR(IF(A30="","",VLOOKUP(A30,DATABASE!A:B,2,0)),"")</f>
        <v/>
      </c>
      <c r="C30" s="38">
        <f>IFERROR(IF(A30="","",VLOOKUP(A30,DATABASE!A:J,10,0)),"")</f>
        <v/>
      </c>
      <c r="D30" s="39">
        <f>IF(A30="","",TODAY())</f>
        <v/>
      </c>
      <c r="E30" s="38" t="n"/>
      <c r="F30" s="38">
        <f>IFERROR(IF(OR(A30="",E30=""),"",C30-E30),"")</f>
        <v/>
      </c>
      <c r="G30" s="37" t="n"/>
      <c r="H30" s="37" t="n"/>
    </row>
    <row r="31">
      <c r="A31" s="26" t="n"/>
      <c r="B31" s="26">
        <f>IFERROR(IF(A31="","",VLOOKUP(A31,DATABASE!A:B,2,0)),"")</f>
        <v/>
      </c>
      <c r="C31" s="30">
        <f>IFERROR(IF(A31="","",VLOOKUP(A31,DATABASE!A:J,10,0)),"")</f>
        <v/>
      </c>
      <c r="D31" s="31">
        <f>IF(A31="","",TODAY())</f>
        <v/>
      </c>
      <c r="E31" s="30" t="n"/>
      <c r="F31" s="30">
        <f>IFERROR(IF(OR(A31="",E31=""),"",C31-E31),"")</f>
        <v/>
      </c>
      <c r="G31" s="26" t="n"/>
      <c r="H31" s="26" t="n"/>
    </row>
    <row r="32">
      <c r="A32" s="37" t="n"/>
      <c r="B32" s="37">
        <f>IFERROR(IF(A32="","",VLOOKUP(A32,DATABASE!A:B,2,0)),"")</f>
        <v/>
      </c>
      <c r="C32" s="38">
        <f>IFERROR(IF(A32="","",VLOOKUP(A32,DATABASE!A:J,10,0)),"")</f>
        <v/>
      </c>
      <c r="D32" s="39">
        <f>IF(A32="","",TODAY())</f>
        <v/>
      </c>
      <c r="E32" s="38" t="n"/>
      <c r="F32" s="38">
        <f>IFERROR(IF(OR(A32="",E32=""),"",C32-E32),"")</f>
        <v/>
      </c>
      <c r="G32" s="37" t="n"/>
      <c r="H32" s="37" t="n"/>
    </row>
    <row r="33">
      <c r="A33" s="26" t="n"/>
      <c r="B33" s="26">
        <f>IFERROR(IF(A33="","",VLOOKUP(A33,DATABASE!A:B,2,0)),"")</f>
        <v/>
      </c>
      <c r="C33" s="30">
        <f>IFERROR(IF(A33="","",VLOOKUP(A33,DATABASE!A:J,10,0)),"")</f>
        <v/>
      </c>
      <c r="D33" s="31">
        <f>IF(A33="","",TODAY())</f>
        <v/>
      </c>
      <c r="E33" s="30" t="n"/>
      <c r="F33" s="30">
        <f>IFERROR(IF(OR(A33="",E33=""),"",C33-E33),"")</f>
        <v/>
      </c>
      <c r="G33" s="26" t="n"/>
      <c r="H33" s="26" t="n"/>
    </row>
    <row r="34">
      <c r="A34" s="37" t="n"/>
      <c r="B34" s="37">
        <f>IFERROR(IF(A34="","",VLOOKUP(A34,DATABASE!A:B,2,0)),"")</f>
        <v/>
      </c>
      <c r="C34" s="38">
        <f>IFERROR(IF(A34="","",VLOOKUP(A34,DATABASE!A:J,10,0)),"")</f>
        <v/>
      </c>
      <c r="D34" s="39">
        <f>IF(A34="","",TODAY())</f>
        <v/>
      </c>
      <c r="E34" s="38" t="n"/>
      <c r="F34" s="38">
        <f>IFERROR(IF(OR(A34="",E34=""),"",C34-E34),"")</f>
        <v/>
      </c>
      <c r="G34" s="37" t="n"/>
      <c r="H34" s="37" t="n"/>
    </row>
    <row r="35">
      <c r="A35" s="26" t="n"/>
      <c r="B35" s="26">
        <f>IFERROR(IF(A35="","",VLOOKUP(A35,DATABASE!A:B,2,0)),"")</f>
        <v/>
      </c>
      <c r="C35" s="30">
        <f>IFERROR(IF(A35="","",VLOOKUP(A35,DATABASE!A:J,10,0)),"")</f>
        <v/>
      </c>
      <c r="D35" s="31">
        <f>IF(A35="","",TODAY())</f>
        <v/>
      </c>
      <c r="E35" s="30" t="n"/>
      <c r="F35" s="30">
        <f>IFERROR(IF(OR(A35="",E35=""),"",C35-E35),"")</f>
        <v/>
      </c>
      <c r="G35" s="26" t="n"/>
      <c r="H35" s="26" t="n"/>
    </row>
    <row r="36">
      <c r="A36" s="37" t="n"/>
      <c r="B36" s="37">
        <f>IFERROR(IF(A36="","",VLOOKUP(A36,DATABASE!A:B,2,0)),"")</f>
        <v/>
      </c>
      <c r="C36" s="38">
        <f>IFERROR(IF(A36="","",VLOOKUP(A36,DATABASE!A:J,10,0)),"")</f>
        <v/>
      </c>
      <c r="D36" s="39">
        <f>IF(A36="","",TODAY())</f>
        <v/>
      </c>
      <c r="E36" s="38" t="n"/>
      <c r="F36" s="38">
        <f>IFERROR(IF(OR(A36="",E36=""),"",C36-E36),"")</f>
        <v/>
      </c>
      <c r="G36" s="37" t="n"/>
      <c r="H36" s="37" t="n"/>
    </row>
    <row r="37">
      <c r="A37" s="26" t="n"/>
      <c r="B37" s="26">
        <f>IFERROR(IF(A37="","",VLOOKUP(A37,DATABASE!A:B,2,0)),"")</f>
        <v/>
      </c>
      <c r="C37" s="30">
        <f>IFERROR(IF(A37="","",VLOOKUP(A37,DATABASE!A:J,10,0)),"")</f>
        <v/>
      </c>
      <c r="D37" s="31">
        <f>IF(A37="","",TODAY())</f>
        <v/>
      </c>
      <c r="E37" s="30" t="n"/>
      <c r="F37" s="30">
        <f>IFERROR(IF(OR(A37="",E37=""),"",C37-E37),"")</f>
        <v/>
      </c>
      <c r="G37" s="26" t="n"/>
      <c r="H37" s="26" t="n"/>
    </row>
    <row r="38">
      <c r="A38" s="37" t="n"/>
      <c r="B38" s="37">
        <f>IFERROR(IF(A38="","",VLOOKUP(A38,DATABASE!A:B,2,0)),"")</f>
        <v/>
      </c>
      <c r="C38" s="38">
        <f>IFERROR(IF(A38="","",VLOOKUP(A38,DATABASE!A:J,10,0)),"")</f>
        <v/>
      </c>
      <c r="D38" s="39">
        <f>IF(A38="","",TODAY())</f>
        <v/>
      </c>
      <c r="E38" s="38" t="n"/>
      <c r="F38" s="38">
        <f>IFERROR(IF(OR(A38="",E38=""),"",C38-E38),"")</f>
        <v/>
      </c>
      <c r="G38" s="37" t="n"/>
      <c r="H38" s="37" t="n"/>
    </row>
    <row r="39">
      <c r="A39" s="26" t="n"/>
      <c r="B39" s="26">
        <f>IFERROR(IF(A39="","",VLOOKUP(A39,DATABASE!A:B,2,0)),"")</f>
        <v/>
      </c>
      <c r="C39" s="30">
        <f>IFERROR(IF(A39="","",VLOOKUP(A39,DATABASE!A:J,10,0)),"")</f>
        <v/>
      </c>
      <c r="D39" s="31">
        <f>IF(A39="","",TODAY())</f>
        <v/>
      </c>
      <c r="E39" s="30" t="n"/>
      <c r="F39" s="30">
        <f>IFERROR(IF(OR(A39="",E39=""),"",C39-E39),"")</f>
        <v/>
      </c>
      <c r="G39" s="26" t="n"/>
      <c r="H39" s="26" t="n"/>
    </row>
    <row r="40">
      <c r="A40" s="37" t="n"/>
      <c r="B40" s="37">
        <f>IFERROR(IF(A40="","",VLOOKUP(A40,DATABASE!A:B,2,0)),"")</f>
        <v/>
      </c>
      <c r="C40" s="38">
        <f>IFERROR(IF(A40="","",VLOOKUP(A40,DATABASE!A:J,10,0)),"")</f>
        <v/>
      </c>
      <c r="D40" s="39">
        <f>IF(A40="","",TODAY())</f>
        <v/>
      </c>
      <c r="E40" s="38" t="n"/>
      <c r="F40" s="38">
        <f>IFERROR(IF(OR(A40="",E40=""),"",C40-E40),"")</f>
        <v/>
      </c>
      <c r="G40" s="37" t="n"/>
      <c r="H40" s="37" t="n"/>
    </row>
    <row r="41">
      <c r="A41" s="26" t="n"/>
      <c r="B41" s="26">
        <f>IFERROR(IF(A41="","",VLOOKUP(A41,DATABASE!A:B,2,0)),"")</f>
        <v/>
      </c>
      <c r="C41" s="30">
        <f>IFERROR(IF(A41="","",VLOOKUP(A41,DATABASE!A:J,10,0)),"")</f>
        <v/>
      </c>
      <c r="D41" s="31">
        <f>IF(A41="","",TODAY())</f>
        <v/>
      </c>
      <c r="E41" s="30" t="n"/>
      <c r="F41" s="30">
        <f>IFERROR(IF(OR(A41="",E41=""),"",C41-E41),"")</f>
        <v/>
      </c>
      <c r="G41" s="26" t="n"/>
      <c r="H41" s="26" t="n"/>
    </row>
    <row r="42">
      <c r="A42" s="37" t="n"/>
      <c r="B42" s="37">
        <f>IFERROR(IF(A42="","",VLOOKUP(A42,DATABASE!A:B,2,0)),"")</f>
        <v/>
      </c>
      <c r="C42" s="38">
        <f>IFERROR(IF(A42="","",VLOOKUP(A42,DATABASE!A:J,10,0)),"")</f>
        <v/>
      </c>
      <c r="D42" s="39">
        <f>IF(A42="","",TODAY())</f>
        <v/>
      </c>
      <c r="E42" s="38" t="n"/>
      <c r="F42" s="38">
        <f>IFERROR(IF(OR(A42="",E42=""),"",C42-E42),"")</f>
        <v/>
      </c>
      <c r="G42" s="37" t="n"/>
      <c r="H42" s="37" t="n"/>
    </row>
    <row r="43">
      <c r="A43" s="26" t="n"/>
      <c r="B43" s="26">
        <f>IFERROR(IF(A43="","",VLOOKUP(A43,DATABASE!A:B,2,0)),"")</f>
        <v/>
      </c>
      <c r="C43" s="30">
        <f>IFERROR(IF(A43="","",VLOOKUP(A43,DATABASE!A:J,10,0)),"")</f>
        <v/>
      </c>
      <c r="D43" s="31">
        <f>IF(A43="","",TODAY())</f>
        <v/>
      </c>
      <c r="E43" s="30" t="n"/>
      <c r="F43" s="30">
        <f>IFERROR(IF(OR(A43="",E43=""),"",C43-E43),"")</f>
        <v/>
      </c>
      <c r="G43" s="26" t="n"/>
      <c r="H43" s="26" t="n"/>
    </row>
    <row r="44">
      <c r="A44" s="37" t="n"/>
      <c r="B44" s="37">
        <f>IFERROR(IF(A44="","",VLOOKUP(A44,DATABASE!A:B,2,0)),"")</f>
        <v/>
      </c>
      <c r="C44" s="38">
        <f>IFERROR(IF(A44="","",VLOOKUP(A44,DATABASE!A:J,10,0)),"")</f>
        <v/>
      </c>
      <c r="D44" s="39">
        <f>IF(A44="","",TODAY())</f>
        <v/>
      </c>
      <c r="E44" s="38" t="n"/>
      <c r="F44" s="38">
        <f>IFERROR(IF(OR(A44="",E44=""),"",C44-E44),"")</f>
        <v/>
      </c>
      <c r="G44" s="37" t="n"/>
      <c r="H44" s="37" t="n"/>
    </row>
    <row r="45">
      <c r="A45" s="26" t="n"/>
      <c r="B45" s="26">
        <f>IFERROR(IF(A45="","",VLOOKUP(A45,DATABASE!A:B,2,0)),"")</f>
        <v/>
      </c>
      <c r="C45" s="30">
        <f>IFERROR(IF(A45="","",VLOOKUP(A45,DATABASE!A:J,10,0)),"")</f>
        <v/>
      </c>
      <c r="D45" s="31">
        <f>IF(A45="","",TODAY())</f>
        <v/>
      </c>
      <c r="E45" s="30" t="n"/>
      <c r="F45" s="30">
        <f>IFERROR(IF(OR(A45="",E45=""),"",C45-E45),"")</f>
        <v/>
      </c>
      <c r="G45" s="26" t="n"/>
      <c r="H45" s="26" t="n"/>
    </row>
    <row r="46">
      <c r="A46" s="37" t="n"/>
      <c r="B46" s="37">
        <f>IFERROR(IF(A46="","",VLOOKUP(A46,DATABASE!A:B,2,0)),"")</f>
        <v/>
      </c>
      <c r="C46" s="38">
        <f>IFERROR(IF(A46="","",VLOOKUP(A46,DATABASE!A:J,10,0)),"")</f>
        <v/>
      </c>
      <c r="D46" s="39">
        <f>IF(A46="","",TODAY())</f>
        <v/>
      </c>
      <c r="E46" s="38" t="n"/>
      <c r="F46" s="38">
        <f>IFERROR(IF(OR(A46="",E46=""),"",C46-E46),"")</f>
        <v/>
      </c>
      <c r="G46" s="37" t="n"/>
      <c r="H46" s="37" t="n"/>
    </row>
    <row r="47">
      <c r="A47" s="26" t="n"/>
      <c r="B47" s="26">
        <f>IFERROR(IF(A47="","",VLOOKUP(A47,DATABASE!A:B,2,0)),"")</f>
        <v/>
      </c>
      <c r="C47" s="30">
        <f>IFERROR(IF(A47="","",VLOOKUP(A47,DATABASE!A:J,10,0)),"")</f>
        <v/>
      </c>
      <c r="D47" s="31">
        <f>IF(A47="","",TODAY())</f>
        <v/>
      </c>
      <c r="E47" s="30" t="n"/>
      <c r="F47" s="30">
        <f>IFERROR(IF(OR(A47="",E47=""),"",C47-E47),"")</f>
        <v/>
      </c>
      <c r="G47" s="26" t="n"/>
      <c r="H47" s="26" t="n"/>
    </row>
    <row r="48">
      <c r="A48" s="37" t="n"/>
      <c r="B48" s="37">
        <f>IFERROR(IF(A48="","",VLOOKUP(A48,DATABASE!A:B,2,0)),"")</f>
        <v/>
      </c>
      <c r="C48" s="38">
        <f>IFERROR(IF(A48="","",VLOOKUP(A48,DATABASE!A:J,10,0)),"")</f>
        <v/>
      </c>
      <c r="D48" s="39">
        <f>IF(A48="","",TODAY())</f>
        <v/>
      </c>
      <c r="E48" s="38" t="n"/>
      <c r="F48" s="38">
        <f>IFERROR(IF(OR(A48="",E48=""),"",C48-E48),"")</f>
        <v/>
      </c>
      <c r="G48" s="37" t="n"/>
      <c r="H48" s="37" t="n"/>
    </row>
    <row r="49">
      <c r="A49" s="26" t="n"/>
      <c r="B49" s="26">
        <f>IFERROR(IF(A49="","",VLOOKUP(A49,DATABASE!A:B,2,0)),"")</f>
        <v/>
      </c>
      <c r="C49" s="30">
        <f>IFERROR(IF(A49="","",VLOOKUP(A49,DATABASE!A:J,10,0)),"")</f>
        <v/>
      </c>
      <c r="D49" s="31">
        <f>IF(A49="","",TODAY())</f>
        <v/>
      </c>
      <c r="E49" s="30" t="n"/>
      <c r="F49" s="30">
        <f>IFERROR(IF(OR(A49="",E49=""),"",C49-E49),"")</f>
        <v/>
      </c>
      <c r="G49" s="26" t="n"/>
      <c r="H49" s="26" t="n"/>
    </row>
    <row r="50">
      <c r="A50" s="37" t="n"/>
      <c r="B50" s="37">
        <f>IFERROR(IF(A50="","",VLOOKUP(A50,DATABASE!A:B,2,0)),"")</f>
        <v/>
      </c>
      <c r="C50" s="38">
        <f>IFERROR(IF(A50="","",VLOOKUP(A50,DATABASE!A:J,10,0)),"")</f>
        <v/>
      </c>
      <c r="D50" s="39">
        <f>IF(A50="","",TODAY())</f>
        <v/>
      </c>
      <c r="E50" s="38" t="n"/>
      <c r="F50" s="38">
        <f>IFERROR(IF(OR(A50="",E50=""),"",C50-E50),"")</f>
        <v/>
      </c>
      <c r="G50" s="37" t="n"/>
      <c r="H50" s="37" t="n"/>
    </row>
    <row r="51">
      <c r="A51" s="26" t="n"/>
      <c r="B51" s="26">
        <f>IFERROR(IF(A51="","",VLOOKUP(A51,DATABASE!A:B,2,0)),"")</f>
        <v/>
      </c>
      <c r="C51" s="30">
        <f>IFERROR(IF(A51="","",VLOOKUP(A51,DATABASE!A:J,10,0)),"")</f>
        <v/>
      </c>
      <c r="D51" s="31">
        <f>IF(A51="","",TODAY())</f>
        <v/>
      </c>
      <c r="E51" s="30" t="n"/>
      <c r="F51" s="30">
        <f>IFERROR(IF(OR(A51="",E51=""),"",C51-E51),"")</f>
        <v/>
      </c>
      <c r="G51" s="26" t="n"/>
      <c r="H51" s="26" t="n"/>
    </row>
    <row r="52">
      <c r="A52" s="37" t="n"/>
      <c r="B52" s="37">
        <f>IFERROR(IF(A52="","",VLOOKUP(A52,DATABASE!A:B,2,0)),"")</f>
        <v/>
      </c>
      <c r="C52" s="38">
        <f>IFERROR(IF(A52="","",VLOOKUP(A52,DATABASE!A:J,10,0)),"")</f>
        <v/>
      </c>
      <c r="D52" s="39">
        <f>IF(A52="","",TODAY())</f>
        <v/>
      </c>
      <c r="E52" s="38" t="n"/>
      <c r="F52" s="38">
        <f>IFERROR(IF(OR(A52="",E52=""),"",C52-E52),"")</f>
        <v/>
      </c>
      <c r="G52" s="37" t="n"/>
      <c r="H52" s="37" t="n"/>
    </row>
    <row r="53">
      <c r="A53" s="26" t="n"/>
      <c r="B53" s="26">
        <f>IFERROR(IF(A53="","",VLOOKUP(A53,DATABASE!A:B,2,0)),"")</f>
        <v/>
      </c>
      <c r="C53" s="30">
        <f>IFERROR(IF(A53="","",VLOOKUP(A53,DATABASE!A:J,10,0)),"")</f>
        <v/>
      </c>
      <c r="D53" s="31">
        <f>IF(A53="","",TODAY())</f>
        <v/>
      </c>
      <c r="E53" s="30" t="n"/>
      <c r="F53" s="30">
        <f>IFERROR(IF(OR(A53="",E53=""),"",C53-E53),"")</f>
        <v/>
      </c>
      <c r="G53" s="26" t="n"/>
      <c r="H53" s="26" t="n"/>
    </row>
    <row r="54">
      <c r="A54" s="37" t="n"/>
      <c r="B54" s="37">
        <f>IFERROR(IF(A54="","",VLOOKUP(A54,DATABASE!A:B,2,0)),"")</f>
        <v/>
      </c>
      <c r="C54" s="38">
        <f>IFERROR(IF(A54="","",VLOOKUP(A54,DATABASE!A:J,10,0)),"")</f>
        <v/>
      </c>
      <c r="D54" s="39">
        <f>IF(A54="","",TODAY())</f>
        <v/>
      </c>
      <c r="E54" s="38" t="n"/>
      <c r="F54" s="38">
        <f>IFERROR(IF(OR(A54="",E54=""),"",C54-E54),"")</f>
        <v/>
      </c>
      <c r="G54" s="37" t="n"/>
      <c r="H54" s="37" t="n"/>
    </row>
    <row r="55">
      <c r="A55" s="26" t="n"/>
      <c r="B55" s="26">
        <f>IFERROR(IF(A55="","",VLOOKUP(A55,DATABASE!A:B,2,0)),"")</f>
        <v/>
      </c>
      <c r="C55" s="30">
        <f>IFERROR(IF(A55="","",VLOOKUP(A55,DATABASE!A:J,10,0)),"")</f>
        <v/>
      </c>
      <c r="D55" s="31">
        <f>IF(A55="","",TODAY())</f>
        <v/>
      </c>
      <c r="E55" s="30" t="n"/>
      <c r="F55" s="30">
        <f>IFERROR(IF(OR(A55="",E55=""),"",C55-E55),"")</f>
        <v/>
      </c>
      <c r="G55" s="26" t="n"/>
      <c r="H55" s="26" t="n"/>
    </row>
    <row r="56">
      <c r="A56" s="37" t="n"/>
      <c r="B56" s="37">
        <f>IFERROR(IF(A56="","",VLOOKUP(A56,DATABASE!A:B,2,0)),"")</f>
        <v/>
      </c>
      <c r="C56" s="38">
        <f>IFERROR(IF(A56="","",VLOOKUP(A56,DATABASE!A:J,10,0)),"")</f>
        <v/>
      </c>
      <c r="D56" s="39">
        <f>IF(A56="","",TODAY())</f>
        <v/>
      </c>
      <c r="E56" s="38" t="n"/>
      <c r="F56" s="38">
        <f>IFERROR(IF(OR(A56="",E56=""),"",C56-E56),"")</f>
        <v/>
      </c>
      <c r="G56" s="37" t="n"/>
      <c r="H56" s="37" t="n"/>
    </row>
    <row r="57">
      <c r="A57" s="26" t="n"/>
      <c r="B57" s="26">
        <f>IFERROR(IF(A57="","",VLOOKUP(A57,DATABASE!A:B,2,0)),"")</f>
        <v/>
      </c>
      <c r="C57" s="30">
        <f>IFERROR(IF(A57="","",VLOOKUP(A57,DATABASE!A:J,10,0)),"")</f>
        <v/>
      </c>
      <c r="D57" s="31">
        <f>IF(A57="","",TODAY())</f>
        <v/>
      </c>
      <c r="E57" s="30" t="n"/>
      <c r="F57" s="30">
        <f>IFERROR(IF(OR(A57="",E57=""),"",C57-E57),"")</f>
        <v/>
      </c>
      <c r="G57" s="26" t="n"/>
      <c r="H57" s="26" t="n"/>
    </row>
    <row r="58">
      <c r="A58" s="37" t="n"/>
      <c r="B58" s="37">
        <f>IFERROR(IF(A58="","",VLOOKUP(A58,DATABASE!A:B,2,0)),"")</f>
        <v/>
      </c>
      <c r="C58" s="38">
        <f>IFERROR(IF(A58="","",VLOOKUP(A58,DATABASE!A:J,10,0)),"")</f>
        <v/>
      </c>
      <c r="D58" s="39">
        <f>IF(A58="","",TODAY())</f>
        <v/>
      </c>
      <c r="E58" s="38" t="n"/>
      <c r="F58" s="38">
        <f>IFERROR(IF(OR(A58="",E58=""),"",C58-E58),"")</f>
        <v/>
      </c>
      <c r="G58" s="37" t="n"/>
      <c r="H58" s="37" t="n"/>
    </row>
    <row r="59">
      <c r="A59" s="26" t="n"/>
      <c r="B59" s="26">
        <f>IFERROR(IF(A59="","",VLOOKUP(A59,DATABASE!A:B,2,0)),"")</f>
        <v/>
      </c>
      <c r="C59" s="30">
        <f>IFERROR(IF(A59="","",VLOOKUP(A59,DATABASE!A:J,10,0)),"")</f>
        <v/>
      </c>
      <c r="D59" s="31">
        <f>IF(A59="","",TODAY())</f>
        <v/>
      </c>
      <c r="E59" s="30" t="n"/>
      <c r="F59" s="30">
        <f>IFERROR(IF(OR(A59="",E59=""),"",C59-E59),"")</f>
        <v/>
      </c>
      <c r="G59" s="26" t="n"/>
      <c r="H59" s="26" t="n"/>
    </row>
    <row r="60">
      <c r="A60" s="37" t="n"/>
      <c r="B60" s="37">
        <f>IFERROR(IF(A60="","",VLOOKUP(A60,DATABASE!A:B,2,0)),"")</f>
        <v/>
      </c>
      <c r="C60" s="38">
        <f>IFERROR(IF(A60="","",VLOOKUP(A60,DATABASE!A:J,10,0)),"")</f>
        <v/>
      </c>
      <c r="D60" s="39">
        <f>IF(A60="","",TODAY())</f>
        <v/>
      </c>
      <c r="E60" s="38" t="n"/>
      <c r="F60" s="38">
        <f>IFERROR(IF(OR(A60="",E60=""),"",C60-E60),"")</f>
        <v/>
      </c>
      <c r="G60" s="37" t="n"/>
      <c r="H60" s="37" t="n"/>
    </row>
    <row r="61">
      <c r="A61" s="26" t="n"/>
      <c r="B61" s="26">
        <f>IFERROR(IF(A61="","",VLOOKUP(A61,DATABASE!A:B,2,0)),"")</f>
        <v/>
      </c>
      <c r="C61" s="30">
        <f>IFERROR(IF(A61="","",VLOOKUP(A61,DATABASE!A:J,10,0)),"")</f>
        <v/>
      </c>
      <c r="D61" s="31">
        <f>IF(A61="","",TODAY())</f>
        <v/>
      </c>
      <c r="E61" s="30" t="n"/>
      <c r="F61" s="30">
        <f>IFERROR(IF(OR(A61="",E61=""),"",C61-E61),"")</f>
        <v/>
      </c>
      <c r="G61" s="26" t="n"/>
      <c r="H61" s="26" t="n"/>
    </row>
    <row r="62">
      <c r="A62" s="37" t="n"/>
      <c r="B62" s="37">
        <f>IFERROR(IF(A62="","",VLOOKUP(A62,DATABASE!A:B,2,0)),"")</f>
        <v/>
      </c>
      <c r="C62" s="38">
        <f>IFERROR(IF(A62="","",VLOOKUP(A62,DATABASE!A:J,10,0)),"")</f>
        <v/>
      </c>
      <c r="D62" s="39">
        <f>IF(A62="","",TODAY())</f>
        <v/>
      </c>
      <c r="E62" s="38" t="n"/>
      <c r="F62" s="38">
        <f>IFERROR(IF(OR(A62="",E62=""),"",C62-E62),"")</f>
        <v/>
      </c>
      <c r="G62" s="37" t="n"/>
      <c r="H62" s="37" t="n"/>
    </row>
    <row r="63">
      <c r="A63" s="26" t="n"/>
      <c r="B63" s="26">
        <f>IFERROR(IF(A63="","",VLOOKUP(A63,DATABASE!A:B,2,0)),"")</f>
        <v/>
      </c>
      <c r="C63" s="30">
        <f>IFERROR(IF(A63="","",VLOOKUP(A63,DATABASE!A:J,10,0)),"")</f>
        <v/>
      </c>
      <c r="D63" s="31">
        <f>IF(A63="","",TODAY())</f>
        <v/>
      </c>
      <c r="E63" s="30" t="n"/>
      <c r="F63" s="30">
        <f>IFERROR(IF(OR(A63="",E63=""),"",C63-E63),"")</f>
        <v/>
      </c>
      <c r="G63" s="26" t="n"/>
      <c r="H63" s="26" t="n"/>
    </row>
    <row r="64">
      <c r="A64" s="37" t="n"/>
      <c r="B64" s="37">
        <f>IFERROR(IF(A64="","",VLOOKUP(A64,DATABASE!A:B,2,0)),"")</f>
        <v/>
      </c>
      <c r="C64" s="38">
        <f>IFERROR(IF(A64="","",VLOOKUP(A64,DATABASE!A:J,10,0)),"")</f>
        <v/>
      </c>
      <c r="D64" s="39">
        <f>IF(A64="","",TODAY())</f>
        <v/>
      </c>
      <c r="E64" s="38" t="n"/>
      <c r="F64" s="38">
        <f>IFERROR(IF(OR(A64="",E64=""),"",C64-E64),"")</f>
        <v/>
      </c>
      <c r="G64" s="37" t="n"/>
      <c r="H64" s="37" t="n"/>
    </row>
    <row r="65">
      <c r="A65" s="26" t="n"/>
      <c r="B65" s="26">
        <f>IFERROR(IF(A65="","",VLOOKUP(A65,DATABASE!A:B,2,0)),"")</f>
        <v/>
      </c>
      <c r="C65" s="30">
        <f>IFERROR(IF(A65="","",VLOOKUP(A65,DATABASE!A:J,10,0)),"")</f>
        <v/>
      </c>
      <c r="D65" s="31">
        <f>IF(A65="","",TODAY())</f>
        <v/>
      </c>
      <c r="E65" s="30" t="n"/>
      <c r="F65" s="30">
        <f>IFERROR(IF(OR(A65="",E65=""),"",C65-E65),"")</f>
        <v/>
      </c>
      <c r="G65" s="26" t="n"/>
      <c r="H65" s="26" t="n"/>
    </row>
    <row r="66">
      <c r="A66" s="37" t="n"/>
      <c r="B66" s="37">
        <f>IFERROR(IF(A66="","",VLOOKUP(A66,DATABASE!A:B,2,0)),"")</f>
        <v/>
      </c>
      <c r="C66" s="38">
        <f>IFERROR(IF(A66="","",VLOOKUP(A66,DATABASE!A:J,10,0)),"")</f>
        <v/>
      </c>
      <c r="D66" s="39">
        <f>IF(A66="","",TODAY())</f>
        <v/>
      </c>
      <c r="E66" s="38" t="n"/>
      <c r="F66" s="38">
        <f>IFERROR(IF(OR(A66="",E66=""),"",C66-E66),"")</f>
        <v/>
      </c>
      <c r="G66" s="37" t="n"/>
      <c r="H66" s="37" t="n"/>
    </row>
    <row r="67">
      <c r="A67" s="26" t="n"/>
      <c r="B67" s="26">
        <f>IFERROR(IF(A67="","",VLOOKUP(A67,DATABASE!A:B,2,0)),"")</f>
        <v/>
      </c>
      <c r="C67" s="30">
        <f>IFERROR(IF(A67="","",VLOOKUP(A67,DATABASE!A:J,10,0)),"")</f>
        <v/>
      </c>
      <c r="D67" s="31">
        <f>IF(A67="","",TODAY())</f>
        <v/>
      </c>
      <c r="E67" s="30" t="n"/>
      <c r="F67" s="30">
        <f>IFERROR(IF(OR(A67="",E67=""),"",C67-E67),"")</f>
        <v/>
      </c>
      <c r="G67" s="26" t="n"/>
      <c r="H67" s="26" t="n"/>
    </row>
    <row r="68">
      <c r="A68" s="37" t="n"/>
      <c r="B68" s="37">
        <f>IFERROR(IF(A68="","",VLOOKUP(A68,DATABASE!A:B,2,0)),"")</f>
        <v/>
      </c>
      <c r="C68" s="38">
        <f>IFERROR(IF(A68="","",VLOOKUP(A68,DATABASE!A:J,10,0)),"")</f>
        <v/>
      </c>
      <c r="D68" s="39">
        <f>IF(A68="","",TODAY())</f>
        <v/>
      </c>
      <c r="E68" s="38" t="n"/>
      <c r="F68" s="38">
        <f>IFERROR(IF(OR(A68="",E68=""),"",C68-E68),"")</f>
        <v/>
      </c>
      <c r="G68" s="37" t="n"/>
      <c r="H68" s="37" t="n"/>
    </row>
    <row r="69">
      <c r="A69" s="26" t="n"/>
      <c r="B69" s="26">
        <f>IFERROR(IF(A69="","",VLOOKUP(A69,DATABASE!A:B,2,0)),"")</f>
        <v/>
      </c>
      <c r="C69" s="30">
        <f>IFERROR(IF(A69="","",VLOOKUP(A69,DATABASE!A:J,10,0)),"")</f>
        <v/>
      </c>
      <c r="D69" s="31">
        <f>IF(A69="","",TODAY())</f>
        <v/>
      </c>
      <c r="E69" s="30" t="n"/>
      <c r="F69" s="30">
        <f>IFERROR(IF(OR(A69="",E69=""),"",C69-E69),"")</f>
        <v/>
      </c>
      <c r="G69" s="26" t="n"/>
      <c r="H69" s="26" t="n"/>
    </row>
    <row r="70">
      <c r="A70" s="37" t="n"/>
      <c r="B70" s="37">
        <f>IFERROR(IF(A70="","",VLOOKUP(A70,DATABASE!A:B,2,0)),"")</f>
        <v/>
      </c>
      <c r="C70" s="38">
        <f>IFERROR(IF(A70="","",VLOOKUP(A70,DATABASE!A:J,10,0)),"")</f>
        <v/>
      </c>
      <c r="D70" s="39">
        <f>IF(A70="","",TODAY())</f>
        <v/>
      </c>
      <c r="E70" s="38" t="n"/>
      <c r="F70" s="38">
        <f>IFERROR(IF(OR(A70="",E70=""),"",C70-E70),"")</f>
        <v/>
      </c>
      <c r="G70" s="37" t="n"/>
      <c r="H70" s="37" t="n"/>
    </row>
    <row r="71">
      <c r="A71" s="26" t="n"/>
      <c r="B71" s="26">
        <f>IFERROR(IF(A71="","",VLOOKUP(A71,DATABASE!A:B,2,0)),"")</f>
        <v/>
      </c>
      <c r="C71" s="30">
        <f>IFERROR(IF(A71="","",VLOOKUP(A71,DATABASE!A:J,10,0)),"")</f>
        <v/>
      </c>
      <c r="D71" s="31">
        <f>IF(A71="","",TODAY())</f>
        <v/>
      </c>
      <c r="E71" s="30" t="n"/>
      <c r="F71" s="30">
        <f>IFERROR(IF(OR(A71="",E71=""),"",C71-E71),"")</f>
        <v/>
      </c>
      <c r="G71" s="26" t="n"/>
      <c r="H71" s="26" t="n"/>
    </row>
    <row r="72">
      <c r="A72" s="37" t="n"/>
      <c r="B72" s="37">
        <f>IFERROR(IF(A72="","",VLOOKUP(A72,DATABASE!A:B,2,0)),"")</f>
        <v/>
      </c>
      <c r="C72" s="38">
        <f>IFERROR(IF(A72="","",VLOOKUP(A72,DATABASE!A:J,10,0)),"")</f>
        <v/>
      </c>
      <c r="D72" s="39">
        <f>IF(A72="","",TODAY())</f>
        <v/>
      </c>
      <c r="E72" s="38" t="n"/>
      <c r="F72" s="38">
        <f>IFERROR(IF(OR(A72="",E72=""),"",C72-E72),"")</f>
        <v/>
      </c>
      <c r="G72" s="37" t="n"/>
      <c r="H72" s="37" t="n"/>
    </row>
    <row r="73">
      <c r="A73" s="26" t="n"/>
      <c r="B73" s="26">
        <f>IFERROR(IF(A73="","",VLOOKUP(A73,DATABASE!A:B,2,0)),"")</f>
        <v/>
      </c>
      <c r="C73" s="30">
        <f>IFERROR(IF(A73="","",VLOOKUP(A73,DATABASE!A:J,10,0)),"")</f>
        <v/>
      </c>
      <c r="D73" s="31">
        <f>IF(A73="","",TODAY())</f>
        <v/>
      </c>
      <c r="E73" s="30" t="n"/>
      <c r="F73" s="30">
        <f>IFERROR(IF(OR(A73="",E73=""),"",C73-E73),"")</f>
        <v/>
      </c>
      <c r="G73" s="26" t="n"/>
      <c r="H73" s="26" t="n"/>
    </row>
    <row r="74">
      <c r="A74" s="37" t="n"/>
      <c r="B74" s="37">
        <f>IFERROR(IF(A74="","",VLOOKUP(A74,DATABASE!A:B,2,0)),"")</f>
        <v/>
      </c>
      <c r="C74" s="38">
        <f>IFERROR(IF(A74="","",VLOOKUP(A74,DATABASE!A:J,10,0)),"")</f>
        <v/>
      </c>
      <c r="D74" s="39">
        <f>IF(A74="","",TODAY())</f>
        <v/>
      </c>
      <c r="E74" s="38" t="n"/>
      <c r="F74" s="38">
        <f>IFERROR(IF(OR(A74="",E74=""),"",C74-E74),"")</f>
        <v/>
      </c>
      <c r="G74" s="37" t="n"/>
      <c r="H74" s="37" t="n"/>
    </row>
    <row r="75">
      <c r="A75" s="26" t="n"/>
      <c r="B75" s="26">
        <f>IFERROR(IF(A75="","",VLOOKUP(A75,DATABASE!A:B,2,0)),"")</f>
        <v/>
      </c>
      <c r="C75" s="30">
        <f>IFERROR(IF(A75="","",VLOOKUP(A75,DATABASE!A:J,10,0)),"")</f>
        <v/>
      </c>
      <c r="D75" s="31">
        <f>IF(A75="","",TODAY())</f>
        <v/>
      </c>
      <c r="E75" s="30" t="n"/>
      <c r="F75" s="30">
        <f>IFERROR(IF(OR(A75="",E75=""),"",C75-E75),"")</f>
        <v/>
      </c>
      <c r="G75" s="26" t="n"/>
      <c r="H75" s="26" t="n"/>
    </row>
    <row r="76">
      <c r="A76" s="37" t="n"/>
      <c r="B76" s="37">
        <f>IFERROR(IF(A76="","",VLOOKUP(A76,DATABASE!A:B,2,0)),"")</f>
        <v/>
      </c>
      <c r="C76" s="38">
        <f>IFERROR(IF(A76="","",VLOOKUP(A76,DATABASE!A:J,10,0)),"")</f>
        <v/>
      </c>
      <c r="D76" s="39">
        <f>IF(A76="","",TODAY())</f>
        <v/>
      </c>
      <c r="E76" s="38" t="n"/>
      <c r="F76" s="38">
        <f>IFERROR(IF(OR(A76="",E76=""),"",C76-E76),"")</f>
        <v/>
      </c>
      <c r="G76" s="37" t="n"/>
      <c r="H76" s="37" t="n"/>
    </row>
    <row r="77">
      <c r="A77" s="26" t="n"/>
      <c r="B77" s="26">
        <f>IFERROR(IF(A77="","",VLOOKUP(A77,DATABASE!A:B,2,0)),"")</f>
        <v/>
      </c>
      <c r="C77" s="30">
        <f>IFERROR(IF(A77="","",VLOOKUP(A77,DATABASE!A:J,10,0)),"")</f>
        <v/>
      </c>
      <c r="D77" s="31">
        <f>IF(A77="","",TODAY())</f>
        <v/>
      </c>
      <c r="E77" s="30" t="n"/>
      <c r="F77" s="30">
        <f>IFERROR(IF(OR(A77="",E77=""),"",C77-E77),"")</f>
        <v/>
      </c>
      <c r="G77" s="26" t="n"/>
      <c r="H77" s="26" t="n"/>
    </row>
    <row r="78">
      <c r="A78" s="37" t="n"/>
      <c r="B78" s="37">
        <f>IFERROR(IF(A78="","",VLOOKUP(A78,DATABASE!A:B,2,0)),"")</f>
        <v/>
      </c>
      <c r="C78" s="38">
        <f>IFERROR(IF(A78="","",VLOOKUP(A78,DATABASE!A:J,10,0)),"")</f>
        <v/>
      </c>
      <c r="D78" s="39">
        <f>IF(A78="","",TODAY())</f>
        <v/>
      </c>
      <c r="E78" s="38" t="n"/>
      <c r="F78" s="38">
        <f>IFERROR(IF(OR(A78="",E78=""),"",C78-E78),"")</f>
        <v/>
      </c>
      <c r="G78" s="37" t="n"/>
      <c r="H78" s="37" t="n"/>
    </row>
    <row r="79">
      <c r="A79" s="26" t="n"/>
      <c r="B79" s="26">
        <f>IFERROR(IF(A79="","",VLOOKUP(A79,DATABASE!A:B,2,0)),"")</f>
        <v/>
      </c>
      <c r="C79" s="30">
        <f>IFERROR(IF(A79="","",VLOOKUP(A79,DATABASE!A:J,10,0)),"")</f>
        <v/>
      </c>
      <c r="D79" s="31">
        <f>IF(A79="","",TODAY())</f>
        <v/>
      </c>
      <c r="E79" s="30" t="n"/>
      <c r="F79" s="30">
        <f>IFERROR(IF(OR(A79="",E79=""),"",C79-E79),"")</f>
        <v/>
      </c>
      <c r="G79" s="26" t="n"/>
      <c r="H79" s="26" t="n"/>
    </row>
    <row r="80">
      <c r="A80" s="37" t="n"/>
      <c r="B80" s="37">
        <f>IFERROR(IF(A80="","",VLOOKUP(A80,DATABASE!A:B,2,0)),"")</f>
        <v/>
      </c>
      <c r="C80" s="38">
        <f>IFERROR(IF(A80="","",VLOOKUP(A80,DATABASE!A:J,10,0)),"")</f>
        <v/>
      </c>
      <c r="D80" s="39">
        <f>IF(A80="","",TODAY())</f>
        <v/>
      </c>
      <c r="E80" s="38" t="n"/>
      <c r="F80" s="38">
        <f>IFERROR(IF(OR(A80="",E80=""),"",C80-E80),"")</f>
        <v/>
      </c>
      <c r="G80" s="37" t="n"/>
      <c r="H80" s="37" t="n"/>
    </row>
    <row r="81">
      <c r="A81" s="26" t="n"/>
      <c r="B81" s="26">
        <f>IFERROR(IF(A81="","",VLOOKUP(A81,DATABASE!A:B,2,0)),"")</f>
        <v/>
      </c>
      <c r="C81" s="30">
        <f>IFERROR(IF(A81="","",VLOOKUP(A81,DATABASE!A:J,10,0)),"")</f>
        <v/>
      </c>
      <c r="D81" s="31">
        <f>IF(A81="","",TODAY())</f>
        <v/>
      </c>
      <c r="E81" s="30" t="n"/>
      <c r="F81" s="30">
        <f>IFERROR(IF(OR(A81="",E81=""),"",C81-E81),"")</f>
        <v/>
      </c>
      <c r="G81" s="26" t="n"/>
      <c r="H81" s="26" t="n"/>
    </row>
    <row r="82">
      <c r="A82" s="37" t="n"/>
      <c r="B82" s="37">
        <f>IFERROR(IF(A82="","",VLOOKUP(A82,DATABASE!A:B,2,0)),"")</f>
        <v/>
      </c>
      <c r="C82" s="38">
        <f>IFERROR(IF(A82="","",VLOOKUP(A82,DATABASE!A:J,10,0)),"")</f>
        <v/>
      </c>
      <c r="D82" s="39">
        <f>IF(A82="","",TODAY())</f>
        <v/>
      </c>
      <c r="E82" s="38" t="n"/>
      <c r="F82" s="38">
        <f>IFERROR(IF(OR(A82="",E82=""),"",C82-E82),"")</f>
        <v/>
      </c>
      <c r="G82" s="37" t="n"/>
      <c r="H82" s="37" t="n"/>
    </row>
    <row r="83">
      <c r="A83" s="26" t="n"/>
      <c r="B83" s="26">
        <f>IFERROR(IF(A83="","",VLOOKUP(A83,DATABASE!A:B,2,0)),"")</f>
        <v/>
      </c>
      <c r="C83" s="30">
        <f>IFERROR(IF(A83="","",VLOOKUP(A83,DATABASE!A:J,10,0)),"")</f>
        <v/>
      </c>
      <c r="D83" s="31">
        <f>IF(A83="","",TODAY())</f>
        <v/>
      </c>
      <c r="E83" s="30" t="n"/>
      <c r="F83" s="30">
        <f>IFERROR(IF(OR(A83="",E83=""),"",C83-E83),"")</f>
        <v/>
      </c>
      <c r="G83" s="26" t="n"/>
      <c r="H83" s="26" t="n"/>
    </row>
    <row r="84">
      <c r="A84" s="37" t="n"/>
      <c r="B84" s="37">
        <f>IFERROR(IF(A84="","",VLOOKUP(A84,DATABASE!A:B,2,0)),"")</f>
        <v/>
      </c>
      <c r="C84" s="38">
        <f>IFERROR(IF(A84="","",VLOOKUP(A84,DATABASE!A:J,10,0)),"")</f>
        <v/>
      </c>
      <c r="D84" s="39">
        <f>IF(A84="","",TODAY())</f>
        <v/>
      </c>
      <c r="E84" s="38" t="n"/>
      <c r="F84" s="38">
        <f>IFERROR(IF(OR(A84="",E84=""),"",C84-E84),"")</f>
        <v/>
      </c>
      <c r="G84" s="37" t="n"/>
      <c r="H84" s="37" t="n"/>
    </row>
    <row r="85">
      <c r="A85" s="26" t="n"/>
      <c r="B85" s="26">
        <f>IFERROR(IF(A85="","",VLOOKUP(A85,DATABASE!A:B,2,0)),"")</f>
        <v/>
      </c>
      <c r="C85" s="30">
        <f>IFERROR(IF(A85="","",VLOOKUP(A85,DATABASE!A:J,10,0)),"")</f>
        <v/>
      </c>
      <c r="D85" s="31">
        <f>IF(A85="","",TODAY())</f>
        <v/>
      </c>
      <c r="E85" s="30" t="n"/>
      <c r="F85" s="30">
        <f>IFERROR(IF(OR(A85="",E85=""),"",C85-E85),"")</f>
        <v/>
      </c>
      <c r="G85" s="26" t="n"/>
      <c r="H85" s="26" t="n"/>
    </row>
    <row r="86">
      <c r="A86" s="37" t="n"/>
      <c r="B86" s="37">
        <f>IFERROR(IF(A86="","",VLOOKUP(A86,DATABASE!A:B,2,0)),"")</f>
        <v/>
      </c>
      <c r="C86" s="38">
        <f>IFERROR(IF(A86="","",VLOOKUP(A86,DATABASE!A:J,10,0)),"")</f>
        <v/>
      </c>
      <c r="D86" s="39">
        <f>IF(A86="","",TODAY())</f>
        <v/>
      </c>
      <c r="E86" s="38" t="n"/>
      <c r="F86" s="38">
        <f>IFERROR(IF(OR(A86="",E86=""),"",C86-E86),"")</f>
        <v/>
      </c>
      <c r="G86" s="37" t="n"/>
      <c r="H86" s="37" t="n"/>
    </row>
    <row r="87">
      <c r="A87" s="26" t="n"/>
      <c r="B87" s="26">
        <f>IFERROR(IF(A87="","",VLOOKUP(A87,DATABASE!A:B,2,0)),"")</f>
        <v/>
      </c>
      <c r="C87" s="30">
        <f>IFERROR(IF(A87="","",VLOOKUP(A87,DATABASE!A:J,10,0)),"")</f>
        <v/>
      </c>
      <c r="D87" s="31">
        <f>IF(A87="","",TODAY())</f>
        <v/>
      </c>
      <c r="E87" s="30" t="n"/>
      <c r="F87" s="30">
        <f>IFERROR(IF(OR(A87="",E87=""),"",C87-E87),"")</f>
        <v/>
      </c>
      <c r="G87" s="26" t="n"/>
      <c r="H87" s="26" t="n"/>
    </row>
    <row r="88">
      <c r="A88" s="37" t="n"/>
      <c r="B88" s="37">
        <f>IFERROR(IF(A88="","",VLOOKUP(A88,DATABASE!A:B,2,0)),"")</f>
        <v/>
      </c>
      <c r="C88" s="38">
        <f>IFERROR(IF(A88="","",VLOOKUP(A88,DATABASE!A:J,10,0)),"")</f>
        <v/>
      </c>
      <c r="D88" s="39">
        <f>IF(A88="","",TODAY())</f>
        <v/>
      </c>
      <c r="E88" s="38" t="n"/>
      <c r="F88" s="38">
        <f>IFERROR(IF(OR(A88="",E88=""),"",C88-E88),"")</f>
        <v/>
      </c>
      <c r="G88" s="37" t="n"/>
      <c r="H88" s="37" t="n"/>
    </row>
    <row r="89">
      <c r="A89" s="26" t="n"/>
      <c r="B89" s="26">
        <f>IFERROR(IF(A89="","",VLOOKUP(A89,DATABASE!A:B,2,0)),"")</f>
        <v/>
      </c>
      <c r="C89" s="30">
        <f>IFERROR(IF(A89="","",VLOOKUP(A89,DATABASE!A:J,10,0)),"")</f>
        <v/>
      </c>
      <c r="D89" s="31">
        <f>IF(A89="","",TODAY())</f>
        <v/>
      </c>
      <c r="E89" s="30" t="n"/>
      <c r="F89" s="30">
        <f>IFERROR(IF(OR(A89="",E89=""),"",C89-E89),"")</f>
        <v/>
      </c>
      <c r="G89" s="26" t="n"/>
      <c r="H89" s="26" t="n"/>
    </row>
    <row r="90">
      <c r="A90" s="37" t="n"/>
      <c r="B90" s="37">
        <f>IFERROR(IF(A90="","",VLOOKUP(A90,DATABASE!A:B,2,0)),"")</f>
        <v/>
      </c>
      <c r="C90" s="38">
        <f>IFERROR(IF(A90="","",VLOOKUP(A90,DATABASE!A:J,10,0)),"")</f>
        <v/>
      </c>
      <c r="D90" s="39">
        <f>IF(A90="","",TODAY())</f>
        <v/>
      </c>
      <c r="E90" s="38" t="n"/>
      <c r="F90" s="38">
        <f>IFERROR(IF(OR(A90="",E90=""),"",C90-E90),"")</f>
        <v/>
      </c>
      <c r="G90" s="37" t="n"/>
      <c r="H90" s="37" t="n"/>
    </row>
    <row r="91">
      <c r="A91" s="26" t="n"/>
      <c r="B91" s="26">
        <f>IFERROR(IF(A91="","",VLOOKUP(A91,DATABASE!A:B,2,0)),"")</f>
        <v/>
      </c>
      <c r="C91" s="30">
        <f>IFERROR(IF(A91="","",VLOOKUP(A91,DATABASE!A:J,10,0)),"")</f>
        <v/>
      </c>
      <c r="D91" s="31">
        <f>IF(A91="","",TODAY())</f>
        <v/>
      </c>
      <c r="E91" s="30" t="n"/>
      <c r="F91" s="30">
        <f>IFERROR(IF(OR(A91="",E91=""),"",C91-E91),"")</f>
        <v/>
      </c>
      <c r="G91" s="26" t="n"/>
      <c r="H91" s="26" t="n"/>
    </row>
    <row r="92">
      <c r="A92" s="37" t="n"/>
      <c r="B92" s="37">
        <f>IFERROR(IF(A92="","",VLOOKUP(A92,DATABASE!A:B,2,0)),"")</f>
        <v/>
      </c>
      <c r="C92" s="38">
        <f>IFERROR(IF(A92="","",VLOOKUP(A92,DATABASE!A:J,10,0)),"")</f>
        <v/>
      </c>
      <c r="D92" s="39">
        <f>IF(A92="","",TODAY())</f>
        <v/>
      </c>
      <c r="E92" s="38" t="n"/>
      <c r="F92" s="38">
        <f>IFERROR(IF(OR(A92="",E92=""),"",C92-E92),"")</f>
        <v/>
      </c>
      <c r="G92" s="37" t="n"/>
      <c r="H92" s="37" t="n"/>
    </row>
    <row r="93">
      <c r="A93" s="26" t="n"/>
      <c r="B93" s="26">
        <f>IFERROR(IF(A93="","",VLOOKUP(A93,DATABASE!A:B,2,0)),"")</f>
        <v/>
      </c>
      <c r="C93" s="30">
        <f>IFERROR(IF(A93="","",VLOOKUP(A93,DATABASE!A:J,10,0)),"")</f>
        <v/>
      </c>
      <c r="D93" s="31">
        <f>IF(A93="","",TODAY())</f>
        <v/>
      </c>
      <c r="E93" s="30" t="n"/>
      <c r="F93" s="30">
        <f>IFERROR(IF(OR(A93="",E93=""),"",C93-E93),"")</f>
        <v/>
      </c>
      <c r="G93" s="26" t="n"/>
      <c r="H93" s="26" t="n"/>
    </row>
    <row r="94">
      <c r="A94" s="37" t="n"/>
      <c r="B94" s="37">
        <f>IFERROR(IF(A94="","",VLOOKUP(A94,DATABASE!A:B,2,0)),"")</f>
        <v/>
      </c>
      <c r="C94" s="38">
        <f>IFERROR(IF(A94="","",VLOOKUP(A94,DATABASE!A:J,10,0)),"")</f>
        <v/>
      </c>
      <c r="D94" s="39">
        <f>IF(A94="","",TODAY())</f>
        <v/>
      </c>
      <c r="E94" s="38" t="n"/>
      <c r="F94" s="38">
        <f>IFERROR(IF(OR(A94="",E94=""),"",C94-E94),"")</f>
        <v/>
      </c>
      <c r="G94" s="37" t="n"/>
      <c r="H94" s="37" t="n"/>
    </row>
    <row r="95">
      <c r="A95" s="26" t="n"/>
      <c r="B95" s="26">
        <f>IFERROR(IF(A95="","",VLOOKUP(A95,DATABASE!A:B,2,0)),"")</f>
        <v/>
      </c>
      <c r="C95" s="30">
        <f>IFERROR(IF(A95="","",VLOOKUP(A95,DATABASE!A:J,10,0)),"")</f>
        <v/>
      </c>
      <c r="D95" s="31">
        <f>IF(A95="","",TODAY())</f>
        <v/>
      </c>
      <c r="E95" s="30" t="n"/>
      <c r="F95" s="30">
        <f>IFERROR(IF(OR(A95="",E95=""),"",C95-E95),"")</f>
        <v/>
      </c>
      <c r="G95" s="26" t="n"/>
      <c r="H95" s="26" t="n"/>
    </row>
    <row r="96">
      <c r="A96" s="37" t="n"/>
      <c r="B96" s="37">
        <f>IFERROR(IF(A96="","",VLOOKUP(A96,DATABASE!A:B,2,0)),"")</f>
        <v/>
      </c>
      <c r="C96" s="38">
        <f>IFERROR(IF(A96="","",VLOOKUP(A96,DATABASE!A:J,10,0)),"")</f>
        <v/>
      </c>
      <c r="D96" s="39">
        <f>IF(A96="","",TODAY())</f>
        <v/>
      </c>
      <c r="E96" s="38" t="n"/>
      <c r="F96" s="38">
        <f>IFERROR(IF(OR(A96="",E96=""),"",C96-E96),"")</f>
        <v/>
      </c>
      <c r="G96" s="37" t="n"/>
      <c r="H96" s="37" t="n"/>
    </row>
    <row r="97">
      <c r="A97" s="26" t="n"/>
      <c r="B97" s="26">
        <f>IFERROR(IF(A97="","",VLOOKUP(A97,DATABASE!A:B,2,0)),"")</f>
        <v/>
      </c>
      <c r="C97" s="30">
        <f>IFERROR(IF(A97="","",VLOOKUP(A97,DATABASE!A:J,10,0)),"")</f>
        <v/>
      </c>
      <c r="D97" s="31">
        <f>IF(A97="","",TODAY())</f>
        <v/>
      </c>
      <c r="E97" s="30" t="n"/>
      <c r="F97" s="30">
        <f>IFERROR(IF(OR(A97="",E97=""),"",C97-E97),"")</f>
        <v/>
      </c>
      <c r="G97" s="26" t="n"/>
      <c r="H97" s="26" t="n"/>
    </row>
    <row r="98">
      <c r="A98" s="37" t="n"/>
      <c r="B98" s="37">
        <f>IFERROR(IF(A98="","",VLOOKUP(A98,DATABASE!A:B,2,0)),"")</f>
        <v/>
      </c>
      <c r="C98" s="38">
        <f>IFERROR(IF(A98="","",VLOOKUP(A98,DATABASE!A:J,10,0)),"")</f>
        <v/>
      </c>
      <c r="D98" s="39">
        <f>IF(A98="","",TODAY())</f>
        <v/>
      </c>
      <c r="E98" s="38" t="n"/>
      <c r="F98" s="38">
        <f>IFERROR(IF(OR(A98="",E98=""),"",C98-E98),"")</f>
        <v/>
      </c>
      <c r="G98" s="37" t="n"/>
      <c r="H98" s="37" t="n"/>
    </row>
    <row r="99">
      <c r="A99" s="26" t="n"/>
      <c r="B99" s="26">
        <f>IFERROR(IF(A99="","",VLOOKUP(A99,DATABASE!A:B,2,0)),"")</f>
        <v/>
      </c>
      <c r="C99" s="30">
        <f>IFERROR(IF(A99="","",VLOOKUP(A99,DATABASE!A:J,10,0)),"")</f>
        <v/>
      </c>
      <c r="D99" s="31">
        <f>IF(A99="","",TODAY())</f>
        <v/>
      </c>
      <c r="E99" s="30" t="n"/>
      <c r="F99" s="30">
        <f>IFERROR(IF(OR(A99="",E99=""),"",C99-E99),"")</f>
        <v/>
      </c>
      <c r="G99" s="26" t="n"/>
      <c r="H99" s="26" t="n"/>
    </row>
    <row r="100">
      <c r="A100" s="37" t="n"/>
      <c r="B100" s="37">
        <f>IFERROR(IF(A100="","",VLOOKUP(A100,DATABASE!A:B,2,0)),"")</f>
        <v/>
      </c>
      <c r="C100" s="38">
        <f>IFERROR(IF(A100="","",VLOOKUP(A100,DATABASE!A:J,10,0)),"")</f>
        <v/>
      </c>
      <c r="D100" s="39">
        <f>IF(A100="","",TODAY())</f>
        <v/>
      </c>
      <c r="E100" s="38" t="n"/>
      <c r="F100" s="38">
        <f>IFERROR(IF(OR(A100="",E100=""),"",C100-E100),"")</f>
        <v/>
      </c>
      <c r="G100" s="37" t="n"/>
      <c r="H100" s="37" t="n"/>
    </row>
    <row r="101">
      <c r="A101" s="26" t="n"/>
      <c r="B101" s="26">
        <f>IFERROR(IF(A101="","",VLOOKUP(A101,DATABASE!A:B,2,0)),"")</f>
        <v/>
      </c>
      <c r="C101" s="30">
        <f>IFERROR(IF(A101="","",VLOOKUP(A101,DATABASE!A:J,10,0)),"")</f>
        <v/>
      </c>
      <c r="D101" s="31">
        <f>IF(A101="","",TODAY())</f>
        <v/>
      </c>
      <c r="E101" s="30" t="n"/>
      <c r="F101" s="30">
        <f>IFERROR(IF(OR(A101="",E101=""),"",C101-E101),"")</f>
        <v/>
      </c>
      <c r="G101" s="26" t="n"/>
      <c r="H101" s="26" t="n"/>
    </row>
    <row r="102">
      <c r="A102" s="37" t="n"/>
      <c r="B102" s="37">
        <f>IFERROR(IF(A102="","",VLOOKUP(A102,DATABASE!A:B,2,0)),"")</f>
        <v/>
      </c>
      <c r="C102" s="38">
        <f>IFERROR(IF(A102="","",VLOOKUP(A102,DATABASE!A:J,10,0)),"")</f>
        <v/>
      </c>
      <c r="D102" s="39">
        <f>IF(A102="","",TODAY())</f>
        <v/>
      </c>
      <c r="E102" s="38" t="n"/>
      <c r="F102" s="38">
        <f>IFERROR(IF(OR(A102="",E102=""),"",C102-E102),"")</f>
        <v/>
      </c>
      <c r="G102" s="37" t="n"/>
      <c r="H102" s="37" t="n"/>
    </row>
    <row r="103">
      <c r="A103" s="26" t="n"/>
      <c r="B103" s="26">
        <f>IFERROR(IF(A103="","",VLOOKUP(A103,DATABASE!A:B,2,0)),"")</f>
        <v/>
      </c>
      <c r="C103" s="30">
        <f>IFERROR(IF(A103="","",VLOOKUP(A103,DATABASE!A:J,10,0)),"")</f>
        <v/>
      </c>
      <c r="D103" s="31">
        <f>IF(A103="","",TODAY())</f>
        <v/>
      </c>
      <c r="E103" s="30" t="n"/>
      <c r="F103" s="30">
        <f>IFERROR(IF(OR(A103="",E103=""),"",C103-E103),"")</f>
        <v/>
      </c>
      <c r="G103" s="26" t="n"/>
      <c r="H103" s="26" t="n"/>
    </row>
    <row r="104">
      <c r="A104" s="37" t="n"/>
      <c r="B104" s="37">
        <f>IFERROR(IF(A104="","",VLOOKUP(A104,DATABASE!A:B,2,0)),"")</f>
        <v/>
      </c>
      <c r="C104" s="38">
        <f>IFERROR(IF(A104="","",VLOOKUP(A104,DATABASE!A:J,10,0)),"")</f>
        <v/>
      </c>
      <c r="D104" s="39">
        <f>IF(A104="","",TODAY())</f>
        <v/>
      </c>
      <c r="E104" s="38" t="n"/>
      <c r="F104" s="38">
        <f>IFERROR(IF(OR(A104="",E104=""),"",C104-E104),"")</f>
        <v/>
      </c>
      <c r="G104" s="37" t="n"/>
      <c r="H104" s="37" t="n"/>
    </row>
    <row r="105">
      <c r="A105" s="26" t="n"/>
      <c r="B105" s="26">
        <f>IFERROR(IF(A105="","",VLOOKUP(A105,DATABASE!A:B,2,0)),"")</f>
        <v/>
      </c>
      <c r="C105" s="30">
        <f>IFERROR(IF(A105="","",VLOOKUP(A105,DATABASE!A:J,10,0)),"")</f>
        <v/>
      </c>
      <c r="D105" s="31">
        <f>IF(A105="","",TODAY())</f>
        <v/>
      </c>
      <c r="E105" s="30" t="n"/>
      <c r="F105" s="30">
        <f>IFERROR(IF(OR(A105="",E105=""),"",C105-E105),"")</f>
        <v/>
      </c>
      <c r="G105" s="26" t="n"/>
      <c r="H105" s="26" t="n"/>
    </row>
    <row r="106">
      <c r="A106" s="37" t="n"/>
      <c r="B106" s="37">
        <f>IFERROR(IF(A106="","",VLOOKUP(A106,DATABASE!A:B,2,0)),"")</f>
        <v/>
      </c>
      <c r="C106" s="38">
        <f>IFERROR(IF(A106="","",VLOOKUP(A106,DATABASE!A:J,10,0)),"")</f>
        <v/>
      </c>
      <c r="D106" s="39">
        <f>IF(A106="","",TODAY())</f>
        <v/>
      </c>
      <c r="E106" s="38" t="n"/>
      <c r="F106" s="38">
        <f>IFERROR(IF(OR(A106="",E106=""),"",C106-E106),"")</f>
        <v/>
      </c>
      <c r="G106" s="37" t="n"/>
      <c r="H106" s="37" t="n"/>
    </row>
    <row r="107">
      <c r="A107" s="26" t="n"/>
      <c r="B107" s="26">
        <f>IFERROR(IF(A107="","",VLOOKUP(A107,DATABASE!A:B,2,0)),"")</f>
        <v/>
      </c>
      <c r="C107" s="30">
        <f>IFERROR(IF(A107="","",VLOOKUP(A107,DATABASE!A:J,10,0)),"")</f>
        <v/>
      </c>
      <c r="D107" s="31">
        <f>IF(A107="","",TODAY())</f>
        <v/>
      </c>
      <c r="E107" s="30" t="n"/>
      <c r="F107" s="30">
        <f>IFERROR(IF(OR(A107="",E107=""),"",C107-E107),"")</f>
        <v/>
      </c>
      <c r="G107" s="26" t="n"/>
      <c r="H107" s="26" t="n"/>
    </row>
    <row r="108">
      <c r="A108" s="37" t="n"/>
      <c r="B108" s="37">
        <f>IFERROR(IF(A108="","",VLOOKUP(A108,DATABASE!A:B,2,0)),"")</f>
        <v/>
      </c>
      <c r="C108" s="38">
        <f>IFERROR(IF(A108="","",VLOOKUP(A108,DATABASE!A:J,10,0)),"")</f>
        <v/>
      </c>
      <c r="D108" s="39">
        <f>IF(A108="","",TODAY())</f>
        <v/>
      </c>
      <c r="E108" s="38" t="n"/>
      <c r="F108" s="38">
        <f>IFERROR(IF(OR(A108="",E108=""),"",C108-E108),"")</f>
        <v/>
      </c>
      <c r="G108" s="37" t="n"/>
      <c r="H108" s="37" t="n"/>
    </row>
    <row r="109">
      <c r="A109" s="26" t="n"/>
      <c r="B109" s="26">
        <f>IFERROR(IF(A109="","",VLOOKUP(A109,DATABASE!A:B,2,0)),"")</f>
        <v/>
      </c>
      <c r="C109" s="30">
        <f>IFERROR(IF(A109="","",VLOOKUP(A109,DATABASE!A:J,10,0)),"")</f>
        <v/>
      </c>
      <c r="D109" s="31">
        <f>IF(A109="","",TODAY())</f>
        <v/>
      </c>
      <c r="E109" s="30" t="n"/>
      <c r="F109" s="30">
        <f>IFERROR(IF(OR(A109="",E109=""),"",C109-E109),"")</f>
        <v/>
      </c>
      <c r="G109" s="26" t="n"/>
      <c r="H109" s="26" t="n"/>
    </row>
    <row r="110">
      <c r="A110" s="37" t="n"/>
      <c r="B110" s="37">
        <f>IFERROR(IF(A110="","",VLOOKUP(A110,DATABASE!A:B,2,0)),"")</f>
        <v/>
      </c>
      <c r="C110" s="38">
        <f>IFERROR(IF(A110="","",VLOOKUP(A110,DATABASE!A:J,10,0)),"")</f>
        <v/>
      </c>
      <c r="D110" s="39">
        <f>IF(A110="","",TODAY())</f>
        <v/>
      </c>
      <c r="E110" s="38" t="n"/>
      <c r="F110" s="38">
        <f>IFERROR(IF(OR(A110="",E110=""),"",C110-E110),"")</f>
        <v/>
      </c>
      <c r="G110" s="37" t="n"/>
      <c r="H110" s="37" t="n"/>
    </row>
    <row r="111">
      <c r="A111" s="26" t="n"/>
      <c r="B111" s="26">
        <f>IFERROR(IF(A111="","",VLOOKUP(A111,DATABASE!A:B,2,0)),"")</f>
        <v/>
      </c>
      <c r="C111" s="30">
        <f>IFERROR(IF(A111="","",VLOOKUP(A111,DATABASE!A:J,10,0)),"")</f>
        <v/>
      </c>
      <c r="D111" s="31">
        <f>IF(A111="","",TODAY())</f>
        <v/>
      </c>
      <c r="E111" s="30" t="n"/>
      <c r="F111" s="30">
        <f>IFERROR(IF(OR(A111="",E111=""),"",C111-E111),"")</f>
        <v/>
      </c>
      <c r="G111" s="26" t="n"/>
      <c r="H111" s="26" t="n"/>
    </row>
    <row r="112">
      <c r="A112" s="37" t="n"/>
      <c r="B112" s="37">
        <f>IFERROR(IF(A112="","",VLOOKUP(A112,DATABASE!A:B,2,0)),"")</f>
        <v/>
      </c>
      <c r="C112" s="38">
        <f>IFERROR(IF(A112="","",VLOOKUP(A112,DATABASE!A:J,10,0)),"")</f>
        <v/>
      </c>
      <c r="D112" s="39">
        <f>IF(A112="","",TODAY())</f>
        <v/>
      </c>
      <c r="E112" s="38" t="n"/>
      <c r="F112" s="38">
        <f>IFERROR(IF(OR(A112="",E112=""),"",C112-E112),"")</f>
        <v/>
      </c>
      <c r="G112" s="37" t="n"/>
      <c r="H112" s="37" t="n"/>
    </row>
    <row r="113">
      <c r="A113" s="26" t="n"/>
      <c r="B113" s="26">
        <f>IFERROR(IF(A113="","",VLOOKUP(A113,DATABASE!A:B,2,0)),"")</f>
        <v/>
      </c>
      <c r="C113" s="30">
        <f>IFERROR(IF(A113="","",VLOOKUP(A113,DATABASE!A:J,10,0)),"")</f>
        <v/>
      </c>
      <c r="D113" s="31">
        <f>IF(A113="","",TODAY())</f>
        <v/>
      </c>
      <c r="E113" s="30" t="n"/>
      <c r="F113" s="30">
        <f>IFERROR(IF(OR(A113="",E113=""),"",C113-E113),"")</f>
        <v/>
      </c>
      <c r="G113" s="26" t="n"/>
      <c r="H113" s="26" t="n"/>
    </row>
    <row r="114">
      <c r="A114" s="37" t="n"/>
      <c r="B114" s="37">
        <f>IFERROR(IF(A114="","",VLOOKUP(A114,DATABASE!A:B,2,0)),"")</f>
        <v/>
      </c>
      <c r="C114" s="38">
        <f>IFERROR(IF(A114="","",VLOOKUP(A114,DATABASE!A:J,10,0)),"")</f>
        <v/>
      </c>
      <c r="D114" s="39">
        <f>IF(A114="","",TODAY())</f>
        <v/>
      </c>
      <c r="E114" s="38" t="n"/>
      <c r="F114" s="38">
        <f>IFERROR(IF(OR(A114="",E114=""),"",C114-E114),"")</f>
        <v/>
      </c>
      <c r="G114" s="37" t="n"/>
      <c r="H114" s="37" t="n"/>
    </row>
    <row r="115">
      <c r="A115" s="26" t="n"/>
      <c r="B115" s="26">
        <f>IFERROR(IF(A115="","",VLOOKUP(A115,DATABASE!A:B,2,0)),"")</f>
        <v/>
      </c>
      <c r="C115" s="30">
        <f>IFERROR(IF(A115="","",VLOOKUP(A115,DATABASE!A:J,10,0)),"")</f>
        <v/>
      </c>
      <c r="D115" s="31">
        <f>IF(A115="","",TODAY())</f>
        <v/>
      </c>
      <c r="E115" s="30" t="n"/>
      <c r="F115" s="30">
        <f>IFERROR(IF(OR(A115="",E115=""),"",C115-E115),"")</f>
        <v/>
      </c>
      <c r="G115" s="26" t="n"/>
      <c r="H115" s="26" t="n"/>
    </row>
    <row r="116">
      <c r="A116" s="37" t="n"/>
      <c r="B116" s="37">
        <f>IFERROR(IF(A116="","",VLOOKUP(A116,DATABASE!A:B,2,0)),"")</f>
        <v/>
      </c>
      <c r="C116" s="38">
        <f>IFERROR(IF(A116="","",VLOOKUP(A116,DATABASE!A:J,10,0)),"")</f>
        <v/>
      </c>
      <c r="D116" s="39">
        <f>IF(A116="","",TODAY())</f>
        <v/>
      </c>
      <c r="E116" s="38" t="n"/>
      <c r="F116" s="38">
        <f>IFERROR(IF(OR(A116="",E116=""),"",C116-E116),"")</f>
        <v/>
      </c>
      <c r="G116" s="37" t="n"/>
      <c r="H116" s="37" t="n"/>
    </row>
    <row r="117">
      <c r="A117" s="26" t="n"/>
      <c r="B117" s="26">
        <f>IFERROR(IF(A117="","",VLOOKUP(A117,DATABASE!A:B,2,0)),"")</f>
        <v/>
      </c>
      <c r="C117" s="30">
        <f>IFERROR(IF(A117="","",VLOOKUP(A117,DATABASE!A:J,10,0)),"")</f>
        <v/>
      </c>
      <c r="D117" s="31">
        <f>IF(A117="","",TODAY())</f>
        <v/>
      </c>
      <c r="E117" s="30" t="n"/>
      <c r="F117" s="30">
        <f>IFERROR(IF(OR(A117="",E117=""),"",C117-E117),"")</f>
        <v/>
      </c>
      <c r="G117" s="26" t="n"/>
      <c r="H117" s="26" t="n"/>
    </row>
    <row r="118">
      <c r="A118" s="37" t="n"/>
      <c r="B118" s="37">
        <f>IFERROR(IF(A118="","",VLOOKUP(A118,DATABASE!A:B,2,0)),"")</f>
        <v/>
      </c>
      <c r="C118" s="38">
        <f>IFERROR(IF(A118="","",VLOOKUP(A118,DATABASE!A:J,10,0)),"")</f>
        <v/>
      </c>
      <c r="D118" s="39">
        <f>IF(A118="","",TODAY())</f>
        <v/>
      </c>
      <c r="E118" s="38" t="n"/>
      <c r="F118" s="38">
        <f>IFERROR(IF(OR(A118="",E118=""),"",C118-E118),"")</f>
        <v/>
      </c>
      <c r="G118" s="37" t="n"/>
      <c r="H118" s="37" t="n"/>
    </row>
    <row r="119">
      <c r="A119" s="26" t="n"/>
      <c r="B119" s="26">
        <f>IFERROR(IF(A119="","",VLOOKUP(A119,DATABASE!A:B,2,0)),"")</f>
        <v/>
      </c>
      <c r="C119" s="30">
        <f>IFERROR(IF(A119="","",VLOOKUP(A119,DATABASE!A:J,10,0)),"")</f>
        <v/>
      </c>
      <c r="D119" s="31">
        <f>IF(A119="","",TODAY())</f>
        <v/>
      </c>
      <c r="E119" s="30" t="n"/>
      <c r="F119" s="30">
        <f>IFERROR(IF(OR(A119="",E119=""),"",C119-E119),"")</f>
        <v/>
      </c>
      <c r="G119" s="26" t="n"/>
      <c r="H119" s="26" t="n"/>
    </row>
    <row r="120">
      <c r="A120" s="37" t="n"/>
      <c r="B120" s="37">
        <f>IFERROR(IF(A120="","",VLOOKUP(A120,DATABASE!A:B,2,0)),"")</f>
        <v/>
      </c>
      <c r="C120" s="38">
        <f>IFERROR(IF(A120="","",VLOOKUP(A120,DATABASE!A:J,10,0)),"")</f>
        <v/>
      </c>
      <c r="D120" s="39">
        <f>IF(A120="","",TODAY())</f>
        <v/>
      </c>
      <c r="E120" s="38" t="n"/>
      <c r="F120" s="38">
        <f>IFERROR(IF(OR(A120="",E120=""),"",C120-E120),"")</f>
        <v/>
      </c>
      <c r="G120" s="37" t="n"/>
      <c r="H120" s="37" t="n"/>
    </row>
    <row r="121">
      <c r="A121" s="26" t="n"/>
      <c r="B121" s="26">
        <f>IFERROR(IF(A121="","",VLOOKUP(A121,DATABASE!A:B,2,0)),"")</f>
        <v/>
      </c>
      <c r="C121" s="30">
        <f>IFERROR(IF(A121="","",VLOOKUP(A121,DATABASE!A:J,10,0)),"")</f>
        <v/>
      </c>
      <c r="D121" s="31">
        <f>IF(A121="","",TODAY())</f>
        <v/>
      </c>
      <c r="E121" s="30" t="n"/>
      <c r="F121" s="30">
        <f>IFERROR(IF(OR(A121="",E121=""),"",C121-E121),"")</f>
        <v/>
      </c>
      <c r="G121" s="26" t="n"/>
      <c r="H121" s="26" t="n"/>
    </row>
    <row r="122">
      <c r="A122" s="37" t="n"/>
      <c r="B122" s="37">
        <f>IFERROR(IF(A122="","",VLOOKUP(A122,DATABASE!A:B,2,0)),"")</f>
        <v/>
      </c>
      <c r="C122" s="38">
        <f>IFERROR(IF(A122="","",VLOOKUP(A122,DATABASE!A:J,10,0)),"")</f>
        <v/>
      </c>
      <c r="D122" s="39">
        <f>IF(A122="","",TODAY())</f>
        <v/>
      </c>
      <c r="E122" s="38" t="n"/>
      <c r="F122" s="38">
        <f>IFERROR(IF(OR(A122="",E122=""),"",C122-E122),"")</f>
        <v/>
      </c>
      <c r="G122" s="37" t="n"/>
      <c r="H122" s="37" t="n"/>
    </row>
    <row r="123">
      <c r="A123" s="26" t="n"/>
      <c r="B123" s="26">
        <f>IFERROR(IF(A123="","",VLOOKUP(A123,DATABASE!A:B,2,0)),"")</f>
        <v/>
      </c>
      <c r="C123" s="30">
        <f>IFERROR(IF(A123="","",VLOOKUP(A123,DATABASE!A:J,10,0)),"")</f>
        <v/>
      </c>
      <c r="D123" s="31">
        <f>IF(A123="","",TODAY())</f>
        <v/>
      </c>
      <c r="E123" s="30" t="n"/>
      <c r="F123" s="30">
        <f>IFERROR(IF(OR(A123="",E123=""),"",C123-E123),"")</f>
        <v/>
      </c>
      <c r="G123" s="26" t="n"/>
      <c r="H123" s="26" t="n"/>
    </row>
    <row r="124">
      <c r="A124" s="37" t="n"/>
      <c r="B124" s="37">
        <f>IFERROR(IF(A124="","",VLOOKUP(A124,DATABASE!A:B,2,0)),"")</f>
        <v/>
      </c>
      <c r="C124" s="38">
        <f>IFERROR(IF(A124="","",VLOOKUP(A124,DATABASE!A:J,10,0)),"")</f>
        <v/>
      </c>
      <c r="D124" s="39">
        <f>IF(A124="","",TODAY())</f>
        <v/>
      </c>
      <c r="E124" s="38" t="n"/>
      <c r="F124" s="38">
        <f>IFERROR(IF(OR(A124="",E124=""),"",C124-E124),"")</f>
        <v/>
      </c>
      <c r="G124" s="37" t="n"/>
      <c r="H124" s="37" t="n"/>
    </row>
    <row r="125">
      <c r="A125" s="26" t="n"/>
      <c r="B125" s="26">
        <f>IFERROR(IF(A125="","",VLOOKUP(A125,DATABASE!A:B,2,0)),"")</f>
        <v/>
      </c>
      <c r="C125" s="30">
        <f>IFERROR(IF(A125="","",VLOOKUP(A125,DATABASE!A:J,10,0)),"")</f>
        <v/>
      </c>
      <c r="D125" s="31">
        <f>IF(A125="","",TODAY())</f>
        <v/>
      </c>
      <c r="E125" s="30" t="n"/>
      <c r="F125" s="30">
        <f>IFERROR(IF(OR(A125="",E125=""),"",C125-E125),"")</f>
        <v/>
      </c>
      <c r="G125" s="26" t="n"/>
      <c r="H125" s="26" t="n"/>
    </row>
    <row r="126">
      <c r="A126" s="37" t="n"/>
      <c r="B126" s="37">
        <f>IFERROR(IF(A126="","",VLOOKUP(A126,DATABASE!A:B,2,0)),"")</f>
        <v/>
      </c>
      <c r="C126" s="38">
        <f>IFERROR(IF(A126="","",VLOOKUP(A126,DATABASE!A:J,10,0)),"")</f>
        <v/>
      </c>
      <c r="D126" s="39">
        <f>IF(A126="","",TODAY())</f>
        <v/>
      </c>
      <c r="E126" s="38" t="n"/>
      <c r="F126" s="38">
        <f>IFERROR(IF(OR(A126="",E126=""),"",C126-E126),"")</f>
        <v/>
      </c>
      <c r="G126" s="37" t="n"/>
      <c r="H126" s="37" t="n"/>
    </row>
    <row r="127">
      <c r="A127" s="26" t="n"/>
      <c r="B127" s="26">
        <f>IFERROR(IF(A127="","",VLOOKUP(A127,DATABASE!A:B,2,0)),"")</f>
        <v/>
      </c>
      <c r="C127" s="30">
        <f>IFERROR(IF(A127="","",VLOOKUP(A127,DATABASE!A:J,10,0)),"")</f>
        <v/>
      </c>
      <c r="D127" s="31">
        <f>IF(A127="","",TODAY())</f>
        <v/>
      </c>
      <c r="E127" s="30" t="n"/>
      <c r="F127" s="30">
        <f>IFERROR(IF(OR(A127="",E127=""),"",C127-E127),"")</f>
        <v/>
      </c>
      <c r="G127" s="26" t="n"/>
      <c r="H127" s="26" t="n"/>
    </row>
    <row r="128">
      <c r="A128" s="37" t="n"/>
      <c r="B128" s="37">
        <f>IFERROR(IF(A128="","",VLOOKUP(A128,DATABASE!A:B,2,0)),"")</f>
        <v/>
      </c>
      <c r="C128" s="38">
        <f>IFERROR(IF(A128="","",VLOOKUP(A128,DATABASE!A:J,10,0)),"")</f>
        <v/>
      </c>
      <c r="D128" s="39">
        <f>IF(A128="","",TODAY())</f>
        <v/>
      </c>
      <c r="E128" s="38" t="n"/>
      <c r="F128" s="38">
        <f>IFERROR(IF(OR(A128="",E128=""),"",C128-E128),"")</f>
        <v/>
      </c>
      <c r="G128" s="37" t="n"/>
      <c r="H128" s="37" t="n"/>
    </row>
    <row r="129">
      <c r="A129" s="26" t="n"/>
      <c r="B129" s="26">
        <f>IFERROR(IF(A129="","",VLOOKUP(A129,DATABASE!A:B,2,0)),"")</f>
        <v/>
      </c>
      <c r="C129" s="30">
        <f>IFERROR(IF(A129="","",VLOOKUP(A129,DATABASE!A:J,10,0)),"")</f>
        <v/>
      </c>
      <c r="D129" s="31">
        <f>IF(A129="","",TODAY())</f>
        <v/>
      </c>
      <c r="E129" s="30" t="n"/>
      <c r="F129" s="30">
        <f>IFERROR(IF(OR(A129="",E129=""),"",C129-E129),"")</f>
        <v/>
      </c>
      <c r="G129" s="26" t="n"/>
      <c r="H129" s="26" t="n"/>
    </row>
    <row r="130">
      <c r="A130" s="37" t="n"/>
      <c r="B130" s="37">
        <f>IFERROR(IF(A130="","",VLOOKUP(A130,DATABASE!A:B,2,0)),"")</f>
        <v/>
      </c>
      <c r="C130" s="38">
        <f>IFERROR(IF(A130="","",VLOOKUP(A130,DATABASE!A:J,10,0)),"")</f>
        <v/>
      </c>
      <c r="D130" s="39">
        <f>IF(A130="","",TODAY())</f>
        <v/>
      </c>
      <c r="E130" s="38" t="n"/>
      <c r="F130" s="38">
        <f>IFERROR(IF(OR(A130="",E130=""),"",C130-E130),"")</f>
        <v/>
      </c>
      <c r="G130" s="37" t="n"/>
      <c r="H130" s="37" t="n"/>
    </row>
    <row r="131">
      <c r="A131" s="26" t="n"/>
      <c r="B131" s="26">
        <f>IFERROR(IF(A131="","",VLOOKUP(A131,DATABASE!A:B,2,0)),"")</f>
        <v/>
      </c>
      <c r="C131" s="30">
        <f>IFERROR(IF(A131="","",VLOOKUP(A131,DATABASE!A:J,10,0)),"")</f>
        <v/>
      </c>
      <c r="D131" s="31">
        <f>IF(A131="","",TODAY())</f>
        <v/>
      </c>
      <c r="E131" s="30" t="n"/>
      <c r="F131" s="30">
        <f>IFERROR(IF(OR(A131="",E131=""),"",C131-E131),"")</f>
        <v/>
      </c>
      <c r="G131" s="26" t="n"/>
      <c r="H131" s="26" t="n"/>
    </row>
    <row r="132">
      <c r="A132" s="37" t="n"/>
      <c r="B132" s="37">
        <f>IFERROR(IF(A132="","",VLOOKUP(A132,DATABASE!A:B,2,0)),"")</f>
        <v/>
      </c>
      <c r="C132" s="38">
        <f>IFERROR(IF(A132="","",VLOOKUP(A132,DATABASE!A:J,10,0)),"")</f>
        <v/>
      </c>
      <c r="D132" s="39">
        <f>IF(A132="","",TODAY())</f>
        <v/>
      </c>
      <c r="E132" s="38" t="n"/>
      <c r="F132" s="38">
        <f>IFERROR(IF(OR(A132="",E132=""),"",C132-E132),"")</f>
        <v/>
      </c>
      <c r="G132" s="37" t="n"/>
      <c r="H132" s="37" t="n"/>
    </row>
    <row r="133">
      <c r="A133" s="26" t="n"/>
      <c r="B133" s="26">
        <f>IFERROR(IF(A133="","",VLOOKUP(A133,DATABASE!A:B,2,0)),"")</f>
        <v/>
      </c>
      <c r="C133" s="30">
        <f>IFERROR(IF(A133="","",VLOOKUP(A133,DATABASE!A:J,10,0)),"")</f>
        <v/>
      </c>
      <c r="D133" s="31">
        <f>IF(A133="","",TODAY())</f>
        <v/>
      </c>
      <c r="E133" s="30" t="n"/>
      <c r="F133" s="30">
        <f>IFERROR(IF(OR(A133="",E133=""),"",C133-E133),"")</f>
        <v/>
      </c>
      <c r="G133" s="26" t="n"/>
      <c r="H133" s="26" t="n"/>
    </row>
    <row r="134">
      <c r="A134" s="37" t="n"/>
      <c r="B134" s="37">
        <f>IFERROR(IF(A134="","",VLOOKUP(A134,DATABASE!A:B,2,0)),"")</f>
        <v/>
      </c>
      <c r="C134" s="38">
        <f>IFERROR(IF(A134="","",VLOOKUP(A134,DATABASE!A:J,10,0)),"")</f>
        <v/>
      </c>
      <c r="D134" s="39">
        <f>IF(A134="","",TODAY())</f>
        <v/>
      </c>
      <c r="E134" s="38" t="n"/>
      <c r="F134" s="38">
        <f>IFERROR(IF(OR(A134="",E134=""),"",C134-E134),"")</f>
        <v/>
      </c>
      <c r="G134" s="37" t="n"/>
      <c r="H134" s="37" t="n"/>
    </row>
    <row r="135">
      <c r="A135" s="26" t="n"/>
      <c r="B135" s="26">
        <f>IFERROR(IF(A135="","",VLOOKUP(A135,DATABASE!A:B,2,0)),"")</f>
        <v/>
      </c>
      <c r="C135" s="30">
        <f>IFERROR(IF(A135="","",VLOOKUP(A135,DATABASE!A:J,10,0)),"")</f>
        <v/>
      </c>
      <c r="D135" s="31">
        <f>IF(A135="","",TODAY())</f>
        <v/>
      </c>
      <c r="E135" s="30" t="n"/>
      <c r="F135" s="30">
        <f>IFERROR(IF(OR(A135="",E135=""),"",C135-E135),"")</f>
        <v/>
      </c>
      <c r="G135" s="26" t="n"/>
      <c r="H135" s="26" t="n"/>
    </row>
    <row r="136">
      <c r="A136" s="37" t="n"/>
      <c r="B136" s="37">
        <f>IFERROR(IF(A136="","",VLOOKUP(A136,DATABASE!A:B,2,0)),"")</f>
        <v/>
      </c>
      <c r="C136" s="38">
        <f>IFERROR(IF(A136="","",VLOOKUP(A136,DATABASE!A:J,10,0)),"")</f>
        <v/>
      </c>
      <c r="D136" s="39">
        <f>IF(A136="","",TODAY())</f>
        <v/>
      </c>
      <c r="E136" s="38" t="n"/>
      <c r="F136" s="38">
        <f>IFERROR(IF(OR(A136="",E136=""),"",C136-E136),"")</f>
        <v/>
      </c>
      <c r="G136" s="37" t="n"/>
      <c r="H136" s="37" t="n"/>
    </row>
    <row r="137">
      <c r="A137" s="26" t="n"/>
      <c r="B137" s="26">
        <f>IFERROR(IF(A137="","",VLOOKUP(A137,DATABASE!A:B,2,0)),"")</f>
        <v/>
      </c>
      <c r="C137" s="30">
        <f>IFERROR(IF(A137="","",VLOOKUP(A137,DATABASE!A:J,10,0)),"")</f>
        <v/>
      </c>
      <c r="D137" s="31">
        <f>IF(A137="","",TODAY())</f>
        <v/>
      </c>
      <c r="E137" s="30" t="n"/>
      <c r="F137" s="30">
        <f>IFERROR(IF(OR(A137="",E137=""),"",C137-E137),"")</f>
        <v/>
      </c>
      <c r="G137" s="26" t="n"/>
      <c r="H137" s="26" t="n"/>
    </row>
    <row r="138">
      <c r="A138" s="37" t="n"/>
      <c r="B138" s="37">
        <f>IFERROR(IF(A138="","",VLOOKUP(A138,DATABASE!A:B,2,0)),"")</f>
        <v/>
      </c>
      <c r="C138" s="38">
        <f>IFERROR(IF(A138="","",VLOOKUP(A138,DATABASE!A:J,10,0)),"")</f>
        <v/>
      </c>
      <c r="D138" s="39">
        <f>IF(A138="","",TODAY())</f>
        <v/>
      </c>
      <c r="E138" s="38" t="n"/>
      <c r="F138" s="38">
        <f>IFERROR(IF(OR(A138="",E138=""),"",C138-E138),"")</f>
        <v/>
      </c>
      <c r="G138" s="37" t="n"/>
      <c r="H138" s="37" t="n"/>
    </row>
    <row r="139">
      <c r="A139" s="26" t="n"/>
      <c r="B139" s="26">
        <f>IFERROR(IF(A139="","",VLOOKUP(A139,DATABASE!A:B,2,0)),"")</f>
        <v/>
      </c>
      <c r="C139" s="30">
        <f>IFERROR(IF(A139="","",VLOOKUP(A139,DATABASE!A:J,10,0)),"")</f>
        <v/>
      </c>
      <c r="D139" s="31">
        <f>IF(A139="","",TODAY())</f>
        <v/>
      </c>
      <c r="E139" s="30" t="n"/>
      <c r="F139" s="30">
        <f>IFERROR(IF(OR(A139="",E139=""),"",C139-E139),"")</f>
        <v/>
      </c>
      <c r="G139" s="26" t="n"/>
      <c r="H139" s="26" t="n"/>
    </row>
    <row r="140">
      <c r="A140" s="37" t="n"/>
      <c r="B140" s="37">
        <f>IFERROR(IF(A140="","",VLOOKUP(A140,DATABASE!A:B,2,0)),"")</f>
        <v/>
      </c>
      <c r="C140" s="38">
        <f>IFERROR(IF(A140="","",VLOOKUP(A140,DATABASE!A:J,10,0)),"")</f>
        <v/>
      </c>
      <c r="D140" s="39">
        <f>IF(A140="","",TODAY())</f>
        <v/>
      </c>
      <c r="E140" s="38" t="n"/>
      <c r="F140" s="38">
        <f>IFERROR(IF(OR(A140="",E140=""),"",C140-E140),"")</f>
        <v/>
      </c>
      <c r="G140" s="37" t="n"/>
      <c r="H140" s="37" t="n"/>
    </row>
    <row r="141">
      <c r="A141" s="26" t="n"/>
      <c r="B141" s="26">
        <f>IFERROR(IF(A141="","",VLOOKUP(A141,DATABASE!A:B,2,0)),"")</f>
        <v/>
      </c>
      <c r="C141" s="30">
        <f>IFERROR(IF(A141="","",VLOOKUP(A141,DATABASE!A:J,10,0)),"")</f>
        <v/>
      </c>
      <c r="D141" s="31">
        <f>IF(A141="","",TODAY())</f>
        <v/>
      </c>
      <c r="E141" s="30" t="n"/>
      <c r="F141" s="30">
        <f>IFERROR(IF(OR(A141="",E141=""),"",C141-E141),"")</f>
        <v/>
      </c>
      <c r="G141" s="26" t="n"/>
      <c r="H141" s="26" t="n"/>
    </row>
    <row r="142">
      <c r="A142" s="37" t="n"/>
      <c r="B142" s="37">
        <f>IFERROR(IF(A142="","",VLOOKUP(A142,DATABASE!A:B,2,0)),"")</f>
        <v/>
      </c>
      <c r="C142" s="38">
        <f>IFERROR(IF(A142="","",VLOOKUP(A142,DATABASE!A:J,10,0)),"")</f>
        <v/>
      </c>
      <c r="D142" s="39">
        <f>IF(A142="","",TODAY())</f>
        <v/>
      </c>
      <c r="E142" s="38" t="n"/>
      <c r="F142" s="38">
        <f>IFERROR(IF(OR(A142="",E142=""),"",C142-E142),"")</f>
        <v/>
      </c>
      <c r="G142" s="37" t="n"/>
      <c r="H142" s="37" t="n"/>
    </row>
    <row r="143">
      <c r="A143" s="26" t="n"/>
      <c r="B143" s="26">
        <f>IFERROR(IF(A143="","",VLOOKUP(A143,DATABASE!A:B,2,0)),"")</f>
        <v/>
      </c>
      <c r="C143" s="30">
        <f>IFERROR(IF(A143="","",VLOOKUP(A143,DATABASE!A:J,10,0)),"")</f>
        <v/>
      </c>
      <c r="D143" s="31">
        <f>IF(A143="","",TODAY())</f>
        <v/>
      </c>
      <c r="E143" s="30" t="n"/>
      <c r="F143" s="30">
        <f>IFERROR(IF(OR(A143="",E143=""),"",C143-E143),"")</f>
        <v/>
      </c>
      <c r="G143" s="26" t="n"/>
      <c r="H143" s="26" t="n"/>
    </row>
    <row r="144">
      <c r="A144" s="37" t="n"/>
      <c r="B144" s="37">
        <f>IFERROR(IF(A144="","",VLOOKUP(A144,DATABASE!A:B,2,0)),"")</f>
        <v/>
      </c>
      <c r="C144" s="38">
        <f>IFERROR(IF(A144="","",VLOOKUP(A144,DATABASE!A:J,10,0)),"")</f>
        <v/>
      </c>
      <c r="D144" s="39">
        <f>IF(A144="","",TODAY())</f>
        <v/>
      </c>
      <c r="E144" s="38" t="n"/>
      <c r="F144" s="38">
        <f>IFERROR(IF(OR(A144="",E144=""),"",C144-E144),"")</f>
        <v/>
      </c>
      <c r="G144" s="37" t="n"/>
      <c r="H144" s="37" t="n"/>
    </row>
    <row r="145">
      <c r="A145" s="26" t="n"/>
      <c r="B145" s="26">
        <f>IFERROR(IF(A145="","",VLOOKUP(A145,DATABASE!A:B,2,0)),"")</f>
        <v/>
      </c>
      <c r="C145" s="30">
        <f>IFERROR(IF(A145="","",VLOOKUP(A145,DATABASE!A:J,10,0)),"")</f>
        <v/>
      </c>
      <c r="D145" s="31">
        <f>IF(A145="","",TODAY())</f>
        <v/>
      </c>
      <c r="E145" s="30" t="n"/>
      <c r="F145" s="30">
        <f>IFERROR(IF(OR(A145="",E145=""),"",C145-E145),"")</f>
        <v/>
      </c>
      <c r="G145" s="26" t="n"/>
      <c r="H145" s="26" t="n"/>
    </row>
    <row r="146">
      <c r="A146" s="37" t="n"/>
      <c r="B146" s="37">
        <f>IFERROR(IF(A146="","",VLOOKUP(A146,DATABASE!A:B,2,0)),"")</f>
        <v/>
      </c>
      <c r="C146" s="38">
        <f>IFERROR(IF(A146="","",VLOOKUP(A146,DATABASE!A:J,10,0)),"")</f>
        <v/>
      </c>
      <c r="D146" s="39">
        <f>IF(A146="","",TODAY())</f>
        <v/>
      </c>
      <c r="E146" s="38" t="n"/>
      <c r="F146" s="38">
        <f>IFERROR(IF(OR(A146="",E146=""),"",C146-E146),"")</f>
        <v/>
      </c>
      <c r="G146" s="37" t="n"/>
      <c r="H146" s="37" t="n"/>
    </row>
    <row r="147">
      <c r="A147" s="26" t="n"/>
      <c r="B147" s="26">
        <f>IFERROR(IF(A147="","",VLOOKUP(A147,DATABASE!A:B,2,0)),"")</f>
        <v/>
      </c>
      <c r="C147" s="30">
        <f>IFERROR(IF(A147="","",VLOOKUP(A147,DATABASE!A:J,10,0)),"")</f>
        <v/>
      </c>
      <c r="D147" s="31">
        <f>IF(A147="","",TODAY())</f>
        <v/>
      </c>
      <c r="E147" s="30" t="n"/>
      <c r="F147" s="30">
        <f>IFERROR(IF(OR(A147="",E147=""),"",C147-E147),"")</f>
        <v/>
      </c>
      <c r="G147" s="26" t="n"/>
      <c r="H147" s="26" t="n"/>
    </row>
    <row r="148">
      <c r="A148" s="37" t="n"/>
      <c r="B148" s="37">
        <f>IFERROR(IF(A148="","",VLOOKUP(A148,DATABASE!A:B,2,0)),"")</f>
        <v/>
      </c>
      <c r="C148" s="38">
        <f>IFERROR(IF(A148="","",VLOOKUP(A148,DATABASE!A:J,10,0)),"")</f>
        <v/>
      </c>
      <c r="D148" s="39">
        <f>IF(A148="","",TODAY())</f>
        <v/>
      </c>
      <c r="E148" s="38" t="n"/>
      <c r="F148" s="38">
        <f>IFERROR(IF(OR(A148="",E148=""),"",C148-E148),"")</f>
        <v/>
      </c>
      <c r="G148" s="37" t="n"/>
      <c r="H148" s="37" t="n"/>
    </row>
    <row r="149">
      <c r="A149" s="26" t="n"/>
      <c r="B149" s="26">
        <f>IFERROR(IF(A149="","",VLOOKUP(A149,DATABASE!A:B,2,0)),"")</f>
        <v/>
      </c>
      <c r="C149" s="30">
        <f>IFERROR(IF(A149="","",VLOOKUP(A149,DATABASE!A:J,10,0)),"")</f>
        <v/>
      </c>
      <c r="D149" s="31">
        <f>IF(A149="","",TODAY())</f>
        <v/>
      </c>
      <c r="E149" s="30" t="n"/>
      <c r="F149" s="30">
        <f>IFERROR(IF(OR(A149="",E149=""),"",C149-E149),"")</f>
        <v/>
      </c>
      <c r="G149" s="26" t="n"/>
      <c r="H149" s="26" t="n"/>
    </row>
    <row r="150">
      <c r="A150" s="37" t="n"/>
      <c r="B150" s="37">
        <f>IFERROR(IF(A150="","",VLOOKUP(A150,DATABASE!A:B,2,0)),"")</f>
        <v/>
      </c>
      <c r="C150" s="38">
        <f>IFERROR(IF(A150="","",VLOOKUP(A150,DATABASE!A:J,10,0)),"")</f>
        <v/>
      </c>
      <c r="D150" s="39">
        <f>IF(A150="","",TODAY())</f>
        <v/>
      </c>
      <c r="E150" s="38" t="n"/>
      <c r="F150" s="38">
        <f>IFERROR(IF(OR(A150="",E150=""),"",C150-E150),"")</f>
        <v/>
      </c>
      <c r="G150" s="37" t="n"/>
      <c r="H150" s="37" t="n"/>
    </row>
    <row r="151">
      <c r="A151" s="26" t="n"/>
      <c r="B151" s="26">
        <f>IFERROR(IF(A151="","",VLOOKUP(A151,DATABASE!A:B,2,0)),"")</f>
        <v/>
      </c>
      <c r="C151" s="30">
        <f>IFERROR(IF(A151="","",VLOOKUP(A151,DATABASE!A:J,10,0)),"")</f>
        <v/>
      </c>
      <c r="D151" s="31">
        <f>IF(A151="","",TODAY())</f>
        <v/>
      </c>
      <c r="E151" s="30" t="n"/>
      <c r="F151" s="30">
        <f>IFERROR(IF(OR(A151="",E151=""),"",C151-E151),"")</f>
        <v/>
      </c>
      <c r="G151" s="26" t="n"/>
      <c r="H151" s="26" t="n"/>
    </row>
    <row r="152">
      <c r="A152" s="37" t="n"/>
      <c r="B152" s="37">
        <f>IFERROR(IF(A152="","",VLOOKUP(A152,DATABASE!A:B,2,0)),"")</f>
        <v/>
      </c>
      <c r="C152" s="38">
        <f>IFERROR(IF(A152="","",VLOOKUP(A152,DATABASE!A:J,10,0)),"")</f>
        <v/>
      </c>
      <c r="D152" s="39">
        <f>IF(A152="","",TODAY())</f>
        <v/>
      </c>
      <c r="E152" s="38" t="n"/>
      <c r="F152" s="38">
        <f>IFERROR(IF(OR(A152="",E152=""),"",C152-E152),"")</f>
        <v/>
      </c>
      <c r="G152" s="37" t="n"/>
      <c r="H152" s="37" t="n"/>
    </row>
    <row r="153">
      <c r="A153" s="26" t="n"/>
      <c r="B153" s="26">
        <f>IFERROR(IF(A153="","",VLOOKUP(A153,DATABASE!A:B,2,0)),"")</f>
        <v/>
      </c>
      <c r="C153" s="30">
        <f>IFERROR(IF(A153="","",VLOOKUP(A153,DATABASE!A:J,10,0)),"")</f>
        <v/>
      </c>
      <c r="D153" s="31">
        <f>IF(A153="","",TODAY())</f>
        <v/>
      </c>
      <c r="E153" s="30" t="n"/>
      <c r="F153" s="30">
        <f>IFERROR(IF(OR(A153="",E153=""),"",C153-E153),"")</f>
        <v/>
      </c>
      <c r="G153" s="26" t="n"/>
      <c r="H153" s="26" t="n"/>
    </row>
    <row r="154">
      <c r="A154" s="37" t="n"/>
      <c r="B154" s="37">
        <f>IFERROR(IF(A154="","",VLOOKUP(A154,DATABASE!A:B,2,0)),"")</f>
        <v/>
      </c>
      <c r="C154" s="38">
        <f>IFERROR(IF(A154="","",VLOOKUP(A154,DATABASE!A:J,10,0)),"")</f>
        <v/>
      </c>
      <c r="D154" s="39">
        <f>IF(A154="","",TODAY())</f>
        <v/>
      </c>
      <c r="E154" s="38" t="n"/>
      <c r="F154" s="38">
        <f>IFERROR(IF(OR(A154="",E154=""),"",C154-E154),"")</f>
        <v/>
      </c>
      <c r="G154" s="37" t="n"/>
      <c r="H154" s="37" t="n"/>
    </row>
    <row r="155">
      <c r="A155" s="26" t="n"/>
      <c r="B155" s="26">
        <f>IFERROR(IF(A155="","",VLOOKUP(A155,DATABASE!A:B,2,0)),"")</f>
        <v/>
      </c>
      <c r="C155" s="30">
        <f>IFERROR(IF(A155="","",VLOOKUP(A155,DATABASE!A:J,10,0)),"")</f>
        <v/>
      </c>
      <c r="D155" s="31">
        <f>IF(A155="","",TODAY())</f>
        <v/>
      </c>
      <c r="E155" s="30" t="n"/>
      <c r="F155" s="30">
        <f>IFERROR(IF(OR(A155="",E155=""),"",C155-E155),"")</f>
        <v/>
      </c>
      <c r="G155" s="26" t="n"/>
      <c r="H155" s="26" t="n"/>
    </row>
    <row r="156">
      <c r="A156" s="37" t="n"/>
      <c r="B156" s="37">
        <f>IFERROR(IF(A156="","",VLOOKUP(A156,DATABASE!A:B,2,0)),"")</f>
        <v/>
      </c>
      <c r="C156" s="38">
        <f>IFERROR(IF(A156="","",VLOOKUP(A156,DATABASE!A:J,10,0)),"")</f>
        <v/>
      </c>
      <c r="D156" s="39">
        <f>IF(A156="","",TODAY())</f>
        <v/>
      </c>
      <c r="E156" s="38" t="n"/>
      <c r="F156" s="38">
        <f>IFERROR(IF(OR(A156="",E156=""),"",C156-E156),"")</f>
        <v/>
      </c>
      <c r="G156" s="37" t="n"/>
      <c r="H156" s="37" t="n"/>
    </row>
    <row r="157">
      <c r="A157" s="26" t="n"/>
      <c r="B157" s="26">
        <f>IFERROR(IF(A157="","",VLOOKUP(A157,DATABASE!A:B,2,0)),"")</f>
        <v/>
      </c>
      <c r="C157" s="30">
        <f>IFERROR(IF(A157="","",VLOOKUP(A157,DATABASE!A:J,10,0)),"")</f>
        <v/>
      </c>
      <c r="D157" s="31">
        <f>IF(A157="","",TODAY())</f>
        <v/>
      </c>
      <c r="E157" s="30" t="n"/>
      <c r="F157" s="30">
        <f>IFERROR(IF(OR(A157="",E157=""),"",C157-E157),"")</f>
        <v/>
      </c>
      <c r="G157" s="26" t="n"/>
      <c r="H157" s="26" t="n"/>
    </row>
    <row r="158">
      <c r="A158" s="37" t="n"/>
      <c r="B158" s="37">
        <f>IFERROR(IF(A158="","",VLOOKUP(A158,DATABASE!A:B,2,0)),"")</f>
        <v/>
      </c>
      <c r="C158" s="38">
        <f>IFERROR(IF(A158="","",VLOOKUP(A158,DATABASE!A:J,10,0)),"")</f>
        <v/>
      </c>
      <c r="D158" s="39">
        <f>IF(A158="","",TODAY())</f>
        <v/>
      </c>
      <c r="E158" s="38" t="n"/>
      <c r="F158" s="38">
        <f>IFERROR(IF(OR(A158="",E158=""),"",C158-E158),"")</f>
        <v/>
      </c>
      <c r="G158" s="37" t="n"/>
      <c r="H158" s="37" t="n"/>
    </row>
    <row r="159">
      <c r="A159" s="26" t="n"/>
      <c r="B159" s="26">
        <f>IFERROR(IF(A159="","",VLOOKUP(A159,DATABASE!A:B,2,0)),"")</f>
        <v/>
      </c>
      <c r="C159" s="30">
        <f>IFERROR(IF(A159="","",VLOOKUP(A159,DATABASE!A:J,10,0)),"")</f>
        <v/>
      </c>
      <c r="D159" s="31">
        <f>IF(A159="","",TODAY())</f>
        <v/>
      </c>
      <c r="E159" s="30" t="n"/>
      <c r="F159" s="30">
        <f>IFERROR(IF(OR(A159="",E159=""),"",C159-E159),"")</f>
        <v/>
      </c>
      <c r="G159" s="26" t="n"/>
      <c r="H159" s="26" t="n"/>
    </row>
    <row r="160">
      <c r="A160" s="37" t="n"/>
      <c r="B160" s="37">
        <f>IFERROR(IF(A160="","",VLOOKUP(A160,DATABASE!A:B,2,0)),"")</f>
        <v/>
      </c>
      <c r="C160" s="38">
        <f>IFERROR(IF(A160="","",VLOOKUP(A160,DATABASE!A:J,10,0)),"")</f>
        <v/>
      </c>
      <c r="D160" s="39">
        <f>IF(A160="","",TODAY())</f>
        <v/>
      </c>
      <c r="E160" s="38" t="n"/>
      <c r="F160" s="38">
        <f>IFERROR(IF(OR(A160="",E160=""),"",C160-E160),"")</f>
        <v/>
      </c>
      <c r="G160" s="37" t="n"/>
      <c r="H160" s="37" t="n"/>
    </row>
    <row r="161">
      <c r="A161" s="26" t="n"/>
      <c r="B161" s="26">
        <f>IFERROR(IF(A161="","",VLOOKUP(A161,DATABASE!A:B,2,0)),"")</f>
        <v/>
      </c>
      <c r="C161" s="30">
        <f>IFERROR(IF(A161="","",VLOOKUP(A161,DATABASE!A:J,10,0)),"")</f>
        <v/>
      </c>
      <c r="D161" s="31">
        <f>IF(A161="","",TODAY())</f>
        <v/>
      </c>
      <c r="E161" s="30" t="n"/>
      <c r="F161" s="30">
        <f>IFERROR(IF(OR(A161="",E161=""),"",C161-E161),"")</f>
        <v/>
      </c>
      <c r="G161" s="26" t="n"/>
      <c r="H161" s="26" t="n"/>
    </row>
    <row r="162">
      <c r="A162" s="37" t="n"/>
      <c r="B162" s="37">
        <f>IFERROR(IF(A162="","",VLOOKUP(A162,DATABASE!A:B,2,0)),"")</f>
        <v/>
      </c>
      <c r="C162" s="38">
        <f>IFERROR(IF(A162="","",VLOOKUP(A162,DATABASE!A:J,10,0)),"")</f>
        <v/>
      </c>
      <c r="D162" s="39">
        <f>IF(A162="","",TODAY())</f>
        <v/>
      </c>
      <c r="E162" s="38" t="n"/>
      <c r="F162" s="38">
        <f>IFERROR(IF(OR(A162="",E162=""),"",C162-E162),"")</f>
        <v/>
      </c>
      <c r="G162" s="37" t="n"/>
      <c r="H162" s="37" t="n"/>
    </row>
    <row r="163">
      <c r="A163" s="26" t="n"/>
      <c r="B163" s="26">
        <f>IFERROR(IF(A163="","",VLOOKUP(A163,DATABASE!A:B,2,0)),"")</f>
        <v/>
      </c>
      <c r="C163" s="30">
        <f>IFERROR(IF(A163="","",VLOOKUP(A163,DATABASE!A:J,10,0)),"")</f>
        <v/>
      </c>
      <c r="D163" s="31">
        <f>IF(A163="","",TODAY())</f>
        <v/>
      </c>
      <c r="E163" s="30" t="n"/>
      <c r="F163" s="30">
        <f>IFERROR(IF(OR(A163="",E163=""),"",C163-E163),"")</f>
        <v/>
      </c>
      <c r="G163" s="26" t="n"/>
      <c r="H163" s="26" t="n"/>
    </row>
    <row r="164">
      <c r="A164" s="37" t="n"/>
      <c r="B164" s="37">
        <f>IFERROR(IF(A164="","",VLOOKUP(A164,DATABASE!A:B,2,0)),"")</f>
        <v/>
      </c>
      <c r="C164" s="38">
        <f>IFERROR(IF(A164="","",VLOOKUP(A164,DATABASE!A:J,10,0)),"")</f>
        <v/>
      </c>
      <c r="D164" s="39">
        <f>IF(A164="","",TODAY())</f>
        <v/>
      </c>
      <c r="E164" s="38" t="n"/>
      <c r="F164" s="38">
        <f>IFERROR(IF(OR(A164="",E164=""),"",C164-E164),"")</f>
        <v/>
      </c>
      <c r="G164" s="37" t="n"/>
      <c r="H164" s="37" t="n"/>
    </row>
    <row r="165">
      <c r="A165" s="26" t="n"/>
      <c r="B165" s="26">
        <f>IFERROR(IF(A165="","",VLOOKUP(A165,DATABASE!A:B,2,0)),"")</f>
        <v/>
      </c>
      <c r="C165" s="30">
        <f>IFERROR(IF(A165="","",VLOOKUP(A165,DATABASE!A:J,10,0)),"")</f>
        <v/>
      </c>
      <c r="D165" s="31">
        <f>IF(A165="","",TODAY())</f>
        <v/>
      </c>
      <c r="E165" s="30" t="n"/>
      <c r="F165" s="30">
        <f>IFERROR(IF(OR(A165="",E165=""),"",C165-E165),"")</f>
        <v/>
      </c>
      <c r="G165" s="26" t="n"/>
      <c r="H165" s="26" t="n"/>
    </row>
    <row r="166">
      <c r="A166" s="37" t="n"/>
      <c r="B166" s="37">
        <f>IFERROR(IF(A166="","",VLOOKUP(A166,DATABASE!A:B,2,0)),"")</f>
        <v/>
      </c>
      <c r="C166" s="38">
        <f>IFERROR(IF(A166="","",VLOOKUP(A166,DATABASE!A:J,10,0)),"")</f>
        <v/>
      </c>
      <c r="D166" s="39">
        <f>IF(A166="","",TODAY())</f>
        <v/>
      </c>
      <c r="E166" s="38" t="n"/>
      <c r="F166" s="38">
        <f>IFERROR(IF(OR(A166="",E166=""),"",C166-E166),"")</f>
        <v/>
      </c>
      <c r="G166" s="37" t="n"/>
      <c r="H166" s="37" t="n"/>
    </row>
    <row r="167">
      <c r="A167" s="26" t="n"/>
      <c r="B167" s="26">
        <f>IFERROR(IF(A167="","",VLOOKUP(A167,DATABASE!A:B,2,0)),"")</f>
        <v/>
      </c>
      <c r="C167" s="30">
        <f>IFERROR(IF(A167="","",VLOOKUP(A167,DATABASE!A:J,10,0)),"")</f>
        <v/>
      </c>
      <c r="D167" s="31">
        <f>IF(A167="","",TODAY())</f>
        <v/>
      </c>
      <c r="E167" s="30" t="n"/>
      <c r="F167" s="30">
        <f>IFERROR(IF(OR(A167="",E167=""),"",C167-E167),"")</f>
        <v/>
      </c>
      <c r="G167" s="26" t="n"/>
      <c r="H167" s="26" t="n"/>
    </row>
    <row r="168">
      <c r="A168" s="37" t="n"/>
      <c r="B168" s="37">
        <f>IFERROR(IF(A168="","",VLOOKUP(A168,DATABASE!A:B,2,0)),"")</f>
        <v/>
      </c>
      <c r="C168" s="38">
        <f>IFERROR(IF(A168="","",VLOOKUP(A168,DATABASE!A:J,10,0)),"")</f>
        <v/>
      </c>
      <c r="D168" s="39">
        <f>IF(A168="","",TODAY())</f>
        <v/>
      </c>
      <c r="E168" s="38" t="n"/>
      <c r="F168" s="38">
        <f>IFERROR(IF(OR(A168="",E168=""),"",C168-E168),"")</f>
        <v/>
      </c>
      <c r="G168" s="37" t="n"/>
      <c r="H168" s="37" t="n"/>
    </row>
    <row r="169">
      <c r="A169" s="26" t="n"/>
      <c r="B169" s="26">
        <f>IFERROR(IF(A169="","",VLOOKUP(A169,DATABASE!A:B,2,0)),"")</f>
        <v/>
      </c>
      <c r="C169" s="30">
        <f>IFERROR(IF(A169="","",VLOOKUP(A169,DATABASE!A:J,10,0)),"")</f>
        <v/>
      </c>
      <c r="D169" s="31">
        <f>IF(A169="","",TODAY())</f>
        <v/>
      </c>
      <c r="E169" s="30" t="n"/>
      <c r="F169" s="30">
        <f>IFERROR(IF(OR(A169="",E169=""),"",C169-E169),"")</f>
        <v/>
      </c>
      <c r="G169" s="26" t="n"/>
      <c r="H169" s="26" t="n"/>
    </row>
    <row r="170">
      <c r="A170" s="37" t="n"/>
      <c r="B170" s="37">
        <f>IFERROR(IF(A170="","",VLOOKUP(A170,DATABASE!A:B,2,0)),"")</f>
        <v/>
      </c>
      <c r="C170" s="38">
        <f>IFERROR(IF(A170="","",VLOOKUP(A170,DATABASE!A:J,10,0)),"")</f>
        <v/>
      </c>
      <c r="D170" s="39">
        <f>IF(A170="","",TODAY())</f>
        <v/>
      </c>
      <c r="E170" s="38" t="n"/>
      <c r="F170" s="38">
        <f>IFERROR(IF(OR(A170="",E170=""),"",C170-E170),"")</f>
        <v/>
      </c>
      <c r="G170" s="37" t="n"/>
      <c r="H170" s="37" t="n"/>
    </row>
    <row r="171">
      <c r="A171" s="26" t="n"/>
      <c r="B171" s="26">
        <f>IFERROR(IF(A171="","",VLOOKUP(A171,DATABASE!A:B,2,0)),"")</f>
        <v/>
      </c>
      <c r="C171" s="30">
        <f>IFERROR(IF(A171="","",VLOOKUP(A171,DATABASE!A:J,10,0)),"")</f>
        <v/>
      </c>
      <c r="D171" s="31">
        <f>IF(A171="","",TODAY())</f>
        <v/>
      </c>
      <c r="E171" s="30" t="n"/>
      <c r="F171" s="30">
        <f>IFERROR(IF(OR(A171="",E171=""),"",C171-E171),"")</f>
        <v/>
      </c>
      <c r="G171" s="26" t="n"/>
      <c r="H171" s="26" t="n"/>
    </row>
    <row r="172">
      <c r="A172" s="37" t="n"/>
      <c r="B172" s="37">
        <f>IFERROR(IF(A172="","",VLOOKUP(A172,DATABASE!A:B,2,0)),"")</f>
        <v/>
      </c>
      <c r="C172" s="38">
        <f>IFERROR(IF(A172="","",VLOOKUP(A172,DATABASE!A:J,10,0)),"")</f>
        <v/>
      </c>
      <c r="D172" s="39">
        <f>IF(A172="","",TODAY())</f>
        <v/>
      </c>
      <c r="E172" s="38" t="n"/>
      <c r="F172" s="38">
        <f>IFERROR(IF(OR(A172="",E172=""),"",C172-E172),"")</f>
        <v/>
      </c>
      <c r="G172" s="37" t="n"/>
      <c r="H172" s="37" t="n"/>
    </row>
    <row r="173">
      <c r="A173" s="26" t="n"/>
      <c r="B173" s="26">
        <f>IFERROR(IF(A173="","",VLOOKUP(A173,DATABASE!A:B,2,0)),"")</f>
        <v/>
      </c>
      <c r="C173" s="30">
        <f>IFERROR(IF(A173="","",VLOOKUP(A173,DATABASE!A:J,10,0)),"")</f>
        <v/>
      </c>
      <c r="D173" s="31">
        <f>IF(A173="","",TODAY())</f>
        <v/>
      </c>
      <c r="E173" s="30" t="n"/>
      <c r="F173" s="30">
        <f>IFERROR(IF(OR(A173="",E173=""),"",C173-E173),"")</f>
        <v/>
      </c>
      <c r="G173" s="26" t="n"/>
      <c r="H173" s="26" t="n"/>
    </row>
    <row r="174">
      <c r="A174" s="37" t="n"/>
      <c r="B174" s="37">
        <f>IFERROR(IF(A174="","",VLOOKUP(A174,DATABASE!A:B,2,0)),"")</f>
        <v/>
      </c>
      <c r="C174" s="38">
        <f>IFERROR(IF(A174="","",VLOOKUP(A174,DATABASE!A:J,10,0)),"")</f>
        <v/>
      </c>
      <c r="D174" s="39">
        <f>IF(A174="","",TODAY())</f>
        <v/>
      </c>
      <c r="E174" s="38" t="n"/>
      <c r="F174" s="38">
        <f>IFERROR(IF(OR(A174="",E174=""),"",C174-E174),"")</f>
        <v/>
      </c>
      <c r="G174" s="37" t="n"/>
      <c r="H174" s="37" t="n"/>
    </row>
    <row r="175">
      <c r="A175" s="26" t="n"/>
      <c r="B175" s="26">
        <f>IFERROR(IF(A175="","",VLOOKUP(A175,DATABASE!A:B,2,0)),"")</f>
        <v/>
      </c>
      <c r="C175" s="30">
        <f>IFERROR(IF(A175="","",VLOOKUP(A175,DATABASE!A:J,10,0)),"")</f>
        <v/>
      </c>
      <c r="D175" s="31">
        <f>IF(A175="","",TODAY())</f>
        <v/>
      </c>
      <c r="E175" s="30" t="n"/>
      <c r="F175" s="30">
        <f>IFERROR(IF(OR(A175="",E175=""),"",C175-E175),"")</f>
        <v/>
      </c>
      <c r="G175" s="26" t="n"/>
      <c r="H175" s="26" t="n"/>
    </row>
    <row r="176">
      <c r="A176" s="37" t="n"/>
      <c r="B176" s="37">
        <f>IFERROR(IF(A176="","",VLOOKUP(A176,DATABASE!A:B,2,0)),"")</f>
        <v/>
      </c>
      <c r="C176" s="38">
        <f>IFERROR(IF(A176="","",VLOOKUP(A176,DATABASE!A:J,10,0)),"")</f>
        <v/>
      </c>
      <c r="D176" s="39">
        <f>IF(A176="","",TODAY())</f>
        <v/>
      </c>
      <c r="E176" s="38" t="n"/>
      <c r="F176" s="38">
        <f>IFERROR(IF(OR(A176="",E176=""),"",C176-E176),"")</f>
        <v/>
      </c>
      <c r="G176" s="37" t="n"/>
      <c r="H176" s="37" t="n"/>
    </row>
    <row r="177">
      <c r="A177" s="26" t="n"/>
      <c r="B177" s="26">
        <f>IFERROR(IF(A177="","",VLOOKUP(A177,DATABASE!A:B,2,0)),"")</f>
        <v/>
      </c>
      <c r="C177" s="30">
        <f>IFERROR(IF(A177="","",VLOOKUP(A177,DATABASE!A:J,10,0)),"")</f>
        <v/>
      </c>
      <c r="D177" s="31">
        <f>IF(A177="","",TODAY())</f>
        <v/>
      </c>
      <c r="E177" s="30" t="n"/>
      <c r="F177" s="30">
        <f>IFERROR(IF(OR(A177="",E177=""),"",C177-E177),"")</f>
        <v/>
      </c>
      <c r="G177" s="26" t="n"/>
      <c r="H177" s="26" t="n"/>
    </row>
    <row r="178">
      <c r="A178" s="37" t="n"/>
      <c r="B178" s="37">
        <f>IFERROR(IF(A178="","",VLOOKUP(A178,DATABASE!A:B,2,0)),"")</f>
        <v/>
      </c>
      <c r="C178" s="38">
        <f>IFERROR(IF(A178="","",VLOOKUP(A178,DATABASE!A:J,10,0)),"")</f>
        <v/>
      </c>
      <c r="D178" s="39">
        <f>IF(A178="","",TODAY())</f>
        <v/>
      </c>
      <c r="E178" s="38" t="n"/>
      <c r="F178" s="38">
        <f>IFERROR(IF(OR(A178="",E178=""),"",C178-E178),"")</f>
        <v/>
      </c>
      <c r="G178" s="37" t="n"/>
      <c r="H178" s="37" t="n"/>
    </row>
    <row r="179">
      <c r="A179" s="26" t="n"/>
      <c r="B179" s="26">
        <f>IFERROR(IF(A179="","",VLOOKUP(A179,DATABASE!A:B,2,0)),"")</f>
        <v/>
      </c>
      <c r="C179" s="30">
        <f>IFERROR(IF(A179="","",VLOOKUP(A179,DATABASE!A:J,10,0)),"")</f>
        <v/>
      </c>
      <c r="D179" s="31">
        <f>IF(A179="","",TODAY())</f>
        <v/>
      </c>
      <c r="E179" s="30" t="n"/>
      <c r="F179" s="30">
        <f>IFERROR(IF(OR(A179="",E179=""),"",C179-E179),"")</f>
        <v/>
      </c>
      <c r="G179" s="26" t="n"/>
      <c r="H179" s="26" t="n"/>
    </row>
    <row r="180">
      <c r="A180" s="37" t="n"/>
      <c r="B180" s="37">
        <f>IFERROR(IF(A180="","",VLOOKUP(A180,DATABASE!A:B,2,0)),"")</f>
        <v/>
      </c>
      <c r="C180" s="38">
        <f>IFERROR(IF(A180="","",VLOOKUP(A180,DATABASE!A:J,10,0)),"")</f>
        <v/>
      </c>
      <c r="D180" s="39">
        <f>IF(A180="","",TODAY())</f>
        <v/>
      </c>
      <c r="E180" s="38" t="n"/>
      <c r="F180" s="38">
        <f>IFERROR(IF(OR(A180="",E180=""),"",C180-E180),"")</f>
        <v/>
      </c>
      <c r="G180" s="37" t="n"/>
      <c r="H180" s="37" t="n"/>
    </row>
    <row r="181">
      <c r="A181" s="26" t="n"/>
      <c r="B181" s="26">
        <f>IFERROR(IF(A181="","",VLOOKUP(A181,DATABASE!A:B,2,0)),"")</f>
        <v/>
      </c>
      <c r="C181" s="30">
        <f>IFERROR(IF(A181="","",VLOOKUP(A181,DATABASE!A:J,10,0)),"")</f>
        <v/>
      </c>
      <c r="D181" s="31">
        <f>IF(A181="","",TODAY())</f>
        <v/>
      </c>
      <c r="E181" s="30" t="n"/>
      <c r="F181" s="30">
        <f>IFERROR(IF(OR(A181="",E181=""),"",C181-E181),"")</f>
        <v/>
      </c>
      <c r="G181" s="26" t="n"/>
      <c r="H181" s="26" t="n"/>
    </row>
    <row r="182">
      <c r="A182" s="37" t="n"/>
      <c r="B182" s="37">
        <f>IFERROR(IF(A182="","",VLOOKUP(A182,DATABASE!A:B,2,0)),"")</f>
        <v/>
      </c>
      <c r="C182" s="38">
        <f>IFERROR(IF(A182="","",VLOOKUP(A182,DATABASE!A:J,10,0)),"")</f>
        <v/>
      </c>
      <c r="D182" s="39">
        <f>IF(A182="","",TODAY())</f>
        <v/>
      </c>
      <c r="E182" s="38" t="n"/>
      <c r="F182" s="38">
        <f>IFERROR(IF(OR(A182="",E182=""),"",C182-E182),"")</f>
        <v/>
      </c>
      <c r="G182" s="37" t="n"/>
      <c r="H182" s="37" t="n"/>
    </row>
    <row r="183">
      <c r="A183" s="26" t="n"/>
      <c r="B183" s="26">
        <f>IFERROR(IF(A183="","",VLOOKUP(A183,DATABASE!A:B,2,0)),"")</f>
        <v/>
      </c>
      <c r="C183" s="30">
        <f>IFERROR(IF(A183="","",VLOOKUP(A183,DATABASE!A:J,10,0)),"")</f>
        <v/>
      </c>
      <c r="D183" s="31">
        <f>IF(A183="","",TODAY())</f>
        <v/>
      </c>
      <c r="E183" s="30" t="n"/>
      <c r="F183" s="30">
        <f>IFERROR(IF(OR(A183="",E183=""),"",C183-E183),"")</f>
        <v/>
      </c>
      <c r="G183" s="26" t="n"/>
      <c r="H183" s="26" t="n"/>
    </row>
    <row r="184">
      <c r="A184" s="37" t="n"/>
      <c r="B184" s="37">
        <f>IFERROR(IF(A184="","",VLOOKUP(A184,DATABASE!A:B,2,0)),"")</f>
        <v/>
      </c>
      <c r="C184" s="38">
        <f>IFERROR(IF(A184="","",VLOOKUP(A184,DATABASE!A:J,10,0)),"")</f>
        <v/>
      </c>
      <c r="D184" s="39">
        <f>IF(A184="","",TODAY())</f>
        <v/>
      </c>
      <c r="E184" s="38" t="n"/>
      <c r="F184" s="38">
        <f>IFERROR(IF(OR(A184="",E184=""),"",C184-E184),"")</f>
        <v/>
      </c>
      <c r="G184" s="37" t="n"/>
      <c r="H184" s="37" t="n"/>
    </row>
    <row r="185">
      <c r="A185" s="26" t="n"/>
      <c r="B185" s="26">
        <f>IFERROR(IF(A185="","",VLOOKUP(A185,DATABASE!A:B,2,0)),"")</f>
        <v/>
      </c>
      <c r="C185" s="30">
        <f>IFERROR(IF(A185="","",VLOOKUP(A185,DATABASE!A:J,10,0)),"")</f>
        <v/>
      </c>
      <c r="D185" s="31">
        <f>IF(A185="","",TODAY())</f>
        <v/>
      </c>
      <c r="E185" s="30" t="n"/>
      <c r="F185" s="30">
        <f>IFERROR(IF(OR(A185="",E185=""),"",C185-E185),"")</f>
        <v/>
      </c>
      <c r="G185" s="26" t="n"/>
      <c r="H185" s="26" t="n"/>
    </row>
    <row r="186">
      <c r="A186" s="37" t="n"/>
      <c r="B186" s="37">
        <f>IFERROR(IF(A186="","",VLOOKUP(A186,DATABASE!A:B,2,0)),"")</f>
        <v/>
      </c>
      <c r="C186" s="38">
        <f>IFERROR(IF(A186="","",VLOOKUP(A186,DATABASE!A:J,10,0)),"")</f>
        <v/>
      </c>
      <c r="D186" s="39">
        <f>IF(A186="","",TODAY())</f>
        <v/>
      </c>
      <c r="E186" s="38" t="n"/>
      <c r="F186" s="38">
        <f>IFERROR(IF(OR(A186="",E186=""),"",C186-E186),"")</f>
        <v/>
      </c>
      <c r="G186" s="37" t="n"/>
      <c r="H186" s="37" t="n"/>
    </row>
    <row r="187">
      <c r="A187" s="26" t="n"/>
      <c r="B187" s="26">
        <f>IFERROR(IF(A187="","",VLOOKUP(A187,DATABASE!A:B,2,0)),"")</f>
        <v/>
      </c>
      <c r="C187" s="30">
        <f>IFERROR(IF(A187="","",VLOOKUP(A187,DATABASE!A:J,10,0)),"")</f>
        <v/>
      </c>
      <c r="D187" s="31">
        <f>IF(A187="","",TODAY())</f>
        <v/>
      </c>
      <c r="E187" s="30" t="n"/>
      <c r="F187" s="30">
        <f>IFERROR(IF(OR(A187="",E187=""),"",C187-E187),"")</f>
        <v/>
      </c>
      <c r="G187" s="26" t="n"/>
      <c r="H187" s="26" t="n"/>
    </row>
    <row r="188">
      <c r="A188" s="37" t="n"/>
      <c r="B188" s="37">
        <f>IFERROR(IF(A188="","",VLOOKUP(A188,DATABASE!A:B,2,0)),"")</f>
        <v/>
      </c>
      <c r="C188" s="38">
        <f>IFERROR(IF(A188="","",VLOOKUP(A188,DATABASE!A:J,10,0)),"")</f>
        <v/>
      </c>
      <c r="D188" s="39">
        <f>IF(A188="","",TODAY())</f>
        <v/>
      </c>
      <c r="E188" s="38" t="n"/>
      <c r="F188" s="38">
        <f>IFERROR(IF(OR(A188="",E188=""),"",C188-E188),"")</f>
        <v/>
      </c>
      <c r="G188" s="37" t="n"/>
      <c r="H188" s="37" t="n"/>
    </row>
    <row r="189">
      <c r="A189" s="26" t="n"/>
      <c r="B189" s="26">
        <f>IFERROR(IF(A189="","",VLOOKUP(A189,DATABASE!A:B,2,0)),"")</f>
        <v/>
      </c>
      <c r="C189" s="30">
        <f>IFERROR(IF(A189="","",VLOOKUP(A189,DATABASE!A:J,10,0)),"")</f>
        <v/>
      </c>
      <c r="D189" s="31">
        <f>IF(A189="","",TODAY())</f>
        <v/>
      </c>
      <c r="E189" s="30" t="n"/>
      <c r="F189" s="30">
        <f>IFERROR(IF(OR(A189="",E189=""),"",C189-E189),"")</f>
        <v/>
      </c>
      <c r="G189" s="26" t="n"/>
      <c r="H189" s="26" t="n"/>
    </row>
    <row r="190">
      <c r="A190" s="37" t="n"/>
      <c r="B190" s="37">
        <f>IFERROR(IF(A190="","",VLOOKUP(A190,DATABASE!A:B,2,0)),"")</f>
        <v/>
      </c>
      <c r="C190" s="38">
        <f>IFERROR(IF(A190="","",VLOOKUP(A190,DATABASE!A:J,10,0)),"")</f>
        <v/>
      </c>
      <c r="D190" s="39">
        <f>IF(A190="","",TODAY())</f>
        <v/>
      </c>
      <c r="E190" s="38" t="n"/>
      <c r="F190" s="38">
        <f>IFERROR(IF(OR(A190="",E190=""),"",C190-E190),"")</f>
        <v/>
      </c>
      <c r="G190" s="37" t="n"/>
      <c r="H190" s="37" t="n"/>
    </row>
    <row r="191">
      <c r="A191" s="26" t="n"/>
      <c r="B191" s="26">
        <f>IFERROR(IF(A191="","",VLOOKUP(A191,DATABASE!A:B,2,0)),"")</f>
        <v/>
      </c>
      <c r="C191" s="30">
        <f>IFERROR(IF(A191="","",VLOOKUP(A191,DATABASE!A:J,10,0)),"")</f>
        <v/>
      </c>
      <c r="D191" s="31">
        <f>IF(A191="","",TODAY())</f>
        <v/>
      </c>
      <c r="E191" s="30" t="n"/>
      <c r="F191" s="30">
        <f>IFERROR(IF(OR(A191="",E191=""),"",C191-E191),"")</f>
        <v/>
      </c>
      <c r="G191" s="26" t="n"/>
      <c r="H191" s="26" t="n"/>
    </row>
    <row r="192">
      <c r="A192" s="37" t="n"/>
      <c r="B192" s="37">
        <f>IFERROR(IF(A192="","",VLOOKUP(A192,DATABASE!A:B,2,0)),"")</f>
        <v/>
      </c>
      <c r="C192" s="38">
        <f>IFERROR(IF(A192="","",VLOOKUP(A192,DATABASE!A:J,10,0)),"")</f>
        <v/>
      </c>
      <c r="D192" s="39">
        <f>IF(A192="","",TODAY())</f>
        <v/>
      </c>
      <c r="E192" s="38" t="n"/>
      <c r="F192" s="38">
        <f>IFERROR(IF(OR(A192="",E192=""),"",C192-E192),"")</f>
        <v/>
      </c>
      <c r="G192" s="37" t="n"/>
      <c r="H192" s="37" t="n"/>
    </row>
    <row r="193">
      <c r="A193" s="26" t="n"/>
      <c r="B193" s="26">
        <f>IFERROR(IF(A193="","",VLOOKUP(A193,DATABASE!A:B,2,0)),"")</f>
        <v/>
      </c>
      <c r="C193" s="30">
        <f>IFERROR(IF(A193="","",VLOOKUP(A193,DATABASE!A:J,10,0)),"")</f>
        <v/>
      </c>
      <c r="D193" s="31">
        <f>IF(A193="","",TODAY())</f>
        <v/>
      </c>
      <c r="E193" s="30" t="n"/>
      <c r="F193" s="30">
        <f>IFERROR(IF(OR(A193="",E193=""),"",C193-E193),"")</f>
        <v/>
      </c>
      <c r="G193" s="26" t="n"/>
      <c r="H193" s="26" t="n"/>
    </row>
    <row r="194">
      <c r="A194" s="37" t="n"/>
      <c r="B194" s="37">
        <f>IFERROR(IF(A194="","",VLOOKUP(A194,DATABASE!A:B,2,0)),"")</f>
        <v/>
      </c>
      <c r="C194" s="38">
        <f>IFERROR(IF(A194="","",VLOOKUP(A194,DATABASE!A:J,10,0)),"")</f>
        <v/>
      </c>
      <c r="D194" s="39">
        <f>IF(A194="","",TODAY())</f>
        <v/>
      </c>
      <c r="E194" s="38" t="n"/>
      <c r="F194" s="38">
        <f>IFERROR(IF(OR(A194="",E194=""),"",C194-E194),"")</f>
        <v/>
      </c>
      <c r="G194" s="37" t="n"/>
      <c r="H194" s="37" t="n"/>
    </row>
    <row r="195">
      <c r="A195" s="26" t="n"/>
      <c r="B195" s="26">
        <f>IFERROR(IF(A195="","",VLOOKUP(A195,DATABASE!A:B,2,0)),"")</f>
        <v/>
      </c>
      <c r="C195" s="30">
        <f>IFERROR(IF(A195="","",VLOOKUP(A195,DATABASE!A:J,10,0)),"")</f>
        <v/>
      </c>
      <c r="D195" s="31">
        <f>IF(A195="","",TODAY())</f>
        <v/>
      </c>
      <c r="E195" s="30" t="n"/>
      <c r="F195" s="30">
        <f>IFERROR(IF(OR(A195="",E195=""),"",C195-E195),"")</f>
        <v/>
      </c>
      <c r="G195" s="26" t="n"/>
      <c r="H195" s="26" t="n"/>
    </row>
    <row r="196">
      <c r="A196" s="37" t="n"/>
      <c r="B196" s="37">
        <f>IFERROR(IF(A196="","",VLOOKUP(A196,DATABASE!A:B,2,0)),"")</f>
        <v/>
      </c>
      <c r="C196" s="38">
        <f>IFERROR(IF(A196="","",VLOOKUP(A196,DATABASE!A:J,10,0)),"")</f>
        <v/>
      </c>
      <c r="D196" s="39">
        <f>IF(A196="","",TODAY())</f>
        <v/>
      </c>
      <c r="E196" s="38" t="n"/>
      <c r="F196" s="38">
        <f>IFERROR(IF(OR(A196="",E196=""),"",C196-E196),"")</f>
        <v/>
      </c>
      <c r="G196" s="37" t="n"/>
      <c r="H196" s="37" t="n"/>
    </row>
    <row r="197">
      <c r="A197" s="26" t="n"/>
      <c r="B197" s="26">
        <f>IFERROR(IF(A197="","",VLOOKUP(A197,DATABASE!A:B,2,0)),"")</f>
        <v/>
      </c>
      <c r="C197" s="30">
        <f>IFERROR(IF(A197="","",VLOOKUP(A197,DATABASE!A:J,10,0)),"")</f>
        <v/>
      </c>
      <c r="D197" s="31">
        <f>IF(A197="","",TODAY())</f>
        <v/>
      </c>
      <c r="E197" s="30" t="n"/>
      <c r="F197" s="30">
        <f>IFERROR(IF(OR(A197="",E197=""),"",C197-E197),"")</f>
        <v/>
      </c>
      <c r="G197" s="26" t="n"/>
      <c r="H197" s="26" t="n"/>
    </row>
    <row r="198">
      <c r="A198" s="37" t="n"/>
      <c r="B198" s="37">
        <f>IFERROR(IF(A198="","",VLOOKUP(A198,DATABASE!A:B,2,0)),"")</f>
        <v/>
      </c>
      <c r="C198" s="38">
        <f>IFERROR(IF(A198="","",VLOOKUP(A198,DATABASE!A:J,10,0)),"")</f>
        <v/>
      </c>
      <c r="D198" s="39">
        <f>IF(A198="","",TODAY())</f>
        <v/>
      </c>
      <c r="E198" s="38" t="n"/>
      <c r="F198" s="38">
        <f>IFERROR(IF(OR(A198="",E198=""),"",C198-E198),"")</f>
        <v/>
      </c>
      <c r="G198" s="37" t="n"/>
      <c r="H198" s="37" t="n"/>
    </row>
    <row r="199">
      <c r="A199" s="26" t="n"/>
      <c r="B199" s="26">
        <f>IFERROR(IF(A199="","",VLOOKUP(A199,DATABASE!A:B,2,0)),"")</f>
        <v/>
      </c>
      <c r="C199" s="30">
        <f>IFERROR(IF(A199="","",VLOOKUP(A199,DATABASE!A:J,10,0)),"")</f>
        <v/>
      </c>
      <c r="D199" s="31">
        <f>IF(A199="","",TODAY())</f>
        <v/>
      </c>
      <c r="E199" s="30" t="n"/>
      <c r="F199" s="30">
        <f>IFERROR(IF(OR(A199="",E199=""),"",C199-E199),"")</f>
        <v/>
      </c>
      <c r="G199" s="26" t="n"/>
      <c r="H199" s="26" t="n"/>
    </row>
    <row r="200">
      <c r="A200" s="37" t="n"/>
      <c r="B200" s="37">
        <f>IFERROR(IF(A200="","",VLOOKUP(A200,DATABASE!A:B,2,0)),"")</f>
        <v/>
      </c>
      <c r="C200" s="38">
        <f>IFERROR(IF(A200="","",VLOOKUP(A200,DATABASE!A:J,10,0)),"")</f>
        <v/>
      </c>
      <c r="D200" s="39">
        <f>IF(A200="","",TODAY())</f>
        <v/>
      </c>
      <c r="E200" s="38" t="n"/>
      <c r="F200" s="38">
        <f>IFERROR(IF(OR(A200="",E200=""),"",C200-E200),"")</f>
        <v/>
      </c>
      <c r="G200" s="37" t="n"/>
      <c r="H200" s="37" t="n"/>
    </row>
    <row r="201">
      <c r="A201" s="26" t="n"/>
      <c r="B201" s="26">
        <f>IFERROR(IF(A201="","",VLOOKUP(A201,DATABASE!A:B,2,0)),"")</f>
        <v/>
      </c>
      <c r="C201" s="30">
        <f>IFERROR(IF(A201="","",VLOOKUP(A201,DATABASE!A:J,10,0)),"")</f>
        <v/>
      </c>
      <c r="D201" s="31">
        <f>IF(A201="","",TODAY())</f>
        <v/>
      </c>
      <c r="E201" s="30" t="n"/>
      <c r="F201" s="30">
        <f>IFERROR(IF(OR(A201="",E201=""),"",C201-E201),"")</f>
        <v/>
      </c>
      <c r="G201" s="26" t="n"/>
      <c r="H201" s="26" t="n"/>
    </row>
    <row r="202">
      <c r="A202" s="37" t="n"/>
      <c r="B202" s="37">
        <f>IFERROR(IF(A202="","",VLOOKUP(A202,DATABASE!A:B,2,0)),"")</f>
        <v/>
      </c>
      <c r="C202" s="38">
        <f>IFERROR(IF(A202="","",VLOOKUP(A202,DATABASE!A:J,10,0)),"")</f>
        <v/>
      </c>
      <c r="D202" s="39">
        <f>IF(A202="","",TODAY())</f>
        <v/>
      </c>
      <c r="E202" s="38" t="n"/>
      <c r="F202" s="38">
        <f>IFERROR(IF(OR(A202="",E202=""),"",C202-E202),"")</f>
        <v/>
      </c>
      <c r="G202" s="37" t="n"/>
      <c r="H202" s="37" t="n"/>
    </row>
    <row r="203">
      <c r="A203" s="26" t="n"/>
      <c r="B203" s="26">
        <f>IFERROR(IF(A203="","",VLOOKUP(A203,DATABASE!A:B,2,0)),"")</f>
        <v/>
      </c>
      <c r="C203" s="30">
        <f>IFERROR(IF(A203="","",VLOOKUP(A203,DATABASE!A:J,10,0)),"")</f>
        <v/>
      </c>
      <c r="D203" s="31">
        <f>IF(A203="","",TODAY())</f>
        <v/>
      </c>
      <c r="E203" s="30" t="n"/>
      <c r="F203" s="30">
        <f>IFERROR(IF(OR(A203="",E203=""),"",C203-E203),"")</f>
        <v/>
      </c>
      <c r="G203" s="26" t="n"/>
      <c r="H203" s="26" t="n"/>
    </row>
    <row r="204">
      <c r="A204" s="37" t="n"/>
      <c r="B204" s="37">
        <f>IFERROR(IF(A204="","",VLOOKUP(A204,DATABASE!A:B,2,0)),"")</f>
        <v/>
      </c>
      <c r="C204" s="38">
        <f>IFERROR(IF(A204="","",VLOOKUP(A204,DATABASE!A:J,10,0)),"")</f>
        <v/>
      </c>
      <c r="D204" s="39">
        <f>IF(A204="","",TODAY())</f>
        <v/>
      </c>
      <c r="E204" s="38" t="n"/>
      <c r="F204" s="38">
        <f>IFERROR(IF(OR(A204="",E204=""),"",C204-E204),"")</f>
        <v/>
      </c>
      <c r="G204" s="37" t="n"/>
      <c r="H204" s="37" t="n"/>
    </row>
    <row r="205">
      <c r="A205" s="26" t="n"/>
      <c r="B205" s="26">
        <f>IFERROR(IF(A205="","",VLOOKUP(A205,DATABASE!A:B,2,0)),"")</f>
        <v/>
      </c>
      <c r="C205" s="30">
        <f>IFERROR(IF(A205="","",VLOOKUP(A205,DATABASE!A:J,10,0)),"")</f>
        <v/>
      </c>
      <c r="D205" s="31">
        <f>IF(A205="","",TODAY())</f>
        <v/>
      </c>
      <c r="E205" s="30" t="n"/>
      <c r="F205" s="30">
        <f>IFERROR(IF(OR(A205="",E205=""),"",C205-E205),"")</f>
        <v/>
      </c>
      <c r="G205" s="26" t="n"/>
      <c r="H205" s="26" t="n"/>
    </row>
    <row r="206">
      <c r="A206" s="37" t="n"/>
      <c r="B206" s="37">
        <f>IFERROR(IF(A206="","",VLOOKUP(A206,DATABASE!A:B,2,0)),"")</f>
        <v/>
      </c>
      <c r="C206" s="38">
        <f>IFERROR(IF(A206="","",VLOOKUP(A206,DATABASE!A:J,10,0)),"")</f>
        <v/>
      </c>
      <c r="D206" s="39">
        <f>IF(A206="","",TODAY())</f>
        <v/>
      </c>
      <c r="E206" s="38" t="n"/>
      <c r="F206" s="38">
        <f>IFERROR(IF(OR(A206="",E206=""),"",C206-E206),"")</f>
        <v/>
      </c>
      <c r="G206" s="37" t="n"/>
      <c r="H206" s="37" t="n"/>
    </row>
    <row r="207">
      <c r="A207" s="26" t="n"/>
      <c r="B207" s="26">
        <f>IFERROR(IF(A207="","",VLOOKUP(A207,DATABASE!A:B,2,0)),"")</f>
        <v/>
      </c>
      <c r="C207" s="30">
        <f>IFERROR(IF(A207="","",VLOOKUP(A207,DATABASE!A:J,10,0)),"")</f>
        <v/>
      </c>
      <c r="D207" s="31">
        <f>IF(A207="","",TODAY())</f>
        <v/>
      </c>
      <c r="E207" s="30" t="n"/>
      <c r="F207" s="30">
        <f>IFERROR(IF(OR(A207="",E207=""),"",C207-E207),"")</f>
        <v/>
      </c>
      <c r="G207" s="26" t="n"/>
      <c r="H207" s="26" t="n"/>
    </row>
    <row r="208">
      <c r="A208" s="37" t="n"/>
      <c r="B208" s="37">
        <f>IFERROR(IF(A208="","",VLOOKUP(A208,DATABASE!A:B,2,0)),"")</f>
        <v/>
      </c>
      <c r="C208" s="38">
        <f>IFERROR(IF(A208="","",VLOOKUP(A208,DATABASE!A:J,10,0)),"")</f>
        <v/>
      </c>
      <c r="D208" s="39">
        <f>IF(A208="","",TODAY())</f>
        <v/>
      </c>
      <c r="E208" s="38" t="n"/>
      <c r="F208" s="38">
        <f>IFERROR(IF(OR(A208="",E208=""),"",C208-E208),"")</f>
        <v/>
      </c>
      <c r="G208" s="37" t="n"/>
      <c r="H208" s="37" t="n"/>
    </row>
    <row r="209">
      <c r="A209" s="26" t="n"/>
      <c r="B209" s="26">
        <f>IFERROR(IF(A209="","",VLOOKUP(A209,DATABASE!A:B,2,0)),"")</f>
        <v/>
      </c>
      <c r="C209" s="30">
        <f>IFERROR(IF(A209="","",VLOOKUP(A209,DATABASE!A:J,10,0)),"")</f>
        <v/>
      </c>
      <c r="D209" s="31">
        <f>IF(A209="","",TODAY())</f>
        <v/>
      </c>
      <c r="E209" s="30" t="n"/>
      <c r="F209" s="30">
        <f>IFERROR(IF(OR(A209="",E209=""),"",C209-E209),"")</f>
        <v/>
      </c>
      <c r="G209" s="26" t="n"/>
      <c r="H209" s="26" t="n"/>
    </row>
    <row r="210">
      <c r="A210" s="37" t="n"/>
      <c r="B210" s="37">
        <f>IFERROR(IF(A210="","",VLOOKUP(A210,DATABASE!A:B,2,0)),"")</f>
        <v/>
      </c>
      <c r="C210" s="38">
        <f>IFERROR(IF(A210="","",VLOOKUP(A210,DATABASE!A:J,10,0)),"")</f>
        <v/>
      </c>
      <c r="D210" s="39">
        <f>IF(A210="","",TODAY())</f>
        <v/>
      </c>
      <c r="E210" s="38" t="n"/>
      <c r="F210" s="38">
        <f>IFERROR(IF(OR(A210="",E210=""),"",C210-E210),"")</f>
        <v/>
      </c>
      <c r="G210" s="37" t="n"/>
      <c r="H210" s="37" t="n"/>
    </row>
    <row r="211">
      <c r="A211" s="26" t="n"/>
      <c r="B211" s="26">
        <f>IFERROR(IF(A211="","",VLOOKUP(A211,DATABASE!A:B,2,0)),"")</f>
        <v/>
      </c>
      <c r="C211" s="30">
        <f>IFERROR(IF(A211="","",VLOOKUP(A211,DATABASE!A:J,10,0)),"")</f>
        <v/>
      </c>
      <c r="D211" s="31">
        <f>IF(A211="","",TODAY())</f>
        <v/>
      </c>
      <c r="E211" s="30" t="n"/>
      <c r="F211" s="30">
        <f>IFERROR(IF(OR(A211="",E211=""),"",C211-E211),"")</f>
        <v/>
      </c>
      <c r="G211" s="26" t="n"/>
      <c r="H211" s="26" t="n"/>
    </row>
    <row r="212">
      <c r="A212" s="37" t="n"/>
      <c r="B212" s="37">
        <f>IFERROR(IF(A212="","",VLOOKUP(A212,DATABASE!A:B,2,0)),"")</f>
        <v/>
      </c>
      <c r="C212" s="38">
        <f>IFERROR(IF(A212="","",VLOOKUP(A212,DATABASE!A:J,10,0)),"")</f>
        <v/>
      </c>
      <c r="D212" s="39">
        <f>IF(A212="","",TODAY())</f>
        <v/>
      </c>
      <c r="E212" s="38" t="n"/>
      <c r="F212" s="38">
        <f>IFERROR(IF(OR(A212="",E212=""),"",C212-E212),"")</f>
        <v/>
      </c>
      <c r="G212" s="37" t="n"/>
      <c r="H212" s="37" t="n"/>
    </row>
    <row r="213">
      <c r="A213" s="26" t="n"/>
      <c r="B213" s="26">
        <f>IFERROR(IF(A213="","",VLOOKUP(A213,DATABASE!A:B,2,0)),"")</f>
        <v/>
      </c>
      <c r="C213" s="30">
        <f>IFERROR(IF(A213="","",VLOOKUP(A213,DATABASE!A:J,10,0)),"")</f>
        <v/>
      </c>
      <c r="D213" s="31">
        <f>IF(A213="","",TODAY())</f>
        <v/>
      </c>
      <c r="E213" s="30" t="n"/>
      <c r="F213" s="30">
        <f>IFERROR(IF(OR(A213="",E213=""),"",C213-E213),"")</f>
        <v/>
      </c>
      <c r="G213" s="26" t="n"/>
      <c r="H213" s="26" t="n"/>
    </row>
    <row r="214">
      <c r="A214" s="37" t="n"/>
      <c r="B214" s="37">
        <f>IFERROR(IF(A214="","",VLOOKUP(A214,DATABASE!A:B,2,0)),"")</f>
        <v/>
      </c>
      <c r="C214" s="38">
        <f>IFERROR(IF(A214="","",VLOOKUP(A214,DATABASE!A:J,10,0)),"")</f>
        <v/>
      </c>
      <c r="D214" s="39">
        <f>IF(A214="","",TODAY())</f>
        <v/>
      </c>
      <c r="E214" s="38" t="n"/>
      <c r="F214" s="38">
        <f>IFERROR(IF(OR(A214="",E214=""),"",C214-E214),"")</f>
        <v/>
      </c>
      <c r="G214" s="37" t="n"/>
      <c r="H214" s="37" t="n"/>
    </row>
    <row r="215">
      <c r="A215" s="26" t="n"/>
      <c r="B215" s="26">
        <f>IFERROR(IF(A215="","",VLOOKUP(A215,DATABASE!A:B,2,0)),"")</f>
        <v/>
      </c>
      <c r="C215" s="30">
        <f>IFERROR(IF(A215="","",VLOOKUP(A215,DATABASE!A:J,10,0)),"")</f>
        <v/>
      </c>
      <c r="D215" s="31">
        <f>IF(A215="","",TODAY())</f>
        <v/>
      </c>
      <c r="E215" s="30" t="n"/>
      <c r="F215" s="30">
        <f>IFERROR(IF(OR(A215="",E215=""),"",C215-E215),"")</f>
        <v/>
      </c>
      <c r="G215" s="26" t="n"/>
      <c r="H215" s="26" t="n"/>
    </row>
    <row r="216">
      <c r="A216" s="37" t="n"/>
      <c r="B216" s="37">
        <f>IFERROR(IF(A216="","",VLOOKUP(A216,DATABASE!A:B,2,0)),"")</f>
        <v/>
      </c>
      <c r="C216" s="38">
        <f>IFERROR(IF(A216="","",VLOOKUP(A216,DATABASE!A:J,10,0)),"")</f>
        <v/>
      </c>
      <c r="D216" s="39">
        <f>IF(A216="","",TODAY())</f>
        <v/>
      </c>
      <c r="E216" s="38" t="n"/>
      <c r="F216" s="38">
        <f>IFERROR(IF(OR(A216="",E216=""),"",C216-E216),"")</f>
        <v/>
      </c>
      <c r="G216" s="37" t="n"/>
      <c r="H216" s="37" t="n"/>
    </row>
    <row r="217">
      <c r="A217" s="26" t="n"/>
      <c r="B217" s="26">
        <f>IFERROR(IF(A217="","",VLOOKUP(A217,DATABASE!A:B,2,0)),"")</f>
        <v/>
      </c>
      <c r="C217" s="30">
        <f>IFERROR(IF(A217="","",VLOOKUP(A217,DATABASE!A:J,10,0)),"")</f>
        <v/>
      </c>
      <c r="D217" s="31">
        <f>IF(A217="","",TODAY())</f>
        <v/>
      </c>
      <c r="E217" s="30" t="n"/>
      <c r="F217" s="30">
        <f>IFERROR(IF(OR(A217="",E217=""),"",C217-E217),"")</f>
        <v/>
      </c>
      <c r="G217" s="26" t="n"/>
      <c r="H217" s="26" t="n"/>
    </row>
    <row r="218">
      <c r="A218" s="37" t="n"/>
      <c r="B218" s="37">
        <f>IFERROR(IF(A218="","",VLOOKUP(A218,DATABASE!A:B,2,0)),"")</f>
        <v/>
      </c>
      <c r="C218" s="38">
        <f>IFERROR(IF(A218="","",VLOOKUP(A218,DATABASE!A:J,10,0)),"")</f>
        <v/>
      </c>
      <c r="D218" s="39">
        <f>IF(A218="","",TODAY())</f>
        <v/>
      </c>
      <c r="E218" s="38" t="n"/>
      <c r="F218" s="38">
        <f>IFERROR(IF(OR(A218="",E218=""),"",C218-E218),"")</f>
        <v/>
      </c>
      <c r="G218" s="37" t="n"/>
      <c r="H218" s="37" t="n"/>
    </row>
    <row r="219">
      <c r="A219" s="26" t="n"/>
      <c r="B219" s="26">
        <f>IFERROR(IF(A219="","",VLOOKUP(A219,DATABASE!A:B,2,0)),"")</f>
        <v/>
      </c>
      <c r="C219" s="30">
        <f>IFERROR(IF(A219="","",VLOOKUP(A219,DATABASE!A:J,10,0)),"")</f>
        <v/>
      </c>
      <c r="D219" s="31">
        <f>IF(A219="","",TODAY())</f>
        <v/>
      </c>
      <c r="E219" s="30" t="n"/>
      <c r="F219" s="30">
        <f>IFERROR(IF(OR(A219="",E219=""),"",C219-E219),"")</f>
        <v/>
      </c>
      <c r="G219" s="26" t="n"/>
      <c r="H219" s="26" t="n"/>
    </row>
    <row r="220">
      <c r="A220" s="37" t="n"/>
      <c r="B220" s="37">
        <f>IFERROR(IF(A220="","",VLOOKUP(A220,DATABASE!A:B,2,0)),"")</f>
        <v/>
      </c>
      <c r="C220" s="38">
        <f>IFERROR(IF(A220="","",VLOOKUP(A220,DATABASE!A:J,10,0)),"")</f>
        <v/>
      </c>
      <c r="D220" s="39">
        <f>IF(A220="","",TODAY())</f>
        <v/>
      </c>
      <c r="E220" s="38" t="n"/>
      <c r="F220" s="38">
        <f>IFERROR(IF(OR(A220="",E220=""),"",C220-E220),"")</f>
        <v/>
      </c>
      <c r="G220" s="37" t="n"/>
      <c r="H220" s="37" t="n"/>
    </row>
    <row r="221">
      <c r="A221" s="26" t="n"/>
      <c r="B221" s="26">
        <f>IFERROR(IF(A221="","",VLOOKUP(A221,DATABASE!A:B,2,0)),"")</f>
        <v/>
      </c>
      <c r="C221" s="30">
        <f>IFERROR(IF(A221="","",VLOOKUP(A221,DATABASE!A:J,10,0)),"")</f>
        <v/>
      </c>
      <c r="D221" s="31">
        <f>IF(A221="","",TODAY())</f>
        <v/>
      </c>
      <c r="E221" s="30" t="n"/>
      <c r="F221" s="30">
        <f>IFERROR(IF(OR(A221="",E221=""),"",C221-E221),"")</f>
        <v/>
      </c>
      <c r="G221" s="26" t="n"/>
      <c r="H221" s="26" t="n"/>
    </row>
    <row r="222">
      <c r="A222" s="37" t="n"/>
      <c r="B222" s="37">
        <f>IFERROR(IF(A222="","",VLOOKUP(A222,DATABASE!A:B,2,0)),"")</f>
        <v/>
      </c>
      <c r="C222" s="38">
        <f>IFERROR(IF(A222="","",VLOOKUP(A222,DATABASE!A:J,10,0)),"")</f>
        <v/>
      </c>
      <c r="D222" s="39">
        <f>IF(A222="","",TODAY())</f>
        <v/>
      </c>
      <c r="E222" s="38" t="n"/>
      <c r="F222" s="38">
        <f>IFERROR(IF(OR(A222="",E222=""),"",C222-E222),"")</f>
        <v/>
      </c>
      <c r="G222" s="37" t="n"/>
      <c r="H222" s="37" t="n"/>
    </row>
    <row r="223">
      <c r="A223" s="26" t="n"/>
      <c r="B223" s="26">
        <f>IFERROR(IF(A223="","",VLOOKUP(A223,DATABASE!A:B,2,0)),"")</f>
        <v/>
      </c>
      <c r="C223" s="30">
        <f>IFERROR(IF(A223="","",VLOOKUP(A223,DATABASE!A:J,10,0)),"")</f>
        <v/>
      </c>
      <c r="D223" s="31">
        <f>IF(A223="","",TODAY())</f>
        <v/>
      </c>
      <c r="E223" s="30" t="n"/>
      <c r="F223" s="30">
        <f>IFERROR(IF(OR(A223="",E223=""),"",C223-E223),"")</f>
        <v/>
      </c>
      <c r="G223" s="26" t="n"/>
      <c r="H223" s="26" t="n"/>
    </row>
    <row r="224">
      <c r="A224" s="37" t="n"/>
      <c r="B224" s="37">
        <f>IFERROR(IF(A224="","",VLOOKUP(A224,DATABASE!A:B,2,0)),"")</f>
        <v/>
      </c>
      <c r="C224" s="38">
        <f>IFERROR(IF(A224="","",VLOOKUP(A224,DATABASE!A:J,10,0)),"")</f>
        <v/>
      </c>
      <c r="D224" s="39">
        <f>IF(A224="","",TODAY())</f>
        <v/>
      </c>
      <c r="E224" s="38" t="n"/>
      <c r="F224" s="38">
        <f>IFERROR(IF(OR(A224="",E224=""),"",C224-E224),"")</f>
        <v/>
      </c>
      <c r="G224" s="37" t="n"/>
      <c r="H224" s="37" t="n"/>
    </row>
    <row r="225">
      <c r="A225" s="26" t="n"/>
      <c r="B225" s="26">
        <f>IFERROR(IF(A225="","",VLOOKUP(A225,DATABASE!A:B,2,0)),"")</f>
        <v/>
      </c>
      <c r="C225" s="30">
        <f>IFERROR(IF(A225="","",VLOOKUP(A225,DATABASE!A:J,10,0)),"")</f>
        <v/>
      </c>
      <c r="D225" s="31">
        <f>IF(A225="","",TODAY())</f>
        <v/>
      </c>
      <c r="E225" s="30" t="n"/>
      <c r="F225" s="30">
        <f>IFERROR(IF(OR(A225="",E225=""),"",C225-E225),"")</f>
        <v/>
      </c>
      <c r="G225" s="26" t="n"/>
      <c r="H225" s="26" t="n"/>
    </row>
    <row r="226">
      <c r="A226" s="37" t="n"/>
      <c r="B226" s="37">
        <f>IFERROR(IF(A226="","",VLOOKUP(A226,DATABASE!A:B,2,0)),"")</f>
        <v/>
      </c>
      <c r="C226" s="38">
        <f>IFERROR(IF(A226="","",VLOOKUP(A226,DATABASE!A:J,10,0)),"")</f>
        <v/>
      </c>
      <c r="D226" s="39">
        <f>IF(A226="","",TODAY())</f>
        <v/>
      </c>
      <c r="E226" s="38" t="n"/>
      <c r="F226" s="38">
        <f>IFERROR(IF(OR(A226="",E226=""),"",C226-E226),"")</f>
        <v/>
      </c>
      <c r="G226" s="37" t="n"/>
      <c r="H226" s="37" t="n"/>
    </row>
    <row r="227">
      <c r="A227" s="26" t="n"/>
      <c r="B227" s="26">
        <f>IFERROR(IF(A227="","",VLOOKUP(A227,DATABASE!A:B,2,0)),"")</f>
        <v/>
      </c>
      <c r="C227" s="30">
        <f>IFERROR(IF(A227="","",VLOOKUP(A227,DATABASE!A:J,10,0)),"")</f>
        <v/>
      </c>
      <c r="D227" s="31">
        <f>IF(A227="","",TODAY())</f>
        <v/>
      </c>
      <c r="E227" s="30" t="n"/>
      <c r="F227" s="30">
        <f>IFERROR(IF(OR(A227="",E227=""),"",C227-E227),"")</f>
        <v/>
      </c>
      <c r="G227" s="26" t="n"/>
      <c r="H227" s="26" t="n"/>
    </row>
    <row r="228">
      <c r="A228" s="37" t="n"/>
      <c r="B228" s="37">
        <f>IFERROR(IF(A228="","",VLOOKUP(A228,DATABASE!A:B,2,0)),"")</f>
        <v/>
      </c>
      <c r="C228" s="38">
        <f>IFERROR(IF(A228="","",VLOOKUP(A228,DATABASE!A:J,10,0)),"")</f>
        <v/>
      </c>
      <c r="D228" s="39">
        <f>IF(A228="","",TODAY())</f>
        <v/>
      </c>
      <c r="E228" s="38" t="n"/>
      <c r="F228" s="38">
        <f>IFERROR(IF(OR(A228="",E228=""),"",C228-E228),"")</f>
        <v/>
      </c>
      <c r="G228" s="37" t="n"/>
      <c r="H228" s="37" t="n"/>
    </row>
    <row r="229">
      <c r="A229" s="26" t="n"/>
      <c r="B229" s="26">
        <f>IFERROR(IF(A229="","",VLOOKUP(A229,DATABASE!A:B,2,0)),"")</f>
        <v/>
      </c>
      <c r="C229" s="30">
        <f>IFERROR(IF(A229="","",VLOOKUP(A229,DATABASE!A:J,10,0)),"")</f>
        <v/>
      </c>
      <c r="D229" s="31">
        <f>IF(A229="","",TODAY())</f>
        <v/>
      </c>
      <c r="E229" s="30" t="n"/>
      <c r="F229" s="30">
        <f>IFERROR(IF(OR(A229="",E229=""),"",C229-E229),"")</f>
        <v/>
      </c>
      <c r="G229" s="26" t="n"/>
      <c r="H229" s="26" t="n"/>
    </row>
    <row r="230">
      <c r="A230" s="37" t="n"/>
      <c r="B230" s="37">
        <f>IFERROR(IF(A230="","",VLOOKUP(A230,DATABASE!A:B,2,0)),"")</f>
        <v/>
      </c>
      <c r="C230" s="38">
        <f>IFERROR(IF(A230="","",VLOOKUP(A230,DATABASE!A:J,10,0)),"")</f>
        <v/>
      </c>
      <c r="D230" s="39">
        <f>IF(A230="","",TODAY())</f>
        <v/>
      </c>
      <c r="E230" s="38" t="n"/>
      <c r="F230" s="38">
        <f>IFERROR(IF(OR(A230="",E230=""),"",C230-E230),"")</f>
        <v/>
      </c>
      <c r="G230" s="37" t="n"/>
      <c r="H230" s="37" t="n"/>
    </row>
    <row r="231">
      <c r="A231" s="26" t="n"/>
      <c r="B231" s="26">
        <f>IFERROR(IF(A231="","",VLOOKUP(A231,DATABASE!A:B,2,0)),"")</f>
        <v/>
      </c>
      <c r="C231" s="30">
        <f>IFERROR(IF(A231="","",VLOOKUP(A231,DATABASE!A:J,10,0)),"")</f>
        <v/>
      </c>
      <c r="D231" s="31">
        <f>IF(A231="","",TODAY())</f>
        <v/>
      </c>
      <c r="E231" s="30" t="n"/>
      <c r="F231" s="30">
        <f>IFERROR(IF(OR(A231="",E231=""),"",C231-E231),"")</f>
        <v/>
      </c>
      <c r="G231" s="26" t="n"/>
      <c r="H231" s="26" t="n"/>
    </row>
    <row r="232">
      <c r="A232" s="37" t="n"/>
      <c r="B232" s="37">
        <f>IFERROR(IF(A232="","",VLOOKUP(A232,DATABASE!A:B,2,0)),"")</f>
        <v/>
      </c>
      <c r="C232" s="38">
        <f>IFERROR(IF(A232="","",VLOOKUP(A232,DATABASE!A:J,10,0)),"")</f>
        <v/>
      </c>
      <c r="D232" s="39">
        <f>IF(A232="","",TODAY())</f>
        <v/>
      </c>
      <c r="E232" s="38" t="n"/>
      <c r="F232" s="38">
        <f>IFERROR(IF(OR(A232="",E232=""),"",C232-E232),"")</f>
        <v/>
      </c>
      <c r="G232" s="37" t="n"/>
      <c r="H232" s="37" t="n"/>
    </row>
    <row r="233">
      <c r="A233" s="26" t="n"/>
      <c r="B233" s="26">
        <f>IFERROR(IF(A233="","",VLOOKUP(A233,DATABASE!A:B,2,0)),"")</f>
        <v/>
      </c>
      <c r="C233" s="30">
        <f>IFERROR(IF(A233="","",VLOOKUP(A233,DATABASE!A:J,10,0)),"")</f>
        <v/>
      </c>
      <c r="D233" s="31">
        <f>IF(A233="","",TODAY())</f>
        <v/>
      </c>
      <c r="E233" s="30" t="n"/>
      <c r="F233" s="30">
        <f>IFERROR(IF(OR(A233="",E233=""),"",C233-E233),"")</f>
        <v/>
      </c>
      <c r="G233" s="26" t="n"/>
      <c r="H233" s="26" t="n"/>
    </row>
    <row r="234">
      <c r="A234" s="37" t="n"/>
      <c r="B234" s="37">
        <f>IFERROR(IF(A234="","",VLOOKUP(A234,DATABASE!A:B,2,0)),"")</f>
        <v/>
      </c>
      <c r="C234" s="38">
        <f>IFERROR(IF(A234="","",VLOOKUP(A234,DATABASE!A:J,10,0)),"")</f>
        <v/>
      </c>
      <c r="D234" s="39">
        <f>IF(A234="","",TODAY())</f>
        <v/>
      </c>
      <c r="E234" s="38" t="n"/>
      <c r="F234" s="38">
        <f>IFERROR(IF(OR(A234="",E234=""),"",C234-E234),"")</f>
        <v/>
      </c>
      <c r="G234" s="37" t="n"/>
      <c r="H234" s="37" t="n"/>
    </row>
    <row r="235">
      <c r="A235" s="26" t="n"/>
      <c r="B235" s="26">
        <f>IFERROR(IF(A235="","",VLOOKUP(A235,DATABASE!A:B,2,0)),"")</f>
        <v/>
      </c>
      <c r="C235" s="30">
        <f>IFERROR(IF(A235="","",VLOOKUP(A235,DATABASE!A:J,10,0)),"")</f>
        <v/>
      </c>
      <c r="D235" s="31">
        <f>IF(A235="","",TODAY())</f>
        <v/>
      </c>
      <c r="E235" s="30" t="n"/>
      <c r="F235" s="30">
        <f>IFERROR(IF(OR(A235="",E235=""),"",C235-E235),"")</f>
        <v/>
      </c>
      <c r="G235" s="26" t="n"/>
      <c r="H235" s="26" t="n"/>
    </row>
    <row r="236">
      <c r="A236" s="37" t="n"/>
      <c r="B236" s="37">
        <f>IFERROR(IF(A236="","",VLOOKUP(A236,DATABASE!A:B,2,0)),"")</f>
        <v/>
      </c>
      <c r="C236" s="38">
        <f>IFERROR(IF(A236="","",VLOOKUP(A236,DATABASE!A:J,10,0)),"")</f>
        <v/>
      </c>
      <c r="D236" s="39">
        <f>IF(A236="","",TODAY())</f>
        <v/>
      </c>
      <c r="E236" s="38" t="n"/>
      <c r="F236" s="38">
        <f>IFERROR(IF(OR(A236="",E236=""),"",C236-E236),"")</f>
        <v/>
      </c>
      <c r="G236" s="37" t="n"/>
      <c r="H236" s="37" t="n"/>
    </row>
    <row r="237">
      <c r="A237" s="26" t="n"/>
      <c r="B237" s="26">
        <f>IFERROR(IF(A237="","",VLOOKUP(A237,DATABASE!A:B,2,0)),"")</f>
        <v/>
      </c>
      <c r="C237" s="30">
        <f>IFERROR(IF(A237="","",VLOOKUP(A237,DATABASE!A:J,10,0)),"")</f>
        <v/>
      </c>
      <c r="D237" s="31">
        <f>IF(A237="","",TODAY())</f>
        <v/>
      </c>
      <c r="E237" s="30" t="n"/>
      <c r="F237" s="30">
        <f>IFERROR(IF(OR(A237="",E237=""),"",C237-E237),"")</f>
        <v/>
      </c>
      <c r="G237" s="26" t="n"/>
      <c r="H237" s="26" t="n"/>
    </row>
    <row r="238">
      <c r="A238" s="37" t="n"/>
      <c r="B238" s="37">
        <f>IFERROR(IF(A238="","",VLOOKUP(A238,DATABASE!A:B,2,0)),"")</f>
        <v/>
      </c>
      <c r="C238" s="38">
        <f>IFERROR(IF(A238="","",VLOOKUP(A238,DATABASE!A:J,10,0)),"")</f>
        <v/>
      </c>
      <c r="D238" s="39">
        <f>IF(A238="","",TODAY())</f>
        <v/>
      </c>
      <c r="E238" s="38" t="n"/>
      <c r="F238" s="38">
        <f>IFERROR(IF(OR(A238="",E238=""),"",C238-E238),"")</f>
        <v/>
      </c>
      <c r="G238" s="37" t="n"/>
      <c r="H238" s="37" t="n"/>
    </row>
    <row r="239">
      <c r="A239" s="26" t="n"/>
      <c r="B239" s="26">
        <f>IFERROR(IF(A239="","",VLOOKUP(A239,DATABASE!A:B,2,0)),"")</f>
        <v/>
      </c>
      <c r="C239" s="30">
        <f>IFERROR(IF(A239="","",VLOOKUP(A239,DATABASE!A:J,10,0)),"")</f>
        <v/>
      </c>
      <c r="D239" s="31">
        <f>IF(A239="","",TODAY())</f>
        <v/>
      </c>
      <c r="E239" s="30" t="n"/>
      <c r="F239" s="30">
        <f>IFERROR(IF(OR(A239="",E239=""),"",C239-E239),"")</f>
        <v/>
      </c>
      <c r="G239" s="26" t="n"/>
      <c r="H239" s="26" t="n"/>
    </row>
    <row r="240">
      <c r="A240" s="37" t="n"/>
      <c r="B240" s="37">
        <f>IFERROR(IF(A240="","",VLOOKUP(A240,DATABASE!A:B,2,0)),"")</f>
        <v/>
      </c>
      <c r="C240" s="38">
        <f>IFERROR(IF(A240="","",VLOOKUP(A240,DATABASE!A:J,10,0)),"")</f>
        <v/>
      </c>
      <c r="D240" s="39">
        <f>IF(A240="","",TODAY())</f>
        <v/>
      </c>
      <c r="E240" s="38" t="n"/>
      <c r="F240" s="38">
        <f>IFERROR(IF(OR(A240="",E240=""),"",C240-E240),"")</f>
        <v/>
      </c>
      <c r="G240" s="37" t="n"/>
      <c r="H240" s="37" t="n"/>
    </row>
    <row r="241">
      <c r="A241" s="26" t="n"/>
      <c r="B241" s="26">
        <f>IFERROR(IF(A241="","",VLOOKUP(A241,DATABASE!A:B,2,0)),"")</f>
        <v/>
      </c>
      <c r="C241" s="30">
        <f>IFERROR(IF(A241="","",VLOOKUP(A241,DATABASE!A:J,10,0)),"")</f>
        <v/>
      </c>
      <c r="D241" s="31">
        <f>IF(A241="","",TODAY())</f>
        <v/>
      </c>
      <c r="E241" s="30" t="n"/>
      <c r="F241" s="30">
        <f>IFERROR(IF(OR(A241="",E241=""),"",C241-E241),"")</f>
        <v/>
      </c>
      <c r="G241" s="26" t="n"/>
      <c r="H241" s="26" t="n"/>
    </row>
    <row r="242">
      <c r="A242" s="37" t="n"/>
      <c r="B242" s="37">
        <f>IFERROR(IF(A242="","",VLOOKUP(A242,DATABASE!A:B,2,0)),"")</f>
        <v/>
      </c>
      <c r="C242" s="38">
        <f>IFERROR(IF(A242="","",VLOOKUP(A242,DATABASE!A:J,10,0)),"")</f>
        <v/>
      </c>
      <c r="D242" s="39">
        <f>IF(A242="","",TODAY())</f>
        <v/>
      </c>
      <c r="E242" s="38" t="n"/>
      <c r="F242" s="38">
        <f>IFERROR(IF(OR(A242="",E242=""),"",C242-E242),"")</f>
        <v/>
      </c>
      <c r="G242" s="37" t="n"/>
      <c r="H242" s="37" t="n"/>
    </row>
    <row r="243">
      <c r="A243" s="26" t="n"/>
      <c r="B243" s="26">
        <f>IFERROR(IF(A243="","",VLOOKUP(A243,DATABASE!A:B,2,0)),"")</f>
        <v/>
      </c>
      <c r="C243" s="30">
        <f>IFERROR(IF(A243="","",VLOOKUP(A243,DATABASE!A:J,10,0)),"")</f>
        <v/>
      </c>
      <c r="D243" s="31">
        <f>IF(A243="","",TODAY())</f>
        <v/>
      </c>
      <c r="E243" s="30" t="n"/>
      <c r="F243" s="30">
        <f>IFERROR(IF(OR(A243="",E243=""),"",C243-E243),"")</f>
        <v/>
      </c>
      <c r="G243" s="26" t="n"/>
      <c r="H243" s="26" t="n"/>
    </row>
    <row r="244">
      <c r="A244" s="37" t="n"/>
      <c r="B244" s="37">
        <f>IFERROR(IF(A244="","",VLOOKUP(A244,DATABASE!A:B,2,0)),"")</f>
        <v/>
      </c>
      <c r="C244" s="38">
        <f>IFERROR(IF(A244="","",VLOOKUP(A244,DATABASE!A:J,10,0)),"")</f>
        <v/>
      </c>
      <c r="D244" s="39">
        <f>IF(A244="","",TODAY())</f>
        <v/>
      </c>
      <c r="E244" s="38" t="n"/>
      <c r="F244" s="38">
        <f>IFERROR(IF(OR(A244="",E244=""),"",C244-E244),"")</f>
        <v/>
      </c>
      <c r="G244" s="37" t="n"/>
      <c r="H244" s="37" t="n"/>
    </row>
    <row r="245">
      <c r="A245" s="26" t="n"/>
      <c r="B245" s="26">
        <f>IFERROR(IF(A245="","",VLOOKUP(A245,DATABASE!A:B,2,0)),"")</f>
        <v/>
      </c>
      <c r="C245" s="30">
        <f>IFERROR(IF(A245="","",VLOOKUP(A245,DATABASE!A:J,10,0)),"")</f>
        <v/>
      </c>
      <c r="D245" s="31">
        <f>IF(A245="","",TODAY())</f>
        <v/>
      </c>
      <c r="E245" s="30" t="n"/>
      <c r="F245" s="30">
        <f>IFERROR(IF(OR(A245="",E245=""),"",C245-E245),"")</f>
        <v/>
      </c>
      <c r="G245" s="26" t="n"/>
      <c r="H245" s="26" t="n"/>
    </row>
    <row r="246">
      <c r="A246" s="37" t="n"/>
      <c r="B246" s="37">
        <f>IFERROR(IF(A246="","",VLOOKUP(A246,DATABASE!A:B,2,0)),"")</f>
        <v/>
      </c>
      <c r="C246" s="38">
        <f>IFERROR(IF(A246="","",VLOOKUP(A246,DATABASE!A:J,10,0)),"")</f>
        <v/>
      </c>
      <c r="D246" s="39">
        <f>IF(A246="","",TODAY())</f>
        <v/>
      </c>
      <c r="E246" s="38" t="n"/>
      <c r="F246" s="38">
        <f>IFERROR(IF(OR(A246="",E246=""),"",C246-E246),"")</f>
        <v/>
      </c>
      <c r="G246" s="37" t="n"/>
      <c r="H246" s="37" t="n"/>
    </row>
    <row r="247">
      <c r="A247" s="26" t="n"/>
      <c r="B247" s="26">
        <f>IFERROR(IF(A247="","",VLOOKUP(A247,DATABASE!A:B,2,0)),"")</f>
        <v/>
      </c>
      <c r="C247" s="30">
        <f>IFERROR(IF(A247="","",VLOOKUP(A247,DATABASE!A:J,10,0)),"")</f>
        <v/>
      </c>
      <c r="D247" s="31">
        <f>IF(A247="","",TODAY())</f>
        <v/>
      </c>
      <c r="E247" s="30" t="n"/>
      <c r="F247" s="30">
        <f>IFERROR(IF(OR(A247="",E247=""),"",C247-E247),"")</f>
        <v/>
      </c>
      <c r="G247" s="26" t="n"/>
      <c r="H247" s="26" t="n"/>
    </row>
    <row r="248">
      <c r="A248" s="37" t="n"/>
      <c r="B248" s="37">
        <f>IFERROR(IF(A248="","",VLOOKUP(A248,DATABASE!A:B,2,0)),"")</f>
        <v/>
      </c>
      <c r="C248" s="38">
        <f>IFERROR(IF(A248="","",VLOOKUP(A248,DATABASE!A:J,10,0)),"")</f>
        <v/>
      </c>
      <c r="D248" s="39">
        <f>IF(A248="","",TODAY())</f>
        <v/>
      </c>
      <c r="E248" s="38" t="n"/>
      <c r="F248" s="38">
        <f>IFERROR(IF(OR(A248="",E248=""),"",C248-E248),"")</f>
        <v/>
      </c>
      <c r="G248" s="37" t="n"/>
      <c r="H248" s="37" t="n"/>
    </row>
    <row r="249">
      <c r="A249" s="26" t="n"/>
      <c r="B249" s="26">
        <f>IFERROR(IF(A249="","",VLOOKUP(A249,DATABASE!A:B,2,0)),"")</f>
        <v/>
      </c>
      <c r="C249" s="30">
        <f>IFERROR(IF(A249="","",VLOOKUP(A249,DATABASE!A:J,10,0)),"")</f>
        <v/>
      </c>
      <c r="D249" s="31">
        <f>IF(A249="","",TODAY())</f>
        <v/>
      </c>
      <c r="E249" s="30" t="n"/>
      <c r="F249" s="30">
        <f>IFERROR(IF(OR(A249="",E249=""),"",C249-E249),"")</f>
        <v/>
      </c>
      <c r="G249" s="26" t="n"/>
      <c r="H249" s="26" t="n"/>
    </row>
    <row r="250">
      <c r="A250" s="37" t="n"/>
      <c r="B250" s="37">
        <f>IFERROR(IF(A250="","",VLOOKUP(A250,DATABASE!A:B,2,0)),"")</f>
        <v/>
      </c>
      <c r="C250" s="38">
        <f>IFERROR(IF(A250="","",VLOOKUP(A250,DATABASE!A:J,10,0)),"")</f>
        <v/>
      </c>
      <c r="D250" s="39">
        <f>IF(A250="","",TODAY())</f>
        <v/>
      </c>
      <c r="E250" s="38" t="n"/>
      <c r="F250" s="38">
        <f>IFERROR(IF(OR(A250="",E250=""),"",C250-E250),"")</f>
        <v/>
      </c>
      <c r="G250" s="37" t="n"/>
      <c r="H250" s="37" t="n"/>
    </row>
    <row r="251">
      <c r="A251" s="26" t="n"/>
      <c r="B251" s="26">
        <f>IFERROR(IF(A251="","",VLOOKUP(A251,DATABASE!A:B,2,0)),"")</f>
        <v/>
      </c>
      <c r="C251" s="30">
        <f>IFERROR(IF(A251="","",VLOOKUP(A251,DATABASE!A:J,10,0)),"")</f>
        <v/>
      </c>
      <c r="D251" s="31">
        <f>IF(A251="","",TODAY())</f>
        <v/>
      </c>
      <c r="E251" s="30" t="n"/>
      <c r="F251" s="30">
        <f>IFERROR(IF(OR(A251="",E251=""),"",C251-E251),"")</f>
        <v/>
      </c>
      <c r="G251" s="26" t="n"/>
      <c r="H251" s="26" t="n"/>
    </row>
    <row r="252">
      <c r="A252" s="37" t="n"/>
      <c r="B252" s="37">
        <f>IFERROR(IF(A252="","",VLOOKUP(A252,DATABASE!A:B,2,0)),"")</f>
        <v/>
      </c>
      <c r="C252" s="38">
        <f>IFERROR(IF(A252="","",VLOOKUP(A252,DATABASE!A:J,10,0)),"")</f>
        <v/>
      </c>
      <c r="D252" s="39">
        <f>IF(A252="","",TODAY())</f>
        <v/>
      </c>
      <c r="E252" s="38" t="n"/>
      <c r="F252" s="38">
        <f>IFERROR(IF(OR(A252="",E252=""),"",C252-E252),"")</f>
        <v/>
      </c>
      <c r="G252" s="37" t="n"/>
      <c r="H252" s="37" t="n"/>
    </row>
    <row r="253">
      <c r="A253" s="26" t="n"/>
      <c r="B253" s="26">
        <f>IFERROR(IF(A253="","",VLOOKUP(A253,DATABASE!A:B,2,0)),"")</f>
        <v/>
      </c>
      <c r="C253" s="30">
        <f>IFERROR(IF(A253="","",VLOOKUP(A253,DATABASE!A:J,10,0)),"")</f>
        <v/>
      </c>
      <c r="D253" s="31">
        <f>IF(A253="","",TODAY())</f>
        <v/>
      </c>
      <c r="E253" s="30" t="n"/>
      <c r="F253" s="30">
        <f>IFERROR(IF(OR(A253="",E253=""),"",C253-E253),"")</f>
        <v/>
      </c>
      <c r="G253" s="26" t="n"/>
      <c r="H253" s="26" t="n"/>
    </row>
    <row r="254">
      <c r="A254" s="37" t="n"/>
      <c r="B254" s="37">
        <f>IFERROR(IF(A254="","",VLOOKUP(A254,DATABASE!A:B,2,0)),"")</f>
        <v/>
      </c>
      <c r="C254" s="38">
        <f>IFERROR(IF(A254="","",VLOOKUP(A254,DATABASE!A:J,10,0)),"")</f>
        <v/>
      </c>
      <c r="D254" s="39">
        <f>IF(A254="","",TODAY())</f>
        <v/>
      </c>
      <c r="E254" s="38" t="n"/>
      <c r="F254" s="38">
        <f>IFERROR(IF(OR(A254="",E254=""),"",C254-E254),"")</f>
        <v/>
      </c>
      <c r="G254" s="37" t="n"/>
      <c r="H254" s="37" t="n"/>
    </row>
    <row r="255">
      <c r="A255" s="26" t="n"/>
      <c r="B255" s="26">
        <f>IFERROR(IF(A255="","",VLOOKUP(A255,DATABASE!A:B,2,0)),"")</f>
        <v/>
      </c>
      <c r="C255" s="30">
        <f>IFERROR(IF(A255="","",VLOOKUP(A255,DATABASE!A:J,10,0)),"")</f>
        <v/>
      </c>
      <c r="D255" s="31">
        <f>IF(A255="","",TODAY())</f>
        <v/>
      </c>
      <c r="E255" s="30" t="n"/>
      <c r="F255" s="30">
        <f>IFERROR(IF(OR(A255="",E255=""),"",C255-E255),"")</f>
        <v/>
      </c>
      <c r="G255" s="26" t="n"/>
      <c r="H255" s="26" t="n"/>
    </row>
    <row r="256">
      <c r="A256" s="37" t="n"/>
      <c r="B256" s="37">
        <f>IFERROR(IF(A256="","",VLOOKUP(A256,DATABASE!A:B,2,0)),"")</f>
        <v/>
      </c>
      <c r="C256" s="38">
        <f>IFERROR(IF(A256="","",VLOOKUP(A256,DATABASE!A:J,10,0)),"")</f>
        <v/>
      </c>
      <c r="D256" s="39">
        <f>IF(A256="","",TODAY())</f>
        <v/>
      </c>
      <c r="E256" s="38" t="n"/>
      <c r="F256" s="38">
        <f>IFERROR(IF(OR(A256="",E256=""),"",C256-E256),"")</f>
        <v/>
      </c>
      <c r="G256" s="37" t="n"/>
      <c r="H256" s="37" t="n"/>
    </row>
    <row r="257">
      <c r="A257" s="26" t="n"/>
      <c r="B257" s="26">
        <f>IFERROR(IF(A257="","",VLOOKUP(A257,DATABASE!A:B,2,0)),"")</f>
        <v/>
      </c>
      <c r="C257" s="30">
        <f>IFERROR(IF(A257="","",VLOOKUP(A257,DATABASE!A:J,10,0)),"")</f>
        <v/>
      </c>
      <c r="D257" s="31">
        <f>IF(A257="","",TODAY())</f>
        <v/>
      </c>
      <c r="E257" s="30" t="n"/>
      <c r="F257" s="30">
        <f>IFERROR(IF(OR(A257="",E257=""),"",C257-E257),"")</f>
        <v/>
      </c>
      <c r="G257" s="26" t="n"/>
      <c r="H257" s="26" t="n"/>
    </row>
    <row r="258">
      <c r="A258" s="37" t="n"/>
      <c r="B258" s="37">
        <f>IFERROR(IF(A258="","",VLOOKUP(A258,DATABASE!A:B,2,0)),"")</f>
        <v/>
      </c>
      <c r="C258" s="38">
        <f>IFERROR(IF(A258="","",VLOOKUP(A258,DATABASE!A:J,10,0)),"")</f>
        <v/>
      </c>
      <c r="D258" s="39">
        <f>IF(A258="","",TODAY())</f>
        <v/>
      </c>
      <c r="E258" s="38" t="n"/>
      <c r="F258" s="38">
        <f>IFERROR(IF(OR(A258="",E258=""),"",C258-E258),"")</f>
        <v/>
      </c>
      <c r="G258" s="37" t="n"/>
      <c r="H258" s="37" t="n"/>
    </row>
    <row r="259">
      <c r="A259" s="26" t="n"/>
      <c r="B259" s="26">
        <f>IFERROR(IF(A259="","",VLOOKUP(A259,DATABASE!A:B,2,0)),"")</f>
        <v/>
      </c>
      <c r="C259" s="30">
        <f>IFERROR(IF(A259="","",VLOOKUP(A259,DATABASE!A:J,10,0)),"")</f>
        <v/>
      </c>
      <c r="D259" s="31">
        <f>IF(A259="","",TODAY())</f>
        <v/>
      </c>
      <c r="E259" s="30" t="n"/>
      <c r="F259" s="30">
        <f>IFERROR(IF(OR(A259="",E259=""),"",C259-E259),"")</f>
        <v/>
      </c>
      <c r="G259" s="26" t="n"/>
      <c r="H259" s="26" t="n"/>
    </row>
    <row r="260">
      <c r="A260" s="37" t="n"/>
      <c r="B260" s="37">
        <f>IFERROR(IF(A260="","",VLOOKUP(A260,DATABASE!A:B,2,0)),"")</f>
        <v/>
      </c>
      <c r="C260" s="38">
        <f>IFERROR(IF(A260="","",VLOOKUP(A260,DATABASE!A:J,10,0)),"")</f>
        <v/>
      </c>
      <c r="D260" s="39">
        <f>IF(A260="","",TODAY())</f>
        <v/>
      </c>
      <c r="E260" s="38" t="n"/>
      <c r="F260" s="38">
        <f>IFERROR(IF(OR(A260="",E260=""),"",C260-E260),"")</f>
        <v/>
      </c>
      <c r="G260" s="37" t="n"/>
      <c r="H260" s="37" t="n"/>
    </row>
    <row r="261">
      <c r="A261" s="26" t="n"/>
      <c r="B261" s="26">
        <f>IFERROR(IF(A261="","",VLOOKUP(A261,DATABASE!A:B,2,0)),"")</f>
        <v/>
      </c>
      <c r="C261" s="30">
        <f>IFERROR(IF(A261="","",VLOOKUP(A261,DATABASE!A:J,10,0)),"")</f>
        <v/>
      </c>
      <c r="D261" s="31">
        <f>IF(A261="","",TODAY())</f>
        <v/>
      </c>
      <c r="E261" s="30" t="n"/>
      <c r="F261" s="30">
        <f>IFERROR(IF(OR(A261="",E261=""),"",C261-E261),"")</f>
        <v/>
      </c>
      <c r="G261" s="26" t="n"/>
      <c r="H261" s="26" t="n"/>
    </row>
    <row r="262">
      <c r="A262" s="37" t="n"/>
      <c r="B262" s="37">
        <f>IFERROR(IF(A262="","",VLOOKUP(A262,DATABASE!A:B,2,0)),"")</f>
        <v/>
      </c>
      <c r="C262" s="38">
        <f>IFERROR(IF(A262="","",VLOOKUP(A262,DATABASE!A:J,10,0)),"")</f>
        <v/>
      </c>
      <c r="D262" s="39">
        <f>IF(A262="","",TODAY())</f>
        <v/>
      </c>
      <c r="E262" s="38" t="n"/>
      <c r="F262" s="38">
        <f>IFERROR(IF(OR(A262="",E262=""),"",C262-E262),"")</f>
        <v/>
      </c>
      <c r="G262" s="37" t="n"/>
      <c r="H262" s="37" t="n"/>
    </row>
    <row r="263">
      <c r="A263" s="26" t="n"/>
      <c r="B263" s="26">
        <f>IFERROR(IF(A263="","",VLOOKUP(A263,DATABASE!A:B,2,0)),"")</f>
        <v/>
      </c>
      <c r="C263" s="30">
        <f>IFERROR(IF(A263="","",VLOOKUP(A263,DATABASE!A:J,10,0)),"")</f>
        <v/>
      </c>
      <c r="D263" s="31">
        <f>IF(A263="","",TODAY())</f>
        <v/>
      </c>
      <c r="E263" s="30" t="n"/>
      <c r="F263" s="30">
        <f>IFERROR(IF(OR(A263="",E263=""),"",C263-E263),"")</f>
        <v/>
      </c>
      <c r="G263" s="26" t="n"/>
      <c r="H263" s="26" t="n"/>
    </row>
    <row r="264">
      <c r="A264" s="37" t="n"/>
      <c r="B264" s="37">
        <f>IFERROR(IF(A264="","",VLOOKUP(A264,DATABASE!A:B,2,0)),"")</f>
        <v/>
      </c>
      <c r="C264" s="38">
        <f>IFERROR(IF(A264="","",VLOOKUP(A264,DATABASE!A:J,10,0)),"")</f>
        <v/>
      </c>
      <c r="D264" s="39">
        <f>IF(A264="","",TODAY())</f>
        <v/>
      </c>
      <c r="E264" s="38" t="n"/>
      <c r="F264" s="38">
        <f>IFERROR(IF(OR(A264="",E264=""),"",C264-E264),"")</f>
        <v/>
      </c>
      <c r="G264" s="37" t="n"/>
      <c r="H264" s="37" t="n"/>
    </row>
    <row r="265">
      <c r="A265" s="26" t="n"/>
      <c r="B265" s="26">
        <f>IFERROR(IF(A265="","",VLOOKUP(A265,DATABASE!A:B,2,0)),"")</f>
        <v/>
      </c>
      <c r="C265" s="30">
        <f>IFERROR(IF(A265="","",VLOOKUP(A265,DATABASE!A:J,10,0)),"")</f>
        <v/>
      </c>
      <c r="D265" s="31">
        <f>IF(A265="","",TODAY())</f>
        <v/>
      </c>
      <c r="E265" s="30" t="n"/>
      <c r="F265" s="30">
        <f>IFERROR(IF(OR(A265="",E265=""),"",C265-E265),"")</f>
        <v/>
      </c>
      <c r="G265" s="26" t="n"/>
      <c r="H265" s="26" t="n"/>
    </row>
    <row r="266">
      <c r="A266" s="37" t="n"/>
      <c r="B266" s="37">
        <f>IFERROR(IF(A266="","",VLOOKUP(A266,DATABASE!A:B,2,0)),"")</f>
        <v/>
      </c>
      <c r="C266" s="38">
        <f>IFERROR(IF(A266="","",VLOOKUP(A266,DATABASE!A:J,10,0)),"")</f>
        <v/>
      </c>
      <c r="D266" s="39">
        <f>IF(A266="","",TODAY())</f>
        <v/>
      </c>
      <c r="E266" s="38" t="n"/>
      <c r="F266" s="38">
        <f>IFERROR(IF(OR(A266="",E266=""),"",C266-E266),"")</f>
        <v/>
      </c>
      <c r="G266" s="37" t="n"/>
      <c r="H266" s="37" t="n"/>
    </row>
    <row r="267">
      <c r="A267" s="26" t="n"/>
      <c r="B267" s="26">
        <f>IFERROR(IF(A267="","",VLOOKUP(A267,DATABASE!A:B,2,0)),"")</f>
        <v/>
      </c>
      <c r="C267" s="30">
        <f>IFERROR(IF(A267="","",VLOOKUP(A267,DATABASE!A:J,10,0)),"")</f>
        <v/>
      </c>
      <c r="D267" s="31">
        <f>IF(A267="","",TODAY())</f>
        <v/>
      </c>
      <c r="E267" s="30" t="n"/>
      <c r="F267" s="30">
        <f>IFERROR(IF(OR(A267="",E267=""),"",C267-E267),"")</f>
        <v/>
      </c>
      <c r="G267" s="26" t="n"/>
      <c r="H267" s="26" t="n"/>
    </row>
    <row r="268">
      <c r="A268" s="37" t="n"/>
      <c r="B268" s="37">
        <f>IFERROR(IF(A268="","",VLOOKUP(A268,DATABASE!A:B,2,0)),"")</f>
        <v/>
      </c>
      <c r="C268" s="38">
        <f>IFERROR(IF(A268="","",VLOOKUP(A268,DATABASE!A:J,10,0)),"")</f>
        <v/>
      </c>
      <c r="D268" s="39">
        <f>IF(A268="","",TODAY())</f>
        <v/>
      </c>
      <c r="E268" s="38" t="n"/>
      <c r="F268" s="38">
        <f>IFERROR(IF(OR(A268="",E268=""),"",C268-E268),"")</f>
        <v/>
      </c>
      <c r="G268" s="37" t="n"/>
      <c r="H268" s="37" t="n"/>
    </row>
    <row r="269">
      <c r="A269" s="26" t="n"/>
      <c r="B269" s="26">
        <f>IFERROR(IF(A269="","",VLOOKUP(A269,DATABASE!A:B,2,0)),"")</f>
        <v/>
      </c>
      <c r="C269" s="30">
        <f>IFERROR(IF(A269="","",VLOOKUP(A269,DATABASE!A:J,10,0)),"")</f>
        <v/>
      </c>
      <c r="D269" s="31">
        <f>IF(A269="","",TODAY())</f>
        <v/>
      </c>
      <c r="E269" s="30" t="n"/>
      <c r="F269" s="30">
        <f>IFERROR(IF(OR(A269="",E269=""),"",C269-E269),"")</f>
        <v/>
      </c>
      <c r="G269" s="26" t="n"/>
      <c r="H269" s="26" t="n"/>
    </row>
    <row r="270">
      <c r="A270" s="37" t="n"/>
      <c r="B270" s="37">
        <f>IFERROR(IF(A270="","",VLOOKUP(A270,DATABASE!A:B,2,0)),"")</f>
        <v/>
      </c>
      <c r="C270" s="38">
        <f>IFERROR(IF(A270="","",VLOOKUP(A270,DATABASE!A:J,10,0)),"")</f>
        <v/>
      </c>
      <c r="D270" s="39">
        <f>IF(A270="","",TODAY())</f>
        <v/>
      </c>
      <c r="E270" s="38" t="n"/>
      <c r="F270" s="38">
        <f>IFERROR(IF(OR(A270="",E270=""),"",C270-E270),"")</f>
        <v/>
      </c>
      <c r="G270" s="37" t="n"/>
      <c r="H270" s="37" t="n"/>
    </row>
    <row r="271">
      <c r="A271" s="26" t="n"/>
      <c r="B271" s="26">
        <f>IFERROR(IF(A271="","",VLOOKUP(A271,DATABASE!A:B,2,0)),"")</f>
        <v/>
      </c>
      <c r="C271" s="30">
        <f>IFERROR(IF(A271="","",VLOOKUP(A271,DATABASE!A:J,10,0)),"")</f>
        <v/>
      </c>
      <c r="D271" s="31">
        <f>IF(A271="","",TODAY())</f>
        <v/>
      </c>
      <c r="E271" s="30" t="n"/>
      <c r="F271" s="30">
        <f>IFERROR(IF(OR(A271="",E271=""),"",C271-E271),"")</f>
        <v/>
      </c>
      <c r="G271" s="26" t="n"/>
      <c r="H271" s="26" t="n"/>
    </row>
    <row r="272">
      <c r="A272" s="37" t="n"/>
      <c r="B272" s="37">
        <f>IFERROR(IF(A272="","",VLOOKUP(A272,DATABASE!A:B,2,0)),"")</f>
        <v/>
      </c>
      <c r="C272" s="38">
        <f>IFERROR(IF(A272="","",VLOOKUP(A272,DATABASE!A:J,10,0)),"")</f>
        <v/>
      </c>
      <c r="D272" s="39">
        <f>IF(A272="","",TODAY())</f>
        <v/>
      </c>
      <c r="E272" s="38" t="n"/>
      <c r="F272" s="38">
        <f>IFERROR(IF(OR(A272="",E272=""),"",C272-E272),"")</f>
        <v/>
      </c>
      <c r="G272" s="37" t="n"/>
      <c r="H272" s="37" t="n"/>
    </row>
    <row r="273">
      <c r="A273" s="26" t="n"/>
      <c r="B273" s="26">
        <f>IFERROR(IF(A273="","",VLOOKUP(A273,DATABASE!A:B,2,0)),"")</f>
        <v/>
      </c>
      <c r="C273" s="30">
        <f>IFERROR(IF(A273="","",VLOOKUP(A273,DATABASE!A:J,10,0)),"")</f>
        <v/>
      </c>
      <c r="D273" s="31">
        <f>IF(A273="","",TODAY())</f>
        <v/>
      </c>
      <c r="E273" s="30" t="n"/>
      <c r="F273" s="30">
        <f>IFERROR(IF(OR(A273="",E273=""),"",C273-E273),"")</f>
        <v/>
      </c>
      <c r="G273" s="26" t="n"/>
      <c r="H273" s="26" t="n"/>
    </row>
    <row r="274">
      <c r="A274" s="37" t="n"/>
      <c r="B274" s="37">
        <f>IFERROR(IF(A274="","",VLOOKUP(A274,DATABASE!A:B,2,0)),"")</f>
        <v/>
      </c>
      <c r="C274" s="38">
        <f>IFERROR(IF(A274="","",VLOOKUP(A274,DATABASE!A:J,10,0)),"")</f>
        <v/>
      </c>
      <c r="D274" s="39">
        <f>IF(A274="","",TODAY())</f>
        <v/>
      </c>
      <c r="E274" s="38" t="n"/>
      <c r="F274" s="38">
        <f>IFERROR(IF(OR(A274="",E274=""),"",C274-E274),"")</f>
        <v/>
      </c>
      <c r="G274" s="37" t="n"/>
      <c r="H274" s="37" t="n"/>
    </row>
    <row r="275">
      <c r="A275" s="26" t="n"/>
      <c r="B275" s="26">
        <f>IFERROR(IF(A275="","",VLOOKUP(A275,DATABASE!A:B,2,0)),"")</f>
        <v/>
      </c>
      <c r="C275" s="30">
        <f>IFERROR(IF(A275="","",VLOOKUP(A275,DATABASE!A:J,10,0)),"")</f>
        <v/>
      </c>
      <c r="D275" s="31">
        <f>IF(A275="","",TODAY())</f>
        <v/>
      </c>
      <c r="E275" s="30" t="n"/>
      <c r="F275" s="30">
        <f>IFERROR(IF(OR(A275="",E275=""),"",C275-E275),"")</f>
        <v/>
      </c>
      <c r="G275" s="26" t="n"/>
      <c r="H275" s="26" t="n"/>
    </row>
    <row r="276">
      <c r="A276" s="37" t="n"/>
      <c r="B276" s="37">
        <f>IFERROR(IF(A276="","",VLOOKUP(A276,DATABASE!A:B,2,0)),"")</f>
        <v/>
      </c>
      <c r="C276" s="38">
        <f>IFERROR(IF(A276="","",VLOOKUP(A276,DATABASE!A:J,10,0)),"")</f>
        <v/>
      </c>
      <c r="D276" s="39">
        <f>IF(A276="","",TODAY())</f>
        <v/>
      </c>
      <c r="E276" s="38" t="n"/>
      <c r="F276" s="38">
        <f>IFERROR(IF(OR(A276="",E276=""),"",C276-E276),"")</f>
        <v/>
      </c>
      <c r="G276" s="37" t="n"/>
      <c r="H276" s="37" t="n"/>
    </row>
    <row r="277">
      <c r="A277" s="26" t="n"/>
      <c r="B277" s="26">
        <f>IFERROR(IF(A277="","",VLOOKUP(A277,DATABASE!A:B,2,0)),"")</f>
        <v/>
      </c>
      <c r="C277" s="30">
        <f>IFERROR(IF(A277="","",VLOOKUP(A277,DATABASE!A:J,10,0)),"")</f>
        <v/>
      </c>
      <c r="D277" s="31">
        <f>IF(A277="","",TODAY())</f>
        <v/>
      </c>
      <c r="E277" s="30" t="n"/>
      <c r="F277" s="30">
        <f>IFERROR(IF(OR(A277="",E277=""),"",C277-E277),"")</f>
        <v/>
      </c>
      <c r="G277" s="26" t="n"/>
      <c r="H277" s="26" t="n"/>
    </row>
    <row r="278">
      <c r="A278" s="37" t="n"/>
      <c r="B278" s="37">
        <f>IFERROR(IF(A278="","",VLOOKUP(A278,DATABASE!A:B,2,0)),"")</f>
        <v/>
      </c>
      <c r="C278" s="38">
        <f>IFERROR(IF(A278="","",VLOOKUP(A278,DATABASE!A:J,10,0)),"")</f>
        <v/>
      </c>
      <c r="D278" s="39">
        <f>IF(A278="","",TODAY())</f>
        <v/>
      </c>
      <c r="E278" s="38" t="n"/>
      <c r="F278" s="38">
        <f>IFERROR(IF(OR(A278="",E278=""),"",C278-E278),"")</f>
        <v/>
      </c>
      <c r="G278" s="37" t="n"/>
      <c r="H278" s="37" t="n"/>
    </row>
    <row r="279">
      <c r="A279" s="26" t="n"/>
      <c r="B279" s="26">
        <f>IFERROR(IF(A279="","",VLOOKUP(A279,DATABASE!A:B,2,0)),"")</f>
        <v/>
      </c>
      <c r="C279" s="30">
        <f>IFERROR(IF(A279="","",VLOOKUP(A279,DATABASE!A:J,10,0)),"")</f>
        <v/>
      </c>
      <c r="D279" s="31">
        <f>IF(A279="","",TODAY())</f>
        <v/>
      </c>
      <c r="E279" s="30" t="n"/>
      <c r="F279" s="30">
        <f>IFERROR(IF(OR(A279="",E279=""),"",C279-E279),"")</f>
        <v/>
      </c>
      <c r="G279" s="26" t="n"/>
      <c r="H279" s="26" t="n"/>
    </row>
    <row r="280">
      <c r="A280" s="37" t="n"/>
      <c r="B280" s="37">
        <f>IFERROR(IF(A280="","",VLOOKUP(A280,DATABASE!A:B,2,0)),"")</f>
        <v/>
      </c>
      <c r="C280" s="38">
        <f>IFERROR(IF(A280="","",VLOOKUP(A280,DATABASE!A:J,10,0)),"")</f>
        <v/>
      </c>
      <c r="D280" s="39">
        <f>IF(A280="","",TODAY())</f>
        <v/>
      </c>
      <c r="E280" s="38" t="n"/>
      <c r="F280" s="38">
        <f>IFERROR(IF(OR(A280="",E280=""),"",C280-E280),"")</f>
        <v/>
      </c>
      <c r="G280" s="37" t="n"/>
      <c r="H280" s="37" t="n"/>
    </row>
    <row r="281">
      <c r="A281" s="26" t="n"/>
      <c r="B281" s="26">
        <f>IFERROR(IF(A281="","",VLOOKUP(A281,DATABASE!A:B,2,0)),"")</f>
        <v/>
      </c>
      <c r="C281" s="30">
        <f>IFERROR(IF(A281="","",VLOOKUP(A281,DATABASE!A:J,10,0)),"")</f>
        <v/>
      </c>
      <c r="D281" s="31">
        <f>IF(A281="","",TODAY())</f>
        <v/>
      </c>
      <c r="E281" s="30" t="n"/>
      <c r="F281" s="30">
        <f>IFERROR(IF(OR(A281="",E281=""),"",C281-E281),"")</f>
        <v/>
      </c>
      <c r="G281" s="26" t="n"/>
      <c r="H281" s="26" t="n"/>
    </row>
    <row r="282">
      <c r="A282" s="37" t="n"/>
      <c r="B282" s="37">
        <f>IFERROR(IF(A282="","",VLOOKUP(A282,DATABASE!A:B,2,0)),"")</f>
        <v/>
      </c>
      <c r="C282" s="38">
        <f>IFERROR(IF(A282="","",VLOOKUP(A282,DATABASE!A:J,10,0)),"")</f>
        <v/>
      </c>
      <c r="D282" s="39">
        <f>IF(A282="","",TODAY())</f>
        <v/>
      </c>
      <c r="E282" s="38" t="n"/>
      <c r="F282" s="38">
        <f>IFERROR(IF(OR(A282="",E282=""),"",C282-E282),"")</f>
        <v/>
      </c>
      <c r="G282" s="37" t="n"/>
      <c r="H282" s="37" t="n"/>
    </row>
    <row r="283">
      <c r="A283" s="26" t="n"/>
      <c r="B283" s="26">
        <f>IFERROR(IF(A283="","",VLOOKUP(A283,DATABASE!A:B,2,0)),"")</f>
        <v/>
      </c>
      <c r="C283" s="30">
        <f>IFERROR(IF(A283="","",VLOOKUP(A283,DATABASE!A:J,10,0)),"")</f>
        <v/>
      </c>
      <c r="D283" s="31">
        <f>IF(A283="","",TODAY())</f>
        <v/>
      </c>
      <c r="E283" s="30" t="n"/>
      <c r="F283" s="30">
        <f>IFERROR(IF(OR(A283="",E283=""),"",C283-E283),"")</f>
        <v/>
      </c>
      <c r="G283" s="26" t="n"/>
      <c r="H283" s="26" t="n"/>
    </row>
    <row r="284">
      <c r="A284" s="37" t="n"/>
      <c r="B284" s="37">
        <f>IFERROR(IF(A284="","",VLOOKUP(A284,DATABASE!A:B,2,0)),"")</f>
        <v/>
      </c>
      <c r="C284" s="38">
        <f>IFERROR(IF(A284="","",VLOOKUP(A284,DATABASE!A:J,10,0)),"")</f>
        <v/>
      </c>
      <c r="D284" s="39">
        <f>IF(A284="","",TODAY())</f>
        <v/>
      </c>
      <c r="E284" s="38" t="n"/>
      <c r="F284" s="38">
        <f>IFERROR(IF(OR(A284="",E284=""),"",C284-E284),"")</f>
        <v/>
      </c>
      <c r="G284" s="37" t="n"/>
      <c r="H284" s="37" t="n"/>
    </row>
    <row r="285">
      <c r="A285" s="26" t="n"/>
      <c r="B285" s="26">
        <f>IFERROR(IF(A285="","",VLOOKUP(A285,DATABASE!A:B,2,0)),"")</f>
        <v/>
      </c>
      <c r="C285" s="30">
        <f>IFERROR(IF(A285="","",VLOOKUP(A285,DATABASE!A:J,10,0)),"")</f>
        <v/>
      </c>
      <c r="D285" s="31">
        <f>IF(A285="","",TODAY())</f>
        <v/>
      </c>
      <c r="E285" s="30" t="n"/>
      <c r="F285" s="30">
        <f>IFERROR(IF(OR(A285="",E285=""),"",C285-E285),"")</f>
        <v/>
      </c>
      <c r="G285" s="26" t="n"/>
      <c r="H285" s="26" t="n"/>
    </row>
    <row r="286">
      <c r="A286" s="37" t="n"/>
      <c r="B286" s="37">
        <f>IFERROR(IF(A286="","",VLOOKUP(A286,DATABASE!A:B,2,0)),"")</f>
        <v/>
      </c>
      <c r="C286" s="38">
        <f>IFERROR(IF(A286="","",VLOOKUP(A286,DATABASE!A:J,10,0)),"")</f>
        <v/>
      </c>
      <c r="D286" s="39">
        <f>IF(A286="","",TODAY())</f>
        <v/>
      </c>
      <c r="E286" s="38" t="n"/>
      <c r="F286" s="38">
        <f>IFERROR(IF(OR(A286="",E286=""),"",C286-E286),"")</f>
        <v/>
      </c>
      <c r="G286" s="37" t="n"/>
      <c r="H286" s="37" t="n"/>
    </row>
    <row r="287">
      <c r="A287" s="26" t="n"/>
      <c r="B287" s="26">
        <f>IFERROR(IF(A287="","",VLOOKUP(A287,DATABASE!A:B,2,0)),"")</f>
        <v/>
      </c>
      <c r="C287" s="30">
        <f>IFERROR(IF(A287="","",VLOOKUP(A287,DATABASE!A:J,10,0)),"")</f>
        <v/>
      </c>
      <c r="D287" s="31">
        <f>IF(A287="","",TODAY())</f>
        <v/>
      </c>
      <c r="E287" s="30" t="n"/>
      <c r="F287" s="30">
        <f>IFERROR(IF(OR(A287="",E287=""),"",C287-E287),"")</f>
        <v/>
      </c>
      <c r="G287" s="26" t="n"/>
      <c r="H287" s="26" t="n"/>
    </row>
    <row r="288">
      <c r="A288" s="37" t="n"/>
      <c r="B288" s="37">
        <f>IFERROR(IF(A288="","",VLOOKUP(A288,DATABASE!A:B,2,0)),"")</f>
        <v/>
      </c>
      <c r="C288" s="38">
        <f>IFERROR(IF(A288="","",VLOOKUP(A288,DATABASE!A:J,10,0)),"")</f>
        <v/>
      </c>
      <c r="D288" s="39">
        <f>IF(A288="","",TODAY())</f>
        <v/>
      </c>
      <c r="E288" s="38" t="n"/>
      <c r="F288" s="38">
        <f>IFERROR(IF(OR(A288="",E288=""),"",C288-E288),"")</f>
        <v/>
      </c>
      <c r="G288" s="37" t="n"/>
      <c r="H288" s="37" t="n"/>
    </row>
    <row r="289">
      <c r="A289" s="26" t="n"/>
      <c r="B289" s="26">
        <f>IFERROR(IF(A289="","",VLOOKUP(A289,DATABASE!A:B,2,0)),"")</f>
        <v/>
      </c>
      <c r="C289" s="30">
        <f>IFERROR(IF(A289="","",VLOOKUP(A289,DATABASE!A:J,10,0)),"")</f>
        <v/>
      </c>
      <c r="D289" s="31">
        <f>IF(A289="","",TODAY())</f>
        <v/>
      </c>
      <c r="E289" s="30" t="n"/>
      <c r="F289" s="30">
        <f>IFERROR(IF(OR(A289="",E289=""),"",C289-E289),"")</f>
        <v/>
      </c>
      <c r="G289" s="26" t="n"/>
      <c r="H289" s="26" t="n"/>
    </row>
    <row r="290">
      <c r="A290" s="37" t="n"/>
      <c r="B290" s="37">
        <f>IFERROR(IF(A290="","",VLOOKUP(A290,DATABASE!A:B,2,0)),"")</f>
        <v/>
      </c>
      <c r="C290" s="38">
        <f>IFERROR(IF(A290="","",VLOOKUP(A290,DATABASE!A:J,10,0)),"")</f>
        <v/>
      </c>
      <c r="D290" s="39">
        <f>IF(A290="","",TODAY())</f>
        <v/>
      </c>
      <c r="E290" s="38" t="n"/>
      <c r="F290" s="38">
        <f>IFERROR(IF(OR(A290="",E290=""),"",C290-E290),"")</f>
        <v/>
      </c>
      <c r="G290" s="37" t="n"/>
      <c r="H290" s="37" t="n"/>
    </row>
    <row r="291">
      <c r="A291" s="26" t="n"/>
      <c r="B291" s="26">
        <f>IFERROR(IF(A291="","",VLOOKUP(A291,DATABASE!A:B,2,0)),"")</f>
        <v/>
      </c>
      <c r="C291" s="30">
        <f>IFERROR(IF(A291="","",VLOOKUP(A291,DATABASE!A:J,10,0)),"")</f>
        <v/>
      </c>
      <c r="D291" s="31">
        <f>IF(A291="","",TODAY())</f>
        <v/>
      </c>
      <c r="E291" s="30" t="n"/>
      <c r="F291" s="30">
        <f>IFERROR(IF(OR(A291="",E291=""),"",C291-E291),"")</f>
        <v/>
      </c>
      <c r="G291" s="26" t="n"/>
      <c r="H291" s="26" t="n"/>
    </row>
    <row r="292">
      <c r="A292" s="37" t="n"/>
      <c r="B292" s="37">
        <f>IFERROR(IF(A292="","",VLOOKUP(A292,DATABASE!A:B,2,0)),"")</f>
        <v/>
      </c>
      <c r="C292" s="38">
        <f>IFERROR(IF(A292="","",VLOOKUP(A292,DATABASE!A:J,10,0)),"")</f>
        <v/>
      </c>
      <c r="D292" s="39">
        <f>IF(A292="","",TODAY())</f>
        <v/>
      </c>
      <c r="E292" s="38" t="n"/>
      <c r="F292" s="38">
        <f>IFERROR(IF(OR(A292="",E292=""),"",C292-E292),"")</f>
        <v/>
      </c>
      <c r="G292" s="37" t="n"/>
      <c r="H292" s="37" t="n"/>
    </row>
    <row r="293">
      <c r="A293" s="26" t="n"/>
      <c r="B293" s="26">
        <f>IFERROR(IF(A293="","",VLOOKUP(A293,DATABASE!A:B,2,0)),"")</f>
        <v/>
      </c>
      <c r="C293" s="30">
        <f>IFERROR(IF(A293="","",VLOOKUP(A293,DATABASE!A:J,10,0)),"")</f>
        <v/>
      </c>
      <c r="D293" s="31">
        <f>IF(A293="","",TODAY())</f>
        <v/>
      </c>
      <c r="E293" s="30" t="n"/>
      <c r="F293" s="30">
        <f>IFERROR(IF(OR(A293="",E293=""),"",C293-E293),"")</f>
        <v/>
      </c>
      <c r="G293" s="26" t="n"/>
      <c r="H293" s="26" t="n"/>
    </row>
    <row r="294">
      <c r="A294" s="37" t="n"/>
      <c r="B294" s="37">
        <f>IFERROR(IF(A294="","",VLOOKUP(A294,DATABASE!A:B,2,0)),"")</f>
        <v/>
      </c>
      <c r="C294" s="38">
        <f>IFERROR(IF(A294="","",VLOOKUP(A294,DATABASE!A:J,10,0)),"")</f>
        <v/>
      </c>
      <c r="D294" s="39">
        <f>IF(A294="","",TODAY())</f>
        <v/>
      </c>
      <c r="E294" s="38" t="n"/>
      <c r="F294" s="38">
        <f>IFERROR(IF(OR(A294="",E294=""),"",C294-E294),"")</f>
        <v/>
      </c>
      <c r="G294" s="37" t="n"/>
      <c r="H294" s="37" t="n"/>
    </row>
    <row r="295">
      <c r="A295" s="26" t="n"/>
      <c r="B295" s="26">
        <f>IFERROR(IF(A295="","",VLOOKUP(A295,DATABASE!A:B,2,0)),"")</f>
        <v/>
      </c>
      <c r="C295" s="30">
        <f>IFERROR(IF(A295="","",VLOOKUP(A295,DATABASE!A:J,10,0)),"")</f>
        <v/>
      </c>
      <c r="D295" s="31">
        <f>IF(A295="","",TODAY())</f>
        <v/>
      </c>
      <c r="E295" s="30" t="n"/>
      <c r="F295" s="30">
        <f>IFERROR(IF(OR(A295="",E295=""),"",C295-E295),"")</f>
        <v/>
      </c>
      <c r="G295" s="26" t="n"/>
      <c r="H295" s="26" t="n"/>
    </row>
    <row r="296">
      <c r="A296" s="37" t="n"/>
      <c r="B296" s="37">
        <f>IFERROR(IF(A296="","",VLOOKUP(A296,DATABASE!A:B,2,0)),"")</f>
        <v/>
      </c>
      <c r="C296" s="38">
        <f>IFERROR(IF(A296="","",VLOOKUP(A296,DATABASE!A:J,10,0)),"")</f>
        <v/>
      </c>
      <c r="D296" s="39">
        <f>IF(A296="","",TODAY())</f>
        <v/>
      </c>
      <c r="E296" s="38" t="n"/>
      <c r="F296" s="38">
        <f>IFERROR(IF(OR(A296="",E296=""),"",C296-E296),"")</f>
        <v/>
      </c>
      <c r="G296" s="37" t="n"/>
      <c r="H296" s="37" t="n"/>
    </row>
    <row r="297">
      <c r="A297" s="26" t="n"/>
      <c r="B297" s="26">
        <f>IFERROR(IF(A297="","",VLOOKUP(A297,DATABASE!A:B,2,0)),"")</f>
        <v/>
      </c>
      <c r="C297" s="30">
        <f>IFERROR(IF(A297="","",VLOOKUP(A297,DATABASE!A:J,10,0)),"")</f>
        <v/>
      </c>
      <c r="D297" s="31">
        <f>IF(A297="","",TODAY())</f>
        <v/>
      </c>
      <c r="E297" s="30" t="n"/>
      <c r="F297" s="30">
        <f>IFERROR(IF(OR(A297="",E297=""),"",C297-E297),"")</f>
        <v/>
      </c>
      <c r="G297" s="26" t="n"/>
      <c r="H297" s="26" t="n"/>
    </row>
    <row r="298">
      <c r="A298" s="37" t="n"/>
      <c r="B298" s="37">
        <f>IFERROR(IF(A298="","",VLOOKUP(A298,DATABASE!A:B,2,0)),"")</f>
        <v/>
      </c>
      <c r="C298" s="38">
        <f>IFERROR(IF(A298="","",VLOOKUP(A298,DATABASE!A:J,10,0)),"")</f>
        <v/>
      </c>
      <c r="D298" s="39">
        <f>IF(A298="","",TODAY())</f>
        <v/>
      </c>
      <c r="E298" s="38" t="n"/>
      <c r="F298" s="38">
        <f>IFERROR(IF(OR(A298="",E298=""),"",C298-E298),"")</f>
        <v/>
      </c>
      <c r="G298" s="37" t="n"/>
      <c r="H298" s="37" t="n"/>
    </row>
    <row r="299">
      <c r="A299" s="26" t="n"/>
      <c r="B299" s="26">
        <f>IFERROR(IF(A299="","",VLOOKUP(A299,DATABASE!A:B,2,0)),"")</f>
        <v/>
      </c>
      <c r="C299" s="30">
        <f>IFERROR(IF(A299="","",VLOOKUP(A299,DATABASE!A:J,10,0)),"")</f>
        <v/>
      </c>
      <c r="D299" s="31">
        <f>IF(A299="","",TODAY())</f>
        <v/>
      </c>
      <c r="E299" s="30" t="n"/>
      <c r="F299" s="30">
        <f>IFERROR(IF(OR(A299="",E299=""),"",C299-E299),"")</f>
        <v/>
      </c>
      <c r="G299" s="26" t="n"/>
      <c r="H299" s="26" t="n"/>
    </row>
    <row r="300">
      <c r="A300" s="37" t="n"/>
      <c r="B300" s="37">
        <f>IFERROR(IF(A300="","",VLOOKUP(A300,DATABASE!A:B,2,0)),"")</f>
        <v/>
      </c>
      <c r="C300" s="38">
        <f>IFERROR(IF(A300="","",VLOOKUP(A300,DATABASE!A:J,10,0)),"")</f>
        <v/>
      </c>
      <c r="D300" s="39">
        <f>IF(A300="","",TODAY())</f>
        <v/>
      </c>
      <c r="E300" s="38" t="n"/>
      <c r="F300" s="38">
        <f>IFERROR(IF(OR(A300="",E300=""),"",C300-E300),"")</f>
        <v/>
      </c>
      <c r="G300" s="37" t="n"/>
      <c r="H300" s="37" t="n"/>
    </row>
    <row r="301">
      <c r="A301" s="26" t="n"/>
      <c r="B301" s="26">
        <f>IFERROR(IF(A301="","",VLOOKUP(A301,DATABASE!A:B,2,0)),"")</f>
        <v/>
      </c>
      <c r="C301" s="30">
        <f>IFERROR(IF(A301="","",VLOOKUP(A301,DATABASE!A:J,10,0)),"")</f>
        <v/>
      </c>
      <c r="D301" s="31">
        <f>IF(A301="","",TODAY())</f>
        <v/>
      </c>
      <c r="E301" s="30" t="n"/>
      <c r="F301" s="30">
        <f>IFERROR(IF(OR(A301="",E301=""),"",C301-E301),"")</f>
        <v/>
      </c>
      <c r="G301" s="26" t="n"/>
      <c r="H301" s="26" t="n"/>
    </row>
    <row r="302">
      <c r="A302" s="37" t="n"/>
      <c r="B302" s="37">
        <f>IFERROR(IF(A302="","",VLOOKUP(A302,DATABASE!A:B,2,0)),"")</f>
        <v/>
      </c>
      <c r="C302" s="38">
        <f>IFERROR(IF(A302="","",VLOOKUP(A302,DATABASE!A:J,10,0)),"")</f>
        <v/>
      </c>
      <c r="D302" s="39">
        <f>IF(A302="","",TODAY())</f>
        <v/>
      </c>
      <c r="E302" s="38" t="n"/>
      <c r="F302" s="38">
        <f>IFERROR(IF(OR(A302="",E302=""),"",C302-E302),"")</f>
        <v/>
      </c>
      <c r="G302" s="37" t="n"/>
      <c r="H302" s="37" t="n"/>
    </row>
    <row r="303">
      <c r="A303" s="26" t="n"/>
      <c r="B303" s="26">
        <f>IFERROR(IF(A303="","",VLOOKUP(A303,DATABASE!A:B,2,0)),"")</f>
        <v/>
      </c>
      <c r="C303" s="30">
        <f>IFERROR(IF(A303="","",VLOOKUP(A303,DATABASE!A:J,10,0)),"")</f>
        <v/>
      </c>
      <c r="D303" s="31">
        <f>IF(A303="","",TODAY())</f>
        <v/>
      </c>
      <c r="E303" s="30" t="n"/>
      <c r="F303" s="30">
        <f>IFERROR(IF(OR(A303="",E303=""),"",C303-E303),"")</f>
        <v/>
      </c>
      <c r="G303" s="26" t="n"/>
      <c r="H303" s="26" t="n"/>
    </row>
    <row r="304">
      <c r="A304" s="37" t="n"/>
      <c r="B304" s="37">
        <f>IFERROR(IF(A304="","",VLOOKUP(A304,DATABASE!A:B,2,0)),"")</f>
        <v/>
      </c>
      <c r="C304" s="38">
        <f>IFERROR(IF(A304="","",VLOOKUP(A304,DATABASE!A:J,10,0)),"")</f>
        <v/>
      </c>
      <c r="D304" s="39">
        <f>IF(A304="","",TODAY())</f>
        <v/>
      </c>
      <c r="E304" s="38" t="n"/>
      <c r="F304" s="38">
        <f>IFERROR(IF(OR(A304="",E304=""),"",C304-E304),"")</f>
        <v/>
      </c>
      <c r="G304" s="37" t="n"/>
      <c r="H304" s="37" t="n"/>
    </row>
    <row r="305">
      <c r="A305" s="26" t="n"/>
      <c r="B305" s="26">
        <f>IFERROR(IF(A305="","",VLOOKUP(A305,DATABASE!A:B,2,0)),"")</f>
        <v/>
      </c>
      <c r="C305" s="30">
        <f>IFERROR(IF(A305="","",VLOOKUP(A305,DATABASE!A:J,10,0)),"")</f>
        <v/>
      </c>
      <c r="D305" s="31">
        <f>IF(A305="","",TODAY())</f>
        <v/>
      </c>
      <c r="E305" s="30" t="n"/>
      <c r="F305" s="30">
        <f>IFERROR(IF(OR(A305="",E305=""),"",C305-E305),"")</f>
        <v/>
      </c>
      <c r="G305" s="26" t="n"/>
      <c r="H305" s="26" t="n"/>
    </row>
    <row r="306">
      <c r="A306" s="37" t="n"/>
      <c r="B306" s="37">
        <f>IFERROR(IF(A306="","",VLOOKUP(A306,DATABASE!A:B,2,0)),"")</f>
        <v/>
      </c>
      <c r="C306" s="38">
        <f>IFERROR(IF(A306="","",VLOOKUP(A306,DATABASE!A:J,10,0)),"")</f>
        <v/>
      </c>
      <c r="D306" s="39">
        <f>IF(A306="","",TODAY())</f>
        <v/>
      </c>
      <c r="E306" s="38" t="n"/>
      <c r="F306" s="38">
        <f>IFERROR(IF(OR(A306="",E306=""),"",C306-E306),"")</f>
        <v/>
      </c>
      <c r="G306" s="37" t="n"/>
      <c r="H306" s="37" t="n"/>
    </row>
    <row r="307">
      <c r="A307" s="26" t="n"/>
      <c r="B307" s="26">
        <f>IFERROR(IF(A307="","",VLOOKUP(A307,DATABASE!A:B,2,0)),"")</f>
        <v/>
      </c>
      <c r="C307" s="30">
        <f>IFERROR(IF(A307="","",VLOOKUP(A307,DATABASE!A:J,10,0)),"")</f>
        <v/>
      </c>
      <c r="D307" s="31">
        <f>IF(A307="","",TODAY())</f>
        <v/>
      </c>
      <c r="E307" s="30" t="n"/>
      <c r="F307" s="30">
        <f>IFERROR(IF(OR(A307="",E307=""),"",C307-E307),"")</f>
        <v/>
      </c>
      <c r="G307" s="26" t="n"/>
      <c r="H307" s="26" t="n"/>
    </row>
    <row r="308">
      <c r="A308" s="37" t="n"/>
      <c r="B308" s="37">
        <f>IFERROR(IF(A308="","",VLOOKUP(A308,DATABASE!A:B,2,0)),"")</f>
        <v/>
      </c>
      <c r="C308" s="38">
        <f>IFERROR(IF(A308="","",VLOOKUP(A308,DATABASE!A:J,10,0)),"")</f>
        <v/>
      </c>
      <c r="D308" s="39">
        <f>IF(A308="","",TODAY())</f>
        <v/>
      </c>
      <c r="E308" s="38" t="n"/>
      <c r="F308" s="38">
        <f>IFERROR(IF(OR(A308="",E308=""),"",C308-E308),"")</f>
        <v/>
      </c>
      <c r="G308" s="37" t="n"/>
      <c r="H308" s="37" t="n"/>
    </row>
    <row r="309">
      <c r="A309" s="26" t="n"/>
      <c r="B309" s="26">
        <f>IFERROR(IF(A309="","",VLOOKUP(A309,DATABASE!A:B,2,0)),"")</f>
        <v/>
      </c>
      <c r="C309" s="30">
        <f>IFERROR(IF(A309="","",VLOOKUP(A309,DATABASE!A:J,10,0)),"")</f>
        <v/>
      </c>
      <c r="D309" s="31">
        <f>IF(A309="","",TODAY())</f>
        <v/>
      </c>
      <c r="E309" s="30" t="n"/>
      <c r="F309" s="30">
        <f>IFERROR(IF(OR(A309="",E309=""),"",C309-E309),"")</f>
        <v/>
      </c>
      <c r="G309" s="26" t="n"/>
      <c r="H309" s="26" t="n"/>
    </row>
    <row r="310">
      <c r="A310" s="37" t="n"/>
      <c r="B310" s="37">
        <f>IFERROR(IF(A310="","",VLOOKUP(A310,DATABASE!A:B,2,0)),"")</f>
        <v/>
      </c>
      <c r="C310" s="38">
        <f>IFERROR(IF(A310="","",VLOOKUP(A310,DATABASE!A:J,10,0)),"")</f>
        <v/>
      </c>
      <c r="D310" s="39">
        <f>IF(A310="","",TODAY())</f>
        <v/>
      </c>
      <c r="E310" s="38" t="n"/>
      <c r="F310" s="38">
        <f>IFERROR(IF(OR(A310="",E310=""),"",C310-E310),"")</f>
        <v/>
      </c>
      <c r="G310" s="37" t="n"/>
      <c r="H310" s="37" t="n"/>
    </row>
    <row r="311">
      <c r="A311" s="26" t="n"/>
      <c r="B311" s="26">
        <f>IFERROR(IF(A311="","",VLOOKUP(A311,DATABASE!A:B,2,0)),"")</f>
        <v/>
      </c>
      <c r="C311" s="30">
        <f>IFERROR(IF(A311="","",VLOOKUP(A311,DATABASE!A:J,10,0)),"")</f>
        <v/>
      </c>
      <c r="D311" s="31">
        <f>IF(A311="","",TODAY())</f>
        <v/>
      </c>
      <c r="E311" s="30" t="n"/>
      <c r="F311" s="30">
        <f>IFERROR(IF(OR(A311="",E311=""),"",C311-E311),"")</f>
        <v/>
      </c>
      <c r="G311" s="26" t="n"/>
      <c r="H311" s="26" t="n"/>
    </row>
    <row r="312">
      <c r="A312" s="37" t="n"/>
      <c r="B312" s="37">
        <f>IFERROR(IF(A312="","",VLOOKUP(A312,DATABASE!A:B,2,0)),"")</f>
        <v/>
      </c>
      <c r="C312" s="38">
        <f>IFERROR(IF(A312="","",VLOOKUP(A312,DATABASE!A:J,10,0)),"")</f>
        <v/>
      </c>
      <c r="D312" s="39">
        <f>IF(A312="","",TODAY())</f>
        <v/>
      </c>
      <c r="E312" s="38" t="n"/>
      <c r="F312" s="38">
        <f>IFERROR(IF(OR(A312="",E312=""),"",C312-E312),"")</f>
        <v/>
      </c>
      <c r="G312" s="37" t="n"/>
      <c r="H312" s="37" t="n"/>
    </row>
    <row r="313">
      <c r="A313" s="26" t="n"/>
      <c r="B313" s="26">
        <f>IFERROR(IF(A313="","",VLOOKUP(A313,DATABASE!A:B,2,0)),"")</f>
        <v/>
      </c>
      <c r="C313" s="30">
        <f>IFERROR(IF(A313="","",VLOOKUP(A313,DATABASE!A:J,10,0)),"")</f>
        <v/>
      </c>
      <c r="D313" s="31">
        <f>IF(A313="","",TODAY())</f>
        <v/>
      </c>
      <c r="E313" s="30" t="n"/>
      <c r="F313" s="30">
        <f>IFERROR(IF(OR(A313="",E313=""),"",C313-E313),"")</f>
        <v/>
      </c>
      <c r="G313" s="26" t="n"/>
      <c r="H313" s="26" t="n"/>
    </row>
    <row r="314">
      <c r="A314" s="37" t="n"/>
      <c r="B314" s="37">
        <f>IFERROR(IF(A314="","",VLOOKUP(A314,DATABASE!A:B,2,0)),"")</f>
        <v/>
      </c>
      <c r="C314" s="38">
        <f>IFERROR(IF(A314="","",VLOOKUP(A314,DATABASE!A:J,10,0)),"")</f>
        <v/>
      </c>
      <c r="D314" s="39">
        <f>IF(A314="","",TODAY())</f>
        <v/>
      </c>
      <c r="E314" s="38" t="n"/>
      <c r="F314" s="38">
        <f>IFERROR(IF(OR(A314="",E314=""),"",C314-E314),"")</f>
        <v/>
      </c>
      <c r="G314" s="37" t="n"/>
      <c r="H314" s="37" t="n"/>
    </row>
    <row r="315">
      <c r="A315" s="26" t="n"/>
      <c r="B315" s="26">
        <f>IFERROR(IF(A315="","",VLOOKUP(A315,DATABASE!A:B,2,0)),"")</f>
        <v/>
      </c>
      <c r="C315" s="30">
        <f>IFERROR(IF(A315="","",VLOOKUP(A315,DATABASE!A:J,10,0)),"")</f>
        <v/>
      </c>
      <c r="D315" s="31">
        <f>IF(A315="","",TODAY())</f>
        <v/>
      </c>
      <c r="E315" s="30" t="n"/>
      <c r="F315" s="30">
        <f>IFERROR(IF(OR(A315="",E315=""),"",C315-E315),"")</f>
        <v/>
      </c>
      <c r="G315" s="26" t="n"/>
      <c r="H315" s="26" t="n"/>
    </row>
    <row r="316">
      <c r="A316" s="37" t="n"/>
      <c r="B316" s="37">
        <f>IFERROR(IF(A316="","",VLOOKUP(A316,DATABASE!A:B,2,0)),"")</f>
        <v/>
      </c>
      <c r="C316" s="38">
        <f>IFERROR(IF(A316="","",VLOOKUP(A316,DATABASE!A:J,10,0)),"")</f>
        <v/>
      </c>
      <c r="D316" s="39">
        <f>IF(A316="","",TODAY())</f>
        <v/>
      </c>
      <c r="E316" s="38" t="n"/>
      <c r="F316" s="38">
        <f>IFERROR(IF(OR(A316="",E316=""),"",C316-E316),"")</f>
        <v/>
      </c>
      <c r="G316" s="37" t="n"/>
      <c r="H316" s="37" t="n"/>
    </row>
    <row r="317">
      <c r="A317" s="26" t="n"/>
      <c r="B317" s="26">
        <f>IFERROR(IF(A317="","",VLOOKUP(A317,DATABASE!A:B,2,0)),"")</f>
        <v/>
      </c>
      <c r="C317" s="30">
        <f>IFERROR(IF(A317="","",VLOOKUP(A317,DATABASE!A:J,10,0)),"")</f>
        <v/>
      </c>
      <c r="D317" s="31">
        <f>IF(A317="","",TODAY())</f>
        <v/>
      </c>
      <c r="E317" s="30" t="n"/>
      <c r="F317" s="30">
        <f>IFERROR(IF(OR(A317="",E317=""),"",C317-E317),"")</f>
        <v/>
      </c>
      <c r="G317" s="26" t="n"/>
      <c r="H317" s="26" t="n"/>
    </row>
    <row r="318">
      <c r="A318" s="37" t="n"/>
      <c r="B318" s="37">
        <f>IFERROR(IF(A318="","",VLOOKUP(A318,DATABASE!A:B,2,0)),"")</f>
        <v/>
      </c>
      <c r="C318" s="38">
        <f>IFERROR(IF(A318="","",VLOOKUP(A318,DATABASE!A:J,10,0)),"")</f>
        <v/>
      </c>
      <c r="D318" s="39">
        <f>IF(A318="","",TODAY())</f>
        <v/>
      </c>
      <c r="E318" s="38" t="n"/>
      <c r="F318" s="38">
        <f>IFERROR(IF(OR(A318="",E318=""),"",C318-E318),"")</f>
        <v/>
      </c>
      <c r="G318" s="37" t="n"/>
      <c r="H318" s="37" t="n"/>
    </row>
    <row r="319">
      <c r="A319" s="26" t="n"/>
      <c r="B319" s="26">
        <f>IFERROR(IF(A319="","",VLOOKUP(A319,DATABASE!A:B,2,0)),"")</f>
        <v/>
      </c>
      <c r="C319" s="30">
        <f>IFERROR(IF(A319="","",VLOOKUP(A319,DATABASE!A:J,10,0)),"")</f>
        <v/>
      </c>
      <c r="D319" s="31">
        <f>IF(A319="","",TODAY())</f>
        <v/>
      </c>
      <c r="E319" s="30" t="n"/>
      <c r="F319" s="30">
        <f>IFERROR(IF(OR(A319="",E319=""),"",C319-E319),"")</f>
        <v/>
      </c>
      <c r="G319" s="26" t="n"/>
      <c r="H319" s="26" t="n"/>
    </row>
    <row r="320">
      <c r="A320" s="37" t="n"/>
      <c r="B320" s="37">
        <f>IFERROR(IF(A320="","",VLOOKUP(A320,DATABASE!A:B,2,0)),"")</f>
        <v/>
      </c>
      <c r="C320" s="38">
        <f>IFERROR(IF(A320="","",VLOOKUP(A320,DATABASE!A:J,10,0)),"")</f>
        <v/>
      </c>
      <c r="D320" s="39">
        <f>IF(A320="","",TODAY())</f>
        <v/>
      </c>
      <c r="E320" s="38" t="n"/>
      <c r="F320" s="38">
        <f>IFERROR(IF(OR(A320="",E320=""),"",C320-E320),"")</f>
        <v/>
      </c>
      <c r="G320" s="37" t="n"/>
      <c r="H320" s="37" t="n"/>
    </row>
    <row r="321">
      <c r="A321" s="26" t="n"/>
      <c r="B321" s="26">
        <f>IFERROR(IF(A321="","",VLOOKUP(A321,DATABASE!A:B,2,0)),"")</f>
        <v/>
      </c>
      <c r="C321" s="30">
        <f>IFERROR(IF(A321="","",VLOOKUP(A321,DATABASE!A:J,10,0)),"")</f>
        <v/>
      </c>
      <c r="D321" s="31">
        <f>IF(A321="","",TODAY())</f>
        <v/>
      </c>
      <c r="E321" s="30" t="n"/>
      <c r="F321" s="30">
        <f>IFERROR(IF(OR(A321="",E321=""),"",C321-E321),"")</f>
        <v/>
      </c>
      <c r="G321" s="26" t="n"/>
      <c r="H321" s="26" t="n"/>
    </row>
    <row r="322">
      <c r="A322" s="37" t="n"/>
      <c r="B322" s="37">
        <f>IFERROR(IF(A322="","",VLOOKUP(A322,DATABASE!A:B,2,0)),"")</f>
        <v/>
      </c>
      <c r="C322" s="38">
        <f>IFERROR(IF(A322="","",VLOOKUP(A322,DATABASE!A:J,10,0)),"")</f>
        <v/>
      </c>
      <c r="D322" s="39">
        <f>IF(A322="","",TODAY())</f>
        <v/>
      </c>
      <c r="E322" s="38" t="n"/>
      <c r="F322" s="38">
        <f>IFERROR(IF(OR(A322="",E322=""),"",C322-E322),"")</f>
        <v/>
      </c>
      <c r="G322" s="37" t="n"/>
      <c r="H322" s="37" t="n"/>
    </row>
    <row r="323">
      <c r="A323" s="26" t="n"/>
      <c r="B323" s="26">
        <f>IFERROR(IF(A323="","",VLOOKUP(A323,DATABASE!A:B,2,0)),"")</f>
        <v/>
      </c>
      <c r="C323" s="30">
        <f>IFERROR(IF(A323="","",VLOOKUP(A323,DATABASE!A:J,10,0)),"")</f>
        <v/>
      </c>
      <c r="D323" s="31">
        <f>IF(A323="","",TODAY())</f>
        <v/>
      </c>
      <c r="E323" s="30" t="n"/>
      <c r="F323" s="30">
        <f>IFERROR(IF(OR(A323="",E323=""),"",C323-E323),"")</f>
        <v/>
      </c>
      <c r="G323" s="26" t="n"/>
      <c r="H323" s="26" t="n"/>
    </row>
    <row r="324">
      <c r="A324" s="37" t="n"/>
      <c r="B324" s="37">
        <f>IFERROR(IF(A324="","",VLOOKUP(A324,DATABASE!A:B,2,0)),"")</f>
        <v/>
      </c>
      <c r="C324" s="38">
        <f>IFERROR(IF(A324="","",VLOOKUP(A324,DATABASE!A:J,10,0)),"")</f>
        <v/>
      </c>
      <c r="D324" s="39">
        <f>IF(A324="","",TODAY())</f>
        <v/>
      </c>
      <c r="E324" s="38" t="n"/>
      <c r="F324" s="38">
        <f>IFERROR(IF(OR(A324="",E324=""),"",C324-E324),"")</f>
        <v/>
      </c>
      <c r="G324" s="37" t="n"/>
      <c r="H324" s="37" t="n"/>
    </row>
    <row r="325">
      <c r="A325" s="26" t="n"/>
      <c r="B325" s="26">
        <f>IFERROR(IF(A325="","",VLOOKUP(A325,DATABASE!A:B,2,0)),"")</f>
        <v/>
      </c>
      <c r="C325" s="30">
        <f>IFERROR(IF(A325="","",VLOOKUP(A325,DATABASE!A:J,10,0)),"")</f>
        <v/>
      </c>
      <c r="D325" s="31">
        <f>IF(A325="","",TODAY())</f>
        <v/>
      </c>
      <c r="E325" s="30" t="n"/>
      <c r="F325" s="30">
        <f>IFERROR(IF(OR(A325="",E325=""),"",C325-E325),"")</f>
        <v/>
      </c>
      <c r="G325" s="26" t="n"/>
      <c r="H325" s="26" t="n"/>
    </row>
    <row r="326">
      <c r="A326" s="37" t="n"/>
      <c r="B326" s="37">
        <f>IFERROR(IF(A326="","",VLOOKUP(A326,DATABASE!A:B,2,0)),"")</f>
        <v/>
      </c>
      <c r="C326" s="38">
        <f>IFERROR(IF(A326="","",VLOOKUP(A326,DATABASE!A:J,10,0)),"")</f>
        <v/>
      </c>
      <c r="D326" s="39">
        <f>IF(A326="","",TODAY())</f>
        <v/>
      </c>
      <c r="E326" s="38" t="n"/>
      <c r="F326" s="38">
        <f>IFERROR(IF(OR(A326="",E326=""),"",C326-E326),"")</f>
        <v/>
      </c>
      <c r="G326" s="37" t="n"/>
      <c r="H326" s="37" t="n"/>
    </row>
    <row r="327">
      <c r="A327" s="26" t="n"/>
      <c r="B327" s="26">
        <f>IFERROR(IF(A327="","",VLOOKUP(A327,DATABASE!A:B,2,0)),"")</f>
        <v/>
      </c>
      <c r="C327" s="30">
        <f>IFERROR(IF(A327="","",VLOOKUP(A327,DATABASE!A:J,10,0)),"")</f>
        <v/>
      </c>
      <c r="D327" s="31">
        <f>IF(A327="","",TODAY())</f>
        <v/>
      </c>
      <c r="E327" s="30" t="n"/>
      <c r="F327" s="30">
        <f>IFERROR(IF(OR(A327="",E327=""),"",C327-E327),"")</f>
        <v/>
      </c>
      <c r="G327" s="26" t="n"/>
      <c r="H327" s="26" t="n"/>
    </row>
    <row r="328">
      <c r="A328" s="37" t="n"/>
      <c r="B328" s="37">
        <f>IFERROR(IF(A328="","",VLOOKUP(A328,DATABASE!A:B,2,0)),"")</f>
        <v/>
      </c>
      <c r="C328" s="38">
        <f>IFERROR(IF(A328="","",VLOOKUP(A328,DATABASE!A:J,10,0)),"")</f>
        <v/>
      </c>
      <c r="D328" s="39">
        <f>IF(A328="","",TODAY())</f>
        <v/>
      </c>
      <c r="E328" s="38" t="n"/>
      <c r="F328" s="38">
        <f>IFERROR(IF(OR(A328="",E328=""),"",C328-E328),"")</f>
        <v/>
      </c>
      <c r="G328" s="37" t="n"/>
      <c r="H328" s="37" t="n"/>
    </row>
    <row r="329">
      <c r="A329" s="26" t="n"/>
      <c r="B329" s="26">
        <f>IFERROR(IF(A329="","",VLOOKUP(A329,DATABASE!A:B,2,0)),"")</f>
        <v/>
      </c>
      <c r="C329" s="30">
        <f>IFERROR(IF(A329="","",VLOOKUP(A329,DATABASE!A:J,10,0)),"")</f>
        <v/>
      </c>
      <c r="D329" s="31">
        <f>IF(A329="","",TODAY())</f>
        <v/>
      </c>
      <c r="E329" s="30" t="n"/>
      <c r="F329" s="30">
        <f>IFERROR(IF(OR(A329="",E329=""),"",C329-E329),"")</f>
        <v/>
      </c>
      <c r="G329" s="26" t="n"/>
      <c r="H329" s="26" t="n"/>
    </row>
    <row r="330">
      <c r="A330" s="37" t="n"/>
      <c r="B330" s="37">
        <f>IFERROR(IF(A330="","",VLOOKUP(A330,DATABASE!A:B,2,0)),"")</f>
        <v/>
      </c>
      <c r="C330" s="38">
        <f>IFERROR(IF(A330="","",VLOOKUP(A330,DATABASE!A:J,10,0)),"")</f>
        <v/>
      </c>
      <c r="D330" s="39">
        <f>IF(A330="","",TODAY())</f>
        <v/>
      </c>
      <c r="E330" s="38" t="n"/>
      <c r="F330" s="38">
        <f>IFERROR(IF(OR(A330="",E330=""),"",C330-E330),"")</f>
        <v/>
      </c>
      <c r="G330" s="37" t="n"/>
      <c r="H330" s="37" t="n"/>
    </row>
    <row r="331">
      <c r="A331" s="26" t="n"/>
      <c r="B331" s="26">
        <f>IFERROR(IF(A331="","",VLOOKUP(A331,DATABASE!A:B,2,0)),"")</f>
        <v/>
      </c>
      <c r="C331" s="30">
        <f>IFERROR(IF(A331="","",VLOOKUP(A331,DATABASE!A:J,10,0)),"")</f>
        <v/>
      </c>
      <c r="D331" s="31">
        <f>IF(A331="","",TODAY())</f>
        <v/>
      </c>
      <c r="E331" s="30" t="n"/>
      <c r="F331" s="30">
        <f>IFERROR(IF(OR(A331="",E331=""),"",C331-E331),"")</f>
        <v/>
      </c>
      <c r="G331" s="26" t="n"/>
      <c r="H331" s="26" t="n"/>
    </row>
    <row r="332">
      <c r="A332" s="37" t="n"/>
      <c r="B332" s="37">
        <f>IFERROR(IF(A332="","",VLOOKUP(A332,DATABASE!A:B,2,0)),"")</f>
        <v/>
      </c>
      <c r="C332" s="38">
        <f>IFERROR(IF(A332="","",VLOOKUP(A332,DATABASE!A:J,10,0)),"")</f>
        <v/>
      </c>
      <c r="D332" s="39">
        <f>IF(A332="","",TODAY())</f>
        <v/>
      </c>
      <c r="E332" s="38" t="n"/>
      <c r="F332" s="38">
        <f>IFERROR(IF(OR(A332="",E332=""),"",C332-E332),"")</f>
        <v/>
      </c>
      <c r="G332" s="37" t="n"/>
      <c r="H332" s="37" t="n"/>
    </row>
    <row r="333">
      <c r="A333" s="26" t="n"/>
      <c r="B333" s="26">
        <f>IFERROR(IF(A333="","",VLOOKUP(A333,DATABASE!A:B,2,0)),"")</f>
        <v/>
      </c>
      <c r="C333" s="30">
        <f>IFERROR(IF(A333="","",VLOOKUP(A333,DATABASE!A:J,10,0)),"")</f>
        <v/>
      </c>
      <c r="D333" s="31">
        <f>IF(A333="","",TODAY())</f>
        <v/>
      </c>
      <c r="E333" s="30" t="n"/>
      <c r="F333" s="30">
        <f>IFERROR(IF(OR(A333="",E333=""),"",C333-E333),"")</f>
        <v/>
      </c>
      <c r="G333" s="26" t="n"/>
      <c r="H333" s="26" t="n"/>
    </row>
    <row r="334">
      <c r="A334" s="37" t="n"/>
      <c r="B334" s="37">
        <f>IFERROR(IF(A334="","",VLOOKUP(A334,DATABASE!A:B,2,0)),"")</f>
        <v/>
      </c>
      <c r="C334" s="38">
        <f>IFERROR(IF(A334="","",VLOOKUP(A334,DATABASE!A:J,10,0)),"")</f>
        <v/>
      </c>
      <c r="D334" s="39">
        <f>IF(A334="","",TODAY())</f>
        <v/>
      </c>
      <c r="E334" s="38" t="n"/>
      <c r="F334" s="38">
        <f>IFERROR(IF(OR(A334="",E334=""),"",C334-E334),"")</f>
        <v/>
      </c>
      <c r="G334" s="37" t="n"/>
      <c r="H334" s="37" t="n"/>
    </row>
    <row r="335">
      <c r="A335" s="26" t="n"/>
      <c r="B335" s="26">
        <f>IFERROR(IF(A335="","",VLOOKUP(A335,DATABASE!A:B,2,0)),"")</f>
        <v/>
      </c>
      <c r="C335" s="30">
        <f>IFERROR(IF(A335="","",VLOOKUP(A335,DATABASE!A:J,10,0)),"")</f>
        <v/>
      </c>
      <c r="D335" s="31">
        <f>IF(A335="","",TODAY())</f>
        <v/>
      </c>
      <c r="E335" s="30" t="n"/>
      <c r="F335" s="30">
        <f>IFERROR(IF(OR(A335="",E335=""),"",C335-E335),"")</f>
        <v/>
      </c>
      <c r="G335" s="26" t="n"/>
      <c r="H335" s="26" t="n"/>
    </row>
    <row r="336">
      <c r="A336" s="37" t="n"/>
      <c r="B336" s="37">
        <f>IFERROR(IF(A336="","",VLOOKUP(A336,DATABASE!A:B,2,0)),"")</f>
        <v/>
      </c>
      <c r="C336" s="38">
        <f>IFERROR(IF(A336="","",VLOOKUP(A336,DATABASE!A:J,10,0)),"")</f>
        <v/>
      </c>
      <c r="D336" s="39">
        <f>IF(A336="","",TODAY())</f>
        <v/>
      </c>
      <c r="E336" s="38" t="n"/>
      <c r="F336" s="38">
        <f>IFERROR(IF(OR(A336="",E336=""),"",C336-E336),"")</f>
        <v/>
      </c>
      <c r="G336" s="37" t="n"/>
      <c r="H336" s="37" t="n"/>
    </row>
    <row r="337">
      <c r="A337" s="26" t="n"/>
      <c r="B337" s="26">
        <f>IFERROR(IF(A337="","",VLOOKUP(A337,DATABASE!A:B,2,0)),"")</f>
        <v/>
      </c>
      <c r="C337" s="30">
        <f>IFERROR(IF(A337="","",VLOOKUP(A337,DATABASE!A:J,10,0)),"")</f>
        <v/>
      </c>
      <c r="D337" s="31">
        <f>IF(A337="","",TODAY())</f>
        <v/>
      </c>
      <c r="E337" s="30" t="n"/>
      <c r="F337" s="30">
        <f>IFERROR(IF(OR(A337="",E337=""),"",C337-E337),"")</f>
        <v/>
      </c>
      <c r="G337" s="26" t="n"/>
      <c r="H337" s="26" t="n"/>
    </row>
    <row r="338">
      <c r="A338" s="37" t="n"/>
      <c r="B338" s="37">
        <f>IFERROR(IF(A338="","",VLOOKUP(A338,DATABASE!A:B,2,0)),"")</f>
        <v/>
      </c>
      <c r="C338" s="38">
        <f>IFERROR(IF(A338="","",VLOOKUP(A338,DATABASE!A:J,10,0)),"")</f>
        <v/>
      </c>
      <c r="D338" s="39">
        <f>IF(A338="","",TODAY())</f>
        <v/>
      </c>
      <c r="E338" s="38" t="n"/>
      <c r="F338" s="38">
        <f>IFERROR(IF(OR(A338="",E338=""),"",C338-E338),"")</f>
        <v/>
      </c>
      <c r="G338" s="37" t="n"/>
      <c r="H338" s="37" t="n"/>
    </row>
    <row r="339">
      <c r="A339" s="26" t="n"/>
      <c r="B339" s="26">
        <f>IFERROR(IF(A339="","",VLOOKUP(A339,DATABASE!A:B,2,0)),"")</f>
        <v/>
      </c>
      <c r="C339" s="30">
        <f>IFERROR(IF(A339="","",VLOOKUP(A339,DATABASE!A:J,10,0)),"")</f>
        <v/>
      </c>
      <c r="D339" s="31">
        <f>IF(A339="","",TODAY())</f>
        <v/>
      </c>
      <c r="E339" s="30" t="n"/>
      <c r="F339" s="30">
        <f>IFERROR(IF(OR(A339="",E339=""),"",C339-E339),"")</f>
        <v/>
      </c>
      <c r="G339" s="26" t="n"/>
      <c r="H339" s="26" t="n"/>
    </row>
    <row r="340">
      <c r="A340" s="37" t="n"/>
      <c r="B340" s="37">
        <f>IFERROR(IF(A340="","",VLOOKUP(A340,DATABASE!A:B,2,0)),"")</f>
        <v/>
      </c>
      <c r="C340" s="38">
        <f>IFERROR(IF(A340="","",VLOOKUP(A340,DATABASE!A:J,10,0)),"")</f>
        <v/>
      </c>
      <c r="D340" s="39">
        <f>IF(A340="","",TODAY())</f>
        <v/>
      </c>
      <c r="E340" s="38" t="n"/>
      <c r="F340" s="38">
        <f>IFERROR(IF(OR(A340="",E340=""),"",C340-E340),"")</f>
        <v/>
      </c>
      <c r="G340" s="37" t="n"/>
      <c r="H340" s="37" t="n"/>
    </row>
    <row r="341">
      <c r="A341" s="26" t="n"/>
      <c r="B341" s="26">
        <f>IFERROR(IF(A341="","",VLOOKUP(A341,DATABASE!A:B,2,0)),"")</f>
        <v/>
      </c>
      <c r="C341" s="30">
        <f>IFERROR(IF(A341="","",VLOOKUP(A341,DATABASE!A:J,10,0)),"")</f>
        <v/>
      </c>
      <c r="D341" s="31">
        <f>IF(A341="","",TODAY())</f>
        <v/>
      </c>
      <c r="E341" s="30" t="n"/>
      <c r="F341" s="30">
        <f>IFERROR(IF(OR(A341="",E341=""),"",C341-E341),"")</f>
        <v/>
      </c>
      <c r="G341" s="26" t="n"/>
      <c r="H341" s="26" t="n"/>
    </row>
    <row r="342">
      <c r="A342" s="37" t="n"/>
      <c r="B342" s="37">
        <f>IFERROR(IF(A342="","",VLOOKUP(A342,DATABASE!A:B,2,0)),"")</f>
        <v/>
      </c>
      <c r="C342" s="38">
        <f>IFERROR(IF(A342="","",VLOOKUP(A342,DATABASE!A:J,10,0)),"")</f>
        <v/>
      </c>
      <c r="D342" s="39">
        <f>IF(A342="","",TODAY())</f>
        <v/>
      </c>
      <c r="E342" s="38" t="n"/>
      <c r="F342" s="38">
        <f>IFERROR(IF(OR(A342="",E342=""),"",C342-E342),"")</f>
        <v/>
      </c>
      <c r="G342" s="37" t="n"/>
      <c r="H342" s="37" t="n"/>
    </row>
    <row r="343">
      <c r="A343" s="26" t="n"/>
      <c r="B343" s="26">
        <f>IFERROR(IF(A343="","",VLOOKUP(A343,DATABASE!A:B,2,0)),"")</f>
        <v/>
      </c>
      <c r="C343" s="30">
        <f>IFERROR(IF(A343="","",VLOOKUP(A343,DATABASE!A:J,10,0)),"")</f>
        <v/>
      </c>
      <c r="D343" s="31">
        <f>IF(A343="","",TODAY())</f>
        <v/>
      </c>
      <c r="E343" s="30" t="n"/>
      <c r="F343" s="30">
        <f>IFERROR(IF(OR(A343="",E343=""),"",C343-E343),"")</f>
        <v/>
      </c>
      <c r="G343" s="26" t="n"/>
      <c r="H343" s="26" t="n"/>
    </row>
    <row r="344">
      <c r="A344" s="37" t="n"/>
      <c r="B344" s="37">
        <f>IFERROR(IF(A344="","",VLOOKUP(A344,DATABASE!A:B,2,0)),"")</f>
        <v/>
      </c>
      <c r="C344" s="38">
        <f>IFERROR(IF(A344="","",VLOOKUP(A344,DATABASE!A:J,10,0)),"")</f>
        <v/>
      </c>
      <c r="D344" s="39">
        <f>IF(A344="","",TODAY())</f>
        <v/>
      </c>
      <c r="E344" s="38" t="n"/>
      <c r="F344" s="38">
        <f>IFERROR(IF(OR(A344="",E344=""),"",C344-E344),"")</f>
        <v/>
      </c>
      <c r="G344" s="37" t="n"/>
      <c r="H344" s="37" t="n"/>
    </row>
    <row r="345">
      <c r="A345" s="26" t="n"/>
      <c r="B345" s="26">
        <f>IFERROR(IF(A345="","",VLOOKUP(A345,DATABASE!A:B,2,0)),"")</f>
        <v/>
      </c>
      <c r="C345" s="30">
        <f>IFERROR(IF(A345="","",VLOOKUP(A345,DATABASE!A:J,10,0)),"")</f>
        <v/>
      </c>
      <c r="D345" s="31">
        <f>IF(A345="","",TODAY())</f>
        <v/>
      </c>
      <c r="E345" s="30" t="n"/>
      <c r="F345" s="30">
        <f>IFERROR(IF(OR(A345="",E345=""),"",C345-E345),"")</f>
        <v/>
      </c>
      <c r="G345" s="26" t="n"/>
      <c r="H345" s="26" t="n"/>
    </row>
    <row r="346">
      <c r="A346" s="37" t="n"/>
      <c r="B346" s="37">
        <f>IFERROR(IF(A346="","",VLOOKUP(A346,DATABASE!A:B,2,0)),"")</f>
        <v/>
      </c>
      <c r="C346" s="38">
        <f>IFERROR(IF(A346="","",VLOOKUP(A346,DATABASE!A:J,10,0)),"")</f>
        <v/>
      </c>
      <c r="D346" s="39">
        <f>IF(A346="","",TODAY())</f>
        <v/>
      </c>
      <c r="E346" s="38" t="n"/>
      <c r="F346" s="38">
        <f>IFERROR(IF(OR(A346="",E346=""),"",C346-E346),"")</f>
        <v/>
      </c>
      <c r="G346" s="37" t="n"/>
      <c r="H346" s="37" t="n"/>
    </row>
    <row r="347">
      <c r="A347" s="26" t="n"/>
      <c r="B347" s="26">
        <f>IFERROR(IF(A347="","",VLOOKUP(A347,DATABASE!A:B,2,0)),"")</f>
        <v/>
      </c>
      <c r="C347" s="30">
        <f>IFERROR(IF(A347="","",VLOOKUP(A347,DATABASE!A:J,10,0)),"")</f>
        <v/>
      </c>
      <c r="D347" s="31">
        <f>IF(A347="","",TODAY())</f>
        <v/>
      </c>
      <c r="E347" s="30" t="n"/>
      <c r="F347" s="30">
        <f>IFERROR(IF(OR(A347="",E347=""),"",C347-E347),"")</f>
        <v/>
      </c>
      <c r="G347" s="26" t="n"/>
      <c r="H347" s="26" t="n"/>
    </row>
    <row r="348">
      <c r="A348" s="37" t="n"/>
      <c r="B348" s="37">
        <f>IFERROR(IF(A348="","",VLOOKUP(A348,DATABASE!A:B,2,0)),"")</f>
        <v/>
      </c>
      <c r="C348" s="38">
        <f>IFERROR(IF(A348="","",VLOOKUP(A348,DATABASE!A:J,10,0)),"")</f>
        <v/>
      </c>
      <c r="D348" s="39">
        <f>IF(A348="","",TODAY())</f>
        <v/>
      </c>
      <c r="E348" s="38" t="n"/>
      <c r="F348" s="38">
        <f>IFERROR(IF(OR(A348="",E348=""),"",C348-E348),"")</f>
        <v/>
      </c>
      <c r="G348" s="37" t="n"/>
      <c r="H348" s="37" t="n"/>
    </row>
    <row r="349">
      <c r="A349" s="26" t="n"/>
      <c r="B349" s="26">
        <f>IFERROR(IF(A349="","",VLOOKUP(A349,DATABASE!A:B,2,0)),"")</f>
        <v/>
      </c>
      <c r="C349" s="30">
        <f>IFERROR(IF(A349="","",VLOOKUP(A349,DATABASE!A:J,10,0)),"")</f>
        <v/>
      </c>
      <c r="D349" s="31">
        <f>IF(A349="","",TODAY())</f>
        <v/>
      </c>
      <c r="E349" s="30" t="n"/>
      <c r="F349" s="30">
        <f>IFERROR(IF(OR(A349="",E349=""),"",C349-E349),"")</f>
        <v/>
      </c>
      <c r="G349" s="26" t="n"/>
      <c r="H349" s="26" t="n"/>
    </row>
    <row r="350">
      <c r="A350" s="37" t="n"/>
      <c r="B350" s="37">
        <f>IFERROR(IF(A350="","",VLOOKUP(A350,DATABASE!A:B,2,0)),"")</f>
        <v/>
      </c>
      <c r="C350" s="38">
        <f>IFERROR(IF(A350="","",VLOOKUP(A350,DATABASE!A:J,10,0)),"")</f>
        <v/>
      </c>
      <c r="D350" s="39">
        <f>IF(A350="","",TODAY())</f>
        <v/>
      </c>
      <c r="E350" s="38" t="n"/>
      <c r="F350" s="38">
        <f>IFERROR(IF(OR(A350="",E350=""),"",C350-E350),"")</f>
        <v/>
      </c>
      <c r="G350" s="37" t="n"/>
      <c r="H350" s="37" t="n"/>
    </row>
    <row r="351">
      <c r="A351" s="26" t="n"/>
      <c r="B351" s="26">
        <f>IFERROR(IF(A351="","",VLOOKUP(A351,DATABASE!A:B,2,0)),"")</f>
        <v/>
      </c>
      <c r="C351" s="30">
        <f>IFERROR(IF(A351="","",VLOOKUP(A351,DATABASE!A:J,10,0)),"")</f>
        <v/>
      </c>
      <c r="D351" s="31">
        <f>IF(A351="","",TODAY())</f>
        <v/>
      </c>
      <c r="E351" s="30" t="n"/>
      <c r="F351" s="30">
        <f>IFERROR(IF(OR(A351="",E351=""),"",C351-E351),"")</f>
        <v/>
      </c>
      <c r="G351" s="26" t="n"/>
      <c r="H351" s="26" t="n"/>
    </row>
    <row r="352">
      <c r="A352" s="37" t="n"/>
      <c r="B352" s="37">
        <f>IFERROR(IF(A352="","",VLOOKUP(A352,DATABASE!A:B,2,0)),"")</f>
        <v/>
      </c>
      <c r="C352" s="38">
        <f>IFERROR(IF(A352="","",VLOOKUP(A352,DATABASE!A:J,10,0)),"")</f>
        <v/>
      </c>
      <c r="D352" s="39">
        <f>IF(A352="","",TODAY())</f>
        <v/>
      </c>
      <c r="E352" s="38" t="n"/>
      <c r="F352" s="38">
        <f>IFERROR(IF(OR(A352="",E352=""),"",C352-E352),"")</f>
        <v/>
      </c>
      <c r="G352" s="37" t="n"/>
      <c r="H352" s="37" t="n"/>
    </row>
    <row r="353">
      <c r="A353" s="26" t="n"/>
      <c r="B353" s="26">
        <f>IFERROR(IF(A353="","",VLOOKUP(A353,DATABASE!A:B,2,0)),"")</f>
        <v/>
      </c>
      <c r="C353" s="30">
        <f>IFERROR(IF(A353="","",VLOOKUP(A353,DATABASE!A:J,10,0)),"")</f>
        <v/>
      </c>
      <c r="D353" s="31">
        <f>IF(A353="","",TODAY())</f>
        <v/>
      </c>
      <c r="E353" s="30" t="n"/>
      <c r="F353" s="30">
        <f>IFERROR(IF(OR(A353="",E353=""),"",C353-E353),"")</f>
        <v/>
      </c>
      <c r="G353" s="26" t="n"/>
      <c r="H353" s="26" t="n"/>
    </row>
    <row r="354">
      <c r="A354" s="37" t="n"/>
      <c r="B354" s="37">
        <f>IFERROR(IF(A354="","",VLOOKUP(A354,DATABASE!A:B,2,0)),"")</f>
        <v/>
      </c>
      <c r="C354" s="38">
        <f>IFERROR(IF(A354="","",VLOOKUP(A354,DATABASE!A:J,10,0)),"")</f>
        <v/>
      </c>
      <c r="D354" s="39">
        <f>IF(A354="","",TODAY())</f>
        <v/>
      </c>
      <c r="E354" s="38" t="n"/>
      <c r="F354" s="38">
        <f>IFERROR(IF(OR(A354="",E354=""),"",C354-E354),"")</f>
        <v/>
      </c>
      <c r="G354" s="37" t="n"/>
      <c r="H354" s="37" t="n"/>
    </row>
    <row r="355">
      <c r="A355" s="26" t="n"/>
      <c r="B355" s="26">
        <f>IFERROR(IF(A355="","",VLOOKUP(A355,DATABASE!A:B,2,0)),"")</f>
        <v/>
      </c>
      <c r="C355" s="30">
        <f>IFERROR(IF(A355="","",VLOOKUP(A355,DATABASE!A:J,10,0)),"")</f>
        <v/>
      </c>
      <c r="D355" s="31">
        <f>IF(A355="","",TODAY())</f>
        <v/>
      </c>
      <c r="E355" s="30" t="n"/>
      <c r="F355" s="30">
        <f>IFERROR(IF(OR(A355="",E355=""),"",C355-E355),"")</f>
        <v/>
      </c>
      <c r="G355" s="26" t="n"/>
      <c r="H355" s="26" t="n"/>
    </row>
    <row r="356">
      <c r="A356" s="37" t="n"/>
      <c r="B356" s="37">
        <f>IFERROR(IF(A356="","",VLOOKUP(A356,DATABASE!A:B,2,0)),"")</f>
        <v/>
      </c>
      <c r="C356" s="38">
        <f>IFERROR(IF(A356="","",VLOOKUP(A356,DATABASE!A:J,10,0)),"")</f>
        <v/>
      </c>
      <c r="D356" s="39">
        <f>IF(A356="","",TODAY())</f>
        <v/>
      </c>
      <c r="E356" s="38" t="n"/>
      <c r="F356" s="38">
        <f>IFERROR(IF(OR(A356="",E356=""),"",C356-E356),"")</f>
        <v/>
      </c>
      <c r="G356" s="37" t="n"/>
      <c r="H356" s="37" t="n"/>
    </row>
    <row r="357">
      <c r="A357" s="26" t="n"/>
      <c r="B357" s="26">
        <f>IFERROR(IF(A357="","",VLOOKUP(A357,DATABASE!A:B,2,0)),"")</f>
        <v/>
      </c>
      <c r="C357" s="30">
        <f>IFERROR(IF(A357="","",VLOOKUP(A357,DATABASE!A:J,10,0)),"")</f>
        <v/>
      </c>
      <c r="D357" s="31">
        <f>IF(A357="","",TODAY())</f>
        <v/>
      </c>
      <c r="E357" s="30" t="n"/>
      <c r="F357" s="30">
        <f>IFERROR(IF(OR(A357="",E357=""),"",C357-E357),"")</f>
        <v/>
      </c>
      <c r="G357" s="26" t="n"/>
      <c r="H357" s="26" t="n"/>
    </row>
    <row r="358">
      <c r="A358" s="37" t="n"/>
      <c r="B358" s="37">
        <f>IFERROR(IF(A358="","",VLOOKUP(A358,DATABASE!A:B,2,0)),"")</f>
        <v/>
      </c>
      <c r="C358" s="38">
        <f>IFERROR(IF(A358="","",VLOOKUP(A358,DATABASE!A:J,10,0)),"")</f>
        <v/>
      </c>
      <c r="D358" s="39">
        <f>IF(A358="","",TODAY())</f>
        <v/>
      </c>
      <c r="E358" s="38" t="n"/>
      <c r="F358" s="38">
        <f>IFERROR(IF(OR(A358="",E358=""),"",C358-E358),"")</f>
        <v/>
      </c>
      <c r="G358" s="37" t="n"/>
      <c r="H358" s="37" t="n"/>
    </row>
    <row r="359">
      <c r="A359" s="26" t="n"/>
      <c r="B359" s="26">
        <f>IFERROR(IF(A359="","",VLOOKUP(A359,DATABASE!A:B,2,0)),"")</f>
        <v/>
      </c>
      <c r="C359" s="30">
        <f>IFERROR(IF(A359="","",VLOOKUP(A359,DATABASE!A:J,10,0)),"")</f>
        <v/>
      </c>
      <c r="D359" s="31">
        <f>IF(A359="","",TODAY())</f>
        <v/>
      </c>
      <c r="E359" s="30" t="n"/>
      <c r="F359" s="30">
        <f>IFERROR(IF(OR(A359="",E359=""),"",C359-E359),"")</f>
        <v/>
      </c>
      <c r="G359" s="26" t="n"/>
      <c r="H359" s="26" t="n"/>
    </row>
    <row r="360">
      <c r="A360" s="37" t="n"/>
      <c r="B360" s="37">
        <f>IFERROR(IF(A360="","",VLOOKUP(A360,DATABASE!A:B,2,0)),"")</f>
        <v/>
      </c>
      <c r="C360" s="38">
        <f>IFERROR(IF(A360="","",VLOOKUP(A360,DATABASE!A:J,10,0)),"")</f>
        <v/>
      </c>
      <c r="D360" s="39">
        <f>IF(A360="","",TODAY())</f>
        <v/>
      </c>
      <c r="E360" s="38" t="n"/>
      <c r="F360" s="38">
        <f>IFERROR(IF(OR(A360="",E360=""),"",C360-E360),"")</f>
        <v/>
      </c>
      <c r="G360" s="37" t="n"/>
      <c r="H360" s="37" t="n"/>
    </row>
    <row r="361">
      <c r="A361" s="26" t="n"/>
      <c r="B361" s="26">
        <f>IFERROR(IF(A361="","",VLOOKUP(A361,DATABASE!A:B,2,0)),"")</f>
        <v/>
      </c>
      <c r="C361" s="30">
        <f>IFERROR(IF(A361="","",VLOOKUP(A361,DATABASE!A:J,10,0)),"")</f>
        <v/>
      </c>
      <c r="D361" s="31">
        <f>IF(A361="","",TODAY())</f>
        <v/>
      </c>
      <c r="E361" s="30" t="n"/>
      <c r="F361" s="30">
        <f>IFERROR(IF(OR(A361="",E361=""),"",C361-E361),"")</f>
        <v/>
      </c>
      <c r="G361" s="26" t="n"/>
      <c r="H361" s="26" t="n"/>
    </row>
    <row r="362">
      <c r="A362" s="37" t="n"/>
      <c r="B362" s="37">
        <f>IFERROR(IF(A362="","",VLOOKUP(A362,DATABASE!A:B,2,0)),"")</f>
        <v/>
      </c>
      <c r="C362" s="38">
        <f>IFERROR(IF(A362="","",VLOOKUP(A362,DATABASE!A:J,10,0)),"")</f>
        <v/>
      </c>
      <c r="D362" s="39">
        <f>IF(A362="","",TODAY())</f>
        <v/>
      </c>
      <c r="E362" s="38" t="n"/>
      <c r="F362" s="38">
        <f>IFERROR(IF(OR(A362="",E362=""),"",C362-E362),"")</f>
        <v/>
      </c>
      <c r="G362" s="37" t="n"/>
      <c r="H362" s="37" t="n"/>
    </row>
    <row r="363">
      <c r="A363" s="26" t="n"/>
      <c r="B363" s="26">
        <f>IFERROR(IF(A363="","",VLOOKUP(A363,DATABASE!A:B,2,0)),"")</f>
        <v/>
      </c>
      <c r="C363" s="30">
        <f>IFERROR(IF(A363="","",VLOOKUP(A363,DATABASE!A:J,10,0)),"")</f>
        <v/>
      </c>
      <c r="D363" s="31">
        <f>IF(A363="","",TODAY())</f>
        <v/>
      </c>
      <c r="E363" s="30" t="n"/>
      <c r="F363" s="30">
        <f>IFERROR(IF(OR(A363="",E363=""),"",C363-E363),"")</f>
        <v/>
      </c>
      <c r="G363" s="26" t="n"/>
      <c r="H363" s="26" t="n"/>
    </row>
    <row r="364">
      <c r="A364" s="37" t="n"/>
      <c r="B364" s="37">
        <f>IFERROR(IF(A364="","",VLOOKUP(A364,DATABASE!A:B,2,0)),"")</f>
        <v/>
      </c>
      <c r="C364" s="38">
        <f>IFERROR(IF(A364="","",VLOOKUP(A364,DATABASE!A:J,10,0)),"")</f>
        <v/>
      </c>
      <c r="D364" s="39">
        <f>IF(A364="","",TODAY())</f>
        <v/>
      </c>
      <c r="E364" s="38" t="n"/>
      <c r="F364" s="38">
        <f>IFERROR(IF(OR(A364="",E364=""),"",C364-E364),"")</f>
        <v/>
      </c>
      <c r="G364" s="37" t="n"/>
      <c r="H364" s="37" t="n"/>
    </row>
    <row r="365">
      <c r="A365" s="26" t="n"/>
      <c r="B365" s="26">
        <f>IFERROR(IF(A365="","",VLOOKUP(A365,DATABASE!A:B,2,0)),"")</f>
        <v/>
      </c>
      <c r="C365" s="30">
        <f>IFERROR(IF(A365="","",VLOOKUP(A365,DATABASE!A:J,10,0)),"")</f>
        <v/>
      </c>
      <c r="D365" s="31">
        <f>IF(A365="","",TODAY())</f>
        <v/>
      </c>
      <c r="E365" s="30" t="n"/>
      <c r="F365" s="30">
        <f>IFERROR(IF(OR(A365="",E365=""),"",C365-E365),"")</f>
        <v/>
      </c>
      <c r="G365" s="26" t="n"/>
      <c r="H365" s="26" t="n"/>
    </row>
    <row r="366">
      <c r="A366" s="37" t="n"/>
      <c r="B366" s="37">
        <f>IFERROR(IF(A366="","",VLOOKUP(A366,DATABASE!A:B,2,0)),"")</f>
        <v/>
      </c>
      <c r="C366" s="38">
        <f>IFERROR(IF(A366="","",VLOOKUP(A366,DATABASE!A:J,10,0)),"")</f>
        <v/>
      </c>
      <c r="D366" s="39">
        <f>IF(A366="","",TODAY())</f>
        <v/>
      </c>
      <c r="E366" s="38" t="n"/>
      <c r="F366" s="38">
        <f>IFERROR(IF(OR(A366="",E366=""),"",C366-E366),"")</f>
        <v/>
      </c>
      <c r="G366" s="37" t="n"/>
      <c r="H366" s="37" t="n"/>
    </row>
    <row r="367">
      <c r="A367" s="26" t="n"/>
      <c r="B367" s="26">
        <f>IFERROR(IF(A367="","",VLOOKUP(A367,DATABASE!A:B,2,0)),"")</f>
        <v/>
      </c>
      <c r="C367" s="30">
        <f>IFERROR(IF(A367="","",VLOOKUP(A367,DATABASE!A:J,10,0)),"")</f>
        <v/>
      </c>
      <c r="D367" s="31">
        <f>IF(A367="","",TODAY())</f>
        <v/>
      </c>
      <c r="E367" s="30" t="n"/>
      <c r="F367" s="30">
        <f>IFERROR(IF(OR(A367="",E367=""),"",C367-E367),"")</f>
        <v/>
      </c>
      <c r="G367" s="26" t="n"/>
      <c r="H367" s="26" t="n"/>
    </row>
    <row r="368">
      <c r="A368" s="37" t="n"/>
      <c r="B368" s="37">
        <f>IFERROR(IF(A368="","",VLOOKUP(A368,DATABASE!A:B,2,0)),"")</f>
        <v/>
      </c>
      <c r="C368" s="38">
        <f>IFERROR(IF(A368="","",VLOOKUP(A368,DATABASE!A:J,10,0)),"")</f>
        <v/>
      </c>
      <c r="D368" s="39">
        <f>IF(A368="","",TODAY())</f>
        <v/>
      </c>
      <c r="E368" s="38" t="n"/>
      <c r="F368" s="38">
        <f>IFERROR(IF(OR(A368="",E368=""),"",C368-E368),"")</f>
        <v/>
      </c>
      <c r="G368" s="37" t="n"/>
      <c r="H368" s="37" t="n"/>
    </row>
    <row r="369">
      <c r="A369" s="26" t="n"/>
      <c r="B369" s="26">
        <f>IFERROR(IF(A369="","",VLOOKUP(A369,DATABASE!A:B,2,0)),"")</f>
        <v/>
      </c>
      <c r="C369" s="30">
        <f>IFERROR(IF(A369="","",VLOOKUP(A369,DATABASE!A:J,10,0)),"")</f>
        <v/>
      </c>
      <c r="D369" s="31">
        <f>IF(A369="","",TODAY())</f>
        <v/>
      </c>
      <c r="E369" s="30" t="n"/>
      <c r="F369" s="30">
        <f>IFERROR(IF(OR(A369="",E369=""),"",C369-E369),"")</f>
        <v/>
      </c>
      <c r="G369" s="26" t="n"/>
      <c r="H369" s="26" t="n"/>
    </row>
    <row r="370">
      <c r="A370" s="37" t="n"/>
      <c r="B370" s="37">
        <f>IFERROR(IF(A370="","",VLOOKUP(A370,DATABASE!A:B,2,0)),"")</f>
        <v/>
      </c>
      <c r="C370" s="38">
        <f>IFERROR(IF(A370="","",VLOOKUP(A370,DATABASE!A:J,10,0)),"")</f>
        <v/>
      </c>
      <c r="D370" s="39">
        <f>IF(A370="","",TODAY())</f>
        <v/>
      </c>
      <c r="E370" s="38" t="n"/>
      <c r="F370" s="38">
        <f>IFERROR(IF(OR(A370="",E370=""),"",C370-E370),"")</f>
        <v/>
      </c>
      <c r="G370" s="37" t="n"/>
      <c r="H370" s="37" t="n"/>
    </row>
    <row r="371">
      <c r="A371" s="26" t="n"/>
      <c r="B371" s="26">
        <f>IFERROR(IF(A371="","",VLOOKUP(A371,DATABASE!A:B,2,0)),"")</f>
        <v/>
      </c>
      <c r="C371" s="30">
        <f>IFERROR(IF(A371="","",VLOOKUP(A371,DATABASE!A:J,10,0)),"")</f>
        <v/>
      </c>
      <c r="D371" s="31">
        <f>IF(A371="","",TODAY())</f>
        <v/>
      </c>
      <c r="E371" s="30" t="n"/>
      <c r="F371" s="30">
        <f>IFERROR(IF(OR(A371="",E371=""),"",C371-E371),"")</f>
        <v/>
      </c>
      <c r="G371" s="26" t="n"/>
      <c r="H371" s="26" t="n"/>
    </row>
    <row r="372">
      <c r="A372" s="37" t="n"/>
      <c r="B372" s="37">
        <f>IFERROR(IF(A372="","",VLOOKUP(A372,DATABASE!A:B,2,0)),"")</f>
        <v/>
      </c>
      <c r="C372" s="38">
        <f>IFERROR(IF(A372="","",VLOOKUP(A372,DATABASE!A:J,10,0)),"")</f>
        <v/>
      </c>
      <c r="D372" s="39">
        <f>IF(A372="","",TODAY())</f>
        <v/>
      </c>
      <c r="E372" s="38" t="n"/>
      <c r="F372" s="38">
        <f>IFERROR(IF(OR(A372="",E372=""),"",C372-E372),"")</f>
        <v/>
      </c>
      <c r="G372" s="37" t="n"/>
      <c r="H372" s="37" t="n"/>
    </row>
    <row r="373">
      <c r="A373" s="26" t="n"/>
      <c r="B373" s="26">
        <f>IFERROR(IF(A373="","",VLOOKUP(A373,DATABASE!A:B,2,0)),"")</f>
        <v/>
      </c>
      <c r="C373" s="30">
        <f>IFERROR(IF(A373="","",VLOOKUP(A373,DATABASE!A:J,10,0)),"")</f>
        <v/>
      </c>
      <c r="D373" s="31">
        <f>IF(A373="","",TODAY())</f>
        <v/>
      </c>
      <c r="E373" s="30" t="n"/>
      <c r="F373" s="30">
        <f>IFERROR(IF(OR(A373="",E373=""),"",C373-E373),"")</f>
        <v/>
      </c>
      <c r="G373" s="26" t="n"/>
      <c r="H373" s="26" t="n"/>
    </row>
    <row r="374">
      <c r="A374" s="37" t="n"/>
      <c r="B374" s="37">
        <f>IFERROR(IF(A374="","",VLOOKUP(A374,DATABASE!A:B,2,0)),"")</f>
        <v/>
      </c>
      <c r="C374" s="38">
        <f>IFERROR(IF(A374="","",VLOOKUP(A374,DATABASE!A:J,10,0)),"")</f>
        <v/>
      </c>
      <c r="D374" s="39">
        <f>IF(A374="","",TODAY())</f>
        <v/>
      </c>
      <c r="E374" s="38" t="n"/>
      <c r="F374" s="38">
        <f>IFERROR(IF(OR(A374="",E374=""),"",C374-E374),"")</f>
        <v/>
      </c>
      <c r="G374" s="37" t="n"/>
      <c r="H374" s="37" t="n"/>
    </row>
    <row r="375">
      <c r="A375" s="26" t="n"/>
      <c r="B375" s="26">
        <f>IFERROR(IF(A375="","",VLOOKUP(A375,DATABASE!A:B,2,0)),"")</f>
        <v/>
      </c>
      <c r="C375" s="30">
        <f>IFERROR(IF(A375="","",VLOOKUP(A375,DATABASE!A:J,10,0)),"")</f>
        <v/>
      </c>
      <c r="D375" s="31">
        <f>IF(A375="","",TODAY())</f>
        <v/>
      </c>
      <c r="E375" s="30" t="n"/>
      <c r="F375" s="30">
        <f>IFERROR(IF(OR(A375="",E375=""),"",C375-E375),"")</f>
        <v/>
      </c>
      <c r="G375" s="26" t="n"/>
      <c r="H375" s="26" t="n"/>
    </row>
    <row r="376">
      <c r="A376" s="37" t="n"/>
      <c r="B376" s="37">
        <f>IFERROR(IF(A376="","",VLOOKUP(A376,DATABASE!A:B,2,0)),"")</f>
        <v/>
      </c>
      <c r="C376" s="38">
        <f>IFERROR(IF(A376="","",VLOOKUP(A376,DATABASE!A:J,10,0)),"")</f>
        <v/>
      </c>
      <c r="D376" s="39">
        <f>IF(A376="","",TODAY())</f>
        <v/>
      </c>
      <c r="E376" s="38" t="n"/>
      <c r="F376" s="38">
        <f>IFERROR(IF(OR(A376="",E376=""),"",C376-E376),"")</f>
        <v/>
      </c>
      <c r="G376" s="37" t="n"/>
      <c r="H376" s="37" t="n"/>
    </row>
    <row r="377">
      <c r="A377" s="26" t="n"/>
      <c r="B377" s="26">
        <f>IFERROR(IF(A377="","",VLOOKUP(A377,DATABASE!A:B,2,0)),"")</f>
        <v/>
      </c>
      <c r="C377" s="30">
        <f>IFERROR(IF(A377="","",VLOOKUP(A377,DATABASE!A:J,10,0)),"")</f>
        <v/>
      </c>
      <c r="D377" s="31">
        <f>IF(A377="","",TODAY())</f>
        <v/>
      </c>
      <c r="E377" s="30" t="n"/>
      <c r="F377" s="30">
        <f>IFERROR(IF(OR(A377="",E377=""),"",C377-E377),"")</f>
        <v/>
      </c>
      <c r="G377" s="26" t="n"/>
      <c r="H377" s="26" t="n"/>
    </row>
    <row r="378">
      <c r="A378" s="37" t="n"/>
      <c r="B378" s="37">
        <f>IFERROR(IF(A378="","",VLOOKUP(A378,DATABASE!A:B,2,0)),"")</f>
        <v/>
      </c>
      <c r="C378" s="38">
        <f>IFERROR(IF(A378="","",VLOOKUP(A378,DATABASE!A:J,10,0)),"")</f>
        <v/>
      </c>
      <c r="D378" s="39">
        <f>IF(A378="","",TODAY())</f>
        <v/>
      </c>
      <c r="E378" s="38" t="n"/>
      <c r="F378" s="38">
        <f>IFERROR(IF(OR(A378="",E378=""),"",C378-E378),"")</f>
        <v/>
      </c>
      <c r="G378" s="37" t="n"/>
      <c r="H378" s="37" t="n"/>
    </row>
    <row r="379">
      <c r="A379" s="26" t="n"/>
      <c r="B379" s="26">
        <f>IFERROR(IF(A379="","",VLOOKUP(A379,DATABASE!A:B,2,0)),"")</f>
        <v/>
      </c>
      <c r="C379" s="30">
        <f>IFERROR(IF(A379="","",VLOOKUP(A379,DATABASE!A:J,10,0)),"")</f>
        <v/>
      </c>
      <c r="D379" s="31">
        <f>IF(A379="","",TODAY())</f>
        <v/>
      </c>
      <c r="E379" s="30" t="n"/>
      <c r="F379" s="30">
        <f>IFERROR(IF(OR(A379="",E379=""),"",C379-E379),"")</f>
        <v/>
      </c>
      <c r="G379" s="26" t="n"/>
      <c r="H379" s="26" t="n"/>
    </row>
    <row r="380">
      <c r="A380" s="37" t="n"/>
      <c r="B380" s="37">
        <f>IFERROR(IF(A380="","",VLOOKUP(A380,DATABASE!A:B,2,0)),"")</f>
        <v/>
      </c>
      <c r="C380" s="38">
        <f>IFERROR(IF(A380="","",VLOOKUP(A380,DATABASE!A:J,10,0)),"")</f>
        <v/>
      </c>
      <c r="D380" s="39">
        <f>IF(A380="","",TODAY())</f>
        <v/>
      </c>
      <c r="E380" s="38" t="n"/>
      <c r="F380" s="38">
        <f>IFERROR(IF(OR(A380="",E380=""),"",C380-E380),"")</f>
        <v/>
      </c>
      <c r="G380" s="37" t="n"/>
      <c r="H380" s="37" t="n"/>
    </row>
    <row r="381">
      <c r="A381" s="26" t="n"/>
      <c r="B381" s="26">
        <f>IFERROR(IF(A381="","",VLOOKUP(A381,DATABASE!A:B,2,0)),"")</f>
        <v/>
      </c>
      <c r="C381" s="30">
        <f>IFERROR(IF(A381="","",VLOOKUP(A381,DATABASE!A:J,10,0)),"")</f>
        <v/>
      </c>
      <c r="D381" s="31">
        <f>IF(A381="","",TODAY())</f>
        <v/>
      </c>
      <c r="E381" s="30" t="n"/>
      <c r="F381" s="30">
        <f>IFERROR(IF(OR(A381="",E381=""),"",C381-E381),"")</f>
        <v/>
      </c>
      <c r="G381" s="26" t="n"/>
      <c r="H381" s="26" t="n"/>
    </row>
    <row r="382">
      <c r="A382" s="37" t="n"/>
      <c r="B382" s="37">
        <f>IFERROR(IF(A382="","",VLOOKUP(A382,DATABASE!A:B,2,0)),"")</f>
        <v/>
      </c>
      <c r="C382" s="38">
        <f>IFERROR(IF(A382="","",VLOOKUP(A382,DATABASE!A:J,10,0)),"")</f>
        <v/>
      </c>
      <c r="D382" s="39">
        <f>IF(A382="","",TODAY())</f>
        <v/>
      </c>
      <c r="E382" s="38" t="n"/>
      <c r="F382" s="38">
        <f>IFERROR(IF(OR(A382="",E382=""),"",C382-E382),"")</f>
        <v/>
      </c>
      <c r="G382" s="37" t="n"/>
      <c r="H382" s="37" t="n"/>
    </row>
    <row r="383">
      <c r="A383" s="26" t="n"/>
      <c r="B383" s="26">
        <f>IFERROR(IF(A383="","",VLOOKUP(A383,DATABASE!A:B,2,0)),"")</f>
        <v/>
      </c>
      <c r="C383" s="30">
        <f>IFERROR(IF(A383="","",VLOOKUP(A383,DATABASE!A:J,10,0)),"")</f>
        <v/>
      </c>
      <c r="D383" s="31">
        <f>IF(A383="","",TODAY())</f>
        <v/>
      </c>
      <c r="E383" s="30" t="n"/>
      <c r="F383" s="30">
        <f>IFERROR(IF(OR(A383="",E383=""),"",C383-E383),"")</f>
        <v/>
      </c>
      <c r="G383" s="26" t="n"/>
      <c r="H383" s="26" t="n"/>
    </row>
    <row r="384">
      <c r="A384" s="37" t="n"/>
      <c r="B384" s="37">
        <f>IFERROR(IF(A384="","",VLOOKUP(A384,DATABASE!A:B,2,0)),"")</f>
        <v/>
      </c>
      <c r="C384" s="38">
        <f>IFERROR(IF(A384="","",VLOOKUP(A384,DATABASE!A:J,10,0)),"")</f>
        <v/>
      </c>
      <c r="D384" s="39">
        <f>IF(A384="","",TODAY())</f>
        <v/>
      </c>
      <c r="E384" s="38" t="n"/>
      <c r="F384" s="38">
        <f>IFERROR(IF(OR(A384="",E384=""),"",C384-E384),"")</f>
        <v/>
      </c>
      <c r="G384" s="37" t="n"/>
      <c r="H384" s="37" t="n"/>
    </row>
    <row r="385">
      <c r="A385" s="26" t="n"/>
      <c r="B385" s="26">
        <f>IFERROR(IF(A385="","",VLOOKUP(A385,DATABASE!A:B,2,0)),"")</f>
        <v/>
      </c>
      <c r="C385" s="30">
        <f>IFERROR(IF(A385="","",VLOOKUP(A385,DATABASE!A:J,10,0)),"")</f>
        <v/>
      </c>
      <c r="D385" s="31">
        <f>IF(A385="","",TODAY())</f>
        <v/>
      </c>
      <c r="E385" s="30" t="n"/>
      <c r="F385" s="30">
        <f>IFERROR(IF(OR(A385="",E385=""),"",C385-E385),"")</f>
        <v/>
      </c>
      <c r="G385" s="26" t="n"/>
      <c r="H385" s="26" t="n"/>
    </row>
    <row r="386">
      <c r="A386" s="37" t="n"/>
      <c r="B386" s="37">
        <f>IFERROR(IF(A386="","",VLOOKUP(A386,DATABASE!A:B,2,0)),"")</f>
        <v/>
      </c>
      <c r="C386" s="38">
        <f>IFERROR(IF(A386="","",VLOOKUP(A386,DATABASE!A:J,10,0)),"")</f>
        <v/>
      </c>
      <c r="D386" s="39">
        <f>IF(A386="","",TODAY())</f>
        <v/>
      </c>
      <c r="E386" s="38" t="n"/>
      <c r="F386" s="38">
        <f>IFERROR(IF(OR(A386="",E386=""),"",C386-E386),"")</f>
        <v/>
      </c>
      <c r="G386" s="37" t="n"/>
      <c r="H386" s="37" t="n"/>
    </row>
    <row r="387">
      <c r="A387" s="26" t="n"/>
      <c r="B387" s="26">
        <f>IFERROR(IF(A387="","",VLOOKUP(A387,DATABASE!A:B,2,0)),"")</f>
        <v/>
      </c>
      <c r="C387" s="30">
        <f>IFERROR(IF(A387="","",VLOOKUP(A387,DATABASE!A:J,10,0)),"")</f>
        <v/>
      </c>
      <c r="D387" s="31">
        <f>IF(A387="","",TODAY())</f>
        <v/>
      </c>
      <c r="E387" s="30" t="n"/>
      <c r="F387" s="30">
        <f>IFERROR(IF(OR(A387="",E387=""),"",C387-E387),"")</f>
        <v/>
      </c>
      <c r="G387" s="26" t="n"/>
      <c r="H387" s="26" t="n"/>
    </row>
    <row r="388">
      <c r="A388" s="37" t="n"/>
      <c r="B388" s="37">
        <f>IFERROR(IF(A388="","",VLOOKUP(A388,DATABASE!A:B,2,0)),"")</f>
        <v/>
      </c>
      <c r="C388" s="38">
        <f>IFERROR(IF(A388="","",VLOOKUP(A388,DATABASE!A:J,10,0)),"")</f>
        <v/>
      </c>
      <c r="D388" s="39">
        <f>IF(A388="","",TODAY())</f>
        <v/>
      </c>
      <c r="E388" s="38" t="n"/>
      <c r="F388" s="38">
        <f>IFERROR(IF(OR(A388="",E388=""),"",C388-E388),"")</f>
        <v/>
      </c>
      <c r="G388" s="37" t="n"/>
      <c r="H388" s="37" t="n"/>
    </row>
    <row r="389">
      <c r="A389" s="26" t="n"/>
      <c r="B389" s="26">
        <f>IFERROR(IF(A389="","",VLOOKUP(A389,DATABASE!A:B,2,0)),"")</f>
        <v/>
      </c>
      <c r="C389" s="30">
        <f>IFERROR(IF(A389="","",VLOOKUP(A389,DATABASE!A:J,10,0)),"")</f>
        <v/>
      </c>
      <c r="D389" s="31">
        <f>IF(A389="","",TODAY())</f>
        <v/>
      </c>
      <c r="E389" s="30" t="n"/>
      <c r="F389" s="30">
        <f>IFERROR(IF(OR(A389="",E389=""),"",C389-E389),"")</f>
        <v/>
      </c>
      <c r="G389" s="26" t="n"/>
      <c r="H389" s="26" t="n"/>
    </row>
    <row r="390">
      <c r="A390" s="37" t="n"/>
      <c r="B390" s="37">
        <f>IFERROR(IF(A390="","",VLOOKUP(A390,DATABASE!A:B,2,0)),"")</f>
        <v/>
      </c>
      <c r="C390" s="38">
        <f>IFERROR(IF(A390="","",VLOOKUP(A390,DATABASE!A:J,10,0)),"")</f>
        <v/>
      </c>
      <c r="D390" s="39">
        <f>IF(A390="","",TODAY())</f>
        <v/>
      </c>
      <c r="E390" s="38" t="n"/>
      <c r="F390" s="38">
        <f>IFERROR(IF(OR(A390="",E390=""),"",C390-E390),"")</f>
        <v/>
      </c>
      <c r="G390" s="37" t="n"/>
      <c r="H390" s="37" t="n"/>
    </row>
    <row r="391">
      <c r="A391" s="26" t="n"/>
      <c r="B391" s="26">
        <f>IFERROR(IF(A391="","",VLOOKUP(A391,DATABASE!A:B,2,0)),"")</f>
        <v/>
      </c>
      <c r="C391" s="30">
        <f>IFERROR(IF(A391="","",VLOOKUP(A391,DATABASE!A:J,10,0)),"")</f>
        <v/>
      </c>
      <c r="D391" s="31">
        <f>IF(A391="","",TODAY())</f>
        <v/>
      </c>
      <c r="E391" s="30" t="n"/>
      <c r="F391" s="30">
        <f>IFERROR(IF(OR(A391="",E391=""),"",C391-E391),"")</f>
        <v/>
      </c>
      <c r="G391" s="26" t="n"/>
      <c r="H391" s="26" t="n"/>
    </row>
    <row r="392">
      <c r="A392" s="37" t="n"/>
      <c r="B392" s="37">
        <f>IFERROR(IF(A392="","",VLOOKUP(A392,DATABASE!A:B,2,0)),"")</f>
        <v/>
      </c>
      <c r="C392" s="38">
        <f>IFERROR(IF(A392="","",VLOOKUP(A392,DATABASE!A:J,10,0)),"")</f>
        <v/>
      </c>
      <c r="D392" s="39">
        <f>IF(A392="","",TODAY())</f>
        <v/>
      </c>
      <c r="E392" s="38" t="n"/>
      <c r="F392" s="38">
        <f>IFERROR(IF(OR(A392="",E392=""),"",C392-E392),"")</f>
        <v/>
      </c>
      <c r="G392" s="37" t="n"/>
      <c r="H392" s="37" t="n"/>
    </row>
    <row r="393">
      <c r="A393" s="26" t="n"/>
      <c r="B393" s="26">
        <f>IFERROR(IF(A393="","",VLOOKUP(A393,DATABASE!A:B,2,0)),"")</f>
        <v/>
      </c>
      <c r="C393" s="30">
        <f>IFERROR(IF(A393="","",VLOOKUP(A393,DATABASE!A:J,10,0)),"")</f>
        <v/>
      </c>
      <c r="D393" s="31">
        <f>IF(A393="","",TODAY())</f>
        <v/>
      </c>
      <c r="E393" s="30" t="n"/>
      <c r="F393" s="30">
        <f>IFERROR(IF(OR(A393="",E393=""),"",C393-E393),"")</f>
        <v/>
      </c>
      <c r="G393" s="26" t="n"/>
      <c r="H393" s="26" t="n"/>
    </row>
    <row r="394">
      <c r="A394" s="37" t="n"/>
      <c r="B394" s="37">
        <f>IFERROR(IF(A394="","",VLOOKUP(A394,DATABASE!A:B,2,0)),"")</f>
        <v/>
      </c>
      <c r="C394" s="38">
        <f>IFERROR(IF(A394="","",VLOOKUP(A394,DATABASE!A:J,10,0)),"")</f>
        <v/>
      </c>
      <c r="D394" s="39">
        <f>IF(A394="","",TODAY())</f>
        <v/>
      </c>
      <c r="E394" s="38" t="n"/>
      <c r="F394" s="38">
        <f>IFERROR(IF(OR(A394="",E394=""),"",C394-E394),"")</f>
        <v/>
      </c>
      <c r="G394" s="37" t="n"/>
      <c r="H394" s="37" t="n"/>
    </row>
    <row r="395">
      <c r="A395" s="26" t="n"/>
      <c r="B395" s="26">
        <f>IFERROR(IF(A395="","",VLOOKUP(A395,DATABASE!A:B,2,0)),"")</f>
        <v/>
      </c>
      <c r="C395" s="30">
        <f>IFERROR(IF(A395="","",VLOOKUP(A395,DATABASE!A:J,10,0)),"")</f>
        <v/>
      </c>
      <c r="D395" s="31">
        <f>IF(A395="","",TODAY())</f>
        <v/>
      </c>
      <c r="E395" s="30" t="n"/>
      <c r="F395" s="30">
        <f>IFERROR(IF(OR(A395="",E395=""),"",C395-E395),"")</f>
        <v/>
      </c>
      <c r="G395" s="26" t="n"/>
      <c r="H395" s="26" t="n"/>
    </row>
    <row r="396">
      <c r="A396" s="37" t="n"/>
      <c r="B396" s="37">
        <f>IFERROR(IF(A396="","",VLOOKUP(A396,DATABASE!A:B,2,0)),"")</f>
        <v/>
      </c>
      <c r="C396" s="38">
        <f>IFERROR(IF(A396="","",VLOOKUP(A396,DATABASE!A:J,10,0)),"")</f>
        <v/>
      </c>
      <c r="D396" s="39">
        <f>IF(A396="","",TODAY())</f>
        <v/>
      </c>
      <c r="E396" s="38" t="n"/>
      <c r="F396" s="38">
        <f>IFERROR(IF(OR(A396="",E396=""),"",C396-E396),"")</f>
        <v/>
      </c>
      <c r="G396" s="37" t="n"/>
      <c r="H396" s="37" t="n"/>
    </row>
    <row r="397">
      <c r="A397" s="26" t="n"/>
      <c r="B397" s="26">
        <f>IFERROR(IF(A397="","",VLOOKUP(A397,DATABASE!A:B,2,0)),"")</f>
        <v/>
      </c>
      <c r="C397" s="30">
        <f>IFERROR(IF(A397="","",VLOOKUP(A397,DATABASE!A:J,10,0)),"")</f>
        <v/>
      </c>
      <c r="D397" s="31">
        <f>IF(A397="","",TODAY())</f>
        <v/>
      </c>
      <c r="E397" s="30" t="n"/>
      <c r="F397" s="30">
        <f>IFERROR(IF(OR(A397="",E397=""),"",C397-E397),"")</f>
        <v/>
      </c>
      <c r="G397" s="26" t="n"/>
      <c r="H397" s="26" t="n"/>
    </row>
    <row r="398">
      <c r="A398" s="37" t="n"/>
      <c r="B398" s="37">
        <f>IFERROR(IF(A398="","",VLOOKUP(A398,DATABASE!A:B,2,0)),"")</f>
        <v/>
      </c>
      <c r="C398" s="38">
        <f>IFERROR(IF(A398="","",VLOOKUP(A398,DATABASE!A:J,10,0)),"")</f>
        <v/>
      </c>
      <c r="D398" s="39">
        <f>IF(A398="","",TODAY())</f>
        <v/>
      </c>
      <c r="E398" s="38" t="n"/>
      <c r="F398" s="38">
        <f>IFERROR(IF(OR(A398="",E398=""),"",C398-E398),"")</f>
        <v/>
      </c>
      <c r="G398" s="37" t="n"/>
      <c r="H398" s="37" t="n"/>
    </row>
    <row r="399">
      <c r="A399" s="26" t="n"/>
      <c r="B399" s="26">
        <f>IFERROR(IF(A399="","",VLOOKUP(A399,DATABASE!A:B,2,0)),"")</f>
        <v/>
      </c>
      <c r="C399" s="30">
        <f>IFERROR(IF(A399="","",VLOOKUP(A399,DATABASE!A:J,10,0)),"")</f>
        <v/>
      </c>
      <c r="D399" s="31">
        <f>IF(A399="","",TODAY())</f>
        <v/>
      </c>
      <c r="E399" s="30" t="n"/>
      <c r="F399" s="30">
        <f>IFERROR(IF(OR(A399="",E399=""),"",C399-E399),"")</f>
        <v/>
      </c>
      <c r="G399" s="26" t="n"/>
      <c r="H399" s="26" t="n"/>
    </row>
    <row r="400">
      <c r="A400" s="37" t="n"/>
      <c r="B400" s="37">
        <f>IFERROR(IF(A400="","",VLOOKUP(A400,DATABASE!A:B,2,0)),"")</f>
        <v/>
      </c>
      <c r="C400" s="38">
        <f>IFERROR(IF(A400="","",VLOOKUP(A400,DATABASE!A:J,10,0)),"")</f>
        <v/>
      </c>
      <c r="D400" s="39">
        <f>IF(A400="","",TODAY())</f>
        <v/>
      </c>
      <c r="E400" s="38" t="n"/>
      <c r="F400" s="38">
        <f>IFERROR(IF(OR(A400="",E400=""),"",C400-E400),"")</f>
        <v/>
      </c>
      <c r="G400" s="37" t="n"/>
      <c r="H400" s="37" t="n"/>
    </row>
    <row r="401">
      <c r="A401" s="26" t="n"/>
      <c r="B401" s="26">
        <f>IFERROR(IF(A401="","",VLOOKUP(A401,DATABASE!A:B,2,0)),"")</f>
        <v/>
      </c>
      <c r="C401" s="30">
        <f>IFERROR(IF(A401="","",VLOOKUP(A401,DATABASE!A:J,10,0)),"")</f>
        <v/>
      </c>
      <c r="D401" s="31">
        <f>IF(A401="","",TODAY())</f>
        <v/>
      </c>
      <c r="E401" s="30" t="n"/>
      <c r="F401" s="30">
        <f>IFERROR(IF(OR(A401="",E401=""),"",C401-E401),"")</f>
        <v/>
      </c>
      <c r="G401" s="26" t="n"/>
      <c r="H401" s="26" t="n"/>
    </row>
    <row r="402">
      <c r="A402" s="37" t="n"/>
      <c r="B402" s="37">
        <f>IFERROR(IF(A402="","",VLOOKUP(A402,DATABASE!A:B,2,0)),"")</f>
        <v/>
      </c>
      <c r="C402" s="38">
        <f>IFERROR(IF(A402="","",VLOOKUP(A402,DATABASE!A:J,10,0)),"")</f>
        <v/>
      </c>
      <c r="D402" s="39">
        <f>IF(A402="","",TODAY())</f>
        <v/>
      </c>
      <c r="E402" s="38" t="n"/>
      <c r="F402" s="38">
        <f>IFERROR(IF(OR(A402="",E402=""),"",C402-E402),"")</f>
        <v/>
      </c>
      <c r="G402" s="37" t="n"/>
      <c r="H402" s="37" t="n"/>
    </row>
    <row r="403">
      <c r="A403" s="26" t="n"/>
      <c r="B403" s="26">
        <f>IFERROR(IF(A403="","",VLOOKUP(A403,DATABASE!A:B,2,0)),"")</f>
        <v/>
      </c>
      <c r="C403" s="30">
        <f>IFERROR(IF(A403="","",VLOOKUP(A403,DATABASE!A:J,10,0)),"")</f>
        <v/>
      </c>
      <c r="D403" s="31">
        <f>IF(A403="","",TODAY())</f>
        <v/>
      </c>
      <c r="E403" s="30" t="n"/>
      <c r="F403" s="30">
        <f>IFERROR(IF(OR(A403="",E403=""),"",C403-E403),"")</f>
        <v/>
      </c>
      <c r="G403" s="26" t="n"/>
      <c r="H403" s="26" t="n"/>
    </row>
    <row r="404">
      <c r="A404" s="37" t="n"/>
      <c r="B404" s="37">
        <f>IFERROR(IF(A404="","",VLOOKUP(A404,DATABASE!A:B,2,0)),"")</f>
        <v/>
      </c>
      <c r="C404" s="38">
        <f>IFERROR(IF(A404="","",VLOOKUP(A404,DATABASE!A:J,10,0)),"")</f>
        <v/>
      </c>
      <c r="D404" s="39">
        <f>IF(A404="","",TODAY())</f>
        <v/>
      </c>
      <c r="E404" s="38" t="n"/>
      <c r="F404" s="38">
        <f>IFERROR(IF(OR(A404="",E404=""),"",C404-E404),"")</f>
        <v/>
      </c>
      <c r="G404" s="37" t="n"/>
      <c r="H404" s="37" t="n"/>
    </row>
    <row r="405">
      <c r="A405" s="26" t="n"/>
      <c r="B405" s="26">
        <f>IFERROR(IF(A405="","",VLOOKUP(A405,DATABASE!A:B,2,0)),"")</f>
        <v/>
      </c>
      <c r="C405" s="30">
        <f>IFERROR(IF(A405="","",VLOOKUP(A405,DATABASE!A:J,10,0)),"")</f>
        <v/>
      </c>
      <c r="D405" s="31">
        <f>IF(A405="","",TODAY())</f>
        <v/>
      </c>
      <c r="E405" s="30" t="n"/>
      <c r="F405" s="30">
        <f>IFERROR(IF(OR(A405="",E405=""),"",C405-E405),"")</f>
        <v/>
      </c>
      <c r="G405" s="26" t="n"/>
      <c r="H405" s="26" t="n"/>
    </row>
    <row r="406">
      <c r="A406" s="37" t="n"/>
      <c r="B406" s="37">
        <f>IFERROR(IF(A406="","",VLOOKUP(A406,DATABASE!A:B,2,0)),"")</f>
        <v/>
      </c>
      <c r="C406" s="38">
        <f>IFERROR(IF(A406="","",VLOOKUP(A406,DATABASE!A:J,10,0)),"")</f>
        <v/>
      </c>
      <c r="D406" s="39">
        <f>IF(A406="","",TODAY())</f>
        <v/>
      </c>
      <c r="E406" s="38" t="n"/>
      <c r="F406" s="38">
        <f>IFERROR(IF(OR(A406="",E406=""),"",C406-E406),"")</f>
        <v/>
      </c>
      <c r="G406" s="37" t="n"/>
      <c r="H406" s="37" t="n"/>
    </row>
    <row r="407">
      <c r="A407" s="26" t="n"/>
      <c r="B407" s="26">
        <f>IFERROR(IF(A407="","",VLOOKUP(A407,DATABASE!A:B,2,0)),"")</f>
        <v/>
      </c>
      <c r="C407" s="30">
        <f>IFERROR(IF(A407="","",VLOOKUP(A407,DATABASE!A:J,10,0)),"")</f>
        <v/>
      </c>
      <c r="D407" s="31">
        <f>IF(A407="","",TODAY())</f>
        <v/>
      </c>
      <c r="E407" s="30" t="n"/>
      <c r="F407" s="30">
        <f>IFERROR(IF(OR(A407="",E407=""),"",C407-E407),"")</f>
        <v/>
      </c>
      <c r="G407" s="26" t="n"/>
      <c r="H407" s="26" t="n"/>
    </row>
    <row r="408">
      <c r="A408" s="37" t="n"/>
      <c r="B408" s="37">
        <f>IFERROR(IF(A408="","",VLOOKUP(A408,DATABASE!A:B,2,0)),"")</f>
        <v/>
      </c>
      <c r="C408" s="38">
        <f>IFERROR(IF(A408="","",VLOOKUP(A408,DATABASE!A:J,10,0)),"")</f>
        <v/>
      </c>
      <c r="D408" s="39">
        <f>IF(A408="","",TODAY())</f>
        <v/>
      </c>
      <c r="E408" s="38" t="n"/>
      <c r="F408" s="38">
        <f>IFERROR(IF(OR(A408="",E408=""),"",C408-E408),"")</f>
        <v/>
      </c>
      <c r="G408" s="37" t="n"/>
      <c r="H408" s="37" t="n"/>
    </row>
    <row r="409">
      <c r="A409" s="26" t="n"/>
      <c r="B409" s="26">
        <f>IFERROR(IF(A409="","",VLOOKUP(A409,DATABASE!A:B,2,0)),"")</f>
        <v/>
      </c>
      <c r="C409" s="30">
        <f>IFERROR(IF(A409="","",VLOOKUP(A409,DATABASE!A:J,10,0)),"")</f>
        <v/>
      </c>
      <c r="D409" s="31">
        <f>IF(A409="","",TODAY())</f>
        <v/>
      </c>
      <c r="E409" s="30" t="n"/>
      <c r="F409" s="30">
        <f>IFERROR(IF(OR(A409="",E409=""),"",C409-E409),"")</f>
        <v/>
      </c>
      <c r="G409" s="26" t="n"/>
      <c r="H409" s="26" t="n"/>
    </row>
    <row r="410">
      <c r="A410" s="37" t="n"/>
      <c r="B410" s="37">
        <f>IFERROR(IF(A410="","",VLOOKUP(A410,DATABASE!A:B,2,0)),"")</f>
        <v/>
      </c>
      <c r="C410" s="38">
        <f>IFERROR(IF(A410="","",VLOOKUP(A410,DATABASE!A:J,10,0)),"")</f>
        <v/>
      </c>
      <c r="D410" s="39">
        <f>IF(A410="","",TODAY())</f>
        <v/>
      </c>
      <c r="E410" s="38" t="n"/>
      <c r="F410" s="38">
        <f>IFERROR(IF(OR(A410="",E410=""),"",C410-E410),"")</f>
        <v/>
      </c>
      <c r="G410" s="37" t="n"/>
      <c r="H410" s="37" t="n"/>
    </row>
    <row r="411">
      <c r="A411" s="26" t="n"/>
      <c r="B411" s="26">
        <f>IFERROR(IF(A411="","",VLOOKUP(A411,DATABASE!A:B,2,0)),"")</f>
        <v/>
      </c>
      <c r="C411" s="30">
        <f>IFERROR(IF(A411="","",VLOOKUP(A411,DATABASE!A:J,10,0)),"")</f>
        <v/>
      </c>
      <c r="D411" s="31">
        <f>IF(A411="","",TODAY())</f>
        <v/>
      </c>
      <c r="E411" s="30" t="n"/>
      <c r="F411" s="30">
        <f>IFERROR(IF(OR(A411="",E411=""),"",C411-E411),"")</f>
        <v/>
      </c>
      <c r="G411" s="26" t="n"/>
      <c r="H411" s="26" t="n"/>
    </row>
    <row r="412">
      <c r="A412" s="37" t="n"/>
      <c r="B412" s="37">
        <f>IFERROR(IF(A412="","",VLOOKUP(A412,DATABASE!A:B,2,0)),"")</f>
        <v/>
      </c>
      <c r="C412" s="38">
        <f>IFERROR(IF(A412="","",VLOOKUP(A412,DATABASE!A:J,10,0)),"")</f>
        <v/>
      </c>
      <c r="D412" s="39">
        <f>IF(A412="","",TODAY())</f>
        <v/>
      </c>
      <c r="E412" s="38" t="n"/>
      <c r="F412" s="38">
        <f>IFERROR(IF(OR(A412="",E412=""),"",C412-E412),"")</f>
        <v/>
      </c>
      <c r="G412" s="37" t="n"/>
      <c r="H412" s="37" t="n"/>
    </row>
    <row r="413">
      <c r="A413" s="26" t="n"/>
      <c r="B413" s="26">
        <f>IFERROR(IF(A413="","",VLOOKUP(A413,DATABASE!A:B,2,0)),"")</f>
        <v/>
      </c>
      <c r="C413" s="30">
        <f>IFERROR(IF(A413="","",VLOOKUP(A413,DATABASE!A:J,10,0)),"")</f>
        <v/>
      </c>
      <c r="D413" s="31">
        <f>IF(A413="","",TODAY())</f>
        <v/>
      </c>
      <c r="E413" s="30" t="n"/>
      <c r="F413" s="30">
        <f>IFERROR(IF(OR(A413="",E413=""),"",C413-E413),"")</f>
        <v/>
      </c>
      <c r="G413" s="26" t="n"/>
      <c r="H413" s="26" t="n"/>
    </row>
    <row r="414">
      <c r="A414" s="37" t="n"/>
      <c r="B414" s="37">
        <f>IFERROR(IF(A414="","",VLOOKUP(A414,DATABASE!A:B,2,0)),"")</f>
        <v/>
      </c>
      <c r="C414" s="38">
        <f>IFERROR(IF(A414="","",VLOOKUP(A414,DATABASE!A:J,10,0)),"")</f>
        <v/>
      </c>
      <c r="D414" s="39">
        <f>IF(A414="","",TODAY())</f>
        <v/>
      </c>
      <c r="E414" s="38" t="n"/>
      <c r="F414" s="38">
        <f>IFERROR(IF(OR(A414="",E414=""),"",C414-E414),"")</f>
        <v/>
      </c>
      <c r="G414" s="37" t="n"/>
      <c r="H414" s="37" t="n"/>
    </row>
    <row r="415">
      <c r="A415" s="26" t="n"/>
      <c r="B415" s="26">
        <f>IFERROR(IF(A415="","",VLOOKUP(A415,DATABASE!A:B,2,0)),"")</f>
        <v/>
      </c>
      <c r="C415" s="30">
        <f>IFERROR(IF(A415="","",VLOOKUP(A415,DATABASE!A:J,10,0)),"")</f>
        <v/>
      </c>
      <c r="D415" s="31">
        <f>IF(A415="","",TODAY())</f>
        <v/>
      </c>
      <c r="E415" s="30" t="n"/>
      <c r="F415" s="30">
        <f>IFERROR(IF(OR(A415="",E415=""),"",C415-E415),"")</f>
        <v/>
      </c>
      <c r="G415" s="26" t="n"/>
      <c r="H415" s="26" t="n"/>
    </row>
    <row r="416">
      <c r="A416" s="37" t="n"/>
      <c r="B416" s="37">
        <f>IFERROR(IF(A416="","",VLOOKUP(A416,DATABASE!A:B,2,0)),"")</f>
        <v/>
      </c>
      <c r="C416" s="38">
        <f>IFERROR(IF(A416="","",VLOOKUP(A416,DATABASE!A:J,10,0)),"")</f>
        <v/>
      </c>
      <c r="D416" s="39">
        <f>IF(A416="","",TODAY())</f>
        <v/>
      </c>
      <c r="E416" s="38" t="n"/>
      <c r="F416" s="38">
        <f>IFERROR(IF(OR(A416="",E416=""),"",C416-E416),"")</f>
        <v/>
      </c>
      <c r="G416" s="37" t="n"/>
      <c r="H416" s="37" t="n"/>
    </row>
    <row r="417">
      <c r="A417" s="26" t="n"/>
      <c r="B417" s="26">
        <f>IFERROR(IF(A417="","",VLOOKUP(A417,DATABASE!A:B,2,0)),"")</f>
        <v/>
      </c>
      <c r="C417" s="30">
        <f>IFERROR(IF(A417="","",VLOOKUP(A417,DATABASE!A:J,10,0)),"")</f>
        <v/>
      </c>
      <c r="D417" s="31">
        <f>IF(A417="","",TODAY())</f>
        <v/>
      </c>
      <c r="E417" s="30" t="n"/>
      <c r="F417" s="30">
        <f>IFERROR(IF(OR(A417="",E417=""),"",C417-E417),"")</f>
        <v/>
      </c>
      <c r="G417" s="26" t="n"/>
      <c r="H417" s="26" t="n"/>
    </row>
    <row r="418">
      <c r="A418" s="37" t="n"/>
      <c r="B418" s="37">
        <f>IFERROR(IF(A418="","",VLOOKUP(A418,DATABASE!A:B,2,0)),"")</f>
        <v/>
      </c>
      <c r="C418" s="38">
        <f>IFERROR(IF(A418="","",VLOOKUP(A418,DATABASE!A:J,10,0)),"")</f>
        <v/>
      </c>
      <c r="D418" s="39">
        <f>IF(A418="","",TODAY())</f>
        <v/>
      </c>
      <c r="E418" s="38" t="n"/>
      <c r="F418" s="38">
        <f>IFERROR(IF(OR(A418="",E418=""),"",C418-E418),"")</f>
        <v/>
      </c>
      <c r="G418" s="37" t="n"/>
      <c r="H418" s="37" t="n"/>
    </row>
    <row r="419">
      <c r="A419" s="26" t="n"/>
      <c r="B419" s="26">
        <f>IFERROR(IF(A419="","",VLOOKUP(A419,DATABASE!A:B,2,0)),"")</f>
        <v/>
      </c>
      <c r="C419" s="30">
        <f>IFERROR(IF(A419="","",VLOOKUP(A419,DATABASE!A:J,10,0)),"")</f>
        <v/>
      </c>
      <c r="D419" s="31">
        <f>IF(A419="","",TODAY())</f>
        <v/>
      </c>
      <c r="E419" s="30" t="n"/>
      <c r="F419" s="30">
        <f>IFERROR(IF(OR(A419="",E419=""),"",C419-E419),"")</f>
        <v/>
      </c>
      <c r="G419" s="26" t="n"/>
      <c r="H419" s="26" t="n"/>
    </row>
    <row r="420">
      <c r="A420" s="37" t="n"/>
      <c r="B420" s="37">
        <f>IFERROR(IF(A420="","",VLOOKUP(A420,DATABASE!A:B,2,0)),"")</f>
        <v/>
      </c>
      <c r="C420" s="38">
        <f>IFERROR(IF(A420="","",VLOOKUP(A420,DATABASE!A:J,10,0)),"")</f>
        <v/>
      </c>
      <c r="D420" s="39">
        <f>IF(A420="","",TODAY())</f>
        <v/>
      </c>
      <c r="E420" s="38" t="n"/>
      <c r="F420" s="38">
        <f>IFERROR(IF(OR(A420="",E420=""),"",C420-E420),"")</f>
        <v/>
      </c>
      <c r="G420" s="37" t="n"/>
      <c r="H420" s="37" t="n"/>
    </row>
    <row r="421">
      <c r="A421" s="26" t="n"/>
      <c r="B421" s="26">
        <f>IFERROR(IF(A421="","",VLOOKUP(A421,DATABASE!A:B,2,0)),"")</f>
        <v/>
      </c>
      <c r="C421" s="30">
        <f>IFERROR(IF(A421="","",VLOOKUP(A421,DATABASE!A:J,10,0)),"")</f>
        <v/>
      </c>
      <c r="D421" s="31">
        <f>IF(A421="","",TODAY())</f>
        <v/>
      </c>
      <c r="E421" s="30" t="n"/>
      <c r="F421" s="30">
        <f>IFERROR(IF(OR(A421="",E421=""),"",C421-E421),"")</f>
        <v/>
      </c>
      <c r="G421" s="26" t="n"/>
      <c r="H421" s="26" t="n"/>
    </row>
    <row r="422">
      <c r="A422" s="37" t="n"/>
      <c r="B422" s="37">
        <f>IFERROR(IF(A422="","",VLOOKUP(A422,DATABASE!A:B,2,0)),"")</f>
        <v/>
      </c>
      <c r="C422" s="38">
        <f>IFERROR(IF(A422="","",VLOOKUP(A422,DATABASE!A:J,10,0)),"")</f>
        <v/>
      </c>
      <c r="D422" s="39">
        <f>IF(A422="","",TODAY())</f>
        <v/>
      </c>
      <c r="E422" s="38" t="n"/>
      <c r="F422" s="38">
        <f>IFERROR(IF(OR(A422="",E422=""),"",C422-E422),"")</f>
        <v/>
      </c>
      <c r="G422" s="37" t="n"/>
      <c r="H422" s="37" t="n"/>
    </row>
    <row r="423">
      <c r="A423" s="26" t="n"/>
      <c r="B423" s="26">
        <f>IFERROR(IF(A423="","",VLOOKUP(A423,DATABASE!A:B,2,0)),"")</f>
        <v/>
      </c>
      <c r="C423" s="30">
        <f>IFERROR(IF(A423="","",VLOOKUP(A423,DATABASE!A:J,10,0)),"")</f>
        <v/>
      </c>
      <c r="D423" s="31">
        <f>IF(A423="","",TODAY())</f>
        <v/>
      </c>
      <c r="E423" s="30" t="n"/>
      <c r="F423" s="30">
        <f>IFERROR(IF(OR(A423="",E423=""),"",C423-E423),"")</f>
        <v/>
      </c>
      <c r="G423" s="26" t="n"/>
      <c r="H423" s="26" t="n"/>
    </row>
    <row r="424">
      <c r="A424" s="37" t="n"/>
      <c r="B424" s="37">
        <f>IFERROR(IF(A424="","",VLOOKUP(A424,DATABASE!A:B,2,0)),"")</f>
        <v/>
      </c>
      <c r="C424" s="38">
        <f>IFERROR(IF(A424="","",VLOOKUP(A424,DATABASE!A:J,10,0)),"")</f>
        <v/>
      </c>
      <c r="D424" s="39">
        <f>IF(A424="","",TODAY())</f>
        <v/>
      </c>
      <c r="E424" s="38" t="n"/>
      <c r="F424" s="38">
        <f>IFERROR(IF(OR(A424="",E424=""),"",C424-E424),"")</f>
        <v/>
      </c>
      <c r="G424" s="37" t="n"/>
      <c r="H424" s="37" t="n"/>
    </row>
    <row r="425">
      <c r="A425" s="26" t="n"/>
      <c r="B425" s="26">
        <f>IFERROR(IF(A425="","",VLOOKUP(A425,DATABASE!A:B,2,0)),"")</f>
        <v/>
      </c>
      <c r="C425" s="30">
        <f>IFERROR(IF(A425="","",VLOOKUP(A425,DATABASE!A:J,10,0)),"")</f>
        <v/>
      </c>
      <c r="D425" s="31">
        <f>IF(A425="","",TODAY())</f>
        <v/>
      </c>
      <c r="E425" s="30" t="n"/>
      <c r="F425" s="30">
        <f>IFERROR(IF(OR(A425="",E425=""),"",C425-E425),"")</f>
        <v/>
      </c>
      <c r="G425" s="26" t="n"/>
      <c r="H425" s="26" t="n"/>
    </row>
    <row r="426">
      <c r="A426" s="37" t="n"/>
      <c r="B426" s="37">
        <f>IFERROR(IF(A426="","",VLOOKUP(A426,DATABASE!A:B,2,0)),"")</f>
        <v/>
      </c>
      <c r="C426" s="38">
        <f>IFERROR(IF(A426="","",VLOOKUP(A426,DATABASE!A:J,10,0)),"")</f>
        <v/>
      </c>
      <c r="D426" s="39">
        <f>IF(A426="","",TODAY())</f>
        <v/>
      </c>
      <c r="E426" s="38" t="n"/>
      <c r="F426" s="38">
        <f>IFERROR(IF(OR(A426="",E426=""),"",C426-E426),"")</f>
        <v/>
      </c>
      <c r="G426" s="37" t="n"/>
      <c r="H426" s="37" t="n"/>
    </row>
    <row r="427">
      <c r="A427" s="26" t="n"/>
      <c r="B427" s="26">
        <f>IFERROR(IF(A427="","",VLOOKUP(A427,DATABASE!A:B,2,0)),"")</f>
        <v/>
      </c>
      <c r="C427" s="30">
        <f>IFERROR(IF(A427="","",VLOOKUP(A427,DATABASE!A:J,10,0)),"")</f>
        <v/>
      </c>
      <c r="D427" s="31">
        <f>IF(A427="","",TODAY())</f>
        <v/>
      </c>
      <c r="E427" s="30" t="n"/>
      <c r="F427" s="30">
        <f>IFERROR(IF(OR(A427="",E427=""),"",C427-E427),"")</f>
        <v/>
      </c>
      <c r="G427" s="26" t="n"/>
      <c r="H427" s="26" t="n"/>
    </row>
    <row r="428">
      <c r="A428" s="37" t="n"/>
      <c r="B428" s="37">
        <f>IFERROR(IF(A428="","",VLOOKUP(A428,DATABASE!A:B,2,0)),"")</f>
        <v/>
      </c>
      <c r="C428" s="38">
        <f>IFERROR(IF(A428="","",VLOOKUP(A428,DATABASE!A:J,10,0)),"")</f>
        <v/>
      </c>
      <c r="D428" s="39">
        <f>IF(A428="","",TODAY())</f>
        <v/>
      </c>
      <c r="E428" s="38" t="n"/>
      <c r="F428" s="38">
        <f>IFERROR(IF(OR(A428="",E428=""),"",C428-E428),"")</f>
        <v/>
      </c>
      <c r="G428" s="37" t="n"/>
      <c r="H428" s="37" t="n"/>
    </row>
    <row r="429">
      <c r="A429" s="26" t="n"/>
      <c r="B429" s="26">
        <f>IFERROR(IF(A429="","",VLOOKUP(A429,DATABASE!A:B,2,0)),"")</f>
        <v/>
      </c>
      <c r="C429" s="30">
        <f>IFERROR(IF(A429="","",VLOOKUP(A429,DATABASE!A:J,10,0)),"")</f>
        <v/>
      </c>
      <c r="D429" s="31">
        <f>IF(A429="","",TODAY())</f>
        <v/>
      </c>
      <c r="E429" s="30" t="n"/>
      <c r="F429" s="30">
        <f>IFERROR(IF(OR(A429="",E429=""),"",C429-E429),"")</f>
        <v/>
      </c>
      <c r="G429" s="26" t="n"/>
      <c r="H429" s="26" t="n"/>
    </row>
    <row r="430">
      <c r="A430" s="37" t="n"/>
      <c r="B430" s="37">
        <f>IFERROR(IF(A430="","",VLOOKUP(A430,DATABASE!A:B,2,0)),"")</f>
        <v/>
      </c>
      <c r="C430" s="38">
        <f>IFERROR(IF(A430="","",VLOOKUP(A430,DATABASE!A:J,10,0)),"")</f>
        <v/>
      </c>
      <c r="D430" s="39">
        <f>IF(A430="","",TODAY())</f>
        <v/>
      </c>
      <c r="E430" s="38" t="n"/>
      <c r="F430" s="38">
        <f>IFERROR(IF(OR(A430="",E430=""),"",C430-E430),"")</f>
        <v/>
      </c>
      <c r="G430" s="37" t="n"/>
      <c r="H430" s="37" t="n"/>
    </row>
    <row r="431">
      <c r="A431" s="26" t="n"/>
      <c r="B431" s="26">
        <f>IFERROR(IF(A431="","",VLOOKUP(A431,DATABASE!A:B,2,0)),"")</f>
        <v/>
      </c>
      <c r="C431" s="30">
        <f>IFERROR(IF(A431="","",VLOOKUP(A431,DATABASE!A:J,10,0)),"")</f>
        <v/>
      </c>
      <c r="D431" s="31">
        <f>IF(A431="","",TODAY())</f>
        <v/>
      </c>
      <c r="E431" s="30" t="n"/>
      <c r="F431" s="30">
        <f>IFERROR(IF(OR(A431="",E431=""),"",C431-E431),"")</f>
        <v/>
      </c>
      <c r="G431" s="26" t="n"/>
      <c r="H431" s="26" t="n"/>
    </row>
    <row r="432">
      <c r="A432" s="37" t="n"/>
      <c r="B432" s="37">
        <f>IFERROR(IF(A432="","",VLOOKUP(A432,DATABASE!A:B,2,0)),"")</f>
        <v/>
      </c>
      <c r="C432" s="38">
        <f>IFERROR(IF(A432="","",VLOOKUP(A432,DATABASE!A:J,10,0)),"")</f>
        <v/>
      </c>
      <c r="D432" s="39">
        <f>IF(A432="","",TODAY())</f>
        <v/>
      </c>
      <c r="E432" s="38" t="n"/>
      <c r="F432" s="38">
        <f>IFERROR(IF(OR(A432="",E432=""),"",C432-E432),"")</f>
        <v/>
      </c>
      <c r="G432" s="37" t="n"/>
      <c r="H432" s="37" t="n"/>
    </row>
    <row r="433">
      <c r="A433" s="26" t="n"/>
      <c r="B433" s="26">
        <f>IFERROR(IF(A433="","",VLOOKUP(A433,DATABASE!A:B,2,0)),"")</f>
        <v/>
      </c>
      <c r="C433" s="30">
        <f>IFERROR(IF(A433="","",VLOOKUP(A433,DATABASE!A:J,10,0)),"")</f>
        <v/>
      </c>
      <c r="D433" s="31">
        <f>IF(A433="","",TODAY())</f>
        <v/>
      </c>
      <c r="E433" s="30" t="n"/>
      <c r="F433" s="30">
        <f>IFERROR(IF(OR(A433="",E433=""),"",C433-E433),"")</f>
        <v/>
      </c>
      <c r="G433" s="26" t="n"/>
      <c r="H433" s="26" t="n"/>
    </row>
    <row r="434">
      <c r="A434" s="37" t="n"/>
      <c r="B434" s="37">
        <f>IFERROR(IF(A434="","",VLOOKUP(A434,DATABASE!A:B,2,0)),"")</f>
        <v/>
      </c>
      <c r="C434" s="38">
        <f>IFERROR(IF(A434="","",VLOOKUP(A434,DATABASE!A:J,10,0)),"")</f>
        <v/>
      </c>
      <c r="D434" s="39">
        <f>IF(A434="","",TODAY())</f>
        <v/>
      </c>
      <c r="E434" s="38" t="n"/>
      <c r="F434" s="38">
        <f>IFERROR(IF(OR(A434="",E434=""),"",C434-E434),"")</f>
        <v/>
      </c>
      <c r="G434" s="37" t="n"/>
      <c r="H434" s="37" t="n"/>
    </row>
    <row r="435">
      <c r="A435" s="26" t="n"/>
      <c r="B435" s="26">
        <f>IFERROR(IF(A435="","",VLOOKUP(A435,DATABASE!A:B,2,0)),"")</f>
        <v/>
      </c>
      <c r="C435" s="30">
        <f>IFERROR(IF(A435="","",VLOOKUP(A435,DATABASE!A:J,10,0)),"")</f>
        <v/>
      </c>
      <c r="D435" s="31">
        <f>IF(A435="","",TODAY())</f>
        <v/>
      </c>
      <c r="E435" s="30" t="n"/>
      <c r="F435" s="30">
        <f>IFERROR(IF(OR(A435="",E435=""),"",C435-E435),"")</f>
        <v/>
      </c>
      <c r="G435" s="26" t="n"/>
      <c r="H435" s="26" t="n"/>
    </row>
    <row r="436">
      <c r="A436" s="37" t="n"/>
      <c r="B436" s="37">
        <f>IFERROR(IF(A436="","",VLOOKUP(A436,DATABASE!A:B,2,0)),"")</f>
        <v/>
      </c>
      <c r="C436" s="38">
        <f>IFERROR(IF(A436="","",VLOOKUP(A436,DATABASE!A:J,10,0)),"")</f>
        <v/>
      </c>
      <c r="D436" s="39">
        <f>IF(A436="","",TODAY())</f>
        <v/>
      </c>
      <c r="E436" s="38" t="n"/>
      <c r="F436" s="38">
        <f>IFERROR(IF(OR(A436="",E436=""),"",C436-E436),"")</f>
        <v/>
      </c>
      <c r="G436" s="37" t="n"/>
      <c r="H436" s="37" t="n"/>
    </row>
    <row r="437">
      <c r="A437" s="26" t="n"/>
      <c r="B437" s="26">
        <f>IFERROR(IF(A437="","",VLOOKUP(A437,DATABASE!A:B,2,0)),"")</f>
        <v/>
      </c>
      <c r="C437" s="30">
        <f>IFERROR(IF(A437="","",VLOOKUP(A437,DATABASE!A:J,10,0)),"")</f>
        <v/>
      </c>
      <c r="D437" s="31">
        <f>IF(A437="","",TODAY())</f>
        <v/>
      </c>
      <c r="E437" s="30" t="n"/>
      <c r="F437" s="30">
        <f>IFERROR(IF(OR(A437="",E437=""),"",C437-E437),"")</f>
        <v/>
      </c>
      <c r="G437" s="26" t="n"/>
      <c r="H437" s="26" t="n"/>
    </row>
    <row r="438">
      <c r="A438" s="37" t="n"/>
      <c r="B438" s="37">
        <f>IFERROR(IF(A438="","",VLOOKUP(A438,DATABASE!A:B,2,0)),"")</f>
        <v/>
      </c>
      <c r="C438" s="38">
        <f>IFERROR(IF(A438="","",VLOOKUP(A438,DATABASE!A:J,10,0)),"")</f>
        <v/>
      </c>
      <c r="D438" s="39">
        <f>IF(A438="","",TODAY())</f>
        <v/>
      </c>
      <c r="E438" s="38" t="n"/>
      <c r="F438" s="38">
        <f>IFERROR(IF(OR(A438="",E438=""),"",C438-E438),"")</f>
        <v/>
      </c>
      <c r="G438" s="37" t="n"/>
      <c r="H438" s="37" t="n"/>
    </row>
    <row r="439">
      <c r="A439" s="26" t="n"/>
      <c r="B439" s="26">
        <f>IFERROR(IF(A439="","",VLOOKUP(A439,DATABASE!A:B,2,0)),"")</f>
        <v/>
      </c>
      <c r="C439" s="30">
        <f>IFERROR(IF(A439="","",VLOOKUP(A439,DATABASE!A:J,10,0)),"")</f>
        <v/>
      </c>
      <c r="D439" s="31">
        <f>IF(A439="","",TODAY())</f>
        <v/>
      </c>
      <c r="E439" s="30" t="n"/>
      <c r="F439" s="30">
        <f>IFERROR(IF(OR(A439="",E439=""),"",C439-E439),"")</f>
        <v/>
      </c>
      <c r="G439" s="26" t="n"/>
      <c r="H439" s="26" t="n"/>
    </row>
    <row r="440">
      <c r="A440" s="37" t="n"/>
      <c r="B440" s="37">
        <f>IFERROR(IF(A440="","",VLOOKUP(A440,DATABASE!A:B,2,0)),"")</f>
        <v/>
      </c>
      <c r="C440" s="38">
        <f>IFERROR(IF(A440="","",VLOOKUP(A440,DATABASE!A:J,10,0)),"")</f>
        <v/>
      </c>
      <c r="D440" s="39">
        <f>IF(A440="","",TODAY())</f>
        <v/>
      </c>
      <c r="E440" s="38" t="n"/>
      <c r="F440" s="38">
        <f>IFERROR(IF(OR(A440="",E440=""),"",C440-E440),"")</f>
        <v/>
      </c>
      <c r="G440" s="37" t="n"/>
      <c r="H440" s="37" t="n"/>
    </row>
    <row r="441">
      <c r="A441" s="26" t="n"/>
      <c r="B441" s="26">
        <f>IFERROR(IF(A441="","",VLOOKUP(A441,DATABASE!A:B,2,0)),"")</f>
        <v/>
      </c>
      <c r="C441" s="30">
        <f>IFERROR(IF(A441="","",VLOOKUP(A441,DATABASE!A:J,10,0)),"")</f>
        <v/>
      </c>
      <c r="D441" s="31">
        <f>IF(A441="","",TODAY())</f>
        <v/>
      </c>
      <c r="E441" s="30" t="n"/>
      <c r="F441" s="30">
        <f>IFERROR(IF(OR(A441="",E441=""),"",C441-E441),"")</f>
        <v/>
      </c>
      <c r="G441" s="26" t="n"/>
      <c r="H441" s="26" t="n"/>
    </row>
    <row r="442">
      <c r="A442" s="37" t="n"/>
      <c r="B442" s="37">
        <f>IFERROR(IF(A442="","",VLOOKUP(A442,DATABASE!A:B,2,0)),"")</f>
        <v/>
      </c>
      <c r="C442" s="38">
        <f>IFERROR(IF(A442="","",VLOOKUP(A442,DATABASE!A:J,10,0)),"")</f>
        <v/>
      </c>
      <c r="D442" s="39">
        <f>IF(A442="","",TODAY())</f>
        <v/>
      </c>
      <c r="E442" s="38" t="n"/>
      <c r="F442" s="38">
        <f>IFERROR(IF(OR(A442="",E442=""),"",C442-E442),"")</f>
        <v/>
      </c>
      <c r="G442" s="37" t="n"/>
      <c r="H442" s="37" t="n"/>
    </row>
    <row r="443">
      <c r="A443" s="26" t="n"/>
      <c r="B443" s="26">
        <f>IFERROR(IF(A443="","",VLOOKUP(A443,DATABASE!A:B,2,0)),"")</f>
        <v/>
      </c>
      <c r="C443" s="30">
        <f>IFERROR(IF(A443="","",VLOOKUP(A443,DATABASE!A:J,10,0)),"")</f>
        <v/>
      </c>
      <c r="D443" s="31">
        <f>IF(A443="","",TODAY())</f>
        <v/>
      </c>
      <c r="E443" s="30" t="n"/>
      <c r="F443" s="30">
        <f>IFERROR(IF(OR(A443="",E443=""),"",C443-E443),"")</f>
        <v/>
      </c>
      <c r="G443" s="26" t="n"/>
      <c r="H443" s="26" t="n"/>
    </row>
    <row r="444">
      <c r="A444" s="37" t="n"/>
      <c r="B444" s="37">
        <f>IFERROR(IF(A444="","",VLOOKUP(A444,DATABASE!A:B,2,0)),"")</f>
        <v/>
      </c>
      <c r="C444" s="38">
        <f>IFERROR(IF(A444="","",VLOOKUP(A444,DATABASE!A:J,10,0)),"")</f>
        <v/>
      </c>
      <c r="D444" s="39">
        <f>IF(A444="","",TODAY())</f>
        <v/>
      </c>
      <c r="E444" s="38" t="n"/>
      <c r="F444" s="38">
        <f>IFERROR(IF(OR(A444="",E444=""),"",C444-E444),"")</f>
        <v/>
      </c>
      <c r="G444" s="37" t="n"/>
      <c r="H444" s="37" t="n"/>
    </row>
    <row r="445">
      <c r="A445" s="26" t="n"/>
      <c r="B445" s="26">
        <f>IFERROR(IF(A445="","",VLOOKUP(A445,DATABASE!A:B,2,0)),"")</f>
        <v/>
      </c>
      <c r="C445" s="30">
        <f>IFERROR(IF(A445="","",VLOOKUP(A445,DATABASE!A:J,10,0)),"")</f>
        <v/>
      </c>
      <c r="D445" s="31">
        <f>IF(A445="","",TODAY())</f>
        <v/>
      </c>
      <c r="E445" s="30" t="n"/>
      <c r="F445" s="30">
        <f>IFERROR(IF(OR(A445="",E445=""),"",C445-E445),"")</f>
        <v/>
      </c>
      <c r="G445" s="26" t="n"/>
      <c r="H445" s="26" t="n"/>
    </row>
    <row r="446">
      <c r="A446" s="37" t="n"/>
      <c r="B446" s="37">
        <f>IFERROR(IF(A446="","",VLOOKUP(A446,DATABASE!A:B,2,0)),"")</f>
        <v/>
      </c>
      <c r="C446" s="38">
        <f>IFERROR(IF(A446="","",VLOOKUP(A446,DATABASE!A:J,10,0)),"")</f>
        <v/>
      </c>
      <c r="D446" s="39">
        <f>IF(A446="","",TODAY())</f>
        <v/>
      </c>
      <c r="E446" s="38" t="n"/>
      <c r="F446" s="38">
        <f>IFERROR(IF(OR(A446="",E446=""),"",C446-E446),"")</f>
        <v/>
      </c>
      <c r="G446" s="37" t="n"/>
      <c r="H446" s="37" t="n"/>
    </row>
    <row r="447">
      <c r="A447" s="26" t="n"/>
      <c r="B447" s="26">
        <f>IFERROR(IF(A447="","",VLOOKUP(A447,DATABASE!A:B,2,0)),"")</f>
        <v/>
      </c>
      <c r="C447" s="30">
        <f>IFERROR(IF(A447="","",VLOOKUP(A447,DATABASE!A:J,10,0)),"")</f>
        <v/>
      </c>
      <c r="D447" s="31">
        <f>IF(A447="","",TODAY())</f>
        <v/>
      </c>
      <c r="E447" s="30" t="n"/>
      <c r="F447" s="30">
        <f>IFERROR(IF(OR(A447="",E447=""),"",C447-E447),"")</f>
        <v/>
      </c>
      <c r="G447" s="26" t="n"/>
      <c r="H447" s="26" t="n"/>
    </row>
    <row r="448">
      <c r="A448" s="37" t="n"/>
      <c r="B448" s="37">
        <f>IFERROR(IF(A448="","",VLOOKUP(A448,DATABASE!A:B,2,0)),"")</f>
        <v/>
      </c>
      <c r="C448" s="38">
        <f>IFERROR(IF(A448="","",VLOOKUP(A448,DATABASE!A:J,10,0)),"")</f>
        <v/>
      </c>
      <c r="D448" s="39">
        <f>IF(A448="","",TODAY())</f>
        <v/>
      </c>
      <c r="E448" s="38" t="n"/>
      <c r="F448" s="38">
        <f>IFERROR(IF(OR(A448="",E448=""),"",C448-E448),"")</f>
        <v/>
      </c>
      <c r="G448" s="37" t="n"/>
      <c r="H448" s="37" t="n"/>
    </row>
    <row r="449">
      <c r="A449" s="26" t="n"/>
      <c r="B449" s="26">
        <f>IFERROR(IF(A449="","",VLOOKUP(A449,DATABASE!A:B,2,0)),"")</f>
        <v/>
      </c>
      <c r="C449" s="30">
        <f>IFERROR(IF(A449="","",VLOOKUP(A449,DATABASE!A:J,10,0)),"")</f>
        <v/>
      </c>
      <c r="D449" s="31">
        <f>IF(A449="","",TODAY())</f>
        <v/>
      </c>
      <c r="E449" s="30" t="n"/>
      <c r="F449" s="30">
        <f>IFERROR(IF(OR(A449="",E449=""),"",C449-E449),"")</f>
        <v/>
      </c>
      <c r="G449" s="26" t="n"/>
      <c r="H449" s="26" t="n"/>
    </row>
    <row r="450">
      <c r="A450" s="37" t="n"/>
      <c r="B450" s="37">
        <f>IFERROR(IF(A450="","",VLOOKUP(A450,DATABASE!A:B,2,0)),"")</f>
        <v/>
      </c>
      <c r="C450" s="38">
        <f>IFERROR(IF(A450="","",VLOOKUP(A450,DATABASE!A:J,10,0)),"")</f>
        <v/>
      </c>
      <c r="D450" s="39">
        <f>IF(A450="","",TODAY())</f>
        <v/>
      </c>
      <c r="E450" s="38" t="n"/>
      <c r="F450" s="38">
        <f>IFERROR(IF(OR(A450="",E450=""),"",C450-E450),"")</f>
        <v/>
      </c>
      <c r="G450" s="37" t="n"/>
      <c r="H450" s="37" t="n"/>
    </row>
    <row r="451">
      <c r="A451" s="26" t="n"/>
      <c r="B451" s="26">
        <f>IFERROR(IF(A451="","",VLOOKUP(A451,DATABASE!A:B,2,0)),"")</f>
        <v/>
      </c>
      <c r="C451" s="30">
        <f>IFERROR(IF(A451="","",VLOOKUP(A451,DATABASE!A:J,10,0)),"")</f>
        <v/>
      </c>
      <c r="D451" s="31">
        <f>IF(A451="","",TODAY())</f>
        <v/>
      </c>
      <c r="E451" s="30" t="n"/>
      <c r="F451" s="30">
        <f>IFERROR(IF(OR(A451="",E451=""),"",C451-E451),"")</f>
        <v/>
      </c>
      <c r="G451" s="26" t="n"/>
      <c r="H451" s="26" t="n"/>
    </row>
    <row r="452">
      <c r="A452" s="37" t="n"/>
      <c r="B452" s="37">
        <f>IFERROR(IF(A452="","",VLOOKUP(A452,DATABASE!A:B,2,0)),"")</f>
        <v/>
      </c>
      <c r="C452" s="38">
        <f>IFERROR(IF(A452="","",VLOOKUP(A452,DATABASE!A:J,10,0)),"")</f>
        <v/>
      </c>
      <c r="D452" s="39">
        <f>IF(A452="","",TODAY())</f>
        <v/>
      </c>
      <c r="E452" s="38" t="n"/>
      <c r="F452" s="38">
        <f>IFERROR(IF(OR(A452="",E452=""),"",C452-E452),"")</f>
        <v/>
      </c>
      <c r="G452" s="37" t="n"/>
      <c r="H452" s="37" t="n"/>
    </row>
    <row r="453">
      <c r="A453" s="26" t="n"/>
      <c r="B453" s="26">
        <f>IFERROR(IF(A453="","",VLOOKUP(A453,DATABASE!A:B,2,0)),"")</f>
        <v/>
      </c>
      <c r="C453" s="30">
        <f>IFERROR(IF(A453="","",VLOOKUP(A453,DATABASE!A:J,10,0)),"")</f>
        <v/>
      </c>
      <c r="D453" s="31">
        <f>IF(A453="","",TODAY())</f>
        <v/>
      </c>
      <c r="E453" s="30" t="n"/>
      <c r="F453" s="30">
        <f>IFERROR(IF(OR(A453="",E453=""),"",C453-E453),"")</f>
        <v/>
      </c>
      <c r="G453" s="26" t="n"/>
      <c r="H453" s="26" t="n"/>
    </row>
    <row r="454">
      <c r="A454" s="37" t="n"/>
      <c r="B454" s="37">
        <f>IFERROR(IF(A454="","",VLOOKUP(A454,DATABASE!A:B,2,0)),"")</f>
        <v/>
      </c>
      <c r="C454" s="38">
        <f>IFERROR(IF(A454="","",VLOOKUP(A454,DATABASE!A:J,10,0)),"")</f>
        <v/>
      </c>
      <c r="D454" s="39">
        <f>IF(A454="","",TODAY())</f>
        <v/>
      </c>
      <c r="E454" s="38" t="n"/>
      <c r="F454" s="38">
        <f>IFERROR(IF(OR(A454="",E454=""),"",C454-E454),"")</f>
        <v/>
      </c>
      <c r="G454" s="37" t="n"/>
      <c r="H454" s="37" t="n"/>
    </row>
    <row r="455">
      <c r="A455" s="26" t="n"/>
      <c r="B455" s="26">
        <f>IFERROR(IF(A455="","",VLOOKUP(A455,DATABASE!A:B,2,0)),"")</f>
        <v/>
      </c>
      <c r="C455" s="30">
        <f>IFERROR(IF(A455="","",VLOOKUP(A455,DATABASE!A:J,10,0)),"")</f>
        <v/>
      </c>
      <c r="D455" s="31">
        <f>IF(A455="","",TODAY())</f>
        <v/>
      </c>
      <c r="E455" s="30" t="n"/>
      <c r="F455" s="30">
        <f>IFERROR(IF(OR(A455="",E455=""),"",C455-E455),"")</f>
        <v/>
      </c>
      <c r="G455" s="26" t="n"/>
      <c r="H455" s="26" t="n"/>
    </row>
    <row r="456">
      <c r="A456" s="37" t="n"/>
      <c r="B456" s="37">
        <f>IFERROR(IF(A456="","",VLOOKUP(A456,DATABASE!A:B,2,0)),"")</f>
        <v/>
      </c>
      <c r="C456" s="38">
        <f>IFERROR(IF(A456="","",VLOOKUP(A456,DATABASE!A:J,10,0)),"")</f>
        <v/>
      </c>
      <c r="D456" s="39">
        <f>IF(A456="","",TODAY())</f>
        <v/>
      </c>
      <c r="E456" s="38" t="n"/>
      <c r="F456" s="38">
        <f>IFERROR(IF(OR(A456="",E456=""),"",C456-E456),"")</f>
        <v/>
      </c>
      <c r="G456" s="37" t="n"/>
      <c r="H456" s="37" t="n"/>
    </row>
    <row r="457">
      <c r="A457" s="26" t="n"/>
      <c r="B457" s="26">
        <f>IFERROR(IF(A457="","",VLOOKUP(A457,DATABASE!A:B,2,0)),"")</f>
        <v/>
      </c>
      <c r="C457" s="30">
        <f>IFERROR(IF(A457="","",VLOOKUP(A457,DATABASE!A:J,10,0)),"")</f>
        <v/>
      </c>
      <c r="D457" s="31">
        <f>IF(A457="","",TODAY())</f>
        <v/>
      </c>
      <c r="E457" s="30" t="n"/>
      <c r="F457" s="30">
        <f>IFERROR(IF(OR(A457="",E457=""),"",C457-E457),"")</f>
        <v/>
      </c>
      <c r="G457" s="26" t="n"/>
      <c r="H457" s="26" t="n"/>
    </row>
    <row r="458">
      <c r="A458" s="37" t="n"/>
      <c r="B458" s="37">
        <f>IFERROR(IF(A458="","",VLOOKUP(A458,DATABASE!A:B,2,0)),"")</f>
        <v/>
      </c>
      <c r="C458" s="38">
        <f>IFERROR(IF(A458="","",VLOOKUP(A458,DATABASE!A:J,10,0)),"")</f>
        <v/>
      </c>
      <c r="D458" s="39">
        <f>IF(A458="","",TODAY())</f>
        <v/>
      </c>
      <c r="E458" s="38" t="n"/>
      <c r="F458" s="38">
        <f>IFERROR(IF(OR(A458="",E458=""),"",C458-E458),"")</f>
        <v/>
      </c>
      <c r="G458" s="37" t="n"/>
      <c r="H458" s="37" t="n"/>
    </row>
    <row r="459">
      <c r="A459" s="26" t="n"/>
      <c r="B459" s="26">
        <f>IFERROR(IF(A459="","",VLOOKUP(A459,DATABASE!A:B,2,0)),"")</f>
        <v/>
      </c>
      <c r="C459" s="30">
        <f>IFERROR(IF(A459="","",VLOOKUP(A459,DATABASE!A:J,10,0)),"")</f>
        <v/>
      </c>
      <c r="D459" s="31">
        <f>IF(A459="","",TODAY())</f>
        <v/>
      </c>
      <c r="E459" s="30" t="n"/>
      <c r="F459" s="30">
        <f>IFERROR(IF(OR(A459="",E459=""),"",C459-E459),"")</f>
        <v/>
      </c>
      <c r="G459" s="26" t="n"/>
      <c r="H459" s="26" t="n"/>
    </row>
    <row r="460">
      <c r="A460" s="37" t="n"/>
      <c r="B460" s="37">
        <f>IFERROR(IF(A460="","",VLOOKUP(A460,DATABASE!A:B,2,0)),"")</f>
        <v/>
      </c>
      <c r="C460" s="38">
        <f>IFERROR(IF(A460="","",VLOOKUP(A460,DATABASE!A:J,10,0)),"")</f>
        <v/>
      </c>
      <c r="D460" s="39">
        <f>IF(A460="","",TODAY())</f>
        <v/>
      </c>
      <c r="E460" s="38" t="n"/>
      <c r="F460" s="38">
        <f>IFERROR(IF(OR(A460="",E460=""),"",C460-E460),"")</f>
        <v/>
      </c>
      <c r="G460" s="37" t="n"/>
      <c r="H460" s="37" t="n"/>
    </row>
    <row r="461">
      <c r="A461" s="26" t="n"/>
      <c r="B461" s="26">
        <f>IFERROR(IF(A461="","",VLOOKUP(A461,DATABASE!A:B,2,0)),"")</f>
        <v/>
      </c>
      <c r="C461" s="30">
        <f>IFERROR(IF(A461="","",VLOOKUP(A461,DATABASE!A:J,10,0)),"")</f>
        <v/>
      </c>
      <c r="D461" s="31">
        <f>IF(A461="","",TODAY())</f>
        <v/>
      </c>
      <c r="E461" s="30" t="n"/>
      <c r="F461" s="30">
        <f>IFERROR(IF(OR(A461="",E461=""),"",C461-E461),"")</f>
        <v/>
      </c>
      <c r="G461" s="26" t="n"/>
      <c r="H461" s="26" t="n"/>
    </row>
    <row r="462">
      <c r="A462" s="37" t="n"/>
      <c r="B462" s="37">
        <f>IFERROR(IF(A462="","",VLOOKUP(A462,DATABASE!A:B,2,0)),"")</f>
        <v/>
      </c>
      <c r="C462" s="38">
        <f>IFERROR(IF(A462="","",VLOOKUP(A462,DATABASE!A:J,10,0)),"")</f>
        <v/>
      </c>
      <c r="D462" s="39">
        <f>IF(A462="","",TODAY())</f>
        <v/>
      </c>
      <c r="E462" s="38" t="n"/>
      <c r="F462" s="38">
        <f>IFERROR(IF(OR(A462="",E462=""),"",C462-E462),"")</f>
        <v/>
      </c>
      <c r="G462" s="37" t="n"/>
      <c r="H462" s="37" t="n"/>
    </row>
    <row r="463">
      <c r="A463" s="26" t="n"/>
      <c r="B463" s="26">
        <f>IFERROR(IF(A463="","",VLOOKUP(A463,DATABASE!A:B,2,0)),"")</f>
        <v/>
      </c>
      <c r="C463" s="30">
        <f>IFERROR(IF(A463="","",VLOOKUP(A463,DATABASE!A:J,10,0)),"")</f>
        <v/>
      </c>
      <c r="D463" s="31">
        <f>IF(A463="","",TODAY())</f>
        <v/>
      </c>
      <c r="E463" s="30" t="n"/>
      <c r="F463" s="30">
        <f>IFERROR(IF(OR(A463="",E463=""),"",C463-E463),"")</f>
        <v/>
      </c>
      <c r="G463" s="26" t="n"/>
      <c r="H463" s="26" t="n"/>
    </row>
    <row r="464">
      <c r="A464" s="37" t="n"/>
      <c r="B464" s="37">
        <f>IFERROR(IF(A464="","",VLOOKUP(A464,DATABASE!A:B,2,0)),"")</f>
        <v/>
      </c>
      <c r="C464" s="38">
        <f>IFERROR(IF(A464="","",VLOOKUP(A464,DATABASE!A:J,10,0)),"")</f>
        <v/>
      </c>
      <c r="D464" s="39">
        <f>IF(A464="","",TODAY())</f>
        <v/>
      </c>
      <c r="E464" s="38" t="n"/>
      <c r="F464" s="38">
        <f>IFERROR(IF(OR(A464="",E464=""),"",C464-E464),"")</f>
        <v/>
      </c>
      <c r="G464" s="37" t="n"/>
      <c r="H464" s="37" t="n"/>
    </row>
    <row r="465">
      <c r="A465" s="26" t="n"/>
      <c r="B465" s="26">
        <f>IFERROR(IF(A465="","",VLOOKUP(A465,DATABASE!A:B,2,0)),"")</f>
        <v/>
      </c>
      <c r="C465" s="30">
        <f>IFERROR(IF(A465="","",VLOOKUP(A465,DATABASE!A:J,10,0)),"")</f>
        <v/>
      </c>
      <c r="D465" s="31">
        <f>IF(A465="","",TODAY())</f>
        <v/>
      </c>
      <c r="E465" s="30" t="n"/>
      <c r="F465" s="30">
        <f>IFERROR(IF(OR(A465="",E465=""),"",C465-E465),"")</f>
        <v/>
      </c>
      <c r="G465" s="26" t="n"/>
      <c r="H465" s="26" t="n"/>
    </row>
    <row r="466">
      <c r="A466" s="37" t="n"/>
      <c r="B466" s="37">
        <f>IFERROR(IF(A466="","",VLOOKUP(A466,DATABASE!A:B,2,0)),"")</f>
        <v/>
      </c>
      <c r="C466" s="38">
        <f>IFERROR(IF(A466="","",VLOOKUP(A466,DATABASE!A:J,10,0)),"")</f>
        <v/>
      </c>
      <c r="D466" s="39">
        <f>IF(A466="","",TODAY())</f>
        <v/>
      </c>
      <c r="E466" s="38" t="n"/>
      <c r="F466" s="38">
        <f>IFERROR(IF(OR(A466="",E466=""),"",C466-E466),"")</f>
        <v/>
      </c>
      <c r="G466" s="37" t="n"/>
      <c r="H466" s="37" t="n"/>
    </row>
    <row r="467">
      <c r="A467" s="26" t="n"/>
      <c r="B467" s="26">
        <f>IFERROR(IF(A467="","",VLOOKUP(A467,DATABASE!A:B,2,0)),"")</f>
        <v/>
      </c>
      <c r="C467" s="30">
        <f>IFERROR(IF(A467="","",VLOOKUP(A467,DATABASE!A:J,10,0)),"")</f>
        <v/>
      </c>
      <c r="D467" s="31">
        <f>IF(A467="","",TODAY())</f>
        <v/>
      </c>
      <c r="E467" s="30" t="n"/>
      <c r="F467" s="30">
        <f>IFERROR(IF(OR(A467="",E467=""),"",C467-E467),"")</f>
        <v/>
      </c>
      <c r="G467" s="26" t="n"/>
      <c r="H467" s="26" t="n"/>
    </row>
    <row r="468">
      <c r="A468" s="37" t="n"/>
      <c r="B468" s="37">
        <f>IFERROR(IF(A468="","",VLOOKUP(A468,DATABASE!A:B,2,0)),"")</f>
        <v/>
      </c>
      <c r="C468" s="38">
        <f>IFERROR(IF(A468="","",VLOOKUP(A468,DATABASE!A:J,10,0)),"")</f>
        <v/>
      </c>
      <c r="D468" s="39">
        <f>IF(A468="","",TODAY())</f>
        <v/>
      </c>
      <c r="E468" s="38" t="n"/>
      <c r="F468" s="38">
        <f>IFERROR(IF(OR(A468="",E468=""),"",C468-E468),"")</f>
        <v/>
      </c>
      <c r="G468" s="37" t="n"/>
      <c r="H468" s="37" t="n"/>
    </row>
    <row r="469">
      <c r="A469" s="26" t="n"/>
      <c r="B469" s="26">
        <f>IFERROR(IF(A469="","",VLOOKUP(A469,DATABASE!A:B,2,0)),"")</f>
        <v/>
      </c>
      <c r="C469" s="30">
        <f>IFERROR(IF(A469="","",VLOOKUP(A469,DATABASE!A:J,10,0)),"")</f>
        <v/>
      </c>
      <c r="D469" s="31">
        <f>IF(A469="","",TODAY())</f>
        <v/>
      </c>
      <c r="E469" s="30" t="n"/>
      <c r="F469" s="30">
        <f>IFERROR(IF(OR(A469="",E469=""),"",C469-E469),"")</f>
        <v/>
      </c>
      <c r="G469" s="26" t="n"/>
      <c r="H469" s="26" t="n"/>
    </row>
    <row r="470">
      <c r="A470" s="37" t="n"/>
      <c r="B470" s="37">
        <f>IFERROR(IF(A470="","",VLOOKUP(A470,DATABASE!A:B,2,0)),"")</f>
        <v/>
      </c>
      <c r="C470" s="38">
        <f>IFERROR(IF(A470="","",VLOOKUP(A470,DATABASE!A:J,10,0)),"")</f>
        <v/>
      </c>
      <c r="D470" s="39">
        <f>IF(A470="","",TODAY())</f>
        <v/>
      </c>
      <c r="E470" s="38" t="n"/>
      <c r="F470" s="38">
        <f>IFERROR(IF(OR(A470="",E470=""),"",C470-E470),"")</f>
        <v/>
      </c>
      <c r="G470" s="37" t="n"/>
      <c r="H470" s="37" t="n"/>
    </row>
    <row r="471">
      <c r="A471" s="26" t="n"/>
      <c r="B471" s="26">
        <f>IFERROR(IF(A471="","",VLOOKUP(A471,DATABASE!A:B,2,0)),"")</f>
        <v/>
      </c>
      <c r="C471" s="30">
        <f>IFERROR(IF(A471="","",VLOOKUP(A471,DATABASE!A:J,10,0)),"")</f>
        <v/>
      </c>
      <c r="D471" s="31">
        <f>IF(A471="","",TODAY())</f>
        <v/>
      </c>
      <c r="E471" s="30" t="n"/>
      <c r="F471" s="30">
        <f>IFERROR(IF(OR(A471="",E471=""),"",C471-E471),"")</f>
        <v/>
      </c>
      <c r="G471" s="26" t="n"/>
      <c r="H471" s="26" t="n"/>
    </row>
    <row r="472">
      <c r="A472" s="37" t="n"/>
      <c r="B472" s="37">
        <f>IFERROR(IF(A472="","",VLOOKUP(A472,DATABASE!A:B,2,0)),"")</f>
        <v/>
      </c>
      <c r="C472" s="38">
        <f>IFERROR(IF(A472="","",VLOOKUP(A472,DATABASE!A:J,10,0)),"")</f>
        <v/>
      </c>
      <c r="D472" s="39">
        <f>IF(A472="","",TODAY())</f>
        <v/>
      </c>
      <c r="E472" s="38" t="n"/>
      <c r="F472" s="38">
        <f>IFERROR(IF(OR(A472="",E472=""),"",C472-E472),"")</f>
        <v/>
      </c>
      <c r="G472" s="37" t="n"/>
      <c r="H472" s="37" t="n"/>
    </row>
    <row r="473">
      <c r="A473" s="26" t="n"/>
      <c r="B473" s="26">
        <f>IFERROR(IF(A473="","",VLOOKUP(A473,DATABASE!A:B,2,0)),"")</f>
        <v/>
      </c>
      <c r="C473" s="30">
        <f>IFERROR(IF(A473="","",VLOOKUP(A473,DATABASE!A:J,10,0)),"")</f>
        <v/>
      </c>
      <c r="D473" s="31">
        <f>IF(A473="","",TODAY())</f>
        <v/>
      </c>
      <c r="E473" s="30" t="n"/>
      <c r="F473" s="30">
        <f>IFERROR(IF(OR(A473="",E473=""),"",C473-E473),"")</f>
        <v/>
      </c>
      <c r="G473" s="26" t="n"/>
      <c r="H473" s="26" t="n"/>
    </row>
    <row r="474">
      <c r="A474" s="37" t="n"/>
      <c r="B474" s="37">
        <f>IFERROR(IF(A474="","",VLOOKUP(A474,DATABASE!A:B,2,0)),"")</f>
        <v/>
      </c>
      <c r="C474" s="38">
        <f>IFERROR(IF(A474="","",VLOOKUP(A474,DATABASE!A:J,10,0)),"")</f>
        <v/>
      </c>
      <c r="D474" s="39">
        <f>IF(A474="","",TODAY())</f>
        <v/>
      </c>
      <c r="E474" s="38" t="n"/>
      <c r="F474" s="38">
        <f>IFERROR(IF(OR(A474="",E474=""),"",C474-E474),"")</f>
        <v/>
      </c>
      <c r="G474" s="37" t="n"/>
      <c r="H474" s="37" t="n"/>
    </row>
    <row r="475">
      <c r="A475" s="26" t="n"/>
      <c r="B475" s="26">
        <f>IFERROR(IF(A475="","",VLOOKUP(A475,DATABASE!A:B,2,0)),"")</f>
        <v/>
      </c>
      <c r="C475" s="30">
        <f>IFERROR(IF(A475="","",VLOOKUP(A475,DATABASE!A:J,10,0)),"")</f>
        <v/>
      </c>
      <c r="D475" s="31">
        <f>IF(A475="","",TODAY())</f>
        <v/>
      </c>
      <c r="E475" s="30" t="n"/>
      <c r="F475" s="30">
        <f>IFERROR(IF(OR(A475="",E475=""),"",C475-E475),"")</f>
        <v/>
      </c>
      <c r="G475" s="26" t="n"/>
      <c r="H475" s="26" t="n"/>
    </row>
    <row r="476">
      <c r="A476" s="37" t="n"/>
      <c r="B476" s="37">
        <f>IFERROR(IF(A476="","",VLOOKUP(A476,DATABASE!A:B,2,0)),"")</f>
        <v/>
      </c>
      <c r="C476" s="38">
        <f>IFERROR(IF(A476="","",VLOOKUP(A476,DATABASE!A:J,10,0)),"")</f>
        <v/>
      </c>
      <c r="D476" s="39">
        <f>IF(A476="","",TODAY())</f>
        <v/>
      </c>
      <c r="E476" s="38" t="n"/>
      <c r="F476" s="38">
        <f>IFERROR(IF(OR(A476="",E476=""),"",C476-E476),"")</f>
        <v/>
      </c>
      <c r="G476" s="37" t="n"/>
      <c r="H476" s="37" t="n"/>
    </row>
    <row r="477">
      <c r="A477" s="26" t="n"/>
      <c r="B477" s="26">
        <f>IFERROR(IF(A477="","",VLOOKUP(A477,DATABASE!A:B,2,0)),"")</f>
        <v/>
      </c>
      <c r="C477" s="30">
        <f>IFERROR(IF(A477="","",VLOOKUP(A477,DATABASE!A:J,10,0)),"")</f>
        <v/>
      </c>
      <c r="D477" s="31">
        <f>IF(A477="","",TODAY())</f>
        <v/>
      </c>
      <c r="E477" s="30" t="n"/>
      <c r="F477" s="30">
        <f>IFERROR(IF(OR(A477="",E477=""),"",C477-E477),"")</f>
        <v/>
      </c>
      <c r="G477" s="26" t="n"/>
      <c r="H477" s="26" t="n"/>
    </row>
    <row r="478">
      <c r="A478" s="37" t="n"/>
      <c r="B478" s="37">
        <f>IFERROR(IF(A478="","",VLOOKUP(A478,DATABASE!A:B,2,0)),"")</f>
        <v/>
      </c>
      <c r="C478" s="38">
        <f>IFERROR(IF(A478="","",VLOOKUP(A478,DATABASE!A:J,10,0)),"")</f>
        <v/>
      </c>
      <c r="D478" s="39">
        <f>IF(A478="","",TODAY())</f>
        <v/>
      </c>
      <c r="E478" s="38" t="n"/>
      <c r="F478" s="38">
        <f>IFERROR(IF(OR(A478="",E478=""),"",C478-E478),"")</f>
        <v/>
      </c>
      <c r="G478" s="37" t="n"/>
      <c r="H478" s="37" t="n"/>
    </row>
    <row r="479">
      <c r="A479" s="26" t="n"/>
      <c r="B479" s="26">
        <f>IFERROR(IF(A479="","",VLOOKUP(A479,DATABASE!A:B,2,0)),"")</f>
        <v/>
      </c>
      <c r="C479" s="30">
        <f>IFERROR(IF(A479="","",VLOOKUP(A479,DATABASE!A:J,10,0)),"")</f>
        <v/>
      </c>
      <c r="D479" s="31">
        <f>IF(A479="","",TODAY())</f>
        <v/>
      </c>
      <c r="E479" s="30" t="n"/>
      <c r="F479" s="30">
        <f>IFERROR(IF(OR(A479="",E479=""),"",C479-E479),"")</f>
        <v/>
      </c>
      <c r="G479" s="26" t="n"/>
      <c r="H479" s="26" t="n"/>
    </row>
    <row r="480">
      <c r="A480" s="37" t="n"/>
      <c r="B480" s="37">
        <f>IFERROR(IF(A480="","",VLOOKUP(A480,DATABASE!A:B,2,0)),"")</f>
        <v/>
      </c>
      <c r="C480" s="38">
        <f>IFERROR(IF(A480="","",VLOOKUP(A480,DATABASE!A:J,10,0)),"")</f>
        <v/>
      </c>
      <c r="D480" s="39">
        <f>IF(A480="","",TODAY())</f>
        <v/>
      </c>
      <c r="E480" s="38" t="n"/>
      <c r="F480" s="38">
        <f>IFERROR(IF(OR(A480="",E480=""),"",C480-E480),"")</f>
        <v/>
      </c>
      <c r="G480" s="37" t="n"/>
      <c r="H480" s="37" t="n"/>
    </row>
    <row r="481">
      <c r="A481" s="26" t="n"/>
      <c r="B481" s="26">
        <f>IFERROR(IF(A481="","",VLOOKUP(A481,DATABASE!A:B,2,0)),"")</f>
        <v/>
      </c>
      <c r="C481" s="30">
        <f>IFERROR(IF(A481="","",VLOOKUP(A481,DATABASE!A:J,10,0)),"")</f>
        <v/>
      </c>
      <c r="D481" s="31">
        <f>IF(A481="","",TODAY())</f>
        <v/>
      </c>
      <c r="E481" s="30" t="n"/>
      <c r="F481" s="30">
        <f>IFERROR(IF(OR(A481="",E481=""),"",C481-E481),"")</f>
        <v/>
      </c>
      <c r="G481" s="26" t="n"/>
      <c r="H481" s="26" t="n"/>
    </row>
    <row r="482">
      <c r="A482" s="37" t="n"/>
      <c r="B482" s="37">
        <f>IFERROR(IF(A482="","",VLOOKUP(A482,DATABASE!A:B,2,0)),"")</f>
        <v/>
      </c>
      <c r="C482" s="38">
        <f>IFERROR(IF(A482="","",VLOOKUP(A482,DATABASE!A:J,10,0)),"")</f>
        <v/>
      </c>
      <c r="D482" s="39">
        <f>IF(A482="","",TODAY())</f>
        <v/>
      </c>
      <c r="E482" s="38" t="n"/>
      <c r="F482" s="38">
        <f>IFERROR(IF(OR(A482="",E482=""),"",C482-E482),"")</f>
        <v/>
      </c>
      <c r="G482" s="37" t="n"/>
      <c r="H482" s="37" t="n"/>
    </row>
    <row r="483">
      <c r="A483" s="26" t="n"/>
      <c r="B483" s="26">
        <f>IFERROR(IF(A483="","",VLOOKUP(A483,DATABASE!A:B,2,0)),"")</f>
        <v/>
      </c>
      <c r="C483" s="30">
        <f>IFERROR(IF(A483="","",VLOOKUP(A483,DATABASE!A:J,10,0)),"")</f>
        <v/>
      </c>
      <c r="D483" s="31">
        <f>IF(A483="","",TODAY())</f>
        <v/>
      </c>
      <c r="E483" s="30" t="n"/>
      <c r="F483" s="30">
        <f>IFERROR(IF(OR(A483="",E483=""),"",C483-E483),"")</f>
        <v/>
      </c>
      <c r="G483" s="26" t="n"/>
      <c r="H483" s="26" t="n"/>
    </row>
    <row r="484">
      <c r="A484" s="37" t="n"/>
      <c r="B484" s="37">
        <f>IFERROR(IF(A484="","",VLOOKUP(A484,DATABASE!A:B,2,0)),"")</f>
        <v/>
      </c>
      <c r="C484" s="38">
        <f>IFERROR(IF(A484="","",VLOOKUP(A484,DATABASE!A:J,10,0)),"")</f>
        <v/>
      </c>
      <c r="D484" s="39">
        <f>IF(A484="","",TODAY())</f>
        <v/>
      </c>
      <c r="E484" s="38" t="n"/>
      <c r="F484" s="38">
        <f>IFERROR(IF(OR(A484="",E484=""),"",C484-E484),"")</f>
        <v/>
      </c>
      <c r="G484" s="37" t="n"/>
      <c r="H484" s="37" t="n"/>
    </row>
    <row r="485">
      <c r="A485" s="26" t="n"/>
      <c r="B485" s="26">
        <f>IFERROR(IF(A485="","",VLOOKUP(A485,DATABASE!A:B,2,0)),"")</f>
        <v/>
      </c>
      <c r="C485" s="30">
        <f>IFERROR(IF(A485="","",VLOOKUP(A485,DATABASE!A:J,10,0)),"")</f>
        <v/>
      </c>
      <c r="D485" s="31">
        <f>IF(A485="","",TODAY())</f>
        <v/>
      </c>
      <c r="E485" s="30" t="n"/>
      <c r="F485" s="30">
        <f>IFERROR(IF(OR(A485="",E485=""),"",C485-E485),"")</f>
        <v/>
      </c>
      <c r="G485" s="26" t="n"/>
      <c r="H485" s="26" t="n"/>
    </row>
    <row r="486">
      <c r="A486" s="37" t="n"/>
      <c r="B486" s="37">
        <f>IFERROR(IF(A486="","",VLOOKUP(A486,DATABASE!A:B,2,0)),"")</f>
        <v/>
      </c>
      <c r="C486" s="38">
        <f>IFERROR(IF(A486="","",VLOOKUP(A486,DATABASE!A:J,10,0)),"")</f>
        <v/>
      </c>
      <c r="D486" s="39">
        <f>IF(A486="","",TODAY())</f>
        <v/>
      </c>
      <c r="E486" s="38" t="n"/>
      <c r="F486" s="38">
        <f>IFERROR(IF(OR(A486="",E486=""),"",C486-E486),"")</f>
        <v/>
      </c>
      <c r="G486" s="37" t="n"/>
      <c r="H486" s="37" t="n"/>
    </row>
    <row r="487">
      <c r="A487" s="26" t="n"/>
      <c r="B487" s="26">
        <f>IFERROR(IF(A487="","",VLOOKUP(A487,DATABASE!A:B,2,0)),"")</f>
        <v/>
      </c>
      <c r="C487" s="30">
        <f>IFERROR(IF(A487="","",VLOOKUP(A487,DATABASE!A:J,10,0)),"")</f>
        <v/>
      </c>
      <c r="D487" s="31">
        <f>IF(A487="","",TODAY())</f>
        <v/>
      </c>
      <c r="E487" s="30" t="n"/>
      <c r="F487" s="30">
        <f>IFERROR(IF(OR(A487="",E487=""),"",C487-E487),"")</f>
        <v/>
      </c>
      <c r="G487" s="26" t="n"/>
      <c r="H487" s="26" t="n"/>
    </row>
    <row r="488">
      <c r="A488" s="37" t="n"/>
      <c r="B488" s="37">
        <f>IFERROR(IF(A488="","",VLOOKUP(A488,DATABASE!A:B,2,0)),"")</f>
        <v/>
      </c>
      <c r="C488" s="38">
        <f>IFERROR(IF(A488="","",VLOOKUP(A488,DATABASE!A:J,10,0)),"")</f>
        <v/>
      </c>
      <c r="D488" s="39">
        <f>IF(A488="","",TODAY())</f>
        <v/>
      </c>
      <c r="E488" s="38" t="n"/>
      <c r="F488" s="38">
        <f>IFERROR(IF(OR(A488="",E488=""),"",C488-E488),"")</f>
        <v/>
      </c>
      <c r="G488" s="37" t="n"/>
      <c r="H488" s="37" t="n"/>
    </row>
    <row r="489">
      <c r="A489" s="26" t="n"/>
      <c r="B489" s="26">
        <f>IFERROR(IF(A489="","",VLOOKUP(A489,DATABASE!A:B,2,0)),"")</f>
        <v/>
      </c>
      <c r="C489" s="30">
        <f>IFERROR(IF(A489="","",VLOOKUP(A489,DATABASE!A:J,10,0)),"")</f>
        <v/>
      </c>
      <c r="D489" s="31">
        <f>IF(A489="","",TODAY())</f>
        <v/>
      </c>
      <c r="E489" s="30" t="n"/>
      <c r="F489" s="30">
        <f>IFERROR(IF(OR(A489="",E489=""),"",C489-E489),"")</f>
        <v/>
      </c>
      <c r="G489" s="26" t="n"/>
      <c r="H489" s="26" t="n"/>
    </row>
    <row r="490">
      <c r="A490" s="37" t="n"/>
      <c r="B490" s="37">
        <f>IFERROR(IF(A490="","",VLOOKUP(A490,DATABASE!A:B,2,0)),"")</f>
        <v/>
      </c>
      <c r="C490" s="38">
        <f>IFERROR(IF(A490="","",VLOOKUP(A490,DATABASE!A:J,10,0)),"")</f>
        <v/>
      </c>
      <c r="D490" s="39">
        <f>IF(A490="","",TODAY())</f>
        <v/>
      </c>
      <c r="E490" s="38" t="n"/>
      <c r="F490" s="38">
        <f>IFERROR(IF(OR(A490="",E490=""),"",C490-E490),"")</f>
        <v/>
      </c>
      <c r="G490" s="37" t="n"/>
      <c r="H490" s="37" t="n"/>
    </row>
    <row r="491">
      <c r="A491" s="26" t="n"/>
      <c r="B491" s="26">
        <f>IFERROR(IF(A491="","",VLOOKUP(A491,DATABASE!A:B,2,0)),"")</f>
        <v/>
      </c>
      <c r="C491" s="30">
        <f>IFERROR(IF(A491="","",VLOOKUP(A491,DATABASE!A:J,10,0)),"")</f>
        <v/>
      </c>
      <c r="D491" s="31">
        <f>IF(A491="","",TODAY())</f>
        <v/>
      </c>
      <c r="E491" s="30" t="n"/>
      <c r="F491" s="30">
        <f>IFERROR(IF(OR(A491="",E491=""),"",C491-E491),"")</f>
        <v/>
      </c>
      <c r="G491" s="26" t="n"/>
      <c r="H491" s="26" t="n"/>
    </row>
    <row r="492">
      <c r="A492" s="37" t="n"/>
      <c r="B492" s="37">
        <f>IFERROR(IF(A492="","",VLOOKUP(A492,DATABASE!A:B,2,0)),"")</f>
        <v/>
      </c>
      <c r="C492" s="38">
        <f>IFERROR(IF(A492="","",VLOOKUP(A492,DATABASE!A:J,10,0)),"")</f>
        <v/>
      </c>
      <c r="D492" s="39">
        <f>IF(A492="","",TODAY())</f>
        <v/>
      </c>
      <c r="E492" s="38" t="n"/>
      <c r="F492" s="38">
        <f>IFERROR(IF(OR(A492="",E492=""),"",C492-E492),"")</f>
        <v/>
      </c>
      <c r="G492" s="37" t="n"/>
      <c r="H492" s="37" t="n"/>
    </row>
    <row r="493">
      <c r="A493" s="26" t="n"/>
      <c r="B493" s="26">
        <f>IFERROR(IF(A493="","",VLOOKUP(A493,DATABASE!A:B,2,0)),"")</f>
        <v/>
      </c>
      <c r="C493" s="30">
        <f>IFERROR(IF(A493="","",VLOOKUP(A493,DATABASE!A:J,10,0)),"")</f>
        <v/>
      </c>
      <c r="D493" s="31">
        <f>IF(A493="","",TODAY())</f>
        <v/>
      </c>
      <c r="E493" s="30" t="n"/>
      <c r="F493" s="30">
        <f>IFERROR(IF(OR(A493="",E493=""),"",C493-E493),"")</f>
        <v/>
      </c>
      <c r="G493" s="26" t="n"/>
      <c r="H493" s="26" t="n"/>
    </row>
    <row r="494">
      <c r="A494" s="37" t="n"/>
      <c r="B494" s="37">
        <f>IFERROR(IF(A494="","",VLOOKUP(A494,DATABASE!A:B,2,0)),"")</f>
        <v/>
      </c>
      <c r="C494" s="38">
        <f>IFERROR(IF(A494="","",VLOOKUP(A494,DATABASE!A:J,10,0)),"")</f>
        <v/>
      </c>
      <c r="D494" s="39">
        <f>IF(A494="","",TODAY())</f>
        <v/>
      </c>
      <c r="E494" s="38" t="n"/>
      <c r="F494" s="38">
        <f>IFERROR(IF(OR(A494="",E494=""),"",C494-E494),"")</f>
        <v/>
      </c>
      <c r="G494" s="37" t="n"/>
      <c r="H494" s="37" t="n"/>
    </row>
    <row r="495">
      <c r="A495" s="26" t="n"/>
      <c r="B495" s="26">
        <f>IFERROR(IF(A495="","",VLOOKUP(A495,DATABASE!A:B,2,0)),"")</f>
        <v/>
      </c>
      <c r="C495" s="30">
        <f>IFERROR(IF(A495="","",VLOOKUP(A495,DATABASE!A:J,10,0)),"")</f>
        <v/>
      </c>
      <c r="D495" s="31">
        <f>IF(A495="","",TODAY())</f>
        <v/>
      </c>
      <c r="E495" s="30" t="n"/>
      <c r="F495" s="30">
        <f>IFERROR(IF(OR(A495="",E495=""),"",C495-E495),"")</f>
        <v/>
      </c>
      <c r="G495" s="26" t="n"/>
      <c r="H495" s="26" t="n"/>
    </row>
    <row r="496">
      <c r="A496" s="37" t="n"/>
      <c r="B496" s="37">
        <f>IFERROR(IF(A496="","",VLOOKUP(A496,DATABASE!A:B,2,0)),"")</f>
        <v/>
      </c>
      <c r="C496" s="38">
        <f>IFERROR(IF(A496="","",VLOOKUP(A496,DATABASE!A:J,10,0)),"")</f>
        <v/>
      </c>
      <c r="D496" s="39">
        <f>IF(A496="","",TODAY())</f>
        <v/>
      </c>
      <c r="E496" s="38" t="n"/>
      <c r="F496" s="38">
        <f>IFERROR(IF(OR(A496="",E496=""),"",C496-E496),"")</f>
        <v/>
      </c>
      <c r="G496" s="37" t="n"/>
      <c r="H496" s="37" t="n"/>
    </row>
    <row r="497">
      <c r="A497" s="26" t="n"/>
      <c r="B497" s="26">
        <f>IFERROR(IF(A497="","",VLOOKUP(A497,DATABASE!A:B,2,0)),"")</f>
        <v/>
      </c>
      <c r="C497" s="30">
        <f>IFERROR(IF(A497="","",VLOOKUP(A497,DATABASE!A:J,10,0)),"")</f>
        <v/>
      </c>
      <c r="D497" s="31">
        <f>IF(A497="","",TODAY())</f>
        <v/>
      </c>
      <c r="E497" s="30" t="n"/>
      <c r="F497" s="30">
        <f>IFERROR(IF(OR(A497="",E497=""),"",C497-E497),"")</f>
        <v/>
      </c>
      <c r="G497" s="26" t="n"/>
      <c r="H497" s="26" t="n"/>
    </row>
    <row r="498">
      <c r="A498" s="37" t="n"/>
      <c r="B498" s="37">
        <f>IFERROR(IF(A498="","",VLOOKUP(A498,DATABASE!A:B,2,0)),"")</f>
        <v/>
      </c>
      <c r="C498" s="38">
        <f>IFERROR(IF(A498="","",VLOOKUP(A498,DATABASE!A:J,10,0)),"")</f>
        <v/>
      </c>
      <c r="D498" s="39">
        <f>IF(A498="","",TODAY())</f>
        <v/>
      </c>
      <c r="E498" s="38" t="n"/>
      <c r="F498" s="38">
        <f>IFERROR(IF(OR(A498="",E498=""),"",C498-E498),"")</f>
        <v/>
      </c>
      <c r="G498" s="37" t="n"/>
      <c r="H498" s="37" t="n"/>
    </row>
    <row r="499">
      <c r="A499" s="26" t="n"/>
      <c r="B499" s="26">
        <f>IFERROR(IF(A499="","",VLOOKUP(A499,DATABASE!A:B,2,0)),"")</f>
        <v/>
      </c>
      <c r="C499" s="30">
        <f>IFERROR(IF(A499="","",VLOOKUP(A499,DATABASE!A:J,10,0)),"")</f>
        <v/>
      </c>
      <c r="D499" s="31">
        <f>IF(A499="","",TODAY())</f>
        <v/>
      </c>
      <c r="E499" s="30" t="n"/>
      <c r="F499" s="30">
        <f>IFERROR(IF(OR(A499="",E499=""),"",C499-E499),"")</f>
        <v/>
      </c>
      <c r="G499" s="26" t="n"/>
      <c r="H499" s="26" t="n"/>
    </row>
    <row r="500">
      <c r="A500" s="37" t="n"/>
      <c r="B500" s="37">
        <f>IFERROR(IF(A500="","",VLOOKUP(A500,DATABASE!A:B,2,0)),"")</f>
        <v/>
      </c>
      <c r="C500" s="38">
        <f>IFERROR(IF(A500="","",VLOOKUP(A500,DATABASE!A:J,10,0)),"")</f>
        <v/>
      </c>
      <c r="D500" s="39">
        <f>IF(A500="","",TODAY())</f>
        <v/>
      </c>
      <c r="E500" s="38" t="n"/>
      <c r="F500" s="38">
        <f>IFERROR(IF(OR(A500="",E500=""),"",C500-E500),"")</f>
        <v/>
      </c>
      <c r="G500" s="37" t="n"/>
      <c r="H500" s="37" t="n"/>
    </row>
    <row r="501">
      <c r="A501" s="26" t="n"/>
      <c r="B501" s="26">
        <f>IFERROR(IF(A501="","",VLOOKUP(A501,DATABASE!A:B,2,0)),"")</f>
        <v/>
      </c>
      <c r="C501" s="30">
        <f>IFERROR(IF(A501="","",VLOOKUP(A501,DATABASE!A:J,10,0)),"")</f>
        <v/>
      </c>
      <c r="D501" s="31">
        <f>IF(A501="","",TODAY())</f>
        <v/>
      </c>
      <c r="E501" s="30" t="n"/>
      <c r="F501" s="30">
        <f>IFERROR(IF(OR(A501="",E501=""),"",C501-E501),"")</f>
        <v/>
      </c>
      <c r="G501" s="26" t="n"/>
      <c r="H501" s="26" t="n"/>
    </row>
    <row r="502">
      <c r="A502" s="37" t="n"/>
      <c r="B502" s="37">
        <f>IFERROR(IF(A502="","",VLOOKUP(A502,DATABASE!A:B,2,0)),"")</f>
        <v/>
      </c>
      <c r="C502" s="38">
        <f>IFERROR(IF(A502="","",VLOOKUP(A502,DATABASE!A:J,10,0)),"")</f>
        <v/>
      </c>
      <c r="D502" s="39">
        <f>IF(A502="","",TODAY())</f>
        <v/>
      </c>
      <c r="E502" s="38" t="n"/>
      <c r="F502" s="38">
        <f>IFERROR(IF(OR(A502="",E502=""),"",C502-E502),"")</f>
        <v/>
      </c>
      <c r="G502" s="37" t="n"/>
      <c r="H502" s="37" t="n"/>
    </row>
    <row r="503">
      <c r="A503" s="26" t="n"/>
      <c r="B503" s="26">
        <f>IFERROR(IF(A503="","",VLOOKUP(A503,DATABASE!A:B,2,0)),"")</f>
        <v/>
      </c>
      <c r="C503" s="30">
        <f>IFERROR(IF(A503="","",VLOOKUP(A503,DATABASE!A:J,10,0)),"")</f>
        <v/>
      </c>
      <c r="D503" s="31">
        <f>IF(A503="","",TODAY())</f>
        <v/>
      </c>
      <c r="E503" s="30" t="n"/>
      <c r="F503" s="30">
        <f>IFERROR(IF(OR(A503="",E503=""),"",C503-E503),"")</f>
        <v/>
      </c>
      <c r="G503" s="26" t="n"/>
      <c r="H503" s="26" t="n"/>
    </row>
    <row r="504">
      <c r="A504" s="37" t="n"/>
      <c r="B504" s="37">
        <f>IFERROR(IF(A504="","",VLOOKUP(A504,DATABASE!A:B,2,0)),"")</f>
        <v/>
      </c>
      <c r="C504" s="38">
        <f>IFERROR(IF(A504="","",VLOOKUP(A504,DATABASE!A:J,10,0)),"")</f>
        <v/>
      </c>
      <c r="D504" s="39">
        <f>IF(A504="","",TODAY())</f>
        <v/>
      </c>
      <c r="E504" s="38" t="n"/>
      <c r="F504" s="38">
        <f>IFERROR(IF(OR(A504="",E504=""),"",C504-E504),"")</f>
        <v/>
      </c>
      <c r="G504" s="37" t="n"/>
      <c r="H504" s="37" t="n"/>
    </row>
    <row r="505">
      <c r="A505" s="26" t="n"/>
      <c r="B505" s="26">
        <f>IFERROR(IF(A505="","",VLOOKUP(A505,DATABASE!A:B,2,0)),"")</f>
        <v/>
      </c>
      <c r="C505" s="30">
        <f>IFERROR(IF(A505="","",VLOOKUP(A505,DATABASE!A:J,10,0)),"")</f>
        <v/>
      </c>
      <c r="D505" s="31">
        <f>IF(A505="","",TODAY())</f>
        <v/>
      </c>
      <c r="E505" s="30" t="n"/>
      <c r="F505" s="30">
        <f>IFERROR(IF(OR(A505="",E505=""),"",C505-E505),"")</f>
        <v/>
      </c>
      <c r="G505" s="26" t="n"/>
      <c r="H505" s="26" t="n"/>
    </row>
    <row r="506">
      <c r="A506" s="37" t="n"/>
      <c r="B506" s="37">
        <f>IFERROR(IF(A506="","",VLOOKUP(A506,DATABASE!A:B,2,0)),"")</f>
        <v/>
      </c>
      <c r="C506" s="38">
        <f>IFERROR(IF(A506="","",VLOOKUP(A506,DATABASE!A:J,10,0)),"")</f>
        <v/>
      </c>
      <c r="D506" s="39">
        <f>IF(A506="","",TODAY())</f>
        <v/>
      </c>
      <c r="E506" s="38" t="n"/>
      <c r="F506" s="38">
        <f>IFERROR(IF(OR(A506="",E506=""),"",C506-E506),"")</f>
        <v/>
      </c>
      <c r="G506" s="37" t="n"/>
      <c r="H506" s="37" t="n"/>
    </row>
    <row r="507">
      <c r="A507" s="26" t="n"/>
      <c r="B507" s="26">
        <f>IFERROR(IF(A507="","",VLOOKUP(A507,DATABASE!A:B,2,0)),"")</f>
        <v/>
      </c>
      <c r="C507" s="30">
        <f>IFERROR(IF(A507="","",VLOOKUP(A507,DATABASE!A:J,10,0)),"")</f>
        <v/>
      </c>
      <c r="D507" s="31">
        <f>IF(A507="","",TODAY())</f>
        <v/>
      </c>
      <c r="E507" s="30" t="n"/>
      <c r="F507" s="30">
        <f>IFERROR(IF(OR(A507="",E507=""),"",C507-E507),"")</f>
        <v/>
      </c>
      <c r="G507" s="26" t="n"/>
      <c r="H507" s="26" t="n"/>
    </row>
    <row r="508">
      <c r="A508" s="37" t="n"/>
      <c r="B508" s="37">
        <f>IFERROR(IF(A508="","",VLOOKUP(A508,DATABASE!A:B,2,0)),"")</f>
        <v/>
      </c>
      <c r="C508" s="38">
        <f>IFERROR(IF(A508="","",VLOOKUP(A508,DATABASE!A:J,10,0)),"")</f>
        <v/>
      </c>
      <c r="D508" s="39">
        <f>IF(A508="","",TODAY())</f>
        <v/>
      </c>
      <c r="E508" s="38" t="n"/>
      <c r="F508" s="38">
        <f>IFERROR(IF(OR(A508="",E508=""),"",C508-E508),"")</f>
        <v/>
      </c>
      <c r="G508" s="37" t="n"/>
      <c r="H508" s="37" t="n"/>
    </row>
    <row r="509">
      <c r="A509" s="26" t="n"/>
      <c r="B509" s="26">
        <f>IFERROR(IF(A509="","",VLOOKUP(A509,DATABASE!A:B,2,0)),"")</f>
        <v/>
      </c>
      <c r="C509" s="30">
        <f>IFERROR(IF(A509="","",VLOOKUP(A509,DATABASE!A:J,10,0)),"")</f>
        <v/>
      </c>
      <c r="D509" s="31">
        <f>IF(A509="","",TODAY())</f>
        <v/>
      </c>
      <c r="E509" s="30" t="n"/>
      <c r="F509" s="30">
        <f>IFERROR(IF(OR(A509="",E509=""),"",C509-E509),"")</f>
        <v/>
      </c>
      <c r="G509" s="26" t="n"/>
      <c r="H509" s="26" t="n"/>
    </row>
    <row r="510">
      <c r="A510" s="37" t="n"/>
      <c r="B510" s="37">
        <f>IFERROR(IF(A510="","",VLOOKUP(A510,DATABASE!A:B,2,0)),"")</f>
        <v/>
      </c>
      <c r="C510" s="38">
        <f>IFERROR(IF(A510="","",VLOOKUP(A510,DATABASE!A:J,10,0)),"")</f>
        <v/>
      </c>
      <c r="D510" s="39">
        <f>IF(A510="","",TODAY())</f>
        <v/>
      </c>
      <c r="E510" s="38" t="n"/>
      <c r="F510" s="38">
        <f>IFERROR(IF(OR(A510="",E510=""),"",C510-E510),"")</f>
        <v/>
      </c>
      <c r="G510" s="37" t="n"/>
      <c r="H510" s="37" t="n"/>
    </row>
    <row r="511">
      <c r="A511" s="26" t="n"/>
      <c r="B511" s="26">
        <f>IFERROR(IF(A511="","",VLOOKUP(A511,DATABASE!A:B,2,0)),"")</f>
        <v/>
      </c>
      <c r="C511" s="30">
        <f>IFERROR(IF(A511="","",VLOOKUP(A511,DATABASE!A:J,10,0)),"")</f>
        <v/>
      </c>
      <c r="D511" s="31">
        <f>IF(A511="","",TODAY())</f>
        <v/>
      </c>
      <c r="E511" s="30" t="n"/>
      <c r="F511" s="30">
        <f>IFERROR(IF(OR(A511="",E511=""),"",C511-E511),"")</f>
        <v/>
      </c>
      <c r="G511" s="26" t="n"/>
      <c r="H511" s="26" t="n"/>
    </row>
    <row r="512">
      <c r="A512" s="37" t="n"/>
      <c r="B512" s="37">
        <f>IFERROR(IF(A512="","",VLOOKUP(A512,DATABASE!A:B,2,0)),"")</f>
        <v/>
      </c>
      <c r="C512" s="38">
        <f>IFERROR(IF(A512="","",VLOOKUP(A512,DATABASE!A:J,10,0)),"")</f>
        <v/>
      </c>
      <c r="D512" s="39">
        <f>IF(A512="","",TODAY())</f>
        <v/>
      </c>
      <c r="E512" s="38" t="n"/>
      <c r="F512" s="38">
        <f>IFERROR(IF(OR(A512="",E512=""),"",C512-E512),"")</f>
        <v/>
      </c>
      <c r="G512" s="37" t="n"/>
      <c r="H512" s="37" t="n"/>
    </row>
    <row r="513">
      <c r="A513" s="26" t="n"/>
      <c r="B513" s="26">
        <f>IFERROR(IF(A513="","",VLOOKUP(A513,DATABASE!A:B,2,0)),"")</f>
        <v/>
      </c>
      <c r="C513" s="30">
        <f>IFERROR(IF(A513="","",VLOOKUP(A513,DATABASE!A:J,10,0)),"")</f>
        <v/>
      </c>
      <c r="D513" s="31">
        <f>IF(A513="","",TODAY())</f>
        <v/>
      </c>
      <c r="E513" s="30" t="n"/>
      <c r="F513" s="30">
        <f>IFERROR(IF(OR(A513="",E513=""),"",C513-E513),"")</f>
        <v/>
      </c>
      <c r="G513" s="26" t="n"/>
      <c r="H513" s="26" t="n"/>
    </row>
    <row r="514">
      <c r="A514" s="37" t="n"/>
      <c r="B514" s="37">
        <f>IFERROR(IF(A514="","",VLOOKUP(A514,DATABASE!A:B,2,0)),"")</f>
        <v/>
      </c>
      <c r="C514" s="38">
        <f>IFERROR(IF(A514="","",VLOOKUP(A514,DATABASE!A:J,10,0)),"")</f>
        <v/>
      </c>
      <c r="D514" s="39">
        <f>IF(A514="","",TODAY())</f>
        <v/>
      </c>
      <c r="E514" s="38" t="n"/>
      <c r="F514" s="38">
        <f>IFERROR(IF(OR(A514="",E514=""),"",C514-E514),"")</f>
        <v/>
      </c>
      <c r="G514" s="37" t="n"/>
      <c r="H514" s="37" t="n"/>
    </row>
    <row r="515">
      <c r="A515" s="26" t="n"/>
      <c r="B515" s="26">
        <f>IFERROR(IF(A515="","",VLOOKUP(A515,DATABASE!A:B,2,0)),"")</f>
        <v/>
      </c>
      <c r="C515" s="30">
        <f>IFERROR(IF(A515="","",VLOOKUP(A515,DATABASE!A:J,10,0)),"")</f>
        <v/>
      </c>
      <c r="D515" s="31">
        <f>IF(A515="","",TODAY())</f>
        <v/>
      </c>
      <c r="E515" s="30" t="n"/>
      <c r="F515" s="30">
        <f>IFERROR(IF(OR(A515="",E515=""),"",C515-E515),"")</f>
        <v/>
      </c>
      <c r="G515" s="26" t="n"/>
      <c r="H515" s="26" t="n"/>
    </row>
    <row r="516">
      <c r="A516" s="37" t="n"/>
      <c r="B516" s="37">
        <f>IFERROR(IF(A516="","",VLOOKUP(A516,DATABASE!A:B,2,0)),"")</f>
        <v/>
      </c>
      <c r="C516" s="38">
        <f>IFERROR(IF(A516="","",VLOOKUP(A516,DATABASE!A:J,10,0)),"")</f>
        <v/>
      </c>
      <c r="D516" s="39">
        <f>IF(A516="","",TODAY())</f>
        <v/>
      </c>
      <c r="E516" s="38" t="n"/>
      <c r="F516" s="38">
        <f>IFERROR(IF(OR(A516="",E516=""),"",C516-E516),"")</f>
        <v/>
      </c>
      <c r="G516" s="37" t="n"/>
      <c r="H516" s="37" t="n"/>
    </row>
    <row r="517">
      <c r="A517" s="26" t="n"/>
      <c r="B517" s="26">
        <f>IFERROR(IF(A517="","",VLOOKUP(A517,DATABASE!A:B,2,0)),"")</f>
        <v/>
      </c>
      <c r="C517" s="30">
        <f>IFERROR(IF(A517="","",VLOOKUP(A517,DATABASE!A:J,10,0)),"")</f>
        <v/>
      </c>
      <c r="D517" s="31">
        <f>IF(A517="","",TODAY())</f>
        <v/>
      </c>
      <c r="E517" s="30" t="n"/>
      <c r="F517" s="30">
        <f>IFERROR(IF(OR(A517="",E517=""),"",C517-E517),"")</f>
        <v/>
      </c>
      <c r="G517" s="26" t="n"/>
      <c r="H517" s="26" t="n"/>
    </row>
    <row r="518">
      <c r="A518" s="37" t="n"/>
      <c r="B518" s="37">
        <f>IFERROR(IF(A518="","",VLOOKUP(A518,DATABASE!A:B,2,0)),"")</f>
        <v/>
      </c>
      <c r="C518" s="38">
        <f>IFERROR(IF(A518="","",VLOOKUP(A518,DATABASE!A:J,10,0)),"")</f>
        <v/>
      </c>
      <c r="D518" s="39">
        <f>IF(A518="","",TODAY())</f>
        <v/>
      </c>
      <c r="E518" s="38" t="n"/>
      <c r="F518" s="38">
        <f>IFERROR(IF(OR(A518="",E518=""),"",C518-E518),"")</f>
        <v/>
      </c>
      <c r="G518" s="37" t="n"/>
      <c r="H518" s="37" t="n"/>
    </row>
    <row r="519">
      <c r="A519" s="26" t="n"/>
      <c r="B519" s="26">
        <f>IFERROR(IF(A519="","",VLOOKUP(A519,DATABASE!A:B,2,0)),"")</f>
        <v/>
      </c>
      <c r="C519" s="30">
        <f>IFERROR(IF(A519="","",VLOOKUP(A519,DATABASE!A:J,10,0)),"")</f>
        <v/>
      </c>
      <c r="D519" s="31">
        <f>IF(A519="","",TODAY())</f>
        <v/>
      </c>
      <c r="E519" s="30" t="n"/>
      <c r="F519" s="30">
        <f>IFERROR(IF(OR(A519="",E519=""),"",C519-E519),"")</f>
        <v/>
      </c>
      <c r="G519" s="26" t="n"/>
      <c r="H519" s="26" t="n"/>
    </row>
    <row r="520">
      <c r="A520" s="37" t="n"/>
      <c r="B520" s="37">
        <f>IFERROR(IF(A520="","",VLOOKUP(A520,DATABASE!A:B,2,0)),"")</f>
        <v/>
      </c>
      <c r="C520" s="38">
        <f>IFERROR(IF(A520="","",VLOOKUP(A520,DATABASE!A:J,10,0)),"")</f>
        <v/>
      </c>
      <c r="D520" s="39">
        <f>IF(A520="","",TODAY())</f>
        <v/>
      </c>
      <c r="E520" s="38" t="n"/>
      <c r="F520" s="38">
        <f>IFERROR(IF(OR(A520="",E520=""),"",C520-E520),"")</f>
        <v/>
      </c>
      <c r="G520" s="37" t="n"/>
      <c r="H520" s="37" t="n"/>
    </row>
    <row r="521">
      <c r="A521" s="26" t="n"/>
      <c r="B521" s="26">
        <f>IFERROR(IF(A521="","",VLOOKUP(A521,DATABASE!A:B,2,0)),"")</f>
        <v/>
      </c>
      <c r="C521" s="30">
        <f>IFERROR(IF(A521="","",VLOOKUP(A521,DATABASE!A:J,10,0)),"")</f>
        <v/>
      </c>
      <c r="D521" s="31">
        <f>IF(A521="","",TODAY())</f>
        <v/>
      </c>
      <c r="E521" s="30" t="n"/>
      <c r="F521" s="30">
        <f>IFERROR(IF(OR(A521="",E521=""),"",C521-E521),"")</f>
        <v/>
      </c>
      <c r="G521" s="26" t="n"/>
      <c r="H521" s="26" t="n"/>
    </row>
    <row r="522">
      <c r="A522" s="37" t="n"/>
      <c r="B522" s="37">
        <f>IFERROR(IF(A522="","",VLOOKUP(A522,DATABASE!A:B,2,0)),"")</f>
        <v/>
      </c>
      <c r="C522" s="38">
        <f>IFERROR(IF(A522="","",VLOOKUP(A522,DATABASE!A:J,10,0)),"")</f>
        <v/>
      </c>
      <c r="D522" s="39">
        <f>IF(A522="","",TODAY())</f>
        <v/>
      </c>
      <c r="E522" s="38" t="n"/>
      <c r="F522" s="38">
        <f>IFERROR(IF(OR(A522="",E522=""),"",C522-E522),"")</f>
        <v/>
      </c>
      <c r="G522" s="37" t="n"/>
      <c r="H522" s="37" t="n"/>
    </row>
    <row r="523">
      <c r="A523" s="26" t="n"/>
      <c r="B523" s="26">
        <f>IFERROR(IF(A523="","",VLOOKUP(A523,DATABASE!A:B,2,0)),"")</f>
        <v/>
      </c>
      <c r="C523" s="30">
        <f>IFERROR(IF(A523="","",VLOOKUP(A523,DATABASE!A:J,10,0)),"")</f>
        <v/>
      </c>
      <c r="D523" s="31">
        <f>IF(A523="","",TODAY())</f>
        <v/>
      </c>
      <c r="E523" s="30" t="n"/>
      <c r="F523" s="30">
        <f>IFERROR(IF(OR(A523="",E523=""),"",C523-E523),"")</f>
        <v/>
      </c>
      <c r="G523" s="26" t="n"/>
      <c r="H523" s="26" t="n"/>
    </row>
    <row r="524">
      <c r="A524" s="37" t="n"/>
      <c r="B524" s="37">
        <f>IFERROR(IF(A524="","",VLOOKUP(A524,DATABASE!A:B,2,0)),"")</f>
        <v/>
      </c>
      <c r="C524" s="38">
        <f>IFERROR(IF(A524="","",VLOOKUP(A524,DATABASE!A:J,10,0)),"")</f>
        <v/>
      </c>
      <c r="D524" s="39">
        <f>IF(A524="","",TODAY())</f>
        <v/>
      </c>
      <c r="E524" s="38" t="n"/>
      <c r="F524" s="38">
        <f>IFERROR(IF(OR(A524="",E524=""),"",C524-E524),"")</f>
        <v/>
      </c>
      <c r="G524" s="37" t="n"/>
      <c r="H524" s="37" t="n"/>
    </row>
    <row r="525">
      <c r="A525" s="26" t="n"/>
      <c r="B525" s="26">
        <f>IFERROR(IF(A525="","",VLOOKUP(A525,DATABASE!A:B,2,0)),"")</f>
        <v/>
      </c>
      <c r="C525" s="30">
        <f>IFERROR(IF(A525="","",VLOOKUP(A525,DATABASE!A:J,10,0)),"")</f>
        <v/>
      </c>
      <c r="D525" s="31">
        <f>IF(A525="","",TODAY())</f>
        <v/>
      </c>
      <c r="E525" s="30" t="n"/>
      <c r="F525" s="30">
        <f>IFERROR(IF(OR(A525="",E525=""),"",C525-E525),"")</f>
        <v/>
      </c>
      <c r="G525" s="26" t="n"/>
      <c r="H525" s="26" t="n"/>
    </row>
    <row r="526">
      <c r="A526" s="37" t="n"/>
      <c r="B526" s="37">
        <f>IFERROR(IF(A526="","",VLOOKUP(A526,DATABASE!A:B,2,0)),"")</f>
        <v/>
      </c>
      <c r="C526" s="38">
        <f>IFERROR(IF(A526="","",VLOOKUP(A526,DATABASE!A:J,10,0)),"")</f>
        <v/>
      </c>
      <c r="D526" s="39">
        <f>IF(A526="","",TODAY())</f>
        <v/>
      </c>
      <c r="E526" s="38" t="n"/>
      <c r="F526" s="38">
        <f>IFERROR(IF(OR(A526="",E526=""),"",C526-E526),"")</f>
        <v/>
      </c>
      <c r="G526" s="37" t="n"/>
      <c r="H526" s="37" t="n"/>
    </row>
    <row r="527">
      <c r="A527" s="26" t="n"/>
      <c r="B527" s="26">
        <f>IFERROR(IF(A527="","",VLOOKUP(A527,DATABASE!A:B,2,0)),"")</f>
        <v/>
      </c>
      <c r="C527" s="30">
        <f>IFERROR(IF(A527="","",VLOOKUP(A527,DATABASE!A:J,10,0)),"")</f>
        <v/>
      </c>
      <c r="D527" s="31">
        <f>IF(A527="","",TODAY())</f>
        <v/>
      </c>
      <c r="E527" s="30" t="n"/>
      <c r="F527" s="30">
        <f>IFERROR(IF(OR(A527="",E527=""),"",C527-E527),"")</f>
        <v/>
      </c>
      <c r="G527" s="26" t="n"/>
      <c r="H527" s="26" t="n"/>
    </row>
    <row r="528">
      <c r="A528" s="37" t="n"/>
      <c r="B528" s="37">
        <f>IFERROR(IF(A528="","",VLOOKUP(A528,DATABASE!A:B,2,0)),"")</f>
        <v/>
      </c>
      <c r="C528" s="38">
        <f>IFERROR(IF(A528="","",VLOOKUP(A528,DATABASE!A:J,10,0)),"")</f>
        <v/>
      </c>
      <c r="D528" s="39">
        <f>IF(A528="","",TODAY())</f>
        <v/>
      </c>
      <c r="E528" s="38" t="n"/>
      <c r="F528" s="38">
        <f>IFERROR(IF(OR(A528="",E528=""),"",C528-E528),"")</f>
        <v/>
      </c>
      <c r="G528" s="37" t="n"/>
      <c r="H528" s="37" t="n"/>
    </row>
    <row r="529">
      <c r="A529" s="26" t="n"/>
      <c r="B529" s="26">
        <f>IFERROR(IF(A529="","",VLOOKUP(A529,DATABASE!A:B,2,0)),"")</f>
        <v/>
      </c>
      <c r="C529" s="30">
        <f>IFERROR(IF(A529="","",VLOOKUP(A529,DATABASE!A:J,10,0)),"")</f>
        <v/>
      </c>
      <c r="D529" s="31">
        <f>IF(A529="","",TODAY())</f>
        <v/>
      </c>
      <c r="E529" s="30" t="n"/>
      <c r="F529" s="30">
        <f>IFERROR(IF(OR(A529="",E529=""),"",C529-E529),"")</f>
        <v/>
      </c>
      <c r="G529" s="26" t="n"/>
      <c r="H529" s="26" t="n"/>
    </row>
    <row r="530">
      <c r="A530" s="37" t="n"/>
      <c r="B530" s="37">
        <f>IFERROR(IF(A530="","",VLOOKUP(A530,DATABASE!A:B,2,0)),"")</f>
        <v/>
      </c>
      <c r="C530" s="38">
        <f>IFERROR(IF(A530="","",VLOOKUP(A530,DATABASE!A:J,10,0)),"")</f>
        <v/>
      </c>
      <c r="D530" s="39">
        <f>IF(A530="","",TODAY())</f>
        <v/>
      </c>
      <c r="E530" s="38" t="n"/>
      <c r="F530" s="38">
        <f>IFERROR(IF(OR(A530="",E530=""),"",C530-E530),"")</f>
        <v/>
      </c>
      <c r="G530" s="37" t="n"/>
      <c r="H530" s="37" t="n"/>
    </row>
    <row r="531">
      <c r="A531" s="26" t="n"/>
      <c r="B531" s="26">
        <f>IFERROR(IF(A531="","",VLOOKUP(A531,DATABASE!A:B,2,0)),"")</f>
        <v/>
      </c>
      <c r="C531" s="30">
        <f>IFERROR(IF(A531="","",VLOOKUP(A531,DATABASE!A:J,10,0)),"")</f>
        <v/>
      </c>
      <c r="D531" s="31">
        <f>IF(A531="","",TODAY())</f>
        <v/>
      </c>
      <c r="E531" s="30" t="n"/>
      <c r="F531" s="30">
        <f>IFERROR(IF(OR(A531="",E531=""),"",C531-E531),"")</f>
        <v/>
      </c>
      <c r="G531" s="26" t="n"/>
      <c r="H531" s="26" t="n"/>
    </row>
    <row r="532">
      <c r="A532" s="37" t="n"/>
      <c r="B532" s="37">
        <f>IFERROR(IF(A532="","",VLOOKUP(A532,DATABASE!A:B,2,0)),"")</f>
        <v/>
      </c>
      <c r="C532" s="38">
        <f>IFERROR(IF(A532="","",VLOOKUP(A532,DATABASE!A:J,10,0)),"")</f>
        <v/>
      </c>
      <c r="D532" s="39">
        <f>IF(A532="","",TODAY())</f>
        <v/>
      </c>
      <c r="E532" s="38" t="n"/>
      <c r="F532" s="38">
        <f>IFERROR(IF(OR(A532="",E532=""),"",C532-E532),"")</f>
        <v/>
      </c>
      <c r="G532" s="37" t="n"/>
      <c r="H532" s="37" t="n"/>
    </row>
    <row r="533">
      <c r="A533" s="26" t="n"/>
      <c r="B533" s="26">
        <f>IFERROR(IF(A533="","",VLOOKUP(A533,DATABASE!A:B,2,0)),"")</f>
        <v/>
      </c>
      <c r="C533" s="30">
        <f>IFERROR(IF(A533="","",VLOOKUP(A533,DATABASE!A:J,10,0)),"")</f>
        <v/>
      </c>
      <c r="D533" s="31">
        <f>IF(A533="","",TODAY())</f>
        <v/>
      </c>
      <c r="E533" s="30" t="n"/>
      <c r="F533" s="30">
        <f>IFERROR(IF(OR(A533="",E533=""),"",C533-E533),"")</f>
        <v/>
      </c>
      <c r="G533" s="26" t="n"/>
      <c r="H533" s="26" t="n"/>
    </row>
    <row r="534">
      <c r="A534" s="37" t="n"/>
      <c r="B534" s="37">
        <f>IFERROR(IF(A534="","",VLOOKUP(A534,DATABASE!A:B,2,0)),"")</f>
        <v/>
      </c>
      <c r="C534" s="38">
        <f>IFERROR(IF(A534="","",VLOOKUP(A534,DATABASE!A:J,10,0)),"")</f>
        <v/>
      </c>
      <c r="D534" s="39">
        <f>IF(A534="","",TODAY())</f>
        <v/>
      </c>
      <c r="E534" s="38" t="n"/>
      <c r="F534" s="38">
        <f>IFERROR(IF(OR(A534="",E534=""),"",C534-E534),"")</f>
        <v/>
      </c>
      <c r="G534" s="37" t="n"/>
      <c r="H534" s="37" t="n"/>
    </row>
    <row r="535">
      <c r="A535" s="26" t="n"/>
      <c r="B535" s="26">
        <f>IFERROR(IF(A535="","",VLOOKUP(A535,DATABASE!A:B,2,0)),"")</f>
        <v/>
      </c>
      <c r="C535" s="30">
        <f>IFERROR(IF(A535="","",VLOOKUP(A535,DATABASE!A:J,10,0)),"")</f>
        <v/>
      </c>
      <c r="D535" s="31">
        <f>IF(A535="","",TODAY())</f>
        <v/>
      </c>
      <c r="E535" s="30" t="n"/>
      <c r="F535" s="30">
        <f>IFERROR(IF(OR(A535="",E535=""),"",C535-E535),"")</f>
        <v/>
      </c>
      <c r="G535" s="26" t="n"/>
      <c r="H535" s="26" t="n"/>
    </row>
    <row r="536">
      <c r="A536" s="37" t="n"/>
      <c r="B536" s="37">
        <f>IFERROR(IF(A536="","",VLOOKUP(A536,DATABASE!A:B,2,0)),"")</f>
        <v/>
      </c>
      <c r="C536" s="38">
        <f>IFERROR(IF(A536="","",VLOOKUP(A536,DATABASE!A:J,10,0)),"")</f>
        <v/>
      </c>
      <c r="D536" s="39">
        <f>IF(A536="","",TODAY())</f>
        <v/>
      </c>
      <c r="E536" s="38" t="n"/>
      <c r="F536" s="38">
        <f>IFERROR(IF(OR(A536="",E536=""),"",C536-E536),"")</f>
        <v/>
      </c>
      <c r="G536" s="37" t="n"/>
      <c r="H536" s="37" t="n"/>
    </row>
    <row r="537">
      <c r="A537" s="26" t="n"/>
      <c r="B537" s="26">
        <f>IFERROR(IF(A537="","",VLOOKUP(A537,DATABASE!A:B,2,0)),"")</f>
        <v/>
      </c>
      <c r="C537" s="30">
        <f>IFERROR(IF(A537="","",VLOOKUP(A537,DATABASE!A:J,10,0)),"")</f>
        <v/>
      </c>
      <c r="D537" s="31">
        <f>IF(A537="","",TODAY())</f>
        <v/>
      </c>
      <c r="E537" s="30" t="n"/>
      <c r="F537" s="30">
        <f>IFERROR(IF(OR(A537="",E537=""),"",C537-E537),"")</f>
        <v/>
      </c>
      <c r="G537" s="26" t="n"/>
      <c r="H537" s="26" t="n"/>
    </row>
    <row r="538">
      <c r="A538" s="37" t="n"/>
      <c r="B538" s="37">
        <f>IFERROR(IF(A538="","",VLOOKUP(A538,DATABASE!A:B,2,0)),"")</f>
        <v/>
      </c>
      <c r="C538" s="38">
        <f>IFERROR(IF(A538="","",VLOOKUP(A538,DATABASE!A:J,10,0)),"")</f>
        <v/>
      </c>
      <c r="D538" s="39">
        <f>IF(A538="","",TODAY())</f>
        <v/>
      </c>
      <c r="E538" s="38" t="n"/>
      <c r="F538" s="38">
        <f>IFERROR(IF(OR(A538="",E538=""),"",C538-E538),"")</f>
        <v/>
      </c>
      <c r="G538" s="37" t="n"/>
      <c r="H538" s="37" t="n"/>
    </row>
    <row r="539">
      <c r="A539" s="26" t="n"/>
      <c r="B539" s="26">
        <f>IFERROR(IF(A539="","",VLOOKUP(A539,DATABASE!A:B,2,0)),"")</f>
        <v/>
      </c>
      <c r="C539" s="30">
        <f>IFERROR(IF(A539="","",VLOOKUP(A539,DATABASE!A:J,10,0)),"")</f>
        <v/>
      </c>
      <c r="D539" s="31">
        <f>IF(A539="","",TODAY())</f>
        <v/>
      </c>
      <c r="E539" s="30" t="n"/>
      <c r="F539" s="30">
        <f>IFERROR(IF(OR(A539="",E539=""),"",C539-E539),"")</f>
        <v/>
      </c>
      <c r="G539" s="26" t="n"/>
      <c r="H539" s="26" t="n"/>
    </row>
    <row r="540">
      <c r="A540" s="37" t="n"/>
      <c r="B540" s="37">
        <f>IFERROR(IF(A540="","",VLOOKUP(A540,DATABASE!A:B,2,0)),"")</f>
        <v/>
      </c>
      <c r="C540" s="38">
        <f>IFERROR(IF(A540="","",VLOOKUP(A540,DATABASE!A:J,10,0)),"")</f>
        <v/>
      </c>
      <c r="D540" s="39">
        <f>IF(A540="","",TODAY())</f>
        <v/>
      </c>
      <c r="E540" s="38" t="n"/>
      <c r="F540" s="38">
        <f>IFERROR(IF(OR(A540="",E540=""),"",C540-E540),"")</f>
        <v/>
      </c>
      <c r="G540" s="37" t="n"/>
      <c r="H540" s="37" t="n"/>
    </row>
    <row r="541">
      <c r="A541" s="26" t="n"/>
      <c r="B541" s="26">
        <f>IFERROR(IF(A541="","",VLOOKUP(A541,DATABASE!A:B,2,0)),"")</f>
        <v/>
      </c>
      <c r="C541" s="30">
        <f>IFERROR(IF(A541="","",VLOOKUP(A541,DATABASE!A:J,10,0)),"")</f>
        <v/>
      </c>
      <c r="D541" s="31">
        <f>IF(A541="","",TODAY())</f>
        <v/>
      </c>
      <c r="E541" s="30" t="n"/>
      <c r="F541" s="30">
        <f>IFERROR(IF(OR(A541="",E541=""),"",C541-E541),"")</f>
        <v/>
      </c>
      <c r="G541" s="26" t="n"/>
      <c r="H541" s="26" t="n"/>
    </row>
    <row r="542">
      <c r="A542" s="37" t="n"/>
      <c r="B542" s="37">
        <f>IFERROR(IF(A542="","",VLOOKUP(A542,DATABASE!A:B,2,0)),"")</f>
        <v/>
      </c>
      <c r="C542" s="38">
        <f>IFERROR(IF(A542="","",VLOOKUP(A542,DATABASE!A:J,10,0)),"")</f>
        <v/>
      </c>
      <c r="D542" s="39">
        <f>IF(A542="","",TODAY())</f>
        <v/>
      </c>
      <c r="E542" s="38" t="n"/>
      <c r="F542" s="38">
        <f>IFERROR(IF(OR(A542="",E542=""),"",C542-E542),"")</f>
        <v/>
      </c>
      <c r="G542" s="37" t="n"/>
      <c r="H542" s="37" t="n"/>
    </row>
    <row r="543">
      <c r="A543" s="26" t="n"/>
      <c r="B543" s="26">
        <f>IFERROR(IF(A543="","",VLOOKUP(A543,DATABASE!A:B,2,0)),"")</f>
        <v/>
      </c>
      <c r="C543" s="30">
        <f>IFERROR(IF(A543="","",VLOOKUP(A543,DATABASE!A:J,10,0)),"")</f>
        <v/>
      </c>
      <c r="D543" s="31">
        <f>IF(A543="","",TODAY())</f>
        <v/>
      </c>
      <c r="E543" s="30" t="n"/>
      <c r="F543" s="30">
        <f>IFERROR(IF(OR(A543="",E543=""),"",C543-E543),"")</f>
        <v/>
      </c>
      <c r="G543" s="26" t="n"/>
      <c r="H543" s="26" t="n"/>
    </row>
    <row r="544">
      <c r="A544" s="37" t="n"/>
      <c r="B544" s="37">
        <f>IFERROR(IF(A544="","",VLOOKUP(A544,DATABASE!A:B,2,0)),"")</f>
        <v/>
      </c>
      <c r="C544" s="38">
        <f>IFERROR(IF(A544="","",VLOOKUP(A544,DATABASE!A:J,10,0)),"")</f>
        <v/>
      </c>
      <c r="D544" s="39">
        <f>IF(A544="","",TODAY())</f>
        <v/>
      </c>
      <c r="E544" s="38" t="n"/>
      <c r="F544" s="38">
        <f>IFERROR(IF(OR(A544="",E544=""),"",C544-E544),"")</f>
        <v/>
      </c>
      <c r="G544" s="37" t="n"/>
      <c r="H544" s="37" t="n"/>
    </row>
    <row r="545">
      <c r="A545" s="26" t="n"/>
      <c r="B545" s="26">
        <f>IFERROR(IF(A545="","",VLOOKUP(A545,DATABASE!A:B,2,0)),"")</f>
        <v/>
      </c>
      <c r="C545" s="30">
        <f>IFERROR(IF(A545="","",VLOOKUP(A545,DATABASE!A:J,10,0)),"")</f>
        <v/>
      </c>
      <c r="D545" s="31">
        <f>IF(A545="","",TODAY())</f>
        <v/>
      </c>
      <c r="E545" s="30" t="n"/>
      <c r="F545" s="30">
        <f>IFERROR(IF(OR(A545="",E545=""),"",C545-E545),"")</f>
        <v/>
      </c>
      <c r="G545" s="26" t="n"/>
      <c r="H545" s="26" t="n"/>
    </row>
    <row r="546">
      <c r="A546" s="37" t="n"/>
      <c r="B546" s="37">
        <f>IFERROR(IF(A546="","",VLOOKUP(A546,DATABASE!A:B,2,0)),"")</f>
        <v/>
      </c>
      <c r="C546" s="38">
        <f>IFERROR(IF(A546="","",VLOOKUP(A546,DATABASE!A:J,10,0)),"")</f>
        <v/>
      </c>
      <c r="D546" s="39">
        <f>IF(A546="","",TODAY())</f>
        <v/>
      </c>
      <c r="E546" s="38" t="n"/>
      <c r="F546" s="38">
        <f>IFERROR(IF(OR(A546="",E546=""),"",C546-E546),"")</f>
        <v/>
      </c>
      <c r="G546" s="37" t="n"/>
      <c r="H546" s="37" t="n"/>
    </row>
    <row r="547">
      <c r="A547" s="26" t="n"/>
      <c r="B547" s="26">
        <f>IFERROR(IF(A547="","",VLOOKUP(A547,DATABASE!A:B,2,0)),"")</f>
        <v/>
      </c>
      <c r="C547" s="30">
        <f>IFERROR(IF(A547="","",VLOOKUP(A547,DATABASE!A:J,10,0)),"")</f>
        <v/>
      </c>
      <c r="D547" s="31">
        <f>IF(A547="","",TODAY())</f>
        <v/>
      </c>
      <c r="E547" s="30" t="n"/>
      <c r="F547" s="30">
        <f>IFERROR(IF(OR(A547="",E547=""),"",C547-E547),"")</f>
        <v/>
      </c>
      <c r="G547" s="26" t="n"/>
      <c r="H547" s="26" t="n"/>
    </row>
    <row r="548">
      <c r="A548" s="37" t="n"/>
      <c r="B548" s="37">
        <f>IFERROR(IF(A548="","",VLOOKUP(A548,DATABASE!A:B,2,0)),"")</f>
        <v/>
      </c>
      <c r="C548" s="38">
        <f>IFERROR(IF(A548="","",VLOOKUP(A548,DATABASE!A:J,10,0)),"")</f>
        <v/>
      </c>
      <c r="D548" s="39">
        <f>IF(A548="","",TODAY())</f>
        <v/>
      </c>
      <c r="E548" s="38" t="n"/>
      <c r="F548" s="38">
        <f>IFERROR(IF(OR(A548="",E548=""),"",C548-E548),"")</f>
        <v/>
      </c>
      <c r="G548" s="37" t="n"/>
      <c r="H548" s="37" t="n"/>
    </row>
    <row r="549">
      <c r="A549" s="26" t="n"/>
      <c r="B549" s="26">
        <f>IFERROR(IF(A549="","",VLOOKUP(A549,DATABASE!A:B,2,0)),"")</f>
        <v/>
      </c>
      <c r="C549" s="30">
        <f>IFERROR(IF(A549="","",VLOOKUP(A549,DATABASE!A:J,10,0)),"")</f>
        <v/>
      </c>
      <c r="D549" s="31">
        <f>IF(A549="","",TODAY())</f>
        <v/>
      </c>
      <c r="E549" s="30" t="n"/>
      <c r="F549" s="30">
        <f>IFERROR(IF(OR(A549="",E549=""),"",C549-E549),"")</f>
        <v/>
      </c>
      <c r="G549" s="26" t="n"/>
      <c r="H549" s="26" t="n"/>
    </row>
    <row r="550">
      <c r="A550" s="37" t="n"/>
      <c r="B550" s="37">
        <f>IFERROR(IF(A550="","",VLOOKUP(A550,DATABASE!A:B,2,0)),"")</f>
        <v/>
      </c>
      <c r="C550" s="38">
        <f>IFERROR(IF(A550="","",VLOOKUP(A550,DATABASE!A:J,10,0)),"")</f>
        <v/>
      </c>
      <c r="D550" s="39">
        <f>IF(A550="","",TODAY())</f>
        <v/>
      </c>
      <c r="E550" s="38" t="n"/>
      <c r="F550" s="38">
        <f>IFERROR(IF(OR(A550="",E550=""),"",C550-E550),"")</f>
        <v/>
      </c>
      <c r="G550" s="37" t="n"/>
      <c r="H550" s="37" t="n"/>
    </row>
    <row r="551">
      <c r="A551" s="26" t="n"/>
      <c r="B551" s="26">
        <f>IFERROR(IF(A551="","",VLOOKUP(A551,DATABASE!A:B,2,0)),"")</f>
        <v/>
      </c>
      <c r="C551" s="30">
        <f>IFERROR(IF(A551="","",VLOOKUP(A551,DATABASE!A:J,10,0)),"")</f>
        <v/>
      </c>
      <c r="D551" s="31">
        <f>IF(A551="","",TODAY())</f>
        <v/>
      </c>
      <c r="E551" s="30" t="n"/>
      <c r="F551" s="30">
        <f>IFERROR(IF(OR(A551="",E551=""),"",C551-E551),"")</f>
        <v/>
      </c>
      <c r="G551" s="26" t="n"/>
      <c r="H551" s="26" t="n"/>
    </row>
    <row r="552">
      <c r="A552" s="37" t="n"/>
      <c r="B552" s="37">
        <f>IFERROR(IF(A552="","",VLOOKUP(A552,DATABASE!A:B,2,0)),"")</f>
        <v/>
      </c>
      <c r="C552" s="38">
        <f>IFERROR(IF(A552="","",VLOOKUP(A552,DATABASE!A:J,10,0)),"")</f>
        <v/>
      </c>
      <c r="D552" s="39">
        <f>IF(A552="","",TODAY())</f>
        <v/>
      </c>
      <c r="E552" s="38" t="n"/>
      <c r="F552" s="38">
        <f>IFERROR(IF(OR(A552="",E552=""),"",C552-E552),"")</f>
        <v/>
      </c>
      <c r="G552" s="37" t="n"/>
      <c r="H552" s="37" t="n"/>
    </row>
    <row r="553">
      <c r="A553" s="26" t="n"/>
      <c r="B553" s="26">
        <f>IFERROR(IF(A553="","",VLOOKUP(A553,DATABASE!A:B,2,0)),"")</f>
        <v/>
      </c>
      <c r="C553" s="30">
        <f>IFERROR(IF(A553="","",VLOOKUP(A553,DATABASE!A:J,10,0)),"")</f>
        <v/>
      </c>
      <c r="D553" s="31">
        <f>IF(A553="","",TODAY())</f>
        <v/>
      </c>
      <c r="E553" s="30" t="n"/>
      <c r="F553" s="30">
        <f>IFERROR(IF(OR(A553="",E553=""),"",C553-E553),"")</f>
        <v/>
      </c>
      <c r="G553" s="26" t="n"/>
      <c r="H553" s="26" t="n"/>
    </row>
    <row r="554">
      <c r="A554" s="37" t="n"/>
      <c r="B554" s="37">
        <f>IFERROR(IF(A554="","",VLOOKUP(A554,DATABASE!A:B,2,0)),"")</f>
        <v/>
      </c>
      <c r="C554" s="38">
        <f>IFERROR(IF(A554="","",VLOOKUP(A554,DATABASE!A:J,10,0)),"")</f>
        <v/>
      </c>
      <c r="D554" s="39">
        <f>IF(A554="","",TODAY())</f>
        <v/>
      </c>
      <c r="E554" s="38" t="n"/>
      <c r="F554" s="38">
        <f>IFERROR(IF(OR(A554="",E554=""),"",C554-E554),"")</f>
        <v/>
      </c>
      <c r="G554" s="37" t="n"/>
      <c r="H554" s="37" t="n"/>
    </row>
    <row r="555">
      <c r="A555" s="26" t="n"/>
      <c r="B555" s="26">
        <f>IFERROR(IF(A555="","",VLOOKUP(A555,DATABASE!A:B,2,0)),"")</f>
        <v/>
      </c>
      <c r="C555" s="30">
        <f>IFERROR(IF(A555="","",VLOOKUP(A555,DATABASE!A:J,10,0)),"")</f>
        <v/>
      </c>
      <c r="D555" s="31">
        <f>IF(A555="","",TODAY())</f>
        <v/>
      </c>
      <c r="E555" s="30" t="n"/>
      <c r="F555" s="30">
        <f>IFERROR(IF(OR(A555="",E555=""),"",C555-E555),"")</f>
        <v/>
      </c>
      <c r="G555" s="26" t="n"/>
      <c r="H555" s="26" t="n"/>
    </row>
    <row r="556">
      <c r="A556" s="37" t="n"/>
      <c r="B556" s="37">
        <f>IFERROR(IF(A556="","",VLOOKUP(A556,DATABASE!A:B,2,0)),"")</f>
        <v/>
      </c>
      <c r="C556" s="38">
        <f>IFERROR(IF(A556="","",VLOOKUP(A556,DATABASE!A:J,10,0)),"")</f>
        <v/>
      </c>
      <c r="D556" s="39">
        <f>IF(A556="","",TODAY())</f>
        <v/>
      </c>
      <c r="E556" s="38" t="n"/>
      <c r="F556" s="38">
        <f>IFERROR(IF(OR(A556="",E556=""),"",C556-E556),"")</f>
        <v/>
      </c>
      <c r="G556" s="37" t="n"/>
      <c r="H556" s="37" t="n"/>
    </row>
    <row r="557">
      <c r="A557" s="26" t="n"/>
      <c r="B557" s="26">
        <f>IFERROR(IF(A557="","",VLOOKUP(A557,DATABASE!A:B,2,0)),"")</f>
        <v/>
      </c>
      <c r="C557" s="30">
        <f>IFERROR(IF(A557="","",VLOOKUP(A557,DATABASE!A:J,10,0)),"")</f>
        <v/>
      </c>
      <c r="D557" s="31">
        <f>IF(A557="","",TODAY())</f>
        <v/>
      </c>
      <c r="E557" s="30" t="n"/>
      <c r="F557" s="30">
        <f>IFERROR(IF(OR(A557="",E557=""),"",C557-E557),"")</f>
        <v/>
      </c>
      <c r="G557" s="26" t="n"/>
      <c r="H557" s="26" t="n"/>
    </row>
    <row r="558">
      <c r="A558" s="37" t="n"/>
      <c r="B558" s="37">
        <f>IFERROR(IF(A558="","",VLOOKUP(A558,DATABASE!A:B,2,0)),"")</f>
        <v/>
      </c>
      <c r="C558" s="38">
        <f>IFERROR(IF(A558="","",VLOOKUP(A558,DATABASE!A:J,10,0)),"")</f>
        <v/>
      </c>
      <c r="D558" s="39">
        <f>IF(A558="","",TODAY())</f>
        <v/>
      </c>
      <c r="E558" s="38" t="n"/>
      <c r="F558" s="38">
        <f>IFERROR(IF(OR(A558="",E558=""),"",C558-E558),"")</f>
        <v/>
      </c>
      <c r="G558" s="37" t="n"/>
      <c r="H558" s="37" t="n"/>
    </row>
    <row r="559">
      <c r="A559" s="26" t="n"/>
      <c r="B559" s="26">
        <f>IFERROR(IF(A559="","",VLOOKUP(A559,DATABASE!A:B,2,0)),"")</f>
        <v/>
      </c>
      <c r="C559" s="30">
        <f>IFERROR(IF(A559="","",VLOOKUP(A559,DATABASE!A:J,10,0)),"")</f>
        <v/>
      </c>
      <c r="D559" s="31">
        <f>IF(A559="","",TODAY())</f>
        <v/>
      </c>
      <c r="E559" s="30" t="n"/>
      <c r="F559" s="30">
        <f>IFERROR(IF(OR(A559="",E559=""),"",C559-E559),"")</f>
        <v/>
      </c>
      <c r="G559" s="26" t="n"/>
      <c r="H559" s="26" t="n"/>
    </row>
    <row r="560">
      <c r="A560" s="37" t="n"/>
      <c r="B560" s="37">
        <f>IFERROR(IF(A560="","",VLOOKUP(A560,DATABASE!A:B,2,0)),"")</f>
        <v/>
      </c>
      <c r="C560" s="38">
        <f>IFERROR(IF(A560="","",VLOOKUP(A560,DATABASE!A:J,10,0)),"")</f>
        <v/>
      </c>
      <c r="D560" s="39">
        <f>IF(A560="","",TODAY())</f>
        <v/>
      </c>
      <c r="E560" s="38" t="n"/>
      <c r="F560" s="38">
        <f>IFERROR(IF(OR(A560="",E560=""),"",C560-E560),"")</f>
        <v/>
      </c>
      <c r="G560" s="37" t="n"/>
      <c r="H560" s="37" t="n"/>
    </row>
    <row r="561">
      <c r="A561" s="26" t="n"/>
      <c r="B561" s="26">
        <f>IFERROR(IF(A561="","",VLOOKUP(A561,DATABASE!A:B,2,0)),"")</f>
        <v/>
      </c>
      <c r="C561" s="30">
        <f>IFERROR(IF(A561="","",VLOOKUP(A561,DATABASE!A:J,10,0)),"")</f>
        <v/>
      </c>
      <c r="D561" s="31">
        <f>IF(A561="","",TODAY())</f>
        <v/>
      </c>
      <c r="E561" s="30" t="n"/>
      <c r="F561" s="30">
        <f>IFERROR(IF(OR(A561="",E561=""),"",C561-E561),"")</f>
        <v/>
      </c>
      <c r="G561" s="26" t="n"/>
      <c r="H561" s="26" t="n"/>
    </row>
    <row r="562">
      <c r="A562" s="37" t="n"/>
      <c r="B562" s="37">
        <f>IFERROR(IF(A562="","",VLOOKUP(A562,DATABASE!A:B,2,0)),"")</f>
        <v/>
      </c>
      <c r="C562" s="38">
        <f>IFERROR(IF(A562="","",VLOOKUP(A562,DATABASE!A:J,10,0)),"")</f>
        <v/>
      </c>
      <c r="D562" s="39">
        <f>IF(A562="","",TODAY())</f>
        <v/>
      </c>
      <c r="E562" s="38" t="n"/>
      <c r="F562" s="38">
        <f>IFERROR(IF(OR(A562="",E562=""),"",C562-E562),"")</f>
        <v/>
      </c>
      <c r="G562" s="37" t="n"/>
      <c r="H562" s="37" t="n"/>
    </row>
    <row r="563">
      <c r="A563" s="26" t="n"/>
      <c r="B563" s="26">
        <f>IFERROR(IF(A563="","",VLOOKUP(A563,DATABASE!A:B,2,0)),"")</f>
        <v/>
      </c>
      <c r="C563" s="30">
        <f>IFERROR(IF(A563="","",VLOOKUP(A563,DATABASE!A:J,10,0)),"")</f>
        <v/>
      </c>
      <c r="D563" s="31">
        <f>IF(A563="","",TODAY())</f>
        <v/>
      </c>
      <c r="E563" s="30" t="n"/>
      <c r="F563" s="30">
        <f>IFERROR(IF(OR(A563="",E563=""),"",C563-E563),"")</f>
        <v/>
      </c>
      <c r="G563" s="26" t="n"/>
      <c r="H563" s="26" t="n"/>
    </row>
    <row r="564">
      <c r="A564" s="37" t="n"/>
      <c r="B564" s="37">
        <f>IFERROR(IF(A564="","",VLOOKUP(A564,DATABASE!A:B,2,0)),"")</f>
        <v/>
      </c>
      <c r="C564" s="38">
        <f>IFERROR(IF(A564="","",VLOOKUP(A564,DATABASE!A:J,10,0)),"")</f>
        <v/>
      </c>
      <c r="D564" s="39">
        <f>IF(A564="","",TODAY())</f>
        <v/>
      </c>
      <c r="E564" s="38" t="n"/>
      <c r="F564" s="38">
        <f>IFERROR(IF(OR(A564="",E564=""),"",C564-E564),"")</f>
        <v/>
      </c>
      <c r="G564" s="37" t="n"/>
      <c r="H564" s="37" t="n"/>
    </row>
    <row r="565">
      <c r="A565" s="26" t="n"/>
      <c r="B565" s="26">
        <f>IFERROR(IF(A565="","",VLOOKUP(A565,DATABASE!A:B,2,0)),"")</f>
        <v/>
      </c>
      <c r="C565" s="30">
        <f>IFERROR(IF(A565="","",VLOOKUP(A565,DATABASE!A:J,10,0)),"")</f>
        <v/>
      </c>
      <c r="D565" s="31">
        <f>IF(A565="","",TODAY())</f>
        <v/>
      </c>
      <c r="E565" s="30" t="n"/>
      <c r="F565" s="30">
        <f>IFERROR(IF(OR(A565="",E565=""),"",C565-E565),"")</f>
        <v/>
      </c>
      <c r="G565" s="26" t="n"/>
      <c r="H565" s="26" t="n"/>
    </row>
    <row r="566">
      <c r="A566" s="37" t="n"/>
      <c r="B566" s="37">
        <f>IFERROR(IF(A566="","",VLOOKUP(A566,DATABASE!A:B,2,0)),"")</f>
        <v/>
      </c>
      <c r="C566" s="38">
        <f>IFERROR(IF(A566="","",VLOOKUP(A566,DATABASE!A:J,10,0)),"")</f>
        <v/>
      </c>
      <c r="D566" s="39">
        <f>IF(A566="","",TODAY())</f>
        <v/>
      </c>
      <c r="E566" s="38" t="n"/>
      <c r="F566" s="38">
        <f>IFERROR(IF(OR(A566="",E566=""),"",C566-E566),"")</f>
        <v/>
      </c>
      <c r="G566" s="37" t="n"/>
      <c r="H566" s="37" t="n"/>
    </row>
    <row r="567">
      <c r="A567" s="26" t="n"/>
      <c r="B567" s="26">
        <f>IFERROR(IF(A567="","",VLOOKUP(A567,DATABASE!A:B,2,0)),"")</f>
        <v/>
      </c>
      <c r="C567" s="30">
        <f>IFERROR(IF(A567="","",VLOOKUP(A567,DATABASE!A:J,10,0)),"")</f>
        <v/>
      </c>
      <c r="D567" s="31">
        <f>IF(A567="","",TODAY())</f>
        <v/>
      </c>
      <c r="E567" s="30" t="n"/>
      <c r="F567" s="30">
        <f>IFERROR(IF(OR(A567="",E567=""),"",C567-E567),"")</f>
        <v/>
      </c>
      <c r="G567" s="26" t="n"/>
      <c r="H567" s="26" t="n"/>
    </row>
    <row r="568">
      <c r="A568" s="37" t="n"/>
      <c r="B568" s="37">
        <f>IFERROR(IF(A568="","",VLOOKUP(A568,DATABASE!A:B,2,0)),"")</f>
        <v/>
      </c>
      <c r="C568" s="38">
        <f>IFERROR(IF(A568="","",VLOOKUP(A568,DATABASE!A:J,10,0)),"")</f>
        <v/>
      </c>
      <c r="D568" s="39">
        <f>IF(A568="","",TODAY())</f>
        <v/>
      </c>
      <c r="E568" s="38" t="n"/>
      <c r="F568" s="38">
        <f>IFERROR(IF(OR(A568="",E568=""),"",C568-E568),"")</f>
        <v/>
      </c>
      <c r="G568" s="37" t="n"/>
      <c r="H568" s="37" t="n"/>
    </row>
    <row r="569">
      <c r="A569" s="26" t="n"/>
      <c r="B569" s="26">
        <f>IFERROR(IF(A569="","",VLOOKUP(A569,DATABASE!A:B,2,0)),"")</f>
        <v/>
      </c>
      <c r="C569" s="30">
        <f>IFERROR(IF(A569="","",VLOOKUP(A569,DATABASE!A:J,10,0)),"")</f>
        <v/>
      </c>
      <c r="D569" s="31">
        <f>IF(A569="","",TODAY())</f>
        <v/>
      </c>
      <c r="E569" s="30" t="n"/>
      <c r="F569" s="30">
        <f>IFERROR(IF(OR(A569="",E569=""),"",C569-E569),"")</f>
        <v/>
      </c>
      <c r="G569" s="26" t="n"/>
      <c r="H569" s="26" t="n"/>
    </row>
    <row r="570">
      <c r="A570" s="37" t="n"/>
      <c r="B570" s="37">
        <f>IFERROR(IF(A570="","",VLOOKUP(A570,DATABASE!A:B,2,0)),"")</f>
        <v/>
      </c>
      <c r="C570" s="38">
        <f>IFERROR(IF(A570="","",VLOOKUP(A570,DATABASE!A:J,10,0)),"")</f>
        <v/>
      </c>
      <c r="D570" s="39">
        <f>IF(A570="","",TODAY())</f>
        <v/>
      </c>
      <c r="E570" s="38" t="n"/>
      <c r="F570" s="38">
        <f>IFERROR(IF(OR(A570="",E570=""),"",C570-E570),"")</f>
        <v/>
      </c>
      <c r="G570" s="37" t="n"/>
      <c r="H570" s="37" t="n"/>
    </row>
    <row r="571">
      <c r="A571" s="26" t="n"/>
      <c r="B571" s="26">
        <f>IFERROR(IF(A571="","",VLOOKUP(A571,DATABASE!A:B,2,0)),"")</f>
        <v/>
      </c>
      <c r="C571" s="30">
        <f>IFERROR(IF(A571="","",VLOOKUP(A571,DATABASE!A:J,10,0)),"")</f>
        <v/>
      </c>
      <c r="D571" s="31">
        <f>IF(A571="","",TODAY())</f>
        <v/>
      </c>
      <c r="E571" s="30" t="n"/>
      <c r="F571" s="30">
        <f>IFERROR(IF(OR(A571="",E571=""),"",C571-E571),"")</f>
        <v/>
      </c>
      <c r="G571" s="26" t="n"/>
      <c r="H571" s="26" t="n"/>
    </row>
    <row r="572">
      <c r="A572" s="37" t="n"/>
      <c r="B572" s="37">
        <f>IFERROR(IF(A572="","",VLOOKUP(A572,DATABASE!A:B,2,0)),"")</f>
        <v/>
      </c>
      <c r="C572" s="38">
        <f>IFERROR(IF(A572="","",VLOOKUP(A572,DATABASE!A:J,10,0)),"")</f>
        <v/>
      </c>
      <c r="D572" s="39">
        <f>IF(A572="","",TODAY())</f>
        <v/>
      </c>
      <c r="E572" s="38" t="n"/>
      <c r="F572" s="38">
        <f>IFERROR(IF(OR(A572="",E572=""),"",C572-E572),"")</f>
        <v/>
      </c>
      <c r="G572" s="37" t="n"/>
      <c r="H572" s="37" t="n"/>
    </row>
    <row r="573">
      <c r="A573" s="26" t="n"/>
      <c r="B573" s="26">
        <f>IFERROR(IF(A573="","",VLOOKUP(A573,DATABASE!A:B,2,0)),"")</f>
        <v/>
      </c>
      <c r="C573" s="30">
        <f>IFERROR(IF(A573="","",VLOOKUP(A573,DATABASE!A:J,10,0)),"")</f>
        <v/>
      </c>
      <c r="D573" s="31">
        <f>IF(A573="","",TODAY())</f>
        <v/>
      </c>
      <c r="E573" s="30" t="n"/>
      <c r="F573" s="30">
        <f>IFERROR(IF(OR(A573="",E573=""),"",C573-E573),"")</f>
        <v/>
      </c>
      <c r="G573" s="26" t="n"/>
      <c r="H573" s="26" t="n"/>
    </row>
    <row r="574">
      <c r="A574" s="37" t="n"/>
      <c r="B574" s="37">
        <f>IFERROR(IF(A574="","",VLOOKUP(A574,DATABASE!A:B,2,0)),"")</f>
        <v/>
      </c>
      <c r="C574" s="38">
        <f>IFERROR(IF(A574="","",VLOOKUP(A574,DATABASE!A:J,10,0)),"")</f>
        <v/>
      </c>
      <c r="D574" s="39">
        <f>IF(A574="","",TODAY())</f>
        <v/>
      </c>
      <c r="E574" s="38" t="n"/>
      <c r="F574" s="38">
        <f>IFERROR(IF(OR(A574="",E574=""),"",C574-E574),"")</f>
        <v/>
      </c>
      <c r="G574" s="37" t="n"/>
      <c r="H574" s="37" t="n"/>
    </row>
    <row r="575">
      <c r="A575" s="26" t="n"/>
      <c r="B575" s="26">
        <f>IFERROR(IF(A575="","",VLOOKUP(A575,DATABASE!A:B,2,0)),"")</f>
        <v/>
      </c>
      <c r="C575" s="30">
        <f>IFERROR(IF(A575="","",VLOOKUP(A575,DATABASE!A:J,10,0)),"")</f>
        <v/>
      </c>
      <c r="D575" s="31">
        <f>IF(A575="","",TODAY())</f>
        <v/>
      </c>
      <c r="E575" s="30" t="n"/>
      <c r="F575" s="30">
        <f>IFERROR(IF(OR(A575="",E575=""),"",C575-E575),"")</f>
        <v/>
      </c>
      <c r="G575" s="26" t="n"/>
      <c r="H575" s="26" t="n"/>
    </row>
    <row r="576">
      <c r="A576" s="37" t="n"/>
      <c r="B576" s="37">
        <f>IFERROR(IF(A576="","",VLOOKUP(A576,DATABASE!A:B,2,0)),"")</f>
        <v/>
      </c>
      <c r="C576" s="38">
        <f>IFERROR(IF(A576="","",VLOOKUP(A576,DATABASE!A:J,10,0)),"")</f>
        <v/>
      </c>
      <c r="D576" s="39">
        <f>IF(A576="","",TODAY())</f>
        <v/>
      </c>
      <c r="E576" s="38" t="n"/>
      <c r="F576" s="38">
        <f>IFERROR(IF(OR(A576="",E576=""),"",C576-E576),"")</f>
        <v/>
      </c>
      <c r="G576" s="37" t="n"/>
      <c r="H576" s="37" t="n"/>
    </row>
    <row r="577">
      <c r="A577" s="26" t="n"/>
      <c r="B577" s="26">
        <f>IFERROR(IF(A577="","",VLOOKUP(A577,DATABASE!A:B,2,0)),"")</f>
        <v/>
      </c>
      <c r="C577" s="30">
        <f>IFERROR(IF(A577="","",VLOOKUP(A577,DATABASE!A:J,10,0)),"")</f>
        <v/>
      </c>
      <c r="D577" s="31">
        <f>IF(A577="","",TODAY())</f>
        <v/>
      </c>
      <c r="E577" s="30" t="n"/>
      <c r="F577" s="30">
        <f>IFERROR(IF(OR(A577="",E577=""),"",C577-E577),"")</f>
        <v/>
      </c>
      <c r="G577" s="26" t="n"/>
      <c r="H577" s="26" t="n"/>
    </row>
    <row r="578">
      <c r="A578" s="37" t="n"/>
      <c r="B578" s="37">
        <f>IFERROR(IF(A578="","",VLOOKUP(A578,DATABASE!A:B,2,0)),"")</f>
        <v/>
      </c>
      <c r="C578" s="38">
        <f>IFERROR(IF(A578="","",VLOOKUP(A578,DATABASE!A:J,10,0)),"")</f>
        <v/>
      </c>
      <c r="D578" s="39">
        <f>IF(A578="","",TODAY())</f>
        <v/>
      </c>
      <c r="E578" s="38" t="n"/>
      <c r="F578" s="38">
        <f>IFERROR(IF(OR(A578="",E578=""),"",C578-E578),"")</f>
        <v/>
      </c>
      <c r="G578" s="37" t="n"/>
      <c r="H578" s="37" t="n"/>
    </row>
    <row r="579">
      <c r="A579" s="26" t="n"/>
      <c r="B579" s="26">
        <f>IFERROR(IF(A579="","",VLOOKUP(A579,DATABASE!A:B,2,0)),"")</f>
        <v/>
      </c>
      <c r="C579" s="30">
        <f>IFERROR(IF(A579="","",VLOOKUP(A579,DATABASE!A:J,10,0)),"")</f>
        <v/>
      </c>
      <c r="D579" s="31">
        <f>IF(A579="","",TODAY())</f>
        <v/>
      </c>
      <c r="E579" s="30" t="n"/>
      <c r="F579" s="30">
        <f>IFERROR(IF(OR(A579="",E579=""),"",C579-E579),"")</f>
        <v/>
      </c>
      <c r="G579" s="26" t="n"/>
      <c r="H579" s="26" t="n"/>
    </row>
    <row r="580">
      <c r="A580" s="37" t="n"/>
      <c r="B580" s="37">
        <f>IFERROR(IF(A580="","",VLOOKUP(A580,DATABASE!A:B,2,0)),"")</f>
        <v/>
      </c>
      <c r="C580" s="38">
        <f>IFERROR(IF(A580="","",VLOOKUP(A580,DATABASE!A:J,10,0)),"")</f>
        <v/>
      </c>
      <c r="D580" s="39">
        <f>IF(A580="","",TODAY())</f>
        <v/>
      </c>
      <c r="E580" s="38" t="n"/>
      <c r="F580" s="38">
        <f>IFERROR(IF(OR(A580="",E580=""),"",C580-E580),"")</f>
        <v/>
      </c>
      <c r="G580" s="37" t="n"/>
      <c r="H580" s="37" t="n"/>
    </row>
    <row r="581">
      <c r="A581" s="26" t="n"/>
      <c r="B581" s="26">
        <f>IFERROR(IF(A581="","",VLOOKUP(A581,DATABASE!A:B,2,0)),"")</f>
        <v/>
      </c>
      <c r="C581" s="30">
        <f>IFERROR(IF(A581="","",VLOOKUP(A581,DATABASE!A:J,10,0)),"")</f>
        <v/>
      </c>
      <c r="D581" s="31">
        <f>IF(A581="","",TODAY())</f>
        <v/>
      </c>
      <c r="E581" s="30" t="n"/>
      <c r="F581" s="30">
        <f>IFERROR(IF(OR(A581="",E581=""),"",C581-E581),"")</f>
        <v/>
      </c>
      <c r="G581" s="26" t="n"/>
      <c r="H581" s="26" t="n"/>
    </row>
    <row r="582">
      <c r="A582" s="37" t="n"/>
      <c r="B582" s="37">
        <f>IFERROR(IF(A582="","",VLOOKUP(A582,DATABASE!A:B,2,0)),"")</f>
        <v/>
      </c>
      <c r="C582" s="38">
        <f>IFERROR(IF(A582="","",VLOOKUP(A582,DATABASE!A:J,10,0)),"")</f>
        <v/>
      </c>
      <c r="D582" s="39">
        <f>IF(A582="","",TODAY())</f>
        <v/>
      </c>
      <c r="E582" s="38" t="n"/>
      <c r="F582" s="38">
        <f>IFERROR(IF(OR(A582="",E582=""),"",C582-E582),"")</f>
        <v/>
      </c>
      <c r="G582" s="37" t="n"/>
      <c r="H582" s="37" t="n"/>
    </row>
    <row r="583">
      <c r="A583" s="26" t="n"/>
      <c r="B583" s="26">
        <f>IFERROR(IF(A583="","",VLOOKUP(A583,DATABASE!A:B,2,0)),"")</f>
        <v/>
      </c>
      <c r="C583" s="30">
        <f>IFERROR(IF(A583="","",VLOOKUP(A583,DATABASE!A:J,10,0)),"")</f>
        <v/>
      </c>
      <c r="D583" s="31">
        <f>IF(A583="","",TODAY())</f>
        <v/>
      </c>
      <c r="E583" s="30" t="n"/>
      <c r="F583" s="30">
        <f>IFERROR(IF(OR(A583="",E583=""),"",C583-E583),"")</f>
        <v/>
      </c>
      <c r="G583" s="26" t="n"/>
      <c r="H583" s="26" t="n"/>
    </row>
    <row r="584">
      <c r="A584" s="37" t="n"/>
      <c r="B584" s="37">
        <f>IFERROR(IF(A584="","",VLOOKUP(A584,DATABASE!A:B,2,0)),"")</f>
        <v/>
      </c>
      <c r="C584" s="38">
        <f>IFERROR(IF(A584="","",VLOOKUP(A584,DATABASE!A:J,10,0)),"")</f>
        <v/>
      </c>
      <c r="D584" s="39">
        <f>IF(A584="","",TODAY())</f>
        <v/>
      </c>
      <c r="E584" s="38" t="n"/>
      <c r="F584" s="38">
        <f>IFERROR(IF(OR(A584="",E584=""),"",C584-E584),"")</f>
        <v/>
      </c>
      <c r="G584" s="37" t="n"/>
      <c r="H584" s="37" t="n"/>
    </row>
    <row r="585">
      <c r="A585" s="26" t="n"/>
      <c r="B585" s="26">
        <f>IFERROR(IF(A585="","",VLOOKUP(A585,DATABASE!A:B,2,0)),"")</f>
        <v/>
      </c>
      <c r="C585" s="30">
        <f>IFERROR(IF(A585="","",VLOOKUP(A585,DATABASE!A:J,10,0)),"")</f>
        <v/>
      </c>
      <c r="D585" s="31">
        <f>IF(A585="","",TODAY())</f>
        <v/>
      </c>
      <c r="E585" s="30" t="n"/>
      <c r="F585" s="30">
        <f>IFERROR(IF(OR(A585="",E585=""),"",C585-E585),"")</f>
        <v/>
      </c>
      <c r="G585" s="26" t="n"/>
      <c r="H585" s="26" t="n"/>
    </row>
    <row r="586">
      <c r="A586" s="37" t="n"/>
      <c r="B586" s="37">
        <f>IFERROR(IF(A586="","",VLOOKUP(A586,DATABASE!A:B,2,0)),"")</f>
        <v/>
      </c>
      <c r="C586" s="38">
        <f>IFERROR(IF(A586="","",VLOOKUP(A586,DATABASE!A:J,10,0)),"")</f>
        <v/>
      </c>
      <c r="D586" s="39">
        <f>IF(A586="","",TODAY())</f>
        <v/>
      </c>
      <c r="E586" s="38" t="n"/>
      <c r="F586" s="38">
        <f>IFERROR(IF(OR(A586="",E586=""),"",C586-E586),"")</f>
        <v/>
      </c>
      <c r="G586" s="37" t="n"/>
      <c r="H586" s="37" t="n"/>
    </row>
    <row r="587">
      <c r="A587" s="26" t="n"/>
      <c r="B587" s="26">
        <f>IFERROR(IF(A587="","",VLOOKUP(A587,DATABASE!A:B,2,0)),"")</f>
        <v/>
      </c>
      <c r="C587" s="30">
        <f>IFERROR(IF(A587="","",VLOOKUP(A587,DATABASE!A:J,10,0)),"")</f>
        <v/>
      </c>
      <c r="D587" s="31">
        <f>IF(A587="","",TODAY())</f>
        <v/>
      </c>
      <c r="E587" s="30" t="n"/>
      <c r="F587" s="30">
        <f>IFERROR(IF(OR(A587="",E587=""),"",C587-E587),"")</f>
        <v/>
      </c>
      <c r="G587" s="26" t="n"/>
      <c r="H587" s="26" t="n"/>
    </row>
    <row r="588">
      <c r="A588" s="37" t="n"/>
      <c r="B588" s="37">
        <f>IFERROR(IF(A588="","",VLOOKUP(A588,DATABASE!A:B,2,0)),"")</f>
        <v/>
      </c>
      <c r="C588" s="38">
        <f>IFERROR(IF(A588="","",VLOOKUP(A588,DATABASE!A:J,10,0)),"")</f>
        <v/>
      </c>
      <c r="D588" s="39">
        <f>IF(A588="","",TODAY())</f>
        <v/>
      </c>
      <c r="E588" s="38" t="n"/>
      <c r="F588" s="38">
        <f>IFERROR(IF(OR(A588="",E588=""),"",C588-E588),"")</f>
        <v/>
      </c>
      <c r="G588" s="37" t="n"/>
      <c r="H588" s="37" t="n"/>
    </row>
    <row r="589">
      <c r="A589" s="26" t="n"/>
      <c r="B589" s="26">
        <f>IFERROR(IF(A589="","",VLOOKUP(A589,DATABASE!A:B,2,0)),"")</f>
        <v/>
      </c>
      <c r="C589" s="30">
        <f>IFERROR(IF(A589="","",VLOOKUP(A589,DATABASE!A:J,10,0)),"")</f>
        <v/>
      </c>
      <c r="D589" s="31">
        <f>IF(A589="","",TODAY())</f>
        <v/>
      </c>
      <c r="E589" s="30" t="n"/>
      <c r="F589" s="30">
        <f>IFERROR(IF(OR(A589="",E589=""),"",C589-E589),"")</f>
        <v/>
      </c>
      <c r="G589" s="26" t="n"/>
      <c r="H589" s="26" t="n"/>
    </row>
    <row r="590">
      <c r="A590" s="37" t="n"/>
      <c r="B590" s="37">
        <f>IFERROR(IF(A590="","",VLOOKUP(A590,DATABASE!A:B,2,0)),"")</f>
        <v/>
      </c>
      <c r="C590" s="38">
        <f>IFERROR(IF(A590="","",VLOOKUP(A590,DATABASE!A:J,10,0)),"")</f>
        <v/>
      </c>
      <c r="D590" s="39">
        <f>IF(A590="","",TODAY())</f>
        <v/>
      </c>
      <c r="E590" s="38" t="n"/>
      <c r="F590" s="38">
        <f>IFERROR(IF(OR(A590="",E590=""),"",C590-E590),"")</f>
        <v/>
      </c>
      <c r="G590" s="37" t="n"/>
      <c r="H590" s="37" t="n"/>
    </row>
    <row r="591">
      <c r="A591" s="26" t="n"/>
      <c r="B591" s="26">
        <f>IFERROR(IF(A591="","",VLOOKUP(A591,DATABASE!A:B,2,0)),"")</f>
        <v/>
      </c>
      <c r="C591" s="30">
        <f>IFERROR(IF(A591="","",VLOOKUP(A591,DATABASE!A:J,10,0)),"")</f>
        <v/>
      </c>
      <c r="D591" s="31">
        <f>IF(A591="","",TODAY())</f>
        <v/>
      </c>
      <c r="E591" s="30" t="n"/>
      <c r="F591" s="30">
        <f>IFERROR(IF(OR(A591="",E591=""),"",C591-E591),"")</f>
        <v/>
      </c>
      <c r="G591" s="26" t="n"/>
      <c r="H591" s="26" t="n"/>
    </row>
    <row r="592">
      <c r="A592" s="37" t="n"/>
      <c r="B592" s="37">
        <f>IFERROR(IF(A592="","",VLOOKUP(A592,DATABASE!A:B,2,0)),"")</f>
        <v/>
      </c>
      <c r="C592" s="38">
        <f>IFERROR(IF(A592="","",VLOOKUP(A592,DATABASE!A:J,10,0)),"")</f>
        <v/>
      </c>
      <c r="D592" s="39">
        <f>IF(A592="","",TODAY())</f>
        <v/>
      </c>
      <c r="E592" s="38" t="n"/>
      <c r="F592" s="38">
        <f>IFERROR(IF(OR(A592="",E592=""),"",C592-E592),"")</f>
        <v/>
      </c>
      <c r="G592" s="37" t="n"/>
      <c r="H592" s="37" t="n"/>
    </row>
    <row r="593">
      <c r="A593" s="26" t="n"/>
      <c r="B593" s="26">
        <f>IFERROR(IF(A593="","",VLOOKUP(A593,DATABASE!A:B,2,0)),"")</f>
        <v/>
      </c>
      <c r="C593" s="30">
        <f>IFERROR(IF(A593="","",VLOOKUP(A593,DATABASE!A:J,10,0)),"")</f>
        <v/>
      </c>
      <c r="D593" s="31">
        <f>IF(A593="","",TODAY())</f>
        <v/>
      </c>
      <c r="E593" s="30" t="n"/>
      <c r="F593" s="30">
        <f>IFERROR(IF(OR(A593="",E593=""),"",C593-E593),"")</f>
        <v/>
      </c>
      <c r="G593" s="26" t="n"/>
      <c r="H593" s="26" t="n"/>
    </row>
    <row r="594">
      <c r="A594" s="37" t="n"/>
      <c r="B594" s="37">
        <f>IFERROR(IF(A594="","",VLOOKUP(A594,DATABASE!A:B,2,0)),"")</f>
        <v/>
      </c>
      <c r="C594" s="38">
        <f>IFERROR(IF(A594="","",VLOOKUP(A594,DATABASE!A:J,10,0)),"")</f>
        <v/>
      </c>
      <c r="D594" s="39">
        <f>IF(A594="","",TODAY())</f>
        <v/>
      </c>
      <c r="E594" s="38" t="n"/>
      <c r="F594" s="38">
        <f>IFERROR(IF(OR(A594="",E594=""),"",C594-E594),"")</f>
        <v/>
      </c>
      <c r="G594" s="37" t="n"/>
      <c r="H594" s="37" t="n"/>
    </row>
    <row r="595">
      <c r="A595" s="26" t="n"/>
      <c r="B595" s="26">
        <f>IFERROR(IF(A595="","",VLOOKUP(A595,DATABASE!A:B,2,0)),"")</f>
        <v/>
      </c>
      <c r="C595" s="30">
        <f>IFERROR(IF(A595="","",VLOOKUP(A595,DATABASE!A:J,10,0)),"")</f>
        <v/>
      </c>
      <c r="D595" s="31">
        <f>IF(A595="","",TODAY())</f>
        <v/>
      </c>
      <c r="E595" s="30" t="n"/>
      <c r="F595" s="30">
        <f>IFERROR(IF(OR(A595="",E595=""),"",C595-E595),"")</f>
        <v/>
      </c>
      <c r="G595" s="26" t="n"/>
      <c r="H595" s="26" t="n"/>
    </row>
    <row r="596">
      <c r="A596" s="37" t="n"/>
      <c r="B596" s="37">
        <f>IFERROR(IF(A596="","",VLOOKUP(A596,DATABASE!A:B,2,0)),"")</f>
        <v/>
      </c>
      <c r="C596" s="38">
        <f>IFERROR(IF(A596="","",VLOOKUP(A596,DATABASE!A:J,10,0)),"")</f>
        <v/>
      </c>
      <c r="D596" s="39">
        <f>IF(A596="","",TODAY())</f>
        <v/>
      </c>
      <c r="E596" s="38" t="n"/>
      <c r="F596" s="38">
        <f>IFERROR(IF(OR(A596="",E596=""),"",C596-E596),"")</f>
        <v/>
      </c>
      <c r="G596" s="37" t="n"/>
      <c r="H596" s="37" t="n"/>
    </row>
    <row r="597">
      <c r="A597" s="26" t="n"/>
      <c r="B597" s="26">
        <f>IFERROR(IF(A597="","",VLOOKUP(A597,DATABASE!A:B,2,0)),"")</f>
        <v/>
      </c>
      <c r="C597" s="30">
        <f>IFERROR(IF(A597="","",VLOOKUP(A597,DATABASE!A:J,10,0)),"")</f>
        <v/>
      </c>
      <c r="D597" s="31">
        <f>IF(A597="","",TODAY())</f>
        <v/>
      </c>
      <c r="E597" s="30" t="n"/>
      <c r="F597" s="30">
        <f>IFERROR(IF(OR(A597="",E597=""),"",C597-E597),"")</f>
        <v/>
      </c>
      <c r="G597" s="26" t="n"/>
      <c r="H597" s="26" t="n"/>
    </row>
    <row r="598">
      <c r="A598" s="37" t="n"/>
      <c r="B598" s="37">
        <f>IFERROR(IF(A598="","",VLOOKUP(A598,DATABASE!A:B,2,0)),"")</f>
        <v/>
      </c>
      <c r="C598" s="38">
        <f>IFERROR(IF(A598="","",VLOOKUP(A598,DATABASE!A:J,10,0)),"")</f>
        <v/>
      </c>
      <c r="D598" s="39">
        <f>IF(A598="","",TODAY())</f>
        <v/>
      </c>
      <c r="E598" s="38" t="n"/>
      <c r="F598" s="38">
        <f>IFERROR(IF(OR(A598="",E598=""),"",C598-E598),"")</f>
        <v/>
      </c>
      <c r="G598" s="37" t="n"/>
      <c r="H598" s="37" t="n"/>
    </row>
    <row r="599">
      <c r="A599" s="26" t="n"/>
      <c r="B599" s="26">
        <f>IFERROR(IF(A599="","",VLOOKUP(A599,DATABASE!A:B,2,0)),"")</f>
        <v/>
      </c>
      <c r="C599" s="30">
        <f>IFERROR(IF(A599="","",VLOOKUP(A599,DATABASE!A:J,10,0)),"")</f>
        <v/>
      </c>
      <c r="D599" s="31">
        <f>IF(A599="","",TODAY())</f>
        <v/>
      </c>
      <c r="E599" s="30" t="n"/>
      <c r="F599" s="30">
        <f>IFERROR(IF(OR(A599="",E599=""),"",C599-E599),"")</f>
        <v/>
      </c>
      <c r="G599" s="26" t="n"/>
      <c r="H599" s="26" t="n"/>
    </row>
    <row r="600">
      <c r="A600" s="37" t="n"/>
      <c r="B600" s="37">
        <f>IFERROR(IF(A600="","",VLOOKUP(A600,DATABASE!A:B,2,0)),"")</f>
        <v/>
      </c>
      <c r="C600" s="38">
        <f>IFERROR(IF(A600="","",VLOOKUP(A600,DATABASE!A:J,10,0)),"")</f>
        <v/>
      </c>
      <c r="D600" s="39">
        <f>IF(A600="","",TODAY())</f>
        <v/>
      </c>
      <c r="E600" s="38" t="n"/>
      <c r="F600" s="38">
        <f>IFERROR(IF(OR(A600="",E600=""),"",C600-E600),"")</f>
        <v/>
      </c>
      <c r="G600" s="37" t="n"/>
      <c r="H600" s="37" t="n"/>
    </row>
    <row r="601">
      <c r="A601" s="26" t="n"/>
      <c r="B601" s="26">
        <f>IFERROR(IF(A601="","",VLOOKUP(A601,DATABASE!A:B,2,0)),"")</f>
        <v/>
      </c>
      <c r="C601" s="30">
        <f>IFERROR(IF(A601="","",VLOOKUP(A601,DATABASE!A:J,10,0)),"")</f>
        <v/>
      </c>
      <c r="D601" s="31">
        <f>IF(A601="","",TODAY())</f>
        <v/>
      </c>
      <c r="E601" s="30" t="n"/>
      <c r="F601" s="30">
        <f>IFERROR(IF(OR(A601="",E601=""),"",C601-E601),"")</f>
        <v/>
      </c>
      <c r="G601" s="26" t="n"/>
      <c r="H601" s="26" t="n"/>
    </row>
    <row r="602">
      <c r="A602" s="37" t="n"/>
      <c r="B602" s="37">
        <f>IFERROR(IF(A602="","",VLOOKUP(A602,DATABASE!A:B,2,0)),"")</f>
        <v/>
      </c>
      <c r="C602" s="38">
        <f>IFERROR(IF(A602="","",VLOOKUP(A602,DATABASE!A:J,10,0)),"")</f>
        <v/>
      </c>
      <c r="D602" s="39">
        <f>IF(A602="","",TODAY())</f>
        <v/>
      </c>
      <c r="E602" s="38" t="n"/>
      <c r="F602" s="38">
        <f>IFERROR(IF(OR(A602="",E602=""),"",C602-E602),"")</f>
        <v/>
      </c>
      <c r="G602" s="37" t="n"/>
      <c r="H602" s="37" t="n"/>
    </row>
    <row r="603">
      <c r="A603" s="26" t="n"/>
      <c r="B603" s="26">
        <f>IFERROR(IF(A603="","",VLOOKUP(A603,DATABASE!A:B,2,0)),"")</f>
        <v/>
      </c>
      <c r="C603" s="30">
        <f>IFERROR(IF(A603="","",VLOOKUP(A603,DATABASE!A:J,10,0)),"")</f>
        <v/>
      </c>
      <c r="D603" s="31">
        <f>IF(A603="","",TODAY())</f>
        <v/>
      </c>
      <c r="E603" s="30" t="n"/>
      <c r="F603" s="30">
        <f>IFERROR(IF(OR(A603="",E603=""),"",C603-E603),"")</f>
        <v/>
      </c>
      <c r="G603" s="26" t="n"/>
      <c r="H603" s="26" t="n"/>
    </row>
    <row r="604">
      <c r="A604" s="37" t="n"/>
      <c r="B604" s="37">
        <f>IFERROR(IF(A604="","",VLOOKUP(A604,DATABASE!A:B,2,0)),"")</f>
        <v/>
      </c>
      <c r="C604" s="38">
        <f>IFERROR(IF(A604="","",VLOOKUP(A604,DATABASE!A:J,10,0)),"")</f>
        <v/>
      </c>
      <c r="D604" s="39">
        <f>IF(A604="","",TODAY())</f>
        <v/>
      </c>
      <c r="E604" s="38" t="n"/>
      <c r="F604" s="38">
        <f>IFERROR(IF(OR(A604="",E604=""),"",C604-E604),"")</f>
        <v/>
      </c>
      <c r="G604" s="37" t="n"/>
      <c r="H604" s="37" t="n"/>
    </row>
    <row r="605">
      <c r="A605" s="26" t="n"/>
      <c r="B605" s="26">
        <f>IFERROR(IF(A605="","",VLOOKUP(A605,DATABASE!A:B,2,0)),"")</f>
        <v/>
      </c>
      <c r="C605" s="30">
        <f>IFERROR(IF(A605="","",VLOOKUP(A605,DATABASE!A:J,10,0)),"")</f>
        <v/>
      </c>
      <c r="D605" s="31">
        <f>IF(A605="","",TODAY())</f>
        <v/>
      </c>
      <c r="E605" s="30" t="n"/>
      <c r="F605" s="30">
        <f>IFERROR(IF(OR(A605="",E605=""),"",C605-E605),"")</f>
        <v/>
      </c>
      <c r="G605" s="26" t="n"/>
      <c r="H605" s="26" t="n"/>
    </row>
    <row r="606">
      <c r="A606" s="37" t="n"/>
      <c r="B606" s="37">
        <f>IFERROR(IF(A606="","",VLOOKUP(A606,DATABASE!A:B,2,0)),"")</f>
        <v/>
      </c>
      <c r="C606" s="38">
        <f>IFERROR(IF(A606="","",VLOOKUP(A606,DATABASE!A:J,10,0)),"")</f>
        <v/>
      </c>
      <c r="D606" s="39">
        <f>IF(A606="","",TODAY())</f>
        <v/>
      </c>
      <c r="E606" s="38" t="n"/>
      <c r="F606" s="38">
        <f>IFERROR(IF(OR(A606="",E606=""),"",C606-E606),"")</f>
        <v/>
      </c>
      <c r="G606" s="37" t="n"/>
      <c r="H606" s="37" t="n"/>
    </row>
    <row r="607">
      <c r="A607" s="26" t="n"/>
      <c r="B607" s="26">
        <f>IFERROR(IF(A607="","",VLOOKUP(A607,DATABASE!A:B,2,0)),"")</f>
        <v/>
      </c>
      <c r="C607" s="30">
        <f>IFERROR(IF(A607="","",VLOOKUP(A607,DATABASE!A:J,10,0)),"")</f>
        <v/>
      </c>
      <c r="D607" s="31">
        <f>IF(A607="","",TODAY())</f>
        <v/>
      </c>
      <c r="E607" s="30" t="n"/>
      <c r="F607" s="30">
        <f>IFERROR(IF(OR(A607="",E607=""),"",C607-E607),"")</f>
        <v/>
      </c>
      <c r="G607" s="26" t="n"/>
      <c r="H607" s="26" t="n"/>
    </row>
    <row r="608">
      <c r="A608" s="37" t="n"/>
      <c r="B608" s="37">
        <f>IFERROR(IF(A608="","",VLOOKUP(A608,DATABASE!A:B,2,0)),"")</f>
        <v/>
      </c>
      <c r="C608" s="38">
        <f>IFERROR(IF(A608="","",VLOOKUP(A608,DATABASE!A:J,10,0)),"")</f>
        <v/>
      </c>
      <c r="D608" s="39">
        <f>IF(A608="","",TODAY())</f>
        <v/>
      </c>
      <c r="E608" s="38" t="n"/>
      <c r="F608" s="38">
        <f>IFERROR(IF(OR(A608="",E608=""),"",C608-E608),"")</f>
        <v/>
      </c>
      <c r="G608" s="37" t="n"/>
      <c r="H608" s="37" t="n"/>
    </row>
    <row r="609">
      <c r="A609" s="26" t="n"/>
      <c r="B609" s="26">
        <f>IFERROR(IF(A609="","",VLOOKUP(A609,DATABASE!A:B,2,0)),"")</f>
        <v/>
      </c>
      <c r="C609" s="30">
        <f>IFERROR(IF(A609="","",VLOOKUP(A609,DATABASE!A:J,10,0)),"")</f>
        <v/>
      </c>
      <c r="D609" s="31">
        <f>IF(A609="","",TODAY())</f>
        <v/>
      </c>
      <c r="E609" s="30" t="n"/>
      <c r="F609" s="30">
        <f>IFERROR(IF(OR(A609="",E609=""),"",C609-E609),"")</f>
        <v/>
      </c>
      <c r="G609" s="26" t="n"/>
      <c r="H609" s="26" t="n"/>
    </row>
    <row r="610">
      <c r="A610" s="37" t="n"/>
      <c r="B610" s="37">
        <f>IFERROR(IF(A610="","",VLOOKUP(A610,DATABASE!A:B,2,0)),"")</f>
        <v/>
      </c>
      <c r="C610" s="38">
        <f>IFERROR(IF(A610="","",VLOOKUP(A610,DATABASE!A:J,10,0)),"")</f>
        <v/>
      </c>
      <c r="D610" s="39">
        <f>IF(A610="","",TODAY())</f>
        <v/>
      </c>
      <c r="E610" s="38" t="n"/>
      <c r="F610" s="38">
        <f>IFERROR(IF(OR(A610="",E610=""),"",C610-E610),"")</f>
        <v/>
      </c>
      <c r="G610" s="37" t="n"/>
      <c r="H610" s="37" t="n"/>
    </row>
    <row r="611">
      <c r="A611" s="26" t="n"/>
      <c r="B611" s="26">
        <f>IFERROR(IF(A611="","",VLOOKUP(A611,DATABASE!A:B,2,0)),"")</f>
        <v/>
      </c>
      <c r="C611" s="30">
        <f>IFERROR(IF(A611="","",VLOOKUP(A611,DATABASE!A:J,10,0)),"")</f>
        <v/>
      </c>
      <c r="D611" s="31">
        <f>IF(A611="","",TODAY())</f>
        <v/>
      </c>
      <c r="E611" s="30" t="n"/>
      <c r="F611" s="30">
        <f>IFERROR(IF(OR(A611="",E611=""),"",C611-E611),"")</f>
        <v/>
      </c>
      <c r="G611" s="26" t="n"/>
      <c r="H611" s="26" t="n"/>
    </row>
    <row r="612">
      <c r="A612" s="37" t="n"/>
      <c r="B612" s="37">
        <f>IFERROR(IF(A612="","",VLOOKUP(A612,DATABASE!A:B,2,0)),"")</f>
        <v/>
      </c>
      <c r="C612" s="38">
        <f>IFERROR(IF(A612="","",VLOOKUP(A612,DATABASE!A:J,10,0)),"")</f>
        <v/>
      </c>
      <c r="D612" s="39">
        <f>IF(A612="","",TODAY())</f>
        <v/>
      </c>
      <c r="E612" s="38" t="n"/>
      <c r="F612" s="38">
        <f>IFERROR(IF(OR(A612="",E612=""),"",C612-E612),"")</f>
        <v/>
      </c>
      <c r="G612" s="37" t="n"/>
      <c r="H612" s="37" t="n"/>
    </row>
    <row r="613">
      <c r="A613" s="26" t="n"/>
      <c r="B613" s="26">
        <f>IFERROR(IF(A613="","",VLOOKUP(A613,DATABASE!A:B,2,0)),"")</f>
        <v/>
      </c>
      <c r="C613" s="30">
        <f>IFERROR(IF(A613="","",VLOOKUP(A613,DATABASE!A:J,10,0)),"")</f>
        <v/>
      </c>
      <c r="D613" s="31">
        <f>IF(A613="","",TODAY())</f>
        <v/>
      </c>
      <c r="E613" s="30" t="n"/>
      <c r="F613" s="30">
        <f>IFERROR(IF(OR(A613="",E613=""),"",C613-E613),"")</f>
        <v/>
      </c>
      <c r="G613" s="26" t="n"/>
      <c r="H613" s="26" t="n"/>
    </row>
    <row r="614">
      <c r="A614" s="37" t="n"/>
      <c r="B614" s="37">
        <f>IFERROR(IF(A614="","",VLOOKUP(A614,DATABASE!A:B,2,0)),"")</f>
        <v/>
      </c>
      <c r="C614" s="38">
        <f>IFERROR(IF(A614="","",VLOOKUP(A614,DATABASE!A:J,10,0)),"")</f>
        <v/>
      </c>
      <c r="D614" s="39">
        <f>IF(A614="","",TODAY())</f>
        <v/>
      </c>
      <c r="E614" s="38" t="n"/>
      <c r="F614" s="38">
        <f>IFERROR(IF(OR(A614="",E614=""),"",C614-E614),"")</f>
        <v/>
      </c>
      <c r="G614" s="37" t="n"/>
      <c r="H614" s="37" t="n"/>
    </row>
    <row r="615">
      <c r="A615" s="26" t="n"/>
      <c r="B615" s="26">
        <f>IFERROR(IF(A615="","",VLOOKUP(A615,DATABASE!A:B,2,0)),"")</f>
        <v/>
      </c>
      <c r="C615" s="30">
        <f>IFERROR(IF(A615="","",VLOOKUP(A615,DATABASE!A:J,10,0)),"")</f>
        <v/>
      </c>
      <c r="D615" s="31">
        <f>IF(A615="","",TODAY())</f>
        <v/>
      </c>
      <c r="E615" s="30" t="n"/>
      <c r="F615" s="30">
        <f>IFERROR(IF(OR(A615="",E615=""),"",C615-E615),"")</f>
        <v/>
      </c>
      <c r="G615" s="26" t="n"/>
      <c r="H615" s="26" t="n"/>
    </row>
    <row r="616">
      <c r="A616" s="37" t="n"/>
      <c r="B616" s="37">
        <f>IFERROR(IF(A616="","",VLOOKUP(A616,DATABASE!A:B,2,0)),"")</f>
        <v/>
      </c>
      <c r="C616" s="38">
        <f>IFERROR(IF(A616="","",VLOOKUP(A616,DATABASE!A:J,10,0)),"")</f>
        <v/>
      </c>
      <c r="D616" s="39">
        <f>IF(A616="","",TODAY())</f>
        <v/>
      </c>
      <c r="E616" s="38" t="n"/>
      <c r="F616" s="38">
        <f>IFERROR(IF(OR(A616="",E616=""),"",C616-E616),"")</f>
        <v/>
      </c>
      <c r="G616" s="37" t="n"/>
      <c r="H616" s="37" t="n"/>
    </row>
    <row r="617">
      <c r="A617" s="26" t="n"/>
      <c r="B617" s="26">
        <f>IFERROR(IF(A617="","",VLOOKUP(A617,DATABASE!A:B,2,0)),"")</f>
        <v/>
      </c>
      <c r="C617" s="30">
        <f>IFERROR(IF(A617="","",VLOOKUP(A617,DATABASE!A:J,10,0)),"")</f>
        <v/>
      </c>
      <c r="D617" s="31">
        <f>IF(A617="","",TODAY())</f>
        <v/>
      </c>
      <c r="E617" s="30" t="n"/>
      <c r="F617" s="30">
        <f>IFERROR(IF(OR(A617="",E617=""),"",C617-E617),"")</f>
        <v/>
      </c>
      <c r="G617" s="26" t="n"/>
      <c r="H617" s="26" t="n"/>
    </row>
    <row r="618">
      <c r="A618" s="37" t="n"/>
      <c r="B618" s="37">
        <f>IFERROR(IF(A618="","",VLOOKUP(A618,DATABASE!A:B,2,0)),"")</f>
        <v/>
      </c>
      <c r="C618" s="38">
        <f>IFERROR(IF(A618="","",VLOOKUP(A618,DATABASE!A:J,10,0)),"")</f>
        <v/>
      </c>
      <c r="D618" s="39">
        <f>IF(A618="","",TODAY())</f>
        <v/>
      </c>
      <c r="E618" s="38" t="n"/>
      <c r="F618" s="38">
        <f>IFERROR(IF(OR(A618="",E618=""),"",C618-E618),"")</f>
        <v/>
      </c>
      <c r="G618" s="37" t="n"/>
      <c r="H618" s="37" t="n"/>
    </row>
    <row r="619">
      <c r="A619" s="26" t="n"/>
      <c r="B619" s="26">
        <f>IFERROR(IF(A619="","",VLOOKUP(A619,DATABASE!A:B,2,0)),"")</f>
        <v/>
      </c>
      <c r="C619" s="30">
        <f>IFERROR(IF(A619="","",VLOOKUP(A619,DATABASE!A:J,10,0)),"")</f>
        <v/>
      </c>
      <c r="D619" s="31">
        <f>IF(A619="","",TODAY())</f>
        <v/>
      </c>
      <c r="E619" s="30" t="n"/>
      <c r="F619" s="30">
        <f>IFERROR(IF(OR(A619="",E619=""),"",C619-E619),"")</f>
        <v/>
      </c>
      <c r="G619" s="26" t="n"/>
      <c r="H619" s="26" t="n"/>
    </row>
    <row r="620">
      <c r="A620" s="37" t="n"/>
      <c r="B620" s="37">
        <f>IFERROR(IF(A620="","",VLOOKUP(A620,DATABASE!A:B,2,0)),"")</f>
        <v/>
      </c>
      <c r="C620" s="38">
        <f>IFERROR(IF(A620="","",VLOOKUP(A620,DATABASE!A:J,10,0)),"")</f>
        <v/>
      </c>
      <c r="D620" s="39">
        <f>IF(A620="","",TODAY())</f>
        <v/>
      </c>
      <c r="E620" s="38" t="n"/>
      <c r="F620" s="38">
        <f>IFERROR(IF(OR(A620="",E620=""),"",C620-E620),"")</f>
        <v/>
      </c>
      <c r="G620" s="37" t="n"/>
      <c r="H620" s="37" t="n"/>
    </row>
    <row r="621">
      <c r="A621" s="26" t="n"/>
      <c r="B621" s="26">
        <f>IFERROR(IF(A621="","",VLOOKUP(A621,DATABASE!A:B,2,0)),"")</f>
        <v/>
      </c>
      <c r="C621" s="30">
        <f>IFERROR(IF(A621="","",VLOOKUP(A621,DATABASE!A:J,10,0)),"")</f>
        <v/>
      </c>
      <c r="D621" s="31">
        <f>IF(A621="","",TODAY())</f>
        <v/>
      </c>
      <c r="E621" s="30" t="n"/>
      <c r="F621" s="30">
        <f>IFERROR(IF(OR(A621="",E621=""),"",C621-E621),"")</f>
        <v/>
      </c>
      <c r="G621" s="26" t="n"/>
      <c r="H621" s="26" t="n"/>
    </row>
    <row r="622">
      <c r="A622" s="37" t="n"/>
      <c r="B622" s="37">
        <f>IFERROR(IF(A622="","",VLOOKUP(A622,DATABASE!A:B,2,0)),"")</f>
        <v/>
      </c>
      <c r="C622" s="38">
        <f>IFERROR(IF(A622="","",VLOOKUP(A622,DATABASE!A:J,10,0)),"")</f>
        <v/>
      </c>
      <c r="D622" s="39">
        <f>IF(A622="","",TODAY())</f>
        <v/>
      </c>
      <c r="E622" s="38" t="n"/>
      <c r="F622" s="38">
        <f>IFERROR(IF(OR(A622="",E622=""),"",C622-E622),"")</f>
        <v/>
      </c>
      <c r="G622" s="37" t="n"/>
      <c r="H622" s="37" t="n"/>
    </row>
    <row r="623">
      <c r="A623" s="26" t="n"/>
      <c r="B623" s="26">
        <f>IFERROR(IF(A623="","",VLOOKUP(A623,DATABASE!A:B,2,0)),"")</f>
        <v/>
      </c>
      <c r="C623" s="30">
        <f>IFERROR(IF(A623="","",VLOOKUP(A623,DATABASE!A:J,10,0)),"")</f>
        <v/>
      </c>
      <c r="D623" s="31">
        <f>IF(A623="","",TODAY())</f>
        <v/>
      </c>
      <c r="E623" s="30" t="n"/>
      <c r="F623" s="30">
        <f>IFERROR(IF(OR(A623="",E623=""),"",C623-E623),"")</f>
        <v/>
      </c>
      <c r="G623" s="26" t="n"/>
      <c r="H623" s="26" t="n"/>
    </row>
    <row r="624">
      <c r="A624" s="37" t="n"/>
      <c r="B624" s="37">
        <f>IFERROR(IF(A624="","",VLOOKUP(A624,DATABASE!A:B,2,0)),"")</f>
        <v/>
      </c>
      <c r="C624" s="38">
        <f>IFERROR(IF(A624="","",VLOOKUP(A624,DATABASE!A:J,10,0)),"")</f>
        <v/>
      </c>
      <c r="D624" s="39">
        <f>IF(A624="","",TODAY())</f>
        <v/>
      </c>
      <c r="E624" s="38" t="n"/>
      <c r="F624" s="38">
        <f>IFERROR(IF(OR(A624="",E624=""),"",C624-E624),"")</f>
        <v/>
      </c>
      <c r="G624" s="37" t="n"/>
      <c r="H624" s="37" t="n"/>
    </row>
    <row r="625">
      <c r="A625" s="26" t="n"/>
      <c r="B625" s="26">
        <f>IFERROR(IF(A625="","",VLOOKUP(A625,DATABASE!A:B,2,0)),"")</f>
        <v/>
      </c>
      <c r="C625" s="30">
        <f>IFERROR(IF(A625="","",VLOOKUP(A625,DATABASE!A:J,10,0)),"")</f>
        <v/>
      </c>
      <c r="D625" s="31">
        <f>IF(A625="","",TODAY())</f>
        <v/>
      </c>
      <c r="E625" s="30" t="n"/>
      <c r="F625" s="30">
        <f>IFERROR(IF(OR(A625="",E625=""),"",C625-E625),"")</f>
        <v/>
      </c>
      <c r="G625" s="26" t="n"/>
      <c r="H625" s="26" t="n"/>
    </row>
    <row r="626">
      <c r="A626" s="37" t="n"/>
      <c r="B626" s="37">
        <f>IFERROR(IF(A626="","",VLOOKUP(A626,DATABASE!A:B,2,0)),"")</f>
        <v/>
      </c>
      <c r="C626" s="38">
        <f>IFERROR(IF(A626="","",VLOOKUP(A626,DATABASE!A:J,10,0)),"")</f>
        <v/>
      </c>
      <c r="D626" s="39">
        <f>IF(A626="","",TODAY())</f>
        <v/>
      </c>
      <c r="E626" s="38" t="n"/>
      <c r="F626" s="38">
        <f>IFERROR(IF(OR(A626="",E626=""),"",C626-E626),"")</f>
        <v/>
      </c>
      <c r="G626" s="37" t="n"/>
      <c r="H626" s="37" t="n"/>
    </row>
    <row r="627">
      <c r="A627" s="26" t="n"/>
      <c r="B627" s="26">
        <f>IFERROR(IF(A627="","",VLOOKUP(A627,DATABASE!A:B,2,0)),"")</f>
        <v/>
      </c>
      <c r="C627" s="30">
        <f>IFERROR(IF(A627="","",VLOOKUP(A627,DATABASE!A:J,10,0)),"")</f>
        <v/>
      </c>
      <c r="D627" s="31">
        <f>IF(A627="","",TODAY())</f>
        <v/>
      </c>
      <c r="E627" s="30" t="n"/>
      <c r="F627" s="30">
        <f>IFERROR(IF(OR(A627="",E627=""),"",C627-E627),"")</f>
        <v/>
      </c>
      <c r="G627" s="26" t="n"/>
      <c r="H627" s="26" t="n"/>
    </row>
    <row r="628">
      <c r="A628" s="37" t="n"/>
      <c r="B628" s="37">
        <f>IFERROR(IF(A628="","",VLOOKUP(A628,DATABASE!A:B,2,0)),"")</f>
        <v/>
      </c>
      <c r="C628" s="38">
        <f>IFERROR(IF(A628="","",VLOOKUP(A628,DATABASE!A:J,10,0)),"")</f>
        <v/>
      </c>
      <c r="D628" s="39">
        <f>IF(A628="","",TODAY())</f>
        <v/>
      </c>
      <c r="E628" s="38" t="n"/>
      <c r="F628" s="38">
        <f>IFERROR(IF(OR(A628="",E628=""),"",C628-E628),"")</f>
        <v/>
      </c>
      <c r="G628" s="37" t="n"/>
      <c r="H628" s="37" t="n"/>
    </row>
    <row r="629">
      <c r="A629" s="26" t="n"/>
      <c r="B629" s="26">
        <f>IFERROR(IF(A629="","",VLOOKUP(A629,DATABASE!A:B,2,0)),"")</f>
        <v/>
      </c>
      <c r="C629" s="30">
        <f>IFERROR(IF(A629="","",VLOOKUP(A629,DATABASE!A:J,10,0)),"")</f>
        <v/>
      </c>
      <c r="D629" s="31">
        <f>IF(A629="","",TODAY())</f>
        <v/>
      </c>
      <c r="E629" s="30" t="n"/>
      <c r="F629" s="30">
        <f>IFERROR(IF(OR(A629="",E629=""),"",C629-E629),"")</f>
        <v/>
      </c>
      <c r="G629" s="26" t="n"/>
      <c r="H629" s="26" t="n"/>
    </row>
    <row r="630">
      <c r="A630" s="37" t="n"/>
      <c r="B630" s="37">
        <f>IFERROR(IF(A630="","",VLOOKUP(A630,DATABASE!A:B,2,0)),"")</f>
        <v/>
      </c>
      <c r="C630" s="38">
        <f>IFERROR(IF(A630="","",VLOOKUP(A630,DATABASE!A:J,10,0)),"")</f>
        <v/>
      </c>
      <c r="D630" s="39">
        <f>IF(A630="","",TODAY())</f>
        <v/>
      </c>
      <c r="E630" s="38" t="n"/>
      <c r="F630" s="38">
        <f>IFERROR(IF(OR(A630="",E630=""),"",C630-E630),"")</f>
        <v/>
      </c>
      <c r="G630" s="37" t="n"/>
      <c r="H630" s="37" t="n"/>
    </row>
    <row r="631">
      <c r="A631" s="26" t="n"/>
      <c r="B631" s="26">
        <f>IFERROR(IF(A631="","",VLOOKUP(A631,DATABASE!A:B,2,0)),"")</f>
        <v/>
      </c>
      <c r="C631" s="30">
        <f>IFERROR(IF(A631="","",VLOOKUP(A631,DATABASE!A:J,10,0)),"")</f>
        <v/>
      </c>
      <c r="D631" s="31">
        <f>IF(A631="","",TODAY())</f>
        <v/>
      </c>
      <c r="E631" s="30" t="n"/>
      <c r="F631" s="30">
        <f>IFERROR(IF(OR(A631="",E631=""),"",C631-E631),"")</f>
        <v/>
      </c>
      <c r="G631" s="26" t="n"/>
      <c r="H631" s="26" t="n"/>
    </row>
    <row r="632">
      <c r="A632" s="37" t="n"/>
      <c r="B632" s="37">
        <f>IFERROR(IF(A632="","",VLOOKUP(A632,DATABASE!A:B,2,0)),"")</f>
        <v/>
      </c>
      <c r="C632" s="38">
        <f>IFERROR(IF(A632="","",VLOOKUP(A632,DATABASE!A:J,10,0)),"")</f>
        <v/>
      </c>
      <c r="D632" s="39">
        <f>IF(A632="","",TODAY())</f>
        <v/>
      </c>
      <c r="E632" s="38" t="n"/>
      <c r="F632" s="38">
        <f>IFERROR(IF(OR(A632="",E632=""),"",C632-E632),"")</f>
        <v/>
      </c>
      <c r="G632" s="37" t="n"/>
      <c r="H632" s="37" t="n"/>
    </row>
    <row r="633">
      <c r="A633" s="26" t="n"/>
      <c r="B633" s="26">
        <f>IFERROR(IF(A633="","",VLOOKUP(A633,DATABASE!A:B,2,0)),"")</f>
        <v/>
      </c>
      <c r="C633" s="30">
        <f>IFERROR(IF(A633="","",VLOOKUP(A633,DATABASE!A:J,10,0)),"")</f>
        <v/>
      </c>
      <c r="D633" s="31">
        <f>IF(A633="","",TODAY())</f>
        <v/>
      </c>
      <c r="E633" s="30" t="n"/>
      <c r="F633" s="30">
        <f>IFERROR(IF(OR(A633="",E633=""),"",C633-E633),"")</f>
        <v/>
      </c>
      <c r="G633" s="26" t="n"/>
      <c r="H633" s="26" t="n"/>
    </row>
    <row r="634">
      <c r="A634" s="37" t="n"/>
      <c r="B634" s="37">
        <f>IFERROR(IF(A634="","",VLOOKUP(A634,DATABASE!A:B,2,0)),"")</f>
        <v/>
      </c>
      <c r="C634" s="38">
        <f>IFERROR(IF(A634="","",VLOOKUP(A634,DATABASE!A:J,10,0)),"")</f>
        <v/>
      </c>
      <c r="D634" s="39">
        <f>IF(A634="","",TODAY())</f>
        <v/>
      </c>
      <c r="E634" s="38" t="n"/>
      <c r="F634" s="38">
        <f>IFERROR(IF(OR(A634="",E634=""),"",C634-E634),"")</f>
        <v/>
      </c>
      <c r="G634" s="37" t="n"/>
      <c r="H634" s="37" t="n"/>
    </row>
    <row r="635">
      <c r="A635" s="26" t="n"/>
      <c r="B635" s="26">
        <f>IFERROR(IF(A635="","",VLOOKUP(A635,DATABASE!A:B,2,0)),"")</f>
        <v/>
      </c>
      <c r="C635" s="30">
        <f>IFERROR(IF(A635="","",VLOOKUP(A635,DATABASE!A:J,10,0)),"")</f>
        <v/>
      </c>
      <c r="D635" s="31">
        <f>IF(A635="","",TODAY())</f>
        <v/>
      </c>
      <c r="E635" s="30" t="n"/>
      <c r="F635" s="30">
        <f>IFERROR(IF(OR(A635="",E635=""),"",C635-E635),"")</f>
        <v/>
      </c>
      <c r="G635" s="26" t="n"/>
      <c r="H635" s="26" t="n"/>
    </row>
    <row r="636">
      <c r="A636" s="37" t="n"/>
      <c r="B636" s="37">
        <f>IFERROR(IF(A636="","",VLOOKUP(A636,DATABASE!A:B,2,0)),"")</f>
        <v/>
      </c>
      <c r="C636" s="38">
        <f>IFERROR(IF(A636="","",VLOOKUP(A636,DATABASE!A:J,10,0)),"")</f>
        <v/>
      </c>
      <c r="D636" s="39">
        <f>IF(A636="","",TODAY())</f>
        <v/>
      </c>
      <c r="E636" s="38" t="n"/>
      <c r="F636" s="38">
        <f>IFERROR(IF(OR(A636="",E636=""),"",C636-E636),"")</f>
        <v/>
      </c>
      <c r="G636" s="37" t="n"/>
      <c r="H636" s="37" t="n"/>
    </row>
    <row r="637">
      <c r="A637" s="26" t="n"/>
      <c r="B637" s="26">
        <f>IFERROR(IF(A637="","",VLOOKUP(A637,DATABASE!A:B,2,0)),"")</f>
        <v/>
      </c>
      <c r="C637" s="30">
        <f>IFERROR(IF(A637="","",VLOOKUP(A637,DATABASE!A:J,10,0)),"")</f>
        <v/>
      </c>
      <c r="D637" s="31">
        <f>IF(A637="","",TODAY())</f>
        <v/>
      </c>
      <c r="E637" s="30" t="n"/>
      <c r="F637" s="30">
        <f>IFERROR(IF(OR(A637="",E637=""),"",C637-E637),"")</f>
        <v/>
      </c>
      <c r="G637" s="26" t="n"/>
      <c r="H637" s="26" t="n"/>
    </row>
    <row r="638">
      <c r="A638" s="37" t="n"/>
      <c r="B638" s="37">
        <f>IFERROR(IF(A638="","",VLOOKUP(A638,DATABASE!A:B,2,0)),"")</f>
        <v/>
      </c>
      <c r="C638" s="38">
        <f>IFERROR(IF(A638="","",VLOOKUP(A638,DATABASE!A:J,10,0)),"")</f>
        <v/>
      </c>
      <c r="D638" s="39">
        <f>IF(A638="","",TODAY())</f>
        <v/>
      </c>
      <c r="E638" s="38" t="n"/>
      <c r="F638" s="38">
        <f>IFERROR(IF(OR(A638="",E638=""),"",C638-E638),"")</f>
        <v/>
      </c>
      <c r="G638" s="37" t="n"/>
      <c r="H638" s="37" t="n"/>
    </row>
    <row r="639">
      <c r="A639" s="26" t="n"/>
      <c r="B639" s="26">
        <f>IFERROR(IF(A639="","",VLOOKUP(A639,DATABASE!A:B,2,0)),"")</f>
        <v/>
      </c>
      <c r="C639" s="30">
        <f>IFERROR(IF(A639="","",VLOOKUP(A639,DATABASE!A:J,10,0)),"")</f>
        <v/>
      </c>
      <c r="D639" s="31">
        <f>IF(A639="","",TODAY())</f>
        <v/>
      </c>
      <c r="E639" s="30" t="n"/>
      <c r="F639" s="30">
        <f>IFERROR(IF(OR(A639="",E639=""),"",C639-E639),"")</f>
        <v/>
      </c>
      <c r="G639" s="26" t="n"/>
      <c r="H639" s="26" t="n"/>
    </row>
    <row r="640">
      <c r="A640" s="37" t="n"/>
      <c r="B640" s="37">
        <f>IFERROR(IF(A640="","",VLOOKUP(A640,DATABASE!A:B,2,0)),"")</f>
        <v/>
      </c>
      <c r="C640" s="38">
        <f>IFERROR(IF(A640="","",VLOOKUP(A640,DATABASE!A:J,10,0)),"")</f>
        <v/>
      </c>
      <c r="D640" s="39">
        <f>IF(A640="","",TODAY())</f>
        <v/>
      </c>
      <c r="E640" s="38" t="n"/>
      <c r="F640" s="38">
        <f>IFERROR(IF(OR(A640="",E640=""),"",C640-E640),"")</f>
        <v/>
      </c>
      <c r="G640" s="37" t="n"/>
      <c r="H640" s="37" t="n"/>
    </row>
    <row r="641">
      <c r="A641" s="26" t="n"/>
      <c r="B641" s="26">
        <f>IFERROR(IF(A641="","",VLOOKUP(A641,DATABASE!A:B,2,0)),"")</f>
        <v/>
      </c>
      <c r="C641" s="30">
        <f>IFERROR(IF(A641="","",VLOOKUP(A641,DATABASE!A:J,10,0)),"")</f>
        <v/>
      </c>
      <c r="D641" s="31">
        <f>IF(A641="","",TODAY())</f>
        <v/>
      </c>
      <c r="E641" s="30" t="n"/>
      <c r="F641" s="30">
        <f>IFERROR(IF(OR(A641="",E641=""),"",C641-E641),"")</f>
        <v/>
      </c>
      <c r="G641" s="26" t="n"/>
      <c r="H641" s="26" t="n"/>
    </row>
    <row r="642">
      <c r="A642" s="37" t="n"/>
      <c r="B642" s="37">
        <f>IFERROR(IF(A642="","",VLOOKUP(A642,DATABASE!A:B,2,0)),"")</f>
        <v/>
      </c>
      <c r="C642" s="38">
        <f>IFERROR(IF(A642="","",VLOOKUP(A642,DATABASE!A:J,10,0)),"")</f>
        <v/>
      </c>
      <c r="D642" s="39">
        <f>IF(A642="","",TODAY())</f>
        <v/>
      </c>
      <c r="E642" s="38" t="n"/>
      <c r="F642" s="38">
        <f>IFERROR(IF(OR(A642="",E642=""),"",C642-E642),"")</f>
        <v/>
      </c>
      <c r="G642" s="37" t="n"/>
      <c r="H642" s="37" t="n"/>
    </row>
    <row r="643">
      <c r="A643" s="26" t="n"/>
      <c r="B643" s="26">
        <f>IFERROR(IF(A643="","",VLOOKUP(A643,DATABASE!A:B,2,0)),"")</f>
        <v/>
      </c>
      <c r="C643" s="30">
        <f>IFERROR(IF(A643="","",VLOOKUP(A643,DATABASE!A:J,10,0)),"")</f>
        <v/>
      </c>
      <c r="D643" s="31">
        <f>IF(A643="","",TODAY())</f>
        <v/>
      </c>
      <c r="E643" s="30" t="n"/>
      <c r="F643" s="30">
        <f>IFERROR(IF(OR(A643="",E643=""),"",C643-E643),"")</f>
        <v/>
      </c>
      <c r="G643" s="26" t="n"/>
      <c r="H643" s="26" t="n"/>
    </row>
    <row r="644">
      <c r="A644" s="37" t="n"/>
      <c r="B644" s="37">
        <f>IFERROR(IF(A644="","",VLOOKUP(A644,DATABASE!A:B,2,0)),"")</f>
        <v/>
      </c>
      <c r="C644" s="38">
        <f>IFERROR(IF(A644="","",VLOOKUP(A644,DATABASE!A:J,10,0)),"")</f>
        <v/>
      </c>
      <c r="D644" s="39">
        <f>IF(A644="","",TODAY())</f>
        <v/>
      </c>
      <c r="E644" s="38" t="n"/>
      <c r="F644" s="38">
        <f>IFERROR(IF(OR(A644="",E644=""),"",C644-E644),"")</f>
        <v/>
      </c>
      <c r="G644" s="37" t="n"/>
      <c r="H644" s="37" t="n"/>
    </row>
    <row r="645">
      <c r="A645" s="26" t="n"/>
      <c r="B645" s="26">
        <f>IFERROR(IF(A645="","",VLOOKUP(A645,DATABASE!A:B,2,0)),"")</f>
        <v/>
      </c>
      <c r="C645" s="30">
        <f>IFERROR(IF(A645="","",VLOOKUP(A645,DATABASE!A:J,10,0)),"")</f>
        <v/>
      </c>
      <c r="D645" s="31">
        <f>IF(A645="","",TODAY())</f>
        <v/>
      </c>
      <c r="E645" s="30" t="n"/>
      <c r="F645" s="30">
        <f>IFERROR(IF(OR(A645="",E645=""),"",C645-E645),"")</f>
        <v/>
      </c>
      <c r="G645" s="26" t="n"/>
      <c r="H645" s="26" t="n"/>
    </row>
    <row r="646">
      <c r="A646" s="37" t="n"/>
      <c r="B646" s="37">
        <f>IFERROR(IF(A646="","",VLOOKUP(A646,DATABASE!A:B,2,0)),"")</f>
        <v/>
      </c>
      <c r="C646" s="38">
        <f>IFERROR(IF(A646="","",VLOOKUP(A646,DATABASE!A:J,10,0)),"")</f>
        <v/>
      </c>
      <c r="D646" s="39">
        <f>IF(A646="","",TODAY())</f>
        <v/>
      </c>
      <c r="E646" s="38" t="n"/>
      <c r="F646" s="38">
        <f>IFERROR(IF(OR(A646="",E646=""),"",C646-E646),"")</f>
        <v/>
      </c>
      <c r="G646" s="37" t="n"/>
      <c r="H646" s="37" t="n"/>
    </row>
    <row r="647">
      <c r="A647" s="26" t="n"/>
      <c r="B647" s="26">
        <f>IFERROR(IF(A647="","",VLOOKUP(A647,DATABASE!A:B,2,0)),"")</f>
        <v/>
      </c>
      <c r="C647" s="30">
        <f>IFERROR(IF(A647="","",VLOOKUP(A647,DATABASE!A:J,10,0)),"")</f>
        <v/>
      </c>
      <c r="D647" s="31">
        <f>IF(A647="","",TODAY())</f>
        <v/>
      </c>
      <c r="E647" s="30" t="n"/>
      <c r="F647" s="30">
        <f>IFERROR(IF(OR(A647="",E647=""),"",C647-E647),"")</f>
        <v/>
      </c>
      <c r="G647" s="26" t="n"/>
      <c r="H647" s="26" t="n"/>
    </row>
    <row r="648">
      <c r="A648" s="37" t="n"/>
      <c r="B648" s="37">
        <f>IFERROR(IF(A648="","",VLOOKUP(A648,DATABASE!A:B,2,0)),"")</f>
        <v/>
      </c>
      <c r="C648" s="38">
        <f>IFERROR(IF(A648="","",VLOOKUP(A648,DATABASE!A:J,10,0)),"")</f>
        <v/>
      </c>
      <c r="D648" s="39">
        <f>IF(A648="","",TODAY())</f>
        <v/>
      </c>
      <c r="E648" s="38" t="n"/>
      <c r="F648" s="38">
        <f>IFERROR(IF(OR(A648="",E648=""),"",C648-E648),"")</f>
        <v/>
      </c>
      <c r="G648" s="37" t="n"/>
      <c r="H648" s="37" t="n"/>
    </row>
    <row r="649">
      <c r="A649" s="26" t="n"/>
      <c r="B649" s="26">
        <f>IFERROR(IF(A649="","",VLOOKUP(A649,DATABASE!A:B,2,0)),"")</f>
        <v/>
      </c>
      <c r="C649" s="30">
        <f>IFERROR(IF(A649="","",VLOOKUP(A649,DATABASE!A:J,10,0)),"")</f>
        <v/>
      </c>
      <c r="D649" s="31">
        <f>IF(A649="","",TODAY())</f>
        <v/>
      </c>
      <c r="E649" s="30" t="n"/>
      <c r="F649" s="30">
        <f>IFERROR(IF(OR(A649="",E649=""),"",C649-E649),"")</f>
        <v/>
      </c>
      <c r="G649" s="26" t="n"/>
      <c r="H649" s="26" t="n"/>
    </row>
    <row r="650">
      <c r="A650" s="37" t="n"/>
      <c r="B650" s="37">
        <f>IFERROR(IF(A650="","",VLOOKUP(A650,DATABASE!A:B,2,0)),"")</f>
        <v/>
      </c>
      <c r="C650" s="38">
        <f>IFERROR(IF(A650="","",VLOOKUP(A650,DATABASE!A:J,10,0)),"")</f>
        <v/>
      </c>
      <c r="D650" s="39">
        <f>IF(A650="","",TODAY())</f>
        <v/>
      </c>
      <c r="E650" s="38" t="n"/>
      <c r="F650" s="38">
        <f>IFERROR(IF(OR(A650="",E650=""),"",C650-E650),"")</f>
        <v/>
      </c>
      <c r="G650" s="37" t="n"/>
      <c r="H650" s="37" t="n"/>
    </row>
    <row r="651">
      <c r="A651" s="26" t="n"/>
      <c r="B651" s="26">
        <f>IFERROR(IF(A651="","",VLOOKUP(A651,DATABASE!A:B,2,0)),"")</f>
        <v/>
      </c>
      <c r="C651" s="30">
        <f>IFERROR(IF(A651="","",VLOOKUP(A651,DATABASE!A:J,10,0)),"")</f>
        <v/>
      </c>
      <c r="D651" s="31">
        <f>IF(A651="","",TODAY())</f>
        <v/>
      </c>
      <c r="E651" s="30" t="n"/>
      <c r="F651" s="30">
        <f>IFERROR(IF(OR(A651="",E651=""),"",C651-E651),"")</f>
        <v/>
      </c>
      <c r="G651" s="26" t="n"/>
      <c r="H651" s="26" t="n"/>
    </row>
    <row r="652">
      <c r="A652" s="37" t="n"/>
      <c r="B652" s="37">
        <f>IFERROR(IF(A652="","",VLOOKUP(A652,DATABASE!A:B,2,0)),"")</f>
        <v/>
      </c>
      <c r="C652" s="38">
        <f>IFERROR(IF(A652="","",VLOOKUP(A652,DATABASE!A:J,10,0)),"")</f>
        <v/>
      </c>
      <c r="D652" s="39">
        <f>IF(A652="","",TODAY())</f>
        <v/>
      </c>
      <c r="E652" s="38" t="n"/>
      <c r="F652" s="38">
        <f>IFERROR(IF(OR(A652="",E652=""),"",C652-E652),"")</f>
        <v/>
      </c>
      <c r="G652" s="37" t="n"/>
      <c r="H652" s="37" t="n"/>
    </row>
    <row r="653">
      <c r="A653" s="26" t="n"/>
      <c r="B653" s="26">
        <f>IFERROR(IF(A653="","",VLOOKUP(A653,DATABASE!A:B,2,0)),"")</f>
        <v/>
      </c>
      <c r="C653" s="30">
        <f>IFERROR(IF(A653="","",VLOOKUP(A653,DATABASE!A:J,10,0)),"")</f>
        <v/>
      </c>
      <c r="D653" s="31">
        <f>IF(A653="","",TODAY())</f>
        <v/>
      </c>
      <c r="E653" s="30" t="n"/>
      <c r="F653" s="30">
        <f>IFERROR(IF(OR(A653="",E653=""),"",C653-E653),"")</f>
        <v/>
      </c>
      <c r="G653" s="26" t="n"/>
      <c r="H653" s="26" t="n"/>
    </row>
    <row r="654">
      <c r="A654" s="37" t="n"/>
      <c r="B654" s="37">
        <f>IFERROR(IF(A654="","",VLOOKUP(A654,DATABASE!A:B,2,0)),"")</f>
        <v/>
      </c>
      <c r="C654" s="38">
        <f>IFERROR(IF(A654="","",VLOOKUP(A654,DATABASE!A:J,10,0)),"")</f>
        <v/>
      </c>
      <c r="D654" s="39">
        <f>IF(A654="","",TODAY())</f>
        <v/>
      </c>
      <c r="E654" s="38" t="n"/>
      <c r="F654" s="38">
        <f>IFERROR(IF(OR(A654="",E654=""),"",C654-E654),"")</f>
        <v/>
      </c>
      <c r="G654" s="37" t="n"/>
      <c r="H654" s="37" t="n"/>
    </row>
    <row r="655">
      <c r="A655" s="26" t="n"/>
      <c r="B655" s="26">
        <f>IFERROR(IF(A655="","",VLOOKUP(A655,DATABASE!A:B,2,0)),"")</f>
        <v/>
      </c>
      <c r="C655" s="30">
        <f>IFERROR(IF(A655="","",VLOOKUP(A655,DATABASE!A:J,10,0)),"")</f>
        <v/>
      </c>
      <c r="D655" s="31">
        <f>IF(A655="","",TODAY())</f>
        <v/>
      </c>
      <c r="E655" s="30" t="n"/>
      <c r="F655" s="30">
        <f>IFERROR(IF(OR(A655="",E655=""),"",C655-E655),"")</f>
        <v/>
      </c>
      <c r="G655" s="26" t="n"/>
      <c r="H655" s="26" t="n"/>
    </row>
    <row r="656">
      <c r="A656" s="37" t="n"/>
      <c r="B656" s="37">
        <f>IFERROR(IF(A656="","",VLOOKUP(A656,DATABASE!A:B,2,0)),"")</f>
        <v/>
      </c>
      <c r="C656" s="38">
        <f>IFERROR(IF(A656="","",VLOOKUP(A656,DATABASE!A:J,10,0)),"")</f>
        <v/>
      </c>
      <c r="D656" s="39">
        <f>IF(A656="","",TODAY())</f>
        <v/>
      </c>
      <c r="E656" s="38" t="n"/>
      <c r="F656" s="38">
        <f>IFERROR(IF(OR(A656="",E656=""),"",C656-E656),"")</f>
        <v/>
      </c>
      <c r="G656" s="37" t="n"/>
      <c r="H656" s="37" t="n"/>
    </row>
    <row r="657">
      <c r="A657" s="26" t="n"/>
      <c r="B657" s="26">
        <f>IFERROR(IF(A657="","",VLOOKUP(A657,DATABASE!A:B,2,0)),"")</f>
        <v/>
      </c>
      <c r="C657" s="30">
        <f>IFERROR(IF(A657="","",VLOOKUP(A657,DATABASE!A:J,10,0)),"")</f>
        <v/>
      </c>
      <c r="D657" s="31">
        <f>IF(A657="","",TODAY())</f>
        <v/>
      </c>
      <c r="E657" s="30" t="n"/>
      <c r="F657" s="30">
        <f>IFERROR(IF(OR(A657="",E657=""),"",C657-E657),"")</f>
        <v/>
      </c>
      <c r="G657" s="26" t="n"/>
      <c r="H657" s="26" t="n"/>
    </row>
    <row r="658">
      <c r="A658" s="37" t="n"/>
      <c r="B658" s="37">
        <f>IFERROR(IF(A658="","",VLOOKUP(A658,DATABASE!A:B,2,0)),"")</f>
        <v/>
      </c>
      <c r="C658" s="38">
        <f>IFERROR(IF(A658="","",VLOOKUP(A658,DATABASE!A:J,10,0)),"")</f>
        <v/>
      </c>
      <c r="D658" s="39">
        <f>IF(A658="","",TODAY())</f>
        <v/>
      </c>
      <c r="E658" s="38" t="n"/>
      <c r="F658" s="38">
        <f>IFERROR(IF(OR(A658="",E658=""),"",C658-E658),"")</f>
        <v/>
      </c>
      <c r="G658" s="37" t="n"/>
      <c r="H658" s="37" t="n"/>
    </row>
    <row r="659">
      <c r="A659" s="26" t="n"/>
      <c r="B659" s="26">
        <f>IFERROR(IF(A659="","",VLOOKUP(A659,DATABASE!A:B,2,0)),"")</f>
        <v/>
      </c>
      <c r="C659" s="30">
        <f>IFERROR(IF(A659="","",VLOOKUP(A659,DATABASE!A:J,10,0)),"")</f>
        <v/>
      </c>
      <c r="D659" s="31">
        <f>IF(A659="","",TODAY())</f>
        <v/>
      </c>
      <c r="E659" s="30" t="n"/>
      <c r="F659" s="30">
        <f>IFERROR(IF(OR(A659="",E659=""),"",C659-E659),"")</f>
        <v/>
      </c>
      <c r="G659" s="26" t="n"/>
      <c r="H659" s="26" t="n"/>
    </row>
    <row r="660">
      <c r="A660" s="37" t="n"/>
      <c r="B660" s="37">
        <f>IFERROR(IF(A660="","",VLOOKUP(A660,DATABASE!A:B,2,0)),"")</f>
        <v/>
      </c>
      <c r="C660" s="38">
        <f>IFERROR(IF(A660="","",VLOOKUP(A660,DATABASE!A:J,10,0)),"")</f>
        <v/>
      </c>
      <c r="D660" s="39">
        <f>IF(A660="","",TODAY())</f>
        <v/>
      </c>
      <c r="E660" s="38" t="n"/>
      <c r="F660" s="38">
        <f>IFERROR(IF(OR(A660="",E660=""),"",C660-E660),"")</f>
        <v/>
      </c>
      <c r="G660" s="37" t="n"/>
      <c r="H660" s="37" t="n"/>
    </row>
    <row r="661">
      <c r="A661" s="26" t="n"/>
      <c r="B661" s="26">
        <f>IFERROR(IF(A661="","",VLOOKUP(A661,DATABASE!A:B,2,0)),"")</f>
        <v/>
      </c>
      <c r="C661" s="30">
        <f>IFERROR(IF(A661="","",VLOOKUP(A661,DATABASE!A:J,10,0)),"")</f>
        <v/>
      </c>
      <c r="D661" s="31">
        <f>IF(A661="","",TODAY())</f>
        <v/>
      </c>
      <c r="E661" s="30" t="n"/>
      <c r="F661" s="30">
        <f>IFERROR(IF(OR(A661="",E661=""),"",C661-E661),"")</f>
        <v/>
      </c>
      <c r="G661" s="26" t="n"/>
      <c r="H661" s="26" t="n"/>
    </row>
    <row r="662">
      <c r="A662" s="37" t="n"/>
      <c r="B662" s="37">
        <f>IFERROR(IF(A662="","",VLOOKUP(A662,DATABASE!A:B,2,0)),"")</f>
        <v/>
      </c>
      <c r="C662" s="38">
        <f>IFERROR(IF(A662="","",VLOOKUP(A662,DATABASE!A:J,10,0)),"")</f>
        <v/>
      </c>
      <c r="D662" s="39">
        <f>IF(A662="","",TODAY())</f>
        <v/>
      </c>
      <c r="E662" s="38" t="n"/>
      <c r="F662" s="38">
        <f>IFERROR(IF(OR(A662="",E662=""),"",C662-E662),"")</f>
        <v/>
      </c>
      <c r="G662" s="37" t="n"/>
      <c r="H662" s="37" t="n"/>
    </row>
    <row r="663">
      <c r="A663" s="26" t="n"/>
      <c r="B663" s="26">
        <f>IFERROR(IF(A663="","",VLOOKUP(A663,DATABASE!A:B,2,0)),"")</f>
        <v/>
      </c>
      <c r="C663" s="30">
        <f>IFERROR(IF(A663="","",VLOOKUP(A663,DATABASE!A:J,10,0)),"")</f>
        <v/>
      </c>
      <c r="D663" s="31">
        <f>IF(A663="","",TODAY())</f>
        <v/>
      </c>
      <c r="E663" s="30" t="n"/>
      <c r="F663" s="30">
        <f>IFERROR(IF(OR(A663="",E663=""),"",C663-E663),"")</f>
        <v/>
      </c>
      <c r="G663" s="26" t="n"/>
      <c r="H663" s="26" t="n"/>
    </row>
    <row r="664">
      <c r="A664" s="37" t="n"/>
      <c r="B664" s="37">
        <f>IFERROR(IF(A664="","",VLOOKUP(A664,DATABASE!A:B,2,0)),"")</f>
        <v/>
      </c>
      <c r="C664" s="38">
        <f>IFERROR(IF(A664="","",VLOOKUP(A664,DATABASE!A:J,10,0)),"")</f>
        <v/>
      </c>
      <c r="D664" s="39">
        <f>IF(A664="","",TODAY())</f>
        <v/>
      </c>
      <c r="E664" s="38" t="n"/>
      <c r="F664" s="38">
        <f>IFERROR(IF(OR(A664="",E664=""),"",C664-E664),"")</f>
        <v/>
      </c>
      <c r="G664" s="37" t="n"/>
      <c r="H664" s="37" t="n"/>
    </row>
    <row r="665">
      <c r="A665" s="26" t="n"/>
      <c r="B665" s="26">
        <f>IFERROR(IF(A665="","",VLOOKUP(A665,DATABASE!A:B,2,0)),"")</f>
        <v/>
      </c>
      <c r="C665" s="30">
        <f>IFERROR(IF(A665="","",VLOOKUP(A665,DATABASE!A:J,10,0)),"")</f>
        <v/>
      </c>
      <c r="D665" s="31">
        <f>IF(A665="","",TODAY())</f>
        <v/>
      </c>
      <c r="E665" s="30" t="n"/>
      <c r="F665" s="30">
        <f>IFERROR(IF(OR(A665="",E665=""),"",C665-E665),"")</f>
        <v/>
      </c>
      <c r="G665" s="26" t="n"/>
      <c r="H665" s="26" t="n"/>
    </row>
    <row r="666">
      <c r="A666" s="37" t="n"/>
      <c r="B666" s="37">
        <f>IFERROR(IF(A666="","",VLOOKUP(A666,DATABASE!A:B,2,0)),"")</f>
        <v/>
      </c>
      <c r="C666" s="38">
        <f>IFERROR(IF(A666="","",VLOOKUP(A666,DATABASE!A:J,10,0)),"")</f>
        <v/>
      </c>
      <c r="D666" s="39">
        <f>IF(A666="","",TODAY())</f>
        <v/>
      </c>
      <c r="E666" s="38" t="n"/>
      <c r="F666" s="38">
        <f>IFERROR(IF(OR(A666="",E666=""),"",C666-E666),"")</f>
        <v/>
      </c>
      <c r="G666" s="37" t="n"/>
      <c r="H666" s="37" t="n"/>
    </row>
    <row r="667">
      <c r="A667" s="26" t="n"/>
      <c r="B667" s="26">
        <f>IFERROR(IF(A667="","",VLOOKUP(A667,DATABASE!A:B,2,0)),"")</f>
        <v/>
      </c>
      <c r="C667" s="30">
        <f>IFERROR(IF(A667="","",VLOOKUP(A667,DATABASE!A:J,10,0)),"")</f>
        <v/>
      </c>
      <c r="D667" s="31">
        <f>IF(A667="","",TODAY())</f>
        <v/>
      </c>
      <c r="E667" s="30" t="n"/>
      <c r="F667" s="30">
        <f>IFERROR(IF(OR(A667="",E667=""),"",C667-E667),"")</f>
        <v/>
      </c>
      <c r="G667" s="26" t="n"/>
      <c r="H667" s="26" t="n"/>
    </row>
    <row r="668">
      <c r="A668" s="37" t="n"/>
      <c r="B668" s="37">
        <f>IFERROR(IF(A668="","",VLOOKUP(A668,DATABASE!A:B,2,0)),"")</f>
        <v/>
      </c>
      <c r="C668" s="38">
        <f>IFERROR(IF(A668="","",VLOOKUP(A668,DATABASE!A:J,10,0)),"")</f>
        <v/>
      </c>
      <c r="D668" s="39">
        <f>IF(A668="","",TODAY())</f>
        <v/>
      </c>
      <c r="E668" s="38" t="n"/>
      <c r="F668" s="38">
        <f>IFERROR(IF(OR(A668="",E668=""),"",C668-E668),"")</f>
        <v/>
      </c>
      <c r="G668" s="37" t="n"/>
      <c r="H668" s="37" t="n"/>
    </row>
    <row r="669">
      <c r="A669" s="26" t="n"/>
      <c r="B669" s="26">
        <f>IFERROR(IF(A669="","",VLOOKUP(A669,DATABASE!A:B,2,0)),"")</f>
        <v/>
      </c>
      <c r="C669" s="30">
        <f>IFERROR(IF(A669="","",VLOOKUP(A669,DATABASE!A:J,10,0)),"")</f>
        <v/>
      </c>
      <c r="D669" s="31">
        <f>IF(A669="","",TODAY())</f>
        <v/>
      </c>
      <c r="E669" s="30" t="n"/>
      <c r="F669" s="30">
        <f>IFERROR(IF(OR(A669="",E669=""),"",C669-E669),"")</f>
        <v/>
      </c>
      <c r="G669" s="26" t="n"/>
      <c r="H669" s="26" t="n"/>
    </row>
    <row r="670">
      <c r="A670" s="37" t="n"/>
      <c r="B670" s="37">
        <f>IFERROR(IF(A670="","",VLOOKUP(A670,DATABASE!A:B,2,0)),"")</f>
        <v/>
      </c>
      <c r="C670" s="38">
        <f>IFERROR(IF(A670="","",VLOOKUP(A670,DATABASE!A:J,10,0)),"")</f>
        <v/>
      </c>
      <c r="D670" s="39">
        <f>IF(A670="","",TODAY())</f>
        <v/>
      </c>
      <c r="E670" s="38" t="n"/>
      <c r="F670" s="38">
        <f>IFERROR(IF(OR(A670="",E670=""),"",C670-E670),"")</f>
        <v/>
      </c>
      <c r="G670" s="37" t="n"/>
      <c r="H670" s="37" t="n"/>
    </row>
    <row r="671">
      <c r="A671" s="26" t="n"/>
      <c r="B671" s="26">
        <f>IFERROR(IF(A671="","",VLOOKUP(A671,DATABASE!A:B,2,0)),"")</f>
        <v/>
      </c>
      <c r="C671" s="30">
        <f>IFERROR(IF(A671="","",VLOOKUP(A671,DATABASE!A:J,10,0)),"")</f>
        <v/>
      </c>
      <c r="D671" s="31">
        <f>IF(A671="","",TODAY())</f>
        <v/>
      </c>
      <c r="E671" s="30" t="n"/>
      <c r="F671" s="30">
        <f>IFERROR(IF(OR(A671="",E671=""),"",C671-E671),"")</f>
        <v/>
      </c>
      <c r="G671" s="26" t="n"/>
      <c r="H671" s="26" t="n"/>
    </row>
    <row r="672">
      <c r="A672" s="37" t="n"/>
      <c r="B672" s="37">
        <f>IFERROR(IF(A672="","",VLOOKUP(A672,DATABASE!A:B,2,0)),"")</f>
        <v/>
      </c>
      <c r="C672" s="38">
        <f>IFERROR(IF(A672="","",VLOOKUP(A672,DATABASE!A:J,10,0)),"")</f>
        <v/>
      </c>
      <c r="D672" s="39">
        <f>IF(A672="","",TODAY())</f>
        <v/>
      </c>
      <c r="E672" s="38" t="n"/>
      <c r="F672" s="38">
        <f>IFERROR(IF(OR(A672="",E672=""),"",C672-E672),"")</f>
        <v/>
      </c>
      <c r="G672" s="37" t="n"/>
      <c r="H672" s="37" t="n"/>
    </row>
    <row r="673">
      <c r="A673" s="26" t="n"/>
      <c r="B673" s="26">
        <f>IFERROR(IF(A673="","",VLOOKUP(A673,DATABASE!A:B,2,0)),"")</f>
        <v/>
      </c>
      <c r="C673" s="30">
        <f>IFERROR(IF(A673="","",VLOOKUP(A673,DATABASE!A:J,10,0)),"")</f>
        <v/>
      </c>
      <c r="D673" s="31">
        <f>IF(A673="","",TODAY())</f>
        <v/>
      </c>
      <c r="E673" s="30" t="n"/>
      <c r="F673" s="30">
        <f>IFERROR(IF(OR(A673="",E673=""),"",C673-E673),"")</f>
        <v/>
      </c>
      <c r="G673" s="26" t="n"/>
      <c r="H673" s="26" t="n"/>
    </row>
    <row r="674">
      <c r="A674" s="37" t="n"/>
      <c r="B674" s="37">
        <f>IFERROR(IF(A674="","",VLOOKUP(A674,DATABASE!A:B,2,0)),"")</f>
        <v/>
      </c>
      <c r="C674" s="38">
        <f>IFERROR(IF(A674="","",VLOOKUP(A674,DATABASE!A:J,10,0)),"")</f>
        <v/>
      </c>
      <c r="D674" s="39">
        <f>IF(A674="","",TODAY())</f>
        <v/>
      </c>
      <c r="E674" s="38" t="n"/>
      <c r="F674" s="38">
        <f>IFERROR(IF(OR(A674="",E674=""),"",C674-E674),"")</f>
        <v/>
      </c>
      <c r="G674" s="37" t="n"/>
      <c r="H674" s="37" t="n"/>
    </row>
    <row r="675">
      <c r="A675" s="26" t="n"/>
      <c r="B675" s="26">
        <f>IFERROR(IF(A675="","",VLOOKUP(A675,DATABASE!A:B,2,0)),"")</f>
        <v/>
      </c>
      <c r="C675" s="30">
        <f>IFERROR(IF(A675="","",VLOOKUP(A675,DATABASE!A:J,10,0)),"")</f>
        <v/>
      </c>
      <c r="D675" s="31">
        <f>IF(A675="","",TODAY())</f>
        <v/>
      </c>
      <c r="E675" s="30" t="n"/>
      <c r="F675" s="30">
        <f>IFERROR(IF(OR(A675="",E675=""),"",C675-E675),"")</f>
        <v/>
      </c>
      <c r="G675" s="26" t="n"/>
      <c r="H675" s="26" t="n"/>
    </row>
    <row r="676">
      <c r="A676" s="37" t="n"/>
      <c r="B676" s="37">
        <f>IFERROR(IF(A676="","",VLOOKUP(A676,DATABASE!A:B,2,0)),"")</f>
        <v/>
      </c>
      <c r="C676" s="38">
        <f>IFERROR(IF(A676="","",VLOOKUP(A676,DATABASE!A:J,10,0)),"")</f>
        <v/>
      </c>
      <c r="D676" s="39">
        <f>IF(A676="","",TODAY())</f>
        <v/>
      </c>
      <c r="E676" s="38" t="n"/>
      <c r="F676" s="38">
        <f>IFERROR(IF(OR(A676="",E676=""),"",C676-E676),"")</f>
        <v/>
      </c>
      <c r="G676" s="37" t="n"/>
      <c r="H676" s="37" t="n"/>
    </row>
    <row r="677">
      <c r="A677" s="26" t="n"/>
      <c r="B677" s="26">
        <f>IFERROR(IF(A677="","",VLOOKUP(A677,DATABASE!A:B,2,0)),"")</f>
        <v/>
      </c>
      <c r="C677" s="30">
        <f>IFERROR(IF(A677="","",VLOOKUP(A677,DATABASE!A:J,10,0)),"")</f>
        <v/>
      </c>
      <c r="D677" s="31">
        <f>IF(A677="","",TODAY())</f>
        <v/>
      </c>
      <c r="E677" s="30" t="n"/>
      <c r="F677" s="30">
        <f>IFERROR(IF(OR(A677="",E677=""),"",C677-E677),"")</f>
        <v/>
      </c>
      <c r="G677" s="26" t="n"/>
      <c r="H677" s="26" t="n"/>
    </row>
    <row r="678">
      <c r="A678" s="37" t="n"/>
      <c r="B678" s="37">
        <f>IFERROR(IF(A678="","",VLOOKUP(A678,DATABASE!A:B,2,0)),"")</f>
        <v/>
      </c>
      <c r="C678" s="38">
        <f>IFERROR(IF(A678="","",VLOOKUP(A678,DATABASE!A:J,10,0)),"")</f>
        <v/>
      </c>
      <c r="D678" s="39">
        <f>IF(A678="","",TODAY())</f>
        <v/>
      </c>
      <c r="E678" s="38" t="n"/>
      <c r="F678" s="38">
        <f>IFERROR(IF(OR(A678="",E678=""),"",C678-E678),"")</f>
        <v/>
      </c>
      <c r="G678" s="37" t="n"/>
      <c r="H678" s="37" t="n"/>
    </row>
    <row r="679">
      <c r="A679" s="26" t="n"/>
      <c r="B679" s="26">
        <f>IFERROR(IF(A679="","",VLOOKUP(A679,DATABASE!A:B,2,0)),"")</f>
        <v/>
      </c>
      <c r="C679" s="30">
        <f>IFERROR(IF(A679="","",VLOOKUP(A679,DATABASE!A:J,10,0)),"")</f>
        <v/>
      </c>
      <c r="D679" s="31">
        <f>IF(A679="","",TODAY())</f>
        <v/>
      </c>
      <c r="E679" s="30" t="n"/>
      <c r="F679" s="30">
        <f>IFERROR(IF(OR(A679="",E679=""),"",C679-E679),"")</f>
        <v/>
      </c>
      <c r="G679" s="26" t="n"/>
      <c r="H679" s="26" t="n"/>
    </row>
    <row r="680">
      <c r="A680" s="37" t="n"/>
      <c r="B680" s="37">
        <f>IFERROR(IF(A680="","",VLOOKUP(A680,DATABASE!A:B,2,0)),"")</f>
        <v/>
      </c>
      <c r="C680" s="38">
        <f>IFERROR(IF(A680="","",VLOOKUP(A680,DATABASE!A:J,10,0)),"")</f>
        <v/>
      </c>
      <c r="D680" s="39">
        <f>IF(A680="","",TODAY())</f>
        <v/>
      </c>
      <c r="E680" s="38" t="n"/>
      <c r="F680" s="38">
        <f>IFERROR(IF(OR(A680="",E680=""),"",C680-E680),"")</f>
        <v/>
      </c>
      <c r="G680" s="37" t="n"/>
      <c r="H680" s="37" t="n"/>
    </row>
    <row r="681">
      <c r="A681" s="26" t="n"/>
      <c r="B681" s="26">
        <f>IFERROR(IF(A681="","",VLOOKUP(A681,DATABASE!A:B,2,0)),"")</f>
        <v/>
      </c>
      <c r="C681" s="30">
        <f>IFERROR(IF(A681="","",VLOOKUP(A681,DATABASE!A:J,10,0)),"")</f>
        <v/>
      </c>
      <c r="D681" s="31">
        <f>IF(A681="","",TODAY())</f>
        <v/>
      </c>
      <c r="E681" s="30" t="n"/>
      <c r="F681" s="30">
        <f>IFERROR(IF(OR(A681="",E681=""),"",C681-E681),"")</f>
        <v/>
      </c>
      <c r="G681" s="26" t="n"/>
      <c r="H681" s="26" t="n"/>
    </row>
    <row r="682">
      <c r="A682" s="37" t="n"/>
      <c r="B682" s="37">
        <f>IFERROR(IF(A682="","",VLOOKUP(A682,DATABASE!A:B,2,0)),"")</f>
        <v/>
      </c>
      <c r="C682" s="38">
        <f>IFERROR(IF(A682="","",VLOOKUP(A682,DATABASE!A:J,10,0)),"")</f>
        <v/>
      </c>
      <c r="D682" s="39">
        <f>IF(A682="","",TODAY())</f>
        <v/>
      </c>
      <c r="E682" s="38" t="n"/>
      <c r="F682" s="38">
        <f>IFERROR(IF(OR(A682="",E682=""),"",C682-E682),"")</f>
        <v/>
      </c>
      <c r="G682" s="37" t="n"/>
      <c r="H682" s="37" t="n"/>
    </row>
    <row r="683">
      <c r="A683" s="26" t="n"/>
      <c r="B683" s="26">
        <f>IFERROR(IF(A683="","",VLOOKUP(A683,DATABASE!A:B,2,0)),"")</f>
        <v/>
      </c>
      <c r="C683" s="30">
        <f>IFERROR(IF(A683="","",VLOOKUP(A683,DATABASE!A:J,10,0)),"")</f>
        <v/>
      </c>
      <c r="D683" s="31">
        <f>IF(A683="","",TODAY())</f>
        <v/>
      </c>
      <c r="E683" s="30" t="n"/>
      <c r="F683" s="30">
        <f>IFERROR(IF(OR(A683="",E683=""),"",C683-E683),"")</f>
        <v/>
      </c>
      <c r="G683" s="26" t="n"/>
      <c r="H683" s="26" t="n"/>
    </row>
    <row r="684">
      <c r="A684" s="37" t="n"/>
      <c r="B684" s="37">
        <f>IFERROR(IF(A684="","",VLOOKUP(A684,DATABASE!A:B,2,0)),"")</f>
        <v/>
      </c>
      <c r="C684" s="38">
        <f>IFERROR(IF(A684="","",VLOOKUP(A684,DATABASE!A:J,10,0)),"")</f>
        <v/>
      </c>
      <c r="D684" s="39">
        <f>IF(A684="","",TODAY())</f>
        <v/>
      </c>
      <c r="E684" s="38" t="n"/>
      <c r="F684" s="38">
        <f>IFERROR(IF(OR(A684="",E684=""),"",C684-E684),"")</f>
        <v/>
      </c>
      <c r="G684" s="37" t="n"/>
      <c r="H684" s="37" t="n"/>
    </row>
    <row r="685">
      <c r="A685" s="26" t="n"/>
      <c r="B685" s="26">
        <f>IFERROR(IF(A685="","",VLOOKUP(A685,DATABASE!A:B,2,0)),"")</f>
        <v/>
      </c>
      <c r="C685" s="30">
        <f>IFERROR(IF(A685="","",VLOOKUP(A685,DATABASE!A:J,10,0)),"")</f>
        <v/>
      </c>
      <c r="D685" s="31">
        <f>IF(A685="","",TODAY())</f>
        <v/>
      </c>
      <c r="E685" s="30" t="n"/>
      <c r="F685" s="30">
        <f>IFERROR(IF(OR(A685="",E685=""),"",C685-E685),"")</f>
        <v/>
      </c>
      <c r="G685" s="26" t="n"/>
      <c r="H685" s="26" t="n"/>
    </row>
    <row r="686">
      <c r="A686" s="37" t="n"/>
      <c r="B686" s="37">
        <f>IFERROR(IF(A686="","",VLOOKUP(A686,DATABASE!A:B,2,0)),"")</f>
        <v/>
      </c>
      <c r="C686" s="38">
        <f>IFERROR(IF(A686="","",VLOOKUP(A686,DATABASE!A:J,10,0)),"")</f>
        <v/>
      </c>
      <c r="D686" s="39">
        <f>IF(A686="","",TODAY())</f>
        <v/>
      </c>
      <c r="E686" s="38" t="n"/>
      <c r="F686" s="38">
        <f>IFERROR(IF(OR(A686="",E686=""),"",C686-E686),"")</f>
        <v/>
      </c>
      <c r="G686" s="37" t="n"/>
      <c r="H686" s="37" t="n"/>
    </row>
    <row r="687">
      <c r="A687" s="26" t="n"/>
      <c r="B687" s="26">
        <f>IFERROR(IF(A687="","",VLOOKUP(A687,DATABASE!A:B,2,0)),"")</f>
        <v/>
      </c>
      <c r="C687" s="30">
        <f>IFERROR(IF(A687="","",VLOOKUP(A687,DATABASE!A:J,10,0)),"")</f>
        <v/>
      </c>
      <c r="D687" s="31">
        <f>IF(A687="","",TODAY())</f>
        <v/>
      </c>
      <c r="E687" s="30" t="n"/>
      <c r="F687" s="30">
        <f>IFERROR(IF(OR(A687="",E687=""),"",C687-E687),"")</f>
        <v/>
      </c>
      <c r="G687" s="26" t="n"/>
      <c r="H687" s="26" t="n"/>
    </row>
    <row r="688">
      <c r="A688" s="37" t="n"/>
      <c r="B688" s="37">
        <f>IFERROR(IF(A688="","",VLOOKUP(A688,DATABASE!A:B,2,0)),"")</f>
        <v/>
      </c>
      <c r="C688" s="38">
        <f>IFERROR(IF(A688="","",VLOOKUP(A688,DATABASE!A:J,10,0)),"")</f>
        <v/>
      </c>
      <c r="D688" s="39">
        <f>IF(A688="","",TODAY())</f>
        <v/>
      </c>
      <c r="E688" s="38" t="n"/>
      <c r="F688" s="38">
        <f>IFERROR(IF(OR(A688="",E688=""),"",C688-E688),"")</f>
        <v/>
      </c>
      <c r="G688" s="37" t="n"/>
      <c r="H688" s="37" t="n"/>
    </row>
    <row r="689">
      <c r="A689" s="26" t="n"/>
      <c r="B689" s="26">
        <f>IFERROR(IF(A689="","",VLOOKUP(A689,DATABASE!A:B,2,0)),"")</f>
        <v/>
      </c>
      <c r="C689" s="30">
        <f>IFERROR(IF(A689="","",VLOOKUP(A689,DATABASE!A:J,10,0)),"")</f>
        <v/>
      </c>
      <c r="D689" s="31">
        <f>IF(A689="","",TODAY())</f>
        <v/>
      </c>
      <c r="E689" s="30" t="n"/>
      <c r="F689" s="30">
        <f>IFERROR(IF(OR(A689="",E689=""),"",C689-E689),"")</f>
        <v/>
      </c>
      <c r="G689" s="26" t="n"/>
      <c r="H689" s="26" t="n"/>
    </row>
    <row r="690">
      <c r="A690" s="37" t="n"/>
      <c r="B690" s="37">
        <f>IFERROR(IF(A690="","",VLOOKUP(A690,DATABASE!A:B,2,0)),"")</f>
        <v/>
      </c>
      <c r="C690" s="38">
        <f>IFERROR(IF(A690="","",VLOOKUP(A690,DATABASE!A:J,10,0)),"")</f>
        <v/>
      </c>
      <c r="D690" s="39">
        <f>IF(A690="","",TODAY())</f>
        <v/>
      </c>
      <c r="E690" s="38" t="n"/>
      <c r="F690" s="38">
        <f>IFERROR(IF(OR(A690="",E690=""),"",C690-E690),"")</f>
        <v/>
      </c>
      <c r="G690" s="37" t="n"/>
      <c r="H690" s="37" t="n"/>
    </row>
    <row r="691">
      <c r="A691" s="26" t="n"/>
      <c r="B691" s="26">
        <f>IFERROR(IF(A691="","",VLOOKUP(A691,DATABASE!A:B,2,0)),"")</f>
        <v/>
      </c>
      <c r="C691" s="30">
        <f>IFERROR(IF(A691="","",VLOOKUP(A691,DATABASE!A:J,10,0)),"")</f>
        <v/>
      </c>
      <c r="D691" s="31">
        <f>IF(A691="","",TODAY())</f>
        <v/>
      </c>
      <c r="E691" s="30" t="n"/>
      <c r="F691" s="30">
        <f>IFERROR(IF(OR(A691="",E691=""),"",C691-E691),"")</f>
        <v/>
      </c>
      <c r="G691" s="26" t="n"/>
      <c r="H691" s="26" t="n"/>
    </row>
    <row r="692">
      <c r="A692" s="37" t="n"/>
      <c r="B692" s="37">
        <f>IFERROR(IF(A692="","",VLOOKUP(A692,DATABASE!A:B,2,0)),"")</f>
        <v/>
      </c>
      <c r="C692" s="38">
        <f>IFERROR(IF(A692="","",VLOOKUP(A692,DATABASE!A:J,10,0)),"")</f>
        <v/>
      </c>
      <c r="D692" s="39">
        <f>IF(A692="","",TODAY())</f>
        <v/>
      </c>
      <c r="E692" s="38" t="n"/>
      <c r="F692" s="38">
        <f>IFERROR(IF(OR(A692="",E692=""),"",C692-E692),"")</f>
        <v/>
      </c>
      <c r="G692" s="37" t="n"/>
      <c r="H692" s="37" t="n"/>
    </row>
    <row r="693">
      <c r="A693" s="26" t="n"/>
      <c r="B693" s="26">
        <f>IFERROR(IF(A693="","",VLOOKUP(A693,DATABASE!A:B,2,0)),"")</f>
        <v/>
      </c>
      <c r="C693" s="30">
        <f>IFERROR(IF(A693="","",VLOOKUP(A693,DATABASE!A:J,10,0)),"")</f>
        <v/>
      </c>
      <c r="D693" s="31">
        <f>IF(A693="","",TODAY())</f>
        <v/>
      </c>
      <c r="E693" s="30" t="n"/>
      <c r="F693" s="30">
        <f>IFERROR(IF(OR(A693="",E693=""),"",C693-E693),"")</f>
        <v/>
      </c>
      <c r="G693" s="26" t="n"/>
      <c r="H693" s="26" t="n"/>
    </row>
    <row r="694">
      <c r="A694" s="37" t="n"/>
      <c r="B694" s="37">
        <f>IFERROR(IF(A694="","",VLOOKUP(A694,DATABASE!A:B,2,0)),"")</f>
        <v/>
      </c>
      <c r="C694" s="38">
        <f>IFERROR(IF(A694="","",VLOOKUP(A694,DATABASE!A:J,10,0)),"")</f>
        <v/>
      </c>
      <c r="D694" s="39">
        <f>IF(A694="","",TODAY())</f>
        <v/>
      </c>
      <c r="E694" s="38" t="n"/>
      <c r="F694" s="38">
        <f>IFERROR(IF(OR(A694="",E694=""),"",C694-E694),"")</f>
        <v/>
      </c>
      <c r="G694" s="37" t="n"/>
      <c r="H694" s="37" t="n"/>
    </row>
    <row r="695">
      <c r="A695" s="26" t="n"/>
      <c r="B695" s="26">
        <f>IFERROR(IF(A695="","",VLOOKUP(A695,DATABASE!A:B,2,0)),"")</f>
        <v/>
      </c>
      <c r="C695" s="30">
        <f>IFERROR(IF(A695="","",VLOOKUP(A695,DATABASE!A:J,10,0)),"")</f>
        <v/>
      </c>
      <c r="D695" s="31">
        <f>IF(A695="","",TODAY())</f>
        <v/>
      </c>
      <c r="E695" s="30" t="n"/>
      <c r="F695" s="30">
        <f>IFERROR(IF(OR(A695="",E695=""),"",C695-E695),"")</f>
        <v/>
      </c>
      <c r="G695" s="26" t="n"/>
      <c r="H695" s="26" t="n"/>
    </row>
    <row r="696">
      <c r="A696" s="37" t="n"/>
      <c r="B696" s="37">
        <f>IFERROR(IF(A696="","",VLOOKUP(A696,DATABASE!A:B,2,0)),"")</f>
        <v/>
      </c>
      <c r="C696" s="38">
        <f>IFERROR(IF(A696="","",VLOOKUP(A696,DATABASE!A:J,10,0)),"")</f>
        <v/>
      </c>
      <c r="D696" s="39">
        <f>IF(A696="","",TODAY())</f>
        <v/>
      </c>
      <c r="E696" s="38" t="n"/>
      <c r="F696" s="38">
        <f>IFERROR(IF(OR(A696="",E696=""),"",C696-E696),"")</f>
        <v/>
      </c>
      <c r="G696" s="37" t="n"/>
      <c r="H696" s="37" t="n"/>
    </row>
    <row r="697">
      <c r="A697" s="26" t="n"/>
      <c r="B697" s="26">
        <f>IFERROR(IF(A697="","",VLOOKUP(A697,DATABASE!A:B,2,0)),"")</f>
        <v/>
      </c>
      <c r="C697" s="30">
        <f>IFERROR(IF(A697="","",VLOOKUP(A697,DATABASE!A:J,10,0)),"")</f>
        <v/>
      </c>
      <c r="D697" s="31">
        <f>IF(A697="","",TODAY())</f>
        <v/>
      </c>
      <c r="E697" s="30" t="n"/>
      <c r="F697" s="30">
        <f>IFERROR(IF(OR(A697="",E697=""),"",C697-E697),"")</f>
        <v/>
      </c>
      <c r="G697" s="26" t="n"/>
      <c r="H697" s="26" t="n"/>
    </row>
    <row r="698">
      <c r="A698" s="37" t="n"/>
      <c r="B698" s="37">
        <f>IFERROR(IF(A698="","",VLOOKUP(A698,DATABASE!A:B,2,0)),"")</f>
        <v/>
      </c>
      <c r="C698" s="38">
        <f>IFERROR(IF(A698="","",VLOOKUP(A698,DATABASE!A:J,10,0)),"")</f>
        <v/>
      </c>
      <c r="D698" s="39">
        <f>IF(A698="","",TODAY())</f>
        <v/>
      </c>
      <c r="E698" s="38" t="n"/>
      <c r="F698" s="38">
        <f>IFERROR(IF(OR(A698="",E698=""),"",C698-E698),"")</f>
        <v/>
      </c>
      <c r="G698" s="37" t="n"/>
      <c r="H698" s="37" t="n"/>
    </row>
    <row r="699">
      <c r="A699" s="26" t="n"/>
      <c r="B699" s="26">
        <f>IFERROR(IF(A699="","",VLOOKUP(A699,DATABASE!A:B,2,0)),"")</f>
        <v/>
      </c>
      <c r="C699" s="30">
        <f>IFERROR(IF(A699="","",VLOOKUP(A699,DATABASE!A:J,10,0)),"")</f>
        <v/>
      </c>
      <c r="D699" s="31">
        <f>IF(A699="","",TODAY())</f>
        <v/>
      </c>
      <c r="E699" s="30" t="n"/>
      <c r="F699" s="30">
        <f>IFERROR(IF(OR(A699="",E699=""),"",C699-E699),"")</f>
        <v/>
      </c>
      <c r="G699" s="26" t="n"/>
      <c r="H699" s="26" t="n"/>
    </row>
    <row r="700">
      <c r="A700" s="37" t="n"/>
      <c r="B700" s="37">
        <f>IFERROR(IF(A700="","",VLOOKUP(A700,DATABASE!A:B,2,0)),"")</f>
        <v/>
      </c>
      <c r="C700" s="38">
        <f>IFERROR(IF(A700="","",VLOOKUP(A700,DATABASE!A:J,10,0)),"")</f>
        <v/>
      </c>
      <c r="D700" s="39">
        <f>IF(A700="","",TODAY())</f>
        <v/>
      </c>
      <c r="E700" s="38" t="n"/>
      <c r="F700" s="38">
        <f>IFERROR(IF(OR(A700="",E700=""),"",C700-E700),"")</f>
        <v/>
      </c>
      <c r="G700" s="37" t="n"/>
      <c r="H700" s="37" t="n"/>
    </row>
    <row r="701">
      <c r="A701" s="26" t="n"/>
      <c r="B701" s="26">
        <f>IFERROR(IF(A701="","",VLOOKUP(A701,DATABASE!A:B,2,0)),"")</f>
        <v/>
      </c>
      <c r="C701" s="30">
        <f>IFERROR(IF(A701="","",VLOOKUP(A701,DATABASE!A:J,10,0)),"")</f>
        <v/>
      </c>
      <c r="D701" s="31">
        <f>IF(A701="","",TODAY())</f>
        <v/>
      </c>
      <c r="E701" s="30" t="n"/>
      <c r="F701" s="30">
        <f>IFERROR(IF(OR(A701="",E701=""),"",C701-E701),"")</f>
        <v/>
      </c>
      <c r="G701" s="26" t="n"/>
      <c r="H701" s="26" t="n"/>
    </row>
    <row r="702">
      <c r="A702" s="37" t="n"/>
      <c r="B702" s="37">
        <f>IFERROR(IF(A702="","",VLOOKUP(A702,DATABASE!A:B,2,0)),"")</f>
        <v/>
      </c>
      <c r="C702" s="38">
        <f>IFERROR(IF(A702="","",VLOOKUP(A702,DATABASE!A:J,10,0)),"")</f>
        <v/>
      </c>
      <c r="D702" s="39">
        <f>IF(A702="","",TODAY())</f>
        <v/>
      </c>
      <c r="E702" s="38" t="n"/>
      <c r="F702" s="38">
        <f>IFERROR(IF(OR(A702="",E702=""),"",C702-E702),"")</f>
        <v/>
      </c>
      <c r="G702" s="37" t="n"/>
      <c r="H702" s="37" t="n"/>
    </row>
    <row r="703">
      <c r="A703" s="26" t="n"/>
      <c r="B703" s="26">
        <f>IFERROR(IF(A703="","",VLOOKUP(A703,DATABASE!A:B,2,0)),"")</f>
        <v/>
      </c>
      <c r="C703" s="30">
        <f>IFERROR(IF(A703="","",VLOOKUP(A703,DATABASE!A:J,10,0)),"")</f>
        <v/>
      </c>
      <c r="D703" s="31">
        <f>IF(A703="","",TODAY())</f>
        <v/>
      </c>
      <c r="E703" s="30" t="n"/>
      <c r="F703" s="30">
        <f>IFERROR(IF(OR(A703="",E703=""),"",C703-E703),"")</f>
        <v/>
      </c>
      <c r="G703" s="26" t="n"/>
      <c r="H703" s="26" t="n"/>
    </row>
    <row r="704">
      <c r="A704" s="37" t="n"/>
      <c r="B704" s="37">
        <f>IFERROR(IF(A704="","",VLOOKUP(A704,DATABASE!A:B,2,0)),"")</f>
        <v/>
      </c>
      <c r="C704" s="38">
        <f>IFERROR(IF(A704="","",VLOOKUP(A704,DATABASE!A:J,10,0)),"")</f>
        <v/>
      </c>
      <c r="D704" s="39">
        <f>IF(A704="","",TODAY())</f>
        <v/>
      </c>
      <c r="E704" s="38" t="n"/>
      <c r="F704" s="38">
        <f>IFERROR(IF(OR(A704="",E704=""),"",C704-E704),"")</f>
        <v/>
      </c>
      <c r="G704" s="37" t="n"/>
      <c r="H704" s="37" t="n"/>
    </row>
    <row r="705">
      <c r="A705" s="26" t="n"/>
      <c r="B705" s="26">
        <f>IFERROR(IF(A705="","",VLOOKUP(A705,DATABASE!A:B,2,0)),"")</f>
        <v/>
      </c>
      <c r="C705" s="30">
        <f>IFERROR(IF(A705="","",VLOOKUP(A705,DATABASE!A:J,10,0)),"")</f>
        <v/>
      </c>
      <c r="D705" s="31">
        <f>IF(A705="","",TODAY())</f>
        <v/>
      </c>
      <c r="E705" s="30" t="n"/>
      <c r="F705" s="30">
        <f>IFERROR(IF(OR(A705="",E705=""),"",C705-E705),"")</f>
        <v/>
      </c>
      <c r="G705" s="26" t="n"/>
      <c r="H705" s="26" t="n"/>
    </row>
    <row r="706">
      <c r="A706" s="37" t="n"/>
      <c r="B706" s="37">
        <f>IFERROR(IF(A706="","",VLOOKUP(A706,DATABASE!A:B,2,0)),"")</f>
        <v/>
      </c>
      <c r="C706" s="38">
        <f>IFERROR(IF(A706="","",VLOOKUP(A706,DATABASE!A:J,10,0)),"")</f>
        <v/>
      </c>
      <c r="D706" s="39">
        <f>IF(A706="","",TODAY())</f>
        <v/>
      </c>
      <c r="E706" s="38" t="n"/>
      <c r="F706" s="38">
        <f>IFERROR(IF(OR(A706="",E706=""),"",C706-E706),"")</f>
        <v/>
      </c>
      <c r="G706" s="37" t="n"/>
      <c r="H706" s="37" t="n"/>
    </row>
    <row r="707">
      <c r="A707" s="26" t="n"/>
      <c r="B707" s="26">
        <f>IFERROR(IF(A707="","",VLOOKUP(A707,DATABASE!A:B,2,0)),"")</f>
        <v/>
      </c>
      <c r="C707" s="30">
        <f>IFERROR(IF(A707="","",VLOOKUP(A707,DATABASE!A:J,10,0)),"")</f>
        <v/>
      </c>
      <c r="D707" s="31">
        <f>IF(A707="","",TODAY())</f>
        <v/>
      </c>
      <c r="E707" s="30" t="n"/>
      <c r="F707" s="30">
        <f>IFERROR(IF(OR(A707="",E707=""),"",C707-E707),"")</f>
        <v/>
      </c>
      <c r="G707" s="26" t="n"/>
      <c r="H707" s="26" t="n"/>
    </row>
    <row r="708">
      <c r="A708" s="37" t="n"/>
      <c r="B708" s="37">
        <f>IFERROR(IF(A708="","",VLOOKUP(A708,DATABASE!A:B,2,0)),"")</f>
        <v/>
      </c>
      <c r="C708" s="38">
        <f>IFERROR(IF(A708="","",VLOOKUP(A708,DATABASE!A:J,10,0)),"")</f>
        <v/>
      </c>
      <c r="D708" s="39">
        <f>IF(A708="","",TODAY())</f>
        <v/>
      </c>
      <c r="E708" s="38" t="n"/>
      <c r="F708" s="38">
        <f>IFERROR(IF(OR(A708="",E708=""),"",C708-E708),"")</f>
        <v/>
      </c>
      <c r="G708" s="37" t="n"/>
      <c r="H708" s="37" t="n"/>
    </row>
    <row r="709">
      <c r="A709" s="26" t="n"/>
      <c r="B709" s="26">
        <f>IFERROR(IF(A709="","",VLOOKUP(A709,DATABASE!A:B,2,0)),"")</f>
        <v/>
      </c>
      <c r="C709" s="30">
        <f>IFERROR(IF(A709="","",VLOOKUP(A709,DATABASE!A:J,10,0)),"")</f>
        <v/>
      </c>
      <c r="D709" s="31">
        <f>IF(A709="","",TODAY())</f>
        <v/>
      </c>
      <c r="E709" s="30" t="n"/>
      <c r="F709" s="30">
        <f>IFERROR(IF(OR(A709="",E709=""),"",C709-E709),"")</f>
        <v/>
      </c>
      <c r="G709" s="26" t="n"/>
      <c r="H709" s="26" t="n"/>
    </row>
    <row r="710">
      <c r="A710" s="37" t="n"/>
      <c r="B710" s="37">
        <f>IFERROR(IF(A710="","",VLOOKUP(A710,DATABASE!A:B,2,0)),"")</f>
        <v/>
      </c>
      <c r="C710" s="38">
        <f>IFERROR(IF(A710="","",VLOOKUP(A710,DATABASE!A:J,10,0)),"")</f>
        <v/>
      </c>
      <c r="D710" s="39">
        <f>IF(A710="","",TODAY())</f>
        <v/>
      </c>
      <c r="E710" s="38" t="n"/>
      <c r="F710" s="38">
        <f>IFERROR(IF(OR(A710="",E710=""),"",C710-E710),"")</f>
        <v/>
      </c>
      <c r="G710" s="37" t="n"/>
      <c r="H710" s="37" t="n"/>
    </row>
    <row r="711">
      <c r="A711" s="26" t="n"/>
      <c r="B711" s="26">
        <f>IFERROR(IF(A711="","",VLOOKUP(A711,DATABASE!A:B,2,0)),"")</f>
        <v/>
      </c>
      <c r="C711" s="30">
        <f>IFERROR(IF(A711="","",VLOOKUP(A711,DATABASE!A:J,10,0)),"")</f>
        <v/>
      </c>
      <c r="D711" s="31">
        <f>IF(A711="","",TODAY())</f>
        <v/>
      </c>
      <c r="E711" s="30" t="n"/>
      <c r="F711" s="30">
        <f>IFERROR(IF(OR(A711="",E711=""),"",C711-E711),"")</f>
        <v/>
      </c>
      <c r="G711" s="26" t="n"/>
      <c r="H711" s="26" t="n"/>
    </row>
    <row r="712">
      <c r="A712" s="37" t="n"/>
      <c r="B712" s="37">
        <f>IFERROR(IF(A712="","",VLOOKUP(A712,DATABASE!A:B,2,0)),"")</f>
        <v/>
      </c>
      <c r="C712" s="38">
        <f>IFERROR(IF(A712="","",VLOOKUP(A712,DATABASE!A:J,10,0)),"")</f>
        <v/>
      </c>
      <c r="D712" s="39">
        <f>IF(A712="","",TODAY())</f>
        <v/>
      </c>
      <c r="E712" s="38" t="n"/>
      <c r="F712" s="38">
        <f>IFERROR(IF(OR(A712="",E712=""),"",C712-E712),"")</f>
        <v/>
      </c>
      <c r="G712" s="37" t="n"/>
      <c r="H712" s="37" t="n"/>
    </row>
    <row r="713">
      <c r="A713" s="26" t="n"/>
      <c r="B713" s="26">
        <f>IFERROR(IF(A713="","",VLOOKUP(A713,DATABASE!A:B,2,0)),"")</f>
        <v/>
      </c>
      <c r="C713" s="30">
        <f>IFERROR(IF(A713="","",VLOOKUP(A713,DATABASE!A:J,10,0)),"")</f>
        <v/>
      </c>
      <c r="D713" s="31">
        <f>IF(A713="","",TODAY())</f>
        <v/>
      </c>
      <c r="E713" s="30" t="n"/>
      <c r="F713" s="30">
        <f>IFERROR(IF(OR(A713="",E713=""),"",C713-E713),"")</f>
        <v/>
      </c>
      <c r="G713" s="26" t="n"/>
      <c r="H713" s="26" t="n"/>
    </row>
    <row r="714">
      <c r="A714" s="37" t="n"/>
      <c r="B714" s="37">
        <f>IFERROR(IF(A714="","",VLOOKUP(A714,DATABASE!A:B,2,0)),"")</f>
        <v/>
      </c>
      <c r="C714" s="38">
        <f>IFERROR(IF(A714="","",VLOOKUP(A714,DATABASE!A:J,10,0)),"")</f>
        <v/>
      </c>
      <c r="D714" s="39">
        <f>IF(A714="","",TODAY())</f>
        <v/>
      </c>
      <c r="E714" s="38" t="n"/>
      <c r="F714" s="38">
        <f>IFERROR(IF(OR(A714="",E714=""),"",C714-E714),"")</f>
        <v/>
      </c>
      <c r="G714" s="37" t="n"/>
      <c r="H714" s="37" t="n"/>
    </row>
    <row r="715">
      <c r="A715" s="26" t="n"/>
      <c r="B715" s="26">
        <f>IFERROR(IF(A715="","",VLOOKUP(A715,DATABASE!A:B,2,0)),"")</f>
        <v/>
      </c>
      <c r="C715" s="30">
        <f>IFERROR(IF(A715="","",VLOOKUP(A715,DATABASE!A:J,10,0)),"")</f>
        <v/>
      </c>
      <c r="D715" s="31">
        <f>IF(A715="","",TODAY())</f>
        <v/>
      </c>
      <c r="E715" s="30" t="n"/>
      <c r="F715" s="30">
        <f>IFERROR(IF(OR(A715="",E715=""),"",C715-E715),"")</f>
        <v/>
      </c>
      <c r="G715" s="26" t="n"/>
      <c r="H715" s="26" t="n"/>
    </row>
    <row r="716">
      <c r="A716" s="37" t="n"/>
      <c r="B716" s="37">
        <f>IFERROR(IF(A716="","",VLOOKUP(A716,DATABASE!A:B,2,0)),"")</f>
        <v/>
      </c>
      <c r="C716" s="38">
        <f>IFERROR(IF(A716="","",VLOOKUP(A716,DATABASE!A:J,10,0)),"")</f>
        <v/>
      </c>
      <c r="D716" s="39">
        <f>IF(A716="","",TODAY())</f>
        <v/>
      </c>
      <c r="E716" s="38" t="n"/>
      <c r="F716" s="38">
        <f>IFERROR(IF(OR(A716="",E716=""),"",C716-E716),"")</f>
        <v/>
      </c>
      <c r="G716" s="37" t="n"/>
      <c r="H716" s="37" t="n"/>
    </row>
    <row r="717">
      <c r="A717" s="26" t="n"/>
      <c r="B717" s="26">
        <f>IFERROR(IF(A717="","",VLOOKUP(A717,DATABASE!A:B,2,0)),"")</f>
        <v/>
      </c>
      <c r="C717" s="30">
        <f>IFERROR(IF(A717="","",VLOOKUP(A717,DATABASE!A:J,10,0)),"")</f>
        <v/>
      </c>
      <c r="D717" s="31">
        <f>IF(A717="","",TODAY())</f>
        <v/>
      </c>
      <c r="E717" s="30" t="n"/>
      <c r="F717" s="30">
        <f>IFERROR(IF(OR(A717="",E717=""),"",C717-E717),"")</f>
        <v/>
      </c>
      <c r="G717" s="26" t="n"/>
      <c r="H717" s="26" t="n"/>
    </row>
    <row r="718">
      <c r="A718" s="37" t="n"/>
      <c r="B718" s="37">
        <f>IFERROR(IF(A718="","",VLOOKUP(A718,DATABASE!A:B,2,0)),"")</f>
        <v/>
      </c>
      <c r="C718" s="38">
        <f>IFERROR(IF(A718="","",VLOOKUP(A718,DATABASE!A:J,10,0)),"")</f>
        <v/>
      </c>
      <c r="D718" s="39">
        <f>IF(A718="","",TODAY())</f>
        <v/>
      </c>
      <c r="E718" s="38" t="n"/>
      <c r="F718" s="38">
        <f>IFERROR(IF(OR(A718="",E718=""),"",C718-E718),"")</f>
        <v/>
      </c>
      <c r="G718" s="37" t="n"/>
      <c r="H718" s="37" t="n"/>
    </row>
    <row r="719">
      <c r="A719" s="26" t="n"/>
      <c r="B719" s="26">
        <f>IFERROR(IF(A719="","",VLOOKUP(A719,DATABASE!A:B,2,0)),"")</f>
        <v/>
      </c>
      <c r="C719" s="30">
        <f>IFERROR(IF(A719="","",VLOOKUP(A719,DATABASE!A:J,10,0)),"")</f>
        <v/>
      </c>
      <c r="D719" s="31">
        <f>IF(A719="","",TODAY())</f>
        <v/>
      </c>
      <c r="E719" s="30" t="n"/>
      <c r="F719" s="30">
        <f>IFERROR(IF(OR(A719="",E719=""),"",C719-E719),"")</f>
        <v/>
      </c>
      <c r="G719" s="26" t="n"/>
      <c r="H719" s="26" t="n"/>
    </row>
    <row r="720">
      <c r="A720" s="37" t="n"/>
      <c r="B720" s="37">
        <f>IFERROR(IF(A720="","",VLOOKUP(A720,DATABASE!A:B,2,0)),"")</f>
        <v/>
      </c>
      <c r="C720" s="38">
        <f>IFERROR(IF(A720="","",VLOOKUP(A720,DATABASE!A:J,10,0)),"")</f>
        <v/>
      </c>
      <c r="D720" s="39">
        <f>IF(A720="","",TODAY())</f>
        <v/>
      </c>
      <c r="E720" s="38" t="n"/>
      <c r="F720" s="38">
        <f>IFERROR(IF(OR(A720="",E720=""),"",C720-E720),"")</f>
        <v/>
      </c>
      <c r="G720" s="37" t="n"/>
      <c r="H720" s="37" t="n"/>
    </row>
    <row r="721">
      <c r="A721" s="26" t="n"/>
      <c r="B721" s="26">
        <f>IFERROR(IF(A721="","",VLOOKUP(A721,DATABASE!A:B,2,0)),"")</f>
        <v/>
      </c>
      <c r="C721" s="30">
        <f>IFERROR(IF(A721="","",VLOOKUP(A721,DATABASE!A:J,10,0)),"")</f>
        <v/>
      </c>
      <c r="D721" s="31">
        <f>IF(A721="","",TODAY())</f>
        <v/>
      </c>
      <c r="E721" s="30" t="n"/>
      <c r="F721" s="30">
        <f>IFERROR(IF(OR(A721="",E721=""),"",C721-E721),"")</f>
        <v/>
      </c>
      <c r="G721" s="26" t="n"/>
      <c r="H721" s="26" t="n"/>
    </row>
    <row r="722">
      <c r="A722" s="37" t="n"/>
      <c r="B722" s="37">
        <f>IFERROR(IF(A722="","",VLOOKUP(A722,DATABASE!A:B,2,0)),"")</f>
        <v/>
      </c>
      <c r="C722" s="38">
        <f>IFERROR(IF(A722="","",VLOOKUP(A722,DATABASE!A:J,10,0)),"")</f>
        <v/>
      </c>
      <c r="D722" s="39">
        <f>IF(A722="","",TODAY())</f>
        <v/>
      </c>
      <c r="E722" s="38" t="n"/>
      <c r="F722" s="38">
        <f>IFERROR(IF(OR(A722="",E722=""),"",C722-E722),"")</f>
        <v/>
      </c>
      <c r="G722" s="37" t="n"/>
      <c r="H722" s="37" t="n"/>
    </row>
    <row r="723">
      <c r="A723" s="26" t="n"/>
      <c r="B723" s="26">
        <f>IFERROR(IF(A723="","",VLOOKUP(A723,DATABASE!A:B,2,0)),"")</f>
        <v/>
      </c>
      <c r="C723" s="30">
        <f>IFERROR(IF(A723="","",VLOOKUP(A723,DATABASE!A:J,10,0)),"")</f>
        <v/>
      </c>
      <c r="D723" s="31">
        <f>IF(A723="","",TODAY())</f>
        <v/>
      </c>
      <c r="E723" s="30" t="n"/>
      <c r="F723" s="30">
        <f>IFERROR(IF(OR(A723="",E723=""),"",C723-E723),"")</f>
        <v/>
      </c>
      <c r="G723" s="26" t="n"/>
      <c r="H723" s="26" t="n"/>
    </row>
    <row r="724">
      <c r="A724" s="37" t="n"/>
      <c r="B724" s="37">
        <f>IFERROR(IF(A724="","",VLOOKUP(A724,DATABASE!A:B,2,0)),"")</f>
        <v/>
      </c>
      <c r="C724" s="38">
        <f>IFERROR(IF(A724="","",VLOOKUP(A724,DATABASE!A:J,10,0)),"")</f>
        <v/>
      </c>
      <c r="D724" s="39">
        <f>IF(A724="","",TODAY())</f>
        <v/>
      </c>
      <c r="E724" s="38" t="n"/>
      <c r="F724" s="38">
        <f>IFERROR(IF(OR(A724="",E724=""),"",C724-E724),"")</f>
        <v/>
      </c>
      <c r="G724" s="37" t="n"/>
      <c r="H724" s="37" t="n"/>
    </row>
    <row r="725">
      <c r="A725" s="26" t="n"/>
      <c r="B725" s="26">
        <f>IFERROR(IF(A725="","",VLOOKUP(A725,DATABASE!A:B,2,0)),"")</f>
        <v/>
      </c>
      <c r="C725" s="30">
        <f>IFERROR(IF(A725="","",VLOOKUP(A725,DATABASE!A:J,10,0)),"")</f>
        <v/>
      </c>
      <c r="D725" s="31">
        <f>IF(A725="","",TODAY())</f>
        <v/>
      </c>
      <c r="E725" s="30" t="n"/>
      <c r="F725" s="30">
        <f>IFERROR(IF(OR(A725="",E725=""),"",C725-E725),"")</f>
        <v/>
      </c>
      <c r="G725" s="26" t="n"/>
      <c r="H725" s="26" t="n"/>
    </row>
    <row r="726">
      <c r="A726" s="37" t="n"/>
      <c r="B726" s="37">
        <f>IFERROR(IF(A726="","",VLOOKUP(A726,DATABASE!A:B,2,0)),"")</f>
        <v/>
      </c>
      <c r="C726" s="38">
        <f>IFERROR(IF(A726="","",VLOOKUP(A726,DATABASE!A:J,10,0)),"")</f>
        <v/>
      </c>
      <c r="D726" s="39">
        <f>IF(A726="","",TODAY())</f>
        <v/>
      </c>
      <c r="E726" s="38" t="n"/>
      <c r="F726" s="38">
        <f>IFERROR(IF(OR(A726="",E726=""),"",C726-E726),"")</f>
        <v/>
      </c>
      <c r="G726" s="37" t="n"/>
      <c r="H726" s="37" t="n"/>
    </row>
    <row r="727">
      <c r="A727" s="26" t="n"/>
      <c r="B727" s="26">
        <f>IFERROR(IF(A727="","",VLOOKUP(A727,DATABASE!A:B,2,0)),"")</f>
        <v/>
      </c>
      <c r="C727" s="30">
        <f>IFERROR(IF(A727="","",VLOOKUP(A727,DATABASE!A:J,10,0)),"")</f>
        <v/>
      </c>
      <c r="D727" s="31">
        <f>IF(A727="","",TODAY())</f>
        <v/>
      </c>
      <c r="E727" s="30" t="n"/>
      <c r="F727" s="30">
        <f>IFERROR(IF(OR(A727="",E727=""),"",C727-E727),"")</f>
        <v/>
      </c>
      <c r="G727" s="26" t="n"/>
      <c r="H727" s="26" t="n"/>
    </row>
    <row r="728">
      <c r="A728" s="37" t="n"/>
      <c r="B728" s="37">
        <f>IFERROR(IF(A728="","",VLOOKUP(A728,DATABASE!A:B,2,0)),"")</f>
        <v/>
      </c>
      <c r="C728" s="38">
        <f>IFERROR(IF(A728="","",VLOOKUP(A728,DATABASE!A:J,10,0)),"")</f>
        <v/>
      </c>
      <c r="D728" s="39">
        <f>IF(A728="","",TODAY())</f>
        <v/>
      </c>
      <c r="E728" s="38" t="n"/>
      <c r="F728" s="38">
        <f>IFERROR(IF(OR(A728="",E728=""),"",C728-E728),"")</f>
        <v/>
      </c>
      <c r="G728" s="37" t="n"/>
      <c r="H728" s="37" t="n"/>
    </row>
    <row r="729">
      <c r="A729" s="26" t="n"/>
      <c r="B729" s="26">
        <f>IFERROR(IF(A729="","",VLOOKUP(A729,DATABASE!A:B,2,0)),"")</f>
        <v/>
      </c>
      <c r="C729" s="30">
        <f>IFERROR(IF(A729="","",VLOOKUP(A729,DATABASE!A:J,10,0)),"")</f>
        <v/>
      </c>
      <c r="D729" s="31">
        <f>IF(A729="","",TODAY())</f>
        <v/>
      </c>
      <c r="E729" s="30" t="n"/>
      <c r="F729" s="30">
        <f>IFERROR(IF(OR(A729="",E729=""),"",C729-E729),"")</f>
        <v/>
      </c>
      <c r="G729" s="26" t="n"/>
      <c r="H729" s="26" t="n"/>
    </row>
    <row r="730">
      <c r="A730" s="37" t="n"/>
      <c r="B730" s="37">
        <f>IFERROR(IF(A730="","",VLOOKUP(A730,DATABASE!A:B,2,0)),"")</f>
        <v/>
      </c>
      <c r="C730" s="38">
        <f>IFERROR(IF(A730="","",VLOOKUP(A730,DATABASE!A:J,10,0)),"")</f>
        <v/>
      </c>
      <c r="D730" s="39">
        <f>IF(A730="","",TODAY())</f>
        <v/>
      </c>
      <c r="E730" s="38" t="n"/>
      <c r="F730" s="38">
        <f>IFERROR(IF(OR(A730="",E730=""),"",C730-E730),"")</f>
        <v/>
      </c>
      <c r="G730" s="37" t="n"/>
      <c r="H730" s="37" t="n"/>
    </row>
    <row r="731">
      <c r="A731" s="26" t="n"/>
      <c r="B731" s="26">
        <f>IFERROR(IF(A731="","",VLOOKUP(A731,DATABASE!A:B,2,0)),"")</f>
        <v/>
      </c>
      <c r="C731" s="30">
        <f>IFERROR(IF(A731="","",VLOOKUP(A731,DATABASE!A:J,10,0)),"")</f>
        <v/>
      </c>
      <c r="D731" s="31">
        <f>IF(A731="","",TODAY())</f>
        <v/>
      </c>
      <c r="E731" s="30" t="n"/>
      <c r="F731" s="30">
        <f>IFERROR(IF(OR(A731="",E731=""),"",C731-E731),"")</f>
        <v/>
      </c>
      <c r="G731" s="26" t="n"/>
      <c r="H731" s="26" t="n"/>
    </row>
    <row r="732">
      <c r="A732" s="37" t="n"/>
      <c r="B732" s="37">
        <f>IFERROR(IF(A732="","",VLOOKUP(A732,DATABASE!A:B,2,0)),"")</f>
        <v/>
      </c>
      <c r="C732" s="38">
        <f>IFERROR(IF(A732="","",VLOOKUP(A732,DATABASE!A:J,10,0)),"")</f>
        <v/>
      </c>
      <c r="D732" s="39">
        <f>IF(A732="","",TODAY())</f>
        <v/>
      </c>
      <c r="E732" s="38" t="n"/>
      <c r="F732" s="38">
        <f>IFERROR(IF(OR(A732="",E732=""),"",C732-E732),"")</f>
        <v/>
      </c>
      <c r="G732" s="37" t="n"/>
      <c r="H732" s="37" t="n"/>
    </row>
    <row r="733">
      <c r="A733" s="26" t="n"/>
      <c r="B733" s="26">
        <f>IFERROR(IF(A733="","",VLOOKUP(A733,DATABASE!A:B,2,0)),"")</f>
        <v/>
      </c>
      <c r="C733" s="30">
        <f>IFERROR(IF(A733="","",VLOOKUP(A733,DATABASE!A:J,10,0)),"")</f>
        <v/>
      </c>
      <c r="D733" s="31">
        <f>IF(A733="","",TODAY())</f>
        <v/>
      </c>
      <c r="E733" s="30" t="n"/>
      <c r="F733" s="30">
        <f>IFERROR(IF(OR(A733="",E733=""),"",C733-E733),"")</f>
        <v/>
      </c>
      <c r="G733" s="26" t="n"/>
      <c r="H733" s="26" t="n"/>
    </row>
    <row r="734">
      <c r="A734" s="37" t="n"/>
      <c r="B734" s="37">
        <f>IFERROR(IF(A734="","",VLOOKUP(A734,DATABASE!A:B,2,0)),"")</f>
        <v/>
      </c>
      <c r="C734" s="38">
        <f>IFERROR(IF(A734="","",VLOOKUP(A734,DATABASE!A:J,10,0)),"")</f>
        <v/>
      </c>
      <c r="D734" s="39">
        <f>IF(A734="","",TODAY())</f>
        <v/>
      </c>
      <c r="E734" s="38" t="n"/>
      <c r="F734" s="38">
        <f>IFERROR(IF(OR(A734="",E734=""),"",C734-E734),"")</f>
        <v/>
      </c>
      <c r="G734" s="37" t="n"/>
      <c r="H734" s="37" t="n"/>
    </row>
    <row r="735">
      <c r="A735" s="26" t="n"/>
      <c r="B735" s="26">
        <f>IFERROR(IF(A735="","",VLOOKUP(A735,DATABASE!A:B,2,0)),"")</f>
        <v/>
      </c>
      <c r="C735" s="30">
        <f>IFERROR(IF(A735="","",VLOOKUP(A735,DATABASE!A:J,10,0)),"")</f>
        <v/>
      </c>
      <c r="D735" s="31">
        <f>IF(A735="","",TODAY())</f>
        <v/>
      </c>
      <c r="E735" s="30" t="n"/>
      <c r="F735" s="30">
        <f>IFERROR(IF(OR(A735="",E735=""),"",C735-E735),"")</f>
        <v/>
      </c>
      <c r="G735" s="26" t="n"/>
      <c r="H735" s="26" t="n"/>
    </row>
    <row r="736">
      <c r="A736" s="37" t="n"/>
      <c r="B736" s="37">
        <f>IFERROR(IF(A736="","",VLOOKUP(A736,DATABASE!A:B,2,0)),"")</f>
        <v/>
      </c>
      <c r="C736" s="38">
        <f>IFERROR(IF(A736="","",VLOOKUP(A736,DATABASE!A:J,10,0)),"")</f>
        <v/>
      </c>
      <c r="D736" s="39">
        <f>IF(A736="","",TODAY())</f>
        <v/>
      </c>
      <c r="E736" s="38" t="n"/>
      <c r="F736" s="38">
        <f>IFERROR(IF(OR(A736="",E736=""),"",C736-E736),"")</f>
        <v/>
      </c>
      <c r="G736" s="37" t="n"/>
      <c r="H736" s="37" t="n"/>
    </row>
    <row r="737">
      <c r="A737" s="26" t="n"/>
      <c r="B737" s="26">
        <f>IFERROR(IF(A737="","",VLOOKUP(A737,DATABASE!A:B,2,0)),"")</f>
        <v/>
      </c>
      <c r="C737" s="30">
        <f>IFERROR(IF(A737="","",VLOOKUP(A737,DATABASE!A:J,10,0)),"")</f>
        <v/>
      </c>
      <c r="D737" s="31">
        <f>IF(A737="","",TODAY())</f>
        <v/>
      </c>
      <c r="E737" s="30" t="n"/>
      <c r="F737" s="30">
        <f>IFERROR(IF(OR(A737="",E737=""),"",C737-E737),"")</f>
        <v/>
      </c>
      <c r="G737" s="26" t="n"/>
      <c r="H737" s="26" t="n"/>
    </row>
    <row r="738">
      <c r="A738" s="37" t="n"/>
      <c r="B738" s="37">
        <f>IFERROR(IF(A738="","",VLOOKUP(A738,DATABASE!A:B,2,0)),"")</f>
        <v/>
      </c>
      <c r="C738" s="38">
        <f>IFERROR(IF(A738="","",VLOOKUP(A738,DATABASE!A:J,10,0)),"")</f>
        <v/>
      </c>
      <c r="D738" s="39">
        <f>IF(A738="","",TODAY())</f>
        <v/>
      </c>
      <c r="E738" s="38" t="n"/>
      <c r="F738" s="38">
        <f>IFERROR(IF(OR(A738="",E738=""),"",C738-E738),"")</f>
        <v/>
      </c>
      <c r="G738" s="37" t="n"/>
      <c r="H738" s="37" t="n"/>
    </row>
    <row r="739">
      <c r="A739" s="26" t="n"/>
      <c r="B739" s="26">
        <f>IFERROR(IF(A739="","",VLOOKUP(A739,DATABASE!A:B,2,0)),"")</f>
        <v/>
      </c>
      <c r="C739" s="30">
        <f>IFERROR(IF(A739="","",VLOOKUP(A739,DATABASE!A:J,10,0)),"")</f>
        <v/>
      </c>
      <c r="D739" s="31">
        <f>IF(A739="","",TODAY())</f>
        <v/>
      </c>
      <c r="E739" s="30" t="n"/>
      <c r="F739" s="30">
        <f>IFERROR(IF(OR(A739="",E739=""),"",C739-E739),"")</f>
        <v/>
      </c>
      <c r="G739" s="26" t="n"/>
      <c r="H739" s="26" t="n"/>
    </row>
    <row r="740">
      <c r="A740" s="37" t="n"/>
      <c r="B740" s="37">
        <f>IFERROR(IF(A740="","",VLOOKUP(A740,DATABASE!A:B,2,0)),"")</f>
        <v/>
      </c>
      <c r="C740" s="38">
        <f>IFERROR(IF(A740="","",VLOOKUP(A740,DATABASE!A:J,10,0)),"")</f>
        <v/>
      </c>
      <c r="D740" s="39">
        <f>IF(A740="","",TODAY())</f>
        <v/>
      </c>
      <c r="E740" s="38" t="n"/>
      <c r="F740" s="38">
        <f>IFERROR(IF(OR(A740="",E740=""),"",C740-E740),"")</f>
        <v/>
      </c>
      <c r="G740" s="37" t="n"/>
      <c r="H740" s="37" t="n"/>
    </row>
    <row r="741">
      <c r="A741" s="26" t="n"/>
      <c r="B741" s="26">
        <f>IFERROR(IF(A741="","",VLOOKUP(A741,DATABASE!A:B,2,0)),"")</f>
        <v/>
      </c>
      <c r="C741" s="30">
        <f>IFERROR(IF(A741="","",VLOOKUP(A741,DATABASE!A:J,10,0)),"")</f>
        <v/>
      </c>
      <c r="D741" s="31">
        <f>IF(A741="","",TODAY())</f>
        <v/>
      </c>
      <c r="E741" s="30" t="n"/>
      <c r="F741" s="30">
        <f>IFERROR(IF(OR(A741="",E741=""),"",C741-E741),"")</f>
        <v/>
      </c>
      <c r="G741" s="26" t="n"/>
      <c r="H741" s="26" t="n"/>
    </row>
    <row r="742">
      <c r="A742" s="37" t="n"/>
      <c r="B742" s="37">
        <f>IFERROR(IF(A742="","",VLOOKUP(A742,DATABASE!A:B,2,0)),"")</f>
        <v/>
      </c>
      <c r="C742" s="38">
        <f>IFERROR(IF(A742="","",VLOOKUP(A742,DATABASE!A:J,10,0)),"")</f>
        <v/>
      </c>
      <c r="D742" s="39">
        <f>IF(A742="","",TODAY())</f>
        <v/>
      </c>
      <c r="E742" s="38" t="n"/>
      <c r="F742" s="38">
        <f>IFERROR(IF(OR(A742="",E742=""),"",C742-E742),"")</f>
        <v/>
      </c>
      <c r="G742" s="37" t="n"/>
      <c r="H742" s="37" t="n"/>
    </row>
    <row r="743">
      <c r="A743" s="26" t="n"/>
      <c r="B743" s="26">
        <f>IFERROR(IF(A743="","",VLOOKUP(A743,DATABASE!A:B,2,0)),"")</f>
        <v/>
      </c>
      <c r="C743" s="30">
        <f>IFERROR(IF(A743="","",VLOOKUP(A743,DATABASE!A:J,10,0)),"")</f>
        <v/>
      </c>
      <c r="D743" s="31">
        <f>IF(A743="","",TODAY())</f>
        <v/>
      </c>
      <c r="E743" s="30" t="n"/>
      <c r="F743" s="30">
        <f>IFERROR(IF(OR(A743="",E743=""),"",C743-E743),"")</f>
        <v/>
      </c>
      <c r="G743" s="26" t="n"/>
      <c r="H743" s="26" t="n"/>
    </row>
    <row r="744">
      <c r="A744" s="37" t="n"/>
      <c r="B744" s="37">
        <f>IFERROR(IF(A744="","",VLOOKUP(A744,DATABASE!A:B,2,0)),"")</f>
        <v/>
      </c>
      <c r="C744" s="38">
        <f>IFERROR(IF(A744="","",VLOOKUP(A744,DATABASE!A:J,10,0)),"")</f>
        <v/>
      </c>
      <c r="D744" s="39">
        <f>IF(A744="","",TODAY())</f>
        <v/>
      </c>
      <c r="E744" s="38" t="n"/>
      <c r="F744" s="38">
        <f>IFERROR(IF(OR(A744="",E744=""),"",C744-E744),"")</f>
        <v/>
      </c>
      <c r="G744" s="37" t="n"/>
      <c r="H744" s="37" t="n"/>
    </row>
    <row r="745">
      <c r="A745" s="26" t="n"/>
      <c r="B745" s="26">
        <f>IFERROR(IF(A745="","",VLOOKUP(A745,DATABASE!A:B,2,0)),"")</f>
        <v/>
      </c>
      <c r="C745" s="30">
        <f>IFERROR(IF(A745="","",VLOOKUP(A745,DATABASE!A:J,10,0)),"")</f>
        <v/>
      </c>
      <c r="D745" s="31">
        <f>IF(A745="","",TODAY())</f>
        <v/>
      </c>
      <c r="E745" s="30" t="n"/>
      <c r="F745" s="30">
        <f>IFERROR(IF(OR(A745="",E745=""),"",C745-E745),"")</f>
        <v/>
      </c>
      <c r="G745" s="26" t="n"/>
      <c r="H745" s="26" t="n"/>
    </row>
    <row r="746">
      <c r="A746" s="37" t="n"/>
      <c r="B746" s="37">
        <f>IFERROR(IF(A746="","",VLOOKUP(A746,DATABASE!A:B,2,0)),"")</f>
        <v/>
      </c>
      <c r="C746" s="38">
        <f>IFERROR(IF(A746="","",VLOOKUP(A746,DATABASE!A:J,10,0)),"")</f>
        <v/>
      </c>
      <c r="D746" s="39">
        <f>IF(A746="","",TODAY())</f>
        <v/>
      </c>
      <c r="E746" s="38" t="n"/>
      <c r="F746" s="38">
        <f>IFERROR(IF(OR(A746="",E746=""),"",C746-E746),"")</f>
        <v/>
      </c>
      <c r="G746" s="37" t="n"/>
      <c r="H746" s="37" t="n"/>
    </row>
    <row r="747">
      <c r="A747" s="26" t="n"/>
      <c r="B747" s="26">
        <f>IFERROR(IF(A747="","",VLOOKUP(A747,DATABASE!A:B,2,0)),"")</f>
        <v/>
      </c>
      <c r="C747" s="30">
        <f>IFERROR(IF(A747="","",VLOOKUP(A747,DATABASE!A:J,10,0)),"")</f>
        <v/>
      </c>
      <c r="D747" s="31">
        <f>IF(A747="","",TODAY())</f>
        <v/>
      </c>
      <c r="E747" s="30" t="n"/>
      <c r="F747" s="30">
        <f>IFERROR(IF(OR(A747="",E747=""),"",C747-E747),"")</f>
        <v/>
      </c>
      <c r="G747" s="26" t="n"/>
      <c r="H747" s="26" t="n"/>
    </row>
    <row r="748">
      <c r="A748" s="37" t="n"/>
      <c r="B748" s="37">
        <f>IFERROR(IF(A748="","",VLOOKUP(A748,DATABASE!A:B,2,0)),"")</f>
        <v/>
      </c>
      <c r="C748" s="38">
        <f>IFERROR(IF(A748="","",VLOOKUP(A748,DATABASE!A:J,10,0)),"")</f>
        <v/>
      </c>
      <c r="D748" s="39">
        <f>IF(A748="","",TODAY())</f>
        <v/>
      </c>
      <c r="E748" s="38" t="n"/>
      <c r="F748" s="38">
        <f>IFERROR(IF(OR(A748="",E748=""),"",C748-E748),"")</f>
        <v/>
      </c>
      <c r="G748" s="37" t="n"/>
      <c r="H748" s="37" t="n"/>
    </row>
    <row r="749">
      <c r="A749" s="26" t="n"/>
      <c r="B749" s="26">
        <f>IFERROR(IF(A749="","",VLOOKUP(A749,DATABASE!A:B,2,0)),"")</f>
        <v/>
      </c>
      <c r="C749" s="30">
        <f>IFERROR(IF(A749="","",VLOOKUP(A749,DATABASE!A:J,10,0)),"")</f>
        <v/>
      </c>
      <c r="D749" s="31">
        <f>IF(A749="","",TODAY())</f>
        <v/>
      </c>
      <c r="E749" s="30" t="n"/>
      <c r="F749" s="30">
        <f>IFERROR(IF(OR(A749="",E749=""),"",C749-E749),"")</f>
        <v/>
      </c>
      <c r="G749" s="26" t="n"/>
      <c r="H749" s="26" t="n"/>
    </row>
    <row r="750">
      <c r="A750" s="37" t="n"/>
      <c r="B750" s="37">
        <f>IFERROR(IF(A750="","",VLOOKUP(A750,DATABASE!A:B,2,0)),"")</f>
        <v/>
      </c>
      <c r="C750" s="38">
        <f>IFERROR(IF(A750="","",VLOOKUP(A750,DATABASE!A:J,10,0)),"")</f>
        <v/>
      </c>
      <c r="D750" s="39">
        <f>IF(A750="","",TODAY())</f>
        <v/>
      </c>
      <c r="E750" s="38" t="n"/>
      <c r="F750" s="38">
        <f>IFERROR(IF(OR(A750="",E750=""),"",C750-E750),"")</f>
        <v/>
      </c>
      <c r="G750" s="37" t="n"/>
      <c r="H750" s="37" t="n"/>
    </row>
    <row r="751">
      <c r="A751" s="26" t="n"/>
      <c r="B751" s="26">
        <f>IFERROR(IF(A751="","",VLOOKUP(A751,DATABASE!A:B,2,0)),"")</f>
        <v/>
      </c>
      <c r="C751" s="30">
        <f>IFERROR(IF(A751="","",VLOOKUP(A751,DATABASE!A:J,10,0)),"")</f>
        <v/>
      </c>
      <c r="D751" s="31">
        <f>IF(A751="","",TODAY())</f>
        <v/>
      </c>
      <c r="E751" s="30" t="n"/>
      <c r="F751" s="30">
        <f>IFERROR(IF(OR(A751="",E751=""),"",C751-E751),"")</f>
        <v/>
      </c>
      <c r="G751" s="26" t="n"/>
      <c r="H751" s="26" t="n"/>
    </row>
    <row r="752">
      <c r="A752" s="37" t="n"/>
      <c r="B752" s="37">
        <f>IFERROR(IF(A752="","",VLOOKUP(A752,DATABASE!A:B,2,0)),"")</f>
        <v/>
      </c>
      <c r="C752" s="38">
        <f>IFERROR(IF(A752="","",VLOOKUP(A752,DATABASE!A:J,10,0)),"")</f>
        <v/>
      </c>
      <c r="D752" s="39">
        <f>IF(A752="","",TODAY())</f>
        <v/>
      </c>
      <c r="E752" s="38" t="n"/>
      <c r="F752" s="38">
        <f>IFERROR(IF(OR(A752="",E752=""),"",C752-E752),"")</f>
        <v/>
      </c>
      <c r="G752" s="37" t="n"/>
      <c r="H752" s="37" t="n"/>
    </row>
    <row r="753">
      <c r="A753" s="26" t="n"/>
      <c r="B753" s="26">
        <f>IFERROR(IF(A753="","",VLOOKUP(A753,DATABASE!A:B,2,0)),"")</f>
        <v/>
      </c>
      <c r="C753" s="30">
        <f>IFERROR(IF(A753="","",VLOOKUP(A753,DATABASE!A:J,10,0)),"")</f>
        <v/>
      </c>
      <c r="D753" s="31">
        <f>IF(A753="","",TODAY())</f>
        <v/>
      </c>
      <c r="E753" s="30" t="n"/>
      <c r="F753" s="30">
        <f>IFERROR(IF(OR(A753="",E753=""),"",C753-E753),"")</f>
        <v/>
      </c>
      <c r="G753" s="26" t="n"/>
      <c r="H753" s="26" t="n"/>
    </row>
    <row r="754">
      <c r="A754" s="37" t="n"/>
      <c r="B754" s="37">
        <f>IFERROR(IF(A754="","",VLOOKUP(A754,DATABASE!A:B,2,0)),"")</f>
        <v/>
      </c>
      <c r="C754" s="38">
        <f>IFERROR(IF(A754="","",VLOOKUP(A754,DATABASE!A:J,10,0)),"")</f>
        <v/>
      </c>
      <c r="D754" s="39">
        <f>IF(A754="","",TODAY())</f>
        <v/>
      </c>
      <c r="E754" s="38" t="n"/>
      <c r="F754" s="38">
        <f>IFERROR(IF(OR(A754="",E754=""),"",C754-E754),"")</f>
        <v/>
      </c>
      <c r="G754" s="37" t="n"/>
      <c r="H754" s="37" t="n"/>
    </row>
    <row r="755">
      <c r="A755" s="26" t="n"/>
      <c r="B755" s="26">
        <f>IFERROR(IF(A755="","",VLOOKUP(A755,DATABASE!A:B,2,0)),"")</f>
        <v/>
      </c>
      <c r="C755" s="30">
        <f>IFERROR(IF(A755="","",VLOOKUP(A755,DATABASE!A:J,10,0)),"")</f>
        <v/>
      </c>
      <c r="D755" s="31">
        <f>IF(A755="","",TODAY())</f>
        <v/>
      </c>
      <c r="E755" s="30" t="n"/>
      <c r="F755" s="30">
        <f>IFERROR(IF(OR(A755="",E755=""),"",C755-E755),"")</f>
        <v/>
      </c>
      <c r="G755" s="26" t="n"/>
      <c r="H755" s="26" t="n"/>
    </row>
    <row r="756">
      <c r="A756" s="37" t="n"/>
      <c r="B756" s="37">
        <f>IFERROR(IF(A756="","",VLOOKUP(A756,DATABASE!A:B,2,0)),"")</f>
        <v/>
      </c>
      <c r="C756" s="38">
        <f>IFERROR(IF(A756="","",VLOOKUP(A756,DATABASE!A:J,10,0)),"")</f>
        <v/>
      </c>
      <c r="D756" s="39">
        <f>IF(A756="","",TODAY())</f>
        <v/>
      </c>
      <c r="E756" s="38" t="n"/>
      <c r="F756" s="38">
        <f>IFERROR(IF(OR(A756="",E756=""),"",C756-E756),"")</f>
        <v/>
      </c>
      <c r="G756" s="37" t="n"/>
      <c r="H756" s="37" t="n"/>
    </row>
    <row r="757">
      <c r="A757" s="26" t="n"/>
      <c r="B757" s="26">
        <f>IFERROR(IF(A757="","",VLOOKUP(A757,DATABASE!A:B,2,0)),"")</f>
        <v/>
      </c>
      <c r="C757" s="30">
        <f>IFERROR(IF(A757="","",VLOOKUP(A757,DATABASE!A:J,10,0)),"")</f>
        <v/>
      </c>
      <c r="D757" s="31">
        <f>IF(A757="","",TODAY())</f>
        <v/>
      </c>
      <c r="E757" s="30" t="n"/>
      <c r="F757" s="30">
        <f>IFERROR(IF(OR(A757="",E757=""),"",C757-E757),"")</f>
        <v/>
      </c>
      <c r="G757" s="26" t="n"/>
      <c r="H757" s="26" t="n"/>
    </row>
    <row r="758">
      <c r="A758" s="37" t="n"/>
      <c r="B758" s="37">
        <f>IFERROR(IF(A758="","",VLOOKUP(A758,DATABASE!A:B,2,0)),"")</f>
        <v/>
      </c>
      <c r="C758" s="38">
        <f>IFERROR(IF(A758="","",VLOOKUP(A758,DATABASE!A:J,10,0)),"")</f>
        <v/>
      </c>
      <c r="D758" s="39">
        <f>IF(A758="","",TODAY())</f>
        <v/>
      </c>
      <c r="E758" s="38" t="n"/>
      <c r="F758" s="38">
        <f>IFERROR(IF(OR(A758="",E758=""),"",C758-E758),"")</f>
        <v/>
      </c>
      <c r="G758" s="37" t="n"/>
      <c r="H758" s="37" t="n"/>
    </row>
    <row r="759">
      <c r="A759" s="26" t="n"/>
      <c r="B759" s="26">
        <f>IFERROR(IF(A759="","",VLOOKUP(A759,DATABASE!A:B,2,0)),"")</f>
        <v/>
      </c>
      <c r="C759" s="30">
        <f>IFERROR(IF(A759="","",VLOOKUP(A759,DATABASE!A:J,10,0)),"")</f>
        <v/>
      </c>
      <c r="D759" s="31">
        <f>IF(A759="","",TODAY())</f>
        <v/>
      </c>
      <c r="E759" s="30" t="n"/>
      <c r="F759" s="30">
        <f>IFERROR(IF(OR(A759="",E759=""),"",C759-E759),"")</f>
        <v/>
      </c>
      <c r="G759" s="26" t="n"/>
      <c r="H759" s="26" t="n"/>
    </row>
    <row r="760">
      <c r="A760" s="37" t="n"/>
      <c r="B760" s="37">
        <f>IFERROR(IF(A760="","",VLOOKUP(A760,DATABASE!A:B,2,0)),"")</f>
        <v/>
      </c>
      <c r="C760" s="38">
        <f>IFERROR(IF(A760="","",VLOOKUP(A760,DATABASE!A:J,10,0)),"")</f>
        <v/>
      </c>
      <c r="D760" s="39">
        <f>IF(A760="","",TODAY())</f>
        <v/>
      </c>
      <c r="E760" s="38" t="n"/>
      <c r="F760" s="38">
        <f>IFERROR(IF(OR(A760="",E760=""),"",C760-E760),"")</f>
        <v/>
      </c>
      <c r="G760" s="37" t="n"/>
      <c r="H760" s="37" t="n"/>
    </row>
    <row r="761">
      <c r="A761" s="26" t="n"/>
      <c r="B761" s="26">
        <f>IFERROR(IF(A761="","",VLOOKUP(A761,DATABASE!A:B,2,0)),"")</f>
        <v/>
      </c>
      <c r="C761" s="30">
        <f>IFERROR(IF(A761="","",VLOOKUP(A761,DATABASE!A:J,10,0)),"")</f>
        <v/>
      </c>
      <c r="D761" s="31">
        <f>IF(A761="","",TODAY())</f>
        <v/>
      </c>
      <c r="E761" s="30" t="n"/>
      <c r="F761" s="30">
        <f>IFERROR(IF(OR(A761="",E761=""),"",C761-E761),"")</f>
        <v/>
      </c>
      <c r="G761" s="26" t="n"/>
      <c r="H761" s="26" t="n"/>
    </row>
    <row r="762">
      <c r="A762" s="37" t="n"/>
      <c r="B762" s="37">
        <f>IFERROR(IF(A762="","",VLOOKUP(A762,DATABASE!A:B,2,0)),"")</f>
        <v/>
      </c>
      <c r="C762" s="38">
        <f>IFERROR(IF(A762="","",VLOOKUP(A762,DATABASE!A:J,10,0)),"")</f>
        <v/>
      </c>
      <c r="D762" s="39">
        <f>IF(A762="","",TODAY())</f>
        <v/>
      </c>
      <c r="E762" s="38" t="n"/>
      <c r="F762" s="38">
        <f>IFERROR(IF(OR(A762="",E762=""),"",C762-E762),"")</f>
        <v/>
      </c>
      <c r="G762" s="37" t="n"/>
      <c r="H762" s="37" t="n"/>
    </row>
    <row r="763">
      <c r="A763" s="26" t="n"/>
      <c r="B763" s="26">
        <f>IFERROR(IF(A763="","",VLOOKUP(A763,DATABASE!A:B,2,0)),"")</f>
        <v/>
      </c>
      <c r="C763" s="30">
        <f>IFERROR(IF(A763="","",VLOOKUP(A763,DATABASE!A:J,10,0)),"")</f>
        <v/>
      </c>
      <c r="D763" s="31">
        <f>IF(A763="","",TODAY())</f>
        <v/>
      </c>
      <c r="E763" s="30" t="n"/>
      <c r="F763" s="30">
        <f>IFERROR(IF(OR(A763="",E763=""),"",C763-E763),"")</f>
        <v/>
      </c>
      <c r="G763" s="26" t="n"/>
      <c r="H763" s="26" t="n"/>
    </row>
    <row r="764">
      <c r="A764" s="37" t="n"/>
      <c r="B764" s="37">
        <f>IFERROR(IF(A764="","",VLOOKUP(A764,DATABASE!A:B,2,0)),"")</f>
        <v/>
      </c>
      <c r="C764" s="38">
        <f>IFERROR(IF(A764="","",VLOOKUP(A764,DATABASE!A:J,10,0)),"")</f>
        <v/>
      </c>
      <c r="D764" s="39">
        <f>IF(A764="","",TODAY())</f>
        <v/>
      </c>
      <c r="E764" s="38" t="n"/>
      <c r="F764" s="38">
        <f>IFERROR(IF(OR(A764="",E764=""),"",C764-E764),"")</f>
        <v/>
      </c>
      <c r="G764" s="37" t="n"/>
      <c r="H764" s="37" t="n"/>
    </row>
    <row r="765">
      <c r="A765" s="26" t="n"/>
      <c r="B765" s="26">
        <f>IFERROR(IF(A765="","",VLOOKUP(A765,DATABASE!A:B,2,0)),"")</f>
        <v/>
      </c>
      <c r="C765" s="30">
        <f>IFERROR(IF(A765="","",VLOOKUP(A765,DATABASE!A:J,10,0)),"")</f>
        <v/>
      </c>
      <c r="D765" s="31">
        <f>IF(A765="","",TODAY())</f>
        <v/>
      </c>
      <c r="E765" s="30" t="n"/>
      <c r="F765" s="30">
        <f>IFERROR(IF(OR(A765="",E765=""),"",C765-E765),"")</f>
        <v/>
      </c>
      <c r="G765" s="26" t="n"/>
      <c r="H765" s="26" t="n"/>
    </row>
    <row r="766">
      <c r="A766" s="37" t="n"/>
      <c r="B766" s="37">
        <f>IFERROR(IF(A766="","",VLOOKUP(A766,DATABASE!A:B,2,0)),"")</f>
        <v/>
      </c>
      <c r="C766" s="38">
        <f>IFERROR(IF(A766="","",VLOOKUP(A766,DATABASE!A:J,10,0)),"")</f>
        <v/>
      </c>
      <c r="D766" s="39">
        <f>IF(A766="","",TODAY())</f>
        <v/>
      </c>
      <c r="E766" s="38" t="n"/>
      <c r="F766" s="38">
        <f>IFERROR(IF(OR(A766="",E766=""),"",C766-E766),"")</f>
        <v/>
      </c>
      <c r="G766" s="37" t="n"/>
      <c r="H766" s="37" t="n"/>
    </row>
    <row r="767">
      <c r="A767" s="26" t="n"/>
      <c r="B767" s="26">
        <f>IFERROR(IF(A767="","",VLOOKUP(A767,DATABASE!A:B,2,0)),"")</f>
        <v/>
      </c>
      <c r="C767" s="30">
        <f>IFERROR(IF(A767="","",VLOOKUP(A767,DATABASE!A:J,10,0)),"")</f>
        <v/>
      </c>
      <c r="D767" s="31">
        <f>IF(A767="","",TODAY())</f>
        <v/>
      </c>
      <c r="E767" s="30" t="n"/>
      <c r="F767" s="30">
        <f>IFERROR(IF(OR(A767="",E767=""),"",C767-E767),"")</f>
        <v/>
      </c>
      <c r="G767" s="26" t="n"/>
      <c r="H767" s="26" t="n"/>
    </row>
    <row r="768">
      <c r="A768" s="37" t="n"/>
      <c r="B768" s="37">
        <f>IFERROR(IF(A768="","",VLOOKUP(A768,DATABASE!A:B,2,0)),"")</f>
        <v/>
      </c>
      <c r="C768" s="38">
        <f>IFERROR(IF(A768="","",VLOOKUP(A768,DATABASE!A:J,10,0)),"")</f>
        <v/>
      </c>
      <c r="D768" s="39">
        <f>IF(A768="","",TODAY())</f>
        <v/>
      </c>
      <c r="E768" s="38" t="n"/>
      <c r="F768" s="38">
        <f>IFERROR(IF(OR(A768="",E768=""),"",C768-E768),"")</f>
        <v/>
      </c>
      <c r="G768" s="37" t="n"/>
      <c r="H768" s="37" t="n"/>
    </row>
    <row r="769">
      <c r="A769" s="26" t="n"/>
      <c r="B769" s="26">
        <f>IFERROR(IF(A769="","",VLOOKUP(A769,DATABASE!A:B,2,0)),"")</f>
        <v/>
      </c>
      <c r="C769" s="30">
        <f>IFERROR(IF(A769="","",VLOOKUP(A769,DATABASE!A:J,10,0)),"")</f>
        <v/>
      </c>
      <c r="D769" s="31">
        <f>IF(A769="","",TODAY())</f>
        <v/>
      </c>
      <c r="E769" s="30" t="n"/>
      <c r="F769" s="30">
        <f>IFERROR(IF(OR(A769="",E769=""),"",C769-E769),"")</f>
        <v/>
      </c>
      <c r="G769" s="26" t="n"/>
      <c r="H769" s="26" t="n"/>
    </row>
    <row r="770">
      <c r="A770" s="37" t="n"/>
      <c r="B770" s="37">
        <f>IFERROR(IF(A770="","",VLOOKUP(A770,DATABASE!A:B,2,0)),"")</f>
        <v/>
      </c>
      <c r="C770" s="38">
        <f>IFERROR(IF(A770="","",VLOOKUP(A770,DATABASE!A:J,10,0)),"")</f>
        <v/>
      </c>
      <c r="D770" s="39">
        <f>IF(A770="","",TODAY())</f>
        <v/>
      </c>
      <c r="E770" s="38" t="n"/>
      <c r="F770" s="38">
        <f>IFERROR(IF(OR(A770="",E770=""),"",C770-E770),"")</f>
        <v/>
      </c>
      <c r="G770" s="37" t="n"/>
      <c r="H770" s="37" t="n"/>
    </row>
    <row r="771">
      <c r="A771" s="26" t="n"/>
      <c r="B771" s="26">
        <f>IFERROR(IF(A771="","",VLOOKUP(A771,DATABASE!A:B,2,0)),"")</f>
        <v/>
      </c>
      <c r="C771" s="30">
        <f>IFERROR(IF(A771="","",VLOOKUP(A771,DATABASE!A:J,10,0)),"")</f>
        <v/>
      </c>
      <c r="D771" s="31">
        <f>IF(A771="","",TODAY())</f>
        <v/>
      </c>
      <c r="E771" s="30" t="n"/>
      <c r="F771" s="30">
        <f>IFERROR(IF(OR(A771="",E771=""),"",C771-E771),"")</f>
        <v/>
      </c>
      <c r="G771" s="26" t="n"/>
      <c r="H771" s="26" t="n"/>
    </row>
    <row r="772">
      <c r="A772" s="37" t="n"/>
      <c r="B772" s="37">
        <f>IFERROR(IF(A772="","",VLOOKUP(A772,DATABASE!A:B,2,0)),"")</f>
        <v/>
      </c>
      <c r="C772" s="38">
        <f>IFERROR(IF(A772="","",VLOOKUP(A772,DATABASE!A:J,10,0)),"")</f>
        <v/>
      </c>
      <c r="D772" s="39">
        <f>IF(A772="","",TODAY())</f>
        <v/>
      </c>
      <c r="E772" s="38" t="n"/>
      <c r="F772" s="38">
        <f>IFERROR(IF(OR(A772="",E772=""),"",C772-E772),"")</f>
        <v/>
      </c>
      <c r="G772" s="37" t="n"/>
      <c r="H772" s="37" t="n"/>
    </row>
    <row r="773">
      <c r="A773" s="26" t="n"/>
      <c r="B773" s="26">
        <f>IFERROR(IF(A773="","",VLOOKUP(A773,DATABASE!A:B,2,0)),"")</f>
        <v/>
      </c>
      <c r="C773" s="30">
        <f>IFERROR(IF(A773="","",VLOOKUP(A773,DATABASE!A:J,10,0)),"")</f>
        <v/>
      </c>
      <c r="D773" s="31">
        <f>IF(A773="","",TODAY())</f>
        <v/>
      </c>
      <c r="E773" s="30" t="n"/>
      <c r="F773" s="30">
        <f>IFERROR(IF(OR(A773="",E773=""),"",C773-E773),"")</f>
        <v/>
      </c>
      <c r="G773" s="26" t="n"/>
      <c r="H773" s="26" t="n"/>
    </row>
    <row r="774">
      <c r="A774" s="37" t="n"/>
      <c r="B774" s="37">
        <f>IFERROR(IF(A774="","",VLOOKUP(A774,DATABASE!A:B,2,0)),"")</f>
        <v/>
      </c>
      <c r="C774" s="38">
        <f>IFERROR(IF(A774="","",VLOOKUP(A774,DATABASE!A:J,10,0)),"")</f>
        <v/>
      </c>
      <c r="D774" s="39">
        <f>IF(A774="","",TODAY())</f>
        <v/>
      </c>
      <c r="E774" s="38" t="n"/>
      <c r="F774" s="38">
        <f>IFERROR(IF(OR(A774="",E774=""),"",C774-E774),"")</f>
        <v/>
      </c>
      <c r="G774" s="37" t="n"/>
      <c r="H774" s="37" t="n"/>
    </row>
    <row r="775">
      <c r="A775" s="26" t="n"/>
      <c r="B775" s="26">
        <f>IFERROR(IF(A775="","",VLOOKUP(A775,DATABASE!A:B,2,0)),"")</f>
        <v/>
      </c>
      <c r="C775" s="30">
        <f>IFERROR(IF(A775="","",VLOOKUP(A775,DATABASE!A:J,10,0)),"")</f>
        <v/>
      </c>
      <c r="D775" s="31">
        <f>IF(A775="","",TODAY())</f>
        <v/>
      </c>
      <c r="E775" s="30" t="n"/>
      <c r="F775" s="30">
        <f>IFERROR(IF(OR(A775="",E775=""),"",C775-E775),"")</f>
        <v/>
      </c>
      <c r="G775" s="26" t="n"/>
      <c r="H775" s="26" t="n"/>
    </row>
    <row r="776">
      <c r="A776" s="37" t="n"/>
      <c r="B776" s="37">
        <f>IFERROR(IF(A776="","",VLOOKUP(A776,DATABASE!A:B,2,0)),"")</f>
        <v/>
      </c>
      <c r="C776" s="38">
        <f>IFERROR(IF(A776="","",VLOOKUP(A776,DATABASE!A:J,10,0)),"")</f>
        <v/>
      </c>
      <c r="D776" s="39">
        <f>IF(A776="","",TODAY())</f>
        <v/>
      </c>
      <c r="E776" s="38" t="n"/>
      <c r="F776" s="38">
        <f>IFERROR(IF(OR(A776="",E776=""),"",C776-E776),"")</f>
        <v/>
      </c>
      <c r="G776" s="37" t="n"/>
      <c r="H776" s="37" t="n"/>
    </row>
    <row r="777">
      <c r="A777" s="26" t="n"/>
      <c r="B777" s="26">
        <f>IFERROR(IF(A777="","",VLOOKUP(A777,DATABASE!A:B,2,0)),"")</f>
        <v/>
      </c>
      <c r="C777" s="30">
        <f>IFERROR(IF(A777="","",VLOOKUP(A777,DATABASE!A:J,10,0)),"")</f>
        <v/>
      </c>
      <c r="D777" s="31">
        <f>IF(A777="","",TODAY())</f>
        <v/>
      </c>
      <c r="E777" s="30" t="n"/>
      <c r="F777" s="30">
        <f>IFERROR(IF(OR(A777="",E777=""),"",C777-E777),"")</f>
        <v/>
      </c>
      <c r="G777" s="26" t="n"/>
      <c r="H777" s="26" t="n"/>
    </row>
    <row r="778">
      <c r="A778" s="37" t="n"/>
      <c r="B778" s="37">
        <f>IFERROR(IF(A778="","",VLOOKUP(A778,DATABASE!A:B,2,0)),"")</f>
        <v/>
      </c>
      <c r="C778" s="38">
        <f>IFERROR(IF(A778="","",VLOOKUP(A778,DATABASE!A:J,10,0)),"")</f>
        <v/>
      </c>
      <c r="D778" s="39">
        <f>IF(A778="","",TODAY())</f>
        <v/>
      </c>
      <c r="E778" s="38" t="n"/>
      <c r="F778" s="38">
        <f>IFERROR(IF(OR(A778="",E778=""),"",C778-E778),"")</f>
        <v/>
      </c>
      <c r="G778" s="37" t="n"/>
      <c r="H778" s="37" t="n"/>
    </row>
    <row r="779">
      <c r="A779" s="26" t="n"/>
      <c r="B779" s="26">
        <f>IFERROR(IF(A779="","",VLOOKUP(A779,DATABASE!A:B,2,0)),"")</f>
        <v/>
      </c>
      <c r="C779" s="30">
        <f>IFERROR(IF(A779="","",VLOOKUP(A779,DATABASE!A:J,10,0)),"")</f>
        <v/>
      </c>
      <c r="D779" s="31">
        <f>IF(A779="","",TODAY())</f>
        <v/>
      </c>
      <c r="E779" s="30" t="n"/>
      <c r="F779" s="30">
        <f>IFERROR(IF(OR(A779="",E779=""),"",C779-E779),"")</f>
        <v/>
      </c>
      <c r="G779" s="26" t="n"/>
      <c r="H779" s="26" t="n"/>
    </row>
    <row r="780">
      <c r="A780" s="37" t="n"/>
      <c r="B780" s="37">
        <f>IFERROR(IF(A780="","",VLOOKUP(A780,DATABASE!A:B,2,0)),"")</f>
        <v/>
      </c>
      <c r="C780" s="38">
        <f>IFERROR(IF(A780="","",VLOOKUP(A780,DATABASE!A:J,10,0)),"")</f>
        <v/>
      </c>
      <c r="D780" s="39">
        <f>IF(A780="","",TODAY())</f>
        <v/>
      </c>
      <c r="E780" s="38" t="n"/>
      <c r="F780" s="38">
        <f>IFERROR(IF(OR(A780="",E780=""),"",C780-E780),"")</f>
        <v/>
      </c>
      <c r="G780" s="37" t="n"/>
      <c r="H780" s="37" t="n"/>
    </row>
    <row r="781">
      <c r="A781" s="26" t="n"/>
      <c r="B781" s="26">
        <f>IFERROR(IF(A781="","",VLOOKUP(A781,DATABASE!A:B,2,0)),"")</f>
        <v/>
      </c>
      <c r="C781" s="30">
        <f>IFERROR(IF(A781="","",VLOOKUP(A781,DATABASE!A:J,10,0)),"")</f>
        <v/>
      </c>
      <c r="D781" s="31">
        <f>IF(A781="","",TODAY())</f>
        <v/>
      </c>
      <c r="E781" s="30" t="n"/>
      <c r="F781" s="30">
        <f>IFERROR(IF(OR(A781="",E781=""),"",C781-E781),"")</f>
        <v/>
      </c>
      <c r="G781" s="26" t="n"/>
      <c r="H781" s="26" t="n"/>
    </row>
    <row r="782">
      <c r="A782" s="37" t="n"/>
      <c r="B782" s="37">
        <f>IFERROR(IF(A782="","",VLOOKUP(A782,DATABASE!A:B,2,0)),"")</f>
        <v/>
      </c>
      <c r="C782" s="38">
        <f>IFERROR(IF(A782="","",VLOOKUP(A782,DATABASE!A:J,10,0)),"")</f>
        <v/>
      </c>
      <c r="D782" s="39">
        <f>IF(A782="","",TODAY())</f>
        <v/>
      </c>
      <c r="E782" s="38" t="n"/>
      <c r="F782" s="38">
        <f>IFERROR(IF(OR(A782="",E782=""),"",C782-E782),"")</f>
        <v/>
      </c>
      <c r="G782" s="37" t="n"/>
      <c r="H782" s="37" t="n"/>
    </row>
    <row r="783">
      <c r="A783" s="26" t="n"/>
      <c r="B783" s="26">
        <f>IFERROR(IF(A783="","",VLOOKUP(A783,DATABASE!A:B,2,0)),"")</f>
        <v/>
      </c>
      <c r="C783" s="30">
        <f>IFERROR(IF(A783="","",VLOOKUP(A783,DATABASE!A:J,10,0)),"")</f>
        <v/>
      </c>
      <c r="D783" s="31">
        <f>IF(A783="","",TODAY())</f>
        <v/>
      </c>
      <c r="E783" s="30" t="n"/>
      <c r="F783" s="30">
        <f>IFERROR(IF(OR(A783="",E783=""),"",C783-E783),"")</f>
        <v/>
      </c>
      <c r="G783" s="26" t="n"/>
      <c r="H783" s="26" t="n"/>
    </row>
    <row r="784">
      <c r="A784" s="37" t="n"/>
      <c r="B784" s="37">
        <f>IFERROR(IF(A784="","",VLOOKUP(A784,DATABASE!A:B,2,0)),"")</f>
        <v/>
      </c>
      <c r="C784" s="38">
        <f>IFERROR(IF(A784="","",VLOOKUP(A784,DATABASE!A:J,10,0)),"")</f>
        <v/>
      </c>
      <c r="D784" s="39">
        <f>IF(A784="","",TODAY())</f>
        <v/>
      </c>
      <c r="E784" s="38" t="n"/>
      <c r="F784" s="38">
        <f>IFERROR(IF(OR(A784="",E784=""),"",C784-E784),"")</f>
        <v/>
      </c>
      <c r="G784" s="37" t="n"/>
      <c r="H784" s="37" t="n"/>
    </row>
    <row r="785">
      <c r="A785" s="26" t="n"/>
      <c r="B785" s="26">
        <f>IFERROR(IF(A785="","",VLOOKUP(A785,DATABASE!A:B,2,0)),"")</f>
        <v/>
      </c>
      <c r="C785" s="30">
        <f>IFERROR(IF(A785="","",VLOOKUP(A785,DATABASE!A:J,10,0)),"")</f>
        <v/>
      </c>
      <c r="D785" s="31">
        <f>IF(A785="","",TODAY())</f>
        <v/>
      </c>
      <c r="E785" s="30" t="n"/>
      <c r="F785" s="30">
        <f>IFERROR(IF(OR(A785="",E785=""),"",C785-E785),"")</f>
        <v/>
      </c>
      <c r="G785" s="26" t="n"/>
      <c r="H785" s="26" t="n"/>
    </row>
    <row r="786">
      <c r="A786" s="37" t="n"/>
      <c r="B786" s="37">
        <f>IFERROR(IF(A786="","",VLOOKUP(A786,DATABASE!A:B,2,0)),"")</f>
        <v/>
      </c>
      <c r="C786" s="38">
        <f>IFERROR(IF(A786="","",VLOOKUP(A786,DATABASE!A:J,10,0)),"")</f>
        <v/>
      </c>
      <c r="D786" s="39">
        <f>IF(A786="","",TODAY())</f>
        <v/>
      </c>
      <c r="E786" s="38" t="n"/>
      <c r="F786" s="38">
        <f>IFERROR(IF(OR(A786="",E786=""),"",C786-E786),"")</f>
        <v/>
      </c>
      <c r="G786" s="37" t="n"/>
      <c r="H786" s="37" t="n"/>
    </row>
    <row r="787">
      <c r="A787" s="26" t="n"/>
      <c r="B787" s="26">
        <f>IFERROR(IF(A787="","",VLOOKUP(A787,DATABASE!A:B,2,0)),"")</f>
        <v/>
      </c>
      <c r="C787" s="30">
        <f>IFERROR(IF(A787="","",VLOOKUP(A787,DATABASE!A:J,10,0)),"")</f>
        <v/>
      </c>
      <c r="D787" s="31">
        <f>IF(A787="","",TODAY())</f>
        <v/>
      </c>
      <c r="E787" s="30" t="n"/>
      <c r="F787" s="30">
        <f>IFERROR(IF(OR(A787="",E787=""),"",C787-E787),"")</f>
        <v/>
      </c>
      <c r="G787" s="26" t="n"/>
      <c r="H787" s="26" t="n"/>
    </row>
    <row r="788">
      <c r="A788" s="37" t="n"/>
      <c r="B788" s="37">
        <f>IFERROR(IF(A788="","",VLOOKUP(A788,DATABASE!A:B,2,0)),"")</f>
        <v/>
      </c>
      <c r="C788" s="38">
        <f>IFERROR(IF(A788="","",VLOOKUP(A788,DATABASE!A:J,10,0)),"")</f>
        <v/>
      </c>
      <c r="D788" s="39">
        <f>IF(A788="","",TODAY())</f>
        <v/>
      </c>
      <c r="E788" s="38" t="n"/>
      <c r="F788" s="38">
        <f>IFERROR(IF(OR(A788="",E788=""),"",C788-E788),"")</f>
        <v/>
      </c>
      <c r="G788" s="37" t="n"/>
      <c r="H788" s="37" t="n"/>
    </row>
    <row r="789">
      <c r="A789" s="26" t="n"/>
      <c r="B789" s="26">
        <f>IFERROR(IF(A789="","",VLOOKUP(A789,DATABASE!A:B,2,0)),"")</f>
        <v/>
      </c>
      <c r="C789" s="30">
        <f>IFERROR(IF(A789="","",VLOOKUP(A789,DATABASE!A:J,10,0)),"")</f>
        <v/>
      </c>
      <c r="D789" s="31">
        <f>IF(A789="","",TODAY())</f>
        <v/>
      </c>
      <c r="E789" s="30" t="n"/>
      <c r="F789" s="30">
        <f>IFERROR(IF(OR(A789="",E789=""),"",C789-E789),"")</f>
        <v/>
      </c>
      <c r="G789" s="26" t="n"/>
      <c r="H789" s="26" t="n"/>
    </row>
    <row r="790">
      <c r="A790" s="37" t="n"/>
      <c r="B790" s="37">
        <f>IFERROR(IF(A790="","",VLOOKUP(A790,DATABASE!A:B,2,0)),"")</f>
        <v/>
      </c>
      <c r="C790" s="38">
        <f>IFERROR(IF(A790="","",VLOOKUP(A790,DATABASE!A:J,10,0)),"")</f>
        <v/>
      </c>
      <c r="D790" s="39">
        <f>IF(A790="","",TODAY())</f>
        <v/>
      </c>
      <c r="E790" s="38" t="n"/>
      <c r="F790" s="38">
        <f>IFERROR(IF(OR(A790="",E790=""),"",C790-E790),"")</f>
        <v/>
      </c>
      <c r="G790" s="37" t="n"/>
      <c r="H790" s="37" t="n"/>
    </row>
    <row r="791">
      <c r="A791" s="26" t="n"/>
      <c r="B791" s="26">
        <f>IFERROR(IF(A791="","",VLOOKUP(A791,DATABASE!A:B,2,0)),"")</f>
        <v/>
      </c>
      <c r="C791" s="30">
        <f>IFERROR(IF(A791="","",VLOOKUP(A791,DATABASE!A:J,10,0)),"")</f>
        <v/>
      </c>
      <c r="D791" s="31">
        <f>IF(A791="","",TODAY())</f>
        <v/>
      </c>
      <c r="E791" s="30" t="n"/>
      <c r="F791" s="30">
        <f>IFERROR(IF(OR(A791="",E791=""),"",C791-E791),"")</f>
        <v/>
      </c>
      <c r="G791" s="26" t="n"/>
      <c r="H791" s="26" t="n"/>
    </row>
    <row r="792">
      <c r="A792" s="37" t="n"/>
      <c r="B792" s="37">
        <f>IFERROR(IF(A792="","",VLOOKUP(A792,DATABASE!A:B,2,0)),"")</f>
        <v/>
      </c>
      <c r="C792" s="38">
        <f>IFERROR(IF(A792="","",VLOOKUP(A792,DATABASE!A:J,10,0)),"")</f>
        <v/>
      </c>
      <c r="D792" s="39">
        <f>IF(A792="","",TODAY())</f>
        <v/>
      </c>
      <c r="E792" s="38" t="n"/>
      <c r="F792" s="38">
        <f>IFERROR(IF(OR(A792="",E792=""),"",C792-E792),"")</f>
        <v/>
      </c>
      <c r="G792" s="37" t="n"/>
      <c r="H792" s="37" t="n"/>
    </row>
    <row r="793">
      <c r="A793" s="26" t="n"/>
      <c r="B793" s="26">
        <f>IFERROR(IF(A793="","",VLOOKUP(A793,DATABASE!A:B,2,0)),"")</f>
        <v/>
      </c>
      <c r="C793" s="30">
        <f>IFERROR(IF(A793="","",VLOOKUP(A793,DATABASE!A:J,10,0)),"")</f>
        <v/>
      </c>
      <c r="D793" s="31">
        <f>IF(A793="","",TODAY())</f>
        <v/>
      </c>
      <c r="E793" s="30" t="n"/>
      <c r="F793" s="30">
        <f>IFERROR(IF(OR(A793="",E793=""),"",C793-E793),"")</f>
        <v/>
      </c>
      <c r="G793" s="26" t="n"/>
      <c r="H793" s="26" t="n"/>
    </row>
    <row r="794">
      <c r="A794" s="37" t="n"/>
      <c r="B794" s="37">
        <f>IFERROR(IF(A794="","",VLOOKUP(A794,DATABASE!A:B,2,0)),"")</f>
        <v/>
      </c>
      <c r="C794" s="38">
        <f>IFERROR(IF(A794="","",VLOOKUP(A794,DATABASE!A:J,10,0)),"")</f>
        <v/>
      </c>
      <c r="D794" s="39">
        <f>IF(A794="","",TODAY())</f>
        <v/>
      </c>
      <c r="E794" s="38" t="n"/>
      <c r="F794" s="38">
        <f>IFERROR(IF(OR(A794="",E794=""),"",C794-E794),"")</f>
        <v/>
      </c>
      <c r="G794" s="37" t="n"/>
      <c r="H794" s="37" t="n"/>
    </row>
    <row r="795">
      <c r="A795" s="26" t="n"/>
      <c r="B795" s="26">
        <f>IFERROR(IF(A795="","",VLOOKUP(A795,DATABASE!A:B,2,0)),"")</f>
        <v/>
      </c>
      <c r="C795" s="30">
        <f>IFERROR(IF(A795="","",VLOOKUP(A795,DATABASE!A:J,10,0)),"")</f>
        <v/>
      </c>
      <c r="D795" s="31">
        <f>IF(A795="","",TODAY())</f>
        <v/>
      </c>
      <c r="E795" s="30" t="n"/>
      <c r="F795" s="30">
        <f>IFERROR(IF(OR(A795="",E795=""),"",C795-E795),"")</f>
        <v/>
      </c>
      <c r="G795" s="26" t="n"/>
      <c r="H795" s="26" t="n"/>
    </row>
    <row r="796">
      <c r="A796" s="37" t="n"/>
      <c r="B796" s="37">
        <f>IFERROR(IF(A796="","",VLOOKUP(A796,DATABASE!A:B,2,0)),"")</f>
        <v/>
      </c>
      <c r="C796" s="38">
        <f>IFERROR(IF(A796="","",VLOOKUP(A796,DATABASE!A:J,10,0)),"")</f>
        <v/>
      </c>
      <c r="D796" s="39">
        <f>IF(A796="","",TODAY())</f>
        <v/>
      </c>
      <c r="E796" s="38" t="n"/>
      <c r="F796" s="38">
        <f>IFERROR(IF(OR(A796="",E796=""),"",C796-E796),"")</f>
        <v/>
      </c>
      <c r="G796" s="37" t="n"/>
      <c r="H796" s="37" t="n"/>
    </row>
    <row r="797">
      <c r="A797" s="26" t="n"/>
      <c r="B797" s="26">
        <f>IFERROR(IF(A797="","",VLOOKUP(A797,DATABASE!A:B,2,0)),"")</f>
        <v/>
      </c>
      <c r="C797" s="30">
        <f>IFERROR(IF(A797="","",VLOOKUP(A797,DATABASE!A:J,10,0)),"")</f>
        <v/>
      </c>
      <c r="D797" s="31">
        <f>IF(A797="","",TODAY())</f>
        <v/>
      </c>
      <c r="E797" s="30" t="n"/>
      <c r="F797" s="30">
        <f>IFERROR(IF(OR(A797="",E797=""),"",C797-E797),"")</f>
        <v/>
      </c>
      <c r="G797" s="26" t="n"/>
      <c r="H797" s="26" t="n"/>
    </row>
    <row r="798">
      <c r="A798" s="37" t="n"/>
      <c r="B798" s="37">
        <f>IFERROR(IF(A798="","",VLOOKUP(A798,DATABASE!A:B,2,0)),"")</f>
        <v/>
      </c>
      <c r="C798" s="38">
        <f>IFERROR(IF(A798="","",VLOOKUP(A798,DATABASE!A:J,10,0)),"")</f>
        <v/>
      </c>
      <c r="D798" s="39">
        <f>IF(A798="","",TODAY())</f>
        <v/>
      </c>
      <c r="E798" s="38" t="n"/>
      <c r="F798" s="38">
        <f>IFERROR(IF(OR(A798="",E798=""),"",C798-E798),"")</f>
        <v/>
      </c>
      <c r="G798" s="37" t="n"/>
      <c r="H798" s="37" t="n"/>
    </row>
    <row r="799">
      <c r="A799" s="26" t="n"/>
      <c r="B799" s="26">
        <f>IFERROR(IF(A799="","",VLOOKUP(A799,DATABASE!A:B,2,0)),"")</f>
        <v/>
      </c>
      <c r="C799" s="30">
        <f>IFERROR(IF(A799="","",VLOOKUP(A799,DATABASE!A:J,10,0)),"")</f>
        <v/>
      </c>
      <c r="D799" s="31">
        <f>IF(A799="","",TODAY())</f>
        <v/>
      </c>
      <c r="E799" s="30" t="n"/>
      <c r="F799" s="30">
        <f>IFERROR(IF(OR(A799="",E799=""),"",C799-E799),"")</f>
        <v/>
      </c>
      <c r="G799" s="26" t="n"/>
      <c r="H799" s="26" t="n"/>
    </row>
    <row r="800">
      <c r="A800" s="37" t="n"/>
      <c r="B800" s="37">
        <f>IFERROR(IF(A800="","",VLOOKUP(A800,DATABASE!A:B,2,0)),"")</f>
        <v/>
      </c>
      <c r="C800" s="38">
        <f>IFERROR(IF(A800="","",VLOOKUP(A800,DATABASE!A:J,10,0)),"")</f>
        <v/>
      </c>
      <c r="D800" s="39">
        <f>IF(A800="","",TODAY())</f>
        <v/>
      </c>
      <c r="E800" s="38" t="n"/>
      <c r="F800" s="38">
        <f>IFERROR(IF(OR(A800="",E800=""),"",C800-E800),"")</f>
        <v/>
      </c>
      <c r="G800" s="37" t="n"/>
      <c r="H800" s="37" t="n"/>
    </row>
    <row r="801">
      <c r="A801" s="26" t="n"/>
      <c r="B801" s="26">
        <f>IFERROR(IF(A801="","",VLOOKUP(A801,DATABASE!A:B,2,0)),"")</f>
        <v/>
      </c>
      <c r="C801" s="30">
        <f>IFERROR(IF(A801="","",VLOOKUP(A801,DATABASE!A:J,10,0)),"")</f>
        <v/>
      </c>
      <c r="D801" s="31">
        <f>IF(A801="","",TODAY())</f>
        <v/>
      </c>
      <c r="E801" s="30" t="n"/>
      <c r="F801" s="30">
        <f>IFERROR(IF(OR(A801="",E801=""),"",C801-E801),"")</f>
        <v/>
      </c>
      <c r="G801" s="26" t="n"/>
      <c r="H801" s="26" t="n"/>
    </row>
    <row r="802">
      <c r="A802" s="37" t="n"/>
      <c r="B802" s="37">
        <f>IFERROR(IF(A802="","",VLOOKUP(A802,DATABASE!A:B,2,0)),"")</f>
        <v/>
      </c>
      <c r="C802" s="38">
        <f>IFERROR(IF(A802="","",VLOOKUP(A802,DATABASE!A:J,10,0)),"")</f>
        <v/>
      </c>
      <c r="D802" s="39">
        <f>IF(A802="","",TODAY())</f>
        <v/>
      </c>
      <c r="E802" s="38" t="n"/>
      <c r="F802" s="38">
        <f>IFERROR(IF(OR(A802="",E802=""),"",C802-E802),"")</f>
        <v/>
      </c>
      <c r="G802" s="37" t="n"/>
      <c r="H802" s="37" t="n"/>
    </row>
    <row r="803">
      <c r="A803" s="26" t="n"/>
      <c r="B803" s="26">
        <f>IFERROR(IF(A803="","",VLOOKUP(A803,DATABASE!A:B,2,0)),"")</f>
        <v/>
      </c>
      <c r="C803" s="30">
        <f>IFERROR(IF(A803="","",VLOOKUP(A803,DATABASE!A:J,10,0)),"")</f>
        <v/>
      </c>
      <c r="D803" s="31">
        <f>IF(A803="","",TODAY())</f>
        <v/>
      </c>
      <c r="E803" s="30" t="n"/>
      <c r="F803" s="30">
        <f>IFERROR(IF(OR(A803="",E803=""),"",C803-E803),"")</f>
        <v/>
      </c>
      <c r="G803" s="26" t="n"/>
      <c r="H803" s="26" t="n"/>
    </row>
    <row r="804">
      <c r="A804" s="37" t="n"/>
      <c r="B804" s="37">
        <f>IFERROR(IF(A804="","",VLOOKUP(A804,DATABASE!A:B,2,0)),"")</f>
        <v/>
      </c>
      <c r="C804" s="38">
        <f>IFERROR(IF(A804="","",VLOOKUP(A804,DATABASE!A:J,10,0)),"")</f>
        <v/>
      </c>
      <c r="D804" s="39">
        <f>IF(A804="","",TODAY())</f>
        <v/>
      </c>
      <c r="E804" s="38" t="n"/>
      <c r="F804" s="38">
        <f>IFERROR(IF(OR(A804="",E804=""),"",C804-E804),"")</f>
        <v/>
      </c>
      <c r="G804" s="37" t="n"/>
      <c r="H804" s="37" t="n"/>
    </row>
    <row r="805">
      <c r="A805" s="26" t="n"/>
      <c r="B805" s="26">
        <f>IFERROR(IF(A805="","",VLOOKUP(A805,DATABASE!A:B,2,0)),"")</f>
        <v/>
      </c>
      <c r="C805" s="30">
        <f>IFERROR(IF(A805="","",VLOOKUP(A805,DATABASE!A:J,10,0)),"")</f>
        <v/>
      </c>
      <c r="D805" s="31">
        <f>IF(A805="","",TODAY())</f>
        <v/>
      </c>
      <c r="E805" s="30" t="n"/>
      <c r="F805" s="30">
        <f>IFERROR(IF(OR(A805="",E805=""),"",C805-E805),"")</f>
        <v/>
      </c>
      <c r="G805" s="26" t="n"/>
      <c r="H805" s="26" t="n"/>
    </row>
    <row r="806">
      <c r="A806" s="37" t="n"/>
      <c r="B806" s="37">
        <f>IFERROR(IF(A806="","",VLOOKUP(A806,DATABASE!A:B,2,0)),"")</f>
        <v/>
      </c>
      <c r="C806" s="38">
        <f>IFERROR(IF(A806="","",VLOOKUP(A806,DATABASE!A:J,10,0)),"")</f>
        <v/>
      </c>
      <c r="D806" s="39">
        <f>IF(A806="","",TODAY())</f>
        <v/>
      </c>
      <c r="E806" s="38" t="n"/>
      <c r="F806" s="38">
        <f>IFERROR(IF(OR(A806="",E806=""),"",C806-E806),"")</f>
        <v/>
      </c>
      <c r="G806" s="37" t="n"/>
      <c r="H806" s="37" t="n"/>
    </row>
    <row r="807">
      <c r="A807" s="26" t="n"/>
      <c r="B807" s="26">
        <f>IFERROR(IF(A807="","",VLOOKUP(A807,DATABASE!A:B,2,0)),"")</f>
        <v/>
      </c>
      <c r="C807" s="30">
        <f>IFERROR(IF(A807="","",VLOOKUP(A807,DATABASE!A:J,10,0)),"")</f>
        <v/>
      </c>
      <c r="D807" s="31">
        <f>IF(A807="","",TODAY())</f>
        <v/>
      </c>
      <c r="E807" s="30" t="n"/>
      <c r="F807" s="30">
        <f>IFERROR(IF(OR(A807="",E807=""),"",C807-E807),"")</f>
        <v/>
      </c>
      <c r="G807" s="26" t="n"/>
      <c r="H807" s="26" t="n"/>
    </row>
    <row r="808">
      <c r="A808" s="37" t="n"/>
      <c r="B808" s="37">
        <f>IFERROR(IF(A808="","",VLOOKUP(A808,DATABASE!A:B,2,0)),"")</f>
        <v/>
      </c>
      <c r="C808" s="38">
        <f>IFERROR(IF(A808="","",VLOOKUP(A808,DATABASE!A:J,10,0)),"")</f>
        <v/>
      </c>
      <c r="D808" s="39">
        <f>IF(A808="","",TODAY())</f>
        <v/>
      </c>
      <c r="E808" s="38" t="n"/>
      <c r="F808" s="38">
        <f>IFERROR(IF(OR(A808="",E808=""),"",C808-E808),"")</f>
        <v/>
      </c>
      <c r="G808" s="37" t="n"/>
      <c r="H808" s="37" t="n"/>
    </row>
    <row r="809">
      <c r="A809" s="26" t="n"/>
      <c r="B809" s="26">
        <f>IFERROR(IF(A809="","",VLOOKUP(A809,DATABASE!A:B,2,0)),"")</f>
        <v/>
      </c>
      <c r="C809" s="30">
        <f>IFERROR(IF(A809="","",VLOOKUP(A809,DATABASE!A:J,10,0)),"")</f>
        <v/>
      </c>
      <c r="D809" s="31">
        <f>IF(A809="","",TODAY())</f>
        <v/>
      </c>
      <c r="E809" s="30" t="n"/>
      <c r="F809" s="30">
        <f>IFERROR(IF(OR(A809="",E809=""),"",C809-E809),"")</f>
        <v/>
      </c>
      <c r="G809" s="26" t="n"/>
      <c r="H809" s="26" t="n"/>
    </row>
    <row r="810">
      <c r="A810" s="37" t="n"/>
      <c r="B810" s="37">
        <f>IFERROR(IF(A810="","",VLOOKUP(A810,DATABASE!A:B,2,0)),"")</f>
        <v/>
      </c>
      <c r="C810" s="38">
        <f>IFERROR(IF(A810="","",VLOOKUP(A810,DATABASE!A:J,10,0)),"")</f>
        <v/>
      </c>
      <c r="D810" s="39">
        <f>IF(A810="","",TODAY())</f>
        <v/>
      </c>
      <c r="E810" s="38" t="n"/>
      <c r="F810" s="38">
        <f>IFERROR(IF(OR(A810="",E810=""),"",C810-E810),"")</f>
        <v/>
      </c>
      <c r="G810" s="37" t="n"/>
      <c r="H810" s="37" t="n"/>
    </row>
    <row r="811">
      <c r="A811" s="26" t="n"/>
      <c r="B811" s="26">
        <f>IFERROR(IF(A811="","",VLOOKUP(A811,DATABASE!A:B,2,0)),"")</f>
        <v/>
      </c>
      <c r="C811" s="30">
        <f>IFERROR(IF(A811="","",VLOOKUP(A811,DATABASE!A:J,10,0)),"")</f>
        <v/>
      </c>
      <c r="D811" s="31">
        <f>IF(A811="","",TODAY())</f>
        <v/>
      </c>
      <c r="E811" s="30" t="n"/>
      <c r="F811" s="30">
        <f>IFERROR(IF(OR(A811="",E811=""),"",C811-E811),"")</f>
        <v/>
      </c>
      <c r="G811" s="26" t="n"/>
      <c r="H811" s="26" t="n"/>
    </row>
    <row r="812">
      <c r="A812" s="37" t="n"/>
      <c r="B812" s="37">
        <f>IFERROR(IF(A812="","",VLOOKUP(A812,DATABASE!A:B,2,0)),"")</f>
        <v/>
      </c>
      <c r="C812" s="38">
        <f>IFERROR(IF(A812="","",VLOOKUP(A812,DATABASE!A:J,10,0)),"")</f>
        <v/>
      </c>
      <c r="D812" s="39">
        <f>IF(A812="","",TODAY())</f>
        <v/>
      </c>
      <c r="E812" s="38" t="n"/>
      <c r="F812" s="38">
        <f>IFERROR(IF(OR(A812="",E812=""),"",C812-E812),"")</f>
        <v/>
      </c>
      <c r="G812" s="37" t="n"/>
      <c r="H812" s="37" t="n"/>
    </row>
    <row r="813">
      <c r="A813" s="26" t="n"/>
      <c r="B813" s="26">
        <f>IFERROR(IF(A813="","",VLOOKUP(A813,DATABASE!A:B,2,0)),"")</f>
        <v/>
      </c>
      <c r="C813" s="30">
        <f>IFERROR(IF(A813="","",VLOOKUP(A813,DATABASE!A:J,10,0)),"")</f>
        <v/>
      </c>
      <c r="D813" s="31">
        <f>IF(A813="","",TODAY())</f>
        <v/>
      </c>
      <c r="E813" s="30" t="n"/>
      <c r="F813" s="30">
        <f>IFERROR(IF(OR(A813="",E813=""),"",C813-E813),"")</f>
        <v/>
      </c>
      <c r="G813" s="26" t="n"/>
      <c r="H813" s="26" t="n"/>
    </row>
    <row r="814">
      <c r="A814" s="37" t="n"/>
      <c r="B814" s="37">
        <f>IFERROR(IF(A814="","",VLOOKUP(A814,DATABASE!A:B,2,0)),"")</f>
        <v/>
      </c>
      <c r="C814" s="38">
        <f>IFERROR(IF(A814="","",VLOOKUP(A814,DATABASE!A:J,10,0)),"")</f>
        <v/>
      </c>
      <c r="D814" s="39">
        <f>IF(A814="","",TODAY())</f>
        <v/>
      </c>
      <c r="E814" s="38" t="n"/>
      <c r="F814" s="38">
        <f>IFERROR(IF(OR(A814="",E814=""),"",C814-E814),"")</f>
        <v/>
      </c>
      <c r="G814" s="37" t="n"/>
      <c r="H814" s="37" t="n"/>
    </row>
    <row r="815">
      <c r="A815" s="26" t="n"/>
      <c r="B815" s="26">
        <f>IFERROR(IF(A815="","",VLOOKUP(A815,DATABASE!A:B,2,0)),"")</f>
        <v/>
      </c>
      <c r="C815" s="30">
        <f>IFERROR(IF(A815="","",VLOOKUP(A815,DATABASE!A:J,10,0)),"")</f>
        <v/>
      </c>
      <c r="D815" s="31">
        <f>IF(A815="","",TODAY())</f>
        <v/>
      </c>
      <c r="E815" s="30" t="n"/>
      <c r="F815" s="30">
        <f>IFERROR(IF(OR(A815="",E815=""),"",C815-E815),"")</f>
        <v/>
      </c>
      <c r="G815" s="26" t="n"/>
      <c r="H815" s="26" t="n"/>
    </row>
    <row r="816">
      <c r="A816" s="37" t="n"/>
      <c r="B816" s="37">
        <f>IFERROR(IF(A816="","",VLOOKUP(A816,DATABASE!A:B,2,0)),"")</f>
        <v/>
      </c>
      <c r="C816" s="38">
        <f>IFERROR(IF(A816="","",VLOOKUP(A816,DATABASE!A:J,10,0)),"")</f>
        <v/>
      </c>
      <c r="D816" s="39">
        <f>IF(A816="","",TODAY())</f>
        <v/>
      </c>
      <c r="E816" s="38" t="n"/>
      <c r="F816" s="38">
        <f>IFERROR(IF(OR(A816="",E816=""),"",C816-E816),"")</f>
        <v/>
      </c>
      <c r="G816" s="37" t="n"/>
      <c r="H816" s="37" t="n"/>
    </row>
    <row r="817">
      <c r="A817" s="26" t="n"/>
      <c r="B817" s="26">
        <f>IFERROR(IF(A817="","",VLOOKUP(A817,DATABASE!A:B,2,0)),"")</f>
        <v/>
      </c>
      <c r="C817" s="30">
        <f>IFERROR(IF(A817="","",VLOOKUP(A817,DATABASE!A:J,10,0)),"")</f>
        <v/>
      </c>
      <c r="D817" s="31">
        <f>IF(A817="","",TODAY())</f>
        <v/>
      </c>
      <c r="E817" s="30" t="n"/>
      <c r="F817" s="30">
        <f>IFERROR(IF(OR(A817="",E817=""),"",C817-E817),"")</f>
        <v/>
      </c>
      <c r="G817" s="26" t="n"/>
      <c r="H817" s="26" t="n"/>
    </row>
    <row r="818">
      <c r="A818" s="37" t="n"/>
      <c r="B818" s="37">
        <f>IFERROR(IF(A818="","",VLOOKUP(A818,DATABASE!A:B,2,0)),"")</f>
        <v/>
      </c>
      <c r="C818" s="38">
        <f>IFERROR(IF(A818="","",VLOOKUP(A818,DATABASE!A:J,10,0)),"")</f>
        <v/>
      </c>
      <c r="D818" s="39">
        <f>IF(A818="","",TODAY())</f>
        <v/>
      </c>
      <c r="E818" s="38" t="n"/>
      <c r="F818" s="38">
        <f>IFERROR(IF(OR(A818="",E818=""),"",C818-E818),"")</f>
        <v/>
      </c>
      <c r="G818" s="37" t="n"/>
      <c r="H818" s="37" t="n"/>
    </row>
    <row r="819">
      <c r="A819" s="26" t="n"/>
      <c r="B819" s="26">
        <f>IFERROR(IF(A819="","",VLOOKUP(A819,DATABASE!A:B,2,0)),"")</f>
        <v/>
      </c>
      <c r="C819" s="30">
        <f>IFERROR(IF(A819="","",VLOOKUP(A819,DATABASE!A:J,10,0)),"")</f>
        <v/>
      </c>
      <c r="D819" s="31">
        <f>IF(A819="","",TODAY())</f>
        <v/>
      </c>
      <c r="E819" s="30" t="n"/>
      <c r="F819" s="30">
        <f>IFERROR(IF(OR(A819="",E819=""),"",C819-E819),"")</f>
        <v/>
      </c>
      <c r="G819" s="26" t="n"/>
      <c r="H819" s="26" t="n"/>
    </row>
    <row r="820">
      <c r="A820" s="37" t="n"/>
      <c r="B820" s="37">
        <f>IFERROR(IF(A820="","",VLOOKUP(A820,DATABASE!A:B,2,0)),"")</f>
        <v/>
      </c>
      <c r="C820" s="38">
        <f>IFERROR(IF(A820="","",VLOOKUP(A820,DATABASE!A:J,10,0)),"")</f>
        <v/>
      </c>
      <c r="D820" s="39">
        <f>IF(A820="","",TODAY())</f>
        <v/>
      </c>
      <c r="E820" s="38" t="n"/>
      <c r="F820" s="38">
        <f>IFERROR(IF(OR(A820="",E820=""),"",C820-E820),"")</f>
        <v/>
      </c>
      <c r="G820" s="37" t="n"/>
      <c r="H820" s="37" t="n"/>
    </row>
    <row r="821">
      <c r="A821" s="26" t="n"/>
      <c r="B821" s="26">
        <f>IFERROR(IF(A821="","",VLOOKUP(A821,DATABASE!A:B,2,0)),"")</f>
        <v/>
      </c>
      <c r="C821" s="30">
        <f>IFERROR(IF(A821="","",VLOOKUP(A821,DATABASE!A:J,10,0)),"")</f>
        <v/>
      </c>
      <c r="D821" s="31">
        <f>IF(A821="","",TODAY())</f>
        <v/>
      </c>
      <c r="E821" s="30" t="n"/>
      <c r="F821" s="30">
        <f>IFERROR(IF(OR(A821="",E821=""),"",C821-E821),"")</f>
        <v/>
      </c>
      <c r="G821" s="26" t="n"/>
      <c r="H821" s="26" t="n"/>
    </row>
    <row r="822">
      <c r="A822" s="37" t="n"/>
      <c r="B822" s="37">
        <f>IFERROR(IF(A822="","",VLOOKUP(A822,DATABASE!A:B,2,0)),"")</f>
        <v/>
      </c>
      <c r="C822" s="38">
        <f>IFERROR(IF(A822="","",VLOOKUP(A822,DATABASE!A:J,10,0)),"")</f>
        <v/>
      </c>
      <c r="D822" s="39">
        <f>IF(A822="","",TODAY())</f>
        <v/>
      </c>
      <c r="E822" s="38" t="n"/>
      <c r="F822" s="38">
        <f>IFERROR(IF(OR(A822="",E822=""),"",C822-E822),"")</f>
        <v/>
      </c>
      <c r="G822" s="37" t="n"/>
      <c r="H822" s="37" t="n"/>
    </row>
    <row r="823">
      <c r="A823" s="26" t="n"/>
      <c r="B823" s="26">
        <f>IFERROR(IF(A823="","",VLOOKUP(A823,DATABASE!A:B,2,0)),"")</f>
        <v/>
      </c>
      <c r="C823" s="30">
        <f>IFERROR(IF(A823="","",VLOOKUP(A823,DATABASE!A:J,10,0)),"")</f>
        <v/>
      </c>
      <c r="D823" s="31">
        <f>IF(A823="","",TODAY())</f>
        <v/>
      </c>
      <c r="E823" s="30" t="n"/>
      <c r="F823" s="30">
        <f>IFERROR(IF(OR(A823="",E823=""),"",C823-E823),"")</f>
        <v/>
      </c>
      <c r="G823" s="26" t="n"/>
      <c r="H823" s="26" t="n"/>
    </row>
    <row r="824">
      <c r="A824" s="37" t="n"/>
      <c r="B824" s="37">
        <f>IFERROR(IF(A824="","",VLOOKUP(A824,DATABASE!A:B,2,0)),"")</f>
        <v/>
      </c>
      <c r="C824" s="38">
        <f>IFERROR(IF(A824="","",VLOOKUP(A824,DATABASE!A:J,10,0)),"")</f>
        <v/>
      </c>
      <c r="D824" s="39">
        <f>IF(A824="","",TODAY())</f>
        <v/>
      </c>
      <c r="E824" s="38" t="n"/>
      <c r="F824" s="38">
        <f>IFERROR(IF(OR(A824="",E824=""),"",C824-E824),"")</f>
        <v/>
      </c>
      <c r="G824" s="37" t="n"/>
      <c r="H824" s="37" t="n"/>
    </row>
    <row r="825">
      <c r="A825" s="26" t="n"/>
      <c r="B825" s="26">
        <f>IFERROR(IF(A825="","",VLOOKUP(A825,DATABASE!A:B,2,0)),"")</f>
        <v/>
      </c>
      <c r="C825" s="30">
        <f>IFERROR(IF(A825="","",VLOOKUP(A825,DATABASE!A:J,10,0)),"")</f>
        <v/>
      </c>
      <c r="D825" s="31">
        <f>IF(A825="","",TODAY())</f>
        <v/>
      </c>
      <c r="E825" s="30" t="n"/>
      <c r="F825" s="30">
        <f>IFERROR(IF(OR(A825="",E825=""),"",C825-E825),"")</f>
        <v/>
      </c>
      <c r="G825" s="26" t="n"/>
      <c r="H825" s="26" t="n"/>
    </row>
    <row r="826">
      <c r="A826" s="37" t="n"/>
      <c r="B826" s="37">
        <f>IFERROR(IF(A826="","",VLOOKUP(A826,DATABASE!A:B,2,0)),"")</f>
        <v/>
      </c>
      <c r="C826" s="38">
        <f>IFERROR(IF(A826="","",VLOOKUP(A826,DATABASE!A:J,10,0)),"")</f>
        <v/>
      </c>
      <c r="D826" s="39">
        <f>IF(A826="","",TODAY())</f>
        <v/>
      </c>
      <c r="E826" s="38" t="n"/>
      <c r="F826" s="38">
        <f>IFERROR(IF(OR(A826="",E826=""),"",C826-E826),"")</f>
        <v/>
      </c>
      <c r="G826" s="37" t="n"/>
      <c r="H826" s="37" t="n"/>
    </row>
    <row r="827">
      <c r="A827" s="26" t="n"/>
      <c r="B827" s="26">
        <f>IFERROR(IF(A827="","",VLOOKUP(A827,DATABASE!A:B,2,0)),"")</f>
        <v/>
      </c>
      <c r="C827" s="30">
        <f>IFERROR(IF(A827="","",VLOOKUP(A827,DATABASE!A:J,10,0)),"")</f>
        <v/>
      </c>
      <c r="D827" s="31">
        <f>IF(A827="","",TODAY())</f>
        <v/>
      </c>
      <c r="E827" s="30" t="n"/>
      <c r="F827" s="30">
        <f>IFERROR(IF(OR(A827="",E827=""),"",C827-E827),"")</f>
        <v/>
      </c>
      <c r="G827" s="26" t="n"/>
      <c r="H827" s="26" t="n"/>
    </row>
    <row r="828">
      <c r="A828" s="37" t="n"/>
      <c r="B828" s="37">
        <f>IFERROR(IF(A828="","",VLOOKUP(A828,DATABASE!A:B,2,0)),"")</f>
        <v/>
      </c>
      <c r="C828" s="38">
        <f>IFERROR(IF(A828="","",VLOOKUP(A828,DATABASE!A:J,10,0)),"")</f>
        <v/>
      </c>
      <c r="D828" s="39">
        <f>IF(A828="","",TODAY())</f>
        <v/>
      </c>
      <c r="E828" s="38" t="n"/>
      <c r="F828" s="38">
        <f>IFERROR(IF(OR(A828="",E828=""),"",C828-E828),"")</f>
        <v/>
      </c>
      <c r="G828" s="37" t="n"/>
      <c r="H828" s="37" t="n"/>
    </row>
    <row r="829">
      <c r="A829" s="26" t="n"/>
      <c r="B829" s="26">
        <f>IFERROR(IF(A829="","",VLOOKUP(A829,DATABASE!A:B,2,0)),"")</f>
        <v/>
      </c>
      <c r="C829" s="30">
        <f>IFERROR(IF(A829="","",VLOOKUP(A829,DATABASE!A:J,10,0)),"")</f>
        <v/>
      </c>
      <c r="D829" s="31">
        <f>IF(A829="","",TODAY())</f>
        <v/>
      </c>
      <c r="E829" s="30" t="n"/>
      <c r="F829" s="30">
        <f>IFERROR(IF(OR(A829="",E829=""),"",C829-E829),"")</f>
        <v/>
      </c>
      <c r="G829" s="26" t="n"/>
      <c r="H829" s="26" t="n"/>
    </row>
    <row r="830">
      <c r="A830" s="37" t="n"/>
      <c r="B830" s="37">
        <f>IFERROR(IF(A830="","",VLOOKUP(A830,DATABASE!A:B,2,0)),"")</f>
        <v/>
      </c>
      <c r="C830" s="38">
        <f>IFERROR(IF(A830="","",VLOOKUP(A830,DATABASE!A:J,10,0)),"")</f>
        <v/>
      </c>
      <c r="D830" s="39">
        <f>IF(A830="","",TODAY())</f>
        <v/>
      </c>
      <c r="E830" s="38" t="n"/>
      <c r="F830" s="38">
        <f>IFERROR(IF(OR(A830="",E830=""),"",C830-E830),"")</f>
        <v/>
      </c>
      <c r="G830" s="37" t="n"/>
      <c r="H830" s="37" t="n"/>
    </row>
    <row r="831">
      <c r="A831" s="26" t="n"/>
      <c r="B831" s="26">
        <f>IFERROR(IF(A831="","",VLOOKUP(A831,DATABASE!A:B,2,0)),"")</f>
        <v/>
      </c>
      <c r="C831" s="30">
        <f>IFERROR(IF(A831="","",VLOOKUP(A831,DATABASE!A:J,10,0)),"")</f>
        <v/>
      </c>
      <c r="D831" s="31">
        <f>IF(A831="","",TODAY())</f>
        <v/>
      </c>
      <c r="E831" s="30" t="n"/>
      <c r="F831" s="30">
        <f>IFERROR(IF(OR(A831="",E831=""),"",C831-E831),"")</f>
        <v/>
      </c>
      <c r="G831" s="26" t="n"/>
      <c r="H831" s="26" t="n"/>
    </row>
    <row r="832">
      <c r="A832" s="37" t="n"/>
      <c r="B832" s="37">
        <f>IFERROR(IF(A832="","",VLOOKUP(A832,DATABASE!A:B,2,0)),"")</f>
        <v/>
      </c>
      <c r="C832" s="38">
        <f>IFERROR(IF(A832="","",VLOOKUP(A832,DATABASE!A:J,10,0)),"")</f>
        <v/>
      </c>
      <c r="D832" s="39">
        <f>IF(A832="","",TODAY())</f>
        <v/>
      </c>
      <c r="E832" s="38" t="n"/>
      <c r="F832" s="38">
        <f>IFERROR(IF(OR(A832="",E832=""),"",C832-E832),"")</f>
        <v/>
      </c>
      <c r="G832" s="37" t="n"/>
      <c r="H832" s="37" t="n"/>
    </row>
    <row r="833">
      <c r="A833" s="26" t="n"/>
      <c r="B833" s="26">
        <f>IFERROR(IF(A833="","",VLOOKUP(A833,DATABASE!A:B,2,0)),"")</f>
        <v/>
      </c>
      <c r="C833" s="30">
        <f>IFERROR(IF(A833="","",VLOOKUP(A833,DATABASE!A:J,10,0)),"")</f>
        <v/>
      </c>
      <c r="D833" s="31">
        <f>IF(A833="","",TODAY())</f>
        <v/>
      </c>
      <c r="E833" s="30" t="n"/>
      <c r="F833" s="30">
        <f>IFERROR(IF(OR(A833="",E833=""),"",C833-E833),"")</f>
        <v/>
      </c>
      <c r="G833" s="26" t="n"/>
      <c r="H833" s="26" t="n"/>
    </row>
    <row r="834">
      <c r="A834" s="37" t="n"/>
      <c r="B834" s="37">
        <f>IFERROR(IF(A834="","",VLOOKUP(A834,DATABASE!A:B,2,0)),"")</f>
        <v/>
      </c>
      <c r="C834" s="38">
        <f>IFERROR(IF(A834="","",VLOOKUP(A834,DATABASE!A:J,10,0)),"")</f>
        <v/>
      </c>
      <c r="D834" s="39">
        <f>IF(A834="","",TODAY())</f>
        <v/>
      </c>
      <c r="E834" s="38" t="n"/>
      <c r="F834" s="38">
        <f>IFERROR(IF(OR(A834="",E834=""),"",C834-E834),"")</f>
        <v/>
      </c>
      <c r="G834" s="37" t="n"/>
      <c r="H834" s="37" t="n"/>
    </row>
    <row r="835">
      <c r="A835" s="26" t="n"/>
      <c r="B835" s="26">
        <f>IFERROR(IF(A835="","",VLOOKUP(A835,DATABASE!A:B,2,0)),"")</f>
        <v/>
      </c>
      <c r="C835" s="30">
        <f>IFERROR(IF(A835="","",VLOOKUP(A835,DATABASE!A:J,10,0)),"")</f>
        <v/>
      </c>
      <c r="D835" s="31">
        <f>IF(A835="","",TODAY())</f>
        <v/>
      </c>
      <c r="E835" s="30" t="n"/>
      <c r="F835" s="30">
        <f>IFERROR(IF(OR(A835="",E835=""),"",C835-E835),"")</f>
        <v/>
      </c>
      <c r="G835" s="26" t="n"/>
      <c r="H835" s="26" t="n"/>
    </row>
    <row r="836">
      <c r="A836" s="37" t="n"/>
      <c r="B836" s="37">
        <f>IFERROR(IF(A836="","",VLOOKUP(A836,DATABASE!A:B,2,0)),"")</f>
        <v/>
      </c>
      <c r="C836" s="38">
        <f>IFERROR(IF(A836="","",VLOOKUP(A836,DATABASE!A:J,10,0)),"")</f>
        <v/>
      </c>
      <c r="D836" s="39">
        <f>IF(A836="","",TODAY())</f>
        <v/>
      </c>
      <c r="E836" s="38" t="n"/>
      <c r="F836" s="38">
        <f>IFERROR(IF(OR(A836="",E836=""),"",C836-E836),"")</f>
        <v/>
      </c>
      <c r="G836" s="37" t="n"/>
      <c r="H836" s="37" t="n"/>
    </row>
    <row r="837">
      <c r="A837" s="26" t="n"/>
      <c r="B837" s="26">
        <f>IFERROR(IF(A837="","",VLOOKUP(A837,DATABASE!A:B,2,0)),"")</f>
        <v/>
      </c>
      <c r="C837" s="30">
        <f>IFERROR(IF(A837="","",VLOOKUP(A837,DATABASE!A:J,10,0)),"")</f>
        <v/>
      </c>
      <c r="D837" s="31">
        <f>IF(A837="","",TODAY())</f>
        <v/>
      </c>
      <c r="E837" s="30" t="n"/>
      <c r="F837" s="30">
        <f>IFERROR(IF(OR(A837="",E837=""),"",C837-E837),"")</f>
        <v/>
      </c>
      <c r="G837" s="26" t="n"/>
      <c r="H837" s="26" t="n"/>
    </row>
    <row r="838">
      <c r="A838" s="37" t="n"/>
      <c r="B838" s="37">
        <f>IFERROR(IF(A838="","",VLOOKUP(A838,DATABASE!A:B,2,0)),"")</f>
        <v/>
      </c>
      <c r="C838" s="38">
        <f>IFERROR(IF(A838="","",VLOOKUP(A838,DATABASE!A:J,10,0)),"")</f>
        <v/>
      </c>
      <c r="D838" s="39">
        <f>IF(A838="","",TODAY())</f>
        <v/>
      </c>
      <c r="E838" s="38" t="n"/>
      <c r="F838" s="38">
        <f>IFERROR(IF(OR(A838="",E838=""),"",C838-E838),"")</f>
        <v/>
      </c>
      <c r="G838" s="37" t="n"/>
      <c r="H838" s="37" t="n"/>
    </row>
    <row r="839">
      <c r="A839" s="26" t="n"/>
      <c r="B839" s="26">
        <f>IFERROR(IF(A839="","",VLOOKUP(A839,DATABASE!A:B,2,0)),"")</f>
        <v/>
      </c>
      <c r="C839" s="30">
        <f>IFERROR(IF(A839="","",VLOOKUP(A839,DATABASE!A:J,10,0)),"")</f>
        <v/>
      </c>
      <c r="D839" s="31">
        <f>IF(A839="","",TODAY())</f>
        <v/>
      </c>
      <c r="E839" s="30" t="n"/>
      <c r="F839" s="30">
        <f>IFERROR(IF(OR(A839="",E839=""),"",C839-E839),"")</f>
        <v/>
      </c>
      <c r="G839" s="26" t="n"/>
      <c r="H839" s="26" t="n"/>
    </row>
    <row r="840">
      <c r="A840" s="37" t="n"/>
      <c r="B840" s="37">
        <f>IFERROR(IF(A840="","",VLOOKUP(A840,DATABASE!A:B,2,0)),"")</f>
        <v/>
      </c>
      <c r="C840" s="38">
        <f>IFERROR(IF(A840="","",VLOOKUP(A840,DATABASE!A:J,10,0)),"")</f>
        <v/>
      </c>
      <c r="D840" s="39">
        <f>IF(A840="","",TODAY())</f>
        <v/>
      </c>
      <c r="E840" s="38" t="n"/>
      <c r="F840" s="38">
        <f>IFERROR(IF(OR(A840="",E840=""),"",C840-E840),"")</f>
        <v/>
      </c>
      <c r="G840" s="37" t="n"/>
      <c r="H840" s="37" t="n"/>
    </row>
    <row r="841">
      <c r="A841" s="26" t="n"/>
      <c r="B841" s="26">
        <f>IFERROR(IF(A841="","",VLOOKUP(A841,DATABASE!A:B,2,0)),"")</f>
        <v/>
      </c>
      <c r="C841" s="30">
        <f>IFERROR(IF(A841="","",VLOOKUP(A841,DATABASE!A:J,10,0)),"")</f>
        <v/>
      </c>
      <c r="D841" s="31">
        <f>IF(A841="","",TODAY())</f>
        <v/>
      </c>
      <c r="E841" s="30" t="n"/>
      <c r="F841" s="30">
        <f>IFERROR(IF(OR(A841="",E841=""),"",C841-E841),"")</f>
        <v/>
      </c>
      <c r="G841" s="26" t="n"/>
      <c r="H841" s="26" t="n"/>
    </row>
    <row r="842">
      <c r="A842" s="37" t="n"/>
      <c r="B842" s="37">
        <f>IFERROR(IF(A842="","",VLOOKUP(A842,DATABASE!A:B,2,0)),"")</f>
        <v/>
      </c>
      <c r="C842" s="38">
        <f>IFERROR(IF(A842="","",VLOOKUP(A842,DATABASE!A:J,10,0)),"")</f>
        <v/>
      </c>
      <c r="D842" s="39">
        <f>IF(A842="","",TODAY())</f>
        <v/>
      </c>
      <c r="E842" s="38" t="n"/>
      <c r="F842" s="38">
        <f>IFERROR(IF(OR(A842="",E842=""),"",C842-E842),"")</f>
        <v/>
      </c>
      <c r="G842" s="37" t="n"/>
      <c r="H842" s="37" t="n"/>
    </row>
    <row r="843">
      <c r="A843" s="26" t="n"/>
      <c r="B843" s="26">
        <f>IFERROR(IF(A843="","",VLOOKUP(A843,DATABASE!A:B,2,0)),"")</f>
        <v/>
      </c>
      <c r="C843" s="30">
        <f>IFERROR(IF(A843="","",VLOOKUP(A843,DATABASE!A:J,10,0)),"")</f>
        <v/>
      </c>
      <c r="D843" s="31">
        <f>IF(A843="","",TODAY())</f>
        <v/>
      </c>
      <c r="E843" s="30" t="n"/>
      <c r="F843" s="30">
        <f>IFERROR(IF(OR(A843="",E843=""),"",C843-E843),"")</f>
        <v/>
      </c>
      <c r="G843" s="26" t="n"/>
      <c r="H843" s="26" t="n"/>
    </row>
    <row r="844">
      <c r="A844" s="37" t="n"/>
      <c r="B844" s="37">
        <f>IFERROR(IF(A844="","",VLOOKUP(A844,DATABASE!A:B,2,0)),"")</f>
        <v/>
      </c>
      <c r="C844" s="38">
        <f>IFERROR(IF(A844="","",VLOOKUP(A844,DATABASE!A:J,10,0)),"")</f>
        <v/>
      </c>
      <c r="D844" s="39">
        <f>IF(A844="","",TODAY())</f>
        <v/>
      </c>
      <c r="E844" s="38" t="n"/>
      <c r="F844" s="38">
        <f>IFERROR(IF(OR(A844="",E844=""),"",C844-E844),"")</f>
        <v/>
      </c>
      <c r="G844" s="37" t="n"/>
      <c r="H844" s="37" t="n"/>
    </row>
    <row r="845">
      <c r="A845" s="26" t="n"/>
      <c r="B845" s="26">
        <f>IFERROR(IF(A845="","",VLOOKUP(A845,DATABASE!A:B,2,0)),"")</f>
        <v/>
      </c>
      <c r="C845" s="30">
        <f>IFERROR(IF(A845="","",VLOOKUP(A845,DATABASE!A:J,10,0)),"")</f>
        <v/>
      </c>
      <c r="D845" s="31">
        <f>IF(A845="","",TODAY())</f>
        <v/>
      </c>
      <c r="E845" s="30" t="n"/>
      <c r="F845" s="30">
        <f>IFERROR(IF(OR(A845="",E845=""),"",C845-E845),"")</f>
        <v/>
      </c>
      <c r="G845" s="26" t="n"/>
      <c r="H845" s="26" t="n"/>
    </row>
    <row r="846">
      <c r="A846" s="37" t="n"/>
      <c r="B846" s="37">
        <f>IFERROR(IF(A846="","",VLOOKUP(A846,DATABASE!A:B,2,0)),"")</f>
        <v/>
      </c>
      <c r="C846" s="38">
        <f>IFERROR(IF(A846="","",VLOOKUP(A846,DATABASE!A:J,10,0)),"")</f>
        <v/>
      </c>
      <c r="D846" s="39">
        <f>IF(A846="","",TODAY())</f>
        <v/>
      </c>
      <c r="E846" s="38" t="n"/>
      <c r="F846" s="38">
        <f>IFERROR(IF(OR(A846="",E846=""),"",C846-E846),"")</f>
        <v/>
      </c>
      <c r="G846" s="37" t="n"/>
      <c r="H846" s="37" t="n"/>
    </row>
    <row r="847">
      <c r="A847" s="26" t="n"/>
      <c r="B847" s="26">
        <f>IFERROR(IF(A847="","",VLOOKUP(A847,DATABASE!A:B,2,0)),"")</f>
        <v/>
      </c>
      <c r="C847" s="30">
        <f>IFERROR(IF(A847="","",VLOOKUP(A847,DATABASE!A:J,10,0)),"")</f>
        <v/>
      </c>
      <c r="D847" s="31">
        <f>IF(A847="","",TODAY())</f>
        <v/>
      </c>
      <c r="E847" s="30" t="n"/>
      <c r="F847" s="30">
        <f>IFERROR(IF(OR(A847="",E847=""),"",C847-E847),"")</f>
        <v/>
      </c>
      <c r="G847" s="26" t="n"/>
      <c r="H847" s="26" t="n"/>
    </row>
    <row r="848">
      <c r="A848" s="37" t="n"/>
      <c r="B848" s="37">
        <f>IFERROR(IF(A848="","",VLOOKUP(A848,DATABASE!A:B,2,0)),"")</f>
        <v/>
      </c>
      <c r="C848" s="38">
        <f>IFERROR(IF(A848="","",VLOOKUP(A848,DATABASE!A:J,10,0)),"")</f>
        <v/>
      </c>
      <c r="D848" s="39">
        <f>IF(A848="","",TODAY())</f>
        <v/>
      </c>
      <c r="E848" s="38" t="n"/>
      <c r="F848" s="38">
        <f>IFERROR(IF(OR(A848="",E848=""),"",C848-E848),"")</f>
        <v/>
      </c>
      <c r="G848" s="37" t="n"/>
      <c r="H848" s="37" t="n"/>
    </row>
    <row r="849">
      <c r="A849" s="26" t="n"/>
      <c r="B849" s="26">
        <f>IFERROR(IF(A849="","",VLOOKUP(A849,DATABASE!A:B,2,0)),"")</f>
        <v/>
      </c>
      <c r="C849" s="30">
        <f>IFERROR(IF(A849="","",VLOOKUP(A849,DATABASE!A:J,10,0)),"")</f>
        <v/>
      </c>
      <c r="D849" s="31">
        <f>IF(A849="","",TODAY())</f>
        <v/>
      </c>
      <c r="E849" s="30" t="n"/>
      <c r="F849" s="30">
        <f>IFERROR(IF(OR(A849="",E849=""),"",C849-E849),"")</f>
        <v/>
      </c>
      <c r="G849" s="26" t="n"/>
      <c r="H849" s="26" t="n"/>
    </row>
    <row r="850">
      <c r="A850" s="37" t="n"/>
      <c r="B850" s="37">
        <f>IFERROR(IF(A850="","",VLOOKUP(A850,DATABASE!A:B,2,0)),"")</f>
        <v/>
      </c>
      <c r="C850" s="38">
        <f>IFERROR(IF(A850="","",VLOOKUP(A850,DATABASE!A:J,10,0)),"")</f>
        <v/>
      </c>
      <c r="D850" s="39">
        <f>IF(A850="","",TODAY())</f>
        <v/>
      </c>
      <c r="E850" s="38" t="n"/>
      <c r="F850" s="38">
        <f>IFERROR(IF(OR(A850="",E850=""),"",C850-E850),"")</f>
        <v/>
      </c>
      <c r="G850" s="37" t="n"/>
      <c r="H850" s="37" t="n"/>
    </row>
    <row r="851">
      <c r="A851" s="26" t="n"/>
      <c r="B851" s="26">
        <f>IFERROR(IF(A851="","",VLOOKUP(A851,DATABASE!A:B,2,0)),"")</f>
        <v/>
      </c>
      <c r="C851" s="30">
        <f>IFERROR(IF(A851="","",VLOOKUP(A851,DATABASE!A:J,10,0)),"")</f>
        <v/>
      </c>
      <c r="D851" s="31">
        <f>IF(A851="","",TODAY())</f>
        <v/>
      </c>
      <c r="E851" s="30" t="n"/>
      <c r="F851" s="30">
        <f>IFERROR(IF(OR(A851="",E851=""),"",C851-E851),"")</f>
        <v/>
      </c>
      <c r="G851" s="26" t="n"/>
      <c r="H851" s="26" t="n"/>
    </row>
    <row r="852">
      <c r="A852" s="37" t="n"/>
      <c r="B852" s="37">
        <f>IFERROR(IF(A852="","",VLOOKUP(A852,DATABASE!A:B,2,0)),"")</f>
        <v/>
      </c>
      <c r="C852" s="38">
        <f>IFERROR(IF(A852="","",VLOOKUP(A852,DATABASE!A:J,10,0)),"")</f>
        <v/>
      </c>
      <c r="D852" s="39">
        <f>IF(A852="","",TODAY())</f>
        <v/>
      </c>
      <c r="E852" s="38" t="n"/>
      <c r="F852" s="38">
        <f>IFERROR(IF(OR(A852="",E852=""),"",C852-E852),"")</f>
        <v/>
      </c>
      <c r="G852" s="37" t="n"/>
      <c r="H852" s="37" t="n"/>
    </row>
    <row r="853">
      <c r="A853" s="26" t="n"/>
      <c r="B853" s="26">
        <f>IFERROR(IF(A853="","",VLOOKUP(A853,DATABASE!A:B,2,0)),"")</f>
        <v/>
      </c>
      <c r="C853" s="30">
        <f>IFERROR(IF(A853="","",VLOOKUP(A853,DATABASE!A:J,10,0)),"")</f>
        <v/>
      </c>
      <c r="D853" s="31">
        <f>IF(A853="","",TODAY())</f>
        <v/>
      </c>
      <c r="E853" s="30" t="n"/>
      <c r="F853" s="30">
        <f>IFERROR(IF(OR(A853="",E853=""),"",C853-E853),"")</f>
        <v/>
      </c>
      <c r="G853" s="26" t="n"/>
      <c r="H853" s="26" t="n"/>
    </row>
    <row r="854">
      <c r="A854" s="37" t="n"/>
      <c r="B854" s="37">
        <f>IFERROR(IF(A854="","",VLOOKUP(A854,DATABASE!A:B,2,0)),"")</f>
        <v/>
      </c>
      <c r="C854" s="38">
        <f>IFERROR(IF(A854="","",VLOOKUP(A854,DATABASE!A:J,10,0)),"")</f>
        <v/>
      </c>
      <c r="D854" s="39">
        <f>IF(A854="","",TODAY())</f>
        <v/>
      </c>
      <c r="E854" s="38" t="n"/>
      <c r="F854" s="38">
        <f>IFERROR(IF(OR(A854="",E854=""),"",C854-E854),"")</f>
        <v/>
      </c>
      <c r="G854" s="37" t="n"/>
      <c r="H854" s="37" t="n"/>
    </row>
    <row r="855">
      <c r="A855" s="26" t="n"/>
      <c r="B855" s="26">
        <f>IFERROR(IF(A855="","",VLOOKUP(A855,DATABASE!A:B,2,0)),"")</f>
        <v/>
      </c>
      <c r="C855" s="30">
        <f>IFERROR(IF(A855="","",VLOOKUP(A855,DATABASE!A:J,10,0)),"")</f>
        <v/>
      </c>
      <c r="D855" s="31">
        <f>IF(A855="","",TODAY())</f>
        <v/>
      </c>
      <c r="E855" s="30" t="n"/>
      <c r="F855" s="30">
        <f>IFERROR(IF(OR(A855="",E855=""),"",C855-E855),"")</f>
        <v/>
      </c>
      <c r="G855" s="26" t="n"/>
      <c r="H855" s="26" t="n"/>
    </row>
    <row r="856">
      <c r="A856" s="37" t="n"/>
      <c r="B856" s="37">
        <f>IFERROR(IF(A856="","",VLOOKUP(A856,DATABASE!A:B,2,0)),"")</f>
        <v/>
      </c>
      <c r="C856" s="38">
        <f>IFERROR(IF(A856="","",VLOOKUP(A856,DATABASE!A:J,10,0)),"")</f>
        <v/>
      </c>
      <c r="D856" s="39">
        <f>IF(A856="","",TODAY())</f>
        <v/>
      </c>
      <c r="E856" s="38" t="n"/>
      <c r="F856" s="38">
        <f>IFERROR(IF(OR(A856="",E856=""),"",C856-E856),"")</f>
        <v/>
      </c>
      <c r="G856" s="37" t="n"/>
      <c r="H856" s="37" t="n"/>
    </row>
    <row r="857">
      <c r="A857" s="26" t="n"/>
      <c r="B857" s="26">
        <f>IFERROR(IF(A857="","",VLOOKUP(A857,DATABASE!A:B,2,0)),"")</f>
        <v/>
      </c>
      <c r="C857" s="30">
        <f>IFERROR(IF(A857="","",VLOOKUP(A857,DATABASE!A:J,10,0)),"")</f>
        <v/>
      </c>
      <c r="D857" s="31">
        <f>IF(A857="","",TODAY())</f>
        <v/>
      </c>
      <c r="E857" s="30" t="n"/>
      <c r="F857" s="30">
        <f>IFERROR(IF(OR(A857="",E857=""),"",C857-E857),"")</f>
        <v/>
      </c>
      <c r="G857" s="26" t="n"/>
      <c r="H857" s="26" t="n"/>
    </row>
    <row r="858">
      <c r="A858" s="37" t="n"/>
      <c r="B858" s="37">
        <f>IFERROR(IF(A858="","",VLOOKUP(A858,DATABASE!A:B,2,0)),"")</f>
        <v/>
      </c>
      <c r="C858" s="38">
        <f>IFERROR(IF(A858="","",VLOOKUP(A858,DATABASE!A:J,10,0)),"")</f>
        <v/>
      </c>
      <c r="D858" s="39">
        <f>IF(A858="","",TODAY())</f>
        <v/>
      </c>
      <c r="E858" s="38" t="n"/>
      <c r="F858" s="38">
        <f>IFERROR(IF(OR(A858="",E858=""),"",C858-E858),"")</f>
        <v/>
      </c>
      <c r="G858" s="37" t="n"/>
      <c r="H858" s="37" t="n"/>
    </row>
    <row r="859">
      <c r="A859" s="26" t="n"/>
      <c r="B859" s="26">
        <f>IFERROR(IF(A859="","",VLOOKUP(A859,DATABASE!A:B,2,0)),"")</f>
        <v/>
      </c>
      <c r="C859" s="30">
        <f>IFERROR(IF(A859="","",VLOOKUP(A859,DATABASE!A:J,10,0)),"")</f>
        <v/>
      </c>
      <c r="D859" s="31">
        <f>IF(A859="","",TODAY())</f>
        <v/>
      </c>
      <c r="E859" s="30" t="n"/>
      <c r="F859" s="30">
        <f>IFERROR(IF(OR(A859="",E859=""),"",C859-E859),"")</f>
        <v/>
      </c>
      <c r="G859" s="26" t="n"/>
      <c r="H859" s="26" t="n"/>
    </row>
    <row r="860">
      <c r="A860" s="37" t="n"/>
      <c r="B860" s="37">
        <f>IFERROR(IF(A860="","",VLOOKUP(A860,DATABASE!A:B,2,0)),"")</f>
        <v/>
      </c>
      <c r="C860" s="38">
        <f>IFERROR(IF(A860="","",VLOOKUP(A860,DATABASE!A:J,10,0)),"")</f>
        <v/>
      </c>
      <c r="D860" s="39">
        <f>IF(A860="","",TODAY())</f>
        <v/>
      </c>
      <c r="E860" s="38" t="n"/>
      <c r="F860" s="38">
        <f>IFERROR(IF(OR(A860="",E860=""),"",C860-E860),"")</f>
        <v/>
      </c>
      <c r="G860" s="37" t="n"/>
      <c r="H860" s="37" t="n"/>
    </row>
    <row r="861">
      <c r="A861" s="26" t="n"/>
      <c r="B861" s="26">
        <f>IFERROR(IF(A861="","",VLOOKUP(A861,DATABASE!A:B,2,0)),"")</f>
        <v/>
      </c>
      <c r="C861" s="30">
        <f>IFERROR(IF(A861="","",VLOOKUP(A861,DATABASE!A:J,10,0)),"")</f>
        <v/>
      </c>
      <c r="D861" s="31">
        <f>IF(A861="","",TODAY())</f>
        <v/>
      </c>
      <c r="E861" s="30" t="n"/>
      <c r="F861" s="30">
        <f>IFERROR(IF(OR(A861="",E861=""),"",C861-E861),"")</f>
        <v/>
      </c>
      <c r="G861" s="26" t="n"/>
      <c r="H861" s="26" t="n"/>
    </row>
    <row r="862">
      <c r="A862" s="37" t="n"/>
      <c r="B862" s="37">
        <f>IFERROR(IF(A862="","",VLOOKUP(A862,DATABASE!A:B,2,0)),"")</f>
        <v/>
      </c>
      <c r="C862" s="38">
        <f>IFERROR(IF(A862="","",VLOOKUP(A862,DATABASE!A:J,10,0)),"")</f>
        <v/>
      </c>
      <c r="D862" s="39">
        <f>IF(A862="","",TODAY())</f>
        <v/>
      </c>
      <c r="E862" s="38" t="n"/>
      <c r="F862" s="38">
        <f>IFERROR(IF(OR(A862="",E862=""),"",C862-E862),"")</f>
        <v/>
      </c>
      <c r="G862" s="37" t="n"/>
      <c r="H862" s="37" t="n"/>
    </row>
    <row r="863">
      <c r="A863" s="26" t="n"/>
      <c r="B863" s="26">
        <f>IFERROR(IF(A863="","",VLOOKUP(A863,DATABASE!A:B,2,0)),"")</f>
        <v/>
      </c>
      <c r="C863" s="30">
        <f>IFERROR(IF(A863="","",VLOOKUP(A863,DATABASE!A:J,10,0)),"")</f>
        <v/>
      </c>
      <c r="D863" s="31">
        <f>IF(A863="","",TODAY())</f>
        <v/>
      </c>
      <c r="E863" s="30" t="n"/>
      <c r="F863" s="30">
        <f>IFERROR(IF(OR(A863="",E863=""),"",C863-E863),"")</f>
        <v/>
      </c>
      <c r="G863" s="26" t="n"/>
      <c r="H863" s="26" t="n"/>
    </row>
    <row r="864">
      <c r="A864" s="37" t="n"/>
      <c r="B864" s="37">
        <f>IFERROR(IF(A864="","",VLOOKUP(A864,DATABASE!A:B,2,0)),"")</f>
        <v/>
      </c>
      <c r="C864" s="38">
        <f>IFERROR(IF(A864="","",VLOOKUP(A864,DATABASE!A:J,10,0)),"")</f>
        <v/>
      </c>
      <c r="D864" s="39">
        <f>IF(A864="","",TODAY())</f>
        <v/>
      </c>
      <c r="E864" s="38" t="n"/>
      <c r="F864" s="38">
        <f>IFERROR(IF(OR(A864="",E864=""),"",C864-E864),"")</f>
        <v/>
      </c>
      <c r="G864" s="37" t="n"/>
      <c r="H864" s="37" t="n"/>
    </row>
    <row r="865">
      <c r="A865" s="26" t="n"/>
      <c r="B865" s="26">
        <f>IFERROR(IF(A865="","",VLOOKUP(A865,DATABASE!A:B,2,0)),"")</f>
        <v/>
      </c>
      <c r="C865" s="30">
        <f>IFERROR(IF(A865="","",VLOOKUP(A865,DATABASE!A:J,10,0)),"")</f>
        <v/>
      </c>
      <c r="D865" s="31">
        <f>IF(A865="","",TODAY())</f>
        <v/>
      </c>
      <c r="E865" s="30" t="n"/>
      <c r="F865" s="30">
        <f>IFERROR(IF(OR(A865="",E865=""),"",C865-E865),"")</f>
        <v/>
      </c>
      <c r="G865" s="26" t="n"/>
      <c r="H865" s="26" t="n"/>
    </row>
    <row r="866">
      <c r="A866" s="37" t="n"/>
      <c r="B866" s="37">
        <f>IFERROR(IF(A866="","",VLOOKUP(A866,DATABASE!A:B,2,0)),"")</f>
        <v/>
      </c>
      <c r="C866" s="38">
        <f>IFERROR(IF(A866="","",VLOOKUP(A866,DATABASE!A:J,10,0)),"")</f>
        <v/>
      </c>
      <c r="D866" s="39">
        <f>IF(A866="","",TODAY())</f>
        <v/>
      </c>
      <c r="E866" s="38" t="n"/>
      <c r="F866" s="38">
        <f>IFERROR(IF(OR(A866="",E866=""),"",C866-E866),"")</f>
        <v/>
      </c>
      <c r="G866" s="37" t="n"/>
      <c r="H866" s="37" t="n"/>
    </row>
    <row r="867">
      <c r="A867" s="26" t="n"/>
      <c r="B867" s="26">
        <f>IFERROR(IF(A867="","",VLOOKUP(A867,DATABASE!A:B,2,0)),"")</f>
        <v/>
      </c>
      <c r="C867" s="30">
        <f>IFERROR(IF(A867="","",VLOOKUP(A867,DATABASE!A:J,10,0)),"")</f>
        <v/>
      </c>
      <c r="D867" s="31">
        <f>IF(A867="","",TODAY())</f>
        <v/>
      </c>
      <c r="E867" s="30" t="n"/>
      <c r="F867" s="30">
        <f>IFERROR(IF(OR(A867="",E867=""),"",C867-E867),"")</f>
        <v/>
      </c>
      <c r="G867" s="26" t="n"/>
      <c r="H867" s="26" t="n"/>
    </row>
    <row r="868">
      <c r="A868" s="37" t="n"/>
      <c r="B868" s="37">
        <f>IFERROR(IF(A868="","",VLOOKUP(A868,DATABASE!A:B,2,0)),"")</f>
        <v/>
      </c>
      <c r="C868" s="38">
        <f>IFERROR(IF(A868="","",VLOOKUP(A868,DATABASE!A:J,10,0)),"")</f>
        <v/>
      </c>
      <c r="D868" s="39">
        <f>IF(A868="","",TODAY())</f>
        <v/>
      </c>
      <c r="E868" s="38" t="n"/>
      <c r="F868" s="38">
        <f>IFERROR(IF(OR(A868="",E868=""),"",C868-E868),"")</f>
        <v/>
      </c>
      <c r="G868" s="37" t="n"/>
      <c r="H868" s="37" t="n"/>
    </row>
    <row r="869">
      <c r="A869" s="26" t="n"/>
      <c r="B869" s="26">
        <f>IFERROR(IF(A869="","",VLOOKUP(A869,DATABASE!A:B,2,0)),"")</f>
        <v/>
      </c>
      <c r="C869" s="30">
        <f>IFERROR(IF(A869="","",VLOOKUP(A869,DATABASE!A:J,10,0)),"")</f>
        <v/>
      </c>
      <c r="D869" s="31">
        <f>IF(A869="","",TODAY())</f>
        <v/>
      </c>
      <c r="E869" s="30" t="n"/>
      <c r="F869" s="30">
        <f>IFERROR(IF(OR(A869="",E869=""),"",C869-E869),"")</f>
        <v/>
      </c>
      <c r="G869" s="26" t="n"/>
      <c r="H869" s="26" t="n"/>
    </row>
    <row r="870">
      <c r="A870" s="37" t="n"/>
      <c r="B870" s="37">
        <f>IFERROR(IF(A870="","",VLOOKUP(A870,DATABASE!A:B,2,0)),"")</f>
        <v/>
      </c>
      <c r="C870" s="38">
        <f>IFERROR(IF(A870="","",VLOOKUP(A870,DATABASE!A:J,10,0)),"")</f>
        <v/>
      </c>
      <c r="D870" s="39">
        <f>IF(A870="","",TODAY())</f>
        <v/>
      </c>
      <c r="E870" s="38" t="n"/>
      <c r="F870" s="38">
        <f>IFERROR(IF(OR(A870="",E870=""),"",C870-E870),"")</f>
        <v/>
      </c>
      <c r="G870" s="37" t="n"/>
      <c r="H870" s="37" t="n"/>
    </row>
    <row r="871">
      <c r="A871" s="26" t="n"/>
      <c r="B871" s="26">
        <f>IFERROR(IF(A871="","",VLOOKUP(A871,DATABASE!A:B,2,0)),"")</f>
        <v/>
      </c>
      <c r="C871" s="30">
        <f>IFERROR(IF(A871="","",VLOOKUP(A871,DATABASE!A:J,10,0)),"")</f>
        <v/>
      </c>
      <c r="D871" s="31">
        <f>IF(A871="","",TODAY())</f>
        <v/>
      </c>
      <c r="E871" s="30" t="n"/>
      <c r="F871" s="30">
        <f>IFERROR(IF(OR(A871="",E871=""),"",C871-E871),"")</f>
        <v/>
      </c>
      <c r="G871" s="26" t="n"/>
      <c r="H871" s="26" t="n"/>
    </row>
    <row r="872">
      <c r="A872" s="37" t="n"/>
      <c r="B872" s="37">
        <f>IFERROR(IF(A872="","",VLOOKUP(A872,DATABASE!A:B,2,0)),"")</f>
        <v/>
      </c>
      <c r="C872" s="38">
        <f>IFERROR(IF(A872="","",VLOOKUP(A872,DATABASE!A:J,10,0)),"")</f>
        <v/>
      </c>
      <c r="D872" s="39">
        <f>IF(A872="","",TODAY())</f>
        <v/>
      </c>
      <c r="E872" s="38" t="n"/>
      <c r="F872" s="38">
        <f>IFERROR(IF(OR(A872="",E872=""),"",C872-E872),"")</f>
        <v/>
      </c>
      <c r="G872" s="37" t="n"/>
      <c r="H872" s="37" t="n"/>
    </row>
    <row r="873">
      <c r="A873" s="26" t="n"/>
      <c r="B873" s="26">
        <f>IFERROR(IF(A873="","",VLOOKUP(A873,DATABASE!A:B,2,0)),"")</f>
        <v/>
      </c>
      <c r="C873" s="30">
        <f>IFERROR(IF(A873="","",VLOOKUP(A873,DATABASE!A:J,10,0)),"")</f>
        <v/>
      </c>
      <c r="D873" s="31">
        <f>IF(A873="","",TODAY())</f>
        <v/>
      </c>
      <c r="E873" s="30" t="n"/>
      <c r="F873" s="30">
        <f>IFERROR(IF(OR(A873="",E873=""),"",C873-E873),"")</f>
        <v/>
      </c>
      <c r="G873" s="26" t="n"/>
      <c r="H873" s="26" t="n"/>
    </row>
    <row r="874">
      <c r="A874" s="37" t="n"/>
      <c r="B874" s="37">
        <f>IFERROR(IF(A874="","",VLOOKUP(A874,DATABASE!A:B,2,0)),"")</f>
        <v/>
      </c>
      <c r="C874" s="38">
        <f>IFERROR(IF(A874="","",VLOOKUP(A874,DATABASE!A:J,10,0)),"")</f>
        <v/>
      </c>
      <c r="D874" s="39">
        <f>IF(A874="","",TODAY())</f>
        <v/>
      </c>
      <c r="E874" s="38" t="n"/>
      <c r="F874" s="38">
        <f>IFERROR(IF(OR(A874="",E874=""),"",C874-E874),"")</f>
        <v/>
      </c>
      <c r="G874" s="37" t="n"/>
      <c r="H874" s="37" t="n"/>
    </row>
    <row r="875">
      <c r="A875" s="26" t="n"/>
      <c r="B875" s="26">
        <f>IFERROR(IF(A875="","",VLOOKUP(A875,DATABASE!A:B,2,0)),"")</f>
        <v/>
      </c>
      <c r="C875" s="30">
        <f>IFERROR(IF(A875="","",VLOOKUP(A875,DATABASE!A:J,10,0)),"")</f>
        <v/>
      </c>
      <c r="D875" s="31">
        <f>IF(A875="","",TODAY())</f>
        <v/>
      </c>
      <c r="E875" s="30" t="n"/>
      <c r="F875" s="30">
        <f>IFERROR(IF(OR(A875="",E875=""),"",C875-E875),"")</f>
        <v/>
      </c>
      <c r="G875" s="26" t="n"/>
      <c r="H875" s="26" t="n"/>
    </row>
    <row r="876">
      <c r="A876" s="37" t="n"/>
      <c r="B876" s="37">
        <f>IFERROR(IF(A876="","",VLOOKUP(A876,DATABASE!A:B,2,0)),"")</f>
        <v/>
      </c>
      <c r="C876" s="38">
        <f>IFERROR(IF(A876="","",VLOOKUP(A876,DATABASE!A:J,10,0)),"")</f>
        <v/>
      </c>
      <c r="D876" s="39">
        <f>IF(A876="","",TODAY())</f>
        <v/>
      </c>
      <c r="E876" s="38" t="n"/>
      <c r="F876" s="38">
        <f>IFERROR(IF(OR(A876="",E876=""),"",C876-E876),"")</f>
        <v/>
      </c>
      <c r="G876" s="37" t="n"/>
      <c r="H876" s="37" t="n"/>
    </row>
    <row r="877">
      <c r="A877" s="26" t="n"/>
      <c r="B877" s="26">
        <f>IFERROR(IF(A877="","",VLOOKUP(A877,DATABASE!A:B,2,0)),"")</f>
        <v/>
      </c>
      <c r="C877" s="30">
        <f>IFERROR(IF(A877="","",VLOOKUP(A877,DATABASE!A:J,10,0)),"")</f>
        <v/>
      </c>
      <c r="D877" s="31">
        <f>IF(A877="","",TODAY())</f>
        <v/>
      </c>
      <c r="E877" s="30" t="n"/>
      <c r="F877" s="30">
        <f>IFERROR(IF(OR(A877="",E877=""),"",C877-E877),"")</f>
        <v/>
      </c>
      <c r="G877" s="26" t="n"/>
      <c r="H877" s="26" t="n"/>
    </row>
    <row r="878">
      <c r="A878" s="37" t="n"/>
      <c r="B878" s="37">
        <f>IFERROR(IF(A878="","",VLOOKUP(A878,DATABASE!A:B,2,0)),"")</f>
        <v/>
      </c>
      <c r="C878" s="38">
        <f>IFERROR(IF(A878="","",VLOOKUP(A878,DATABASE!A:J,10,0)),"")</f>
        <v/>
      </c>
      <c r="D878" s="39">
        <f>IF(A878="","",TODAY())</f>
        <v/>
      </c>
      <c r="E878" s="38" t="n"/>
      <c r="F878" s="38">
        <f>IFERROR(IF(OR(A878="",E878=""),"",C878-E878),"")</f>
        <v/>
      </c>
      <c r="G878" s="37" t="n"/>
      <c r="H878" s="37" t="n"/>
    </row>
    <row r="879">
      <c r="A879" s="26" t="n"/>
      <c r="B879" s="26">
        <f>IFERROR(IF(A879="","",VLOOKUP(A879,DATABASE!A:B,2,0)),"")</f>
        <v/>
      </c>
      <c r="C879" s="30">
        <f>IFERROR(IF(A879="","",VLOOKUP(A879,DATABASE!A:J,10,0)),"")</f>
        <v/>
      </c>
      <c r="D879" s="31">
        <f>IF(A879="","",TODAY())</f>
        <v/>
      </c>
      <c r="E879" s="30" t="n"/>
      <c r="F879" s="30">
        <f>IFERROR(IF(OR(A879="",E879=""),"",C879-E879),"")</f>
        <v/>
      </c>
      <c r="G879" s="26" t="n"/>
      <c r="H879" s="26" t="n"/>
    </row>
    <row r="880">
      <c r="A880" s="37" t="n"/>
      <c r="B880" s="37">
        <f>IFERROR(IF(A880="","",VLOOKUP(A880,DATABASE!A:B,2,0)),"")</f>
        <v/>
      </c>
      <c r="C880" s="38">
        <f>IFERROR(IF(A880="","",VLOOKUP(A880,DATABASE!A:J,10,0)),"")</f>
        <v/>
      </c>
      <c r="D880" s="39">
        <f>IF(A880="","",TODAY())</f>
        <v/>
      </c>
      <c r="E880" s="38" t="n"/>
      <c r="F880" s="38">
        <f>IFERROR(IF(OR(A880="",E880=""),"",C880-E880),"")</f>
        <v/>
      </c>
      <c r="G880" s="37" t="n"/>
      <c r="H880" s="37" t="n"/>
    </row>
    <row r="881">
      <c r="A881" s="26" t="n"/>
      <c r="B881" s="26">
        <f>IFERROR(IF(A881="","",VLOOKUP(A881,DATABASE!A:B,2,0)),"")</f>
        <v/>
      </c>
      <c r="C881" s="30">
        <f>IFERROR(IF(A881="","",VLOOKUP(A881,DATABASE!A:J,10,0)),"")</f>
        <v/>
      </c>
      <c r="D881" s="31">
        <f>IF(A881="","",TODAY())</f>
        <v/>
      </c>
      <c r="E881" s="30" t="n"/>
      <c r="F881" s="30">
        <f>IFERROR(IF(OR(A881="",E881=""),"",C881-E881),"")</f>
        <v/>
      </c>
      <c r="G881" s="26" t="n"/>
      <c r="H881" s="26" t="n"/>
    </row>
    <row r="882">
      <c r="A882" s="37" t="n"/>
      <c r="B882" s="37">
        <f>IFERROR(IF(A882="","",VLOOKUP(A882,DATABASE!A:B,2,0)),"")</f>
        <v/>
      </c>
      <c r="C882" s="38">
        <f>IFERROR(IF(A882="","",VLOOKUP(A882,DATABASE!A:J,10,0)),"")</f>
        <v/>
      </c>
      <c r="D882" s="39">
        <f>IF(A882="","",TODAY())</f>
        <v/>
      </c>
      <c r="E882" s="38" t="n"/>
      <c r="F882" s="38">
        <f>IFERROR(IF(OR(A882="",E882=""),"",C882-E882),"")</f>
        <v/>
      </c>
      <c r="G882" s="37" t="n"/>
      <c r="H882" s="37" t="n"/>
    </row>
    <row r="883">
      <c r="A883" s="26" t="n"/>
      <c r="B883" s="26">
        <f>IFERROR(IF(A883="","",VLOOKUP(A883,DATABASE!A:B,2,0)),"")</f>
        <v/>
      </c>
      <c r="C883" s="30">
        <f>IFERROR(IF(A883="","",VLOOKUP(A883,DATABASE!A:J,10,0)),"")</f>
        <v/>
      </c>
      <c r="D883" s="31">
        <f>IF(A883="","",TODAY())</f>
        <v/>
      </c>
      <c r="E883" s="30" t="n"/>
      <c r="F883" s="30">
        <f>IFERROR(IF(OR(A883="",E883=""),"",C883-E883),"")</f>
        <v/>
      </c>
      <c r="G883" s="26" t="n"/>
      <c r="H883" s="26" t="n"/>
    </row>
    <row r="884">
      <c r="A884" s="37" t="n"/>
      <c r="B884" s="37">
        <f>IFERROR(IF(A884="","",VLOOKUP(A884,DATABASE!A:B,2,0)),"")</f>
        <v/>
      </c>
      <c r="C884" s="38">
        <f>IFERROR(IF(A884="","",VLOOKUP(A884,DATABASE!A:J,10,0)),"")</f>
        <v/>
      </c>
      <c r="D884" s="39">
        <f>IF(A884="","",TODAY())</f>
        <v/>
      </c>
      <c r="E884" s="38" t="n"/>
      <c r="F884" s="38">
        <f>IFERROR(IF(OR(A884="",E884=""),"",C884-E884),"")</f>
        <v/>
      </c>
      <c r="G884" s="37" t="n"/>
      <c r="H884" s="37" t="n"/>
    </row>
    <row r="885">
      <c r="A885" s="26" t="n"/>
      <c r="B885" s="26">
        <f>IFERROR(IF(A885="","",VLOOKUP(A885,DATABASE!A:B,2,0)),"")</f>
        <v/>
      </c>
      <c r="C885" s="30">
        <f>IFERROR(IF(A885="","",VLOOKUP(A885,DATABASE!A:J,10,0)),"")</f>
        <v/>
      </c>
      <c r="D885" s="31">
        <f>IF(A885="","",TODAY())</f>
        <v/>
      </c>
      <c r="E885" s="30" t="n"/>
      <c r="F885" s="30">
        <f>IFERROR(IF(OR(A885="",E885=""),"",C885-E885),"")</f>
        <v/>
      </c>
      <c r="G885" s="26" t="n"/>
      <c r="H885" s="26" t="n"/>
    </row>
    <row r="886">
      <c r="A886" s="37" t="n"/>
      <c r="B886" s="37">
        <f>IFERROR(IF(A886="","",VLOOKUP(A886,DATABASE!A:B,2,0)),"")</f>
        <v/>
      </c>
      <c r="C886" s="38">
        <f>IFERROR(IF(A886="","",VLOOKUP(A886,DATABASE!A:J,10,0)),"")</f>
        <v/>
      </c>
      <c r="D886" s="39">
        <f>IF(A886="","",TODAY())</f>
        <v/>
      </c>
      <c r="E886" s="38" t="n"/>
      <c r="F886" s="38">
        <f>IFERROR(IF(OR(A886="",E886=""),"",C886-E886),"")</f>
        <v/>
      </c>
      <c r="G886" s="37" t="n"/>
      <c r="H886" s="37" t="n"/>
    </row>
    <row r="887">
      <c r="A887" s="26" t="n"/>
      <c r="B887" s="26">
        <f>IFERROR(IF(A887="","",VLOOKUP(A887,DATABASE!A:B,2,0)),"")</f>
        <v/>
      </c>
      <c r="C887" s="30">
        <f>IFERROR(IF(A887="","",VLOOKUP(A887,DATABASE!A:J,10,0)),"")</f>
        <v/>
      </c>
      <c r="D887" s="31">
        <f>IF(A887="","",TODAY())</f>
        <v/>
      </c>
      <c r="E887" s="30" t="n"/>
      <c r="F887" s="30">
        <f>IFERROR(IF(OR(A887="",E887=""),"",C887-E887),"")</f>
        <v/>
      </c>
      <c r="G887" s="26" t="n"/>
      <c r="H887" s="26" t="n"/>
    </row>
    <row r="888">
      <c r="A888" s="37" t="n"/>
      <c r="B888" s="37">
        <f>IFERROR(IF(A888="","",VLOOKUP(A888,DATABASE!A:B,2,0)),"")</f>
        <v/>
      </c>
      <c r="C888" s="38">
        <f>IFERROR(IF(A888="","",VLOOKUP(A888,DATABASE!A:J,10,0)),"")</f>
        <v/>
      </c>
      <c r="D888" s="39">
        <f>IF(A888="","",TODAY())</f>
        <v/>
      </c>
      <c r="E888" s="38" t="n"/>
      <c r="F888" s="38">
        <f>IFERROR(IF(OR(A888="",E888=""),"",C888-E888),"")</f>
        <v/>
      </c>
      <c r="G888" s="37" t="n"/>
      <c r="H888" s="37" t="n"/>
    </row>
    <row r="889">
      <c r="A889" s="26" t="n"/>
      <c r="B889" s="26">
        <f>IFERROR(IF(A889="","",VLOOKUP(A889,DATABASE!A:B,2,0)),"")</f>
        <v/>
      </c>
      <c r="C889" s="30">
        <f>IFERROR(IF(A889="","",VLOOKUP(A889,DATABASE!A:J,10,0)),"")</f>
        <v/>
      </c>
      <c r="D889" s="31">
        <f>IF(A889="","",TODAY())</f>
        <v/>
      </c>
      <c r="E889" s="30" t="n"/>
      <c r="F889" s="30">
        <f>IFERROR(IF(OR(A889="",E889=""),"",C889-E889),"")</f>
        <v/>
      </c>
      <c r="G889" s="26" t="n"/>
      <c r="H889" s="26" t="n"/>
    </row>
    <row r="890">
      <c r="A890" s="37" t="n"/>
      <c r="B890" s="37">
        <f>IFERROR(IF(A890="","",VLOOKUP(A890,DATABASE!A:B,2,0)),"")</f>
        <v/>
      </c>
      <c r="C890" s="38">
        <f>IFERROR(IF(A890="","",VLOOKUP(A890,DATABASE!A:J,10,0)),"")</f>
        <v/>
      </c>
      <c r="D890" s="39">
        <f>IF(A890="","",TODAY())</f>
        <v/>
      </c>
      <c r="E890" s="38" t="n"/>
      <c r="F890" s="38">
        <f>IFERROR(IF(OR(A890="",E890=""),"",C890-E890),"")</f>
        <v/>
      </c>
      <c r="G890" s="37" t="n"/>
      <c r="H890" s="37" t="n"/>
    </row>
    <row r="891">
      <c r="A891" s="26" t="n"/>
      <c r="B891" s="26">
        <f>IFERROR(IF(A891="","",VLOOKUP(A891,DATABASE!A:B,2,0)),"")</f>
        <v/>
      </c>
      <c r="C891" s="30">
        <f>IFERROR(IF(A891="","",VLOOKUP(A891,DATABASE!A:J,10,0)),"")</f>
        <v/>
      </c>
      <c r="D891" s="31">
        <f>IF(A891="","",TODAY())</f>
        <v/>
      </c>
      <c r="E891" s="30" t="n"/>
      <c r="F891" s="30">
        <f>IFERROR(IF(OR(A891="",E891=""),"",C891-E891),"")</f>
        <v/>
      </c>
      <c r="G891" s="26" t="n"/>
      <c r="H891" s="26" t="n"/>
    </row>
    <row r="892">
      <c r="A892" s="37" t="n"/>
      <c r="B892" s="37">
        <f>IFERROR(IF(A892="","",VLOOKUP(A892,DATABASE!A:B,2,0)),"")</f>
        <v/>
      </c>
      <c r="C892" s="38">
        <f>IFERROR(IF(A892="","",VLOOKUP(A892,DATABASE!A:J,10,0)),"")</f>
        <v/>
      </c>
      <c r="D892" s="39">
        <f>IF(A892="","",TODAY())</f>
        <v/>
      </c>
      <c r="E892" s="38" t="n"/>
      <c r="F892" s="38">
        <f>IFERROR(IF(OR(A892="",E892=""),"",C892-E892),"")</f>
        <v/>
      </c>
      <c r="G892" s="37" t="n"/>
      <c r="H892" s="37" t="n"/>
    </row>
    <row r="893">
      <c r="A893" s="26" t="n"/>
      <c r="B893" s="26">
        <f>IFERROR(IF(A893="","",VLOOKUP(A893,DATABASE!A:B,2,0)),"")</f>
        <v/>
      </c>
      <c r="C893" s="30">
        <f>IFERROR(IF(A893="","",VLOOKUP(A893,DATABASE!A:J,10,0)),"")</f>
        <v/>
      </c>
      <c r="D893" s="31">
        <f>IF(A893="","",TODAY())</f>
        <v/>
      </c>
      <c r="E893" s="30" t="n"/>
      <c r="F893" s="30">
        <f>IFERROR(IF(OR(A893="",E893=""),"",C893-E893),"")</f>
        <v/>
      </c>
      <c r="G893" s="26" t="n"/>
      <c r="H893" s="26" t="n"/>
    </row>
    <row r="894">
      <c r="A894" s="37" t="n"/>
      <c r="B894" s="37">
        <f>IFERROR(IF(A894="","",VLOOKUP(A894,DATABASE!A:B,2,0)),"")</f>
        <v/>
      </c>
      <c r="C894" s="38">
        <f>IFERROR(IF(A894="","",VLOOKUP(A894,DATABASE!A:J,10,0)),"")</f>
        <v/>
      </c>
      <c r="D894" s="39">
        <f>IF(A894="","",TODAY())</f>
        <v/>
      </c>
      <c r="E894" s="38" t="n"/>
      <c r="F894" s="38">
        <f>IFERROR(IF(OR(A894="",E894=""),"",C894-E894),"")</f>
        <v/>
      </c>
      <c r="G894" s="37" t="n"/>
      <c r="H894" s="37" t="n"/>
    </row>
    <row r="895">
      <c r="A895" s="26" t="n"/>
      <c r="B895" s="26">
        <f>IFERROR(IF(A895="","",VLOOKUP(A895,DATABASE!A:B,2,0)),"")</f>
        <v/>
      </c>
      <c r="C895" s="30">
        <f>IFERROR(IF(A895="","",VLOOKUP(A895,DATABASE!A:J,10,0)),"")</f>
        <v/>
      </c>
      <c r="D895" s="31">
        <f>IF(A895="","",TODAY())</f>
        <v/>
      </c>
      <c r="E895" s="30" t="n"/>
      <c r="F895" s="30">
        <f>IFERROR(IF(OR(A895="",E895=""),"",C895-E895),"")</f>
        <v/>
      </c>
      <c r="G895" s="26" t="n"/>
      <c r="H895" s="26" t="n"/>
    </row>
    <row r="896">
      <c r="A896" s="37" t="n"/>
      <c r="B896" s="37">
        <f>IFERROR(IF(A896="","",VLOOKUP(A896,DATABASE!A:B,2,0)),"")</f>
        <v/>
      </c>
      <c r="C896" s="38">
        <f>IFERROR(IF(A896="","",VLOOKUP(A896,DATABASE!A:J,10,0)),"")</f>
        <v/>
      </c>
      <c r="D896" s="39">
        <f>IF(A896="","",TODAY())</f>
        <v/>
      </c>
      <c r="E896" s="38" t="n"/>
      <c r="F896" s="38">
        <f>IFERROR(IF(OR(A896="",E896=""),"",C896-E896),"")</f>
        <v/>
      </c>
      <c r="G896" s="37" t="n"/>
      <c r="H896" s="37" t="n"/>
    </row>
    <row r="897">
      <c r="A897" s="26" t="n"/>
      <c r="B897" s="26">
        <f>IFERROR(IF(A897="","",VLOOKUP(A897,DATABASE!A:B,2,0)),"")</f>
        <v/>
      </c>
      <c r="C897" s="30">
        <f>IFERROR(IF(A897="","",VLOOKUP(A897,DATABASE!A:J,10,0)),"")</f>
        <v/>
      </c>
      <c r="D897" s="31">
        <f>IF(A897="","",TODAY())</f>
        <v/>
      </c>
      <c r="E897" s="30" t="n"/>
      <c r="F897" s="30">
        <f>IFERROR(IF(OR(A897="",E897=""),"",C897-E897),"")</f>
        <v/>
      </c>
      <c r="G897" s="26" t="n"/>
      <c r="H897" s="26" t="n"/>
    </row>
    <row r="898">
      <c r="A898" s="37" t="n"/>
      <c r="B898" s="37">
        <f>IFERROR(IF(A898="","",VLOOKUP(A898,DATABASE!A:B,2,0)),"")</f>
        <v/>
      </c>
      <c r="C898" s="38">
        <f>IFERROR(IF(A898="","",VLOOKUP(A898,DATABASE!A:J,10,0)),"")</f>
        <v/>
      </c>
      <c r="D898" s="39">
        <f>IF(A898="","",TODAY())</f>
        <v/>
      </c>
      <c r="E898" s="38" t="n"/>
      <c r="F898" s="38">
        <f>IFERROR(IF(OR(A898="",E898=""),"",C898-E898),"")</f>
        <v/>
      </c>
      <c r="G898" s="37" t="n"/>
      <c r="H898" s="37" t="n"/>
    </row>
    <row r="899">
      <c r="A899" s="26" t="n"/>
      <c r="B899" s="26">
        <f>IFERROR(IF(A899="","",VLOOKUP(A899,DATABASE!A:B,2,0)),"")</f>
        <v/>
      </c>
      <c r="C899" s="30">
        <f>IFERROR(IF(A899="","",VLOOKUP(A899,DATABASE!A:J,10,0)),"")</f>
        <v/>
      </c>
      <c r="D899" s="31">
        <f>IF(A899="","",TODAY())</f>
        <v/>
      </c>
      <c r="E899" s="30" t="n"/>
      <c r="F899" s="30">
        <f>IFERROR(IF(OR(A899="",E899=""),"",C899-E899),"")</f>
        <v/>
      </c>
      <c r="G899" s="26" t="n"/>
      <c r="H899" s="26" t="n"/>
    </row>
    <row r="900">
      <c r="A900" s="37" t="n"/>
      <c r="B900" s="37">
        <f>IFERROR(IF(A900="","",VLOOKUP(A900,DATABASE!A:B,2,0)),"")</f>
        <v/>
      </c>
      <c r="C900" s="38">
        <f>IFERROR(IF(A900="","",VLOOKUP(A900,DATABASE!A:J,10,0)),"")</f>
        <v/>
      </c>
      <c r="D900" s="39">
        <f>IF(A900="","",TODAY())</f>
        <v/>
      </c>
      <c r="E900" s="38" t="n"/>
      <c r="F900" s="38">
        <f>IFERROR(IF(OR(A900="",E900=""),"",C900-E900),"")</f>
        <v/>
      </c>
      <c r="G900" s="37" t="n"/>
      <c r="H900" s="37" t="n"/>
    </row>
    <row r="901">
      <c r="A901" s="26" t="n"/>
      <c r="B901" s="26">
        <f>IFERROR(IF(A901="","",VLOOKUP(A901,DATABASE!A:B,2,0)),"")</f>
        <v/>
      </c>
      <c r="C901" s="30">
        <f>IFERROR(IF(A901="","",VLOOKUP(A901,DATABASE!A:J,10,0)),"")</f>
        <v/>
      </c>
      <c r="D901" s="31">
        <f>IF(A901="","",TODAY())</f>
        <v/>
      </c>
      <c r="E901" s="30" t="n"/>
      <c r="F901" s="30">
        <f>IFERROR(IF(OR(A901="",E901=""),"",C901-E901),"")</f>
        <v/>
      </c>
      <c r="G901" s="26" t="n"/>
      <c r="H901" s="26" t="n"/>
    </row>
    <row r="902">
      <c r="A902" s="37" t="n"/>
      <c r="B902" s="37">
        <f>IFERROR(IF(A902="","",VLOOKUP(A902,DATABASE!A:B,2,0)),"")</f>
        <v/>
      </c>
      <c r="C902" s="38">
        <f>IFERROR(IF(A902="","",VLOOKUP(A902,DATABASE!A:J,10,0)),"")</f>
        <v/>
      </c>
      <c r="D902" s="39">
        <f>IF(A902="","",TODAY())</f>
        <v/>
      </c>
      <c r="E902" s="38" t="n"/>
      <c r="F902" s="38">
        <f>IFERROR(IF(OR(A902="",E902=""),"",C902-E902),"")</f>
        <v/>
      </c>
      <c r="G902" s="37" t="n"/>
      <c r="H902" s="37" t="n"/>
    </row>
    <row r="903">
      <c r="A903" s="26" t="n"/>
      <c r="B903" s="26">
        <f>IFERROR(IF(A903="","",VLOOKUP(A903,DATABASE!A:B,2,0)),"")</f>
        <v/>
      </c>
      <c r="C903" s="30">
        <f>IFERROR(IF(A903="","",VLOOKUP(A903,DATABASE!A:J,10,0)),"")</f>
        <v/>
      </c>
      <c r="D903" s="31">
        <f>IF(A903="","",TODAY())</f>
        <v/>
      </c>
      <c r="E903" s="30" t="n"/>
      <c r="F903" s="30">
        <f>IFERROR(IF(OR(A903="",E903=""),"",C903-E903),"")</f>
        <v/>
      </c>
      <c r="G903" s="26" t="n"/>
      <c r="H903" s="26" t="n"/>
    </row>
    <row r="904">
      <c r="A904" s="37" t="n"/>
      <c r="B904" s="37">
        <f>IFERROR(IF(A904="","",VLOOKUP(A904,DATABASE!A:B,2,0)),"")</f>
        <v/>
      </c>
      <c r="C904" s="38">
        <f>IFERROR(IF(A904="","",VLOOKUP(A904,DATABASE!A:J,10,0)),"")</f>
        <v/>
      </c>
      <c r="D904" s="39">
        <f>IF(A904="","",TODAY())</f>
        <v/>
      </c>
      <c r="E904" s="38" t="n"/>
      <c r="F904" s="38">
        <f>IFERROR(IF(OR(A904="",E904=""),"",C904-E904),"")</f>
        <v/>
      </c>
      <c r="G904" s="37" t="n"/>
      <c r="H904" s="37" t="n"/>
    </row>
    <row r="905">
      <c r="A905" s="26" t="n"/>
      <c r="B905" s="26">
        <f>IFERROR(IF(A905="","",VLOOKUP(A905,DATABASE!A:B,2,0)),"")</f>
        <v/>
      </c>
      <c r="C905" s="30">
        <f>IFERROR(IF(A905="","",VLOOKUP(A905,DATABASE!A:J,10,0)),"")</f>
        <v/>
      </c>
      <c r="D905" s="31">
        <f>IF(A905="","",TODAY())</f>
        <v/>
      </c>
      <c r="E905" s="30" t="n"/>
      <c r="F905" s="30">
        <f>IFERROR(IF(OR(A905="",E905=""),"",C905-E905),"")</f>
        <v/>
      </c>
      <c r="G905" s="26" t="n"/>
      <c r="H905" s="26" t="n"/>
    </row>
    <row r="906">
      <c r="A906" s="37" t="n"/>
      <c r="B906" s="37">
        <f>IFERROR(IF(A906="","",VLOOKUP(A906,DATABASE!A:B,2,0)),"")</f>
        <v/>
      </c>
      <c r="C906" s="38">
        <f>IFERROR(IF(A906="","",VLOOKUP(A906,DATABASE!A:J,10,0)),"")</f>
        <v/>
      </c>
      <c r="D906" s="39">
        <f>IF(A906="","",TODAY())</f>
        <v/>
      </c>
      <c r="E906" s="38" t="n"/>
      <c r="F906" s="38">
        <f>IFERROR(IF(OR(A906="",E906=""),"",C906-E906),"")</f>
        <v/>
      </c>
      <c r="G906" s="37" t="n"/>
      <c r="H906" s="37" t="n"/>
    </row>
    <row r="907">
      <c r="A907" s="26" t="n"/>
      <c r="B907" s="26">
        <f>IFERROR(IF(A907="","",VLOOKUP(A907,DATABASE!A:B,2,0)),"")</f>
        <v/>
      </c>
      <c r="C907" s="30">
        <f>IFERROR(IF(A907="","",VLOOKUP(A907,DATABASE!A:J,10,0)),"")</f>
        <v/>
      </c>
      <c r="D907" s="31">
        <f>IF(A907="","",TODAY())</f>
        <v/>
      </c>
      <c r="E907" s="30" t="n"/>
      <c r="F907" s="30">
        <f>IFERROR(IF(OR(A907="",E907=""),"",C907-E907),"")</f>
        <v/>
      </c>
      <c r="G907" s="26" t="n"/>
      <c r="H907" s="26" t="n"/>
    </row>
    <row r="908">
      <c r="A908" s="37" t="n"/>
      <c r="B908" s="37">
        <f>IFERROR(IF(A908="","",VLOOKUP(A908,DATABASE!A:B,2,0)),"")</f>
        <v/>
      </c>
      <c r="C908" s="38">
        <f>IFERROR(IF(A908="","",VLOOKUP(A908,DATABASE!A:J,10,0)),"")</f>
        <v/>
      </c>
      <c r="D908" s="39">
        <f>IF(A908="","",TODAY())</f>
        <v/>
      </c>
      <c r="E908" s="38" t="n"/>
      <c r="F908" s="38">
        <f>IFERROR(IF(OR(A908="",E908=""),"",C908-E908),"")</f>
        <v/>
      </c>
      <c r="G908" s="37" t="n"/>
      <c r="H908" s="37" t="n"/>
    </row>
    <row r="909">
      <c r="A909" s="26" t="n"/>
      <c r="B909" s="26">
        <f>IFERROR(IF(A909="","",VLOOKUP(A909,DATABASE!A:B,2,0)),"")</f>
        <v/>
      </c>
      <c r="C909" s="30">
        <f>IFERROR(IF(A909="","",VLOOKUP(A909,DATABASE!A:J,10,0)),"")</f>
        <v/>
      </c>
      <c r="D909" s="31">
        <f>IF(A909="","",TODAY())</f>
        <v/>
      </c>
      <c r="E909" s="30" t="n"/>
      <c r="F909" s="30">
        <f>IFERROR(IF(OR(A909="",E909=""),"",C909-E909),"")</f>
        <v/>
      </c>
      <c r="G909" s="26" t="n"/>
      <c r="H909" s="26" t="n"/>
    </row>
    <row r="910">
      <c r="A910" s="37" t="n"/>
      <c r="B910" s="37">
        <f>IFERROR(IF(A910="","",VLOOKUP(A910,DATABASE!A:B,2,0)),"")</f>
        <v/>
      </c>
      <c r="C910" s="38">
        <f>IFERROR(IF(A910="","",VLOOKUP(A910,DATABASE!A:J,10,0)),"")</f>
        <v/>
      </c>
      <c r="D910" s="39">
        <f>IF(A910="","",TODAY())</f>
        <v/>
      </c>
      <c r="E910" s="38" t="n"/>
      <c r="F910" s="38">
        <f>IFERROR(IF(OR(A910="",E910=""),"",C910-E910),"")</f>
        <v/>
      </c>
      <c r="G910" s="37" t="n"/>
      <c r="H910" s="37" t="n"/>
    </row>
    <row r="911">
      <c r="A911" s="26" t="n"/>
      <c r="B911" s="26">
        <f>IFERROR(IF(A911="","",VLOOKUP(A911,DATABASE!A:B,2,0)),"")</f>
        <v/>
      </c>
      <c r="C911" s="30">
        <f>IFERROR(IF(A911="","",VLOOKUP(A911,DATABASE!A:J,10,0)),"")</f>
        <v/>
      </c>
      <c r="D911" s="31">
        <f>IF(A911="","",TODAY())</f>
        <v/>
      </c>
      <c r="E911" s="30" t="n"/>
      <c r="F911" s="30">
        <f>IFERROR(IF(OR(A911="",E911=""),"",C911-E911),"")</f>
        <v/>
      </c>
      <c r="G911" s="26" t="n"/>
      <c r="H911" s="26" t="n"/>
    </row>
    <row r="912">
      <c r="A912" s="37" t="n"/>
      <c r="B912" s="37">
        <f>IFERROR(IF(A912="","",VLOOKUP(A912,DATABASE!A:B,2,0)),"")</f>
        <v/>
      </c>
      <c r="C912" s="38">
        <f>IFERROR(IF(A912="","",VLOOKUP(A912,DATABASE!A:J,10,0)),"")</f>
        <v/>
      </c>
      <c r="D912" s="39">
        <f>IF(A912="","",TODAY())</f>
        <v/>
      </c>
      <c r="E912" s="38" t="n"/>
      <c r="F912" s="38">
        <f>IFERROR(IF(OR(A912="",E912=""),"",C912-E912),"")</f>
        <v/>
      </c>
      <c r="G912" s="37" t="n"/>
      <c r="H912" s="37" t="n"/>
    </row>
    <row r="913">
      <c r="A913" s="26" t="n"/>
      <c r="B913" s="26">
        <f>IFERROR(IF(A913="","",VLOOKUP(A913,DATABASE!A:B,2,0)),"")</f>
        <v/>
      </c>
      <c r="C913" s="30">
        <f>IFERROR(IF(A913="","",VLOOKUP(A913,DATABASE!A:J,10,0)),"")</f>
        <v/>
      </c>
      <c r="D913" s="31">
        <f>IF(A913="","",TODAY())</f>
        <v/>
      </c>
      <c r="E913" s="30" t="n"/>
      <c r="F913" s="30">
        <f>IFERROR(IF(OR(A913="",E913=""),"",C913-E913),"")</f>
        <v/>
      </c>
      <c r="G913" s="26" t="n"/>
      <c r="H913" s="26" t="n"/>
    </row>
    <row r="914">
      <c r="A914" s="37" t="n"/>
      <c r="B914" s="37">
        <f>IFERROR(IF(A914="","",VLOOKUP(A914,DATABASE!A:B,2,0)),"")</f>
        <v/>
      </c>
      <c r="C914" s="38">
        <f>IFERROR(IF(A914="","",VLOOKUP(A914,DATABASE!A:J,10,0)),"")</f>
        <v/>
      </c>
      <c r="D914" s="39">
        <f>IF(A914="","",TODAY())</f>
        <v/>
      </c>
      <c r="E914" s="38" t="n"/>
      <c r="F914" s="38">
        <f>IFERROR(IF(OR(A914="",E914=""),"",C914-E914),"")</f>
        <v/>
      </c>
      <c r="G914" s="37" t="n"/>
      <c r="H914" s="37" t="n"/>
    </row>
    <row r="915">
      <c r="A915" s="26" t="n"/>
      <c r="B915" s="26">
        <f>IFERROR(IF(A915="","",VLOOKUP(A915,DATABASE!A:B,2,0)),"")</f>
        <v/>
      </c>
      <c r="C915" s="30">
        <f>IFERROR(IF(A915="","",VLOOKUP(A915,DATABASE!A:J,10,0)),"")</f>
        <v/>
      </c>
      <c r="D915" s="31">
        <f>IF(A915="","",TODAY())</f>
        <v/>
      </c>
      <c r="E915" s="30" t="n"/>
      <c r="F915" s="30">
        <f>IFERROR(IF(OR(A915="",E915=""),"",C915-E915),"")</f>
        <v/>
      </c>
      <c r="G915" s="26" t="n"/>
      <c r="H915" s="26" t="n"/>
    </row>
    <row r="916">
      <c r="A916" s="37" t="n"/>
      <c r="B916" s="37">
        <f>IFERROR(IF(A916="","",VLOOKUP(A916,DATABASE!A:B,2,0)),"")</f>
        <v/>
      </c>
      <c r="C916" s="38">
        <f>IFERROR(IF(A916="","",VLOOKUP(A916,DATABASE!A:J,10,0)),"")</f>
        <v/>
      </c>
      <c r="D916" s="39">
        <f>IF(A916="","",TODAY())</f>
        <v/>
      </c>
      <c r="E916" s="38" t="n"/>
      <c r="F916" s="38">
        <f>IFERROR(IF(OR(A916="",E916=""),"",C916-E916),"")</f>
        <v/>
      </c>
      <c r="G916" s="37" t="n"/>
      <c r="H916" s="37" t="n"/>
    </row>
    <row r="917">
      <c r="A917" s="26" t="n"/>
      <c r="B917" s="26">
        <f>IFERROR(IF(A917="","",VLOOKUP(A917,DATABASE!A:B,2,0)),"")</f>
        <v/>
      </c>
      <c r="C917" s="30">
        <f>IFERROR(IF(A917="","",VLOOKUP(A917,DATABASE!A:J,10,0)),"")</f>
        <v/>
      </c>
      <c r="D917" s="31">
        <f>IF(A917="","",TODAY())</f>
        <v/>
      </c>
      <c r="E917" s="30" t="n"/>
      <c r="F917" s="30">
        <f>IFERROR(IF(OR(A917="",E917=""),"",C917-E917),"")</f>
        <v/>
      </c>
      <c r="G917" s="26" t="n"/>
      <c r="H917" s="26" t="n"/>
    </row>
    <row r="918">
      <c r="A918" s="37" t="n"/>
      <c r="B918" s="37">
        <f>IFERROR(IF(A918="","",VLOOKUP(A918,DATABASE!A:B,2,0)),"")</f>
        <v/>
      </c>
      <c r="C918" s="38">
        <f>IFERROR(IF(A918="","",VLOOKUP(A918,DATABASE!A:J,10,0)),"")</f>
        <v/>
      </c>
      <c r="D918" s="39">
        <f>IF(A918="","",TODAY())</f>
        <v/>
      </c>
      <c r="E918" s="38" t="n"/>
      <c r="F918" s="38">
        <f>IFERROR(IF(OR(A918="",E918=""),"",C918-E918),"")</f>
        <v/>
      </c>
      <c r="G918" s="37" t="n"/>
      <c r="H918" s="37" t="n"/>
    </row>
    <row r="919">
      <c r="A919" s="26" t="n"/>
      <c r="B919" s="26">
        <f>IFERROR(IF(A919="","",VLOOKUP(A919,DATABASE!A:B,2,0)),"")</f>
        <v/>
      </c>
      <c r="C919" s="30">
        <f>IFERROR(IF(A919="","",VLOOKUP(A919,DATABASE!A:J,10,0)),"")</f>
        <v/>
      </c>
      <c r="D919" s="31">
        <f>IF(A919="","",TODAY())</f>
        <v/>
      </c>
      <c r="E919" s="30" t="n"/>
      <c r="F919" s="30">
        <f>IFERROR(IF(OR(A919="",E919=""),"",C919-E919),"")</f>
        <v/>
      </c>
      <c r="G919" s="26" t="n"/>
      <c r="H919" s="26" t="n"/>
    </row>
    <row r="920">
      <c r="A920" s="37" t="n"/>
      <c r="B920" s="37">
        <f>IFERROR(IF(A920="","",VLOOKUP(A920,DATABASE!A:B,2,0)),"")</f>
        <v/>
      </c>
      <c r="C920" s="38">
        <f>IFERROR(IF(A920="","",VLOOKUP(A920,DATABASE!A:J,10,0)),"")</f>
        <v/>
      </c>
      <c r="D920" s="39">
        <f>IF(A920="","",TODAY())</f>
        <v/>
      </c>
      <c r="E920" s="38" t="n"/>
      <c r="F920" s="38">
        <f>IFERROR(IF(OR(A920="",E920=""),"",C920-E920),"")</f>
        <v/>
      </c>
      <c r="G920" s="37" t="n"/>
      <c r="H920" s="37" t="n"/>
    </row>
    <row r="921">
      <c r="A921" s="26" t="n"/>
      <c r="B921" s="26">
        <f>IFERROR(IF(A921="","",VLOOKUP(A921,DATABASE!A:B,2,0)),"")</f>
        <v/>
      </c>
      <c r="C921" s="30">
        <f>IFERROR(IF(A921="","",VLOOKUP(A921,DATABASE!A:J,10,0)),"")</f>
        <v/>
      </c>
      <c r="D921" s="31">
        <f>IF(A921="","",TODAY())</f>
        <v/>
      </c>
      <c r="E921" s="30" t="n"/>
      <c r="F921" s="30">
        <f>IFERROR(IF(OR(A921="",E921=""),"",C921-E921),"")</f>
        <v/>
      </c>
      <c r="G921" s="26" t="n"/>
      <c r="H921" s="26" t="n"/>
    </row>
    <row r="922">
      <c r="A922" s="37" t="n"/>
      <c r="B922" s="37">
        <f>IFERROR(IF(A922="","",VLOOKUP(A922,DATABASE!A:B,2,0)),"")</f>
        <v/>
      </c>
      <c r="C922" s="38">
        <f>IFERROR(IF(A922="","",VLOOKUP(A922,DATABASE!A:J,10,0)),"")</f>
        <v/>
      </c>
      <c r="D922" s="39">
        <f>IF(A922="","",TODAY())</f>
        <v/>
      </c>
      <c r="E922" s="38" t="n"/>
      <c r="F922" s="38">
        <f>IFERROR(IF(OR(A922="",E922=""),"",C922-E922),"")</f>
        <v/>
      </c>
      <c r="G922" s="37" t="n"/>
      <c r="H922" s="37" t="n"/>
    </row>
    <row r="923">
      <c r="A923" s="26" t="n"/>
      <c r="B923" s="26">
        <f>IFERROR(IF(A923="","",VLOOKUP(A923,DATABASE!A:B,2,0)),"")</f>
        <v/>
      </c>
      <c r="C923" s="30">
        <f>IFERROR(IF(A923="","",VLOOKUP(A923,DATABASE!A:J,10,0)),"")</f>
        <v/>
      </c>
      <c r="D923" s="31">
        <f>IF(A923="","",TODAY())</f>
        <v/>
      </c>
      <c r="E923" s="30" t="n"/>
      <c r="F923" s="30">
        <f>IFERROR(IF(OR(A923="",E923=""),"",C923-E923),"")</f>
        <v/>
      </c>
      <c r="G923" s="26" t="n"/>
      <c r="H923" s="26" t="n"/>
    </row>
    <row r="924">
      <c r="A924" s="37" t="n"/>
      <c r="B924" s="37">
        <f>IFERROR(IF(A924="","",VLOOKUP(A924,DATABASE!A:B,2,0)),"")</f>
        <v/>
      </c>
      <c r="C924" s="38">
        <f>IFERROR(IF(A924="","",VLOOKUP(A924,DATABASE!A:J,10,0)),"")</f>
        <v/>
      </c>
      <c r="D924" s="39">
        <f>IF(A924="","",TODAY())</f>
        <v/>
      </c>
      <c r="E924" s="38" t="n"/>
      <c r="F924" s="38">
        <f>IFERROR(IF(OR(A924="",E924=""),"",C924-E924),"")</f>
        <v/>
      </c>
      <c r="G924" s="37" t="n"/>
      <c r="H924" s="37" t="n"/>
    </row>
    <row r="925">
      <c r="A925" s="26" t="n"/>
      <c r="B925" s="26">
        <f>IFERROR(IF(A925="","",VLOOKUP(A925,DATABASE!A:B,2,0)),"")</f>
        <v/>
      </c>
      <c r="C925" s="30">
        <f>IFERROR(IF(A925="","",VLOOKUP(A925,DATABASE!A:J,10,0)),"")</f>
        <v/>
      </c>
      <c r="D925" s="31">
        <f>IF(A925="","",TODAY())</f>
        <v/>
      </c>
      <c r="E925" s="30" t="n"/>
      <c r="F925" s="30">
        <f>IFERROR(IF(OR(A925="",E925=""),"",C925-E925),"")</f>
        <v/>
      </c>
      <c r="G925" s="26" t="n"/>
      <c r="H925" s="26" t="n"/>
    </row>
    <row r="926">
      <c r="A926" s="37" t="n"/>
      <c r="B926" s="37">
        <f>IFERROR(IF(A926="","",VLOOKUP(A926,DATABASE!A:B,2,0)),"")</f>
        <v/>
      </c>
      <c r="C926" s="38">
        <f>IFERROR(IF(A926="","",VLOOKUP(A926,DATABASE!A:J,10,0)),"")</f>
        <v/>
      </c>
      <c r="D926" s="39">
        <f>IF(A926="","",TODAY())</f>
        <v/>
      </c>
      <c r="E926" s="38" t="n"/>
      <c r="F926" s="38">
        <f>IFERROR(IF(OR(A926="",E926=""),"",C926-E926),"")</f>
        <v/>
      </c>
      <c r="G926" s="37" t="n"/>
      <c r="H926" s="37" t="n"/>
    </row>
    <row r="927">
      <c r="A927" s="26" t="n"/>
      <c r="B927" s="26">
        <f>IFERROR(IF(A927="","",VLOOKUP(A927,DATABASE!A:B,2,0)),"")</f>
        <v/>
      </c>
      <c r="C927" s="30">
        <f>IFERROR(IF(A927="","",VLOOKUP(A927,DATABASE!A:J,10,0)),"")</f>
        <v/>
      </c>
      <c r="D927" s="31">
        <f>IF(A927="","",TODAY())</f>
        <v/>
      </c>
      <c r="E927" s="30" t="n"/>
      <c r="F927" s="30">
        <f>IFERROR(IF(OR(A927="",E927=""),"",C927-E927),"")</f>
        <v/>
      </c>
      <c r="G927" s="26" t="n"/>
      <c r="H927" s="26" t="n"/>
    </row>
    <row r="928">
      <c r="A928" s="37" t="n"/>
      <c r="B928" s="37">
        <f>IFERROR(IF(A928="","",VLOOKUP(A928,DATABASE!A:B,2,0)),"")</f>
        <v/>
      </c>
      <c r="C928" s="38">
        <f>IFERROR(IF(A928="","",VLOOKUP(A928,DATABASE!A:J,10,0)),"")</f>
        <v/>
      </c>
      <c r="D928" s="39">
        <f>IF(A928="","",TODAY())</f>
        <v/>
      </c>
      <c r="E928" s="38" t="n"/>
      <c r="F928" s="38">
        <f>IFERROR(IF(OR(A928="",E928=""),"",C928-E928),"")</f>
        <v/>
      </c>
      <c r="G928" s="37" t="n"/>
      <c r="H928" s="37" t="n"/>
    </row>
    <row r="929">
      <c r="A929" s="26" t="n"/>
      <c r="B929" s="26">
        <f>IFERROR(IF(A929="","",VLOOKUP(A929,DATABASE!A:B,2,0)),"")</f>
        <v/>
      </c>
      <c r="C929" s="30">
        <f>IFERROR(IF(A929="","",VLOOKUP(A929,DATABASE!A:J,10,0)),"")</f>
        <v/>
      </c>
      <c r="D929" s="31">
        <f>IF(A929="","",TODAY())</f>
        <v/>
      </c>
      <c r="E929" s="30" t="n"/>
      <c r="F929" s="30">
        <f>IFERROR(IF(OR(A929="",E929=""),"",C929-E929),"")</f>
        <v/>
      </c>
      <c r="G929" s="26" t="n"/>
      <c r="H929" s="26" t="n"/>
    </row>
    <row r="930">
      <c r="A930" s="37" t="n"/>
      <c r="B930" s="37">
        <f>IFERROR(IF(A930="","",VLOOKUP(A930,DATABASE!A:B,2,0)),"")</f>
        <v/>
      </c>
      <c r="C930" s="38">
        <f>IFERROR(IF(A930="","",VLOOKUP(A930,DATABASE!A:J,10,0)),"")</f>
        <v/>
      </c>
      <c r="D930" s="39">
        <f>IF(A930="","",TODAY())</f>
        <v/>
      </c>
      <c r="E930" s="38" t="n"/>
      <c r="F930" s="38">
        <f>IFERROR(IF(OR(A930="",E930=""),"",C930-E930),"")</f>
        <v/>
      </c>
      <c r="G930" s="37" t="n"/>
      <c r="H930" s="37" t="n"/>
    </row>
    <row r="931">
      <c r="A931" s="26" t="n"/>
      <c r="B931" s="26">
        <f>IFERROR(IF(A931="","",VLOOKUP(A931,DATABASE!A:B,2,0)),"")</f>
        <v/>
      </c>
      <c r="C931" s="30">
        <f>IFERROR(IF(A931="","",VLOOKUP(A931,DATABASE!A:J,10,0)),"")</f>
        <v/>
      </c>
      <c r="D931" s="31">
        <f>IF(A931="","",TODAY())</f>
        <v/>
      </c>
      <c r="E931" s="30" t="n"/>
      <c r="F931" s="30">
        <f>IFERROR(IF(OR(A931="",E931=""),"",C931-E931),"")</f>
        <v/>
      </c>
      <c r="G931" s="26" t="n"/>
      <c r="H931" s="26" t="n"/>
    </row>
    <row r="932">
      <c r="A932" s="37" t="n"/>
      <c r="B932" s="37">
        <f>IFERROR(IF(A932="","",VLOOKUP(A932,DATABASE!A:B,2,0)),"")</f>
        <v/>
      </c>
      <c r="C932" s="38">
        <f>IFERROR(IF(A932="","",VLOOKUP(A932,DATABASE!A:J,10,0)),"")</f>
        <v/>
      </c>
      <c r="D932" s="39">
        <f>IF(A932="","",TODAY())</f>
        <v/>
      </c>
      <c r="E932" s="38" t="n"/>
      <c r="F932" s="38">
        <f>IFERROR(IF(OR(A932="",E932=""),"",C932-E932),"")</f>
        <v/>
      </c>
      <c r="G932" s="37" t="n"/>
      <c r="H932" s="37" t="n"/>
    </row>
    <row r="933">
      <c r="A933" s="26" t="n"/>
      <c r="B933" s="26">
        <f>IFERROR(IF(A933="","",VLOOKUP(A933,DATABASE!A:B,2,0)),"")</f>
        <v/>
      </c>
      <c r="C933" s="30">
        <f>IFERROR(IF(A933="","",VLOOKUP(A933,DATABASE!A:J,10,0)),"")</f>
        <v/>
      </c>
      <c r="D933" s="31">
        <f>IF(A933="","",TODAY())</f>
        <v/>
      </c>
      <c r="E933" s="30" t="n"/>
      <c r="F933" s="30">
        <f>IFERROR(IF(OR(A933="",E933=""),"",C933-E933),"")</f>
        <v/>
      </c>
      <c r="G933" s="26" t="n"/>
      <c r="H933" s="26" t="n"/>
    </row>
    <row r="934">
      <c r="A934" s="37" t="n"/>
      <c r="B934" s="37">
        <f>IFERROR(IF(A934="","",VLOOKUP(A934,DATABASE!A:B,2,0)),"")</f>
        <v/>
      </c>
      <c r="C934" s="38">
        <f>IFERROR(IF(A934="","",VLOOKUP(A934,DATABASE!A:J,10,0)),"")</f>
        <v/>
      </c>
      <c r="D934" s="39">
        <f>IF(A934="","",TODAY())</f>
        <v/>
      </c>
      <c r="E934" s="38" t="n"/>
      <c r="F934" s="38">
        <f>IFERROR(IF(OR(A934="",E934=""),"",C934-E934),"")</f>
        <v/>
      </c>
      <c r="G934" s="37" t="n"/>
      <c r="H934" s="37" t="n"/>
    </row>
    <row r="935">
      <c r="A935" s="26" t="n"/>
      <c r="B935" s="26">
        <f>IFERROR(IF(A935="","",VLOOKUP(A935,DATABASE!A:B,2,0)),"")</f>
        <v/>
      </c>
      <c r="C935" s="30">
        <f>IFERROR(IF(A935="","",VLOOKUP(A935,DATABASE!A:J,10,0)),"")</f>
        <v/>
      </c>
      <c r="D935" s="31">
        <f>IF(A935="","",TODAY())</f>
        <v/>
      </c>
      <c r="E935" s="30" t="n"/>
      <c r="F935" s="30">
        <f>IFERROR(IF(OR(A935="",E935=""),"",C935-E935),"")</f>
        <v/>
      </c>
      <c r="G935" s="26" t="n"/>
      <c r="H935" s="26" t="n"/>
    </row>
    <row r="936">
      <c r="A936" s="37" t="n"/>
      <c r="B936" s="37">
        <f>IFERROR(IF(A936="","",VLOOKUP(A936,DATABASE!A:B,2,0)),"")</f>
        <v/>
      </c>
      <c r="C936" s="38">
        <f>IFERROR(IF(A936="","",VLOOKUP(A936,DATABASE!A:J,10,0)),"")</f>
        <v/>
      </c>
      <c r="D936" s="39">
        <f>IF(A936="","",TODAY())</f>
        <v/>
      </c>
      <c r="E936" s="38" t="n"/>
      <c r="F936" s="38">
        <f>IFERROR(IF(OR(A936="",E936=""),"",C936-E936),"")</f>
        <v/>
      </c>
      <c r="G936" s="37" t="n"/>
      <c r="H936" s="37" t="n"/>
    </row>
    <row r="937">
      <c r="A937" s="26" t="n"/>
      <c r="B937" s="26">
        <f>IFERROR(IF(A937="","",VLOOKUP(A937,DATABASE!A:B,2,0)),"")</f>
        <v/>
      </c>
      <c r="C937" s="30">
        <f>IFERROR(IF(A937="","",VLOOKUP(A937,DATABASE!A:J,10,0)),"")</f>
        <v/>
      </c>
      <c r="D937" s="31">
        <f>IF(A937="","",TODAY())</f>
        <v/>
      </c>
      <c r="E937" s="30" t="n"/>
      <c r="F937" s="30">
        <f>IFERROR(IF(OR(A937="",E937=""),"",C937-E937),"")</f>
        <v/>
      </c>
      <c r="G937" s="26" t="n"/>
      <c r="H937" s="26" t="n"/>
    </row>
    <row r="938">
      <c r="A938" s="37" t="n"/>
      <c r="B938" s="37">
        <f>IFERROR(IF(A938="","",VLOOKUP(A938,DATABASE!A:B,2,0)),"")</f>
        <v/>
      </c>
      <c r="C938" s="38">
        <f>IFERROR(IF(A938="","",VLOOKUP(A938,DATABASE!A:J,10,0)),"")</f>
        <v/>
      </c>
      <c r="D938" s="39">
        <f>IF(A938="","",TODAY())</f>
        <v/>
      </c>
      <c r="E938" s="38" t="n"/>
      <c r="F938" s="38">
        <f>IFERROR(IF(OR(A938="",E938=""),"",C938-E938),"")</f>
        <v/>
      </c>
      <c r="G938" s="37" t="n"/>
      <c r="H938" s="37" t="n"/>
    </row>
    <row r="939">
      <c r="A939" s="26" t="n"/>
      <c r="B939" s="26">
        <f>IFERROR(IF(A939="","",VLOOKUP(A939,DATABASE!A:B,2,0)),"")</f>
        <v/>
      </c>
      <c r="C939" s="30">
        <f>IFERROR(IF(A939="","",VLOOKUP(A939,DATABASE!A:J,10,0)),"")</f>
        <v/>
      </c>
      <c r="D939" s="31">
        <f>IF(A939="","",TODAY())</f>
        <v/>
      </c>
      <c r="E939" s="30" t="n"/>
      <c r="F939" s="30">
        <f>IFERROR(IF(OR(A939="",E939=""),"",C939-E939),"")</f>
        <v/>
      </c>
      <c r="G939" s="26" t="n"/>
      <c r="H939" s="26" t="n"/>
    </row>
    <row r="940">
      <c r="A940" s="37" t="n"/>
      <c r="B940" s="37">
        <f>IFERROR(IF(A940="","",VLOOKUP(A940,DATABASE!A:B,2,0)),"")</f>
        <v/>
      </c>
      <c r="C940" s="38">
        <f>IFERROR(IF(A940="","",VLOOKUP(A940,DATABASE!A:J,10,0)),"")</f>
        <v/>
      </c>
      <c r="D940" s="39">
        <f>IF(A940="","",TODAY())</f>
        <v/>
      </c>
      <c r="E940" s="38" t="n"/>
      <c r="F940" s="38">
        <f>IFERROR(IF(OR(A940="",E940=""),"",C940-E940),"")</f>
        <v/>
      </c>
      <c r="G940" s="37" t="n"/>
      <c r="H940" s="37" t="n"/>
    </row>
    <row r="941">
      <c r="A941" s="26" t="n"/>
      <c r="B941" s="26">
        <f>IFERROR(IF(A941="","",VLOOKUP(A941,DATABASE!A:B,2,0)),"")</f>
        <v/>
      </c>
      <c r="C941" s="30">
        <f>IFERROR(IF(A941="","",VLOOKUP(A941,DATABASE!A:J,10,0)),"")</f>
        <v/>
      </c>
      <c r="D941" s="31">
        <f>IF(A941="","",TODAY())</f>
        <v/>
      </c>
      <c r="E941" s="30" t="n"/>
      <c r="F941" s="30">
        <f>IFERROR(IF(OR(A941="",E941=""),"",C941-E941),"")</f>
        <v/>
      </c>
      <c r="G941" s="26" t="n"/>
      <c r="H941" s="26" t="n"/>
    </row>
    <row r="942">
      <c r="A942" s="37" t="n"/>
      <c r="B942" s="37">
        <f>IFERROR(IF(A942="","",VLOOKUP(A942,DATABASE!A:B,2,0)),"")</f>
        <v/>
      </c>
      <c r="C942" s="38">
        <f>IFERROR(IF(A942="","",VLOOKUP(A942,DATABASE!A:J,10,0)),"")</f>
        <v/>
      </c>
      <c r="D942" s="39">
        <f>IF(A942="","",TODAY())</f>
        <v/>
      </c>
      <c r="E942" s="38" t="n"/>
      <c r="F942" s="38">
        <f>IFERROR(IF(OR(A942="",E942=""),"",C942-E942),"")</f>
        <v/>
      </c>
      <c r="G942" s="37" t="n"/>
      <c r="H942" s="37" t="n"/>
    </row>
    <row r="943">
      <c r="A943" s="26" t="n"/>
      <c r="B943" s="26">
        <f>IFERROR(IF(A943="","",VLOOKUP(A943,DATABASE!A:B,2,0)),"")</f>
        <v/>
      </c>
      <c r="C943" s="30">
        <f>IFERROR(IF(A943="","",VLOOKUP(A943,DATABASE!A:J,10,0)),"")</f>
        <v/>
      </c>
      <c r="D943" s="31">
        <f>IF(A943="","",TODAY())</f>
        <v/>
      </c>
      <c r="E943" s="30" t="n"/>
      <c r="F943" s="30">
        <f>IFERROR(IF(OR(A943="",E943=""),"",C943-E943),"")</f>
        <v/>
      </c>
      <c r="G943" s="26" t="n"/>
      <c r="H943" s="26" t="n"/>
    </row>
    <row r="944">
      <c r="A944" s="37" t="n"/>
      <c r="B944" s="37">
        <f>IFERROR(IF(A944="","",VLOOKUP(A944,DATABASE!A:B,2,0)),"")</f>
        <v/>
      </c>
      <c r="C944" s="38">
        <f>IFERROR(IF(A944="","",VLOOKUP(A944,DATABASE!A:J,10,0)),"")</f>
        <v/>
      </c>
      <c r="D944" s="39">
        <f>IF(A944="","",TODAY())</f>
        <v/>
      </c>
      <c r="E944" s="38" t="n"/>
      <c r="F944" s="38">
        <f>IFERROR(IF(OR(A944="",E944=""),"",C944-E944),"")</f>
        <v/>
      </c>
      <c r="G944" s="37" t="n"/>
      <c r="H944" s="37" t="n"/>
    </row>
    <row r="945">
      <c r="A945" s="26" t="n"/>
      <c r="B945" s="26">
        <f>IFERROR(IF(A945="","",VLOOKUP(A945,DATABASE!A:B,2,0)),"")</f>
        <v/>
      </c>
      <c r="C945" s="30">
        <f>IFERROR(IF(A945="","",VLOOKUP(A945,DATABASE!A:J,10,0)),"")</f>
        <v/>
      </c>
      <c r="D945" s="31">
        <f>IF(A945="","",TODAY())</f>
        <v/>
      </c>
      <c r="E945" s="30" t="n"/>
      <c r="F945" s="30">
        <f>IFERROR(IF(OR(A945="",E945=""),"",C945-E945),"")</f>
        <v/>
      </c>
      <c r="G945" s="26" t="n"/>
      <c r="H945" s="26" t="n"/>
    </row>
    <row r="946">
      <c r="A946" s="37" t="n"/>
      <c r="B946" s="37">
        <f>IFERROR(IF(A946="","",VLOOKUP(A946,DATABASE!A:B,2,0)),"")</f>
        <v/>
      </c>
      <c r="C946" s="38">
        <f>IFERROR(IF(A946="","",VLOOKUP(A946,DATABASE!A:J,10,0)),"")</f>
        <v/>
      </c>
      <c r="D946" s="39">
        <f>IF(A946="","",TODAY())</f>
        <v/>
      </c>
      <c r="E946" s="38" t="n"/>
      <c r="F946" s="38">
        <f>IFERROR(IF(OR(A946="",E946=""),"",C946-E946),"")</f>
        <v/>
      </c>
      <c r="G946" s="37" t="n"/>
      <c r="H946" s="37" t="n"/>
    </row>
    <row r="947">
      <c r="A947" s="26" t="n"/>
      <c r="B947" s="26">
        <f>IFERROR(IF(A947="","",VLOOKUP(A947,DATABASE!A:B,2,0)),"")</f>
        <v/>
      </c>
      <c r="C947" s="30">
        <f>IFERROR(IF(A947="","",VLOOKUP(A947,DATABASE!A:J,10,0)),"")</f>
        <v/>
      </c>
      <c r="D947" s="31">
        <f>IF(A947="","",TODAY())</f>
        <v/>
      </c>
      <c r="E947" s="30" t="n"/>
      <c r="F947" s="30">
        <f>IFERROR(IF(OR(A947="",E947=""),"",C947-E947),"")</f>
        <v/>
      </c>
      <c r="G947" s="26" t="n"/>
      <c r="H947" s="26" t="n"/>
    </row>
    <row r="948">
      <c r="A948" s="37" t="n"/>
      <c r="B948" s="37">
        <f>IFERROR(IF(A948="","",VLOOKUP(A948,DATABASE!A:B,2,0)),"")</f>
        <v/>
      </c>
      <c r="C948" s="38">
        <f>IFERROR(IF(A948="","",VLOOKUP(A948,DATABASE!A:J,10,0)),"")</f>
        <v/>
      </c>
      <c r="D948" s="39">
        <f>IF(A948="","",TODAY())</f>
        <v/>
      </c>
      <c r="E948" s="38" t="n"/>
      <c r="F948" s="38">
        <f>IFERROR(IF(OR(A948="",E948=""),"",C948-E948),"")</f>
        <v/>
      </c>
      <c r="G948" s="37" t="n"/>
      <c r="H948" s="37" t="n"/>
    </row>
    <row r="949">
      <c r="A949" s="26" t="n"/>
      <c r="B949" s="26">
        <f>IFERROR(IF(A949="","",VLOOKUP(A949,DATABASE!A:B,2,0)),"")</f>
        <v/>
      </c>
      <c r="C949" s="30">
        <f>IFERROR(IF(A949="","",VLOOKUP(A949,DATABASE!A:J,10,0)),"")</f>
        <v/>
      </c>
      <c r="D949" s="31">
        <f>IF(A949="","",TODAY())</f>
        <v/>
      </c>
      <c r="E949" s="30" t="n"/>
      <c r="F949" s="30">
        <f>IFERROR(IF(OR(A949="",E949=""),"",C949-E949),"")</f>
        <v/>
      </c>
      <c r="G949" s="26" t="n"/>
      <c r="H949" s="26" t="n"/>
    </row>
    <row r="950">
      <c r="A950" s="37" t="n"/>
      <c r="B950" s="37">
        <f>IFERROR(IF(A950="","",VLOOKUP(A950,DATABASE!A:B,2,0)),"")</f>
        <v/>
      </c>
      <c r="C950" s="38">
        <f>IFERROR(IF(A950="","",VLOOKUP(A950,DATABASE!A:J,10,0)),"")</f>
        <v/>
      </c>
      <c r="D950" s="39">
        <f>IF(A950="","",TODAY())</f>
        <v/>
      </c>
      <c r="E950" s="38" t="n"/>
      <c r="F950" s="38">
        <f>IFERROR(IF(OR(A950="",E950=""),"",C950-E950),"")</f>
        <v/>
      </c>
      <c r="G950" s="37" t="n"/>
      <c r="H950" s="37" t="n"/>
    </row>
    <row r="951">
      <c r="A951" s="26" t="n"/>
      <c r="B951" s="26">
        <f>IFERROR(IF(A951="","",VLOOKUP(A951,DATABASE!A:B,2,0)),"")</f>
        <v/>
      </c>
      <c r="C951" s="30">
        <f>IFERROR(IF(A951="","",VLOOKUP(A951,DATABASE!A:J,10,0)),"")</f>
        <v/>
      </c>
      <c r="D951" s="31">
        <f>IF(A951="","",TODAY())</f>
        <v/>
      </c>
      <c r="E951" s="30" t="n"/>
      <c r="F951" s="30">
        <f>IFERROR(IF(OR(A951="",E951=""),"",C951-E951),"")</f>
        <v/>
      </c>
      <c r="G951" s="26" t="n"/>
      <c r="H951" s="26" t="n"/>
    </row>
    <row r="952">
      <c r="A952" s="37" t="n"/>
      <c r="B952" s="37">
        <f>IFERROR(IF(A952="","",VLOOKUP(A952,DATABASE!A:B,2,0)),"")</f>
        <v/>
      </c>
      <c r="C952" s="38">
        <f>IFERROR(IF(A952="","",VLOOKUP(A952,DATABASE!A:J,10,0)),"")</f>
        <v/>
      </c>
      <c r="D952" s="39">
        <f>IF(A952="","",TODAY())</f>
        <v/>
      </c>
      <c r="E952" s="38" t="n"/>
      <c r="F952" s="38">
        <f>IFERROR(IF(OR(A952="",E952=""),"",C952-E952),"")</f>
        <v/>
      </c>
      <c r="G952" s="37" t="n"/>
      <c r="H952" s="37" t="n"/>
    </row>
    <row r="953">
      <c r="A953" s="26" t="n"/>
      <c r="B953" s="26">
        <f>IFERROR(IF(A953="","",VLOOKUP(A953,DATABASE!A:B,2,0)),"")</f>
        <v/>
      </c>
      <c r="C953" s="30">
        <f>IFERROR(IF(A953="","",VLOOKUP(A953,DATABASE!A:J,10,0)),"")</f>
        <v/>
      </c>
      <c r="D953" s="31">
        <f>IF(A953="","",TODAY())</f>
        <v/>
      </c>
      <c r="E953" s="30" t="n"/>
      <c r="F953" s="30">
        <f>IFERROR(IF(OR(A953="",E953=""),"",C953-E953),"")</f>
        <v/>
      </c>
      <c r="G953" s="26" t="n"/>
      <c r="H953" s="26" t="n"/>
    </row>
    <row r="954">
      <c r="A954" s="37" t="n"/>
      <c r="B954" s="37">
        <f>IFERROR(IF(A954="","",VLOOKUP(A954,DATABASE!A:B,2,0)),"")</f>
        <v/>
      </c>
      <c r="C954" s="38">
        <f>IFERROR(IF(A954="","",VLOOKUP(A954,DATABASE!A:J,10,0)),"")</f>
        <v/>
      </c>
      <c r="D954" s="39">
        <f>IF(A954="","",TODAY())</f>
        <v/>
      </c>
      <c r="E954" s="38" t="n"/>
      <c r="F954" s="38">
        <f>IFERROR(IF(OR(A954="",E954=""),"",C954-E954),"")</f>
        <v/>
      </c>
      <c r="G954" s="37" t="n"/>
      <c r="H954" s="37" t="n"/>
    </row>
    <row r="955">
      <c r="A955" s="26" t="n"/>
      <c r="B955" s="26">
        <f>IFERROR(IF(A955="","",VLOOKUP(A955,DATABASE!A:B,2,0)),"")</f>
        <v/>
      </c>
      <c r="C955" s="30">
        <f>IFERROR(IF(A955="","",VLOOKUP(A955,DATABASE!A:J,10,0)),"")</f>
        <v/>
      </c>
      <c r="D955" s="31">
        <f>IF(A955="","",TODAY())</f>
        <v/>
      </c>
      <c r="E955" s="30" t="n"/>
      <c r="F955" s="30">
        <f>IFERROR(IF(OR(A955="",E955=""),"",C955-E955),"")</f>
        <v/>
      </c>
      <c r="G955" s="26" t="n"/>
      <c r="H955" s="26" t="n"/>
    </row>
    <row r="956">
      <c r="A956" s="37" t="n"/>
      <c r="B956" s="37">
        <f>IFERROR(IF(A956="","",VLOOKUP(A956,DATABASE!A:B,2,0)),"")</f>
        <v/>
      </c>
      <c r="C956" s="38">
        <f>IFERROR(IF(A956="","",VLOOKUP(A956,DATABASE!A:J,10,0)),"")</f>
        <v/>
      </c>
      <c r="D956" s="39">
        <f>IF(A956="","",TODAY())</f>
        <v/>
      </c>
      <c r="E956" s="38" t="n"/>
      <c r="F956" s="38">
        <f>IFERROR(IF(OR(A956="",E956=""),"",C956-E956),"")</f>
        <v/>
      </c>
      <c r="G956" s="37" t="n"/>
      <c r="H956" s="37" t="n"/>
    </row>
    <row r="957">
      <c r="A957" s="26" t="n"/>
      <c r="B957" s="26">
        <f>IFERROR(IF(A957="","",VLOOKUP(A957,DATABASE!A:B,2,0)),"")</f>
        <v/>
      </c>
      <c r="C957" s="30">
        <f>IFERROR(IF(A957="","",VLOOKUP(A957,DATABASE!A:J,10,0)),"")</f>
        <v/>
      </c>
      <c r="D957" s="31">
        <f>IF(A957="","",TODAY())</f>
        <v/>
      </c>
      <c r="E957" s="30" t="n"/>
      <c r="F957" s="30">
        <f>IFERROR(IF(OR(A957="",E957=""),"",C957-E957),"")</f>
        <v/>
      </c>
      <c r="G957" s="26" t="n"/>
      <c r="H957" s="26" t="n"/>
    </row>
    <row r="958">
      <c r="A958" s="37" t="n"/>
      <c r="B958" s="37">
        <f>IFERROR(IF(A958="","",VLOOKUP(A958,DATABASE!A:B,2,0)),"")</f>
        <v/>
      </c>
      <c r="C958" s="38">
        <f>IFERROR(IF(A958="","",VLOOKUP(A958,DATABASE!A:J,10,0)),"")</f>
        <v/>
      </c>
      <c r="D958" s="39">
        <f>IF(A958="","",TODAY())</f>
        <v/>
      </c>
      <c r="E958" s="38" t="n"/>
      <c r="F958" s="38">
        <f>IFERROR(IF(OR(A958="",E958=""),"",C958-E958),"")</f>
        <v/>
      </c>
      <c r="G958" s="37" t="n"/>
      <c r="H958" s="37" t="n"/>
    </row>
    <row r="959">
      <c r="A959" s="26" t="n"/>
      <c r="B959" s="26">
        <f>IFERROR(IF(A959="","",VLOOKUP(A959,DATABASE!A:B,2,0)),"")</f>
        <v/>
      </c>
      <c r="C959" s="30">
        <f>IFERROR(IF(A959="","",VLOOKUP(A959,DATABASE!A:J,10,0)),"")</f>
        <v/>
      </c>
      <c r="D959" s="31">
        <f>IF(A959="","",TODAY())</f>
        <v/>
      </c>
      <c r="E959" s="30" t="n"/>
      <c r="F959" s="30">
        <f>IFERROR(IF(OR(A959="",E959=""),"",C959-E959),"")</f>
        <v/>
      </c>
      <c r="G959" s="26" t="n"/>
      <c r="H959" s="26" t="n"/>
    </row>
    <row r="960">
      <c r="A960" s="37" t="n"/>
      <c r="B960" s="37">
        <f>IFERROR(IF(A960="","",VLOOKUP(A960,DATABASE!A:B,2,0)),"")</f>
        <v/>
      </c>
      <c r="C960" s="38">
        <f>IFERROR(IF(A960="","",VLOOKUP(A960,DATABASE!A:J,10,0)),"")</f>
        <v/>
      </c>
      <c r="D960" s="39">
        <f>IF(A960="","",TODAY())</f>
        <v/>
      </c>
      <c r="E960" s="38" t="n"/>
      <c r="F960" s="38">
        <f>IFERROR(IF(OR(A960="",E960=""),"",C960-E960),"")</f>
        <v/>
      </c>
      <c r="G960" s="37" t="n"/>
      <c r="H960" s="37" t="n"/>
    </row>
    <row r="961">
      <c r="A961" s="26" t="n"/>
      <c r="B961" s="26">
        <f>IFERROR(IF(A961="","",VLOOKUP(A961,DATABASE!A:B,2,0)),"")</f>
        <v/>
      </c>
      <c r="C961" s="30">
        <f>IFERROR(IF(A961="","",VLOOKUP(A961,DATABASE!A:J,10,0)),"")</f>
        <v/>
      </c>
      <c r="D961" s="31">
        <f>IF(A961="","",TODAY())</f>
        <v/>
      </c>
      <c r="E961" s="30" t="n"/>
      <c r="F961" s="30">
        <f>IFERROR(IF(OR(A961="",E961=""),"",C961-E961),"")</f>
        <v/>
      </c>
      <c r="G961" s="26" t="n"/>
      <c r="H961" s="26" t="n"/>
    </row>
    <row r="962">
      <c r="A962" s="37" t="n"/>
      <c r="B962" s="37">
        <f>IFERROR(IF(A962="","",VLOOKUP(A962,DATABASE!A:B,2,0)),"")</f>
        <v/>
      </c>
      <c r="C962" s="38">
        <f>IFERROR(IF(A962="","",VLOOKUP(A962,DATABASE!A:J,10,0)),"")</f>
        <v/>
      </c>
      <c r="D962" s="39">
        <f>IF(A962="","",TODAY())</f>
        <v/>
      </c>
      <c r="E962" s="38" t="n"/>
      <c r="F962" s="38">
        <f>IFERROR(IF(OR(A962="",E962=""),"",C962-E962),"")</f>
        <v/>
      </c>
      <c r="G962" s="37" t="n"/>
      <c r="H962" s="37" t="n"/>
    </row>
    <row r="963">
      <c r="A963" s="26" t="n"/>
      <c r="B963" s="26">
        <f>IFERROR(IF(A963="","",VLOOKUP(A963,DATABASE!A:B,2,0)),"")</f>
        <v/>
      </c>
      <c r="C963" s="30">
        <f>IFERROR(IF(A963="","",VLOOKUP(A963,DATABASE!A:J,10,0)),"")</f>
        <v/>
      </c>
      <c r="D963" s="31">
        <f>IF(A963="","",TODAY())</f>
        <v/>
      </c>
      <c r="E963" s="30" t="n"/>
      <c r="F963" s="30">
        <f>IFERROR(IF(OR(A963="",E963=""),"",C963-E963),"")</f>
        <v/>
      </c>
      <c r="G963" s="26" t="n"/>
      <c r="H963" s="26" t="n"/>
    </row>
    <row r="964">
      <c r="A964" s="37" t="n"/>
      <c r="B964" s="37">
        <f>IFERROR(IF(A964="","",VLOOKUP(A964,DATABASE!A:B,2,0)),"")</f>
        <v/>
      </c>
      <c r="C964" s="38">
        <f>IFERROR(IF(A964="","",VLOOKUP(A964,DATABASE!A:J,10,0)),"")</f>
        <v/>
      </c>
      <c r="D964" s="39">
        <f>IF(A964="","",TODAY())</f>
        <v/>
      </c>
      <c r="E964" s="38" t="n"/>
      <c r="F964" s="38">
        <f>IFERROR(IF(OR(A964="",E964=""),"",C964-E964),"")</f>
        <v/>
      </c>
      <c r="G964" s="37" t="n"/>
      <c r="H964" s="37" t="n"/>
    </row>
    <row r="965">
      <c r="A965" s="26" t="n"/>
      <c r="B965" s="26">
        <f>IFERROR(IF(A965="","",VLOOKUP(A965,DATABASE!A:B,2,0)),"")</f>
        <v/>
      </c>
      <c r="C965" s="30">
        <f>IFERROR(IF(A965="","",VLOOKUP(A965,DATABASE!A:J,10,0)),"")</f>
        <v/>
      </c>
      <c r="D965" s="31">
        <f>IF(A965="","",TODAY())</f>
        <v/>
      </c>
      <c r="E965" s="30" t="n"/>
      <c r="F965" s="30">
        <f>IFERROR(IF(OR(A965="",E965=""),"",C965-E965),"")</f>
        <v/>
      </c>
      <c r="G965" s="26" t="n"/>
      <c r="H965" s="26" t="n"/>
    </row>
    <row r="966">
      <c r="A966" s="37" t="n"/>
      <c r="B966" s="37">
        <f>IFERROR(IF(A966="","",VLOOKUP(A966,DATABASE!A:B,2,0)),"")</f>
        <v/>
      </c>
      <c r="C966" s="38">
        <f>IFERROR(IF(A966="","",VLOOKUP(A966,DATABASE!A:J,10,0)),"")</f>
        <v/>
      </c>
      <c r="D966" s="39">
        <f>IF(A966="","",TODAY())</f>
        <v/>
      </c>
      <c r="E966" s="38" t="n"/>
      <c r="F966" s="38">
        <f>IFERROR(IF(OR(A966="",E966=""),"",C966-E966),"")</f>
        <v/>
      </c>
      <c r="G966" s="37" t="n"/>
      <c r="H966" s="37" t="n"/>
    </row>
    <row r="967">
      <c r="A967" s="26" t="n"/>
      <c r="B967" s="26">
        <f>IFERROR(IF(A967="","",VLOOKUP(A967,DATABASE!A:B,2,0)),"")</f>
        <v/>
      </c>
      <c r="C967" s="30">
        <f>IFERROR(IF(A967="","",VLOOKUP(A967,DATABASE!A:J,10,0)),"")</f>
        <v/>
      </c>
      <c r="D967" s="31">
        <f>IF(A967="","",TODAY())</f>
        <v/>
      </c>
      <c r="E967" s="30" t="n"/>
      <c r="F967" s="30">
        <f>IFERROR(IF(OR(A967="",E967=""),"",C967-E967),"")</f>
        <v/>
      </c>
      <c r="G967" s="26" t="n"/>
      <c r="H967" s="26" t="n"/>
    </row>
    <row r="968">
      <c r="A968" s="37" t="n"/>
      <c r="B968" s="37">
        <f>IFERROR(IF(A968="","",VLOOKUP(A968,DATABASE!A:B,2,0)),"")</f>
        <v/>
      </c>
      <c r="C968" s="38">
        <f>IFERROR(IF(A968="","",VLOOKUP(A968,DATABASE!A:J,10,0)),"")</f>
        <v/>
      </c>
      <c r="D968" s="39">
        <f>IF(A968="","",TODAY())</f>
        <v/>
      </c>
      <c r="E968" s="38" t="n"/>
      <c r="F968" s="38">
        <f>IFERROR(IF(OR(A968="",E968=""),"",C968-E968),"")</f>
        <v/>
      </c>
      <c r="G968" s="37" t="n"/>
      <c r="H968" s="37" t="n"/>
    </row>
    <row r="969">
      <c r="A969" s="26" t="n"/>
      <c r="B969" s="26">
        <f>IFERROR(IF(A969="","",VLOOKUP(A969,DATABASE!A:B,2,0)),"")</f>
        <v/>
      </c>
      <c r="C969" s="30">
        <f>IFERROR(IF(A969="","",VLOOKUP(A969,DATABASE!A:J,10,0)),"")</f>
        <v/>
      </c>
      <c r="D969" s="31">
        <f>IF(A969="","",TODAY())</f>
        <v/>
      </c>
      <c r="E969" s="30" t="n"/>
      <c r="F969" s="30">
        <f>IFERROR(IF(OR(A969="",E969=""),"",C969-E969),"")</f>
        <v/>
      </c>
      <c r="G969" s="26" t="n"/>
      <c r="H969" s="26" t="n"/>
    </row>
    <row r="970">
      <c r="A970" s="37" t="n"/>
      <c r="B970" s="37">
        <f>IFERROR(IF(A970="","",VLOOKUP(A970,DATABASE!A:B,2,0)),"")</f>
        <v/>
      </c>
      <c r="C970" s="38">
        <f>IFERROR(IF(A970="","",VLOOKUP(A970,DATABASE!A:J,10,0)),"")</f>
        <v/>
      </c>
      <c r="D970" s="39">
        <f>IF(A970="","",TODAY())</f>
        <v/>
      </c>
      <c r="E970" s="38" t="n"/>
      <c r="F970" s="38">
        <f>IFERROR(IF(OR(A970="",E970=""),"",C970-E970),"")</f>
        <v/>
      </c>
      <c r="G970" s="37" t="n"/>
      <c r="H970" s="37" t="n"/>
    </row>
    <row r="971">
      <c r="A971" s="26" t="n"/>
      <c r="B971" s="26">
        <f>IFERROR(IF(A971="","",VLOOKUP(A971,DATABASE!A:B,2,0)),"")</f>
        <v/>
      </c>
      <c r="C971" s="30">
        <f>IFERROR(IF(A971="","",VLOOKUP(A971,DATABASE!A:J,10,0)),"")</f>
        <v/>
      </c>
      <c r="D971" s="31">
        <f>IF(A971="","",TODAY())</f>
        <v/>
      </c>
      <c r="E971" s="30" t="n"/>
      <c r="F971" s="30">
        <f>IFERROR(IF(OR(A971="",E971=""),"",C971-E971),"")</f>
        <v/>
      </c>
      <c r="G971" s="26" t="n"/>
      <c r="H971" s="26" t="n"/>
    </row>
    <row r="972">
      <c r="A972" s="37" t="n"/>
      <c r="B972" s="37">
        <f>IFERROR(IF(A972="","",VLOOKUP(A972,DATABASE!A:B,2,0)),"")</f>
        <v/>
      </c>
      <c r="C972" s="38">
        <f>IFERROR(IF(A972="","",VLOOKUP(A972,DATABASE!A:J,10,0)),"")</f>
        <v/>
      </c>
      <c r="D972" s="39">
        <f>IF(A972="","",TODAY())</f>
        <v/>
      </c>
      <c r="E972" s="38" t="n"/>
      <c r="F972" s="38">
        <f>IFERROR(IF(OR(A972="",E972=""),"",C972-E972),"")</f>
        <v/>
      </c>
      <c r="G972" s="37" t="n"/>
      <c r="H972" s="37" t="n"/>
    </row>
    <row r="973">
      <c r="A973" s="26" t="n"/>
      <c r="B973" s="26">
        <f>IFERROR(IF(A973="","",VLOOKUP(A973,DATABASE!A:B,2,0)),"")</f>
        <v/>
      </c>
      <c r="C973" s="30">
        <f>IFERROR(IF(A973="","",VLOOKUP(A973,DATABASE!A:J,10,0)),"")</f>
        <v/>
      </c>
      <c r="D973" s="31">
        <f>IF(A973="","",TODAY())</f>
        <v/>
      </c>
      <c r="E973" s="30" t="n"/>
      <c r="F973" s="30">
        <f>IFERROR(IF(OR(A973="",E973=""),"",C973-E973),"")</f>
        <v/>
      </c>
      <c r="G973" s="26" t="n"/>
      <c r="H973" s="26" t="n"/>
    </row>
    <row r="974">
      <c r="A974" s="37" t="n"/>
      <c r="B974" s="37">
        <f>IFERROR(IF(A974="","",VLOOKUP(A974,DATABASE!A:B,2,0)),"")</f>
        <v/>
      </c>
      <c r="C974" s="38">
        <f>IFERROR(IF(A974="","",VLOOKUP(A974,DATABASE!A:J,10,0)),"")</f>
        <v/>
      </c>
      <c r="D974" s="39">
        <f>IF(A974="","",TODAY())</f>
        <v/>
      </c>
      <c r="E974" s="38" t="n"/>
      <c r="F974" s="38">
        <f>IFERROR(IF(OR(A974="",E974=""),"",C974-E974),"")</f>
        <v/>
      </c>
      <c r="G974" s="37" t="n"/>
      <c r="H974" s="37" t="n"/>
    </row>
    <row r="975">
      <c r="A975" s="26" t="n"/>
      <c r="B975" s="26">
        <f>IFERROR(IF(A975="","",VLOOKUP(A975,DATABASE!A:B,2,0)),"")</f>
        <v/>
      </c>
      <c r="C975" s="30">
        <f>IFERROR(IF(A975="","",VLOOKUP(A975,DATABASE!A:J,10,0)),"")</f>
        <v/>
      </c>
      <c r="D975" s="31">
        <f>IF(A975="","",TODAY())</f>
        <v/>
      </c>
      <c r="E975" s="30" t="n"/>
      <c r="F975" s="30">
        <f>IFERROR(IF(OR(A975="",E975=""),"",C975-E975),"")</f>
        <v/>
      </c>
      <c r="G975" s="26" t="n"/>
      <c r="H975" s="26" t="n"/>
    </row>
    <row r="976">
      <c r="A976" s="37" t="n"/>
      <c r="B976" s="37">
        <f>IFERROR(IF(A976="","",VLOOKUP(A976,DATABASE!A:B,2,0)),"")</f>
        <v/>
      </c>
      <c r="C976" s="38">
        <f>IFERROR(IF(A976="","",VLOOKUP(A976,DATABASE!A:J,10,0)),"")</f>
        <v/>
      </c>
      <c r="D976" s="39">
        <f>IF(A976="","",TODAY())</f>
        <v/>
      </c>
      <c r="E976" s="38" t="n"/>
      <c r="F976" s="38">
        <f>IFERROR(IF(OR(A976="",E976=""),"",C976-E976),"")</f>
        <v/>
      </c>
      <c r="G976" s="37" t="n"/>
      <c r="H976" s="37" t="n"/>
    </row>
    <row r="977">
      <c r="A977" s="26" t="n"/>
      <c r="B977" s="26">
        <f>IFERROR(IF(A977="","",VLOOKUP(A977,DATABASE!A:B,2,0)),"")</f>
        <v/>
      </c>
      <c r="C977" s="30">
        <f>IFERROR(IF(A977="","",VLOOKUP(A977,DATABASE!A:J,10,0)),"")</f>
        <v/>
      </c>
      <c r="D977" s="31">
        <f>IF(A977="","",TODAY())</f>
        <v/>
      </c>
      <c r="E977" s="30" t="n"/>
      <c r="F977" s="30">
        <f>IFERROR(IF(OR(A977="",E977=""),"",C977-E977),"")</f>
        <v/>
      </c>
      <c r="G977" s="26" t="n"/>
      <c r="H977" s="26" t="n"/>
    </row>
    <row r="978">
      <c r="A978" s="37" t="n"/>
      <c r="B978" s="37">
        <f>IFERROR(IF(A978="","",VLOOKUP(A978,DATABASE!A:B,2,0)),"")</f>
        <v/>
      </c>
      <c r="C978" s="38">
        <f>IFERROR(IF(A978="","",VLOOKUP(A978,DATABASE!A:J,10,0)),"")</f>
        <v/>
      </c>
      <c r="D978" s="39">
        <f>IF(A978="","",TODAY())</f>
        <v/>
      </c>
      <c r="E978" s="38" t="n"/>
      <c r="F978" s="38">
        <f>IFERROR(IF(OR(A978="",E978=""),"",C978-E978),"")</f>
        <v/>
      </c>
      <c r="G978" s="37" t="n"/>
      <c r="H978" s="37" t="n"/>
    </row>
    <row r="979">
      <c r="A979" s="26" t="n"/>
      <c r="B979" s="26">
        <f>IFERROR(IF(A979="","",VLOOKUP(A979,DATABASE!A:B,2,0)),"")</f>
        <v/>
      </c>
      <c r="C979" s="30">
        <f>IFERROR(IF(A979="","",VLOOKUP(A979,DATABASE!A:J,10,0)),"")</f>
        <v/>
      </c>
      <c r="D979" s="31">
        <f>IF(A979="","",TODAY())</f>
        <v/>
      </c>
      <c r="E979" s="30" t="n"/>
      <c r="F979" s="30">
        <f>IFERROR(IF(OR(A979="",E979=""),"",C979-E979),"")</f>
        <v/>
      </c>
      <c r="G979" s="26" t="n"/>
      <c r="H979" s="26" t="n"/>
    </row>
    <row r="980">
      <c r="A980" s="37" t="n"/>
      <c r="B980" s="37">
        <f>IFERROR(IF(A980="","",VLOOKUP(A980,DATABASE!A:B,2,0)),"")</f>
        <v/>
      </c>
      <c r="C980" s="38">
        <f>IFERROR(IF(A980="","",VLOOKUP(A980,DATABASE!A:J,10,0)),"")</f>
        <v/>
      </c>
      <c r="D980" s="39">
        <f>IF(A980="","",TODAY())</f>
        <v/>
      </c>
      <c r="E980" s="38" t="n"/>
      <c r="F980" s="38">
        <f>IFERROR(IF(OR(A980="",E980=""),"",C980-E980),"")</f>
        <v/>
      </c>
      <c r="G980" s="37" t="n"/>
      <c r="H980" s="37" t="n"/>
    </row>
    <row r="981">
      <c r="A981" s="26" t="n"/>
      <c r="B981" s="26">
        <f>IFERROR(IF(A981="","",VLOOKUP(A981,DATABASE!A:B,2,0)),"")</f>
        <v/>
      </c>
      <c r="C981" s="30">
        <f>IFERROR(IF(A981="","",VLOOKUP(A981,DATABASE!A:J,10,0)),"")</f>
        <v/>
      </c>
      <c r="D981" s="31">
        <f>IF(A981="","",TODAY())</f>
        <v/>
      </c>
      <c r="E981" s="30" t="n"/>
      <c r="F981" s="30">
        <f>IFERROR(IF(OR(A981="",E981=""),"",C981-E981),"")</f>
        <v/>
      </c>
      <c r="G981" s="26" t="n"/>
      <c r="H981" s="26" t="n"/>
    </row>
    <row r="982">
      <c r="A982" s="37" t="n"/>
      <c r="B982" s="37">
        <f>IFERROR(IF(A982="","",VLOOKUP(A982,DATABASE!A:B,2,0)),"")</f>
        <v/>
      </c>
      <c r="C982" s="38">
        <f>IFERROR(IF(A982="","",VLOOKUP(A982,DATABASE!A:J,10,0)),"")</f>
        <v/>
      </c>
      <c r="D982" s="39">
        <f>IF(A982="","",TODAY())</f>
        <v/>
      </c>
      <c r="E982" s="38" t="n"/>
      <c r="F982" s="38">
        <f>IFERROR(IF(OR(A982="",E982=""),"",C982-E982),"")</f>
        <v/>
      </c>
      <c r="G982" s="37" t="n"/>
      <c r="H982" s="37" t="n"/>
    </row>
    <row r="983">
      <c r="A983" s="26" t="n"/>
      <c r="B983" s="26">
        <f>IFERROR(IF(A983="","",VLOOKUP(A983,DATABASE!A:B,2,0)),"")</f>
        <v/>
      </c>
      <c r="C983" s="30">
        <f>IFERROR(IF(A983="","",VLOOKUP(A983,DATABASE!A:J,10,0)),"")</f>
        <v/>
      </c>
      <c r="D983" s="31">
        <f>IF(A983="","",TODAY())</f>
        <v/>
      </c>
      <c r="E983" s="30" t="n"/>
      <c r="F983" s="30">
        <f>IFERROR(IF(OR(A983="",E983=""),"",C983-E983),"")</f>
        <v/>
      </c>
      <c r="G983" s="26" t="n"/>
      <c r="H983" s="26" t="n"/>
    </row>
    <row r="984">
      <c r="A984" s="37" t="n"/>
      <c r="B984" s="37">
        <f>IFERROR(IF(A984="","",VLOOKUP(A984,DATABASE!A:B,2,0)),"")</f>
        <v/>
      </c>
      <c r="C984" s="38">
        <f>IFERROR(IF(A984="","",VLOOKUP(A984,DATABASE!A:J,10,0)),"")</f>
        <v/>
      </c>
      <c r="D984" s="39">
        <f>IF(A984="","",TODAY())</f>
        <v/>
      </c>
      <c r="E984" s="38" t="n"/>
      <c r="F984" s="38">
        <f>IFERROR(IF(OR(A984="",E984=""),"",C984-E984),"")</f>
        <v/>
      </c>
      <c r="G984" s="37" t="n"/>
      <c r="H984" s="37" t="n"/>
    </row>
    <row r="985">
      <c r="A985" s="26" t="n"/>
      <c r="B985" s="26">
        <f>IFERROR(IF(A985="","",VLOOKUP(A985,DATABASE!A:B,2,0)),"")</f>
        <v/>
      </c>
      <c r="C985" s="30">
        <f>IFERROR(IF(A985="","",VLOOKUP(A985,DATABASE!A:J,10,0)),"")</f>
        <v/>
      </c>
      <c r="D985" s="31">
        <f>IF(A985="","",TODAY())</f>
        <v/>
      </c>
      <c r="E985" s="30" t="n"/>
      <c r="F985" s="30">
        <f>IFERROR(IF(OR(A985="",E985=""),"",C985-E985),"")</f>
        <v/>
      </c>
      <c r="G985" s="26" t="n"/>
      <c r="H985" s="26" t="n"/>
    </row>
    <row r="986">
      <c r="A986" s="37" t="n"/>
      <c r="B986" s="37">
        <f>IFERROR(IF(A986="","",VLOOKUP(A986,DATABASE!A:B,2,0)),"")</f>
        <v/>
      </c>
      <c r="C986" s="38">
        <f>IFERROR(IF(A986="","",VLOOKUP(A986,DATABASE!A:J,10,0)),"")</f>
        <v/>
      </c>
      <c r="D986" s="39">
        <f>IF(A986="","",TODAY())</f>
        <v/>
      </c>
      <c r="E986" s="38" t="n"/>
      <c r="F986" s="38">
        <f>IFERROR(IF(OR(A986="",E986=""),"",C986-E986),"")</f>
        <v/>
      </c>
      <c r="G986" s="37" t="n"/>
      <c r="H986" s="37" t="n"/>
    </row>
    <row r="987">
      <c r="A987" s="26" t="n"/>
      <c r="B987" s="26">
        <f>IFERROR(IF(A987="","",VLOOKUP(A987,DATABASE!A:B,2,0)),"")</f>
        <v/>
      </c>
      <c r="C987" s="30">
        <f>IFERROR(IF(A987="","",VLOOKUP(A987,DATABASE!A:J,10,0)),"")</f>
        <v/>
      </c>
      <c r="D987" s="31">
        <f>IF(A987="","",TODAY())</f>
        <v/>
      </c>
      <c r="E987" s="30" t="n"/>
      <c r="F987" s="30">
        <f>IFERROR(IF(OR(A987="",E987=""),"",C987-E987),"")</f>
        <v/>
      </c>
      <c r="G987" s="26" t="n"/>
      <c r="H987" s="26" t="n"/>
    </row>
    <row r="988">
      <c r="A988" s="37" t="n"/>
      <c r="B988" s="37">
        <f>IFERROR(IF(A988="","",VLOOKUP(A988,DATABASE!A:B,2,0)),"")</f>
        <v/>
      </c>
      <c r="C988" s="38">
        <f>IFERROR(IF(A988="","",VLOOKUP(A988,DATABASE!A:J,10,0)),"")</f>
        <v/>
      </c>
      <c r="D988" s="39">
        <f>IF(A988="","",TODAY())</f>
        <v/>
      </c>
      <c r="E988" s="38" t="n"/>
      <c r="F988" s="38">
        <f>IFERROR(IF(OR(A988="",E988=""),"",C988-E988),"")</f>
        <v/>
      </c>
      <c r="G988" s="37" t="n"/>
      <c r="H988" s="37" t="n"/>
    </row>
    <row r="989">
      <c r="A989" s="26" t="n"/>
      <c r="B989" s="26">
        <f>IFERROR(IF(A989="","",VLOOKUP(A989,DATABASE!A:B,2,0)),"")</f>
        <v/>
      </c>
      <c r="C989" s="30">
        <f>IFERROR(IF(A989="","",VLOOKUP(A989,DATABASE!A:J,10,0)),"")</f>
        <v/>
      </c>
      <c r="D989" s="31">
        <f>IF(A989="","",TODAY())</f>
        <v/>
      </c>
      <c r="E989" s="30" t="n"/>
      <c r="F989" s="30">
        <f>IFERROR(IF(OR(A989="",E989=""),"",C989-E989),"")</f>
        <v/>
      </c>
      <c r="G989" s="26" t="n"/>
      <c r="H989" s="26" t="n"/>
    </row>
    <row r="990">
      <c r="A990" s="37" t="n"/>
      <c r="B990" s="37">
        <f>IFERROR(IF(A990="","",VLOOKUP(A990,DATABASE!A:B,2,0)),"")</f>
        <v/>
      </c>
      <c r="C990" s="38">
        <f>IFERROR(IF(A990="","",VLOOKUP(A990,DATABASE!A:J,10,0)),"")</f>
        <v/>
      </c>
      <c r="D990" s="39">
        <f>IF(A990="","",TODAY())</f>
        <v/>
      </c>
      <c r="E990" s="38" t="n"/>
      <c r="F990" s="38">
        <f>IFERROR(IF(OR(A990="",E990=""),"",C990-E990),"")</f>
        <v/>
      </c>
      <c r="G990" s="37" t="n"/>
      <c r="H990" s="37" t="n"/>
    </row>
    <row r="991">
      <c r="A991" s="26" t="n"/>
      <c r="B991" s="26">
        <f>IFERROR(IF(A991="","",VLOOKUP(A991,DATABASE!A:B,2,0)),"")</f>
        <v/>
      </c>
      <c r="C991" s="30">
        <f>IFERROR(IF(A991="","",VLOOKUP(A991,DATABASE!A:J,10,0)),"")</f>
        <v/>
      </c>
      <c r="D991" s="31">
        <f>IF(A991="","",TODAY())</f>
        <v/>
      </c>
      <c r="E991" s="30" t="n"/>
      <c r="F991" s="30">
        <f>IFERROR(IF(OR(A991="",E991=""),"",C991-E991),"")</f>
        <v/>
      </c>
      <c r="G991" s="26" t="n"/>
      <c r="H991" s="26" t="n"/>
    </row>
    <row r="992">
      <c r="A992" s="37" t="n"/>
      <c r="B992" s="37">
        <f>IFERROR(IF(A992="","",VLOOKUP(A992,DATABASE!A:B,2,0)),"")</f>
        <v/>
      </c>
      <c r="C992" s="38">
        <f>IFERROR(IF(A992="","",VLOOKUP(A992,DATABASE!A:J,10,0)),"")</f>
        <v/>
      </c>
      <c r="D992" s="39">
        <f>IF(A992="","",TODAY())</f>
        <v/>
      </c>
      <c r="E992" s="38" t="n"/>
      <c r="F992" s="38">
        <f>IFERROR(IF(OR(A992="",E992=""),"",C992-E992),"")</f>
        <v/>
      </c>
      <c r="G992" s="37" t="n"/>
      <c r="H992" s="37" t="n"/>
    </row>
    <row r="993">
      <c r="A993" s="26" t="n"/>
      <c r="B993" s="26">
        <f>IFERROR(IF(A993="","",VLOOKUP(A993,DATABASE!A:B,2,0)),"")</f>
        <v/>
      </c>
      <c r="C993" s="30">
        <f>IFERROR(IF(A993="","",VLOOKUP(A993,DATABASE!A:J,10,0)),"")</f>
        <v/>
      </c>
      <c r="D993" s="31">
        <f>IF(A993="","",TODAY())</f>
        <v/>
      </c>
      <c r="E993" s="30" t="n"/>
      <c r="F993" s="30">
        <f>IFERROR(IF(OR(A993="",E993=""),"",C993-E993),"")</f>
        <v/>
      </c>
      <c r="G993" s="26" t="n"/>
      <c r="H993" s="26" t="n"/>
    </row>
    <row r="994">
      <c r="A994" s="37" t="n"/>
      <c r="B994" s="37">
        <f>IFERROR(IF(A994="","",VLOOKUP(A994,DATABASE!A:B,2,0)),"")</f>
        <v/>
      </c>
      <c r="C994" s="38">
        <f>IFERROR(IF(A994="","",VLOOKUP(A994,DATABASE!A:J,10,0)),"")</f>
        <v/>
      </c>
      <c r="D994" s="39">
        <f>IF(A994="","",TODAY())</f>
        <v/>
      </c>
      <c r="E994" s="38" t="n"/>
      <c r="F994" s="38">
        <f>IFERROR(IF(OR(A994="",E994=""),"",C994-E994),"")</f>
        <v/>
      </c>
      <c r="G994" s="37" t="n"/>
      <c r="H994" s="37" t="n"/>
    </row>
    <row r="995">
      <c r="A995" s="26" t="n"/>
      <c r="B995" s="26">
        <f>IFERROR(IF(A995="","",VLOOKUP(A995,DATABASE!A:B,2,0)),"")</f>
        <v/>
      </c>
      <c r="C995" s="30">
        <f>IFERROR(IF(A995="","",VLOOKUP(A995,DATABASE!A:J,10,0)),"")</f>
        <v/>
      </c>
      <c r="D995" s="31">
        <f>IF(A995="","",TODAY())</f>
        <v/>
      </c>
      <c r="E995" s="30" t="n"/>
      <c r="F995" s="30">
        <f>IFERROR(IF(OR(A995="",E995=""),"",C995-E995),"")</f>
        <v/>
      </c>
      <c r="G995" s="26" t="n"/>
      <c r="H995" s="26" t="n"/>
    </row>
    <row r="996">
      <c r="A996" s="37" t="n"/>
      <c r="B996" s="37">
        <f>IFERROR(IF(A996="","",VLOOKUP(A996,DATABASE!A:B,2,0)),"")</f>
        <v/>
      </c>
      <c r="C996" s="38">
        <f>IFERROR(IF(A996="","",VLOOKUP(A996,DATABASE!A:J,10,0)),"")</f>
        <v/>
      </c>
      <c r="D996" s="39">
        <f>IF(A996="","",TODAY())</f>
        <v/>
      </c>
      <c r="E996" s="38" t="n"/>
      <c r="F996" s="38">
        <f>IFERROR(IF(OR(A996="",E996=""),"",C996-E996),"")</f>
        <v/>
      </c>
      <c r="G996" s="37" t="n"/>
      <c r="H996" s="37" t="n"/>
    </row>
    <row r="997">
      <c r="A997" s="26" t="n"/>
      <c r="B997" s="26">
        <f>IFERROR(IF(A997="","",VLOOKUP(A997,DATABASE!A:B,2,0)),"")</f>
        <v/>
      </c>
      <c r="C997" s="30">
        <f>IFERROR(IF(A997="","",VLOOKUP(A997,DATABASE!A:J,10,0)),"")</f>
        <v/>
      </c>
      <c r="D997" s="31">
        <f>IF(A997="","",TODAY())</f>
        <v/>
      </c>
      <c r="E997" s="30" t="n"/>
      <c r="F997" s="30">
        <f>IFERROR(IF(OR(A997="",E997=""),"",C997-E997),"")</f>
        <v/>
      </c>
      <c r="G997" s="26" t="n"/>
      <c r="H997" s="26" t="n"/>
    </row>
    <row r="998">
      <c r="A998" s="37" t="n"/>
      <c r="B998" s="37">
        <f>IFERROR(IF(A998="","",VLOOKUP(A998,DATABASE!A:B,2,0)),"")</f>
        <v/>
      </c>
      <c r="C998" s="38">
        <f>IFERROR(IF(A998="","",VLOOKUP(A998,DATABASE!A:J,10,0)),"")</f>
        <v/>
      </c>
      <c r="D998" s="39">
        <f>IF(A998="","",TODAY())</f>
        <v/>
      </c>
      <c r="E998" s="38" t="n"/>
      <c r="F998" s="38">
        <f>IFERROR(IF(OR(A998="",E998=""),"",C998-E998),"")</f>
        <v/>
      </c>
      <c r="G998" s="37" t="n"/>
      <c r="H998" s="37" t="n"/>
    </row>
    <row r="999">
      <c r="A999" s="26" t="n"/>
      <c r="B999" s="26">
        <f>IFERROR(IF(A999="","",VLOOKUP(A999,DATABASE!A:B,2,0)),"")</f>
        <v/>
      </c>
      <c r="C999" s="30">
        <f>IFERROR(IF(A999="","",VLOOKUP(A999,DATABASE!A:J,10,0)),"")</f>
        <v/>
      </c>
      <c r="D999" s="31">
        <f>IF(A999="","",TODAY())</f>
        <v/>
      </c>
      <c r="E999" s="30" t="n"/>
      <c r="F999" s="30">
        <f>IFERROR(IF(OR(A999="",E999=""),"",C999-E999),"")</f>
        <v/>
      </c>
      <c r="G999" s="26" t="n"/>
      <c r="H999" s="26" t="n"/>
    </row>
    <row r="1000">
      <c r="A1000" s="37" t="n"/>
      <c r="B1000" s="37">
        <f>IFERROR(IF(A1000="","",VLOOKUP(A1000,DATABASE!A:B,2,0)),"")</f>
        <v/>
      </c>
      <c r="C1000" s="38">
        <f>IFERROR(IF(A1000="","",VLOOKUP(A1000,DATABASE!A:J,10,0)),"")</f>
        <v/>
      </c>
      <c r="D1000" s="39">
        <f>IF(A1000="","",TODAY())</f>
        <v/>
      </c>
      <c r="E1000" s="38" t="n"/>
      <c r="F1000" s="38">
        <f>IFERROR(IF(OR(A1000="",E1000=""),"",C1000-E1000),"")</f>
        <v/>
      </c>
      <c r="G1000" s="37" t="n"/>
      <c r="H1000" s="37" t="n"/>
    </row>
    <row r="1001">
      <c r="A1001" s="26" t="n"/>
      <c r="B1001" s="26">
        <f>IFERROR(IF(A1001="","",VLOOKUP(A1001,DATABASE!A:B,2,0)),"")</f>
        <v/>
      </c>
      <c r="C1001" s="30">
        <f>IFERROR(IF(A1001="","",VLOOKUP(A1001,DATABASE!A:J,10,0)),"")</f>
        <v/>
      </c>
      <c r="D1001" s="31">
        <f>IF(A1001="","",TODAY())</f>
        <v/>
      </c>
      <c r="E1001" s="30" t="n"/>
      <c r="F1001" s="30">
        <f>IFERROR(IF(OR(A1001="",E1001=""),"",C1001-E1001),"")</f>
        <v/>
      </c>
      <c r="G1001" s="26" t="n"/>
      <c r="H1001" s="26" t="n"/>
    </row>
    <row r="1002">
      <c r="A1002" s="37" t="n"/>
      <c r="B1002" s="37">
        <f>IFERROR(IF(A1002="","",VLOOKUP(A1002,DATABASE!A:B,2,0)),"")</f>
        <v/>
      </c>
      <c r="C1002" s="38">
        <f>IFERROR(IF(A1002="","",VLOOKUP(A1002,DATABASE!A:J,10,0)),"")</f>
        <v/>
      </c>
      <c r="D1002" s="39">
        <f>IF(A1002="","",TODAY())</f>
        <v/>
      </c>
      <c r="E1002" s="38" t="n"/>
      <c r="F1002" s="38">
        <f>IFERROR(IF(OR(A1002="",E1002=""),"",C1002-E1002),"")</f>
        <v/>
      </c>
      <c r="G1002" s="37" t="n"/>
      <c r="H1002" s="37" t="n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5C6B"/>
    <outlinePr summaryBelow="1" summaryRight="1"/>
    <pageSetUpPr/>
  </sheetPr>
  <dimension ref="A1:J50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20" customWidth="1" min="4" max="4"/>
    <col width="15" customWidth="1" min="5" max="5"/>
    <col width="22" customWidth="1" min="6" max="6"/>
    <col width="16" customWidth="1" min="7" max="7"/>
    <col width="15" customWidth="1" min="8" max="8"/>
    <col width="22" customWidth="1" min="9" max="9"/>
    <col width="14" customWidth="1" min="10" max="10"/>
  </cols>
  <sheetData>
    <row r="1" ht="34" customHeight="1">
      <c r="A1" s="40" t="inlineStr">
        <is>
          <t>LOAN REGISTER</t>
        </is>
      </c>
    </row>
    <row r="2" ht="30" customHeight="1">
      <c r="A2" s="28" t="inlineStr">
        <is>
          <t>Loan ID</t>
        </is>
      </c>
      <c r="B2" s="28" t="inlineStr">
        <is>
          <t>Account Number</t>
        </is>
      </c>
      <c r="C2" s="28" t="inlineStr">
        <is>
          <t>Customer Name</t>
        </is>
      </c>
      <c r="D2" s="28" t="inlineStr">
        <is>
          <t>Loan Amount (GHS)</t>
        </is>
      </c>
      <c r="E2" s="28" t="inlineStr">
        <is>
          <t>Request Date</t>
        </is>
      </c>
      <c r="F2" s="28" t="inlineStr">
        <is>
          <t>Purpose</t>
        </is>
      </c>
      <c r="G2" s="28" t="inlineStr">
        <is>
          <t>Interest Rate (%)</t>
        </is>
      </c>
      <c r="H2" s="28" t="inlineStr">
        <is>
          <t>Term (Months)</t>
        </is>
      </c>
      <c r="I2" s="28" t="inlineStr">
        <is>
          <t>Monthly Repayment (GHS)</t>
        </is>
      </c>
      <c r="J2" s="28" t="inlineStr">
        <is>
          <t>Status</t>
        </is>
      </c>
    </row>
    <row r="3">
      <c r="A3" s="41">
        <f>IF(B3="","","LN"&amp;TEXT(ROW()-2,"0000"))</f>
        <v/>
      </c>
      <c r="B3" s="26" t="n"/>
      <c r="C3" s="26">
        <f>IFERROR(IF(B3="","",VLOOKUP(B3,DATABASE!A:B,2,0)),"")</f>
        <v/>
      </c>
      <c r="D3" s="30" t="n"/>
      <c r="E3" s="31">
        <f>IF(B3="","",TODAY())</f>
        <v/>
      </c>
      <c r="F3" s="26" t="n"/>
      <c r="G3" s="26" t="n"/>
      <c r="H3" s="26" t="n"/>
      <c r="I3" s="30">
        <f>IFERROR(IF(OR(D3="",G3="",H3=""),"",ABS(PMT(G3%/12,H3,D3))),"")</f>
        <v/>
      </c>
      <c r="J3" s="26">
        <f>IF(B3="","","Active")</f>
        <v/>
      </c>
    </row>
    <row r="4">
      <c r="A4" s="42">
        <f>IF(B4="","","LN"&amp;TEXT(ROW()-2,"0000"))</f>
        <v/>
      </c>
      <c r="B4" s="43" t="n"/>
      <c r="C4" s="43">
        <f>IFERROR(IF(B4="","",VLOOKUP(B4,DATABASE!A:B,2,0)),"")</f>
        <v/>
      </c>
      <c r="D4" s="44" t="n"/>
      <c r="E4" s="45">
        <f>IF(B4="","",TODAY())</f>
        <v/>
      </c>
      <c r="F4" s="43" t="n"/>
      <c r="G4" s="43" t="n"/>
      <c r="H4" s="43" t="n"/>
      <c r="I4" s="44">
        <f>IFERROR(IF(OR(D4="",G4="",H4=""),"",ABS(PMT(G4%/12,H4,D4))),"")</f>
        <v/>
      </c>
      <c r="J4" s="43">
        <f>IF(B4="","","Active")</f>
        <v/>
      </c>
    </row>
    <row r="5">
      <c r="A5" s="41">
        <f>IF(B5="","","LN"&amp;TEXT(ROW()-2,"0000"))</f>
        <v/>
      </c>
      <c r="B5" s="26" t="n"/>
      <c r="C5" s="26">
        <f>IFERROR(IF(B5="","",VLOOKUP(B5,DATABASE!A:B,2,0)),"")</f>
        <v/>
      </c>
      <c r="D5" s="30" t="n"/>
      <c r="E5" s="31">
        <f>IF(B5="","",TODAY())</f>
        <v/>
      </c>
      <c r="F5" s="26" t="n"/>
      <c r="G5" s="26" t="n"/>
      <c r="H5" s="26" t="n"/>
      <c r="I5" s="30">
        <f>IFERROR(IF(OR(D5="",G5="",H5=""),"",ABS(PMT(G5%/12,H5,D5))),"")</f>
        <v/>
      </c>
      <c r="J5" s="26">
        <f>IF(B5="","","Active")</f>
        <v/>
      </c>
    </row>
    <row r="6">
      <c r="A6" s="42">
        <f>IF(B6="","","LN"&amp;TEXT(ROW()-2,"0000"))</f>
        <v/>
      </c>
      <c r="B6" s="43" t="n"/>
      <c r="C6" s="43">
        <f>IFERROR(IF(B6="","",VLOOKUP(B6,DATABASE!A:B,2,0)),"")</f>
        <v/>
      </c>
      <c r="D6" s="44" t="n"/>
      <c r="E6" s="45">
        <f>IF(B6="","",TODAY())</f>
        <v/>
      </c>
      <c r="F6" s="43" t="n"/>
      <c r="G6" s="43" t="n"/>
      <c r="H6" s="43" t="n"/>
      <c r="I6" s="44">
        <f>IFERROR(IF(OR(D6="",G6="",H6=""),"",ABS(PMT(G6%/12,H6,D6))),"")</f>
        <v/>
      </c>
      <c r="J6" s="43">
        <f>IF(B6="","","Active")</f>
        <v/>
      </c>
    </row>
    <row r="7">
      <c r="A7" s="41">
        <f>IF(B7="","","LN"&amp;TEXT(ROW()-2,"0000"))</f>
        <v/>
      </c>
      <c r="B7" s="26" t="n"/>
      <c r="C7" s="26">
        <f>IFERROR(IF(B7="","",VLOOKUP(B7,DATABASE!A:B,2,0)),"")</f>
        <v/>
      </c>
      <c r="D7" s="30" t="n"/>
      <c r="E7" s="31">
        <f>IF(B7="","",TODAY())</f>
        <v/>
      </c>
      <c r="F7" s="26" t="n"/>
      <c r="G7" s="26" t="n"/>
      <c r="H7" s="26" t="n"/>
      <c r="I7" s="30">
        <f>IFERROR(IF(OR(D7="",G7="",H7=""),"",ABS(PMT(G7%/12,H7,D7))),"")</f>
        <v/>
      </c>
      <c r="J7" s="26">
        <f>IF(B7="","","Active")</f>
        <v/>
      </c>
    </row>
    <row r="8">
      <c r="A8" s="42">
        <f>IF(B8="","","LN"&amp;TEXT(ROW()-2,"0000"))</f>
        <v/>
      </c>
      <c r="B8" s="43" t="n"/>
      <c r="C8" s="43">
        <f>IFERROR(IF(B8="","",VLOOKUP(B8,DATABASE!A:B,2,0)),"")</f>
        <v/>
      </c>
      <c r="D8" s="44" t="n"/>
      <c r="E8" s="45">
        <f>IF(B8="","",TODAY())</f>
        <v/>
      </c>
      <c r="F8" s="43" t="n"/>
      <c r="G8" s="43" t="n"/>
      <c r="H8" s="43" t="n"/>
      <c r="I8" s="44">
        <f>IFERROR(IF(OR(D8="",G8="",H8=""),"",ABS(PMT(G8%/12,H8,D8))),"")</f>
        <v/>
      </c>
      <c r="J8" s="43">
        <f>IF(B8="","","Active")</f>
        <v/>
      </c>
    </row>
    <row r="9">
      <c r="A9" s="41">
        <f>IF(B9="","","LN"&amp;TEXT(ROW()-2,"0000"))</f>
        <v/>
      </c>
      <c r="B9" s="26" t="n"/>
      <c r="C9" s="26">
        <f>IFERROR(IF(B9="","",VLOOKUP(B9,DATABASE!A:B,2,0)),"")</f>
        <v/>
      </c>
      <c r="D9" s="30" t="n"/>
      <c r="E9" s="31">
        <f>IF(B9="","",TODAY())</f>
        <v/>
      </c>
      <c r="F9" s="26" t="n"/>
      <c r="G9" s="26" t="n"/>
      <c r="H9" s="26" t="n"/>
      <c r="I9" s="30">
        <f>IFERROR(IF(OR(D9="",G9="",H9=""),"",ABS(PMT(G9%/12,H9,D9))),"")</f>
        <v/>
      </c>
      <c r="J9" s="26">
        <f>IF(B9="","","Active")</f>
        <v/>
      </c>
    </row>
    <row r="10">
      <c r="A10" s="42">
        <f>IF(B10="","","LN"&amp;TEXT(ROW()-2,"0000"))</f>
        <v/>
      </c>
      <c r="B10" s="43" t="n"/>
      <c r="C10" s="43">
        <f>IFERROR(IF(B10="","",VLOOKUP(B10,DATABASE!A:B,2,0)),"")</f>
        <v/>
      </c>
      <c r="D10" s="44" t="n"/>
      <c r="E10" s="45">
        <f>IF(B10="","",TODAY())</f>
        <v/>
      </c>
      <c r="F10" s="43" t="n"/>
      <c r="G10" s="43" t="n"/>
      <c r="H10" s="43" t="n"/>
      <c r="I10" s="44">
        <f>IFERROR(IF(OR(D10="",G10="",H10=""),"",ABS(PMT(G10%/12,H10,D10))),"")</f>
        <v/>
      </c>
      <c r="J10" s="43">
        <f>IF(B10="","","Active")</f>
        <v/>
      </c>
    </row>
    <row r="11">
      <c r="A11" s="41">
        <f>IF(B11="","","LN"&amp;TEXT(ROW()-2,"0000"))</f>
        <v/>
      </c>
      <c r="B11" s="26" t="n"/>
      <c r="C11" s="26">
        <f>IFERROR(IF(B11="","",VLOOKUP(B11,DATABASE!A:B,2,0)),"")</f>
        <v/>
      </c>
      <c r="D11" s="30" t="n"/>
      <c r="E11" s="31">
        <f>IF(B11="","",TODAY())</f>
        <v/>
      </c>
      <c r="F11" s="26" t="n"/>
      <c r="G11" s="26" t="n"/>
      <c r="H11" s="26" t="n"/>
      <c r="I11" s="30">
        <f>IFERROR(IF(OR(D11="",G11="",H11=""),"",ABS(PMT(G11%/12,H11,D11))),"")</f>
        <v/>
      </c>
      <c r="J11" s="26">
        <f>IF(B11="","","Active")</f>
        <v/>
      </c>
    </row>
    <row r="12">
      <c r="A12" s="42">
        <f>IF(B12="","","LN"&amp;TEXT(ROW()-2,"0000"))</f>
        <v/>
      </c>
      <c r="B12" s="43" t="n"/>
      <c r="C12" s="43">
        <f>IFERROR(IF(B12="","",VLOOKUP(B12,DATABASE!A:B,2,0)),"")</f>
        <v/>
      </c>
      <c r="D12" s="44" t="n"/>
      <c r="E12" s="45">
        <f>IF(B12="","",TODAY())</f>
        <v/>
      </c>
      <c r="F12" s="43" t="n"/>
      <c r="G12" s="43" t="n"/>
      <c r="H12" s="43" t="n"/>
      <c r="I12" s="44">
        <f>IFERROR(IF(OR(D12="",G12="",H12=""),"",ABS(PMT(G12%/12,H12,D12))),"")</f>
        <v/>
      </c>
      <c r="J12" s="43">
        <f>IF(B12="","","Active")</f>
        <v/>
      </c>
    </row>
    <row r="13">
      <c r="A13" s="41">
        <f>IF(B13="","","LN"&amp;TEXT(ROW()-2,"0000"))</f>
        <v/>
      </c>
      <c r="B13" s="26" t="n"/>
      <c r="C13" s="26">
        <f>IFERROR(IF(B13="","",VLOOKUP(B13,DATABASE!A:B,2,0)),"")</f>
        <v/>
      </c>
      <c r="D13" s="30" t="n"/>
      <c r="E13" s="31">
        <f>IF(B13="","",TODAY())</f>
        <v/>
      </c>
      <c r="F13" s="26" t="n"/>
      <c r="G13" s="26" t="n"/>
      <c r="H13" s="26" t="n"/>
      <c r="I13" s="30">
        <f>IFERROR(IF(OR(D13="",G13="",H13=""),"",ABS(PMT(G13%/12,H13,D13))),"")</f>
        <v/>
      </c>
      <c r="J13" s="26">
        <f>IF(B13="","","Active")</f>
        <v/>
      </c>
    </row>
    <row r="14">
      <c r="A14" s="42">
        <f>IF(B14="","","LN"&amp;TEXT(ROW()-2,"0000"))</f>
        <v/>
      </c>
      <c r="B14" s="43" t="n"/>
      <c r="C14" s="43">
        <f>IFERROR(IF(B14="","",VLOOKUP(B14,DATABASE!A:B,2,0)),"")</f>
        <v/>
      </c>
      <c r="D14" s="44" t="n"/>
      <c r="E14" s="45">
        <f>IF(B14="","",TODAY())</f>
        <v/>
      </c>
      <c r="F14" s="43" t="n"/>
      <c r="G14" s="43" t="n"/>
      <c r="H14" s="43" t="n"/>
      <c r="I14" s="44">
        <f>IFERROR(IF(OR(D14="",G14="",H14=""),"",ABS(PMT(G14%/12,H14,D14))),"")</f>
        <v/>
      </c>
      <c r="J14" s="43">
        <f>IF(B14="","","Active")</f>
        <v/>
      </c>
    </row>
    <row r="15">
      <c r="A15" s="41">
        <f>IF(B15="","","LN"&amp;TEXT(ROW()-2,"0000"))</f>
        <v/>
      </c>
      <c r="B15" s="26" t="n"/>
      <c r="C15" s="26">
        <f>IFERROR(IF(B15="","",VLOOKUP(B15,DATABASE!A:B,2,0)),"")</f>
        <v/>
      </c>
      <c r="D15" s="30" t="n"/>
      <c r="E15" s="31">
        <f>IF(B15="","",TODAY())</f>
        <v/>
      </c>
      <c r="F15" s="26" t="n"/>
      <c r="G15" s="26" t="n"/>
      <c r="H15" s="26" t="n"/>
      <c r="I15" s="30">
        <f>IFERROR(IF(OR(D15="",G15="",H15=""),"",ABS(PMT(G15%/12,H15,D15))),"")</f>
        <v/>
      </c>
      <c r="J15" s="26">
        <f>IF(B15="","","Active")</f>
        <v/>
      </c>
    </row>
    <row r="16">
      <c r="A16" s="42">
        <f>IF(B16="","","LN"&amp;TEXT(ROW()-2,"0000"))</f>
        <v/>
      </c>
      <c r="B16" s="43" t="n"/>
      <c r="C16" s="43">
        <f>IFERROR(IF(B16="","",VLOOKUP(B16,DATABASE!A:B,2,0)),"")</f>
        <v/>
      </c>
      <c r="D16" s="44" t="n"/>
      <c r="E16" s="45">
        <f>IF(B16="","",TODAY())</f>
        <v/>
      </c>
      <c r="F16" s="43" t="n"/>
      <c r="G16" s="43" t="n"/>
      <c r="H16" s="43" t="n"/>
      <c r="I16" s="44">
        <f>IFERROR(IF(OR(D16="",G16="",H16=""),"",ABS(PMT(G16%/12,H16,D16))),"")</f>
        <v/>
      </c>
      <c r="J16" s="43">
        <f>IF(B16="","","Active")</f>
        <v/>
      </c>
    </row>
    <row r="17">
      <c r="A17" s="41">
        <f>IF(B17="","","LN"&amp;TEXT(ROW()-2,"0000"))</f>
        <v/>
      </c>
      <c r="B17" s="26" t="n"/>
      <c r="C17" s="26">
        <f>IFERROR(IF(B17="","",VLOOKUP(B17,DATABASE!A:B,2,0)),"")</f>
        <v/>
      </c>
      <c r="D17" s="30" t="n"/>
      <c r="E17" s="31">
        <f>IF(B17="","",TODAY())</f>
        <v/>
      </c>
      <c r="F17" s="26" t="n"/>
      <c r="G17" s="26" t="n"/>
      <c r="H17" s="26" t="n"/>
      <c r="I17" s="30">
        <f>IFERROR(IF(OR(D17="",G17="",H17=""),"",ABS(PMT(G17%/12,H17,D17))),"")</f>
        <v/>
      </c>
      <c r="J17" s="26">
        <f>IF(B17="","","Active")</f>
        <v/>
      </c>
    </row>
    <row r="18">
      <c r="A18" s="42">
        <f>IF(B18="","","LN"&amp;TEXT(ROW()-2,"0000"))</f>
        <v/>
      </c>
      <c r="B18" s="43" t="n"/>
      <c r="C18" s="43">
        <f>IFERROR(IF(B18="","",VLOOKUP(B18,DATABASE!A:B,2,0)),"")</f>
        <v/>
      </c>
      <c r="D18" s="44" t="n"/>
      <c r="E18" s="45">
        <f>IF(B18="","",TODAY())</f>
        <v/>
      </c>
      <c r="F18" s="43" t="n"/>
      <c r="G18" s="43" t="n"/>
      <c r="H18" s="43" t="n"/>
      <c r="I18" s="44">
        <f>IFERROR(IF(OR(D18="",G18="",H18=""),"",ABS(PMT(G18%/12,H18,D18))),"")</f>
        <v/>
      </c>
      <c r="J18" s="43">
        <f>IF(B18="","","Active")</f>
        <v/>
      </c>
    </row>
    <row r="19">
      <c r="A19" s="41">
        <f>IF(B19="","","LN"&amp;TEXT(ROW()-2,"0000"))</f>
        <v/>
      </c>
      <c r="B19" s="26" t="n"/>
      <c r="C19" s="26">
        <f>IFERROR(IF(B19="","",VLOOKUP(B19,DATABASE!A:B,2,0)),"")</f>
        <v/>
      </c>
      <c r="D19" s="30" t="n"/>
      <c r="E19" s="31">
        <f>IF(B19="","",TODAY())</f>
        <v/>
      </c>
      <c r="F19" s="26" t="n"/>
      <c r="G19" s="26" t="n"/>
      <c r="H19" s="26" t="n"/>
      <c r="I19" s="30">
        <f>IFERROR(IF(OR(D19="",G19="",H19=""),"",ABS(PMT(G19%/12,H19,D19))),"")</f>
        <v/>
      </c>
      <c r="J19" s="26">
        <f>IF(B19="","","Active")</f>
        <v/>
      </c>
    </row>
    <row r="20">
      <c r="A20" s="42">
        <f>IF(B20="","","LN"&amp;TEXT(ROW()-2,"0000"))</f>
        <v/>
      </c>
      <c r="B20" s="43" t="n"/>
      <c r="C20" s="43">
        <f>IFERROR(IF(B20="","",VLOOKUP(B20,DATABASE!A:B,2,0)),"")</f>
        <v/>
      </c>
      <c r="D20" s="44" t="n"/>
      <c r="E20" s="45">
        <f>IF(B20="","",TODAY())</f>
        <v/>
      </c>
      <c r="F20" s="43" t="n"/>
      <c r="G20" s="43" t="n"/>
      <c r="H20" s="43" t="n"/>
      <c r="I20" s="44">
        <f>IFERROR(IF(OR(D20="",G20="",H20=""),"",ABS(PMT(G20%/12,H20,D20))),"")</f>
        <v/>
      </c>
      <c r="J20" s="43">
        <f>IF(B20="","","Active")</f>
        <v/>
      </c>
    </row>
    <row r="21">
      <c r="A21" s="41">
        <f>IF(B21="","","LN"&amp;TEXT(ROW()-2,"0000"))</f>
        <v/>
      </c>
      <c r="B21" s="26" t="n"/>
      <c r="C21" s="26">
        <f>IFERROR(IF(B21="","",VLOOKUP(B21,DATABASE!A:B,2,0)),"")</f>
        <v/>
      </c>
      <c r="D21" s="30" t="n"/>
      <c r="E21" s="31">
        <f>IF(B21="","",TODAY())</f>
        <v/>
      </c>
      <c r="F21" s="26" t="n"/>
      <c r="G21" s="26" t="n"/>
      <c r="H21" s="26" t="n"/>
      <c r="I21" s="30">
        <f>IFERROR(IF(OR(D21="",G21="",H21=""),"",ABS(PMT(G21%/12,H21,D21))),"")</f>
        <v/>
      </c>
      <c r="J21" s="26">
        <f>IF(B21="","","Active")</f>
        <v/>
      </c>
    </row>
    <row r="22">
      <c r="A22" s="42">
        <f>IF(B22="","","LN"&amp;TEXT(ROW()-2,"0000"))</f>
        <v/>
      </c>
      <c r="B22" s="43" t="n"/>
      <c r="C22" s="43">
        <f>IFERROR(IF(B22="","",VLOOKUP(B22,DATABASE!A:B,2,0)),"")</f>
        <v/>
      </c>
      <c r="D22" s="44" t="n"/>
      <c r="E22" s="45">
        <f>IF(B22="","",TODAY())</f>
        <v/>
      </c>
      <c r="F22" s="43" t="n"/>
      <c r="G22" s="43" t="n"/>
      <c r="H22" s="43" t="n"/>
      <c r="I22" s="44">
        <f>IFERROR(IF(OR(D22="",G22="",H22=""),"",ABS(PMT(G22%/12,H22,D22))),"")</f>
        <v/>
      </c>
      <c r="J22" s="43">
        <f>IF(B22="","","Active")</f>
        <v/>
      </c>
    </row>
    <row r="23">
      <c r="A23" s="41">
        <f>IF(B23="","","LN"&amp;TEXT(ROW()-2,"0000"))</f>
        <v/>
      </c>
      <c r="B23" s="26" t="n"/>
      <c r="C23" s="26">
        <f>IFERROR(IF(B23="","",VLOOKUP(B23,DATABASE!A:B,2,0)),"")</f>
        <v/>
      </c>
      <c r="D23" s="30" t="n"/>
      <c r="E23" s="31">
        <f>IF(B23="","",TODAY())</f>
        <v/>
      </c>
      <c r="F23" s="26" t="n"/>
      <c r="G23" s="26" t="n"/>
      <c r="H23" s="26" t="n"/>
      <c r="I23" s="30">
        <f>IFERROR(IF(OR(D23="",G23="",H23=""),"",ABS(PMT(G23%/12,H23,D23))),"")</f>
        <v/>
      </c>
      <c r="J23" s="26">
        <f>IF(B23="","","Active")</f>
        <v/>
      </c>
    </row>
    <row r="24">
      <c r="A24" s="42">
        <f>IF(B24="","","LN"&amp;TEXT(ROW()-2,"0000"))</f>
        <v/>
      </c>
      <c r="B24" s="43" t="n"/>
      <c r="C24" s="43">
        <f>IFERROR(IF(B24="","",VLOOKUP(B24,DATABASE!A:B,2,0)),"")</f>
        <v/>
      </c>
      <c r="D24" s="44" t="n"/>
      <c r="E24" s="45">
        <f>IF(B24="","",TODAY())</f>
        <v/>
      </c>
      <c r="F24" s="43" t="n"/>
      <c r="G24" s="43" t="n"/>
      <c r="H24" s="43" t="n"/>
      <c r="I24" s="44">
        <f>IFERROR(IF(OR(D24="",G24="",H24=""),"",ABS(PMT(G24%/12,H24,D24))),"")</f>
        <v/>
      </c>
      <c r="J24" s="43">
        <f>IF(B24="","","Active")</f>
        <v/>
      </c>
    </row>
    <row r="25">
      <c r="A25" s="41">
        <f>IF(B25="","","LN"&amp;TEXT(ROW()-2,"0000"))</f>
        <v/>
      </c>
      <c r="B25" s="26" t="n"/>
      <c r="C25" s="26">
        <f>IFERROR(IF(B25="","",VLOOKUP(B25,DATABASE!A:B,2,0)),"")</f>
        <v/>
      </c>
      <c r="D25" s="30" t="n"/>
      <c r="E25" s="31">
        <f>IF(B25="","",TODAY())</f>
        <v/>
      </c>
      <c r="F25" s="26" t="n"/>
      <c r="G25" s="26" t="n"/>
      <c r="H25" s="26" t="n"/>
      <c r="I25" s="30">
        <f>IFERROR(IF(OR(D25="",G25="",H25=""),"",ABS(PMT(G25%/12,H25,D25))),"")</f>
        <v/>
      </c>
      <c r="J25" s="26">
        <f>IF(B25="","","Active")</f>
        <v/>
      </c>
    </row>
    <row r="26">
      <c r="A26" s="42">
        <f>IF(B26="","","LN"&amp;TEXT(ROW()-2,"0000"))</f>
        <v/>
      </c>
      <c r="B26" s="43" t="n"/>
      <c r="C26" s="43">
        <f>IFERROR(IF(B26="","",VLOOKUP(B26,DATABASE!A:B,2,0)),"")</f>
        <v/>
      </c>
      <c r="D26" s="44" t="n"/>
      <c r="E26" s="45">
        <f>IF(B26="","",TODAY())</f>
        <v/>
      </c>
      <c r="F26" s="43" t="n"/>
      <c r="G26" s="43" t="n"/>
      <c r="H26" s="43" t="n"/>
      <c r="I26" s="44">
        <f>IFERROR(IF(OR(D26="",G26="",H26=""),"",ABS(PMT(G26%/12,H26,D26))),"")</f>
        <v/>
      </c>
      <c r="J26" s="43">
        <f>IF(B26="","","Active")</f>
        <v/>
      </c>
    </row>
    <row r="27">
      <c r="A27" s="41">
        <f>IF(B27="","","LN"&amp;TEXT(ROW()-2,"0000"))</f>
        <v/>
      </c>
      <c r="B27" s="26" t="n"/>
      <c r="C27" s="26">
        <f>IFERROR(IF(B27="","",VLOOKUP(B27,DATABASE!A:B,2,0)),"")</f>
        <v/>
      </c>
      <c r="D27" s="30" t="n"/>
      <c r="E27" s="31">
        <f>IF(B27="","",TODAY())</f>
        <v/>
      </c>
      <c r="F27" s="26" t="n"/>
      <c r="G27" s="26" t="n"/>
      <c r="H27" s="26" t="n"/>
      <c r="I27" s="30">
        <f>IFERROR(IF(OR(D27="",G27="",H27=""),"",ABS(PMT(G27%/12,H27,D27))),"")</f>
        <v/>
      </c>
      <c r="J27" s="26">
        <f>IF(B27="","","Active")</f>
        <v/>
      </c>
    </row>
    <row r="28">
      <c r="A28" s="42">
        <f>IF(B28="","","LN"&amp;TEXT(ROW()-2,"0000"))</f>
        <v/>
      </c>
      <c r="B28" s="43" t="n"/>
      <c r="C28" s="43">
        <f>IFERROR(IF(B28="","",VLOOKUP(B28,DATABASE!A:B,2,0)),"")</f>
        <v/>
      </c>
      <c r="D28" s="44" t="n"/>
      <c r="E28" s="45">
        <f>IF(B28="","",TODAY())</f>
        <v/>
      </c>
      <c r="F28" s="43" t="n"/>
      <c r="G28" s="43" t="n"/>
      <c r="H28" s="43" t="n"/>
      <c r="I28" s="44">
        <f>IFERROR(IF(OR(D28="",G28="",H28=""),"",ABS(PMT(G28%/12,H28,D28))),"")</f>
        <v/>
      </c>
      <c r="J28" s="43">
        <f>IF(B28="","","Active")</f>
        <v/>
      </c>
    </row>
    <row r="29">
      <c r="A29" s="41">
        <f>IF(B29="","","LN"&amp;TEXT(ROW()-2,"0000"))</f>
        <v/>
      </c>
      <c r="B29" s="26" t="n"/>
      <c r="C29" s="26">
        <f>IFERROR(IF(B29="","",VLOOKUP(B29,DATABASE!A:B,2,0)),"")</f>
        <v/>
      </c>
      <c r="D29" s="30" t="n"/>
      <c r="E29" s="31">
        <f>IF(B29="","",TODAY())</f>
        <v/>
      </c>
      <c r="F29" s="26" t="n"/>
      <c r="G29" s="26" t="n"/>
      <c r="H29" s="26" t="n"/>
      <c r="I29" s="30">
        <f>IFERROR(IF(OR(D29="",G29="",H29=""),"",ABS(PMT(G29%/12,H29,D29))),"")</f>
        <v/>
      </c>
      <c r="J29" s="26">
        <f>IF(B29="","","Active")</f>
        <v/>
      </c>
    </row>
    <row r="30">
      <c r="A30" s="42">
        <f>IF(B30="","","LN"&amp;TEXT(ROW()-2,"0000"))</f>
        <v/>
      </c>
      <c r="B30" s="43" t="n"/>
      <c r="C30" s="43">
        <f>IFERROR(IF(B30="","",VLOOKUP(B30,DATABASE!A:B,2,0)),"")</f>
        <v/>
      </c>
      <c r="D30" s="44" t="n"/>
      <c r="E30" s="45">
        <f>IF(B30="","",TODAY())</f>
        <v/>
      </c>
      <c r="F30" s="43" t="n"/>
      <c r="G30" s="43" t="n"/>
      <c r="H30" s="43" t="n"/>
      <c r="I30" s="44">
        <f>IFERROR(IF(OR(D30="",G30="",H30=""),"",ABS(PMT(G30%/12,H30,D30))),"")</f>
        <v/>
      </c>
      <c r="J30" s="43">
        <f>IF(B30="","","Active")</f>
        <v/>
      </c>
    </row>
    <row r="31">
      <c r="A31" s="41">
        <f>IF(B31="","","LN"&amp;TEXT(ROW()-2,"0000"))</f>
        <v/>
      </c>
      <c r="B31" s="26" t="n"/>
      <c r="C31" s="26">
        <f>IFERROR(IF(B31="","",VLOOKUP(B31,DATABASE!A:B,2,0)),"")</f>
        <v/>
      </c>
      <c r="D31" s="30" t="n"/>
      <c r="E31" s="31">
        <f>IF(B31="","",TODAY())</f>
        <v/>
      </c>
      <c r="F31" s="26" t="n"/>
      <c r="G31" s="26" t="n"/>
      <c r="H31" s="26" t="n"/>
      <c r="I31" s="30">
        <f>IFERROR(IF(OR(D31="",G31="",H31=""),"",ABS(PMT(G31%/12,H31,D31))),"")</f>
        <v/>
      </c>
      <c r="J31" s="26">
        <f>IF(B31="","","Active")</f>
        <v/>
      </c>
    </row>
    <row r="32">
      <c r="A32" s="42">
        <f>IF(B32="","","LN"&amp;TEXT(ROW()-2,"0000"))</f>
        <v/>
      </c>
      <c r="B32" s="43" t="n"/>
      <c r="C32" s="43">
        <f>IFERROR(IF(B32="","",VLOOKUP(B32,DATABASE!A:B,2,0)),"")</f>
        <v/>
      </c>
      <c r="D32" s="44" t="n"/>
      <c r="E32" s="45">
        <f>IF(B32="","",TODAY())</f>
        <v/>
      </c>
      <c r="F32" s="43" t="n"/>
      <c r="G32" s="43" t="n"/>
      <c r="H32" s="43" t="n"/>
      <c r="I32" s="44">
        <f>IFERROR(IF(OR(D32="",G32="",H32=""),"",ABS(PMT(G32%/12,H32,D32))),"")</f>
        <v/>
      </c>
      <c r="J32" s="43">
        <f>IF(B32="","","Active")</f>
        <v/>
      </c>
    </row>
    <row r="33">
      <c r="A33" s="41">
        <f>IF(B33="","","LN"&amp;TEXT(ROW()-2,"0000"))</f>
        <v/>
      </c>
      <c r="B33" s="26" t="n"/>
      <c r="C33" s="26">
        <f>IFERROR(IF(B33="","",VLOOKUP(B33,DATABASE!A:B,2,0)),"")</f>
        <v/>
      </c>
      <c r="D33" s="30" t="n"/>
      <c r="E33" s="31">
        <f>IF(B33="","",TODAY())</f>
        <v/>
      </c>
      <c r="F33" s="26" t="n"/>
      <c r="G33" s="26" t="n"/>
      <c r="H33" s="26" t="n"/>
      <c r="I33" s="30">
        <f>IFERROR(IF(OR(D33="",G33="",H33=""),"",ABS(PMT(G33%/12,H33,D33))),"")</f>
        <v/>
      </c>
      <c r="J33" s="26">
        <f>IF(B33="","","Active")</f>
        <v/>
      </c>
    </row>
    <row r="34">
      <c r="A34" s="42">
        <f>IF(B34="","","LN"&amp;TEXT(ROW()-2,"0000"))</f>
        <v/>
      </c>
      <c r="B34" s="43" t="n"/>
      <c r="C34" s="43">
        <f>IFERROR(IF(B34="","",VLOOKUP(B34,DATABASE!A:B,2,0)),"")</f>
        <v/>
      </c>
      <c r="D34" s="44" t="n"/>
      <c r="E34" s="45">
        <f>IF(B34="","",TODAY())</f>
        <v/>
      </c>
      <c r="F34" s="43" t="n"/>
      <c r="G34" s="43" t="n"/>
      <c r="H34" s="43" t="n"/>
      <c r="I34" s="44">
        <f>IFERROR(IF(OR(D34="",G34="",H34=""),"",ABS(PMT(G34%/12,H34,D34))),"")</f>
        <v/>
      </c>
      <c r="J34" s="43">
        <f>IF(B34="","","Active")</f>
        <v/>
      </c>
    </row>
    <row r="35">
      <c r="A35" s="41">
        <f>IF(B35="","","LN"&amp;TEXT(ROW()-2,"0000"))</f>
        <v/>
      </c>
      <c r="B35" s="26" t="n"/>
      <c r="C35" s="26">
        <f>IFERROR(IF(B35="","",VLOOKUP(B35,DATABASE!A:B,2,0)),"")</f>
        <v/>
      </c>
      <c r="D35" s="30" t="n"/>
      <c r="E35" s="31">
        <f>IF(B35="","",TODAY())</f>
        <v/>
      </c>
      <c r="F35" s="26" t="n"/>
      <c r="G35" s="26" t="n"/>
      <c r="H35" s="26" t="n"/>
      <c r="I35" s="30">
        <f>IFERROR(IF(OR(D35="",G35="",H35=""),"",ABS(PMT(G35%/12,H35,D35))),"")</f>
        <v/>
      </c>
      <c r="J35" s="26">
        <f>IF(B35="","","Active")</f>
        <v/>
      </c>
    </row>
    <row r="36">
      <c r="A36" s="42">
        <f>IF(B36="","","LN"&amp;TEXT(ROW()-2,"0000"))</f>
        <v/>
      </c>
      <c r="B36" s="43" t="n"/>
      <c r="C36" s="43">
        <f>IFERROR(IF(B36="","",VLOOKUP(B36,DATABASE!A:B,2,0)),"")</f>
        <v/>
      </c>
      <c r="D36" s="44" t="n"/>
      <c r="E36" s="45">
        <f>IF(B36="","",TODAY())</f>
        <v/>
      </c>
      <c r="F36" s="43" t="n"/>
      <c r="G36" s="43" t="n"/>
      <c r="H36" s="43" t="n"/>
      <c r="I36" s="44">
        <f>IFERROR(IF(OR(D36="",G36="",H36=""),"",ABS(PMT(G36%/12,H36,D36))),"")</f>
        <v/>
      </c>
      <c r="J36" s="43">
        <f>IF(B36="","","Active")</f>
        <v/>
      </c>
    </row>
    <row r="37">
      <c r="A37" s="41">
        <f>IF(B37="","","LN"&amp;TEXT(ROW()-2,"0000"))</f>
        <v/>
      </c>
      <c r="B37" s="26" t="n"/>
      <c r="C37" s="26">
        <f>IFERROR(IF(B37="","",VLOOKUP(B37,DATABASE!A:B,2,0)),"")</f>
        <v/>
      </c>
      <c r="D37" s="30" t="n"/>
      <c r="E37" s="31">
        <f>IF(B37="","",TODAY())</f>
        <v/>
      </c>
      <c r="F37" s="26" t="n"/>
      <c r="G37" s="26" t="n"/>
      <c r="H37" s="26" t="n"/>
      <c r="I37" s="30">
        <f>IFERROR(IF(OR(D37="",G37="",H37=""),"",ABS(PMT(G37%/12,H37,D37))),"")</f>
        <v/>
      </c>
      <c r="J37" s="26">
        <f>IF(B37="","","Active")</f>
        <v/>
      </c>
    </row>
    <row r="38">
      <c r="A38" s="42">
        <f>IF(B38="","","LN"&amp;TEXT(ROW()-2,"0000"))</f>
        <v/>
      </c>
      <c r="B38" s="43" t="n"/>
      <c r="C38" s="43">
        <f>IFERROR(IF(B38="","",VLOOKUP(B38,DATABASE!A:B,2,0)),"")</f>
        <v/>
      </c>
      <c r="D38" s="44" t="n"/>
      <c r="E38" s="45">
        <f>IF(B38="","",TODAY())</f>
        <v/>
      </c>
      <c r="F38" s="43" t="n"/>
      <c r="G38" s="43" t="n"/>
      <c r="H38" s="43" t="n"/>
      <c r="I38" s="44">
        <f>IFERROR(IF(OR(D38="",G38="",H38=""),"",ABS(PMT(G38%/12,H38,D38))),"")</f>
        <v/>
      </c>
      <c r="J38" s="43">
        <f>IF(B38="","","Active")</f>
        <v/>
      </c>
    </row>
    <row r="39">
      <c r="A39" s="41">
        <f>IF(B39="","","LN"&amp;TEXT(ROW()-2,"0000"))</f>
        <v/>
      </c>
      <c r="B39" s="26" t="n"/>
      <c r="C39" s="26">
        <f>IFERROR(IF(B39="","",VLOOKUP(B39,DATABASE!A:B,2,0)),"")</f>
        <v/>
      </c>
      <c r="D39" s="30" t="n"/>
      <c r="E39" s="31">
        <f>IF(B39="","",TODAY())</f>
        <v/>
      </c>
      <c r="F39" s="26" t="n"/>
      <c r="G39" s="26" t="n"/>
      <c r="H39" s="26" t="n"/>
      <c r="I39" s="30">
        <f>IFERROR(IF(OR(D39="",G39="",H39=""),"",ABS(PMT(G39%/12,H39,D39))),"")</f>
        <v/>
      </c>
      <c r="J39" s="26">
        <f>IF(B39="","","Active")</f>
        <v/>
      </c>
    </row>
    <row r="40">
      <c r="A40" s="42">
        <f>IF(B40="","","LN"&amp;TEXT(ROW()-2,"0000"))</f>
        <v/>
      </c>
      <c r="B40" s="43" t="n"/>
      <c r="C40" s="43">
        <f>IFERROR(IF(B40="","",VLOOKUP(B40,DATABASE!A:B,2,0)),"")</f>
        <v/>
      </c>
      <c r="D40" s="44" t="n"/>
      <c r="E40" s="45">
        <f>IF(B40="","",TODAY())</f>
        <v/>
      </c>
      <c r="F40" s="43" t="n"/>
      <c r="G40" s="43" t="n"/>
      <c r="H40" s="43" t="n"/>
      <c r="I40" s="44">
        <f>IFERROR(IF(OR(D40="",G40="",H40=""),"",ABS(PMT(G40%/12,H40,D40))),"")</f>
        <v/>
      </c>
      <c r="J40" s="43">
        <f>IF(B40="","","Active")</f>
        <v/>
      </c>
    </row>
    <row r="41">
      <c r="A41" s="41">
        <f>IF(B41="","","LN"&amp;TEXT(ROW()-2,"0000"))</f>
        <v/>
      </c>
      <c r="B41" s="26" t="n"/>
      <c r="C41" s="26">
        <f>IFERROR(IF(B41="","",VLOOKUP(B41,DATABASE!A:B,2,0)),"")</f>
        <v/>
      </c>
      <c r="D41" s="30" t="n"/>
      <c r="E41" s="31">
        <f>IF(B41="","",TODAY())</f>
        <v/>
      </c>
      <c r="F41" s="26" t="n"/>
      <c r="G41" s="26" t="n"/>
      <c r="H41" s="26" t="n"/>
      <c r="I41" s="30">
        <f>IFERROR(IF(OR(D41="",G41="",H41=""),"",ABS(PMT(G41%/12,H41,D41))),"")</f>
        <v/>
      </c>
      <c r="J41" s="26">
        <f>IF(B41="","","Active")</f>
        <v/>
      </c>
    </row>
    <row r="42">
      <c r="A42" s="42">
        <f>IF(B42="","","LN"&amp;TEXT(ROW()-2,"0000"))</f>
        <v/>
      </c>
      <c r="B42" s="43" t="n"/>
      <c r="C42" s="43">
        <f>IFERROR(IF(B42="","",VLOOKUP(B42,DATABASE!A:B,2,0)),"")</f>
        <v/>
      </c>
      <c r="D42" s="44" t="n"/>
      <c r="E42" s="45">
        <f>IF(B42="","",TODAY())</f>
        <v/>
      </c>
      <c r="F42" s="43" t="n"/>
      <c r="G42" s="43" t="n"/>
      <c r="H42" s="43" t="n"/>
      <c r="I42" s="44">
        <f>IFERROR(IF(OR(D42="",G42="",H42=""),"",ABS(PMT(G42%/12,H42,D42))),"")</f>
        <v/>
      </c>
      <c r="J42" s="43">
        <f>IF(B42="","","Active")</f>
        <v/>
      </c>
    </row>
    <row r="43">
      <c r="A43" s="41">
        <f>IF(B43="","","LN"&amp;TEXT(ROW()-2,"0000"))</f>
        <v/>
      </c>
      <c r="B43" s="26" t="n"/>
      <c r="C43" s="26">
        <f>IFERROR(IF(B43="","",VLOOKUP(B43,DATABASE!A:B,2,0)),"")</f>
        <v/>
      </c>
      <c r="D43" s="30" t="n"/>
      <c r="E43" s="31">
        <f>IF(B43="","",TODAY())</f>
        <v/>
      </c>
      <c r="F43" s="26" t="n"/>
      <c r="G43" s="26" t="n"/>
      <c r="H43" s="26" t="n"/>
      <c r="I43" s="30">
        <f>IFERROR(IF(OR(D43="",G43="",H43=""),"",ABS(PMT(G43%/12,H43,D43))),"")</f>
        <v/>
      </c>
      <c r="J43" s="26">
        <f>IF(B43="","","Active")</f>
        <v/>
      </c>
    </row>
    <row r="44">
      <c r="A44" s="42">
        <f>IF(B44="","","LN"&amp;TEXT(ROW()-2,"0000"))</f>
        <v/>
      </c>
      <c r="B44" s="43" t="n"/>
      <c r="C44" s="43">
        <f>IFERROR(IF(B44="","",VLOOKUP(B44,DATABASE!A:B,2,0)),"")</f>
        <v/>
      </c>
      <c r="D44" s="44" t="n"/>
      <c r="E44" s="45">
        <f>IF(B44="","",TODAY())</f>
        <v/>
      </c>
      <c r="F44" s="43" t="n"/>
      <c r="G44" s="43" t="n"/>
      <c r="H44" s="43" t="n"/>
      <c r="I44" s="44">
        <f>IFERROR(IF(OR(D44="",G44="",H44=""),"",ABS(PMT(G44%/12,H44,D44))),"")</f>
        <v/>
      </c>
      <c r="J44" s="43">
        <f>IF(B44="","","Active")</f>
        <v/>
      </c>
    </row>
    <row r="45">
      <c r="A45" s="41">
        <f>IF(B45="","","LN"&amp;TEXT(ROW()-2,"0000"))</f>
        <v/>
      </c>
      <c r="B45" s="26" t="n"/>
      <c r="C45" s="26">
        <f>IFERROR(IF(B45="","",VLOOKUP(B45,DATABASE!A:B,2,0)),"")</f>
        <v/>
      </c>
      <c r="D45" s="30" t="n"/>
      <c r="E45" s="31">
        <f>IF(B45="","",TODAY())</f>
        <v/>
      </c>
      <c r="F45" s="26" t="n"/>
      <c r="G45" s="26" t="n"/>
      <c r="H45" s="26" t="n"/>
      <c r="I45" s="30">
        <f>IFERROR(IF(OR(D45="",G45="",H45=""),"",ABS(PMT(G45%/12,H45,D45))),"")</f>
        <v/>
      </c>
      <c r="J45" s="26">
        <f>IF(B45="","","Active")</f>
        <v/>
      </c>
    </row>
    <row r="46">
      <c r="A46" s="42">
        <f>IF(B46="","","LN"&amp;TEXT(ROW()-2,"0000"))</f>
        <v/>
      </c>
      <c r="B46" s="43" t="n"/>
      <c r="C46" s="43">
        <f>IFERROR(IF(B46="","",VLOOKUP(B46,DATABASE!A:B,2,0)),"")</f>
        <v/>
      </c>
      <c r="D46" s="44" t="n"/>
      <c r="E46" s="45">
        <f>IF(B46="","",TODAY())</f>
        <v/>
      </c>
      <c r="F46" s="43" t="n"/>
      <c r="G46" s="43" t="n"/>
      <c r="H46" s="43" t="n"/>
      <c r="I46" s="44">
        <f>IFERROR(IF(OR(D46="",G46="",H46=""),"",ABS(PMT(G46%/12,H46,D46))),"")</f>
        <v/>
      </c>
      <c r="J46" s="43">
        <f>IF(B46="","","Active")</f>
        <v/>
      </c>
    </row>
    <row r="47">
      <c r="A47" s="41">
        <f>IF(B47="","","LN"&amp;TEXT(ROW()-2,"0000"))</f>
        <v/>
      </c>
      <c r="B47" s="26" t="n"/>
      <c r="C47" s="26">
        <f>IFERROR(IF(B47="","",VLOOKUP(B47,DATABASE!A:B,2,0)),"")</f>
        <v/>
      </c>
      <c r="D47" s="30" t="n"/>
      <c r="E47" s="31">
        <f>IF(B47="","",TODAY())</f>
        <v/>
      </c>
      <c r="F47" s="26" t="n"/>
      <c r="G47" s="26" t="n"/>
      <c r="H47" s="26" t="n"/>
      <c r="I47" s="30">
        <f>IFERROR(IF(OR(D47="",G47="",H47=""),"",ABS(PMT(G47%/12,H47,D47))),"")</f>
        <v/>
      </c>
      <c r="J47" s="26">
        <f>IF(B47="","","Active")</f>
        <v/>
      </c>
    </row>
    <row r="48">
      <c r="A48" s="42">
        <f>IF(B48="","","LN"&amp;TEXT(ROW()-2,"0000"))</f>
        <v/>
      </c>
      <c r="B48" s="43" t="n"/>
      <c r="C48" s="43">
        <f>IFERROR(IF(B48="","",VLOOKUP(B48,DATABASE!A:B,2,0)),"")</f>
        <v/>
      </c>
      <c r="D48" s="44" t="n"/>
      <c r="E48" s="45">
        <f>IF(B48="","",TODAY())</f>
        <v/>
      </c>
      <c r="F48" s="43" t="n"/>
      <c r="G48" s="43" t="n"/>
      <c r="H48" s="43" t="n"/>
      <c r="I48" s="44">
        <f>IFERROR(IF(OR(D48="",G48="",H48=""),"",ABS(PMT(G48%/12,H48,D48))),"")</f>
        <v/>
      </c>
      <c r="J48" s="43">
        <f>IF(B48="","","Active")</f>
        <v/>
      </c>
    </row>
    <row r="49">
      <c r="A49" s="41">
        <f>IF(B49="","","LN"&amp;TEXT(ROW()-2,"0000"))</f>
        <v/>
      </c>
      <c r="B49" s="26" t="n"/>
      <c r="C49" s="26">
        <f>IFERROR(IF(B49="","",VLOOKUP(B49,DATABASE!A:B,2,0)),"")</f>
        <v/>
      </c>
      <c r="D49" s="30" t="n"/>
      <c r="E49" s="31">
        <f>IF(B49="","",TODAY())</f>
        <v/>
      </c>
      <c r="F49" s="26" t="n"/>
      <c r="G49" s="26" t="n"/>
      <c r="H49" s="26" t="n"/>
      <c r="I49" s="30">
        <f>IFERROR(IF(OR(D49="",G49="",H49=""),"",ABS(PMT(G49%/12,H49,D49))),"")</f>
        <v/>
      </c>
      <c r="J49" s="26">
        <f>IF(B49="","","Active")</f>
        <v/>
      </c>
    </row>
    <row r="50">
      <c r="A50" s="42">
        <f>IF(B50="","","LN"&amp;TEXT(ROW()-2,"0000"))</f>
        <v/>
      </c>
      <c r="B50" s="43" t="n"/>
      <c r="C50" s="43">
        <f>IFERROR(IF(B50="","",VLOOKUP(B50,DATABASE!A:B,2,0)),"")</f>
        <v/>
      </c>
      <c r="D50" s="44" t="n"/>
      <c r="E50" s="45">
        <f>IF(B50="","",TODAY())</f>
        <v/>
      </c>
      <c r="F50" s="43" t="n"/>
      <c r="G50" s="43" t="n"/>
      <c r="H50" s="43" t="n"/>
      <c r="I50" s="44">
        <f>IFERROR(IF(OR(D50="",G50="",H50=""),"",ABS(PMT(G50%/12,H50,D50))),"")</f>
        <v/>
      </c>
      <c r="J50" s="43">
        <f>IF(B50="","","Active")</f>
        <v/>
      </c>
    </row>
    <row r="51">
      <c r="A51" s="41">
        <f>IF(B51="","","LN"&amp;TEXT(ROW()-2,"0000"))</f>
        <v/>
      </c>
      <c r="B51" s="26" t="n"/>
      <c r="C51" s="26">
        <f>IFERROR(IF(B51="","",VLOOKUP(B51,DATABASE!A:B,2,0)),"")</f>
        <v/>
      </c>
      <c r="D51" s="30" t="n"/>
      <c r="E51" s="31">
        <f>IF(B51="","",TODAY())</f>
        <v/>
      </c>
      <c r="F51" s="26" t="n"/>
      <c r="G51" s="26" t="n"/>
      <c r="H51" s="26" t="n"/>
      <c r="I51" s="30">
        <f>IFERROR(IF(OR(D51="",G51="",H51=""),"",ABS(PMT(G51%/12,H51,D51))),"")</f>
        <v/>
      </c>
      <c r="J51" s="26">
        <f>IF(B51="","","Active")</f>
        <v/>
      </c>
    </row>
    <row r="52">
      <c r="A52" s="42">
        <f>IF(B52="","","LN"&amp;TEXT(ROW()-2,"0000"))</f>
        <v/>
      </c>
      <c r="B52" s="43" t="n"/>
      <c r="C52" s="43">
        <f>IFERROR(IF(B52="","",VLOOKUP(B52,DATABASE!A:B,2,0)),"")</f>
        <v/>
      </c>
      <c r="D52" s="44" t="n"/>
      <c r="E52" s="45">
        <f>IF(B52="","",TODAY())</f>
        <v/>
      </c>
      <c r="F52" s="43" t="n"/>
      <c r="G52" s="43" t="n"/>
      <c r="H52" s="43" t="n"/>
      <c r="I52" s="44">
        <f>IFERROR(IF(OR(D52="",G52="",H52=""),"",ABS(PMT(G52%/12,H52,D52))),"")</f>
        <v/>
      </c>
      <c r="J52" s="43">
        <f>IF(B52="","","Active")</f>
        <v/>
      </c>
    </row>
    <row r="53">
      <c r="A53" s="41">
        <f>IF(B53="","","LN"&amp;TEXT(ROW()-2,"0000"))</f>
        <v/>
      </c>
      <c r="B53" s="26" t="n"/>
      <c r="C53" s="26">
        <f>IFERROR(IF(B53="","",VLOOKUP(B53,DATABASE!A:B,2,0)),"")</f>
        <v/>
      </c>
      <c r="D53" s="30" t="n"/>
      <c r="E53" s="31">
        <f>IF(B53="","",TODAY())</f>
        <v/>
      </c>
      <c r="F53" s="26" t="n"/>
      <c r="G53" s="26" t="n"/>
      <c r="H53" s="26" t="n"/>
      <c r="I53" s="30">
        <f>IFERROR(IF(OR(D53="",G53="",H53=""),"",ABS(PMT(G53%/12,H53,D53))),"")</f>
        <v/>
      </c>
      <c r="J53" s="26">
        <f>IF(B53="","","Active")</f>
        <v/>
      </c>
    </row>
    <row r="54">
      <c r="A54" s="42">
        <f>IF(B54="","","LN"&amp;TEXT(ROW()-2,"0000"))</f>
        <v/>
      </c>
      <c r="B54" s="43" t="n"/>
      <c r="C54" s="43">
        <f>IFERROR(IF(B54="","",VLOOKUP(B54,DATABASE!A:B,2,0)),"")</f>
        <v/>
      </c>
      <c r="D54" s="44" t="n"/>
      <c r="E54" s="45">
        <f>IF(B54="","",TODAY())</f>
        <v/>
      </c>
      <c r="F54" s="43" t="n"/>
      <c r="G54" s="43" t="n"/>
      <c r="H54" s="43" t="n"/>
      <c r="I54" s="44">
        <f>IFERROR(IF(OR(D54="",G54="",H54=""),"",ABS(PMT(G54%/12,H54,D54))),"")</f>
        <v/>
      </c>
      <c r="J54" s="43">
        <f>IF(B54="","","Active")</f>
        <v/>
      </c>
    </row>
    <row r="55">
      <c r="A55" s="41">
        <f>IF(B55="","","LN"&amp;TEXT(ROW()-2,"0000"))</f>
        <v/>
      </c>
      <c r="B55" s="26" t="n"/>
      <c r="C55" s="26">
        <f>IFERROR(IF(B55="","",VLOOKUP(B55,DATABASE!A:B,2,0)),"")</f>
        <v/>
      </c>
      <c r="D55" s="30" t="n"/>
      <c r="E55" s="31">
        <f>IF(B55="","",TODAY())</f>
        <v/>
      </c>
      <c r="F55" s="26" t="n"/>
      <c r="G55" s="26" t="n"/>
      <c r="H55" s="26" t="n"/>
      <c r="I55" s="30">
        <f>IFERROR(IF(OR(D55="",G55="",H55=""),"",ABS(PMT(G55%/12,H55,D55))),"")</f>
        <v/>
      </c>
      <c r="J55" s="26">
        <f>IF(B55="","","Active")</f>
        <v/>
      </c>
    </row>
    <row r="56">
      <c r="A56" s="42">
        <f>IF(B56="","","LN"&amp;TEXT(ROW()-2,"0000"))</f>
        <v/>
      </c>
      <c r="B56" s="43" t="n"/>
      <c r="C56" s="43">
        <f>IFERROR(IF(B56="","",VLOOKUP(B56,DATABASE!A:B,2,0)),"")</f>
        <v/>
      </c>
      <c r="D56" s="44" t="n"/>
      <c r="E56" s="45">
        <f>IF(B56="","",TODAY())</f>
        <v/>
      </c>
      <c r="F56" s="43" t="n"/>
      <c r="G56" s="43" t="n"/>
      <c r="H56" s="43" t="n"/>
      <c r="I56" s="44">
        <f>IFERROR(IF(OR(D56="",G56="",H56=""),"",ABS(PMT(G56%/12,H56,D56))),"")</f>
        <v/>
      </c>
      <c r="J56" s="43">
        <f>IF(B56="","","Active")</f>
        <v/>
      </c>
    </row>
    <row r="57">
      <c r="A57" s="41">
        <f>IF(B57="","","LN"&amp;TEXT(ROW()-2,"0000"))</f>
        <v/>
      </c>
      <c r="B57" s="26" t="n"/>
      <c r="C57" s="26">
        <f>IFERROR(IF(B57="","",VLOOKUP(B57,DATABASE!A:B,2,0)),"")</f>
        <v/>
      </c>
      <c r="D57" s="30" t="n"/>
      <c r="E57" s="31">
        <f>IF(B57="","",TODAY())</f>
        <v/>
      </c>
      <c r="F57" s="26" t="n"/>
      <c r="G57" s="26" t="n"/>
      <c r="H57" s="26" t="n"/>
      <c r="I57" s="30">
        <f>IFERROR(IF(OR(D57="",G57="",H57=""),"",ABS(PMT(G57%/12,H57,D57))),"")</f>
        <v/>
      </c>
      <c r="J57" s="26">
        <f>IF(B57="","","Active")</f>
        <v/>
      </c>
    </row>
    <row r="58">
      <c r="A58" s="42">
        <f>IF(B58="","","LN"&amp;TEXT(ROW()-2,"0000"))</f>
        <v/>
      </c>
      <c r="B58" s="43" t="n"/>
      <c r="C58" s="43">
        <f>IFERROR(IF(B58="","",VLOOKUP(B58,DATABASE!A:B,2,0)),"")</f>
        <v/>
      </c>
      <c r="D58" s="44" t="n"/>
      <c r="E58" s="45">
        <f>IF(B58="","",TODAY())</f>
        <v/>
      </c>
      <c r="F58" s="43" t="n"/>
      <c r="G58" s="43" t="n"/>
      <c r="H58" s="43" t="n"/>
      <c r="I58" s="44">
        <f>IFERROR(IF(OR(D58="",G58="",H58=""),"",ABS(PMT(G58%/12,H58,D58))),"")</f>
        <v/>
      </c>
      <c r="J58" s="43">
        <f>IF(B58="","","Active")</f>
        <v/>
      </c>
    </row>
    <row r="59">
      <c r="A59" s="41">
        <f>IF(B59="","","LN"&amp;TEXT(ROW()-2,"0000"))</f>
        <v/>
      </c>
      <c r="B59" s="26" t="n"/>
      <c r="C59" s="26">
        <f>IFERROR(IF(B59="","",VLOOKUP(B59,DATABASE!A:B,2,0)),"")</f>
        <v/>
      </c>
      <c r="D59" s="30" t="n"/>
      <c r="E59" s="31">
        <f>IF(B59="","",TODAY())</f>
        <v/>
      </c>
      <c r="F59" s="26" t="n"/>
      <c r="G59" s="26" t="n"/>
      <c r="H59" s="26" t="n"/>
      <c r="I59" s="30">
        <f>IFERROR(IF(OR(D59="",G59="",H59=""),"",ABS(PMT(G59%/12,H59,D59))),"")</f>
        <v/>
      </c>
      <c r="J59" s="26">
        <f>IF(B59="","","Active")</f>
        <v/>
      </c>
    </row>
    <row r="60">
      <c r="A60" s="42">
        <f>IF(B60="","","LN"&amp;TEXT(ROW()-2,"0000"))</f>
        <v/>
      </c>
      <c r="B60" s="43" t="n"/>
      <c r="C60" s="43">
        <f>IFERROR(IF(B60="","",VLOOKUP(B60,DATABASE!A:B,2,0)),"")</f>
        <v/>
      </c>
      <c r="D60" s="44" t="n"/>
      <c r="E60" s="45">
        <f>IF(B60="","",TODAY())</f>
        <v/>
      </c>
      <c r="F60" s="43" t="n"/>
      <c r="G60" s="43" t="n"/>
      <c r="H60" s="43" t="n"/>
      <c r="I60" s="44">
        <f>IFERROR(IF(OR(D60="",G60="",H60=""),"",ABS(PMT(G60%/12,H60,D60))),"")</f>
        <v/>
      </c>
      <c r="J60" s="43">
        <f>IF(B60="","","Active")</f>
        <v/>
      </c>
    </row>
    <row r="61">
      <c r="A61" s="41">
        <f>IF(B61="","","LN"&amp;TEXT(ROW()-2,"0000"))</f>
        <v/>
      </c>
      <c r="B61" s="26" t="n"/>
      <c r="C61" s="26">
        <f>IFERROR(IF(B61="","",VLOOKUP(B61,DATABASE!A:B,2,0)),"")</f>
        <v/>
      </c>
      <c r="D61" s="30" t="n"/>
      <c r="E61" s="31">
        <f>IF(B61="","",TODAY())</f>
        <v/>
      </c>
      <c r="F61" s="26" t="n"/>
      <c r="G61" s="26" t="n"/>
      <c r="H61" s="26" t="n"/>
      <c r="I61" s="30">
        <f>IFERROR(IF(OR(D61="",G61="",H61=""),"",ABS(PMT(G61%/12,H61,D61))),"")</f>
        <v/>
      </c>
      <c r="J61" s="26">
        <f>IF(B61="","","Active")</f>
        <v/>
      </c>
    </row>
    <row r="62">
      <c r="A62" s="42">
        <f>IF(B62="","","LN"&amp;TEXT(ROW()-2,"0000"))</f>
        <v/>
      </c>
      <c r="B62" s="43" t="n"/>
      <c r="C62" s="43">
        <f>IFERROR(IF(B62="","",VLOOKUP(B62,DATABASE!A:B,2,0)),"")</f>
        <v/>
      </c>
      <c r="D62" s="44" t="n"/>
      <c r="E62" s="45">
        <f>IF(B62="","",TODAY())</f>
        <v/>
      </c>
      <c r="F62" s="43" t="n"/>
      <c r="G62" s="43" t="n"/>
      <c r="H62" s="43" t="n"/>
      <c r="I62" s="44">
        <f>IFERROR(IF(OR(D62="",G62="",H62=""),"",ABS(PMT(G62%/12,H62,D62))),"")</f>
        <v/>
      </c>
      <c r="J62" s="43">
        <f>IF(B62="","","Active")</f>
        <v/>
      </c>
    </row>
    <row r="63">
      <c r="A63" s="41">
        <f>IF(B63="","","LN"&amp;TEXT(ROW()-2,"0000"))</f>
        <v/>
      </c>
      <c r="B63" s="26" t="n"/>
      <c r="C63" s="26">
        <f>IFERROR(IF(B63="","",VLOOKUP(B63,DATABASE!A:B,2,0)),"")</f>
        <v/>
      </c>
      <c r="D63" s="30" t="n"/>
      <c r="E63" s="31">
        <f>IF(B63="","",TODAY())</f>
        <v/>
      </c>
      <c r="F63" s="26" t="n"/>
      <c r="G63" s="26" t="n"/>
      <c r="H63" s="26" t="n"/>
      <c r="I63" s="30">
        <f>IFERROR(IF(OR(D63="",G63="",H63=""),"",ABS(PMT(G63%/12,H63,D63))),"")</f>
        <v/>
      </c>
      <c r="J63" s="26">
        <f>IF(B63="","","Active")</f>
        <v/>
      </c>
    </row>
    <row r="64">
      <c r="A64" s="42">
        <f>IF(B64="","","LN"&amp;TEXT(ROW()-2,"0000"))</f>
        <v/>
      </c>
      <c r="B64" s="43" t="n"/>
      <c r="C64" s="43">
        <f>IFERROR(IF(B64="","",VLOOKUP(B64,DATABASE!A:B,2,0)),"")</f>
        <v/>
      </c>
      <c r="D64" s="44" t="n"/>
      <c r="E64" s="45">
        <f>IF(B64="","",TODAY())</f>
        <v/>
      </c>
      <c r="F64" s="43" t="n"/>
      <c r="G64" s="43" t="n"/>
      <c r="H64" s="43" t="n"/>
      <c r="I64" s="44">
        <f>IFERROR(IF(OR(D64="",G64="",H64=""),"",ABS(PMT(G64%/12,H64,D64))),"")</f>
        <v/>
      </c>
      <c r="J64" s="43">
        <f>IF(B64="","","Active")</f>
        <v/>
      </c>
    </row>
    <row r="65">
      <c r="A65" s="41">
        <f>IF(B65="","","LN"&amp;TEXT(ROW()-2,"0000"))</f>
        <v/>
      </c>
      <c r="B65" s="26" t="n"/>
      <c r="C65" s="26">
        <f>IFERROR(IF(B65="","",VLOOKUP(B65,DATABASE!A:B,2,0)),"")</f>
        <v/>
      </c>
      <c r="D65" s="30" t="n"/>
      <c r="E65" s="31">
        <f>IF(B65="","",TODAY())</f>
        <v/>
      </c>
      <c r="F65" s="26" t="n"/>
      <c r="G65" s="26" t="n"/>
      <c r="H65" s="26" t="n"/>
      <c r="I65" s="30">
        <f>IFERROR(IF(OR(D65="",G65="",H65=""),"",ABS(PMT(G65%/12,H65,D65))),"")</f>
        <v/>
      </c>
      <c r="J65" s="26">
        <f>IF(B65="","","Active")</f>
        <v/>
      </c>
    </row>
    <row r="66">
      <c r="A66" s="42">
        <f>IF(B66="","","LN"&amp;TEXT(ROW()-2,"0000"))</f>
        <v/>
      </c>
      <c r="B66" s="43" t="n"/>
      <c r="C66" s="43">
        <f>IFERROR(IF(B66="","",VLOOKUP(B66,DATABASE!A:B,2,0)),"")</f>
        <v/>
      </c>
      <c r="D66" s="44" t="n"/>
      <c r="E66" s="45">
        <f>IF(B66="","",TODAY())</f>
        <v/>
      </c>
      <c r="F66" s="43" t="n"/>
      <c r="G66" s="43" t="n"/>
      <c r="H66" s="43" t="n"/>
      <c r="I66" s="44">
        <f>IFERROR(IF(OR(D66="",G66="",H66=""),"",ABS(PMT(G66%/12,H66,D66))),"")</f>
        <v/>
      </c>
      <c r="J66" s="43">
        <f>IF(B66="","","Active")</f>
        <v/>
      </c>
    </row>
    <row r="67">
      <c r="A67" s="41">
        <f>IF(B67="","","LN"&amp;TEXT(ROW()-2,"0000"))</f>
        <v/>
      </c>
      <c r="B67" s="26" t="n"/>
      <c r="C67" s="26">
        <f>IFERROR(IF(B67="","",VLOOKUP(B67,DATABASE!A:B,2,0)),"")</f>
        <v/>
      </c>
      <c r="D67" s="30" t="n"/>
      <c r="E67" s="31">
        <f>IF(B67="","",TODAY())</f>
        <v/>
      </c>
      <c r="F67" s="26" t="n"/>
      <c r="G67" s="26" t="n"/>
      <c r="H67" s="26" t="n"/>
      <c r="I67" s="30">
        <f>IFERROR(IF(OR(D67="",G67="",H67=""),"",ABS(PMT(G67%/12,H67,D67))),"")</f>
        <v/>
      </c>
      <c r="J67" s="26">
        <f>IF(B67="","","Active")</f>
        <v/>
      </c>
    </row>
    <row r="68">
      <c r="A68" s="42">
        <f>IF(B68="","","LN"&amp;TEXT(ROW()-2,"0000"))</f>
        <v/>
      </c>
      <c r="B68" s="43" t="n"/>
      <c r="C68" s="43">
        <f>IFERROR(IF(B68="","",VLOOKUP(B68,DATABASE!A:B,2,0)),"")</f>
        <v/>
      </c>
      <c r="D68" s="44" t="n"/>
      <c r="E68" s="45">
        <f>IF(B68="","",TODAY())</f>
        <v/>
      </c>
      <c r="F68" s="43" t="n"/>
      <c r="G68" s="43" t="n"/>
      <c r="H68" s="43" t="n"/>
      <c r="I68" s="44">
        <f>IFERROR(IF(OR(D68="",G68="",H68=""),"",ABS(PMT(G68%/12,H68,D68))),"")</f>
        <v/>
      </c>
      <c r="J68" s="43">
        <f>IF(B68="","","Active")</f>
        <v/>
      </c>
    </row>
    <row r="69">
      <c r="A69" s="41">
        <f>IF(B69="","","LN"&amp;TEXT(ROW()-2,"0000"))</f>
        <v/>
      </c>
      <c r="B69" s="26" t="n"/>
      <c r="C69" s="26">
        <f>IFERROR(IF(B69="","",VLOOKUP(B69,DATABASE!A:B,2,0)),"")</f>
        <v/>
      </c>
      <c r="D69" s="30" t="n"/>
      <c r="E69" s="31">
        <f>IF(B69="","",TODAY())</f>
        <v/>
      </c>
      <c r="F69" s="26" t="n"/>
      <c r="G69" s="26" t="n"/>
      <c r="H69" s="26" t="n"/>
      <c r="I69" s="30">
        <f>IFERROR(IF(OR(D69="",G69="",H69=""),"",ABS(PMT(G69%/12,H69,D69))),"")</f>
        <v/>
      </c>
      <c r="J69" s="26">
        <f>IF(B69="","","Active")</f>
        <v/>
      </c>
    </row>
    <row r="70">
      <c r="A70" s="42">
        <f>IF(B70="","","LN"&amp;TEXT(ROW()-2,"0000"))</f>
        <v/>
      </c>
      <c r="B70" s="43" t="n"/>
      <c r="C70" s="43">
        <f>IFERROR(IF(B70="","",VLOOKUP(B70,DATABASE!A:B,2,0)),"")</f>
        <v/>
      </c>
      <c r="D70" s="44" t="n"/>
      <c r="E70" s="45">
        <f>IF(B70="","",TODAY())</f>
        <v/>
      </c>
      <c r="F70" s="43" t="n"/>
      <c r="G70" s="43" t="n"/>
      <c r="H70" s="43" t="n"/>
      <c r="I70" s="44">
        <f>IFERROR(IF(OR(D70="",G70="",H70=""),"",ABS(PMT(G70%/12,H70,D70))),"")</f>
        <v/>
      </c>
      <c r="J70" s="43">
        <f>IF(B70="","","Active")</f>
        <v/>
      </c>
    </row>
    <row r="71">
      <c r="A71" s="41">
        <f>IF(B71="","","LN"&amp;TEXT(ROW()-2,"0000"))</f>
        <v/>
      </c>
      <c r="B71" s="26" t="n"/>
      <c r="C71" s="26">
        <f>IFERROR(IF(B71="","",VLOOKUP(B71,DATABASE!A:B,2,0)),"")</f>
        <v/>
      </c>
      <c r="D71" s="30" t="n"/>
      <c r="E71" s="31">
        <f>IF(B71="","",TODAY())</f>
        <v/>
      </c>
      <c r="F71" s="26" t="n"/>
      <c r="G71" s="26" t="n"/>
      <c r="H71" s="26" t="n"/>
      <c r="I71" s="30">
        <f>IFERROR(IF(OR(D71="",G71="",H71=""),"",ABS(PMT(G71%/12,H71,D71))),"")</f>
        <v/>
      </c>
      <c r="J71" s="26">
        <f>IF(B71="","","Active")</f>
        <v/>
      </c>
    </row>
    <row r="72">
      <c r="A72" s="42">
        <f>IF(B72="","","LN"&amp;TEXT(ROW()-2,"0000"))</f>
        <v/>
      </c>
      <c r="B72" s="43" t="n"/>
      <c r="C72" s="43">
        <f>IFERROR(IF(B72="","",VLOOKUP(B72,DATABASE!A:B,2,0)),"")</f>
        <v/>
      </c>
      <c r="D72" s="44" t="n"/>
      <c r="E72" s="45">
        <f>IF(B72="","",TODAY())</f>
        <v/>
      </c>
      <c r="F72" s="43" t="n"/>
      <c r="G72" s="43" t="n"/>
      <c r="H72" s="43" t="n"/>
      <c r="I72" s="44">
        <f>IFERROR(IF(OR(D72="",G72="",H72=""),"",ABS(PMT(G72%/12,H72,D72))),"")</f>
        <v/>
      </c>
      <c r="J72" s="43">
        <f>IF(B72="","","Active")</f>
        <v/>
      </c>
    </row>
    <row r="73">
      <c r="A73" s="41">
        <f>IF(B73="","","LN"&amp;TEXT(ROW()-2,"0000"))</f>
        <v/>
      </c>
      <c r="B73" s="26" t="n"/>
      <c r="C73" s="26">
        <f>IFERROR(IF(B73="","",VLOOKUP(B73,DATABASE!A:B,2,0)),"")</f>
        <v/>
      </c>
      <c r="D73" s="30" t="n"/>
      <c r="E73" s="31">
        <f>IF(B73="","",TODAY())</f>
        <v/>
      </c>
      <c r="F73" s="26" t="n"/>
      <c r="G73" s="26" t="n"/>
      <c r="H73" s="26" t="n"/>
      <c r="I73" s="30">
        <f>IFERROR(IF(OR(D73="",G73="",H73=""),"",ABS(PMT(G73%/12,H73,D73))),"")</f>
        <v/>
      </c>
      <c r="J73" s="26">
        <f>IF(B73="","","Active")</f>
        <v/>
      </c>
    </row>
    <row r="74">
      <c r="A74" s="42">
        <f>IF(B74="","","LN"&amp;TEXT(ROW()-2,"0000"))</f>
        <v/>
      </c>
      <c r="B74" s="43" t="n"/>
      <c r="C74" s="43">
        <f>IFERROR(IF(B74="","",VLOOKUP(B74,DATABASE!A:B,2,0)),"")</f>
        <v/>
      </c>
      <c r="D74" s="44" t="n"/>
      <c r="E74" s="45">
        <f>IF(B74="","",TODAY())</f>
        <v/>
      </c>
      <c r="F74" s="43" t="n"/>
      <c r="G74" s="43" t="n"/>
      <c r="H74" s="43" t="n"/>
      <c r="I74" s="44">
        <f>IFERROR(IF(OR(D74="",G74="",H74=""),"",ABS(PMT(G74%/12,H74,D74))),"")</f>
        <v/>
      </c>
      <c r="J74" s="43">
        <f>IF(B74="","","Active")</f>
        <v/>
      </c>
    </row>
    <row r="75">
      <c r="A75" s="41">
        <f>IF(B75="","","LN"&amp;TEXT(ROW()-2,"0000"))</f>
        <v/>
      </c>
      <c r="B75" s="26" t="n"/>
      <c r="C75" s="26">
        <f>IFERROR(IF(B75="","",VLOOKUP(B75,DATABASE!A:B,2,0)),"")</f>
        <v/>
      </c>
      <c r="D75" s="30" t="n"/>
      <c r="E75" s="31">
        <f>IF(B75="","",TODAY())</f>
        <v/>
      </c>
      <c r="F75" s="26" t="n"/>
      <c r="G75" s="26" t="n"/>
      <c r="H75" s="26" t="n"/>
      <c r="I75" s="30">
        <f>IFERROR(IF(OR(D75="",G75="",H75=""),"",ABS(PMT(G75%/12,H75,D75))),"")</f>
        <v/>
      </c>
      <c r="J75" s="26">
        <f>IF(B75="","","Active")</f>
        <v/>
      </c>
    </row>
    <row r="76">
      <c r="A76" s="42">
        <f>IF(B76="","","LN"&amp;TEXT(ROW()-2,"0000"))</f>
        <v/>
      </c>
      <c r="B76" s="43" t="n"/>
      <c r="C76" s="43">
        <f>IFERROR(IF(B76="","",VLOOKUP(B76,DATABASE!A:B,2,0)),"")</f>
        <v/>
      </c>
      <c r="D76" s="44" t="n"/>
      <c r="E76" s="45">
        <f>IF(B76="","",TODAY())</f>
        <v/>
      </c>
      <c r="F76" s="43" t="n"/>
      <c r="G76" s="43" t="n"/>
      <c r="H76" s="43" t="n"/>
      <c r="I76" s="44">
        <f>IFERROR(IF(OR(D76="",G76="",H76=""),"",ABS(PMT(G76%/12,H76,D76))),"")</f>
        <v/>
      </c>
      <c r="J76" s="43">
        <f>IF(B76="","","Active")</f>
        <v/>
      </c>
    </row>
    <row r="77">
      <c r="A77" s="41">
        <f>IF(B77="","","LN"&amp;TEXT(ROW()-2,"0000"))</f>
        <v/>
      </c>
      <c r="B77" s="26" t="n"/>
      <c r="C77" s="26">
        <f>IFERROR(IF(B77="","",VLOOKUP(B77,DATABASE!A:B,2,0)),"")</f>
        <v/>
      </c>
      <c r="D77" s="30" t="n"/>
      <c r="E77" s="31">
        <f>IF(B77="","",TODAY())</f>
        <v/>
      </c>
      <c r="F77" s="26" t="n"/>
      <c r="G77" s="26" t="n"/>
      <c r="H77" s="26" t="n"/>
      <c r="I77" s="30">
        <f>IFERROR(IF(OR(D77="",G77="",H77=""),"",ABS(PMT(G77%/12,H77,D77))),"")</f>
        <v/>
      </c>
      <c r="J77" s="26">
        <f>IF(B77="","","Active")</f>
        <v/>
      </c>
    </row>
    <row r="78">
      <c r="A78" s="42">
        <f>IF(B78="","","LN"&amp;TEXT(ROW()-2,"0000"))</f>
        <v/>
      </c>
      <c r="B78" s="43" t="n"/>
      <c r="C78" s="43">
        <f>IFERROR(IF(B78="","",VLOOKUP(B78,DATABASE!A:B,2,0)),"")</f>
        <v/>
      </c>
      <c r="D78" s="44" t="n"/>
      <c r="E78" s="45">
        <f>IF(B78="","",TODAY())</f>
        <v/>
      </c>
      <c r="F78" s="43" t="n"/>
      <c r="G78" s="43" t="n"/>
      <c r="H78" s="43" t="n"/>
      <c r="I78" s="44">
        <f>IFERROR(IF(OR(D78="",G78="",H78=""),"",ABS(PMT(G78%/12,H78,D78))),"")</f>
        <v/>
      </c>
      <c r="J78" s="43">
        <f>IF(B78="","","Active")</f>
        <v/>
      </c>
    </row>
    <row r="79">
      <c r="A79" s="41">
        <f>IF(B79="","","LN"&amp;TEXT(ROW()-2,"0000"))</f>
        <v/>
      </c>
      <c r="B79" s="26" t="n"/>
      <c r="C79" s="26">
        <f>IFERROR(IF(B79="","",VLOOKUP(B79,DATABASE!A:B,2,0)),"")</f>
        <v/>
      </c>
      <c r="D79" s="30" t="n"/>
      <c r="E79" s="31">
        <f>IF(B79="","",TODAY())</f>
        <v/>
      </c>
      <c r="F79" s="26" t="n"/>
      <c r="G79" s="26" t="n"/>
      <c r="H79" s="26" t="n"/>
      <c r="I79" s="30">
        <f>IFERROR(IF(OR(D79="",G79="",H79=""),"",ABS(PMT(G79%/12,H79,D79))),"")</f>
        <v/>
      </c>
      <c r="J79" s="26">
        <f>IF(B79="","","Active")</f>
        <v/>
      </c>
    </row>
    <row r="80">
      <c r="A80" s="42">
        <f>IF(B80="","","LN"&amp;TEXT(ROW()-2,"0000"))</f>
        <v/>
      </c>
      <c r="B80" s="43" t="n"/>
      <c r="C80" s="43">
        <f>IFERROR(IF(B80="","",VLOOKUP(B80,DATABASE!A:B,2,0)),"")</f>
        <v/>
      </c>
      <c r="D80" s="44" t="n"/>
      <c r="E80" s="45">
        <f>IF(B80="","",TODAY())</f>
        <v/>
      </c>
      <c r="F80" s="43" t="n"/>
      <c r="G80" s="43" t="n"/>
      <c r="H80" s="43" t="n"/>
      <c r="I80" s="44">
        <f>IFERROR(IF(OR(D80="",G80="",H80=""),"",ABS(PMT(G80%/12,H80,D80))),"")</f>
        <v/>
      </c>
      <c r="J80" s="43">
        <f>IF(B80="","","Active")</f>
        <v/>
      </c>
    </row>
    <row r="81">
      <c r="A81" s="41">
        <f>IF(B81="","","LN"&amp;TEXT(ROW()-2,"0000"))</f>
        <v/>
      </c>
      <c r="B81" s="26" t="n"/>
      <c r="C81" s="26">
        <f>IFERROR(IF(B81="","",VLOOKUP(B81,DATABASE!A:B,2,0)),"")</f>
        <v/>
      </c>
      <c r="D81" s="30" t="n"/>
      <c r="E81" s="31">
        <f>IF(B81="","",TODAY())</f>
        <v/>
      </c>
      <c r="F81" s="26" t="n"/>
      <c r="G81" s="26" t="n"/>
      <c r="H81" s="26" t="n"/>
      <c r="I81" s="30">
        <f>IFERROR(IF(OR(D81="",G81="",H81=""),"",ABS(PMT(G81%/12,H81,D81))),"")</f>
        <v/>
      </c>
      <c r="J81" s="26">
        <f>IF(B81="","","Active")</f>
        <v/>
      </c>
    </row>
    <row r="82">
      <c r="A82" s="42">
        <f>IF(B82="","","LN"&amp;TEXT(ROW()-2,"0000"))</f>
        <v/>
      </c>
      <c r="B82" s="43" t="n"/>
      <c r="C82" s="43">
        <f>IFERROR(IF(B82="","",VLOOKUP(B82,DATABASE!A:B,2,0)),"")</f>
        <v/>
      </c>
      <c r="D82" s="44" t="n"/>
      <c r="E82" s="45">
        <f>IF(B82="","",TODAY())</f>
        <v/>
      </c>
      <c r="F82" s="43" t="n"/>
      <c r="G82" s="43" t="n"/>
      <c r="H82" s="43" t="n"/>
      <c r="I82" s="44">
        <f>IFERROR(IF(OR(D82="",G82="",H82=""),"",ABS(PMT(G82%/12,H82,D82))),"")</f>
        <v/>
      </c>
      <c r="J82" s="43">
        <f>IF(B82="","","Active")</f>
        <v/>
      </c>
    </row>
    <row r="83">
      <c r="A83" s="41">
        <f>IF(B83="","","LN"&amp;TEXT(ROW()-2,"0000"))</f>
        <v/>
      </c>
      <c r="B83" s="26" t="n"/>
      <c r="C83" s="26">
        <f>IFERROR(IF(B83="","",VLOOKUP(B83,DATABASE!A:B,2,0)),"")</f>
        <v/>
      </c>
      <c r="D83" s="30" t="n"/>
      <c r="E83" s="31">
        <f>IF(B83="","",TODAY())</f>
        <v/>
      </c>
      <c r="F83" s="26" t="n"/>
      <c r="G83" s="26" t="n"/>
      <c r="H83" s="26" t="n"/>
      <c r="I83" s="30">
        <f>IFERROR(IF(OR(D83="",G83="",H83=""),"",ABS(PMT(G83%/12,H83,D83))),"")</f>
        <v/>
      </c>
      <c r="J83" s="26">
        <f>IF(B83="","","Active")</f>
        <v/>
      </c>
    </row>
    <row r="84">
      <c r="A84" s="42">
        <f>IF(B84="","","LN"&amp;TEXT(ROW()-2,"0000"))</f>
        <v/>
      </c>
      <c r="B84" s="43" t="n"/>
      <c r="C84" s="43">
        <f>IFERROR(IF(B84="","",VLOOKUP(B84,DATABASE!A:B,2,0)),"")</f>
        <v/>
      </c>
      <c r="D84" s="44" t="n"/>
      <c r="E84" s="45">
        <f>IF(B84="","",TODAY())</f>
        <v/>
      </c>
      <c r="F84" s="43" t="n"/>
      <c r="G84" s="43" t="n"/>
      <c r="H84" s="43" t="n"/>
      <c r="I84" s="44">
        <f>IFERROR(IF(OR(D84="",G84="",H84=""),"",ABS(PMT(G84%/12,H84,D84))),"")</f>
        <v/>
      </c>
      <c r="J84" s="43">
        <f>IF(B84="","","Active")</f>
        <v/>
      </c>
    </row>
    <row r="85">
      <c r="A85" s="41">
        <f>IF(B85="","","LN"&amp;TEXT(ROW()-2,"0000"))</f>
        <v/>
      </c>
      <c r="B85" s="26" t="n"/>
      <c r="C85" s="26">
        <f>IFERROR(IF(B85="","",VLOOKUP(B85,DATABASE!A:B,2,0)),"")</f>
        <v/>
      </c>
      <c r="D85" s="30" t="n"/>
      <c r="E85" s="31">
        <f>IF(B85="","",TODAY())</f>
        <v/>
      </c>
      <c r="F85" s="26" t="n"/>
      <c r="G85" s="26" t="n"/>
      <c r="H85" s="26" t="n"/>
      <c r="I85" s="30">
        <f>IFERROR(IF(OR(D85="",G85="",H85=""),"",ABS(PMT(G85%/12,H85,D85))),"")</f>
        <v/>
      </c>
      <c r="J85" s="26">
        <f>IF(B85="","","Active")</f>
        <v/>
      </c>
    </row>
    <row r="86">
      <c r="A86" s="42">
        <f>IF(B86="","","LN"&amp;TEXT(ROW()-2,"0000"))</f>
        <v/>
      </c>
      <c r="B86" s="43" t="n"/>
      <c r="C86" s="43">
        <f>IFERROR(IF(B86="","",VLOOKUP(B86,DATABASE!A:B,2,0)),"")</f>
        <v/>
      </c>
      <c r="D86" s="44" t="n"/>
      <c r="E86" s="45">
        <f>IF(B86="","",TODAY())</f>
        <v/>
      </c>
      <c r="F86" s="43" t="n"/>
      <c r="G86" s="43" t="n"/>
      <c r="H86" s="43" t="n"/>
      <c r="I86" s="44">
        <f>IFERROR(IF(OR(D86="",G86="",H86=""),"",ABS(PMT(G86%/12,H86,D86))),"")</f>
        <v/>
      </c>
      <c r="J86" s="43">
        <f>IF(B86="","","Active")</f>
        <v/>
      </c>
    </row>
    <row r="87">
      <c r="A87" s="41">
        <f>IF(B87="","","LN"&amp;TEXT(ROW()-2,"0000"))</f>
        <v/>
      </c>
      <c r="B87" s="26" t="n"/>
      <c r="C87" s="26">
        <f>IFERROR(IF(B87="","",VLOOKUP(B87,DATABASE!A:B,2,0)),"")</f>
        <v/>
      </c>
      <c r="D87" s="30" t="n"/>
      <c r="E87" s="31">
        <f>IF(B87="","",TODAY())</f>
        <v/>
      </c>
      <c r="F87" s="26" t="n"/>
      <c r="G87" s="26" t="n"/>
      <c r="H87" s="26" t="n"/>
      <c r="I87" s="30">
        <f>IFERROR(IF(OR(D87="",G87="",H87=""),"",ABS(PMT(G87%/12,H87,D87))),"")</f>
        <v/>
      </c>
      <c r="J87" s="26">
        <f>IF(B87="","","Active")</f>
        <v/>
      </c>
    </row>
    <row r="88">
      <c r="A88" s="42">
        <f>IF(B88="","","LN"&amp;TEXT(ROW()-2,"0000"))</f>
        <v/>
      </c>
      <c r="B88" s="43" t="n"/>
      <c r="C88" s="43">
        <f>IFERROR(IF(B88="","",VLOOKUP(B88,DATABASE!A:B,2,0)),"")</f>
        <v/>
      </c>
      <c r="D88" s="44" t="n"/>
      <c r="E88" s="45">
        <f>IF(B88="","",TODAY())</f>
        <v/>
      </c>
      <c r="F88" s="43" t="n"/>
      <c r="G88" s="43" t="n"/>
      <c r="H88" s="43" t="n"/>
      <c r="I88" s="44">
        <f>IFERROR(IF(OR(D88="",G88="",H88=""),"",ABS(PMT(G88%/12,H88,D88))),"")</f>
        <v/>
      </c>
      <c r="J88" s="43">
        <f>IF(B88="","","Active")</f>
        <v/>
      </c>
    </row>
    <row r="89">
      <c r="A89" s="41">
        <f>IF(B89="","","LN"&amp;TEXT(ROW()-2,"0000"))</f>
        <v/>
      </c>
      <c r="B89" s="26" t="n"/>
      <c r="C89" s="26">
        <f>IFERROR(IF(B89="","",VLOOKUP(B89,DATABASE!A:B,2,0)),"")</f>
        <v/>
      </c>
      <c r="D89" s="30" t="n"/>
      <c r="E89" s="31">
        <f>IF(B89="","",TODAY())</f>
        <v/>
      </c>
      <c r="F89" s="26" t="n"/>
      <c r="G89" s="26" t="n"/>
      <c r="H89" s="26" t="n"/>
      <c r="I89" s="30">
        <f>IFERROR(IF(OR(D89="",G89="",H89=""),"",ABS(PMT(G89%/12,H89,D89))),"")</f>
        <v/>
      </c>
      <c r="J89" s="26">
        <f>IF(B89="","","Active")</f>
        <v/>
      </c>
    </row>
    <row r="90">
      <c r="A90" s="42">
        <f>IF(B90="","","LN"&amp;TEXT(ROW()-2,"0000"))</f>
        <v/>
      </c>
      <c r="B90" s="43" t="n"/>
      <c r="C90" s="43">
        <f>IFERROR(IF(B90="","",VLOOKUP(B90,DATABASE!A:B,2,0)),"")</f>
        <v/>
      </c>
      <c r="D90" s="44" t="n"/>
      <c r="E90" s="45">
        <f>IF(B90="","",TODAY())</f>
        <v/>
      </c>
      <c r="F90" s="43" t="n"/>
      <c r="G90" s="43" t="n"/>
      <c r="H90" s="43" t="n"/>
      <c r="I90" s="44">
        <f>IFERROR(IF(OR(D90="",G90="",H90=""),"",ABS(PMT(G90%/12,H90,D90))),"")</f>
        <v/>
      </c>
      <c r="J90" s="43">
        <f>IF(B90="","","Active")</f>
        <v/>
      </c>
    </row>
    <row r="91">
      <c r="A91" s="41">
        <f>IF(B91="","","LN"&amp;TEXT(ROW()-2,"0000"))</f>
        <v/>
      </c>
      <c r="B91" s="26" t="n"/>
      <c r="C91" s="26">
        <f>IFERROR(IF(B91="","",VLOOKUP(B91,DATABASE!A:B,2,0)),"")</f>
        <v/>
      </c>
      <c r="D91" s="30" t="n"/>
      <c r="E91" s="31">
        <f>IF(B91="","",TODAY())</f>
        <v/>
      </c>
      <c r="F91" s="26" t="n"/>
      <c r="G91" s="26" t="n"/>
      <c r="H91" s="26" t="n"/>
      <c r="I91" s="30">
        <f>IFERROR(IF(OR(D91="",G91="",H91=""),"",ABS(PMT(G91%/12,H91,D91))),"")</f>
        <v/>
      </c>
      <c r="J91" s="26">
        <f>IF(B91="","","Active")</f>
        <v/>
      </c>
    </row>
    <row r="92">
      <c r="A92" s="42">
        <f>IF(B92="","","LN"&amp;TEXT(ROW()-2,"0000"))</f>
        <v/>
      </c>
      <c r="B92" s="43" t="n"/>
      <c r="C92" s="43">
        <f>IFERROR(IF(B92="","",VLOOKUP(B92,DATABASE!A:B,2,0)),"")</f>
        <v/>
      </c>
      <c r="D92" s="44" t="n"/>
      <c r="E92" s="45">
        <f>IF(B92="","",TODAY())</f>
        <v/>
      </c>
      <c r="F92" s="43" t="n"/>
      <c r="G92" s="43" t="n"/>
      <c r="H92" s="43" t="n"/>
      <c r="I92" s="44">
        <f>IFERROR(IF(OR(D92="",G92="",H92=""),"",ABS(PMT(G92%/12,H92,D92))),"")</f>
        <v/>
      </c>
      <c r="J92" s="43">
        <f>IF(B92="","","Active")</f>
        <v/>
      </c>
    </row>
    <row r="93">
      <c r="A93" s="41">
        <f>IF(B93="","","LN"&amp;TEXT(ROW()-2,"0000"))</f>
        <v/>
      </c>
      <c r="B93" s="26" t="n"/>
      <c r="C93" s="26">
        <f>IFERROR(IF(B93="","",VLOOKUP(B93,DATABASE!A:B,2,0)),"")</f>
        <v/>
      </c>
      <c r="D93" s="30" t="n"/>
      <c r="E93" s="31">
        <f>IF(B93="","",TODAY())</f>
        <v/>
      </c>
      <c r="F93" s="26" t="n"/>
      <c r="G93" s="26" t="n"/>
      <c r="H93" s="26" t="n"/>
      <c r="I93" s="30">
        <f>IFERROR(IF(OR(D93="",G93="",H93=""),"",ABS(PMT(G93%/12,H93,D93))),"")</f>
        <v/>
      </c>
      <c r="J93" s="26">
        <f>IF(B93="","","Active")</f>
        <v/>
      </c>
    </row>
    <row r="94">
      <c r="A94" s="42">
        <f>IF(B94="","","LN"&amp;TEXT(ROW()-2,"0000"))</f>
        <v/>
      </c>
      <c r="B94" s="43" t="n"/>
      <c r="C94" s="43">
        <f>IFERROR(IF(B94="","",VLOOKUP(B94,DATABASE!A:B,2,0)),"")</f>
        <v/>
      </c>
      <c r="D94" s="44" t="n"/>
      <c r="E94" s="45">
        <f>IF(B94="","",TODAY())</f>
        <v/>
      </c>
      <c r="F94" s="43" t="n"/>
      <c r="G94" s="43" t="n"/>
      <c r="H94" s="43" t="n"/>
      <c r="I94" s="44">
        <f>IFERROR(IF(OR(D94="",G94="",H94=""),"",ABS(PMT(G94%/12,H94,D94))),"")</f>
        <v/>
      </c>
      <c r="J94" s="43">
        <f>IF(B94="","","Active")</f>
        <v/>
      </c>
    </row>
    <row r="95">
      <c r="A95" s="41">
        <f>IF(B95="","","LN"&amp;TEXT(ROW()-2,"0000"))</f>
        <v/>
      </c>
      <c r="B95" s="26" t="n"/>
      <c r="C95" s="26">
        <f>IFERROR(IF(B95="","",VLOOKUP(B95,DATABASE!A:B,2,0)),"")</f>
        <v/>
      </c>
      <c r="D95" s="30" t="n"/>
      <c r="E95" s="31">
        <f>IF(B95="","",TODAY())</f>
        <v/>
      </c>
      <c r="F95" s="26" t="n"/>
      <c r="G95" s="26" t="n"/>
      <c r="H95" s="26" t="n"/>
      <c r="I95" s="30">
        <f>IFERROR(IF(OR(D95="",G95="",H95=""),"",ABS(PMT(G95%/12,H95,D95))),"")</f>
        <v/>
      </c>
      <c r="J95" s="26">
        <f>IF(B95="","","Active")</f>
        <v/>
      </c>
    </row>
    <row r="96">
      <c r="A96" s="42">
        <f>IF(B96="","","LN"&amp;TEXT(ROW()-2,"0000"))</f>
        <v/>
      </c>
      <c r="B96" s="43" t="n"/>
      <c r="C96" s="43">
        <f>IFERROR(IF(B96="","",VLOOKUP(B96,DATABASE!A:B,2,0)),"")</f>
        <v/>
      </c>
      <c r="D96" s="44" t="n"/>
      <c r="E96" s="45">
        <f>IF(B96="","",TODAY())</f>
        <v/>
      </c>
      <c r="F96" s="43" t="n"/>
      <c r="G96" s="43" t="n"/>
      <c r="H96" s="43" t="n"/>
      <c r="I96" s="44">
        <f>IFERROR(IF(OR(D96="",G96="",H96=""),"",ABS(PMT(G96%/12,H96,D96))),"")</f>
        <v/>
      </c>
      <c r="J96" s="43">
        <f>IF(B96="","","Active")</f>
        <v/>
      </c>
    </row>
    <row r="97">
      <c r="A97" s="41">
        <f>IF(B97="","","LN"&amp;TEXT(ROW()-2,"0000"))</f>
        <v/>
      </c>
      <c r="B97" s="26" t="n"/>
      <c r="C97" s="26">
        <f>IFERROR(IF(B97="","",VLOOKUP(B97,DATABASE!A:B,2,0)),"")</f>
        <v/>
      </c>
      <c r="D97" s="30" t="n"/>
      <c r="E97" s="31">
        <f>IF(B97="","",TODAY())</f>
        <v/>
      </c>
      <c r="F97" s="26" t="n"/>
      <c r="G97" s="26" t="n"/>
      <c r="H97" s="26" t="n"/>
      <c r="I97" s="30">
        <f>IFERROR(IF(OR(D97="",G97="",H97=""),"",ABS(PMT(G97%/12,H97,D97))),"")</f>
        <v/>
      </c>
      <c r="J97" s="26">
        <f>IF(B97="","","Active")</f>
        <v/>
      </c>
    </row>
    <row r="98">
      <c r="A98" s="42">
        <f>IF(B98="","","LN"&amp;TEXT(ROW()-2,"0000"))</f>
        <v/>
      </c>
      <c r="B98" s="43" t="n"/>
      <c r="C98" s="43">
        <f>IFERROR(IF(B98="","",VLOOKUP(B98,DATABASE!A:B,2,0)),"")</f>
        <v/>
      </c>
      <c r="D98" s="44" t="n"/>
      <c r="E98" s="45">
        <f>IF(B98="","",TODAY())</f>
        <v/>
      </c>
      <c r="F98" s="43" t="n"/>
      <c r="G98" s="43" t="n"/>
      <c r="H98" s="43" t="n"/>
      <c r="I98" s="44">
        <f>IFERROR(IF(OR(D98="",G98="",H98=""),"",ABS(PMT(G98%/12,H98,D98))),"")</f>
        <v/>
      </c>
      <c r="J98" s="43">
        <f>IF(B98="","","Active")</f>
        <v/>
      </c>
    </row>
    <row r="99">
      <c r="A99" s="41">
        <f>IF(B99="","","LN"&amp;TEXT(ROW()-2,"0000"))</f>
        <v/>
      </c>
      <c r="B99" s="26" t="n"/>
      <c r="C99" s="26">
        <f>IFERROR(IF(B99="","",VLOOKUP(B99,DATABASE!A:B,2,0)),"")</f>
        <v/>
      </c>
      <c r="D99" s="30" t="n"/>
      <c r="E99" s="31">
        <f>IF(B99="","",TODAY())</f>
        <v/>
      </c>
      <c r="F99" s="26" t="n"/>
      <c r="G99" s="26" t="n"/>
      <c r="H99" s="26" t="n"/>
      <c r="I99" s="30">
        <f>IFERROR(IF(OR(D99="",G99="",H99=""),"",ABS(PMT(G99%/12,H99,D99))),"")</f>
        <v/>
      </c>
      <c r="J99" s="26">
        <f>IF(B99="","","Active")</f>
        <v/>
      </c>
    </row>
    <row r="100">
      <c r="A100" s="42">
        <f>IF(B100="","","LN"&amp;TEXT(ROW()-2,"0000"))</f>
        <v/>
      </c>
      <c r="B100" s="43" t="n"/>
      <c r="C100" s="43">
        <f>IFERROR(IF(B100="","",VLOOKUP(B100,DATABASE!A:B,2,0)),"")</f>
        <v/>
      </c>
      <c r="D100" s="44" t="n"/>
      <c r="E100" s="45">
        <f>IF(B100="","",TODAY())</f>
        <v/>
      </c>
      <c r="F100" s="43" t="n"/>
      <c r="G100" s="43" t="n"/>
      <c r="H100" s="43" t="n"/>
      <c r="I100" s="44">
        <f>IFERROR(IF(OR(D100="",G100="",H100=""),"",ABS(PMT(G100%/12,H100,D100))),"")</f>
        <v/>
      </c>
      <c r="J100" s="43">
        <f>IF(B100="","","Active")</f>
        <v/>
      </c>
    </row>
    <row r="101">
      <c r="A101" s="41">
        <f>IF(B101="","","LN"&amp;TEXT(ROW()-2,"0000"))</f>
        <v/>
      </c>
      <c r="B101" s="26" t="n"/>
      <c r="C101" s="26">
        <f>IFERROR(IF(B101="","",VLOOKUP(B101,DATABASE!A:B,2,0)),"")</f>
        <v/>
      </c>
      <c r="D101" s="30" t="n"/>
      <c r="E101" s="31">
        <f>IF(B101="","",TODAY())</f>
        <v/>
      </c>
      <c r="F101" s="26" t="n"/>
      <c r="G101" s="26" t="n"/>
      <c r="H101" s="26" t="n"/>
      <c r="I101" s="30">
        <f>IFERROR(IF(OR(D101="",G101="",H101=""),"",ABS(PMT(G101%/12,H101,D101))),"")</f>
        <v/>
      </c>
      <c r="J101" s="26">
        <f>IF(B101="","","Active")</f>
        <v/>
      </c>
    </row>
    <row r="102">
      <c r="A102" s="42">
        <f>IF(B102="","","LN"&amp;TEXT(ROW()-2,"0000"))</f>
        <v/>
      </c>
      <c r="B102" s="43" t="n"/>
      <c r="C102" s="43">
        <f>IFERROR(IF(B102="","",VLOOKUP(B102,DATABASE!A:B,2,0)),"")</f>
        <v/>
      </c>
      <c r="D102" s="44" t="n"/>
      <c r="E102" s="45">
        <f>IF(B102="","",TODAY())</f>
        <v/>
      </c>
      <c r="F102" s="43" t="n"/>
      <c r="G102" s="43" t="n"/>
      <c r="H102" s="43" t="n"/>
      <c r="I102" s="44">
        <f>IFERROR(IF(OR(D102="",G102="",H102=""),"",ABS(PMT(G102%/12,H102,D102))),"")</f>
        <v/>
      </c>
      <c r="J102" s="43">
        <f>IF(B102="","","Active")</f>
        <v/>
      </c>
    </row>
    <row r="103">
      <c r="A103" s="41">
        <f>IF(B103="","","LN"&amp;TEXT(ROW()-2,"0000"))</f>
        <v/>
      </c>
      <c r="B103" s="26" t="n"/>
      <c r="C103" s="26">
        <f>IFERROR(IF(B103="","",VLOOKUP(B103,DATABASE!A:B,2,0)),"")</f>
        <v/>
      </c>
      <c r="D103" s="30" t="n"/>
      <c r="E103" s="31">
        <f>IF(B103="","",TODAY())</f>
        <v/>
      </c>
      <c r="F103" s="26" t="n"/>
      <c r="G103" s="26" t="n"/>
      <c r="H103" s="26" t="n"/>
      <c r="I103" s="30">
        <f>IFERROR(IF(OR(D103="",G103="",H103=""),"",ABS(PMT(G103%/12,H103,D103))),"")</f>
        <v/>
      </c>
      <c r="J103" s="26">
        <f>IF(B103="","","Active")</f>
        <v/>
      </c>
    </row>
    <row r="104">
      <c r="A104" s="42">
        <f>IF(B104="","","LN"&amp;TEXT(ROW()-2,"0000"))</f>
        <v/>
      </c>
      <c r="B104" s="43" t="n"/>
      <c r="C104" s="43">
        <f>IFERROR(IF(B104="","",VLOOKUP(B104,DATABASE!A:B,2,0)),"")</f>
        <v/>
      </c>
      <c r="D104" s="44" t="n"/>
      <c r="E104" s="45">
        <f>IF(B104="","",TODAY())</f>
        <v/>
      </c>
      <c r="F104" s="43" t="n"/>
      <c r="G104" s="43" t="n"/>
      <c r="H104" s="43" t="n"/>
      <c r="I104" s="44">
        <f>IFERROR(IF(OR(D104="",G104="",H104=""),"",ABS(PMT(G104%/12,H104,D104))),"")</f>
        <v/>
      </c>
      <c r="J104" s="43">
        <f>IF(B104="","","Active")</f>
        <v/>
      </c>
    </row>
    <row r="105">
      <c r="A105" s="41">
        <f>IF(B105="","","LN"&amp;TEXT(ROW()-2,"0000"))</f>
        <v/>
      </c>
      <c r="B105" s="26" t="n"/>
      <c r="C105" s="26">
        <f>IFERROR(IF(B105="","",VLOOKUP(B105,DATABASE!A:B,2,0)),"")</f>
        <v/>
      </c>
      <c r="D105" s="30" t="n"/>
      <c r="E105" s="31">
        <f>IF(B105="","",TODAY())</f>
        <v/>
      </c>
      <c r="F105" s="26" t="n"/>
      <c r="G105" s="26" t="n"/>
      <c r="H105" s="26" t="n"/>
      <c r="I105" s="30">
        <f>IFERROR(IF(OR(D105="",G105="",H105=""),"",ABS(PMT(G105%/12,H105,D105))),"")</f>
        <v/>
      </c>
      <c r="J105" s="26">
        <f>IF(B105="","","Active")</f>
        <v/>
      </c>
    </row>
    <row r="106">
      <c r="A106" s="42">
        <f>IF(B106="","","LN"&amp;TEXT(ROW()-2,"0000"))</f>
        <v/>
      </c>
      <c r="B106" s="43" t="n"/>
      <c r="C106" s="43">
        <f>IFERROR(IF(B106="","",VLOOKUP(B106,DATABASE!A:B,2,0)),"")</f>
        <v/>
      </c>
      <c r="D106" s="44" t="n"/>
      <c r="E106" s="45">
        <f>IF(B106="","",TODAY())</f>
        <v/>
      </c>
      <c r="F106" s="43" t="n"/>
      <c r="G106" s="43" t="n"/>
      <c r="H106" s="43" t="n"/>
      <c r="I106" s="44">
        <f>IFERROR(IF(OR(D106="",G106="",H106=""),"",ABS(PMT(G106%/12,H106,D106))),"")</f>
        <v/>
      </c>
      <c r="J106" s="43">
        <f>IF(B106="","","Active")</f>
        <v/>
      </c>
    </row>
    <row r="107">
      <c r="A107" s="41">
        <f>IF(B107="","","LN"&amp;TEXT(ROW()-2,"0000"))</f>
        <v/>
      </c>
      <c r="B107" s="26" t="n"/>
      <c r="C107" s="26">
        <f>IFERROR(IF(B107="","",VLOOKUP(B107,DATABASE!A:B,2,0)),"")</f>
        <v/>
      </c>
      <c r="D107" s="30" t="n"/>
      <c r="E107" s="31">
        <f>IF(B107="","",TODAY())</f>
        <v/>
      </c>
      <c r="F107" s="26" t="n"/>
      <c r="G107" s="26" t="n"/>
      <c r="H107" s="26" t="n"/>
      <c r="I107" s="30">
        <f>IFERROR(IF(OR(D107="",G107="",H107=""),"",ABS(PMT(G107%/12,H107,D107))),"")</f>
        <v/>
      </c>
      <c r="J107" s="26">
        <f>IF(B107="","","Active")</f>
        <v/>
      </c>
    </row>
    <row r="108">
      <c r="A108" s="42">
        <f>IF(B108="","","LN"&amp;TEXT(ROW()-2,"0000"))</f>
        <v/>
      </c>
      <c r="B108" s="43" t="n"/>
      <c r="C108" s="43">
        <f>IFERROR(IF(B108="","",VLOOKUP(B108,DATABASE!A:B,2,0)),"")</f>
        <v/>
      </c>
      <c r="D108" s="44" t="n"/>
      <c r="E108" s="45">
        <f>IF(B108="","",TODAY())</f>
        <v/>
      </c>
      <c r="F108" s="43" t="n"/>
      <c r="G108" s="43" t="n"/>
      <c r="H108" s="43" t="n"/>
      <c r="I108" s="44">
        <f>IFERROR(IF(OR(D108="",G108="",H108=""),"",ABS(PMT(G108%/12,H108,D108))),"")</f>
        <v/>
      </c>
      <c r="J108" s="43">
        <f>IF(B108="","","Active")</f>
        <v/>
      </c>
    </row>
    <row r="109">
      <c r="A109" s="41">
        <f>IF(B109="","","LN"&amp;TEXT(ROW()-2,"0000"))</f>
        <v/>
      </c>
      <c r="B109" s="26" t="n"/>
      <c r="C109" s="26">
        <f>IFERROR(IF(B109="","",VLOOKUP(B109,DATABASE!A:B,2,0)),"")</f>
        <v/>
      </c>
      <c r="D109" s="30" t="n"/>
      <c r="E109" s="31">
        <f>IF(B109="","",TODAY())</f>
        <v/>
      </c>
      <c r="F109" s="26" t="n"/>
      <c r="G109" s="26" t="n"/>
      <c r="H109" s="26" t="n"/>
      <c r="I109" s="30">
        <f>IFERROR(IF(OR(D109="",G109="",H109=""),"",ABS(PMT(G109%/12,H109,D109))),"")</f>
        <v/>
      </c>
      <c r="J109" s="26">
        <f>IF(B109="","","Active")</f>
        <v/>
      </c>
    </row>
    <row r="110">
      <c r="A110" s="42">
        <f>IF(B110="","","LN"&amp;TEXT(ROW()-2,"0000"))</f>
        <v/>
      </c>
      <c r="B110" s="43" t="n"/>
      <c r="C110" s="43">
        <f>IFERROR(IF(B110="","",VLOOKUP(B110,DATABASE!A:B,2,0)),"")</f>
        <v/>
      </c>
      <c r="D110" s="44" t="n"/>
      <c r="E110" s="45">
        <f>IF(B110="","",TODAY())</f>
        <v/>
      </c>
      <c r="F110" s="43" t="n"/>
      <c r="G110" s="43" t="n"/>
      <c r="H110" s="43" t="n"/>
      <c r="I110" s="44">
        <f>IFERROR(IF(OR(D110="",G110="",H110=""),"",ABS(PMT(G110%/12,H110,D110))),"")</f>
        <v/>
      </c>
      <c r="J110" s="43">
        <f>IF(B110="","","Active")</f>
        <v/>
      </c>
    </row>
    <row r="111">
      <c r="A111" s="41">
        <f>IF(B111="","","LN"&amp;TEXT(ROW()-2,"0000"))</f>
        <v/>
      </c>
      <c r="B111" s="26" t="n"/>
      <c r="C111" s="26">
        <f>IFERROR(IF(B111="","",VLOOKUP(B111,DATABASE!A:B,2,0)),"")</f>
        <v/>
      </c>
      <c r="D111" s="30" t="n"/>
      <c r="E111" s="31">
        <f>IF(B111="","",TODAY())</f>
        <v/>
      </c>
      <c r="F111" s="26" t="n"/>
      <c r="G111" s="26" t="n"/>
      <c r="H111" s="26" t="n"/>
      <c r="I111" s="30">
        <f>IFERROR(IF(OR(D111="",G111="",H111=""),"",ABS(PMT(G111%/12,H111,D111))),"")</f>
        <v/>
      </c>
      <c r="J111" s="26">
        <f>IF(B111="","","Active")</f>
        <v/>
      </c>
    </row>
    <row r="112">
      <c r="A112" s="42">
        <f>IF(B112="","","LN"&amp;TEXT(ROW()-2,"0000"))</f>
        <v/>
      </c>
      <c r="B112" s="43" t="n"/>
      <c r="C112" s="43">
        <f>IFERROR(IF(B112="","",VLOOKUP(B112,DATABASE!A:B,2,0)),"")</f>
        <v/>
      </c>
      <c r="D112" s="44" t="n"/>
      <c r="E112" s="45">
        <f>IF(B112="","",TODAY())</f>
        <v/>
      </c>
      <c r="F112" s="43" t="n"/>
      <c r="G112" s="43" t="n"/>
      <c r="H112" s="43" t="n"/>
      <c r="I112" s="44">
        <f>IFERROR(IF(OR(D112="",G112="",H112=""),"",ABS(PMT(G112%/12,H112,D112))),"")</f>
        <v/>
      </c>
      <c r="J112" s="43">
        <f>IF(B112="","","Active")</f>
        <v/>
      </c>
    </row>
    <row r="113">
      <c r="A113" s="41">
        <f>IF(B113="","","LN"&amp;TEXT(ROW()-2,"0000"))</f>
        <v/>
      </c>
      <c r="B113" s="26" t="n"/>
      <c r="C113" s="26">
        <f>IFERROR(IF(B113="","",VLOOKUP(B113,DATABASE!A:B,2,0)),"")</f>
        <v/>
      </c>
      <c r="D113" s="30" t="n"/>
      <c r="E113" s="31">
        <f>IF(B113="","",TODAY())</f>
        <v/>
      </c>
      <c r="F113" s="26" t="n"/>
      <c r="G113" s="26" t="n"/>
      <c r="H113" s="26" t="n"/>
      <c r="I113" s="30">
        <f>IFERROR(IF(OR(D113="",G113="",H113=""),"",ABS(PMT(G113%/12,H113,D113))),"")</f>
        <v/>
      </c>
      <c r="J113" s="26">
        <f>IF(B113="","","Active")</f>
        <v/>
      </c>
    </row>
    <row r="114">
      <c r="A114" s="42">
        <f>IF(B114="","","LN"&amp;TEXT(ROW()-2,"0000"))</f>
        <v/>
      </c>
      <c r="B114" s="43" t="n"/>
      <c r="C114" s="43">
        <f>IFERROR(IF(B114="","",VLOOKUP(B114,DATABASE!A:B,2,0)),"")</f>
        <v/>
      </c>
      <c r="D114" s="44" t="n"/>
      <c r="E114" s="45">
        <f>IF(B114="","",TODAY())</f>
        <v/>
      </c>
      <c r="F114" s="43" t="n"/>
      <c r="G114" s="43" t="n"/>
      <c r="H114" s="43" t="n"/>
      <c r="I114" s="44">
        <f>IFERROR(IF(OR(D114="",G114="",H114=""),"",ABS(PMT(G114%/12,H114,D114))),"")</f>
        <v/>
      </c>
      <c r="J114" s="43">
        <f>IF(B114="","","Active")</f>
        <v/>
      </c>
    </row>
    <row r="115">
      <c r="A115" s="41">
        <f>IF(B115="","","LN"&amp;TEXT(ROW()-2,"0000"))</f>
        <v/>
      </c>
      <c r="B115" s="26" t="n"/>
      <c r="C115" s="26">
        <f>IFERROR(IF(B115="","",VLOOKUP(B115,DATABASE!A:B,2,0)),"")</f>
        <v/>
      </c>
      <c r="D115" s="30" t="n"/>
      <c r="E115" s="31">
        <f>IF(B115="","",TODAY())</f>
        <v/>
      </c>
      <c r="F115" s="26" t="n"/>
      <c r="G115" s="26" t="n"/>
      <c r="H115" s="26" t="n"/>
      <c r="I115" s="30">
        <f>IFERROR(IF(OR(D115="",G115="",H115=""),"",ABS(PMT(G115%/12,H115,D115))),"")</f>
        <v/>
      </c>
      <c r="J115" s="26">
        <f>IF(B115="","","Active")</f>
        <v/>
      </c>
    </row>
    <row r="116">
      <c r="A116" s="42">
        <f>IF(B116="","","LN"&amp;TEXT(ROW()-2,"0000"))</f>
        <v/>
      </c>
      <c r="B116" s="43" t="n"/>
      <c r="C116" s="43">
        <f>IFERROR(IF(B116="","",VLOOKUP(B116,DATABASE!A:B,2,0)),"")</f>
        <v/>
      </c>
      <c r="D116" s="44" t="n"/>
      <c r="E116" s="45">
        <f>IF(B116="","",TODAY())</f>
        <v/>
      </c>
      <c r="F116" s="43" t="n"/>
      <c r="G116" s="43" t="n"/>
      <c r="H116" s="43" t="n"/>
      <c r="I116" s="44">
        <f>IFERROR(IF(OR(D116="",G116="",H116=""),"",ABS(PMT(G116%/12,H116,D116))),"")</f>
        <v/>
      </c>
      <c r="J116" s="43">
        <f>IF(B116="","","Active")</f>
        <v/>
      </c>
    </row>
    <row r="117">
      <c r="A117" s="41">
        <f>IF(B117="","","LN"&amp;TEXT(ROW()-2,"0000"))</f>
        <v/>
      </c>
      <c r="B117" s="26" t="n"/>
      <c r="C117" s="26">
        <f>IFERROR(IF(B117="","",VLOOKUP(B117,DATABASE!A:B,2,0)),"")</f>
        <v/>
      </c>
      <c r="D117" s="30" t="n"/>
      <c r="E117" s="31">
        <f>IF(B117="","",TODAY())</f>
        <v/>
      </c>
      <c r="F117" s="26" t="n"/>
      <c r="G117" s="26" t="n"/>
      <c r="H117" s="26" t="n"/>
      <c r="I117" s="30">
        <f>IFERROR(IF(OR(D117="",G117="",H117=""),"",ABS(PMT(G117%/12,H117,D117))),"")</f>
        <v/>
      </c>
      <c r="J117" s="26">
        <f>IF(B117="","","Active")</f>
        <v/>
      </c>
    </row>
    <row r="118">
      <c r="A118" s="42">
        <f>IF(B118="","","LN"&amp;TEXT(ROW()-2,"0000"))</f>
        <v/>
      </c>
      <c r="B118" s="43" t="n"/>
      <c r="C118" s="43">
        <f>IFERROR(IF(B118="","",VLOOKUP(B118,DATABASE!A:B,2,0)),"")</f>
        <v/>
      </c>
      <c r="D118" s="44" t="n"/>
      <c r="E118" s="45">
        <f>IF(B118="","",TODAY())</f>
        <v/>
      </c>
      <c r="F118" s="43" t="n"/>
      <c r="G118" s="43" t="n"/>
      <c r="H118" s="43" t="n"/>
      <c r="I118" s="44">
        <f>IFERROR(IF(OR(D118="",G118="",H118=""),"",ABS(PMT(G118%/12,H118,D118))),"")</f>
        <v/>
      </c>
      <c r="J118" s="43">
        <f>IF(B118="","","Active")</f>
        <v/>
      </c>
    </row>
    <row r="119">
      <c r="A119" s="41">
        <f>IF(B119="","","LN"&amp;TEXT(ROW()-2,"0000"))</f>
        <v/>
      </c>
      <c r="B119" s="26" t="n"/>
      <c r="C119" s="26">
        <f>IFERROR(IF(B119="","",VLOOKUP(B119,DATABASE!A:B,2,0)),"")</f>
        <v/>
      </c>
      <c r="D119" s="30" t="n"/>
      <c r="E119" s="31">
        <f>IF(B119="","",TODAY())</f>
        <v/>
      </c>
      <c r="F119" s="26" t="n"/>
      <c r="G119" s="26" t="n"/>
      <c r="H119" s="26" t="n"/>
      <c r="I119" s="30">
        <f>IFERROR(IF(OR(D119="",G119="",H119=""),"",ABS(PMT(G119%/12,H119,D119))),"")</f>
        <v/>
      </c>
      <c r="J119" s="26">
        <f>IF(B119="","","Active")</f>
        <v/>
      </c>
    </row>
    <row r="120">
      <c r="A120" s="42">
        <f>IF(B120="","","LN"&amp;TEXT(ROW()-2,"0000"))</f>
        <v/>
      </c>
      <c r="B120" s="43" t="n"/>
      <c r="C120" s="43">
        <f>IFERROR(IF(B120="","",VLOOKUP(B120,DATABASE!A:B,2,0)),"")</f>
        <v/>
      </c>
      <c r="D120" s="44" t="n"/>
      <c r="E120" s="45">
        <f>IF(B120="","",TODAY())</f>
        <v/>
      </c>
      <c r="F120" s="43" t="n"/>
      <c r="G120" s="43" t="n"/>
      <c r="H120" s="43" t="n"/>
      <c r="I120" s="44">
        <f>IFERROR(IF(OR(D120="",G120="",H120=""),"",ABS(PMT(G120%/12,H120,D120))),"")</f>
        <v/>
      </c>
      <c r="J120" s="43">
        <f>IF(B120="","","Active")</f>
        <v/>
      </c>
    </row>
    <row r="121">
      <c r="A121" s="41">
        <f>IF(B121="","","LN"&amp;TEXT(ROW()-2,"0000"))</f>
        <v/>
      </c>
      <c r="B121" s="26" t="n"/>
      <c r="C121" s="26">
        <f>IFERROR(IF(B121="","",VLOOKUP(B121,DATABASE!A:B,2,0)),"")</f>
        <v/>
      </c>
      <c r="D121" s="30" t="n"/>
      <c r="E121" s="31">
        <f>IF(B121="","",TODAY())</f>
        <v/>
      </c>
      <c r="F121" s="26" t="n"/>
      <c r="G121" s="26" t="n"/>
      <c r="H121" s="26" t="n"/>
      <c r="I121" s="30">
        <f>IFERROR(IF(OR(D121="",G121="",H121=""),"",ABS(PMT(G121%/12,H121,D121))),"")</f>
        <v/>
      </c>
      <c r="J121" s="26">
        <f>IF(B121="","","Active")</f>
        <v/>
      </c>
    </row>
    <row r="122">
      <c r="A122" s="42">
        <f>IF(B122="","","LN"&amp;TEXT(ROW()-2,"0000"))</f>
        <v/>
      </c>
      <c r="B122" s="43" t="n"/>
      <c r="C122" s="43">
        <f>IFERROR(IF(B122="","",VLOOKUP(B122,DATABASE!A:B,2,0)),"")</f>
        <v/>
      </c>
      <c r="D122" s="44" t="n"/>
      <c r="E122" s="45">
        <f>IF(B122="","",TODAY())</f>
        <v/>
      </c>
      <c r="F122" s="43" t="n"/>
      <c r="G122" s="43" t="n"/>
      <c r="H122" s="43" t="n"/>
      <c r="I122" s="44">
        <f>IFERROR(IF(OR(D122="",G122="",H122=""),"",ABS(PMT(G122%/12,H122,D122))),"")</f>
        <v/>
      </c>
      <c r="J122" s="43">
        <f>IF(B122="","","Active")</f>
        <v/>
      </c>
    </row>
    <row r="123">
      <c r="A123" s="41">
        <f>IF(B123="","","LN"&amp;TEXT(ROW()-2,"0000"))</f>
        <v/>
      </c>
      <c r="B123" s="26" t="n"/>
      <c r="C123" s="26">
        <f>IFERROR(IF(B123="","",VLOOKUP(B123,DATABASE!A:B,2,0)),"")</f>
        <v/>
      </c>
      <c r="D123" s="30" t="n"/>
      <c r="E123" s="31">
        <f>IF(B123="","",TODAY())</f>
        <v/>
      </c>
      <c r="F123" s="26" t="n"/>
      <c r="G123" s="26" t="n"/>
      <c r="H123" s="26" t="n"/>
      <c r="I123" s="30">
        <f>IFERROR(IF(OR(D123="",G123="",H123=""),"",ABS(PMT(G123%/12,H123,D123))),"")</f>
        <v/>
      </c>
      <c r="J123" s="26">
        <f>IF(B123="","","Active")</f>
        <v/>
      </c>
    </row>
    <row r="124">
      <c r="A124" s="42">
        <f>IF(B124="","","LN"&amp;TEXT(ROW()-2,"0000"))</f>
        <v/>
      </c>
      <c r="B124" s="43" t="n"/>
      <c r="C124" s="43">
        <f>IFERROR(IF(B124="","",VLOOKUP(B124,DATABASE!A:B,2,0)),"")</f>
        <v/>
      </c>
      <c r="D124" s="44" t="n"/>
      <c r="E124" s="45">
        <f>IF(B124="","",TODAY())</f>
        <v/>
      </c>
      <c r="F124" s="43" t="n"/>
      <c r="G124" s="43" t="n"/>
      <c r="H124" s="43" t="n"/>
      <c r="I124" s="44">
        <f>IFERROR(IF(OR(D124="",G124="",H124=""),"",ABS(PMT(G124%/12,H124,D124))),"")</f>
        <v/>
      </c>
      <c r="J124" s="43">
        <f>IF(B124="","","Active")</f>
        <v/>
      </c>
    </row>
    <row r="125">
      <c r="A125" s="41">
        <f>IF(B125="","","LN"&amp;TEXT(ROW()-2,"0000"))</f>
        <v/>
      </c>
      <c r="B125" s="26" t="n"/>
      <c r="C125" s="26">
        <f>IFERROR(IF(B125="","",VLOOKUP(B125,DATABASE!A:B,2,0)),"")</f>
        <v/>
      </c>
      <c r="D125" s="30" t="n"/>
      <c r="E125" s="31">
        <f>IF(B125="","",TODAY())</f>
        <v/>
      </c>
      <c r="F125" s="26" t="n"/>
      <c r="G125" s="26" t="n"/>
      <c r="H125" s="26" t="n"/>
      <c r="I125" s="30">
        <f>IFERROR(IF(OR(D125="",G125="",H125=""),"",ABS(PMT(G125%/12,H125,D125))),"")</f>
        <v/>
      </c>
      <c r="J125" s="26">
        <f>IF(B125="","","Active")</f>
        <v/>
      </c>
    </row>
    <row r="126">
      <c r="A126" s="42">
        <f>IF(B126="","","LN"&amp;TEXT(ROW()-2,"0000"))</f>
        <v/>
      </c>
      <c r="B126" s="43" t="n"/>
      <c r="C126" s="43">
        <f>IFERROR(IF(B126="","",VLOOKUP(B126,DATABASE!A:B,2,0)),"")</f>
        <v/>
      </c>
      <c r="D126" s="44" t="n"/>
      <c r="E126" s="45">
        <f>IF(B126="","",TODAY())</f>
        <v/>
      </c>
      <c r="F126" s="43" t="n"/>
      <c r="G126" s="43" t="n"/>
      <c r="H126" s="43" t="n"/>
      <c r="I126" s="44">
        <f>IFERROR(IF(OR(D126="",G126="",H126=""),"",ABS(PMT(G126%/12,H126,D126))),"")</f>
        <v/>
      </c>
      <c r="J126" s="43">
        <f>IF(B126="","","Active")</f>
        <v/>
      </c>
    </row>
    <row r="127">
      <c r="A127" s="41">
        <f>IF(B127="","","LN"&amp;TEXT(ROW()-2,"0000"))</f>
        <v/>
      </c>
      <c r="B127" s="26" t="n"/>
      <c r="C127" s="26">
        <f>IFERROR(IF(B127="","",VLOOKUP(B127,DATABASE!A:B,2,0)),"")</f>
        <v/>
      </c>
      <c r="D127" s="30" t="n"/>
      <c r="E127" s="31">
        <f>IF(B127="","",TODAY())</f>
        <v/>
      </c>
      <c r="F127" s="26" t="n"/>
      <c r="G127" s="26" t="n"/>
      <c r="H127" s="26" t="n"/>
      <c r="I127" s="30">
        <f>IFERROR(IF(OR(D127="",G127="",H127=""),"",ABS(PMT(G127%/12,H127,D127))),"")</f>
        <v/>
      </c>
      <c r="J127" s="26">
        <f>IF(B127="","","Active")</f>
        <v/>
      </c>
    </row>
    <row r="128">
      <c r="A128" s="42">
        <f>IF(B128="","","LN"&amp;TEXT(ROW()-2,"0000"))</f>
        <v/>
      </c>
      <c r="B128" s="43" t="n"/>
      <c r="C128" s="43">
        <f>IFERROR(IF(B128="","",VLOOKUP(B128,DATABASE!A:B,2,0)),"")</f>
        <v/>
      </c>
      <c r="D128" s="44" t="n"/>
      <c r="E128" s="45">
        <f>IF(B128="","",TODAY())</f>
        <v/>
      </c>
      <c r="F128" s="43" t="n"/>
      <c r="G128" s="43" t="n"/>
      <c r="H128" s="43" t="n"/>
      <c r="I128" s="44">
        <f>IFERROR(IF(OR(D128="",G128="",H128=""),"",ABS(PMT(G128%/12,H128,D128))),"")</f>
        <v/>
      </c>
      <c r="J128" s="43">
        <f>IF(B128="","","Active")</f>
        <v/>
      </c>
    </row>
    <row r="129">
      <c r="A129" s="41">
        <f>IF(B129="","","LN"&amp;TEXT(ROW()-2,"0000"))</f>
        <v/>
      </c>
      <c r="B129" s="26" t="n"/>
      <c r="C129" s="26">
        <f>IFERROR(IF(B129="","",VLOOKUP(B129,DATABASE!A:B,2,0)),"")</f>
        <v/>
      </c>
      <c r="D129" s="30" t="n"/>
      <c r="E129" s="31">
        <f>IF(B129="","",TODAY())</f>
        <v/>
      </c>
      <c r="F129" s="26" t="n"/>
      <c r="G129" s="26" t="n"/>
      <c r="H129" s="26" t="n"/>
      <c r="I129" s="30">
        <f>IFERROR(IF(OR(D129="",G129="",H129=""),"",ABS(PMT(G129%/12,H129,D129))),"")</f>
        <v/>
      </c>
      <c r="J129" s="26">
        <f>IF(B129="","","Active")</f>
        <v/>
      </c>
    </row>
    <row r="130">
      <c r="A130" s="42">
        <f>IF(B130="","","LN"&amp;TEXT(ROW()-2,"0000"))</f>
        <v/>
      </c>
      <c r="B130" s="43" t="n"/>
      <c r="C130" s="43">
        <f>IFERROR(IF(B130="","",VLOOKUP(B130,DATABASE!A:B,2,0)),"")</f>
        <v/>
      </c>
      <c r="D130" s="44" t="n"/>
      <c r="E130" s="45">
        <f>IF(B130="","",TODAY())</f>
        <v/>
      </c>
      <c r="F130" s="43" t="n"/>
      <c r="G130" s="43" t="n"/>
      <c r="H130" s="43" t="n"/>
      <c r="I130" s="44">
        <f>IFERROR(IF(OR(D130="",G130="",H130=""),"",ABS(PMT(G130%/12,H130,D130))),"")</f>
        <v/>
      </c>
      <c r="J130" s="43">
        <f>IF(B130="","","Active")</f>
        <v/>
      </c>
    </row>
    <row r="131">
      <c r="A131" s="41">
        <f>IF(B131="","","LN"&amp;TEXT(ROW()-2,"0000"))</f>
        <v/>
      </c>
      <c r="B131" s="26" t="n"/>
      <c r="C131" s="26">
        <f>IFERROR(IF(B131="","",VLOOKUP(B131,DATABASE!A:B,2,0)),"")</f>
        <v/>
      </c>
      <c r="D131" s="30" t="n"/>
      <c r="E131" s="31">
        <f>IF(B131="","",TODAY())</f>
        <v/>
      </c>
      <c r="F131" s="26" t="n"/>
      <c r="G131" s="26" t="n"/>
      <c r="H131" s="26" t="n"/>
      <c r="I131" s="30">
        <f>IFERROR(IF(OR(D131="",G131="",H131=""),"",ABS(PMT(G131%/12,H131,D131))),"")</f>
        <v/>
      </c>
      <c r="J131" s="26">
        <f>IF(B131="","","Active")</f>
        <v/>
      </c>
    </row>
    <row r="132">
      <c r="A132" s="42">
        <f>IF(B132="","","LN"&amp;TEXT(ROW()-2,"0000"))</f>
        <v/>
      </c>
      <c r="B132" s="43" t="n"/>
      <c r="C132" s="43">
        <f>IFERROR(IF(B132="","",VLOOKUP(B132,DATABASE!A:B,2,0)),"")</f>
        <v/>
      </c>
      <c r="D132" s="44" t="n"/>
      <c r="E132" s="45">
        <f>IF(B132="","",TODAY())</f>
        <v/>
      </c>
      <c r="F132" s="43" t="n"/>
      <c r="G132" s="43" t="n"/>
      <c r="H132" s="43" t="n"/>
      <c r="I132" s="44">
        <f>IFERROR(IF(OR(D132="",G132="",H132=""),"",ABS(PMT(G132%/12,H132,D132))),"")</f>
        <v/>
      </c>
      <c r="J132" s="43">
        <f>IF(B132="","","Active")</f>
        <v/>
      </c>
    </row>
    <row r="133">
      <c r="A133" s="41">
        <f>IF(B133="","","LN"&amp;TEXT(ROW()-2,"0000"))</f>
        <v/>
      </c>
      <c r="B133" s="26" t="n"/>
      <c r="C133" s="26">
        <f>IFERROR(IF(B133="","",VLOOKUP(B133,DATABASE!A:B,2,0)),"")</f>
        <v/>
      </c>
      <c r="D133" s="30" t="n"/>
      <c r="E133" s="31">
        <f>IF(B133="","",TODAY())</f>
        <v/>
      </c>
      <c r="F133" s="26" t="n"/>
      <c r="G133" s="26" t="n"/>
      <c r="H133" s="26" t="n"/>
      <c r="I133" s="30">
        <f>IFERROR(IF(OR(D133="",G133="",H133=""),"",ABS(PMT(G133%/12,H133,D133))),"")</f>
        <v/>
      </c>
      <c r="J133" s="26">
        <f>IF(B133="","","Active")</f>
        <v/>
      </c>
    </row>
    <row r="134">
      <c r="A134" s="42">
        <f>IF(B134="","","LN"&amp;TEXT(ROW()-2,"0000"))</f>
        <v/>
      </c>
      <c r="B134" s="43" t="n"/>
      <c r="C134" s="43">
        <f>IFERROR(IF(B134="","",VLOOKUP(B134,DATABASE!A:B,2,0)),"")</f>
        <v/>
      </c>
      <c r="D134" s="44" t="n"/>
      <c r="E134" s="45">
        <f>IF(B134="","",TODAY())</f>
        <v/>
      </c>
      <c r="F134" s="43" t="n"/>
      <c r="G134" s="43" t="n"/>
      <c r="H134" s="43" t="n"/>
      <c r="I134" s="44">
        <f>IFERROR(IF(OR(D134="",G134="",H134=""),"",ABS(PMT(G134%/12,H134,D134))),"")</f>
        <v/>
      </c>
      <c r="J134" s="43">
        <f>IF(B134="","","Active")</f>
        <v/>
      </c>
    </row>
    <row r="135">
      <c r="A135" s="41">
        <f>IF(B135="","","LN"&amp;TEXT(ROW()-2,"0000"))</f>
        <v/>
      </c>
      <c r="B135" s="26" t="n"/>
      <c r="C135" s="26">
        <f>IFERROR(IF(B135="","",VLOOKUP(B135,DATABASE!A:B,2,0)),"")</f>
        <v/>
      </c>
      <c r="D135" s="30" t="n"/>
      <c r="E135" s="31">
        <f>IF(B135="","",TODAY())</f>
        <v/>
      </c>
      <c r="F135" s="26" t="n"/>
      <c r="G135" s="26" t="n"/>
      <c r="H135" s="26" t="n"/>
      <c r="I135" s="30">
        <f>IFERROR(IF(OR(D135="",G135="",H135=""),"",ABS(PMT(G135%/12,H135,D135))),"")</f>
        <v/>
      </c>
      <c r="J135" s="26">
        <f>IF(B135="","","Active")</f>
        <v/>
      </c>
    </row>
    <row r="136">
      <c r="A136" s="42">
        <f>IF(B136="","","LN"&amp;TEXT(ROW()-2,"0000"))</f>
        <v/>
      </c>
      <c r="B136" s="43" t="n"/>
      <c r="C136" s="43">
        <f>IFERROR(IF(B136="","",VLOOKUP(B136,DATABASE!A:B,2,0)),"")</f>
        <v/>
      </c>
      <c r="D136" s="44" t="n"/>
      <c r="E136" s="45">
        <f>IF(B136="","",TODAY())</f>
        <v/>
      </c>
      <c r="F136" s="43" t="n"/>
      <c r="G136" s="43" t="n"/>
      <c r="H136" s="43" t="n"/>
      <c r="I136" s="44">
        <f>IFERROR(IF(OR(D136="",G136="",H136=""),"",ABS(PMT(G136%/12,H136,D136))),"")</f>
        <v/>
      </c>
      <c r="J136" s="43">
        <f>IF(B136="","","Active")</f>
        <v/>
      </c>
    </row>
    <row r="137">
      <c r="A137" s="41">
        <f>IF(B137="","","LN"&amp;TEXT(ROW()-2,"0000"))</f>
        <v/>
      </c>
      <c r="B137" s="26" t="n"/>
      <c r="C137" s="26">
        <f>IFERROR(IF(B137="","",VLOOKUP(B137,DATABASE!A:B,2,0)),"")</f>
        <v/>
      </c>
      <c r="D137" s="30" t="n"/>
      <c r="E137" s="31">
        <f>IF(B137="","",TODAY())</f>
        <v/>
      </c>
      <c r="F137" s="26" t="n"/>
      <c r="G137" s="26" t="n"/>
      <c r="H137" s="26" t="n"/>
      <c r="I137" s="30">
        <f>IFERROR(IF(OR(D137="",G137="",H137=""),"",ABS(PMT(G137%/12,H137,D137))),"")</f>
        <v/>
      </c>
      <c r="J137" s="26">
        <f>IF(B137="","","Active")</f>
        <v/>
      </c>
    </row>
    <row r="138">
      <c r="A138" s="42">
        <f>IF(B138="","","LN"&amp;TEXT(ROW()-2,"0000"))</f>
        <v/>
      </c>
      <c r="B138" s="43" t="n"/>
      <c r="C138" s="43">
        <f>IFERROR(IF(B138="","",VLOOKUP(B138,DATABASE!A:B,2,0)),"")</f>
        <v/>
      </c>
      <c r="D138" s="44" t="n"/>
      <c r="E138" s="45">
        <f>IF(B138="","",TODAY())</f>
        <v/>
      </c>
      <c r="F138" s="43" t="n"/>
      <c r="G138" s="43" t="n"/>
      <c r="H138" s="43" t="n"/>
      <c r="I138" s="44">
        <f>IFERROR(IF(OR(D138="",G138="",H138=""),"",ABS(PMT(G138%/12,H138,D138))),"")</f>
        <v/>
      </c>
      <c r="J138" s="43">
        <f>IF(B138="","","Active")</f>
        <v/>
      </c>
    </row>
    <row r="139">
      <c r="A139" s="41">
        <f>IF(B139="","","LN"&amp;TEXT(ROW()-2,"0000"))</f>
        <v/>
      </c>
      <c r="B139" s="26" t="n"/>
      <c r="C139" s="26">
        <f>IFERROR(IF(B139="","",VLOOKUP(B139,DATABASE!A:B,2,0)),"")</f>
        <v/>
      </c>
      <c r="D139" s="30" t="n"/>
      <c r="E139" s="31">
        <f>IF(B139="","",TODAY())</f>
        <v/>
      </c>
      <c r="F139" s="26" t="n"/>
      <c r="G139" s="26" t="n"/>
      <c r="H139" s="26" t="n"/>
      <c r="I139" s="30">
        <f>IFERROR(IF(OR(D139="",G139="",H139=""),"",ABS(PMT(G139%/12,H139,D139))),"")</f>
        <v/>
      </c>
      <c r="J139" s="26">
        <f>IF(B139="","","Active")</f>
        <v/>
      </c>
    </row>
    <row r="140">
      <c r="A140" s="42">
        <f>IF(B140="","","LN"&amp;TEXT(ROW()-2,"0000"))</f>
        <v/>
      </c>
      <c r="B140" s="43" t="n"/>
      <c r="C140" s="43">
        <f>IFERROR(IF(B140="","",VLOOKUP(B140,DATABASE!A:B,2,0)),"")</f>
        <v/>
      </c>
      <c r="D140" s="44" t="n"/>
      <c r="E140" s="45">
        <f>IF(B140="","",TODAY())</f>
        <v/>
      </c>
      <c r="F140" s="43" t="n"/>
      <c r="G140" s="43" t="n"/>
      <c r="H140" s="43" t="n"/>
      <c r="I140" s="44">
        <f>IFERROR(IF(OR(D140="",G140="",H140=""),"",ABS(PMT(G140%/12,H140,D140))),"")</f>
        <v/>
      </c>
      <c r="J140" s="43">
        <f>IF(B140="","","Active")</f>
        <v/>
      </c>
    </row>
    <row r="141">
      <c r="A141" s="41">
        <f>IF(B141="","","LN"&amp;TEXT(ROW()-2,"0000"))</f>
        <v/>
      </c>
      <c r="B141" s="26" t="n"/>
      <c r="C141" s="26">
        <f>IFERROR(IF(B141="","",VLOOKUP(B141,DATABASE!A:B,2,0)),"")</f>
        <v/>
      </c>
      <c r="D141" s="30" t="n"/>
      <c r="E141" s="31">
        <f>IF(B141="","",TODAY())</f>
        <v/>
      </c>
      <c r="F141" s="26" t="n"/>
      <c r="G141" s="26" t="n"/>
      <c r="H141" s="26" t="n"/>
      <c r="I141" s="30">
        <f>IFERROR(IF(OR(D141="",G141="",H141=""),"",ABS(PMT(G141%/12,H141,D141))),"")</f>
        <v/>
      </c>
      <c r="J141" s="26">
        <f>IF(B141="","","Active")</f>
        <v/>
      </c>
    </row>
    <row r="142">
      <c r="A142" s="42">
        <f>IF(B142="","","LN"&amp;TEXT(ROW()-2,"0000"))</f>
        <v/>
      </c>
      <c r="B142" s="43" t="n"/>
      <c r="C142" s="43">
        <f>IFERROR(IF(B142="","",VLOOKUP(B142,DATABASE!A:B,2,0)),"")</f>
        <v/>
      </c>
      <c r="D142" s="44" t="n"/>
      <c r="E142" s="45">
        <f>IF(B142="","",TODAY())</f>
        <v/>
      </c>
      <c r="F142" s="43" t="n"/>
      <c r="G142" s="43" t="n"/>
      <c r="H142" s="43" t="n"/>
      <c r="I142" s="44">
        <f>IFERROR(IF(OR(D142="",G142="",H142=""),"",ABS(PMT(G142%/12,H142,D142))),"")</f>
        <v/>
      </c>
      <c r="J142" s="43">
        <f>IF(B142="","","Active")</f>
        <v/>
      </c>
    </row>
    <row r="143">
      <c r="A143" s="41">
        <f>IF(B143="","","LN"&amp;TEXT(ROW()-2,"0000"))</f>
        <v/>
      </c>
      <c r="B143" s="26" t="n"/>
      <c r="C143" s="26">
        <f>IFERROR(IF(B143="","",VLOOKUP(B143,DATABASE!A:B,2,0)),"")</f>
        <v/>
      </c>
      <c r="D143" s="30" t="n"/>
      <c r="E143" s="31">
        <f>IF(B143="","",TODAY())</f>
        <v/>
      </c>
      <c r="F143" s="26" t="n"/>
      <c r="G143" s="26" t="n"/>
      <c r="H143" s="26" t="n"/>
      <c r="I143" s="30">
        <f>IFERROR(IF(OR(D143="",G143="",H143=""),"",ABS(PMT(G143%/12,H143,D143))),"")</f>
        <v/>
      </c>
      <c r="J143" s="26">
        <f>IF(B143="","","Active")</f>
        <v/>
      </c>
    </row>
    <row r="144">
      <c r="A144" s="42">
        <f>IF(B144="","","LN"&amp;TEXT(ROW()-2,"0000"))</f>
        <v/>
      </c>
      <c r="B144" s="43" t="n"/>
      <c r="C144" s="43">
        <f>IFERROR(IF(B144="","",VLOOKUP(B144,DATABASE!A:B,2,0)),"")</f>
        <v/>
      </c>
      <c r="D144" s="44" t="n"/>
      <c r="E144" s="45">
        <f>IF(B144="","",TODAY())</f>
        <v/>
      </c>
      <c r="F144" s="43" t="n"/>
      <c r="G144" s="43" t="n"/>
      <c r="H144" s="43" t="n"/>
      <c r="I144" s="44">
        <f>IFERROR(IF(OR(D144="",G144="",H144=""),"",ABS(PMT(G144%/12,H144,D144))),"")</f>
        <v/>
      </c>
      <c r="J144" s="43">
        <f>IF(B144="","","Active")</f>
        <v/>
      </c>
    </row>
    <row r="145">
      <c r="A145" s="41">
        <f>IF(B145="","","LN"&amp;TEXT(ROW()-2,"0000"))</f>
        <v/>
      </c>
      <c r="B145" s="26" t="n"/>
      <c r="C145" s="26">
        <f>IFERROR(IF(B145="","",VLOOKUP(B145,DATABASE!A:B,2,0)),"")</f>
        <v/>
      </c>
      <c r="D145" s="30" t="n"/>
      <c r="E145" s="31">
        <f>IF(B145="","",TODAY())</f>
        <v/>
      </c>
      <c r="F145" s="26" t="n"/>
      <c r="G145" s="26" t="n"/>
      <c r="H145" s="26" t="n"/>
      <c r="I145" s="30">
        <f>IFERROR(IF(OR(D145="",G145="",H145=""),"",ABS(PMT(G145%/12,H145,D145))),"")</f>
        <v/>
      </c>
      <c r="J145" s="26">
        <f>IF(B145="","","Active")</f>
        <v/>
      </c>
    </row>
    <row r="146">
      <c r="A146" s="42">
        <f>IF(B146="","","LN"&amp;TEXT(ROW()-2,"0000"))</f>
        <v/>
      </c>
      <c r="B146" s="43" t="n"/>
      <c r="C146" s="43">
        <f>IFERROR(IF(B146="","",VLOOKUP(B146,DATABASE!A:B,2,0)),"")</f>
        <v/>
      </c>
      <c r="D146" s="44" t="n"/>
      <c r="E146" s="45">
        <f>IF(B146="","",TODAY())</f>
        <v/>
      </c>
      <c r="F146" s="43" t="n"/>
      <c r="G146" s="43" t="n"/>
      <c r="H146" s="43" t="n"/>
      <c r="I146" s="44">
        <f>IFERROR(IF(OR(D146="",G146="",H146=""),"",ABS(PMT(G146%/12,H146,D146))),"")</f>
        <v/>
      </c>
      <c r="J146" s="43">
        <f>IF(B146="","","Active")</f>
        <v/>
      </c>
    </row>
    <row r="147">
      <c r="A147" s="41">
        <f>IF(B147="","","LN"&amp;TEXT(ROW()-2,"0000"))</f>
        <v/>
      </c>
      <c r="B147" s="26" t="n"/>
      <c r="C147" s="26">
        <f>IFERROR(IF(B147="","",VLOOKUP(B147,DATABASE!A:B,2,0)),"")</f>
        <v/>
      </c>
      <c r="D147" s="30" t="n"/>
      <c r="E147" s="31">
        <f>IF(B147="","",TODAY())</f>
        <v/>
      </c>
      <c r="F147" s="26" t="n"/>
      <c r="G147" s="26" t="n"/>
      <c r="H147" s="26" t="n"/>
      <c r="I147" s="30">
        <f>IFERROR(IF(OR(D147="",G147="",H147=""),"",ABS(PMT(G147%/12,H147,D147))),"")</f>
        <v/>
      </c>
      <c r="J147" s="26">
        <f>IF(B147="","","Active")</f>
        <v/>
      </c>
    </row>
    <row r="148">
      <c r="A148" s="42">
        <f>IF(B148="","","LN"&amp;TEXT(ROW()-2,"0000"))</f>
        <v/>
      </c>
      <c r="B148" s="43" t="n"/>
      <c r="C148" s="43">
        <f>IFERROR(IF(B148="","",VLOOKUP(B148,DATABASE!A:B,2,0)),"")</f>
        <v/>
      </c>
      <c r="D148" s="44" t="n"/>
      <c r="E148" s="45">
        <f>IF(B148="","",TODAY())</f>
        <v/>
      </c>
      <c r="F148" s="43" t="n"/>
      <c r="G148" s="43" t="n"/>
      <c r="H148" s="43" t="n"/>
      <c r="I148" s="44">
        <f>IFERROR(IF(OR(D148="",G148="",H148=""),"",ABS(PMT(G148%/12,H148,D148))),"")</f>
        <v/>
      </c>
      <c r="J148" s="43">
        <f>IF(B148="","","Active")</f>
        <v/>
      </c>
    </row>
    <row r="149">
      <c r="A149" s="41">
        <f>IF(B149="","","LN"&amp;TEXT(ROW()-2,"0000"))</f>
        <v/>
      </c>
      <c r="B149" s="26" t="n"/>
      <c r="C149" s="26">
        <f>IFERROR(IF(B149="","",VLOOKUP(B149,DATABASE!A:B,2,0)),"")</f>
        <v/>
      </c>
      <c r="D149" s="30" t="n"/>
      <c r="E149" s="31">
        <f>IF(B149="","",TODAY())</f>
        <v/>
      </c>
      <c r="F149" s="26" t="n"/>
      <c r="G149" s="26" t="n"/>
      <c r="H149" s="26" t="n"/>
      <c r="I149" s="30">
        <f>IFERROR(IF(OR(D149="",G149="",H149=""),"",ABS(PMT(G149%/12,H149,D149))),"")</f>
        <v/>
      </c>
      <c r="J149" s="26">
        <f>IF(B149="","","Active")</f>
        <v/>
      </c>
    </row>
    <row r="150">
      <c r="A150" s="42">
        <f>IF(B150="","","LN"&amp;TEXT(ROW()-2,"0000"))</f>
        <v/>
      </c>
      <c r="B150" s="43" t="n"/>
      <c r="C150" s="43">
        <f>IFERROR(IF(B150="","",VLOOKUP(B150,DATABASE!A:B,2,0)),"")</f>
        <v/>
      </c>
      <c r="D150" s="44" t="n"/>
      <c r="E150" s="45">
        <f>IF(B150="","",TODAY())</f>
        <v/>
      </c>
      <c r="F150" s="43" t="n"/>
      <c r="G150" s="43" t="n"/>
      <c r="H150" s="43" t="n"/>
      <c r="I150" s="44">
        <f>IFERROR(IF(OR(D150="",G150="",H150=""),"",ABS(PMT(G150%/12,H150,D150))),"")</f>
        <v/>
      </c>
      <c r="J150" s="43">
        <f>IF(B150="","","Active")</f>
        <v/>
      </c>
    </row>
    <row r="151">
      <c r="A151" s="41">
        <f>IF(B151="","","LN"&amp;TEXT(ROW()-2,"0000"))</f>
        <v/>
      </c>
      <c r="B151" s="26" t="n"/>
      <c r="C151" s="26">
        <f>IFERROR(IF(B151="","",VLOOKUP(B151,DATABASE!A:B,2,0)),"")</f>
        <v/>
      </c>
      <c r="D151" s="30" t="n"/>
      <c r="E151" s="31">
        <f>IF(B151="","",TODAY())</f>
        <v/>
      </c>
      <c r="F151" s="26" t="n"/>
      <c r="G151" s="26" t="n"/>
      <c r="H151" s="26" t="n"/>
      <c r="I151" s="30">
        <f>IFERROR(IF(OR(D151="",G151="",H151=""),"",ABS(PMT(G151%/12,H151,D151))),"")</f>
        <v/>
      </c>
      <c r="J151" s="26">
        <f>IF(B151="","","Active")</f>
        <v/>
      </c>
    </row>
    <row r="152">
      <c r="A152" s="42">
        <f>IF(B152="","","LN"&amp;TEXT(ROW()-2,"0000"))</f>
        <v/>
      </c>
      <c r="B152" s="43" t="n"/>
      <c r="C152" s="43">
        <f>IFERROR(IF(B152="","",VLOOKUP(B152,DATABASE!A:B,2,0)),"")</f>
        <v/>
      </c>
      <c r="D152" s="44" t="n"/>
      <c r="E152" s="45">
        <f>IF(B152="","",TODAY())</f>
        <v/>
      </c>
      <c r="F152" s="43" t="n"/>
      <c r="G152" s="43" t="n"/>
      <c r="H152" s="43" t="n"/>
      <c r="I152" s="44">
        <f>IFERROR(IF(OR(D152="",G152="",H152=""),"",ABS(PMT(G152%/12,H152,D152))),"")</f>
        <v/>
      </c>
      <c r="J152" s="43">
        <f>IF(B152="","","Active")</f>
        <v/>
      </c>
    </row>
    <row r="153">
      <c r="A153" s="41">
        <f>IF(B153="","","LN"&amp;TEXT(ROW()-2,"0000"))</f>
        <v/>
      </c>
      <c r="B153" s="26" t="n"/>
      <c r="C153" s="26">
        <f>IFERROR(IF(B153="","",VLOOKUP(B153,DATABASE!A:B,2,0)),"")</f>
        <v/>
      </c>
      <c r="D153" s="30" t="n"/>
      <c r="E153" s="31">
        <f>IF(B153="","",TODAY())</f>
        <v/>
      </c>
      <c r="F153" s="26" t="n"/>
      <c r="G153" s="26" t="n"/>
      <c r="H153" s="26" t="n"/>
      <c r="I153" s="30">
        <f>IFERROR(IF(OR(D153="",G153="",H153=""),"",ABS(PMT(G153%/12,H153,D153))),"")</f>
        <v/>
      </c>
      <c r="J153" s="26">
        <f>IF(B153="","","Active")</f>
        <v/>
      </c>
    </row>
    <row r="154">
      <c r="A154" s="42">
        <f>IF(B154="","","LN"&amp;TEXT(ROW()-2,"0000"))</f>
        <v/>
      </c>
      <c r="B154" s="43" t="n"/>
      <c r="C154" s="43">
        <f>IFERROR(IF(B154="","",VLOOKUP(B154,DATABASE!A:B,2,0)),"")</f>
        <v/>
      </c>
      <c r="D154" s="44" t="n"/>
      <c r="E154" s="45">
        <f>IF(B154="","",TODAY())</f>
        <v/>
      </c>
      <c r="F154" s="43" t="n"/>
      <c r="G154" s="43" t="n"/>
      <c r="H154" s="43" t="n"/>
      <c r="I154" s="44">
        <f>IFERROR(IF(OR(D154="",G154="",H154=""),"",ABS(PMT(G154%/12,H154,D154))),"")</f>
        <v/>
      </c>
      <c r="J154" s="43">
        <f>IF(B154="","","Active")</f>
        <v/>
      </c>
    </row>
    <row r="155">
      <c r="A155" s="41">
        <f>IF(B155="","","LN"&amp;TEXT(ROW()-2,"0000"))</f>
        <v/>
      </c>
      <c r="B155" s="26" t="n"/>
      <c r="C155" s="26">
        <f>IFERROR(IF(B155="","",VLOOKUP(B155,DATABASE!A:B,2,0)),"")</f>
        <v/>
      </c>
      <c r="D155" s="30" t="n"/>
      <c r="E155" s="31">
        <f>IF(B155="","",TODAY())</f>
        <v/>
      </c>
      <c r="F155" s="26" t="n"/>
      <c r="G155" s="26" t="n"/>
      <c r="H155" s="26" t="n"/>
      <c r="I155" s="30">
        <f>IFERROR(IF(OR(D155="",G155="",H155=""),"",ABS(PMT(G155%/12,H155,D155))),"")</f>
        <v/>
      </c>
      <c r="J155" s="26">
        <f>IF(B155="","","Active")</f>
        <v/>
      </c>
    </row>
    <row r="156">
      <c r="A156" s="42">
        <f>IF(B156="","","LN"&amp;TEXT(ROW()-2,"0000"))</f>
        <v/>
      </c>
      <c r="B156" s="43" t="n"/>
      <c r="C156" s="43">
        <f>IFERROR(IF(B156="","",VLOOKUP(B156,DATABASE!A:B,2,0)),"")</f>
        <v/>
      </c>
      <c r="D156" s="44" t="n"/>
      <c r="E156" s="45">
        <f>IF(B156="","",TODAY())</f>
        <v/>
      </c>
      <c r="F156" s="43" t="n"/>
      <c r="G156" s="43" t="n"/>
      <c r="H156" s="43" t="n"/>
      <c r="I156" s="44">
        <f>IFERROR(IF(OR(D156="",G156="",H156=""),"",ABS(PMT(G156%/12,H156,D156))),"")</f>
        <v/>
      </c>
      <c r="J156" s="43">
        <f>IF(B156="","","Active")</f>
        <v/>
      </c>
    </row>
    <row r="157">
      <c r="A157" s="41">
        <f>IF(B157="","","LN"&amp;TEXT(ROW()-2,"0000"))</f>
        <v/>
      </c>
      <c r="B157" s="26" t="n"/>
      <c r="C157" s="26">
        <f>IFERROR(IF(B157="","",VLOOKUP(B157,DATABASE!A:B,2,0)),"")</f>
        <v/>
      </c>
      <c r="D157" s="30" t="n"/>
      <c r="E157" s="31">
        <f>IF(B157="","",TODAY())</f>
        <v/>
      </c>
      <c r="F157" s="26" t="n"/>
      <c r="G157" s="26" t="n"/>
      <c r="H157" s="26" t="n"/>
      <c r="I157" s="30">
        <f>IFERROR(IF(OR(D157="",G157="",H157=""),"",ABS(PMT(G157%/12,H157,D157))),"")</f>
        <v/>
      </c>
      <c r="J157" s="26">
        <f>IF(B157="","","Active")</f>
        <v/>
      </c>
    </row>
    <row r="158">
      <c r="A158" s="42">
        <f>IF(B158="","","LN"&amp;TEXT(ROW()-2,"0000"))</f>
        <v/>
      </c>
      <c r="B158" s="43" t="n"/>
      <c r="C158" s="43">
        <f>IFERROR(IF(B158="","",VLOOKUP(B158,DATABASE!A:B,2,0)),"")</f>
        <v/>
      </c>
      <c r="D158" s="44" t="n"/>
      <c r="E158" s="45">
        <f>IF(B158="","",TODAY())</f>
        <v/>
      </c>
      <c r="F158" s="43" t="n"/>
      <c r="G158" s="43" t="n"/>
      <c r="H158" s="43" t="n"/>
      <c r="I158" s="44">
        <f>IFERROR(IF(OR(D158="",G158="",H158=""),"",ABS(PMT(G158%/12,H158,D158))),"")</f>
        <v/>
      </c>
      <c r="J158" s="43">
        <f>IF(B158="","","Active")</f>
        <v/>
      </c>
    </row>
    <row r="159">
      <c r="A159" s="41">
        <f>IF(B159="","","LN"&amp;TEXT(ROW()-2,"0000"))</f>
        <v/>
      </c>
      <c r="B159" s="26" t="n"/>
      <c r="C159" s="26">
        <f>IFERROR(IF(B159="","",VLOOKUP(B159,DATABASE!A:B,2,0)),"")</f>
        <v/>
      </c>
      <c r="D159" s="30" t="n"/>
      <c r="E159" s="31">
        <f>IF(B159="","",TODAY())</f>
        <v/>
      </c>
      <c r="F159" s="26" t="n"/>
      <c r="G159" s="26" t="n"/>
      <c r="H159" s="26" t="n"/>
      <c r="I159" s="30">
        <f>IFERROR(IF(OR(D159="",G159="",H159=""),"",ABS(PMT(G159%/12,H159,D159))),"")</f>
        <v/>
      </c>
      <c r="J159" s="26">
        <f>IF(B159="","","Active")</f>
        <v/>
      </c>
    </row>
    <row r="160">
      <c r="A160" s="42">
        <f>IF(B160="","","LN"&amp;TEXT(ROW()-2,"0000"))</f>
        <v/>
      </c>
      <c r="B160" s="43" t="n"/>
      <c r="C160" s="43">
        <f>IFERROR(IF(B160="","",VLOOKUP(B160,DATABASE!A:B,2,0)),"")</f>
        <v/>
      </c>
      <c r="D160" s="44" t="n"/>
      <c r="E160" s="45">
        <f>IF(B160="","",TODAY())</f>
        <v/>
      </c>
      <c r="F160" s="43" t="n"/>
      <c r="G160" s="43" t="n"/>
      <c r="H160" s="43" t="n"/>
      <c r="I160" s="44">
        <f>IFERROR(IF(OR(D160="",G160="",H160=""),"",ABS(PMT(G160%/12,H160,D160))),"")</f>
        <v/>
      </c>
      <c r="J160" s="43">
        <f>IF(B160="","","Active")</f>
        <v/>
      </c>
    </row>
    <row r="161">
      <c r="A161" s="41">
        <f>IF(B161="","","LN"&amp;TEXT(ROW()-2,"0000"))</f>
        <v/>
      </c>
      <c r="B161" s="26" t="n"/>
      <c r="C161" s="26">
        <f>IFERROR(IF(B161="","",VLOOKUP(B161,DATABASE!A:B,2,0)),"")</f>
        <v/>
      </c>
      <c r="D161" s="30" t="n"/>
      <c r="E161" s="31">
        <f>IF(B161="","",TODAY())</f>
        <v/>
      </c>
      <c r="F161" s="26" t="n"/>
      <c r="G161" s="26" t="n"/>
      <c r="H161" s="26" t="n"/>
      <c r="I161" s="30">
        <f>IFERROR(IF(OR(D161="",G161="",H161=""),"",ABS(PMT(G161%/12,H161,D161))),"")</f>
        <v/>
      </c>
      <c r="J161" s="26">
        <f>IF(B161="","","Active")</f>
        <v/>
      </c>
    </row>
    <row r="162">
      <c r="A162" s="42">
        <f>IF(B162="","","LN"&amp;TEXT(ROW()-2,"0000"))</f>
        <v/>
      </c>
      <c r="B162" s="43" t="n"/>
      <c r="C162" s="43">
        <f>IFERROR(IF(B162="","",VLOOKUP(B162,DATABASE!A:B,2,0)),"")</f>
        <v/>
      </c>
      <c r="D162" s="44" t="n"/>
      <c r="E162" s="45">
        <f>IF(B162="","",TODAY())</f>
        <v/>
      </c>
      <c r="F162" s="43" t="n"/>
      <c r="G162" s="43" t="n"/>
      <c r="H162" s="43" t="n"/>
      <c r="I162" s="44">
        <f>IFERROR(IF(OR(D162="",G162="",H162=""),"",ABS(PMT(G162%/12,H162,D162))),"")</f>
        <v/>
      </c>
      <c r="J162" s="43">
        <f>IF(B162="","","Active")</f>
        <v/>
      </c>
    </row>
    <row r="163">
      <c r="A163" s="41">
        <f>IF(B163="","","LN"&amp;TEXT(ROW()-2,"0000"))</f>
        <v/>
      </c>
      <c r="B163" s="26" t="n"/>
      <c r="C163" s="26">
        <f>IFERROR(IF(B163="","",VLOOKUP(B163,DATABASE!A:B,2,0)),"")</f>
        <v/>
      </c>
      <c r="D163" s="30" t="n"/>
      <c r="E163" s="31">
        <f>IF(B163="","",TODAY())</f>
        <v/>
      </c>
      <c r="F163" s="26" t="n"/>
      <c r="G163" s="26" t="n"/>
      <c r="H163" s="26" t="n"/>
      <c r="I163" s="30">
        <f>IFERROR(IF(OR(D163="",G163="",H163=""),"",ABS(PMT(G163%/12,H163,D163))),"")</f>
        <v/>
      </c>
      <c r="J163" s="26">
        <f>IF(B163="","","Active")</f>
        <v/>
      </c>
    </row>
    <row r="164">
      <c r="A164" s="42">
        <f>IF(B164="","","LN"&amp;TEXT(ROW()-2,"0000"))</f>
        <v/>
      </c>
      <c r="B164" s="43" t="n"/>
      <c r="C164" s="43">
        <f>IFERROR(IF(B164="","",VLOOKUP(B164,DATABASE!A:B,2,0)),"")</f>
        <v/>
      </c>
      <c r="D164" s="44" t="n"/>
      <c r="E164" s="45">
        <f>IF(B164="","",TODAY())</f>
        <v/>
      </c>
      <c r="F164" s="43" t="n"/>
      <c r="G164" s="43" t="n"/>
      <c r="H164" s="43" t="n"/>
      <c r="I164" s="44">
        <f>IFERROR(IF(OR(D164="",G164="",H164=""),"",ABS(PMT(G164%/12,H164,D164))),"")</f>
        <v/>
      </c>
      <c r="J164" s="43">
        <f>IF(B164="","","Active")</f>
        <v/>
      </c>
    </row>
    <row r="165">
      <c r="A165" s="41">
        <f>IF(B165="","","LN"&amp;TEXT(ROW()-2,"0000"))</f>
        <v/>
      </c>
      <c r="B165" s="26" t="n"/>
      <c r="C165" s="26">
        <f>IFERROR(IF(B165="","",VLOOKUP(B165,DATABASE!A:B,2,0)),"")</f>
        <v/>
      </c>
      <c r="D165" s="30" t="n"/>
      <c r="E165" s="31">
        <f>IF(B165="","",TODAY())</f>
        <v/>
      </c>
      <c r="F165" s="26" t="n"/>
      <c r="G165" s="26" t="n"/>
      <c r="H165" s="26" t="n"/>
      <c r="I165" s="30">
        <f>IFERROR(IF(OR(D165="",G165="",H165=""),"",ABS(PMT(G165%/12,H165,D165))),"")</f>
        <v/>
      </c>
      <c r="J165" s="26">
        <f>IF(B165="","","Active")</f>
        <v/>
      </c>
    </row>
    <row r="166">
      <c r="A166" s="42">
        <f>IF(B166="","","LN"&amp;TEXT(ROW()-2,"0000"))</f>
        <v/>
      </c>
      <c r="B166" s="43" t="n"/>
      <c r="C166" s="43">
        <f>IFERROR(IF(B166="","",VLOOKUP(B166,DATABASE!A:B,2,0)),"")</f>
        <v/>
      </c>
      <c r="D166" s="44" t="n"/>
      <c r="E166" s="45">
        <f>IF(B166="","",TODAY())</f>
        <v/>
      </c>
      <c r="F166" s="43" t="n"/>
      <c r="G166" s="43" t="n"/>
      <c r="H166" s="43" t="n"/>
      <c r="I166" s="44">
        <f>IFERROR(IF(OR(D166="",G166="",H166=""),"",ABS(PMT(G166%/12,H166,D166))),"")</f>
        <v/>
      </c>
      <c r="J166" s="43">
        <f>IF(B166="","","Active")</f>
        <v/>
      </c>
    </row>
    <row r="167">
      <c r="A167" s="41">
        <f>IF(B167="","","LN"&amp;TEXT(ROW()-2,"0000"))</f>
        <v/>
      </c>
      <c r="B167" s="26" t="n"/>
      <c r="C167" s="26">
        <f>IFERROR(IF(B167="","",VLOOKUP(B167,DATABASE!A:B,2,0)),"")</f>
        <v/>
      </c>
      <c r="D167" s="30" t="n"/>
      <c r="E167" s="31">
        <f>IF(B167="","",TODAY())</f>
        <v/>
      </c>
      <c r="F167" s="26" t="n"/>
      <c r="G167" s="26" t="n"/>
      <c r="H167" s="26" t="n"/>
      <c r="I167" s="30">
        <f>IFERROR(IF(OR(D167="",G167="",H167=""),"",ABS(PMT(G167%/12,H167,D167))),"")</f>
        <v/>
      </c>
      <c r="J167" s="26">
        <f>IF(B167="","","Active")</f>
        <v/>
      </c>
    </row>
    <row r="168">
      <c r="A168" s="42">
        <f>IF(B168="","","LN"&amp;TEXT(ROW()-2,"0000"))</f>
        <v/>
      </c>
      <c r="B168" s="43" t="n"/>
      <c r="C168" s="43">
        <f>IFERROR(IF(B168="","",VLOOKUP(B168,DATABASE!A:B,2,0)),"")</f>
        <v/>
      </c>
      <c r="D168" s="44" t="n"/>
      <c r="E168" s="45">
        <f>IF(B168="","",TODAY())</f>
        <v/>
      </c>
      <c r="F168" s="43" t="n"/>
      <c r="G168" s="43" t="n"/>
      <c r="H168" s="43" t="n"/>
      <c r="I168" s="44">
        <f>IFERROR(IF(OR(D168="",G168="",H168=""),"",ABS(PMT(G168%/12,H168,D168))),"")</f>
        <v/>
      </c>
      <c r="J168" s="43">
        <f>IF(B168="","","Active")</f>
        <v/>
      </c>
    </row>
    <row r="169">
      <c r="A169" s="41">
        <f>IF(B169="","","LN"&amp;TEXT(ROW()-2,"0000"))</f>
        <v/>
      </c>
      <c r="B169" s="26" t="n"/>
      <c r="C169" s="26">
        <f>IFERROR(IF(B169="","",VLOOKUP(B169,DATABASE!A:B,2,0)),"")</f>
        <v/>
      </c>
      <c r="D169" s="30" t="n"/>
      <c r="E169" s="31">
        <f>IF(B169="","",TODAY())</f>
        <v/>
      </c>
      <c r="F169" s="26" t="n"/>
      <c r="G169" s="26" t="n"/>
      <c r="H169" s="26" t="n"/>
      <c r="I169" s="30">
        <f>IFERROR(IF(OR(D169="",G169="",H169=""),"",ABS(PMT(G169%/12,H169,D169))),"")</f>
        <v/>
      </c>
      <c r="J169" s="26">
        <f>IF(B169="","","Active")</f>
        <v/>
      </c>
    </row>
    <row r="170">
      <c r="A170" s="42">
        <f>IF(B170="","","LN"&amp;TEXT(ROW()-2,"0000"))</f>
        <v/>
      </c>
      <c r="B170" s="43" t="n"/>
      <c r="C170" s="43">
        <f>IFERROR(IF(B170="","",VLOOKUP(B170,DATABASE!A:B,2,0)),"")</f>
        <v/>
      </c>
      <c r="D170" s="44" t="n"/>
      <c r="E170" s="45">
        <f>IF(B170="","",TODAY())</f>
        <v/>
      </c>
      <c r="F170" s="43" t="n"/>
      <c r="G170" s="43" t="n"/>
      <c r="H170" s="43" t="n"/>
      <c r="I170" s="44">
        <f>IFERROR(IF(OR(D170="",G170="",H170=""),"",ABS(PMT(G170%/12,H170,D170))),"")</f>
        <v/>
      </c>
      <c r="J170" s="43">
        <f>IF(B170="","","Active")</f>
        <v/>
      </c>
    </row>
    <row r="171">
      <c r="A171" s="41">
        <f>IF(B171="","","LN"&amp;TEXT(ROW()-2,"0000"))</f>
        <v/>
      </c>
      <c r="B171" s="26" t="n"/>
      <c r="C171" s="26">
        <f>IFERROR(IF(B171="","",VLOOKUP(B171,DATABASE!A:B,2,0)),"")</f>
        <v/>
      </c>
      <c r="D171" s="30" t="n"/>
      <c r="E171" s="31">
        <f>IF(B171="","",TODAY())</f>
        <v/>
      </c>
      <c r="F171" s="26" t="n"/>
      <c r="G171" s="26" t="n"/>
      <c r="H171" s="26" t="n"/>
      <c r="I171" s="30">
        <f>IFERROR(IF(OR(D171="",G171="",H171=""),"",ABS(PMT(G171%/12,H171,D171))),"")</f>
        <v/>
      </c>
      <c r="J171" s="26">
        <f>IF(B171="","","Active")</f>
        <v/>
      </c>
    </row>
    <row r="172">
      <c r="A172" s="42">
        <f>IF(B172="","","LN"&amp;TEXT(ROW()-2,"0000"))</f>
        <v/>
      </c>
      <c r="B172" s="43" t="n"/>
      <c r="C172" s="43">
        <f>IFERROR(IF(B172="","",VLOOKUP(B172,DATABASE!A:B,2,0)),"")</f>
        <v/>
      </c>
      <c r="D172" s="44" t="n"/>
      <c r="E172" s="45">
        <f>IF(B172="","",TODAY())</f>
        <v/>
      </c>
      <c r="F172" s="43" t="n"/>
      <c r="G172" s="43" t="n"/>
      <c r="H172" s="43" t="n"/>
      <c r="I172" s="44">
        <f>IFERROR(IF(OR(D172="",G172="",H172=""),"",ABS(PMT(G172%/12,H172,D172))),"")</f>
        <v/>
      </c>
      <c r="J172" s="43">
        <f>IF(B172="","","Active")</f>
        <v/>
      </c>
    </row>
    <row r="173">
      <c r="A173" s="41">
        <f>IF(B173="","","LN"&amp;TEXT(ROW()-2,"0000"))</f>
        <v/>
      </c>
      <c r="B173" s="26" t="n"/>
      <c r="C173" s="26">
        <f>IFERROR(IF(B173="","",VLOOKUP(B173,DATABASE!A:B,2,0)),"")</f>
        <v/>
      </c>
      <c r="D173" s="30" t="n"/>
      <c r="E173" s="31">
        <f>IF(B173="","",TODAY())</f>
        <v/>
      </c>
      <c r="F173" s="26" t="n"/>
      <c r="G173" s="26" t="n"/>
      <c r="H173" s="26" t="n"/>
      <c r="I173" s="30">
        <f>IFERROR(IF(OR(D173="",G173="",H173=""),"",ABS(PMT(G173%/12,H173,D173))),"")</f>
        <v/>
      </c>
      <c r="J173" s="26">
        <f>IF(B173="","","Active")</f>
        <v/>
      </c>
    </row>
    <row r="174">
      <c r="A174" s="42">
        <f>IF(B174="","","LN"&amp;TEXT(ROW()-2,"0000"))</f>
        <v/>
      </c>
      <c r="B174" s="43" t="n"/>
      <c r="C174" s="43">
        <f>IFERROR(IF(B174="","",VLOOKUP(B174,DATABASE!A:B,2,0)),"")</f>
        <v/>
      </c>
      <c r="D174" s="44" t="n"/>
      <c r="E174" s="45">
        <f>IF(B174="","",TODAY())</f>
        <v/>
      </c>
      <c r="F174" s="43" t="n"/>
      <c r="G174" s="43" t="n"/>
      <c r="H174" s="43" t="n"/>
      <c r="I174" s="44">
        <f>IFERROR(IF(OR(D174="",G174="",H174=""),"",ABS(PMT(G174%/12,H174,D174))),"")</f>
        <v/>
      </c>
      <c r="J174" s="43">
        <f>IF(B174="","","Active")</f>
        <v/>
      </c>
    </row>
    <row r="175">
      <c r="A175" s="41">
        <f>IF(B175="","","LN"&amp;TEXT(ROW()-2,"0000"))</f>
        <v/>
      </c>
      <c r="B175" s="26" t="n"/>
      <c r="C175" s="26">
        <f>IFERROR(IF(B175="","",VLOOKUP(B175,DATABASE!A:B,2,0)),"")</f>
        <v/>
      </c>
      <c r="D175" s="30" t="n"/>
      <c r="E175" s="31">
        <f>IF(B175="","",TODAY())</f>
        <v/>
      </c>
      <c r="F175" s="26" t="n"/>
      <c r="G175" s="26" t="n"/>
      <c r="H175" s="26" t="n"/>
      <c r="I175" s="30">
        <f>IFERROR(IF(OR(D175="",G175="",H175=""),"",ABS(PMT(G175%/12,H175,D175))),"")</f>
        <v/>
      </c>
      <c r="J175" s="26">
        <f>IF(B175="","","Active")</f>
        <v/>
      </c>
    </row>
    <row r="176">
      <c r="A176" s="42">
        <f>IF(B176="","","LN"&amp;TEXT(ROW()-2,"0000"))</f>
        <v/>
      </c>
      <c r="B176" s="43" t="n"/>
      <c r="C176" s="43">
        <f>IFERROR(IF(B176="","",VLOOKUP(B176,DATABASE!A:B,2,0)),"")</f>
        <v/>
      </c>
      <c r="D176" s="44" t="n"/>
      <c r="E176" s="45">
        <f>IF(B176="","",TODAY())</f>
        <v/>
      </c>
      <c r="F176" s="43" t="n"/>
      <c r="G176" s="43" t="n"/>
      <c r="H176" s="43" t="n"/>
      <c r="I176" s="44">
        <f>IFERROR(IF(OR(D176="",G176="",H176=""),"",ABS(PMT(G176%/12,H176,D176))),"")</f>
        <v/>
      </c>
      <c r="J176" s="43">
        <f>IF(B176="","","Active")</f>
        <v/>
      </c>
    </row>
    <row r="177">
      <c r="A177" s="41">
        <f>IF(B177="","","LN"&amp;TEXT(ROW()-2,"0000"))</f>
        <v/>
      </c>
      <c r="B177" s="26" t="n"/>
      <c r="C177" s="26">
        <f>IFERROR(IF(B177="","",VLOOKUP(B177,DATABASE!A:B,2,0)),"")</f>
        <v/>
      </c>
      <c r="D177" s="30" t="n"/>
      <c r="E177" s="31">
        <f>IF(B177="","",TODAY())</f>
        <v/>
      </c>
      <c r="F177" s="26" t="n"/>
      <c r="G177" s="26" t="n"/>
      <c r="H177" s="26" t="n"/>
      <c r="I177" s="30">
        <f>IFERROR(IF(OR(D177="",G177="",H177=""),"",ABS(PMT(G177%/12,H177,D177))),"")</f>
        <v/>
      </c>
      <c r="J177" s="26">
        <f>IF(B177="","","Active")</f>
        <v/>
      </c>
    </row>
    <row r="178">
      <c r="A178" s="42">
        <f>IF(B178="","","LN"&amp;TEXT(ROW()-2,"0000"))</f>
        <v/>
      </c>
      <c r="B178" s="43" t="n"/>
      <c r="C178" s="43">
        <f>IFERROR(IF(B178="","",VLOOKUP(B178,DATABASE!A:B,2,0)),"")</f>
        <v/>
      </c>
      <c r="D178" s="44" t="n"/>
      <c r="E178" s="45">
        <f>IF(B178="","",TODAY())</f>
        <v/>
      </c>
      <c r="F178" s="43" t="n"/>
      <c r="G178" s="43" t="n"/>
      <c r="H178" s="43" t="n"/>
      <c r="I178" s="44">
        <f>IFERROR(IF(OR(D178="",G178="",H178=""),"",ABS(PMT(G178%/12,H178,D178))),"")</f>
        <v/>
      </c>
      <c r="J178" s="43">
        <f>IF(B178="","","Active")</f>
        <v/>
      </c>
    </row>
    <row r="179">
      <c r="A179" s="41">
        <f>IF(B179="","","LN"&amp;TEXT(ROW()-2,"0000"))</f>
        <v/>
      </c>
      <c r="B179" s="26" t="n"/>
      <c r="C179" s="26">
        <f>IFERROR(IF(B179="","",VLOOKUP(B179,DATABASE!A:B,2,0)),"")</f>
        <v/>
      </c>
      <c r="D179" s="30" t="n"/>
      <c r="E179" s="31">
        <f>IF(B179="","",TODAY())</f>
        <v/>
      </c>
      <c r="F179" s="26" t="n"/>
      <c r="G179" s="26" t="n"/>
      <c r="H179" s="26" t="n"/>
      <c r="I179" s="30">
        <f>IFERROR(IF(OR(D179="",G179="",H179=""),"",ABS(PMT(G179%/12,H179,D179))),"")</f>
        <v/>
      </c>
      <c r="J179" s="26">
        <f>IF(B179="","","Active")</f>
        <v/>
      </c>
    </row>
    <row r="180">
      <c r="A180" s="42">
        <f>IF(B180="","","LN"&amp;TEXT(ROW()-2,"0000"))</f>
        <v/>
      </c>
      <c r="B180" s="43" t="n"/>
      <c r="C180" s="43">
        <f>IFERROR(IF(B180="","",VLOOKUP(B180,DATABASE!A:B,2,0)),"")</f>
        <v/>
      </c>
      <c r="D180" s="44" t="n"/>
      <c r="E180" s="45">
        <f>IF(B180="","",TODAY())</f>
        <v/>
      </c>
      <c r="F180" s="43" t="n"/>
      <c r="G180" s="43" t="n"/>
      <c r="H180" s="43" t="n"/>
      <c r="I180" s="44">
        <f>IFERROR(IF(OR(D180="",G180="",H180=""),"",ABS(PMT(G180%/12,H180,D180))),"")</f>
        <v/>
      </c>
      <c r="J180" s="43">
        <f>IF(B180="","","Active")</f>
        <v/>
      </c>
    </row>
    <row r="181">
      <c r="A181" s="41">
        <f>IF(B181="","","LN"&amp;TEXT(ROW()-2,"0000"))</f>
        <v/>
      </c>
      <c r="B181" s="26" t="n"/>
      <c r="C181" s="26">
        <f>IFERROR(IF(B181="","",VLOOKUP(B181,DATABASE!A:B,2,0)),"")</f>
        <v/>
      </c>
      <c r="D181" s="30" t="n"/>
      <c r="E181" s="31">
        <f>IF(B181="","",TODAY())</f>
        <v/>
      </c>
      <c r="F181" s="26" t="n"/>
      <c r="G181" s="26" t="n"/>
      <c r="H181" s="26" t="n"/>
      <c r="I181" s="30">
        <f>IFERROR(IF(OR(D181="",G181="",H181=""),"",ABS(PMT(G181%/12,H181,D181))),"")</f>
        <v/>
      </c>
      <c r="J181" s="26">
        <f>IF(B181="","","Active")</f>
        <v/>
      </c>
    </row>
    <row r="182">
      <c r="A182" s="42">
        <f>IF(B182="","","LN"&amp;TEXT(ROW()-2,"0000"))</f>
        <v/>
      </c>
      <c r="B182" s="43" t="n"/>
      <c r="C182" s="43">
        <f>IFERROR(IF(B182="","",VLOOKUP(B182,DATABASE!A:B,2,0)),"")</f>
        <v/>
      </c>
      <c r="D182" s="44" t="n"/>
      <c r="E182" s="45">
        <f>IF(B182="","",TODAY())</f>
        <v/>
      </c>
      <c r="F182" s="43" t="n"/>
      <c r="G182" s="43" t="n"/>
      <c r="H182" s="43" t="n"/>
      <c r="I182" s="44">
        <f>IFERROR(IF(OR(D182="",G182="",H182=""),"",ABS(PMT(G182%/12,H182,D182))),"")</f>
        <v/>
      </c>
      <c r="J182" s="43">
        <f>IF(B182="","","Active")</f>
        <v/>
      </c>
    </row>
    <row r="183">
      <c r="A183" s="41">
        <f>IF(B183="","","LN"&amp;TEXT(ROW()-2,"0000"))</f>
        <v/>
      </c>
      <c r="B183" s="26" t="n"/>
      <c r="C183" s="26">
        <f>IFERROR(IF(B183="","",VLOOKUP(B183,DATABASE!A:B,2,0)),"")</f>
        <v/>
      </c>
      <c r="D183" s="30" t="n"/>
      <c r="E183" s="31">
        <f>IF(B183="","",TODAY())</f>
        <v/>
      </c>
      <c r="F183" s="26" t="n"/>
      <c r="G183" s="26" t="n"/>
      <c r="H183" s="26" t="n"/>
      <c r="I183" s="30">
        <f>IFERROR(IF(OR(D183="",G183="",H183=""),"",ABS(PMT(G183%/12,H183,D183))),"")</f>
        <v/>
      </c>
      <c r="J183" s="26">
        <f>IF(B183="","","Active")</f>
        <v/>
      </c>
    </row>
    <row r="184">
      <c r="A184" s="42">
        <f>IF(B184="","","LN"&amp;TEXT(ROW()-2,"0000"))</f>
        <v/>
      </c>
      <c r="B184" s="43" t="n"/>
      <c r="C184" s="43">
        <f>IFERROR(IF(B184="","",VLOOKUP(B184,DATABASE!A:B,2,0)),"")</f>
        <v/>
      </c>
      <c r="D184" s="44" t="n"/>
      <c r="E184" s="45">
        <f>IF(B184="","",TODAY())</f>
        <v/>
      </c>
      <c r="F184" s="43" t="n"/>
      <c r="G184" s="43" t="n"/>
      <c r="H184" s="43" t="n"/>
      <c r="I184" s="44">
        <f>IFERROR(IF(OR(D184="",G184="",H184=""),"",ABS(PMT(G184%/12,H184,D184))),"")</f>
        <v/>
      </c>
      <c r="J184" s="43">
        <f>IF(B184="","","Active")</f>
        <v/>
      </c>
    </row>
    <row r="185">
      <c r="A185" s="41">
        <f>IF(B185="","","LN"&amp;TEXT(ROW()-2,"0000"))</f>
        <v/>
      </c>
      <c r="B185" s="26" t="n"/>
      <c r="C185" s="26">
        <f>IFERROR(IF(B185="","",VLOOKUP(B185,DATABASE!A:B,2,0)),"")</f>
        <v/>
      </c>
      <c r="D185" s="30" t="n"/>
      <c r="E185" s="31">
        <f>IF(B185="","",TODAY())</f>
        <v/>
      </c>
      <c r="F185" s="26" t="n"/>
      <c r="G185" s="26" t="n"/>
      <c r="H185" s="26" t="n"/>
      <c r="I185" s="30">
        <f>IFERROR(IF(OR(D185="",G185="",H185=""),"",ABS(PMT(G185%/12,H185,D185))),"")</f>
        <v/>
      </c>
      <c r="J185" s="26">
        <f>IF(B185="","","Active")</f>
        <v/>
      </c>
    </row>
    <row r="186">
      <c r="A186" s="42">
        <f>IF(B186="","","LN"&amp;TEXT(ROW()-2,"0000"))</f>
        <v/>
      </c>
      <c r="B186" s="43" t="n"/>
      <c r="C186" s="43">
        <f>IFERROR(IF(B186="","",VLOOKUP(B186,DATABASE!A:B,2,0)),"")</f>
        <v/>
      </c>
      <c r="D186" s="44" t="n"/>
      <c r="E186" s="45">
        <f>IF(B186="","",TODAY())</f>
        <v/>
      </c>
      <c r="F186" s="43" t="n"/>
      <c r="G186" s="43" t="n"/>
      <c r="H186" s="43" t="n"/>
      <c r="I186" s="44">
        <f>IFERROR(IF(OR(D186="",G186="",H186=""),"",ABS(PMT(G186%/12,H186,D186))),"")</f>
        <v/>
      </c>
      <c r="J186" s="43">
        <f>IF(B186="","","Active")</f>
        <v/>
      </c>
    </row>
    <row r="187">
      <c r="A187" s="41">
        <f>IF(B187="","","LN"&amp;TEXT(ROW()-2,"0000"))</f>
        <v/>
      </c>
      <c r="B187" s="26" t="n"/>
      <c r="C187" s="26">
        <f>IFERROR(IF(B187="","",VLOOKUP(B187,DATABASE!A:B,2,0)),"")</f>
        <v/>
      </c>
      <c r="D187" s="30" t="n"/>
      <c r="E187" s="31">
        <f>IF(B187="","",TODAY())</f>
        <v/>
      </c>
      <c r="F187" s="26" t="n"/>
      <c r="G187" s="26" t="n"/>
      <c r="H187" s="26" t="n"/>
      <c r="I187" s="30">
        <f>IFERROR(IF(OR(D187="",G187="",H187=""),"",ABS(PMT(G187%/12,H187,D187))),"")</f>
        <v/>
      </c>
      <c r="J187" s="26">
        <f>IF(B187="","","Active")</f>
        <v/>
      </c>
    </row>
    <row r="188">
      <c r="A188" s="42">
        <f>IF(B188="","","LN"&amp;TEXT(ROW()-2,"0000"))</f>
        <v/>
      </c>
      <c r="B188" s="43" t="n"/>
      <c r="C188" s="43">
        <f>IFERROR(IF(B188="","",VLOOKUP(B188,DATABASE!A:B,2,0)),"")</f>
        <v/>
      </c>
      <c r="D188" s="44" t="n"/>
      <c r="E188" s="45">
        <f>IF(B188="","",TODAY())</f>
        <v/>
      </c>
      <c r="F188" s="43" t="n"/>
      <c r="G188" s="43" t="n"/>
      <c r="H188" s="43" t="n"/>
      <c r="I188" s="44">
        <f>IFERROR(IF(OR(D188="",G188="",H188=""),"",ABS(PMT(G188%/12,H188,D188))),"")</f>
        <v/>
      </c>
      <c r="J188" s="43">
        <f>IF(B188="","","Active")</f>
        <v/>
      </c>
    </row>
    <row r="189">
      <c r="A189" s="41">
        <f>IF(B189="","","LN"&amp;TEXT(ROW()-2,"0000"))</f>
        <v/>
      </c>
      <c r="B189" s="26" t="n"/>
      <c r="C189" s="26">
        <f>IFERROR(IF(B189="","",VLOOKUP(B189,DATABASE!A:B,2,0)),"")</f>
        <v/>
      </c>
      <c r="D189" s="30" t="n"/>
      <c r="E189" s="31">
        <f>IF(B189="","",TODAY())</f>
        <v/>
      </c>
      <c r="F189" s="26" t="n"/>
      <c r="G189" s="26" t="n"/>
      <c r="H189" s="26" t="n"/>
      <c r="I189" s="30">
        <f>IFERROR(IF(OR(D189="",G189="",H189=""),"",ABS(PMT(G189%/12,H189,D189))),"")</f>
        <v/>
      </c>
      <c r="J189" s="26">
        <f>IF(B189="","","Active")</f>
        <v/>
      </c>
    </row>
    <row r="190">
      <c r="A190" s="42">
        <f>IF(B190="","","LN"&amp;TEXT(ROW()-2,"0000"))</f>
        <v/>
      </c>
      <c r="B190" s="43" t="n"/>
      <c r="C190" s="43">
        <f>IFERROR(IF(B190="","",VLOOKUP(B190,DATABASE!A:B,2,0)),"")</f>
        <v/>
      </c>
      <c r="D190" s="44" t="n"/>
      <c r="E190" s="45">
        <f>IF(B190="","",TODAY())</f>
        <v/>
      </c>
      <c r="F190" s="43" t="n"/>
      <c r="G190" s="43" t="n"/>
      <c r="H190" s="43" t="n"/>
      <c r="I190" s="44">
        <f>IFERROR(IF(OR(D190="",G190="",H190=""),"",ABS(PMT(G190%/12,H190,D190))),"")</f>
        <v/>
      </c>
      <c r="J190" s="43">
        <f>IF(B190="","","Active")</f>
        <v/>
      </c>
    </row>
    <row r="191">
      <c r="A191" s="41">
        <f>IF(B191="","","LN"&amp;TEXT(ROW()-2,"0000"))</f>
        <v/>
      </c>
      <c r="B191" s="26" t="n"/>
      <c r="C191" s="26">
        <f>IFERROR(IF(B191="","",VLOOKUP(B191,DATABASE!A:B,2,0)),"")</f>
        <v/>
      </c>
      <c r="D191" s="30" t="n"/>
      <c r="E191" s="31">
        <f>IF(B191="","",TODAY())</f>
        <v/>
      </c>
      <c r="F191" s="26" t="n"/>
      <c r="G191" s="26" t="n"/>
      <c r="H191" s="26" t="n"/>
      <c r="I191" s="30">
        <f>IFERROR(IF(OR(D191="",G191="",H191=""),"",ABS(PMT(G191%/12,H191,D191))),"")</f>
        <v/>
      </c>
      <c r="J191" s="26">
        <f>IF(B191="","","Active")</f>
        <v/>
      </c>
    </row>
    <row r="192">
      <c r="A192" s="42">
        <f>IF(B192="","","LN"&amp;TEXT(ROW()-2,"0000"))</f>
        <v/>
      </c>
      <c r="B192" s="43" t="n"/>
      <c r="C192" s="43">
        <f>IFERROR(IF(B192="","",VLOOKUP(B192,DATABASE!A:B,2,0)),"")</f>
        <v/>
      </c>
      <c r="D192" s="44" t="n"/>
      <c r="E192" s="45">
        <f>IF(B192="","",TODAY())</f>
        <v/>
      </c>
      <c r="F192" s="43" t="n"/>
      <c r="G192" s="43" t="n"/>
      <c r="H192" s="43" t="n"/>
      <c r="I192" s="44">
        <f>IFERROR(IF(OR(D192="",G192="",H192=""),"",ABS(PMT(G192%/12,H192,D192))),"")</f>
        <v/>
      </c>
      <c r="J192" s="43">
        <f>IF(B192="","","Active")</f>
        <v/>
      </c>
    </row>
    <row r="193">
      <c r="A193" s="41">
        <f>IF(B193="","","LN"&amp;TEXT(ROW()-2,"0000"))</f>
        <v/>
      </c>
      <c r="B193" s="26" t="n"/>
      <c r="C193" s="26">
        <f>IFERROR(IF(B193="","",VLOOKUP(B193,DATABASE!A:B,2,0)),"")</f>
        <v/>
      </c>
      <c r="D193" s="30" t="n"/>
      <c r="E193" s="31">
        <f>IF(B193="","",TODAY())</f>
        <v/>
      </c>
      <c r="F193" s="26" t="n"/>
      <c r="G193" s="26" t="n"/>
      <c r="H193" s="26" t="n"/>
      <c r="I193" s="30">
        <f>IFERROR(IF(OR(D193="",G193="",H193=""),"",ABS(PMT(G193%/12,H193,D193))),"")</f>
        <v/>
      </c>
      <c r="J193" s="26">
        <f>IF(B193="","","Active")</f>
        <v/>
      </c>
    </row>
    <row r="194">
      <c r="A194" s="42">
        <f>IF(B194="","","LN"&amp;TEXT(ROW()-2,"0000"))</f>
        <v/>
      </c>
      <c r="B194" s="43" t="n"/>
      <c r="C194" s="43">
        <f>IFERROR(IF(B194="","",VLOOKUP(B194,DATABASE!A:B,2,0)),"")</f>
        <v/>
      </c>
      <c r="D194" s="44" t="n"/>
      <c r="E194" s="45">
        <f>IF(B194="","",TODAY())</f>
        <v/>
      </c>
      <c r="F194" s="43" t="n"/>
      <c r="G194" s="43" t="n"/>
      <c r="H194" s="43" t="n"/>
      <c r="I194" s="44">
        <f>IFERROR(IF(OR(D194="",G194="",H194=""),"",ABS(PMT(G194%/12,H194,D194))),"")</f>
        <v/>
      </c>
      <c r="J194" s="43">
        <f>IF(B194="","","Active")</f>
        <v/>
      </c>
    </row>
    <row r="195">
      <c r="A195" s="41">
        <f>IF(B195="","","LN"&amp;TEXT(ROW()-2,"0000"))</f>
        <v/>
      </c>
      <c r="B195" s="26" t="n"/>
      <c r="C195" s="26">
        <f>IFERROR(IF(B195="","",VLOOKUP(B195,DATABASE!A:B,2,0)),"")</f>
        <v/>
      </c>
      <c r="D195" s="30" t="n"/>
      <c r="E195" s="31">
        <f>IF(B195="","",TODAY())</f>
        <v/>
      </c>
      <c r="F195" s="26" t="n"/>
      <c r="G195" s="26" t="n"/>
      <c r="H195" s="26" t="n"/>
      <c r="I195" s="30">
        <f>IFERROR(IF(OR(D195="",G195="",H195=""),"",ABS(PMT(G195%/12,H195,D195))),"")</f>
        <v/>
      </c>
      <c r="J195" s="26">
        <f>IF(B195="","","Active")</f>
        <v/>
      </c>
    </row>
    <row r="196">
      <c r="A196" s="42">
        <f>IF(B196="","","LN"&amp;TEXT(ROW()-2,"0000"))</f>
        <v/>
      </c>
      <c r="B196" s="43" t="n"/>
      <c r="C196" s="43">
        <f>IFERROR(IF(B196="","",VLOOKUP(B196,DATABASE!A:B,2,0)),"")</f>
        <v/>
      </c>
      <c r="D196" s="44" t="n"/>
      <c r="E196" s="45">
        <f>IF(B196="","",TODAY())</f>
        <v/>
      </c>
      <c r="F196" s="43" t="n"/>
      <c r="G196" s="43" t="n"/>
      <c r="H196" s="43" t="n"/>
      <c r="I196" s="44">
        <f>IFERROR(IF(OR(D196="",G196="",H196=""),"",ABS(PMT(G196%/12,H196,D196))),"")</f>
        <v/>
      </c>
      <c r="J196" s="43">
        <f>IF(B196="","","Active")</f>
        <v/>
      </c>
    </row>
    <row r="197">
      <c r="A197" s="41">
        <f>IF(B197="","","LN"&amp;TEXT(ROW()-2,"0000"))</f>
        <v/>
      </c>
      <c r="B197" s="26" t="n"/>
      <c r="C197" s="26">
        <f>IFERROR(IF(B197="","",VLOOKUP(B197,DATABASE!A:B,2,0)),"")</f>
        <v/>
      </c>
      <c r="D197" s="30" t="n"/>
      <c r="E197" s="31">
        <f>IF(B197="","",TODAY())</f>
        <v/>
      </c>
      <c r="F197" s="26" t="n"/>
      <c r="G197" s="26" t="n"/>
      <c r="H197" s="26" t="n"/>
      <c r="I197" s="30">
        <f>IFERROR(IF(OR(D197="",G197="",H197=""),"",ABS(PMT(G197%/12,H197,D197))),"")</f>
        <v/>
      </c>
      <c r="J197" s="26">
        <f>IF(B197="","","Active")</f>
        <v/>
      </c>
    </row>
    <row r="198">
      <c r="A198" s="42">
        <f>IF(B198="","","LN"&amp;TEXT(ROW()-2,"0000"))</f>
        <v/>
      </c>
      <c r="B198" s="43" t="n"/>
      <c r="C198" s="43">
        <f>IFERROR(IF(B198="","",VLOOKUP(B198,DATABASE!A:B,2,0)),"")</f>
        <v/>
      </c>
      <c r="D198" s="44" t="n"/>
      <c r="E198" s="45">
        <f>IF(B198="","",TODAY())</f>
        <v/>
      </c>
      <c r="F198" s="43" t="n"/>
      <c r="G198" s="43" t="n"/>
      <c r="H198" s="43" t="n"/>
      <c r="I198" s="44">
        <f>IFERROR(IF(OR(D198="",G198="",H198=""),"",ABS(PMT(G198%/12,H198,D198))),"")</f>
        <v/>
      </c>
      <c r="J198" s="43">
        <f>IF(B198="","","Active")</f>
        <v/>
      </c>
    </row>
    <row r="199">
      <c r="A199" s="41">
        <f>IF(B199="","","LN"&amp;TEXT(ROW()-2,"0000"))</f>
        <v/>
      </c>
      <c r="B199" s="26" t="n"/>
      <c r="C199" s="26">
        <f>IFERROR(IF(B199="","",VLOOKUP(B199,DATABASE!A:B,2,0)),"")</f>
        <v/>
      </c>
      <c r="D199" s="30" t="n"/>
      <c r="E199" s="31">
        <f>IF(B199="","",TODAY())</f>
        <v/>
      </c>
      <c r="F199" s="26" t="n"/>
      <c r="G199" s="26" t="n"/>
      <c r="H199" s="26" t="n"/>
      <c r="I199" s="30">
        <f>IFERROR(IF(OR(D199="",G199="",H199=""),"",ABS(PMT(G199%/12,H199,D199))),"")</f>
        <v/>
      </c>
      <c r="J199" s="26">
        <f>IF(B199="","","Active")</f>
        <v/>
      </c>
    </row>
    <row r="200">
      <c r="A200" s="42">
        <f>IF(B200="","","LN"&amp;TEXT(ROW()-2,"0000"))</f>
        <v/>
      </c>
      <c r="B200" s="43" t="n"/>
      <c r="C200" s="43">
        <f>IFERROR(IF(B200="","",VLOOKUP(B200,DATABASE!A:B,2,0)),"")</f>
        <v/>
      </c>
      <c r="D200" s="44" t="n"/>
      <c r="E200" s="45">
        <f>IF(B200="","",TODAY())</f>
        <v/>
      </c>
      <c r="F200" s="43" t="n"/>
      <c r="G200" s="43" t="n"/>
      <c r="H200" s="43" t="n"/>
      <c r="I200" s="44">
        <f>IFERROR(IF(OR(D200="",G200="",H200=""),"",ABS(PMT(G200%/12,H200,D200))),"")</f>
        <v/>
      </c>
      <c r="J200" s="43">
        <f>IF(B200="","","Active")</f>
        <v/>
      </c>
    </row>
    <row r="201">
      <c r="A201" s="41">
        <f>IF(B201="","","LN"&amp;TEXT(ROW()-2,"0000"))</f>
        <v/>
      </c>
      <c r="B201" s="26" t="n"/>
      <c r="C201" s="26">
        <f>IFERROR(IF(B201="","",VLOOKUP(B201,DATABASE!A:B,2,0)),"")</f>
        <v/>
      </c>
      <c r="D201" s="30" t="n"/>
      <c r="E201" s="31">
        <f>IF(B201="","",TODAY())</f>
        <v/>
      </c>
      <c r="F201" s="26" t="n"/>
      <c r="G201" s="26" t="n"/>
      <c r="H201" s="26" t="n"/>
      <c r="I201" s="30">
        <f>IFERROR(IF(OR(D201="",G201="",H201=""),"",ABS(PMT(G201%/12,H201,D201))),"")</f>
        <v/>
      </c>
      <c r="J201" s="26">
        <f>IF(B201="","","Active")</f>
        <v/>
      </c>
    </row>
    <row r="202">
      <c r="A202" s="42">
        <f>IF(B202="","","LN"&amp;TEXT(ROW()-2,"0000"))</f>
        <v/>
      </c>
      <c r="B202" s="43" t="n"/>
      <c r="C202" s="43">
        <f>IFERROR(IF(B202="","",VLOOKUP(B202,DATABASE!A:B,2,0)),"")</f>
        <v/>
      </c>
      <c r="D202" s="44" t="n"/>
      <c r="E202" s="45">
        <f>IF(B202="","",TODAY())</f>
        <v/>
      </c>
      <c r="F202" s="43" t="n"/>
      <c r="G202" s="43" t="n"/>
      <c r="H202" s="43" t="n"/>
      <c r="I202" s="44">
        <f>IFERROR(IF(OR(D202="",G202="",H202=""),"",ABS(PMT(G202%/12,H202,D202))),"")</f>
        <v/>
      </c>
      <c r="J202" s="43">
        <f>IF(B202="","","Active")</f>
        <v/>
      </c>
    </row>
    <row r="203">
      <c r="A203" s="41">
        <f>IF(B203="","","LN"&amp;TEXT(ROW()-2,"0000"))</f>
        <v/>
      </c>
      <c r="B203" s="26" t="n"/>
      <c r="C203" s="26">
        <f>IFERROR(IF(B203="","",VLOOKUP(B203,DATABASE!A:B,2,0)),"")</f>
        <v/>
      </c>
      <c r="D203" s="30" t="n"/>
      <c r="E203" s="31">
        <f>IF(B203="","",TODAY())</f>
        <v/>
      </c>
      <c r="F203" s="26" t="n"/>
      <c r="G203" s="26" t="n"/>
      <c r="H203" s="26" t="n"/>
      <c r="I203" s="30">
        <f>IFERROR(IF(OR(D203="",G203="",H203=""),"",ABS(PMT(G203%/12,H203,D203))),"")</f>
        <v/>
      </c>
      <c r="J203" s="26">
        <f>IF(B203="","","Active")</f>
        <v/>
      </c>
    </row>
    <row r="204">
      <c r="A204" s="42">
        <f>IF(B204="","","LN"&amp;TEXT(ROW()-2,"0000"))</f>
        <v/>
      </c>
      <c r="B204" s="43" t="n"/>
      <c r="C204" s="43">
        <f>IFERROR(IF(B204="","",VLOOKUP(B204,DATABASE!A:B,2,0)),"")</f>
        <v/>
      </c>
      <c r="D204" s="44" t="n"/>
      <c r="E204" s="45">
        <f>IF(B204="","",TODAY())</f>
        <v/>
      </c>
      <c r="F204" s="43" t="n"/>
      <c r="G204" s="43" t="n"/>
      <c r="H204" s="43" t="n"/>
      <c r="I204" s="44">
        <f>IFERROR(IF(OR(D204="",G204="",H204=""),"",ABS(PMT(G204%/12,H204,D204))),"")</f>
        <v/>
      </c>
      <c r="J204" s="43">
        <f>IF(B204="","","Active")</f>
        <v/>
      </c>
    </row>
    <row r="205">
      <c r="A205" s="41">
        <f>IF(B205="","","LN"&amp;TEXT(ROW()-2,"0000"))</f>
        <v/>
      </c>
      <c r="B205" s="26" t="n"/>
      <c r="C205" s="26">
        <f>IFERROR(IF(B205="","",VLOOKUP(B205,DATABASE!A:B,2,0)),"")</f>
        <v/>
      </c>
      <c r="D205" s="30" t="n"/>
      <c r="E205" s="31">
        <f>IF(B205="","",TODAY())</f>
        <v/>
      </c>
      <c r="F205" s="26" t="n"/>
      <c r="G205" s="26" t="n"/>
      <c r="H205" s="26" t="n"/>
      <c r="I205" s="30">
        <f>IFERROR(IF(OR(D205="",G205="",H205=""),"",ABS(PMT(G205%/12,H205,D205))),"")</f>
        <v/>
      </c>
      <c r="J205" s="26">
        <f>IF(B205="","","Active")</f>
        <v/>
      </c>
    </row>
    <row r="206">
      <c r="A206" s="42">
        <f>IF(B206="","","LN"&amp;TEXT(ROW()-2,"0000"))</f>
        <v/>
      </c>
      <c r="B206" s="43" t="n"/>
      <c r="C206" s="43">
        <f>IFERROR(IF(B206="","",VLOOKUP(B206,DATABASE!A:B,2,0)),"")</f>
        <v/>
      </c>
      <c r="D206" s="44" t="n"/>
      <c r="E206" s="45">
        <f>IF(B206="","",TODAY())</f>
        <v/>
      </c>
      <c r="F206" s="43" t="n"/>
      <c r="G206" s="43" t="n"/>
      <c r="H206" s="43" t="n"/>
      <c r="I206" s="44">
        <f>IFERROR(IF(OR(D206="",G206="",H206=""),"",ABS(PMT(G206%/12,H206,D206))),"")</f>
        <v/>
      </c>
      <c r="J206" s="43">
        <f>IF(B206="","","Active")</f>
        <v/>
      </c>
    </row>
    <row r="207">
      <c r="A207" s="41">
        <f>IF(B207="","","LN"&amp;TEXT(ROW()-2,"0000"))</f>
        <v/>
      </c>
      <c r="B207" s="26" t="n"/>
      <c r="C207" s="26">
        <f>IFERROR(IF(B207="","",VLOOKUP(B207,DATABASE!A:B,2,0)),"")</f>
        <v/>
      </c>
      <c r="D207" s="30" t="n"/>
      <c r="E207" s="31">
        <f>IF(B207="","",TODAY())</f>
        <v/>
      </c>
      <c r="F207" s="26" t="n"/>
      <c r="G207" s="26" t="n"/>
      <c r="H207" s="26" t="n"/>
      <c r="I207" s="30">
        <f>IFERROR(IF(OR(D207="",G207="",H207=""),"",ABS(PMT(G207%/12,H207,D207))),"")</f>
        <v/>
      </c>
      <c r="J207" s="26">
        <f>IF(B207="","","Active")</f>
        <v/>
      </c>
    </row>
    <row r="208">
      <c r="A208" s="42">
        <f>IF(B208="","","LN"&amp;TEXT(ROW()-2,"0000"))</f>
        <v/>
      </c>
      <c r="B208" s="43" t="n"/>
      <c r="C208" s="43">
        <f>IFERROR(IF(B208="","",VLOOKUP(B208,DATABASE!A:B,2,0)),"")</f>
        <v/>
      </c>
      <c r="D208" s="44" t="n"/>
      <c r="E208" s="45">
        <f>IF(B208="","",TODAY())</f>
        <v/>
      </c>
      <c r="F208" s="43" t="n"/>
      <c r="G208" s="43" t="n"/>
      <c r="H208" s="43" t="n"/>
      <c r="I208" s="44">
        <f>IFERROR(IF(OR(D208="",G208="",H208=""),"",ABS(PMT(G208%/12,H208,D208))),"")</f>
        <v/>
      </c>
      <c r="J208" s="43">
        <f>IF(B208="","","Active")</f>
        <v/>
      </c>
    </row>
    <row r="209">
      <c r="A209" s="41">
        <f>IF(B209="","","LN"&amp;TEXT(ROW()-2,"0000"))</f>
        <v/>
      </c>
      <c r="B209" s="26" t="n"/>
      <c r="C209" s="26">
        <f>IFERROR(IF(B209="","",VLOOKUP(B209,DATABASE!A:B,2,0)),"")</f>
        <v/>
      </c>
      <c r="D209" s="30" t="n"/>
      <c r="E209" s="31">
        <f>IF(B209="","",TODAY())</f>
        <v/>
      </c>
      <c r="F209" s="26" t="n"/>
      <c r="G209" s="26" t="n"/>
      <c r="H209" s="26" t="n"/>
      <c r="I209" s="30">
        <f>IFERROR(IF(OR(D209="",G209="",H209=""),"",ABS(PMT(G209%/12,H209,D209))),"")</f>
        <v/>
      </c>
      <c r="J209" s="26">
        <f>IF(B209="","","Active")</f>
        <v/>
      </c>
    </row>
    <row r="210">
      <c r="A210" s="42">
        <f>IF(B210="","","LN"&amp;TEXT(ROW()-2,"0000"))</f>
        <v/>
      </c>
      <c r="B210" s="43" t="n"/>
      <c r="C210" s="43">
        <f>IFERROR(IF(B210="","",VLOOKUP(B210,DATABASE!A:B,2,0)),"")</f>
        <v/>
      </c>
      <c r="D210" s="44" t="n"/>
      <c r="E210" s="45">
        <f>IF(B210="","",TODAY())</f>
        <v/>
      </c>
      <c r="F210" s="43" t="n"/>
      <c r="G210" s="43" t="n"/>
      <c r="H210" s="43" t="n"/>
      <c r="I210" s="44">
        <f>IFERROR(IF(OR(D210="",G210="",H210=""),"",ABS(PMT(G210%/12,H210,D210))),"")</f>
        <v/>
      </c>
      <c r="J210" s="43">
        <f>IF(B210="","","Active")</f>
        <v/>
      </c>
    </row>
    <row r="211">
      <c r="A211" s="41">
        <f>IF(B211="","","LN"&amp;TEXT(ROW()-2,"0000"))</f>
        <v/>
      </c>
      <c r="B211" s="26" t="n"/>
      <c r="C211" s="26">
        <f>IFERROR(IF(B211="","",VLOOKUP(B211,DATABASE!A:B,2,0)),"")</f>
        <v/>
      </c>
      <c r="D211" s="30" t="n"/>
      <c r="E211" s="31">
        <f>IF(B211="","",TODAY())</f>
        <v/>
      </c>
      <c r="F211" s="26" t="n"/>
      <c r="G211" s="26" t="n"/>
      <c r="H211" s="26" t="n"/>
      <c r="I211" s="30">
        <f>IFERROR(IF(OR(D211="",G211="",H211=""),"",ABS(PMT(G211%/12,H211,D211))),"")</f>
        <v/>
      </c>
      <c r="J211" s="26">
        <f>IF(B211="","","Active")</f>
        <v/>
      </c>
    </row>
    <row r="212">
      <c r="A212" s="42">
        <f>IF(B212="","","LN"&amp;TEXT(ROW()-2,"0000"))</f>
        <v/>
      </c>
      <c r="B212" s="43" t="n"/>
      <c r="C212" s="43">
        <f>IFERROR(IF(B212="","",VLOOKUP(B212,DATABASE!A:B,2,0)),"")</f>
        <v/>
      </c>
      <c r="D212" s="44" t="n"/>
      <c r="E212" s="45">
        <f>IF(B212="","",TODAY())</f>
        <v/>
      </c>
      <c r="F212" s="43" t="n"/>
      <c r="G212" s="43" t="n"/>
      <c r="H212" s="43" t="n"/>
      <c r="I212" s="44">
        <f>IFERROR(IF(OR(D212="",G212="",H212=""),"",ABS(PMT(G212%/12,H212,D212))),"")</f>
        <v/>
      </c>
      <c r="J212" s="43">
        <f>IF(B212="","","Active")</f>
        <v/>
      </c>
    </row>
    <row r="213">
      <c r="A213" s="41">
        <f>IF(B213="","","LN"&amp;TEXT(ROW()-2,"0000"))</f>
        <v/>
      </c>
      <c r="B213" s="26" t="n"/>
      <c r="C213" s="26">
        <f>IFERROR(IF(B213="","",VLOOKUP(B213,DATABASE!A:B,2,0)),"")</f>
        <v/>
      </c>
      <c r="D213" s="30" t="n"/>
      <c r="E213" s="31">
        <f>IF(B213="","",TODAY())</f>
        <v/>
      </c>
      <c r="F213" s="26" t="n"/>
      <c r="G213" s="26" t="n"/>
      <c r="H213" s="26" t="n"/>
      <c r="I213" s="30">
        <f>IFERROR(IF(OR(D213="",G213="",H213=""),"",ABS(PMT(G213%/12,H213,D213))),"")</f>
        <v/>
      </c>
      <c r="J213" s="26">
        <f>IF(B213="","","Active")</f>
        <v/>
      </c>
    </row>
    <row r="214">
      <c r="A214" s="42">
        <f>IF(B214="","","LN"&amp;TEXT(ROW()-2,"0000"))</f>
        <v/>
      </c>
      <c r="B214" s="43" t="n"/>
      <c r="C214" s="43">
        <f>IFERROR(IF(B214="","",VLOOKUP(B214,DATABASE!A:B,2,0)),"")</f>
        <v/>
      </c>
      <c r="D214" s="44" t="n"/>
      <c r="E214" s="45">
        <f>IF(B214="","",TODAY())</f>
        <v/>
      </c>
      <c r="F214" s="43" t="n"/>
      <c r="G214" s="43" t="n"/>
      <c r="H214" s="43" t="n"/>
      <c r="I214" s="44">
        <f>IFERROR(IF(OR(D214="",G214="",H214=""),"",ABS(PMT(G214%/12,H214,D214))),"")</f>
        <v/>
      </c>
      <c r="J214" s="43">
        <f>IF(B214="","","Active")</f>
        <v/>
      </c>
    </row>
    <row r="215">
      <c r="A215" s="41">
        <f>IF(B215="","","LN"&amp;TEXT(ROW()-2,"0000"))</f>
        <v/>
      </c>
      <c r="B215" s="26" t="n"/>
      <c r="C215" s="26">
        <f>IFERROR(IF(B215="","",VLOOKUP(B215,DATABASE!A:B,2,0)),"")</f>
        <v/>
      </c>
      <c r="D215" s="30" t="n"/>
      <c r="E215" s="31">
        <f>IF(B215="","",TODAY())</f>
        <v/>
      </c>
      <c r="F215" s="26" t="n"/>
      <c r="G215" s="26" t="n"/>
      <c r="H215" s="26" t="n"/>
      <c r="I215" s="30">
        <f>IFERROR(IF(OR(D215="",G215="",H215=""),"",ABS(PMT(G215%/12,H215,D215))),"")</f>
        <v/>
      </c>
      <c r="J215" s="26">
        <f>IF(B215="","","Active")</f>
        <v/>
      </c>
    </row>
    <row r="216">
      <c r="A216" s="42">
        <f>IF(B216="","","LN"&amp;TEXT(ROW()-2,"0000"))</f>
        <v/>
      </c>
      <c r="B216" s="43" t="n"/>
      <c r="C216" s="43">
        <f>IFERROR(IF(B216="","",VLOOKUP(B216,DATABASE!A:B,2,0)),"")</f>
        <v/>
      </c>
      <c r="D216" s="44" t="n"/>
      <c r="E216" s="45">
        <f>IF(B216="","",TODAY())</f>
        <v/>
      </c>
      <c r="F216" s="43" t="n"/>
      <c r="G216" s="43" t="n"/>
      <c r="H216" s="43" t="n"/>
      <c r="I216" s="44">
        <f>IFERROR(IF(OR(D216="",G216="",H216=""),"",ABS(PMT(G216%/12,H216,D216))),"")</f>
        <v/>
      </c>
      <c r="J216" s="43">
        <f>IF(B216="","","Active")</f>
        <v/>
      </c>
    </row>
    <row r="217">
      <c r="A217" s="41">
        <f>IF(B217="","","LN"&amp;TEXT(ROW()-2,"0000"))</f>
        <v/>
      </c>
      <c r="B217" s="26" t="n"/>
      <c r="C217" s="26">
        <f>IFERROR(IF(B217="","",VLOOKUP(B217,DATABASE!A:B,2,0)),"")</f>
        <v/>
      </c>
      <c r="D217" s="30" t="n"/>
      <c r="E217" s="31">
        <f>IF(B217="","",TODAY())</f>
        <v/>
      </c>
      <c r="F217" s="26" t="n"/>
      <c r="G217" s="26" t="n"/>
      <c r="H217" s="26" t="n"/>
      <c r="I217" s="30">
        <f>IFERROR(IF(OR(D217="",G217="",H217=""),"",ABS(PMT(G217%/12,H217,D217))),"")</f>
        <v/>
      </c>
      <c r="J217" s="26">
        <f>IF(B217="","","Active")</f>
        <v/>
      </c>
    </row>
    <row r="218">
      <c r="A218" s="42">
        <f>IF(B218="","","LN"&amp;TEXT(ROW()-2,"0000"))</f>
        <v/>
      </c>
      <c r="B218" s="43" t="n"/>
      <c r="C218" s="43">
        <f>IFERROR(IF(B218="","",VLOOKUP(B218,DATABASE!A:B,2,0)),"")</f>
        <v/>
      </c>
      <c r="D218" s="44" t="n"/>
      <c r="E218" s="45">
        <f>IF(B218="","",TODAY())</f>
        <v/>
      </c>
      <c r="F218" s="43" t="n"/>
      <c r="G218" s="43" t="n"/>
      <c r="H218" s="43" t="n"/>
      <c r="I218" s="44">
        <f>IFERROR(IF(OR(D218="",G218="",H218=""),"",ABS(PMT(G218%/12,H218,D218))),"")</f>
        <v/>
      </c>
      <c r="J218" s="43">
        <f>IF(B218="","","Active")</f>
        <v/>
      </c>
    </row>
    <row r="219">
      <c r="A219" s="41">
        <f>IF(B219="","","LN"&amp;TEXT(ROW()-2,"0000"))</f>
        <v/>
      </c>
      <c r="B219" s="26" t="n"/>
      <c r="C219" s="26">
        <f>IFERROR(IF(B219="","",VLOOKUP(B219,DATABASE!A:B,2,0)),"")</f>
        <v/>
      </c>
      <c r="D219" s="30" t="n"/>
      <c r="E219" s="31">
        <f>IF(B219="","",TODAY())</f>
        <v/>
      </c>
      <c r="F219" s="26" t="n"/>
      <c r="G219" s="26" t="n"/>
      <c r="H219" s="26" t="n"/>
      <c r="I219" s="30">
        <f>IFERROR(IF(OR(D219="",G219="",H219=""),"",ABS(PMT(G219%/12,H219,D219))),"")</f>
        <v/>
      </c>
      <c r="J219" s="26">
        <f>IF(B219="","","Active")</f>
        <v/>
      </c>
    </row>
    <row r="220">
      <c r="A220" s="42">
        <f>IF(B220="","","LN"&amp;TEXT(ROW()-2,"0000"))</f>
        <v/>
      </c>
      <c r="B220" s="43" t="n"/>
      <c r="C220" s="43">
        <f>IFERROR(IF(B220="","",VLOOKUP(B220,DATABASE!A:B,2,0)),"")</f>
        <v/>
      </c>
      <c r="D220" s="44" t="n"/>
      <c r="E220" s="45">
        <f>IF(B220="","",TODAY())</f>
        <v/>
      </c>
      <c r="F220" s="43" t="n"/>
      <c r="G220" s="43" t="n"/>
      <c r="H220" s="43" t="n"/>
      <c r="I220" s="44">
        <f>IFERROR(IF(OR(D220="",G220="",H220=""),"",ABS(PMT(G220%/12,H220,D220))),"")</f>
        <v/>
      </c>
      <c r="J220" s="43">
        <f>IF(B220="","","Active")</f>
        <v/>
      </c>
    </row>
    <row r="221">
      <c r="A221" s="41">
        <f>IF(B221="","","LN"&amp;TEXT(ROW()-2,"0000"))</f>
        <v/>
      </c>
      <c r="B221" s="26" t="n"/>
      <c r="C221" s="26">
        <f>IFERROR(IF(B221="","",VLOOKUP(B221,DATABASE!A:B,2,0)),"")</f>
        <v/>
      </c>
      <c r="D221" s="30" t="n"/>
      <c r="E221" s="31">
        <f>IF(B221="","",TODAY())</f>
        <v/>
      </c>
      <c r="F221" s="26" t="n"/>
      <c r="G221" s="26" t="n"/>
      <c r="H221" s="26" t="n"/>
      <c r="I221" s="30">
        <f>IFERROR(IF(OR(D221="",G221="",H221=""),"",ABS(PMT(G221%/12,H221,D221))),"")</f>
        <v/>
      </c>
      <c r="J221" s="26">
        <f>IF(B221="","","Active")</f>
        <v/>
      </c>
    </row>
    <row r="222">
      <c r="A222" s="42">
        <f>IF(B222="","","LN"&amp;TEXT(ROW()-2,"0000"))</f>
        <v/>
      </c>
      <c r="B222" s="43" t="n"/>
      <c r="C222" s="43">
        <f>IFERROR(IF(B222="","",VLOOKUP(B222,DATABASE!A:B,2,0)),"")</f>
        <v/>
      </c>
      <c r="D222" s="44" t="n"/>
      <c r="E222" s="45">
        <f>IF(B222="","",TODAY())</f>
        <v/>
      </c>
      <c r="F222" s="43" t="n"/>
      <c r="G222" s="43" t="n"/>
      <c r="H222" s="43" t="n"/>
      <c r="I222" s="44">
        <f>IFERROR(IF(OR(D222="",G222="",H222=""),"",ABS(PMT(G222%/12,H222,D222))),"")</f>
        <v/>
      </c>
      <c r="J222" s="43">
        <f>IF(B222="","","Active")</f>
        <v/>
      </c>
    </row>
    <row r="223">
      <c r="A223" s="41">
        <f>IF(B223="","","LN"&amp;TEXT(ROW()-2,"0000"))</f>
        <v/>
      </c>
      <c r="B223" s="26" t="n"/>
      <c r="C223" s="26">
        <f>IFERROR(IF(B223="","",VLOOKUP(B223,DATABASE!A:B,2,0)),"")</f>
        <v/>
      </c>
      <c r="D223" s="30" t="n"/>
      <c r="E223" s="31">
        <f>IF(B223="","",TODAY())</f>
        <v/>
      </c>
      <c r="F223" s="26" t="n"/>
      <c r="G223" s="26" t="n"/>
      <c r="H223" s="26" t="n"/>
      <c r="I223" s="30">
        <f>IFERROR(IF(OR(D223="",G223="",H223=""),"",ABS(PMT(G223%/12,H223,D223))),"")</f>
        <v/>
      </c>
      <c r="J223" s="26">
        <f>IF(B223="","","Active")</f>
        <v/>
      </c>
    </row>
    <row r="224">
      <c r="A224" s="42">
        <f>IF(B224="","","LN"&amp;TEXT(ROW()-2,"0000"))</f>
        <v/>
      </c>
      <c r="B224" s="43" t="n"/>
      <c r="C224" s="43">
        <f>IFERROR(IF(B224="","",VLOOKUP(B224,DATABASE!A:B,2,0)),"")</f>
        <v/>
      </c>
      <c r="D224" s="44" t="n"/>
      <c r="E224" s="45">
        <f>IF(B224="","",TODAY())</f>
        <v/>
      </c>
      <c r="F224" s="43" t="n"/>
      <c r="G224" s="43" t="n"/>
      <c r="H224" s="43" t="n"/>
      <c r="I224" s="44">
        <f>IFERROR(IF(OR(D224="",G224="",H224=""),"",ABS(PMT(G224%/12,H224,D224))),"")</f>
        <v/>
      </c>
      <c r="J224" s="43">
        <f>IF(B224="","","Active")</f>
        <v/>
      </c>
    </row>
    <row r="225">
      <c r="A225" s="41">
        <f>IF(B225="","","LN"&amp;TEXT(ROW()-2,"0000"))</f>
        <v/>
      </c>
      <c r="B225" s="26" t="n"/>
      <c r="C225" s="26">
        <f>IFERROR(IF(B225="","",VLOOKUP(B225,DATABASE!A:B,2,0)),"")</f>
        <v/>
      </c>
      <c r="D225" s="30" t="n"/>
      <c r="E225" s="31">
        <f>IF(B225="","",TODAY())</f>
        <v/>
      </c>
      <c r="F225" s="26" t="n"/>
      <c r="G225" s="26" t="n"/>
      <c r="H225" s="26" t="n"/>
      <c r="I225" s="30">
        <f>IFERROR(IF(OR(D225="",G225="",H225=""),"",ABS(PMT(G225%/12,H225,D225))),"")</f>
        <v/>
      </c>
      <c r="J225" s="26">
        <f>IF(B225="","","Active")</f>
        <v/>
      </c>
    </row>
    <row r="226">
      <c r="A226" s="42">
        <f>IF(B226="","","LN"&amp;TEXT(ROW()-2,"0000"))</f>
        <v/>
      </c>
      <c r="B226" s="43" t="n"/>
      <c r="C226" s="43">
        <f>IFERROR(IF(B226="","",VLOOKUP(B226,DATABASE!A:B,2,0)),"")</f>
        <v/>
      </c>
      <c r="D226" s="44" t="n"/>
      <c r="E226" s="45">
        <f>IF(B226="","",TODAY())</f>
        <v/>
      </c>
      <c r="F226" s="43" t="n"/>
      <c r="G226" s="43" t="n"/>
      <c r="H226" s="43" t="n"/>
      <c r="I226" s="44">
        <f>IFERROR(IF(OR(D226="",G226="",H226=""),"",ABS(PMT(G226%/12,H226,D226))),"")</f>
        <v/>
      </c>
      <c r="J226" s="43">
        <f>IF(B226="","","Active")</f>
        <v/>
      </c>
    </row>
    <row r="227">
      <c r="A227" s="41">
        <f>IF(B227="","","LN"&amp;TEXT(ROW()-2,"0000"))</f>
        <v/>
      </c>
      <c r="B227" s="26" t="n"/>
      <c r="C227" s="26">
        <f>IFERROR(IF(B227="","",VLOOKUP(B227,DATABASE!A:B,2,0)),"")</f>
        <v/>
      </c>
      <c r="D227" s="30" t="n"/>
      <c r="E227" s="31">
        <f>IF(B227="","",TODAY())</f>
        <v/>
      </c>
      <c r="F227" s="26" t="n"/>
      <c r="G227" s="26" t="n"/>
      <c r="H227" s="26" t="n"/>
      <c r="I227" s="30">
        <f>IFERROR(IF(OR(D227="",G227="",H227=""),"",ABS(PMT(G227%/12,H227,D227))),"")</f>
        <v/>
      </c>
      <c r="J227" s="26">
        <f>IF(B227="","","Active")</f>
        <v/>
      </c>
    </row>
    <row r="228">
      <c r="A228" s="42">
        <f>IF(B228="","","LN"&amp;TEXT(ROW()-2,"0000"))</f>
        <v/>
      </c>
      <c r="B228" s="43" t="n"/>
      <c r="C228" s="43">
        <f>IFERROR(IF(B228="","",VLOOKUP(B228,DATABASE!A:B,2,0)),"")</f>
        <v/>
      </c>
      <c r="D228" s="44" t="n"/>
      <c r="E228" s="45">
        <f>IF(B228="","",TODAY())</f>
        <v/>
      </c>
      <c r="F228" s="43" t="n"/>
      <c r="G228" s="43" t="n"/>
      <c r="H228" s="43" t="n"/>
      <c r="I228" s="44">
        <f>IFERROR(IF(OR(D228="",G228="",H228=""),"",ABS(PMT(G228%/12,H228,D228))),"")</f>
        <v/>
      </c>
      <c r="J228" s="43">
        <f>IF(B228="","","Active")</f>
        <v/>
      </c>
    </row>
    <row r="229">
      <c r="A229" s="41">
        <f>IF(B229="","","LN"&amp;TEXT(ROW()-2,"0000"))</f>
        <v/>
      </c>
      <c r="B229" s="26" t="n"/>
      <c r="C229" s="26">
        <f>IFERROR(IF(B229="","",VLOOKUP(B229,DATABASE!A:B,2,0)),"")</f>
        <v/>
      </c>
      <c r="D229" s="30" t="n"/>
      <c r="E229" s="31">
        <f>IF(B229="","",TODAY())</f>
        <v/>
      </c>
      <c r="F229" s="26" t="n"/>
      <c r="G229" s="26" t="n"/>
      <c r="H229" s="26" t="n"/>
      <c r="I229" s="30">
        <f>IFERROR(IF(OR(D229="",G229="",H229=""),"",ABS(PMT(G229%/12,H229,D229))),"")</f>
        <v/>
      </c>
      <c r="J229" s="26">
        <f>IF(B229="","","Active")</f>
        <v/>
      </c>
    </row>
    <row r="230">
      <c r="A230" s="42">
        <f>IF(B230="","","LN"&amp;TEXT(ROW()-2,"0000"))</f>
        <v/>
      </c>
      <c r="B230" s="43" t="n"/>
      <c r="C230" s="43">
        <f>IFERROR(IF(B230="","",VLOOKUP(B230,DATABASE!A:B,2,0)),"")</f>
        <v/>
      </c>
      <c r="D230" s="44" t="n"/>
      <c r="E230" s="45">
        <f>IF(B230="","",TODAY())</f>
        <v/>
      </c>
      <c r="F230" s="43" t="n"/>
      <c r="G230" s="43" t="n"/>
      <c r="H230" s="43" t="n"/>
      <c r="I230" s="44">
        <f>IFERROR(IF(OR(D230="",G230="",H230=""),"",ABS(PMT(G230%/12,H230,D230))),"")</f>
        <v/>
      </c>
      <c r="J230" s="43">
        <f>IF(B230="","","Active")</f>
        <v/>
      </c>
    </row>
    <row r="231">
      <c r="A231" s="41">
        <f>IF(B231="","","LN"&amp;TEXT(ROW()-2,"0000"))</f>
        <v/>
      </c>
      <c r="B231" s="26" t="n"/>
      <c r="C231" s="26">
        <f>IFERROR(IF(B231="","",VLOOKUP(B231,DATABASE!A:B,2,0)),"")</f>
        <v/>
      </c>
      <c r="D231" s="30" t="n"/>
      <c r="E231" s="31">
        <f>IF(B231="","",TODAY())</f>
        <v/>
      </c>
      <c r="F231" s="26" t="n"/>
      <c r="G231" s="26" t="n"/>
      <c r="H231" s="26" t="n"/>
      <c r="I231" s="30">
        <f>IFERROR(IF(OR(D231="",G231="",H231=""),"",ABS(PMT(G231%/12,H231,D231))),"")</f>
        <v/>
      </c>
      <c r="J231" s="26">
        <f>IF(B231="","","Active")</f>
        <v/>
      </c>
    </row>
    <row r="232">
      <c r="A232" s="42">
        <f>IF(B232="","","LN"&amp;TEXT(ROW()-2,"0000"))</f>
        <v/>
      </c>
      <c r="B232" s="43" t="n"/>
      <c r="C232" s="43">
        <f>IFERROR(IF(B232="","",VLOOKUP(B232,DATABASE!A:B,2,0)),"")</f>
        <v/>
      </c>
      <c r="D232" s="44" t="n"/>
      <c r="E232" s="45">
        <f>IF(B232="","",TODAY())</f>
        <v/>
      </c>
      <c r="F232" s="43" t="n"/>
      <c r="G232" s="43" t="n"/>
      <c r="H232" s="43" t="n"/>
      <c r="I232" s="44">
        <f>IFERROR(IF(OR(D232="",G232="",H232=""),"",ABS(PMT(G232%/12,H232,D232))),"")</f>
        <v/>
      </c>
      <c r="J232" s="43">
        <f>IF(B232="","","Active")</f>
        <v/>
      </c>
    </row>
    <row r="233">
      <c r="A233" s="41">
        <f>IF(B233="","","LN"&amp;TEXT(ROW()-2,"0000"))</f>
        <v/>
      </c>
      <c r="B233" s="26" t="n"/>
      <c r="C233" s="26">
        <f>IFERROR(IF(B233="","",VLOOKUP(B233,DATABASE!A:B,2,0)),"")</f>
        <v/>
      </c>
      <c r="D233" s="30" t="n"/>
      <c r="E233" s="31">
        <f>IF(B233="","",TODAY())</f>
        <v/>
      </c>
      <c r="F233" s="26" t="n"/>
      <c r="G233" s="26" t="n"/>
      <c r="H233" s="26" t="n"/>
      <c r="I233" s="30">
        <f>IFERROR(IF(OR(D233="",G233="",H233=""),"",ABS(PMT(G233%/12,H233,D233))),"")</f>
        <v/>
      </c>
      <c r="J233" s="26">
        <f>IF(B233="","","Active")</f>
        <v/>
      </c>
    </row>
    <row r="234">
      <c r="A234" s="42">
        <f>IF(B234="","","LN"&amp;TEXT(ROW()-2,"0000"))</f>
        <v/>
      </c>
      <c r="B234" s="43" t="n"/>
      <c r="C234" s="43">
        <f>IFERROR(IF(B234="","",VLOOKUP(B234,DATABASE!A:B,2,0)),"")</f>
        <v/>
      </c>
      <c r="D234" s="44" t="n"/>
      <c r="E234" s="45">
        <f>IF(B234="","",TODAY())</f>
        <v/>
      </c>
      <c r="F234" s="43" t="n"/>
      <c r="G234" s="43" t="n"/>
      <c r="H234" s="43" t="n"/>
      <c r="I234" s="44">
        <f>IFERROR(IF(OR(D234="",G234="",H234=""),"",ABS(PMT(G234%/12,H234,D234))),"")</f>
        <v/>
      </c>
      <c r="J234" s="43">
        <f>IF(B234="","","Active")</f>
        <v/>
      </c>
    </row>
    <row r="235">
      <c r="A235" s="41">
        <f>IF(B235="","","LN"&amp;TEXT(ROW()-2,"0000"))</f>
        <v/>
      </c>
      <c r="B235" s="26" t="n"/>
      <c r="C235" s="26">
        <f>IFERROR(IF(B235="","",VLOOKUP(B235,DATABASE!A:B,2,0)),"")</f>
        <v/>
      </c>
      <c r="D235" s="30" t="n"/>
      <c r="E235" s="31">
        <f>IF(B235="","",TODAY())</f>
        <v/>
      </c>
      <c r="F235" s="26" t="n"/>
      <c r="G235" s="26" t="n"/>
      <c r="H235" s="26" t="n"/>
      <c r="I235" s="30">
        <f>IFERROR(IF(OR(D235="",G235="",H235=""),"",ABS(PMT(G235%/12,H235,D235))),"")</f>
        <v/>
      </c>
      <c r="J235" s="26">
        <f>IF(B235="","","Active")</f>
        <v/>
      </c>
    </row>
    <row r="236">
      <c r="A236" s="42">
        <f>IF(B236="","","LN"&amp;TEXT(ROW()-2,"0000"))</f>
        <v/>
      </c>
      <c r="B236" s="43" t="n"/>
      <c r="C236" s="43">
        <f>IFERROR(IF(B236="","",VLOOKUP(B236,DATABASE!A:B,2,0)),"")</f>
        <v/>
      </c>
      <c r="D236" s="44" t="n"/>
      <c r="E236" s="45">
        <f>IF(B236="","",TODAY())</f>
        <v/>
      </c>
      <c r="F236" s="43" t="n"/>
      <c r="G236" s="43" t="n"/>
      <c r="H236" s="43" t="n"/>
      <c r="I236" s="44">
        <f>IFERROR(IF(OR(D236="",G236="",H236=""),"",ABS(PMT(G236%/12,H236,D236))),"")</f>
        <v/>
      </c>
      <c r="J236" s="43">
        <f>IF(B236="","","Active")</f>
        <v/>
      </c>
    </row>
    <row r="237">
      <c r="A237" s="41">
        <f>IF(B237="","","LN"&amp;TEXT(ROW()-2,"0000"))</f>
        <v/>
      </c>
      <c r="B237" s="26" t="n"/>
      <c r="C237" s="26">
        <f>IFERROR(IF(B237="","",VLOOKUP(B237,DATABASE!A:B,2,0)),"")</f>
        <v/>
      </c>
      <c r="D237" s="30" t="n"/>
      <c r="E237" s="31">
        <f>IF(B237="","",TODAY())</f>
        <v/>
      </c>
      <c r="F237" s="26" t="n"/>
      <c r="G237" s="26" t="n"/>
      <c r="H237" s="26" t="n"/>
      <c r="I237" s="30">
        <f>IFERROR(IF(OR(D237="",G237="",H237=""),"",ABS(PMT(G237%/12,H237,D237))),"")</f>
        <v/>
      </c>
      <c r="J237" s="26">
        <f>IF(B237="","","Active")</f>
        <v/>
      </c>
    </row>
    <row r="238">
      <c r="A238" s="42">
        <f>IF(B238="","","LN"&amp;TEXT(ROW()-2,"0000"))</f>
        <v/>
      </c>
      <c r="B238" s="43" t="n"/>
      <c r="C238" s="43">
        <f>IFERROR(IF(B238="","",VLOOKUP(B238,DATABASE!A:B,2,0)),"")</f>
        <v/>
      </c>
      <c r="D238" s="44" t="n"/>
      <c r="E238" s="45">
        <f>IF(B238="","",TODAY())</f>
        <v/>
      </c>
      <c r="F238" s="43" t="n"/>
      <c r="G238" s="43" t="n"/>
      <c r="H238" s="43" t="n"/>
      <c r="I238" s="44">
        <f>IFERROR(IF(OR(D238="",G238="",H238=""),"",ABS(PMT(G238%/12,H238,D238))),"")</f>
        <v/>
      </c>
      <c r="J238" s="43">
        <f>IF(B238="","","Active")</f>
        <v/>
      </c>
    </row>
    <row r="239">
      <c r="A239" s="41">
        <f>IF(B239="","","LN"&amp;TEXT(ROW()-2,"0000"))</f>
        <v/>
      </c>
      <c r="B239" s="26" t="n"/>
      <c r="C239" s="26">
        <f>IFERROR(IF(B239="","",VLOOKUP(B239,DATABASE!A:B,2,0)),"")</f>
        <v/>
      </c>
      <c r="D239" s="30" t="n"/>
      <c r="E239" s="31">
        <f>IF(B239="","",TODAY())</f>
        <v/>
      </c>
      <c r="F239" s="26" t="n"/>
      <c r="G239" s="26" t="n"/>
      <c r="H239" s="26" t="n"/>
      <c r="I239" s="30">
        <f>IFERROR(IF(OR(D239="",G239="",H239=""),"",ABS(PMT(G239%/12,H239,D239))),"")</f>
        <v/>
      </c>
      <c r="J239" s="26">
        <f>IF(B239="","","Active")</f>
        <v/>
      </c>
    </row>
    <row r="240">
      <c r="A240" s="42">
        <f>IF(B240="","","LN"&amp;TEXT(ROW()-2,"0000"))</f>
        <v/>
      </c>
      <c r="B240" s="43" t="n"/>
      <c r="C240" s="43">
        <f>IFERROR(IF(B240="","",VLOOKUP(B240,DATABASE!A:B,2,0)),"")</f>
        <v/>
      </c>
      <c r="D240" s="44" t="n"/>
      <c r="E240" s="45">
        <f>IF(B240="","",TODAY())</f>
        <v/>
      </c>
      <c r="F240" s="43" t="n"/>
      <c r="G240" s="43" t="n"/>
      <c r="H240" s="43" t="n"/>
      <c r="I240" s="44">
        <f>IFERROR(IF(OR(D240="",G240="",H240=""),"",ABS(PMT(G240%/12,H240,D240))),"")</f>
        <v/>
      </c>
      <c r="J240" s="43">
        <f>IF(B240="","","Active")</f>
        <v/>
      </c>
    </row>
    <row r="241">
      <c r="A241" s="41">
        <f>IF(B241="","","LN"&amp;TEXT(ROW()-2,"0000"))</f>
        <v/>
      </c>
      <c r="B241" s="26" t="n"/>
      <c r="C241" s="26">
        <f>IFERROR(IF(B241="","",VLOOKUP(B241,DATABASE!A:B,2,0)),"")</f>
        <v/>
      </c>
      <c r="D241" s="30" t="n"/>
      <c r="E241" s="31">
        <f>IF(B241="","",TODAY())</f>
        <v/>
      </c>
      <c r="F241" s="26" t="n"/>
      <c r="G241" s="26" t="n"/>
      <c r="H241" s="26" t="n"/>
      <c r="I241" s="30">
        <f>IFERROR(IF(OR(D241="",G241="",H241=""),"",ABS(PMT(G241%/12,H241,D241))),"")</f>
        <v/>
      </c>
      <c r="J241" s="26">
        <f>IF(B241="","","Active")</f>
        <v/>
      </c>
    </row>
    <row r="242">
      <c r="A242" s="42">
        <f>IF(B242="","","LN"&amp;TEXT(ROW()-2,"0000"))</f>
        <v/>
      </c>
      <c r="B242" s="43" t="n"/>
      <c r="C242" s="43">
        <f>IFERROR(IF(B242="","",VLOOKUP(B242,DATABASE!A:B,2,0)),"")</f>
        <v/>
      </c>
      <c r="D242" s="44" t="n"/>
      <c r="E242" s="45">
        <f>IF(B242="","",TODAY())</f>
        <v/>
      </c>
      <c r="F242" s="43" t="n"/>
      <c r="G242" s="43" t="n"/>
      <c r="H242" s="43" t="n"/>
      <c r="I242" s="44">
        <f>IFERROR(IF(OR(D242="",G242="",H242=""),"",ABS(PMT(G242%/12,H242,D242))),"")</f>
        <v/>
      </c>
      <c r="J242" s="43">
        <f>IF(B242="","","Active")</f>
        <v/>
      </c>
    </row>
    <row r="243">
      <c r="A243" s="41">
        <f>IF(B243="","","LN"&amp;TEXT(ROW()-2,"0000"))</f>
        <v/>
      </c>
      <c r="B243" s="26" t="n"/>
      <c r="C243" s="26">
        <f>IFERROR(IF(B243="","",VLOOKUP(B243,DATABASE!A:B,2,0)),"")</f>
        <v/>
      </c>
      <c r="D243" s="30" t="n"/>
      <c r="E243" s="31">
        <f>IF(B243="","",TODAY())</f>
        <v/>
      </c>
      <c r="F243" s="26" t="n"/>
      <c r="G243" s="26" t="n"/>
      <c r="H243" s="26" t="n"/>
      <c r="I243" s="30">
        <f>IFERROR(IF(OR(D243="",G243="",H243=""),"",ABS(PMT(G243%/12,H243,D243))),"")</f>
        <v/>
      </c>
      <c r="J243" s="26">
        <f>IF(B243="","","Active")</f>
        <v/>
      </c>
    </row>
    <row r="244">
      <c r="A244" s="42">
        <f>IF(B244="","","LN"&amp;TEXT(ROW()-2,"0000"))</f>
        <v/>
      </c>
      <c r="B244" s="43" t="n"/>
      <c r="C244" s="43">
        <f>IFERROR(IF(B244="","",VLOOKUP(B244,DATABASE!A:B,2,0)),"")</f>
        <v/>
      </c>
      <c r="D244" s="44" t="n"/>
      <c r="E244" s="45">
        <f>IF(B244="","",TODAY())</f>
        <v/>
      </c>
      <c r="F244" s="43" t="n"/>
      <c r="G244" s="43" t="n"/>
      <c r="H244" s="43" t="n"/>
      <c r="I244" s="44">
        <f>IFERROR(IF(OR(D244="",G244="",H244=""),"",ABS(PMT(G244%/12,H244,D244))),"")</f>
        <v/>
      </c>
      <c r="J244" s="43">
        <f>IF(B244="","","Active")</f>
        <v/>
      </c>
    </row>
    <row r="245">
      <c r="A245" s="41">
        <f>IF(B245="","","LN"&amp;TEXT(ROW()-2,"0000"))</f>
        <v/>
      </c>
      <c r="B245" s="26" t="n"/>
      <c r="C245" s="26">
        <f>IFERROR(IF(B245="","",VLOOKUP(B245,DATABASE!A:B,2,0)),"")</f>
        <v/>
      </c>
      <c r="D245" s="30" t="n"/>
      <c r="E245" s="31">
        <f>IF(B245="","",TODAY())</f>
        <v/>
      </c>
      <c r="F245" s="26" t="n"/>
      <c r="G245" s="26" t="n"/>
      <c r="H245" s="26" t="n"/>
      <c r="I245" s="30">
        <f>IFERROR(IF(OR(D245="",G245="",H245=""),"",ABS(PMT(G245%/12,H245,D245))),"")</f>
        <v/>
      </c>
      <c r="J245" s="26">
        <f>IF(B245="","","Active")</f>
        <v/>
      </c>
    </row>
    <row r="246">
      <c r="A246" s="42">
        <f>IF(B246="","","LN"&amp;TEXT(ROW()-2,"0000"))</f>
        <v/>
      </c>
      <c r="B246" s="43" t="n"/>
      <c r="C246" s="43">
        <f>IFERROR(IF(B246="","",VLOOKUP(B246,DATABASE!A:B,2,0)),"")</f>
        <v/>
      </c>
      <c r="D246" s="44" t="n"/>
      <c r="E246" s="45">
        <f>IF(B246="","",TODAY())</f>
        <v/>
      </c>
      <c r="F246" s="43" t="n"/>
      <c r="G246" s="43" t="n"/>
      <c r="H246" s="43" t="n"/>
      <c r="I246" s="44">
        <f>IFERROR(IF(OR(D246="",G246="",H246=""),"",ABS(PMT(G246%/12,H246,D246))),"")</f>
        <v/>
      </c>
      <c r="J246" s="43">
        <f>IF(B246="","","Active")</f>
        <v/>
      </c>
    </row>
    <row r="247">
      <c r="A247" s="41">
        <f>IF(B247="","","LN"&amp;TEXT(ROW()-2,"0000"))</f>
        <v/>
      </c>
      <c r="B247" s="26" t="n"/>
      <c r="C247" s="26">
        <f>IFERROR(IF(B247="","",VLOOKUP(B247,DATABASE!A:B,2,0)),"")</f>
        <v/>
      </c>
      <c r="D247" s="30" t="n"/>
      <c r="E247" s="31">
        <f>IF(B247="","",TODAY())</f>
        <v/>
      </c>
      <c r="F247" s="26" t="n"/>
      <c r="G247" s="26" t="n"/>
      <c r="H247" s="26" t="n"/>
      <c r="I247" s="30">
        <f>IFERROR(IF(OR(D247="",G247="",H247=""),"",ABS(PMT(G247%/12,H247,D247))),"")</f>
        <v/>
      </c>
      <c r="J247" s="26">
        <f>IF(B247="","","Active")</f>
        <v/>
      </c>
    </row>
    <row r="248">
      <c r="A248" s="42">
        <f>IF(B248="","","LN"&amp;TEXT(ROW()-2,"0000"))</f>
        <v/>
      </c>
      <c r="B248" s="43" t="n"/>
      <c r="C248" s="43">
        <f>IFERROR(IF(B248="","",VLOOKUP(B248,DATABASE!A:B,2,0)),"")</f>
        <v/>
      </c>
      <c r="D248" s="44" t="n"/>
      <c r="E248" s="45">
        <f>IF(B248="","",TODAY())</f>
        <v/>
      </c>
      <c r="F248" s="43" t="n"/>
      <c r="G248" s="43" t="n"/>
      <c r="H248" s="43" t="n"/>
      <c r="I248" s="44">
        <f>IFERROR(IF(OR(D248="",G248="",H248=""),"",ABS(PMT(G248%/12,H248,D248))),"")</f>
        <v/>
      </c>
      <c r="J248" s="43">
        <f>IF(B248="","","Active")</f>
        <v/>
      </c>
    </row>
    <row r="249">
      <c r="A249" s="41">
        <f>IF(B249="","","LN"&amp;TEXT(ROW()-2,"0000"))</f>
        <v/>
      </c>
      <c r="B249" s="26" t="n"/>
      <c r="C249" s="26">
        <f>IFERROR(IF(B249="","",VLOOKUP(B249,DATABASE!A:B,2,0)),"")</f>
        <v/>
      </c>
      <c r="D249" s="30" t="n"/>
      <c r="E249" s="31">
        <f>IF(B249="","",TODAY())</f>
        <v/>
      </c>
      <c r="F249" s="26" t="n"/>
      <c r="G249" s="26" t="n"/>
      <c r="H249" s="26" t="n"/>
      <c r="I249" s="30">
        <f>IFERROR(IF(OR(D249="",G249="",H249=""),"",ABS(PMT(G249%/12,H249,D249))),"")</f>
        <v/>
      </c>
      <c r="J249" s="26">
        <f>IF(B249="","","Active")</f>
        <v/>
      </c>
    </row>
    <row r="250">
      <c r="A250" s="42">
        <f>IF(B250="","","LN"&amp;TEXT(ROW()-2,"0000"))</f>
        <v/>
      </c>
      <c r="B250" s="43" t="n"/>
      <c r="C250" s="43">
        <f>IFERROR(IF(B250="","",VLOOKUP(B250,DATABASE!A:B,2,0)),"")</f>
        <v/>
      </c>
      <c r="D250" s="44" t="n"/>
      <c r="E250" s="45">
        <f>IF(B250="","",TODAY())</f>
        <v/>
      </c>
      <c r="F250" s="43" t="n"/>
      <c r="G250" s="43" t="n"/>
      <c r="H250" s="43" t="n"/>
      <c r="I250" s="44">
        <f>IFERROR(IF(OR(D250="",G250="",H250=""),"",ABS(PMT(G250%/12,H250,D250))),"")</f>
        <v/>
      </c>
      <c r="J250" s="43">
        <f>IF(B250="","","Active")</f>
        <v/>
      </c>
    </row>
    <row r="251">
      <c r="A251" s="41">
        <f>IF(B251="","","LN"&amp;TEXT(ROW()-2,"0000"))</f>
        <v/>
      </c>
      <c r="B251" s="26" t="n"/>
      <c r="C251" s="26">
        <f>IFERROR(IF(B251="","",VLOOKUP(B251,DATABASE!A:B,2,0)),"")</f>
        <v/>
      </c>
      <c r="D251" s="30" t="n"/>
      <c r="E251" s="31">
        <f>IF(B251="","",TODAY())</f>
        <v/>
      </c>
      <c r="F251" s="26" t="n"/>
      <c r="G251" s="26" t="n"/>
      <c r="H251" s="26" t="n"/>
      <c r="I251" s="30">
        <f>IFERROR(IF(OR(D251="",G251="",H251=""),"",ABS(PMT(G251%/12,H251,D251))),"")</f>
        <v/>
      </c>
      <c r="J251" s="26">
        <f>IF(B251="","","Active")</f>
        <v/>
      </c>
    </row>
    <row r="252">
      <c r="A252" s="42">
        <f>IF(B252="","","LN"&amp;TEXT(ROW()-2,"0000"))</f>
        <v/>
      </c>
      <c r="B252" s="43" t="n"/>
      <c r="C252" s="43">
        <f>IFERROR(IF(B252="","",VLOOKUP(B252,DATABASE!A:B,2,0)),"")</f>
        <v/>
      </c>
      <c r="D252" s="44" t="n"/>
      <c r="E252" s="45">
        <f>IF(B252="","",TODAY())</f>
        <v/>
      </c>
      <c r="F252" s="43" t="n"/>
      <c r="G252" s="43" t="n"/>
      <c r="H252" s="43" t="n"/>
      <c r="I252" s="44">
        <f>IFERROR(IF(OR(D252="",G252="",H252=""),"",ABS(PMT(G252%/12,H252,D252))),"")</f>
        <v/>
      </c>
      <c r="J252" s="43">
        <f>IF(B252="","","Active")</f>
        <v/>
      </c>
    </row>
    <row r="253">
      <c r="A253" s="41">
        <f>IF(B253="","","LN"&amp;TEXT(ROW()-2,"0000"))</f>
        <v/>
      </c>
      <c r="B253" s="26" t="n"/>
      <c r="C253" s="26">
        <f>IFERROR(IF(B253="","",VLOOKUP(B253,DATABASE!A:B,2,0)),"")</f>
        <v/>
      </c>
      <c r="D253" s="30" t="n"/>
      <c r="E253" s="31">
        <f>IF(B253="","",TODAY())</f>
        <v/>
      </c>
      <c r="F253" s="26" t="n"/>
      <c r="G253" s="26" t="n"/>
      <c r="H253" s="26" t="n"/>
      <c r="I253" s="30">
        <f>IFERROR(IF(OR(D253="",G253="",H253=""),"",ABS(PMT(G253%/12,H253,D253))),"")</f>
        <v/>
      </c>
      <c r="J253" s="26">
        <f>IF(B253="","","Active")</f>
        <v/>
      </c>
    </row>
    <row r="254">
      <c r="A254" s="42">
        <f>IF(B254="","","LN"&amp;TEXT(ROW()-2,"0000"))</f>
        <v/>
      </c>
      <c r="B254" s="43" t="n"/>
      <c r="C254" s="43">
        <f>IFERROR(IF(B254="","",VLOOKUP(B254,DATABASE!A:B,2,0)),"")</f>
        <v/>
      </c>
      <c r="D254" s="44" t="n"/>
      <c r="E254" s="45">
        <f>IF(B254="","",TODAY())</f>
        <v/>
      </c>
      <c r="F254" s="43" t="n"/>
      <c r="G254" s="43" t="n"/>
      <c r="H254" s="43" t="n"/>
      <c r="I254" s="44">
        <f>IFERROR(IF(OR(D254="",G254="",H254=""),"",ABS(PMT(G254%/12,H254,D254))),"")</f>
        <v/>
      </c>
      <c r="J254" s="43">
        <f>IF(B254="","","Active")</f>
        <v/>
      </c>
    </row>
    <row r="255">
      <c r="A255" s="41">
        <f>IF(B255="","","LN"&amp;TEXT(ROW()-2,"0000"))</f>
        <v/>
      </c>
      <c r="B255" s="26" t="n"/>
      <c r="C255" s="26">
        <f>IFERROR(IF(B255="","",VLOOKUP(B255,DATABASE!A:B,2,0)),"")</f>
        <v/>
      </c>
      <c r="D255" s="30" t="n"/>
      <c r="E255" s="31">
        <f>IF(B255="","",TODAY())</f>
        <v/>
      </c>
      <c r="F255" s="26" t="n"/>
      <c r="G255" s="26" t="n"/>
      <c r="H255" s="26" t="n"/>
      <c r="I255" s="30">
        <f>IFERROR(IF(OR(D255="",G255="",H255=""),"",ABS(PMT(G255%/12,H255,D255))),"")</f>
        <v/>
      </c>
      <c r="J255" s="26">
        <f>IF(B255="","","Active")</f>
        <v/>
      </c>
    </row>
    <row r="256">
      <c r="A256" s="42">
        <f>IF(B256="","","LN"&amp;TEXT(ROW()-2,"0000"))</f>
        <v/>
      </c>
      <c r="B256" s="43" t="n"/>
      <c r="C256" s="43">
        <f>IFERROR(IF(B256="","",VLOOKUP(B256,DATABASE!A:B,2,0)),"")</f>
        <v/>
      </c>
      <c r="D256" s="44" t="n"/>
      <c r="E256" s="45">
        <f>IF(B256="","",TODAY())</f>
        <v/>
      </c>
      <c r="F256" s="43" t="n"/>
      <c r="G256" s="43" t="n"/>
      <c r="H256" s="43" t="n"/>
      <c r="I256" s="44">
        <f>IFERROR(IF(OR(D256="",G256="",H256=""),"",ABS(PMT(G256%/12,H256,D256))),"")</f>
        <v/>
      </c>
      <c r="J256" s="43">
        <f>IF(B256="","","Active")</f>
        <v/>
      </c>
    </row>
    <row r="257">
      <c r="A257" s="41">
        <f>IF(B257="","","LN"&amp;TEXT(ROW()-2,"0000"))</f>
        <v/>
      </c>
      <c r="B257" s="26" t="n"/>
      <c r="C257" s="26">
        <f>IFERROR(IF(B257="","",VLOOKUP(B257,DATABASE!A:B,2,0)),"")</f>
        <v/>
      </c>
      <c r="D257" s="30" t="n"/>
      <c r="E257" s="31">
        <f>IF(B257="","",TODAY())</f>
        <v/>
      </c>
      <c r="F257" s="26" t="n"/>
      <c r="G257" s="26" t="n"/>
      <c r="H257" s="26" t="n"/>
      <c r="I257" s="30">
        <f>IFERROR(IF(OR(D257="",G257="",H257=""),"",ABS(PMT(G257%/12,H257,D257))),"")</f>
        <v/>
      </c>
      <c r="J257" s="26">
        <f>IF(B257="","","Active")</f>
        <v/>
      </c>
    </row>
    <row r="258">
      <c r="A258" s="42">
        <f>IF(B258="","","LN"&amp;TEXT(ROW()-2,"0000"))</f>
        <v/>
      </c>
      <c r="B258" s="43" t="n"/>
      <c r="C258" s="43">
        <f>IFERROR(IF(B258="","",VLOOKUP(B258,DATABASE!A:B,2,0)),"")</f>
        <v/>
      </c>
      <c r="D258" s="44" t="n"/>
      <c r="E258" s="45">
        <f>IF(B258="","",TODAY())</f>
        <v/>
      </c>
      <c r="F258" s="43" t="n"/>
      <c r="G258" s="43" t="n"/>
      <c r="H258" s="43" t="n"/>
      <c r="I258" s="44">
        <f>IFERROR(IF(OR(D258="",G258="",H258=""),"",ABS(PMT(G258%/12,H258,D258))),"")</f>
        <v/>
      </c>
      <c r="J258" s="43">
        <f>IF(B258="","","Active")</f>
        <v/>
      </c>
    </row>
    <row r="259">
      <c r="A259" s="41">
        <f>IF(B259="","","LN"&amp;TEXT(ROW()-2,"0000"))</f>
        <v/>
      </c>
      <c r="B259" s="26" t="n"/>
      <c r="C259" s="26">
        <f>IFERROR(IF(B259="","",VLOOKUP(B259,DATABASE!A:B,2,0)),"")</f>
        <v/>
      </c>
      <c r="D259" s="30" t="n"/>
      <c r="E259" s="31">
        <f>IF(B259="","",TODAY())</f>
        <v/>
      </c>
      <c r="F259" s="26" t="n"/>
      <c r="G259" s="26" t="n"/>
      <c r="H259" s="26" t="n"/>
      <c r="I259" s="30">
        <f>IFERROR(IF(OR(D259="",G259="",H259=""),"",ABS(PMT(G259%/12,H259,D259))),"")</f>
        <v/>
      </c>
      <c r="J259" s="26">
        <f>IF(B259="","","Active")</f>
        <v/>
      </c>
    </row>
    <row r="260">
      <c r="A260" s="42">
        <f>IF(B260="","","LN"&amp;TEXT(ROW()-2,"0000"))</f>
        <v/>
      </c>
      <c r="B260" s="43" t="n"/>
      <c r="C260" s="43">
        <f>IFERROR(IF(B260="","",VLOOKUP(B260,DATABASE!A:B,2,0)),"")</f>
        <v/>
      </c>
      <c r="D260" s="44" t="n"/>
      <c r="E260" s="45">
        <f>IF(B260="","",TODAY())</f>
        <v/>
      </c>
      <c r="F260" s="43" t="n"/>
      <c r="G260" s="43" t="n"/>
      <c r="H260" s="43" t="n"/>
      <c r="I260" s="44">
        <f>IFERROR(IF(OR(D260="",G260="",H260=""),"",ABS(PMT(G260%/12,H260,D260))),"")</f>
        <v/>
      </c>
      <c r="J260" s="43">
        <f>IF(B260="","","Active")</f>
        <v/>
      </c>
    </row>
    <row r="261">
      <c r="A261" s="41">
        <f>IF(B261="","","LN"&amp;TEXT(ROW()-2,"0000"))</f>
        <v/>
      </c>
      <c r="B261" s="26" t="n"/>
      <c r="C261" s="26">
        <f>IFERROR(IF(B261="","",VLOOKUP(B261,DATABASE!A:B,2,0)),"")</f>
        <v/>
      </c>
      <c r="D261" s="30" t="n"/>
      <c r="E261" s="31">
        <f>IF(B261="","",TODAY())</f>
        <v/>
      </c>
      <c r="F261" s="26" t="n"/>
      <c r="G261" s="26" t="n"/>
      <c r="H261" s="26" t="n"/>
      <c r="I261" s="30">
        <f>IFERROR(IF(OR(D261="",G261="",H261=""),"",ABS(PMT(G261%/12,H261,D261))),"")</f>
        <v/>
      </c>
      <c r="J261" s="26">
        <f>IF(B261="","","Active")</f>
        <v/>
      </c>
    </row>
    <row r="262">
      <c r="A262" s="42">
        <f>IF(B262="","","LN"&amp;TEXT(ROW()-2,"0000"))</f>
        <v/>
      </c>
      <c r="B262" s="43" t="n"/>
      <c r="C262" s="43">
        <f>IFERROR(IF(B262="","",VLOOKUP(B262,DATABASE!A:B,2,0)),"")</f>
        <v/>
      </c>
      <c r="D262" s="44" t="n"/>
      <c r="E262" s="45">
        <f>IF(B262="","",TODAY())</f>
        <v/>
      </c>
      <c r="F262" s="43" t="n"/>
      <c r="G262" s="43" t="n"/>
      <c r="H262" s="43" t="n"/>
      <c r="I262" s="44">
        <f>IFERROR(IF(OR(D262="",G262="",H262=""),"",ABS(PMT(G262%/12,H262,D262))),"")</f>
        <v/>
      </c>
      <c r="J262" s="43">
        <f>IF(B262="","","Active")</f>
        <v/>
      </c>
    </row>
    <row r="263">
      <c r="A263" s="41">
        <f>IF(B263="","","LN"&amp;TEXT(ROW()-2,"0000"))</f>
        <v/>
      </c>
      <c r="B263" s="26" t="n"/>
      <c r="C263" s="26">
        <f>IFERROR(IF(B263="","",VLOOKUP(B263,DATABASE!A:B,2,0)),"")</f>
        <v/>
      </c>
      <c r="D263" s="30" t="n"/>
      <c r="E263" s="31">
        <f>IF(B263="","",TODAY())</f>
        <v/>
      </c>
      <c r="F263" s="26" t="n"/>
      <c r="G263" s="26" t="n"/>
      <c r="H263" s="26" t="n"/>
      <c r="I263" s="30">
        <f>IFERROR(IF(OR(D263="",G263="",H263=""),"",ABS(PMT(G263%/12,H263,D263))),"")</f>
        <v/>
      </c>
      <c r="J263" s="26">
        <f>IF(B263="","","Active")</f>
        <v/>
      </c>
    </row>
    <row r="264">
      <c r="A264" s="42">
        <f>IF(B264="","","LN"&amp;TEXT(ROW()-2,"0000"))</f>
        <v/>
      </c>
      <c r="B264" s="43" t="n"/>
      <c r="C264" s="43">
        <f>IFERROR(IF(B264="","",VLOOKUP(B264,DATABASE!A:B,2,0)),"")</f>
        <v/>
      </c>
      <c r="D264" s="44" t="n"/>
      <c r="E264" s="45">
        <f>IF(B264="","",TODAY())</f>
        <v/>
      </c>
      <c r="F264" s="43" t="n"/>
      <c r="G264" s="43" t="n"/>
      <c r="H264" s="43" t="n"/>
      <c r="I264" s="44">
        <f>IFERROR(IF(OR(D264="",G264="",H264=""),"",ABS(PMT(G264%/12,H264,D264))),"")</f>
        <v/>
      </c>
      <c r="J264" s="43">
        <f>IF(B264="","","Active")</f>
        <v/>
      </c>
    </row>
    <row r="265">
      <c r="A265" s="41">
        <f>IF(B265="","","LN"&amp;TEXT(ROW()-2,"0000"))</f>
        <v/>
      </c>
      <c r="B265" s="26" t="n"/>
      <c r="C265" s="26">
        <f>IFERROR(IF(B265="","",VLOOKUP(B265,DATABASE!A:B,2,0)),"")</f>
        <v/>
      </c>
      <c r="D265" s="30" t="n"/>
      <c r="E265" s="31">
        <f>IF(B265="","",TODAY())</f>
        <v/>
      </c>
      <c r="F265" s="26" t="n"/>
      <c r="G265" s="26" t="n"/>
      <c r="H265" s="26" t="n"/>
      <c r="I265" s="30">
        <f>IFERROR(IF(OR(D265="",G265="",H265=""),"",ABS(PMT(G265%/12,H265,D265))),"")</f>
        <v/>
      </c>
      <c r="J265" s="26">
        <f>IF(B265="","","Active")</f>
        <v/>
      </c>
    </row>
    <row r="266">
      <c r="A266" s="42">
        <f>IF(B266="","","LN"&amp;TEXT(ROW()-2,"0000"))</f>
        <v/>
      </c>
      <c r="B266" s="43" t="n"/>
      <c r="C266" s="43">
        <f>IFERROR(IF(B266="","",VLOOKUP(B266,DATABASE!A:B,2,0)),"")</f>
        <v/>
      </c>
      <c r="D266" s="44" t="n"/>
      <c r="E266" s="45">
        <f>IF(B266="","",TODAY())</f>
        <v/>
      </c>
      <c r="F266" s="43" t="n"/>
      <c r="G266" s="43" t="n"/>
      <c r="H266" s="43" t="n"/>
      <c r="I266" s="44">
        <f>IFERROR(IF(OR(D266="",G266="",H266=""),"",ABS(PMT(G266%/12,H266,D266))),"")</f>
        <v/>
      </c>
      <c r="J266" s="43">
        <f>IF(B266="","","Active")</f>
        <v/>
      </c>
    </row>
    <row r="267">
      <c r="A267" s="41">
        <f>IF(B267="","","LN"&amp;TEXT(ROW()-2,"0000"))</f>
        <v/>
      </c>
      <c r="B267" s="26" t="n"/>
      <c r="C267" s="26">
        <f>IFERROR(IF(B267="","",VLOOKUP(B267,DATABASE!A:B,2,0)),"")</f>
        <v/>
      </c>
      <c r="D267" s="30" t="n"/>
      <c r="E267" s="31">
        <f>IF(B267="","",TODAY())</f>
        <v/>
      </c>
      <c r="F267" s="26" t="n"/>
      <c r="G267" s="26" t="n"/>
      <c r="H267" s="26" t="n"/>
      <c r="I267" s="30">
        <f>IFERROR(IF(OR(D267="",G267="",H267=""),"",ABS(PMT(G267%/12,H267,D267))),"")</f>
        <v/>
      </c>
      <c r="J267" s="26">
        <f>IF(B267="","","Active")</f>
        <v/>
      </c>
    </row>
    <row r="268">
      <c r="A268" s="42">
        <f>IF(B268="","","LN"&amp;TEXT(ROW()-2,"0000"))</f>
        <v/>
      </c>
      <c r="B268" s="43" t="n"/>
      <c r="C268" s="43">
        <f>IFERROR(IF(B268="","",VLOOKUP(B268,DATABASE!A:B,2,0)),"")</f>
        <v/>
      </c>
      <c r="D268" s="44" t="n"/>
      <c r="E268" s="45">
        <f>IF(B268="","",TODAY())</f>
        <v/>
      </c>
      <c r="F268" s="43" t="n"/>
      <c r="G268" s="43" t="n"/>
      <c r="H268" s="43" t="n"/>
      <c r="I268" s="44">
        <f>IFERROR(IF(OR(D268="",G268="",H268=""),"",ABS(PMT(G268%/12,H268,D268))),"")</f>
        <v/>
      </c>
      <c r="J268" s="43">
        <f>IF(B268="","","Active")</f>
        <v/>
      </c>
    </row>
    <row r="269">
      <c r="A269" s="41">
        <f>IF(B269="","","LN"&amp;TEXT(ROW()-2,"0000"))</f>
        <v/>
      </c>
      <c r="B269" s="26" t="n"/>
      <c r="C269" s="26">
        <f>IFERROR(IF(B269="","",VLOOKUP(B269,DATABASE!A:B,2,0)),"")</f>
        <v/>
      </c>
      <c r="D269" s="30" t="n"/>
      <c r="E269" s="31">
        <f>IF(B269="","",TODAY())</f>
        <v/>
      </c>
      <c r="F269" s="26" t="n"/>
      <c r="G269" s="26" t="n"/>
      <c r="H269" s="26" t="n"/>
      <c r="I269" s="30">
        <f>IFERROR(IF(OR(D269="",G269="",H269=""),"",ABS(PMT(G269%/12,H269,D269))),"")</f>
        <v/>
      </c>
      <c r="J269" s="26">
        <f>IF(B269="","","Active")</f>
        <v/>
      </c>
    </row>
    <row r="270">
      <c r="A270" s="42">
        <f>IF(B270="","","LN"&amp;TEXT(ROW()-2,"0000"))</f>
        <v/>
      </c>
      <c r="B270" s="43" t="n"/>
      <c r="C270" s="43">
        <f>IFERROR(IF(B270="","",VLOOKUP(B270,DATABASE!A:B,2,0)),"")</f>
        <v/>
      </c>
      <c r="D270" s="44" t="n"/>
      <c r="E270" s="45">
        <f>IF(B270="","",TODAY())</f>
        <v/>
      </c>
      <c r="F270" s="43" t="n"/>
      <c r="G270" s="43" t="n"/>
      <c r="H270" s="43" t="n"/>
      <c r="I270" s="44">
        <f>IFERROR(IF(OR(D270="",G270="",H270=""),"",ABS(PMT(G270%/12,H270,D270))),"")</f>
        <v/>
      </c>
      <c r="J270" s="43">
        <f>IF(B270="","","Active")</f>
        <v/>
      </c>
    </row>
    <row r="271">
      <c r="A271" s="41">
        <f>IF(B271="","","LN"&amp;TEXT(ROW()-2,"0000"))</f>
        <v/>
      </c>
      <c r="B271" s="26" t="n"/>
      <c r="C271" s="26">
        <f>IFERROR(IF(B271="","",VLOOKUP(B271,DATABASE!A:B,2,0)),"")</f>
        <v/>
      </c>
      <c r="D271" s="30" t="n"/>
      <c r="E271" s="31">
        <f>IF(B271="","",TODAY())</f>
        <v/>
      </c>
      <c r="F271" s="26" t="n"/>
      <c r="G271" s="26" t="n"/>
      <c r="H271" s="26" t="n"/>
      <c r="I271" s="30">
        <f>IFERROR(IF(OR(D271="",G271="",H271=""),"",ABS(PMT(G271%/12,H271,D271))),"")</f>
        <v/>
      </c>
      <c r="J271" s="26">
        <f>IF(B271="","","Active")</f>
        <v/>
      </c>
    </row>
    <row r="272">
      <c r="A272" s="42">
        <f>IF(B272="","","LN"&amp;TEXT(ROW()-2,"0000"))</f>
        <v/>
      </c>
      <c r="B272" s="43" t="n"/>
      <c r="C272" s="43">
        <f>IFERROR(IF(B272="","",VLOOKUP(B272,DATABASE!A:B,2,0)),"")</f>
        <v/>
      </c>
      <c r="D272" s="44" t="n"/>
      <c r="E272" s="45">
        <f>IF(B272="","",TODAY())</f>
        <v/>
      </c>
      <c r="F272" s="43" t="n"/>
      <c r="G272" s="43" t="n"/>
      <c r="H272" s="43" t="n"/>
      <c r="I272" s="44">
        <f>IFERROR(IF(OR(D272="",G272="",H272=""),"",ABS(PMT(G272%/12,H272,D272))),"")</f>
        <v/>
      </c>
      <c r="J272" s="43">
        <f>IF(B272="","","Active")</f>
        <v/>
      </c>
    </row>
    <row r="273">
      <c r="A273" s="41">
        <f>IF(B273="","","LN"&amp;TEXT(ROW()-2,"0000"))</f>
        <v/>
      </c>
      <c r="B273" s="26" t="n"/>
      <c r="C273" s="26">
        <f>IFERROR(IF(B273="","",VLOOKUP(B273,DATABASE!A:B,2,0)),"")</f>
        <v/>
      </c>
      <c r="D273" s="30" t="n"/>
      <c r="E273" s="31">
        <f>IF(B273="","",TODAY())</f>
        <v/>
      </c>
      <c r="F273" s="26" t="n"/>
      <c r="G273" s="26" t="n"/>
      <c r="H273" s="26" t="n"/>
      <c r="I273" s="30">
        <f>IFERROR(IF(OR(D273="",G273="",H273=""),"",ABS(PMT(G273%/12,H273,D273))),"")</f>
        <v/>
      </c>
      <c r="J273" s="26">
        <f>IF(B273="","","Active")</f>
        <v/>
      </c>
    </row>
    <row r="274">
      <c r="A274" s="42">
        <f>IF(B274="","","LN"&amp;TEXT(ROW()-2,"0000"))</f>
        <v/>
      </c>
      <c r="B274" s="43" t="n"/>
      <c r="C274" s="43">
        <f>IFERROR(IF(B274="","",VLOOKUP(B274,DATABASE!A:B,2,0)),"")</f>
        <v/>
      </c>
      <c r="D274" s="44" t="n"/>
      <c r="E274" s="45">
        <f>IF(B274="","",TODAY())</f>
        <v/>
      </c>
      <c r="F274" s="43" t="n"/>
      <c r="G274" s="43" t="n"/>
      <c r="H274" s="43" t="n"/>
      <c r="I274" s="44">
        <f>IFERROR(IF(OR(D274="",G274="",H274=""),"",ABS(PMT(G274%/12,H274,D274))),"")</f>
        <v/>
      </c>
      <c r="J274" s="43">
        <f>IF(B274="","","Active")</f>
        <v/>
      </c>
    </row>
    <row r="275">
      <c r="A275" s="41">
        <f>IF(B275="","","LN"&amp;TEXT(ROW()-2,"0000"))</f>
        <v/>
      </c>
      <c r="B275" s="26" t="n"/>
      <c r="C275" s="26">
        <f>IFERROR(IF(B275="","",VLOOKUP(B275,DATABASE!A:B,2,0)),"")</f>
        <v/>
      </c>
      <c r="D275" s="30" t="n"/>
      <c r="E275" s="31">
        <f>IF(B275="","",TODAY())</f>
        <v/>
      </c>
      <c r="F275" s="26" t="n"/>
      <c r="G275" s="26" t="n"/>
      <c r="H275" s="26" t="n"/>
      <c r="I275" s="30">
        <f>IFERROR(IF(OR(D275="",G275="",H275=""),"",ABS(PMT(G275%/12,H275,D275))),"")</f>
        <v/>
      </c>
      <c r="J275" s="26">
        <f>IF(B275="","","Active")</f>
        <v/>
      </c>
    </row>
    <row r="276">
      <c r="A276" s="42">
        <f>IF(B276="","","LN"&amp;TEXT(ROW()-2,"0000"))</f>
        <v/>
      </c>
      <c r="B276" s="43" t="n"/>
      <c r="C276" s="43">
        <f>IFERROR(IF(B276="","",VLOOKUP(B276,DATABASE!A:B,2,0)),"")</f>
        <v/>
      </c>
      <c r="D276" s="44" t="n"/>
      <c r="E276" s="45">
        <f>IF(B276="","",TODAY())</f>
        <v/>
      </c>
      <c r="F276" s="43" t="n"/>
      <c r="G276" s="43" t="n"/>
      <c r="H276" s="43" t="n"/>
      <c r="I276" s="44">
        <f>IFERROR(IF(OR(D276="",G276="",H276=""),"",ABS(PMT(G276%/12,H276,D276))),"")</f>
        <v/>
      </c>
      <c r="J276" s="43">
        <f>IF(B276="","","Active")</f>
        <v/>
      </c>
    </row>
    <row r="277">
      <c r="A277" s="41">
        <f>IF(B277="","","LN"&amp;TEXT(ROW()-2,"0000"))</f>
        <v/>
      </c>
      <c r="B277" s="26" t="n"/>
      <c r="C277" s="26">
        <f>IFERROR(IF(B277="","",VLOOKUP(B277,DATABASE!A:B,2,0)),"")</f>
        <v/>
      </c>
      <c r="D277" s="30" t="n"/>
      <c r="E277" s="31">
        <f>IF(B277="","",TODAY())</f>
        <v/>
      </c>
      <c r="F277" s="26" t="n"/>
      <c r="G277" s="26" t="n"/>
      <c r="H277" s="26" t="n"/>
      <c r="I277" s="30">
        <f>IFERROR(IF(OR(D277="",G277="",H277=""),"",ABS(PMT(G277%/12,H277,D277))),"")</f>
        <v/>
      </c>
      <c r="J277" s="26">
        <f>IF(B277="","","Active")</f>
        <v/>
      </c>
    </row>
    <row r="278">
      <c r="A278" s="42">
        <f>IF(B278="","","LN"&amp;TEXT(ROW()-2,"0000"))</f>
        <v/>
      </c>
      <c r="B278" s="43" t="n"/>
      <c r="C278" s="43">
        <f>IFERROR(IF(B278="","",VLOOKUP(B278,DATABASE!A:B,2,0)),"")</f>
        <v/>
      </c>
      <c r="D278" s="44" t="n"/>
      <c r="E278" s="45">
        <f>IF(B278="","",TODAY())</f>
        <v/>
      </c>
      <c r="F278" s="43" t="n"/>
      <c r="G278" s="43" t="n"/>
      <c r="H278" s="43" t="n"/>
      <c r="I278" s="44">
        <f>IFERROR(IF(OR(D278="",G278="",H278=""),"",ABS(PMT(G278%/12,H278,D278))),"")</f>
        <v/>
      </c>
      <c r="J278" s="43">
        <f>IF(B278="","","Active")</f>
        <v/>
      </c>
    </row>
    <row r="279">
      <c r="A279" s="41">
        <f>IF(B279="","","LN"&amp;TEXT(ROW()-2,"0000"))</f>
        <v/>
      </c>
      <c r="B279" s="26" t="n"/>
      <c r="C279" s="26">
        <f>IFERROR(IF(B279="","",VLOOKUP(B279,DATABASE!A:B,2,0)),"")</f>
        <v/>
      </c>
      <c r="D279" s="30" t="n"/>
      <c r="E279" s="31">
        <f>IF(B279="","",TODAY())</f>
        <v/>
      </c>
      <c r="F279" s="26" t="n"/>
      <c r="G279" s="26" t="n"/>
      <c r="H279" s="26" t="n"/>
      <c r="I279" s="30">
        <f>IFERROR(IF(OR(D279="",G279="",H279=""),"",ABS(PMT(G279%/12,H279,D279))),"")</f>
        <v/>
      </c>
      <c r="J279" s="26">
        <f>IF(B279="","","Active")</f>
        <v/>
      </c>
    </row>
    <row r="280">
      <c r="A280" s="42">
        <f>IF(B280="","","LN"&amp;TEXT(ROW()-2,"0000"))</f>
        <v/>
      </c>
      <c r="B280" s="43" t="n"/>
      <c r="C280" s="43">
        <f>IFERROR(IF(B280="","",VLOOKUP(B280,DATABASE!A:B,2,0)),"")</f>
        <v/>
      </c>
      <c r="D280" s="44" t="n"/>
      <c r="E280" s="45">
        <f>IF(B280="","",TODAY())</f>
        <v/>
      </c>
      <c r="F280" s="43" t="n"/>
      <c r="G280" s="43" t="n"/>
      <c r="H280" s="43" t="n"/>
      <c r="I280" s="44">
        <f>IFERROR(IF(OR(D280="",G280="",H280=""),"",ABS(PMT(G280%/12,H280,D280))),"")</f>
        <v/>
      </c>
      <c r="J280" s="43">
        <f>IF(B280="","","Active")</f>
        <v/>
      </c>
    </row>
    <row r="281">
      <c r="A281" s="41">
        <f>IF(B281="","","LN"&amp;TEXT(ROW()-2,"0000"))</f>
        <v/>
      </c>
      <c r="B281" s="26" t="n"/>
      <c r="C281" s="26">
        <f>IFERROR(IF(B281="","",VLOOKUP(B281,DATABASE!A:B,2,0)),"")</f>
        <v/>
      </c>
      <c r="D281" s="30" t="n"/>
      <c r="E281" s="31">
        <f>IF(B281="","",TODAY())</f>
        <v/>
      </c>
      <c r="F281" s="26" t="n"/>
      <c r="G281" s="26" t="n"/>
      <c r="H281" s="26" t="n"/>
      <c r="I281" s="30">
        <f>IFERROR(IF(OR(D281="",G281="",H281=""),"",ABS(PMT(G281%/12,H281,D281))),"")</f>
        <v/>
      </c>
      <c r="J281" s="26">
        <f>IF(B281="","","Active")</f>
        <v/>
      </c>
    </row>
    <row r="282">
      <c r="A282" s="42">
        <f>IF(B282="","","LN"&amp;TEXT(ROW()-2,"0000"))</f>
        <v/>
      </c>
      <c r="B282" s="43" t="n"/>
      <c r="C282" s="43">
        <f>IFERROR(IF(B282="","",VLOOKUP(B282,DATABASE!A:B,2,0)),"")</f>
        <v/>
      </c>
      <c r="D282" s="44" t="n"/>
      <c r="E282" s="45">
        <f>IF(B282="","",TODAY())</f>
        <v/>
      </c>
      <c r="F282" s="43" t="n"/>
      <c r="G282" s="43" t="n"/>
      <c r="H282" s="43" t="n"/>
      <c r="I282" s="44">
        <f>IFERROR(IF(OR(D282="",G282="",H282=""),"",ABS(PMT(G282%/12,H282,D282))),"")</f>
        <v/>
      </c>
      <c r="J282" s="43">
        <f>IF(B282="","","Active")</f>
        <v/>
      </c>
    </row>
    <row r="283">
      <c r="A283" s="41">
        <f>IF(B283="","","LN"&amp;TEXT(ROW()-2,"0000"))</f>
        <v/>
      </c>
      <c r="B283" s="26" t="n"/>
      <c r="C283" s="26">
        <f>IFERROR(IF(B283="","",VLOOKUP(B283,DATABASE!A:B,2,0)),"")</f>
        <v/>
      </c>
      <c r="D283" s="30" t="n"/>
      <c r="E283" s="31">
        <f>IF(B283="","",TODAY())</f>
        <v/>
      </c>
      <c r="F283" s="26" t="n"/>
      <c r="G283" s="26" t="n"/>
      <c r="H283" s="26" t="n"/>
      <c r="I283" s="30">
        <f>IFERROR(IF(OR(D283="",G283="",H283=""),"",ABS(PMT(G283%/12,H283,D283))),"")</f>
        <v/>
      </c>
      <c r="J283" s="26">
        <f>IF(B283="","","Active")</f>
        <v/>
      </c>
    </row>
    <row r="284">
      <c r="A284" s="42">
        <f>IF(B284="","","LN"&amp;TEXT(ROW()-2,"0000"))</f>
        <v/>
      </c>
      <c r="B284" s="43" t="n"/>
      <c r="C284" s="43">
        <f>IFERROR(IF(B284="","",VLOOKUP(B284,DATABASE!A:B,2,0)),"")</f>
        <v/>
      </c>
      <c r="D284" s="44" t="n"/>
      <c r="E284" s="45">
        <f>IF(B284="","",TODAY())</f>
        <v/>
      </c>
      <c r="F284" s="43" t="n"/>
      <c r="G284" s="43" t="n"/>
      <c r="H284" s="43" t="n"/>
      <c r="I284" s="44">
        <f>IFERROR(IF(OR(D284="",G284="",H284=""),"",ABS(PMT(G284%/12,H284,D284))),"")</f>
        <v/>
      </c>
      <c r="J284" s="43">
        <f>IF(B284="","","Active")</f>
        <v/>
      </c>
    </row>
    <row r="285">
      <c r="A285" s="41">
        <f>IF(B285="","","LN"&amp;TEXT(ROW()-2,"0000"))</f>
        <v/>
      </c>
      <c r="B285" s="26" t="n"/>
      <c r="C285" s="26">
        <f>IFERROR(IF(B285="","",VLOOKUP(B285,DATABASE!A:B,2,0)),"")</f>
        <v/>
      </c>
      <c r="D285" s="30" t="n"/>
      <c r="E285" s="31">
        <f>IF(B285="","",TODAY())</f>
        <v/>
      </c>
      <c r="F285" s="26" t="n"/>
      <c r="G285" s="26" t="n"/>
      <c r="H285" s="26" t="n"/>
      <c r="I285" s="30">
        <f>IFERROR(IF(OR(D285="",G285="",H285=""),"",ABS(PMT(G285%/12,H285,D285))),"")</f>
        <v/>
      </c>
      <c r="J285" s="26">
        <f>IF(B285="","","Active")</f>
        <v/>
      </c>
    </row>
    <row r="286">
      <c r="A286" s="42">
        <f>IF(B286="","","LN"&amp;TEXT(ROW()-2,"0000"))</f>
        <v/>
      </c>
      <c r="B286" s="43" t="n"/>
      <c r="C286" s="43">
        <f>IFERROR(IF(B286="","",VLOOKUP(B286,DATABASE!A:B,2,0)),"")</f>
        <v/>
      </c>
      <c r="D286" s="44" t="n"/>
      <c r="E286" s="45">
        <f>IF(B286="","",TODAY())</f>
        <v/>
      </c>
      <c r="F286" s="43" t="n"/>
      <c r="G286" s="43" t="n"/>
      <c r="H286" s="43" t="n"/>
      <c r="I286" s="44">
        <f>IFERROR(IF(OR(D286="",G286="",H286=""),"",ABS(PMT(G286%/12,H286,D286))),"")</f>
        <v/>
      </c>
      <c r="J286" s="43">
        <f>IF(B286="","","Active")</f>
        <v/>
      </c>
    </row>
    <row r="287">
      <c r="A287" s="41">
        <f>IF(B287="","","LN"&amp;TEXT(ROW()-2,"0000"))</f>
        <v/>
      </c>
      <c r="B287" s="26" t="n"/>
      <c r="C287" s="26">
        <f>IFERROR(IF(B287="","",VLOOKUP(B287,DATABASE!A:B,2,0)),"")</f>
        <v/>
      </c>
      <c r="D287" s="30" t="n"/>
      <c r="E287" s="31">
        <f>IF(B287="","",TODAY())</f>
        <v/>
      </c>
      <c r="F287" s="26" t="n"/>
      <c r="G287" s="26" t="n"/>
      <c r="H287" s="26" t="n"/>
      <c r="I287" s="30">
        <f>IFERROR(IF(OR(D287="",G287="",H287=""),"",ABS(PMT(G287%/12,H287,D287))),"")</f>
        <v/>
      </c>
      <c r="J287" s="26">
        <f>IF(B287="","","Active")</f>
        <v/>
      </c>
    </row>
    <row r="288">
      <c r="A288" s="42">
        <f>IF(B288="","","LN"&amp;TEXT(ROW()-2,"0000"))</f>
        <v/>
      </c>
      <c r="B288" s="43" t="n"/>
      <c r="C288" s="43">
        <f>IFERROR(IF(B288="","",VLOOKUP(B288,DATABASE!A:B,2,0)),"")</f>
        <v/>
      </c>
      <c r="D288" s="44" t="n"/>
      <c r="E288" s="45">
        <f>IF(B288="","",TODAY())</f>
        <v/>
      </c>
      <c r="F288" s="43" t="n"/>
      <c r="G288" s="43" t="n"/>
      <c r="H288" s="43" t="n"/>
      <c r="I288" s="44">
        <f>IFERROR(IF(OR(D288="",G288="",H288=""),"",ABS(PMT(G288%/12,H288,D288))),"")</f>
        <v/>
      </c>
      <c r="J288" s="43">
        <f>IF(B288="","","Active")</f>
        <v/>
      </c>
    </row>
    <row r="289">
      <c r="A289" s="41">
        <f>IF(B289="","","LN"&amp;TEXT(ROW()-2,"0000"))</f>
        <v/>
      </c>
      <c r="B289" s="26" t="n"/>
      <c r="C289" s="26">
        <f>IFERROR(IF(B289="","",VLOOKUP(B289,DATABASE!A:B,2,0)),"")</f>
        <v/>
      </c>
      <c r="D289" s="30" t="n"/>
      <c r="E289" s="31">
        <f>IF(B289="","",TODAY())</f>
        <v/>
      </c>
      <c r="F289" s="26" t="n"/>
      <c r="G289" s="26" t="n"/>
      <c r="H289" s="26" t="n"/>
      <c r="I289" s="30">
        <f>IFERROR(IF(OR(D289="",G289="",H289=""),"",ABS(PMT(G289%/12,H289,D289))),"")</f>
        <v/>
      </c>
      <c r="J289" s="26">
        <f>IF(B289="","","Active")</f>
        <v/>
      </c>
    </row>
    <row r="290">
      <c r="A290" s="42">
        <f>IF(B290="","","LN"&amp;TEXT(ROW()-2,"0000"))</f>
        <v/>
      </c>
      <c r="B290" s="43" t="n"/>
      <c r="C290" s="43">
        <f>IFERROR(IF(B290="","",VLOOKUP(B290,DATABASE!A:B,2,0)),"")</f>
        <v/>
      </c>
      <c r="D290" s="44" t="n"/>
      <c r="E290" s="45">
        <f>IF(B290="","",TODAY())</f>
        <v/>
      </c>
      <c r="F290" s="43" t="n"/>
      <c r="G290" s="43" t="n"/>
      <c r="H290" s="43" t="n"/>
      <c r="I290" s="44">
        <f>IFERROR(IF(OR(D290="",G290="",H290=""),"",ABS(PMT(G290%/12,H290,D290))),"")</f>
        <v/>
      </c>
      <c r="J290" s="43">
        <f>IF(B290="","","Active")</f>
        <v/>
      </c>
    </row>
    <row r="291">
      <c r="A291" s="41">
        <f>IF(B291="","","LN"&amp;TEXT(ROW()-2,"0000"))</f>
        <v/>
      </c>
      <c r="B291" s="26" t="n"/>
      <c r="C291" s="26">
        <f>IFERROR(IF(B291="","",VLOOKUP(B291,DATABASE!A:B,2,0)),"")</f>
        <v/>
      </c>
      <c r="D291" s="30" t="n"/>
      <c r="E291" s="31">
        <f>IF(B291="","",TODAY())</f>
        <v/>
      </c>
      <c r="F291" s="26" t="n"/>
      <c r="G291" s="26" t="n"/>
      <c r="H291" s="26" t="n"/>
      <c r="I291" s="30">
        <f>IFERROR(IF(OR(D291="",G291="",H291=""),"",ABS(PMT(G291%/12,H291,D291))),"")</f>
        <v/>
      </c>
      <c r="J291" s="26">
        <f>IF(B291="","","Active")</f>
        <v/>
      </c>
    </row>
    <row r="292">
      <c r="A292" s="42">
        <f>IF(B292="","","LN"&amp;TEXT(ROW()-2,"0000"))</f>
        <v/>
      </c>
      <c r="B292" s="43" t="n"/>
      <c r="C292" s="43">
        <f>IFERROR(IF(B292="","",VLOOKUP(B292,DATABASE!A:B,2,0)),"")</f>
        <v/>
      </c>
      <c r="D292" s="44" t="n"/>
      <c r="E292" s="45">
        <f>IF(B292="","",TODAY())</f>
        <v/>
      </c>
      <c r="F292" s="43" t="n"/>
      <c r="G292" s="43" t="n"/>
      <c r="H292" s="43" t="n"/>
      <c r="I292" s="44">
        <f>IFERROR(IF(OR(D292="",G292="",H292=""),"",ABS(PMT(G292%/12,H292,D292))),"")</f>
        <v/>
      </c>
      <c r="J292" s="43">
        <f>IF(B292="","","Active")</f>
        <v/>
      </c>
    </row>
    <row r="293">
      <c r="A293" s="41">
        <f>IF(B293="","","LN"&amp;TEXT(ROW()-2,"0000"))</f>
        <v/>
      </c>
      <c r="B293" s="26" t="n"/>
      <c r="C293" s="26">
        <f>IFERROR(IF(B293="","",VLOOKUP(B293,DATABASE!A:B,2,0)),"")</f>
        <v/>
      </c>
      <c r="D293" s="30" t="n"/>
      <c r="E293" s="31">
        <f>IF(B293="","",TODAY())</f>
        <v/>
      </c>
      <c r="F293" s="26" t="n"/>
      <c r="G293" s="26" t="n"/>
      <c r="H293" s="26" t="n"/>
      <c r="I293" s="30">
        <f>IFERROR(IF(OR(D293="",G293="",H293=""),"",ABS(PMT(G293%/12,H293,D293))),"")</f>
        <v/>
      </c>
      <c r="J293" s="26">
        <f>IF(B293="","","Active")</f>
        <v/>
      </c>
    </row>
    <row r="294">
      <c r="A294" s="42">
        <f>IF(B294="","","LN"&amp;TEXT(ROW()-2,"0000"))</f>
        <v/>
      </c>
      <c r="B294" s="43" t="n"/>
      <c r="C294" s="43">
        <f>IFERROR(IF(B294="","",VLOOKUP(B294,DATABASE!A:B,2,0)),"")</f>
        <v/>
      </c>
      <c r="D294" s="44" t="n"/>
      <c r="E294" s="45">
        <f>IF(B294="","",TODAY())</f>
        <v/>
      </c>
      <c r="F294" s="43" t="n"/>
      <c r="G294" s="43" t="n"/>
      <c r="H294" s="43" t="n"/>
      <c r="I294" s="44">
        <f>IFERROR(IF(OR(D294="",G294="",H294=""),"",ABS(PMT(G294%/12,H294,D294))),"")</f>
        <v/>
      </c>
      <c r="J294" s="43">
        <f>IF(B294="","","Active")</f>
        <v/>
      </c>
    </row>
    <row r="295">
      <c r="A295" s="41">
        <f>IF(B295="","","LN"&amp;TEXT(ROW()-2,"0000"))</f>
        <v/>
      </c>
      <c r="B295" s="26" t="n"/>
      <c r="C295" s="26">
        <f>IFERROR(IF(B295="","",VLOOKUP(B295,DATABASE!A:B,2,0)),"")</f>
        <v/>
      </c>
      <c r="D295" s="30" t="n"/>
      <c r="E295" s="31">
        <f>IF(B295="","",TODAY())</f>
        <v/>
      </c>
      <c r="F295" s="26" t="n"/>
      <c r="G295" s="26" t="n"/>
      <c r="H295" s="26" t="n"/>
      <c r="I295" s="30">
        <f>IFERROR(IF(OR(D295="",G295="",H295=""),"",ABS(PMT(G295%/12,H295,D295))),"")</f>
        <v/>
      </c>
      <c r="J295" s="26">
        <f>IF(B295="","","Active")</f>
        <v/>
      </c>
    </row>
    <row r="296">
      <c r="A296" s="42">
        <f>IF(B296="","","LN"&amp;TEXT(ROW()-2,"0000"))</f>
        <v/>
      </c>
      <c r="B296" s="43" t="n"/>
      <c r="C296" s="43">
        <f>IFERROR(IF(B296="","",VLOOKUP(B296,DATABASE!A:B,2,0)),"")</f>
        <v/>
      </c>
      <c r="D296" s="44" t="n"/>
      <c r="E296" s="45">
        <f>IF(B296="","",TODAY())</f>
        <v/>
      </c>
      <c r="F296" s="43" t="n"/>
      <c r="G296" s="43" t="n"/>
      <c r="H296" s="43" t="n"/>
      <c r="I296" s="44">
        <f>IFERROR(IF(OR(D296="",G296="",H296=""),"",ABS(PMT(G296%/12,H296,D296))),"")</f>
        <v/>
      </c>
      <c r="J296" s="43">
        <f>IF(B296="","","Active")</f>
        <v/>
      </c>
    </row>
    <row r="297">
      <c r="A297" s="41">
        <f>IF(B297="","","LN"&amp;TEXT(ROW()-2,"0000"))</f>
        <v/>
      </c>
      <c r="B297" s="26" t="n"/>
      <c r="C297" s="26">
        <f>IFERROR(IF(B297="","",VLOOKUP(B297,DATABASE!A:B,2,0)),"")</f>
        <v/>
      </c>
      <c r="D297" s="30" t="n"/>
      <c r="E297" s="31">
        <f>IF(B297="","",TODAY())</f>
        <v/>
      </c>
      <c r="F297" s="26" t="n"/>
      <c r="G297" s="26" t="n"/>
      <c r="H297" s="26" t="n"/>
      <c r="I297" s="30">
        <f>IFERROR(IF(OR(D297="",G297="",H297=""),"",ABS(PMT(G297%/12,H297,D297))),"")</f>
        <v/>
      </c>
      <c r="J297" s="26">
        <f>IF(B297="","","Active")</f>
        <v/>
      </c>
    </row>
    <row r="298">
      <c r="A298" s="42">
        <f>IF(B298="","","LN"&amp;TEXT(ROW()-2,"0000"))</f>
        <v/>
      </c>
      <c r="B298" s="43" t="n"/>
      <c r="C298" s="43">
        <f>IFERROR(IF(B298="","",VLOOKUP(B298,DATABASE!A:B,2,0)),"")</f>
        <v/>
      </c>
      <c r="D298" s="44" t="n"/>
      <c r="E298" s="45">
        <f>IF(B298="","",TODAY())</f>
        <v/>
      </c>
      <c r="F298" s="43" t="n"/>
      <c r="G298" s="43" t="n"/>
      <c r="H298" s="43" t="n"/>
      <c r="I298" s="44">
        <f>IFERROR(IF(OR(D298="",G298="",H298=""),"",ABS(PMT(G298%/12,H298,D298))),"")</f>
        <v/>
      </c>
      <c r="J298" s="43">
        <f>IF(B298="","","Active")</f>
        <v/>
      </c>
    </row>
    <row r="299">
      <c r="A299" s="41">
        <f>IF(B299="","","LN"&amp;TEXT(ROW()-2,"0000"))</f>
        <v/>
      </c>
      <c r="B299" s="26" t="n"/>
      <c r="C299" s="26">
        <f>IFERROR(IF(B299="","",VLOOKUP(B299,DATABASE!A:B,2,0)),"")</f>
        <v/>
      </c>
      <c r="D299" s="30" t="n"/>
      <c r="E299" s="31">
        <f>IF(B299="","",TODAY())</f>
        <v/>
      </c>
      <c r="F299" s="26" t="n"/>
      <c r="G299" s="26" t="n"/>
      <c r="H299" s="26" t="n"/>
      <c r="I299" s="30">
        <f>IFERROR(IF(OR(D299="",G299="",H299=""),"",ABS(PMT(G299%/12,H299,D299))),"")</f>
        <v/>
      </c>
      <c r="J299" s="26">
        <f>IF(B299="","","Active")</f>
        <v/>
      </c>
    </row>
    <row r="300">
      <c r="A300" s="42">
        <f>IF(B300="","","LN"&amp;TEXT(ROW()-2,"0000"))</f>
        <v/>
      </c>
      <c r="B300" s="43" t="n"/>
      <c r="C300" s="43">
        <f>IFERROR(IF(B300="","",VLOOKUP(B300,DATABASE!A:B,2,0)),"")</f>
        <v/>
      </c>
      <c r="D300" s="44" t="n"/>
      <c r="E300" s="45">
        <f>IF(B300="","",TODAY())</f>
        <v/>
      </c>
      <c r="F300" s="43" t="n"/>
      <c r="G300" s="43" t="n"/>
      <c r="H300" s="43" t="n"/>
      <c r="I300" s="44">
        <f>IFERROR(IF(OR(D300="",G300="",H300=""),"",ABS(PMT(G300%/12,H300,D300))),"")</f>
        <v/>
      </c>
      <c r="J300" s="43">
        <f>IF(B300="","","Active")</f>
        <v/>
      </c>
    </row>
    <row r="301">
      <c r="A301" s="41">
        <f>IF(B301="","","LN"&amp;TEXT(ROW()-2,"0000"))</f>
        <v/>
      </c>
      <c r="B301" s="26" t="n"/>
      <c r="C301" s="26">
        <f>IFERROR(IF(B301="","",VLOOKUP(B301,DATABASE!A:B,2,0)),"")</f>
        <v/>
      </c>
      <c r="D301" s="30" t="n"/>
      <c r="E301" s="31">
        <f>IF(B301="","",TODAY())</f>
        <v/>
      </c>
      <c r="F301" s="26" t="n"/>
      <c r="G301" s="26" t="n"/>
      <c r="H301" s="26" t="n"/>
      <c r="I301" s="30">
        <f>IFERROR(IF(OR(D301="",G301="",H301=""),"",ABS(PMT(G301%/12,H301,D301))),"")</f>
        <v/>
      </c>
      <c r="J301" s="26">
        <f>IF(B301="","","Active")</f>
        <v/>
      </c>
    </row>
    <row r="302">
      <c r="A302" s="42">
        <f>IF(B302="","","LN"&amp;TEXT(ROW()-2,"0000"))</f>
        <v/>
      </c>
      <c r="B302" s="43" t="n"/>
      <c r="C302" s="43">
        <f>IFERROR(IF(B302="","",VLOOKUP(B302,DATABASE!A:B,2,0)),"")</f>
        <v/>
      </c>
      <c r="D302" s="44" t="n"/>
      <c r="E302" s="45">
        <f>IF(B302="","",TODAY())</f>
        <v/>
      </c>
      <c r="F302" s="43" t="n"/>
      <c r="G302" s="43" t="n"/>
      <c r="H302" s="43" t="n"/>
      <c r="I302" s="44">
        <f>IFERROR(IF(OR(D302="",G302="",H302=""),"",ABS(PMT(G302%/12,H302,D302))),"")</f>
        <v/>
      </c>
      <c r="J302" s="43">
        <f>IF(B302="","","Active")</f>
        <v/>
      </c>
    </row>
    <row r="303">
      <c r="A303" s="41">
        <f>IF(B303="","","LN"&amp;TEXT(ROW()-2,"0000"))</f>
        <v/>
      </c>
      <c r="B303" s="26" t="n"/>
      <c r="C303" s="26">
        <f>IFERROR(IF(B303="","",VLOOKUP(B303,DATABASE!A:B,2,0)),"")</f>
        <v/>
      </c>
      <c r="D303" s="30" t="n"/>
      <c r="E303" s="31">
        <f>IF(B303="","",TODAY())</f>
        <v/>
      </c>
      <c r="F303" s="26" t="n"/>
      <c r="G303" s="26" t="n"/>
      <c r="H303" s="26" t="n"/>
      <c r="I303" s="30">
        <f>IFERROR(IF(OR(D303="",G303="",H303=""),"",ABS(PMT(G303%/12,H303,D303))),"")</f>
        <v/>
      </c>
      <c r="J303" s="26">
        <f>IF(B303="","","Active")</f>
        <v/>
      </c>
    </row>
    <row r="304">
      <c r="A304" s="42">
        <f>IF(B304="","","LN"&amp;TEXT(ROW()-2,"0000"))</f>
        <v/>
      </c>
      <c r="B304" s="43" t="n"/>
      <c r="C304" s="43">
        <f>IFERROR(IF(B304="","",VLOOKUP(B304,DATABASE!A:B,2,0)),"")</f>
        <v/>
      </c>
      <c r="D304" s="44" t="n"/>
      <c r="E304" s="45">
        <f>IF(B304="","",TODAY())</f>
        <v/>
      </c>
      <c r="F304" s="43" t="n"/>
      <c r="G304" s="43" t="n"/>
      <c r="H304" s="43" t="n"/>
      <c r="I304" s="44">
        <f>IFERROR(IF(OR(D304="",G304="",H304=""),"",ABS(PMT(G304%/12,H304,D304))),"")</f>
        <v/>
      </c>
      <c r="J304" s="43">
        <f>IF(B304="","","Active")</f>
        <v/>
      </c>
    </row>
    <row r="305">
      <c r="A305" s="41">
        <f>IF(B305="","","LN"&amp;TEXT(ROW()-2,"0000"))</f>
        <v/>
      </c>
      <c r="B305" s="26" t="n"/>
      <c r="C305" s="26">
        <f>IFERROR(IF(B305="","",VLOOKUP(B305,DATABASE!A:B,2,0)),"")</f>
        <v/>
      </c>
      <c r="D305" s="30" t="n"/>
      <c r="E305" s="31">
        <f>IF(B305="","",TODAY())</f>
        <v/>
      </c>
      <c r="F305" s="26" t="n"/>
      <c r="G305" s="26" t="n"/>
      <c r="H305" s="26" t="n"/>
      <c r="I305" s="30">
        <f>IFERROR(IF(OR(D305="",G305="",H305=""),"",ABS(PMT(G305%/12,H305,D305))),"")</f>
        <v/>
      </c>
      <c r="J305" s="26">
        <f>IF(B305="","","Active")</f>
        <v/>
      </c>
    </row>
    <row r="306">
      <c r="A306" s="42">
        <f>IF(B306="","","LN"&amp;TEXT(ROW()-2,"0000"))</f>
        <v/>
      </c>
      <c r="B306" s="43" t="n"/>
      <c r="C306" s="43">
        <f>IFERROR(IF(B306="","",VLOOKUP(B306,DATABASE!A:B,2,0)),"")</f>
        <v/>
      </c>
      <c r="D306" s="44" t="n"/>
      <c r="E306" s="45">
        <f>IF(B306="","",TODAY())</f>
        <v/>
      </c>
      <c r="F306" s="43" t="n"/>
      <c r="G306" s="43" t="n"/>
      <c r="H306" s="43" t="n"/>
      <c r="I306" s="44">
        <f>IFERROR(IF(OR(D306="",G306="",H306=""),"",ABS(PMT(G306%/12,H306,D306))),"")</f>
        <v/>
      </c>
      <c r="J306" s="43">
        <f>IF(B306="","","Active")</f>
        <v/>
      </c>
    </row>
    <row r="307">
      <c r="A307" s="41">
        <f>IF(B307="","","LN"&amp;TEXT(ROW()-2,"0000"))</f>
        <v/>
      </c>
      <c r="B307" s="26" t="n"/>
      <c r="C307" s="26">
        <f>IFERROR(IF(B307="","",VLOOKUP(B307,DATABASE!A:B,2,0)),"")</f>
        <v/>
      </c>
      <c r="D307" s="30" t="n"/>
      <c r="E307" s="31">
        <f>IF(B307="","",TODAY())</f>
        <v/>
      </c>
      <c r="F307" s="26" t="n"/>
      <c r="G307" s="26" t="n"/>
      <c r="H307" s="26" t="n"/>
      <c r="I307" s="30">
        <f>IFERROR(IF(OR(D307="",G307="",H307=""),"",ABS(PMT(G307%/12,H307,D307))),"")</f>
        <v/>
      </c>
      <c r="J307" s="26">
        <f>IF(B307="","","Active")</f>
        <v/>
      </c>
    </row>
    <row r="308">
      <c r="A308" s="42">
        <f>IF(B308="","","LN"&amp;TEXT(ROW()-2,"0000"))</f>
        <v/>
      </c>
      <c r="B308" s="43" t="n"/>
      <c r="C308" s="43">
        <f>IFERROR(IF(B308="","",VLOOKUP(B308,DATABASE!A:B,2,0)),"")</f>
        <v/>
      </c>
      <c r="D308" s="44" t="n"/>
      <c r="E308" s="45">
        <f>IF(B308="","",TODAY())</f>
        <v/>
      </c>
      <c r="F308" s="43" t="n"/>
      <c r="G308" s="43" t="n"/>
      <c r="H308" s="43" t="n"/>
      <c r="I308" s="44">
        <f>IFERROR(IF(OR(D308="",G308="",H308=""),"",ABS(PMT(G308%/12,H308,D308))),"")</f>
        <v/>
      </c>
      <c r="J308" s="43">
        <f>IF(B308="","","Active")</f>
        <v/>
      </c>
    </row>
    <row r="309">
      <c r="A309" s="41">
        <f>IF(B309="","","LN"&amp;TEXT(ROW()-2,"0000"))</f>
        <v/>
      </c>
      <c r="B309" s="26" t="n"/>
      <c r="C309" s="26">
        <f>IFERROR(IF(B309="","",VLOOKUP(B309,DATABASE!A:B,2,0)),"")</f>
        <v/>
      </c>
      <c r="D309" s="30" t="n"/>
      <c r="E309" s="31">
        <f>IF(B309="","",TODAY())</f>
        <v/>
      </c>
      <c r="F309" s="26" t="n"/>
      <c r="G309" s="26" t="n"/>
      <c r="H309" s="26" t="n"/>
      <c r="I309" s="30">
        <f>IFERROR(IF(OR(D309="",G309="",H309=""),"",ABS(PMT(G309%/12,H309,D309))),"")</f>
        <v/>
      </c>
      <c r="J309" s="26">
        <f>IF(B309="","","Active")</f>
        <v/>
      </c>
    </row>
    <row r="310">
      <c r="A310" s="42">
        <f>IF(B310="","","LN"&amp;TEXT(ROW()-2,"0000"))</f>
        <v/>
      </c>
      <c r="B310" s="43" t="n"/>
      <c r="C310" s="43">
        <f>IFERROR(IF(B310="","",VLOOKUP(B310,DATABASE!A:B,2,0)),"")</f>
        <v/>
      </c>
      <c r="D310" s="44" t="n"/>
      <c r="E310" s="45">
        <f>IF(B310="","",TODAY())</f>
        <v/>
      </c>
      <c r="F310" s="43" t="n"/>
      <c r="G310" s="43" t="n"/>
      <c r="H310" s="43" t="n"/>
      <c r="I310" s="44">
        <f>IFERROR(IF(OR(D310="",G310="",H310=""),"",ABS(PMT(G310%/12,H310,D310))),"")</f>
        <v/>
      </c>
      <c r="J310" s="43">
        <f>IF(B310="","","Active")</f>
        <v/>
      </c>
    </row>
    <row r="311">
      <c r="A311" s="41">
        <f>IF(B311="","","LN"&amp;TEXT(ROW()-2,"0000"))</f>
        <v/>
      </c>
      <c r="B311" s="26" t="n"/>
      <c r="C311" s="26">
        <f>IFERROR(IF(B311="","",VLOOKUP(B311,DATABASE!A:B,2,0)),"")</f>
        <v/>
      </c>
      <c r="D311" s="30" t="n"/>
      <c r="E311" s="31">
        <f>IF(B311="","",TODAY())</f>
        <v/>
      </c>
      <c r="F311" s="26" t="n"/>
      <c r="G311" s="26" t="n"/>
      <c r="H311" s="26" t="n"/>
      <c r="I311" s="30">
        <f>IFERROR(IF(OR(D311="",G311="",H311=""),"",ABS(PMT(G311%/12,H311,D311))),"")</f>
        <v/>
      </c>
      <c r="J311" s="26">
        <f>IF(B311="","","Active")</f>
        <v/>
      </c>
    </row>
    <row r="312">
      <c r="A312" s="42">
        <f>IF(B312="","","LN"&amp;TEXT(ROW()-2,"0000"))</f>
        <v/>
      </c>
      <c r="B312" s="43" t="n"/>
      <c r="C312" s="43">
        <f>IFERROR(IF(B312="","",VLOOKUP(B312,DATABASE!A:B,2,0)),"")</f>
        <v/>
      </c>
      <c r="D312" s="44" t="n"/>
      <c r="E312" s="45">
        <f>IF(B312="","",TODAY())</f>
        <v/>
      </c>
      <c r="F312" s="43" t="n"/>
      <c r="G312" s="43" t="n"/>
      <c r="H312" s="43" t="n"/>
      <c r="I312" s="44">
        <f>IFERROR(IF(OR(D312="",G312="",H312=""),"",ABS(PMT(G312%/12,H312,D312))),"")</f>
        <v/>
      </c>
      <c r="J312" s="43">
        <f>IF(B312="","","Active")</f>
        <v/>
      </c>
    </row>
    <row r="313">
      <c r="A313" s="41">
        <f>IF(B313="","","LN"&amp;TEXT(ROW()-2,"0000"))</f>
        <v/>
      </c>
      <c r="B313" s="26" t="n"/>
      <c r="C313" s="26">
        <f>IFERROR(IF(B313="","",VLOOKUP(B313,DATABASE!A:B,2,0)),"")</f>
        <v/>
      </c>
      <c r="D313" s="30" t="n"/>
      <c r="E313" s="31">
        <f>IF(B313="","",TODAY())</f>
        <v/>
      </c>
      <c r="F313" s="26" t="n"/>
      <c r="G313" s="26" t="n"/>
      <c r="H313" s="26" t="n"/>
      <c r="I313" s="30">
        <f>IFERROR(IF(OR(D313="",G313="",H313=""),"",ABS(PMT(G313%/12,H313,D313))),"")</f>
        <v/>
      </c>
      <c r="J313" s="26">
        <f>IF(B313="","","Active")</f>
        <v/>
      </c>
    </row>
    <row r="314">
      <c r="A314" s="42">
        <f>IF(B314="","","LN"&amp;TEXT(ROW()-2,"0000"))</f>
        <v/>
      </c>
      <c r="B314" s="43" t="n"/>
      <c r="C314" s="43">
        <f>IFERROR(IF(B314="","",VLOOKUP(B314,DATABASE!A:B,2,0)),"")</f>
        <v/>
      </c>
      <c r="D314" s="44" t="n"/>
      <c r="E314" s="45">
        <f>IF(B314="","",TODAY())</f>
        <v/>
      </c>
      <c r="F314" s="43" t="n"/>
      <c r="G314" s="43" t="n"/>
      <c r="H314" s="43" t="n"/>
      <c r="I314" s="44">
        <f>IFERROR(IF(OR(D314="",G314="",H314=""),"",ABS(PMT(G314%/12,H314,D314))),"")</f>
        <v/>
      </c>
      <c r="J314" s="43">
        <f>IF(B314="","","Active")</f>
        <v/>
      </c>
    </row>
    <row r="315">
      <c r="A315" s="41">
        <f>IF(B315="","","LN"&amp;TEXT(ROW()-2,"0000"))</f>
        <v/>
      </c>
      <c r="B315" s="26" t="n"/>
      <c r="C315" s="26">
        <f>IFERROR(IF(B315="","",VLOOKUP(B315,DATABASE!A:B,2,0)),"")</f>
        <v/>
      </c>
      <c r="D315" s="30" t="n"/>
      <c r="E315" s="31">
        <f>IF(B315="","",TODAY())</f>
        <v/>
      </c>
      <c r="F315" s="26" t="n"/>
      <c r="G315" s="26" t="n"/>
      <c r="H315" s="26" t="n"/>
      <c r="I315" s="30">
        <f>IFERROR(IF(OR(D315="",G315="",H315=""),"",ABS(PMT(G315%/12,H315,D315))),"")</f>
        <v/>
      </c>
      <c r="J315" s="26">
        <f>IF(B315="","","Active")</f>
        <v/>
      </c>
    </row>
    <row r="316">
      <c r="A316" s="42">
        <f>IF(B316="","","LN"&amp;TEXT(ROW()-2,"0000"))</f>
        <v/>
      </c>
      <c r="B316" s="43" t="n"/>
      <c r="C316" s="43">
        <f>IFERROR(IF(B316="","",VLOOKUP(B316,DATABASE!A:B,2,0)),"")</f>
        <v/>
      </c>
      <c r="D316" s="44" t="n"/>
      <c r="E316" s="45">
        <f>IF(B316="","",TODAY())</f>
        <v/>
      </c>
      <c r="F316" s="43" t="n"/>
      <c r="G316" s="43" t="n"/>
      <c r="H316" s="43" t="n"/>
      <c r="I316" s="44">
        <f>IFERROR(IF(OR(D316="",G316="",H316=""),"",ABS(PMT(G316%/12,H316,D316))),"")</f>
        <v/>
      </c>
      <c r="J316" s="43">
        <f>IF(B316="","","Active")</f>
        <v/>
      </c>
    </row>
    <row r="317">
      <c r="A317" s="41">
        <f>IF(B317="","","LN"&amp;TEXT(ROW()-2,"0000"))</f>
        <v/>
      </c>
      <c r="B317" s="26" t="n"/>
      <c r="C317" s="26">
        <f>IFERROR(IF(B317="","",VLOOKUP(B317,DATABASE!A:B,2,0)),"")</f>
        <v/>
      </c>
      <c r="D317" s="30" t="n"/>
      <c r="E317" s="31">
        <f>IF(B317="","",TODAY())</f>
        <v/>
      </c>
      <c r="F317" s="26" t="n"/>
      <c r="G317" s="26" t="n"/>
      <c r="H317" s="26" t="n"/>
      <c r="I317" s="30">
        <f>IFERROR(IF(OR(D317="",G317="",H317=""),"",ABS(PMT(G317%/12,H317,D317))),"")</f>
        <v/>
      </c>
      <c r="J317" s="26">
        <f>IF(B317="","","Active")</f>
        <v/>
      </c>
    </row>
    <row r="318">
      <c r="A318" s="42">
        <f>IF(B318="","","LN"&amp;TEXT(ROW()-2,"0000"))</f>
        <v/>
      </c>
      <c r="B318" s="43" t="n"/>
      <c r="C318" s="43">
        <f>IFERROR(IF(B318="","",VLOOKUP(B318,DATABASE!A:B,2,0)),"")</f>
        <v/>
      </c>
      <c r="D318" s="44" t="n"/>
      <c r="E318" s="45">
        <f>IF(B318="","",TODAY())</f>
        <v/>
      </c>
      <c r="F318" s="43" t="n"/>
      <c r="G318" s="43" t="n"/>
      <c r="H318" s="43" t="n"/>
      <c r="I318" s="44">
        <f>IFERROR(IF(OR(D318="",G318="",H318=""),"",ABS(PMT(G318%/12,H318,D318))),"")</f>
        <v/>
      </c>
      <c r="J318" s="43">
        <f>IF(B318="","","Active")</f>
        <v/>
      </c>
    </row>
    <row r="319">
      <c r="A319" s="41">
        <f>IF(B319="","","LN"&amp;TEXT(ROW()-2,"0000"))</f>
        <v/>
      </c>
      <c r="B319" s="26" t="n"/>
      <c r="C319" s="26">
        <f>IFERROR(IF(B319="","",VLOOKUP(B319,DATABASE!A:B,2,0)),"")</f>
        <v/>
      </c>
      <c r="D319" s="30" t="n"/>
      <c r="E319" s="31">
        <f>IF(B319="","",TODAY())</f>
        <v/>
      </c>
      <c r="F319" s="26" t="n"/>
      <c r="G319" s="26" t="n"/>
      <c r="H319" s="26" t="n"/>
      <c r="I319" s="30">
        <f>IFERROR(IF(OR(D319="",G319="",H319=""),"",ABS(PMT(G319%/12,H319,D319))),"")</f>
        <v/>
      </c>
      <c r="J319" s="26">
        <f>IF(B319="","","Active")</f>
        <v/>
      </c>
    </row>
    <row r="320">
      <c r="A320" s="42">
        <f>IF(B320="","","LN"&amp;TEXT(ROW()-2,"0000"))</f>
        <v/>
      </c>
      <c r="B320" s="43" t="n"/>
      <c r="C320" s="43">
        <f>IFERROR(IF(B320="","",VLOOKUP(B320,DATABASE!A:B,2,0)),"")</f>
        <v/>
      </c>
      <c r="D320" s="44" t="n"/>
      <c r="E320" s="45">
        <f>IF(B320="","",TODAY())</f>
        <v/>
      </c>
      <c r="F320" s="43" t="n"/>
      <c r="G320" s="43" t="n"/>
      <c r="H320" s="43" t="n"/>
      <c r="I320" s="44">
        <f>IFERROR(IF(OR(D320="",G320="",H320=""),"",ABS(PMT(G320%/12,H320,D320))),"")</f>
        <v/>
      </c>
      <c r="J320" s="43">
        <f>IF(B320="","","Active")</f>
        <v/>
      </c>
    </row>
    <row r="321">
      <c r="A321" s="41">
        <f>IF(B321="","","LN"&amp;TEXT(ROW()-2,"0000"))</f>
        <v/>
      </c>
      <c r="B321" s="26" t="n"/>
      <c r="C321" s="26">
        <f>IFERROR(IF(B321="","",VLOOKUP(B321,DATABASE!A:B,2,0)),"")</f>
        <v/>
      </c>
      <c r="D321" s="30" t="n"/>
      <c r="E321" s="31">
        <f>IF(B321="","",TODAY())</f>
        <v/>
      </c>
      <c r="F321" s="26" t="n"/>
      <c r="G321" s="26" t="n"/>
      <c r="H321" s="26" t="n"/>
      <c r="I321" s="30">
        <f>IFERROR(IF(OR(D321="",G321="",H321=""),"",ABS(PMT(G321%/12,H321,D321))),"")</f>
        <v/>
      </c>
      <c r="J321" s="26">
        <f>IF(B321="","","Active")</f>
        <v/>
      </c>
    </row>
    <row r="322">
      <c r="A322" s="42">
        <f>IF(B322="","","LN"&amp;TEXT(ROW()-2,"0000"))</f>
        <v/>
      </c>
      <c r="B322" s="43" t="n"/>
      <c r="C322" s="43">
        <f>IFERROR(IF(B322="","",VLOOKUP(B322,DATABASE!A:B,2,0)),"")</f>
        <v/>
      </c>
      <c r="D322" s="44" t="n"/>
      <c r="E322" s="45">
        <f>IF(B322="","",TODAY())</f>
        <v/>
      </c>
      <c r="F322" s="43" t="n"/>
      <c r="G322" s="43" t="n"/>
      <c r="H322" s="43" t="n"/>
      <c r="I322" s="44">
        <f>IFERROR(IF(OR(D322="",G322="",H322=""),"",ABS(PMT(G322%/12,H322,D322))),"")</f>
        <v/>
      </c>
      <c r="J322" s="43">
        <f>IF(B322="","","Active")</f>
        <v/>
      </c>
    </row>
    <row r="323">
      <c r="A323" s="41">
        <f>IF(B323="","","LN"&amp;TEXT(ROW()-2,"0000"))</f>
        <v/>
      </c>
      <c r="B323" s="26" t="n"/>
      <c r="C323" s="26">
        <f>IFERROR(IF(B323="","",VLOOKUP(B323,DATABASE!A:B,2,0)),"")</f>
        <v/>
      </c>
      <c r="D323" s="30" t="n"/>
      <c r="E323" s="31">
        <f>IF(B323="","",TODAY())</f>
        <v/>
      </c>
      <c r="F323" s="26" t="n"/>
      <c r="G323" s="26" t="n"/>
      <c r="H323" s="26" t="n"/>
      <c r="I323" s="30">
        <f>IFERROR(IF(OR(D323="",G323="",H323=""),"",ABS(PMT(G323%/12,H323,D323))),"")</f>
        <v/>
      </c>
      <c r="J323" s="26">
        <f>IF(B323="","","Active")</f>
        <v/>
      </c>
    </row>
    <row r="324">
      <c r="A324" s="42">
        <f>IF(B324="","","LN"&amp;TEXT(ROW()-2,"0000"))</f>
        <v/>
      </c>
      <c r="B324" s="43" t="n"/>
      <c r="C324" s="43">
        <f>IFERROR(IF(B324="","",VLOOKUP(B324,DATABASE!A:B,2,0)),"")</f>
        <v/>
      </c>
      <c r="D324" s="44" t="n"/>
      <c r="E324" s="45">
        <f>IF(B324="","",TODAY())</f>
        <v/>
      </c>
      <c r="F324" s="43" t="n"/>
      <c r="G324" s="43" t="n"/>
      <c r="H324" s="43" t="n"/>
      <c r="I324" s="44">
        <f>IFERROR(IF(OR(D324="",G324="",H324=""),"",ABS(PMT(G324%/12,H324,D324))),"")</f>
        <v/>
      </c>
      <c r="J324" s="43">
        <f>IF(B324="","","Active")</f>
        <v/>
      </c>
    </row>
    <row r="325">
      <c r="A325" s="41">
        <f>IF(B325="","","LN"&amp;TEXT(ROW()-2,"0000"))</f>
        <v/>
      </c>
      <c r="B325" s="26" t="n"/>
      <c r="C325" s="26">
        <f>IFERROR(IF(B325="","",VLOOKUP(B325,DATABASE!A:B,2,0)),"")</f>
        <v/>
      </c>
      <c r="D325" s="30" t="n"/>
      <c r="E325" s="31">
        <f>IF(B325="","",TODAY())</f>
        <v/>
      </c>
      <c r="F325" s="26" t="n"/>
      <c r="G325" s="26" t="n"/>
      <c r="H325" s="26" t="n"/>
      <c r="I325" s="30">
        <f>IFERROR(IF(OR(D325="",G325="",H325=""),"",ABS(PMT(G325%/12,H325,D325))),"")</f>
        <v/>
      </c>
      <c r="J325" s="26">
        <f>IF(B325="","","Active")</f>
        <v/>
      </c>
    </row>
    <row r="326">
      <c r="A326" s="42">
        <f>IF(B326="","","LN"&amp;TEXT(ROW()-2,"0000"))</f>
        <v/>
      </c>
      <c r="B326" s="43" t="n"/>
      <c r="C326" s="43">
        <f>IFERROR(IF(B326="","",VLOOKUP(B326,DATABASE!A:B,2,0)),"")</f>
        <v/>
      </c>
      <c r="D326" s="44" t="n"/>
      <c r="E326" s="45">
        <f>IF(B326="","",TODAY())</f>
        <v/>
      </c>
      <c r="F326" s="43" t="n"/>
      <c r="G326" s="43" t="n"/>
      <c r="H326" s="43" t="n"/>
      <c r="I326" s="44">
        <f>IFERROR(IF(OR(D326="",G326="",H326=""),"",ABS(PMT(G326%/12,H326,D326))),"")</f>
        <v/>
      </c>
      <c r="J326" s="43">
        <f>IF(B326="","","Active")</f>
        <v/>
      </c>
    </row>
    <row r="327">
      <c r="A327" s="41">
        <f>IF(B327="","","LN"&amp;TEXT(ROW()-2,"0000"))</f>
        <v/>
      </c>
      <c r="B327" s="26" t="n"/>
      <c r="C327" s="26">
        <f>IFERROR(IF(B327="","",VLOOKUP(B327,DATABASE!A:B,2,0)),"")</f>
        <v/>
      </c>
      <c r="D327" s="30" t="n"/>
      <c r="E327" s="31">
        <f>IF(B327="","",TODAY())</f>
        <v/>
      </c>
      <c r="F327" s="26" t="n"/>
      <c r="G327" s="26" t="n"/>
      <c r="H327" s="26" t="n"/>
      <c r="I327" s="30">
        <f>IFERROR(IF(OR(D327="",G327="",H327=""),"",ABS(PMT(G327%/12,H327,D327))),"")</f>
        <v/>
      </c>
      <c r="J327" s="26">
        <f>IF(B327="","","Active")</f>
        <v/>
      </c>
    </row>
    <row r="328">
      <c r="A328" s="42">
        <f>IF(B328="","","LN"&amp;TEXT(ROW()-2,"0000"))</f>
        <v/>
      </c>
      <c r="B328" s="43" t="n"/>
      <c r="C328" s="43">
        <f>IFERROR(IF(B328="","",VLOOKUP(B328,DATABASE!A:B,2,0)),"")</f>
        <v/>
      </c>
      <c r="D328" s="44" t="n"/>
      <c r="E328" s="45">
        <f>IF(B328="","",TODAY())</f>
        <v/>
      </c>
      <c r="F328" s="43" t="n"/>
      <c r="G328" s="43" t="n"/>
      <c r="H328" s="43" t="n"/>
      <c r="I328" s="44">
        <f>IFERROR(IF(OR(D328="",G328="",H328=""),"",ABS(PMT(G328%/12,H328,D328))),"")</f>
        <v/>
      </c>
      <c r="J328" s="43">
        <f>IF(B328="","","Active")</f>
        <v/>
      </c>
    </row>
    <row r="329">
      <c r="A329" s="41">
        <f>IF(B329="","","LN"&amp;TEXT(ROW()-2,"0000"))</f>
        <v/>
      </c>
      <c r="B329" s="26" t="n"/>
      <c r="C329" s="26">
        <f>IFERROR(IF(B329="","",VLOOKUP(B329,DATABASE!A:B,2,0)),"")</f>
        <v/>
      </c>
      <c r="D329" s="30" t="n"/>
      <c r="E329" s="31">
        <f>IF(B329="","",TODAY())</f>
        <v/>
      </c>
      <c r="F329" s="26" t="n"/>
      <c r="G329" s="26" t="n"/>
      <c r="H329" s="26" t="n"/>
      <c r="I329" s="30">
        <f>IFERROR(IF(OR(D329="",G329="",H329=""),"",ABS(PMT(G329%/12,H329,D329))),"")</f>
        <v/>
      </c>
      <c r="J329" s="26">
        <f>IF(B329="","","Active")</f>
        <v/>
      </c>
    </row>
    <row r="330">
      <c r="A330" s="42">
        <f>IF(B330="","","LN"&amp;TEXT(ROW()-2,"0000"))</f>
        <v/>
      </c>
      <c r="B330" s="43" t="n"/>
      <c r="C330" s="43">
        <f>IFERROR(IF(B330="","",VLOOKUP(B330,DATABASE!A:B,2,0)),"")</f>
        <v/>
      </c>
      <c r="D330" s="44" t="n"/>
      <c r="E330" s="45">
        <f>IF(B330="","",TODAY())</f>
        <v/>
      </c>
      <c r="F330" s="43" t="n"/>
      <c r="G330" s="43" t="n"/>
      <c r="H330" s="43" t="n"/>
      <c r="I330" s="44">
        <f>IFERROR(IF(OR(D330="",G330="",H330=""),"",ABS(PMT(G330%/12,H330,D330))),"")</f>
        <v/>
      </c>
      <c r="J330" s="43">
        <f>IF(B330="","","Active")</f>
        <v/>
      </c>
    </row>
    <row r="331">
      <c r="A331" s="41">
        <f>IF(B331="","","LN"&amp;TEXT(ROW()-2,"0000"))</f>
        <v/>
      </c>
      <c r="B331" s="26" t="n"/>
      <c r="C331" s="26">
        <f>IFERROR(IF(B331="","",VLOOKUP(B331,DATABASE!A:B,2,0)),"")</f>
        <v/>
      </c>
      <c r="D331" s="30" t="n"/>
      <c r="E331" s="31">
        <f>IF(B331="","",TODAY())</f>
        <v/>
      </c>
      <c r="F331" s="26" t="n"/>
      <c r="G331" s="26" t="n"/>
      <c r="H331" s="26" t="n"/>
      <c r="I331" s="30">
        <f>IFERROR(IF(OR(D331="",G331="",H331=""),"",ABS(PMT(G331%/12,H331,D331))),"")</f>
        <v/>
      </c>
      <c r="J331" s="26">
        <f>IF(B331="","","Active")</f>
        <v/>
      </c>
    </row>
    <row r="332">
      <c r="A332" s="42">
        <f>IF(B332="","","LN"&amp;TEXT(ROW()-2,"0000"))</f>
        <v/>
      </c>
      <c r="B332" s="43" t="n"/>
      <c r="C332" s="43">
        <f>IFERROR(IF(B332="","",VLOOKUP(B332,DATABASE!A:B,2,0)),"")</f>
        <v/>
      </c>
      <c r="D332" s="44" t="n"/>
      <c r="E332" s="45">
        <f>IF(B332="","",TODAY())</f>
        <v/>
      </c>
      <c r="F332" s="43" t="n"/>
      <c r="G332" s="43" t="n"/>
      <c r="H332" s="43" t="n"/>
      <c r="I332" s="44">
        <f>IFERROR(IF(OR(D332="",G332="",H332=""),"",ABS(PMT(G332%/12,H332,D332))),"")</f>
        <v/>
      </c>
      <c r="J332" s="43">
        <f>IF(B332="","","Active")</f>
        <v/>
      </c>
    </row>
    <row r="333">
      <c r="A333" s="41">
        <f>IF(B333="","","LN"&amp;TEXT(ROW()-2,"0000"))</f>
        <v/>
      </c>
      <c r="B333" s="26" t="n"/>
      <c r="C333" s="26">
        <f>IFERROR(IF(B333="","",VLOOKUP(B333,DATABASE!A:B,2,0)),"")</f>
        <v/>
      </c>
      <c r="D333" s="30" t="n"/>
      <c r="E333" s="31">
        <f>IF(B333="","",TODAY())</f>
        <v/>
      </c>
      <c r="F333" s="26" t="n"/>
      <c r="G333" s="26" t="n"/>
      <c r="H333" s="26" t="n"/>
      <c r="I333" s="30">
        <f>IFERROR(IF(OR(D333="",G333="",H333=""),"",ABS(PMT(G333%/12,H333,D333))),"")</f>
        <v/>
      </c>
      <c r="J333" s="26">
        <f>IF(B333="","","Active")</f>
        <v/>
      </c>
    </row>
    <row r="334">
      <c r="A334" s="42">
        <f>IF(B334="","","LN"&amp;TEXT(ROW()-2,"0000"))</f>
        <v/>
      </c>
      <c r="B334" s="43" t="n"/>
      <c r="C334" s="43">
        <f>IFERROR(IF(B334="","",VLOOKUP(B334,DATABASE!A:B,2,0)),"")</f>
        <v/>
      </c>
      <c r="D334" s="44" t="n"/>
      <c r="E334" s="45">
        <f>IF(B334="","",TODAY())</f>
        <v/>
      </c>
      <c r="F334" s="43" t="n"/>
      <c r="G334" s="43" t="n"/>
      <c r="H334" s="43" t="n"/>
      <c r="I334" s="44">
        <f>IFERROR(IF(OR(D334="",G334="",H334=""),"",ABS(PMT(G334%/12,H334,D334))),"")</f>
        <v/>
      </c>
      <c r="J334" s="43">
        <f>IF(B334="","","Active")</f>
        <v/>
      </c>
    </row>
    <row r="335">
      <c r="A335" s="41">
        <f>IF(B335="","","LN"&amp;TEXT(ROW()-2,"0000"))</f>
        <v/>
      </c>
      <c r="B335" s="26" t="n"/>
      <c r="C335" s="26">
        <f>IFERROR(IF(B335="","",VLOOKUP(B335,DATABASE!A:B,2,0)),"")</f>
        <v/>
      </c>
      <c r="D335" s="30" t="n"/>
      <c r="E335" s="31">
        <f>IF(B335="","",TODAY())</f>
        <v/>
      </c>
      <c r="F335" s="26" t="n"/>
      <c r="G335" s="26" t="n"/>
      <c r="H335" s="26" t="n"/>
      <c r="I335" s="30">
        <f>IFERROR(IF(OR(D335="",G335="",H335=""),"",ABS(PMT(G335%/12,H335,D335))),"")</f>
        <v/>
      </c>
      <c r="J335" s="26">
        <f>IF(B335="","","Active")</f>
        <v/>
      </c>
    </row>
    <row r="336">
      <c r="A336" s="42">
        <f>IF(B336="","","LN"&amp;TEXT(ROW()-2,"0000"))</f>
        <v/>
      </c>
      <c r="B336" s="43" t="n"/>
      <c r="C336" s="43">
        <f>IFERROR(IF(B336="","",VLOOKUP(B336,DATABASE!A:B,2,0)),"")</f>
        <v/>
      </c>
      <c r="D336" s="44" t="n"/>
      <c r="E336" s="45">
        <f>IF(B336="","",TODAY())</f>
        <v/>
      </c>
      <c r="F336" s="43" t="n"/>
      <c r="G336" s="43" t="n"/>
      <c r="H336" s="43" t="n"/>
      <c r="I336" s="44">
        <f>IFERROR(IF(OR(D336="",G336="",H336=""),"",ABS(PMT(G336%/12,H336,D336))),"")</f>
        <v/>
      </c>
      <c r="J336" s="43">
        <f>IF(B336="","","Active")</f>
        <v/>
      </c>
    </row>
    <row r="337">
      <c r="A337" s="41">
        <f>IF(B337="","","LN"&amp;TEXT(ROW()-2,"0000"))</f>
        <v/>
      </c>
      <c r="B337" s="26" t="n"/>
      <c r="C337" s="26">
        <f>IFERROR(IF(B337="","",VLOOKUP(B337,DATABASE!A:B,2,0)),"")</f>
        <v/>
      </c>
      <c r="D337" s="30" t="n"/>
      <c r="E337" s="31">
        <f>IF(B337="","",TODAY())</f>
        <v/>
      </c>
      <c r="F337" s="26" t="n"/>
      <c r="G337" s="26" t="n"/>
      <c r="H337" s="26" t="n"/>
      <c r="I337" s="30">
        <f>IFERROR(IF(OR(D337="",G337="",H337=""),"",ABS(PMT(G337%/12,H337,D337))),"")</f>
        <v/>
      </c>
      <c r="J337" s="26">
        <f>IF(B337="","","Active")</f>
        <v/>
      </c>
    </row>
    <row r="338">
      <c r="A338" s="42">
        <f>IF(B338="","","LN"&amp;TEXT(ROW()-2,"0000"))</f>
        <v/>
      </c>
      <c r="B338" s="43" t="n"/>
      <c r="C338" s="43">
        <f>IFERROR(IF(B338="","",VLOOKUP(B338,DATABASE!A:B,2,0)),"")</f>
        <v/>
      </c>
      <c r="D338" s="44" t="n"/>
      <c r="E338" s="45">
        <f>IF(B338="","",TODAY())</f>
        <v/>
      </c>
      <c r="F338" s="43" t="n"/>
      <c r="G338" s="43" t="n"/>
      <c r="H338" s="43" t="n"/>
      <c r="I338" s="44">
        <f>IFERROR(IF(OR(D338="",G338="",H338=""),"",ABS(PMT(G338%/12,H338,D338))),"")</f>
        <v/>
      </c>
      <c r="J338" s="43">
        <f>IF(B338="","","Active")</f>
        <v/>
      </c>
    </row>
    <row r="339">
      <c r="A339" s="41">
        <f>IF(B339="","","LN"&amp;TEXT(ROW()-2,"0000"))</f>
        <v/>
      </c>
      <c r="B339" s="26" t="n"/>
      <c r="C339" s="26">
        <f>IFERROR(IF(B339="","",VLOOKUP(B339,DATABASE!A:B,2,0)),"")</f>
        <v/>
      </c>
      <c r="D339" s="30" t="n"/>
      <c r="E339" s="31">
        <f>IF(B339="","",TODAY())</f>
        <v/>
      </c>
      <c r="F339" s="26" t="n"/>
      <c r="G339" s="26" t="n"/>
      <c r="H339" s="26" t="n"/>
      <c r="I339" s="30">
        <f>IFERROR(IF(OR(D339="",G339="",H339=""),"",ABS(PMT(G339%/12,H339,D339))),"")</f>
        <v/>
      </c>
      <c r="J339" s="26">
        <f>IF(B339="","","Active")</f>
        <v/>
      </c>
    </row>
    <row r="340">
      <c r="A340" s="42">
        <f>IF(B340="","","LN"&amp;TEXT(ROW()-2,"0000"))</f>
        <v/>
      </c>
      <c r="B340" s="43" t="n"/>
      <c r="C340" s="43">
        <f>IFERROR(IF(B340="","",VLOOKUP(B340,DATABASE!A:B,2,0)),"")</f>
        <v/>
      </c>
      <c r="D340" s="44" t="n"/>
      <c r="E340" s="45">
        <f>IF(B340="","",TODAY())</f>
        <v/>
      </c>
      <c r="F340" s="43" t="n"/>
      <c r="G340" s="43" t="n"/>
      <c r="H340" s="43" t="n"/>
      <c r="I340" s="44">
        <f>IFERROR(IF(OR(D340="",G340="",H340=""),"",ABS(PMT(G340%/12,H340,D340))),"")</f>
        <v/>
      </c>
      <c r="J340" s="43">
        <f>IF(B340="","","Active")</f>
        <v/>
      </c>
    </row>
    <row r="341">
      <c r="A341" s="41">
        <f>IF(B341="","","LN"&amp;TEXT(ROW()-2,"0000"))</f>
        <v/>
      </c>
      <c r="B341" s="26" t="n"/>
      <c r="C341" s="26">
        <f>IFERROR(IF(B341="","",VLOOKUP(B341,DATABASE!A:B,2,0)),"")</f>
        <v/>
      </c>
      <c r="D341" s="30" t="n"/>
      <c r="E341" s="31">
        <f>IF(B341="","",TODAY())</f>
        <v/>
      </c>
      <c r="F341" s="26" t="n"/>
      <c r="G341" s="26" t="n"/>
      <c r="H341" s="26" t="n"/>
      <c r="I341" s="30">
        <f>IFERROR(IF(OR(D341="",G341="",H341=""),"",ABS(PMT(G341%/12,H341,D341))),"")</f>
        <v/>
      </c>
      <c r="J341" s="26">
        <f>IF(B341="","","Active")</f>
        <v/>
      </c>
    </row>
    <row r="342">
      <c r="A342" s="42">
        <f>IF(B342="","","LN"&amp;TEXT(ROW()-2,"0000"))</f>
        <v/>
      </c>
      <c r="B342" s="43" t="n"/>
      <c r="C342" s="43">
        <f>IFERROR(IF(B342="","",VLOOKUP(B342,DATABASE!A:B,2,0)),"")</f>
        <v/>
      </c>
      <c r="D342" s="44" t="n"/>
      <c r="E342" s="45">
        <f>IF(B342="","",TODAY())</f>
        <v/>
      </c>
      <c r="F342" s="43" t="n"/>
      <c r="G342" s="43" t="n"/>
      <c r="H342" s="43" t="n"/>
      <c r="I342" s="44">
        <f>IFERROR(IF(OR(D342="",G342="",H342=""),"",ABS(PMT(G342%/12,H342,D342))),"")</f>
        <v/>
      </c>
      <c r="J342" s="43">
        <f>IF(B342="","","Active")</f>
        <v/>
      </c>
    </row>
    <row r="343">
      <c r="A343" s="41">
        <f>IF(B343="","","LN"&amp;TEXT(ROW()-2,"0000"))</f>
        <v/>
      </c>
      <c r="B343" s="26" t="n"/>
      <c r="C343" s="26">
        <f>IFERROR(IF(B343="","",VLOOKUP(B343,DATABASE!A:B,2,0)),"")</f>
        <v/>
      </c>
      <c r="D343" s="30" t="n"/>
      <c r="E343" s="31">
        <f>IF(B343="","",TODAY())</f>
        <v/>
      </c>
      <c r="F343" s="26" t="n"/>
      <c r="G343" s="26" t="n"/>
      <c r="H343" s="26" t="n"/>
      <c r="I343" s="30">
        <f>IFERROR(IF(OR(D343="",G343="",H343=""),"",ABS(PMT(G343%/12,H343,D343))),"")</f>
        <v/>
      </c>
      <c r="J343" s="26">
        <f>IF(B343="","","Active")</f>
        <v/>
      </c>
    </row>
    <row r="344">
      <c r="A344" s="42">
        <f>IF(B344="","","LN"&amp;TEXT(ROW()-2,"0000"))</f>
        <v/>
      </c>
      <c r="B344" s="43" t="n"/>
      <c r="C344" s="43">
        <f>IFERROR(IF(B344="","",VLOOKUP(B344,DATABASE!A:B,2,0)),"")</f>
        <v/>
      </c>
      <c r="D344" s="44" t="n"/>
      <c r="E344" s="45">
        <f>IF(B344="","",TODAY())</f>
        <v/>
      </c>
      <c r="F344" s="43" t="n"/>
      <c r="G344" s="43" t="n"/>
      <c r="H344" s="43" t="n"/>
      <c r="I344" s="44">
        <f>IFERROR(IF(OR(D344="",G344="",H344=""),"",ABS(PMT(G344%/12,H344,D344))),"")</f>
        <v/>
      </c>
      <c r="J344" s="43">
        <f>IF(B344="","","Active")</f>
        <v/>
      </c>
    </row>
    <row r="345">
      <c r="A345" s="41">
        <f>IF(B345="","","LN"&amp;TEXT(ROW()-2,"0000"))</f>
        <v/>
      </c>
      <c r="B345" s="26" t="n"/>
      <c r="C345" s="26">
        <f>IFERROR(IF(B345="","",VLOOKUP(B345,DATABASE!A:B,2,0)),"")</f>
        <v/>
      </c>
      <c r="D345" s="30" t="n"/>
      <c r="E345" s="31">
        <f>IF(B345="","",TODAY())</f>
        <v/>
      </c>
      <c r="F345" s="26" t="n"/>
      <c r="G345" s="26" t="n"/>
      <c r="H345" s="26" t="n"/>
      <c r="I345" s="30">
        <f>IFERROR(IF(OR(D345="",G345="",H345=""),"",ABS(PMT(G345%/12,H345,D345))),"")</f>
        <v/>
      </c>
      <c r="J345" s="26">
        <f>IF(B345="","","Active")</f>
        <v/>
      </c>
    </row>
    <row r="346">
      <c r="A346" s="42">
        <f>IF(B346="","","LN"&amp;TEXT(ROW()-2,"0000"))</f>
        <v/>
      </c>
      <c r="B346" s="43" t="n"/>
      <c r="C346" s="43">
        <f>IFERROR(IF(B346="","",VLOOKUP(B346,DATABASE!A:B,2,0)),"")</f>
        <v/>
      </c>
      <c r="D346" s="44" t="n"/>
      <c r="E346" s="45">
        <f>IF(B346="","",TODAY())</f>
        <v/>
      </c>
      <c r="F346" s="43" t="n"/>
      <c r="G346" s="43" t="n"/>
      <c r="H346" s="43" t="n"/>
      <c r="I346" s="44">
        <f>IFERROR(IF(OR(D346="",G346="",H346=""),"",ABS(PMT(G346%/12,H346,D346))),"")</f>
        <v/>
      </c>
      <c r="J346" s="43">
        <f>IF(B346="","","Active")</f>
        <v/>
      </c>
    </row>
    <row r="347">
      <c r="A347" s="41">
        <f>IF(B347="","","LN"&amp;TEXT(ROW()-2,"0000"))</f>
        <v/>
      </c>
      <c r="B347" s="26" t="n"/>
      <c r="C347" s="26">
        <f>IFERROR(IF(B347="","",VLOOKUP(B347,DATABASE!A:B,2,0)),"")</f>
        <v/>
      </c>
      <c r="D347" s="30" t="n"/>
      <c r="E347" s="31">
        <f>IF(B347="","",TODAY())</f>
        <v/>
      </c>
      <c r="F347" s="26" t="n"/>
      <c r="G347" s="26" t="n"/>
      <c r="H347" s="26" t="n"/>
      <c r="I347" s="30">
        <f>IFERROR(IF(OR(D347="",G347="",H347=""),"",ABS(PMT(G347%/12,H347,D347))),"")</f>
        <v/>
      </c>
      <c r="J347" s="26">
        <f>IF(B347="","","Active")</f>
        <v/>
      </c>
    </row>
    <row r="348">
      <c r="A348" s="42">
        <f>IF(B348="","","LN"&amp;TEXT(ROW()-2,"0000"))</f>
        <v/>
      </c>
      <c r="B348" s="43" t="n"/>
      <c r="C348" s="43">
        <f>IFERROR(IF(B348="","",VLOOKUP(B348,DATABASE!A:B,2,0)),"")</f>
        <v/>
      </c>
      <c r="D348" s="44" t="n"/>
      <c r="E348" s="45">
        <f>IF(B348="","",TODAY())</f>
        <v/>
      </c>
      <c r="F348" s="43" t="n"/>
      <c r="G348" s="43" t="n"/>
      <c r="H348" s="43" t="n"/>
      <c r="I348" s="44">
        <f>IFERROR(IF(OR(D348="",G348="",H348=""),"",ABS(PMT(G348%/12,H348,D348))),"")</f>
        <v/>
      </c>
      <c r="J348" s="43">
        <f>IF(B348="","","Active")</f>
        <v/>
      </c>
    </row>
    <row r="349">
      <c r="A349" s="41">
        <f>IF(B349="","","LN"&amp;TEXT(ROW()-2,"0000"))</f>
        <v/>
      </c>
      <c r="B349" s="26" t="n"/>
      <c r="C349" s="26">
        <f>IFERROR(IF(B349="","",VLOOKUP(B349,DATABASE!A:B,2,0)),"")</f>
        <v/>
      </c>
      <c r="D349" s="30" t="n"/>
      <c r="E349" s="31">
        <f>IF(B349="","",TODAY())</f>
        <v/>
      </c>
      <c r="F349" s="26" t="n"/>
      <c r="G349" s="26" t="n"/>
      <c r="H349" s="26" t="n"/>
      <c r="I349" s="30">
        <f>IFERROR(IF(OR(D349="",G349="",H349=""),"",ABS(PMT(G349%/12,H349,D349))),"")</f>
        <v/>
      </c>
      <c r="J349" s="26">
        <f>IF(B349="","","Active")</f>
        <v/>
      </c>
    </row>
    <row r="350">
      <c r="A350" s="42">
        <f>IF(B350="","","LN"&amp;TEXT(ROW()-2,"0000"))</f>
        <v/>
      </c>
      <c r="B350" s="43" t="n"/>
      <c r="C350" s="43">
        <f>IFERROR(IF(B350="","",VLOOKUP(B350,DATABASE!A:B,2,0)),"")</f>
        <v/>
      </c>
      <c r="D350" s="44" t="n"/>
      <c r="E350" s="45">
        <f>IF(B350="","",TODAY())</f>
        <v/>
      </c>
      <c r="F350" s="43" t="n"/>
      <c r="G350" s="43" t="n"/>
      <c r="H350" s="43" t="n"/>
      <c r="I350" s="44">
        <f>IFERROR(IF(OR(D350="",G350="",H350=""),"",ABS(PMT(G350%/12,H350,D350))),"")</f>
        <v/>
      </c>
      <c r="J350" s="43">
        <f>IF(B350="","","Active")</f>
        <v/>
      </c>
    </row>
    <row r="351">
      <c r="A351" s="41">
        <f>IF(B351="","","LN"&amp;TEXT(ROW()-2,"0000"))</f>
        <v/>
      </c>
      <c r="B351" s="26" t="n"/>
      <c r="C351" s="26">
        <f>IFERROR(IF(B351="","",VLOOKUP(B351,DATABASE!A:B,2,0)),"")</f>
        <v/>
      </c>
      <c r="D351" s="30" t="n"/>
      <c r="E351" s="31">
        <f>IF(B351="","",TODAY())</f>
        <v/>
      </c>
      <c r="F351" s="26" t="n"/>
      <c r="G351" s="26" t="n"/>
      <c r="H351" s="26" t="n"/>
      <c r="I351" s="30">
        <f>IFERROR(IF(OR(D351="",G351="",H351=""),"",ABS(PMT(G351%/12,H351,D351))),"")</f>
        <v/>
      </c>
      <c r="J351" s="26">
        <f>IF(B351="","","Active")</f>
        <v/>
      </c>
    </row>
    <row r="352">
      <c r="A352" s="42">
        <f>IF(B352="","","LN"&amp;TEXT(ROW()-2,"0000"))</f>
        <v/>
      </c>
      <c r="B352" s="43" t="n"/>
      <c r="C352" s="43">
        <f>IFERROR(IF(B352="","",VLOOKUP(B352,DATABASE!A:B,2,0)),"")</f>
        <v/>
      </c>
      <c r="D352" s="44" t="n"/>
      <c r="E352" s="45">
        <f>IF(B352="","",TODAY())</f>
        <v/>
      </c>
      <c r="F352" s="43" t="n"/>
      <c r="G352" s="43" t="n"/>
      <c r="H352" s="43" t="n"/>
      <c r="I352" s="44">
        <f>IFERROR(IF(OR(D352="",G352="",H352=""),"",ABS(PMT(G352%/12,H352,D352))),"")</f>
        <v/>
      </c>
      <c r="J352" s="43">
        <f>IF(B352="","","Active")</f>
        <v/>
      </c>
    </row>
    <row r="353">
      <c r="A353" s="41">
        <f>IF(B353="","","LN"&amp;TEXT(ROW()-2,"0000"))</f>
        <v/>
      </c>
      <c r="B353" s="26" t="n"/>
      <c r="C353" s="26">
        <f>IFERROR(IF(B353="","",VLOOKUP(B353,DATABASE!A:B,2,0)),"")</f>
        <v/>
      </c>
      <c r="D353" s="30" t="n"/>
      <c r="E353" s="31">
        <f>IF(B353="","",TODAY())</f>
        <v/>
      </c>
      <c r="F353" s="26" t="n"/>
      <c r="G353" s="26" t="n"/>
      <c r="H353" s="26" t="n"/>
      <c r="I353" s="30">
        <f>IFERROR(IF(OR(D353="",G353="",H353=""),"",ABS(PMT(G353%/12,H353,D353))),"")</f>
        <v/>
      </c>
      <c r="J353" s="26">
        <f>IF(B353="","","Active")</f>
        <v/>
      </c>
    </row>
    <row r="354">
      <c r="A354" s="42">
        <f>IF(B354="","","LN"&amp;TEXT(ROW()-2,"0000"))</f>
        <v/>
      </c>
      <c r="B354" s="43" t="n"/>
      <c r="C354" s="43">
        <f>IFERROR(IF(B354="","",VLOOKUP(B354,DATABASE!A:B,2,0)),"")</f>
        <v/>
      </c>
      <c r="D354" s="44" t="n"/>
      <c r="E354" s="45">
        <f>IF(B354="","",TODAY())</f>
        <v/>
      </c>
      <c r="F354" s="43" t="n"/>
      <c r="G354" s="43" t="n"/>
      <c r="H354" s="43" t="n"/>
      <c r="I354" s="44">
        <f>IFERROR(IF(OR(D354="",G354="",H354=""),"",ABS(PMT(G354%/12,H354,D354))),"")</f>
        <v/>
      </c>
      <c r="J354" s="43">
        <f>IF(B354="","","Active")</f>
        <v/>
      </c>
    </row>
    <row r="355">
      <c r="A355" s="41">
        <f>IF(B355="","","LN"&amp;TEXT(ROW()-2,"0000"))</f>
        <v/>
      </c>
      <c r="B355" s="26" t="n"/>
      <c r="C355" s="26">
        <f>IFERROR(IF(B355="","",VLOOKUP(B355,DATABASE!A:B,2,0)),"")</f>
        <v/>
      </c>
      <c r="D355" s="30" t="n"/>
      <c r="E355" s="31">
        <f>IF(B355="","",TODAY())</f>
        <v/>
      </c>
      <c r="F355" s="26" t="n"/>
      <c r="G355" s="26" t="n"/>
      <c r="H355" s="26" t="n"/>
      <c r="I355" s="30">
        <f>IFERROR(IF(OR(D355="",G355="",H355=""),"",ABS(PMT(G355%/12,H355,D355))),"")</f>
        <v/>
      </c>
      <c r="J355" s="26">
        <f>IF(B355="","","Active")</f>
        <v/>
      </c>
    </row>
    <row r="356">
      <c r="A356" s="42">
        <f>IF(B356="","","LN"&amp;TEXT(ROW()-2,"0000"))</f>
        <v/>
      </c>
      <c r="B356" s="43" t="n"/>
      <c r="C356" s="43">
        <f>IFERROR(IF(B356="","",VLOOKUP(B356,DATABASE!A:B,2,0)),"")</f>
        <v/>
      </c>
      <c r="D356" s="44" t="n"/>
      <c r="E356" s="45">
        <f>IF(B356="","",TODAY())</f>
        <v/>
      </c>
      <c r="F356" s="43" t="n"/>
      <c r="G356" s="43" t="n"/>
      <c r="H356" s="43" t="n"/>
      <c r="I356" s="44">
        <f>IFERROR(IF(OR(D356="",G356="",H356=""),"",ABS(PMT(G356%/12,H356,D356))),"")</f>
        <v/>
      </c>
      <c r="J356" s="43">
        <f>IF(B356="","","Active")</f>
        <v/>
      </c>
    </row>
    <row r="357">
      <c r="A357" s="41">
        <f>IF(B357="","","LN"&amp;TEXT(ROW()-2,"0000"))</f>
        <v/>
      </c>
      <c r="B357" s="26" t="n"/>
      <c r="C357" s="26">
        <f>IFERROR(IF(B357="","",VLOOKUP(B357,DATABASE!A:B,2,0)),"")</f>
        <v/>
      </c>
      <c r="D357" s="30" t="n"/>
      <c r="E357" s="31">
        <f>IF(B357="","",TODAY())</f>
        <v/>
      </c>
      <c r="F357" s="26" t="n"/>
      <c r="G357" s="26" t="n"/>
      <c r="H357" s="26" t="n"/>
      <c r="I357" s="30">
        <f>IFERROR(IF(OR(D357="",G357="",H357=""),"",ABS(PMT(G357%/12,H357,D357))),"")</f>
        <v/>
      </c>
      <c r="J357" s="26">
        <f>IF(B357="","","Active")</f>
        <v/>
      </c>
    </row>
    <row r="358">
      <c r="A358" s="42">
        <f>IF(B358="","","LN"&amp;TEXT(ROW()-2,"0000"))</f>
        <v/>
      </c>
      <c r="B358" s="43" t="n"/>
      <c r="C358" s="43">
        <f>IFERROR(IF(B358="","",VLOOKUP(B358,DATABASE!A:B,2,0)),"")</f>
        <v/>
      </c>
      <c r="D358" s="44" t="n"/>
      <c r="E358" s="45">
        <f>IF(B358="","",TODAY())</f>
        <v/>
      </c>
      <c r="F358" s="43" t="n"/>
      <c r="G358" s="43" t="n"/>
      <c r="H358" s="43" t="n"/>
      <c r="I358" s="44">
        <f>IFERROR(IF(OR(D358="",G358="",H358=""),"",ABS(PMT(G358%/12,H358,D358))),"")</f>
        <v/>
      </c>
      <c r="J358" s="43">
        <f>IF(B358="","","Active")</f>
        <v/>
      </c>
    </row>
    <row r="359">
      <c r="A359" s="41">
        <f>IF(B359="","","LN"&amp;TEXT(ROW()-2,"0000"))</f>
        <v/>
      </c>
      <c r="B359" s="26" t="n"/>
      <c r="C359" s="26">
        <f>IFERROR(IF(B359="","",VLOOKUP(B359,DATABASE!A:B,2,0)),"")</f>
        <v/>
      </c>
      <c r="D359" s="30" t="n"/>
      <c r="E359" s="31">
        <f>IF(B359="","",TODAY())</f>
        <v/>
      </c>
      <c r="F359" s="26" t="n"/>
      <c r="G359" s="26" t="n"/>
      <c r="H359" s="26" t="n"/>
      <c r="I359" s="30">
        <f>IFERROR(IF(OR(D359="",G359="",H359=""),"",ABS(PMT(G359%/12,H359,D359))),"")</f>
        <v/>
      </c>
      <c r="J359" s="26">
        <f>IF(B359="","","Active")</f>
        <v/>
      </c>
    </row>
    <row r="360">
      <c r="A360" s="42">
        <f>IF(B360="","","LN"&amp;TEXT(ROW()-2,"0000"))</f>
        <v/>
      </c>
      <c r="B360" s="43" t="n"/>
      <c r="C360" s="43">
        <f>IFERROR(IF(B360="","",VLOOKUP(B360,DATABASE!A:B,2,0)),"")</f>
        <v/>
      </c>
      <c r="D360" s="44" t="n"/>
      <c r="E360" s="45">
        <f>IF(B360="","",TODAY())</f>
        <v/>
      </c>
      <c r="F360" s="43" t="n"/>
      <c r="G360" s="43" t="n"/>
      <c r="H360" s="43" t="n"/>
      <c r="I360" s="44">
        <f>IFERROR(IF(OR(D360="",G360="",H360=""),"",ABS(PMT(G360%/12,H360,D360))),"")</f>
        <v/>
      </c>
      <c r="J360" s="43">
        <f>IF(B360="","","Active")</f>
        <v/>
      </c>
    </row>
    <row r="361">
      <c r="A361" s="41">
        <f>IF(B361="","","LN"&amp;TEXT(ROW()-2,"0000"))</f>
        <v/>
      </c>
      <c r="B361" s="26" t="n"/>
      <c r="C361" s="26">
        <f>IFERROR(IF(B361="","",VLOOKUP(B361,DATABASE!A:B,2,0)),"")</f>
        <v/>
      </c>
      <c r="D361" s="30" t="n"/>
      <c r="E361" s="31">
        <f>IF(B361="","",TODAY())</f>
        <v/>
      </c>
      <c r="F361" s="26" t="n"/>
      <c r="G361" s="26" t="n"/>
      <c r="H361" s="26" t="n"/>
      <c r="I361" s="30">
        <f>IFERROR(IF(OR(D361="",G361="",H361=""),"",ABS(PMT(G361%/12,H361,D361))),"")</f>
        <v/>
      </c>
      <c r="J361" s="26">
        <f>IF(B361="","","Active")</f>
        <v/>
      </c>
    </row>
    <row r="362">
      <c r="A362" s="42">
        <f>IF(B362="","","LN"&amp;TEXT(ROW()-2,"0000"))</f>
        <v/>
      </c>
      <c r="B362" s="43" t="n"/>
      <c r="C362" s="43">
        <f>IFERROR(IF(B362="","",VLOOKUP(B362,DATABASE!A:B,2,0)),"")</f>
        <v/>
      </c>
      <c r="D362" s="44" t="n"/>
      <c r="E362" s="45">
        <f>IF(B362="","",TODAY())</f>
        <v/>
      </c>
      <c r="F362" s="43" t="n"/>
      <c r="G362" s="43" t="n"/>
      <c r="H362" s="43" t="n"/>
      <c r="I362" s="44">
        <f>IFERROR(IF(OR(D362="",G362="",H362=""),"",ABS(PMT(G362%/12,H362,D362))),"")</f>
        <v/>
      </c>
      <c r="J362" s="43">
        <f>IF(B362="","","Active")</f>
        <v/>
      </c>
    </row>
    <row r="363">
      <c r="A363" s="41">
        <f>IF(B363="","","LN"&amp;TEXT(ROW()-2,"0000"))</f>
        <v/>
      </c>
      <c r="B363" s="26" t="n"/>
      <c r="C363" s="26">
        <f>IFERROR(IF(B363="","",VLOOKUP(B363,DATABASE!A:B,2,0)),"")</f>
        <v/>
      </c>
      <c r="D363" s="30" t="n"/>
      <c r="E363" s="31">
        <f>IF(B363="","",TODAY())</f>
        <v/>
      </c>
      <c r="F363" s="26" t="n"/>
      <c r="G363" s="26" t="n"/>
      <c r="H363" s="26" t="n"/>
      <c r="I363" s="30">
        <f>IFERROR(IF(OR(D363="",G363="",H363=""),"",ABS(PMT(G363%/12,H363,D363))),"")</f>
        <v/>
      </c>
      <c r="J363" s="26">
        <f>IF(B363="","","Active")</f>
        <v/>
      </c>
    </row>
    <row r="364">
      <c r="A364" s="42">
        <f>IF(B364="","","LN"&amp;TEXT(ROW()-2,"0000"))</f>
        <v/>
      </c>
      <c r="B364" s="43" t="n"/>
      <c r="C364" s="43">
        <f>IFERROR(IF(B364="","",VLOOKUP(B364,DATABASE!A:B,2,0)),"")</f>
        <v/>
      </c>
      <c r="D364" s="44" t="n"/>
      <c r="E364" s="45">
        <f>IF(B364="","",TODAY())</f>
        <v/>
      </c>
      <c r="F364" s="43" t="n"/>
      <c r="G364" s="43" t="n"/>
      <c r="H364" s="43" t="n"/>
      <c r="I364" s="44">
        <f>IFERROR(IF(OR(D364="",G364="",H364=""),"",ABS(PMT(G364%/12,H364,D364))),"")</f>
        <v/>
      </c>
      <c r="J364" s="43">
        <f>IF(B364="","","Active")</f>
        <v/>
      </c>
    </row>
    <row r="365">
      <c r="A365" s="41">
        <f>IF(B365="","","LN"&amp;TEXT(ROW()-2,"0000"))</f>
        <v/>
      </c>
      <c r="B365" s="26" t="n"/>
      <c r="C365" s="26">
        <f>IFERROR(IF(B365="","",VLOOKUP(B365,DATABASE!A:B,2,0)),"")</f>
        <v/>
      </c>
      <c r="D365" s="30" t="n"/>
      <c r="E365" s="31">
        <f>IF(B365="","",TODAY())</f>
        <v/>
      </c>
      <c r="F365" s="26" t="n"/>
      <c r="G365" s="26" t="n"/>
      <c r="H365" s="26" t="n"/>
      <c r="I365" s="30">
        <f>IFERROR(IF(OR(D365="",G365="",H365=""),"",ABS(PMT(G365%/12,H365,D365))),"")</f>
        <v/>
      </c>
      <c r="J365" s="26">
        <f>IF(B365="","","Active")</f>
        <v/>
      </c>
    </row>
    <row r="366">
      <c r="A366" s="42">
        <f>IF(B366="","","LN"&amp;TEXT(ROW()-2,"0000"))</f>
        <v/>
      </c>
      <c r="B366" s="43" t="n"/>
      <c r="C366" s="43">
        <f>IFERROR(IF(B366="","",VLOOKUP(B366,DATABASE!A:B,2,0)),"")</f>
        <v/>
      </c>
      <c r="D366" s="44" t="n"/>
      <c r="E366" s="45">
        <f>IF(B366="","",TODAY())</f>
        <v/>
      </c>
      <c r="F366" s="43" t="n"/>
      <c r="G366" s="43" t="n"/>
      <c r="H366" s="43" t="n"/>
      <c r="I366" s="44">
        <f>IFERROR(IF(OR(D366="",G366="",H366=""),"",ABS(PMT(G366%/12,H366,D366))),"")</f>
        <v/>
      </c>
      <c r="J366" s="43">
        <f>IF(B366="","","Active")</f>
        <v/>
      </c>
    </row>
    <row r="367">
      <c r="A367" s="41">
        <f>IF(B367="","","LN"&amp;TEXT(ROW()-2,"0000"))</f>
        <v/>
      </c>
      <c r="B367" s="26" t="n"/>
      <c r="C367" s="26">
        <f>IFERROR(IF(B367="","",VLOOKUP(B367,DATABASE!A:B,2,0)),"")</f>
        <v/>
      </c>
      <c r="D367" s="30" t="n"/>
      <c r="E367" s="31">
        <f>IF(B367="","",TODAY())</f>
        <v/>
      </c>
      <c r="F367" s="26" t="n"/>
      <c r="G367" s="26" t="n"/>
      <c r="H367" s="26" t="n"/>
      <c r="I367" s="30">
        <f>IFERROR(IF(OR(D367="",G367="",H367=""),"",ABS(PMT(G367%/12,H367,D367))),"")</f>
        <v/>
      </c>
      <c r="J367" s="26">
        <f>IF(B367="","","Active")</f>
        <v/>
      </c>
    </row>
    <row r="368">
      <c r="A368" s="42">
        <f>IF(B368="","","LN"&amp;TEXT(ROW()-2,"0000"))</f>
        <v/>
      </c>
      <c r="B368" s="43" t="n"/>
      <c r="C368" s="43">
        <f>IFERROR(IF(B368="","",VLOOKUP(B368,DATABASE!A:B,2,0)),"")</f>
        <v/>
      </c>
      <c r="D368" s="44" t="n"/>
      <c r="E368" s="45">
        <f>IF(B368="","",TODAY())</f>
        <v/>
      </c>
      <c r="F368" s="43" t="n"/>
      <c r="G368" s="43" t="n"/>
      <c r="H368" s="43" t="n"/>
      <c r="I368" s="44">
        <f>IFERROR(IF(OR(D368="",G368="",H368=""),"",ABS(PMT(G368%/12,H368,D368))),"")</f>
        <v/>
      </c>
      <c r="J368" s="43">
        <f>IF(B368="","","Active")</f>
        <v/>
      </c>
    </row>
    <row r="369">
      <c r="A369" s="41">
        <f>IF(B369="","","LN"&amp;TEXT(ROW()-2,"0000"))</f>
        <v/>
      </c>
      <c r="B369" s="26" t="n"/>
      <c r="C369" s="26">
        <f>IFERROR(IF(B369="","",VLOOKUP(B369,DATABASE!A:B,2,0)),"")</f>
        <v/>
      </c>
      <c r="D369" s="30" t="n"/>
      <c r="E369" s="31">
        <f>IF(B369="","",TODAY())</f>
        <v/>
      </c>
      <c r="F369" s="26" t="n"/>
      <c r="G369" s="26" t="n"/>
      <c r="H369" s="26" t="n"/>
      <c r="I369" s="30">
        <f>IFERROR(IF(OR(D369="",G369="",H369=""),"",ABS(PMT(G369%/12,H369,D369))),"")</f>
        <v/>
      </c>
      <c r="J369" s="26">
        <f>IF(B369="","","Active")</f>
        <v/>
      </c>
    </row>
    <row r="370">
      <c r="A370" s="42">
        <f>IF(B370="","","LN"&amp;TEXT(ROW()-2,"0000"))</f>
        <v/>
      </c>
      <c r="B370" s="43" t="n"/>
      <c r="C370" s="43">
        <f>IFERROR(IF(B370="","",VLOOKUP(B370,DATABASE!A:B,2,0)),"")</f>
        <v/>
      </c>
      <c r="D370" s="44" t="n"/>
      <c r="E370" s="45">
        <f>IF(B370="","",TODAY())</f>
        <v/>
      </c>
      <c r="F370" s="43" t="n"/>
      <c r="G370" s="43" t="n"/>
      <c r="H370" s="43" t="n"/>
      <c r="I370" s="44">
        <f>IFERROR(IF(OR(D370="",G370="",H370=""),"",ABS(PMT(G370%/12,H370,D370))),"")</f>
        <v/>
      </c>
      <c r="J370" s="43">
        <f>IF(B370="","","Active")</f>
        <v/>
      </c>
    </row>
    <row r="371">
      <c r="A371" s="41">
        <f>IF(B371="","","LN"&amp;TEXT(ROW()-2,"0000"))</f>
        <v/>
      </c>
      <c r="B371" s="26" t="n"/>
      <c r="C371" s="26">
        <f>IFERROR(IF(B371="","",VLOOKUP(B371,DATABASE!A:B,2,0)),"")</f>
        <v/>
      </c>
      <c r="D371" s="30" t="n"/>
      <c r="E371" s="31">
        <f>IF(B371="","",TODAY())</f>
        <v/>
      </c>
      <c r="F371" s="26" t="n"/>
      <c r="G371" s="26" t="n"/>
      <c r="H371" s="26" t="n"/>
      <c r="I371" s="30">
        <f>IFERROR(IF(OR(D371="",G371="",H371=""),"",ABS(PMT(G371%/12,H371,D371))),"")</f>
        <v/>
      </c>
      <c r="J371" s="26">
        <f>IF(B371="","","Active")</f>
        <v/>
      </c>
    </row>
    <row r="372">
      <c r="A372" s="42">
        <f>IF(B372="","","LN"&amp;TEXT(ROW()-2,"0000"))</f>
        <v/>
      </c>
      <c r="B372" s="43" t="n"/>
      <c r="C372" s="43">
        <f>IFERROR(IF(B372="","",VLOOKUP(B372,DATABASE!A:B,2,0)),"")</f>
        <v/>
      </c>
      <c r="D372" s="44" t="n"/>
      <c r="E372" s="45">
        <f>IF(B372="","",TODAY())</f>
        <v/>
      </c>
      <c r="F372" s="43" t="n"/>
      <c r="G372" s="43" t="n"/>
      <c r="H372" s="43" t="n"/>
      <c r="I372" s="44">
        <f>IFERROR(IF(OR(D372="",G372="",H372=""),"",ABS(PMT(G372%/12,H372,D372))),"")</f>
        <v/>
      </c>
      <c r="J372" s="43">
        <f>IF(B372="","","Active")</f>
        <v/>
      </c>
    </row>
    <row r="373">
      <c r="A373" s="41">
        <f>IF(B373="","","LN"&amp;TEXT(ROW()-2,"0000"))</f>
        <v/>
      </c>
      <c r="B373" s="26" t="n"/>
      <c r="C373" s="26">
        <f>IFERROR(IF(B373="","",VLOOKUP(B373,DATABASE!A:B,2,0)),"")</f>
        <v/>
      </c>
      <c r="D373" s="30" t="n"/>
      <c r="E373" s="31">
        <f>IF(B373="","",TODAY())</f>
        <v/>
      </c>
      <c r="F373" s="26" t="n"/>
      <c r="G373" s="26" t="n"/>
      <c r="H373" s="26" t="n"/>
      <c r="I373" s="30">
        <f>IFERROR(IF(OR(D373="",G373="",H373=""),"",ABS(PMT(G373%/12,H373,D373))),"")</f>
        <v/>
      </c>
      <c r="J373" s="26">
        <f>IF(B373="","","Active")</f>
        <v/>
      </c>
    </row>
    <row r="374">
      <c r="A374" s="42">
        <f>IF(B374="","","LN"&amp;TEXT(ROW()-2,"0000"))</f>
        <v/>
      </c>
      <c r="B374" s="43" t="n"/>
      <c r="C374" s="43">
        <f>IFERROR(IF(B374="","",VLOOKUP(B374,DATABASE!A:B,2,0)),"")</f>
        <v/>
      </c>
      <c r="D374" s="44" t="n"/>
      <c r="E374" s="45">
        <f>IF(B374="","",TODAY())</f>
        <v/>
      </c>
      <c r="F374" s="43" t="n"/>
      <c r="G374" s="43" t="n"/>
      <c r="H374" s="43" t="n"/>
      <c r="I374" s="44">
        <f>IFERROR(IF(OR(D374="",G374="",H374=""),"",ABS(PMT(G374%/12,H374,D374))),"")</f>
        <v/>
      </c>
      <c r="J374" s="43">
        <f>IF(B374="","","Active")</f>
        <v/>
      </c>
    </row>
    <row r="375">
      <c r="A375" s="41">
        <f>IF(B375="","","LN"&amp;TEXT(ROW()-2,"0000"))</f>
        <v/>
      </c>
      <c r="B375" s="26" t="n"/>
      <c r="C375" s="26">
        <f>IFERROR(IF(B375="","",VLOOKUP(B375,DATABASE!A:B,2,0)),"")</f>
        <v/>
      </c>
      <c r="D375" s="30" t="n"/>
      <c r="E375" s="31">
        <f>IF(B375="","",TODAY())</f>
        <v/>
      </c>
      <c r="F375" s="26" t="n"/>
      <c r="G375" s="26" t="n"/>
      <c r="H375" s="26" t="n"/>
      <c r="I375" s="30">
        <f>IFERROR(IF(OR(D375="",G375="",H375=""),"",ABS(PMT(G375%/12,H375,D375))),"")</f>
        <v/>
      </c>
      <c r="J375" s="26">
        <f>IF(B375="","","Active")</f>
        <v/>
      </c>
    </row>
    <row r="376">
      <c r="A376" s="42">
        <f>IF(B376="","","LN"&amp;TEXT(ROW()-2,"0000"))</f>
        <v/>
      </c>
      <c r="B376" s="43" t="n"/>
      <c r="C376" s="43">
        <f>IFERROR(IF(B376="","",VLOOKUP(B376,DATABASE!A:B,2,0)),"")</f>
        <v/>
      </c>
      <c r="D376" s="44" t="n"/>
      <c r="E376" s="45">
        <f>IF(B376="","",TODAY())</f>
        <v/>
      </c>
      <c r="F376" s="43" t="n"/>
      <c r="G376" s="43" t="n"/>
      <c r="H376" s="43" t="n"/>
      <c r="I376" s="44">
        <f>IFERROR(IF(OR(D376="",G376="",H376=""),"",ABS(PMT(G376%/12,H376,D376))),"")</f>
        <v/>
      </c>
      <c r="J376" s="43">
        <f>IF(B376="","","Active")</f>
        <v/>
      </c>
    </row>
    <row r="377">
      <c r="A377" s="41">
        <f>IF(B377="","","LN"&amp;TEXT(ROW()-2,"0000"))</f>
        <v/>
      </c>
      <c r="B377" s="26" t="n"/>
      <c r="C377" s="26">
        <f>IFERROR(IF(B377="","",VLOOKUP(B377,DATABASE!A:B,2,0)),"")</f>
        <v/>
      </c>
      <c r="D377" s="30" t="n"/>
      <c r="E377" s="31">
        <f>IF(B377="","",TODAY())</f>
        <v/>
      </c>
      <c r="F377" s="26" t="n"/>
      <c r="G377" s="26" t="n"/>
      <c r="H377" s="26" t="n"/>
      <c r="I377" s="30">
        <f>IFERROR(IF(OR(D377="",G377="",H377=""),"",ABS(PMT(G377%/12,H377,D377))),"")</f>
        <v/>
      </c>
      <c r="J377" s="26">
        <f>IF(B377="","","Active")</f>
        <v/>
      </c>
    </row>
    <row r="378">
      <c r="A378" s="42">
        <f>IF(B378="","","LN"&amp;TEXT(ROW()-2,"0000"))</f>
        <v/>
      </c>
      <c r="B378" s="43" t="n"/>
      <c r="C378" s="43">
        <f>IFERROR(IF(B378="","",VLOOKUP(B378,DATABASE!A:B,2,0)),"")</f>
        <v/>
      </c>
      <c r="D378" s="44" t="n"/>
      <c r="E378" s="45">
        <f>IF(B378="","",TODAY())</f>
        <v/>
      </c>
      <c r="F378" s="43" t="n"/>
      <c r="G378" s="43" t="n"/>
      <c r="H378" s="43" t="n"/>
      <c r="I378" s="44">
        <f>IFERROR(IF(OR(D378="",G378="",H378=""),"",ABS(PMT(G378%/12,H378,D378))),"")</f>
        <v/>
      </c>
      <c r="J378" s="43">
        <f>IF(B378="","","Active")</f>
        <v/>
      </c>
    </row>
    <row r="379">
      <c r="A379" s="41">
        <f>IF(B379="","","LN"&amp;TEXT(ROW()-2,"0000"))</f>
        <v/>
      </c>
      <c r="B379" s="26" t="n"/>
      <c r="C379" s="26">
        <f>IFERROR(IF(B379="","",VLOOKUP(B379,DATABASE!A:B,2,0)),"")</f>
        <v/>
      </c>
      <c r="D379" s="30" t="n"/>
      <c r="E379" s="31">
        <f>IF(B379="","",TODAY())</f>
        <v/>
      </c>
      <c r="F379" s="26" t="n"/>
      <c r="G379" s="26" t="n"/>
      <c r="H379" s="26" t="n"/>
      <c r="I379" s="30">
        <f>IFERROR(IF(OR(D379="",G379="",H379=""),"",ABS(PMT(G379%/12,H379,D379))),"")</f>
        <v/>
      </c>
      <c r="J379" s="26">
        <f>IF(B379="","","Active")</f>
        <v/>
      </c>
    </row>
    <row r="380">
      <c r="A380" s="42">
        <f>IF(B380="","","LN"&amp;TEXT(ROW()-2,"0000"))</f>
        <v/>
      </c>
      <c r="B380" s="43" t="n"/>
      <c r="C380" s="43">
        <f>IFERROR(IF(B380="","",VLOOKUP(B380,DATABASE!A:B,2,0)),"")</f>
        <v/>
      </c>
      <c r="D380" s="44" t="n"/>
      <c r="E380" s="45">
        <f>IF(B380="","",TODAY())</f>
        <v/>
      </c>
      <c r="F380" s="43" t="n"/>
      <c r="G380" s="43" t="n"/>
      <c r="H380" s="43" t="n"/>
      <c r="I380" s="44">
        <f>IFERROR(IF(OR(D380="",G380="",H380=""),"",ABS(PMT(G380%/12,H380,D380))),"")</f>
        <v/>
      </c>
      <c r="J380" s="43">
        <f>IF(B380="","","Active")</f>
        <v/>
      </c>
    </row>
    <row r="381">
      <c r="A381" s="41">
        <f>IF(B381="","","LN"&amp;TEXT(ROW()-2,"0000"))</f>
        <v/>
      </c>
      <c r="B381" s="26" t="n"/>
      <c r="C381" s="26">
        <f>IFERROR(IF(B381="","",VLOOKUP(B381,DATABASE!A:B,2,0)),"")</f>
        <v/>
      </c>
      <c r="D381" s="30" t="n"/>
      <c r="E381" s="31">
        <f>IF(B381="","",TODAY())</f>
        <v/>
      </c>
      <c r="F381" s="26" t="n"/>
      <c r="G381" s="26" t="n"/>
      <c r="H381" s="26" t="n"/>
      <c r="I381" s="30">
        <f>IFERROR(IF(OR(D381="",G381="",H381=""),"",ABS(PMT(G381%/12,H381,D381))),"")</f>
        <v/>
      </c>
      <c r="J381" s="26">
        <f>IF(B381="","","Active")</f>
        <v/>
      </c>
    </row>
    <row r="382">
      <c r="A382" s="42">
        <f>IF(B382="","","LN"&amp;TEXT(ROW()-2,"0000"))</f>
        <v/>
      </c>
      <c r="B382" s="43" t="n"/>
      <c r="C382" s="43">
        <f>IFERROR(IF(B382="","",VLOOKUP(B382,DATABASE!A:B,2,0)),"")</f>
        <v/>
      </c>
      <c r="D382" s="44" t="n"/>
      <c r="E382" s="45">
        <f>IF(B382="","",TODAY())</f>
        <v/>
      </c>
      <c r="F382" s="43" t="n"/>
      <c r="G382" s="43" t="n"/>
      <c r="H382" s="43" t="n"/>
      <c r="I382" s="44">
        <f>IFERROR(IF(OR(D382="",G382="",H382=""),"",ABS(PMT(G382%/12,H382,D382))),"")</f>
        <v/>
      </c>
      <c r="J382" s="43">
        <f>IF(B382="","","Active")</f>
        <v/>
      </c>
    </row>
    <row r="383">
      <c r="A383" s="41">
        <f>IF(B383="","","LN"&amp;TEXT(ROW()-2,"0000"))</f>
        <v/>
      </c>
      <c r="B383" s="26" t="n"/>
      <c r="C383" s="26">
        <f>IFERROR(IF(B383="","",VLOOKUP(B383,DATABASE!A:B,2,0)),"")</f>
        <v/>
      </c>
      <c r="D383" s="30" t="n"/>
      <c r="E383" s="31">
        <f>IF(B383="","",TODAY())</f>
        <v/>
      </c>
      <c r="F383" s="26" t="n"/>
      <c r="G383" s="26" t="n"/>
      <c r="H383" s="26" t="n"/>
      <c r="I383" s="30">
        <f>IFERROR(IF(OR(D383="",G383="",H383=""),"",ABS(PMT(G383%/12,H383,D383))),"")</f>
        <v/>
      </c>
      <c r="J383" s="26">
        <f>IF(B383="","","Active")</f>
        <v/>
      </c>
    </row>
    <row r="384">
      <c r="A384" s="42">
        <f>IF(B384="","","LN"&amp;TEXT(ROW()-2,"0000"))</f>
        <v/>
      </c>
      <c r="B384" s="43" t="n"/>
      <c r="C384" s="43">
        <f>IFERROR(IF(B384="","",VLOOKUP(B384,DATABASE!A:B,2,0)),"")</f>
        <v/>
      </c>
      <c r="D384" s="44" t="n"/>
      <c r="E384" s="45">
        <f>IF(B384="","",TODAY())</f>
        <v/>
      </c>
      <c r="F384" s="43" t="n"/>
      <c r="G384" s="43" t="n"/>
      <c r="H384" s="43" t="n"/>
      <c r="I384" s="44">
        <f>IFERROR(IF(OR(D384="",G384="",H384=""),"",ABS(PMT(G384%/12,H384,D384))),"")</f>
        <v/>
      </c>
      <c r="J384" s="43">
        <f>IF(B384="","","Active")</f>
        <v/>
      </c>
    </row>
    <row r="385">
      <c r="A385" s="41">
        <f>IF(B385="","","LN"&amp;TEXT(ROW()-2,"0000"))</f>
        <v/>
      </c>
      <c r="B385" s="26" t="n"/>
      <c r="C385" s="26">
        <f>IFERROR(IF(B385="","",VLOOKUP(B385,DATABASE!A:B,2,0)),"")</f>
        <v/>
      </c>
      <c r="D385" s="30" t="n"/>
      <c r="E385" s="31">
        <f>IF(B385="","",TODAY())</f>
        <v/>
      </c>
      <c r="F385" s="26" t="n"/>
      <c r="G385" s="26" t="n"/>
      <c r="H385" s="26" t="n"/>
      <c r="I385" s="30">
        <f>IFERROR(IF(OR(D385="",G385="",H385=""),"",ABS(PMT(G385%/12,H385,D385))),"")</f>
        <v/>
      </c>
      <c r="J385" s="26">
        <f>IF(B385="","","Active")</f>
        <v/>
      </c>
    </row>
    <row r="386">
      <c r="A386" s="42">
        <f>IF(B386="","","LN"&amp;TEXT(ROW()-2,"0000"))</f>
        <v/>
      </c>
      <c r="B386" s="43" t="n"/>
      <c r="C386" s="43">
        <f>IFERROR(IF(B386="","",VLOOKUP(B386,DATABASE!A:B,2,0)),"")</f>
        <v/>
      </c>
      <c r="D386" s="44" t="n"/>
      <c r="E386" s="45">
        <f>IF(B386="","",TODAY())</f>
        <v/>
      </c>
      <c r="F386" s="43" t="n"/>
      <c r="G386" s="43" t="n"/>
      <c r="H386" s="43" t="n"/>
      <c r="I386" s="44">
        <f>IFERROR(IF(OR(D386="",G386="",H386=""),"",ABS(PMT(G386%/12,H386,D386))),"")</f>
        <v/>
      </c>
      <c r="J386" s="43">
        <f>IF(B386="","","Active")</f>
        <v/>
      </c>
    </row>
    <row r="387">
      <c r="A387" s="41">
        <f>IF(B387="","","LN"&amp;TEXT(ROW()-2,"0000"))</f>
        <v/>
      </c>
      <c r="B387" s="26" t="n"/>
      <c r="C387" s="26">
        <f>IFERROR(IF(B387="","",VLOOKUP(B387,DATABASE!A:B,2,0)),"")</f>
        <v/>
      </c>
      <c r="D387" s="30" t="n"/>
      <c r="E387" s="31">
        <f>IF(B387="","",TODAY())</f>
        <v/>
      </c>
      <c r="F387" s="26" t="n"/>
      <c r="G387" s="26" t="n"/>
      <c r="H387" s="26" t="n"/>
      <c r="I387" s="30">
        <f>IFERROR(IF(OR(D387="",G387="",H387=""),"",ABS(PMT(G387%/12,H387,D387))),"")</f>
        <v/>
      </c>
      <c r="J387" s="26">
        <f>IF(B387="","","Active")</f>
        <v/>
      </c>
    </row>
    <row r="388">
      <c r="A388" s="42">
        <f>IF(B388="","","LN"&amp;TEXT(ROW()-2,"0000"))</f>
        <v/>
      </c>
      <c r="B388" s="43" t="n"/>
      <c r="C388" s="43">
        <f>IFERROR(IF(B388="","",VLOOKUP(B388,DATABASE!A:B,2,0)),"")</f>
        <v/>
      </c>
      <c r="D388" s="44" t="n"/>
      <c r="E388" s="45">
        <f>IF(B388="","",TODAY())</f>
        <v/>
      </c>
      <c r="F388" s="43" t="n"/>
      <c r="G388" s="43" t="n"/>
      <c r="H388" s="43" t="n"/>
      <c r="I388" s="44">
        <f>IFERROR(IF(OR(D388="",G388="",H388=""),"",ABS(PMT(G388%/12,H388,D388))),"")</f>
        <v/>
      </c>
      <c r="J388" s="43">
        <f>IF(B388="","","Active")</f>
        <v/>
      </c>
    </row>
    <row r="389">
      <c r="A389" s="41">
        <f>IF(B389="","","LN"&amp;TEXT(ROW()-2,"0000"))</f>
        <v/>
      </c>
      <c r="B389" s="26" t="n"/>
      <c r="C389" s="26">
        <f>IFERROR(IF(B389="","",VLOOKUP(B389,DATABASE!A:B,2,0)),"")</f>
        <v/>
      </c>
      <c r="D389" s="30" t="n"/>
      <c r="E389" s="31">
        <f>IF(B389="","",TODAY())</f>
        <v/>
      </c>
      <c r="F389" s="26" t="n"/>
      <c r="G389" s="26" t="n"/>
      <c r="H389" s="26" t="n"/>
      <c r="I389" s="30">
        <f>IFERROR(IF(OR(D389="",G389="",H389=""),"",ABS(PMT(G389%/12,H389,D389))),"")</f>
        <v/>
      </c>
      <c r="J389" s="26">
        <f>IF(B389="","","Active")</f>
        <v/>
      </c>
    </row>
    <row r="390">
      <c r="A390" s="42">
        <f>IF(B390="","","LN"&amp;TEXT(ROW()-2,"0000"))</f>
        <v/>
      </c>
      <c r="B390" s="43" t="n"/>
      <c r="C390" s="43">
        <f>IFERROR(IF(B390="","",VLOOKUP(B390,DATABASE!A:B,2,0)),"")</f>
        <v/>
      </c>
      <c r="D390" s="44" t="n"/>
      <c r="E390" s="45">
        <f>IF(B390="","",TODAY())</f>
        <v/>
      </c>
      <c r="F390" s="43" t="n"/>
      <c r="G390" s="43" t="n"/>
      <c r="H390" s="43" t="n"/>
      <c r="I390" s="44">
        <f>IFERROR(IF(OR(D390="",G390="",H390=""),"",ABS(PMT(G390%/12,H390,D390))),"")</f>
        <v/>
      </c>
      <c r="J390" s="43">
        <f>IF(B390="","","Active")</f>
        <v/>
      </c>
    </row>
    <row r="391">
      <c r="A391" s="41">
        <f>IF(B391="","","LN"&amp;TEXT(ROW()-2,"0000"))</f>
        <v/>
      </c>
      <c r="B391" s="26" t="n"/>
      <c r="C391" s="26">
        <f>IFERROR(IF(B391="","",VLOOKUP(B391,DATABASE!A:B,2,0)),"")</f>
        <v/>
      </c>
      <c r="D391" s="30" t="n"/>
      <c r="E391" s="31">
        <f>IF(B391="","",TODAY())</f>
        <v/>
      </c>
      <c r="F391" s="26" t="n"/>
      <c r="G391" s="26" t="n"/>
      <c r="H391" s="26" t="n"/>
      <c r="I391" s="30">
        <f>IFERROR(IF(OR(D391="",G391="",H391=""),"",ABS(PMT(G391%/12,H391,D391))),"")</f>
        <v/>
      </c>
      <c r="J391" s="26">
        <f>IF(B391="","","Active")</f>
        <v/>
      </c>
    </row>
    <row r="392">
      <c r="A392" s="42">
        <f>IF(B392="","","LN"&amp;TEXT(ROW()-2,"0000"))</f>
        <v/>
      </c>
      <c r="B392" s="43" t="n"/>
      <c r="C392" s="43">
        <f>IFERROR(IF(B392="","",VLOOKUP(B392,DATABASE!A:B,2,0)),"")</f>
        <v/>
      </c>
      <c r="D392" s="44" t="n"/>
      <c r="E392" s="45">
        <f>IF(B392="","",TODAY())</f>
        <v/>
      </c>
      <c r="F392" s="43" t="n"/>
      <c r="G392" s="43" t="n"/>
      <c r="H392" s="43" t="n"/>
      <c r="I392" s="44">
        <f>IFERROR(IF(OR(D392="",G392="",H392=""),"",ABS(PMT(G392%/12,H392,D392))),"")</f>
        <v/>
      </c>
      <c r="J392" s="43">
        <f>IF(B392="","","Active")</f>
        <v/>
      </c>
    </row>
    <row r="393">
      <c r="A393" s="41">
        <f>IF(B393="","","LN"&amp;TEXT(ROW()-2,"0000"))</f>
        <v/>
      </c>
      <c r="B393" s="26" t="n"/>
      <c r="C393" s="26">
        <f>IFERROR(IF(B393="","",VLOOKUP(B393,DATABASE!A:B,2,0)),"")</f>
        <v/>
      </c>
      <c r="D393" s="30" t="n"/>
      <c r="E393" s="31">
        <f>IF(B393="","",TODAY())</f>
        <v/>
      </c>
      <c r="F393" s="26" t="n"/>
      <c r="G393" s="26" t="n"/>
      <c r="H393" s="26" t="n"/>
      <c r="I393" s="30">
        <f>IFERROR(IF(OR(D393="",G393="",H393=""),"",ABS(PMT(G393%/12,H393,D393))),"")</f>
        <v/>
      </c>
      <c r="J393" s="26">
        <f>IF(B393="","","Active")</f>
        <v/>
      </c>
    </row>
    <row r="394">
      <c r="A394" s="42">
        <f>IF(B394="","","LN"&amp;TEXT(ROW()-2,"0000"))</f>
        <v/>
      </c>
      <c r="B394" s="43" t="n"/>
      <c r="C394" s="43">
        <f>IFERROR(IF(B394="","",VLOOKUP(B394,DATABASE!A:B,2,0)),"")</f>
        <v/>
      </c>
      <c r="D394" s="44" t="n"/>
      <c r="E394" s="45">
        <f>IF(B394="","",TODAY())</f>
        <v/>
      </c>
      <c r="F394" s="43" t="n"/>
      <c r="G394" s="43" t="n"/>
      <c r="H394" s="43" t="n"/>
      <c r="I394" s="44">
        <f>IFERROR(IF(OR(D394="",G394="",H394=""),"",ABS(PMT(G394%/12,H394,D394))),"")</f>
        <v/>
      </c>
      <c r="J394" s="43">
        <f>IF(B394="","","Active")</f>
        <v/>
      </c>
    </row>
    <row r="395">
      <c r="A395" s="41">
        <f>IF(B395="","","LN"&amp;TEXT(ROW()-2,"0000"))</f>
        <v/>
      </c>
      <c r="B395" s="26" t="n"/>
      <c r="C395" s="26">
        <f>IFERROR(IF(B395="","",VLOOKUP(B395,DATABASE!A:B,2,0)),"")</f>
        <v/>
      </c>
      <c r="D395" s="30" t="n"/>
      <c r="E395" s="31">
        <f>IF(B395="","",TODAY())</f>
        <v/>
      </c>
      <c r="F395" s="26" t="n"/>
      <c r="G395" s="26" t="n"/>
      <c r="H395" s="26" t="n"/>
      <c r="I395" s="30">
        <f>IFERROR(IF(OR(D395="",G395="",H395=""),"",ABS(PMT(G395%/12,H395,D395))),"")</f>
        <v/>
      </c>
      <c r="J395" s="26">
        <f>IF(B395="","","Active")</f>
        <v/>
      </c>
    </row>
    <row r="396">
      <c r="A396" s="42">
        <f>IF(B396="","","LN"&amp;TEXT(ROW()-2,"0000"))</f>
        <v/>
      </c>
      <c r="B396" s="43" t="n"/>
      <c r="C396" s="43">
        <f>IFERROR(IF(B396="","",VLOOKUP(B396,DATABASE!A:B,2,0)),"")</f>
        <v/>
      </c>
      <c r="D396" s="44" t="n"/>
      <c r="E396" s="45">
        <f>IF(B396="","",TODAY())</f>
        <v/>
      </c>
      <c r="F396" s="43" t="n"/>
      <c r="G396" s="43" t="n"/>
      <c r="H396" s="43" t="n"/>
      <c r="I396" s="44">
        <f>IFERROR(IF(OR(D396="",G396="",H396=""),"",ABS(PMT(G396%/12,H396,D396))),"")</f>
        <v/>
      </c>
      <c r="J396" s="43">
        <f>IF(B396="","","Active")</f>
        <v/>
      </c>
    </row>
    <row r="397">
      <c r="A397" s="41">
        <f>IF(B397="","","LN"&amp;TEXT(ROW()-2,"0000"))</f>
        <v/>
      </c>
      <c r="B397" s="26" t="n"/>
      <c r="C397" s="26">
        <f>IFERROR(IF(B397="","",VLOOKUP(B397,DATABASE!A:B,2,0)),"")</f>
        <v/>
      </c>
      <c r="D397" s="30" t="n"/>
      <c r="E397" s="31">
        <f>IF(B397="","",TODAY())</f>
        <v/>
      </c>
      <c r="F397" s="26" t="n"/>
      <c r="G397" s="26" t="n"/>
      <c r="H397" s="26" t="n"/>
      <c r="I397" s="30">
        <f>IFERROR(IF(OR(D397="",G397="",H397=""),"",ABS(PMT(G397%/12,H397,D397))),"")</f>
        <v/>
      </c>
      <c r="J397" s="26">
        <f>IF(B397="","","Active")</f>
        <v/>
      </c>
    </row>
    <row r="398">
      <c r="A398" s="42">
        <f>IF(B398="","","LN"&amp;TEXT(ROW()-2,"0000"))</f>
        <v/>
      </c>
      <c r="B398" s="43" t="n"/>
      <c r="C398" s="43">
        <f>IFERROR(IF(B398="","",VLOOKUP(B398,DATABASE!A:B,2,0)),"")</f>
        <v/>
      </c>
      <c r="D398" s="44" t="n"/>
      <c r="E398" s="45">
        <f>IF(B398="","",TODAY())</f>
        <v/>
      </c>
      <c r="F398" s="43" t="n"/>
      <c r="G398" s="43" t="n"/>
      <c r="H398" s="43" t="n"/>
      <c r="I398" s="44">
        <f>IFERROR(IF(OR(D398="",G398="",H398=""),"",ABS(PMT(G398%/12,H398,D398))),"")</f>
        <v/>
      </c>
      <c r="J398" s="43">
        <f>IF(B398="","","Active")</f>
        <v/>
      </c>
    </row>
    <row r="399">
      <c r="A399" s="41">
        <f>IF(B399="","","LN"&amp;TEXT(ROW()-2,"0000"))</f>
        <v/>
      </c>
      <c r="B399" s="26" t="n"/>
      <c r="C399" s="26">
        <f>IFERROR(IF(B399="","",VLOOKUP(B399,DATABASE!A:B,2,0)),"")</f>
        <v/>
      </c>
      <c r="D399" s="30" t="n"/>
      <c r="E399" s="31">
        <f>IF(B399="","",TODAY())</f>
        <v/>
      </c>
      <c r="F399" s="26" t="n"/>
      <c r="G399" s="26" t="n"/>
      <c r="H399" s="26" t="n"/>
      <c r="I399" s="30">
        <f>IFERROR(IF(OR(D399="",G399="",H399=""),"",ABS(PMT(G399%/12,H399,D399))),"")</f>
        <v/>
      </c>
      <c r="J399" s="26">
        <f>IF(B399="","","Active")</f>
        <v/>
      </c>
    </row>
    <row r="400">
      <c r="A400" s="42">
        <f>IF(B400="","","LN"&amp;TEXT(ROW()-2,"0000"))</f>
        <v/>
      </c>
      <c r="B400" s="43" t="n"/>
      <c r="C400" s="43">
        <f>IFERROR(IF(B400="","",VLOOKUP(B400,DATABASE!A:B,2,0)),"")</f>
        <v/>
      </c>
      <c r="D400" s="44" t="n"/>
      <c r="E400" s="45">
        <f>IF(B400="","",TODAY())</f>
        <v/>
      </c>
      <c r="F400" s="43" t="n"/>
      <c r="G400" s="43" t="n"/>
      <c r="H400" s="43" t="n"/>
      <c r="I400" s="44">
        <f>IFERROR(IF(OR(D400="",G400="",H400=""),"",ABS(PMT(G400%/12,H400,D400))),"")</f>
        <v/>
      </c>
      <c r="J400" s="43">
        <f>IF(B400="","","Active")</f>
        <v/>
      </c>
    </row>
    <row r="401">
      <c r="A401" s="41">
        <f>IF(B401="","","LN"&amp;TEXT(ROW()-2,"0000"))</f>
        <v/>
      </c>
      <c r="B401" s="26" t="n"/>
      <c r="C401" s="26">
        <f>IFERROR(IF(B401="","",VLOOKUP(B401,DATABASE!A:B,2,0)),"")</f>
        <v/>
      </c>
      <c r="D401" s="30" t="n"/>
      <c r="E401" s="31">
        <f>IF(B401="","",TODAY())</f>
        <v/>
      </c>
      <c r="F401" s="26" t="n"/>
      <c r="G401" s="26" t="n"/>
      <c r="H401" s="26" t="n"/>
      <c r="I401" s="30">
        <f>IFERROR(IF(OR(D401="",G401="",H401=""),"",ABS(PMT(G401%/12,H401,D401))),"")</f>
        <v/>
      </c>
      <c r="J401" s="26">
        <f>IF(B401="","","Active")</f>
        <v/>
      </c>
    </row>
    <row r="402">
      <c r="A402" s="42">
        <f>IF(B402="","","LN"&amp;TEXT(ROW()-2,"0000"))</f>
        <v/>
      </c>
      <c r="B402" s="43" t="n"/>
      <c r="C402" s="43">
        <f>IFERROR(IF(B402="","",VLOOKUP(B402,DATABASE!A:B,2,0)),"")</f>
        <v/>
      </c>
      <c r="D402" s="44" t="n"/>
      <c r="E402" s="45">
        <f>IF(B402="","",TODAY())</f>
        <v/>
      </c>
      <c r="F402" s="43" t="n"/>
      <c r="G402" s="43" t="n"/>
      <c r="H402" s="43" t="n"/>
      <c r="I402" s="44">
        <f>IFERROR(IF(OR(D402="",G402="",H402=""),"",ABS(PMT(G402%/12,H402,D402))),"")</f>
        <v/>
      </c>
      <c r="J402" s="43">
        <f>IF(B402="","","Active")</f>
        <v/>
      </c>
    </row>
    <row r="403">
      <c r="A403" s="41">
        <f>IF(B403="","","LN"&amp;TEXT(ROW()-2,"0000"))</f>
        <v/>
      </c>
      <c r="B403" s="26" t="n"/>
      <c r="C403" s="26">
        <f>IFERROR(IF(B403="","",VLOOKUP(B403,DATABASE!A:B,2,0)),"")</f>
        <v/>
      </c>
      <c r="D403" s="30" t="n"/>
      <c r="E403" s="31">
        <f>IF(B403="","",TODAY())</f>
        <v/>
      </c>
      <c r="F403" s="26" t="n"/>
      <c r="G403" s="26" t="n"/>
      <c r="H403" s="26" t="n"/>
      <c r="I403" s="30">
        <f>IFERROR(IF(OR(D403="",G403="",H403=""),"",ABS(PMT(G403%/12,H403,D403))),"")</f>
        <v/>
      </c>
      <c r="J403" s="26">
        <f>IF(B403="","","Active")</f>
        <v/>
      </c>
    </row>
    <row r="404">
      <c r="A404" s="42">
        <f>IF(B404="","","LN"&amp;TEXT(ROW()-2,"0000"))</f>
        <v/>
      </c>
      <c r="B404" s="43" t="n"/>
      <c r="C404" s="43">
        <f>IFERROR(IF(B404="","",VLOOKUP(B404,DATABASE!A:B,2,0)),"")</f>
        <v/>
      </c>
      <c r="D404" s="44" t="n"/>
      <c r="E404" s="45">
        <f>IF(B404="","",TODAY())</f>
        <v/>
      </c>
      <c r="F404" s="43" t="n"/>
      <c r="G404" s="43" t="n"/>
      <c r="H404" s="43" t="n"/>
      <c r="I404" s="44">
        <f>IFERROR(IF(OR(D404="",G404="",H404=""),"",ABS(PMT(G404%/12,H404,D404))),"")</f>
        <v/>
      </c>
      <c r="J404" s="43">
        <f>IF(B404="","","Active")</f>
        <v/>
      </c>
    </row>
    <row r="405">
      <c r="A405" s="41">
        <f>IF(B405="","","LN"&amp;TEXT(ROW()-2,"0000"))</f>
        <v/>
      </c>
      <c r="B405" s="26" t="n"/>
      <c r="C405" s="26">
        <f>IFERROR(IF(B405="","",VLOOKUP(B405,DATABASE!A:B,2,0)),"")</f>
        <v/>
      </c>
      <c r="D405" s="30" t="n"/>
      <c r="E405" s="31">
        <f>IF(B405="","",TODAY())</f>
        <v/>
      </c>
      <c r="F405" s="26" t="n"/>
      <c r="G405" s="26" t="n"/>
      <c r="H405" s="26" t="n"/>
      <c r="I405" s="30">
        <f>IFERROR(IF(OR(D405="",G405="",H405=""),"",ABS(PMT(G405%/12,H405,D405))),"")</f>
        <v/>
      </c>
      <c r="J405" s="26">
        <f>IF(B405="","","Active")</f>
        <v/>
      </c>
    </row>
    <row r="406">
      <c r="A406" s="42">
        <f>IF(B406="","","LN"&amp;TEXT(ROW()-2,"0000"))</f>
        <v/>
      </c>
      <c r="B406" s="43" t="n"/>
      <c r="C406" s="43">
        <f>IFERROR(IF(B406="","",VLOOKUP(B406,DATABASE!A:B,2,0)),"")</f>
        <v/>
      </c>
      <c r="D406" s="44" t="n"/>
      <c r="E406" s="45">
        <f>IF(B406="","",TODAY())</f>
        <v/>
      </c>
      <c r="F406" s="43" t="n"/>
      <c r="G406" s="43" t="n"/>
      <c r="H406" s="43" t="n"/>
      <c r="I406" s="44">
        <f>IFERROR(IF(OR(D406="",G406="",H406=""),"",ABS(PMT(G406%/12,H406,D406))),"")</f>
        <v/>
      </c>
      <c r="J406" s="43">
        <f>IF(B406="","","Active")</f>
        <v/>
      </c>
    </row>
    <row r="407">
      <c r="A407" s="41">
        <f>IF(B407="","","LN"&amp;TEXT(ROW()-2,"0000"))</f>
        <v/>
      </c>
      <c r="B407" s="26" t="n"/>
      <c r="C407" s="26">
        <f>IFERROR(IF(B407="","",VLOOKUP(B407,DATABASE!A:B,2,0)),"")</f>
        <v/>
      </c>
      <c r="D407" s="30" t="n"/>
      <c r="E407" s="31">
        <f>IF(B407="","",TODAY())</f>
        <v/>
      </c>
      <c r="F407" s="26" t="n"/>
      <c r="G407" s="26" t="n"/>
      <c r="H407" s="26" t="n"/>
      <c r="I407" s="30">
        <f>IFERROR(IF(OR(D407="",G407="",H407=""),"",ABS(PMT(G407%/12,H407,D407))),"")</f>
        <v/>
      </c>
      <c r="J407" s="26">
        <f>IF(B407="","","Active")</f>
        <v/>
      </c>
    </row>
    <row r="408">
      <c r="A408" s="42">
        <f>IF(B408="","","LN"&amp;TEXT(ROW()-2,"0000"))</f>
        <v/>
      </c>
      <c r="B408" s="43" t="n"/>
      <c r="C408" s="43">
        <f>IFERROR(IF(B408="","",VLOOKUP(B408,DATABASE!A:B,2,0)),"")</f>
        <v/>
      </c>
      <c r="D408" s="44" t="n"/>
      <c r="E408" s="45">
        <f>IF(B408="","",TODAY())</f>
        <v/>
      </c>
      <c r="F408" s="43" t="n"/>
      <c r="G408" s="43" t="n"/>
      <c r="H408" s="43" t="n"/>
      <c r="I408" s="44">
        <f>IFERROR(IF(OR(D408="",G408="",H408=""),"",ABS(PMT(G408%/12,H408,D408))),"")</f>
        <v/>
      </c>
      <c r="J408" s="43">
        <f>IF(B408="","","Active")</f>
        <v/>
      </c>
    </row>
    <row r="409">
      <c r="A409" s="41">
        <f>IF(B409="","","LN"&amp;TEXT(ROW()-2,"0000"))</f>
        <v/>
      </c>
      <c r="B409" s="26" t="n"/>
      <c r="C409" s="26">
        <f>IFERROR(IF(B409="","",VLOOKUP(B409,DATABASE!A:B,2,0)),"")</f>
        <v/>
      </c>
      <c r="D409" s="30" t="n"/>
      <c r="E409" s="31">
        <f>IF(B409="","",TODAY())</f>
        <v/>
      </c>
      <c r="F409" s="26" t="n"/>
      <c r="G409" s="26" t="n"/>
      <c r="H409" s="26" t="n"/>
      <c r="I409" s="30">
        <f>IFERROR(IF(OR(D409="",G409="",H409=""),"",ABS(PMT(G409%/12,H409,D409))),"")</f>
        <v/>
      </c>
      <c r="J409" s="26">
        <f>IF(B409="","","Active")</f>
        <v/>
      </c>
    </row>
    <row r="410">
      <c r="A410" s="42">
        <f>IF(B410="","","LN"&amp;TEXT(ROW()-2,"0000"))</f>
        <v/>
      </c>
      <c r="B410" s="43" t="n"/>
      <c r="C410" s="43">
        <f>IFERROR(IF(B410="","",VLOOKUP(B410,DATABASE!A:B,2,0)),"")</f>
        <v/>
      </c>
      <c r="D410" s="44" t="n"/>
      <c r="E410" s="45">
        <f>IF(B410="","",TODAY())</f>
        <v/>
      </c>
      <c r="F410" s="43" t="n"/>
      <c r="G410" s="43" t="n"/>
      <c r="H410" s="43" t="n"/>
      <c r="I410" s="44">
        <f>IFERROR(IF(OR(D410="",G410="",H410=""),"",ABS(PMT(G410%/12,H410,D410))),"")</f>
        <v/>
      </c>
      <c r="J410" s="43">
        <f>IF(B410="","","Active")</f>
        <v/>
      </c>
    </row>
    <row r="411">
      <c r="A411" s="41">
        <f>IF(B411="","","LN"&amp;TEXT(ROW()-2,"0000"))</f>
        <v/>
      </c>
      <c r="B411" s="26" t="n"/>
      <c r="C411" s="26">
        <f>IFERROR(IF(B411="","",VLOOKUP(B411,DATABASE!A:B,2,0)),"")</f>
        <v/>
      </c>
      <c r="D411" s="30" t="n"/>
      <c r="E411" s="31">
        <f>IF(B411="","",TODAY())</f>
        <v/>
      </c>
      <c r="F411" s="26" t="n"/>
      <c r="G411" s="26" t="n"/>
      <c r="H411" s="26" t="n"/>
      <c r="I411" s="30">
        <f>IFERROR(IF(OR(D411="",G411="",H411=""),"",ABS(PMT(G411%/12,H411,D411))),"")</f>
        <v/>
      </c>
      <c r="J411" s="26">
        <f>IF(B411="","","Active")</f>
        <v/>
      </c>
    </row>
    <row r="412">
      <c r="A412" s="42">
        <f>IF(B412="","","LN"&amp;TEXT(ROW()-2,"0000"))</f>
        <v/>
      </c>
      <c r="B412" s="43" t="n"/>
      <c r="C412" s="43">
        <f>IFERROR(IF(B412="","",VLOOKUP(B412,DATABASE!A:B,2,0)),"")</f>
        <v/>
      </c>
      <c r="D412" s="44" t="n"/>
      <c r="E412" s="45">
        <f>IF(B412="","",TODAY())</f>
        <v/>
      </c>
      <c r="F412" s="43" t="n"/>
      <c r="G412" s="43" t="n"/>
      <c r="H412" s="43" t="n"/>
      <c r="I412" s="44">
        <f>IFERROR(IF(OR(D412="",G412="",H412=""),"",ABS(PMT(G412%/12,H412,D412))),"")</f>
        <v/>
      </c>
      <c r="J412" s="43">
        <f>IF(B412="","","Active")</f>
        <v/>
      </c>
    </row>
    <row r="413">
      <c r="A413" s="41">
        <f>IF(B413="","","LN"&amp;TEXT(ROW()-2,"0000"))</f>
        <v/>
      </c>
      <c r="B413" s="26" t="n"/>
      <c r="C413" s="26">
        <f>IFERROR(IF(B413="","",VLOOKUP(B413,DATABASE!A:B,2,0)),"")</f>
        <v/>
      </c>
      <c r="D413" s="30" t="n"/>
      <c r="E413" s="31">
        <f>IF(B413="","",TODAY())</f>
        <v/>
      </c>
      <c r="F413" s="26" t="n"/>
      <c r="G413" s="26" t="n"/>
      <c r="H413" s="26" t="n"/>
      <c r="I413" s="30">
        <f>IFERROR(IF(OR(D413="",G413="",H413=""),"",ABS(PMT(G413%/12,H413,D413))),"")</f>
        <v/>
      </c>
      <c r="J413" s="26">
        <f>IF(B413="","","Active")</f>
        <v/>
      </c>
    </row>
    <row r="414">
      <c r="A414" s="42">
        <f>IF(B414="","","LN"&amp;TEXT(ROW()-2,"0000"))</f>
        <v/>
      </c>
      <c r="B414" s="43" t="n"/>
      <c r="C414" s="43">
        <f>IFERROR(IF(B414="","",VLOOKUP(B414,DATABASE!A:B,2,0)),"")</f>
        <v/>
      </c>
      <c r="D414" s="44" t="n"/>
      <c r="E414" s="45">
        <f>IF(B414="","",TODAY())</f>
        <v/>
      </c>
      <c r="F414" s="43" t="n"/>
      <c r="G414" s="43" t="n"/>
      <c r="H414" s="43" t="n"/>
      <c r="I414" s="44">
        <f>IFERROR(IF(OR(D414="",G414="",H414=""),"",ABS(PMT(G414%/12,H414,D414))),"")</f>
        <v/>
      </c>
      <c r="J414" s="43">
        <f>IF(B414="","","Active")</f>
        <v/>
      </c>
    </row>
    <row r="415">
      <c r="A415" s="41">
        <f>IF(B415="","","LN"&amp;TEXT(ROW()-2,"0000"))</f>
        <v/>
      </c>
      <c r="B415" s="26" t="n"/>
      <c r="C415" s="26">
        <f>IFERROR(IF(B415="","",VLOOKUP(B415,DATABASE!A:B,2,0)),"")</f>
        <v/>
      </c>
      <c r="D415" s="30" t="n"/>
      <c r="E415" s="31">
        <f>IF(B415="","",TODAY())</f>
        <v/>
      </c>
      <c r="F415" s="26" t="n"/>
      <c r="G415" s="26" t="n"/>
      <c r="H415" s="26" t="n"/>
      <c r="I415" s="30">
        <f>IFERROR(IF(OR(D415="",G415="",H415=""),"",ABS(PMT(G415%/12,H415,D415))),"")</f>
        <v/>
      </c>
      <c r="J415" s="26">
        <f>IF(B415="","","Active")</f>
        <v/>
      </c>
    </row>
    <row r="416">
      <c r="A416" s="42">
        <f>IF(B416="","","LN"&amp;TEXT(ROW()-2,"0000"))</f>
        <v/>
      </c>
      <c r="B416" s="43" t="n"/>
      <c r="C416" s="43">
        <f>IFERROR(IF(B416="","",VLOOKUP(B416,DATABASE!A:B,2,0)),"")</f>
        <v/>
      </c>
      <c r="D416" s="44" t="n"/>
      <c r="E416" s="45">
        <f>IF(B416="","",TODAY())</f>
        <v/>
      </c>
      <c r="F416" s="43" t="n"/>
      <c r="G416" s="43" t="n"/>
      <c r="H416" s="43" t="n"/>
      <c r="I416" s="44">
        <f>IFERROR(IF(OR(D416="",G416="",H416=""),"",ABS(PMT(G416%/12,H416,D416))),"")</f>
        <v/>
      </c>
      <c r="J416" s="43">
        <f>IF(B416="","","Active")</f>
        <v/>
      </c>
    </row>
    <row r="417">
      <c r="A417" s="41">
        <f>IF(B417="","","LN"&amp;TEXT(ROW()-2,"0000"))</f>
        <v/>
      </c>
      <c r="B417" s="26" t="n"/>
      <c r="C417" s="26">
        <f>IFERROR(IF(B417="","",VLOOKUP(B417,DATABASE!A:B,2,0)),"")</f>
        <v/>
      </c>
      <c r="D417" s="30" t="n"/>
      <c r="E417" s="31">
        <f>IF(B417="","",TODAY())</f>
        <v/>
      </c>
      <c r="F417" s="26" t="n"/>
      <c r="G417" s="26" t="n"/>
      <c r="H417" s="26" t="n"/>
      <c r="I417" s="30">
        <f>IFERROR(IF(OR(D417="",G417="",H417=""),"",ABS(PMT(G417%/12,H417,D417))),"")</f>
        <v/>
      </c>
      <c r="J417" s="26">
        <f>IF(B417="","","Active")</f>
        <v/>
      </c>
    </row>
    <row r="418">
      <c r="A418" s="42">
        <f>IF(B418="","","LN"&amp;TEXT(ROW()-2,"0000"))</f>
        <v/>
      </c>
      <c r="B418" s="43" t="n"/>
      <c r="C418" s="43">
        <f>IFERROR(IF(B418="","",VLOOKUP(B418,DATABASE!A:B,2,0)),"")</f>
        <v/>
      </c>
      <c r="D418" s="44" t="n"/>
      <c r="E418" s="45">
        <f>IF(B418="","",TODAY())</f>
        <v/>
      </c>
      <c r="F418" s="43" t="n"/>
      <c r="G418" s="43" t="n"/>
      <c r="H418" s="43" t="n"/>
      <c r="I418" s="44">
        <f>IFERROR(IF(OR(D418="",G418="",H418=""),"",ABS(PMT(G418%/12,H418,D418))),"")</f>
        <v/>
      </c>
      <c r="J418" s="43">
        <f>IF(B418="","","Active")</f>
        <v/>
      </c>
    </row>
    <row r="419">
      <c r="A419" s="41">
        <f>IF(B419="","","LN"&amp;TEXT(ROW()-2,"0000"))</f>
        <v/>
      </c>
      <c r="B419" s="26" t="n"/>
      <c r="C419" s="26">
        <f>IFERROR(IF(B419="","",VLOOKUP(B419,DATABASE!A:B,2,0)),"")</f>
        <v/>
      </c>
      <c r="D419" s="30" t="n"/>
      <c r="E419" s="31">
        <f>IF(B419="","",TODAY())</f>
        <v/>
      </c>
      <c r="F419" s="26" t="n"/>
      <c r="G419" s="26" t="n"/>
      <c r="H419" s="26" t="n"/>
      <c r="I419" s="30">
        <f>IFERROR(IF(OR(D419="",G419="",H419=""),"",ABS(PMT(G419%/12,H419,D419))),"")</f>
        <v/>
      </c>
      <c r="J419" s="26">
        <f>IF(B419="","","Active")</f>
        <v/>
      </c>
    </row>
    <row r="420">
      <c r="A420" s="42">
        <f>IF(B420="","","LN"&amp;TEXT(ROW()-2,"0000"))</f>
        <v/>
      </c>
      <c r="B420" s="43" t="n"/>
      <c r="C420" s="43">
        <f>IFERROR(IF(B420="","",VLOOKUP(B420,DATABASE!A:B,2,0)),"")</f>
        <v/>
      </c>
      <c r="D420" s="44" t="n"/>
      <c r="E420" s="45">
        <f>IF(B420="","",TODAY())</f>
        <v/>
      </c>
      <c r="F420" s="43" t="n"/>
      <c r="G420" s="43" t="n"/>
      <c r="H420" s="43" t="n"/>
      <c r="I420" s="44">
        <f>IFERROR(IF(OR(D420="",G420="",H420=""),"",ABS(PMT(G420%/12,H420,D420))),"")</f>
        <v/>
      </c>
      <c r="J420" s="43">
        <f>IF(B420="","","Active")</f>
        <v/>
      </c>
    </row>
    <row r="421">
      <c r="A421" s="41">
        <f>IF(B421="","","LN"&amp;TEXT(ROW()-2,"0000"))</f>
        <v/>
      </c>
      <c r="B421" s="26" t="n"/>
      <c r="C421" s="26">
        <f>IFERROR(IF(B421="","",VLOOKUP(B421,DATABASE!A:B,2,0)),"")</f>
        <v/>
      </c>
      <c r="D421" s="30" t="n"/>
      <c r="E421" s="31">
        <f>IF(B421="","",TODAY())</f>
        <v/>
      </c>
      <c r="F421" s="26" t="n"/>
      <c r="G421" s="26" t="n"/>
      <c r="H421" s="26" t="n"/>
      <c r="I421" s="30">
        <f>IFERROR(IF(OR(D421="",G421="",H421=""),"",ABS(PMT(G421%/12,H421,D421))),"")</f>
        <v/>
      </c>
      <c r="J421" s="26">
        <f>IF(B421="","","Active")</f>
        <v/>
      </c>
    </row>
    <row r="422">
      <c r="A422" s="42">
        <f>IF(B422="","","LN"&amp;TEXT(ROW()-2,"0000"))</f>
        <v/>
      </c>
      <c r="B422" s="43" t="n"/>
      <c r="C422" s="43">
        <f>IFERROR(IF(B422="","",VLOOKUP(B422,DATABASE!A:B,2,0)),"")</f>
        <v/>
      </c>
      <c r="D422" s="44" t="n"/>
      <c r="E422" s="45">
        <f>IF(B422="","",TODAY())</f>
        <v/>
      </c>
      <c r="F422" s="43" t="n"/>
      <c r="G422" s="43" t="n"/>
      <c r="H422" s="43" t="n"/>
      <c r="I422" s="44">
        <f>IFERROR(IF(OR(D422="",G422="",H422=""),"",ABS(PMT(G422%/12,H422,D422))),"")</f>
        <v/>
      </c>
      <c r="J422" s="43">
        <f>IF(B422="","","Active")</f>
        <v/>
      </c>
    </row>
    <row r="423">
      <c r="A423" s="41">
        <f>IF(B423="","","LN"&amp;TEXT(ROW()-2,"0000"))</f>
        <v/>
      </c>
      <c r="B423" s="26" t="n"/>
      <c r="C423" s="26">
        <f>IFERROR(IF(B423="","",VLOOKUP(B423,DATABASE!A:B,2,0)),"")</f>
        <v/>
      </c>
      <c r="D423" s="30" t="n"/>
      <c r="E423" s="31">
        <f>IF(B423="","",TODAY())</f>
        <v/>
      </c>
      <c r="F423" s="26" t="n"/>
      <c r="G423" s="26" t="n"/>
      <c r="H423" s="26" t="n"/>
      <c r="I423" s="30">
        <f>IFERROR(IF(OR(D423="",G423="",H423=""),"",ABS(PMT(G423%/12,H423,D423))),"")</f>
        <v/>
      </c>
      <c r="J423" s="26">
        <f>IF(B423="","","Active")</f>
        <v/>
      </c>
    </row>
    <row r="424">
      <c r="A424" s="42">
        <f>IF(B424="","","LN"&amp;TEXT(ROW()-2,"0000"))</f>
        <v/>
      </c>
      <c r="B424" s="43" t="n"/>
      <c r="C424" s="43">
        <f>IFERROR(IF(B424="","",VLOOKUP(B424,DATABASE!A:B,2,0)),"")</f>
        <v/>
      </c>
      <c r="D424" s="44" t="n"/>
      <c r="E424" s="45">
        <f>IF(B424="","",TODAY())</f>
        <v/>
      </c>
      <c r="F424" s="43" t="n"/>
      <c r="G424" s="43" t="n"/>
      <c r="H424" s="43" t="n"/>
      <c r="I424" s="44">
        <f>IFERROR(IF(OR(D424="",G424="",H424=""),"",ABS(PMT(G424%/12,H424,D424))),"")</f>
        <v/>
      </c>
      <c r="J424" s="43">
        <f>IF(B424="","","Active")</f>
        <v/>
      </c>
    </row>
    <row r="425">
      <c r="A425" s="41">
        <f>IF(B425="","","LN"&amp;TEXT(ROW()-2,"0000"))</f>
        <v/>
      </c>
      <c r="B425" s="26" t="n"/>
      <c r="C425" s="26">
        <f>IFERROR(IF(B425="","",VLOOKUP(B425,DATABASE!A:B,2,0)),"")</f>
        <v/>
      </c>
      <c r="D425" s="30" t="n"/>
      <c r="E425" s="31">
        <f>IF(B425="","",TODAY())</f>
        <v/>
      </c>
      <c r="F425" s="26" t="n"/>
      <c r="G425" s="26" t="n"/>
      <c r="H425" s="26" t="n"/>
      <c r="I425" s="30">
        <f>IFERROR(IF(OR(D425="",G425="",H425=""),"",ABS(PMT(G425%/12,H425,D425))),"")</f>
        <v/>
      </c>
      <c r="J425" s="26">
        <f>IF(B425="","","Active")</f>
        <v/>
      </c>
    </row>
    <row r="426">
      <c r="A426" s="42">
        <f>IF(B426="","","LN"&amp;TEXT(ROW()-2,"0000"))</f>
        <v/>
      </c>
      <c r="B426" s="43" t="n"/>
      <c r="C426" s="43">
        <f>IFERROR(IF(B426="","",VLOOKUP(B426,DATABASE!A:B,2,0)),"")</f>
        <v/>
      </c>
      <c r="D426" s="44" t="n"/>
      <c r="E426" s="45">
        <f>IF(B426="","",TODAY())</f>
        <v/>
      </c>
      <c r="F426" s="43" t="n"/>
      <c r="G426" s="43" t="n"/>
      <c r="H426" s="43" t="n"/>
      <c r="I426" s="44">
        <f>IFERROR(IF(OR(D426="",G426="",H426=""),"",ABS(PMT(G426%/12,H426,D426))),"")</f>
        <v/>
      </c>
      <c r="J426" s="43">
        <f>IF(B426="","","Active")</f>
        <v/>
      </c>
    </row>
    <row r="427">
      <c r="A427" s="41">
        <f>IF(B427="","","LN"&amp;TEXT(ROW()-2,"0000"))</f>
        <v/>
      </c>
      <c r="B427" s="26" t="n"/>
      <c r="C427" s="26">
        <f>IFERROR(IF(B427="","",VLOOKUP(B427,DATABASE!A:B,2,0)),"")</f>
        <v/>
      </c>
      <c r="D427" s="30" t="n"/>
      <c r="E427" s="31">
        <f>IF(B427="","",TODAY())</f>
        <v/>
      </c>
      <c r="F427" s="26" t="n"/>
      <c r="G427" s="26" t="n"/>
      <c r="H427" s="26" t="n"/>
      <c r="I427" s="30">
        <f>IFERROR(IF(OR(D427="",G427="",H427=""),"",ABS(PMT(G427%/12,H427,D427))),"")</f>
        <v/>
      </c>
      <c r="J427" s="26">
        <f>IF(B427="","","Active")</f>
        <v/>
      </c>
    </row>
    <row r="428">
      <c r="A428" s="42">
        <f>IF(B428="","","LN"&amp;TEXT(ROW()-2,"0000"))</f>
        <v/>
      </c>
      <c r="B428" s="43" t="n"/>
      <c r="C428" s="43">
        <f>IFERROR(IF(B428="","",VLOOKUP(B428,DATABASE!A:B,2,0)),"")</f>
        <v/>
      </c>
      <c r="D428" s="44" t="n"/>
      <c r="E428" s="45">
        <f>IF(B428="","",TODAY())</f>
        <v/>
      </c>
      <c r="F428" s="43" t="n"/>
      <c r="G428" s="43" t="n"/>
      <c r="H428" s="43" t="n"/>
      <c r="I428" s="44">
        <f>IFERROR(IF(OR(D428="",G428="",H428=""),"",ABS(PMT(G428%/12,H428,D428))),"")</f>
        <v/>
      </c>
      <c r="J428" s="43">
        <f>IF(B428="","","Active")</f>
        <v/>
      </c>
    </row>
    <row r="429">
      <c r="A429" s="41">
        <f>IF(B429="","","LN"&amp;TEXT(ROW()-2,"0000"))</f>
        <v/>
      </c>
      <c r="B429" s="26" t="n"/>
      <c r="C429" s="26">
        <f>IFERROR(IF(B429="","",VLOOKUP(B429,DATABASE!A:B,2,0)),"")</f>
        <v/>
      </c>
      <c r="D429" s="30" t="n"/>
      <c r="E429" s="31">
        <f>IF(B429="","",TODAY())</f>
        <v/>
      </c>
      <c r="F429" s="26" t="n"/>
      <c r="G429" s="26" t="n"/>
      <c r="H429" s="26" t="n"/>
      <c r="I429" s="30">
        <f>IFERROR(IF(OR(D429="",G429="",H429=""),"",ABS(PMT(G429%/12,H429,D429))),"")</f>
        <v/>
      </c>
      <c r="J429" s="26">
        <f>IF(B429="","","Active")</f>
        <v/>
      </c>
    </row>
    <row r="430">
      <c r="A430" s="42">
        <f>IF(B430="","","LN"&amp;TEXT(ROW()-2,"0000"))</f>
        <v/>
      </c>
      <c r="B430" s="43" t="n"/>
      <c r="C430" s="43">
        <f>IFERROR(IF(B430="","",VLOOKUP(B430,DATABASE!A:B,2,0)),"")</f>
        <v/>
      </c>
      <c r="D430" s="44" t="n"/>
      <c r="E430" s="45">
        <f>IF(B430="","",TODAY())</f>
        <v/>
      </c>
      <c r="F430" s="43" t="n"/>
      <c r="G430" s="43" t="n"/>
      <c r="H430" s="43" t="n"/>
      <c r="I430" s="44">
        <f>IFERROR(IF(OR(D430="",G430="",H430=""),"",ABS(PMT(G430%/12,H430,D430))),"")</f>
        <v/>
      </c>
      <c r="J430" s="43">
        <f>IF(B430="","","Active")</f>
        <v/>
      </c>
    </row>
    <row r="431">
      <c r="A431" s="41">
        <f>IF(B431="","","LN"&amp;TEXT(ROW()-2,"0000"))</f>
        <v/>
      </c>
      <c r="B431" s="26" t="n"/>
      <c r="C431" s="26">
        <f>IFERROR(IF(B431="","",VLOOKUP(B431,DATABASE!A:B,2,0)),"")</f>
        <v/>
      </c>
      <c r="D431" s="30" t="n"/>
      <c r="E431" s="31">
        <f>IF(B431="","",TODAY())</f>
        <v/>
      </c>
      <c r="F431" s="26" t="n"/>
      <c r="G431" s="26" t="n"/>
      <c r="H431" s="26" t="n"/>
      <c r="I431" s="30">
        <f>IFERROR(IF(OR(D431="",G431="",H431=""),"",ABS(PMT(G431%/12,H431,D431))),"")</f>
        <v/>
      </c>
      <c r="J431" s="26">
        <f>IF(B431="","","Active")</f>
        <v/>
      </c>
    </row>
    <row r="432">
      <c r="A432" s="42">
        <f>IF(B432="","","LN"&amp;TEXT(ROW()-2,"0000"))</f>
        <v/>
      </c>
      <c r="B432" s="43" t="n"/>
      <c r="C432" s="43">
        <f>IFERROR(IF(B432="","",VLOOKUP(B432,DATABASE!A:B,2,0)),"")</f>
        <v/>
      </c>
      <c r="D432" s="44" t="n"/>
      <c r="E432" s="45">
        <f>IF(B432="","",TODAY())</f>
        <v/>
      </c>
      <c r="F432" s="43" t="n"/>
      <c r="G432" s="43" t="n"/>
      <c r="H432" s="43" t="n"/>
      <c r="I432" s="44">
        <f>IFERROR(IF(OR(D432="",G432="",H432=""),"",ABS(PMT(G432%/12,H432,D432))),"")</f>
        <v/>
      </c>
      <c r="J432" s="43">
        <f>IF(B432="","","Active")</f>
        <v/>
      </c>
    </row>
    <row r="433">
      <c r="A433" s="41">
        <f>IF(B433="","","LN"&amp;TEXT(ROW()-2,"0000"))</f>
        <v/>
      </c>
      <c r="B433" s="26" t="n"/>
      <c r="C433" s="26">
        <f>IFERROR(IF(B433="","",VLOOKUP(B433,DATABASE!A:B,2,0)),"")</f>
        <v/>
      </c>
      <c r="D433" s="30" t="n"/>
      <c r="E433" s="31">
        <f>IF(B433="","",TODAY())</f>
        <v/>
      </c>
      <c r="F433" s="26" t="n"/>
      <c r="G433" s="26" t="n"/>
      <c r="H433" s="26" t="n"/>
      <c r="I433" s="30">
        <f>IFERROR(IF(OR(D433="",G433="",H433=""),"",ABS(PMT(G433%/12,H433,D433))),"")</f>
        <v/>
      </c>
      <c r="J433" s="26">
        <f>IF(B433="","","Active")</f>
        <v/>
      </c>
    </row>
    <row r="434">
      <c r="A434" s="42">
        <f>IF(B434="","","LN"&amp;TEXT(ROW()-2,"0000"))</f>
        <v/>
      </c>
      <c r="B434" s="43" t="n"/>
      <c r="C434" s="43">
        <f>IFERROR(IF(B434="","",VLOOKUP(B434,DATABASE!A:B,2,0)),"")</f>
        <v/>
      </c>
      <c r="D434" s="44" t="n"/>
      <c r="E434" s="45">
        <f>IF(B434="","",TODAY())</f>
        <v/>
      </c>
      <c r="F434" s="43" t="n"/>
      <c r="G434" s="43" t="n"/>
      <c r="H434" s="43" t="n"/>
      <c r="I434" s="44">
        <f>IFERROR(IF(OR(D434="",G434="",H434=""),"",ABS(PMT(G434%/12,H434,D434))),"")</f>
        <v/>
      </c>
      <c r="J434" s="43">
        <f>IF(B434="","","Active")</f>
        <v/>
      </c>
    </row>
    <row r="435">
      <c r="A435" s="41">
        <f>IF(B435="","","LN"&amp;TEXT(ROW()-2,"0000"))</f>
        <v/>
      </c>
      <c r="B435" s="26" t="n"/>
      <c r="C435" s="26">
        <f>IFERROR(IF(B435="","",VLOOKUP(B435,DATABASE!A:B,2,0)),"")</f>
        <v/>
      </c>
      <c r="D435" s="30" t="n"/>
      <c r="E435" s="31">
        <f>IF(B435="","",TODAY())</f>
        <v/>
      </c>
      <c r="F435" s="26" t="n"/>
      <c r="G435" s="26" t="n"/>
      <c r="H435" s="26" t="n"/>
      <c r="I435" s="30">
        <f>IFERROR(IF(OR(D435="",G435="",H435=""),"",ABS(PMT(G435%/12,H435,D435))),"")</f>
        <v/>
      </c>
      <c r="J435" s="26">
        <f>IF(B435="","","Active")</f>
        <v/>
      </c>
    </row>
    <row r="436">
      <c r="A436" s="42">
        <f>IF(B436="","","LN"&amp;TEXT(ROW()-2,"0000"))</f>
        <v/>
      </c>
      <c r="B436" s="43" t="n"/>
      <c r="C436" s="43">
        <f>IFERROR(IF(B436="","",VLOOKUP(B436,DATABASE!A:B,2,0)),"")</f>
        <v/>
      </c>
      <c r="D436" s="44" t="n"/>
      <c r="E436" s="45">
        <f>IF(B436="","",TODAY())</f>
        <v/>
      </c>
      <c r="F436" s="43" t="n"/>
      <c r="G436" s="43" t="n"/>
      <c r="H436" s="43" t="n"/>
      <c r="I436" s="44">
        <f>IFERROR(IF(OR(D436="",G436="",H436=""),"",ABS(PMT(G436%/12,H436,D436))),"")</f>
        <v/>
      </c>
      <c r="J436" s="43">
        <f>IF(B436="","","Active")</f>
        <v/>
      </c>
    </row>
    <row r="437">
      <c r="A437" s="41">
        <f>IF(B437="","","LN"&amp;TEXT(ROW()-2,"0000"))</f>
        <v/>
      </c>
      <c r="B437" s="26" t="n"/>
      <c r="C437" s="26">
        <f>IFERROR(IF(B437="","",VLOOKUP(B437,DATABASE!A:B,2,0)),"")</f>
        <v/>
      </c>
      <c r="D437" s="30" t="n"/>
      <c r="E437" s="31">
        <f>IF(B437="","",TODAY())</f>
        <v/>
      </c>
      <c r="F437" s="26" t="n"/>
      <c r="G437" s="26" t="n"/>
      <c r="H437" s="26" t="n"/>
      <c r="I437" s="30">
        <f>IFERROR(IF(OR(D437="",G437="",H437=""),"",ABS(PMT(G437%/12,H437,D437))),"")</f>
        <v/>
      </c>
      <c r="J437" s="26">
        <f>IF(B437="","","Active")</f>
        <v/>
      </c>
    </row>
    <row r="438">
      <c r="A438" s="42">
        <f>IF(B438="","","LN"&amp;TEXT(ROW()-2,"0000"))</f>
        <v/>
      </c>
      <c r="B438" s="43" t="n"/>
      <c r="C438" s="43">
        <f>IFERROR(IF(B438="","",VLOOKUP(B438,DATABASE!A:B,2,0)),"")</f>
        <v/>
      </c>
      <c r="D438" s="44" t="n"/>
      <c r="E438" s="45">
        <f>IF(B438="","",TODAY())</f>
        <v/>
      </c>
      <c r="F438" s="43" t="n"/>
      <c r="G438" s="43" t="n"/>
      <c r="H438" s="43" t="n"/>
      <c r="I438" s="44">
        <f>IFERROR(IF(OR(D438="",G438="",H438=""),"",ABS(PMT(G438%/12,H438,D438))),"")</f>
        <v/>
      </c>
      <c r="J438" s="43">
        <f>IF(B438="","","Active")</f>
        <v/>
      </c>
    </row>
    <row r="439">
      <c r="A439" s="41">
        <f>IF(B439="","","LN"&amp;TEXT(ROW()-2,"0000"))</f>
        <v/>
      </c>
      <c r="B439" s="26" t="n"/>
      <c r="C439" s="26">
        <f>IFERROR(IF(B439="","",VLOOKUP(B439,DATABASE!A:B,2,0)),"")</f>
        <v/>
      </c>
      <c r="D439" s="30" t="n"/>
      <c r="E439" s="31">
        <f>IF(B439="","",TODAY())</f>
        <v/>
      </c>
      <c r="F439" s="26" t="n"/>
      <c r="G439" s="26" t="n"/>
      <c r="H439" s="26" t="n"/>
      <c r="I439" s="30">
        <f>IFERROR(IF(OR(D439="",G439="",H439=""),"",ABS(PMT(G439%/12,H439,D439))),"")</f>
        <v/>
      </c>
      <c r="J439" s="26">
        <f>IF(B439="","","Active")</f>
        <v/>
      </c>
    </row>
    <row r="440">
      <c r="A440" s="42">
        <f>IF(B440="","","LN"&amp;TEXT(ROW()-2,"0000"))</f>
        <v/>
      </c>
      <c r="B440" s="43" t="n"/>
      <c r="C440" s="43">
        <f>IFERROR(IF(B440="","",VLOOKUP(B440,DATABASE!A:B,2,0)),"")</f>
        <v/>
      </c>
      <c r="D440" s="44" t="n"/>
      <c r="E440" s="45">
        <f>IF(B440="","",TODAY())</f>
        <v/>
      </c>
      <c r="F440" s="43" t="n"/>
      <c r="G440" s="43" t="n"/>
      <c r="H440" s="43" t="n"/>
      <c r="I440" s="44">
        <f>IFERROR(IF(OR(D440="",G440="",H440=""),"",ABS(PMT(G440%/12,H440,D440))),"")</f>
        <v/>
      </c>
      <c r="J440" s="43">
        <f>IF(B440="","","Active")</f>
        <v/>
      </c>
    </row>
    <row r="441">
      <c r="A441" s="41">
        <f>IF(B441="","","LN"&amp;TEXT(ROW()-2,"0000"))</f>
        <v/>
      </c>
      <c r="B441" s="26" t="n"/>
      <c r="C441" s="26">
        <f>IFERROR(IF(B441="","",VLOOKUP(B441,DATABASE!A:B,2,0)),"")</f>
        <v/>
      </c>
      <c r="D441" s="30" t="n"/>
      <c r="E441" s="31">
        <f>IF(B441="","",TODAY())</f>
        <v/>
      </c>
      <c r="F441" s="26" t="n"/>
      <c r="G441" s="26" t="n"/>
      <c r="H441" s="26" t="n"/>
      <c r="I441" s="30">
        <f>IFERROR(IF(OR(D441="",G441="",H441=""),"",ABS(PMT(G441%/12,H441,D441))),"")</f>
        <v/>
      </c>
      <c r="J441" s="26">
        <f>IF(B441="","","Active")</f>
        <v/>
      </c>
    </row>
    <row r="442">
      <c r="A442" s="42">
        <f>IF(B442="","","LN"&amp;TEXT(ROW()-2,"0000"))</f>
        <v/>
      </c>
      <c r="B442" s="43" t="n"/>
      <c r="C442" s="43">
        <f>IFERROR(IF(B442="","",VLOOKUP(B442,DATABASE!A:B,2,0)),"")</f>
        <v/>
      </c>
      <c r="D442" s="44" t="n"/>
      <c r="E442" s="45">
        <f>IF(B442="","",TODAY())</f>
        <v/>
      </c>
      <c r="F442" s="43" t="n"/>
      <c r="G442" s="43" t="n"/>
      <c r="H442" s="43" t="n"/>
      <c r="I442" s="44">
        <f>IFERROR(IF(OR(D442="",G442="",H442=""),"",ABS(PMT(G442%/12,H442,D442))),"")</f>
        <v/>
      </c>
      <c r="J442" s="43">
        <f>IF(B442="","","Active")</f>
        <v/>
      </c>
    </row>
    <row r="443">
      <c r="A443" s="41">
        <f>IF(B443="","","LN"&amp;TEXT(ROW()-2,"0000"))</f>
        <v/>
      </c>
      <c r="B443" s="26" t="n"/>
      <c r="C443" s="26">
        <f>IFERROR(IF(B443="","",VLOOKUP(B443,DATABASE!A:B,2,0)),"")</f>
        <v/>
      </c>
      <c r="D443" s="30" t="n"/>
      <c r="E443" s="31">
        <f>IF(B443="","",TODAY())</f>
        <v/>
      </c>
      <c r="F443" s="26" t="n"/>
      <c r="G443" s="26" t="n"/>
      <c r="H443" s="26" t="n"/>
      <c r="I443" s="30">
        <f>IFERROR(IF(OR(D443="",G443="",H443=""),"",ABS(PMT(G443%/12,H443,D443))),"")</f>
        <v/>
      </c>
      <c r="J443" s="26">
        <f>IF(B443="","","Active")</f>
        <v/>
      </c>
    </row>
    <row r="444">
      <c r="A444" s="42">
        <f>IF(B444="","","LN"&amp;TEXT(ROW()-2,"0000"))</f>
        <v/>
      </c>
      <c r="B444" s="43" t="n"/>
      <c r="C444" s="43">
        <f>IFERROR(IF(B444="","",VLOOKUP(B444,DATABASE!A:B,2,0)),"")</f>
        <v/>
      </c>
      <c r="D444" s="44" t="n"/>
      <c r="E444" s="45">
        <f>IF(B444="","",TODAY())</f>
        <v/>
      </c>
      <c r="F444" s="43" t="n"/>
      <c r="G444" s="43" t="n"/>
      <c r="H444" s="43" t="n"/>
      <c r="I444" s="44">
        <f>IFERROR(IF(OR(D444="",G444="",H444=""),"",ABS(PMT(G444%/12,H444,D444))),"")</f>
        <v/>
      </c>
      <c r="J444" s="43">
        <f>IF(B444="","","Active")</f>
        <v/>
      </c>
    </row>
    <row r="445">
      <c r="A445" s="41">
        <f>IF(B445="","","LN"&amp;TEXT(ROW()-2,"0000"))</f>
        <v/>
      </c>
      <c r="B445" s="26" t="n"/>
      <c r="C445" s="26">
        <f>IFERROR(IF(B445="","",VLOOKUP(B445,DATABASE!A:B,2,0)),"")</f>
        <v/>
      </c>
      <c r="D445" s="30" t="n"/>
      <c r="E445" s="31">
        <f>IF(B445="","",TODAY())</f>
        <v/>
      </c>
      <c r="F445" s="26" t="n"/>
      <c r="G445" s="26" t="n"/>
      <c r="H445" s="26" t="n"/>
      <c r="I445" s="30">
        <f>IFERROR(IF(OR(D445="",G445="",H445=""),"",ABS(PMT(G445%/12,H445,D445))),"")</f>
        <v/>
      </c>
      <c r="J445" s="26">
        <f>IF(B445="","","Active")</f>
        <v/>
      </c>
    </row>
    <row r="446">
      <c r="A446" s="42">
        <f>IF(B446="","","LN"&amp;TEXT(ROW()-2,"0000"))</f>
        <v/>
      </c>
      <c r="B446" s="43" t="n"/>
      <c r="C446" s="43">
        <f>IFERROR(IF(B446="","",VLOOKUP(B446,DATABASE!A:B,2,0)),"")</f>
        <v/>
      </c>
      <c r="D446" s="44" t="n"/>
      <c r="E446" s="45">
        <f>IF(B446="","",TODAY())</f>
        <v/>
      </c>
      <c r="F446" s="43" t="n"/>
      <c r="G446" s="43" t="n"/>
      <c r="H446" s="43" t="n"/>
      <c r="I446" s="44">
        <f>IFERROR(IF(OR(D446="",G446="",H446=""),"",ABS(PMT(G446%/12,H446,D446))),"")</f>
        <v/>
      </c>
      <c r="J446" s="43">
        <f>IF(B446="","","Active")</f>
        <v/>
      </c>
    </row>
    <row r="447">
      <c r="A447" s="41">
        <f>IF(B447="","","LN"&amp;TEXT(ROW()-2,"0000"))</f>
        <v/>
      </c>
      <c r="B447" s="26" t="n"/>
      <c r="C447" s="26">
        <f>IFERROR(IF(B447="","",VLOOKUP(B447,DATABASE!A:B,2,0)),"")</f>
        <v/>
      </c>
      <c r="D447" s="30" t="n"/>
      <c r="E447" s="31">
        <f>IF(B447="","",TODAY())</f>
        <v/>
      </c>
      <c r="F447" s="26" t="n"/>
      <c r="G447" s="26" t="n"/>
      <c r="H447" s="26" t="n"/>
      <c r="I447" s="30">
        <f>IFERROR(IF(OR(D447="",G447="",H447=""),"",ABS(PMT(G447%/12,H447,D447))),"")</f>
        <v/>
      </c>
      <c r="J447" s="26">
        <f>IF(B447="","","Active")</f>
        <v/>
      </c>
    </row>
    <row r="448">
      <c r="A448" s="42">
        <f>IF(B448="","","LN"&amp;TEXT(ROW()-2,"0000"))</f>
        <v/>
      </c>
      <c r="B448" s="43" t="n"/>
      <c r="C448" s="43">
        <f>IFERROR(IF(B448="","",VLOOKUP(B448,DATABASE!A:B,2,0)),"")</f>
        <v/>
      </c>
      <c r="D448" s="44" t="n"/>
      <c r="E448" s="45">
        <f>IF(B448="","",TODAY())</f>
        <v/>
      </c>
      <c r="F448" s="43" t="n"/>
      <c r="G448" s="43" t="n"/>
      <c r="H448" s="43" t="n"/>
      <c r="I448" s="44">
        <f>IFERROR(IF(OR(D448="",G448="",H448=""),"",ABS(PMT(G448%/12,H448,D448))),"")</f>
        <v/>
      </c>
      <c r="J448" s="43">
        <f>IF(B448="","","Active")</f>
        <v/>
      </c>
    </row>
    <row r="449">
      <c r="A449" s="41">
        <f>IF(B449="","","LN"&amp;TEXT(ROW()-2,"0000"))</f>
        <v/>
      </c>
      <c r="B449" s="26" t="n"/>
      <c r="C449" s="26">
        <f>IFERROR(IF(B449="","",VLOOKUP(B449,DATABASE!A:B,2,0)),"")</f>
        <v/>
      </c>
      <c r="D449" s="30" t="n"/>
      <c r="E449" s="31">
        <f>IF(B449="","",TODAY())</f>
        <v/>
      </c>
      <c r="F449" s="26" t="n"/>
      <c r="G449" s="26" t="n"/>
      <c r="H449" s="26" t="n"/>
      <c r="I449" s="30">
        <f>IFERROR(IF(OR(D449="",G449="",H449=""),"",ABS(PMT(G449%/12,H449,D449))),"")</f>
        <v/>
      </c>
      <c r="J449" s="26">
        <f>IF(B449="","","Active")</f>
        <v/>
      </c>
    </row>
    <row r="450">
      <c r="A450" s="42">
        <f>IF(B450="","","LN"&amp;TEXT(ROW()-2,"0000"))</f>
        <v/>
      </c>
      <c r="B450" s="43" t="n"/>
      <c r="C450" s="43">
        <f>IFERROR(IF(B450="","",VLOOKUP(B450,DATABASE!A:B,2,0)),"")</f>
        <v/>
      </c>
      <c r="D450" s="44" t="n"/>
      <c r="E450" s="45">
        <f>IF(B450="","",TODAY())</f>
        <v/>
      </c>
      <c r="F450" s="43" t="n"/>
      <c r="G450" s="43" t="n"/>
      <c r="H450" s="43" t="n"/>
      <c r="I450" s="44">
        <f>IFERROR(IF(OR(D450="",G450="",H450=""),"",ABS(PMT(G450%/12,H450,D450))),"")</f>
        <v/>
      </c>
      <c r="J450" s="43">
        <f>IF(B450="","","Active")</f>
        <v/>
      </c>
    </row>
    <row r="451">
      <c r="A451" s="41">
        <f>IF(B451="","","LN"&amp;TEXT(ROW()-2,"0000"))</f>
        <v/>
      </c>
      <c r="B451" s="26" t="n"/>
      <c r="C451" s="26">
        <f>IFERROR(IF(B451="","",VLOOKUP(B451,DATABASE!A:B,2,0)),"")</f>
        <v/>
      </c>
      <c r="D451" s="30" t="n"/>
      <c r="E451" s="31">
        <f>IF(B451="","",TODAY())</f>
        <v/>
      </c>
      <c r="F451" s="26" t="n"/>
      <c r="G451" s="26" t="n"/>
      <c r="H451" s="26" t="n"/>
      <c r="I451" s="30">
        <f>IFERROR(IF(OR(D451="",G451="",H451=""),"",ABS(PMT(G451%/12,H451,D451))),"")</f>
        <v/>
      </c>
      <c r="J451" s="26">
        <f>IF(B451="","","Active")</f>
        <v/>
      </c>
    </row>
    <row r="452">
      <c r="A452" s="42">
        <f>IF(B452="","","LN"&amp;TEXT(ROW()-2,"0000"))</f>
        <v/>
      </c>
      <c r="B452" s="43" t="n"/>
      <c r="C452" s="43">
        <f>IFERROR(IF(B452="","",VLOOKUP(B452,DATABASE!A:B,2,0)),"")</f>
        <v/>
      </c>
      <c r="D452" s="44" t="n"/>
      <c r="E452" s="45">
        <f>IF(B452="","",TODAY())</f>
        <v/>
      </c>
      <c r="F452" s="43" t="n"/>
      <c r="G452" s="43" t="n"/>
      <c r="H452" s="43" t="n"/>
      <c r="I452" s="44">
        <f>IFERROR(IF(OR(D452="",G452="",H452=""),"",ABS(PMT(G452%/12,H452,D452))),"")</f>
        <v/>
      </c>
      <c r="J452" s="43">
        <f>IF(B452="","","Active")</f>
        <v/>
      </c>
    </row>
    <row r="453">
      <c r="A453" s="41">
        <f>IF(B453="","","LN"&amp;TEXT(ROW()-2,"0000"))</f>
        <v/>
      </c>
      <c r="B453" s="26" t="n"/>
      <c r="C453" s="26">
        <f>IFERROR(IF(B453="","",VLOOKUP(B453,DATABASE!A:B,2,0)),"")</f>
        <v/>
      </c>
      <c r="D453" s="30" t="n"/>
      <c r="E453" s="31">
        <f>IF(B453="","",TODAY())</f>
        <v/>
      </c>
      <c r="F453" s="26" t="n"/>
      <c r="G453" s="26" t="n"/>
      <c r="H453" s="26" t="n"/>
      <c r="I453" s="30">
        <f>IFERROR(IF(OR(D453="",G453="",H453=""),"",ABS(PMT(G453%/12,H453,D453))),"")</f>
        <v/>
      </c>
      <c r="J453" s="26">
        <f>IF(B453="","","Active")</f>
        <v/>
      </c>
    </row>
    <row r="454">
      <c r="A454" s="42">
        <f>IF(B454="","","LN"&amp;TEXT(ROW()-2,"0000"))</f>
        <v/>
      </c>
      <c r="B454" s="43" t="n"/>
      <c r="C454" s="43">
        <f>IFERROR(IF(B454="","",VLOOKUP(B454,DATABASE!A:B,2,0)),"")</f>
        <v/>
      </c>
      <c r="D454" s="44" t="n"/>
      <c r="E454" s="45">
        <f>IF(B454="","",TODAY())</f>
        <v/>
      </c>
      <c r="F454" s="43" t="n"/>
      <c r="G454" s="43" t="n"/>
      <c r="H454" s="43" t="n"/>
      <c r="I454" s="44">
        <f>IFERROR(IF(OR(D454="",G454="",H454=""),"",ABS(PMT(G454%/12,H454,D454))),"")</f>
        <v/>
      </c>
      <c r="J454" s="43">
        <f>IF(B454="","","Active")</f>
        <v/>
      </c>
    </row>
    <row r="455">
      <c r="A455" s="41">
        <f>IF(B455="","","LN"&amp;TEXT(ROW()-2,"0000"))</f>
        <v/>
      </c>
      <c r="B455" s="26" t="n"/>
      <c r="C455" s="26">
        <f>IFERROR(IF(B455="","",VLOOKUP(B455,DATABASE!A:B,2,0)),"")</f>
        <v/>
      </c>
      <c r="D455" s="30" t="n"/>
      <c r="E455" s="31">
        <f>IF(B455="","",TODAY())</f>
        <v/>
      </c>
      <c r="F455" s="26" t="n"/>
      <c r="G455" s="26" t="n"/>
      <c r="H455" s="26" t="n"/>
      <c r="I455" s="30">
        <f>IFERROR(IF(OR(D455="",G455="",H455=""),"",ABS(PMT(G455%/12,H455,D455))),"")</f>
        <v/>
      </c>
      <c r="J455" s="26">
        <f>IF(B455="","","Active")</f>
        <v/>
      </c>
    </row>
    <row r="456">
      <c r="A456" s="42">
        <f>IF(B456="","","LN"&amp;TEXT(ROW()-2,"0000"))</f>
        <v/>
      </c>
      <c r="B456" s="43" t="n"/>
      <c r="C456" s="43">
        <f>IFERROR(IF(B456="","",VLOOKUP(B456,DATABASE!A:B,2,0)),"")</f>
        <v/>
      </c>
      <c r="D456" s="44" t="n"/>
      <c r="E456" s="45">
        <f>IF(B456="","",TODAY())</f>
        <v/>
      </c>
      <c r="F456" s="43" t="n"/>
      <c r="G456" s="43" t="n"/>
      <c r="H456" s="43" t="n"/>
      <c r="I456" s="44">
        <f>IFERROR(IF(OR(D456="",G456="",H456=""),"",ABS(PMT(G456%/12,H456,D456))),"")</f>
        <v/>
      </c>
      <c r="J456" s="43">
        <f>IF(B456="","","Active")</f>
        <v/>
      </c>
    </row>
    <row r="457">
      <c r="A457" s="41">
        <f>IF(B457="","","LN"&amp;TEXT(ROW()-2,"0000"))</f>
        <v/>
      </c>
      <c r="B457" s="26" t="n"/>
      <c r="C457" s="26">
        <f>IFERROR(IF(B457="","",VLOOKUP(B457,DATABASE!A:B,2,0)),"")</f>
        <v/>
      </c>
      <c r="D457" s="30" t="n"/>
      <c r="E457" s="31">
        <f>IF(B457="","",TODAY())</f>
        <v/>
      </c>
      <c r="F457" s="26" t="n"/>
      <c r="G457" s="26" t="n"/>
      <c r="H457" s="26" t="n"/>
      <c r="I457" s="30">
        <f>IFERROR(IF(OR(D457="",G457="",H457=""),"",ABS(PMT(G457%/12,H457,D457))),"")</f>
        <v/>
      </c>
      <c r="J457" s="26">
        <f>IF(B457="","","Active")</f>
        <v/>
      </c>
    </row>
    <row r="458">
      <c r="A458" s="42">
        <f>IF(B458="","","LN"&amp;TEXT(ROW()-2,"0000"))</f>
        <v/>
      </c>
      <c r="B458" s="43" t="n"/>
      <c r="C458" s="43">
        <f>IFERROR(IF(B458="","",VLOOKUP(B458,DATABASE!A:B,2,0)),"")</f>
        <v/>
      </c>
      <c r="D458" s="44" t="n"/>
      <c r="E458" s="45">
        <f>IF(B458="","",TODAY())</f>
        <v/>
      </c>
      <c r="F458" s="43" t="n"/>
      <c r="G458" s="43" t="n"/>
      <c r="H458" s="43" t="n"/>
      <c r="I458" s="44">
        <f>IFERROR(IF(OR(D458="",G458="",H458=""),"",ABS(PMT(G458%/12,H458,D458))),"")</f>
        <v/>
      </c>
      <c r="J458" s="43">
        <f>IF(B458="","","Active")</f>
        <v/>
      </c>
    </row>
    <row r="459">
      <c r="A459" s="41">
        <f>IF(B459="","","LN"&amp;TEXT(ROW()-2,"0000"))</f>
        <v/>
      </c>
      <c r="B459" s="26" t="n"/>
      <c r="C459" s="26">
        <f>IFERROR(IF(B459="","",VLOOKUP(B459,DATABASE!A:B,2,0)),"")</f>
        <v/>
      </c>
      <c r="D459" s="30" t="n"/>
      <c r="E459" s="31">
        <f>IF(B459="","",TODAY())</f>
        <v/>
      </c>
      <c r="F459" s="26" t="n"/>
      <c r="G459" s="26" t="n"/>
      <c r="H459" s="26" t="n"/>
      <c r="I459" s="30">
        <f>IFERROR(IF(OR(D459="",G459="",H459=""),"",ABS(PMT(G459%/12,H459,D459))),"")</f>
        <v/>
      </c>
      <c r="J459" s="26">
        <f>IF(B459="","","Active")</f>
        <v/>
      </c>
    </row>
    <row r="460">
      <c r="A460" s="42">
        <f>IF(B460="","","LN"&amp;TEXT(ROW()-2,"0000"))</f>
        <v/>
      </c>
      <c r="B460" s="43" t="n"/>
      <c r="C460" s="43">
        <f>IFERROR(IF(B460="","",VLOOKUP(B460,DATABASE!A:B,2,0)),"")</f>
        <v/>
      </c>
      <c r="D460" s="44" t="n"/>
      <c r="E460" s="45">
        <f>IF(B460="","",TODAY())</f>
        <v/>
      </c>
      <c r="F460" s="43" t="n"/>
      <c r="G460" s="43" t="n"/>
      <c r="H460" s="43" t="n"/>
      <c r="I460" s="44">
        <f>IFERROR(IF(OR(D460="",G460="",H460=""),"",ABS(PMT(G460%/12,H460,D460))),"")</f>
        <v/>
      </c>
      <c r="J460" s="43">
        <f>IF(B460="","","Active")</f>
        <v/>
      </c>
    </row>
    <row r="461">
      <c r="A461" s="41">
        <f>IF(B461="","","LN"&amp;TEXT(ROW()-2,"0000"))</f>
        <v/>
      </c>
      <c r="B461" s="26" t="n"/>
      <c r="C461" s="26">
        <f>IFERROR(IF(B461="","",VLOOKUP(B461,DATABASE!A:B,2,0)),"")</f>
        <v/>
      </c>
      <c r="D461" s="30" t="n"/>
      <c r="E461" s="31">
        <f>IF(B461="","",TODAY())</f>
        <v/>
      </c>
      <c r="F461" s="26" t="n"/>
      <c r="G461" s="26" t="n"/>
      <c r="H461" s="26" t="n"/>
      <c r="I461" s="30">
        <f>IFERROR(IF(OR(D461="",G461="",H461=""),"",ABS(PMT(G461%/12,H461,D461))),"")</f>
        <v/>
      </c>
      <c r="J461" s="26">
        <f>IF(B461="","","Active")</f>
        <v/>
      </c>
    </row>
    <row r="462">
      <c r="A462" s="42">
        <f>IF(B462="","","LN"&amp;TEXT(ROW()-2,"0000"))</f>
        <v/>
      </c>
      <c r="B462" s="43" t="n"/>
      <c r="C462" s="43">
        <f>IFERROR(IF(B462="","",VLOOKUP(B462,DATABASE!A:B,2,0)),"")</f>
        <v/>
      </c>
      <c r="D462" s="44" t="n"/>
      <c r="E462" s="45">
        <f>IF(B462="","",TODAY())</f>
        <v/>
      </c>
      <c r="F462" s="43" t="n"/>
      <c r="G462" s="43" t="n"/>
      <c r="H462" s="43" t="n"/>
      <c r="I462" s="44">
        <f>IFERROR(IF(OR(D462="",G462="",H462=""),"",ABS(PMT(G462%/12,H462,D462))),"")</f>
        <v/>
      </c>
      <c r="J462" s="43">
        <f>IF(B462="","","Active")</f>
        <v/>
      </c>
    </row>
    <row r="463">
      <c r="A463" s="41">
        <f>IF(B463="","","LN"&amp;TEXT(ROW()-2,"0000"))</f>
        <v/>
      </c>
      <c r="B463" s="26" t="n"/>
      <c r="C463" s="26">
        <f>IFERROR(IF(B463="","",VLOOKUP(B463,DATABASE!A:B,2,0)),"")</f>
        <v/>
      </c>
      <c r="D463" s="30" t="n"/>
      <c r="E463" s="31">
        <f>IF(B463="","",TODAY())</f>
        <v/>
      </c>
      <c r="F463" s="26" t="n"/>
      <c r="G463" s="26" t="n"/>
      <c r="H463" s="26" t="n"/>
      <c r="I463" s="30">
        <f>IFERROR(IF(OR(D463="",G463="",H463=""),"",ABS(PMT(G463%/12,H463,D463))),"")</f>
        <v/>
      </c>
      <c r="J463" s="26">
        <f>IF(B463="","","Active")</f>
        <v/>
      </c>
    </row>
    <row r="464">
      <c r="A464" s="42">
        <f>IF(B464="","","LN"&amp;TEXT(ROW()-2,"0000"))</f>
        <v/>
      </c>
      <c r="B464" s="43" t="n"/>
      <c r="C464" s="43">
        <f>IFERROR(IF(B464="","",VLOOKUP(B464,DATABASE!A:B,2,0)),"")</f>
        <v/>
      </c>
      <c r="D464" s="44" t="n"/>
      <c r="E464" s="45">
        <f>IF(B464="","",TODAY())</f>
        <v/>
      </c>
      <c r="F464" s="43" t="n"/>
      <c r="G464" s="43" t="n"/>
      <c r="H464" s="43" t="n"/>
      <c r="I464" s="44">
        <f>IFERROR(IF(OR(D464="",G464="",H464=""),"",ABS(PMT(G464%/12,H464,D464))),"")</f>
        <v/>
      </c>
      <c r="J464" s="43">
        <f>IF(B464="","","Active")</f>
        <v/>
      </c>
    </row>
    <row r="465">
      <c r="A465" s="41">
        <f>IF(B465="","","LN"&amp;TEXT(ROW()-2,"0000"))</f>
        <v/>
      </c>
      <c r="B465" s="26" t="n"/>
      <c r="C465" s="26">
        <f>IFERROR(IF(B465="","",VLOOKUP(B465,DATABASE!A:B,2,0)),"")</f>
        <v/>
      </c>
      <c r="D465" s="30" t="n"/>
      <c r="E465" s="31">
        <f>IF(B465="","",TODAY())</f>
        <v/>
      </c>
      <c r="F465" s="26" t="n"/>
      <c r="G465" s="26" t="n"/>
      <c r="H465" s="26" t="n"/>
      <c r="I465" s="30">
        <f>IFERROR(IF(OR(D465="",G465="",H465=""),"",ABS(PMT(G465%/12,H465,D465))),"")</f>
        <v/>
      </c>
      <c r="J465" s="26">
        <f>IF(B465="","","Active")</f>
        <v/>
      </c>
    </row>
    <row r="466">
      <c r="A466" s="42">
        <f>IF(B466="","","LN"&amp;TEXT(ROW()-2,"0000"))</f>
        <v/>
      </c>
      <c r="B466" s="43" t="n"/>
      <c r="C466" s="43">
        <f>IFERROR(IF(B466="","",VLOOKUP(B466,DATABASE!A:B,2,0)),"")</f>
        <v/>
      </c>
      <c r="D466" s="44" t="n"/>
      <c r="E466" s="45">
        <f>IF(B466="","",TODAY())</f>
        <v/>
      </c>
      <c r="F466" s="43" t="n"/>
      <c r="G466" s="43" t="n"/>
      <c r="H466" s="43" t="n"/>
      <c r="I466" s="44">
        <f>IFERROR(IF(OR(D466="",G466="",H466=""),"",ABS(PMT(G466%/12,H466,D466))),"")</f>
        <v/>
      </c>
      <c r="J466" s="43">
        <f>IF(B466="","","Active")</f>
        <v/>
      </c>
    </row>
    <row r="467">
      <c r="A467" s="41">
        <f>IF(B467="","","LN"&amp;TEXT(ROW()-2,"0000"))</f>
        <v/>
      </c>
      <c r="B467" s="26" t="n"/>
      <c r="C467" s="26">
        <f>IFERROR(IF(B467="","",VLOOKUP(B467,DATABASE!A:B,2,0)),"")</f>
        <v/>
      </c>
      <c r="D467" s="30" t="n"/>
      <c r="E467" s="31">
        <f>IF(B467="","",TODAY())</f>
        <v/>
      </c>
      <c r="F467" s="26" t="n"/>
      <c r="G467" s="26" t="n"/>
      <c r="H467" s="26" t="n"/>
      <c r="I467" s="30">
        <f>IFERROR(IF(OR(D467="",G467="",H467=""),"",ABS(PMT(G467%/12,H467,D467))),"")</f>
        <v/>
      </c>
      <c r="J467" s="26">
        <f>IF(B467="","","Active")</f>
        <v/>
      </c>
    </row>
    <row r="468">
      <c r="A468" s="42">
        <f>IF(B468="","","LN"&amp;TEXT(ROW()-2,"0000"))</f>
        <v/>
      </c>
      <c r="B468" s="43" t="n"/>
      <c r="C468" s="43">
        <f>IFERROR(IF(B468="","",VLOOKUP(B468,DATABASE!A:B,2,0)),"")</f>
        <v/>
      </c>
      <c r="D468" s="44" t="n"/>
      <c r="E468" s="45">
        <f>IF(B468="","",TODAY())</f>
        <v/>
      </c>
      <c r="F468" s="43" t="n"/>
      <c r="G468" s="43" t="n"/>
      <c r="H468" s="43" t="n"/>
      <c r="I468" s="44">
        <f>IFERROR(IF(OR(D468="",G468="",H468=""),"",ABS(PMT(G468%/12,H468,D468))),"")</f>
        <v/>
      </c>
      <c r="J468" s="43">
        <f>IF(B468="","","Active")</f>
        <v/>
      </c>
    </row>
    <row r="469">
      <c r="A469" s="41">
        <f>IF(B469="","","LN"&amp;TEXT(ROW()-2,"0000"))</f>
        <v/>
      </c>
      <c r="B469" s="26" t="n"/>
      <c r="C469" s="26">
        <f>IFERROR(IF(B469="","",VLOOKUP(B469,DATABASE!A:B,2,0)),"")</f>
        <v/>
      </c>
      <c r="D469" s="30" t="n"/>
      <c r="E469" s="31">
        <f>IF(B469="","",TODAY())</f>
        <v/>
      </c>
      <c r="F469" s="26" t="n"/>
      <c r="G469" s="26" t="n"/>
      <c r="H469" s="26" t="n"/>
      <c r="I469" s="30">
        <f>IFERROR(IF(OR(D469="",G469="",H469=""),"",ABS(PMT(G469%/12,H469,D469))),"")</f>
        <v/>
      </c>
      <c r="J469" s="26">
        <f>IF(B469="","","Active")</f>
        <v/>
      </c>
    </row>
    <row r="470">
      <c r="A470" s="42">
        <f>IF(B470="","","LN"&amp;TEXT(ROW()-2,"0000"))</f>
        <v/>
      </c>
      <c r="B470" s="43" t="n"/>
      <c r="C470" s="43">
        <f>IFERROR(IF(B470="","",VLOOKUP(B470,DATABASE!A:B,2,0)),"")</f>
        <v/>
      </c>
      <c r="D470" s="44" t="n"/>
      <c r="E470" s="45">
        <f>IF(B470="","",TODAY())</f>
        <v/>
      </c>
      <c r="F470" s="43" t="n"/>
      <c r="G470" s="43" t="n"/>
      <c r="H470" s="43" t="n"/>
      <c r="I470" s="44">
        <f>IFERROR(IF(OR(D470="",G470="",H470=""),"",ABS(PMT(G470%/12,H470,D470))),"")</f>
        <v/>
      </c>
      <c r="J470" s="43">
        <f>IF(B470="","","Active")</f>
        <v/>
      </c>
    </row>
    <row r="471">
      <c r="A471" s="41">
        <f>IF(B471="","","LN"&amp;TEXT(ROW()-2,"0000"))</f>
        <v/>
      </c>
      <c r="B471" s="26" t="n"/>
      <c r="C471" s="26">
        <f>IFERROR(IF(B471="","",VLOOKUP(B471,DATABASE!A:B,2,0)),"")</f>
        <v/>
      </c>
      <c r="D471" s="30" t="n"/>
      <c r="E471" s="31">
        <f>IF(B471="","",TODAY())</f>
        <v/>
      </c>
      <c r="F471" s="26" t="n"/>
      <c r="G471" s="26" t="n"/>
      <c r="H471" s="26" t="n"/>
      <c r="I471" s="30">
        <f>IFERROR(IF(OR(D471="",G471="",H471=""),"",ABS(PMT(G471%/12,H471,D471))),"")</f>
        <v/>
      </c>
      <c r="J471" s="26">
        <f>IF(B471="","","Active")</f>
        <v/>
      </c>
    </row>
    <row r="472">
      <c r="A472" s="42">
        <f>IF(B472="","","LN"&amp;TEXT(ROW()-2,"0000"))</f>
        <v/>
      </c>
      <c r="B472" s="43" t="n"/>
      <c r="C472" s="43">
        <f>IFERROR(IF(B472="","",VLOOKUP(B472,DATABASE!A:B,2,0)),"")</f>
        <v/>
      </c>
      <c r="D472" s="44" t="n"/>
      <c r="E472" s="45">
        <f>IF(B472="","",TODAY())</f>
        <v/>
      </c>
      <c r="F472" s="43" t="n"/>
      <c r="G472" s="43" t="n"/>
      <c r="H472" s="43" t="n"/>
      <c r="I472" s="44">
        <f>IFERROR(IF(OR(D472="",G472="",H472=""),"",ABS(PMT(G472%/12,H472,D472))),"")</f>
        <v/>
      </c>
      <c r="J472" s="43">
        <f>IF(B472="","","Active")</f>
        <v/>
      </c>
    </row>
    <row r="473">
      <c r="A473" s="41">
        <f>IF(B473="","","LN"&amp;TEXT(ROW()-2,"0000"))</f>
        <v/>
      </c>
      <c r="B473" s="26" t="n"/>
      <c r="C473" s="26">
        <f>IFERROR(IF(B473="","",VLOOKUP(B473,DATABASE!A:B,2,0)),"")</f>
        <v/>
      </c>
      <c r="D473" s="30" t="n"/>
      <c r="E473" s="31">
        <f>IF(B473="","",TODAY())</f>
        <v/>
      </c>
      <c r="F473" s="26" t="n"/>
      <c r="G473" s="26" t="n"/>
      <c r="H473" s="26" t="n"/>
      <c r="I473" s="30">
        <f>IFERROR(IF(OR(D473="",G473="",H473=""),"",ABS(PMT(G473%/12,H473,D473))),"")</f>
        <v/>
      </c>
      <c r="J473" s="26">
        <f>IF(B473="","","Active")</f>
        <v/>
      </c>
    </row>
    <row r="474">
      <c r="A474" s="42">
        <f>IF(B474="","","LN"&amp;TEXT(ROW()-2,"0000"))</f>
        <v/>
      </c>
      <c r="B474" s="43" t="n"/>
      <c r="C474" s="43">
        <f>IFERROR(IF(B474="","",VLOOKUP(B474,DATABASE!A:B,2,0)),"")</f>
        <v/>
      </c>
      <c r="D474" s="44" t="n"/>
      <c r="E474" s="45">
        <f>IF(B474="","",TODAY())</f>
        <v/>
      </c>
      <c r="F474" s="43" t="n"/>
      <c r="G474" s="43" t="n"/>
      <c r="H474" s="43" t="n"/>
      <c r="I474" s="44">
        <f>IFERROR(IF(OR(D474="",G474="",H474=""),"",ABS(PMT(G474%/12,H474,D474))),"")</f>
        <v/>
      </c>
      <c r="J474" s="43">
        <f>IF(B474="","","Active")</f>
        <v/>
      </c>
    </row>
    <row r="475">
      <c r="A475" s="41">
        <f>IF(B475="","","LN"&amp;TEXT(ROW()-2,"0000"))</f>
        <v/>
      </c>
      <c r="B475" s="26" t="n"/>
      <c r="C475" s="26">
        <f>IFERROR(IF(B475="","",VLOOKUP(B475,DATABASE!A:B,2,0)),"")</f>
        <v/>
      </c>
      <c r="D475" s="30" t="n"/>
      <c r="E475" s="31">
        <f>IF(B475="","",TODAY())</f>
        <v/>
      </c>
      <c r="F475" s="26" t="n"/>
      <c r="G475" s="26" t="n"/>
      <c r="H475" s="26" t="n"/>
      <c r="I475" s="30">
        <f>IFERROR(IF(OR(D475="",G475="",H475=""),"",ABS(PMT(G475%/12,H475,D475))),"")</f>
        <v/>
      </c>
      <c r="J475" s="26">
        <f>IF(B475="","","Active")</f>
        <v/>
      </c>
    </row>
    <row r="476">
      <c r="A476" s="42">
        <f>IF(B476="","","LN"&amp;TEXT(ROW()-2,"0000"))</f>
        <v/>
      </c>
      <c r="B476" s="43" t="n"/>
      <c r="C476" s="43">
        <f>IFERROR(IF(B476="","",VLOOKUP(B476,DATABASE!A:B,2,0)),"")</f>
        <v/>
      </c>
      <c r="D476" s="44" t="n"/>
      <c r="E476" s="45">
        <f>IF(B476="","",TODAY())</f>
        <v/>
      </c>
      <c r="F476" s="43" t="n"/>
      <c r="G476" s="43" t="n"/>
      <c r="H476" s="43" t="n"/>
      <c r="I476" s="44">
        <f>IFERROR(IF(OR(D476="",G476="",H476=""),"",ABS(PMT(G476%/12,H476,D476))),"")</f>
        <v/>
      </c>
      <c r="J476" s="43">
        <f>IF(B476="","","Active")</f>
        <v/>
      </c>
    </row>
    <row r="477">
      <c r="A477" s="41">
        <f>IF(B477="","","LN"&amp;TEXT(ROW()-2,"0000"))</f>
        <v/>
      </c>
      <c r="B477" s="26" t="n"/>
      <c r="C477" s="26">
        <f>IFERROR(IF(B477="","",VLOOKUP(B477,DATABASE!A:B,2,0)),"")</f>
        <v/>
      </c>
      <c r="D477" s="30" t="n"/>
      <c r="E477" s="31">
        <f>IF(B477="","",TODAY())</f>
        <v/>
      </c>
      <c r="F477" s="26" t="n"/>
      <c r="G477" s="26" t="n"/>
      <c r="H477" s="26" t="n"/>
      <c r="I477" s="30">
        <f>IFERROR(IF(OR(D477="",G477="",H477=""),"",ABS(PMT(G477%/12,H477,D477))),"")</f>
        <v/>
      </c>
      <c r="J477" s="26">
        <f>IF(B477="","","Active")</f>
        <v/>
      </c>
    </row>
    <row r="478">
      <c r="A478" s="42">
        <f>IF(B478="","","LN"&amp;TEXT(ROW()-2,"0000"))</f>
        <v/>
      </c>
      <c r="B478" s="43" t="n"/>
      <c r="C478" s="43">
        <f>IFERROR(IF(B478="","",VLOOKUP(B478,DATABASE!A:B,2,0)),"")</f>
        <v/>
      </c>
      <c r="D478" s="44" t="n"/>
      <c r="E478" s="45">
        <f>IF(B478="","",TODAY())</f>
        <v/>
      </c>
      <c r="F478" s="43" t="n"/>
      <c r="G478" s="43" t="n"/>
      <c r="H478" s="43" t="n"/>
      <c r="I478" s="44">
        <f>IFERROR(IF(OR(D478="",G478="",H478=""),"",ABS(PMT(G478%/12,H478,D478))),"")</f>
        <v/>
      </c>
      <c r="J478" s="43">
        <f>IF(B478="","","Active")</f>
        <v/>
      </c>
    </row>
    <row r="479">
      <c r="A479" s="41">
        <f>IF(B479="","","LN"&amp;TEXT(ROW()-2,"0000"))</f>
        <v/>
      </c>
      <c r="B479" s="26" t="n"/>
      <c r="C479" s="26">
        <f>IFERROR(IF(B479="","",VLOOKUP(B479,DATABASE!A:B,2,0)),"")</f>
        <v/>
      </c>
      <c r="D479" s="30" t="n"/>
      <c r="E479" s="31">
        <f>IF(B479="","",TODAY())</f>
        <v/>
      </c>
      <c r="F479" s="26" t="n"/>
      <c r="G479" s="26" t="n"/>
      <c r="H479" s="26" t="n"/>
      <c r="I479" s="30">
        <f>IFERROR(IF(OR(D479="",G479="",H479=""),"",ABS(PMT(G479%/12,H479,D479))),"")</f>
        <v/>
      </c>
      <c r="J479" s="26">
        <f>IF(B479="","","Active")</f>
        <v/>
      </c>
    </row>
    <row r="480">
      <c r="A480" s="42">
        <f>IF(B480="","","LN"&amp;TEXT(ROW()-2,"0000"))</f>
        <v/>
      </c>
      <c r="B480" s="43" t="n"/>
      <c r="C480" s="43">
        <f>IFERROR(IF(B480="","",VLOOKUP(B480,DATABASE!A:B,2,0)),"")</f>
        <v/>
      </c>
      <c r="D480" s="44" t="n"/>
      <c r="E480" s="45">
        <f>IF(B480="","",TODAY())</f>
        <v/>
      </c>
      <c r="F480" s="43" t="n"/>
      <c r="G480" s="43" t="n"/>
      <c r="H480" s="43" t="n"/>
      <c r="I480" s="44">
        <f>IFERROR(IF(OR(D480="",G480="",H480=""),"",ABS(PMT(G480%/12,H480,D480))),"")</f>
        <v/>
      </c>
      <c r="J480" s="43">
        <f>IF(B480="","","Active")</f>
        <v/>
      </c>
    </row>
    <row r="481">
      <c r="A481" s="41">
        <f>IF(B481="","","LN"&amp;TEXT(ROW()-2,"0000"))</f>
        <v/>
      </c>
      <c r="B481" s="26" t="n"/>
      <c r="C481" s="26">
        <f>IFERROR(IF(B481="","",VLOOKUP(B481,DATABASE!A:B,2,0)),"")</f>
        <v/>
      </c>
      <c r="D481" s="30" t="n"/>
      <c r="E481" s="31">
        <f>IF(B481="","",TODAY())</f>
        <v/>
      </c>
      <c r="F481" s="26" t="n"/>
      <c r="G481" s="26" t="n"/>
      <c r="H481" s="26" t="n"/>
      <c r="I481" s="30">
        <f>IFERROR(IF(OR(D481="",G481="",H481=""),"",ABS(PMT(G481%/12,H481,D481))),"")</f>
        <v/>
      </c>
      <c r="J481" s="26">
        <f>IF(B481="","","Active")</f>
        <v/>
      </c>
    </row>
    <row r="482">
      <c r="A482" s="42">
        <f>IF(B482="","","LN"&amp;TEXT(ROW()-2,"0000"))</f>
        <v/>
      </c>
      <c r="B482" s="43" t="n"/>
      <c r="C482" s="43">
        <f>IFERROR(IF(B482="","",VLOOKUP(B482,DATABASE!A:B,2,0)),"")</f>
        <v/>
      </c>
      <c r="D482" s="44" t="n"/>
      <c r="E482" s="45">
        <f>IF(B482="","",TODAY())</f>
        <v/>
      </c>
      <c r="F482" s="43" t="n"/>
      <c r="G482" s="43" t="n"/>
      <c r="H482" s="43" t="n"/>
      <c r="I482" s="44">
        <f>IFERROR(IF(OR(D482="",G482="",H482=""),"",ABS(PMT(G482%/12,H482,D482))),"")</f>
        <v/>
      </c>
      <c r="J482" s="43">
        <f>IF(B482="","","Active")</f>
        <v/>
      </c>
    </row>
    <row r="483">
      <c r="A483" s="41">
        <f>IF(B483="","","LN"&amp;TEXT(ROW()-2,"0000"))</f>
        <v/>
      </c>
      <c r="B483" s="26" t="n"/>
      <c r="C483" s="26">
        <f>IFERROR(IF(B483="","",VLOOKUP(B483,DATABASE!A:B,2,0)),"")</f>
        <v/>
      </c>
      <c r="D483" s="30" t="n"/>
      <c r="E483" s="31">
        <f>IF(B483="","",TODAY())</f>
        <v/>
      </c>
      <c r="F483" s="26" t="n"/>
      <c r="G483" s="26" t="n"/>
      <c r="H483" s="26" t="n"/>
      <c r="I483" s="30">
        <f>IFERROR(IF(OR(D483="",G483="",H483=""),"",ABS(PMT(G483%/12,H483,D483))),"")</f>
        <v/>
      </c>
      <c r="J483" s="26">
        <f>IF(B483="","","Active")</f>
        <v/>
      </c>
    </row>
    <row r="484">
      <c r="A484" s="42">
        <f>IF(B484="","","LN"&amp;TEXT(ROW()-2,"0000"))</f>
        <v/>
      </c>
      <c r="B484" s="43" t="n"/>
      <c r="C484" s="43">
        <f>IFERROR(IF(B484="","",VLOOKUP(B484,DATABASE!A:B,2,0)),"")</f>
        <v/>
      </c>
      <c r="D484" s="44" t="n"/>
      <c r="E484" s="45">
        <f>IF(B484="","",TODAY())</f>
        <v/>
      </c>
      <c r="F484" s="43" t="n"/>
      <c r="G484" s="43" t="n"/>
      <c r="H484" s="43" t="n"/>
      <c r="I484" s="44">
        <f>IFERROR(IF(OR(D484="",G484="",H484=""),"",ABS(PMT(G484%/12,H484,D484))),"")</f>
        <v/>
      </c>
      <c r="J484" s="43">
        <f>IF(B484="","","Active")</f>
        <v/>
      </c>
    </row>
    <row r="485">
      <c r="A485" s="41">
        <f>IF(B485="","","LN"&amp;TEXT(ROW()-2,"0000"))</f>
        <v/>
      </c>
      <c r="B485" s="26" t="n"/>
      <c r="C485" s="26">
        <f>IFERROR(IF(B485="","",VLOOKUP(B485,DATABASE!A:B,2,0)),"")</f>
        <v/>
      </c>
      <c r="D485" s="30" t="n"/>
      <c r="E485" s="31">
        <f>IF(B485="","",TODAY())</f>
        <v/>
      </c>
      <c r="F485" s="26" t="n"/>
      <c r="G485" s="26" t="n"/>
      <c r="H485" s="26" t="n"/>
      <c r="I485" s="30">
        <f>IFERROR(IF(OR(D485="",G485="",H485=""),"",ABS(PMT(G485%/12,H485,D485))),"")</f>
        <v/>
      </c>
      <c r="J485" s="26">
        <f>IF(B485="","","Active")</f>
        <v/>
      </c>
    </row>
    <row r="486">
      <c r="A486" s="42">
        <f>IF(B486="","","LN"&amp;TEXT(ROW()-2,"0000"))</f>
        <v/>
      </c>
      <c r="B486" s="43" t="n"/>
      <c r="C486" s="43">
        <f>IFERROR(IF(B486="","",VLOOKUP(B486,DATABASE!A:B,2,0)),"")</f>
        <v/>
      </c>
      <c r="D486" s="44" t="n"/>
      <c r="E486" s="45">
        <f>IF(B486="","",TODAY())</f>
        <v/>
      </c>
      <c r="F486" s="43" t="n"/>
      <c r="G486" s="43" t="n"/>
      <c r="H486" s="43" t="n"/>
      <c r="I486" s="44">
        <f>IFERROR(IF(OR(D486="",G486="",H486=""),"",ABS(PMT(G486%/12,H486,D486))),"")</f>
        <v/>
      </c>
      <c r="J486" s="43">
        <f>IF(B486="","","Active")</f>
        <v/>
      </c>
    </row>
    <row r="487">
      <c r="A487" s="41">
        <f>IF(B487="","","LN"&amp;TEXT(ROW()-2,"0000"))</f>
        <v/>
      </c>
      <c r="B487" s="26" t="n"/>
      <c r="C487" s="26">
        <f>IFERROR(IF(B487="","",VLOOKUP(B487,DATABASE!A:B,2,0)),"")</f>
        <v/>
      </c>
      <c r="D487" s="30" t="n"/>
      <c r="E487" s="31">
        <f>IF(B487="","",TODAY())</f>
        <v/>
      </c>
      <c r="F487" s="26" t="n"/>
      <c r="G487" s="26" t="n"/>
      <c r="H487" s="26" t="n"/>
      <c r="I487" s="30">
        <f>IFERROR(IF(OR(D487="",G487="",H487=""),"",ABS(PMT(G487%/12,H487,D487))),"")</f>
        <v/>
      </c>
      <c r="J487" s="26">
        <f>IF(B487="","","Active")</f>
        <v/>
      </c>
    </row>
    <row r="488">
      <c r="A488" s="42">
        <f>IF(B488="","","LN"&amp;TEXT(ROW()-2,"0000"))</f>
        <v/>
      </c>
      <c r="B488" s="43" t="n"/>
      <c r="C488" s="43">
        <f>IFERROR(IF(B488="","",VLOOKUP(B488,DATABASE!A:B,2,0)),"")</f>
        <v/>
      </c>
      <c r="D488" s="44" t="n"/>
      <c r="E488" s="45">
        <f>IF(B488="","",TODAY())</f>
        <v/>
      </c>
      <c r="F488" s="43" t="n"/>
      <c r="G488" s="43" t="n"/>
      <c r="H488" s="43" t="n"/>
      <c r="I488" s="44">
        <f>IFERROR(IF(OR(D488="",G488="",H488=""),"",ABS(PMT(G488%/12,H488,D488))),"")</f>
        <v/>
      </c>
      <c r="J488" s="43">
        <f>IF(B488="","","Active")</f>
        <v/>
      </c>
    </row>
    <row r="489">
      <c r="A489" s="41">
        <f>IF(B489="","","LN"&amp;TEXT(ROW()-2,"0000"))</f>
        <v/>
      </c>
      <c r="B489" s="26" t="n"/>
      <c r="C489" s="26">
        <f>IFERROR(IF(B489="","",VLOOKUP(B489,DATABASE!A:B,2,0)),"")</f>
        <v/>
      </c>
      <c r="D489" s="30" t="n"/>
      <c r="E489" s="31">
        <f>IF(B489="","",TODAY())</f>
        <v/>
      </c>
      <c r="F489" s="26" t="n"/>
      <c r="G489" s="26" t="n"/>
      <c r="H489" s="26" t="n"/>
      <c r="I489" s="30">
        <f>IFERROR(IF(OR(D489="",G489="",H489=""),"",ABS(PMT(G489%/12,H489,D489))),"")</f>
        <v/>
      </c>
      <c r="J489" s="26">
        <f>IF(B489="","","Active")</f>
        <v/>
      </c>
    </row>
    <row r="490">
      <c r="A490" s="42">
        <f>IF(B490="","","LN"&amp;TEXT(ROW()-2,"0000"))</f>
        <v/>
      </c>
      <c r="B490" s="43" t="n"/>
      <c r="C490" s="43">
        <f>IFERROR(IF(B490="","",VLOOKUP(B490,DATABASE!A:B,2,0)),"")</f>
        <v/>
      </c>
      <c r="D490" s="44" t="n"/>
      <c r="E490" s="45">
        <f>IF(B490="","",TODAY())</f>
        <v/>
      </c>
      <c r="F490" s="43" t="n"/>
      <c r="G490" s="43" t="n"/>
      <c r="H490" s="43" t="n"/>
      <c r="I490" s="44">
        <f>IFERROR(IF(OR(D490="",G490="",H490=""),"",ABS(PMT(G490%/12,H490,D490))),"")</f>
        <v/>
      </c>
      <c r="J490" s="43">
        <f>IF(B490="","","Active")</f>
        <v/>
      </c>
    </row>
    <row r="491">
      <c r="A491" s="41">
        <f>IF(B491="","","LN"&amp;TEXT(ROW()-2,"0000"))</f>
        <v/>
      </c>
      <c r="B491" s="26" t="n"/>
      <c r="C491" s="26">
        <f>IFERROR(IF(B491="","",VLOOKUP(B491,DATABASE!A:B,2,0)),"")</f>
        <v/>
      </c>
      <c r="D491" s="30" t="n"/>
      <c r="E491" s="31">
        <f>IF(B491="","",TODAY())</f>
        <v/>
      </c>
      <c r="F491" s="26" t="n"/>
      <c r="G491" s="26" t="n"/>
      <c r="H491" s="26" t="n"/>
      <c r="I491" s="30">
        <f>IFERROR(IF(OR(D491="",G491="",H491=""),"",ABS(PMT(G491%/12,H491,D491))),"")</f>
        <v/>
      </c>
      <c r="J491" s="26">
        <f>IF(B491="","","Active")</f>
        <v/>
      </c>
    </row>
    <row r="492">
      <c r="A492" s="42">
        <f>IF(B492="","","LN"&amp;TEXT(ROW()-2,"0000"))</f>
        <v/>
      </c>
      <c r="B492" s="43" t="n"/>
      <c r="C492" s="43">
        <f>IFERROR(IF(B492="","",VLOOKUP(B492,DATABASE!A:B,2,0)),"")</f>
        <v/>
      </c>
      <c r="D492" s="44" t="n"/>
      <c r="E492" s="45">
        <f>IF(B492="","",TODAY())</f>
        <v/>
      </c>
      <c r="F492" s="43" t="n"/>
      <c r="G492" s="43" t="n"/>
      <c r="H492" s="43" t="n"/>
      <c r="I492" s="44">
        <f>IFERROR(IF(OR(D492="",G492="",H492=""),"",ABS(PMT(G492%/12,H492,D492))),"")</f>
        <v/>
      </c>
      <c r="J492" s="43">
        <f>IF(B492="","","Active")</f>
        <v/>
      </c>
    </row>
    <row r="493">
      <c r="A493" s="41">
        <f>IF(B493="","","LN"&amp;TEXT(ROW()-2,"0000"))</f>
        <v/>
      </c>
      <c r="B493" s="26" t="n"/>
      <c r="C493" s="26">
        <f>IFERROR(IF(B493="","",VLOOKUP(B493,DATABASE!A:B,2,0)),"")</f>
        <v/>
      </c>
      <c r="D493" s="30" t="n"/>
      <c r="E493" s="31">
        <f>IF(B493="","",TODAY())</f>
        <v/>
      </c>
      <c r="F493" s="26" t="n"/>
      <c r="G493" s="26" t="n"/>
      <c r="H493" s="26" t="n"/>
      <c r="I493" s="30">
        <f>IFERROR(IF(OR(D493="",G493="",H493=""),"",ABS(PMT(G493%/12,H493,D493))),"")</f>
        <v/>
      </c>
      <c r="J493" s="26">
        <f>IF(B493="","","Active")</f>
        <v/>
      </c>
    </row>
    <row r="494">
      <c r="A494" s="42">
        <f>IF(B494="","","LN"&amp;TEXT(ROW()-2,"0000"))</f>
        <v/>
      </c>
      <c r="B494" s="43" t="n"/>
      <c r="C494" s="43">
        <f>IFERROR(IF(B494="","",VLOOKUP(B494,DATABASE!A:B,2,0)),"")</f>
        <v/>
      </c>
      <c r="D494" s="44" t="n"/>
      <c r="E494" s="45">
        <f>IF(B494="","",TODAY())</f>
        <v/>
      </c>
      <c r="F494" s="43" t="n"/>
      <c r="G494" s="43" t="n"/>
      <c r="H494" s="43" t="n"/>
      <c r="I494" s="44">
        <f>IFERROR(IF(OR(D494="",G494="",H494=""),"",ABS(PMT(G494%/12,H494,D494))),"")</f>
        <v/>
      </c>
      <c r="J494" s="43">
        <f>IF(B494="","","Active")</f>
        <v/>
      </c>
    </row>
    <row r="495">
      <c r="A495" s="41">
        <f>IF(B495="","","LN"&amp;TEXT(ROW()-2,"0000"))</f>
        <v/>
      </c>
      <c r="B495" s="26" t="n"/>
      <c r="C495" s="26">
        <f>IFERROR(IF(B495="","",VLOOKUP(B495,DATABASE!A:B,2,0)),"")</f>
        <v/>
      </c>
      <c r="D495" s="30" t="n"/>
      <c r="E495" s="31">
        <f>IF(B495="","",TODAY())</f>
        <v/>
      </c>
      <c r="F495" s="26" t="n"/>
      <c r="G495" s="26" t="n"/>
      <c r="H495" s="26" t="n"/>
      <c r="I495" s="30">
        <f>IFERROR(IF(OR(D495="",G495="",H495=""),"",ABS(PMT(G495%/12,H495,D495))),"")</f>
        <v/>
      </c>
      <c r="J495" s="26">
        <f>IF(B495="","","Active")</f>
        <v/>
      </c>
    </row>
    <row r="496">
      <c r="A496" s="42">
        <f>IF(B496="","","LN"&amp;TEXT(ROW()-2,"0000"))</f>
        <v/>
      </c>
      <c r="B496" s="43" t="n"/>
      <c r="C496" s="43">
        <f>IFERROR(IF(B496="","",VLOOKUP(B496,DATABASE!A:B,2,0)),"")</f>
        <v/>
      </c>
      <c r="D496" s="44" t="n"/>
      <c r="E496" s="45">
        <f>IF(B496="","",TODAY())</f>
        <v/>
      </c>
      <c r="F496" s="43" t="n"/>
      <c r="G496" s="43" t="n"/>
      <c r="H496" s="43" t="n"/>
      <c r="I496" s="44">
        <f>IFERROR(IF(OR(D496="",G496="",H496=""),"",ABS(PMT(G496%/12,H496,D496))),"")</f>
        <v/>
      </c>
      <c r="J496" s="43">
        <f>IF(B496="","","Active")</f>
        <v/>
      </c>
    </row>
    <row r="497">
      <c r="A497" s="41">
        <f>IF(B497="","","LN"&amp;TEXT(ROW()-2,"0000"))</f>
        <v/>
      </c>
      <c r="B497" s="26" t="n"/>
      <c r="C497" s="26">
        <f>IFERROR(IF(B497="","",VLOOKUP(B497,DATABASE!A:B,2,0)),"")</f>
        <v/>
      </c>
      <c r="D497" s="30" t="n"/>
      <c r="E497" s="31">
        <f>IF(B497="","",TODAY())</f>
        <v/>
      </c>
      <c r="F497" s="26" t="n"/>
      <c r="G497" s="26" t="n"/>
      <c r="H497" s="26" t="n"/>
      <c r="I497" s="30">
        <f>IFERROR(IF(OR(D497="",G497="",H497=""),"",ABS(PMT(G497%/12,H497,D497))),"")</f>
        <v/>
      </c>
      <c r="J497" s="26">
        <f>IF(B497="","","Active")</f>
        <v/>
      </c>
    </row>
    <row r="498">
      <c r="A498" s="42">
        <f>IF(B498="","","LN"&amp;TEXT(ROW()-2,"0000"))</f>
        <v/>
      </c>
      <c r="B498" s="43" t="n"/>
      <c r="C498" s="43">
        <f>IFERROR(IF(B498="","",VLOOKUP(B498,DATABASE!A:B,2,0)),"")</f>
        <v/>
      </c>
      <c r="D498" s="44" t="n"/>
      <c r="E498" s="45">
        <f>IF(B498="","",TODAY())</f>
        <v/>
      </c>
      <c r="F498" s="43" t="n"/>
      <c r="G498" s="43" t="n"/>
      <c r="H498" s="43" t="n"/>
      <c r="I498" s="44">
        <f>IFERROR(IF(OR(D498="",G498="",H498=""),"",ABS(PMT(G498%/12,H498,D498))),"")</f>
        <v/>
      </c>
      <c r="J498" s="43">
        <f>IF(B498="","","Active")</f>
        <v/>
      </c>
    </row>
    <row r="499">
      <c r="A499" s="41">
        <f>IF(B499="","","LN"&amp;TEXT(ROW()-2,"0000"))</f>
        <v/>
      </c>
      <c r="B499" s="26" t="n"/>
      <c r="C499" s="26">
        <f>IFERROR(IF(B499="","",VLOOKUP(B499,DATABASE!A:B,2,0)),"")</f>
        <v/>
      </c>
      <c r="D499" s="30" t="n"/>
      <c r="E499" s="31">
        <f>IF(B499="","",TODAY())</f>
        <v/>
      </c>
      <c r="F499" s="26" t="n"/>
      <c r="G499" s="26" t="n"/>
      <c r="H499" s="26" t="n"/>
      <c r="I499" s="30">
        <f>IFERROR(IF(OR(D499="",G499="",H499=""),"",ABS(PMT(G499%/12,H499,D499))),"")</f>
        <v/>
      </c>
      <c r="J499" s="26">
        <f>IF(B499="","","Active")</f>
        <v/>
      </c>
    </row>
    <row r="500">
      <c r="A500" s="42">
        <f>IF(B500="","","LN"&amp;TEXT(ROW()-2,"0000"))</f>
        <v/>
      </c>
      <c r="B500" s="43" t="n"/>
      <c r="C500" s="43">
        <f>IFERROR(IF(B500="","",VLOOKUP(B500,DATABASE!A:B,2,0)),"")</f>
        <v/>
      </c>
      <c r="D500" s="44" t="n"/>
      <c r="E500" s="45">
        <f>IF(B500="","",TODAY())</f>
        <v/>
      </c>
      <c r="F500" s="43" t="n"/>
      <c r="G500" s="43" t="n"/>
      <c r="H500" s="43" t="n"/>
      <c r="I500" s="44">
        <f>IFERROR(IF(OR(D500="",G500="",H500=""),"",ABS(PMT(G500%/12,H500,D500))),"")</f>
        <v/>
      </c>
      <c r="J500" s="43">
        <f>IF(B500="","","Active")</f>
        <v/>
      </c>
    </row>
    <row r="501">
      <c r="A501" s="41">
        <f>IF(B501="","","LN"&amp;TEXT(ROW()-2,"0000"))</f>
        <v/>
      </c>
      <c r="B501" s="26" t="n"/>
      <c r="C501" s="26">
        <f>IFERROR(IF(B501="","",VLOOKUP(B501,DATABASE!A:B,2,0)),"")</f>
        <v/>
      </c>
      <c r="D501" s="30" t="n"/>
      <c r="E501" s="31">
        <f>IF(B501="","",TODAY())</f>
        <v/>
      </c>
      <c r="F501" s="26" t="n"/>
      <c r="G501" s="26" t="n"/>
      <c r="H501" s="26" t="n"/>
      <c r="I501" s="30">
        <f>IFERROR(IF(OR(D501="",G501="",H501=""),"",ABS(PMT(G501%/12,H501,D501))),"")</f>
        <v/>
      </c>
      <c r="J501" s="26">
        <f>IF(B501="","","Active")</f>
        <v/>
      </c>
    </row>
    <row r="502">
      <c r="A502" s="42">
        <f>IF(B502="","","LN"&amp;TEXT(ROW()-2,"0000"))</f>
        <v/>
      </c>
      <c r="B502" s="43" t="n"/>
      <c r="C502" s="43">
        <f>IFERROR(IF(B502="","",VLOOKUP(B502,DATABASE!A:B,2,0)),"")</f>
        <v/>
      </c>
      <c r="D502" s="44" t="n"/>
      <c r="E502" s="45">
        <f>IF(B502="","",TODAY())</f>
        <v/>
      </c>
      <c r="F502" s="43" t="n"/>
      <c r="G502" s="43" t="n"/>
      <c r="H502" s="43" t="n"/>
      <c r="I502" s="44">
        <f>IFERROR(IF(OR(D502="",G502="",H502=""),"",ABS(PMT(G502%/12,H502,D502))),"")</f>
        <v/>
      </c>
      <c r="J502" s="43">
        <f>IF(B502="","","Active")</f>
        <v/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J50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4" customWidth="1" min="4" max="4"/>
    <col width="22" customWidth="1" min="5" max="5"/>
    <col width="15" customWidth="1" min="6" max="6"/>
    <col width="24" customWidth="1" min="7" max="7"/>
    <col width="26" customWidth="1" min="8" max="8"/>
    <col width="26" customWidth="1" min="9" max="9"/>
    <col width="14" customWidth="1" min="10" max="10"/>
  </cols>
  <sheetData>
    <row r="1" ht="34" customHeight="1">
      <c r="A1" s="46" t="inlineStr">
        <is>
          <t>LOAN TOP-UP REGISTER</t>
        </is>
      </c>
    </row>
    <row r="2" ht="30" customHeight="1">
      <c r="A2" s="28" t="inlineStr">
        <is>
          <t>Top-Up ID</t>
        </is>
      </c>
      <c r="B2" s="28" t="inlineStr">
        <is>
          <t>Account Number</t>
        </is>
      </c>
      <c r="C2" s="28" t="inlineStr">
        <is>
          <t>Customer Name</t>
        </is>
      </c>
      <c r="D2" s="28" t="inlineStr">
        <is>
          <t>Parent Loan ID</t>
        </is>
      </c>
      <c r="E2" s="28" t="inlineStr">
        <is>
          <t>Top-Up Amount (GHS)</t>
        </is>
      </c>
      <c r="F2" s="28" t="inlineStr">
        <is>
          <t>Date</t>
        </is>
      </c>
      <c r="G2" s="28" t="inlineStr">
        <is>
          <t>Purpose / Notes</t>
        </is>
      </c>
      <c r="H2" s="28" t="inlineStr">
        <is>
          <t>Aggregated Loan Balance (GHS)</t>
        </is>
      </c>
      <c r="I2" s="28" t="inlineStr">
        <is>
          <t>Unified Monthly Repay (GHS)</t>
        </is>
      </c>
      <c r="J2" s="28" t="inlineStr">
        <is>
          <t>Status</t>
        </is>
      </c>
    </row>
    <row r="3">
      <c r="A3" s="47">
        <f>IF(B3="","","TU"&amp;TEXT(ROW()-2,"0000"))</f>
        <v/>
      </c>
      <c r="B3" s="26" t="n"/>
      <c r="C3" s="26">
        <f>IFERROR(IF(B3="","",VLOOKUP(B3,DATABASE!A:B,2,0)),"")</f>
        <v/>
      </c>
      <c r="D3" s="26" t="n"/>
      <c r="E3" s="30" t="n"/>
      <c r="F3" s="31">
        <f>IF(B3="","",TODAY())</f>
        <v/>
      </c>
      <c r="G3" s="26" t="n"/>
      <c r="H3" s="30">
        <f>IFERROR(IF(OR(B3="",E3=""),"",SUMIF(LOANS!$B:$B,B3,LOANS!$D:$D)+E3),"")</f>
        <v/>
      </c>
      <c r="I3" s="30">
        <f>IFERROR(IF(H3="","",SUMIF(LOANS!$B:$B,B3,LOANS!$I:$I)+ABS(PMT(IFERROR(VLOOKUP(B3,LOANS!$B:$G,6,0),12)/100/12,IFERROR(VLOOKUP(B3,LOANS!$B:$H,7,0),12),E3))),"")</f>
        <v/>
      </c>
      <c r="J3" s="26">
        <f>IF(B3="","","Active")</f>
        <v/>
      </c>
    </row>
    <row r="4">
      <c r="A4" s="48">
        <f>IF(B4="","","TU"&amp;TEXT(ROW()-2,"0000"))</f>
        <v/>
      </c>
      <c r="B4" s="49" t="n"/>
      <c r="C4" s="49">
        <f>IFERROR(IF(B4="","",VLOOKUP(B4,DATABASE!A:B,2,0)),"")</f>
        <v/>
      </c>
      <c r="D4" s="49" t="n"/>
      <c r="E4" s="50" t="n"/>
      <c r="F4" s="51">
        <f>IF(B4="","",TODAY())</f>
        <v/>
      </c>
      <c r="G4" s="49" t="n"/>
      <c r="H4" s="50">
        <f>IFERROR(IF(OR(B4="",E4=""),"",SUMIF(LOANS!$B:$B,B4,LOANS!$D:$D)+E4),"")</f>
        <v/>
      </c>
      <c r="I4" s="50">
        <f>IFERROR(IF(H4="","",SUMIF(LOANS!$B:$B,B4,LOANS!$I:$I)+ABS(PMT(IFERROR(VLOOKUP(B4,LOANS!$B:$G,6,0),12)/100/12,IFERROR(VLOOKUP(B4,LOANS!$B:$H,7,0),12),E4))),"")</f>
        <v/>
      </c>
      <c r="J4" s="49">
        <f>IF(B4="","","Active")</f>
        <v/>
      </c>
    </row>
    <row r="5">
      <c r="A5" s="47">
        <f>IF(B5="","","TU"&amp;TEXT(ROW()-2,"0000"))</f>
        <v/>
      </c>
      <c r="B5" s="26" t="n"/>
      <c r="C5" s="26">
        <f>IFERROR(IF(B5="","",VLOOKUP(B5,DATABASE!A:B,2,0)),"")</f>
        <v/>
      </c>
      <c r="D5" s="26" t="n"/>
      <c r="E5" s="30" t="n"/>
      <c r="F5" s="31">
        <f>IF(B5="","",TODAY())</f>
        <v/>
      </c>
      <c r="G5" s="26" t="n"/>
      <c r="H5" s="30">
        <f>IFERROR(IF(OR(B5="",E5=""),"",SUMIF(LOANS!$B:$B,B5,LOANS!$D:$D)+E5),"")</f>
        <v/>
      </c>
      <c r="I5" s="30">
        <f>IFERROR(IF(H5="","",SUMIF(LOANS!$B:$B,B5,LOANS!$I:$I)+ABS(PMT(IFERROR(VLOOKUP(B5,LOANS!$B:$G,6,0),12)/100/12,IFERROR(VLOOKUP(B5,LOANS!$B:$H,7,0),12),E5))),"")</f>
        <v/>
      </c>
      <c r="J5" s="26">
        <f>IF(B5="","","Active")</f>
        <v/>
      </c>
    </row>
    <row r="6">
      <c r="A6" s="48">
        <f>IF(B6="","","TU"&amp;TEXT(ROW()-2,"0000"))</f>
        <v/>
      </c>
      <c r="B6" s="49" t="n"/>
      <c r="C6" s="49">
        <f>IFERROR(IF(B6="","",VLOOKUP(B6,DATABASE!A:B,2,0)),"")</f>
        <v/>
      </c>
      <c r="D6" s="49" t="n"/>
      <c r="E6" s="50" t="n"/>
      <c r="F6" s="51">
        <f>IF(B6="","",TODAY())</f>
        <v/>
      </c>
      <c r="G6" s="49" t="n"/>
      <c r="H6" s="50">
        <f>IFERROR(IF(OR(B6="",E6=""),"",SUMIF(LOANS!$B:$B,B6,LOANS!$D:$D)+E6),"")</f>
        <v/>
      </c>
      <c r="I6" s="50">
        <f>IFERROR(IF(H6="","",SUMIF(LOANS!$B:$B,B6,LOANS!$I:$I)+ABS(PMT(IFERROR(VLOOKUP(B6,LOANS!$B:$G,6,0),12)/100/12,IFERROR(VLOOKUP(B6,LOANS!$B:$H,7,0),12),E6))),"")</f>
        <v/>
      </c>
      <c r="J6" s="49">
        <f>IF(B6="","","Active")</f>
        <v/>
      </c>
    </row>
    <row r="7">
      <c r="A7" s="47">
        <f>IF(B7="","","TU"&amp;TEXT(ROW()-2,"0000"))</f>
        <v/>
      </c>
      <c r="B7" s="26" t="n"/>
      <c r="C7" s="26">
        <f>IFERROR(IF(B7="","",VLOOKUP(B7,DATABASE!A:B,2,0)),"")</f>
        <v/>
      </c>
      <c r="D7" s="26" t="n"/>
      <c r="E7" s="30" t="n"/>
      <c r="F7" s="31">
        <f>IF(B7="","",TODAY())</f>
        <v/>
      </c>
      <c r="G7" s="26" t="n"/>
      <c r="H7" s="30">
        <f>IFERROR(IF(OR(B7="",E7=""),"",SUMIF(LOANS!$B:$B,B7,LOANS!$D:$D)+E7),"")</f>
        <v/>
      </c>
      <c r="I7" s="30">
        <f>IFERROR(IF(H7="","",SUMIF(LOANS!$B:$B,B7,LOANS!$I:$I)+ABS(PMT(IFERROR(VLOOKUP(B7,LOANS!$B:$G,6,0),12)/100/12,IFERROR(VLOOKUP(B7,LOANS!$B:$H,7,0),12),E7))),"")</f>
        <v/>
      </c>
      <c r="J7" s="26">
        <f>IF(B7="","","Active")</f>
        <v/>
      </c>
    </row>
    <row r="8">
      <c r="A8" s="48">
        <f>IF(B8="","","TU"&amp;TEXT(ROW()-2,"0000"))</f>
        <v/>
      </c>
      <c r="B8" s="49" t="n"/>
      <c r="C8" s="49">
        <f>IFERROR(IF(B8="","",VLOOKUP(B8,DATABASE!A:B,2,0)),"")</f>
        <v/>
      </c>
      <c r="D8" s="49" t="n"/>
      <c r="E8" s="50" t="n"/>
      <c r="F8" s="51">
        <f>IF(B8="","",TODAY())</f>
        <v/>
      </c>
      <c r="G8" s="49" t="n"/>
      <c r="H8" s="50">
        <f>IFERROR(IF(OR(B8="",E8=""),"",SUMIF(LOANS!$B:$B,B8,LOANS!$D:$D)+E8),"")</f>
        <v/>
      </c>
      <c r="I8" s="50">
        <f>IFERROR(IF(H8="","",SUMIF(LOANS!$B:$B,B8,LOANS!$I:$I)+ABS(PMT(IFERROR(VLOOKUP(B8,LOANS!$B:$G,6,0),12)/100/12,IFERROR(VLOOKUP(B8,LOANS!$B:$H,7,0),12),E8))),"")</f>
        <v/>
      </c>
      <c r="J8" s="49">
        <f>IF(B8="","","Active")</f>
        <v/>
      </c>
    </row>
    <row r="9">
      <c r="A9" s="47">
        <f>IF(B9="","","TU"&amp;TEXT(ROW()-2,"0000"))</f>
        <v/>
      </c>
      <c r="B9" s="26" t="n"/>
      <c r="C9" s="26">
        <f>IFERROR(IF(B9="","",VLOOKUP(B9,DATABASE!A:B,2,0)),"")</f>
        <v/>
      </c>
      <c r="D9" s="26" t="n"/>
      <c r="E9" s="30" t="n"/>
      <c r="F9" s="31">
        <f>IF(B9="","",TODAY())</f>
        <v/>
      </c>
      <c r="G9" s="26" t="n"/>
      <c r="H9" s="30">
        <f>IFERROR(IF(OR(B9="",E9=""),"",SUMIF(LOANS!$B:$B,B9,LOANS!$D:$D)+E9),"")</f>
        <v/>
      </c>
      <c r="I9" s="30">
        <f>IFERROR(IF(H9="","",SUMIF(LOANS!$B:$B,B9,LOANS!$I:$I)+ABS(PMT(IFERROR(VLOOKUP(B9,LOANS!$B:$G,6,0),12)/100/12,IFERROR(VLOOKUP(B9,LOANS!$B:$H,7,0),12),E9))),"")</f>
        <v/>
      </c>
      <c r="J9" s="26">
        <f>IF(B9="","","Active")</f>
        <v/>
      </c>
    </row>
    <row r="10">
      <c r="A10" s="48">
        <f>IF(B10="","","TU"&amp;TEXT(ROW()-2,"0000"))</f>
        <v/>
      </c>
      <c r="B10" s="49" t="n"/>
      <c r="C10" s="49">
        <f>IFERROR(IF(B10="","",VLOOKUP(B10,DATABASE!A:B,2,0)),"")</f>
        <v/>
      </c>
      <c r="D10" s="49" t="n"/>
      <c r="E10" s="50" t="n"/>
      <c r="F10" s="51">
        <f>IF(B10="","",TODAY())</f>
        <v/>
      </c>
      <c r="G10" s="49" t="n"/>
      <c r="H10" s="50">
        <f>IFERROR(IF(OR(B10="",E10=""),"",SUMIF(LOANS!$B:$B,B10,LOANS!$D:$D)+E10),"")</f>
        <v/>
      </c>
      <c r="I10" s="50">
        <f>IFERROR(IF(H10="","",SUMIF(LOANS!$B:$B,B10,LOANS!$I:$I)+ABS(PMT(IFERROR(VLOOKUP(B10,LOANS!$B:$G,6,0),12)/100/12,IFERROR(VLOOKUP(B10,LOANS!$B:$H,7,0),12),E10))),"")</f>
        <v/>
      </c>
      <c r="J10" s="49">
        <f>IF(B10="","","Active")</f>
        <v/>
      </c>
    </row>
    <row r="11">
      <c r="A11" s="47">
        <f>IF(B11="","","TU"&amp;TEXT(ROW()-2,"0000"))</f>
        <v/>
      </c>
      <c r="B11" s="26" t="n"/>
      <c r="C11" s="26">
        <f>IFERROR(IF(B11="","",VLOOKUP(B11,DATABASE!A:B,2,0)),"")</f>
        <v/>
      </c>
      <c r="D11" s="26" t="n"/>
      <c r="E11" s="30" t="n"/>
      <c r="F11" s="31">
        <f>IF(B11="","",TODAY())</f>
        <v/>
      </c>
      <c r="G11" s="26" t="n"/>
      <c r="H11" s="30">
        <f>IFERROR(IF(OR(B11="",E11=""),"",SUMIF(LOANS!$B:$B,B11,LOANS!$D:$D)+E11),"")</f>
        <v/>
      </c>
      <c r="I11" s="30">
        <f>IFERROR(IF(H11="","",SUMIF(LOANS!$B:$B,B11,LOANS!$I:$I)+ABS(PMT(IFERROR(VLOOKUP(B11,LOANS!$B:$G,6,0),12)/100/12,IFERROR(VLOOKUP(B11,LOANS!$B:$H,7,0),12),E11))),"")</f>
        <v/>
      </c>
      <c r="J11" s="26">
        <f>IF(B11="","","Active")</f>
        <v/>
      </c>
    </row>
    <row r="12">
      <c r="A12" s="48">
        <f>IF(B12="","","TU"&amp;TEXT(ROW()-2,"0000"))</f>
        <v/>
      </c>
      <c r="B12" s="49" t="n"/>
      <c r="C12" s="49">
        <f>IFERROR(IF(B12="","",VLOOKUP(B12,DATABASE!A:B,2,0)),"")</f>
        <v/>
      </c>
      <c r="D12" s="49" t="n"/>
      <c r="E12" s="50" t="n"/>
      <c r="F12" s="51">
        <f>IF(B12="","",TODAY())</f>
        <v/>
      </c>
      <c r="G12" s="49" t="n"/>
      <c r="H12" s="50">
        <f>IFERROR(IF(OR(B12="",E12=""),"",SUMIF(LOANS!$B:$B,B12,LOANS!$D:$D)+E12),"")</f>
        <v/>
      </c>
      <c r="I12" s="50">
        <f>IFERROR(IF(H12="","",SUMIF(LOANS!$B:$B,B12,LOANS!$I:$I)+ABS(PMT(IFERROR(VLOOKUP(B12,LOANS!$B:$G,6,0),12)/100/12,IFERROR(VLOOKUP(B12,LOANS!$B:$H,7,0),12),E12))),"")</f>
        <v/>
      </c>
      <c r="J12" s="49">
        <f>IF(B12="","","Active")</f>
        <v/>
      </c>
    </row>
    <row r="13">
      <c r="A13" s="47">
        <f>IF(B13="","","TU"&amp;TEXT(ROW()-2,"0000"))</f>
        <v/>
      </c>
      <c r="B13" s="26" t="n"/>
      <c r="C13" s="26">
        <f>IFERROR(IF(B13="","",VLOOKUP(B13,DATABASE!A:B,2,0)),"")</f>
        <v/>
      </c>
      <c r="D13" s="26" t="n"/>
      <c r="E13" s="30" t="n"/>
      <c r="F13" s="31">
        <f>IF(B13="","",TODAY())</f>
        <v/>
      </c>
      <c r="G13" s="26" t="n"/>
      <c r="H13" s="30">
        <f>IFERROR(IF(OR(B13="",E13=""),"",SUMIF(LOANS!$B:$B,B13,LOANS!$D:$D)+E13),"")</f>
        <v/>
      </c>
      <c r="I13" s="30">
        <f>IFERROR(IF(H13="","",SUMIF(LOANS!$B:$B,B13,LOANS!$I:$I)+ABS(PMT(IFERROR(VLOOKUP(B13,LOANS!$B:$G,6,0),12)/100/12,IFERROR(VLOOKUP(B13,LOANS!$B:$H,7,0),12),E13))),"")</f>
        <v/>
      </c>
      <c r="J13" s="26">
        <f>IF(B13="","","Active")</f>
        <v/>
      </c>
    </row>
    <row r="14">
      <c r="A14" s="48">
        <f>IF(B14="","","TU"&amp;TEXT(ROW()-2,"0000"))</f>
        <v/>
      </c>
      <c r="B14" s="49" t="n"/>
      <c r="C14" s="49">
        <f>IFERROR(IF(B14="","",VLOOKUP(B14,DATABASE!A:B,2,0)),"")</f>
        <v/>
      </c>
      <c r="D14" s="49" t="n"/>
      <c r="E14" s="50" t="n"/>
      <c r="F14" s="51">
        <f>IF(B14="","",TODAY())</f>
        <v/>
      </c>
      <c r="G14" s="49" t="n"/>
      <c r="H14" s="50">
        <f>IFERROR(IF(OR(B14="",E14=""),"",SUMIF(LOANS!$B:$B,B14,LOANS!$D:$D)+E14),"")</f>
        <v/>
      </c>
      <c r="I14" s="50">
        <f>IFERROR(IF(H14="","",SUMIF(LOANS!$B:$B,B14,LOANS!$I:$I)+ABS(PMT(IFERROR(VLOOKUP(B14,LOANS!$B:$G,6,0),12)/100/12,IFERROR(VLOOKUP(B14,LOANS!$B:$H,7,0),12),E14))),"")</f>
        <v/>
      </c>
      <c r="J14" s="49">
        <f>IF(B14="","","Active")</f>
        <v/>
      </c>
    </row>
    <row r="15">
      <c r="A15" s="47">
        <f>IF(B15="","","TU"&amp;TEXT(ROW()-2,"0000"))</f>
        <v/>
      </c>
      <c r="B15" s="26" t="n"/>
      <c r="C15" s="26">
        <f>IFERROR(IF(B15="","",VLOOKUP(B15,DATABASE!A:B,2,0)),"")</f>
        <v/>
      </c>
      <c r="D15" s="26" t="n"/>
      <c r="E15" s="30" t="n"/>
      <c r="F15" s="31">
        <f>IF(B15="","",TODAY())</f>
        <v/>
      </c>
      <c r="G15" s="26" t="n"/>
      <c r="H15" s="30">
        <f>IFERROR(IF(OR(B15="",E15=""),"",SUMIF(LOANS!$B:$B,B15,LOANS!$D:$D)+E15),"")</f>
        <v/>
      </c>
      <c r="I15" s="30">
        <f>IFERROR(IF(H15="","",SUMIF(LOANS!$B:$B,B15,LOANS!$I:$I)+ABS(PMT(IFERROR(VLOOKUP(B15,LOANS!$B:$G,6,0),12)/100/12,IFERROR(VLOOKUP(B15,LOANS!$B:$H,7,0),12),E15))),"")</f>
        <v/>
      </c>
      <c r="J15" s="26">
        <f>IF(B15="","","Active")</f>
        <v/>
      </c>
    </row>
    <row r="16">
      <c r="A16" s="48">
        <f>IF(B16="","","TU"&amp;TEXT(ROW()-2,"0000"))</f>
        <v/>
      </c>
      <c r="B16" s="49" t="n"/>
      <c r="C16" s="49">
        <f>IFERROR(IF(B16="","",VLOOKUP(B16,DATABASE!A:B,2,0)),"")</f>
        <v/>
      </c>
      <c r="D16" s="49" t="n"/>
      <c r="E16" s="50" t="n"/>
      <c r="F16" s="51">
        <f>IF(B16="","",TODAY())</f>
        <v/>
      </c>
      <c r="G16" s="49" t="n"/>
      <c r="H16" s="50">
        <f>IFERROR(IF(OR(B16="",E16=""),"",SUMIF(LOANS!$B:$B,B16,LOANS!$D:$D)+E16),"")</f>
        <v/>
      </c>
      <c r="I16" s="50">
        <f>IFERROR(IF(H16="","",SUMIF(LOANS!$B:$B,B16,LOANS!$I:$I)+ABS(PMT(IFERROR(VLOOKUP(B16,LOANS!$B:$G,6,0),12)/100/12,IFERROR(VLOOKUP(B16,LOANS!$B:$H,7,0),12),E16))),"")</f>
        <v/>
      </c>
      <c r="J16" s="49">
        <f>IF(B16="","","Active")</f>
        <v/>
      </c>
    </row>
    <row r="17">
      <c r="A17" s="47">
        <f>IF(B17="","","TU"&amp;TEXT(ROW()-2,"0000"))</f>
        <v/>
      </c>
      <c r="B17" s="26" t="n"/>
      <c r="C17" s="26">
        <f>IFERROR(IF(B17="","",VLOOKUP(B17,DATABASE!A:B,2,0)),"")</f>
        <v/>
      </c>
      <c r="D17" s="26" t="n"/>
      <c r="E17" s="30" t="n"/>
      <c r="F17" s="31">
        <f>IF(B17="","",TODAY())</f>
        <v/>
      </c>
      <c r="G17" s="26" t="n"/>
      <c r="H17" s="30">
        <f>IFERROR(IF(OR(B17="",E17=""),"",SUMIF(LOANS!$B:$B,B17,LOANS!$D:$D)+E17),"")</f>
        <v/>
      </c>
      <c r="I17" s="30">
        <f>IFERROR(IF(H17="","",SUMIF(LOANS!$B:$B,B17,LOANS!$I:$I)+ABS(PMT(IFERROR(VLOOKUP(B17,LOANS!$B:$G,6,0),12)/100/12,IFERROR(VLOOKUP(B17,LOANS!$B:$H,7,0),12),E17))),"")</f>
        <v/>
      </c>
      <c r="J17" s="26">
        <f>IF(B17="","","Active")</f>
        <v/>
      </c>
    </row>
    <row r="18">
      <c r="A18" s="48">
        <f>IF(B18="","","TU"&amp;TEXT(ROW()-2,"0000"))</f>
        <v/>
      </c>
      <c r="B18" s="49" t="n"/>
      <c r="C18" s="49">
        <f>IFERROR(IF(B18="","",VLOOKUP(B18,DATABASE!A:B,2,0)),"")</f>
        <v/>
      </c>
      <c r="D18" s="49" t="n"/>
      <c r="E18" s="50" t="n"/>
      <c r="F18" s="51">
        <f>IF(B18="","",TODAY())</f>
        <v/>
      </c>
      <c r="G18" s="49" t="n"/>
      <c r="H18" s="50">
        <f>IFERROR(IF(OR(B18="",E18=""),"",SUMIF(LOANS!$B:$B,B18,LOANS!$D:$D)+E18),"")</f>
        <v/>
      </c>
      <c r="I18" s="50">
        <f>IFERROR(IF(H18="","",SUMIF(LOANS!$B:$B,B18,LOANS!$I:$I)+ABS(PMT(IFERROR(VLOOKUP(B18,LOANS!$B:$G,6,0),12)/100/12,IFERROR(VLOOKUP(B18,LOANS!$B:$H,7,0),12),E18))),"")</f>
        <v/>
      </c>
      <c r="J18" s="49">
        <f>IF(B18="","","Active")</f>
        <v/>
      </c>
    </row>
    <row r="19">
      <c r="A19" s="47">
        <f>IF(B19="","","TU"&amp;TEXT(ROW()-2,"0000"))</f>
        <v/>
      </c>
      <c r="B19" s="26" t="n"/>
      <c r="C19" s="26">
        <f>IFERROR(IF(B19="","",VLOOKUP(B19,DATABASE!A:B,2,0)),"")</f>
        <v/>
      </c>
      <c r="D19" s="26" t="n"/>
      <c r="E19" s="30" t="n"/>
      <c r="F19" s="31">
        <f>IF(B19="","",TODAY())</f>
        <v/>
      </c>
      <c r="G19" s="26" t="n"/>
      <c r="H19" s="30">
        <f>IFERROR(IF(OR(B19="",E19=""),"",SUMIF(LOANS!$B:$B,B19,LOANS!$D:$D)+E19),"")</f>
        <v/>
      </c>
      <c r="I19" s="30">
        <f>IFERROR(IF(H19="","",SUMIF(LOANS!$B:$B,B19,LOANS!$I:$I)+ABS(PMT(IFERROR(VLOOKUP(B19,LOANS!$B:$G,6,0),12)/100/12,IFERROR(VLOOKUP(B19,LOANS!$B:$H,7,0),12),E19))),"")</f>
        <v/>
      </c>
      <c r="J19" s="26">
        <f>IF(B19="","","Active")</f>
        <v/>
      </c>
    </row>
    <row r="20">
      <c r="A20" s="48">
        <f>IF(B20="","","TU"&amp;TEXT(ROW()-2,"0000"))</f>
        <v/>
      </c>
      <c r="B20" s="49" t="n"/>
      <c r="C20" s="49">
        <f>IFERROR(IF(B20="","",VLOOKUP(B20,DATABASE!A:B,2,0)),"")</f>
        <v/>
      </c>
      <c r="D20" s="49" t="n"/>
      <c r="E20" s="50" t="n"/>
      <c r="F20" s="51">
        <f>IF(B20="","",TODAY())</f>
        <v/>
      </c>
      <c r="G20" s="49" t="n"/>
      <c r="H20" s="50">
        <f>IFERROR(IF(OR(B20="",E20=""),"",SUMIF(LOANS!$B:$B,B20,LOANS!$D:$D)+E20),"")</f>
        <v/>
      </c>
      <c r="I20" s="50">
        <f>IFERROR(IF(H20="","",SUMIF(LOANS!$B:$B,B20,LOANS!$I:$I)+ABS(PMT(IFERROR(VLOOKUP(B20,LOANS!$B:$G,6,0),12)/100/12,IFERROR(VLOOKUP(B20,LOANS!$B:$H,7,0),12),E20))),"")</f>
        <v/>
      </c>
      <c r="J20" s="49">
        <f>IF(B20="","","Active")</f>
        <v/>
      </c>
    </row>
    <row r="21">
      <c r="A21" s="47">
        <f>IF(B21="","","TU"&amp;TEXT(ROW()-2,"0000"))</f>
        <v/>
      </c>
      <c r="B21" s="26" t="n"/>
      <c r="C21" s="26">
        <f>IFERROR(IF(B21="","",VLOOKUP(B21,DATABASE!A:B,2,0)),"")</f>
        <v/>
      </c>
      <c r="D21" s="26" t="n"/>
      <c r="E21" s="30" t="n"/>
      <c r="F21" s="31">
        <f>IF(B21="","",TODAY())</f>
        <v/>
      </c>
      <c r="G21" s="26" t="n"/>
      <c r="H21" s="30">
        <f>IFERROR(IF(OR(B21="",E21=""),"",SUMIF(LOANS!$B:$B,B21,LOANS!$D:$D)+E21),"")</f>
        <v/>
      </c>
      <c r="I21" s="30">
        <f>IFERROR(IF(H21="","",SUMIF(LOANS!$B:$B,B21,LOANS!$I:$I)+ABS(PMT(IFERROR(VLOOKUP(B21,LOANS!$B:$G,6,0),12)/100/12,IFERROR(VLOOKUP(B21,LOANS!$B:$H,7,0),12),E21))),"")</f>
        <v/>
      </c>
      <c r="J21" s="26">
        <f>IF(B21="","","Active")</f>
        <v/>
      </c>
    </row>
    <row r="22">
      <c r="A22" s="48">
        <f>IF(B22="","","TU"&amp;TEXT(ROW()-2,"0000"))</f>
        <v/>
      </c>
      <c r="B22" s="49" t="n"/>
      <c r="C22" s="49">
        <f>IFERROR(IF(B22="","",VLOOKUP(B22,DATABASE!A:B,2,0)),"")</f>
        <v/>
      </c>
      <c r="D22" s="49" t="n"/>
      <c r="E22" s="50" t="n"/>
      <c r="F22" s="51">
        <f>IF(B22="","",TODAY())</f>
        <v/>
      </c>
      <c r="G22" s="49" t="n"/>
      <c r="H22" s="50">
        <f>IFERROR(IF(OR(B22="",E22=""),"",SUMIF(LOANS!$B:$B,B22,LOANS!$D:$D)+E22),"")</f>
        <v/>
      </c>
      <c r="I22" s="50">
        <f>IFERROR(IF(H22="","",SUMIF(LOANS!$B:$B,B22,LOANS!$I:$I)+ABS(PMT(IFERROR(VLOOKUP(B22,LOANS!$B:$G,6,0),12)/100/12,IFERROR(VLOOKUP(B22,LOANS!$B:$H,7,0),12),E22))),"")</f>
        <v/>
      </c>
      <c r="J22" s="49">
        <f>IF(B22="","","Active")</f>
        <v/>
      </c>
    </row>
    <row r="23">
      <c r="A23" s="47">
        <f>IF(B23="","","TU"&amp;TEXT(ROW()-2,"0000"))</f>
        <v/>
      </c>
      <c r="B23" s="26" t="n"/>
      <c r="C23" s="26">
        <f>IFERROR(IF(B23="","",VLOOKUP(B23,DATABASE!A:B,2,0)),"")</f>
        <v/>
      </c>
      <c r="D23" s="26" t="n"/>
      <c r="E23" s="30" t="n"/>
      <c r="F23" s="31">
        <f>IF(B23="","",TODAY())</f>
        <v/>
      </c>
      <c r="G23" s="26" t="n"/>
      <c r="H23" s="30">
        <f>IFERROR(IF(OR(B23="",E23=""),"",SUMIF(LOANS!$B:$B,B23,LOANS!$D:$D)+E23),"")</f>
        <v/>
      </c>
      <c r="I23" s="30">
        <f>IFERROR(IF(H23="","",SUMIF(LOANS!$B:$B,B23,LOANS!$I:$I)+ABS(PMT(IFERROR(VLOOKUP(B23,LOANS!$B:$G,6,0),12)/100/12,IFERROR(VLOOKUP(B23,LOANS!$B:$H,7,0),12),E23))),"")</f>
        <v/>
      </c>
      <c r="J23" s="26">
        <f>IF(B23="","","Active")</f>
        <v/>
      </c>
    </row>
    <row r="24">
      <c r="A24" s="48">
        <f>IF(B24="","","TU"&amp;TEXT(ROW()-2,"0000"))</f>
        <v/>
      </c>
      <c r="B24" s="49" t="n"/>
      <c r="C24" s="49">
        <f>IFERROR(IF(B24="","",VLOOKUP(B24,DATABASE!A:B,2,0)),"")</f>
        <v/>
      </c>
      <c r="D24" s="49" t="n"/>
      <c r="E24" s="50" t="n"/>
      <c r="F24" s="51">
        <f>IF(B24="","",TODAY())</f>
        <v/>
      </c>
      <c r="G24" s="49" t="n"/>
      <c r="H24" s="50">
        <f>IFERROR(IF(OR(B24="",E24=""),"",SUMIF(LOANS!$B:$B,B24,LOANS!$D:$D)+E24),"")</f>
        <v/>
      </c>
      <c r="I24" s="50">
        <f>IFERROR(IF(H24="","",SUMIF(LOANS!$B:$B,B24,LOANS!$I:$I)+ABS(PMT(IFERROR(VLOOKUP(B24,LOANS!$B:$G,6,0),12)/100/12,IFERROR(VLOOKUP(B24,LOANS!$B:$H,7,0),12),E24))),"")</f>
        <v/>
      </c>
      <c r="J24" s="49">
        <f>IF(B24="","","Active")</f>
        <v/>
      </c>
    </row>
    <row r="25">
      <c r="A25" s="47">
        <f>IF(B25="","","TU"&amp;TEXT(ROW()-2,"0000"))</f>
        <v/>
      </c>
      <c r="B25" s="26" t="n"/>
      <c r="C25" s="26">
        <f>IFERROR(IF(B25="","",VLOOKUP(B25,DATABASE!A:B,2,0)),"")</f>
        <v/>
      </c>
      <c r="D25" s="26" t="n"/>
      <c r="E25" s="30" t="n"/>
      <c r="F25" s="31">
        <f>IF(B25="","",TODAY())</f>
        <v/>
      </c>
      <c r="G25" s="26" t="n"/>
      <c r="H25" s="30">
        <f>IFERROR(IF(OR(B25="",E25=""),"",SUMIF(LOANS!$B:$B,B25,LOANS!$D:$D)+E25),"")</f>
        <v/>
      </c>
      <c r="I25" s="30">
        <f>IFERROR(IF(H25="","",SUMIF(LOANS!$B:$B,B25,LOANS!$I:$I)+ABS(PMT(IFERROR(VLOOKUP(B25,LOANS!$B:$G,6,0),12)/100/12,IFERROR(VLOOKUP(B25,LOANS!$B:$H,7,0),12),E25))),"")</f>
        <v/>
      </c>
      <c r="J25" s="26">
        <f>IF(B25="","","Active")</f>
        <v/>
      </c>
    </row>
    <row r="26">
      <c r="A26" s="48">
        <f>IF(B26="","","TU"&amp;TEXT(ROW()-2,"0000"))</f>
        <v/>
      </c>
      <c r="B26" s="49" t="n"/>
      <c r="C26" s="49">
        <f>IFERROR(IF(B26="","",VLOOKUP(B26,DATABASE!A:B,2,0)),"")</f>
        <v/>
      </c>
      <c r="D26" s="49" t="n"/>
      <c r="E26" s="50" t="n"/>
      <c r="F26" s="51">
        <f>IF(B26="","",TODAY())</f>
        <v/>
      </c>
      <c r="G26" s="49" t="n"/>
      <c r="H26" s="50">
        <f>IFERROR(IF(OR(B26="",E26=""),"",SUMIF(LOANS!$B:$B,B26,LOANS!$D:$D)+E26),"")</f>
        <v/>
      </c>
      <c r="I26" s="50">
        <f>IFERROR(IF(H26="","",SUMIF(LOANS!$B:$B,B26,LOANS!$I:$I)+ABS(PMT(IFERROR(VLOOKUP(B26,LOANS!$B:$G,6,0),12)/100/12,IFERROR(VLOOKUP(B26,LOANS!$B:$H,7,0),12),E26))),"")</f>
        <v/>
      </c>
      <c r="J26" s="49">
        <f>IF(B26="","","Active")</f>
        <v/>
      </c>
    </row>
    <row r="27">
      <c r="A27" s="47">
        <f>IF(B27="","","TU"&amp;TEXT(ROW()-2,"0000"))</f>
        <v/>
      </c>
      <c r="B27" s="26" t="n"/>
      <c r="C27" s="26">
        <f>IFERROR(IF(B27="","",VLOOKUP(B27,DATABASE!A:B,2,0)),"")</f>
        <v/>
      </c>
      <c r="D27" s="26" t="n"/>
      <c r="E27" s="30" t="n"/>
      <c r="F27" s="31">
        <f>IF(B27="","",TODAY())</f>
        <v/>
      </c>
      <c r="G27" s="26" t="n"/>
      <c r="H27" s="30">
        <f>IFERROR(IF(OR(B27="",E27=""),"",SUMIF(LOANS!$B:$B,B27,LOANS!$D:$D)+E27),"")</f>
        <v/>
      </c>
      <c r="I27" s="30">
        <f>IFERROR(IF(H27="","",SUMIF(LOANS!$B:$B,B27,LOANS!$I:$I)+ABS(PMT(IFERROR(VLOOKUP(B27,LOANS!$B:$G,6,0),12)/100/12,IFERROR(VLOOKUP(B27,LOANS!$B:$H,7,0),12),E27))),"")</f>
        <v/>
      </c>
      <c r="J27" s="26">
        <f>IF(B27="","","Active")</f>
        <v/>
      </c>
    </row>
    <row r="28">
      <c r="A28" s="48">
        <f>IF(B28="","","TU"&amp;TEXT(ROW()-2,"0000"))</f>
        <v/>
      </c>
      <c r="B28" s="49" t="n"/>
      <c r="C28" s="49">
        <f>IFERROR(IF(B28="","",VLOOKUP(B28,DATABASE!A:B,2,0)),"")</f>
        <v/>
      </c>
      <c r="D28" s="49" t="n"/>
      <c r="E28" s="50" t="n"/>
      <c r="F28" s="51">
        <f>IF(B28="","",TODAY())</f>
        <v/>
      </c>
      <c r="G28" s="49" t="n"/>
      <c r="H28" s="50">
        <f>IFERROR(IF(OR(B28="",E28=""),"",SUMIF(LOANS!$B:$B,B28,LOANS!$D:$D)+E28),"")</f>
        <v/>
      </c>
      <c r="I28" s="50">
        <f>IFERROR(IF(H28="","",SUMIF(LOANS!$B:$B,B28,LOANS!$I:$I)+ABS(PMT(IFERROR(VLOOKUP(B28,LOANS!$B:$G,6,0),12)/100/12,IFERROR(VLOOKUP(B28,LOANS!$B:$H,7,0),12),E28))),"")</f>
        <v/>
      </c>
      <c r="J28" s="49">
        <f>IF(B28="","","Active")</f>
        <v/>
      </c>
    </row>
    <row r="29">
      <c r="A29" s="47">
        <f>IF(B29="","","TU"&amp;TEXT(ROW()-2,"0000"))</f>
        <v/>
      </c>
      <c r="B29" s="26" t="n"/>
      <c r="C29" s="26">
        <f>IFERROR(IF(B29="","",VLOOKUP(B29,DATABASE!A:B,2,0)),"")</f>
        <v/>
      </c>
      <c r="D29" s="26" t="n"/>
      <c r="E29" s="30" t="n"/>
      <c r="F29" s="31">
        <f>IF(B29="","",TODAY())</f>
        <v/>
      </c>
      <c r="G29" s="26" t="n"/>
      <c r="H29" s="30">
        <f>IFERROR(IF(OR(B29="",E29=""),"",SUMIF(LOANS!$B:$B,B29,LOANS!$D:$D)+E29),"")</f>
        <v/>
      </c>
      <c r="I29" s="30">
        <f>IFERROR(IF(H29="","",SUMIF(LOANS!$B:$B,B29,LOANS!$I:$I)+ABS(PMT(IFERROR(VLOOKUP(B29,LOANS!$B:$G,6,0),12)/100/12,IFERROR(VLOOKUP(B29,LOANS!$B:$H,7,0),12),E29))),"")</f>
        <v/>
      </c>
      <c r="J29" s="26">
        <f>IF(B29="","","Active")</f>
        <v/>
      </c>
    </row>
    <row r="30">
      <c r="A30" s="48">
        <f>IF(B30="","","TU"&amp;TEXT(ROW()-2,"0000"))</f>
        <v/>
      </c>
      <c r="B30" s="49" t="n"/>
      <c r="C30" s="49">
        <f>IFERROR(IF(B30="","",VLOOKUP(B30,DATABASE!A:B,2,0)),"")</f>
        <v/>
      </c>
      <c r="D30" s="49" t="n"/>
      <c r="E30" s="50" t="n"/>
      <c r="F30" s="51">
        <f>IF(B30="","",TODAY())</f>
        <v/>
      </c>
      <c r="G30" s="49" t="n"/>
      <c r="H30" s="50">
        <f>IFERROR(IF(OR(B30="",E30=""),"",SUMIF(LOANS!$B:$B,B30,LOANS!$D:$D)+E30),"")</f>
        <v/>
      </c>
      <c r="I30" s="50">
        <f>IFERROR(IF(H30="","",SUMIF(LOANS!$B:$B,B30,LOANS!$I:$I)+ABS(PMT(IFERROR(VLOOKUP(B30,LOANS!$B:$G,6,0),12)/100/12,IFERROR(VLOOKUP(B30,LOANS!$B:$H,7,0),12),E30))),"")</f>
        <v/>
      </c>
      <c r="J30" s="49">
        <f>IF(B30="","","Active")</f>
        <v/>
      </c>
    </row>
    <row r="31">
      <c r="A31" s="47">
        <f>IF(B31="","","TU"&amp;TEXT(ROW()-2,"0000"))</f>
        <v/>
      </c>
      <c r="B31" s="26" t="n"/>
      <c r="C31" s="26">
        <f>IFERROR(IF(B31="","",VLOOKUP(B31,DATABASE!A:B,2,0)),"")</f>
        <v/>
      </c>
      <c r="D31" s="26" t="n"/>
      <c r="E31" s="30" t="n"/>
      <c r="F31" s="31">
        <f>IF(B31="","",TODAY())</f>
        <v/>
      </c>
      <c r="G31" s="26" t="n"/>
      <c r="H31" s="30">
        <f>IFERROR(IF(OR(B31="",E31=""),"",SUMIF(LOANS!$B:$B,B31,LOANS!$D:$D)+E31),"")</f>
        <v/>
      </c>
      <c r="I31" s="30">
        <f>IFERROR(IF(H31="","",SUMIF(LOANS!$B:$B,B31,LOANS!$I:$I)+ABS(PMT(IFERROR(VLOOKUP(B31,LOANS!$B:$G,6,0),12)/100/12,IFERROR(VLOOKUP(B31,LOANS!$B:$H,7,0),12),E31))),"")</f>
        <v/>
      </c>
      <c r="J31" s="26">
        <f>IF(B31="","","Active")</f>
        <v/>
      </c>
    </row>
    <row r="32">
      <c r="A32" s="48">
        <f>IF(B32="","","TU"&amp;TEXT(ROW()-2,"0000"))</f>
        <v/>
      </c>
      <c r="B32" s="49" t="n"/>
      <c r="C32" s="49">
        <f>IFERROR(IF(B32="","",VLOOKUP(B32,DATABASE!A:B,2,0)),"")</f>
        <v/>
      </c>
      <c r="D32" s="49" t="n"/>
      <c r="E32" s="50" t="n"/>
      <c r="F32" s="51">
        <f>IF(B32="","",TODAY())</f>
        <v/>
      </c>
      <c r="G32" s="49" t="n"/>
      <c r="H32" s="50">
        <f>IFERROR(IF(OR(B32="",E32=""),"",SUMIF(LOANS!$B:$B,B32,LOANS!$D:$D)+E32),"")</f>
        <v/>
      </c>
      <c r="I32" s="50">
        <f>IFERROR(IF(H32="","",SUMIF(LOANS!$B:$B,B32,LOANS!$I:$I)+ABS(PMT(IFERROR(VLOOKUP(B32,LOANS!$B:$G,6,0),12)/100/12,IFERROR(VLOOKUP(B32,LOANS!$B:$H,7,0),12),E32))),"")</f>
        <v/>
      </c>
      <c r="J32" s="49">
        <f>IF(B32="","","Active")</f>
        <v/>
      </c>
    </row>
    <row r="33">
      <c r="A33" s="47">
        <f>IF(B33="","","TU"&amp;TEXT(ROW()-2,"0000"))</f>
        <v/>
      </c>
      <c r="B33" s="26" t="n"/>
      <c r="C33" s="26">
        <f>IFERROR(IF(B33="","",VLOOKUP(B33,DATABASE!A:B,2,0)),"")</f>
        <v/>
      </c>
      <c r="D33" s="26" t="n"/>
      <c r="E33" s="30" t="n"/>
      <c r="F33" s="31">
        <f>IF(B33="","",TODAY())</f>
        <v/>
      </c>
      <c r="G33" s="26" t="n"/>
      <c r="H33" s="30">
        <f>IFERROR(IF(OR(B33="",E33=""),"",SUMIF(LOANS!$B:$B,B33,LOANS!$D:$D)+E33),"")</f>
        <v/>
      </c>
      <c r="I33" s="30">
        <f>IFERROR(IF(H33="","",SUMIF(LOANS!$B:$B,B33,LOANS!$I:$I)+ABS(PMT(IFERROR(VLOOKUP(B33,LOANS!$B:$G,6,0),12)/100/12,IFERROR(VLOOKUP(B33,LOANS!$B:$H,7,0),12),E33))),"")</f>
        <v/>
      </c>
      <c r="J33" s="26">
        <f>IF(B33="","","Active")</f>
        <v/>
      </c>
    </row>
    <row r="34">
      <c r="A34" s="48">
        <f>IF(B34="","","TU"&amp;TEXT(ROW()-2,"0000"))</f>
        <v/>
      </c>
      <c r="B34" s="49" t="n"/>
      <c r="C34" s="49">
        <f>IFERROR(IF(B34="","",VLOOKUP(B34,DATABASE!A:B,2,0)),"")</f>
        <v/>
      </c>
      <c r="D34" s="49" t="n"/>
      <c r="E34" s="50" t="n"/>
      <c r="F34" s="51">
        <f>IF(B34="","",TODAY())</f>
        <v/>
      </c>
      <c r="G34" s="49" t="n"/>
      <c r="H34" s="50">
        <f>IFERROR(IF(OR(B34="",E34=""),"",SUMIF(LOANS!$B:$B,B34,LOANS!$D:$D)+E34),"")</f>
        <v/>
      </c>
      <c r="I34" s="50">
        <f>IFERROR(IF(H34="","",SUMIF(LOANS!$B:$B,B34,LOANS!$I:$I)+ABS(PMT(IFERROR(VLOOKUP(B34,LOANS!$B:$G,6,0),12)/100/12,IFERROR(VLOOKUP(B34,LOANS!$B:$H,7,0),12),E34))),"")</f>
        <v/>
      </c>
      <c r="J34" s="49">
        <f>IF(B34="","","Active")</f>
        <v/>
      </c>
    </row>
    <row r="35">
      <c r="A35" s="47">
        <f>IF(B35="","","TU"&amp;TEXT(ROW()-2,"0000"))</f>
        <v/>
      </c>
      <c r="B35" s="26" t="n"/>
      <c r="C35" s="26">
        <f>IFERROR(IF(B35="","",VLOOKUP(B35,DATABASE!A:B,2,0)),"")</f>
        <v/>
      </c>
      <c r="D35" s="26" t="n"/>
      <c r="E35" s="30" t="n"/>
      <c r="F35" s="31">
        <f>IF(B35="","",TODAY())</f>
        <v/>
      </c>
      <c r="G35" s="26" t="n"/>
      <c r="H35" s="30">
        <f>IFERROR(IF(OR(B35="",E35=""),"",SUMIF(LOANS!$B:$B,B35,LOANS!$D:$D)+E35),"")</f>
        <v/>
      </c>
      <c r="I35" s="30">
        <f>IFERROR(IF(H35="","",SUMIF(LOANS!$B:$B,B35,LOANS!$I:$I)+ABS(PMT(IFERROR(VLOOKUP(B35,LOANS!$B:$G,6,0),12)/100/12,IFERROR(VLOOKUP(B35,LOANS!$B:$H,7,0),12),E35))),"")</f>
        <v/>
      </c>
      <c r="J35" s="26">
        <f>IF(B35="","","Active")</f>
        <v/>
      </c>
    </row>
    <row r="36">
      <c r="A36" s="48">
        <f>IF(B36="","","TU"&amp;TEXT(ROW()-2,"0000"))</f>
        <v/>
      </c>
      <c r="B36" s="49" t="n"/>
      <c r="C36" s="49">
        <f>IFERROR(IF(B36="","",VLOOKUP(B36,DATABASE!A:B,2,0)),"")</f>
        <v/>
      </c>
      <c r="D36" s="49" t="n"/>
      <c r="E36" s="50" t="n"/>
      <c r="F36" s="51">
        <f>IF(B36="","",TODAY())</f>
        <v/>
      </c>
      <c r="G36" s="49" t="n"/>
      <c r="H36" s="50">
        <f>IFERROR(IF(OR(B36="",E36=""),"",SUMIF(LOANS!$B:$B,B36,LOANS!$D:$D)+E36),"")</f>
        <v/>
      </c>
      <c r="I36" s="50">
        <f>IFERROR(IF(H36="","",SUMIF(LOANS!$B:$B,B36,LOANS!$I:$I)+ABS(PMT(IFERROR(VLOOKUP(B36,LOANS!$B:$G,6,0),12)/100/12,IFERROR(VLOOKUP(B36,LOANS!$B:$H,7,0),12),E36))),"")</f>
        <v/>
      </c>
      <c r="J36" s="49">
        <f>IF(B36="","","Active")</f>
        <v/>
      </c>
    </row>
    <row r="37">
      <c r="A37" s="47">
        <f>IF(B37="","","TU"&amp;TEXT(ROW()-2,"0000"))</f>
        <v/>
      </c>
      <c r="B37" s="26" t="n"/>
      <c r="C37" s="26">
        <f>IFERROR(IF(B37="","",VLOOKUP(B37,DATABASE!A:B,2,0)),"")</f>
        <v/>
      </c>
      <c r="D37" s="26" t="n"/>
      <c r="E37" s="30" t="n"/>
      <c r="F37" s="31">
        <f>IF(B37="","",TODAY())</f>
        <v/>
      </c>
      <c r="G37" s="26" t="n"/>
      <c r="H37" s="30">
        <f>IFERROR(IF(OR(B37="",E37=""),"",SUMIF(LOANS!$B:$B,B37,LOANS!$D:$D)+E37),"")</f>
        <v/>
      </c>
      <c r="I37" s="30">
        <f>IFERROR(IF(H37="","",SUMIF(LOANS!$B:$B,B37,LOANS!$I:$I)+ABS(PMT(IFERROR(VLOOKUP(B37,LOANS!$B:$G,6,0),12)/100/12,IFERROR(VLOOKUP(B37,LOANS!$B:$H,7,0),12),E37))),"")</f>
        <v/>
      </c>
      <c r="J37" s="26">
        <f>IF(B37="","","Active")</f>
        <v/>
      </c>
    </row>
    <row r="38">
      <c r="A38" s="48">
        <f>IF(B38="","","TU"&amp;TEXT(ROW()-2,"0000"))</f>
        <v/>
      </c>
      <c r="B38" s="49" t="n"/>
      <c r="C38" s="49">
        <f>IFERROR(IF(B38="","",VLOOKUP(B38,DATABASE!A:B,2,0)),"")</f>
        <v/>
      </c>
      <c r="D38" s="49" t="n"/>
      <c r="E38" s="50" t="n"/>
      <c r="F38" s="51">
        <f>IF(B38="","",TODAY())</f>
        <v/>
      </c>
      <c r="G38" s="49" t="n"/>
      <c r="H38" s="50">
        <f>IFERROR(IF(OR(B38="",E38=""),"",SUMIF(LOANS!$B:$B,B38,LOANS!$D:$D)+E38),"")</f>
        <v/>
      </c>
      <c r="I38" s="50">
        <f>IFERROR(IF(H38="","",SUMIF(LOANS!$B:$B,B38,LOANS!$I:$I)+ABS(PMT(IFERROR(VLOOKUP(B38,LOANS!$B:$G,6,0),12)/100/12,IFERROR(VLOOKUP(B38,LOANS!$B:$H,7,0),12),E38))),"")</f>
        <v/>
      </c>
      <c r="J38" s="49">
        <f>IF(B38="","","Active")</f>
        <v/>
      </c>
    </row>
    <row r="39">
      <c r="A39" s="47">
        <f>IF(B39="","","TU"&amp;TEXT(ROW()-2,"0000"))</f>
        <v/>
      </c>
      <c r="B39" s="26" t="n"/>
      <c r="C39" s="26">
        <f>IFERROR(IF(B39="","",VLOOKUP(B39,DATABASE!A:B,2,0)),"")</f>
        <v/>
      </c>
      <c r="D39" s="26" t="n"/>
      <c r="E39" s="30" t="n"/>
      <c r="F39" s="31">
        <f>IF(B39="","",TODAY())</f>
        <v/>
      </c>
      <c r="G39" s="26" t="n"/>
      <c r="H39" s="30">
        <f>IFERROR(IF(OR(B39="",E39=""),"",SUMIF(LOANS!$B:$B,B39,LOANS!$D:$D)+E39),"")</f>
        <v/>
      </c>
      <c r="I39" s="30">
        <f>IFERROR(IF(H39="","",SUMIF(LOANS!$B:$B,B39,LOANS!$I:$I)+ABS(PMT(IFERROR(VLOOKUP(B39,LOANS!$B:$G,6,0),12)/100/12,IFERROR(VLOOKUP(B39,LOANS!$B:$H,7,0),12),E39))),"")</f>
        <v/>
      </c>
      <c r="J39" s="26">
        <f>IF(B39="","","Active")</f>
        <v/>
      </c>
    </row>
    <row r="40">
      <c r="A40" s="48">
        <f>IF(B40="","","TU"&amp;TEXT(ROW()-2,"0000"))</f>
        <v/>
      </c>
      <c r="B40" s="49" t="n"/>
      <c r="C40" s="49">
        <f>IFERROR(IF(B40="","",VLOOKUP(B40,DATABASE!A:B,2,0)),"")</f>
        <v/>
      </c>
      <c r="D40" s="49" t="n"/>
      <c r="E40" s="50" t="n"/>
      <c r="F40" s="51">
        <f>IF(B40="","",TODAY())</f>
        <v/>
      </c>
      <c r="G40" s="49" t="n"/>
      <c r="H40" s="50">
        <f>IFERROR(IF(OR(B40="",E40=""),"",SUMIF(LOANS!$B:$B,B40,LOANS!$D:$D)+E40),"")</f>
        <v/>
      </c>
      <c r="I40" s="50">
        <f>IFERROR(IF(H40="","",SUMIF(LOANS!$B:$B,B40,LOANS!$I:$I)+ABS(PMT(IFERROR(VLOOKUP(B40,LOANS!$B:$G,6,0),12)/100/12,IFERROR(VLOOKUP(B40,LOANS!$B:$H,7,0),12),E40))),"")</f>
        <v/>
      </c>
      <c r="J40" s="49">
        <f>IF(B40="","","Active")</f>
        <v/>
      </c>
    </row>
    <row r="41">
      <c r="A41" s="47">
        <f>IF(B41="","","TU"&amp;TEXT(ROW()-2,"0000"))</f>
        <v/>
      </c>
      <c r="B41" s="26" t="n"/>
      <c r="C41" s="26">
        <f>IFERROR(IF(B41="","",VLOOKUP(B41,DATABASE!A:B,2,0)),"")</f>
        <v/>
      </c>
      <c r="D41" s="26" t="n"/>
      <c r="E41" s="30" t="n"/>
      <c r="F41" s="31">
        <f>IF(B41="","",TODAY())</f>
        <v/>
      </c>
      <c r="G41" s="26" t="n"/>
      <c r="H41" s="30">
        <f>IFERROR(IF(OR(B41="",E41=""),"",SUMIF(LOANS!$B:$B,B41,LOANS!$D:$D)+E41),"")</f>
        <v/>
      </c>
      <c r="I41" s="30">
        <f>IFERROR(IF(H41="","",SUMIF(LOANS!$B:$B,B41,LOANS!$I:$I)+ABS(PMT(IFERROR(VLOOKUP(B41,LOANS!$B:$G,6,0),12)/100/12,IFERROR(VLOOKUP(B41,LOANS!$B:$H,7,0),12),E41))),"")</f>
        <v/>
      </c>
      <c r="J41" s="26">
        <f>IF(B41="","","Active")</f>
        <v/>
      </c>
    </row>
    <row r="42">
      <c r="A42" s="48">
        <f>IF(B42="","","TU"&amp;TEXT(ROW()-2,"0000"))</f>
        <v/>
      </c>
      <c r="B42" s="49" t="n"/>
      <c r="C42" s="49">
        <f>IFERROR(IF(B42="","",VLOOKUP(B42,DATABASE!A:B,2,0)),"")</f>
        <v/>
      </c>
      <c r="D42" s="49" t="n"/>
      <c r="E42" s="50" t="n"/>
      <c r="F42" s="51">
        <f>IF(B42="","",TODAY())</f>
        <v/>
      </c>
      <c r="G42" s="49" t="n"/>
      <c r="H42" s="50">
        <f>IFERROR(IF(OR(B42="",E42=""),"",SUMIF(LOANS!$B:$B,B42,LOANS!$D:$D)+E42),"")</f>
        <v/>
      </c>
      <c r="I42" s="50">
        <f>IFERROR(IF(H42="","",SUMIF(LOANS!$B:$B,B42,LOANS!$I:$I)+ABS(PMT(IFERROR(VLOOKUP(B42,LOANS!$B:$G,6,0),12)/100/12,IFERROR(VLOOKUP(B42,LOANS!$B:$H,7,0),12),E42))),"")</f>
        <v/>
      </c>
      <c r="J42" s="49">
        <f>IF(B42="","","Active")</f>
        <v/>
      </c>
    </row>
    <row r="43">
      <c r="A43" s="47">
        <f>IF(B43="","","TU"&amp;TEXT(ROW()-2,"0000"))</f>
        <v/>
      </c>
      <c r="B43" s="26" t="n"/>
      <c r="C43" s="26">
        <f>IFERROR(IF(B43="","",VLOOKUP(B43,DATABASE!A:B,2,0)),"")</f>
        <v/>
      </c>
      <c r="D43" s="26" t="n"/>
      <c r="E43" s="30" t="n"/>
      <c r="F43" s="31">
        <f>IF(B43="","",TODAY())</f>
        <v/>
      </c>
      <c r="G43" s="26" t="n"/>
      <c r="H43" s="30">
        <f>IFERROR(IF(OR(B43="",E43=""),"",SUMIF(LOANS!$B:$B,B43,LOANS!$D:$D)+E43),"")</f>
        <v/>
      </c>
      <c r="I43" s="30">
        <f>IFERROR(IF(H43="","",SUMIF(LOANS!$B:$B,B43,LOANS!$I:$I)+ABS(PMT(IFERROR(VLOOKUP(B43,LOANS!$B:$G,6,0),12)/100/12,IFERROR(VLOOKUP(B43,LOANS!$B:$H,7,0),12),E43))),"")</f>
        <v/>
      </c>
      <c r="J43" s="26">
        <f>IF(B43="","","Active")</f>
        <v/>
      </c>
    </row>
    <row r="44">
      <c r="A44" s="48">
        <f>IF(B44="","","TU"&amp;TEXT(ROW()-2,"0000"))</f>
        <v/>
      </c>
      <c r="B44" s="49" t="n"/>
      <c r="C44" s="49">
        <f>IFERROR(IF(B44="","",VLOOKUP(B44,DATABASE!A:B,2,0)),"")</f>
        <v/>
      </c>
      <c r="D44" s="49" t="n"/>
      <c r="E44" s="50" t="n"/>
      <c r="F44" s="51">
        <f>IF(B44="","",TODAY())</f>
        <v/>
      </c>
      <c r="G44" s="49" t="n"/>
      <c r="H44" s="50">
        <f>IFERROR(IF(OR(B44="",E44=""),"",SUMIF(LOANS!$B:$B,B44,LOANS!$D:$D)+E44),"")</f>
        <v/>
      </c>
      <c r="I44" s="50">
        <f>IFERROR(IF(H44="","",SUMIF(LOANS!$B:$B,B44,LOANS!$I:$I)+ABS(PMT(IFERROR(VLOOKUP(B44,LOANS!$B:$G,6,0),12)/100/12,IFERROR(VLOOKUP(B44,LOANS!$B:$H,7,0),12),E44))),"")</f>
        <v/>
      </c>
      <c r="J44" s="49">
        <f>IF(B44="","","Active")</f>
        <v/>
      </c>
    </row>
    <row r="45">
      <c r="A45" s="47">
        <f>IF(B45="","","TU"&amp;TEXT(ROW()-2,"0000"))</f>
        <v/>
      </c>
      <c r="B45" s="26" t="n"/>
      <c r="C45" s="26">
        <f>IFERROR(IF(B45="","",VLOOKUP(B45,DATABASE!A:B,2,0)),"")</f>
        <v/>
      </c>
      <c r="D45" s="26" t="n"/>
      <c r="E45" s="30" t="n"/>
      <c r="F45" s="31">
        <f>IF(B45="","",TODAY())</f>
        <v/>
      </c>
      <c r="G45" s="26" t="n"/>
      <c r="H45" s="30">
        <f>IFERROR(IF(OR(B45="",E45=""),"",SUMIF(LOANS!$B:$B,B45,LOANS!$D:$D)+E45),"")</f>
        <v/>
      </c>
      <c r="I45" s="30">
        <f>IFERROR(IF(H45="","",SUMIF(LOANS!$B:$B,B45,LOANS!$I:$I)+ABS(PMT(IFERROR(VLOOKUP(B45,LOANS!$B:$G,6,0),12)/100/12,IFERROR(VLOOKUP(B45,LOANS!$B:$H,7,0),12),E45))),"")</f>
        <v/>
      </c>
      <c r="J45" s="26">
        <f>IF(B45="","","Active")</f>
        <v/>
      </c>
    </row>
    <row r="46">
      <c r="A46" s="48">
        <f>IF(B46="","","TU"&amp;TEXT(ROW()-2,"0000"))</f>
        <v/>
      </c>
      <c r="B46" s="49" t="n"/>
      <c r="C46" s="49">
        <f>IFERROR(IF(B46="","",VLOOKUP(B46,DATABASE!A:B,2,0)),"")</f>
        <v/>
      </c>
      <c r="D46" s="49" t="n"/>
      <c r="E46" s="50" t="n"/>
      <c r="F46" s="51">
        <f>IF(B46="","",TODAY())</f>
        <v/>
      </c>
      <c r="G46" s="49" t="n"/>
      <c r="H46" s="50">
        <f>IFERROR(IF(OR(B46="",E46=""),"",SUMIF(LOANS!$B:$B,B46,LOANS!$D:$D)+E46),"")</f>
        <v/>
      </c>
      <c r="I46" s="50">
        <f>IFERROR(IF(H46="","",SUMIF(LOANS!$B:$B,B46,LOANS!$I:$I)+ABS(PMT(IFERROR(VLOOKUP(B46,LOANS!$B:$G,6,0),12)/100/12,IFERROR(VLOOKUP(B46,LOANS!$B:$H,7,0),12),E46))),"")</f>
        <v/>
      </c>
      <c r="J46" s="49">
        <f>IF(B46="","","Active")</f>
        <v/>
      </c>
    </row>
    <row r="47">
      <c r="A47" s="47">
        <f>IF(B47="","","TU"&amp;TEXT(ROW()-2,"0000"))</f>
        <v/>
      </c>
      <c r="B47" s="26" t="n"/>
      <c r="C47" s="26">
        <f>IFERROR(IF(B47="","",VLOOKUP(B47,DATABASE!A:B,2,0)),"")</f>
        <v/>
      </c>
      <c r="D47" s="26" t="n"/>
      <c r="E47" s="30" t="n"/>
      <c r="F47" s="31">
        <f>IF(B47="","",TODAY())</f>
        <v/>
      </c>
      <c r="G47" s="26" t="n"/>
      <c r="H47" s="30">
        <f>IFERROR(IF(OR(B47="",E47=""),"",SUMIF(LOANS!$B:$B,B47,LOANS!$D:$D)+E47),"")</f>
        <v/>
      </c>
      <c r="I47" s="30">
        <f>IFERROR(IF(H47="","",SUMIF(LOANS!$B:$B,B47,LOANS!$I:$I)+ABS(PMT(IFERROR(VLOOKUP(B47,LOANS!$B:$G,6,0),12)/100/12,IFERROR(VLOOKUP(B47,LOANS!$B:$H,7,0),12),E47))),"")</f>
        <v/>
      </c>
      <c r="J47" s="26">
        <f>IF(B47="","","Active")</f>
        <v/>
      </c>
    </row>
    <row r="48">
      <c r="A48" s="48">
        <f>IF(B48="","","TU"&amp;TEXT(ROW()-2,"0000"))</f>
        <v/>
      </c>
      <c r="B48" s="49" t="n"/>
      <c r="C48" s="49">
        <f>IFERROR(IF(B48="","",VLOOKUP(B48,DATABASE!A:B,2,0)),"")</f>
        <v/>
      </c>
      <c r="D48" s="49" t="n"/>
      <c r="E48" s="50" t="n"/>
      <c r="F48" s="51">
        <f>IF(B48="","",TODAY())</f>
        <v/>
      </c>
      <c r="G48" s="49" t="n"/>
      <c r="H48" s="50">
        <f>IFERROR(IF(OR(B48="",E48=""),"",SUMIF(LOANS!$B:$B,B48,LOANS!$D:$D)+E48),"")</f>
        <v/>
      </c>
      <c r="I48" s="50">
        <f>IFERROR(IF(H48="","",SUMIF(LOANS!$B:$B,B48,LOANS!$I:$I)+ABS(PMT(IFERROR(VLOOKUP(B48,LOANS!$B:$G,6,0),12)/100/12,IFERROR(VLOOKUP(B48,LOANS!$B:$H,7,0),12),E48))),"")</f>
        <v/>
      </c>
      <c r="J48" s="49">
        <f>IF(B48="","","Active")</f>
        <v/>
      </c>
    </row>
    <row r="49">
      <c r="A49" s="47">
        <f>IF(B49="","","TU"&amp;TEXT(ROW()-2,"0000"))</f>
        <v/>
      </c>
      <c r="B49" s="26" t="n"/>
      <c r="C49" s="26">
        <f>IFERROR(IF(B49="","",VLOOKUP(B49,DATABASE!A:B,2,0)),"")</f>
        <v/>
      </c>
      <c r="D49" s="26" t="n"/>
      <c r="E49" s="30" t="n"/>
      <c r="F49" s="31">
        <f>IF(B49="","",TODAY())</f>
        <v/>
      </c>
      <c r="G49" s="26" t="n"/>
      <c r="H49" s="30">
        <f>IFERROR(IF(OR(B49="",E49=""),"",SUMIF(LOANS!$B:$B,B49,LOANS!$D:$D)+E49),"")</f>
        <v/>
      </c>
      <c r="I49" s="30">
        <f>IFERROR(IF(H49="","",SUMIF(LOANS!$B:$B,B49,LOANS!$I:$I)+ABS(PMT(IFERROR(VLOOKUP(B49,LOANS!$B:$G,6,0),12)/100/12,IFERROR(VLOOKUP(B49,LOANS!$B:$H,7,0),12),E49))),"")</f>
        <v/>
      </c>
      <c r="J49" s="26">
        <f>IF(B49="","","Active")</f>
        <v/>
      </c>
    </row>
    <row r="50">
      <c r="A50" s="48">
        <f>IF(B50="","","TU"&amp;TEXT(ROW()-2,"0000"))</f>
        <v/>
      </c>
      <c r="B50" s="49" t="n"/>
      <c r="C50" s="49">
        <f>IFERROR(IF(B50="","",VLOOKUP(B50,DATABASE!A:B,2,0)),"")</f>
        <v/>
      </c>
      <c r="D50" s="49" t="n"/>
      <c r="E50" s="50" t="n"/>
      <c r="F50" s="51">
        <f>IF(B50="","",TODAY())</f>
        <v/>
      </c>
      <c r="G50" s="49" t="n"/>
      <c r="H50" s="50">
        <f>IFERROR(IF(OR(B50="",E50=""),"",SUMIF(LOANS!$B:$B,B50,LOANS!$D:$D)+E50),"")</f>
        <v/>
      </c>
      <c r="I50" s="50">
        <f>IFERROR(IF(H50="","",SUMIF(LOANS!$B:$B,B50,LOANS!$I:$I)+ABS(PMT(IFERROR(VLOOKUP(B50,LOANS!$B:$G,6,0),12)/100/12,IFERROR(VLOOKUP(B50,LOANS!$B:$H,7,0),12),E50))),"")</f>
        <v/>
      </c>
      <c r="J50" s="49">
        <f>IF(B50="","","Active")</f>
        <v/>
      </c>
    </row>
    <row r="51">
      <c r="A51" s="47">
        <f>IF(B51="","","TU"&amp;TEXT(ROW()-2,"0000"))</f>
        <v/>
      </c>
      <c r="B51" s="26" t="n"/>
      <c r="C51" s="26">
        <f>IFERROR(IF(B51="","",VLOOKUP(B51,DATABASE!A:B,2,0)),"")</f>
        <v/>
      </c>
      <c r="D51" s="26" t="n"/>
      <c r="E51" s="30" t="n"/>
      <c r="F51" s="31">
        <f>IF(B51="","",TODAY())</f>
        <v/>
      </c>
      <c r="G51" s="26" t="n"/>
      <c r="H51" s="30">
        <f>IFERROR(IF(OR(B51="",E51=""),"",SUMIF(LOANS!$B:$B,B51,LOANS!$D:$D)+E51),"")</f>
        <v/>
      </c>
      <c r="I51" s="30">
        <f>IFERROR(IF(H51="","",SUMIF(LOANS!$B:$B,B51,LOANS!$I:$I)+ABS(PMT(IFERROR(VLOOKUP(B51,LOANS!$B:$G,6,0),12)/100/12,IFERROR(VLOOKUP(B51,LOANS!$B:$H,7,0),12),E51))),"")</f>
        <v/>
      </c>
      <c r="J51" s="26">
        <f>IF(B51="","","Active")</f>
        <v/>
      </c>
    </row>
    <row r="52">
      <c r="A52" s="48">
        <f>IF(B52="","","TU"&amp;TEXT(ROW()-2,"0000"))</f>
        <v/>
      </c>
      <c r="B52" s="49" t="n"/>
      <c r="C52" s="49">
        <f>IFERROR(IF(B52="","",VLOOKUP(B52,DATABASE!A:B,2,0)),"")</f>
        <v/>
      </c>
      <c r="D52" s="49" t="n"/>
      <c r="E52" s="50" t="n"/>
      <c r="F52" s="51">
        <f>IF(B52="","",TODAY())</f>
        <v/>
      </c>
      <c r="G52" s="49" t="n"/>
      <c r="H52" s="50">
        <f>IFERROR(IF(OR(B52="",E52=""),"",SUMIF(LOANS!$B:$B,B52,LOANS!$D:$D)+E52),"")</f>
        <v/>
      </c>
      <c r="I52" s="50">
        <f>IFERROR(IF(H52="","",SUMIF(LOANS!$B:$B,B52,LOANS!$I:$I)+ABS(PMT(IFERROR(VLOOKUP(B52,LOANS!$B:$G,6,0),12)/100/12,IFERROR(VLOOKUP(B52,LOANS!$B:$H,7,0),12),E52))),"")</f>
        <v/>
      </c>
      <c r="J52" s="49">
        <f>IF(B52="","","Active")</f>
        <v/>
      </c>
    </row>
    <row r="53">
      <c r="A53" s="47">
        <f>IF(B53="","","TU"&amp;TEXT(ROW()-2,"0000"))</f>
        <v/>
      </c>
      <c r="B53" s="26" t="n"/>
      <c r="C53" s="26">
        <f>IFERROR(IF(B53="","",VLOOKUP(B53,DATABASE!A:B,2,0)),"")</f>
        <v/>
      </c>
      <c r="D53" s="26" t="n"/>
      <c r="E53" s="30" t="n"/>
      <c r="F53" s="31">
        <f>IF(B53="","",TODAY())</f>
        <v/>
      </c>
      <c r="G53" s="26" t="n"/>
      <c r="H53" s="30">
        <f>IFERROR(IF(OR(B53="",E53=""),"",SUMIF(LOANS!$B:$B,B53,LOANS!$D:$D)+E53),"")</f>
        <v/>
      </c>
      <c r="I53" s="30">
        <f>IFERROR(IF(H53="","",SUMIF(LOANS!$B:$B,B53,LOANS!$I:$I)+ABS(PMT(IFERROR(VLOOKUP(B53,LOANS!$B:$G,6,0),12)/100/12,IFERROR(VLOOKUP(B53,LOANS!$B:$H,7,0),12),E53))),"")</f>
        <v/>
      </c>
      <c r="J53" s="26">
        <f>IF(B53="","","Active")</f>
        <v/>
      </c>
    </row>
    <row r="54">
      <c r="A54" s="48">
        <f>IF(B54="","","TU"&amp;TEXT(ROW()-2,"0000"))</f>
        <v/>
      </c>
      <c r="B54" s="49" t="n"/>
      <c r="C54" s="49">
        <f>IFERROR(IF(B54="","",VLOOKUP(B54,DATABASE!A:B,2,0)),"")</f>
        <v/>
      </c>
      <c r="D54" s="49" t="n"/>
      <c r="E54" s="50" t="n"/>
      <c r="F54" s="51">
        <f>IF(B54="","",TODAY())</f>
        <v/>
      </c>
      <c r="G54" s="49" t="n"/>
      <c r="H54" s="50">
        <f>IFERROR(IF(OR(B54="",E54=""),"",SUMIF(LOANS!$B:$B,B54,LOANS!$D:$D)+E54),"")</f>
        <v/>
      </c>
      <c r="I54" s="50">
        <f>IFERROR(IF(H54="","",SUMIF(LOANS!$B:$B,B54,LOANS!$I:$I)+ABS(PMT(IFERROR(VLOOKUP(B54,LOANS!$B:$G,6,0),12)/100/12,IFERROR(VLOOKUP(B54,LOANS!$B:$H,7,0),12),E54))),"")</f>
        <v/>
      </c>
      <c r="J54" s="49">
        <f>IF(B54="","","Active")</f>
        <v/>
      </c>
    </row>
    <row r="55">
      <c r="A55" s="47">
        <f>IF(B55="","","TU"&amp;TEXT(ROW()-2,"0000"))</f>
        <v/>
      </c>
      <c r="B55" s="26" t="n"/>
      <c r="C55" s="26">
        <f>IFERROR(IF(B55="","",VLOOKUP(B55,DATABASE!A:B,2,0)),"")</f>
        <v/>
      </c>
      <c r="D55" s="26" t="n"/>
      <c r="E55" s="30" t="n"/>
      <c r="F55" s="31">
        <f>IF(B55="","",TODAY())</f>
        <v/>
      </c>
      <c r="G55" s="26" t="n"/>
      <c r="H55" s="30">
        <f>IFERROR(IF(OR(B55="",E55=""),"",SUMIF(LOANS!$B:$B,B55,LOANS!$D:$D)+E55),"")</f>
        <v/>
      </c>
      <c r="I55" s="30">
        <f>IFERROR(IF(H55="","",SUMIF(LOANS!$B:$B,B55,LOANS!$I:$I)+ABS(PMT(IFERROR(VLOOKUP(B55,LOANS!$B:$G,6,0),12)/100/12,IFERROR(VLOOKUP(B55,LOANS!$B:$H,7,0),12),E55))),"")</f>
        <v/>
      </c>
      <c r="J55" s="26">
        <f>IF(B55="","","Active")</f>
        <v/>
      </c>
    </row>
    <row r="56">
      <c r="A56" s="48">
        <f>IF(B56="","","TU"&amp;TEXT(ROW()-2,"0000"))</f>
        <v/>
      </c>
      <c r="B56" s="49" t="n"/>
      <c r="C56" s="49">
        <f>IFERROR(IF(B56="","",VLOOKUP(B56,DATABASE!A:B,2,0)),"")</f>
        <v/>
      </c>
      <c r="D56" s="49" t="n"/>
      <c r="E56" s="50" t="n"/>
      <c r="F56" s="51">
        <f>IF(B56="","",TODAY())</f>
        <v/>
      </c>
      <c r="G56" s="49" t="n"/>
      <c r="H56" s="50">
        <f>IFERROR(IF(OR(B56="",E56=""),"",SUMIF(LOANS!$B:$B,B56,LOANS!$D:$D)+E56),"")</f>
        <v/>
      </c>
      <c r="I56" s="50">
        <f>IFERROR(IF(H56="","",SUMIF(LOANS!$B:$B,B56,LOANS!$I:$I)+ABS(PMT(IFERROR(VLOOKUP(B56,LOANS!$B:$G,6,0),12)/100/12,IFERROR(VLOOKUP(B56,LOANS!$B:$H,7,0),12),E56))),"")</f>
        <v/>
      </c>
      <c r="J56" s="49">
        <f>IF(B56="","","Active")</f>
        <v/>
      </c>
    </row>
    <row r="57">
      <c r="A57" s="47">
        <f>IF(B57="","","TU"&amp;TEXT(ROW()-2,"0000"))</f>
        <v/>
      </c>
      <c r="B57" s="26" t="n"/>
      <c r="C57" s="26">
        <f>IFERROR(IF(B57="","",VLOOKUP(B57,DATABASE!A:B,2,0)),"")</f>
        <v/>
      </c>
      <c r="D57" s="26" t="n"/>
      <c r="E57" s="30" t="n"/>
      <c r="F57" s="31">
        <f>IF(B57="","",TODAY())</f>
        <v/>
      </c>
      <c r="G57" s="26" t="n"/>
      <c r="H57" s="30">
        <f>IFERROR(IF(OR(B57="",E57=""),"",SUMIF(LOANS!$B:$B,B57,LOANS!$D:$D)+E57),"")</f>
        <v/>
      </c>
      <c r="I57" s="30">
        <f>IFERROR(IF(H57="","",SUMIF(LOANS!$B:$B,B57,LOANS!$I:$I)+ABS(PMT(IFERROR(VLOOKUP(B57,LOANS!$B:$G,6,0),12)/100/12,IFERROR(VLOOKUP(B57,LOANS!$B:$H,7,0),12),E57))),"")</f>
        <v/>
      </c>
      <c r="J57" s="26">
        <f>IF(B57="","","Active")</f>
        <v/>
      </c>
    </row>
    <row r="58">
      <c r="A58" s="48">
        <f>IF(B58="","","TU"&amp;TEXT(ROW()-2,"0000"))</f>
        <v/>
      </c>
      <c r="B58" s="49" t="n"/>
      <c r="C58" s="49">
        <f>IFERROR(IF(B58="","",VLOOKUP(B58,DATABASE!A:B,2,0)),"")</f>
        <v/>
      </c>
      <c r="D58" s="49" t="n"/>
      <c r="E58" s="50" t="n"/>
      <c r="F58" s="51">
        <f>IF(B58="","",TODAY())</f>
        <v/>
      </c>
      <c r="G58" s="49" t="n"/>
      <c r="H58" s="50">
        <f>IFERROR(IF(OR(B58="",E58=""),"",SUMIF(LOANS!$B:$B,B58,LOANS!$D:$D)+E58),"")</f>
        <v/>
      </c>
      <c r="I58" s="50">
        <f>IFERROR(IF(H58="","",SUMIF(LOANS!$B:$B,B58,LOANS!$I:$I)+ABS(PMT(IFERROR(VLOOKUP(B58,LOANS!$B:$G,6,0),12)/100/12,IFERROR(VLOOKUP(B58,LOANS!$B:$H,7,0),12),E58))),"")</f>
        <v/>
      </c>
      <c r="J58" s="49">
        <f>IF(B58="","","Active")</f>
        <v/>
      </c>
    </row>
    <row r="59">
      <c r="A59" s="47">
        <f>IF(B59="","","TU"&amp;TEXT(ROW()-2,"0000"))</f>
        <v/>
      </c>
      <c r="B59" s="26" t="n"/>
      <c r="C59" s="26">
        <f>IFERROR(IF(B59="","",VLOOKUP(B59,DATABASE!A:B,2,0)),"")</f>
        <v/>
      </c>
      <c r="D59" s="26" t="n"/>
      <c r="E59" s="30" t="n"/>
      <c r="F59" s="31">
        <f>IF(B59="","",TODAY())</f>
        <v/>
      </c>
      <c r="G59" s="26" t="n"/>
      <c r="H59" s="30">
        <f>IFERROR(IF(OR(B59="",E59=""),"",SUMIF(LOANS!$B:$B,B59,LOANS!$D:$D)+E59),"")</f>
        <v/>
      </c>
      <c r="I59" s="30">
        <f>IFERROR(IF(H59="","",SUMIF(LOANS!$B:$B,B59,LOANS!$I:$I)+ABS(PMT(IFERROR(VLOOKUP(B59,LOANS!$B:$G,6,0),12)/100/12,IFERROR(VLOOKUP(B59,LOANS!$B:$H,7,0),12),E59))),"")</f>
        <v/>
      </c>
      <c r="J59" s="26">
        <f>IF(B59="","","Active")</f>
        <v/>
      </c>
    </row>
    <row r="60">
      <c r="A60" s="48">
        <f>IF(B60="","","TU"&amp;TEXT(ROW()-2,"0000"))</f>
        <v/>
      </c>
      <c r="B60" s="49" t="n"/>
      <c r="C60" s="49">
        <f>IFERROR(IF(B60="","",VLOOKUP(B60,DATABASE!A:B,2,0)),"")</f>
        <v/>
      </c>
      <c r="D60" s="49" t="n"/>
      <c r="E60" s="50" t="n"/>
      <c r="F60" s="51">
        <f>IF(B60="","",TODAY())</f>
        <v/>
      </c>
      <c r="G60" s="49" t="n"/>
      <c r="H60" s="50">
        <f>IFERROR(IF(OR(B60="",E60=""),"",SUMIF(LOANS!$B:$B,B60,LOANS!$D:$D)+E60),"")</f>
        <v/>
      </c>
      <c r="I60" s="50">
        <f>IFERROR(IF(H60="","",SUMIF(LOANS!$B:$B,B60,LOANS!$I:$I)+ABS(PMT(IFERROR(VLOOKUP(B60,LOANS!$B:$G,6,0),12)/100/12,IFERROR(VLOOKUP(B60,LOANS!$B:$H,7,0),12),E60))),"")</f>
        <v/>
      </c>
      <c r="J60" s="49">
        <f>IF(B60="","","Active")</f>
        <v/>
      </c>
    </row>
    <row r="61">
      <c r="A61" s="47">
        <f>IF(B61="","","TU"&amp;TEXT(ROW()-2,"0000"))</f>
        <v/>
      </c>
      <c r="B61" s="26" t="n"/>
      <c r="C61" s="26">
        <f>IFERROR(IF(B61="","",VLOOKUP(B61,DATABASE!A:B,2,0)),"")</f>
        <v/>
      </c>
      <c r="D61" s="26" t="n"/>
      <c r="E61" s="30" t="n"/>
      <c r="F61" s="31">
        <f>IF(B61="","",TODAY())</f>
        <v/>
      </c>
      <c r="G61" s="26" t="n"/>
      <c r="H61" s="30">
        <f>IFERROR(IF(OR(B61="",E61=""),"",SUMIF(LOANS!$B:$B,B61,LOANS!$D:$D)+E61),"")</f>
        <v/>
      </c>
      <c r="I61" s="30">
        <f>IFERROR(IF(H61="","",SUMIF(LOANS!$B:$B,B61,LOANS!$I:$I)+ABS(PMT(IFERROR(VLOOKUP(B61,LOANS!$B:$G,6,0),12)/100/12,IFERROR(VLOOKUP(B61,LOANS!$B:$H,7,0),12),E61))),"")</f>
        <v/>
      </c>
      <c r="J61" s="26">
        <f>IF(B61="","","Active")</f>
        <v/>
      </c>
    </row>
    <row r="62">
      <c r="A62" s="48">
        <f>IF(B62="","","TU"&amp;TEXT(ROW()-2,"0000"))</f>
        <v/>
      </c>
      <c r="B62" s="49" t="n"/>
      <c r="C62" s="49">
        <f>IFERROR(IF(B62="","",VLOOKUP(B62,DATABASE!A:B,2,0)),"")</f>
        <v/>
      </c>
      <c r="D62" s="49" t="n"/>
      <c r="E62" s="50" t="n"/>
      <c r="F62" s="51">
        <f>IF(B62="","",TODAY())</f>
        <v/>
      </c>
      <c r="G62" s="49" t="n"/>
      <c r="H62" s="50">
        <f>IFERROR(IF(OR(B62="",E62=""),"",SUMIF(LOANS!$B:$B,B62,LOANS!$D:$D)+E62),"")</f>
        <v/>
      </c>
      <c r="I62" s="50">
        <f>IFERROR(IF(H62="","",SUMIF(LOANS!$B:$B,B62,LOANS!$I:$I)+ABS(PMT(IFERROR(VLOOKUP(B62,LOANS!$B:$G,6,0),12)/100/12,IFERROR(VLOOKUP(B62,LOANS!$B:$H,7,0),12),E62))),"")</f>
        <v/>
      </c>
      <c r="J62" s="49">
        <f>IF(B62="","","Active")</f>
        <v/>
      </c>
    </row>
    <row r="63">
      <c r="A63" s="47">
        <f>IF(B63="","","TU"&amp;TEXT(ROW()-2,"0000"))</f>
        <v/>
      </c>
      <c r="B63" s="26" t="n"/>
      <c r="C63" s="26">
        <f>IFERROR(IF(B63="","",VLOOKUP(B63,DATABASE!A:B,2,0)),"")</f>
        <v/>
      </c>
      <c r="D63" s="26" t="n"/>
      <c r="E63" s="30" t="n"/>
      <c r="F63" s="31">
        <f>IF(B63="","",TODAY())</f>
        <v/>
      </c>
      <c r="G63" s="26" t="n"/>
      <c r="H63" s="30">
        <f>IFERROR(IF(OR(B63="",E63=""),"",SUMIF(LOANS!$B:$B,B63,LOANS!$D:$D)+E63),"")</f>
        <v/>
      </c>
      <c r="I63" s="30">
        <f>IFERROR(IF(H63="","",SUMIF(LOANS!$B:$B,B63,LOANS!$I:$I)+ABS(PMT(IFERROR(VLOOKUP(B63,LOANS!$B:$G,6,0),12)/100/12,IFERROR(VLOOKUP(B63,LOANS!$B:$H,7,0),12),E63))),"")</f>
        <v/>
      </c>
      <c r="J63" s="26">
        <f>IF(B63="","","Active")</f>
        <v/>
      </c>
    </row>
    <row r="64">
      <c r="A64" s="48">
        <f>IF(B64="","","TU"&amp;TEXT(ROW()-2,"0000"))</f>
        <v/>
      </c>
      <c r="B64" s="49" t="n"/>
      <c r="C64" s="49">
        <f>IFERROR(IF(B64="","",VLOOKUP(B64,DATABASE!A:B,2,0)),"")</f>
        <v/>
      </c>
      <c r="D64" s="49" t="n"/>
      <c r="E64" s="50" t="n"/>
      <c r="F64" s="51">
        <f>IF(B64="","",TODAY())</f>
        <v/>
      </c>
      <c r="G64" s="49" t="n"/>
      <c r="H64" s="50">
        <f>IFERROR(IF(OR(B64="",E64=""),"",SUMIF(LOANS!$B:$B,B64,LOANS!$D:$D)+E64),"")</f>
        <v/>
      </c>
      <c r="I64" s="50">
        <f>IFERROR(IF(H64="","",SUMIF(LOANS!$B:$B,B64,LOANS!$I:$I)+ABS(PMT(IFERROR(VLOOKUP(B64,LOANS!$B:$G,6,0),12)/100/12,IFERROR(VLOOKUP(B64,LOANS!$B:$H,7,0),12),E64))),"")</f>
        <v/>
      </c>
      <c r="J64" s="49">
        <f>IF(B64="","","Active")</f>
        <v/>
      </c>
    </row>
    <row r="65">
      <c r="A65" s="47">
        <f>IF(B65="","","TU"&amp;TEXT(ROW()-2,"0000"))</f>
        <v/>
      </c>
      <c r="B65" s="26" t="n"/>
      <c r="C65" s="26">
        <f>IFERROR(IF(B65="","",VLOOKUP(B65,DATABASE!A:B,2,0)),"")</f>
        <v/>
      </c>
      <c r="D65" s="26" t="n"/>
      <c r="E65" s="30" t="n"/>
      <c r="F65" s="31">
        <f>IF(B65="","",TODAY())</f>
        <v/>
      </c>
      <c r="G65" s="26" t="n"/>
      <c r="H65" s="30">
        <f>IFERROR(IF(OR(B65="",E65=""),"",SUMIF(LOANS!$B:$B,B65,LOANS!$D:$D)+E65),"")</f>
        <v/>
      </c>
      <c r="I65" s="30">
        <f>IFERROR(IF(H65="","",SUMIF(LOANS!$B:$B,B65,LOANS!$I:$I)+ABS(PMT(IFERROR(VLOOKUP(B65,LOANS!$B:$G,6,0),12)/100/12,IFERROR(VLOOKUP(B65,LOANS!$B:$H,7,0),12),E65))),"")</f>
        <v/>
      </c>
      <c r="J65" s="26">
        <f>IF(B65="","","Active")</f>
        <v/>
      </c>
    </row>
    <row r="66">
      <c r="A66" s="48">
        <f>IF(B66="","","TU"&amp;TEXT(ROW()-2,"0000"))</f>
        <v/>
      </c>
      <c r="B66" s="49" t="n"/>
      <c r="C66" s="49">
        <f>IFERROR(IF(B66="","",VLOOKUP(B66,DATABASE!A:B,2,0)),"")</f>
        <v/>
      </c>
      <c r="D66" s="49" t="n"/>
      <c r="E66" s="50" t="n"/>
      <c r="F66" s="51">
        <f>IF(B66="","",TODAY())</f>
        <v/>
      </c>
      <c r="G66" s="49" t="n"/>
      <c r="H66" s="50">
        <f>IFERROR(IF(OR(B66="",E66=""),"",SUMIF(LOANS!$B:$B,B66,LOANS!$D:$D)+E66),"")</f>
        <v/>
      </c>
      <c r="I66" s="50">
        <f>IFERROR(IF(H66="","",SUMIF(LOANS!$B:$B,B66,LOANS!$I:$I)+ABS(PMT(IFERROR(VLOOKUP(B66,LOANS!$B:$G,6,0),12)/100/12,IFERROR(VLOOKUP(B66,LOANS!$B:$H,7,0),12),E66))),"")</f>
        <v/>
      </c>
      <c r="J66" s="49">
        <f>IF(B66="","","Active")</f>
        <v/>
      </c>
    </row>
    <row r="67">
      <c r="A67" s="47">
        <f>IF(B67="","","TU"&amp;TEXT(ROW()-2,"0000"))</f>
        <v/>
      </c>
      <c r="B67" s="26" t="n"/>
      <c r="C67" s="26">
        <f>IFERROR(IF(B67="","",VLOOKUP(B67,DATABASE!A:B,2,0)),"")</f>
        <v/>
      </c>
      <c r="D67" s="26" t="n"/>
      <c r="E67" s="30" t="n"/>
      <c r="F67" s="31">
        <f>IF(B67="","",TODAY())</f>
        <v/>
      </c>
      <c r="G67" s="26" t="n"/>
      <c r="H67" s="30">
        <f>IFERROR(IF(OR(B67="",E67=""),"",SUMIF(LOANS!$B:$B,B67,LOANS!$D:$D)+E67),"")</f>
        <v/>
      </c>
      <c r="I67" s="30">
        <f>IFERROR(IF(H67="","",SUMIF(LOANS!$B:$B,B67,LOANS!$I:$I)+ABS(PMT(IFERROR(VLOOKUP(B67,LOANS!$B:$G,6,0),12)/100/12,IFERROR(VLOOKUP(B67,LOANS!$B:$H,7,0),12),E67))),"")</f>
        <v/>
      </c>
      <c r="J67" s="26">
        <f>IF(B67="","","Active")</f>
        <v/>
      </c>
    </row>
    <row r="68">
      <c r="A68" s="48">
        <f>IF(B68="","","TU"&amp;TEXT(ROW()-2,"0000"))</f>
        <v/>
      </c>
      <c r="B68" s="49" t="n"/>
      <c r="C68" s="49">
        <f>IFERROR(IF(B68="","",VLOOKUP(B68,DATABASE!A:B,2,0)),"")</f>
        <v/>
      </c>
      <c r="D68" s="49" t="n"/>
      <c r="E68" s="50" t="n"/>
      <c r="F68" s="51">
        <f>IF(B68="","",TODAY())</f>
        <v/>
      </c>
      <c r="G68" s="49" t="n"/>
      <c r="H68" s="50">
        <f>IFERROR(IF(OR(B68="",E68=""),"",SUMIF(LOANS!$B:$B,B68,LOANS!$D:$D)+E68),"")</f>
        <v/>
      </c>
      <c r="I68" s="50">
        <f>IFERROR(IF(H68="","",SUMIF(LOANS!$B:$B,B68,LOANS!$I:$I)+ABS(PMT(IFERROR(VLOOKUP(B68,LOANS!$B:$G,6,0),12)/100/12,IFERROR(VLOOKUP(B68,LOANS!$B:$H,7,0),12),E68))),"")</f>
        <v/>
      </c>
      <c r="J68" s="49">
        <f>IF(B68="","","Active")</f>
        <v/>
      </c>
    </row>
    <row r="69">
      <c r="A69" s="47">
        <f>IF(B69="","","TU"&amp;TEXT(ROW()-2,"0000"))</f>
        <v/>
      </c>
      <c r="B69" s="26" t="n"/>
      <c r="C69" s="26">
        <f>IFERROR(IF(B69="","",VLOOKUP(B69,DATABASE!A:B,2,0)),"")</f>
        <v/>
      </c>
      <c r="D69" s="26" t="n"/>
      <c r="E69" s="30" t="n"/>
      <c r="F69" s="31">
        <f>IF(B69="","",TODAY())</f>
        <v/>
      </c>
      <c r="G69" s="26" t="n"/>
      <c r="H69" s="30">
        <f>IFERROR(IF(OR(B69="",E69=""),"",SUMIF(LOANS!$B:$B,B69,LOANS!$D:$D)+E69),"")</f>
        <v/>
      </c>
      <c r="I69" s="30">
        <f>IFERROR(IF(H69="","",SUMIF(LOANS!$B:$B,B69,LOANS!$I:$I)+ABS(PMT(IFERROR(VLOOKUP(B69,LOANS!$B:$G,6,0),12)/100/12,IFERROR(VLOOKUP(B69,LOANS!$B:$H,7,0),12),E69))),"")</f>
        <v/>
      </c>
      <c r="J69" s="26">
        <f>IF(B69="","","Active")</f>
        <v/>
      </c>
    </row>
    <row r="70">
      <c r="A70" s="48">
        <f>IF(B70="","","TU"&amp;TEXT(ROW()-2,"0000"))</f>
        <v/>
      </c>
      <c r="B70" s="49" t="n"/>
      <c r="C70" s="49">
        <f>IFERROR(IF(B70="","",VLOOKUP(B70,DATABASE!A:B,2,0)),"")</f>
        <v/>
      </c>
      <c r="D70" s="49" t="n"/>
      <c r="E70" s="50" t="n"/>
      <c r="F70" s="51">
        <f>IF(B70="","",TODAY())</f>
        <v/>
      </c>
      <c r="G70" s="49" t="n"/>
      <c r="H70" s="50">
        <f>IFERROR(IF(OR(B70="",E70=""),"",SUMIF(LOANS!$B:$B,B70,LOANS!$D:$D)+E70),"")</f>
        <v/>
      </c>
      <c r="I70" s="50">
        <f>IFERROR(IF(H70="","",SUMIF(LOANS!$B:$B,B70,LOANS!$I:$I)+ABS(PMT(IFERROR(VLOOKUP(B70,LOANS!$B:$G,6,0),12)/100/12,IFERROR(VLOOKUP(B70,LOANS!$B:$H,7,0),12),E70))),"")</f>
        <v/>
      </c>
      <c r="J70" s="49">
        <f>IF(B70="","","Active")</f>
        <v/>
      </c>
    </row>
    <row r="71">
      <c r="A71" s="47">
        <f>IF(B71="","","TU"&amp;TEXT(ROW()-2,"0000"))</f>
        <v/>
      </c>
      <c r="B71" s="26" t="n"/>
      <c r="C71" s="26">
        <f>IFERROR(IF(B71="","",VLOOKUP(B71,DATABASE!A:B,2,0)),"")</f>
        <v/>
      </c>
      <c r="D71" s="26" t="n"/>
      <c r="E71" s="30" t="n"/>
      <c r="F71" s="31">
        <f>IF(B71="","",TODAY())</f>
        <v/>
      </c>
      <c r="G71" s="26" t="n"/>
      <c r="H71" s="30">
        <f>IFERROR(IF(OR(B71="",E71=""),"",SUMIF(LOANS!$B:$B,B71,LOANS!$D:$D)+E71),"")</f>
        <v/>
      </c>
      <c r="I71" s="30">
        <f>IFERROR(IF(H71="","",SUMIF(LOANS!$B:$B,B71,LOANS!$I:$I)+ABS(PMT(IFERROR(VLOOKUP(B71,LOANS!$B:$G,6,0),12)/100/12,IFERROR(VLOOKUP(B71,LOANS!$B:$H,7,0),12),E71))),"")</f>
        <v/>
      </c>
      <c r="J71" s="26">
        <f>IF(B71="","","Active")</f>
        <v/>
      </c>
    </row>
    <row r="72">
      <c r="A72" s="48">
        <f>IF(B72="","","TU"&amp;TEXT(ROW()-2,"0000"))</f>
        <v/>
      </c>
      <c r="B72" s="49" t="n"/>
      <c r="C72" s="49">
        <f>IFERROR(IF(B72="","",VLOOKUP(B72,DATABASE!A:B,2,0)),"")</f>
        <v/>
      </c>
      <c r="D72" s="49" t="n"/>
      <c r="E72" s="50" t="n"/>
      <c r="F72" s="51">
        <f>IF(B72="","",TODAY())</f>
        <v/>
      </c>
      <c r="G72" s="49" t="n"/>
      <c r="H72" s="50">
        <f>IFERROR(IF(OR(B72="",E72=""),"",SUMIF(LOANS!$B:$B,B72,LOANS!$D:$D)+E72),"")</f>
        <v/>
      </c>
      <c r="I72" s="50">
        <f>IFERROR(IF(H72="","",SUMIF(LOANS!$B:$B,B72,LOANS!$I:$I)+ABS(PMT(IFERROR(VLOOKUP(B72,LOANS!$B:$G,6,0),12)/100/12,IFERROR(VLOOKUP(B72,LOANS!$B:$H,7,0),12),E72))),"")</f>
        <v/>
      </c>
      <c r="J72" s="49">
        <f>IF(B72="","","Active")</f>
        <v/>
      </c>
    </row>
    <row r="73">
      <c r="A73" s="47">
        <f>IF(B73="","","TU"&amp;TEXT(ROW()-2,"0000"))</f>
        <v/>
      </c>
      <c r="B73" s="26" t="n"/>
      <c r="C73" s="26">
        <f>IFERROR(IF(B73="","",VLOOKUP(B73,DATABASE!A:B,2,0)),"")</f>
        <v/>
      </c>
      <c r="D73" s="26" t="n"/>
      <c r="E73" s="30" t="n"/>
      <c r="F73" s="31">
        <f>IF(B73="","",TODAY())</f>
        <v/>
      </c>
      <c r="G73" s="26" t="n"/>
      <c r="H73" s="30">
        <f>IFERROR(IF(OR(B73="",E73=""),"",SUMIF(LOANS!$B:$B,B73,LOANS!$D:$D)+E73),"")</f>
        <v/>
      </c>
      <c r="I73" s="30">
        <f>IFERROR(IF(H73="","",SUMIF(LOANS!$B:$B,B73,LOANS!$I:$I)+ABS(PMT(IFERROR(VLOOKUP(B73,LOANS!$B:$G,6,0),12)/100/12,IFERROR(VLOOKUP(B73,LOANS!$B:$H,7,0),12),E73))),"")</f>
        <v/>
      </c>
      <c r="J73" s="26">
        <f>IF(B73="","","Active")</f>
        <v/>
      </c>
    </row>
    <row r="74">
      <c r="A74" s="48">
        <f>IF(B74="","","TU"&amp;TEXT(ROW()-2,"0000"))</f>
        <v/>
      </c>
      <c r="B74" s="49" t="n"/>
      <c r="C74" s="49">
        <f>IFERROR(IF(B74="","",VLOOKUP(B74,DATABASE!A:B,2,0)),"")</f>
        <v/>
      </c>
      <c r="D74" s="49" t="n"/>
      <c r="E74" s="50" t="n"/>
      <c r="F74" s="51">
        <f>IF(B74="","",TODAY())</f>
        <v/>
      </c>
      <c r="G74" s="49" t="n"/>
      <c r="H74" s="50">
        <f>IFERROR(IF(OR(B74="",E74=""),"",SUMIF(LOANS!$B:$B,B74,LOANS!$D:$D)+E74),"")</f>
        <v/>
      </c>
      <c r="I74" s="50">
        <f>IFERROR(IF(H74="","",SUMIF(LOANS!$B:$B,B74,LOANS!$I:$I)+ABS(PMT(IFERROR(VLOOKUP(B74,LOANS!$B:$G,6,0),12)/100/12,IFERROR(VLOOKUP(B74,LOANS!$B:$H,7,0),12),E74))),"")</f>
        <v/>
      </c>
      <c r="J74" s="49">
        <f>IF(B74="","","Active")</f>
        <v/>
      </c>
    </row>
    <row r="75">
      <c r="A75" s="47">
        <f>IF(B75="","","TU"&amp;TEXT(ROW()-2,"0000"))</f>
        <v/>
      </c>
      <c r="B75" s="26" t="n"/>
      <c r="C75" s="26">
        <f>IFERROR(IF(B75="","",VLOOKUP(B75,DATABASE!A:B,2,0)),"")</f>
        <v/>
      </c>
      <c r="D75" s="26" t="n"/>
      <c r="E75" s="30" t="n"/>
      <c r="F75" s="31">
        <f>IF(B75="","",TODAY())</f>
        <v/>
      </c>
      <c r="G75" s="26" t="n"/>
      <c r="H75" s="30">
        <f>IFERROR(IF(OR(B75="",E75=""),"",SUMIF(LOANS!$B:$B,B75,LOANS!$D:$D)+E75),"")</f>
        <v/>
      </c>
      <c r="I75" s="30">
        <f>IFERROR(IF(H75="","",SUMIF(LOANS!$B:$B,B75,LOANS!$I:$I)+ABS(PMT(IFERROR(VLOOKUP(B75,LOANS!$B:$G,6,0),12)/100/12,IFERROR(VLOOKUP(B75,LOANS!$B:$H,7,0),12),E75))),"")</f>
        <v/>
      </c>
      <c r="J75" s="26">
        <f>IF(B75="","","Active")</f>
        <v/>
      </c>
    </row>
    <row r="76">
      <c r="A76" s="48">
        <f>IF(B76="","","TU"&amp;TEXT(ROW()-2,"0000"))</f>
        <v/>
      </c>
      <c r="B76" s="49" t="n"/>
      <c r="C76" s="49">
        <f>IFERROR(IF(B76="","",VLOOKUP(B76,DATABASE!A:B,2,0)),"")</f>
        <v/>
      </c>
      <c r="D76" s="49" t="n"/>
      <c r="E76" s="50" t="n"/>
      <c r="F76" s="51">
        <f>IF(B76="","",TODAY())</f>
        <v/>
      </c>
      <c r="G76" s="49" t="n"/>
      <c r="H76" s="50">
        <f>IFERROR(IF(OR(B76="",E76=""),"",SUMIF(LOANS!$B:$B,B76,LOANS!$D:$D)+E76),"")</f>
        <v/>
      </c>
      <c r="I76" s="50">
        <f>IFERROR(IF(H76="","",SUMIF(LOANS!$B:$B,B76,LOANS!$I:$I)+ABS(PMT(IFERROR(VLOOKUP(B76,LOANS!$B:$G,6,0),12)/100/12,IFERROR(VLOOKUP(B76,LOANS!$B:$H,7,0),12),E76))),"")</f>
        <v/>
      </c>
      <c r="J76" s="49">
        <f>IF(B76="","","Active")</f>
        <v/>
      </c>
    </row>
    <row r="77">
      <c r="A77" s="47">
        <f>IF(B77="","","TU"&amp;TEXT(ROW()-2,"0000"))</f>
        <v/>
      </c>
      <c r="B77" s="26" t="n"/>
      <c r="C77" s="26">
        <f>IFERROR(IF(B77="","",VLOOKUP(B77,DATABASE!A:B,2,0)),"")</f>
        <v/>
      </c>
      <c r="D77" s="26" t="n"/>
      <c r="E77" s="30" t="n"/>
      <c r="F77" s="31">
        <f>IF(B77="","",TODAY())</f>
        <v/>
      </c>
      <c r="G77" s="26" t="n"/>
      <c r="H77" s="30">
        <f>IFERROR(IF(OR(B77="",E77=""),"",SUMIF(LOANS!$B:$B,B77,LOANS!$D:$D)+E77),"")</f>
        <v/>
      </c>
      <c r="I77" s="30">
        <f>IFERROR(IF(H77="","",SUMIF(LOANS!$B:$B,B77,LOANS!$I:$I)+ABS(PMT(IFERROR(VLOOKUP(B77,LOANS!$B:$G,6,0),12)/100/12,IFERROR(VLOOKUP(B77,LOANS!$B:$H,7,0),12),E77))),"")</f>
        <v/>
      </c>
      <c r="J77" s="26">
        <f>IF(B77="","","Active")</f>
        <v/>
      </c>
    </row>
    <row r="78">
      <c r="A78" s="48">
        <f>IF(B78="","","TU"&amp;TEXT(ROW()-2,"0000"))</f>
        <v/>
      </c>
      <c r="B78" s="49" t="n"/>
      <c r="C78" s="49">
        <f>IFERROR(IF(B78="","",VLOOKUP(B78,DATABASE!A:B,2,0)),"")</f>
        <v/>
      </c>
      <c r="D78" s="49" t="n"/>
      <c r="E78" s="50" t="n"/>
      <c r="F78" s="51">
        <f>IF(B78="","",TODAY())</f>
        <v/>
      </c>
      <c r="G78" s="49" t="n"/>
      <c r="H78" s="50">
        <f>IFERROR(IF(OR(B78="",E78=""),"",SUMIF(LOANS!$B:$B,B78,LOANS!$D:$D)+E78),"")</f>
        <v/>
      </c>
      <c r="I78" s="50">
        <f>IFERROR(IF(H78="","",SUMIF(LOANS!$B:$B,B78,LOANS!$I:$I)+ABS(PMT(IFERROR(VLOOKUP(B78,LOANS!$B:$G,6,0),12)/100/12,IFERROR(VLOOKUP(B78,LOANS!$B:$H,7,0),12),E78))),"")</f>
        <v/>
      </c>
      <c r="J78" s="49">
        <f>IF(B78="","","Active")</f>
        <v/>
      </c>
    </row>
    <row r="79">
      <c r="A79" s="47">
        <f>IF(B79="","","TU"&amp;TEXT(ROW()-2,"0000"))</f>
        <v/>
      </c>
      <c r="B79" s="26" t="n"/>
      <c r="C79" s="26">
        <f>IFERROR(IF(B79="","",VLOOKUP(B79,DATABASE!A:B,2,0)),"")</f>
        <v/>
      </c>
      <c r="D79" s="26" t="n"/>
      <c r="E79" s="30" t="n"/>
      <c r="F79" s="31">
        <f>IF(B79="","",TODAY())</f>
        <v/>
      </c>
      <c r="G79" s="26" t="n"/>
      <c r="H79" s="30">
        <f>IFERROR(IF(OR(B79="",E79=""),"",SUMIF(LOANS!$B:$B,B79,LOANS!$D:$D)+E79),"")</f>
        <v/>
      </c>
      <c r="I79" s="30">
        <f>IFERROR(IF(H79="","",SUMIF(LOANS!$B:$B,B79,LOANS!$I:$I)+ABS(PMT(IFERROR(VLOOKUP(B79,LOANS!$B:$G,6,0),12)/100/12,IFERROR(VLOOKUP(B79,LOANS!$B:$H,7,0),12),E79))),"")</f>
        <v/>
      </c>
      <c r="J79" s="26">
        <f>IF(B79="","","Active")</f>
        <v/>
      </c>
    </row>
    <row r="80">
      <c r="A80" s="48">
        <f>IF(B80="","","TU"&amp;TEXT(ROW()-2,"0000"))</f>
        <v/>
      </c>
      <c r="B80" s="49" t="n"/>
      <c r="C80" s="49">
        <f>IFERROR(IF(B80="","",VLOOKUP(B80,DATABASE!A:B,2,0)),"")</f>
        <v/>
      </c>
      <c r="D80" s="49" t="n"/>
      <c r="E80" s="50" t="n"/>
      <c r="F80" s="51">
        <f>IF(B80="","",TODAY())</f>
        <v/>
      </c>
      <c r="G80" s="49" t="n"/>
      <c r="H80" s="50">
        <f>IFERROR(IF(OR(B80="",E80=""),"",SUMIF(LOANS!$B:$B,B80,LOANS!$D:$D)+E80),"")</f>
        <v/>
      </c>
      <c r="I80" s="50">
        <f>IFERROR(IF(H80="","",SUMIF(LOANS!$B:$B,B80,LOANS!$I:$I)+ABS(PMT(IFERROR(VLOOKUP(B80,LOANS!$B:$G,6,0),12)/100/12,IFERROR(VLOOKUP(B80,LOANS!$B:$H,7,0),12),E80))),"")</f>
        <v/>
      </c>
      <c r="J80" s="49">
        <f>IF(B80="","","Active")</f>
        <v/>
      </c>
    </row>
    <row r="81">
      <c r="A81" s="47">
        <f>IF(B81="","","TU"&amp;TEXT(ROW()-2,"0000"))</f>
        <v/>
      </c>
      <c r="B81" s="26" t="n"/>
      <c r="C81" s="26">
        <f>IFERROR(IF(B81="","",VLOOKUP(B81,DATABASE!A:B,2,0)),"")</f>
        <v/>
      </c>
      <c r="D81" s="26" t="n"/>
      <c r="E81" s="30" t="n"/>
      <c r="F81" s="31">
        <f>IF(B81="","",TODAY())</f>
        <v/>
      </c>
      <c r="G81" s="26" t="n"/>
      <c r="H81" s="30">
        <f>IFERROR(IF(OR(B81="",E81=""),"",SUMIF(LOANS!$B:$B,B81,LOANS!$D:$D)+E81),"")</f>
        <v/>
      </c>
      <c r="I81" s="30">
        <f>IFERROR(IF(H81="","",SUMIF(LOANS!$B:$B,B81,LOANS!$I:$I)+ABS(PMT(IFERROR(VLOOKUP(B81,LOANS!$B:$G,6,0),12)/100/12,IFERROR(VLOOKUP(B81,LOANS!$B:$H,7,0),12),E81))),"")</f>
        <v/>
      </c>
      <c r="J81" s="26">
        <f>IF(B81="","","Active")</f>
        <v/>
      </c>
    </row>
    <row r="82">
      <c r="A82" s="48">
        <f>IF(B82="","","TU"&amp;TEXT(ROW()-2,"0000"))</f>
        <v/>
      </c>
      <c r="B82" s="49" t="n"/>
      <c r="C82" s="49">
        <f>IFERROR(IF(B82="","",VLOOKUP(B82,DATABASE!A:B,2,0)),"")</f>
        <v/>
      </c>
      <c r="D82" s="49" t="n"/>
      <c r="E82" s="50" t="n"/>
      <c r="F82" s="51">
        <f>IF(B82="","",TODAY())</f>
        <v/>
      </c>
      <c r="G82" s="49" t="n"/>
      <c r="H82" s="50">
        <f>IFERROR(IF(OR(B82="",E82=""),"",SUMIF(LOANS!$B:$B,B82,LOANS!$D:$D)+E82),"")</f>
        <v/>
      </c>
      <c r="I82" s="50">
        <f>IFERROR(IF(H82="","",SUMIF(LOANS!$B:$B,B82,LOANS!$I:$I)+ABS(PMT(IFERROR(VLOOKUP(B82,LOANS!$B:$G,6,0),12)/100/12,IFERROR(VLOOKUP(B82,LOANS!$B:$H,7,0),12),E82))),"")</f>
        <v/>
      </c>
      <c r="J82" s="49">
        <f>IF(B82="","","Active")</f>
        <v/>
      </c>
    </row>
    <row r="83">
      <c r="A83" s="47">
        <f>IF(B83="","","TU"&amp;TEXT(ROW()-2,"0000"))</f>
        <v/>
      </c>
      <c r="B83" s="26" t="n"/>
      <c r="C83" s="26">
        <f>IFERROR(IF(B83="","",VLOOKUP(B83,DATABASE!A:B,2,0)),"")</f>
        <v/>
      </c>
      <c r="D83" s="26" t="n"/>
      <c r="E83" s="30" t="n"/>
      <c r="F83" s="31">
        <f>IF(B83="","",TODAY())</f>
        <v/>
      </c>
      <c r="G83" s="26" t="n"/>
      <c r="H83" s="30">
        <f>IFERROR(IF(OR(B83="",E83=""),"",SUMIF(LOANS!$B:$B,B83,LOANS!$D:$D)+E83),"")</f>
        <v/>
      </c>
      <c r="I83" s="30">
        <f>IFERROR(IF(H83="","",SUMIF(LOANS!$B:$B,B83,LOANS!$I:$I)+ABS(PMT(IFERROR(VLOOKUP(B83,LOANS!$B:$G,6,0),12)/100/12,IFERROR(VLOOKUP(B83,LOANS!$B:$H,7,0),12),E83))),"")</f>
        <v/>
      </c>
      <c r="J83" s="26">
        <f>IF(B83="","","Active")</f>
        <v/>
      </c>
    </row>
    <row r="84">
      <c r="A84" s="48">
        <f>IF(B84="","","TU"&amp;TEXT(ROW()-2,"0000"))</f>
        <v/>
      </c>
      <c r="B84" s="49" t="n"/>
      <c r="C84" s="49">
        <f>IFERROR(IF(B84="","",VLOOKUP(B84,DATABASE!A:B,2,0)),"")</f>
        <v/>
      </c>
      <c r="D84" s="49" t="n"/>
      <c r="E84" s="50" t="n"/>
      <c r="F84" s="51">
        <f>IF(B84="","",TODAY())</f>
        <v/>
      </c>
      <c r="G84" s="49" t="n"/>
      <c r="H84" s="50">
        <f>IFERROR(IF(OR(B84="",E84=""),"",SUMIF(LOANS!$B:$B,B84,LOANS!$D:$D)+E84),"")</f>
        <v/>
      </c>
      <c r="I84" s="50">
        <f>IFERROR(IF(H84="","",SUMIF(LOANS!$B:$B,B84,LOANS!$I:$I)+ABS(PMT(IFERROR(VLOOKUP(B84,LOANS!$B:$G,6,0),12)/100/12,IFERROR(VLOOKUP(B84,LOANS!$B:$H,7,0),12),E84))),"")</f>
        <v/>
      </c>
      <c r="J84" s="49">
        <f>IF(B84="","","Active")</f>
        <v/>
      </c>
    </row>
    <row r="85">
      <c r="A85" s="47">
        <f>IF(B85="","","TU"&amp;TEXT(ROW()-2,"0000"))</f>
        <v/>
      </c>
      <c r="B85" s="26" t="n"/>
      <c r="C85" s="26">
        <f>IFERROR(IF(B85="","",VLOOKUP(B85,DATABASE!A:B,2,0)),"")</f>
        <v/>
      </c>
      <c r="D85" s="26" t="n"/>
      <c r="E85" s="30" t="n"/>
      <c r="F85" s="31">
        <f>IF(B85="","",TODAY())</f>
        <v/>
      </c>
      <c r="G85" s="26" t="n"/>
      <c r="H85" s="30">
        <f>IFERROR(IF(OR(B85="",E85=""),"",SUMIF(LOANS!$B:$B,B85,LOANS!$D:$D)+E85),"")</f>
        <v/>
      </c>
      <c r="I85" s="30">
        <f>IFERROR(IF(H85="","",SUMIF(LOANS!$B:$B,B85,LOANS!$I:$I)+ABS(PMT(IFERROR(VLOOKUP(B85,LOANS!$B:$G,6,0),12)/100/12,IFERROR(VLOOKUP(B85,LOANS!$B:$H,7,0),12),E85))),"")</f>
        <v/>
      </c>
      <c r="J85" s="26">
        <f>IF(B85="","","Active")</f>
        <v/>
      </c>
    </row>
    <row r="86">
      <c r="A86" s="48">
        <f>IF(B86="","","TU"&amp;TEXT(ROW()-2,"0000"))</f>
        <v/>
      </c>
      <c r="B86" s="49" t="n"/>
      <c r="C86" s="49">
        <f>IFERROR(IF(B86="","",VLOOKUP(B86,DATABASE!A:B,2,0)),"")</f>
        <v/>
      </c>
      <c r="D86" s="49" t="n"/>
      <c r="E86" s="50" t="n"/>
      <c r="F86" s="51">
        <f>IF(B86="","",TODAY())</f>
        <v/>
      </c>
      <c r="G86" s="49" t="n"/>
      <c r="H86" s="50">
        <f>IFERROR(IF(OR(B86="",E86=""),"",SUMIF(LOANS!$B:$B,B86,LOANS!$D:$D)+E86),"")</f>
        <v/>
      </c>
      <c r="I86" s="50">
        <f>IFERROR(IF(H86="","",SUMIF(LOANS!$B:$B,B86,LOANS!$I:$I)+ABS(PMT(IFERROR(VLOOKUP(B86,LOANS!$B:$G,6,0),12)/100/12,IFERROR(VLOOKUP(B86,LOANS!$B:$H,7,0),12),E86))),"")</f>
        <v/>
      </c>
      <c r="J86" s="49">
        <f>IF(B86="","","Active")</f>
        <v/>
      </c>
    </row>
    <row r="87">
      <c r="A87" s="47">
        <f>IF(B87="","","TU"&amp;TEXT(ROW()-2,"0000"))</f>
        <v/>
      </c>
      <c r="B87" s="26" t="n"/>
      <c r="C87" s="26">
        <f>IFERROR(IF(B87="","",VLOOKUP(B87,DATABASE!A:B,2,0)),"")</f>
        <v/>
      </c>
      <c r="D87" s="26" t="n"/>
      <c r="E87" s="30" t="n"/>
      <c r="F87" s="31">
        <f>IF(B87="","",TODAY())</f>
        <v/>
      </c>
      <c r="G87" s="26" t="n"/>
      <c r="H87" s="30">
        <f>IFERROR(IF(OR(B87="",E87=""),"",SUMIF(LOANS!$B:$B,B87,LOANS!$D:$D)+E87),"")</f>
        <v/>
      </c>
      <c r="I87" s="30">
        <f>IFERROR(IF(H87="","",SUMIF(LOANS!$B:$B,B87,LOANS!$I:$I)+ABS(PMT(IFERROR(VLOOKUP(B87,LOANS!$B:$G,6,0),12)/100/12,IFERROR(VLOOKUP(B87,LOANS!$B:$H,7,0),12),E87))),"")</f>
        <v/>
      </c>
      <c r="J87" s="26">
        <f>IF(B87="","","Active")</f>
        <v/>
      </c>
    </row>
    <row r="88">
      <c r="A88" s="48">
        <f>IF(B88="","","TU"&amp;TEXT(ROW()-2,"0000"))</f>
        <v/>
      </c>
      <c r="B88" s="49" t="n"/>
      <c r="C88" s="49">
        <f>IFERROR(IF(B88="","",VLOOKUP(B88,DATABASE!A:B,2,0)),"")</f>
        <v/>
      </c>
      <c r="D88" s="49" t="n"/>
      <c r="E88" s="50" t="n"/>
      <c r="F88" s="51">
        <f>IF(B88="","",TODAY())</f>
        <v/>
      </c>
      <c r="G88" s="49" t="n"/>
      <c r="H88" s="50">
        <f>IFERROR(IF(OR(B88="",E88=""),"",SUMIF(LOANS!$B:$B,B88,LOANS!$D:$D)+E88),"")</f>
        <v/>
      </c>
      <c r="I88" s="50">
        <f>IFERROR(IF(H88="","",SUMIF(LOANS!$B:$B,B88,LOANS!$I:$I)+ABS(PMT(IFERROR(VLOOKUP(B88,LOANS!$B:$G,6,0),12)/100/12,IFERROR(VLOOKUP(B88,LOANS!$B:$H,7,0),12),E88))),"")</f>
        <v/>
      </c>
      <c r="J88" s="49">
        <f>IF(B88="","","Active")</f>
        <v/>
      </c>
    </row>
    <row r="89">
      <c r="A89" s="47">
        <f>IF(B89="","","TU"&amp;TEXT(ROW()-2,"0000"))</f>
        <v/>
      </c>
      <c r="B89" s="26" t="n"/>
      <c r="C89" s="26">
        <f>IFERROR(IF(B89="","",VLOOKUP(B89,DATABASE!A:B,2,0)),"")</f>
        <v/>
      </c>
      <c r="D89" s="26" t="n"/>
      <c r="E89" s="30" t="n"/>
      <c r="F89" s="31">
        <f>IF(B89="","",TODAY())</f>
        <v/>
      </c>
      <c r="G89" s="26" t="n"/>
      <c r="H89" s="30">
        <f>IFERROR(IF(OR(B89="",E89=""),"",SUMIF(LOANS!$B:$B,B89,LOANS!$D:$D)+E89),"")</f>
        <v/>
      </c>
      <c r="I89" s="30">
        <f>IFERROR(IF(H89="","",SUMIF(LOANS!$B:$B,B89,LOANS!$I:$I)+ABS(PMT(IFERROR(VLOOKUP(B89,LOANS!$B:$G,6,0),12)/100/12,IFERROR(VLOOKUP(B89,LOANS!$B:$H,7,0),12),E89))),"")</f>
        <v/>
      </c>
      <c r="J89" s="26">
        <f>IF(B89="","","Active")</f>
        <v/>
      </c>
    </row>
    <row r="90">
      <c r="A90" s="48">
        <f>IF(B90="","","TU"&amp;TEXT(ROW()-2,"0000"))</f>
        <v/>
      </c>
      <c r="B90" s="49" t="n"/>
      <c r="C90" s="49">
        <f>IFERROR(IF(B90="","",VLOOKUP(B90,DATABASE!A:B,2,0)),"")</f>
        <v/>
      </c>
      <c r="D90" s="49" t="n"/>
      <c r="E90" s="50" t="n"/>
      <c r="F90" s="51">
        <f>IF(B90="","",TODAY())</f>
        <v/>
      </c>
      <c r="G90" s="49" t="n"/>
      <c r="H90" s="50">
        <f>IFERROR(IF(OR(B90="",E90=""),"",SUMIF(LOANS!$B:$B,B90,LOANS!$D:$D)+E90),"")</f>
        <v/>
      </c>
      <c r="I90" s="50">
        <f>IFERROR(IF(H90="","",SUMIF(LOANS!$B:$B,B90,LOANS!$I:$I)+ABS(PMT(IFERROR(VLOOKUP(B90,LOANS!$B:$G,6,0),12)/100/12,IFERROR(VLOOKUP(B90,LOANS!$B:$H,7,0),12),E90))),"")</f>
        <v/>
      </c>
      <c r="J90" s="49">
        <f>IF(B90="","","Active")</f>
        <v/>
      </c>
    </row>
    <row r="91">
      <c r="A91" s="47">
        <f>IF(B91="","","TU"&amp;TEXT(ROW()-2,"0000"))</f>
        <v/>
      </c>
      <c r="B91" s="26" t="n"/>
      <c r="C91" s="26">
        <f>IFERROR(IF(B91="","",VLOOKUP(B91,DATABASE!A:B,2,0)),"")</f>
        <v/>
      </c>
      <c r="D91" s="26" t="n"/>
      <c r="E91" s="30" t="n"/>
      <c r="F91" s="31">
        <f>IF(B91="","",TODAY())</f>
        <v/>
      </c>
      <c r="G91" s="26" t="n"/>
      <c r="H91" s="30">
        <f>IFERROR(IF(OR(B91="",E91=""),"",SUMIF(LOANS!$B:$B,B91,LOANS!$D:$D)+E91),"")</f>
        <v/>
      </c>
      <c r="I91" s="30">
        <f>IFERROR(IF(H91="","",SUMIF(LOANS!$B:$B,B91,LOANS!$I:$I)+ABS(PMT(IFERROR(VLOOKUP(B91,LOANS!$B:$G,6,0),12)/100/12,IFERROR(VLOOKUP(B91,LOANS!$B:$H,7,0),12),E91))),"")</f>
        <v/>
      </c>
      <c r="J91" s="26">
        <f>IF(B91="","","Active")</f>
        <v/>
      </c>
    </row>
    <row r="92">
      <c r="A92" s="48">
        <f>IF(B92="","","TU"&amp;TEXT(ROW()-2,"0000"))</f>
        <v/>
      </c>
      <c r="B92" s="49" t="n"/>
      <c r="C92" s="49">
        <f>IFERROR(IF(B92="","",VLOOKUP(B92,DATABASE!A:B,2,0)),"")</f>
        <v/>
      </c>
      <c r="D92" s="49" t="n"/>
      <c r="E92" s="50" t="n"/>
      <c r="F92" s="51">
        <f>IF(B92="","",TODAY())</f>
        <v/>
      </c>
      <c r="G92" s="49" t="n"/>
      <c r="H92" s="50">
        <f>IFERROR(IF(OR(B92="",E92=""),"",SUMIF(LOANS!$B:$B,B92,LOANS!$D:$D)+E92),"")</f>
        <v/>
      </c>
      <c r="I92" s="50">
        <f>IFERROR(IF(H92="","",SUMIF(LOANS!$B:$B,B92,LOANS!$I:$I)+ABS(PMT(IFERROR(VLOOKUP(B92,LOANS!$B:$G,6,0),12)/100/12,IFERROR(VLOOKUP(B92,LOANS!$B:$H,7,0),12),E92))),"")</f>
        <v/>
      </c>
      <c r="J92" s="49">
        <f>IF(B92="","","Active")</f>
        <v/>
      </c>
    </row>
    <row r="93">
      <c r="A93" s="47">
        <f>IF(B93="","","TU"&amp;TEXT(ROW()-2,"0000"))</f>
        <v/>
      </c>
      <c r="B93" s="26" t="n"/>
      <c r="C93" s="26">
        <f>IFERROR(IF(B93="","",VLOOKUP(B93,DATABASE!A:B,2,0)),"")</f>
        <v/>
      </c>
      <c r="D93" s="26" t="n"/>
      <c r="E93" s="30" t="n"/>
      <c r="F93" s="31">
        <f>IF(B93="","",TODAY())</f>
        <v/>
      </c>
      <c r="G93" s="26" t="n"/>
      <c r="H93" s="30">
        <f>IFERROR(IF(OR(B93="",E93=""),"",SUMIF(LOANS!$B:$B,B93,LOANS!$D:$D)+E93),"")</f>
        <v/>
      </c>
      <c r="I93" s="30">
        <f>IFERROR(IF(H93="","",SUMIF(LOANS!$B:$B,B93,LOANS!$I:$I)+ABS(PMT(IFERROR(VLOOKUP(B93,LOANS!$B:$G,6,0),12)/100/12,IFERROR(VLOOKUP(B93,LOANS!$B:$H,7,0),12),E93))),"")</f>
        <v/>
      </c>
      <c r="J93" s="26">
        <f>IF(B93="","","Active")</f>
        <v/>
      </c>
    </row>
    <row r="94">
      <c r="A94" s="48">
        <f>IF(B94="","","TU"&amp;TEXT(ROW()-2,"0000"))</f>
        <v/>
      </c>
      <c r="B94" s="49" t="n"/>
      <c r="C94" s="49">
        <f>IFERROR(IF(B94="","",VLOOKUP(B94,DATABASE!A:B,2,0)),"")</f>
        <v/>
      </c>
      <c r="D94" s="49" t="n"/>
      <c r="E94" s="50" t="n"/>
      <c r="F94" s="51">
        <f>IF(B94="","",TODAY())</f>
        <v/>
      </c>
      <c r="G94" s="49" t="n"/>
      <c r="H94" s="50">
        <f>IFERROR(IF(OR(B94="",E94=""),"",SUMIF(LOANS!$B:$B,B94,LOANS!$D:$D)+E94),"")</f>
        <v/>
      </c>
      <c r="I94" s="50">
        <f>IFERROR(IF(H94="","",SUMIF(LOANS!$B:$B,B94,LOANS!$I:$I)+ABS(PMT(IFERROR(VLOOKUP(B94,LOANS!$B:$G,6,0),12)/100/12,IFERROR(VLOOKUP(B94,LOANS!$B:$H,7,0),12),E94))),"")</f>
        <v/>
      </c>
      <c r="J94" s="49">
        <f>IF(B94="","","Active")</f>
        <v/>
      </c>
    </row>
    <row r="95">
      <c r="A95" s="47">
        <f>IF(B95="","","TU"&amp;TEXT(ROW()-2,"0000"))</f>
        <v/>
      </c>
      <c r="B95" s="26" t="n"/>
      <c r="C95" s="26">
        <f>IFERROR(IF(B95="","",VLOOKUP(B95,DATABASE!A:B,2,0)),"")</f>
        <v/>
      </c>
      <c r="D95" s="26" t="n"/>
      <c r="E95" s="30" t="n"/>
      <c r="F95" s="31">
        <f>IF(B95="","",TODAY())</f>
        <v/>
      </c>
      <c r="G95" s="26" t="n"/>
      <c r="H95" s="30">
        <f>IFERROR(IF(OR(B95="",E95=""),"",SUMIF(LOANS!$B:$B,B95,LOANS!$D:$D)+E95),"")</f>
        <v/>
      </c>
      <c r="I95" s="30">
        <f>IFERROR(IF(H95="","",SUMIF(LOANS!$B:$B,B95,LOANS!$I:$I)+ABS(PMT(IFERROR(VLOOKUP(B95,LOANS!$B:$G,6,0),12)/100/12,IFERROR(VLOOKUP(B95,LOANS!$B:$H,7,0),12),E95))),"")</f>
        <v/>
      </c>
      <c r="J95" s="26">
        <f>IF(B95="","","Active")</f>
        <v/>
      </c>
    </row>
    <row r="96">
      <c r="A96" s="48">
        <f>IF(B96="","","TU"&amp;TEXT(ROW()-2,"0000"))</f>
        <v/>
      </c>
      <c r="B96" s="49" t="n"/>
      <c r="C96" s="49">
        <f>IFERROR(IF(B96="","",VLOOKUP(B96,DATABASE!A:B,2,0)),"")</f>
        <v/>
      </c>
      <c r="D96" s="49" t="n"/>
      <c r="E96" s="50" t="n"/>
      <c r="F96" s="51">
        <f>IF(B96="","",TODAY())</f>
        <v/>
      </c>
      <c r="G96" s="49" t="n"/>
      <c r="H96" s="50">
        <f>IFERROR(IF(OR(B96="",E96=""),"",SUMIF(LOANS!$B:$B,B96,LOANS!$D:$D)+E96),"")</f>
        <v/>
      </c>
      <c r="I96" s="50">
        <f>IFERROR(IF(H96="","",SUMIF(LOANS!$B:$B,B96,LOANS!$I:$I)+ABS(PMT(IFERROR(VLOOKUP(B96,LOANS!$B:$G,6,0),12)/100/12,IFERROR(VLOOKUP(B96,LOANS!$B:$H,7,0),12),E96))),"")</f>
        <v/>
      </c>
      <c r="J96" s="49">
        <f>IF(B96="","","Active")</f>
        <v/>
      </c>
    </row>
    <row r="97">
      <c r="A97" s="47">
        <f>IF(B97="","","TU"&amp;TEXT(ROW()-2,"0000"))</f>
        <v/>
      </c>
      <c r="B97" s="26" t="n"/>
      <c r="C97" s="26">
        <f>IFERROR(IF(B97="","",VLOOKUP(B97,DATABASE!A:B,2,0)),"")</f>
        <v/>
      </c>
      <c r="D97" s="26" t="n"/>
      <c r="E97" s="30" t="n"/>
      <c r="F97" s="31">
        <f>IF(B97="","",TODAY())</f>
        <v/>
      </c>
      <c r="G97" s="26" t="n"/>
      <c r="H97" s="30">
        <f>IFERROR(IF(OR(B97="",E97=""),"",SUMIF(LOANS!$B:$B,B97,LOANS!$D:$D)+E97),"")</f>
        <v/>
      </c>
      <c r="I97" s="30">
        <f>IFERROR(IF(H97="","",SUMIF(LOANS!$B:$B,B97,LOANS!$I:$I)+ABS(PMT(IFERROR(VLOOKUP(B97,LOANS!$B:$G,6,0),12)/100/12,IFERROR(VLOOKUP(B97,LOANS!$B:$H,7,0),12),E97))),"")</f>
        <v/>
      </c>
      <c r="J97" s="26">
        <f>IF(B97="","","Active")</f>
        <v/>
      </c>
    </row>
    <row r="98">
      <c r="A98" s="48">
        <f>IF(B98="","","TU"&amp;TEXT(ROW()-2,"0000"))</f>
        <v/>
      </c>
      <c r="B98" s="49" t="n"/>
      <c r="C98" s="49">
        <f>IFERROR(IF(B98="","",VLOOKUP(B98,DATABASE!A:B,2,0)),"")</f>
        <v/>
      </c>
      <c r="D98" s="49" t="n"/>
      <c r="E98" s="50" t="n"/>
      <c r="F98" s="51">
        <f>IF(B98="","",TODAY())</f>
        <v/>
      </c>
      <c r="G98" s="49" t="n"/>
      <c r="H98" s="50">
        <f>IFERROR(IF(OR(B98="",E98=""),"",SUMIF(LOANS!$B:$B,B98,LOANS!$D:$D)+E98),"")</f>
        <v/>
      </c>
      <c r="I98" s="50">
        <f>IFERROR(IF(H98="","",SUMIF(LOANS!$B:$B,B98,LOANS!$I:$I)+ABS(PMT(IFERROR(VLOOKUP(B98,LOANS!$B:$G,6,0),12)/100/12,IFERROR(VLOOKUP(B98,LOANS!$B:$H,7,0),12),E98))),"")</f>
        <v/>
      </c>
      <c r="J98" s="49">
        <f>IF(B98="","","Active")</f>
        <v/>
      </c>
    </row>
    <row r="99">
      <c r="A99" s="47">
        <f>IF(B99="","","TU"&amp;TEXT(ROW()-2,"0000"))</f>
        <v/>
      </c>
      <c r="B99" s="26" t="n"/>
      <c r="C99" s="26">
        <f>IFERROR(IF(B99="","",VLOOKUP(B99,DATABASE!A:B,2,0)),"")</f>
        <v/>
      </c>
      <c r="D99" s="26" t="n"/>
      <c r="E99" s="30" t="n"/>
      <c r="F99" s="31">
        <f>IF(B99="","",TODAY())</f>
        <v/>
      </c>
      <c r="G99" s="26" t="n"/>
      <c r="H99" s="30">
        <f>IFERROR(IF(OR(B99="",E99=""),"",SUMIF(LOANS!$B:$B,B99,LOANS!$D:$D)+E99),"")</f>
        <v/>
      </c>
      <c r="I99" s="30">
        <f>IFERROR(IF(H99="","",SUMIF(LOANS!$B:$B,B99,LOANS!$I:$I)+ABS(PMT(IFERROR(VLOOKUP(B99,LOANS!$B:$G,6,0),12)/100/12,IFERROR(VLOOKUP(B99,LOANS!$B:$H,7,0),12),E99))),"")</f>
        <v/>
      </c>
      <c r="J99" s="26">
        <f>IF(B99="","","Active")</f>
        <v/>
      </c>
    </row>
    <row r="100">
      <c r="A100" s="48">
        <f>IF(B100="","","TU"&amp;TEXT(ROW()-2,"0000"))</f>
        <v/>
      </c>
      <c r="B100" s="49" t="n"/>
      <c r="C100" s="49">
        <f>IFERROR(IF(B100="","",VLOOKUP(B100,DATABASE!A:B,2,0)),"")</f>
        <v/>
      </c>
      <c r="D100" s="49" t="n"/>
      <c r="E100" s="50" t="n"/>
      <c r="F100" s="51">
        <f>IF(B100="","",TODAY())</f>
        <v/>
      </c>
      <c r="G100" s="49" t="n"/>
      <c r="H100" s="50">
        <f>IFERROR(IF(OR(B100="",E100=""),"",SUMIF(LOANS!$B:$B,B100,LOANS!$D:$D)+E100),"")</f>
        <v/>
      </c>
      <c r="I100" s="50">
        <f>IFERROR(IF(H100="","",SUMIF(LOANS!$B:$B,B100,LOANS!$I:$I)+ABS(PMT(IFERROR(VLOOKUP(B100,LOANS!$B:$G,6,0),12)/100/12,IFERROR(VLOOKUP(B100,LOANS!$B:$H,7,0),12),E100))),"")</f>
        <v/>
      </c>
      <c r="J100" s="49">
        <f>IF(B100="","","Active")</f>
        <v/>
      </c>
    </row>
    <row r="101">
      <c r="A101" s="47">
        <f>IF(B101="","","TU"&amp;TEXT(ROW()-2,"0000"))</f>
        <v/>
      </c>
      <c r="B101" s="26" t="n"/>
      <c r="C101" s="26">
        <f>IFERROR(IF(B101="","",VLOOKUP(B101,DATABASE!A:B,2,0)),"")</f>
        <v/>
      </c>
      <c r="D101" s="26" t="n"/>
      <c r="E101" s="30" t="n"/>
      <c r="F101" s="31">
        <f>IF(B101="","",TODAY())</f>
        <v/>
      </c>
      <c r="G101" s="26" t="n"/>
      <c r="H101" s="30">
        <f>IFERROR(IF(OR(B101="",E101=""),"",SUMIF(LOANS!$B:$B,B101,LOANS!$D:$D)+E101),"")</f>
        <v/>
      </c>
      <c r="I101" s="30">
        <f>IFERROR(IF(H101="","",SUMIF(LOANS!$B:$B,B101,LOANS!$I:$I)+ABS(PMT(IFERROR(VLOOKUP(B101,LOANS!$B:$G,6,0),12)/100/12,IFERROR(VLOOKUP(B101,LOANS!$B:$H,7,0),12),E101))),"")</f>
        <v/>
      </c>
      <c r="J101" s="26">
        <f>IF(B101="","","Active")</f>
        <v/>
      </c>
    </row>
    <row r="102">
      <c r="A102" s="48">
        <f>IF(B102="","","TU"&amp;TEXT(ROW()-2,"0000"))</f>
        <v/>
      </c>
      <c r="B102" s="49" t="n"/>
      <c r="C102" s="49">
        <f>IFERROR(IF(B102="","",VLOOKUP(B102,DATABASE!A:B,2,0)),"")</f>
        <v/>
      </c>
      <c r="D102" s="49" t="n"/>
      <c r="E102" s="50" t="n"/>
      <c r="F102" s="51">
        <f>IF(B102="","",TODAY())</f>
        <v/>
      </c>
      <c r="G102" s="49" t="n"/>
      <c r="H102" s="50">
        <f>IFERROR(IF(OR(B102="",E102=""),"",SUMIF(LOANS!$B:$B,B102,LOANS!$D:$D)+E102),"")</f>
        <v/>
      </c>
      <c r="I102" s="50">
        <f>IFERROR(IF(H102="","",SUMIF(LOANS!$B:$B,B102,LOANS!$I:$I)+ABS(PMT(IFERROR(VLOOKUP(B102,LOANS!$B:$G,6,0),12)/100/12,IFERROR(VLOOKUP(B102,LOANS!$B:$H,7,0),12),E102))),"")</f>
        <v/>
      </c>
      <c r="J102" s="49">
        <f>IF(B102="","","Active")</f>
        <v/>
      </c>
    </row>
    <row r="103">
      <c r="A103" s="47">
        <f>IF(B103="","","TU"&amp;TEXT(ROW()-2,"0000"))</f>
        <v/>
      </c>
      <c r="B103" s="26" t="n"/>
      <c r="C103" s="26">
        <f>IFERROR(IF(B103="","",VLOOKUP(B103,DATABASE!A:B,2,0)),"")</f>
        <v/>
      </c>
      <c r="D103" s="26" t="n"/>
      <c r="E103" s="30" t="n"/>
      <c r="F103" s="31">
        <f>IF(B103="","",TODAY())</f>
        <v/>
      </c>
      <c r="G103" s="26" t="n"/>
      <c r="H103" s="30">
        <f>IFERROR(IF(OR(B103="",E103=""),"",SUMIF(LOANS!$B:$B,B103,LOANS!$D:$D)+E103),"")</f>
        <v/>
      </c>
      <c r="I103" s="30">
        <f>IFERROR(IF(H103="","",SUMIF(LOANS!$B:$B,B103,LOANS!$I:$I)+ABS(PMT(IFERROR(VLOOKUP(B103,LOANS!$B:$G,6,0),12)/100/12,IFERROR(VLOOKUP(B103,LOANS!$B:$H,7,0),12),E103))),"")</f>
        <v/>
      </c>
      <c r="J103" s="26">
        <f>IF(B103="","","Active")</f>
        <v/>
      </c>
    </row>
    <row r="104">
      <c r="A104" s="48">
        <f>IF(B104="","","TU"&amp;TEXT(ROW()-2,"0000"))</f>
        <v/>
      </c>
      <c r="B104" s="49" t="n"/>
      <c r="C104" s="49">
        <f>IFERROR(IF(B104="","",VLOOKUP(B104,DATABASE!A:B,2,0)),"")</f>
        <v/>
      </c>
      <c r="D104" s="49" t="n"/>
      <c r="E104" s="50" t="n"/>
      <c r="F104" s="51">
        <f>IF(B104="","",TODAY())</f>
        <v/>
      </c>
      <c r="G104" s="49" t="n"/>
      <c r="H104" s="50">
        <f>IFERROR(IF(OR(B104="",E104=""),"",SUMIF(LOANS!$B:$B,B104,LOANS!$D:$D)+E104),"")</f>
        <v/>
      </c>
      <c r="I104" s="50">
        <f>IFERROR(IF(H104="","",SUMIF(LOANS!$B:$B,B104,LOANS!$I:$I)+ABS(PMT(IFERROR(VLOOKUP(B104,LOANS!$B:$G,6,0),12)/100/12,IFERROR(VLOOKUP(B104,LOANS!$B:$H,7,0),12),E104))),"")</f>
        <v/>
      </c>
      <c r="J104" s="49">
        <f>IF(B104="","","Active")</f>
        <v/>
      </c>
    </row>
    <row r="105">
      <c r="A105" s="47">
        <f>IF(B105="","","TU"&amp;TEXT(ROW()-2,"0000"))</f>
        <v/>
      </c>
      <c r="B105" s="26" t="n"/>
      <c r="C105" s="26">
        <f>IFERROR(IF(B105="","",VLOOKUP(B105,DATABASE!A:B,2,0)),"")</f>
        <v/>
      </c>
      <c r="D105" s="26" t="n"/>
      <c r="E105" s="30" t="n"/>
      <c r="F105" s="31">
        <f>IF(B105="","",TODAY())</f>
        <v/>
      </c>
      <c r="G105" s="26" t="n"/>
      <c r="H105" s="30">
        <f>IFERROR(IF(OR(B105="",E105=""),"",SUMIF(LOANS!$B:$B,B105,LOANS!$D:$D)+E105),"")</f>
        <v/>
      </c>
      <c r="I105" s="30">
        <f>IFERROR(IF(H105="","",SUMIF(LOANS!$B:$B,B105,LOANS!$I:$I)+ABS(PMT(IFERROR(VLOOKUP(B105,LOANS!$B:$G,6,0),12)/100/12,IFERROR(VLOOKUP(B105,LOANS!$B:$H,7,0),12),E105))),"")</f>
        <v/>
      </c>
      <c r="J105" s="26">
        <f>IF(B105="","","Active")</f>
        <v/>
      </c>
    </row>
    <row r="106">
      <c r="A106" s="48">
        <f>IF(B106="","","TU"&amp;TEXT(ROW()-2,"0000"))</f>
        <v/>
      </c>
      <c r="B106" s="49" t="n"/>
      <c r="C106" s="49">
        <f>IFERROR(IF(B106="","",VLOOKUP(B106,DATABASE!A:B,2,0)),"")</f>
        <v/>
      </c>
      <c r="D106" s="49" t="n"/>
      <c r="E106" s="50" t="n"/>
      <c r="F106" s="51">
        <f>IF(B106="","",TODAY())</f>
        <v/>
      </c>
      <c r="G106" s="49" t="n"/>
      <c r="H106" s="50">
        <f>IFERROR(IF(OR(B106="",E106=""),"",SUMIF(LOANS!$B:$B,B106,LOANS!$D:$D)+E106),"")</f>
        <v/>
      </c>
      <c r="I106" s="50">
        <f>IFERROR(IF(H106="","",SUMIF(LOANS!$B:$B,B106,LOANS!$I:$I)+ABS(PMT(IFERROR(VLOOKUP(B106,LOANS!$B:$G,6,0),12)/100/12,IFERROR(VLOOKUP(B106,LOANS!$B:$H,7,0),12),E106))),"")</f>
        <v/>
      </c>
      <c r="J106" s="49">
        <f>IF(B106="","","Active")</f>
        <v/>
      </c>
    </row>
    <row r="107">
      <c r="A107" s="47">
        <f>IF(B107="","","TU"&amp;TEXT(ROW()-2,"0000"))</f>
        <v/>
      </c>
      <c r="B107" s="26" t="n"/>
      <c r="C107" s="26">
        <f>IFERROR(IF(B107="","",VLOOKUP(B107,DATABASE!A:B,2,0)),"")</f>
        <v/>
      </c>
      <c r="D107" s="26" t="n"/>
      <c r="E107" s="30" t="n"/>
      <c r="F107" s="31">
        <f>IF(B107="","",TODAY())</f>
        <v/>
      </c>
      <c r="G107" s="26" t="n"/>
      <c r="H107" s="30">
        <f>IFERROR(IF(OR(B107="",E107=""),"",SUMIF(LOANS!$B:$B,B107,LOANS!$D:$D)+E107),"")</f>
        <v/>
      </c>
      <c r="I107" s="30">
        <f>IFERROR(IF(H107="","",SUMIF(LOANS!$B:$B,B107,LOANS!$I:$I)+ABS(PMT(IFERROR(VLOOKUP(B107,LOANS!$B:$G,6,0),12)/100/12,IFERROR(VLOOKUP(B107,LOANS!$B:$H,7,0),12),E107))),"")</f>
        <v/>
      </c>
      <c r="J107" s="26">
        <f>IF(B107="","","Active")</f>
        <v/>
      </c>
    </row>
    <row r="108">
      <c r="A108" s="48">
        <f>IF(B108="","","TU"&amp;TEXT(ROW()-2,"0000"))</f>
        <v/>
      </c>
      <c r="B108" s="49" t="n"/>
      <c r="C108" s="49">
        <f>IFERROR(IF(B108="","",VLOOKUP(B108,DATABASE!A:B,2,0)),"")</f>
        <v/>
      </c>
      <c r="D108" s="49" t="n"/>
      <c r="E108" s="50" t="n"/>
      <c r="F108" s="51">
        <f>IF(B108="","",TODAY())</f>
        <v/>
      </c>
      <c r="G108" s="49" t="n"/>
      <c r="H108" s="50">
        <f>IFERROR(IF(OR(B108="",E108=""),"",SUMIF(LOANS!$B:$B,B108,LOANS!$D:$D)+E108),"")</f>
        <v/>
      </c>
      <c r="I108" s="50">
        <f>IFERROR(IF(H108="","",SUMIF(LOANS!$B:$B,B108,LOANS!$I:$I)+ABS(PMT(IFERROR(VLOOKUP(B108,LOANS!$B:$G,6,0),12)/100/12,IFERROR(VLOOKUP(B108,LOANS!$B:$H,7,0),12),E108))),"")</f>
        <v/>
      </c>
      <c r="J108" s="49">
        <f>IF(B108="","","Active")</f>
        <v/>
      </c>
    </row>
    <row r="109">
      <c r="A109" s="47">
        <f>IF(B109="","","TU"&amp;TEXT(ROW()-2,"0000"))</f>
        <v/>
      </c>
      <c r="B109" s="26" t="n"/>
      <c r="C109" s="26">
        <f>IFERROR(IF(B109="","",VLOOKUP(B109,DATABASE!A:B,2,0)),"")</f>
        <v/>
      </c>
      <c r="D109" s="26" t="n"/>
      <c r="E109" s="30" t="n"/>
      <c r="F109" s="31">
        <f>IF(B109="","",TODAY())</f>
        <v/>
      </c>
      <c r="G109" s="26" t="n"/>
      <c r="H109" s="30">
        <f>IFERROR(IF(OR(B109="",E109=""),"",SUMIF(LOANS!$B:$B,B109,LOANS!$D:$D)+E109),"")</f>
        <v/>
      </c>
      <c r="I109" s="30">
        <f>IFERROR(IF(H109="","",SUMIF(LOANS!$B:$B,B109,LOANS!$I:$I)+ABS(PMT(IFERROR(VLOOKUP(B109,LOANS!$B:$G,6,0),12)/100/12,IFERROR(VLOOKUP(B109,LOANS!$B:$H,7,0),12),E109))),"")</f>
        <v/>
      </c>
      <c r="J109" s="26">
        <f>IF(B109="","","Active")</f>
        <v/>
      </c>
    </row>
    <row r="110">
      <c r="A110" s="48">
        <f>IF(B110="","","TU"&amp;TEXT(ROW()-2,"0000"))</f>
        <v/>
      </c>
      <c r="B110" s="49" t="n"/>
      <c r="C110" s="49">
        <f>IFERROR(IF(B110="","",VLOOKUP(B110,DATABASE!A:B,2,0)),"")</f>
        <v/>
      </c>
      <c r="D110" s="49" t="n"/>
      <c r="E110" s="50" t="n"/>
      <c r="F110" s="51">
        <f>IF(B110="","",TODAY())</f>
        <v/>
      </c>
      <c r="G110" s="49" t="n"/>
      <c r="H110" s="50">
        <f>IFERROR(IF(OR(B110="",E110=""),"",SUMIF(LOANS!$B:$B,B110,LOANS!$D:$D)+E110),"")</f>
        <v/>
      </c>
      <c r="I110" s="50">
        <f>IFERROR(IF(H110="","",SUMIF(LOANS!$B:$B,B110,LOANS!$I:$I)+ABS(PMT(IFERROR(VLOOKUP(B110,LOANS!$B:$G,6,0),12)/100/12,IFERROR(VLOOKUP(B110,LOANS!$B:$H,7,0),12),E110))),"")</f>
        <v/>
      </c>
      <c r="J110" s="49">
        <f>IF(B110="","","Active")</f>
        <v/>
      </c>
    </row>
    <row r="111">
      <c r="A111" s="47">
        <f>IF(B111="","","TU"&amp;TEXT(ROW()-2,"0000"))</f>
        <v/>
      </c>
      <c r="B111" s="26" t="n"/>
      <c r="C111" s="26">
        <f>IFERROR(IF(B111="","",VLOOKUP(B111,DATABASE!A:B,2,0)),"")</f>
        <v/>
      </c>
      <c r="D111" s="26" t="n"/>
      <c r="E111" s="30" t="n"/>
      <c r="F111" s="31">
        <f>IF(B111="","",TODAY())</f>
        <v/>
      </c>
      <c r="G111" s="26" t="n"/>
      <c r="H111" s="30">
        <f>IFERROR(IF(OR(B111="",E111=""),"",SUMIF(LOANS!$B:$B,B111,LOANS!$D:$D)+E111),"")</f>
        <v/>
      </c>
      <c r="I111" s="30">
        <f>IFERROR(IF(H111="","",SUMIF(LOANS!$B:$B,B111,LOANS!$I:$I)+ABS(PMT(IFERROR(VLOOKUP(B111,LOANS!$B:$G,6,0),12)/100/12,IFERROR(VLOOKUP(B111,LOANS!$B:$H,7,0),12),E111))),"")</f>
        <v/>
      </c>
      <c r="J111" s="26">
        <f>IF(B111="","","Active")</f>
        <v/>
      </c>
    </row>
    <row r="112">
      <c r="A112" s="48">
        <f>IF(B112="","","TU"&amp;TEXT(ROW()-2,"0000"))</f>
        <v/>
      </c>
      <c r="B112" s="49" t="n"/>
      <c r="C112" s="49">
        <f>IFERROR(IF(B112="","",VLOOKUP(B112,DATABASE!A:B,2,0)),"")</f>
        <v/>
      </c>
      <c r="D112" s="49" t="n"/>
      <c r="E112" s="50" t="n"/>
      <c r="F112" s="51">
        <f>IF(B112="","",TODAY())</f>
        <v/>
      </c>
      <c r="G112" s="49" t="n"/>
      <c r="H112" s="50">
        <f>IFERROR(IF(OR(B112="",E112=""),"",SUMIF(LOANS!$B:$B,B112,LOANS!$D:$D)+E112),"")</f>
        <v/>
      </c>
      <c r="I112" s="50">
        <f>IFERROR(IF(H112="","",SUMIF(LOANS!$B:$B,B112,LOANS!$I:$I)+ABS(PMT(IFERROR(VLOOKUP(B112,LOANS!$B:$G,6,0),12)/100/12,IFERROR(VLOOKUP(B112,LOANS!$B:$H,7,0),12),E112))),"")</f>
        <v/>
      </c>
      <c r="J112" s="49">
        <f>IF(B112="","","Active")</f>
        <v/>
      </c>
    </row>
    <row r="113">
      <c r="A113" s="47">
        <f>IF(B113="","","TU"&amp;TEXT(ROW()-2,"0000"))</f>
        <v/>
      </c>
      <c r="B113" s="26" t="n"/>
      <c r="C113" s="26">
        <f>IFERROR(IF(B113="","",VLOOKUP(B113,DATABASE!A:B,2,0)),"")</f>
        <v/>
      </c>
      <c r="D113" s="26" t="n"/>
      <c r="E113" s="30" t="n"/>
      <c r="F113" s="31">
        <f>IF(B113="","",TODAY())</f>
        <v/>
      </c>
      <c r="G113" s="26" t="n"/>
      <c r="H113" s="30">
        <f>IFERROR(IF(OR(B113="",E113=""),"",SUMIF(LOANS!$B:$B,B113,LOANS!$D:$D)+E113),"")</f>
        <v/>
      </c>
      <c r="I113" s="30">
        <f>IFERROR(IF(H113="","",SUMIF(LOANS!$B:$B,B113,LOANS!$I:$I)+ABS(PMT(IFERROR(VLOOKUP(B113,LOANS!$B:$G,6,0),12)/100/12,IFERROR(VLOOKUP(B113,LOANS!$B:$H,7,0),12),E113))),"")</f>
        <v/>
      </c>
      <c r="J113" s="26">
        <f>IF(B113="","","Active")</f>
        <v/>
      </c>
    </row>
    <row r="114">
      <c r="A114" s="48">
        <f>IF(B114="","","TU"&amp;TEXT(ROW()-2,"0000"))</f>
        <v/>
      </c>
      <c r="B114" s="49" t="n"/>
      <c r="C114" s="49">
        <f>IFERROR(IF(B114="","",VLOOKUP(B114,DATABASE!A:B,2,0)),"")</f>
        <v/>
      </c>
      <c r="D114" s="49" t="n"/>
      <c r="E114" s="50" t="n"/>
      <c r="F114" s="51">
        <f>IF(B114="","",TODAY())</f>
        <v/>
      </c>
      <c r="G114" s="49" t="n"/>
      <c r="H114" s="50">
        <f>IFERROR(IF(OR(B114="",E114=""),"",SUMIF(LOANS!$B:$B,B114,LOANS!$D:$D)+E114),"")</f>
        <v/>
      </c>
      <c r="I114" s="50">
        <f>IFERROR(IF(H114="","",SUMIF(LOANS!$B:$B,B114,LOANS!$I:$I)+ABS(PMT(IFERROR(VLOOKUP(B114,LOANS!$B:$G,6,0),12)/100/12,IFERROR(VLOOKUP(B114,LOANS!$B:$H,7,0),12),E114))),"")</f>
        <v/>
      </c>
      <c r="J114" s="49">
        <f>IF(B114="","","Active")</f>
        <v/>
      </c>
    </row>
    <row r="115">
      <c r="A115" s="47">
        <f>IF(B115="","","TU"&amp;TEXT(ROW()-2,"0000"))</f>
        <v/>
      </c>
      <c r="B115" s="26" t="n"/>
      <c r="C115" s="26">
        <f>IFERROR(IF(B115="","",VLOOKUP(B115,DATABASE!A:B,2,0)),"")</f>
        <v/>
      </c>
      <c r="D115" s="26" t="n"/>
      <c r="E115" s="30" t="n"/>
      <c r="F115" s="31">
        <f>IF(B115="","",TODAY())</f>
        <v/>
      </c>
      <c r="G115" s="26" t="n"/>
      <c r="H115" s="30">
        <f>IFERROR(IF(OR(B115="",E115=""),"",SUMIF(LOANS!$B:$B,B115,LOANS!$D:$D)+E115),"")</f>
        <v/>
      </c>
      <c r="I115" s="30">
        <f>IFERROR(IF(H115="","",SUMIF(LOANS!$B:$B,B115,LOANS!$I:$I)+ABS(PMT(IFERROR(VLOOKUP(B115,LOANS!$B:$G,6,0),12)/100/12,IFERROR(VLOOKUP(B115,LOANS!$B:$H,7,0),12),E115))),"")</f>
        <v/>
      </c>
      <c r="J115" s="26">
        <f>IF(B115="","","Active")</f>
        <v/>
      </c>
    </row>
    <row r="116">
      <c r="A116" s="48">
        <f>IF(B116="","","TU"&amp;TEXT(ROW()-2,"0000"))</f>
        <v/>
      </c>
      <c r="B116" s="49" t="n"/>
      <c r="C116" s="49">
        <f>IFERROR(IF(B116="","",VLOOKUP(B116,DATABASE!A:B,2,0)),"")</f>
        <v/>
      </c>
      <c r="D116" s="49" t="n"/>
      <c r="E116" s="50" t="n"/>
      <c r="F116" s="51">
        <f>IF(B116="","",TODAY())</f>
        <v/>
      </c>
      <c r="G116" s="49" t="n"/>
      <c r="H116" s="50">
        <f>IFERROR(IF(OR(B116="",E116=""),"",SUMIF(LOANS!$B:$B,B116,LOANS!$D:$D)+E116),"")</f>
        <v/>
      </c>
      <c r="I116" s="50">
        <f>IFERROR(IF(H116="","",SUMIF(LOANS!$B:$B,B116,LOANS!$I:$I)+ABS(PMT(IFERROR(VLOOKUP(B116,LOANS!$B:$G,6,0),12)/100/12,IFERROR(VLOOKUP(B116,LOANS!$B:$H,7,0),12),E116))),"")</f>
        <v/>
      </c>
      <c r="J116" s="49">
        <f>IF(B116="","","Active")</f>
        <v/>
      </c>
    </row>
    <row r="117">
      <c r="A117" s="47">
        <f>IF(B117="","","TU"&amp;TEXT(ROW()-2,"0000"))</f>
        <v/>
      </c>
      <c r="B117" s="26" t="n"/>
      <c r="C117" s="26">
        <f>IFERROR(IF(B117="","",VLOOKUP(B117,DATABASE!A:B,2,0)),"")</f>
        <v/>
      </c>
      <c r="D117" s="26" t="n"/>
      <c r="E117" s="30" t="n"/>
      <c r="F117" s="31">
        <f>IF(B117="","",TODAY())</f>
        <v/>
      </c>
      <c r="G117" s="26" t="n"/>
      <c r="H117" s="30">
        <f>IFERROR(IF(OR(B117="",E117=""),"",SUMIF(LOANS!$B:$B,B117,LOANS!$D:$D)+E117),"")</f>
        <v/>
      </c>
      <c r="I117" s="30">
        <f>IFERROR(IF(H117="","",SUMIF(LOANS!$B:$B,B117,LOANS!$I:$I)+ABS(PMT(IFERROR(VLOOKUP(B117,LOANS!$B:$G,6,0),12)/100/12,IFERROR(VLOOKUP(B117,LOANS!$B:$H,7,0),12),E117))),"")</f>
        <v/>
      </c>
      <c r="J117" s="26">
        <f>IF(B117="","","Active")</f>
        <v/>
      </c>
    </row>
    <row r="118">
      <c r="A118" s="48">
        <f>IF(B118="","","TU"&amp;TEXT(ROW()-2,"0000"))</f>
        <v/>
      </c>
      <c r="B118" s="49" t="n"/>
      <c r="C118" s="49">
        <f>IFERROR(IF(B118="","",VLOOKUP(B118,DATABASE!A:B,2,0)),"")</f>
        <v/>
      </c>
      <c r="D118" s="49" t="n"/>
      <c r="E118" s="50" t="n"/>
      <c r="F118" s="51">
        <f>IF(B118="","",TODAY())</f>
        <v/>
      </c>
      <c r="G118" s="49" t="n"/>
      <c r="H118" s="50">
        <f>IFERROR(IF(OR(B118="",E118=""),"",SUMIF(LOANS!$B:$B,B118,LOANS!$D:$D)+E118),"")</f>
        <v/>
      </c>
      <c r="I118" s="50">
        <f>IFERROR(IF(H118="","",SUMIF(LOANS!$B:$B,B118,LOANS!$I:$I)+ABS(PMT(IFERROR(VLOOKUP(B118,LOANS!$B:$G,6,0),12)/100/12,IFERROR(VLOOKUP(B118,LOANS!$B:$H,7,0),12),E118))),"")</f>
        <v/>
      </c>
      <c r="J118" s="49">
        <f>IF(B118="","","Active")</f>
        <v/>
      </c>
    </row>
    <row r="119">
      <c r="A119" s="47">
        <f>IF(B119="","","TU"&amp;TEXT(ROW()-2,"0000"))</f>
        <v/>
      </c>
      <c r="B119" s="26" t="n"/>
      <c r="C119" s="26">
        <f>IFERROR(IF(B119="","",VLOOKUP(B119,DATABASE!A:B,2,0)),"")</f>
        <v/>
      </c>
      <c r="D119" s="26" t="n"/>
      <c r="E119" s="30" t="n"/>
      <c r="F119" s="31">
        <f>IF(B119="","",TODAY())</f>
        <v/>
      </c>
      <c r="G119" s="26" t="n"/>
      <c r="H119" s="30">
        <f>IFERROR(IF(OR(B119="",E119=""),"",SUMIF(LOANS!$B:$B,B119,LOANS!$D:$D)+E119),"")</f>
        <v/>
      </c>
      <c r="I119" s="30">
        <f>IFERROR(IF(H119="","",SUMIF(LOANS!$B:$B,B119,LOANS!$I:$I)+ABS(PMT(IFERROR(VLOOKUP(B119,LOANS!$B:$G,6,0),12)/100/12,IFERROR(VLOOKUP(B119,LOANS!$B:$H,7,0),12),E119))),"")</f>
        <v/>
      </c>
      <c r="J119" s="26">
        <f>IF(B119="","","Active")</f>
        <v/>
      </c>
    </row>
    <row r="120">
      <c r="A120" s="48">
        <f>IF(B120="","","TU"&amp;TEXT(ROW()-2,"0000"))</f>
        <v/>
      </c>
      <c r="B120" s="49" t="n"/>
      <c r="C120" s="49">
        <f>IFERROR(IF(B120="","",VLOOKUP(B120,DATABASE!A:B,2,0)),"")</f>
        <v/>
      </c>
      <c r="D120" s="49" t="n"/>
      <c r="E120" s="50" t="n"/>
      <c r="F120" s="51">
        <f>IF(B120="","",TODAY())</f>
        <v/>
      </c>
      <c r="G120" s="49" t="n"/>
      <c r="H120" s="50">
        <f>IFERROR(IF(OR(B120="",E120=""),"",SUMIF(LOANS!$B:$B,B120,LOANS!$D:$D)+E120),"")</f>
        <v/>
      </c>
      <c r="I120" s="50">
        <f>IFERROR(IF(H120="","",SUMIF(LOANS!$B:$B,B120,LOANS!$I:$I)+ABS(PMT(IFERROR(VLOOKUP(B120,LOANS!$B:$G,6,0),12)/100/12,IFERROR(VLOOKUP(B120,LOANS!$B:$H,7,0),12),E120))),"")</f>
        <v/>
      </c>
      <c r="J120" s="49">
        <f>IF(B120="","","Active")</f>
        <v/>
      </c>
    </row>
    <row r="121">
      <c r="A121" s="47">
        <f>IF(B121="","","TU"&amp;TEXT(ROW()-2,"0000"))</f>
        <v/>
      </c>
      <c r="B121" s="26" t="n"/>
      <c r="C121" s="26">
        <f>IFERROR(IF(B121="","",VLOOKUP(B121,DATABASE!A:B,2,0)),"")</f>
        <v/>
      </c>
      <c r="D121" s="26" t="n"/>
      <c r="E121" s="30" t="n"/>
      <c r="F121" s="31">
        <f>IF(B121="","",TODAY())</f>
        <v/>
      </c>
      <c r="G121" s="26" t="n"/>
      <c r="H121" s="30">
        <f>IFERROR(IF(OR(B121="",E121=""),"",SUMIF(LOANS!$B:$B,B121,LOANS!$D:$D)+E121),"")</f>
        <v/>
      </c>
      <c r="I121" s="30">
        <f>IFERROR(IF(H121="","",SUMIF(LOANS!$B:$B,B121,LOANS!$I:$I)+ABS(PMT(IFERROR(VLOOKUP(B121,LOANS!$B:$G,6,0),12)/100/12,IFERROR(VLOOKUP(B121,LOANS!$B:$H,7,0),12),E121))),"")</f>
        <v/>
      </c>
      <c r="J121" s="26">
        <f>IF(B121="","","Active")</f>
        <v/>
      </c>
    </row>
    <row r="122">
      <c r="A122" s="48">
        <f>IF(B122="","","TU"&amp;TEXT(ROW()-2,"0000"))</f>
        <v/>
      </c>
      <c r="B122" s="49" t="n"/>
      <c r="C122" s="49">
        <f>IFERROR(IF(B122="","",VLOOKUP(B122,DATABASE!A:B,2,0)),"")</f>
        <v/>
      </c>
      <c r="D122" s="49" t="n"/>
      <c r="E122" s="50" t="n"/>
      <c r="F122" s="51">
        <f>IF(B122="","",TODAY())</f>
        <v/>
      </c>
      <c r="G122" s="49" t="n"/>
      <c r="H122" s="50">
        <f>IFERROR(IF(OR(B122="",E122=""),"",SUMIF(LOANS!$B:$B,B122,LOANS!$D:$D)+E122),"")</f>
        <v/>
      </c>
      <c r="I122" s="50">
        <f>IFERROR(IF(H122="","",SUMIF(LOANS!$B:$B,B122,LOANS!$I:$I)+ABS(PMT(IFERROR(VLOOKUP(B122,LOANS!$B:$G,6,0),12)/100/12,IFERROR(VLOOKUP(B122,LOANS!$B:$H,7,0),12),E122))),"")</f>
        <v/>
      </c>
      <c r="J122" s="49">
        <f>IF(B122="","","Active")</f>
        <v/>
      </c>
    </row>
    <row r="123">
      <c r="A123" s="47">
        <f>IF(B123="","","TU"&amp;TEXT(ROW()-2,"0000"))</f>
        <v/>
      </c>
      <c r="B123" s="26" t="n"/>
      <c r="C123" s="26">
        <f>IFERROR(IF(B123="","",VLOOKUP(B123,DATABASE!A:B,2,0)),"")</f>
        <v/>
      </c>
      <c r="D123" s="26" t="n"/>
      <c r="E123" s="30" t="n"/>
      <c r="F123" s="31">
        <f>IF(B123="","",TODAY())</f>
        <v/>
      </c>
      <c r="G123" s="26" t="n"/>
      <c r="H123" s="30">
        <f>IFERROR(IF(OR(B123="",E123=""),"",SUMIF(LOANS!$B:$B,B123,LOANS!$D:$D)+E123),"")</f>
        <v/>
      </c>
      <c r="I123" s="30">
        <f>IFERROR(IF(H123="","",SUMIF(LOANS!$B:$B,B123,LOANS!$I:$I)+ABS(PMT(IFERROR(VLOOKUP(B123,LOANS!$B:$G,6,0),12)/100/12,IFERROR(VLOOKUP(B123,LOANS!$B:$H,7,0),12),E123))),"")</f>
        <v/>
      </c>
      <c r="J123" s="26">
        <f>IF(B123="","","Active")</f>
        <v/>
      </c>
    </row>
    <row r="124">
      <c r="A124" s="48">
        <f>IF(B124="","","TU"&amp;TEXT(ROW()-2,"0000"))</f>
        <v/>
      </c>
      <c r="B124" s="49" t="n"/>
      <c r="C124" s="49">
        <f>IFERROR(IF(B124="","",VLOOKUP(B124,DATABASE!A:B,2,0)),"")</f>
        <v/>
      </c>
      <c r="D124" s="49" t="n"/>
      <c r="E124" s="50" t="n"/>
      <c r="F124" s="51">
        <f>IF(B124="","",TODAY())</f>
        <v/>
      </c>
      <c r="G124" s="49" t="n"/>
      <c r="H124" s="50">
        <f>IFERROR(IF(OR(B124="",E124=""),"",SUMIF(LOANS!$B:$B,B124,LOANS!$D:$D)+E124),"")</f>
        <v/>
      </c>
      <c r="I124" s="50">
        <f>IFERROR(IF(H124="","",SUMIF(LOANS!$B:$B,B124,LOANS!$I:$I)+ABS(PMT(IFERROR(VLOOKUP(B124,LOANS!$B:$G,6,0),12)/100/12,IFERROR(VLOOKUP(B124,LOANS!$B:$H,7,0),12),E124))),"")</f>
        <v/>
      </c>
      <c r="J124" s="49">
        <f>IF(B124="","","Active")</f>
        <v/>
      </c>
    </row>
    <row r="125">
      <c r="A125" s="47">
        <f>IF(B125="","","TU"&amp;TEXT(ROW()-2,"0000"))</f>
        <v/>
      </c>
      <c r="B125" s="26" t="n"/>
      <c r="C125" s="26">
        <f>IFERROR(IF(B125="","",VLOOKUP(B125,DATABASE!A:B,2,0)),"")</f>
        <v/>
      </c>
      <c r="D125" s="26" t="n"/>
      <c r="E125" s="30" t="n"/>
      <c r="F125" s="31">
        <f>IF(B125="","",TODAY())</f>
        <v/>
      </c>
      <c r="G125" s="26" t="n"/>
      <c r="H125" s="30">
        <f>IFERROR(IF(OR(B125="",E125=""),"",SUMIF(LOANS!$B:$B,B125,LOANS!$D:$D)+E125),"")</f>
        <v/>
      </c>
      <c r="I125" s="30">
        <f>IFERROR(IF(H125="","",SUMIF(LOANS!$B:$B,B125,LOANS!$I:$I)+ABS(PMT(IFERROR(VLOOKUP(B125,LOANS!$B:$G,6,0),12)/100/12,IFERROR(VLOOKUP(B125,LOANS!$B:$H,7,0),12),E125))),"")</f>
        <v/>
      </c>
      <c r="J125" s="26">
        <f>IF(B125="","","Active")</f>
        <v/>
      </c>
    </row>
    <row r="126">
      <c r="A126" s="48">
        <f>IF(B126="","","TU"&amp;TEXT(ROW()-2,"0000"))</f>
        <v/>
      </c>
      <c r="B126" s="49" t="n"/>
      <c r="C126" s="49">
        <f>IFERROR(IF(B126="","",VLOOKUP(B126,DATABASE!A:B,2,0)),"")</f>
        <v/>
      </c>
      <c r="D126" s="49" t="n"/>
      <c r="E126" s="50" t="n"/>
      <c r="F126" s="51">
        <f>IF(B126="","",TODAY())</f>
        <v/>
      </c>
      <c r="G126" s="49" t="n"/>
      <c r="H126" s="50">
        <f>IFERROR(IF(OR(B126="",E126=""),"",SUMIF(LOANS!$B:$B,B126,LOANS!$D:$D)+E126),"")</f>
        <v/>
      </c>
      <c r="I126" s="50">
        <f>IFERROR(IF(H126="","",SUMIF(LOANS!$B:$B,B126,LOANS!$I:$I)+ABS(PMT(IFERROR(VLOOKUP(B126,LOANS!$B:$G,6,0),12)/100/12,IFERROR(VLOOKUP(B126,LOANS!$B:$H,7,0),12),E126))),"")</f>
        <v/>
      </c>
      <c r="J126" s="49">
        <f>IF(B126="","","Active")</f>
        <v/>
      </c>
    </row>
    <row r="127">
      <c r="A127" s="47">
        <f>IF(B127="","","TU"&amp;TEXT(ROW()-2,"0000"))</f>
        <v/>
      </c>
      <c r="B127" s="26" t="n"/>
      <c r="C127" s="26">
        <f>IFERROR(IF(B127="","",VLOOKUP(B127,DATABASE!A:B,2,0)),"")</f>
        <v/>
      </c>
      <c r="D127" s="26" t="n"/>
      <c r="E127" s="30" t="n"/>
      <c r="F127" s="31">
        <f>IF(B127="","",TODAY())</f>
        <v/>
      </c>
      <c r="G127" s="26" t="n"/>
      <c r="H127" s="30">
        <f>IFERROR(IF(OR(B127="",E127=""),"",SUMIF(LOANS!$B:$B,B127,LOANS!$D:$D)+E127),"")</f>
        <v/>
      </c>
      <c r="I127" s="30">
        <f>IFERROR(IF(H127="","",SUMIF(LOANS!$B:$B,B127,LOANS!$I:$I)+ABS(PMT(IFERROR(VLOOKUP(B127,LOANS!$B:$G,6,0),12)/100/12,IFERROR(VLOOKUP(B127,LOANS!$B:$H,7,0),12),E127))),"")</f>
        <v/>
      </c>
      <c r="J127" s="26">
        <f>IF(B127="","","Active")</f>
        <v/>
      </c>
    </row>
    <row r="128">
      <c r="A128" s="48">
        <f>IF(B128="","","TU"&amp;TEXT(ROW()-2,"0000"))</f>
        <v/>
      </c>
      <c r="B128" s="49" t="n"/>
      <c r="C128" s="49">
        <f>IFERROR(IF(B128="","",VLOOKUP(B128,DATABASE!A:B,2,0)),"")</f>
        <v/>
      </c>
      <c r="D128" s="49" t="n"/>
      <c r="E128" s="50" t="n"/>
      <c r="F128" s="51">
        <f>IF(B128="","",TODAY())</f>
        <v/>
      </c>
      <c r="G128" s="49" t="n"/>
      <c r="H128" s="50">
        <f>IFERROR(IF(OR(B128="",E128=""),"",SUMIF(LOANS!$B:$B,B128,LOANS!$D:$D)+E128),"")</f>
        <v/>
      </c>
      <c r="I128" s="50">
        <f>IFERROR(IF(H128="","",SUMIF(LOANS!$B:$B,B128,LOANS!$I:$I)+ABS(PMT(IFERROR(VLOOKUP(B128,LOANS!$B:$G,6,0),12)/100/12,IFERROR(VLOOKUP(B128,LOANS!$B:$H,7,0),12),E128))),"")</f>
        <v/>
      </c>
      <c r="J128" s="49">
        <f>IF(B128="","","Active")</f>
        <v/>
      </c>
    </row>
    <row r="129">
      <c r="A129" s="47">
        <f>IF(B129="","","TU"&amp;TEXT(ROW()-2,"0000"))</f>
        <v/>
      </c>
      <c r="B129" s="26" t="n"/>
      <c r="C129" s="26">
        <f>IFERROR(IF(B129="","",VLOOKUP(B129,DATABASE!A:B,2,0)),"")</f>
        <v/>
      </c>
      <c r="D129" s="26" t="n"/>
      <c r="E129" s="30" t="n"/>
      <c r="F129" s="31">
        <f>IF(B129="","",TODAY())</f>
        <v/>
      </c>
      <c r="G129" s="26" t="n"/>
      <c r="H129" s="30">
        <f>IFERROR(IF(OR(B129="",E129=""),"",SUMIF(LOANS!$B:$B,B129,LOANS!$D:$D)+E129),"")</f>
        <v/>
      </c>
      <c r="I129" s="30">
        <f>IFERROR(IF(H129="","",SUMIF(LOANS!$B:$B,B129,LOANS!$I:$I)+ABS(PMT(IFERROR(VLOOKUP(B129,LOANS!$B:$G,6,0),12)/100/12,IFERROR(VLOOKUP(B129,LOANS!$B:$H,7,0),12),E129))),"")</f>
        <v/>
      </c>
      <c r="J129" s="26">
        <f>IF(B129="","","Active")</f>
        <v/>
      </c>
    </row>
    <row r="130">
      <c r="A130" s="48">
        <f>IF(B130="","","TU"&amp;TEXT(ROW()-2,"0000"))</f>
        <v/>
      </c>
      <c r="B130" s="49" t="n"/>
      <c r="C130" s="49">
        <f>IFERROR(IF(B130="","",VLOOKUP(B130,DATABASE!A:B,2,0)),"")</f>
        <v/>
      </c>
      <c r="D130" s="49" t="n"/>
      <c r="E130" s="50" t="n"/>
      <c r="F130" s="51">
        <f>IF(B130="","",TODAY())</f>
        <v/>
      </c>
      <c r="G130" s="49" t="n"/>
      <c r="H130" s="50">
        <f>IFERROR(IF(OR(B130="",E130=""),"",SUMIF(LOANS!$B:$B,B130,LOANS!$D:$D)+E130),"")</f>
        <v/>
      </c>
      <c r="I130" s="50">
        <f>IFERROR(IF(H130="","",SUMIF(LOANS!$B:$B,B130,LOANS!$I:$I)+ABS(PMT(IFERROR(VLOOKUP(B130,LOANS!$B:$G,6,0),12)/100/12,IFERROR(VLOOKUP(B130,LOANS!$B:$H,7,0),12),E130))),"")</f>
        <v/>
      </c>
      <c r="J130" s="49">
        <f>IF(B130="","","Active")</f>
        <v/>
      </c>
    </row>
    <row r="131">
      <c r="A131" s="47">
        <f>IF(B131="","","TU"&amp;TEXT(ROW()-2,"0000"))</f>
        <v/>
      </c>
      <c r="B131" s="26" t="n"/>
      <c r="C131" s="26">
        <f>IFERROR(IF(B131="","",VLOOKUP(B131,DATABASE!A:B,2,0)),"")</f>
        <v/>
      </c>
      <c r="D131" s="26" t="n"/>
      <c r="E131" s="30" t="n"/>
      <c r="F131" s="31">
        <f>IF(B131="","",TODAY())</f>
        <v/>
      </c>
      <c r="G131" s="26" t="n"/>
      <c r="H131" s="30">
        <f>IFERROR(IF(OR(B131="",E131=""),"",SUMIF(LOANS!$B:$B,B131,LOANS!$D:$D)+E131),"")</f>
        <v/>
      </c>
      <c r="I131" s="30">
        <f>IFERROR(IF(H131="","",SUMIF(LOANS!$B:$B,B131,LOANS!$I:$I)+ABS(PMT(IFERROR(VLOOKUP(B131,LOANS!$B:$G,6,0),12)/100/12,IFERROR(VLOOKUP(B131,LOANS!$B:$H,7,0),12),E131))),"")</f>
        <v/>
      </c>
      <c r="J131" s="26">
        <f>IF(B131="","","Active")</f>
        <v/>
      </c>
    </row>
    <row r="132">
      <c r="A132" s="48">
        <f>IF(B132="","","TU"&amp;TEXT(ROW()-2,"0000"))</f>
        <v/>
      </c>
      <c r="B132" s="49" t="n"/>
      <c r="C132" s="49">
        <f>IFERROR(IF(B132="","",VLOOKUP(B132,DATABASE!A:B,2,0)),"")</f>
        <v/>
      </c>
      <c r="D132" s="49" t="n"/>
      <c r="E132" s="50" t="n"/>
      <c r="F132" s="51">
        <f>IF(B132="","",TODAY())</f>
        <v/>
      </c>
      <c r="G132" s="49" t="n"/>
      <c r="H132" s="50">
        <f>IFERROR(IF(OR(B132="",E132=""),"",SUMIF(LOANS!$B:$B,B132,LOANS!$D:$D)+E132),"")</f>
        <v/>
      </c>
      <c r="I132" s="50">
        <f>IFERROR(IF(H132="","",SUMIF(LOANS!$B:$B,B132,LOANS!$I:$I)+ABS(PMT(IFERROR(VLOOKUP(B132,LOANS!$B:$G,6,0),12)/100/12,IFERROR(VLOOKUP(B132,LOANS!$B:$H,7,0),12),E132))),"")</f>
        <v/>
      </c>
      <c r="J132" s="49">
        <f>IF(B132="","","Active")</f>
        <v/>
      </c>
    </row>
    <row r="133">
      <c r="A133" s="47">
        <f>IF(B133="","","TU"&amp;TEXT(ROW()-2,"0000"))</f>
        <v/>
      </c>
      <c r="B133" s="26" t="n"/>
      <c r="C133" s="26">
        <f>IFERROR(IF(B133="","",VLOOKUP(B133,DATABASE!A:B,2,0)),"")</f>
        <v/>
      </c>
      <c r="D133" s="26" t="n"/>
      <c r="E133" s="30" t="n"/>
      <c r="F133" s="31">
        <f>IF(B133="","",TODAY())</f>
        <v/>
      </c>
      <c r="G133" s="26" t="n"/>
      <c r="H133" s="30">
        <f>IFERROR(IF(OR(B133="",E133=""),"",SUMIF(LOANS!$B:$B,B133,LOANS!$D:$D)+E133),"")</f>
        <v/>
      </c>
      <c r="I133" s="30">
        <f>IFERROR(IF(H133="","",SUMIF(LOANS!$B:$B,B133,LOANS!$I:$I)+ABS(PMT(IFERROR(VLOOKUP(B133,LOANS!$B:$G,6,0),12)/100/12,IFERROR(VLOOKUP(B133,LOANS!$B:$H,7,0),12),E133))),"")</f>
        <v/>
      </c>
      <c r="J133" s="26">
        <f>IF(B133="","","Active")</f>
        <v/>
      </c>
    </row>
    <row r="134">
      <c r="A134" s="48">
        <f>IF(B134="","","TU"&amp;TEXT(ROW()-2,"0000"))</f>
        <v/>
      </c>
      <c r="B134" s="49" t="n"/>
      <c r="C134" s="49">
        <f>IFERROR(IF(B134="","",VLOOKUP(B134,DATABASE!A:B,2,0)),"")</f>
        <v/>
      </c>
      <c r="D134" s="49" t="n"/>
      <c r="E134" s="50" t="n"/>
      <c r="F134" s="51">
        <f>IF(B134="","",TODAY())</f>
        <v/>
      </c>
      <c r="G134" s="49" t="n"/>
      <c r="H134" s="50">
        <f>IFERROR(IF(OR(B134="",E134=""),"",SUMIF(LOANS!$B:$B,B134,LOANS!$D:$D)+E134),"")</f>
        <v/>
      </c>
      <c r="I134" s="50">
        <f>IFERROR(IF(H134="","",SUMIF(LOANS!$B:$B,B134,LOANS!$I:$I)+ABS(PMT(IFERROR(VLOOKUP(B134,LOANS!$B:$G,6,0),12)/100/12,IFERROR(VLOOKUP(B134,LOANS!$B:$H,7,0),12),E134))),"")</f>
        <v/>
      </c>
      <c r="J134" s="49">
        <f>IF(B134="","","Active")</f>
        <v/>
      </c>
    </row>
    <row r="135">
      <c r="A135" s="47">
        <f>IF(B135="","","TU"&amp;TEXT(ROW()-2,"0000"))</f>
        <v/>
      </c>
      <c r="B135" s="26" t="n"/>
      <c r="C135" s="26">
        <f>IFERROR(IF(B135="","",VLOOKUP(B135,DATABASE!A:B,2,0)),"")</f>
        <v/>
      </c>
      <c r="D135" s="26" t="n"/>
      <c r="E135" s="30" t="n"/>
      <c r="F135" s="31">
        <f>IF(B135="","",TODAY())</f>
        <v/>
      </c>
      <c r="G135" s="26" t="n"/>
      <c r="H135" s="30">
        <f>IFERROR(IF(OR(B135="",E135=""),"",SUMIF(LOANS!$B:$B,B135,LOANS!$D:$D)+E135),"")</f>
        <v/>
      </c>
      <c r="I135" s="30">
        <f>IFERROR(IF(H135="","",SUMIF(LOANS!$B:$B,B135,LOANS!$I:$I)+ABS(PMT(IFERROR(VLOOKUP(B135,LOANS!$B:$G,6,0),12)/100/12,IFERROR(VLOOKUP(B135,LOANS!$B:$H,7,0),12),E135))),"")</f>
        <v/>
      </c>
      <c r="J135" s="26">
        <f>IF(B135="","","Active")</f>
        <v/>
      </c>
    </row>
    <row r="136">
      <c r="A136" s="48">
        <f>IF(B136="","","TU"&amp;TEXT(ROW()-2,"0000"))</f>
        <v/>
      </c>
      <c r="B136" s="49" t="n"/>
      <c r="C136" s="49">
        <f>IFERROR(IF(B136="","",VLOOKUP(B136,DATABASE!A:B,2,0)),"")</f>
        <v/>
      </c>
      <c r="D136" s="49" t="n"/>
      <c r="E136" s="50" t="n"/>
      <c r="F136" s="51">
        <f>IF(B136="","",TODAY())</f>
        <v/>
      </c>
      <c r="G136" s="49" t="n"/>
      <c r="H136" s="50">
        <f>IFERROR(IF(OR(B136="",E136=""),"",SUMIF(LOANS!$B:$B,B136,LOANS!$D:$D)+E136),"")</f>
        <v/>
      </c>
      <c r="I136" s="50">
        <f>IFERROR(IF(H136="","",SUMIF(LOANS!$B:$B,B136,LOANS!$I:$I)+ABS(PMT(IFERROR(VLOOKUP(B136,LOANS!$B:$G,6,0),12)/100/12,IFERROR(VLOOKUP(B136,LOANS!$B:$H,7,0),12),E136))),"")</f>
        <v/>
      </c>
      <c r="J136" s="49">
        <f>IF(B136="","","Active")</f>
        <v/>
      </c>
    </row>
    <row r="137">
      <c r="A137" s="47">
        <f>IF(B137="","","TU"&amp;TEXT(ROW()-2,"0000"))</f>
        <v/>
      </c>
      <c r="B137" s="26" t="n"/>
      <c r="C137" s="26">
        <f>IFERROR(IF(B137="","",VLOOKUP(B137,DATABASE!A:B,2,0)),"")</f>
        <v/>
      </c>
      <c r="D137" s="26" t="n"/>
      <c r="E137" s="30" t="n"/>
      <c r="F137" s="31">
        <f>IF(B137="","",TODAY())</f>
        <v/>
      </c>
      <c r="G137" s="26" t="n"/>
      <c r="H137" s="30">
        <f>IFERROR(IF(OR(B137="",E137=""),"",SUMIF(LOANS!$B:$B,B137,LOANS!$D:$D)+E137),"")</f>
        <v/>
      </c>
      <c r="I137" s="30">
        <f>IFERROR(IF(H137="","",SUMIF(LOANS!$B:$B,B137,LOANS!$I:$I)+ABS(PMT(IFERROR(VLOOKUP(B137,LOANS!$B:$G,6,0),12)/100/12,IFERROR(VLOOKUP(B137,LOANS!$B:$H,7,0),12),E137))),"")</f>
        <v/>
      </c>
      <c r="J137" s="26">
        <f>IF(B137="","","Active")</f>
        <v/>
      </c>
    </row>
    <row r="138">
      <c r="A138" s="48">
        <f>IF(B138="","","TU"&amp;TEXT(ROW()-2,"0000"))</f>
        <v/>
      </c>
      <c r="B138" s="49" t="n"/>
      <c r="C138" s="49">
        <f>IFERROR(IF(B138="","",VLOOKUP(B138,DATABASE!A:B,2,0)),"")</f>
        <v/>
      </c>
      <c r="D138" s="49" t="n"/>
      <c r="E138" s="50" t="n"/>
      <c r="F138" s="51">
        <f>IF(B138="","",TODAY())</f>
        <v/>
      </c>
      <c r="G138" s="49" t="n"/>
      <c r="H138" s="50">
        <f>IFERROR(IF(OR(B138="",E138=""),"",SUMIF(LOANS!$B:$B,B138,LOANS!$D:$D)+E138),"")</f>
        <v/>
      </c>
      <c r="I138" s="50">
        <f>IFERROR(IF(H138="","",SUMIF(LOANS!$B:$B,B138,LOANS!$I:$I)+ABS(PMT(IFERROR(VLOOKUP(B138,LOANS!$B:$G,6,0),12)/100/12,IFERROR(VLOOKUP(B138,LOANS!$B:$H,7,0),12),E138))),"")</f>
        <v/>
      </c>
      <c r="J138" s="49">
        <f>IF(B138="","","Active")</f>
        <v/>
      </c>
    </row>
    <row r="139">
      <c r="A139" s="47">
        <f>IF(B139="","","TU"&amp;TEXT(ROW()-2,"0000"))</f>
        <v/>
      </c>
      <c r="B139" s="26" t="n"/>
      <c r="C139" s="26">
        <f>IFERROR(IF(B139="","",VLOOKUP(B139,DATABASE!A:B,2,0)),"")</f>
        <v/>
      </c>
      <c r="D139" s="26" t="n"/>
      <c r="E139" s="30" t="n"/>
      <c r="F139" s="31">
        <f>IF(B139="","",TODAY())</f>
        <v/>
      </c>
      <c r="G139" s="26" t="n"/>
      <c r="H139" s="30">
        <f>IFERROR(IF(OR(B139="",E139=""),"",SUMIF(LOANS!$B:$B,B139,LOANS!$D:$D)+E139),"")</f>
        <v/>
      </c>
      <c r="I139" s="30">
        <f>IFERROR(IF(H139="","",SUMIF(LOANS!$B:$B,B139,LOANS!$I:$I)+ABS(PMT(IFERROR(VLOOKUP(B139,LOANS!$B:$G,6,0),12)/100/12,IFERROR(VLOOKUP(B139,LOANS!$B:$H,7,0),12),E139))),"")</f>
        <v/>
      </c>
      <c r="J139" s="26">
        <f>IF(B139="","","Active")</f>
        <v/>
      </c>
    </row>
    <row r="140">
      <c r="A140" s="48">
        <f>IF(B140="","","TU"&amp;TEXT(ROW()-2,"0000"))</f>
        <v/>
      </c>
      <c r="B140" s="49" t="n"/>
      <c r="C140" s="49">
        <f>IFERROR(IF(B140="","",VLOOKUP(B140,DATABASE!A:B,2,0)),"")</f>
        <v/>
      </c>
      <c r="D140" s="49" t="n"/>
      <c r="E140" s="50" t="n"/>
      <c r="F140" s="51">
        <f>IF(B140="","",TODAY())</f>
        <v/>
      </c>
      <c r="G140" s="49" t="n"/>
      <c r="H140" s="50">
        <f>IFERROR(IF(OR(B140="",E140=""),"",SUMIF(LOANS!$B:$B,B140,LOANS!$D:$D)+E140),"")</f>
        <v/>
      </c>
      <c r="I140" s="50">
        <f>IFERROR(IF(H140="","",SUMIF(LOANS!$B:$B,B140,LOANS!$I:$I)+ABS(PMT(IFERROR(VLOOKUP(B140,LOANS!$B:$G,6,0),12)/100/12,IFERROR(VLOOKUP(B140,LOANS!$B:$H,7,0),12),E140))),"")</f>
        <v/>
      </c>
      <c r="J140" s="49">
        <f>IF(B140="","","Active")</f>
        <v/>
      </c>
    </row>
    <row r="141">
      <c r="A141" s="47">
        <f>IF(B141="","","TU"&amp;TEXT(ROW()-2,"0000"))</f>
        <v/>
      </c>
      <c r="B141" s="26" t="n"/>
      <c r="C141" s="26">
        <f>IFERROR(IF(B141="","",VLOOKUP(B141,DATABASE!A:B,2,0)),"")</f>
        <v/>
      </c>
      <c r="D141" s="26" t="n"/>
      <c r="E141" s="30" t="n"/>
      <c r="F141" s="31">
        <f>IF(B141="","",TODAY())</f>
        <v/>
      </c>
      <c r="G141" s="26" t="n"/>
      <c r="H141" s="30">
        <f>IFERROR(IF(OR(B141="",E141=""),"",SUMIF(LOANS!$B:$B,B141,LOANS!$D:$D)+E141),"")</f>
        <v/>
      </c>
      <c r="I141" s="30">
        <f>IFERROR(IF(H141="","",SUMIF(LOANS!$B:$B,B141,LOANS!$I:$I)+ABS(PMT(IFERROR(VLOOKUP(B141,LOANS!$B:$G,6,0),12)/100/12,IFERROR(VLOOKUP(B141,LOANS!$B:$H,7,0),12),E141))),"")</f>
        <v/>
      </c>
      <c r="J141" s="26">
        <f>IF(B141="","","Active")</f>
        <v/>
      </c>
    </row>
    <row r="142">
      <c r="A142" s="48">
        <f>IF(B142="","","TU"&amp;TEXT(ROW()-2,"0000"))</f>
        <v/>
      </c>
      <c r="B142" s="49" t="n"/>
      <c r="C142" s="49">
        <f>IFERROR(IF(B142="","",VLOOKUP(B142,DATABASE!A:B,2,0)),"")</f>
        <v/>
      </c>
      <c r="D142" s="49" t="n"/>
      <c r="E142" s="50" t="n"/>
      <c r="F142" s="51">
        <f>IF(B142="","",TODAY())</f>
        <v/>
      </c>
      <c r="G142" s="49" t="n"/>
      <c r="H142" s="50">
        <f>IFERROR(IF(OR(B142="",E142=""),"",SUMIF(LOANS!$B:$B,B142,LOANS!$D:$D)+E142),"")</f>
        <v/>
      </c>
      <c r="I142" s="50">
        <f>IFERROR(IF(H142="","",SUMIF(LOANS!$B:$B,B142,LOANS!$I:$I)+ABS(PMT(IFERROR(VLOOKUP(B142,LOANS!$B:$G,6,0),12)/100/12,IFERROR(VLOOKUP(B142,LOANS!$B:$H,7,0),12),E142))),"")</f>
        <v/>
      </c>
      <c r="J142" s="49">
        <f>IF(B142="","","Active")</f>
        <v/>
      </c>
    </row>
    <row r="143">
      <c r="A143" s="47">
        <f>IF(B143="","","TU"&amp;TEXT(ROW()-2,"0000"))</f>
        <v/>
      </c>
      <c r="B143" s="26" t="n"/>
      <c r="C143" s="26">
        <f>IFERROR(IF(B143="","",VLOOKUP(B143,DATABASE!A:B,2,0)),"")</f>
        <v/>
      </c>
      <c r="D143" s="26" t="n"/>
      <c r="E143" s="30" t="n"/>
      <c r="F143" s="31">
        <f>IF(B143="","",TODAY())</f>
        <v/>
      </c>
      <c r="G143" s="26" t="n"/>
      <c r="H143" s="30">
        <f>IFERROR(IF(OR(B143="",E143=""),"",SUMIF(LOANS!$B:$B,B143,LOANS!$D:$D)+E143),"")</f>
        <v/>
      </c>
      <c r="I143" s="30">
        <f>IFERROR(IF(H143="","",SUMIF(LOANS!$B:$B,B143,LOANS!$I:$I)+ABS(PMT(IFERROR(VLOOKUP(B143,LOANS!$B:$G,6,0),12)/100/12,IFERROR(VLOOKUP(B143,LOANS!$B:$H,7,0),12),E143))),"")</f>
        <v/>
      </c>
      <c r="J143" s="26">
        <f>IF(B143="","","Active")</f>
        <v/>
      </c>
    </row>
    <row r="144">
      <c r="A144" s="48">
        <f>IF(B144="","","TU"&amp;TEXT(ROW()-2,"0000"))</f>
        <v/>
      </c>
      <c r="B144" s="49" t="n"/>
      <c r="C144" s="49">
        <f>IFERROR(IF(B144="","",VLOOKUP(B144,DATABASE!A:B,2,0)),"")</f>
        <v/>
      </c>
      <c r="D144" s="49" t="n"/>
      <c r="E144" s="50" t="n"/>
      <c r="F144" s="51">
        <f>IF(B144="","",TODAY())</f>
        <v/>
      </c>
      <c r="G144" s="49" t="n"/>
      <c r="H144" s="50">
        <f>IFERROR(IF(OR(B144="",E144=""),"",SUMIF(LOANS!$B:$B,B144,LOANS!$D:$D)+E144),"")</f>
        <v/>
      </c>
      <c r="I144" s="50">
        <f>IFERROR(IF(H144="","",SUMIF(LOANS!$B:$B,B144,LOANS!$I:$I)+ABS(PMT(IFERROR(VLOOKUP(B144,LOANS!$B:$G,6,0),12)/100/12,IFERROR(VLOOKUP(B144,LOANS!$B:$H,7,0),12),E144))),"")</f>
        <v/>
      </c>
      <c r="J144" s="49">
        <f>IF(B144="","","Active")</f>
        <v/>
      </c>
    </row>
    <row r="145">
      <c r="A145" s="47">
        <f>IF(B145="","","TU"&amp;TEXT(ROW()-2,"0000"))</f>
        <v/>
      </c>
      <c r="B145" s="26" t="n"/>
      <c r="C145" s="26">
        <f>IFERROR(IF(B145="","",VLOOKUP(B145,DATABASE!A:B,2,0)),"")</f>
        <v/>
      </c>
      <c r="D145" s="26" t="n"/>
      <c r="E145" s="30" t="n"/>
      <c r="F145" s="31">
        <f>IF(B145="","",TODAY())</f>
        <v/>
      </c>
      <c r="G145" s="26" t="n"/>
      <c r="H145" s="30">
        <f>IFERROR(IF(OR(B145="",E145=""),"",SUMIF(LOANS!$B:$B,B145,LOANS!$D:$D)+E145),"")</f>
        <v/>
      </c>
      <c r="I145" s="30">
        <f>IFERROR(IF(H145="","",SUMIF(LOANS!$B:$B,B145,LOANS!$I:$I)+ABS(PMT(IFERROR(VLOOKUP(B145,LOANS!$B:$G,6,0),12)/100/12,IFERROR(VLOOKUP(B145,LOANS!$B:$H,7,0),12),E145))),"")</f>
        <v/>
      </c>
      <c r="J145" s="26">
        <f>IF(B145="","","Active")</f>
        <v/>
      </c>
    </row>
    <row r="146">
      <c r="A146" s="48">
        <f>IF(B146="","","TU"&amp;TEXT(ROW()-2,"0000"))</f>
        <v/>
      </c>
      <c r="B146" s="49" t="n"/>
      <c r="C146" s="49">
        <f>IFERROR(IF(B146="","",VLOOKUP(B146,DATABASE!A:B,2,0)),"")</f>
        <v/>
      </c>
      <c r="D146" s="49" t="n"/>
      <c r="E146" s="50" t="n"/>
      <c r="F146" s="51">
        <f>IF(B146="","",TODAY())</f>
        <v/>
      </c>
      <c r="G146" s="49" t="n"/>
      <c r="H146" s="50">
        <f>IFERROR(IF(OR(B146="",E146=""),"",SUMIF(LOANS!$B:$B,B146,LOANS!$D:$D)+E146),"")</f>
        <v/>
      </c>
      <c r="I146" s="50">
        <f>IFERROR(IF(H146="","",SUMIF(LOANS!$B:$B,B146,LOANS!$I:$I)+ABS(PMT(IFERROR(VLOOKUP(B146,LOANS!$B:$G,6,0),12)/100/12,IFERROR(VLOOKUP(B146,LOANS!$B:$H,7,0),12),E146))),"")</f>
        <v/>
      </c>
      <c r="J146" s="49">
        <f>IF(B146="","","Active")</f>
        <v/>
      </c>
    </row>
    <row r="147">
      <c r="A147" s="47">
        <f>IF(B147="","","TU"&amp;TEXT(ROW()-2,"0000"))</f>
        <v/>
      </c>
      <c r="B147" s="26" t="n"/>
      <c r="C147" s="26">
        <f>IFERROR(IF(B147="","",VLOOKUP(B147,DATABASE!A:B,2,0)),"")</f>
        <v/>
      </c>
      <c r="D147" s="26" t="n"/>
      <c r="E147" s="30" t="n"/>
      <c r="F147" s="31">
        <f>IF(B147="","",TODAY())</f>
        <v/>
      </c>
      <c r="G147" s="26" t="n"/>
      <c r="H147" s="30">
        <f>IFERROR(IF(OR(B147="",E147=""),"",SUMIF(LOANS!$B:$B,B147,LOANS!$D:$D)+E147),"")</f>
        <v/>
      </c>
      <c r="I147" s="30">
        <f>IFERROR(IF(H147="","",SUMIF(LOANS!$B:$B,B147,LOANS!$I:$I)+ABS(PMT(IFERROR(VLOOKUP(B147,LOANS!$B:$G,6,0),12)/100/12,IFERROR(VLOOKUP(B147,LOANS!$B:$H,7,0),12),E147))),"")</f>
        <v/>
      </c>
      <c r="J147" s="26">
        <f>IF(B147="","","Active")</f>
        <v/>
      </c>
    </row>
    <row r="148">
      <c r="A148" s="48">
        <f>IF(B148="","","TU"&amp;TEXT(ROW()-2,"0000"))</f>
        <v/>
      </c>
      <c r="B148" s="49" t="n"/>
      <c r="C148" s="49">
        <f>IFERROR(IF(B148="","",VLOOKUP(B148,DATABASE!A:B,2,0)),"")</f>
        <v/>
      </c>
      <c r="D148" s="49" t="n"/>
      <c r="E148" s="50" t="n"/>
      <c r="F148" s="51">
        <f>IF(B148="","",TODAY())</f>
        <v/>
      </c>
      <c r="G148" s="49" t="n"/>
      <c r="H148" s="50">
        <f>IFERROR(IF(OR(B148="",E148=""),"",SUMIF(LOANS!$B:$B,B148,LOANS!$D:$D)+E148),"")</f>
        <v/>
      </c>
      <c r="I148" s="50">
        <f>IFERROR(IF(H148="","",SUMIF(LOANS!$B:$B,B148,LOANS!$I:$I)+ABS(PMT(IFERROR(VLOOKUP(B148,LOANS!$B:$G,6,0),12)/100/12,IFERROR(VLOOKUP(B148,LOANS!$B:$H,7,0),12),E148))),"")</f>
        <v/>
      </c>
      <c r="J148" s="49">
        <f>IF(B148="","","Active")</f>
        <v/>
      </c>
    </row>
    <row r="149">
      <c r="A149" s="47">
        <f>IF(B149="","","TU"&amp;TEXT(ROW()-2,"0000"))</f>
        <v/>
      </c>
      <c r="B149" s="26" t="n"/>
      <c r="C149" s="26">
        <f>IFERROR(IF(B149="","",VLOOKUP(B149,DATABASE!A:B,2,0)),"")</f>
        <v/>
      </c>
      <c r="D149" s="26" t="n"/>
      <c r="E149" s="30" t="n"/>
      <c r="F149" s="31">
        <f>IF(B149="","",TODAY())</f>
        <v/>
      </c>
      <c r="G149" s="26" t="n"/>
      <c r="H149" s="30">
        <f>IFERROR(IF(OR(B149="",E149=""),"",SUMIF(LOANS!$B:$B,B149,LOANS!$D:$D)+E149),"")</f>
        <v/>
      </c>
      <c r="I149" s="30">
        <f>IFERROR(IF(H149="","",SUMIF(LOANS!$B:$B,B149,LOANS!$I:$I)+ABS(PMT(IFERROR(VLOOKUP(B149,LOANS!$B:$G,6,0),12)/100/12,IFERROR(VLOOKUP(B149,LOANS!$B:$H,7,0),12),E149))),"")</f>
        <v/>
      </c>
      <c r="J149" s="26">
        <f>IF(B149="","","Active")</f>
        <v/>
      </c>
    </row>
    <row r="150">
      <c r="A150" s="48">
        <f>IF(B150="","","TU"&amp;TEXT(ROW()-2,"0000"))</f>
        <v/>
      </c>
      <c r="B150" s="49" t="n"/>
      <c r="C150" s="49">
        <f>IFERROR(IF(B150="","",VLOOKUP(B150,DATABASE!A:B,2,0)),"")</f>
        <v/>
      </c>
      <c r="D150" s="49" t="n"/>
      <c r="E150" s="50" t="n"/>
      <c r="F150" s="51">
        <f>IF(B150="","",TODAY())</f>
        <v/>
      </c>
      <c r="G150" s="49" t="n"/>
      <c r="H150" s="50">
        <f>IFERROR(IF(OR(B150="",E150=""),"",SUMIF(LOANS!$B:$B,B150,LOANS!$D:$D)+E150),"")</f>
        <v/>
      </c>
      <c r="I150" s="50">
        <f>IFERROR(IF(H150="","",SUMIF(LOANS!$B:$B,B150,LOANS!$I:$I)+ABS(PMT(IFERROR(VLOOKUP(B150,LOANS!$B:$G,6,0),12)/100/12,IFERROR(VLOOKUP(B150,LOANS!$B:$H,7,0),12),E150))),"")</f>
        <v/>
      </c>
      <c r="J150" s="49">
        <f>IF(B150="","","Active")</f>
        <v/>
      </c>
    </row>
    <row r="151">
      <c r="A151" s="47">
        <f>IF(B151="","","TU"&amp;TEXT(ROW()-2,"0000"))</f>
        <v/>
      </c>
      <c r="B151" s="26" t="n"/>
      <c r="C151" s="26">
        <f>IFERROR(IF(B151="","",VLOOKUP(B151,DATABASE!A:B,2,0)),"")</f>
        <v/>
      </c>
      <c r="D151" s="26" t="n"/>
      <c r="E151" s="30" t="n"/>
      <c r="F151" s="31">
        <f>IF(B151="","",TODAY())</f>
        <v/>
      </c>
      <c r="G151" s="26" t="n"/>
      <c r="H151" s="30">
        <f>IFERROR(IF(OR(B151="",E151=""),"",SUMIF(LOANS!$B:$B,B151,LOANS!$D:$D)+E151),"")</f>
        <v/>
      </c>
      <c r="I151" s="30">
        <f>IFERROR(IF(H151="","",SUMIF(LOANS!$B:$B,B151,LOANS!$I:$I)+ABS(PMT(IFERROR(VLOOKUP(B151,LOANS!$B:$G,6,0),12)/100/12,IFERROR(VLOOKUP(B151,LOANS!$B:$H,7,0),12),E151))),"")</f>
        <v/>
      </c>
      <c r="J151" s="26">
        <f>IF(B151="","","Active")</f>
        <v/>
      </c>
    </row>
    <row r="152">
      <c r="A152" s="48">
        <f>IF(B152="","","TU"&amp;TEXT(ROW()-2,"0000"))</f>
        <v/>
      </c>
      <c r="B152" s="49" t="n"/>
      <c r="C152" s="49">
        <f>IFERROR(IF(B152="","",VLOOKUP(B152,DATABASE!A:B,2,0)),"")</f>
        <v/>
      </c>
      <c r="D152" s="49" t="n"/>
      <c r="E152" s="50" t="n"/>
      <c r="F152" s="51">
        <f>IF(B152="","",TODAY())</f>
        <v/>
      </c>
      <c r="G152" s="49" t="n"/>
      <c r="H152" s="50">
        <f>IFERROR(IF(OR(B152="",E152=""),"",SUMIF(LOANS!$B:$B,B152,LOANS!$D:$D)+E152),"")</f>
        <v/>
      </c>
      <c r="I152" s="50">
        <f>IFERROR(IF(H152="","",SUMIF(LOANS!$B:$B,B152,LOANS!$I:$I)+ABS(PMT(IFERROR(VLOOKUP(B152,LOANS!$B:$G,6,0),12)/100/12,IFERROR(VLOOKUP(B152,LOANS!$B:$H,7,0),12),E152))),"")</f>
        <v/>
      </c>
      <c r="J152" s="49">
        <f>IF(B152="","","Active")</f>
        <v/>
      </c>
    </row>
    <row r="153">
      <c r="A153" s="47">
        <f>IF(B153="","","TU"&amp;TEXT(ROW()-2,"0000"))</f>
        <v/>
      </c>
      <c r="B153" s="26" t="n"/>
      <c r="C153" s="26">
        <f>IFERROR(IF(B153="","",VLOOKUP(B153,DATABASE!A:B,2,0)),"")</f>
        <v/>
      </c>
      <c r="D153" s="26" t="n"/>
      <c r="E153" s="30" t="n"/>
      <c r="F153" s="31">
        <f>IF(B153="","",TODAY())</f>
        <v/>
      </c>
      <c r="G153" s="26" t="n"/>
      <c r="H153" s="30">
        <f>IFERROR(IF(OR(B153="",E153=""),"",SUMIF(LOANS!$B:$B,B153,LOANS!$D:$D)+E153),"")</f>
        <v/>
      </c>
      <c r="I153" s="30">
        <f>IFERROR(IF(H153="","",SUMIF(LOANS!$B:$B,B153,LOANS!$I:$I)+ABS(PMT(IFERROR(VLOOKUP(B153,LOANS!$B:$G,6,0),12)/100/12,IFERROR(VLOOKUP(B153,LOANS!$B:$H,7,0),12),E153))),"")</f>
        <v/>
      </c>
      <c r="J153" s="26">
        <f>IF(B153="","","Active")</f>
        <v/>
      </c>
    </row>
    <row r="154">
      <c r="A154" s="48">
        <f>IF(B154="","","TU"&amp;TEXT(ROW()-2,"0000"))</f>
        <v/>
      </c>
      <c r="B154" s="49" t="n"/>
      <c r="C154" s="49">
        <f>IFERROR(IF(B154="","",VLOOKUP(B154,DATABASE!A:B,2,0)),"")</f>
        <v/>
      </c>
      <c r="D154" s="49" t="n"/>
      <c r="E154" s="50" t="n"/>
      <c r="F154" s="51">
        <f>IF(B154="","",TODAY())</f>
        <v/>
      </c>
      <c r="G154" s="49" t="n"/>
      <c r="H154" s="50">
        <f>IFERROR(IF(OR(B154="",E154=""),"",SUMIF(LOANS!$B:$B,B154,LOANS!$D:$D)+E154),"")</f>
        <v/>
      </c>
      <c r="I154" s="50">
        <f>IFERROR(IF(H154="","",SUMIF(LOANS!$B:$B,B154,LOANS!$I:$I)+ABS(PMT(IFERROR(VLOOKUP(B154,LOANS!$B:$G,6,0),12)/100/12,IFERROR(VLOOKUP(B154,LOANS!$B:$H,7,0),12),E154))),"")</f>
        <v/>
      </c>
      <c r="J154" s="49">
        <f>IF(B154="","","Active")</f>
        <v/>
      </c>
    </row>
    <row r="155">
      <c r="A155" s="47">
        <f>IF(B155="","","TU"&amp;TEXT(ROW()-2,"0000"))</f>
        <v/>
      </c>
      <c r="B155" s="26" t="n"/>
      <c r="C155" s="26">
        <f>IFERROR(IF(B155="","",VLOOKUP(B155,DATABASE!A:B,2,0)),"")</f>
        <v/>
      </c>
      <c r="D155" s="26" t="n"/>
      <c r="E155" s="30" t="n"/>
      <c r="F155" s="31">
        <f>IF(B155="","",TODAY())</f>
        <v/>
      </c>
      <c r="G155" s="26" t="n"/>
      <c r="H155" s="30">
        <f>IFERROR(IF(OR(B155="",E155=""),"",SUMIF(LOANS!$B:$B,B155,LOANS!$D:$D)+E155),"")</f>
        <v/>
      </c>
      <c r="I155" s="30">
        <f>IFERROR(IF(H155="","",SUMIF(LOANS!$B:$B,B155,LOANS!$I:$I)+ABS(PMT(IFERROR(VLOOKUP(B155,LOANS!$B:$G,6,0),12)/100/12,IFERROR(VLOOKUP(B155,LOANS!$B:$H,7,0),12),E155))),"")</f>
        <v/>
      </c>
      <c r="J155" s="26">
        <f>IF(B155="","","Active")</f>
        <v/>
      </c>
    </row>
    <row r="156">
      <c r="A156" s="48">
        <f>IF(B156="","","TU"&amp;TEXT(ROW()-2,"0000"))</f>
        <v/>
      </c>
      <c r="B156" s="49" t="n"/>
      <c r="C156" s="49">
        <f>IFERROR(IF(B156="","",VLOOKUP(B156,DATABASE!A:B,2,0)),"")</f>
        <v/>
      </c>
      <c r="D156" s="49" t="n"/>
      <c r="E156" s="50" t="n"/>
      <c r="F156" s="51">
        <f>IF(B156="","",TODAY())</f>
        <v/>
      </c>
      <c r="G156" s="49" t="n"/>
      <c r="H156" s="50">
        <f>IFERROR(IF(OR(B156="",E156=""),"",SUMIF(LOANS!$B:$B,B156,LOANS!$D:$D)+E156),"")</f>
        <v/>
      </c>
      <c r="I156" s="50">
        <f>IFERROR(IF(H156="","",SUMIF(LOANS!$B:$B,B156,LOANS!$I:$I)+ABS(PMT(IFERROR(VLOOKUP(B156,LOANS!$B:$G,6,0),12)/100/12,IFERROR(VLOOKUP(B156,LOANS!$B:$H,7,0),12),E156))),"")</f>
        <v/>
      </c>
      <c r="J156" s="49">
        <f>IF(B156="","","Active")</f>
        <v/>
      </c>
    </row>
    <row r="157">
      <c r="A157" s="47">
        <f>IF(B157="","","TU"&amp;TEXT(ROW()-2,"0000"))</f>
        <v/>
      </c>
      <c r="B157" s="26" t="n"/>
      <c r="C157" s="26">
        <f>IFERROR(IF(B157="","",VLOOKUP(B157,DATABASE!A:B,2,0)),"")</f>
        <v/>
      </c>
      <c r="D157" s="26" t="n"/>
      <c r="E157" s="30" t="n"/>
      <c r="F157" s="31">
        <f>IF(B157="","",TODAY())</f>
        <v/>
      </c>
      <c r="G157" s="26" t="n"/>
      <c r="H157" s="30">
        <f>IFERROR(IF(OR(B157="",E157=""),"",SUMIF(LOANS!$B:$B,B157,LOANS!$D:$D)+E157),"")</f>
        <v/>
      </c>
      <c r="I157" s="30">
        <f>IFERROR(IF(H157="","",SUMIF(LOANS!$B:$B,B157,LOANS!$I:$I)+ABS(PMT(IFERROR(VLOOKUP(B157,LOANS!$B:$G,6,0),12)/100/12,IFERROR(VLOOKUP(B157,LOANS!$B:$H,7,0),12),E157))),"")</f>
        <v/>
      </c>
      <c r="J157" s="26">
        <f>IF(B157="","","Active")</f>
        <v/>
      </c>
    </row>
    <row r="158">
      <c r="A158" s="48">
        <f>IF(B158="","","TU"&amp;TEXT(ROW()-2,"0000"))</f>
        <v/>
      </c>
      <c r="B158" s="49" t="n"/>
      <c r="C158" s="49">
        <f>IFERROR(IF(B158="","",VLOOKUP(B158,DATABASE!A:B,2,0)),"")</f>
        <v/>
      </c>
      <c r="D158" s="49" t="n"/>
      <c r="E158" s="50" t="n"/>
      <c r="F158" s="51">
        <f>IF(B158="","",TODAY())</f>
        <v/>
      </c>
      <c r="G158" s="49" t="n"/>
      <c r="H158" s="50">
        <f>IFERROR(IF(OR(B158="",E158=""),"",SUMIF(LOANS!$B:$B,B158,LOANS!$D:$D)+E158),"")</f>
        <v/>
      </c>
      <c r="I158" s="50">
        <f>IFERROR(IF(H158="","",SUMIF(LOANS!$B:$B,B158,LOANS!$I:$I)+ABS(PMT(IFERROR(VLOOKUP(B158,LOANS!$B:$G,6,0),12)/100/12,IFERROR(VLOOKUP(B158,LOANS!$B:$H,7,0),12),E158))),"")</f>
        <v/>
      </c>
      <c r="J158" s="49">
        <f>IF(B158="","","Active")</f>
        <v/>
      </c>
    </row>
    <row r="159">
      <c r="A159" s="47">
        <f>IF(B159="","","TU"&amp;TEXT(ROW()-2,"0000"))</f>
        <v/>
      </c>
      <c r="B159" s="26" t="n"/>
      <c r="C159" s="26">
        <f>IFERROR(IF(B159="","",VLOOKUP(B159,DATABASE!A:B,2,0)),"")</f>
        <v/>
      </c>
      <c r="D159" s="26" t="n"/>
      <c r="E159" s="30" t="n"/>
      <c r="F159" s="31">
        <f>IF(B159="","",TODAY())</f>
        <v/>
      </c>
      <c r="G159" s="26" t="n"/>
      <c r="H159" s="30">
        <f>IFERROR(IF(OR(B159="",E159=""),"",SUMIF(LOANS!$B:$B,B159,LOANS!$D:$D)+E159),"")</f>
        <v/>
      </c>
      <c r="I159" s="30">
        <f>IFERROR(IF(H159="","",SUMIF(LOANS!$B:$B,B159,LOANS!$I:$I)+ABS(PMT(IFERROR(VLOOKUP(B159,LOANS!$B:$G,6,0),12)/100/12,IFERROR(VLOOKUP(B159,LOANS!$B:$H,7,0),12),E159))),"")</f>
        <v/>
      </c>
      <c r="J159" s="26">
        <f>IF(B159="","","Active")</f>
        <v/>
      </c>
    </row>
    <row r="160">
      <c r="A160" s="48">
        <f>IF(B160="","","TU"&amp;TEXT(ROW()-2,"0000"))</f>
        <v/>
      </c>
      <c r="B160" s="49" t="n"/>
      <c r="C160" s="49">
        <f>IFERROR(IF(B160="","",VLOOKUP(B160,DATABASE!A:B,2,0)),"")</f>
        <v/>
      </c>
      <c r="D160" s="49" t="n"/>
      <c r="E160" s="50" t="n"/>
      <c r="F160" s="51">
        <f>IF(B160="","",TODAY())</f>
        <v/>
      </c>
      <c r="G160" s="49" t="n"/>
      <c r="H160" s="50">
        <f>IFERROR(IF(OR(B160="",E160=""),"",SUMIF(LOANS!$B:$B,B160,LOANS!$D:$D)+E160),"")</f>
        <v/>
      </c>
      <c r="I160" s="50">
        <f>IFERROR(IF(H160="","",SUMIF(LOANS!$B:$B,B160,LOANS!$I:$I)+ABS(PMT(IFERROR(VLOOKUP(B160,LOANS!$B:$G,6,0),12)/100/12,IFERROR(VLOOKUP(B160,LOANS!$B:$H,7,0),12),E160))),"")</f>
        <v/>
      </c>
      <c r="J160" s="49">
        <f>IF(B160="","","Active")</f>
        <v/>
      </c>
    </row>
    <row r="161">
      <c r="A161" s="47">
        <f>IF(B161="","","TU"&amp;TEXT(ROW()-2,"0000"))</f>
        <v/>
      </c>
      <c r="B161" s="26" t="n"/>
      <c r="C161" s="26">
        <f>IFERROR(IF(B161="","",VLOOKUP(B161,DATABASE!A:B,2,0)),"")</f>
        <v/>
      </c>
      <c r="D161" s="26" t="n"/>
      <c r="E161" s="30" t="n"/>
      <c r="F161" s="31">
        <f>IF(B161="","",TODAY())</f>
        <v/>
      </c>
      <c r="G161" s="26" t="n"/>
      <c r="H161" s="30">
        <f>IFERROR(IF(OR(B161="",E161=""),"",SUMIF(LOANS!$B:$B,B161,LOANS!$D:$D)+E161),"")</f>
        <v/>
      </c>
      <c r="I161" s="30">
        <f>IFERROR(IF(H161="","",SUMIF(LOANS!$B:$B,B161,LOANS!$I:$I)+ABS(PMT(IFERROR(VLOOKUP(B161,LOANS!$B:$G,6,0),12)/100/12,IFERROR(VLOOKUP(B161,LOANS!$B:$H,7,0),12),E161))),"")</f>
        <v/>
      </c>
      <c r="J161" s="26">
        <f>IF(B161="","","Active")</f>
        <v/>
      </c>
    </row>
    <row r="162">
      <c r="A162" s="48">
        <f>IF(B162="","","TU"&amp;TEXT(ROW()-2,"0000"))</f>
        <v/>
      </c>
      <c r="B162" s="49" t="n"/>
      <c r="C162" s="49">
        <f>IFERROR(IF(B162="","",VLOOKUP(B162,DATABASE!A:B,2,0)),"")</f>
        <v/>
      </c>
      <c r="D162" s="49" t="n"/>
      <c r="E162" s="50" t="n"/>
      <c r="F162" s="51">
        <f>IF(B162="","",TODAY())</f>
        <v/>
      </c>
      <c r="G162" s="49" t="n"/>
      <c r="H162" s="50">
        <f>IFERROR(IF(OR(B162="",E162=""),"",SUMIF(LOANS!$B:$B,B162,LOANS!$D:$D)+E162),"")</f>
        <v/>
      </c>
      <c r="I162" s="50">
        <f>IFERROR(IF(H162="","",SUMIF(LOANS!$B:$B,B162,LOANS!$I:$I)+ABS(PMT(IFERROR(VLOOKUP(B162,LOANS!$B:$G,6,0),12)/100/12,IFERROR(VLOOKUP(B162,LOANS!$B:$H,7,0),12),E162))),"")</f>
        <v/>
      </c>
      <c r="J162" s="49">
        <f>IF(B162="","","Active")</f>
        <v/>
      </c>
    </row>
    <row r="163">
      <c r="A163" s="47">
        <f>IF(B163="","","TU"&amp;TEXT(ROW()-2,"0000"))</f>
        <v/>
      </c>
      <c r="B163" s="26" t="n"/>
      <c r="C163" s="26">
        <f>IFERROR(IF(B163="","",VLOOKUP(B163,DATABASE!A:B,2,0)),"")</f>
        <v/>
      </c>
      <c r="D163" s="26" t="n"/>
      <c r="E163" s="30" t="n"/>
      <c r="F163" s="31">
        <f>IF(B163="","",TODAY())</f>
        <v/>
      </c>
      <c r="G163" s="26" t="n"/>
      <c r="H163" s="30">
        <f>IFERROR(IF(OR(B163="",E163=""),"",SUMIF(LOANS!$B:$B,B163,LOANS!$D:$D)+E163),"")</f>
        <v/>
      </c>
      <c r="I163" s="30">
        <f>IFERROR(IF(H163="","",SUMIF(LOANS!$B:$B,B163,LOANS!$I:$I)+ABS(PMT(IFERROR(VLOOKUP(B163,LOANS!$B:$G,6,0),12)/100/12,IFERROR(VLOOKUP(B163,LOANS!$B:$H,7,0),12),E163))),"")</f>
        <v/>
      </c>
      <c r="J163" s="26">
        <f>IF(B163="","","Active")</f>
        <v/>
      </c>
    </row>
    <row r="164">
      <c r="A164" s="48">
        <f>IF(B164="","","TU"&amp;TEXT(ROW()-2,"0000"))</f>
        <v/>
      </c>
      <c r="B164" s="49" t="n"/>
      <c r="C164" s="49">
        <f>IFERROR(IF(B164="","",VLOOKUP(B164,DATABASE!A:B,2,0)),"")</f>
        <v/>
      </c>
      <c r="D164" s="49" t="n"/>
      <c r="E164" s="50" t="n"/>
      <c r="F164" s="51">
        <f>IF(B164="","",TODAY())</f>
        <v/>
      </c>
      <c r="G164" s="49" t="n"/>
      <c r="H164" s="50">
        <f>IFERROR(IF(OR(B164="",E164=""),"",SUMIF(LOANS!$B:$B,B164,LOANS!$D:$D)+E164),"")</f>
        <v/>
      </c>
      <c r="I164" s="50">
        <f>IFERROR(IF(H164="","",SUMIF(LOANS!$B:$B,B164,LOANS!$I:$I)+ABS(PMT(IFERROR(VLOOKUP(B164,LOANS!$B:$G,6,0),12)/100/12,IFERROR(VLOOKUP(B164,LOANS!$B:$H,7,0),12),E164))),"")</f>
        <v/>
      </c>
      <c r="J164" s="49">
        <f>IF(B164="","","Active")</f>
        <v/>
      </c>
    </row>
    <row r="165">
      <c r="A165" s="47">
        <f>IF(B165="","","TU"&amp;TEXT(ROW()-2,"0000"))</f>
        <v/>
      </c>
      <c r="B165" s="26" t="n"/>
      <c r="C165" s="26">
        <f>IFERROR(IF(B165="","",VLOOKUP(B165,DATABASE!A:B,2,0)),"")</f>
        <v/>
      </c>
      <c r="D165" s="26" t="n"/>
      <c r="E165" s="30" t="n"/>
      <c r="F165" s="31">
        <f>IF(B165="","",TODAY())</f>
        <v/>
      </c>
      <c r="G165" s="26" t="n"/>
      <c r="H165" s="30">
        <f>IFERROR(IF(OR(B165="",E165=""),"",SUMIF(LOANS!$B:$B,B165,LOANS!$D:$D)+E165),"")</f>
        <v/>
      </c>
      <c r="I165" s="30">
        <f>IFERROR(IF(H165="","",SUMIF(LOANS!$B:$B,B165,LOANS!$I:$I)+ABS(PMT(IFERROR(VLOOKUP(B165,LOANS!$B:$G,6,0),12)/100/12,IFERROR(VLOOKUP(B165,LOANS!$B:$H,7,0),12),E165))),"")</f>
        <v/>
      </c>
      <c r="J165" s="26">
        <f>IF(B165="","","Active")</f>
        <v/>
      </c>
    </row>
    <row r="166">
      <c r="A166" s="48">
        <f>IF(B166="","","TU"&amp;TEXT(ROW()-2,"0000"))</f>
        <v/>
      </c>
      <c r="B166" s="49" t="n"/>
      <c r="C166" s="49">
        <f>IFERROR(IF(B166="","",VLOOKUP(B166,DATABASE!A:B,2,0)),"")</f>
        <v/>
      </c>
      <c r="D166" s="49" t="n"/>
      <c r="E166" s="50" t="n"/>
      <c r="F166" s="51">
        <f>IF(B166="","",TODAY())</f>
        <v/>
      </c>
      <c r="G166" s="49" t="n"/>
      <c r="H166" s="50">
        <f>IFERROR(IF(OR(B166="",E166=""),"",SUMIF(LOANS!$B:$B,B166,LOANS!$D:$D)+E166),"")</f>
        <v/>
      </c>
      <c r="I166" s="50">
        <f>IFERROR(IF(H166="","",SUMIF(LOANS!$B:$B,B166,LOANS!$I:$I)+ABS(PMT(IFERROR(VLOOKUP(B166,LOANS!$B:$G,6,0),12)/100/12,IFERROR(VLOOKUP(B166,LOANS!$B:$H,7,0),12),E166))),"")</f>
        <v/>
      </c>
      <c r="J166" s="49">
        <f>IF(B166="","","Active")</f>
        <v/>
      </c>
    </row>
    <row r="167">
      <c r="A167" s="47">
        <f>IF(B167="","","TU"&amp;TEXT(ROW()-2,"0000"))</f>
        <v/>
      </c>
      <c r="B167" s="26" t="n"/>
      <c r="C167" s="26">
        <f>IFERROR(IF(B167="","",VLOOKUP(B167,DATABASE!A:B,2,0)),"")</f>
        <v/>
      </c>
      <c r="D167" s="26" t="n"/>
      <c r="E167" s="30" t="n"/>
      <c r="F167" s="31">
        <f>IF(B167="","",TODAY())</f>
        <v/>
      </c>
      <c r="G167" s="26" t="n"/>
      <c r="H167" s="30">
        <f>IFERROR(IF(OR(B167="",E167=""),"",SUMIF(LOANS!$B:$B,B167,LOANS!$D:$D)+E167),"")</f>
        <v/>
      </c>
      <c r="I167" s="30">
        <f>IFERROR(IF(H167="","",SUMIF(LOANS!$B:$B,B167,LOANS!$I:$I)+ABS(PMT(IFERROR(VLOOKUP(B167,LOANS!$B:$G,6,0),12)/100/12,IFERROR(VLOOKUP(B167,LOANS!$B:$H,7,0),12),E167))),"")</f>
        <v/>
      </c>
      <c r="J167" s="26">
        <f>IF(B167="","","Active")</f>
        <v/>
      </c>
    </row>
    <row r="168">
      <c r="A168" s="48">
        <f>IF(B168="","","TU"&amp;TEXT(ROW()-2,"0000"))</f>
        <v/>
      </c>
      <c r="B168" s="49" t="n"/>
      <c r="C168" s="49">
        <f>IFERROR(IF(B168="","",VLOOKUP(B168,DATABASE!A:B,2,0)),"")</f>
        <v/>
      </c>
      <c r="D168" s="49" t="n"/>
      <c r="E168" s="50" t="n"/>
      <c r="F168" s="51">
        <f>IF(B168="","",TODAY())</f>
        <v/>
      </c>
      <c r="G168" s="49" t="n"/>
      <c r="H168" s="50">
        <f>IFERROR(IF(OR(B168="",E168=""),"",SUMIF(LOANS!$B:$B,B168,LOANS!$D:$D)+E168),"")</f>
        <v/>
      </c>
      <c r="I168" s="50">
        <f>IFERROR(IF(H168="","",SUMIF(LOANS!$B:$B,B168,LOANS!$I:$I)+ABS(PMT(IFERROR(VLOOKUP(B168,LOANS!$B:$G,6,0),12)/100/12,IFERROR(VLOOKUP(B168,LOANS!$B:$H,7,0),12),E168))),"")</f>
        <v/>
      </c>
      <c r="J168" s="49">
        <f>IF(B168="","","Active")</f>
        <v/>
      </c>
    </row>
    <row r="169">
      <c r="A169" s="47">
        <f>IF(B169="","","TU"&amp;TEXT(ROW()-2,"0000"))</f>
        <v/>
      </c>
      <c r="B169" s="26" t="n"/>
      <c r="C169" s="26">
        <f>IFERROR(IF(B169="","",VLOOKUP(B169,DATABASE!A:B,2,0)),"")</f>
        <v/>
      </c>
      <c r="D169" s="26" t="n"/>
      <c r="E169" s="30" t="n"/>
      <c r="F169" s="31">
        <f>IF(B169="","",TODAY())</f>
        <v/>
      </c>
      <c r="G169" s="26" t="n"/>
      <c r="H169" s="30">
        <f>IFERROR(IF(OR(B169="",E169=""),"",SUMIF(LOANS!$B:$B,B169,LOANS!$D:$D)+E169),"")</f>
        <v/>
      </c>
      <c r="I169" s="30">
        <f>IFERROR(IF(H169="","",SUMIF(LOANS!$B:$B,B169,LOANS!$I:$I)+ABS(PMT(IFERROR(VLOOKUP(B169,LOANS!$B:$G,6,0),12)/100/12,IFERROR(VLOOKUP(B169,LOANS!$B:$H,7,0),12),E169))),"")</f>
        <v/>
      </c>
      <c r="J169" s="26">
        <f>IF(B169="","","Active")</f>
        <v/>
      </c>
    </row>
    <row r="170">
      <c r="A170" s="48">
        <f>IF(B170="","","TU"&amp;TEXT(ROW()-2,"0000"))</f>
        <v/>
      </c>
      <c r="B170" s="49" t="n"/>
      <c r="C170" s="49">
        <f>IFERROR(IF(B170="","",VLOOKUP(B170,DATABASE!A:B,2,0)),"")</f>
        <v/>
      </c>
      <c r="D170" s="49" t="n"/>
      <c r="E170" s="50" t="n"/>
      <c r="F170" s="51">
        <f>IF(B170="","",TODAY())</f>
        <v/>
      </c>
      <c r="G170" s="49" t="n"/>
      <c r="H170" s="50">
        <f>IFERROR(IF(OR(B170="",E170=""),"",SUMIF(LOANS!$B:$B,B170,LOANS!$D:$D)+E170),"")</f>
        <v/>
      </c>
      <c r="I170" s="50">
        <f>IFERROR(IF(H170="","",SUMIF(LOANS!$B:$B,B170,LOANS!$I:$I)+ABS(PMT(IFERROR(VLOOKUP(B170,LOANS!$B:$G,6,0),12)/100/12,IFERROR(VLOOKUP(B170,LOANS!$B:$H,7,0),12),E170))),"")</f>
        <v/>
      </c>
      <c r="J170" s="49">
        <f>IF(B170="","","Active")</f>
        <v/>
      </c>
    </row>
    <row r="171">
      <c r="A171" s="47">
        <f>IF(B171="","","TU"&amp;TEXT(ROW()-2,"0000"))</f>
        <v/>
      </c>
      <c r="B171" s="26" t="n"/>
      <c r="C171" s="26">
        <f>IFERROR(IF(B171="","",VLOOKUP(B171,DATABASE!A:B,2,0)),"")</f>
        <v/>
      </c>
      <c r="D171" s="26" t="n"/>
      <c r="E171" s="30" t="n"/>
      <c r="F171" s="31">
        <f>IF(B171="","",TODAY())</f>
        <v/>
      </c>
      <c r="G171" s="26" t="n"/>
      <c r="H171" s="30">
        <f>IFERROR(IF(OR(B171="",E171=""),"",SUMIF(LOANS!$B:$B,B171,LOANS!$D:$D)+E171),"")</f>
        <v/>
      </c>
      <c r="I171" s="30">
        <f>IFERROR(IF(H171="","",SUMIF(LOANS!$B:$B,B171,LOANS!$I:$I)+ABS(PMT(IFERROR(VLOOKUP(B171,LOANS!$B:$G,6,0),12)/100/12,IFERROR(VLOOKUP(B171,LOANS!$B:$H,7,0),12),E171))),"")</f>
        <v/>
      </c>
      <c r="J171" s="26">
        <f>IF(B171="","","Active")</f>
        <v/>
      </c>
    </row>
    <row r="172">
      <c r="A172" s="48">
        <f>IF(B172="","","TU"&amp;TEXT(ROW()-2,"0000"))</f>
        <v/>
      </c>
      <c r="B172" s="49" t="n"/>
      <c r="C172" s="49">
        <f>IFERROR(IF(B172="","",VLOOKUP(B172,DATABASE!A:B,2,0)),"")</f>
        <v/>
      </c>
      <c r="D172" s="49" t="n"/>
      <c r="E172" s="50" t="n"/>
      <c r="F172" s="51">
        <f>IF(B172="","",TODAY())</f>
        <v/>
      </c>
      <c r="G172" s="49" t="n"/>
      <c r="H172" s="50">
        <f>IFERROR(IF(OR(B172="",E172=""),"",SUMIF(LOANS!$B:$B,B172,LOANS!$D:$D)+E172),"")</f>
        <v/>
      </c>
      <c r="I172" s="50">
        <f>IFERROR(IF(H172="","",SUMIF(LOANS!$B:$B,B172,LOANS!$I:$I)+ABS(PMT(IFERROR(VLOOKUP(B172,LOANS!$B:$G,6,0),12)/100/12,IFERROR(VLOOKUP(B172,LOANS!$B:$H,7,0),12),E172))),"")</f>
        <v/>
      </c>
      <c r="J172" s="49">
        <f>IF(B172="","","Active")</f>
        <v/>
      </c>
    </row>
    <row r="173">
      <c r="A173" s="47">
        <f>IF(B173="","","TU"&amp;TEXT(ROW()-2,"0000"))</f>
        <v/>
      </c>
      <c r="B173" s="26" t="n"/>
      <c r="C173" s="26">
        <f>IFERROR(IF(B173="","",VLOOKUP(B173,DATABASE!A:B,2,0)),"")</f>
        <v/>
      </c>
      <c r="D173" s="26" t="n"/>
      <c r="E173" s="30" t="n"/>
      <c r="F173" s="31">
        <f>IF(B173="","",TODAY())</f>
        <v/>
      </c>
      <c r="G173" s="26" t="n"/>
      <c r="H173" s="30">
        <f>IFERROR(IF(OR(B173="",E173=""),"",SUMIF(LOANS!$B:$B,B173,LOANS!$D:$D)+E173),"")</f>
        <v/>
      </c>
      <c r="I173" s="30">
        <f>IFERROR(IF(H173="","",SUMIF(LOANS!$B:$B,B173,LOANS!$I:$I)+ABS(PMT(IFERROR(VLOOKUP(B173,LOANS!$B:$G,6,0),12)/100/12,IFERROR(VLOOKUP(B173,LOANS!$B:$H,7,0),12),E173))),"")</f>
        <v/>
      </c>
      <c r="J173" s="26">
        <f>IF(B173="","","Active")</f>
        <v/>
      </c>
    </row>
    <row r="174">
      <c r="A174" s="48">
        <f>IF(B174="","","TU"&amp;TEXT(ROW()-2,"0000"))</f>
        <v/>
      </c>
      <c r="B174" s="49" t="n"/>
      <c r="C174" s="49">
        <f>IFERROR(IF(B174="","",VLOOKUP(B174,DATABASE!A:B,2,0)),"")</f>
        <v/>
      </c>
      <c r="D174" s="49" t="n"/>
      <c r="E174" s="50" t="n"/>
      <c r="F174" s="51">
        <f>IF(B174="","",TODAY())</f>
        <v/>
      </c>
      <c r="G174" s="49" t="n"/>
      <c r="H174" s="50">
        <f>IFERROR(IF(OR(B174="",E174=""),"",SUMIF(LOANS!$B:$B,B174,LOANS!$D:$D)+E174),"")</f>
        <v/>
      </c>
      <c r="I174" s="50">
        <f>IFERROR(IF(H174="","",SUMIF(LOANS!$B:$B,B174,LOANS!$I:$I)+ABS(PMT(IFERROR(VLOOKUP(B174,LOANS!$B:$G,6,0),12)/100/12,IFERROR(VLOOKUP(B174,LOANS!$B:$H,7,0),12),E174))),"")</f>
        <v/>
      </c>
      <c r="J174" s="49">
        <f>IF(B174="","","Active")</f>
        <v/>
      </c>
    </row>
    <row r="175">
      <c r="A175" s="47">
        <f>IF(B175="","","TU"&amp;TEXT(ROW()-2,"0000"))</f>
        <v/>
      </c>
      <c r="B175" s="26" t="n"/>
      <c r="C175" s="26">
        <f>IFERROR(IF(B175="","",VLOOKUP(B175,DATABASE!A:B,2,0)),"")</f>
        <v/>
      </c>
      <c r="D175" s="26" t="n"/>
      <c r="E175" s="30" t="n"/>
      <c r="F175" s="31">
        <f>IF(B175="","",TODAY())</f>
        <v/>
      </c>
      <c r="G175" s="26" t="n"/>
      <c r="H175" s="30">
        <f>IFERROR(IF(OR(B175="",E175=""),"",SUMIF(LOANS!$B:$B,B175,LOANS!$D:$D)+E175),"")</f>
        <v/>
      </c>
      <c r="I175" s="30">
        <f>IFERROR(IF(H175="","",SUMIF(LOANS!$B:$B,B175,LOANS!$I:$I)+ABS(PMT(IFERROR(VLOOKUP(B175,LOANS!$B:$G,6,0),12)/100/12,IFERROR(VLOOKUP(B175,LOANS!$B:$H,7,0),12),E175))),"")</f>
        <v/>
      </c>
      <c r="J175" s="26">
        <f>IF(B175="","","Active")</f>
        <v/>
      </c>
    </row>
    <row r="176">
      <c r="A176" s="48">
        <f>IF(B176="","","TU"&amp;TEXT(ROW()-2,"0000"))</f>
        <v/>
      </c>
      <c r="B176" s="49" t="n"/>
      <c r="C176" s="49">
        <f>IFERROR(IF(B176="","",VLOOKUP(B176,DATABASE!A:B,2,0)),"")</f>
        <v/>
      </c>
      <c r="D176" s="49" t="n"/>
      <c r="E176" s="50" t="n"/>
      <c r="F176" s="51">
        <f>IF(B176="","",TODAY())</f>
        <v/>
      </c>
      <c r="G176" s="49" t="n"/>
      <c r="H176" s="50">
        <f>IFERROR(IF(OR(B176="",E176=""),"",SUMIF(LOANS!$B:$B,B176,LOANS!$D:$D)+E176),"")</f>
        <v/>
      </c>
      <c r="I176" s="50">
        <f>IFERROR(IF(H176="","",SUMIF(LOANS!$B:$B,B176,LOANS!$I:$I)+ABS(PMT(IFERROR(VLOOKUP(B176,LOANS!$B:$G,6,0),12)/100/12,IFERROR(VLOOKUP(B176,LOANS!$B:$H,7,0),12),E176))),"")</f>
        <v/>
      </c>
      <c r="J176" s="49">
        <f>IF(B176="","","Active")</f>
        <v/>
      </c>
    </row>
    <row r="177">
      <c r="A177" s="47">
        <f>IF(B177="","","TU"&amp;TEXT(ROW()-2,"0000"))</f>
        <v/>
      </c>
      <c r="B177" s="26" t="n"/>
      <c r="C177" s="26">
        <f>IFERROR(IF(B177="","",VLOOKUP(B177,DATABASE!A:B,2,0)),"")</f>
        <v/>
      </c>
      <c r="D177" s="26" t="n"/>
      <c r="E177" s="30" t="n"/>
      <c r="F177" s="31">
        <f>IF(B177="","",TODAY())</f>
        <v/>
      </c>
      <c r="G177" s="26" t="n"/>
      <c r="H177" s="30">
        <f>IFERROR(IF(OR(B177="",E177=""),"",SUMIF(LOANS!$B:$B,B177,LOANS!$D:$D)+E177),"")</f>
        <v/>
      </c>
      <c r="I177" s="30">
        <f>IFERROR(IF(H177="","",SUMIF(LOANS!$B:$B,B177,LOANS!$I:$I)+ABS(PMT(IFERROR(VLOOKUP(B177,LOANS!$B:$G,6,0),12)/100/12,IFERROR(VLOOKUP(B177,LOANS!$B:$H,7,0),12),E177))),"")</f>
        <v/>
      </c>
      <c r="J177" s="26">
        <f>IF(B177="","","Active")</f>
        <v/>
      </c>
    </row>
    <row r="178">
      <c r="A178" s="48">
        <f>IF(B178="","","TU"&amp;TEXT(ROW()-2,"0000"))</f>
        <v/>
      </c>
      <c r="B178" s="49" t="n"/>
      <c r="C178" s="49">
        <f>IFERROR(IF(B178="","",VLOOKUP(B178,DATABASE!A:B,2,0)),"")</f>
        <v/>
      </c>
      <c r="D178" s="49" t="n"/>
      <c r="E178" s="50" t="n"/>
      <c r="F178" s="51">
        <f>IF(B178="","",TODAY())</f>
        <v/>
      </c>
      <c r="G178" s="49" t="n"/>
      <c r="H178" s="50">
        <f>IFERROR(IF(OR(B178="",E178=""),"",SUMIF(LOANS!$B:$B,B178,LOANS!$D:$D)+E178),"")</f>
        <v/>
      </c>
      <c r="I178" s="50">
        <f>IFERROR(IF(H178="","",SUMIF(LOANS!$B:$B,B178,LOANS!$I:$I)+ABS(PMT(IFERROR(VLOOKUP(B178,LOANS!$B:$G,6,0),12)/100/12,IFERROR(VLOOKUP(B178,LOANS!$B:$H,7,0),12),E178))),"")</f>
        <v/>
      </c>
      <c r="J178" s="49">
        <f>IF(B178="","","Active")</f>
        <v/>
      </c>
    </row>
    <row r="179">
      <c r="A179" s="47">
        <f>IF(B179="","","TU"&amp;TEXT(ROW()-2,"0000"))</f>
        <v/>
      </c>
      <c r="B179" s="26" t="n"/>
      <c r="C179" s="26">
        <f>IFERROR(IF(B179="","",VLOOKUP(B179,DATABASE!A:B,2,0)),"")</f>
        <v/>
      </c>
      <c r="D179" s="26" t="n"/>
      <c r="E179" s="30" t="n"/>
      <c r="F179" s="31">
        <f>IF(B179="","",TODAY())</f>
        <v/>
      </c>
      <c r="G179" s="26" t="n"/>
      <c r="H179" s="30">
        <f>IFERROR(IF(OR(B179="",E179=""),"",SUMIF(LOANS!$B:$B,B179,LOANS!$D:$D)+E179),"")</f>
        <v/>
      </c>
      <c r="I179" s="30">
        <f>IFERROR(IF(H179="","",SUMIF(LOANS!$B:$B,B179,LOANS!$I:$I)+ABS(PMT(IFERROR(VLOOKUP(B179,LOANS!$B:$G,6,0),12)/100/12,IFERROR(VLOOKUP(B179,LOANS!$B:$H,7,0),12),E179))),"")</f>
        <v/>
      </c>
      <c r="J179" s="26">
        <f>IF(B179="","","Active")</f>
        <v/>
      </c>
    </row>
    <row r="180">
      <c r="A180" s="48">
        <f>IF(B180="","","TU"&amp;TEXT(ROW()-2,"0000"))</f>
        <v/>
      </c>
      <c r="B180" s="49" t="n"/>
      <c r="C180" s="49">
        <f>IFERROR(IF(B180="","",VLOOKUP(B180,DATABASE!A:B,2,0)),"")</f>
        <v/>
      </c>
      <c r="D180" s="49" t="n"/>
      <c r="E180" s="50" t="n"/>
      <c r="F180" s="51">
        <f>IF(B180="","",TODAY())</f>
        <v/>
      </c>
      <c r="G180" s="49" t="n"/>
      <c r="H180" s="50">
        <f>IFERROR(IF(OR(B180="",E180=""),"",SUMIF(LOANS!$B:$B,B180,LOANS!$D:$D)+E180),"")</f>
        <v/>
      </c>
      <c r="I180" s="50">
        <f>IFERROR(IF(H180="","",SUMIF(LOANS!$B:$B,B180,LOANS!$I:$I)+ABS(PMT(IFERROR(VLOOKUP(B180,LOANS!$B:$G,6,0),12)/100/12,IFERROR(VLOOKUP(B180,LOANS!$B:$H,7,0),12),E180))),"")</f>
        <v/>
      </c>
      <c r="J180" s="49">
        <f>IF(B180="","","Active")</f>
        <v/>
      </c>
    </row>
    <row r="181">
      <c r="A181" s="47">
        <f>IF(B181="","","TU"&amp;TEXT(ROW()-2,"0000"))</f>
        <v/>
      </c>
      <c r="B181" s="26" t="n"/>
      <c r="C181" s="26">
        <f>IFERROR(IF(B181="","",VLOOKUP(B181,DATABASE!A:B,2,0)),"")</f>
        <v/>
      </c>
      <c r="D181" s="26" t="n"/>
      <c r="E181" s="30" t="n"/>
      <c r="F181" s="31">
        <f>IF(B181="","",TODAY())</f>
        <v/>
      </c>
      <c r="G181" s="26" t="n"/>
      <c r="H181" s="30">
        <f>IFERROR(IF(OR(B181="",E181=""),"",SUMIF(LOANS!$B:$B,B181,LOANS!$D:$D)+E181),"")</f>
        <v/>
      </c>
      <c r="I181" s="30">
        <f>IFERROR(IF(H181="","",SUMIF(LOANS!$B:$B,B181,LOANS!$I:$I)+ABS(PMT(IFERROR(VLOOKUP(B181,LOANS!$B:$G,6,0),12)/100/12,IFERROR(VLOOKUP(B181,LOANS!$B:$H,7,0),12),E181))),"")</f>
        <v/>
      </c>
      <c r="J181" s="26">
        <f>IF(B181="","","Active")</f>
        <v/>
      </c>
    </row>
    <row r="182">
      <c r="A182" s="48">
        <f>IF(B182="","","TU"&amp;TEXT(ROW()-2,"0000"))</f>
        <v/>
      </c>
      <c r="B182" s="49" t="n"/>
      <c r="C182" s="49">
        <f>IFERROR(IF(B182="","",VLOOKUP(B182,DATABASE!A:B,2,0)),"")</f>
        <v/>
      </c>
      <c r="D182" s="49" t="n"/>
      <c r="E182" s="50" t="n"/>
      <c r="F182" s="51">
        <f>IF(B182="","",TODAY())</f>
        <v/>
      </c>
      <c r="G182" s="49" t="n"/>
      <c r="H182" s="50">
        <f>IFERROR(IF(OR(B182="",E182=""),"",SUMIF(LOANS!$B:$B,B182,LOANS!$D:$D)+E182),"")</f>
        <v/>
      </c>
      <c r="I182" s="50">
        <f>IFERROR(IF(H182="","",SUMIF(LOANS!$B:$B,B182,LOANS!$I:$I)+ABS(PMT(IFERROR(VLOOKUP(B182,LOANS!$B:$G,6,0),12)/100/12,IFERROR(VLOOKUP(B182,LOANS!$B:$H,7,0),12),E182))),"")</f>
        <v/>
      </c>
      <c r="J182" s="49">
        <f>IF(B182="","","Active")</f>
        <v/>
      </c>
    </row>
    <row r="183">
      <c r="A183" s="47">
        <f>IF(B183="","","TU"&amp;TEXT(ROW()-2,"0000"))</f>
        <v/>
      </c>
      <c r="B183" s="26" t="n"/>
      <c r="C183" s="26">
        <f>IFERROR(IF(B183="","",VLOOKUP(B183,DATABASE!A:B,2,0)),"")</f>
        <v/>
      </c>
      <c r="D183" s="26" t="n"/>
      <c r="E183" s="30" t="n"/>
      <c r="F183" s="31">
        <f>IF(B183="","",TODAY())</f>
        <v/>
      </c>
      <c r="G183" s="26" t="n"/>
      <c r="H183" s="30">
        <f>IFERROR(IF(OR(B183="",E183=""),"",SUMIF(LOANS!$B:$B,B183,LOANS!$D:$D)+E183),"")</f>
        <v/>
      </c>
      <c r="I183" s="30">
        <f>IFERROR(IF(H183="","",SUMIF(LOANS!$B:$B,B183,LOANS!$I:$I)+ABS(PMT(IFERROR(VLOOKUP(B183,LOANS!$B:$G,6,0),12)/100/12,IFERROR(VLOOKUP(B183,LOANS!$B:$H,7,0),12),E183))),"")</f>
        <v/>
      </c>
      <c r="J183" s="26">
        <f>IF(B183="","","Active")</f>
        <v/>
      </c>
    </row>
    <row r="184">
      <c r="A184" s="48">
        <f>IF(B184="","","TU"&amp;TEXT(ROW()-2,"0000"))</f>
        <v/>
      </c>
      <c r="B184" s="49" t="n"/>
      <c r="C184" s="49">
        <f>IFERROR(IF(B184="","",VLOOKUP(B184,DATABASE!A:B,2,0)),"")</f>
        <v/>
      </c>
      <c r="D184" s="49" t="n"/>
      <c r="E184" s="50" t="n"/>
      <c r="F184" s="51">
        <f>IF(B184="","",TODAY())</f>
        <v/>
      </c>
      <c r="G184" s="49" t="n"/>
      <c r="H184" s="50">
        <f>IFERROR(IF(OR(B184="",E184=""),"",SUMIF(LOANS!$B:$B,B184,LOANS!$D:$D)+E184),"")</f>
        <v/>
      </c>
      <c r="I184" s="50">
        <f>IFERROR(IF(H184="","",SUMIF(LOANS!$B:$B,B184,LOANS!$I:$I)+ABS(PMT(IFERROR(VLOOKUP(B184,LOANS!$B:$G,6,0),12)/100/12,IFERROR(VLOOKUP(B184,LOANS!$B:$H,7,0),12),E184))),"")</f>
        <v/>
      </c>
      <c r="J184" s="49">
        <f>IF(B184="","","Active")</f>
        <v/>
      </c>
    </row>
    <row r="185">
      <c r="A185" s="47">
        <f>IF(B185="","","TU"&amp;TEXT(ROW()-2,"0000"))</f>
        <v/>
      </c>
      <c r="B185" s="26" t="n"/>
      <c r="C185" s="26">
        <f>IFERROR(IF(B185="","",VLOOKUP(B185,DATABASE!A:B,2,0)),"")</f>
        <v/>
      </c>
      <c r="D185" s="26" t="n"/>
      <c r="E185" s="30" t="n"/>
      <c r="F185" s="31">
        <f>IF(B185="","",TODAY())</f>
        <v/>
      </c>
      <c r="G185" s="26" t="n"/>
      <c r="H185" s="30">
        <f>IFERROR(IF(OR(B185="",E185=""),"",SUMIF(LOANS!$B:$B,B185,LOANS!$D:$D)+E185),"")</f>
        <v/>
      </c>
      <c r="I185" s="30">
        <f>IFERROR(IF(H185="","",SUMIF(LOANS!$B:$B,B185,LOANS!$I:$I)+ABS(PMT(IFERROR(VLOOKUP(B185,LOANS!$B:$G,6,0),12)/100/12,IFERROR(VLOOKUP(B185,LOANS!$B:$H,7,0),12),E185))),"")</f>
        <v/>
      </c>
      <c r="J185" s="26">
        <f>IF(B185="","","Active")</f>
        <v/>
      </c>
    </row>
    <row r="186">
      <c r="A186" s="48">
        <f>IF(B186="","","TU"&amp;TEXT(ROW()-2,"0000"))</f>
        <v/>
      </c>
      <c r="B186" s="49" t="n"/>
      <c r="C186" s="49">
        <f>IFERROR(IF(B186="","",VLOOKUP(B186,DATABASE!A:B,2,0)),"")</f>
        <v/>
      </c>
      <c r="D186" s="49" t="n"/>
      <c r="E186" s="50" t="n"/>
      <c r="F186" s="51">
        <f>IF(B186="","",TODAY())</f>
        <v/>
      </c>
      <c r="G186" s="49" t="n"/>
      <c r="H186" s="50">
        <f>IFERROR(IF(OR(B186="",E186=""),"",SUMIF(LOANS!$B:$B,B186,LOANS!$D:$D)+E186),"")</f>
        <v/>
      </c>
      <c r="I186" s="50">
        <f>IFERROR(IF(H186="","",SUMIF(LOANS!$B:$B,B186,LOANS!$I:$I)+ABS(PMT(IFERROR(VLOOKUP(B186,LOANS!$B:$G,6,0),12)/100/12,IFERROR(VLOOKUP(B186,LOANS!$B:$H,7,0),12),E186))),"")</f>
        <v/>
      </c>
      <c r="J186" s="49">
        <f>IF(B186="","","Active")</f>
        <v/>
      </c>
    </row>
    <row r="187">
      <c r="A187" s="47">
        <f>IF(B187="","","TU"&amp;TEXT(ROW()-2,"0000"))</f>
        <v/>
      </c>
      <c r="B187" s="26" t="n"/>
      <c r="C187" s="26">
        <f>IFERROR(IF(B187="","",VLOOKUP(B187,DATABASE!A:B,2,0)),"")</f>
        <v/>
      </c>
      <c r="D187" s="26" t="n"/>
      <c r="E187" s="30" t="n"/>
      <c r="F187" s="31">
        <f>IF(B187="","",TODAY())</f>
        <v/>
      </c>
      <c r="G187" s="26" t="n"/>
      <c r="H187" s="30">
        <f>IFERROR(IF(OR(B187="",E187=""),"",SUMIF(LOANS!$B:$B,B187,LOANS!$D:$D)+E187),"")</f>
        <v/>
      </c>
      <c r="I187" s="30">
        <f>IFERROR(IF(H187="","",SUMIF(LOANS!$B:$B,B187,LOANS!$I:$I)+ABS(PMT(IFERROR(VLOOKUP(B187,LOANS!$B:$G,6,0),12)/100/12,IFERROR(VLOOKUP(B187,LOANS!$B:$H,7,0),12),E187))),"")</f>
        <v/>
      </c>
      <c r="J187" s="26">
        <f>IF(B187="","","Active")</f>
        <v/>
      </c>
    </row>
    <row r="188">
      <c r="A188" s="48">
        <f>IF(B188="","","TU"&amp;TEXT(ROW()-2,"0000"))</f>
        <v/>
      </c>
      <c r="B188" s="49" t="n"/>
      <c r="C188" s="49">
        <f>IFERROR(IF(B188="","",VLOOKUP(B188,DATABASE!A:B,2,0)),"")</f>
        <v/>
      </c>
      <c r="D188" s="49" t="n"/>
      <c r="E188" s="50" t="n"/>
      <c r="F188" s="51">
        <f>IF(B188="","",TODAY())</f>
        <v/>
      </c>
      <c r="G188" s="49" t="n"/>
      <c r="H188" s="50">
        <f>IFERROR(IF(OR(B188="",E188=""),"",SUMIF(LOANS!$B:$B,B188,LOANS!$D:$D)+E188),"")</f>
        <v/>
      </c>
      <c r="I188" s="50">
        <f>IFERROR(IF(H188="","",SUMIF(LOANS!$B:$B,B188,LOANS!$I:$I)+ABS(PMT(IFERROR(VLOOKUP(B188,LOANS!$B:$G,6,0),12)/100/12,IFERROR(VLOOKUP(B188,LOANS!$B:$H,7,0),12),E188))),"")</f>
        <v/>
      </c>
      <c r="J188" s="49">
        <f>IF(B188="","","Active")</f>
        <v/>
      </c>
    </row>
    <row r="189">
      <c r="A189" s="47">
        <f>IF(B189="","","TU"&amp;TEXT(ROW()-2,"0000"))</f>
        <v/>
      </c>
      <c r="B189" s="26" t="n"/>
      <c r="C189" s="26">
        <f>IFERROR(IF(B189="","",VLOOKUP(B189,DATABASE!A:B,2,0)),"")</f>
        <v/>
      </c>
      <c r="D189" s="26" t="n"/>
      <c r="E189" s="30" t="n"/>
      <c r="F189" s="31">
        <f>IF(B189="","",TODAY())</f>
        <v/>
      </c>
      <c r="G189" s="26" t="n"/>
      <c r="H189" s="30">
        <f>IFERROR(IF(OR(B189="",E189=""),"",SUMIF(LOANS!$B:$B,B189,LOANS!$D:$D)+E189),"")</f>
        <v/>
      </c>
      <c r="I189" s="30">
        <f>IFERROR(IF(H189="","",SUMIF(LOANS!$B:$B,B189,LOANS!$I:$I)+ABS(PMT(IFERROR(VLOOKUP(B189,LOANS!$B:$G,6,0),12)/100/12,IFERROR(VLOOKUP(B189,LOANS!$B:$H,7,0),12),E189))),"")</f>
        <v/>
      </c>
      <c r="J189" s="26">
        <f>IF(B189="","","Active")</f>
        <v/>
      </c>
    </row>
    <row r="190">
      <c r="A190" s="48">
        <f>IF(B190="","","TU"&amp;TEXT(ROW()-2,"0000"))</f>
        <v/>
      </c>
      <c r="B190" s="49" t="n"/>
      <c r="C190" s="49">
        <f>IFERROR(IF(B190="","",VLOOKUP(B190,DATABASE!A:B,2,0)),"")</f>
        <v/>
      </c>
      <c r="D190" s="49" t="n"/>
      <c r="E190" s="50" t="n"/>
      <c r="F190" s="51">
        <f>IF(B190="","",TODAY())</f>
        <v/>
      </c>
      <c r="G190" s="49" t="n"/>
      <c r="H190" s="50">
        <f>IFERROR(IF(OR(B190="",E190=""),"",SUMIF(LOANS!$B:$B,B190,LOANS!$D:$D)+E190),"")</f>
        <v/>
      </c>
      <c r="I190" s="50">
        <f>IFERROR(IF(H190="","",SUMIF(LOANS!$B:$B,B190,LOANS!$I:$I)+ABS(PMT(IFERROR(VLOOKUP(B190,LOANS!$B:$G,6,0),12)/100/12,IFERROR(VLOOKUP(B190,LOANS!$B:$H,7,0),12),E190))),"")</f>
        <v/>
      </c>
      <c r="J190" s="49">
        <f>IF(B190="","","Active")</f>
        <v/>
      </c>
    </row>
    <row r="191">
      <c r="A191" s="47">
        <f>IF(B191="","","TU"&amp;TEXT(ROW()-2,"0000"))</f>
        <v/>
      </c>
      <c r="B191" s="26" t="n"/>
      <c r="C191" s="26">
        <f>IFERROR(IF(B191="","",VLOOKUP(B191,DATABASE!A:B,2,0)),"")</f>
        <v/>
      </c>
      <c r="D191" s="26" t="n"/>
      <c r="E191" s="30" t="n"/>
      <c r="F191" s="31">
        <f>IF(B191="","",TODAY())</f>
        <v/>
      </c>
      <c r="G191" s="26" t="n"/>
      <c r="H191" s="30">
        <f>IFERROR(IF(OR(B191="",E191=""),"",SUMIF(LOANS!$B:$B,B191,LOANS!$D:$D)+E191),"")</f>
        <v/>
      </c>
      <c r="I191" s="30">
        <f>IFERROR(IF(H191="","",SUMIF(LOANS!$B:$B,B191,LOANS!$I:$I)+ABS(PMT(IFERROR(VLOOKUP(B191,LOANS!$B:$G,6,0),12)/100/12,IFERROR(VLOOKUP(B191,LOANS!$B:$H,7,0),12),E191))),"")</f>
        <v/>
      </c>
      <c r="J191" s="26">
        <f>IF(B191="","","Active")</f>
        <v/>
      </c>
    </row>
    <row r="192">
      <c r="A192" s="48">
        <f>IF(B192="","","TU"&amp;TEXT(ROW()-2,"0000"))</f>
        <v/>
      </c>
      <c r="B192" s="49" t="n"/>
      <c r="C192" s="49">
        <f>IFERROR(IF(B192="","",VLOOKUP(B192,DATABASE!A:B,2,0)),"")</f>
        <v/>
      </c>
      <c r="D192" s="49" t="n"/>
      <c r="E192" s="50" t="n"/>
      <c r="F192" s="51">
        <f>IF(B192="","",TODAY())</f>
        <v/>
      </c>
      <c r="G192" s="49" t="n"/>
      <c r="H192" s="50">
        <f>IFERROR(IF(OR(B192="",E192=""),"",SUMIF(LOANS!$B:$B,B192,LOANS!$D:$D)+E192),"")</f>
        <v/>
      </c>
      <c r="I192" s="50">
        <f>IFERROR(IF(H192="","",SUMIF(LOANS!$B:$B,B192,LOANS!$I:$I)+ABS(PMT(IFERROR(VLOOKUP(B192,LOANS!$B:$G,6,0),12)/100/12,IFERROR(VLOOKUP(B192,LOANS!$B:$H,7,0),12),E192))),"")</f>
        <v/>
      </c>
      <c r="J192" s="49">
        <f>IF(B192="","","Active")</f>
        <v/>
      </c>
    </row>
    <row r="193">
      <c r="A193" s="47">
        <f>IF(B193="","","TU"&amp;TEXT(ROW()-2,"0000"))</f>
        <v/>
      </c>
      <c r="B193" s="26" t="n"/>
      <c r="C193" s="26">
        <f>IFERROR(IF(B193="","",VLOOKUP(B193,DATABASE!A:B,2,0)),"")</f>
        <v/>
      </c>
      <c r="D193" s="26" t="n"/>
      <c r="E193" s="30" t="n"/>
      <c r="F193" s="31">
        <f>IF(B193="","",TODAY())</f>
        <v/>
      </c>
      <c r="G193" s="26" t="n"/>
      <c r="H193" s="30">
        <f>IFERROR(IF(OR(B193="",E193=""),"",SUMIF(LOANS!$B:$B,B193,LOANS!$D:$D)+E193),"")</f>
        <v/>
      </c>
      <c r="I193" s="30">
        <f>IFERROR(IF(H193="","",SUMIF(LOANS!$B:$B,B193,LOANS!$I:$I)+ABS(PMT(IFERROR(VLOOKUP(B193,LOANS!$B:$G,6,0),12)/100/12,IFERROR(VLOOKUP(B193,LOANS!$B:$H,7,0),12),E193))),"")</f>
        <v/>
      </c>
      <c r="J193" s="26">
        <f>IF(B193="","","Active")</f>
        <v/>
      </c>
    </row>
    <row r="194">
      <c r="A194" s="48">
        <f>IF(B194="","","TU"&amp;TEXT(ROW()-2,"0000"))</f>
        <v/>
      </c>
      <c r="B194" s="49" t="n"/>
      <c r="C194" s="49">
        <f>IFERROR(IF(B194="","",VLOOKUP(B194,DATABASE!A:B,2,0)),"")</f>
        <v/>
      </c>
      <c r="D194" s="49" t="n"/>
      <c r="E194" s="50" t="n"/>
      <c r="F194" s="51">
        <f>IF(B194="","",TODAY())</f>
        <v/>
      </c>
      <c r="G194" s="49" t="n"/>
      <c r="H194" s="50">
        <f>IFERROR(IF(OR(B194="",E194=""),"",SUMIF(LOANS!$B:$B,B194,LOANS!$D:$D)+E194),"")</f>
        <v/>
      </c>
      <c r="I194" s="50">
        <f>IFERROR(IF(H194="","",SUMIF(LOANS!$B:$B,B194,LOANS!$I:$I)+ABS(PMT(IFERROR(VLOOKUP(B194,LOANS!$B:$G,6,0),12)/100/12,IFERROR(VLOOKUP(B194,LOANS!$B:$H,7,0),12),E194))),"")</f>
        <v/>
      </c>
      <c r="J194" s="49">
        <f>IF(B194="","","Active")</f>
        <v/>
      </c>
    </row>
    <row r="195">
      <c r="A195" s="47">
        <f>IF(B195="","","TU"&amp;TEXT(ROW()-2,"0000"))</f>
        <v/>
      </c>
      <c r="B195" s="26" t="n"/>
      <c r="C195" s="26">
        <f>IFERROR(IF(B195="","",VLOOKUP(B195,DATABASE!A:B,2,0)),"")</f>
        <v/>
      </c>
      <c r="D195" s="26" t="n"/>
      <c r="E195" s="30" t="n"/>
      <c r="F195" s="31">
        <f>IF(B195="","",TODAY())</f>
        <v/>
      </c>
      <c r="G195" s="26" t="n"/>
      <c r="H195" s="30">
        <f>IFERROR(IF(OR(B195="",E195=""),"",SUMIF(LOANS!$B:$B,B195,LOANS!$D:$D)+E195),"")</f>
        <v/>
      </c>
      <c r="I195" s="30">
        <f>IFERROR(IF(H195="","",SUMIF(LOANS!$B:$B,B195,LOANS!$I:$I)+ABS(PMT(IFERROR(VLOOKUP(B195,LOANS!$B:$G,6,0),12)/100/12,IFERROR(VLOOKUP(B195,LOANS!$B:$H,7,0),12),E195))),"")</f>
        <v/>
      </c>
      <c r="J195" s="26">
        <f>IF(B195="","","Active")</f>
        <v/>
      </c>
    </row>
    <row r="196">
      <c r="A196" s="48">
        <f>IF(B196="","","TU"&amp;TEXT(ROW()-2,"0000"))</f>
        <v/>
      </c>
      <c r="B196" s="49" t="n"/>
      <c r="C196" s="49">
        <f>IFERROR(IF(B196="","",VLOOKUP(B196,DATABASE!A:B,2,0)),"")</f>
        <v/>
      </c>
      <c r="D196" s="49" t="n"/>
      <c r="E196" s="50" t="n"/>
      <c r="F196" s="51">
        <f>IF(B196="","",TODAY())</f>
        <v/>
      </c>
      <c r="G196" s="49" t="n"/>
      <c r="H196" s="50">
        <f>IFERROR(IF(OR(B196="",E196=""),"",SUMIF(LOANS!$B:$B,B196,LOANS!$D:$D)+E196),"")</f>
        <v/>
      </c>
      <c r="I196" s="50">
        <f>IFERROR(IF(H196="","",SUMIF(LOANS!$B:$B,B196,LOANS!$I:$I)+ABS(PMT(IFERROR(VLOOKUP(B196,LOANS!$B:$G,6,0),12)/100/12,IFERROR(VLOOKUP(B196,LOANS!$B:$H,7,0),12),E196))),"")</f>
        <v/>
      </c>
      <c r="J196" s="49">
        <f>IF(B196="","","Active")</f>
        <v/>
      </c>
    </row>
    <row r="197">
      <c r="A197" s="47">
        <f>IF(B197="","","TU"&amp;TEXT(ROW()-2,"0000"))</f>
        <v/>
      </c>
      <c r="B197" s="26" t="n"/>
      <c r="C197" s="26">
        <f>IFERROR(IF(B197="","",VLOOKUP(B197,DATABASE!A:B,2,0)),"")</f>
        <v/>
      </c>
      <c r="D197" s="26" t="n"/>
      <c r="E197" s="30" t="n"/>
      <c r="F197" s="31">
        <f>IF(B197="","",TODAY())</f>
        <v/>
      </c>
      <c r="G197" s="26" t="n"/>
      <c r="H197" s="30">
        <f>IFERROR(IF(OR(B197="",E197=""),"",SUMIF(LOANS!$B:$B,B197,LOANS!$D:$D)+E197),"")</f>
        <v/>
      </c>
      <c r="I197" s="30">
        <f>IFERROR(IF(H197="","",SUMIF(LOANS!$B:$B,B197,LOANS!$I:$I)+ABS(PMT(IFERROR(VLOOKUP(B197,LOANS!$B:$G,6,0),12)/100/12,IFERROR(VLOOKUP(B197,LOANS!$B:$H,7,0),12),E197))),"")</f>
        <v/>
      </c>
      <c r="J197" s="26">
        <f>IF(B197="","","Active")</f>
        <v/>
      </c>
    </row>
    <row r="198">
      <c r="A198" s="48">
        <f>IF(B198="","","TU"&amp;TEXT(ROW()-2,"0000"))</f>
        <v/>
      </c>
      <c r="B198" s="49" t="n"/>
      <c r="C198" s="49">
        <f>IFERROR(IF(B198="","",VLOOKUP(B198,DATABASE!A:B,2,0)),"")</f>
        <v/>
      </c>
      <c r="D198" s="49" t="n"/>
      <c r="E198" s="50" t="n"/>
      <c r="F198" s="51">
        <f>IF(B198="","",TODAY())</f>
        <v/>
      </c>
      <c r="G198" s="49" t="n"/>
      <c r="H198" s="50">
        <f>IFERROR(IF(OR(B198="",E198=""),"",SUMIF(LOANS!$B:$B,B198,LOANS!$D:$D)+E198),"")</f>
        <v/>
      </c>
      <c r="I198" s="50">
        <f>IFERROR(IF(H198="","",SUMIF(LOANS!$B:$B,B198,LOANS!$I:$I)+ABS(PMT(IFERROR(VLOOKUP(B198,LOANS!$B:$G,6,0),12)/100/12,IFERROR(VLOOKUP(B198,LOANS!$B:$H,7,0),12),E198))),"")</f>
        <v/>
      </c>
      <c r="J198" s="49">
        <f>IF(B198="","","Active")</f>
        <v/>
      </c>
    </row>
    <row r="199">
      <c r="A199" s="47">
        <f>IF(B199="","","TU"&amp;TEXT(ROW()-2,"0000"))</f>
        <v/>
      </c>
      <c r="B199" s="26" t="n"/>
      <c r="C199" s="26">
        <f>IFERROR(IF(B199="","",VLOOKUP(B199,DATABASE!A:B,2,0)),"")</f>
        <v/>
      </c>
      <c r="D199" s="26" t="n"/>
      <c r="E199" s="30" t="n"/>
      <c r="F199" s="31">
        <f>IF(B199="","",TODAY())</f>
        <v/>
      </c>
      <c r="G199" s="26" t="n"/>
      <c r="H199" s="30">
        <f>IFERROR(IF(OR(B199="",E199=""),"",SUMIF(LOANS!$B:$B,B199,LOANS!$D:$D)+E199),"")</f>
        <v/>
      </c>
      <c r="I199" s="30">
        <f>IFERROR(IF(H199="","",SUMIF(LOANS!$B:$B,B199,LOANS!$I:$I)+ABS(PMT(IFERROR(VLOOKUP(B199,LOANS!$B:$G,6,0),12)/100/12,IFERROR(VLOOKUP(B199,LOANS!$B:$H,7,0),12),E199))),"")</f>
        <v/>
      </c>
      <c r="J199" s="26">
        <f>IF(B199="","","Active")</f>
        <v/>
      </c>
    </row>
    <row r="200">
      <c r="A200" s="48">
        <f>IF(B200="","","TU"&amp;TEXT(ROW()-2,"0000"))</f>
        <v/>
      </c>
      <c r="B200" s="49" t="n"/>
      <c r="C200" s="49">
        <f>IFERROR(IF(B200="","",VLOOKUP(B200,DATABASE!A:B,2,0)),"")</f>
        <v/>
      </c>
      <c r="D200" s="49" t="n"/>
      <c r="E200" s="50" t="n"/>
      <c r="F200" s="51">
        <f>IF(B200="","",TODAY())</f>
        <v/>
      </c>
      <c r="G200" s="49" t="n"/>
      <c r="H200" s="50">
        <f>IFERROR(IF(OR(B200="",E200=""),"",SUMIF(LOANS!$B:$B,B200,LOANS!$D:$D)+E200),"")</f>
        <v/>
      </c>
      <c r="I200" s="50">
        <f>IFERROR(IF(H200="","",SUMIF(LOANS!$B:$B,B200,LOANS!$I:$I)+ABS(PMT(IFERROR(VLOOKUP(B200,LOANS!$B:$G,6,0),12)/100/12,IFERROR(VLOOKUP(B200,LOANS!$B:$H,7,0),12),E200))),"")</f>
        <v/>
      </c>
      <c r="J200" s="49">
        <f>IF(B200="","","Active")</f>
        <v/>
      </c>
    </row>
    <row r="201">
      <c r="A201" s="47">
        <f>IF(B201="","","TU"&amp;TEXT(ROW()-2,"0000"))</f>
        <v/>
      </c>
      <c r="B201" s="26" t="n"/>
      <c r="C201" s="26">
        <f>IFERROR(IF(B201="","",VLOOKUP(B201,DATABASE!A:B,2,0)),"")</f>
        <v/>
      </c>
      <c r="D201" s="26" t="n"/>
      <c r="E201" s="30" t="n"/>
      <c r="F201" s="31">
        <f>IF(B201="","",TODAY())</f>
        <v/>
      </c>
      <c r="G201" s="26" t="n"/>
      <c r="H201" s="30">
        <f>IFERROR(IF(OR(B201="",E201=""),"",SUMIF(LOANS!$B:$B,B201,LOANS!$D:$D)+E201),"")</f>
        <v/>
      </c>
      <c r="I201" s="30">
        <f>IFERROR(IF(H201="","",SUMIF(LOANS!$B:$B,B201,LOANS!$I:$I)+ABS(PMT(IFERROR(VLOOKUP(B201,LOANS!$B:$G,6,0),12)/100/12,IFERROR(VLOOKUP(B201,LOANS!$B:$H,7,0),12),E201))),"")</f>
        <v/>
      </c>
      <c r="J201" s="26">
        <f>IF(B201="","","Active")</f>
        <v/>
      </c>
    </row>
    <row r="202">
      <c r="A202" s="48">
        <f>IF(B202="","","TU"&amp;TEXT(ROW()-2,"0000"))</f>
        <v/>
      </c>
      <c r="B202" s="49" t="n"/>
      <c r="C202" s="49">
        <f>IFERROR(IF(B202="","",VLOOKUP(B202,DATABASE!A:B,2,0)),"")</f>
        <v/>
      </c>
      <c r="D202" s="49" t="n"/>
      <c r="E202" s="50" t="n"/>
      <c r="F202" s="51">
        <f>IF(B202="","",TODAY())</f>
        <v/>
      </c>
      <c r="G202" s="49" t="n"/>
      <c r="H202" s="50">
        <f>IFERROR(IF(OR(B202="",E202=""),"",SUMIF(LOANS!$B:$B,B202,LOANS!$D:$D)+E202),"")</f>
        <v/>
      </c>
      <c r="I202" s="50">
        <f>IFERROR(IF(H202="","",SUMIF(LOANS!$B:$B,B202,LOANS!$I:$I)+ABS(PMT(IFERROR(VLOOKUP(B202,LOANS!$B:$G,6,0),12)/100/12,IFERROR(VLOOKUP(B202,LOANS!$B:$H,7,0),12),E202))),"")</f>
        <v/>
      </c>
      <c r="J202" s="49">
        <f>IF(B202="","","Active")</f>
        <v/>
      </c>
    </row>
    <row r="203">
      <c r="A203" s="47">
        <f>IF(B203="","","TU"&amp;TEXT(ROW()-2,"0000"))</f>
        <v/>
      </c>
      <c r="B203" s="26" t="n"/>
      <c r="C203" s="26">
        <f>IFERROR(IF(B203="","",VLOOKUP(B203,DATABASE!A:B,2,0)),"")</f>
        <v/>
      </c>
      <c r="D203" s="26" t="n"/>
      <c r="E203" s="30" t="n"/>
      <c r="F203" s="31">
        <f>IF(B203="","",TODAY())</f>
        <v/>
      </c>
      <c r="G203" s="26" t="n"/>
      <c r="H203" s="30">
        <f>IFERROR(IF(OR(B203="",E203=""),"",SUMIF(LOANS!$B:$B,B203,LOANS!$D:$D)+E203),"")</f>
        <v/>
      </c>
      <c r="I203" s="30">
        <f>IFERROR(IF(H203="","",SUMIF(LOANS!$B:$B,B203,LOANS!$I:$I)+ABS(PMT(IFERROR(VLOOKUP(B203,LOANS!$B:$G,6,0),12)/100/12,IFERROR(VLOOKUP(B203,LOANS!$B:$H,7,0),12),E203))),"")</f>
        <v/>
      </c>
      <c r="J203" s="26">
        <f>IF(B203="","","Active")</f>
        <v/>
      </c>
    </row>
    <row r="204">
      <c r="A204" s="48">
        <f>IF(B204="","","TU"&amp;TEXT(ROW()-2,"0000"))</f>
        <v/>
      </c>
      <c r="B204" s="49" t="n"/>
      <c r="C204" s="49">
        <f>IFERROR(IF(B204="","",VLOOKUP(B204,DATABASE!A:B,2,0)),"")</f>
        <v/>
      </c>
      <c r="D204" s="49" t="n"/>
      <c r="E204" s="50" t="n"/>
      <c r="F204" s="51">
        <f>IF(B204="","",TODAY())</f>
        <v/>
      </c>
      <c r="G204" s="49" t="n"/>
      <c r="H204" s="50">
        <f>IFERROR(IF(OR(B204="",E204=""),"",SUMIF(LOANS!$B:$B,B204,LOANS!$D:$D)+E204),"")</f>
        <v/>
      </c>
      <c r="I204" s="50">
        <f>IFERROR(IF(H204="","",SUMIF(LOANS!$B:$B,B204,LOANS!$I:$I)+ABS(PMT(IFERROR(VLOOKUP(B204,LOANS!$B:$G,6,0),12)/100/12,IFERROR(VLOOKUP(B204,LOANS!$B:$H,7,0),12),E204))),"")</f>
        <v/>
      </c>
      <c r="J204" s="49">
        <f>IF(B204="","","Active")</f>
        <v/>
      </c>
    </row>
    <row r="205">
      <c r="A205" s="47">
        <f>IF(B205="","","TU"&amp;TEXT(ROW()-2,"0000"))</f>
        <v/>
      </c>
      <c r="B205" s="26" t="n"/>
      <c r="C205" s="26">
        <f>IFERROR(IF(B205="","",VLOOKUP(B205,DATABASE!A:B,2,0)),"")</f>
        <v/>
      </c>
      <c r="D205" s="26" t="n"/>
      <c r="E205" s="30" t="n"/>
      <c r="F205" s="31">
        <f>IF(B205="","",TODAY())</f>
        <v/>
      </c>
      <c r="G205" s="26" t="n"/>
      <c r="H205" s="30">
        <f>IFERROR(IF(OR(B205="",E205=""),"",SUMIF(LOANS!$B:$B,B205,LOANS!$D:$D)+E205),"")</f>
        <v/>
      </c>
      <c r="I205" s="30">
        <f>IFERROR(IF(H205="","",SUMIF(LOANS!$B:$B,B205,LOANS!$I:$I)+ABS(PMT(IFERROR(VLOOKUP(B205,LOANS!$B:$G,6,0),12)/100/12,IFERROR(VLOOKUP(B205,LOANS!$B:$H,7,0),12),E205))),"")</f>
        <v/>
      </c>
      <c r="J205" s="26">
        <f>IF(B205="","","Active")</f>
        <v/>
      </c>
    </row>
    <row r="206">
      <c r="A206" s="48">
        <f>IF(B206="","","TU"&amp;TEXT(ROW()-2,"0000"))</f>
        <v/>
      </c>
      <c r="B206" s="49" t="n"/>
      <c r="C206" s="49">
        <f>IFERROR(IF(B206="","",VLOOKUP(B206,DATABASE!A:B,2,0)),"")</f>
        <v/>
      </c>
      <c r="D206" s="49" t="n"/>
      <c r="E206" s="50" t="n"/>
      <c r="F206" s="51">
        <f>IF(B206="","",TODAY())</f>
        <v/>
      </c>
      <c r="G206" s="49" t="n"/>
      <c r="H206" s="50">
        <f>IFERROR(IF(OR(B206="",E206=""),"",SUMIF(LOANS!$B:$B,B206,LOANS!$D:$D)+E206),"")</f>
        <v/>
      </c>
      <c r="I206" s="50">
        <f>IFERROR(IF(H206="","",SUMIF(LOANS!$B:$B,B206,LOANS!$I:$I)+ABS(PMT(IFERROR(VLOOKUP(B206,LOANS!$B:$G,6,0),12)/100/12,IFERROR(VLOOKUP(B206,LOANS!$B:$H,7,0),12),E206))),"")</f>
        <v/>
      </c>
      <c r="J206" s="49">
        <f>IF(B206="","","Active")</f>
        <v/>
      </c>
    </row>
    <row r="207">
      <c r="A207" s="47">
        <f>IF(B207="","","TU"&amp;TEXT(ROW()-2,"0000"))</f>
        <v/>
      </c>
      <c r="B207" s="26" t="n"/>
      <c r="C207" s="26">
        <f>IFERROR(IF(B207="","",VLOOKUP(B207,DATABASE!A:B,2,0)),"")</f>
        <v/>
      </c>
      <c r="D207" s="26" t="n"/>
      <c r="E207" s="30" t="n"/>
      <c r="F207" s="31">
        <f>IF(B207="","",TODAY())</f>
        <v/>
      </c>
      <c r="G207" s="26" t="n"/>
      <c r="H207" s="30">
        <f>IFERROR(IF(OR(B207="",E207=""),"",SUMIF(LOANS!$B:$B,B207,LOANS!$D:$D)+E207),"")</f>
        <v/>
      </c>
      <c r="I207" s="30">
        <f>IFERROR(IF(H207="","",SUMIF(LOANS!$B:$B,B207,LOANS!$I:$I)+ABS(PMT(IFERROR(VLOOKUP(B207,LOANS!$B:$G,6,0),12)/100/12,IFERROR(VLOOKUP(B207,LOANS!$B:$H,7,0),12),E207))),"")</f>
        <v/>
      </c>
      <c r="J207" s="26">
        <f>IF(B207="","","Active")</f>
        <v/>
      </c>
    </row>
    <row r="208">
      <c r="A208" s="48">
        <f>IF(B208="","","TU"&amp;TEXT(ROW()-2,"0000"))</f>
        <v/>
      </c>
      <c r="B208" s="49" t="n"/>
      <c r="C208" s="49">
        <f>IFERROR(IF(B208="","",VLOOKUP(B208,DATABASE!A:B,2,0)),"")</f>
        <v/>
      </c>
      <c r="D208" s="49" t="n"/>
      <c r="E208" s="50" t="n"/>
      <c r="F208" s="51">
        <f>IF(B208="","",TODAY())</f>
        <v/>
      </c>
      <c r="G208" s="49" t="n"/>
      <c r="H208" s="50">
        <f>IFERROR(IF(OR(B208="",E208=""),"",SUMIF(LOANS!$B:$B,B208,LOANS!$D:$D)+E208),"")</f>
        <v/>
      </c>
      <c r="I208" s="50">
        <f>IFERROR(IF(H208="","",SUMIF(LOANS!$B:$B,B208,LOANS!$I:$I)+ABS(PMT(IFERROR(VLOOKUP(B208,LOANS!$B:$G,6,0),12)/100/12,IFERROR(VLOOKUP(B208,LOANS!$B:$H,7,0),12),E208))),"")</f>
        <v/>
      </c>
      <c r="J208" s="49">
        <f>IF(B208="","","Active")</f>
        <v/>
      </c>
    </row>
    <row r="209">
      <c r="A209" s="47">
        <f>IF(B209="","","TU"&amp;TEXT(ROW()-2,"0000"))</f>
        <v/>
      </c>
      <c r="B209" s="26" t="n"/>
      <c r="C209" s="26">
        <f>IFERROR(IF(B209="","",VLOOKUP(B209,DATABASE!A:B,2,0)),"")</f>
        <v/>
      </c>
      <c r="D209" s="26" t="n"/>
      <c r="E209" s="30" t="n"/>
      <c r="F209" s="31">
        <f>IF(B209="","",TODAY())</f>
        <v/>
      </c>
      <c r="G209" s="26" t="n"/>
      <c r="H209" s="30">
        <f>IFERROR(IF(OR(B209="",E209=""),"",SUMIF(LOANS!$B:$B,B209,LOANS!$D:$D)+E209),"")</f>
        <v/>
      </c>
      <c r="I209" s="30">
        <f>IFERROR(IF(H209="","",SUMIF(LOANS!$B:$B,B209,LOANS!$I:$I)+ABS(PMT(IFERROR(VLOOKUP(B209,LOANS!$B:$G,6,0),12)/100/12,IFERROR(VLOOKUP(B209,LOANS!$B:$H,7,0),12),E209))),"")</f>
        <v/>
      </c>
      <c r="J209" s="26">
        <f>IF(B209="","","Active")</f>
        <v/>
      </c>
    </row>
    <row r="210">
      <c r="A210" s="48">
        <f>IF(B210="","","TU"&amp;TEXT(ROW()-2,"0000"))</f>
        <v/>
      </c>
      <c r="B210" s="49" t="n"/>
      <c r="C210" s="49">
        <f>IFERROR(IF(B210="","",VLOOKUP(B210,DATABASE!A:B,2,0)),"")</f>
        <v/>
      </c>
      <c r="D210" s="49" t="n"/>
      <c r="E210" s="50" t="n"/>
      <c r="F210" s="51">
        <f>IF(B210="","",TODAY())</f>
        <v/>
      </c>
      <c r="G210" s="49" t="n"/>
      <c r="H210" s="50">
        <f>IFERROR(IF(OR(B210="",E210=""),"",SUMIF(LOANS!$B:$B,B210,LOANS!$D:$D)+E210),"")</f>
        <v/>
      </c>
      <c r="I210" s="50">
        <f>IFERROR(IF(H210="","",SUMIF(LOANS!$B:$B,B210,LOANS!$I:$I)+ABS(PMT(IFERROR(VLOOKUP(B210,LOANS!$B:$G,6,0),12)/100/12,IFERROR(VLOOKUP(B210,LOANS!$B:$H,7,0),12),E210))),"")</f>
        <v/>
      </c>
      <c r="J210" s="49">
        <f>IF(B210="","","Active")</f>
        <v/>
      </c>
    </row>
    <row r="211">
      <c r="A211" s="47">
        <f>IF(B211="","","TU"&amp;TEXT(ROW()-2,"0000"))</f>
        <v/>
      </c>
      <c r="B211" s="26" t="n"/>
      <c r="C211" s="26">
        <f>IFERROR(IF(B211="","",VLOOKUP(B211,DATABASE!A:B,2,0)),"")</f>
        <v/>
      </c>
      <c r="D211" s="26" t="n"/>
      <c r="E211" s="30" t="n"/>
      <c r="F211" s="31">
        <f>IF(B211="","",TODAY())</f>
        <v/>
      </c>
      <c r="G211" s="26" t="n"/>
      <c r="H211" s="30">
        <f>IFERROR(IF(OR(B211="",E211=""),"",SUMIF(LOANS!$B:$B,B211,LOANS!$D:$D)+E211),"")</f>
        <v/>
      </c>
      <c r="I211" s="30">
        <f>IFERROR(IF(H211="","",SUMIF(LOANS!$B:$B,B211,LOANS!$I:$I)+ABS(PMT(IFERROR(VLOOKUP(B211,LOANS!$B:$G,6,0),12)/100/12,IFERROR(VLOOKUP(B211,LOANS!$B:$H,7,0),12),E211))),"")</f>
        <v/>
      </c>
      <c r="J211" s="26">
        <f>IF(B211="","","Active")</f>
        <v/>
      </c>
    </row>
    <row r="212">
      <c r="A212" s="48">
        <f>IF(B212="","","TU"&amp;TEXT(ROW()-2,"0000"))</f>
        <v/>
      </c>
      <c r="B212" s="49" t="n"/>
      <c r="C212" s="49">
        <f>IFERROR(IF(B212="","",VLOOKUP(B212,DATABASE!A:B,2,0)),"")</f>
        <v/>
      </c>
      <c r="D212" s="49" t="n"/>
      <c r="E212" s="50" t="n"/>
      <c r="F212" s="51">
        <f>IF(B212="","",TODAY())</f>
        <v/>
      </c>
      <c r="G212" s="49" t="n"/>
      <c r="H212" s="50">
        <f>IFERROR(IF(OR(B212="",E212=""),"",SUMIF(LOANS!$B:$B,B212,LOANS!$D:$D)+E212),"")</f>
        <v/>
      </c>
      <c r="I212" s="50">
        <f>IFERROR(IF(H212="","",SUMIF(LOANS!$B:$B,B212,LOANS!$I:$I)+ABS(PMT(IFERROR(VLOOKUP(B212,LOANS!$B:$G,6,0),12)/100/12,IFERROR(VLOOKUP(B212,LOANS!$B:$H,7,0),12),E212))),"")</f>
        <v/>
      </c>
      <c r="J212" s="49">
        <f>IF(B212="","","Active")</f>
        <v/>
      </c>
    </row>
    <row r="213">
      <c r="A213" s="47">
        <f>IF(B213="","","TU"&amp;TEXT(ROW()-2,"0000"))</f>
        <v/>
      </c>
      <c r="B213" s="26" t="n"/>
      <c r="C213" s="26">
        <f>IFERROR(IF(B213="","",VLOOKUP(B213,DATABASE!A:B,2,0)),"")</f>
        <v/>
      </c>
      <c r="D213" s="26" t="n"/>
      <c r="E213" s="30" t="n"/>
      <c r="F213" s="31">
        <f>IF(B213="","",TODAY())</f>
        <v/>
      </c>
      <c r="G213" s="26" t="n"/>
      <c r="H213" s="30">
        <f>IFERROR(IF(OR(B213="",E213=""),"",SUMIF(LOANS!$B:$B,B213,LOANS!$D:$D)+E213),"")</f>
        <v/>
      </c>
      <c r="I213" s="30">
        <f>IFERROR(IF(H213="","",SUMIF(LOANS!$B:$B,B213,LOANS!$I:$I)+ABS(PMT(IFERROR(VLOOKUP(B213,LOANS!$B:$G,6,0),12)/100/12,IFERROR(VLOOKUP(B213,LOANS!$B:$H,7,0),12),E213))),"")</f>
        <v/>
      </c>
      <c r="J213" s="26">
        <f>IF(B213="","","Active")</f>
        <v/>
      </c>
    </row>
    <row r="214">
      <c r="A214" s="48">
        <f>IF(B214="","","TU"&amp;TEXT(ROW()-2,"0000"))</f>
        <v/>
      </c>
      <c r="B214" s="49" t="n"/>
      <c r="C214" s="49">
        <f>IFERROR(IF(B214="","",VLOOKUP(B214,DATABASE!A:B,2,0)),"")</f>
        <v/>
      </c>
      <c r="D214" s="49" t="n"/>
      <c r="E214" s="50" t="n"/>
      <c r="F214" s="51">
        <f>IF(B214="","",TODAY())</f>
        <v/>
      </c>
      <c r="G214" s="49" t="n"/>
      <c r="H214" s="50">
        <f>IFERROR(IF(OR(B214="",E214=""),"",SUMIF(LOANS!$B:$B,B214,LOANS!$D:$D)+E214),"")</f>
        <v/>
      </c>
      <c r="I214" s="50">
        <f>IFERROR(IF(H214="","",SUMIF(LOANS!$B:$B,B214,LOANS!$I:$I)+ABS(PMT(IFERROR(VLOOKUP(B214,LOANS!$B:$G,6,0),12)/100/12,IFERROR(VLOOKUP(B214,LOANS!$B:$H,7,0),12),E214))),"")</f>
        <v/>
      </c>
      <c r="J214" s="49">
        <f>IF(B214="","","Active")</f>
        <v/>
      </c>
    </row>
    <row r="215">
      <c r="A215" s="47">
        <f>IF(B215="","","TU"&amp;TEXT(ROW()-2,"0000"))</f>
        <v/>
      </c>
      <c r="B215" s="26" t="n"/>
      <c r="C215" s="26">
        <f>IFERROR(IF(B215="","",VLOOKUP(B215,DATABASE!A:B,2,0)),"")</f>
        <v/>
      </c>
      <c r="D215" s="26" t="n"/>
      <c r="E215" s="30" t="n"/>
      <c r="F215" s="31">
        <f>IF(B215="","",TODAY())</f>
        <v/>
      </c>
      <c r="G215" s="26" t="n"/>
      <c r="H215" s="30">
        <f>IFERROR(IF(OR(B215="",E215=""),"",SUMIF(LOANS!$B:$B,B215,LOANS!$D:$D)+E215),"")</f>
        <v/>
      </c>
      <c r="I215" s="30">
        <f>IFERROR(IF(H215="","",SUMIF(LOANS!$B:$B,B215,LOANS!$I:$I)+ABS(PMT(IFERROR(VLOOKUP(B215,LOANS!$B:$G,6,0),12)/100/12,IFERROR(VLOOKUP(B215,LOANS!$B:$H,7,0),12),E215))),"")</f>
        <v/>
      </c>
      <c r="J215" s="26">
        <f>IF(B215="","","Active")</f>
        <v/>
      </c>
    </row>
    <row r="216">
      <c r="A216" s="48">
        <f>IF(B216="","","TU"&amp;TEXT(ROW()-2,"0000"))</f>
        <v/>
      </c>
      <c r="B216" s="49" t="n"/>
      <c r="C216" s="49">
        <f>IFERROR(IF(B216="","",VLOOKUP(B216,DATABASE!A:B,2,0)),"")</f>
        <v/>
      </c>
      <c r="D216" s="49" t="n"/>
      <c r="E216" s="50" t="n"/>
      <c r="F216" s="51">
        <f>IF(B216="","",TODAY())</f>
        <v/>
      </c>
      <c r="G216" s="49" t="n"/>
      <c r="H216" s="50">
        <f>IFERROR(IF(OR(B216="",E216=""),"",SUMIF(LOANS!$B:$B,B216,LOANS!$D:$D)+E216),"")</f>
        <v/>
      </c>
      <c r="I216" s="50">
        <f>IFERROR(IF(H216="","",SUMIF(LOANS!$B:$B,B216,LOANS!$I:$I)+ABS(PMT(IFERROR(VLOOKUP(B216,LOANS!$B:$G,6,0),12)/100/12,IFERROR(VLOOKUP(B216,LOANS!$B:$H,7,0),12),E216))),"")</f>
        <v/>
      </c>
      <c r="J216" s="49">
        <f>IF(B216="","","Active")</f>
        <v/>
      </c>
    </row>
    <row r="217">
      <c r="A217" s="47">
        <f>IF(B217="","","TU"&amp;TEXT(ROW()-2,"0000"))</f>
        <v/>
      </c>
      <c r="B217" s="26" t="n"/>
      <c r="C217" s="26">
        <f>IFERROR(IF(B217="","",VLOOKUP(B217,DATABASE!A:B,2,0)),"")</f>
        <v/>
      </c>
      <c r="D217" s="26" t="n"/>
      <c r="E217" s="30" t="n"/>
      <c r="F217" s="31">
        <f>IF(B217="","",TODAY())</f>
        <v/>
      </c>
      <c r="G217" s="26" t="n"/>
      <c r="H217" s="30">
        <f>IFERROR(IF(OR(B217="",E217=""),"",SUMIF(LOANS!$B:$B,B217,LOANS!$D:$D)+E217),"")</f>
        <v/>
      </c>
      <c r="I217" s="30">
        <f>IFERROR(IF(H217="","",SUMIF(LOANS!$B:$B,B217,LOANS!$I:$I)+ABS(PMT(IFERROR(VLOOKUP(B217,LOANS!$B:$G,6,0),12)/100/12,IFERROR(VLOOKUP(B217,LOANS!$B:$H,7,0),12),E217))),"")</f>
        <v/>
      </c>
      <c r="J217" s="26">
        <f>IF(B217="","","Active")</f>
        <v/>
      </c>
    </row>
    <row r="218">
      <c r="A218" s="48">
        <f>IF(B218="","","TU"&amp;TEXT(ROW()-2,"0000"))</f>
        <v/>
      </c>
      <c r="B218" s="49" t="n"/>
      <c r="C218" s="49">
        <f>IFERROR(IF(B218="","",VLOOKUP(B218,DATABASE!A:B,2,0)),"")</f>
        <v/>
      </c>
      <c r="D218" s="49" t="n"/>
      <c r="E218" s="50" t="n"/>
      <c r="F218" s="51">
        <f>IF(B218="","",TODAY())</f>
        <v/>
      </c>
      <c r="G218" s="49" t="n"/>
      <c r="H218" s="50">
        <f>IFERROR(IF(OR(B218="",E218=""),"",SUMIF(LOANS!$B:$B,B218,LOANS!$D:$D)+E218),"")</f>
        <v/>
      </c>
      <c r="I218" s="50">
        <f>IFERROR(IF(H218="","",SUMIF(LOANS!$B:$B,B218,LOANS!$I:$I)+ABS(PMT(IFERROR(VLOOKUP(B218,LOANS!$B:$G,6,0),12)/100/12,IFERROR(VLOOKUP(B218,LOANS!$B:$H,7,0),12),E218))),"")</f>
        <v/>
      </c>
      <c r="J218" s="49">
        <f>IF(B218="","","Active")</f>
        <v/>
      </c>
    </row>
    <row r="219">
      <c r="A219" s="47">
        <f>IF(B219="","","TU"&amp;TEXT(ROW()-2,"0000"))</f>
        <v/>
      </c>
      <c r="B219" s="26" t="n"/>
      <c r="C219" s="26">
        <f>IFERROR(IF(B219="","",VLOOKUP(B219,DATABASE!A:B,2,0)),"")</f>
        <v/>
      </c>
      <c r="D219" s="26" t="n"/>
      <c r="E219" s="30" t="n"/>
      <c r="F219" s="31">
        <f>IF(B219="","",TODAY())</f>
        <v/>
      </c>
      <c r="G219" s="26" t="n"/>
      <c r="H219" s="30">
        <f>IFERROR(IF(OR(B219="",E219=""),"",SUMIF(LOANS!$B:$B,B219,LOANS!$D:$D)+E219),"")</f>
        <v/>
      </c>
      <c r="I219" s="30">
        <f>IFERROR(IF(H219="","",SUMIF(LOANS!$B:$B,B219,LOANS!$I:$I)+ABS(PMT(IFERROR(VLOOKUP(B219,LOANS!$B:$G,6,0),12)/100/12,IFERROR(VLOOKUP(B219,LOANS!$B:$H,7,0),12),E219))),"")</f>
        <v/>
      </c>
      <c r="J219" s="26">
        <f>IF(B219="","","Active")</f>
        <v/>
      </c>
    </row>
    <row r="220">
      <c r="A220" s="48">
        <f>IF(B220="","","TU"&amp;TEXT(ROW()-2,"0000"))</f>
        <v/>
      </c>
      <c r="B220" s="49" t="n"/>
      <c r="C220" s="49">
        <f>IFERROR(IF(B220="","",VLOOKUP(B220,DATABASE!A:B,2,0)),"")</f>
        <v/>
      </c>
      <c r="D220" s="49" t="n"/>
      <c r="E220" s="50" t="n"/>
      <c r="F220" s="51">
        <f>IF(B220="","",TODAY())</f>
        <v/>
      </c>
      <c r="G220" s="49" t="n"/>
      <c r="H220" s="50">
        <f>IFERROR(IF(OR(B220="",E220=""),"",SUMIF(LOANS!$B:$B,B220,LOANS!$D:$D)+E220),"")</f>
        <v/>
      </c>
      <c r="I220" s="50">
        <f>IFERROR(IF(H220="","",SUMIF(LOANS!$B:$B,B220,LOANS!$I:$I)+ABS(PMT(IFERROR(VLOOKUP(B220,LOANS!$B:$G,6,0),12)/100/12,IFERROR(VLOOKUP(B220,LOANS!$B:$H,7,0),12),E220))),"")</f>
        <v/>
      </c>
      <c r="J220" s="49">
        <f>IF(B220="","","Active")</f>
        <v/>
      </c>
    </row>
    <row r="221">
      <c r="A221" s="47">
        <f>IF(B221="","","TU"&amp;TEXT(ROW()-2,"0000"))</f>
        <v/>
      </c>
      <c r="B221" s="26" t="n"/>
      <c r="C221" s="26">
        <f>IFERROR(IF(B221="","",VLOOKUP(B221,DATABASE!A:B,2,0)),"")</f>
        <v/>
      </c>
      <c r="D221" s="26" t="n"/>
      <c r="E221" s="30" t="n"/>
      <c r="F221" s="31">
        <f>IF(B221="","",TODAY())</f>
        <v/>
      </c>
      <c r="G221" s="26" t="n"/>
      <c r="H221" s="30">
        <f>IFERROR(IF(OR(B221="",E221=""),"",SUMIF(LOANS!$B:$B,B221,LOANS!$D:$D)+E221),"")</f>
        <v/>
      </c>
      <c r="I221" s="30">
        <f>IFERROR(IF(H221="","",SUMIF(LOANS!$B:$B,B221,LOANS!$I:$I)+ABS(PMT(IFERROR(VLOOKUP(B221,LOANS!$B:$G,6,0),12)/100/12,IFERROR(VLOOKUP(B221,LOANS!$B:$H,7,0),12),E221))),"")</f>
        <v/>
      </c>
      <c r="J221" s="26">
        <f>IF(B221="","","Active")</f>
        <v/>
      </c>
    </row>
    <row r="222">
      <c r="A222" s="48">
        <f>IF(B222="","","TU"&amp;TEXT(ROW()-2,"0000"))</f>
        <v/>
      </c>
      <c r="B222" s="49" t="n"/>
      <c r="C222" s="49">
        <f>IFERROR(IF(B222="","",VLOOKUP(B222,DATABASE!A:B,2,0)),"")</f>
        <v/>
      </c>
      <c r="D222" s="49" t="n"/>
      <c r="E222" s="50" t="n"/>
      <c r="F222" s="51">
        <f>IF(B222="","",TODAY())</f>
        <v/>
      </c>
      <c r="G222" s="49" t="n"/>
      <c r="H222" s="50">
        <f>IFERROR(IF(OR(B222="",E222=""),"",SUMIF(LOANS!$B:$B,B222,LOANS!$D:$D)+E222),"")</f>
        <v/>
      </c>
      <c r="I222" s="50">
        <f>IFERROR(IF(H222="","",SUMIF(LOANS!$B:$B,B222,LOANS!$I:$I)+ABS(PMT(IFERROR(VLOOKUP(B222,LOANS!$B:$G,6,0),12)/100/12,IFERROR(VLOOKUP(B222,LOANS!$B:$H,7,0),12),E222))),"")</f>
        <v/>
      </c>
      <c r="J222" s="49">
        <f>IF(B222="","","Active")</f>
        <v/>
      </c>
    </row>
    <row r="223">
      <c r="A223" s="47">
        <f>IF(B223="","","TU"&amp;TEXT(ROW()-2,"0000"))</f>
        <v/>
      </c>
      <c r="B223" s="26" t="n"/>
      <c r="C223" s="26">
        <f>IFERROR(IF(B223="","",VLOOKUP(B223,DATABASE!A:B,2,0)),"")</f>
        <v/>
      </c>
      <c r="D223" s="26" t="n"/>
      <c r="E223" s="30" t="n"/>
      <c r="F223" s="31">
        <f>IF(B223="","",TODAY())</f>
        <v/>
      </c>
      <c r="G223" s="26" t="n"/>
      <c r="H223" s="30">
        <f>IFERROR(IF(OR(B223="",E223=""),"",SUMIF(LOANS!$B:$B,B223,LOANS!$D:$D)+E223),"")</f>
        <v/>
      </c>
      <c r="I223" s="30">
        <f>IFERROR(IF(H223="","",SUMIF(LOANS!$B:$B,B223,LOANS!$I:$I)+ABS(PMT(IFERROR(VLOOKUP(B223,LOANS!$B:$G,6,0),12)/100/12,IFERROR(VLOOKUP(B223,LOANS!$B:$H,7,0),12),E223))),"")</f>
        <v/>
      </c>
      <c r="J223" s="26">
        <f>IF(B223="","","Active")</f>
        <v/>
      </c>
    </row>
    <row r="224">
      <c r="A224" s="48">
        <f>IF(B224="","","TU"&amp;TEXT(ROW()-2,"0000"))</f>
        <v/>
      </c>
      <c r="B224" s="49" t="n"/>
      <c r="C224" s="49">
        <f>IFERROR(IF(B224="","",VLOOKUP(B224,DATABASE!A:B,2,0)),"")</f>
        <v/>
      </c>
      <c r="D224" s="49" t="n"/>
      <c r="E224" s="50" t="n"/>
      <c r="F224" s="51">
        <f>IF(B224="","",TODAY())</f>
        <v/>
      </c>
      <c r="G224" s="49" t="n"/>
      <c r="H224" s="50">
        <f>IFERROR(IF(OR(B224="",E224=""),"",SUMIF(LOANS!$B:$B,B224,LOANS!$D:$D)+E224),"")</f>
        <v/>
      </c>
      <c r="I224" s="50">
        <f>IFERROR(IF(H224="","",SUMIF(LOANS!$B:$B,B224,LOANS!$I:$I)+ABS(PMT(IFERROR(VLOOKUP(B224,LOANS!$B:$G,6,0),12)/100/12,IFERROR(VLOOKUP(B224,LOANS!$B:$H,7,0),12),E224))),"")</f>
        <v/>
      </c>
      <c r="J224" s="49">
        <f>IF(B224="","","Active")</f>
        <v/>
      </c>
    </row>
    <row r="225">
      <c r="A225" s="47">
        <f>IF(B225="","","TU"&amp;TEXT(ROW()-2,"0000"))</f>
        <v/>
      </c>
      <c r="B225" s="26" t="n"/>
      <c r="C225" s="26">
        <f>IFERROR(IF(B225="","",VLOOKUP(B225,DATABASE!A:B,2,0)),"")</f>
        <v/>
      </c>
      <c r="D225" s="26" t="n"/>
      <c r="E225" s="30" t="n"/>
      <c r="F225" s="31">
        <f>IF(B225="","",TODAY())</f>
        <v/>
      </c>
      <c r="G225" s="26" t="n"/>
      <c r="H225" s="30">
        <f>IFERROR(IF(OR(B225="",E225=""),"",SUMIF(LOANS!$B:$B,B225,LOANS!$D:$D)+E225),"")</f>
        <v/>
      </c>
      <c r="I225" s="30">
        <f>IFERROR(IF(H225="","",SUMIF(LOANS!$B:$B,B225,LOANS!$I:$I)+ABS(PMT(IFERROR(VLOOKUP(B225,LOANS!$B:$G,6,0),12)/100/12,IFERROR(VLOOKUP(B225,LOANS!$B:$H,7,0),12),E225))),"")</f>
        <v/>
      </c>
      <c r="J225" s="26">
        <f>IF(B225="","","Active")</f>
        <v/>
      </c>
    </row>
    <row r="226">
      <c r="A226" s="48">
        <f>IF(B226="","","TU"&amp;TEXT(ROW()-2,"0000"))</f>
        <v/>
      </c>
      <c r="B226" s="49" t="n"/>
      <c r="C226" s="49">
        <f>IFERROR(IF(B226="","",VLOOKUP(B226,DATABASE!A:B,2,0)),"")</f>
        <v/>
      </c>
      <c r="D226" s="49" t="n"/>
      <c r="E226" s="50" t="n"/>
      <c r="F226" s="51">
        <f>IF(B226="","",TODAY())</f>
        <v/>
      </c>
      <c r="G226" s="49" t="n"/>
      <c r="H226" s="50">
        <f>IFERROR(IF(OR(B226="",E226=""),"",SUMIF(LOANS!$B:$B,B226,LOANS!$D:$D)+E226),"")</f>
        <v/>
      </c>
      <c r="I226" s="50">
        <f>IFERROR(IF(H226="","",SUMIF(LOANS!$B:$B,B226,LOANS!$I:$I)+ABS(PMT(IFERROR(VLOOKUP(B226,LOANS!$B:$G,6,0),12)/100/12,IFERROR(VLOOKUP(B226,LOANS!$B:$H,7,0),12),E226))),"")</f>
        <v/>
      </c>
      <c r="J226" s="49">
        <f>IF(B226="","","Active")</f>
        <v/>
      </c>
    </row>
    <row r="227">
      <c r="A227" s="47">
        <f>IF(B227="","","TU"&amp;TEXT(ROW()-2,"0000"))</f>
        <v/>
      </c>
      <c r="B227" s="26" t="n"/>
      <c r="C227" s="26">
        <f>IFERROR(IF(B227="","",VLOOKUP(B227,DATABASE!A:B,2,0)),"")</f>
        <v/>
      </c>
      <c r="D227" s="26" t="n"/>
      <c r="E227" s="30" t="n"/>
      <c r="F227" s="31">
        <f>IF(B227="","",TODAY())</f>
        <v/>
      </c>
      <c r="G227" s="26" t="n"/>
      <c r="H227" s="30">
        <f>IFERROR(IF(OR(B227="",E227=""),"",SUMIF(LOANS!$B:$B,B227,LOANS!$D:$D)+E227),"")</f>
        <v/>
      </c>
      <c r="I227" s="30">
        <f>IFERROR(IF(H227="","",SUMIF(LOANS!$B:$B,B227,LOANS!$I:$I)+ABS(PMT(IFERROR(VLOOKUP(B227,LOANS!$B:$G,6,0),12)/100/12,IFERROR(VLOOKUP(B227,LOANS!$B:$H,7,0),12),E227))),"")</f>
        <v/>
      </c>
      <c r="J227" s="26">
        <f>IF(B227="","","Active")</f>
        <v/>
      </c>
    </row>
    <row r="228">
      <c r="A228" s="48">
        <f>IF(B228="","","TU"&amp;TEXT(ROW()-2,"0000"))</f>
        <v/>
      </c>
      <c r="B228" s="49" t="n"/>
      <c r="C228" s="49">
        <f>IFERROR(IF(B228="","",VLOOKUP(B228,DATABASE!A:B,2,0)),"")</f>
        <v/>
      </c>
      <c r="D228" s="49" t="n"/>
      <c r="E228" s="50" t="n"/>
      <c r="F228" s="51">
        <f>IF(B228="","",TODAY())</f>
        <v/>
      </c>
      <c r="G228" s="49" t="n"/>
      <c r="H228" s="50">
        <f>IFERROR(IF(OR(B228="",E228=""),"",SUMIF(LOANS!$B:$B,B228,LOANS!$D:$D)+E228),"")</f>
        <v/>
      </c>
      <c r="I228" s="50">
        <f>IFERROR(IF(H228="","",SUMIF(LOANS!$B:$B,B228,LOANS!$I:$I)+ABS(PMT(IFERROR(VLOOKUP(B228,LOANS!$B:$G,6,0),12)/100/12,IFERROR(VLOOKUP(B228,LOANS!$B:$H,7,0),12),E228))),"")</f>
        <v/>
      </c>
      <c r="J228" s="49">
        <f>IF(B228="","","Active")</f>
        <v/>
      </c>
    </row>
    <row r="229">
      <c r="A229" s="47">
        <f>IF(B229="","","TU"&amp;TEXT(ROW()-2,"0000"))</f>
        <v/>
      </c>
      <c r="B229" s="26" t="n"/>
      <c r="C229" s="26">
        <f>IFERROR(IF(B229="","",VLOOKUP(B229,DATABASE!A:B,2,0)),"")</f>
        <v/>
      </c>
      <c r="D229" s="26" t="n"/>
      <c r="E229" s="30" t="n"/>
      <c r="F229" s="31">
        <f>IF(B229="","",TODAY())</f>
        <v/>
      </c>
      <c r="G229" s="26" t="n"/>
      <c r="H229" s="30">
        <f>IFERROR(IF(OR(B229="",E229=""),"",SUMIF(LOANS!$B:$B,B229,LOANS!$D:$D)+E229),"")</f>
        <v/>
      </c>
      <c r="I229" s="30">
        <f>IFERROR(IF(H229="","",SUMIF(LOANS!$B:$B,B229,LOANS!$I:$I)+ABS(PMT(IFERROR(VLOOKUP(B229,LOANS!$B:$G,6,0),12)/100/12,IFERROR(VLOOKUP(B229,LOANS!$B:$H,7,0),12),E229))),"")</f>
        <v/>
      </c>
      <c r="J229" s="26">
        <f>IF(B229="","","Active")</f>
        <v/>
      </c>
    </row>
    <row r="230">
      <c r="A230" s="48">
        <f>IF(B230="","","TU"&amp;TEXT(ROW()-2,"0000"))</f>
        <v/>
      </c>
      <c r="B230" s="49" t="n"/>
      <c r="C230" s="49">
        <f>IFERROR(IF(B230="","",VLOOKUP(B230,DATABASE!A:B,2,0)),"")</f>
        <v/>
      </c>
      <c r="D230" s="49" t="n"/>
      <c r="E230" s="50" t="n"/>
      <c r="F230" s="51">
        <f>IF(B230="","",TODAY())</f>
        <v/>
      </c>
      <c r="G230" s="49" t="n"/>
      <c r="H230" s="50">
        <f>IFERROR(IF(OR(B230="",E230=""),"",SUMIF(LOANS!$B:$B,B230,LOANS!$D:$D)+E230),"")</f>
        <v/>
      </c>
      <c r="I230" s="50">
        <f>IFERROR(IF(H230="","",SUMIF(LOANS!$B:$B,B230,LOANS!$I:$I)+ABS(PMT(IFERROR(VLOOKUP(B230,LOANS!$B:$G,6,0),12)/100/12,IFERROR(VLOOKUP(B230,LOANS!$B:$H,7,0),12),E230))),"")</f>
        <v/>
      </c>
      <c r="J230" s="49">
        <f>IF(B230="","","Active")</f>
        <v/>
      </c>
    </row>
    <row r="231">
      <c r="A231" s="47">
        <f>IF(B231="","","TU"&amp;TEXT(ROW()-2,"0000"))</f>
        <v/>
      </c>
      <c r="B231" s="26" t="n"/>
      <c r="C231" s="26">
        <f>IFERROR(IF(B231="","",VLOOKUP(B231,DATABASE!A:B,2,0)),"")</f>
        <v/>
      </c>
      <c r="D231" s="26" t="n"/>
      <c r="E231" s="30" t="n"/>
      <c r="F231" s="31">
        <f>IF(B231="","",TODAY())</f>
        <v/>
      </c>
      <c r="G231" s="26" t="n"/>
      <c r="H231" s="30">
        <f>IFERROR(IF(OR(B231="",E231=""),"",SUMIF(LOANS!$B:$B,B231,LOANS!$D:$D)+E231),"")</f>
        <v/>
      </c>
      <c r="I231" s="30">
        <f>IFERROR(IF(H231="","",SUMIF(LOANS!$B:$B,B231,LOANS!$I:$I)+ABS(PMT(IFERROR(VLOOKUP(B231,LOANS!$B:$G,6,0),12)/100/12,IFERROR(VLOOKUP(B231,LOANS!$B:$H,7,0),12),E231))),"")</f>
        <v/>
      </c>
      <c r="J231" s="26">
        <f>IF(B231="","","Active")</f>
        <v/>
      </c>
    </row>
    <row r="232">
      <c r="A232" s="48">
        <f>IF(B232="","","TU"&amp;TEXT(ROW()-2,"0000"))</f>
        <v/>
      </c>
      <c r="B232" s="49" t="n"/>
      <c r="C232" s="49">
        <f>IFERROR(IF(B232="","",VLOOKUP(B232,DATABASE!A:B,2,0)),"")</f>
        <v/>
      </c>
      <c r="D232" s="49" t="n"/>
      <c r="E232" s="50" t="n"/>
      <c r="F232" s="51">
        <f>IF(B232="","",TODAY())</f>
        <v/>
      </c>
      <c r="G232" s="49" t="n"/>
      <c r="H232" s="50">
        <f>IFERROR(IF(OR(B232="",E232=""),"",SUMIF(LOANS!$B:$B,B232,LOANS!$D:$D)+E232),"")</f>
        <v/>
      </c>
      <c r="I232" s="50">
        <f>IFERROR(IF(H232="","",SUMIF(LOANS!$B:$B,B232,LOANS!$I:$I)+ABS(PMT(IFERROR(VLOOKUP(B232,LOANS!$B:$G,6,0),12)/100/12,IFERROR(VLOOKUP(B232,LOANS!$B:$H,7,0),12),E232))),"")</f>
        <v/>
      </c>
      <c r="J232" s="49">
        <f>IF(B232="","","Active")</f>
        <v/>
      </c>
    </row>
    <row r="233">
      <c r="A233" s="47">
        <f>IF(B233="","","TU"&amp;TEXT(ROW()-2,"0000"))</f>
        <v/>
      </c>
      <c r="B233" s="26" t="n"/>
      <c r="C233" s="26">
        <f>IFERROR(IF(B233="","",VLOOKUP(B233,DATABASE!A:B,2,0)),"")</f>
        <v/>
      </c>
      <c r="D233" s="26" t="n"/>
      <c r="E233" s="30" t="n"/>
      <c r="F233" s="31">
        <f>IF(B233="","",TODAY())</f>
        <v/>
      </c>
      <c r="G233" s="26" t="n"/>
      <c r="H233" s="30">
        <f>IFERROR(IF(OR(B233="",E233=""),"",SUMIF(LOANS!$B:$B,B233,LOANS!$D:$D)+E233),"")</f>
        <v/>
      </c>
      <c r="I233" s="30">
        <f>IFERROR(IF(H233="","",SUMIF(LOANS!$B:$B,B233,LOANS!$I:$I)+ABS(PMT(IFERROR(VLOOKUP(B233,LOANS!$B:$G,6,0),12)/100/12,IFERROR(VLOOKUP(B233,LOANS!$B:$H,7,0),12),E233))),"")</f>
        <v/>
      </c>
      <c r="J233" s="26">
        <f>IF(B233="","","Active")</f>
        <v/>
      </c>
    </row>
    <row r="234">
      <c r="A234" s="48">
        <f>IF(B234="","","TU"&amp;TEXT(ROW()-2,"0000"))</f>
        <v/>
      </c>
      <c r="B234" s="49" t="n"/>
      <c r="C234" s="49">
        <f>IFERROR(IF(B234="","",VLOOKUP(B234,DATABASE!A:B,2,0)),"")</f>
        <v/>
      </c>
      <c r="D234" s="49" t="n"/>
      <c r="E234" s="50" t="n"/>
      <c r="F234" s="51">
        <f>IF(B234="","",TODAY())</f>
        <v/>
      </c>
      <c r="G234" s="49" t="n"/>
      <c r="H234" s="50">
        <f>IFERROR(IF(OR(B234="",E234=""),"",SUMIF(LOANS!$B:$B,B234,LOANS!$D:$D)+E234),"")</f>
        <v/>
      </c>
      <c r="I234" s="50">
        <f>IFERROR(IF(H234="","",SUMIF(LOANS!$B:$B,B234,LOANS!$I:$I)+ABS(PMT(IFERROR(VLOOKUP(B234,LOANS!$B:$G,6,0),12)/100/12,IFERROR(VLOOKUP(B234,LOANS!$B:$H,7,0),12),E234))),"")</f>
        <v/>
      </c>
      <c r="J234" s="49">
        <f>IF(B234="","","Active")</f>
        <v/>
      </c>
    </row>
    <row r="235">
      <c r="A235" s="47">
        <f>IF(B235="","","TU"&amp;TEXT(ROW()-2,"0000"))</f>
        <v/>
      </c>
      <c r="B235" s="26" t="n"/>
      <c r="C235" s="26">
        <f>IFERROR(IF(B235="","",VLOOKUP(B235,DATABASE!A:B,2,0)),"")</f>
        <v/>
      </c>
      <c r="D235" s="26" t="n"/>
      <c r="E235" s="30" t="n"/>
      <c r="F235" s="31">
        <f>IF(B235="","",TODAY())</f>
        <v/>
      </c>
      <c r="G235" s="26" t="n"/>
      <c r="H235" s="30">
        <f>IFERROR(IF(OR(B235="",E235=""),"",SUMIF(LOANS!$B:$B,B235,LOANS!$D:$D)+E235),"")</f>
        <v/>
      </c>
      <c r="I235" s="30">
        <f>IFERROR(IF(H235="","",SUMIF(LOANS!$B:$B,B235,LOANS!$I:$I)+ABS(PMT(IFERROR(VLOOKUP(B235,LOANS!$B:$G,6,0),12)/100/12,IFERROR(VLOOKUP(B235,LOANS!$B:$H,7,0),12),E235))),"")</f>
        <v/>
      </c>
      <c r="J235" s="26">
        <f>IF(B235="","","Active")</f>
        <v/>
      </c>
    </row>
    <row r="236">
      <c r="A236" s="48">
        <f>IF(B236="","","TU"&amp;TEXT(ROW()-2,"0000"))</f>
        <v/>
      </c>
      <c r="B236" s="49" t="n"/>
      <c r="C236" s="49">
        <f>IFERROR(IF(B236="","",VLOOKUP(B236,DATABASE!A:B,2,0)),"")</f>
        <v/>
      </c>
      <c r="D236" s="49" t="n"/>
      <c r="E236" s="50" t="n"/>
      <c r="F236" s="51">
        <f>IF(B236="","",TODAY())</f>
        <v/>
      </c>
      <c r="G236" s="49" t="n"/>
      <c r="H236" s="50">
        <f>IFERROR(IF(OR(B236="",E236=""),"",SUMIF(LOANS!$B:$B,B236,LOANS!$D:$D)+E236),"")</f>
        <v/>
      </c>
      <c r="I236" s="50">
        <f>IFERROR(IF(H236="","",SUMIF(LOANS!$B:$B,B236,LOANS!$I:$I)+ABS(PMT(IFERROR(VLOOKUP(B236,LOANS!$B:$G,6,0),12)/100/12,IFERROR(VLOOKUP(B236,LOANS!$B:$H,7,0),12),E236))),"")</f>
        <v/>
      </c>
      <c r="J236" s="49">
        <f>IF(B236="","","Active")</f>
        <v/>
      </c>
    </row>
    <row r="237">
      <c r="A237" s="47">
        <f>IF(B237="","","TU"&amp;TEXT(ROW()-2,"0000"))</f>
        <v/>
      </c>
      <c r="B237" s="26" t="n"/>
      <c r="C237" s="26">
        <f>IFERROR(IF(B237="","",VLOOKUP(B237,DATABASE!A:B,2,0)),"")</f>
        <v/>
      </c>
      <c r="D237" s="26" t="n"/>
      <c r="E237" s="30" t="n"/>
      <c r="F237" s="31">
        <f>IF(B237="","",TODAY())</f>
        <v/>
      </c>
      <c r="G237" s="26" t="n"/>
      <c r="H237" s="30">
        <f>IFERROR(IF(OR(B237="",E237=""),"",SUMIF(LOANS!$B:$B,B237,LOANS!$D:$D)+E237),"")</f>
        <v/>
      </c>
      <c r="I237" s="30">
        <f>IFERROR(IF(H237="","",SUMIF(LOANS!$B:$B,B237,LOANS!$I:$I)+ABS(PMT(IFERROR(VLOOKUP(B237,LOANS!$B:$G,6,0),12)/100/12,IFERROR(VLOOKUP(B237,LOANS!$B:$H,7,0),12),E237))),"")</f>
        <v/>
      </c>
      <c r="J237" s="26">
        <f>IF(B237="","","Active")</f>
        <v/>
      </c>
    </row>
    <row r="238">
      <c r="A238" s="48">
        <f>IF(B238="","","TU"&amp;TEXT(ROW()-2,"0000"))</f>
        <v/>
      </c>
      <c r="B238" s="49" t="n"/>
      <c r="C238" s="49">
        <f>IFERROR(IF(B238="","",VLOOKUP(B238,DATABASE!A:B,2,0)),"")</f>
        <v/>
      </c>
      <c r="D238" s="49" t="n"/>
      <c r="E238" s="50" t="n"/>
      <c r="F238" s="51">
        <f>IF(B238="","",TODAY())</f>
        <v/>
      </c>
      <c r="G238" s="49" t="n"/>
      <c r="H238" s="50">
        <f>IFERROR(IF(OR(B238="",E238=""),"",SUMIF(LOANS!$B:$B,B238,LOANS!$D:$D)+E238),"")</f>
        <v/>
      </c>
      <c r="I238" s="50">
        <f>IFERROR(IF(H238="","",SUMIF(LOANS!$B:$B,B238,LOANS!$I:$I)+ABS(PMT(IFERROR(VLOOKUP(B238,LOANS!$B:$G,6,0),12)/100/12,IFERROR(VLOOKUP(B238,LOANS!$B:$H,7,0),12),E238))),"")</f>
        <v/>
      </c>
      <c r="J238" s="49">
        <f>IF(B238="","","Active")</f>
        <v/>
      </c>
    </row>
    <row r="239">
      <c r="A239" s="47">
        <f>IF(B239="","","TU"&amp;TEXT(ROW()-2,"0000"))</f>
        <v/>
      </c>
      <c r="B239" s="26" t="n"/>
      <c r="C239" s="26">
        <f>IFERROR(IF(B239="","",VLOOKUP(B239,DATABASE!A:B,2,0)),"")</f>
        <v/>
      </c>
      <c r="D239" s="26" t="n"/>
      <c r="E239" s="30" t="n"/>
      <c r="F239" s="31">
        <f>IF(B239="","",TODAY())</f>
        <v/>
      </c>
      <c r="G239" s="26" t="n"/>
      <c r="H239" s="30">
        <f>IFERROR(IF(OR(B239="",E239=""),"",SUMIF(LOANS!$B:$B,B239,LOANS!$D:$D)+E239),"")</f>
        <v/>
      </c>
      <c r="I239" s="30">
        <f>IFERROR(IF(H239="","",SUMIF(LOANS!$B:$B,B239,LOANS!$I:$I)+ABS(PMT(IFERROR(VLOOKUP(B239,LOANS!$B:$G,6,0),12)/100/12,IFERROR(VLOOKUP(B239,LOANS!$B:$H,7,0),12),E239))),"")</f>
        <v/>
      </c>
      <c r="J239" s="26">
        <f>IF(B239="","","Active")</f>
        <v/>
      </c>
    </row>
    <row r="240">
      <c r="A240" s="48">
        <f>IF(B240="","","TU"&amp;TEXT(ROW()-2,"0000"))</f>
        <v/>
      </c>
      <c r="B240" s="49" t="n"/>
      <c r="C240" s="49">
        <f>IFERROR(IF(B240="","",VLOOKUP(B240,DATABASE!A:B,2,0)),"")</f>
        <v/>
      </c>
      <c r="D240" s="49" t="n"/>
      <c r="E240" s="50" t="n"/>
      <c r="F240" s="51">
        <f>IF(B240="","",TODAY())</f>
        <v/>
      </c>
      <c r="G240" s="49" t="n"/>
      <c r="H240" s="50">
        <f>IFERROR(IF(OR(B240="",E240=""),"",SUMIF(LOANS!$B:$B,B240,LOANS!$D:$D)+E240),"")</f>
        <v/>
      </c>
      <c r="I240" s="50">
        <f>IFERROR(IF(H240="","",SUMIF(LOANS!$B:$B,B240,LOANS!$I:$I)+ABS(PMT(IFERROR(VLOOKUP(B240,LOANS!$B:$G,6,0),12)/100/12,IFERROR(VLOOKUP(B240,LOANS!$B:$H,7,0),12),E240))),"")</f>
        <v/>
      </c>
      <c r="J240" s="49">
        <f>IF(B240="","","Active")</f>
        <v/>
      </c>
    </row>
    <row r="241">
      <c r="A241" s="47">
        <f>IF(B241="","","TU"&amp;TEXT(ROW()-2,"0000"))</f>
        <v/>
      </c>
      <c r="B241" s="26" t="n"/>
      <c r="C241" s="26">
        <f>IFERROR(IF(B241="","",VLOOKUP(B241,DATABASE!A:B,2,0)),"")</f>
        <v/>
      </c>
      <c r="D241" s="26" t="n"/>
      <c r="E241" s="30" t="n"/>
      <c r="F241" s="31">
        <f>IF(B241="","",TODAY())</f>
        <v/>
      </c>
      <c r="G241" s="26" t="n"/>
      <c r="H241" s="30">
        <f>IFERROR(IF(OR(B241="",E241=""),"",SUMIF(LOANS!$B:$B,B241,LOANS!$D:$D)+E241),"")</f>
        <v/>
      </c>
      <c r="I241" s="30">
        <f>IFERROR(IF(H241="","",SUMIF(LOANS!$B:$B,B241,LOANS!$I:$I)+ABS(PMT(IFERROR(VLOOKUP(B241,LOANS!$B:$G,6,0),12)/100/12,IFERROR(VLOOKUP(B241,LOANS!$B:$H,7,0),12),E241))),"")</f>
        <v/>
      </c>
      <c r="J241" s="26">
        <f>IF(B241="","","Active")</f>
        <v/>
      </c>
    </row>
    <row r="242">
      <c r="A242" s="48">
        <f>IF(B242="","","TU"&amp;TEXT(ROW()-2,"0000"))</f>
        <v/>
      </c>
      <c r="B242" s="49" t="n"/>
      <c r="C242" s="49">
        <f>IFERROR(IF(B242="","",VLOOKUP(B242,DATABASE!A:B,2,0)),"")</f>
        <v/>
      </c>
      <c r="D242" s="49" t="n"/>
      <c r="E242" s="50" t="n"/>
      <c r="F242" s="51">
        <f>IF(B242="","",TODAY())</f>
        <v/>
      </c>
      <c r="G242" s="49" t="n"/>
      <c r="H242" s="50">
        <f>IFERROR(IF(OR(B242="",E242=""),"",SUMIF(LOANS!$B:$B,B242,LOANS!$D:$D)+E242),"")</f>
        <v/>
      </c>
      <c r="I242" s="50">
        <f>IFERROR(IF(H242="","",SUMIF(LOANS!$B:$B,B242,LOANS!$I:$I)+ABS(PMT(IFERROR(VLOOKUP(B242,LOANS!$B:$G,6,0),12)/100/12,IFERROR(VLOOKUP(B242,LOANS!$B:$H,7,0),12),E242))),"")</f>
        <v/>
      </c>
      <c r="J242" s="49">
        <f>IF(B242="","","Active")</f>
        <v/>
      </c>
    </row>
    <row r="243">
      <c r="A243" s="47">
        <f>IF(B243="","","TU"&amp;TEXT(ROW()-2,"0000"))</f>
        <v/>
      </c>
      <c r="B243" s="26" t="n"/>
      <c r="C243" s="26">
        <f>IFERROR(IF(B243="","",VLOOKUP(B243,DATABASE!A:B,2,0)),"")</f>
        <v/>
      </c>
      <c r="D243" s="26" t="n"/>
      <c r="E243" s="30" t="n"/>
      <c r="F243" s="31">
        <f>IF(B243="","",TODAY())</f>
        <v/>
      </c>
      <c r="G243" s="26" t="n"/>
      <c r="H243" s="30">
        <f>IFERROR(IF(OR(B243="",E243=""),"",SUMIF(LOANS!$B:$B,B243,LOANS!$D:$D)+E243),"")</f>
        <v/>
      </c>
      <c r="I243" s="30">
        <f>IFERROR(IF(H243="","",SUMIF(LOANS!$B:$B,B243,LOANS!$I:$I)+ABS(PMT(IFERROR(VLOOKUP(B243,LOANS!$B:$G,6,0),12)/100/12,IFERROR(VLOOKUP(B243,LOANS!$B:$H,7,0),12),E243))),"")</f>
        <v/>
      </c>
      <c r="J243" s="26">
        <f>IF(B243="","","Active")</f>
        <v/>
      </c>
    </row>
    <row r="244">
      <c r="A244" s="48">
        <f>IF(B244="","","TU"&amp;TEXT(ROW()-2,"0000"))</f>
        <v/>
      </c>
      <c r="B244" s="49" t="n"/>
      <c r="C244" s="49">
        <f>IFERROR(IF(B244="","",VLOOKUP(B244,DATABASE!A:B,2,0)),"")</f>
        <v/>
      </c>
      <c r="D244" s="49" t="n"/>
      <c r="E244" s="50" t="n"/>
      <c r="F244" s="51">
        <f>IF(B244="","",TODAY())</f>
        <v/>
      </c>
      <c r="G244" s="49" t="n"/>
      <c r="H244" s="50">
        <f>IFERROR(IF(OR(B244="",E244=""),"",SUMIF(LOANS!$B:$B,B244,LOANS!$D:$D)+E244),"")</f>
        <v/>
      </c>
      <c r="I244" s="50">
        <f>IFERROR(IF(H244="","",SUMIF(LOANS!$B:$B,B244,LOANS!$I:$I)+ABS(PMT(IFERROR(VLOOKUP(B244,LOANS!$B:$G,6,0),12)/100/12,IFERROR(VLOOKUP(B244,LOANS!$B:$H,7,0),12),E244))),"")</f>
        <v/>
      </c>
      <c r="J244" s="49">
        <f>IF(B244="","","Active")</f>
        <v/>
      </c>
    </row>
    <row r="245">
      <c r="A245" s="47">
        <f>IF(B245="","","TU"&amp;TEXT(ROW()-2,"0000"))</f>
        <v/>
      </c>
      <c r="B245" s="26" t="n"/>
      <c r="C245" s="26">
        <f>IFERROR(IF(B245="","",VLOOKUP(B245,DATABASE!A:B,2,0)),"")</f>
        <v/>
      </c>
      <c r="D245" s="26" t="n"/>
      <c r="E245" s="30" t="n"/>
      <c r="F245" s="31">
        <f>IF(B245="","",TODAY())</f>
        <v/>
      </c>
      <c r="G245" s="26" t="n"/>
      <c r="H245" s="30">
        <f>IFERROR(IF(OR(B245="",E245=""),"",SUMIF(LOANS!$B:$B,B245,LOANS!$D:$D)+E245),"")</f>
        <v/>
      </c>
      <c r="I245" s="30">
        <f>IFERROR(IF(H245="","",SUMIF(LOANS!$B:$B,B245,LOANS!$I:$I)+ABS(PMT(IFERROR(VLOOKUP(B245,LOANS!$B:$G,6,0),12)/100/12,IFERROR(VLOOKUP(B245,LOANS!$B:$H,7,0),12),E245))),"")</f>
        <v/>
      </c>
      <c r="J245" s="26">
        <f>IF(B245="","","Active")</f>
        <v/>
      </c>
    </row>
    <row r="246">
      <c r="A246" s="48">
        <f>IF(B246="","","TU"&amp;TEXT(ROW()-2,"0000"))</f>
        <v/>
      </c>
      <c r="B246" s="49" t="n"/>
      <c r="C246" s="49">
        <f>IFERROR(IF(B246="","",VLOOKUP(B246,DATABASE!A:B,2,0)),"")</f>
        <v/>
      </c>
      <c r="D246" s="49" t="n"/>
      <c r="E246" s="50" t="n"/>
      <c r="F246" s="51">
        <f>IF(B246="","",TODAY())</f>
        <v/>
      </c>
      <c r="G246" s="49" t="n"/>
      <c r="H246" s="50">
        <f>IFERROR(IF(OR(B246="",E246=""),"",SUMIF(LOANS!$B:$B,B246,LOANS!$D:$D)+E246),"")</f>
        <v/>
      </c>
      <c r="I246" s="50">
        <f>IFERROR(IF(H246="","",SUMIF(LOANS!$B:$B,B246,LOANS!$I:$I)+ABS(PMT(IFERROR(VLOOKUP(B246,LOANS!$B:$G,6,0),12)/100/12,IFERROR(VLOOKUP(B246,LOANS!$B:$H,7,0),12),E246))),"")</f>
        <v/>
      </c>
      <c r="J246" s="49">
        <f>IF(B246="","","Active")</f>
        <v/>
      </c>
    </row>
    <row r="247">
      <c r="A247" s="47">
        <f>IF(B247="","","TU"&amp;TEXT(ROW()-2,"0000"))</f>
        <v/>
      </c>
      <c r="B247" s="26" t="n"/>
      <c r="C247" s="26">
        <f>IFERROR(IF(B247="","",VLOOKUP(B247,DATABASE!A:B,2,0)),"")</f>
        <v/>
      </c>
      <c r="D247" s="26" t="n"/>
      <c r="E247" s="30" t="n"/>
      <c r="F247" s="31">
        <f>IF(B247="","",TODAY())</f>
        <v/>
      </c>
      <c r="G247" s="26" t="n"/>
      <c r="H247" s="30">
        <f>IFERROR(IF(OR(B247="",E247=""),"",SUMIF(LOANS!$B:$B,B247,LOANS!$D:$D)+E247),"")</f>
        <v/>
      </c>
      <c r="I247" s="30">
        <f>IFERROR(IF(H247="","",SUMIF(LOANS!$B:$B,B247,LOANS!$I:$I)+ABS(PMT(IFERROR(VLOOKUP(B247,LOANS!$B:$G,6,0),12)/100/12,IFERROR(VLOOKUP(B247,LOANS!$B:$H,7,0),12),E247))),"")</f>
        <v/>
      </c>
      <c r="J247" s="26">
        <f>IF(B247="","","Active")</f>
        <v/>
      </c>
    </row>
    <row r="248">
      <c r="A248" s="48">
        <f>IF(B248="","","TU"&amp;TEXT(ROW()-2,"0000"))</f>
        <v/>
      </c>
      <c r="B248" s="49" t="n"/>
      <c r="C248" s="49">
        <f>IFERROR(IF(B248="","",VLOOKUP(B248,DATABASE!A:B,2,0)),"")</f>
        <v/>
      </c>
      <c r="D248" s="49" t="n"/>
      <c r="E248" s="50" t="n"/>
      <c r="F248" s="51">
        <f>IF(B248="","",TODAY())</f>
        <v/>
      </c>
      <c r="G248" s="49" t="n"/>
      <c r="H248" s="50">
        <f>IFERROR(IF(OR(B248="",E248=""),"",SUMIF(LOANS!$B:$B,B248,LOANS!$D:$D)+E248),"")</f>
        <v/>
      </c>
      <c r="I248" s="50">
        <f>IFERROR(IF(H248="","",SUMIF(LOANS!$B:$B,B248,LOANS!$I:$I)+ABS(PMT(IFERROR(VLOOKUP(B248,LOANS!$B:$G,6,0),12)/100/12,IFERROR(VLOOKUP(B248,LOANS!$B:$H,7,0),12),E248))),"")</f>
        <v/>
      </c>
      <c r="J248" s="49">
        <f>IF(B248="","","Active")</f>
        <v/>
      </c>
    </row>
    <row r="249">
      <c r="A249" s="47">
        <f>IF(B249="","","TU"&amp;TEXT(ROW()-2,"0000"))</f>
        <v/>
      </c>
      <c r="B249" s="26" t="n"/>
      <c r="C249" s="26">
        <f>IFERROR(IF(B249="","",VLOOKUP(B249,DATABASE!A:B,2,0)),"")</f>
        <v/>
      </c>
      <c r="D249" s="26" t="n"/>
      <c r="E249" s="30" t="n"/>
      <c r="F249" s="31">
        <f>IF(B249="","",TODAY())</f>
        <v/>
      </c>
      <c r="G249" s="26" t="n"/>
      <c r="H249" s="30">
        <f>IFERROR(IF(OR(B249="",E249=""),"",SUMIF(LOANS!$B:$B,B249,LOANS!$D:$D)+E249),"")</f>
        <v/>
      </c>
      <c r="I249" s="30">
        <f>IFERROR(IF(H249="","",SUMIF(LOANS!$B:$B,B249,LOANS!$I:$I)+ABS(PMT(IFERROR(VLOOKUP(B249,LOANS!$B:$G,6,0),12)/100/12,IFERROR(VLOOKUP(B249,LOANS!$B:$H,7,0),12),E249))),"")</f>
        <v/>
      </c>
      <c r="J249" s="26">
        <f>IF(B249="","","Active")</f>
        <v/>
      </c>
    </row>
    <row r="250">
      <c r="A250" s="48">
        <f>IF(B250="","","TU"&amp;TEXT(ROW()-2,"0000"))</f>
        <v/>
      </c>
      <c r="B250" s="49" t="n"/>
      <c r="C250" s="49">
        <f>IFERROR(IF(B250="","",VLOOKUP(B250,DATABASE!A:B,2,0)),"")</f>
        <v/>
      </c>
      <c r="D250" s="49" t="n"/>
      <c r="E250" s="50" t="n"/>
      <c r="F250" s="51">
        <f>IF(B250="","",TODAY())</f>
        <v/>
      </c>
      <c r="G250" s="49" t="n"/>
      <c r="H250" s="50">
        <f>IFERROR(IF(OR(B250="",E250=""),"",SUMIF(LOANS!$B:$B,B250,LOANS!$D:$D)+E250),"")</f>
        <v/>
      </c>
      <c r="I250" s="50">
        <f>IFERROR(IF(H250="","",SUMIF(LOANS!$B:$B,B250,LOANS!$I:$I)+ABS(PMT(IFERROR(VLOOKUP(B250,LOANS!$B:$G,6,0),12)/100/12,IFERROR(VLOOKUP(B250,LOANS!$B:$H,7,0),12),E250))),"")</f>
        <v/>
      </c>
      <c r="J250" s="49">
        <f>IF(B250="","","Active")</f>
        <v/>
      </c>
    </row>
    <row r="251">
      <c r="A251" s="47">
        <f>IF(B251="","","TU"&amp;TEXT(ROW()-2,"0000"))</f>
        <v/>
      </c>
      <c r="B251" s="26" t="n"/>
      <c r="C251" s="26">
        <f>IFERROR(IF(B251="","",VLOOKUP(B251,DATABASE!A:B,2,0)),"")</f>
        <v/>
      </c>
      <c r="D251" s="26" t="n"/>
      <c r="E251" s="30" t="n"/>
      <c r="F251" s="31">
        <f>IF(B251="","",TODAY())</f>
        <v/>
      </c>
      <c r="G251" s="26" t="n"/>
      <c r="H251" s="30">
        <f>IFERROR(IF(OR(B251="",E251=""),"",SUMIF(LOANS!$B:$B,B251,LOANS!$D:$D)+E251),"")</f>
        <v/>
      </c>
      <c r="I251" s="30">
        <f>IFERROR(IF(H251="","",SUMIF(LOANS!$B:$B,B251,LOANS!$I:$I)+ABS(PMT(IFERROR(VLOOKUP(B251,LOANS!$B:$G,6,0),12)/100/12,IFERROR(VLOOKUP(B251,LOANS!$B:$H,7,0),12),E251))),"")</f>
        <v/>
      </c>
      <c r="J251" s="26">
        <f>IF(B251="","","Active")</f>
        <v/>
      </c>
    </row>
    <row r="252">
      <c r="A252" s="48">
        <f>IF(B252="","","TU"&amp;TEXT(ROW()-2,"0000"))</f>
        <v/>
      </c>
      <c r="B252" s="49" t="n"/>
      <c r="C252" s="49">
        <f>IFERROR(IF(B252="","",VLOOKUP(B252,DATABASE!A:B,2,0)),"")</f>
        <v/>
      </c>
      <c r="D252" s="49" t="n"/>
      <c r="E252" s="50" t="n"/>
      <c r="F252" s="51">
        <f>IF(B252="","",TODAY())</f>
        <v/>
      </c>
      <c r="G252" s="49" t="n"/>
      <c r="H252" s="50">
        <f>IFERROR(IF(OR(B252="",E252=""),"",SUMIF(LOANS!$B:$B,B252,LOANS!$D:$D)+E252),"")</f>
        <v/>
      </c>
      <c r="I252" s="50">
        <f>IFERROR(IF(H252="","",SUMIF(LOANS!$B:$B,B252,LOANS!$I:$I)+ABS(PMT(IFERROR(VLOOKUP(B252,LOANS!$B:$G,6,0),12)/100/12,IFERROR(VLOOKUP(B252,LOANS!$B:$H,7,0),12),E252))),"")</f>
        <v/>
      </c>
      <c r="J252" s="49">
        <f>IF(B252="","","Active")</f>
        <v/>
      </c>
    </row>
    <row r="253">
      <c r="A253" s="47">
        <f>IF(B253="","","TU"&amp;TEXT(ROW()-2,"0000"))</f>
        <v/>
      </c>
      <c r="B253" s="26" t="n"/>
      <c r="C253" s="26">
        <f>IFERROR(IF(B253="","",VLOOKUP(B253,DATABASE!A:B,2,0)),"")</f>
        <v/>
      </c>
      <c r="D253" s="26" t="n"/>
      <c r="E253" s="30" t="n"/>
      <c r="F253" s="31">
        <f>IF(B253="","",TODAY())</f>
        <v/>
      </c>
      <c r="G253" s="26" t="n"/>
      <c r="H253" s="30">
        <f>IFERROR(IF(OR(B253="",E253=""),"",SUMIF(LOANS!$B:$B,B253,LOANS!$D:$D)+E253),"")</f>
        <v/>
      </c>
      <c r="I253" s="30">
        <f>IFERROR(IF(H253="","",SUMIF(LOANS!$B:$B,B253,LOANS!$I:$I)+ABS(PMT(IFERROR(VLOOKUP(B253,LOANS!$B:$G,6,0),12)/100/12,IFERROR(VLOOKUP(B253,LOANS!$B:$H,7,0),12),E253))),"")</f>
        <v/>
      </c>
      <c r="J253" s="26">
        <f>IF(B253="","","Active")</f>
        <v/>
      </c>
    </row>
    <row r="254">
      <c r="A254" s="48">
        <f>IF(B254="","","TU"&amp;TEXT(ROW()-2,"0000"))</f>
        <v/>
      </c>
      <c r="B254" s="49" t="n"/>
      <c r="C254" s="49">
        <f>IFERROR(IF(B254="","",VLOOKUP(B254,DATABASE!A:B,2,0)),"")</f>
        <v/>
      </c>
      <c r="D254" s="49" t="n"/>
      <c r="E254" s="50" t="n"/>
      <c r="F254" s="51">
        <f>IF(B254="","",TODAY())</f>
        <v/>
      </c>
      <c r="G254" s="49" t="n"/>
      <c r="H254" s="50">
        <f>IFERROR(IF(OR(B254="",E254=""),"",SUMIF(LOANS!$B:$B,B254,LOANS!$D:$D)+E254),"")</f>
        <v/>
      </c>
      <c r="I254" s="50">
        <f>IFERROR(IF(H254="","",SUMIF(LOANS!$B:$B,B254,LOANS!$I:$I)+ABS(PMT(IFERROR(VLOOKUP(B254,LOANS!$B:$G,6,0),12)/100/12,IFERROR(VLOOKUP(B254,LOANS!$B:$H,7,0),12),E254))),"")</f>
        <v/>
      </c>
      <c r="J254" s="49">
        <f>IF(B254="","","Active")</f>
        <v/>
      </c>
    </row>
    <row r="255">
      <c r="A255" s="47">
        <f>IF(B255="","","TU"&amp;TEXT(ROW()-2,"0000"))</f>
        <v/>
      </c>
      <c r="B255" s="26" t="n"/>
      <c r="C255" s="26">
        <f>IFERROR(IF(B255="","",VLOOKUP(B255,DATABASE!A:B,2,0)),"")</f>
        <v/>
      </c>
      <c r="D255" s="26" t="n"/>
      <c r="E255" s="30" t="n"/>
      <c r="F255" s="31">
        <f>IF(B255="","",TODAY())</f>
        <v/>
      </c>
      <c r="G255" s="26" t="n"/>
      <c r="H255" s="30">
        <f>IFERROR(IF(OR(B255="",E255=""),"",SUMIF(LOANS!$B:$B,B255,LOANS!$D:$D)+E255),"")</f>
        <v/>
      </c>
      <c r="I255" s="30">
        <f>IFERROR(IF(H255="","",SUMIF(LOANS!$B:$B,B255,LOANS!$I:$I)+ABS(PMT(IFERROR(VLOOKUP(B255,LOANS!$B:$G,6,0),12)/100/12,IFERROR(VLOOKUP(B255,LOANS!$B:$H,7,0),12),E255))),"")</f>
        <v/>
      </c>
      <c r="J255" s="26">
        <f>IF(B255="","","Active")</f>
        <v/>
      </c>
    </row>
    <row r="256">
      <c r="A256" s="48">
        <f>IF(B256="","","TU"&amp;TEXT(ROW()-2,"0000"))</f>
        <v/>
      </c>
      <c r="B256" s="49" t="n"/>
      <c r="C256" s="49">
        <f>IFERROR(IF(B256="","",VLOOKUP(B256,DATABASE!A:B,2,0)),"")</f>
        <v/>
      </c>
      <c r="D256" s="49" t="n"/>
      <c r="E256" s="50" t="n"/>
      <c r="F256" s="51">
        <f>IF(B256="","",TODAY())</f>
        <v/>
      </c>
      <c r="G256" s="49" t="n"/>
      <c r="H256" s="50">
        <f>IFERROR(IF(OR(B256="",E256=""),"",SUMIF(LOANS!$B:$B,B256,LOANS!$D:$D)+E256),"")</f>
        <v/>
      </c>
      <c r="I256" s="50">
        <f>IFERROR(IF(H256="","",SUMIF(LOANS!$B:$B,B256,LOANS!$I:$I)+ABS(PMT(IFERROR(VLOOKUP(B256,LOANS!$B:$G,6,0),12)/100/12,IFERROR(VLOOKUP(B256,LOANS!$B:$H,7,0),12),E256))),"")</f>
        <v/>
      </c>
      <c r="J256" s="49">
        <f>IF(B256="","","Active")</f>
        <v/>
      </c>
    </row>
    <row r="257">
      <c r="A257" s="47">
        <f>IF(B257="","","TU"&amp;TEXT(ROW()-2,"0000"))</f>
        <v/>
      </c>
      <c r="B257" s="26" t="n"/>
      <c r="C257" s="26">
        <f>IFERROR(IF(B257="","",VLOOKUP(B257,DATABASE!A:B,2,0)),"")</f>
        <v/>
      </c>
      <c r="D257" s="26" t="n"/>
      <c r="E257" s="30" t="n"/>
      <c r="F257" s="31">
        <f>IF(B257="","",TODAY())</f>
        <v/>
      </c>
      <c r="G257" s="26" t="n"/>
      <c r="H257" s="30">
        <f>IFERROR(IF(OR(B257="",E257=""),"",SUMIF(LOANS!$B:$B,B257,LOANS!$D:$D)+E257),"")</f>
        <v/>
      </c>
      <c r="I257" s="30">
        <f>IFERROR(IF(H257="","",SUMIF(LOANS!$B:$B,B257,LOANS!$I:$I)+ABS(PMT(IFERROR(VLOOKUP(B257,LOANS!$B:$G,6,0),12)/100/12,IFERROR(VLOOKUP(B257,LOANS!$B:$H,7,0),12),E257))),"")</f>
        <v/>
      </c>
      <c r="J257" s="26">
        <f>IF(B257="","","Active")</f>
        <v/>
      </c>
    </row>
    <row r="258">
      <c r="A258" s="48">
        <f>IF(B258="","","TU"&amp;TEXT(ROW()-2,"0000"))</f>
        <v/>
      </c>
      <c r="B258" s="49" t="n"/>
      <c r="C258" s="49">
        <f>IFERROR(IF(B258="","",VLOOKUP(B258,DATABASE!A:B,2,0)),"")</f>
        <v/>
      </c>
      <c r="D258" s="49" t="n"/>
      <c r="E258" s="50" t="n"/>
      <c r="F258" s="51">
        <f>IF(B258="","",TODAY())</f>
        <v/>
      </c>
      <c r="G258" s="49" t="n"/>
      <c r="H258" s="50">
        <f>IFERROR(IF(OR(B258="",E258=""),"",SUMIF(LOANS!$B:$B,B258,LOANS!$D:$D)+E258),"")</f>
        <v/>
      </c>
      <c r="I258" s="50">
        <f>IFERROR(IF(H258="","",SUMIF(LOANS!$B:$B,B258,LOANS!$I:$I)+ABS(PMT(IFERROR(VLOOKUP(B258,LOANS!$B:$G,6,0),12)/100/12,IFERROR(VLOOKUP(B258,LOANS!$B:$H,7,0),12),E258))),"")</f>
        <v/>
      </c>
      <c r="J258" s="49">
        <f>IF(B258="","","Active")</f>
        <v/>
      </c>
    </row>
    <row r="259">
      <c r="A259" s="47">
        <f>IF(B259="","","TU"&amp;TEXT(ROW()-2,"0000"))</f>
        <v/>
      </c>
      <c r="B259" s="26" t="n"/>
      <c r="C259" s="26">
        <f>IFERROR(IF(B259="","",VLOOKUP(B259,DATABASE!A:B,2,0)),"")</f>
        <v/>
      </c>
      <c r="D259" s="26" t="n"/>
      <c r="E259" s="30" t="n"/>
      <c r="F259" s="31">
        <f>IF(B259="","",TODAY())</f>
        <v/>
      </c>
      <c r="G259" s="26" t="n"/>
      <c r="H259" s="30">
        <f>IFERROR(IF(OR(B259="",E259=""),"",SUMIF(LOANS!$B:$B,B259,LOANS!$D:$D)+E259),"")</f>
        <v/>
      </c>
      <c r="I259" s="30">
        <f>IFERROR(IF(H259="","",SUMIF(LOANS!$B:$B,B259,LOANS!$I:$I)+ABS(PMT(IFERROR(VLOOKUP(B259,LOANS!$B:$G,6,0),12)/100/12,IFERROR(VLOOKUP(B259,LOANS!$B:$H,7,0),12),E259))),"")</f>
        <v/>
      </c>
      <c r="J259" s="26">
        <f>IF(B259="","","Active")</f>
        <v/>
      </c>
    </row>
    <row r="260">
      <c r="A260" s="48">
        <f>IF(B260="","","TU"&amp;TEXT(ROW()-2,"0000"))</f>
        <v/>
      </c>
      <c r="B260" s="49" t="n"/>
      <c r="C260" s="49">
        <f>IFERROR(IF(B260="","",VLOOKUP(B260,DATABASE!A:B,2,0)),"")</f>
        <v/>
      </c>
      <c r="D260" s="49" t="n"/>
      <c r="E260" s="50" t="n"/>
      <c r="F260" s="51">
        <f>IF(B260="","",TODAY())</f>
        <v/>
      </c>
      <c r="G260" s="49" t="n"/>
      <c r="H260" s="50">
        <f>IFERROR(IF(OR(B260="",E260=""),"",SUMIF(LOANS!$B:$B,B260,LOANS!$D:$D)+E260),"")</f>
        <v/>
      </c>
      <c r="I260" s="50">
        <f>IFERROR(IF(H260="","",SUMIF(LOANS!$B:$B,B260,LOANS!$I:$I)+ABS(PMT(IFERROR(VLOOKUP(B260,LOANS!$B:$G,6,0),12)/100/12,IFERROR(VLOOKUP(B260,LOANS!$B:$H,7,0),12),E260))),"")</f>
        <v/>
      </c>
      <c r="J260" s="49">
        <f>IF(B260="","","Active")</f>
        <v/>
      </c>
    </row>
    <row r="261">
      <c r="A261" s="47">
        <f>IF(B261="","","TU"&amp;TEXT(ROW()-2,"0000"))</f>
        <v/>
      </c>
      <c r="B261" s="26" t="n"/>
      <c r="C261" s="26">
        <f>IFERROR(IF(B261="","",VLOOKUP(B261,DATABASE!A:B,2,0)),"")</f>
        <v/>
      </c>
      <c r="D261" s="26" t="n"/>
      <c r="E261" s="30" t="n"/>
      <c r="F261" s="31">
        <f>IF(B261="","",TODAY())</f>
        <v/>
      </c>
      <c r="G261" s="26" t="n"/>
      <c r="H261" s="30">
        <f>IFERROR(IF(OR(B261="",E261=""),"",SUMIF(LOANS!$B:$B,B261,LOANS!$D:$D)+E261),"")</f>
        <v/>
      </c>
      <c r="I261" s="30">
        <f>IFERROR(IF(H261="","",SUMIF(LOANS!$B:$B,B261,LOANS!$I:$I)+ABS(PMT(IFERROR(VLOOKUP(B261,LOANS!$B:$G,6,0),12)/100/12,IFERROR(VLOOKUP(B261,LOANS!$B:$H,7,0),12),E261))),"")</f>
        <v/>
      </c>
      <c r="J261" s="26">
        <f>IF(B261="","","Active")</f>
        <v/>
      </c>
    </row>
    <row r="262">
      <c r="A262" s="48">
        <f>IF(B262="","","TU"&amp;TEXT(ROW()-2,"0000"))</f>
        <v/>
      </c>
      <c r="B262" s="49" t="n"/>
      <c r="C262" s="49">
        <f>IFERROR(IF(B262="","",VLOOKUP(B262,DATABASE!A:B,2,0)),"")</f>
        <v/>
      </c>
      <c r="D262" s="49" t="n"/>
      <c r="E262" s="50" t="n"/>
      <c r="F262" s="51">
        <f>IF(B262="","",TODAY())</f>
        <v/>
      </c>
      <c r="G262" s="49" t="n"/>
      <c r="H262" s="50">
        <f>IFERROR(IF(OR(B262="",E262=""),"",SUMIF(LOANS!$B:$B,B262,LOANS!$D:$D)+E262),"")</f>
        <v/>
      </c>
      <c r="I262" s="50">
        <f>IFERROR(IF(H262="","",SUMIF(LOANS!$B:$B,B262,LOANS!$I:$I)+ABS(PMT(IFERROR(VLOOKUP(B262,LOANS!$B:$G,6,0),12)/100/12,IFERROR(VLOOKUP(B262,LOANS!$B:$H,7,0),12),E262))),"")</f>
        <v/>
      </c>
      <c r="J262" s="49">
        <f>IF(B262="","","Active")</f>
        <v/>
      </c>
    </row>
    <row r="263">
      <c r="A263" s="47">
        <f>IF(B263="","","TU"&amp;TEXT(ROW()-2,"0000"))</f>
        <v/>
      </c>
      <c r="B263" s="26" t="n"/>
      <c r="C263" s="26">
        <f>IFERROR(IF(B263="","",VLOOKUP(B263,DATABASE!A:B,2,0)),"")</f>
        <v/>
      </c>
      <c r="D263" s="26" t="n"/>
      <c r="E263" s="30" t="n"/>
      <c r="F263" s="31">
        <f>IF(B263="","",TODAY())</f>
        <v/>
      </c>
      <c r="G263" s="26" t="n"/>
      <c r="H263" s="30">
        <f>IFERROR(IF(OR(B263="",E263=""),"",SUMIF(LOANS!$B:$B,B263,LOANS!$D:$D)+E263),"")</f>
        <v/>
      </c>
      <c r="I263" s="30">
        <f>IFERROR(IF(H263="","",SUMIF(LOANS!$B:$B,B263,LOANS!$I:$I)+ABS(PMT(IFERROR(VLOOKUP(B263,LOANS!$B:$G,6,0),12)/100/12,IFERROR(VLOOKUP(B263,LOANS!$B:$H,7,0),12),E263))),"")</f>
        <v/>
      </c>
      <c r="J263" s="26">
        <f>IF(B263="","","Active")</f>
        <v/>
      </c>
    </row>
    <row r="264">
      <c r="A264" s="48">
        <f>IF(B264="","","TU"&amp;TEXT(ROW()-2,"0000"))</f>
        <v/>
      </c>
      <c r="B264" s="49" t="n"/>
      <c r="C264" s="49">
        <f>IFERROR(IF(B264="","",VLOOKUP(B264,DATABASE!A:B,2,0)),"")</f>
        <v/>
      </c>
      <c r="D264" s="49" t="n"/>
      <c r="E264" s="50" t="n"/>
      <c r="F264" s="51">
        <f>IF(B264="","",TODAY())</f>
        <v/>
      </c>
      <c r="G264" s="49" t="n"/>
      <c r="H264" s="50">
        <f>IFERROR(IF(OR(B264="",E264=""),"",SUMIF(LOANS!$B:$B,B264,LOANS!$D:$D)+E264),"")</f>
        <v/>
      </c>
      <c r="I264" s="50">
        <f>IFERROR(IF(H264="","",SUMIF(LOANS!$B:$B,B264,LOANS!$I:$I)+ABS(PMT(IFERROR(VLOOKUP(B264,LOANS!$B:$G,6,0),12)/100/12,IFERROR(VLOOKUP(B264,LOANS!$B:$H,7,0),12),E264))),"")</f>
        <v/>
      </c>
      <c r="J264" s="49">
        <f>IF(B264="","","Active")</f>
        <v/>
      </c>
    </row>
    <row r="265">
      <c r="A265" s="47">
        <f>IF(B265="","","TU"&amp;TEXT(ROW()-2,"0000"))</f>
        <v/>
      </c>
      <c r="B265" s="26" t="n"/>
      <c r="C265" s="26">
        <f>IFERROR(IF(B265="","",VLOOKUP(B265,DATABASE!A:B,2,0)),"")</f>
        <v/>
      </c>
      <c r="D265" s="26" t="n"/>
      <c r="E265" s="30" t="n"/>
      <c r="F265" s="31">
        <f>IF(B265="","",TODAY())</f>
        <v/>
      </c>
      <c r="G265" s="26" t="n"/>
      <c r="H265" s="30">
        <f>IFERROR(IF(OR(B265="",E265=""),"",SUMIF(LOANS!$B:$B,B265,LOANS!$D:$D)+E265),"")</f>
        <v/>
      </c>
      <c r="I265" s="30">
        <f>IFERROR(IF(H265="","",SUMIF(LOANS!$B:$B,B265,LOANS!$I:$I)+ABS(PMT(IFERROR(VLOOKUP(B265,LOANS!$B:$G,6,0),12)/100/12,IFERROR(VLOOKUP(B265,LOANS!$B:$H,7,0),12),E265))),"")</f>
        <v/>
      </c>
      <c r="J265" s="26">
        <f>IF(B265="","","Active")</f>
        <v/>
      </c>
    </row>
    <row r="266">
      <c r="A266" s="48">
        <f>IF(B266="","","TU"&amp;TEXT(ROW()-2,"0000"))</f>
        <v/>
      </c>
      <c r="B266" s="49" t="n"/>
      <c r="C266" s="49">
        <f>IFERROR(IF(B266="","",VLOOKUP(B266,DATABASE!A:B,2,0)),"")</f>
        <v/>
      </c>
      <c r="D266" s="49" t="n"/>
      <c r="E266" s="50" t="n"/>
      <c r="F266" s="51">
        <f>IF(B266="","",TODAY())</f>
        <v/>
      </c>
      <c r="G266" s="49" t="n"/>
      <c r="H266" s="50">
        <f>IFERROR(IF(OR(B266="",E266=""),"",SUMIF(LOANS!$B:$B,B266,LOANS!$D:$D)+E266),"")</f>
        <v/>
      </c>
      <c r="I266" s="50">
        <f>IFERROR(IF(H266="","",SUMIF(LOANS!$B:$B,B266,LOANS!$I:$I)+ABS(PMT(IFERROR(VLOOKUP(B266,LOANS!$B:$G,6,0),12)/100/12,IFERROR(VLOOKUP(B266,LOANS!$B:$H,7,0),12),E266))),"")</f>
        <v/>
      </c>
      <c r="J266" s="49">
        <f>IF(B266="","","Active")</f>
        <v/>
      </c>
    </row>
    <row r="267">
      <c r="A267" s="47">
        <f>IF(B267="","","TU"&amp;TEXT(ROW()-2,"0000"))</f>
        <v/>
      </c>
      <c r="B267" s="26" t="n"/>
      <c r="C267" s="26">
        <f>IFERROR(IF(B267="","",VLOOKUP(B267,DATABASE!A:B,2,0)),"")</f>
        <v/>
      </c>
      <c r="D267" s="26" t="n"/>
      <c r="E267" s="30" t="n"/>
      <c r="F267" s="31">
        <f>IF(B267="","",TODAY())</f>
        <v/>
      </c>
      <c r="G267" s="26" t="n"/>
      <c r="H267" s="30">
        <f>IFERROR(IF(OR(B267="",E267=""),"",SUMIF(LOANS!$B:$B,B267,LOANS!$D:$D)+E267),"")</f>
        <v/>
      </c>
      <c r="I267" s="30">
        <f>IFERROR(IF(H267="","",SUMIF(LOANS!$B:$B,B267,LOANS!$I:$I)+ABS(PMT(IFERROR(VLOOKUP(B267,LOANS!$B:$G,6,0),12)/100/12,IFERROR(VLOOKUP(B267,LOANS!$B:$H,7,0),12),E267))),"")</f>
        <v/>
      </c>
      <c r="J267" s="26">
        <f>IF(B267="","","Active")</f>
        <v/>
      </c>
    </row>
    <row r="268">
      <c r="A268" s="48">
        <f>IF(B268="","","TU"&amp;TEXT(ROW()-2,"0000"))</f>
        <v/>
      </c>
      <c r="B268" s="49" t="n"/>
      <c r="C268" s="49">
        <f>IFERROR(IF(B268="","",VLOOKUP(B268,DATABASE!A:B,2,0)),"")</f>
        <v/>
      </c>
      <c r="D268" s="49" t="n"/>
      <c r="E268" s="50" t="n"/>
      <c r="F268" s="51">
        <f>IF(B268="","",TODAY())</f>
        <v/>
      </c>
      <c r="G268" s="49" t="n"/>
      <c r="H268" s="50">
        <f>IFERROR(IF(OR(B268="",E268=""),"",SUMIF(LOANS!$B:$B,B268,LOANS!$D:$D)+E268),"")</f>
        <v/>
      </c>
      <c r="I268" s="50">
        <f>IFERROR(IF(H268="","",SUMIF(LOANS!$B:$B,B268,LOANS!$I:$I)+ABS(PMT(IFERROR(VLOOKUP(B268,LOANS!$B:$G,6,0),12)/100/12,IFERROR(VLOOKUP(B268,LOANS!$B:$H,7,0),12),E268))),"")</f>
        <v/>
      </c>
      <c r="J268" s="49">
        <f>IF(B268="","","Active")</f>
        <v/>
      </c>
    </row>
    <row r="269">
      <c r="A269" s="47">
        <f>IF(B269="","","TU"&amp;TEXT(ROW()-2,"0000"))</f>
        <v/>
      </c>
      <c r="B269" s="26" t="n"/>
      <c r="C269" s="26">
        <f>IFERROR(IF(B269="","",VLOOKUP(B269,DATABASE!A:B,2,0)),"")</f>
        <v/>
      </c>
      <c r="D269" s="26" t="n"/>
      <c r="E269" s="30" t="n"/>
      <c r="F269" s="31">
        <f>IF(B269="","",TODAY())</f>
        <v/>
      </c>
      <c r="G269" s="26" t="n"/>
      <c r="H269" s="30">
        <f>IFERROR(IF(OR(B269="",E269=""),"",SUMIF(LOANS!$B:$B,B269,LOANS!$D:$D)+E269),"")</f>
        <v/>
      </c>
      <c r="I269" s="30">
        <f>IFERROR(IF(H269="","",SUMIF(LOANS!$B:$B,B269,LOANS!$I:$I)+ABS(PMT(IFERROR(VLOOKUP(B269,LOANS!$B:$G,6,0),12)/100/12,IFERROR(VLOOKUP(B269,LOANS!$B:$H,7,0),12),E269))),"")</f>
        <v/>
      </c>
      <c r="J269" s="26">
        <f>IF(B269="","","Active")</f>
        <v/>
      </c>
    </row>
    <row r="270">
      <c r="A270" s="48">
        <f>IF(B270="","","TU"&amp;TEXT(ROW()-2,"0000"))</f>
        <v/>
      </c>
      <c r="B270" s="49" t="n"/>
      <c r="C270" s="49">
        <f>IFERROR(IF(B270="","",VLOOKUP(B270,DATABASE!A:B,2,0)),"")</f>
        <v/>
      </c>
      <c r="D270" s="49" t="n"/>
      <c r="E270" s="50" t="n"/>
      <c r="F270" s="51">
        <f>IF(B270="","",TODAY())</f>
        <v/>
      </c>
      <c r="G270" s="49" t="n"/>
      <c r="H270" s="50">
        <f>IFERROR(IF(OR(B270="",E270=""),"",SUMIF(LOANS!$B:$B,B270,LOANS!$D:$D)+E270),"")</f>
        <v/>
      </c>
      <c r="I270" s="50">
        <f>IFERROR(IF(H270="","",SUMIF(LOANS!$B:$B,B270,LOANS!$I:$I)+ABS(PMT(IFERROR(VLOOKUP(B270,LOANS!$B:$G,6,0),12)/100/12,IFERROR(VLOOKUP(B270,LOANS!$B:$H,7,0),12),E270))),"")</f>
        <v/>
      </c>
      <c r="J270" s="49">
        <f>IF(B270="","","Active")</f>
        <v/>
      </c>
    </row>
    <row r="271">
      <c r="A271" s="47">
        <f>IF(B271="","","TU"&amp;TEXT(ROW()-2,"0000"))</f>
        <v/>
      </c>
      <c r="B271" s="26" t="n"/>
      <c r="C271" s="26">
        <f>IFERROR(IF(B271="","",VLOOKUP(B271,DATABASE!A:B,2,0)),"")</f>
        <v/>
      </c>
      <c r="D271" s="26" t="n"/>
      <c r="E271" s="30" t="n"/>
      <c r="F271" s="31">
        <f>IF(B271="","",TODAY())</f>
        <v/>
      </c>
      <c r="G271" s="26" t="n"/>
      <c r="H271" s="30">
        <f>IFERROR(IF(OR(B271="",E271=""),"",SUMIF(LOANS!$B:$B,B271,LOANS!$D:$D)+E271),"")</f>
        <v/>
      </c>
      <c r="I271" s="30">
        <f>IFERROR(IF(H271="","",SUMIF(LOANS!$B:$B,B271,LOANS!$I:$I)+ABS(PMT(IFERROR(VLOOKUP(B271,LOANS!$B:$G,6,0),12)/100/12,IFERROR(VLOOKUP(B271,LOANS!$B:$H,7,0),12),E271))),"")</f>
        <v/>
      </c>
      <c r="J271" s="26">
        <f>IF(B271="","","Active")</f>
        <v/>
      </c>
    </row>
    <row r="272">
      <c r="A272" s="48">
        <f>IF(B272="","","TU"&amp;TEXT(ROW()-2,"0000"))</f>
        <v/>
      </c>
      <c r="B272" s="49" t="n"/>
      <c r="C272" s="49">
        <f>IFERROR(IF(B272="","",VLOOKUP(B272,DATABASE!A:B,2,0)),"")</f>
        <v/>
      </c>
      <c r="D272" s="49" t="n"/>
      <c r="E272" s="50" t="n"/>
      <c r="F272" s="51">
        <f>IF(B272="","",TODAY())</f>
        <v/>
      </c>
      <c r="G272" s="49" t="n"/>
      <c r="H272" s="50">
        <f>IFERROR(IF(OR(B272="",E272=""),"",SUMIF(LOANS!$B:$B,B272,LOANS!$D:$D)+E272),"")</f>
        <v/>
      </c>
      <c r="I272" s="50">
        <f>IFERROR(IF(H272="","",SUMIF(LOANS!$B:$B,B272,LOANS!$I:$I)+ABS(PMT(IFERROR(VLOOKUP(B272,LOANS!$B:$G,6,0),12)/100/12,IFERROR(VLOOKUP(B272,LOANS!$B:$H,7,0),12),E272))),"")</f>
        <v/>
      </c>
      <c r="J272" s="49">
        <f>IF(B272="","","Active")</f>
        <v/>
      </c>
    </row>
    <row r="273">
      <c r="A273" s="47">
        <f>IF(B273="","","TU"&amp;TEXT(ROW()-2,"0000"))</f>
        <v/>
      </c>
      <c r="B273" s="26" t="n"/>
      <c r="C273" s="26">
        <f>IFERROR(IF(B273="","",VLOOKUP(B273,DATABASE!A:B,2,0)),"")</f>
        <v/>
      </c>
      <c r="D273" s="26" t="n"/>
      <c r="E273" s="30" t="n"/>
      <c r="F273" s="31">
        <f>IF(B273="","",TODAY())</f>
        <v/>
      </c>
      <c r="G273" s="26" t="n"/>
      <c r="H273" s="30">
        <f>IFERROR(IF(OR(B273="",E273=""),"",SUMIF(LOANS!$B:$B,B273,LOANS!$D:$D)+E273),"")</f>
        <v/>
      </c>
      <c r="I273" s="30">
        <f>IFERROR(IF(H273="","",SUMIF(LOANS!$B:$B,B273,LOANS!$I:$I)+ABS(PMT(IFERROR(VLOOKUP(B273,LOANS!$B:$G,6,0),12)/100/12,IFERROR(VLOOKUP(B273,LOANS!$B:$H,7,0),12),E273))),"")</f>
        <v/>
      </c>
      <c r="J273" s="26">
        <f>IF(B273="","","Active")</f>
        <v/>
      </c>
    </row>
    <row r="274">
      <c r="A274" s="48">
        <f>IF(B274="","","TU"&amp;TEXT(ROW()-2,"0000"))</f>
        <v/>
      </c>
      <c r="B274" s="49" t="n"/>
      <c r="C274" s="49">
        <f>IFERROR(IF(B274="","",VLOOKUP(B274,DATABASE!A:B,2,0)),"")</f>
        <v/>
      </c>
      <c r="D274" s="49" t="n"/>
      <c r="E274" s="50" t="n"/>
      <c r="F274" s="51">
        <f>IF(B274="","",TODAY())</f>
        <v/>
      </c>
      <c r="G274" s="49" t="n"/>
      <c r="H274" s="50">
        <f>IFERROR(IF(OR(B274="",E274=""),"",SUMIF(LOANS!$B:$B,B274,LOANS!$D:$D)+E274),"")</f>
        <v/>
      </c>
      <c r="I274" s="50">
        <f>IFERROR(IF(H274="","",SUMIF(LOANS!$B:$B,B274,LOANS!$I:$I)+ABS(PMT(IFERROR(VLOOKUP(B274,LOANS!$B:$G,6,0),12)/100/12,IFERROR(VLOOKUP(B274,LOANS!$B:$H,7,0),12),E274))),"")</f>
        <v/>
      </c>
      <c r="J274" s="49">
        <f>IF(B274="","","Active")</f>
        <v/>
      </c>
    </row>
    <row r="275">
      <c r="A275" s="47">
        <f>IF(B275="","","TU"&amp;TEXT(ROW()-2,"0000"))</f>
        <v/>
      </c>
      <c r="B275" s="26" t="n"/>
      <c r="C275" s="26">
        <f>IFERROR(IF(B275="","",VLOOKUP(B275,DATABASE!A:B,2,0)),"")</f>
        <v/>
      </c>
      <c r="D275" s="26" t="n"/>
      <c r="E275" s="30" t="n"/>
      <c r="F275" s="31">
        <f>IF(B275="","",TODAY())</f>
        <v/>
      </c>
      <c r="G275" s="26" t="n"/>
      <c r="H275" s="30">
        <f>IFERROR(IF(OR(B275="",E275=""),"",SUMIF(LOANS!$B:$B,B275,LOANS!$D:$D)+E275),"")</f>
        <v/>
      </c>
      <c r="I275" s="30">
        <f>IFERROR(IF(H275="","",SUMIF(LOANS!$B:$B,B275,LOANS!$I:$I)+ABS(PMT(IFERROR(VLOOKUP(B275,LOANS!$B:$G,6,0),12)/100/12,IFERROR(VLOOKUP(B275,LOANS!$B:$H,7,0),12),E275))),"")</f>
        <v/>
      </c>
      <c r="J275" s="26">
        <f>IF(B275="","","Active")</f>
        <v/>
      </c>
    </row>
    <row r="276">
      <c r="A276" s="48">
        <f>IF(B276="","","TU"&amp;TEXT(ROW()-2,"0000"))</f>
        <v/>
      </c>
      <c r="B276" s="49" t="n"/>
      <c r="C276" s="49">
        <f>IFERROR(IF(B276="","",VLOOKUP(B276,DATABASE!A:B,2,0)),"")</f>
        <v/>
      </c>
      <c r="D276" s="49" t="n"/>
      <c r="E276" s="50" t="n"/>
      <c r="F276" s="51">
        <f>IF(B276="","",TODAY())</f>
        <v/>
      </c>
      <c r="G276" s="49" t="n"/>
      <c r="H276" s="50">
        <f>IFERROR(IF(OR(B276="",E276=""),"",SUMIF(LOANS!$B:$B,B276,LOANS!$D:$D)+E276),"")</f>
        <v/>
      </c>
      <c r="I276" s="50">
        <f>IFERROR(IF(H276="","",SUMIF(LOANS!$B:$B,B276,LOANS!$I:$I)+ABS(PMT(IFERROR(VLOOKUP(B276,LOANS!$B:$G,6,0),12)/100/12,IFERROR(VLOOKUP(B276,LOANS!$B:$H,7,0),12),E276))),"")</f>
        <v/>
      </c>
      <c r="J276" s="49">
        <f>IF(B276="","","Active")</f>
        <v/>
      </c>
    </row>
    <row r="277">
      <c r="A277" s="47">
        <f>IF(B277="","","TU"&amp;TEXT(ROW()-2,"0000"))</f>
        <v/>
      </c>
      <c r="B277" s="26" t="n"/>
      <c r="C277" s="26">
        <f>IFERROR(IF(B277="","",VLOOKUP(B277,DATABASE!A:B,2,0)),"")</f>
        <v/>
      </c>
      <c r="D277" s="26" t="n"/>
      <c r="E277" s="30" t="n"/>
      <c r="F277" s="31">
        <f>IF(B277="","",TODAY())</f>
        <v/>
      </c>
      <c r="G277" s="26" t="n"/>
      <c r="H277" s="30">
        <f>IFERROR(IF(OR(B277="",E277=""),"",SUMIF(LOANS!$B:$B,B277,LOANS!$D:$D)+E277),"")</f>
        <v/>
      </c>
      <c r="I277" s="30">
        <f>IFERROR(IF(H277="","",SUMIF(LOANS!$B:$B,B277,LOANS!$I:$I)+ABS(PMT(IFERROR(VLOOKUP(B277,LOANS!$B:$G,6,0),12)/100/12,IFERROR(VLOOKUP(B277,LOANS!$B:$H,7,0),12),E277))),"")</f>
        <v/>
      </c>
      <c r="J277" s="26">
        <f>IF(B277="","","Active")</f>
        <v/>
      </c>
    </row>
    <row r="278">
      <c r="A278" s="48">
        <f>IF(B278="","","TU"&amp;TEXT(ROW()-2,"0000"))</f>
        <v/>
      </c>
      <c r="B278" s="49" t="n"/>
      <c r="C278" s="49">
        <f>IFERROR(IF(B278="","",VLOOKUP(B278,DATABASE!A:B,2,0)),"")</f>
        <v/>
      </c>
      <c r="D278" s="49" t="n"/>
      <c r="E278" s="50" t="n"/>
      <c r="F278" s="51">
        <f>IF(B278="","",TODAY())</f>
        <v/>
      </c>
      <c r="G278" s="49" t="n"/>
      <c r="H278" s="50">
        <f>IFERROR(IF(OR(B278="",E278=""),"",SUMIF(LOANS!$B:$B,B278,LOANS!$D:$D)+E278),"")</f>
        <v/>
      </c>
      <c r="I278" s="50">
        <f>IFERROR(IF(H278="","",SUMIF(LOANS!$B:$B,B278,LOANS!$I:$I)+ABS(PMT(IFERROR(VLOOKUP(B278,LOANS!$B:$G,6,0),12)/100/12,IFERROR(VLOOKUP(B278,LOANS!$B:$H,7,0),12),E278))),"")</f>
        <v/>
      </c>
      <c r="J278" s="49">
        <f>IF(B278="","","Active")</f>
        <v/>
      </c>
    </row>
    <row r="279">
      <c r="A279" s="47">
        <f>IF(B279="","","TU"&amp;TEXT(ROW()-2,"0000"))</f>
        <v/>
      </c>
      <c r="B279" s="26" t="n"/>
      <c r="C279" s="26">
        <f>IFERROR(IF(B279="","",VLOOKUP(B279,DATABASE!A:B,2,0)),"")</f>
        <v/>
      </c>
      <c r="D279" s="26" t="n"/>
      <c r="E279" s="30" t="n"/>
      <c r="F279" s="31">
        <f>IF(B279="","",TODAY())</f>
        <v/>
      </c>
      <c r="G279" s="26" t="n"/>
      <c r="H279" s="30">
        <f>IFERROR(IF(OR(B279="",E279=""),"",SUMIF(LOANS!$B:$B,B279,LOANS!$D:$D)+E279),"")</f>
        <v/>
      </c>
      <c r="I279" s="30">
        <f>IFERROR(IF(H279="","",SUMIF(LOANS!$B:$B,B279,LOANS!$I:$I)+ABS(PMT(IFERROR(VLOOKUP(B279,LOANS!$B:$G,6,0),12)/100/12,IFERROR(VLOOKUP(B279,LOANS!$B:$H,7,0),12),E279))),"")</f>
        <v/>
      </c>
      <c r="J279" s="26">
        <f>IF(B279="","","Active")</f>
        <v/>
      </c>
    </row>
    <row r="280">
      <c r="A280" s="48">
        <f>IF(B280="","","TU"&amp;TEXT(ROW()-2,"0000"))</f>
        <v/>
      </c>
      <c r="B280" s="49" t="n"/>
      <c r="C280" s="49">
        <f>IFERROR(IF(B280="","",VLOOKUP(B280,DATABASE!A:B,2,0)),"")</f>
        <v/>
      </c>
      <c r="D280" s="49" t="n"/>
      <c r="E280" s="50" t="n"/>
      <c r="F280" s="51">
        <f>IF(B280="","",TODAY())</f>
        <v/>
      </c>
      <c r="G280" s="49" t="n"/>
      <c r="H280" s="50">
        <f>IFERROR(IF(OR(B280="",E280=""),"",SUMIF(LOANS!$B:$B,B280,LOANS!$D:$D)+E280),"")</f>
        <v/>
      </c>
      <c r="I280" s="50">
        <f>IFERROR(IF(H280="","",SUMIF(LOANS!$B:$B,B280,LOANS!$I:$I)+ABS(PMT(IFERROR(VLOOKUP(B280,LOANS!$B:$G,6,0),12)/100/12,IFERROR(VLOOKUP(B280,LOANS!$B:$H,7,0),12),E280))),"")</f>
        <v/>
      </c>
      <c r="J280" s="49">
        <f>IF(B280="","","Active")</f>
        <v/>
      </c>
    </row>
    <row r="281">
      <c r="A281" s="47">
        <f>IF(B281="","","TU"&amp;TEXT(ROW()-2,"0000"))</f>
        <v/>
      </c>
      <c r="B281" s="26" t="n"/>
      <c r="C281" s="26">
        <f>IFERROR(IF(B281="","",VLOOKUP(B281,DATABASE!A:B,2,0)),"")</f>
        <v/>
      </c>
      <c r="D281" s="26" t="n"/>
      <c r="E281" s="30" t="n"/>
      <c r="F281" s="31">
        <f>IF(B281="","",TODAY())</f>
        <v/>
      </c>
      <c r="G281" s="26" t="n"/>
      <c r="H281" s="30">
        <f>IFERROR(IF(OR(B281="",E281=""),"",SUMIF(LOANS!$B:$B,B281,LOANS!$D:$D)+E281),"")</f>
        <v/>
      </c>
      <c r="I281" s="30">
        <f>IFERROR(IF(H281="","",SUMIF(LOANS!$B:$B,B281,LOANS!$I:$I)+ABS(PMT(IFERROR(VLOOKUP(B281,LOANS!$B:$G,6,0),12)/100/12,IFERROR(VLOOKUP(B281,LOANS!$B:$H,7,0),12),E281))),"")</f>
        <v/>
      </c>
      <c r="J281" s="26">
        <f>IF(B281="","","Active")</f>
        <v/>
      </c>
    </row>
    <row r="282">
      <c r="A282" s="48">
        <f>IF(B282="","","TU"&amp;TEXT(ROW()-2,"0000"))</f>
        <v/>
      </c>
      <c r="B282" s="49" t="n"/>
      <c r="C282" s="49">
        <f>IFERROR(IF(B282="","",VLOOKUP(B282,DATABASE!A:B,2,0)),"")</f>
        <v/>
      </c>
      <c r="D282" s="49" t="n"/>
      <c r="E282" s="50" t="n"/>
      <c r="F282" s="51">
        <f>IF(B282="","",TODAY())</f>
        <v/>
      </c>
      <c r="G282" s="49" t="n"/>
      <c r="H282" s="50">
        <f>IFERROR(IF(OR(B282="",E282=""),"",SUMIF(LOANS!$B:$B,B282,LOANS!$D:$D)+E282),"")</f>
        <v/>
      </c>
      <c r="I282" s="50">
        <f>IFERROR(IF(H282="","",SUMIF(LOANS!$B:$B,B282,LOANS!$I:$I)+ABS(PMT(IFERROR(VLOOKUP(B282,LOANS!$B:$G,6,0),12)/100/12,IFERROR(VLOOKUP(B282,LOANS!$B:$H,7,0),12),E282))),"")</f>
        <v/>
      </c>
      <c r="J282" s="49">
        <f>IF(B282="","","Active")</f>
        <v/>
      </c>
    </row>
    <row r="283">
      <c r="A283" s="47">
        <f>IF(B283="","","TU"&amp;TEXT(ROW()-2,"0000"))</f>
        <v/>
      </c>
      <c r="B283" s="26" t="n"/>
      <c r="C283" s="26">
        <f>IFERROR(IF(B283="","",VLOOKUP(B283,DATABASE!A:B,2,0)),"")</f>
        <v/>
      </c>
      <c r="D283" s="26" t="n"/>
      <c r="E283" s="30" t="n"/>
      <c r="F283" s="31">
        <f>IF(B283="","",TODAY())</f>
        <v/>
      </c>
      <c r="G283" s="26" t="n"/>
      <c r="H283" s="30">
        <f>IFERROR(IF(OR(B283="",E283=""),"",SUMIF(LOANS!$B:$B,B283,LOANS!$D:$D)+E283),"")</f>
        <v/>
      </c>
      <c r="I283" s="30">
        <f>IFERROR(IF(H283="","",SUMIF(LOANS!$B:$B,B283,LOANS!$I:$I)+ABS(PMT(IFERROR(VLOOKUP(B283,LOANS!$B:$G,6,0),12)/100/12,IFERROR(VLOOKUP(B283,LOANS!$B:$H,7,0),12),E283))),"")</f>
        <v/>
      </c>
      <c r="J283" s="26">
        <f>IF(B283="","","Active")</f>
        <v/>
      </c>
    </row>
    <row r="284">
      <c r="A284" s="48">
        <f>IF(B284="","","TU"&amp;TEXT(ROW()-2,"0000"))</f>
        <v/>
      </c>
      <c r="B284" s="49" t="n"/>
      <c r="C284" s="49">
        <f>IFERROR(IF(B284="","",VLOOKUP(B284,DATABASE!A:B,2,0)),"")</f>
        <v/>
      </c>
      <c r="D284" s="49" t="n"/>
      <c r="E284" s="50" t="n"/>
      <c r="F284" s="51">
        <f>IF(B284="","",TODAY())</f>
        <v/>
      </c>
      <c r="G284" s="49" t="n"/>
      <c r="H284" s="50">
        <f>IFERROR(IF(OR(B284="",E284=""),"",SUMIF(LOANS!$B:$B,B284,LOANS!$D:$D)+E284),"")</f>
        <v/>
      </c>
      <c r="I284" s="50">
        <f>IFERROR(IF(H284="","",SUMIF(LOANS!$B:$B,B284,LOANS!$I:$I)+ABS(PMT(IFERROR(VLOOKUP(B284,LOANS!$B:$G,6,0),12)/100/12,IFERROR(VLOOKUP(B284,LOANS!$B:$H,7,0),12),E284))),"")</f>
        <v/>
      </c>
      <c r="J284" s="49">
        <f>IF(B284="","","Active")</f>
        <v/>
      </c>
    </row>
    <row r="285">
      <c r="A285" s="47">
        <f>IF(B285="","","TU"&amp;TEXT(ROW()-2,"0000"))</f>
        <v/>
      </c>
      <c r="B285" s="26" t="n"/>
      <c r="C285" s="26">
        <f>IFERROR(IF(B285="","",VLOOKUP(B285,DATABASE!A:B,2,0)),"")</f>
        <v/>
      </c>
      <c r="D285" s="26" t="n"/>
      <c r="E285" s="30" t="n"/>
      <c r="F285" s="31">
        <f>IF(B285="","",TODAY())</f>
        <v/>
      </c>
      <c r="G285" s="26" t="n"/>
      <c r="H285" s="30">
        <f>IFERROR(IF(OR(B285="",E285=""),"",SUMIF(LOANS!$B:$B,B285,LOANS!$D:$D)+E285),"")</f>
        <v/>
      </c>
      <c r="I285" s="30">
        <f>IFERROR(IF(H285="","",SUMIF(LOANS!$B:$B,B285,LOANS!$I:$I)+ABS(PMT(IFERROR(VLOOKUP(B285,LOANS!$B:$G,6,0),12)/100/12,IFERROR(VLOOKUP(B285,LOANS!$B:$H,7,0),12),E285))),"")</f>
        <v/>
      </c>
      <c r="J285" s="26">
        <f>IF(B285="","","Active")</f>
        <v/>
      </c>
    </row>
    <row r="286">
      <c r="A286" s="48">
        <f>IF(B286="","","TU"&amp;TEXT(ROW()-2,"0000"))</f>
        <v/>
      </c>
      <c r="B286" s="49" t="n"/>
      <c r="C286" s="49">
        <f>IFERROR(IF(B286="","",VLOOKUP(B286,DATABASE!A:B,2,0)),"")</f>
        <v/>
      </c>
      <c r="D286" s="49" t="n"/>
      <c r="E286" s="50" t="n"/>
      <c r="F286" s="51">
        <f>IF(B286="","",TODAY())</f>
        <v/>
      </c>
      <c r="G286" s="49" t="n"/>
      <c r="H286" s="50">
        <f>IFERROR(IF(OR(B286="",E286=""),"",SUMIF(LOANS!$B:$B,B286,LOANS!$D:$D)+E286),"")</f>
        <v/>
      </c>
      <c r="I286" s="50">
        <f>IFERROR(IF(H286="","",SUMIF(LOANS!$B:$B,B286,LOANS!$I:$I)+ABS(PMT(IFERROR(VLOOKUP(B286,LOANS!$B:$G,6,0),12)/100/12,IFERROR(VLOOKUP(B286,LOANS!$B:$H,7,0),12),E286))),"")</f>
        <v/>
      </c>
      <c r="J286" s="49">
        <f>IF(B286="","","Active")</f>
        <v/>
      </c>
    </row>
    <row r="287">
      <c r="A287" s="47">
        <f>IF(B287="","","TU"&amp;TEXT(ROW()-2,"0000"))</f>
        <v/>
      </c>
      <c r="B287" s="26" t="n"/>
      <c r="C287" s="26">
        <f>IFERROR(IF(B287="","",VLOOKUP(B287,DATABASE!A:B,2,0)),"")</f>
        <v/>
      </c>
      <c r="D287" s="26" t="n"/>
      <c r="E287" s="30" t="n"/>
      <c r="F287" s="31">
        <f>IF(B287="","",TODAY())</f>
        <v/>
      </c>
      <c r="G287" s="26" t="n"/>
      <c r="H287" s="30">
        <f>IFERROR(IF(OR(B287="",E287=""),"",SUMIF(LOANS!$B:$B,B287,LOANS!$D:$D)+E287),"")</f>
        <v/>
      </c>
      <c r="I287" s="30">
        <f>IFERROR(IF(H287="","",SUMIF(LOANS!$B:$B,B287,LOANS!$I:$I)+ABS(PMT(IFERROR(VLOOKUP(B287,LOANS!$B:$G,6,0),12)/100/12,IFERROR(VLOOKUP(B287,LOANS!$B:$H,7,0),12),E287))),"")</f>
        <v/>
      </c>
      <c r="J287" s="26">
        <f>IF(B287="","","Active")</f>
        <v/>
      </c>
    </row>
    <row r="288">
      <c r="A288" s="48">
        <f>IF(B288="","","TU"&amp;TEXT(ROW()-2,"0000"))</f>
        <v/>
      </c>
      <c r="B288" s="49" t="n"/>
      <c r="C288" s="49">
        <f>IFERROR(IF(B288="","",VLOOKUP(B288,DATABASE!A:B,2,0)),"")</f>
        <v/>
      </c>
      <c r="D288" s="49" t="n"/>
      <c r="E288" s="50" t="n"/>
      <c r="F288" s="51">
        <f>IF(B288="","",TODAY())</f>
        <v/>
      </c>
      <c r="G288" s="49" t="n"/>
      <c r="H288" s="50">
        <f>IFERROR(IF(OR(B288="",E288=""),"",SUMIF(LOANS!$B:$B,B288,LOANS!$D:$D)+E288),"")</f>
        <v/>
      </c>
      <c r="I288" s="50">
        <f>IFERROR(IF(H288="","",SUMIF(LOANS!$B:$B,B288,LOANS!$I:$I)+ABS(PMT(IFERROR(VLOOKUP(B288,LOANS!$B:$G,6,0),12)/100/12,IFERROR(VLOOKUP(B288,LOANS!$B:$H,7,0),12),E288))),"")</f>
        <v/>
      </c>
      <c r="J288" s="49">
        <f>IF(B288="","","Active")</f>
        <v/>
      </c>
    </row>
    <row r="289">
      <c r="A289" s="47">
        <f>IF(B289="","","TU"&amp;TEXT(ROW()-2,"0000"))</f>
        <v/>
      </c>
      <c r="B289" s="26" t="n"/>
      <c r="C289" s="26">
        <f>IFERROR(IF(B289="","",VLOOKUP(B289,DATABASE!A:B,2,0)),"")</f>
        <v/>
      </c>
      <c r="D289" s="26" t="n"/>
      <c r="E289" s="30" t="n"/>
      <c r="F289" s="31">
        <f>IF(B289="","",TODAY())</f>
        <v/>
      </c>
      <c r="G289" s="26" t="n"/>
      <c r="H289" s="30">
        <f>IFERROR(IF(OR(B289="",E289=""),"",SUMIF(LOANS!$B:$B,B289,LOANS!$D:$D)+E289),"")</f>
        <v/>
      </c>
      <c r="I289" s="30">
        <f>IFERROR(IF(H289="","",SUMIF(LOANS!$B:$B,B289,LOANS!$I:$I)+ABS(PMT(IFERROR(VLOOKUP(B289,LOANS!$B:$G,6,0),12)/100/12,IFERROR(VLOOKUP(B289,LOANS!$B:$H,7,0),12),E289))),"")</f>
        <v/>
      </c>
      <c r="J289" s="26">
        <f>IF(B289="","","Active")</f>
        <v/>
      </c>
    </row>
    <row r="290">
      <c r="A290" s="48">
        <f>IF(B290="","","TU"&amp;TEXT(ROW()-2,"0000"))</f>
        <v/>
      </c>
      <c r="B290" s="49" t="n"/>
      <c r="C290" s="49">
        <f>IFERROR(IF(B290="","",VLOOKUP(B290,DATABASE!A:B,2,0)),"")</f>
        <v/>
      </c>
      <c r="D290" s="49" t="n"/>
      <c r="E290" s="50" t="n"/>
      <c r="F290" s="51">
        <f>IF(B290="","",TODAY())</f>
        <v/>
      </c>
      <c r="G290" s="49" t="n"/>
      <c r="H290" s="50">
        <f>IFERROR(IF(OR(B290="",E290=""),"",SUMIF(LOANS!$B:$B,B290,LOANS!$D:$D)+E290),"")</f>
        <v/>
      </c>
      <c r="I290" s="50">
        <f>IFERROR(IF(H290="","",SUMIF(LOANS!$B:$B,B290,LOANS!$I:$I)+ABS(PMT(IFERROR(VLOOKUP(B290,LOANS!$B:$G,6,0),12)/100/12,IFERROR(VLOOKUP(B290,LOANS!$B:$H,7,0),12),E290))),"")</f>
        <v/>
      </c>
      <c r="J290" s="49">
        <f>IF(B290="","","Active")</f>
        <v/>
      </c>
    </row>
    <row r="291">
      <c r="A291" s="47">
        <f>IF(B291="","","TU"&amp;TEXT(ROW()-2,"0000"))</f>
        <v/>
      </c>
      <c r="B291" s="26" t="n"/>
      <c r="C291" s="26">
        <f>IFERROR(IF(B291="","",VLOOKUP(B291,DATABASE!A:B,2,0)),"")</f>
        <v/>
      </c>
      <c r="D291" s="26" t="n"/>
      <c r="E291" s="30" t="n"/>
      <c r="F291" s="31">
        <f>IF(B291="","",TODAY())</f>
        <v/>
      </c>
      <c r="G291" s="26" t="n"/>
      <c r="H291" s="30">
        <f>IFERROR(IF(OR(B291="",E291=""),"",SUMIF(LOANS!$B:$B,B291,LOANS!$D:$D)+E291),"")</f>
        <v/>
      </c>
      <c r="I291" s="30">
        <f>IFERROR(IF(H291="","",SUMIF(LOANS!$B:$B,B291,LOANS!$I:$I)+ABS(PMT(IFERROR(VLOOKUP(B291,LOANS!$B:$G,6,0),12)/100/12,IFERROR(VLOOKUP(B291,LOANS!$B:$H,7,0),12),E291))),"")</f>
        <v/>
      </c>
      <c r="J291" s="26">
        <f>IF(B291="","","Active")</f>
        <v/>
      </c>
    </row>
    <row r="292">
      <c r="A292" s="48">
        <f>IF(B292="","","TU"&amp;TEXT(ROW()-2,"0000"))</f>
        <v/>
      </c>
      <c r="B292" s="49" t="n"/>
      <c r="C292" s="49">
        <f>IFERROR(IF(B292="","",VLOOKUP(B292,DATABASE!A:B,2,0)),"")</f>
        <v/>
      </c>
      <c r="D292" s="49" t="n"/>
      <c r="E292" s="50" t="n"/>
      <c r="F292" s="51">
        <f>IF(B292="","",TODAY())</f>
        <v/>
      </c>
      <c r="G292" s="49" t="n"/>
      <c r="H292" s="50">
        <f>IFERROR(IF(OR(B292="",E292=""),"",SUMIF(LOANS!$B:$B,B292,LOANS!$D:$D)+E292),"")</f>
        <v/>
      </c>
      <c r="I292" s="50">
        <f>IFERROR(IF(H292="","",SUMIF(LOANS!$B:$B,B292,LOANS!$I:$I)+ABS(PMT(IFERROR(VLOOKUP(B292,LOANS!$B:$G,6,0),12)/100/12,IFERROR(VLOOKUP(B292,LOANS!$B:$H,7,0),12),E292))),"")</f>
        <v/>
      </c>
      <c r="J292" s="49">
        <f>IF(B292="","","Active")</f>
        <v/>
      </c>
    </row>
    <row r="293">
      <c r="A293" s="47">
        <f>IF(B293="","","TU"&amp;TEXT(ROW()-2,"0000"))</f>
        <v/>
      </c>
      <c r="B293" s="26" t="n"/>
      <c r="C293" s="26">
        <f>IFERROR(IF(B293="","",VLOOKUP(B293,DATABASE!A:B,2,0)),"")</f>
        <v/>
      </c>
      <c r="D293" s="26" t="n"/>
      <c r="E293" s="30" t="n"/>
      <c r="F293" s="31">
        <f>IF(B293="","",TODAY())</f>
        <v/>
      </c>
      <c r="G293" s="26" t="n"/>
      <c r="H293" s="30">
        <f>IFERROR(IF(OR(B293="",E293=""),"",SUMIF(LOANS!$B:$B,B293,LOANS!$D:$D)+E293),"")</f>
        <v/>
      </c>
      <c r="I293" s="30">
        <f>IFERROR(IF(H293="","",SUMIF(LOANS!$B:$B,B293,LOANS!$I:$I)+ABS(PMT(IFERROR(VLOOKUP(B293,LOANS!$B:$G,6,0),12)/100/12,IFERROR(VLOOKUP(B293,LOANS!$B:$H,7,0),12),E293))),"")</f>
        <v/>
      </c>
      <c r="J293" s="26">
        <f>IF(B293="","","Active")</f>
        <v/>
      </c>
    </row>
    <row r="294">
      <c r="A294" s="48">
        <f>IF(B294="","","TU"&amp;TEXT(ROW()-2,"0000"))</f>
        <v/>
      </c>
      <c r="B294" s="49" t="n"/>
      <c r="C294" s="49">
        <f>IFERROR(IF(B294="","",VLOOKUP(B294,DATABASE!A:B,2,0)),"")</f>
        <v/>
      </c>
      <c r="D294" s="49" t="n"/>
      <c r="E294" s="50" t="n"/>
      <c r="F294" s="51">
        <f>IF(B294="","",TODAY())</f>
        <v/>
      </c>
      <c r="G294" s="49" t="n"/>
      <c r="H294" s="50">
        <f>IFERROR(IF(OR(B294="",E294=""),"",SUMIF(LOANS!$B:$B,B294,LOANS!$D:$D)+E294),"")</f>
        <v/>
      </c>
      <c r="I294" s="50">
        <f>IFERROR(IF(H294="","",SUMIF(LOANS!$B:$B,B294,LOANS!$I:$I)+ABS(PMT(IFERROR(VLOOKUP(B294,LOANS!$B:$G,6,0),12)/100/12,IFERROR(VLOOKUP(B294,LOANS!$B:$H,7,0),12),E294))),"")</f>
        <v/>
      </c>
      <c r="J294" s="49">
        <f>IF(B294="","","Active")</f>
        <v/>
      </c>
    </row>
    <row r="295">
      <c r="A295" s="47">
        <f>IF(B295="","","TU"&amp;TEXT(ROW()-2,"0000"))</f>
        <v/>
      </c>
      <c r="B295" s="26" t="n"/>
      <c r="C295" s="26">
        <f>IFERROR(IF(B295="","",VLOOKUP(B295,DATABASE!A:B,2,0)),"")</f>
        <v/>
      </c>
      <c r="D295" s="26" t="n"/>
      <c r="E295" s="30" t="n"/>
      <c r="F295" s="31">
        <f>IF(B295="","",TODAY())</f>
        <v/>
      </c>
      <c r="G295" s="26" t="n"/>
      <c r="H295" s="30">
        <f>IFERROR(IF(OR(B295="",E295=""),"",SUMIF(LOANS!$B:$B,B295,LOANS!$D:$D)+E295),"")</f>
        <v/>
      </c>
      <c r="I295" s="30">
        <f>IFERROR(IF(H295="","",SUMIF(LOANS!$B:$B,B295,LOANS!$I:$I)+ABS(PMT(IFERROR(VLOOKUP(B295,LOANS!$B:$G,6,0),12)/100/12,IFERROR(VLOOKUP(B295,LOANS!$B:$H,7,0),12),E295))),"")</f>
        <v/>
      </c>
      <c r="J295" s="26">
        <f>IF(B295="","","Active")</f>
        <v/>
      </c>
    </row>
    <row r="296">
      <c r="A296" s="48">
        <f>IF(B296="","","TU"&amp;TEXT(ROW()-2,"0000"))</f>
        <v/>
      </c>
      <c r="B296" s="49" t="n"/>
      <c r="C296" s="49">
        <f>IFERROR(IF(B296="","",VLOOKUP(B296,DATABASE!A:B,2,0)),"")</f>
        <v/>
      </c>
      <c r="D296" s="49" t="n"/>
      <c r="E296" s="50" t="n"/>
      <c r="F296" s="51">
        <f>IF(B296="","",TODAY())</f>
        <v/>
      </c>
      <c r="G296" s="49" t="n"/>
      <c r="H296" s="50">
        <f>IFERROR(IF(OR(B296="",E296=""),"",SUMIF(LOANS!$B:$B,B296,LOANS!$D:$D)+E296),"")</f>
        <v/>
      </c>
      <c r="I296" s="50">
        <f>IFERROR(IF(H296="","",SUMIF(LOANS!$B:$B,B296,LOANS!$I:$I)+ABS(PMT(IFERROR(VLOOKUP(B296,LOANS!$B:$G,6,0),12)/100/12,IFERROR(VLOOKUP(B296,LOANS!$B:$H,7,0),12),E296))),"")</f>
        <v/>
      </c>
      <c r="J296" s="49">
        <f>IF(B296="","","Active")</f>
        <v/>
      </c>
    </row>
    <row r="297">
      <c r="A297" s="47">
        <f>IF(B297="","","TU"&amp;TEXT(ROW()-2,"0000"))</f>
        <v/>
      </c>
      <c r="B297" s="26" t="n"/>
      <c r="C297" s="26">
        <f>IFERROR(IF(B297="","",VLOOKUP(B297,DATABASE!A:B,2,0)),"")</f>
        <v/>
      </c>
      <c r="D297" s="26" t="n"/>
      <c r="E297" s="30" t="n"/>
      <c r="F297" s="31">
        <f>IF(B297="","",TODAY())</f>
        <v/>
      </c>
      <c r="G297" s="26" t="n"/>
      <c r="H297" s="30">
        <f>IFERROR(IF(OR(B297="",E297=""),"",SUMIF(LOANS!$B:$B,B297,LOANS!$D:$D)+E297),"")</f>
        <v/>
      </c>
      <c r="I297" s="30">
        <f>IFERROR(IF(H297="","",SUMIF(LOANS!$B:$B,B297,LOANS!$I:$I)+ABS(PMT(IFERROR(VLOOKUP(B297,LOANS!$B:$G,6,0),12)/100/12,IFERROR(VLOOKUP(B297,LOANS!$B:$H,7,0),12),E297))),"")</f>
        <v/>
      </c>
      <c r="J297" s="26">
        <f>IF(B297="","","Active")</f>
        <v/>
      </c>
    </row>
    <row r="298">
      <c r="A298" s="48">
        <f>IF(B298="","","TU"&amp;TEXT(ROW()-2,"0000"))</f>
        <v/>
      </c>
      <c r="B298" s="49" t="n"/>
      <c r="C298" s="49">
        <f>IFERROR(IF(B298="","",VLOOKUP(B298,DATABASE!A:B,2,0)),"")</f>
        <v/>
      </c>
      <c r="D298" s="49" t="n"/>
      <c r="E298" s="50" t="n"/>
      <c r="F298" s="51">
        <f>IF(B298="","",TODAY())</f>
        <v/>
      </c>
      <c r="G298" s="49" t="n"/>
      <c r="H298" s="50">
        <f>IFERROR(IF(OR(B298="",E298=""),"",SUMIF(LOANS!$B:$B,B298,LOANS!$D:$D)+E298),"")</f>
        <v/>
      </c>
      <c r="I298" s="50">
        <f>IFERROR(IF(H298="","",SUMIF(LOANS!$B:$B,B298,LOANS!$I:$I)+ABS(PMT(IFERROR(VLOOKUP(B298,LOANS!$B:$G,6,0),12)/100/12,IFERROR(VLOOKUP(B298,LOANS!$B:$H,7,0),12),E298))),"")</f>
        <v/>
      </c>
      <c r="J298" s="49">
        <f>IF(B298="","","Active")</f>
        <v/>
      </c>
    </row>
    <row r="299">
      <c r="A299" s="47">
        <f>IF(B299="","","TU"&amp;TEXT(ROW()-2,"0000"))</f>
        <v/>
      </c>
      <c r="B299" s="26" t="n"/>
      <c r="C299" s="26">
        <f>IFERROR(IF(B299="","",VLOOKUP(B299,DATABASE!A:B,2,0)),"")</f>
        <v/>
      </c>
      <c r="D299" s="26" t="n"/>
      <c r="E299" s="30" t="n"/>
      <c r="F299" s="31">
        <f>IF(B299="","",TODAY())</f>
        <v/>
      </c>
      <c r="G299" s="26" t="n"/>
      <c r="H299" s="30">
        <f>IFERROR(IF(OR(B299="",E299=""),"",SUMIF(LOANS!$B:$B,B299,LOANS!$D:$D)+E299),"")</f>
        <v/>
      </c>
      <c r="I299" s="30">
        <f>IFERROR(IF(H299="","",SUMIF(LOANS!$B:$B,B299,LOANS!$I:$I)+ABS(PMT(IFERROR(VLOOKUP(B299,LOANS!$B:$G,6,0),12)/100/12,IFERROR(VLOOKUP(B299,LOANS!$B:$H,7,0),12),E299))),"")</f>
        <v/>
      </c>
      <c r="J299" s="26">
        <f>IF(B299="","","Active")</f>
        <v/>
      </c>
    </row>
    <row r="300">
      <c r="A300" s="48">
        <f>IF(B300="","","TU"&amp;TEXT(ROW()-2,"0000"))</f>
        <v/>
      </c>
      <c r="B300" s="49" t="n"/>
      <c r="C300" s="49">
        <f>IFERROR(IF(B300="","",VLOOKUP(B300,DATABASE!A:B,2,0)),"")</f>
        <v/>
      </c>
      <c r="D300" s="49" t="n"/>
      <c r="E300" s="50" t="n"/>
      <c r="F300" s="51">
        <f>IF(B300="","",TODAY())</f>
        <v/>
      </c>
      <c r="G300" s="49" t="n"/>
      <c r="H300" s="50">
        <f>IFERROR(IF(OR(B300="",E300=""),"",SUMIF(LOANS!$B:$B,B300,LOANS!$D:$D)+E300),"")</f>
        <v/>
      </c>
      <c r="I300" s="50">
        <f>IFERROR(IF(H300="","",SUMIF(LOANS!$B:$B,B300,LOANS!$I:$I)+ABS(PMT(IFERROR(VLOOKUP(B300,LOANS!$B:$G,6,0),12)/100/12,IFERROR(VLOOKUP(B300,LOANS!$B:$H,7,0),12),E300))),"")</f>
        <v/>
      </c>
      <c r="J300" s="49">
        <f>IF(B300="","","Active")</f>
        <v/>
      </c>
    </row>
    <row r="301">
      <c r="A301" s="47">
        <f>IF(B301="","","TU"&amp;TEXT(ROW()-2,"0000"))</f>
        <v/>
      </c>
      <c r="B301" s="26" t="n"/>
      <c r="C301" s="26">
        <f>IFERROR(IF(B301="","",VLOOKUP(B301,DATABASE!A:B,2,0)),"")</f>
        <v/>
      </c>
      <c r="D301" s="26" t="n"/>
      <c r="E301" s="30" t="n"/>
      <c r="F301" s="31">
        <f>IF(B301="","",TODAY())</f>
        <v/>
      </c>
      <c r="G301" s="26" t="n"/>
      <c r="H301" s="30">
        <f>IFERROR(IF(OR(B301="",E301=""),"",SUMIF(LOANS!$B:$B,B301,LOANS!$D:$D)+E301),"")</f>
        <v/>
      </c>
      <c r="I301" s="30">
        <f>IFERROR(IF(H301="","",SUMIF(LOANS!$B:$B,B301,LOANS!$I:$I)+ABS(PMT(IFERROR(VLOOKUP(B301,LOANS!$B:$G,6,0),12)/100/12,IFERROR(VLOOKUP(B301,LOANS!$B:$H,7,0),12),E301))),"")</f>
        <v/>
      </c>
      <c r="J301" s="26">
        <f>IF(B301="","","Active")</f>
        <v/>
      </c>
    </row>
    <row r="302">
      <c r="A302" s="48">
        <f>IF(B302="","","TU"&amp;TEXT(ROW()-2,"0000"))</f>
        <v/>
      </c>
      <c r="B302" s="49" t="n"/>
      <c r="C302" s="49">
        <f>IFERROR(IF(B302="","",VLOOKUP(B302,DATABASE!A:B,2,0)),"")</f>
        <v/>
      </c>
      <c r="D302" s="49" t="n"/>
      <c r="E302" s="50" t="n"/>
      <c r="F302" s="51">
        <f>IF(B302="","",TODAY())</f>
        <v/>
      </c>
      <c r="G302" s="49" t="n"/>
      <c r="H302" s="50">
        <f>IFERROR(IF(OR(B302="",E302=""),"",SUMIF(LOANS!$B:$B,B302,LOANS!$D:$D)+E302),"")</f>
        <v/>
      </c>
      <c r="I302" s="50">
        <f>IFERROR(IF(H302="","",SUMIF(LOANS!$B:$B,B302,LOANS!$I:$I)+ABS(PMT(IFERROR(VLOOKUP(B302,LOANS!$B:$G,6,0),12)/100/12,IFERROR(VLOOKUP(B302,LOANS!$B:$H,7,0),12),E302))),"")</f>
        <v/>
      </c>
      <c r="J302" s="49">
        <f>IF(B302="","","Active")</f>
        <v/>
      </c>
    </row>
    <row r="303">
      <c r="A303" s="47">
        <f>IF(B303="","","TU"&amp;TEXT(ROW()-2,"0000"))</f>
        <v/>
      </c>
      <c r="B303" s="26" t="n"/>
      <c r="C303" s="26">
        <f>IFERROR(IF(B303="","",VLOOKUP(B303,DATABASE!A:B,2,0)),"")</f>
        <v/>
      </c>
      <c r="D303" s="26" t="n"/>
      <c r="E303" s="30" t="n"/>
      <c r="F303" s="31">
        <f>IF(B303="","",TODAY())</f>
        <v/>
      </c>
      <c r="G303" s="26" t="n"/>
      <c r="H303" s="30">
        <f>IFERROR(IF(OR(B303="",E303=""),"",SUMIF(LOANS!$B:$B,B303,LOANS!$D:$D)+E303),"")</f>
        <v/>
      </c>
      <c r="I303" s="30">
        <f>IFERROR(IF(H303="","",SUMIF(LOANS!$B:$B,B303,LOANS!$I:$I)+ABS(PMT(IFERROR(VLOOKUP(B303,LOANS!$B:$G,6,0),12)/100/12,IFERROR(VLOOKUP(B303,LOANS!$B:$H,7,0),12),E303))),"")</f>
        <v/>
      </c>
      <c r="J303" s="26">
        <f>IF(B303="","","Active")</f>
        <v/>
      </c>
    </row>
    <row r="304">
      <c r="A304" s="48">
        <f>IF(B304="","","TU"&amp;TEXT(ROW()-2,"0000"))</f>
        <v/>
      </c>
      <c r="B304" s="49" t="n"/>
      <c r="C304" s="49">
        <f>IFERROR(IF(B304="","",VLOOKUP(B304,DATABASE!A:B,2,0)),"")</f>
        <v/>
      </c>
      <c r="D304" s="49" t="n"/>
      <c r="E304" s="50" t="n"/>
      <c r="F304" s="51">
        <f>IF(B304="","",TODAY())</f>
        <v/>
      </c>
      <c r="G304" s="49" t="n"/>
      <c r="H304" s="50">
        <f>IFERROR(IF(OR(B304="",E304=""),"",SUMIF(LOANS!$B:$B,B304,LOANS!$D:$D)+E304),"")</f>
        <v/>
      </c>
      <c r="I304" s="50">
        <f>IFERROR(IF(H304="","",SUMIF(LOANS!$B:$B,B304,LOANS!$I:$I)+ABS(PMT(IFERROR(VLOOKUP(B304,LOANS!$B:$G,6,0),12)/100/12,IFERROR(VLOOKUP(B304,LOANS!$B:$H,7,0),12),E304))),"")</f>
        <v/>
      </c>
      <c r="J304" s="49">
        <f>IF(B304="","","Active")</f>
        <v/>
      </c>
    </row>
    <row r="305">
      <c r="A305" s="47">
        <f>IF(B305="","","TU"&amp;TEXT(ROW()-2,"0000"))</f>
        <v/>
      </c>
      <c r="B305" s="26" t="n"/>
      <c r="C305" s="26">
        <f>IFERROR(IF(B305="","",VLOOKUP(B305,DATABASE!A:B,2,0)),"")</f>
        <v/>
      </c>
      <c r="D305" s="26" t="n"/>
      <c r="E305" s="30" t="n"/>
      <c r="F305" s="31">
        <f>IF(B305="","",TODAY())</f>
        <v/>
      </c>
      <c r="G305" s="26" t="n"/>
      <c r="H305" s="30">
        <f>IFERROR(IF(OR(B305="",E305=""),"",SUMIF(LOANS!$B:$B,B305,LOANS!$D:$D)+E305),"")</f>
        <v/>
      </c>
      <c r="I305" s="30">
        <f>IFERROR(IF(H305="","",SUMIF(LOANS!$B:$B,B305,LOANS!$I:$I)+ABS(PMT(IFERROR(VLOOKUP(B305,LOANS!$B:$G,6,0),12)/100/12,IFERROR(VLOOKUP(B305,LOANS!$B:$H,7,0),12),E305))),"")</f>
        <v/>
      </c>
      <c r="J305" s="26">
        <f>IF(B305="","","Active")</f>
        <v/>
      </c>
    </row>
    <row r="306">
      <c r="A306" s="48">
        <f>IF(B306="","","TU"&amp;TEXT(ROW()-2,"0000"))</f>
        <v/>
      </c>
      <c r="B306" s="49" t="n"/>
      <c r="C306" s="49">
        <f>IFERROR(IF(B306="","",VLOOKUP(B306,DATABASE!A:B,2,0)),"")</f>
        <v/>
      </c>
      <c r="D306" s="49" t="n"/>
      <c r="E306" s="50" t="n"/>
      <c r="F306" s="51">
        <f>IF(B306="","",TODAY())</f>
        <v/>
      </c>
      <c r="G306" s="49" t="n"/>
      <c r="H306" s="50">
        <f>IFERROR(IF(OR(B306="",E306=""),"",SUMIF(LOANS!$B:$B,B306,LOANS!$D:$D)+E306),"")</f>
        <v/>
      </c>
      <c r="I306" s="50">
        <f>IFERROR(IF(H306="","",SUMIF(LOANS!$B:$B,B306,LOANS!$I:$I)+ABS(PMT(IFERROR(VLOOKUP(B306,LOANS!$B:$G,6,0),12)/100/12,IFERROR(VLOOKUP(B306,LOANS!$B:$H,7,0),12),E306))),"")</f>
        <v/>
      </c>
      <c r="J306" s="49">
        <f>IF(B306="","","Active")</f>
        <v/>
      </c>
    </row>
    <row r="307">
      <c r="A307" s="47">
        <f>IF(B307="","","TU"&amp;TEXT(ROW()-2,"0000"))</f>
        <v/>
      </c>
      <c r="B307" s="26" t="n"/>
      <c r="C307" s="26">
        <f>IFERROR(IF(B307="","",VLOOKUP(B307,DATABASE!A:B,2,0)),"")</f>
        <v/>
      </c>
      <c r="D307" s="26" t="n"/>
      <c r="E307" s="30" t="n"/>
      <c r="F307" s="31">
        <f>IF(B307="","",TODAY())</f>
        <v/>
      </c>
      <c r="G307" s="26" t="n"/>
      <c r="H307" s="30">
        <f>IFERROR(IF(OR(B307="",E307=""),"",SUMIF(LOANS!$B:$B,B307,LOANS!$D:$D)+E307),"")</f>
        <v/>
      </c>
      <c r="I307" s="30">
        <f>IFERROR(IF(H307="","",SUMIF(LOANS!$B:$B,B307,LOANS!$I:$I)+ABS(PMT(IFERROR(VLOOKUP(B307,LOANS!$B:$G,6,0),12)/100/12,IFERROR(VLOOKUP(B307,LOANS!$B:$H,7,0),12),E307))),"")</f>
        <v/>
      </c>
      <c r="J307" s="26">
        <f>IF(B307="","","Active")</f>
        <v/>
      </c>
    </row>
    <row r="308">
      <c r="A308" s="48">
        <f>IF(B308="","","TU"&amp;TEXT(ROW()-2,"0000"))</f>
        <v/>
      </c>
      <c r="B308" s="49" t="n"/>
      <c r="C308" s="49">
        <f>IFERROR(IF(B308="","",VLOOKUP(B308,DATABASE!A:B,2,0)),"")</f>
        <v/>
      </c>
      <c r="D308" s="49" t="n"/>
      <c r="E308" s="50" t="n"/>
      <c r="F308" s="51">
        <f>IF(B308="","",TODAY())</f>
        <v/>
      </c>
      <c r="G308" s="49" t="n"/>
      <c r="H308" s="50">
        <f>IFERROR(IF(OR(B308="",E308=""),"",SUMIF(LOANS!$B:$B,B308,LOANS!$D:$D)+E308),"")</f>
        <v/>
      </c>
      <c r="I308" s="50">
        <f>IFERROR(IF(H308="","",SUMIF(LOANS!$B:$B,B308,LOANS!$I:$I)+ABS(PMT(IFERROR(VLOOKUP(B308,LOANS!$B:$G,6,0),12)/100/12,IFERROR(VLOOKUP(B308,LOANS!$B:$H,7,0),12),E308))),"")</f>
        <v/>
      </c>
      <c r="J308" s="49">
        <f>IF(B308="","","Active")</f>
        <v/>
      </c>
    </row>
    <row r="309">
      <c r="A309" s="47">
        <f>IF(B309="","","TU"&amp;TEXT(ROW()-2,"0000"))</f>
        <v/>
      </c>
      <c r="B309" s="26" t="n"/>
      <c r="C309" s="26">
        <f>IFERROR(IF(B309="","",VLOOKUP(B309,DATABASE!A:B,2,0)),"")</f>
        <v/>
      </c>
      <c r="D309" s="26" t="n"/>
      <c r="E309" s="30" t="n"/>
      <c r="F309" s="31">
        <f>IF(B309="","",TODAY())</f>
        <v/>
      </c>
      <c r="G309" s="26" t="n"/>
      <c r="H309" s="30">
        <f>IFERROR(IF(OR(B309="",E309=""),"",SUMIF(LOANS!$B:$B,B309,LOANS!$D:$D)+E309),"")</f>
        <v/>
      </c>
      <c r="I309" s="30">
        <f>IFERROR(IF(H309="","",SUMIF(LOANS!$B:$B,B309,LOANS!$I:$I)+ABS(PMT(IFERROR(VLOOKUP(B309,LOANS!$B:$G,6,0),12)/100/12,IFERROR(VLOOKUP(B309,LOANS!$B:$H,7,0),12),E309))),"")</f>
        <v/>
      </c>
      <c r="J309" s="26">
        <f>IF(B309="","","Active")</f>
        <v/>
      </c>
    </row>
    <row r="310">
      <c r="A310" s="48">
        <f>IF(B310="","","TU"&amp;TEXT(ROW()-2,"0000"))</f>
        <v/>
      </c>
      <c r="B310" s="49" t="n"/>
      <c r="C310" s="49">
        <f>IFERROR(IF(B310="","",VLOOKUP(B310,DATABASE!A:B,2,0)),"")</f>
        <v/>
      </c>
      <c r="D310" s="49" t="n"/>
      <c r="E310" s="50" t="n"/>
      <c r="F310" s="51">
        <f>IF(B310="","",TODAY())</f>
        <v/>
      </c>
      <c r="G310" s="49" t="n"/>
      <c r="H310" s="50">
        <f>IFERROR(IF(OR(B310="",E310=""),"",SUMIF(LOANS!$B:$B,B310,LOANS!$D:$D)+E310),"")</f>
        <v/>
      </c>
      <c r="I310" s="50">
        <f>IFERROR(IF(H310="","",SUMIF(LOANS!$B:$B,B310,LOANS!$I:$I)+ABS(PMT(IFERROR(VLOOKUP(B310,LOANS!$B:$G,6,0),12)/100/12,IFERROR(VLOOKUP(B310,LOANS!$B:$H,7,0),12),E310))),"")</f>
        <v/>
      </c>
      <c r="J310" s="49">
        <f>IF(B310="","","Active")</f>
        <v/>
      </c>
    </row>
    <row r="311">
      <c r="A311" s="47">
        <f>IF(B311="","","TU"&amp;TEXT(ROW()-2,"0000"))</f>
        <v/>
      </c>
      <c r="B311" s="26" t="n"/>
      <c r="C311" s="26">
        <f>IFERROR(IF(B311="","",VLOOKUP(B311,DATABASE!A:B,2,0)),"")</f>
        <v/>
      </c>
      <c r="D311" s="26" t="n"/>
      <c r="E311" s="30" t="n"/>
      <c r="F311" s="31">
        <f>IF(B311="","",TODAY())</f>
        <v/>
      </c>
      <c r="G311" s="26" t="n"/>
      <c r="H311" s="30">
        <f>IFERROR(IF(OR(B311="",E311=""),"",SUMIF(LOANS!$B:$B,B311,LOANS!$D:$D)+E311),"")</f>
        <v/>
      </c>
      <c r="I311" s="30">
        <f>IFERROR(IF(H311="","",SUMIF(LOANS!$B:$B,B311,LOANS!$I:$I)+ABS(PMT(IFERROR(VLOOKUP(B311,LOANS!$B:$G,6,0),12)/100/12,IFERROR(VLOOKUP(B311,LOANS!$B:$H,7,0),12),E311))),"")</f>
        <v/>
      </c>
      <c r="J311" s="26">
        <f>IF(B311="","","Active")</f>
        <v/>
      </c>
    </row>
    <row r="312">
      <c r="A312" s="48">
        <f>IF(B312="","","TU"&amp;TEXT(ROW()-2,"0000"))</f>
        <v/>
      </c>
      <c r="B312" s="49" t="n"/>
      <c r="C312" s="49">
        <f>IFERROR(IF(B312="","",VLOOKUP(B312,DATABASE!A:B,2,0)),"")</f>
        <v/>
      </c>
      <c r="D312" s="49" t="n"/>
      <c r="E312" s="50" t="n"/>
      <c r="F312" s="51">
        <f>IF(B312="","",TODAY())</f>
        <v/>
      </c>
      <c r="G312" s="49" t="n"/>
      <c r="H312" s="50">
        <f>IFERROR(IF(OR(B312="",E312=""),"",SUMIF(LOANS!$B:$B,B312,LOANS!$D:$D)+E312),"")</f>
        <v/>
      </c>
      <c r="I312" s="50">
        <f>IFERROR(IF(H312="","",SUMIF(LOANS!$B:$B,B312,LOANS!$I:$I)+ABS(PMT(IFERROR(VLOOKUP(B312,LOANS!$B:$G,6,0),12)/100/12,IFERROR(VLOOKUP(B312,LOANS!$B:$H,7,0),12),E312))),"")</f>
        <v/>
      </c>
      <c r="J312" s="49">
        <f>IF(B312="","","Active")</f>
        <v/>
      </c>
    </row>
    <row r="313">
      <c r="A313" s="47">
        <f>IF(B313="","","TU"&amp;TEXT(ROW()-2,"0000"))</f>
        <v/>
      </c>
      <c r="B313" s="26" t="n"/>
      <c r="C313" s="26">
        <f>IFERROR(IF(B313="","",VLOOKUP(B313,DATABASE!A:B,2,0)),"")</f>
        <v/>
      </c>
      <c r="D313" s="26" t="n"/>
      <c r="E313" s="30" t="n"/>
      <c r="F313" s="31">
        <f>IF(B313="","",TODAY())</f>
        <v/>
      </c>
      <c r="G313" s="26" t="n"/>
      <c r="H313" s="30">
        <f>IFERROR(IF(OR(B313="",E313=""),"",SUMIF(LOANS!$B:$B,B313,LOANS!$D:$D)+E313),"")</f>
        <v/>
      </c>
      <c r="I313" s="30">
        <f>IFERROR(IF(H313="","",SUMIF(LOANS!$B:$B,B313,LOANS!$I:$I)+ABS(PMT(IFERROR(VLOOKUP(B313,LOANS!$B:$G,6,0),12)/100/12,IFERROR(VLOOKUP(B313,LOANS!$B:$H,7,0),12),E313))),"")</f>
        <v/>
      </c>
      <c r="J313" s="26">
        <f>IF(B313="","","Active")</f>
        <v/>
      </c>
    </row>
    <row r="314">
      <c r="A314" s="48">
        <f>IF(B314="","","TU"&amp;TEXT(ROW()-2,"0000"))</f>
        <v/>
      </c>
      <c r="B314" s="49" t="n"/>
      <c r="C314" s="49">
        <f>IFERROR(IF(B314="","",VLOOKUP(B314,DATABASE!A:B,2,0)),"")</f>
        <v/>
      </c>
      <c r="D314" s="49" t="n"/>
      <c r="E314" s="50" t="n"/>
      <c r="F314" s="51">
        <f>IF(B314="","",TODAY())</f>
        <v/>
      </c>
      <c r="G314" s="49" t="n"/>
      <c r="H314" s="50">
        <f>IFERROR(IF(OR(B314="",E314=""),"",SUMIF(LOANS!$B:$B,B314,LOANS!$D:$D)+E314),"")</f>
        <v/>
      </c>
      <c r="I314" s="50">
        <f>IFERROR(IF(H314="","",SUMIF(LOANS!$B:$B,B314,LOANS!$I:$I)+ABS(PMT(IFERROR(VLOOKUP(B314,LOANS!$B:$G,6,0),12)/100/12,IFERROR(VLOOKUP(B314,LOANS!$B:$H,7,0),12),E314))),"")</f>
        <v/>
      </c>
      <c r="J314" s="49">
        <f>IF(B314="","","Active")</f>
        <v/>
      </c>
    </row>
    <row r="315">
      <c r="A315" s="47">
        <f>IF(B315="","","TU"&amp;TEXT(ROW()-2,"0000"))</f>
        <v/>
      </c>
      <c r="B315" s="26" t="n"/>
      <c r="C315" s="26">
        <f>IFERROR(IF(B315="","",VLOOKUP(B315,DATABASE!A:B,2,0)),"")</f>
        <v/>
      </c>
      <c r="D315" s="26" t="n"/>
      <c r="E315" s="30" t="n"/>
      <c r="F315" s="31">
        <f>IF(B315="","",TODAY())</f>
        <v/>
      </c>
      <c r="G315" s="26" t="n"/>
      <c r="H315" s="30">
        <f>IFERROR(IF(OR(B315="",E315=""),"",SUMIF(LOANS!$B:$B,B315,LOANS!$D:$D)+E315),"")</f>
        <v/>
      </c>
      <c r="I315" s="30">
        <f>IFERROR(IF(H315="","",SUMIF(LOANS!$B:$B,B315,LOANS!$I:$I)+ABS(PMT(IFERROR(VLOOKUP(B315,LOANS!$B:$G,6,0),12)/100/12,IFERROR(VLOOKUP(B315,LOANS!$B:$H,7,0),12),E315))),"")</f>
        <v/>
      </c>
      <c r="J315" s="26">
        <f>IF(B315="","","Active")</f>
        <v/>
      </c>
    </row>
    <row r="316">
      <c r="A316" s="48">
        <f>IF(B316="","","TU"&amp;TEXT(ROW()-2,"0000"))</f>
        <v/>
      </c>
      <c r="B316" s="49" t="n"/>
      <c r="C316" s="49">
        <f>IFERROR(IF(B316="","",VLOOKUP(B316,DATABASE!A:B,2,0)),"")</f>
        <v/>
      </c>
      <c r="D316" s="49" t="n"/>
      <c r="E316" s="50" t="n"/>
      <c r="F316" s="51">
        <f>IF(B316="","",TODAY())</f>
        <v/>
      </c>
      <c r="G316" s="49" t="n"/>
      <c r="H316" s="50">
        <f>IFERROR(IF(OR(B316="",E316=""),"",SUMIF(LOANS!$B:$B,B316,LOANS!$D:$D)+E316),"")</f>
        <v/>
      </c>
      <c r="I316" s="50">
        <f>IFERROR(IF(H316="","",SUMIF(LOANS!$B:$B,B316,LOANS!$I:$I)+ABS(PMT(IFERROR(VLOOKUP(B316,LOANS!$B:$G,6,0),12)/100/12,IFERROR(VLOOKUP(B316,LOANS!$B:$H,7,0),12),E316))),"")</f>
        <v/>
      </c>
      <c r="J316" s="49">
        <f>IF(B316="","","Active")</f>
        <v/>
      </c>
    </row>
    <row r="317">
      <c r="A317" s="47">
        <f>IF(B317="","","TU"&amp;TEXT(ROW()-2,"0000"))</f>
        <v/>
      </c>
      <c r="B317" s="26" t="n"/>
      <c r="C317" s="26">
        <f>IFERROR(IF(B317="","",VLOOKUP(B317,DATABASE!A:B,2,0)),"")</f>
        <v/>
      </c>
      <c r="D317" s="26" t="n"/>
      <c r="E317" s="30" t="n"/>
      <c r="F317" s="31">
        <f>IF(B317="","",TODAY())</f>
        <v/>
      </c>
      <c r="G317" s="26" t="n"/>
      <c r="H317" s="30">
        <f>IFERROR(IF(OR(B317="",E317=""),"",SUMIF(LOANS!$B:$B,B317,LOANS!$D:$D)+E317),"")</f>
        <v/>
      </c>
      <c r="I317" s="30">
        <f>IFERROR(IF(H317="","",SUMIF(LOANS!$B:$B,B317,LOANS!$I:$I)+ABS(PMT(IFERROR(VLOOKUP(B317,LOANS!$B:$G,6,0),12)/100/12,IFERROR(VLOOKUP(B317,LOANS!$B:$H,7,0),12),E317))),"")</f>
        <v/>
      </c>
      <c r="J317" s="26">
        <f>IF(B317="","","Active")</f>
        <v/>
      </c>
    </row>
    <row r="318">
      <c r="A318" s="48">
        <f>IF(B318="","","TU"&amp;TEXT(ROW()-2,"0000"))</f>
        <v/>
      </c>
      <c r="B318" s="49" t="n"/>
      <c r="C318" s="49">
        <f>IFERROR(IF(B318="","",VLOOKUP(B318,DATABASE!A:B,2,0)),"")</f>
        <v/>
      </c>
      <c r="D318" s="49" t="n"/>
      <c r="E318" s="50" t="n"/>
      <c r="F318" s="51">
        <f>IF(B318="","",TODAY())</f>
        <v/>
      </c>
      <c r="G318" s="49" t="n"/>
      <c r="H318" s="50">
        <f>IFERROR(IF(OR(B318="",E318=""),"",SUMIF(LOANS!$B:$B,B318,LOANS!$D:$D)+E318),"")</f>
        <v/>
      </c>
      <c r="I318" s="50">
        <f>IFERROR(IF(H318="","",SUMIF(LOANS!$B:$B,B318,LOANS!$I:$I)+ABS(PMT(IFERROR(VLOOKUP(B318,LOANS!$B:$G,6,0),12)/100/12,IFERROR(VLOOKUP(B318,LOANS!$B:$H,7,0),12),E318))),"")</f>
        <v/>
      </c>
      <c r="J318" s="49">
        <f>IF(B318="","","Active")</f>
        <v/>
      </c>
    </row>
    <row r="319">
      <c r="A319" s="47">
        <f>IF(B319="","","TU"&amp;TEXT(ROW()-2,"0000"))</f>
        <v/>
      </c>
      <c r="B319" s="26" t="n"/>
      <c r="C319" s="26">
        <f>IFERROR(IF(B319="","",VLOOKUP(B319,DATABASE!A:B,2,0)),"")</f>
        <v/>
      </c>
      <c r="D319" s="26" t="n"/>
      <c r="E319" s="30" t="n"/>
      <c r="F319" s="31">
        <f>IF(B319="","",TODAY())</f>
        <v/>
      </c>
      <c r="G319" s="26" t="n"/>
      <c r="H319" s="30">
        <f>IFERROR(IF(OR(B319="",E319=""),"",SUMIF(LOANS!$B:$B,B319,LOANS!$D:$D)+E319),"")</f>
        <v/>
      </c>
      <c r="I319" s="30">
        <f>IFERROR(IF(H319="","",SUMIF(LOANS!$B:$B,B319,LOANS!$I:$I)+ABS(PMT(IFERROR(VLOOKUP(B319,LOANS!$B:$G,6,0),12)/100/12,IFERROR(VLOOKUP(B319,LOANS!$B:$H,7,0),12),E319))),"")</f>
        <v/>
      </c>
      <c r="J319" s="26">
        <f>IF(B319="","","Active")</f>
        <v/>
      </c>
    </row>
    <row r="320">
      <c r="A320" s="48">
        <f>IF(B320="","","TU"&amp;TEXT(ROW()-2,"0000"))</f>
        <v/>
      </c>
      <c r="B320" s="49" t="n"/>
      <c r="C320" s="49">
        <f>IFERROR(IF(B320="","",VLOOKUP(B320,DATABASE!A:B,2,0)),"")</f>
        <v/>
      </c>
      <c r="D320" s="49" t="n"/>
      <c r="E320" s="50" t="n"/>
      <c r="F320" s="51">
        <f>IF(B320="","",TODAY())</f>
        <v/>
      </c>
      <c r="G320" s="49" t="n"/>
      <c r="H320" s="50">
        <f>IFERROR(IF(OR(B320="",E320=""),"",SUMIF(LOANS!$B:$B,B320,LOANS!$D:$D)+E320),"")</f>
        <v/>
      </c>
      <c r="I320" s="50">
        <f>IFERROR(IF(H320="","",SUMIF(LOANS!$B:$B,B320,LOANS!$I:$I)+ABS(PMT(IFERROR(VLOOKUP(B320,LOANS!$B:$G,6,0),12)/100/12,IFERROR(VLOOKUP(B320,LOANS!$B:$H,7,0),12),E320))),"")</f>
        <v/>
      </c>
      <c r="J320" s="49">
        <f>IF(B320="","","Active")</f>
        <v/>
      </c>
    </row>
    <row r="321">
      <c r="A321" s="47">
        <f>IF(B321="","","TU"&amp;TEXT(ROW()-2,"0000"))</f>
        <v/>
      </c>
      <c r="B321" s="26" t="n"/>
      <c r="C321" s="26">
        <f>IFERROR(IF(B321="","",VLOOKUP(B321,DATABASE!A:B,2,0)),"")</f>
        <v/>
      </c>
      <c r="D321" s="26" t="n"/>
      <c r="E321" s="30" t="n"/>
      <c r="F321" s="31">
        <f>IF(B321="","",TODAY())</f>
        <v/>
      </c>
      <c r="G321" s="26" t="n"/>
      <c r="H321" s="30">
        <f>IFERROR(IF(OR(B321="",E321=""),"",SUMIF(LOANS!$B:$B,B321,LOANS!$D:$D)+E321),"")</f>
        <v/>
      </c>
      <c r="I321" s="30">
        <f>IFERROR(IF(H321="","",SUMIF(LOANS!$B:$B,B321,LOANS!$I:$I)+ABS(PMT(IFERROR(VLOOKUP(B321,LOANS!$B:$G,6,0),12)/100/12,IFERROR(VLOOKUP(B321,LOANS!$B:$H,7,0),12),E321))),"")</f>
        <v/>
      </c>
      <c r="J321" s="26">
        <f>IF(B321="","","Active")</f>
        <v/>
      </c>
    </row>
    <row r="322">
      <c r="A322" s="48">
        <f>IF(B322="","","TU"&amp;TEXT(ROW()-2,"0000"))</f>
        <v/>
      </c>
      <c r="B322" s="49" t="n"/>
      <c r="C322" s="49">
        <f>IFERROR(IF(B322="","",VLOOKUP(B322,DATABASE!A:B,2,0)),"")</f>
        <v/>
      </c>
      <c r="D322" s="49" t="n"/>
      <c r="E322" s="50" t="n"/>
      <c r="F322" s="51">
        <f>IF(B322="","",TODAY())</f>
        <v/>
      </c>
      <c r="G322" s="49" t="n"/>
      <c r="H322" s="50">
        <f>IFERROR(IF(OR(B322="",E322=""),"",SUMIF(LOANS!$B:$B,B322,LOANS!$D:$D)+E322),"")</f>
        <v/>
      </c>
      <c r="I322" s="50">
        <f>IFERROR(IF(H322="","",SUMIF(LOANS!$B:$B,B322,LOANS!$I:$I)+ABS(PMT(IFERROR(VLOOKUP(B322,LOANS!$B:$G,6,0),12)/100/12,IFERROR(VLOOKUP(B322,LOANS!$B:$H,7,0),12),E322))),"")</f>
        <v/>
      </c>
      <c r="J322" s="49">
        <f>IF(B322="","","Active")</f>
        <v/>
      </c>
    </row>
    <row r="323">
      <c r="A323" s="47">
        <f>IF(B323="","","TU"&amp;TEXT(ROW()-2,"0000"))</f>
        <v/>
      </c>
      <c r="B323" s="26" t="n"/>
      <c r="C323" s="26">
        <f>IFERROR(IF(B323="","",VLOOKUP(B323,DATABASE!A:B,2,0)),"")</f>
        <v/>
      </c>
      <c r="D323" s="26" t="n"/>
      <c r="E323" s="30" t="n"/>
      <c r="F323" s="31">
        <f>IF(B323="","",TODAY())</f>
        <v/>
      </c>
      <c r="G323" s="26" t="n"/>
      <c r="H323" s="30">
        <f>IFERROR(IF(OR(B323="",E323=""),"",SUMIF(LOANS!$B:$B,B323,LOANS!$D:$D)+E323),"")</f>
        <v/>
      </c>
      <c r="I323" s="30">
        <f>IFERROR(IF(H323="","",SUMIF(LOANS!$B:$B,B323,LOANS!$I:$I)+ABS(PMT(IFERROR(VLOOKUP(B323,LOANS!$B:$G,6,0),12)/100/12,IFERROR(VLOOKUP(B323,LOANS!$B:$H,7,0),12),E323))),"")</f>
        <v/>
      </c>
      <c r="J323" s="26">
        <f>IF(B323="","","Active")</f>
        <v/>
      </c>
    </row>
    <row r="324">
      <c r="A324" s="48">
        <f>IF(B324="","","TU"&amp;TEXT(ROW()-2,"0000"))</f>
        <v/>
      </c>
      <c r="B324" s="49" t="n"/>
      <c r="C324" s="49">
        <f>IFERROR(IF(B324="","",VLOOKUP(B324,DATABASE!A:B,2,0)),"")</f>
        <v/>
      </c>
      <c r="D324" s="49" t="n"/>
      <c r="E324" s="50" t="n"/>
      <c r="F324" s="51">
        <f>IF(B324="","",TODAY())</f>
        <v/>
      </c>
      <c r="G324" s="49" t="n"/>
      <c r="H324" s="50">
        <f>IFERROR(IF(OR(B324="",E324=""),"",SUMIF(LOANS!$B:$B,B324,LOANS!$D:$D)+E324),"")</f>
        <v/>
      </c>
      <c r="I324" s="50">
        <f>IFERROR(IF(H324="","",SUMIF(LOANS!$B:$B,B324,LOANS!$I:$I)+ABS(PMT(IFERROR(VLOOKUP(B324,LOANS!$B:$G,6,0),12)/100/12,IFERROR(VLOOKUP(B324,LOANS!$B:$H,7,0),12),E324))),"")</f>
        <v/>
      </c>
      <c r="J324" s="49">
        <f>IF(B324="","","Active")</f>
        <v/>
      </c>
    </row>
    <row r="325">
      <c r="A325" s="47">
        <f>IF(B325="","","TU"&amp;TEXT(ROW()-2,"0000"))</f>
        <v/>
      </c>
      <c r="B325" s="26" t="n"/>
      <c r="C325" s="26">
        <f>IFERROR(IF(B325="","",VLOOKUP(B325,DATABASE!A:B,2,0)),"")</f>
        <v/>
      </c>
      <c r="D325" s="26" t="n"/>
      <c r="E325" s="30" t="n"/>
      <c r="F325" s="31">
        <f>IF(B325="","",TODAY())</f>
        <v/>
      </c>
      <c r="G325" s="26" t="n"/>
      <c r="H325" s="30">
        <f>IFERROR(IF(OR(B325="",E325=""),"",SUMIF(LOANS!$B:$B,B325,LOANS!$D:$D)+E325),"")</f>
        <v/>
      </c>
      <c r="I325" s="30">
        <f>IFERROR(IF(H325="","",SUMIF(LOANS!$B:$B,B325,LOANS!$I:$I)+ABS(PMT(IFERROR(VLOOKUP(B325,LOANS!$B:$G,6,0),12)/100/12,IFERROR(VLOOKUP(B325,LOANS!$B:$H,7,0),12),E325))),"")</f>
        <v/>
      </c>
      <c r="J325" s="26">
        <f>IF(B325="","","Active")</f>
        <v/>
      </c>
    </row>
    <row r="326">
      <c r="A326" s="48">
        <f>IF(B326="","","TU"&amp;TEXT(ROW()-2,"0000"))</f>
        <v/>
      </c>
      <c r="B326" s="49" t="n"/>
      <c r="C326" s="49">
        <f>IFERROR(IF(B326="","",VLOOKUP(B326,DATABASE!A:B,2,0)),"")</f>
        <v/>
      </c>
      <c r="D326" s="49" t="n"/>
      <c r="E326" s="50" t="n"/>
      <c r="F326" s="51">
        <f>IF(B326="","",TODAY())</f>
        <v/>
      </c>
      <c r="G326" s="49" t="n"/>
      <c r="H326" s="50">
        <f>IFERROR(IF(OR(B326="",E326=""),"",SUMIF(LOANS!$B:$B,B326,LOANS!$D:$D)+E326),"")</f>
        <v/>
      </c>
      <c r="I326" s="50">
        <f>IFERROR(IF(H326="","",SUMIF(LOANS!$B:$B,B326,LOANS!$I:$I)+ABS(PMT(IFERROR(VLOOKUP(B326,LOANS!$B:$G,6,0),12)/100/12,IFERROR(VLOOKUP(B326,LOANS!$B:$H,7,0),12),E326))),"")</f>
        <v/>
      </c>
      <c r="J326" s="49">
        <f>IF(B326="","","Active")</f>
        <v/>
      </c>
    </row>
    <row r="327">
      <c r="A327" s="47">
        <f>IF(B327="","","TU"&amp;TEXT(ROW()-2,"0000"))</f>
        <v/>
      </c>
      <c r="B327" s="26" t="n"/>
      <c r="C327" s="26">
        <f>IFERROR(IF(B327="","",VLOOKUP(B327,DATABASE!A:B,2,0)),"")</f>
        <v/>
      </c>
      <c r="D327" s="26" t="n"/>
      <c r="E327" s="30" t="n"/>
      <c r="F327" s="31">
        <f>IF(B327="","",TODAY())</f>
        <v/>
      </c>
      <c r="G327" s="26" t="n"/>
      <c r="H327" s="30">
        <f>IFERROR(IF(OR(B327="",E327=""),"",SUMIF(LOANS!$B:$B,B327,LOANS!$D:$D)+E327),"")</f>
        <v/>
      </c>
      <c r="I327" s="30">
        <f>IFERROR(IF(H327="","",SUMIF(LOANS!$B:$B,B327,LOANS!$I:$I)+ABS(PMT(IFERROR(VLOOKUP(B327,LOANS!$B:$G,6,0),12)/100/12,IFERROR(VLOOKUP(B327,LOANS!$B:$H,7,0),12),E327))),"")</f>
        <v/>
      </c>
      <c r="J327" s="26">
        <f>IF(B327="","","Active")</f>
        <v/>
      </c>
    </row>
    <row r="328">
      <c r="A328" s="48">
        <f>IF(B328="","","TU"&amp;TEXT(ROW()-2,"0000"))</f>
        <v/>
      </c>
      <c r="B328" s="49" t="n"/>
      <c r="C328" s="49">
        <f>IFERROR(IF(B328="","",VLOOKUP(B328,DATABASE!A:B,2,0)),"")</f>
        <v/>
      </c>
      <c r="D328" s="49" t="n"/>
      <c r="E328" s="50" t="n"/>
      <c r="F328" s="51">
        <f>IF(B328="","",TODAY())</f>
        <v/>
      </c>
      <c r="G328" s="49" t="n"/>
      <c r="H328" s="50">
        <f>IFERROR(IF(OR(B328="",E328=""),"",SUMIF(LOANS!$B:$B,B328,LOANS!$D:$D)+E328),"")</f>
        <v/>
      </c>
      <c r="I328" s="50">
        <f>IFERROR(IF(H328="","",SUMIF(LOANS!$B:$B,B328,LOANS!$I:$I)+ABS(PMT(IFERROR(VLOOKUP(B328,LOANS!$B:$G,6,0),12)/100/12,IFERROR(VLOOKUP(B328,LOANS!$B:$H,7,0),12),E328))),"")</f>
        <v/>
      </c>
      <c r="J328" s="49">
        <f>IF(B328="","","Active")</f>
        <v/>
      </c>
    </row>
    <row r="329">
      <c r="A329" s="47">
        <f>IF(B329="","","TU"&amp;TEXT(ROW()-2,"0000"))</f>
        <v/>
      </c>
      <c r="B329" s="26" t="n"/>
      <c r="C329" s="26">
        <f>IFERROR(IF(B329="","",VLOOKUP(B329,DATABASE!A:B,2,0)),"")</f>
        <v/>
      </c>
      <c r="D329" s="26" t="n"/>
      <c r="E329" s="30" t="n"/>
      <c r="F329" s="31">
        <f>IF(B329="","",TODAY())</f>
        <v/>
      </c>
      <c r="G329" s="26" t="n"/>
      <c r="H329" s="30">
        <f>IFERROR(IF(OR(B329="",E329=""),"",SUMIF(LOANS!$B:$B,B329,LOANS!$D:$D)+E329),"")</f>
        <v/>
      </c>
      <c r="I329" s="30">
        <f>IFERROR(IF(H329="","",SUMIF(LOANS!$B:$B,B329,LOANS!$I:$I)+ABS(PMT(IFERROR(VLOOKUP(B329,LOANS!$B:$G,6,0),12)/100/12,IFERROR(VLOOKUP(B329,LOANS!$B:$H,7,0),12),E329))),"")</f>
        <v/>
      </c>
      <c r="J329" s="26">
        <f>IF(B329="","","Active")</f>
        <v/>
      </c>
    </row>
    <row r="330">
      <c r="A330" s="48">
        <f>IF(B330="","","TU"&amp;TEXT(ROW()-2,"0000"))</f>
        <v/>
      </c>
      <c r="B330" s="49" t="n"/>
      <c r="C330" s="49">
        <f>IFERROR(IF(B330="","",VLOOKUP(B330,DATABASE!A:B,2,0)),"")</f>
        <v/>
      </c>
      <c r="D330" s="49" t="n"/>
      <c r="E330" s="50" t="n"/>
      <c r="F330" s="51">
        <f>IF(B330="","",TODAY())</f>
        <v/>
      </c>
      <c r="G330" s="49" t="n"/>
      <c r="H330" s="50">
        <f>IFERROR(IF(OR(B330="",E330=""),"",SUMIF(LOANS!$B:$B,B330,LOANS!$D:$D)+E330),"")</f>
        <v/>
      </c>
      <c r="I330" s="50">
        <f>IFERROR(IF(H330="","",SUMIF(LOANS!$B:$B,B330,LOANS!$I:$I)+ABS(PMT(IFERROR(VLOOKUP(B330,LOANS!$B:$G,6,0),12)/100/12,IFERROR(VLOOKUP(B330,LOANS!$B:$H,7,0),12),E330))),"")</f>
        <v/>
      </c>
      <c r="J330" s="49">
        <f>IF(B330="","","Active")</f>
        <v/>
      </c>
    </row>
    <row r="331">
      <c r="A331" s="47">
        <f>IF(B331="","","TU"&amp;TEXT(ROW()-2,"0000"))</f>
        <v/>
      </c>
      <c r="B331" s="26" t="n"/>
      <c r="C331" s="26">
        <f>IFERROR(IF(B331="","",VLOOKUP(B331,DATABASE!A:B,2,0)),"")</f>
        <v/>
      </c>
      <c r="D331" s="26" t="n"/>
      <c r="E331" s="30" t="n"/>
      <c r="F331" s="31">
        <f>IF(B331="","",TODAY())</f>
        <v/>
      </c>
      <c r="G331" s="26" t="n"/>
      <c r="H331" s="30">
        <f>IFERROR(IF(OR(B331="",E331=""),"",SUMIF(LOANS!$B:$B,B331,LOANS!$D:$D)+E331),"")</f>
        <v/>
      </c>
      <c r="I331" s="30">
        <f>IFERROR(IF(H331="","",SUMIF(LOANS!$B:$B,B331,LOANS!$I:$I)+ABS(PMT(IFERROR(VLOOKUP(B331,LOANS!$B:$G,6,0),12)/100/12,IFERROR(VLOOKUP(B331,LOANS!$B:$H,7,0),12),E331))),"")</f>
        <v/>
      </c>
      <c r="J331" s="26">
        <f>IF(B331="","","Active")</f>
        <v/>
      </c>
    </row>
    <row r="332">
      <c r="A332" s="48">
        <f>IF(B332="","","TU"&amp;TEXT(ROW()-2,"0000"))</f>
        <v/>
      </c>
      <c r="B332" s="49" t="n"/>
      <c r="C332" s="49">
        <f>IFERROR(IF(B332="","",VLOOKUP(B332,DATABASE!A:B,2,0)),"")</f>
        <v/>
      </c>
      <c r="D332" s="49" t="n"/>
      <c r="E332" s="50" t="n"/>
      <c r="F332" s="51">
        <f>IF(B332="","",TODAY())</f>
        <v/>
      </c>
      <c r="G332" s="49" t="n"/>
      <c r="H332" s="50">
        <f>IFERROR(IF(OR(B332="",E332=""),"",SUMIF(LOANS!$B:$B,B332,LOANS!$D:$D)+E332),"")</f>
        <v/>
      </c>
      <c r="I332" s="50">
        <f>IFERROR(IF(H332="","",SUMIF(LOANS!$B:$B,B332,LOANS!$I:$I)+ABS(PMT(IFERROR(VLOOKUP(B332,LOANS!$B:$G,6,0),12)/100/12,IFERROR(VLOOKUP(B332,LOANS!$B:$H,7,0),12),E332))),"")</f>
        <v/>
      </c>
      <c r="J332" s="49">
        <f>IF(B332="","","Active")</f>
        <v/>
      </c>
    </row>
    <row r="333">
      <c r="A333" s="47">
        <f>IF(B333="","","TU"&amp;TEXT(ROW()-2,"0000"))</f>
        <v/>
      </c>
      <c r="B333" s="26" t="n"/>
      <c r="C333" s="26">
        <f>IFERROR(IF(B333="","",VLOOKUP(B333,DATABASE!A:B,2,0)),"")</f>
        <v/>
      </c>
      <c r="D333" s="26" t="n"/>
      <c r="E333" s="30" t="n"/>
      <c r="F333" s="31">
        <f>IF(B333="","",TODAY())</f>
        <v/>
      </c>
      <c r="G333" s="26" t="n"/>
      <c r="H333" s="30">
        <f>IFERROR(IF(OR(B333="",E333=""),"",SUMIF(LOANS!$B:$B,B333,LOANS!$D:$D)+E333),"")</f>
        <v/>
      </c>
      <c r="I333" s="30">
        <f>IFERROR(IF(H333="","",SUMIF(LOANS!$B:$B,B333,LOANS!$I:$I)+ABS(PMT(IFERROR(VLOOKUP(B333,LOANS!$B:$G,6,0),12)/100/12,IFERROR(VLOOKUP(B333,LOANS!$B:$H,7,0),12),E333))),"")</f>
        <v/>
      </c>
      <c r="J333" s="26">
        <f>IF(B333="","","Active")</f>
        <v/>
      </c>
    </row>
    <row r="334">
      <c r="A334" s="48">
        <f>IF(B334="","","TU"&amp;TEXT(ROW()-2,"0000"))</f>
        <v/>
      </c>
      <c r="B334" s="49" t="n"/>
      <c r="C334" s="49">
        <f>IFERROR(IF(B334="","",VLOOKUP(B334,DATABASE!A:B,2,0)),"")</f>
        <v/>
      </c>
      <c r="D334" s="49" t="n"/>
      <c r="E334" s="50" t="n"/>
      <c r="F334" s="51">
        <f>IF(B334="","",TODAY())</f>
        <v/>
      </c>
      <c r="G334" s="49" t="n"/>
      <c r="H334" s="50">
        <f>IFERROR(IF(OR(B334="",E334=""),"",SUMIF(LOANS!$B:$B,B334,LOANS!$D:$D)+E334),"")</f>
        <v/>
      </c>
      <c r="I334" s="50">
        <f>IFERROR(IF(H334="","",SUMIF(LOANS!$B:$B,B334,LOANS!$I:$I)+ABS(PMT(IFERROR(VLOOKUP(B334,LOANS!$B:$G,6,0),12)/100/12,IFERROR(VLOOKUP(B334,LOANS!$B:$H,7,0),12),E334))),"")</f>
        <v/>
      </c>
      <c r="J334" s="49">
        <f>IF(B334="","","Active")</f>
        <v/>
      </c>
    </row>
    <row r="335">
      <c r="A335" s="47">
        <f>IF(B335="","","TU"&amp;TEXT(ROW()-2,"0000"))</f>
        <v/>
      </c>
      <c r="B335" s="26" t="n"/>
      <c r="C335" s="26">
        <f>IFERROR(IF(B335="","",VLOOKUP(B335,DATABASE!A:B,2,0)),"")</f>
        <v/>
      </c>
      <c r="D335" s="26" t="n"/>
      <c r="E335" s="30" t="n"/>
      <c r="F335" s="31">
        <f>IF(B335="","",TODAY())</f>
        <v/>
      </c>
      <c r="G335" s="26" t="n"/>
      <c r="H335" s="30">
        <f>IFERROR(IF(OR(B335="",E335=""),"",SUMIF(LOANS!$B:$B,B335,LOANS!$D:$D)+E335),"")</f>
        <v/>
      </c>
      <c r="I335" s="30">
        <f>IFERROR(IF(H335="","",SUMIF(LOANS!$B:$B,B335,LOANS!$I:$I)+ABS(PMT(IFERROR(VLOOKUP(B335,LOANS!$B:$G,6,0),12)/100/12,IFERROR(VLOOKUP(B335,LOANS!$B:$H,7,0),12),E335))),"")</f>
        <v/>
      </c>
      <c r="J335" s="26">
        <f>IF(B335="","","Active")</f>
        <v/>
      </c>
    </row>
    <row r="336">
      <c r="A336" s="48">
        <f>IF(B336="","","TU"&amp;TEXT(ROW()-2,"0000"))</f>
        <v/>
      </c>
      <c r="B336" s="49" t="n"/>
      <c r="C336" s="49">
        <f>IFERROR(IF(B336="","",VLOOKUP(B336,DATABASE!A:B,2,0)),"")</f>
        <v/>
      </c>
      <c r="D336" s="49" t="n"/>
      <c r="E336" s="50" t="n"/>
      <c r="F336" s="51">
        <f>IF(B336="","",TODAY())</f>
        <v/>
      </c>
      <c r="G336" s="49" t="n"/>
      <c r="H336" s="50">
        <f>IFERROR(IF(OR(B336="",E336=""),"",SUMIF(LOANS!$B:$B,B336,LOANS!$D:$D)+E336),"")</f>
        <v/>
      </c>
      <c r="I336" s="50">
        <f>IFERROR(IF(H336="","",SUMIF(LOANS!$B:$B,B336,LOANS!$I:$I)+ABS(PMT(IFERROR(VLOOKUP(B336,LOANS!$B:$G,6,0),12)/100/12,IFERROR(VLOOKUP(B336,LOANS!$B:$H,7,0),12),E336))),"")</f>
        <v/>
      </c>
      <c r="J336" s="49">
        <f>IF(B336="","","Active")</f>
        <v/>
      </c>
    </row>
    <row r="337">
      <c r="A337" s="47">
        <f>IF(B337="","","TU"&amp;TEXT(ROW()-2,"0000"))</f>
        <v/>
      </c>
      <c r="B337" s="26" t="n"/>
      <c r="C337" s="26">
        <f>IFERROR(IF(B337="","",VLOOKUP(B337,DATABASE!A:B,2,0)),"")</f>
        <v/>
      </c>
      <c r="D337" s="26" t="n"/>
      <c r="E337" s="30" t="n"/>
      <c r="F337" s="31">
        <f>IF(B337="","",TODAY())</f>
        <v/>
      </c>
      <c r="G337" s="26" t="n"/>
      <c r="H337" s="30">
        <f>IFERROR(IF(OR(B337="",E337=""),"",SUMIF(LOANS!$B:$B,B337,LOANS!$D:$D)+E337),"")</f>
        <v/>
      </c>
      <c r="I337" s="30">
        <f>IFERROR(IF(H337="","",SUMIF(LOANS!$B:$B,B337,LOANS!$I:$I)+ABS(PMT(IFERROR(VLOOKUP(B337,LOANS!$B:$G,6,0),12)/100/12,IFERROR(VLOOKUP(B337,LOANS!$B:$H,7,0),12),E337))),"")</f>
        <v/>
      </c>
      <c r="J337" s="26">
        <f>IF(B337="","","Active")</f>
        <v/>
      </c>
    </row>
    <row r="338">
      <c r="A338" s="48">
        <f>IF(B338="","","TU"&amp;TEXT(ROW()-2,"0000"))</f>
        <v/>
      </c>
      <c r="B338" s="49" t="n"/>
      <c r="C338" s="49">
        <f>IFERROR(IF(B338="","",VLOOKUP(B338,DATABASE!A:B,2,0)),"")</f>
        <v/>
      </c>
      <c r="D338" s="49" t="n"/>
      <c r="E338" s="50" t="n"/>
      <c r="F338" s="51">
        <f>IF(B338="","",TODAY())</f>
        <v/>
      </c>
      <c r="G338" s="49" t="n"/>
      <c r="H338" s="50">
        <f>IFERROR(IF(OR(B338="",E338=""),"",SUMIF(LOANS!$B:$B,B338,LOANS!$D:$D)+E338),"")</f>
        <v/>
      </c>
      <c r="I338" s="50">
        <f>IFERROR(IF(H338="","",SUMIF(LOANS!$B:$B,B338,LOANS!$I:$I)+ABS(PMT(IFERROR(VLOOKUP(B338,LOANS!$B:$G,6,0),12)/100/12,IFERROR(VLOOKUP(B338,LOANS!$B:$H,7,0),12),E338))),"")</f>
        <v/>
      </c>
      <c r="J338" s="49">
        <f>IF(B338="","","Active")</f>
        <v/>
      </c>
    </row>
    <row r="339">
      <c r="A339" s="47">
        <f>IF(B339="","","TU"&amp;TEXT(ROW()-2,"0000"))</f>
        <v/>
      </c>
      <c r="B339" s="26" t="n"/>
      <c r="C339" s="26">
        <f>IFERROR(IF(B339="","",VLOOKUP(B339,DATABASE!A:B,2,0)),"")</f>
        <v/>
      </c>
      <c r="D339" s="26" t="n"/>
      <c r="E339" s="30" t="n"/>
      <c r="F339" s="31">
        <f>IF(B339="","",TODAY())</f>
        <v/>
      </c>
      <c r="G339" s="26" t="n"/>
      <c r="H339" s="30">
        <f>IFERROR(IF(OR(B339="",E339=""),"",SUMIF(LOANS!$B:$B,B339,LOANS!$D:$D)+E339),"")</f>
        <v/>
      </c>
      <c r="I339" s="30">
        <f>IFERROR(IF(H339="","",SUMIF(LOANS!$B:$B,B339,LOANS!$I:$I)+ABS(PMT(IFERROR(VLOOKUP(B339,LOANS!$B:$G,6,0),12)/100/12,IFERROR(VLOOKUP(B339,LOANS!$B:$H,7,0),12),E339))),"")</f>
        <v/>
      </c>
      <c r="J339" s="26">
        <f>IF(B339="","","Active")</f>
        <v/>
      </c>
    </row>
    <row r="340">
      <c r="A340" s="48">
        <f>IF(B340="","","TU"&amp;TEXT(ROW()-2,"0000"))</f>
        <v/>
      </c>
      <c r="B340" s="49" t="n"/>
      <c r="C340" s="49">
        <f>IFERROR(IF(B340="","",VLOOKUP(B340,DATABASE!A:B,2,0)),"")</f>
        <v/>
      </c>
      <c r="D340" s="49" t="n"/>
      <c r="E340" s="50" t="n"/>
      <c r="F340" s="51">
        <f>IF(B340="","",TODAY())</f>
        <v/>
      </c>
      <c r="G340" s="49" t="n"/>
      <c r="H340" s="50">
        <f>IFERROR(IF(OR(B340="",E340=""),"",SUMIF(LOANS!$B:$B,B340,LOANS!$D:$D)+E340),"")</f>
        <v/>
      </c>
      <c r="I340" s="50">
        <f>IFERROR(IF(H340="","",SUMIF(LOANS!$B:$B,B340,LOANS!$I:$I)+ABS(PMT(IFERROR(VLOOKUP(B340,LOANS!$B:$G,6,0),12)/100/12,IFERROR(VLOOKUP(B340,LOANS!$B:$H,7,0),12),E340))),"")</f>
        <v/>
      </c>
      <c r="J340" s="49">
        <f>IF(B340="","","Active")</f>
        <v/>
      </c>
    </row>
    <row r="341">
      <c r="A341" s="47">
        <f>IF(B341="","","TU"&amp;TEXT(ROW()-2,"0000"))</f>
        <v/>
      </c>
      <c r="B341" s="26" t="n"/>
      <c r="C341" s="26">
        <f>IFERROR(IF(B341="","",VLOOKUP(B341,DATABASE!A:B,2,0)),"")</f>
        <v/>
      </c>
      <c r="D341" s="26" t="n"/>
      <c r="E341" s="30" t="n"/>
      <c r="F341" s="31">
        <f>IF(B341="","",TODAY())</f>
        <v/>
      </c>
      <c r="G341" s="26" t="n"/>
      <c r="H341" s="30">
        <f>IFERROR(IF(OR(B341="",E341=""),"",SUMIF(LOANS!$B:$B,B341,LOANS!$D:$D)+E341),"")</f>
        <v/>
      </c>
      <c r="I341" s="30">
        <f>IFERROR(IF(H341="","",SUMIF(LOANS!$B:$B,B341,LOANS!$I:$I)+ABS(PMT(IFERROR(VLOOKUP(B341,LOANS!$B:$G,6,0),12)/100/12,IFERROR(VLOOKUP(B341,LOANS!$B:$H,7,0),12),E341))),"")</f>
        <v/>
      </c>
      <c r="J341" s="26">
        <f>IF(B341="","","Active")</f>
        <v/>
      </c>
    </row>
    <row r="342">
      <c r="A342" s="48">
        <f>IF(B342="","","TU"&amp;TEXT(ROW()-2,"0000"))</f>
        <v/>
      </c>
      <c r="B342" s="49" t="n"/>
      <c r="C342" s="49">
        <f>IFERROR(IF(B342="","",VLOOKUP(B342,DATABASE!A:B,2,0)),"")</f>
        <v/>
      </c>
      <c r="D342" s="49" t="n"/>
      <c r="E342" s="50" t="n"/>
      <c r="F342" s="51">
        <f>IF(B342="","",TODAY())</f>
        <v/>
      </c>
      <c r="G342" s="49" t="n"/>
      <c r="H342" s="50">
        <f>IFERROR(IF(OR(B342="",E342=""),"",SUMIF(LOANS!$B:$B,B342,LOANS!$D:$D)+E342),"")</f>
        <v/>
      </c>
      <c r="I342" s="50">
        <f>IFERROR(IF(H342="","",SUMIF(LOANS!$B:$B,B342,LOANS!$I:$I)+ABS(PMT(IFERROR(VLOOKUP(B342,LOANS!$B:$G,6,0),12)/100/12,IFERROR(VLOOKUP(B342,LOANS!$B:$H,7,0),12),E342))),"")</f>
        <v/>
      </c>
      <c r="J342" s="49">
        <f>IF(B342="","","Active")</f>
        <v/>
      </c>
    </row>
    <row r="343">
      <c r="A343" s="47">
        <f>IF(B343="","","TU"&amp;TEXT(ROW()-2,"0000"))</f>
        <v/>
      </c>
      <c r="B343" s="26" t="n"/>
      <c r="C343" s="26">
        <f>IFERROR(IF(B343="","",VLOOKUP(B343,DATABASE!A:B,2,0)),"")</f>
        <v/>
      </c>
      <c r="D343" s="26" t="n"/>
      <c r="E343" s="30" t="n"/>
      <c r="F343" s="31">
        <f>IF(B343="","",TODAY())</f>
        <v/>
      </c>
      <c r="G343" s="26" t="n"/>
      <c r="H343" s="30">
        <f>IFERROR(IF(OR(B343="",E343=""),"",SUMIF(LOANS!$B:$B,B343,LOANS!$D:$D)+E343),"")</f>
        <v/>
      </c>
      <c r="I343" s="30">
        <f>IFERROR(IF(H343="","",SUMIF(LOANS!$B:$B,B343,LOANS!$I:$I)+ABS(PMT(IFERROR(VLOOKUP(B343,LOANS!$B:$G,6,0),12)/100/12,IFERROR(VLOOKUP(B343,LOANS!$B:$H,7,0),12),E343))),"")</f>
        <v/>
      </c>
      <c r="J343" s="26">
        <f>IF(B343="","","Active")</f>
        <v/>
      </c>
    </row>
    <row r="344">
      <c r="A344" s="48">
        <f>IF(B344="","","TU"&amp;TEXT(ROW()-2,"0000"))</f>
        <v/>
      </c>
      <c r="B344" s="49" t="n"/>
      <c r="C344" s="49">
        <f>IFERROR(IF(B344="","",VLOOKUP(B344,DATABASE!A:B,2,0)),"")</f>
        <v/>
      </c>
      <c r="D344" s="49" t="n"/>
      <c r="E344" s="50" t="n"/>
      <c r="F344" s="51">
        <f>IF(B344="","",TODAY())</f>
        <v/>
      </c>
      <c r="G344" s="49" t="n"/>
      <c r="H344" s="50">
        <f>IFERROR(IF(OR(B344="",E344=""),"",SUMIF(LOANS!$B:$B,B344,LOANS!$D:$D)+E344),"")</f>
        <v/>
      </c>
      <c r="I344" s="50">
        <f>IFERROR(IF(H344="","",SUMIF(LOANS!$B:$B,B344,LOANS!$I:$I)+ABS(PMT(IFERROR(VLOOKUP(B344,LOANS!$B:$G,6,0),12)/100/12,IFERROR(VLOOKUP(B344,LOANS!$B:$H,7,0),12),E344))),"")</f>
        <v/>
      </c>
      <c r="J344" s="49">
        <f>IF(B344="","","Active")</f>
        <v/>
      </c>
    </row>
    <row r="345">
      <c r="A345" s="47">
        <f>IF(B345="","","TU"&amp;TEXT(ROW()-2,"0000"))</f>
        <v/>
      </c>
      <c r="B345" s="26" t="n"/>
      <c r="C345" s="26">
        <f>IFERROR(IF(B345="","",VLOOKUP(B345,DATABASE!A:B,2,0)),"")</f>
        <v/>
      </c>
      <c r="D345" s="26" t="n"/>
      <c r="E345" s="30" t="n"/>
      <c r="F345" s="31">
        <f>IF(B345="","",TODAY())</f>
        <v/>
      </c>
      <c r="G345" s="26" t="n"/>
      <c r="H345" s="30">
        <f>IFERROR(IF(OR(B345="",E345=""),"",SUMIF(LOANS!$B:$B,B345,LOANS!$D:$D)+E345),"")</f>
        <v/>
      </c>
      <c r="I345" s="30">
        <f>IFERROR(IF(H345="","",SUMIF(LOANS!$B:$B,B345,LOANS!$I:$I)+ABS(PMT(IFERROR(VLOOKUP(B345,LOANS!$B:$G,6,0),12)/100/12,IFERROR(VLOOKUP(B345,LOANS!$B:$H,7,0),12),E345))),"")</f>
        <v/>
      </c>
      <c r="J345" s="26">
        <f>IF(B345="","","Active")</f>
        <v/>
      </c>
    </row>
    <row r="346">
      <c r="A346" s="48">
        <f>IF(B346="","","TU"&amp;TEXT(ROW()-2,"0000"))</f>
        <v/>
      </c>
      <c r="B346" s="49" t="n"/>
      <c r="C346" s="49">
        <f>IFERROR(IF(B346="","",VLOOKUP(B346,DATABASE!A:B,2,0)),"")</f>
        <v/>
      </c>
      <c r="D346" s="49" t="n"/>
      <c r="E346" s="50" t="n"/>
      <c r="F346" s="51">
        <f>IF(B346="","",TODAY())</f>
        <v/>
      </c>
      <c r="G346" s="49" t="n"/>
      <c r="H346" s="50">
        <f>IFERROR(IF(OR(B346="",E346=""),"",SUMIF(LOANS!$B:$B,B346,LOANS!$D:$D)+E346),"")</f>
        <v/>
      </c>
      <c r="I346" s="50">
        <f>IFERROR(IF(H346="","",SUMIF(LOANS!$B:$B,B346,LOANS!$I:$I)+ABS(PMT(IFERROR(VLOOKUP(B346,LOANS!$B:$G,6,0),12)/100/12,IFERROR(VLOOKUP(B346,LOANS!$B:$H,7,0),12),E346))),"")</f>
        <v/>
      </c>
      <c r="J346" s="49">
        <f>IF(B346="","","Active")</f>
        <v/>
      </c>
    </row>
    <row r="347">
      <c r="A347" s="47">
        <f>IF(B347="","","TU"&amp;TEXT(ROW()-2,"0000"))</f>
        <v/>
      </c>
      <c r="B347" s="26" t="n"/>
      <c r="C347" s="26">
        <f>IFERROR(IF(B347="","",VLOOKUP(B347,DATABASE!A:B,2,0)),"")</f>
        <v/>
      </c>
      <c r="D347" s="26" t="n"/>
      <c r="E347" s="30" t="n"/>
      <c r="F347" s="31">
        <f>IF(B347="","",TODAY())</f>
        <v/>
      </c>
      <c r="G347" s="26" t="n"/>
      <c r="H347" s="30">
        <f>IFERROR(IF(OR(B347="",E347=""),"",SUMIF(LOANS!$B:$B,B347,LOANS!$D:$D)+E347),"")</f>
        <v/>
      </c>
      <c r="I347" s="30">
        <f>IFERROR(IF(H347="","",SUMIF(LOANS!$B:$B,B347,LOANS!$I:$I)+ABS(PMT(IFERROR(VLOOKUP(B347,LOANS!$B:$G,6,0),12)/100/12,IFERROR(VLOOKUP(B347,LOANS!$B:$H,7,0),12),E347))),"")</f>
        <v/>
      </c>
      <c r="J347" s="26">
        <f>IF(B347="","","Active")</f>
        <v/>
      </c>
    </row>
    <row r="348">
      <c r="A348" s="48">
        <f>IF(B348="","","TU"&amp;TEXT(ROW()-2,"0000"))</f>
        <v/>
      </c>
      <c r="B348" s="49" t="n"/>
      <c r="C348" s="49">
        <f>IFERROR(IF(B348="","",VLOOKUP(B348,DATABASE!A:B,2,0)),"")</f>
        <v/>
      </c>
      <c r="D348" s="49" t="n"/>
      <c r="E348" s="50" t="n"/>
      <c r="F348" s="51">
        <f>IF(B348="","",TODAY())</f>
        <v/>
      </c>
      <c r="G348" s="49" t="n"/>
      <c r="H348" s="50">
        <f>IFERROR(IF(OR(B348="",E348=""),"",SUMIF(LOANS!$B:$B,B348,LOANS!$D:$D)+E348),"")</f>
        <v/>
      </c>
      <c r="I348" s="50">
        <f>IFERROR(IF(H348="","",SUMIF(LOANS!$B:$B,B348,LOANS!$I:$I)+ABS(PMT(IFERROR(VLOOKUP(B348,LOANS!$B:$G,6,0),12)/100/12,IFERROR(VLOOKUP(B348,LOANS!$B:$H,7,0),12),E348))),"")</f>
        <v/>
      </c>
      <c r="J348" s="49">
        <f>IF(B348="","","Active")</f>
        <v/>
      </c>
    </row>
    <row r="349">
      <c r="A349" s="47">
        <f>IF(B349="","","TU"&amp;TEXT(ROW()-2,"0000"))</f>
        <v/>
      </c>
      <c r="B349" s="26" t="n"/>
      <c r="C349" s="26">
        <f>IFERROR(IF(B349="","",VLOOKUP(B349,DATABASE!A:B,2,0)),"")</f>
        <v/>
      </c>
      <c r="D349" s="26" t="n"/>
      <c r="E349" s="30" t="n"/>
      <c r="F349" s="31">
        <f>IF(B349="","",TODAY())</f>
        <v/>
      </c>
      <c r="G349" s="26" t="n"/>
      <c r="H349" s="30">
        <f>IFERROR(IF(OR(B349="",E349=""),"",SUMIF(LOANS!$B:$B,B349,LOANS!$D:$D)+E349),"")</f>
        <v/>
      </c>
      <c r="I349" s="30">
        <f>IFERROR(IF(H349="","",SUMIF(LOANS!$B:$B,B349,LOANS!$I:$I)+ABS(PMT(IFERROR(VLOOKUP(B349,LOANS!$B:$G,6,0),12)/100/12,IFERROR(VLOOKUP(B349,LOANS!$B:$H,7,0),12),E349))),"")</f>
        <v/>
      </c>
      <c r="J349" s="26">
        <f>IF(B349="","","Active")</f>
        <v/>
      </c>
    </row>
    <row r="350">
      <c r="A350" s="48">
        <f>IF(B350="","","TU"&amp;TEXT(ROW()-2,"0000"))</f>
        <v/>
      </c>
      <c r="B350" s="49" t="n"/>
      <c r="C350" s="49">
        <f>IFERROR(IF(B350="","",VLOOKUP(B350,DATABASE!A:B,2,0)),"")</f>
        <v/>
      </c>
      <c r="D350" s="49" t="n"/>
      <c r="E350" s="50" t="n"/>
      <c r="F350" s="51">
        <f>IF(B350="","",TODAY())</f>
        <v/>
      </c>
      <c r="G350" s="49" t="n"/>
      <c r="H350" s="50">
        <f>IFERROR(IF(OR(B350="",E350=""),"",SUMIF(LOANS!$B:$B,B350,LOANS!$D:$D)+E350),"")</f>
        <v/>
      </c>
      <c r="I350" s="50">
        <f>IFERROR(IF(H350="","",SUMIF(LOANS!$B:$B,B350,LOANS!$I:$I)+ABS(PMT(IFERROR(VLOOKUP(B350,LOANS!$B:$G,6,0),12)/100/12,IFERROR(VLOOKUP(B350,LOANS!$B:$H,7,0),12),E350))),"")</f>
        <v/>
      </c>
      <c r="J350" s="49">
        <f>IF(B350="","","Active")</f>
        <v/>
      </c>
    </row>
    <row r="351">
      <c r="A351" s="47">
        <f>IF(B351="","","TU"&amp;TEXT(ROW()-2,"0000"))</f>
        <v/>
      </c>
      <c r="B351" s="26" t="n"/>
      <c r="C351" s="26">
        <f>IFERROR(IF(B351="","",VLOOKUP(B351,DATABASE!A:B,2,0)),"")</f>
        <v/>
      </c>
      <c r="D351" s="26" t="n"/>
      <c r="E351" s="30" t="n"/>
      <c r="F351" s="31">
        <f>IF(B351="","",TODAY())</f>
        <v/>
      </c>
      <c r="G351" s="26" t="n"/>
      <c r="H351" s="30">
        <f>IFERROR(IF(OR(B351="",E351=""),"",SUMIF(LOANS!$B:$B,B351,LOANS!$D:$D)+E351),"")</f>
        <v/>
      </c>
      <c r="I351" s="30">
        <f>IFERROR(IF(H351="","",SUMIF(LOANS!$B:$B,B351,LOANS!$I:$I)+ABS(PMT(IFERROR(VLOOKUP(B351,LOANS!$B:$G,6,0),12)/100/12,IFERROR(VLOOKUP(B351,LOANS!$B:$H,7,0),12),E351))),"")</f>
        <v/>
      </c>
      <c r="J351" s="26">
        <f>IF(B351="","","Active")</f>
        <v/>
      </c>
    </row>
    <row r="352">
      <c r="A352" s="48">
        <f>IF(B352="","","TU"&amp;TEXT(ROW()-2,"0000"))</f>
        <v/>
      </c>
      <c r="B352" s="49" t="n"/>
      <c r="C352" s="49">
        <f>IFERROR(IF(B352="","",VLOOKUP(B352,DATABASE!A:B,2,0)),"")</f>
        <v/>
      </c>
      <c r="D352" s="49" t="n"/>
      <c r="E352" s="50" t="n"/>
      <c r="F352" s="51">
        <f>IF(B352="","",TODAY())</f>
        <v/>
      </c>
      <c r="G352" s="49" t="n"/>
      <c r="H352" s="50">
        <f>IFERROR(IF(OR(B352="",E352=""),"",SUMIF(LOANS!$B:$B,B352,LOANS!$D:$D)+E352),"")</f>
        <v/>
      </c>
      <c r="I352" s="50">
        <f>IFERROR(IF(H352="","",SUMIF(LOANS!$B:$B,B352,LOANS!$I:$I)+ABS(PMT(IFERROR(VLOOKUP(B352,LOANS!$B:$G,6,0),12)/100/12,IFERROR(VLOOKUP(B352,LOANS!$B:$H,7,0),12),E352))),"")</f>
        <v/>
      </c>
      <c r="J352" s="49">
        <f>IF(B352="","","Active")</f>
        <v/>
      </c>
    </row>
    <row r="353">
      <c r="A353" s="47">
        <f>IF(B353="","","TU"&amp;TEXT(ROW()-2,"0000"))</f>
        <v/>
      </c>
      <c r="B353" s="26" t="n"/>
      <c r="C353" s="26">
        <f>IFERROR(IF(B353="","",VLOOKUP(B353,DATABASE!A:B,2,0)),"")</f>
        <v/>
      </c>
      <c r="D353" s="26" t="n"/>
      <c r="E353" s="30" t="n"/>
      <c r="F353" s="31">
        <f>IF(B353="","",TODAY())</f>
        <v/>
      </c>
      <c r="G353" s="26" t="n"/>
      <c r="H353" s="30">
        <f>IFERROR(IF(OR(B353="",E353=""),"",SUMIF(LOANS!$B:$B,B353,LOANS!$D:$D)+E353),"")</f>
        <v/>
      </c>
      <c r="I353" s="30">
        <f>IFERROR(IF(H353="","",SUMIF(LOANS!$B:$B,B353,LOANS!$I:$I)+ABS(PMT(IFERROR(VLOOKUP(B353,LOANS!$B:$G,6,0),12)/100/12,IFERROR(VLOOKUP(B353,LOANS!$B:$H,7,0),12),E353))),"")</f>
        <v/>
      </c>
      <c r="J353" s="26">
        <f>IF(B353="","","Active")</f>
        <v/>
      </c>
    </row>
    <row r="354">
      <c r="A354" s="48">
        <f>IF(B354="","","TU"&amp;TEXT(ROW()-2,"0000"))</f>
        <v/>
      </c>
      <c r="B354" s="49" t="n"/>
      <c r="C354" s="49">
        <f>IFERROR(IF(B354="","",VLOOKUP(B354,DATABASE!A:B,2,0)),"")</f>
        <v/>
      </c>
      <c r="D354" s="49" t="n"/>
      <c r="E354" s="50" t="n"/>
      <c r="F354" s="51">
        <f>IF(B354="","",TODAY())</f>
        <v/>
      </c>
      <c r="G354" s="49" t="n"/>
      <c r="H354" s="50">
        <f>IFERROR(IF(OR(B354="",E354=""),"",SUMIF(LOANS!$B:$B,B354,LOANS!$D:$D)+E354),"")</f>
        <v/>
      </c>
      <c r="I354" s="50">
        <f>IFERROR(IF(H354="","",SUMIF(LOANS!$B:$B,B354,LOANS!$I:$I)+ABS(PMT(IFERROR(VLOOKUP(B354,LOANS!$B:$G,6,0),12)/100/12,IFERROR(VLOOKUP(B354,LOANS!$B:$H,7,0),12),E354))),"")</f>
        <v/>
      </c>
      <c r="J354" s="49">
        <f>IF(B354="","","Active")</f>
        <v/>
      </c>
    </row>
    <row r="355">
      <c r="A355" s="47">
        <f>IF(B355="","","TU"&amp;TEXT(ROW()-2,"0000"))</f>
        <v/>
      </c>
      <c r="B355" s="26" t="n"/>
      <c r="C355" s="26">
        <f>IFERROR(IF(B355="","",VLOOKUP(B355,DATABASE!A:B,2,0)),"")</f>
        <v/>
      </c>
      <c r="D355" s="26" t="n"/>
      <c r="E355" s="30" t="n"/>
      <c r="F355" s="31">
        <f>IF(B355="","",TODAY())</f>
        <v/>
      </c>
      <c r="G355" s="26" t="n"/>
      <c r="H355" s="30">
        <f>IFERROR(IF(OR(B355="",E355=""),"",SUMIF(LOANS!$B:$B,B355,LOANS!$D:$D)+E355),"")</f>
        <v/>
      </c>
      <c r="I355" s="30">
        <f>IFERROR(IF(H355="","",SUMIF(LOANS!$B:$B,B355,LOANS!$I:$I)+ABS(PMT(IFERROR(VLOOKUP(B355,LOANS!$B:$G,6,0),12)/100/12,IFERROR(VLOOKUP(B355,LOANS!$B:$H,7,0),12),E355))),"")</f>
        <v/>
      </c>
      <c r="J355" s="26">
        <f>IF(B355="","","Active")</f>
        <v/>
      </c>
    </row>
    <row r="356">
      <c r="A356" s="48">
        <f>IF(B356="","","TU"&amp;TEXT(ROW()-2,"0000"))</f>
        <v/>
      </c>
      <c r="B356" s="49" t="n"/>
      <c r="C356" s="49">
        <f>IFERROR(IF(B356="","",VLOOKUP(B356,DATABASE!A:B,2,0)),"")</f>
        <v/>
      </c>
      <c r="D356" s="49" t="n"/>
      <c r="E356" s="50" t="n"/>
      <c r="F356" s="51">
        <f>IF(B356="","",TODAY())</f>
        <v/>
      </c>
      <c r="G356" s="49" t="n"/>
      <c r="H356" s="50">
        <f>IFERROR(IF(OR(B356="",E356=""),"",SUMIF(LOANS!$B:$B,B356,LOANS!$D:$D)+E356),"")</f>
        <v/>
      </c>
      <c r="I356" s="50">
        <f>IFERROR(IF(H356="","",SUMIF(LOANS!$B:$B,B356,LOANS!$I:$I)+ABS(PMT(IFERROR(VLOOKUP(B356,LOANS!$B:$G,6,0),12)/100/12,IFERROR(VLOOKUP(B356,LOANS!$B:$H,7,0),12),E356))),"")</f>
        <v/>
      </c>
      <c r="J356" s="49">
        <f>IF(B356="","","Active")</f>
        <v/>
      </c>
    </row>
    <row r="357">
      <c r="A357" s="47">
        <f>IF(B357="","","TU"&amp;TEXT(ROW()-2,"0000"))</f>
        <v/>
      </c>
      <c r="B357" s="26" t="n"/>
      <c r="C357" s="26">
        <f>IFERROR(IF(B357="","",VLOOKUP(B357,DATABASE!A:B,2,0)),"")</f>
        <v/>
      </c>
      <c r="D357" s="26" t="n"/>
      <c r="E357" s="30" t="n"/>
      <c r="F357" s="31">
        <f>IF(B357="","",TODAY())</f>
        <v/>
      </c>
      <c r="G357" s="26" t="n"/>
      <c r="H357" s="30">
        <f>IFERROR(IF(OR(B357="",E357=""),"",SUMIF(LOANS!$B:$B,B357,LOANS!$D:$D)+E357),"")</f>
        <v/>
      </c>
      <c r="I357" s="30">
        <f>IFERROR(IF(H357="","",SUMIF(LOANS!$B:$B,B357,LOANS!$I:$I)+ABS(PMT(IFERROR(VLOOKUP(B357,LOANS!$B:$G,6,0),12)/100/12,IFERROR(VLOOKUP(B357,LOANS!$B:$H,7,0),12),E357))),"")</f>
        <v/>
      </c>
      <c r="J357" s="26">
        <f>IF(B357="","","Active")</f>
        <v/>
      </c>
    </row>
    <row r="358">
      <c r="A358" s="48">
        <f>IF(B358="","","TU"&amp;TEXT(ROW()-2,"0000"))</f>
        <v/>
      </c>
      <c r="B358" s="49" t="n"/>
      <c r="C358" s="49">
        <f>IFERROR(IF(B358="","",VLOOKUP(B358,DATABASE!A:B,2,0)),"")</f>
        <v/>
      </c>
      <c r="D358" s="49" t="n"/>
      <c r="E358" s="50" t="n"/>
      <c r="F358" s="51">
        <f>IF(B358="","",TODAY())</f>
        <v/>
      </c>
      <c r="G358" s="49" t="n"/>
      <c r="H358" s="50">
        <f>IFERROR(IF(OR(B358="",E358=""),"",SUMIF(LOANS!$B:$B,B358,LOANS!$D:$D)+E358),"")</f>
        <v/>
      </c>
      <c r="I358" s="50">
        <f>IFERROR(IF(H358="","",SUMIF(LOANS!$B:$B,B358,LOANS!$I:$I)+ABS(PMT(IFERROR(VLOOKUP(B358,LOANS!$B:$G,6,0),12)/100/12,IFERROR(VLOOKUP(B358,LOANS!$B:$H,7,0),12),E358))),"")</f>
        <v/>
      </c>
      <c r="J358" s="49">
        <f>IF(B358="","","Active")</f>
        <v/>
      </c>
    </row>
    <row r="359">
      <c r="A359" s="47">
        <f>IF(B359="","","TU"&amp;TEXT(ROW()-2,"0000"))</f>
        <v/>
      </c>
      <c r="B359" s="26" t="n"/>
      <c r="C359" s="26">
        <f>IFERROR(IF(B359="","",VLOOKUP(B359,DATABASE!A:B,2,0)),"")</f>
        <v/>
      </c>
      <c r="D359" s="26" t="n"/>
      <c r="E359" s="30" t="n"/>
      <c r="F359" s="31">
        <f>IF(B359="","",TODAY())</f>
        <v/>
      </c>
      <c r="G359" s="26" t="n"/>
      <c r="H359" s="30">
        <f>IFERROR(IF(OR(B359="",E359=""),"",SUMIF(LOANS!$B:$B,B359,LOANS!$D:$D)+E359),"")</f>
        <v/>
      </c>
      <c r="I359" s="30">
        <f>IFERROR(IF(H359="","",SUMIF(LOANS!$B:$B,B359,LOANS!$I:$I)+ABS(PMT(IFERROR(VLOOKUP(B359,LOANS!$B:$G,6,0),12)/100/12,IFERROR(VLOOKUP(B359,LOANS!$B:$H,7,0),12),E359))),"")</f>
        <v/>
      </c>
      <c r="J359" s="26">
        <f>IF(B359="","","Active")</f>
        <v/>
      </c>
    </row>
    <row r="360">
      <c r="A360" s="48">
        <f>IF(B360="","","TU"&amp;TEXT(ROW()-2,"0000"))</f>
        <v/>
      </c>
      <c r="B360" s="49" t="n"/>
      <c r="C360" s="49">
        <f>IFERROR(IF(B360="","",VLOOKUP(B360,DATABASE!A:B,2,0)),"")</f>
        <v/>
      </c>
      <c r="D360" s="49" t="n"/>
      <c r="E360" s="50" t="n"/>
      <c r="F360" s="51">
        <f>IF(B360="","",TODAY())</f>
        <v/>
      </c>
      <c r="G360" s="49" t="n"/>
      <c r="H360" s="50">
        <f>IFERROR(IF(OR(B360="",E360=""),"",SUMIF(LOANS!$B:$B,B360,LOANS!$D:$D)+E360),"")</f>
        <v/>
      </c>
      <c r="I360" s="50">
        <f>IFERROR(IF(H360="","",SUMIF(LOANS!$B:$B,B360,LOANS!$I:$I)+ABS(PMT(IFERROR(VLOOKUP(B360,LOANS!$B:$G,6,0),12)/100/12,IFERROR(VLOOKUP(B360,LOANS!$B:$H,7,0),12),E360))),"")</f>
        <v/>
      </c>
      <c r="J360" s="49">
        <f>IF(B360="","","Active")</f>
        <v/>
      </c>
    </row>
    <row r="361">
      <c r="A361" s="47">
        <f>IF(B361="","","TU"&amp;TEXT(ROW()-2,"0000"))</f>
        <v/>
      </c>
      <c r="B361" s="26" t="n"/>
      <c r="C361" s="26">
        <f>IFERROR(IF(B361="","",VLOOKUP(B361,DATABASE!A:B,2,0)),"")</f>
        <v/>
      </c>
      <c r="D361" s="26" t="n"/>
      <c r="E361" s="30" t="n"/>
      <c r="F361" s="31">
        <f>IF(B361="","",TODAY())</f>
        <v/>
      </c>
      <c r="G361" s="26" t="n"/>
      <c r="H361" s="30">
        <f>IFERROR(IF(OR(B361="",E361=""),"",SUMIF(LOANS!$B:$B,B361,LOANS!$D:$D)+E361),"")</f>
        <v/>
      </c>
      <c r="I361" s="30">
        <f>IFERROR(IF(H361="","",SUMIF(LOANS!$B:$B,B361,LOANS!$I:$I)+ABS(PMT(IFERROR(VLOOKUP(B361,LOANS!$B:$G,6,0),12)/100/12,IFERROR(VLOOKUP(B361,LOANS!$B:$H,7,0),12),E361))),"")</f>
        <v/>
      </c>
      <c r="J361" s="26">
        <f>IF(B361="","","Active")</f>
        <v/>
      </c>
    </row>
    <row r="362">
      <c r="A362" s="48">
        <f>IF(B362="","","TU"&amp;TEXT(ROW()-2,"0000"))</f>
        <v/>
      </c>
      <c r="B362" s="49" t="n"/>
      <c r="C362" s="49">
        <f>IFERROR(IF(B362="","",VLOOKUP(B362,DATABASE!A:B,2,0)),"")</f>
        <v/>
      </c>
      <c r="D362" s="49" t="n"/>
      <c r="E362" s="50" t="n"/>
      <c r="F362" s="51">
        <f>IF(B362="","",TODAY())</f>
        <v/>
      </c>
      <c r="G362" s="49" t="n"/>
      <c r="H362" s="50">
        <f>IFERROR(IF(OR(B362="",E362=""),"",SUMIF(LOANS!$B:$B,B362,LOANS!$D:$D)+E362),"")</f>
        <v/>
      </c>
      <c r="I362" s="50">
        <f>IFERROR(IF(H362="","",SUMIF(LOANS!$B:$B,B362,LOANS!$I:$I)+ABS(PMT(IFERROR(VLOOKUP(B362,LOANS!$B:$G,6,0),12)/100/12,IFERROR(VLOOKUP(B362,LOANS!$B:$H,7,0),12),E362))),"")</f>
        <v/>
      </c>
      <c r="J362" s="49">
        <f>IF(B362="","","Active")</f>
        <v/>
      </c>
    </row>
    <row r="363">
      <c r="A363" s="47">
        <f>IF(B363="","","TU"&amp;TEXT(ROW()-2,"0000"))</f>
        <v/>
      </c>
      <c r="B363" s="26" t="n"/>
      <c r="C363" s="26">
        <f>IFERROR(IF(B363="","",VLOOKUP(B363,DATABASE!A:B,2,0)),"")</f>
        <v/>
      </c>
      <c r="D363" s="26" t="n"/>
      <c r="E363" s="30" t="n"/>
      <c r="F363" s="31">
        <f>IF(B363="","",TODAY())</f>
        <v/>
      </c>
      <c r="G363" s="26" t="n"/>
      <c r="H363" s="30">
        <f>IFERROR(IF(OR(B363="",E363=""),"",SUMIF(LOANS!$B:$B,B363,LOANS!$D:$D)+E363),"")</f>
        <v/>
      </c>
      <c r="I363" s="30">
        <f>IFERROR(IF(H363="","",SUMIF(LOANS!$B:$B,B363,LOANS!$I:$I)+ABS(PMT(IFERROR(VLOOKUP(B363,LOANS!$B:$G,6,0),12)/100/12,IFERROR(VLOOKUP(B363,LOANS!$B:$H,7,0),12),E363))),"")</f>
        <v/>
      </c>
      <c r="J363" s="26">
        <f>IF(B363="","","Active")</f>
        <v/>
      </c>
    </row>
    <row r="364">
      <c r="A364" s="48">
        <f>IF(B364="","","TU"&amp;TEXT(ROW()-2,"0000"))</f>
        <v/>
      </c>
      <c r="B364" s="49" t="n"/>
      <c r="C364" s="49">
        <f>IFERROR(IF(B364="","",VLOOKUP(B364,DATABASE!A:B,2,0)),"")</f>
        <v/>
      </c>
      <c r="D364" s="49" t="n"/>
      <c r="E364" s="50" t="n"/>
      <c r="F364" s="51">
        <f>IF(B364="","",TODAY())</f>
        <v/>
      </c>
      <c r="G364" s="49" t="n"/>
      <c r="H364" s="50">
        <f>IFERROR(IF(OR(B364="",E364=""),"",SUMIF(LOANS!$B:$B,B364,LOANS!$D:$D)+E364),"")</f>
        <v/>
      </c>
      <c r="I364" s="50">
        <f>IFERROR(IF(H364="","",SUMIF(LOANS!$B:$B,B364,LOANS!$I:$I)+ABS(PMT(IFERROR(VLOOKUP(B364,LOANS!$B:$G,6,0),12)/100/12,IFERROR(VLOOKUP(B364,LOANS!$B:$H,7,0),12),E364))),"")</f>
        <v/>
      </c>
      <c r="J364" s="49">
        <f>IF(B364="","","Active")</f>
        <v/>
      </c>
    </row>
    <row r="365">
      <c r="A365" s="47">
        <f>IF(B365="","","TU"&amp;TEXT(ROW()-2,"0000"))</f>
        <v/>
      </c>
      <c r="B365" s="26" t="n"/>
      <c r="C365" s="26">
        <f>IFERROR(IF(B365="","",VLOOKUP(B365,DATABASE!A:B,2,0)),"")</f>
        <v/>
      </c>
      <c r="D365" s="26" t="n"/>
      <c r="E365" s="30" t="n"/>
      <c r="F365" s="31">
        <f>IF(B365="","",TODAY())</f>
        <v/>
      </c>
      <c r="G365" s="26" t="n"/>
      <c r="H365" s="30">
        <f>IFERROR(IF(OR(B365="",E365=""),"",SUMIF(LOANS!$B:$B,B365,LOANS!$D:$D)+E365),"")</f>
        <v/>
      </c>
      <c r="I365" s="30">
        <f>IFERROR(IF(H365="","",SUMIF(LOANS!$B:$B,B365,LOANS!$I:$I)+ABS(PMT(IFERROR(VLOOKUP(B365,LOANS!$B:$G,6,0),12)/100/12,IFERROR(VLOOKUP(B365,LOANS!$B:$H,7,0),12),E365))),"")</f>
        <v/>
      </c>
      <c r="J365" s="26">
        <f>IF(B365="","","Active")</f>
        <v/>
      </c>
    </row>
    <row r="366">
      <c r="A366" s="48">
        <f>IF(B366="","","TU"&amp;TEXT(ROW()-2,"0000"))</f>
        <v/>
      </c>
      <c r="B366" s="49" t="n"/>
      <c r="C366" s="49">
        <f>IFERROR(IF(B366="","",VLOOKUP(B366,DATABASE!A:B,2,0)),"")</f>
        <v/>
      </c>
      <c r="D366" s="49" t="n"/>
      <c r="E366" s="50" t="n"/>
      <c r="F366" s="51">
        <f>IF(B366="","",TODAY())</f>
        <v/>
      </c>
      <c r="G366" s="49" t="n"/>
      <c r="H366" s="50">
        <f>IFERROR(IF(OR(B366="",E366=""),"",SUMIF(LOANS!$B:$B,B366,LOANS!$D:$D)+E366),"")</f>
        <v/>
      </c>
      <c r="I366" s="50">
        <f>IFERROR(IF(H366="","",SUMIF(LOANS!$B:$B,B366,LOANS!$I:$I)+ABS(PMT(IFERROR(VLOOKUP(B366,LOANS!$B:$G,6,0),12)/100/12,IFERROR(VLOOKUP(B366,LOANS!$B:$H,7,0),12),E366))),"")</f>
        <v/>
      </c>
      <c r="J366" s="49">
        <f>IF(B366="","","Active")</f>
        <v/>
      </c>
    </row>
    <row r="367">
      <c r="A367" s="47">
        <f>IF(B367="","","TU"&amp;TEXT(ROW()-2,"0000"))</f>
        <v/>
      </c>
      <c r="B367" s="26" t="n"/>
      <c r="C367" s="26">
        <f>IFERROR(IF(B367="","",VLOOKUP(B367,DATABASE!A:B,2,0)),"")</f>
        <v/>
      </c>
      <c r="D367" s="26" t="n"/>
      <c r="E367" s="30" t="n"/>
      <c r="F367" s="31">
        <f>IF(B367="","",TODAY())</f>
        <v/>
      </c>
      <c r="G367" s="26" t="n"/>
      <c r="H367" s="30">
        <f>IFERROR(IF(OR(B367="",E367=""),"",SUMIF(LOANS!$B:$B,B367,LOANS!$D:$D)+E367),"")</f>
        <v/>
      </c>
      <c r="I367" s="30">
        <f>IFERROR(IF(H367="","",SUMIF(LOANS!$B:$B,B367,LOANS!$I:$I)+ABS(PMT(IFERROR(VLOOKUP(B367,LOANS!$B:$G,6,0),12)/100/12,IFERROR(VLOOKUP(B367,LOANS!$B:$H,7,0),12),E367))),"")</f>
        <v/>
      </c>
      <c r="J367" s="26">
        <f>IF(B367="","","Active")</f>
        <v/>
      </c>
    </row>
    <row r="368">
      <c r="A368" s="48">
        <f>IF(B368="","","TU"&amp;TEXT(ROW()-2,"0000"))</f>
        <v/>
      </c>
      <c r="B368" s="49" t="n"/>
      <c r="C368" s="49">
        <f>IFERROR(IF(B368="","",VLOOKUP(B368,DATABASE!A:B,2,0)),"")</f>
        <v/>
      </c>
      <c r="D368" s="49" t="n"/>
      <c r="E368" s="50" t="n"/>
      <c r="F368" s="51">
        <f>IF(B368="","",TODAY())</f>
        <v/>
      </c>
      <c r="G368" s="49" t="n"/>
      <c r="H368" s="50">
        <f>IFERROR(IF(OR(B368="",E368=""),"",SUMIF(LOANS!$B:$B,B368,LOANS!$D:$D)+E368),"")</f>
        <v/>
      </c>
      <c r="I368" s="50">
        <f>IFERROR(IF(H368="","",SUMIF(LOANS!$B:$B,B368,LOANS!$I:$I)+ABS(PMT(IFERROR(VLOOKUP(B368,LOANS!$B:$G,6,0),12)/100/12,IFERROR(VLOOKUP(B368,LOANS!$B:$H,7,0),12),E368))),"")</f>
        <v/>
      </c>
      <c r="J368" s="49">
        <f>IF(B368="","","Active")</f>
        <v/>
      </c>
    </row>
    <row r="369">
      <c r="A369" s="47">
        <f>IF(B369="","","TU"&amp;TEXT(ROW()-2,"0000"))</f>
        <v/>
      </c>
      <c r="B369" s="26" t="n"/>
      <c r="C369" s="26">
        <f>IFERROR(IF(B369="","",VLOOKUP(B369,DATABASE!A:B,2,0)),"")</f>
        <v/>
      </c>
      <c r="D369" s="26" t="n"/>
      <c r="E369" s="30" t="n"/>
      <c r="F369" s="31">
        <f>IF(B369="","",TODAY())</f>
        <v/>
      </c>
      <c r="G369" s="26" t="n"/>
      <c r="H369" s="30">
        <f>IFERROR(IF(OR(B369="",E369=""),"",SUMIF(LOANS!$B:$B,B369,LOANS!$D:$D)+E369),"")</f>
        <v/>
      </c>
      <c r="I369" s="30">
        <f>IFERROR(IF(H369="","",SUMIF(LOANS!$B:$B,B369,LOANS!$I:$I)+ABS(PMT(IFERROR(VLOOKUP(B369,LOANS!$B:$G,6,0),12)/100/12,IFERROR(VLOOKUP(B369,LOANS!$B:$H,7,0),12),E369))),"")</f>
        <v/>
      </c>
      <c r="J369" s="26">
        <f>IF(B369="","","Active")</f>
        <v/>
      </c>
    </row>
    <row r="370">
      <c r="A370" s="48">
        <f>IF(B370="","","TU"&amp;TEXT(ROW()-2,"0000"))</f>
        <v/>
      </c>
      <c r="B370" s="49" t="n"/>
      <c r="C370" s="49">
        <f>IFERROR(IF(B370="","",VLOOKUP(B370,DATABASE!A:B,2,0)),"")</f>
        <v/>
      </c>
      <c r="D370" s="49" t="n"/>
      <c r="E370" s="50" t="n"/>
      <c r="F370" s="51">
        <f>IF(B370="","",TODAY())</f>
        <v/>
      </c>
      <c r="G370" s="49" t="n"/>
      <c r="H370" s="50">
        <f>IFERROR(IF(OR(B370="",E370=""),"",SUMIF(LOANS!$B:$B,B370,LOANS!$D:$D)+E370),"")</f>
        <v/>
      </c>
      <c r="I370" s="50">
        <f>IFERROR(IF(H370="","",SUMIF(LOANS!$B:$B,B370,LOANS!$I:$I)+ABS(PMT(IFERROR(VLOOKUP(B370,LOANS!$B:$G,6,0),12)/100/12,IFERROR(VLOOKUP(B370,LOANS!$B:$H,7,0),12),E370))),"")</f>
        <v/>
      </c>
      <c r="J370" s="49">
        <f>IF(B370="","","Active")</f>
        <v/>
      </c>
    </row>
    <row r="371">
      <c r="A371" s="47">
        <f>IF(B371="","","TU"&amp;TEXT(ROW()-2,"0000"))</f>
        <v/>
      </c>
      <c r="B371" s="26" t="n"/>
      <c r="C371" s="26">
        <f>IFERROR(IF(B371="","",VLOOKUP(B371,DATABASE!A:B,2,0)),"")</f>
        <v/>
      </c>
      <c r="D371" s="26" t="n"/>
      <c r="E371" s="30" t="n"/>
      <c r="F371" s="31">
        <f>IF(B371="","",TODAY())</f>
        <v/>
      </c>
      <c r="G371" s="26" t="n"/>
      <c r="H371" s="30">
        <f>IFERROR(IF(OR(B371="",E371=""),"",SUMIF(LOANS!$B:$B,B371,LOANS!$D:$D)+E371),"")</f>
        <v/>
      </c>
      <c r="I371" s="30">
        <f>IFERROR(IF(H371="","",SUMIF(LOANS!$B:$B,B371,LOANS!$I:$I)+ABS(PMT(IFERROR(VLOOKUP(B371,LOANS!$B:$G,6,0),12)/100/12,IFERROR(VLOOKUP(B371,LOANS!$B:$H,7,0),12),E371))),"")</f>
        <v/>
      </c>
      <c r="J371" s="26">
        <f>IF(B371="","","Active")</f>
        <v/>
      </c>
    </row>
    <row r="372">
      <c r="A372" s="48">
        <f>IF(B372="","","TU"&amp;TEXT(ROW()-2,"0000"))</f>
        <v/>
      </c>
      <c r="B372" s="49" t="n"/>
      <c r="C372" s="49">
        <f>IFERROR(IF(B372="","",VLOOKUP(B372,DATABASE!A:B,2,0)),"")</f>
        <v/>
      </c>
      <c r="D372" s="49" t="n"/>
      <c r="E372" s="50" t="n"/>
      <c r="F372" s="51">
        <f>IF(B372="","",TODAY())</f>
        <v/>
      </c>
      <c r="G372" s="49" t="n"/>
      <c r="H372" s="50">
        <f>IFERROR(IF(OR(B372="",E372=""),"",SUMIF(LOANS!$B:$B,B372,LOANS!$D:$D)+E372),"")</f>
        <v/>
      </c>
      <c r="I372" s="50">
        <f>IFERROR(IF(H372="","",SUMIF(LOANS!$B:$B,B372,LOANS!$I:$I)+ABS(PMT(IFERROR(VLOOKUP(B372,LOANS!$B:$G,6,0),12)/100/12,IFERROR(VLOOKUP(B372,LOANS!$B:$H,7,0),12),E372))),"")</f>
        <v/>
      </c>
      <c r="J372" s="49">
        <f>IF(B372="","","Active")</f>
        <v/>
      </c>
    </row>
    <row r="373">
      <c r="A373" s="47">
        <f>IF(B373="","","TU"&amp;TEXT(ROW()-2,"0000"))</f>
        <v/>
      </c>
      <c r="B373" s="26" t="n"/>
      <c r="C373" s="26">
        <f>IFERROR(IF(B373="","",VLOOKUP(B373,DATABASE!A:B,2,0)),"")</f>
        <v/>
      </c>
      <c r="D373" s="26" t="n"/>
      <c r="E373" s="30" t="n"/>
      <c r="F373" s="31">
        <f>IF(B373="","",TODAY())</f>
        <v/>
      </c>
      <c r="G373" s="26" t="n"/>
      <c r="H373" s="30">
        <f>IFERROR(IF(OR(B373="",E373=""),"",SUMIF(LOANS!$B:$B,B373,LOANS!$D:$D)+E373),"")</f>
        <v/>
      </c>
      <c r="I373" s="30">
        <f>IFERROR(IF(H373="","",SUMIF(LOANS!$B:$B,B373,LOANS!$I:$I)+ABS(PMT(IFERROR(VLOOKUP(B373,LOANS!$B:$G,6,0),12)/100/12,IFERROR(VLOOKUP(B373,LOANS!$B:$H,7,0),12),E373))),"")</f>
        <v/>
      </c>
      <c r="J373" s="26">
        <f>IF(B373="","","Active")</f>
        <v/>
      </c>
    </row>
    <row r="374">
      <c r="A374" s="48">
        <f>IF(B374="","","TU"&amp;TEXT(ROW()-2,"0000"))</f>
        <v/>
      </c>
      <c r="B374" s="49" t="n"/>
      <c r="C374" s="49">
        <f>IFERROR(IF(B374="","",VLOOKUP(B374,DATABASE!A:B,2,0)),"")</f>
        <v/>
      </c>
      <c r="D374" s="49" t="n"/>
      <c r="E374" s="50" t="n"/>
      <c r="F374" s="51">
        <f>IF(B374="","",TODAY())</f>
        <v/>
      </c>
      <c r="G374" s="49" t="n"/>
      <c r="H374" s="50">
        <f>IFERROR(IF(OR(B374="",E374=""),"",SUMIF(LOANS!$B:$B,B374,LOANS!$D:$D)+E374),"")</f>
        <v/>
      </c>
      <c r="I374" s="50">
        <f>IFERROR(IF(H374="","",SUMIF(LOANS!$B:$B,B374,LOANS!$I:$I)+ABS(PMT(IFERROR(VLOOKUP(B374,LOANS!$B:$G,6,0),12)/100/12,IFERROR(VLOOKUP(B374,LOANS!$B:$H,7,0),12),E374))),"")</f>
        <v/>
      </c>
      <c r="J374" s="49">
        <f>IF(B374="","","Active")</f>
        <v/>
      </c>
    </row>
    <row r="375">
      <c r="A375" s="47">
        <f>IF(B375="","","TU"&amp;TEXT(ROW()-2,"0000"))</f>
        <v/>
      </c>
      <c r="B375" s="26" t="n"/>
      <c r="C375" s="26">
        <f>IFERROR(IF(B375="","",VLOOKUP(B375,DATABASE!A:B,2,0)),"")</f>
        <v/>
      </c>
      <c r="D375" s="26" t="n"/>
      <c r="E375" s="30" t="n"/>
      <c r="F375" s="31">
        <f>IF(B375="","",TODAY())</f>
        <v/>
      </c>
      <c r="G375" s="26" t="n"/>
      <c r="H375" s="30">
        <f>IFERROR(IF(OR(B375="",E375=""),"",SUMIF(LOANS!$B:$B,B375,LOANS!$D:$D)+E375),"")</f>
        <v/>
      </c>
      <c r="I375" s="30">
        <f>IFERROR(IF(H375="","",SUMIF(LOANS!$B:$B,B375,LOANS!$I:$I)+ABS(PMT(IFERROR(VLOOKUP(B375,LOANS!$B:$G,6,0),12)/100/12,IFERROR(VLOOKUP(B375,LOANS!$B:$H,7,0),12),E375))),"")</f>
        <v/>
      </c>
      <c r="J375" s="26">
        <f>IF(B375="","","Active")</f>
        <v/>
      </c>
    </row>
    <row r="376">
      <c r="A376" s="48">
        <f>IF(B376="","","TU"&amp;TEXT(ROW()-2,"0000"))</f>
        <v/>
      </c>
      <c r="B376" s="49" t="n"/>
      <c r="C376" s="49">
        <f>IFERROR(IF(B376="","",VLOOKUP(B376,DATABASE!A:B,2,0)),"")</f>
        <v/>
      </c>
      <c r="D376" s="49" t="n"/>
      <c r="E376" s="50" t="n"/>
      <c r="F376" s="51">
        <f>IF(B376="","",TODAY())</f>
        <v/>
      </c>
      <c r="G376" s="49" t="n"/>
      <c r="H376" s="50">
        <f>IFERROR(IF(OR(B376="",E376=""),"",SUMIF(LOANS!$B:$B,B376,LOANS!$D:$D)+E376),"")</f>
        <v/>
      </c>
      <c r="I376" s="50">
        <f>IFERROR(IF(H376="","",SUMIF(LOANS!$B:$B,B376,LOANS!$I:$I)+ABS(PMT(IFERROR(VLOOKUP(B376,LOANS!$B:$G,6,0),12)/100/12,IFERROR(VLOOKUP(B376,LOANS!$B:$H,7,0),12),E376))),"")</f>
        <v/>
      </c>
      <c r="J376" s="49">
        <f>IF(B376="","","Active")</f>
        <v/>
      </c>
    </row>
    <row r="377">
      <c r="A377" s="47">
        <f>IF(B377="","","TU"&amp;TEXT(ROW()-2,"0000"))</f>
        <v/>
      </c>
      <c r="B377" s="26" t="n"/>
      <c r="C377" s="26">
        <f>IFERROR(IF(B377="","",VLOOKUP(B377,DATABASE!A:B,2,0)),"")</f>
        <v/>
      </c>
      <c r="D377" s="26" t="n"/>
      <c r="E377" s="30" t="n"/>
      <c r="F377" s="31">
        <f>IF(B377="","",TODAY())</f>
        <v/>
      </c>
      <c r="G377" s="26" t="n"/>
      <c r="H377" s="30">
        <f>IFERROR(IF(OR(B377="",E377=""),"",SUMIF(LOANS!$B:$B,B377,LOANS!$D:$D)+E377),"")</f>
        <v/>
      </c>
      <c r="I377" s="30">
        <f>IFERROR(IF(H377="","",SUMIF(LOANS!$B:$B,B377,LOANS!$I:$I)+ABS(PMT(IFERROR(VLOOKUP(B377,LOANS!$B:$G,6,0),12)/100/12,IFERROR(VLOOKUP(B377,LOANS!$B:$H,7,0),12),E377))),"")</f>
        <v/>
      </c>
      <c r="J377" s="26">
        <f>IF(B377="","","Active")</f>
        <v/>
      </c>
    </row>
    <row r="378">
      <c r="A378" s="48">
        <f>IF(B378="","","TU"&amp;TEXT(ROW()-2,"0000"))</f>
        <v/>
      </c>
      <c r="B378" s="49" t="n"/>
      <c r="C378" s="49">
        <f>IFERROR(IF(B378="","",VLOOKUP(B378,DATABASE!A:B,2,0)),"")</f>
        <v/>
      </c>
      <c r="D378" s="49" t="n"/>
      <c r="E378" s="50" t="n"/>
      <c r="F378" s="51">
        <f>IF(B378="","",TODAY())</f>
        <v/>
      </c>
      <c r="G378" s="49" t="n"/>
      <c r="H378" s="50">
        <f>IFERROR(IF(OR(B378="",E378=""),"",SUMIF(LOANS!$B:$B,B378,LOANS!$D:$D)+E378),"")</f>
        <v/>
      </c>
      <c r="I378" s="50">
        <f>IFERROR(IF(H378="","",SUMIF(LOANS!$B:$B,B378,LOANS!$I:$I)+ABS(PMT(IFERROR(VLOOKUP(B378,LOANS!$B:$G,6,0),12)/100/12,IFERROR(VLOOKUP(B378,LOANS!$B:$H,7,0),12),E378))),"")</f>
        <v/>
      </c>
      <c r="J378" s="49">
        <f>IF(B378="","","Active")</f>
        <v/>
      </c>
    </row>
    <row r="379">
      <c r="A379" s="47">
        <f>IF(B379="","","TU"&amp;TEXT(ROW()-2,"0000"))</f>
        <v/>
      </c>
      <c r="B379" s="26" t="n"/>
      <c r="C379" s="26">
        <f>IFERROR(IF(B379="","",VLOOKUP(B379,DATABASE!A:B,2,0)),"")</f>
        <v/>
      </c>
      <c r="D379" s="26" t="n"/>
      <c r="E379" s="30" t="n"/>
      <c r="F379" s="31">
        <f>IF(B379="","",TODAY())</f>
        <v/>
      </c>
      <c r="G379" s="26" t="n"/>
      <c r="H379" s="30">
        <f>IFERROR(IF(OR(B379="",E379=""),"",SUMIF(LOANS!$B:$B,B379,LOANS!$D:$D)+E379),"")</f>
        <v/>
      </c>
      <c r="I379" s="30">
        <f>IFERROR(IF(H379="","",SUMIF(LOANS!$B:$B,B379,LOANS!$I:$I)+ABS(PMT(IFERROR(VLOOKUP(B379,LOANS!$B:$G,6,0),12)/100/12,IFERROR(VLOOKUP(B379,LOANS!$B:$H,7,0),12),E379))),"")</f>
        <v/>
      </c>
      <c r="J379" s="26">
        <f>IF(B379="","","Active")</f>
        <v/>
      </c>
    </row>
    <row r="380">
      <c r="A380" s="48">
        <f>IF(B380="","","TU"&amp;TEXT(ROW()-2,"0000"))</f>
        <v/>
      </c>
      <c r="B380" s="49" t="n"/>
      <c r="C380" s="49">
        <f>IFERROR(IF(B380="","",VLOOKUP(B380,DATABASE!A:B,2,0)),"")</f>
        <v/>
      </c>
      <c r="D380" s="49" t="n"/>
      <c r="E380" s="50" t="n"/>
      <c r="F380" s="51">
        <f>IF(B380="","",TODAY())</f>
        <v/>
      </c>
      <c r="G380" s="49" t="n"/>
      <c r="H380" s="50">
        <f>IFERROR(IF(OR(B380="",E380=""),"",SUMIF(LOANS!$B:$B,B380,LOANS!$D:$D)+E380),"")</f>
        <v/>
      </c>
      <c r="I380" s="50">
        <f>IFERROR(IF(H380="","",SUMIF(LOANS!$B:$B,B380,LOANS!$I:$I)+ABS(PMT(IFERROR(VLOOKUP(B380,LOANS!$B:$G,6,0),12)/100/12,IFERROR(VLOOKUP(B380,LOANS!$B:$H,7,0),12),E380))),"")</f>
        <v/>
      </c>
      <c r="J380" s="49">
        <f>IF(B380="","","Active")</f>
        <v/>
      </c>
    </row>
    <row r="381">
      <c r="A381" s="47">
        <f>IF(B381="","","TU"&amp;TEXT(ROW()-2,"0000"))</f>
        <v/>
      </c>
      <c r="B381" s="26" t="n"/>
      <c r="C381" s="26">
        <f>IFERROR(IF(B381="","",VLOOKUP(B381,DATABASE!A:B,2,0)),"")</f>
        <v/>
      </c>
      <c r="D381" s="26" t="n"/>
      <c r="E381" s="30" t="n"/>
      <c r="F381" s="31">
        <f>IF(B381="","",TODAY())</f>
        <v/>
      </c>
      <c r="G381" s="26" t="n"/>
      <c r="H381" s="30">
        <f>IFERROR(IF(OR(B381="",E381=""),"",SUMIF(LOANS!$B:$B,B381,LOANS!$D:$D)+E381),"")</f>
        <v/>
      </c>
      <c r="I381" s="30">
        <f>IFERROR(IF(H381="","",SUMIF(LOANS!$B:$B,B381,LOANS!$I:$I)+ABS(PMT(IFERROR(VLOOKUP(B381,LOANS!$B:$G,6,0),12)/100/12,IFERROR(VLOOKUP(B381,LOANS!$B:$H,7,0),12),E381))),"")</f>
        <v/>
      </c>
      <c r="J381" s="26">
        <f>IF(B381="","","Active")</f>
        <v/>
      </c>
    </row>
    <row r="382">
      <c r="A382" s="48">
        <f>IF(B382="","","TU"&amp;TEXT(ROW()-2,"0000"))</f>
        <v/>
      </c>
      <c r="B382" s="49" t="n"/>
      <c r="C382" s="49">
        <f>IFERROR(IF(B382="","",VLOOKUP(B382,DATABASE!A:B,2,0)),"")</f>
        <v/>
      </c>
      <c r="D382" s="49" t="n"/>
      <c r="E382" s="50" t="n"/>
      <c r="F382" s="51">
        <f>IF(B382="","",TODAY())</f>
        <v/>
      </c>
      <c r="G382" s="49" t="n"/>
      <c r="H382" s="50">
        <f>IFERROR(IF(OR(B382="",E382=""),"",SUMIF(LOANS!$B:$B,B382,LOANS!$D:$D)+E382),"")</f>
        <v/>
      </c>
      <c r="I382" s="50">
        <f>IFERROR(IF(H382="","",SUMIF(LOANS!$B:$B,B382,LOANS!$I:$I)+ABS(PMT(IFERROR(VLOOKUP(B382,LOANS!$B:$G,6,0),12)/100/12,IFERROR(VLOOKUP(B382,LOANS!$B:$H,7,0),12),E382))),"")</f>
        <v/>
      </c>
      <c r="J382" s="49">
        <f>IF(B382="","","Active")</f>
        <v/>
      </c>
    </row>
    <row r="383">
      <c r="A383" s="47">
        <f>IF(B383="","","TU"&amp;TEXT(ROW()-2,"0000"))</f>
        <v/>
      </c>
      <c r="B383" s="26" t="n"/>
      <c r="C383" s="26">
        <f>IFERROR(IF(B383="","",VLOOKUP(B383,DATABASE!A:B,2,0)),"")</f>
        <v/>
      </c>
      <c r="D383" s="26" t="n"/>
      <c r="E383" s="30" t="n"/>
      <c r="F383" s="31">
        <f>IF(B383="","",TODAY())</f>
        <v/>
      </c>
      <c r="G383" s="26" t="n"/>
      <c r="H383" s="30">
        <f>IFERROR(IF(OR(B383="",E383=""),"",SUMIF(LOANS!$B:$B,B383,LOANS!$D:$D)+E383),"")</f>
        <v/>
      </c>
      <c r="I383" s="30">
        <f>IFERROR(IF(H383="","",SUMIF(LOANS!$B:$B,B383,LOANS!$I:$I)+ABS(PMT(IFERROR(VLOOKUP(B383,LOANS!$B:$G,6,0),12)/100/12,IFERROR(VLOOKUP(B383,LOANS!$B:$H,7,0),12),E383))),"")</f>
        <v/>
      </c>
      <c r="J383" s="26">
        <f>IF(B383="","","Active")</f>
        <v/>
      </c>
    </row>
    <row r="384">
      <c r="A384" s="48">
        <f>IF(B384="","","TU"&amp;TEXT(ROW()-2,"0000"))</f>
        <v/>
      </c>
      <c r="B384" s="49" t="n"/>
      <c r="C384" s="49">
        <f>IFERROR(IF(B384="","",VLOOKUP(B384,DATABASE!A:B,2,0)),"")</f>
        <v/>
      </c>
      <c r="D384" s="49" t="n"/>
      <c r="E384" s="50" t="n"/>
      <c r="F384" s="51">
        <f>IF(B384="","",TODAY())</f>
        <v/>
      </c>
      <c r="G384" s="49" t="n"/>
      <c r="H384" s="50">
        <f>IFERROR(IF(OR(B384="",E384=""),"",SUMIF(LOANS!$B:$B,B384,LOANS!$D:$D)+E384),"")</f>
        <v/>
      </c>
      <c r="I384" s="50">
        <f>IFERROR(IF(H384="","",SUMIF(LOANS!$B:$B,B384,LOANS!$I:$I)+ABS(PMT(IFERROR(VLOOKUP(B384,LOANS!$B:$G,6,0),12)/100/12,IFERROR(VLOOKUP(B384,LOANS!$B:$H,7,0),12),E384))),"")</f>
        <v/>
      </c>
      <c r="J384" s="49">
        <f>IF(B384="","","Active")</f>
        <v/>
      </c>
    </row>
    <row r="385">
      <c r="A385" s="47">
        <f>IF(B385="","","TU"&amp;TEXT(ROW()-2,"0000"))</f>
        <v/>
      </c>
      <c r="B385" s="26" t="n"/>
      <c r="C385" s="26">
        <f>IFERROR(IF(B385="","",VLOOKUP(B385,DATABASE!A:B,2,0)),"")</f>
        <v/>
      </c>
      <c r="D385" s="26" t="n"/>
      <c r="E385" s="30" t="n"/>
      <c r="F385" s="31">
        <f>IF(B385="","",TODAY())</f>
        <v/>
      </c>
      <c r="G385" s="26" t="n"/>
      <c r="H385" s="30">
        <f>IFERROR(IF(OR(B385="",E385=""),"",SUMIF(LOANS!$B:$B,B385,LOANS!$D:$D)+E385),"")</f>
        <v/>
      </c>
      <c r="I385" s="30">
        <f>IFERROR(IF(H385="","",SUMIF(LOANS!$B:$B,B385,LOANS!$I:$I)+ABS(PMT(IFERROR(VLOOKUP(B385,LOANS!$B:$G,6,0),12)/100/12,IFERROR(VLOOKUP(B385,LOANS!$B:$H,7,0),12),E385))),"")</f>
        <v/>
      </c>
      <c r="J385" s="26">
        <f>IF(B385="","","Active")</f>
        <v/>
      </c>
    </row>
    <row r="386">
      <c r="A386" s="48">
        <f>IF(B386="","","TU"&amp;TEXT(ROW()-2,"0000"))</f>
        <v/>
      </c>
      <c r="B386" s="49" t="n"/>
      <c r="C386" s="49">
        <f>IFERROR(IF(B386="","",VLOOKUP(B386,DATABASE!A:B,2,0)),"")</f>
        <v/>
      </c>
      <c r="D386" s="49" t="n"/>
      <c r="E386" s="50" t="n"/>
      <c r="F386" s="51">
        <f>IF(B386="","",TODAY())</f>
        <v/>
      </c>
      <c r="G386" s="49" t="n"/>
      <c r="H386" s="50">
        <f>IFERROR(IF(OR(B386="",E386=""),"",SUMIF(LOANS!$B:$B,B386,LOANS!$D:$D)+E386),"")</f>
        <v/>
      </c>
      <c r="I386" s="50">
        <f>IFERROR(IF(H386="","",SUMIF(LOANS!$B:$B,B386,LOANS!$I:$I)+ABS(PMT(IFERROR(VLOOKUP(B386,LOANS!$B:$G,6,0),12)/100/12,IFERROR(VLOOKUP(B386,LOANS!$B:$H,7,0),12),E386))),"")</f>
        <v/>
      </c>
      <c r="J386" s="49">
        <f>IF(B386="","","Active")</f>
        <v/>
      </c>
    </row>
    <row r="387">
      <c r="A387" s="47">
        <f>IF(B387="","","TU"&amp;TEXT(ROW()-2,"0000"))</f>
        <v/>
      </c>
      <c r="B387" s="26" t="n"/>
      <c r="C387" s="26">
        <f>IFERROR(IF(B387="","",VLOOKUP(B387,DATABASE!A:B,2,0)),"")</f>
        <v/>
      </c>
      <c r="D387" s="26" t="n"/>
      <c r="E387" s="30" t="n"/>
      <c r="F387" s="31">
        <f>IF(B387="","",TODAY())</f>
        <v/>
      </c>
      <c r="G387" s="26" t="n"/>
      <c r="H387" s="30">
        <f>IFERROR(IF(OR(B387="",E387=""),"",SUMIF(LOANS!$B:$B,B387,LOANS!$D:$D)+E387),"")</f>
        <v/>
      </c>
      <c r="I387" s="30">
        <f>IFERROR(IF(H387="","",SUMIF(LOANS!$B:$B,B387,LOANS!$I:$I)+ABS(PMT(IFERROR(VLOOKUP(B387,LOANS!$B:$G,6,0),12)/100/12,IFERROR(VLOOKUP(B387,LOANS!$B:$H,7,0),12),E387))),"")</f>
        <v/>
      </c>
      <c r="J387" s="26">
        <f>IF(B387="","","Active")</f>
        <v/>
      </c>
    </row>
    <row r="388">
      <c r="A388" s="48">
        <f>IF(B388="","","TU"&amp;TEXT(ROW()-2,"0000"))</f>
        <v/>
      </c>
      <c r="B388" s="49" t="n"/>
      <c r="C388" s="49">
        <f>IFERROR(IF(B388="","",VLOOKUP(B388,DATABASE!A:B,2,0)),"")</f>
        <v/>
      </c>
      <c r="D388" s="49" t="n"/>
      <c r="E388" s="50" t="n"/>
      <c r="F388" s="51">
        <f>IF(B388="","",TODAY())</f>
        <v/>
      </c>
      <c r="G388" s="49" t="n"/>
      <c r="H388" s="50">
        <f>IFERROR(IF(OR(B388="",E388=""),"",SUMIF(LOANS!$B:$B,B388,LOANS!$D:$D)+E388),"")</f>
        <v/>
      </c>
      <c r="I388" s="50">
        <f>IFERROR(IF(H388="","",SUMIF(LOANS!$B:$B,B388,LOANS!$I:$I)+ABS(PMT(IFERROR(VLOOKUP(B388,LOANS!$B:$G,6,0),12)/100/12,IFERROR(VLOOKUP(B388,LOANS!$B:$H,7,0),12),E388))),"")</f>
        <v/>
      </c>
      <c r="J388" s="49">
        <f>IF(B388="","","Active")</f>
        <v/>
      </c>
    </row>
    <row r="389">
      <c r="A389" s="47">
        <f>IF(B389="","","TU"&amp;TEXT(ROW()-2,"0000"))</f>
        <v/>
      </c>
      <c r="B389" s="26" t="n"/>
      <c r="C389" s="26">
        <f>IFERROR(IF(B389="","",VLOOKUP(B389,DATABASE!A:B,2,0)),"")</f>
        <v/>
      </c>
      <c r="D389" s="26" t="n"/>
      <c r="E389" s="30" t="n"/>
      <c r="F389" s="31">
        <f>IF(B389="","",TODAY())</f>
        <v/>
      </c>
      <c r="G389" s="26" t="n"/>
      <c r="H389" s="30">
        <f>IFERROR(IF(OR(B389="",E389=""),"",SUMIF(LOANS!$B:$B,B389,LOANS!$D:$D)+E389),"")</f>
        <v/>
      </c>
      <c r="I389" s="30">
        <f>IFERROR(IF(H389="","",SUMIF(LOANS!$B:$B,B389,LOANS!$I:$I)+ABS(PMT(IFERROR(VLOOKUP(B389,LOANS!$B:$G,6,0),12)/100/12,IFERROR(VLOOKUP(B389,LOANS!$B:$H,7,0),12),E389))),"")</f>
        <v/>
      </c>
      <c r="J389" s="26">
        <f>IF(B389="","","Active")</f>
        <v/>
      </c>
    </row>
    <row r="390">
      <c r="A390" s="48">
        <f>IF(B390="","","TU"&amp;TEXT(ROW()-2,"0000"))</f>
        <v/>
      </c>
      <c r="B390" s="49" t="n"/>
      <c r="C390" s="49">
        <f>IFERROR(IF(B390="","",VLOOKUP(B390,DATABASE!A:B,2,0)),"")</f>
        <v/>
      </c>
      <c r="D390" s="49" t="n"/>
      <c r="E390" s="50" t="n"/>
      <c r="F390" s="51">
        <f>IF(B390="","",TODAY())</f>
        <v/>
      </c>
      <c r="G390" s="49" t="n"/>
      <c r="H390" s="50">
        <f>IFERROR(IF(OR(B390="",E390=""),"",SUMIF(LOANS!$B:$B,B390,LOANS!$D:$D)+E390),"")</f>
        <v/>
      </c>
      <c r="I390" s="50">
        <f>IFERROR(IF(H390="","",SUMIF(LOANS!$B:$B,B390,LOANS!$I:$I)+ABS(PMT(IFERROR(VLOOKUP(B390,LOANS!$B:$G,6,0),12)/100/12,IFERROR(VLOOKUP(B390,LOANS!$B:$H,7,0),12),E390))),"")</f>
        <v/>
      </c>
      <c r="J390" s="49">
        <f>IF(B390="","","Active")</f>
        <v/>
      </c>
    </row>
    <row r="391">
      <c r="A391" s="47">
        <f>IF(B391="","","TU"&amp;TEXT(ROW()-2,"0000"))</f>
        <v/>
      </c>
      <c r="B391" s="26" t="n"/>
      <c r="C391" s="26">
        <f>IFERROR(IF(B391="","",VLOOKUP(B391,DATABASE!A:B,2,0)),"")</f>
        <v/>
      </c>
      <c r="D391" s="26" t="n"/>
      <c r="E391" s="30" t="n"/>
      <c r="F391" s="31">
        <f>IF(B391="","",TODAY())</f>
        <v/>
      </c>
      <c r="G391" s="26" t="n"/>
      <c r="H391" s="30">
        <f>IFERROR(IF(OR(B391="",E391=""),"",SUMIF(LOANS!$B:$B,B391,LOANS!$D:$D)+E391),"")</f>
        <v/>
      </c>
      <c r="I391" s="30">
        <f>IFERROR(IF(H391="","",SUMIF(LOANS!$B:$B,B391,LOANS!$I:$I)+ABS(PMT(IFERROR(VLOOKUP(B391,LOANS!$B:$G,6,0),12)/100/12,IFERROR(VLOOKUP(B391,LOANS!$B:$H,7,0),12),E391))),"")</f>
        <v/>
      </c>
      <c r="J391" s="26">
        <f>IF(B391="","","Active")</f>
        <v/>
      </c>
    </row>
    <row r="392">
      <c r="A392" s="48">
        <f>IF(B392="","","TU"&amp;TEXT(ROW()-2,"0000"))</f>
        <v/>
      </c>
      <c r="B392" s="49" t="n"/>
      <c r="C392" s="49">
        <f>IFERROR(IF(B392="","",VLOOKUP(B392,DATABASE!A:B,2,0)),"")</f>
        <v/>
      </c>
      <c r="D392" s="49" t="n"/>
      <c r="E392" s="50" t="n"/>
      <c r="F392" s="51">
        <f>IF(B392="","",TODAY())</f>
        <v/>
      </c>
      <c r="G392" s="49" t="n"/>
      <c r="H392" s="50">
        <f>IFERROR(IF(OR(B392="",E392=""),"",SUMIF(LOANS!$B:$B,B392,LOANS!$D:$D)+E392),"")</f>
        <v/>
      </c>
      <c r="I392" s="50">
        <f>IFERROR(IF(H392="","",SUMIF(LOANS!$B:$B,B392,LOANS!$I:$I)+ABS(PMT(IFERROR(VLOOKUP(B392,LOANS!$B:$G,6,0),12)/100/12,IFERROR(VLOOKUP(B392,LOANS!$B:$H,7,0),12),E392))),"")</f>
        <v/>
      </c>
      <c r="J392" s="49">
        <f>IF(B392="","","Active")</f>
        <v/>
      </c>
    </row>
    <row r="393">
      <c r="A393" s="47">
        <f>IF(B393="","","TU"&amp;TEXT(ROW()-2,"0000"))</f>
        <v/>
      </c>
      <c r="B393" s="26" t="n"/>
      <c r="C393" s="26">
        <f>IFERROR(IF(B393="","",VLOOKUP(B393,DATABASE!A:B,2,0)),"")</f>
        <v/>
      </c>
      <c r="D393" s="26" t="n"/>
      <c r="E393" s="30" t="n"/>
      <c r="F393" s="31">
        <f>IF(B393="","",TODAY())</f>
        <v/>
      </c>
      <c r="G393" s="26" t="n"/>
      <c r="H393" s="30">
        <f>IFERROR(IF(OR(B393="",E393=""),"",SUMIF(LOANS!$B:$B,B393,LOANS!$D:$D)+E393),"")</f>
        <v/>
      </c>
      <c r="I393" s="30">
        <f>IFERROR(IF(H393="","",SUMIF(LOANS!$B:$B,B393,LOANS!$I:$I)+ABS(PMT(IFERROR(VLOOKUP(B393,LOANS!$B:$G,6,0),12)/100/12,IFERROR(VLOOKUP(B393,LOANS!$B:$H,7,0),12),E393))),"")</f>
        <v/>
      </c>
      <c r="J393" s="26">
        <f>IF(B393="","","Active")</f>
        <v/>
      </c>
    </row>
    <row r="394">
      <c r="A394" s="48">
        <f>IF(B394="","","TU"&amp;TEXT(ROW()-2,"0000"))</f>
        <v/>
      </c>
      <c r="B394" s="49" t="n"/>
      <c r="C394" s="49">
        <f>IFERROR(IF(B394="","",VLOOKUP(B394,DATABASE!A:B,2,0)),"")</f>
        <v/>
      </c>
      <c r="D394" s="49" t="n"/>
      <c r="E394" s="50" t="n"/>
      <c r="F394" s="51">
        <f>IF(B394="","",TODAY())</f>
        <v/>
      </c>
      <c r="G394" s="49" t="n"/>
      <c r="H394" s="50">
        <f>IFERROR(IF(OR(B394="",E394=""),"",SUMIF(LOANS!$B:$B,B394,LOANS!$D:$D)+E394),"")</f>
        <v/>
      </c>
      <c r="I394" s="50">
        <f>IFERROR(IF(H394="","",SUMIF(LOANS!$B:$B,B394,LOANS!$I:$I)+ABS(PMT(IFERROR(VLOOKUP(B394,LOANS!$B:$G,6,0),12)/100/12,IFERROR(VLOOKUP(B394,LOANS!$B:$H,7,0),12),E394))),"")</f>
        <v/>
      </c>
      <c r="J394" s="49">
        <f>IF(B394="","","Active")</f>
        <v/>
      </c>
    </row>
    <row r="395">
      <c r="A395" s="47">
        <f>IF(B395="","","TU"&amp;TEXT(ROW()-2,"0000"))</f>
        <v/>
      </c>
      <c r="B395" s="26" t="n"/>
      <c r="C395" s="26">
        <f>IFERROR(IF(B395="","",VLOOKUP(B395,DATABASE!A:B,2,0)),"")</f>
        <v/>
      </c>
      <c r="D395" s="26" t="n"/>
      <c r="E395" s="30" t="n"/>
      <c r="F395" s="31">
        <f>IF(B395="","",TODAY())</f>
        <v/>
      </c>
      <c r="G395" s="26" t="n"/>
      <c r="H395" s="30">
        <f>IFERROR(IF(OR(B395="",E395=""),"",SUMIF(LOANS!$B:$B,B395,LOANS!$D:$D)+E395),"")</f>
        <v/>
      </c>
      <c r="I395" s="30">
        <f>IFERROR(IF(H395="","",SUMIF(LOANS!$B:$B,B395,LOANS!$I:$I)+ABS(PMT(IFERROR(VLOOKUP(B395,LOANS!$B:$G,6,0),12)/100/12,IFERROR(VLOOKUP(B395,LOANS!$B:$H,7,0),12),E395))),"")</f>
        <v/>
      </c>
      <c r="J395" s="26">
        <f>IF(B395="","","Active")</f>
        <v/>
      </c>
    </row>
    <row r="396">
      <c r="A396" s="48">
        <f>IF(B396="","","TU"&amp;TEXT(ROW()-2,"0000"))</f>
        <v/>
      </c>
      <c r="B396" s="49" t="n"/>
      <c r="C396" s="49">
        <f>IFERROR(IF(B396="","",VLOOKUP(B396,DATABASE!A:B,2,0)),"")</f>
        <v/>
      </c>
      <c r="D396" s="49" t="n"/>
      <c r="E396" s="50" t="n"/>
      <c r="F396" s="51">
        <f>IF(B396="","",TODAY())</f>
        <v/>
      </c>
      <c r="G396" s="49" t="n"/>
      <c r="H396" s="50">
        <f>IFERROR(IF(OR(B396="",E396=""),"",SUMIF(LOANS!$B:$B,B396,LOANS!$D:$D)+E396),"")</f>
        <v/>
      </c>
      <c r="I396" s="50">
        <f>IFERROR(IF(H396="","",SUMIF(LOANS!$B:$B,B396,LOANS!$I:$I)+ABS(PMT(IFERROR(VLOOKUP(B396,LOANS!$B:$G,6,0),12)/100/12,IFERROR(VLOOKUP(B396,LOANS!$B:$H,7,0),12),E396))),"")</f>
        <v/>
      </c>
      <c r="J396" s="49">
        <f>IF(B396="","","Active")</f>
        <v/>
      </c>
    </row>
    <row r="397">
      <c r="A397" s="47">
        <f>IF(B397="","","TU"&amp;TEXT(ROW()-2,"0000"))</f>
        <v/>
      </c>
      <c r="B397" s="26" t="n"/>
      <c r="C397" s="26">
        <f>IFERROR(IF(B397="","",VLOOKUP(B397,DATABASE!A:B,2,0)),"")</f>
        <v/>
      </c>
      <c r="D397" s="26" t="n"/>
      <c r="E397" s="30" t="n"/>
      <c r="F397" s="31">
        <f>IF(B397="","",TODAY())</f>
        <v/>
      </c>
      <c r="G397" s="26" t="n"/>
      <c r="H397" s="30">
        <f>IFERROR(IF(OR(B397="",E397=""),"",SUMIF(LOANS!$B:$B,B397,LOANS!$D:$D)+E397),"")</f>
        <v/>
      </c>
      <c r="I397" s="30">
        <f>IFERROR(IF(H397="","",SUMIF(LOANS!$B:$B,B397,LOANS!$I:$I)+ABS(PMT(IFERROR(VLOOKUP(B397,LOANS!$B:$G,6,0),12)/100/12,IFERROR(VLOOKUP(B397,LOANS!$B:$H,7,0),12),E397))),"")</f>
        <v/>
      </c>
      <c r="J397" s="26">
        <f>IF(B397="","","Active")</f>
        <v/>
      </c>
    </row>
    <row r="398">
      <c r="A398" s="48">
        <f>IF(B398="","","TU"&amp;TEXT(ROW()-2,"0000"))</f>
        <v/>
      </c>
      <c r="B398" s="49" t="n"/>
      <c r="C398" s="49">
        <f>IFERROR(IF(B398="","",VLOOKUP(B398,DATABASE!A:B,2,0)),"")</f>
        <v/>
      </c>
      <c r="D398" s="49" t="n"/>
      <c r="E398" s="50" t="n"/>
      <c r="F398" s="51">
        <f>IF(B398="","",TODAY())</f>
        <v/>
      </c>
      <c r="G398" s="49" t="n"/>
      <c r="H398" s="50">
        <f>IFERROR(IF(OR(B398="",E398=""),"",SUMIF(LOANS!$B:$B,B398,LOANS!$D:$D)+E398),"")</f>
        <v/>
      </c>
      <c r="I398" s="50">
        <f>IFERROR(IF(H398="","",SUMIF(LOANS!$B:$B,B398,LOANS!$I:$I)+ABS(PMT(IFERROR(VLOOKUP(B398,LOANS!$B:$G,6,0),12)/100/12,IFERROR(VLOOKUP(B398,LOANS!$B:$H,7,0),12),E398))),"")</f>
        <v/>
      </c>
      <c r="J398" s="49">
        <f>IF(B398="","","Active")</f>
        <v/>
      </c>
    </row>
    <row r="399">
      <c r="A399" s="47">
        <f>IF(B399="","","TU"&amp;TEXT(ROW()-2,"0000"))</f>
        <v/>
      </c>
      <c r="B399" s="26" t="n"/>
      <c r="C399" s="26">
        <f>IFERROR(IF(B399="","",VLOOKUP(B399,DATABASE!A:B,2,0)),"")</f>
        <v/>
      </c>
      <c r="D399" s="26" t="n"/>
      <c r="E399" s="30" t="n"/>
      <c r="F399" s="31">
        <f>IF(B399="","",TODAY())</f>
        <v/>
      </c>
      <c r="G399" s="26" t="n"/>
      <c r="H399" s="30">
        <f>IFERROR(IF(OR(B399="",E399=""),"",SUMIF(LOANS!$B:$B,B399,LOANS!$D:$D)+E399),"")</f>
        <v/>
      </c>
      <c r="I399" s="30">
        <f>IFERROR(IF(H399="","",SUMIF(LOANS!$B:$B,B399,LOANS!$I:$I)+ABS(PMT(IFERROR(VLOOKUP(B399,LOANS!$B:$G,6,0),12)/100/12,IFERROR(VLOOKUP(B399,LOANS!$B:$H,7,0),12),E399))),"")</f>
        <v/>
      </c>
      <c r="J399" s="26">
        <f>IF(B399="","","Active")</f>
        <v/>
      </c>
    </row>
    <row r="400">
      <c r="A400" s="48">
        <f>IF(B400="","","TU"&amp;TEXT(ROW()-2,"0000"))</f>
        <v/>
      </c>
      <c r="B400" s="49" t="n"/>
      <c r="C400" s="49">
        <f>IFERROR(IF(B400="","",VLOOKUP(B400,DATABASE!A:B,2,0)),"")</f>
        <v/>
      </c>
      <c r="D400" s="49" t="n"/>
      <c r="E400" s="50" t="n"/>
      <c r="F400" s="51">
        <f>IF(B400="","",TODAY())</f>
        <v/>
      </c>
      <c r="G400" s="49" t="n"/>
      <c r="H400" s="50">
        <f>IFERROR(IF(OR(B400="",E400=""),"",SUMIF(LOANS!$B:$B,B400,LOANS!$D:$D)+E400),"")</f>
        <v/>
      </c>
      <c r="I400" s="50">
        <f>IFERROR(IF(H400="","",SUMIF(LOANS!$B:$B,B400,LOANS!$I:$I)+ABS(PMT(IFERROR(VLOOKUP(B400,LOANS!$B:$G,6,0),12)/100/12,IFERROR(VLOOKUP(B400,LOANS!$B:$H,7,0),12),E400))),"")</f>
        <v/>
      </c>
      <c r="J400" s="49">
        <f>IF(B400="","","Active")</f>
        <v/>
      </c>
    </row>
    <row r="401">
      <c r="A401" s="47">
        <f>IF(B401="","","TU"&amp;TEXT(ROW()-2,"0000"))</f>
        <v/>
      </c>
      <c r="B401" s="26" t="n"/>
      <c r="C401" s="26">
        <f>IFERROR(IF(B401="","",VLOOKUP(B401,DATABASE!A:B,2,0)),"")</f>
        <v/>
      </c>
      <c r="D401" s="26" t="n"/>
      <c r="E401" s="30" t="n"/>
      <c r="F401" s="31">
        <f>IF(B401="","",TODAY())</f>
        <v/>
      </c>
      <c r="G401" s="26" t="n"/>
      <c r="H401" s="30">
        <f>IFERROR(IF(OR(B401="",E401=""),"",SUMIF(LOANS!$B:$B,B401,LOANS!$D:$D)+E401),"")</f>
        <v/>
      </c>
      <c r="I401" s="30">
        <f>IFERROR(IF(H401="","",SUMIF(LOANS!$B:$B,B401,LOANS!$I:$I)+ABS(PMT(IFERROR(VLOOKUP(B401,LOANS!$B:$G,6,0),12)/100/12,IFERROR(VLOOKUP(B401,LOANS!$B:$H,7,0),12),E401))),"")</f>
        <v/>
      </c>
      <c r="J401" s="26">
        <f>IF(B401="","","Active")</f>
        <v/>
      </c>
    </row>
    <row r="402">
      <c r="A402" s="48">
        <f>IF(B402="","","TU"&amp;TEXT(ROW()-2,"0000"))</f>
        <v/>
      </c>
      <c r="B402" s="49" t="n"/>
      <c r="C402" s="49">
        <f>IFERROR(IF(B402="","",VLOOKUP(B402,DATABASE!A:B,2,0)),"")</f>
        <v/>
      </c>
      <c r="D402" s="49" t="n"/>
      <c r="E402" s="50" t="n"/>
      <c r="F402" s="51">
        <f>IF(B402="","",TODAY())</f>
        <v/>
      </c>
      <c r="G402" s="49" t="n"/>
      <c r="H402" s="50">
        <f>IFERROR(IF(OR(B402="",E402=""),"",SUMIF(LOANS!$B:$B,B402,LOANS!$D:$D)+E402),"")</f>
        <v/>
      </c>
      <c r="I402" s="50">
        <f>IFERROR(IF(H402="","",SUMIF(LOANS!$B:$B,B402,LOANS!$I:$I)+ABS(PMT(IFERROR(VLOOKUP(B402,LOANS!$B:$G,6,0),12)/100/12,IFERROR(VLOOKUP(B402,LOANS!$B:$H,7,0),12),E402))),"")</f>
        <v/>
      </c>
      <c r="J402" s="49">
        <f>IF(B402="","","Active")</f>
        <v/>
      </c>
    </row>
    <row r="403">
      <c r="A403" s="47">
        <f>IF(B403="","","TU"&amp;TEXT(ROW()-2,"0000"))</f>
        <v/>
      </c>
      <c r="B403" s="26" t="n"/>
      <c r="C403" s="26">
        <f>IFERROR(IF(B403="","",VLOOKUP(B403,DATABASE!A:B,2,0)),"")</f>
        <v/>
      </c>
      <c r="D403" s="26" t="n"/>
      <c r="E403" s="30" t="n"/>
      <c r="F403" s="31">
        <f>IF(B403="","",TODAY())</f>
        <v/>
      </c>
      <c r="G403" s="26" t="n"/>
      <c r="H403" s="30">
        <f>IFERROR(IF(OR(B403="",E403=""),"",SUMIF(LOANS!$B:$B,B403,LOANS!$D:$D)+E403),"")</f>
        <v/>
      </c>
      <c r="I403" s="30">
        <f>IFERROR(IF(H403="","",SUMIF(LOANS!$B:$B,B403,LOANS!$I:$I)+ABS(PMT(IFERROR(VLOOKUP(B403,LOANS!$B:$G,6,0),12)/100/12,IFERROR(VLOOKUP(B403,LOANS!$B:$H,7,0),12),E403))),"")</f>
        <v/>
      </c>
      <c r="J403" s="26">
        <f>IF(B403="","","Active")</f>
        <v/>
      </c>
    </row>
    <row r="404">
      <c r="A404" s="48">
        <f>IF(B404="","","TU"&amp;TEXT(ROW()-2,"0000"))</f>
        <v/>
      </c>
      <c r="B404" s="49" t="n"/>
      <c r="C404" s="49">
        <f>IFERROR(IF(B404="","",VLOOKUP(B404,DATABASE!A:B,2,0)),"")</f>
        <v/>
      </c>
      <c r="D404" s="49" t="n"/>
      <c r="E404" s="50" t="n"/>
      <c r="F404" s="51">
        <f>IF(B404="","",TODAY())</f>
        <v/>
      </c>
      <c r="G404" s="49" t="n"/>
      <c r="H404" s="50">
        <f>IFERROR(IF(OR(B404="",E404=""),"",SUMIF(LOANS!$B:$B,B404,LOANS!$D:$D)+E404),"")</f>
        <v/>
      </c>
      <c r="I404" s="50">
        <f>IFERROR(IF(H404="","",SUMIF(LOANS!$B:$B,B404,LOANS!$I:$I)+ABS(PMT(IFERROR(VLOOKUP(B404,LOANS!$B:$G,6,0),12)/100/12,IFERROR(VLOOKUP(B404,LOANS!$B:$H,7,0),12),E404))),"")</f>
        <v/>
      </c>
      <c r="J404" s="49">
        <f>IF(B404="","","Active")</f>
        <v/>
      </c>
    </row>
    <row r="405">
      <c r="A405" s="47">
        <f>IF(B405="","","TU"&amp;TEXT(ROW()-2,"0000"))</f>
        <v/>
      </c>
      <c r="B405" s="26" t="n"/>
      <c r="C405" s="26">
        <f>IFERROR(IF(B405="","",VLOOKUP(B405,DATABASE!A:B,2,0)),"")</f>
        <v/>
      </c>
      <c r="D405" s="26" t="n"/>
      <c r="E405" s="30" t="n"/>
      <c r="F405" s="31">
        <f>IF(B405="","",TODAY())</f>
        <v/>
      </c>
      <c r="G405" s="26" t="n"/>
      <c r="H405" s="30">
        <f>IFERROR(IF(OR(B405="",E405=""),"",SUMIF(LOANS!$B:$B,B405,LOANS!$D:$D)+E405),"")</f>
        <v/>
      </c>
      <c r="I405" s="30">
        <f>IFERROR(IF(H405="","",SUMIF(LOANS!$B:$B,B405,LOANS!$I:$I)+ABS(PMT(IFERROR(VLOOKUP(B405,LOANS!$B:$G,6,0),12)/100/12,IFERROR(VLOOKUP(B405,LOANS!$B:$H,7,0),12),E405))),"")</f>
        <v/>
      </c>
      <c r="J405" s="26">
        <f>IF(B405="","","Active")</f>
        <v/>
      </c>
    </row>
    <row r="406">
      <c r="A406" s="48">
        <f>IF(B406="","","TU"&amp;TEXT(ROW()-2,"0000"))</f>
        <v/>
      </c>
      <c r="B406" s="49" t="n"/>
      <c r="C406" s="49">
        <f>IFERROR(IF(B406="","",VLOOKUP(B406,DATABASE!A:B,2,0)),"")</f>
        <v/>
      </c>
      <c r="D406" s="49" t="n"/>
      <c r="E406" s="50" t="n"/>
      <c r="F406" s="51">
        <f>IF(B406="","",TODAY())</f>
        <v/>
      </c>
      <c r="G406" s="49" t="n"/>
      <c r="H406" s="50">
        <f>IFERROR(IF(OR(B406="",E406=""),"",SUMIF(LOANS!$B:$B,B406,LOANS!$D:$D)+E406),"")</f>
        <v/>
      </c>
      <c r="I406" s="50">
        <f>IFERROR(IF(H406="","",SUMIF(LOANS!$B:$B,B406,LOANS!$I:$I)+ABS(PMT(IFERROR(VLOOKUP(B406,LOANS!$B:$G,6,0),12)/100/12,IFERROR(VLOOKUP(B406,LOANS!$B:$H,7,0),12),E406))),"")</f>
        <v/>
      </c>
      <c r="J406" s="49">
        <f>IF(B406="","","Active")</f>
        <v/>
      </c>
    </row>
    <row r="407">
      <c r="A407" s="47">
        <f>IF(B407="","","TU"&amp;TEXT(ROW()-2,"0000"))</f>
        <v/>
      </c>
      <c r="B407" s="26" t="n"/>
      <c r="C407" s="26">
        <f>IFERROR(IF(B407="","",VLOOKUP(B407,DATABASE!A:B,2,0)),"")</f>
        <v/>
      </c>
      <c r="D407" s="26" t="n"/>
      <c r="E407" s="30" t="n"/>
      <c r="F407" s="31">
        <f>IF(B407="","",TODAY())</f>
        <v/>
      </c>
      <c r="G407" s="26" t="n"/>
      <c r="H407" s="30">
        <f>IFERROR(IF(OR(B407="",E407=""),"",SUMIF(LOANS!$B:$B,B407,LOANS!$D:$D)+E407),"")</f>
        <v/>
      </c>
      <c r="I407" s="30">
        <f>IFERROR(IF(H407="","",SUMIF(LOANS!$B:$B,B407,LOANS!$I:$I)+ABS(PMT(IFERROR(VLOOKUP(B407,LOANS!$B:$G,6,0),12)/100/12,IFERROR(VLOOKUP(B407,LOANS!$B:$H,7,0),12),E407))),"")</f>
        <v/>
      </c>
      <c r="J407" s="26">
        <f>IF(B407="","","Active")</f>
        <v/>
      </c>
    </row>
    <row r="408">
      <c r="A408" s="48">
        <f>IF(B408="","","TU"&amp;TEXT(ROW()-2,"0000"))</f>
        <v/>
      </c>
      <c r="B408" s="49" t="n"/>
      <c r="C408" s="49">
        <f>IFERROR(IF(B408="","",VLOOKUP(B408,DATABASE!A:B,2,0)),"")</f>
        <v/>
      </c>
      <c r="D408" s="49" t="n"/>
      <c r="E408" s="50" t="n"/>
      <c r="F408" s="51">
        <f>IF(B408="","",TODAY())</f>
        <v/>
      </c>
      <c r="G408" s="49" t="n"/>
      <c r="H408" s="50">
        <f>IFERROR(IF(OR(B408="",E408=""),"",SUMIF(LOANS!$B:$B,B408,LOANS!$D:$D)+E408),"")</f>
        <v/>
      </c>
      <c r="I408" s="50">
        <f>IFERROR(IF(H408="","",SUMIF(LOANS!$B:$B,B408,LOANS!$I:$I)+ABS(PMT(IFERROR(VLOOKUP(B408,LOANS!$B:$G,6,0),12)/100/12,IFERROR(VLOOKUP(B408,LOANS!$B:$H,7,0),12),E408))),"")</f>
        <v/>
      </c>
      <c r="J408" s="49">
        <f>IF(B408="","","Active")</f>
        <v/>
      </c>
    </row>
    <row r="409">
      <c r="A409" s="47">
        <f>IF(B409="","","TU"&amp;TEXT(ROW()-2,"0000"))</f>
        <v/>
      </c>
      <c r="B409" s="26" t="n"/>
      <c r="C409" s="26">
        <f>IFERROR(IF(B409="","",VLOOKUP(B409,DATABASE!A:B,2,0)),"")</f>
        <v/>
      </c>
      <c r="D409" s="26" t="n"/>
      <c r="E409" s="30" t="n"/>
      <c r="F409" s="31">
        <f>IF(B409="","",TODAY())</f>
        <v/>
      </c>
      <c r="G409" s="26" t="n"/>
      <c r="H409" s="30">
        <f>IFERROR(IF(OR(B409="",E409=""),"",SUMIF(LOANS!$B:$B,B409,LOANS!$D:$D)+E409),"")</f>
        <v/>
      </c>
      <c r="I409" s="30">
        <f>IFERROR(IF(H409="","",SUMIF(LOANS!$B:$B,B409,LOANS!$I:$I)+ABS(PMT(IFERROR(VLOOKUP(B409,LOANS!$B:$G,6,0),12)/100/12,IFERROR(VLOOKUP(B409,LOANS!$B:$H,7,0),12),E409))),"")</f>
        <v/>
      </c>
      <c r="J409" s="26">
        <f>IF(B409="","","Active")</f>
        <v/>
      </c>
    </row>
    <row r="410">
      <c r="A410" s="48">
        <f>IF(B410="","","TU"&amp;TEXT(ROW()-2,"0000"))</f>
        <v/>
      </c>
      <c r="B410" s="49" t="n"/>
      <c r="C410" s="49">
        <f>IFERROR(IF(B410="","",VLOOKUP(B410,DATABASE!A:B,2,0)),"")</f>
        <v/>
      </c>
      <c r="D410" s="49" t="n"/>
      <c r="E410" s="50" t="n"/>
      <c r="F410" s="51">
        <f>IF(B410="","",TODAY())</f>
        <v/>
      </c>
      <c r="G410" s="49" t="n"/>
      <c r="H410" s="50">
        <f>IFERROR(IF(OR(B410="",E410=""),"",SUMIF(LOANS!$B:$B,B410,LOANS!$D:$D)+E410),"")</f>
        <v/>
      </c>
      <c r="I410" s="50">
        <f>IFERROR(IF(H410="","",SUMIF(LOANS!$B:$B,B410,LOANS!$I:$I)+ABS(PMT(IFERROR(VLOOKUP(B410,LOANS!$B:$G,6,0),12)/100/12,IFERROR(VLOOKUP(B410,LOANS!$B:$H,7,0),12),E410))),"")</f>
        <v/>
      </c>
      <c r="J410" s="49">
        <f>IF(B410="","","Active")</f>
        <v/>
      </c>
    </row>
    <row r="411">
      <c r="A411" s="47">
        <f>IF(B411="","","TU"&amp;TEXT(ROW()-2,"0000"))</f>
        <v/>
      </c>
      <c r="B411" s="26" t="n"/>
      <c r="C411" s="26">
        <f>IFERROR(IF(B411="","",VLOOKUP(B411,DATABASE!A:B,2,0)),"")</f>
        <v/>
      </c>
      <c r="D411" s="26" t="n"/>
      <c r="E411" s="30" t="n"/>
      <c r="F411" s="31">
        <f>IF(B411="","",TODAY())</f>
        <v/>
      </c>
      <c r="G411" s="26" t="n"/>
      <c r="H411" s="30">
        <f>IFERROR(IF(OR(B411="",E411=""),"",SUMIF(LOANS!$B:$B,B411,LOANS!$D:$D)+E411),"")</f>
        <v/>
      </c>
      <c r="I411" s="30">
        <f>IFERROR(IF(H411="","",SUMIF(LOANS!$B:$B,B411,LOANS!$I:$I)+ABS(PMT(IFERROR(VLOOKUP(B411,LOANS!$B:$G,6,0),12)/100/12,IFERROR(VLOOKUP(B411,LOANS!$B:$H,7,0),12),E411))),"")</f>
        <v/>
      </c>
      <c r="J411" s="26">
        <f>IF(B411="","","Active")</f>
        <v/>
      </c>
    </row>
    <row r="412">
      <c r="A412" s="48">
        <f>IF(B412="","","TU"&amp;TEXT(ROW()-2,"0000"))</f>
        <v/>
      </c>
      <c r="B412" s="49" t="n"/>
      <c r="C412" s="49">
        <f>IFERROR(IF(B412="","",VLOOKUP(B412,DATABASE!A:B,2,0)),"")</f>
        <v/>
      </c>
      <c r="D412" s="49" t="n"/>
      <c r="E412" s="50" t="n"/>
      <c r="F412" s="51">
        <f>IF(B412="","",TODAY())</f>
        <v/>
      </c>
      <c r="G412" s="49" t="n"/>
      <c r="H412" s="50">
        <f>IFERROR(IF(OR(B412="",E412=""),"",SUMIF(LOANS!$B:$B,B412,LOANS!$D:$D)+E412),"")</f>
        <v/>
      </c>
      <c r="I412" s="50">
        <f>IFERROR(IF(H412="","",SUMIF(LOANS!$B:$B,B412,LOANS!$I:$I)+ABS(PMT(IFERROR(VLOOKUP(B412,LOANS!$B:$G,6,0),12)/100/12,IFERROR(VLOOKUP(B412,LOANS!$B:$H,7,0),12),E412))),"")</f>
        <v/>
      </c>
      <c r="J412" s="49">
        <f>IF(B412="","","Active")</f>
        <v/>
      </c>
    </row>
    <row r="413">
      <c r="A413" s="47">
        <f>IF(B413="","","TU"&amp;TEXT(ROW()-2,"0000"))</f>
        <v/>
      </c>
      <c r="B413" s="26" t="n"/>
      <c r="C413" s="26">
        <f>IFERROR(IF(B413="","",VLOOKUP(B413,DATABASE!A:B,2,0)),"")</f>
        <v/>
      </c>
      <c r="D413" s="26" t="n"/>
      <c r="E413" s="30" t="n"/>
      <c r="F413" s="31">
        <f>IF(B413="","",TODAY())</f>
        <v/>
      </c>
      <c r="G413" s="26" t="n"/>
      <c r="H413" s="30">
        <f>IFERROR(IF(OR(B413="",E413=""),"",SUMIF(LOANS!$B:$B,B413,LOANS!$D:$D)+E413),"")</f>
        <v/>
      </c>
      <c r="I413" s="30">
        <f>IFERROR(IF(H413="","",SUMIF(LOANS!$B:$B,B413,LOANS!$I:$I)+ABS(PMT(IFERROR(VLOOKUP(B413,LOANS!$B:$G,6,0),12)/100/12,IFERROR(VLOOKUP(B413,LOANS!$B:$H,7,0),12),E413))),"")</f>
        <v/>
      </c>
      <c r="J413" s="26">
        <f>IF(B413="","","Active")</f>
        <v/>
      </c>
    </row>
    <row r="414">
      <c r="A414" s="48">
        <f>IF(B414="","","TU"&amp;TEXT(ROW()-2,"0000"))</f>
        <v/>
      </c>
      <c r="B414" s="49" t="n"/>
      <c r="C414" s="49">
        <f>IFERROR(IF(B414="","",VLOOKUP(B414,DATABASE!A:B,2,0)),"")</f>
        <v/>
      </c>
      <c r="D414" s="49" t="n"/>
      <c r="E414" s="50" t="n"/>
      <c r="F414" s="51">
        <f>IF(B414="","",TODAY())</f>
        <v/>
      </c>
      <c r="G414" s="49" t="n"/>
      <c r="H414" s="50">
        <f>IFERROR(IF(OR(B414="",E414=""),"",SUMIF(LOANS!$B:$B,B414,LOANS!$D:$D)+E414),"")</f>
        <v/>
      </c>
      <c r="I414" s="50">
        <f>IFERROR(IF(H414="","",SUMIF(LOANS!$B:$B,B414,LOANS!$I:$I)+ABS(PMT(IFERROR(VLOOKUP(B414,LOANS!$B:$G,6,0),12)/100/12,IFERROR(VLOOKUP(B414,LOANS!$B:$H,7,0),12),E414))),"")</f>
        <v/>
      </c>
      <c r="J414" s="49">
        <f>IF(B414="","","Active")</f>
        <v/>
      </c>
    </row>
    <row r="415">
      <c r="A415" s="47">
        <f>IF(B415="","","TU"&amp;TEXT(ROW()-2,"0000"))</f>
        <v/>
      </c>
      <c r="B415" s="26" t="n"/>
      <c r="C415" s="26">
        <f>IFERROR(IF(B415="","",VLOOKUP(B415,DATABASE!A:B,2,0)),"")</f>
        <v/>
      </c>
      <c r="D415" s="26" t="n"/>
      <c r="E415" s="30" t="n"/>
      <c r="F415" s="31">
        <f>IF(B415="","",TODAY())</f>
        <v/>
      </c>
      <c r="G415" s="26" t="n"/>
      <c r="H415" s="30">
        <f>IFERROR(IF(OR(B415="",E415=""),"",SUMIF(LOANS!$B:$B,B415,LOANS!$D:$D)+E415),"")</f>
        <v/>
      </c>
      <c r="I415" s="30">
        <f>IFERROR(IF(H415="","",SUMIF(LOANS!$B:$B,B415,LOANS!$I:$I)+ABS(PMT(IFERROR(VLOOKUP(B415,LOANS!$B:$G,6,0),12)/100/12,IFERROR(VLOOKUP(B415,LOANS!$B:$H,7,0),12),E415))),"")</f>
        <v/>
      </c>
      <c r="J415" s="26">
        <f>IF(B415="","","Active")</f>
        <v/>
      </c>
    </row>
    <row r="416">
      <c r="A416" s="48">
        <f>IF(B416="","","TU"&amp;TEXT(ROW()-2,"0000"))</f>
        <v/>
      </c>
      <c r="B416" s="49" t="n"/>
      <c r="C416" s="49">
        <f>IFERROR(IF(B416="","",VLOOKUP(B416,DATABASE!A:B,2,0)),"")</f>
        <v/>
      </c>
      <c r="D416" s="49" t="n"/>
      <c r="E416" s="50" t="n"/>
      <c r="F416" s="51">
        <f>IF(B416="","",TODAY())</f>
        <v/>
      </c>
      <c r="G416" s="49" t="n"/>
      <c r="H416" s="50">
        <f>IFERROR(IF(OR(B416="",E416=""),"",SUMIF(LOANS!$B:$B,B416,LOANS!$D:$D)+E416),"")</f>
        <v/>
      </c>
      <c r="I416" s="50">
        <f>IFERROR(IF(H416="","",SUMIF(LOANS!$B:$B,B416,LOANS!$I:$I)+ABS(PMT(IFERROR(VLOOKUP(B416,LOANS!$B:$G,6,0),12)/100/12,IFERROR(VLOOKUP(B416,LOANS!$B:$H,7,0),12),E416))),"")</f>
        <v/>
      </c>
      <c r="J416" s="49">
        <f>IF(B416="","","Active")</f>
        <v/>
      </c>
    </row>
    <row r="417">
      <c r="A417" s="47">
        <f>IF(B417="","","TU"&amp;TEXT(ROW()-2,"0000"))</f>
        <v/>
      </c>
      <c r="B417" s="26" t="n"/>
      <c r="C417" s="26">
        <f>IFERROR(IF(B417="","",VLOOKUP(B417,DATABASE!A:B,2,0)),"")</f>
        <v/>
      </c>
      <c r="D417" s="26" t="n"/>
      <c r="E417" s="30" t="n"/>
      <c r="F417" s="31">
        <f>IF(B417="","",TODAY())</f>
        <v/>
      </c>
      <c r="G417" s="26" t="n"/>
      <c r="H417" s="30">
        <f>IFERROR(IF(OR(B417="",E417=""),"",SUMIF(LOANS!$B:$B,B417,LOANS!$D:$D)+E417),"")</f>
        <v/>
      </c>
      <c r="I417" s="30">
        <f>IFERROR(IF(H417="","",SUMIF(LOANS!$B:$B,B417,LOANS!$I:$I)+ABS(PMT(IFERROR(VLOOKUP(B417,LOANS!$B:$G,6,0),12)/100/12,IFERROR(VLOOKUP(B417,LOANS!$B:$H,7,0),12),E417))),"")</f>
        <v/>
      </c>
      <c r="J417" s="26">
        <f>IF(B417="","","Active")</f>
        <v/>
      </c>
    </row>
    <row r="418">
      <c r="A418" s="48">
        <f>IF(B418="","","TU"&amp;TEXT(ROW()-2,"0000"))</f>
        <v/>
      </c>
      <c r="B418" s="49" t="n"/>
      <c r="C418" s="49">
        <f>IFERROR(IF(B418="","",VLOOKUP(B418,DATABASE!A:B,2,0)),"")</f>
        <v/>
      </c>
      <c r="D418" s="49" t="n"/>
      <c r="E418" s="50" t="n"/>
      <c r="F418" s="51">
        <f>IF(B418="","",TODAY())</f>
        <v/>
      </c>
      <c r="G418" s="49" t="n"/>
      <c r="H418" s="50">
        <f>IFERROR(IF(OR(B418="",E418=""),"",SUMIF(LOANS!$B:$B,B418,LOANS!$D:$D)+E418),"")</f>
        <v/>
      </c>
      <c r="I418" s="50">
        <f>IFERROR(IF(H418="","",SUMIF(LOANS!$B:$B,B418,LOANS!$I:$I)+ABS(PMT(IFERROR(VLOOKUP(B418,LOANS!$B:$G,6,0),12)/100/12,IFERROR(VLOOKUP(B418,LOANS!$B:$H,7,0),12),E418))),"")</f>
        <v/>
      </c>
      <c r="J418" s="49">
        <f>IF(B418="","","Active")</f>
        <v/>
      </c>
    </row>
    <row r="419">
      <c r="A419" s="47">
        <f>IF(B419="","","TU"&amp;TEXT(ROW()-2,"0000"))</f>
        <v/>
      </c>
      <c r="B419" s="26" t="n"/>
      <c r="C419" s="26">
        <f>IFERROR(IF(B419="","",VLOOKUP(B419,DATABASE!A:B,2,0)),"")</f>
        <v/>
      </c>
      <c r="D419" s="26" t="n"/>
      <c r="E419" s="30" t="n"/>
      <c r="F419" s="31">
        <f>IF(B419="","",TODAY())</f>
        <v/>
      </c>
      <c r="G419" s="26" t="n"/>
      <c r="H419" s="30">
        <f>IFERROR(IF(OR(B419="",E419=""),"",SUMIF(LOANS!$B:$B,B419,LOANS!$D:$D)+E419),"")</f>
        <v/>
      </c>
      <c r="I419" s="30">
        <f>IFERROR(IF(H419="","",SUMIF(LOANS!$B:$B,B419,LOANS!$I:$I)+ABS(PMT(IFERROR(VLOOKUP(B419,LOANS!$B:$G,6,0),12)/100/12,IFERROR(VLOOKUP(B419,LOANS!$B:$H,7,0),12),E419))),"")</f>
        <v/>
      </c>
      <c r="J419" s="26">
        <f>IF(B419="","","Active")</f>
        <v/>
      </c>
    </row>
    <row r="420">
      <c r="A420" s="48">
        <f>IF(B420="","","TU"&amp;TEXT(ROW()-2,"0000"))</f>
        <v/>
      </c>
      <c r="B420" s="49" t="n"/>
      <c r="C420" s="49">
        <f>IFERROR(IF(B420="","",VLOOKUP(B420,DATABASE!A:B,2,0)),"")</f>
        <v/>
      </c>
      <c r="D420" s="49" t="n"/>
      <c r="E420" s="50" t="n"/>
      <c r="F420" s="51">
        <f>IF(B420="","",TODAY())</f>
        <v/>
      </c>
      <c r="G420" s="49" t="n"/>
      <c r="H420" s="50">
        <f>IFERROR(IF(OR(B420="",E420=""),"",SUMIF(LOANS!$B:$B,B420,LOANS!$D:$D)+E420),"")</f>
        <v/>
      </c>
      <c r="I420" s="50">
        <f>IFERROR(IF(H420="","",SUMIF(LOANS!$B:$B,B420,LOANS!$I:$I)+ABS(PMT(IFERROR(VLOOKUP(B420,LOANS!$B:$G,6,0),12)/100/12,IFERROR(VLOOKUP(B420,LOANS!$B:$H,7,0),12),E420))),"")</f>
        <v/>
      </c>
      <c r="J420" s="49">
        <f>IF(B420="","","Active")</f>
        <v/>
      </c>
    </row>
    <row r="421">
      <c r="A421" s="47">
        <f>IF(B421="","","TU"&amp;TEXT(ROW()-2,"0000"))</f>
        <v/>
      </c>
      <c r="B421" s="26" t="n"/>
      <c r="C421" s="26">
        <f>IFERROR(IF(B421="","",VLOOKUP(B421,DATABASE!A:B,2,0)),"")</f>
        <v/>
      </c>
      <c r="D421" s="26" t="n"/>
      <c r="E421" s="30" t="n"/>
      <c r="F421" s="31">
        <f>IF(B421="","",TODAY())</f>
        <v/>
      </c>
      <c r="G421" s="26" t="n"/>
      <c r="H421" s="30">
        <f>IFERROR(IF(OR(B421="",E421=""),"",SUMIF(LOANS!$B:$B,B421,LOANS!$D:$D)+E421),"")</f>
        <v/>
      </c>
      <c r="I421" s="30">
        <f>IFERROR(IF(H421="","",SUMIF(LOANS!$B:$B,B421,LOANS!$I:$I)+ABS(PMT(IFERROR(VLOOKUP(B421,LOANS!$B:$G,6,0),12)/100/12,IFERROR(VLOOKUP(B421,LOANS!$B:$H,7,0),12),E421))),"")</f>
        <v/>
      </c>
      <c r="J421" s="26">
        <f>IF(B421="","","Active")</f>
        <v/>
      </c>
    </row>
    <row r="422">
      <c r="A422" s="48">
        <f>IF(B422="","","TU"&amp;TEXT(ROW()-2,"0000"))</f>
        <v/>
      </c>
      <c r="B422" s="49" t="n"/>
      <c r="C422" s="49">
        <f>IFERROR(IF(B422="","",VLOOKUP(B422,DATABASE!A:B,2,0)),"")</f>
        <v/>
      </c>
      <c r="D422" s="49" t="n"/>
      <c r="E422" s="50" t="n"/>
      <c r="F422" s="51">
        <f>IF(B422="","",TODAY())</f>
        <v/>
      </c>
      <c r="G422" s="49" t="n"/>
      <c r="H422" s="50">
        <f>IFERROR(IF(OR(B422="",E422=""),"",SUMIF(LOANS!$B:$B,B422,LOANS!$D:$D)+E422),"")</f>
        <v/>
      </c>
      <c r="I422" s="50">
        <f>IFERROR(IF(H422="","",SUMIF(LOANS!$B:$B,B422,LOANS!$I:$I)+ABS(PMT(IFERROR(VLOOKUP(B422,LOANS!$B:$G,6,0),12)/100/12,IFERROR(VLOOKUP(B422,LOANS!$B:$H,7,0),12),E422))),"")</f>
        <v/>
      </c>
      <c r="J422" s="49">
        <f>IF(B422="","","Active")</f>
        <v/>
      </c>
    </row>
    <row r="423">
      <c r="A423" s="47">
        <f>IF(B423="","","TU"&amp;TEXT(ROW()-2,"0000"))</f>
        <v/>
      </c>
      <c r="B423" s="26" t="n"/>
      <c r="C423" s="26">
        <f>IFERROR(IF(B423="","",VLOOKUP(B423,DATABASE!A:B,2,0)),"")</f>
        <v/>
      </c>
      <c r="D423" s="26" t="n"/>
      <c r="E423" s="30" t="n"/>
      <c r="F423" s="31">
        <f>IF(B423="","",TODAY())</f>
        <v/>
      </c>
      <c r="G423" s="26" t="n"/>
      <c r="H423" s="30">
        <f>IFERROR(IF(OR(B423="",E423=""),"",SUMIF(LOANS!$B:$B,B423,LOANS!$D:$D)+E423),"")</f>
        <v/>
      </c>
      <c r="I423" s="30">
        <f>IFERROR(IF(H423="","",SUMIF(LOANS!$B:$B,B423,LOANS!$I:$I)+ABS(PMT(IFERROR(VLOOKUP(B423,LOANS!$B:$G,6,0),12)/100/12,IFERROR(VLOOKUP(B423,LOANS!$B:$H,7,0),12),E423))),"")</f>
        <v/>
      </c>
      <c r="J423" s="26">
        <f>IF(B423="","","Active")</f>
        <v/>
      </c>
    </row>
    <row r="424">
      <c r="A424" s="48">
        <f>IF(B424="","","TU"&amp;TEXT(ROW()-2,"0000"))</f>
        <v/>
      </c>
      <c r="B424" s="49" t="n"/>
      <c r="C424" s="49">
        <f>IFERROR(IF(B424="","",VLOOKUP(B424,DATABASE!A:B,2,0)),"")</f>
        <v/>
      </c>
      <c r="D424" s="49" t="n"/>
      <c r="E424" s="50" t="n"/>
      <c r="F424" s="51">
        <f>IF(B424="","",TODAY())</f>
        <v/>
      </c>
      <c r="G424" s="49" t="n"/>
      <c r="H424" s="50">
        <f>IFERROR(IF(OR(B424="",E424=""),"",SUMIF(LOANS!$B:$B,B424,LOANS!$D:$D)+E424),"")</f>
        <v/>
      </c>
      <c r="I424" s="50">
        <f>IFERROR(IF(H424="","",SUMIF(LOANS!$B:$B,B424,LOANS!$I:$I)+ABS(PMT(IFERROR(VLOOKUP(B424,LOANS!$B:$G,6,0),12)/100/12,IFERROR(VLOOKUP(B424,LOANS!$B:$H,7,0),12),E424))),"")</f>
        <v/>
      </c>
      <c r="J424" s="49">
        <f>IF(B424="","","Active")</f>
        <v/>
      </c>
    </row>
    <row r="425">
      <c r="A425" s="47">
        <f>IF(B425="","","TU"&amp;TEXT(ROW()-2,"0000"))</f>
        <v/>
      </c>
      <c r="B425" s="26" t="n"/>
      <c r="C425" s="26">
        <f>IFERROR(IF(B425="","",VLOOKUP(B425,DATABASE!A:B,2,0)),"")</f>
        <v/>
      </c>
      <c r="D425" s="26" t="n"/>
      <c r="E425" s="30" t="n"/>
      <c r="F425" s="31">
        <f>IF(B425="","",TODAY())</f>
        <v/>
      </c>
      <c r="G425" s="26" t="n"/>
      <c r="H425" s="30">
        <f>IFERROR(IF(OR(B425="",E425=""),"",SUMIF(LOANS!$B:$B,B425,LOANS!$D:$D)+E425),"")</f>
        <v/>
      </c>
      <c r="I425" s="30">
        <f>IFERROR(IF(H425="","",SUMIF(LOANS!$B:$B,B425,LOANS!$I:$I)+ABS(PMT(IFERROR(VLOOKUP(B425,LOANS!$B:$G,6,0),12)/100/12,IFERROR(VLOOKUP(B425,LOANS!$B:$H,7,0),12),E425))),"")</f>
        <v/>
      </c>
      <c r="J425" s="26">
        <f>IF(B425="","","Active")</f>
        <v/>
      </c>
    </row>
    <row r="426">
      <c r="A426" s="48">
        <f>IF(B426="","","TU"&amp;TEXT(ROW()-2,"0000"))</f>
        <v/>
      </c>
      <c r="B426" s="49" t="n"/>
      <c r="C426" s="49">
        <f>IFERROR(IF(B426="","",VLOOKUP(B426,DATABASE!A:B,2,0)),"")</f>
        <v/>
      </c>
      <c r="D426" s="49" t="n"/>
      <c r="E426" s="50" t="n"/>
      <c r="F426" s="51">
        <f>IF(B426="","",TODAY())</f>
        <v/>
      </c>
      <c r="G426" s="49" t="n"/>
      <c r="H426" s="50">
        <f>IFERROR(IF(OR(B426="",E426=""),"",SUMIF(LOANS!$B:$B,B426,LOANS!$D:$D)+E426),"")</f>
        <v/>
      </c>
      <c r="I426" s="50">
        <f>IFERROR(IF(H426="","",SUMIF(LOANS!$B:$B,B426,LOANS!$I:$I)+ABS(PMT(IFERROR(VLOOKUP(B426,LOANS!$B:$G,6,0),12)/100/12,IFERROR(VLOOKUP(B426,LOANS!$B:$H,7,0),12),E426))),"")</f>
        <v/>
      </c>
      <c r="J426" s="49">
        <f>IF(B426="","","Active")</f>
        <v/>
      </c>
    </row>
    <row r="427">
      <c r="A427" s="47">
        <f>IF(B427="","","TU"&amp;TEXT(ROW()-2,"0000"))</f>
        <v/>
      </c>
      <c r="B427" s="26" t="n"/>
      <c r="C427" s="26">
        <f>IFERROR(IF(B427="","",VLOOKUP(B427,DATABASE!A:B,2,0)),"")</f>
        <v/>
      </c>
      <c r="D427" s="26" t="n"/>
      <c r="E427" s="30" t="n"/>
      <c r="F427" s="31">
        <f>IF(B427="","",TODAY())</f>
        <v/>
      </c>
      <c r="G427" s="26" t="n"/>
      <c r="H427" s="30">
        <f>IFERROR(IF(OR(B427="",E427=""),"",SUMIF(LOANS!$B:$B,B427,LOANS!$D:$D)+E427),"")</f>
        <v/>
      </c>
      <c r="I427" s="30">
        <f>IFERROR(IF(H427="","",SUMIF(LOANS!$B:$B,B427,LOANS!$I:$I)+ABS(PMT(IFERROR(VLOOKUP(B427,LOANS!$B:$G,6,0),12)/100/12,IFERROR(VLOOKUP(B427,LOANS!$B:$H,7,0),12),E427))),"")</f>
        <v/>
      </c>
      <c r="J427" s="26">
        <f>IF(B427="","","Active")</f>
        <v/>
      </c>
    </row>
    <row r="428">
      <c r="A428" s="48">
        <f>IF(B428="","","TU"&amp;TEXT(ROW()-2,"0000"))</f>
        <v/>
      </c>
      <c r="B428" s="49" t="n"/>
      <c r="C428" s="49">
        <f>IFERROR(IF(B428="","",VLOOKUP(B428,DATABASE!A:B,2,0)),"")</f>
        <v/>
      </c>
      <c r="D428" s="49" t="n"/>
      <c r="E428" s="50" t="n"/>
      <c r="F428" s="51">
        <f>IF(B428="","",TODAY())</f>
        <v/>
      </c>
      <c r="G428" s="49" t="n"/>
      <c r="H428" s="50">
        <f>IFERROR(IF(OR(B428="",E428=""),"",SUMIF(LOANS!$B:$B,B428,LOANS!$D:$D)+E428),"")</f>
        <v/>
      </c>
      <c r="I428" s="50">
        <f>IFERROR(IF(H428="","",SUMIF(LOANS!$B:$B,B428,LOANS!$I:$I)+ABS(PMT(IFERROR(VLOOKUP(B428,LOANS!$B:$G,6,0),12)/100/12,IFERROR(VLOOKUP(B428,LOANS!$B:$H,7,0),12),E428))),"")</f>
        <v/>
      </c>
      <c r="J428" s="49">
        <f>IF(B428="","","Active")</f>
        <v/>
      </c>
    </row>
    <row r="429">
      <c r="A429" s="47">
        <f>IF(B429="","","TU"&amp;TEXT(ROW()-2,"0000"))</f>
        <v/>
      </c>
      <c r="B429" s="26" t="n"/>
      <c r="C429" s="26">
        <f>IFERROR(IF(B429="","",VLOOKUP(B429,DATABASE!A:B,2,0)),"")</f>
        <v/>
      </c>
      <c r="D429" s="26" t="n"/>
      <c r="E429" s="30" t="n"/>
      <c r="F429" s="31">
        <f>IF(B429="","",TODAY())</f>
        <v/>
      </c>
      <c r="G429" s="26" t="n"/>
      <c r="H429" s="30">
        <f>IFERROR(IF(OR(B429="",E429=""),"",SUMIF(LOANS!$B:$B,B429,LOANS!$D:$D)+E429),"")</f>
        <v/>
      </c>
      <c r="I429" s="30">
        <f>IFERROR(IF(H429="","",SUMIF(LOANS!$B:$B,B429,LOANS!$I:$I)+ABS(PMT(IFERROR(VLOOKUP(B429,LOANS!$B:$G,6,0),12)/100/12,IFERROR(VLOOKUP(B429,LOANS!$B:$H,7,0),12),E429))),"")</f>
        <v/>
      </c>
      <c r="J429" s="26">
        <f>IF(B429="","","Active")</f>
        <v/>
      </c>
    </row>
    <row r="430">
      <c r="A430" s="48">
        <f>IF(B430="","","TU"&amp;TEXT(ROW()-2,"0000"))</f>
        <v/>
      </c>
      <c r="B430" s="49" t="n"/>
      <c r="C430" s="49">
        <f>IFERROR(IF(B430="","",VLOOKUP(B430,DATABASE!A:B,2,0)),"")</f>
        <v/>
      </c>
      <c r="D430" s="49" t="n"/>
      <c r="E430" s="50" t="n"/>
      <c r="F430" s="51">
        <f>IF(B430="","",TODAY())</f>
        <v/>
      </c>
      <c r="G430" s="49" t="n"/>
      <c r="H430" s="50">
        <f>IFERROR(IF(OR(B430="",E430=""),"",SUMIF(LOANS!$B:$B,B430,LOANS!$D:$D)+E430),"")</f>
        <v/>
      </c>
      <c r="I430" s="50">
        <f>IFERROR(IF(H430="","",SUMIF(LOANS!$B:$B,B430,LOANS!$I:$I)+ABS(PMT(IFERROR(VLOOKUP(B430,LOANS!$B:$G,6,0),12)/100/12,IFERROR(VLOOKUP(B430,LOANS!$B:$H,7,0),12),E430))),"")</f>
        <v/>
      </c>
      <c r="J430" s="49">
        <f>IF(B430="","","Active")</f>
        <v/>
      </c>
    </row>
    <row r="431">
      <c r="A431" s="47">
        <f>IF(B431="","","TU"&amp;TEXT(ROW()-2,"0000"))</f>
        <v/>
      </c>
      <c r="B431" s="26" t="n"/>
      <c r="C431" s="26">
        <f>IFERROR(IF(B431="","",VLOOKUP(B431,DATABASE!A:B,2,0)),"")</f>
        <v/>
      </c>
      <c r="D431" s="26" t="n"/>
      <c r="E431" s="30" t="n"/>
      <c r="F431" s="31">
        <f>IF(B431="","",TODAY())</f>
        <v/>
      </c>
      <c r="G431" s="26" t="n"/>
      <c r="H431" s="30">
        <f>IFERROR(IF(OR(B431="",E431=""),"",SUMIF(LOANS!$B:$B,B431,LOANS!$D:$D)+E431),"")</f>
        <v/>
      </c>
      <c r="I431" s="30">
        <f>IFERROR(IF(H431="","",SUMIF(LOANS!$B:$B,B431,LOANS!$I:$I)+ABS(PMT(IFERROR(VLOOKUP(B431,LOANS!$B:$G,6,0),12)/100/12,IFERROR(VLOOKUP(B431,LOANS!$B:$H,7,0),12),E431))),"")</f>
        <v/>
      </c>
      <c r="J431" s="26">
        <f>IF(B431="","","Active")</f>
        <v/>
      </c>
    </row>
    <row r="432">
      <c r="A432" s="48">
        <f>IF(B432="","","TU"&amp;TEXT(ROW()-2,"0000"))</f>
        <v/>
      </c>
      <c r="B432" s="49" t="n"/>
      <c r="C432" s="49">
        <f>IFERROR(IF(B432="","",VLOOKUP(B432,DATABASE!A:B,2,0)),"")</f>
        <v/>
      </c>
      <c r="D432" s="49" t="n"/>
      <c r="E432" s="50" t="n"/>
      <c r="F432" s="51">
        <f>IF(B432="","",TODAY())</f>
        <v/>
      </c>
      <c r="G432" s="49" t="n"/>
      <c r="H432" s="50">
        <f>IFERROR(IF(OR(B432="",E432=""),"",SUMIF(LOANS!$B:$B,B432,LOANS!$D:$D)+E432),"")</f>
        <v/>
      </c>
      <c r="I432" s="50">
        <f>IFERROR(IF(H432="","",SUMIF(LOANS!$B:$B,B432,LOANS!$I:$I)+ABS(PMT(IFERROR(VLOOKUP(B432,LOANS!$B:$G,6,0),12)/100/12,IFERROR(VLOOKUP(B432,LOANS!$B:$H,7,0),12),E432))),"")</f>
        <v/>
      </c>
      <c r="J432" s="49">
        <f>IF(B432="","","Active")</f>
        <v/>
      </c>
    </row>
    <row r="433">
      <c r="A433" s="47">
        <f>IF(B433="","","TU"&amp;TEXT(ROW()-2,"0000"))</f>
        <v/>
      </c>
      <c r="B433" s="26" t="n"/>
      <c r="C433" s="26">
        <f>IFERROR(IF(B433="","",VLOOKUP(B433,DATABASE!A:B,2,0)),"")</f>
        <v/>
      </c>
      <c r="D433" s="26" t="n"/>
      <c r="E433" s="30" t="n"/>
      <c r="F433" s="31">
        <f>IF(B433="","",TODAY())</f>
        <v/>
      </c>
      <c r="G433" s="26" t="n"/>
      <c r="H433" s="30">
        <f>IFERROR(IF(OR(B433="",E433=""),"",SUMIF(LOANS!$B:$B,B433,LOANS!$D:$D)+E433),"")</f>
        <v/>
      </c>
      <c r="I433" s="30">
        <f>IFERROR(IF(H433="","",SUMIF(LOANS!$B:$B,B433,LOANS!$I:$I)+ABS(PMT(IFERROR(VLOOKUP(B433,LOANS!$B:$G,6,0),12)/100/12,IFERROR(VLOOKUP(B433,LOANS!$B:$H,7,0),12),E433))),"")</f>
        <v/>
      </c>
      <c r="J433" s="26">
        <f>IF(B433="","","Active")</f>
        <v/>
      </c>
    </row>
    <row r="434">
      <c r="A434" s="48">
        <f>IF(B434="","","TU"&amp;TEXT(ROW()-2,"0000"))</f>
        <v/>
      </c>
      <c r="B434" s="49" t="n"/>
      <c r="C434" s="49">
        <f>IFERROR(IF(B434="","",VLOOKUP(B434,DATABASE!A:B,2,0)),"")</f>
        <v/>
      </c>
      <c r="D434" s="49" t="n"/>
      <c r="E434" s="50" t="n"/>
      <c r="F434" s="51">
        <f>IF(B434="","",TODAY())</f>
        <v/>
      </c>
      <c r="G434" s="49" t="n"/>
      <c r="H434" s="50">
        <f>IFERROR(IF(OR(B434="",E434=""),"",SUMIF(LOANS!$B:$B,B434,LOANS!$D:$D)+E434),"")</f>
        <v/>
      </c>
      <c r="I434" s="50">
        <f>IFERROR(IF(H434="","",SUMIF(LOANS!$B:$B,B434,LOANS!$I:$I)+ABS(PMT(IFERROR(VLOOKUP(B434,LOANS!$B:$G,6,0),12)/100/12,IFERROR(VLOOKUP(B434,LOANS!$B:$H,7,0),12),E434))),"")</f>
        <v/>
      </c>
      <c r="J434" s="49">
        <f>IF(B434="","","Active")</f>
        <v/>
      </c>
    </row>
    <row r="435">
      <c r="A435" s="47">
        <f>IF(B435="","","TU"&amp;TEXT(ROW()-2,"0000"))</f>
        <v/>
      </c>
      <c r="B435" s="26" t="n"/>
      <c r="C435" s="26">
        <f>IFERROR(IF(B435="","",VLOOKUP(B435,DATABASE!A:B,2,0)),"")</f>
        <v/>
      </c>
      <c r="D435" s="26" t="n"/>
      <c r="E435" s="30" t="n"/>
      <c r="F435" s="31">
        <f>IF(B435="","",TODAY())</f>
        <v/>
      </c>
      <c r="G435" s="26" t="n"/>
      <c r="H435" s="30">
        <f>IFERROR(IF(OR(B435="",E435=""),"",SUMIF(LOANS!$B:$B,B435,LOANS!$D:$D)+E435),"")</f>
        <v/>
      </c>
      <c r="I435" s="30">
        <f>IFERROR(IF(H435="","",SUMIF(LOANS!$B:$B,B435,LOANS!$I:$I)+ABS(PMT(IFERROR(VLOOKUP(B435,LOANS!$B:$G,6,0),12)/100/12,IFERROR(VLOOKUP(B435,LOANS!$B:$H,7,0),12),E435))),"")</f>
        <v/>
      </c>
      <c r="J435" s="26">
        <f>IF(B435="","","Active")</f>
        <v/>
      </c>
    </row>
    <row r="436">
      <c r="A436" s="48">
        <f>IF(B436="","","TU"&amp;TEXT(ROW()-2,"0000"))</f>
        <v/>
      </c>
      <c r="B436" s="49" t="n"/>
      <c r="C436" s="49">
        <f>IFERROR(IF(B436="","",VLOOKUP(B436,DATABASE!A:B,2,0)),"")</f>
        <v/>
      </c>
      <c r="D436" s="49" t="n"/>
      <c r="E436" s="50" t="n"/>
      <c r="F436" s="51">
        <f>IF(B436="","",TODAY())</f>
        <v/>
      </c>
      <c r="G436" s="49" t="n"/>
      <c r="H436" s="50">
        <f>IFERROR(IF(OR(B436="",E436=""),"",SUMIF(LOANS!$B:$B,B436,LOANS!$D:$D)+E436),"")</f>
        <v/>
      </c>
      <c r="I436" s="50">
        <f>IFERROR(IF(H436="","",SUMIF(LOANS!$B:$B,B436,LOANS!$I:$I)+ABS(PMT(IFERROR(VLOOKUP(B436,LOANS!$B:$G,6,0),12)/100/12,IFERROR(VLOOKUP(B436,LOANS!$B:$H,7,0),12),E436))),"")</f>
        <v/>
      </c>
      <c r="J436" s="49">
        <f>IF(B436="","","Active")</f>
        <v/>
      </c>
    </row>
    <row r="437">
      <c r="A437" s="47">
        <f>IF(B437="","","TU"&amp;TEXT(ROW()-2,"0000"))</f>
        <v/>
      </c>
      <c r="B437" s="26" t="n"/>
      <c r="C437" s="26">
        <f>IFERROR(IF(B437="","",VLOOKUP(B437,DATABASE!A:B,2,0)),"")</f>
        <v/>
      </c>
      <c r="D437" s="26" t="n"/>
      <c r="E437" s="30" t="n"/>
      <c r="F437" s="31">
        <f>IF(B437="","",TODAY())</f>
        <v/>
      </c>
      <c r="G437" s="26" t="n"/>
      <c r="H437" s="30">
        <f>IFERROR(IF(OR(B437="",E437=""),"",SUMIF(LOANS!$B:$B,B437,LOANS!$D:$D)+E437),"")</f>
        <v/>
      </c>
      <c r="I437" s="30">
        <f>IFERROR(IF(H437="","",SUMIF(LOANS!$B:$B,B437,LOANS!$I:$I)+ABS(PMT(IFERROR(VLOOKUP(B437,LOANS!$B:$G,6,0),12)/100/12,IFERROR(VLOOKUP(B437,LOANS!$B:$H,7,0),12),E437))),"")</f>
        <v/>
      </c>
      <c r="J437" s="26">
        <f>IF(B437="","","Active")</f>
        <v/>
      </c>
    </row>
    <row r="438">
      <c r="A438" s="48">
        <f>IF(B438="","","TU"&amp;TEXT(ROW()-2,"0000"))</f>
        <v/>
      </c>
      <c r="B438" s="49" t="n"/>
      <c r="C438" s="49">
        <f>IFERROR(IF(B438="","",VLOOKUP(B438,DATABASE!A:B,2,0)),"")</f>
        <v/>
      </c>
      <c r="D438" s="49" t="n"/>
      <c r="E438" s="50" t="n"/>
      <c r="F438" s="51">
        <f>IF(B438="","",TODAY())</f>
        <v/>
      </c>
      <c r="G438" s="49" t="n"/>
      <c r="H438" s="50">
        <f>IFERROR(IF(OR(B438="",E438=""),"",SUMIF(LOANS!$B:$B,B438,LOANS!$D:$D)+E438),"")</f>
        <v/>
      </c>
      <c r="I438" s="50">
        <f>IFERROR(IF(H438="","",SUMIF(LOANS!$B:$B,B438,LOANS!$I:$I)+ABS(PMT(IFERROR(VLOOKUP(B438,LOANS!$B:$G,6,0),12)/100/12,IFERROR(VLOOKUP(B438,LOANS!$B:$H,7,0),12),E438))),"")</f>
        <v/>
      </c>
      <c r="J438" s="49">
        <f>IF(B438="","","Active")</f>
        <v/>
      </c>
    </row>
    <row r="439">
      <c r="A439" s="47">
        <f>IF(B439="","","TU"&amp;TEXT(ROW()-2,"0000"))</f>
        <v/>
      </c>
      <c r="B439" s="26" t="n"/>
      <c r="C439" s="26">
        <f>IFERROR(IF(B439="","",VLOOKUP(B439,DATABASE!A:B,2,0)),"")</f>
        <v/>
      </c>
      <c r="D439" s="26" t="n"/>
      <c r="E439" s="30" t="n"/>
      <c r="F439" s="31">
        <f>IF(B439="","",TODAY())</f>
        <v/>
      </c>
      <c r="G439" s="26" t="n"/>
      <c r="H439" s="30">
        <f>IFERROR(IF(OR(B439="",E439=""),"",SUMIF(LOANS!$B:$B,B439,LOANS!$D:$D)+E439),"")</f>
        <v/>
      </c>
      <c r="I439" s="30">
        <f>IFERROR(IF(H439="","",SUMIF(LOANS!$B:$B,B439,LOANS!$I:$I)+ABS(PMT(IFERROR(VLOOKUP(B439,LOANS!$B:$G,6,0),12)/100/12,IFERROR(VLOOKUP(B439,LOANS!$B:$H,7,0),12),E439))),"")</f>
        <v/>
      </c>
      <c r="J439" s="26">
        <f>IF(B439="","","Active")</f>
        <v/>
      </c>
    </row>
    <row r="440">
      <c r="A440" s="48">
        <f>IF(B440="","","TU"&amp;TEXT(ROW()-2,"0000"))</f>
        <v/>
      </c>
      <c r="B440" s="49" t="n"/>
      <c r="C440" s="49">
        <f>IFERROR(IF(B440="","",VLOOKUP(B440,DATABASE!A:B,2,0)),"")</f>
        <v/>
      </c>
      <c r="D440" s="49" t="n"/>
      <c r="E440" s="50" t="n"/>
      <c r="F440" s="51">
        <f>IF(B440="","",TODAY())</f>
        <v/>
      </c>
      <c r="G440" s="49" t="n"/>
      <c r="H440" s="50">
        <f>IFERROR(IF(OR(B440="",E440=""),"",SUMIF(LOANS!$B:$B,B440,LOANS!$D:$D)+E440),"")</f>
        <v/>
      </c>
      <c r="I440" s="50">
        <f>IFERROR(IF(H440="","",SUMIF(LOANS!$B:$B,B440,LOANS!$I:$I)+ABS(PMT(IFERROR(VLOOKUP(B440,LOANS!$B:$G,6,0),12)/100/12,IFERROR(VLOOKUP(B440,LOANS!$B:$H,7,0),12),E440))),"")</f>
        <v/>
      </c>
      <c r="J440" s="49">
        <f>IF(B440="","","Active")</f>
        <v/>
      </c>
    </row>
    <row r="441">
      <c r="A441" s="47">
        <f>IF(B441="","","TU"&amp;TEXT(ROW()-2,"0000"))</f>
        <v/>
      </c>
      <c r="B441" s="26" t="n"/>
      <c r="C441" s="26">
        <f>IFERROR(IF(B441="","",VLOOKUP(B441,DATABASE!A:B,2,0)),"")</f>
        <v/>
      </c>
      <c r="D441" s="26" t="n"/>
      <c r="E441" s="30" t="n"/>
      <c r="F441" s="31">
        <f>IF(B441="","",TODAY())</f>
        <v/>
      </c>
      <c r="G441" s="26" t="n"/>
      <c r="H441" s="30">
        <f>IFERROR(IF(OR(B441="",E441=""),"",SUMIF(LOANS!$B:$B,B441,LOANS!$D:$D)+E441),"")</f>
        <v/>
      </c>
      <c r="I441" s="30">
        <f>IFERROR(IF(H441="","",SUMIF(LOANS!$B:$B,B441,LOANS!$I:$I)+ABS(PMT(IFERROR(VLOOKUP(B441,LOANS!$B:$G,6,0),12)/100/12,IFERROR(VLOOKUP(B441,LOANS!$B:$H,7,0),12),E441))),"")</f>
        <v/>
      </c>
      <c r="J441" s="26">
        <f>IF(B441="","","Active")</f>
        <v/>
      </c>
    </row>
    <row r="442">
      <c r="A442" s="48">
        <f>IF(B442="","","TU"&amp;TEXT(ROW()-2,"0000"))</f>
        <v/>
      </c>
      <c r="B442" s="49" t="n"/>
      <c r="C442" s="49">
        <f>IFERROR(IF(B442="","",VLOOKUP(B442,DATABASE!A:B,2,0)),"")</f>
        <v/>
      </c>
      <c r="D442" s="49" t="n"/>
      <c r="E442" s="50" t="n"/>
      <c r="F442" s="51">
        <f>IF(B442="","",TODAY())</f>
        <v/>
      </c>
      <c r="G442" s="49" t="n"/>
      <c r="H442" s="50">
        <f>IFERROR(IF(OR(B442="",E442=""),"",SUMIF(LOANS!$B:$B,B442,LOANS!$D:$D)+E442),"")</f>
        <v/>
      </c>
      <c r="I442" s="50">
        <f>IFERROR(IF(H442="","",SUMIF(LOANS!$B:$B,B442,LOANS!$I:$I)+ABS(PMT(IFERROR(VLOOKUP(B442,LOANS!$B:$G,6,0),12)/100/12,IFERROR(VLOOKUP(B442,LOANS!$B:$H,7,0),12),E442))),"")</f>
        <v/>
      </c>
      <c r="J442" s="49">
        <f>IF(B442="","","Active")</f>
        <v/>
      </c>
    </row>
    <row r="443">
      <c r="A443" s="47">
        <f>IF(B443="","","TU"&amp;TEXT(ROW()-2,"0000"))</f>
        <v/>
      </c>
      <c r="B443" s="26" t="n"/>
      <c r="C443" s="26">
        <f>IFERROR(IF(B443="","",VLOOKUP(B443,DATABASE!A:B,2,0)),"")</f>
        <v/>
      </c>
      <c r="D443" s="26" t="n"/>
      <c r="E443" s="30" t="n"/>
      <c r="F443" s="31">
        <f>IF(B443="","",TODAY())</f>
        <v/>
      </c>
      <c r="G443" s="26" t="n"/>
      <c r="H443" s="30">
        <f>IFERROR(IF(OR(B443="",E443=""),"",SUMIF(LOANS!$B:$B,B443,LOANS!$D:$D)+E443),"")</f>
        <v/>
      </c>
      <c r="I443" s="30">
        <f>IFERROR(IF(H443="","",SUMIF(LOANS!$B:$B,B443,LOANS!$I:$I)+ABS(PMT(IFERROR(VLOOKUP(B443,LOANS!$B:$G,6,0),12)/100/12,IFERROR(VLOOKUP(B443,LOANS!$B:$H,7,0),12),E443))),"")</f>
        <v/>
      </c>
      <c r="J443" s="26">
        <f>IF(B443="","","Active")</f>
        <v/>
      </c>
    </row>
    <row r="444">
      <c r="A444" s="48">
        <f>IF(B444="","","TU"&amp;TEXT(ROW()-2,"0000"))</f>
        <v/>
      </c>
      <c r="B444" s="49" t="n"/>
      <c r="C444" s="49">
        <f>IFERROR(IF(B444="","",VLOOKUP(B444,DATABASE!A:B,2,0)),"")</f>
        <v/>
      </c>
      <c r="D444" s="49" t="n"/>
      <c r="E444" s="50" t="n"/>
      <c r="F444" s="51">
        <f>IF(B444="","",TODAY())</f>
        <v/>
      </c>
      <c r="G444" s="49" t="n"/>
      <c r="H444" s="50">
        <f>IFERROR(IF(OR(B444="",E444=""),"",SUMIF(LOANS!$B:$B,B444,LOANS!$D:$D)+E444),"")</f>
        <v/>
      </c>
      <c r="I444" s="50">
        <f>IFERROR(IF(H444="","",SUMIF(LOANS!$B:$B,B444,LOANS!$I:$I)+ABS(PMT(IFERROR(VLOOKUP(B444,LOANS!$B:$G,6,0),12)/100/12,IFERROR(VLOOKUP(B444,LOANS!$B:$H,7,0),12),E444))),"")</f>
        <v/>
      </c>
      <c r="J444" s="49">
        <f>IF(B444="","","Active")</f>
        <v/>
      </c>
    </row>
    <row r="445">
      <c r="A445" s="47">
        <f>IF(B445="","","TU"&amp;TEXT(ROW()-2,"0000"))</f>
        <v/>
      </c>
      <c r="B445" s="26" t="n"/>
      <c r="C445" s="26">
        <f>IFERROR(IF(B445="","",VLOOKUP(B445,DATABASE!A:B,2,0)),"")</f>
        <v/>
      </c>
      <c r="D445" s="26" t="n"/>
      <c r="E445" s="30" t="n"/>
      <c r="F445" s="31">
        <f>IF(B445="","",TODAY())</f>
        <v/>
      </c>
      <c r="G445" s="26" t="n"/>
      <c r="H445" s="30">
        <f>IFERROR(IF(OR(B445="",E445=""),"",SUMIF(LOANS!$B:$B,B445,LOANS!$D:$D)+E445),"")</f>
        <v/>
      </c>
      <c r="I445" s="30">
        <f>IFERROR(IF(H445="","",SUMIF(LOANS!$B:$B,B445,LOANS!$I:$I)+ABS(PMT(IFERROR(VLOOKUP(B445,LOANS!$B:$G,6,0),12)/100/12,IFERROR(VLOOKUP(B445,LOANS!$B:$H,7,0),12),E445))),"")</f>
        <v/>
      </c>
      <c r="J445" s="26">
        <f>IF(B445="","","Active")</f>
        <v/>
      </c>
    </row>
    <row r="446">
      <c r="A446" s="48">
        <f>IF(B446="","","TU"&amp;TEXT(ROW()-2,"0000"))</f>
        <v/>
      </c>
      <c r="B446" s="49" t="n"/>
      <c r="C446" s="49">
        <f>IFERROR(IF(B446="","",VLOOKUP(B446,DATABASE!A:B,2,0)),"")</f>
        <v/>
      </c>
      <c r="D446" s="49" t="n"/>
      <c r="E446" s="50" t="n"/>
      <c r="F446" s="51">
        <f>IF(B446="","",TODAY())</f>
        <v/>
      </c>
      <c r="G446" s="49" t="n"/>
      <c r="H446" s="50">
        <f>IFERROR(IF(OR(B446="",E446=""),"",SUMIF(LOANS!$B:$B,B446,LOANS!$D:$D)+E446),"")</f>
        <v/>
      </c>
      <c r="I446" s="50">
        <f>IFERROR(IF(H446="","",SUMIF(LOANS!$B:$B,B446,LOANS!$I:$I)+ABS(PMT(IFERROR(VLOOKUP(B446,LOANS!$B:$G,6,0),12)/100/12,IFERROR(VLOOKUP(B446,LOANS!$B:$H,7,0),12),E446))),"")</f>
        <v/>
      </c>
      <c r="J446" s="49">
        <f>IF(B446="","","Active")</f>
        <v/>
      </c>
    </row>
    <row r="447">
      <c r="A447" s="47">
        <f>IF(B447="","","TU"&amp;TEXT(ROW()-2,"0000"))</f>
        <v/>
      </c>
      <c r="B447" s="26" t="n"/>
      <c r="C447" s="26">
        <f>IFERROR(IF(B447="","",VLOOKUP(B447,DATABASE!A:B,2,0)),"")</f>
        <v/>
      </c>
      <c r="D447" s="26" t="n"/>
      <c r="E447" s="30" t="n"/>
      <c r="F447" s="31">
        <f>IF(B447="","",TODAY())</f>
        <v/>
      </c>
      <c r="G447" s="26" t="n"/>
      <c r="H447" s="30">
        <f>IFERROR(IF(OR(B447="",E447=""),"",SUMIF(LOANS!$B:$B,B447,LOANS!$D:$D)+E447),"")</f>
        <v/>
      </c>
      <c r="I447" s="30">
        <f>IFERROR(IF(H447="","",SUMIF(LOANS!$B:$B,B447,LOANS!$I:$I)+ABS(PMT(IFERROR(VLOOKUP(B447,LOANS!$B:$G,6,0),12)/100/12,IFERROR(VLOOKUP(B447,LOANS!$B:$H,7,0),12),E447))),"")</f>
        <v/>
      </c>
      <c r="J447" s="26">
        <f>IF(B447="","","Active")</f>
        <v/>
      </c>
    </row>
    <row r="448">
      <c r="A448" s="48">
        <f>IF(B448="","","TU"&amp;TEXT(ROW()-2,"0000"))</f>
        <v/>
      </c>
      <c r="B448" s="49" t="n"/>
      <c r="C448" s="49">
        <f>IFERROR(IF(B448="","",VLOOKUP(B448,DATABASE!A:B,2,0)),"")</f>
        <v/>
      </c>
      <c r="D448" s="49" t="n"/>
      <c r="E448" s="50" t="n"/>
      <c r="F448" s="51">
        <f>IF(B448="","",TODAY())</f>
        <v/>
      </c>
      <c r="G448" s="49" t="n"/>
      <c r="H448" s="50">
        <f>IFERROR(IF(OR(B448="",E448=""),"",SUMIF(LOANS!$B:$B,B448,LOANS!$D:$D)+E448),"")</f>
        <v/>
      </c>
      <c r="I448" s="50">
        <f>IFERROR(IF(H448="","",SUMIF(LOANS!$B:$B,B448,LOANS!$I:$I)+ABS(PMT(IFERROR(VLOOKUP(B448,LOANS!$B:$G,6,0),12)/100/12,IFERROR(VLOOKUP(B448,LOANS!$B:$H,7,0),12),E448))),"")</f>
        <v/>
      </c>
      <c r="J448" s="49">
        <f>IF(B448="","","Active")</f>
        <v/>
      </c>
    </row>
    <row r="449">
      <c r="A449" s="47">
        <f>IF(B449="","","TU"&amp;TEXT(ROW()-2,"0000"))</f>
        <v/>
      </c>
      <c r="B449" s="26" t="n"/>
      <c r="C449" s="26">
        <f>IFERROR(IF(B449="","",VLOOKUP(B449,DATABASE!A:B,2,0)),"")</f>
        <v/>
      </c>
      <c r="D449" s="26" t="n"/>
      <c r="E449" s="30" t="n"/>
      <c r="F449" s="31">
        <f>IF(B449="","",TODAY())</f>
        <v/>
      </c>
      <c r="G449" s="26" t="n"/>
      <c r="H449" s="30">
        <f>IFERROR(IF(OR(B449="",E449=""),"",SUMIF(LOANS!$B:$B,B449,LOANS!$D:$D)+E449),"")</f>
        <v/>
      </c>
      <c r="I449" s="30">
        <f>IFERROR(IF(H449="","",SUMIF(LOANS!$B:$B,B449,LOANS!$I:$I)+ABS(PMT(IFERROR(VLOOKUP(B449,LOANS!$B:$G,6,0),12)/100/12,IFERROR(VLOOKUP(B449,LOANS!$B:$H,7,0),12),E449))),"")</f>
        <v/>
      </c>
      <c r="J449" s="26">
        <f>IF(B449="","","Active")</f>
        <v/>
      </c>
    </row>
    <row r="450">
      <c r="A450" s="48">
        <f>IF(B450="","","TU"&amp;TEXT(ROW()-2,"0000"))</f>
        <v/>
      </c>
      <c r="B450" s="49" t="n"/>
      <c r="C450" s="49">
        <f>IFERROR(IF(B450="","",VLOOKUP(B450,DATABASE!A:B,2,0)),"")</f>
        <v/>
      </c>
      <c r="D450" s="49" t="n"/>
      <c r="E450" s="50" t="n"/>
      <c r="F450" s="51">
        <f>IF(B450="","",TODAY())</f>
        <v/>
      </c>
      <c r="G450" s="49" t="n"/>
      <c r="H450" s="50">
        <f>IFERROR(IF(OR(B450="",E450=""),"",SUMIF(LOANS!$B:$B,B450,LOANS!$D:$D)+E450),"")</f>
        <v/>
      </c>
      <c r="I450" s="50">
        <f>IFERROR(IF(H450="","",SUMIF(LOANS!$B:$B,B450,LOANS!$I:$I)+ABS(PMT(IFERROR(VLOOKUP(B450,LOANS!$B:$G,6,0),12)/100/12,IFERROR(VLOOKUP(B450,LOANS!$B:$H,7,0),12),E450))),"")</f>
        <v/>
      </c>
      <c r="J450" s="49">
        <f>IF(B450="","","Active")</f>
        <v/>
      </c>
    </row>
    <row r="451">
      <c r="A451" s="47">
        <f>IF(B451="","","TU"&amp;TEXT(ROW()-2,"0000"))</f>
        <v/>
      </c>
      <c r="B451" s="26" t="n"/>
      <c r="C451" s="26">
        <f>IFERROR(IF(B451="","",VLOOKUP(B451,DATABASE!A:B,2,0)),"")</f>
        <v/>
      </c>
      <c r="D451" s="26" t="n"/>
      <c r="E451" s="30" t="n"/>
      <c r="F451" s="31">
        <f>IF(B451="","",TODAY())</f>
        <v/>
      </c>
      <c r="G451" s="26" t="n"/>
      <c r="H451" s="30">
        <f>IFERROR(IF(OR(B451="",E451=""),"",SUMIF(LOANS!$B:$B,B451,LOANS!$D:$D)+E451),"")</f>
        <v/>
      </c>
      <c r="I451" s="30">
        <f>IFERROR(IF(H451="","",SUMIF(LOANS!$B:$B,B451,LOANS!$I:$I)+ABS(PMT(IFERROR(VLOOKUP(B451,LOANS!$B:$G,6,0),12)/100/12,IFERROR(VLOOKUP(B451,LOANS!$B:$H,7,0),12),E451))),"")</f>
        <v/>
      </c>
      <c r="J451" s="26">
        <f>IF(B451="","","Active")</f>
        <v/>
      </c>
    </row>
    <row r="452">
      <c r="A452" s="48">
        <f>IF(B452="","","TU"&amp;TEXT(ROW()-2,"0000"))</f>
        <v/>
      </c>
      <c r="B452" s="49" t="n"/>
      <c r="C452" s="49">
        <f>IFERROR(IF(B452="","",VLOOKUP(B452,DATABASE!A:B,2,0)),"")</f>
        <v/>
      </c>
      <c r="D452" s="49" t="n"/>
      <c r="E452" s="50" t="n"/>
      <c r="F452" s="51">
        <f>IF(B452="","",TODAY())</f>
        <v/>
      </c>
      <c r="G452" s="49" t="n"/>
      <c r="H452" s="50">
        <f>IFERROR(IF(OR(B452="",E452=""),"",SUMIF(LOANS!$B:$B,B452,LOANS!$D:$D)+E452),"")</f>
        <v/>
      </c>
      <c r="I452" s="50">
        <f>IFERROR(IF(H452="","",SUMIF(LOANS!$B:$B,B452,LOANS!$I:$I)+ABS(PMT(IFERROR(VLOOKUP(B452,LOANS!$B:$G,6,0),12)/100/12,IFERROR(VLOOKUP(B452,LOANS!$B:$H,7,0),12),E452))),"")</f>
        <v/>
      </c>
      <c r="J452" s="49">
        <f>IF(B452="","","Active")</f>
        <v/>
      </c>
    </row>
    <row r="453">
      <c r="A453" s="47">
        <f>IF(B453="","","TU"&amp;TEXT(ROW()-2,"0000"))</f>
        <v/>
      </c>
      <c r="B453" s="26" t="n"/>
      <c r="C453" s="26">
        <f>IFERROR(IF(B453="","",VLOOKUP(B453,DATABASE!A:B,2,0)),"")</f>
        <v/>
      </c>
      <c r="D453" s="26" t="n"/>
      <c r="E453" s="30" t="n"/>
      <c r="F453" s="31">
        <f>IF(B453="","",TODAY())</f>
        <v/>
      </c>
      <c r="G453" s="26" t="n"/>
      <c r="H453" s="30">
        <f>IFERROR(IF(OR(B453="",E453=""),"",SUMIF(LOANS!$B:$B,B453,LOANS!$D:$D)+E453),"")</f>
        <v/>
      </c>
      <c r="I453" s="30">
        <f>IFERROR(IF(H453="","",SUMIF(LOANS!$B:$B,B453,LOANS!$I:$I)+ABS(PMT(IFERROR(VLOOKUP(B453,LOANS!$B:$G,6,0),12)/100/12,IFERROR(VLOOKUP(B453,LOANS!$B:$H,7,0),12),E453))),"")</f>
        <v/>
      </c>
      <c r="J453" s="26">
        <f>IF(B453="","","Active")</f>
        <v/>
      </c>
    </row>
    <row r="454">
      <c r="A454" s="48">
        <f>IF(B454="","","TU"&amp;TEXT(ROW()-2,"0000"))</f>
        <v/>
      </c>
      <c r="B454" s="49" t="n"/>
      <c r="C454" s="49">
        <f>IFERROR(IF(B454="","",VLOOKUP(B454,DATABASE!A:B,2,0)),"")</f>
        <v/>
      </c>
      <c r="D454" s="49" t="n"/>
      <c r="E454" s="50" t="n"/>
      <c r="F454" s="51">
        <f>IF(B454="","",TODAY())</f>
        <v/>
      </c>
      <c r="G454" s="49" t="n"/>
      <c r="H454" s="50">
        <f>IFERROR(IF(OR(B454="",E454=""),"",SUMIF(LOANS!$B:$B,B454,LOANS!$D:$D)+E454),"")</f>
        <v/>
      </c>
      <c r="I454" s="50">
        <f>IFERROR(IF(H454="","",SUMIF(LOANS!$B:$B,B454,LOANS!$I:$I)+ABS(PMT(IFERROR(VLOOKUP(B454,LOANS!$B:$G,6,0),12)/100/12,IFERROR(VLOOKUP(B454,LOANS!$B:$H,7,0),12),E454))),"")</f>
        <v/>
      </c>
      <c r="J454" s="49">
        <f>IF(B454="","","Active")</f>
        <v/>
      </c>
    </row>
    <row r="455">
      <c r="A455" s="47">
        <f>IF(B455="","","TU"&amp;TEXT(ROW()-2,"0000"))</f>
        <v/>
      </c>
      <c r="B455" s="26" t="n"/>
      <c r="C455" s="26">
        <f>IFERROR(IF(B455="","",VLOOKUP(B455,DATABASE!A:B,2,0)),"")</f>
        <v/>
      </c>
      <c r="D455" s="26" t="n"/>
      <c r="E455" s="30" t="n"/>
      <c r="F455" s="31">
        <f>IF(B455="","",TODAY())</f>
        <v/>
      </c>
      <c r="G455" s="26" t="n"/>
      <c r="H455" s="30">
        <f>IFERROR(IF(OR(B455="",E455=""),"",SUMIF(LOANS!$B:$B,B455,LOANS!$D:$D)+E455),"")</f>
        <v/>
      </c>
      <c r="I455" s="30">
        <f>IFERROR(IF(H455="","",SUMIF(LOANS!$B:$B,B455,LOANS!$I:$I)+ABS(PMT(IFERROR(VLOOKUP(B455,LOANS!$B:$G,6,0),12)/100/12,IFERROR(VLOOKUP(B455,LOANS!$B:$H,7,0),12),E455))),"")</f>
        <v/>
      </c>
      <c r="J455" s="26">
        <f>IF(B455="","","Active")</f>
        <v/>
      </c>
    </row>
    <row r="456">
      <c r="A456" s="48">
        <f>IF(B456="","","TU"&amp;TEXT(ROW()-2,"0000"))</f>
        <v/>
      </c>
      <c r="B456" s="49" t="n"/>
      <c r="C456" s="49">
        <f>IFERROR(IF(B456="","",VLOOKUP(B456,DATABASE!A:B,2,0)),"")</f>
        <v/>
      </c>
      <c r="D456" s="49" t="n"/>
      <c r="E456" s="50" t="n"/>
      <c r="F456" s="51">
        <f>IF(B456="","",TODAY())</f>
        <v/>
      </c>
      <c r="G456" s="49" t="n"/>
      <c r="H456" s="50">
        <f>IFERROR(IF(OR(B456="",E456=""),"",SUMIF(LOANS!$B:$B,B456,LOANS!$D:$D)+E456),"")</f>
        <v/>
      </c>
      <c r="I456" s="50">
        <f>IFERROR(IF(H456="","",SUMIF(LOANS!$B:$B,B456,LOANS!$I:$I)+ABS(PMT(IFERROR(VLOOKUP(B456,LOANS!$B:$G,6,0),12)/100/12,IFERROR(VLOOKUP(B456,LOANS!$B:$H,7,0),12),E456))),"")</f>
        <v/>
      </c>
      <c r="J456" s="49">
        <f>IF(B456="","","Active")</f>
        <v/>
      </c>
    </row>
    <row r="457">
      <c r="A457" s="47">
        <f>IF(B457="","","TU"&amp;TEXT(ROW()-2,"0000"))</f>
        <v/>
      </c>
      <c r="B457" s="26" t="n"/>
      <c r="C457" s="26">
        <f>IFERROR(IF(B457="","",VLOOKUP(B457,DATABASE!A:B,2,0)),"")</f>
        <v/>
      </c>
      <c r="D457" s="26" t="n"/>
      <c r="E457" s="30" t="n"/>
      <c r="F457" s="31">
        <f>IF(B457="","",TODAY())</f>
        <v/>
      </c>
      <c r="G457" s="26" t="n"/>
      <c r="H457" s="30">
        <f>IFERROR(IF(OR(B457="",E457=""),"",SUMIF(LOANS!$B:$B,B457,LOANS!$D:$D)+E457),"")</f>
        <v/>
      </c>
      <c r="I457" s="30">
        <f>IFERROR(IF(H457="","",SUMIF(LOANS!$B:$B,B457,LOANS!$I:$I)+ABS(PMT(IFERROR(VLOOKUP(B457,LOANS!$B:$G,6,0),12)/100/12,IFERROR(VLOOKUP(B457,LOANS!$B:$H,7,0),12),E457))),"")</f>
        <v/>
      </c>
      <c r="J457" s="26">
        <f>IF(B457="","","Active")</f>
        <v/>
      </c>
    </row>
    <row r="458">
      <c r="A458" s="48">
        <f>IF(B458="","","TU"&amp;TEXT(ROW()-2,"0000"))</f>
        <v/>
      </c>
      <c r="B458" s="49" t="n"/>
      <c r="C458" s="49">
        <f>IFERROR(IF(B458="","",VLOOKUP(B458,DATABASE!A:B,2,0)),"")</f>
        <v/>
      </c>
      <c r="D458" s="49" t="n"/>
      <c r="E458" s="50" t="n"/>
      <c r="F458" s="51">
        <f>IF(B458="","",TODAY())</f>
        <v/>
      </c>
      <c r="G458" s="49" t="n"/>
      <c r="H458" s="50">
        <f>IFERROR(IF(OR(B458="",E458=""),"",SUMIF(LOANS!$B:$B,B458,LOANS!$D:$D)+E458),"")</f>
        <v/>
      </c>
      <c r="I458" s="50">
        <f>IFERROR(IF(H458="","",SUMIF(LOANS!$B:$B,B458,LOANS!$I:$I)+ABS(PMT(IFERROR(VLOOKUP(B458,LOANS!$B:$G,6,0),12)/100/12,IFERROR(VLOOKUP(B458,LOANS!$B:$H,7,0),12),E458))),"")</f>
        <v/>
      </c>
      <c r="J458" s="49">
        <f>IF(B458="","","Active")</f>
        <v/>
      </c>
    </row>
    <row r="459">
      <c r="A459" s="47">
        <f>IF(B459="","","TU"&amp;TEXT(ROW()-2,"0000"))</f>
        <v/>
      </c>
      <c r="B459" s="26" t="n"/>
      <c r="C459" s="26">
        <f>IFERROR(IF(B459="","",VLOOKUP(B459,DATABASE!A:B,2,0)),"")</f>
        <v/>
      </c>
      <c r="D459" s="26" t="n"/>
      <c r="E459" s="30" t="n"/>
      <c r="F459" s="31">
        <f>IF(B459="","",TODAY())</f>
        <v/>
      </c>
      <c r="G459" s="26" t="n"/>
      <c r="H459" s="30">
        <f>IFERROR(IF(OR(B459="",E459=""),"",SUMIF(LOANS!$B:$B,B459,LOANS!$D:$D)+E459),"")</f>
        <v/>
      </c>
      <c r="I459" s="30">
        <f>IFERROR(IF(H459="","",SUMIF(LOANS!$B:$B,B459,LOANS!$I:$I)+ABS(PMT(IFERROR(VLOOKUP(B459,LOANS!$B:$G,6,0),12)/100/12,IFERROR(VLOOKUP(B459,LOANS!$B:$H,7,0),12),E459))),"")</f>
        <v/>
      </c>
      <c r="J459" s="26">
        <f>IF(B459="","","Active")</f>
        <v/>
      </c>
    </row>
    <row r="460">
      <c r="A460" s="48">
        <f>IF(B460="","","TU"&amp;TEXT(ROW()-2,"0000"))</f>
        <v/>
      </c>
      <c r="B460" s="49" t="n"/>
      <c r="C460" s="49">
        <f>IFERROR(IF(B460="","",VLOOKUP(B460,DATABASE!A:B,2,0)),"")</f>
        <v/>
      </c>
      <c r="D460" s="49" t="n"/>
      <c r="E460" s="50" t="n"/>
      <c r="F460" s="51">
        <f>IF(B460="","",TODAY())</f>
        <v/>
      </c>
      <c r="G460" s="49" t="n"/>
      <c r="H460" s="50">
        <f>IFERROR(IF(OR(B460="",E460=""),"",SUMIF(LOANS!$B:$B,B460,LOANS!$D:$D)+E460),"")</f>
        <v/>
      </c>
      <c r="I460" s="50">
        <f>IFERROR(IF(H460="","",SUMIF(LOANS!$B:$B,B460,LOANS!$I:$I)+ABS(PMT(IFERROR(VLOOKUP(B460,LOANS!$B:$G,6,0),12)/100/12,IFERROR(VLOOKUP(B460,LOANS!$B:$H,7,0),12),E460))),"")</f>
        <v/>
      </c>
      <c r="J460" s="49">
        <f>IF(B460="","","Active")</f>
        <v/>
      </c>
    </row>
    <row r="461">
      <c r="A461" s="47">
        <f>IF(B461="","","TU"&amp;TEXT(ROW()-2,"0000"))</f>
        <v/>
      </c>
      <c r="B461" s="26" t="n"/>
      <c r="C461" s="26">
        <f>IFERROR(IF(B461="","",VLOOKUP(B461,DATABASE!A:B,2,0)),"")</f>
        <v/>
      </c>
      <c r="D461" s="26" t="n"/>
      <c r="E461" s="30" t="n"/>
      <c r="F461" s="31">
        <f>IF(B461="","",TODAY())</f>
        <v/>
      </c>
      <c r="G461" s="26" t="n"/>
      <c r="H461" s="30">
        <f>IFERROR(IF(OR(B461="",E461=""),"",SUMIF(LOANS!$B:$B,B461,LOANS!$D:$D)+E461),"")</f>
        <v/>
      </c>
      <c r="I461" s="30">
        <f>IFERROR(IF(H461="","",SUMIF(LOANS!$B:$B,B461,LOANS!$I:$I)+ABS(PMT(IFERROR(VLOOKUP(B461,LOANS!$B:$G,6,0),12)/100/12,IFERROR(VLOOKUP(B461,LOANS!$B:$H,7,0),12),E461))),"")</f>
        <v/>
      </c>
      <c r="J461" s="26">
        <f>IF(B461="","","Active")</f>
        <v/>
      </c>
    </row>
    <row r="462">
      <c r="A462" s="48">
        <f>IF(B462="","","TU"&amp;TEXT(ROW()-2,"0000"))</f>
        <v/>
      </c>
      <c r="B462" s="49" t="n"/>
      <c r="C462" s="49">
        <f>IFERROR(IF(B462="","",VLOOKUP(B462,DATABASE!A:B,2,0)),"")</f>
        <v/>
      </c>
      <c r="D462" s="49" t="n"/>
      <c r="E462" s="50" t="n"/>
      <c r="F462" s="51">
        <f>IF(B462="","",TODAY())</f>
        <v/>
      </c>
      <c r="G462" s="49" t="n"/>
      <c r="H462" s="50">
        <f>IFERROR(IF(OR(B462="",E462=""),"",SUMIF(LOANS!$B:$B,B462,LOANS!$D:$D)+E462),"")</f>
        <v/>
      </c>
      <c r="I462" s="50">
        <f>IFERROR(IF(H462="","",SUMIF(LOANS!$B:$B,B462,LOANS!$I:$I)+ABS(PMT(IFERROR(VLOOKUP(B462,LOANS!$B:$G,6,0),12)/100/12,IFERROR(VLOOKUP(B462,LOANS!$B:$H,7,0),12),E462))),"")</f>
        <v/>
      </c>
      <c r="J462" s="49">
        <f>IF(B462="","","Active")</f>
        <v/>
      </c>
    </row>
    <row r="463">
      <c r="A463" s="47">
        <f>IF(B463="","","TU"&amp;TEXT(ROW()-2,"0000"))</f>
        <v/>
      </c>
      <c r="B463" s="26" t="n"/>
      <c r="C463" s="26">
        <f>IFERROR(IF(B463="","",VLOOKUP(B463,DATABASE!A:B,2,0)),"")</f>
        <v/>
      </c>
      <c r="D463" s="26" t="n"/>
      <c r="E463" s="30" t="n"/>
      <c r="F463" s="31">
        <f>IF(B463="","",TODAY())</f>
        <v/>
      </c>
      <c r="G463" s="26" t="n"/>
      <c r="H463" s="30">
        <f>IFERROR(IF(OR(B463="",E463=""),"",SUMIF(LOANS!$B:$B,B463,LOANS!$D:$D)+E463),"")</f>
        <v/>
      </c>
      <c r="I463" s="30">
        <f>IFERROR(IF(H463="","",SUMIF(LOANS!$B:$B,B463,LOANS!$I:$I)+ABS(PMT(IFERROR(VLOOKUP(B463,LOANS!$B:$G,6,0),12)/100/12,IFERROR(VLOOKUP(B463,LOANS!$B:$H,7,0),12),E463))),"")</f>
        <v/>
      </c>
      <c r="J463" s="26">
        <f>IF(B463="","","Active")</f>
        <v/>
      </c>
    </row>
    <row r="464">
      <c r="A464" s="48">
        <f>IF(B464="","","TU"&amp;TEXT(ROW()-2,"0000"))</f>
        <v/>
      </c>
      <c r="B464" s="49" t="n"/>
      <c r="C464" s="49">
        <f>IFERROR(IF(B464="","",VLOOKUP(B464,DATABASE!A:B,2,0)),"")</f>
        <v/>
      </c>
      <c r="D464" s="49" t="n"/>
      <c r="E464" s="50" t="n"/>
      <c r="F464" s="51">
        <f>IF(B464="","",TODAY())</f>
        <v/>
      </c>
      <c r="G464" s="49" t="n"/>
      <c r="H464" s="50">
        <f>IFERROR(IF(OR(B464="",E464=""),"",SUMIF(LOANS!$B:$B,B464,LOANS!$D:$D)+E464),"")</f>
        <v/>
      </c>
      <c r="I464" s="50">
        <f>IFERROR(IF(H464="","",SUMIF(LOANS!$B:$B,B464,LOANS!$I:$I)+ABS(PMT(IFERROR(VLOOKUP(B464,LOANS!$B:$G,6,0),12)/100/12,IFERROR(VLOOKUP(B464,LOANS!$B:$H,7,0),12),E464))),"")</f>
        <v/>
      </c>
      <c r="J464" s="49">
        <f>IF(B464="","","Active")</f>
        <v/>
      </c>
    </row>
    <row r="465">
      <c r="A465" s="47">
        <f>IF(B465="","","TU"&amp;TEXT(ROW()-2,"0000"))</f>
        <v/>
      </c>
      <c r="B465" s="26" t="n"/>
      <c r="C465" s="26">
        <f>IFERROR(IF(B465="","",VLOOKUP(B465,DATABASE!A:B,2,0)),"")</f>
        <v/>
      </c>
      <c r="D465" s="26" t="n"/>
      <c r="E465" s="30" t="n"/>
      <c r="F465" s="31">
        <f>IF(B465="","",TODAY())</f>
        <v/>
      </c>
      <c r="G465" s="26" t="n"/>
      <c r="H465" s="30">
        <f>IFERROR(IF(OR(B465="",E465=""),"",SUMIF(LOANS!$B:$B,B465,LOANS!$D:$D)+E465),"")</f>
        <v/>
      </c>
      <c r="I465" s="30">
        <f>IFERROR(IF(H465="","",SUMIF(LOANS!$B:$B,B465,LOANS!$I:$I)+ABS(PMT(IFERROR(VLOOKUP(B465,LOANS!$B:$G,6,0),12)/100/12,IFERROR(VLOOKUP(B465,LOANS!$B:$H,7,0),12),E465))),"")</f>
        <v/>
      </c>
      <c r="J465" s="26">
        <f>IF(B465="","","Active")</f>
        <v/>
      </c>
    </row>
    <row r="466">
      <c r="A466" s="48">
        <f>IF(B466="","","TU"&amp;TEXT(ROW()-2,"0000"))</f>
        <v/>
      </c>
      <c r="B466" s="49" t="n"/>
      <c r="C466" s="49">
        <f>IFERROR(IF(B466="","",VLOOKUP(B466,DATABASE!A:B,2,0)),"")</f>
        <v/>
      </c>
      <c r="D466" s="49" t="n"/>
      <c r="E466" s="50" t="n"/>
      <c r="F466" s="51">
        <f>IF(B466="","",TODAY())</f>
        <v/>
      </c>
      <c r="G466" s="49" t="n"/>
      <c r="H466" s="50">
        <f>IFERROR(IF(OR(B466="",E466=""),"",SUMIF(LOANS!$B:$B,B466,LOANS!$D:$D)+E466),"")</f>
        <v/>
      </c>
      <c r="I466" s="50">
        <f>IFERROR(IF(H466="","",SUMIF(LOANS!$B:$B,B466,LOANS!$I:$I)+ABS(PMT(IFERROR(VLOOKUP(B466,LOANS!$B:$G,6,0),12)/100/12,IFERROR(VLOOKUP(B466,LOANS!$B:$H,7,0),12),E466))),"")</f>
        <v/>
      </c>
      <c r="J466" s="49">
        <f>IF(B466="","","Active")</f>
        <v/>
      </c>
    </row>
    <row r="467">
      <c r="A467" s="47">
        <f>IF(B467="","","TU"&amp;TEXT(ROW()-2,"0000"))</f>
        <v/>
      </c>
      <c r="B467" s="26" t="n"/>
      <c r="C467" s="26">
        <f>IFERROR(IF(B467="","",VLOOKUP(B467,DATABASE!A:B,2,0)),"")</f>
        <v/>
      </c>
      <c r="D467" s="26" t="n"/>
      <c r="E467" s="30" t="n"/>
      <c r="F467" s="31">
        <f>IF(B467="","",TODAY())</f>
        <v/>
      </c>
      <c r="G467" s="26" t="n"/>
      <c r="H467" s="30">
        <f>IFERROR(IF(OR(B467="",E467=""),"",SUMIF(LOANS!$B:$B,B467,LOANS!$D:$D)+E467),"")</f>
        <v/>
      </c>
      <c r="I467" s="30">
        <f>IFERROR(IF(H467="","",SUMIF(LOANS!$B:$B,B467,LOANS!$I:$I)+ABS(PMT(IFERROR(VLOOKUP(B467,LOANS!$B:$G,6,0),12)/100/12,IFERROR(VLOOKUP(B467,LOANS!$B:$H,7,0),12),E467))),"")</f>
        <v/>
      </c>
      <c r="J467" s="26">
        <f>IF(B467="","","Active")</f>
        <v/>
      </c>
    </row>
    <row r="468">
      <c r="A468" s="48">
        <f>IF(B468="","","TU"&amp;TEXT(ROW()-2,"0000"))</f>
        <v/>
      </c>
      <c r="B468" s="49" t="n"/>
      <c r="C468" s="49">
        <f>IFERROR(IF(B468="","",VLOOKUP(B468,DATABASE!A:B,2,0)),"")</f>
        <v/>
      </c>
      <c r="D468" s="49" t="n"/>
      <c r="E468" s="50" t="n"/>
      <c r="F468" s="51">
        <f>IF(B468="","",TODAY())</f>
        <v/>
      </c>
      <c r="G468" s="49" t="n"/>
      <c r="H468" s="50">
        <f>IFERROR(IF(OR(B468="",E468=""),"",SUMIF(LOANS!$B:$B,B468,LOANS!$D:$D)+E468),"")</f>
        <v/>
      </c>
      <c r="I468" s="50">
        <f>IFERROR(IF(H468="","",SUMIF(LOANS!$B:$B,B468,LOANS!$I:$I)+ABS(PMT(IFERROR(VLOOKUP(B468,LOANS!$B:$G,6,0),12)/100/12,IFERROR(VLOOKUP(B468,LOANS!$B:$H,7,0),12),E468))),"")</f>
        <v/>
      </c>
      <c r="J468" s="49">
        <f>IF(B468="","","Active")</f>
        <v/>
      </c>
    </row>
    <row r="469">
      <c r="A469" s="47">
        <f>IF(B469="","","TU"&amp;TEXT(ROW()-2,"0000"))</f>
        <v/>
      </c>
      <c r="B469" s="26" t="n"/>
      <c r="C469" s="26">
        <f>IFERROR(IF(B469="","",VLOOKUP(B469,DATABASE!A:B,2,0)),"")</f>
        <v/>
      </c>
      <c r="D469" s="26" t="n"/>
      <c r="E469" s="30" t="n"/>
      <c r="F469" s="31">
        <f>IF(B469="","",TODAY())</f>
        <v/>
      </c>
      <c r="G469" s="26" t="n"/>
      <c r="H469" s="30">
        <f>IFERROR(IF(OR(B469="",E469=""),"",SUMIF(LOANS!$B:$B,B469,LOANS!$D:$D)+E469),"")</f>
        <v/>
      </c>
      <c r="I469" s="30">
        <f>IFERROR(IF(H469="","",SUMIF(LOANS!$B:$B,B469,LOANS!$I:$I)+ABS(PMT(IFERROR(VLOOKUP(B469,LOANS!$B:$G,6,0),12)/100/12,IFERROR(VLOOKUP(B469,LOANS!$B:$H,7,0),12),E469))),"")</f>
        <v/>
      </c>
      <c r="J469" s="26">
        <f>IF(B469="","","Active")</f>
        <v/>
      </c>
    </row>
    <row r="470">
      <c r="A470" s="48">
        <f>IF(B470="","","TU"&amp;TEXT(ROW()-2,"0000"))</f>
        <v/>
      </c>
      <c r="B470" s="49" t="n"/>
      <c r="C470" s="49">
        <f>IFERROR(IF(B470="","",VLOOKUP(B470,DATABASE!A:B,2,0)),"")</f>
        <v/>
      </c>
      <c r="D470" s="49" t="n"/>
      <c r="E470" s="50" t="n"/>
      <c r="F470" s="51">
        <f>IF(B470="","",TODAY())</f>
        <v/>
      </c>
      <c r="G470" s="49" t="n"/>
      <c r="H470" s="50">
        <f>IFERROR(IF(OR(B470="",E470=""),"",SUMIF(LOANS!$B:$B,B470,LOANS!$D:$D)+E470),"")</f>
        <v/>
      </c>
      <c r="I470" s="50">
        <f>IFERROR(IF(H470="","",SUMIF(LOANS!$B:$B,B470,LOANS!$I:$I)+ABS(PMT(IFERROR(VLOOKUP(B470,LOANS!$B:$G,6,0),12)/100/12,IFERROR(VLOOKUP(B470,LOANS!$B:$H,7,0),12),E470))),"")</f>
        <v/>
      </c>
      <c r="J470" s="49">
        <f>IF(B470="","","Active")</f>
        <v/>
      </c>
    </row>
    <row r="471">
      <c r="A471" s="47">
        <f>IF(B471="","","TU"&amp;TEXT(ROW()-2,"0000"))</f>
        <v/>
      </c>
      <c r="B471" s="26" t="n"/>
      <c r="C471" s="26">
        <f>IFERROR(IF(B471="","",VLOOKUP(B471,DATABASE!A:B,2,0)),"")</f>
        <v/>
      </c>
      <c r="D471" s="26" t="n"/>
      <c r="E471" s="30" t="n"/>
      <c r="F471" s="31">
        <f>IF(B471="","",TODAY())</f>
        <v/>
      </c>
      <c r="G471" s="26" t="n"/>
      <c r="H471" s="30">
        <f>IFERROR(IF(OR(B471="",E471=""),"",SUMIF(LOANS!$B:$B,B471,LOANS!$D:$D)+E471),"")</f>
        <v/>
      </c>
      <c r="I471" s="30">
        <f>IFERROR(IF(H471="","",SUMIF(LOANS!$B:$B,B471,LOANS!$I:$I)+ABS(PMT(IFERROR(VLOOKUP(B471,LOANS!$B:$G,6,0),12)/100/12,IFERROR(VLOOKUP(B471,LOANS!$B:$H,7,0),12),E471))),"")</f>
        <v/>
      </c>
      <c r="J471" s="26">
        <f>IF(B471="","","Active")</f>
        <v/>
      </c>
    </row>
    <row r="472">
      <c r="A472" s="48">
        <f>IF(B472="","","TU"&amp;TEXT(ROW()-2,"0000"))</f>
        <v/>
      </c>
      <c r="B472" s="49" t="n"/>
      <c r="C472" s="49">
        <f>IFERROR(IF(B472="","",VLOOKUP(B472,DATABASE!A:B,2,0)),"")</f>
        <v/>
      </c>
      <c r="D472" s="49" t="n"/>
      <c r="E472" s="50" t="n"/>
      <c r="F472" s="51">
        <f>IF(B472="","",TODAY())</f>
        <v/>
      </c>
      <c r="G472" s="49" t="n"/>
      <c r="H472" s="50">
        <f>IFERROR(IF(OR(B472="",E472=""),"",SUMIF(LOANS!$B:$B,B472,LOANS!$D:$D)+E472),"")</f>
        <v/>
      </c>
      <c r="I472" s="50">
        <f>IFERROR(IF(H472="","",SUMIF(LOANS!$B:$B,B472,LOANS!$I:$I)+ABS(PMT(IFERROR(VLOOKUP(B472,LOANS!$B:$G,6,0),12)/100/12,IFERROR(VLOOKUP(B472,LOANS!$B:$H,7,0),12),E472))),"")</f>
        <v/>
      </c>
      <c r="J472" s="49">
        <f>IF(B472="","","Active")</f>
        <v/>
      </c>
    </row>
    <row r="473">
      <c r="A473" s="47">
        <f>IF(B473="","","TU"&amp;TEXT(ROW()-2,"0000"))</f>
        <v/>
      </c>
      <c r="B473" s="26" t="n"/>
      <c r="C473" s="26">
        <f>IFERROR(IF(B473="","",VLOOKUP(B473,DATABASE!A:B,2,0)),"")</f>
        <v/>
      </c>
      <c r="D473" s="26" t="n"/>
      <c r="E473" s="30" t="n"/>
      <c r="F473" s="31">
        <f>IF(B473="","",TODAY())</f>
        <v/>
      </c>
      <c r="G473" s="26" t="n"/>
      <c r="H473" s="30">
        <f>IFERROR(IF(OR(B473="",E473=""),"",SUMIF(LOANS!$B:$B,B473,LOANS!$D:$D)+E473),"")</f>
        <v/>
      </c>
      <c r="I473" s="30">
        <f>IFERROR(IF(H473="","",SUMIF(LOANS!$B:$B,B473,LOANS!$I:$I)+ABS(PMT(IFERROR(VLOOKUP(B473,LOANS!$B:$G,6,0),12)/100/12,IFERROR(VLOOKUP(B473,LOANS!$B:$H,7,0),12),E473))),"")</f>
        <v/>
      </c>
      <c r="J473" s="26">
        <f>IF(B473="","","Active")</f>
        <v/>
      </c>
    </row>
    <row r="474">
      <c r="A474" s="48">
        <f>IF(B474="","","TU"&amp;TEXT(ROW()-2,"0000"))</f>
        <v/>
      </c>
      <c r="B474" s="49" t="n"/>
      <c r="C474" s="49">
        <f>IFERROR(IF(B474="","",VLOOKUP(B474,DATABASE!A:B,2,0)),"")</f>
        <v/>
      </c>
      <c r="D474" s="49" t="n"/>
      <c r="E474" s="50" t="n"/>
      <c r="F474" s="51">
        <f>IF(B474="","",TODAY())</f>
        <v/>
      </c>
      <c r="G474" s="49" t="n"/>
      <c r="H474" s="50">
        <f>IFERROR(IF(OR(B474="",E474=""),"",SUMIF(LOANS!$B:$B,B474,LOANS!$D:$D)+E474),"")</f>
        <v/>
      </c>
      <c r="I474" s="50">
        <f>IFERROR(IF(H474="","",SUMIF(LOANS!$B:$B,B474,LOANS!$I:$I)+ABS(PMT(IFERROR(VLOOKUP(B474,LOANS!$B:$G,6,0),12)/100/12,IFERROR(VLOOKUP(B474,LOANS!$B:$H,7,0),12),E474))),"")</f>
        <v/>
      </c>
      <c r="J474" s="49">
        <f>IF(B474="","","Active")</f>
        <v/>
      </c>
    </row>
    <row r="475">
      <c r="A475" s="47">
        <f>IF(B475="","","TU"&amp;TEXT(ROW()-2,"0000"))</f>
        <v/>
      </c>
      <c r="B475" s="26" t="n"/>
      <c r="C475" s="26">
        <f>IFERROR(IF(B475="","",VLOOKUP(B475,DATABASE!A:B,2,0)),"")</f>
        <v/>
      </c>
      <c r="D475" s="26" t="n"/>
      <c r="E475" s="30" t="n"/>
      <c r="F475" s="31">
        <f>IF(B475="","",TODAY())</f>
        <v/>
      </c>
      <c r="G475" s="26" t="n"/>
      <c r="H475" s="30">
        <f>IFERROR(IF(OR(B475="",E475=""),"",SUMIF(LOANS!$B:$B,B475,LOANS!$D:$D)+E475),"")</f>
        <v/>
      </c>
      <c r="I475" s="30">
        <f>IFERROR(IF(H475="","",SUMIF(LOANS!$B:$B,B475,LOANS!$I:$I)+ABS(PMT(IFERROR(VLOOKUP(B475,LOANS!$B:$G,6,0),12)/100/12,IFERROR(VLOOKUP(B475,LOANS!$B:$H,7,0),12),E475))),"")</f>
        <v/>
      </c>
      <c r="J475" s="26">
        <f>IF(B475="","","Active")</f>
        <v/>
      </c>
    </row>
    <row r="476">
      <c r="A476" s="48">
        <f>IF(B476="","","TU"&amp;TEXT(ROW()-2,"0000"))</f>
        <v/>
      </c>
      <c r="B476" s="49" t="n"/>
      <c r="C476" s="49">
        <f>IFERROR(IF(B476="","",VLOOKUP(B476,DATABASE!A:B,2,0)),"")</f>
        <v/>
      </c>
      <c r="D476" s="49" t="n"/>
      <c r="E476" s="50" t="n"/>
      <c r="F476" s="51">
        <f>IF(B476="","",TODAY())</f>
        <v/>
      </c>
      <c r="G476" s="49" t="n"/>
      <c r="H476" s="50">
        <f>IFERROR(IF(OR(B476="",E476=""),"",SUMIF(LOANS!$B:$B,B476,LOANS!$D:$D)+E476),"")</f>
        <v/>
      </c>
      <c r="I476" s="50">
        <f>IFERROR(IF(H476="","",SUMIF(LOANS!$B:$B,B476,LOANS!$I:$I)+ABS(PMT(IFERROR(VLOOKUP(B476,LOANS!$B:$G,6,0),12)/100/12,IFERROR(VLOOKUP(B476,LOANS!$B:$H,7,0),12),E476))),"")</f>
        <v/>
      </c>
      <c r="J476" s="49">
        <f>IF(B476="","","Active")</f>
        <v/>
      </c>
    </row>
    <row r="477">
      <c r="A477" s="47">
        <f>IF(B477="","","TU"&amp;TEXT(ROW()-2,"0000"))</f>
        <v/>
      </c>
      <c r="B477" s="26" t="n"/>
      <c r="C477" s="26">
        <f>IFERROR(IF(B477="","",VLOOKUP(B477,DATABASE!A:B,2,0)),"")</f>
        <v/>
      </c>
      <c r="D477" s="26" t="n"/>
      <c r="E477" s="30" t="n"/>
      <c r="F477" s="31">
        <f>IF(B477="","",TODAY())</f>
        <v/>
      </c>
      <c r="G477" s="26" t="n"/>
      <c r="H477" s="30">
        <f>IFERROR(IF(OR(B477="",E477=""),"",SUMIF(LOANS!$B:$B,B477,LOANS!$D:$D)+E477),"")</f>
        <v/>
      </c>
      <c r="I477" s="30">
        <f>IFERROR(IF(H477="","",SUMIF(LOANS!$B:$B,B477,LOANS!$I:$I)+ABS(PMT(IFERROR(VLOOKUP(B477,LOANS!$B:$G,6,0),12)/100/12,IFERROR(VLOOKUP(B477,LOANS!$B:$H,7,0),12),E477))),"")</f>
        <v/>
      </c>
      <c r="J477" s="26">
        <f>IF(B477="","","Active")</f>
        <v/>
      </c>
    </row>
    <row r="478">
      <c r="A478" s="48">
        <f>IF(B478="","","TU"&amp;TEXT(ROW()-2,"0000"))</f>
        <v/>
      </c>
      <c r="B478" s="49" t="n"/>
      <c r="C478" s="49">
        <f>IFERROR(IF(B478="","",VLOOKUP(B478,DATABASE!A:B,2,0)),"")</f>
        <v/>
      </c>
      <c r="D478" s="49" t="n"/>
      <c r="E478" s="50" t="n"/>
      <c r="F478" s="51">
        <f>IF(B478="","",TODAY())</f>
        <v/>
      </c>
      <c r="G478" s="49" t="n"/>
      <c r="H478" s="50">
        <f>IFERROR(IF(OR(B478="",E478=""),"",SUMIF(LOANS!$B:$B,B478,LOANS!$D:$D)+E478),"")</f>
        <v/>
      </c>
      <c r="I478" s="50">
        <f>IFERROR(IF(H478="","",SUMIF(LOANS!$B:$B,B478,LOANS!$I:$I)+ABS(PMT(IFERROR(VLOOKUP(B478,LOANS!$B:$G,6,0),12)/100/12,IFERROR(VLOOKUP(B478,LOANS!$B:$H,7,0),12),E478))),"")</f>
        <v/>
      </c>
      <c r="J478" s="49">
        <f>IF(B478="","","Active")</f>
        <v/>
      </c>
    </row>
    <row r="479">
      <c r="A479" s="47">
        <f>IF(B479="","","TU"&amp;TEXT(ROW()-2,"0000"))</f>
        <v/>
      </c>
      <c r="B479" s="26" t="n"/>
      <c r="C479" s="26">
        <f>IFERROR(IF(B479="","",VLOOKUP(B479,DATABASE!A:B,2,0)),"")</f>
        <v/>
      </c>
      <c r="D479" s="26" t="n"/>
      <c r="E479" s="30" t="n"/>
      <c r="F479" s="31">
        <f>IF(B479="","",TODAY())</f>
        <v/>
      </c>
      <c r="G479" s="26" t="n"/>
      <c r="H479" s="30">
        <f>IFERROR(IF(OR(B479="",E479=""),"",SUMIF(LOANS!$B:$B,B479,LOANS!$D:$D)+E479),"")</f>
        <v/>
      </c>
      <c r="I479" s="30">
        <f>IFERROR(IF(H479="","",SUMIF(LOANS!$B:$B,B479,LOANS!$I:$I)+ABS(PMT(IFERROR(VLOOKUP(B479,LOANS!$B:$G,6,0),12)/100/12,IFERROR(VLOOKUP(B479,LOANS!$B:$H,7,0),12),E479))),"")</f>
        <v/>
      </c>
      <c r="J479" s="26">
        <f>IF(B479="","","Active")</f>
        <v/>
      </c>
    </row>
    <row r="480">
      <c r="A480" s="48">
        <f>IF(B480="","","TU"&amp;TEXT(ROW()-2,"0000"))</f>
        <v/>
      </c>
      <c r="B480" s="49" t="n"/>
      <c r="C480" s="49">
        <f>IFERROR(IF(B480="","",VLOOKUP(B480,DATABASE!A:B,2,0)),"")</f>
        <v/>
      </c>
      <c r="D480" s="49" t="n"/>
      <c r="E480" s="50" t="n"/>
      <c r="F480" s="51">
        <f>IF(B480="","",TODAY())</f>
        <v/>
      </c>
      <c r="G480" s="49" t="n"/>
      <c r="H480" s="50">
        <f>IFERROR(IF(OR(B480="",E480=""),"",SUMIF(LOANS!$B:$B,B480,LOANS!$D:$D)+E480),"")</f>
        <v/>
      </c>
      <c r="I480" s="50">
        <f>IFERROR(IF(H480="","",SUMIF(LOANS!$B:$B,B480,LOANS!$I:$I)+ABS(PMT(IFERROR(VLOOKUP(B480,LOANS!$B:$G,6,0),12)/100/12,IFERROR(VLOOKUP(B480,LOANS!$B:$H,7,0),12),E480))),"")</f>
        <v/>
      </c>
      <c r="J480" s="49">
        <f>IF(B480="","","Active")</f>
        <v/>
      </c>
    </row>
    <row r="481">
      <c r="A481" s="47">
        <f>IF(B481="","","TU"&amp;TEXT(ROW()-2,"0000"))</f>
        <v/>
      </c>
      <c r="B481" s="26" t="n"/>
      <c r="C481" s="26">
        <f>IFERROR(IF(B481="","",VLOOKUP(B481,DATABASE!A:B,2,0)),"")</f>
        <v/>
      </c>
      <c r="D481" s="26" t="n"/>
      <c r="E481" s="30" t="n"/>
      <c r="F481" s="31">
        <f>IF(B481="","",TODAY())</f>
        <v/>
      </c>
      <c r="G481" s="26" t="n"/>
      <c r="H481" s="30">
        <f>IFERROR(IF(OR(B481="",E481=""),"",SUMIF(LOANS!$B:$B,B481,LOANS!$D:$D)+E481),"")</f>
        <v/>
      </c>
      <c r="I481" s="30">
        <f>IFERROR(IF(H481="","",SUMIF(LOANS!$B:$B,B481,LOANS!$I:$I)+ABS(PMT(IFERROR(VLOOKUP(B481,LOANS!$B:$G,6,0),12)/100/12,IFERROR(VLOOKUP(B481,LOANS!$B:$H,7,0),12),E481))),"")</f>
        <v/>
      </c>
      <c r="J481" s="26">
        <f>IF(B481="","","Active")</f>
        <v/>
      </c>
    </row>
    <row r="482">
      <c r="A482" s="48">
        <f>IF(B482="","","TU"&amp;TEXT(ROW()-2,"0000"))</f>
        <v/>
      </c>
      <c r="B482" s="49" t="n"/>
      <c r="C482" s="49">
        <f>IFERROR(IF(B482="","",VLOOKUP(B482,DATABASE!A:B,2,0)),"")</f>
        <v/>
      </c>
      <c r="D482" s="49" t="n"/>
      <c r="E482" s="50" t="n"/>
      <c r="F482" s="51">
        <f>IF(B482="","",TODAY())</f>
        <v/>
      </c>
      <c r="G482" s="49" t="n"/>
      <c r="H482" s="50">
        <f>IFERROR(IF(OR(B482="",E482=""),"",SUMIF(LOANS!$B:$B,B482,LOANS!$D:$D)+E482),"")</f>
        <v/>
      </c>
      <c r="I482" s="50">
        <f>IFERROR(IF(H482="","",SUMIF(LOANS!$B:$B,B482,LOANS!$I:$I)+ABS(PMT(IFERROR(VLOOKUP(B482,LOANS!$B:$G,6,0),12)/100/12,IFERROR(VLOOKUP(B482,LOANS!$B:$H,7,0),12),E482))),"")</f>
        <v/>
      </c>
      <c r="J482" s="49">
        <f>IF(B482="","","Active")</f>
        <v/>
      </c>
    </row>
    <row r="483">
      <c r="A483" s="47">
        <f>IF(B483="","","TU"&amp;TEXT(ROW()-2,"0000"))</f>
        <v/>
      </c>
      <c r="B483" s="26" t="n"/>
      <c r="C483" s="26">
        <f>IFERROR(IF(B483="","",VLOOKUP(B483,DATABASE!A:B,2,0)),"")</f>
        <v/>
      </c>
      <c r="D483" s="26" t="n"/>
      <c r="E483" s="30" t="n"/>
      <c r="F483" s="31">
        <f>IF(B483="","",TODAY())</f>
        <v/>
      </c>
      <c r="G483" s="26" t="n"/>
      <c r="H483" s="30">
        <f>IFERROR(IF(OR(B483="",E483=""),"",SUMIF(LOANS!$B:$B,B483,LOANS!$D:$D)+E483),"")</f>
        <v/>
      </c>
      <c r="I483" s="30">
        <f>IFERROR(IF(H483="","",SUMIF(LOANS!$B:$B,B483,LOANS!$I:$I)+ABS(PMT(IFERROR(VLOOKUP(B483,LOANS!$B:$G,6,0),12)/100/12,IFERROR(VLOOKUP(B483,LOANS!$B:$H,7,0),12),E483))),"")</f>
        <v/>
      </c>
      <c r="J483" s="26">
        <f>IF(B483="","","Active")</f>
        <v/>
      </c>
    </row>
    <row r="484">
      <c r="A484" s="48">
        <f>IF(B484="","","TU"&amp;TEXT(ROW()-2,"0000"))</f>
        <v/>
      </c>
      <c r="B484" s="49" t="n"/>
      <c r="C484" s="49">
        <f>IFERROR(IF(B484="","",VLOOKUP(B484,DATABASE!A:B,2,0)),"")</f>
        <v/>
      </c>
      <c r="D484" s="49" t="n"/>
      <c r="E484" s="50" t="n"/>
      <c r="F484" s="51">
        <f>IF(B484="","",TODAY())</f>
        <v/>
      </c>
      <c r="G484" s="49" t="n"/>
      <c r="H484" s="50">
        <f>IFERROR(IF(OR(B484="",E484=""),"",SUMIF(LOANS!$B:$B,B484,LOANS!$D:$D)+E484),"")</f>
        <v/>
      </c>
      <c r="I484" s="50">
        <f>IFERROR(IF(H484="","",SUMIF(LOANS!$B:$B,B484,LOANS!$I:$I)+ABS(PMT(IFERROR(VLOOKUP(B484,LOANS!$B:$G,6,0),12)/100/12,IFERROR(VLOOKUP(B484,LOANS!$B:$H,7,0),12),E484))),"")</f>
        <v/>
      </c>
      <c r="J484" s="49">
        <f>IF(B484="","","Active")</f>
        <v/>
      </c>
    </row>
    <row r="485">
      <c r="A485" s="47">
        <f>IF(B485="","","TU"&amp;TEXT(ROW()-2,"0000"))</f>
        <v/>
      </c>
      <c r="B485" s="26" t="n"/>
      <c r="C485" s="26">
        <f>IFERROR(IF(B485="","",VLOOKUP(B485,DATABASE!A:B,2,0)),"")</f>
        <v/>
      </c>
      <c r="D485" s="26" t="n"/>
      <c r="E485" s="30" t="n"/>
      <c r="F485" s="31">
        <f>IF(B485="","",TODAY())</f>
        <v/>
      </c>
      <c r="G485" s="26" t="n"/>
      <c r="H485" s="30">
        <f>IFERROR(IF(OR(B485="",E485=""),"",SUMIF(LOANS!$B:$B,B485,LOANS!$D:$D)+E485),"")</f>
        <v/>
      </c>
      <c r="I485" s="30">
        <f>IFERROR(IF(H485="","",SUMIF(LOANS!$B:$B,B485,LOANS!$I:$I)+ABS(PMT(IFERROR(VLOOKUP(B485,LOANS!$B:$G,6,0),12)/100/12,IFERROR(VLOOKUP(B485,LOANS!$B:$H,7,0),12),E485))),"")</f>
        <v/>
      </c>
      <c r="J485" s="26">
        <f>IF(B485="","","Active")</f>
        <v/>
      </c>
    </row>
    <row r="486">
      <c r="A486" s="48">
        <f>IF(B486="","","TU"&amp;TEXT(ROW()-2,"0000"))</f>
        <v/>
      </c>
      <c r="B486" s="49" t="n"/>
      <c r="C486" s="49">
        <f>IFERROR(IF(B486="","",VLOOKUP(B486,DATABASE!A:B,2,0)),"")</f>
        <v/>
      </c>
      <c r="D486" s="49" t="n"/>
      <c r="E486" s="50" t="n"/>
      <c r="F486" s="51">
        <f>IF(B486="","",TODAY())</f>
        <v/>
      </c>
      <c r="G486" s="49" t="n"/>
      <c r="H486" s="50">
        <f>IFERROR(IF(OR(B486="",E486=""),"",SUMIF(LOANS!$B:$B,B486,LOANS!$D:$D)+E486),"")</f>
        <v/>
      </c>
      <c r="I486" s="50">
        <f>IFERROR(IF(H486="","",SUMIF(LOANS!$B:$B,B486,LOANS!$I:$I)+ABS(PMT(IFERROR(VLOOKUP(B486,LOANS!$B:$G,6,0),12)/100/12,IFERROR(VLOOKUP(B486,LOANS!$B:$H,7,0),12),E486))),"")</f>
        <v/>
      </c>
      <c r="J486" s="49">
        <f>IF(B486="","","Active")</f>
        <v/>
      </c>
    </row>
    <row r="487">
      <c r="A487" s="47">
        <f>IF(B487="","","TU"&amp;TEXT(ROW()-2,"0000"))</f>
        <v/>
      </c>
      <c r="B487" s="26" t="n"/>
      <c r="C487" s="26">
        <f>IFERROR(IF(B487="","",VLOOKUP(B487,DATABASE!A:B,2,0)),"")</f>
        <v/>
      </c>
      <c r="D487" s="26" t="n"/>
      <c r="E487" s="30" t="n"/>
      <c r="F487" s="31">
        <f>IF(B487="","",TODAY())</f>
        <v/>
      </c>
      <c r="G487" s="26" t="n"/>
      <c r="H487" s="30">
        <f>IFERROR(IF(OR(B487="",E487=""),"",SUMIF(LOANS!$B:$B,B487,LOANS!$D:$D)+E487),"")</f>
        <v/>
      </c>
      <c r="I487" s="30">
        <f>IFERROR(IF(H487="","",SUMIF(LOANS!$B:$B,B487,LOANS!$I:$I)+ABS(PMT(IFERROR(VLOOKUP(B487,LOANS!$B:$G,6,0),12)/100/12,IFERROR(VLOOKUP(B487,LOANS!$B:$H,7,0),12),E487))),"")</f>
        <v/>
      </c>
      <c r="J487" s="26">
        <f>IF(B487="","","Active")</f>
        <v/>
      </c>
    </row>
    <row r="488">
      <c r="A488" s="48">
        <f>IF(B488="","","TU"&amp;TEXT(ROW()-2,"0000"))</f>
        <v/>
      </c>
      <c r="B488" s="49" t="n"/>
      <c r="C488" s="49">
        <f>IFERROR(IF(B488="","",VLOOKUP(B488,DATABASE!A:B,2,0)),"")</f>
        <v/>
      </c>
      <c r="D488" s="49" t="n"/>
      <c r="E488" s="50" t="n"/>
      <c r="F488" s="51">
        <f>IF(B488="","",TODAY())</f>
        <v/>
      </c>
      <c r="G488" s="49" t="n"/>
      <c r="H488" s="50">
        <f>IFERROR(IF(OR(B488="",E488=""),"",SUMIF(LOANS!$B:$B,B488,LOANS!$D:$D)+E488),"")</f>
        <v/>
      </c>
      <c r="I488" s="50">
        <f>IFERROR(IF(H488="","",SUMIF(LOANS!$B:$B,B488,LOANS!$I:$I)+ABS(PMT(IFERROR(VLOOKUP(B488,LOANS!$B:$G,6,0),12)/100/12,IFERROR(VLOOKUP(B488,LOANS!$B:$H,7,0),12),E488))),"")</f>
        <v/>
      </c>
      <c r="J488" s="49">
        <f>IF(B488="","","Active")</f>
        <v/>
      </c>
    </row>
    <row r="489">
      <c r="A489" s="47">
        <f>IF(B489="","","TU"&amp;TEXT(ROW()-2,"0000"))</f>
        <v/>
      </c>
      <c r="B489" s="26" t="n"/>
      <c r="C489" s="26">
        <f>IFERROR(IF(B489="","",VLOOKUP(B489,DATABASE!A:B,2,0)),"")</f>
        <v/>
      </c>
      <c r="D489" s="26" t="n"/>
      <c r="E489" s="30" t="n"/>
      <c r="F489" s="31">
        <f>IF(B489="","",TODAY())</f>
        <v/>
      </c>
      <c r="G489" s="26" t="n"/>
      <c r="H489" s="30">
        <f>IFERROR(IF(OR(B489="",E489=""),"",SUMIF(LOANS!$B:$B,B489,LOANS!$D:$D)+E489),"")</f>
        <v/>
      </c>
      <c r="I489" s="30">
        <f>IFERROR(IF(H489="","",SUMIF(LOANS!$B:$B,B489,LOANS!$I:$I)+ABS(PMT(IFERROR(VLOOKUP(B489,LOANS!$B:$G,6,0),12)/100/12,IFERROR(VLOOKUP(B489,LOANS!$B:$H,7,0),12),E489))),"")</f>
        <v/>
      </c>
      <c r="J489" s="26">
        <f>IF(B489="","","Active")</f>
        <v/>
      </c>
    </row>
    <row r="490">
      <c r="A490" s="48">
        <f>IF(B490="","","TU"&amp;TEXT(ROW()-2,"0000"))</f>
        <v/>
      </c>
      <c r="B490" s="49" t="n"/>
      <c r="C490" s="49">
        <f>IFERROR(IF(B490="","",VLOOKUP(B490,DATABASE!A:B,2,0)),"")</f>
        <v/>
      </c>
      <c r="D490" s="49" t="n"/>
      <c r="E490" s="50" t="n"/>
      <c r="F490" s="51">
        <f>IF(B490="","",TODAY())</f>
        <v/>
      </c>
      <c r="G490" s="49" t="n"/>
      <c r="H490" s="50">
        <f>IFERROR(IF(OR(B490="",E490=""),"",SUMIF(LOANS!$B:$B,B490,LOANS!$D:$D)+E490),"")</f>
        <v/>
      </c>
      <c r="I490" s="50">
        <f>IFERROR(IF(H490="","",SUMIF(LOANS!$B:$B,B490,LOANS!$I:$I)+ABS(PMT(IFERROR(VLOOKUP(B490,LOANS!$B:$G,6,0),12)/100/12,IFERROR(VLOOKUP(B490,LOANS!$B:$H,7,0),12),E490))),"")</f>
        <v/>
      </c>
      <c r="J490" s="49">
        <f>IF(B490="","","Active")</f>
        <v/>
      </c>
    </row>
    <row r="491">
      <c r="A491" s="47">
        <f>IF(B491="","","TU"&amp;TEXT(ROW()-2,"0000"))</f>
        <v/>
      </c>
      <c r="B491" s="26" t="n"/>
      <c r="C491" s="26">
        <f>IFERROR(IF(B491="","",VLOOKUP(B491,DATABASE!A:B,2,0)),"")</f>
        <v/>
      </c>
      <c r="D491" s="26" t="n"/>
      <c r="E491" s="30" t="n"/>
      <c r="F491" s="31">
        <f>IF(B491="","",TODAY())</f>
        <v/>
      </c>
      <c r="G491" s="26" t="n"/>
      <c r="H491" s="30">
        <f>IFERROR(IF(OR(B491="",E491=""),"",SUMIF(LOANS!$B:$B,B491,LOANS!$D:$D)+E491),"")</f>
        <v/>
      </c>
      <c r="I491" s="30">
        <f>IFERROR(IF(H491="","",SUMIF(LOANS!$B:$B,B491,LOANS!$I:$I)+ABS(PMT(IFERROR(VLOOKUP(B491,LOANS!$B:$G,6,0),12)/100/12,IFERROR(VLOOKUP(B491,LOANS!$B:$H,7,0),12),E491))),"")</f>
        <v/>
      </c>
      <c r="J491" s="26">
        <f>IF(B491="","","Active")</f>
        <v/>
      </c>
    </row>
    <row r="492">
      <c r="A492" s="48">
        <f>IF(B492="","","TU"&amp;TEXT(ROW()-2,"0000"))</f>
        <v/>
      </c>
      <c r="B492" s="49" t="n"/>
      <c r="C492" s="49">
        <f>IFERROR(IF(B492="","",VLOOKUP(B492,DATABASE!A:B,2,0)),"")</f>
        <v/>
      </c>
      <c r="D492" s="49" t="n"/>
      <c r="E492" s="50" t="n"/>
      <c r="F492" s="51">
        <f>IF(B492="","",TODAY())</f>
        <v/>
      </c>
      <c r="G492" s="49" t="n"/>
      <c r="H492" s="50">
        <f>IFERROR(IF(OR(B492="",E492=""),"",SUMIF(LOANS!$B:$B,B492,LOANS!$D:$D)+E492),"")</f>
        <v/>
      </c>
      <c r="I492" s="50">
        <f>IFERROR(IF(H492="","",SUMIF(LOANS!$B:$B,B492,LOANS!$I:$I)+ABS(PMT(IFERROR(VLOOKUP(B492,LOANS!$B:$G,6,0),12)/100/12,IFERROR(VLOOKUP(B492,LOANS!$B:$H,7,0),12),E492))),"")</f>
        <v/>
      </c>
      <c r="J492" s="49">
        <f>IF(B492="","","Active")</f>
        <v/>
      </c>
    </row>
    <row r="493">
      <c r="A493" s="47">
        <f>IF(B493="","","TU"&amp;TEXT(ROW()-2,"0000"))</f>
        <v/>
      </c>
      <c r="B493" s="26" t="n"/>
      <c r="C493" s="26">
        <f>IFERROR(IF(B493="","",VLOOKUP(B493,DATABASE!A:B,2,0)),"")</f>
        <v/>
      </c>
      <c r="D493" s="26" t="n"/>
      <c r="E493" s="30" t="n"/>
      <c r="F493" s="31">
        <f>IF(B493="","",TODAY())</f>
        <v/>
      </c>
      <c r="G493" s="26" t="n"/>
      <c r="H493" s="30">
        <f>IFERROR(IF(OR(B493="",E493=""),"",SUMIF(LOANS!$B:$B,B493,LOANS!$D:$D)+E493),"")</f>
        <v/>
      </c>
      <c r="I493" s="30">
        <f>IFERROR(IF(H493="","",SUMIF(LOANS!$B:$B,B493,LOANS!$I:$I)+ABS(PMT(IFERROR(VLOOKUP(B493,LOANS!$B:$G,6,0),12)/100/12,IFERROR(VLOOKUP(B493,LOANS!$B:$H,7,0),12),E493))),"")</f>
        <v/>
      </c>
      <c r="J493" s="26">
        <f>IF(B493="","","Active")</f>
        <v/>
      </c>
    </row>
    <row r="494">
      <c r="A494" s="48">
        <f>IF(B494="","","TU"&amp;TEXT(ROW()-2,"0000"))</f>
        <v/>
      </c>
      <c r="B494" s="49" t="n"/>
      <c r="C494" s="49">
        <f>IFERROR(IF(B494="","",VLOOKUP(B494,DATABASE!A:B,2,0)),"")</f>
        <v/>
      </c>
      <c r="D494" s="49" t="n"/>
      <c r="E494" s="50" t="n"/>
      <c r="F494" s="51">
        <f>IF(B494="","",TODAY())</f>
        <v/>
      </c>
      <c r="G494" s="49" t="n"/>
      <c r="H494" s="50">
        <f>IFERROR(IF(OR(B494="",E494=""),"",SUMIF(LOANS!$B:$B,B494,LOANS!$D:$D)+E494),"")</f>
        <v/>
      </c>
      <c r="I494" s="50">
        <f>IFERROR(IF(H494="","",SUMIF(LOANS!$B:$B,B494,LOANS!$I:$I)+ABS(PMT(IFERROR(VLOOKUP(B494,LOANS!$B:$G,6,0),12)/100/12,IFERROR(VLOOKUP(B494,LOANS!$B:$H,7,0),12),E494))),"")</f>
        <v/>
      </c>
      <c r="J494" s="49">
        <f>IF(B494="","","Active")</f>
        <v/>
      </c>
    </row>
    <row r="495">
      <c r="A495" s="47">
        <f>IF(B495="","","TU"&amp;TEXT(ROW()-2,"0000"))</f>
        <v/>
      </c>
      <c r="B495" s="26" t="n"/>
      <c r="C495" s="26">
        <f>IFERROR(IF(B495="","",VLOOKUP(B495,DATABASE!A:B,2,0)),"")</f>
        <v/>
      </c>
      <c r="D495" s="26" t="n"/>
      <c r="E495" s="30" t="n"/>
      <c r="F495" s="31">
        <f>IF(B495="","",TODAY())</f>
        <v/>
      </c>
      <c r="G495" s="26" t="n"/>
      <c r="H495" s="30">
        <f>IFERROR(IF(OR(B495="",E495=""),"",SUMIF(LOANS!$B:$B,B495,LOANS!$D:$D)+E495),"")</f>
        <v/>
      </c>
      <c r="I495" s="30">
        <f>IFERROR(IF(H495="","",SUMIF(LOANS!$B:$B,B495,LOANS!$I:$I)+ABS(PMT(IFERROR(VLOOKUP(B495,LOANS!$B:$G,6,0),12)/100/12,IFERROR(VLOOKUP(B495,LOANS!$B:$H,7,0),12),E495))),"")</f>
        <v/>
      </c>
      <c r="J495" s="26">
        <f>IF(B495="","","Active")</f>
        <v/>
      </c>
    </row>
    <row r="496">
      <c r="A496" s="48">
        <f>IF(B496="","","TU"&amp;TEXT(ROW()-2,"0000"))</f>
        <v/>
      </c>
      <c r="B496" s="49" t="n"/>
      <c r="C496" s="49">
        <f>IFERROR(IF(B496="","",VLOOKUP(B496,DATABASE!A:B,2,0)),"")</f>
        <v/>
      </c>
      <c r="D496" s="49" t="n"/>
      <c r="E496" s="50" t="n"/>
      <c r="F496" s="51">
        <f>IF(B496="","",TODAY())</f>
        <v/>
      </c>
      <c r="G496" s="49" t="n"/>
      <c r="H496" s="50">
        <f>IFERROR(IF(OR(B496="",E496=""),"",SUMIF(LOANS!$B:$B,B496,LOANS!$D:$D)+E496),"")</f>
        <v/>
      </c>
      <c r="I496" s="50">
        <f>IFERROR(IF(H496="","",SUMIF(LOANS!$B:$B,B496,LOANS!$I:$I)+ABS(PMT(IFERROR(VLOOKUP(B496,LOANS!$B:$G,6,0),12)/100/12,IFERROR(VLOOKUP(B496,LOANS!$B:$H,7,0),12),E496))),"")</f>
        <v/>
      </c>
      <c r="J496" s="49">
        <f>IF(B496="","","Active")</f>
        <v/>
      </c>
    </row>
    <row r="497">
      <c r="A497" s="47">
        <f>IF(B497="","","TU"&amp;TEXT(ROW()-2,"0000"))</f>
        <v/>
      </c>
      <c r="B497" s="26" t="n"/>
      <c r="C497" s="26">
        <f>IFERROR(IF(B497="","",VLOOKUP(B497,DATABASE!A:B,2,0)),"")</f>
        <v/>
      </c>
      <c r="D497" s="26" t="n"/>
      <c r="E497" s="30" t="n"/>
      <c r="F497" s="31">
        <f>IF(B497="","",TODAY())</f>
        <v/>
      </c>
      <c r="G497" s="26" t="n"/>
      <c r="H497" s="30">
        <f>IFERROR(IF(OR(B497="",E497=""),"",SUMIF(LOANS!$B:$B,B497,LOANS!$D:$D)+E497),"")</f>
        <v/>
      </c>
      <c r="I497" s="30">
        <f>IFERROR(IF(H497="","",SUMIF(LOANS!$B:$B,B497,LOANS!$I:$I)+ABS(PMT(IFERROR(VLOOKUP(B497,LOANS!$B:$G,6,0),12)/100/12,IFERROR(VLOOKUP(B497,LOANS!$B:$H,7,0),12),E497))),"")</f>
        <v/>
      </c>
      <c r="J497" s="26">
        <f>IF(B497="","","Active")</f>
        <v/>
      </c>
    </row>
    <row r="498">
      <c r="A498" s="48">
        <f>IF(B498="","","TU"&amp;TEXT(ROW()-2,"0000"))</f>
        <v/>
      </c>
      <c r="B498" s="49" t="n"/>
      <c r="C498" s="49">
        <f>IFERROR(IF(B498="","",VLOOKUP(B498,DATABASE!A:B,2,0)),"")</f>
        <v/>
      </c>
      <c r="D498" s="49" t="n"/>
      <c r="E498" s="50" t="n"/>
      <c r="F498" s="51">
        <f>IF(B498="","",TODAY())</f>
        <v/>
      </c>
      <c r="G498" s="49" t="n"/>
      <c r="H498" s="50">
        <f>IFERROR(IF(OR(B498="",E498=""),"",SUMIF(LOANS!$B:$B,B498,LOANS!$D:$D)+E498),"")</f>
        <v/>
      </c>
      <c r="I498" s="50">
        <f>IFERROR(IF(H498="","",SUMIF(LOANS!$B:$B,B498,LOANS!$I:$I)+ABS(PMT(IFERROR(VLOOKUP(B498,LOANS!$B:$G,6,0),12)/100/12,IFERROR(VLOOKUP(B498,LOANS!$B:$H,7,0),12),E498))),"")</f>
        <v/>
      </c>
      <c r="J498" s="49">
        <f>IF(B498="","","Active")</f>
        <v/>
      </c>
    </row>
    <row r="499">
      <c r="A499" s="47">
        <f>IF(B499="","","TU"&amp;TEXT(ROW()-2,"0000"))</f>
        <v/>
      </c>
      <c r="B499" s="26" t="n"/>
      <c r="C499" s="26">
        <f>IFERROR(IF(B499="","",VLOOKUP(B499,DATABASE!A:B,2,0)),"")</f>
        <v/>
      </c>
      <c r="D499" s="26" t="n"/>
      <c r="E499" s="30" t="n"/>
      <c r="F499" s="31">
        <f>IF(B499="","",TODAY())</f>
        <v/>
      </c>
      <c r="G499" s="26" t="n"/>
      <c r="H499" s="30">
        <f>IFERROR(IF(OR(B499="",E499=""),"",SUMIF(LOANS!$B:$B,B499,LOANS!$D:$D)+E499),"")</f>
        <v/>
      </c>
      <c r="I499" s="30">
        <f>IFERROR(IF(H499="","",SUMIF(LOANS!$B:$B,B499,LOANS!$I:$I)+ABS(PMT(IFERROR(VLOOKUP(B499,LOANS!$B:$G,6,0),12)/100/12,IFERROR(VLOOKUP(B499,LOANS!$B:$H,7,0),12),E499))),"")</f>
        <v/>
      </c>
      <c r="J499" s="26">
        <f>IF(B499="","","Active")</f>
        <v/>
      </c>
    </row>
    <row r="500">
      <c r="A500" s="48">
        <f>IF(B500="","","TU"&amp;TEXT(ROW()-2,"0000"))</f>
        <v/>
      </c>
      <c r="B500" s="49" t="n"/>
      <c r="C500" s="49">
        <f>IFERROR(IF(B500="","",VLOOKUP(B500,DATABASE!A:B,2,0)),"")</f>
        <v/>
      </c>
      <c r="D500" s="49" t="n"/>
      <c r="E500" s="50" t="n"/>
      <c r="F500" s="51">
        <f>IF(B500="","",TODAY())</f>
        <v/>
      </c>
      <c r="G500" s="49" t="n"/>
      <c r="H500" s="50">
        <f>IFERROR(IF(OR(B500="",E500=""),"",SUMIF(LOANS!$B:$B,B500,LOANS!$D:$D)+E500),"")</f>
        <v/>
      </c>
      <c r="I500" s="50">
        <f>IFERROR(IF(H500="","",SUMIF(LOANS!$B:$B,B500,LOANS!$I:$I)+ABS(PMT(IFERROR(VLOOKUP(B500,LOANS!$B:$G,6,0),12)/100/12,IFERROR(VLOOKUP(B500,LOANS!$B:$H,7,0),12),E500))),"")</f>
        <v/>
      </c>
      <c r="J500" s="49">
        <f>IF(B500="","","Active")</f>
        <v/>
      </c>
    </row>
    <row r="501">
      <c r="A501" s="47">
        <f>IF(B501="","","TU"&amp;TEXT(ROW()-2,"0000"))</f>
        <v/>
      </c>
      <c r="B501" s="26" t="n"/>
      <c r="C501" s="26">
        <f>IFERROR(IF(B501="","",VLOOKUP(B501,DATABASE!A:B,2,0)),"")</f>
        <v/>
      </c>
      <c r="D501" s="26" t="n"/>
      <c r="E501" s="30" t="n"/>
      <c r="F501" s="31">
        <f>IF(B501="","",TODAY())</f>
        <v/>
      </c>
      <c r="G501" s="26" t="n"/>
      <c r="H501" s="30">
        <f>IFERROR(IF(OR(B501="",E501=""),"",SUMIF(LOANS!$B:$B,B501,LOANS!$D:$D)+E501),"")</f>
        <v/>
      </c>
      <c r="I501" s="30">
        <f>IFERROR(IF(H501="","",SUMIF(LOANS!$B:$B,B501,LOANS!$I:$I)+ABS(PMT(IFERROR(VLOOKUP(B501,LOANS!$B:$G,6,0),12)/100/12,IFERROR(VLOOKUP(B501,LOANS!$B:$H,7,0),12),E501))),"")</f>
        <v/>
      </c>
      <c r="J501" s="26">
        <f>IF(B501="","","Active")</f>
        <v/>
      </c>
    </row>
    <row r="502">
      <c r="A502" s="48">
        <f>IF(B502="","","TU"&amp;TEXT(ROW()-2,"0000"))</f>
        <v/>
      </c>
      <c r="B502" s="49" t="n"/>
      <c r="C502" s="49">
        <f>IFERROR(IF(B502="","",VLOOKUP(B502,DATABASE!A:B,2,0)),"")</f>
        <v/>
      </c>
      <c r="D502" s="49" t="n"/>
      <c r="E502" s="50" t="n"/>
      <c r="F502" s="51">
        <f>IF(B502="","",TODAY())</f>
        <v/>
      </c>
      <c r="G502" s="49" t="n"/>
      <c r="H502" s="50">
        <f>IFERROR(IF(OR(B502="",E502=""),"",SUMIF(LOANS!$B:$B,B502,LOANS!$D:$D)+E502),"")</f>
        <v/>
      </c>
      <c r="I502" s="50">
        <f>IFERROR(IF(H502="","",SUMIF(LOANS!$B:$B,B502,LOANS!$I:$I)+ABS(PMT(IFERROR(VLOOKUP(B502,LOANS!$B:$G,6,0),12)/100/12,IFERROR(VLOOKUP(B502,LOANS!$B:$H,7,0),12),E502))),"")</f>
        <v/>
      </c>
      <c r="J502" s="49">
        <f>IF(B502="","","Active")</f>
        <v/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D700"/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" customWidth="1" min="3" max="3"/>
    <col width="25" customWidth="1" min="4" max="4"/>
    <col width="5" customWidth="1" min="5" max="5"/>
    <col width="5" customWidth="1" min="6" max="6"/>
  </cols>
  <sheetData>
    <row r="1" ht="34" customHeight="1">
      <c r="A1" s="11" t="inlineStr">
        <is>
          <t>SAMICIOUS MICROFINANCE – SUMMARY REPORTS</t>
        </is>
      </c>
    </row>
    <row r="3" ht="24" customHeight="1">
      <c r="B3" s="52" t="inlineStr">
        <is>
          <t>Total Registered Customers</t>
        </is>
      </c>
      <c r="D3" s="53">
        <f>COUNTA(DATABASE!A:A)-1</f>
        <v/>
      </c>
    </row>
    <row r="4" ht="24" customHeight="1">
      <c r="B4" s="52" t="inlineStr">
        <is>
          <t>Total Savings Collected (GHS)</t>
        </is>
      </c>
      <c r="D4" s="53">
        <f>IFERROR(SUMIF(SAVINGS!A:A,"ACC*",SAVINGS!E:E),0)</f>
        <v/>
      </c>
    </row>
    <row r="5" ht="24" customHeight="1">
      <c r="B5" s="52" t="inlineStr">
        <is>
          <t>Total Withdrawals (GHS)</t>
        </is>
      </c>
      <c r="D5" s="53">
        <f>IFERROR(SUMIF(WITHDRAWALS!A:A,"ACC*",WITHDRAWALS!E:E),0)</f>
        <v/>
      </c>
    </row>
    <row r="6" ht="24" customHeight="1">
      <c r="B6" s="52" t="inlineStr">
        <is>
          <t>Net Savings Balance (GHS)</t>
        </is>
      </c>
      <c r="D6" s="53">
        <f>D4-D5</f>
        <v/>
      </c>
    </row>
    <row r="7" ht="24" customHeight="1">
      <c r="B7" s="52" t="inlineStr">
        <is>
          <t>Total Loans Disbursed (GHS)</t>
        </is>
      </c>
      <c r="D7" s="53">
        <f>IFERROR(SUMIF(LOANS!B:B,"ACC*",LOANS!D:D),0)</f>
        <v/>
      </c>
    </row>
    <row r="8" ht="24" customHeight="1">
      <c r="B8" s="52" t="inlineStr">
        <is>
          <t>Total Top-Up Amounts (GHS)</t>
        </is>
      </c>
      <c r="D8" s="53">
        <f>IFERROR(SUMIF(TOPUP!B:B,"ACC*",TOPUP!E:E),0)</f>
        <v/>
      </c>
    </row>
    <row r="9" ht="24" customHeight="1">
      <c r="B9" s="52" t="inlineStr">
        <is>
          <t>Total Loan Portfolio (GHS)</t>
        </is>
      </c>
      <c r="D9" s="53">
        <f>D7+D8</f>
        <v/>
      </c>
    </row>
    <row r="10" ht="24" customHeight="1">
      <c r="B10" s="52" t="inlineStr">
        <is>
          <t>Number of Active Loans</t>
        </is>
      </c>
      <c r="D10" s="53">
        <f>IFERROR(COUNTIF(LOANS!J:J,"Active"),0)</f>
        <v/>
      </c>
    </row>
    <row r="11" ht="24" customHeight="1">
      <c r="B11" s="52" t="inlineStr">
        <is>
          <t>Number of Top-Ups</t>
        </is>
      </c>
      <c r="D11" s="53">
        <f>IFERROR(COUNTIF(TOPUP!J:J,"Active"),0)</f>
        <v/>
      </c>
    </row>
    <row r="12">
      <c r="B12" s="54" t="inlineStr">
        <is>
          <t>⚡ All figures update automatically as data is entered in module sheets.</t>
        </is>
      </c>
    </row>
  </sheetData>
  <mergeCells count="2">
    <mergeCell ref="B12:D1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2026-04-24T19:15:38Z</dcterms:created>
  <dcterms:modified xmlns:dcterms="http://purl.org/dc/terms/" xmlns:xsi="http://www.w3.org/2001/XMLSchema-instance" xsi:type="dcterms:W3CDTF">2026-04-24T19:15:43Z</dcterms:modified>
</cp:coreProperties>
</file>