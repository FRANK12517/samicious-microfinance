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36cdf6249d3033e/Desktop/"/>
    </mc:Choice>
  </mc:AlternateContent>
  <xr:revisionPtr revIDLastSave="5" documentId="11_63114EDFF50D005F42897A1DB48D1FBDA5F19756" xr6:coauthVersionLast="47" xr6:coauthVersionMax="47" xr10:uidLastSave="{34AF549A-95C7-4B80-B190-30FA90856B1F}"/>
  <bookViews>
    <workbookView xWindow="3120" yWindow="3120" windowWidth="21600" windowHeight="11295" tabRatio="500" activeTab="5" xr2:uid="{00000000-000D-0000-FFFF-FFFF00000000}"/>
  </bookViews>
  <sheets>
    <sheet name="Dashboard" sheetId="1" r:id="rId1"/>
    <sheet name="Members" sheetId="2" r:id="rId2"/>
    <sheet name="Transactions" sheetId="3" r:id="rId3"/>
    <sheet name="Loans" sheetId="4" r:id="rId4"/>
    <sheet name="Pending_Loans" sheetId="5" r:id="rId5"/>
    <sheet name="Reports" sheetId="6" r:id="rId6"/>
    <sheet name="Local_Cache" sheetId="7" state="hidden" r:id="rId7"/>
    <sheet name="Config" sheetId="8" state="hidden" r:id="rId8"/>
    <sheet name="VBA_Modules" sheetId="9" r:id="rId9"/>
    <sheet name="Setup_Guide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9" i="8" l="1"/>
  <c r="C8" i="8"/>
  <c r="B8" i="8"/>
  <c r="C7" i="8"/>
  <c r="C6" i="8"/>
  <c r="B6" i="8"/>
  <c r="E5" i="1" s="1"/>
  <c r="C5" i="8"/>
  <c r="B5" i="8"/>
  <c r="D5" i="1" s="1"/>
  <c r="C4" i="8"/>
  <c r="B4" i="8"/>
  <c r="C5" i="1" s="1"/>
  <c r="C3" i="8"/>
  <c r="B3" i="8"/>
  <c r="B5" i="1" s="1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K53" i="4"/>
  <c r="I53" i="4"/>
  <c r="K52" i="4"/>
  <c r="I52" i="4"/>
  <c r="K51" i="4"/>
  <c r="I51" i="4"/>
  <c r="K50" i="4"/>
  <c r="I50" i="4"/>
  <c r="K49" i="4"/>
  <c r="I49" i="4"/>
  <c r="K48" i="4"/>
  <c r="I48" i="4"/>
  <c r="K47" i="4"/>
  <c r="I47" i="4"/>
  <c r="K46" i="4"/>
  <c r="I46" i="4"/>
  <c r="K45" i="4"/>
  <c r="I45" i="4"/>
  <c r="K44" i="4"/>
  <c r="I44" i="4"/>
  <c r="K43" i="4"/>
  <c r="I43" i="4"/>
  <c r="K42" i="4"/>
  <c r="I42" i="4"/>
  <c r="K41" i="4"/>
  <c r="I41" i="4"/>
  <c r="K40" i="4"/>
  <c r="I40" i="4"/>
  <c r="K39" i="4"/>
  <c r="I39" i="4"/>
  <c r="K38" i="4"/>
  <c r="I38" i="4"/>
  <c r="K37" i="4"/>
  <c r="I37" i="4"/>
  <c r="K36" i="4"/>
  <c r="I36" i="4"/>
  <c r="K35" i="4"/>
  <c r="I35" i="4"/>
  <c r="K34" i="4"/>
  <c r="I34" i="4"/>
  <c r="K33" i="4"/>
  <c r="I33" i="4"/>
  <c r="K32" i="4"/>
  <c r="I32" i="4"/>
  <c r="K31" i="4"/>
  <c r="I31" i="4"/>
  <c r="K30" i="4"/>
  <c r="I30" i="4"/>
  <c r="K29" i="4"/>
  <c r="I29" i="4"/>
  <c r="K28" i="4"/>
  <c r="I28" i="4"/>
  <c r="K27" i="4"/>
  <c r="I27" i="4"/>
  <c r="K26" i="4"/>
  <c r="I26" i="4"/>
  <c r="K25" i="4"/>
  <c r="I25" i="4"/>
  <c r="K24" i="4"/>
  <c r="I24" i="4"/>
  <c r="K23" i="4"/>
  <c r="I23" i="4"/>
  <c r="K22" i="4"/>
  <c r="I22" i="4"/>
  <c r="K21" i="4"/>
  <c r="I21" i="4"/>
  <c r="K20" i="4"/>
  <c r="I20" i="4"/>
  <c r="K19" i="4"/>
  <c r="I19" i="4"/>
  <c r="K18" i="4"/>
  <c r="I18" i="4"/>
  <c r="K17" i="4"/>
  <c r="I17" i="4"/>
  <c r="K16" i="4"/>
  <c r="I16" i="4"/>
  <c r="K15" i="4"/>
  <c r="I15" i="4"/>
  <c r="K14" i="4"/>
  <c r="I14" i="4"/>
  <c r="K13" i="4"/>
  <c r="I13" i="4"/>
  <c r="K12" i="4"/>
  <c r="I12" i="4"/>
  <c r="K11" i="4"/>
  <c r="I11" i="4"/>
  <c r="K10" i="4"/>
  <c r="I10" i="4"/>
  <c r="K9" i="4"/>
  <c r="I9" i="4"/>
  <c r="K8" i="4"/>
  <c r="I8" i="4"/>
  <c r="K7" i="4"/>
  <c r="I7" i="4"/>
  <c r="K6" i="4"/>
  <c r="I6" i="4"/>
  <c r="K5" i="4"/>
  <c r="I5" i="4"/>
  <c r="K4" i="4"/>
  <c r="I4" i="4"/>
  <c r="A5" i="1"/>
  <c r="B7" i="8" l="1"/>
  <c r="F5" i="1" s="1"/>
</calcChain>
</file>

<file path=xl/sharedStrings.xml><?xml version="1.0" encoding="utf-8"?>
<sst xmlns="http://schemas.openxmlformats.org/spreadsheetml/2006/main" count="1022" uniqueCount="760">
  <si>
    <t>🏦  SAMCIOUS MICROFINANCE MANAGEMENT SYSTEM</t>
  </si>
  <si>
    <t>[ LOGO ]</t>
  </si>
  <si>
    <t>👤  ACTIVE ROLE:</t>
  </si>
  <si>
    <t>Manager</t>
  </si>
  <si>
    <t>🔄  SYNC STATUS:</t>
  </si>
  <si>
    <t>⚠  NOT SYNCHRONIZED — Click SYNC</t>
  </si>
  <si>
    <t>🔄  SYNCHRONIZE</t>
  </si>
  <si>
    <t>➕ ADD MEMBER</t>
  </si>
  <si>
    <t>💰 SAVINGS</t>
  </si>
  <si>
    <t>🏦 LOANS</t>
  </si>
  <si>
    <t>📊 REPORTS</t>
  </si>
  <si>
    <t>🔍 SEARCH</t>
  </si>
  <si>
    <t>⚙ SETTINGS</t>
  </si>
  <si>
    <t>📱 SMS ALERTS</t>
  </si>
  <si>
    <t>🔒 LOCK SYSTEM</t>
  </si>
  <si>
    <t>Total Members</t>
  </si>
  <si>
    <t>Total Savings (GHS)</t>
  </si>
  <si>
    <t>Loans Disbursed (GHS)</t>
  </si>
  <si>
    <t>Loan Repayments (GHS)</t>
  </si>
  <si>
    <t>Money at Hand (GHS)</t>
  </si>
  <si>
    <t>Pending Loans</t>
  </si>
  <si>
    <t>📋  RECENT TRANSACTIONS  (Last 10)</t>
  </si>
  <si>
    <t>Date</t>
  </si>
  <si>
    <t>Member Name</t>
  </si>
  <si>
    <t>Account No</t>
  </si>
  <si>
    <t>Transaction</t>
  </si>
  <si>
    <t>Amount (GHS)</t>
  </si>
  <si>
    <t>Balance (GHS)</t>
  </si>
  <si>
    <t>Agent</t>
  </si>
  <si>
    <t>Status</t>
  </si>
  <si>
    <t>Ref No</t>
  </si>
  <si>
    <t>Notes</t>
  </si>
  <si>
    <t>👥  AGENT PERFORMANCE SUMMARY</t>
  </si>
  <si>
    <t>Agent Code</t>
  </si>
  <si>
    <t>Members Registered</t>
  </si>
  <si>
    <t>Loans Given (GHS)</t>
  </si>
  <si>
    <t>Repayments (GHS)</t>
  </si>
  <si>
    <t>Agent 1</t>
  </si>
  <si>
    <t>Agent 2</t>
  </si>
  <si>
    <t>Agent 3</t>
  </si>
  <si>
    <t>Agent 4</t>
  </si>
  <si>
    <t>Agent 5</t>
  </si>
  <si>
    <t>👥  MEMBERS REGISTRY  —  SAMCIOUS MICROFINANCE</t>
  </si>
  <si>
    <t>🔍 SEARCH:</t>
  </si>
  <si>
    <t>Search by Account No or Phone Number — results highlight below</t>
  </si>
  <si>
    <t>➕  ADD MEMBER</t>
  </si>
  <si>
    <t>📤  EXPORT MEMBERS</t>
  </si>
  <si>
    <t>Account Number</t>
  </si>
  <si>
    <t>Full Name</t>
  </si>
  <si>
    <t>Phone Number</t>
  </si>
  <si>
    <t>ID Type</t>
  </si>
  <si>
    <t>ID Number</t>
  </si>
  <si>
    <t>Date Joined</t>
  </si>
  <si>
    <t>Agent Assigned</t>
  </si>
  <si>
    <t>KYC Status</t>
  </si>
  <si>
    <t>Savings Balance (GHS)</t>
  </si>
  <si>
    <t>Loan Balance (GHS)</t>
  </si>
  <si>
    <t>Total Interest Paid (GHS)</t>
  </si>
  <si>
    <t>💳  TRANSACTIONS LOG  —  SAVINGS &amp; LOAN REPAYMENTS</t>
  </si>
  <si>
    <t>📅 Date From:</t>
  </si>
  <si>
    <t>📅 Date To:</t>
  </si>
  <si>
    <t>👤 Member:</t>
  </si>
  <si>
    <t>📂 Type:</t>
  </si>
  <si>
    <t>Trans Type</t>
  </si>
  <si>
    <t>Running Balance (GHS)</t>
  </si>
  <si>
    <t>Auth Code</t>
  </si>
  <si>
    <t>SMS Sent?</t>
  </si>
  <si>
    <t>Approved By</t>
  </si>
  <si>
    <t>🏦  LOAN REGISTER  —  DISBURSEMENTS &amp; REPAYMENT SCHEDULE</t>
  </si>
  <si>
    <t>🔍 Search Loan:</t>
  </si>
  <si>
    <t>📅 Date:</t>
  </si>
  <si>
    <t>📂 Status:</t>
  </si>
  <si>
    <t>Loan ID</t>
  </si>
  <si>
    <t>Date Issued</t>
  </si>
  <si>
    <t>Loan Amount (GHS)</t>
  </si>
  <si>
    <t>Processing Fee (GHS)</t>
  </si>
  <si>
    <t>Net Amount Credited (GHS)</t>
  </si>
  <si>
    <t>Interest Rate (%)</t>
  </si>
  <si>
    <t>Monthly Installment (GHS)</t>
  </si>
  <si>
    <t>Total Repaid (GHS)</t>
  </si>
  <si>
    <t>Outstanding Balance (GHS)</t>
  </si>
  <si>
    <t>Loan Status</t>
  </si>
  <si>
    <t>⏳  PENDING LOAN REQUESTS  —  MANAGER APPROVAL QUEUE</t>
  </si>
  <si>
    <t>📊 Total Pending:</t>
  </si>
  <si>
    <t>💰 Total Amount:</t>
  </si>
  <si>
    <t>📅 As of Date:</t>
  </si>
  <si>
    <t>👤 Manager:</t>
  </si>
  <si>
    <t>Request ID</t>
  </si>
  <si>
    <t>Request Date</t>
  </si>
  <si>
    <t>Requested Amount (GHS)</t>
  </si>
  <si>
    <t>Purpose</t>
  </si>
  <si>
    <t>Net to Credit (GHS)</t>
  </si>
  <si>
    <t>Decision</t>
  </si>
  <si>
    <t>Decision Date</t>
  </si>
  <si>
    <t>Manager Notes</t>
  </si>
  <si>
    <t>📊  REPORTS &amp; ANALYTICS  —  SAMCIOUS MICROFINANCE</t>
  </si>
  <si>
    <t>📅 Report Year:</t>
  </si>
  <si>
    <t>📥 Download Report</t>
  </si>
  <si>
    <t>🖨 Print Report</t>
  </si>
  <si>
    <t>📋  MONTHLY SUMMARY</t>
  </si>
  <si>
    <t>Month</t>
  </si>
  <si>
    <t>Members Added</t>
  </si>
  <si>
    <t>Total Deposits (GHS)</t>
  </si>
  <si>
    <t>Total Loans (GHS)</t>
  </si>
  <si>
    <t>Interest Earned (GHS)</t>
  </si>
  <si>
    <t>Net Position (GHS)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</si>
  <si>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</si>
  <si>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</si>
  <si>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</si>
  <si>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</si>
  <si>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</si>
  <si>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</si>
  <si>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</si>
  <si>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</si>
  <si>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</si>
  <si>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</si>
  <si>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</si>
  <si>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</si>
  <si>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⚡  LOCAL CACHE  —  OFFLINE STORAGE (SYSTEM USE ONLY)</t>
  </si>
  <si>
    <t>Cache ID</t>
  </si>
  <si>
    <t>Timestamp</t>
  </si>
  <si>
    <t>Sheet Target</t>
  </si>
  <si>
    <t>Operation</t>
  </si>
  <si>
    <t>Data Payload</t>
  </si>
  <si>
    <t>Sync Status</t>
  </si>
  <si>
    <t>Retry Count</t>
  </si>
  <si>
    <t>Error Message</t>
  </si>
  <si>
    <t>⚙  SYSTEM CONFIGURATION  —  DO NOT MODIFY MANUALLY</t>
  </si>
  <si>
    <t>Setting</t>
  </si>
  <si>
    <t>Value</t>
  </si>
  <si>
    <t>Last Updated</t>
  </si>
  <si>
    <t>Auto-counted</t>
  </si>
  <si>
    <t>Total Savings</t>
  </si>
  <si>
    <t>Auto-summed</t>
  </si>
  <si>
    <t>Loans Disbursed</t>
  </si>
  <si>
    <t>Loan Repayments</t>
  </si>
  <si>
    <t>Money at Hand</t>
  </si>
  <si>
    <t>(Savings+Repayments)-Loans</t>
  </si>
  <si>
    <t>Last Sync Date</t>
  </si>
  <si>
    <t>Set by VBA on sync</t>
  </si>
  <si>
    <t>System Version</t>
  </si>
  <si>
    <t>1.0.0</t>
  </si>
  <si>
    <t>2025-01-01</t>
  </si>
  <si>
    <t>SAMCIOUS MFI v1</t>
  </si>
  <si>
    <t>Master File Path</t>
  </si>
  <si>
    <t>Set during setup</t>
  </si>
  <si>
    <t>SMS API Key</t>
  </si>
  <si>
    <t>Hubtel/Twilio key</t>
  </si>
  <si>
    <t>SMS Sender ID</t>
  </si>
  <si>
    <t>SAMCIOUS</t>
  </si>
  <si>
    <t>SMS sender name</t>
  </si>
  <si>
    <t>Currency</t>
  </si>
  <si>
    <t>GHS</t>
  </si>
  <si>
    <t>Ghana Cedis</t>
  </si>
  <si>
    <t>Interest Base Rate</t>
  </si>
  <si>
    <t>20%</t>
  </si>
  <si>
    <t>Default annual rate</t>
  </si>
  <si>
    <t>Max Loan Multiple</t>
  </si>
  <si>
    <t>5</t>
  </si>
  <si>
    <t>Max loan = 5x savings</t>
  </si>
  <si>
    <t>Processing Fee %</t>
  </si>
  <si>
    <t>2%</t>
  </si>
  <si>
    <t>Default processing fee</t>
  </si>
  <si>
    <t>System Locked</t>
  </si>
  <si>
    <t>FALSE</t>
  </si>
  <si>
    <t>TRUE when not synced</t>
  </si>
  <si>
    <t>Active Manager</t>
  </si>
  <si>
    <t>Current logged-in user</t>
  </si>
  <si>
    <t>Organization</t>
  </si>
  <si>
    <t>SAMCIOUS MICROFINANCE</t>
  </si>
  <si>
    <t>Org name</t>
  </si>
  <si>
    <t>Ghana Branch</t>
  </si>
  <si>
    <t>Main Branch</t>
  </si>
  <si>
    <t>Branch identifier</t>
  </si>
  <si>
    <t>📝  VBA MODULES — Paste into Excel VBA Editor (Alt+F11)</t>
  </si>
  <si>
    <t>📦  MODULE: ThisWorkbook</t>
  </si>
  <si>
    <t>' ═══════════════════════════════════════════════════════════════</t>
  </si>
  <si>
    <t>' MODULE: ThisWorkbook</t>
  </si>
  <si>
    <t>' Paste into: ThisWorkbook object in VBA editor</t>
  </si>
  <si>
    <t>Option Explicit</t>
  </si>
  <si>
    <t>Private Sub Workbook_Open()</t>
  </si>
  <si>
    <t xml:space="preserve">    ' ── Check synchronization status on open ──────────────────</t>
  </si>
  <si>
    <t xml:space="preserve">    Dim lastSync As String</t>
  </si>
  <si>
    <t xml:space="preserve">    lastSync = Sheets("Config").Range("B8").Value</t>
  </si>
  <si>
    <t xml:space="preserve">    </t>
  </si>
  <si>
    <t xml:space="preserve">    If lastSync = "" Or CDate(lastSync) &lt; Date Then</t>
  </si>
  <si>
    <t xml:space="preserve">        ' Lock system</t>
  </si>
  <si>
    <t xml:space="preserve">        Sheets("Config").Range("B17").Value = "TRUE"</t>
  </si>
  <si>
    <t xml:space="preserve">        Call LockSystem</t>
  </si>
  <si>
    <t xml:space="preserve">        MsgBox "⚠ SYNCHRONIZATION REQUIRED" &amp; Chr(13) &amp; Chr(13) &amp; _</t>
  </si>
  <si>
    <t xml:space="preserve">               "Your data has not been synchronized today." &amp; Chr(13) &amp; _</t>
  </si>
  <si>
    <t xml:space="preserve">               "Please click SYNCHRONIZE to continue.", _</t>
  </si>
  <si>
    <t xml:space="preserve">               vbExclamation, "SAMCIOUS - Sync Required"</t>
  </si>
  <si>
    <t xml:space="preserve">    Else</t>
  </si>
  <si>
    <t xml:space="preserve">        Sheets("Config").Range("B17").Value = "FALSE"</t>
  </si>
  <si>
    <t xml:space="preserve">        Call UnlockSystem</t>
  </si>
  <si>
    <t xml:space="preserve">    End If</t>
  </si>
  <si>
    <t xml:space="preserve">    ' ── Navigate to Dashboard ────────────────────────────────</t>
  </si>
  <si>
    <t xml:space="preserve">    Sheets("Dashboard").Activate</t>
  </si>
  <si>
    <t xml:space="preserve">    Sheets("Dashboard").Range("A1").Select</t>
  </si>
  <si>
    <t xml:space="preserve">    Application.WindowState = xlMaximized</t>
  </si>
  <si>
    <t>End Sub</t>
  </si>
  <si>
    <t>Private Sub Workbook_BeforeSave(ByVal SaveAsUI As Boolean, Cancel As Boolean)</t>
  </si>
  <si>
    <t xml:space="preserve">    ' Auto-update last saved timestamp in Config</t>
  </si>
  <si>
    <t xml:space="preserve">    Sheets("Config").Range("C8").Value = Now()</t>
  </si>
  <si>
    <t>📦  MODULE: Module1_Auth</t>
  </si>
  <si>
    <t>' MODULE: Module1_Auth</t>
  </si>
  <si>
    <t>' Insert as: Standard Module named "Module1_Auth"</t>
  </si>
  <si>
    <t>' ── System Lock / Unlock ─────────────────────────────────────</t>
  </si>
  <si>
    <t>Sub LockSystem()</t>
  </si>
  <si>
    <t xml:space="preserve">    Dim ws As Worksheet</t>
  </si>
  <si>
    <t xml:space="preserve">    For Each ws In ThisWorkbook.Worksheets</t>
  </si>
  <si>
    <t xml:space="preserve">        If ws.Name &lt;&gt; "Dashboard" And ws.Name &lt;&gt; "VBA_Modules" Then</t>
  </si>
  <si>
    <t xml:space="preserve">            ws.Protect Password:="SAMCIOUS_LOCK", UserInterfaceOnly:=True</t>
  </si>
  <si>
    <t xml:space="preserve">        End If</t>
  </si>
  <si>
    <t xml:space="preserve">    Next ws</t>
  </si>
  <si>
    <t xml:space="preserve">    ' Update sync status display</t>
  </si>
  <si>
    <t xml:space="preserve">    With Sheets("Dashboard").Range("I2")</t>
  </si>
  <si>
    <t xml:space="preserve">        .Value = "⚠  NOT SYNCHRONIZED — Click SYNC"</t>
  </si>
  <si>
    <t xml:space="preserve">        .Interior.Color = RGB(230, 81, 0)   ' Amber</t>
  </si>
  <si>
    <t xml:space="preserve">        .Font.Color = RGB(255, 255, 255)</t>
  </si>
  <si>
    <t xml:space="preserve">    End With</t>
  </si>
  <si>
    <t>Sub UnlockSystem()</t>
  </si>
  <si>
    <t xml:space="preserve">        ws.Unprotect Password:="SAMCIOUS_LOCK"</t>
  </si>
  <si>
    <t xml:space="preserve">        .Value = "✅  SYNCHRONIZED — " &amp; Format(Now(), "DD/MM/YYYY HH:MM")</t>
  </si>
  <si>
    <t xml:space="preserve">        .Interior.Color = RGB(30, 107, 58)   ' Green</t>
  </si>
  <si>
    <t>' ── Manager Authentication ────────────────────────────────────</t>
  </si>
  <si>
    <t>Sub AuthenticateManager()</t>
  </si>
  <si>
    <t xml:space="preserve">    Dim frm As New frmManagerLogin</t>
  </si>
  <si>
    <t xml:space="preserve">    frm.Show</t>
  </si>
  <si>
    <t>' ── Agent Login with 6-Digit Code ────────────────────────────</t>
  </si>
  <si>
    <t>Sub AgentLogin()</t>
  </si>
  <si>
    <t xml:space="preserve">    Dim agentCode As String</t>
  </si>
  <si>
    <t xml:space="preserve">    agentCode = InputBox("Enter your 6-digit Agent Code:", "SAMCIOUS — Agent Login")</t>
  </si>
  <si>
    <t xml:space="preserve">    If Len(agentCode) &lt;&gt; 6 Or Not IsNumeric(agentCode) Then</t>
  </si>
  <si>
    <t xml:space="preserve">        MsgBox "Invalid agent code. Must be 6 digits.", vbCritical, "Login Failed"</t>
  </si>
  <si>
    <t xml:space="preserve">        Exit Sub</t>
  </si>
  <si>
    <t xml:space="preserve">    ' Lookup agent code in Config sheet (rows 30+)</t>
  </si>
  <si>
    <t xml:space="preserve">    Dim found As Boolean: found = False</t>
  </si>
  <si>
    <t xml:space="preserve">    Dim i As Integer</t>
  </si>
  <si>
    <t xml:space="preserve">    For i = 30 To 50</t>
  </si>
  <si>
    <t xml:space="preserve">        If Sheets("Config").Cells(i, 1).Value = agentCode Then</t>
  </si>
  <si>
    <t xml:space="preserve">            Sheets("Config").Range("B18").Value = Sheets("Config").Cells(i, 2).Value</t>
  </si>
  <si>
    <t xml:space="preserve">            found = True</t>
  </si>
  <si>
    <t xml:space="preserve">            MsgBox "✅ Welcome, " &amp; Sheets("Config").Cells(i, 2).Value &amp; "!", _</t>
  </si>
  <si>
    <t xml:space="preserve">                   vbInformation, "Login Successful"</t>
  </si>
  <si>
    <t xml:space="preserve">            Exit For</t>
  </si>
  <si>
    <t xml:space="preserve">    Next i</t>
  </si>
  <si>
    <t xml:space="preserve">    If Not found Then</t>
  </si>
  <si>
    <t xml:space="preserve">        MsgBox "Agent code not recognized. Contact your manager.", _</t>
  </si>
  <si>
    <t xml:space="preserve">               vbCritical, "Login Failed"</t>
  </si>
  <si>
    <t>' ── Generate 6-Digit Agent Code ──────────────────────────────</t>
  </si>
  <si>
    <t>Function GenerateAgentCode() As String</t>
  </si>
  <si>
    <t xml:space="preserve">    Dim code As String</t>
  </si>
  <si>
    <t xml:space="preserve">    Dim isUnique As Boolean</t>
  </si>
  <si>
    <t xml:space="preserve">    Do</t>
  </si>
  <si>
    <t xml:space="preserve">        code = Format(Int(Rnd() * 900000) + 100000, "000000")</t>
  </si>
  <si>
    <t xml:space="preserve">        isUnique = True</t>
  </si>
  <si>
    <t xml:space="preserve">        Dim i As Integer</t>
  </si>
  <si>
    <t xml:space="preserve">        For i = 30 To 50</t>
  </si>
  <si>
    <t xml:space="preserve">            If Sheets("Config").Cells(i, 1).Value = code Then</t>
  </si>
  <si>
    <t xml:space="preserve">                isUnique = False: Exit For</t>
  </si>
  <si>
    <t xml:space="preserve">            End If</t>
  </si>
  <si>
    <t xml:space="preserve">        Next i</t>
  </si>
  <si>
    <t xml:space="preserve">    Loop Until isUnique</t>
  </si>
  <si>
    <t xml:space="preserve">    GenerateAgentCode = code</t>
  </si>
  <si>
    <t>End Function</t>
  </si>
  <si>
    <t>📦  MODULE: Module2_Members</t>
  </si>
  <si>
    <t>' MODULE: Module2_Members</t>
  </si>
  <si>
    <t>' KYC Registration + Account Number Generation</t>
  </si>
  <si>
    <t>' ── Open KYC Form ────────────────────────────────────────────</t>
  </si>
  <si>
    <t>Sub OpenKYCForm()</t>
  </si>
  <si>
    <t xml:space="preserve">    Dim frm As New frmKYC</t>
  </si>
  <si>
    <t>' ── Generate Unique 10-Digit Account Number ───────────────────</t>
  </si>
  <si>
    <t>Function GenerateAccountNumber() As String</t>
  </si>
  <si>
    <t xml:space="preserve">    Dim accNum As String</t>
  </si>
  <si>
    <t xml:space="preserve">    Dim ws As Worksheet: Set ws = Sheets("Members")</t>
  </si>
  <si>
    <t xml:space="preserve">        ' Format: 30 + 8 random digits (starts with 30 for SAMCIOUS)</t>
  </si>
  <si>
    <t xml:space="preserve">        accNum = "30" &amp; Format(Int(Rnd() * 99999999) + 10000000, "00000000")</t>
  </si>
  <si>
    <t xml:space="preserve">        ' Check uniqueness</t>
  </si>
  <si>
    <t xml:space="preserve">        Dim r As Long</t>
  </si>
  <si>
    <t xml:space="preserve">        For r = 4 To 1003</t>
  </si>
  <si>
    <t xml:space="preserve">            If CStr(ws.Cells(r, 1).Value) = accNum Then</t>
  </si>
  <si>
    <t xml:space="preserve">        Next r</t>
  </si>
  <si>
    <t xml:space="preserve">    GenerateAccountNumber = accNum</t>
  </si>
  <si>
    <t>' ── Save Member from KYC Form ────────────────────────────────</t>
  </si>
  <si>
    <t>Sub SaveMember(fullName As String, phone As String, idType As String, _</t>
  </si>
  <si>
    <t xml:space="preserve">               idNum As String, agent As String)</t>
  </si>
  <si>
    <t xml:space="preserve">    ' Validate no duplicates</t>
  </si>
  <si>
    <t xml:space="preserve">    Dim r As Long</t>
  </si>
  <si>
    <t xml:space="preserve">    For r = 4 To 1003</t>
  </si>
  <si>
    <t xml:space="preserve">        If ws.Cells(r, 1).Value = "" Then Exit For</t>
  </si>
  <si>
    <t xml:space="preserve">        If ws.Cells(r, 3).Value = phone Then</t>
  </si>
  <si>
    <t xml:space="preserve">            MsgBox "⚠ Phone number already registered: " &amp; phone, vbExclamation</t>
  </si>
  <si>
    <t xml:space="preserve">            Exit Sub</t>
  </si>
  <si>
    <t xml:space="preserve">        If ws.Cells(r, 5).Value = idNum Then</t>
  </si>
  <si>
    <t xml:space="preserve">            MsgBox "⚠ ID number already registered: " &amp; idNum, vbExclamation</t>
  </si>
  <si>
    <t xml:space="preserve">    Next r</t>
  </si>
  <si>
    <t xml:space="preserve">    ' Find next empty row</t>
  </si>
  <si>
    <t xml:space="preserve">    Dim nextRow As Long: nextRow = r</t>
  </si>
  <si>
    <t xml:space="preserve">    ' Generate account number</t>
  </si>
  <si>
    <t xml:space="preserve">    Dim accNum As String: accNum = GenerateAccountNumber()</t>
  </si>
  <si>
    <t xml:space="preserve">    ' Write data</t>
  </si>
  <si>
    <t xml:space="preserve">    With ws</t>
  </si>
  <si>
    <t xml:space="preserve">        .Cells(nextRow, 1).Value = accNum       ' Account No</t>
  </si>
  <si>
    <t xml:space="preserve">        .Cells(nextRow, 2).Value = fullName     ' Full Name</t>
  </si>
  <si>
    <t xml:space="preserve">        .Cells(nextRow, 3).Value = phone        ' Phone</t>
  </si>
  <si>
    <t xml:space="preserve">        .Cells(nextRow, 4).Value = idType       ' ID Type</t>
  </si>
  <si>
    <t xml:space="preserve">        .Cells(nextRow, 5).Value = idNum        ' ID Number</t>
  </si>
  <si>
    <t xml:space="preserve">        .Cells(nextRow, 6).Value = Now()        ' Date Joined</t>
  </si>
  <si>
    <t xml:space="preserve">        .Cells(nextRow, 7).Value = agent        ' Agent</t>
  </si>
  <si>
    <t xml:space="preserve">        .Cells(nextRow, 8).Value = "Pending"    ' KYC Status</t>
  </si>
  <si>
    <t xml:space="preserve">        .Cells(nextRow, 9).Value = 0            ' Savings Balance</t>
  </si>
  <si>
    <t xml:space="preserve">        .Cells(nextRow, 10).Value = 0           ' Loan Balance</t>
  </si>
  <si>
    <t xml:space="preserve">        .Cells(nextRow, 11).Value = 0           ' Interest Paid</t>
  </si>
  <si>
    <t xml:space="preserve">    ' Cache to Local_Cache</t>
  </si>
  <si>
    <t xml:space="preserve">    Call CacheOperation("Members", "INSERT", accNum &amp; "|" &amp; fullName &amp; "|" &amp; phone)</t>
  </si>
  <si>
    <t xml:space="preserve">    ' Send SMS</t>
  </si>
  <si>
    <t xml:space="preserve">    Call SendSMS_Registration(phone, fullName, accNum)</t>
  </si>
  <si>
    <t xml:space="preserve">    MsgBox "✅ Member registered!" &amp; Chr(13) &amp; _</t>
  </si>
  <si>
    <t xml:space="preserve">           "Account Number: " &amp; accNum &amp; Chr(13) &amp; _</t>
  </si>
  <si>
    <t xml:space="preserve">           "Name: " &amp; fullName, vbInformation, "Member Registered"</t>
  </si>
  <si>
    <t>' ── Search Members ────────────────────────────────────────────</t>
  </si>
  <si>
    <t>Sub SearchMembers()</t>
  </si>
  <si>
    <t xml:space="preserve">    Dim searchTerm As String</t>
  </si>
  <si>
    <t xml:space="preserve">    searchTerm = ws.Range("C3").Value   ' Search cell</t>
  </si>
  <si>
    <t xml:space="preserve">    If searchTerm = "" Then</t>
  </si>
  <si>
    <t xml:space="preserve">        ' Clear any filters</t>
  </si>
  <si>
    <t xml:space="preserve">        If ws.AutoFilterMode Then ws.AutoFilterMode = False</t>
  </si>
  <si>
    <t xml:space="preserve">    ' Apply filter on Account No (col A) or Phone (col C)</t>
  </si>
  <si>
    <t xml:space="preserve">    ws.Range("A3:L3").AutoFilter</t>
  </si>
  <si>
    <t xml:space="preserve">    ' Filter for phone or account match</t>
  </si>
  <si>
    <t xml:space="preserve">    MsgBox "Searching for: " &amp; searchTerm &amp; Chr(13) &amp; _</t>
  </si>
  <si>
    <t xml:space="preserve">           "Matching rows are highlighted in yellow.", vbInformation</t>
  </si>
  <si>
    <t>📦  MODULE: Module3_Savings</t>
  </si>
  <si>
    <t>' MODULE: Module3_Savings</t>
  </si>
  <si>
    <t>' Savings Deposits + Real-time Balance Updates</t>
  </si>
  <si>
    <t>' ── Process Savings Deposit ───────────────────────────────────</t>
  </si>
  <si>
    <t>Sub ProcessDeposit(accountNo As String, amount As Double, agent As String)</t>
  </si>
  <si>
    <t xml:space="preserve">    Dim memWs As Worksheet: Set memWs = Sheets("Members")</t>
  </si>
  <si>
    <t xml:space="preserve">    Dim trxWs As Worksheet: Set trxWs = Sheets("Transactions")</t>
  </si>
  <si>
    <t xml:space="preserve">    If amount &lt;= 0 Then</t>
  </si>
  <si>
    <t xml:space="preserve">        MsgBox "Invalid amount.", vbCritical: Exit Sub</t>
  </si>
  <si>
    <t xml:space="preserve">    ' Find member</t>
  </si>
  <si>
    <t xml:space="preserve">    Dim memberRow As Long: memberRow = 0</t>
  </si>
  <si>
    <t xml:space="preserve">        If CStr(memWs.Cells(r, 1).Value) = accountNo Then</t>
  </si>
  <si>
    <t xml:space="preserve">            memberRow = r: Exit For</t>
  </si>
  <si>
    <t xml:space="preserve">    If memberRow = 0 Then</t>
  </si>
  <si>
    <t xml:space="preserve">        MsgBox "Account not found: " &amp; accountNo, vbCritical: Exit Sub</t>
  </si>
  <si>
    <t xml:space="preserve">    ' Update member balance</t>
  </si>
  <si>
    <t xml:space="preserve">    Dim currentBal As Double</t>
  </si>
  <si>
    <t xml:space="preserve">    currentBal = memWs.Cells(memberRow, 9).Value</t>
  </si>
  <si>
    <t xml:space="preserve">    memWs.Cells(memberRow, 9).Value = currentBal + amount</t>
  </si>
  <si>
    <t xml:space="preserve">    ' Log transaction</t>
  </si>
  <si>
    <t xml:space="preserve">    Dim trxRow As Long: trxRow = 4</t>
  </si>
  <si>
    <t xml:space="preserve">    Do While trxWs.Cells(trxRow, 1).Value &lt;&gt; "": trxRow = trxRow + 1: Loop</t>
  </si>
  <si>
    <t xml:space="preserve">    Dim refNo As String</t>
  </si>
  <si>
    <t xml:space="preserve">    refNo = "DEP" &amp; Format(Now(), "YYYYMMDDHHMMSS")</t>
  </si>
  <si>
    <t xml:space="preserve">    With trxWs</t>
  </si>
  <si>
    <t xml:space="preserve">        .Cells(trxRow, 1).Value = refNo</t>
  </si>
  <si>
    <t xml:space="preserve">        .Cells(trxRow, 2).Value = Now()</t>
  </si>
  <si>
    <t xml:space="preserve">        .Cells(trxRow, 3).Value = memWs.Cells(memberRow, 2).Value</t>
  </si>
  <si>
    <t xml:space="preserve">        .Cells(trxRow, 4).Value = accountNo</t>
  </si>
  <si>
    <t xml:space="preserve">        .Cells(trxRow, 5).Value = "Savings Deposit"</t>
  </si>
  <si>
    <t xml:space="preserve">        .Cells(trxRow, 6).Value = amount</t>
  </si>
  <si>
    <t xml:space="preserve">        .Cells(trxRow, 7).Value = currentBal + amount</t>
  </si>
  <si>
    <t xml:space="preserve">        .Cells(trxRow, 8).Value = agent</t>
  </si>
  <si>
    <t xml:space="preserve">        .Cells(trxRow, 10).Value = "Sending..."</t>
  </si>
  <si>
    <t xml:space="preserve">    ' Cache</t>
  </si>
  <si>
    <t xml:space="preserve">    Call CacheOperation("Transactions", "INSERT", refNo &amp; "|Deposit|" &amp; amount)</t>
  </si>
  <si>
    <t xml:space="preserve">    ' SMS</t>
  </si>
  <si>
    <t xml:space="preserve">    Dim memberPhone As String: memberPhone = memWs.Cells(memberRow, 3).Value</t>
  </si>
  <si>
    <t xml:space="preserve">    Dim memberName  As String: memberName  = memWs.Cells(memberRow, 2).Value</t>
  </si>
  <si>
    <t xml:space="preserve">    Call SendSMS_Deposit(memberPhone, memberName, amount, accountNo, currentBal + amount)</t>
  </si>
  <si>
    <t xml:space="preserve">    trxWs.Cells(trxRow, 10).Value = "Sent"</t>
  </si>
  <si>
    <t xml:space="preserve">    MsgBox "✅ Deposit of GHS " &amp; Format(amount, "#,##0.00") &amp; _</t>
  </si>
  <si>
    <t xml:space="preserve">           " recorded for " &amp; memberName, vbInformation</t>
  </si>
  <si>
    <t>' ── Money at Hand Calculator (Worksheet_Change trigger) ──────</t>
  </si>
  <si>
    <t>Sub UpdateMoneyAtHand()</t>
  </si>
  <si>
    <t xml:space="preserve">    Dim cfg As Worksheet: Set cfg = Sheets("Config")</t>
  </si>
  <si>
    <t xml:space="preserve">    Dim moneyAtHand As Double</t>
  </si>
  <si>
    <t xml:space="preserve">    moneyAtHand = cfg.Range("B3").Value + cfg.Range("B5").Value - cfg.Range("B4").Value</t>
  </si>
  <si>
    <t xml:space="preserve">    cfg.Range("B6").Value = moneyAtHand</t>
  </si>
  <si>
    <t>📦  MODULE: Module4_Loans</t>
  </si>
  <si>
    <t>' MODULE: Module4_Loans</t>
  </si>
  <si>
    <t>' Loan Request, Approval, Repayment Tracking</t>
  </si>
  <si>
    <t>' ── Submit Loan Request (Agent) ───────────────────────────────</t>
  </si>
  <si>
    <t>Sub SubmitLoanRequest(accountNo As String, amount As Double, _</t>
  </si>
  <si>
    <t xml:space="preserve">                      purpose As String, agent As String)</t>
  </si>
  <si>
    <t xml:space="preserve">    Dim pendWs As Worksheet: Set pendWs = Sheets("Pending_Loans")</t>
  </si>
  <si>
    <t xml:space="preserve">    Dim memWs  As Worksheet: Set memWs  = Sheets("Members")</t>
  </si>
  <si>
    <t xml:space="preserve">    If memberRow = 0 Then MsgBox "Account not found.", vbCritical: Exit Sub</t>
  </si>
  <si>
    <t xml:space="preserve">    ' Check max loan (5x savings)</t>
  </si>
  <si>
    <t xml:space="preserve">    Dim maxLoan As Double</t>
  </si>
  <si>
    <t xml:space="preserve">    maxLoan = memWs.Cells(memberRow, 9).Value * 5</t>
  </si>
  <si>
    <t xml:space="preserve">    If amount &gt; maxLoan Then</t>
  </si>
  <si>
    <t xml:space="preserve">        MsgBox "Loan exceeds maximum allowed (5x savings = GHS " &amp; _</t>
  </si>
  <si>
    <t xml:space="preserve">               Format(maxLoan, "#,##0.00") &amp; ")", vbExclamation</t>
  </si>
  <si>
    <t xml:space="preserve">    ' Add to pending</t>
  </si>
  <si>
    <t xml:space="preserve">    Dim nextRow As Long: nextRow = 4</t>
  </si>
  <si>
    <t xml:space="preserve">    Do While pendWs.Cells(nextRow, 1).Value &lt;&gt; "": nextRow = nextRow + 1: Loop</t>
  </si>
  <si>
    <t xml:space="preserve">    Dim reqID As String: reqID = "LOAN" &amp; Format(Now(), "YYMMDDHHmmSS")</t>
  </si>
  <si>
    <t xml:space="preserve">    With pendWs</t>
  </si>
  <si>
    <t xml:space="preserve">        .Cells(nextRow, 1).Value = reqID</t>
  </si>
  <si>
    <t xml:space="preserve">        .Cells(nextRow, 2).Value = memWs.Cells(memberRow, 2).Value</t>
  </si>
  <si>
    <t xml:space="preserve">        .Cells(nextRow, 3).Value = accountNo</t>
  </si>
  <si>
    <t xml:space="preserve">        .Cells(nextRow, 4).Value = Now()</t>
  </si>
  <si>
    <t xml:space="preserve">        .Cells(nextRow, 5).Value = agent</t>
  </si>
  <si>
    <t xml:space="preserve">        .Cells(nextRow, 6).Value = amount</t>
  </si>
  <si>
    <t xml:space="preserve">        .Cells(nextRow, 7).Value = purpose</t>
  </si>
  <si>
    <t xml:space="preserve">        .Cells(nextRow, 8).Value = amount * 0.02   ' 2% processing fee</t>
  </si>
  <si>
    <t xml:space="preserve">        .Cells(nextRow, 10).Value = "Pending"</t>
  </si>
  <si>
    <t xml:space="preserve">    MsgBox "✅ Loan request submitted!" &amp; Chr(13) &amp; _</t>
  </si>
  <si>
    <t xml:space="preserve">           "Request ID: " &amp; reqID &amp; Chr(13) &amp; _</t>
  </si>
  <si>
    <t xml:space="preserve">           "Amount: GHS " &amp; Format(amount, "#,##0.00") &amp; Chr(13) &amp; _</t>
  </si>
  <si>
    <t xml:space="preserve">           "Awaiting Manager approval.", vbInformation</t>
  </si>
  <si>
    <t>' ── Approve Loan (Manager Only) ──────────────────────────────</t>
  </si>
  <si>
    <t>Sub ApproveLoan(requestRow As Long)</t>
  </si>
  <si>
    <t xml:space="preserve">    Dim loanWs As Worksheet: Set loanWs = Sheets("Loans")</t>
  </si>
  <si>
    <t xml:space="preserve">    Dim trxWs  As Worksheet: Set trxWs  = Sheets("Transactions")</t>
  </si>
  <si>
    <t xml:space="preserve">    ' Validate Manager role</t>
  </si>
  <si>
    <t xml:space="preserve">    If Sheets("Config").Range("B18").Value &lt;&gt; "Manager" Then</t>
  </si>
  <si>
    <t xml:space="preserve">        MsgBox "Only the Manager can approve loans.", vbCritical: Exit Sub</t>
  </si>
  <si>
    <t xml:space="preserve">    Dim reqID     As String:  reqID     = pendWs.Cells(requestRow, 1).Value</t>
  </si>
  <si>
    <t xml:space="preserve">    Dim memberName As String: memberName = pendWs.Cells(requestRow, 2).Value</t>
  </si>
  <si>
    <t xml:space="preserve">    Dim accountNo  As String: accountNo  = pendWs.Cells(requestRow, 3).Value</t>
  </si>
  <si>
    <t xml:space="preserve">    Dim loanAmt    As Double: loanAmt    = pendWs.Cells(requestRow, 6).Value</t>
  </si>
  <si>
    <t xml:space="preserve">    Dim procFee    As Double: procFee    = pendWs.Cells(requestRow, 8).Value</t>
  </si>
  <si>
    <t xml:space="preserve">    Dim netAmount  As Double: netAmount  = loanAmt - procFee</t>
  </si>
  <si>
    <t xml:space="preserve">    Dim intRate    As String: intRate    = "20%"   ' Default — manager can change</t>
  </si>
  <si>
    <t xml:space="preserve">    ' Confirm</t>
  </si>
  <si>
    <t xml:space="preserve">    Dim conf As Integer</t>
  </si>
  <si>
    <t xml:space="preserve">    conf = MsgBox("APPROVE LOAN?" &amp; Chr(13) &amp; Chr(13) &amp; _</t>
  </si>
  <si>
    <t xml:space="preserve">                  "Member: " &amp; memberName &amp; Chr(13) &amp; _</t>
  </si>
  <si>
    <t xml:space="preserve">                  "Loan Amount: GHS " &amp; Format(loanAmt, "#,##0.00") &amp; Chr(13) &amp; _</t>
  </si>
  <si>
    <t xml:space="preserve">                  "Processing Fee: GHS " &amp; Format(procFee, "#,##0.00") &amp; Chr(13) &amp; _</t>
  </si>
  <si>
    <t xml:space="preserve">                  "Net to Credit: GHS " &amp; Format(netAmount, "#,##0.00"), _</t>
  </si>
  <si>
    <t xml:space="preserve">                  vbYesNo + vbQuestion, "Confirm Loan Approval")</t>
  </si>
  <si>
    <t xml:space="preserve">    If conf &lt;&gt; vbYes Then Exit Sub</t>
  </si>
  <si>
    <t xml:space="preserve">    ' Update pending status</t>
  </si>
  <si>
    <t xml:space="preserve">    pendWs.Cells(requestRow, 10).Value = "Approved"</t>
  </si>
  <si>
    <t xml:space="preserve">    pendWs.Cells(requestRow, 11).Value = Now()</t>
  </si>
  <si>
    <t xml:space="preserve">    ' Add to Loans register</t>
  </si>
  <si>
    <t xml:space="preserve">    Dim loanRow As Long: loanRow = 4</t>
  </si>
  <si>
    <t xml:space="preserve">    Do While loanWs.Cells(loanRow, 1).Value &lt;&gt; "": loanRow = loanRow + 1: Loop</t>
  </si>
  <si>
    <t xml:space="preserve">    With loanWs</t>
  </si>
  <si>
    <t xml:space="preserve">        .Cells(loanRow, 1).Value = reqID</t>
  </si>
  <si>
    <t xml:space="preserve">        .Cells(loanRow, 2).Value = memberName</t>
  </si>
  <si>
    <t xml:space="preserve">        .Cells(loanRow, 3).Value = accountNo</t>
  </si>
  <si>
    <t xml:space="preserve">        .Cells(loanRow, 4).Value = Now()</t>
  </si>
  <si>
    <t xml:space="preserve">        .Cells(loanRow, 5).Value = loanAmt</t>
  </si>
  <si>
    <t xml:space="preserve">        .Cells(loanRow, 6).Value = procFee</t>
  </si>
  <si>
    <t xml:space="preserve">        .Cells(loanRow, 7).Value = netAmount</t>
  </si>
  <si>
    <t xml:space="preserve">        .Cells(loanRow, 8).Value = 20   ' 20% annual rate</t>
  </si>
  <si>
    <t xml:space="preserve">        .Cells(loanRow, 10).Value = 0    ' Total repaid</t>
  </si>
  <si>
    <t xml:space="preserve">        .Cells(loanRow, 12).Value = "Active"</t>
  </si>
  <si>
    <t xml:space="preserve">    ' Update member loan balance</t>
  </si>
  <si>
    <t xml:space="preserve">            memWs.Cells(r, 10).Value = memWs.Cells(r, 10).Value + loanAmt</t>
  </si>
  <si>
    <t xml:space="preserve">        .Cells(trxRow, 1).Value = "DISB" &amp; Format(Now(),"YYMMDDHHmmSS")</t>
  </si>
  <si>
    <t xml:space="preserve">        .Cells(trxRow, 3).Value = memberName</t>
  </si>
  <si>
    <t xml:space="preserve">        .Cells(trxRow, 5).Value = "Loan Disbursement"</t>
  </si>
  <si>
    <t xml:space="preserve">        .Cells(trxRow, 6).Value = netAmount</t>
  </si>
  <si>
    <t xml:space="preserve">        .Cells(trxRow, 12).Value = "Manager"</t>
  </si>
  <si>
    <t xml:space="preserve">    Dim memberPhone As String</t>
  </si>
  <si>
    <t xml:space="preserve">            memberPhone = memWs.Cells(r, 3).Value: Exit For</t>
  </si>
  <si>
    <t xml:space="preserve">    Call SendSMS_LoanApproved(memberPhone, memberName, netAmount, accountNo)</t>
  </si>
  <si>
    <t xml:space="preserve">    MsgBox "✅ Loan APPROVED and disbursed!" &amp; Chr(13) &amp; _</t>
  </si>
  <si>
    <t xml:space="preserve">           "GHS " &amp; Format(netAmount, "#,##0.00") &amp; " credited to " &amp; memberName, _</t>
  </si>
  <si>
    <t xml:space="preserve">           vbInformation, "Loan Approved"</t>
  </si>
  <si>
    <t>' ── Record Loan Repayment ─────────────────────────────────────</t>
  </si>
  <si>
    <t>Sub RecordRepayment(loanID As String, amount As Double)</t>
  </si>
  <si>
    <t xml:space="preserve">    ' Find loan</t>
  </si>
  <si>
    <t xml:space="preserve">    Dim loanRow As Long: loanRow = 0</t>
  </si>
  <si>
    <t xml:space="preserve">    For r = 4 To 53</t>
  </si>
  <si>
    <t xml:space="preserve">        If loanWs.Cells(r, 1).Value = loanID Then</t>
  </si>
  <si>
    <t xml:space="preserve">            loanRow = r: Exit For</t>
  </si>
  <si>
    <t xml:space="preserve">    If loanRow = 0 Then MsgBox "Loan not found: " &amp; loanID, vbCritical: Exit Sub</t>
  </si>
  <si>
    <t xml:space="preserve">    ' Update total repaid</t>
  </si>
  <si>
    <t xml:space="preserve">    Dim prevRepaid As Double: prevRepaid = loanWs.Cells(loanRow, 10).Value</t>
  </si>
  <si>
    <t xml:space="preserve">    loanWs.Cells(loanRow, 10).Value = prevRepaid + amount</t>
  </si>
  <si>
    <t xml:space="preserve">    ' Check if fully paid</t>
  </si>
  <si>
    <t xml:space="preserve">    If loanWs.Cells(loanRow, 11).Value &lt;= 0 Then</t>
  </si>
  <si>
    <t xml:space="preserve">        loanWs.Cells(loanRow, 12).Value = "Fully Paid"</t>
  </si>
  <si>
    <t xml:space="preserve">        .Cells(trxRow, 1).Value = "REP" &amp; Format(Now(),"YYMMDDHHmmSS")</t>
  </si>
  <si>
    <t xml:space="preserve">        .Cells(trxRow, 3).Value = loanWs.Cells(loanRow, 2).Value</t>
  </si>
  <si>
    <t xml:space="preserve">        .Cells(trxRow, 4).Value = loanWs.Cells(loanRow, 3).Value</t>
  </si>
  <si>
    <t xml:space="preserve">        .Cells(trxRow, 5).Value = "Loan Repayment"</t>
  </si>
  <si>
    <t xml:space="preserve">    MsgBox "✅ Repayment of GHS " &amp; Format(amount,"#,##0.00") &amp; " recorded.", vbInformation</t>
  </si>
  <si>
    <t>📦  MODULE: Module5_Sync</t>
  </si>
  <si>
    <t>' MODULE: Module5_Sync</t>
  </si>
  <si>
    <t>' Offline Cache + Master Workbook Synchronization</t>
  </si>
  <si>
    <t>' ── Cache an Operation Offline ────────────────────────────────</t>
  </si>
  <si>
    <t>Sub CacheOperation(targetSheet As String, operation As String, data As String)</t>
  </si>
  <si>
    <t xml:space="preserve">    Dim cacheWs As Worksheet: Set cacheWs = Sheets("Local_Cache")</t>
  </si>
  <si>
    <t xml:space="preserve">    Dim nextRow As Long: nextRow = 3</t>
  </si>
  <si>
    <t xml:space="preserve">    Do While cacheWs.Cells(nextRow, 1).Value &lt;&gt; "": nextRow = nextRow + 1: Loop</t>
  </si>
  <si>
    <t xml:space="preserve">    With cacheWs</t>
  </si>
  <si>
    <t xml:space="preserve">        .Cells(nextRow, 1).Value = "CACHE" &amp; Format(Now(),"YYMMDDHHmmSS")</t>
  </si>
  <si>
    <t xml:space="preserve">        .Cells(nextRow, 2).Value = Now()</t>
  </si>
  <si>
    <t xml:space="preserve">        .Cells(nextRow, 3).Value = targetSheet</t>
  </si>
  <si>
    <t xml:space="preserve">        .Cells(nextRow, 4).Value = operation</t>
  </si>
  <si>
    <t xml:space="preserve">        .Cells(nextRow, 5).Value = data</t>
  </si>
  <si>
    <t xml:space="preserve">        .Cells(nextRow, 6).Value = "Pending"</t>
  </si>
  <si>
    <t xml:space="preserve">        .Cells(nextRow, 7).Value = 0</t>
  </si>
  <si>
    <t>' ── Synchronize with Master Workbook ─────────────────────────</t>
  </si>
  <si>
    <t>Sub SynchronizeWithMaster()</t>
  </si>
  <si>
    <t xml:space="preserve">    Dim masterPath As String</t>
  </si>
  <si>
    <t xml:space="preserve">    masterPath = Sheets("Config").Range("B10").Value</t>
  </si>
  <si>
    <t xml:space="preserve">    If masterPath = "" Then</t>
  </si>
  <si>
    <t xml:space="preserve">        masterPath = Application.GetOpenFilename( _</t>
  </si>
  <si>
    <t xml:space="preserve">            "Excel Files (*.xlsm), *.xlsm", , "Select Master Workbook")</t>
  </si>
  <si>
    <t xml:space="preserve">        If masterPath = "False" Then Exit Sub</t>
  </si>
  <si>
    <t xml:space="preserve">        Sheets("Config").Range("B10").Value = masterPath</t>
  </si>
  <si>
    <t xml:space="preserve">    ' Check file exists</t>
  </si>
  <si>
    <t xml:space="preserve">    If Dir(masterPath) = "" Then</t>
  </si>
  <si>
    <t xml:space="preserve">        MsgBox "Master workbook not found at:" &amp; Chr(13) &amp; masterPath &amp; Chr(13) &amp; Chr(13) &amp; _</t>
  </si>
  <si>
    <t xml:space="preserve">               "Please locate the file.", vbExclamation</t>
  </si>
  <si>
    <t xml:space="preserve">        Sheets("Config").Range("B10").Value = ""</t>
  </si>
  <si>
    <t xml:space="preserve">    Application.ScreenUpdating = False</t>
  </si>
  <si>
    <t xml:space="preserve">    ' ── Push cached data to master ──────────────────────────</t>
  </si>
  <si>
    <t xml:space="preserve">    Dim masterWb As Workbook</t>
  </si>
  <si>
    <t xml:space="preserve">    Set masterWb = Workbooks.Open(masterPath)</t>
  </si>
  <si>
    <t xml:space="preserve">    For r = 3 To 102</t>
  </si>
  <si>
    <t xml:space="preserve">        If cacheWs.Cells(r, 6).Value = "Pending" Then</t>
  </si>
  <si>
    <t xml:space="preserve">            ' Push each cached row to master</t>
  </si>
  <si>
    <t xml:space="preserve">            Dim targetName As String: targetName = cacheWs.Cells(r, 3).Value</t>
  </si>
  <si>
    <t xml:space="preserve">            On Error Resume Next</t>
  </si>
  <si>
    <t xml:space="preserve">            Dim masterSheet As Worksheet</t>
  </si>
  <si>
    <t xml:space="preserve">            Set masterSheet = masterWb.Sheets(targetName)</t>
  </si>
  <si>
    <t xml:space="preserve">            On Error GoTo 0</t>
  </si>
  <si>
    <t xml:space="preserve">            </t>
  </si>
  <si>
    <t xml:space="preserve">            If Not masterSheet Is Nothing Then</t>
  </si>
  <si>
    <t xml:space="preserve">                cacheWs.Cells(r, 6).Value = "Synced"</t>
  </si>
  <si>
    <t xml:space="preserve">            Else</t>
  </si>
  <si>
    <t xml:space="preserve">                cacheWs.Cells(r, 6).Value = "Error - Sheet Not Found"</t>
  </si>
  <si>
    <t xml:space="preserve">                cacheWs.Cells(r, 7).Value = cacheWs.Cells(r, 7).Value + 1</t>
  </si>
  <si>
    <t xml:space="preserve">    ' ── Pull latest data from master via Power Query ────────</t>
  </si>
  <si>
    <t xml:space="preserve">    ' Power Query connections refresh automatically if configured</t>
  </si>
  <si>
    <t xml:space="preserve">    ' Manual trigger:</t>
  </si>
  <si>
    <t xml:space="preserve">    Dim conn As WorkbookConnection</t>
  </si>
  <si>
    <t xml:space="preserve">    For Each conn In ThisWorkbook.Connections</t>
  </si>
  <si>
    <t xml:space="preserve">        If InStr(LCase(conn.Name), "master") &gt; 0 Then</t>
  </si>
  <si>
    <t xml:space="preserve">            conn.Refresh</t>
  </si>
  <si>
    <t xml:space="preserve">    Next conn</t>
  </si>
  <si>
    <t xml:space="preserve">    masterWb.Save</t>
  </si>
  <si>
    <t xml:space="preserve">    masterWb.Close False</t>
  </si>
  <si>
    <t xml:space="preserve">    ' Update sync date</t>
  </si>
  <si>
    <t xml:space="preserve">    Sheets("Config").Range("B8").Value = Format(Now(), "DD/MM/YYYY HH:MM:SS")</t>
  </si>
  <si>
    <t xml:space="preserve">    Call UnlockSystem</t>
  </si>
  <si>
    <t xml:space="preserve">    Application.ScreenUpdating = True</t>
  </si>
  <si>
    <t xml:space="preserve">    MsgBox "✅ Synchronization complete!" &amp; Chr(13) &amp; _</t>
  </si>
  <si>
    <t xml:space="preserve">           Format(Now(), "DD/MM/YYYY HH:MM"), vbInformation, "Sync Complete"</t>
  </si>
  <si>
    <t>📦  MODULE: Module6_SMS</t>
  </si>
  <si>
    <t>' MODULE: Module6_SMS</t>
  </si>
  <si>
    <t>' SMS via Hubtel API (Ghana) or Twilio</t>
  </si>
  <si>
    <t>' Set API credentials in Config sheet B11</t>
  </si>
  <si>
    <t>Const HUBTEL_CLIENT_ID  As String = "YOUR_HUBTEL_CLIENT_ID"</t>
  </si>
  <si>
    <t>Const HUBTEL_SECRET     As String = "YOUR_HUBTEL_SECRET"</t>
  </si>
  <si>
    <t>Const SENDER_ID         As String = "SAMCIOUS"</t>
  </si>
  <si>
    <t>Const SMS_API_BASE      As String = "https://smsc.hubtel.com/v1/messages/send"</t>
  </si>
  <si>
    <t>' ── Core HTTP sender ─────────────────────────────────────────</t>
  </si>
  <si>
    <t>Function SendSMSHubtel(toPhone As String, message As String) As Boolean</t>
  </si>
  <si>
    <t xml:space="preserve">    ' Normalize Ghana number</t>
  </si>
  <si>
    <t xml:space="preserve">    Dim phone As String</t>
  </si>
  <si>
    <t xml:space="preserve">    phone = toPhone</t>
  </si>
  <si>
    <t xml:space="preserve">    If Left(phone, 1) = "0" Then phone = "+233" &amp; Mid(phone, 2)</t>
  </si>
  <si>
    <t xml:space="preserve">    If Left(phone, 1) &lt;&gt; "+" Then phone = "+233" &amp; phone</t>
  </si>
  <si>
    <t xml:space="preserve">    Dim http As Object</t>
  </si>
  <si>
    <t xml:space="preserve">    Set http = CreateObject("MSXML2.XMLHTTP")</t>
  </si>
  <si>
    <t xml:space="preserve">    Dim url As String</t>
  </si>
  <si>
    <t xml:space="preserve">    url = SMS_API_BASE &amp; "?clientsecret=" &amp; HUBTEL_SECRET &amp; _</t>
  </si>
  <si>
    <t xml:space="preserve">          "&amp;clientid=" &amp; HUBTEL_CLIENT_ID &amp; _</t>
  </si>
  <si>
    <t xml:space="preserve">          "&amp;from=" &amp; SENDER_ID &amp; _</t>
  </si>
  <si>
    <t xml:space="preserve">          "&amp;to=" &amp; phone &amp; _</t>
  </si>
  <si>
    <t xml:space="preserve">          "&amp;content=" &amp; Application.EncodeURL(message)</t>
  </si>
  <si>
    <t xml:space="preserve">    On Error GoTo smsError</t>
  </si>
  <si>
    <t xml:space="preserve">    http.Open "GET", url, False</t>
  </si>
  <si>
    <t xml:space="preserve">    http.Send</t>
  </si>
  <si>
    <t xml:space="preserve">    If http.Status = 200 Then</t>
  </si>
  <si>
    <t xml:space="preserve">        SendSMSHubtel = True</t>
  </si>
  <si>
    <t xml:space="preserve">        SendSMSHubtel = False</t>
  </si>
  <si>
    <t xml:space="preserve">    Exit Function</t>
  </si>
  <si>
    <t>smsError:</t>
  </si>
  <si>
    <t xml:space="preserve">    SendSMSHubtel = False</t>
  </si>
  <si>
    <t>' ── SMS: New Member Registration ─────────────────────────────</t>
  </si>
  <si>
    <t>Sub SendSMS_Registration(phone As String, name As String, accNo As String)</t>
  </si>
  <si>
    <t xml:space="preserve">    Dim msg As String</t>
  </si>
  <si>
    <t xml:space="preserve">    msg = "Welcome to SAMCIOUS Microfinance, " &amp; name &amp; "!" &amp; Chr(10) &amp; _</t>
  </si>
  <si>
    <t xml:space="preserve">          "Your account " &amp; accNo &amp; " is now active." &amp; Chr(10) &amp; _</t>
  </si>
  <si>
    <t xml:space="preserve">          "Start saving today!"</t>
  </si>
  <si>
    <t xml:space="preserve">    Call SendSMSHubtel(phone, msg)</t>
  </si>
  <si>
    <t>' ── SMS: Savings Deposit ──────────────────────────────────────</t>
  </si>
  <si>
    <t>Sub SendSMS_Deposit(phone As String, name As String, amount As Double, _</t>
  </si>
  <si>
    <t xml:space="preserve">                    accNo As String, newBal As Double)</t>
  </si>
  <si>
    <t xml:space="preserve">    msg = "Dear " &amp; name &amp; "," &amp; Chr(10) &amp; _</t>
  </si>
  <si>
    <t xml:space="preserve">          "You have deposited GHC " &amp; Format(amount, "#,##0.00") &amp; _</t>
  </si>
  <si>
    <t xml:space="preserve">          " into your savings account " &amp; accNo &amp; "." &amp; Chr(10) &amp; _</t>
  </si>
  <si>
    <t xml:space="preserve">          "New balance: GHC " &amp; Format(newBal, "#,##0.00") &amp; "." &amp; Chr(10) &amp; _</t>
  </si>
  <si>
    <t xml:space="preserve">          "- SAMCIOUS Microfinance"</t>
  </si>
  <si>
    <t>' ── SMS: Loan Approved ────────────────────────────────────────</t>
  </si>
  <si>
    <t>Sub SendSMS_LoanApproved(phone As String, name As String, amount As Double, accNo As String)</t>
  </si>
  <si>
    <t xml:space="preserve">          "Your loan request of GHC " &amp; Format(amount, "#,##0.00") &amp; _</t>
  </si>
  <si>
    <t xml:space="preserve">          " has been approved and credited to your account " &amp; accNo &amp; "." &amp; Chr(10) &amp; _</t>
  </si>
  <si>
    <t xml:space="preserve">          "Please repay on schedule. - SAMCIOUS"</t>
  </si>
  <si>
    <t>' ── SMS: Loan Repayment Received ─────────────────────────────</t>
  </si>
  <si>
    <t>Sub SendSMS_Repayment(phone As String, name As String, amount As Double, balance As Double)</t>
  </si>
  <si>
    <t xml:space="preserve">          "Loan repayment of GHC " &amp; Format(amount, "#,##0.00") &amp; " received." &amp; Chr(10) &amp; _</t>
  </si>
  <si>
    <t xml:space="preserve">          "Outstanding balance: GHC " &amp; Format(balance, "#,##0.00") &amp; "." &amp; Chr(10) &amp; _</t>
  </si>
  <si>
    <t xml:space="preserve">          "Thank you! - SAMCIOUS"</t>
  </si>
  <si>
    <t>' ── SMS: Test Connection ──────────────────────────────────────</t>
  </si>
  <si>
    <t>Sub TestSMSConnection()</t>
  </si>
  <si>
    <t xml:space="preserve">    Dim testPhone As String</t>
  </si>
  <si>
    <t xml:space="preserve">    testPhone = InputBox("Enter your phone number to test SMS:", "SMS Test")</t>
  </si>
  <si>
    <t xml:space="preserve">    If testPhone = "" Then Exit Sub</t>
  </si>
  <si>
    <t xml:space="preserve">    Dim result As Boolean</t>
  </si>
  <si>
    <t xml:space="preserve">    result = SendSMSHubtel(testPhone, "✅ SAMCIOUS MFI: SMS connection test successful!")</t>
  </si>
  <si>
    <t xml:space="preserve">    If result Then</t>
  </si>
  <si>
    <t xml:space="preserve">        MsgBox "✅ SMS sent successfully!", vbInformation</t>
  </si>
  <si>
    <t xml:space="preserve">        MsgBox "❌ SMS failed. Check API credentials in the VBA module.", vbCritical</t>
  </si>
  <si>
    <t>📦  MODULE: frmKYC_UserForm</t>
  </si>
  <si>
    <t>' USERFORM: frmKYC</t>
  </si>
  <si>
    <t>' In VBA Editor: Insert &gt; UserForm, name it "frmKYC"</t>
  </si>
  <si>
    <t>' Add controls as listed below, then paste this code</t>
  </si>
  <si>
    <t>' CONTROLS TO ADD ON THE FORM:</t>
  </si>
  <si>
    <t>' Label: "SAMCIOUS MICROFINANCE — KYC REGISTRATION"</t>
  </si>
  <si>
    <t>' TextBox: txtFullName       (Full Name)</t>
  </si>
  <si>
    <t>' TextBox: txtPhone          (Phone Number)</t>
  </si>
  <si>
    <t>' ComboBox: cboIDType        (ID Type)</t>
  </si>
  <si>
    <t>' TextBox: txtIDNumber       (ID Number)</t>
  </si>
  <si>
    <t>' Label: lblAgent            (Agent: auto-filled)</t>
  </si>
  <si>
    <t>' CommandButton: btnSave     (SAVE MEMBER)</t>
  </si>
  <si>
    <t>' CommandButton: btnClear    (CLEAR)</t>
  </si>
  <si>
    <t>' CommandButton: btnCancel   (CANCEL)</t>
  </si>
  <si>
    <t>Private Sub UserForm_Initialize()</t>
  </si>
  <si>
    <t xml:space="preserve">    Me.Caption = "KYC Registration — SAMCIOUS"</t>
  </si>
  <si>
    <t xml:space="preserve">    Me.Width = 400: Me.Height = 380</t>
  </si>
  <si>
    <t xml:space="preserve">    ' Populate ID Type dropdown</t>
  </si>
  <si>
    <t xml:space="preserve">    cboIDType.Clear</t>
  </si>
  <si>
    <t xml:space="preserve">    cboIDType.AddItem "Ghana Card"</t>
  </si>
  <si>
    <t xml:space="preserve">    cboIDType.AddItem "Passport"</t>
  </si>
  <si>
    <t xml:space="preserve">    cboIDType.AddItem "Driver's License"</t>
  </si>
  <si>
    <t xml:space="preserve">    cboIDType.AddItem "Voter's ID"</t>
  </si>
  <si>
    <t xml:space="preserve">    ' Show current agent</t>
  </si>
  <si>
    <t xml:space="preserve">    lblAgent.Caption = "Agent: " &amp; Sheets("Config").Range("B18").Value</t>
  </si>
  <si>
    <t>Private Sub btnSave_Click()</t>
  </si>
  <si>
    <t xml:space="preserve">    ' Validate</t>
  </si>
  <si>
    <t xml:space="preserve">    If Trim(txtFullName.Text) = "" Then MsgBox "Enter full name.", vbExclamation: Exit Sub</t>
  </si>
  <si>
    <t xml:space="preserve">    If Trim(txtPhone.Text) = "" Then MsgBox "Enter phone number.", vbExclamation: Exit Sub</t>
  </si>
  <si>
    <t xml:space="preserve">    If Not IsNumeric(txtPhone.Text) Then MsgBox "Invalid phone number.", vbExclamation: Exit Sub</t>
  </si>
  <si>
    <t xml:space="preserve">    If cboIDType.ListIndex = -1 Then MsgBox "Select ID type.", vbExclamation: Exit Sub</t>
  </si>
  <si>
    <t xml:space="preserve">    If Trim(txtIDNumber.Text) = "" Then MsgBox "Enter ID number.", vbExclamation: Exit Sub</t>
  </si>
  <si>
    <t xml:space="preserve">    ' Save</t>
  </si>
  <si>
    <t xml:space="preserve">    Call SaveMember(Trim(txtFullName.Text), Trim(txtPhone.Text), _</t>
  </si>
  <si>
    <t xml:space="preserve">                    cboIDType.Value, Trim(txtIDNumber.Text), _</t>
  </si>
  <si>
    <t xml:space="preserve">                    Sheets("Config").Range("B18").Value)</t>
  </si>
  <si>
    <t xml:space="preserve">    Call btnClear_Click</t>
  </si>
  <si>
    <t>Private Sub btnClear_Click()</t>
  </si>
  <si>
    <t xml:space="preserve">    txtFullName.Text  = ""</t>
  </si>
  <si>
    <t xml:space="preserve">    txtPhone.Text     = ""</t>
  </si>
  <si>
    <t xml:space="preserve">    cboIDType.ListIndex = -1</t>
  </si>
  <si>
    <t xml:space="preserve">    txtIDNumber.Text  = ""</t>
  </si>
  <si>
    <t xml:space="preserve">    txtFullName.SetFocus</t>
  </si>
  <si>
    <t>Private Sub btnCancel_Click()</t>
  </si>
  <si>
    <t xml:space="preserve">    Unload Me</t>
  </si>
  <si>
    <t>Private Sub frmManagerLogin_Code()</t>
  </si>
  <si>
    <t xml:space="preserve">    ' USERFORM: frmManagerLogin</t>
  </si>
  <si>
    <t xml:space="preserve">    ' Controls: txtUsername, txtDOB, txtPhone, txtGhanaCard, txtPassword, btnLogin, btnCancel</t>
  </si>
  <si>
    <t xml:space="preserve">    ' In btnLogin_Click:</t>
  </si>
  <si>
    <t xml:space="preserve">    ' Validate credentials against Config sheet (rows 22-28)</t>
  </si>
  <si>
    <t xml:space="preserve">    ' Set Sheets("Config").Range("B18").Value = "Manager" on success</t>
  </si>
  <si>
    <t>📦  MODULE: Worksheet_Events</t>
  </si>
  <si>
    <t>' WORKSHEET EVENTS</t>
  </si>
  <si>
    <t>' Right-click each sheet tab &gt; View Code &gt; paste relevant section</t>
  </si>
  <si>
    <t>' ── Paste into: Dashboard Sheet Code ─────────────────────────</t>
  </si>
  <si>
    <t>Private Sub Worksheet_SelectionChange(ByVal Target As Range)</t>
  </si>
  <si>
    <t xml:space="preserve">    ' Real-time KPI refresh when navigating Dashboard</t>
  </si>
  <si>
    <t xml:space="preserve">    Application.CalculateFull</t>
  </si>
  <si>
    <t>' ── Paste into: Transactions Sheet Code ──────────────────────</t>
  </si>
  <si>
    <t>Private Sub Worksheet_Change(ByVal Target As Range)</t>
  </si>
  <si>
    <t xml:space="preserve">    ' Real-time balance updates when transaction data changes</t>
  </si>
  <si>
    <t xml:space="preserve">    If Not Intersect(Target, Me.Range("F4:F1003")) Is Nothing Then</t>
  </si>
  <si>
    <t xml:space="preserve">        Application.EnableEvents = False</t>
  </si>
  <si>
    <t xml:space="preserve">        Call UpdateMoneyAtHand</t>
  </si>
  <si>
    <t xml:space="preserve">        Application.EnableEvents = True</t>
  </si>
  <si>
    <t>' ── Paste into: Loans Sheet Code ─────────────────────────────</t>
  </si>
  <si>
    <t>'Private Sub Worksheet_Change(ByVal Target As Range)</t>
  </si>
  <si>
    <t>'    If Not Intersect(Target, Me.Range("J4:J53")) Is Nothing Then</t>
  </si>
  <si>
    <t>'        ' Recalculate outstanding balance when repayments updated</t>
  </si>
  <si>
    <t>'        Application.EnableEvents = False</t>
  </si>
  <si>
    <t>'        Dim r As Long: r = Target.Row</t>
  </si>
  <si>
    <t>'        Me.Cells(r, 12).Value = IIf(Me.Cells(r,11).Value &lt;= 0, "Fully Paid", "Active")</t>
  </si>
  <si>
    <t>'        Application.EnableEvents = True</t>
  </si>
  <si>
    <t>'    End If</t>
  </si>
  <si>
    <t>'End Sub</t>
  </si>
  <si>
    <t>' POWER QUERY SETUP INSTRUCTIONS</t>
  </si>
  <si>
    <t>' 1. Data &gt; Get Data &gt; From File &gt; From Workbook</t>
  </si>
  <si>
    <t>' 2. Select the MASTER workbook</t>
  </si>
  <si>
    <t>' 3. Select these tables: Members, Transactions, Loans</t>
  </si>
  <si>
    <t>' 4. Load to existing sheet or new sheet</t>
  </si>
  <si>
    <t>' 5. Name each connection "Master_Members", "Master_Transactions", "Master_Loans"</t>
  </si>
  <si>
    <t>' 6. Set Refresh on File Open: Data &gt; Queries &amp; Connections &gt; Properties &gt; Refresh on open</t>
  </si>
  <si>
    <t>' 7. The SynchronizeWithMaster() VBA sub will call conn.Refresh for these connections</t>
  </si>
  <si>
    <t>'</t>
  </si>
  <si>
    <t>' For de-duplication in Power Query (M code example):</t>
  </si>
  <si>
    <t>'   = Table.Distinct(Source, {"Account Number"})</t>
  </si>
  <si>
    <t>' SETUP CHECKLIST</t>
  </si>
  <si>
    <t>' □ Save workbook as .xlsm (macro-enabled)</t>
  </si>
  <si>
    <t>' □ Enable macros when prompted</t>
  </si>
  <si>
    <t>' □ Open VBA Editor (Alt+F11)</t>
  </si>
  <si>
    <t>' □ Insert 6 Standard Modules, name them as shown above</t>
  </si>
  <si>
    <t>' □ Paste code into each module</t>
  </si>
  <si>
    <t>' □ Insert 2 UserForms: frmKYC and frmManagerLogin</t>
  </si>
  <si>
    <t>' □ Add controls to UserForms as described in frmKYC_UserForm</t>
  </si>
  <si>
    <t>' □ Set Hubtel API credentials in Module6_SMS</t>
  </si>
  <si>
    <t>' □ Set Master Workbook path in Config sheet B10</t>
  </si>
  <si>
    <t>' □ Assign macros to Dashboard buttons (right-click &gt; Assign Macro)</t>
  </si>
  <si>
    <t>' □ Test SMS with TestSMSConnection()</t>
  </si>
  <si>
    <t>' □ Set initial sync date in Config B8 to trigger first sync</t>
  </si>
  <si>
    <t>🚀  SAMCIOUS MICROFINANCE — SETUP &amp; DEPLOYMENT GUIDE</t>
  </si>
  <si>
    <t>Follow these steps in order to fully activate the SAMCIOUS Microfinance System.</t>
  </si>
  <si>
    <t>#</t>
  </si>
  <si>
    <t>Step</t>
  </si>
  <si>
    <t>Instructions</t>
  </si>
  <si>
    <t>Priority</t>
  </si>
  <si>
    <t>Save as .xlsm</t>
  </si>
  <si>
    <t>File &gt; Save As &gt; Excel Macro-Enabled Workbook (.xlsm)  |  Must be done FIRST</t>
  </si>
  <si>
    <t>Critical</t>
  </si>
  <si>
    <t>Enable Macros</t>
  </si>
  <si>
    <t>When reopening, click 'Enable Macros' / 'Enable Content' in the security bar</t>
  </si>
  <si>
    <t>Open VBA Editor</t>
  </si>
  <si>
    <t>Press Alt+F11 to open the VBA editor</t>
  </si>
  <si>
    <t>Required</t>
  </si>
  <si>
    <t>Create 6 Modules</t>
  </si>
  <si>
    <t>Insert &gt; Module (×6). Name each: Module1_Auth, Module2_Members, Module3_Savings, Module4_Loans, Module5_Sync, Module6_SMS</t>
  </si>
  <si>
    <t>Paste VBA Code</t>
  </si>
  <si>
    <t>Copy each MODULE's code from the VBA_Modules sheet and paste into the correct module</t>
  </si>
  <si>
    <t>Create UserForms</t>
  </si>
  <si>
    <t>Insert &gt; UserForm (×2). Name: frmKYC and frmManagerLogin. Add controls as described in the frmKYC_UserForm section</t>
  </si>
  <si>
    <t>Paste Worksheet Events</t>
  </si>
  <si>
    <t>Right-click Dashboard tab &gt; View Code &gt; paste Worksheet events code</t>
  </si>
  <si>
    <t>Set SMS API Keys</t>
  </si>
  <si>
    <t>In Module6_SMS, replace HUBTEL_CLIENT_ID and HUBTEL_SECRET with real credentials. Sign up free at hubtel.com (recommended for Ghana)</t>
  </si>
  <si>
    <t>For SMS</t>
  </si>
  <si>
    <t>Set Master File Path</t>
  </si>
  <si>
    <t>In Config sheet (B10), enter the full path to your master/shared workbook. This enables sync across agent laptops</t>
  </si>
  <si>
    <t>For Sync</t>
  </si>
  <si>
    <t>Configure Power Query</t>
  </si>
  <si>
    <t>Data &gt; Get Data &gt; From Workbook &gt; select Master file &gt; load Members, Transactions, Loans tables. Set 'Refresh on open'.</t>
  </si>
  <si>
    <t>Assign Button Macros</t>
  </si>
  <si>
    <t>On Dashboard, right-click each button &gt; Assign Macro &gt; link to: OpenKYCForm, ProcessDeposit, OpenLoanForm, SynchronizeWithMaster</t>
  </si>
  <si>
    <t>Set Manager Credentials</t>
  </si>
  <si>
    <t>In Config sheet rows 22-28, store Manager credentials (Username, DOB hash, Phone, Ghana Card, Password hash) for login validation</t>
  </si>
  <si>
    <t>Security</t>
  </si>
  <si>
    <t>Test SMS</t>
  </si>
  <si>
    <t>In VBA Editor, run Module6_SMS.TestSMSConnection() to confirm API works</t>
  </si>
  <si>
    <t>Recommended</t>
  </si>
  <si>
    <t>Create Agent Codes</t>
  </si>
  <si>
    <t>Run GenerateAgentCode() for each agent. Store codes in Config rows 30-50</t>
  </si>
  <si>
    <t>Initial Sync</t>
  </si>
  <si>
    <t>Set Config B8 (Last Sync Date) to today's date, then click Synchronize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</si>
</sst>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000"/>
    <numFmt numFmtId="165" formatCode="dd/mm/yyyy\ hh:mm:ss"/>
    <numFmt numFmtId="166" formatCode="mm/dd/yy\ hh:mm\ AM/PM"/>
  </numFmts>
  <fonts count="26" x14ac:knownFonts="1">
    <font>
      <sz val="11"/>
      <color theme="1"/>
      <name val="Calibri"/>
      <family val="2"/>
      <charset val="1"/>
    </font>
    <font>
      <b/>
      <sz val="20"/>
      <color rgb="FFC9A84C"/>
      <name val="Segoe UI"/>
      <family val="2"/>
    </font>
    <font>
      <b/>
      <sz val="12"/>
      <color rgb="FFC9A84C"/>
      <name val="Calibri"/>
      <family val="2"/>
    </font>
    <font>
      <b/>
      <sz val="10"/>
      <color rgb="FFFFFFFF"/>
      <name val="Calibri"/>
      <family val="2"/>
    </font>
    <font>
      <b/>
      <sz val="11"/>
      <color rgb="FFC9A84C"/>
      <name val="Calibri"/>
      <family val="2"/>
    </font>
    <font>
      <b/>
      <sz val="10"/>
      <color rgb="FFC9A84C"/>
      <name val="Calibri"/>
      <family val="2"/>
    </font>
    <font>
      <b/>
      <sz val="9"/>
      <color rgb="FFC9A84C"/>
      <name val="Calibri"/>
      <family val="2"/>
    </font>
    <font>
      <b/>
      <sz val="9"/>
      <color rgb="FFFFFFFF"/>
      <name val="Calibri"/>
      <family val="2"/>
    </font>
    <font>
      <b/>
      <sz val="14"/>
      <color rgb="FFC9A84C"/>
      <name val="Calibri"/>
      <family val="2"/>
    </font>
    <font>
      <b/>
      <sz val="14"/>
      <color rgb="FFFFFFFF"/>
      <name val="Calibri"/>
      <family val="2"/>
    </font>
    <font>
      <sz val="9"/>
      <color rgb="FF000000"/>
      <name val="Calibri"/>
      <family val="2"/>
    </font>
    <font>
      <b/>
      <sz val="9"/>
      <color rgb="FF0D1B4B"/>
      <name val="Calibri"/>
      <family val="2"/>
    </font>
    <font>
      <b/>
      <sz val="15"/>
      <color rgb="FFC9A84C"/>
      <name val="Calibri"/>
      <family val="2"/>
    </font>
    <font>
      <b/>
      <sz val="10"/>
      <color rgb="FF0D1B4B"/>
      <name val="Calibri"/>
      <family val="2"/>
    </font>
    <font>
      <sz val="10"/>
      <color rgb="FF000080"/>
      <name val="Calibri"/>
      <family val="2"/>
    </font>
    <font>
      <i/>
      <sz val="9"/>
      <color rgb="FF424242"/>
      <name val="Calibri"/>
      <family val="2"/>
    </font>
    <font>
      <b/>
      <sz val="15"/>
      <color rgb="FFFFFFFF"/>
      <name val="Calibri"/>
      <family val="2"/>
    </font>
    <font>
      <b/>
      <sz val="10"/>
      <color rgb="FF000080"/>
      <name val="Calibri"/>
      <family val="2"/>
    </font>
    <font>
      <b/>
      <sz val="11"/>
      <color rgb="FF000080"/>
      <name val="Calibri"/>
      <family val="2"/>
    </font>
    <font>
      <b/>
      <sz val="11"/>
      <color rgb="FFFFFFFF"/>
      <name val="Calibri"/>
      <family val="2"/>
    </font>
    <font>
      <sz val="8"/>
      <color rgb="FF000000"/>
      <name val="Calibri"/>
      <family val="2"/>
    </font>
    <font>
      <sz val="9"/>
      <color rgb="FF424242"/>
      <name val="Calibri"/>
      <family val="2"/>
    </font>
    <font>
      <b/>
      <sz val="13"/>
      <color rgb="FFC9A84C"/>
      <name val="Calibri"/>
      <family val="2"/>
    </font>
    <font>
      <sz val="9"/>
      <color rgb="FF006400"/>
      <name val="Courier New"/>
      <family val="3"/>
    </font>
    <font>
      <sz val="9"/>
      <color rgb="FF000080"/>
      <name val="Courier New"/>
      <family val="3"/>
    </font>
    <font>
      <i/>
      <sz val="10"/>
      <color rgb="FF0D1B4B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0D1B4B"/>
        <bgColor rgb="FF000080"/>
      </patternFill>
    </fill>
    <fill>
      <patternFill patternType="solid">
        <fgColor rgb="FF00444B"/>
        <bgColor rgb="FF003300"/>
      </patternFill>
    </fill>
    <fill>
      <patternFill patternType="solid">
        <fgColor rgb="FFE65100"/>
        <bgColor rgb="FF993300"/>
      </patternFill>
    </fill>
    <fill>
      <patternFill patternType="solid">
        <fgColor rgb="FF006B75"/>
        <bgColor rgb="FF1E6B3A"/>
      </patternFill>
    </fill>
    <fill>
      <patternFill patternType="solid">
        <fgColor rgb="FF4A148C"/>
        <bgColor rgb="FF333399"/>
      </patternFill>
    </fill>
    <fill>
      <patternFill patternType="solid">
        <fgColor rgb="FF1E6B3A"/>
        <bgColor rgb="FF006B75"/>
      </patternFill>
    </fill>
    <fill>
      <patternFill patternType="solid">
        <fgColor rgb="FF424242"/>
        <bgColor rgb="FF333300"/>
      </patternFill>
    </fill>
    <fill>
      <patternFill patternType="solid">
        <fgColor rgb="FF9E9E9E"/>
        <bgColor rgb="FFAAAAAA"/>
      </patternFill>
    </fill>
    <fill>
      <patternFill patternType="solid">
        <fgColor rgb="FFB00020"/>
        <bgColor rgb="FF800000"/>
      </patternFill>
    </fill>
    <fill>
      <patternFill patternType="solid">
        <fgColor rgb="FFF8F9FA"/>
        <bgColor rgb="FFF5F5F5"/>
      </patternFill>
    </fill>
    <fill>
      <patternFill patternType="solid">
        <fgColor rgb="FFE0F4F4"/>
        <bgColor rgb="FFE8F5EE"/>
      </patternFill>
    </fill>
    <fill>
      <patternFill patternType="solid">
        <fgColor rgb="FFF3E5F5"/>
        <bgColor rgb="FFFDECEA"/>
      </patternFill>
    </fill>
    <fill>
      <patternFill patternType="solid">
        <fgColor rgb="FFF5F5F5"/>
        <bgColor rgb="FFF8F9FA"/>
      </patternFill>
    </fill>
    <fill>
      <patternFill patternType="solid">
        <fgColor rgb="FFFFFF00"/>
        <bgColor rgb="FFFFCC00"/>
      </patternFill>
    </fill>
    <fill>
      <patternFill patternType="solid">
        <fgColor rgb="FFE8F0FE"/>
        <bgColor rgb="FFE0F4F4"/>
      </patternFill>
    </fill>
    <fill>
      <patternFill patternType="solid">
        <fgColor rgb="FFFEF9EC"/>
        <bgColor rgb="FFF8F9FA"/>
      </patternFill>
    </fill>
    <fill>
      <patternFill patternType="solid">
        <fgColor rgb="FFFDECEA"/>
        <bgColor rgb="FFF3E5F5"/>
      </patternFill>
    </fill>
    <fill>
      <patternFill patternType="solid">
        <fgColor rgb="FFE8F5EE"/>
        <bgColor rgb="FFE0F4F4"/>
      </patternFill>
    </fill>
  </fills>
  <borders count="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thin">
        <color rgb="FFCCCCCC"/>
      </left>
      <right style="medium">
        <color rgb="FFAAAAAA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5" fillId="2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4" fontId="8" fillId="2" borderId="3" xfId="0" applyNumberFormat="1" applyFont="1" applyFill="1" applyBorder="1" applyAlignment="1">
      <alignment horizontal="center" vertical="center"/>
    </xf>
    <xf numFmtId="4" fontId="9" fillId="5" borderId="3" xfId="0" applyNumberFormat="1" applyFont="1" applyFill="1" applyBorder="1" applyAlignment="1">
      <alignment horizontal="center" vertical="center"/>
    </xf>
    <xf numFmtId="4" fontId="9" fillId="6" borderId="3" xfId="0" applyNumberFormat="1" applyFont="1" applyFill="1" applyBorder="1" applyAlignment="1">
      <alignment horizontal="center" vertical="center"/>
    </xf>
    <xf numFmtId="4" fontId="9" fillId="7" borderId="3" xfId="0" applyNumberFormat="1" applyFont="1" applyFill="1" applyBorder="1" applyAlignment="1">
      <alignment horizontal="center" vertical="center"/>
    </xf>
    <xf numFmtId="4" fontId="8" fillId="3" borderId="3" xfId="0" applyNumberFormat="1" applyFont="1" applyFill="1" applyBorder="1" applyAlignment="1">
      <alignment horizontal="center" vertical="center"/>
    </xf>
    <xf numFmtId="4" fontId="9" fillId="4" borderId="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10" fillId="11" borderId="4" xfId="0" applyFont="1" applyFill="1" applyBorder="1" applyAlignment="1">
      <alignment horizontal="left" vertical="center" wrapText="1"/>
    </xf>
    <xf numFmtId="0" fontId="10" fillId="12" borderId="4" xfId="0" applyFont="1" applyFill="1" applyBorder="1" applyAlignment="1">
      <alignment horizontal="left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11" fillId="13" borderId="4" xfId="0" applyFont="1" applyFill="1" applyBorder="1" applyAlignment="1">
      <alignment horizontal="left" vertical="center" wrapText="1"/>
    </xf>
    <xf numFmtId="0" fontId="10" fillId="13" borderId="4" xfId="0" applyFont="1" applyFill="1" applyBorder="1" applyAlignment="1">
      <alignment horizontal="left" vertical="center" wrapText="1"/>
    </xf>
    <xf numFmtId="0" fontId="11" fillId="11" borderId="4" xfId="0" applyFont="1" applyFill="1" applyBorder="1" applyAlignment="1">
      <alignment horizontal="left" vertical="center" wrapText="1"/>
    </xf>
    <xf numFmtId="0" fontId="14" fillId="15" borderId="5" xfId="0" applyFont="1" applyFill="1" applyBorder="1"/>
    <xf numFmtId="164" fontId="10" fillId="12" borderId="4" xfId="0" applyNumberFormat="1" applyFont="1" applyFill="1" applyBorder="1" applyAlignment="1">
      <alignment horizontal="left" vertical="center" wrapText="1"/>
    </xf>
    <xf numFmtId="14" fontId="10" fillId="12" borderId="4" xfId="0" applyNumberFormat="1" applyFont="1" applyFill="1" applyBorder="1" applyAlignment="1">
      <alignment horizontal="left" vertical="center" wrapText="1"/>
    </xf>
    <xf numFmtId="4" fontId="10" fillId="12" borderId="4" xfId="0" applyNumberFormat="1" applyFont="1" applyFill="1" applyBorder="1" applyAlignment="1">
      <alignment horizontal="left" vertical="center" wrapText="1"/>
    </xf>
    <xf numFmtId="164" fontId="10" fillId="11" borderId="4" xfId="0" applyNumberFormat="1" applyFont="1" applyFill="1" applyBorder="1" applyAlignment="1">
      <alignment horizontal="left" vertical="center" wrapText="1"/>
    </xf>
    <xf numFmtId="14" fontId="10" fillId="11" borderId="4" xfId="0" applyNumberFormat="1" applyFont="1" applyFill="1" applyBorder="1" applyAlignment="1">
      <alignment horizontal="left" vertical="center" wrapText="1"/>
    </xf>
    <xf numFmtId="4" fontId="10" fillId="11" borderId="4" xfId="0" applyNumberFormat="1" applyFont="1" applyFill="1" applyBorder="1" applyAlignment="1">
      <alignment horizontal="left" vertical="center" wrapText="1"/>
    </xf>
    <xf numFmtId="0" fontId="17" fillId="15" borderId="5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center" vertical="center" wrapText="1"/>
    </xf>
    <xf numFmtId="22" fontId="10" fillId="12" borderId="4" xfId="0" applyNumberFormat="1" applyFont="1" applyFill="1" applyBorder="1" applyAlignment="1">
      <alignment horizontal="left" vertical="center" wrapText="1"/>
    </xf>
    <xf numFmtId="22" fontId="10" fillId="11" borderId="4" xfId="0" applyNumberFormat="1" applyFont="1" applyFill="1" applyBorder="1" applyAlignment="1">
      <alignment horizontal="left" vertical="center" wrapText="1"/>
    </xf>
    <xf numFmtId="14" fontId="10" fillId="13" borderId="4" xfId="0" applyNumberFormat="1" applyFont="1" applyFill="1" applyBorder="1" applyAlignment="1">
      <alignment horizontal="left" vertical="center" wrapText="1"/>
    </xf>
    <xf numFmtId="4" fontId="10" fillId="13" borderId="4" xfId="0" applyNumberFormat="1" applyFont="1" applyFill="1" applyBorder="1" applyAlignment="1">
      <alignment horizontal="left" vertical="center" wrapText="1"/>
    </xf>
    <xf numFmtId="0" fontId="0" fillId="17" borderId="5" xfId="0" applyFill="1" applyBorder="1"/>
    <xf numFmtId="0" fontId="7" fillId="4" borderId="3" xfId="0" applyFont="1" applyFill="1" applyBorder="1" applyAlignment="1">
      <alignment horizontal="center" vertical="center" wrapText="1"/>
    </xf>
    <xf numFmtId="0" fontId="10" fillId="17" borderId="4" xfId="0" applyFont="1" applyFill="1" applyBorder="1" applyAlignment="1">
      <alignment horizontal="left" vertical="center" wrapText="1"/>
    </xf>
    <xf numFmtId="14" fontId="10" fillId="17" borderId="4" xfId="0" applyNumberFormat="1" applyFont="1" applyFill="1" applyBorder="1" applyAlignment="1">
      <alignment horizontal="left" vertical="center" wrapText="1"/>
    </xf>
    <xf numFmtId="4" fontId="10" fillId="17" borderId="4" xfId="0" applyNumberFormat="1" applyFont="1" applyFill="1" applyBorder="1" applyAlignment="1">
      <alignment horizontal="left" vertical="center" wrapText="1"/>
    </xf>
    <xf numFmtId="0" fontId="10" fillId="17" borderId="4" xfId="0" applyFont="1" applyFill="1" applyBorder="1" applyAlignment="1">
      <alignment horizontal="center" vertical="center" wrapText="1"/>
    </xf>
    <xf numFmtId="0" fontId="18" fillId="15" borderId="5" xfId="0" applyFont="1" applyFill="1" applyBorder="1" applyAlignment="1">
      <alignment horizontal="center"/>
    </xf>
    <xf numFmtId="0" fontId="11" fillId="12" borderId="4" xfId="0" applyFont="1" applyFill="1" applyBorder="1" applyAlignment="1">
      <alignment horizontal="left" vertical="center" wrapText="1"/>
    </xf>
    <xf numFmtId="0" fontId="10" fillId="12" borderId="4" xfId="0" applyFont="1" applyFill="1" applyBorder="1" applyAlignment="1">
      <alignment horizontal="center" vertical="center" wrapText="1"/>
    </xf>
    <xf numFmtId="4" fontId="10" fillId="12" borderId="4" xfId="0" applyNumberFormat="1" applyFont="1" applyFill="1" applyBorder="1" applyAlignment="1">
      <alignment horizontal="center" vertical="center" wrapText="1"/>
    </xf>
    <xf numFmtId="0" fontId="10" fillId="11" borderId="4" xfId="0" applyFont="1" applyFill="1" applyBorder="1" applyAlignment="1">
      <alignment horizontal="center" vertical="center" wrapText="1"/>
    </xf>
    <xf numFmtId="4" fontId="10" fillId="11" borderId="4" xfId="0" applyNumberFormat="1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20" fillId="11" borderId="4" xfId="0" applyFont="1" applyFill="1" applyBorder="1" applyAlignment="1">
      <alignment horizontal="left" vertical="center" wrapText="1"/>
    </xf>
    <xf numFmtId="165" fontId="20" fillId="11" borderId="4" xfId="0" applyNumberFormat="1" applyFont="1" applyFill="1" applyBorder="1" applyAlignment="1">
      <alignment horizontal="left" vertical="center" wrapText="1"/>
    </xf>
    <xf numFmtId="0" fontId="20" fillId="14" borderId="4" xfId="0" applyFont="1" applyFill="1" applyBorder="1" applyAlignment="1">
      <alignment horizontal="left" vertical="center" wrapText="1"/>
    </xf>
    <xf numFmtId="165" fontId="20" fillId="14" borderId="4" xfId="0" applyNumberFormat="1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21" fillId="11" borderId="4" xfId="0" applyFont="1" applyFill="1" applyBorder="1" applyAlignment="1">
      <alignment horizontal="left" vertical="center" wrapText="1"/>
    </xf>
    <xf numFmtId="166" fontId="21" fillId="11" borderId="4" xfId="0" applyNumberFormat="1" applyFont="1" applyFill="1" applyBorder="1" applyAlignment="1">
      <alignment horizontal="left" vertical="center" wrapText="1"/>
    </xf>
    <xf numFmtId="0" fontId="21" fillId="18" borderId="4" xfId="0" applyFont="1" applyFill="1" applyBorder="1" applyAlignment="1">
      <alignment horizontal="left" vertical="center" wrapText="1"/>
    </xf>
    <xf numFmtId="4" fontId="21" fillId="18" borderId="4" xfId="0" applyNumberFormat="1" applyFont="1" applyFill="1" applyBorder="1" applyAlignment="1">
      <alignment horizontal="left" vertical="center" wrapText="1"/>
    </xf>
    <xf numFmtId="166" fontId="21" fillId="18" borderId="4" xfId="0" applyNumberFormat="1" applyFont="1" applyFill="1" applyBorder="1" applyAlignment="1">
      <alignment horizontal="left" vertical="center" wrapText="1"/>
    </xf>
    <xf numFmtId="4" fontId="21" fillId="11" borderId="4" xfId="0" applyNumberFormat="1" applyFont="1" applyFill="1" applyBorder="1" applyAlignment="1">
      <alignment horizontal="left" vertical="center" wrapText="1"/>
    </xf>
    <xf numFmtId="0" fontId="0" fillId="0" borderId="4" xfId="0" applyBorder="1"/>
    <xf numFmtId="0" fontId="23" fillId="19" borderId="4" xfId="0" applyFont="1" applyFill="1" applyBorder="1" applyAlignment="1">
      <alignment horizontal="left" vertical="center"/>
    </xf>
    <xf numFmtId="0" fontId="24" fillId="11" borderId="4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center" vertical="center" wrapText="1"/>
    </xf>
    <xf numFmtId="0" fontId="13" fillId="12" borderId="4" xfId="0" applyFont="1" applyFill="1" applyBorder="1" applyAlignment="1">
      <alignment horizontal="center" vertical="center" wrapText="1"/>
    </xf>
    <xf numFmtId="0" fontId="13" fillId="12" borderId="4" xfId="0" applyFont="1" applyFill="1" applyBorder="1" applyAlignment="1">
      <alignment horizontal="left" vertical="center" wrapText="1"/>
    </xf>
    <xf numFmtId="0" fontId="21" fillId="12" borderId="4" xfId="0" applyFont="1" applyFill="1" applyBorder="1" applyAlignment="1">
      <alignment horizontal="left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13" fillId="11" borderId="4" xfId="0" applyFont="1" applyFill="1" applyBorder="1" applyAlignment="1">
      <alignment horizontal="center" vertical="center" wrapText="1"/>
    </xf>
    <xf numFmtId="0" fontId="13" fillId="11" borderId="4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3" fillId="14" borderId="2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5" fillId="16" borderId="2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1" fillId="14" borderId="2" xfId="0" applyFont="1" applyFill="1" applyBorder="1" applyAlignment="1">
      <alignment horizontal="right" vertical="center" wrapText="1"/>
    </xf>
    <xf numFmtId="0" fontId="11" fillId="14" borderId="6" xfId="0" applyFont="1" applyFill="1" applyBorder="1" applyAlignment="1">
      <alignment horizontal="right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19" fillId="10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5" fillId="1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b/>
        <color rgb="FF00444B"/>
      </font>
      <fill>
        <patternFill>
          <bgColor rgb="FFE0F4F4"/>
        </patternFill>
      </fill>
    </dxf>
    <dxf>
      <font>
        <b/>
        <color rgb="FFB00020"/>
      </font>
      <fill>
        <patternFill>
          <bgColor rgb="FFFFC7CE"/>
        </patternFill>
      </fill>
    </dxf>
    <dxf>
      <font>
        <b/>
        <color rgb="FF424242"/>
      </font>
      <fill>
        <patternFill>
          <bgColor rgb="FFC6EFCE"/>
        </patternFill>
      </fill>
    </dxf>
    <dxf>
      <font>
        <b/>
        <color rgb="FF0D1B4B"/>
      </font>
      <fill>
        <patternFill>
          <bgColor rgb="FFFFFAC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6400"/>
      <rgbColor rgb="FF000080"/>
      <rgbColor rgb="FF808000"/>
      <rgbColor rgb="FF800080"/>
      <rgbColor rgb="FF006B75"/>
      <rgbColor rgb="FFCCCCCC"/>
      <rgbColor rgb="FF808080"/>
      <rgbColor rgb="FFAAAAAA"/>
      <rgbColor rgb="FF993366"/>
      <rgbColor rgb="FFFFFACD"/>
      <rgbColor rgb="FFE0F4F4"/>
      <rgbColor rgb="FF4A148C"/>
      <rgbColor rgb="FFFF8080"/>
      <rgbColor rgb="FF0066CC"/>
      <rgbColor rgb="FFF3E5F5"/>
      <rgbColor rgb="FF0D1B4B"/>
      <rgbColor rgb="FFFF00FF"/>
      <rgbColor rgb="FFF8F9FA"/>
      <rgbColor rgb="FF00FFFF"/>
      <rgbColor rgb="FF800080"/>
      <rgbColor rgb="FF800000"/>
      <rgbColor rgb="FF1E6B3A"/>
      <rgbColor rgb="FF0000FF"/>
      <rgbColor rgb="FF00CCFF"/>
      <rgbColor rgb="FFE8F5EE"/>
      <rgbColor rgb="FFC6EFCE"/>
      <rgbColor rgb="FFFEF9EC"/>
      <rgbColor rgb="FFE8F0FE"/>
      <rgbColor rgb="FFFDECEA"/>
      <rgbColor rgb="FFF5F5F5"/>
      <rgbColor rgb="FFFFC7CE"/>
      <rgbColor rgb="FF3366FF"/>
      <rgbColor rgb="FF33CCCC"/>
      <rgbColor rgb="FF99CC00"/>
      <rgbColor rgb="FFFFCC00"/>
      <rgbColor rgb="FFC9A84C"/>
      <rgbColor rgb="FFE65100"/>
      <rgbColor rgb="FF666699"/>
      <rgbColor rgb="FF9E9E9E"/>
      <rgbColor rgb="FF00444B"/>
      <rgbColor rgb="FF339966"/>
      <rgbColor rgb="FF003300"/>
      <rgbColor rgb="FF333300"/>
      <rgbColor rgb="FF993300"/>
      <rgbColor rgb="FF993366"/>
      <rgbColor rgb="FF333399"/>
      <rgbColor rgb="FF4242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D1B4B"/>
  </sheetPr>
  <dimension ref="A1:L26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2" sqref="D2:E2"/>
    </sheetView>
  </sheetViews>
  <sheetFormatPr defaultColWidth="8.7109375" defaultRowHeight="15" x14ac:dyDescent="0.25"/>
  <cols>
    <col min="1" max="1" width="22" customWidth="1"/>
    <col min="2" max="2" width="18" customWidth="1"/>
    <col min="3" max="3" width="16" customWidth="1"/>
    <col min="4" max="10" width="18" customWidth="1"/>
    <col min="11" max="12" width="16" customWidth="1"/>
  </cols>
  <sheetData>
    <row r="1" spans="1:12" ht="51.75" customHeight="1" x14ac:dyDescent="0.25">
      <c r="A1" s="83" t="s">
        <v>0</v>
      </c>
      <c r="B1" s="83"/>
      <c r="C1" s="83"/>
      <c r="D1" s="83"/>
      <c r="E1" s="83"/>
      <c r="F1" s="83"/>
      <c r="G1" s="83"/>
      <c r="H1" s="83"/>
      <c r="I1" s="84" t="s">
        <v>1</v>
      </c>
      <c r="J1" s="84"/>
      <c r="K1" s="84"/>
      <c r="L1" s="84"/>
    </row>
    <row r="2" spans="1:12" ht="31.5" customHeight="1" x14ac:dyDescent="0.25">
      <c r="A2" s="85" t="s">
        <v>2</v>
      </c>
      <c r="B2" s="85"/>
      <c r="C2" s="85"/>
      <c r="D2" s="86" t="s">
        <v>3</v>
      </c>
      <c r="E2" s="86"/>
      <c r="F2" s="85" t="s">
        <v>4</v>
      </c>
      <c r="G2" s="85"/>
      <c r="H2" s="85"/>
      <c r="I2" s="87" t="s">
        <v>5</v>
      </c>
      <c r="J2" s="87"/>
      <c r="K2" s="88" t="s">
        <v>6</v>
      </c>
      <c r="L2" s="88"/>
    </row>
    <row r="3" spans="1:12" ht="39.75" customHeight="1" x14ac:dyDescent="0.25">
      <c r="A3" s="1" t="s">
        <v>7</v>
      </c>
      <c r="B3" s="2" t="s">
        <v>8</v>
      </c>
      <c r="C3" s="3" t="s">
        <v>9</v>
      </c>
      <c r="D3" s="4" t="s">
        <v>10</v>
      </c>
      <c r="E3" s="5" t="s">
        <v>11</v>
      </c>
      <c r="F3" s="6" t="s">
        <v>12</v>
      </c>
      <c r="G3" s="7" t="s">
        <v>13</v>
      </c>
      <c r="H3" s="8" t="s">
        <v>14</v>
      </c>
    </row>
    <row r="4" spans="1:12" ht="19.5" customHeight="1" x14ac:dyDescent="0.25">
      <c r="A4" s="9" t="s">
        <v>15</v>
      </c>
      <c r="B4" s="10" t="s">
        <v>16</v>
      </c>
      <c r="C4" s="11" t="s">
        <v>17</v>
      </c>
      <c r="D4" s="12" t="s">
        <v>18</v>
      </c>
      <c r="E4" s="13" t="s">
        <v>19</v>
      </c>
      <c r="F4" s="14" t="s">
        <v>20</v>
      </c>
    </row>
    <row r="5" spans="1:12" ht="36" customHeight="1" x14ac:dyDescent="0.25">
      <c r="A5" s="15" t="str">
        <f>Config!B2</f>
        <v>Value</v>
      </c>
      <c r="B5" s="16">
        <f>Config!B3</f>
        <v>-995</v>
      </c>
      <c r="C5" s="17">
        <f>Config!B4</f>
        <v>0</v>
      </c>
      <c r="D5" s="18">
        <f>Config!B5</f>
        <v>0</v>
      </c>
      <c r="E5" s="19">
        <f>Config!B6</f>
        <v>0</v>
      </c>
      <c r="F5" s="20">
        <f>Config!B7</f>
        <v>-995</v>
      </c>
    </row>
    <row r="6" spans="1:12" ht="7.5" customHeight="1" x14ac:dyDescent="0.25"/>
    <row r="7" spans="1:12" ht="25.5" customHeight="1" x14ac:dyDescent="0.25">
      <c r="A7" s="82" t="s">
        <v>21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</row>
    <row r="8" spans="1:12" ht="36" customHeight="1" x14ac:dyDescent="0.25">
      <c r="A8" s="21" t="s">
        <v>22</v>
      </c>
      <c r="B8" s="21" t="s">
        <v>23</v>
      </c>
      <c r="C8" s="21" t="s">
        <v>24</v>
      </c>
      <c r="D8" s="21" t="s">
        <v>25</v>
      </c>
      <c r="E8" s="21" t="s">
        <v>26</v>
      </c>
      <c r="F8" s="21" t="s">
        <v>27</v>
      </c>
      <c r="G8" s="21" t="s">
        <v>28</v>
      </c>
      <c r="H8" s="21" t="s">
        <v>29</v>
      </c>
      <c r="I8" s="21" t="s">
        <v>30</v>
      </c>
      <c r="J8" s="21" t="s">
        <v>31</v>
      </c>
      <c r="K8" s="21"/>
      <c r="L8" s="21"/>
    </row>
    <row r="9" spans="1:12" ht="19.5" customHeight="1" x14ac:dyDescent="0.25">
      <c r="A9" s="33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</row>
    <row r="10" spans="1:12" ht="19.5" customHeight="1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</row>
    <row r="11" spans="1:12" ht="19.5" customHeight="1" x14ac:dyDescent="0.2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 ht="19.5" customHeight="1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2" ht="19.5" customHeight="1" x14ac:dyDescent="0.2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</row>
    <row r="14" spans="1:12" ht="19.5" customHeight="1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</row>
    <row r="15" spans="1:12" ht="19.5" customHeight="1" x14ac:dyDescent="0.2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1:12" ht="19.5" customHeight="1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</row>
    <row r="17" spans="1:12" ht="19.5" customHeight="1" x14ac:dyDescent="0.25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</row>
    <row r="18" spans="1:12" ht="19.5" customHeight="1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</row>
    <row r="20" spans="1:12" ht="25.5" customHeight="1" x14ac:dyDescent="0.25">
      <c r="A20" s="82" t="s">
        <v>32</v>
      </c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</row>
    <row r="21" spans="1:12" ht="36" customHeight="1" x14ac:dyDescent="0.25">
      <c r="A21" s="24" t="s">
        <v>28</v>
      </c>
      <c r="B21" s="24" t="s">
        <v>33</v>
      </c>
      <c r="C21" s="24" t="s">
        <v>34</v>
      </c>
      <c r="D21" s="24" t="s">
        <v>16</v>
      </c>
      <c r="E21" s="24" t="s">
        <v>35</v>
      </c>
      <c r="F21" s="24" t="s">
        <v>36</v>
      </c>
      <c r="G21" s="24" t="s">
        <v>19</v>
      </c>
      <c r="H21" s="24" t="s">
        <v>29</v>
      </c>
    </row>
    <row r="22" spans="1:12" ht="19.5" customHeight="1" x14ac:dyDescent="0.25">
      <c r="A22" s="25" t="s">
        <v>37</v>
      </c>
      <c r="B22" s="26"/>
      <c r="C22" s="26"/>
      <c r="D22" s="26"/>
      <c r="E22" s="26"/>
      <c r="F22" s="26"/>
      <c r="G22" s="26"/>
      <c r="H22" s="26"/>
    </row>
    <row r="23" spans="1:12" ht="19.5" customHeight="1" x14ac:dyDescent="0.25">
      <c r="A23" s="27" t="s">
        <v>38</v>
      </c>
      <c r="B23" s="22"/>
      <c r="C23" s="22"/>
      <c r="D23" s="22"/>
      <c r="E23" s="22"/>
      <c r="F23" s="22"/>
      <c r="G23" s="22"/>
      <c r="H23" s="22"/>
    </row>
    <row r="24" spans="1:12" ht="19.5" customHeight="1" x14ac:dyDescent="0.25">
      <c r="A24" s="25" t="s">
        <v>39</v>
      </c>
      <c r="B24" s="26"/>
      <c r="C24" s="26"/>
      <c r="D24" s="26"/>
      <c r="E24" s="26"/>
      <c r="F24" s="26"/>
      <c r="G24" s="26"/>
      <c r="H24" s="26"/>
    </row>
    <row r="25" spans="1:12" ht="19.5" customHeight="1" x14ac:dyDescent="0.25">
      <c r="A25" s="27" t="s">
        <v>40</v>
      </c>
      <c r="B25" s="22"/>
      <c r="C25" s="22"/>
      <c r="D25" s="22"/>
      <c r="E25" s="22"/>
      <c r="F25" s="22"/>
      <c r="G25" s="22"/>
      <c r="H25" s="22"/>
    </row>
    <row r="26" spans="1:12" ht="19.5" customHeight="1" x14ac:dyDescent="0.25">
      <c r="A26" s="25" t="s">
        <v>41</v>
      </c>
      <c r="B26" s="26"/>
      <c r="C26" s="26"/>
      <c r="D26" s="26"/>
      <c r="E26" s="26"/>
      <c r="F26" s="26"/>
      <c r="G26" s="26"/>
      <c r="H26" s="26"/>
    </row>
  </sheetData>
  <mergeCells count="9">
    <mergeCell ref="A7:L7"/>
    <mergeCell ref="A20:L20"/>
    <mergeCell ref="A1:H1"/>
    <mergeCell ref="I1:L1"/>
    <mergeCell ref="A2:C2"/>
    <mergeCell ref="D2:E2"/>
    <mergeCell ref="F2:H2"/>
    <mergeCell ref="I2:J2"/>
    <mergeCell ref="K2:L2"/>
  </mergeCells>
  <dataValidations count="1">
    <dataValidation type="list" sqref="D2" xr:uid="{00000000-0002-0000-0000-000000000000}">
      <formula1>"Manager,Agent 1,Agent 2,Agent 3,Agent 4"</formula1>
      <formula2>0</formula2>
    </dataValidation>
  </dataValidations>
  <pageMargins left="0.3" right="0.3" top="0.4" bottom="0.4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6B75"/>
  </sheetPr>
  <dimension ref="A1:L53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I2" sqref="I2:J2"/>
    </sheetView>
  </sheetViews>
  <sheetFormatPr defaultColWidth="8.7109375" defaultRowHeight="15" x14ac:dyDescent="0.25"/>
  <cols>
    <col min="1" max="1" width="22" customWidth="1"/>
    <col min="2" max="3" width="16" customWidth="1"/>
    <col min="4" max="4" width="14" customWidth="1"/>
    <col min="5" max="6" width="16" customWidth="1"/>
    <col min="7" max="9" width="14" customWidth="1"/>
    <col min="10" max="11" width="12" customWidth="1"/>
    <col min="12" max="12" width="14" customWidth="1"/>
  </cols>
  <sheetData>
    <row r="1" spans="1:12" ht="39.75" customHeight="1" x14ac:dyDescent="0.25">
      <c r="A1" s="89" t="s">
        <v>42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</row>
    <row r="2" spans="1:12" ht="30" customHeight="1" x14ac:dyDescent="0.25">
      <c r="A2" s="78" t="s">
        <v>43</v>
      </c>
      <c r="B2" s="78"/>
      <c r="C2" s="28"/>
      <c r="D2" s="90" t="s">
        <v>44</v>
      </c>
      <c r="E2" s="90"/>
      <c r="F2" s="90"/>
      <c r="G2" s="79" t="s">
        <v>45</v>
      </c>
      <c r="H2" s="79"/>
      <c r="I2" s="80" t="s">
        <v>46</v>
      </c>
      <c r="J2" s="80"/>
    </row>
    <row r="3" spans="1:12" ht="39.75" customHeight="1" x14ac:dyDescent="0.25">
      <c r="A3" s="21" t="s">
        <v>47</v>
      </c>
      <c r="B3" s="21" t="s">
        <v>48</v>
      </c>
      <c r="C3" s="21" t="s">
        <v>49</v>
      </c>
      <c r="D3" s="21" t="s">
        <v>50</v>
      </c>
      <c r="E3" s="21" t="s">
        <v>51</v>
      </c>
      <c r="F3" s="21" t="s">
        <v>52</v>
      </c>
      <c r="G3" s="21" t="s">
        <v>53</v>
      </c>
      <c r="H3" s="21" t="s">
        <v>54</v>
      </c>
      <c r="I3" s="21" t="s">
        <v>55</v>
      </c>
      <c r="J3" s="21" t="s">
        <v>56</v>
      </c>
      <c r="K3" s="21" t="s">
        <v>57</v>
      </c>
      <c r="L3" s="21" t="s">
        <v>31</v>
      </c>
    </row>
    <row r="4" spans="1:12" ht="19.5" customHeight="1" x14ac:dyDescent="0.25">
      <c r="A4" s="29">
        <v>1234567854</v>
      </c>
      <c r="B4" s="23"/>
      <c r="C4" s="23"/>
      <c r="D4" s="23"/>
      <c r="E4" s="23"/>
      <c r="F4" s="30"/>
      <c r="G4" s="23"/>
      <c r="H4" s="23"/>
      <c r="I4" s="31"/>
      <c r="J4" s="31"/>
      <c r="K4" s="31"/>
      <c r="L4" s="23"/>
    </row>
    <row r="5" spans="1:12" ht="19.5" customHeight="1" x14ac:dyDescent="0.25">
      <c r="A5" s="32"/>
      <c r="B5" s="22"/>
      <c r="C5" s="22"/>
      <c r="D5" s="22"/>
      <c r="E5" s="22"/>
      <c r="F5" s="33"/>
      <c r="G5" s="22"/>
      <c r="H5" s="22"/>
      <c r="I5" s="34"/>
      <c r="J5" s="34"/>
      <c r="K5" s="34"/>
      <c r="L5" s="22"/>
    </row>
    <row r="6" spans="1:12" ht="19.5" customHeight="1" x14ac:dyDescent="0.25">
      <c r="A6" s="29"/>
      <c r="B6" s="23"/>
      <c r="C6" s="23"/>
      <c r="D6" s="23"/>
      <c r="E6" s="23"/>
      <c r="F6" s="30"/>
      <c r="G6" s="23"/>
      <c r="H6" s="23"/>
      <c r="I6" s="31"/>
      <c r="J6" s="31"/>
      <c r="K6" s="31"/>
      <c r="L6" s="23"/>
    </row>
    <row r="7" spans="1:12" ht="19.5" customHeight="1" x14ac:dyDescent="0.25">
      <c r="A7" s="32"/>
      <c r="B7" s="22"/>
      <c r="C7" s="22"/>
      <c r="D7" s="22"/>
      <c r="E7" s="22"/>
      <c r="F7" s="33"/>
      <c r="G7" s="22"/>
      <c r="H7" s="22"/>
      <c r="I7" s="34"/>
      <c r="J7" s="34"/>
      <c r="K7" s="34"/>
      <c r="L7" s="22"/>
    </row>
    <row r="8" spans="1:12" ht="19.5" customHeight="1" x14ac:dyDescent="0.25">
      <c r="A8" s="29"/>
      <c r="B8" s="23"/>
      <c r="C8" s="23"/>
      <c r="D8" s="23"/>
      <c r="E8" s="23"/>
      <c r="F8" s="30"/>
      <c r="G8" s="23"/>
      <c r="H8" s="23"/>
      <c r="I8" s="31"/>
      <c r="J8" s="31"/>
      <c r="K8" s="31"/>
      <c r="L8" s="23"/>
    </row>
    <row r="9" spans="1:12" ht="19.5" customHeight="1" x14ac:dyDescent="0.25">
      <c r="A9" s="32"/>
      <c r="B9" s="22"/>
      <c r="C9" s="22"/>
      <c r="D9" s="22"/>
      <c r="E9" s="22"/>
      <c r="F9" s="33"/>
      <c r="G9" s="22"/>
      <c r="H9" s="22"/>
      <c r="I9" s="34"/>
      <c r="J9" s="34"/>
      <c r="K9" s="34"/>
      <c r="L9" s="22"/>
    </row>
    <row r="10" spans="1:12" ht="19.5" customHeight="1" x14ac:dyDescent="0.25">
      <c r="A10" s="29"/>
      <c r="B10" s="23"/>
      <c r="C10" s="23"/>
      <c r="D10" s="23"/>
      <c r="E10" s="23"/>
      <c r="F10" s="30"/>
      <c r="G10" s="23"/>
      <c r="H10" s="23"/>
      <c r="I10" s="31"/>
      <c r="J10" s="31"/>
      <c r="K10" s="31"/>
      <c r="L10" s="23"/>
    </row>
    <row r="11" spans="1:12" ht="19.5" customHeight="1" x14ac:dyDescent="0.25">
      <c r="A11" s="32"/>
      <c r="B11" s="22"/>
      <c r="C11" s="22"/>
      <c r="D11" s="22"/>
      <c r="E11" s="22"/>
      <c r="F11" s="33"/>
      <c r="G11" s="22"/>
      <c r="H11" s="22"/>
      <c r="I11" s="34"/>
      <c r="J11" s="34"/>
      <c r="K11" s="34"/>
      <c r="L11" s="22"/>
    </row>
    <row r="12" spans="1:12" ht="19.5" customHeight="1" x14ac:dyDescent="0.25">
      <c r="A12" s="29"/>
      <c r="B12" s="23"/>
      <c r="C12" s="23"/>
      <c r="D12" s="23"/>
      <c r="E12" s="23"/>
      <c r="F12" s="30"/>
      <c r="G12" s="23"/>
      <c r="H12" s="23"/>
      <c r="I12" s="31"/>
      <c r="J12" s="31"/>
      <c r="K12" s="31"/>
      <c r="L12" s="23"/>
    </row>
    <row r="13" spans="1:12" ht="19.5" customHeight="1" x14ac:dyDescent="0.25">
      <c r="A13" s="32"/>
      <c r="B13" s="22"/>
      <c r="C13" s="22"/>
      <c r="D13" s="22"/>
      <c r="E13" s="22"/>
      <c r="F13" s="33"/>
      <c r="G13" s="22"/>
      <c r="H13" s="22"/>
      <c r="I13" s="34"/>
      <c r="J13" s="34"/>
      <c r="K13" s="34"/>
      <c r="L13" s="22"/>
    </row>
    <row r="14" spans="1:12" ht="19.5" customHeight="1" x14ac:dyDescent="0.25">
      <c r="A14" s="29"/>
      <c r="B14" s="23"/>
      <c r="C14" s="23"/>
      <c r="D14" s="23"/>
      <c r="E14" s="23"/>
      <c r="F14" s="30"/>
      <c r="G14" s="23"/>
      <c r="H14" s="23"/>
      <c r="I14" s="31"/>
      <c r="J14" s="31"/>
      <c r="K14" s="31"/>
      <c r="L14" s="23"/>
    </row>
    <row r="15" spans="1:12" ht="19.5" customHeight="1" x14ac:dyDescent="0.25">
      <c r="A15" s="32"/>
      <c r="B15" s="22"/>
      <c r="C15" s="22"/>
      <c r="D15" s="22"/>
      <c r="E15" s="22"/>
      <c r="F15" s="33"/>
      <c r="G15" s="22"/>
      <c r="H15" s="22"/>
      <c r="I15" s="34"/>
      <c r="J15" s="34"/>
      <c r="K15" s="34"/>
      <c r="L15" s="22"/>
    </row>
    <row r="16" spans="1:12" ht="19.5" customHeight="1" x14ac:dyDescent="0.25">
      <c r="A16" s="29"/>
      <c r="B16" s="23"/>
      <c r="C16" s="23"/>
      <c r="D16" s="23"/>
      <c r="E16" s="23"/>
      <c r="F16" s="30"/>
      <c r="G16" s="23"/>
      <c r="H16" s="23"/>
      <c r="I16" s="31"/>
      <c r="J16" s="31"/>
      <c r="K16" s="31"/>
      <c r="L16" s="23"/>
    </row>
    <row r="17" spans="1:12" ht="19.5" customHeight="1" x14ac:dyDescent="0.25">
      <c r="A17" s="32"/>
      <c r="B17" s="22"/>
      <c r="C17" s="22"/>
      <c r="D17" s="22"/>
      <c r="E17" s="22"/>
      <c r="F17" s="33"/>
      <c r="G17" s="22"/>
      <c r="H17" s="22"/>
      <c r="I17" s="34"/>
      <c r="J17" s="34"/>
      <c r="K17" s="34"/>
      <c r="L17" s="22"/>
    </row>
    <row r="18" spans="1:12" ht="19.5" customHeight="1" x14ac:dyDescent="0.25">
      <c r="A18" s="29"/>
      <c r="B18" s="23"/>
      <c r="C18" s="23"/>
      <c r="D18" s="23"/>
      <c r="E18" s="23"/>
      <c r="F18" s="30"/>
      <c r="G18" s="23"/>
      <c r="H18" s="23"/>
      <c r="I18" s="31"/>
      <c r="J18" s="31"/>
      <c r="K18" s="31"/>
      <c r="L18" s="23"/>
    </row>
    <row r="19" spans="1:12" ht="19.5" customHeight="1" x14ac:dyDescent="0.25">
      <c r="A19" s="32"/>
      <c r="B19" s="22"/>
      <c r="C19" s="22"/>
      <c r="D19" s="22"/>
      <c r="E19" s="22"/>
      <c r="F19" s="33"/>
      <c r="G19" s="22"/>
      <c r="H19" s="22"/>
      <c r="I19" s="34"/>
      <c r="J19" s="34"/>
      <c r="K19" s="34"/>
      <c r="L19" s="22"/>
    </row>
    <row r="20" spans="1:12" ht="19.5" customHeight="1" x14ac:dyDescent="0.25">
      <c r="A20" s="29"/>
      <c r="B20" s="23"/>
      <c r="C20" s="23"/>
      <c r="D20" s="23"/>
      <c r="E20" s="23"/>
      <c r="F20" s="30"/>
      <c r="G20" s="23"/>
      <c r="H20" s="23"/>
      <c r="I20" s="31"/>
      <c r="J20" s="31"/>
      <c r="K20" s="31"/>
      <c r="L20" s="23"/>
    </row>
    <row r="21" spans="1:12" ht="19.5" customHeight="1" x14ac:dyDescent="0.25">
      <c r="A21" s="32"/>
      <c r="B21" s="22"/>
      <c r="C21" s="22"/>
      <c r="D21" s="22"/>
      <c r="E21" s="22"/>
      <c r="F21" s="33"/>
      <c r="G21" s="22"/>
      <c r="H21" s="22"/>
      <c r="I21" s="34"/>
      <c r="J21" s="34"/>
      <c r="K21" s="34"/>
      <c r="L21" s="22"/>
    </row>
    <row r="22" spans="1:12" ht="19.5" customHeight="1" x14ac:dyDescent="0.25">
      <c r="A22" s="29"/>
      <c r="B22" s="23"/>
      <c r="C22" s="23"/>
      <c r="D22" s="23"/>
      <c r="E22" s="23"/>
      <c r="F22" s="30"/>
      <c r="G22" s="23"/>
      <c r="H22" s="23"/>
      <c r="I22" s="31"/>
      <c r="J22" s="31"/>
      <c r="K22" s="31"/>
      <c r="L22" s="23"/>
    </row>
    <row r="23" spans="1:12" ht="19.5" customHeight="1" x14ac:dyDescent="0.25">
      <c r="A23" s="32"/>
      <c r="B23" s="22"/>
      <c r="C23" s="22"/>
      <c r="D23" s="22"/>
      <c r="E23" s="22"/>
      <c r="F23" s="33"/>
      <c r="G23" s="22"/>
      <c r="H23" s="22"/>
      <c r="I23" s="34"/>
      <c r="J23" s="34"/>
      <c r="K23" s="34"/>
      <c r="L23" s="22"/>
    </row>
    <row r="24" spans="1:12" ht="19.5" customHeight="1" x14ac:dyDescent="0.25">
      <c r="A24" s="29"/>
      <c r="B24" s="23"/>
      <c r="C24" s="23"/>
      <c r="D24" s="23"/>
      <c r="E24" s="23"/>
      <c r="F24" s="30"/>
      <c r="G24" s="23"/>
      <c r="H24" s="23"/>
      <c r="I24" s="31"/>
      <c r="J24" s="31"/>
      <c r="K24" s="31"/>
      <c r="L24" s="23"/>
    </row>
    <row r="25" spans="1:12" ht="19.5" customHeight="1" x14ac:dyDescent="0.25">
      <c r="A25" s="32"/>
      <c r="B25" s="22"/>
      <c r="C25" s="22"/>
      <c r="D25" s="22"/>
      <c r="E25" s="22"/>
      <c r="F25" s="33"/>
      <c r="G25" s="22"/>
      <c r="H25" s="22"/>
      <c r="I25" s="34"/>
      <c r="J25" s="34"/>
      <c r="K25" s="34"/>
      <c r="L25" s="22"/>
    </row>
    <row r="26" spans="1:12" ht="19.5" customHeight="1" x14ac:dyDescent="0.25">
      <c r="A26" s="29"/>
      <c r="B26" s="23"/>
      <c r="C26" s="23"/>
      <c r="D26" s="23"/>
      <c r="E26" s="23"/>
      <c r="F26" s="30"/>
      <c r="G26" s="23"/>
      <c r="H26" s="23"/>
      <c r="I26" s="31"/>
      <c r="J26" s="31"/>
      <c r="K26" s="31"/>
      <c r="L26" s="23"/>
    </row>
    <row r="27" spans="1:12" ht="19.5" customHeight="1" x14ac:dyDescent="0.25">
      <c r="A27" s="32"/>
      <c r="B27" s="22"/>
      <c r="C27" s="22"/>
      <c r="D27" s="22"/>
      <c r="E27" s="22"/>
      <c r="F27" s="33"/>
      <c r="G27" s="22"/>
      <c r="H27" s="22"/>
      <c r="I27" s="34"/>
      <c r="J27" s="34"/>
      <c r="K27" s="34"/>
      <c r="L27" s="22"/>
    </row>
    <row r="28" spans="1:12" ht="19.5" customHeight="1" x14ac:dyDescent="0.25">
      <c r="A28" s="29"/>
      <c r="B28" s="23"/>
      <c r="C28" s="23"/>
      <c r="D28" s="23"/>
      <c r="E28" s="23"/>
      <c r="F28" s="30"/>
      <c r="G28" s="23"/>
      <c r="H28" s="23"/>
      <c r="I28" s="31"/>
      <c r="J28" s="31"/>
      <c r="K28" s="31"/>
      <c r="L28" s="23"/>
    </row>
    <row r="29" spans="1:12" ht="19.5" customHeight="1" x14ac:dyDescent="0.25">
      <c r="A29" s="32"/>
      <c r="B29" s="22"/>
      <c r="C29" s="22"/>
      <c r="D29" s="22"/>
      <c r="E29" s="22"/>
      <c r="F29" s="33"/>
      <c r="G29" s="22"/>
      <c r="H29" s="22"/>
      <c r="I29" s="34"/>
      <c r="J29" s="34"/>
      <c r="K29" s="34"/>
      <c r="L29" s="22"/>
    </row>
    <row r="30" spans="1:12" ht="19.5" customHeight="1" x14ac:dyDescent="0.25">
      <c r="A30" s="29"/>
      <c r="B30" s="23"/>
      <c r="C30" s="23"/>
      <c r="D30" s="23"/>
      <c r="E30" s="23"/>
      <c r="F30" s="30"/>
      <c r="G30" s="23"/>
      <c r="H30" s="23"/>
      <c r="I30" s="31"/>
      <c r="J30" s="31"/>
      <c r="K30" s="31"/>
      <c r="L30" s="23"/>
    </row>
    <row r="31" spans="1:12" ht="19.5" customHeight="1" x14ac:dyDescent="0.25">
      <c r="A31" s="32"/>
      <c r="B31" s="22"/>
      <c r="C31" s="22"/>
      <c r="D31" s="22"/>
      <c r="E31" s="22"/>
      <c r="F31" s="33"/>
      <c r="G31" s="22"/>
      <c r="H31" s="22"/>
      <c r="I31" s="34"/>
      <c r="J31" s="34"/>
      <c r="K31" s="34"/>
      <c r="L31" s="22"/>
    </row>
    <row r="32" spans="1:12" ht="19.5" customHeight="1" x14ac:dyDescent="0.25">
      <c r="A32" s="29"/>
      <c r="B32" s="23"/>
      <c r="C32" s="23"/>
      <c r="D32" s="23"/>
      <c r="E32" s="23"/>
      <c r="F32" s="30"/>
      <c r="G32" s="23"/>
      <c r="H32" s="23"/>
      <c r="I32" s="31"/>
      <c r="J32" s="31"/>
      <c r="K32" s="31"/>
      <c r="L32" s="23"/>
    </row>
    <row r="33" spans="1:12" ht="19.5" customHeight="1" x14ac:dyDescent="0.25">
      <c r="A33" s="32"/>
      <c r="B33" s="22"/>
      <c r="C33" s="22"/>
      <c r="D33" s="22"/>
      <c r="E33" s="22"/>
      <c r="F33" s="33"/>
      <c r="G33" s="22"/>
      <c r="H33" s="22"/>
      <c r="I33" s="34"/>
      <c r="J33" s="34"/>
      <c r="K33" s="34"/>
      <c r="L33" s="22"/>
    </row>
    <row r="34" spans="1:12" ht="19.5" customHeight="1" x14ac:dyDescent="0.25">
      <c r="A34" s="29"/>
      <c r="B34" s="23"/>
      <c r="C34" s="23"/>
      <c r="D34" s="23"/>
      <c r="E34" s="23"/>
      <c r="F34" s="30"/>
      <c r="G34" s="23"/>
      <c r="H34" s="23"/>
      <c r="I34" s="31"/>
      <c r="J34" s="31"/>
      <c r="K34" s="31"/>
      <c r="L34" s="23"/>
    </row>
    <row r="35" spans="1:12" ht="19.5" customHeight="1" x14ac:dyDescent="0.25">
      <c r="A35" s="32"/>
      <c r="B35" s="22"/>
      <c r="C35" s="22"/>
      <c r="D35" s="22"/>
      <c r="E35" s="22"/>
      <c r="F35" s="33"/>
      <c r="G35" s="22"/>
      <c r="H35" s="22"/>
      <c r="I35" s="34"/>
      <c r="J35" s="34"/>
      <c r="K35" s="34"/>
      <c r="L35" s="22"/>
    </row>
    <row r="36" spans="1:12" ht="19.5" customHeight="1" x14ac:dyDescent="0.25">
      <c r="A36" s="29"/>
      <c r="B36" s="23"/>
      <c r="C36" s="23"/>
      <c r="D36" s="23"/>
      <c r="E36" s="23"/>
      <c r="F36" s="30"/>
      <c r="G36" s="23"/>
      <c r="H36" s="23"/>
      <c r="I36" s="31"/>
      <c r="J36" s="31"/>
      <c r="K36" s="31"/>
      <c r="L36" s="23"/>
    </row>
    <row r="37" spans="1:12" ht="19.5" customHeight="1" x14ac:dyDescent="0.25">
      <c r="A37" s="32"/>
      <c r="B37" s="22"/>
      <c r="C37" s="22"/>
      <c r="D37" s="22"/>
      <c r="E37" s="22"/>
      <c r="F37" s="33"/>
      <c r="G37" s="22"/>
      <c r="H37" s="22"/>
      <c r="I37" s="34"/>
      <c r="J37" s="34"/>
      <c r="K37" s="34"/>
      <c r="L37" s="22"/>
    </row>
    <row r="38" spans="1:12" ht="19.5" customHeight="1" x14ac:dyDescent="0.25">
      <c r="A38" s="29"/>
      <c r="B38" s="23"/>
      <c r="C38" s="23"/>
      <c r="D38" s="23"/>
      <c r="E38" s="23"/>
      <c r="F38" s="30"/>
      <c r="G38" s="23"/>
      <c r="H38" s="23"/>
      <c r="I38" s="31"/>
      <c r="J38" s="31"/>
      <c r="K38" s="31"/>
      <c r="L38" s="23"/>
    </row>
    <row r="39" spans="1:12" ht="19.5" customHeight="1" x14ac:dyDescent="0.25">
      <c r="A39" s="32"/>
      <c r="B39" s="22"/>
      <c r="C39" s="22"/>
      <c r="D39" s="22"/>
      <c r="E39" s="22"/>
      <c r="F39" s="33"/>
      <c r="G39" s="22"/>
      <c r="H39" s="22"/>
      <c r="I39" s="34"/>
      <c r="J39" s="34"/>
      <c r="K39" s="34"/>
      <c r="L39" s="22"/>
    </row>
    <row r="40" spans="1:12" ht="19.5" customHeight="1" x14ac:dyDescent="0.25">
      <c r="A40" s="29"/>
      <c r="B40" s="23"/>
      <c r="C40" s="23"/>
      <c r="D40" s="23"/>
      <c r="E40" s="23"/>
      <c r="F40" s="30"/>
      <c r="G40" s="23"/>
      <c r="H40" s="23"/>
      <c r="I40" s="31"/>
      <c r="J40" s="31"/>
      <c r="K40" s="31"/>
      <c r="L40" s="23"/>
    </row>
    <row r="41" spans="1:12" ht="19.5" customHeight="1" x14ac:dyDescent="0.25">
      <c r="A41" s="32"/>
      <c r="B41" s="22"/>
      <c r="C41" s="22"/>
      <c r="D41" s="22"/>
      <c r="E41" s="22"/>
      <c r="F41" s="33"/>
      <c r="G41" s="22"/>
      <c r="H41" s="22"/>
      <c r="I41" s="34"/>
      <c r="J41" s="34"/>
      <c r="K41" s="34"/>
      <c r="L41" s="22"/>
    </row>
    <row r="42" spans="1:12" ht="19.5" customHeight="1" x14ac:dyDescent="0.25">
      <c r="A42" s="29"/>
      <c r="B42" s="23"/>
      <c r="C42" s="23"/>
      <c r="D42" s="23"/>
      <c r="E42" s="23"/>
      <c r="F42" s="30"/>
      <c r="G42" s="23"/>
      <c r="H42" s="23"/>
      <c r="I42" s="31"/>
      <c r="J42" s="31"/>
      <c r="K42" s="31"/>
      <c r="L42" s="23"/>
    </row>
    <row r="43" spans="1:12" ht="19.5" customHeight="1" x14ac:dyDescent="0.25">
      <c r="A43" s="32"/>
      <c r="B43" s="22"/>
      <c r="C43" s="22"/>
      <c r="D43" s="22"/>
      <c r="E43" s="22"/>
      <c r="F43" s="33"/>
      <c r="G43" s="22"/>
      <c r="H43" s="22"/>
      <c r="I43" s="34"/>
      <c r="J43" s="34"/>
      <c r="K43" s="34"/>
      <c r="L43" s="22"/>
    </row>
    <row r="44" spans="1:12" ht="19.5" customHeight="1" x14ac:dyDescent="0.25">
      <c r="A44" s="29"/>
      <c r="B44" s="23"/>
      <c r="C44" s="23"/>
      <c r="D44" s="23"/>
      <c r="E44" s="23"/>
      <c r="F44" s="30"/>
      <c r="G44" s="23"/>
      <c r="H44" s="23"/>
      <c r="I44" s="31"/>
      <c r="J44" s="31"/>
      <c r="K44" s="31"/>
      <c r="L44" s="23"/>
    </row>
    <row r="45" spans="1:12" ht="19.5" customHeight="1" x14ac:dyDescent="0.25">
      <c r="A45" s="32"/>
      <c r="B45" s="22"/>
      <c r="C45" s="22"/>
      <c r="D45" s="22"/>
      <c r="E45" s="22"/>
      <c r="F45" s="33"/>
      <c r="G45" s="22"/>
      <c r="H45" s="22"/>
      <c r="I45" s="34"/>
      <c r="J45" s="34"/>
      <c r="K45" s="34"/>
      <c r="L45" s="22"/>
    </row>
    <row r="46" spans="1:12" ht="19.5" customHeight="1" x14ac:dyDescent="0.25">
      <c r="A46" s="29"/>
      <c r="B46" s="23"/>
      <c r="C46" s="23"/>
      <c r="D46" s="23"/>
      <c r="E46" s="23"/>
      <c r="F46" s="30"/>
      <c r="G46" s="23"/>
      <c r="H46" s="23"/>
      <c r="I46" s="31"/>
      <c r="J46" s="31"/>
      <c r="K46" s="31"/>
      <c r="L46" s="23"/>
    </row>
    <row r="47" spans="1:12" ht="19.5" customHeight="1" x14ac:dyDescent="0.25">
      <c r="A47" s="32"/>
      <c r="B47" s="22"/>
      <c r="C47" s="22"/>
      <c r="D47" s="22"/>
      <c r="E47" s="22"/>
      <c r="F47" s="33"/>
      <c r="G47" s="22"/>
      <c r="H47" s="22"/>
      <c r="I47" s="34"/>
      <c r="J47" s="34"/>
      <c r="K47" s="34"/>
      <c r="L47" s="22"/>
    </row>
    <row r="48" spans="1:12" ht="19.5" customHeight="1" x14ac:dyDescent="0.25">
      <c r="A48" s="29"/>
      <c r="B48" s="23"/>
      <c r="C48" s="23"/>
      <c r="D48" s="23"/>
      <c r="E48" s="23"/>
      <c r="F48" s="30"/>
      <c r="G48" s="23"/>
      <c r="H48" s="23"/>
      <c r="I48" s="31"/>
      <c r="J48" s="31"/>
      <c r="K48" s="31"/>
      <c r="L48" s="23"/>
    </row>
    <row r="49" spans="1:12" ht="19.5" customHeight="1" x14ac:dyDescent="0.25">
      <c r="A49" s="32"/>
      <c r="B49" s="22"/>
      <c r="C49" s="22"/>
      <c r="D49" s="22"/>
      <c r="E49" s="22"/>
      <c r="F49" s="33"/>
      <c r="G49" s="22"/>
      <c r="H49" s="22"/>
      <c r="I49" s="34"/>
      <c r="J49" s="34"/>
      <c r="K49" s="34"/>
      <c r="L49" s="22"/>
    </row>
    <row r="50" spans="1:12" ht="19.5" customHeight="1" x14ac:dyDescent="0.25">
      <c r="A50" s="29"/>
      <c r="B50" s="23"/>
      <c r="C50" s="23"/>
      <c r="D50" s="23"/>
      <c r="E50" s="23"/>
      <c r="F50" s="30"/>
      <c r="G50" s="23"/>
      <c r="H50" s="23"/>
      <c r="I50" s="31"/>
      <c r="J50" s="31"/>
      <c r="K50" s="31"/>
      <c r="L50" s="23"/>
    </row>
    <row r="51" spans="1:12" ht="19.5" customHeight="1" x14ac:dyDescent="0.25">
      <c r="A51" s="32"/>
      <c r="B51" s="22"/>
      <c r="C51" s="22"/>
      <c r="D51" s="22"/>
      <c r="E51" s="22"/>
      <c r="F51" s="33"/>
      <c r="G51" s="22"/>
      <c r="H51" s="22"/>
      <c r="I51" s="34"/>
      <c r="J51" s="34"/>
      <c r="K51" s="34"/>
      <c r="L51" s="22"/>
    </row>
    <row r="52" spans="1:12" ht="19.5" customHeight="1" x14ac:dyDescent="0.25">
      <c r="A52" s="29"/>
      <c r="B52" s="23"/>
      <c r="C52" s="23"/>
      <c r="D52" s="23"/>
      <c r="E52" s="23"/>
      <c r="F52" s="30"/>
      <c r="G52" s="23"/>
      <c r="H52" s="23"/>
      <c r="I52" s="31"/>
      <c r="J52" s="31"/>
      <c r="K52" s="31"/>
      <c r="L52" s="23"/>
    </row>
    <row r="53" spans="1:12" ht="19.5" customHeight="1" x14ac:dyDescent="0.25">
      <c r="A53" s="32"/>
      <c r="B53" s="22"/>
      <c r="C53" s="22"/>
      <c r="D53" s="22"/>
      <c r="E53" s="22"/>
      <c r="F53" s="33"/>
      <c r="G53" s="22"/>
      <c r="H53" s="22"/>
      <c r="I53" s="34"/>
      <c r="J53" s="34"/>
      <c r="K53" s="34"/>
      <c r="L53" s="22"/>
    </row>
  </sheetData>
  <mergeCells count="5">
    <mergeCell ref="A1:L1"/>
    <mergeCell ref="A2:B2"/>
    <mergeCell ref="D2:F2"/>
    <mergeCell ref="G2:H2"/>
    <mergeCell ref="I2:J2"/>
  </mergeCells>
  <conditionalFormatting sqref="A4:L53">
    <cfRule type="expression" dxfId="3" priority="2">
      <formula>OR($B4=$C$3,$C4=$C$3)</formula>
    </cfRule>
  </conditionalFormatting>
  <dataValidations count="2">
    <dataValidation type="list" allowBlank="1" sqref="D4:D53" xr:uid="{00000000-0002-0000-0100-000000000000}">
      <formula1>"Ghana Card,Passport,Driver's License,Voter's ID"</formula1>
      <formula2>0</formula2>
    </dataValidation>
    <dataValidation type="list" allowBlank="1" sqref="H4:H53" xr:uid="{00000000-0002-0000-0100-000001000000}">
      <formula1>"Verified,Pending,Rejected"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1E6B3A"/>
  </sheetPr>
  <dimension ref="A1:L103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sqref="A1:L1"/>
    </sheetView>
  </sheetViews>
  <sheetFormatPr defaultColWidth="8.7109375" defaultRowHeight="15" x14ac:dyDescent="0.25"/>
  <cols>
    <col min="1" max="1" width="16" customWidth="1"/>
    <col min="2" max="2" width="22" customWidth="1"/>
    <col min="3" max="4" width="16" customWidth="1"/>
    <col min="5" max="5" width="18" customWidth="1"/>
    <col min="6" max="7" width="16" customWidth="1"/>
    <col min="8" max="8" width="14" customWidth="1"/>
    <col min="9" max="10" width="16" customWidth="1"/>
    <col min="11" max="12" width="14" customWidth="1"/>
  </cols>
  <sheetData>
    <row r="1" spans="1:12" ht="39.75" customHeight="1" x14ac:dyDescent="0.25">
      <c r="A1" s="91" t="s">
        <v>58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</row>
    <row r="2" spans="1:12" ht="30" customHeight="1" x14ac:dyDescent="0.25">
      <c r="A2" s="92" t="s">
        <v>59</v>
      </c>
      <c r="B2" s="92"/>
      <c r="C2" s="35"/>
      <c r="D2" s="92" t="s">
        <v>60</v>
      </c>
      <c r="E2" s="92"/>
      <c r="F2" s="35"/>
      <c r="G2" s="92" t="s">
        <v>61</v>
      </c>
      <c r="H2" s="92"/>
      <c r="I2" s="35"/>
      <c r="J2" s="93" t="s">
        <v>62</v>
      </c>
      <c r="K2" s="93"/>
    </row>
    <row r="3" spans="1:12" ht="39.75" customHeight="1" x14ac:dyDescent="0.25">
      <c r="A3" s="36" t="s">
        <v>30</v>
      </c>
      <c r="B3" s="36" t="s">
        <v>22</v>
      </c>
      <c r="C3" s="36" t="s">
        <v>23</v>
      </c>
      <c r="D3" s="36" t="s">
        <v>24</v>
      </c>
      <c r="E3" s="36" t="s">
        <v>63</v>
      </c>
      <c r="F3" s="36" t="s">
        <v>26</v>
      </c>
      <c r="G3" s="36" t="s">
        <v>64</v>
      </c>
      <c r="H3" s="36" t="s">
        <v>28</v>
      </c>
      <c r="I3" s="36" t="s">
        <v>65</v>
      </c>
      <c r="J3" s="36" t="s">
        <v>66</v>
      </c>
      <c r="K3" s="36" t="s">
        <v>31</v>
      </c>
      <c r="L3" s="36" t="s">
        <v>67</v>
      </c>
    </row>
    <row r="4" spans="1:12" ht="18.75" customHeight="1" x14ac:dyDescent="0.25">
      <c r="A4" s="23"/>
      <c r="B4" s="37"/>
      <c r="C4" s="23"/>
      <c r="D4" s="23"/>
      <c r="E4" s="23"/>
      <c r="F4" s="31"/>
      <c r="G4" s="31"/>
      <c r="H4" s="23"/>
      <c r="I4" s="23"/>
      <c r="J4" s="23"/>
      <c r="K4" s="23"/>
      <c r="L4" s="23"/>
    </row>
    <row r="5" spans="1:12" ht="18.75" customHeight="1" x14ac:dyDescent="0.25">
      <c r="A5" s="22"/>
      <c r="B5" s="38"/>
      <c r="C5" s="22"/>
      <c r="D5" s="22"/>
      <c r="E5" s="22"/>
      <c r="F5" s="34"/>
      <c r="G5" s="34"/>
      <c r="H5" s="22"/>
      <c r="I5" s="22"/>
      <c r="J5" s="22"/>
      <c r="K5" s="22"/>
      <c r="L5" s="22"/>
    </row>
    <row r="6" spans="1:12" ht="18.75" customHeight="1" x14ac:dyDescent="0.25">
      <c r="A6" s="23"/>
      <c r="B6" s="37"/>
      <c r="C6" s="23"/>
      <c r="D6" s="23"/>
      <c r="E6" s="23"/>
      <c r="F6" s="31"/>
      <c r="G6" s="31"/>
      <c r="H6" s="23"/>
      <c r="I6" s="23"/>
      <c r="J6" s="23"/>
      <c r="K6" s="23"/>
      <c r="L6" s="23"/>
    </row>
    <row r="7" spans="1:12" ht="18.75" customHeight="1" x14ac:dyDescent="0.25">
      <c r="A7" s="22"/>
      <c r="B7" s="38"/>
      <c r="C7" s="22"/>
      <c r="D7" s="22"/>
      <c r="E7" s="22"/>
      <c r="F7" s="34"/>
      <c r="G7" s="34"/>
      <c r="H7" s="22"/>
      <c r="I7" s="22"/>
      <c r="J7" s="22"/>
      <c r="K7" s="22"/>
      <c r="L7" s="22"/>
    </row>
    <row r="8" spans="1:12" ht="18.75" customHeight="1" x14ac:dyDescent="0.25">
      <c r="A8" s="23"/>
      <c r="B8" s="37"/>
      <c r="C8" s="23"/>
      <c r="D8" s="23"/>
      <c r="E8" s="23"/>
      <c r="F8" s="31"/>
      <c r="G8" s="31"/>
      <c r="H8" s="23"/>
      <c r="I8" s="23"/>
      <c r="J8" s="23"/>
      <c r="K8" s="23"/>
      <c r="L8" s="23"/>
    </row>
    <row r="9" spans="1:12" ht="18.75" customHeight="1" x14ac:dyDescent="0.25">
      <c r="A9" s="22"/>
      <c r="B9" s="38"/>
      <c r="C9" s="22"/>
      <c r="D9" s="22"/>
      <c r="E9" s="22"/>
      <c r="F9" s="34"/>
      <c r="G9" s="34"/>
      <c r="H9" s="22"/>
      <c r="I9" s="22"/>
      <c r="J9" s="22"/>
      <c r="K9" s="22"/>
      <c r="L9" s="22"/>
    </row>
    <row r="10" spans="1:12" ht="18.75" customHeight="1" x14ac:dyDescent="0.25">
      <c r="A10" s="23"/>
      <c r="B10" s="37"/>
      <c r="C10" s="23"/>
      <c r="D10" s="23"/>
      <c r="E10" s="23"/>
      <c r="F10" s="31"/>
      <c r="G10" s="31"/>
      <c r="H10" s="23"/>
      <c r="I10" s="23"/>
      <c r="J10" s="23"/>
      <c r="K10" s="23"/>
      <c r="L10" s="23"/>
    </row>
    <row r="11" spans="1:12" ht="18.75" customHeight="1" x14ac:dyDescent="0.25">
      <c r="A11" s="22"/>
      <c r="B11" s="38"/>
      <c r="C11" s="22"/>
      <c r="D11" s="22"/>
      <c r="E11" s="22"/>
      <c r="F11" s="34"/>
      <c r="G11" s="34"/>
      <c r="H11" s="22"/>
      <c r="I11" s="22"/>
      <c r="J11" s="22"/>
      <c r="K11" s="22"/>
      <c r="L11" s="22"/>
    </row>
    <row r="12" spans="1:12" ht="18.75" customHeight="1" x14ac:dyDescent="0.25">
      <c r="A12" s="23"/>
      <c r="B12" s="37"/>
      <c r="C12" s="23"/>
      <c r="D12" s="23"/>
      <c r="E12" s="23"/>
      <c r="F12" s="31"/>
      <c r="G12" s="31"/>
      <c r="H12" s="23"/>
      <c r="I12" s="23"/>
      <c r="J12" s="23"/>
      <c r="K12" s="23"/>
      <c r="L12" s="23"/>
    </row>
    <row r="13" spans="1:12" ht="18.75" customHeight="1" x14ac:dyDescent="0.25">
      <c r="A13" s="22"/>
      <c r="B13" s="38"/>
      <c r="C13" s="22"/>
      <c r="D13" s="22"/>
      <c r="E13" s="22"/>
      <c r="F13" s="34"/>
      <c r="G13" s="34"/>
      <c r="H13" s="22"/>
      <c r="I13" s="22"/>
      <c r="J13" s="22"/>
      <c r="K13" s="22"/>
      <c r="L13" s="22"/>
    </row>
    <row r="14" spans="1:12" ht="18.75" customHeight="1" x14ac:dyDescent="0.25">
      <c r="A14" s="23"/>
      <c r="B14" s="37"/>
      <c r="C14" s="23"/>
      <c r="D14" s="23"/>
      <c r="E14" s="23"/>
      <c r="F14" s="31"/>
      <c r="G14" s="31"/>
      <c r="H14" s="23"/>
      <c r="I14" s="23"/>
      <c r="J14" s="23"/>
      <c r="K14" s="23"/>
      <c r="L14" s="23"/>
    </row>
    <row r="15" spans="1:12" ht="18.75" customHeight="1" x14ac:dyDescent="0.25">
      <c r="A15" s="22"/>
      <c r="B15" s="38"/>
      <c r="C15" s="22"/>
      <c r="D15" s="22"/>
      <c r="E15" s="22"/>
      <c r="F15" s="34"/>
      <c r="G15" s="34"/>
      <c r="H15" s="22"/>
      <c r="I15" s="22"/>
      <c r="J15" s="22"/>
      <c r="K15" s="22"/>
      <c r="L15" s="22"/>
    </row>
    <row r="16" spans="1:12" ht="18.75" customHeight="1" x14ac:dyDescent="0.25">
      <c r="A16" s="23"/>
      <c r="B16" s="37"/>
      <c r="C16" s="23"/>
      <c r="D16" s="23"/>
      <c r="E16" s="23"/>
      <c r="F16" s="31"/>
      <c r="G16" s="31"/>
      <c r="H16" s="23"/>
      <c r="I16" s="23"/>
      <c r="J16" s="23"/>
      <c r="K16" s="23"/>
      <c r="L16" s="23"/>
    </row>
    <row r="17" spans="1:12" ht="18.75" customHeight="1" x14ac:dyDescent="0.25">
      <c r="A17" s="22"/>
      <c r="B17" s="38"/>
      <c r="C17" s="22"/>
      <c r="D17" s="22"/>
      <c r="E17" s="22"/>
      <c r="F17" s="34"/>
      <c r="G17" s="34"/>
      <c r="H17" s="22"/>
      <c r="I17" s="22"/>
      <c r="J17" s="22"/>
      <c r="K17" s="22"/>
      <c r="L17" s="22"/>
    </row>
    <row r="18" spans="1:12" ht="18.75" customHeight="1" x14ac:dyDescent="0.25">
      <c r="A18" s="23"/>
      <c r="B18" s="37"/>
      <c r="C18" s="23"/>
      <c r="D18" s="23"/>
      <c r="E18" s="23"/>
      <c r="F18" s="31"/>
      <c r="G18" s="31"/>
      <c r="H18" s="23"/>
      <c r="I18" s="23"/>
      <c r="J18" s="23"/>
      <c r="K18" s="23"/>
      <c r="L18" s="23"/>
    </row>
    <row r="19" spans="1:12" ht="18.75" customHeight="1" x14ac:dyDescent="0.25">
      <c r="A19" s="22"/>
      <c r="B19" s="38"/>
      <c r="C19" s="22"/>
      <c r="D19" s="22"/>
      <c r="E19" s="22"/>
      <c r="F19" s="34"/>
      <c r="G19" s="34"/>
      <c r="H19" s="22"/>
      <c r="I19" s="22"/>
      <c r="J19" s="22"/>
      <c r="K19" s="22"/>
      <c r="L19" s="22"/>
    </row>
    <row r="20" spans="1:12" ht="18.75" customHeight="1" x14ac:dyDescent="0.25">
      <c r="A20" s="23"/>
      <c r="B20" s="37"/>
      <c r="C20" s="23"/>
      <c r="D20" s="23"/>
      <c r="E20" s="23"/>
      <c r="F20" s="31"/>
      <c r="G20" s="31"/>
      <c r="H20" s="23"/>
      <c r="I20" s="23"/>
      <c r="J20" s="23"/>
      <c r="K20" s="23"/>
      <c r="L20" s="23"/>
    </row>
    <row r="21" spans="1:12" ht="18.75" customHeight="1" x14ac:dyDescent="0.25">
      <c r="A21" s="22"/>
      <c r="B21" s="38"/>
      <c r="C21" s="22"/>
      <c r="D21" s="22"/>
      <c r="E21" s="22"/>
      <c r="F21" s="34"/>
      <c r="G21" s="34"/>
      <c r="H21" s="22"/>
      <c r="I21" s="22"/>
      <c r="J21" s="22"/>
      <c r="K21" s="22"/>
      <c r="L21" s="22"/>
    </row>
    <row r="22" spans="1:12" ht="18.75" customHeight="1" x14ac:dyDescent="0.25">
      <c r="A22" s="23"/>
      <c r="B22" s="37"/>
      <c r="C22" s="23"/>
      <c r="D22" s="23"/>
      <c r="E22" s="23"/>
      <c r="F22" s="31"/>
      <c r="G22" s="31"/>
      <c r="H22" s="23"/>
      <c r="I22" s="23"/>
      <c r="J22" s="23"/>
      <c r="K22" s="23"/>
      <c r="L22" s="23"/>
    </row>
    <row r="23" spans="1:12" ht="18.75" customHeight="1" x14ac:dyDescent="0.25">
      <c r="A23" s="22"/>
      <c r="B23" s="38"/>
      <c r="C23" s="22"/>
      <c r="D23" s="22"/>
      <c r="E23" s="22"/>
      <c r="F23" s="34"/>
      <c r="G23" s="34"/>
      <c r="H23" s="22"/>
      <c r="I23" s="22"/>
      <c r="J23" s="22"/>
      <c r="K23" s="22"/>
      <c r="L23" s="22"/>
    </row>
    <row r="24" spans="1:12" ht="18.75" customHeight="1" x14ac:dyDescent="0.25">
      <c r="A24" s="23"/>
      <c r="B24" s="37"/>
      <c r="C24" s="23"/>
      <c r="D24" s="23"/>
      <c r="E24" s="23"/>
      <c r="F24" s="31"/>
      <c r="G24" s="31"/>
      <c r="H24" s="23"/>
      <c r="I24" s="23"/>
      <c r="J24" s="23"/>
      <c r="K24" s="23"/>
      <c r="L24" s="23"/>
    </row>
    <row r="25" spans="1:12" ht="18.75" customHeight="1" x14ac:dyDescent="0.25">
      <c r="A25" s="22"/>
      <c r="B25" s="38"/>
      <c r="C25" s="22"/>
      <c r="D25" s="22"/>
      <c r="E25" s="22"/>
      <c r="F25" s="34"/>
      <c r="G25" s="34"/>
      <c r="H25" s="22"/>
      <c r="I25" s="22"/>
      <c r="J25" s="22"/>
      <c r="K25" s="22"/>
      <c r="L25" s="22"/>
    </row>
    <row r="26" spans="1:12" ht="18.75" customHeight="1" x14ac:dyDescent="0.25">
      <c r="A26" s="23"/>
      <c r="B26" s="37"/>
      <c r="C26" s="23"/>
      <c r="D26" s="23"/>
      <c r="E26" s="23"/>
      <c r="F26" s="31"/>
      <c r="G26" s="31"/>
      <c r="H26" s="23"/>
      <c r="I26" s="23"/>
      <c r="J26" s="23"/>
      <c r="K26" s="23"/>
      <c r="L26" s="23"/>
    </row>
    <row r="27" spans="1:12" ht="18.75" customHeight="1" x14ac:dyDescent="0.25">
      <c r="A27" s="22"/>
      <c r="B27" s="38"/>
      <c r="C27" s="22"/>
      <c r="D27" s="22"/>
      <c r="E27" s="22"/>
      <c r="F27" s="34"/>
      <c r="G27" s="34"/>
      <c r="H27" s="22"/>
      <c r="I27" s="22"/>
      <c r="J27" s="22"/>
      <c r="K27" s="22"/>
      <c r="L27" s="22"/>
    </row>
    <row r="28" spans="1:12" ht="18.75" customHeight="1" x14ac:dyDescent="0.25">
      <c r="A28" s="23"/>
      <c r="B28" s="37"/>
      <c r="C28" s="23"/>
      <c r="D28" s="23"/>
      <c r="E28" s="23"/>
      <c r="F28" s="31"/>
      <c r="G28" s="31"/>
      <c r="H28" s="23"/>
      <c r="I28" s="23"/>
      <c r="J28" s="23"/>
      <c r="K28" s="23"/>
      <c r="L28" s="23"/>
    </row>
    <row r="29" spans="1:12" ht="18.75" customHeight="1" x14ac:dyDescent="0.25">
      <c r="A29" s="22"/>
      <c r="B29" s="38"/>
      <c r="C29" s="22"/>
      <c r="D29" s="22"/>
      <c r="E29" s="22"/>
      <c r="F29" s="34"/>
      <c r="G29" s="34"/>
      <c r="H29" s="22"/>
      <c r="I29" s="22"/>
      <c r="J29" s="22"/>
      <c r="K29" s="22"/>
      <c r="L29" s="22"/>
    </row>
    <row r="30" spans="1:12" ht="18.75" customHeight="1" x14ac:dyDescent="0.25">
      <c r="A30" s="23"/>
      <c r="B30" s="37"/>
      <c r="C30" s="23"/>
      <c r="D30" s="23"/>
      <c r="E30" s="23"/>
      <c r="F30" s="31"/>
      <c r="G30" s="31"/>
      <c r="H30" s="23"/>
      <c r="I30" s="23"/>
      <c r="J30" s="23"/>
      <c r="K30" s="23"/>
      <c r="L30" s="23"/>
    </row>
    <row r="31" spans="1:12" ht="18.75" customHeight="1" x14ac:dyDescent="0.25">
      <c r="A31" s="22"/>
      <c r="B31" s="38"/>
      <c r="C31" s="22"/>
      <c r="D31" s="22"/>
      <c r="E31" s="22"/>
      <c r="F31" s="34"/>
      <c r="G31" s="34"/>
      <c r="H31" s="22"/>
      <c r="I31" s="22"/>
      <c r="J31" s="22"/>
      <c r="K31" s="22"/>
      <c r="L31" s="22"/>
    </row>
    <row r="32" spans="1:12" ht="18.75" customHeight="1" x14ac:dyDescent="0.25">
      <c r="A32" s="23"/>
      <c r="B32" s="37"/>
      <c r="C32" s="23"/>
      <c r="D32" s="23"/>
      <c r="E32" s="23"/>
      <c r="F32" s="31"/>
      <c r="G32" s="31"/>
      <c r="H32" s="23"/>
      <c r="I32" s="23"/>
      <c r="J32" s="23"/>
      <c r="K32" s="23"/>
      <c r="L32" s="23"/>
    </row>
    <row r="33" spans="1:12" ht="18.75" customHeight="1" x14ac:dyDescent="0.25">
      <c r="A33" s="22"/>
      <c r="B33" s="38"/>
      <c r="C33" s="22"/>
      <c r="D33" s="22"/>
      <c r="E33" s="22"/>
      <c r="F33" s="34"/>
      <c r="G33" s="34"/>
      <c r="H33" s="22"/>
      <c r="I33" s="22"/>
      <c r="J33" s="22"/>
      <c r="K33" s="22"/>
      <c r="L33" s="22"/>
    </row>
    <row r="34" spans="1:12" ht="18.75" customHeight="1" x14ac:dyDescent="0.25">
      <c r="A34" s="23"/>
      <c r="B34" s="37"/>
      <c r="C34" s="23"/>
      <c r="D34" s="23"/>
      <c r="E34" s="23"/>
      <c r="F34" s="31"/>
      <c r="G34" s="31"/>
      <c r="H34" s="23"/>
      <c r="I34" s="23"/>
      <c r="J34" s="23"/>
      <c r="K34" s="23"/>
      <c r="L34" s="23"/>
    </row>
    <row r="35" spans="1:12" ht="18.75" customHeight="1" x14ac:dyDescent="0.25">
      <c r="A35" s="22"/>
      <c r="B35" s="38"/>
      <c r="C35" s="22"/>
      <c r="D35" s="22"/>
      <c r="E35" s="22"/>
      <c r="F35" s="34"/>
      <c r="G35" s="34"/>
      <c r="H35" s="22"/>
      <c r="I35" s="22"/>
      <c r="J35" s="22"/>
      <c r="K35" s="22"/>
      <c r="L35" s="22"/>
    </row>
    <row r="36" spans="1:12" ht="18.75" customHeight="1" x14ac:dyDescent="0.25">
      <c r="A36" s="23"/>
      <c r="B36" s="37"/>
      <c r="C36" s="23"/>
      <c r="D36" s="23"/>
      <c r="E36" s="23"/>
      <c r="F36" s="31"/>
      <c r="G36" s="31"/>
      <c r="H36" s="23"/>
      <c r="I36" s="23"/>
      <c r="J36" s="23"/>
      <c r="K36" s="23"/>
      <c r="L36" s="23"/>
    </row>
    <row r="37" spans="1:12" ht="18.75" customHeight="1" x14ac:dyDescent="0.25">
      <c r="A37" s="22"/>
      <c r="B37" s="38"/>
      <c r="C37" s="22"/>
      <c r="D37" s="22"/>
      <c r="E37" s="22"/>
      <c r="F37" s="34"/>
      <c r="G37" s="34"/>
      <c r="H37" s="22"/>
      <c r="I37" s="22"/>
      <c r="J37" s="22"/>
      <c r="K37" s="22"/>
      <c r="L37" s="22"/>
    </row>
    <row r="38" spans="1:12" ht="18.75" customHeight="1" x14ac:dyDescent="0.25">
      <c r="A38" s="23"/>
      <c r="B38" s="37"/>
      <c r="C38" s="23"/>
      <c r="D38" s="23"/>
      <c r="E38" s="23"/>
      <c r="F38" s="31"/>
      <c r="G38" s="31"/>
      <c r="H38" s="23"/>
      <c r="I38" s="23"/>
      <c r="J38" s="23"/>
      <c r="K38" s="23"/>
      <c r="L38" s="23"/>
    </row>
    <row r="39" spans="1:12" ht="18.75" customHeight="1" x14ac:dyDescent="0.25">
      <c r="A39" s="22"/>
      <c r="B39" s="38"/>
      <c r="C39" s="22"/>
      <c r="D39" s="22"/>
      <c r="E39" s="22"/>
      <c r="F39" s="34"/>
      <c r="G39" s="34"/>
      <c r="H39" s="22"/>
      <c r="I39" s="22"/>
      <c r="J39" s="22"/>
      <c r="K39" s="22"/>
      <c r="L39" s="22"/>
    </row>
    <row r="40" spans="1:12" ht="18.75" customHeight="1" x14ac:dyDescent="0.25">
      <c r="A40" s="23"/>
      <c r="B40" s="37"/>
      <c r="C40" s="23"/>
      <c r="D40" s="23"/>
      <c r="E40" s="23"/>
      <c r="F40" s="31"/>
      <c r="G40" s="31"/>
      <c r="H40" s="23"/>
      <c r="I40" s="23"/>
      <c r="J40" s="23"/>
      <c r="K40" s="23"/>
      <c r="L40" s="23"/>
    </row>
    <row r="41" spans="1:12" ht="18.75" customHeight="1" x14ac:dyDescent="0.25">
      <c r="A41" s="22"/>
      <c r="B41" s="38"/>
      <c r="C41" s="22"/>
      <c r="D41" s="22"/>
      <c r="E41" s="22"/>
      <c r="F41" s="34"/>
      <c r="G41" s="34"/>
      <c r="H41" s="22"/>
      <c r="I41" s="22"/>
      <c r="J41" s="22"/>
      <c r="K41" s="22"/>
      <c r="L41" s="22"/>
    </row>
    <row r="42" spans="1:12" ht="18.75" customHeight="1" x14ac:dyDescent="0.25">
      <c r="A42" s="23"/>
      <c r="B42" s="37"/>
      <c r="C42" s="23"/>
      <c r="D42" s="23"/>
      <c r="E42" s="23"/>
      <c r="F42" s="31"/>
      <c r="G42" s="31"/>
      <c r="H42" s="23"/>
      <c r="I42" s="23"/>
      <c r="J42" s="23"/>
      <c r="K42" s="23"/>
      <c r="L42" s="23"/>
    </row>
    <row r="43" spans="1:12" ht="18.75" customHeight="1" x14ac:dyDescent="0.25">
      <c r="A43" s="22"/>
      <c r="B43" s="38"/>
      <c r="C43" s="22"/>
      <c r="D43" s="22"/>
      <c r="E43" s="22"/>
      <c r="F43" s="34"/>
      <c r="G43" s="34"/>
      <c r="H43" s="22"/>
      <c r="I43" s="22"/>
      <c r="J43" s="22"/>
      <c r="K43" s="22"/>
      <c r="L43" s="22"/>
    </row>
    <row r="44" spans="1:12" ht="18.75" customHeight="1" x14ac:dyDescent="0.25">
      <c r="A44" s="23"/>
      <c r="B44" s="37"/>
      <c r="C44" s="23"/>
      <c r="D44" s="23"/>
      <c r="E44" s="23"/>
      <c r="F44" s="31"/>
      <c r="G44" s="31"/>
      <c r="H44" s="23"/>
      <c r="I44" s="23"/>
      <c r="J44" s="23"/>
      <c r="K44" s="23"/>
      <c r="L44" s="23"/>
    </row>
    <row r="45" spans="1:12" ht="18.75" customHeight="1" x14ac:dyDescent="0.25">
      <c r="A45" s="22"/>
      <c r="B45" s="38"/>
      <c r="C45" s="22"/>
      <c r="D45" s="22"/>
      <c r="E45" s="22"/>
      <c r="F45" s="34"/>
      <c r="G45" s="34"/>
      <c r="H45" s="22"/>
      <c r="I45" s="22"/>
      <c r="J45" s="22"/>
      <c r="K45" s="22"/>
      <c r="L45" s="22"/>
    </row>
    <row r="46" spans="1:12" ht="18.75" customHeight="1" x14ac:dyDescent="0.25">
      <c r="A46" s="23"/>
      <c r="B46" s="37"/>
      <c r="C46" s="23"/>
      <c r="D46" s="23"/>
      <c r="E46" s="23"/>
      <c r="F46" s="31"/>
      <c r="G46" s="31"/>
      <c r="H46" s="23"/>
      <c r="I46" s="23"/>
      <c r="J46" s="23"/>
      <c r="K46" s="23"/>
      <c r="L46" s="23"/>
    </row>
    <row r="47" spans="1:12" ht="18.75" customHeight="1" x14ac:dyDescent="0.25">
      <c r="A47" s="22"/>
      <c r="B47" s="38"/>
      <c r="C47" s="22"/>
      <c r="D47" s="22"/>
      <c r="E47" s="22"/>
      <c r="F47" s="34"/>
      <c r="G47" s="34"/>
      <c r="H47" s="22"/>
      <c r="I47" s="22"/>
      <c r="J47" s="22"/>
      <c r="K47" s="22"/>
      <c r="L47" s="22"/>
    </row>
    <row r="48" spans="1:12" ht="18.75" customHeight="1" x14ac:dyDescent="0.25">
      <c r="A48" s="23"/>
      <c r="B48" s="37"/>
      <c r="C48" s="23"/>
      <c r="D48" s="23"/>
      <c r="E48" s="23"/>
      <c r="F48" s="31"/>
      <c r="G48" s="31"/>
      <c r="H48" s="23"/>
      <c r="I48" s="23"/>
      <c r="J48" s="23"/>
      <c r="K48" s="23"/>
      <c r="L48" s="23"/>
    </row>
    <row r="49" spans="1:12" ht="18.75" customHeight="1" x14ac:dyDescent="0.25">
      <c r="A49" s="22"/>
      <c r="B49" s="38"/>
      <c r="C49" s="22"/>
      <c r="D49" s="22"/>
      <c r="E49" s="22"/>
      <c r="F49" s="34"/>
      <c r="G49" s="34"/>
      <c r="H49" s="22"/>
      <c r="I49" s="22"/>
      <c r="J49" s="22"/>
      <c r="K49" s="22"/>
      <c r="L49" s="22"/>
    </row>
    <row r="50" spans="1:12" ht="18.75" customHeight="1" x14ac:dyDescent="0.25">
      <c r="A50" s="23"/>
      <c r="B50" s="37"/>
      <c r="C50" s="23"/>
      <c r="D50" s="23"/>
      <c r="E50" s="23"/>
      <c r="F50" s="31"/>
      <c r="G50" s="31"/>
      <c r="H50" s="23"/>
      <c r="I50" s="23"/>
      <c r="J50" s="23"/>
      <c r="K50" s="23"/>
      <c r="L50" s="23"/>
    </row>
    <row r="51" spans="1:12" ht="18.75" customHeight="1" x14ac:dyDescent="0.25">
      <c r="A51" s="22"/>
      <c r="B51" s="38"/>
      <c r="C51" s="22"/>
      <c r="D51" s="22"/>
      <c r="E51" s="22"/>
      <c r="F51" s="34"/>
      <c r="G51" s="34"/>
      <c r="H51" s="22"/>
      <c r="I51" s="22"/>
      <c r="J51" s="22"/>
      <c r="K51" s="22"/>
      <c r="L51" s="22"/>
    </row>
    <row r="52" spans="1:12" ht="18.75" customHeight="1" x14ac:dyDescent="0.25">
      <c r="A52" s="23"/>
      <c r="B52" s="37"/>
      <c r="C52" s="23"/>
      <c r="D52" s="23"/>
      <c r="E52" s="23"/>
      <c r="F52" s="31"/>
      <c r="G52" s="31"/>
      <c r="H52" s="23"/>
      <c r="I52" s="23"/>
      <c r="J52" s="23"/>
      <c r="K52" s="23"/>
      <c r="L52" s="23"/>
    </row>
    <row r="53" spans="1:12" ht="18.75" customHeight="1" x14ac:dyDescent="0.25">
      <c r="A53" s="22"/>
      <c r="B53" s="38"/>
      <c r="C53" s="22"/>
      <c r="D53" s="22"/>
      <c r="E53" s="22"/>
      <c r="F53" s="34"/>
      <c r="G53" s="34"/>
      <c r="H53" s="22"/>
      <c r="I53" s="22"/>
      <c r="J53" s="22"/>
      <c r="K53" s="22"/>
      <c r="L53" s="22"/>
    </row>
    <row r="54" spans="1:12" ht="18.75" customHeight="1" x14ac:dyDescent="0.25">
      <c r="A54" s="23"/>
      <c r="B54" s="37"/>
      <c r="C54" s="23"/>
      <c r="D54" s="23"/>
      <c r="E54" s="23"/>
      <c r="F54" s="31"/>
      <c r="G54" s="31"/>
      <c r="H54" s="23"/>
      <c r="I54" s="23"/>
      <c r="J54" s="23"/>
      <c r="K54" s="23"/>
      <c r="L54" s="23"/>
    </row>
    <row r="55" spans="1:12" ht="18.75" customHeight="1" x14ac:dyDescent="0.25">
      <c r="A55" s="22"/>
      <c r="B55" s="38"/>
      <c r="C55" s="22"/>
      <c r="D55" s="22"/>
      <c r="E55" s="22"/>
      <c r="F55" s="34"/>
      <c r="G55" s="34"/>
      <c r="H55" s="22"/>
      <c r="I55" s="22"/>
      <c r="J55" s="22"/>
      <c r="K55" s="22"/>
      <c r="L55" s="22"/>
    </row>
    <row r="56" spans="1:12" ht="18.75" customHeight="1" x14ac:dyDescent="0.25">
      <c r="A56" s="23"/>
      <c r="B56" s="37"/>
      <c r="C56" s="23"/>
      <c r="D56" s="23"/>
      <c r="E56" s="23"/>
      <c r="F56" s="31"/>
      <c r="G56" s="31"/>
      <c r="H56" s="23"/>
      <c r="I56" s="23"/>
      <c r="J56" s="23"/>
      <c r="K56" s="23"/>
      <c r="L56" s="23"/>
    </row>
    <row r="57" spans="1:12" ht="18.75" customHeight="1" x14ac:dyDescent="0.25">
      <c r="A57" s="22"/>
      <c r="B57" s="38"/>
      <c r="C57" s="22"/>
      <c r="D57" s="22"/>
      <c r="E57" s="22"/>
      <c r="F57" s="34"/>
      <c r="G57" s="34"/>
      <c r="H57" s="22"/>
      <c r="I57" s="22"/>
      <c r="J57" s="22"/>
      <c r="K57" s="22"/>
      <c r="L57" s="22"/>
    </row>
    <row r="58" spans="1:12" ht="18.75" customHeight="1" x14ac:dyDescent="0.25">
      <c r="A58" s="23"/>
      <c r="B58" s="37"/>
      <c r="C58" s="23"/>
      <c r="D58" s="23"/>
      <c r="E58" s="23"/>
      <c r="F58" s="31"/>
      <c r="G58" s="31"/>
      <c r="H58" s="23"/>
      <c r="I58" s="23"/>
      <c r="J58" s="23"/>
      <c r="K58" s="23"/>
      <c r="L58" s="23"/>
    </row>
    <row r="59" spans="1:12" ht="18.75" customHeight="1" x14ac:dyDescent="0.25">
      <c r="A59" s="22"/>
      <c r="B59" s="38"/>
      <c r="C59" s="22"/>
      <c r="D59" s="22"/>
      <c r="E59" s="22"/>
      <c r="F59" s="34"/>
      <c r="G59" s="34"/>
      <c r="H59" s="22"/>
      <c r="I59" s="22"/>
      <c r="J59" s="22"/>
      <c r="K59" s="22"/>
      <c r="L59" s="22"/>
    </row>
    <row r="60" spans="1:12" ht="18.75" customHeight="1" x14ac:dyDescent="0.25">
      <c r="A60" s="23"/>
      <c r="B60" s="37"/>
      <c r="C60" s="23"/>
      <c r="D60" s="23"/>
      <c r="E60" s="23"/>
      <c r="F60" s="31"/>
      <c r="G60" s="31"/>
      <c r="H60" s="23"/>
      <c r="I60" s="23"/>
      <c r="J60" s="23"/>
      <c r="K60" s="23"/>
      <c r="L60" s="23"/>
    </row>
    <row r="61" spans="1:12" ht="18.75" customHeight="1" x14ac:dyDescent="0.25">
      <c r="A61" s="22"/>
      <c r="B61" s="38"/>
      <c r="C61" s="22"/>
      <c r="D61" s="22"/>
      <c r="E61" s="22"/>
      <c r="F61" s="34"/>
      <c r="G61" s="34"/>
      <c r="H61" s="22"/>
      <c r="I61" s="22"/>
      <c r="J61" s="22"/>
      <c r="K61" s="22"/>
      <c r="L61" s="22"/>
    </row>
    <row r="62" spans="1:12" ht="18.75" customHeight="1" x14ac:dyDescent="0.25">
      <c r="A62" s="23"/>
      <c r="B62" s="37"/>
      <c r="C62" s="23"/>
      <c r="D62" s="23"/>
      <c r="E62" s="23"/>
      <c r="F62" s="31"/>
      <c r="G62" s="31"/>
      <c r="H62" s="23"/>
      <c r="I62" s="23"/>
      <c r="J62" s="23"/>
      <c r="K62" s="23"/>
      <c r="L62" s="23"/>
    </row>
    <row r="63" spans="1:12" ht="18.75" customHeight="1" x14ac:dyDescent="0.25">
      <c r="A63" s="22"/>
      <c r="B63" s="38"/>
      <c r="C63" s="22"/>
      <c r="D63" s="22"/>
      <c r="E63" s="22"/>
      <c r="F63" s="34"/>
      <c r="G63" s="34"/>
      <c r="H63" s="22"/>
      <c r="I63" s="22"/>
      <c r="J63" s="22"/>
      <c r="K63" s="22"/>
      <c r="L63" s="22"/>
    </row>
    <row r="64" spans="1:12" ht="18.75" customHeight="1" x14ac:dyDescent="0.25">
      <c r="A64" s="23"/>
      <c r="B64" s="37"/>
      <c r="C64" s="23"/>
      <c r="D64" s="23"/>
      <c r="E64" s="23"/>
      <c r="F64" s="31"/>
      <c r="G64" s="31"/>
      <c r="H64" s="23"/>
      <c r="I64" s="23"/>
      <c r="J64" s="23"/>
      <c r="K64" s="23"/>
      <c r="L64" s="23"/>
    </row>
    <row r="65" spans="1:12" ht="18.75" customHeight="1" x14ac:dyDescent="0.25">
      <c r="A65" s="22"/>
      <c r="B65" s="38"/>
      <c r="C65" s="22"/>
      <c r="D65" s="22"/>
      <c r="E65" s="22"/>
      <c r="F65" s="34"/>
      <c r="G65" s="34"/>
      <c r="H65" s="22"/>
      <c r="I65" s="22"/>
      <c r="J65" s="22"/>
      <c r="K65" s="22"/>
      <c r="L65" s="22"/>
    </row>
    <row r="66" spans="1:12" ht="18.75" customHeight="1" x14ac:dyDescent="0.25">
      <c r="A66" s="23"/>
      <c r="B66" s="37"/>
      <c r="C66" s="23"/>
      <c r="D66" s="23"/>
      <c r="E66" s="23"/>
      <c r="F66" s="31"/>
      <c r="G66" s="31"/>
      <c r="H66" s="23"/>
      <c r="I66" s="23"/>
      <c r="J66" s="23"/>
      <c r="K66" s="23"/>
      <c r="L66" s="23"/>
    </row>
    <row r="67" spans="1:12" ht="18.75" customHeight="1" x14ac:dyDescent="0.25">
      <c r="A67" s="22"/>
      <c r="B67" s="38"/>
      <c r="C67" s="22"/>
      <c r="D67" s="22"/>
      <c r="E67" s="22"/>
      <c r="F67" s="34"/>
      <c r="G67" s="34"/>
      <c r="H67" s="22"/>
      <c r="I67" s="22"/>
      <c r="J67" s="22"/>
      <c r="K67" s="22"/>
      <c r="L67" s="22"/>
    </row>
    <row r="68" spans="1:12" ht="18.75" customHeight="1" x14ac:dyDescent="0.25">
      <c r="A68" s="23"/>
      <c r="B68" s="37"/>
      <c r="C68" s="23"/>
      <c r="D68" s="23"/>
      <c r="E68" s="23"/>
      <c r="F68" s="31"/>
      <c r="G68" s="31"/>
      <c r="H68" s="23"/>
      <c r="I68" s="23"/>
      <c r="J68" s="23"/>
      <c r="K68" s="23"/>
      <c r="L68" s="23"/>
    </row>
    <row r="69" spans="1:12" ht="18.75" customHeight="1" x14ac:dyDescent="0.25">
      <c r="A69" s="22"/>
      <c r="B69" s="38"/>
      <c r="C69" s="22"/>
      <c r="D69" s="22"/>
      <c r="E69" s="22"/>
      <c r="F69" s="34"/>
      <c r="G69" s="34"/>
      <c r="H69" s="22"/>
      <c r="I69" s="22"/>
      <c r="J69" s="22"/>
      <c r="K69" s="22"/>
      <c r="L69" s="22"/>
    </row>
    <row r="70" spans="1:12" ht="18.75" customHeight="1" x14ac:dyDescent="0.25">
      <c r="A70" s="23"/>
      <c r="B70" s="37"/>
      <c r="C70" s="23"/>
      <c r="D70" s="23"/>
      <c r="E70" s="23"/>
      <c r="F70" s="31"/>
      <c r="G70" s="31"/>
      <c r="H70" s="23"/>
      <c r="I70" s="23"/>
      <c r="J70" s="23"/>
      <c r="K70" s="23"/>
      <c r="L70" s="23"/>
    </row>
    <row r="71" spans="1:12" ht="18.75" customHeight="1" x14ac:dyDescent="0.25">
      <c r="A71" s="22"/>
      <c r="B71" s="38"/>
      <c r="C71" s="22"/>
      <c r="D71" s="22"/>
      <c r="E71" s="22"/>
      <c r="F71" s="34"/>
      <c r="G71" s="34"/>
      <c r="H71" s="22"/>
      <c r="I71" s="22"/>
      <c r="J71" s="22"/>
      <c r="K71" s="22"/>
      <c r="L71" s="22"/>
    </row>
    <row r="72" spans="1:12" ht="18.75" customHeight="1" x14ac:dyDescent="0.25">
      <c r="A72" s="23"/>
      <c r="B72" s="37"/>
      <c r="C72" s="23"/>
      <c r="D72" s="23"/>
      <c r="E72" s="23"/>
      <c r="F72" s="31"/>
      <c r="G72" s="31"/>
      <c r="H72" s="23"/>
      <c r="I72" s="23"/>
      <c r="J72" s="23"/>
      <c r="K72" s="23"/>
      <c r="L72" s="23"/>
    </row>
    <row r="73" spans="1:12" ht="18.75" customHeight="1" x14ac:dyDescent="0.25">
      <c r="A73" s="22"/>
      <c r="B73" s="38"/>
      <c r="C73" s="22"/>
      <c r="D73" s="22"/>
      <c r="E73" s="22"/>
      <c r="F73" s="34"/>
      <c r="G73" s="34"/>
      <c r="H73" s="22"/>
      <c r="I73" s="22"/>
      <c r="J73" s="22"/>
      <c r="K73" s="22"/>
      <c r="L73" s="22"/>
    </row>
    <row r="74" spans="1:12" ht="18.75" customHeight="1" x14ac:dyDescent="0.25">
      <c r="A74" s="23"/>
      <c r="B74" s="37"/>
      <c r="C74" s="23"/>
      <c r="D74" s="23"/>
      <c r="E74" s="23"/>
      <c r="F74" s="31"/>
      <c r="G74" s="31"/>
      <c r="H74" s="23"/>
      <c r="I74" s="23"/>
      <c r="J74" s="23"/>
      <c r="K74" s="23"/>
      <c r="L74" s="23"/>
    </row>
    <row r="75" spans="1:12" ht="18.75" customHeight="1" x14ac:dyDescent="0.25">
      <c r="A75" s="22"/>
      <c r="B75" s="38"/>
      <c r="C75" s="22"/>
      <c r="D75" s="22"/>
      <c r="E75" s="22"/>
      <c r="F75" s="34"/>
      <c r="G75" s="34"/>
      <c r="H75" s="22"/>
      <c r="I75" s="22"/>
      <c r="J75" s="22"/>
      <c r="K75" s="22"/>
      <c r="L75" s="22"/>
    </row>
    <row r="76" spans="1:12" ht="18.75" customHeight="1" x14ac:dyDescent="0.25">
      <c r="A76" s="23"/>
      <c r="B76" s="37"/>
      <c r="C76" s="23"/>
      <c r="D76" s="23"/>
      <c r="E76" s="23"/>
      <c r="F76" s="31"/>
      <c r="G76" s="31"/>
      <c r="H76" s="23"/>
      <c r="I76" s="23"/>
      <c r="J76" s="23"/>
      <c r="K76" s="23"/>
      <c r="L76" s="23"/>
    </row>
    <row r="77" spans="1:12" ht="18.75" customHeight="1" x14ac:dyDescent="0.25">
      <c r="A77" s="22"/>
      <c r="B77" s="38"/>
      <c r="C77" s="22"/>
      <c r="D77" s="22"/>
      <c r="E77" s="22"/>
      <c r="F77" s="34"/>
      <c r="G77" s="34"/>
      <c r="H77" s="22"/>
      <c r="I77" s="22"/>
      <c r="J77" s="22"/>
      <c r="K77" s="22"/>
      <c r="L77" s="22"/>
    </row>
    <row r="78" spans="1:12" ht="18.75" customHeight="1" x14ac:dyDescent="0.25">
      <c r="A78" s="23"/>
      <c r="B78" s="37"/>
      <c r="C78" s="23"/>
      <c r="D78" s="23"/>
      <c r="E78" s="23"/>
      <c r="F78" s="31"/>
      <c r="G78" s="31"/>
      <c r="H78" s="23"/>
      <c r="I78" s="23"/>
      <c r="J78" s="23"/>
      <c r="K78" s="23"/>
      <c r="L78" s="23"/>
    </row>
    <row r="79" spans="1:12" ht="18.75" customHeight="1" x14ac:dyDescent="0.25">
      <c r="A79" s="22"/>
      <c r="B79" s="38"/>
      <c r="C79" s="22"/>
      <c r="D79" s="22"/>
      <c r="E79" s="22"/>
      <c r="F79" s="34"/>
      <c r="G79" s="34"/>
      <c r="H79" s="22"/>
      <c r="I79" s="22"/>
      <c r="J79" s="22"/>
      <c r="K79" s="22"/>
      <c r="L79" s="22"/>
    </row>
    <row r="80" spans="1:12" ht="18.75" customHeight="1" x14ac:dyDescent="0.25">
      <c r="A80" s="23"/>
      <c r="B80" s="37"/>
      <c r="C80" s="23"/>
      <c r="D80" s="23"/>
      <c r="E80" s="23"/>
      <c r="F80" s="31"/>
      <c r="G80" s="31"/>
      <c r="H80" s="23"/>
      <c r="I80" s="23"/>
      <c r="J80" s="23"/>
      <c r="K80" s="23"/>
      <c r="L80" s="23"/>
    </row>
    <row r="81" spans="1:12" ht="18.75" customHeight="1" x14ac:dyDescent="0.25">
      <c r="A81" s="22"/>
      <c r="B81" s="38"/>
      <c r="C81" s="22"/>
      <c r="D81" s="22"/>
      <c r="E81" s="22"/>
      <c r="F81" s="34"/>
      <c r="G81" s="34"/>
      <c r="H81" s="22"/>
      <c r="I81" s="22"/>
      <c r="J81" s="22"/>
      <c r="K81" s="22"/>
      <c r="L81" s="22"/>
    </row>
    <row r="82" spans="1:12" ht="18.75" customHeight="1" x14ac:dyDescent="0.25">
      <c r="A82" s="23"/>
      <c r="B82" s="37"/>
      <c r="C82" s="23"/>
      <c r="D82" s="23"/>
      <c r="E82" s="23"/>
      <c r="F82" s="31"/>
      <c r="G82" s="31"/>
      <c r="H82" s="23"/>
      <c r="I82" s="23"/>
      <c r="J82" s="23"/>
      <c r="K82" s="23"/>
      <c r="L82" s="23"/>
    </row>
    <row r="83" spans="1:12" ht="18.75" customHeight="1" x14ac:dyDescent="0.25">
      <c r="A83" s="22"/>
      <c r="B83" s="38"/>
      <c r="C83" s="22"/>
      <c r="D83" s="22"/>
      <c r="E83" s="22"/>
      <c r="F83" s="34"/>
      <c r="G83" s="34"/>
      <c r="H83" s="22"/>
      <c r="I83" s="22"/>
      <c r="J83" s="22"/>
      <c r="K83" s="22"/>
      <c r="L83" s="22"/>
    </row>
    <row r="84" spans="1:12" ht="18.75" customHeight="1" x14ac:dyDescent="0.25">
      <c r="A84" s="23"/>
      <c r="B84" s="37"/>
      <c r="C84" s="23"/>
      <c r="D84" s="23"/>
      <c r="E84" s="23"/>
      <c r="F84" s="31"/>
      <c r="G84" s="31"/>
      <c r="H84" s="23"/>
      <c r="I84" s="23"/>
      <c r="J84" s="23"/>
      <c r="K84" s="23"/>
      <c r="L84" s="23"/>
    </row>
    <row r="85" spans="1:12" ht="18.75" customHeight="1" x14ac:dyDescent="0.25">
      <c r="A85" s="22"/>
      <c r="B85" s="38"/>
      <c r="C85" s="22"/>
      <c r="D85" s="22"/>
      <c r="E85" s="22"/>
      <c r="F85" s="34"/>
      <c r="G85" s="34"/>
      <c r="H85" s="22"/>
      <c r="I85" s="22"/>
      <c r="J85" s="22"/>
      <c r="K85" s="22"/>
      <c r="L85" s="22"/>
    </row>
    <row r="86" spans="1:12" ht="18.75" customHeight="1" x14ac:dyDescent="0.25">
      <c r="A86" s="23"/>
      <c r="B86" s="37"/>
      <c r="C86" s="23"/>
      <c r="D86" s="23"/>
      <c r="E86" s="23"/>
      <c r="F86" s="31"/>
      <c r="G86" s="31"/>
      <c r="H86" s="23"/>
      <c r="I86" s="23"/>
      <c r="J86" s="23"/>
      <c r="K86" s="23"/>
      <c r="L86" s="23"/>
    </row>
    <row r="87" spans="1:12" ht="18.75" customHeight="1" x14ac:dyDescent="0.25">
      <c r="A87" s="22"/>
      <c r="B87" s="38"/>
      <c r="C87" s="22"/>
      <c r="D87" s="22"/>
      <c r="E87" s="22"/>
      <c r="F87" s="34"/>
      <c r="G87" s="34"/>
      <c r="H87" s="22"/>
      <c r="I87" s="22"/>
      <c r="J87" s="22"/>
      <c r="K87" s="22"/>
      <c r="L87" s="22"/>
    </row>
    <row r="88" spans="1:12" ht="18.75" customHeight="1" x14ac:dyDescent="0.25">
      <c r="A88" s="23"/>
      <c r="B88" s="37"/>
      <c r="C88" s="23"/>
      <c r="D88" s="23"/>
      <c r="E88" s="23"/>
      <c r="F88" s="31"/>
      <c r="G88" s="31"/>
      <c r="H88" s="23"/>
      <c r="I88" s="23"/>
      <c r="J88" s="23"/>
      <c r="K88" s="23"/>
      <c r="L88" s="23"/>
    </row>
    <row r="89" spans="1:12" ht="18.75" customHeight="1" x14ac:dyDescent="0.25">
      <c r="A89" s="22"/>
      <c r="B89" s="38"/>
      <c r="C89" s="22"/>
      <c r="D89" s="22"/>
      <c r="E89" s="22"/>
      <c r="F89" s="34"/>
      <c r="G89" s="34"/>
      <c r="H89" s="22"/>
      <c r="I89" s="22"/>
      <c r="J89" s="22"/>
      <c r="K89" s="22"/>
      <c r="L89" s="22"/>
    </row>
    <row r="90" spans="1:12" ht="18.75" customHeight="1" x14ac:dyDescent="0.25">
      <c r="A90" s="23"/>
      <c r="B90" s="37"/>
      <c r="C90" s="23"/>
      <c r="D90" s="23"/>
      <c r="E90" s="23"/>
      <c r="F90" s="31"/>
      <c r="G90" s="31"/>
      <c r="H90" s="23"/>
      <c r="I90" s="23"/>
      <c r="J90" s="23"/>
      <c r="K90" s="23"/>
      <c r="L90" s="23"/>
    </row>
    <row r="91" spans="1:12" ht="18.75" customHeight="1" x14ac:dyDescent="0.25">
      <c r="A91" s="22"/>
      <c r="B91" s="38"/>
      <c r="C91" s="22"/>
      <c r="D91" s="22"/>
      <c r="E91" s="22"/>
      <c r="F91" s="34"/>
      <c r="G91" s="34"/>
      <c r="H91" s="22"/>
      <c r="I91" s="22"/>
      <c r="J91" s="22"/>
      <c r="K91" s="22"/>
      <c r="L91" s="22"/>
    </row>
    <row r="92" spans="1:12" ht="18.75" customHeight="1" x14ac:dyDescent="0.25">
      <c r="A92" s="23"/>
      <c r="B92" s="37"/>
      <c r="C92" s="23"/>
      <c r="D92" s="23"/>
      <c r="E92" s="23"/>
      <c r="F92" s="31"/>
      <c r="G92" s="31"/>
      <c r="H92" s="23"/>
      <c r="I92" s="23"/>
      <c r="J92" s="23"/>
      <c r="K92" s="23"/>
      <c r="L92" s="23"/>
    </row>
    <row r="93" spans="1:12" ht="18.75" customHeight="1" x14ac:dyDescent="0.25">
      <c r="A93" s="22"/>
      <c r="B93" s="38"/>
      <c r="C93" s="22"/>
      <c r="D93" s="22"/>
      <c r="E93" s="22"/>
      <c r="F93" s="34"/>
      <c r="G93" s="34"/>
      <c r="H93" s="22"/>
      <c r="I93" s="22"/>
      <c r="J93" s="22"/>
      <c r="K93" s="22"/>
      <c r="L93" s="22"/>
    </row>
    <row r="94" spans="1:12" ht="18.75" customHeight="1" x14ac:dyDescent="0.25">
      <c r="A94" s="23"/>
      <c r="B94" s="37"/>
      <c r="C94" s="23"/>
      <c r="D94" s="23"/>
      <c r="E94" s="23"/>
      <c r="F94" s="31"/>
      <c r="G94" s="31"/>
      <c r="H94" s="23"/>
      <c r="I94" s="23"/>
      <c r="J94" s="23"/>
      <c r="K94" s="23"/>
      <c r="L94" s="23"/>
    </row>
    <row r="95" spans="1:12" ht="18.75" customHeight="1" x14ac:dyDescent="0.25">
      <c r="A95" s="22"/>
      <c r="B95" s="38"/>
      <c r="C95" s="22"/>
      <c r="D95" s="22"/>
      <c r="E95" s="22"/>
      <c r="F95" s="34"/>
      <c r="G95" s="34"/>
      <c r="H95" s="22"/>
      <c r="I95" s="22"/>
      <c r="J95" s="22"/>
      <c r="K95" s="22"/>
      <c r="L95" s="22"/>
    </row>
    <row r="96" spans="1:12" ht="18.75" customHeight="1" x14ac:dyDescent="0.25">
      <c r="A96" s="23"/>
      <c r="B96" s="37"/>
      <c r="C96" s="23"/>
      <c r="D96" s="23"/>
      <c r="E96" s="23"/>
      <c r="F96" s="31"/>
      <c r="G96" s="31"/>
      <c r="H96" s="23"/>
      <c r="I96" s="23"/>
      <c r="J96" s="23"/>
      <c r="K96" s="23"/>
      <c r="L96" s="23"/>
    </row>
    <row r="97" spans="1:12" ht="18.75" customHeight="1" x14ac:dyDescent="0.25">
      <c r="A97" s="22"/>
      <c r="B97" s="38"/>
      <c r="C97" s="22"/>
      <c r="D97" s="22"/>
      <c r="E97" s="22"/>
      <c r="F97" s="34"/>
      <c r="G97" s="34"/>
      <c r="H97" s="22"/>
      <c r="I97" s="22"/>
      <c r="J97" s="22"/>
      <c r="K97" s="22"/>
      <c r="L97" s="22"/>
    </row>
    <row r="98" spans="1:12" ht="18.75" customHeight="1" x14ac:dyDescent="0.25">
      <c r="A98" s="23"/>
      <c r="B98" s="37"/>
      <c r="C98" s="23"/>
      <c r="D98" s="23"/>
      <c r="E98" s="23"/>
      <c r="F98" s="31"/>
      <c r="G98" s="31"/>
      <c r="H98" s="23"/>
      <c r="I98" s="23"/>
      <c r="J98" s="23"/>
      <c r="K98" s="23"/>
      <c r="L98" s="23"/>
    </row>
    <row r="99" spans="1:12" ht="18.75" customHeight="1" x14ac:dyDescent="0.25">
      <c r="A99" s="22"/>
      <c r="B99" s="38"/>
      <c r="C99" s="22"/>
      <c r="D99" s="22"/>
      <c r="E99" s="22"/>
      <c r="F99" s="34"/>
      <c r="G99" s="34"/>
      <c r="H99" s="22"/>
      <c r="I99" s="22"/>
      <c r="J99" s="22"/>
      <c r="K99" s="22"/>
      <c r="L99" s="22"/>
    </row>
    <row r="100" spans="1:12" ht="18.75" customHeight="1" x14ac:dyDescent="0.25">
      <c r="A100" s="23"/>
      <c r="B100" s="37"/>
      <c r="C100" s="23"/>
      <c r="D100" s="23"/>
      <c r="E100" s="23"/>
      <c r="F100" s="31"/>
      <c r="G100" s="31"/>
      <c r="H100" s="23"/>
      <c r="I100" s="23"/>
      <c r="J100" s="23"/>
      <c r="K100" s="23"/>
      <c r="L100" s="23"/>
    </row>
    <row r="101" spans="1:12" ht="18.75" customHeight="1" x14ac:dyDescent="0.25">
      <c r="A101" s="22"/>
      <c r="B101" s="38"/>
      <c r="C101" s="22"/>
      <c r="D101" s="22"/>
      <c r="E101" s="22"/>
      <c r="F101" s="34"/>
      <c r="G101" s="34"/>
      <c r="H101" s="22"/>
      <c r="I101" s="22"/>
      <c r="J101" s="22"/>
      <c r="K101" s="22"/>
      <c r="L101" s="22"/>
    </row>
    <row r="102" spans="1:12" ht="18.75" customHeight="1" x14ac:dyDescent="0.25">
      <c r="A102" s="23"/>
      <c r="B102" s="37"/>
      <c r="C102" s="23"/>
      <c r="D102" s="23"/>
      <c r="E102" s="23"/>
      <c r="F102" s="31"/>
      <c r="G102" s="31"/>
      <c r="H102" s="23"/>
      <c r="I102" s="23"/>
      <c r="J102" s="23"/>
      <c r="K102" s="23"/>
      <c r="L102" s="23"/>
    </row>
    <row r="103" spans="1:12" ht="18.75" customHeight="1" x14ac:dyDescent="0.25">
      <c r="A103" s="22"/>
      <c r="B103" s="38"/>
      <c r="C103" s="22"/>
      <c r="D103" s="22"/>
      <c r="E103" s="22"/>
      <c r="F103" s="34"/>
      <c r="G103" s="34"/>
      <c r="H103" s="22"/>
      <c r="I103" s="22"/>
      <c r="J103" s="22"/>
      <c r="K103" s="22"/>
      <c r="L103" s="22"/>
    </row>
  </sheetData>
  <mergeCells count="5">
    <mergeCell ref="A1:L1"/>
    <mergeCell ref="A2:B2"/>
    <mergeCell ref="D2:E2"/>
    <mergeCell ref="G2:H2"/>
    <mergeCell ref="J2:K2"/>
  </mergeCells>
  <dataValidations count="1">
    <dataValidation type="list" allowBlank="1" sqref="E4:E103" xr:uid="{00000000-0002-0000-0200-000000000000}">
      <formula1>"Savings Deposit,Loan Disbursement,Loan Repayment,Interest Payment,Fee,Withdrawal"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4A148C"/>
  </sheetPr>
  <dimension ref="A1:L53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sqref="A1:L1"/>
    </sheetView>
  </sheetViews>
  <sheetFormatPr defaultColWidth="8.7109375" defaultRowHeight="15" x14ac:dyDescent="0.25"/>
  <cols>
    <col min="1" max="1" width="16" customWidth="1"/>
    <col min="2" max="2" width="22" customWidth="1"/>
    <col min="3" max="5" width="16" customWidth="1"/>
    <col min="6" max="12" width="14" customWidth="1"/>
  </cols>
  <sheetData>
    <row r="1" spans="1:12" ht="39.75" customHeight="1" x14ac:dyDescent="0.25">
      <c r="A1" s="94" t="s">
        <v>68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</row>
    <row r="2" spans="1:12" ht="30" customHeight="1" x14ac:dyDescent="0.25">
      <c r="A2" s="92" t="s">
        <v>69</v>
      </c>
      <c r="B2" s="92"/>
      <c r="C2" s="35"/>
      <c r="D2" s="92" t="s">
        <v>70</v>
      </c>
      <c r="E2" s="92"/>
      <c r="F2" s="35"/>
      <c r="G2" s="92" t="s">
        <v>61</v>
      </c>
      <c r="H2" s="92"/>
      <c r="I2" s="35"/>
      <c r="J2" s="92" t="s">
        <v>71</v>
      </c>
      <c r="K2" s="92"/>
      <c r="L2" s="35"/>
    </row>
    <row r="3" spans="1:12" ht="43.5" customHeight="1" x14ac:dyDescent="0.25">
      <c r="A3" s="24" t="s">
        <v>72</v>
      </c>
      <c r="B3" s="24" t="s">
        <v>23</v>
      </c>
      <c r="C3" s="24" t="s">
        <v>24</v>
      </c>
      <c r="D3" s="24" t="s">
        <v>73</v>
      </c>
      <c r="E3" s="24" t="s">
        <v>74</v>
      </c>
      <c r="F3" s="24" t="s">
        <v>75</v>
      </c>
      <c r="G3" s="24" t="s">
        <v>76</v>
      </c>
      <c r="H3" s="24" t="s">
        <v>77</v>
      </c>
      <c r="I3" s="24" t="s">
        <v>78</v>
      </c>
      <c r="J3" s="24" t="s">
        <v>79</v>
      </c>
      <c r="K3" s="24" t="s">
        <v>80</v>
      </c>
      <c r="L3" s="24" t="s">
        <v>81</v>
      </c>
    </row>
    <row r="4" spans="1:12" ht="19.5" customHeight="1" x14ac:dyDescent="0.25">
      <c r="A4" s="26"/>
      <c r="B4" s="26"/>
      <c r="C4" s="26"/>
      <c r="D4" s="39"/>
      <c r="E4" s="40"/>
      <c r="F4" s="40"/>
      <c r="G4" s="40"/>
      <c r="H4" s="26"/>
      <c r="I4" s="40" t="str">
        <f t="shared" ref="I4:I35" si="0">IF(E4=0,"",IFERROR(-PMT(H4/100/12,12,-E4),E4/12))</f>
        <v/>
      </c>
      <c r="J4" s="40"/>
      <c r="K4" s="40" t="str">
        <f t="shared" ref="K4:K35" si="1">IF(E4=0,"",MAX(0,E4-J4))</f>
        <v/>
      </c>
      <c r="L4" s="26"/>
    </row>
    <row r="5" spans="1:12" ht="19.5" customHeight="1" x14ac:dyDescent="0.25">
      <c r="A5" s="22"/>
      <c r="B5" s="22"/>
      <c r="C5" s="22"/>
      <c r="D5" s="33"/>
      <c r="E5" s="34"/>
      <c r="F5" s="34"/>
      <c r="G5" s="34"/>
      <c r="H5" s="22"/>
      <c r="I5" s="34" t="str">
        <f t="shared" si="0"/>
        <v/>
      </c>
      <c r="J5" s="34"/>
      <c r="K5" s="34" t="str">
        <f t="shared" si="1"/>
        <v/>
      </c>
      <c r="L5" s="22"/>
    </row>
    <row r="6" spans="1:12" ht="19.5" customHeight="1" x14ac:dyDescent="0.25">
      <c r="A6" s="26"/>
      <c r="B6" s="26"/>
      <c r="C6" s="26"/>
      <c r="D6" s="39"/>
      <c r="E6" s="40"/>
      <c r="F6" s="40"/>
      <c r="G6" s="40"/>
      <c r="H6" s="26"/>
      <c r="I6" s="40" t="str">
        <f t="shared" si="0"/>
        <v/>
      </c>
      <c r="J6" s="40"/>
      <c r="K6" s="40" t="str">
        <f t="shared" si="1"/>
        <v/>
      </c>
      <c r="L6" s="26"/>
    </row>
    <row r="7" spans="1:12" ht="19.5" customHeight="1" x14ac:dyDescent="0.25">
      <c r="A7" s="22"/>
      <c r="B7" s="22"/>
      <c r="C7" s="22"/>
      <c r="D7" s="33"/>
      <c r="E7" s="34"/>
      <c r="F7" s="34"/>
      <c r="G7" s="34"/>
      <c r="H7" s="22"/>
      <c r="I7" s="34" t="str">
        <f t="shared" si="0"/>
        <v/>
      </c>
      <c r="J7" s="34"/>
      <c r="K7" s="34" t="str">
        <f t="shared" si="1"/>
        <v/>
      </c>
      <c r="L7" s="22"/>
    </row>
    <row r="8" spans="1:12" ht="19.5" customHeight="1" x14ac:dyDescent="0.25">
      <c r="A8" s="26"/>
      <c r="B8" s="26"/>
      <c r="C8" s="26"/>
      <c r="D8" s="39"/>
      <c r="E8" s="40"/>
      <c r="F8" s="40"/>
      <c r="G8" s="40"/>
      <c r="H8" s="26"/>
      <c r="I8" s="40" t="str">
        <f t="shared" si="0"/>
        <v/>
      </c>
      <c r="J8" s="40"/>
      <c r="K8" s="40" t="str">
        <f t="shared" si="1"/>
        <v/>
      </c>
      <c r="L8" s="26"/>
    </row>
    <row r="9" spans="1:12" ht="19.5" customHeight="1" x14ac:dyDescent="0.25">
      <c r="A9" s="22"/>
      <c r="B9" s="22"/>
      <c r="C9" s="22"/>
      <c r="D9" s="33"/>
      <c r="E9" s="34"/>
      <c r="F9" s="34"/>
      <c r="G9" s="34"/>
      <c r="H9" s="22"/>
      <c r="I9" s="34" t="str">
        <f t="shared" si="0"/>
        <v/>
      </c>
      <c r="J9" s="34"/>
      <c r="K9" s="34" t="str">
        <f t="shared" si="1"/>
        <v/>
      </c>
      <c r="L9" s="22"/>
    </row>
    <row r="10" spans="1:12" ht="19.5" customHeight="1" x14ac:dyDescent="0.25">
      <c r="A10" s="26"/>
      <c r="B10" s="26"/>
      <c r="C10" s="26"/>
      <c r="D10" s="39"/>
      <c r="E10" s="40"/>
      <c r="F10" s="40"/>
      <c r="G10" s="40"/>
      <c r="H10" s="26"/>
      <c r="I10" s="40" t="str">
        <f t="shared" si="0"/>
        <v/>
      </c>
      <c r="J10" s="40"/>
      <c r="K10" s="40" t="str">
        <f t="shared" si="1"/>
        <v/>
      </c>
      <c r="L10" s="26"/>
    </row>
    <row r="11" spans="1:12" ht="19.5" customHeight="1" x14ac:dyDescent="0.25">
      <c r="A11" s="22"/>
      <c r="B11" s="22"/>
      <c r="C11" s="22"/>
      <c r="D11" s="33"/>
      <c r="E11" s="34"/>
      <c r="F11" s="34"/>
      <c r="G11" s="34"/>
      <c r="H11" s="22"/>
      <c r="I11" s="34" t="str">
        <f t="shared" si="0"/>
        <v/>
      </c>
      <c r="J11" s="34"/>
      <c r="K11" s="34" t="str">
        <f t="shared" si="1"/>
        <v/>
      </c>
      <c r="L11" s="22"/>
    </row>
    <row r="12" spans="1:12" ht="19.5" customHeight="1" x14ac:dyDescent="0.25">
      <c r="A12" s="26"/>
      <c r="B12" s="26"/>
      <c r="C12" s="26"/>
      <c r="D12" s="39"/>
      <c r="E12" s="40"/>
      <c r="F12" s="40"/>
      <c r="G12" s="40"/>
      <c r="H12" s="26"/>
      <c r="I12" s="40" t="str">
        <f t="shared" si="0"/>
        <v/>
      </c>
      <c r="J12" s="40"/>
      <c r="K12" s="40" t="str">
        <f t="shared" si="1"/>
        <v/>
      </c>
      <c r="L12" s="26"/>
    </row>
    <row r="13" spans="1:12" ht="19.5" customHeight="1" x14ac:dyDescent="0.25">
      <c r="A13" s="22"/>
      <c r="B13" s="22"/>
      <c r="C13" s="22"/>
      <c r="D13" s="33"/>
      <c r="E13" s="34"/>
      <c r="F13" s="34"/>
      <c r="G13" s="34"/>
      <c r="H13" s="22"/>
      <c r="I13" s="34" t="str">
        <f t="shared" si="0"/>
        <v/>
      </c>
      <c r="J13" s="34"/>
      <c r="K13" s="34" t="str">
        <f t="shared" si="1"/>
        <v/>
      </c>
      <c r="L13" s="22"/>
    </row>
    <row r="14" spans="1:12" ht="19.5" customHeight="1" x14ac:dyDescent="0.25">
      <c r="A14" s="26"/>
      <c r="B14" s="26"/>
      <c r="C14" s="26"/>
      <c r="D14" s="39"/>
      <c r="E14" s="40"/>
      <c r="F14" s="40"/>
      <c r="G14" s="40"/>
      <c r="H14" s="26"/>
      <c r="I14" s="40" t="str">
        <f t="shared" si="0"/>
        <v/>
      </c>
      <c r="J14" s="40"/>
      <c r="K14" s="40" t="str">
        <f t="shared" si="1"/>
        <v/>
      </c>
      <c r="L14" s="26"/>
    </row>
    <row r="15" spans="1:12" ht="19.5" customHeight="1" x14ac:dyDescent="0.25">
      <c r="A15" s="22"/>
      <c r="B15" s="22"/>
      <c r="C15" s="22"/>
      <c r="D15" s="33"/>
      <c r="E15" s="34"/>
      <c r="F15" s="34"/>
      <c r="G15" s="34"/>
      <c r="H15" s="22"/>
      <c r="I15" s="34" t="str">
        <f t="shared" si="0"/>
        <v/>
      </c>
      <c r="J15" s="34"/>
      <c r="K15" s="34" t="str">
        <f t="shared" si="1"/>
        <v/>
      </c>
      <c r="L15" s="22"/>
    </row>
    <row r="16" spans="1:12" ht="19.5" customHeight="1" x14ac:dyDescent="0.25">
      <c r="A16" s="26"/>
      <c r="B16" s="26"/>
      <c r="C16" s="26"/>
      <c r="D16" s="39"/>
      <c r="E16" s="40"/>
      <c r="F16" s="40"/>
      <c r="G16" s="40"/>
      <c r="H16" s="26"/>
      <c r="I16" s="40" t="str">
        <f t="shared" si="0"/>
        <v/>
      </c>
      <c r="J16" s="40"/>
      <c r="K16" s="40" t="str">
        <f t="shared" si="1"/>
        <v/>
      </c>
      <c r="L16" s="26"/>
    </row>
    <row r="17" spans="1:12" ht="19.5" customHeight="1" x14ac:dyDescent="0.25">
      <c r="A17" s="22"/>
      <c r="B17" s="22"/>
      <c r="C17" s="22"/>
      <c r="D17" s="33"/>
      <c r="E17" s="34"/>
      <c r="F17" s="34"/>
      <c r="G17" s="34"/>
      <c r="H17" s="22"/>
      <c r="I17" s="34" t="str">
        <f t="shared" si="0"/>
        <v/>
      </c>
      <c r="J17" s="34"/>
      <c r="K17" s="34" t="str">
        <f t="shared" si="1"/>
        <v/>
      </c>
      <c r="L17" s="22"/>
    </row>
    <row r="18" spans="1:12" ht="19.5" customHeight="1" x14ac:dyDescent="0.25">
      <c r="A18" s="26"/>
      <c r="B18" s="26"/>
      <c r="C18" s="26"/>
      <c r="D18" s="39"/>
      <c r="E18" s="40"/>
      <c r="F18" s="40"/>
      <c r="G18" s="40"/>
      <c r="H18" s="26"/>
      <c r="I18" s="40" t="str">
        <f t="shared" si="0"/>
        <v/>
      </c>
      <c r="J18" s="40"/>
      <c r="K18" s="40" t="str">
        <f t="shared" si="1"/>
        <v/>
      </c>
      <c r="L18" s="26"/>
    </row>
    <row r="19" spans="1:12" ht="19.5" customHeight="1" x14ac:dyDescent="0.25">
      <c r="A19" s="22"/>
      <c r="B19" s="22"/>
      <c r="C19" s="22"/>
      <c r="D19" s="33"/>
      <c r="E19" s="34"/>
      <c r="F19" s="34"/>
      <c r="G19" s="34"/>
      <c r="H19" s="22"/>
      <c r="I19" s="34" t="str">
        <f t="shared" si="0"/>
        <v/>
      </c>
      <c r="J19" s="34"/>
      <c r="K19" s="34" t="str">
        <f t="shared" si="1"/>
        <v/>
      </c>
      <c r="L19" s="22"/>
    </row>
    <row r="20" spans="1:12" ht="19.5" customHeight="1" x14ac:dyDescent="0.25">
      <c r="A20" s="26"/>
      <c r="B20" s="26"/>
      <c r="C20" s="26"/>
      <c r="D20" s="39"/>
      <c r="E20" s="40"/>
      <c r="F20" s="40"/>
      <c r="G20" s="40"/>
      <c r="H20" s="26"/>
      <c r="I20" s="40" t="str">
        <f t="shared" si="0"/>
        <v/>
      </c>
      <c r="J20" s="40"/>
      <c r="K20" s="40" t="str">
        <f t="shared" si="1"/>
        <v/>
      </c>
      <c r="L20" s="26"/>
    </row>
    <row r="21" spans="1:12" ht="19.5" customHeight="1" x14ac:dyDescent="0.25">
      <c r="A21" s="22"/>
      <c r="B21" s="22"/>
      <c r="C21" s="22"/>
      <c r="D21" s="33"/>
      <c r="E21" s="34"/>
      <c r="F21" s="34"/>
      <c r="G21" s="34"/>
      <c r="H21" s="22"/>
      <c r="I21" s="34" t="str">
        <f t="shared" si="0"/>
        <v/>
      </c>
      <c r="J21" s="34"/>
      <c r="K21" s="34" t="str">
        <f t="shared" si="1"/>
        <v/>
      </c>
      <c r="L21" s="22"/>
    </row>
    <row r="22" spans="1:12" ht="19.5" customHeight="1" x14ac:dyDescent="0.25">
      <c r="A22" s="26"/>
      <c r="B22" s="26"/>
      <c r="C22" s="26"/>
      <c r="D22" s="39"/>
      <c r="E22" s="40"/>
      <c r="F22" s="40"/>
      <c r="G22" s="40"/>
      <c r="H22" s="26"/>
      <c r="I22" s="40" t="str">
        <f t="shared" si="0"/>
        <v/>
      </c>
      <c r="J22" s="40"/>
      <c r="K22" s="40" t="str">
        <f t="shared" si="1"/>
        <v/>
      </c>
      <c r="L22" s="26"/>
    </row>
    <row r="23" spans="1:12" ht="19.5" customHeight="1" x14ac:dyDescent="0.25">
      <c r="A23" s="22"/>
      <c r="B23" s="22"/>
      <c r="C23" s="22"/>
      <c r="D23" s="33"/>
      <c r="E23" s="34"/>
      <c r="F23" s="34"/>
      <c r="G23" s="34"/>
      <c r="H23" s="22"/>
      <c r="I23" s="34" t="str">
        <f t="shared" si="0"/>
        <v/>
      </c>
      <c r="J23" s="34"/>
      <c r="K23" s="34" t="str">
        <f t="shared" si="1"/>
        <v/>
      </c>
      <c r="L23" s="22"/>
    </row>
    <row r="24" spans="1:12" ht="19.5" customHeight="1" x14ac:dyDescent="0.25">
      <c r="A24" s="26"/>
      <c r="B24" s="26"/>
      <c r="C24" s="26"/>
      <c r="D24" s="39"/>
      <c r="E24" s="40"/>
      <c r="F24" s="40"/>
      <c r="G24" s="40"/>
      <c r="H24" s="26"/>
      <c r="I24" s="40" t="str">
        <f t="shared" si="0"/>
        <v/>
      </c>
      <c r="J24" s="40"/>
      <c r="K24" s="40" t="str">
        <f t="shared" si="1"/>
        <v/>
      </c>
      <c r="L24" s="26"/>
    </row>
    <row r="25" spans="1:12" ht="19.5" customHeight="1" x14ac:dyDescent="0.25">
      <c r="A25" s="22"/>
      <c r="B25" s="22"/>
      <c r="C25" s="22"/>
      <c r="D25" s="33"/>
      <c r="E25" s="34"/>
      <c r="F25" s="34"/>
      <c r="G25" s="34"/>
      <c r="H25" s="22"/>
      <c r="I25" s="34" t="str">
        <f t="shared" si="0"/>
        <v/>
      </c>
      <c r="J25" s="34"/>
      <c r="K25" s="34" t="str">
        <f t="shared" si="1"/>
        <v/>
      </c>
      <c r="L25" s="22"/>
    </row>
    <row r="26" spans="1:12" ht="19.5" customHeight="1" x14ac:dyDescent="0.25">
      <c r="A26" s="26"/>
      <c r="B26" s="26"/>
      <c r="C26" s="26"/>
      <c r="D26" s="39"/>
      <c r="E26" s="40"/>
      <c r="F26" s="40"/>
      <c r="G26" s="40"/>
      <c r="H26" s="26"/>
      <c r="I26" s="40" t="str">
        <f t="shared" si="0"/>
        <v/>
      </c>
      <c r="J26" s="40"/>
      <c r="K26" s="40" t="str">
        <f t="shared" si="1"/>
        <v/>
      </c>
      <c r="L26" s="26"/>
    </row>
    <row r="27" spans="1:12" ht="19.5" customHeight="1" x14ac:dyDescent="0.25">
      <c r="A27" s="22"/>
      <c r="B27" s="22"/>
      <c r="C27" s="22"/>
      <c r="D27" s="33"/>
      <c r="E27" s="34"/>
      <c r="F27" s="34"/>
      <c r="G27" s="34"/>
      <c r="H27" s="22"/>
      <c r="I27" s="34" t="str">
        <f t="shared" si="0"/>
        <v/>
      </c>
      <c r="J27" s="34"/>
      <c r="K27" s="34" t="str">
        <f t="shared" si="1"/>
        <v/>
      </c>
      <c r="L27" s="22"/>
    </row>
    <row r="28" spans="1:12" ht="19.5" customHeight="1" x14ac:dyDescent="0.25">
      <c r="A28" s="26"/>
      <c r="B28" s="26"/>
      <c r="C28" s="26"/>
      <c r="D28" s="39"/>
      <c r="E28" s="40"/>
      <c r="F28" s="40"/>
      <c r="G28" s="40"/>
      <c r="H28" s="26"/>
      <c r="I28" s="40" t="str">
        <f t="shared" si="0"/>
        <v/>
      </c>
      <c r="J28" s="40"/>
      <c r="K28" s="40" t="str">
        <f t="shared" si="1"/>
        <v/>
      </c>
      <c r="L28" s="26"/>
    </row>
    <row r="29" spans="1:12" ht="19.5" customHeight="1" x14ac:dyDescent="0.25">
      <c r="A29" s="22"/>
      <c r="B29" s="22"/>
      <c r="C29" s="22"/>
      <c r="D29" s="33"/>
      <c r="E29" s="34"/>
      <c r="F29" s="34"/>
      <c r="G29" s="34"/>
      <c r="H29" s="22"/>
      <c r="I29" s="34" t="str">
        <f t="shared" si="0"/>
        <v/>
      </c>
      <c r="J29" s="34"/>
      <c r="K29" s="34" t="str">
        <f t="shared" si="1"/>
        <v/>
      </c>
      <c r="L29" s="22"/>
    </row>
    <row r="30" spans="1:12" ht="19.5" customHeight="1" x14ac:dyDescent="0.25">
      <c r="A30" s="26"/>
      <c r="B30" s="26"/>
      <c r="C30" s="26"/>
      <c r="D30" s="39"/>
      <c r="E30" s="40"/>
      <c r="F30" s="40"/>
      <c r="G30" s="40"/>
      <c r="H30" s="26"/>
      <c r="I30" s="40" t="str">
        <f t="shared" si="0"/>
        <v/>
      </c>
      <c r="J30" s="40"/>
      <c r="K30" s="40" t="str">
        <f t="shared" si="1"/>
        <v/>
      </c>
      <c r="L30" s="26"/>
    </row>
    <row r="31" spans="1:12" ht="19.5" customHeight="1" x14ac:dyDescent="0.25">
      <c r="A31" s="22"/>
      <c r="B31" s="22"/>
      <c r="C31" s="22"/>
      <c r="D31" s="33"/>
      <c r="E31" s="34"/>
      <c r="F31" s="34"/>
      <c r="G31" s="34"/>
      <c r="H31" s="22"/>
      <c r="I31" s="34" t="str">
        <f t="shared" si="0"/>
        <v/>
      </c>
      <c r="J31" s="34"/>
      <c r="K31" s="34" t="str">
        <f t="shared" si="1"/>
        <v/>
      </c>
      <c r="L31" s="22"/>
    </row>
    <row r="32" spans="1:12" ht="19.5" customHeight="1" x14ac:dyDescent="0.25">
      <c r="A32" s="26"/>
      <c r="B32" s="26"/>
      <c r="C32" s="26"/>
      <c r="D32" s="39"/>
      <c r="E32" s="40"/>
      <c r="F32" s="40"/>
      <c r="G32" s="40"/>
      <c r="H32" s="26"/>
      <c r="I32" s="40" t="str">
        <f t="shared" si="0"/>
        <v/>
      </c>
      <c r="J32" s="40"/>
      <c r="K32" s="40" t="str">
        <f t="shared" si="1"/>
        <v/>
      </c>
      <c r="L32" s="26"/>
    </row>
    <row r="33" spans="1:12" ht="19.5" customHeight="1" x14ac:dyDescent="0.25">
      <c r="A33" s="22"/>
      <c r="B33" s="22"/>
      <c r="C33" s="22"/>
      <c r="D33" s="33"/>
      <c r="E33" s="34"/>
      <c r="F33" s="34"/>
      <c r="G33" s="34"/>
      <c r="H33" s="22"/>
      <c r="I33" s="34" t="str">
        <f t="shared" si="0"/>
        <v/>
      </c>
      <c r="J33" s="34"/>
      <c r="K33" s="34" t="str">
        <f t="shared" si="1"/>
        <v/>
      </c>
      <c r="L33" s="22"/>
    </row>
    <row r="34" spans="1:12" ht="19.5" customHeight="1" x14ac:dyDescent="0.25">
      <c r="A34" s="26"/>
      <c r="B34" s="26"/>
      <c r="C34" s="26"/>
      <c r="D34" s="39"/>
      <c r="E34" s="40"/>
      <c r="F34" s="40"/>
      <c r="G34" s="40"/>
      <c r="H34" s="26"/>
      <c r="I34" s="40" t="str">
        <f t="shared" si="0"/>
        <v/>
      </c>
      <c r="J34" s="40"/>
      <c r="K34" s="40" t="str">
        <f t="shared" si="1"/>
        <v/>
      </c>
      <c r="L34" s="26"/>
    </row>
    <row r="35" spans="1:12" ht="19.5" customHeight="1" x14ac:dyDescent="0.25">
      <c r="A35" s="22"/>
      <c r="B35" s="22"/>
      <c r="C35" s="22"/>
      <c r="D35" s="33"/>
      <c r="E35" s="34"/>
      <c r="F35" s="34"/>
      <c r="G35" s="34"/>
      <c r="H35" s="22"/>
      <c r="I35" s="34" t="str">
        <f t="shared" si="0"/>
        <v/>
      </c>
      <c r="J35" s="34"/>
      <c r="K35" s="34" t="str">
        <f t="shared" si="1"/>
        <v/>
      </c>
      <c r="L35" s="22"/>
    </row>
    <row r="36" spans="1:12" ht="19.5" customHeight="1" x14ac:dyDescent="0.25">
      <c r="A36" s="26"/>
      <c r="B36" s="26"/>
      <c r="C36" s="26"/>
      <c r="D36" s="39"/>
      <c r="E36" s="40"/>
      <c r="F36" s="40"/>
      <c r="G36" s="40"/>
      <c r="H36" s="26"/>
      <c r="I36" s="40" t="str">
        <f t="shared" ref="I36:I53" si="2">IF(E36=0,"",IFERROR(-PMT(H36/100/12,12,-E36),E36/12))</f>
        <v/>
      </c>
      <c r="J36" s="40"/>
      <c r="K36" s="40" t="str">
        <f t="shared" ref="K36:K53" si="3">IF(E36=0,"",MAX(0,E36-J36))</f>
        <v/>
      </c>
      <c r="L36" s="26"/>
    </row>
    <row r="37" spans="1:12" ht="19.5" customHeight="1" x14ac:dyDescent="0.25">
      <c r="A37" s="22"/>
      <c r="B37" s="22"/>
      <c r="C37" s="22"/>
      <c r="D37" s="33"/>
      <c r="E37" s="34"/>
      <c r="F37" s="34"/>
      <c r="G37" s="34"/>
      <c r="H37" s="22"/>
      <c r="I37" s="34" t="str">
        <f t="shared" si="2"/>
        <v/>
      </c>
      <c r="J37" s="34"/>
      <c r="K37" s="34" t="str">
        <f t="shared" si="3"/>
        <v/>
      </c>
      <c r="L37" s="22"/>
    </row>
    <row r="38" spans="1:12" ht="19.5" customHeight="1" x14ac:dyDescent="0.25">
      <c r="A38" s="26"/>
      <c r="B38" s="26"/>
      <c r="C38" s="26"/>
      <c r="D38" s="39"/>
      <c r="E38" s="40"/>
      <c r="F38" s="40"/>
      <c r="G38" s="40"/>
      <c r="H38" s="26"/>
      <c r="I38" s="40" t="str">
        <f t="shared" si="2"/>
        <v/>
      </c>
      <c r="J38" s="40"/>
      <c r="K38" s="40" t="str">
        <f t="shared" si="3"/>
        <v/>
      </c>
      <c r="L38" s="26"/>
    </row>
    <row r="39" spans="1:12" ht="19.5" customHeight="1" x14ac:dyDescent="0.25">
      <c r="A39" s="22"/>
      <c r="B39" s="22"/>
      <c r="C39" s="22"/>
      <c r="D39" s="33"/>
      <c r="E39" s="34"/>
      <c r="F39" s="34"/>
      <c r="G39" s="34"/>
      <c r="H39" s="22"/>
      <c r="I39" s="34" t="str">
        <f t="shared" si="2"/>
        <v/>
      </c>
      <c r="J39" s="34"/>
      <c r="K39" s="34" t="str">
        <f t="shared" si="3"/>
        <v/>
      </c>
      <c r="L39" s="22"/>
    </row>
    <row r="40" spans="1:12" ht="19.5" customHeight="1" x14ac:dyDescent="0.25">
      <c r="A40" s="26"/>
      <c r="B40" s="26"/>
      <c r="C40" s="26"/>
      <c r="D40" s="39"/>
      <c r="E40" s="40"/>
      <c r="F40" s="40"/>
      <c r="G40" s="40"/>
      <c r="H40" s="26"/>
      <c r="I40" s="40" t="str">
        <f t="shared" si="2"/>
        <v/>
      </c>
      <c r="J40" s="40"/>
      <c r="K40" s="40" t="str">
        <f t="shared" si="3"/>
        <v/>
      </c>
      <c r="L40" s="26"/>
    </row>
    <row r="41" spans="1:12" ht="19.5" customHeight="1" x14ac:dyDescent="0.25">
      <c r="A41" s="22"/>
      <c r="B41" s="22"/>
      <c r="C41" s="22"/>
      <c r="D41" s="33"/>
      <c r="E41" s="34"/>
      <c r="F41" s="34"/>
      <c r="G41" s="34"/>
      <c r="H41" s="22"/>
      <c r="I41" s="34" t="str">
        <f t="shared" si="2"/>
        <v/>
      </c>
      <c r="J41" s="34"/>
      <c r="K41" s="34" t="str">
        <f t="shared" si="3"/>
        <v/>
      </c>
      <c r="L41" s="22"/>
    </row>
    <row r="42" spans="1:12" ht="19.5" customHeight="1" x14ac:dyDescent="0.25">
      <c r="A42" s="26"/>
      <c r="B42" s="26"/>
      <c r="C42" s="26"/>
      <c r="D42" s="39"/>
      <c r="E42" s="40"/>
      <c r="F42" s="40"/>
      <c r="G42" s="40"/>
      <c r="H42" s="26"/>
      <c r="I42" s="40" t="str">
        <f t="shared" si="2"/>
        <v/>
      </c>
      <c r="J42" s="40"/>
      <c r="K42" s="40" t="str">
        <f t="shared" si="3"/>
        <v/>
      </c>
      <c r="L42" s="26"/>
    </row>
    <row r="43" spans="1:12" ht="19.5" customHeight="1" x14ac:dyDescent="0.25">
      <c r="A43" s="22"/>
      <c r="B43" s="22"/>
      <c r="C43" s="22"/>
      <c r="D43" s="33"/>
      <c r="E43" s="34"/>
      <c r="F43" s="34"/>
      <c r="G43" s="34"/>
      <c r="H43" s="22"/>
      <c r="I43" s="34" t="str">
        <f t="shared" si="2"/>
        <v/>
      </c>
      <c r="J43" s="34"/>
      <c r="K43" s="34" t="str">
        <f t="shared" si="3"/>
        <v/>
      </c>
      <c r="L43" s="22"/>
    </row>
    <row r="44" spans="1:12" ht="19.5" customHeight="1" x14ac:dyDescent="0.25">
      <c r="A44" s="26"/>
      <c r="B44" s="26"/>
      <c r="C44" s="26"/>
      <c r="D44" s="39"/>
      <c r="E44" s="40"/>
      <c r="F44" s="40"/>
      <c r="G44" s="40"/>
      <c r="H44" s="26"/>
      <c r="I44" s="40" t="str">
        <f t="shared" si="2"/>
        <v/>
      </c>
      <c r="J44" s="40"/>
      <c r="K44" s="40" t="str">
        <f t="shared" si="3"/>
        <v/>
      </c>
      <c r="L44" s="26"/>
    </row>
    <row r="45" spans="1:12" ht="19.5" customHeight="1" x14ac:dyDescent="0.25">
      <c r="A45" s="22"/>
      <c r="B45" s="22"/>
      <c r="C45" s="22"/>
      <c r="D45" s="33"/>
      <c r="E45" s="34"/>
      <c r="F45" s="34"/>
      <c r="G45" s="34"/>
      <c r="H45" s="22"/>
      <c r="I45" s="34" t="str">
        <f t="shared" si="2"/>
        <v/>
      </c>
      <c r="J45" s="34"/>
      <c r="K45" s="34" t="str">
        <f t="shared" si="3"/>
        <v/>
      </c>
      <c r="L45" s="22"/>
    </row>
    <row r="46" spans="1:12" ht="19.5" customHeight="1" x14ac:dyDescent="0.25">
      <c r="A46" s="26"/>
      <c r="B46" s="26"/>
      <c r="C46" s="26"/>
      <c r="D46" s="39"/>
      <c r="E46" s="40"/>
      <c r="F46" s="40"/>
      <c r="G46" s="40"/>
      <c r="H46" s="26"/>
      <c r="I46" s="40" t="str">
        <f t="shared" si="2"/>
        <v/>
      </c>
      <c r="J46" s="40"/>
      <c r="K46" s="40" t="str">
        <f t="shared" si="3"/>
        <v/>
      </c>
      <c r="L46" s="26"/>
    </row>
    <row r="47" spans="1:12" ht="19.5" customHeight="1" x14ac:dyDescent="0.25">
      <c r="A47" s="22"/>
      <c r="B47" s="22"/>
      <c r="C47" s="22"/>
      <c r="D47" s="33"/>
      <c r="E47" s="34"/>
      <c r="F47" s="34"/>
      <c r="G47" s="34"/>
      <c r="H47" s="22"/>
      <c r="I47" s="34" t="str">
        <f t="shared" si="2"/>
        <v/>
      </c>
      <c r="J47" s="34"/>
      <c r="K47" s="34" t="str">
        <f t="shared" si="3"/>
        <v/>
      </c>
      <c r="L47" s="22"/>
    </row>
    <row r="48" spans="1:12" ht="19.5" customHeight="1" x14ac:dyDescent="0.25">
      <c r="A48" s="26"/>
      <c r="B48" s="26"/>
      <c r="C48" s="26"/>
      <c r="D48" s="39"/>
      <c r="E48" s="40"/>
      <c r="F48" s="40"/>
      <c r="G48" s="40"/>
      <c r="H48" s="26"/>
      <c r="I48" s="40" t="str">
        <f t="shared" si="2"/>
        <v/>
      </c>
      <c r="J48" s="40"/>
      <c r="K48" s="40" t="str">
        <f t="shared" si="3"/>
        <v/>
      </c>
      <c r="L48" s="26"/>
    </row>
    <row r="49" spans="1:12" ht="19.5" customHeight="1" x14ac:dyDescent="0.25">
      <c r="A49" s="22"/>
      <c r="B49" s="22"/>
      <c r="C49" s="22"/>
      <c r="D49" s="33"/>
      <c r="E49" s="34"/>
      <c r="F49" s="34"/>
      <c r="G49" s="34"/>
      <c r="H49" s="22"/>
      <c r="I49" s="34" t="str">
        <f t="shared" si="2"/>
        <v/>
      </c>
      <c r="J49" s="34"/>
      <c r="K49" s="34" t="str">
        <f t="shared" si="3"/>
        <v/>
      </c>
      <c r="L49" s="22"/>
    </row>
    <row r="50" spans="1:12" ht="19.5" customHeight="1" x14ac:dyDescent="0.25">
      <c r="A50" s="26"/>
      <c r="B50" s="26"/>
      <c r="C50" s="26"/>
      <c r="D50" s="39"/>
      <c r="E50" s="40"/>
      <c r="F50" s="40"/>
      <c r="G50" s="40"/>
      <c r="H50" s="26"/>
      <c r="I50" s="40" t="str">
        <f t="shared" si="2"/>
        <v/>
      </c>
      <c r="J50" s="40"/>
      <c r="K50" s="40" t="str">
        <f t="shared" si="3"/>
        <v/>
      </c>
      <c r="L50" s="26"/>
    </row>
    <row r="51" spans="1:12" ht="19.5" customHeight="1" x14ac:dyDescent="0.25">
      <c r="A51" s="22"/>
      <c r="B51" s="22"/>
      <c r="C51" s="22"/>
      <c r="D51" s="33"/>
      <c r="E51" s="34"/>
      <c r="F51" s="34"/>
      <c r="G51" s="34"/>
      <c r="H51" s="22"/>
      <c r="I51" s="34" t="str">
        <f t="shared" si="2"/>
        <v/>
      </c>
      <c r="J51" s="34"/>
      <c r="K51" s="34" t="str">
        <f t="shared" si="3"/>
        <v/>
      </c>
      <c r="L51" s="22"/>
    </row>
    <row r="52" spans="1:12" ht="19.5" customHeight="1" x14ac:dyDescent="0.25">
      <c r="A52" s="26"/>
      <c r="B52" s="26"/>
      <c r="C52" s="26"/>
      <c r="D52" s="39"/>
      <c r="E52" s="40"/>
      <c r="F52" s="40"/>
      <c r="G52" s="40"/>
      <c r="H52" s="26"/>
      <c r="I52" s="40" t="str">
        <f t="shared" si="2"/>
        <v/>
      </c>
      <c r="J52" s="40"/>
      <c r="K52" s="40" t="str">
        <f t="shared" si="3"/>
        <v/>
      </c>
      <c r="L52" s="26"/>
    </row>
    <row r="53" spans="1:12" ht="19.5" customHeight="1" x14ac:dyDescent="0.25">
      <c r="A53" s="22"/>
      <c r="B53" s="22"/>
      <c r="C53" s="22"/>
      <c r="D53" s="33"/>
      <c r="E53" s="34"/>
      <c r="F53" s="34"/>
      <c r="G53" s="34"/>
      <c r="H53" s="22"/>
      <c r="I53" s="34" t="str">
        <f t="shared" si="2"/>
        <v/>
      </c>
      <c r="J53" s="34"/>
      <c r="K53" s="34" t="str">
        <f t="shared" si="3"/>
        <v/>
      </c>
      <c r="L53" s="22"/>
    </row>
  </sheetData>
  <mergeCells count="5">
    <mergeCell ref="A1:L1"/>
    <mergeCell ref="A2:B2"/>
    <mergeCell ref="D2:E2"/>
    <mergeCell ref="G2:H2"/>
    <mergeCell ref="J2:K2"/>
  </mergeCells>
  <conditionalFormatting sqref="A4:L53">
    <cfRule type="expression" dxfId="2" priority="2">
      <formula>$L4="Fully Paid"</formula>
    </cfRule>
    <cfRule type="expression" dxfId="1" priority="3">
      <formula>$L4="Defaulted"</formula>
    </cfRule>
    <cfRule type="expression" dxfId="0" priority="4">
      <formula>$L4="Active"</formula>
    </cfRule>
  </conditionalFormatting>
  <dataValidations count="2">
    <dataValidation type="list" allowBlank="1" sqref="H4:H53" xr:uid="{00000000-0002-0000-0300-000000000000}">
      <formula1>"5%,10%,15%,20%,25%,30%"</formula1>
      <formula2>0</formula2>
    </dataValidation>
    <dataValidation type="list" allowBlank="1" sqref="L4:L53" xr:uid="{00000000-0002-0000-0300-000001000000}">
      <formula1>"Active,Fully Paid,Defaulted,Pending Approval,Rejected"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E65100"/>
  </sheetPr>
  <dimension ref="A1:L33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sqref="A1:L1"/>
    </sheetView>
  </sheetViews>
  <sheetFormatPr defaultColWidth="8.7109375" defaultRowHeight="15" x14ac:dyDescent="0.25"/>
  <cols>
    <col min="1" max="1" width="14" customWidth="1"/>
    <col min="2" max="2" width="22" customWidth="1"/>
    <col min="3" max="9" width="16" customWidth="1"/>
    <col min="10" max="12" width="14" customWidth="1"/>
  </cols>
  <sheetData>
    <row r="1" spans="1:12" ht="39.75" customHeight="1" x14ac:dyDescent="0.25">
      <c r="A1" s="95" t="s">
        <v>82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</row>
    <row r="2" spans="1:12" ht="30" customHeight="1" x14ac:dyDescent="0.25">
      <c r="A2" s="92" t="s">
        <v>83</v>
      </c>
      <c r="B2" s="92"/>
      <c r="C2" s="41"/>
      <c r="D2" s="92" t="s">
        <v>84</v>
      </c>
      <c r="E2" s="92"/>
      <c r="F2" s="41"/>
      <c r="G2" s="92" t="s">
        <v>85</v>
      </c>
      <c r="H2" s="92"/>
      <c r="I2" s="41"/>
      <c r="J2" s="92" t="s">
        <v>86</v>
      </c>
      <c r="K2" s="92"/>
      <c r="L2" s="41"/>
    </row>
    <row r="3" spans="1:12" ht="43.5" customHeight="1" x14ac:dyDescent="0.25">
      <c r="A3" s="42" t="s">
        <v>87</v>
      </c>
      <c r="B3" s="42" t="s">
        <v>23</v>
      </c>
      <c r="C3" s="42" t="s">
        <v>24</v>
      </c>
      <c r="D3" s="42" t="s">
        <v>88</v>
      </c>
      <c r="E3" s="42" t="s">
        <v>28</v>
      </c>
      <c r="F3" s="42" t="s">
        <v>89</v>
      </c>
      <c r="G3" s="42" t="s">
        <v>90</v>
      </c>
      <c r="H3" s="42" t="s">
        <v>75</v>
      </c>
      <c r="I3" s="42" t="s">
        <v>91</v>
      </c>
      <c r="J3" s="42" t="s">
        <v>92</v>
      </c>
      <c r="K3" s="42" t="s">
        <v>93</v>
      </c>
      <c r="L3" s="42" t="s">
        <v>94</v>
      </c>
    </row>
    <row r="4" spans="1:12" ht="21.75" customHeight="1" x14ac:dyDescent="0.25">
      <c r="A4" s="43"/>
      <c r="B4" s="43"/>
      <c r="C4" s="43"/>
      <c r="D4" s="44"/>
      <c r="E4" s="43"/>
      <c r="F4" s="45"/>
      <c r="G4" s="43"/>
      <c r="H4" s="45"/>
      <c r="I4" s="45" t="str">
        <f t="shared" ref="I4:I33" si="0">IF(F4=0,"",MAX(0,F4-H4))</f>
        <v/>
      </c>
      <c r="J4" s="46"/>
      <c r="K4" s="43"/>
      <c r="L4" s="43"/>
    </row>
    <row r="5" spans="1:12" ht="21.75" customHeight="1" x14ac:dyDescent="0.25">
      <c r="A5" s="22"/>
      <c r="B5" s="22"/>
      <c r="C5" s="22"/>
      <c r="D5" s="33"/>
      <c r="E5" s="22"/>
      <c r="F5" s="34"/>
      <c r="G5" s="22"/>
      <c r="H5" s="34"/>
      <c r="I5" s="34" t="str">
        <f t="shared" si="0"/>
        <v/>
      </c>
      <c r="J5" s="46"/>
      <c r="K5" s="22"/>
      <c r="L5" s="22"/>
    </row>
    <row r="6" spans="1:12" ht="21.75" customHeight="1" x14ac:dyDescent="0.25">
      <c r="A6" s="43"/>
      <c r="B6" s="43"/>
      <c r="C6" s="43"/>
      <c r="D6" s="44"/>
      <c r="E6" s="43"/>
      <c r="F6" s="45"/>
      <c r="G6" s="43"/>
      <c r="H6" s="45"/>
      <c r="I6" s="45" t="str">
        <f t="shared" si="0"/>
        <v/>
      </c>
      <c r="J6" s="46"/>
      <c r="K6" s="43"/>
      <c r="L6" s="43"/>
    </row>
    <row r="7" spans="1:12" ht="21.75" customHeight="1" x14ac:dyDescent="0.25">
      <c r="A7" s="22"/>
      <c r="B7" s="22"/>
      <c r="C7" s="22"/>
      <c r="D7" s="33"/>
      <c r="E7" s="22"/>
      <c r="F7" s="34"/>
      <c r="G7" s="22"/>
      <c r="H7" s="34"/>
      <c r="I7" s="34" t="str">
        <f t="shared" si="0"/>
        <v/>
      </c>
      <c r="J7" s="46"/>
      <c r="K7" s="22"/>
      <c r="L7" s="22"/>
    </row>
    <row r="8" spans="1:12" ht="21.75" customHeight="1" x14ac:dyDescent="0.25">
      <c r="A8" s="43"/>
      <c r="B8" s="43"/>
      <c r="C8" s="43"/>
      <c r="D8" s="44"/>
      <c r="E8" s="43"/>
      <c r="F8" s="45"/>
      <c r="G8" s="43"/>
      <c r="H8" s="45"/>
      <c r="I8" s="45" t="str">
        <f t="shared" si="0"/>
        <v/>
      </c>
      <c r="J8" s="46"/>
      <c r="K8" s="43"/>
      <c r="L8" s="43"/>
    </row>
    <row r="9" spans="1:12" ht="21.75" customHeight="1" x14ac:dyDescent="0.25">
      <c r="A9" s="22"/>
      <c r="B9" s="22"/>
      <c r="C9" s="22"/>
      <c r="D9" s="33"/>
      <c r="E9" s="22"/>
      <c r="F9" s="34"/>
      <c r="G9" s="22"/>
      <c r="H9" s="34"/>
      <c r="I9" s="34" t="str">
        <f t="shared" si="0"/>
        <v/>
      </c>
      <c r="J9" s="46"/>
      <c r="K9" s="22"/>
      <c r="L9" s="22"/>
    </row>
    <row r="10" spans="1:12" ht="21.75" customHeight="1" x14ac:dyDescent="0.25">
      <c r="A10" s="43"/>
      <c r="B10" s="43"/>
      <c r="C10" s="43"/>
      <c r="D10" s="44"/>
      <c r="E10" s="43"/>
      <c r="F10" s="45"/>
      <c r="G10" s="43"/>
      <c r="H10" s="45"/>
      <c r="I10" s="45" t="str">
        <f t="shared" si="0"/>
        <v/>
      </c>
      <c r="J10" s="46"/>
      <c r="K10" s="43"/>
      <c r="L10" s="43"/>
    </row>
    <row r="11" spans="1:12" ht="21.75" customHeight="1" x14ac:dyDescent="0.25">
      <c r="A11" s="22"/>
      <c r="B11" s="22"/>
      <c r="C11" s="22"/>
      <c r="D11" s="33"/>
      <c r="E11" s="22"/>
      <c r="F11" s="34"/>
      <c r="G11" s="22"/>
      <c r="H11" s="34"/>
      <c r="I11" s="34" t="str">
        <f t="shared" si="0"/>
        <v/>
      </c>
      <c r="J11" s="46"/>
      <c r="K11" s="22"/>
      <c r="L11" s="22"/>
    </row>
    <row r="12" spans="1:12" ht="21.75" customHeight="1" x14ac:dyDescent="0.25">
      <c r="A12" s="43"/>
      <c r="B12" s="43"/>
      <c r="C12" s="43"/>
      <c r="D12" s="44"/>
      <c r="E12" s="43"/>
      <c r="F12" s="45"/>
      <c r="G12" s="43"/>
      <c r="H12" s="45"/>
      <c r="I12" s="45" t="str">
        <f t="shared" si="0"/>
        <v/>
      </c>
      <c r="J12" s="46"/>
      <c r="K12" s="43"/>
      <c r="L12" s="43"/>
    </row>
    <row r="13" spans="1:12" ht="21.75" customHeight="1" x14ac:dyDescent="0.25">
      <c r="A13" s="22"/>
      <c r="B13" s="22"/>
      <c r="C13" s="22"/>
      <c r="D13" s="33"/>
      <c r="E13" s="22"/>
      <c r="F13" s="34"/>
      <c r="G13" s="22"/>
      <c r="H13" s="34"/>
      <c r="I13" s="34" t="str">
        <f t="shared" si="0"/>
        <v/>
      </c>
      <c r="J13" s="46"/>
      <c r="K13" s="22"/>
      <c r="L13" s="22"/>
    </row>
    <row r="14" spans="1:12" ht="21.75" customHeight="1" x14ac:dyDescent="0.25">
      <c r="A14" s="43"/>
      <c r="B14" s="43"/>
      <c r="C14" s="43"/>
      <c r="D14" s="44"/>
      <c r="E14" s="43"/>
      <c r="F14" s="45"/>
      <c r="G14" s="43"/>
      <c r="H14" s="45"/>
      <c r="I14" s="45" t="str">
        <f t="shared" si="0"/>
        <v/>
      </c>
      <c r="J14" s="46"/>
      <c r="K14" s="43"/>
      <c r="L14" s="43"/>
    </row>
    <row r="15" spans="1:12" ht="21.75" customHeight="1" x14ac:dyDescent="0.25">
      <c r="A15" s="22"/>
      <c r="B15" s="22"/>
      <c r="C15" s="22"/>
      <c r="D15" s="33"/>
      <c r="E15" s="22"/>
      <c r="F15" s="34"/>
      <c r="G15" s="22"/>
      <c r="H15" s="34"/>
      <c r="I15" s="34" t="str">
        <f t="shared" si="0"/>
        <v/>
      </c>
      <c r="J15" s="46"/>
      <c r="K15" s="22"/>
      <c r="L15" s="22"/>
    </row>
    <row r="16" spans="1:12" ht="21.75" customHeight="1" x14ac:dyDescent="0.25">
      <c r="A16" s="43"/>
      <c r="B16" s="43"/>
      <c r="C16" s="43"/>
      <c r="D16" s="44"/>
      <c r="E16" s="43"/>
      <c r="F16" s="45"/>
      <c r="G16" s="43"/>
      <c r="H16" s="45"/>
      <c r="I16" s="45" t="str">
        <f t="shared" si="0"/>
        <v/>
      </c>
      <c r="J16" s="46"/>
      <c r="K16" s="43"/>
      <c r="L16" s="43"/>
    </row>
    <row r="17" spans="1:12" ht="21.75" customHeight="1" x14ac:dyDescent="0.25">
      <c r="A17" s="22"/>
      <c r="B17" s="22"/>
      <c r="C17" s="22"/>
      <c r="D17" s="33"/>
      <c r="E17" s="22"/>
      <c r="F17" s="34"/>
      <c r="G17" s="22"/>
      <c r="H17" s="34"/>
      <c r="I17" s="34" t="str">
        <f t="shared" si="0"/>
        <v/>
      </c>
      <c r="J17" s="46"/>
      <c r="K17" s="22"/>
      <c r="L17" s="22"/>
    </row>
    <row r="18" spans="1:12" ht="21.75" customHeight="1" x14ac:dyDescent="0.25">
      <c r="A18" s="43"/>
      <c r="B18" s="43"/>
      <c r="C18" s="43"/>
      <c r="D18" s="44"/>
      <c r="E18" s="43"/>
      <c r="F18" s="45"/>
      <c r="G18" s="43"/>
      <c r="H18" s="45"/>
      <c r="I18" s="45" t="str">
        <f t="shared" si="0"/>
        <v/>
      </c>
      <c r="J18" s="46"/>
      <c r="K18" s="43"/>
      <c r="L18" s="43"/>
    </row>
    <row r="19" spans="1:12" ht="21.75" customHeight="1" x14ac:dyDescent="0.25">
      <c r="A19" s="22"/>
      <c r="B19" s="22"/>
      <c r="C19" s="22"/>
      <c r="D19" s="33"/>
      <c r="E19" s="22"/>
      <c r="F19" s="34"/>
      <c r="G19" s="22"/>
      <c r="H19" s="34"/>
      <c r="I19" s="34" t="str">
        <f t="shared" si="0"/>
        <v/>
      </c>
      <c r="J19" s="46"/>
      <c r="K19" s="22"/>
      <c r="L19" s="22"/>
    </row>
    <row r="20" spans="1:12" ht="21.75" customHeight="1" x14ac:dyDescent="0.25">
      <c r="A20" s="43"/>
      <c r="B20" s="43"/>
      <c r="C20" s="43"/>
      <c r="D20" s="44"/>
      <c r="E20" s="43"/>
      <c r="F20" s="45"/>
      <c r="G20" s="43"/>
      <c r="H20" s="45"/>
      <c r="I20" s="45" t="str">
        <f t="shared" si="0"/>
        <v/>
      </c>
      <c r="J20" s="46"/>
      <c r="K20" s="43"/>
      <c r="L20" s="43"/>
    </row>
    <row r="21" spans="1:12" ht="21.75" customHeight="1" x14ac:dyDescent="0.25">
      <c r="A21" s="22"/>
      <c r="B21" s="22"/>
      <c r="C21" s="22"/>
      <c r="D21" s="33"/>
      <c r="E21" s="22"/>
      <c r="F21" s="34"/>
      <c r="G21" s="22"/>
      <c r="H21" s="34"/>
      <c r="I21" s="34" t="str">
        <f t="shared" si="0"/>
        <v/>
      </c>
      <c r="J21" s="46"/>
      <c r="K21" s="22"/>
      <c r="L21" s="22"/>
    </row>
    <row r="22" spans="1:12" ht="21.75" customHeight="1" x14ac:dyDescent="0.25">
      <c r="A22" s="43"/>
      <c r="B22" s="43"/>
      <c r="C22" s="43"/>
      <c r="D22" s="44"/>
      <c r="E22" s="43"/>
      <c r="F22" s="45"/>
      <c r="G22" s="43"/>
      <c r="H22" s="45"/>
      <c r="I22" s="45" t="str">
        <f t="shared" si="0"/>
        <v/>
      </c>
      <c r="J22" s="46"/>
      <c r="K22" s="43"/>
      <c r="L22" s="43"/>
    </row>
    <row r="23" spans="1:12" ht="21.75" customHeight="1" x14ac:dyDescent="0.25">
      <c r="A23" s="22"/>
      <c r="B23" s="22"/>
      <c r="C23" s="22"/>
      <c r="D23" s="33"/>
      <c r="E23" s="22"/>
      <c r="F23" s="34"/>
      <c r="G23" s="22"/>
      <c r="H23" s="34"/>
      <c r="I23" s="34" t="str">
        <f t="shared" si="0"/>
        <v/>
      </c>
      <c r="J23" s="46"/>
      <c r="K23" s="22"/>
      <c r="L23" s="22"/>
    </row>
    <row r="24" spans="1:12" ht="21.75" customHeight="1" x14ac:dyDescent="0.25">
      <c r="A24" s="43"/>
      <c r="B24" s="43"/>
      <c r="C24" s="43"/>
      <c r="D24" s="44"/>
      <c r="E24" s="43"/>
      <c r="F24" s="45"/>
      <c r="G24" s="43"/>
      <c r="H24" s="45"/>
      <c r="I24" s="45" t="str">
        <f t="shared" si="0"/>
        <v/>
      </c>
      <c r="J24" s="46"/>
      <c r="K24" s="43"/>
      <c r="L24" s="43"/>
    </row>
    <row r="25" spans="1:12" ht="21.75" customHeight="1" x14ac:dyDescent="0.25">
      <c r="A25" s="22"/>
      <c r="B25" s="22"/>
      <c r="C25" s="22"/>
      <c r="D25" s="33"/>
      <c r="E25" s="22"/>
      <c r="F25" s="34"/>
      <c r="G25" s="22"/>
      <c r="H25" s="34"/>
      <c r="I25" s="34" t="str">
        <f t="shared" si="0"/>
        <v/>
      </c>
      <c r="J25" s="46"/>
      <c r="K25" s="22"/>
      <c r="L25" s="22"/>
    </row>
    <row r="26" spans="1:12" ht="21.75" customHeight="1" x14ac:dyDescent="0.25">
      <c r="A26" s="43"/>
      <c r="B26" s="43"/>
      <c r="C26" s="43"/>
      <c r="D26" s="44"/>
      <c r="E26" s="43"/>
      <c r="F26" s="45"/>
      <c r="G26" s="43"/>
      <c r="H26" s="45"/>
      <c r="I26" s="45" t="str">
        <f t="shared" si="0"/>
        <v/>
      </c>
      <c r="J26" s="46"/>
      <c r="K26" s="43"/>
      <c r="L26" s="43"/>
    </row>
    <row r="27" spans="1:12" ht="21.75" customHeight="1" x14ac:dyDescent="0.25">
      <c r="A27" s="22"/>
      <c r="B27" s="22"/>
      <c r="C27" s="22"/>
      <c r="D27" s="33"/>
      <c r="E27" s="22"/>
      <c r="F27" s="34"/>
      <c r="G27" s="22"/>
      <c r="H27" s="34"/>
      <c r="I27" s="34" t="str">
        <f t="shared" si="0"/>
        <v/>
      </c>
      <c r="J27" s="46"/>
      <c r="K27" s="22"/>
      <c r="L27" s="22"/>
    </row>
    <row r="28" spans="1:12" ht="21.75" customHeight="1" x14ac:dyDescent="0.25">
      <c r="A28" s="43"/>
      <c r="B28" s="43"/>
      <c r="C28" s="43"/>
      <c r="D28" s="44"/>
      <c r="E28" s="43"/>
      <c r="F28" s="45"/>
      <c r="G28" s="43"/>
      <c r="H28" s="45"/>
      <c r="I28" s="45" t="str">
        <f t="shared" si="0"/>
        <v/>
      </c>
      <c r="J28" s="46"/>
      <c r="K28" s="43"/>
      <c r="L28" s="43"/>
    </row>
    <row r="29" spans="1:12" ht="21.75" customHeight="1" x14ac:dyDescent="0.25">
      <c r="A29" s="22"/>
      <c r="B29" s="22"/>
      <c r="C29" s="22"/>
      <c r="D29" s="33"/>
      <c r="E29" s="22"/>
      <c r="F29" s="34"/>
      <c r="G29" s="22"/>
      <c r="H29" s="34"/>
      <c r="I29" s="34" t="str">
        <f t="shared" si="0"/>
        <v/>
      </c>
      <c r="J29" s="46"/>
      <c r="K29" s="22"/>
      <c r="L29" s="22"/>
    </row>
    <row r="30" spans="1:12" ht="21.75" customHeight="1" x14ac:dyDescent="0.25">
      <c r="A30" s="43"/>
      <c r="B30" s="43"/>
      <c r="C30" s="43"/>
      <c r="D30" s="44"/>
      <c r="E30" s="43"/>
      <c r="F30" s="45"/>
      <c r="G30" s="43"/>
      <c r="H30" s="45"/>
      <c r="I30" s="45" t="str">
        <f t="shared" si="0"/>
        <v/>
      </c>
      <c r="J30" s="46"/>
      <c r="K30" s="43"/>
      <c r="L30" s="43"/>
    </row>
    <row r="31" spans="1:12" ht="21.75" customHeight="1" x14ac:dyDescent="0.25">
      <c r="A31" s="22"/>
      <c r="B31" s="22"/>
      <c r="C31" s="22"/>
      <c r="D31" s="33"/>
      <c r="E31" s="22"/>
      <c r="F31" s="34"/>
      <c r="G31" s="22"/>
      <c r="H31" s="34"/>
      <c r="I31" s="34" t="str">
        <f t="shared" si="0"/>
        <v/>
      </c>
      <c r="J31" s="46"/>
      <c r="K31" s="22"/>
      <c r="L31" s="22"/>
    </row>
    <row r="32" spans="1:12" ht="21.75" customHeight="1" x14ac:dyDescent="0.25">
      <c r="A32" s="43"/>
      <c r="B32" s="43"/>
      <c r="C32" s="43"/>
      <c r="D32" s="44"/>
      <c r="E32" s="43"/>
      <c r="F32" s="45"/>
      <c r="G32" s="43"/>
      <c r="H32" s="45"/>
      <c r="I32" s="45" t="str">
        <f t="shared" si="0"/>
        <v/>
      </c>
      <c r="J32" s="46"/>
      <c r="K32" s="43"/>
      <c r="L32" s="43"/>
    </row>
    <row r="33" spans="1:12" ht="21.75" customHeight="1" x14ac:dyDescent="0.25">
      <c r="A33" s="22"/>
      <c r="B33" s="22"/>
      <c r="C33" s="22"/>
      <c r="D33" s="33"/>
      <c r="E33" s="22"/>
      <c r="F33" s="34"/>
      <c r="G33" s="22"/>
      <c r="H33" s="34"/>
      <c r="I33" s="34" t="str">
        <f t="shared" si="0"/>
        <v/>
      </c>
      <c r="J33" s="46"/>
      <c r="K33" s="22"/>
      <c r="L33" s="22"/>
    </row>
  </sheetData>
  <mergeCells count="5">
    <mergeCell ref="A1:L1"/>
    <mergeCell ref="A2:B2"/>
    <mergeCell ref="D2:E2"/>
    <mergeCell ref="G2:H2"/>
    <mergeCell ref="J2:K2"/>
  </mergeCells>
  <dataValidations count="1">
    <dataValidation type="list" allowBlank="1" sqref="J4:J33" xr:uid="{00000000-0002-0000-0400-000000000000}">
      <formula1>"Pending,Approved,Rejected,More Info Required"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444B"/>
  </sheetPr>
  <dimension ref="A1:J17"/>
  <sheetViews>
    <sheetView tabSelected="1" zoomScaleNormal="100" workbookViewId="0">
      <selection sqref="A1:J1"/>
    </sheetView>
  </sheetViews>
  <sheetFormatPr defaultColWidth="8.7109375" defaultRowHeight="15" x14ac:dyDescent="0.25"/>
  <sheetData>
    <row r="1" spans="1:10" ht="39.75" customHeight="1" x14ac:dyDescent="0.25">
      <c r="A1" s="77" t="s">
        <v>95</v>
      </c>
      <c r="B1" s="77"/>
      <c r="C1" s="77"/>
      <c r="D1" s="77"/>
      <c r="E1" s="77"/>
      <c r="F1" s="77"/>
      <c r="G1" s="77"/>
      <c r="H1" s="77"/>
      <c r="I1" s="77"/>
      <c r="J1" s="77"/>
    </row>
    <row r="2" spans="1:10" ht="30" customHeight="1" x14ac:dyDescent="0.25">
      <c r="A2" s="78" t="s">
        <v>96</v>
      </c>
      <c r="B2" s="78"/>
      <c r="C2" s="47">
        <v>2025</v>
      </c>
      <c r="D2" s="79" t="s">
        <v>97</v>
      </c>
      <c r="E2" s="79"/>
      <c r="F2" s="80" t="s">
        <v>98</v>
      </c>
      <c r="G2" s="80"/>
    </row>
    <row r="4" spans="1:10" ht="24" customHeight="1" x14ac:dyDescent="0.25">
      <c r="A4" s="81" t="s">
        <v>99</v>
      </c>
      <c r="B4" s="81"/>
      <c r="C4" s="81"/>
      <c r="D4" s="81"/>
      <c r="E4" s="81"/>
      <c r="F4" s="81"/>
      <c r="G4" s="81"/>
      <c r="H4" s="81"/>
    </row>
    <row r="5" spans="1:10" ht="36" customHeight="1" x14ac:dyDescent="0.25">
      <c r="A5" s="21" t="s">
        <v>100</v>
      </c>
      <c r="B5" s="21" t="s">
        <v>101</v>
      </c>
      <c r="C5" s="21" t="s">
        <v>102</v>
      </c>
      <c r="D5" s="21" t="s">
        <v>103</v>
      </c>
      <c r="E5" s="21" t="s">
        <v>36</v>
      </c>
      <c r="F5" s="21" t="s">
        <v>104</v>
      </c>
      <c r="G5" s="21" t="s">
        <v>19</v>
      </c>
      <c r="H5" s="21" t="s">
        <v>105</v>
      </c>
    </row>
    <row r="6" spans="1:10" ht="19.5" customHeight="1" x14ac:dyDescent="0.25">
      <c r="A6" s="48" t="s">
        <v>106</v>
      </c>
      <c r="B6" s="49"/>
      <c r="C6" s="50"/>
      <c r="D6" s="50"/>
      <c r="E6" s="50"/>
      <c r="F6" s="50"/>
      <c r="G6" s="50"/>
      <c r="H6" s="50"/>
    </row>
    <row r="7" spans="1:10" ht="19.5" customHeight="1" x14ac:dyDescent="0.25">
      <c r="A7" s="27" t="s">
        <v>107</v>
      </c>
      <c r="B7" s="51"/>
      <c r="C7" s="52"/>
      <c r="D7" s="52"/>
      <c r="E7" s="52"/>
      <c r="F7" s="52"/>
      <c r="G7" s="52"/>
      <c r="H7" s="52"/>
    </row>
    <row r="8" spans="1:10" ht="19.5" customHeight="1" x14ac:dyDescent="0.25">
      <c r="A8" s="48" t="s">
        <v>108</v>
      </c>
      <c r="B8" s="49"/>
      <c r="C8" s="50"/>
      <c r="D8" s="50"/>
      <c r="E8" s="50"/>
      <c r="F8" s="50"/>
      <c r="G8" s="50"/>
      <c r="H8" s="50"/>
    </row>
    <row r="9" spans="1:10" ht="19.5" customHeight="1" x14ac:dyDescent="0.25">
      <c r="A9" s="27" t="s">
        <v>109</v>
      </c>
      <c r="B9" s="51"/>
      <c r="C9" s="52"/>
      <c r="D9" s="52"/>
      <c r="E9" s="52"/>
      <c r="F9" s="52"/>
      <c r="G9" s="52"/>
      <c r="H9" s="52"/>
    </row>
    <row r="10" spans="1:10" ht="19.5" customHeight="1" x14ac:dyDescent="0.25">
      <c r="A10" s="48" t="s">
        <v>110</v>
      </c>
      <c r="B10" s="49"/>
      <c r="C10" s="50"/>
      <c r="D10" s="50"/>
      <c r="E10" s="50"/>
      <c r="F10" s="50"/>
      <c r="G10" s="50"/>
      <c r="H10" s="50"/>
    </row>
    <row r="11" spans="1:10" ht="19.5" customHeight="1" x14ac:dyDescent="0.25">
      <c r="A11" s="27" t="s">
        <v>111</v>
      </c>
      <c r="B11" s="51"/>
      <c r="C11" s="52"/>
      <c r="D11" s="52"/>
      <c r="E11" s="52"/>
      <c r="F11" s="52"/>
      <c r="G11" s="52"/>
      <c r="H11" s="52"/>
    </row>
    <row r="12" spans="1:10" ht="19.5" customHeight="1" x14ac:dyDescent="0.25">
      <c r="A12" s="48" t="s">
        <v>112</v>
      </c>
      <c r="B12" s="49"/>
      <c r="C12" s="50"/>
      <c r="D12" s="50"/>
      <c r="E12" s="50"/>
      <c r="F12" s="50"/>
      <c r="G12" s="50"/>
      <c r="H12" s="50"/>
    </row>
    <row r="13" spans="1:10" ht="19.5" customHeight="1" x14ac:dyDescent="0.25">
      <c r="A13" s="27" t="s">
        <v>113</v>
      </c>
      <c r="B13" s="51"/>
      <c r="C13" s="52"/>
      <c r="D13" s="52"/>
      <c r="E13" s="52"/>
      <c r="F13" s="52"/>
      <c r="G13" s="52"/>
      <c r="H13" s="52"/>
    </row>
    <row r="14" spans="1:10" ht="19.5" customHeight="1" x14ac:dyDescent="0.25">
      <c r="A14" s="48" t="s">
        <v>114</v>
      </c>
      <c r="B14" s="49"/>
      <c r="C14" s="50"/>
      <c r="D14" s="50"/>
      <c r="E14" s="50"/>
      <c r="F14" s="50"/>
      <c r="G14" s="50"/>
      <c r="H14" s="50"/>
    </row>
    <row r="15" spans="1:10" ht="19.5" customHeight="1" x14ac:dyDescent="0.25">
      <c r="A15" s="27" t="s">
        <v>115</v>
      </c>
      <c r="B15" s="51"/>
      <c r="C15" s="52"/>
      <c r="D15" s="52"/>
      <c r="E15" s="52"/>
      <c r="F15" s="52"/>
      <c r="G15" s="52"/>
      <c r="H15" s="52"/>
    </row>
    <row r="16" spans="1:10" ht="19.5" customHeight="1" x14ac:dyDescent="0.25">
      <c r="A16" s="48" t="s">
        <v>116</v>
      </c>
      <c r="B16" s="49"/>
      <c r="C16" s="50"/>
      <c r="D16" s="50"/>
      <c r="E16" s="50"/>
      <c r="F16" s="50"/>
      <c r="G16" s="50"/>
      <c r="H16" s="50"/>
    </row>
    <row r="17" spans="1:8" ht="19.5" customHeight="1" x14ac:dyDescent="0.25">
      <c r="A17" s="27" t="s">
        <v>117</v>
      </c>
      <c r="B17" s="51"/>
      <c r="C17" s="52"/>
      <c r="D17" s="52"/>
      <c r="E17" s="52"/>
      <c r="F17" s="52"/>
      <c r="G17" s="52"/>
      <c r="H17" s="52"/>
    </row>
  </sheetData>
  <mergeCells count="5">
    <mergeCell ref="A1:J1"/>
    <mergeCell ref="A2:B2"/>
    <mergeCell ref="D2:E2"/>
    <mergeCell ref="F2:G2"/>
    <mergeCell ref="A4:H4"/>
  </mergeCells>
  <dataValidations count="1">
    <dataValidation type="list" sqref="C2" xr:uid="{00000000-0002-0000-0500-000000000000}">
      <formula1>"2023,2024,2025,2026,2027"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424242"/>
  </sheetPr>
  <dimension ref="A1:H102"/>
  <sheetViews>
    <sheetView zoomScaleNormal="100" workbookViewId="0"/>
  </sheetViews>
  <sheetFormatPr defaultColWidth="8.7109375" defaultRowHeight="15" x14ac:dyDescent="0.25"/>
  <cols>
    <col min="1" max="8" width="20" customWidth="1"/>
  </cols>
  <sheetData>
    <row r="1" spans="1:8" ht="30" customHeight="1" x14ac:dyDescent="0.25">
      <c r="A1" s="96" t="s">
        <v>118</v>
      </c>
      <c r="B1" s="96"/>
      <c r="C1" s="96"/>
      <c r="D1" s="96"/>
      <c r="E1" s="96"/>
      <c r="F1" s="96"/>
      <c r="G1" s="96"/>
      <c r="H1" s="96"/>
    </row>
    <row r="2" spans="1:8" ht="36" customHeight="1" x14ac:dyDescent="0.25">
      <c r="A2" s="53" t="s">
        <v>119</v>
      </c>
      <c r="B2" s="53" t="s">
        <v>120</v>
      </c>
      <c r="C2" s="53" t="s">
        <v>121</v>
      </c>
      <c r="D2" s="53" t="s">
        <v>122</v>
      </c>
      <c r="E2" s="53" t="s">
        <v>123</v>
      </c>
      <c r="F2" s="53" t="s">
        <v>124</v>
      </c>
      <c r="G2" s="53" t="s">
        <v>125</v>
      </c>
      <c r="H2" s="53" t="s">
        <v>126</v>
      </c>
    </row>
    <row r="3" spans="1:8" ht="18" customHeight="1" x14ac:dyDescent="0.25">
      <c r="A3" s="54"/>
      <c r="B3" s="55"/>
      <c r="C3" s="54"/>
      <c r="D3" s="54"/>
      <c r="E3" s="54"/>
      <c r="F3" s="54"/>
      <c r="G3" s="54"/>
      <c r="H3" s="54"/>
    </row>
    <row r="4" spans="1:8" ht="18" customHeight="1" x14ac:dyDescent="0.25">
      <c r="A4" s="56"/>
      <c r="B4" s="57"/>
      <c r="C4" s="56"/>
      <c r="D4" s="56"/>
      <c r="E4" s="56"/>
      <c r="F4" s="56"/>
      <c r="G4" s="56"/>
      <c r="H4" s="56"/>
    </row>
    <row r="5" spans="1:8" ht="18" customHeight="1" x14ac:dyDescent="0.25">
      <c r="A5" s="54"/>
      <c r="B5" s="55"/>
      <c r="C5" s="54"/>
      <c r="D5" s="54"/>
      <c r="E5" s="54"/>
      <c r="F5" s="54"/>
      <c r="G5" s="54"/>
      <c r="H5" s="54"/>
    </row>
    <row r="6" spans="1:8" ht="18" customHeight="1" x14ac:dyDescent="0.25">
      <c r="A6" s="56"/>
      <c r="B6" s="57"/>
      <c r="C6" s="56"/>
      <c r="D6" s="56"/>
      <c r="E6" s="56"/>
      <c r="F6" s="56"/>
      <c r="G6" s="56"/>
      <c r="H6" s="56"/>
    </row>
    <row r="7" spans="1:8" ht="18" customHeight="1" x14ac:dyDescent="0.25">
      <c r="A7" s="54"/>
      <c r="B7" s="55"/>
      <c r="C7" s="54"/>
      <c r="D7" s="54"/>
      <c r="E7" s="54"/>
      <c r="F7" s="54"/>
      <c r="G7" s="54"/>
      <c r="H7" s="54"/>
    </row>
    <row r="8" spans="1:8" ht="18" customHeight="1" x14ac:dyDescent="0.25">
      <c r="A8" s="56"/>
      <c r="B8" s="57"/>
      <c r="C8" s="56"/>
      <c r="D8" s="56"/>
      <c r="E8" s="56"/>
      <c r="F8" s="56"/>
      <c r="G8" s="56"/>
      <c r="H8" s="56"/>
    </row>
    <row r="9" spans="1:8" ht="18" customHeight="1" x14ac:dyDescent="0.25">
      <c r="A9" s="54"/>
      <c r="B9" s="55"/>
      <c r="C9" s="54"/>
      <c r="D9" s="54"/>
      <c r="E9" s="54"/>
      <c r="F9" s="54"/>
      <c r="G9" s="54"/>
      <c r="H9" s="54"/>
    </row>
    <row r="10" spans="1:8" ht="18" customHeight="1" x14ac:dyDescent="0.25">
      <c r="A10" s="56"/>
      <c r="B10" s="57"/>
      <c r="C10" s="56"/>
      <c r="D10" s="56"/>
      <c r="E10" s="56"/>
      <c r="F10" s="56"/>
      <c r="G10" s="56"/>
      <c r="H10" s="56"/>
    </row>
    <row r="11" spans="1:8" ht="18" customHeight="1" x14ac:dyDescent="0.25">
      <c r="A11" s="54"/>
      <c r="B11" s="55"/>
      <c r="C11" s="54"/>
      <c r="D11" s="54"/>
      <c r="E11" s="54"/>
      <c r="F11" s="54"/>
      <c r="G11" s="54"/>
      <c r="H11" s="54"/>
    </row>
    <row r="12" spans="1:8" ht="18" customHeight="1" x14ac:dyDescent="0.25">
      <c r="A12" s="56"/>
      <c r="B12" s="57"/>
      <c r="C12" s="56"/>
      <c r="D12" s="56"/>
      <c r="E12" s="56"/>
      <c r="F12" s="56"/>
      <c r="G12" s="56"/>
      <c r="H12" s="56"/>
    </row>
    <row r="13" spans="1:8" ht="18" customHeight="1" x14ac:dyDescent="0.25">
      <c r="A13" s="54"/>
      <c r="B13" s="55"/>
      <c r="C13" s="54"/>
      <c r="D13" s="54"/>
      <c r="E13" s="54"/>
      <c r="F13" s="54"/>
      <c r="G13" s="54"/>
      <c r="H13" s="54"/>
    </row>
    <row r="14" spans="1:8" ht="18" customHeight="1" x14ac:dyDescent="0.25">
      <c r="A14" s="56"/>
      <c r="B14" s="57"/>
      <c r="C14" s="56"/>
      <c r="D14" s="56"/>
      <c r="E14" s="56"/>
      <c r="F14" s="56"/>
      <c r="G14" s="56"/>
      <c r="H14" s="56"/>
    </row>
    <row r="15" spans="1:8" ht="18" customHeight="1" x14ac:dyDescent="0.25">
      <c r="A15" s="54"/>
      <c r="B15" s="55"/>
      <c r="C15" s="54"/>
      <c r="D15" s="54"/>
      <c r="E15" s="54"/>
      <c r="F15" s="54"/>
      <c r="G15" s="54"/>
      <c r="H15" s="54"/>
    </row>
    <row r="16" spans="1:8" ht="18" customHeight="1" x14ac:dyDescent="0.25">
      <c r="A16" s="56"/>
      <c r="B16" s="57"/>
      <c r="C16" s="56"/>
      <c r="D16" s="56"/>
      <c r="E16" s="56"/>
      <c r="F16" s="56"/>
      <c r="G16" s="56"/>
      <c r="H16" s="56"/>
    </row>
    <row r="17" spans="1:8" ht="18" customHeight="1" x14ac:dyDescent="0.25">
      <c r="A17" s="54"/>
      <c r="B17" s="55"/>
      <c r="C17" s="54"/>
      <c r="D17" s="54"/>
      <c r="E17" s="54"/>
      <c r="F17" s="54"/>
      <c r="G17" s="54"/>
      <c r="H17" s="54"/>
    </row>
    <row r="18" spans="1:8" ht="18" customHeight="1" x14ac:dyDescent="0.25">
      <c r="A18" s="56"/>
      <c r="B18" s="57"/>
      <c r="C18" s="56"/>
      <c r="D18" s="56"/>
      <c r="E18" s="56"/>
      <c r="F18" s="56"/>
      <c r="G18" s="56"/>
      <c r="H18" s="56"/>
    </row>
    <row r="19" spans="1:8" ht="18" customHeight="1" x14ac:dyDescent="0.25">
      <c r="A19" s="54"/>
      <c r="B19" s="55"/>
      <c r="C19" s="54"/>
      <c r="D19" s="54"/>
      <c r="E19" s="54"/>
      <c r="F19" s="54"/>
      <c r="G19" s="54"/>
      <c r="H19" s="54"/>
    </row>
    <row r="20" spans="1:8" ht="18" customHeight="1" x14ac:dyDescent="0.25">
      <c r="A20" s="56"/>
      <c r="B20" s="57"/>
      <c r="C20" s="56"/>
      <c r="D20" s="56"/>
      <c r="E20" s="56"/>
      <c r="F20" s="56"/>
      <c r="G20" s="56"/>
      <c r="H20" s="56"/>
    </row>
    <row r="21" spans="1:8" ht="18" customHeight="1" x14ac:dyDescent="0.25">
      <c r="A21" s="54"/>
      <c r="B21" s="55"/>
      <c r="C21" s="54"/>
      <c r="D21" s="54"/>
      <c r="E21" s="54"/>
      <c r="F21" s="54"/>
      <c r="G21" s="54"/>
      <c r="H21" s="54"/>
    </row>
    <row r="22" spans="1:8" ht="18" customHeight="1" x14ac:dyDescent="0.25">
      <c r="A22" s="56"/>
      <c r="B22" s="57"/>
      <c r="C22" s="56"/>
      <c r="D22" s="56"/>
      <c r="E22" s="56"/>
      <c r="F22" s="56"/>
      <c r="G22" s="56"/>
      <c r="H22" s="56"/>
    </row>
    <row r="23" spans="1:8" ht="18" customHeight="1" x14ac:dyDescent="0.25">
      <c r="A23" s="54"/>
      <c r="B23" s="55"/>
      <c r="C23" s="54"/>
      <c r="D23" s="54"/>
      <c r="E23" s="54"/>
      <c r="F23" s="54"/>
      <c r="G23" s="54"/>
      <c r="H23" s="54"/>
    </row>
    <row r="24" spans="1:8" ht="18" customHeight="1" x14ac:dyDescent="0.25">
      <c r="A24" s="56"/>
      <c r="B24" s="57"/>
      <c r="C24" s="56"/>
      <c r="D24" s="56"/>
      <c r="E24" s="56"/>
      <c r="F24" s="56"/>
      <c r="G24" s="56"/>
      <c r="H24" s="56"/>
    </row>
    <row r="25" spans="1:8" ht="18" customHeight="1" x14ac:dyDescent="0.25">
      <c r="A25" s="54"/>
      <c r="B25" s="55"/>
      <c r="C25" s="54"/>
      <c r="D25" s="54"/>
      <c r="E25" s="54"/>
      <c r="F25" s="54"/>
      <c r="G25" s="54"/>
      <c r="H25" s="54"/>
    </row>
    <row r="26" spans="1:8" ht="18" customHeight="1" x14ac:dyDescent="0.25">
      <c r="A26" s="56"/>
      <c r="B26" s="57"/>
      <c r="C26" s="56"/>
      <c r="D26" s="56"/>
      <c r="E26" s="56"/>
      <c r="F26" s="56"/>
      <c r="G26" s="56"/>
      <c r="H26" s="56"/>
    </row>
    <row r="27" spans="1:8" ht="18" customHeight="1" x14ac:dyDescent="0.25">
      <c r="A27" s="54"/>
      <c r="B27" s="55"/>
      <c r="C27" s="54"/>
      <c r="D27" s="54"/>
      <c r="E27" s="54"/>
      <c r="F27" s="54"/>
      <c r="G27" s="54"/>
      <c r="H27" s="54"/>
    </row>
    <row r="28" spans="1:8" ht="18" customHeight="1" x14ac:dyDescent="0.25">
      <c r="A28" s="56"/>
      <c r="B28" s="57"/>
      <c r="C28" s="56"/>
      <c r="D28" s="56"/>
      <c r="E28" s="56"/>
      <c r="F28" s="56"/>
      <c r="G28" s="56"/>
      <c r="H28" s="56"/>
    </row>
    <row r="29" spans="1:8" ht="18" customHeight="1" x14ac:dyDescent="0.25">
      <c r="A29" s="54"/>
      <c r="B29" s="55"/>
      <c r="C29" s="54"/>
      <c r="D29" s="54"/>
      <c r="E29" s="54"/>
      <c r="F29" s="54"/>
      <c r="G29" s="54"/>
      <c r="H29" s="54"/>
    </row>
    <row r="30" spans="1:8" ht="18" customHeight="1" x14ac:dyDescent="0.25">
      <c r="A30" s="56"/>
      <c r="B30" s="57"/>
      <c r="C30" s="56"/>
      <c r="D30" s="56"/>
      <c r="E30" s="56"/>
      <c r="F30" s="56"/>
      <c r="G30" s="56"/>
      <c r="H30" s="56"/>
    </row>
    <row r="31" spans="1:8" ht="18" customHeight="1" x14ac:dyDescent="0.25">
      <c r="A31" s="54"/>
      <c r="B31" s="55"/>
      <c r="C31" s="54"/>
      <c r="D31" s="54"/>
      <c r="E31" s="54"/>
      <c r="F31" s="54"/>
      <c r="G31" s="54"/>
      <c r="H31" s="54"/>
    </row>
    <row r="32" spans="1:8" ht="18" customHeight="1" x14ac:dyDescent="0.25">
      <c r="A32" s="56"/>
      <c r="B32" s="57"/>
      <c r="C32" s="56"/>
      <c r="D32" s="56"/>
      <c r="E32" s="56"/>
      <c r="F32" s="56"/>
      <c r="G32" s="56"/>
      <c r="H32" s="56"/>
    </row>
    <row r="33" spans="1:8" ht="18" customHeight="1" x14ac:dyDescent="0.25">
      <c r="A33" s="54"/>
      <c r="B33" s="55"/>
      <c r="C33" s="54"/>
      <c r="D33" s="54"/>
      <c r="E33" s="54"/>
      <c r="F33" s="54"/>
      <c r="G33" s="54"/>
      <c r="H33" s="54"/>
    </row>
    <row r="34" spans="1:8" ht="18" customHeight="1" x14ac:dyDescent="0.25">
      <c r="A34" s="56"/>
      <c r="B34" s="57"/>
      <c r="C34" s="56"/>
      <c r="D34" s="56"/>
      <c r="E34" s="56"/>
      <c r="F34" s="56"/>
      <c r="G34" s="56"/>
      <c r="H34" s="56"/>
    </row>
    <row r="35" spans="1:8" ht="18" customHeight="1" x14ac:dyDescent="0.25">
      <c r="A35" s="54"/>
      <c r="B35" s="55"/>
      <c r="C35" s="54"/>
      <c r="D35" s="54"/>
      <c r="E35" s="54"/>
      <c r="F35" s="54"/>
      <c r="G35" s="54"/>
      <c r="H35" s="54"/>
    </row>
    <row r="36" spans="1:8" ht="18" customHeight="1" x14ac:dyDescent="0.25">
      <c r="A36" s="56"/>
      <c r="B36" s="57"/>
      <c r="C36" s="56"/>
      <c r="D36" s="56"/>
      <c r="E36" s="56"/>
      <c r="F36" s="56"/>
      <c r="G36" s="56"/>
      <c r="H36" s="56"/>
    </row>
    <row r="37" spans="1:8" ht="18" customHeight="1" x14ac:dyDescent="0.25">
      <c r="A37" s="54"/>
      <c r="B37" s="55"/>
      <c r="C37" s="54"/>
      <c r="D37" s="54"/>
      <c r="E37" s="54"/>
      <c r="F37" s="54"/>
      <c r="G37" s="54"/>
      <c r="H37" s="54"/>
    </row>
    <row r="38" spans="1:8" ht="18" customHeight="1" x14ac:dyDescent="0.25">
      <c r="A38" s="56"/>
      <c r="B38" s="57"/>
      <c r="C38" s="56"/>
      <c r="D38" s="56"/>
      <c r="E38" s="56"/>
      <c r="F38" s="56"/>
      <c r="G38" s="56"/>
      <c r="H38" s="56"/>
    </row>
    <row r="39" spans="1:8" ht="18" customHeight="1" x14ac:dyDescent="0.25">
      <c r="A39" s="54"/>
      <c r="B39" s="55"/>
      <c r="C39" s="54"/>
      <c r="D39" s="54"/>
      <c r="E39" s="54"/>
      <c r="F39" s="54"/>
      <c r="G39" s="54"/>
      <c r="H39" s="54"/>
    </row>
    <row r="40" spans="1:8" ht="18" customHeight="1" x14ac:dyDescent="0.25">
      <c r="A40" s="56"/>
      <c r="B40" s="57"/>
      <c r="C40" s="56"/>
      <c r="D40" s="56"/>
      <c r="E40" s="56"/>
      <c r="F40" s="56"/>
      <c r="G40" s="56"/>
      <c r="H40" s="56"/>
    </row>
    <row r="41" spans="1:8" ht="18" customHeight="1" x14ac:dyDescent="0.25">
      <c r="A41" s="54"/>
      <c r="B41" s="55"/>
      <c r="C41" s="54"/>
      <c r="D41" s="54"/>
      <c r="E41" s="54"/>
      <c r="F41" s="54"/>
      <c r="G41" s="54"/>
      <c r="H41" s="54"/>
    </row>
    <row r="42" spans="1:8" ht="18" customHeight="1" x14ac:dyDescent="0.25">
      <c r="A42" s="56"/>
      <c r="B42" s="57"/>
      <c r="C42" s="56"/>
      <c r="D42" s="56"/>
      <c r="E42" s="56"/>
      <c r="F42" s="56"/>
      <c r="G42" s="56"/>
      <c r="H42" s="56"/>
    </row>
    <row r="43" spans="1:8" ht="18" customHeight="1" x14ac:dyDescent="0.25">
      <c r="A43" s="54"/>
      <c r="B43" s="55"/>
      <c r="C43" s="54"/>
      <c r="D43" s="54"/>
      <c r="E43" s="54"/>
      <c r="F43" s="54"/>
      <c r="G43" s="54"/>
      <c r="H43" s="54"/>
    </row>
    <row r="44" spans="1:8" ht="18" customHeight="1" x14ac:dyDescent="0.25">
      <c r="A44" s="56"/>
      <c r="B44" s="57"/>
      <c r="C44" s="56"/>
      <c r="D44" s="56"/>
      <c r="E44" s="56"/>
      <c r="F44" s="56"/>
      <c r="G44" s="56"/>
      <c r="H44" s="56"/>
    </row>
    <row r="45" spans="1:8" ht="18" customHeight="1" x14ac:dyDescent="0.25">
      <c r="A45" s="54"/>
      <c r="B45" s="55"/>
      <c r="C45" s="54"/>
      <c r="D45" s="54"/>
      <c r="E45" s="54"/>
      <c r="F45" s="54"/>
      <c r="G45" s="54"/>
      <c r="H45" s="54"/>
    </row>
    <row r="46" spans="1:8" ht="18" customHeight="1" x14ac:dyDescent="0.25">
      <c r="A46" s="56"/>
      <c r="B46" s="57"/>
      <c r="C46" s="56"/>
      <c r="D46" s="56"/>
      <c r="E46" s="56"/>
      <c r="F46" s="56"/>
      <c r="G46" s="56"/>
      <c r="H46" s="56"/>
    </row>
    <row r="47" spans="1:8" ht="18" customHeight="1" x14ac:dyDescent="0.25">
      <c r="A47" s="54"/>
      <c r="B47" s="55"/>
      <c r="C47" s="54"/>
      <c r="D47" s="54"/>
      <c r="E47" s="54"/>
      <c r="F47" s="54"/>
      <c r="G47" s="54"/>
      <c r="H47" s="54"/>
    </row>
    <row r="48" spans="1:8" ht="18" customHeight="1" x14ac:dyDescent="0.25">
      <c r="A48" s="56"/>
      <c r="B48" s="57"/>
      <c r="C48" s="56"/>
      <c r="D48" s="56"/>
      <c r="E48" s="56"/>
      <c r="F48" s="56"/>
      <c r="G48" s="56"/>
      <c r="H48" s="56"/>
    </row>
    <row r="49" spans="1:8" ht="18" customHeight="1" x14ac:dyDescent="0.25">
      <c r="A49" s="54"/>
      <c r="B49" s="55"/>
      <c r="C49" s="54"/>
      <c r="D49" s="54"/>
      <c r="E49" s="54"/>
      <c r="F49" s="54"/>
      <c r="G49" s="54"/>
      <c r="H49" s="54"/>
    </row>
    <row r="50" spans="1:8" ht="18" customHeight="1" x14ac:dyDescent="0.25">
      <c r="A50" s="56"/>
      <c r="B50" s="57"/>
      <c r="C50" s="56"/>
      <c r="D50" s="56"/>
      <c r="E50" s="56"/>
      <c r="F50" s="56"/>
      <c r="G50" s="56"/>
      <c r="H50" s="56"/>
    </row>
    <row r="51" spans="1:8" ht="18" customHeight="1" x14ac:dyDescent="0.25">
      <c r="A51" s="54"/>
      <c r="B51" s="55"/>
      <c r="C51" s="54"/>
      <c r="D51" s="54"/>
      <c r="E51" s="54"/>
      <c r="F51" s="54"/>
      <c r="G51" s="54"/>
      <c r="H51" s="54"/>
    </row>
    <row r="52" spans="1:8" ht="18" customHeight="1" x14ac:dyDescent="0.25">
      <c r="A52" s="56"/>
      <c r="B52" s="57"/>
      <c r="C52" s="56"/>
      <c r="D52" s="56"/>
      <c r="E52" s="56"/>
      <c r="F52" s="56"/>
      <c r="G52" s="56"/>
      <c r="H52" s="56"/>
    </row>
    <row r="53" spans="1:8" ht="18" customHeight="1" x14ac:dyDescent="0.25">
      <c r="A53" s="54"/>
      <c r="B53" s="55"/>
      <c r="C53" s="54"/>
      <c r="D53" s="54"/>
      <c r="E53" s="54"/>
      <c r="F53" s="54"/>
      <c r="G53" s="54"/>
      <c r="H53" s="54"/>
    </row>
    <row r="54" spans="1:8" ht="18" customHeight="1" x14ac:dyDescent="0.25">
      <c r="A54" s="56"/>
      <c r="B54" s="57"/>
      <c r="C54" s="56"/>
      <c r="D54" s="56"/>
      <c r="E54" s="56"/>
      <c r="F54" s="56"/>
      <c r="G54" s="56"/>
      <c r="H54" s="56"/>
    </row>
    <row r="55" spans="1:8" ht="18" customHeight="1" x14ac:dyDescent="0.25">
      <c r="A55" s="54"/>
      <c r="B55" s="55"/>
      <c r="C55" s="54"/>
      <c r="D55" s="54"/>
      <c r="E55" s="54"/>
      <c r="F55" s="54"/>
      <c r="G55" s="54"/>
      <c r="H55" s="54"/>
    </row>
    <row r="56" spans="1:8" ht="18" customHeight="1" x14ac:dyDescent="0.25">
      <c r="A56" s="56"/>
      <c r="B56" s="57"/>
      <c r="C56" s="56"/>
      <c r="D56" s="56"/>
      <c r="E56" s="56"/>
      <c r="F56" s="56"/>
      <c r="G56" s="56"/>
      <c r="H56" s="56"/>
    </row>
    <row r="57" spans="1:8" ht="18" customHeight="1" x14ac:dyDescent="0.25">
      <c r="A57" s="54"/>
      <c r="B57" s="55"/>
      <c r="C57" s="54"/>
      <c r="D57" s="54"/>
      <c r="E57" s="54"/>
      <c r="F57" s="54"/>
      <c r="G57" s="54"/>
      <c r="H57" s="54"/>
    </row>
    <row r="58" spans="1:8" ht="18" customHeight="1" x14ac:dyDescent="0.25">
      <c r="A58" s="56"/>
      <c r="B58" s="57"/>
      <c r="C58" s="56"/>
      <c r="D58" s="56"/>
      <c r="E58" s="56"/>
      <c r="F58" s="56"/>
      <c r="G58" s="56"/>
      <c r="H58" s="56"/>
    </row>
    <row r="59" spans="1:8" ht="18" customHeight="1" x14ac:dyDescent="0.25">
      <c r="A59" s="54"/>
      <c r="B59" s="55"/>
      <c r="C59" s="54"/>
      <c r="D59" s="54"/>
      <c r="E59" s="54"/>
      <c r="F59" s="54"/>
      <c r="G59" s="54"/>
      <c r="H59" s="54"/>
    </row>
    <row r="60" spans="1:8" ht="18" customHeight="1" x14ac:dyDescent="0.25">
      <c r="A60" s="56"/>
      <c r="B60" s="57"/>
      <c r="C60" s="56"/>
      <c r="D60" s="56"/>
      <c r="E60" s="56"/>
      <c r="F60" s="56"/>
      <c r="G60" s="56"/>
      <c r="H60" s="56"/>
    </row>
    <row r="61" spans="1:8" ht="18" customHeight="1" x14ac:dyDescent="0.25">
      <c r="A61" s="54"/>
      <c r="B61" s="55"/>
      <c r="C61" s="54"/>
      <c r="D61" s="54"/>
      <c r="E61" s="54"/>
      <c r="F61" s="54"/>
      <c r="G61" s="54"/>
      <c r="H61" s="54"/>
    </row>
    <row r="62" spans="1:8" ht="18" customHeight="1" x14ac:dyDescent="0.25">
      <c r="A62" s="56"/>
      <c r="B62" s="57"/>
      <c r="C62" s="56"/>
      <c r="D62" s="56"/>
      <c r="E62" s="56"/>
      <c r="F62" s="56"/>
      <c r="G62" s="56"/>
      <c r="H62" s="56"/>
    </row>
    <row r="63" spans="1:8" ht="18" customHeight="1" x14ac:dyDescent="0.25">
      <c r="A63" s="54"/>
      <c r="B63" s="55"/>
      <c r="C63" s="54"/>
      <c r="D63" s="54"/>
      <c r="E63" s="54"/>
      <c r="F63" s="54"/>
      <c r="G63" s="54"/>
      <c r="H63" s="54"/>
    </row>
    <row r="64" spans="1:8" ht="18" customHeight="1" x14ac:dyDescent="0.25">
      <c r="A64" s="56"/>
      <c r="B64" s="57"/>
      <c r="C64" s="56"/>
      <c r="D64" s="56"/>
      <c r="E64" s="56"/>
      <c r="F64" s="56"/>
      <c r="G64" s="56"/>
      <c r="H64" s="56"/>
    </row>
    <row r="65" spans="1:8" ht="18" customHeight="1" x14ac:dyDescent="0.25">
      <c r="A65" s="54"/>
      <c r="B65" s="55"/>
      <c r="C65" s="54"/>
      <c r="D65" s="54"/>
      <c r="E65" s="54"/>
      <c r="F65" s="54"/>
      <c r="G65" s="54"/>
      <c r="H65" s="54"/>
    </row>
    <row r="66" spans="1:8" ht="18" customHeight="1" x14ac:dyDescent="0.25">
      <c r="A66" s="56"/>
      <c r="B66" s="57"/>
      <c r="C66" s="56"/>
      <c r="D66" s="56"/>
      <c r="E66" s="56"/>
      <c r="F66" s="56"/>
      <c r="G66" s="56"/>
      <c r="H66" s="56"/>
    </row>
    <row r="67" spans="1:8" ht="18" customHeight="1" x14ac:dyDescent="0.25">
      <c r="A67" s="54"/>
      <c r="B67" s="55"/>
      <c r="C67" s="54"/>
      <c r="D67" s="54"/>
      <c r="E67" s="54"/>
      <c r="F67" s="54"/>
      <c r="G67" s="54"/>
      <c r="H67" s="54"/>
    </row>
    <row r="68" spans="1:8" ht="18" customHeight="1" x14ac:dyDescent="0.25">
      <c r="A68" s="56"/>
      <c r="B68" s="57"/>
      <c r="C68" s="56"/>
      <c r="D68" s="56"/>
      <c r="E68" s="56"/>
      <c r="F68" s="56"/>
      <c r="G68" s="56"/>
      <c r="H68" s="56"/>
    </row>
    <row r="69" spans="1:8" ht="18" customHeight="1" x14ac:dyDescent="0.25">
      <c r="A69" s="54"/>
      <c r="B69" s="55"/>
      <c r="C69" s="54"/>
      <c r="D69" s="54"/>
      <c r="E69" s="54"/>
      <c r="F69" s="54"/>
      <c r="G69" s="54"/>
      <c r="H69" s="54"/>
    </row>
    <row r="70" spans="1:8" ht="18" customHeight="1" x14ac:dyDescent="0.25">
      <c r="A70" s="56"/>
      <c r="B70" s="57"/>
      <c r="C70" s="56"/>
      <c r="D70" s="56"/>
      <c r="E70" s="56"/>
      <c r="F70" s="56"/>
      <c r="G70" s="56"/>
      <c r="H70" s="56"/>
    </row>
    <row r="71" spans="1:8" ht="18" customHeight="1" x14ac:dyDescent="0.25">
      <c r="A71" s="54"/>
      <c r="B71" s="55"/>
      <c r="C71" s="54"/>
      <c r="D71" s="54"/>
      <c r="E71" s="54"/>
      <c r="F71" s="54"/>
      <c r="G71" s="54"/>
      <c r="H71" s="54"/>
    </row>
    <row r="72" spans="1:8" ht="18" customHeight="1" x14ac:dyDescent="0.25">
      <c r="A72" s="56"/>
      <c r="B72" s="57"/>
      <c r="C72" s="56"/>
      <c r="D72" s="56"/>
      <c r="E72" s="56"/>
      <c r="F72" s="56"/>
      <c r="G72" s="56"/>
      <c r="H72" s="56"/>
    </row>
    <row r="73" spans="1:8" ht="18" customHeight="1" x14ac:dyDescent="0.25">
      <c r="A73" s="54"/>
      <c r="B73" s="55"/>
      <c r="C73" s="54"/>
      <c r="D73" s="54"/>
      <c r="E73" s="54"/>
      <c r="F73" s="54"/>
      <c r="G73" s="54"/>
      <c r="H73" s="54"/>
    </row>
    <row r="74" spans="1:8" ht="18" customHeight="1" x14ac:dyDescent="0.25">
      <c r="A74" s="56"/>
      <c r="B74" s="57"/>
      <c r="C74" s="56"/>
      <c r="D74" s="56"/>
      <c r="E74" s="56"/>
      <c r="F74" s="56"/>
      <c r="G74" s="56"/>
      <c r="H74" s="56"/>
    </row>
    <row r="75" spans="1:8" ht="18" customHeight="1" x14ac:dyDescent="0.25">
      <c r="A75" s="54"/>
      <c r="B75" s="55"/>
      <c r="C75" s="54"/>
      <c r="D75" s="54"/>
      <c r="E75" s="54"/>
      <c r="F75" s="54"/>
      <c r="G75" s="54"/>
      <c r="H75" s="54"/>
    </row>
    <row r="76" spans="1:8" ht="18" customHeight="1" x14ac:dyDescent="0.25">
      <c r="A76" s="56"/>
      <c r="B76" s="57"/>
      <c r="C76" s="56"/>
      <c r="D76" s="56"/>
      <c r="E76" s="56"/>
      <c r="F76" s="56"/>
      <c r="G76" s="56"/>
      <c r="H76" s="56"/>
    </row>
    <row r="77" spans="1:8" ht="18" customHeight="1" x14ac:dyDescent="0.25">
      <c r="A77" s="54"/>
      <c r="B77" s="55"/>
      <c r="C77" s="54"/>
      <c r="D77" s="54"/>
      <c r="E77" s="54"/>
      <c r="F77" s="54"/>
      <c r="G77" s="54"/>
      <c r="H77" s="54"/>
    </row>
    <row r="78" spans="1:8" ht="18" customHeight="1" x14ac:dyDescent="0.25">
      <c r="A78" s="56"/>
      <c r="B78" s="57"/>
      <c r="C78" s="56"/>
      <c r="D78" s="56"/>
      <c r="E78" s="56"/>
      <c r="F78" s="56"/>
      <c r="G78" s="56"/>
      <c r="H78" s="56"/>
    </row>
    <row r="79" spans="1:8" ht="18" customHeight="1" x14ac:dyDescent="0.25">
      <c r="A79" s="54"/>
      <c r="B79" s="55"/>
      <c r="C79" s="54"/>
      <c r="D79" s="54"/>
      <c r="E79" s="54"/>
      <c r="F79" s="54"/>
      <c r="G79" s="54"/>
      <c r="H79" s="54"/>
    </row>
    <row r="80" spans="1:8" ht="18" customHeight="1" x14ac:dyDescent="0.25">
      <c r="A80" s="56"/>
      <c r="B80" s="57"/>
      <c r="C80" s="56"/>
      <c r="D80" s="56"/>
      <c r="E80" s="56"/>
      <c r="F80" s="56"/>
      <c r="G80" s="56"/>
      <c r="H80" s="56"/>
    </row>
    <row r="81" spans="1:8" ht="18" customHeight="1" x14ac:dyDescent="0.25">
      <c r="A81" s="54"/>
      <c r="B81" s="55"/>
      <c r="C81" s="54"/>
      <c r="D81" s="54"/>
      <c r="E81" s="54"/>
      <c r="F81" s="54"/>
      <c r="G81" s="54"/>
      <c r="H81" s="54"/>
    </row>
    <row r="82" spans="1:8" ht="18" customHeight="1" x14ac:dyDescent="0.25">
      <c r="A82" s="56"/>
      <c r="B82" s="57"/>
      <c r="C82" s="56"/>
      <c r="D82" s="56"/>
      <c r="E82" s="56"/>
      <c r="F82" s="56"/>
      <c r="G82" s="56"/>
      <c r="H82" s="56"/>
    </row>
    <row r="83" spans="1:8" ht="18" customHeight="1" x14ac:dyDescent="0.25">
      <c r="A83" s="54"/>
      <c r="B83" s="55"/>
      <c r="C83" s="54"/>
      <c r="D83" s="54"/>
      <c r="E83" s="54"/>
      <c r="F83" s="54"/>
      <c r="G83" s="54"/>
      <c r="H83" s="54"/>
    </row>
    <row r="84" spans="1:8" ht="18" customHeight="1" x14ac:dyDescent="0.25">
      <c r="A84" s="56"/>
      <c r="B84" s="57"/>
      <c r="C84" s="56"/>
      <c r="D84" s="56"/>
      <c r="E84" s="56"/>
      <c r="F84" s="56"/>
      <c r="G84" s="56"/>
      <c r="H84" s="56"/>
    </row>
    <row r="85" spans="1:8" ht="18" customHeight="1" x14ac:dyDescent="0.25">
      <c r="A85" s="54"/>
      <c r="B85" s="55"/>
      <c r="C85" s="54"/>
      <c r="D85" s="54"/>
      <c r="E85" s="54"/>
      <c r="F85" s="54"/>
      <c r="G85" s="54"/>
      <c r="H85" s="54"/>
    </row>
    <row r="86" spans="1:8" ht="18" customHeight="1" x14ac:dyDescent="0.25">
      <c r="A86" s="56"/>
      <c r="B86" s="57"/>
      <c r="C86" s="56"/>
      <c r="D86" s="56"/>
      <c r="E86" s="56"/>
      <c r="F86" s="56"/>
      <c r="G86" s="56"/>
      <c r="H86" s="56"/>
    </row>
    <row r="87" spans="1:8" ht="18" customHeight="1" x14ac:dyDescent="0.25">
      <c r="A87" s="54"/>
      <c r="B87" s="55"/>
      <c r="C87" s="54"/>
      <c r="D87" s="54"/>
      <c r="E87" s="54"/>
      <c r="F87" s="54"/>
      <c r="G87" s="54"/>
      <c r="H87" s="54"/>
    </row>
    <row r="88" spans="1:8" ht="18" customHeight="1" x14ac:dyDescent="0.25">
      <c r="A88" s="56"/>
      <c r="B88" s="57"/>
      <c r="C88" s="56"/>
      <c r="D88" s="56"/>
      <c r="E88" s="56"/>
      <c r="F88" s="56"/>
      <c r="G88" s="56"/>
      <c r="H88" s="56"/>
    </row>
    <row r="89" spans="1:8" ht="18" customHeight="1" x14ac:dyDescent="0.25">
      <c r="A89" s="54"/>
      <c r="B89" s="55"/>
      <c r="C89" s="54"/>
      <c r="D89" s="54"/>
      <c r="E89" s="54"/>
      <c r="F89" s="54"/>
      <c r="G89" s="54"/>
      <c r="H89" s="54"/>
    </row>
    <row r="90" spans="1:8" ht="18" customHeight="1" x14ac:dyDescent="0.25">
      <c r="A90" s="56"/>
      <c r="B90" s="57"/>
      <c r="C90" s="56"/>
      <c r="D90" s="56"/>
      <c r="E90" s="56"/>
      <c r="F90" s="56"/>
      <c r="G90" s="56"/>
      <c r="H90" s="56"/>
    </row>
    <row r="91" spans="1:8" ht="18" customHeight="1" x14ac:dyDescent="0.25">
      <c r="A91" s="54"/>
      <c r="B91" s="55"/>
      <c r="C91" s="54"/>
      <c r="D91" s="54"/>
      <c r="E91" s="54"/>
      <c r="F91" s="54"/>
      <c r="G91" s="54"/>
      <c r="H91" s="54"/>
    </row>
    <row r="92" spans="1:8" ht="18" customHeight="1" x14ac:dyDescent="0.25">
      <c r="A92" s="56"/>
      <c r="B92" s="57"/>
      <c r="C92" s="56"/>
      <c r="D92" s="56"/>
      <c r="E92" s="56"/>
      <c r="F92" s="56"/>
      <c r="G92" s="56"/>
      <c r="H92" s="56"/>
    </row>
    <row r="93" spans="1:8" ht="18" customHeight="1" x14ac:dyDescent="0.25">
      <c r="A93" s="54"/>
      <c r="B93" s="55"/>
      <c r="C93" s="54"/>
      <c r="D93" s="54"/>
      <c r="E93" s="54"/>
      <c r="F93" s="54"/>
      <c r="G93" s="54"/>
      <c r="H93" s="54"/>
    </row>
    <row r="94" spans="1:8" ht="18" customHeight="1" x14ac:dyDescent="0.25">
      <c r="A94" s="56"/>
      <c r="B94" s="57"/>
      <c r="C94" s="56"/>
      <c r="D94" s="56"/>
      <c r="E94" s="56"/>
      <c r="F94" s="56"/>
      <c r="G94" s="56"/>
      <c r="H94" s="56"/>
    </row>
    <row r="95" spans="1:8" ht="18" customHeight="1" x14ac:dyDescent="0.25">
      <c r="A95" s="54"/>
      <c r="B95" s="55"/>
      <c r="C95" s="54"/>
      <c r="D95" s="54"/>
      <c r="E95" s="54"/>
      <c r="F95" s="54"/>
      <c r="G95" s="54"/>
      <c r="H95" s="54"/>
    </row>
    <row r="96" spans="1:8" ht="18" customHeight="1" x14ac:dyDescent="0.25">
      <c r="A96" s="56"/>
      <c r="B96" s="57"/>
      <c r="C96" s="56"/>
      <c r="D96" s="56"/>
      <c r="E96" s="56"/>
      <c r="F96" s="56"/>
      <c r="G96" s="56"/>
      <c r="H96" s="56"/>
    </row>
    <row r="97" spans="1:8" ht="18" customHeight="1" x14ac:dyDescent="0.25">
      <c r="A97" s="54"/>
      <c r="B97" s="55"/>
      <c r="C97" s="54"/>
      <c r="D97" s="54"/>
      <c r="E97" s="54"/>
      <c r="F97" s="54"/>
      <c r="G97" s="54"/>
      <c r="H97" s="54"/>
    </row>
    <row r="98" spans="1:8" ht="18" customHeight="1" x14ac:dyDescent="0.25">
      <c r="A98" s="56"/>
      <c r="B98" s="57"/>
      <c r="C98" s="56"/>
      <c r="D98" s="56"/>
      <c r="E98" s="56"/>
      <c r="F98" s="56"/>
      <c r="G98" s="56"/>
      <c r="H98" s="56"/>
    </row>
    <row r="99" spans="1:8" ht="18" customHeight="1" x14ac:dyDescent="0.25">
      <c r="A99" s="54"/>
      <c r="B99" s="55"/>
      <c r="C99" s="54"/>
      <c r="D99" s="54"/>
      <c r="E99" s="54"/>
      <c r="F99" s="54"/>
      <c r="G99" s="54"/>
      <c r="H99" s="54"/>
    </row>
    <row r="100" spans="1:8" ht="18" customHeight="1" x14ac:dyDescent="0.25">
      <c r="A100" s="56"/>
      <c r="B100" s="57"/>
      <c r="C100" s="56"/>
      <c r="D100" s="56"/>
      <c r="E100" s="56"/>
      <c r="F100" s="56"/>
      <c r="G100" s="56"/>
      <c r="H100" s="56"/>
    </row>
    <row r="101" spans="1:8" ht="18" customHeight="1" x14ac:dyDescent="0.25">
      <c r="A101" s="54"/>
      <c r="B101" s="55"/>
      <c r="C101" s="54"/>
      <c r="D101" s="54"/>
      <c r="E101" s="54"/>
      <c r="F101" s="54"/>
      <c r="G101" s="54"/>
      <c r="H101" s="54"/>
    </row>
    <row r="102" spans="1:8" ht="18" customHeight="1" x14ac:dyDescent="0.25">
      <c r="A102" s="56"/>
      <c r="B102" s="57"/>
      <c r="C102" s="56"/>
      <c r="D102" s="56"/>
      <c r="E102" s="56"/>
      <c r="F102" s="56"/>
      <c r="G102" s="56"/>
      <c r="H102" s="56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B00020"/>
  </sheetPr>
  <dimension ref="A1:D21"/>
  <sheetViews>
    <sheetView zoomScaleNormal="100" workbookViewId="0"/>
  </sheetViews>
  <sheetFormatPr defaultColWidth="8.7109375" defaultRowHeight="15" x14ac:dyDescent="0.25"/>
  <cols>
    <col min="1" max="1" width="30" customWidth="1"/>
    <col min="2" max="3" width="20" customWidth="1"/>
    <col min="4" max="4" width="30" customWidth="1"/>
  </cols>
  <sheetData>
    <row r="1" spans="1:4" ht="30" customHeight="1" x14ac:dyDescent="0.25">
      <c r="A1" s="97" t="s">
        <v>127</v>
      </c>
      <c r="B1" s="97"/>
      <c r="C1" s="97"/>
      <c r="D1" s="97"/>
    </row>
    <row r="2" spans="1:4" ht="19.5" customHeight="1" x14ac:dyDescent="0.25">
      <c r="A2" s="58" t="s">
        <v>128</v>
      </c>
      <c r="B2" s="58" t="s">
        <v>129</v>
      </c>
      <c r="C2" s="58" t="s">
        <v>130</v>
      </c>
      <c r="D2" s="58" t="s">
        <v>31</v>
      </c>
    </row>
    <row r="3" spans="1:4" ht="19.5" customHeight="1" x14ac:dyDescent="0.25">
      <c r="A3" s="59" t="s">
        <v>15</v>
      </c>
      <c r="B3" s="59">
        <f>COUNTA(Members!A4:A1000)-COUNTIF(Members!A4:A1000,"")</f>
        <v>-995</v>
      </c>
      <c r="C3" s="60">
        <f t="shared" ref="C3:C8" ca="1" si="0">NOW()</f>
        <v>46122.471305324078</v>
      </c>
      <c r="D3" s="59" t="s">
        <v>131</v>
      </c>
    </row>
    <row r="4" spans="1:4" ht="19.5" customHeight="1" x14ac:dyDescent="0.25">
      <c r="A4" s="61" t="s">
        <v>132</v>
      </c>
      <c r="B4" s="62">
        <f>SUMIF(Transactions!E4:E1000,"Savings Deposit",Transactions!F4:F1000)</f>
        <v>0</v>
      </c>
      <c r="C4" s="63">
        <f t="shared" ca="1" si="0"/>
        <v>46122.471305324078</v>
      </c>
      <c r="D4" s="61" t="s">
        <v>133</v>
      </c>
    </row>
    <row r="5" spans="1:4" ht="19.5" customHeight="1" x14ac:dyDescent="0.25">
      <c r="A5" s="59" t="s">
        <v>134</v>
      </c>
      <c r="B5" s="64">
        <f>SUMIF(Transactions!E4:E1000,"Loan Disbursement",Transactions!F4:F1000)</f>
        <v>0</v>
      </c>
      <c r="C5" s="60">
        <f t="shared" ca="1" si="0"/>
        <v>46122.471305324078</v>
      </c>
      <c r="D5" s="59" t="s">
        <v>133</v>
      </c>
    </row>
    <row r="6" spans="1:4" ht="19.5" customHeight="1" x14ac:dyDescent="0.25">
      <c r="A6" s="61" t="s">
        <v>135</v>
      </c>
      <c r="B6" s="62">
        <f>SUMIF(Transactions!E4:E1000,"Loan Repayment",Transactions!F4:F1000)</f>
        <v>0</v>
      </c>
      <c r="C6" s="63">
        <f t="shared" ca="1" si="0"/>
        <v>46122.471305324078</v>
      </c>
      <c r="D6" s="61" t="s">
        <v>133</v>
      </c>
    </row>
    <row r="7" spans="1:4" ht="19.5" customHeight="1" x14ac:dyDescent="0.25">
      <c r="A7" s="59" t="s">
        <v>136</v>
      </c>
      <c r="B7" s="59">
        <f>B3+B5-B4</f>
        <v>-995</v>
      </c>
      <c r="C7" s="60">
        <f t="shared" ca="1" si="0"/>
        <v>46122.471305324078</v>
      </c>
      <c r="D7" s="59" t="s">
        <v>137</v>
      </c>
    </row>
    <row r="8" spans="1:4" ht="19.5" customHeight="1" x14ac:dyDescent="0.25">
      <c r="A8" s="61" t="s">
        <v>20</v>
      </c>
      <c r="B8" s="61">
        <f>COUNTIF(Pending_Loans!J4:J33,"Pending")</f>
        <v>0</v>
      </c>
      <c r="C8" s="63">
        <f t="shared" ca="1" si="0"/>
        <v>46122.471305324078</v>
      </c>
      <c r="D8" s="61" t="s">
        <v>131</v>
      </c>
    </row>
    <row r="9" spans="1:4" ht="19.5" customHeight="1" x14ac:dyDescent="0.25">
      <c r="A9" s="59" t="s">
        <v>138</v>
      </c>
      <c r="B9" s="59"/>
      <c r="C9" s="59"/>
      <c r="D9" s="59" t="s">
        <v>139</v>
      </c>
    </row>
    <row r="10" spans="1:4" ht="19.5" customHeight="1" x14ac:dyDescent="0.25">
      <c r="A10" s="61" t="s">
        <v>140</v>
      </c>
      <c r="B10" s="61" t="s">
        <v>141</v>
      </c>
      <c r="C10" s="61" t="s">
        <v>142</v>
      </c>
      <c r="D10" s="61" t="s">
        <v>143</v>
      </c>
    </row>
    <row r="11" spans="1:4" ht="19.5" customHeight="1" x14ac:dyDescent="0.25">
      <c r="A11" s="59" t="s">
        <v>144</v>
      </c>
      <c r="B11" s="59"/>
      <c r="C11" s="59"/>
      <c r="D11" s="59" t="s">
        <v>145</v>
      </c>
    </row>
    <row r="12" spans="1:4" ht="19.5" customHeight="1" x14ac:dyDescent="0.25">
      <c r="A12" s="61" t="s">
        <v>146</v>
      </c>
      <c r="B12" s="61"/>
      <c r="C12" s="61"/>
      <c r="D12" s="61" t="s">
        <v>147</v>
      </c>
    </row>
    <row r="13" spans="1:4" ht="19.5" customHeight="1" x14ac:dyDescent="0.25">
      <c r="A13" s="59" t="s">
        <v>148</v>
      </c>
      <c r="B13" s="59" t="s">
        <v>149</v>
      </c>
      <c r="C13" s="59"/>
      <c r="D13" s="59" t="s">
        <v>150</v>
      </c>
    </row>
    <row r="14" spans="1:4" ht="19.5" customHeight="1" x14ac:dyDescent="0.25">
      <c r="A14" s="61" t="s">
        <v>151</v>
      </c>
      <c r="B14" s="61" t="s">
        <v>152</v>
      </c>
      <c r="C14" s="61"/>
      <c r="D14" s="61" t="s">
        <v>153</v>
      </c>
    </row>
    <row r="15" spans="1:4" ht="19.5" customHeight="1" x14ac:dyDescent="0.25">
      <c r="A15" s="59" t="s">
        <v>154</v>
      </c>
      <c r="B15" s="59" t="s">
        <v>155</v>
      </c>
      <c r="C15" s="59"/>
      <c r="D15" s="59" t="s">
        <v>156</v>
      </c>
    </row>
    <row r="16" spans="1:4" ht="19.5" customHeight="1" x14ac:dyDescent="0.25">
      <c r="A16" s="61" t="s">
        <v>157</v>
      </c>
      <c r="B16" s="61" t="s">
        <v>158</v>
      </c>
      <c r="C16" s="61"/>
      <c r="D16" s="61" t="s">
        <v>159</v>
      </c>
    </row>
    <row r="17" spans="1:4" ht="19.5" customHeight="1" x14ac:dyDescent="0.25">
      <c r="A17" s="59" t="s">
        <v>160</v>
      </c>
      <c r="B17" s="59" t="s">
        <v>161</v>
      </c>
      <c r="C17" s="59"/>
      <c r="D17" s="59" t="s">
        <v>162</v>
      </c>
    </row>
    <row r="18" spans="1:4" ht="19.5" customHeight="1" x14ac:dyDescent="0.25">
      <c r="A18" s="61" t="s">
        <v>163</v>
      </c>
      <c r="B18" s="61" t="s">
        <v>164</v>
      </c>
      <c r="C18" s="61"/>
      <c r="D18" s="61" t="s">
        <v>165</v>
      </c>
    </row>
    <row r="19" spans="1:4" ht="19.5" customHeight="1" x14ac:dyDescent="0.25">
      <c r="A19" s="59" t="s">
        <v>166</v>
      </c>
      <c r="B19" s="59" t="s">
        <v>3</v>
      </c>
      <c r="C19" s="60">
        <f ca="1">NOW()</f>
        <v>46122.471305324078</v>
      </c>
      <c r="D19" s="59" t="s">
        <v>167</v>
      </c>
    </row>
    <row r="20" spans="1:4" ht="19.5" customHeight="1" x14ac:dyDescent="0.25">
      <c r="A20" s="61" t="s">
        <v>168</v>
      </c>
      <c r="B20" s="61" t="s">
        <v>169</v>
      </c>
      <c r="C20" s="61"/>
      <c r="D20" s="61" t="s">
        <v>170</v>
      </c>
    </row>
    <row r="21" spans="1:4" ht="19.5" customHeight="1" x14ac:dyDescent="0.25">
      <c r="A21" s="59" t="s">
        <v>171</v>
      </c>
      <c r="B21" s="59" t="s">
        <v>172</v>
      </c>
      <c r="C21" s="59"/>
      <c r="D21" s="59" t="s">
        <v>173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C9A84C"/>
  </sheetPr>
  <dimension ref="A1:C812"/>
  <sheetViews>
    <sheetView zoomScaleNormal="100" workbookViewId="0"/>
  </sheetViews>
  <sheetFormatPr defaultColWidth="8.7109375" defaultRowHeight="15" x14ac:dyDescent="0.25"/>
  <cols>
    <col min="1" max="1" width="12" customWidth="1"/>
    <col min="2" max="2" width="15" customWidth="1"/>
    <col min="3" max="3" width="130" customWidth="1"/>
  </cols>
  <sheetData>
    <row r="1" spans="1:3" ht="31.5" customHeight="1" x14ac:dyDescent="0.25">
      <c r="A1" s="98" t="s">
        <v>174</v>
      </c>
      <c r="B1" s="98"/>
      <c r="C1" s="98"/>
    </row>
    <row r="2" spans="1:3" x14ac:dyDescent="0.25">
      <c r="A2" s="65"/>
      <c r="B2" s="65"/>
    </row>
    <row r="3" spans="1:3" ht="27.75" customHeight="1" x14ac:dyDescent="0.25">
      <c r="A3" s="99" t="s">
        <v>175</v>
      </c>
      <c r="B3" s="99"/>
      <c r="C3" s="99"/>
    </row>
    <row r="4" spans="1:3" ht="13.5" customHeight="1" x14ac:dyDescent="0.25">
      <c r="A4" s="65"/>
      <c r="B4" s="65"/>
      <c r="C4" s="66" t="s">
        <v>176</v>
      </c>
    </row>
    <row r="5" spans="1:3" ht="13.5" customHeight="1" x14ac:dyDescent="0.25">
      <c r="A5" s="65"/>
      <c r="B5" s="65"/>
      <c r="C5" s="66" t="s">
        <v>177</v>
      </c>
    </row>
    <row r="6" spans="1:3" ht="13.5" customHeight="1" x14ac:dyDescent="0.25">
      <c r="A6" s="65"/>
      <c r="B6" s="65"/>
      <c r="C6" s="66" t="s">
        <v>178</v>
      </c>
    </row>
    <row r="7" spans="1:3" ht="13.5" customHeight="1" x14ac:dyDescent="0.25">
      <c r="A7" s="65"/>
      <c r="B7" s="65"/>
      <c r="C7" s="66" t="s">
        <v>176</v>
      </c>
    </row>
    <row r="8" spans="1:3" ht="13.5" customHeight="1" x14ac:dyDescent="0.25">
      <c r="A8" s="65"/>
      <c r="B8" s="65"/>
      <c r="C8" s="67"/>
    </row>
    <row r="9" spans="1:3" ht="13.5" customHeight="1" x14ac:dyDescent="0.25">
      <c r="A9" s="65"/>
      <c r="B9" s="65"/>
      <c r="C9" s="67" t="s">
        <v>179</v>
      </c>
    </row>
    <row r="10" spans="1:3" ht="13.5" customHeight="1" x14ac:dyDescent="0.25">
      <c r="A10" s="65"/>
      <c r="B10" s="65"/>
      <c r="C10" s="67"/>
    </row>
    <row r="11" spans="1:3" ht="13.5" customHeight="1" x14ac:dyDescent="0.25">
      <c r="A11" s="65"/>
      <c r="B11" s="65"/>
      <c r="C11" s="67" t="s">
        <v>180</v>
      </c>
    </row>
    <row r="12" spans="1:3" ht="13.5" customHeight="1" x14ac:dyDescent="0.25">
      <c r="A12" s="65"/>
      <c r="B12" s="65"/>
      <c r="C12" s="66" t="s">
        <v>181</v>
      </c>
    </row>
    <row r="13" spans="1:3" ht="13.5" customHeight="1" x14ac:dyDescent="0.25">
      <c r="A13" s="65"/>
      <c r="B13" s="65"/>
      <c r="C13" s="67" t="s">
        <v>182</v>
      </c>
    </row>
    <row r="14" spans="1:3" ht="13.5" customHeight="1" x14ac:dyDescent="0.25">
      <c r="A14" s="65"/>
      <c r="B14" s="65"/>
      <c r="C14" s="67" t="s">
        <v>183</v>
      </c>
    </row>
    <row r="15" spans="1:3" ht="13.5" customHeight="1" x14ac:dyDescent="0.25">
      <c r="A15" s="65"/>
      <c r="B15" s="65"/>
      <c r="C15" s="67" t="s">
        <v>184</v>
      </c>
    </row>
    <row r="16" spans="1:3" ht="13.5" customHeight="1" x14ac:dyDescent="0.25">
      <c r="A16" s="65"/>
      <c r="B16" s="65"/>
      <c r="C16" s="67" t="s">
        <v>185</v>
      </c>
    </row>
    <row r="17" spans="1:3" ht="13.5" customHeight="1" x14ac:dyDescent="0.25">
      <c r="A17" s="65"/>
      <c r="B17" s="65"/>
      <c r="C17" s="66" t="s">
        <v>186</v>
      </c>
    </row>
    <row r="18" spans="1:3" ht="13.5" customHeight="1" x14ac:dyDescent="0.25">
      <c r="A18" s="65"/>
      <c r="B18" s="65"/>
      <c r="C18" s="67" t="s">
        <v>187</v>
      </c>
    </row>
    <row r="19" spans="1:3" ht="13.5" customHeight="1" x14ac:dyDescent="0.25">
      <c r="A19" s="65"/>
      <c r="B19" s="65"/>
      <c r="C19" s="67" t="s">
        <v>188</v>
      </c>
    </row>
    <row r="20" spans="1:3" ht="13.5" customHeight="1" x14ac:dyDescent="0.25">
      <c r="A20" s="65"/>
      <c r="B20" s="65"/>
      <c r="C20" s="67" t="s">
        <v>189</v>
      </c>
    </row>
    <row r="21" spans="1:3" ht="13.5" customHeight="1" x14ac:dyDescent="0.25">
      <c r="A21" s="65"/>
      <c r="B21" s="65"/>
      <c r="C21" s="67" t="s">
        <v>190</v>
      </c>
    </row>
    <row r="22" spans="1:3" ht="13.5" customHeight="1" x14ac:dyDescent="0.25">
      <c r="A22" s="65"/>
      <c r="B22" s="65"/>
      <c r="C22" s="67" t="s">
        <v>191</v>
      </c>
    </row>
    <row r="23" spans="1:3" ht="13.5" customHeight="1" x14ac:dyDescent="0.25">
      <c r="A23" s="65"/>
      <c r="B23" s="65"/>
      <c r="C23" s="67" t="s">
        <v>192</v>
      </c>
    </row>
    <row r="24" spans="1:3" ht="13.5" customHeight="1" x14ac:dyDescent="0.25">
      <c r="A24" s="65"/>
      <c r="B24" s="65"/>
      <c r="C24" s="67" t="s">
        <v>193</v>
      </c>
    </row>
    <row r="25" spans="1:3" ht="13.5" customHeight="1" x14ac:dyDescent="0.25">
      <c r="A25" s="65"/>
      <c r="B25" s="65"/>
      <c r="C25" s="67" t="s">
        <v>194</v>
      </c>
    </row>
    <row r="26" spans="1:3" ht="13.5" customHeight="1" x14ac:dyDescent="0.25">
      <c r="A26" s="65"/>
      <c r="B26" s="65"/>
      <c r="C26" s="67" t="s">
        <v>195</v>
      </c>
    </row>
    <row r="27" spans="1:3" ht="13.5" customHeight="1" x14ac:dyDescent="0.25">
      <c r="A27" s="65"/>
      <c r="B27" s="65"/>
      <c r="C27" s="67" t="s">
        <v>196</v>
      </c>
    </row>
    <row r="28" spans="1:3" ht="13.5" customHeight="1" x14ac:dyDescent="0.25">
      <c r="A28" s="65"/>
      <c r="B28" s="65"/>
      <c r="C28" s="67" t="s">
        <v>184</v>
      </c>
    </row>
    <row r="29" spans="1:3" ht="13.5" customHeight="1" x14ac:dyDescent="0.25">
      <c r="A29" s="65"/>
      <c r="B29" s="65"/>
      <c r="C29" s="66" t="s">
        <v>197</v>
      </c>
    </row>
    <row r="30" spans="1:3" ht="13.5" customHeight="1" x14ac:dyDescent="0.25">
      <c r="A30" s="65"/>
      <c r="B30" s="65"/>
      <c r="C30" s="67" t="s">
        <v>198</v>
      </c>
    </row>
    <row r="31" spans="1:3" ht="13.5" customHeight="1" x14ac:dyDescent="0.25">
      <c r="A31" s="65"/>
      <c r="B31" s="65"/>
      <c r="C31" s="67" t="s">
        <v>199</v>
      </c>
    </row>
    <row r="32" spans="1:3" ht="13.5" customHeight="1" x14ac:dyDescent="0.25">
      <c r="A32" s="65"/>
      <c r="B32" s="65"/>
      <c r="C32" s="67" t="s">
        <v>200</v>
      </c>
    </row>
    <row r="33" spans="1:3" ht="13.5" customHeight="1" x14ac:dyDescent="0.25">
      <c r="A33" s="65"/>
      <c r="B33" s="65"/>
      <c r="C33" s="67" t="s">
        <v>201</v>
      </c>
    </row>
    <row r="34" spans="1:3" ht="13.5" customHeight="1" x14ac:dyDescent="0.25">
      <c r="A34" s="65"/>
      <c r="B34" s="65"/>
      <c r="C34" s="67"/>
    </row>
    <row r="35" spans="1:3" ht="13.5" customHeight="1" x14ac:dyDescent="0.25">
      <c r="A35" s="65"/>
      <c r="B35" s="65"/>
      <c r="C35" s="67" t="s">
        <v>202</v>
      </c>
    </row>
    <row r="36" spans="1:3" ht="13.5" customHeight="1" x14ac:dyDescent="0.25">
      <c r="A36" s="65"/>
      <c r="B36" s="65"/>
      <c r="C36" s="66" t="s">
        <v>203</v>
      </c>
    </row>
    <row r="37" spans="1:3" ht="13.5" customHeight="1" x14ac:dyDescent="0.25">
      <c r="A37" s="65"/>
      <c r="B37" s="65"/>
      <c r="C37" s="67" t="s">
        <v>204</v>
      </c>
    </row>
    <row r="38" spans="1:3" ht="13.5" customHeight="1" x14ac:dyDescent="0.25">
      <c r="A38" s="65"/>
      <c r="B38" s="65"/>
      <c r="C38" s="67" t="s">
        <v>201</v>
      </c>
    </row>
    <row r="39" spans="1:3" ht="27.75" customHeight="1" x14ac:dyDescent="0.25">
      <c r="A39" s="99" t="s">
        <v>205</v>
      </c>
      <c r="B39" s="99"/>
      <c r="C39" s="99"/>
    </row>
    <row r="40" spans="1:3" ht="13.5" customHeight="1" x14ac:dyDescent="0.25">
      <c r="A40" s="65"/>
      <c r="B40" s="65"/>
      <c r="C40" s="66" t="s">
        <v>176</v>
      </c>
    </row>
    <row r="41" spans="1:3" ht="13.5" customHeight="1" x14ac:dyDescent="0.25">
      <c r="A41" s="65"/>
      <c r="B41" s="65"/>
      <c r="C41" s="66" t="s">
        <v>206</v>
      </c>
    </row>
    <row r="42" spans="1:3" ht="13.5" customHeight="1" x14ac:dyDescent="0.25">
      <c r="A42" s="65"/>
      <c r="B42" s="65"/>
      <c r="C42" s="66" t="s">
        <v>207</v>
      </c>
    </row>
    <row r="43" spans="1:3" ht="13.5" customHeight="1" x14ac:dyDescent="0.25">
      <c r="A43" s="65"/>
      <c r="B43" s="65"/>
      <c r="C43" s="66" t="s">
        <v>176</v>
      </c>
    </row>
    <row r="44" spans="1:3" ht="13.5" customHeight="1" x14ac:dyDescent="0.25">
      <c r="A44" s="65"/>
      <c r="B44" s="65"/>
      <c r="C44" s="67"/>
    </row>
    <row r="45" spans="1:3" ht="13.5" customHeight="1" x14ac:dyDescent="0.25">
      <c r="A45" s="65"/>
      <c r="B45" s="65"/>
      <c r="C45" s="67" t="s">
        <v>179</v>
      </c>
    </row>
    <row r="46" spans="1:3" ht="13.5" customHeight="1" x14ac:dyDescent="0.25">
      <c r="A46" s="65"/>
      <c r="B46" s="65"/>
      <c r="C46" s="67"/>
    </row>
    <row r="47" spans="1:3" ht="13.5" customHeight="1" x14ac:dyDescent="0.25">
      <c r="A47" s="65"/>
      <c r="B47" s="65"/>
      <c r="C47" s="66" t="s">
        <v>208</v>
      </c>
    </row>
    <row r="48" spans="1:3" ht="13.5" customHeight="1" x14ac:dyDescent="0.25">
      <c r="A48" s="65"/>
      <c r="B48" s="65"/>
      <c r="C48" s="67" t="s">
        <v>209</v>
      </c>
    </row>
    <row r="49" spans="1:3" ht="13.5" customHeight="1" x14ac:dyDescent="0.25">
      <c r="A49" s="65"/>
      <c r="B49" s="65"/>
      <c r="C49" s="67" t="s">
        <v>210</v>
      </c>
    </row>
    <row r="50" spans="1:3" ht="13.5" customHeight="1" x14ac:dyDescent="0.25">
      <c r="A50" s="65"/>
      <c r="B50" s="65"/>
      <c r="C50" s="67" t="s">
        <v>211</v>
      </c>
    </row>
    <row r="51" spans="1:3" ht="13.5" customHeight="1" x14ac:dyDescent="0.25">
      <c r="A51" s="65"/>
      <c r="B51" s="65"/>
      <c r="C51" s="67" t="s">
        <v>212</v>
      </c>
    </row>
    <row r="52" spans="1:3" ht="13.5" customHeight="1" x14ac:dyDescent="0.25">
      <c r="A52" s="65"/>
      <c r="B52" s="65"/>
      <c r="C52" s="67" t="s">
        <v>213</v>
      </c>
    </row>
    <row r="53" spans="1:3" ht="13.5" customHeight="1" x14ac:dyDescent="0.25">
      <c r="A53" s="65"/>
      <c r="B53" s="65"/>
      <c r="C53" s="67" t="s">
        <v>214</v>
      </c>
    </row>
    <row r="54" spans="1:3" ht="13.5" customHeight="1" x14ac:dyDescent="0.25">
      <c r="A54" s="65"/>
      <c r="B54" s="65"/>
      <c r="C54" s="67" t="s">
        <v>215</v>
      </c>
    </row>
    <row r="55" spans="1:3" ht="13.5" customHeight="1" x14ac:dyDescent="0.25">
      <c r="A55" s="65"/>
      <c r="B55" s="65"/>
      <c r="C55" s="66" t="s">
        <v>216</v>
      </c>
    </row>
    <row r="56" spans="1:3" ht="13.5" customHeight="1" x14ac:dyDescent="0.25">
      <c r="A56" s="65"/>
      <c r="B56" s="65"/>
      <c r="C56" s="67" t="s">
        <v>217</v>
      </c>
    </row>
    <row r="57" spans="1:3" ht="13.5" customHeight="1" x14ac:dyDescent="0.25">
      <c r="A57" s="65"/>
      <c r="B57" s="65"/>
      <c r="C57" s="67" t="s">
        <v>218</v>
      </c>
    </row>
    <row r="58" spans="1:3" ht="13.5" customHeight="1" x14ac:dyDescent="0.25">
      <c r="A58" s="65"/>
      <c r="B58" s="65"/>
      <c r="C58" s="67" t="s">
        <v>219</v>
      </c>
    </row>
    <row r="59" spans="1:3" ht="13.5" customHeight="1" x14ac:dyDescent="0.25">
      <c r="A59" s="65"/>
      <c r="B59" s="65"/>
      <c r="C59" s="67" t="s">
        <v>220</v>
      </c>
    </row>
    <row r="60" spans="1:3" ht="13.5" customHeight="1" x14ac:dyDescent="0.25">
      <c r="A60" s="65"/>
      <c r="B60" s="65"/>
      <c r="C60" s="67" t="s">
        <v>221</v>
      </c>
    </row>
    <row r="61" spans="1:3" ht="13.5" customHeight="1" x14ac:dyDescent="0.25">
      <c r="A61" s="65"/>
      <c r="B61" s="65"/>
      <c r="C61" s="67" t="s">
        <v>201</v>
      </c>
    </row>
    <row r="62" spans="1:3" ht="13.5" customHeight="1" x14ac:dyDescent="0.25">
      <c r="A62" s="65"/>
      <c r="B62" s="65"/>
      <c r="C62" s="67"/>
    </row>
    <row r="63" spans="1:3" ht="13.5" customHeight="1" x14ac:dyDescent="0.25">
      <c r="A63" s="65"/>
      <c r="B63" s="65"/>
      <c r="C63" s="67" t="s">
        <v>222</v>
      </c>
    </row>
    <row r="64" spans="1:3" ht="13.5" customHeight="1" x14ac:dyDescent="0.25">
      <c r="A64" s="65"/>
      <c r="B64" s="65"/>
      <c r="C64" s="67" t="s">
        <v>210</v>
      </c>
    </row>
    <row r="65" spans="1:3" ht="13.5" customHeight="1" x14ac:dyDescent="0.25">
      <c r="A65" s="65"/>
      <c r="B65" s="65"/>
      <c r="C65" s="67" t="s">
        <v>211</v>
      </c>
    </row>
    <row r="66" spans="1:3" ht="13.5" customHeight="1" x14ac:dyDescent="0.25">
      <c r="A66" s="65"/>
      <c r="B66" s="65"/>
      <c r="C66" s="67" t="s">
        <v>223</v>
      </c>
    </row>
    <row r="67" spans="1:3" ht="13.5" customHeight="1" x14ac:dyDescent="0.25">
      <c r="A67" s="65"/>
      <c r="B67" s="65"/>
      <c r="C67" s="67" t="s">
        <v>215</v>
      </c>
    </row>
    <row r="68" spans="1:3" ht="13.5" customHeight="1" x14ac:dyDescent="0.25">
      <c r="A68" s="65"/>
      <c r="B68" s="65"/>
      <c r="C68" s="67" t="s">
        <v>217</v>
      </c>
    </row>
    <row r="69" spans="1:3" ht="13.5" customHeight="1" x14ac:dyDescent="0.25">
      <c r="A69" s="65"/>
      <c r="B69" s="65"/>
      <c r="C69" s="67" t="s">
        <v>224</v>
      </c>
    </row>
    <row r="70" spans="1:3" ht="13.5" customHeight="1" x14ac:dyDescent="0.25">
      <c r="A70" s="65"/>
      <c r="B70" s="65"/>
      <c r="C70" s="67" t="s">
        <v>225</v>
      </c>
    </row>
    <row r="71" spans="1:3" ht="13.5" customHeight="1" x14ac:dyDescent="0.25">
      <c r="A71" s="65"/>
      <c r="B71" s="65"/>
      <c r="C71" s="67" t="s">
        <v>220</v>
      </c>
    </row>
    <row r="72" spans="1:3" ht="13.5" customHeight="1" x14ac:dyDescent="0.25">
      <c r="A72" s="65"/>
      <c r="B72" s="65"/>
      <c r="C72" s="67" t="s">
        <v>221</v>
      </c>
    </row>
    <row r="73" spans="1:3" ht="13.5" customHeight="1" x14ac:dyDescent="0.25">
      <c r="A73" s="65"/>
      <c r="B73" s="65"/>
      <c r="C73" s="67" t="s">
        <v>201</v>
      </c>
    </row>
    <row r="74" spans="1:3" ht="13.5" customHeight="1" x14ac:dyDescent="0.25">
      <c r="A74" s="65"/>
      <c r="B74" s="65"/>
      <c r="C74" s="67"/>
    </row>
    <row r="75" spans="1:3" ht="13.5" customHeight="1" x14ac:dyDescent="0.25">
      <c r="A75" s="65"/>
      <c r="B75" s="65"/>
      <c r="C75" s="66" t="s">
        <v>226</v>
      </c>
    </row>
    <row r="76" spans="1:3" ht="13.5" customHeight="1" x14ac:dyDescent="0.25">
      <c r="A76" s="65"/>
      <c r="B76" s="65"/>
      <c r="C76" s="67" t="s">
        <v>227</v>
      </c>
    </row>
    <row r="77" spans="1:3" ht="13.5" customHeight="1" x14ac:dyDescent="0.25">
      <c r="A77" s="65"/>
      <c r="B77" s="65"/>
      <c r="C77" s="67" t="s">
        <v>228</v>
      </c>
    </row>
    <row r="78" spans="1:3" ht="13.5" customHeight="1" x14ac:dyDescent="0.25">
      <c r="A78" s="65"/>
      <c r="B78" s="65"/>
      <c r="C78" s="67" t="s">
        <v>229</v>
      </c>
    </row>
    <row r="79" spans="1:3" ht="13.5" customHeight="1" x14ac:dyDescent="0.25">
      <c r="A79" s="65"/>
      <c r="B79" s="65"/>
      <c r="C79" s="67" t="s">
        <v>201</v>
      </c>
    </row>
    <row r="80" spans="1:3" ht="13.5" customHeight="1" x14ac:dyDescent="0.25">
      <c r="A80" s="65"/>
      <c r="B80" s="65"/>
      <c r="C80" s="67"/>
    </row>
    <row r="81" spans="1:3" ht="13.5" customHeight="1" x14ac:dyDescent="0.25">
      <c r="A81" s="65"/>
      <c r="B81" s="65"/>
      <c r="C81" s="66" t="s">
        <v>230</v>
      </c>
    </row>
    <row r="82" spans="1:3" ht="13.5" customHeight="1" x14ac:dyDescent="0.25">
      <c r="A82" s="65"/>
      <c r="B82" s="65"/>
      <c r="C82" s="67" t="s">
        <v>231</v>
      </c>
    </row>
    <row r="83" spans="1:3" ht="13.5" customHeight="1" x14ac:dyDescent="0.25">
      <c r="A83" s="65"/>
      <c r="B83" s="65"/>
      <c r="C83" s="67" t="s">
        <v>232</v>
      </c>
    </row>
    <row r="84" spans="1:3" ht="13.5" customHeight="1" x14ac:dyDescent="0.25">
      <c r="A84" s="65"/>
      <c r="B84" s="65"/>
      <c r="C84" s="67" t="s">
        <v>233</v>
      </c>
    </row>
    <row r="85" spans="1:3" ht="13.5" customHeight="1" x14ac:dyDescent="0.25">
      <c r="A85" s="65"/>
      <c r="B85" s="65"/>
      <c r="C85" s="67" t="s">
        <v>184</v>
      </c>
    </row>
    <row r="86" spans="1:3" ht="13.5" customHeight="1" x14ac:dyDescent="0.25">
      <c r="A86" s="65"/>
      <c r="B86" s="65"/>
      <c r="C86" s="67" t="s">
        <v>234</v>
      </c>
    </row>
    <row r="87" spans="1:3" ht="13.5" customHeight="1" x14ac:dyDescent="0.25">
      <c r="A87" s="65"/>
      <c r="B87" s="65"/>
      <c r="C87" s="67" t="s">
        <v>235</v>
      </c>
    </row>
    <row r="88" spans="1:3" ht="13.5" customHeight="1" x14ac:dyDescent="0.25">
      <c r="A88" s="65"/>
      <c r="B88" s="65"/>
      <c r="C88" s="67" t="s">
        <v>236</v>
      </c>
    </row>
    <row r="89" spans="1:3" ht="13.5" customHeight="1" x14ac:dyDescent="0.25">
      <c r="A89" s="65"/>
      <c r="B89" s="65"/>
      <c r="C89" s="67" t="s">
        <v>196</v>
      </c>
    </row>
    <row r="90" spans="1:3" ht="13.5" customHeight="1" x14ac:dyDescent="0.25">
      <c r="A90" s="65"/>
      <c r="B90" s="65"/>
      <c r="C90" s="67" t="s">
        <v>184</v>
      </c>
    </row>
    <row r="91" spans="1:3" ht="13.5" customHeight="1" x14ac:dyDescent="0.25">
      <c r="A91" s="65"/>
      <c r="B91" s="65"/>
      <c r="C91" s="66" t="s">
        <v>237</v>
      </c>
    </row>
    <row r="92" spans="1:3" ht="13.5" customHeight="1" x14ac:dyDescent="0.25">
      <c r="A92" s="65"/>
      <c r="B92" s="65"/>
      <c r="C92" s="67" t="s">
        <v>238</v>
      </c>
    </row>
    <row r="93" spans="1:3" ht="13.5" customHeight="1" x14ac:dyDescent="0.25">
      <c r="A93" s="65"/>
      <c r="B93" s="65"/>
      <c r="C93" s="67" t="s">
        <v>239</v>
      </c>
    </row>
    <row r="94" spans="1:3" ht="13.5" customHeight="1" x14ac:dyDescent="0.25">
      <c r="A94" s="65"/>
      <c r="B94" s="65"/>
      <c r="C94" s="67" t="s">
        <v>240</v>
      </c>
    </row>
    <row r="95" spans="1:3" ht="13.5" customHeight="1" x14ac:dyDescent="0.25">
      <c r="A95" s="65"/>
      <c r="B95" s="65"/>
      <c r="C95" s="67" t="s">
        <v>241</v>
      </c>
    </row>
    <row r="96" spans="1:3" ht="13.5" customHeight="1" x14ac:dyDescent="0.25">
      <c r="A96" s="65"/>
      <c r="B96" s="65"/>
      <c r="C96" s="67" t="s">
        <v>242</v>
      </c>
    </row>
    <row r="97" spans="1:3" ht="13.5" customHeight="1" x14ac:dyDescent="0.25">
      <c r="A97" s="65"/>
      <c r="B97" s="65"/>
      <c r="C97" s="67" t="s">
        <v>243</v>
      </c>
    </row>
    <row r="98" spans="1:3" ht="13.5" customHeight="1" x14ac:dyDescent="0.25">
      <c r="A98" s="65"/>
      <c r="B98" s="65"/>
      <c r="C98" s="67" t="s">
        <v>244</v>
      </c>
    </row>
    <row r="99" spans="1:3" ht="13.5" customHeight="1" x14ac:dyDescent="0.25">
      <c r="A99" s="65"/>
      <c r="B99" s="65"/>
      <c r="C99" s="67" t="s">
        <v>245</v>
      </c>
    </row>
    <row r="100" spans="1:3" ht="13.5" customHeight="1" x14ac:dyDescent="0.25">
      <c r="A100" s="65"/>
      <c r="B100" s="65"/>
      <c r="C100" s="67" t="s">
        <v>246</v>
      </c>
    </row>
    <row r="101" spans="1:3" ht="13.5" customHeight="1" x14ac:dyDescent="0.25">
      <c r="A101" s="65"/>
      <c r="B101" s="65"/>
      <c r="C101" s="67" t="s">
        <v>214</v>
      </c>
    </row>
    <row r="102" spans="1:3" ht="13.5" customHeight="1" x14ac:dyDescent="0.25">
      <c r="A102" s="65"/>
      <c r="B102" s="65"/>
      <c r="C102" s="67" t="s">
        <v>247</v>
      </c>
    </row>
    <row r="103" spans="1:3" ht="13.5" customHeight="1" x14ac:dyDescent="0.25">
      <c r="A103" s="65"/>
      <c r="B103" s="65"/>
      <c r="C103" s="67" t="s">
        <v>184</v>
      </c>
    </row>
    <row r="104" spans="1:3" ht="13.5" customHeight="1" x14ac:dyDescent="0.25">
      <c r="A104" s="65"/>
      <c r="B104" s="65"/>
      <c r="C104" s="67" t="s">
        <v>248</v>
      </c>
    </row>
    <row r="105" spans="1:3" ht="13.5" customHeight="1" x14ac:dyDescent="0.25">
      <c r="A105" s="65"/>
      <c r="B105" s="65"/>
      <c r="C105" s="67" t="s">
        <v>249</v>
      </c>
    </row>
    <row r="106" spans="1:3" ht="13.5" customHeight="1" x14ac:dyDescent="0.25">
      <c r="A106" s="65"/>
      <c r="B106" s="65"/>
      <c r="C106" s="67" t="s">
        <v>250</v>
      </c>
    </row>
    <row r="107" spans="1:3" ht="13.5" customHeight="1" x14ac:dyDescent="0.25">
      <c r="A107" s="65"/>
      <c r="B107" s="65"/>
      <c r="C107" s="67" t="s">
        <v>196</v>
      </c>
    </row>
    <row r="108" spans="1:3" ht="13.5" customHeight="1" x14ac:dyDescent="0.25">
      <c r="A108" s="65"/>
      <c r="B108" s="65"/>
      <c r="C108" s="67" t="s">
        <v>201</v>
      </c>
    </row>
    <row r="109" spans="1:3" ht="13.5" customHeight="1" x14ac:dyDescent="0.25">
      <c r="A109" s="65"/>
      <c r="B109" s="65"/>
      <c r="C109" s="67"/>
    </row>
    <row r="110" spans="1:3" ht="13.5" customHeight="1" x14ac:dyDescent="0.25">
      <c r="A110" s="65"/>
      <c r="B110" s="65"/>
      <c r="C110" s="66" t="s">
        <v>251</v>
      </c>
    </row>
    <row r="111" spans="1:3" ht="13.5" customHeight="1" x14ac:dyDescent="0.25">
      <c r="A111" s="65"/>
      <c r="B111" s="65"/>
      <c r="C111" s="67" t="s">
        <v>252</v>
      </c>
    </row>
    <row r="112" spans="1:3" ht="13.5" customHeight="1" x14ac:dyDescent="0.25">
      <c r="A112" s="65"/>
      <c r="B112" s="65"/>
      <c r="C112" s="67" t="s">
        <v>253</v>
      </c>
    </row>
    <row r="113" spans="1:3" ht="13.5" customHeight="1" x14ac:dyDescent="0.25">
      <c r="A113" s="65"/>
      <c r="B113" s="65"/>
      <c r="C113" s="67" t="s">
        <v>254</v>
      </c>
    </row>
    <row r="114" spans="1:3" ht="13.5" customHeight="1" x14ac:dyDescent="0.25">
      <c r="A114" s="65"/>
      <c r="B114" s="65"/>
      <c r="C114" s="67" t="s">
        <v>255</v>
      </c>
    </row>
    <row r="115" spans="1:3" ht="13.5" customHeight="1" x14ac:dyDescent="0.25">
      <c r="A115" s="65"/>
      <c r="B115" s="65"/>
      <c r="C115" s="67" t="s">
        <v>256</v>
      </c>
    </row>
    <row r="116" spans="1:3" ht="13.5" customHeight="1" x14ac:dyDescent="0.25">
      <c r="A116" s="65"/>
      <c r="B116" s="65"/>
      <c r="C116" s="67" t="s">
        <v>257</v>
      </c>
    </row>
    <row r="117" spans="1:3" ht="13.5" customHeight="1" x14ac:dyDescent="0.25">
      <c r="A117" s="65"/>
      <c r="B117" s="65"/>
      <c r="C117" s="67" t="s">
        <v>258</v>
      </c>
    </row>
    <row r="118" spans="1:3" ht="13.5" customHeight="1" x14ac:dyDescent="0.25">
      <c r="A118" s="65"/>
      <c r="B118" s="65"/>
      <c r="C118" s="67" t="s">
        <v>259</v>
      </c>
    </row>
    <row r="119" spans="1:3" ht="13.5" customHeight="1" x14ac:dyDescent="0.25">
      <c r="A119" s="65"/>
      <c r="B119" s="65"/>
      <c r="C119" s="67" t="s">
        <v>260</v>
      </c>
    </row>
    <row r="120" spans="1:3" ht="13.5" customHeight="1" x14ac:dyDescent="0.25">
      <c r="A120" s="65"/>
      <c r="B120" s="65"/>
      <c r="C120" s="67" t="s">
        <v>261</v>
      </c>
    </row>
    <row r="121" spans="1:3" ht="13.5" customHeight="1" x14ac:dyDescent="0.25">
      <c r="A121" s="65"/>
      <c r="B121" s="65"/>
      <c r="C121" s="67" t="s">
        <v>262</v>
      </c>
    </row>
    <row r="122" spans="1:3" ht="13.5" customHeight="1" x14ac:dyDescent="0.25">
      <c r="A122" s="65"/>
      <c r="B122" s="65"/>
      <c r="C122" s="67" t="s">
        <v>263</v>
      </c>
    </row>
    <row r="123" spans="1:3" ht="13.5" customHeight="1" x14ac:dyDescent="0.25">
      <c r="A123" s="65"/>
      <c r="B123" s="65"/>
      <c r="C123" s="67" t="s">
        <v>264</v>
      </c>
    </row>
    <row r="124" spans="1:3" ht="13.5" customHeight="1" x14ac:dyDescent="0.25">
      <c r="A124" s="65"/>
      <c r="B124" s="65"/>
      <c r="C124" s="67" t="s">
        <v>265</v>
      </c>
    </row>
    <row r="125" spans="1:3" ht="13.5" customHeight="1" x14ac:dyDescent="0.25">
      <c r="A125" s="65"/>
      <c r="B125" s="65"/>
      <c r="C125" s="67" t="s">
        <v>266</v>
      </c>
    </row>
    <row r="126" spans="1:3" ht="27.75" customHeight="1" x14ac:dyDescent="0.25">
      <c r="A126" s="99" t="s">
        <v>267</v>
      </c>
      <c r="B126" s="99"/>
      <c r="C126" s="99"/>
    </row>
    <row r="127" spans="1:3" ht="13.5" customHeight="1" x14ac:dyDescent="0.25">
      <c r="A127" s="65"/>
      <c r="B127" s="65"/>
      <c r="C127" s="66" t="s">
        <v>176</v>
      </c>
    </row>
    <row r="128" spans="1:3" ht="13.5" customHeight="1" x14ac:dyDescent="0.25">
      <c r="A128" s="65"/>
      <c r="B128" s="65"/>
      <c r="C128" s="66" t="s">
        <v>268</v>
      </c>
    </row>
    <row r="129" spans="1:3" ht="13.5" customHeight="1" x14ac:dyDescent="0.25">
      <c r="A129" s="65"/>
      <c r="B129" s="65"/>
      <c r="C129" s="66" t="s">
        <v>269</v>
      </c>
    </row>
    <row r="130" spans="1:3" ht="13.5" customHeight="1" x14ac:dyDescent="0.25">
      <c r="A130" s="65"/>
      <c r="B130" s="65"/>
      <c r="C130" s="66" t="s">
        <v>176</v>
      </c>
    </row>
    <row r="131" spans="1:3" ht="13.5" customHeight="1" x14ac:dyDescent="0.25">
      <c r="A131" s="65"/>
      <c r="B131" s="65"/>
      <c r="C131" s="67"/>
    </row>
    <row r="132" spans="1:3" ht="13.5" customHeight="1" x14ac:dyDescent="0.25">
      <c r="A132" s="65"/>
      <c r="B132" s="65"/>
      <c r="C132" s="67" t="s">
        <v>179</v>
      </c>
    </row>
    <row r="133" spans="1:3" ht="13.5" customHeight="1" x14ac:dyDescent="0.25">
      <c r="A133" s="65"/>
      <c r="B133" s="65"/>
      <c r="C133" s="67"/>
    </row>
    <row r="134" spans="1:3" ht="13.5" customHeight="1" x14ac:dyDescent="0.25">
      <c r="A134" s="65"/>
      <c r="B134" s="65"/>
      <c r="C134" s="66" t="s">
        <v>270</v>
      </c>
    </row>
    <row r="135" spans="1:3" ht="13.5" customHeight="1" x14ac:dyDescent="0.25">
      <c r="A135" s="65"/>
      <c r="B135" s="65"/>
      <c r="C135" s="67" t="s">
        <v>271</v>
      </c>
    </row>
    <row r="136" spans="1:3" ht="13.5" customHeight="1" x14ac:dyDescent="0.25">
      <c r="A136" s="65"/>
      <c r="B136" s="65"/>
      <c r="C136" s="67" t="s">
        <v>272</v>
      </c>
    </row>
    <row r="137" spans="1:3" ht="13.5" customHeight="1" x14ac:dyDescent="0.25">
      <c r="A137" s="65"/>
      <c r="B137" s="65"/>
      <c r="C137" s="67" t="s">
        <v>229</v>
      </c>
    </row>
    <row r="138" spans="1:3" ht="13.5" customHeight="1" x14ac:dyDescent="0.25">
      <c r="A138" s="65"/>
      <c r="B138" s="65"/>
      <c r="C138" s="67" t="s">
        <v>201</v>
      </c>
    </row>
    <row r="139" spans="1:3" ht="13.5" customHeight="1" x14ac:dyDescent="0.25">
      <c r="A139" s="65"/>
      <c r="B139" s="65"/>
      <c r="C139" s="67"/>
    </row>
    <row r="140" spans="1:3" ht="13.5" customHeight="1" x14ac:dyDescent="0.25">
      <c r="A140" s="65"/>
      <c r="B140" s="65"/>
      <c r="C140" s="66" t="s">
        <v>273</v>
      </c>
    </row>
    <row r="141" spans="1:3" ht="13.5" customHeight="1" x14ac:dyDescent="0.25">
      <c r="A141" s="65"/>
      <c r="B141" s="65"/>
      <c r="C141" s="67" t="s">
        <v>274</v>
      </c>
    </row>
    <row r="142" spans="1:3" ht="13.5" customHeight="1" x14ac:dyDescent="0.25">
      <c r="A142" s="65"/>
      <c r="B142" s="65"/>
      <c r="C142" s="67" t="s">
        <v>275</v>
      </c>
    </row>
    <row r="143" spans="1:3" ht="13.5" customHeight="1" x14ac:dyDescent="0.25">
      <c r="A143" s="65"/>
      <c r="B143" s="65"/>
      <c r="C143" s="67" t="s">
        <v>254</v>
      </c>
    </row>
    <row r="144" spans="1:3" ht="13.5" customHeight="1" x14ac:dyDescent="0.25">
      <c r="A144" s="65"/>
      <c r="B144" s="65"/>
      <c r="C144" s="67" t="s">
        <v>276</v>
      </c>
    </row>
    <row r="145" spans="1:3" ht="13.5" customHeight="1" x14ac:dyDescent="0.25">
      <c r="A145" s="65"/>
      <c r="B145" s="65"/>
      <c r="C145" s="67" t="s">
        <v>184</v>
      </c>
    </row>
    <row r="146" spans="1:3" ht="13.5" customHeight="1" x14ac:dyDescent="0.25">
      <c r="A146" s="65"/>
      <c r="B146" s="65"/>
      <c r="C146" s="67" t="s">
        <v>255</v>
      </c>
    </row>
    <row r="147" spans="1:3" ht="13.5" customHeight="1" x14ac:dyDescent="0.25">
      <c r="A147" s="65"/>
      <c r="B147" s="65"/>
      <c r="C147" s="66" t="s">
        <v>277</v>
      </c>
    </row>
    <row r="148" spans="1:3" ht="13.5" customHeight="1" x14ac:dyDescent="0.25">
      <c r="A148" s="65"/>
      <c r="B148" s="65"/>
      <c r="C148" s="67" t="s">
        <v>278</v>
      </c>
    </row>
    <row r="149" spans="1:3" ht="13.5" customHeight="1" x14ac:dyDescent="0.25">
      <c r="A149" s="65"/>
      <c r="B149" s="65"/>
      <c r="C149" s="67" t="s">
        <v>257</v>
      </c>
    </row>
    <row r="150" spans="1:3" ht="13.5" customHeight="1" x14ac:dyDescent="0.25">
      <c r="A150" s="65"/>
      <c r="B150" s="65"/>
      <c r="C150" s="66" t="s">
        <v>279</v>
      </c>
    </row>
    <row r="151" spans="1:3" ht="13.5" customHeight="1" x14ac:dyDescent="0.25">
      <c r="A151" s="65"/>
      <c r="B151" s="65"/>
      <c r="C151" s="67" t="s">
        <v>280</v>
      </c>
    </row>
    <row r="152" spans="1:3" ht="13.5" customHeight="1" x14ac:dyDescent="0.25">
      <c r="A152" s="65"/>
      <c r="B152" s="65"/>
      <c r="C152" s="67" t="s">
        <v>281</v>
      </c>
    </row>
    <row r="153" spans="1:3" ht="13.5" customHeight="1" x14ac:dyDescent="0.25">
      <c r="A153" s="65"/>
      <c r="B153" s="65"/>
      <c r="C153" s="67" t="s">
        <v>282</v>
      </c>
    </row>
    <row r="154" spans="1:3" ht="13.5" customHeight="1" x14ac:dyDescent="0.25">
      <c r="A154" s="65"/>
      <c r="B154" s="65"/>
      <c r="C154" s="67" t="s">
        <v>261</v>
      </c>
    </row>
    <row r="155" spans="1:3" ht="13.5" customHeight="1" x14ac:dyDescent="0.25">
      <c r="A155" s="65"/>
      <c r="B155" s="65"/>
      <c r="C155" s="67" t="s">
        <v>262</v>
      </c>
    </row>
    <row r="156" spans="1:3" ht="13.5" customHeight="1" x14ac:dyDescent="0.25">
      <c r="A156" s="65"/>
      <c r="B156" s="65"/>
      <c r="C156" s="67" t="s">
        <v>283</v>
      </c>
    </row>
    <row r="157" spans="1:3" ht="13.5" customHeight="1" x14ac:dyDescent="0.25">
      <c r="A157" s="65"/>
      <c r="B157" s="65"/>
      <c r="C157" s="67" t="s">
        <v>264</v>
      </c>
    </row>
    <row r="158" spans="1:3" ht="13.5" customHeight="1" x14ac:dyDescent="0.25">
      <c r="A158" s="65"/>
      <c r="B158" s="65"/>
      <c r="C158" s="67" t="s">
        <v>284</v>
      </c>
    </row>
    <row r="159" spans="1:3" ht="13.5" customHeight="1" x14ac:dyDescent="0.25">
      <c r="A159" s="65"/>
      <c r="B159" s="65"/>
      <c r="C159" s="67" t="s">
        <v>266</v>
      </c>
    </row>
    <row r="160" spans="1:3" ht="13.5" customHeight="1" x14ac:dyDescent="0.25">
      <c r="A160" s="65"/>
      <c r="B160" s="65"/>
      <c r="C160" s="67"/>
    </row>
    <row r="161" spans="1:3" ht="13.5" customHeight="1" x14ac:dyDescent="0.25">
      <c r="A161" s="65"/>
      <c r="B161" s="65"/>
      <c r="C161" s="66" t="s">
        <v>285</v>
      </c>
    </row>
    <row r="162" spans="1:3" ht="13.5" customHeight="1" x14ac:dyDescent="0.25">
      <c r="A162" s="65"/>
      <c r="B162" s="65"/>
      <c r="C162" s="67" t="s">
        <v>286</v>
      </c>
    </row>
    <row r="163" spans="1:3" ht="13.5" customHeight="1" x14ac:dyDescent="0.25">
      <c r="A163" s="65"/>
      <c r="B163" s="65"/>
      <c r="C163" s="67" t="s">
        <v>287</v>
      </c>
    </row>
    <row r="164" spans="1:3" ht="13.5" customHeight="1" x14ac:dyDescent="0.25">
      <c r="A164" s="65"/>
      <c r="B164" s="65"/>
      <c r="C164" s="67" t="s">
        <v>276</v>
      </c>
    </row>
    <row r="165" spans="1:3" ht="13.5" customHeight="1" x14ac:dyDescent="0.25">
      <c r="A165" s="65"/>
      <c r="B165" s="65"/>
      <c r="C165" s="67" t="s">
        <v>184</v>
      </c>
    </row>
    <row r="166" spans="1:3" ht="13.5" customHeight="1" x14ac:dyDescent="0.25">
      <c r="A166" s="65"/>
      <c r="B166" s="65"/>
      <c r="C166" s="66" t="s">
        <v>288</v>
      </c>
    </row>
    <row r="167" spans="1:3" ht="13.5" customHeight="1" x14ac:dyDescent="0.25">
      <c r="A167" s="65"/>
      <c r="B167" s="65"/>
      <c r="C167" s="67" t="s">
        <v>289</v>
      </c>
    </row>
    <row r="168" spans="1:3" ht="13.5" customHeight="1" x14ac:dyDescent="0.25">
      <c r="A168" s="65"/>
      <c r="B168" s="65"/>
      <c r="C168" s="67" t="s">
        <v>290</v>
      </c>
    </row>
    <row r="169" spans="1:3" ht="13.5" customHeight="1" x14ac:dyDescent="0.25">
      <c r="A169" s="65"/>
      <c r="B169" s="65"/>
      <c r="C169" s="67" t="s">
        <v>291</v>
      </c>
    </row>
    <row r="170" spans="1:3" ht="13.5" customHeight="1" x14ac:dyDescent="0.25">
      <c r="A170" s="65"/>
      <c r="B170" s="65"/>
      <c r="C170" s="67" t="s">
        <v>292</v>
      </c>
    </row>
    <row r="171" spans="1:3" ht="13.5" customHeight="1" x14ac:dyDescent="0.25">
      <c r="A171" s="65"/>
      <c r="B171" s="65"/>
      <c r="C171" s="67" t="s">
        <v>293</v>
      </c>
    </row>
    <row r="172" spans="1:3" ht="13.5" customHeight="1" x14ac:dyDescent="0.25">
      <c r="A172" s="65"/>
      <c r="B172" s="65"/>
      <c r="C172" s="67" t="s">
        <v>294</v>
      </c>
    </row>
    <row r="173" spans="1:3" ht="13.5" customHeight="1" x14ac:dyDescent="0.25">
      <c r="A173" s="65"/>
      <c r="B173" s="65"/>
      <c r="C173" s="67" t="s">
        <v>214</v>
      </c>
    </row>
    <row r="174" spans="1:3" ht="13.5" customHeight="1" x14ac:dyDescent="0.25">
      <c r="A174" s="65"/>
      <c r="B174" s="65"/>
      <c r="C174" s="67" t="s">
        <v>295</v>
      </c>
    </row>
    <row r="175" spans="1:3" ht="13.5" customHeight="1" x14ac:dyDescent="0.25">
      <c r="A175" s="65"/>
      <c r="B175" s="65"/>
      <c r="C175" s="67" t="s">
        <v>296</v>
      </c>
    </row>
    <row r="176" spans="1:3" ht="13.5" customHeight="1" x14ac:dyDescent="0.25">
      <c r="A176" s="65"/>
      <c r="B176" s="65"/>
      <c r="C176" s="67" t="s">
        <v>294</v>
      </c>
    </row>
    <row r="177" spans="1:3" ht="13.5" customHeight="1" x14ac:dyDescent="0.25">
      <c r="A177" s="65"/>
      <c r="B177" s="65"/>
      <c r="C177" s="67" t="s">
        <v>214</v>
      </c>
    </row>
    <row r="178" spans="1:3" ht="13.5" customHeight="1" x14ac:dyDescent="0.25">
      <c r="A178" s="65"/>
      <c r="B178" s="65"/>
      <c r="C178" s="67" t="s">
        <v>297</v>
      </c>
    </row>
    <row r="179" spans="1:3" ht="13.5" customHeight="1" x14ac:dyDescent="0.25">
      <c r="A179" s="65"/>
      <c r="B179" s="65"/>
      <c r="C179" s="67" t="s">
        <v>184</v>
      </c>
    </row>
    <row r="180" spans="1:3" ht="13.5" customHeight="1" x14ac:dyDescent="0.25">
      <c r="A180" s="65"/>
      <c r="B180" s="65"/>
      <c r="C180" s="66" t="s">
        <v>298</v>
      </c>
    </row>
    <row r="181" spans="1:3" ht="13.5" customHeight="1" x14ac:dyDescent="0.25">
      <c r="A181" s="65"/>
      <c r="B181" s="65"/>
      <c r="C181" s="67" t="s">
        <v>299</v>
      </c>
    </row>
    <row r="182" spans="1:3" ht="13.5" customHeight="1" x14ac:dyDescent="0.25">
      <c r="A182" s="65"/>
      <c r="B182" s="65"/>
      <c r="C182" s="67" t="s">
        <v>184</v>
      </c>
    </row>
    <row r="183" spans="1:3" ht="13.5" customHeight="1" x14ac:dyDescent="0.25">
      <c r="A183" s="65"/>
      <c r="B183" s="65"/>
      <c r="C183" s="66" t="s">
        <v>300</v>
      </c>
    </row>
    <row r="184" spans="1:3" ht="13.5" customHeight="1" x14ac:dyDescent="0.25">
      <c r="A184" s="65"/>
      <c r="B184" s="65"/>
      <c r="C184" s="67" t="s">
        <v>301</v>
      </c>
    </row>
    <row r="185" spans="1:3" ht="13.5" customHeight="1" x14ac:dyDescent="0.25">
      <c r="A185" s="65"/>
      <c r="B185" s="65"/>
      <c r="C185" s="67" t="s">
        <v>184</v>
      </c>
    </row>
    <row r="186" spans="1:3" ht="13.5" customHeight="1" x14ac:dyDescent="0.25">
      <c r="A186" s="65"/>
      <c r="B186" s="65"/>
      <c r="C186" s="66" t="s">
        <v>302</v>
      </c>
    </row>
    <row r="187" spans="1:3" ht="13.5" customHeight="1" x14ac:dyDescent="0.25">
      <c r="A187" s="65"/>
      <c r="B187" s="65"/>
      <c r="C187" s="67" t="s">
        <v>303</v>
      </c>
    </row>
    <row r="188" spans="1:3" ht="13.5" customHeight="1" x14ac:dyDescent="0.25">
      <c r="A188" s="65"/>
      <c r="B188" s="65"/>
      <c r="C188" s="67" t="s">
        <v>304</v>
      </c>
    </row>
    <row r="189" spans="1:3" ht="13.5" customHeight="1" x14ac:dyDescent="0.25">
      <c r="A189" s="65"/>
      <c r="B189" s="65"/>
      <c r="C189" s="67" t="s">
        <v>305</v>
      </c>
    </row>
    <row r="190" spans="1:3" ht="13.5" customHeight="1" x14ac:dyDescent="0.25">
      <c r="A190" s="65"/>
      <c r="B190" s="65"/>
      <c r="C190" s="67" t="s">
        <v>306</v>
      </c>
    </row>
    <row r="191" spans="1:3" ht="13.5" customHeight="1" x14ac:dyDescent="0.25">
      <c r="A191" s="65"/>
      <c r="B191" s="65"/>
      <c r="C191" s="67" t="s">
        <v>307</v>
      </c>
    </row>
    <row r="192" spans="1:3" ht="13.5" customHeight="1" x14ac:dyDescent="0.25">
      <c r="A192" s="65"/>
      <c r="B192" s="65"/>
      <c r="C192" s="67" t="s">
        <v>308</v>
      </c>
    </row>
    <row r="193" spans="1:3" ht="13.5" customHeight="1" x14ac:dyDescent="0.25">
      <c r="A193" s="65"/>
      <c r="B193" s="65"/>
      <c r="C193" s="67" t="s">
        <v>309</v>
      </c>
    </row>
    <row r="194" spans="1:3" ht="13.5" customHeight="1" x14ac:dyDescent="0.25">
      <c r="A194" s="65"/>
      <c r="B194" s="65"/>
      <c r="C194" s="67" t="s">
        <v>310</v>
      </c>
    </row>
    <row r="195" spans="1:3" ht="13.5" customHeight="1" x14ac:dyDescent="0.25">
      <c r="A195" s="65"/>
      <c r="B195" s="65"/>
      <c r="C195" s="67" t="s">
        <v>311</v>
      </c>
    </row>
    <row r="196" spans="1:3" ht="13.5" customHeight="1" x14ac:dyDescent="0.25">
      <c r="A196" s="65"/>
      <c r="B196" s="65"/>
      <c r="C196" s="67" t="s">
        <v>312</v>
      </c>
    </row>
    <row r="197" spans="1:3" ht="13.5" customHeight="1" x14ac:dyDescent="0.25">
      <c r="A197" s="65"/>
      <c r="B197" s="65"/>
      <c r="C197" s="67" t="s">
        <v>313</v>
      </c>
    </row>
    <row r="198" spans="1:3" ht="13.5" customHeight="1" x14ac:dyDescent="0.25">
      <c r="A198" s="65"/>
      <c r="B198" s="65"/>
      <c r="C198" s="67" t="s">
        <v>314</v>
      </c>
    </row>
    <row r="199" spans="1:3" ht="13.5" customHeight="1" x14ac:dyDescent="0.25">
      <c r="A199" s="65"/>
      <c r="B199" s="65"/>
      <c r="C199" s="67" t="s">
        <v>221</v>
      </c>
    </row>
    <row r="200" spans="1:3" ht="13.5" customHeight="1" x14ac:dyDescent="0.25">
      <c r="A200" s="65"/>
      <c r="B200" s="65"/>
      <c r="C200" s="67" t="s">
        <v>184</v>
      </c>
    </row>
    <row r="201" spans="1:3" ht="13.5" customHeight="1" x14ac:dyDescent="0.25">
      <c r="A201" s="65"/>
      <c r="B201" s="65"/>
      <c r="C201" s="66" t="s">
        <v>315</v>
      </c>
    </row>
    <row r="202" spans="1:3" ht="13.5" customHeight="1" x14ac:dyDescent="0.25">
      <c r="A202" s="65"/>
      <c r="B202" s="65"/>
      <c r="C202" s="67" t="s">
        <v>316</v>
      </c>
    </row>
    <row r="203" spans="1:3" ht="13.5" customHeight="1" x14ac:dyDescent="0.25">
      <c r="A203" s="65"/>
      <c r="B203" s="65"/>
      <c r="C203" s="67" t="s">
        <v>184</v>
      </c>
    </row>
    <row r="204" spans="1:3" ht="13.5" customHeight="1" x14ac:dyDescent="0.25">
      <c r="A204" s="65"/>
      <c r="B204" s="65"/>
      <c r="C204" s="66" t="s">
        <v>317</v>
      </c>
    </row>
    <row r="205" spans="1:3" ht="13.5" customHeight="1" x14ac:dyDescent="0.25">
      <c r="A205" s="65"/>
      <c r="B205" s="65"/>
      <c r="C205" s="67" t="s">
        <v>318</v>
      </c>
    </row>
    <row r="206" spans="1:3" ht="13.5" customHeight="1" x14ac:dyDescent="0.25">
      <c r="A206" s="65"/>
      <c r="B206" s="65"/>
      <c r="C206" s="67" t="s">
        <v>184</v>
      </c>
    </row>
    <row r="207" spans="1:3" ht="13.5" customHeight="1" x14ac:dyDescent="0.25">
      <c r="A207" s="65"/>
      <c r="B207" s="65"/>
      <c r="C207" s="67" t="s">
        <v>319</v>
      </c>
    </row>
    <row r="208" spans="1:3" ht="13.5" customHeight="1" x14ac:dyDescent="0.25">
      <c r="A208" s="65"/>
      <c r="B208" s="65"/>
      <c r="C208" s="67" t="s">
        <v>320</v>
      </c>
    </row>
    <row r="209" spans="1:3" ht="13.5" customHeight="1" x14ac:dyDescent="0.25">
      <c r="A209" s="65"/>
      <c r="B209" s="65"/>
      <c r="C209" s="67" t="s">
        <v>321</v>
      </c>
    </row>
    <row r="210" spans="1:3" ht="13.5" customHeight="1" x14ac:dyDescent="0.25">
      <c r="A210" s="65"/>
      <c r="B210" s="65"/>
      <c r="C210" s="67" t="s">
        <v>201</v>
      </c>
    </row>
    <row r="211" spans="1:3" ht="13.5" customHeight="1" x14ac:dyDescent="0.25">
      <c r="A211" s="65"/>
      <c r="B211" s="65"/>
      <c r="C211" s="67"/>
    </row>
    <row r="212" spans="1:3" ht="13.5" customHeight="1" x14ac:dyDescent="0.25">
      <c r="A212" s="65"/>
      <c r="B212" s="65"/>
      <c r="C212" s="66" t="s">
        <v>322</v>
      </c>
    </row>
    <row r="213" spans="1:3" ht="13.5" customHeight="1" x14ac:dyDescent="0.25">
      <c r="A213" s="65"/>
      <c r="B213" s="65"/>
      <c r="C213" s="67" t="s">
        <v>323</v>
      </c>
    </row>
    <row r="214" spans="1:3" ht="13.5" customHeight="1" x14ac:dyDescent="0.25">
      <c r="A214" s="65"/>
      <c r="B214" s="65"/>
      <c r="C214" s="67" t="s">
        <v>276</v>
      </c>
    </row>
    <row r="215" spans="1:3" ht="13.5" customHeight="1" x14ac:dyDescent="0.25">
      <c r="A215" s="65"/>
      <c r="B215" s="65"/>
      <c r="C215" s="67" t="s">
        <v>324</v>
      </c>
    </row>
    <row r="216" spans="1:3" ht="13.5" customHeight="1" x14ac:dyDescent="0.25">
      <c r="A216" s="65"/>
      <c r="B216" s="65"/>
      <c r="C216" s="67" t="s">
        <v>325</v>
      </c>
    </row>
    <row r="217" spans="1:3" ht="13.5" customHeight="1" x14ac:dyDescent="0.25">
      <c r="A217" s="65"/>
      <c r="B217" s="65"/>
      <c r="C217" s="67" t="s">
        <v>184</v>
      </c>
    </row>
    <row r="218" spans="1:3" ht="13.5" customHeight="1" x14ac:dyDescent="0.25">
      <c r="A218" s="65"/>
      <c r="B218" s="65"/>
      <c r="C218" s="67" t="s">
        <v>326</v>
      </c>
    </row>
    <row r="219" spans="1:3" ht="13.5" customHeight="1" x14ac:dyDescent="0.25">
      <c r="A219" s="65"/>
      <c r="B219" s="65"/>
      <c r="C219" s="66" t="s">
        <v>327</v>
      </c>
    </row>
    <row r="220" spans="1:3" ht="13.5" customHeight="1" x14ac:dyDescent="0.25">
      <c r="A220" s="65"/>
      <c r="B220" s="65"/>
      <c r="C220" s="67" t="s">
        <v>328</v>
      </c>
    </row>
    <row r="221" spans="1:3" ht="13.5" customHeight="1" x14ac:dyDescent="0.25">
      <c r="A221" s="65"/>
      <c r="B221" s="65"/>
      <c r="C221" s="67" t="s">
        <v>236</v>
      </c>
    </row>
    <row r="222" spans="1:3" ht="13.5" customHeight="1" x14ac:dyDescent="0.25">
      <c r="A222" s="65"/>
      <c r="B222" s="65"/>
      <c r="C222" s="67" t="s">
        <v>196</v>
      </c>
    </row>
    <row r="223" spans="1:3" ht="13.5" customHeight="1" x14ac:dyDescent="0.25">
      <c r="A223" s="65"/>
      <c r="B223" s="65"/>
      <c r="C223" s="67" t="s">
        <v>184</v>
      </c>
    </row>
    <row r="224" spans="1:3" ht="13.5" customHeight="1" x14ac:dyDescent="0.25">
      <c r="A224" s="65"/>
      <c r="B224" s="65"/>
      <c r="C224" s="66" t="s">
        <v>329</v>
      </c>
    </row>
    <row r="225" spans="1:3" ht="13.5" customHeight="1" x14ac:dyDescent="0.25">
      <c r="A225" s="65"/>
      <c r="B225" s="65"/>
      <c r="C225" s="67" t="s">
        <v>330</v>
      </c>
    </row>
    <row r="226" spans="1:3" ht="13.5" customHeight="1" x14ac:dyDescent="0.25">
      <c r="A226" s="65"/>
      <c r="B226" s="65"/>
      <c r="C226" s="66" t="s">
        <v>331</v>
      </c>
    </row>
    <row r="227" spans="1:3" ht="13.5" customHeight="1" x14ac:dyDescent="0.25">
      <c r="A227" s="65"/>
      <c r="B227" s="65"/>
      <c r="C227" s="67" t="s">
        <v>332</v>
      </c>
    </row>
    <row r="228" spans="1:3" ht="13.5" customHeight="1" x14ac:dyDescent="0.25">
      <c r="A228" s="65"/>
      <c r="B228" s="65"/>
      <c r="C228" s="67" t="s">
        <v>333</v>
      </c>
    </row>
    <row r="229" spans="1:3" ht="13.5" customHeight="1" x14ac:dyDescent="0.25">
      <c r="A229" s="65"/>
      <c r="B229" s="65"/>
      <c r="C229" s="67" t="s">
        <v>201</v>
      </c>
    </row>
    <row r="230" spans="1:3" ht="27.75" customHeight="1" x14ac:dyDescent="0.25">
      <c r="A230" s="99" t="s">
        <v>334</v>
      </c>
      <c r="B230" s="99"/>
      <c r="C230" s="99"/>
    </row>
    <row r="231" spans="1:3" ht="13.5" customHeight="1" x14ac:dyDescent="0.25">
      <c r="A231" s="65"/>
      <c r="B231" s="65"/>
      <c r="C231" s="66" t="s">
        <v>176</v>
      </c>
    </row>
    <row r="232" spans="1:3" ht="13.5" customHeight="1" x14ac:dyDescent="0.25">
      <c r="A232" s="65"/>
      <c r="B232" s="65"/>
      <c r="C232" s="66" t="s">
        <v>335</v>
      </c>
    </row>
    <row r="233" spans="1:3" ht="13.5" customHeight="1" x14ac:dyDescent="0.25">
      <c r="A233" s="65"/>
      <c r="B233" s="65"/>
      <c r="C233" s="66" t="s">
        <v>336</v>
      </c>
    </row>
    <row r="234" spans="1:3" ht="13.5" customHeight="1" x14ac:dyDescent="0.25">
      <c r="A234" s="65"/>
      <c r="B234" s="65"/>
      <c r="C234" s="66" t="s">
        <v>176</v>
      </c>
    </row>
    <row r="235" spans="1:3" ht="13.5" customHeight="1" x14ac:dyDescent="0.25">
      <c r="A235" s="65"/>
      <c r="B235" s="65"/>
      <c r="C235" s="67"/>
    </row>
    <row r="236" spans="1:3" ht="13.5" customHeight="1" x14ac:dyDescent="0.25">
      <c r="A236" s="65"/>
      <c r="B236" s="65"/>
      <c r="C236" s="67" t="s">
        <v>179</v>
      </c>
    </row>
    <row r="237" spans="1:3" ht="13.5" customHeight="1" x14ac:dyDescent="0.25">
      <c r="A237" s="65"/>
      <c r="B237" s="65"/>
      <c r="C237" s="67"/>
    </row>
    <row r="238" spans="1:3" ht="13.5" customHeight="1" x14ac:dyDescent="0.25">
      <c r="A238" s="65"/>
      <c r="B238" s="65"/>
      <c r="C238" s="66" t="s">
        <v>337</v>
      </c>
    </row>
    <row r="239" spans="1:3" ht="13.5" customHeight="1" x14ac:dyDescent="0.25">
      <c r="A239" s="65"/>
      <c r="B239" s="65"/>
      <c r="C239" s="67" t="s">
        <v>338</v>
      </c>
    </row>
    <row r="240" spans="1:3" ht="13.5" customHeight="1" x14ac:dyDescent="0.25">
      <c r="A240" s="65"/>
      <c r="B240" s="65"/>
      <c r="C240" s="67" t="s">
        <v>339</v>
      </c>
    </row>
    <row r="241" spans="1:3" ht="13.5" customHeight="1" x14ac:dyDescent="0.25">
      <c r="A241" s="65"/>
      <c r="B241" s="65"/>
      <c r="C241" s="67" t="s">
        <v>340</v>
      </c>
    </row>
    <row r="242" spans="1:3" ht="13.5" customHeight="1" x14ac:dyDescent="0.25">
      <c r="A242" s="65"/>
      <c r="B242" s="65"/>
      <c r="C242" s="67" t="s">
        <v>184</v>
      </c>
    </row>
    <row r="243" spans="1:3" ht="13.5" customHeight="1" x14ac:dyDescent="0.25">
      <c r="A243" s="65"/>
      <c r="B243" s="65"/>
      <c r="C243" s="67" t="s">
        <v>341</v>
      </c>
    </row>
    <row r="244" spans="1:3" ht="13.5" customHeight="1" x14ac:dyDescent="0.25">
      <c r="A244" s="65"/>
      <c r="B244" s="65"/>
      <c r="C244" s="67" t="s">
        <v>342</v>
      </c>
    </row>
    <row r="245" spans="1:3" ht="13.5" customHeight="1" x14ac:dyDescent="0.25">
      <c r="A245" s="65"/>
      <c r="B245" s="65"/>
      <c r="C245" s="67" t="s">
        <v>196</v>
      </c>
    </row>
    <row r="246" spans="1:3" ht="13.5" customHeight="1" x14ac:dyDescent="0.25">
      <c r="A246" s="65"/>
      <c r="B246" s="65"/>
      <c r="C246" s="67" t="s">
        <v>184</v>
      </c>
    </row>
    <row r="247" spans="1:3" ht="13.5" customHeight="1" x14ac:dyDescent="0.25">
      <c r="A247" s="65"/>
      <c r="B247" s="65"/>
      <c r="C247" s="66" t="s">
        <v>343</v>
      </c>
    </row>
    <row r="248" spans="1:3" ht="13.5" customHeight="1" x14ac:dyDescent="0.25">
      <c r="A248" s="65"/>
      <c r="B248" s="65"/>
      <c r="C248" s="67" t="s">
        <v>344</v>
      </c>
    </row>
    <row r="249" spans="1:3" ht="13.5" customHeight="1" x14ac:dyDescent="0.25">
      <c r="A249" s="65"/>
      <c r="B249" s="65"/>
      <c r="C249" s="67" t="s">
        <v>289</v>
      </c>
    </row>
    <row r="250" spans="1:3" ht="13.5" customHeight="1" x14ac:dyDescent="0.25">
      <c r="A250" s="65"/>
      <c r="B250" s="65"/>
      <c r="C250" s="67" t="s">
        <v>290</v>
      </c>
    </row>
    <row r="251" spans="1:3" ht="13.5" customHeight="1" x14ac:dyDescent="0.25">
      <c r="A251" s="65"/>
      <c r="B251" s="65"/>
      <c r="C251" s="67" t="s">
        <v>345</v>
      </c>
    </row>
    <row r="252" spans="1:3" ht="13.5" customHeight="1" x14ac:dyDescent="0.25">
      <c r="A252" s="65"/>
      <c r="B252" s="65"/>
      <c r="C252" s="67" t="s">
        <v>346</v>
      </c>
    </row>
    <row r="253" spans="1:3" ht="13.5" customHeight="1" x14ac:dyDescent="0.25">
      <c r="A253" s="65"/>
      <c r="B253" s="65"/>
      <c r="C253" s="67" t="s">
        <v>214</v>
      </c>
    </row>
    <row r="254" spans="1:3" ht="13.5" customHeight="1" x14ac:dyDescent="0.25">
      <c r="A254" s="65"/>
      <c r="B254" s="65"/>
      <c r="C254" s="67" t="s">
        <v>297</v>
      </c>
    </row>
    <row r="255" spans="1:3" ht="13.5" customHeight="1" x14ac:dyDescent="0.25">
      <c r="A255" s="65"/>
      <c r="B255" s="65"/>
      <c r="C255" s="67" t="s">
        <v>184</v>
      </c>
    </row>
    <row r="256" spans="1:3" ht="13.5" customHeight="1" x14ac:dyDescent="0.25">
      <c r="A256" s="65"/>
      <c r="B256" s="65"/>
      <c r="C256" s="67" t="s">
        <v>347</v>
      </c>
    </row>
    <row r="257" spans="1:3" ht="13.5" customHeight="1" x14ac:dyDescent="0.25">
      <c r="A257" s="65"/>
      <c r="B257" s="65"/>
      <c r="C257" s="67" t="s">
        <v>348</v>
      </c>
    </row>
    <row r="258" spans="1:3" ht="13.5" customHeight="1" x14ac:dyDescent="0.25">
      <c r="A258" s="65"/>
      <c r="B258" s="65"/>
      <c r="C258" s="67" t="s">
        <v>196</v>
      </c>
    </row>
    <row r="259" spans="1:3" ht="13.5" customHeight="1" x14ac:dyDescent="0.25">
      <c r="A259" s="65"/>
      <c r="B259" s="65"/>
      <c r="C259" s="67" t="s">
        <v>184</v>
      </c>
    </row>
    <row r="260" spans="1:3" ht="13.5" customHeight="1" x14ac:dyDescent="0.25">
      <c r="A260" s="65"/>
      <c r="B260" s="65"/>
      <c r="C260" s="66" t="s">
        <v>349</v>
      </c>
    </row>
    <row r="261" spans="1:3" ht="13.5" customHeight="1" x14ac:dyDescent="0.25">
      <c r="A261" s="65"/>
      <c r="B261" s="65"/>
      <c r="C261" s="67" t="s">
        <v>350</v>
      </c>
    </row>
    <row r="262" spans="1:3" ht="13.5" customHeight="1" x14ac:dyDescent="0.25">
      <c r="A262" s="65"/>
      <c r="B262" s="65"/>
      <c r="C262" s="67" t="s">
        <v>351</v>
      </c>
    </row>
    <row r="263" spans="1:3" ht="13.5" customHeight="1" x14ac:dyDescent="0.25">
      <c r="A263" s="65"/>
      <c r="B263" s="65"/>
      <c r="C263" s="67" t="s">
        <v>352</v>
      </c>
    </row>
    <row r="264" spans="1:3" ht="13.5" customHeight="1" x14ac:dyDescent="0.25">
      <c r="A264" s="65"/>
      <c r="B264" s="65"/>
      <c r="C264" s="67" t="s">
        <v>184</v>
      </c>
    </row>
    <row r="265" spans="1:3" ht="13.5" customHeight="1" x14ac:dyDescent="0.25">
      <c r="A265" s="65"/>
      <c r="B265" s="65"/>
      <c r="C265" s="66" t="s">
        <v>353</v>
      </c>
    </row>
    <row r="266" spans="1:3" ht="13.5" customHeight="1" x14ac:dyDescent="0.25">
      <c r="A266" s="65"/>
      <c r="B266" s="65"/>
      <c r="C266" s="67" t="s">
        <v>354</v>
      </c>
    </row>
    <row r="267" spans="1:3" ht="13.5" customHeight="1" x14ac:dyDescent="0.25">
      <c r="A267" s="65"/>
      <c r="B267" s="65"/>
      <c r="C267" s="67" t="s">
        <v>355</v>
      </c>
    </row>
    <row r="268" spans="1:3" ht="13.5" customHeight="1" x14ac:dyDescent="0.25">
      <c r="A268" s="65"/>
      <c r="B268" s="65"/>
      <c r="C268" s="67" t="s">
        <v>184</v>
      </c>
    </row>
    <row r="269" spans="1:3" ht="13.5" customHeight="1" x14ac:dyDescent="0.25">
      <c r="A269" s="65"/>
      <c r="B269" s="65"/>
      <c r="C269" s="67" t="s">
        <v>356</v>
      </c>
    </row>
    <row r="270" spans="1:3" ht="13.5" customHeight="1" x14ac:dyDescent="0.25">
      <c r="A270" s="65"/>
      <c r="B270" s="65"/>
      <c r="C270" s="67" t="s">
        <v>357</v>
      </c>
    </row>
    <row r="271" spans="1:3" ht="13.5" customHeight="1" x14ac:dyDescent="0.25">
      <c r="A271" s="65"/>
      <c r="B271" s="65"/>
      <c r="C271" s="67" t="s">
        <v>184</v>
      </c>
    </row>
    <row r="272" spans="1:3" ht="13.5" customHeight="1" x14ac:dyDescent="0.25">
      <c r="A272" s="65"/>
      <c r="B272" s="65"/>
      <c r="C272" s="67" t="s">
        <v>358</v>
      </c>
    </row>
    <row r="273" spans="1:3" ht="13.5" customHeight="1" x14ac:dyDescent="0.25">
      <c r="A273" s="65"/>
      <c r="B273" s="65"/>
      <c r="C273" s="67" t="s">
        <v>359</v>
      </c>
    </row>
    <row r="274" spans="1:3" ht="13.5" customHeight="1" x14ac:dyDescent="0.25">
      <c r="A274" s="65"/>
      <c r="B274" s="65"/>
      <c r="C274" s="67" t="s">
        <v>360</v>
      </c>
    </row>
    <row r="275" spans="1:3" ht="13.5" customHeight="1" x14ac:dyDescent="0.25">
      <c r="A275" s="65"/>
      <c r="B275" s="65"/>
      <c r="C275" s="67" t="s">
        <v>361</v>
      </c>
    </row>
    <row r="276" spans="1:3" ht="13.5" customHeight="1" x14ac:dyDescent="0.25">
      <c r="A276" s="65"/>
      <c r="B276" s="65"/>
      <c r="C276" s="67" t="s">
        <v>362</v>
      </c>
    </row>
    <row r="277" spans="1:3" ht="13.5" customHeight="1" x14ac:dyDescent="0.25">
      <c r="A277" s="65"/>
      <c r="B277" s="65"/>
      <c r="C277" s="67" t="s">
        <v>363</v>
      </c>
    </row>
    <row r="278" spans="1:3" ht="13.5" customHeight="1" x14ac:dyDescent="0.25">
      <c r="A278" s="65"/>
      <c r="B278" s="65"/>
      <c r="C278" s="67" t="s">
        <v>364</v>
      </c>
    </row>
    <row r="279" spans="1:3" ht="13.5" customHeight="1" x14ac:dyDescent="0.25">
      <c r="A279" s="65"/>
      <c r="B279" s="65"/>
      <c r="C279" s="67" t="s">
        <v>365</v>
      </c>
    </row>
    <row r="280" spans="1:3" ht="13.5" customHeight="1" x14ac:dyDescent="0.25">
      <c r="A280" s="65"/>
      <c r="B280" s="65"/>
      <c r="C280" s="67" t="s">
        <v>366</v>
      </c>
    </row>
    <row r="281" spans="1:3" ht="13.5" customHeight="1" x14ac:dyDescent="0.25">
      <c r="A281" s="65"/>
      <c r="B281" s="65"/>
      <c r="C281" s="67" t="s">
        <v>367</v>
      </c>
    </row>
    <row r="282" spans="1:3" ht="13.5" customHeight="1" x14ac:dyDescent="0.25">
      <c r="A282" s="65"/>
      <c r="B282" s="65"/>
      <c r="C282" s="67" t="s">
        <v>221</v>
      </c>
    </row>
    <row r="283" spans="1:3" ht="13.5" customHeight="1" x14ac:dyDescent="0.25">
      <c r="A283" s="65"/>
      <c r="B283" s="65"/>
      <c r="C283" s="67" t="s">
        <v>184</v>
      </c>
    </row>
    <row r="284" spans="1:3" ht="13.5" customHeight="1" x14ac:dyDescent="0.25">
      <c r="A284" s="65"/>
      <c r="B284" s="65"/>
      <c r="C284" s="66" t="s">
        <v>368</v>
      </c>
    </row>
    <row r="285" spans="1:3" ht="13.5" customHeight="1" x14ac:dyDescent="0.25">
      <c r="A285" s="65"/>
      <c r="B285" s="65"/>
      <c r="C285" s="67" t="s">
        <v>369</v>
      </c>
    </row>
    <row r="286" spans="1:3" ht="13.5" customHeight="1" x14ac:dyDescent="0.25">
      <c r="A286" s="65"/>
      <c r="B286" s="65"/>
      <c r="C286" s="67" t="s">
        <v>184</v>
      </c>
    </row>
    <row r="287" spans="1:3" ht="13.5" customHeight="1" x14ac:dyDescent="0.25">
      <c r="A287" s="65"/>
      <c r="B287" s="65"/>
      <c r="C287" s="66" t="s">
        <v>370</v>
      </c>
    </row>
    <row r="288" spans="1:3" ht="13.5" customHeight="1" x14ac:dyDescent="0.25">
      <c r="A288" s="65"/>
      <c r="B288" s="65"/>
      <c r="C288" s="67" t="s">
        <v>371</v>
      </c>
    </row>
    <row r="289" spans="1:3" ht="13.5" customHeight="1" x14ac:dyDescent="0.25">
      <c r="A289" s="65"/>
      <c r="B289" s="65"/>
      <c r="C289" s="67" t="s">
        <v>372</v>
      </c>
    </row>
    <row r="290" spans="1:3" ht="13.5" customHeight="1" x14ac:dyDescent="0.25">
      <c r="A290" s="65"/>
      <c r="B290" s="65"/>
      <c r="C290" s="67" t="s">
        <v>373</v>
      </c>
    </row>
    <row r="291" spans="1:3" ht="13.5" customHeight="1" x14ac:dyDescent="0.25">
      <c r="A291" s="65"/>
      <c r="B291" s="65"/>
      <c r="C291" s="67" t="s">
        <v>184</v>
      </c>
    </row>
    <row r="292" spans="1:3" ht="13.5" customHeight="1" x14ac:dyDescent="0.25">
      <c r="A292" s="65"/>
      <c r="B292" s="65"/>
      <c r="C292" s="67" t="s">
        <v>374</v>
      </c>
    </row>
    <row r="293" spans="1:3" ht="13.5" customHeight="1" x14ac:dyDescent="0.25">
      <c r="A293" s="65"/>
      <c r="B293" s="65"/>
      <c r="C293" s="67" t="s">
        <v>375</v>
      </c>
    </row>
    <row r="294" spans="1:3" ht="13.5" customHeight="1" x14ac:dyDescent="0.25">
      <c r="A294" s="65"/>
      <c r="B294" s="65"/>
      <c r="C294" s="67" t="s">
        <v>376</v>
      </c>
    </row>
    <row r="295" spans="1:3" ht="13.5" customHeight="1" x14ac:dyDescent="0.25">
      <c r="A295" s="65"/>
      <c r="B295" s="65"/>
      <c r="C295" s="67" t="s">
        <v>201</v>
      </c>
    </row>
    <row r="296" spans="1:3" ht="13.5" customHeight="1" x14ac:dyDescent="0.25">
      <c r="A296" s="65"/>
      <c r="B296" s="65"/>
      <c r="C296" s="67"/>
    </row>
    <row r="297" spans="1:3" ht="13.5" customHeight="1" x14ac:dyDescent="0.25">
      <c r="A297" s="65"/>
      <c r="B297" s="65"/>
      <c r="C297" s="66" t="s">
        <v>377</v>
      </c>
    </row>
    <row r="298" spans="1:3" ht="13.5" customHeight="1" x14ac:dyDescent="0.25">
      <c r="A298" s="65"/>
      <c r="B298" s="65"/>
      <c r="C298" s="67" t="s">
        <v>378</v>
      </c>
    </row>
    <row r="299" spans="1:3" ht="13.5" customHeight="1" x14ac:dyDescent="0.25">
      <c r="A299" s="65"/>
      <c r="B299" s="65"/>
      <c r="C299" s="67" t="s">
        <v>379</v>
      </c>
    </row>
    <row r="300" spans="1:3" ht="13.5" customHeight="1" x14ac:dyDescent="0.25">
      <c r="A300" s="65"/>
      <c r="B300" s="65"/>
      <c r="C300" s="67" t="s">
        <v>380</v>
      </c>
    </row>
    <row r="301" spans="1:3" ht="13.5" customHeight="1" x14ac:dyDescent="0.25">
      <c r="A301" s="65"/>
      <c r="B301" s="65"/>
      <c r="C301" s="67" t="s">
        <v>381</v>
      </c>
    </row>
    <row r="302" spans="1:3" ht="13.5" customHeight="1" x14ac:dyDescent="0.25">
      <c r="A302" s="65"/>
      <c r="B302" s="65"/>
      <c r="C302" s="67" t="s">
        <v>382</v>
      </c>
    </row>
    <row r="303" spans="1:3" ht="13.5" customHeight="1" x14ac:dyDescent="0.25">
      <c r="A303" s="65"/>
      <c r="B303" s="65"/>
      <c r="C303" s="67" t="s">
        <v>201</v>
      </c>
    </row>
    <row r="304" spans="1:3" ht="27.75" customHeight="1" x14ac:dyDescent="0.25">
      <c r="A304" s="99" t="s">
        <v>383</v>
      </c>
      <c r="B304" s="99"/>
      <c r="C304" s="99"/>
    </row>
    <row r="305" spans="1:3" ht="13.5" customHeight="1" x14ac:dyDescent="0.25">
      <c r="A305" s="65"/>
      <c r="B305" s="65"/>
      <c r="C305" s="66" t="s">
        <v>176</v>
      </c>
    </row>
    <row r="306" spans="1:3" ht="13.5" customHeight="1" x14ac:dyDescent="0.25">
      <c r="A306" s="65"/>
      <c r="B306" s="65"/>
      <c r="C306" s="66" t="s">
        <v>384</v>
      </c>
    </row>
    <row r="307" spans="1:3" ht="13.5" customHeight="1" x14ac:dyDescent="0.25">
      <c r="A307" s="65"/>
      <c r="B307" s="65"/>
      <c r="C307" s="66" t="s">
        <v>385</v>
      </c>
    </row>
    <row r="308" spans="1:3" ht="13.5" customHeight="1" x14ac:dyDescent="0.25">
      <c r="A308" s="65"/>
      <c r="B308" s="65"/>
      <c r="C308" s="66" t="s">
        <v>176</v>
      </c>
    </row>
    <row r="309" spans="1:3" ht="13.5" customHeight="1" x14ac:dyDescent="0.25">
      <c r="A309" s="65"/>
      <c r="B309" s="65"/>
      <c r="C309" s="67"/>
    </row>
    <row r="310" spans="1:3" ht="13.5" customHeight="1" x14ac:dyDescent="0.25">
      <c r="A310" s="65"/>
      <c r="B310" s="65"/>
      <c r="C310" s="67" t="s">
        <v>179</v>
      </c>
    </row>
    <row r="311" spans="1:3" ht="13.5" customHeight="1" x14ac:dyDescent="0.25">
      <c r="A311" s="65"/>
      <c r="B311" s="65"/>
      <c r="C311" s="67"/>
    </row>
    <row r="312" spans="1:3" ht="13.5" customHeight="1" x14ac:dyDescent="0.25">
      <c r="A312" s="65"/>
      <c r="B312" s="65"/>
      <c r="C312" s="66" t="s">
        <v>386</v>
      </c>
    </row>
    <row r="313" spans="1:3" ht="13.5" customHeight="1" x14ac:dyDescent="0.25">
      <c r="A313" s="65"/>
      <c r="B313" s="65"/>
      <c r="C313" s="67" t="s">
        <v>387</v>
      </c>
    </row>
    <row r="314" spans="1:3" ht="13.5" customHeight="1" x14ac:dyDescent="0.25">
      <c r="A314" s="65"/>
      <c r="B314" s="65"/>
      <c r="C314" s="67" t="s">
        <v>388</v>
      </c>
    </row>
    <row r="315" spans="1:3" ht="13.5" customHeight="1" x14ac:dyDescent="0.25">
      <c r="A315" s="65"/>
      <c r="B315" s="65"/>
      <c r="C315" s="67" t="s">
        <v>389</v>
      </c>
    </row>
    <row r="316" spans="1:3" ht="13.5" customHeight="1" x14ac:dyDescent="0.25">
      <c r="A316" s="65"/>
      <c r="B316" s="65"/>
      <c r="C316" s="67" t="s">
        <v>390</v>
      </c>
    </row>
    <row r="317" spans="1:3" ht="13.5" customHeight="1" x14ac:dyDescent="0.25">
      <c r="A317" s="65"/>
      <c r="B317" s="65"/>
      <c r="C317" s="67" t="s">
        <v>184</v>
      </c>
    </row>
    <row r="318" spans="1:3" ht="13.5" customHeight="1" x14ac:dyDescent="0.25">
      <c r="A318" s="65"/>
      <c r="B318" s="65"/>
      <c r="C318" s="66" t="s">
        <v>343</v>
      </c>
    </row>
    <row r="319" spans="1:3" ht="13.5" customHeight="1" x14ac:dyDescent="0.25">
      <c r="A319" s="65"/>
      <c r="B319" s="65"/>
      <c r="C319" s="67" t="s">
        <v>344</v>
      </c>
    </row>
    <row r="320" spans="1:3" ht="13.5" customHeight="1" x14ac:dyDescent="0.25">
      <c r="A320" s="65"/>
      <c r="B320" s="65"/>
      <c r="C320" s="67" t="s">
        <v>289</v>
      </c>
    </row>
    <row r="321" spans="1:3" ht="13.5" customHeight="1" x14ac:dyDescent="0.25">
      <c r="A321" s="65"/>
      <c r="B321" s="65"/>
      <c r="C321" s="67" t="s">
        <v>290</v>
      </c>
    </row>
    <row r="322" spans="1:3" ht="13.5" customHeight="1" x14ac:dyDescent="0.25">
      <c r="A322" s="65"/>
      <c r="B322" s="65"/>
      <c r="C322" s="67" t="s">
        <v>345</v>
      </c>
    </row>
    <row r="323" spans="1:3" ht="13.5" customHeight="1" x14ac:dyDescent="0.25">
      <c r="A323" s="65"/>
      <c r="B323" s="65"/>
      <c r="C323" s="67" t="s">
        <v>346</v>
      </c>
    </row>
    <row r="324" spans="1:3" ht="13.5" customHeight="1" x14ac:dyDescent="0.25">
      <c r="A324" s="65"/>
      <c r="B324" s="65"/>
      <c r="C324" s="67" t="s">
        <v>214</v>
      </c>
    </row>
    <row r="325" spans="1:3" ht="13.5" customHeight="1" x14ac:dyDescent="0.25">
      <c r="A325" s="65"/>
      <c r="B325" s="65"/>
      <c r="C325" s="67" t="s">
        <v>297</v>
      </c>
    </row>
    <row r="326" spans="1:3" ht="13.5" customHeight="1" x14ac:dyDescent="0.25">
      <c r="A326" s="65"/>
      <c r="B326" s="65"/>
      <c r="C326" s="67" t="s">
        <v>391</v>
      </c>
    </row>
    <row r="327" spans="1:3" ht="13.5" customHeight="1" x14ac:dyDescent="0.25">
      <c r="A327" s="65"/>
      <c r="B327" s="65"/>
      <c r="C327" s="67" t="s">
        <v>184</v>
      </c>
    </row>
    <row r="328" spans="1:3" ht="13.5" customHeight="1" x14ac:dyDescent="0.25">
      <c r="A328" s="65"/>
      <c r="B328" s="65"/>
      <c r="C328" s="66" t="s">
        <v>392</v>
      </c>
    </row>
    <row r="329" spans="1:3" ht="13.5" customHeight="1" x14ac:dyDescent="0.25">
      <c r="A329" s="65"/>
      <c r="B329" s="65"/>
      <c r="C329" s="67" t="s">
        <v>393</v>
      </c>
    </row>
    <row r="330" spans="1:3" ht="13.5" customHeight="1" x14ac:dyDescent="0.25">
      <c r="A330" s="65"/>
      <c r="B330" s="65"/>
      <c r="C330" s="67" t="s">
        <v>394</v>
      </c>
    </row>
    <row r="331" spans="1:3" ht="13.5" customHeight="1" x14ac:dyDescent="0.25">
      <c r="A331" s="65"/>
      <c r="B331" s="65"/>
      <c r="C331" s="67" t="s">
        <v>395</v>
      </c>
    </row>
    <row r="332" spans="1:3" ht="13.5" customHeight="1" x14ac:dyDescent="0.25">
      <c r="A332" s="65"/>
      <c r="B332" s="65"/>
      <c r="C332" s="67" t="s">
        <v>396</v>
      </c>
    </row>
    <row r="333" spans="1:3" ht="13.5" customHeight="1" x14ac:dyDescent="0.25">
      <c r="A333" s="65"/>
      <c r="B333" s="65"/>
      <c r="C333" s="67" t="s">
        <v>397</v>
      </c>
    </row>
    <row r="334" spans="1:3" ht="13.5" customHeight="1" x14ac:dyDescent="0.25">
      <c r="A334" s="65"/>
      <c r="B334" s="65"/>
      <c r="C334" s="67" t="s">
        <v>236</v>
      </c>
    </row>
    <row r="335" spans="1:3" ht="13.5" customHeight="1" x14ac:dyDescent="0.25">
      <c r="A335" s="65"/>
      <c r="B335" s="65"/>
      <c r="C335" s="67" t="s">
        <v>196</v>
      </c>
    </row>
    <row r="336" spans="1:3" ht="13.5" customHeight="1" x14ac:dyDescent="0.25">
      <c r="A336" s="65"/>
      <c r="B336" s="65"/>
      <c r="C336" s="67" t="s">
        <v>184</v>
      </c>
    </row>
    <row r="337" spans="1:3" ht="13.5" customHeight="1" x14ac:dyDescent="0.25">
      <c r="A337" s="65"/>
      <c r="B337" s="65"/>
      <c r="C337" s="66" t="s">
        <v>398</v>
      </c>
    </row>
    <row r="338" spans="1:3" ht="13.5" customHeight="1" x14ac:dyDescent="0.25">
      <c r="A338" s="65"/>
      <c r="B338" s="65"/>
      <c r="C338" s="67" t="s">
        <v>399</v>
      </c>
    </row>
    <row r="339" spans="1:3" ht="13.5" customHeight="1" x14ac:dyDescent="0.25">
      <c r="A339" s="65"/>
      <c r="B339" s="65"/>
      <c r="C339" s="67" t="s">
        <v>400</v>
      </c>
    </row>
    <row r="340" spans="1:3" ht="13.5" customHeight="1" x14ac:dyDescent="0.25">
      <c r="A340" s="65"/>
      <c r="B340" s="65"/>
      <c r="C340" s="67" t="s">
        <v>184</v>
      </c>
    </row>
    <row r="341" spans="1:3" ht="13.5" customHeight="1" x14ac:dyDescent="0.25">
      <c r="A341" s="65"/>
      <c r="B341" s="65"/>
      <c r="C341" s="67" t="s">
        <v>401</v>
      </c>
    </row>
    <row r="342" spans="1:3" ht="13.5" customHeight="1" x14ac:dyDescent="0.25">
      <c r="A342" s="65"/>
      <c r="B342" s="65"/>
      <c r="C342" s="67" t="s">
        <v>184</v>
      </c>
    </row>
    <row r="343" spans="1:3" ht="13.5" customHeight="1" x14ac:dyDescent="0.25">
      <c r="A343" s="65"/>
      <c r="B343" s="65"/>
      <c r="C343" s="67" t="s">
        <v>402</v>
      </c>
    </row>
    <row r="344" spans="1:3" ht="13.5" customHeight="1" x14ac:dyDescent="0.25">
      <c r="A344" s="65"/>
      <c r="B344" s="65"/>
      <c r="C344" s="67" t="s">
        <v>403</v>
      </c>
    </row>
    <row r="345" spans="1:3" ht="13.5" customHeight="1" x14ac:dyDescent="0.25">
      <c r="A345" s="65"/>
      <c r="B345" s="65"/>
      <c r="C345" s="67" t="s">
        <v>404</v>
      </c>
    </row>
    <row r="346" spans="1:3" ht="13.5" customHeight="1" x14ac:dyDescent="0.25">
      <c r="A346" s="65"/>
      <c r="B346" s="65"/>
      <c r="C346" s="67" t="s">
        <v>405</v>
      </c>
    </row>
    <row r="347" spans="1:3" ht="13.5" customHeight="1" x14ac:dyDescent="0.25">
      <c r="A347" s="65"/>
      <c r="B347" s="65"/>
      <c r="C347" s="67" t="s">
        <v>406</v>
      </c>
    </row>
    <row r="348" spans="1:3" ht="13.5" customHeight="1" x14ac:dyDescent="0.25">
      <c r="A348" s="65"/>
      <c r="B348" s="65"/>
      <c r="C348" s="67" t="s">
        <v>407</v>
      </c>
    </row>
    <row r="349" spans="1:3" ht="13.5" customHeight="1" x14ac:dyDescent="0.25">
      <c r="A349" s="65"/>
      <c r="B349" s="65"/>
      <c r="C349" s="67" t="s">
        <v>408</v>
      </c>
    </row>
    <row r="350" spans="1:3" ht="13.5" customHeight="1" x14ac:dyDescent="0.25">
      <c r="A350" s="65"/>
      <c r="B350" s="65"/>
      <c r="C350" s="67" t="s">
        <v>409</v>
      </c>
    </row>
    <row r="351" spans="1:3" ht="13.5" customHeight="1" x14ac:dyDescent="0.25">
      <c r="A351" s="65"/>
      <c r="B351" s="65"/>
      <c r="C351" s="67" t="s">
        <v>410</v>
      </c>
    </row>
    <row r="352" spans="1:3" ht="13.5" customHeight="1" x14ac:dyDescent="0.25">
      <c r="A352" s="65"/>
      <c r="B352" s="65"/>
      <c r="C352" s="67" t="s">
        <v>411</v>
      </c>
    </row>
    <row r="353" spans="1:3" ht="13.5" customHeight="1" x14ac:dyDescent="0.25">
      <c r="A353" s="65"/>
      <c r="B353" s="65"/>
      <c r="C353" s="67" t="s">
        <v>221</v>
      </c>
    </row>
    <row r="354" spans="1:3" ht="13.5" customHeight="1" x14ac:dyDescent="0.25">
      <c r="A354" s="65"/>
      <c r="B354" s="65"/>
      <c r="C354" s="67" t="s">
        <v>184</v>
      </c>
    </row>
    <row r="355" spans="1:3" ht="13.5" customHeight="1" x14ac:dyDescent="0.25">
      <c r="A355" s="65"/>
      <c r="B355" s="65"/>
      <c r="C355" s="67" t="s">
        <v>412</v>
      </c>
    </row>
    <row r="356" spans="1:3" ht="13.5" customHeight="1" x14ac:dyDescent="0.25">
      <c r="A356" s="65"/>
      <c r="B356" s="65"/>
      <c r="C356" s="67" t="s">
        <v>413</v>
      </c>
    </row>
    <row r="357" spans="1:3" ht="13.5" customHeight="1" x14ac:dyDescent="0.25">
      <c r="A357" s="65"/>
      <c r="B357" s="65"/>
      <c r="C357" s="67" t="s">
        <v>414</v>
      </c>
    </row>
    <row r="358" spans="1:3" ht="13.5" customHeight="1" x14ac:dyDescent="0.25">
      <c r="A358" s="65"/>
      <c r="B358" s="65"/>
      <c r="C358" s="67" t="s">
        <v>415</v>
      </c>
    </row>
    <row r="359" spans="1:3" ht="13.5" customHeight="1" x14ac:dyDescent="0.25">
      <c r="A359" s="65"/>
      <c r="B359" s="65"/>
      <c r="C359" s="67" t="s">
        <v>201</v>
      </c>
    </row>
    <row r="360" spans="1:3" ht="13.5" customHeight="1" x14ac:dyDescent="0.25">
      <c r="A360" s="65"/>
      <c r="B360" s="65"/>
      <c r="C360" s="67"/>
    </row>
    <row r="361" spans="1:3" ht="13.5" customHeight="1" x14ac:dyDescent="0.25">
      <c r="A361" s="65"/>
      <c r="B361" s="65"/>
      <c r="C361" s="66" t="s">
        <v>416</v>
      </c>
    </row>
    <row r="362" spans="1:3" ht="13.5" customHeight="1" x14ac:dyDescent="0.25">
      <c r="A362" s="65"/>
      <c r="B362" s="65"/>
      <c r="C362" s="67" t="s">
        <v>417</v>
      </c>
    </row>
    <row r="363" spans="1:3" ht="13.5" customHeight="1" x14ac:dyDescent="0.25">
      <c r="A363" s="65"/>
      <c r="B363" s="65"/>
      <c r="C363" s="67" t="s">
        <v>389</v>
      </c>
    </row>
    <row r="364" spans="1:3" ht="13.5" customHeight="1" x14ac:dyDescent="0.25">
      <c r="A364" s="65"/>
      <c r="B364" s="65"/>
      <c r="C364" s="67" t="s">
        <v>418</v>
      </c>
    </row>
    <row r="365" spans="1:3" ht="13.5" customHeight="1" x14ac:dyDescent="0.25">
      <c r="A365" s="65"/>
      <c r="B365" s="65"/>
      <c r="C365" s="67" t="s">
        <v>419</v>
      </c>
    </row>
    <row r="366" spans="1:3" ht="13.5" customHeight="1" x14ac:dyDescent="0.25">
      <c r="A366" s="65"/>
      <c r="B366" s="65"/>
      <c r="C366" s="67" t="s">
        <v>390</v>
      </c>
    </row>
    <row r="367" spans="1:3" ht="13.5" customHeight="1" x14ac:dyDescent="0.25">
      <c r="A367" s="65"/>
      <c r="B367" s="65"/>
      <c r="C367" s="67" t="s">
        <v>184</v>
      </c>
    </row>
    <row r="368" spans="1:3" ht="13.5" customHeight="1" x14ac:dyDescent="0.25">
      <c r="A368" s="65"/>
      <c r="B368" s="65"/>
      <c r="C368" s="66" t="s">
        <v>420</v>
      </c>
    </row>
    <row r="369" spans="1:3" ht="13.5" customHeight="1" x14ac:dyDescent="0.25">
      <c r="A369" s="65"/>
      <c r="B369" s="65"/>
      <c r="C369" s="67" t="s">
        <v>421</v>
      </c>
    </row>
    <row r="370" spans="1:3" ht="13.5" customHeight="1" x14ac:dyDescent="0.25">
      <c r="A370" s="65"/>
      <c r="B370" s="65"/>
      <c r="C370" s="67" t="s">
        <v>422</v>
      </c>
    </row>
    <row r="371" spans="1:3" ht="13.5" customHeight="1" x14ac:dyDescent="0.25">
      <c r="A371" s="65"/>
      <c r="B371" s="65"/>
      <c r="C371" s="67" t="s">
        <v>196</v>
      </c>
    </row>
    <row r="372" spans="1:3" ht="13.5" customHeight="1" x14ac:dyDescent="0.25">
      <c r="A372" s="65"/>
      <c r="B372" s="65"/>
      <c r="C372" s="67" t="s">
        <v>184</v>
      </c>
    </row>
    <row r="373" spans="1:3" ht="13.5" customHeight="1" x14ac:dyDescent="0.25">
      <c r="A373" s="65"/>
      <c r="B373" s="65"/>
      <c r="C373" s="67" t="s">
        <v>423</v>
      </c>
    </row>
    <row r="374" spans="1:3" ht="13.5" customHeight="1" x14ac:dyDescent="0.25">
      <c r="A374" s="65"/>
      <c r="B374" s="65"/>
      <c r="C374" s="67" t="s">
        <v>424</v>
      </c>
    </row>
    <row r="375" spans="1:3" ht="13.5" customHeight="1" x14ac:dyDescent="0.25">
      <c r="A375" s="65"/>
      <c r="B375" s="65"/>
      <c r="C375" s="67" t="s">
        <v>425</v>
      </c>
    </row>
    <row r="376" spans="1:3" ht="13.5" customHeight="1" x14ac:dyDescent="0.25">
      <c r="A376" s="65"/>
      <c r="B376" s="65"/>
      <c r="C376" s="67" t="s">
        <v>426</v>
      </c>
    </row>
    <row r="377" spans="1:3" ht="13.5" customHeight="1" x14ac:dyDescent="0.25">
      <c r="A377" s="65"/>
      <c r="B377" s="65"/>
      <c r="C377" s="67" t="s">
        <v>427</v>
      </c>
    </row>
    <row r="378" spans="1:3" ht="13.5" customHeight="1" x14ac:dyDescent="0.25">
      <c r="A378" s="65"/>
      <c r="B378" s="65"/>
      <c r="C378" s="67" t="s">
        <v>428</v>
      </c>
    </row>
    <row r="379" spans="1:3" ht="13.5" customHeight="1" x14ac:dyDescent="0.25">
      <c r="A379" s="65"/>
      <c r="B379" s="65"/>
      <c r="C379" s="67" t="s">
        <v>429</v>
      </c>
    </row>
    <row r="380" spans="1:3" ht="13.5" customHeight="1" x14ac:dyDescent="0.25">
      <c r="A380" s="65"/>
      <c r="B380" s="65"/>
      <c r="C380" s="67" t="s">
        <v>184</v>
      </c>
    </row>
    <row r="381" spans="1:3" ht="13.5" customHeight="1" x14ac:dyDescent="0.25">
      <c r="A381" s="65"/>
      <c r="B381" s="65"/>
      <c r="C381" s="66" t="s">
        <v>430</v>
      </c>
    </row>
    <row r="382" spans="1:3" ht="13.5" customHeight="1" x14ac:dyDescent="0.25">
      <c r="A382" s="65"/>
      <c r="B382" s="65"/>
      <c r="C382" s="67" t="s">
        <v>431</v>
      </c>
    </row>
    <row r="383" spans="1:3" ht="13.5" customHeight="1" x14ac:dyDescent="0.25">
      <c r="A383" s="65"/>
      <c r="B383" s="65"/>
      <c r="C383" s="67" t="s">
        <v>432</v>
      </c>
    </row>
    <row r="384" spans="1:3" ht="13.5" customHeight="1" x14ac:dyDescent="0.25">
      <c r="A384" s="65"/>
      <c r="B384" s="65"/>
      <c r="C384" s="67" t="s">
        <v>433</v>
      </c>
    </row>
    <row r="385" spans="1:3" ht="13.5" customHeight="1" x14ac:dyDescent="0.25">
      <c r="A385" s="65"/>
      <c r="B385" s="65"/>
      <c r="C385" s="67" t="s">
        <v>434</v>
      </c>
    </row>
    <row r="386" spans="1:3" ht="13.5" customHeight="1" x14ac:dyDescent="0.25">
      <c r="A386" s="65"/>
      <c r="B386" s="65"/>
      <c r="C386" s="67" t="s">
        <v>435</v>
      </c>
    </row>
    <row r="387" spans="1:3" ht="13.5" customHeight="1" x14ac:dyDescent="0.25">
      <c r="A387" s="65"/>
      <c r="B387" s="65"/>
      <c r="C387" s="67" t="s">
        <v>436</v>
      </c>
    </row>
    <row r="388" spans="1:3" ht="13.5" customHeight="1" x14ac:dyDescent="0.25">
      <c r="A388" s="65"/>
      <c r="B388" s="65"/>
      <c r="C388" s="67" t="s">
        <v>437</v>
      </c>
    </row>
    <row r="389" spans="1:3" ht="13.5" customHeight="1" x14ac:dyDescent="0.25">
      <c r="A389" s="65"/>
      <c r="B389" s="65"/>
      <c r="C389" s="67" t="s">
        <v>438</v>
      </c>
    </row>
    <row r="390" spans="1:3" ht="13.5" customHeight="1" x14ac:dyDescent="0.25">
      <c r="A390" s="65"/>
      <c r="B390" s="65"/>
      <c r="C390" s="67" t="s">
        <v>184</v>
      </c>
    </row>
    <row r="391" spans="1:3" ht="13.5" customHeight="1" x14ac:dyDescent="0.25">
      <c r="A391" s="65"/>
      <c r="B391" s="65"/>
      <c r="C391" s="66" t="s">
        <v>439</v>
      </c>
    </row>
    <row r="392" spans="1:3" ht="13.5" customHeight="1" x14ac:dyDescent="0.25">
      <c r="A392" s="65"/>
      <c r="B392" s="65"/>
      <c r="C392" s="67" t="s">
        <v>440</v>
      </c>
    </row>
    <row r="393" spans="1:3" ht="13.5" customHeight="1" x14ac:dyDescent="0.25">
      <c r="A393" s="65"/>
      <c r="B393" s="65"/>
      <c r="C393" s="67" t="s">
        <v>441</v>
      </c>
    </row>
    <row r="394" spans="1:3" ht="13.5" customHeight="1" x14ac:dyDescent="0.25">
      <c r="A394" s="65"/>
      <c r="B394" s="65"/>
      <c r="C394" s="67" t="s">
        <v>184</v>
      </c>
    </row>
    <row r="395" spans="1:3" ht="13.5" customHeight="1" x14ac:dyDescent="0.25">
      <c r="A395" s="65"/>
      <c r="B395" s="65"/>
      <c r="C395" s="66" t="s">
        <v>442</v>
      </c>
    </row>
    <row r="396" spans="1:3" ht="13.5" customHeight="1" x14ac:dyDescent="0.25">
      <c r="A396" s="65"/>
      <c r="B396" s="65"/>
      <c r="C396" s="67" t="s">
        <v>443</v>
      </c>
    </row>
    <row r="397" spans="1:3" ht="13.5" customHeight="1" x14ac:dyDescent="0.25">
      <c r="A397" s="65"/>
      <c r="B397" s="65"/>
      <c r="C397" s="67" t="s">
        <v>444</v>
      </c>
    </row>
    <row r="398" spans="1:3" ht="13.5" customHeight="1" x14ac:dyDescent="0.25">
      <c r="A398" s="65"/>
      <c r="B398" s="65"/>
      <c r="C398" s="67" t="s">
        <v>184</v>
      </c>
    </row>
    <row r="399" spans="1:3" ht="13.5" customHeight="1" x14ac:dyDescent="0.25">
      <c r="A399" s="65"/>
      <c r="B399" s="65"/>
      <c r="C399" s="67" t="s">
        <v>445</v>
      </c>
    </row>
    <row r="400" spans="1:3" ht="13.5" customHeight="1" x14ac:dyDescent="0.25">
      <c r="A400" s="65"/>
      <c r="B400" s="65"/>
      <c r="C400" s="67" t="s">
        <v>446</v>
      </c>
    </row>
    <row r="401" spans="1:3" ht="13.5" customHeight="1" x14ac:dyDescent="0.25">
      <c r="A401" s="65"/>
      <c r="B401" s="65"/>
      <c r="C401" s="67" t="s">
        <v>447</v>
      </c>
    </row>
    <row r="402" spans="1:3" ht="13.5" customHeight="1" x14ac:dyDescent="0.25">
      <c r="A402" s="65"/>
      <c r="B402" s="65"/>
      <c r="C402" s="67" t="s">
        <v>448</v>
      </c>
    </row>
    <row r="403" spans="1:3" ht="13.5" customHeight="1" x14ac:dyDescent="0.25">
      <c r="A403" s="65"/>
      <c r="B403" s="65"/>
      <c r="C403" s="67" t="s">
        <v>449</v>
      </c>
    </row>
    <row r="404" spans="1:3" ht="13.5" customHeight="1" x14ac:dyDescent="0.25">
      <c r="A404" s="65"/>
      <c r="B404" s="65"/>
      <c r="C404" s="67" t="s">
        <v>450</v>
      </c>
    </row>
    <row r="405" spans="1:3" ht="13.5" customHeight="1" x14ac:dyDescent="0.25">
      <c r="A405" s="65"/>
      <c r="B405" s="65"/>
      <c r="C405" s="67" t="s">
        <v>451</v>
      </c>
    </row>
    <row r="406" spans="1:3" ht="13.5" customHeight="1" x14ac:dyDescent="0.25">
      <c r="A406" s="65"/>
      <c r="B406" s="65"/>
      <c r="C406" s="67" t="s">
        <v>452</v>
      </c>
    </row>
    <row r="407" spans="1:3" ht="13.5" customHeight="1" x14ac:dyDescent="0.25">
      <c r="A407" s="65"/>
      <c r="B407" s="65"/>
      <c r="C407" s="67" t="s">
        <v>453</v>
      </c>
    </row>
    <row r="408" spans="1:3" ht="13.5" customHeight="1" x14ac:dyDescent="0.25">
      <c r="A408" s="65"/>
      <c r="B408" s="65"/>
      <c r="C408" s="67" t="s">
        <v>454</v>
      </c>
    </row>
    <row r="409" spans="1:3" ht="13.5" customHeight="1" x14ac:dyDescent="0.25">
      <c r="A409" s="65"/>
      <c r="B409" s="65"/>
      <c r="C409" s="67" t="s">
        <v>455</v>
      </c>
    </row>
    <row r="410" spans="1:3" ht="13.5" customHeight="1" x14ac:dyDescent="0.25">
      <c r="A410" s="65"/>
      <c r="B410" s="65"/>
      <c r="C410" s="67" t="s">
        <v>221</v>
      </c>
    </row>
    <row r="411" spans="1:3" ht="13.5" customHeight="1" x14ac:dyDescent="0.25">
      <c r="A411" s="65"/>
      <c r="B411" s="65"/>
      <c r="C411" s="67" t="s">
        <v>184</v>
      </c>
    </row>
    <row r="412" spans="1:3" ht="13.5" customHeight="1" x14ac:dyDescent="0.25">
      <c r="A412" s="65"/>
      <c r="B412" s="65"/>
      <c r="C412" s="66" t="s">
        <v>456</v>
      </c>
    </row>
    <row r="413" spans="1:3" ht="13.5" customHeight="1" x14ac:dyDescent="0.25">
      <c r="A413" s="65"/>
      <c r="B413" s="65"/>
      <c r="C413" s="67" t="s">
        <v>289</v>
      </c>
    </row>
    <row r="414" spans="1:3" ht="13.5" customHeight="1" x14ac:dyDescent="0.25">
      <c r="A414" s="65"/>
      <c r="B414" s="65"/>
      <c r="C414" s="67" t="s">
        <v>290</v>
      </c>
    </row>
    <row r="415" spans="1:3" ht="13.5" customHeight="1" x14ac:dyDescent="0.25">
      <c r="A415" s="65"/>
      <c r="B415" s="65"/>
      <c r="C415" s="67" t="s">
        <v>345</v>
      </c>
    </row>
    <row r="416" spans="1:3" ht="13.5" customHeight="1" x14ac:dyDescent="0.25">
      <c r="A416" s="65"/>
      <c r="B416" s="65"/>
      <c r="C416" s="67" t="s">
        <v>457</v>
      </c>
    </row>
    <row r="417" spans="1:3" ht="13.5" customHeight="1" x14ac:dyDescent="0.25">
      <c r="A417" s="65"/>
      <c r="B417" s="65"/>
      <c r="C417" s="67" t="s">
        <v>246</v>
      </c>
    </row>
    <row r="418" spans="1:3" ht="13.5" customHeight="1" x14ac:dyDescent="0.25">
      <c r="A418" s="65"/>
      <c r="B418" s="65"/>
      <c r="C418" s="67" t="s">
        <v>214</v>
      </c>
    </row>
    <row r="419" spans="1:3" ht="13.5" customHeight="1" x14ac:dyDescent="0.25">
      <c r="A419" s="65"/>
      <c r="B419" s="65"/>
      <c r="C419" s="67" t="s">
        <v>297</v>
      </c>
    </row>
    <row r="420" spans="1:3" ht="13.5" customHeight="1" x14ac:dyDescent="0.25">
      <c r="A420" s="65"/>
      <c r="B420" s="65"/>
      <c r="C420" s="67" t="s">
        <v>184</v>
      </c>
    </row>
    <row r="421" spans="1:3" ht="13.5" customHeight="1" x14ac:dyDescent="0.25">
      <c r="A421" s="65"/>
      <c r="B421" s="65"/>
      <c r="C421" s="66" t="s">
        <v>353</v>
      </c>
    </row>
    <row r="422" spans="1:3" ht="13.5" customHeight="1" x14ac:dyDescent="0.25">
      <c r="A422" s="65"/>
      <c r="B422" s="65"/>
      <c r="C422" s="67" t="s">
        <v>354</v>
      </c>
    </row>
    <row r="423" spans="1:3" ht="13.5" customHeight="1" x14ac:dyDescent="0.25">
      <c r="A423" s="65"/>
      <c r="B423" s="65"/>
      <c r="C423" s="67" t="s">
        <v>355</v>
      </c>
    </row>
    <row r="424" spans="1:3" ht="13.5" customHeight="1" x14ac:dyDescent="0.25">
      <c r="A424" s="65"/>
      <c r="B424" s="65"/>
      <c r="C424" s="67" t="s">
        <v>358</v>
      </c>
    </row>
    <row r="425" spans="1:3" ht="13.5" customHeight="1" x14ac:dyDescent="0.25">
      <c r="A425" s="65"/>
      <c r="B425" s="65"/>
      <c r="C425" s="67" t="s">
        <v>458</v>
      </c>
    </row>
    <row r="426" spans="1:3" ht="13.5" customHeight="1" x14ac:dyDescent="0.25">
      <c r="A426" s="65"/>
      <c r="B426" s="65"/>
      <c r="C426" s="67" t="s">
        <v>360</v>
      </c>
    </row>
    <row r="427" spans="1:3" ht="13.5" customHeight="1" x14ac:dyDescent="0.25">
      <c r="A427" s="65"/>
      <c r="B427" s="65"/>
      <c r="C427" s="67" t="s">
        <v>459</v>
      </c>
    </row>
    <row r="428" spans="1:3" ht="13.5" customHeight="1" x14ac:dyDescent="0.25">
      <c r="A428" s="65"/>
      <c r="B428" s="65"/>
      <c r="C428" s="67" t="s">
        <v>362</v>
      </c>
    </row>
    <row r="429" spans="1:3" ht="13.5" customHeight="1" x14ac:dyDescent="0.25">
      <c r="A429" s="65"/>
      <c r="B429" s="65"/>
      <c r="C429" s="67" t="s">
        <v>460</v>
      </c>
    </row>
    <row r="430" spans="1:3" ht="13.5" customHeight="1" x14ac:dyDescent="0.25">
      <c r="A430" s="65"/>
      <c r="B430" s="65"/>
      <c r="C430" s="67" t="s">
        <v>461</v>
      </c>
    </row>
    <row r="431" spans="1:3" ht="13.5" customHeight="1" x14ac:dyDescent="0.25">
      <c r="A431" s="65"/>
      <c r="B431" s="65"/>
      <c r="C431" s="67" t="s">
        <v>462</v>
      </c>
    </row>
    <row r="432" spans="1:3" ht="13.5" customHeight="1" x14ac:dyDescent="0.25">
      <c r="A432" s="65"/>
      <c r="B432" s="65"/>
      <c r="C432" s="67" t="s">
        <v>221</v>
      </c>
    </row>
    <row r="433" spans="1:3" ht="13.5" customHeight="1" x14ac:dyDescent="0.25">
      <c r="A433" s="65"/>
      <c r="B433" s="65"/>
      <c r="C433" s="67" t="s">
        <v>184</v>
      </c>
    </row>
    <row r="434" spans="1:3" ht="13.5" customHeight="1" x14ac:dyDescent="0.25">
      <c r="A434" s="65"/>
      <c r="B434" s="65"/>
      <c r="C434" s="66" t="s">
        <v>317</v>
      </c>
    </row>
    <row r="435" spans="1:3" ht="13.5" customHeight="1" x14ac:dyDescent="0.25">
      <c r="A435" s="65"/>
      <c r="B435" s="65"/>
      <c r="C435" s="67" t="s">
        <v>463</v>
      </c>
    </row>
    <row r="436" spans="1:3" ht="13.5" customHeight="1" x14ac:dyDescent="0.25">
      <c r="A436" s="65"/>
      <c r="B436" s="65"/>
      <c r="C436" s="67" t="s">
        <v>290</v>
      </c>
    </row>
    <row r="437" spans="1:3" ht="13.5" customHeight="1" x14ac:dyDescent="0.25">
      <c r="A437" s="65"/>
      <c r="B437" s="65"/>
      <c r="C437" s="67" t="s">
        <v>345</v>
      </c>
    </row>
    <row r="438" spans="1:3" ht="13.5" customHeight="1" x14ac:dyDescent="0.25">
      <c r="A438" s="65"/>
      <c r="B438" s="65"/>
      <c r="C438" s="67" t="s">
        <v>464</v>
      </c>
    </row>
    <row r="439" spans="1:3" ht="13.5" customHeight="1" x14ac:dyDescent="0.25">
      <c r="A439" s="65"/>
      <c r="B439" s="65"/>
      <c r="C439" s="67" t="s">
        <v>214</v>
      </c>
    </row>
    <row r="440" spans="1:3" ht="13.5" customHeight="1" x14ac:dyDescent="0.25">
      <c r="A440" s="65"/>
      <c r="B440" s="65"/>
      <c r="C440" s="67" t="s">
        <v>297</v>
      </c>
    </row>
    <row r="441" spans="1:3" ht="13.5" customHeight="1" x14ac:dyDescent="0.25">
      <c r="A441" s="65"/>
      <c r="B441" s="65"/>
      <c r="C441" s="67" t="s">
        <v>465</v>
      </c>
    </row>
    <row r="442" spans="1:3" ht="13.5" customHeight="1" x14ac:dyDescent="0.25">
      <c r="A442" s="65"/>
      <c r="B442" s="65"/>
      <c r="C442" s="67" t="s">
        <v>184</v>
      </c>
    </row>
    <row r="443" spans="1:3" ht="13.5" customHeight="1" x14ac:dyDescent="0.25">
      <c r="A443" s="65"/>
      <c r="B443" s="65"/>
      <c r="C443" s="67" t="s">
        <v>466</v>
      </c>
    </row>
    <row r="444" spans="1:3" ht="13.5" customHeight="1" x14ac:dyDescent="0.25">
      <c r="A444" s="65"/>
      <c r="B444" s="65"/>
      <c r="C444" s="67" t="s">
        <v>467</v>
      </c>
    </row>
    <row r="445" spans="1:3" ht="13.5" customHeight="1" x14ac:dyDescent="0.25">
      <c r="A445" s="65"/>
      <c r="B445" s="65"/>
      <c r="C445" s="67" t="s">
        <v>468</v>
      </c>
    </row>
    <row r="446" spans="1:3" ht="13.5" customHeight="1" x14ac:dyDescent="0.25">
      <c r="A446" s="65"/>
      <c r="B446" s="65"/>
      <c r="C446" s="67" t="s">
        <v>201</v>
      </c>
    </row>
    <row r="447" spans="1:3" ht="13.5" customHeight="1" x14ac:dyDescent="0.25">
      <c r="A447" s="65"/>
      <c r="B447" s="65"/>
      <c r="C447" s="67"/>
    </row>
    <row r="448" spans="1:3" ht="13.5" customHeight="1" x14ac:dyDescent="0.25">
      <c r="A448" s="65"/>
      <c r="B448" s="65"/>
      <c r="C448" s="66" t="s">
        <v>469</v>
      </c>
    </row>
    <row r="449" spans="1:3" ht="13.5" customHeight="1" x14ac:dyDescent="0.25">
      <c r="A449" s="65"/>
      <c r="B449" s="65"/>
      <c r="C449" s="67" t="s">
        <v>470</v>
      </c>
    </row>
    <row r="450" spans="1:3" ht="13.5" customHeight="1" x14ac:dyDescent="0.25">
      <c r="A450" s="65"/>
      <c r="B450" s="65"/>
      <c r="C450" s="67" t="s">
        <v>418</v>
      </c>
    </row>
    <row r="451" spans="1:3" ht="13.5" customHeight="1" x14ac:dyDescent="0.25">
      <c r="A451" s="65"/>
      <c r="B451" s="65"/>
      <c r="C451" s="67" t="s">
        <v>419</v>
      </c>
    </row>
    <row r="452" spans="1:3" ht="13.5" customHeight="1" x14ac:dyDescent="0.25">
      <c r="A452" s="65"/>
      <c r="B452" s="65"/>
      <c r="C452" s="67" t="s">
        <v>184</v>
      </c>
    </row>
    <row r="453" spans="1:3" ht="13.5" customHeight="1" x14ac:dyDescent="0.25">
      <c r="A453" s="65"/>
      <c r="B453" s="65"/>
      <c r="C453" s="66" t="s">
        <v>471</v>
      </c>
    </row>
    <row r="454" spans="1:3" ht="13.5" customHeight="1" x14ac:dyDescent="0.25">
      <c r="A454" s="65"/>
      <c r="B454" s="65"/>
      <c r="C454" s="67" t="s">
        <v>472</v>
      </c>
    </row>
    <row r="455" spans="1:3" ht="13.5" customHeight="1" x14ac:dyDescent="0.25">
      <c r="A455" s="65"/>
      <c r="B455" s="65"/>
      <c r="C455" s="67" t="s">
        <v>289</v>
      </c>
    </row>
    <row r="456" spans="1:3" ht="13.5" customHeight="1" x14ac:dyDescent="0.25">
      <c r="A456" s="65"/>
      <c r="B456" s="65"/>
      <c r="C456" s="67" t="s">
        <v>473</v>
      </c>
    </row>
    <row r="457" spans="1:3" ht="13.5" customHeight="1" x14ac:dyDescent="0.25">
      <c r="A457" s="65"/>
      <c r="B457" s="65"/>
      <c r="C457" s="67" t="s">
        <v>474</v>
      </c>
    </row>
    <row r="458" spans="1:3" ht="13.5" customHeight="1" x14ac:dyDescent="0.25">
      <c r="A458" s="65"/>
      <c r="B458" s="65"/>
      <c r="C458" s="67" t="s">
        <v>475</v>
      </c>
    </row>
    <row r="459" spans="1:3" ht="13.5" customHeight="1" x14ac:dyDescent="0.25">
      <c r="A459" s="65"/>
      <c r="B459" s="65"/>
      <c r="C459" s="67" t="s">
        <v>214</v>
      </c>
    </row>
    <row r="460" spans="1:3" ht="13.5" customHeight="1" x14ac:dyDescent="0.25">
      <c r="A460" s="65"/>
      <c r="B460" s="65"/>
      <c r="C460" s="67" t="s">
        <v>297</v>
      </c>
    </row>
    <row r="461" spans="1:3" ht="13.5" customHeight="1" x14ac:dyDescent="0.25">
      <c r="A461" s="65"/>
      <c r="B461" s="65"/>
      <c r="C461" s="67" t="s">
        <v>476</v>
      </c>
    </row>
    <row r="462" spans="1:3" ht="13.5" customHeight="1" x14ac:dyDescent="0.25">
      <c r="A462" s="65"/>
      <c r="B462" s="65"/>
      <c r="C462" s="67" t="s">
        <v>184</v>
      </c>
    </row>
    <row r="463" spans="1:3" ht="13.5" customHeight="1" x14ac:dyDescent="0.25">
      <c r="A463" s="65"/>
      <c r="B463" s="65"/>
      <c r="C463" s="66" t="s">
        <v>477</v>
      </c>
    </row>
    <row r="464" spans="1:3" ht="13.5" customHeight="1" x14ac:dyDescent="0.25">
      <c r="A464" s="65"/>
      <c r="B464" s="65"/>
      <c r="C464" s="67" t="s">
        <v>478</v>
      </c>
    </row>
    <row r="465" spans="1:3" ht="13.5" customHeight="1" x14ac:dyDescent="0.25">
      <c r="A465" s="65"/>
      <c r="B465" s="65"/>
      <c r="C465" s="67" t="s">
        <v>479</v>
      </c>
    </row>
    <row r="466" spans="1:3" ht="13.5" customHeight="1" x14ac:dyDescent="0.25">
      <c r="A466" s="65"/>
      <c r="B466" s="65"/>
      <c r="C466" s="67" t="s">
        <v>184</v>
      </c>
    </row>
    <row r="467" spans="1:3" ht="13.5" customHeight="1" x14ac:dyDescent="0.25">
      <c r="A467" s="65"/>
      <c r="B467" s="65"/>
      <c r="C467" s="66" t="s">
        <v>480</v>
      </c>
    </row>
    <row r="468" spans="1:3" ht="13.5" customHeight="1" x14ac:dyDescent="0.25">
      <c r="A468" s="65"/>
      <c r="B468" s="65"/>
      <c r="C468" s="67" t="s">
        <v>481</v>
      </c>
    </row>
    <row r="469" spans="1:3" ht="13.5" customHeight="1" x14ac:dyDescent="0.25">
      <c r="A469" s="65"/>
      <c r="B469" s="65"/>
      <c r="C469" s="67" t="s">
        <v>482</v>
      </c>
    </row>
    <row r="470" spans="1:3" ht="13.5" customHeight="1" x14ac:dyDescent="0.25">
      <c r="A470" s="65"/>
      <c r="B470" s="65"/>
      <c r="C470" s="67" t="s">
        <v>196</v>
      </c>
    </row>
    <row r="471" spans="1:3" ht="13.5" customHeight="1" x14ac:dyDescent="0.25">
      <c r="A471" s="65"/>
      <c r="B471" s="65"/>
      <c r="C471" s="67" t="s">
        <v>184</v>
      </c>
    </row>
    <row r="472" spans="1:3" ht="13.5" customHeight="1" x14ac:dyDescent="0.25">
      <c r="A472" s="65"/>
      <c r="B472" s="65"/>
      <c r="C472" s="66" t="s">
        <v>353</v>
      </c>
    </row>
    <row r="473" spans="1:3" ht="13.5" customHeight="1" x14ac:dyDescent="0.25">
      <c r="A473" s="65"/>
      <c r="B473" s="65"/>
      <c r="C473" s="67" t="s">
        <v>354</v>
      </c>
    </row>
    <row r="474" spans="1:3" ht="13.5" customHeight="1" x14ac:dyDescent="0.25">
      <c r="A474" s="65"/>
      <c r="B474" s="65"/>
      <c r="C474" s="67" t="s">
        <v>355</v>
      </c>
    </row>
    <row r="475" spans="1:3" ht="13.5" customHeight="1" x14ac:dyDescent="0.25">
      <c r="A475" s="65"/>
      <c r="B475" s="65"/>
      <c r="C475" s="67" t="s">
        <v>358</v>
      </c>
    </row>
    <row r="476" spans="1:3" ht="13.5" customHeight="1" x14ac:dyDescent="0.25">
      <c r="A476" s="65"/>
      <c r="B476" s="65"/>
      <c r="C476" s="67" t="s">
        <v>483</v>
      </c>
    </row>
    <row r="477" spans="1:3" ht="13.5" customHeight="1" x14ac:dyDescent="0.25">
      <c r="A477" s="65"/>
      <c r="B477" s="65"/>
      <c r="C477" s="67" t="s">
        <v>360</v>
      </c>
    </row>
    <row r="478" spans="1:3" ht="13.5" customHeight="1" x14ac:dyDescent="0.25">
      <c r="A478" s="65"/>
      <c r="B478" s="65"/>
      <c r="C478" s="67" t="s">
        <v>484</v>
      </c>
    </row>
    <row r="479" spans="1:3" ht="13.5" customHeight="1" x14ac:dyDescent="0.25">
      <c r="A479" s="65"/>
      <c r="B479" s="65"/>
      <c r="C479" s="67" t="s">
        <v>485</v>
      </c>
    </row>
    <row r="480" spans="1:3" ht="13.5" customHeight="1" x14ac:dyDescent="0.25">
      <c r="A480" s="65"/>
      <c r="B480" s="65"/>
      <c r="C480" s="67" t="s">
        <v>486</v>
      </c>
    </row>
    <row r="481" spans="1:3" ht="13.5" customHeight="1" x14ac:dyDescent="0.25">
      <c r="A481" s="65"/>
      <c r="B481" s="65"/>
      <c r="C481" s="67" t="s">
        <v>364</v>
      </c>
    </row>
    <row r="482" spans="1:3" ht="13.5" customHeight="1" x14ac:dyDescent="0.25">
      <c r="A482" s="65"/>
      <c r="B482" s="65"/>
      <c r="C482" s="67" t="s">
        <v>221</v>
      </c>
    </row>
    <row r="483" spans="1:3" ht="13.5" customHeight="1" x14ac:dyDescent="0.25">
      <c r="A483" s="65"/>
      <c r="B483" s="65"/>
      <c r="C483" s="67" t="s">
        <v>184</v>
      </c>
    </row>
    <row r="484" spans="1:3" ht="13.5" customHeight="1" x14ac:dyDescent="0.25">
      <c r="A484" s="65"/>
      <c r="B484" s="65"/>
      <c r="C484" s="67" t="s">
        <v>487</v>
      </c>
    </row>
    <row r="485" spans="1:3" ht="13.5" customHeight="1" x14ac:dyDescent="0.25">
      <c r="A485" s="65"/>
      <c r="B485" s="65"/>
      <c r="C485" s="67" t="s">
        <v>201</v>
      </c>
    </row>
    <row r="486" spans="1:3" ht="27.75" customHeight="1" x14ac:dyDescent="0.25">
      <c r="A486" s="99" t="s">
        <v>488</v>
      </c>
      <c r="B486" s="99"/>
      <c r="C486" s="99"/>
    </row>
    <row r="487" spans="1:3" ht="13.5" customHeight="1" x14ac:dyDescent="0.25">
      <c r="A487" s="65"/>
      <c r="B487" s="65"/>
      <c r="C487" s="66" t="s">
        <v>176</v>
      </c>
    </row>
    <row r="488" spans="1:3" ht="13.5" customHeight="1" x14ac:dyDescent="0.25">
      <c r="A488" s="65"/>
      <c r="B488" s="65"/>
      <c r="C488" s="66" t="s">
        <v>489</v>
      </c>
    </row>
    <row r="489" spans="1:3" ht="13.5" customHeight="1" x14ac:dyDescent="0.25">
      <c r="A489" s="65"/>
      <c r="B489" s="65"/>
      <c r="C489" s="66" t="s">
        <v>490</v>
      </c>
    </row>
    <row r="490" spans="1:3" ht="13.5" customHeight="1" x14ac:dyDescent="0.25">
      <c r="A490" s="65"/>
      <c r="B490" s="65"/>
      <c r="C490" s="66" t="s">
        <v>176</v>
      </c>
    </row>
    <row r="491" spans="1:3" ht="13.5" customHeight="1" x14ac:dyDescent="0.25">
      <c r="A491" s="65"/>
      <c r="B491" s="65"/>
      <c r="C491" s="67"/>
    </row>
    <row r="492" spans="1:3" ht="13.5" customHeight="1" x14ac:dyDescent="0.25">
      <c r="A492" s="65"/>
      <c r="B492" s="65"/>
      <c r="C492" s="67" t="s">
        <v>179</v>
      </c>
    </row>
    <row r="493" spans="1:3" ht="13.5" customHeight="1" x14ac:dyDescent="0.25">
      <c r="A493" s="65"/>
      <c r="B493" s="65"/>
      <c r="C493" s="67"/>
    </row>
    <row r="494" spans="1:3" ht="13.5" customHeight="1" x14ac:dyDescent="0.25">
      <c r="A494" s="65"/>
      <c r="B494" s="65"/>
      <c r="C494" s="66" t="s">
        <v>491</v>
      </c>
    </row>
    <row r="495" spans="1:3" ht="13.5" customHeight="1" x14ac:dyDescent="0.25">
      <c r="A495" s="65"/>
      <c r="B495" s="65"/>
      <c r="C495" s="67" t="s">
        <v>492</v>
      </c>
    </row>
    <row r="496" spans="1:3" ht="13.5" customHeight="1" x14ac:dyDescent="0.25">
      <c r="A496" s="65"/>
      <c r="B496" s="65"/>
      <c r="C496" s="67" t="s">
        <v>493</v>
      </c>
    </row>
    <row r="497" spans="1:3" ht="13.5" customHeight="1" x14ac:dyDescent="0.25">
      <c r="A497" s="65"/>
      <c r="B497" s="65"/>
      <c r="C497" s="67" t="s">
        <v>184</v>
      </c>
    </row>
    <row r="498" spans="1:3" ht="13.5" customHeight="1" x14ac:dyDescent="0.25">
      <c r="A498" s="65"/>
      <c r="B498" s="65"/>
      <c r="C498" s="67" t="s">
        <v>494</v>
      </c>
    </row>
    <row r="499" spans="1:3" ht="13.5" customHeight="1" x14ac:dyDescent="0.25">
      <c r="A499" s="65"/>
      <c r="B499" s="65"/>
      <c r="C499" s="67" t="s">
        <v>495</v>
      </c>
    </row>
    <row r="500" spans="1:3" ht="13.5" customHeight="1" x14ac:dyDescent="0.25">
      <c r="A500" s="65"/>
      <c r="B500" s="65"/>
      <c r="C500" s="67" t="s">
        <v>184</v>
      </c>
    </row>
    <row r="501" spans="1:3" ht="13.5" customHeight="1" x14ac:dyDescent="0.25">
      <c r="A501" s="65"/>
      <c r="B501" s="65"/>
      <c r="C501" s="67" t="s">
        <v>496</v>
      </c>
    </row>
    <row r="502" spans="1:3" ht="13.5" customHeight="1" x14ac:dyDescent="0.25">
      <c r="A502" s="65"/>
      <c r="B502" s="65"/>
      <c r="C502" s="67" t="s">
        <v>497</v>
      </c>
    </row>
    <row r="503" spans="1:3" ht="13.5" customHeight="1" x14ac:dyDescent="0.25">
      <c r="A503" s="65"/>
      <c r="B503" s="65"/>
      <c r="C503" s="67" t="s">
        <v>498</v>
      </c>
    </row>
    <row r="504" spans="1:3" ht="13.5" customHeight="1" x14ac:dyDescent="0.25">
      <c r="A504" s="65"/>
      <c r="B504" s="65"/>
      <c r="C504" s="67" t="s">
        <v>499</v>
      </c>
    </row>
    <row r="505" spans="1:3" ht="13.5" customHeight="1" x14ac:dyDescent="0.25">
      <c r="A505" s="65"/>
      <c r="B505" s="65"/>
      <c r="C505" s="67" t="s">
        <v>500</v>
      </c>
    </row>
    <row r="506" spans="1:3" ht="13.5" customHeight="1" x14ac:dyDescent="0.25">
      <c r="A506" s="65"/>
      <c r="B506" s="65"/>
      <c r="C506" s="67" t="s">
        <v>501</v>
      </c>
    </row>
    <row r="507" spans="1:3" ht="13.5" customHeight="1" x14ac:dyDescent="0.25">
      <c r="A507" s="65"/>
      <c r="B507" s="65"/>
      <c r="C507" s="67" t="s">
        <v>502</v>
      </c>
    </row>
    <row r="508" spans="1:3" ht="13.5" customHeight="1" x14ac:dyDescent="0.25">
      <c r="A508" s="65"/>
      <c r="B508" s="65"/>
      <c r="C508" s="67" t="s">
        <v>503</v>
      </c>
    </row>
    <row r="509" spans="1:3" ht="13.5" customHeight="1" x14ac:dyDescent="0.25">
      <c r="A509" s="65"/>
      <c r="B509" s="65"/>
      <c r="C509" s="67" t="s">
        <v>221</v>
      </c>
    </row>
    <row r="510" spans="1:3" ht="13.5" customHeight="1" x14ac:dyDescent="0.25">
      <c r="A510" s="65"/>
      <c r="B510" s="65"/>
      <c r="C510" s="67" t="s">
        <v>201</v>
      </c>
    </row>
    <row r="511" spans="1:3" ht="13.5" customHeight="1" x14ac:dyDescent="0.25">
      <c r="A511" s="65"/>
      <c r="B511" s="65"/>
      <c r="C511" s="67"/>
    </row>
    <row r="512" spans="1:3" ht="13.5" customHeight="1" x14ac:dyDescent="0.25">
      <c r="A512" s="65"/>
      <c r="B512" s="65"/>
      <c r="C512" s="66" t="s">
        <v>504</v>
      </c>
    </row>
    <row r="513" spans="1:3" ht="13.5" customHeight="1" x14ac:dyDescent="0.25">
      <c r="A513" s="65"/>
      <c r="B513" s="65"/>
      <c r="C513" s="67" t="s">
        <v>505</v>
      </c>
    </row>
    <row r="514" spans="1:3" ht="13.5" customHeight="1" x14ac:dyDescent="0.25">
      <c r="A514" s="65"/>
      <c r="B514" s="65"/>
      <c r="C514" s="67" t="s">
        <v>506</v>
      </c>
    </row>
    <row r="515" spans="1:3" ht="13.5" customHeight="1" x14ac:dyDescent="0.25">
      <c r="A515" s="65"/>
      <c r="B515" s="65"/>
      <c r="C515" s="67" t="s">
        <v>507</v>
      </c>
    </row>
    <row r="516" spans="1:3" ht="13.5" customHeight="1" x14ac:dyDescent="0.25">
      <c r="A516" s="65"/>
      <c r="B516" s="65"/>
      <c r="C516" s="67" t="s">
        <v>184</v>
      </c>
    </row>
    <row r="517" spans="1:3" ht="13.5" customHeight="1" x14ac:dyDescent="0.25">
      <c r="A517" s="65"/>
      <c r="B517" s="65"/>
      <c r="C517" s="67" t="s">
        <v>508</v>
      </c>
    </row>
    <row r="518" spans="1:3" ht="13.5" customHeight="1" x14ac:dyDescent="0.25">
      <c r="A518" s="65"/>
      <c r="B518" s="65"/>
      <c r="C518" s="67" t="s">
        <v>509</v>
      </c>
    </row>
    <row r="519" spans="1:3" ht="13.5" customHeight="1" x14ac:dyDescent="0.25">
      <c r="A519" s="65"/>
      <c r="B519" s="65"/>
      <c r="C519" s="67" t="s">
        <v>510</v>
      </c>
    </row>
    <row r="520" spans="1:3" ht="13.5" customHeight="1" x14ac:dyDescent="0.25">
      <c r="A520" s="65"/>
      <c r="B520" s="65"/>
      <c r="C520" s="67" t="s">
        <v>511</v>
      </c>
    </row>
    <row r="521" spans="1:3" ht="13.5" customHeight="1" x14ac:dyDescent="0.25">
      <c r="A521" s="65"/>
      <c r="B521" s="65"/>
      <c r="C521" s="67" t="s">
        <v>512</v>
      </c>
    </row>
    <row r="522" spans="1:3" ht="13.5" customHeight="1" x14ac:dyDescent="0.25">
      <c r="A522" s="65"/>
      <c r="B522" s="65"/>
      <c r="C522" s="67" t="s">
        <v>196</v>
      </c>
    </row>
    <row r="523" spans="1:3" ht="13.5" customHeight="1" x14ac:dyDescent="0.25">
      <c r="A523" s="65"/>
      <c r="B523" s="65"/>
      <c r="C523" s="67" t="s">
        <v>184</v>
      </c>
    </row>
    <row r="524" spans="1:3" ht="13.5" customHeight="1" x14ac:dyDescent="0.25">
      <c r="A524" s="65"/>
      <c r="B524" s="65"/>
      <c r="C524" s="66" t="s">
        <v>513</v>
      </c>
    </row>
    <row r="525" spans="1:3" ht="13.5" customHeight="1" x14ac:dyDescent="0.25">
      <c r="A525" s="65"/>
      <c r="B525" s="65"/>
      <c r="C525" s="67" t="s">
        <v>514</v>
      </c>
    </row>
    <row r="526" spans="1:3" ht="13.5" customHeight="1" x14ac:dyDescent="0.25">
      <c r="A526" s="65"/>
      <c r="B526" s="65"/>
      <c r="C526" s="67" t="s">
        <v>515</v>
      </c>
    </row>
    <row r="527" spans="1:3" ht="13.5" customHeight="1" x14ac:dyDescent="0.25">
      <c r="A527" s="65"/>
      <c r="B527" s="65"/>
      <c r="C527" s="67" t="s">
        <v>516</v>
      </c>
    </row>
    <row r="528" spans="1:3" ht="13.5" customHeight="1" x14ac:dyDescent="0.25">
      <c r="A528" s="65"/>
      <c r="B528" s="65"/>
      <c r="C528" s="67" t="s">
        <v>517</v>
      </c>
    </row>
    <row r="529" spans="1:3" ht="13.5" customHeight="1" x14ac:dyDescent="0.25">
      <c r="A529" s="65"/>
      <c r="B529" s="65"/>
      <c r="C529" s="67" t="s">
        <v>236</v>
      </c>
    </row>
    <row r="530" spans="1:3" ht="13.5" customHeight="1" x14ac:dyDescent="0.25">
      <c r="A530" s="65"/>
      <c r="B530" s="65"/>
      <c r="C530" s="67" t="s">
        <v>196</v>
      </c>
    </row>
    <row r="531" spans="1:3" ht="13.5" customHeight="1" x14ac:dyDescent="0.25">
      <c r="A531" s="65"/>
      <c r="B531" s="65"/>
      <c r="C531" s="67" t="s">
        <v>184</v>
      </c>
    </row>
    <row r="532" spans="1:3" ht="13.5" customHeight="1" x14ac:dyDescent="0.25">
      <c r="A532" s="65"/>
      <c r="B532" s="65"/>
      <c r="C532" s="67" t="s">
        <v>518</v>
      </c>
    </row>
    <row r="533" spans="1:3" ht="13.5" customHeight="1" x14ac:dyDescent="0.25">
      <c r="A533" s="65"/>
      <c r="B533" s="65"/>
      <c r="C533" s="67" t="s">
        <v>184</v>
      </c>
    </row>
    <row r="534" spans="1:3" ht="13.5" customHeight="1" x14ac:dyDescent="0.25">
      <c r="A534" s="65"/>
      <c r="B534" s="65"/>
      <c r="C534" s="66" t="s">
        <v>519</v>
      </c>
    </row>
    <row r="535" spans="1:3" ht="13.5" customHeight="1" x14ac:dyDescent="0.25">
      <c r="A535" s="65"/>
      <c r="B535" s="65"/>
      <c r="C535" s="67" t="s">
        <v>520</v>
      </c>
    </row>
    <row r="536" spans="1:3" ht="13.5" customHeight="1" x14ac:dyDescent="0.25">
      <c r="A536" s="65"/>
      <c r="B536" s="65"/>
      <c r="C536" s="67" t="s">
        <v>521</v>
      </c>
    </row>
    <row r="537" spans="1:3" ht="13.5" customHeight="1" x14ac:dyDescent="0.25">
      <c r="A537" s="65"/>
      <c r="B537" s="65"/>
      <c r="C537" s="67" t="s">
        <v>184</v>
      </c>
    </row>
    <row r="538" spans="1:3" ht="13.5" customHeight="1" x14ac:dyDescent="0.25">
      <c r="A538" s="65"/>
      <c r="B538" s="65"/>
      <c r="C538" s="67" t="s">
        <v>493</v>
      </c>
    </row>
    <row r="539" spans="1:3" ht="13.5" customHeight="1" x14ac:dyDescent="0.25">
      <c r="A539" s="65"/>
      <c r="B539" s="65"/>
      <c r="C539" s="67" t="s">
        <v>289</v>
      </c>
    </row>
    <row r="540" spans="1:3" ht="13.5" customHeight="1" x14ac:dyDescent="0.25">
      <c r="A540" s="65"/>
      <c r="B540" s="65"/>
      <c r="C540" s="67" t="s">
        <v>184</v>
      </c>
    </row>
    <row r="541" spans="1:3" ht="13.5" customHeight="1" x14ac:dyDescent="0.25">
      <c r="A541" s="65"/>
      <c r="B541" s="65"/>
      <c r="C541" s="67" t="s">
        <v>522</v>
      </c>
    </row>
    <row r="542" spans="1:3" ht="13.5" customHeight="1" x14ac:dyDescent="0.25">
      <c r="A542" s="65"/>
      <c r="B542" s="65"/>
      <c r="C542" s="67" t="s">
        <v>523</v>
      </c>
    </row>
    <row r="543" spans="1:3" ht="13.5" customHeight="1" x14ac:dyDescent="0.25">
      <c r="A543" s="65"/>
      <c r="B543" s="65"/>
      <c r="C543" s="66" t="s">
        <v>524</v>
      </c>
    </row>
    <row r="544" spans="1:3" ht="13.5" customHeight="1" x14ac:dyDescent="0.25">
      <c r="A544" s="65"/>
      <c r="B544" s="65"/>
      <c r="C544" s="67" t="s">
        <v>525</v>
      </c>
    </row>
    <row r="545" spans="1:3" ht="13.5" customHeight="1" x14ac:dyDescent="0.25">
      <c r="A545" s="65"/>
      <c r="B545" s="65"/>
      <c r="C545" s="67" t="s">
        <v>526</v>
      </c>
    </row>
    <row r="546" spans="1:3" ht="13.5" customHeight="1" x14ac:dyDescent="0.25">
      <c r="A546" s="65"/>
      <c r="B546" s="65"/>
      <c r="C546" s="67" t="s">
        <v>527</v>
      </c>
    </row>
    <row r="547" spans="1:3" ht="13.5" customHeight="1" x14ac:dyDescent="0.25">
      <c r="A547" s="65"/>
      <c r="B547" s="65"/>
      <c r="C547" s="67" t="s">
        <v>528</v>
      </c>
    </row>
    <row r="548" spans="1:3" ht="13.5" customHeight="1" x14ac:dyDescent="0.25">
      <c r="A548" s="65"/>
      <c r="B548" s="65"/>
      <c r="C548" s="67" t="s">
        <v>529</v>
      </c>
    </row>
    <row r="549" spans="1:3" ht="13.5" customHeight="1" x14ac:dyDescent="0.25">
      <c r="A549" s="65"/>
      <c r="B549" s="65"/>
      <c r="C549" s="67" t="s">
        <v>530</v>
      </c>
    </row>
    <row r="550" spans="1:3" ht="13.5" customHeight="1" x14ac:dyDescent="0.25">
      <c r="A550" s="65"/>
      <c r="B550" s="65"/>
      <c r="C550" s="67" t="s">
        <v>531</v>
      </c>
    </row>
    <row r="551" spans="1:3" ht="13.5" customHeight="1" x14ac:dyDescent="0.25">
      <c r="A551" s="65"/>
      <c r="B551" s="65"/>
      <c r="C551" s="67" t="s">
        <v>532</v>
      </c>
    </row>
    <row r="552" spans="1:3" ht="13.5" customHeight="1" x14ac:dyDescent="0.25">
      <c r="A552" s="65"/>
      <c r="B552" s="65"/>
      <c r="C552" s="67" t="s">
        <v>533</v>
      </c>
    </row>
    <row r="553" spans="1:3" ht="13.5" customHeight="1" x14ac:dyDescent="0.25">
      <c r="A553" s="65"/>
      <c r="B553" s="65"/>
      <c r="C553" s="67" t="s">
        <v>534</v>
      </c>
    </row>
    <row r="554" spans="1:3" ht="13.5" customHeight="1" x14ac:dyDescent="0.25">
      <c r="A554" s="65"/>
      <c r="B554" s="65"/>
      <c r="C554" s="67" t="s">
        <v>535</v>
      </c>
    </row>
    <row r="555" spans="1:3" ht="13.5" customHeight="1" x14ac:dyDescent="0.25">
      <c r="A555" s="65"/>
      <c r="B555" s="65"/>
      <c r="C555" s="67" t="s">
        <v>262</v>
      </c>
    </row>
    <row r="556" spans="1:3" ht="13.5" customHeight="1" x14ac:dyDescent="0.25">
      <c r="A556" s="65"/>
      <c r="B556" s="65"/>
      <c r="C556" s="67" t="s">
        <v>214</v>
      </c>
    </row>
    <row r="557" spans="1:3" ht="13.5" customHeight="1" x14ac:dyDescent="0.25">
      <c r="A557" s="65"/>
      <c r="B557" s="65"/>
      <c r="C557" s="67" t="s">
        <v>297</v>
      </c>
    </row>
    <row r="558" spans="1:3" ht="13.5" customHeight="1" x14ac:dyDescent="0.25">
      <c r="A558" s="65"/>
      <c r="B558" s="65"/>
      <c r="C558" s="67" t="s">
        <v>184</v>
      </c>
    </row>
    <row r="559" spans="1:3" ht="13.5" customHeight="1" x14ac:dyDescent="0.25">
      <c r="A559" s="65"/>
      <c r="B559" s="65"/>
      <c r="C559" s="66" t="s">
        <v>536</v>
      </c>
    </row>
    <row r="560" spans="1:3" ht="13.5" customHeight="1" x14ac:dyDescent="0.25">
      <c r="A560" s="65"/>
      <c r="B560" s="65"/>
      <c r="C560" s="66" t="s">
        <v>537</v>
      </c>
    </row>
    <row r="561" spans="1:3" ht="13.5" customHeight="1" x14ac:dyDescent="0.25">
      <c r="A561" s="65"/>
      <c r="B561" s="65"/>
      <c r="C561" s="66" t="s">
        <v>538</v>
      </c>
    </row>
    <row r="562" spans="1:3" ht="13.5" customHeight="1" x14ac:dyDescent="0.25">
      <c r="A562" s="65"/>
      <c r="B562" s="65"/>
      <c r="C562" s="67" t="s">
        <v>539</v>
      </c>
    </row>
    <row r="563" spans="1:3" ht="13.5" customHeight="1" x14ac:dyDescent="0.25">
      <c r="A563" s="65"/>
      <c r="B563" s="65"/>
      <c r="C563" s="67" t="s">
        <v>540</v>
      </c>
    </row>
    <row r="564" spans="1:3" ht="13.5" customHeight="1" x14ac:dyDescent="0.25">
      <c r="A564" s="65"/>
      <c r="B564" s="65"/>
      <c r="C564" s="67" t="s">
        <v>541</v>
      </c>
    </row>
    <row r="565" spans="1:3" ht="13.5" customHeight="1" x14ac:dyDescent="0.25">
      <c r="A565" s="65"/>
      <c r="B565" s="65"/>
      <c r="C565" s="67" t="s">
        <v>542</v>
      </c>
    </row>
    <row r="566" spans="1:3" ht="13.5" customHeight="1" x14ac:dyDescent="0.25">
      <c r="A566" s="65"/>
      <c r="B566" s="65"/>
      <c r="C566" s="67" t="s">
        <v>214</v>
      </c>
    </row>
    <row r="567" spans="1:3" ht="13.5" customHeight="1" x14ac:dyDescent="0.25">
      <c r="A567" s="65"/>
      <c r="B567" s="65"/>
      <c r="C567" s="67" t="s">
        <v>543</v>
      </c>
    </row>
    <row r="568" spans="1:3" ht="13.5" customHeight="1" x14ac:dyDescent="0.25">
      <c r="A568" s="65"/>
      <c r="B568" s="65"/>
      <c r="C568" s="67" t="s">
        <v>184</v>
      </c>
    </row>
    <row r="569" spans="1:3" ht="13.5" customHeight="1" x14ac:dyDescent="0.25">
      <c r="A569" s="65"/>
      <c r="B569" s="65"/>
      <c r="C569" s="67" t="s">
        <v>544</v>
      </c>
    </row>
    <row r="570" spans="1:3" ht="13.5" customHeight="1" x14ac:dyDescent="0.25">
      <c r="A570" s="65"/>
      <c r="B570" s="65"/>
      <c r="C570" s="67" t="s">
        <v>545</v>
      </c>
    </row>
    <row r="571" spans="1:3" ht="13.5" customHeight="1" x14ac:dyDescent="0.25">
      <c r="A571" s="65"/>
      <c r="B571" s="65"/>
      <c r="C571" s="67" t="s">
        <v>184</v>
      </c>
    </row>
    <row r="572" spans="1:3" ht="13.5" customHeight="1" x14ac:dyDescent="0.25">
      <c r="A572" s="65"/>
      <c r="B572" s="65"/>
      <c r="C572" s="66" t="s">
        <v>546</v>
      </c>
    </row>
    <row r="573" spans="1:3" ht="13.5" customHeight="1" x14ac:dyDescent="0.25">
      <c r="A573" s="65"/>
      <c r="B573" s="65"/>
      <c r="C573" s="67" t="s">
        <v>547</v>
      </c>
    </row>
    <row r="574" spans="1:3" ht="13.5" customHeight="1" x14ac:dyDescent="0.25">
      <c r="A574" s="65"/>
      <c r="B574" s="65"/>
      <c r="C574" s="67" t="s">
        <v>548</v>
      </c>
    </row>
    <row r="575" spans="1:3" ht="13.5" customHeight="1" x14ac:dyDescent="0.25">
      <c r="A575" s="65"/>
      <c r="B575" s="65"/>
      <c r="C575" s="67" t="s">
        <v>184</v>
      </c>
    </row>
    <row r="576" spans="1:3" ht="13.5" customHeight="1" x14ac:dyDescent="0.25">
      <c r="A576" s="65"/>
      <c r="B576" s="65"/>
      <c r="C576" s="67" t="s">
        <v>549</v>
      </c>
    </row>
    <row r="577" spans="1:3" ht="13.5" customHeight="1" x14ac:dyDescent="0.25">
      <c r="A577" s="65"/>
      <c r="B577" s="65"/>
      <c r="C577" s="67" t="s">
        <v>550</v>
      </c>
    </row>
    <row r="578" spans="1:3" ht="13.5" customHeight="1" x14ac:dyDescent="0.25">
      <c r="A578" s="65"/>
      <c r="B578" s="65"/>
      <c r="C578" s="67" t="s">
        <v>551</v>
      </c>
    </row>
    <row r="579" spans="1:3" ht="13.5" customHeight="1" x14ac:dyDescent="0.25">
      <c r="A579" s="65"/>
      <c r="B579" s="65"/>
      <c r="C579" s="67" t="s">
        <v>201</v>
      </c>
    </row>
    <row r="580" spans="1:3" ht="27.75" customHeight="1" x14ac:dyDescent="0.25">
      <c r="A580" s="99" t="s">
        <v>552</v>
      </c>
      <c r="B580" s="99"/>
      <c r="C580" s="99"/>
    </row>
    <row r="581" spans="1:3" ht="13.5" customHeight="1" x14ac:dyDescent="0.25">
      <c r="A581" s="65"/>
      <c r="B581" s="65"/>
      <c r="C581" s="66" t="s">
        <v>176</v>
      </c>
    </row>
    <row r="582" spans="1:3" ht="13.5" customHeight="1" x14ac:dyDescent="0.25">
      <c r="A582" s="65"/>
      <c r="B582" s="65"/>
      <c r="C582" s="66" t="s">
        <v>553</v>
      </c>
    </row>
    <row r="583" spans="1:3" ht="13.5" customHeight="1" x14ac:dyDescent="0.25">
      <c r="A583" s="65"/>
      <c r="B583" s="65"/>
      <c r="C583" s="66" t="s">
        <v>554</v>
      </c>
    </row>
    <row r="584" spans="1:3" ht="13.5" customHeight="1" x14ac:dyDescent="0.25">
      <c r="A584" s="65"/>
      <c r="B584" s="65"/>
      <c r="C584" s="66" t="s">
        <v>555</v>
      </c>
    </row>
    <row r="585" spans="1:3" ht="13.5" customHeight="1" x14ac:dyDescent="0.25">
      <c r="A585" s="65"/>
      <c r="B585" s="65"/>
      <c r="C585" s="66" t="s">
        <v>176</v>
      </c>
    </row>
    <row r="586" spans="1:3" ht="13.5" customHeight="1" x14ac:dyDescent="0.25">
      <c r="A586" s="65"/>
      <c r="B586" s="65"/>
      <c r="C586" s="67"/>
    </row>
    <row r="587" spans="1:3" ht="13.5" customHeight="1" x14ac:dyDescent="0.25">
      <c r="A587" s="65"/>
      <c r="B587" s="65"/>
      <c r="C587" s="67" t="s">
        <v>179</v>
      </c>
    </row>
    <row r="588" spans="1:3" ht="13.5" customHeight="1" x14ac:dyDescent="0.25">
      <c r="A588" s="65"/>
      <c r="B588" s="65"/>
      <c r="C588" s="67"/>
    </row>
    <row r="589" spans="1:3" ht="13.5" customHeight="1" x14ac:dyDescent="0.25">
      <c r="A589" s="65"/>
      <c r="B589" s="65"/>
      <c r="C589" s="67" t="s">
        <v>556</v>
      </c>
    </row>
    <row r="590" spans="1:3" ht="13.5" customHeight="1" x14ac:dyDescent="0.25">
      <c r="A590" s="65"/>
      <c r="B590" s="65"/>
      <c r="C590" s="67" t="s">
        <v>557</v>
      </c>
    </row>
    <row r="591" spans="1:3" ht="13.5" customHeight="1" x14ac:dyDescent="0.25">
      <c r="A591" s="65"/>
      <c r="B591" s="65"/>
      <c r="C591" s="67" t="s">
        <v>558</v>
      </c>
    </row>
    <row r="592" spans="1:3" ht="13.5" customHeight="1" x14ac:dyDescent="0.25">
      <c r="A592" s="65"/>
      <c r="B592" s="65"/>
      <c r="C592" s="67" t="s">
        <v>559</v>
      </c>
    </row>
    <row r="593" spans="1:3" ht="13.5" customHeight="1" x14ac:dyDescent="0.25">
      <c r="A593" s="65"/>
      <c r="B593" s="65"/>
      <c r="C593" s="67"/>
    </row>
    <row r="594" spans="1:3" ht="13.5" customHeight="1" x14ac:dyDescent="0.25">
      <c r="A594" s="65"/>
      <c r="B594" s="65"/>
      <c r="C594" s="66" t="s">
        <v>560</v>
      </c>
    </row>
    <row r="595" spans="1:3" ht="13.5" customHeight="1" x14ac:dyDescent="0.25">
      <c r="A595" s="65"/>
      <c r="B595" s="65"/>
      <c r="C595" s="67" t="s">
        <v>561</v>
      </c>
    </row>
    <row r="596" spans="1:3" ht="13.5" customHeight="1" x14ac:dyDescent="0.25">
      <c r="A596" s="65"/>
      <c r="B596" s="65"/>
      <c r="C596" s="66" t="s">
        <v>562</v>
      </c>
    </row>
    <row r="597" spans="1:3" ht="13.5" customHeight="1" x14ac:dyDescent="0.25">
      <c r="A597" s="65"/>
      <c r="B597" s="65"/>
      <c r="C597" s="67" t="s">
        <v>563</v>
      </c>
    </row>
    <row r="598" spans="1:3" ht="13.5" customHeight="1" x14ac:dyDescent="0.25">
      <c r="A598" s="65"/>
      <c r="B598" s="65"/>
      <c r="C598" s="67" t="s">
        <v>564</v>
      </c>
    </row>
    <row r="599" spans="1:3" ht="13.5" customHeight="1" x14ac:dyDescent="0.25">
      <c r="A599" s="65"/>
      <c r="B599" s="65"/>
      <c r="C599" s="67" t="s">
        <v>565</v>
      </c>
    </row>
    <row r="600" spans="1:3" ht="13.5" customHeight="1" x14ac:dyDescent="0.25">
      <c r="A600" s="65"/>
      <c r="B600" s="65"/>
      <c r="C600" s="67" t="s">
        <v>566</v>
      </c>
    </row>
    <row r="601" spans="1:3" ht="13.5" customHeight="1" x14ac:dyDescent="0.25">
      <c r="A601" s="65"/>
      <c r="B601" s="65"/>
      <c r="C601" s="67" t="s">
        <v>184</v>
      </c>
    </row>
    <row r="602" spans="1:3" ht="13.5" customHeight="1" x14ac:dyDescent="0.25">
      <c r="A602" s="65"/>
      <c r="B602" s="65"/>
      <c r="C602" s="67" t="s">
        <v>567</v>
      </c>
    </row>
    <row r="603" spans="1:3" ht="13.5" customHeight="1" x14ac:dyDescent="0.25">
      <c r="A603" s="65"/>
      <c r="B603" s="65"/>
      <c r="C603" s="67" t="s">
        <v>568</v>
      </c>
    </row>
    <row r="604" spans="1:3" ht="13.5" customHeight="1" x14ac:dyDescent="0.25">
      <c r="A604" s="65"/>
      <c r="B604" s="65"/>
      <c r="C604" s="67" t="s">
        <v>184</v>
      </c>
    </row>
    <row r="605" spans="1:3" ht="13.5" customHeight="1" x14ac:dyDescent="0.25">
      <c r="A605" s="65"/>
      <c r="B605" s="65"/>
      <c r="C605" s="67" t="s">
        <v>569</v>
      </c>
    </row>
    <row r="606" spans="1:3" ht="13.5" customHeight="1" x14ac:dyDescent="0.25">
      <c r="A606" s="65"/>
      <c r="B606" s="65"/>
      <c r="C606" s="67" t="s">
        <v>570</v>
      </c>
    </row>
    <row r="607" spans="1:3" ht="13.5" customHeight="1" x14ac:dyDescent="0.25">
      <c r="A607" s="65"/>
      <c r="B607" s="65"/>
      <c r="C607" s="67" t="s">
        <v>571</v>
      </c>
    </row>
    <row r="608" spans="1:3" ht="13.5" customHeight="1" x14ac:dyDescent="0.25">
      <c r="A608" s="65"/>
      <c r="B608" s="65"/>
      <c r="C608" s="67" t="s">
        <v>572</v>
      </c>
    </row>
    <row r="609" spans="1:3" ht="13.5" customHeight="1" x14ac:dyDescent="0.25">
      <c r="A609" s="65"/>
      <c r="B609" s="65"/>
      <c r="C609" s="67" t="s">
        <v>573</v>
      </c>
    </row>
    <row r="610" spans="1:3" ht="13.5" customHeight="1" x14ac:dyDescent="0.25">
      <c r="A610" s="65"/>
      <c r="B610" s="65"/>
      <c r="C610" s="67" t="s">
        <v>574</v>
      </c>
    </row>
    <row r="611" spans="1:3" ht="13.5" customHeight="1" x14ac:dyDescent="0.25">
      <c r="A611" s="65"/>
      <c r="B611" s="65"/>
      <c r="C611" s="67" t="s">
        <v>184</v>
      </c>
    </row>
    <row r="612" spans="1:3" ht="13.5" customHeight="1" x14ac:dyDescent="0.25">
      <c r="A612" s="65"/>
      <c r="B612" s="65"/>
      <c r="C612" s="67" t="s">
        <v>575</v>
      </c>
    </row>
    <row r="613" spans="1:3" ht="13.5" customHeight="1" x14ac:dyDescent="0.25">
      <c r="A613" s="65"/>
      <c r="B613" s="65"/>
      <c r="C613" s="67" t="s">
        <v>576</v>
      </c>
    </row>
    <row r="614" spans="1:3" ht="13.5" customHeight="1" x14ac:dyDescent="0.25">
      <c r="A614" s="65"/>
      <c r="B614" s="65"/>
      <c r="C614" s="67" t="s">
        <v>577</v>
      </c>
    </row>
    <row r="615" spans="1:3" ht="13.5" customHeight="1" x14ac:dyDescent="0.25">
      <c r="A615" s="65"/>
      <c r="B615" s="65"/>
      <c r="C615" s="67" t="s">
        <v>184</v>
      </c>
    </row>
    <row r="616" spans="1:3" ht="13.5" customHeight="1" x14ac:dyDescent="0.25">
      <c r="A616" s="65"/>
      <c r="B616" s="65"/>
      <c r="C616" s="67" t="s">
        <v>578</v>
      </c>
    </row>
    <row r="617" spans="1:3" ht="13.5" customHeight="1" x14ac:dyDescent="0.25">
      <c r="A617" s="65"/>
      <c r="B617" s="65"/>
      <c r="C617" s="67" t="s">
        <v>579</v>
      </c>
    </row>
    <row r="618" spans="1:3" ht="13.5" customHeight="1" x14ac:dyDescent="0.25">
      <c r="A618" s="65"/>
      <c r="B618" s="65"/>
      <c r="C618" s="67" t="s">
        <v>193</v>
      </c>
    </row>
    <row r="619" spans="1:3" ht="13.5" customHeight="1" x14ac:dyDescent="0.25">
      <c r="A619" s="65"/>
      <c r="B619" s="65"/>
      <c r="C619" s="67" t="s">
        <v>580</v>
      </c>
    </row>
    <row r="620" spans="1:3" ht="13.5" customHeight="1" x14ac:dyDescent="0.25">
      <c r="A620" s="65"/>
      <c r="B620" s="65"/>
      <c r="C620" s="67" t="s">
        <v>196</v>
      </c>
    </row>
    <row r="621" spans="1:3" ht="13.5" customHeight="1" x14ac:dyDescent="0.25">
      <c r="A621" s="65"/>
      <c r="B621" s="65"/>
      <c r="C621" s="67" t="s">
        <v>581</v>
      </c>
    </row>
    <row r="622" spans="1:3" ht="13.5" customHeight="1" x14ac:dyDescent="0.25">
      <c r="A622" s="65"/>
      <c r="B622" s="65"/>
      <c r="C622" s="67" t="s">
        <v>582</v>
      </c>
    </row>
    <row r="623" spans="1:3" ht="13.5" customHeight="1" x14ac:dyDescent="0.25">
      <c r="A623" s="65"/>
      <c r="B623" s="65"/>
      <c r="C623" s="67" t="s">
        <v>583</v>
      </c>
    </row>
    <row r="624" spans="1:3" ht="13.5" customHeight="1" x14ac:dyDescent="0.25">
      <c r="A624" s="65"/>
      <c r="B624" s="65"/>
      <c r="C624" s="67" t="s">
        <v>266</v>
      </c>
    </row>
    <row r="625" spans="1:3" ht="13.5" customHeight="1" x14ac:dyDescent="0.25">
      <c r="A625" s="65"/>
      <c r="B625" s="65"/>
      <c r="C625" s="67"/>
    </row>
    <row r="626" spans="1:3" ht="13.5" customHeight="1" x14ac:dyDescent="0.25">
      <c r="A626" s="65"/>
      <c r="B626" s="65"/>
      <c r="C626" s="66" t="s">
        <v>584</v>
      </c>
    </row>
    <row r="627" spans="1:3" ht="13.5" customHeight="1" x14ac:dyDescent="0.25">
      <c r="A627" s="65"/>
      <c r="B627" s="65"/>
      <c r="C627" s="67" t="s">
        <v>585</v>
      </c>
    </row>
    <row r="628" spans="1:3" ht="13.5" customHeight="1" x14ac:dyDescent="0.25">
      <c r="A628" s="65"/>
      <c r="B628" s="65"/>
      <c r="C628" s="67" t="s">
        <v>586</v>
      </c>
    </row>
    <row r="629" spans="1:3" ht="13.5" customHeight="1" x14ac:dyDescent="0.25">
      <c r="A629" s="65"/>
      <c r="B629" s="65"/>
      <c r="C629" s="67" t="s">
        <v>587</v>
      </c>
    </row>
    <row r="630" spans="1:3" ht="13.5" customHeight="1" x14ac:dyDescent="0.25">
      <c r="A630" s="65"/>
      <c r="B630" s="65"/>
      <c r="C630" s="67" t="s">
        <v>588</v>
      </c>
    </row>
    <row r="631" spans="1:3" ht="13.5" customHeight="1" x14ac:dyDescent="0.25">
      <c r="A631" s="65"/>
      <c r="B631" s="65"/>
      <c r="C631" s="67" t="s">
        <v>589</v>
      </c>
    </row>
    <row r="632" spans="1:3" ht="13.5" customHeight="1" x14ac:dyDescent="0.25">
      <c r="A632" s="65"/>
      <c r="B632" s="65"/>
      <c r="C632" s="67" t="s">
        <v>590</v>
      </c>
    </row>
    <row r="633" spans="1:3" ht="13.5" customHeight="1" x14ac:dyDescent="0.25">
      <c r="A633" s="65"/>
      <c r="B633" s="65"/>
      <c r="C633" s="67" t="s">
        <v>201</v>
      </c>
    </row>
    <row r="634" spans="1:3" ht="13.5" customHeight="1" x14ac:dyDescent="0.25">
      <c r="A634" s="65"/>
      <c r="B634" s="65"/>
      <c r="C634" s="67"/>
    </row>
    <row r="635" spans="1:3" ht="13.5" customHeight="1" x14ac:dyDescent="0.25">
      <c r="A635" s="65"/>
      <c r="B635" s="65"/>
      <c r="C635" s="66" t="s">
        <v>591</v>
      </c>
    </row>
    <row r="636" spans="1:3" ht="13.5" customHeight="1" x14ac:dyDescent="0.25">
      <c r="A636" s="65"/>
      <c r="B636" s="65"/>
      <c r="C636" s="67" t="s">
        <v>592</v>
      </c>
    </row>
    <row r="637" spans="1:3" ht="13.5" customHeight="1" x14ac:dyDescent="0.25">
      <c r="A637" s="65"/>
      <c r="B637" s="65"/>
      <c r="C637" s="67" t="s">
        <v>593</v>
      </c>
    </row>
    <row r="638" spans="1:3" ht="13.5" customHeight="1" x14ac:dyDescent="0.25">
      <c r="A638" s="65"/>
      <c r="B638" s="65"/>
      <c r="C638" s="67" t="s">
        <v>586</v>
      </c>
    </row>
    <row r="639" spans="1:3" ht="13.5" customHeight="1" x14ac:dyDescent="0.25">
      <c r="A639" s="65"/>
      <c r="B639" s="65"/>
      <c r="C639" s="67" t="s">
        <v>594</v>
      </c>
    </row>
    <row r="640" spans="1:3" ht="13.5" customHeight="1" x14ac:dyDescent="0.25">
      <c r="A640" s="65"/>
      <c r="B640" s="65"/>
      <c r="C640" s="67" t="s">
        <v>595</v>
      </c>
    </row>
    <row r="641" spans="1:3" ht="13.5" customHeight="1" x14ac:dyDescent="0.25">
      <c r="A641" s="65"/>
      <c r="B641" s="65"/>
      <c r="C641" s="67" t="s">
        <v>596</v>
      </c>
    </row>
    <row r="642" spans="1:3" ht="13.5" customHeight="1" x14ac:dyDescent="0.25">
      <c r="A642" s="65"/>
      <c r="B642" s="65"/>
      <c r="C642" s="67" t="s">
        <v>597</v>
      </c>
    </row>
    <row r="643" spans="1:3" ht="13.5" customHeight="1" x14ac:dyDescent="0.25">
      <c r="A643" s="65"/>
      <c r="B643" s="65"/>
      <c r="C643" s="67" t="s">
        <v>598</v>
      </c>
    </row>
    <row r="644" spans="1:3" ht="13.5" customHeight="1" x14ac:dyDescent="0.25">
      <c r="A644" s="65"/>
      <c r="B644" s="65"/>
      <c r="C644" s="67" t="s">
        <v>590</v>
      </c>
    </row>
    <row r="645" spans="1:3" ht="13.5" customHeight="1" x14ac:dyDescent="0.25">
      <c r="A645" s="65"/>
      <c r="B645" s="65"/>
      <c r="C645" s="67" t="s">
        <v>201</v>
      </c>
    </row>
    <row r="646" spans="1:3" ht="13.5" customHeight="1" x14ac:dyDescent="0.25">
      <c r="A646" s="65"/>
      <c r="B646" s="65"/>
      <c r="C646" s="67"/>
    </row>
    <row r="647" spans="1:3" ht="13.5" customHeight="1" x14ac:dyDescent="0.25">
      <c r="A647" s="65"/>
      <c r="B647" s="65"/>
      <c r="C647" s="66" t="s">
        <v>599</v>
      </c>
    </row>
    <row r="648" spans="1:3" ht="13.5" customHeight="1" x14ac:dyDescent="0.25">
      <c r="A648" s="65"/>
      <c r="B648" s="65"/>
      <c r="C648" s="67" t="s">
        <v>600</v>
      </c>
    </row>
    <row r="649" spans="1:3" ht="13.5" customHeight="1" x14ac:dyDescent="0.25">
      <c r="A649" s="65"/>
      <c r="B649" s="65"/>
      <c r="C649" s="67" t="s">
        <v>586</v>
      </c>
    </row>
    <row r="650" spans="1:3" ht="13.5" customHeight="1" x14ac:dyDescent="0.25">
      <c r="A650" s="65"/>
      <c r="B650" s="65"/>
      <c r="C650" s="67" t="s">
        <v>594</v>
      </c>
    </row>
    <row r="651" spans="1:3" ht="13.5" customHeight="1" x14ac:dyDescent="0.25">
      <c r="A651" s="65"/>
      <c r="B651" s="65"/>
      <c r="C651" s="67" t="s">
        <v>601</v>
      </c>
    </row>
    <row r="652" spans="1:3" ht="13.5" customHeight="1" x14ac:dyDescent="0.25">
      <c r="A652" s="65"/>
      <c r="B652" s="65"/>
      <c r="C652" s="67" t="s">
        <v>602</v>
      </c>
    </row>
    <row r="653" spans="1:3" ht="13.5" customHeight="1" x14ac:dyDescent="0.25">
      <c r="A653" s="65"/>
      <c r="B653" s="65"/>
      <c r="C653" s="67" t="s">
        <v>603</v>
      </c>
    </row>
    <row r="654" spans="1:3" ht="13.5" customHeight="1" x14ac:dyDescent="0.25">
      <c r="A654" s="65"/>
      <c r="B654" s="65"/>
      <c r="C654" s="67" t="s">
        <v>590</v>
      </c>
    </row>
    <row r="655" spans="1:3" ht="13.5" customHeight="1" x14ac:dyDescent="0.25">
      <c r="A655" s="65"/>
      <c r="B655" s="65"/>
      <c r="C655" s="67" t="s">
        <v>201</v>
      </c>
    </row>
    <row r="656" spans="1:3" ht="13.5" customHeight="1" x14ac:dyDescent="0.25">
      <c r="A656" s="65"/>
      <c r="B656" s="65"/>
      <c r="C656" s="67"/>
    </row>
    <row r="657" spans="1:3" ht="13.5" customHeight="1" x14ac:dyDescent="0.25">
      <c r="A657" s="65"/>
      <c r="B657" s="65"/>
      <c r="C657" s="66" t="s">
        <v>604</v>
      </c>
    </row>
    <row r="658" spans="1:3" ht="13.5" customHeight="1" x14ac:dyDescent="0.25">
      <c r="A658" s="65"/>
      <c r="B658" s="65"/>
      <c r="C658" s="67" t="s">
        <v>605</v>
      </c>
    </row>
    <row r="659" spans="1:3" ht="13.5" customHeight="1" x14ac:dyDescent="0.25">
      <c r="A659" s="65"/>
      <c r="B659" s="65"/>
      <c r="C659" s="67" t="s">
        <v>586</v>
      </c>
    </row>
    <row r="660" spans="1:3" ht="13.5" customHeight="1" x14ac:dyDescent="0.25">
      <c r="A660" s="65"/>
      <c r="B660" s="65"/>
      <c r="C660" s="67" t="s">
        <v>594</v>
      </c>
    </row>
    <row r="661" spans="1:3" ht="13.5" customHeight="1" x14ac:dyDescent="0.25">
      <c r="A661" s="65"/>
      <c r="B661" s="65"/>
      <c r="C661" s="67" t="s">
        <v>606</v>
      </c>
    </row>
    <row r="662" spans="1:3" ht="13.5" customHeight="1" x14ac:dyDescent="0.25">
      <c r="A662" s="65"/>
      <c r="B662" s="65"/>
      <c r="C662" s="67" t="s">
        <v>607</v>
      </c>
    </row>
    <row r="663" spans="1:3" ht="13.5" customHeight="1" x14ac:dyDescent="0.25">
      <c r="A663" s="65"/>
      <c r="B663" s="65"/>
      <c r="C663" s="67" t="s">
        <v>608</v>
      </c>
    </row>
    <row r="664" spans="1:3" ht="13.5" customHeight="1" x14ac:dyDescent="0.25">
      <c r="A664" s="65"/>
      <c r="B664" s="65"/>
      <c r="C664" s="67" t="s">
        <v>590</v>
      </c>
    </row>
    <row r="665" spans="1:3" ht="13.5" customHeight="1" x14ac:dyDescent="0.25">
      <c r="A665" s="65"/>
      <c r="B665" s="65"/>
      <c r="C665" s="67" t="s">
        <v>201</v>
      </c>
    </row>
    <row r="666" spans="1:3" ht="13.5" customHeight="1" x14ac:dyDescent="0.25">
      <c r="A666" s="65"/>
      <c r="B666" s="65"/>
      <c r="C666" s="67"/>
    </row>
    <row r="667" spans="1:3" ht="13.5" customHeight="1" x14ac:dyDescent="0.25">
      <c r="A667" s="65"/>
      <c r="B667" s="65"/>
      <c r="C667" s="66" t="s">
        <v>609</v>
      </c>
    </row>
    <row r="668" spans="1:3" ht="13.5" customHeight="1" x14ac:dyDescent="0.25">
      <c r="A668" s="65"/>
      <c r="B668" s="65"/>
      <c r="C668" s="67" t="s">
        <v>610</v>
      </c>
    </row>
    <row r="669" spans="1:3" ht="13.5" customHeight="1" x14ac:dyDescent="0.25">
      <c r="A669" s="65"/>
      <c r="B669" s="65"/>
      <c r="C669" s="67" t="s">
        <v>611</v>
      </c>
    </row>
    <row r="670" spans="1:3" ht="13.5" customHeight="1" x14ac:dyDescent="0.25">
      <c r="A670" s="65"/>
      <c r="B670" s="65"/>
      <c r="C670" s="67" t="s">
        <v>612</v>
      </c>
    </row>
    <row r="671" spans="1:3" ht="13.5" customHeight="1" x14ac:dyDescent="0.25">
      <c r="A671" s="65"/>
      <c r="B671" s="65"/>
      <c r="C671" s="67" t="s">
        <v>613</v>
      </c>
    </row>
    <row r="672" spans="1:3" ht="13.5" customHeight="1" x14ac:dyDescent="0.25">
      <c r="A672" s="65"/>
      <c r="B672" s="65"/>
      <c r="C672" s="67" t="s">
        <v>184</v>
      </c>
    </row>
    <row r="673" spans="1:3" ht="13.5" customHeight="1" x14ac:dyDescent="0.25">
      <c r="A673" s="65"/>
      <c r="B673" s="65"/>
      <c r="C673" s="67" t="s">
        <v>614</v>
      </c>
    </row>
    <row r="674" spans="1:3" ht="13.5" customHeight="1" x14ac:dyDescent="0.25">
      <c r="A674" s="65"/>
      <c r="B674" s="65"/>
      <c r="C674" s="67" t="s">
        <v>615</v>
      </c>
    </row>
    <row r="675" spans="1:3" ht="13.5" customHeight="1" x14ac:dyDescent="0.25">
      <c r="A675" s="65"/>
      <c r="B675" s="65"/>
      <c r="C675" s="67" t="s">
        <v>184</v>
      </c>
    </row>
    <row r="676" spans="1:3" ht="13.5" customHeight="1" x14ac:dyDescent="0.25">
      <c r="A676" s="65"/>
      <c r="B676" s="65"/>
      <c r="C676" s="67" t="s">
        <v>616</v>
      </c>
    </row>
    <row r="677" spans="1:3" ht="13.5" customHeight="1" x14ac:dyDescent="0.25">
      <c r="A677" s="65"/>
      <c r="B677" s="65"/>
      <c r="C677" s="67" t="s">
        <v>617</v>
      </c>
    </row>
    <row r="678" spans="1:3" ht="13.5" customHeight="1" x14ac:dyDescent="0.25">
      <c r="A678" s="65"/>
      <c r="B678" s="65"/>
      <c r="C678" s="67" t="s">
        <v>193</v>
      </c>
    </row>
    <row r="679" spans="1:3" ht="13.5" customHeight="1" x14ac:dyDescent="0.25">
      <c r="A679" s="65"/>
      <c r="B679" s="65"/>
      <c r="C679" s="67" t="s">
        <v>618</v>
      </c>
    </row>
    <row r="680" spans="1:3" ht="13.5" customHeight="1" x14ac:dyDescent="0.25">
      <c r="A680" s="65"/>
      <c r="B680" s="65"/>
      <c r="C680" s="67" t="s">
        <v>196</v>
      </c>
    </row>
    <row r="681" spans="1:3" ht="13.5" customHeight="1" x14ac:dyDescent="0.25">
      <c r="A681" s="65"/>
      <c r="B681" s="65"/>
      <c r="C681" s="67" t="s">
        <v>201</v>
      </c>
    </row>
    <row r="682" spans="1:3" ht="27.75" customHeight="1" x14ac:dyDescent="0.25">
      <c r="A682" s="99" t="s">
        <v>619</v>
      </c>
      <c r="B682" s="99"/>
      <c r="C682" s="99"/>
    </row>
    <row r="683" spans="1:3" ht="13.5" customHeight="1" x14ac:dyDescent="0.25">
      <c r="A683" s="65"/>
      <c r="B683" s="65"/>
      <c r="C683" s="66" t="s">
        <v>176</v>
      </c>
    </row>
    <row r="684" spans="1:3" ht="13.5" customHeight="1" x14ac:dyDescent="0.25">
      <c r="A684" s="65"/>
      <c r="B684" s="65"/>
      <c r="C684" s="66" t="s">
        <v>620</v>
      </c>
    </row>
    <row r="685" spans="1:3" ht="13.5" customHeight="1" x14ac:dyDescent="0.25">
      <c r="A685" s="65"/>
      <c r="B685" s="65"/>
      <c r="C685" s="66" t="s">
        <v>621</v>
      </c>
    </row>
    <row r="686" spans="1:3" ht="13.5" customHeight="1" x14ac:dyDescent="0.25">
      <c r="A686" s="65"/>
      <c r="B686" s="65"/>
      <c r="C686" s="66" t="s">
        <v>622</v>
      </c>
    </row>
    <row r="687" spans="1:3" ht="13.5" customHeight="1" x14ac:dyDescent="0.25">
      <c r="A687" s="65"/>
      <c r="B687" s="65"/>
      <c r="C687" s="66" t="s">
        <v>176</v>
      </c>
    </row>
    <row r="688" spans="1:3" ht="13.5" customHeight="1" x14ac:dyDescent="0.25">
      <c r="A688" s="65"/>
      <c r="B688" s="65"/>
      <c r="C688" s="67"/>
    </row>
    <row r="689" spans="1:3" ht="13.5" customHeight="1" x14ac:dyDescent="0.25">
      <c r="A689" s="65"/>
      <c r="B689" s="65"/>
      <c r="C689" s="66" t="s">
        <v>623</v>
      </c>
    </row>
    <row r="690" spans="1:3" ht="13.5" customHeight="1" x14ac:dyDescent="0.25">
      <c r="A690" s="65"/>
      <c r="B690" s="65"/>
      <c r="C690" s="66" t="s">
        <v>624</v>
      </c>
    </row>
    <row r="691" spans="1:3" ht="13.5" customHeight="1" x14ac:dyDescent="0.25">
      <c r="A691" s="65"/>
      <c r="B691" s="65"/>
      <c r="C691" s="66" t="s">
        <v>625</v>
      </c>
    </row>
    <row r="692" spans="1:3" ht="13.5" customHeight="1" x14ac:dyDescent="0.25">
      <c r="A692" s="65"/>
      <c r="B692" s="65"/>
      <c r="C692" s="66" t="s">
        <v>626</v>
      </c>
    </row>
    <row r="693" spans="1:3" ht="13.5" customHeight="1" x14ac:dyDescent="0.25">
      <c r="A693" s="65"/>
      <c r="B693" s="65"/>
      <c r="C693" s="66" t="s">
        <v>627</v>
      </c>
    </row>
    <row r="694" spans="1:3" ht="13.5" customHeight="1" x14ac:dyDescent="0.25">
      <c r="A694" s="65"/>
      <c r="B694" s="65"/>
      <c r="C694" s="66" t="s">
        <v>628</v>
      </c>
    </row>
    <row r="695" spans="1:3" ht="13.5" customHeight="1" x14ac:dyDescent="0.25">
      <c r="A695" s="65"/>
      <c r="B695" s="65"/>
      <c r="C695" s="66" t="s">
        <v>629</v>
      </c>
    </row>
    <row r="696" spans="1:3" ht="13.5" customHeight="1" x14ac:dyDescent="0.25">
      <c r="A696" s="65"/>
      <c r="B696" s="65"/>
      <c r="C696" s="66" t="s">
        <v>630</v>
      </c>
    </row>
    <row r="697" spans="1:3" ht="13.5" customHeight="1" x14ac:dyDescent="0.25">
      <c r="A697" s="65"/>
      <c r="B697" s="65"/>
      <c r="C697" s="66" t="s">
        <v>631</v>
      </c>
    </row>
    <row r="698" spans="1:3" ht="13.5" customHeight="1" x14ac:dyDescent="0.25">
      <c r="A698" s="65"/>
      <c r="B698" s="65"/>
      <c r="C698" s="66" t="s">
        <v>632</v>
      </c>
    </row>
    <row r="699" spans="1:3" ht="13.5" customHeight="1" x14ac:dyDescent="0.25">
      <c r="A699" s="65"/>
      <c r="B699" s="65"/>
      <c r="C699" s="67"/>
    </row>
    <row r="700" spans="1:3" ht="13.5" customHeight="1" x14ac:dyDescent="0.25">
      <c r="A700" s="65"/>
      <c r="B700" s="65"/>
      <c r="C700" s="67" t="s">
        <v>633</v>
      </c>
    </row>
    <row r="701" spans="1:3" ht="13.5" customHeight="1" x14ac:dyDescent="0.25">
      <c r="A701" s="65"/>
      <c r="B701" s="65"/>
      <c r="C701" s="67" t="s">
        <v>634</v>
      </c>
    </row>
    <row r="702" spans="1:3" ht="13.5" customHeight="1" x14ac:dyDescent="0.25">
      <c r="A702" s="65"/>
      <c r="B702" s="65"/>
      <c r="C702" s="67" t="s">
        <v>635</v>
      </c>
    </row>
    <row r="703" spans="1:3" ht="13.5" customHeight="1" x14ac:dyDescent="0.25">
      <c r="A703" s="65"/>
      <c r="B703" s="65"/>
      <c r="C703" s="67" t="s">
        <v>184</v>
      </c>
    </row>
    <row r="704" spans="1:3" ht="13.5" customHeight="1" x14ac:dyDescent="0.25">
      <c r="A704" s="65"/>
      <c r="B704" s="65"/>
      <c r="C704" s="66" t="s">
        <v>636</v>
      </c>
    </row>
    <row r="705" spans="1:3" ht="13.5" customHeight="1" x14ac:dyDescent="0.25">
      <c r="A705" s="65"/>
      <c r="B705" s="65"/>
      <c r="C705" s="67" t="s">
        <v>637</v>
      </c>
    </row>
    <row r="706" spans="1:3" ht="13.5" customHeight="1" x14ac:dyDescent="0.25">
      <c r="A706" s="65"/>
      <c r="B706" s="65"/>
      <c r="C706" s="67" t="s">
        <v>638</v>
      </c>
    </row>
    <row r="707" spans="1:3" ht="13.5" customHeight="1" x14ac:dyDescent="0.25">
      <c r="A707" s="65"/>
      <c r="B707" s="65"/>
      <c r="C707" s="67" t="s">
        <v>639</v>
      </c>
    </row>
    <row r="708" spans="1:3" ht="13.5" customHeight="1" x14ac:dyDescent="0.25">
      <c r="A708" s="65"/>
      <c r="B708" s="65"/>
      <c r="C708" s="67" t="s">
        <v>640</v>
      </c>
    </row>
    <row r="709" spans="1:3" ht="13.5" customHeight="1" x14ac:dyDescent="0.25">
      <c r="A709" s="65"/>
      <c r="B709" s="65"/>
      <c r="C709" s="67" t="s">
        <v>641</v>
      </c>
    </row>
    <row r="710" spans="1:3" ht="13.5" customHeight="1" x14ac:dyDescent="0.25">
      <c r="A710" s="65"/>
      <c r="B710" s="65"/>
      <c r="C710" s="67" t="s">
        <v>184</v>
      </c>
    </row>
    <row r="711" spans="1:3" ht="13.5" customHeight="1" x14ac:dyDescent="0.25">
      <c r="A711" s="65"/>
      <c r="B711" s="65"/>
      <c r="C711" s="66" t="s">
        <v>642</v>
      </c>
    </row>
    <row r="712" spans="1:3" ht="13.5" customHeight="1" x14ac:dyDescent="0.25">
      <c r="A712" s="65"/>
      <c r="B712" s="65"/>
      <c r="C712" s="67" t="s">
        <v>643</v>
      </c>
    </row>
    <row r="713" spans="1:3" ht="13.5" customHeight="1" x14ac:dyDescent="0.25">
      <c r="A713" s="65"/>
      <c r="B713" s="65"/>
      <c r="C713" s="67" t="s">
        <v>201</v>
      </c>
    </row>
    <row r="714" spans="1:3" ht="13.5" customHeight="1" x14ac:dyDescent="0.25">
      <c r="A714" s="65"/>
      <c r="B714" s="65"/>
      <c r="C714" s="67"/>
    </row>
    <row r="715" spans="1:3" ht="13.5" customHeight="1" x14ac:dyDescent="0.25">
      <c r="A715" s="65"/>
      <c r="B715" s="65"/>
      <c r="C715" s="67" t="s">
        <v>644</v>
      </c>
    </row>
    <row r="716" spans="1:3" ht="13.5" customHeight="1" x14ac:dyDescent="0.25">
      <c r="A716" s="65"/>
      <c r="B716" s="65"/>
      <c r="C716" s="66" t="s">
        <v>645</v>
      </c>
    </row>
    <row r="717" spans="1:3" ht="13.5" customHeight="1" x14ac:dyDescent="0.25">
      <c r="A717" s="65"/>
      <c r="B717" s="65"/>
      <c r="C717" s="67" t="s">
        <v>646</v>
      </c>
    </row>
    <row r="718" spans="1:3" ht="13.5" customHeight="1" x14ac:dyDescent="0.25">
      <c r="A718" s="65"/>
      <c r="B718" s="65"/>
      <c r="C718" s="67" t="s">
        <v>647</v>
      </c>
    </row>
    <row r="719" spans="1:3" ht="13.5" customHeight="1" x14ac:dyDescent="0.25">
      <c r="A719" s="65"/>
      <c r="B719" s="65"/>
      <c r="C719" s="67" t="s">
        <v>648</v>
      </c>
    </row>
    <row r="720" spans="1:3" ht="13.5" customHeight="1" x14ac:dyDescent="0.25">
      <c r="A720" s="65"/>
      <c r="B720" s="65"/>
      <c r="C720" s="67" t="s">
        <v>649</v>
      </c>
    </row>
    <row r="721" spans="1:3" ht="13.5" customHeight="1" x14ac:dyDescent="0.25">
      <c r="A721" s="65"/>
      <c r="B721" s="65"/>
      <c r="C721" s="67" t="s">
        <v>650</v>
      </c>
    </row>
    <row r="722" spans="1:3" ht="13.5" customHeight="1" x14ac:dyDescent="0.25">
      <c r="A722" s="65"/>
      <c r="B722" s="65"/>
      <c r="C722" s="67" t="s">
        <v>184</v>
      </c>
    </row>
    <row r="723" spans="1:3" ht="13.5" customHeight="1" x14ac:dyDescent="0.25">
      <c r="A723" s="65"/>
      <c r="B723" s="65"/>
      <c r="C723" s="66" t="s">
        <v>651</v>
      </c>
    </row>
    <row r="724" spans="1:3" ht="13.5" customHeight="1" x14ac:dyDescent="0.25">
      <c r="A724" s="65"/>
      <c r="B724" s="65"/>
      <c r="C724" s="67" t="s">
        <v>652</v>
      </c>
    </row>
    <row r="725" spans="1:3" ht="13.5" customHeight="1" x14ac:dyDescent="0.25">
      <c r="A725" s="65"/>
      <c r="B725" s="65"/>
      <c r="C725" s="67" t="s">
        <v>653</v>
      </c>
    </row>
    <row r="726" spans="1:3" ht="13.5" customHeight="1" x14ac:dyDescent="0.25">
      <c r="A726" s="65"/>
      <c r="B726" s="65"/>
      <c r="C726" s="67" t="s">
        <v>654</v>
      </c>
    </row>
    <row r="727" spans="1:3" ht="13.5" customHeight="1" x14ac:dyDescent="0.25">
      <c r="A727" s="65"/>
      <c r="B727" s="65"/>
      <c r="C727" s="67" t="s">
        <v>184</v>
      </c>
    </row>
    <row r="728" spans="1:3" ht="13.5" customHeight="1" x14ac:dyDescent="0.25">
      <c r="A728" s="65"/>
      <c r="B728" s="65"/>
      <c r="C728" s="67" t="s">
        <v>655</v>
      </c>
    </row>
    <row r="729" spans="1:3" ht="13.5" customHeight="1" x14ac:dyDescent="0.25">
      <c r="A729" s="65"/>
      <c r="B729" s="65"/>
      <c r="C729" s="67" t="s">
        <v>201</v>
      </c>
    </row>
    <row r="730" spans="1:3" ht="13.5" customHeight="1" x14ac:dyDescent="0.25">
      <c r="A730" s="65"/>
      <c r="B730" s="65"/>
      <c r="C730" s="67"/>
    </row>
    <row r="731" spans="1:3" ht="13.5" customHeight="1" x14ac:dyDescent="0.25">
      <c r="A731" s="65"/>
      <c r="B731" s="65"/>
      <c r="C731" s="67" t="s">
        <v>656</v>
      </c>
    </row>
    <row r="732" spans="1:3" ht="13.5" customHeight="1" x14ac:dyDescent="0.25">
      <c r="A732" s="65"/>
      <c r="B732" s="65"/>
      <c r="C732" s="67" t="s">
        <v>657</v>
      </c>
    </row>
    <row r="733" spans="1:3" ht="13.5" customHeight="1" x14ac:dyDescent="0.25">
      <c r="A733" s="65"/>
      <c r="B733" s="65"/>
      <c r="C733" s="67" t="s">
        <v>658</v>
      </c>
    </row>
    <row r="734" spans="1:3" ht="13.5" customHeight="1" x14ac:dyDescent="0.25">
      <c r="A734" s="65"/>
      <c r="B734" s="65"/>
      <c r="C734" s="67" t="s">
        <v>659</v>
      </c>
    </row>
    <row r="735" spans="1:3" ht="13.5" customHeight="1" x14ac:dyDescent="0.25">
      <c r="A735" s="65"/>
      <c r="B735" s="65"/>
      <c r="C735" s="67" t="s">
        <v>660</v>
      </c>
    </row>
    <row r="736" spans="1:3" ht="13.5" customHeight="1" x14ac:dyDescent="0.25">
      <c r="A736" s="65"/>
      <c r="B736" s="65"/>
      <c r="C736" s="67" t="s">
        <v>661</v>
      </c>
    </row>
    <row r="737" spans="1:3" ht="13.5" customHeight="1" x14ac:dyDescent="0.25">
      <c r="A737" s="65"/>
      <c r="B737" s="65"/>
      <c r="C737" s="67" t="s">
        <v>201</v>
      </c>
    </row>
    <row r="738" spans="1:3" ht="13.5" customHeight="1" x14ac:dyDescent="0.25">
      <c r="A738" s="65"/>
      <c r="B738" s="65"/>
      <c r="C738" s="67"/>
    </row>
    <row r="739" spans="1:3" ht="13.5" customHeight="1" x14ac:dyDescent="0.25">
      <c r="A739" s="65"/>
      <c r="B739" s="65"/>
      <c r="C739" s="67" t="s">
        <v>662</v>
      </c>
    </row>
    <row r="740" spans="1:3" ht="13.5" customHeight="1" x14ac:dyDescent="0.25">
      <c r="A740" s="65"/>
      <c r="B740" s="65"/>
      <c r="C740" s="67" t="s">
        <v>663</v>
      </c>
    </row>
    <row r="741" spans="1:3" ht="13.5" customHeight="1" x14ac:dyDescent="0.25">
      <c r="A741" s="65"/>
      <c r="B741" s="65"/>
      <c r="C741" s="67" t="s">
        <v>201</v>
      </c>
    </row>
    <row r="742" spans="1:3" ht="13.5" customHeight="1" x14ac:dyDescent="0.25">
      <c r="A742" s="65"/>
      <c r="B742" s="65"/>
      <c r="C742" s="67"/>
    </row>
    <row r="743" spans="1:3" ht="13.5" customHeight="1" x14ac:dyDescent="0.25">
      <c r="A743" s="65"/>
      <c r="B743" s="65"/>
      <c r="C743" s="67" t="s">
        <v>664</v>
      </c>
    </row>
    <row r="744" spans="1:3" ht="13.5" customHeight="1" x14ac:dyDescent="0.25">
      <c r="A744" s="65"/>
      <c r="B744" s="65"/>
      <c r="C744" s="66" t="s">
        <v>665</v>
      </c>
    </row>
    <row r="745" spans="1:3" ht="13.5" customHeight="1" x14ac:dyDescent="0.25">
      <c r="A745" s="65"/>
      <c r="B745" s="65"/>
      <c r="C745" s="66" t="s">
        <v>666</v>
      </c>
    </row>
    <row r="746" spans="1:3" ht="13.5" customHeight="1" x14ac:dyDescent="0.25">
      <c r="A746" s="65"/>
      <c r="B746" s="65"/>
      <c r="C746" s="67" t="s">
        <v>184</v>
      </c>
    </row>
    <row r="747" spans="1:3" ht="13.5" customHeight="1" x14ac:dyDescent="0.25">
      <c r="A747" s="65"/>
      <c r="B747" s="65"/>
      <c r="C747" s="66" t="s">
        <v>667</v>
      </c>
    </row>
    <row r="748" spans="1:3" ht="13.5" customHeight="1" x14ac:dyDescent="0.25">
      <c r="A748" s="65"/>
      <c r="B748" s="65"/>
      <c r="C748" s="66" t="s">
        <v>668</v>
      </c>
    </row>
    <row r="749" spans="1:3" ht="13.5" customHeight="1" x14ac:dyDescent="0.25">
      <c r="A749" s="65"/>
      <c r="B749" s="65"/>
      <c r="C749" s="66" t="s">
        <v>669</v>
      </c>
    </row>
    <row r="750" spans="1:3" ht="13.5" customHeight="1" x14ac:dyDescent="0.25">
      <c r="A750" s="65"/>
      <c r="B750" s="65"/>
      <c r="C750" s="67" t="s">
        <v>201</v>
      </c>
    </row>
    <row r="751" spans="1:3" ht="27.75" customHeight="1" x14ac:dyDescent="0.25">
      <c r="A751" s="99" t="s">
        <v>670</v>
      </c>
      <c r="B751" s="99"/>
      <c r="C751" s="99"/>
    </row>
    <row r="752" spans="1:3" ht="13.5" customHeight="1" x14ac:dyDescent="0.25">
      <c r="A752" s="65"/>
      <c r="B752" s="65"/>
      <c r="C752" s="66" t="s">
        <v>176</v>
      </c>
    </row>
    <row r="753" spans="1:3" ht="13.5" customHeight="1" x14ac:dyDescent="0.25">
      <c r="A753" s="65"/>
      <c r="B753" s="65"/>
      <c r="C753" s="66" t="s">
        <v>671</v>
      </c>
    </row>
    <row r="754" spans="1:3" ht="13.5" customHeight="1" x14ac:dyDescent="0.25">
      <c r="A754" s="65"/>
      <c r="B754" s="65"/>
      <c r="C754" s="66" t="s">
        <v>672</v>
      </c>
    </row>
    <row r="755" spans="1:3" ht="13.5" customHeight="1" x14ac:dyDescent="0.25">
      <c r="A755" s="65"/>
      <c r="B755" s="65"/>
      <c r="C755" s="66" t="s">
        <v>176</v>
      </c>
    </row>
    <row r="756" spans="1:3" ht="13.5" customHeight="1" x14ac:dyDescent="0.25">
      <c r="A756" s="65"/>
      <c r="B756" s="65"/>
      <c r="C756" s="67"/>
    </row>
    <row r="757" spans="1:3" ht="13.5" customHeight="1" x14ac:dyDescent="0.25">
      <c r="A757" s="65"/>
      <c r="B757" s="65"/>
      <c r="C757" s="66" t="s">
        <v>673</v>
      </c>
    </row>
    <row r="758" spans="1:3" ht="13.5" customHeight="1" x14ac:dyDescent="0.25">
      <c r="A758" s="65"/>
      <c r="B758" s="65"/>
      <c r="C758" s="67" t="s">
        <v>674</v>
      </c>
    </row>
    <row r="759" spans="1:3" ht="13.5" customHeight="1" x14ac:dyDescent="0.25">
      <c r="A759" s="65"/>
      <c r="B759" s="65"/>
      <c r="C759" s="66" t="s">
        <v>675</v>
      </c>
    </row>
    <row r="760" spans="1:3" ht="13.5" customHeight="1" x14ac:dyDescent="0.25">
      <c r="A760" s="65"/>
      <c r="B760" s="65"/>
      <c r="C760" s="67" t="s">
        <v>676</v>
      </c>
    </row>
    <row r="761" spans="1:3" ht="13.5" customHeight="1" x14ac:dyDescent="0.25">
      <c r="A761" s="65"/>
      <c r="B761" s="65"/>
      <c r="C761" s="67" t="s">
        <v>201</v>
      </c>
    </row>
    <row r="762" spans="1:3" ht="13.5" customHeight="1" x14ac:dyDescent="0.25">
      <c r="A762" s="65"/>
      <c r="B762" s="65"/>
      <c r="C762" s="67"/>
    </row>
    <row r="763" spans="1:3" ht="13.5" customHeight="1" x14ac:dyDescent="0.25">
      <c r="A763" s="65"/>
      <c r="B763" s="65"/>
      <c r="C763" s="66" t="s">
        <v>677</v>
      </c>
    </row>
    <row r="764" spans="1:3" ht="13.5" customHeight="1" x14ac:dyDescent="0.25">
      <c r="A764" s="65"/>
      <c r="B764" s="65"/>
      <c r="C764" s="67" t="s">
        <v>678</v>
      </c>
    </row>
    <row r="765" spans="1:3" ht="13.5" customHeight="1" x14ac:dyDescent="0.25">
      <c r="A765" s="65"/>
      <c r="B765" s="65"/>
      <c r="C765" s="66" t="s">
        <v>679</v>
      </c>
    </row>
    <row r="766" spans="1:3" ht="13.5" customHeight="1" x14ac:dyDescent="0.25">
      <c r="A766" s="65"/>
      <c r="B766" s="65"/>
      <c r="C766" s="67" t="s">
        <v>680</v>
      </c>
    </row>
    <row r="767" spans="1:3" ht="13.5" customHeight="1" x14ac:dyDescent="0.25">
      <c r="A767" s="65"/>
      <c r="B767" s="65"/>
      <c r="C767" s="67" t="s">
        <v>681</v>
      </c>
    </row>
    <row r="768" spans="1:3" ht="13.5" customHeight="1" x14ac:dyDescent="0.25">
      <c r="A768" s="65"/>
      <c r="B768" s="65"/>
      <c r="C768" s="67" t="s">
        <v>682</v>
      </c>
    </row>
    <row r="769" spans="1:3" ht="13.5" customHeight="1" x14ac:dyDescent="0.25">
      <c r="A769" s="65"/>
      <c r="B769" s="65"/>
      <c r="C769" s="67" t="s">
        <v>683</v>
      </c>
    </row>
    <row r="770" spans="1:3" ht="13.5" customHeight="1" x14ac:dyDescent="0.25">
      <c r="A770" s="65"/>
      <c r="B770" s="65"/>
      <c r="C770" s="67" t="s">
        <v>196</v>
      </c>
    </row>
    <row r="771" spans="1:3" ht="13.5" customHeight="1" x14ac:dyDescent="0.25">
      <c r="A771" s="65"/>
      <c r="B771" s="65"/>
      <c r="C771" s="67" t="s">
        <v>201</v>
      </c>
    </row>
    <row r="772" spans="1:3" ht="13.5" customHeight="1" x14ac:dyDescent="0.25">
      <c r="A772" s="65"/>
      <c r="B772" s="65"/>
      <c r="C772" s="67"/>
    </row>
    <row r="773" spans="1:3" ht="13.5" customHeight="1" x14ac:dyDescent="0.25">
      <c r="A773" s="65"/>
      <c r="B773" s="65"/>
      <c r="C773" s="66" t="s">
        <v>684</v>
      </c>
    </row>
    <row r="774" spans="1:3" ht="13.5" customHeight="1" x14ac:dyDescent="0.25">
      <c r="A774" s="65"/>
      <c r="B774" s="65"/>
      <c r="C774" s="66" t="s">
        <v>685</v>
      </c>
    </row>
    <row r="775" spans="1:3" ht="13.5" customHeight="1" x14ac:dyDescent="0.25">
      <c r="A775" s="65"/>
      <c r="B775" s="65"/>
      <c r="C775" s="66" t="s">
        <v>686</v>
      </c>
    </row>
    <row r="776" spans="1:3" ht="13.5" customHeight="1" x14ac:dyDescent="0.25">
      <c r="A776" s="65"/>
      <c r="B776" s="65"/>
      <c r="C776" s="66" t="s">
        <v>687</v>
      </c>
    </row>
    <row r="777" spans="1:3" ht="13.5" customHeight="1" x14ac:dyDescent="0.25">
      <c r="A777" s="65"/>
      <c r="B777" s="65"/>
      <c r="C777" s="66" t="s">
        <v>688</v>
      </c>
    </row>
    <row r="778" spans="1:3" ht="13.5" customHeight="1" x14ac:dyDescent="0.25">
      <c r="A778" s="65"/>
      <c r="B778" s="65"/>
      <c r="C778" s="66" t="s">
        <v>689</v>
      </c>
    </row>
    <row r="779" spans="1:3" ht="13.5" customHeight="1" x14ac:dyDescent="0.25">
      <c r="A779" s="65"/>
      <c r="B779" s="65"/>
      <c r="C779" s="66" t="s">
        <v>690</v>
      </c>
    </row>
    <row r="780" spans="1:3" ht="13.5" customHeight="1" x14ac:dyDescent="0.25">
      <c r="A780" s="65"/>
      <c r="B780" s="65"/>
      <c r="C780" s="66" t="s">
        <v>691</v>
      </c>
    </row>
    <row r="781" spans="1:3" ht="13.5" customHeight="1" x14ac:dyDescent="0.25">
      <c r="A781" s="65"/>
      <c r="B781" s="65"/>
      <c r="C781" s="66" t="s">
        <v>692</v>
      </c>
    </row>
    <row r="782" spans="1:3" ht="13.5" customHeight="1" x14ac:dyDescent="0.25">
      <c r="A782" s="65"/>
      <c r="B782" s="65"/>
      <c r="C782" s="66" t="s">
        <v>693</v>
      </c>
    </row>
    <row r="783" spans="1:3" ht="13.5" customHeight="1" x14ac:dyDescent="0.25">
      <c r="A783" s="65"/>
      <c r="B783" s="65"/>
      <c r="C783" s="67"/>
    </row>
    <row r="784" spans="1:3" ht="13.5" customHeight="1" x14ac:dyDescent="0.25">
      <c r="A784" s="65"/>
      <c r="B784" s="65"/>
      <c r="C784" s="66" t="s">
        <v>176</v>
      </c>
    </row>
    <row r="785" spans="1:3" ht="13.5" customHeight="1" x14ac:dyDescent="0.25">
      <c r="A785" s="65"/>
      <c r="B785" s="65"/>
      <c r="C785" s="66" t="s">
        <v>694</v>
      </c>
    </row>
    <row r="786" spans="1:3" ht="13.5" customHeight="1" x14ac:dyDescent="0.25">
      <c r="A786" s="65"/>
      <c r="B786" s="65"/>
      <c r="C786" s="66" t="s">
        <v>176</v>
      </c>
    </row>
    <row r="787" spans="1:3" ht="13.5" customHeight="1" x14ac:dyDescent="0.25">
      <c r="A787" s="65"/>
      <c r="B787" s="65"/>
      <c r="C787" s="66" t="s">
        <v>695</v>
      </c>
    </row>
    <row r="788" spans="1:3" ht="13.5" customHeight="1" x14ac:dyDescent="0.25">
      <c r="A788" s="65"/>
      <c r="B788" s="65"/>
      <c r="C788" s="66" t="s">
        <v>696</v>
      </c>
    </row>
    <row r="789" spans="1:3" ht="13.5" customHeight="1" x14ac:dyDescent="0.25">
      <c r="A789" s="65"/>
      <c r="B789" s="65"/>
      <c r="C789" s="66" t="s">
        <v>697</v>
      </c>
    </row>
    <row r="790" spans="1:3" ht="13.5" customHeight="1" x14ac:dyDescent="0.25">
      <c r="A790" s="65"/>
      <c r="B790" s="65"/>
      <c r="C790" s="66" t="s">
        <v>698</v>
      </c>
    </row>
    <row r="791" spans="1:3" ht="13.5" customHeight="1" x14ac:dyDescent="0.25">
      <c r="A791" s="65"/>
      <c r="B791" s="65"/>
      <c r="C791" s="66" t="s">
        <v>699</v>
      </c>
    </row>
    <row r="792" spans="1:3" ht="13.5" customHeight="1" x14ac:dyDescent="0.25">
      <c r="A792" s="65"/>
      <c r="B792" s="65"/>
      <c r="C792" s="66" t="s">
        <v>700</v>
      </c>
    </row>
    <row r="793" spans="1:3" ht="13.5" customHeight="1" x14ac:dyDescent="0.25">
      <c r="A793" s="65"/>
      <c r="B793" s="65"/>
      <c r="C793" s="66" t="s">
        <v>701</v>
      </c>
    </row>
    <row r="794" spans="1:3" ht="13.5" customHeight="1" x14ac:dyDescent="0.25">
      <c r="A794" s="65"/>
      <c r="B794" s="65"/>
      <c r="C794" s="66" t="s">
        <v>702</v>
      </c>
    </row>
    <row r="795" spans="1:3" ht="13.5" customHeight="1" x14ac:dyDescent="0.25">
      <c r="A795" s="65"/>
      <c r="B795" s="65"/>
      <c r="C795" s="66" t="s">
        <v>703</v>
      </c>
    </row>
    <row r="796" spans="1:3" ht="13.5" customHeight="1" x14ac:dyDescent="0.25">
      <c r="A796" s="65"/>
      <c r="B796" s="65"/>
      <c r="C796" s="66" t="s">
        <v>704</v>
      </c>
    </row>
    <row r="797" spans="1:3" ht="13.5" customHeight="1" x14ac:dyDescent="0.25">
      <c r="A797" s="65"/>
      <c r="B797" s="65"/>
      <c r="C797" s="66" t="s">
        <v>702</v>
      </c>
    </row>
    <row r="798" spans="1:3" ht="13.5" customHeight="1" x14ac:dyDescent="0.25">
      <c r="A798" s="65"/>
      <c r="B798" s="65"/>
      <c r="C798" s="66" t="s">
        <v>176</v>
      </c>
    </row>
    <row r="799" spans="1:3" ht="13.5" customHeight="1" x14ac:dyDescent="0.25">
      <c r="A799" s="65"/>
      <c r="B799" s="65"/>
      <c r="C799" s="66" t="s">
        <v>705</v>
      </c>
    </row>
    <row r="800" spans="1:3" ht="13.5" customHeight="1" x14ac:dyDescent="0.25">
      <c r="A800" s="65"/>
      <c r="B800" s="65"/>
      <c r="C800" s="66" t="s">
        <v>176</v>
      </c>
    </row>
    <row r="801" spans="1:3" ht="13.5" customHeight="1" x14ac:dyDescent="0.25">
      <c r="A801" s="65"/>
      <c r="B801" s="65"/>
      <c r="C801" s="66" t="s">
        <v>706</v>
      </c>
    </row>
    <row r="802" spans="1:3" ht="13.5" customHeight="1" x14ac:dyDescent="0.25">
      <c r="A802" s="65"/>
      <c r="B802" s="65"/>
      <c r="C802" s="66" t="s">
        <v>707</v>
      </c>
    </row>
    <row r="803" spans="1:3" ht="13.5" customHeight="1" x14ac:dyDescent="0.25">
      <c r="A803" s="65"/>
      <c r="B803" s="65"/>
      <c r="C803" s="66" t="s">
        <v>708</v>
      </c>
    </row>
    <row r="804" spans="1:3" ht="13.5" customHeight="1" x14ac:dyDescent="0.25">
      <c r="A804" s="65"/>
      <c r="B804" s="65"/>
      <c r="C804" s="66" t="s">
        <v>709</v>
      </c>
    </row>
    <row r="805" spans="1:3" ht="13.5" customHeight="1" x14ac:dyDescent="0.25">
      <c r="A805" s="65"/>
      <c r="B805" s="65"/>
      <c r="C805" s="66" t="s">
        <v>710</v>
      </c>
    </row>
    <row r="806" spans="1:3" ht="13.5" customHeight="1" x14ac:dyDescent="0.25">
      <c r="A806" s="65"/>
      <c r="B806" s="65"/>
      <c r="C806" s="66" t="s">
        <v>711</v>
      </c>
    </row>
    <row r="807" spans="1:3" ht="13.5" customHeight="1" x14ac:dyDescent="0.25">
      <c r="A807" s="65"/>
      <c r="B807" s="65"/>
      <c r="C807" s="66" t="s">
        <v>712</v>
      </c>
    </row>
    <row r="808" spans="1:3" ht="13.5" customHeight="1" x14ac:dyDescent="0.25">
      <c r="A808" s="65"/>
      <c r="B808" s="65"/>
      <c r="C808" s="66" t="s">
        <v>713</v>
      </c>
    </row>
    <row r="809" spans="1:3" ht="13.5" customHeight="1" x14ac:dyDescent="0.25">
      <c r="A809" s="65"/>
      <c r="B809" s="65"/>
      <c r="C809" s="66" t="s">
        <v>714</v>
      </c>
    </row>
    <row r="810" spans="1:3" ht="13.5" customHeight="1" x14ac:dyDescent="0.25">
      <c r="A810" s="65"/>
      <c r="B810" s="65"/>
      <c r="C810" s="66" t="s">
        <v>715</v>
      </c>
    </row>
    <row r="811" spans="1:3" ht="13.5" customHeight="1" x14ac:dyDescent="0.25">
      <c r="A811" s="65"/>
      <c r="B811" s="65"/>
      <c r="C811" s="66" t="s">
        <v>716</v>
      </c>
    </row>
    <row r="812" spans="1:3" ht="13.5" customHeight="1" x14ac:dyDescent="0.25">
      <c r="A812" s="65"/>
      <c r="B812" s="65"/>
      <c r="C812" s="66" t="s">
        <v>717</v>
      </c>
    </row>
  </sheetData>
  <mergeCells count="10">
    <mergeCell ref="A304:C304"/>
    <mergeCell ref="A486:C486"/>
    <mergeCell ref="A580:C580"/>
    <mergeCell ref="A682:C682"/>
    <mergeCell ref="A751:C751"/>
    <mergeCell ref="A1:C1"/>
    <mergeCell ref="A3:C3"/>
    <mergeCell ref="A39:C39"/>
    <mergeCell ref="A126:C126"/>
    <mergeCell ref="A230:C230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D1B4B"/>
  </sheetPr>
  <dimension ref="A1:D18"/>
  <sheetViews>
    <sheetView zoomScaleNormal="100" workbookViewId="0">
      <selection sqref="A1:D1"/>
    </sheetView>
  </sheetViews>
  <sheetFormatPr defaultColWidth="8.7109375" defaultRowHeight="15" x14ac:dyDescent="0.25"/>
  <cols>
    <col min="1" max="1" width="6" customWidth="1"/>
    <col min="2" max="2" width="24" customWidth="1"/>
    <col min="3" max="3" width="80" customWidth="1"/>
    <col min="4" max="4" width="30" customWidth="1"/>
  </cols>
  <sheetData>
    <row r="1" spans="1:4" ht="39.75" customHeight="1" x14ac:dyDescent="0.25">
      <c r="A1" s="100" t="s">
        <v>718</v>
      </c>
      <c r="B1" s="100"/>
      <c r="C1" s="100"/>
      <c r="D1" s="100"/>
    </row>
    <row r="2" spans="1:4" ht="21.75" customHeight="1" x14ac:dyDescent="0.25">
      <c r="A2" s="101" t="s">
        <v>719</v>
      </c>
      <c r="B2" s="101"/>
      <c r="C2" s="101"/>
      <c r="D2" s="101"/>
    </row>
    <row r="3" spans="1:4" ht="36" customHeight="1" x14ac:dyDescent="0.25">
      <c r="A3" s="68" t="s">
        <v>720</v>
      </c>
      <c r="B3" s="68" t="s">
        <v>721</v>
      </c>
      <c r="C3" s="68" t="s">
        <v>722</v>
      </c>
      <c r="D3" s="68" t="s">
        <v>723</v>
      </c>
    </row>
    <row r="4" spans="1:4" ht="27.75" customHeight="1" x14ac:dyDescent="0.25">
      <c r="A4" s="69">
        <v>1</v>
      </c>
      <c r="B4" s="70" t="s">
        <v>724</v>
      </c>
      <c r="C4" s="71" t="s">
        <v>725</v>
      </c>
      <c r="D4" s="72" t="s">
        <v>726</v>
      </c>
    </row>
    <row r="5" spans="1:4" ht="27.75" customHeight="1" x14ac:dyDescent="0.25">
      <c r="A5" s="73">
        <v>2</v>
      </c>
      <c r="B5" s="74" t="s">
        <v>727</v>
      </c>
      <c r="C5" s="59" t="s">
        <v>728</v>
      </c>
      <c r="D5" s="72" t="s">
        <v>726</v>
      </c>
    </row>
    <row r="6" spans="1:4" ht="27.75" customHeight="1" x14ac:dyDescent="0.25">
      <c r="A6" s="69">
        <v>3</v>
      </c>
      <c r="B6" s="70" t="s">
        <v>729</v>
      </c>
      <c r="C6" s="71" t="s">
        <v>730</v>
      </c>
      <c r="D6" s="75" t="s">
        <v>731</v>
      </c>
    </row>
    <row r="7" spans="1:4" ht="27.75" customHeight="1" x14ac:dyDescent="0.25">
      <c r="A7" s="73">
        <v>4</v>
      </c>
      <c r="B7" s="74" t="s">
        <v>732</v>
      </c>
      <c r="C7" s="59" t="s">
        <v>733</v>
      </c>
      <c r="D7" s="75" t="s">
        <v>731</v>
      </c>
    </row>
    <row r="8" spans="1:4" ht="27.75" customHeight="1" x14ac:dyDescent="0.25">
      <c r="A8" s="69">
        <v>5</v>
      </c>
      <c r="B8" s="70" t="s">
        <v>734</v>
      </c>
      <c r="C8" s="71" t="s">
        <v>735</v>
      </c>
      <c r="D8" s="75" t="s">
        <v>731</v>
      </c>
    </row>
    <row r="9" spans="1:4" ht="27.75" customHeight="1" x14ac:dyDescent="0.25">
      <c r="A9" s="73">
        <v>6</v>
      </c>
      <c r="B9" s="74" t="s">
        <v>736</v>
      </c>
      <c r="C9" s="59" t="s">
        <v>737</v>
      </c>
      <c r="D9" s="75" t="s">
        <v>731</v>
      </c>
    </row>
    <row r="10" spans="1:4" ht="27.75" customHeight="1" x14ac:dyDescent="0.25">
      <c r="A10" s="69">
        <v>7</v>
      </c>
      <c r="B10" s="70" t="s">
        <v>738</v>
      </c>
      <c r="C10" s="71" t="s">
        <v>739</v>
      </c>
      <c r="D10" s="75" t="s">
        <v>731</v>
      </c>
    </row>
    <row r="11" spans="1:4" ht="27.75" customHeight="1" x14ac:dyDescent="0.25">
      <c r="A11" s="73">
        <v>8</v>
      </c>
      <c r="B11" s="74" t="s">
        <v>740</v>
      </c>
      <c r="C11" s="59" t="s">
        <v>741</v>
      </c>
      <c r="D11" s="76" t="s">
        <v>742</v>
      </c>
    </row>
    <row r="12" spans="1:4" ht="27.75" customHeight="1" x14ac:dyDescent="0.25">
      <c r="A12" s="69">
        <v>9</v>
      </c>
      <c r="B12" s="70" t="s">
        <v>743</v>
      </c>
      <c r="C12" s="71" t="s">
        <v>744</v>
      </c>
      <c r="D12" s="76" t="s">
        <v>745</v>
      </c>
    </row>
    <row r="13" spans="1:4" ht="27.75" customHeight="1" x14ac:dyDescent="0.25">
      <c r="A13" s="73">
        <v>10</v>
      </c>
      <c r="B13" s="74" t="s">
        <v>746</v>
      </c>
      <c r="C13" s="59" t="s">
        <v>747</v>
      </c>
      <c r="D13" s="76" t="s">
        <v>745</v>
      </c>
    </row>
    <row r="14" spans="1:4" ht="27.75" customHeight="1" x14ac:dyDescent="0.25">
      <c r="A14" s="69">
        <v>11</v>
      </c>
      <c r="B14" s="70" t="s">
        <v>748</v>
      </c>
      <c r="C14" s="71" t="s">
        <v>749</v>
      </c>
      <c r="D14" s="75" t="s">
        <v>731</v>
      </c>
    </row>
    <row r="15" spans="1:4" ht="27.75" customHeight="1" x14ac:dyDescent="0.25">
      <c r="A15" s="73">
        <v>12</v>
      </c>
      <c r="B15" s="74" t="s">
        <v>750</v>
      </c>
      <c r="C15" s="59" t="s">
        <v>751</v>
      </c>
      <c r="D15" s="76" t="s">
        <v>752</v>
      </c>
    </row>
    <row r="16" spans="1:4" ht="27.75" customHeight="1" x14ac:dyDescent="0.25">
      <c r="A16" s="69">
        <v>13</v>
      </c>
      <c r="B16" s="70" t="s">
        <v>753</v>
      </c>
      <c r="C16" s="71" t="s">
        <v>754</v>
      </c>
      <c r="D16" s="76" t="s">
        <v>755</v>
      </c>
    </row>
    <row r="17" spans="1:4" ht="27.75" customHeight="1" x14ac:dyDescent="0.25">
      <c r="A17" s="73">
        <v>14</v>
      </c>
      <c r="B17" s="74" t="s">
        <v>756</v>
      </c>
      <c r="C17" s="59" t="s">
        <v>757</v>
      </c>
      <c r="D17" s="75" t="s">
        <v>731</v>
      </c>
    </row>
    <row r="18" spans="1:4" ht="27.75" customHeight="1" x14ac:dyDescent="0.25">
      <c r="A18" s="69">
        <v>15</v>
      </c>
      <c r="B18" s="70" t="s">
        <v>758</v>
      </c>
      <c r="C18" s="71" t="s">
        <v>759</v>
      </c>
      <c r="D18" s="75" t="s">
        <v>731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Members</vt:lpstr>
      <vt:lpstr>Transactions</vt:lpstr>
      <vt:lpstr>Loans</vt:lpstr>
      <vt:lpstr>Pending_Loans</vt:lpstr>
      <vt:lpstr>Reports</vt:lpstr>
      <vt:lpstr>Local_Cache</vt:lpstr>
      <vt:lpstr>Config</vt:lpstr>
      <vt:lpstr>VBA_Modules</vt:lpstr>
      <vt:lpstr>Setup_Guide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FRANK ABBAN</cp:lastModifiedBy>
  <cp:revision>0</cp:revision>
  <dcterms:created xsi:type="dcterms:W3CDTF">2026-04-06T12:42:43Z</dcterms:created>
  <dcterms:modified xsi:type="dcterms:W3CDTF">2026-04-10T11:18:41Z</dcterms:modified>
  <dc:language>en-US</dc:language>
</cp:coreProperties>
</file>