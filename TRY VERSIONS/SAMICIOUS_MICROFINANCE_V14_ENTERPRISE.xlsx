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DASHBOARD" sheetId="1" state="visible" r:id="rId1"/>
    <sheet xmlns:r="http://schemas.openxmlformats.org/officeDocument/2006/relationships" name="NEW ACCOUNT" sheetId="2" state="visible" r:id="rId2"/>
    <sheet xmlns:r="http://schemas.openxmlformats.org/officeDocument/2006/relationships" name="DATABASE" sheetId="3" state="visible" r:id="rId3"/>
    <sheet xmlns:r="http://schemas.openxmlformats.org/officeDocument/2006/relationships" name="SAVINGS" sheetId="4" state="visible" r:id="rId4"/>
    <sheet xmlns:r="http://schemas.openxmlformats.org/officeDocument/2006/relationships" name="WITHDRAWALS" sheetId="5" state="visible" r:id="rId5"/>
    <sheet xmlns:r="http://schemas.openxmlformats.org/officeDocument/2006/relationships" name="LOANS" sheetId="6" state="visible" r:id="rId6"/>
    <sheet xmlns:r="http://schemas.openxmlformats.org/officeDocument/2006/relationships" name="TOPUP" sheetId="7" state="visible" r:id="rId7"/>
    <sheet xmlns:r="http://schemas.openxmlformats.org/officeDocument/2006/relationships" name="REPO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FFFFFF"/>
      <sz val="11"/>
    </font>
    <font>
      <name val="Arial"/>
      <b val="1"/>
      <color rgb="00FFFFFF"/>
      <sz val="9"/>
    </font>
    <font>
      <name val="Arial"/>
      <b val="1"/>
      <color rgb="001F3864"/>
      <sz val="20"/>
    </font>
    <font>
      <name val="Arial"/>
      <b val="1"/>
      <color rgb="00FFFFFF"/>
      <sz val="10"/>
    </font>
    <font>
      <name val="Arial"/>
      <i val="1"/>
      <color rgb="001F3864"/>
      <sz val="10"/>
    </font>
    <font>
      <name val="Arial"/>
      <b val="1"/>
      <color rgb="00FFFFFF"/>
      <sz val="14"/>
    </font>
    <font>
      <name val="Arial"/>
      <i val="1"/>
      <color rgb="002E75B6"/>
      <sz val="10"/>
    </font>
    <font>
      <name val="Arial"/>
      <b val="1"/>
      <color rgb="001F3864"/>
      <sz val="10"/>
    </font>
    <font>
      <name val="Arial"/>
      <sz val="10"/>
    </font>
    <font>
      <name val="Arial"/>
      <color rgb="001F3864"/>
      <sz val="10"/>
    </font>
    <font>
      <name val="Arial"/>
      <i val="1"/>
      <color rgb="001F3864"/>
      <sz val="9"/>
    </font>
    <font>
      <name val="Arial"/>
      <b val="1"/>
      <color rgb="00FFFFFF"/>
      <sz val="13"/>
    </font>
    <font>
      <name val="Arial"/>
      <b val="1"/>
      <color rgb="001F5C6B"/>
      <sz val="10"/>
    </font>
    <font>
      <name val="Arial"/>
      <b val="1"/>
      <color rgb="007030A0"/>
      <sz val="10"/>
    </font>
    <font>
      <name val="Arial"/>
      <color rgb="001F3864"/>
      <sz val="11"/>
    </font>
    <font>
      <name val="Arial"/>
      <b val="1"/>
      <sz val="11"/>
    </font>
    <font>
      <name val="Arial"/>
      <i val="1"/>
      <color rgb="00375623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1F5C6B"/>
      </patternFill>
    </fill>
    <fill>
      <patternFill patternType="solid">
        <fgColor rgb="007030A0"/>
      </patternFill>
    </fill>
    <fill>
      <patternFill patternType="solid">
        <fgColor rgb="00DDEEFF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AD1DC"/>
      </patternFill>
    </fill>
  </fills>
  <borders count="4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wrapText="1"/>
    </xf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left" vertical="center"/>
    </xf>
    <xf numFmtId="4" fontId="10" fillId="10" borderId="2" applyAlignment="1" pivotButton="0" quotePrefix="0" xfId="0">
      <alignment horizontal="right"/>
    </xf>
    <xf numFmtId="0" fontId="9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4" fontId="10" fillId="11" borderId="2" applyAlignment="1" pivotButton="0" quotePrefix="0" xfId="0">
      <alignment horizontal="right"/>
    </xf>
    <xf numFmtId="0" fontId="13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/>
    </xf>
    <xf numFmtId="0" fontId="10" fillId="10" borderId="2" pivotButton="0" quotePrefix="0" xfId="0"/>
    <xf numFmtId="164" fontId="10" fillId="10" borderId="2" applyAlignment="1" pivotButton="0" quotePrefix="0" xfId="0">
      <alignment horizontal="center"/>
    </xf>
    <xf numFmtId="4" fontId="10" fillId="9" borderId="2" applyAlignment="1" pivotButton="0" quotePrefix="0" xfId="0">
      <alignment horizontal="right"/>
    </xf>
    <xf numFmtId="0" fontId="10" fillId="9" borderId="2" pivotButton="0" quotePrefix="0" xfId="0"/>
    <xf numFmtId="0" fontId="10" fillId="12" borderId="2" pivotButton="0" quotePrefix="0" xfId="0"/>
    <xf numFmtId="4" fontId="10" fillId="12" borderId="2" applyAlignment="1" pivotButton="0" quotePrefix="0" xfId="0">
      <alignment horizontal="right"/>
    </xf>
    <xf numFmtId="164" fontId="10" fillId="12" borderId="2" applyAlignment="1" pivotButton="0" quotePrefix="0" xfId="0">
      <alignment horizontal="center"/>
    </xf>
    <xf numFmtId="0" fontId="13" fillId="5" borderId="1" applyAlignment="1" pivotButton="0" quotePrefix="0" xfId="0">
      <alignment horizontal="center" vertical="center" wrapText="1"/>
    </xf>
    <xf numFmtId="0" fontId="10" fillId="13" borderId="2" pivotButton="0" quotePrefix="0" xfId="0"/>
    <xf numFmtId="4" fontId="10" fillId="13" borderId="2" applyAlignment="1" pivotButton="0" quotePrefix="0" xfId="0">
      <alignment horizontal="right"/>
    </xf>
    <xf numFmtId="164" fontId="10" fillId="13" borderId="2" applyAlignment="1" pivotButton="0" quotePrefix="0" xfId="0">
      <alignment horizontal="center"/>
    </xf>
    <xf numFmtId="0" fontId="13" fillId="6" borderId="1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/>
    </xf>
    <xf numFmtId="164" fontId="10" fillId="8" borderId="2" applyAlignment="1" pivotButton="0" quotePrefix="0" xfId="0">
      <alignment horizontal="center"/>
    </xf>
    <xf numFmtId="2" fontId="10" fillId="9" borderId="2" applyAlignment="1" pivotButton="0" quotePrefix="0" xfId="0">
      <alignment horizontal="right"/>
    </xf>
    <xf numFmtId="0" fontId="10" fillId="9" borderId="2" applyAlignment="1" pivotButton="0" quotePrefix="0" xfId="0">
      <alignment horizontal="right"/>
    </xf>
    <xf numFmtId="4" fontId="10" fillId="8" borderId="2" applyAlignment="1" pivotButton="0" quotePrefix="0" xfId="0">
      <alignment horizontal="right"/>
    </xf>
    <xf numFmtId="0" fontId="10" fillId="8" borderId="2" applyAlignment="1" pivotButton="0" quotePrefix="0" xfId="0">
      <alignment horizontal="center"/>
    </xf>
    <xf numFmtId="0" fontId="10" fillId="14" borderId="2" pivotButton="0" quotePrefix="0" xfId="0"/>
    <xf numFmtId="0" fontId="13" fillId="7" borderId="1" applyAlignment="1" pivotButton="0" quotePrefix="0" xfId="0">
      <alignment horizontal="center" vertical="center" wrapText="1"/>
    </xf>
    <xf numFmtId="0" fontId="15" fillId="8" borderId="2" applyAlignment="1" pivotButton="0" quotePrefix="0" xfId="0">
      <alignment horizontal="center"/>
    </xf>
    <xf numFmtId="0" fontId="10" fillId="8" borderId="2" pivotButton="0" quotePrefix="0" xfId="0"/>
    <xf numFmtId="0" fontId="8" fillId="0" borderId="0" applyAlignment="1" pivotButton="0" quotePrefix="0" xfId="0">
      <alignment horizontal="center"/>
    </xf>
    <xf numFmtId="0" fontId="16" fillId="0" borderId="3" applyAlignment="1" pivotButton="0" quotePrefix="0" xfId="0">
      <alignment horizontal="right" vertical="center"/>
    </xf>
    <xf numFmtId="4" fontId="17" fillId="11" borderId="1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NEW ACCOUNT!A1" TargetMode="External" Id="rId1"/><Relationship Type="http://schemas.openxmlformats.org/officeDocument/2006/relationships/hyperlink" Target="#SAVINGS!A1" TargetMode="External" Id="rId2"/><Relationship Type="http://schemas.openxmlformats.org/officeDocument/2006/relationships/hyperlink" Target="#WITHDRAWALS!A1" TargetMode="External" Id="rId3"/><Relationship Type="http://schemas.openxmlformats.org/officeDocument/2006/relationships/hyperlink" Target="#LOANS!A1" TargetMode="External" Id="rId4"/><Relationship Type="http://schemas.openxmlformats.org/officeDocument/2006/relationships/hyperlink" Target="#TOPUP!A1" TargetMode="External" Id="rId5"/><Relationship Type="http://schemas.openxmlformats.org/officeDocument/2006/relationships/hyperlink" Target="#DATABASE!A1" TargetMode="External" Id="rId6"/><Relationship Type="http://schemas.openxmlformats.org/officeDocument/2006/relationships/hyperlink" Target="#REPORTS!A1" TargetMode="External" Id="rId7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" customWidth="1" min="3" max="3"/>
    <col width="22" customWidth="1" min="4" max="4"/>
    <col width="3" customWidth="1" min="5" max="5"/>
    <col width="22" customWidth="1" min="6" max="6"/>
    <col width="3" customWidth="1" min="7" max="7"/>
    <col width="22" customWidth="1" min="8" max="8"/>
    <col width="3" customWidth="1" min="9" max="9"/>
    <col width="22" customWidth="1" min="10" max="10"/>
  </cols>
  <sheetData>
    <row r="1" ht="44" customHeight="1">
      <c r="A1" s="1" t="inlineStr">
        <is>
          <t>SAMICIOUS MICROFINANCE – ENTERPRISE FINANCIAL SYSTEM</t>
        </is>
      </c>
    </row>
    <row r="2" ht="22" customHeight="1">
      <c r="A2" s="2">
        <f>TEXT(TODAY(),"dddd, mmmm d, yyyy")</f>
        <v/>
      </c>
    </row>
    <row r="4" ht="28" customHeight="1">
      <c r="B4" s="3" t="inlineStr">
        <is>
          <t>TOTAL CUSTOMERS</t>
        </is>
      </c>
      <c r="D4" s="4" t="inlineStr">
        <is>
          <t>TOTAL SAVINGS (GHS)</t>
        </is>
      </c>
      <c r="F4" s="5" t="inlineStr">
        <is>
          <t>TOTAL WITHDRAWALS</t>
        </is>
      </c>
      <c r="H4" s="6" t="inlineStr">
        <is>
          <t>LOANS DISBURSED</t>
        </is>
      </c>
      <c r="J4" s="7" t="inlineStr">
        <is>
          <t>ACTIVE TOP-UPS</t>
        </is>
      </c>
    </row>
    <row r="5" ht="44" customHeight="1">
      <c r="B5" s="8">
        <f>COUNTA(DATABASE!A:A)-1</f>
        <v/>
      </c>
      <c r="D5" s="8">
        <f>IFERROR(SUMIF(SAVINGS!A:A,"ACC*",SAVINGS!E:E),0)</f>
        <v/>
      </c>
      <c r="F5" s="8">
        <f>IFERROR(SUMIF(WITHDRAWALS!A:A,"ACC*",WITHDRAWALS!E:E),0)</f>
        <v/>
      </c>
      <c r="H5" s="8">
        <f>IFERROR(SUMIF(LOANS!B:B,"ACC*",LOANS!D:D),0)</f>
        <v/>
      </c>
      <c r="J5" s="8">
        <f>IFERROR(COUNTIF(TOPUP!J:J,"Active"),0)</f>
        <v/>
      </c>
    </row>
    <row r="7" ht="32" customHeight="1">
      <c r="B7" s="9" t="inlineStr">
        <is>
          <t>📋 NEW ACCOUNT</t>
        </is>
      </c>
      <c r="D7" s="9" t="inlineStr">
        <is>
          <t>💰 SAVINGS</t>
        </is>
      </c>
      <c r="F7" s="9" t="inlineStr">
        <is>
          <t>🏧 WITHDRAWALS</t>
        </is>
      </c>
      <c r="H7" s="9" t="inlineStr">
        <is>
          <t>🏦 LOANS</t>
        </is>
      </c>
      <c r="J7" s="9" t="inlineStr">
        <is>
          <t>🔗 LOAN TOP-UP</t>
        </is>
      </c>
    </row>
    <row r="8" ht="32" customHeight="1">
      <c r="B8" s="9" t="inlineStr">
        <is>
          <t>🗄️ DATABASE</t>
        </is>
      </c>
      <c r="D8" s="9" t="inlineStr">
        <is>
          <t>📊 REPORTS</t>
        </is>
      </c>
    </row>
    <row r="10" ht="36" customHeight="1">
      <c r="A10" s="10" t="inlineStr">
        <is>
          <t>⚡  FULLY AUTOMATED  •  Enter data in NEW ACCOUNT, SAVINGS, WITHDRAWALS, LOANS or TOPUP — every balance, ID, name, and report updates instantly.  No buttons. No macros. No copy-paste. Pure formula engine.</t>
        </is>
      </c>
    </row>
  </sheetData>
  <mergeCells count="3">
    <mergeCell ref="A1:J1"/>
    <mergeCell ref="A10:J10"/>
    <mergeCell ref="A2:J2"/>
  </mergeCells>
  <hyperlinks>
    <hyperlink xmlns:r="http://schemas.openxmlformats.org/officeDocument/2006/relationships" ref="B7" r:id="rId1"/>
    <hyperlink xmlns:r="http://schemas.openxmlformats.org/officeDocument/2006/relationships" ref="D7" r:id="rId2"/>
    <hyperlink xmlns:r="http://schemas.openxmlformats.org/officeDocument/2006/relationships" ref="F7" r:id="rId3"/>
    <hyperlink xmlns:r="http://schemas.openxmlformats.org/officeDocument/2006/relationships" ref="H7" r:id="rId4"/>
    <hyperlink xmlns:r="http://schemas.openxmlformats.org/officeDocument/2006/relationships" ref="J7" r:id="rId5"/>
    <hyperlink xmlns:r="http://schemas.openxmlformats.org/officeDocument/2006/relationships" ref="B8" r:id="rId6"/>
    <hyperlink xmlns:r="http://schemas.openxmlformats.org/officeDocument/2006/relationships" ref="D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0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6" customWidth="1" min="4" max="4"/>
    <col width="18" customWidth="1" min="5" max="5"/>
    <col width="20" customWidth="1" min="6" max="6"/>
    <col width="20" customWidth="1" min="7" max="7"/>
    <col width="18" customWidth="1" min="8" max="8"/>
  </cols>
  <sheetData>
    <row r="1" ht="36" customHeight="1">
      <c r="A1" s="11" t="inlineStr">
        <is>
          <t>NEW CUSTOMER ACCOUNT REGISTRATION</t>
        </is>
      </c>
    </row>
    <row r="2" ht="32" customHeight="1">
      <c r="A2" s="12" t="inlineStr">
        <is>
          <t>✅  FULLY AUTOMATED  —  Type customer details in columns B–G.  Account Number (col A) and Date (col H) auto-generate immediately.  DATABASE reads this table in real time.  No copy-paste required.</t>
        </is>
      </c>
    </row>
    <row r="3" ht="30" customHeight="1">
      <c r="A3" s="9" t="inlineStr">
        <is>
          <t>Account Number</t>
        </is>
      </c>
      <c r="B3" s="9" t="inlineStr">
        <is>
          <t>Customer Name</t>
        </is>
      </c>
      <c r="C3" s="9" t="inlineStr">
        <is>
          <t>Date of Birth</t>
        </is>
      </c>
      <c r="D3" s="9" t="inlineStr">
        <is>
          <t>Phone Number</t>
        </is>
      </c>
      <c r="E3" s="9" t="inlineStr">
        <is>
          <t>Location</t>
        </is>
      </c>
      <c r="F3" s="9" t="inlineStr">
        <is>
          <t>Occupation</t>
        </is>
      </c>
      <c r="G3" s="9" t="inlineStr">
        <is>
          <t>Assigned Agent</t>
        </is>
      </c>
      <c r="H3" s="9" t="inlineStr">
        <is>
          <t>Date Registered</t>
        </is>
      </c>
    </row>
    <row r="4" ht="20" customHeight="1">
      <c r="A4" s="13">
        <f>IF(B4="","","ACC"&amp;TEXT(ROW()-3,"0000"))</f>
        <v/>
      </c>
      <c r="B4" s="14" t="n"/>
      <c r="C4" s="14" t="n"/>
      <c r="D4" s="14" t="n"/>
      <c r="E4" s="14" t="n"/>
      <c r="F4" s="14" t="n"/>
      <c r="G4" s="14" t="n"/>
      <c r="H4" s="15">
        <f>IF(B4="","",TEXT(TODAY(),"dd/mm/yyyy"))</f>
        <v/>
      </c>
    </row>
    <row r="5" ht="20" customHeight="1">
      <c r="A5" s="13">
        <f>IF(B5="","","ACC"&amp;TEXT(ROW()-3,"0000"))</f>
        <v/>
      </c>
      <c r="B5" s="14" t="n"/>
      <c r="C5" s="14" t="n"/>
      <c r="D5" s="14" t="n"/>
      <c r="E5" s="14" t="n"/>
      <c r="F5" s="14" t="n"/>
      <c r="G5" s="14" t="n"/>
      <c r="H5" s="15">
        <f>IF(B5="","",TEXT(TODAY(),"dd/mm/yyyy"))</f>
        <v/>
      </c>
    </row>
    <row r="6" ht="20" customHeight="1">
      <c r="A6" s="13">
        <f>IF(B6="","","ACC"&amp;TEXT(ROW()-3,"0000"))</f>
        <v/>
      </c>
      <c r="B6" s="14" t="n"/>
      <c r="C6" s="14" t="n"/>
      <c r="D6" s="14" t="n"/>
      <c r="E6" s="14" t="n"/>
      <c r="F6" s="14" t="n"/>
      <c r="G6" s="14" t="n"/>
      <c r="H6" s="15">
        <f>IF(B6="","",TEXT(TODAY(),"dd/mm/yyyy"))</f>
        <v/>
      </c>
    </row>
    <row r="7" ht="20" customHeight="1">
      <c r="A7" s="13">
        <f>IF(B7="","","ACC"&amp;TEXT(ROW()-3,"0000"))</f>
        <v/>
      </c>
      <c r="B7" s="14" t="n"/>
      <c r="C7" s="14" t="n"/>
      <c r="D7" s="14" t="n"/>
      <c r="E7" s="14" t="n"/>
      <c r="F7" s="14" t="n"/>
      <c r="G7" s="14" t="n"/>
      <c r="H7" s="15">
        <f>IF(B7="","",TEXT(TODAY(),"dd/mm/yyyy"))</f>
        <v/>
      </c>
    </row>
    <row r="8" ht="20" customHeight="1">
      <c r="A8" s="13">
        <f>IF(B8="","","ACC"&amp;TEXT(ROW()-3,"0000"))</f>
        <v/>
      </c>
      <c r="B8" s="14" t="n"/>
      <c r="C8" s="14" t="n"/>
      <c r="D8" s="14" t="n"/>
      <c r="E8" s="14" t="n"/>
      <c r="F8" s="14" t="n"/>
      <c r="G8" s="14" t="n"/>
      <c r="H8" s="15">
        <f>IF(B8="","",TEXT(TODAY(),"dd/mm/yyyy"))</f>
        <v/>
      </c>
    </row>
    <row r="9" ht="20" customHeight="1">
      <c r="A9" s="13">
        <f>IF(B9="","","ACC"&amp;TEXT(ROW()-3,"0000"))</f>
        <v/>
      </c>
      <c r="B9" s="14" t="n"/>
      <c r="C9" s="14" t="n"/>
      <c r="D9" s="14" t="n"/>
      <c r="E9" s="14" t="n"/>
      <c r="F9" s="14" t="n"/>
      <c r="G9" s="14" t="n"/>
      <c r="H9" s="15">
        <f>IF(B9="","",TEXT(TODAY(),"dd/mm/yyyy"))</f>
        <v/>
      </c>
    </row>
    <row r="10" ht="20" customHeight="1">
      <c r="A10" s="13">
        <f>IF(B10="","","ACC"&amp;TEXT(ROW()-3,"0000"))</f>
        <v/>
      </c>
      <c r="B10" s="14" t="n"/>
      <c r="C10" s="14" t="n"/>
      <c r="D10" s="14" t="n"/>
      <c r="E10" s="14" t="n"/>
      <c r="F10" s="14" t="n"/>
      <c r="G10" s="14" t="n"/>
      <c r="H10" s="15">
        <f>IF(B10="","",TEXT(TODAY(),"dd/mm/yyyy"))</f>
        <v/>
      </c>
    </row>
    <row r="11" ht="20" customHeight="1">
      <c r="A11" s="13">
        <f>IF(B11="","","ACC"&amp;TEXT(ROW()-3,"0000"))</f>
        <v/>
      </c>
      <c r="B11" s="14" t="n"/>
      <c r="C11" s="14" t="n"/>
      <c r="D11" s="14" t="n"/>
      <c r="E11" s="14" t="n"/>
      <c r="F11" s="14" t="n"/>
      <c r="G11" s="14" t="n"/>
      <c r="H11" s="15">
        <f>IF(B11="","",TEXT(TODAY(),"dd/mm/yyyy"))</f>
        <v/>
      </c>
    </row>
    <row r="12" ht="20" customHeight="1">
      <c r="A12" s="13">
        <f>IF(B12="","","ACC"&amp;TEXT(ROW()-3,"0000"))</f>
        <v/>
      </c>
      <c r="B12" s="14" t="n"/>
      <c r="C12" s="14" t="n"/>
      <c r="D12" s="14" t="n"/>
      <c r="E12" s="14" t="n"/>
      <c r="F12" s="14" t="n"/>
      <c r="G12" s="14" t="n"/>
      <c r="H12" s="15">
        <f>IF(B12="","",TEXT(TODAY(),"dd/mm/yyyy"))</f>
        <v/>
      </c>
    </row>
    <row r="13" ht="20" customHeight="1">
      <c r="A13" s="13">
        <f>IF(B13="","","ACC"&amp;TEXT(ROW()-3,"0000"))</f>
        <v/>
      </c>
      <c r="B13" s="14" t="n"/>
      <c r="C13" s="14" t="n"/>
      <c r="D13" s="14" t="n"/>
      <c r="E13" s="14" t="n"/>
      <c r="F13" s="14" t="n"/>
      <c r="G13" s="14" t="n"/>
      <c r="H13" s="15">
        <f>IF(B13="","",TEXT(TODAY(),"dd/mm/yyyy"))</f>
        <v/>
      </c>
    </row>
    <row r="14" ht="20" customHeight="1">
      <c r="A14" s="13">
        <f>IF(B14="","","ACC"&amp;TEXT(ROW()-3,"0000"))</f>
        <v/>
      </c>
      <c r="B14" s="14" t="n"/>
      <c r="C14" s="14" t="n"/>
      <c r="D14" s="14" t="n"/>
      <c r="E14" s="14" t="n"/>
      <c r="F14" s="14" t="n"/>
      <c r="G14" s="14" t="n"/>
      <c r="H14" s="15">
        <f>IF(B14="","",TEXT(TODAY(),"dd/mm/yyyy"))</f>
        <v/>
      </c>
    </row>
    <row r="15" ht="20" customHeight="1">
      <c r="A15" s="13">
        <f>IF(B15="","","ACC"&amp;TEXT(ROW()-3,"0000"))</f>
        <v/>
      </c>
      <c r="B15" s="14" t="n"/>
      <c r="C15" s="14" t="n"/>
      <c r="D15" s="14" t="n"/>
      <c r="E15" s="14" t="n"/>
      <c r="F15" s="14" t="n"/>
      <c r="G15" s="14" t="n"/>
      <c r="H15" s="15">
        <f>IF(B15="","",TEXT(TODAY(),"dd/mm/yyyy"))</f>
        <v/>
      </c>
    </row>
    <row r="16" ht="20" customHeight="1">
      <c r="A16" s="13">
        <f>IF(B16="","","ACC"&amp;TEXT(ROW()-3,"0000"))</f>
        <v/>
      </c>
      <c r="B16" s="14" t="n"/>
      <c r="C16" s="14" t="n"/>
      <c r="D16" s="14" t="n"/>
      <c r="E16" s="14" t="n"/>
      <c r="F16" s="14" t="n"/>
      <c r="G16" s="14" t="n"/>
      <c r="H16" s="15">
        <f>IF(B16="","",TEXT(TODAY(),"dd/mm/yyyy"))</f>
        <v/>
      </c>
    </row>
    <row r="17" ht="20" customHeight="1">
      <c r="A17" s="13">
        <f>IF(B17="","","ACC"&amp;TEXT(ROW()-3,"0000"))</f>
        <v/>
      </c>
      <c r="B17" s="14" t="n"/>
      <c r="C17" s="14" t="n"/>
      <c r="D17" s="14" t="n"/>
      <c r="E17" s="14" t="n"/>
      <c r="F17" s="14" t="n"/>
      <c r="G17" s="14" t="n"/>
      <c r="H17" s="15">
        <f>IF(B17="","",TEXT(TODAY(),"dd/mm/yyyy"))</f>
        <v/>
      </c>
    </row>
    <row r="18" ht="20" customHeight="1">
      <c r="A18" s="13">
        <f>IF(B18="","","ACC"&amp;TEXT(ROW()-3,"0000"))</f>
        <v/>
      </c>
      <c r="B18" s="14" t="n"/>
      <c r="C18" s="14" t="n"/>
      <c r="D18" s="14" t="n"/>
      <c r="E18" s="14" t="n"/>
      <c r="F18" s="14" t="n"/>
      <c r="G18" s="14" t="n"/>
      <c r="H18" s="15">
        <f>IF(B18="","",TEXT(TODAY(),"dd/mm/yyyy"))</f>
        <v/>
      </c>
    </row>
    <row r="19" ht="20" customHeight="1">
      <c r="A19" s="13">
        <f>IF(B19="","","ACC"&amp;TEXT(ROW()-3,"0000"))</f>
        <v/>
      </c>
      <c r="B19" s="14" t="n"/>
      <c r="C19" s="14" t="n"/>
      <c r="D19" s="14" t="n"/>
      <c r="E19" s="14" t="n"/>
      <c r="F19" s="14" t="n"/>
      <c r="G19" s="14" t="n"/>
      <c r="H19" s="15">
        <f>IF(B19="","",TEXT(TODAY(),"dd/mm/yyyy"))</f>
        <v/>
      </c>
    </row>
    <row r="20" ht="20" customHeight="1">
      <c r="A20" s="13">
        <f>IF(B20="","","ACC"&amp;TEXT(ROW()-3,"0000"))</f>
        <v/>
      </c>
      <c r="B20" s="14" t="n"/>
      <c r="C20" s="14" t="n"/>
      <c r="D20" s="14" t="n"/>
      <c r="E20" s="14" t="n"/>
      <c r="F20" s="14" t="n"/>
      <c r="G20" s="14" t="n"/>
      <c r="H20" s="15">
        <f>IF(B20="","",TEXT(TODAY(),"dd/mm/yyyy"))</f>
        <v/>
      </c>
    </row>
    <row r="21" ht="20" customHeight="1">
      <c r="A21" s="13">
        <f>IF(B21="","","ACC"&amp;TEXT(ROW()-3,"0000"))</f>
        <v/>
      </c>
      <c r="B21" s="14" t="n"/>
      <c r="C21" s="14" t="n"/>
      <c r="D21" s="14" t="n"/>
      <c r="E21" s="14" t="n"/>
      <c r="F21" s="14" t="n"/>
      <c r="G21" s="14" t="n"/>
      <c r="H21" s="15">
        <f>IF(B21="","",TEXT(TODAY(),"dd/mm/yyyy"))</f>
        <v/>
      </c>
    </row>
    <row r="22" ht="20" customHeight="1">
      <c r="A22" s="13">
        <f>IF(B22="","","ACC"&amp;TEXT(ROW()-3,"0000"))</f>
        <v/>
      </c>
      <c r="B22" s="14" t="n"/>
      <c r="C22" s="14" t="n"/>
      <c r="D22" s="14" t="n"/>
      <c r="E22" s="14" t="n"/>
      <c r="F22" s="14" t="n"/>
      <c r="G22" s="14" t="n"/>
      <c r="H22" s="15">
        <f>IF(B22="","",TEXT(TODAY(),"dd/mm/yyyy"))</f>
        <v/>
      </c>
    </row>
    <row r="23" ht="20" customHeight="1">
      <c r="A23" s="13">
        <f>IF(B23="","","ACC"&amp;TEXT(ROW()-3,"0000"))</f>
        <v/>
      </c>
      <c r="B23" s="14" t="n"/>
      <c r="C23" s="14" t="n"/>
      <c r="D23" s="14" t="n"/>
      <c r="E23" s="14" t="n"/>
      <c r="F23" s="14" t="n"/>
      <c r="G23" s="14" t="n"/>
      <c r="H23" s="15">
        <f>IF(B23="","",TEXT(TODAY(),"dd/mm/yyyy"))</f>
        <v/>
      </c>
    </row>
    <row r="24" ht="20" customHeight="1">
      <c r="A24" s="13">
        <f>IF(B24="","","ACC"&amp;TEXT(ROW()-3,"0000"))</f>
        <v/>
      </c>
      <c r="B24" s="14" t="n"/>
      <c r="C24" s="14" t="n"/>
      <c r="D24" s="14" t="n"/>
      <c r="E24" s="14" t="n"/>
      <c r="F24" s="14" t="n"/>
      <c r="G24" s="14" t="n"/>
      <c r="H24" s="15">
        <f>IF(B24="","",TEXT(TODAY(),"dd/mm/yyyy"))</f>
        <v/>
      </c>
    </row>
    <row r="25" ht="20" customHeight="1">
      <c r="A25" s="13">
        <f>IF(B25="","","ACC"&amp;TEXT(ROW()-3,"0000"))</f>
        <v/>
      </c>
      <c r="B25" s="14" t="n"/>
      <c r="C25" s="14" t="n"/>
      <c r="D25" s="14" t="n"/>
      <c r="E25" s="14" t="n"/>
      <c r="F25" s="14" t="n"/>
      <c r="G25" s="14" t="n"/>
      <c r="H25" s="15">
        <f>IF(B25="","",TEXT(TODAY(),"dd/mm/yyyy"))</f>
        <v/>
      </c>
    </row>
    <row r="26" ht="20" customHeight="1">
      <c r="A26" s="13">
        <f>IF(B26="","","ACC"&amp;TEXT(ROW()-3,"0000"))</f>
        <v/>
      </c>
      <c r="B26" s="14" t="n"/>
      <c r="C26" s="14" t="n"/>
      <c r="D26" s="14" t="n"/>
      <c r="E26" s="14" t="n"/>
      <c r="F26" s="14" t="n"/>
      <c r="G26" s="14" t="n"/>
      <c r="H26" s="15">
        <f>IF(B26="","",TEXT(TODAY(),"dd/mm/yyyy"))</f>
        <v/>
      </c>
    </row>
    <row r="27" ht="20" customHeight="1">
      <c r="A27" s="13">
        <f>IF(B27="","","ACC"&amp;TEXT(ROW()-3,"0000"))</f>
        <v/>
      </c>
      <c r="B27" s="14" t="n"/>
      <c r="C27" s="14" t="n"/>
      <c r="D27" s="14" t="n"/>
      <c r="E27" s="14" t="n"/>
      <c r="F27" s="14" t="n"/>
      <c r="G27" s="14" t="n"/>
      <c r="H27" s="15">
        <f>IF(B27="","",TEXT(TODAY(),"dd/mm/yyyy"))</f>
        <v/>
      </c>
    </row>
    <row r="28" ht="20" customHeight="1">
      <c r="A28" s="13">
        <f>IF(B28="","","ACC"&amp;TEXT(ROW()-3,"0000"))</f>
        <v/>
      </c>
      <c r="B28" s="14" t="n"/>
      <c r="C28" s="14" t="n"/>
      <c r="D28" s="14" t="n"/>
      <c r="E28" s="14" t="n"/>
      <c r="F28" s="14" t="n"/>
      <c r="G28" s="14" t="n"/>
      <c r="H28" s="15">
        <f>IF(B28="","",TEXT(TODAY(),"dd/mm/yyyy"))</f>
        <v/>
      </c>
    </row>
    <row r="29" ht="20" customHeight="1">
      <c r="A29" s="13">
        <f>IF(B29="","","ACC"&amp;TEXT(ROW()-3,"0000"))</f>
        <v/>
      </c>
      <c r="B29" s="14" t="n"/>
      <c r="C29" s="14" t="n"/>
      <c r="D29" s="14" t="n"/>
      <c r="E29" s="14" t="n"/>
      <c r="F29" s="14" t="n"/>
      <c r="G29" s="14" t="n"/>
      <c r="H29" s="15">
        <f>IF(B29="","",TEXT(TODAY(),"dd/mm/yyyy"))</f>
        <v/>
      </c>
    </row>
    <row r="30" ht="20" customHeight="1">
      <c r="A30" s="13">
        <f>IF(B30="","","ACC"&amp;TEXT(ROW()-3,"0000"))</f>
        <v/>
      </c>
      <c r="B30" s="14" t="n"/>
      <c r="C30" s="14" t="n"/>
      <c r="D30" s="14" t="n"/>
      <c r="E30" s="14" t="n"/>
      <c r="F30" s="14" t="n"/>
      <c r="G30" s="14" t="n"/>
      <c r="H30" s="15">
        <f>IF(B30="","",TEXT(TODAY(),"dd/mm/yyyy"))</f>
        <v/>
      </c>
    </row>
    <row r="31" ht="20" customHeight="1">
      <c r="A31" s="13">
        <f>IF(B31="","","ACC"&amp;TEXT(ROW()-3,"0000"))</f>
        <v/>
      </c>
      <c r="B31" s="14" t="n"/>
      <c r="C31" s="14" t="n"/>
      <c r="D31" s="14" t="n"/>
      <c r="E31" s="14" t="n"/>
      <c r="F31" s="14" t="n"/>
      <c r="G31" s="14" t="n"/>
      <c r="H31" s="15">
        <f>IF(B31="","",TEXT(TODAY(),"dd/mm/yyyy"))</f>
        <v/>
      </c>
    </row>
    <row r="32" ht="20" customHeight="1">
      <c r="A32" s="13">
        <f>IF(B32="","","ACC"&amp;TEXT(ROW()-3,"0000"))</f>
        <v/>
      </c>
      <c r="B32" s="14" t="n"/>
      <c r="C32" s="14" t="n"/>
      <c r="D32" s="14" t="n"/>
      <c r="E32" s="14" t="n"/>
      <c r="F32" s="14" t="n"/>
      <c r="G32" s="14" t="n"/>
      <c r="H32" s="15">
        <f>IF(B32="","",TEXT(TODAY(),"dd/mm/yyyy"))</f>
        <v/>
      </c>
    </row>
    <row r="33" ht="20" customHeight="1">
      <c r="A33" s="13">
        <f>IF(B33="","","ACC"&amp;TEXT(ROW()-3,"0000"))</f>
        <v/>
      </c>
      <c r="B33" s="14" t="n"/>
      <c r="C33" s="14" t="n"/>
      <c r="D33" s="14" t="n"/>
      <c r="E33" s="14" t="n"/>
      <c r="F33" s="14" t="n"/>
      <c r="G33" s="14" t="n"/>
      <c r="H33" s="15">
        <f>IF(B33="","",TEXT(TODAY(),"dd/mm/yyyy"))</f>
        <v/>
      </c>
    </row>
    <row r="34" ht="20" customHeight="1">
      <c r="A34" s="13">
        <f>IF(B34="","","ACC"&amp;TEXT(ROW()-3,"0000"))</f>
        <v/>
      </c>
      <c r="B34" s="14" t="n"/>
      <c r="C34" s="14" t="n"/>
      <c r="D34" s="14" t="n"/>
      <c r="E34" s="14" t="n"/>
      <c r="F34" s="14" t="n"/>
      <c r="G34" s="14" t="n"/>
      <c r="H34" s="15">
        <f>IF(B34="","",TEXT(TODAY(),"dd/mm/yyyy"))</f>
        <v/>
      </c>
    </row>
    <row r="35" ht="20" customHeight="1">
      <c r="A35" s="13">
        <f>IF(B35="","","ACC"&amp;TEXT(ROW()-3,"0000"))</f>
        <v/>
      </c>
      <c r="B35" s="14" t="n"/>
      <c r="C35" s="14" t="n"/>
      <c r="D35" s="14" t="n"/>
      <c r="E35" s="14" t="n"/>
      <c r="F35" s="14" t="n"/>
      <c r="G35" s="14" t="n"/>
      <c r="H35" s="15">
        <f>IF(B35="","",TEXT(TODAY(),"dd/mm/yyyy"))</f>
        <v/>
      </c>
    </row>
    <row r="36" ht="20" customHeight="1">
      <c r="A36" s="13">
        <f>IF(B36="","","ACC"&amp;TEXT(ROW()-3,"0000"))</f>
        <v/>
      </c>
      <c r="B36" s="14" t="n"/>
      <c r="C36" s="14" t="n"/>
      <c r="D36" s="14" t="n"/>
      <c r="E36" s="14" t="n"/>
      <c r="F36" s="14" t="n"/>
      <c r="G36" s="14" t="n"/>
      <c r="H36" s="15">
        <f>IF(B36="","",TEXT(TODAY(),"dd/mm/yyyy"))</f>
        <v/>
      </c>
    </row>
    <row r="37" ht="20" customHeight="1">
      <c r="A37" s="13">
        <f>IF(B37="","","ACC"&amp;TEXT(ROW()-3,"0000"))</f>
        <v/>
      </c>
      <c r="B37" s="14" t="n"/>
      <c r="C37" s="14" t="n"/>
      <c r="D37" s="14" t="n"/>
      <c r="E37" s="14" t="n"/>
      <c r="F37" s="14" t="n"/>
      <c r="G37" s="14" t="n"/>
      <c r="H37" s="15">
        <f>IF(B37="","",TEXT(TODAY(),"dd/mm/yyyy"))</f>
        <v/>
      </c>
    </row>
    <row r="38" ht="20" customHeight="1">
      <c r="A38" s="13">
        <f>IF(B38="","","ACC"&amp;TEXT(ROW()-3,"0000"))</f>
        <v/>
      </c>
      <c r="B38" s="14" t="n"/>
      <c r="C38" s="14" t="n"/>
      <c r="D38" s="14" t="n"/>
      <c r="E38" s="14" t="n"/>
      <c r="F38" s="14" t="n"/>
      <c r="G38" s="14" t="n"/>
      <c r="H38" s="15">
        <f>IF(B38="","",TEXT(TODAY(),"dd/mm/yyyy"))</f>
        <v/>
      </c>
    </row>
    <row r="39" ht="20" customHeight="1">
      <c r="A39" s="13">
        <f>IF(B39="","","ACC"&amp;TEXT(ROW()-3,"0000"))</f>
        <v/>
      </c>
      <c r="B39" s="14" t="n"/>
      <c r="C39" s="14" t="n"/>
      <c r="D39" s="14" t="n"/>
      <c r="E39" s="14" t="n"/>
      <c r="F39" s="14" t="n"/>
      <c r="G39" s="14" t="n"/>
      <c r="H39" s="15">
        <f>IF(B39="","",TEXT(TODAY(),"dd/mm/yyyy"))</f>
        <v/>
      </c>
    </row>
    <row r="40" ht="20" customHeight="1">
      <c r="A40" s="13">
        <f>IF(B40="","","ACC"&amp;TEXT(ROW()-3,"0000"))</f>
        <v/>
      </c>
      <c r="B40" s="14" t="n"/>
      <c r="C40" s="14" t="n"/>
      <c r="D40" s="14" t="n"/>
      <c r="E40" s="14" t="n"/>
      <c r="F40" s="14" t="n"/>
      <c r="G40" s="14" t="n"/>
      <c r="H40" s="15">
        <f>IF(B40="","",TEXT(TODAY(),"dd/mm/yyyy"))</f>
        <v/>
      </c>
    </row>
    <row r="41" ht="20" customHeight="1">
      <c r="A41" s="13">
        <f>IF(B41="","","ACC"&amp;TEXT(ROW()-3,"0000"))</f>
        <v/>
      </c>
      <c r="B41" s="14" t="n"/>
      <c r="C41" s="14" t="n"/>
      <c r="D41" s="14" t="n"/>
      <c r="E41" s="14" t="n"/>
      <c r="F41" s="14" t="n"/>
      <c r="G41" s="14" t="n"/>
      <c r="H41" s="15">
        <f>IF(B41="","",TEXT(TODAY(),"dd/mm/yyyy"))</f>
        <v/>
      </c>
    </row>
    <row r="42" ht="20" customHeight="1">
      <c r="A42" s="13">
        <f>IF(B42="","","ACC"&amp;TEXT(ROW()-3,"0000"))</f>
        <v/>
      </c>
      <c r="B42" s="14" t="n"/>
      <c r="C42" s="14" t="n"/>
      <c r="D42" s="14" t="n"/>
      <c r="E42" s="14" t="n"/>
      <c r="F42" s="14" t="n"/>
      <c r="G42" s="14" t="n"/>
      <c r="H42" s="15">
        <f>IF(B42="","",TEXT(TODAY(),"dd/mm/yyyy"))</f>
        <v/>
      </c>
    </row>
    <row r="43" ht="20" customHeight="1">
      <c r="A43" s="13">
        <f>IF(B43="","","ACC"&amp;TEXT(ROW()-3,"0000"))</f>
        <v/>
      </c>
      <c r="B43" s="14" t="n"/>
      <c r="C43" s="14" t="n"/>
      <c r="D43" s="14" t="n"/>
      <c r="E43" s="14" t="n"/>
      <c r="F43" s="14" t="n"/>
      <c r="G43" s="14" t="n"/>
      <c r="H43" s="15">
        <f>IF(B43="","",TEXT(TODAY(),"dd/mm/yyyy"))</f>
        <v/>
      </c>
    </row>
    <row r="44" ht="20" customHeight="1">
      <c r="A44" s="13">
        <f>IF(B44="","","ACC"&amp;TEXT(ROW()-3,"0000"))</f>
        <v/>
      </c>
      <c r="B44" s="14" t="n"/>
      <c r="C44" s="14" t="n"/>
      <c r="D44" s="14" t="n"/>
      <c r="E44" s="14" t="n"/>
      <c r="F44" s="14" t="n"/>
      <c r="G44" s="14" t="n"/>
      <c r="H44" s="15">
        <f>IF(B44="","",TEXT(TODAY(),"dd/mm/yyyy"))</f>
        <v/>
      </c>
    </row>
    <row r="45" ht="20" customHeight="1">
      <c r="A45" s="13">
        <f>IF(B45="","","ACC"&amp;TEXT(ROW()-3,"0000"))</f>
        <v/>
      </c>
      <c r="B45" s="14" t="n"/>
      <c r="C45" s="14" t="n"/>
      <c r="D45" s="14" t="n"/>
      <c r="E45" s="14" t="n"/>
      <c r="F45" s="14" t="n"/>
      <c r="G45" s="14" t="n"/>
      <c r="H45" s="15">
        <f>IF(B45="","",TEXT(TODAY(),"dd/mm/yyyy"))</f>
        <v/>
      </c>
    </row>
    <row r="46" ht="20" customHeight="1">
      <c r="A46" s="13">
        <f>IF(B46="","","ACC"&amp;TEXT(ROW()-3,"0000"))</f>
        <v/>
      </c>
      <c r="B46" s="14" t="n"/>
      <c r="C46" s="14" t="n"/>
      <c r="D46" s="14" t="n"/>
      <c r="E46" s="14" t="n"/>
      <c r="F46" s="14" t="n"/>
      <c r="G46" s="14" t="n"/>
      <c r="H46" s="15">
        <f>IF(B46="","",TEXT(TODAY(),"dd/mm/yyyy"))</f>
        <v/>
      </c>
    </row>
    <row r="47" ht="20" customHeight="1">
      <c r="A47" s="13">
        <f>IF(B47="","","ACC"&amp;TEXT(ROW()-3,"0000"))</f>
        <v/>
      </c>
      <c r="B47" s="14" t="n"/>
      <c r="C47" s="14" t="n"/>
      <c r="D47" s="14" t="n"/>
      <c r="E47" s="14" t="n"/>
      <c r="F47" s="14" t="n"/>
      <c r="G47" s="14" t="n"/>
      <c r="H47" s="15">
        <f>IF(B47="","",TEXT(TODAY(),"dd/mm/yyyy"))</f>
        <v/>
      </c>
    </row>
    <row r="48" ht="20" customHeight="1">
      <c r="A48" s="13">
        <f>IF(B48="","","ACC"&amp;TEXT(ROW()-3,"0000"))</f>
        <v/>
      </c>
      <c r="B48" s="14" t="n"/>
      <c r="C48" s="14" t="n"/>
      <c r="D48" s="14" t="n"/>
      <c r="E48" s="14" t="n"/>
      <c r="F48" s="14" t="n"/>
      <c r="G48" s="14" t="n"/>
      <c r="H48" s="15">
        <f>IF(B48="","",TEXT(TODAY(),"dd/mm/yyyy"))</f>
        <v/>
      </c>
    </row>
    <row r="49" ht="20" customHeight="1">
      <c r="A49" s="13">
        <f>IF(B49="","","ACC"&amp;TEXT(ROW()-3,"0000"))</f>
        <v/>
      </c>
      <c r="B49" s="14" t="n"/>
      <c r="C49" s="14" t="n"/>
      <c r="D49" s="14" t="n"/>
      <c r="E49" s="14" t="n"/>
      <c r="F49" s="14" t="n"/>
      <c r="G49" s="14" t="n"/>
      <c r="H49" s="15">
        <f>IF(B49="","",TEXT(TODAY(),"dd/mm/yyyy"))</f>
        <v/>
      </c>
    </row>
    <row r="50" ht="20" customHeight="1">
      <c r="A50" s="13">
        <f>IF(B50="","","ACC"&amp;TEXT(ROW()-3,"0000"))</f>
        <v/>
      </c>
      <c r="B50" s="14" t="n"/>
      <c r="C50" s="14" t="n"/>
      <c r="D50" s="14" t="n"/>
      <c r="E50" s="14" t="n"/>
      <c r="F50" s="14" t="n"/>
      <c r="G50" s="14" t="n"/>
      <c r="H50" s="15">
        <f>IF(B50="","",TEXT(TODAY(),"dd/mm/yyyy"))</f>
        <v/>
      </c>
    </row>
    <row r="51" ht="20" customHeight="1">
      <c r="A51" s="13">
        <f>IF(B51="","","ACC"&amp;TEXT(ROW()-3,"0000"))</f>
        <v/>
      </c>
      <c r="B51" s="14" t="n"/>
      <c r="C51" s="14" t="n"/>
      <c r="D51" s="14" t="n"/>
      <c r="E51" s="14" t="n"/>
      <c r="F51" s="14" t="n"/>
      <c r="G51" s="14" t="n"/>
      <c r="H51" s="15">
        <f>IF(B51="","",TEXT(TODAY(),"dd/mm/yyyy"))</f>
        <v/>
      </c>
    </row>
    <row r="52" ht="20" customHeight="1">
      <c r="A52" s="13">
        <f>IF(B52="","","ACC"&amp;TEXT(ROW()-3,"0000"))</f>
        <v/>
      </c>
      <c r="B52" s="14" t="n"/>
      <c r="C52" s="14" t="n"/>
      <c r="D52" s="14" t="n"/>
      <c r="E52" s="14" t="n"/>
      <c r="F52" s="14" t="n"/>
      <c r="G52" s="14" t="n"/>
      <c r="H52" s="15">
        <f>IF(B52="","",TEXT(TODAY(),"dd/mm/yyyy"))</f>
        <v/>
      </c>
    </row>
    <row r="53" ht="20" customHeight="1">
      <c r="A53" s="13">
        <f>IF(B53="","","ACC"&amp;TEXT(ROW()-3,"0000"))</f>
        <v/>
      </c>
      <c r="B53" s="14" t="n"/>
      <c r="C53" s="14" t="n"/>
      <c r="D53" s="14" t="n"/>
      <c r="E53" s="14" t="n"/>
      <c r="F53" s="14" t="n"/>
      <c r="G53" s="14" t="n"/>
      <c r="H53" s="15">
        <f>IF(B53="","",TEXT(TODAY(),"dd/mm/yyyy"))</f>
        <v/>
      </c>
    </row>
    <row r="54" ht="20" customHeight="1">
      <c r="A54" s="13">
        <f>IF(B54="","","ACC"&amp;TEXT(ROW()-3,"0000"))</f>
        <v/>
      </c>
      <c r="B54" s="14" t="n"/>
      <c r="C54" s="14" t="n"/>
      <c r="D54" s="14" t="n"/>
      <c r="E54" s="14" t="n"/>
      <c r="F54" s="14" t="n"/>
      <c r="G54" s="14" t="n"/>
      <c r="H54" s="15">
        <f>IF(B54="","",TEXT(TODAY(),"dd/mm/yyyy"))</f>
        <v/>
      </c>
    </row>
    <row r="55" ht="20" customHeight="1">
      <c r="A55" s="13">
        <f>IF(B55="","","ACC"&amp;TEXT(ROW()-3,"0000"))</f>
        <v/>
      </c>
      <c r="B55" s="14" t="n"/>
      <c r="C55" s="14" t="n"/>
      <c r="D55" s="14" t="n"/>
      <c r="E55" s="14" t="n"/>
      <c r="F55" s="14" t="n"/>
      <c r="G55" s="14" t="n"/>
      <c r="H55" s="15">
        <f>IF(B55="","",TEXT(TODAY(),"dd/mm/yyyy"))</f>
        <v/>
      </c>
    </row>
    <row r="56" ht="20" customHeight="1">
      <c r="A56" s="13">
        <f>IF(B56="","","ACC"&amp;TEXT(ROW()-3,"0000"))</f>
        <v/>
      </c>
      <c r="B56" s="14" t="n"/>
      <c r="C56" s="14" t="n"/>
      <c r="D56" s="14" t="n"/>
      <c r="E56" s="14" t="n"/>
      <c r="F56" s="14" t="n"/>
      <c r="G56" s="14" t="n"/>
      <c r="H56" s="15">
        <f>IF(B56="","",TEXT(TODAY(),"dd/mm/yyyy"))</f>
        <v/>
      </c>
    </row>
    <row r="57" ht="20" customHeight="1">
      <c r="A57" s="13">
        <f>IF(B57="","","ACC"&amp;TEXT(ROW()-3,"0000"))</f>
        <v/>
      </c>
      <c r="B57" s="14" t="n"/>
      <c r="C57" s="14" t="n"/>
      <c r="D57" s="14" t="n"/>
      <c r="E57" s="14" t="n"/>
      <c r="F57" s="14" t="n"/>
      <c r="G57" s="14" t="n"/>
      <c r="H57" s="15">
        <f>IF(B57="","",TEXT(TODAY(),"dd/mm/yyyy"))</f>
        <v/>
      </c>
    </row>
    <row r="58" ht="20" customHeight="1">
      <c r="A58" s="13">
        <f>IF(B58="","","ACC"&amp;TEXT(ROW()-3,"0000"))</f>
        <v/>
      </c>
      <c r="B58" s="14" t="n"/>
      <c r="C58" s="14" t="n"/>
      <c r="D58" s="14" t="n"/>
      <c r="E58" s="14" t="n"/>
      <c r="F58" s="14" t="n"/>
      <c r="G58" s="14" t="n"/>
      <c r="H58" s="15">
        <f>IF(B58="","",TEXT(TODAY(),"dd/mm/yyyy"))</f>
        <v/>
      </c>
    </row>
    <row r="59" ht="20" customHeight="1">
      <c r="A59" s="13">
        <f>IF(B59="","","ACC"&amp;TEXT(ROW()-3,"0000"))</f>
        <v/>
      </c>
      <c r="B59" s="14" t="n"/>
      <c r="C59" s="14" t="n"/>
      <c r="D59" s="14" t="n"/>
      <c r="E59" s="14" t="n"/>
      <c r="F59" s="14" t="n"/>
      <c r="G59" s="14" t="n"/>
      <c r="H59" s="15">
        <f>IF(B59="","",TEXT(TODAY(),"dd/mm/yyyy"))</f>
        <v/>
      </c>
    </row>
    <row r="60" ht="20" customHeight="1">
      <c r="A60" s="13">
        <f>IF(B60="","","ACC"&amp;TEXT(ROW()-3,"0000"))</f>
        <v/>
      </c>
      <c r="B60" s="14" t="n"/>
      <c r="C60" s="14" t="n"/>
      <c r="D60" s="14" t="n"/>
      <c r="E60" s="14" t="n"/>
      <c r="F60" s="14" t="n"/>
      <c r="G60" s="14" t="n"/>
      <c r="H60" s="15">
        <f>IF(B60="","",TEXT(TODAY(),"dd/mm/yyyy"))</f>
        <v/>
      </c>
    </row>
    <row r="61" ht="20" customHeight="1">
      <c r="A61" s="13">
        <f>IF(B61="","","ACC"&amp;TEXT(ROW()-3,"0000"))</f>
        <v/>
      </c>
      <c r="B61" s="14" t="n"/>
      <c r="C61" s="14" t="n"/>
      <c r="D61" s="14" t="n"/>
      <c r="E61" s="14" t="n"/>
      <c r="F61" s="14" t="n"/>
      <c r="G61" s="14" t="n"/>
      <c r="H61" s="15">
        <f>IF(B61="","",TEXT(TODAY(),"dd/mm/yyyy"))</f>
        <v/>
      </c>
    </row>
    <row r="62" ht="20" customHeight="1">
      <c r="A62" s="13">
        <f>IF(B62="","","ACC"&amp;TEXT(ROW()-3,"0000"))</f>
        <v/>
      </c>
      <c r="B62" s="14" t="n"/>
      <c r="C62" s="14" t="n"/>
      <c r="D62" s="14" t="n"/>
      <c r="E62" s="14" t="n"/>
      <c r="F62" s="14" t="n"/>
      <c r="G62" s="14" t="n"/>
      <c r="H62" s="15">
        <f>IF(B62="","",TEXT(TODAY(),"dd/mm/yyyy"))</f>
        <v/>
      </c>
    </row>
    <row r="63" ht="20" customHeight="1">
      <c r="A63" s="13">
        <f>IF(B63="","","ACC"&amp;TEXT(ROW()-3,"0000"))</f>
        <v/>
      </c>
      <c r="B63" s="14" t="n"/>
      <c r="C63" s="14" t="n"/>
      <c r="D63" s="14" t="n"/>
      <c r="E63" s="14" t="n"/>
      <c r="F63" s="14" t="n"/>
      <c r="G63" s="14" t="n"/>
      <c r="H63" s="15">
        <f>IF(B63="","",TEXT(TODAY(),"dd/mm/yyyy"))</f>
        <v/>
      </c>
    </row>
    <row r="64" ht="20" customHeight="1">
      <c r="A64" s="13">
        <f>IF(B64="","","ACC"&amp;TEXT(ROW()-3,"0000"))</f>
        <v/>
      </c>
      <c r="B64" s="14" t="n"/>
      <c r="C64" s="14" t="n"/>
      <c r="D64" s="14" t="n"/>
      <c r="E64" s="14" t="n"/>
      <c r="F64" s="14" t="n"/>
      <c r="G64" s="14" t="n"/>
      <c r="H64" s="15">
        <f>IF(B64="","",TEXT(TODAY(),"dd/mm/yyyy"))</f>
        <v/>
      </c>
    </row>
    <row r="65" ht="20" customHeight="1">
      <c r="A65" s="13">
        <f>IF(B65="","","ACC"&amp;TEXT(ROW()-3,"0000"))</f>
        <v/>
      </c>
      <c r="B65" s="14" t="n"/>
      <c r="C65" s="14" t="n"/>
      <c r="D65" s="14" t="n"/>
      <c r="E65" s="14" t="n"/>
      <c r="F65" s="14" t="n"/>
      <c r="G65" s="14" t="n"/>
      <c r="H65" s="15">
        <f>IF(B65="","",TEXT(TODAY(),"dd/mm/yyyy"))</f>
        <v/>
      </c>
    </row>
    <row r="66" ht="20" customHeight="1">
      <c r="A66" s="13">
        <f>IF(B66="","","ACC"&amp;TEXT(ROW()-3,"0000"))</f>
        <v/>
      </c>
      <c r="B66" s="14" t="n"/>
      <c r="C66" s="14" t="n"/>
      <c r="D66" s="14" t="n"/>
      <c r="E66" s="14" t="n"/>
      <c r="F66" s="14" t="n"/>
      <c r="G66" s="14" t="n"/>
      <c r="H66" s="15">
        <f>IF(B66="","",TEXT(TODAY(),"dd/mm/yyyy"))</f>
        <v/>
      </c>
    </row>
    <row r="67" ht="20" customHeight="1">
      <c r="A67" s="13">
        <f>IF(B67="","","ACC"&amp;TEXT(ROW()-3,"0000"))</f>
        <v/>
      </c>
      <c r="B67" s="14" t="n"/>
      <c r="C67" s="14" t="n"/>
      <c r="D67" s="14" t="n"/>
      <c r="E67" s="14" t="n"/>
      <c r="F67" s="14" t="n"/>
      <c r="G67" s="14" t="n"/>
      <c r="H67" s="15">
        <f>IF(B67="","",TEXT(TODAY(),"dd/mm/yyyy"))</f>
        <v/>
      </c>
    </row>
    <row r="68" ht="20" customHeight="1">
      <c r="A68" s="13">
        <f>IF(B68="","","ACC"&amp;TEXT(ROW()-3,"0000"))</f>
        <v/>
      </c>
      <c r="B68" s="14" t="n"/>
      <c r="C68" s="14" t="n"/>
      <c r="D68" s="14" t="n"/>
      <c r="E68" s="14" t="n"/>
      <c r="F68" s="14" t="n"/>
      <c r="G68" s="14" t="n"/>
      <c r="H68" s="15">
        <f>IF(B68="","",TEXT(TODAY(),"dd/mm/yyyy"))</f>
        <v/>
      </c>
    </row>
    <row r="69" ht="20" customHeight="1">
      <c r="A69" s="13">
        <f>IF(B69="","","ACC"&amp;TEXT(ROW()-3,"0000"))</f>
        <v/>
      </c>
      <c r="B69" s="14" t="n"/>
      <c r="C69" s="14" t="n"/>
      <c r="D69" s="14" t="n"/>
      <c r="E69" s="14" t="n"/>
      <c r="F69" s="14" t="n"/>
      <c r="G69" s="14" t="n"/>
      <c r="H69" s="15">
        <f>IF(B69="","",TEXT(TODAY(),"dd/mm/yyyy"))</f>
        <v/>
      </c>
    </row>
    <row r="70" ht="20" customHeight="1">
      <c r="A70" s="13">
        <f>IF(B70="","","ACC"&amp;TEXT(ROW()-3,"0000"))</f>
        <v/>
      </c>
      <c r="B70" s="14" t="n"/>
      <c r="C70" s="14" t="n"/>
      <c r="D70" s="14" t="n"/>
      <c r="E70" s="14" t="n"/>
      <c r="F70" s="14" t="n"/>
      <c r="G70" s="14" t="n"/>
      <c r="H70" s="15">
        <f>IF(B70="","",TEXT(TODAY(),"dd/mm/yyyy"))</f>
        <v/>
      </c>
    </row>
    <row r="71" ht="20" customHeight="1">
      <c r="A71" s="13">
        <f>IF(B71="","","ACC"&amp;TEXT(ROW()-3,"0000"))</f>
        <v/>
      </c>
      <c r="B71" s="14" t="n"/>
      <c r="C71" s="14" t="n"/>
      <c r="D71" s="14" t="n"/>
      <c r="E71" s="14" t="n"/>
      <c r="F71" s="14" t="n"/>
      <c r="G71" s="14" t="n"/>
      <c r="H71" s="15">
        <f>IF(B71="","",TEXT(TODAY(),"dd/mm/yyyy"))</f>
        <v/>
      </c>
    </row>
    <row r="72" ht="20" customHeight="1">
      <c r="A72" s="13">
        <f>IF(B72="","","ACC"&amp;TEXT(ROW()-3,"0000"))</f>
        <v/>
      </c>
      <c r="B72" s="14" t="n"/>
      <c r="C72" s="14" t="n"/>
      <c r="D72" s="14" t="n"/>
      <c r="E72" s="14" t="n"/>
      <c r="F72" s="14" t="n"/>
      <c r="G72" s="14" t="n"/>
      <c r="H72" s="15">
        <f>IF(B72="","",TEXT(TODAY(),"dd/mm/yyyy"))</f>
        <v/>
      </c>
    </row>
    <row r="73" ht="20" customHeight="1">
      <c r="A73" s="13">
        <f>IF(B73="","","ACC"&amp;TEXT(ROW()-3,"0000"))</f>
        <v/>
      </c>
      <c r="B73" s="14" t="n"/>
      <c r="C73" s="14" t="n"/>
      <c r="D73" s="14" t="n"/>
      <c r="E73" s="14" t="n"/>
      <c r="F73" s="14" t="n"/>
      <c r="G73" s="14" t="n"/>
      <c r="H73" s="15">
        <f>IF(B73="","",TEXT(TODAY(),"dd/mm/yyyy"))</f>
        <v/>
      </c>
    </row>
    <row r="74" ht="20" customHeight="1">
      <c r="A74" s="13">
        <f>IF(B74="","","ACC"&amp;TEXT(ROW()-3,"0000"))</f>
        <v/>
      </c>
      <c r="B74" s="14" t="n"/>
      <c r="C74" s="14" t="n"/>
      <c r="D74" s="14" t="n"/>
      <c r="E74" s="14" t="n"/>
      <c r="F74" s="14" t="n"/>
      <c r="G74" s="14" t="n"/>
      <c r="H74" s="15">
        <f>IF(B74="","",TEXT(TODAY(),"dd/mm/yyyy"))</f>
        <v/>
      </c>
    </row>
    <row r="75" ht="20" customHeight="1">
      <c r="A75" s="13">
        <f>IF(B75="","","ACC"&amp;TEXT(ROW()-3,"0000"))</f>
        <v/>
      </c>
      <c r="B75" s="14" t="n"/>
      <c r="C75" s="14" t="n"/>
      <c r="D75" s="14" t="n"/>
      <c r="E75" s="14" t="n"/>
      <c r="F75" s="14" t="n"/>
      <c r="G75" s="14" t="n"/>
      <c r="H75" s="15">
        <f>IF(B75="","",TEXT(TODAY(),"dd/mm/yyyy"))</f>
        <v/>
      </c>
    </row>
    <row r="76" ht="20" customHeight="1">
      <c r="A76" s="13">
        <f>IF(B76="","","ACC"&amp;TEXT(ROW()-3,"0000"))</f>
        <v/>
      </c>
      <c r="B76" s="14" t="n"/>
      <c r="C76" s="14" t="n"/>
      <c r="D76" s="14" t="n"/>
      <c r="E76" s="14" t="n"/>
      <c r="F76" s="14" t="n"/>
      <c r="G76" s="14" t="n"/>
      <c r="H76" s="15">
        <f>IF(B76="","",TEXT(TODAY(),"dd/mm/yyyy"))</f>
        <v/>
      </c>
    </row>
    <row r="77" ht="20" customHeight="1">
      <c r="A77" s="13">
        <f>IF(B77="","","ACC"&amp;TEXT(ROW()-3,"0000"))</f>
        <v/>
      </c>
      <c r="B77" s="14" t="n"/>
      <c r="C77" s="14" t="n"/>
      <c r="D77" s="14" t="n"/>
      <c r="E77" s="14" t="n"/>
      <c r="F77" s="14" t="n"/>
      <c r="G77" s="14" t="n"/>
      <c r="H77" s="15">
        <f>IF(B77="","",TEXT(TODAY(),"dd/mm/yyyy"))</f>
        <v/>
      </c>
    </row>
    <row r="78" ht="20" customHeight="1">
      <c r="A78" s="13">
        <f>IF(B78="","","ACC"&amp;TEXT(ROW()-3,"0000"))</f>
        <v/>
      </c>
      <c r="B78" s="14" t="n"/>
      <c r="C78" s="14" t="n"/>
      <c r="D78" s="14" t="n"/>
      <c r="E78" s="14" t="n"/>
      <c r="F78" s="14" t="n"/>
      <c r="G78" s="14" t="n"/>
      <c r="H78" s="15">
        <f>IF(B78="","",TEXT(TODAY(),"dd/mm/yyyy"))</f>
        <v/>
      </c>
    </row>
    <row r="79" ht="20" customHeight="1">
      <c r="A79" s="13">
        <f>IF(B79="","","ACC"&amp;TEXT(ROW()-3,"0000"))</f>
        <v/>
      </c>
      <c r="B79" s="14" t="n"/>
      <c r="C79" s="14" t="n"/>
      <c r="D79" s="14" t="n"/>
      <c r="E79" s="14" t="n"/>
      <c r="F79" s="14" t="n"/>
      <c r="G79" s="14" t="n"/>
      <c r="H79" s="15">
        <f>IF(B79="","",TEXT(TODAY(),"dd/mm/yyyy"))</f>
        <v/>
      </c>
    </row>
    <row r="80" ht="20" customHeight="1">
      <c r="A80" s="13">
        <f>IF(B80="","","ACC"&amp;TEXT(ROW()-3,"0000"))</f>
        <v/>
      </c>
      <c r="B80" s="14" t="n"/>
      <c r="C80" s="14" t="n"/>
      <c r="D80" s="14" t="n"/>
      <c r="E80" s="14" t="n"/>
      <c r="F80" s="14" t="n"/>
      <c r="G80" s="14" t="n"/>
      <c r="H80" s="15">
        <f>IF(B80="","",TEXT(TODAY(),"dd/mm/yyyy"))</f>
        <v/>
      </c>
    </row>
    <row r="81" ht="20" customHeight="1">
      <c r="A81" s="13">
        <f>IF(B81="","","ACC"&amp;TEXT(ROW()-3,"0000"))</f>
        <v/>
      </c>
      <c r="B81" s="14" t="n"/>
      <c r="C81" s="14" t="n"/>
      <c r="D81" s="14" t="n"/>
      <c r="E81" s="14" t="n"/>
      <c r="F81" s="14" t="n"/>
      <c r="G81" s="14" t="n"/>
      <c r="H81" s="15">
        <f>IF(B81="","",TEXT(TODAY(),"dd/mm/yyyy"))</f>
        <v/>
      </c>
    </row>
    <row r="82" ht="20" customHeight="1">
      <c r="A82" s="13">
        <f>IF(B82="","","ACC"&amp;TEXT(ROW()-3,"0000"))</f>
        <v/>
      </c>
      <c r="B82" s="14" t="n"/>
      <c r="C82" s="14" t="n"/>
      <c r="D82" s="14" t="n"/>
      <c r="E82" s="14" t="n"/>
      <c r="F82" s="14" t="n"/>
      <c r="G82" s="14" t="n"/>
      <c r="H82" s="15">
        <f>IF(B82="","",TEXT(TODAY(),"dd/mm/yyyy"))</f>
        <v/>
      </c>
    </row>
    <row r="83" ht="20" customHeight="1">
      <c r="A83" s="13">
        <f>IF(B83="","","ACC"&amp;TEXT(ROW()-3,"0000"))</f>
        <v/>
      </c>
      <c r="B83" s="14" t="n"/>
      <c r="C83" s="14" t="n"/>
      <c r="D83" s="14" t="n"/>
      <c r="E83" s="14" t="n"/>
      <c r="F83" s="14" t="n"/>
      <c r="G83" s="14" t="n"/>
      <c r="H83" s="15">
        <f>IF(B83="","",TEXT(TODAY(),"dd/mm/yyyy"))</f>
        <v/>
      </c>
    </row>
    <row r="84" ht="20" customHeight="1">
      <c r="A84" s="13">
        <f>IF(B84="","","ACC"&amp;TEXT(ROW()-3,"0000"))</f>
        <v/>
      </c>
      <c r="B84" s="14" t="n"/>
      <c r="C84" s="14" t="n"/>
      <c r="D84" s="14" t="n"/>
      <c r="E84" s="14" t="n"/>
      <c r="F84" s="14" t="n"/>
      <c r="G84" s="14" t="n"/>
      <c r="H84" s="15">
        <f>IF(B84="","",TEXT(TODAY(),"dd/mm/yyyy"))</f>
        <v/>
      </c>
    </row>
    <row r="85" ht="20" customHeight="1">
      <c r="A85" s="13">
        <f>IF(B85="","","ACC"&amp;TEXT(ROW()-3,"0000"))</f>
        <v/>
      </c>
      <c r="B85" s="14" t="n"/>
      <c r="C85" s="14" t="n"/>
      <c r="D85" s="14" t="n"/>
      <c r="E85" s="14" t="n"/>
      <c r="F85" s="14" t="n"/>
      <c r="G85" s="14" t="n"/>
      <c r="H85" s="15">
        <f>IF(B85="","",TEXT(TODAY(),"dd/mm/yyyy"))</f>
        <v/>
      </c>
    </row>
    <row r="86" ht="20" customHeight="1">
      <c r="A86" s="13">
        <f>IF(B86="","","ACC"&amp;TEXT(ROW()-3,"0000"))</f>
        <v/>
      </c>
      <c r="B86" s="14" t="n"/>
      <c r="C86" s="14" t="n"/>
      <c r="D86" s="14" t="n"/>
      <c r="E86" s="14" t="n"/>
      <c r="F86" s="14" t="n"/>
      <c r="G86" s="14" t="n"/>
      <c r="H86" s="15">
        <f>IF(B86="","",TEXT(TODAY(),"dd/mm/yyyy"))</f>
        <v/>
      </c>
    </row>
    <row r="87" ht="20" customHeight="1">
      <c r="A87" s="13">
        <f>IF(B87="","","ACC"&amp;TEXT(ROW()-3,"0000"))</f>
        <v/>
      </c>
      <c r="B87" s="14" t="n"/>
      <c r="C87" s="14" t="n"/>
      <c r="D87" s="14" t="n"/>
      <c r="E87" s="14" t="n"/>
      <c r="F87" s="14" t="n"/>
      <c r="G87" s="14" t="n"/>
      <c r="H87" s="15">
        <f>IF(B87="","",TEXT(TODAY(),"dd/mm/yyyy"))</f>
        <v/>
      </c>
    </row>
    <row r="88" ht="20" customHeight="1">
      <c r="A88" s="13">
        <f>IF(B88="","","ACC"&amp;TEXT(ROW()-3,"0000"))</f>
        <v/>
      </c>
      <c r="B88" s="14" t="n"/>
      <c r="C88" s="14" t="n"/>
      <c r="D88" s="14" t="n"/>
      <c r="E88" s="14" t="n"/>
      <c r="F88" s="14" t="n"/>
      <c r="G88" s="14" t="n"/>
      <c r="H88" s="15">
        <f>IF(B88="","",TEXT(TODAY(),"dd/mm/yyyy"))</f>
        <v/>
      </c>
    </row>
    <row r="89" ht="20" customHeight="1">
      <c r="A89" s="13">
        <f>IF(B89="","","ACC"&amp;TEXT(ROW()-3,"0000"))</f>
        <v/>
      </c>
      <c r="B89" s="14" t="n"/>
      <c r="C89" s="14" t="n"/>
      <c r="D89" s="14" t="n"/>
      <c r="E89" s="14" t="n"/>
      <c r="F89" s="14" t="n"/>
      <c r="G89" s="14" t="n"/>
      <c r="H89" s="15">
        <f>IF(B89="","",TEXT(TODAY(),"dd/mm/yyyy"))</f>
        <v/>
      </c>
    </row>
    <row r="90" ht="20" customHeight="1">
      <c r="A90" s="13">
        <f>IF(B90="","","ACC"&amp;TEXT(ROW()-3,"0000"))</f>
        <v/>
      </c>
      <c r="B90" s="14" t="n"/>
      <c r="C90" s="14" t="n"/>
      <c r="D90" s="14" t="n"/>
      <c r="E90" s="14" t="n"/>
      <c r="F90" s="14" t="n"/>
      <c r="G90" s="14" t="n"/>
      <c r="H90" s="15">
        <f>IF(B90="","",TEXT(TODAY(),"dd/mm/yyyy"))</f>
        <v/>
      </c>
    </row>
    <row r="91" ht="20" customHeight="1">
      <c r="A91" s="13">
        <f>IF(B91="","","ACC"&amp;TEXT(ROW()-3,"0000"))</f>
        <v/>
      </c>
      <c r="B91" s="14" t="n"/>
      <c r="C91" s="14" t="n"/>
      <c r="D91" s="14" t="n"/>
      <c r="E91" s="14" t="n"/>
      <c r="F91" s="14" t="n"/>
      <c r="G91" s="14" t="n"/>
      <c r="H91" s="15">
        <f>IF(B91="","",TEXT(TODAY(),"dd/mm/yyyy"))</f>
        <v/>
      </c>
    </row>
    <row r="92" ht="20" customHeight="1">
      <c r="A92" s="13">
        <f>IF(B92="","","ACC"&amp;TEXT(ROW()-3,"0000"))</f>
        <v/>
      </c>
      <c r="B92" s="14" t="n"/>
      <c r="C92" s="14" t="n"/>
      <c r="D92" s="14" t="n"/>
      <c r="E92" s="14" t="n"/>
      <c r="F92" s="14" t="n"/>
      <c r="G92" s="14" t="n"/>
      <c r="H92" s="15">
        <f>IF(B92="","",TEXT(TODAY(),"dd/mm/yyyy"))</f>
        <v/>
      </c>
    </row>
    <row r="93" ht="20" customHeight="1">
      <c r="A93" s="13">
        <f>IF(B93="","","ACC"&amp;TEXT(ROW()-3,"0000"))</f>
        <v/>
      </c>
      <c r="B93" s="14" t="n"/>
      <c r="C93" s="14" t="n"/>
      <c r="D93" s="14" t="n"/>
      <c r="E93" s="14" t="n"/>
      <c r="F93" s="14" t="n"/>
      <c r="G93" s="14" t="n"/>
      <c r="H93" s="15">
        <f>IF(B93="","",TEXT(TODAY(),"dd/mm/yyyy"))</f>
        <v/>
      </c>
    </row>
    <row r="94" ht="20" customHeight="1">
      <c r="A94" s="13">
        <f>IF(B94="","","ACC"&amp;TEXT(ROW()-3,"0000"))</f>
        <v/>
      </c>
      <c r="B94" s="14" t="n"/>
      <c r="C94" s="14" t="n"/>
      <c r="D94" s="14" t="n"/>
      <c r="E94" s="14" t="n"/>
      <c r="F94" s="14" t="n"/>
      <c r="G94" s="14" t="n"/>
      <c r="H94" s="15">
        <f>IF(B94="","",TEXT(TODAY(),"dd/mm/yyyy"))</f>
        <v/>
      </c>
    </row>
    <row r="95" ht="20" customHeight="1">
      <c r="A95" s="13">
        <f>IF(B95="","","ACC"&amp;TEXT(ROW()-3,"0000"))</f>
        <v/>
      </c>
      <c r="B95" s="14" t="n"/>
      <c r="C95" s="14" t="n"/>
      <c r="D95" s="14" t="n"/>
      <c r="E95" s="14" t="n"/>
      <c r="F95" s="14" t="n"/>
      <c r="G95" s="14" t="n"/>
      <c r="H95" s="15">
        <f>IF(B95="","",TEXT(TODAY(),"dd/mm/yyyy"))</f>
        <v/>
      </c>
    </row>
    <row r="96" ht="20" customHeight="1">
      <c r="A96" s="13">
        <f>IF(B96="","","ACC"&amp;TEXT(ROW()-3,"0000"))</f>
        <v/>
      </c>
      <c r="B96" s="14" t="n"/>
      <c r="C96" s="14" t="n"/>
      <c r="D96" s="14" t="n"/>
      <c r="E96" s="14" t="n"/>
      <c r="F96" s="14" t="n"/>
      <c r="G96" s="14" t="n"/>
      <c r="H96" s="15">
        <f>IF(B96="","",TEXT(TODAY(),"dd/mm/yyyy"))</f>
        <v/>
      </c>
    </row>
    <row r="97" ht="20" customHeight="1">
      <c r="A97" s="13">
        <f>IF(B97="","","ACC"&amp;TEXT(ROW()-3,"0000"))</f>
        <v/>
      </c>
      <c r="B97" s="14" t="n"/>
      <c r="C97" s="14" t="n"/>
      <c r="D97" s="14" t="n"/>
      <c r="E97" s="14" t="n"/>
      <c r="F97" s="14" t="n"/>
      <c r="G97" s="14" t="n"/>
      <c r="H97" s="15">
        <f>IF(B97="","",TEXT(TODAY(),"dd/mm/yyyy"))</f>
        <v/>
      </c>
    </row>
    <row r="98" ht="20" customHeight="1">
      <c r="A98" s="13">
        <f>IF(B98="","","ACC"&amp;TEXT(ROW()-3,"0000"))</f>
        <v/>
      </c>
      <c r="B98" s="14" t="n"/>
      <c r="C98" s="14" t="n"/>
      <c r="D98" s="14" t="n"/>
      <c r="E98" s="14" t="n"/>
      <c r="F98" s="14" t="n"/>
      <c r="G98" s="14" t="n"/>
      <c r="H98" s="15">
        <f>IF(B98="","",TEXT(TODAY(),"dd/mm/yyyy"))</f>
        <v/>
      </c>
    </row>
    <row r="99" ht="20" customHeight="1">
      <c r="A99" s="13">
        <f>IF(B99="","","ACC"&amp;TEXT(ROW()-3,"0000"))</f>
        <v/>
      </c>
      <c r="B99" s="14" t="n"/>
      <c r="C99" s="14" t="n"/>
      <c r="D99" s="14" t="n"/>
      <c r="E99" s="14" t="n"/>
      <c r="F99" s="14" t="n"/>
      <c r="G99" s="14" t="n"/>
      <c r="H99" s="15">
        <f>IF(B99="","",TEXT(TODAY(),"dd/mm/yyyy"))</f>
        <v/>
      </c>
    </row>
    <row r="100" ht="20" customHeight="1">
      <c r="A100" s="13">
        <f>IF(B100="","","ACC"&amp;TEXT(ROW()-3,"0000"))</f>
        <v/>
      </c>
      <c r="B100" s="14" t="n"/>
      <c r="C100" s="14" t="n"/>
      <c r="D100" s="14" t="n"/>
      <c r="E100" s="14" t="n"/>
      <c r="F100" s="14" t="n"/>
      <c r="G100" s="14" t="n"/>
      <c r="H100" s="15">
        <f>IF(B100="","",TEXT(TODAY(),"dd/mm/yyyy"))</f>
        <v/>
      </c>
    </row>
    <row r="101" ht="20" customHeight="1">
      <c r="A101" s="13">
        <f>IF(B101="","","ACC"&amp;TEXT(ROW()-3,"0000"))</f>
        <v/>
      </c>
      <c r="B101" s="14" t="n"/>
      <c r="C101" s="14" t="n"/>
      <c r="D101" s="14" t="n"/>
      <c r="E101" s="14" t="n"/>
      <c r="F101" s="14" t="n"/>
      <c r="G101" s="14" t="n"/>
      <c r="H101" s="15">
        <f>IF(B101="","",TEXT(TODAY(),"dd/mm/yyyy"))</f>
        <v/>
      </c>
    </row>
    <row r="102" ht="20" customHeight="1">
      <c r="A102" s="13">
        <f>IF(B102="","","ACC"&amp;TEXT(ROW()-3,"0000"))</f>
        <v/>
      </c>
      <c r="B102" s="14" t="n"/>
      <c r="C102" s="14" t="n"/>
      <c r="D102" s="14" t="n"/>
      <c r="E102" s="14" t="n"/>
      <c r="F102" s="14" t="n"/>
      <c r="G102" s="14" t="n"/>
      <c r="H102" s="15">
        <f>IF(B102="","",TEXT(TODAY(),"dd/mm/yyyy"))</f>
        <v/>
      </c>
    </row>
    <row r="103" ht="20" customHeight="1">
      <c r="A103" s="13">
        <f>IF(B103="","","ACC"&amp;TEXT(ROW()-3,"0000"))</f>
        <v/>
      </c>
      <c r="B103" s="14" t="n"/>
      <c r="C103" s="14" t="n"/>
      <c r="D103" s="14" t="n"/>
      <c r="E103" s="14" t="n"/>
      <c r="F103" s="14" t="n"/>
      <c r="G103" s="14" t="n"/>
      <c r="H103" s="15">
        <f>IF(B103="","",TEXT(TODAY(),"dd/mm/yyyy"))</f>
        <v/>
      </c>
    </row>
    <row r="104" ht="20" customHeight="1">
      <c r="A104" s="13">
        <f>IF(B104="","","ACC"&amp;TEXT(ROW()-3,"0000"))</f>
        <v/>
      </c>
      <c r="B104" s="14" t="n"/>
      <c r="C104" s="14" t="n"/>
      <c r="D104" s="14" t="n"/>
      <c r="E104" s="14" t="n"/>
      <c r="F104" s="14" t="n"/>
      <c r="G104" s="14" t="n"/>
      <c r="H104" s="15">
        <f>IF(B104="","",TEXT(TODAY(),"dd/mm/yyyy"))</f>
        <v/>
      </c>
    </row>
    <row r="105" ht="20" customHeight="1">
      <c r="A105" s="13">
        <f>IF(B105="","","ACC"&amp;TEXT(ROW()-3,"0000"))</f>
        <v/>
      </c>
      <c r="B105" s="14" t="n"/>
      <c r="C105" s="14" t="n"/>
      <c r="D105" s="14" t="n"/>
      <c r="E105" s="14" t="n"/>
      <c r="F105" s="14" t="n"/>
      <c r="G105" s="14" t="n"/>
      <c r="H105" s="15">
        <f>IF(B105="","",TEXT(TODAY(),"dd/mm/yyyy"))</f>
        <v/>
      </c>
    </row>
    <row r="106" ht="20" customHeight="1">
      <c r="A106" s="13">
        <f>IF(B106="","","ACC"&amp;TEXT(ROW()-3,"0000"))</f>
        <v/>
      </c>
      <c r="B106" s="14" t="n"/>
      <c r="C106" s="14" t="n"/>
      <c r="D106" s="14" t="n"/>
      <c r="E106" s="14" t="n"/>
      <c r="F106" s="14" t="n"/>
      <c r="G106" s="14" t="n"/>
      <c r="H106" s="15">
        <f>IF(B106="","",TEXT(TODAY(),"dd/mm/yyyy"))</f>
        <v/>
      </c>
    </row>
    <row r="107" ht="20" customHeight="1">
      <c r="A107" s="13">
        <f>IF(B107="","","ACC"&amp;TEXT(ROW()-3,"0000"))</f>
        <v/>
      </c>
      <c r="B107" s="14" t="n"/>
      <c r="C107" s="14" t="n"/>
      <c r="D107" s="14" t="n"/>
      <c r="E107" s="14" t="n"/>
      <c r="F107" s="14" t="n"/>
      <c r="G107" s="14" t="n"/>
      <c r="H107" s="15">
        <f>IF(B107="","",TEXT(TODAY(),"dd/mm/yyyy"))</f>
        <v/>
      </c>
    </row>
    <row r="108" ht="20" customHeight="1">
      <c r="A108" s="13">
        <f>IF(B108="","","ACC"&amp;TEXT(ROW()-3,"0000"))</f>
        <v/>
      </c>
      <c r="B108" s="14" t="n"/>
      <c r="C108" s="14" t="n"/>
      <c r="D108" s="14" t="n"/>
      <c r="E108" s="14" t="n"/>
      <c r="F108" s="14" t="n"/>
      <c r="G108" s="14" t="n"/>
      <c r="H108" s="15">
        <f>IF(B108="","",TEXT(TODAY(),"dd/mm/yyyy"))</f>
        <v/>
      </c>
    </row>
    <row r="109" ht="20" customHeight="1">
      <c r="A109" s="13">
        <f>IF(B109="","","ACC"&amp;TEXT(ROW()-3,"0000"))</f>
        <v/>
      </c>
      <c r="B109" s="14" t="n"/>
      <c r="C109" s="14" t="n"/>
      <c r="D109" s="14" t="n"/>
      <c r="E109" s="14" t="n"/>
      <c r="F109" s="14" t="n"/>
      <c r="G109" s="14" t="n"/>
      <c r="H109" s="15">
        <f>IF(B109="","",TEXT(TODAY(),"dd/mm/yyyy"))</f>
        <v/>
      </c>
    </row>
    <row r="110" ht="20" customHeight="1">
      <c r="A110" s="13">
        <f>IF(B110="","","ACC"&amp;TEXT(ROW()-3,"0000"))</f>
        <v/>
      </c>
      <c r="B110" s="14" t="n"/>
      <c r="C110" s="14" t="n"/>
      <c r="D110" s="14" t="n"/>
      <c r="E110" s="14" t="n"/>
      <c r="F110" s="14" t="n"/>
      <c r="G110" s="14" t="n"/>
      <c r="H110" s="15">
        <f>IF(B110="","",TEXT(TODAY(),"dd/mm/yyyy"))</f>
        <v/>
      </c>
    </row>
    <row r="111" ht="20" customHeight="1">
      <c r="A111" s="13">
        <f>IF(B111="","","ACC"&amp;TEXT(ROW()-3,"0000"))</f>
        <v/>
      </c>
      <c r="B111" s="14" t="n"/>
      <c r="C111" s="14" t="n"/>
      <c r="D111" s="14" t="n"/>
      <c r="E111" s="14" t="n"/>
      <c r="F111" s="14" t="n"/>
      <c r="G111" s="14" t="n"/>
      <c r="H111" s="15">
        <f>IF(B111="","",TEXT(TODAY(),"dd/mm/yyyy"))</f>
        <v/>
      </c>
    </row>
    <row r="112" ht="20" customHeight="1">
      <c r="A112" s="13">
        <f>IF(B112="","","ACC"&amp;TEXT(ROW()-3,"0000"))</f>
        <v/>
      </c>
      <c r="B112" s="14" t="n"/>
      <c r="C112" s="14" t="n"/>
      <c r="D112" s="14" t="n"/>
      <c r="E112" s="14" t="n"/>
      <c r="F112" s="14" t="n"/>
      <c r="G112" s="14" t="n"/>
      <c r="H112" s="15">
        <f>IF(B112="","",TEXT(TODAY(),"dd/mm/yyyy"))</f>
        <v/>
      </c>
    </row>
    <row r="113" ht="20" customHeight="1">
      <c r="A113" s="13">
        <f>IF(B113="","","ACC"&amp;TEXT(ROW()-3,"0000"))</f>
        <v/>
      </c>
      <c r="B113" s="14" t="n"/>
      <c r="C113" s="14" t="n"/>
      <c r="D113" s="14" t="n"/>
      <c r="E113" s="14" t="n"/>
      <c r="F113" s="14" t="n"/>
      <c r="G113" s="14" t="n"/>
      <c r="H113" s="15">
        <f>IF(B113="","",TEXT(TODAY(),"dd/mm/yyyy"))</f>
        <v/>
      </c>
    </row>
    <row r="114" ht="20" customHeight="1">
      <c r="A114" s="13">
        <f>IF(B114="","","ACC"&amp;TEXT(ROW()-3,"0000"))</f>
        <v/>
      </c>
      <c r="B114" s="14" t="n"/>
      <c r="C114" s="14" t="n"/>
      <c r="D114" s="14" t="n"/>
      <c r="E114" s="14" t="n"/>
      <c r="F114" s="14" t="n"/>
      <c r="G114" s="14" t="n"/>
      <c r="H114" s="15">
        <f>IF(B114="","",TEXT(TODAY(),"dd/mm/yyyy"))</f>
        <v/>
      </c>
    </row>
    <row r="115" ht="20" customHeight="1">
      <c r="A115" s="13">
        <f>IF(B115="","","ACC"&amp;TEXT(ROW()-3,"0000"))</f>
        <v/>
      </c>
      <c r="B115" s="14" t="n"/>
      <c r="C115" s="14" t="n"/>
      <c r="D115" s="14" t="n"/>
      <c r="E115" s="14" t="n"/>
      <c r="F115" s="14" t="n"/>
      <c r="G115" s="14" t="n"/>
      <c r="H115" s="15">
        <f>IF(B115="","",TEXT(TODAY(),"dd/mm/yyyy"))</f>
        <v/>
      </c>
    </row>
    <row r="116" ht="20" customHeight="1">
      <c r="A116" s="13">
        <f>IF(B116="","","ACC"&amp;TEXT(ROW()-3,"0000"))</f>
        <v/>
      </c>
      <c r="B116" s="14" t="n"/>
      <c r="C116" s="14" t="n"/>
      <c r="D116" s="14" t="n"/>
      <c r="E116" s="14" t="n"/>
      <c r="F116" s="14" t="n"/>
      <c r="G116" s="14" t="n"/>
      <c r="H116" s="15">
        <f>IF(B116="","",TEXT(TODAY(),"dd/mm/yyyy"))</f>
        <v/>
      </c>
    </row>
    <row r="117" ht="20" customHeight="1">
      <c r="A117" s="13">
        <f>IF(B117="","","ACC"&amp;TEXT(ROW()-3,"0000"))</f>
        <v/>
      </c>
      <c r="B117" s="14" t="n"/>
      <c r="C117" s="14" t="n"/>
      <c r="D117" s="14" t="n"/>
      <c r="E117" s="14" t="n"/>
      <c r="F117" s="14" t="n"/>
      <c r="G117" s="14" t="n"/>
      <c r="H117" s="15">
        <f>IF(B117="","",TEXT(TODAY(),"dd/mm/yyyy"))</f>
        <v/>
      </c>
    </row>
    <row r="118" ht="20" customHeight="1">
      <c r="A118" s="13">
        <f>IF(B118="","","ACC"&amp;TEXT(ROW()-3,"0000"))</f>
        <v/>
      </c>
      <c r="B118" s="14" t="n"/>
      <c r="C118" s="14" t="n"/>
      <c r="D118" s="14" t="n"/>
      <c r="E118" s="14" t="n"/>
      <c r="F118" s="14" t="n"/>
      <c r="G118" s="14" t="n"/>
      <c r="H118" s="15">
        <f>IF(B118="","",TEXT(TODAY(),"dd/mm/yyyy"))</f>
        <v/>
      </c>
    </row>
    <row r="119" ht="20" customHeight="1">
      <c r="A119" s="13">
        <f>IF(B119="","","ACC"&amp;TEXT(ROW()-3,"0000"))</f>
        <v/>
      </c>
      <c r="B119" s="14" t="n"/>
      <c r="C119" s="14" t="n"/>
      <c r="D119" s="14" t="n"/>
      <c r="E119" s="14" t="n"/>
      <c r="F119" s="14" t="n"/>
      <c r="G119" s="14" t="n"/>
      <c r="H119" s="15">
        <f>IF(B119="","",TEXT(TODAY(),"dd/mm/yyyy"))</f>
        <v/>
      </c>
    </row>
    <row r="120" ht="20" customHeight="1">
      <c r="A120" s="13">
        <f>IF(B120="","","ACC"&amp;TEXT(ROW()-3,"0000"))</f>
        <v/>
      </c>
      <c r="B120" s="14" t="n"/>
      <c r="C120" s="14" t="n"/>
      <c r="D120" s="14" t="n"/>
      <c r="E120" s="14" t="n"/>
      <c r="F120" s="14" t="n"/>
      <c r="G120" s="14" t="n"/>
      <c r="H120" s="15">
        <f>IF(B120="","",TEXT(TODAY(),"dd/mm/yyyy"))</f>
        <v/>
      </c>
    </row>
    <row r="121" ht="20" customHeight="1">
      <c r="A121" s="13">
        <f>IF(B121="","","ACC"&amp;TEXT(ROW()-3,"0000"))</f>
        <v/>
      </c>
      <c r="B121" s="14" t="n"/>
      <c r="C121" s="14" t="n"/>
      <c r="D121" s="14" t="n"/>
      <c r="E121" s="14" t="n"/>
      <c r="F121" s="14" t="n"/>
      <c r="G121" s="14" t="n"/>
      <c r="H121" s="15">
        <f>IF(B121="","",TEXT(TODAY(),"dd/mm/yyyy"))</f>
        <v/>
      </c>
    </row>
    <row r="122" ht="20" customHeight="1">
      <c r="A122" s="13">
        <f>IF(B122="","","ACC"&amp;TEXT(ROW()-3,"0000"))</f>
        <v/>
      </c>
      <c r="B122" s="14" t="n"/>
      <c r="C122" s="14" t="n"/>
      <c r="D122" s="14" t="n"/>
      <c r="E122" s="14" t="n"/>
      <c r="F122" s="14" t="n"/>
      <c r="G122" s="14" t="n"/>
      <c r="H122" s="15">
        <f>IF(B122="","",TEXT(TODAY(),"dd/mm/yyyy"))</f>
        <v/>
      </c>
    </row>
    <row r="123" ht="20" customHeight="1">
      <c r="A123" s="13">
        <f>IF(B123="","","ACC"&amp;TEXT(ROW()-3,"0000"))</f>
        <v/>
      </c>
      <c r="B123" s="14" t="n"/>
      <c r="C123" s="14" t="n"/>
      <c r="D123" s="14" t="n"/>
      <c r="E123" s="14" t="n"/>
      <c r="F123" s="14" t="n"/>
      <c r="G123" s="14" t="n"/>
      <c r="H123" s="15">
        <f>IF(B123="","",TEXT(TODAY(),"dd/mm/yyyy"))</f>
        <v/>
      </c>
    </row>
    <row r="124" ht="20" customHeight="1">
      <c r="A124" s="13">
        <f>IF(B124="","","ACC"&amp;TEXT(ROW()-3,"0000"))</f>
        <v/>
      </c>
      <c r="B124" s="14" t="n"/>
      <c r="C124" s="14" t="n"/>
      <c r="D124" s="14" t="n"/>
      <c r="E124" s="14" t="n"/>
      <c r="F124" s="14" t="n"/>
      <c r="G124" s="14" t="n"/>
      <c r="H124" s="15">
        <f>IF(B124="","",TEXT(TODAY(),"dd/mm/yyyy"))</f>
        <v/>
      </c>
    </row>
    <row r="125" ht="20" customHeight="1">
      <c r="A125" s="13">
        <f>IF(B125="","","ACC"&amp;TEXT(ROW()-3,"0000"))</f>
        <v/>
      </c>
      <c r="B125" s="14" t="n"/>
      <c r="C125" s="14" t="n"/>
      <c r="D125" s="14" t="n"/>
      <c r="E125" s="14" t="n"/>
      <c r="F125" s="14" t="n"/>
      <c r="G125" s="14" t="n"/>
      <c r="H125" s="15">
        <f>IF(B125="","",TEXT(TODAY(),"dd/mm/yyyy"))</f>
        <v/>
      </c>
    </row>
    <row r="126" ht="20" customHeight="1">
      <c r="A126" s="13">
        <f>IF(B126="","","ACC"&amp;TEXT(ROW()-3,"0000"))</f>
        <v/>
      </c>
      <c r="B126" s="14" t="n"/>
      <c r="C126" s="14" t="n"/>
      <c r="D126" s="14" t="n"/>
      <c r="E126" s="14" t="n"/>
      <c r="F126" s="14" t="n"/>
      <c r="G126" s="14" t="n"/>
      <c r="H126" s="15">
        <f>IF(B126="","",TEXT(TODAY(),"dd/mm/yyyy"))</f>
        <v/>
      </c>
    </row>
    <row r="127" ht="20" customHeight="1">
      <c r="A127" s="13">
        <f>IF(B127="","","ACC"&amp;TEXT(ROW()-3,"0000"))</f>
        <v/>
      </c>
      <c r="B127" s="14" t="n"/>
      <c r="C127" s="14" t="n"/>
      <c r="D127" s="14" t="n"/>
      <c r="E127" s="14" t="n"/>
      <c r="F127" s="14" t="n"/>
      <c r="G127" s="14" t="n"/>
      <c r="H127" s="15">
        <f>IF(B127="","",TEXT(TODAY(),"dd/mm/yyyy"))</f>
        <v/>
      </c>
    </row>
    <row r="128" ht="20" customHeight="1">
      <c r="A128" s="13">
        <f>IF(B128="","","ACC"&amp;TEXT(ROW()-3,"0000"))</f>
        <v/>
      </c>
      <c r="B128" s="14" t="n"/>
      <c r="C128" s="14" t="n"/>
      <c r="D128" s="14" t="n"/>
      <c r="E128" s="14" t="n"/>
      <c r="F128" s="14" t="n"/>
      <c r="G128" s="14" t="n"/>
      <c r="H128" s="15">
        <f>IF(B128="","",TEXT(TODAY(),"dd/mm/yyyy"))</f>
        <v/>
      </c>
    </row>
    <row r="129" ht="20" customHeight="1">
      <c r="A129" s="13">
        <f>IF(B129="","","ACC"&amp;TEXT(ROW()-3,"0000"))</f>
        <v/>
      </c>
      <c r="B129" s="14" t="n"/>
      <c r="C129" s="14" t="n"/>
      <c r="D129" s="14" t="n"/>
      <c r="E129" s="14" t="n"/>
      <c r="F129" s="14" t="n"/>
      <c r="G129" s="14" t="n"/>
      <c r="H129" s="15">
        <f>IF(B129="","",TEXT(TODAY(),"dd/mm/yyyy"))</f>
        <v/>
      </c>
    </row>
    <row r="130" ht="20" customHeight="1">
      <c r="A130" s="13">
        <f>IF(B130="","","ACC"&amp;TEXT(ROW()-3,"0000"))</f>
        <v/>
      </c>
      <c r="B130" s="14" t="n"/>
      <c r="C130" s="14" t="n"/>
      <c r="D130" s="14" t="n"/>
      <c r="E130" s="14" t="n"/>
      <c r="F130" s="14" t="n"/>
      <c r="G130" s="14" t="n"/>
      <c r="H130" s="15">
        <f>IF(B130="","",TEXT(TODAY(),"dd/mm/yyyy"))</f>
        <v/>
      </c>
    </row>
    <row r="131" ht="20" customHeight="1">
      <c r="A131" s="13">
        <f>IF(B131="","","ACC"&amp;TEXT(ROW()-3,"0000"))</f>
        <v/>
      </c>
      <c r="B131" s="14" t="n"/>
      <c r="C131" s="14" t="n"/>
      <c r="D131" s="14" t="n"/>
      <c r="E131" s="14" t="n"/>
      <c r="F131" s="14" t="n"/>
      <c r="G131" s="14" t="n"/>
      <c r="H131" s="15">
        <f>IF(B131="","",TEXT(TODAY(),"dd/mm/yyyy"))</f>
        <v/>
      </c>
    </row>
    <row r="132" ht="20" customHeight="1">
      <c r="A132" s="13">
        <f>IF(B132="","","ACC"&amp;TEXT(ROW()-3,"0000"))</f>
        <v/>
      </c>
      <c r="B132" s="14" t="n"/>
      <c r="C132" s="14" t="n"/>
      <c r="D132" s="14" t="n"/>
      <c r="E132" s="14" t="n"/>
      <c r="F132" s="14" t="n"/>
      <c r="G132" s="14" t="n"/>
      <c r="H132" s="15">
        <f>IF(B132="","",TEXT(TODAY(),"dd/mm/yyyy"))</f>
        <v/>
      </c>
    </row>
    <row r="133" ht="20" customHeight="1">
      <c r="A133" s="13">
        <f>IF(B133="","","ACC"&amp;TEXT(ROW()-3,"0000"))</f>
        <v/>
      </c>
      <c r="B133" s="14" t="n"/>
      <c r="C133" s="14" t="n"/>
      <c r="D133" s="14" t="n"/>
      <c r="E133" s="14" t="n"/>
      <c r="F133" s="14" t="n"/>
      <c r="G133" s="14" t="n"/>
      <c r="H133" s="15">
        <f>IF(B133="","",TEXT(TODAY(),"dd/mm/yyyy"))</f>
        <v/>
      </c>
    </row>
    <row r="134" ht="20" customHeight="1">
      <c r="A134" s="13">
        <f>IF(B134="","","ACC"&amp;TEXT(ROW()-3,"0000"))</f>
        <v/>
      </c>
      <c r="B134" s="14" t="n"/>
      <c r="C134" s="14" t="n"/>
      <c r="D134" s="14" t="n"/>
      <c r="E134" s="14" t="n"/>
      <c r="F134" s="14" t="n"/>
      <c r="G134" s="14" t="n"/>
      <c r="H134" s="15">
        <f>IF(B134="","",TEXT(TODAY(),"dd/mm/yyyy"))</f>
        <v/>
      </c>
    </row>
    <row r="135" ht="20" customHeight="1">
      <c r="A135" s="13">
        <f>IF(B135="","","ACC"&amp;TEXT(ROW()-3,"0000"))</f>
        <v/>
      </c>
      <c r="B135" s="14" t="n"/>
      <c r="C135" s="14" t="n"/>
      <c r="D135" s="14" t="n"/>
      <c r="E135" s="14" t="n"/>
      <c r="F135" s="14" t="n"/>
      <c r="G135" s="14" t="n"/>
      <c r="H135" s="15">
        <f>IF(B135="","",TEXT(TODAY(),"dd/mm/yyyy"))</f>
        <v/>
      </c>
    </row>
    <row r="136" ht="20" customHeight="1">
      <c r="A136" s="13">
        <f>IF(B136="","","ACC"&amp;TEXT(ROW()-3,"0000"))</f>
        <v/>
      </c>
      <c r="B136" s="14" t="n"/>
      <c r="C136" s="14" t="n"/>
      <c r="D136" s="14" t="n"/>
      <c r="E136" s="14" t="n"/>
      <c r="F136" s="14" t="n"/>
      <c r="G136" s="14" t="n"/>
      <c r="H136" s="15">
        <f>IF(B136="","",TEXT(TODAY(),"dd/mm/yyyy"))</f>
        <v/>
      </c>
    </row>
    <row r="137" ht="20" customHeight="1">
      <c r="A137" s="13">
        <f>IF(B137="","","ACC"&amp;TEXT(ROW()-3,"0000"))</f>
        <v/>
      </c>
      <c r="B137" s="14" t="n"/>
      <c r="C137" s="14" t="n"/>
      <c r="D137" s="14" t="n"/>
      <c r="E137" s="14" t="n"/>
      <c r="F137" s="14" t="n"/>
      <c r="G137" s="14" t="n"/>
      <c r="H137" s="15">
        <f>IF(B137="","",TEXT(TODAY(),"dd/mm/yyyy"))</f>
        <v/>
      </c>
    </row>
    <row r="138" ht="20" customHeight="1">
      <c r="A138" s="13">
        <f>IF(B138="","","ACC"&amp;TEXT(ROW()-3,"0000"))</f>
        <v/>
      </c>
      <c r="B138" s="14" t="n"/>
      <c r="C138" s="14" t="n"/>
      <c r="D138" s="14" t="n"/>
      <c r="E138" s="14" t="n"/>
      <c r="F138" s="14" t="n"/>
      <c r="G138" s="14" t="n"/>
      <c r="H138" s="15">
        <f>IF(B138="","",TEXT(TODAY(),"dd/mm/yyyy"))</f>
        <v/>
      </c>
    </row>
    <row r="139" ht="20" customHeight="1">
      <c r="A139" s="13">
        <f>IF(B139="","","ACC"&amp;TEXT(ROW()-3,"0000"))</f>
        <v/>
      </c>
      <c r="B139" s="14" t="n"/>
      <c r="C139" s="14" t="n"/>
      <c r="D139" s="14" t="n"/>
      <c r="E139" s="14" t="n"/>
      <c r="F139" s="14" t="n"/>
      <c r="G139" s="14" t="n"/>
      <c r="H139" s="15">
        <f>IF(B139="","",TEXT(TODAY(),"dd/mm/yyyy"))</f>
        <v/>
      </c>
    </row>
    <row r="140" ht="20" customHeight="1">
      <c r="A140" s="13">
        <f>IF(B140="","","ACC"&amp;TEXT(ROW()-3,"0000"))</f>
        <v/>
      </c>
      <c r="B140" s="14" t="n"/>
      <c r="C140" s="14" t="n"/>
      <c r="D140" s="14" t="n"/>
      <c r="E140" s="14" t="n"/>
      <c r="F140" s="14" t="n"/>
      <c r="G140" s="14" t="n"/>
      <c r="H140" s="15">
        <f>IF(B140="","",TEXT(TODAY(),"dd/mm/yyyy"))</f>
        <v/>
      </c>
    </row>
    <row r="141" ht="20" customHeight="1">
      <c r="A141" s="13">
        <f>IF(B141="","","ACC"&amp;TEXT(ROW()-3,"0000"))</f>
        <v/>
      </c>
      <c r="B141" s="14" t="n"/>
      <c r="C141" s="14" t="n"/>
      <c r="D141" s="14" t="n"/>
      <c r="E141" s="14" t="n"/>
      <c r="F141" s="14" t="n"/>
      <c r="G141" s="14" t="n"/>
      <c r="H141" s="15">
        <f>IF(B141="","",TEXT(TODAY(),"dd/mm/yyyy"))</f>
        <v/>
      </c>
    </row>
    <row r="142" ht="20" customHeight="1">
      <c r="A142" s="13">
        <f>IF(B142="","","ACC"&amp;TEXT(ROW()-3,"0000"))</f>
        <v/>
      </c>
      <c r="B142" s="14" t="n"/>
      <c r="C142" s="14" t="n"/>
      <c r="D142" s="14" t="n"/>
      <c r="E142" s="14" t="n"/>
      <c r="F142" s="14" t="n"/>
      <c r="G142" s="14" t="n"/>
      <c r="H142" s="15">
        <f>IF(B142="","",TEXT(TODAY(),"dd/mm/yyyy"))</f>
        <v/>
      </c>
    </row>
    <row r="143" ht="20" customHeight="1">
      <c r="A143" s="13">
        <f>IF(B143="","","ACC"&amp;TEXT(ROW()-3,"0000"))</f>
        <v/>
      </c>
      <c r="B143" s="14" t="n"/>
      <c r="C143" s="14" t="n"/>
      <c r="D143" s="14" t="n"/>
      <c r="E143" s="14" t="n"/>
      <c r="F143" s="14" t="n"/>
      <c r="G143" s="14" t="n"/>
      <c r="H143" s="15">
        <f>IF(B143="","",TEXT(TODAY(),"dd/mm/yyyy"))</f>
        <v/>
      </c>
    </row>
    <row r="144" ht="20" customHeight="1">
      <c r="A144" s="13">
        <f>IF(B144="","","ACC"&amp;TEXT(ROW()-3,"0000"))</f>
        <v/>
      </c>
      <c r="B144" s="14" t="n"/>
      <c r="C144" s="14" t="n"/>
      <c r="D144" s="14" t="n"/>
      <c r="E144" s="14" t="n"/>
      <c r="F144" s="14" t="n"/>
      <c r="G144" s="14" t="n"/>
      <c r="H144" s="15">
        <f>IF(B144="","",TEXT(TODAY(),"dd/mm/yyyy"))</f>
        <v/>
      </c>
    </row>
    <row r="145" ht="20" customHeight="1">
      <c r="A145" s="13">
        <f>IF(B145="","","ACC"&amp;TEXT(ROW()-3,"0000"))</f>
        <v/>
      </c>
      <c r="B145" s="14" t="n"/>
      <c r="C145" s="14" t="n"/>
      <c r="D145" s="14" t="n"/>
      <c r="E145" s="14" t="n"/>
      <c r="F145" s="14" t="n"/>
      <c r="G145" s="14" t="n"/>
      <c r="H145" s="15">
        <f>IF(B145="","",TEXT(TODAY(),"dd/mm/yyyy"))</f>
        <v/>
      </c>
    </row>
    <row r="146" ht="20" customHeight="1">
      <c r="A146" s="13">
        <f>IF(B146="","","ACC"&amp;TEXT(ROW()-3,"0000"))</f>
        <v/>
      </c>
      <c r="B146" s="14" t="n"/>
      <c r="C146" s="14" t="n"/>
      <c r="D146" s="14" t="n"/>
      <c r="E146" s="14" t="n"/>
      <c r="F146" s="14" t="n"/>
      <c r="G146" s="14" t="n"/>
      <c r="H146" s="15">
        <f>IF(B146="","",TEXT(TODAY(),"dd/mm/yyyy"))</f>
        <v/>
      </c>
    </row>
    <row r="147" ht="20" customHeight="1">
      <c r="A147" s="13">
        <f>IF(B147="","","ACC"&amp;TEXT(ROW()-3,"0000"))</f>
        <v/>
      </c>
      <c r="B147" s="14" t="n"/>
      <c r="C147" s="14" t="n"/>
      <c r="D147" s="14" t="n"/>
      <c r="E147" s="14" t="n"/>
      <c r="F147" s="14" t="n"/>
      <c r="G147" s="14" t="n"/>
      <c r="H147" s="15">
        <f>IF(B147="","",TEXT(TODAY(),"dd/mm/yyyy"))</f>
        <v/>
      </c>
    </row>
    <row r="148" ht="20" customHeight="1">
      <c r="A148" s="13">
        <f>IF(B148="","","ACC"&amp;TEXT(ROW()-3,"0000"))</f>
        <v/>
      </c>
      <c r="B148" s="14" t="n"/>
      <c r="C148" s="14" t="n"/>
      <c r="D148" s="14" t="n"/>
      <c r="E148" s="14" t="n"/>
      <c r="F148" s="14" t="n"/>
      <c r="G148" s="14" t="n"/>
      <c r="H148" s="15">
        <f>IF(B148="","",TEXT(TODAY(),"dd/mm/yyyy"))</f>
        <v/>
      </c>
    </row>
    <row r="149" ht="20" customHeight="1">
      <c r="A149" s="13">
        <f>IF(B149="","","ACC"&amp;TEXT(ROW()-3,"0000"))</f>
        <v/>
      </c>
      <c r="B149" s="14" t="n"/>
      <c r="C149" s="14" t="n"/>
      <c r="D149" s="14" t="n"/>
      <c r="E149" s="14" t="n"/>
      <c r="F149" s="14" t="n"/>
      <c r="G149" s="14" t="n"/>
      <c r="H149" s="15">
        <f>IF(B149="","",TEXT(TODAY(),"dd/mm/yyyy"))</f>
        <v/>
      </c>
    </row>
    <row r="150" ht="20" customHeight="1">
      <c r="A150" s="13">
        <f>IF(B150="","","ACC"&amp;TEXT(ROW()-3,"0000"))</f>
        <v/>
      </c>
      <c r="B150" s="14" t="n"/>
      <c r="C150" s="14" t="n"/>
      <c r="D150" s="14" t="n"/>
      <c r="E150" s="14" t="n"/>
      <c r="F150" s="14" t="n"/>
      <c r="G150" s="14" t="n"/>
      <c r="H150" s="15">
        <f>IF(B150="","",TEXT(TODAY(),"dd/mm/yyyy"))</f>
        <v/>
      </c>
    </row>
    <row r="151" ht="20" customHeight="1">
      <c r="A151" s="13">
        <f>IF(B151="","","ACC"&amp;TEXT(ROW()-3,"0000"))</f>
        <v/>
      </c>
      <c r="B151" s="14" t="n"/>
      <c r="C151" s="14" t="n"/>
      <c r="D151" s="14" t="n"/>
      <c r="E151" s="14" t="n"/>
      <c r="F151" s="14" t="n"/>
      <c r="G151" s="14" t="n"/>
      <c r="H151" s="15">
        <f>IF(B151="","",TEXT(TODAY(),"dd/mm/yyyy"))</f>
        <v/>
      </c>
    </row>
    <row r="152" ht="20" customHeight="1">
      <c r="A152" s="13">
        <f>IF(B152="","","ACC"&amp;TEXT(ROW()-3,"0000"))</f>
        <v/>
      </c>
      <c r="B152" s="14" t="n"/>
      <c r="C152" s="14" t="n"/>
      <c r="D152" s="14" t="n"/>
      <c r="E152" s="14" t="n"/>
      <c r="F152" s="14" t="n"/>
      <c r="G152" s="14" t="n"/>
      <c r="H152" s="15">
        <f>IF(B152="","",TEXT(TODAY(),"dd/mm/yyyy"))</f>
        <v/>
      </c>
    </row>
    <row r="153" ht="20" customHeight="1">
      <c r="A153" s="13">
        <f>IF(B153="","","ACC"&amp;TEXT(ROW()-3,"0000"))</f>
        <v/>
      </c>
      <c r="B153" s="14" t="n"/>
      <c r="C153" s="14" t="n"/>
      <c r="D153" s="14" t="n"/>
      <c r="E153" s="14" t="n"/>
      <c r="F153" s="14" t="n"/>
      <c r="G153" s="14" t="n"/>
      <c r="H153" s="15">
        <f>IF(B153="","",TEXT(TODAY(),"dd/mm/yyyy"))</f>
        <v/>
      </c>
    </row>
    <row r="154" ht="20" customHeight="1">
      <c r="A154" s="13">
        <f>IF(B154="","","ACC"&amp;TEXT(ROW()-3,"0000"))</f>
        <v/>
      </c>
      <c r="B154" s="14" t="n"/>
      <c r="C154" s="14" t="n"/>
      <c r="D154" s="14" t="n"/>
      <c r="E154" s="14" t="n"/>
      <c r="F154" s="14" t="n"/>
      <c r="G154" s="14" t="n"/>
      <c r="H154" s="15">
        <f>IF(B154="","",TEXT(TODAY(),"dd/mm/yyyy"))</f>
        <v/>
      </c>
    </row>
    <row r="155" ht="20" customHeight="1">
      <c r="A155" s="13">
        <f>IF(B155="","","ACC"&amp;TEXT(ROW()-3,"0000"))</f>
        <v/>
      </c>
      <c r="B155" s="14" t="n"/>
      <c r="C155" s="14" t="n"/>
      <c r="D155" s="14" t="n"/>
      <c r="E155" s="14" t="n"/>
      <c r="F155" s="14" t="n"/>
      <c r="G155" s="14" t="n"/>
      <c r="H155" s="15">
        <f>IF(B155="","",TEXT(TODAY(),"dd/mm/yyyy"))</f>
        <v/>
      </c>
    </row>
    <row r="156" ht="20" customHeight="1">
      <c r="A156" s="13">
        <f>IF(B156="","","ACC"&amp;TEXT(ROW()-3,"0000"))</f>
        <v/>
      </c>
      <c r="B156" s="14" t="n"/>
      <c r="C156" s="14" t="n"/>
      <c r="D156" s="14" t="n"/>
      <c r="E156" s="14" t="n"/>
      <c r="F156" s="14" t="n"/>
      <c r="G156" s="14" t="n"/>
      <c r="H156" s="15">
        <f>IF(B156="","",TEXT(TODAY(),"dd/mm/yyyy"))</f>
        <v/>
      </c>
    </row>
    <row r="157" ht="20" customHeight="1">
      <c r="A157" s="13">
        <f>IF(B157="","","ACC"&amp;TEXT(ROW()-3,"0000"))</f>
        <v/>
      </c>
      <c r="B157" s="14" t="n"/>
      <c r="C157" s="14" t="n"/>
      <c r="D157" s="14" t="n"/>
      <c r="E157" s="14" t="n"/>
      <c r="F157" s="14" t="n"/>
      <c r="G157" s="14" t="n"/>
      <c r="H157" s="15">
        <f>IF(B157="","",TEXT(TODAY(),"dd/mm/yyyy"))</f>
        <v/>
      </c>
    </row>
    <row r="158" ht="20" customHeight="1">
      <c r="A158" s="13">
        <f>IF(B158="","","ACC"&amp;TEXT(ROW()-3,"0000"))</f>
        <v/>
      </c>
      <c r="B158" s="14" t="n"/>
      <c r="C158" s="14" t="n"/>
      <c r="D158" s="14" t="n"/>
      <c r="E158" s="14" t="n"/>
      <c r="F158" s="14" t="n"/>
      <c r="G158" s="14" t="n"/>
      <c r="H158" s="15">
        <f>IF(B158="","",TEXT(TODAY(),"dd/mm/yyyy"))</f>
        <v/>
      </c>
    </row>
    <row r="159" ht="20" customHeight="1">
      <c r="A159" s="13">
        <f>IF(B159="","","ACC"&amp;TEXT(ROW()-3,"0000"))</f>
        <v/>
      </c>
      <c r="B159" s="14" t="n"/>
      <c r="C159" s="14" t="n"/>
      <c r="D159" s="14" t="n"/>
      <c r="E159" s="14" t="n"/>
      <c r="F159" s="14" t="n"/>
      <c r="G159" s="14" t="n"/>
      <c r="H159" s="15">
        <f>IF(B159="","",TEXT(TODAY(),"dd/mm/yyyy"))</f>
        <v/>
      </c>
    </row>
    <row r="160" ht="20" customHeight="1">
      <c r="A160" s="13">
        <f>IF(B160="","","ACC"&amp;TEXT(ROW()-3,"0000"))</f>
        <v/>
      </c>
      <c r="B160" s="14" t="n"/>
      <c r="C160" s="14" t="n"/>
      <c r="D160" s="14" t="n"/>
      <c r="E160" s="14" t="n"/>
      <c r="F160" s="14" t="n"/>
      <c r="G160" s="14" t="n"/>
      <c r="H160" s="15">
        <f>IF(B160="","",TEXT(TODAY(),"dd/mm/yyyy"))</f>
        <v/>
      </c>
    </row>
    <row r="161" ht="20" customHeight="1">
      <c r="A161" s="13">
        <f>IF(B161="","","ACC"&amp;TEXT(ROW()-3,"0000"))</f>
        <v/>
      </c>
      <c r="B161" s="14" t="n"/>
      <c r="C161" s="14" t="n"/>
      <c r="D161" s="14" t="n"/>
      <c r="E161" s="14" t="n"/>
      <c r="F161" s="14" t="n"/>
      <c r="G161" s="14" t="n"/>
      <c r="H161" s="15">
        <f>IF(B161="","",TEXT(TODAY(),"dd/mm/yyyy"))</f>
        <v/>
      </c>
    </row>
    <row r="162" ht="20" customHeight="1">
      <c r="A162" s="13">
        <f>IF(B162="","","ACC"&amp;TEXT(ROW()-3,"0000"))</f>
        <v/>
      </c>
      <c r="B162" s="14" t="n"/>
      <c r="C162" s="14" t="n"/>
      <c r="D162" s="14" t="n"/>
      <c r="E162" s="14" t="n"/>
      <c r="F162" s="14" t="n"/>
      <c r="G162" s="14" t="n"/>
      <c r="H162" s="15">
        <f>IF(B162="","",TEXT(TODAY(),"dd/mm/yyyy"))</f>
        <v/>
      </c>
    </row>
    <row r="163" ht="20" customHeight="1">
      <c r="A163" s="13">
        <f>IF(B163="","","ACC"&amp;TEXT(ROW()-3,"0000"))</f>
        <v/>
      </c>
      <c r="B163" s="14" t="n"/>
      <c r="C163" s="14" t="n"/>
      <c r="D163" s="14" t="n"/>
      <c r="E163" s="14" t="n"/>
      <c r="F163" s="14" t="n"/>
      <c r="G163" s="14" t="n"/>
      <c r="H163" s="15">
        <f>IF(B163="","",TEXT(TODAY(),"dd/mm/yyyy"))</f>
        <v/>
      </c>
    </row>
    <row r="164" ht="20" customHeight="1">
      <c r="A164" s="13">
        <f>IF(B164="","","ACC"&amp;TEXT(ROW()-3,"0000"))</f>
        <v/>
      </c>
      <c r="B164" s="14" t="n"/>
      <c r="C164" s="14" t="n"/>
      <c r="D164" s="14" t="n"/>
      <c r="E164" s="14" t="n"/>
      <c r="F164" s="14" t="n"/>
      <c r="G164" s="14" t="n"/>
      <c r="H164" s="15">
        <f>IF(B164="","",TEXT(TODAY(),"dd/mm/yyyy"))</f>
        <v/>
      </c>
    </row>
    <row r="165" ht="20" customHeight="1">
      <c r="A165" s="13">
        <f>IF(B165="","","ACC"&amp;TEXT(ROW()-3,"0000"))</f>
        <v/>
      </c>
      <c r="B165" s="14" t="n"/>
      <c r="C165" s="14" t="n"/>
      <c r="D165" s="14" t="n"/>
      <c r="E165" s="14" t="n"/>
      <c r="F165" s="14" t="n"/>
      <c r="G165" s="14" t="n"/>
      <c r="H165" s="15">
        <f>IF(B165="","",TEXT(TODAY(),"dd/mm/yyyy"))</f>
        <v/>
      </c>
    </row>
    <row r="166" ht="20" customHeight="1">
      <c r="A166" s="13">
        <f>IF(B166="","","ACC"&amp;TEXT(ROW()-3,"0000"))</f>
        <v/>
      </c>
      <c r="B166" s="14" t="n"/>
      <c r="C166" s="14" t="n"/>
      <c r="D166" s="14" t="n"/>
      <c r="E166" s="14" t="n"/>
      <c r="F166" s="14" t="n"/>
      <c r="G166" s="14" t="n"/>
      <c r="H166" s="15">
        <f>IF(B166="","",TEXT(TODAY(),"dd/mm/yyyy"))</f>
        <v/>
      </c>
    </row>
    <row r="167" ht="20" customHeight="1">
      <c r="A167" s="13">
        <f>IF(B167="","","ACC"&amp;TEXT(ROW()-3,"0000"))</f>
        <v/>
      </c>
      <c r="B167" s="14" t="n"/>
      <c r="C167" s="14" t="n"/>
      <c r="D167" s="14" t="n"/>
      <c r="E167" s="14" t="n"/>
      <c r="F167" s="14" t="n"/>
      <c r="G167" s="14" t="n"/>
      <c r="H167" s="15">
        <f>IF(B167="","",TEXT(TODAY(),"dd/mm/yyyy"))</f>
        <v/>
      </c>
    </row>
    <row r="168" ht="20" customHeight="1">
      <c r="A168" s="13">
        <f>IF(B168="","","ACC"&amp;TEXT(ROW()-3,"0000"))</f>
        <v/>
      </c>
      <c r="B168" s="14" t="n"/>
      <c r="C168" s="14" t="n"/>
      <c r="D168" s="14" t="n"/>
      <c r="E168" s="14" t="n"/>
      <c r="F168" s="14" t="n"/>
      <c r="G168" s="14" t="n"/>
      <c r="H168" s="15">
        <f>IF(B168="","",TEXT(TODAY(),"dd/mm/yyyy"))</f>
        <v/>
      </c>
    </row>
    <row r="169" ht="20" customHeight="1">
      <c r="A169" s="13">
        <f>IF(B169="","","ACC"&amp;TEXT(ROW()-3,"0000"))</f>
        <v/>
      </c>
      <c r="B169" s="14" t="n"/>
      <c r="C169" s="14" t="n"/>
      <c r="D169" s="14" t="n"/>
      <c r="E169" s="14" t="n"/>
      <c r="F169" s="14" t="n"/>
      <c r="G169" s="14" t="n"/>
      <c r="H169" s="15">
        <f>IF(B169="","",TEXT(TODAY(),"dd/mm/yyyy"))</f>
        <v/>
      </c>
    </row>
    <row r="170" ht="20" customHeight="1">
      <c r="A170" s="13">
        <f>IF(B170="","","ACC"&amp;TEXT(ROW()-3,"0000"))</f>
        <v/>
      </c>
      <c r="B170" s="14" t="n"/>
      <c r="C170" s="14" t="n"/>
      <c r="D170" s="14" t="n"/>
      <c r="E170" s="14" t="n"/>
      <c r="F170" s="14" t="n"/>
      <c r="G170" s="14" t="n"/>
      <c r="H170" s="15">
        <f>IF(B170="","",TEXT(TODAY(),"dd/mm/yyyy"))</f>
        <v/>
      </c>
    </row>
    <row r="171" ht="20" customHeight="1">
      <c r="A171" s="13">
        <f>IF(B171="","","ACC"&amp;TEXT(ROW()-3,"0000"))</f>
        <v/>
      </c>
      <c r="B171" s="14" t="n"/>
      <c r="C171" s="14" t="n"/>
      <c r="D171" s="14" t="n"/>
      <c r="E171" s="14" t="n"/>
      <c r="F171" s="14" t="n"/>
      <c r="G171" s="14" t="n"/>
      <c r="H171" s="15">
        <f>IF(B171="","",TEXT(TODAY(),"dd/mm/yyyy"))</f>
        <v/>
      </c>
    </row>
    <row r="172" ht="20" customHeight="1">
      <c r="A172" s="13">
        <f>IF(B172="","","ACC"&amp;TEXT(ROW()-3,"0000"))</f>
        <v/>
      </c>
      <c r="B172" s="14" t="n"/>
      <c r="C172" s="14" t="n"/>
      <c r="D172" s="14" t="n"/>
      <c r="E172" s="14" t="n"/>
      <c r="F172" s="14" t="n"/>
      <c r="G172" s="14" t="n"/>
      <c r="H172" s="15">
        <f>IF(B172="","",TEXT(TODAY(),"dd/mm/yyyy"))</f>
        <v/>
      </c>
    </row>
    <row r="173" ht="20" customHeight="1">
      <c r="A173" s="13">
        <f>IF(B173="","","ACC"&amp;TEXT(ROW()-3,"0000"))</f>
        <v/>
      </c>
      <c r="B173" s="14" t="n"/>
      <c r="C173" s="14" t="n"/>
      <c r="D173" s="14" t="n"/>
      <c r="E173" s="14" t="n"/>
      <c r="F173" s="14" t="n"/>
      <c r="G173" s="14" t="n"/>
      <c r="H173" s="15">
        <f>IF(B173="","",TEXT(TODAY(),"dd/mm/yyyy"))</f>
        <v/>
      </c>
    </row>
    <row r="174" ht="20" customHeight="1">
      <c r="A174" s="13">
        <f>IF(B174="","","ACC"&amp;TEXT(ROW()-3,"0000"))</f>
        <v/>
      </c>
      <c r="B174" s="14" t="n"/>
      <c r="C174" s="14" t="n"/>
      <c r="D174" s="14" t="n"/>
      <c r="E174" s="14" t="n"/>
      <c r="F174" s="14" t="n"/>
      <c r="G174" s="14" t="n"/>
      <c r="H174" s="15">
        <f>IF(B174="","",TEXT(TODAY(),"dd/mm/yyyy"))</f>
        <v/>
      </c>
    </row>
    <row r="175" ht="20" customHeight="1">
      <c r="A175" s="13">
        <f>IF(B175="","","ACC"&amp;TEXT(ROW()-3,"0000"))</f>
        <v/>
      </c>
      <c r="B175" s="14" t="n"/>
      <c r="C175" s="14" t="n"/>
      <c r="D175" s="14" t="n"/>
      <c r="E175" s="14" t="n"/>
      <c r="F175" s="14" t="n"/>
      <c r="G175" s="14" t="n"/>
      <c r="H175" s="15">
        <f>IF(B175="","",TEXT(TODAY(),"dd/mm/yyyy"))</f>
        <v/>
      </c>
    </row>
    <row r="176" ht="20" customHeight="1">
      <c r="A176" s="13">
        <f>IF(B176="","","ACC"&amp;TEXT(ROW()-3,"0000"))</f>
        <v/>
      </c>
      <c r="B176" s="14" t="n"/>
      <c r="C176" s="14" t="n"/>
      <c r="D176" s="14" t="n"/>
      <c r="E176" s="14" t="n"/>
      <c r="F176" s="14" t="n"/>
      <c r="G176" s="14" t="n"/>
      <c r="H176" s="15">
        <f>IF(B176="","",TEXT(TODAY(),"dd/mm/yyyy"))</f>
        <v/>
      </c>
    </row>
    <row r="177" ht="20" customHeight="1">
      <c r="A177" s="13">
        <f>IF(B177="","","ACC"&amp;TEXT(ROW()-3,"0000"))</f>
        <v/>
      </c>
      <c r="B177" s="14" t="n"/>
      <c r="C177" s="14" t="n"/>
      <c r="D177" s="14" t="n"/>
      <c r="E177" s="14" t="n"/>
      <c r="F177" s="14" t="n"/>
      <c r="G177" s="14" t="n"/>
      <c r="H177" s="15">
        <f>IF(B177="","",TEXT(TODAY(),"dd/mm/yyyy"))</f>
        <v/>
      </c>
    </row>
    <row r="178" ht="20" customHeight="1">
      <c r="A178" s="13">
        <f>IF(B178="","","ACC"&amp;TEXT(ROW()-3,"0000"))</f>
        <v/>
      </c>
      <c r="B178" s="14" t="n"/>
      <c r="C178" s="14" t="n"/>
      <c r="D178" s="14" t="n"/>
      <c r="E178" s="14" t="n"/>
      <c r="F178" s="14" t="n"/>
      <c r="G178" s="14" t="n"/>
      <c r="H178" s="15">
        <f>IF(B178="","",TEXT(TODAY(),"dd/mm/yyyy"))</f>
        <v/>
      </c>
    </row>
    <row r="179" ht="20" customHeight="1">
      <c r="A179" s="13">
        <f>IF(B179="","","ACC"&amp;TEXT(ROW()-3,"0000"))</f>
        <v/>
      </c>
      <c r="B179" s="14" t="n"/>
      <c r="C179" s="14" t="n"/>
      <c r="D179" s="14" t="n"/>
      <c r="E179" s="14" t="n"/>
      <c r="F179" s="14" t="n"/>
      <c r="G179" s="14" t="n"/>
      <c r="H179" s="15">
        <f>IF(B179="","",TEXT(TODAY(),"dd/mm/yyyy"))</f>
        <v/>
      </c>
    </row>
    <row r="180" ht="20" customHeight="1">
      <c r="A180" s="13">
        <f>IF(B180="","","ACC"&amp;TEXT(ROW()-3,"0000"))</f>
        <v/>
      </c>
      <c r="B180" s="14" t="n"/>
      <c r="C180" s="14" t="n"/>
      <c r="D180" s="14" t="n"/>
      <c r="E180" s="14" t="n"/>
      <c r="F180" s="14" t="n"/>
      <c r="G180" s="14" t="n"/>
      <c r="H180" s="15">
        <f>IF(B180="","",TEXT(TODAY(),"dd/mm/yyyy"))</f>
        <v/>
      </c>
    </row>
    <row r="181" ht="20" customHeight="1">
      <c r="A181" s="13">
        <f>IF(B181="","","ACC"&amp;TEXT(ROW()-3,"0000"))</f>
        <v/>
      </c>
      <c r="B181" s="14" t="n"/>
      <c r="C181" s="14" t="n"/>
      <c r="D181" s="14" t="n"/>
      <c r="E181" s="14" t="n"/>
      <c r="F181" s="14" t="n"/>
      <c r="G181" s="14" t="n"/>
      <c r="H181" s="15">
        <f>IF(B181="","",TEXT(TODAY(),"dd/mm/yyyy"))</f>
        <v/>
      </c>
    </row>
    <row r="182" ht="20" customHeight="1">
      <c r="A182" s="13">
        <f>IF(B182="","","ACC"&amp;TEXT(ROW()-3,"0000"))</f>
        <v/>
      </c>
      <c r="B182" s="14" t="n"/>
      <c r="C182" s="14" t="n"/>
      <c r="D182" s="14" t="n"/>
      <c r="E182" s="14" t="n"/>
      <c r="F182" s="14" t="n"/>
      <c r="G182" s="14" t="n"/>
      <c r="H182" s="15">
        <f>IF(B182="","",TEXT(TODAY(),"dd/mm/yyyy"))</f>
        <v/>
      </c>
    </row>
    <row r="183" ht="20" customHeight="1">
      <c r="A183" s="13">
        <f>IF(B183="","","ACC"&amp;TEXT(ROW()-3,"0000"))</f>
        <v/>
      </c>
      <c r="B183" s="14" t="n"/>
      <c r="C183" s="14" t="n"/>
      <c r="D183" s="14" t="n"/>
      <c r="E183" s="14" t="n"/>
      <c r="F183" s="14" t="n"/>
      <c r="G183" s="14" t="n"/>
      <c r="H183" s="15">
        <f>IF(B183="","",TEXT(TODAY(),"dd/mm/yyyy"))</f>
        <v/>
      </c>
    </row>
    <row r="184" ht="20" customHeight="1">
      <c r="A184" s="13">
        <f>IF(B184="","","ACC"&amp;TEXT(ROW()-3,"0000"))</f>
        <v/>
      </c>
      <c r="B184" s="14" t="n"/>
      <c r="C184" s="14" t="n"/>
      <c r="D184" s="14" t="n"/>
      <c r="E184" s="14" t="n"/>
      <c r="F184" s="14" t="n"/>
      <c r="G184" s="14" t="n"/>
      <c r="H184" s="15">
        <f>IF(B184="","",TEXT(TODAY(),"dd/mm/yyyy"))</f>
        <v/>
      </c>
    </row>
    <row r="185" ht="20" customHeight="1">
      <c r="A185" s="13">
        <f>IF(B185="","","ACC"&amp;TEXT(ROW()-3,"0000"))</f>
        <v/>
      </c>
      <c r="B185" s="14" t="n"/>
      <c r="C185" s="14" t="n"/>
      <c r="D185" s="14" t="n"/>
      <c r="E185" s="14" t="n"/>
      <c r="F185" s="14" t="n"/>
      <c r="G185" s="14" t="n"/>
      <c r="H185" s="15">
        <f>IF(B185="","",TEXT(TODAY(),"dd/mm/yyyy"))</f>
        <v/>
      </c>
    </row>
    <row r="186" ht="20" customHeight="1">
      <c r="A186" s="13">
        <f>IF(B186="","","ACC"&amp;TEXT(ROW()-3,"0000"))</f>
        <v/>
      </c>
      <c r="B186" s="14" t="n"/>
      <c r="C186" s="14" t="n"/>
      <c r="D186" s="14" t="n"/>
      <c r="E186" s="14" t="n"/>
      <c r="F186" s="14" t="n"/>
      <c r="G186" s="14" t="n"/>
      <c r="H186" s="15">
        <f>IF(B186="","",TEXT(TODAY(),"dd/mm/yyyy"))</f>
        <v/>
      </c>
    </row>
    <row r="187" ht="20" customHeight="1">
      <c r="A187" s="13">
        <f>IF(B187="","","ACC"&amp;TEXT(ROW()-3,"0000"))</f>
        <v/>
      </c>
      <c r="B187" s="14" t="n"/>
      <c r="C187" s="14" t="n"/>
      <c r="D187" s="14" t="n"/>
      <c r="E187" s="14" t="n"/>
      <c r="F187" s="14" t="n"/>
      <c r="G187" s="14" t="n"/>
      <c r="H187" s="15">
        <f>IF(B187="","",TEXT(TODAY(),"dd/mm/yyyy"))</f>
        <v/>
      </c>
    </row>
    <row r="188" ht="20" customHeight="1">
      <c r="A188" s="13">
        <f>IF(B188="","","ACC"&amp;TEXT(ROW()-3,"0000"))</f>
        <v/>
      </c>
      <c r="B188" s="14" t="n"/>
      <c r="C188" s="14" t="n"/>
      <c r="D188" s="14" t="n"/>
      <c r="E188" s="14" t="n"/>
      <c r="F188" s="14" t="n"/>
      <c r="G188" s="14" t="n"/>
      <c r="H188" s="15">
        <f>IF(B188="","",TEXT(TODAY(),"dd/mm/yyyy"))</f>
        <v/>
      </c>
    </row>
    <row r="189" ht="20" customHeight="1">
      <c r="A189" s="13">
        <f>IF(B189="","","ACC"&amp;TEXT(ROW()-3,"0000"))</f>
        <v/>
      </c>
      <c r="B189" s="14" t="n"/>
      <c r="C189" s="14" t="n"/>
      <c r="D189" s="14" t="n"/>
      <c r="E189" s="14" t="n"/>
      <c r="F189" s="14" t="n"/>
      <c r="G189" s="14" t="n"/>
      <c r="H189" s="15">
        <f>IF(B189="","",TEXT(TODAY(),"dd/mm/yyyy"))</f>
        <v/>
      </c>
    </row>
    <row r="190" ht="20" customHeight="1">
      <c r="A190" s="13">
        <f>IF(B190="","","ACC"&amp;TEXT(ROW()-3,"0000"))</f>
        <v/>
      </c>
      <c r="B190" s="14" t="n"/>
      <c r="C190" s="14" t="n"/>
      <c r="D190" s="14" t="n"/>
      <c r="E190" s="14" t="n"/>
      <c r="F190" s="14" t="n"/>
      <c r="G190" s="14" t="n"/>
      <c r="H190" s="15">
        <f>IF(B190="","",TEXT(TODAY(),"dd/mm/yyyy"))</f>
        <v/>
      </c>
    </row>
    <row r="191" ht="20" customHeight="1">
      <c r="A191" s="13">
        <f>IF(B191="","","ACC"&amp;TEXT(ROW()-3,"0000"))</f>
        <v/>
      </c>
      <c r="B191" s="14" t="n"/>
      <c r="C191" s="14" t="n"/>
      <c r="D191" s="14" t="n"/>
      <c r="E191" s="14" t="n"/>
      <c r="F191" s="14" t="n"/>
      <c r="G191" s="14" t="n"/>
      <c r="H191" s="15">
        <f>IF(B191="","",TEXT(TODAY(),"dd/mm/yyyy"))</f>
        <v/>
      </c>
    </row>
    <row r="192" ht="20" customHeight="1">
      <c r="A192" s="13">
        <f>IF(B192="","","ACC"&amp;TEXT(ROW()-3,"0000"))</f>
        <v/>
      </c>
      <c r="B192" s="14" t="n"/>
      <c r="C192" s="14" t="n"/>
      <c r="D192" s="14" t="n"/>
      <c r="E192" s="14" t="n"/>
      <c r="F192" s="14" t="n"/>
      <c r="G192" s="14" t="n"/>
      <c r="H192" s="15">
        <f>IF(B192="","",TEXT(TODAY(),"dd/mm/yyyy"))</f>
        <v/>
      </c>
    </row>
    <row r="193" ht="20" customHeight="1">
      <c r="A193" s="13">
        <f>IF(B193="","","ACC"&amp;TEXT(ROW()-3,"0000"))</f>
        <v/>
      </c>
      <c r="B193" s="14" t="n"/>
      <c r="C193" s="14" t="n"/>
      <c r="D193" s="14" t="n"/>
      <c r="E193" s="14" t="n"/>
      <c r="F193" s="14" t="n"/>
      <c r="G193" s="14" t="n"/>
      <c r="H193" s="15">
        <f>IF(B193="","",TEXT(TODAY(),"dd/mm/yyyy"))</f>
        <v/>
      </c>
    </row>
    <row r="194" ht="20" customHeight="1">
      <c r="A194" s="13">
        <f>IF(B194="","","ACC"&amp;TEXT(ROW()-3,"0000"))</f>
        <v/>
      </c>
      <c r="B194" s="14" t="n"/>
      <c r="C194" s="14" t="n"/>
      <c r="D194" s="14" t="n"/>
      <c r="E194" s="14" t="n"/>
      <c r="F194" s="14" t="n"/>
      <c r="G194" s="14" t="n"/>
      <c r="H194" s="15">
        <f>IF(B194="","",TEXT(TODAY(),"dd/mm/yyyy"))</f>
        <v/>
      </c>
    </row>
    <row r="195" ht="20" customHeight="1">
      <c r="A195" s="13">
        <f>IF(B195="","","ACC"&amp;TEXT(ROW()-3,"0000"))</f>
        <v/>
      </c>
      <c r="B195" s="14" t="n"/>
      <c r="C195" s="14" t="n"/>
      <c r="D195" s="14" t="n"/>
      <c r="E195" s="14" t="n"/>
      <c r="F195" s="14" t="n"/>
      <c r="G195" s="14" t="n"/>
      <c r="H195" s="15">
        <f>IF(B195="","",TEXT(TODAY(),"dd/mm/yyyy"))</f>
        <v/>
      </c>
    </row>
    <row r="196" ht="20" customHeight="1">
      <c r="A196" s="13">
        <f>IF(B196="","","ACC"&amp;TEXT(ROW()-3,"0000"))</f>
        <v/>
      </c>
      <c r="B196" s="14" t="n"/>
      <c r="C196" s="14" t="n"/>
      <c r="D196" s="14" t="n"/>
      <c r="E196" s="14" t="n"/>
      <c r="F196" s="14" t="n"/>
      <c r="G196" s="14" t="n"/>
      <c r="H196" s="15">
        <f>IF(B196="","",TEXT(TODAY(),"dd/mm/yyyy"))</f>
        <v/>
      </c>
    </row>
    <row r="197" ht="20" customHeight="1">
      <c r="A197" s="13">
        <f>IF(B197="","","ACC"&amp;TEXT(ROW()-3,"0000"))</f>
        <v/>
      </c>
      <c r="B197" s="14" t="n"/>
      <c r="C197" s="14" t="n"/>
      <c r="D197" s="14" t="n"/>
      <c r="E197" s="14" t="n"/>
      <c r="F197" s="14" t="n"/>
      <c r="G197" s="14" t="n"/>
      <c r="H197" s="15">
        <f>IF(B197="","",TEXT(TODAY(),"dd/mm/yyyy"))</f>
        <v/>
      </c>
    </row>
    <row r="198" ht="20" customHeight="1">
      <c r="A198" s="13">
        <f>IF(B198="","","ACC"&amp;TEXT(ROW()-3,"0000"))</f>
        <v/>
      </c>
      <c r="B198" s="14" t="n"/>
      <c r="C198" s="14" t="n"/>
      <c r="D198" s="14" t="n"/>
      <c r="E198" s="14" t="n"/>
      <c r="F198" s="14" t="n"/>
      <c r="G198" s="14" t="n"/>
      <c r="H198" s="15">
        <f>IF(B198="","",TEXT(TODAY(),"dd/mm/yyyy"))</f>
        <v/>
      </c>
    </row>
    <row r="199" ht="20" customHeight="1">
      <c r="A199" s="13">
        <f>IF(B199="","","ACC"&amp;TEXT(ROW()-3,"0000"))</f>
        <v/>
      </c>
      <c r="B199" s="14" t="n"/>
      <c r="C199" s="14" t="n"/>
      <c r="D199" s="14" t="n"/>
      <c r="E199" s="14" t="n"/>
      <c r="F199" s="14" t="n"/>
      <c r="G199" s="14" t="n"/>
      <c r="H199" s="15">
        <f>IF(B199="","",TEXT(TODAY(),"dd/mm/yyyy"))</f>
        <v/>
      </c>
    </row>
    <row r="200" ht="20" customHeight="1">
      <c r="A200" s="13">
        <f>IF(B200="","","ACC"&amp;TEXT(ROW()-3,"0000"))</f>
        <v/>
      </c>
      <c r="B200" s="14" t="n"/>
      <c r="C200" s="14" t="n"/>
      <c r="D200" s="14" t="n"/>
      <c r="E200" s="14" t="n"/>
      <c r="F200" s="14" t="n"/>
      <c r="G200" s="14" t="n"/>
      <c r="H200" s="15">
        <f>IF(B200="","",TEXT(TODAY(),"dd/mm/yyyy"))</f>
        <v/>
      </c>
    </row>
    <row r="201" ht="20" customHeight="1">
      <c r="A201" s="13">
        <f>IF(B201="","","ACC"&amp;TEXT(ROW()-3,"0000"))</f>
        <v/>
      </c>
      <c r="B201" s="14" t="n"/>
      <c r="C201" s="14" t="n"/>
      <c r="D201" s="14" t="n"/>
      <c r="E201" s="14" t="n"/>
      <c r="F201" s="14" t="n"/>
      <c r="G201" s="14" t="n"/>
      <c r="H201" s="15">
        <f>IF(B201="","",TEXT(TODAY(),"dd/mm/yyyy"))</f>
        <v/>
      </c>
    </row>
    <row r="202" ht="20" customHeight="1">
      <c r="A202" s="13">
        <f>IF(B202="","","ACC"&amp;TEXT(ROW()-3,"0000"))</f>
        <v/>
      </c>
      <c r="B202" s="14" t="n"/>
      <c r="C202" s="14" t="n"/>
      <c r="D202" s="14" t="n"/>
      <c r="E202" s="14" t="n"/>
      <c r="F202" s="14" t="n"/>
      <c r="G202" s="14" t="n"/>
      <c r="H202" s="15">
        <f>IF(B202="","",TEXT(TODAY(),"dd/mm/yyyy"))</f>
        <v/>
      </c>
    </row>
    <row r="203" ht="20" customHeight="1">
      <c r="A203" s="13">
        <f>IF(B203="","","ACC"&amp;TEXT(ROW()-3,"0000"))</f>
        <v/>
      </c>
      <c r="B203" s="14" t="n"/>
      <c r="C203" s="14" t="n"/>
      <c r="D203" s="14" t="n"/>
      <c r="E203" s="14" t="n"/>
      <c r="F203" s="14" t="n"/>
      <c r="G203" s="14" t="n"/>
      <c r="H203" s="15">
        <f>IF(B203="","",TEXT(TODAY(),"dd/mm/yyyy"))</f>
        <v/>
      </c>
    </row>
    <row r="204" ht="20" customHeight="1">
      <c r="A204" s="13">
        <f>IF(B204="","","ACC"&amp;TEXT(ROW()-3,"0000"))</f>
        <v/>
      </c>
      <c r="B204" s="14" t="n"/>
      <c r="C204" s="14" t="n"/>
      <c r="D204" s="14" t="n"/>
      <c r="E204" s="14" t="n"/>
      <c r="F204" s="14" t="n"/>
      <c r="G204" s="14" t="n"/>
      <c r="H204" s="15">
        <f>IF(B204="","",TEXT(TODAY(),"dd/mm/yyyy"))</f>
        <v/>
      </c>
    </row>
    <row r="205" ht="20" customHeight="1">
      <c r="A205" s="13">
        <f>IF(B205="","","ACC"&amp;TEXT(ROW()-3,"0000"))</f>
        <v/>
      </c>
      <c r="B205" s="14" t="n"/>
      <c r="C205" s="14" t="n"/>
      <c r="D205" s="14" t="n"/>
      <c r="E205" s="14" t="n"/>
      <c r="F205" s="14" t="n"/>
      <c r="G205" s="14" t="n"/>
      <c r="H205" s="15">
        <f>IF(B205="","",TEXT(TODAY(),"dd/mm/yyyy"))</f>
        <v/>
      </c>
    </row>
    <row r="206" ht="20" customHeight="1">
      <c r="A206" s="13">
        <f>IF(B206="","","ACC"&amp;TEXT(ROW()-3,"0000"))</f>
        <v/>
      </c>
      <c r="B206" s="14" t="n"/>
      <c r="C206" s="14" t="n"/>
      <c r="D206" s="14" t="n"/>
      <c r="E206" s="14" t="n"/>
      <c r="F206" s="14" t="n"/>
      <c r="G206" s="14" t="n"/>
      <c r="H206" s="15">
        <f>IF(B206="","",TEXT(TODAY(),"dd/mm/yyyy"))</f>
        <v/>
      </c>
    </row>
    <row r="207" ht="20" customHeight="1">
      <c r="A207" s="13">
        <f>IF(B207="","","ACC"&amp;TEXT(ROW()-3,"0000"))</f>
        <v/>
      </c>
      <c r="B207" s="14" t="n"/>
      <c r="C207" s="14" t="n"/>
      <c r="D207" s="14" t="n"/>
      <c r="E207" s="14" t="n"/>
      <c r="F207" s="14" t="n"/>
      <c r="G207" s="14" t="n"/>
      <c r="H207" s="15">
        <f>IF(B207="","",TEXT(TODAY(),"dd/mm/yyyy"))</f>
        <v/>
      </c>
    </row>
    <row r="208" ht="20" customHeight="1">
      <c r="A208" s="13">
        <f>IF(B208="","","ACC"&amp;TEXT(ROW()-3,"0000"))</f>
        <v/>
      </c>
      <c r="B208" s="14" t="n"/>
      <c r="C208" s="14" t="n"/>
      <c r="D208" s="14" t="n"/>
      <c r="E208" s="14" t="n"/>
      <c r="F208" s="14" t="n"/>
      <c r="G208" s="14" t="n"/>
      <c r="H208" s="15">
        <f>IF(B208="","",TEXT(TODAY(),"dd/mm/yyyy"))</f>
        <v/>
      </c>
    </row>
    <row r="209" ht="20" customHeight="1">
      <c r="A209" s="13">
        <f>IF(B209="","","ACC"&amp;TEXT(ROW()-3,"0000"))</f>
        <v/>
      </c>
      <c r="B209" s="14" t="n"/>
      <c r="C209" s="14" t="n"/>
      <c r="D209" s="14" t="n"/>
      <c r="E209" s="14" t="n"/>
      <c r="F209" s="14" t="n"/>
      <c r="G209" s="14" t="n"/>
      <c r="H209" s="15">
        <f>IF(B209="","",TEXT(TODAY(),"dd/mm/yyyy"))</f>
        <v/>
      </c>
    </row>
    <row r="210" ht="20" customHeight="1">
      <c r="A210" s="13">
        <f>IF(B210="","","ACC"&amp;TEXT(ROW()-3,"0000"))</f>
        <v/>
      </c>
      <c r="B210" s="14" t="n"/>
      <c r="C210" s="14" t="n"/>
      <c r="D210" s="14" t="n"/>
      <c r="E210" s="14" t="n"/>
      <c r="F210" s="14" t="n"/>
      <c r="G210" s="14" t="n"/>
      <c r="H210" s="15">
        <f>IF(B210="","",TEXT(TODAY(),"dd/mm/yyyy"))</f>
        <v/>
      </c>
    </row>
    <row r="211" ht="20" customHeight="1">
      <c r="A211" s="13">
        <f>IF(B211="","","ACC"&amp;TEXT(ROW()-3,"0000"))</f>
        <v/>
      </c>
      <c r="B211" s="14" t="n"/>
      <c r="C211" s="14" t="n"/>
      <c r="D211" s="14" t="n"/>
      <c r="E211" s="14" t="n"/>
      <c r="F211" s="14" t="n"/>
      <c r="G211" s="14" t="n"/>
      <c r="H211" s="15">
        <f>IF(B211="","",TEXT(TODAY(),"dd/mm/yyyy"))</f>
        <v/>
      </c>
    </row>
    <row r="212" ht="20" customHeight="1">
      <c r="A212" s="13">
        <f>IF(B212="","","ACC"&amp;TEXT(ROW()-3,"0000"))</f>
        <v/>
      </c>
      <c r="B212" s="14" t="n"/>
      <c r="C212" s="14" t="n"/>
      <c r="D212" s="14" t="n"/>
      <c r="E212" s="14" t="n"/>
      <c r="F212" s="14" t="n"/>
      <c r="G212" s="14" t="n"/>
      <c r="H212" s="15">
        <f>IF(B212="","",TEXT(TODAY(),"dd/mm/yyyy"))</f>
        <v/>
      </c>
    </row>
    <row r="213" ht="20" customHeight="1">
      <c r="A213" s="13">
        <f>IF(B213="","","ACC"&amp;TEXT(ROW()-3,"0000"))</f>
        <v/>
      </c>
      <c r="B213" s="14" t="n"/>
      <c r="C213" s="14" t="n"/>
      <c r="D213" s="14" t="n"/>
      <c r="E213" s="14" t="n"/>
      <c r="F213" s="14" t="n"/>
      <c r="G213" s="14" t="n"/>
      <c r="H213" s="15">
        <f>IF(B213="","",TEXT(TODAY(),"dd/mm/yyyy"))</f>
        <v/>
      </c>
    </row>
    <row r="214" ht="20" customHeight="1">
      <c r="A214" s="13">
        <f>IF(B214="","","ACC"&amp;TEXT(ROW()-3,"0000"))</f>
        <v/>
      </c>
      <c r="B214" s="14" t="n"/>
      <c r="C214" s="14" t="n"/>
      <c r="D214" s="14" t="n"/>
      <c r="E214" s="14" t="n"/>
      <c r="F214" s="14" t="n"/>
      <c r="G214" s="14" t="n"/>
      <c r="H214" s="15">
        <f>IF(B214="","",TEXT(TODAY(),"dd/mm/yyyy"))</f>
        <v/>
      </c>
    </row>
    <row r="215" ht="20" customHeight="1">
      <c r="A215" s="13">
        <f>IF(B215="","","ACC"&amp;TEXT(ROW()-3,"0000"))</f>
        <v/>
      </c>
      <c r="B215" s="14" t="n"/>
      <c r="C215" s="14" t="n"/>
      <c r="D215" s="14" t="n"/>
      <c r="E215" s="14" t="n"/>
      <c r="F215" s="14" t="n"/>
      <c r="G215" s="14" t="n"/>
      <c r="H215" s="15">
        <f>IF(B215="","",TEXT(TODAY(),"dd/mm/yyyy"))</f>
        <v/>
      </c>
    </row>
    <row r="216" ht="20" customHeight="1">
      <c r="A216" s="13">
        <f>IF(B216="","","ACC"&amp;TEXT(ROW()-3,"0000"))</f>
        <v/>
      </c>
      <c r="B216" s="14" t="n"/>
      <c r="C216" s="14" t="n"/>
      <c r="D216" s="14" t="n"/>
      <c r="E216" s="14" t="n"/>
      <c r="F216" s="14" t="n"/>
      <c r="G216" s="14" t="n"/>
      <c r="H216" s="15">
        <f>IF(B216="","",TEXT(TODAY(),"dd/mm/yyyy"))</f>
        <v/>
      </c>
    </row>
    <row r="217" ht="20" customHeight="1">
      <c r="A217" s="13">
        <f>IF(B217="","","ACC"&amp;TEXT(ROW()-3,"0000"))</f>
        <v/>
      </c>
      <c r="B217" s="14" t="n"/>
      <c r="C217" s="14" t="n"/>
      <c r="D217" s="14" t="n"/>
      <c r="E217" s="14" t="n"/>
      <c r="F217" s="14" t="n"/>
      <c r="G217" s="14" t="n"/>
      <c r="H217" s="15">
        <f>IF(B217="","",TEXT(TODAY(),"dd/mm/yyyy"))</f>
        <v/>
      </c>
    </row>
    <row r="218" ht="20" customHeight="1">
      <c r="A218" s="13">
        <f>IF(B218="","","ACC"&amp;TEXT(ROW()-3,"0000"))</f>
        <v/>
      </c>
      <c r="B218" s="14" t="n"/>
      <c r="C218" s="14" t="n"/>
      <c r="D218" s="14" t="n"/>
      <c r="E218" s="14" t="n"/>
      <c r="F218" s="14" t="n"/>
      <c r="G218" s="14" t="n"/>
      <c r="H218" s="15">
        <f>IF(B218="","",TEXT(TODAY(),"dd/mm/yyyy"))</f>
        <v/>
      </c>
    </row>
    <row r="219" ht="20" customHeight="1">
      <c r="A219" s="13">
        <f>IF(B219="","","ACC"&amp;TEXT(ROW()-3,"0000"))</f>
        <v/>
      </c>
      <c r="B219" s="14" t="n"/>
      <c r="C219" s="14" t="n"/>
      <c r="D219" s="14" t="n"/>
      <c r="E219" s="14" t="n"/>
      <c r="F219" s="14" t="n"/>
      <c r="G219" s="14" t="n"/>
      <c r="H219" s="15">
        <f>IF(B219="","",TEXT(TODAY(),"dd/mm/yyyy"))</f>
        <v/>
      </c>
    </row>
    <row r="220" ht="20" customHeight="1">
      <c r="A220" s="13">
        <f>IF(B220="","","ACC"&amp;TEXT(ROW()-3,"0000"))</f>
        <v/>
      </c>
      <c r="B220" s="14" t="n"/>
      <c r="C220" s="14" t="n"/>
      <c r="D220" s="14" t="n"/>
      <c r="E220" s="14" t="n"/>
      <c r="F220" s="14" t="n"/>
      <c r="G220" s="14" t="n"/>
      <c r="H220" s="15">
        <f>IF(B220="","",TEXT(TODAY(),"dd/mm/yyyy"))</f>
        <v/>
      </c>
    </row>
    <row r="221" ht="20" customHeight="1">
      <c r="A221" s="13">
        <f>IF(B221="","","ACC"&amp;TEXT(ROW()-3,"0000"))</f>
        <v/>
      </c>
      <c r="B221" s="14" t="n"/>
      <c r="C221" s="14" t="n"/>
      <c r="D221" s="14" t="n"/>
      <c r="E221" s="14" t="n"/>
      <c r="F221" s="14" t="n"/>
      <c r="G221" s="14" t="n"/>
      <c r="H221" s="15">
        <f>IF(B221="","",TEXT(TODAY(),"dd/mm/yyyy"))</f>
        <v/>
      </c>
    </row>
    <row r="222" ht="20" customHeight="1">
      <c r="A222" s="13">
        <f>IF(B222="","","ACC"&amp;TEXT(ROW()-3,"0000"))</f>
        <v/>
      </c>
      <c r="B222" s="14" t="n"/>
      <c r="C222" s="14" t="n"/>
      <c r="D222" s="14" t="n"/>
      <c r="E222" s="14" t="n"/>
      <c r="F222" s="14" t="n"/>
      <c r="G222" s="14" t="n"/>
      <c r="H222" s="15">
        <f>IF(B222="","",TEXT(TODAY(),"dd/mm/yyyy"))</f>
        <v/>
      </c>
    </row>
    <row r="223" ht="20" customHeight="1">
      <c r="A223" s="13">
        <f>IF(B223="","","ACC"&amp;TEXT(ROW()-3,"0000"))</f>
        <v/>
      </c>
      <c r="B223" s="14" t="n"/>
      <c r="C223" s="14" t="n"/>
      <c r="D223" s="14" t="n"/>
      <c r="E223" s="14" t="n"/>
      <c r="F223" s="14" t="n"/>
      <c r="G223" s="14" t="n"/>
      <c r="H223" s="15">
        <f>IF(B223="","",TEXT(TODAY(),"dd/mm/yyyy"))</f>
        <v/>
      </c>
    </row>
    <row r="224" ht="20" customHeight="1">
      <c r="A224" s="13">
        <f>IF(B224="","","ACC"&amp;TEXT(ROW()-3,"0000"))</f>
        <v/>
      </c>
      <c r="B224" s="14" t="n"/>
      <c r="C224" s="14" t="n"/>
      <c r="D224" s="14" t="n"/>
      <c r="E224" s="14" t="n"/>
      <c r="F224" s="14" t="n"/>
      <c r="G224" s="14" t="n"/>
      <c r="H224" s="15">
        <f>IF(B224="","",TEXT(TODAY(),"dd/mm/yyyy"))</f>
        <v/>
      </c>
    </row>
    <row r="225" ht="20" customHeight="1">
      <c r="A225" s="13">
        <f>IF(B225="","","ACC"&amp;TEXT(ROW()-3,"0000"))</f>
        <v/>
      </c>
      <c r="B225" s="14" t="n"/>
      <c r="C225" s="14" t="n"/>
      <c r="D225" s="14" t="n"/>
      <c r="E225" s="14" t="n"/>
      <c r="F225" s="14" t="n"/>
      <c r="G225" s="14" t="n"/>
      <c r="H225" s="15">
        <f>IF(B225="","",TEXT(TODAY(),"dd/mm/yyyy"))</f>
        <v/>
      </c>
    </row>
    <row r="226" ht="20" customHeight="1">
      <c r="A226" s="13">
        <f>IF(B226="","","ACC"&amp;TEXT(ROW()-3,"0000"))</f>
        <v/>
      </c>
      <c r="B226" s="14" t="n"/>
      <c r="C226" s="14" t="n"/>
      <c r="D226" s="14" t="n"/>
      <c r="E226" s="14" t="n"/>
      <c r="F226" s="14" t="n"/>
      <c r="G226" s="14" t="n"/>
      <c r="H226" s="15">
        <f>IF(B226="","",TEXT(TODAY(),"dd/mm/yyyy"))</f>
        <v/>
      </c>
    </row>
    <row r="227" ht="20" customHeight="1">
      <c r="A227" s="13">
        <f>IF(B227="","","ACC"&amp;TEXT(ROW()-3,"0000"))</f>
        <v/>
      </c>
      <c r="B227" s="14" t="n"/>
      <c r="C227" s="14" t="n"/>
      <c r="D227" s="14" t="n"/>
      <c r="E227" s="14" t="n"/>
      <c r="F227" s="14" t="n"/>
      <c r="G227" s="14" t="n"/>
      <c r="H227" s="15">
        <f>IF(B227="","",TEXT(TODAY(),"dd/mm/yyyy"))</f>
        <v/>
      </c>
    </row>
    <row r="228" ht="20" customHeight="1">
      <c r="A228" s="13">
        <f>IF(B228="","","ACC"&amp;TEXT(ROW()-3,"0000"))</f>
        <v/>
      </c>
      <c r="B228" s="14" t="n"/>
      <c r="C228" s="14" t="n"/>
      <c r="D228" s="14" t="n"/>
      <c r="E228" s="14" t="n"/>
      <c r="F228" s="14" t="n"/>
      <c r="G228" s="14" t="n"/>
      <c r="H228" s="15">
        <f>IF(B228="","",TEXT(TODAY(),"dd/mm/yyyy"))</f>
        <v/>
      </c>
    </row>
    <row r="229" ht="20" customHeight="1">
      <c r="A229" s="13">
        <f>IF(B229="","","ACC"&amp;TEXT(ROW()-3,"0000"))</f>
        <v/>
      </c>
      <c r="B229" s="14" t="n"/>
      <c r="C229" s="14" t="n"/>
      <c r="D229" s="14" t="n"/>
      <c r="E229" s="14" t="n"/>
      <c r="F229" s="14" t="n"/>
      <c r="G229" s="14" t="n"/>
      <c r="H229" s="15">
        <f>IF(B229="","",TEXT(TODAY(),"dd/mm/yyyy"))</f>
        <v/>
      </c>
    </row>
    <row r="230" ht="20" customHeight="1">
      <c r="A230" s="13">
        <f>IF(B230="","","ACC"&amp;TEXT(ROW()-3,"0000"))</f>
        <v/>
      </c>
      <c r="B230" s="14" t="n"/>
      <c r="C230" s="14" t="n"/>
      <c r="D230" s="14" t="n"/>
      <c r="E230" s="14" t="n"/>
      <c r="F230" s="14" t="n"/>
      <c r="G230" s="14" t="n"/>
      <c r="H230" s="15">
        <f>IF(B230="","",TEXT(TODAY(),"dd/mm/yyyy"))</f>
        <v/>
      </c>
    </row>
    <row r="231" ht="20" customHeight="1">
      <c r="A231" s="13">
        <f>IF(B231="","","ACC"&amp;TEXT(ROW()-3,"0000"))</f>
        <v/>
      </c>
      <c r="B231" s="14" t="n"/>
      <c r="C231" s="14" t="n"/>
      <c r="D231" s="14" t="n"/>
      <c r="E231" s="14" t="n"/>
      <c r="F231" s="14" t="n"/>
      <c r="G231" s="14" t="n"/>
      <c r="H231" s="15">
        <f>IF(B231="","",TEXT(TODAY(),"dd/mm/yyyy"))</f>
        <v/>
      </c>
    </row>
    <row r="232" ht="20" customHeight="1">
      <c r="A232" s="13">
        <f>IF(B232="","","ACC"&amp;TEXT(ROW()-3,"0000"))</f>
        <v/>
      </c>
      <c r="B232" s="14" t="n"/>
      <c r="C232" s="14" t="n"/>
      <c r="D232" s="14" t="n"/>
      <c r="E232" s="14" t="n"/>
      <c r="F232" s="14" t="n"/>
      <c r="G232" s="14" t="n"/>
      <c r="H232" s="15">
        <f>IF(B232="","",TEXT(TODAY(),"dd/mm/yyyy"))</f>
        <v/>
      </c>
    </row>
    <row r="233" ht="20" customHeight="1">
      <c r="A233" s="13">
        <f>IF(B233="","","ACC"&amp;TEXT(ROW()-3,"0000"))</f>
        <v/>
      </c>
      <c r="B233" s="14" t="n"/>
      <c r="C233" s="14" t="n"/>
      <c r="D233" s="14" t="n"/>
      <c r="E233" s="14" t="n"/>
      <c r="F233" s="14" t="n"/>
      <c r="G233" s="14" t="n"/>
      <c r="H233" s="15">
        <f>IF(B233="","",TEXT(TODAY(),"dd/mm/yyyy"))</f>
        <v/>
      </c>
    </row>
    <row r="234" ht="20" customHeight="1">
      <c r="A234" s="13">
        <f>IF(B234="","","ACC"&amp;TEXT(ROW()-3,"0000"))</f>
        <v/>
      </c>
      <c r="B234" s="14" t="n"/>
      <c r="C234" s="14" t="n"/>
      <c r="D234" s="14" t="n"/>
      <c r="E234" s="14" t="n"/>
      <c r="F234" s="14" t="n"/>
      <c r="G234" s="14" t="n"/>
      <c r="H234" s="15">
        <f>IF(B234="","",TEXT(TODAY(),"dd/mm/yyyy"))</f>
        <v/>
      </c>
    </row>
    <row r="235" ht="20" customHeight="1">
      <c r="A235" s="13">
        <f>IF(B235="","","ACC"&amp;TEXT(ROW()-3,"0000"))</f>
        <v/>
      </c>
      <c r="B235" s="14" t="n"/>
      <c r="C235" s="14" t="n"/>
      <c r="D235" s="14" t="n"/>
      <c r="E235" s="14" t="n"/>
      <c r="F235" s="14" t="n"/>
      <c r="G235" s="14" t="n"/>
      <c r="H235" s="15">
        <f>IF(B235="","",TEXT(TODAY(),"dd/mm/yyyy"))</f>
        <v/>
      </c>
    </row>
    <row r="236" ht="20" customHeight="1">
      <c r="A236" s="13">
        <f>IF(B236="","","ACC"&amp;TEXT(ROW()-3,"0000"))</f>
        <v/>
      </c>
      <c r="B236" s="14" t="n"/>
      <c r="C236" s="14" t="n"/>
      <c r="D236" s="14" t="n"/>
      <c r="E236" s="14" t="n"/>
      <c r="F236" s="14" t="n"/>
      <c r="G236" s="14" t="n"/>
      <c r="H236" s="15">
        <f>IF(B236="","",TEXT(TODAY(),"dd/mm/yyyy"))</f>
        <v/>
      </c>
    </row>
    <row r="237" ht="20" customHeight="1">
      <c r="A237" s="13">
        <f>IF(B237="","","ACC"&amp;TEXT(ROW()-3,"0000"))</f>
        <v/>
      </c>
      <c r="B237" s="14" t="n"/>
      <c r="C237" s="14" t="n"/>
      <c r="D237" s="14" t="n"/>
      <c r="E237" s="14" t="n"/>
      <c r="F237" s="14" t="n"/>
      <c r="G237" s="14" t="n"/>
      <c r="H237" s="15">
        <f>IF(B237="","",TEXT(TODAY(),"dd/mm/yyyy"))</f>
        <v/>
      </c>
    </row>
    <row r="238" ht="20" customHeight="1">
      <c r="A238" s="13">
        <f>IF(B238="","","ACC"&amp;TEXT(ROW()-3,"0000"))</f>
        <v/>
      </c>
      <c r="B238" s="14" t="n"/>
      <c r="C238" s="14" t="n"/>
      <c r="D238" s="14" t="n"/>
      <c r="E238" s="14" t="n"/>
      <c r="F238" s="14" t="n"/>
      <c r="G238" s="14" t="n"/>
      <c r="H238" s="15">
        <f>IF(B238="","",TEXT(TODAY(),"dd/mm/yyyy"))</f>
        <v/>
      </c>
    </row>
    <row r="239" ht="20" customHeight="1">
      <c r="A239" s="13">
        <f>IF(B239="","","ACC"&amp;TEXT(ROW()-3,"0000"))</f>
        <v/>
      </c>
      <c r="B239" s="14" t="n"/>
      <c r="C239" s="14" t="n"/>
      <c r="D239" s="14" t="n"/>
      <c r="E239" s="14" t="n"/>
      <c r="F239" s="14" t="n"/>
      <c r="G239" s="14" t="n"/>
      <c r="H239" s="15">
        <f>IF(B239="","",TEXT(TODAY(),"dd/mm/yyyy"))</f>
        <v/>
      </c>
    </row>
    <row r="240" ht="20" customHeight="1">
      <c r="A240" s="13">
        <f>IF(B240="","","ACC"&amp;TEXT(ROW()-3,"0000"))</f>
        <v/>
      </c>
      <c r="B240" s="14" t="n"/>
      <c r="C240" s="14" t="n"/>
      <c r="D240" s="14" t="n"/>
      <c r="E240" s="14" t="n"/>
      <c r="F240" s="14" t="n"/>
      <c r="G240" s="14" t="n"/>
      <c r="H240" s="15">
        <f>IF(B240="","",TEXT(TODAY(),"dd/mm/yyyy"))</f>
        <v/>
      </c>
    </row>
    <row r="241" ht="20" customHeight="1">
      <c r="A241" s="13">
        <f>IF(B241="","","ACC"&amp;TEXT(ROW()-3,"0000"))</f>
        <v/>
      </c>
      <c r="B241" s="14" t="n"/>
      <c r="C241" s="14" t="n"/>
      <c r="D241" s="14" t="n"/>
      <c r="E241" s="14" t="n"/>
      <c r="F241" s="14" t="n"/>
      <c r="G241" s="14" t="n"/>
      <c r="H241" s="15">
        <f>IF(B241="","",TEXT(TODAY(),"dd/mm/yyyy"))</f>
        <v/>
      </c>
    </row>
    <row r="242" ht="20" customHeight="1">
      <c r="A242" s="13">
        <f>IF(B242="","","ACC"&amp;TEXT(ROW()-3,"0000"))</f>
        <v/>
      </c>
      <c r="B242" s="14" t="n"/>
      <c r="C242" s="14" t="n"/>
      <c r="D242" s="14" t="n"/>
      <c r="E242" s="14" t="n"/>
      <c r="F242" s="14" t="n"/>
      <c r="G242" s="14" t="n"/>
      <c r="H242" s="15">
        <f>IF(B242="","",TEXT(TODAY(),"dd/mm/yyyy"))</f>
        <v/>
      </c>
    </row>
    <row r="243" ht="20" customHeight="1">
      <c r="A243" s="13">
        <f>IF(B243="","","ACC"&amp;TEXT(ROW()-3,"0000"))</f>
        <v/>
      </c>
      <c r="B243" s="14" t="n"/>
      <c r="C243" s="14" t="n"/>
      <c r="D243" s="14" t="n"/>
      <c r="E243" s="14" t="n"/>
      <c r="F243" s="14" t="n"/>
      <c r="G243" s="14" t="n"/>
      <c r="H243" s="15">
        <f>IF(B243="","",TEXT(TODAY(),"dd/mm/yyyy"))</f>
        <v/>
      </c>
    </row>
    <row r="244" ht="20" customHeight="1">
      <c r="A244" s="13">
        <f>IF(B244="","","ACC"&amp;TEXT(ROW()-3,"0000"))</f>
        <v/>
      </c>
      <c r="B244" s="14" t="n"/>
      <c r="C244" s="14" t="n"/>
      <c r="D244" s="14" t="n"/>
      <c r="E244" s="14" t="n"/>
      <c r="F244" s="14" t="n"/>
      <c r="G244" s="14" t="n"/>
      <c r="H244" s="15">
        <f>IF(B244="","",TEXT(TODAY(),"dd/mm/yyyy"))</f>
        <v/>
      </c>
    </row>
    <row r="245" ht="20" customHeight="1">
      <c r="A245" s="13">
        <f>IF(B245="","","ACC"&amp;TEXT(ROW()-3,"0000"))</f>
        <v/>
      </c>
      <c r="B245" s="14" t="n"/>
      <c r="C245" s="14" t="n"/>
      <c r="D245" s="14" t="n"/>
      <c r="E245" s="14" t="n"/>
      <c r="F245" s="14" t="n"/>
      <c r="G245" s="14" t="n"/>
      <c r="H245" s="15">
        <f>IF(B245="","",TEXT(TODAY(),"dd/mm/yyyy"))</f>
        <v/>
      </c>
    </row>
    <row r="246" ht="20" customHeight="1">
      <c r="A246" s="13">
        <f>IF(B246="","","ACC"&amp;TEXT(ROW()-3,"0000"))</f>
        <v/>
      </c>
      <c r="B246" s="14" t="n"/>
      <c r="C246" s="14" t="n"/>
      <c r="D246" s="14" t="n"/>
      <c r="E246" s="14" t="n"/>
      <c r="F246" s="14" t="n"/>
      <c r="G246" s="14" t="n"/>
      <c r="H246" s="15">
        <f>IF(B246="","",TEXT(TODAY(),"dd/mm/yyyy"))</f>
        <v/>
      </c>
    </row>
    <row r="247" ht="20" customHeight="1">
      <c r="A247" s="13">
        <f>IF(B247="","","ACC"&amp;TEXT(ROW()-3,"0000"))</f>
        <v/>
      </c>
      <c r="B247" s="14" t="n"/>
      <c r="C247" s="14" t="n"/>
      <c r="D247" s="14" t="n"/>
      <c r="E247" s="14" t="n"/>
      <c r="F247" s="14" t="n"/>
      <c r="G247" s="14" t="n"/>
      <c r="H247" s="15">
        <f>IF(B247="","",TEXT(TODAY(),"dd/mm/yyyy"))</f>
        <v/>
      </c>
    </row>
    <row r="248" ht="20" customHeight="1">
      <c r="A248" s="13">
        <f>IF(B248="","","ACC"&amp;TEXT(ROW()-3,"0000"))</f>
        <v/>
      </c>
      <c r="B248" s="14" t="n"/>
      <c r="C248" s="14" t="n"/>
      <c r="D248" s="14" t="n"/>
      <c r="E248" s="14" t="n"/>
      <c r="F248" s="14" t="n"/>
      <c r="G248" s="14" t="n"/>
      <c r="H248" s="15">
        <f>IF(B248="","",TEXT(TODAY(),"dd/mm/yyyy"))</f>
        <v/>
      </c>
    </row>
    <row r="249" ht="20" customHeight="1">
      <c r="A249" s="13">
        <f>IF(B249="","","ACC"&amp;TEXT(ROW()-3,"0000"))</f>
        <v/>
      </c>
      <c r="B249" s="14" t="n"/>
      <c r="C249" s="14" t="n"/>
      <c r="D249" s="14" t="n"/>
      <c r="E249" s="14" t="n"/>
      <c r="F249" s="14" t="n"/>
      <c r="G249" s="14" t="n"/>
      <c r="H249" s="15">
        <f>IF(B249="","",TEXT(TODAY(),"dd/mm/yyyy"))</f>
        <v/>
      </c>
    </row>
    <row r="250" ht="20" customHeight="1">
      <c r="A250" s="13">
        <f>IF(B250="","","ACC"&amp;TEXT(ROW()-3,"0000"))</f>
        <v/>
      </c>
      <c r="B250" s="14" t="n"/>
      <c r="C250" s="14" t="n"/>
      <c r="D250" s="14" t="n"/>
      <c r="E250" s="14" t="n"/>
      <c r="F250" s="14" t="n"/>
      <c r="G250" s="14" t="n"/>
      <c r="H250" s="15">
        <f>IF(B250="","",TEXT(TODAY(),"dd/mm/yyyy"))</f>
        <v/>
      </c>
    </row>
    <row r="251" ht="20" customHeight="1">
      <c r="A251" s="13">
        <f>IF(B251="","","ACC"&amp;TEXT(ROW()-3,"0000"))</f>
        <v/>
      </c>
      <c r="B251" s="14" t="n"/>
      <c r="C251" s="14" t="n"/>
      <c r="D251" s="14" t="n"/>
      <c r="E251" s="14" t="n"/>
      <c r="F251" s="14" t="n"/>
      <c r="G251" s="14" t="n"/>
      <c r="H251" s="15">
        <f>IF(B251="","",TEXT(TODAY(),"dd/mm/yyyy"))</f>
        <v/>
      </c>
    </row>
    <row r="252" ht="20" customHeight="1">
      <c r="A252" s="13">
        <f>IF(B252="","","ACC"&amp;TEXT(ROW()-3,"0000"))</f>
        <v/>
      </c>
      <c r="B252" s="14" t="n"/>
      <c r="C252" s="14" t="n"/>
      <c r="D252" s="14" t="n"/>
      <c r="E252" s="14" t="n"/>
      <c r="F252" s="14" t="n"/>
      <c r="G252" s="14" t="n"/>
      <c r="H252" s="15">
        <f>IF(B252="","",TEXT(TODAY(),"dd/mm/yyyy"))</f>
        <v/>
      </c>
    </row>
    <row r="253" ht="20" customHeight="1">
      <c r="A253" s="13">
        <f>IF(B253="","","ACC"&amp;TEXT(ROW()-3,"0000"))</f>
        <v/>
      </c>
      <c r="B253" s="14" t="n"/>
      <c r="C253" s="14" t="n"/>
      <c r="D253" s="14" t="n"/>
      <c r="E253" s="14" t="n"/>
      <c r="F253" s="14" t="n"/>
      <c r="G253" s="14" t="n"/>
      <c r="H253" s="15">
        <f>IF(B253="","",TEXT(TODAY(),"dd/mm/yyyy"))</f>
        <v/>
      </c>
    </row>
    <row r="254" ht="20" customHeight="1">
      <c r="A254" s="13">
        <f>IF(B254="","","ACC"&amp;TEXT(ROW()-3,"0000"))</f>
        <v/>
      </c>
      <c r="B254" s="14" t="n"/>
      <c r="C254" s="14" t="n"/>
      <c r="D254" s="14" t="n"/>
      <c r="E254" s="14" t="n"/>
      <c r="F254" s="14" t="n"/>
      <c r="G254" s="14" t="n"/>
      <c r="H254" s="15">
        <f>IF(B254="","",TEXT(TODAY(),"dd/mm/yyyy"))</f>
        <v/>
      </c>
    </row>
    <row r="255" ht="20" customHeight="1">
      <c r="A255" s="13">
        <f>IF(B255="","","ACC"&amp;TEXT(ROW()-3,"0000"))</f>
        <v/>
      </c>
      <c r="B255" s="14" t="n"/>
      <c r="C255" s="14" t="n"/>
      <c r="D255" s="14" t="n"/>
      <c r="E255" s="14" t="n"/>
      <c r="F255" s="14" t="n"/>
      <c r="G255" s="14" t="n"/>
      <c r="H255" s="15">
        <f>IF(B255="","",TEXT(TODAY(),"dd/mm/yyyy"))</f>
        <v/>
      </c>
    </row>
    <row r="256" ht="20" customHeight="1">
      <c r="A256" s="13">
        <f>IF(B256="","","ACC"&amp;TEXT(ROW()-3,"0000"))</f>
        <v/>
      </c>
      <c r="B256" s="14" t="n"/>
      <c r="C256" s="14" t="n"/>
      <c r="D256" s="14" t="n"/>
      <c r="E256" s="14" t="n"/>
      <c r="F256" s="14" t="n"/>
      <c r="G256" s="14" t="n"/>
      <c r="H256" s="15">
        <f>IF(B256="","",TEXT(TODAY(),"dd/mm/yyyy"))</f>
        <v/>
      </c>
    </row>
    <row r="257" ht="20" customHeight="1">
      <c r="A257" s="13">
        <f>IF(B257="","","ACC"&amp;TEXT(ROW()-3,"0000"))</f>
        <v/>
      </c>
      <c r="B257" s="14" t="n"/>
      <c r="C257" s="14" t="n"/>
      <c r="D257" s="14" t="n"/>
      <c r="E257" s="14" t="n"/>
      <c r="F257" s="14" t="n"/>
      <c r="G257" s="14" t="n"/>
      <c r="H257" s="15">
        <f>IF(B257="","",TEXT(TODAY(),"dd/mm/yyyy"))</f>
        <v/>
      </c>
    </row>
    <row r="258" ht="20" customHeight="1">
      <c r="A258" s="13">
        <f>IF(B258="","","ACC"&amp;TEXT(ROW()-3,"0000"))</f>
        <v/>
      </c>
      <c r="B258" s="14" t="n"/>
      <c r="C258" s="14" t="n"/>
      <c r="D258" s="14" t="n"/>
      <c r="E258" s="14" t="n"/>
      <c r="F258" s="14" t="n"/>
      <c r="G258" s="14" t="n"/>
      <c r="H258" s="15">
        <f>IF(B258="","",TEXT(TODAY(),"dd/mm/yyyy"))</f>
        <v/>
      </c>
    </row>
    <row r="259" ht="20" customHeight="1">
      <c r="A259" s="13">
        <f>IF(B259="","","ACC"&amp;TEXT(ROW()-3,"0000"))</f>
        <v/>
      </c>
      <c r="B259" s="14" t="n"/>
      <c r="C259" s="14" t="n"/>
      <c r="D259" s="14" t="n"/>
      <c r="E259" s="14" t="n"/>
      <c r="F259" s="14" t="n"/>
      <c r="G259" s="14" t="n"/>
      <c r="H259" s="15">
        <f>IF(B259="","",TEXT(TODAY(),"dd/mm/yyyy"))</f>
        <v/>
      </c>
    </row>
    <row r="260" ht="20" customHeight="1">
      <c r="A260" s="13">
        <f>IF(B260="","","ACC"&amp;TEXT(ROW()-3,"0000"))</f>
        <v/>
      </c>
      <c r="B260" s="14" t="n"/>
      <c r="C260" s="14" t="n"/>
      <c r="D260" s="14" t="n"/>
      <c r="E260" s="14" t="n"/>
      <c r="F260" s="14" t="n"/>
      <c r="G260" s="14" t="n"/>
      <c r="H260" s="15">
        <f>IF(B260="","",TEXT(TODAY(),"dd/mm/yyyy"))</f>
        <v/>
      </c>
    </row>
    <row r="261" ht="20" customHeight="1">
      <c r="A261" s="13">
        <f>IF(B261="","","ACC"&amp;TEXT(ROW()-3,"0000"))</f>
        <v/>
      </c>
      <c r="B261" s="14" t="n"/>
      <c r="C261" s="14" t="n"/>
      <c r="D261" s="14" t="n"/>
      <c r="E261" s="14" t="n"/>
      <c r="F261" s="14" t="n"/>
      <c r="G261" s="14" t="n"/>
      <c r="H261" s="15">
        <f>IF(B261="","",TEXT(TODAY(),"dd/mm/yyyy"))</f>
        <v/>
      </c>
    </row>
    <row r="262" ht="20" customHeight="1">
      <c r="A262" s="13">
        <f>IF(B262="","","ACC"&amp;TEXT(ROW()-3,"0000"))</f>
        <v/>
      </c>
      <c r="B262" s="14" t="n"/>
      <c r="C262" s="14" t="n"/>
      <c r="D262" s="14" t="n"/>
      <c r="E262" s="14" t="n"/>
      <c r="F262" s="14" t="n"/>
      <c r="G262" s="14" t="n"/>
      <c r="H262" s="15">
        <f>IF(B262="","",TEXT(TODAY(),"dd/mm/yyyy"))</f>
        <v/>
      </c>
    </row>
    <row r="263" ht="20" customHeight="1">
      <c r="A263" s="13">
        <f>IF(B263="","","ACC"&amp;TEXT(ROW()-3,"0000"))</f>
        <v/>
      </c>
      <c r="B263" s="14" t="n"/>
      <c r="C263" s="14" t="n"/>
      <c r="D263" s="14" t="n"/>
      <c r="E263" s="14" t="n"/>
      <c r="F263" s="14" t="n"/>
      <c r="G263" s="14" t="n"/>
      <c r="H263" s="15">
        <f>IF(B263="","",TEXT(TODAY(),"dd/mm/yyyy"))</f>
        <v/>
      </c>
    </row>
    <row r="264" ht="20" customHeight="1">
      <c r="A264" s="13">
        <f>IF(B264="","","ACC"&amp;TEXT(ROW()-3,"0000"))</f>
        <v/>
      </c>
      <c r="B264" s="14" t="n"/>
      <c r="C264" s="14" t="n"/>
      <c r="D264" s="14" t="n"/>
      <c r="E264" s="14" t="n"/>
      <c r="F264" s="14" t="n"/>
      <c r="G264" s="14" t="n"/>
      <c r="H264" s="15">
        <f>IF(B264="","",TEXT(TODAY(),"dd/mm/yyyy"))</f>
        <v/>
      </c>
    </row>
    <row r="265" ht="20" customHeight="1">
      <c r="A265" s="13">
        <f>IF(B265="","","ACC"&amp;TEXT(ROW()-3,"0000"))</f>
        <v/>
      </c>
      <c r="B265" s="14" t="n"/>
      <c r="C265" s="14" t="n"/>
      <c r="D265" s="14" t="n"/>
      <c r="E265" s="14" t="n"/>
      <c r="F265" s="14" t="n"/>
      <c r="G265" s="14" t="n"/>
      <c r="H265" s="15">
        <f>IF(B265="","",TEXT(TODAY(),"dd/mm/yyyy"))</f>
        <v/>
      </c>
    </row>
    <row r="266" ht="20" customHeight="1">
      <c r="A266" s="13">
        <f>IF(B266="","","ACC"&amp;TEXT(ROW()-3,"0000"))</f>
        <v/>
      </c>
      <c r="B266" s="14" t="n"/>
      <c r="C266" s="14" t="n"/>
      <c r="D266" s="14" t="n"/>
      <c r="E266" s="14" t="n"/>
      <c r="F266" s="14" t="n"/>
      <c r="G266" s="14" t="n"/>
      <c r="H266" s="15">
        <f>IF(B266="","",TEXT(TODAY(),"dd/mm/yyyy"))</f>
        <v/>
      </c>
    </row>
    <row r="267" ht="20" customHeight="1">
      <c r="A267" s="13">
        <f>IF(B267="","","ACC"&amp;TEXT(ROW()-3,"0000"))</f>
        <v/>
      </c>
      <c r="B267" s="14" t="n"/>
      <c r="C267" s="14" t="n"/>
      <c r="D267" s="14" t="n"/>
      <c r="E267" s="14" t="n"/>
      <c r="F267" s="14" t="n"/>
      <c r="G267" s="14" t="n"/>
      <c r="H267" s="15">
        <f>IF(B267="","",TEXT(TODAY(),"dd/mm/yyyy"))</f>
        <v/>
      </c>
    </row>
    <row r="268" ht="20" customHeight="1">
      <c r="A268" s="13">
        <f>IF(B268="","","ACC"&amp;TEXT(ROW()-3,"0000"))</f>
        <v/>
      </c>
      <c r="B268" s="14" t="n"/>
      <c r="C268" s="14" t="n"/>
      <c r="D268" s="14" t="n"/>
      <c r="E268" s="14" t="n"/>
      <c r="F268" s="14" t="n"/>
      <c r="G268" s="14" t="n"/>
      <c r="H268" s="15">
        <f>IF(B268="","",TEXT(TODAY(),"dd/mm/yyyy"))</f>
        <v/>
      </c>
    </row>
    <row r="269" ht="20" customHeight="1">
      <c r="A269" s="13">
        <f>IF(B269="","","ACC"&amp;TEXT(ROW()-3,"0000"))</f>
        <v/>
      </c>
      <c r="B269" s="14" t="n"/>
      <c r="C269" s="14" t="n"/>
      <c r="D269" s="14" t="n"/>
      <c r="E269" s="14" t="n"/>
      <c r="F269" s="14" t="n"/>
      <c r="G269" s="14" t="n"/>
      <c r="H269" s="15">
        <f>IF(B269="","",TEXT(TODAY(),"dd/mm/yyyy"))</f>
        <v/>
      </c>
    </row>
    <row r="270" ht="20" customHeight="1">
      <c r="A270" s="13">
        <f>IF(B270="","","ACC"&amp;TEXT(ROW()-3,"0000"))</f>
        <v/>
      </c>
      <c r="B270" s="14" t="n"/>
      <c r="C270" s="14" t="n"/>
      <c r="D270" s="14" t="n"/>
      <c r="E270" s="14" t="n"/>
      <c r="F270" s="14" t="n"/>
      <c r="G270" s="14" t="n"/>
      <c r="H270" s="15">
        <f>IF(B270="","",TEXT(TODAY(),"dd/mm/yyyy"))</f>
        <v/>
      </c>
    </row>
    <row r="271" ht="20" customHeight="1">
      <c r="A271" s="13">
        <f>IF(B271="","","ACC"&amp;TEXT(ROW()-3,"0000"))</f>
        <v/>
      </c>
      <c r="B271" s="14" t="n"/>
      <c r="C271" s="14" t="n"/>
      <c r="D271" s="14" t="n"/>
      <c r="E271" s="14" t="n"/>
      <c r="F271" s="14" t="n"/>
      <c r="G271" s="14" t="n"/>
      <c r="H271" s="15">
        <f>IF(B271="","",TEXT(TODAY(),"dd/mm/yyyy"))</f>
        <v/>
      </c>
    </row>
    <row r="272" ht="20" customHeight="1">
      <c r="A272" s="13">
        <f>IF(B272="","","ACC"&amp;TEXT(ROW()-3,"0000"))</f>
        <v/>
      </c>
      <c r="B272" s="14" t="n"/>
      <c r="C272" s="14" t="n"/>
      <c r="D272" s="14" t="n"/>
      <c r="E272" s="14" t="n"/>
      <c r="F272" s="14" t="n"/>
      <c r="G272" s="14" t="n"/>
      <c r="H272" s="15">
        <f>IF(B272="","",TEXT(TODAY(),"dd/mm/yyyy"))</f>
        <v/>
      </c>
    </row>
    <row r="273" ht="20" customHeight="1">
      <c r="A273" s="13">
        <f>IF(B273="","","ACC"&amp;TEXT(ROW()-3,"0000"))</f>
        <v/>
      </c>
      <c r="B273" s="14" t="n"/>
      <c r="C273" s="14" t="n"/>
      <c r="D273" s="14" t="n"/>
      <c r="E273" s="14" t="n"/>
      <c r="F273" s="14" t="n"/>
      <c r="G273" s="14" t="n"/>
      <c r="H273" s="15">
        <f>IF(B273="","",TEXT(TODAY(),"dd/mm/yyyy"))</f>
        <v/>
      </c>
    </row>
    <row r="274" ht="20" customHeight="1">
      <c r="A274" s="13">
        <f>IF(B274="","","ACC"&amp;TEXT(ROW()-3,"0000"))</f>
        <v/>
      </c>
      <c r="B274" s="14" t="n"/>
      <c r="C274" s="14" t="n"/>
      <c r="D274" s="14" t="n"/>
      <c r="E274" s="14" t="n"/>
      <c r="F274" s="14" t="n"/>
      <c r="G274" s="14" t="n"/>
      <c r="H274" s="15">
        <f>IF(B274="","",TEXT(TODAY(),"dd/mm/yyyy"))</f>
        <v/>
      </c>
    </row>
    <row r="275" ht="20" customHeight="1">
      <c r="A275" s="13">
        <f>IF(B275="","","ACC"&amp;TEXT(ROW()-3,"0000"))</f>
        <v/>
      </c>
      <c r="B275" s="14" t="n"/>
      <c r="C275" s="14" t="n"/>
      <c r="D275" s="14" t="n"/>
      <c r="E275" s="14" t="n"/>
      <c r="F275" s="14" t="n"/>
      <c r="G275" s="14" t="n"/>
      <c r="H275" s="15">
        <f>IF(B275="","",TEXT(TODAY(),"dd/mm/yyyy"))</f>
        <v/>
      </c>
    </row>
    <row r="276" ht="20" customHeight="1">
      <c r="A276" s="13">
        <f>IF(B276="","","ACC"&amp;TEXT(ROW()-3,"0000"))</f>
        <v/>
      </c>
      <c r="B276" s="14" t="n"/>
      <c r="C276" s="14" t="n"/>
      <c r="D276" s="14" t="n"/>
      <c r="E276" s="14" t="n"/>
      <c r="F276" s="14" t="n"/>
      <c r="G276" s="14" t="n"/>
      <c r="H276" s="15">
        <f>IF(B276="","",TEXT(TODAY(),"dd/mm/yyyy"))</f>
        <v/>
      </c>
    </row>
    <row r="277" ht="20" customHeight="1">
      <c r="A277" s="13">
        <f>IF(B277="","","ACC"&amp;TEXT(ROW()-3,"0000"))</f>
        <v/>
      </c>
      <c r="B277" s="14" t="n"/>
      <c r="C277" s="14" t="n"/>
      <c r="D277" s="14" t="n"/>
      <c r="E277" s="14" t="n"/>
      <c r="F277" s="14" t="n"/>
      <c r="G277" s="14" t="n"/>
      <c r="H277" s="15">
        <f>IF(B277="","",TEXT(TODAY(),"dd/mm/yyyy"))</f>
        <v/>
      </c>
    </row>
    <row r="278" ht="20" customHeight="1">
      <c r="A278" s="13">
        <f>IF(B278="","","ACC"&amp;TEXT(ROW()-3,"0000"))</f>
        <v/>
      </c>
      <c r="B278" s="14" t="n"/>
      <c r="C278" s="14" t="n"/>
      <c r="D278" s="14" t="n"/>
      <c r="E278" s="14" t="n"/>
      <c r="F278" s="14" t="n"/>
      <c r="G278" s="14" t="n"/>
      <c r="H278" s="15">
        <f>IF(B278="","",TEXT(TODAY(),"dd/mm/yyyy"))</f>
        <v/>
      </c>
    </row>
    <row r="279" ht="20" customHeight="1">
      <c r="A279" s="13">
        <f>IF(B279="","","ACC"&amp;TEXT(ROW()-3,"0000"))</f>
        <v/>
      </c>
      <c r="B279" s="14" t="n"/>
      <c r="C279" s="14" t="n"/>
      <c r="D279" s="14" t="n"/>
      <c r="E279" s="14" t="n"/>
      <c r="F279" s="14" t="n"/>
      <c r="G279" s="14" t="n"/>
      <c r="H279" s="15">
        <f>IF(B279="","",TEXT(TODAY(),"dd/mm/yyyy"))</f>
        <v/>
      </c>
    </row>
    <row r="280" ht="20" customHeight="1">
      <c r="A280" s="13">
        <f>IF(B280="","","ACC"&amp;TEXT(ROW()-3,"0000"))</f>
        <v/>
      </c>
      <c r="B280" s="14" t="n"/>
      <c r="C280" s="14" t="n"/>
      <c r="D280" s="14" t="n"/>
      <c r="E280" s="14" t="n"/>
      <c r="F280" s="14" t="n"/>
      <c r="G280" s="14" t="n"/>
      <c r="H280" s="15">
        <f>IF(B280="","",TEXT(TODAY(),"dd/mm/yyyy"))</f>
        <v/>
      </c>
    </row>
    <row r="281" ht="20" customHeight="1">
      <c r="A281" s="13">
        <f>IF(B281="","","ACC"&amp;TEXT(ROW()-3,"0000"))</f>
        <v/>
      </c>
      <c r="B281" s="14" t="n"/>
      <c r="C281" s="14" t="n"/>
      <c r="D281" s="14" t="n"/>
      <c r="E281" s="14" t="n"/>
      <c r="F281" s="14" t="n"/>
      <c r="G281" s="14" t="n"/>
      <c r="H281" s="15">
        <f>IF(B281="","",TEXT(TODAY(),"dd/mm/yyyy"))</f>
        <v/>
      </c>
    </row>
    <row r="282" ht="20" customHeight="1">
      <c r="A282" s="13">
        <f>IF(B282="","","ACC"&amp;TEXT(ROW()-3,"0000"))</f>
        <v/>
      </c>
      <c r="B282" s="14" t="n"/>
      <c r="C282" s="14" t="n"/>
      <c r="D282" s="14" t="n"/>
      <c r="E282" s="14" t="n"/>
      <c r="F282" s="14" t="n"/>
      <c r="G282" s="14" t="n"/>
      <c r="H282" s="15">
        <f>IF(B282="","",TEXT(TODAY(),"dd/mm/yyyy"))</f>
        <v/>
      </c>
    </row>
    <row r="283" ht="20" customHeight="1">
      <c r="A283" s="13">
        <f>IF(B283="","","ACC"&amp;TEXT(ROW()-3,"0000"))</f>
        <v/>
      </c>
      <c r="B283" s="14" t="n"/>
      <c r="C283" s="14" t="n"/>
      <c r="D283" s="14" t="n"/>
      <c r="E283" s="14" t="n"/>
      <c r="F283" s="14" t="n"/>
      <c r="G283" s="14" t="n"/>
      <c r="H283" s="15">
        <f>IF(B283="","",TEXT(TODAY(),"dd/mm/yyyy"))</f>
        <v/>
      </c>
    </row>
    <row r="284" ht="20" customHeight="1">
      <c r="A284" s="13">
        <f>IF(B284="","","ACC"&amp;TEXT(ROW()-3,"0000"))</f>
        <v/>
      </c>
      <c r="B284" s="14" t="n"/>
      <c r="C284" s="14" t="n"/>
      <c r="D284" s="14" t="n"/>
      <c r="E284" s="14" t="n"/>
      <c r="F284" s="14" t="n"/>
      <c r="G284" s="14" t="n"/>
      <c r="H284" s="15">
        <f>IF(B284="","",TEXT(TODAY(),"dd/mm/yyyy"))</f>
        <v/>
      </c>
    </row>
    <row r="285" ht="20" customHeight="1">
      <c r="A285" s="13">
        <f>IF(B285="","","ACC"&amp;TEXT(ROW()-3,"0000"))</f>
        <v/>
      </c>
      <c r="B285" s="14" t="n"/>
      <c r="C285" s="14" t="n"/>
      <c r="D285" s="14" t="n"/>
      <c r="E285" s="14" t="n"/>
      <c r="F285" s="14" t="n"/>
      <c r="G285" s="14" t="n"/>
      <c r="H285" s="15">
        <f>IF(B285="","",TEXT(TODAY(),"dd/mm/yyyy"))</f>
        <v/>
      </c>
    </row>
    <row r="286" ht="20" customHeight="1">
      <c r="A286" s="13">
        <f>IF(B286="","","ACC"&amp;TEXT(ROW()-3,"0000"))</f>
        <v/>
      </c>
      <c r="B286" s="14" t="n"/>
      <c r="C286" s="14" t="n"/>
      <c r="D286" s="14" t="n"/>
      <c r="E286" s="14" t="n"/>
      <c r="F286" s="14" t="n"/>
      <c r="G286" s="14" t="n"/>
      <c r="H286" s="15">
        <f>IF(B286="","",TEXT(TODAY(),"dd/mm/yyyy"))</f>
        <v/>
      </c>
    </row>
    <row r="287" ht="20" customHeight="1">
      <c r="A287" s="13">
        <f>IF(B287="","","ACC"&amp;TEXT(ROW()-3,"0000"))</f>
        <v/>
      </c>
      <c r="B287" s="14" t="n"/>
      <c r="C287" s="14" t="n"/>
      <c r="D287" s="14" t="n"/>
      <c r="E287" s="14" t="n"/>
      <c r="F287" s="14" t="n"/>
      <c r="G287" s="14" t="n"/>
      <c r="H287" s="15">
        <f>IF(B287="","",TEXT(TODAY(),"dd/mm/yyyy"))</f>
        <v/>
      </c>
    </row>
    <row r="288" ht="20" customHeight="1">
      <c r="A288" s="13">
        <f>IF(B288="","","ACC"&amp;TEXT(ROW()-3,"0000"))</f>
        <v/>
      </c>
      <c r="B288" s="14" t="n"/>
      <c r="C288" s="14" t="n"/>
      <c r="D288" s="14" t="n"/>
      <c r="E288" s="14" t="n"/>
      <c r="F288" s="14" t="n"/>
      <c r="G288" s="14" t="n"/>
      <c r="H288" s="15">
        <f>IF(B288="","",TEXT(TODAY(),"dd/mm/yyyy"))</f>
        <v/>
      </c>
    </row>
    <row r="289" ht="20" customHeight="1">
      <c r="A289" s="13">
        <f>IF(B289="","","ACC"&amp;TEXT(ROW()-3,"0000"))</f>
        <v/>
      </c>
      <c r="B289" s="14" t="n"/>
      <c r="C289" s="14" t="n"/>
      <c r="D289" s="14" t="n"/>
      <c r="E289" s="14" t="n"/>
      <c r="F289" s="14" t="n"/>
      <c r="G289" s="14" t="n"/>
      <c r="H289" s="15">
        <f>IF(B289="","",TEXT(TODAY(),"dd/mm/yyyy"))</f>
        <v/>
      </c>
    </row>
    <row r="290" ht="20" customHeight="1">
      <c r="A290" s="13">
        <f>IF(B290="","","ACC"&amp;TEXT(ROW()-3,"0000"))</f>
        <v/>
      </c>
      <c r="B290" s="14" t="n"/>
      <c r="C290" s="14" t="n"/>
      <c r="D290" s="14" t="n"/>
      <c r="E290" s="14" t="n"/>
      <c r="F290" s="14" t="n"/>
      <c r="G290" s="14" t="n"/>
      <c r="H290" s="15">
        <f>IF(B290="","",TEXT(TODAY(),"dd/mm/yyyy"))</f>
        <v/>
      </c>
    </row>
    <row r="291" ht="20" customHeight="1">
      <c r="A291" s="13">
        <f>IF(B291="","","ACC"&amp;TEXT(ROW()-3,"0000"))</f>
        <v/>
      </c>
      <c r="B291" s="14" t="n"/>
      <c r="C291" s="14" t="n"/>
      <c r="D291" s="14" t="n"/>
      <c r="E291" s="14" t="n"/>
      <c r="F291" s="14" t="n"/>
      <c r="G291" s="14" t="n"/>
      <c r="H291" s="15">
        <f>IF(B291="","",TEXT(TODAY(),"dd/mm/yyyy"))</f>
        <v/>
      </c>
    </row>
    <row r="292" ht="20" customHeight="1">
      <c r="A292" s="13">
        <f>IF(B292="","","ACC"&amp;TEXT(ROW()-3,"0000"))</f>
        <v/>
      </c>
      <c r="B292" s="14" t="n"/>
      <c r="C292" s="14" t="n"/>
      <c r="D292" s="14" t="n"/>
      <c r="E292" s="14" t="n"/>
      <c r="F292" s="14" t="n"/>
      <c r="G292" s="14" t="n"/>
      <c r="H292" s="15">
        <f>IF(B292="","",TEXT(TODAY(),"dd/mm/yyyy"))</f>
        <v/>
      </c>
    </row>
    <row r="293" ht="20" customHeight="1">
      <c r="A293" s="13">
        <f>IF(B293="","","ACC"&amp;TEXT(ROW()-3,"0000"))</f>
        <v/>
      </c>
      <c r="B293" s="14" t="n"/>
      <c r="C293" s="14" t="n"/>
      <c r="D293" s="14" t="n"/>
      <c r="E293" s="14" t="n"/>
      <c r="F293" s="14" t="n"/>
      <c r="G293" s="14" t="n"/>
      <c r="H293" s="15">
        <f>IF(B293="","",TEXT(TODAY(),"dd/mm/yyyy"))</f>
        <v/>
      </c>
    </row>
    <row r="294" ht="20" customHeight="1">
      <c r="A294" s="13">
        <f>IF(B294="","","ACC"&amp;TEXT(ROW()-3,"0000"))</f>
        <v/>
      </c>
      <c r="B294" s="14" t="n"/>
      <c r="C294" s="14" t="n"/>
      <c r="D294" s="14" t="n"/>
      <c r="E294" s="14" t="n"/>
      <c r="F294" s="14" t="n"/>
      <c r="G294" s="14" t="n"/>
      <c r="H294" s="15">
        <f>IF(B294="","",TEXT(TODAY(),"dd/mm/yyyy"))</f>
        <v/>
      </c>
    </row>
    <row r="295" ht="20" customHeight="1">
      <c r="A295" s="13">
        <f>IF(B295="","","ACC"&amp;TEXT(ROW()-3,"0000"))</f>
        <v/>
      </c>
      <c r="B295" s="14" t="n"/>
      <c r="C295" s="14" t="n"/>
      <c r="D295" s="14" t="n"/>
      <c r="E295" s="14" t="n"/>
      <c r="F295" s="14" t="n"/>
      <c r="G295" s="14" t="n"/>
      <c r="H295" s="15">
        <f>IF(B295="","",TEXT(TODAY(),"dd/mm/yyyy"))</f>
        <v/>
      </c>
    </row>
    <row r="296" ht="20" customHeight="1">
      <c r="A296" s="13">
        <f>IF(B296="","","ACC"&amp;TEXT(ROW()-3,"0000"))</f>
        <v/>
      </c>
      <c r="B296" s="14" t="n"/>
      <c r="C296" s="14" t="n"/>
      <c r="D296" s="14" t="n"/>
      <c r="E296" s="14" t="n"/>
      <c r="F296" s="14" t="n"/>
      <c r="G296" s="14" t="n"/>
      <c r="H296" s="15">
        <f>IF(B296="","",TEXT(TODAY(),"dd/mm/yyyy"))</f>
        <v/>
      </c>
    </row>
    <row r="297" ht="20" customHeight="1">
      <c r="A297" s="13">
        <f>IF(B297="","","ACC"&amp;TEXT(ROW()-3,"0000"))</f>
        <v/>
      </c>
      <c r="B297" s="14" t="n"/>
      <c r="C297" s="14" t="n"/>
      <c r="D297" s="14" t="n"/>
      <c r="E297" s="14" t="n"/>
      <c r="F297" s="14" t="n"/>
      <c r="G297" s="14" t="n"/>
      <c r="H297" s="15">
        <f>IF(B297="","",TEXT(TODAY(),"dd/mm/yyyy"))</f>
        <v/>
      </c>
    </row>
    <row r="298" ht="20" customHeight="1">
      <c r="A298" s="13">
        <f>IF(B298="","","ACC"&amp;TEXT(ROW()-3,"0000"))</f>
        <v/>
      </c>
      <c r="B298" s="14" t="n"/>
      <c r="C298" s="14" t="n"/>
      <c r="D298" s="14" t="n"/>
      <c r="E298" s="14" t="n"/>
      <c r="F298" s="14" t="n"/>
      <c r="G298" s="14" t="n"/>
      <c r="H298" s="15">
        <f>IF(B298="","",TEXT(TODAY(),"dd/mm/yyyy"))</f>
        <v/>
      </c>
    </row>
    <row r="299" ht="20" customHeight="1">
      <c r="A299" s="13">
        <f>IF(B299="","","ACC"&amp;TEXT(ROW()-3,"0000"))</f>
        <v/>
      </c>
      <c r="B299" s="14" t="n"/>
      <c r="C299" s="14" t="n"/>
      <c r="D299" s="14" t="n"/>
      <c r="E299" s="14" t="n"/>
      <c r="F299" s="14" t="n"/>
      <c r="G299" s="14" t="n"/>
      <c r="H299" s="15">
        <f>IF(B299="","",TEXT(TODAY(),"dd/mm/yyyy"))</f>
        <v/>
      </c>
    </row>
    <row r="300" ht="20" customHeight="1">
      <c r="A300" s="13">
        <f>IF(B300="","","ACC"&amp;TEXT(ROW()-3,"0000"))</f>
        <v/>
      </c>
      <c r="B300" s="14" t="n"/>
      <c r="C300" s="14" t="n"/>
      <c r="D300" s="14" t="n"/>
      <c r="E300" s="14" t="n"/>
      <c r="F300" s="14" t="n"/>
      <c r="G300" s="14" t="n"/>
      <c r="H300" s="15">
        <f>IF(B300="","",TEXT(TODAY(),"dd/mm/yyyy"))</f>
        <v/>
      </c>
    </row>
    <row r="301" ht="20" customHeight="1">
      <c r="A301" s="13">
        <f>IF(B301="","","ACC"&amp;TEXT(ROW()-3,"0000"))</f>
        <v/>
      </c>
      <c r="B301" s="14" t="n"/>
      <c r="C301" s="14" t="n"/>
      <c r="D301" s="14" t="n"/>
      <c r="E301" s="14" t="n"/>
      <c r="F301" s="14" t="n"/>
      <c r="G301" s="14" t="n"/>
      <c r="H301" s="15">
        <f>IF(B301="","",TEXT(TODAY(),"dd/mm/yyyy"))</f>
        <v/>
      </c>
    </row>
    <row r="302" ht="20" customHeight="1">
      <c r="A302" s="13">
        <f>IF(B302="","","ACC"&amp;TEXT(ROW()-3,"0000"))</f>
        <v/>
      </c>
      <c r="B302" s="14" t="n"/>
      <c r="C302" s="14" t="n"/>
      <c r="D302" s="14" t="n"/>
      <c r="E302" s="14" t="n"/>
      <c r="F302" s="14" t="n"/>
      <c r="G302" s="14" t="n"/>
      <c r="H302" s="15">
        <f>IF(B302="","",TEXT(TODAY(),"dd/mm/yyyy"))</f>
        <v/>
      </c>
    </row>
    <row r="303" ht="20" customHeight="1">
      <c r="A303" s="13">
        <f>IF(B303="","","ACC"&amp;TEXT(ROW()-3,"0000"))</f>
        <v/>
      </c>
      <c r="B303" s="14" t="n"/>
      <c r="C303" s="14" t="n"/>
      <c r="D303" s="14" t="n"/>
      <c r="E303" s="14" t="n"/>
      <c r="F303" s="14" t="n"/>
      <c r="G303" s="14" t="n"/>
      <c r="H303" s="15">
        <f>IF(B303="","",TEXT(TODAY(),"dd/mm/yyyy"))</f>
        <v/>
      </c>
    </row>
    <row r="304" ht="20" customHeight="1">
      <c r="A304" s="13">
        <f>IF(B304="","","ACC"&amp;TEXT(ROW()-3,"0000"))</f>
        <v/>
      </c>
      <c r="B304" s="14" t="n"/>
      <c r="C304" s="14" t="n"/>
      <c r="D304" s="14" t="n"/>
      <c r="E304" s="14" t="n"/>
      <c r="F304" s="14" t="n"/>
      <c r="G304" s="14" t="n"/>
      <c r="H304" s="15">
        <f>IF(B304="","",TEXT(TODAY(),"dd/mm/yyyy"))</f>
        <v/>
      </c>
    </row>
    <row r="305" ht="20" customHeight="1">
      <c r="A305" s="13">
        <f>IF(B305="","","ACC"&amp;TEXT(ROW()-3,"0000"))</f>
        <v/>
      </c>
      <c r="B305" s="14" t="n"/>
      <c r="C305" s="14" t="n"/>
      <c r="D305" s="14" t="n"/>
      <c r="E305" s="14" t="n"/>
      <c r="F305" s="14" t="n"/>
      <c r="G305" s="14" t="n"/>
      <c r="H305" s="15">
        <f>IF(B305="","",TEXT(TODAY(),"dd/mm/yyyy"))</f>
        <v/>
      </c>
    </row>
    <row r="306" ht="20" customHeight="1">
      <c r="A306" s="13">
        <f>IF(B306="","","ACC"&amp;TEXT(ROW()-3,"0000"))</f>
        <v/>
      </c>
      <c r="B306" s="14" t="n"/>
      <c r="C306" s="14" t="n"/>
      <c r="D306" s="14" t="n"/>
      <c r="E306" s="14" t="n"/>
      <c r="F306" s="14" t="n"/>
      <c r="G306" s="14" t="n"/>
      <c r="H306" s="15">
        <f>IF(B306="","",TEXT(TODAY(),"dd/mm/yyyy"))</f>
        <v/>
      </c>
    </row>
    <row r="307" ht="20" customHeight="1">
      <c r="A307" s="13">
        <f>IF(B307="","","ACC"&amp;TEXT(ROW()-3,"0000"))</f>
        <v/>
      </c>
      <c r="B307" s="14" t="n"/>
      <c r="C307" s="14" t="n"/>
      <c r="D307" s="14" t="n"/>
      <c r="E307" s="14" t="n"/>
      <c r="F307" s="14" t="n"/>
      <c r="G307" s="14" t="n"/>
      <c r="H307" s="15">
        <f>IF(B307="","",TEXT(TODAY(),"dd/mm/yyyy"))</f>
        <v/>
      </c>
    </row>
    <row r="308" ht="20" customHeight="1">
      <c r="A308" s="13">
        <f>IF(B308="","","ACC"&amp;TEXT(ROW()-3,"0000"))</f>
        <v/>
      </c>
      <c r="B308" s="14" t="n"/>
      <c r="C308" s="14" t="n"/>
      <c r="D308" s="14" t="n"/>
      <c r="E308" s="14" t="n"/>
      <c r="F308" s="14" t="n"/>
      <c r="G308" s="14" t="n"/>
      <c r="H308" s="15">
        <f>IF(B308="","",TEXT(TODAY(),"dd/mm/yyyy"))</f>
        <v/>
      </c>
    </row>
    <row r="309" ht="20" customHeight="1">
      <c r="A309" s="13">
        <f>IF(B309="","","ACC"&amp;TEXT(ROW()-3,"0000"))</f>
        <v/>
      </c>
      <c r="B309" s="14" t="n"/>
      <c r="C309" s="14" t="n"/>
      <c r="D309" s="14" t="n"/>
      <c r="E309" s="14" t="n"/>
      <c r="F309" s="14" t="n"/>
      <c r="G309" s="14" t="n"/>
      <c r="H309" s="15">
        <f>IF(B309="","",TEXT(TODAY(),"dd/mm/yyyy"))</f>
        <v/>
      </c>
    </row>
    <row r="310" ht="20" customHeight="1">
      <c r="A310" s="13">
        <f>IF(B310="","","ACC"&amp;TEXT(ROW()-3,"0000"))</f>
        <v/>
      </c>
      <c r="B310" s="14" t="n"/>
      <c r="C310" s="14" t="n"/>
      <c r="D310" s="14" t="n"/>
      <c r="E310" s="14" t="n"/>
      <c r="F310" s="14" t="n"/>
      <c r="G310" s="14" t="n"/>
      <c r="H310" s="15">
        <f>IF(B310="","",TEXT(TODAY(),"dd/mm/yyyy"))</f>
        <v/>
      </c>
    </row>
    <row r="311" ht="20" customHeight="1">
      <c r="A311" s="13">
        <f>IF(B311="","","ACC"&amp;TEXT(ROW()-3,"0000"))</f>
        <v/>
      </c>
      <c r="B311" s="14" t="n"/>
      <c r="C311" s="14" t="n"/>
      <c r="D311" s="14" t="n"/>
      <c r="E311" s="14" t="n"/>
      <c r="F311" s="14" t="n"/>
      <c r="G311" s="14" t="n"/>
      <c r="H311" s="15">
        <f>IF(B311="","",TEXT(TODAY(),"dd/mm/yyyy"))</f>
        <v/>
      </c>
    </row>
    <row r="312" ht="20" customHeight="1">
      <c r="A312" s="13">
        <f>IF(B312="","","ACC"&amp;TEXT(ROW()-3,"0000"))</f>
        <v/>
      </c>
      <c r="B312" s="14" t="n"/>
      <c r="C312" s="14" t="n"/>
      <c r="D312" s="14" t="n"/>
      <c r="E312" s="14" t="n"/>
      <c r="F312" s="14" t="n"/>
      <c r="G312" s="14" t="n"/>
      <c r="H312" s="15">
        <f>IF(B312="","",TEXT(TODAY(),"dd/mm/yyyy"))</f>
        <v/>
      </c>
    </row>
    <row r="313" ht="20" customHeight="1">
      <c r="A313" s="13">
        <f>IF(B313="","","ACC"&amp;TEXT(ROW()-3,"0000"))</f>
        <v/>
      </c>
      <c r="B313" s="14" t="n"/>
      <c r="C313" s="14" t="n"/>
      <c r="D313" s="14" t="n"/>
      <c r="E313" s="14" t="n"/>
      <c r="F313" s="14" t="n"/>
      <c r="G313" s="14" t="n"/>
      <c r="H313" s="15">
        <f>IF(B313="","",TEXT(TODAY(),"dd/mm/yyyy"))</f>
        <v/>
      </c>
    </row>
    <row r="314" ht="20" customHeight="1">
      <c r="A314" s="13">
        <f>IF(B314="","","ACC"&amp;TEXT(ROW()-3,"0000"))</f>
        <v/>
      </c>
      <c r="B314" s="14" t="n"/>
      <c r="C314" s="14" t="n"/>
      <c r="D314" s="14" t="n"/>
      <c r="E314" s="14" t="n"/>
      <c r="F314" s="14" t="n"/>
      <c r="G314" s="14" t="n"/>
      <c r="H314" s="15">
        <f>IF(B314="","",TEXT(TODAY(),"dd/mm/yyyy"))</f>
        <v/>
      </c>
    </row>
    <row r="315" ht="20" customHeight="1">
      <c r="A315" s="13">
        <f>IF(B315="","","ACC"&amp;TEXT(ROW()-3,"0000"))</f>
        <v/>
      </c>
      <c r="B315" s="14" t="n"/>
      <c r="C315" s="14" t="n"/>
      <c r="D315" s="14" t="n"/>
      <c r="E315" s="14" t="n"/>
      <c r="F315" s="14" t="n"/>
      <c r="G315" s="14" t="n"/>
      <c r="H315" s="15">
        <f>IF(B315="","",TEXT(TODAY(),"dd/mm/yyyy"))</f>
        <v/>
      </c>
    </row>
    <row r="316" ht="20" customHeight="1">
      <c r="A316" s="13">
        <f>IF(B316="","","ACC"&amp;TEXT(ROW()-3,"0000"))</f>
        <v/>
      </c>
      <c r="B316" s="14" t="n"/>
      <c r="C316" s="14" t="n"/>
      <c r="D316" s="14" t="n"/>
      <c r="E316" s="14" t="n"/>
      <c r="F316" s="14" t="n"/>
      <c r="G316" s="14" t="n"/>
      <c r="H316" s="15">
        <f>IF(B316="","",TEXT(TODAY(),"dd/mm/yyyy"))</f>
        <v/>
      </c>
    </row>
    <row r="317" ht="20" customHeight="1">
      <c r="A317" s="13">
        <f>IF(B317="","","ACC"&amp;TEXT(ROW()-3,"0000"))</f>
        <v/>
      </c>
      <c r="B317" s="14" t="n"/>
      <c r="C317" s="14" t="n"/>
      <c r="D317" s="14" t="n"/>
      <c r="E317" s="14" t="n"/>
      <c r="F317" s="14" t="n"/>
      <c r="G317" s="14" t="n"/>
      <c r="H317" s="15">
        <f>IF(B317="","",TEXT(TODAY(),"dd/mm/yyyy"))</f>
        <v/>
      </c>
    </row>
    <row r="318" ht="20" customHeight="1">
      <c r="A318" s="13">
        <f>IF(B318="","","ACC"&amp;TEXT(ROW()-3,"0000"))</f>
        <v/>
      </c>
      <c r="B318" s="14" t="n"/>
      <c r="C318" s="14" t="n"/>
      <c r="D318" s="14" t="n"/>
      <c r="E318" s="14" t="n"/>
      <c r="F318" s="14" t="n"/>
      <c r="G318" s="14" t="n"/>
      <c r="H318" s="15">
        <f>IF(B318="","",TEXT(TODAY(),"dd/mm/yyyy"))</f>
        <v/>
      </c>
    </row>
    <row r="319" ht="20" customHeight="1">
      <c r="A319" s="13">
        <f>IF(B319="","","ACC"&amp;TEXT(ROW()-3,"0000"))</f>
        <v/>
      </c>
      <c r="B319" s="14" t="n"/>
      <c r="C319" s="14" t="n"/>
      <c r="D319" s="14" t="n"/>
      <c r="E319" s="14" t="n"/>
      <c r="F319" s="14" t="n"/>
      <c r="G319" s="14" t="n"/>
      <c r="H319" s="15">
        <f>IF(B319="","",TEXT(TODAY(),"dd/mm/yyyy"))</f>
        <v/>
      </c>
    </row>
    <row r="320" ht="20" customHeight="1">
      <c r="A320" s="13">
        <f>IF(B320="","","ACC"&amp;TEXT(ROW()-3,"0000"))</f>
        <v/>
      </c>
      <c r="B320" s="14" t="n"/>
      <c r="C320" s="14" t="n"/>
      <c r="D320" s="14" t="n"/>
      <c r="E320" s="14" t="n"/>
      <c r="F320" s="14" t="n"/>
      <c r="G320" s="14" t="n"/>
      <c r="H320" s="15">
        <f>IF(B320="","",TEXT(TODAY(),"dd/mm/yyyy"))</f>
        <v/>
      </c>
    </row>
    <row r="321" ht="20" customHeight="1">
      <c r="A321" s="13">
        <f>IF(B321="","","ACC"&amp;TEXT(ROW()-3,"0000"))</f>
        <v/>
      </c>
      <c r="B321" s="14" t="n"/>
      <c r="C321" s="14" t="n"/>
      <c r="D321" s="14" t="n"/>
      <c r="E321" s="14" t="n"/>
      <c r="F321" s="14" t="n"/>
      <c r="G321" s="14" t="n"/>
      <c r="H321" s="15">
        <f>IF(B321="","",TEXT(TODAY(),"dd/mm/yyyy"))</f>
        <v/>
      </c>
    </row>
    <row r="322" ht="20" customHeight="1">
      <c r="A322" s="13">
        <f>IF(B322="","","ACC"&amp;TEXT(ROW()-3,"0000"))</f>
        <v/>
      </c>
      <c r="B322" s="14" t="n"/>
      <c r="C322" s="14" t="n"/>
      <c r="D322" s="14" t="n"/>
      <c r="E322" s="14" t="n"/>
      <c r="F322" s="14" t="n"/>
      <c r="G322" s="14" t="n"/>
      <c r="H322" s="15">
        <f>IF(B322="","",TEXT(TODAY(),"dd/mm/yyyy"))</f>
        <v/>
      </c>
    </row>
    <row r="323" ht="20" customHeight="1">
      <c r="A323" s="13">
        <f>IF(B323="","","ACC"&amp;TEXT(ROW()-3,"0000"))</f>
        <v/>
      </c>
      <c r="B323" s="14" t="n"/>
      <c r="C323" s="14" t="n"/>
      <c r="D323" s="14" t="n"/>
      <c r="E323" s="14" t="n"/>
      <c r="F323" s="14" t="n"/>
      <c r="G323" s="14" t="n"/>
      <c r="H323" s="15">
        <f>IF(B323="","",TEXT(TODAY(),"dd/mm/yyyy"))</f>
        <v/>
      </c>
    </row>
    <row r="324" ht="20" customHeight="1">
      <c r="A324" s="13">
        <f>IF(B324="","","ACC"&amp;TEXT(ROW()-3,"0000"))</f>
        <v/>
      </c>
      <c r="B324" s="14" t="n"/>
      <c r="C324" s="14" t="n"/>
      <c r="D324" s="14" t="n"/>
      <c r="E324" s="14" t="n"/>
      <c r="F324" s="14" t="n"/>
      <c r="G324" s="14" t="n"/>
      <c r="H324" s="15">
        <f>IF(B324="","",TEXT(TODAY(),"dd/mm/yyyy"))</f>
        <v/>
      </c>
    </row>
    <row r="325" ht="20" customHeight="1">
      <c r="A325" s="13">
        <f>IF(B325="","","ACC"&amp;TEXT(ROW()-3,"0000"))</f>
        <v/>
      </c>
      <c r="B325" s="14" t="n"/>
      <c r="C325" s="14" t="n"/>
      <c r="D325" s="14" t="n"/>
      <c r="E325" s="14" t="n"/>
      <c r="F325" s="14" t="n"/>
      <c r="G325" s="14" t="n"/>
      <c r="H325" s="15">
        <f>IF(B325="","",TEXT(TODAY(),"dd/mm/yyyy"))</f>
        <v/>
      </c>
    </row>
    <row r="326" ht="20" customHeight="1">
      <c r="A326" s="13">
        <f>IF(B326="","","ACC"&amp;TEXT(ROW()-3,"0000"))</f>
        <v/>
      </c>
      <c r="B326" s="14" t="n"/>
      <c r="C326" s="14" t="n"/>
      <c r="D326" s="14" t="n"/>
      <c r="E326" s="14" t="n"/>
      <c r="F326" s="14" t="n"/>
      <c r="G326" s="14" t="n"/>
      <c r="H326" s="15">
        <f>IF(B326="","",TEXT(TODAY(),"dd/mm/yyyy"))</f>
        <v/>
      </c>
    </row>
    <row r="327" ht="20" customHeight="1">
      <c r="A327" s="13">
        <f>IF(B327="","","ACC"&amp;TEXT(ROW()-3,"0000"))</f>
        <v/>
      </c>
      <c r="B327" s="14" t="n"/>
      <c r="C327" s="14" t="n"/>
      <c r="D327" s="14" t="n"/>
      <c r="E327" s="14" t="n"/>
      <c r="F327" s="14" t="n"/>
      <c r="G327" s="14" t="n"/>
      <c r="H327" s="15">
        <f>IF(B327="","",TEXT(TODAY(),"dd/mm/yyyy"))</f>
        <v/>
      </c>
    </row>
    <row r="328" ht="20" customHeight="1">
      <c r="A328" s="13">
        <f>IF(B328="","","ACC"&amp;TEXT(ROW()-3,"0000"))</f>
        <v/>
      </c>
      <c r="B328" s="14" t="n"/>
      <c r="C328" s="14" t="n"/>
      <c r="D328" s="14" t="n"/>
      <c r="E328" s="14" t="n"/>
      <c r="F328" s="14" t="n"/>
      <c r="G328" s="14" t="n"/>
      <c r="H328" s="15">
        <f>IF(B328="","",TEXT(TODAY(),"dd/mm/yyyy"))</f>
        <v/>
      </c>
    </row>
    <row r="329" ht="20" customHeight="1">
      <c r="A329" s="13">
        <f>IF(B329="","","ACC"&amp;TEXT(ROW()-3,"0000"))</f>
        <v/>
      </c>
      <c r="B329" s="14" t="n"/>
      <c r="C329" s="14" t="n"/>
      <c r="D329" s="14" t="n"/>
      <c r="E329" s="14" t="n"/>
      <c r="F329" s="14" t="n"/>
      <c r="G329" s="14" t="n"/>
      <c r="H329" s="15">
        <f>IF(B329="","",TEXT(TODAY(),"dd/mm/yyyy"))</f>
        <v/>
      </c>
    </row>
    <row r="330" ht="20" customHeight="1">
      <c r="A330" s="13">
        <f>IF(B330="","","ACC"&amp;TEXT(ROW()-3,"0000"))</f>
        <v/>
      </c>
      <c r="B330" s="14" t="n"/>
      <c r="C330" s="14" t="n"/>
      <c r="D330" s="14" t="n"/>
      <c r="E330" s="14" t="n"/>
      <c r="F330" s="14" t="n"/>
      <c r="G330" s="14" t="n"/>
      <c r="H330" s="15">
        <f>IF(B330="","",TEXT(TODAY(),"dd/mm/yyyy"))</f>
        <v/>
      </c>
    </row>
    <row r="331" ht="20" customHeight="1">
      <c r="A331" s="13">
        <f>IF(B331="","","ACC"&amp;TEXT(ROW()-3,"0000"))</f>
        <v/>
      </c>
      <c r="B331" s="14" t="n"/>
      <c r="C331" s="14" t="n"/>
      <c r="D331" s="14" t="n"/>
      <c r="E331" s="14" t="n"/>
      <c r="F331" s="14" t="n"/>
      <c r="G331" s="14" t="n"/>
      <c r="H331" s="15">
        <f>IF(B331="","",TEXT(TODAY(),"dd/mm/yyyy"))</f>
        <v/>
      </c>
    </row>
    <row r="332" ht="20" customHeight="1">
      <c r="A332" s="13">
        <f>IF(B332="","","ACC"&amp;TEXT(ROW()-3,"0000"))</f>
        <v/>
      </c>
      <c r="B332" s="14" t="n"/>
      <c r="C332" s="14" t="n"/>
      <c r="D332" s="14" t="n"/>
      <c r="E332" s="14" t="n"/>
      <c r="F332" s="14" t="n"/>
      <c r="G332" s="14" t="n"/>
      <c r="H332" s="15">
        <f>IF(B332="","",TEXT(TODAY(),"dd/mm/yyyy"))</f>
        <v/>
      </c>
    </row>
    <row r="333" ht="20" customHeight="1">
      <c r="A333" s="13">
        <f>IF(B333="","","ACC"&amp;TEXT(ROW()-3,"0000"))</f>
        <v/>
      </c>
      <c r="B333" s="14" t="n"/>
      <c r="C333" s="14" t="n"/>
      <c r="D333" s="14" t="n"/>
      <c r="E333" s="14" t="n"/>
      <c r="F333" s="14" t="n"/>
      <c r="G333" s="14" t="n"/>
      <c r="H333" s="15">
        <f>IF(B333="","",TEXT(TODAY(),"dd/mm/yyyy"))</f>
        <v/>
      </c>
    </row>
    <row r="334" ht="20" customHeight="1">
      <c r="A334" s="13">
        <f>IF(B334="","","ACC"&amp;TEXT(ROW()-3,"0000"))</f>
        <v/>
      </c>
      <c r="B334" s="14" t="n"/>
      <c r="C334" s="14" t="n"/>
      <c r="D334" s="14" t="n"/>
      <c r="E334" s="14" t="n"/>
      <c r="F334" s="14" t="n"/>
      <c r="G334" s="14" t="n"/>
      <c r="H334" s="15">
        <f>IF(B334="","",TEXT(TODAY(),"dd/mm/yyyy"))</f>
        <v/>
      </c>
    </row>
    <row r="335" ht="20" customHeight="1">
      <c r="A335" s="13">
        <f>IF(B335="","","ACC"&amp;TEXT(ROW()-3,"0000"))</f>
        <v/>
      </c>
      <c r="B335" s="14" t="n"/>
      <c r="C335" s="14" t="n"/>
      <c r="D335" s="14" t="n"/>
      <c r="E335" s="14" t="n"/>
      <c r="F335" s="14" t="n"/>
      <c r="G335" s="14" t="n"/>
      <c r="H335" s="15">
        <f>IF(B335="","",TEXT(TODAY(),"dd/mm/yyyy"))</f>
        <v/>
      </c>
    </row>
    <row r="336" ht="20" customHeight="1">
      <c r="A336" s="13">
        <f>IF(B336="","","ACC"&amp;TEXT(ROW()-3,"0000"))</f>
        <v/>
      </c>
      <c r="B336" s="14" t="n"/>
      <c r="C336" s="14" t="n"/>
      <c r="D336" s="14" t="n"/>
      <c r="E336" s="14" t="n"/>
      <c r="F336" s="14" t="n"/>
      <c r="G336" s="14" t="n"/>
      <c r="H336" s="15">
        <f>IF(B336="","",TEXT(TODAY(),"dd/mm/yyyy"))</f>
        <v/>
      </c>
    </row>
    <row r="337" ht="20" customHeight="1">
      <c r="A337" s="13">
        <f>IF(B337="","","ACC"&amp;TEXT(ROW()-3,"0000"))</f>
        <v/>
      </c>
      <c r="B337" s="14" t="n"/>
      <c r="C337" s="14" t="n"/>
      <c r="D337" s="14" t="n"/>
      <c r="E337" s="14" t="n"/>
      <c r="F337" s="14" t="n"/>
      <c r="G337" s="14" t="n"/>
      <c r="H337" s="15">
        <f>IF(B337="","",TEXT(TODAY(),"dd/mm/yyyy"))</f>
        <v/>
      </c>
    </row>
    <row r="338" ht="20" customHeight="1">
      <c r="A338" s="13">
        <f>IF(B338="","","ACC"&amp;TEXT(ROW()-3,"0000"))</f>
        <v/>
      </c>
      <c r="B338" s="14" t="n"/>
      <c r="C338" s="14" t="n"/>
      <c r="D338" s="14" t="n"/>
      <c r="E338" s="14" t="n"/>
      <c r="F338" s="14" t="n"/>
      <c r="G338" s="14" t="n"/>
      <c r="H338" s="15">
        <f>IF(B338="","",TEXT(TODAY(),"dd/mm/yyyy"))</f>
        <v/>
      </c>
    </row>
    <row r="339" ht="20" customHeight="1">
      <c r="A339" s="13">
        <f>IF(B339="","","ACC"&amp;TEXT(ROW()-3,"0000"))</f>
        <v/>
      </c>
      <c r="B339" s="14" t="n"/>
      <c r="C339" s="14" t="n"/>
      <c r="D339" s="14" t="n"/>
      <c r="E339" s="14" t="n"/>
      <c r="F339" s="14" t="n"/>
      <c r="G339" s="14" t="n"/>
      <c r="H339" s="15">
        <f>IF(B339="","",TEXT(TODAY(),"dd/mm/yyyy"))</f>
        <v/>
      </c>
    </row>
    <row r="340" ht="20" customHeight="1">
      <c r="A340" s="13">
        <f>IF(B340="","","ACC"&amp;TEXT(ROW()-3,"0000"))</f>
        <v/>
      </c>
      <c r="B340" s="14" t="n"/>
      <c r="C340" s="14" t="n"/>
      <c r="D340" s="14" t="n"/>
      <c r="E340" s="14" t="n"/>
      <c r="F340" s="14" t="n"/>
      <c r="G340" s="14" t="n"/>
      <c r="H340" s="15">
        <f>IF(B340="","",TEXT(TODAY(),"dd/mm/yyyy"))</f>
        <v/>
      </c>
    </row>
    <row r="341" ht="20" customHeight="1">
      <c r="A341" s="13">
        <f>IF(B341="","","ACC"&amp;TEXT(ROW()-3,"0000"))</f>
        <v/>
      </c>
      <c r="B341" s="14" t="n"/>
      <c r="C341" s="14" t="n"/>
      <c r="D341" s="14" t="n"/>
      <c r="E341" s="14" t="n"/>
      <c r="F341" s="14" t="n"/>
      <c r="G341" s="14" t="n"/>
      <c r="H341" s="15">
        <f>IF(B341="","",TEXT(TODAY(),"dd/mm/yyyy"))</f>
        <v/>
      </c>
    </row>
    <row r="342" ht="20" customHeight="1">
      <c r="A342" s="13">
        <f>IF(B342="","","ACC"&amp;TEXT(ROW()-3,"0000"))</f>
        <v/>
      </c>
      <c r="B342" s="14" t="n"/>
      <c r="C342" s="14" t="n"/>
      <c r="D342" s="14" t="n"/>
      <c r="E342" s="14" t="n"/>
      <c r="F342" s="14" t="n"/>
      <c r="G342" s="14" t="n"/>
      <c r="H342" s="15">
        <f>IF(B342="","",TEXT(TODAY(),"dd/mm/yyyy"))</f>
        <v/>
      </c>
    </row>
    <row r="343" ht="20" customHeight="1">
      <c r="A343" s="13">
        <f>IF(B343="","","ACC"&amp;TEXT(ROW()-3,"0000"))</f>
        <v/>
      </c>
      <c r="B343" s="14" t="n"/>
      <c r="C343" s="14" t="n"/>
      <c r="D343" s="14" t="n"/>
      <c r="E343" s="14" t="n"/>
      <c r="F343" s="14" t="n"/>
      <c r="G343" s="14" t="n"/>
      <c r="H343" s="15">
        <f>IF(B343="","",TEXT(TODAY(),"dd/mm/yyyy"))</f>
        <v/>
      </c>
    </row>
    <row r="344" ht="20" customHeight="1">
      <c r="A344" s="13">
        <f>IF(B344="","","ACC"&amp;TEXT(ROW()-3,"0000"))</f>
        <v/>
      </c>
      <c r="B344" s="14" t="n"/>
      <c r="C344" s="14" t="n"/>
      <c r="D344" s="14" t="n"/>
      <c r="E344" s="14" t="n"/>
      <c r="F344" s="14" t="n"/>
      <c r="G344" s="14" t="n"/>
      <c r="H344" s="15">
        <f>IF(B344="","",TEXT(TODAY(),"dd/mm/yyyy"))</f>
        <v/>
      </c>
    </row>
    <row r="345" ht="20" customHeight="1">
      <c r="A345" s="13">
        <f>IF(B345="","","ACC"&amp;TEXT(ROW()-3,"0000"))</f>
        <v/>
      </c>
      <c r="B345" s="14" t="n"/>
      <c r="C345" s="14" t="n"/>
      <c r="D345" s="14" t="n"/>
      <c r="E345" s="14" t="n"/>
      <c r="F345" s="14" t="n"/>
      <c r="G345" s="14" t="n"/>
      <c r="H345" s="15">
        <f>IF(B345="","",TEXT(TODAY(),"dd/mm/yyyy"))</f>
        <v/>
      </c>
    </row>
    <row r="346" ht="20" customHeight="1">
      <c r="A346" s="13">
        <f>IF(B346="","","ACC"&amp;TEXT(ROW()-3,"0000"))</f>
        <v/>
      </c>
      <c r="B346" s="14" t="n"/>
      <c r="C346" s="14" t="n"/>
      <c r="D346" s="14" t="n"/>
      <c r="E346" s="14" t="n"/>
      <c r="F346" s="14" t="n"/>
      <c r="G346" s="14" t="n"/>
      <c r="H346" s="15">
        <f>IF(B346="","",TEXT(TODAY(),"dd/mm/yyyy"))</f>
        <v/>
      </c>
    </row>
    <row r="347" ht="20" customHeight="1">
      <c r="A347" s="13">
        <f>IF(B347="","","ACC"&amp;TEXT(ROW()-3,"0000"))</f>
        <v/>
      </c>
      <c r="B347" s="14" t="n"/>
      <c r="C347" s="14" t="n"/>
      <c r="D347" s="14" t="n"/>
      <c r="E347" s="14" t="n"/>
      <c r="F347" s="14" t="n"/>
      <c r="G347" s="14" t="n"/>
      <c r="H347" s="15">
        <f>IF(B347="","",TEXT(TODAY(),"dd/mm/yyyy"))</f>
        <v/>
      </c>
    </row>
    <row r="348" ht="20" customHeight="1">
      <c r="A348" s="13">
        <f>IF(B348="","","ACC"&amp;TEXT(ROW()-3,"0000"))</f>
        <v/>
      </c>
      <c r="B348" s="14" t="n"/>
      <c r="C348" s="14" t="n"/>
      <c r="D348" s="14" t="n"/>
      <c r="E348" s="14" t="n"/>
      <c r="F348" s="14" t="n"/>
      <c r="G348" s="14" t="n"/>
      <c r="H348" s="15">
        <f>IF(B348="","",TEXT(TODAY(),"dd/mm/yyyy"))</f>
        <v/>
      </c>
    </row>
    <row r="349" ht="20" customHeight="1">
      <c r="A349" s="13">
        <f>IF(B349="","","ACC"&amp;TEXT(ROW()-3,"0000"))</f>
        <v/>
      </c>
      <c r="B349" s="14" t="n"/>
      <c r="C349" s="14" t="n"/>
      <c r="D349" s="14" t="n"/>
      <c r="E349" s="14" t="n"/>
      <c r="F349" s="14" t="n"/>
      <c r="G349" s="14" t="n"/>
      <c r="H349" s="15">
        <f>IF(B349="","",TEXT(TODAY(),"dd/mm/yyyy"))</f>
        <v/>
      </c>
    </row>
    <row r="350" ht="20" customHeight="1">
      <c r="A350" s="13">
        <f>IF(B350="","","ACC"&amp;TEXT(ROW()-3,"0000"))</f>
        <v/>
      </c>
      <c r="B350" s="14" t="n"/>
      <c r="C350" s="14" t="n"/>
      <c r="D350" s="14" t="n"/>
      <c r="E350" s="14" t="n"/>
      <c r="F350" s="14" t="n"/>
      <c r="G350" s="14" t="n"/>
      <c r="H350" s="15">
        <f>IF(B350="","",TEXT(TODAY(),"dd/mm/yyyy"))</f>
        <v/>
      </c>
    </row>
    <row r="351" ht="20" customHeight="1">
      <c r="A351" s="13">
        <f>IF(B351="","","ACC"&amp;TEXT(ROW()-3,"0000"))</f>
        <v/>
      </c>
      <c r="B351" s="14" t="n"/>
      <c r="C351" s="14" t="n"/>
      <c r="D351" s="14" t="n"/>
      <c r="E351" s="14" t="n"/>
      <c r="F351" s="14" t="n"/>
      <c r="G351" s="14" t="n"/>
      <c r="H351" s="15">
        <f>IF(B351="","",TEXT(TODAY(),"dd/mm/yyyy"))</f>
        <v/>
      </c>
    </row>
    <row r="352" ht="20" customHeight="1">
      <c r="A352" s="13">
        <f>IF(B352="","","ACC"&amp;TEXT(ROW()-3,"0000"))</f>
        <v/>
      </c>
      <c r="B352" s="14" t="n"/>
      <c r="C352" s="14" t="n"/>
      <c r="D352" s="14" t="n"/>
      <c r="E352" s="14" t="n"/>
      <c r="F352" s="14" t="n"/>
      <c r="G352" s="14" t="n"/>
      <c r="H352" s="15">
        <f>IF(B352="","",TEXT(TODAY(),"dd/mm/yyyy"))</f>
        <v/>
      </c>
    </row>
    <row r="353" ht="20" customHeight="1">
      <c r="A353" s="13">
        <f>IF(B353="","","ACC"&amp;TEXT(ROW()-3,"0000"))</f>
        <v/>
      </c>
      <c r="B353" s="14" t="n"/>
      <c r="C353" s="14" t="n"/>
      <c r="D353" s="14" t="n"/>
      <c r="E353" s="14" t="n"/>
      <c r="F353" s="14" t="n"/>
      <c r="G353" s="14" t="n"/>
      <c r="H353" s="15">
        <f>IF(B353="","",TEXT(TODAY(),"dd/mm/yyyy"))</f>
        <v/>
      </c>
    </row>
    <row r="354" ht="20" customHeight="1">
      <c r="A354" s="13">
        <f>IF(B354="","","ACC"&amp;TEXT(ROW()-3,"0000"))</f>
        <v/>
      </c>
      <c r="B354" s="14" t="n"/>
      <c r="C354" s="14" t="n"/>
      <c r="D354" s="14" t="n"/>
      <c r="E354" s="14" t="n"/>
      <c r="F354" s="14" t="n"/>
      <c r="G354" s="14" t="n"/>
      <c r="H354" s="15">
        <f>IF(B354="","",TEXT(TODAY(),"dd/mm/yyyy"))</f>
        <v/>
      </c>
    </row>
    <row r="355" ht="20" customHeight="1">
      <c r="A355" s="13">
        <f>IF(B355="","","ACC"&amp;TEXT(ROW()-3,"0000"))</f>
        <v/>
      </c>
      <c r="B355" s="14" t="n"/>
      <c r="C355" s="14" t="n"/>
      <c r="D355" s="14" t="n"/>
      <c r="E355" s="14" t="n"/>
      <c r="F355" s="14" t="n"/>
      <c r="G355" s="14" t="n"/>
      <c r="H355" s="15">
        <f>IF(B355="","",TEXT(TODAY(),"dd/mm/yyyy"))</f>
        <v/>
      </c>
    </row>
    <row r="356" ht="20" customHeight="1">
      <c r="A356" s="13">
        <f>IF(B356="","","ACC"&amp;TEXT(ROW()-3,"0000"))</f>
        <v/>
      </c>
      <c r="B356" s="14" t="n"/>
      <c r="C356" s="14" t="n"/>
      <c r="D356" s="14" t="n"/>
      <c r="E356" s="14" t="n"/>
      <c r="F356" s="14" t="n"/>
      <c r="G356" s="14" t="n"/>
      <c r="H356" s="15">
        <f>IF(B356="","",TEXT(TODAY(),"dd/mm/yyyy"))</f>
        <v/>
      </c>
    </row>
    <row r="357" ht="20" customHeight="1">
      <c r="A357" s="13">
        <f>IF(B357="","","ACC"&amp;TEXT(ROW()-3,"0000"))</f>
        <v/>
      </c>
      <c r="B357" s="14" t="n"/>
      <c r="C357" s="14" t="n"/>
      <c r="D357" s="14" t="n"/>
      <c r="E357" s="14" t="n"/>
      <c r="F357" s="14" t="n"/>
      <c r="G357" s="14" t="n"/>
      <c r="H357" s="15">
        <f>IF(B357="","",TEXT(TODAY(),"dd/mm/yyyy"))</f>
        <v/>
      </c>
    </row>
    <row r="358" ht="20" customHeight="1">
      <c r="A358" s="13">
        <f>IF(B358="","","ACC"&amp;TEXT(ROW()-3,"0000"))</f>
        <v/>
      </c>
      <c r="B358" s="14" t="n"/>
      <c r="C358" s="14" t="n"/>
      <c r="D358" s="14" t="n"/>
      <c r="E358" s="14" t="n"/>
      <c r="F358" s="14" t="n"/>
      <c r="G358" s="14" t="n"/>
      <c r="H358" s="15">
        <f>IF(B358="","",TEXT(TODAY(),"dd/mm/yyyy"))</f>
        <v/>
      </c>
    </row>
    <row r="359" ht="20" customHeight="1">
      <c r="A359" s="13">
        <f>IF(B359="","","ACC"&amp;TEXT(ROW()-3,"0000"))</f>
        <v/>
      </c>
      <c r="B359" s="14" t="n"/>
      <c r="C359" s="14" t="n"/>
      <c r="D359" s="14" t="n"/>
      <c r="E359" s="14" t="n"/>
      <c r="F359" s="14" t="n"/>
      <c r="G359" s="14" t="n"/>
      <c r="H359" s="15">
        <f>IF(B359="","",TEXT(TODAY(),"dd/mm/yyyy"))</f>
        <v/>
      </c>
    </row>
    <row r="360" ht="20" customHeight="1">
      <c r="A360" s="13">
        <f>IF(B360="","","ACC"&amp;TEXT(ROW()-3,"0000"))</f>
        <v/>
      </c>
      <c r="B360" s="14" t="n"/>
      <c r="C360" s="14" t="n"/>
      <c r="D360" s="14" t="n"/>
      <c r="E360" s="14" t="n"/>
      <c r="F360" s="14" t="n"/>
      <c r="G360" s="14" t="n"/>
      <c r="H360" s="15">
        <f>IF(B360="","",TEXT(TODAY(),"dd/mm/yyyy"))</f>
        <v/>
      </c>
    </row>
    <row r="361" ht="20" customHeight="1">
      <c r="A361" s="13">
        <f>IF(B361="","","ACC"&amp;TEXT(ROW()-3,"0000"))</f>
        <v/>
      </c>
      <c r="B361" s="14" t="n"/>
      <c r="C361" s="14" t="n"/>
      <c r="D361" s="14" t="n"/>
      <c r="E361" s="14" t="n"/>
      <c r="F361" s="14" t="n"/>
      <c r="G361" s="14" t="n"/>
      <c r="H361" s="15">
        <f>IF(B361="","",TEXT(TODAY(),"dd/mm/yyyy"))</f>
        <v/>
      </c>
    </row>
    <row r="362" ht="20" customHeight="1">
      <c r="A362" s="13">
        <f>IF(B362="","","ACC"&amp;TEXT(ROW()-3,"0000"))</f>
        <v/>
      </c>
      <c r="B362" s="14" t="n"/>
      <c r="C362" s="14" t="n"/>
      <c r="D362" s="14" t="n"/>
      <c r="E362" s="14" t="n"/>
      <c r="F362" s="14" t="n"/>
      <c r="G362" s="14" t="n"/>
      <c r="H362" s="15">
        <f>IF(B362="","",TEXT(TODAY(),"dd/mm/yyyy"))</f>
        <v/>
      </c>
    </row>
    <row r="363" ht="20" customHeight="1">
      <c r="A363" s="13">
        <f>IF(B363="","","ACC"&amp;TEXT(ROW()-3,"0000"))</f>
        <v/>
      </c>
      <c r="B363" s="14" t="n"/>
      <c r="C363" s="14" t="n"/>
      <c r="D363" s="14" t="n"/>
      <c r="E363" s="14" t="n"/>
      <c r="F363" s="14" t="n"/>
      <c r="G363" s="14" t="n"/>
      <c r="H363" s="15">
        <f>IF(B363="","",TEXT(TODAY(),"dd/mm/yyyy"))</f>
        <v/>
      </c>
    </row>
    <row r="364" ht="20" customHeight="1">
      <c r="A364" s="13">
        <f>IF(B364="","","ACC"&amp;TEXT(ROW()-3,"0000"))</f>
        <v/>
      </c>
      <c r="B364" s="14" t="n"/>
      <c r="C364" s="14" t="n"/>
      <c r="D364" s="14" t="n"/>
      <c r="E364" s="14" t="n"/>
      <c r="F364" s="14" t="n"/>
      <c r="G364" s="14" t="n"/>
      <c r="H364" s="15">
        <f>IF(B364="","",TEXT(TODAY(),"dd/mm/yyyy"))</f>
        <v/>
      </c>
    </row>
    <row r="365" ht="20" customHeight="1">
      <c r="A365" s="13">
        <f>IF(B365="","","ACC"&amp;TEXT(ROW()-3,"0000"))</f>
        <v/>
      </c>
      <c r="B365" s="14" t="n"/>
      <c r="C365" s="14" t="n"/>
      <c r="D365" s="14" t="n"/>
      <c r="E365" s="14" t="n"/>
      <c r="F365" s="14" t="n"/>
      <c r="G365" s="14" t="n"/>
      <c r="H365" s="15">
        <f>IF(B365="","",TEXT(TODAY(),"dd/mm/yyyy"))</f>
        <v/>
      </c>
    </row>
    <row r="366" ht="20" customHeight="1">
      <c r="A366" s="13">
        <f>IF(B366="","","ACC"&amp;TEXT(ROW()-3,"0000"))</f>
        <v/>
      </c>
      <c r="B366" s="14" t="n"/>
      <c r="C366" s="14" t="n"/>
      <c r="D366" s="14" t="n"/>
      <c r="E366" s="14" t="n"/>
      <c r="F366" s="14" t="n"/>
      <c r="G366" s="14" t="n"/>
      <c r="H366" s="15">
        <f>IF(B366="","",TEXT(TODAY(),"dd/mm/yyyy"))</f>
        <v/>
      </c>
    </row>
    <row r="367" ht="20" customHeight="1">
      <c r="A367" s="13">
        <f>IF(B367="","","ACC"&amp;TEXT(ROW()-3,"0000"))</f>
        <v/>
      </c>
      <c r="B367" s="14" t="n"/>
      <c r="C367" s="14" t="n"/>
      <c r="D367" s="14" t="n"/>
      <c r="E367" s="14" t="n"/>
      <c r="F367" s="14" t="n"/>
      <c r="G367" s="14" t="n"/>
      <c r="H367" s="15">
        <f>IF(B367="","",TEXT(TODAY(),"dd/mm/yyyy"))</f>
        <v/>
      </c>
    </row>
    <row r="368" ht="20" customHeight="1">
      <c r="A368" s="13">
        <f>IF(B368="","","ACC"&amp;TEXT(ROW()-3,"0000"))</f>
        <v/>
      </c>
      <c r="B368" s="14" t="n"/>
      <c r="C368" s="14" t="n"/>
      <c r="D368" s="14" t="n"/>
      <c r="E368" s="14" t="n"/>
      <c r="F368" s="14" t="n"/>
      <c r="G368" s="14" t="n"/>
      <c r="H368" s="15">
        <f>IF(B368="","",TEXT(TODAY(),"dd/mm/yyyy"))</f>
        <v/>
      </c>
    </row>
    <row r="369" ht="20" customHeight="1">
      <c r="A369" s="13">
        <f>IF(B369="","","ACC"&amp;TEXT(ROW()-3,"0000"))</f>
        <v/>
      </c>
      <c r="B369" s="14" t="n"/>
      <c r="C369" s="14" t="n"/>
      <c r="D369" s="14" t="n"/>
      <c r="E369" s="14" t="n"/>
      <c r="F369" s="14" t="n"/>
      <c r="G369" s="14" t="n"/>
      <c r="H369" s="15">
        <f>IF(B369="","",TEXT(TODAY(),"dd/mm/yyyy"))</f>
        <v/>
      </c>
    </row>
    <row r="370" ht="20" customHeight="1">
      <c r="A370" s="13">
        <f>IF(B370="","","ACC"&amp;TEXT(ROW()-3,"0000"))</f>
        <v/>
      </c>
      <c r="B370" s="14" t="n"/>
      <c r="C370" s="14" t="n"/>
      <c r="D370" s="14" t="n"/>
      <c r="E370" s="14" t="n"/>
      <c r="F370" s="14" t="n"/>
      <c r="G370" s="14" t="n"/>
      <c r="H370" s="15">
        <f>IF(B370="","",TEXT(TODAY(),"dd/mm/yyyy"))</f>
        <v/>
      </c>
    </row>
    <row r="371" ht="20" customHeight="1">
      <c r="A371" s="13">
        <f>IF(B371="","","ACC"&amp;TEXT(ROW()-3,"0000"))</f>
        <v/>
      </c>
      <c r="B371" s="14" t="n"/>
      <c r="C371" s="14" t="n"/>
      <c r="D371" s="14" t="n"/>
      <c r="E371" s="14" t="n"/>
      <c r="F371" s="14" t="n"/>
      <c r="G371" s="14" t="n"/>
      <c r="H371" s="15">
        <f>IF(B371="","",TEXT(TODAY(),"dd/mm/yyyy"))</f>
        <v/>
      </c>
    </row>
    <row r="372" ht="20" customHeight="1">
      <c r="A372" s="13">
        <f>IF(B372="","","ACC"&amp;TEXT(ROW()-3,"0000"))</f>
        <v/>
      </c>
      <c r="B372" s="14" t="n"/>
      <c r="C372" s="14" t="n"/>
      <c r="D372" s="14" t="n"/>
      <c r="E372" s="14" t="n"/>
      <c r="F372" s="14" t="n"/>
      <c r="G372" s="14" t="n"/>
      <c r="H372" s="15">
        <f>IF(B372="","",TEXT(TODAY(),"dd/mm/yyyy"))</f>
        <v/>
      </c>
    </row>
    <row r="373" ht="20" customHeight="1">
      <c r="A373" s="13">
        <f>IF(B373="","","ACC"&amp;TEXT(ROW()-3,"0000"))</f>
        <v/>
      </c>
      <c r="B373" s="14" t="n"/>
      <c r="C373" s="14" t="n"/>
      <c r="D373" s="14" t="n"/>
      <c r="E373" s="14" t="n"/>
      <c r="F373" s="14" t="n"/>
      <c r="G373" s="14" t="n"/>
      <c r="H373" s="15">
        <f>IF(B373="","",TEXT(TODAY(),"dd/mm/yyyy"))</f>
        <v/>
      </c>
    </row>
    <row r="374" ht="20" customHeight="1">
      <c r="A374" s="13">
        <f>IF(B374="","","ACC"&amp;TEXT(ROW()-3,"0000"))</f>
        <v/>
      </c>
      <c r="B374" s="14" t="n"/>
      <c r="C374" s="14" t="n"/>
      <c r="D374" s="14" t="n"/>
      <c r="E374" s="14" t="n"/>
      <c r="F374" s="14" t="n"/>
      <c r="G374" s="14" t="n"/>
      <c r="H374" s="15">
        <f>IF(B374="","",TEXT(TODAY(),"dd/mm/yyyy"))</f>
        <v/>
      </c>
    </row>
    <row r="375" ht="20" customHeight="1">
      <c r="A375" s="13">
        <f>IF(B375="","","ACC"&amp;TEXT(ROW()-3,"0000"))</f>
        <v/>
      </c>
      <c r="B375" s="14" t="n"/>
      <c r="C375" s="14" t="n"/>
      <c r="D375" s="14" t="n"/>
      <c r="E375" s="14" t="n"/>
      <c r="F375" s="14" t="n"/>
      <c r="G375" s="14" t="n"/>
      <c r="H375" s="15">
        <f>IF(B375="","",TEXT(TODAY(),"dd/mm/yyyy"))</f>
        <v/>
      </c>
    </row>
    <row r="376" ht="20" customHeight="1">
      <c r="A376" s="13">
        <f>IF(B376="","","ACC"&amp;TEXT(ROW()-3,"0000"))</f>
        <v/>
      </c>
      <c r="B376" s="14" t="n"/>
      <c r="C376" s="14" t="n"/>
      <c r="D376" s="14" t="n"/>
      <c r="E376" s="14" t="n"/>
      <c r="F376" s="14" t="n"/>
      <c r="G376" s="14" t="n"/>
      <c r="H376" s="15">
        <f>IF(B376="","",TEXT(TODAY(),"dd/mm/yyyy"))</f>
        <v/>
      </c>
    </row>
    <row r="377" ht="20" customHeight="1">
      <c r="A377" s="13">
        <f>IF(B377="","","ACC"&amp;TEXT(ROW()-3,"0000"))</f>
        <v/>
      </c>
      <c r="B377" s="14" t="n"/>
      <c r="C377" s="14" t="n"/>
      <c r="D377" s="14" t="n"/>
      <c r="E377" s="14" t="n"/>
      <c r="F377" s="14" t="n"/>
      <c r="G377" s="14" t="n"/>
      <c r="H377" s="15">
        <f>IF(B377="","",TEXT(TODAY(),"dd/mm/yyyy"))</f>
        <v/>
      </c>
    </row>
    <row r="378" ht="20" customHeight="1">
      <c r="A378" s="13">
        <f>IF(B378="","","ACC"&amp;TEXT(ROW()-3,"0000"))</f>
        <v/>
      </c>
      <c r="B378" s="14" t="n"/>
      <c r="C378" s="14" t="n"/>
      <c r="D378" s="14" t="n"/>
      <c r="E378" s="14" t="n"/>
      <c r="F378" s="14" t="n"/>
      <c r="G378" s="14" t="n"/>
      <c r="H378" s="15">
        <f>IF(B378="","",TEXT(TODAY(),"dd/mm/yyyy"))</f>
        <v/>
      </c>
    </row>
    <row r="379" ht="20" customHeight="1">
      <c r="A379" s="13">
        <f>IF(B379="","","ACC"&amp;TEXT(ROW()-3,"0000"))</f>
        <v/>
      </c>
      <c r="B379" s="14" t="n"/>
      <c r="C379" s="14" t="n"/>
      <c r="D379" s="14" t="n"/>
      <c r="E379" s="14" t="n"/>
      <c r="F379" s="14" t="n"/>
      <c r="G379" s="14" t="n"/>
      <c r="H379" s="15">
        <f>IF(B379="","",TEXT(TODAY(),"dd/mm/yyyy"))</f>
        <v/>
      </c>
    </row>
    <row r="380" ht="20" customHeight="1">
      <c r="A380" s="13">
        <f>IF(B380="","","ACC"&amp;TEXT(ROW()-3,"0000"))</f>
        <v/>
      </c>
      <c r="B380" s="14" t="n"/>
      <c r="C380" s="14" t="n"/>
      <c r="D380" s="14" t="n"/>
      <c r="E380" s="14" t="n"/>
      <c r="F380" s="14" t="n"/>
      <c r="G380" s="14" t="n"/>
      <c r="H380" s="15">
        <f>IF(B380="","",TEXT(TODAY(),"dd/mm/yyyy"))</f>
        <v/>
      </c>
    </row>
    <row r="381" ht="20" customHeight="1">
      <c r="A381" s="13">
        <f>IF(B381="","","ACC"&amp;TEXT(ROW()-3,"0000"))</f>
        <v/>
      </c>
      <c r="B381" s="14" t="n"/>
      <c r="C381" s="14" t="n"/>
      <c r="D381" s="14" t="n"/>
      <c r="E381" s="14" t="n"/>
      <c r="F381" s="14" t="n"/>
      <c r="G381" s="14" t="n"/>
      <c r="H381" s="15">
        <f>IF(B381="","",TEXT(TODAY(),"dd/mm/yyyy"))</f>
        <v/>
      </c>
    </row>
    <row r="382" ht="20" customHeight="1">
      <c r="A382" s="13">
        <f>IF(B382="","","ACC"&amp;TEXT(ROW()-3,"0000"))</f>
        <v/>
      </c>
      <c r="B382" s="14" t="n"/>
      <c r="C382" s="14" t="n"/>
      <c r="D382" s="14" t="n"/>
      <c r="E382" s="14" t="n"/>
      <c r="F382" s="14" t="n"/>
      <c r="G382" s="14" t="n"/>
      <c r="H382" s="15">
        <f>IF(B382="","",TEXT(TODAY(),"dd/mm/yyyy"))</f>
        <v/>
      </c>
    </row>
    <row r="383" ht="20" customHeight="1">
      <c r="A383" s="13">
        <f>IF(B383="","","ACC"&amp;TEXT(ROW()-3,"0000"))</f>
        <v/>
      </c>
      <c r="B383" s="14" t="n"/>
      <c r="C383" s="14" t="n"/>
      <c r="D383" s="14" t="n"/>
      <c r="E383" s="14" t="n"/>
      <c r="F383" s="14" t="n"/>
      <c r="G383" s="14" t="n"/>
      <c r="H383" s="15">
        <f>IF(B383="","",TEXT(TODAY(),"dd/mm/yyyy"))</f>
        <v/>
      </c>
    </row>
    <row r="384" ht="20" customHeight="1">
      <c r="A384" s="13">
        <f>IF(B384="","","ACC"&amp;TEXT(ROW()-3,"0000"))</f>
        <v/>
      </c>
      <c r="B384" s="14" t="n"/>
      <c r="C384" s="14" t="n"/>
      <c r="D384" s="14" t="n"/>
      <c r="E384" s="14" t="n"/>
      <c r="F384" s="14" t="n"/>
      <c r="G384" s="14" t="n"/>
      <c r="H384" s="15">
        <f>IF(B384="","",TEXT(TODAY(),"dd/mm/yyyy"))</f>
        <v/>
      </c>
    </row>
    <row r="385" ht="20" customHeight="1">
      <c r="A385" s="13">
        <f>IF(B385="","","ACC"&amp;TEXT(ROW()-3,"0000"))</f>
        <v/>
      </c>
      <c r="B385" s="14" t="n"/>
      <c r="C385" s="14" t="n"/>
      <c r="D385" s="14" t="n"/>
      <c r="E385" s="14" t="n"/>
      <c r="F385" s="14" t="n"/>
      <c r="G385" s="14" t="n"/>
      <c r="H385" s="15">
        <f>IF(B385="","",TEXT(TODAY(),"dd/mm/yyyy"))</f>
        <v/>
      </c>
    </row>
    <row r="386" ht="20" customHeight="1">
      <c r="A386" s="13">
        <f>IF(B386="","","ACC"&amp;TEXT(ROW()-3,"0000"))</f>
        <v/>
      </c>
      <c r="B386" s="14" t="n"/>
      <c r="C386" s="14" t="n"/>
      <c r="D386" s="14" t="n"/>
      <c r="E386" s="14" t="n"/>
      <c r="F386" s="14" t="n"/>
      <c r="G386" s="14" t="n"/>
      <c r="H386" s="15">
        <f>IF(B386="","",TEXT(TODAY(),"dd/mm/yyyy"))</f>
        <v/>
      </c>
    </row>
    <row r="387" ht="20" customHeight="1">
      <c r="A387" s="13">
        <f>IF(B387="","","ACC"&amp;TEXT(ROW()-3,"0000"))</f>
        <v/>
      </c>
      <c r="B387" s="14" t="n"/>
      <c r="C387" s="14" t="n"/>
      <c r="D387" s="14" t="n"/>
      <c r="E387" s="14" t="n"/>
      <c r="F387" s="14" t="n"/>
      <c r="G387" s="14" t="n"/>
      <c r="H387" s="15">
        <f>IF(B387="","",TEXT(TODAY(),"dd/mm/yyyy"))</f>
        <v/>
      </c>
    </row>
    <row r="388" ht="20" customHeight="1">
      <c r="A388" s="13">
        <f>IF(B388="","","ACC"&amp;TEXT(ROW()-3,"0000"))</f>
        <v/>
      </c>
      <c r="B388" s="14" t="n"/>
      <c r="C388" s="14" t="n"/>
      <c r="D388" s="14" t="n"/>
      <c r="E388" s="14" t="n"/>
      <c r="F388" s="14" t="n"/>
      <c r="G388" s="14" t="n"/>
      <c r="H388" s="15">
        <f>IF(B388="","",TEXT(TODAY(),"dd/mm/yyyy"))</f>
        <v/>
      </c>
    </row>
    <row r="389" ht="20" customHeight="1">
      <c r="A389" s="13">
        <f>IF(B389="","","ACC"&amp;TEXT(ROW()-3,"0000"))</f>
        <v/>
      </c>
      <c r="B389" s="14" t="n"/>
      <c r="C389" s="14" t="n"/>
      <c r="D389" s="14" t="n"/>
      <c r="E389" s="14" t="n"/>
      <c r="F389" s="14" t="n"/>
      <c r="G389" s="14" t="n"/>
      <c r="H389" s="15">
        <f>IF(B389="","",TEXT(TODAY(),"dd/mm/yyyy"))</f>
        <v/>
      </c>
    </row>
    <row r="390" ht="20" customHeight="1">
      <c r="A390" s="13">
        <f>IF(B390="","","ACC"&amp;TEXT(ROW()-3,"0000"))</f>
        <v/>
      </c>
      <c r="B390" s="14" t="n"/>
      <c r="C390" s="14" t="n"/>
      <c r="D390" s="14" t="n"/>
      <c r="E390" s="14" t="n"/>
      <c r="F390" s="14" t="n"/>
      <c r="G390" s="14" t="n"/>
      <c r="H390" s="15">
        <f>IF(B390="","",TEXT(TODAY(),"dd/mm/yyyy"))</f>
        <v/>
      </c>
    </row>
    <row r="391" ht="20" customHeight="1">
      <c r="A391" s="13">
        <f>IF(B391="","","ACC"&amp;TEXT(ROW()-3,"0000"))</f>
        <v/>
      </c>
      <c r="B391" s="14" t="n"/>
      <c r="C391" s="14" t="n"/>
      <c r="D391" s="14" t="n"/>
      <c r="E391" s="14" t="n"/>
      <c r="F391" s="14" t="n"/>
      <c r="G391" s="14" t="n"/>
      <c r="H391" s="15">
        <f>IF(B391="","",TEXT(TODAY(),"dd/mm/yyyy"))</f>
        <v/>
      </c>
    </row>
    <row r="392" ht="20" customHeight="1">
      <c r="A392" s="13">
        <f>IF(B392="","","ACC"&amp;TEXT(ROW()-3,"0000"))</f>
        <v/>
      </c>
      <c r="B392" s="14" t="n"/>
      <c r="C392" s="14" t="n"/>
      <c r="D392" s="14" t="n"/>
      <c r="E392" s="14" t="n"/>
      <c r="F392" s="14" t="n"/>
      <c r="G392" s="14" t="n"/>
      <c r="H392" s="15">
        <f>IF(B392="","",TEXT(TODAY(),"dd/mm/yyyy"))</f>
        <v/>
      </c>
    </row>
    <row r="393" ht="20" customHeight="1">
      <c r="A393" s="13">
        <f>IF(B393="","","ACC"&amp;TEXT(ROW()-3,"0000"))</f>
        <v/>
      </c>
      <c r="B393" s="14" t="n"/>
      <c r="C393" s="14" t="n"/>
      <c r="D393" s="14" t="n"/>
      <c r="E393" s="14" t="n"/>
      <c r="F393" s="14" t="n"/>
      <c r="G393" s="14" t="n"/>
      <c r="H393" s="15">
        <f>IF(B393="","",TEXT(TODAY(),"dd/mm/yyyy"))</f>
        <v/>
      </c>
    </row>
    <row r="394" ht="20" customHeight="1">
      <c r="A394" s="13">
        <f>IF(B394="","","ACC"&amp;TEXT(ROW()-3,"0000"))</f>
        <v/>
      </c>
      <c r="B394" s="14" t="n"/>
      <c r="C394" s="14" t="n"/>
      <c r="D394" s="14" t="n"/>
      <c r="E394" s="14" t="n"/>
      <c r="F394" s="14" t="n"/>
      <c r="G394" s="14" t="n"/>
      <c r="H394" s="15">
        <f>IF(B394="","",TEXT(TODAY(),"dd/mm/yyyy"))</f>
        <v/>
      </c>
    </row>
    <row r="395" ht="20" customHeight="1">
      <c r="A395" s="13">
        <f>IF(B395="","","ACC"&amp;TEXT(ROW()-3,"0000"))</f>
        <v/>
      </c>
      <c r="B395" s="14" t="n"/>
      <c r="C395" s="14" t="n"/>
      <c r="D395" s="14" t="n"/>
      <c r="E395" s="14" t="n"/>
      <c r="F395" s="14" t="n"/>
      <c r="G395" s="14" t="n"/>
      <c r="H395" s="15">
        <f>IF(B395="","",TEXT(TODAY(),"dd/mm/yyyy"))</f>
        <v/>
      </c>
    </row>
    <row r="396" ht="20" customHeight="1">
      <c r="A396" s="13">
        <f>IF(B396="","","ACC"&amp;TEXT(ROW()-3,"0000"))</f>
        <v/>
      </c>
      <c r="B396" s="14" t="n"/>
      <c r="C396" s="14" t="n"/>
      <c r="D396" s="14" t="n"/>
      <c r="E396" s="14" t="n"/>
      <c r="F396" s="14" t="n"/>
      <c r="G396" s="14" t="n"/>
      <c r="H396" s="15">
        <f>IF(B396="","",TEXT(TODAY(),"dd/mm/yyyy"))</f>
        <v/>
      </c>
    </row>
    <row r="397" ht="20" customHeight="1">
      <c r="A397" s="13">
        <f>IF(B397="","","ACC"&amp;TEXT(ROW()-3,"0000"))</f>
        <v/>
      </c>
      <c r="B397" s="14" t="n"/>
      <c r="C397" s="14" t="n"/>
      <c r="D397" s="14" t="n"/>
      <c r="E397" s="14" t="n"/>
      <c r="F397" s="14" t="n"/>
      <c r="G397" s="14" t="n"/>
      <c r="H397" s="15">
        <f>IF(B397="","",TEXT(TODAY(),"dd/mm/yyyy"))</f>
        <v/>
      </c>
    </row>
    <row r="398" ht="20" customHeight="1">
      <c r="A398" s="13">
        <f>IF(B398="","","ACC"&amp;TEXT(ROW()-3,"0000"))</f>
        <v/>
      </c>
      <c r="B398" s="14" t="n"/>
      <c r="C398" s="14" t="n"/>
      <c r="D398" s="14" t="n"/>
      <c r="E398" s="14" t="n"/>
      <c r="F398" s="14" t="n"/>
      <c r="G398" s="14" t="n"/>
      <c r="H398" s="15">
        <f>IF(B398="","",TEXT(TODAY(),"dd/mm/yyyy"))</f>
        <v/>
      </c>
    </row>
    <row r="399" ht="20" customHeight="1">
      <c r="A399" s="13">
        <f>IF(B399="","","ACC"&amp;TEXT(ROW()-3,"0000"))</f>
        <v/>
      </c>
      <c r="B399" s="14" t="n"/>
      <c r="C399" s="14" t="n"/>
      <c r="D399" s="14" t="n"/>
      <c r="E399" s="14" t="n"/>
      <c r="F399" s="14" t="n"/>
      <c r="G399" s="14" t="n"/>
      <c r="H399" s="15">
        <f>IF(B399="","",TEXT(TODAY(),"dd/mm/yyyy"))</f>
        <v/>
      </c>
    </row>
    <row r="400" ht="20" customHeight="1">
      <c r="A400" s="13">
        <f>IF(B400="","","ACC"&amp;TEXT(ROW()-3,"0000"))</f>
        <v/>
      </c>
      <c r="B400" s="14" t="n"/>
      <c r="C400" s="14" t="n"/>
      <c r="D400" s="14" t="n"/>
      <c r="E400" s="14" t="n"/>
      <c r="F400" s="14" t="n"/>
      <c r="G400" s="14" t="n"/>
      <c r="H400" s="15">
        <f>IF(B400="","",TEXT(TODAY(),"dd/mm/yyyy"))</f>
        <v/>
      </c>
    </row>
    <row r="401" ht="20" customHeight="1">
      <c r="A401" s="13">
        <f>IF(B401="","","ACC"&amp;TEXT(ROW()-3,"0000"))</f>
        <v/>
      </c>
      <c r="B401" s="14" t="n"/>
      <c r="C401" s="14" t="n"/>
      <c r="D401" s="14" t="n"/>
      <c r="E401" s="14" t="n"/>
      <c r="F401" s="14" t="n"/>
      <c r="G401" s="14" t="n"/>
      <c r="H401" s="15">
        <f>IF(B401="","",TEXT(TODAY(),"dd/mm/yyyy"))</f>
        <v/>
      </c>
    </row>
    <row r="402" ht="20" customHeight="1">
      <c r="A402" s="13">
        <f>IF(B402="","","ACC"&amp;TEXT(ROW()-3,"0000"))</f>
        <v/>
      </c>
      <c r="B402" s="14" t="n"/>
      <c r="C402" s="14" t="n"/>
      <c r="D402" s="14" t="n"/>
      <c r="E402" s="14" t="n"/>
      <c r="F402" s="14" t="n"/>
      <c r="G402" s="14" t="n"/>
      <c r="H402" s="15">
        <f>IF(B402="","",TEXT(TODAY(),"dd/mm/yyyy"))</f>
        <v/>
      </c>
    </row>
    <row r="403" ht="20" customHeight="1">
      <c r="A403" s="13">
        <f>IF(B403="","","ACC"&amp;TEXT(ROW()-3,"0000"))</f>
        <v/>
      </c>
      <c r="B403" s="14" t="n"/>
      <c r="C403" s="14" t="n"/>
      <c r="D403" s="14" t="n"/>
      <c r="E403" s="14" t="n"/>
      <c r="F403" s="14" t="n"/>
      <c r="G403" s="14" t="n"/>
      <c r="H403" s="15">
        <f>IF(B403="","",TEXT(TODAY(),"dd/mm/yyyy"))</f>
        <v/>
      </c>
    </row>
    <row r="404" ht="20" customHeight="1">
      <c r="A404" s="13">
        <f>IF(B404="","","ACC"&amp;TEXT(ROW()-3,"0000"))</f>
        <v/>
      </c>
      <c r="B404" s="14" t="n"/>
      <c r="C404" s="14" t="n"/>
      <c r="D404" s="14" t="n"/>
      <c r="E404" s="14" t="n"/>
      <c r="F404" s="14" t="n"/>
      <c r="G404" s="14" t="n"/>
      <c r="H404" s="15">
        <f>IF(B404="","",TEXT(TODAY(),"dd/mm/yyyy"))</f>
        <v/>
      </c>
    </row>
    <row r="405" ht="20" customHeight="1">
      <c r="A405" s="13">
        <f>IF(B405="","","ACC"&amp;TEXT(ROW()-3,"0000"))</f>
        <v/>
      </c>
      <c r="B405" s="14" t="n"/>
      <c r="C405" s="14" t="n"/>
      <c r="D405" s="14" t="n"/>
      <c r="E405" s="14" t="n"/>
      <c r="F405" s="14" t="n"/>
      <c r="G405" s="14" t="n"/>
      <c r="H405" s="15">
        <f>IF(B405="","",TEXT(TODAY(),"dd/mm/yyyy"))</f>
        <v/>
      </c>
    </row>
    <row r="406" ht="20" customHeight="1">
      <c r="A406" s="13">
        <f>IF(B406="","","ACC"&amp;TEXT(ROW()-3,"0000"))</f>
        <v/>
      </c>
      <c r="B406" s="14" t="n"/>
      <c r="C406" s="14" t="n"/>
      <c r="D406" s="14" t="n"/>
      <c r="E406" s="14" t="n"/>
      <c r="F406" s="14" t="n"/>
      <c r="G406" s="14" t="n"/>
      <c r="H406" s="15">
        <f>IF(B406="","",TEXT(TODAY(),"dd/mm/yyyy"))</f>
        <v/>
      </c>
    </row>
    <row r="407" ht="20" customHeight="1">
      <c r="A407" s="13">
        <f>IF(B407="","","ACC"&amp;TEXT(ROW()-3,"0000"))</f>
        <v/>
      </c>
      <c r="B407" s="14" t="n"/>
      <c r="C407" s="14" t="n"/>
      <c r="D407" s="14" t="n"/>
      <c r="E407" s="14" t="n"/>
      <c r="F407" s="14" t="n"/>
      <c r="G407" s="14" t="n"/>
      <c r="H407" s="15">
        <f>IF(B407="","",TEXT(TODAY(),"dd/mm/yyyy"))</f>
        <v/>
      </c>
    </row>
    <row r="408" ht="20" customHeight="1">
      <c r="A408" s="13">
        <f>IF(B408="","","ACC"&amp;TEXT(ROW()-3,"0000"))</f>
        <v/>
      </c>
      <c r="B408" s="14" t="n"/>
      <c r="C408" s="14" t="n"/>
      <c r="D408" s="14" t="n"/>
      <c r="E408" s="14" t="n"/>
      <c r="F408" s="14" t="n"/>
      <c r="G408" s="14" t="n"/>
      <c r="H408" s="15">
        <f>IF(B408="","",TEXT(TODAY(),"dd/mm/yyyy"))</f>
        <v/>
      </c>
    </row>
    <row r="409" ht="20" customHeight="1">
      <c r="A409" s="13">
        <f>IF(B409="","","ACC"&amp;TEXT(ROW()-3,"0000"))</f>
        <v/>
      </c>
      <c r="B409" s="14" t="n"/>
      <c r="C409" s="14" t="n"/>
      <c r="D409" s="14" t="n"/>
      <c r="E409" s="14" t="n"/>
      <c r="F409" s="14" t="n"/>
      <c r="G409" s="14" t="n"/>
      <c r="H409" s="15">
        <f>IF(B409="","",TEXT(TODAY(),"dd/mm/yyyy"))</f>
        <v/>
      </c>
    </row>
    <row r="410" ht="20" customHeight="1">
      <c r="A410" s="13">
        <f>IF(B410="","","ACC"&amp;TEXT(ROW()-3,"0000"))</f>
        <v/>
      </c>
      <c r="B410" s="14" t="n"/>
      <c r="C410" s="14" t="n"/>
      <c r="D410" s="14" t="n"/>
      <c r="E410" s="14" t="n"/>
      <c r="F410" s="14" t="n"/>
      <c r="G410" s="14" t="n"/>
      <c r="H410" s="15">
        <f>IF(B410="","",TEXT(TODAY(),"dd/mm/yyyy"))</f>
        <v/>
      </c>
    </row>
    <row r="411" ht="20" customHeight="1">
      <c r="A411" s="13">
        <f>IF(B411="","","ACC"&amp;TEXT(ROW()-3,"0000"))</f>
        <v/>
      </c>
      <c r="B411" s="14" t="n"/>
      <c r="C411" s="14" t="n"/>
      <c r="D411" s="14" t="n"/>
      <c r="E411" s="14" t="n"/>
      <c r="F411" s="14" t="n"/>
      <c r="G411" s="14" t="n"/>
      <c r="H411" s="15">
        <f>IF(B411="","",TEXT(TODAY(),"dd/mm/yyyy"))</f>
        <v/>
      </c>
    </row>
    <row r="412" ht="20" customHeight="1">
      <c r="A412" s="13">
        <f>IF(B412="","","ACC"&amp;TEXT(ROW()-3,"0000"))</f>
        <v/>
      </c>
      <c r="B412" s="14" t="n"/>
      <c r="C412" s="14" t="n"/>
      <c r="D412" s="14" t="n"/>
      <c r="E412" s="14" t="n"/>
      <c r="F412" s="14" t="n"/>
      <c r="G412" s="14" t="n"/>
      <c r="H412" s="15">
        <f>IF(B412="","",TEXT(TODAY(),"dd/mm/yyyy"))</f>
        <v/>
      </c>
    </row>
    <row r="413" ht="20" customHeight="1">
      <c r="A413" s="13">
        <f>IF(B413="","","ACC"&amp;TEXT(ROW()-3,"0000"))</f>
        <v/>
      </c>
      <c r="B413" s="14" t="n"/>
      <c r="C413" s="14" t="n"/>
      <c r="D413" s="14" t="n"/>
      <c r="E413" s="14" t="n"/>
      <c r="F413" s="14" t="n"/>
      <c r="G413" s="14" t="n"/>
      <c r="H413" s="15">
        <f>IF(B413="","",TEXT(TODAY(),"dd/mm/yyyy"))</f>
        <v/>
      </c>
    </row>
    <row r="414" ht="20" customHeight="1">
      <c r="A414" s="13">
        <f>IF(B414="","","ACC"&amp;TEXT(ROW()-3,"0000"))</f>
        <v/>
      </c>
      <c r="B414" s="14" t="n"/>
      <c r="C414" s="14" t="n"/>
      <c r="D414" s="14" t="n"/>
      <c r="E414" s="14" t="n"/>
      <c r="F414" s="14" t="n"/>
      <c r="G414" s="14" t="n"/>
      <c r="H414" s="15">
        <f>IF(B414="","",TEXT(TODAY(),"dd/mm/yyyy"))</f>
        <v/>
      </c>
    </row>
    <row r="415" ht="20" customHeight="1">
      <c r="A415" s="13">
        <f>IF(B415="","","ACC"&amp;TEXT(ROW()-3,"0000"))</f>
        <v/>
      </c>
      <c r="B415" s="14" t="n"/>
      <c r="C415" s="14" t="n"/>
      <c r="D415" s="14" t="n"/>
      <c r="E415" s="14" t="n"/>
      <c r="F415" s="14" t="n"/>
      <c r="G415" s="14" t="n"/>
      <c r="H415" s="15">
        <f>IF(B415="","",TEXT(TODAY(),"dd/mm/yyyy"))</f>
        <v/>
      </c>
    </row>
    <row r="416" ht="20" customHeight="1">
      <c r="A416" s="13">
        <f>IF(B416="","","ACC"&amp;TEXT(ROW()-3,"0000"))</f>
        <v/>
      </c>
      <c r="B416" s="14" t="n"/>
      <c r="C416" s="14" t="n"/>
      <c r="D416" s="14" t="n"/>
      <c r="E416" s="14" t="n"/>
      <c r="F416" s="14" t="n"/>
      <c r="G416" s="14" t="n"/>
      <c r="H416" s="15">
        <f>IF(B416="","",TEXT(TODAY(),"dd/mm/yyyy"))</f>
        <v/>
      </c>
    </row>
    <row r="417" ht="20" customHeight="1">
      <c r="A417" s="13">
        <f>IF(B417="","","ACC"&amp;TEXT(ROW()-3,"0000"))</f>
        <v/>
      </c>
      <c r="B417" s="14" t="n"/>
      <c r="C417" s="14" t="n"/>
      <c r="D417" s="14" t="n"/>
      <c r="E417" s="14" t="n"/>
      <c r="F417" s="14" t="n"/>
      <c r="G417" s="14" t="n"/>
      <c r="H417" s="15">
        <f>IF(B417="","",TEXT(TODAY(),"dd/mm/yyyy"))</f>
        <v/>
      </c>
    </row>
    <row r="418" ht="20" customHeight="1">
      <c r="A418" s="13">
        <f>IF(B418="","","ACC"&amp;TEXT(ROW()-3,"0000"))</f>
        <v/>
      </c>
      <c r="B418" s="14" t="n"/>
      <c r="C418" s="14" t="n"/>
      <c r="D418" s="14" t="n"/>
      <c r="E418" s="14" t="n"/>
      <c r="F418" s="14" t="n"/>
      <c r="G418" s="14" t="n"/>
      <c r="H418" s="15">
        <f>IF(B418="","",TEXT(TODAY(),"dd/mm/yyyy"))</f>
        <v/>
      </c>
    </row>
    <row r="419" ht="20" customHeight="1">
      <c r="A419" s="13">
        <f>IF(B419="","","ACC"&amp;TEXT(ROW()-3,"0000"))</f>
        <v/>
      </c>
      <c r="B419" s="14" t="n"/>
      <c r="C419" s="14" t="n"/>
      <c r="D419" s="14" t="n"/>
      <c r="E419" s="14" t="n"/>
      <c r="F419" s="14" t="n"/>
      <c r="G419" s="14" t="n"/>
      <c r="H419" s="15">
        <f>IF(B419="","",TEXT(TODAY(),"dd/mm/yyyy"))</f>
        <v/>
      </c>
    </row>
    <row r="420" ht="20" customHeight="1">
      <c r="A420" s="13">
        <f>IF(B420="","","ACC"&amp;TEXT(ROW()-3,"0000"))</f>
        <v/>
      </c>
      <c r="B420" s="14" t="n"/>
      <c r="C420" s="14" t="n"/>
      <c r="D420" s="14" t="n"/>
      <c r="E420" s="14" t="n"/>
      <c r="F420" s="14" t="n"/>
      <c r="G420" s="14" t="n"/>
      <c r="H420" s="15">
        <f>IF(B420="","",TEXT(TODAY(),"dd/mm/yyyy"))</f>
        <v/>
      </c>
    </row>
    <row r="421" ht="20" customHeight="1">
      <c r="A421" s="13">
        <f>IF(B421="","","ACC"&amp;TEXT(ROW()-3,"0000"))</f>
        <v/>
      </c>
      <c r="B421" s="14" t="n"/>
      <c r="C421" s="14" t="n"/>
      <c r="D421" s="14" t="n"/>
      <c r="E421" s="14" t="n"/>
      <c r="F421" s="14" t="n"/>
      <c r="G421" s="14" t="n"/>
      <c r="H421" s="15">
        <f>IF(B421="","",TEXT(TODAY(),"dd/mm/yyyy"))</f>
        <v/>
      </c>
    </row>
    <row r="422" ht="20" customHeight="1">
      <c r="A422" s="13">
        <f>IF(B422="","","ACC"&amp;TEXT(ROW()-3,"0000"))</f>
        <v/>
      </c>
      <c r="B422" s="14" t="n"/>
      <c r="C422" s="14" t="n"/>
      <c r="D422" s="14" t="n"/>
      <c r="E422" s="14" t="n"/>
      <c r="F422" s="14" t="n"/>
      <c r="G422" s="14" t="n"/>
      <c r="H422" s="15">
        <f>IF(B422="","",TEXT(TODAY(),"dd/mm/yyyy"))</f>
        <v/>
      </c>
    </row>
    <row r="423" ht="20" customHeight="1">
      <c r="A423" s="13">
        <f>IF(B423="","","ACC"&amp;TEXT(ROW()-3,"0000"))</f>
        <v/>
      </c>
      <c r="B423" s="14" t="n"/>
      <c r="C423" s="14" t="n"/>
      <c r="D423" s="14" t="n"/>
      <c r="E423" s="14" t="n"/>
      <c r="F423" s="14" t="n"/>
      <c r="G423" s="14" t="n"/>
      <c r="H423" s="15">
        <f>IF(B423="","",TEXT(TODAY(),"dd/mm/yyyy"))</f>
        <v/>
      </c>
    </row>
    <row r="424" ht="20" customHeight="1">
      <c r="A424" s="13">
        <f>IF(B424="","","ACC"&amp;TEXT(ROW()-3,"0000"))</f>
        <v/>
      </c>
      <c r="B424" s="14" t="n"/>
      <c r="C424" s="14" t="n"/>
      <c r="D424" s="14" t="n"/>
      <c r="E424" s="14" t="n"/>
      <c r="F424" s="14" t="n"/>
      <c r="G424" s="14" t="n"/>
      <c r="H424" s="15">
        <f>IF(B424="","",TEXT(TODAY(),"dd/mm/yyyy"))</f>
        <v/>
      </c>
    </row>
    <row r="425" ht="20" customHeight="1">
      <c r="A425" s="13">
        <f>IF(B425="","","ACC"&amp;TEXT(ROW()-3,"0000"))</f>
        <v/>
      </c>
      <c r="B425" s="14" t="n"/>
      <c r="C425" s="14" t="n"/>
      <c r="D425" s="14" t="n"/>
      <c r="E425" s="14" t="n"/>
      <c r="F425" s="14" t="n"/>
      <c r="G425" s="14" t="n"/>
      <c r="H425" s="15">
        <f>IF(B425="","",TEXT(TODAY(),"dd/mm/yyyy"))</f>
        <v/>
      </c>
    </row>
    <row r="426" ht="20" customHeight="1">
      <c r="A426" s="13">
        <f>IF(B426="","","ACC"&amp;TEXT(ROW()-3,"0000"))</f>
        <v/>
      </c>
      <c r="B426" s="14" t="n"/>
      <c r="C426" s="14" t="n"/>
      <c r="D426" s="14" t="n"/>
      <c r="E426" s="14" t="n"/>
      <c r="F426" s="14" t="n"/>
      <c r="G426" s="14" t="n"/>
      <c r="H426" s="15">
        <f>IF(B426="","",TEXT(TODAY(),"dd/mm/yyyy"))</f>
        <v/>
      </c>
    </row>
    <row r="427" ht="20" customHeight="1">
      <c r="A427" s="13">
        <f>IF(B427="","","ACC"&amp;TEXT(ROW()-3,"0000"))</f>
        <v/>
      </c>
      <c r="B427" s="14" t="n"/>
      <c r="C427" s="14" t="n"/>
      <c r="D427" s="14" t="n"/>
      <c r="E427" s="14" t="n"/>
      <c r="F427" s="14" t="n"/>
      <c r="G427" s="14" t="n"/>
      <c r="H427" s="15">
        <f>IF(B427="","",TEXT(TODAY(),"dd/mm/yyyy"))</f>
        <v/>
      </c>
    </row>
    <row r="428" ht="20" customHeight="1">
      <c r="A428" s="13">
        <f>IF(B428="","","ACC"&amp;TEXT(ROW()-3,"0000"))</f>
        <v/>
      </c>
      <c r="B428" s="14" t="n"/>
      <c r="C428" s="14" t="n"/>
      <c r="D428" s="14" t="n"/>
      <c r="E428" s="14" t="n"/>
      <c r="F428" s="14" t="n"/>
      <c r="G428" s="14" t="n"/>
      <c r="H428" s="15">
        <f>IF(B428="","",TEXT(TODAY(),"dd/mm/yyyy"))</f>
        <v/>
      </c>
    </row>
    <row r="429" ht="20" customHeight="1">
      <c r="A429" s="13">
        <f>IF(B429="","","ACC"&amp;TEXT(ROW()-3,"0000"))</f>
        <v/>
      </c>
      <c r="B429" s="14" t="n"/>
      <c r="C429" s="14" t="n"/>
      <c r="D429" s="14" t="n"/>
      <c r="E429" s="14" t="n"/>
      <c r="F429" s="14" t="n"/>
      <c r="G429" s="14" t="n"/>
      <c r="H429" s="15">
        <f>IF(B429="","",TEXT(TODAY(),"dd/mm/yyyy"))</f>
        <v/>
      </c>
    </row>
    <row r="430" ht="20" customHeight="1">
      <c r="A430" s="13">
        <f>IF(B430="","","ACC"&amp;TEXT(ROW()-3,"0000"))</f>
        <v/>
      </c>
      <c r="B430" s="14" t="n"/>
      <c r="C430" s="14" t="n"/>
      <c r="D430" s="14" t="n"/>
      <c r="E430" s="14" t="n"/>
      <c r="F430" s="14" t="n"/>
      <c r="G430" s="14" t="n"/>
      <c r="H430" s="15">
        <f>IF(B430="","",TEXT(TODAY(),"dd/mm/yyyy"))</f>
        <v/>
      </c>
    </row>
    <row r="431" ht="20" customHeight="1">
      <c r="A431" s="13">
        <f>IF(B431="","","ACC"&amp;TEXT(ROW()-3,"0000"))</f>
        <v/>
      </c>
      <c r="B431" s="14" t="n"/>
      <c r="C431" s="14" t="n"/>
      <c r="D431" s="14" t="n"/>
      <c r="E431" s="14" t="n"/>
      <c r="F431" s="14" t="n"/>
      <c r="G431" s="14" t="n"/>
      <c r="H431" s="15">
        <f>IF(B431="","",TEXT(TODAY(),"dd/mm/yyyy"))</f>
        <v/>
      </c>
    </row>
    <row r="432" ht="20" customHeight="1">
      <c r="A432" s="13">
        <f>IF(B432="","","ACC"&amp;TEXT(ROW()-3,"0000"))</f>
        <v/>
      </c>
      <c r="B432" s="14" t="n"/>
      <c r="C432" s="14" t="n"/>
      <c r="D432" s="14" t="n"/>
      <c r="E432" s="14" t="n"/>
      <c r="F432" s="14" t="n"/>
      <c r="G432" s="14" t="n"/>
      <c r="H432" s="15">
        <f>IF(B432="","",TEXT(TODAY(),"dd/mm/yyyy"))</f>
        <v/>
      </c>
    </row>
    <row r="433" ht="20" customHeight="1">
      <c r="A433" s="13">
        <f>IF(B433="","","ACC"&amp;TEXT(ROW()-3,"0000"))</f>
        <v/>
      </c>
      <c r="B433" s="14" t="n"/>
      <c r="C433" s="14" t="n"/>
      <c r="D433" s="14" t="n"/>
      <c r="E433" s="14" t="n"/>
      <c r="F433" s="14" t="n"/>
      <c r="G433" s="14" t="n"/>
      <c r="H433" s="15">
        <f>IF(B433="","",TEXT(TODAY(),"dd/mm/yyyy"))</f>
        <v/>
      </c>
    </row>
    <row r="434" ht="20" customHeight="1">
      <c r="A434" s="13">
        <f>IF(B434="","","ACC"&amp;TEXT(ROW()-3,"0000"))</f>
        <v/>
      </c>
      <c r="B434" s="14" t="n"/>
      <c r="C434" s="14" t="n"/>
      <c r="D434" s="14" t="n"/>
      <c r="E434" s="14" t="n"/>
      <c r="F434" s="14" t="n"/>
      <c r="G434" s="14" t="n"/>
      <c r="H434" s="15">
        <f>IF(B434="","",TEXT(TODAY(),"dd/mm/yyyy"))</f>
        <v/>
      </c>
    </row>
    <row r="435" ht="20" customHeight="1">
      <c r="A435" s="13">
        <f>IF(B435="","","ACC"&amp;TEXT(ROW()-3,"0000"))</f>
        <v/>
      </c>
      <c r="B435" s="14" t="n"/>
      <c r="C435" s="14" t="n"/>
      <c r="D435" s="14" t="n"/>
      <c r="E435" s="14" t="n"/>
      <c r="F435" s="14" t="n"/>
      <c r="G435" s="14" t="n"/>
      <c r="H435" s="15">
        <f>IF(B435="","",TEXT(TODAY(),"dd/mm/yyyy"))</f>
        <v/>
      </c>
    </row>
    <row r="436" ht="20" customHeight="1">
      <c r="A436" s="13">
        <f>IF(B436="","","ACC"&amp;TEXT(ROW()-3,"0000"))</f>
        <v/>
      </c>
      <c r="B436" s="14" t="n"/>
      <c r="C436" s="14" t="n"/>
      <c r="D436" s="14" t="n"/>
      <c r="E436" s="14" t="n"/>
      <c r="F436" s="14" t="n"/>
      <c r="G436" s="14" t="n"/>
      <c r="H436" s="15">
        <f>IF(B436="","",TEXT(TODAY(),"dd/mm/yyyy"))</f>
        <v/>
      </c>
    </row>
    <row r="437" ht="20" customHeight="1">
      <c r="A437" s="13">
        <f>IF(B437="","","ACC"&amp;TEXT(ROW()-3,"0000"))</f>
        <v/>
      </c>
      <c r="B437" s="14" t="n"/>
      <c r="C437" s="14" t="n"/>
      <c r="D437" s="14" t="n"/>
      <c r="E437" s="14" t="n"/>
      <c r="F437" s="14" t="n"/>
      <c r="G437" s="14" t="n"/>
      <c r="H437" s="15">
        <f>IF(B437="","",TEXT(TODAY(),"dd/mm/yyyy"))</f>
        <v/>
      </c>
    </row>
    <row r="438" ht="20" customHeight="1">
      <c r="A438" s="13">
        <f>IF(B438="","","ACC"&amp;TEXT(ROW()-3,"0000"))</f>
        <v/>
      </c>
      <c r="B438" s="14" t="n"/>
      <c r="C438" s="14" t="n"/>
      <c r="D438" s="14" t="n"/>
      <c r="E438" s="14" t="n"/>
      <c r="F438" s="14" t="n"/>
      <c r="G438" s="14" t="n"/>
      <c r="H438" s="15">
        <f>IF(B438="","",TEXT(TODAY(),"dd/mm/yyyy"))</f>
        <v/>
      </c>
    </row>
    <row r="439" ht="20" customHeight="1">
      <c r="A439" s="13">
        <f>IF(B439="","","ACC"&amp;TEXT(ROW()-3,"0000"))</f>
        <v/>
      </c>
      <c r="B439" s="14" t="n"/>
      <c r="C439" s="14" t="n"/>
      <c r="D439" s="14" t="n"/>
      <c r="E439" s="14" t="n"/>
      <c r="F439" s="14" t="n"/>
      <c r="G439" s="14" t="n"/>
      <c r="H439" s="15">
        <f>IF(B439="","",TEXT(TODAY(),"dd/mm/yyyy"))</f>
        <v/>
      </c>
    </row>
    <row r="440" ht="20" customHeight="1">
      <c r="A440" s="13">
        <f>IF(B440="","","ACC"&amp;TEXT(ROW()-3,"0000"))</f>
        <v/>
      </c>
      <c r="B440" s="14" t="n"/>
      <c r="C440" s="14" t="n"/>
      <c r="D440" s="14" t="n"/>
      <c r="E440" s="14" t="n"/>
      <c r="F440" s="14" t="n"/>
      <c r="G440" s="14" t="n"/>
      <c r="H440" s="15">
        <f>IF(B440="","",TEXT(TODAY(),"dd/mm/yyyy"))</f>
        <v/>
      </c>
    </row>
    <row r="441" ht="20" customHeight="1">
      <c r="A441" s="13">
        <f>IF(B441="","","ACC"&amp;TEXT(ROW()-3,"0000"))</f>
        <v/>
      </c>
      <c r="B441" s="14" t="n"/>
      <c r="C441" s="14" t="n"/>
      <c r="D441" s="14" t="n"/>
      <c r="E441" s="14" t="n"/>
      <c r="F441" s="14" t="n"/>
      <c r="G441" s="14" t="n"/>
      <c r="H441" s="15">
        <f>IF(B441="","",TEXT(TODAY(),"dd/mm/yyyy"))</f>
        <v/>
      </c>
    </row>
    <row r="442" ht="20" customHeight="1">
      <c r="A442" s="13">
        <f>IF(B442="","","ACC"&amp;TEXT(ROW()-3,"0000"))</f>
        <v/>
      </c>
      <c r="B442" s="14" t="n"/>
      <c r="C442" s="14" t="n"/>
      <c r="D442" s="14" t="n"/>
      <c r="E442" s="14" t="n"/>
      <c r="F442" s="14" t="n"/>
      <c r="G442" s="14" t="n"/>
      <c r="H442" s="15">
        <f>IF(B442="","",TEXT(TODAY(),"dd/mm/yyyy"))</f>
        <v/>
      </c>
    </row>
    <row r="443" ht="20" customHeight="1">
      <c r="A443" s="13">
        <f>IF(B443="","","ACC"&amp;TEXT(ROW()-3,"0000"))</f>
        <v/>
      </c>
      <c r="B443" s="14" t="n"/>
      <c r="C443" s="14" t="n"/>
      <c r="D443" s="14" t="n"/>
      <c r="E443" s="14" t="n"/>
      <c r="F443" s="14" t="n"/>
      <c r="G443" s="14" t="n"/>
      <c r="H443" s="15">
        <f>IF(B443="","",TEXT(TODAY(),"dd/mm/yyyy"))</f>
        <v/>
      </c>
    </row>
    <row r="444" ht="20" customHeight="1">
      <c r="A444" s="13">
        <f>IF(B444="","","ACC"&amp;TEXT(ROW()-3,"0000"))</f>
        <v/>
      </c>
      <c r="B444" s="14" t="n"/>
      <c r="C444" s="14" t="n"/>
      <c r="D444" s="14" t="n"/>
      <c r="E444" s="14" t="n"/>
      <c r="F444" s="14" t="n"/>
      <c r="G444" s="14" t="n"/>
      <c r="H444" s="15">
        <f>IF(B444="","",TEXT(TODAY(),"dd/mm/yyyy"))</f>
        <v/>
      </c>
    </row>
    <row r="445" ht="20" customHeight="1">
      <c r="A445" s="13">
        <f>IF(B445="","","ACC"&amp;TEXT(ROW()-3,"0000"))</f>
        <v/>
      </c>
      <c r="B445" s="14" t="n"/>
      <c r="C445" s="14" t="n"/>
      <c r="D445" s="14" t="n"/>
      <c r="E445" s="14" t="n"/>
      <c r="F445" s="14" t="n"/>
      <c r="G445" s="14" t="n"/>
      <c r="H445" s="15">
        <f>IF(B445="","",TEXT(TODAY(),"dd/mm/yyyy"))</f>
        <v/>
      </c>
    </row>
    <row r="446" ht="20" customHeight="1">
      <c r="A446" s="13">
        <f>IF(B446="","","ACC"&amp;TEXT(ROW()-3,"0000"))</f>
        <v/>
      </c>
      <c r="B446" s="14" t="n"/>
      <c r="C446" s="14" t="n"/>
      <c r="D446" s="14" t="n"/>
      <c r="E446" s="14" t="n"/>
      <c r="F446" s="14" t="n"/>
      <c r="G446" s="14" t="n"/>
      <c r="H446" s="15">
        <f>IF(B446="","",TEXT(TODAY(),"dd/mm/yyyy"))</f>
        <v/>
      </c>
    </row>
    <row r="447" ht="20" customHeight="1">
      <c r="A447" s="13">
        <f>IF(B447="","","ACC"&amp;TEXT(ROW()-3,"0000"))</f>
        <v/>
      </c>
      <c r="B447" s="14" t="n"/>
      <c r="C447" s="14" t="n"/>
      <c r="D447" s="14" t="n"/>
      <c r="E447" s="14" t="n"/>
      <c r="F447" s="14" t="n"/>
      <c r="G447" s="14" t="n"/>
      <c r="H447" s="15">
        <f>IF(B447="","",TEXT(TODAY(),"dd/mm/yyyy"))</f>
        <v/>
      </c>
    </row>
    <row r="448" ht="20" customHeight="1">
      <c r="A448" s="13">
        <f>IF(B448="","","ACC"&amp;TEXT(ROW()-3,"0000"))</f>
        <v/>
      </c>
      <c r="B448" s="14" t="n"/>
      <c r="C448" s="14" t="n"/>
      <c r="D448" s="14" t="n"/>
      <c r="E448" s="14" t="n"/>
      <c r="F448" s="14" t="n"/>
      <c r="G448" s="14" t="n"/>
      <c r="H448" s="15">
        <f>IF(B448="","",TEXT(TODAY(),"dd/mm/yyyy"))</f>
        <v/>
      </c>
    </row>
    <row r="449" ht="20" customHeight="1">
      <c r="A449" s="13">
        <f>IF(B449="","","ACC"&amp;TEXT(ROW()-3,"0000"))</f>
        <v/>
      </c>
      <c r="B449" s="14" t="n"/>
      <c r="C449" s="14" t="n"/>
      <c r="D449" s="14" t="n"/>
      <c r="E449" s="14" t="n"/>
      <c r="F449" s="14" t="n"/>
      <c r="G449" s="14" t="n"/>
      <c r="H449" s="15">
        <f>IF(B449="","",TEXT(TODAY(),"dd/mm/yyyy"))</f>
        <v/>
      </c>
    </row>
    <row r="450" ht="20" customHeight="1">
      <c r="A450" s="13">
        <f>IF(B450="","","ACC"&amp;TEXT(ROW()-3,"0000"))</f>
        <v/>
      </c>
      <c r="B450" s="14" t="n"/>
      <c r="C450" s="14" t="n"/>
      <c r="D450" s="14" t="n"/>
      <c r="E450" s="14" t="n"/>
      <c r="F450" s="14" t="n"/>
      <c r="G450" s="14" t="n"/>
      <c r="H450" s="15">
        <f>IF(B450="","",TEXT(TODAY(),"dd/mm/yyyy"))</f>
        <v/>
      </c>
    </row>
    <row r="451" ht="20" customHeight="1">
      <c r="A451" s="13">
        <f>IF(B451="","","ACC"&amp;TEXT(ROW()-3,"0000"))</f>
        <v/>
      </c>
      <c r="B451" s="14" t="n"/>
      <c r="C451" s="14" t="n"/>
      <c r="D451" s="14" t="n"/>
      <c r="E451" s="14" t="n"/>
      <c r="F451" s="14" t="n"/>
      <c r="G451" s="14" t="n"/>
      <c r="H451" s="15">
        <f>IF(B451="","",TEXT(TODAY(),"dd/mm/yyyy"))</f>
        <v/>
      </c>
    </row>
    <row r="452" ht="20" customHeight="1">
      <c r="A452" s="13">
        <f>IF(B452="","","ACC"&amp;TEXT(ROW()-3,"0000"))</f>
        <v/>
      </c>
      <c r="B452" s="14" t="n"/>
      <c r="C452" s="14" t="n"/>
      <c r="D452" s="14" t="n"/>
      <c r="E452" s="14" t="n"/>
      <c r="F452" s="14" t="n"/>
      <c r="G452" s="14" t="n"/>
      <c r="H452" s="15">
        <f>IF(B452="","",TEXT(TODAY(),"dd/mm/yyyy"))</f>
        <v/>
      </c>
    </row>
    <row r="453" ht="20" customHeight="1">
      <c r="A453" s="13">
        <f>IF(B453="","","ACC"&amp;TEXT(ROW()-3,"0000"))</f>
        <v/>
      </c>
      <c r="B453" s="14" t="n"/>
      <c r="C453" s="14" t="n"/>
      <c r="D453" s="14" t="n"/>
      <c r="E453" s="14" t="n"/>
      <c r="F453" s="14" t="n"/>
      <c r="G453" s="14" t="n"/>
      <c r="H453" s="15">
        <f>IF(B453="","",TEXT(TODAY(),"dd/mm/yyyy"))</f>
        <v/>
      </c>
    </row>
    <row r="454" ht="20" customHeight="1">
      <c r="A454" s="13">
        <f>IF(B454="","","ACC"&amp;TEXT(ROW()-3,"0000"))</f>
        <v/>
      </c>
      <c r="B454" s="14" t="n"/>
      <c r="C454" s="14" t="n"/>
      <c r="D454" s="14" t="n"/>
      <c r="E454" s="14" t="n"/>
      <c r="F454" s="14" t="n"/>
      <c r="G454" s="14" t="n"/>
      <c r="H454" s="15">
        <f>IF(B454="","",TEXT(TODAY(),"dd/mm/yyyy"))</f>
        <v/>
      </c>
    </row>
    <row r="455" ht="20" customHeight="1">
      <c r="A455" s="13">
        <f>IF(B455="","","ACC"&amp;TEXT(ROW()-3,"0000"))</f>
        <v/>
      </c>
      <c r="B455" s="14" t="n"/>
      <c r="C455" s="14" t="n"/>
      <c r="D455" s="14" t="n"/>
      <c r="E455" s="14" t="n"/>
      <c r="F455" s="14" t="n"/>
      <c r="G455" s="14" t="n"/>
      <c r="H455" s="15">
        <f>IF(B455="","",TEXT(TODAY(),"dd/mm/yyyy"))</f>
        <v/>
      </c>
    </row>
    <row r="456" ht="20" customHeight="1">
      <c r="A456" s="13">
        <f>IF(B456="","","ACC"&amp;TEXT(ROW()-3,"0000"))</f>
        <v/>
      </c>
      <c r="B456" s="14" t="n"/>
      <c r="C456" s="14" t="n"/>
      <c r="D456" s="14" t="n"/>
      <c r="E456" s="14" t="n"/>
      <c r="F456" s="14" t="n"/>
      <c r="G456" s="14" t="n"/>
      <c r="H456" s="15">
        <f>IF(B456="","",TEXT(TODAY(),"dd/mm/yyyy"))</f>
        <v/>
      </c>
    </row>
    <row r="457" ht="20" customHeight="1">
      <c r="A457" s="13">
        <f>IF(B457="","","ACC"&amp;TEXT(ROW()-3,"0000"))</f>
        <v/>
      </c>
      <c r="B457" s="14" t="n"/>
      <c r="C457" s="14" t="n"/>
      <c r="D457" s="14" t="n"/>
      <c r="E457" s="14" t="n"/>
      <c r="F457" s="14" t="n"/>
      <c r="G457" s="14" t="n"/>
      <c r="H457" s="15">
        <f>IF(B457="","",TEXT(TODAY(),"dd/mm/yyyy"))</f>
        <v/>
      </c>
    </row>
    <row r="458" ht="20" customHeight="1">
      <c r="A458" s="13">
        <f>IF(B458="","","ACC"&amp;TEXT(ROW()-3,"0000"))</f>
        <v/>
      </c>
      <c r="B458" s="14" t="n"/>
      <c r="C458" s="14" t="n"/>
      <c r="D458" s="14" t="n"/>
      <c r="E458" s="14" t="n"/>
      <c r="F458" s="14" t="n"/>
      <c r="G458" s="14" t="n"/>
      <c r="H458" s="15">
        <f>IF(B458="","",TEXT(TODAY(),"dd/mm/yyyy"))</f>
        <v/>
      </c>
    </row>
    <row r="459" ht="20" customHeight="1">
      <c r="A459" s="13">
        <f>IF(B459="","","ACC"&amp;TEXT(ROW()-3,"0000"))</f>
        <v/>
      </c>
      <c r="B459" s="14" t="n"/>
      <c r="C459" s="14" t="n"/>
      <c r="D459" s="14" t="n"/>
      <c r="E459" s="14" t="n"/>
      <c r="F459" s="14" t="n"/>
      <c r="G459" s="14" t="n"/>
      <c r="H459" s="15">
        <f>IF(B459="","",TEXT(TODAY(),"dd/mm/yyyy"))</f>
        <v/>
      </c>
    </row>
    <row r="460" ht="20" customHeight="1">
      <c r="A460" s="13">
        <f>IF(B460="","","ACC"&amp;TEXT(ROW()-3,"0000"))</f>
        <v/>
      </c>
      <c r="B460" s="14" t="n"/>
      <c r="C460" s="14" t="n"/>
      <c r="D460" s="14" t="n"/>
      <c r="E460" s="14" t="n"/>
      <c r="F460" s="14" t="n"/>
      <c r="G460" s="14" t="n"/>
      <c r="H460" s="15">
        <f>IF(B460="","",TEXT(TODAY(),"dd/mm/yyyy"))</f>
        <v/>
      </c>
    </row>
    <row r="461" ht="20" customHeight="1">
      <c r="A461" s="13">
        <f>IF(B461="","","ACC"&amp;TEXT(ROW()-3,"0000"))</f>
        <v/>
      </c>
      <c r="B461" s="14" t="n"/>
      <c r="C461" s="14" t="n"/>
      <c r="D461" s="14" t="n"/>
      <c r="E461" s="14" t="n"/>
      <c r="F461" s="14" t="n"/>
      <c r="G461" s="14" t="n"/>
      <c r="H461" s="15">
        <f>IF(B461="","",TEXT(TODAY(),"dd/mm/yyyy"))</f>
        <v/>
      </c>
    </row>
    <row r="462" ht="20" customHeight="1">
      <c r="A462" s="13">
        <f>IF(B462="","","ACC"&amp;TEXT(ROW()-3,"0000"))</f>
        <v/>
      </c>
      <c r="B462" s="14" t="n"/>
      <c r="C462" s="14" t="n"/>
      <c r="D462" s="14" t="n"/>
      <c r="E462" s="14" t="n"/>
      <c r="F462" s="14" t="n"/>
      <c r="G462" s="14" t="n"/>
      <c r="H462" s="15">
        <f>IF(B462="","",TEXT(TODAY(),"dd/mm/yyyy"))</f>
        <v/>
      </c>
    </row>
    <row r="463" ht="20" customHeight="1">
      <c r="A463" s="13">
        <f>IF(B463="","","ACC"&amp;TEXT(ROW()-3,"0000"))</f>
        <v/>
      </c>
      <c r="B463" s="14" t="n"/>
      <c r="C463" s="14" t="n"/>
      <c r="D463" s="14" t="n"/>
      <c r="E463" s="14" t="n"/>
      <c r="F463" s="14" t="n"/>
      <c r="G463" s="14" t="n"/>
      <c r="H463" s="15">
        <f>IF(B463="","",TEXT(TODAY(),"dd/mm/yyyy"))</f>
        <v/>
      </c>
    </row>
    <row r="464" ht="20" customHeight="1">
      <c r="A464" s="13">
        <f>IF(B464="","","ACC"&amp;TEXT(ROW()-3,"0000"))</f>
        <v/>
      </c>
      <c r="B464" s="14" t="n"/>
      <c r="C464" s="14" t="n"/>
      <c r="D464" s="14" t="n"/>
      <c r="E464" s="14" t="n"/>
      <c r="F464" s="14" t="n"/>
      <c r="G464" s="14" t="n"/>
      <c r="H464" s="15">
        <f>IF(B464="","",TEXT(TODAY(),"dd/mm/yyyy"))</f>
        <v/>
      </c>
    </row>
    <row r="465" ht="20" customHeight="1">
      <c r="A465" s="13">
        <f>IF(B465="","","ACC"&amp;TEXT(ROW()-3,"0000"))</f>
        <v/>
      </c>
      <c r="B465" s="14" t="n"/>
      <c r="C465" s="14" t="n"/>
      <c r="D465" s="14" t="n"/>
      <c r="E465" s="14" t="n"/>
      <c r="F465" s="14" t="n"/>
      <c r="G465" s="14" t="n"/>
      <c r="H465" s="15">
        <f>IF(B465="","",TEXT(TODAY(),"dd/mm/yyyy"))</f>
        <v/>
      </c>
    </row>
    <row r="466" ht="20" customHeight="1">
      <c r="A466" s="13">
        <f>IF(B466="","","ACC"&amp;TEXT(ROW()-3,"0000"))</f>
        <v/>
      </c>
      <c r="B466" s="14" t="n"/>
      <c r="C466" s="14" t="n"/>
      <c r="D466" s="14" t="n"/>
      <c r="E466" s="14" t="n"/>
      <c r="F466" s="14" t="n"/>
      <c r="G466" s="14" t="n"/>
      <c r="H466" s="15">
        <f>IF(B466="","",TEXT(TODAY(),"dd/mm/yyyy"))</f>
        <v/>
      </c>
    </row>
    <row r="467" ht="20" customHeight="1">
      <c r="A467" s="13">
        <f>IF(B467="","","ACC"&amp;TEXT(ROW()-3,"0000"))</f>
        <v/>
      </c>
      <c r="B467" s="14" t="n"/>
      <c r="C467" s="14" t="n"/>
      <c r="D467" s="14" t="n"/>
      <c r="E467" s="14" t="n"/>
      <c r="F467" s="14" t="n"/>
      <c r="G467" s="14" t="n"/>
      <c r="H467" s="15">
        <f>IF(B467="","",TEXT(TODAY(),"dd/mm/yyyy"))</f>
        <v/>
      </c>
    </row>
    <row r="468" ht="20" customHeight="1">
      <c r="A468" s="13">
        <f>IF(B468="","","ACC"&amp;TEXT(ROW()-3,"0000"))</f>
        <v/>
      </c>
      <c r="B468" s="14" t="n"/>
      <c r="C468" s="14" t="n"/>
      <c r="D468" s="14" t="n"/>
      <c r="E468" s="14" t="n"/>
      <c r="F468" s="14" t="n"/>
      <c r="G468" s="14" t="n"/>
      <c r="H468" s="15">
        <f>IF(B468="","",TEXT(TODAY(),"dd/mm/yyyy"))</f>
        <v/>
      </c>
    </row>
    <row r="469" ht="20" customHeight="1">
      <c r="A469" s="13">
        <f>IF(B469="","","ACC"&amp;TEXT(ROW()-3,"0000"))</f>
        <v/>
      </c>
      <c r="B469" s="14" t="n"/>
      <c r="C469" s="14" t="n"/>
      <c r="D469" s="14" t="n"/>
      <c r="E469" s="14" t="n"/>
      <c r="F469" s="14" t="n"/>
      <c r="G469" s="14" t="n"/>
      <c r="H469" s="15">
        <f>IF(B469="","",TEXT(TODAY(),"dd/mm/yyyy"))</f>
        <v/>
      </c>
    </row>
    <row r="470" ht="20" customHeight="1">
      <c r="A470" s="13">
        <f>IF(B470="","","ACC"&amp;TEXT(ROW()-3,"0000"))</f>
        <v/>
      </c>
      <c r="B470" s="14" t="n"/>
      <c r="C470" s="14" t="n"/>
      <c r="D470" s="14" t="n"/>
      <c r="E470" s="14" t="n"/>
      <c r="F470" s="14" t="n"/>
      <c r="G470" s="14" t="n"/>
      <c r="H470" s="15">
        <f>IF(B470="","",TEXT(TODAY(),"dd/mm/yyyy"))</f>
        <v/>
      </c>
    </row>
    <row r="471" ht="20" customHeight="1">
      <c r="A471" s="13">
        <f>IF(B471="","","ACC"&amp;TEXT(ROW()-3,"0000"))</f>
        <v/>
      </c>
      <c r="B471" s="14" t="n"/>
      <c r="C471" s="14" t="n"/>
      <c r="D471" s="14" t="n"/>
      <c r="E471" s="14" t="n"/>
      <c r="F471" s="14" t="n"/>
      <c r="G471" s="14" t="n"/>
      <c r="H471" s="15">
        <f>IF(B471="","",TEXT(TODAY(),"dd/mm/yyyy"))</f>
        <v/>
      </c>
    </row>
    <row r="472" ht="20" customHeight="1">
      <c r="A472" s="13">
        <f>IF(B472="","","ACC"&amp;TEXT(ROW()-3,"0000"))</f>
        <v/>
      </c>
      <c r="B472" s="14" t="n"/>
      <c r="C472" s="14" t="n"/>
      <c r="D472" s="14" t="n"/>
      <c r="E472" s="14" t="n"/>
      <c r="F472" s="14" t="n"/>
      <c r="G472" s="14" t="n"/>
      <c r="H472" s="15">
        <f>IF(B472="","",TEXT(TODAY(),"dd/mm/yyyy"))</f>
        <v/>
      </c>
    </row>
    <row r="473" ht="20" customHeight="1">
      <c r="A473" s="13">
        <f>IF(B473="","","ACC"&amp;TEXT(ROW()-3,"0000"))</f>
        <v/>
      </c>
      <c r="B473" s="14" t="n"/>
      <c r="C473" s="14" t="n"/>
      <c r="D473" s="14" t="n"/>
      <c r="E473" s="14" t="n"/>
      <c r="F473" s="14" t="n"/>
      <c r="G473" s="14" t="n"/>
      <c r="H473" s="15">
        <f>IF(B473="","",TEXT(TODAY(),"dd/mm/yyyy"))</f>
        <v/>
      </c>
    </row>
    <row r="474" ht="20" customHeight="1">
      <c r="A474" s="13">
        <f>IF(B474="","","ACC"&amp;TEXT(ROW()-3,"0000"))</f>
        <v/>
      </c>
      <c r="B474" s="14" t="n"/>
      <c r="C474" s="14" t="n"/>
      <c r="D474" s="14" t="n"/>
      <c r="E474" s="14" t="n"/>
      <c r="F474" s="14" t="n"/>
      <c r="G474" s="14" t="n"/>
      <c r="H474" s="15">
        <f>IF(B474="","",TEXT(TODAY(),"dd/mm/yyyy"))</f>
        <v/>
      </c>
    </row>
    <row r="475" ht="20" customHeight="1">
      <c r="A475" s="13">
        <f>IF(B475="","","ACC"&amp;TEXT(ROW()-3,"0000"))</f>
        <v/>
      </c>
      <c r="B475" s="14" t="n"/>
      <c r="C475" s="14" t="n"/>
      <c r="D475" s="14" t="n"/>
      <c r="E475" s="14" t="n"/>
      <c r="F475" s="14" t="n"/>
      <c r="G475" s="14" t="n"/>
      <c r="H475" s="15">
        <f>IF(B475="","",TEXT(TODAY(),"dd/mm/yyyy"))</f>
        <v/>
      </c>
    </row>
    <row r="476" ht="20" customHeight="1">
      <c r="A476" s="13">
        <f>IF(B476="","","ACC"&amp;TEXT(ROW()-3,"0000"))</f>
        <v/>
      </c>
      <c r="B476" s="14" t="n"/>
      <c r="C476" s="14" t="n"/>
      <c r="D476" s="14" t="n"/>
      <c r="E476" s="14" t="n"/>
      <c r="F476" s="14" t="n"/>
      <c r="G476" s="14" t="n"/>
      <c r="H476" s="15">
        <f>IF(B476="","",TEXT(TODAY(),"dd/mm/yyyy"))</f>
        <v/>
      </c>
    </row>
    <row r="477" ht="20" customHeight="1">
      <c r="A477" s="13">
        <f>IF(B477="","","ACC"&amp;TEXT(ROW()-3,"0000"))</f>
        <v/>
      </c>
      <c r="B477" s="14" t="n"/>
      <c r="C477" s="14" t="n"/>
      <c r="D477" s="14" t="n"/>
      <c r="E477" s="14" t="n"/>
      <c r="F477" s="14" t="n"/>
      <c r="G477" s="14" t="n"/>
      <c r="H477" s="15">
        <f>IF(B477="","",TEXT(TODAY(),"dd/mm/yyyy"))</f>
        <v/>
      </c>
    </row>
    <row r="478" ht="20" customHeight="1">
      <c r="A478" s="13">
        <f>IF(B478="","","ACC"&amp;TEXT(ROW()-3,"0000"))</f>
        <v/>
      </c>
      <c r="B478" s="14" t="n"/>
      <c r="C478" s="14" t="n"/>
      <c r="D478" s="14" t="n"/>
      <c r="E478" s="14" t="n"/>
      <c r="F478" s="14" t="n"/>
      <c r="G478" s="14" t="n"/>
      <c r="H478" s="15">
        <f>IF(B478="","",TEXT(TODAY(),"dd/mm/yyyy"))</f>
        <v/>
      </c>
    </row>
    <row r="479" ht="20" customHeight="1">
      <c r="A479" s="13">
        <f>IF(B479="","","ACC"&amp;TEXT(ROW()-3,"0000"))</f>
        <v/>
      </c>
      <c r="B479" s="14" t="n"/>
      <c r="C479" s="14" t="n"/>
      <c r="D479" s="14" t="n"/>
      <c r="E479" s="14" t="n"/>
      <c r="F479" s="14" t="n"/>
      <c r="G479" s="14" t="n"/>
      <c r="H479" s="15">
        <f>IF(B479="","",TEXT(TODAY(),"dd/mm/yyyy"))</f>
        <v/>
      </c>
    </row>
    <row r="480" ht="20" customHeight="1">
      <c r="A480" s="13">
        <f>IF(B480="","","ACC"&amp;TEXT(ROW()-3,"0000"))</f>
        <v/>
      </c>
      <c r="B480" s="14" t="n"/>
      <c r="C480" s="14" t="n"/>
      <c r="D480" s="14" t="n"/>
      <c r="E480" s="14" t="n"/>
      <c r="F480" s="14" t="n"/>
      <c r="G480" s="14" t="n"/>
      <c r="H480" s="15">
        <f>IF(B480="","",TEXT(TODAY(),"dd/mm/yyyy"))</f>
        <v/>
      </c>
    </row>
    <row r="481" ht="20" customHeight="1">
      <c r="A481" s="13">
        <f>IF(B481="","","ACC"&amp;TEXT(ROW()-3,"0000"))</f>
        <v/>
      </c>
      <c r="B481" s="14" t="n"/>
      <c r="C481" s="14" t="n"/>
      <c r="D481" s="14" t="n"/>
      <c r="E481" s="14" t="n"/>
      <c r="F481" s="14" t="n"/>
      <c r="G481" s="14" t="n"/>
      <c r="H481" s="15">
        <f>IF(B481="","",TEXT(TODAY(),"dd/mm/yyyy"))</f>
        <v/>
      </c>
    </row>
    <row r="482" ht="20" customHeight="1">
      <c r="A482" s="13">
        <f>IF(B482="","","ACC"&amp;TEXT(ROW()-3,"0000"))</f>
        <v/>
      </c>
      <c r="B482" s="14" t="n"/>
      <c r="C482" s="14" t="n"/>
      <c r="D482" s="14" t="n"/>
      <c r="E482" s="14" t="n"/>
      <c r="F482" s="14" t="n"/>
      <c r="G482" s="14" t="n"/>
      <c r="H482" s="15">
        <f>IF(B482="","",TEXT(TODAY(),"dd/mm/yyyy"))</f>
        <v/>
      </c>
    </row>
    <row r="483" ht="20" customHeight="1">
      <c r="A483" s="13">
        <f>IF(B483="","","ACC"&amp;TEXT(ROW()-3,"0000"))</f>
        <v/>
      </c>
      <c r="B483" s="14" t="n"/>
      <c r="C483" s="14" t="n"/>
      <c r="D483" s="14" t="n"/>
      <c r="E483" s="14" t="n"/>
      <c r="F483" s="14" t="n"/>
      <c r="G483" s="14" t="n"/>
      <c r="H483" s="15">
        <f>IF(B483="","",TEXT(TODAY(),"dd/mm/yyyy"))</f>
        <v/>
      </c>
    </row>
    <row r="484" ht="20" customHeight="1">
      <c r="A484" s="13">
        <f>IF(B484="","","ACC"&amp;TEXT(ROW()-3,"0000"))</f>
        <v/>
      </c>
      <c r="B484" s="14" t="n"/>
      <c r="C484" s="14" t="n"/>
      <c r="D484" s="14" t="n"/>
      <c r="E484" s="14" t="n"/>
      <c r="F484" s="14" t="n"/>
      <c r="G484" s="14" t="n"/>
      <c r="H484" s="15">
        <f>IF(B484="","",TEXT(TODAY(),"dd/mm/yyyy"))</f>
        <v/>
      </c>
    </row>
    <row r="485" ht="20" customHeight="1">
      <c r="A485" s="13">
        <f>IF(B485="","","ACC"&amp;TEXT(ROW()-3,"0000"))</f>
        <v/>
      </c>
      <c r="B485" s="14" t="n"/>
      <c r="C485" s="14" t="n"/>
      <c r="D485" s="14" t="n"/>
      <c r="E485" s="14" t="n"/>
      <c r="F485" s="14" t="n"/>
      <c r="G485" s="14" t="n"/>
      <c r="H485" s="15">
        <f>IF(B485="","",TEXT(TODAY(),"dd/mm/yyyy"))</f>
        <v/>
      </c>
    </row>
    <row r="486" ht="20" customHeight="1">
      <c r="A486" s="13">
        <f>IF(B486="","","ACC"&amp;TEXT(ROW()-3,"0000"))</f>
        <v/>
      </c>
      <c r="B486" s="14" t="n"/>
      <c r="C486" s="14" t="n"/>
      <c r="D486" s="14" t="n"/>
      <c r="E486" s="14" t="n"/>
      <c r="F486" s="14" t="n"/>
      <c r="G486" s="14" t="n"/>
      <c r="H486" s="15">
        <f>IF(B486="","",TEXT(TODAY(),"dd/mm/yyyy"))</f>
        <v/>
      </c>
    </row>
    <row r="487" ht="20" customHeight="1">
      <c r="A487" s="13">
        <f>IF(B487="","","ACC"&amp;TEXT(ROW()-3,"0000"))</f>
        <v/>
      </c>
      <c r="B487" s="14" t="n"/>
      <c r="C487" s="14" t="n"/>
      <c r="D487" s="14" t="n"/>
      <c r="E487" s="14" t="n"/>
      <c r="F487" s="14" t="n"/>
      <c r="G487" s="14" t="n"/>
      <c r="H487" s="15">
        <f>IF(B487="","",TEXT(TODAY(),"dd/mm/yyyy"))</f>
        <v/>
      </c>
    </row>
    <row r="488" ht="20" customHeight="1">
      <c r="A488" s="13">
        <f>IF(B488="","","ACC"&amp;TEXT(ROW()-3,"0000"))</f>
        <v/>
      </c>
      <c r="B488" s="14" t="n"/>
      <c r="C488" s="14" t="n"/>
      <c r="D488" s="14" t="n"/>
      <c r="E488" s="14" t="n"/>
      <c r="F488" s="14" t="n"/>
      <c r="G488" s="14" t="n"/>
      <c r="H488" s="15">
        <f>IF(B488="","",TEXT(TODAY(),"dd/mm/yyyy"))</f>
        <v/>
      </c>
    </row>
    <row r="489" ht="20" customHeight="1">
      <c r="A489" s="13">
        <f>IF(B489="","","ACC"&amp;TEXT(ROW()-3,"0000"))</f>
        <v/>
      </c>
      <c r="B489" s="14" t="n"/>
      <c r="C489" s="14" t="n"/>
      <c r="D489" s="14" t="n"/>
      <c r="E489" s="14" t="n"/>
      <c r="F489" s="14" t="n"/>
      <c r="G489" s="14" t="n"/>
      <c r="H489" s="15">
        <f>IF(B489="","",TEXT(TODAY(),"dd/mm/yyyy"))</f>
        <v/>
      </c>
    </row>
    <row r="490" ht="20" customHeight="1">
      <c r="A490" s="13">
        <f>IF(B490="","","ACC"&amp;TEXT(ROW()-3,"0000"))</f>
        <v/>
      </c>
      <c r="B490" s="14" t="n"/>
      <c r="C490" s="14" t="n"/>
      <c r="D490" s="14" t="n"/>
      <c r="E490" s="14" t="n"/>
      <c r="F490" s="14" t="n"/>
      <c r="G490" s="14" t="n"/>
      <c r="H490" s="15">
        <f>IF(B490="","",TEXT(TODAY(),"dd/mm/yyyy"))</f>
        <v/>
      </c>
    </row>
    <row r="491" ht="20" customHeight="1">
      <c r="A491" s="13">
        <f>IF(B491="","","ACC"&amp;TEXT(ROW()-3,"0000"))</f>
        <v/>
      </c>
      <c r="B491" s="14" t="n"/>
      <c r="C491" s="14" t="n"/>
      <c r="D491" s="14" t="n"/>
      <c r="E491" s="14" t="n"/>
      <c r="F491" s="14" t="n"/>
      <c r="G491" s="14" t="n"/>
      <c r="H491" s="15">
        <f>IF(B491="","",TEXT(TODAY(),"dd/mm/yyyy"))</f>
        <v/>
      </c>
    </row>
    <row r="492" ht="20" customHeight="1">
      <c r="A492" s="13">
        <f>IF(B492="","","ACC"&amp;TEXT(ROW()-3,"0000"))</f>
        <v/>
      </c>
      <c r="B492" s="14" t="n"/>
      <c r="C492" s="14" t="n"/>
      <c r="D492" s="14" t="n"/>
      <c r="E492" s="14" t="n"/>
      <c r="F492" s="14" t="n"/>
      <c r="G492" s="14" t="n"/>
      <c r="H492" s="15">
        <f>IF(B492="","",TEXT(TODAY(),"dd/mm/yyyy"))</f>
        <v/>
      </c>
    </row>
    <row r="493" ht="20" customHeight="1">
      <c r="A493" s="13">
        <f>IF(B493="","","ACC"&amp;TEXT(ROW()-3,"0000"))</f>
        <v/>
      </c>
      <c r="B493" s="14" t="n"/>
      <c r="C493" s="14" t="n"/>
      <c r="D493" s="14" t="n"/>
      <c r="E493" s="14" t="n"/>
      <c r="F493" s="14" t="n"/>
      <c r="G493" s="14" t="n"/>
      <c r="H493" s="15">
        <f>IF(B493="","",TEXT(TODAY(),"dd/mm/yyyy"))</f>
        <v/>
      </c>
    </row>
    <row r="494" ht="20" customHeight="1">
      <c r="A494" s="13">
        <f>IF(B494="","","ACC"&amp;TEXT(ROW()-3,"0000"))</f>
        <v/>
      </c>
      <c r="B494" s="14" t="n"/>
      <c r="C494" s="14" t="n"/>
      <c r="D494" s="14" t="n"/>
      <c r="E494" s="14" t="n"/>
      <c r="F494" s="14" t="n"/>
      <c r="G494" s="14" t="n"/>
      <c r="H494" s="15">
        <f>IF(B494="","",TEXT(TODAY(),"dd/mm/yyyy"))</f>
        <v/>
      </c>
    </row>
    <row r="495" ht="20" customHeight="1">
      <c r="A495" s="13">
        <f>IF(B495="","","ACC"&amp;TEXT(ROW()-3,"0000"))</f>
        <v/>
      </c>
      <c r="B495" s="14" t="n"/>
      <c r="C495" s="14" t="n"/>
      <c r="D495" s="14" t="n"/>
      <c r="E495" s="14" t="n"/>
      <c r="F495" s="14" t="n"/>
      <c r="G495" s="14" t="n"/>
      <c r="H495" s="15">
        <f>IF(B495="","",TEXT(TODAY(),"dd/mm/yyyy"))</f>
        <v/>
      </c>
    </row>
    <row r="496" ht="20" customHeight="1">
      <c r="A496" s="13">
        <f>IF(B496="","","ACC"&amp;TEXT(ROW()-3,"0000"))</f>
        <v/>
      </c>
      <c r="B496" s="14" t="n"/>
      <c r="C496" s="14" t="n"/>
      <c r="D496" s="14" t="n"/>
      <c r="E496" s="14" t="n"/>
      <c r="F496" s="14" t="n"/>
      <c r="G496" s="14" t="n"/>
      <c r="H496" s="15">
        <f>IF(B496="","",TEXT(TODAY(),"dd/mm/yyyy"))</f>
        <v/>
      </c>
    </row>
    <row r="497" ht="20" customHeight="1">
      <c r="A497" s="13">
        <f>IF(B497="","","ACC"&amp;TEXT(ROW()-3,"0000"))</f>
        <v/>
      </c>
      <c r="B497" s="14" t="n"/>
      <c r="C497" s="14" t="n"/>
      <c r="D497" s="14" t="n"/>
      <c r="E497" s="14" t="n"/>
      <c r="F497" s="14" t="n"/>
      <c r="G497" s="14" t="n"/>
      <c r="H497" s="15">
        <f>IF(B497="","",TEXT(TODAY(),"dd/mm/yyyy"))</f>
        <v/>
      </c>
    </row>
    <row r="498" ht="20" customHeight="1">
      <c r="A498" s="13">
        <f>IF(B498="","","ACC"&amp;TEXT(ROW()-3,"0000"))</f>
        <v/>
      </c>
      <c r="B498" s="14" t="n"/>
      <c r="C498" s="14" t="n"/>
      <c r="D498" s="14" t="n"/>
      <c r="E498" s="14" t="n"/>
      <c r="F498" s="14" t="n"/>
      <c r="G498" s="14" t="n"/>
      <c r="H498" s="15">
        <f>IF(B498="","",TEXT(TODAY(),"dd/mm/yyyy"))</f>
        <v/>
      </c>
    </row>
    <row r="499" ht="20" customHeight="1">
      <c r="A499" s="13">
        <f>IF(B499="","","ACC"&amp;TEXT(ROW()-3,"0000"))</f>
        <v/>
      </c>
      <c r="B499" s="14" t="n"/>
      <c r="C499" s="14" t="n"/>
      <c r="D499" s="14" t="n"/>
      <c r="E499" s="14" t="n"/>
      <c r="F499" s="14" t="n"/>
      <c r="G499" s="14" t="n"/>
      <c r="H499" s="15">
        <f>IF(B499="","",TEXT(TODAY(),"dd/mm/yyyy"))</f>
        <v/>
      </c>
    </row>
    <row r="500" ht="20" customHeight="1">
      <c r="A500" s="13">
        <f>IF(B500="","","ACC"&amp;TEXT(ROW()-3,"0000"))</f>
        <v/>
      </c>
      <c r="B500" s="14" t="n"/>
      <c r="C500" s="14" t="n"/>
      <c r="D500" s="14" t="n"/>
      <c r="E500" s="14" t="n"/>
      <c r="F500" s="14" t="n"/>
      <c r="G500" s="14" t="n"/>
      <c r="H500" s="15">
        <f>IF(B500="","",TEXT(TODAY(),"dd/mm/yyyy"))</f>
        <v/>
      </c>
    </row>
    <row r="501" ht="20" customHeight="1">
      <c r="A501" s="13">
        <f>IF(B501="","","ACC"&amp;TEXT(ROW()-3,"0000"))</f>
        <v/>
      </c>
      <c r="B501" s="14" t="n"/>
      <c r="C501" s="14" t="n"/>
      <c r="D501" s="14" t="n"/>
      <c r="E501" s="14" t="n"/>
      <c r="F501" s="14" t="n"/>
      <c r="G501" s="14" t="n"/>
      <c r="H501" s="15">
        <f>IF(B501="","",TEXT(TODAY(),"dd/mm/yyyy"))</f>
        <v/>
      </c>
    </row>
    <row r="502" ht="20" customHeight="1">
      <c r="A502" s="13">
        <f>IF(B502="","","ACC"&amp;TEXT(ROW()-3,"0000"))</f>
        <v/>
      </c>
      <c r="B502" s="14" t="n"/>
      <c r="C502" s="14" t="n"/>
      <c r="D502" s="14" t="n"/>
      <c r="E502" s="14" t="n"/>
      <c r="F502" s="14" t="n"/>
      <c r="G502" s="14" t="n"/>
      <c r="H502" s="15">
        <f>IF(B502="","",TEXT(TODAY(),"dd/mm/yyyy"))</f>
        <v/>
      </c>
    </row>
    <row r="503" ht="20" customHeight="1">
      <c r="A503" s="13">
        <f>IF(B503="","","ACC"&amp;TEXT(ROW()-3,"0000"))</f>
        <v/>
      </c>
      <c r="B503" s="14" t="n"/>
      <c r="C503" s="14" t="n"/>
      <c r="D503" s="14" t="n"/>
      <c r="E503" s="14" t="n"/>
      <c r="F503" s="14" t="n"/>
      <c r="G503" s="14" t="n"/>
      <c r="H503" s="15">
        <f>IF(B503="","",TEXT(TODAY(),"dd/mm/yyyy"))</f>
        <v/>
      </c>
    </row>
    <row r="505">
      <c r="A505" s="16" t="inlineStr">
        <is>
          <t>🔵 Blue cells = Auto-generated (do not edit)   🟡 Yellow cells = Enter data here</t>
        </is>
      </c>
    </row>
  </sheetData>
  <mergeCells count="3">
    <mergeCell ref="A2:H2"/>
    <mergeCell ref="A505:H50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J50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6" customWidth="1" min="4" max="4"/>
    <col width="18" customWidth="1" min="5" max="5"/>
    <col width="20" customWidth="1" min="6" max="6"/>
    <col width="20" customWidth="1" min="7" max="7"/>
    <col width="18" customWidth="1" min="8" max="8"/>
    <col width="22" customWidth="1" min="9" max="9"/>
    <col width="24" customWidth="1" min="10" max="10"/>
  </cols>
  <sheetData>
    <row r="1" ht="34" customHeight="1">
      <c r="A1" s="17" t="inlineStr">
        <is>
          <t>CUSTOMER ACCOUNT DATABASE  —  Central Source of Truth  (Formula-Driven, Auto-Sync)</t>
        </is>
      </c>
    </row>
    <row r="2" ht="30" customHeight="1">
      <c r="A2" s="9" t="inlineStr">
        <is>
          <t>Account Number</t>
        </is>
      </c>
      <c r="B2" s="9" t="inlineStr">
        <is>
          <t>Customer Name</t>
        </is>
      </c>
      <c r="C2" s="9" t="inlineStr">
        <is>
          <t>Date of Birth</t>
        </is>
      </c>
      <c r="D2" s="9" t="inlineStr">
        <is>
          <t>Phone Number</t>
        </is>
      </c>
      <c r="E2" s="9" t="inlineStr">
        <is>
          <t>Location</t>
        </is>
      </c>
      <c r="F2" s="9" t="inlineStr">
        <is>
          <t>Occupation</t>
        </is>
      </c>
      <c r="G2" s="9" t="inlineStr">
        <is>
          <t>Assigned Agent</t>
        </is>
      </c>
      <c r="H2" s="9" t="inlineStr">
        <is>
          <t>Date Registered</t>
        </is>
      </c>
      <c r="I2" s="9" t="inlineStr">
        <is>
          <t>Total Savings (GHS)</t>
        </is>
      </c>
      <c r="J2" s="9" t="inlineStr">
        <is>
          <t>Current Balance (GHS)</t>
        </is>
      </c>
    </row>
    <row r="3" ht="20" customHeight="1">
      <c r="A3" s="18">
        <f>'NEW ACCOUNT'!A4</f>
        <v/>
      </c>
      <c r="B3" s="19">
        <f>IF('NEW ACCOUNT'!A4="","",'NEW ACCOUNT'!B4)</f>
        <v/>
      </c>
      <c r="C3" s="19">
        <f>IF('NEW ACCOUNT'!A4="","",'NEW ACCOUNT'!C4)</f>
        <v/>
      </c>
      <c r="D3" s="19">
        <f>IF('NEW ACCOUNT'!A4="","",'NEW ACCOUNT'!D4)</f>
        <v/>
      </c>
      <c r="E3" s="19">
        <f>IF('NEW ACCOUNT'!A4="","",'NEW ACCOUNT'!E4)</f>
        <v/>
      </c>
      <c r="F3" s="19">
        <f>IF('NEW ACCOUNT'!A4="","",'NEW ACCOUNT'!F4)</f>
        <v/>
      </c>
      <c r="G3" s="19">
        <f>IF('NEW ACCOUNT'!A4="","",'NEW ACCOUNT'!G4)</f>
        <v/>
      </c>
      <c r="H3" s="19">
        <f>IF('NEW ACCOUNT'!A4="","",'NEW ACCOUNT'!H4)</f>
        <v/>
      </c>
      <c r="I3" s="20">
        <f>IFERROR(IF(A3="","",SUMIF(SAVINGS!$A:$A,A3,SAVINGS!$E:$E)),"")</f>
        <v/>
      </c>
      <c r="J3" s="20">
        <f>IFERROR(IF(A3="","",SUMIF(SAVINGS!$A:$A,A3,SAVINGS!$E:$E)-SUMIF(WITHDRAWALS!$A:$A,A3,WITHDRAWALS!$E:$E)),"")</f>
        <v/>
      </c>
    </row>
    <row r="4" ht="20" customHeight="1">
      <c r="A4" s="21">
        <f>'NEW ACCOUNT'!A5</f>
        <v/>
      </c>
      <c r="B4" s="22">
        <f>IF('NEW ACCOUNT'!A5="","",'NEW ACCOUNT'!B5)</f>
        <v/>
      </c>
      <c r="C4" s="22">
        <f>IF('NEW ACCOUNT'!A5="","",'NEW ACCOUNT'!C5)</f>
        <v/>
      </c>
      <c r="D4" s="22">
        <f>IF('NEW ACCOUNT'!A5="","",'NEW ACCOUNT'!D5)</f>
        <v/>
      </c>
      <c r="E4" s="22">
        <f>IF('NEW ACCOUNT'!A5="","",'NEW ACCOUNT'!E5)</f>
        <v/>
      </c>
      <c r="F4" s="22">
        <f>IF('NEW ACCOUNT'!A5="","",'NEW ACCOUNT'!F5)</f>
        <v/>
      </c>
      <c r="G4" s="22">
        <f>IF('NEW ACCOUNT'!A5="","",'NEW ACCOUNT'!G5)</f>
        <v/>
      </c>
      <c r="H4" s="22">
        <f>IF('NEW ACCOUNT'!A5="","",'NEW ACCOUNT'!H5)</f>
        <v/>
      </c>
      <c r="I4" s="23">
        <f>IFERROR(IF(A4="","",SUMIF(SAVINGS!$A:$A,A4,SAVINGS!$E:$E)),"")</f>
        <v/>
      </c>
      <c r="J4" s="23">
        <f>IFERROR(IF(A4="","",SUMIF(SAVINGS!$A:$A,A4,SAVINGS!$E:$E)-SUMIF(WITHDRAWALS!$A:$A,A4,WITHDRAWALS!$E:$E)),"")</f>
        <v/>
      </c>
    </row>
    <row r="5" ht="20" customHeight="1">
      <c r="A5" s="18">
        <f>'NEW ACCOUNT'!A6</f>
        <v/>
      </c>
      <c r="B5" s="19">
        <f>IF('NEW ACCOUNT'!A6="","",'NEW ACCOUNT'!B6)</f>
        <v/>
      </c>
      <c r="C5" s="19">
        <f>IF('NEW ACCOUNT'!A6="","",'NEW ACCOUNT'!C6)</f>
        <v/>
      </c>
      <c r="D5" s="19">
        <f>IF('NEW ACCOUNT'!A6="","",'NEW ACCOUNT'!D6)</f>
        <v/>
      </c>
      <c r="E5" s="19">
        <f>IF('NEW ACCOUNT'!A6="","",'NEW ACCOUNT'!E6)</f>
        <v/>
      </c>
      <c r="F5" s="19">
        <f>IF('NEW ACCOUNT'!A6="","",'NEW ACCOUNT'!F6)</f>
        <v/>
      </c>
      <c r="G5" s="19">
        <f>IF('NEW ACCOUNT'!A6="","",'NEW ACCOUNT'!G6)</f>
        <v/>
      </c>
      <c r="H5" s="19">
        <f>IF('NEW ACCOUNT'!A6="","",'NEW ACCOUNT'!H6)</f>
        <v/>
      </c>
      <c r="I5" s="20">
        <f>IFERROR(IF(A5="","",SUMIF(SAVINGS!$A:$A,A5,SAVINGS!$E:$E)),"")</f>
        <v/>
      </c>
      <c r="J5" s="20">
        <f>IFERROR(IF(A5="","",SUMIF(SAVINGS!$A:$A,A5,SAVINGS!$E:$E)-SUMIF(WITHDRAWALS!$A:$A,A5,WITHDRAWALS!$E:$E)),"")</f>
        <v/>
      </c>
    </row>
    <row r="6" ht="20" customHeight="1">
      <c r="A6" s="21">
        <f>'NEW ACCOUNT'!A7</f>
        <v/>
      </c>
      <c r="B6" s="22">
        <f>IF('NEW ACCOUNT'!A7="","",'NEW ACCOUNT'!B7)</f>
        <v/>
      </c>
      <c r="C6" s="22">
        <f>IF('NEW ACCOUNT'!A7="","",'NEW ACCOUNT'!C7)</f>
        <v/>
      </c>
      <c r="D6" s="22">
        <f>IF('NEW ACCOUNT'!A7="","",'NEW ACCOUNT'!D7)</f>
        <v/>
      </c>
      <c r="E6" s="22">
        <f>IF('NEW ACCOUNT'!A7="","",'NEW ACCOUNT'!E7)</f>
        <v/>
      </c>
      <c r="F6" s="22">
        <f>IF('NEW ACCOUNT'!A7="","",'NEW ACCOUNT'!F7)</f>
        <v/>
      </c>
      <c r="G6" s="22">
        <f>IF('NEW ACCOUNT'!A7="","",'NEW ACCOUNT'!G7)</f>
        <v/>
      </c>
      <c r="H6" s="22">
        <f>IF('NEW ACCOUNT'!A7="","",'NEW ACCOUNT'!H7)</f>
        <v/>
      </c>
      <c r="I6" s="23">
        <f>IFERROR(IF(A6="","",SUMIF(SAVINGS!$A:$A,A6,SAVINGS!$E:$E)),"")</f>
        <v/>
      </c>
      <c r="J6" s="23">
        <f>IFERROR(IF(A6="","",SUMIF(SAVINGS!$A:$A,A6,SAVINGS!$E:$E)-SUMIF(WITHDRAWALS!$A:$A,A6,WITHDRAWALS!$E:$E)),"")</f>
        <v/>
      </c>
    </row>
    <row r="7" ht="20" customHeight="1">
      <c r="A7" s="18">
        <f>'NEW ACCOUNT'!A8</f>
        <v/>
      </c>
      <c r="B7" s="19">
        <f>IF('NEW ACCOUNT'!A8="","",'NEW ACCOUNT'!B8)</f>
        <v/>
      </c>
      <c r="C7" s="19">
        <f>IF('NEW ACCOUNT'!A8="","",'NEW ACCOUNT'!C8)</f>
        <v/>
      </c>
      <c r="D7" s="19">
        <f>IF('NEW ACCOUNT'!A8="","",'NEW ACCOUNT'!D8)</f>
        <v/>
      </c>
      <c r="E7" s="19">
        <f>IF('NEW ACCOUNT'!A8="","",'NEW ACCOUNT'!E8)</f>
        <v/>
      </c>
      <c r="F7" s="19">
        <f>IF('NEW ACCOUNT'!A8="","",'NEW ACCOUNT'!F8)</f>
        <v/>
      </c>
      <c r="G7" s="19">
        <f>IF('NEW ACCOUNT'!A8="","",'NEW ACCOUNT'!G8)</f>
        <v/>
      </c>
      <c r="H7" s="19">
        <f>IF('NEW ACCOUNT'!A8="","",'NEW ACCOUNT'!H8)</f>
        <v/>
      </c>
      <c r="I7" s="20">
        <f>IFERROR(IF(A7="","",SUMIF(SAVINGS!$A:$A,A7,SAVINGS!$E:$E)),"")</f>
        <v/>
      </c>
      <c r="J7" s="20">
        <f>IFERROR(IF(A7="","",SUMIF(SAVINGS!$A:$A,A7,SAVINGS!$E:$E)-SUMIF(WITHDRAWALS!$A:$A,A7,WITHDRAWALS!$E:$E)),"")</f>
        <v/>
      </c>
    </row>
    <row r="8" ht="20" customHeight="1">
      <c r="A8" s="21">
        <f>'NEW ACCOUNT'!A9</f>
        <v/>
      </c>
      <c r="B8" s="22">
        <f>IF('NEW ACCOUNT'!A9="","",'NEW ACCOUNT'!B9)</f>
        <v/>
      </c>
      <c r="C8" s="22">
        <f>IF('NEW ACCOUNT'!A9="","",'NEW ACCOUNT'!C9)</f>
        <v/>
      </c>
      <c r="D8" s="22">
        <f>IF('NEW ACCOUNT'!A9="","",'NEW ACCOUNT'!D9)</f>
        <v/>
      </c>
      <c r="E8" s="22">
        <f>IF('NEW ACCOUNT'!A9="","",'NEW ACCOUNT'!E9)</f>
        <v/>
      </c>
      <c r="F8" s="22">
        <f>IF('NEW ACCOUNT'!A9="","",'NEW ACCOUNT'!F9)</f>
        <v/>
      </c>
      <c r="G8" s="22">
        <f>IF('NEW ACCOUNT'!A9="","",'NEW ACCOUNT'!G9)</f>
        <v/>
      </c>
      <c r="H8" s="22">
        <f>IF('NEW ACCOUNT'!A9="","",'NEW ACCOUNT'!H9)</f>
        <v/>
      </c>
      <c r="I8" s="23">
        <f>IFERROR(IF(A8="","",SUMIF(SAVINGS!$A:$A,A8,SAVINGS!$E:$E)),"")</f>
        <v/>
      </c>
      <c r="J8" s="23">
        <f>IFERROR(IF(A8="","",SUMIF(SAVINGS!$A:$A,A8,SAVINGS!$E:$E)-SUMIF(WITHDRAWALS!$A:$A,A8,WITHDRAWALS!$E:$E)),"")</f>
        <v/>
      </c>
    </row>
    <row r="9" ht="20" customHeight="1">
      <c r="A9" s="18">
        <f>'NEW ACCOUNT'!A10</f>
        <v/>
      </c>
      <c r="B9" s="19">
        <f>IF('NEW ACCOUNT'!A10="","",'NEW ACCOUNT'!B10)</f>
        <v/>
      </c>
      <c r="C9" s="19">
        <f>IF('NEW ACCOUNT'!A10="","",'NEW ACCOUNT'!C10)</f>
        <v/>
      </c>
      <c r="D9" s="19">
        <f>IF('NEW ACCOUNT'!A10="","",'NEW ACCOUNT'!D10)</f>
        <v/>
      </c>
      <c r="E9" s="19">
        <f>IF('NEW ACCOUNT'!A10="","",'NEW ACCOUNT'!E10)</f>
        <v/>
      </c>
      <c r="F9" s="19">
        <f>IF('NEW ACCOUNT'!A10="","",'NEW ACCOUNT'!F10)</f>
        <v/>
      </c>
      <c r="G9" s="19">
        <f>IF('NEW ACCOUNT'!A10="","",'NEW ACCOUNT'!G10)</f>
        <v/>
      </c>
      <c r="H9" s="19">
        <f>IF('NEW ACCOUNT'!A10="","",'NEW ACCOUNT'!H10)</f>
        <v/>
      </c>
      <c r="I9" s="20">
        <f>IFERROR(IF(A9="","",SUMIF(SAVINGS!$A:$A,A9,SAVINGS!$E:$E)),"")</f>
        <v/>
      </c>
      <c r="J9" s="20">
        <f>IFERROR(IF(A9="","",SUMIF(SAVINGS!$A:$A,A9,SAVINGS!$E:$E)-SUMIF(WITHDRAWALS!$A:$A,A9,WITHDRAWALS!$E:$E)),"")</f>
        <v/>
      </c>
    </row>
    <row r="10" ht="20" customHeight="1">
      <c r="A10" s="21">
        <f>'NEW ACCOUNT'!A11</f>
        <v/>
      </c>
      <c r="B10" s="22">
        <f>IF('NEW ACCOUNT'!A11="","",'NEW ACCOUNT'!B11)</f>
        <v/>
      </c>
      <c r="C10" s="22">
        <f>IF('NEW ACCOUNT'!A11="","",'NEW ACCOUNT'!C11)</f>
        <v/>
      </c>
      <c r="D10" s="22">
        <f>IF('NEW ACCOUNT'!A11="","",'NEW ACCOUNT'!D11)</f>
        <v/>
      </c>
      <c r="E10" s="22">
        <f>IF('NEW ACCOUNT'!A11="","",'NEW ACCOUNT'!E11)</f>
        <v/>
      </c>
      <c r="F10" s="22">
        <f>IF('NEW ACCOUNT'!A11="","",'NEW ACCOUNT'!F11)</f>
        <v/>
      </c>
      <c r="G10" s="22">
        <f>IF('NEW ACCOUNT'!A11="","",'NEW ACCOUNT'!G11)</f>
        <v/>
      </c>
      <c r="H10" s="22">
        <f>IF('NEW ACCOUNT'!A11="","",'NEW ACCOUNT'!H11)</f>
        <v/>
      </c>
      <c r="I10" s="23">
        <f>IFERROR(IF(A10="","",SUMIF(SAVINGS!$A:$A,A10,SAVINGS!$E:$E)),"")</f>
        <v/>
      </c>
      <c r="J10" s="23">
        <f>IFERROR(IF(A10="","",SUMIF(SAVINGS!$A:$A,A10,SAVINGS!$E:$E)-SUMIF(WITHDRAWALS!$A:$A,A10,WITHDRAWALS!$E:$E)),"")</f>
        <v/>
      </c>
    </row>
    <row r="11" ht="20" customHeight="1">
      <c r="A11" s="18">
        <f>'NEW ACCOUNT'!A12</f>
        <v/>
      </c>
      <c r="B11" s="19">
        <f>IF('NEW ACCOUNT'!A12="","",'NEW ACCOUNT'!B12)</f>
        <v/>
      </c>
      <c r="C11" s="19">
        <f>IF('NEW ACCOUNT'!A12="","",'NEW ACCOUNT'!C12)</f>
        <v/>
      </c>
      <c r="D11" s="19">
        <f>IF('NEW ACCOUNT'!A12="","",'NEW ACCOUNT'!D12)</f>
        <v/>
      </c>
      <c r="E11" s="19">
        <f>IF('NEW ACCOUNT'!A12="","",'NEW ACCOUNT'!E12)</f>
        <v/>
      </c>
      <c r="F11" s="19">
        <f>IF('NEW ACCOUNT'!A12="","",'NEW ACCOUNT'!F12)</f>
        <v/>
      </c>
      <c r="G11" s="19">
        <f>IF('NEW ACCOUNT'!A12="","",'NEW ACCOUNT'!G12)</f>
        <v/>
      </c>
      <c r="H11" s="19">
        <f>IF('NEW ACCOUNT'!A12="","",'NEW ACCOUNT'!H12)</f>
        <v/>
      </c>
      <c r="I11" s="20">
        <f>IFERROR(IF(A11="","",SUMIF(SAVINGS!$A:$A,A11,SAVINGS!$E:$E)),"")</f>
        <v/>
      </c>
      <c r="J11" s="20">
        <f>IFERROR(IF(A11="","",SUMIF(SAVINGS!$A:$A,A11,SAVINGS!$E:$E)-SUMIF(WITHDRAWALS!$A:$A,A11,WITHDRAWALS!$E:$E)),"")</f>
        <v/>
      </c>
    </row>
    <row r="12" ht="20" customHeight="1">
      <c r="A12" s="21">
        <f>'NEW ACCOUNT'!A13</f>
        <v/>
      </c>
      <c r="B12" s="22">
        <f>IF('NEW ACCOUNT'!A13="","",'NEW ACCOUNT'!B13)</f>
        <v/>
      </c>
      <c r="C12" s="22">
        <f>IF('NEW ACCOUNT'!A13="","",'NEW ACCOUNT'!C13)</f>
        <v/>
      </c>
      <c r="D12" s="22">
        <f>IF('NEW ACCOUNT'!A13="","",'NEW ACCOUNT'!D13)</f>
        <v/>
      </c>
      <c r="E12" s="22">
        <f>IF('NEW ACCOUNT'!A13="","",'NEW ACCOUNT'!E13)</f>
        <v/>
      </c>
      <c r="F12" s="22">
        <f>IF('NEW ACCOUNT'!A13="","",'NEW ACCOUNT'!F13)</f>
        <v/>
      </c>
      <c r="G12" s="22">
        <f>IF('NEW ACCOUNT'!A13="","",'NEW ACCOUNT'!G13)</f>
        <v/>
      </c>
      <c r="H12" s="22">
        <f>IF('NEW ACCOUNT'!A13="","",'NEW ACCOUNT'!H13)</f>
        <v/>
      </c>
      <c r="I12" s="23">
        <f>IFERROR(IF(A12="","",SUMIF(SAVINGS!$A:$A,A12,SAVINGS!$E:$E)),"")</f>
        <v/>
      </c>
      <c r="J12" s="23">
        <f>IFERROR(IF(A12="","",SUMIF(SAVINGS!$A:$A,A12,SAVINGS!$E:$E)-SUMIF(WITHDRAWALS!$A:$A,A12,WITHDRAWALS!$E:$E)),"")</f>
        <v/>
      </c>
    </row>
    <row r="13" ht="20" customHeight="1">
      <c r="A13" s="18">
        <f>'NEW ACCOUNT'!A14</f>
        <v/>
      </c>
      <c r="B13" s="19">
        <f>IF('NEW ACCOUNT'!A14="","",'NEW ACCOUNT'!B14)</f>
        <v/>
      </c>
      <c r="C13" s="19">
        <f>IF('NEW ACCOUNT'!A14="","",'NEW ACCOUNT'!C14)</f>
        <v/>
      </c>
      <c r="D13" s="19">
        <f>IF('NEW ACCOUNT'!A14="","",'NEW ACCOUNT'!D14)</f>
        <v/>
      </c>
      <c r="E13" s="19">
        <f>IF('NEW ACCOUNT'!A14="","",'NEW ACCOUNT'!E14)</f>
        <v/>
      </c>
      <c r="F13" s="19">
        <f>IF('NEW ACCOUNT'!A14="","",'NEW ACCOUNT'!F14)</f>
        <v/>
      </c>
      <c r="G13" s="19">
        <f>IF('NEW ACCOUNT'!A14="","",'NEW ACCOUNT'!G14)</f>
        <v/>
      </c>
      <c r="H13" s="19">
        <f>IF('NEW ACCOUNT'!A14="","",'NEW ACCOUNT'!H14)</f>
        <v/>
      </c>
      <c r="I13" s="20">
        <f>IFERROR(IF(A13="","",SUMIF(SAVINGS!$A:$A,A13,SAVINGS!$E:$E)),"")</f>
        <v/>
      </c>
      <c r="J13" s="20">
        <f>IFERROR(IF(A13="","",SUMIF(SAVINGS!$A:$A,A13,SAVINGS!$E:$E)-SUMIF(WITHDRAWALS!$A:$A,A13,WITHDRAWALS!$E:$E)),"")</f>
        <v/>
      </c>
    </row>
    <row r="14" ht="20" customHeight="1">
      <c r="A14" s="21">
        <f>'NEW ACCOUNT'!A15</f>
        <v/>
      </c>
      <c r="B14" s="22">
        <f>IF('NEW ACCOUNT'!A15="","",'NEW ACCOUNT'!B15)</f>
        <v/>
      </c>
      <c r="C14" s="22">
        <f>IF('NEW ACCOUNT'!A15="","",'NEW ACCOUNT'!C15)</f>
        <v/>
      </c>
      <c r="D14" s="22">
        <f>IF('NEW ACCOUNT'!A15="","",'NEW ACCOUNT'!D15)</f>
        <v/>
      </c>
      <c r="E14" s="22">
        <f>IF('NEW ACCOUNT'!A15="","",'NEW ACCOUNT'!E15)</f>
        <v/>
      </c>
      <c r="F14" s="22">
        <f>IF('NEW ACCOUNT'!A15="","",'NEW ACCOUNT'!F15)</f>
        <v/>
      </c>
      <c r="G14" s="22">
        <f>IF('NEW ACCOUNT'!A15="","",'NEW ACCOUNT'!G15)</f>
        <v/>
      </c>
      <c r="H14" s="22">
        <f>IF('NEW ACCOUNT'!A15="","",'NEW ACCOUNT'!H15)</f>
        <v/>
      </c>
      <c r="I14" s="23">
        <f>IFERROR(IF(A14="","",SUMIF(SAVINGS!$A:$A,A14,SAVINGS!$E:$E)),"")</f>
        <v/>
      </c>
      <c r="J14" s="23">
        <f>IFERROR(IF(A14="","",SUMIF(SAVINGS!$A:$A,A14,SAVINGS!$E:$E)-SUMIF(WITHDRAWALS!$A:$A,A14,WITHDRAWALS!$E:$E)),"")</f>
        <v/>
      </c>
    </row>
    <row r="15" ht="20" customHeight="1">
      <c r="A15" s="18">
        <f>'NEW ACCOUNT'!A16</f>
        <v/>
      </c>
      <c r="B15" s="19">
        <f>IF('NEW ACCOUNT'!A16="","",'NEW ACCOUNT'!B16)</f>
        <v/>
      </c>
      <c r="C15" s="19">
        <f>IF('NEW ACCOUNT'!A16="","",'NEW ACCOUNT'!C16)</f>
        <v/>
      </c>
      <c r="D15" s="19">
        <f>IF('NEW ACCOUNT'!A16="","",'NEW ACCOUNT'!D16)</f>
        <v/>
      </c>
      <c r="E15" s="19">
        <f>IF('NEW ACCOUNT'!A16="","",'NEW ACCOUNT'!E16)</f>
        <v/>
      </c>
      <c r="F15" s="19">
        <f>IF('NEW ACCOUNT'!A16="","",'NEW ACCOUNT'!F16)</f>
        <v/>
      </c>
      <c r="G15" s="19">
        <f>IF('NEW ACCOUNT'!A16="","",'NEW ACCOUNT'!G16)</f>
        <v/>
      </c>
      <c r="H15" s="19">
        <f>IF('NEW ACCOUNT'!A16="","",'NEW ACCOUNT'!H16)</f>
        <v/>
      </c>
      <c r="I15" s="20">
        <f>IFERROR(IF(A15="","",SUMIF(SAVINGS!$A:$A,A15,SAVINGS!$E:$E)),"")</f>
        <v/>
      </c>
      <c r="J15" s="20">
        <f>IFERROR(IF(A15="","",SUMIF(SAVINGS!$A:$A,A15,SAVINGS!$E:$E)-SUMIF(WITHDRAWALS!$A:$A,A15,WITHDRAWALS!$E:$E)),"")</f>
        <v/>
      </c>
    </row>
    <row r="16" ht="20" customHeight="1">
      <c r="A16" s="21">
        <f>'NEW ACCOUNT'!A17</f>
        <v/>
      </c>
      <c r="B16" s="22">
        <f>IF('NEW ACCOUNT'!A17="","",'NEW ACCOUNT'!B17)</f>
        <v/>
      </c>
      <c r="C16" s="22">
        <f>IF('NEW ACCOUNT'!A17="","",'NEW ACCOUNT'!C17)</f>
        <v/>
      </c>
      <c r="D16" s="22">
        <f>IF('NEW ACCOUNT'!A17="","",'NEW ACCOUNT'!D17)</f>
        <v/>
      </c>
      <c r="E16" s="22">
        <f>IF('NEW ACCOUNT'!A17="","",'NEW ACCOUNT'!E17)</f>
        <v/>
      </c>
      <c r="F16" s="22">
        <f>IF('NEW ACCOUNT'!A17="","",'NEW ACCOUNT'!F17)</f>
        <v/>
      </c>
      <c r="G16" s="22">
        <f>IF('NEW ACCOUNT'!A17="","",'NEW ACCOUNT'!G17)</f>
        <v/>
      </c>
      <c r="H16" s="22">
        <f>IF('NEW ACCOUNT'!A17="","",'NEW ACCOUNT'!H17)</f>
        <v/>
      </c>
      <c r="I16" s="23">
        <f>IFERROR(IF(A16="","",SUMIF(SAVINGS!$A:$A,A16,SAVINGS!$E:$E)),"")</f>
        <v/>
      </c>
      <c r="J16" s="23">
        <f>IFERROR(IF(A16="","",SUMIF(SAVINGS!$A:$A,A16,SAVINGS!$E:$E)-SUMIF(WITHDRAWALS!$A:$A,A16,WITHDRAWALS!$E:$E)),"")</f>
        <v/>
      </c>
    </row>
    <row r="17" ht="20" customHeight="1">
      <c r="A17" s="18">
        <f>'NEW ACCOUNT'!A18</f>
        <v/>
      </c>
      <c r="B17" s="19">
        <f>IF('NEW ACCOUNT'!A18="","",'NEW ACCOUNT'!B18)</f>
        <v/>
      </c>
      <c r="C17" s="19">
        <f>IF('NEW ACCOUNT'!A18="","",'NEW ACCOUNT'!C18)</f>
        <v/>
      </c>
      <c r="D17" s="19">
        <f>IF('NEW ACCOUNT'!A18="","",'NEW ACCOUNT'!D18)</f>
        <v/>
      </c>
      <c r="E17" s="19">
        <f>IF('NEW ACCOUNT'!A18="","",'NEW ACCOUNT'!E18)</f>
        <v/>
      </c>
      <c r="F17" s="19">
        <f>IF('NEW ACCOUNT'!A18="","",'NEW ACCOUNT'!F18)</f>
        <v/>
      </c>
      <c r="G17" s="19">
        <f>IF('NEW ACCOUNT'!A18="","",'NEW ACCOUNT'!G18)</f>
        <v/>
      </c>
      <c r="H17" s="19">
        <f>IF('NEW ACCOUNT'!A18="","",'NEW ACCOUNT'!H18)</f>
        <v/>
      </c>
      <c r="I17" s="20">
        <f>IFERROR(IF(A17="","",SUMIF(SAVINGS!$A:$A,A17,SAVINGS!$E:$E)),"")</f>
        <v/>
      </c>
      <c r="J17" s="20">
        <f>IFERROR(IF(A17="","",SUMIF(SAVINGS!$A:$A,A17,SAVINGS!$E:$E)-SUMIF(WITHDRAWALS!$A:$A,A17,WITHDRAWALS!$E:$E)),"")</f>
        <v/>
      </c>
    </row>
    <row r="18" ht="20" customHeight="1">
      <c r="A18" s="21">
        <f>'NEW ACCOUNT'!A19</f>
        <v/>
      </c>
      <c r="B18" s="22">
        <f>IF('NEW ACCOUNT'!A19="","",'NEW ACCOUNT'!B19)</f>
        <v/>
      </c>
      <c r="C18" s="22">
        <f>IF('NEW ACCOUNT'!A19="","",'NEW ACCOUNT'!C19)</f>
        <v/>
      </c>
      <c r="D18" s="22">
        <f>IF('NEW ACCOUNT'!A19="","",'NEW ACCOUNT'!D19)</f>
        <v/>
      </c>
      <c r="E18" s="22">
        <f>IF('NEW ACCOUNT'!A19="","",'NEW ACCOUNT'!E19)</f>
        <v/>
      </c>
      <c r="F18" s="22">
        <f>IF('NEW ACCOUNT'!A19="","",'NEW ACCOUNT'!F19)</f>
        <v/>
      </c>
      <c r="G18" s="22">
        <f>IF('NEW ACCOUNT'!A19="","",'NEW ACCOUNT'!G19)</f>
        <v/>
      </c>
      <c r="H18" s="22">
        <f>IF('NEW ACCOUNT'!A19="","",'NEW ACCOUNT'!H19)</f>
        <v/>
      </c>
      <c r="I18" s="23">
        <f>IFERROR(IF(A18="","",SUMIF(SAVINGS!$A:$A,A18,SAVINGS!$E:$E)),"")</f>
        <v/>
      </c>
      <c r="J18" s="23">
        <f>IFERROR(IF(A18="","",SUMIF(SAVINGS!$A:$A,A18,SAVINGS!$E:$E)-SUMIF(WITHDRAWALS!$A:$A,A18,WITHDRAWALS!$E:$E)),"")</f>
        <v/>
      </c>
    </row>
    <row r="19" ht="20" customHeight="1">
      <c r="A19" s="18">
        <f>'NEW ACCOUNT'!A20</f>
        <v/>
      </c>
      <c r="B19" s="19">
        <f>IF('NEW ACCOUNT'!A20="","",'NEW ACCOUNT'!B20)</f>
        <v/>
      </c>
      <c r="C19" s="19">
        <f>IF('NEW ACCOUNT'!A20="","",'NEW ACCOUNT'!C20)</f>
        <v/>
      </c>
      <c r="D19" s="19">
        <f>IF('NEW ACCOUNT'!A20="","",'NEW ACCOUNT'!D20)</f>
        <v/>
      </c>
      <c r="E19" s="19">
        <f>IF('NEW ACCOUNT'!A20="","",'NEW ACCOUNT'!E20)</f>
        <v/>
      </c>
      <c r="F19" s="19">
        <f>IF('NEW ACCOUNT'!A20="","",'NEW ACCOUNT'!F20)</f>
        <v/>
      </c>
      <c r="G19" s="19">
        <f>IF('NEW ACCOUNT'!A20="","",'NEW ACCOUNT'!G20)</f>
        <v/>
      </c>
      <c r="H19" s="19">
        <f>IF('NEW ACCOUNT'!A20="","",'NEW ACCOUNT'!H20)</f>
        <v/>
      </c>
      <c r="I19" s="20">
        <f>IFERROR(IF(A19="","",SUMIF(SAVINGS!$A:$A,A19,SAVINGS!$E:$E)),"")</f>
        <v/>
      </c>
      <c r="J19" s="20">
        <f>IFERROR(IF(A19="","",SUMIF(SAVINGS!$A:$A,A19,SAVINGS!$E:$E)-SUMIF(WITHDRAWALS!$A:$A,A19,WITHDRAWALS!$E:$E)),"")</f>
        <v/>
      </c>
    </row>
    <row r="20" ht="20" customHeight="1">
      <c r="A20" s="21">
        <f>'NEW ACCOUNT'!A21</f>
        <v/>
      </c>
      <c r="B20" s="22">
        <f>IF('NEW ACCOUNT'!A21="","",'NEW ACCOUNT'!B21)</f>
        <v/>
      </c>
      <c r="C20" s="22">
        <f>IF('NEW ACCOUNT'!A21="","",'NEW ACCOUNT'!C21)</f>
        <v/>
      </c>
      <c r="D20" s="22">
        <f>IF('NEW ACCOUNT'!A21="","",'NEW ACCOUNT'!D21)</f>
        <v/>
      </c>
      <c r="E20" s="22">
        <f>IF('NEW ACCOUNT'!A21="","",'NEW ACCOUNT'!E21)</f>
        <v/>
      </c>
      <c r="F20" s="22">
        <f>IF('NEW ACCOUNT'!A21="","",'NEW ACCOUNT'!F21)</f>
        <v/>
      </c>
      <c r="G20" s="22">
        <f>IF('NEW ACCOUNT'!A21="","",'NEW ACCOUNT'!G21)</f>
        <v/>
      </c>
      <c r="H20" s="22">
        <f>IF('NEW ACCOUNT'!A21="","",'NEW ACCOUNT'!H21)</f>
        <v/>
      </c>
      <c r="I20" s="23">
        <f>IFERROR(IF(A20="","",SUMIF(SAVINGS!$A:$A,A20,SAVINGS!$E:$E)),"")</f>
        <v/>
      </c>
      <c r="J20" s="23">
        <f>IFERROR(IF(A20="","",SUMIF(SAVINGS!$A:$A,A20,SAVINGS!$E:$E)-SUMIF(WITHDRAWALS!$A:$A,A20,WITHDRAWALS!$E:$E)),"")</f>
        <v/>
      </c>
    </row>
    <row r="21" ht="20" customHeight="1">
      <c r="A21" s="18">
        <f>'NEW ACCOUNT'!A22</f>
        <v/>
      </c>
      <c r="B21" s="19">
        <f>IF('NEW ACCOUNT'!A22="","",'NEW ACCOUNT'!B22)</f>
        <v/>
      </c>
      <c r="C21" s="19">
        <f>IF('NEW ACCOUNT'!A22="","",'NEW ACCOUNT'!C22)</f>
        <v/>
      </c>
      <c r="D21" s="19">
        <f>IF('NEW ACCOUNT'!A22="","",'NEW ACCOUNT'!D22)</f>
        <v/>
      </c>
      <c r="E21" s="19">
        <f>IF('NEW ACCOUNT'!A22="","",'NEW ACCOUNT'!E22)</f>
        <v/>
      </c>
      <c r="F21" s="19">
        <f>IF('NEW ACCOUNT'!A22="","",'NEW ACCOUNT'!F22)</f>
        <v/>
      </c>
      <c r="G21" s="19">
        <f>IF('NEW ACCOUNT'!A22="","",'NEW ACCOUNT'!G22)</f>
        <v/>
      </c>
      <c r="H21" s="19">
        <f>IF('NEW ACCOUNT'!A22="","",'NEW ACCOUNT'!H22)</f>
        <v/>
      </c>
      <c r="I21" s="20">
        <f>IFERROR(IF(A21="","",SUMIF(SAVINGS!$A:$A,A21,SAVINGS!$E:$E)),"")</f>
        <v/>
      </c>
      <c r="J21" s="20">
        <f>IFERROR(IF(A21="","",SUMIF(SAVINGS!$A:$A,A21,SAVINGS!$E:$E)-SUMIF(WITHDRAWALS!$A:$A,A21,WITHDRAWALS!$E:$E)),"")</f>
        <v/>
      </c>
    </row>
    <row r="22" ht="20" customHeight="1">
      <c r="A22" s="21">
        <f>'NEW ACCOUNT'!A23</f>
        <v/>
      </c>
      <c r="B22" s="22">
        <f>IF('NEW ACCOUNT'!A23="","",'NEW ACCOUNT'!B23)</f>
        <v/>
      </c>
      <c r="C22" s="22">
        <f>IF('NEW ACCOUNT'!A23="","",'NEW ACCOUNT'!C23)</f>
        <v/>
      </c>
      <c r="D22" s="22">
        <f>IF('NEW ACCOUNT'!A23="","",'NEW ACCOUNT'!D23)</f>
        <v/>
      </c>
      <c r="E22" s="22">
        <f>IF('NEW ACCOUNT'!A23="","",'NEW ACCOUNT'!E23)</f>
        <v/>
      </c>
      <c r="F22" s="22">
        <f>IF('NEW ACCOUNT'!A23="","",'NEW ACCOUNT'!F23)</f>
        <v/>
      </c>
      <c r="G22" s="22">
        <f>IF('NEW ACCOUNT'!A23="","",'NEW ACCOUNT'!G23)</f>
        <v/>
      </c>
      <c r="H22" s="22">
        <f>IF('NEW ACCOUNT'!A23="","",'NEW ACCOUNT'!H23)</f>
        <v/>
      </c>
      <c r="I22" s="23">
        <f>IFERROR(IF(A22="","",SUMIF(SAVINGS!$A:$A,A22,SAVINGS!$E:$E)),"")</f>
        <v/>
      </c>
      <c r="J22" s="23">
        <f>IFERROR(IF(A22="","",SUMIF(SAVINGS!$A:$A,A22,SAVINGS!$E:$E)-SUMIF(WITHDRAWALS!$A:$A,A22,WITHDRAWALS!$E:$E)),"")</f>
        <v/>
      </c>
    </row>
    <row r="23" ht="20" customHeight="1">
      <c r="A23" s="18">
        <f>'NEW ACCOUNT'!A24</f>
        <v/>
      </c>
      <c r="B23" s="19">
        <f>IF('NEW ACCOUNT'!A24="","",'NEW ACCOUNT'!B24)</f>
        <v/>
      </c>
      <c r="C23" s="19">
        <f>IF('NEW ACCOUNT'!A24="","",'NEW ACCOUNT'!C24)</f>
        <v/>
      </c>
      <c r="D23" s="19">
        <f>IF('NEW ACCOUNT'!A24="","",'NEW ACCOUNT'!D24)</f>
        <v/>
      </c>
      <c r="E23" s="19">
        <f>IF('NEW ACCOUNT'!A24="","",'NEW ACCOUNT'!E24)</f>
        <v/>
      </c>
      <c r="F23" s="19">
        <f>IF('NEW ACCOUNT'!A24="","",'NEW ACCOUNT'!F24)</f>
        <v/>
      </c>
      <c r="G23" s="19">
        <f>IF('NEW ACCOUNT'!A24="","",'NEW ACCOUNT'!G24)</f>
        <v/>
      </c>
      <c r="H23" s="19">
        <f>IF('NEW ACCOUNT'!A24="","",'NEW ACCOUNT'!H24)</f>
        <v/>
      </c>
      <c r="I23" s="20">
        <f>IFERROR(IF(A23="","",SUMIF(SAVINGS!$A:$A,A23,SAVINGS!$E:$E)),"")</f>
        <v/>
      </c>
      <c r="J23" s="20">
        <f>IFERROR(IF(A23="","",SUMIF(SAVINGS!$A:$A,A23,SAVINGS!$E:$E)-SUMIF(WITHDRAWALS!$A:$A,A23,WITHDRAWALS!$E:$E)),"")</f>
        <v/>
      </c>
    </row>
    <row r="24" ht="20" customHeight="1">
      <c r="A24" s="21">
        <f>'NEW ACCOUNT'!A25</f>
        <v/>
      </c>
      <c r="B24" s="22">
        <f>IF('NEW ACCOUNT'!A25="","",'NEW ACCOUNT'!B25)</f>
        <v/>
      </c>
      <c r="C24" s="22">
        <f>IF('NEW ACCOUNT'!A25="","",'NEW ACCOUNT'!C25)</f>
        <v/>
      </c>
      <c r="D24" s="22">
        <f>IF('NEW ACCOUNT'!A25="","",'NEW ACCOUNT'!D25)</f>
        <v/>
      </c>
      <c r="E24" s="22">
        <f>IF('NEW ACCOUNT'!A25="","",'NEW ACCOUNT'!E25)</f>
        <v/>
      </c>
      <c r="F24" s="22">
        <f>IF('NEW ACCOUNT'!A25="","",'NEW ACCOUNT'!F25)</f>
        <v/>
      </c>
      <c r="G24" s="22">
        <f>IF('NEW ACCOUNT'!A25="","",'NEW ACCOUNT'!G25)</f>
        <v/>
      </c>
      <c r="H24" s="22">
        <f>IF('NEW ACCOUNT'!A25="","",'NEW ACCOUNT'!H25)</f>
        <v/>
      </c>
      <c r="I24" s="23">
        <f>IFERROR(IF(A24="","",SUMIF(SAVINGS!$A:$A,A24,SAVINGS!$E:$E)),"")</f>
        <v/>
      </c>
      <c r="J24" s="23">
        <f>IFERROR(IF(A24="","",SUMIF(SAVINGS!$A:$A,A24,SAVINGS!$E:$E)-SUMIF(WITHDRAWALS!$A:$A,A24,WITHDRAWALS!$E:$E)),"")</f>
        <v/>
      </c>
    </row>
    <row r="25" ht="20" customHeight="1">
      <c r="A25" s="18">
        <f>'NEW ACCOUNT'!A26</f>
        <v/>
      </c>
      <c r="B25" s="19">
        <f>IF('NEW ACCOUNT'!A26="","",'NEW ACCOUNT'!B26)</f>
        <v/>
      </c>
      <c r="C25" s="19">
        <f>IF('NEW ACCOUNT'!A26="","",'NEW ACCOUNT'!C26)</f>
        <v/>
      </c>
      <c r="D25" s="19">
        <f>IF('NEW ACCOUNT'!A26="","",'NEW ACCOUNT'!D26)</f>
        <v/>
      </c>
      <c r="E25" s="19">
        <f>IF('NEW ACCOUNT'!A26="","",'NEW ACCOUNT'!E26)</f>
        <v/>
      </c>
      <c r="F25" s="19">
        <f>IF('NEW ACCOUNT'!A26="","",'NEW ACCOUNT'!F26)</f>
        <v/>
      </c>
      <c r="G25" s="19">
        <f>IF('NEW ACCOUNT'!A26="","",'NEW ACCOUNT'!G26)</f>
        <v/>
      </c>
      <c r="H25" s="19">
        <f>IF('NEW ACCOUNT'!A26="","",'NEW ACCOUNT'!H26)</f>
        <v/>
      </c>
      <c r="I25" s="20">
        <f>IFERROR(IF(A25="","",SUMIF(SAVINGS!$A:$A,A25,SAVINGS!$E:$E)),"")</f>
        <v/>
      </c>
      <c r="J25" s="20">
        <f>IFERROR(IF(A25="","",SUMIF(SAVINGS!$A:$A,A25,SAVINGS!$E:$E)-SUMIF(WITHDRAWALS!$A:$A,A25,WITHDRAWALS!$E:$E)),"")</f>
        <v/>
      </c>
    </row>
    <row r="26" ht="20" customHeight="1">
      <c r="A26" s="21">
        <f>'NEW ACCOUNT'!A27</f>
        <v/>
      </c>
      <c r="B26" s="22">
        <f>IF('NEW ACCOUNT'!A27="","",'NEW ACCOUNT'!B27)</f>
        <v/>
      </c>
      <c r="C26" s="22">
        <f>IF('NEW ACCOUNT'!A27="","",'NEW ACCOUNT'!C27)</f>
        <v/>
      </c>
      <c r="D26" s="22">
        <f>IF('NEW ACCOUNT'!A27="","",'NEW ACCOUNT'!D27)</f>
        <v/>
      </c>
      <c r="E26" s="22">
        <f>IF('NEW ACCOUNT'!A27="","",'NEW ACCOUNT'!E27)</f>
        <v/>
      </c>
      <c r="F26" s="22">
        <f>IF('NEW ACCOUNT'!A27="","",'NEW ACCOUNT'!F27)</f>
        <v/>
      </c>
      <c r="G26" s="22">
        <f>IF('NEW ACCOUNT'!A27="","",'NEW ACCOUNT'!G27)</f>
        <v/>
      </c>
      <c r="H26" s="22">
        <f>IF('NEW ACCOUNT'!A27="","",'NEW ACCOUNT'!H27)</f>
        <v/>
      </c>
      <c r="I26" s="23">
        <f>IFERROR(IF(A26="","",SUMIF(SAVINGS!$A:$A,A26,SAVINGS!$E:$E)),"")</f>
        <v/>
      </c>
      <c r="J26" s="23">
        <f>IFERROR(IF(A26="","",SUMIF(SAVINGS!$A:$A,A26,SAVINGS!$E:$E)-SUMIF(WITHDRAWALS!$A:$A,A26,WITHDRAWALS!$E:$E)),"")</f>
        <v/>
      </c>
    </row>
    <row r="27" ht="20" customHeight="1">
      <c r="A27" s="18">
        <f>'NEW ACCOUNT'!A28</f>
        <v/>
      </c>
      <c r="B27" s="19">
        <f>IF('NEW ACCOUNT'!A28="","",'NEW ACCOUNT'!B28)</f>
        <v/>
      </c>
      <c r="C27" s="19">
        <f>IF('NEW ACCOUNT'!A28="","",'NEW ACCOUNT'!C28)</f>
        <v/>
      </c>
      <c r="D27" s="19">
        <f>IF('NEW ACCOUNT'!A28="","",'NEW ACCOUNT'!D28)</f>
        <v/>
      </c>
      <c r="E27" s="19">
        <f>IF('NEW ACCOUNT'!A28="","",'NEW ACCOUNT'!E28)</f>
        <v/>
      </c>
      <c r="F27" s="19">
        <f>IF('NEW ACCOUNT'!A28="","",'NEW ACCOUNT'!F28)</f>
        <v/>
      </c>
      <c r="G27" s="19">
        <f>IF('NEW ACCOUNT'!A28="","",'NEW ACCOUNT'!G28)</f>
        <v/>
      </c>
      <c r="H27" s="19">
        <f>IF('NEW ACCOUNT'!A28="","",'NEW ACCOUNT'!H28)</f>
        <v/>
      </c>
      <c r="I27" s="20">
        <f>IFERROR(IF(A27="","",SUMIF(SAVINGS!$A:$A,A27,SAVINGS!$E:$E)),"")</f>
        <v/>
      </c>
      <c r="J27" s="20">
        <f>IFERROR(IF(A27="","",SUMIF(SAVINGS!$A:$A,A27,SAVINGS!$E:$E)-SUMIF(WITHDRAWALS!$A:$A,A27,WITHDRAWALS!$E:$E)),"")</f>
        <v/>
      </c>
    </row>
    <row r="28" ht="20" customHeight="1">
      <c r="A28" s="21">
        <f>'NEW ACCOUNT'!A29</f>
        <v/>
      </c>
      <c r="B28" s="22">
        <f>IF('NEW ACCOUNT'!A29="","",'NEW ACCOUNT'!B29)</f>
        <v/>
      </c>
      <c r="C28" s="22">
        <f>IF('NEW ACCOUNT'!A29="","",'NEW ACCOUNT'!C29)</f>
        <v/>
      </c>
      <c r="D28" s="22">
        <f>IF('NEW ACCOUNT'!A29="","",'NEW ACCOUNT'!D29)</f>
        <v/>
      </c>
      <c r="E28" s="22">
        <f>IF('NEW ACCOUNT'!A29="","",'NEW ACCOUNT'!E29)</f>
        <v/>
      </c>
      <c r="F28" s="22">
        <f>IF('NEW ACCOUNT'!A29="","",'NEW ACCOUNT'!F29)</f>
        <v/>
      </c>
      <c r="G28" s="22">
        <f>IF('NEW ACCOUNT'!A29="","",'NEW ACCOUNT'!G29)</f>
        <v/>
      </c>
      <c r="H28" s="22">
        <f>IF('NEW ACCOUNT'!A29="","",'NEW ACCOUNT'!H29)</f>
        <v/>
      </c>
      <c r="I28" s="23">
        <f>IFERROR(IF(A28="","",SUMIF(SAVINGS!$A:$A,A28,SAVINGS!$E:$E)),"")</f>
        <v/>
      </c>
      <c r="J28" s="23">
        <f>IFERROR(IF(A28="","",SUMIF(SAVINGS!$A:$A,A28,SAVINGS!$E:$E)-SUMIF(WITHDRAWALS!$A:$A,A28,WITHDRAWALS!$E:$E)),"")</f>
        <v/>
      </c>
    </row>
    <row r="29" ht="20" customHeight="1">
      <c r="A29" s="18">
        <f>'NEW ACCOUNT'!A30</f>
        <v/>
      </c>
      <c r="B29" s="19">
        <f>IF('NEW ACCOUNT'!A30="","",'NEW ACCOUNT'!B30)</f>
        <v/>
      </c>
      <c r="C29" s="19">
        <f>IF('NEW ACCOUNT'!A30="","",'NEW ACCOUNT'!C30)</f>
        <v/>
      </c>
      <c r="D29" s="19">
        <f>IF('NEW ACCOUNT'!A30="","",'NEW ACCOUNT'!D30)</f>
        <v/>
      </c>
      <c r="E29" s="19">
        <f>IF('NEW ACCOUNT'!A30="","",'NEW ACCOUNT'!E30)</f>
        <v/>
      </c>
      <c r="F29" s="19">
        <f>IF('NEW ACCOUNT'!A30="","",'NEW ACCOUNT'!F30)</f>
        <v/>
      </c>
      <c r="G29" s="19">
        <f>IF('NEW ACCOUNT'!A30="","",'NEW ACCOUNT'!G30)</f>
        <v/>
      </c>
      <c r="H29" s="19">
        <f>IF('NEW ACCOUNT'!A30="","",'NEW ACCOUNT'!H30)</f>
        <v/>
      </c>
      <c r="I29" s="20">
        <f>IFERROR(IF(A29="","",SUMIF(SAVINGS!$A:$A,A29,SAVINGS!$E:$E)),"")</f>
        <v/>
      </c>
      <c r="J29" s="20">
        <f>IFERROR(IF(A29="","",SUMIF(SAVINGS!$A:$A,A29,SAVINGS!$E:$E)-SUMIF(WITHDRAWALS!$A:$A,A29,WITHDRAWALS!$E:$E)),"")</f>
        <v/>
      </c>
    </row>
    <row r="30" ht="20" customHeight="1">
      <c r="A30" s="21">
        <f>'NEW ACCOUNT'!A31</f>
        <v/>
      </c>
      <c r="B30" s="22">
        <f>IF('NEW ACCOUNT'!A31="","",'NEW ACCOUNT'!B31)</f>
        <v/>
      </c>
      <c r="C30" s="22">
        <f>IF('NEW ACCOUNT'!A31="","",'NEW ACCOUNT'!C31)</f>
        <v/>
      </c>
      <c r="D30" s="22">
        <f>IF('NEW ACCOUNT'!A31="","",'NEW ACCOUNT'!D31)</f>
        <v/>
      </c>
      <c r="E30" s="22">
        <f>IF('NEW ACCOUNT'!A31="","",'NEW ACCOUNT'!E31)</f>
        <v/>
      </c>
      <c r="F30" s="22">
        <f>IF('NEW ACCOUNT'!A31="","",'NEW ACCOUNT'!F31)</f>
        <v/>
      </c>
      <c r="G30" s="22">
        <f>IF('NEW ACCOUNT'!A31="","",'NEW ACCOUNT'!G31)</f>
        <v/>
      </c>
      <c r="H30" s="22">
        <f>IF('NEW ACCOUNT'!A31="","",'NEW ACCOUNT'!H31)</f>
        <v/>
      </c>
      <c r="I30" s="23">
        <f>IFERROR(IF(A30="","",SUMIF(SAVINGS!$A:$A,A30,SAVINGS!$E:$E)),"")</f>
        <v/>
      </c>
      <c r="J30" s="23">
        <f>IFERROR(IF(A30="","",SUMIF(SAVINGS!$A:$A,A30,SAVINGS!$E:$E)-SUMIF(WITHDRAWALS!$A:$A,A30,WITHDRAWALS!$E:$E)),"")</f>
        <v/>
      </c>
    </row>
    <row r="31" ht="20" customHeight="1">
      <c r="A31" s="18">
        <f>'NEW ACCOUNT'!A32</f>
        <v/>
      </c>
      <c r="B31" s="19">
        <f>IF('NEW ACCOUNT'!A32="","",'NEW ACCOUNT'!B32)</f>
        <v/>
      </c>
      <c r="C31" s="19">
        <f>IF('NEW ACCOUNT'!A32="","",'NEW ACCOUNT'!C32)</f>
        <v/>
      </c>
      <c r="D31" s="19">
        <f>IF('NEW ACCOUNT'!A32="","",'NEW ACCOUNT'!D32)</f>
        <v/>
      </c>
      <c r="E31" s="19">
        <f>IF('NEW ACCOUNT'!A32="","",'NEW ACCOUNT'!E32)</f>
        <v/>
      </c>
      <c r="F31" s="19">
        <f>IF('NEW ACCOUNT'!A32="","",'NEW ACCOUNT'!F32)</f>
        <v/>
      </c>
      <c r="G31" s="19">
        <f>IF('NEW ACCOUNT'!A32="","",'NEW ACCOUNT'!G32)</f>
        <v/>
      </c>
      <c r="H31" s="19">
        <f>IF('NEW ACCOUNT'!A32="","",'NEW ACCOUNT'!H32)</f>
        <v/>
      </c>
      <c r="I31" s="20">
        <f>IFERROR(IF(A31="","",SUMIF(SAVINGS!$A:$A,A31,SAVINGS!$E:$E)),"")</f>
        <v/>
      </c>
      <c r="J31" s="20">
        <f>IFERROR(IF(A31="","",SUMIF(SAVINGS!$A:$A,A31,SAVINGS!$E:$E)-SUMIF(WITHDRAWALS!$A:$A,A31,WITHDRAWALS!$E:$E)),"")</f>
        <v/>
      </c>
    </row>
    <row r="32" ht="20" customHeight="1">
      <c r="A32" s="21">
        <f>'NEW ACCOUNT'!A33</f>
        <v/>
      </c>
      <c r="B32" s="22">
        <f>IF('NEW ACCOUNT'!A33="","",'NEW ACCOUNT'!B33)</f>
        <v/>
      </c>
      <c r="C32" s="22">
        <f>IF('NEW ACCOUNT'!A33="","",'NEW ACCOUNT'!C33)</f>
        <v/>
      </c>
      <c r="D32" s="22">
        <f>IF('NEW ACCOUNT'!A33="","",'NEW ACCOUNT'!D33)</f>
        <v/>
      </c>
      <c r="E32" s="22">
        <f>IF('NEW ACCOUNT'!A33="","",'NEW ACCOUNT'!E33)</f>
        <v/>
      </c>
      <c r="F32" s="22">
        <f>IF('NEW ACCOUNT'!A33="","",'NEW ACCOUNT'!F33)</f>
        <v/>
      </c>
      <c r="G32" s="22">
        <f>IF('NEW ACCOUNT'!A33="","",'NEW ACCOUNT'!G33)</f>
        <v/>
      </c>
      <c r="H32" s="22">
        <f>IF('NEW ACCOUNT'!A33="","",'NEW ACCOUNT'!H33)</f>
        <v/>
      </c>
      <c r="I32" s="23">
        <f>IFERROR(IF(A32="","",SUMIF(SAVINGS!$A:$A,A32,SAVINGS!$E:$E)),"")</f>
        <v/>
      </c>
      <c r="J32" s="23">
        <f>IFERROR(IF(A32="","",SUMIF(SAVINGS!$A:$A,A32,SAVINGS!$E:$E)-SUMIF(WITHDRAWALS!$A:$A,A32,WITHDRAWALS!$E:$E)),"")</f>
        <v/>
      </c>
    </row>
    <row r="33" ht="20" customHeight="1">
      <c r="A33" s="18">
        <f>'NEW ACCOUNT'!A34</f>
        <v/>
      </c>
      <c r="B33" s="19">
        <f>IF('NEW ACCOUNT'!A34="","",'NEW ACCOUNT'!B34)</f>
        <v/>
      </c>
      <c r="C33" s="19">
        <f>IF('NEW ACCOUNT'!A34="","",'NEW ACCOUNT'!C34)</f>
        <v/>
      </c>
      <c r="D33" s="19">
        <f>IF('NEW ACCOUNT'!A34="","",'NEW ACCOUNT'!D34)</f>
        <v/>
      </c>
      <c r="E33" s="19">
        <f>IF('NEW ACCOUNT'!A34="","",'NEW ACCOUNT'!E34)</f>
        <v/>
      </c>
      <c r="F33" s="19">
        <f>IF('NEW ACCOUNT'!A34="","",'NEW ACCOUNT'!F34)</f>
        <v/>
      </c>
      <c r="G33" s="19">
        <f>IF('NEW ACCOUNT'!A34="","",'NEW ACCOUNT'!G34)</f>
        <v/>
      </c>
      <c r="H33" s="19">
        <f>IF('NEW ACCOUNT'!A34="","",'NEW ACCOUNT'!H34)</f>
        <v/>
      </c>
      <c r="I33" s="20">
        <f>IFERROR(IF(A33="","",SUMIF(SAVINGS!$A:$A,A33,SAVINGS!$E:$E)),"")</f>
        <v/>
      </c>
      <c r="J33" s="20">
        <f>IFERROR(IF(A33="","",SUMIF(SAVINGS!$A:$A,A33,SAVINGS!$E:$E)-SUMIF(WITHDRAWALS!$A:$A,A33,WITHDRAWALS!$E:$E)),"")</f>
        <v/>
      </c>
    </row>
    <row r="34" ht="20" customHeight="1">
      <c r="A34" s="21">
        <f>'NEW ACCOUNT'!A35</f>
        <v/>
      </c>
      <c r="B34" s="22">
        <f>IF('NEW ACCOUNT'!A35="","",'NEW ACCOUNT'!B35)</f>
        <v/>
      </c>
      <c r="C34" s="22">
        <f>IF('NEW ACCOUNT'!A35="","",'NEW ACCOUNT'!C35)</f>
        <v/>
      </c>
      <c r="D34" s="22">
        <f>IF('NEW ACCOUNT'!A35="","",'NEW ACCOUNT'!D35)</f>
        <v/>
      </c>
      <c r="E34" s="22">
        <f>IF('NEW ACCOUNT'!A35="","",'NEW ACCOUNT'!E35)</f>
        <v/>
      </c>
      <c r="F34" s="22">
        <f>IF('NEW ACCOUNT'!A35="","",'NEW ACCOUNT'!F35)</f>
        <v/>
      </c>
      <c r="G34" s="22">
        <f>IF('NEW ACCOUNT'!A35="","",'NEW ACCOUNT'!G35)</f>
        <v/>
      </c>
      <c r="H34" s="22">
        <f>IF('NEW ACCOUNT'!A35="","",'NEW ACCOUNT'!H35)</f>
        <v/>
      </c>
      <c r="I34" s="23">
        <f>IFERROR(IF(A34="","",SUMIF(SAVINGS!$A:$A,A34,SAVINGS!$E:$E)),"")</f>
        <v/>
      </c>
      <c r="J34" s="23">
        <f>IFERROR(IF(A34="","",SUMIF(SAVINGS!$A:$A,A34,SAVINGS!$E:$E)-SUMIF(WITHDRAWALS!$A:$A,A34,WITHDRAWALS!$E:$E)),"")</f>
        <v/>
      </c>
    </row>
    <row r="35" ht="20" customHeight="1">
      <c r="A35" s="18">
        <f>'NEW ACCOUNT'!A36</f>
        <v/>
      </c>
      <c r="B35" s="19">
        <f>IF('NEW ACCOUNT'!A36="","",'NEW ACCOUNT'!B36)</f>
        <v/>
      </c>
      <c r="C35" s="19">
        <f>IF('NEW ACCOUNT'!A36="","",'NEW ACCOUNT'!C36)</f>
        <v/>
      </c>
      <c r="D35" s="19">
        <f>IF('NEW ACCOUNT'!A36="","",'NEW ACCOUNT'!D36)</f>
        <v/>
      </c>
      <c r="E35" s="19">
        <f>IF('NEW ACCOUNT'!A36="","",'NEW ACCOUNT'!E36)</f>
        <v/>
      </c>
      <c r="F35" s="19">
        <f>IF('NEW ACCOUNT'!A36="","",'NEW ACCOUNT'!F36)</f>
        <v/>
      </c>
      <c r="G35" s="19">
        <f>IF('NEW ACCOUNT'!A36="","",'NEW ACCOUNT'!G36)</f>
        <v/>
      </c>
      <c r="H35" s="19">
        <f>IF('NEW ACCOUNT'!A36="","",'NEW ACCOUNT'!H36)</f>
        <v/>
      </c>
      <c r="I35" s="20">
        <f>IFERROR(IF(A35="","",SUMIF(SAVINGS!$A:$A,A35,SAVINGS!$E:$E)),"")</f>
        <v/>
      </c>
      <c r="J35" s="20">
        <f>IFERROR(IF(A35="","",SUMIF(SAVINGS!$A:$A,A35,SAVINGS!$E:$E)-SUMIF(WITHDRAWALS!$A:$A,A35,WITHDRAWALS!$E:$E)),"")</f>
        <v/>
      </c>
    </row>
    <row r="36" ht="20" customHeight="1">
      <c r="A36" s="21">
        <f>'NEW ACCOUNT'!A37</f>
        <v/>
      </c>
      <c r="B36" s="22">
        <f>IF('NEW ACCOUNT'!A37="","",'NEW ACCOUNT'!B37)</f>
        <v/>
      </c>
      <c r="C36" s="22">
        <f>IF('NEW ACCOUNT'!A37="","",'NEW ACCOUNT'!C37)</f>
        <v/>
      </c>
      <c r="D36" s="22">
        <f>IF('NEW ACCOUNT'!A37="","",'NEW ACCOUNT'!D37)</f>
        <v/>
      </c>
      <c r="E36" s="22">
        <f>IF('NEW ACCOUNT'!A37="","",'NEW ACCOUNT'!E37)</f>
        <v/>
      </c>
      <c r="F36" s="22">
        <f>IF('NEW ACCOUNT'!A37="","",'NEW ACCOUNT'!F37)</f>
        <v/>
      </c>
      <c r="G36" s="22">
        <f>IF('NEW ACCOUNT'!A37="","",'NEW ACCOUNT'!G37)</f>
        <v/>
      </c>
      <c r="H36" s="22">
        <f>IF('NEW ACCOUNT'!A37="","",'NEW ACCOUNT'!H37)</f>
        <v/>
      </c>
      <c r="I36" s="23">
        <f>IFERROR(IF(A36="","",SUMIF(SAVINGS!$A:$A,A36,SAVINGS!$E:$E)),"")</f>
        <v/>
      </c>
      <c r="J36" s="23">
        <f>IFERROR(IF(A36="","",SUMIF(SAVINGS!$A:$A,A36,SAVINGS!$E:$E)-SUMIF(WITHDRAWALS!$A:$A,A36,WITHDRAWALS!$E:$E)),"")</f>
        <v/>
      </c>
    </row>
    <row r="37" ht="20" customHeight="1">
      <c r="A37" s="18">
        <f>'NEW ACCOUNT'!A38</f>
        <v/>
      </c>
      <c r="B37" s="19">
        <f>IF('NEW ACCOUNT'!A38="","",'NEW ACCOUNT'!B38)</f>
        <v/>
      </c>
      <c r="C37" s="19">
        <f>IF('NEW ACCOUNT'!A38="","",'NEW ACCOUNT'!C38)</f>
        <v/>
      </c>
      <c r="D37" s="19">
        <f>IF('NEW ACCOUNT'!A38="","",'NEW ACCOUNT'!D38)</f>
        <v/>
      </c>
      <c r="E37" s="19">
        <f>IF('NEW ACCOUNT'!A38="","",'NEW ACCOUNT'!E38)</f>
        <v/>
      </c>
      <c r="F37" s="19">
        <f>IF('NEW ACCOUNT'!A38="","",'NEW ACCOUNT'!F38)</f>
        <v/>
      </c>
      <c r="G37" s="19">
        <f>IF('NEW ACCOUNT'!A38="","",'NEW ACCOUNT'!G38)</f>
        <v/>
      </c>
      <c r="H37" s="19">
        <f>IF('NEW ACCOUNT'!A38="","",'NEW ACCOUNT'!H38)</f>
        <v/>
      </c>
      <c r="I37" s="20">
        <f>IFERROR(IF(A37="","",SUMIF(SAVINGS!$A:$A,A37,SAVINGS!$E:$E)),"")</f>
        <v/>
      </c>
      <c r="J37" s="20">
        <f>IFERROR(IF(A37="","",SUMIF(SAVINGS!$A:$A,A37,SAVINGS!$E:$E)-SUMIF(WITHDRAWALS!$A:$A,A37,WITHDRAWALS!$E:$E)),"")</f>
        <v/>
      </c>
    </row>
    <row r="38" ht="20" customHeight="1">
      <c r="A38" s="21">
        <f>'NEW ACCOUNT'!A39</f>
        <v/>
      </c>
      <c r="B38" s="22">
        <f>IF('NEW ACCOUNT'!A39="","",'NEW ACCOUNT'!B39)</f>
        <v/>
      </c>
      <c r="C38" s="22">
        <f>IF('NEW ACCOUNT'!A39="","",'NEW ACCOUNT'!C39)</f>
        <v/>
      </c>
      <c r="D38" s="22">
        <f>IF('NEW ACCOUNT'!A39="","",'NEW ACCOUNT'!D39)</f>
        <v/>
      </c>
      <c r="E38" s="22">
        <f>IF('NEW ACCOUNT'!A39="","",'NEW ACCOUNT'!E39)</f>
        <v/>
      </c>
      <c r="F38" s="22">
        <f>IF('NEW ACCOUNT'!A39="","",'NEW ACCOUNT'!F39)</f>
        <v/>
      </c>
      <c r="G38" s="22">
        <f>IF('NEW ACCOUNT'!A39="","",'NEW ACCOUNT'!G39)</f>
        <v/>
      </c>
      <c r="H38" s="22">
        <f>IF('NEW ACCOUNT'!A39="","",'NEW ACCOUNT'!H39)</f>
        <v/>
      </c>
      <c r="I38" s="23">
        <f>IFERROR(IF(A38="","",SUMIF(SAVINGS!$A:$A,A38,SAVINGS!$E:$E)),"")</f>
        <v/>
      </c>
      <c r="J38" s="23">
        <f>IFERROR(IF(A38="","",SUMIF(SAVINGS!$A:$A,A38,SAVINGS!$E:$E)-SUMIF(WITHDRAWALS!$A:$A,A38,WITHDRAWALS!$E:$E)),"")</f>
        <v/>
      </c>
    </row>
    <row r="39" ht="20" customHeight="1">
      <c r="A39" s="18">
        <f>'NEW ACCOUNT'!A40</f>
        <v/>
      </c>
      <c r="B39" s="19">
        <f>IF('NEW ACCOUNT'!A40="","",'NEW ACCOUNT'!B40)</f>
        <v/>
      </c>
      <c r="C39" s="19">
        <f>IF('NEW ACCOUNT'!A40="","",'NEW ACCOUNT'!C40)</f>
        <v/>
      </c>
      <c r="D39" s="19">
        <f>IF('NEW ACCOUNT'!A40="","",'NEW ACCOUNT'!D40)</f>
        <v/>
      </c>
      <c r="E39" s="19">
        <f>IF('NEW ACCOUNT'!A40="","",'NEW ACCOUNT'!E40)</f>
        <v/>
      </c>
      <c r="F39" s="19">
        <f>IF('NEW ACCOUNT'!A40="","",'NEW ACCOUNT'!F40)</f>
        <v/>
      </c>
      <c r="G39" s="19">
        <f>IF('NEW ACCOUNT'!A40="","",'NEW ACCOUNT'!G40)</f>
        <v/>
      </c>
      <c r="H39" s="19">
        <f>IF('NEW ACCOUNT'!A40="","",'NEW ACCOUNT'!H40)</f>
        <v/>
      </c>
      <c r="I39" s="20">
        <f>IFERROR(IF(A39="","",SUMIF(SAVINGS!$A:$A,A39,SAVINGS!$E:$E)),"")</f>
        <v/>
      </c>
      <c r="J39" s="20">
        <f>IFERROR(IF(A39="","",SUMIF(SAVINGS!$A:$A,A39,SAVINGS!$E:$E)-SUMIF(WITHDRAWALS!$A:$A,A39,WITHDRAWALS!$E:$E)),"")</f>
        <v/>
      </c>
    </row>
    <row r="40" ht="20" customHeight="1">
      <c r="A40" s="21">
        <f>'NEW ACCOUNT'!A41</f>
        <v/>
      </c>
      <c r="B40" s="22">
        <f>IF('NEW ACCOUNT'!A41="","",'NEW ACCOUNT'!B41)</f>
        <v/>
      </c>
      <c r="C40" s="22">
        <f>IF('NEW ACCOUNT'!A41="","",'NEW ACCOUNT'!C41)</f>
        <v/>
      </c>
      <c r="D40" s="22">
        <f>IF('NEW ACCOUNT'!A41="","",'NEW ACCOUNT'!D41)</f>
        <v/>
      </c>
      <c r="E40" s="22">
        <f>IF('NEW ACCOUNT'!A41="","",'NEW ACCOUNT'!E41)</f>
        <v/>
      </c>
      <c r="F40" s="22">
        <f>IF('NEW ACCOUNT'!A41="","",'NEW ACCOUNT'!F41)</f>
        <v/>
      </c>
      <c r="G40" s="22">
        <f>IF('NEW ACCOUNT'!A41="","",'NEW ACCOUNT'!G41)</f>
        <v/>
      </c>
      <c r="H40" s="22">
        <f>IF('NEW ACCOUNT'!A41="","",'NEW ACCOUNT'!H41)</f>
        <v/>
      </c>
      <c r="I40" s="23">
        <f>IFERROR(IF(A40="","",SUMIF(SAVINGS!$A:$A,A40,SAVINGS!$E:$E)),"")</f>
        <v/>
      </c>
      <c r="J40" s="23">
        <f>IFERROR(IF(A40="","",SUMIF(SAVINGS!$A:$A,A40,SAVINGS!$E:$E)-SUMIF(WITHDRAWALS!$A:$A,A40,WITHDRAWALS!$E:$E)),"")</f>
        <v/>
      </c>
    </row>
    <row r="41" ht="20" customHeight="1">
      <c r="A41" s="18">
        <f>'NEW ACCOUNT'!A42</f>
        <v/>
      </c>
      <c r="B41" s="19">
        <f>IF('NEW ACCOUNT'!A42="","",'NEW ACCOUNT'!B42)</f>
        <v/>
      </c>
      <c r="C41" s="19">
        <f>IF('NEW ACCOUNT'!A42="","",'NEW ACCOUNT'!C42)</f>
        <v/>
      </c>
      <c r="D41" s="19">
        <f>IF('NEW ACCOUNT'!A42="","",'NEW ACCOUNT'!D42)</f>
        <v/>
      </c>
      <c r="E41" s="19">
        <f>IF('NEW ACCOUNT'!A42="","",'NEW ACCOUNT'!E42)</f>
        <v/>
      </c>
      <c r="F41" s="19">
        <f>IF('NEW ACCOUNT'!A42="","",'NEW ACCOUNT'!F42)</f>
        <v/>
      </c>
      <c r="G41" s="19">
        <f>IF('NEW ACCOUNT'!A42="","",'NEW ACCOUNT'!G42)</f>
        <v/>
      </c>
      <c r="H41" s="19">
        <f>IF('NEW ACCOUNT'!A42="","",'NEW ACCOUNT'!H42)</f>
        <v/>
      </c>
      <c r="I41" s="20">
        <f>IFERROR(IF(A41="","",SUMIF(SAVINGS!$A:$A,A41,SAVINGS!$E:$E)),"")</f>
        <v/>
      </c>
      <c r="J41" s="20">
        <f>IFERROR(IF(A41="","",SUMIF(SAVINGS!$A:$A,A41,SAVINGS!$E:$E)-SUMIF(WITHDRAWALS!$A:$A,A41,WITHDRAWALS!$E:$E)),"")</f>
        <v/>
      </c>
    </row>
    <row r="42" ht="20" customHeight="1">
      <c r="A42" s="21">
        <f>'NEW ACCOUNT'!A43</f>
        <v/>
      </c>
      <c r="B42" s="22">
        <f>IF('NEW ACCOUNT'!A43="","",'NEW ACCOUNT'!B43)</f>
        <v/>
      </c>
      <c r="C42" s="22">
        <f>IF('NEW ACCOUNT'!A43="","",'NEW ACCOUNT'!C43)</f>
        <v/>
      </c>
      <c r="D42" s="22">
        <f>IF('NEW ACCOUNT'!A43="","",'NEW ACCOUNT'!D43)</f>
        <v/>
      </c>
      <c r="E42" s="22">
        <f>IF('NEW ACCOUNT'!A43="","",'NEW ACCOUNT'!E43)</f>
        <v/>
      </c>
      <c r="F42" s="22">
        <f>IF('NEW ACCOUNT'!A43="","",'NEW ACCOUNT'!F43)</f>
        <v/>
      </c>
      <c r="G42" s="22">
        <f>IF('NEW ACCOUNT'!A43="","",'NEW ACCOUNT'!G43)</f>
        <v/>
      </c>
      <c r="H42" s="22">
        <f>IF('NEW ACCOUNT'!A43="","",'NEW ACCOUNT'!H43)</f>
        <v/>
      </c>
      <c r="I42" s="23">
        <f>IFERROR(IF(A42="","",SUMIF(SAVINGS!$A:$A,A42,SAVINGS!$E:$E)),"")</f>
        <v/>
      </c>
      <c r="J42" s="23">
        <f>IFERROR(IF(A42="","",SUMIF(SAVINGS!$A:$A,A42,SAVINGS!$E:$E)-SUMIF(WITHDRAWALS!$A:$A,A42,WITHDRAWALS!$E:$E)),"")</f>
        <v/>
      </c>
    </row>
    <row r="43" ht="20" customHeight="1">
      <c r="A43" s="18">
        <f>'NEW ACCOUNT'!A44</f>
        <v/>
      </c>
      <c r="B43" s="19">
        <f>IF('NEW ACCOUNT'!A44="","",'NEW ACCOUNT'!B44)</f>
        <v/>
      </c>
      <c r="C43" s="19">
        <f>IF('NEW ACCOUNT'!A44="","",'NEW ACCOUNT'!C44)</f>
        <v/>
      </c>
      <c r="D43" s="19">
        <f>IF('NEW ACCOUNT'!A44="","",'NEW ACCOUNT'!D44)</f>
        <v/>
      </c>
      <c r="E43" s="19">
        <f>IF('NEW ACCOUNT'!A44="","",'NEW ACCOUNT'!E44)</f>
        <v/>
      </c>
      <c r="F43" s="19">
        <f>IF('NEW ACCOUNT'!A44="","",'NEW ACCOUNT'!F44)</f>
        <v/>
      </c>
      <c r="G43" s="19">
        <f>IF('NEW ACCOUNT'!A44="","",'NEW ACCOUNT'!G44)</f>
        <v/>
      </c>
      <c r="H43" s="19">
        <f>IF('NEW ACCOUNT'!A44="","",'NEW ACCOUNT'!H44)</f>
        <v/>
      </c>
      <c r="I43" s="20">
        <f>IFERROR(IF(A43="","",SUMIF(SAVINGS!$A:$A,A43,SAVINGS!$E:$E)),"")</f>
        <v/>
      </c>
      <c r="J43" s="20">
        <f>IFERROR(IF(A43="","",SUMIF(SAVINGS!$A:$A,A43,SAVINGS!$E:$E)-SUMIF(WITHDRAWALS!$A:$A,A43,WITHDRAWALS!$E:$E)),"")</f>
        <v/>
      </c>
    </row>
    <row r="44" ht="20" customHeight="1">
      <c r="A44" s="21">
        <f>'NEW ACCOUNT'!A45</f>
        <v/>
      </c>
      <c r="B44" s="22">
        <f>IF('NEW ACCOUNT'!A45="","",'NEW ACCOUNT'!B45)</f>
        <v/>
      </c>
      <c r="C44" s="22">
        <f>IF('NEW ACCOUNT'!A45="","",'NEW ACCOUNT'!C45)</f>
        <v/>
      </c>
      <c r="D44" s="22">
        <f>IF('NEW ACCOUNT'!A45="","",'NEW ACCOUNT'!D45)</f>
        <v/>
      </c>
      <c r="E44" s="22">
        <f>IF('NEW ACCOUNT'!A45="","",'NEW ACCOUNT'!E45)</f>
        <v/>
      </c>
      <c r="F44" s="22">
        <f>IF('NEW ACCOUNT'!A45="","",'NEW ACCOUNT'!F45)</f>
        <v/>
      </c>
      <c r="G44" s="22">
        <f>IF('NEW ACCOUNT'!A45="","",'NEW ACCOUNT'!G45)</f>
        <v/>
      </c>
      <c r="H44" s="22">
        <f>IF('NEW ACCOUNT'!A45="","",'NEW ACCOUNT'!H45)</f>
        <v/>
      </c>
      <c r="I44" s="23">
        <f>IFERROR(IF(A44="","",SUMIF(SAVINGS!$A:$A,A44,SAVINGS!$E:$E)),"")</f>
        <v/>
      </c>
      <c r="J44" s="23">
        <f>IFERROR(IF(A44="","",SUMIF(SAVINGS!$A:$A,A44,SAVINGS!$E:$E)-SUMIF(WITHDRAWALS!$A:$A,A44,WITHDRAWALS!$E:$E)),"")</f>
        <v/>
      </c>
    </row>
    <row r="45" ht="20" customHeight="1">
      <c r="A45" s="18">
        <f>'NEW ACCOUNT'!A46</f>
        <v/>
      </c>
      <c r="B45" s="19">
        <f>IF('NEW ACCOUNT'!A46="","",'NEW ACCOUNT'!B46)</f>
        <v/>
      </c>
      <c r="C45" s="19">
        <f>IF('NEW ACCOUNT'!A46="","",'NEW ACCOUNT'!C46)</f>
        <v/>
      </c>
      <c r="D45" s="19">
        <f>IF('NEW ACCOUNT'!A46="","",'NEW ACCOUNT'!D46)</f>
        <v/>
      </c>
      <c r="E45" s="19">
        <f>IF('NEW ACCOUNT'!A46="","",'NEW ACCOUNT'!E46)</f>
        <v/>
      </c>
      <c r="F45" s="19">
        <f>IF('NEW ACCOUNT'!A46="","",'NEW ACCOUNT'!F46)</f>
        <v/>
      </c>
      <c r="G45" s="19">
        <f>IF('NEW ACCOUNT'!A46="","",'NEW ACCOUNT'!G46)</f>
        <v/>
      </c>
      <c r="H45" s="19">
        <f>IF('NEW ACCOUNT'!A46="","",'NEW ACCOUNT'!H46)</f>
        <v/>
      </c>
      <c r="I45" s="20">
        <f>IFERROR(IF(A45="","",SUMIF(SAVINGS!$A:$A,A45,SAVINGS!$E:$E)),"")</f>
        <v/>
      </c>
      <c r="J45" s="20">
        <f>IFERROR(IF(A45="","",SUMIF(SAVINGS!$A:$A,A45,SAVINGS!$E:$E)-SUMIF(WITHDRAWALS!$A:$A,A45,WITHDRAWALS!$E:$E)),"")</f>
        <v/>
      </c>
    </row>
    <row r="46" ht="20" customHeight="1">
      <c r="A46" s="21">
        <f>'NEW ACCOUNT'!A47</f>
        <v/>
      </c>
      <c r="B46" s="22">
        <f>IF('NEW ACCOUNT'!A47="","",'NEW ACCOUNT'!B47)</f>
        <v/>
      </c>
      <c r="C46" s="22">
        <f>IF('NEW ACCOUNT'!A47="","",'NEW ACCOUNT'!C47)</f>
        <v/>
      </c>
      <c r="D46" s="22">
        <f>IF('NEW ACCOUNT'!A47="","",'NEW ACCOUNT'!D47)</f>
        <v/>
      </c>
      <c r="E46" s="22">
        <f>IF('NEW ACCOUNT'!A47="","",'NEW ACCOUNT'!E47)</f>
        <v/>
      </c>
      <c r="F46" s="22">
        <f>IF('NEW ACCOUNT'!A47="","",'NEW ACCOUNT'!F47)</f>
        <v/>
      </c>
      <c r="G46" s="22">
        <f>IF('NEW ACCOUNT'!A47="","",'NEW ACCOUNT'!G47)</f>
        <v/>
      </c>
      <c r="H46" s="22">
        <f>IF('NEW ACCOUNT'!A47="","",'NEW ACCOUNT'!H47)</f>
        <v/>
      </c>
      <c r="I46" s="23">
        <f>IFERROR(IF(A46="","",SUMIF(SAVINGS!$A:$A,A46,SAVINGS!$E:$E)),"")</f>
        <v/>
      </c>
      <c r="J46" s="23">
        <f>IFERROR(IF(A46="","",SUMIF(SAVINGS!$A:$A,A46,SAVINGS!$E:$E)-SUMIF(WITHDRAWALS!$A:$A,A46,WITHDRAWALS!$E:$E)),"")</f>
        <v/>
      </c>
    </row>
    <row r="47" ht="20" customHeight="1">
      <c r="A47" s="18">
        <f>'NEW ACCOUNT'!A48</f>
        <v/>
      </c>
      <c r="B47" s="19">
        <f>IF('NEW ACCOUNT'!A48="","",'NEW ACCOUNT'!B48)</f>
        <v/>
      </c>
      <c r="C47" s="19">
        <f>IF('NEW ACCOUNT'!A48="","",'NEW ACCOUNT'!C48)</f>
        <v/>
      </c>
      <c r="D47" s="19">
        <f>IF('NEW ACCOUNT'!A48="","",'NEW ACCOUNT'!D48)</f>
        <v/>
      </c>
      <c r="E47" s="19">
        <f>IF('NEW ACCOUNT'!A48="","",'NEW ACCOUNT'!E48)</f>
        <v/>
      </c>
      <c r="F47" s="19">
        <f>IF('NEW ACCOUNT'!A48="","",'NEW ACCOUNT'!F48)</f>
        <v/>
      </c>
      <c r="G47" s="19">
        <f>IF('NEW ACCOUNT'!A48="","",'NEW ACCOUNT'!G48)</f>
        <v/>
      </c>
      <c r="H47" s="19">
        <f>IF('NEW ACCOUNT'!A48="","",'NEW ACCOUNT'!H48)</f>
        <v/>
      </c>
      <c r="I47" s="20">
        <f>IFERROR(IF(A47="","",SUMIF(SAVINGS!$A:$A,A47,SAVINGS!$E:$E)),"")</f>
        <v/>
      </c>
      <c r="J47" s="20">
        <f>IFERROR(IF(A47="","",SUMIF(SAVINGS!$A:$A,A47,SAVINGS!$E:$E)-SUMIF(WITHDRAWALS!$A:$A,A47,WITHDRAWALS!$E:$E)),"")</f>
        <v/>
      </c>
    </row>
    <row r="48" ht="20" customHeight="1">
      <c r="A48" s="21">
        <f>'NEW ACCOUNT'!A49</f>
        <v/>
      </c>
      <c r="B48" s="22">
        <f>IF('NEW ACCOUNT'!A49="","",'NEW ACCOUNT'!B49)</f>
        <v/>
      </c>
      <c r="C48" s="22">
        <f>IF('NEW ACCOUNT'!A49="","",'NEW ACCOUNT'!C49)</f>
        <v/>
      </c>
      <c r="D48" s="22">
        <f>IF('NEW ACCOUNT'!A49="","",'NEW ACCOUNT'!D49)</f>
        <v/>
      </c>
      <c r="E48" s="22">
        <f>IF('NEW ACCOUNT'!A49="","",'NEW ACCOUNT'!E49)</f>
        <v/>
      </c>
      <c r="F48" s="22">
        <f>IF('NEW ACCOUNT'!A49="","",'NEW ACCOUNT'!F49)</f>
        <v/>
      </c>
      <c r="G48" s="22">
        <f>IF('NEW ACCOUNT'!A49="","",'NEW ACCOUNT'!G49)</f>
        <v/>
      </c>
      <c r="H48" s="22">
        <f>IF('NEW ACCOUNT'!A49="","",'NEW ACCOUNT'!H49)</f>
        <v/>
      </c>
      <c r="I48" s="23">
        <f>IFERROR(IF(A48="","",SUMIF(SAVINGS!$A:$A,A48,SAVINGS!$E:$E)),"")</f>
        <v/>
      </c>
      <c r="J48" s="23">
        <f>IFERROR(IF(A48="","",SUMIF(SAVINGS!$A:$A,A48,SAVINGS!$E:$E)-SUMIF(WITHDRAWALS!$A:$A,A48,WITHDRAWALS!$E:$E)),"")</f>
        <v/>
      </c>
    </row>
    <row r="49" ht="20" customHeight="1">
      <c r="A49" s="18">
        <f>'NEW ACCOUNT'!A50</f>
        <v/>
      </c>
      <c r="B49" s="19">
        <f>IF('NEW ACCOUNT'!A50="","",'NEW ACCOUNT'!B50)</f>
        <v/>
      </c>
      <c r="C49" s="19">
        <f>IF('NEW ACCOUNT'!A50="","",'NEW ACCOUNT'!C50)</f>
        <v/>
      </c>
      <c r="D49" s="19">
        <f>IF('NEW ACCOUNT'!A50="","",'NEW ACCOUNT'!D50)</f>
        <v/>
      </c>
      <c r="E49" s="19">
        <f>IF('NEW ACCOUNT'!A50="","",'NEW ACCOUNT'!E50)</f>
        <v/>
      </c>
      <c r="F49" s="19">
        <f>IF('NEW ACCOUNT'!A50="","",'NEW ACCOUNT'!F50)</f>
        <v/>
      </c>
      <c r="G49" s="19">
        <f>IF('NEW ACCOUNT'!A50="","",'NEW ACCOUNT'!G50)</f>
        <v/>
      </c>
      <c r="H49" s="19">
        <f>IF('NEW ACCOUNT'!A50="","",'NEW ACCOUNT'!H50)</f>
        <v/>
      </c>
      <c r="I49" s="20">
        <f>IFERROR(IF(A49="","",SUMIF(SAVINGS!$A:$A,A49,SAVINGS!$E:$E)),"")</f>
        <v/>
      </c>
      <c r="J49" s="20">
        <f>IFERROR(IF(A49="","",SUMIF(SAVINGS!$A:$A,A49,SAVINGS!$E:$E)-SUMIF(WITHDRAWALS!$A:$A,A49,WITHDRAWALS!$E:$E)),"")</f>
        <v/>
      </c>
    </row>
    <row r="50" ht="20" customHeight="1">
      <c r="A50" s="21">
        <f>'NEW ACCOUNT'!A51</f>
        <v/>
      </c>
      <c r="B50" s="22">
        <f>IF('NEW ACCOUNT'!A51="","",'NEW ACCOUNT'!B51)</f>
        <v/>
      </c>
      <c r="C50" s="22">
        <f>IF('NEW ACCOUNT'!A51="","",'NEW ACCOUNT'!C51)</f>
        <v/>
      </c>
      <c r="D50" s="22">
        <f>IF('NEW ACCOUNT'!A51="","",'NEW ACCOUNT'!D51)</f>
        <v/>
      </c>
      <c r="E50" s="22">
        <f>IF('NEW ACCOUNT'!A51="","",'NEW ACCOUNT'!E51)</f>
        <v/>
      </c>
      <c r="F50" s="22">
        <f>IF('NEW ACCOUNT'!A51="","",'NEW ACCOUNT'!F51)</f>
        <v/>
      </c>
      <c r="G50" s="22">
        <f>IF('NEW ACCOUNT'!A51="","",'NEW ACCOUNT'!G51)</f>
        <v/>
      </c>
      <c r="H50" s="22">
        <f>IF('NEW ACCOUNT'!A51="","",'NEW ACCOUNT'!H51)</f>
        <v/>
      </c>
      <c r="I50" s="23">
        <f>IFERROR(IF(A50="","",SUMIF(SAVINGS!$A:$A,A50,SAVINGS!$E:$E)),"")</f>
        <v/>
      </c>
      <c r="J50" s="23">
        <f>IFERROR(IF(A50="","",SUMIF(SAVINGS!$A:$A,A50,SAVINGS!$E:$E)-SUMIF(WITHDRAWALS!$A:$A,A50,WITHDRAWALS!$E:$E)),"")</f>
        <v/>
      </c>
    </row>
    <row r="51" ht="20" customHeight="1">
      <c r="A51" s="18">
        <f>'NEW ACCOUNT'!A52</f>
        <v/>
      </c>
      <c r="B51" s="19">
        <f>IF('NEW ACCOUNT'!A52="","",'NEW ACCOUNT'!B52)</f>
        <v/>
      </c>
      <c r="C51" s="19">
        <f>IF('NEW ACCOUNT'!A52="","",'NEW ACCOUNT'!C52)</f>
        <v/>
      </c>
      <c r="D51" s="19">
        <f>IF('NEW ACCOUNT'!A52="","",'NEW ACCOUNT'!D52)</f>
        <v/>
      </c>
      <c r="E51" s="19">
        <f>IF('NEW ACCOUNT'!A52="","",'NEW ACCOUNT'!E52)</f>
        <v/>
      </c>
      <c r="F51" s="19">
        <f>IF('NEW ACCOUNT'!A52="","",'NEW ACCOUNT'!F52)</f>
        <v/>
      </c>
      <c r="G51" s="19">
        <f>IF('NEW ACCOUNT'!A52="","",'NEW ACCOUNT'!G52)</f>
        <v/>
      </c>
      <c r="H51" s="19">
        <f>IF('NEW ACCOUNT'!A52="","",'NEW ACCOUNT'!H52)</f>
        <v/>
      </c>
      <c r="I51" s="20">
        <f>IFERROR(IF(A51="","",SUMIF(SAVINGS!$A:$A,A51,SAVINGS!$E:$E)),"")</f>
        <v/>
      </c>
      <c r="J51" s="20">
        <f>IFERROR(IF(A51="","",SUMIF(SAVINGS!$A:$A,A51,SAVINGS!$E:$E)-SUMIF(WITHDRAWALS!$A:$A,A51,WITHDRAWALS!$E:$E)),"")</f>
        <v/>
      </c>
    </row>
    <row r="52" ht="20" customHeight="1">
      <c r="A52" s="21">
        <f>'NEW ACCOUNT'!A53</f>
        <v/>
      </c>
      <c r="B52" s="22">
        <f>IF('NEW ACCOUNT'!A53="","",'NEW ACCOUNT'!B53)</f>
        <v/>
      </c>
      <c r="C52" s="22">
        <f>IF('NEW ACCOUNT'!A53="","",'NEW ACCOUNT'!C53)</f>
        <v/>
      </c>
      <c r="D52" s="22">
        <f>IF('NEW ACCOUNT'!A53="","",'NEW ACCOUNT'!D53)</f>
        <v/>
      </c>
      <c r="E52" s="22">
        <f>IF('NEW ACCOUNT'!A53="","",'NEW ACCOUNT'!E53)</f>
        <v/>
      </c>
      <c r="F52" s="22">
        <f>IF('NEW ACCOUNT'!A53="","",'NEW ACCOUNT'!F53)</f>
        <v/>
      </c>
      <c r="G52" s="22">
        <f>IF('NEW ACCOUNT'!A53="","",'NEW ACCOUNT'!G53)</f>
        <v/>
      </c>
      <c r="H52" s="22">
        <f>IF('NEW ACCOUNT'!A53="","",'NEW ACCOUNT'!H53)</f>
        <v/>
      </c>
      <c r="I52" s="23">
        <f>IFERROR(IF(A52="","",SUMIF(SAVINGS!$A:$A,A52,SAVINGS!$E:$E)),"")</f>
        <v/>
      </c>
      <c r="J52" s="23">
        <f>IFERROR(IF(A52="","",SUMIF(SAVINGS!$A:$A,A52,SAVINGS!$E:$E)-SUMIF(WITHDRAWALS!$A:$A,A52,WITHDRAWALS!$E:$E)),"")</f>
        <v/>
      </c>
    </row>
    <row r="53" ht="20" customHeight="1">
      <c r="A53" s="18">
        <f>'NEW ACCOUNT'!A54</f>
        <v/>
      </c>
      <c r="B53" s="19">
        <f>IF('NEW ACCOUNT'!A54="","",'NEW ACCOUNT'!B54)</f>
        <v/>
      </c>
      <c r="C53" s="19">
        <f>IF('NEW ACCOUNT'!A54="","",'NEW ACCOUNT'!C54)</f>
        <v/>
      </c>
      <c r="D53" s="19">
        <f>IF('NEW ACCOUNT'!A54="","",'NEW ACCOUNT'!D54)</f>
        <v/>
      </c>
      <c r="E53" s="19">
        <f>IF('NEW ACCOUNT'!A54="","",'NEW ACCOUNT'!E54)</f>
        <v/>
      </c>
      <c r="F53" s="19">
        <f>IF('NEW ACCOUNT'!A54="","",'NEW ACCOUNT'!F54)</f>
        <v/>
      </c>
      <c r="G53" s="19">
        <f>IF('NEW ACCOUNT'!A54="","",'NEW ACCOUNT'!G54)</f>
        <v/>
      </c>
      <c r="H53" s="19">
        <f>IF('NEW ACCOUNT'!A54="","",'NEW ACCOUNT'!H54)</f>
        <v/>
      </c>
      <c r="I53" s="20">
        <f>IFERROR(IF(A53="","",SUMIF(SAVINGS!$A:$A,A53,SAVINGS!$E:$E)),"")</f>
        <v/>
      </c>
      <c r="J53" s="20">
        <f>IFERROR(IF(A53="","",SUMIF(SAVINGS!$A:$A,A53,SAVINGS!$E:$E)-SUMIF(WITHDRAWALS!$A:$A,A53,WITHDRAWALS!$E:$E)),"")</f>
        <v/>
      </c>
    </row>
    <row r="54" ht="20" customHeight="1">
      <c r="A54" s="21">
        <f>'NEW ACCOUNT'!A55</f>
        <v/>
      </c>
      <c r="B54" s="22">
        <f>IF('NEW ACCOUNT'!A55="","",'NEW ACCOUNT'!B55)</f>
        <v/>
      </c>
      <c r="C54" s="22">
        <f>IF('NEW ACCOUNT'!A55="","",'NEW ACCOUNT'!C55)</f>
        <v/>
      </c>
      <c r="D54" s="22">
        <f>IF('NEW ACCOUNT'!A55="","",'NEW ACCOUNT'!D55)</f>
        <v/>
      </c>
      <c r="E54" s="22">
        <f>IF('NEW ACCOUNT'!A55="","",'NEW ACCOUNT'!E55)</f>
        <v/>
      </c>
      <c r="F54" s="22">
        <f>IF('NEW ACCOUNT'!A55="","",'NEW ACCOUNT'!F55)</f>
        <v/>
      </c>
      <c r="G54" s="22">
        <f>IF('NEW ACCOUNT'!A55="","",'NEW ACCOUNT'!G55)</f>
        <v/>
      </c>
      <c r="H54" s="22">
        <f>IF('NEW ACCOUNT'!A55="","",'NEW ACCOUNT'!H55)</f>
        <v/>
      </c>
      <c r="I54" s="23">
        <f>IFERROR(IF(A54="","",SUMIF(SAVINGS!$A:$A,A54,SAVINGS!$E:$E)),"")</f>
        <v/>
      </c>
      <c r="J54" s="23">
        <f>IFERROR(IF(A54="","",SUMIF(SAVINGS!$A:$A,A54,SAVINGS!$E:$E)-SUMIF(WITHDRAWALS!$A:$A,A54,WITHDRAWALS!$E:$E)),"")</f>
        <v/>
      </c>
    </row>
    <row r="55" ht="20" customHeight="1">
      <c r="A55" s="18">
        <f>'NEW ACCOUNT'!A56</f>
        <v/>
      </c>
      <c r="B55" s="19">
        <f>IF('NEW ACCOUNT'!A56="","",'NEW ACCOUNT'!B56)</f>
        <v/>
      </c>
      <c r="C55" s="19">
        <f>IF('NEW ACCOUNT'!A56="","",'NEW ACCOUNT'!C56)</f>
        <v/>
      </c>
      <c r="D55" s="19">
        <f>IF('NEW ACCOUNT'!A56="","",'NEW ACCOUNT'!D56)</f>
        <v/>
      </c>
      <c r="E55" s="19">
        <f>IF('NEW ACCOUNT'!A56="","",'NEW ACCOUNT'!E56)</f>
        <v/>
      </c>
      <c r="F55" s="19">
        <f>IF('NEW ACCOUNT'!A56="","",'NEW ACCOUNT'!F56)</f>
        <v/>
      </c>
      <c r="G55" s="19">
        <f>IF('NEW ACCOUNT'!A56="","",'NEW ACCOUNT'!G56)</f>
        <v/>
      </c>
      <c r="H55" s="19">
        <f>IF('NEW ACCOUNT'!A56="","",'NEW ACCOUNT'!H56)</f>
        <v/>
      </c>
      <c r="I55" s="20">
        <f>IFERROR(IF(A55="","",SUMIF(SAVINGS!$A:$A,A55,SAVINGS!$E:$E)),"")</f>
        <v/>
      </c>
      <c r="J55" s="20">
        <f>IFERROR(IF(A55="","",SUMIF(SAVINGS!$A:$A,A55,SAVINGS!$E:$E)-SUMIF(WITHDRAWALS!$A:$A,A55,WITHDRAWALS!$E:$E)),"")</f>
        <v/>
      </c>
    </row>
    <row r="56" ht="20" customHeight="1">
      <c r="A56" s="21">
        <f>'NEW ACCOUNT'!A57</f>
        <v/>
      </c>
      <c r="B56" s="22">
        <f>IF('NEW ACCOUNT'!A57="","",'NEW ACCOUNT'!B57)</f>
        <v/>
      </c>
      <c r="C56" s="22">
        <f>IF('NEW ACCOUNT'!A57="","",'NEW ACCOUNT'!C57)</f>
        <v/>
      </c>
      <c r="D56" s="22">
        <f>IF('NEW ACCOUNT'!A57="","",'NEW ACCOUNT'!D57)</f>
        <v/>
      </c>
      <c r="E56" s="22">
        <f>IF('NEW ACCOUNT'!A57="","",'NEW ACCOUNT'!E57)</f>
        <v/>
      </c>
      <c r="F56" s="22">
        <f>IF('NEW ACCOUNT'!A57="","",'NEW ACCOUNT'!F57)</f>
        <v/>
      </c>
      <c r="G56" s="22">
        <f>IF('NEW ACCOUNT'!A57="","",'NEW ACCOUNT'!G57)</f>
        <v/>
      </c>
      <c r="H56" s="22">
        <f>IF('NEW ACCOUNT'!A57="","",'NEW ACCOUNT'!H57)</f>
        <v/>
      </c>
      <c r="I56" s="23">
        <f>IFERROR(IF(A56="","",SUMIF(SAVINGS!$A:$A,A56,SAVINGS!$E:$E)),"")</f>
        <v/>
      </c>
      <c r="J56" s="23">
        <f>IFERROR(IF(A56="","",SUMIF(SAVINGS!$A:$A,A56,SAVINGS!$E:$E)-SUMIF(WITHDRAWALS!$A:$A,A56,WITHDRAWALS!$E:$E)),"")</f>
        <v/>
      </c>
    </row>
    <row r="57" ht="20" customHeight="1">
      <c r="A57" s="18">
        <f>'NEW ACCOUNT'!A58</f>
        <v/>
      </c>
      <c r="B57" s="19">
        <f>IF('NEW ACCOUNT'!A58="","",'NEW ACCOUNT'!B58)</f>
        <v/>
      </c>
      <c r="C57" s="19">
        <f>IF('NEW ACCOUNT'!A58="","",'NEW ACCOUNT'!C58)</f>
        <v/>
      </c>
      <c r="D57" s="19">
        <f>IF('NEW ACCOUNT'!A58="","",'NEW ACCOUNT'!D58)</f>
        <v/>
      </c>
      <c r="E57" s="19">
        <f>IF('NEW ACCOUNT'!A58="","",'NEW ACCOUNT'!E58)</f>
        <v/>
      </c>
      <c r="F57" s="19">
        <f>IF('NEW ACCOUNT'!A58="","",'NEW ACCOUNT'!F58)</f>
        <v/>
      </c>
      <c r="G57" s="19">
        <f>IF('NEW ACCOUNT'!A58="","",'NEW ACCOUNT'!G58)</f>
        <v/>
      </c>
      <c r="H57" s="19">
        <f>IF('NEW ACCOUNT'!A58="","",'NEW ACCOUNT'!H58)</f>
        <v/>
      </c>
      <c r="I57" s="20">
        <f>IFERROR(IF(A57="","",SUMIF(SAVINGS!$A:$A,A57,SAVINGS!$E:$E)),"")</f>
        <v/>
      </c>
      <c r="J57" s="20">
        <f>IFERROR(IF(A57="","",SUMIF(SAVINGS!$A:$A,A57,SAVINGS!$E:$E)-SUMIF(WITHDRAWALS!$A:$A,A57,WITHDRAWALS!$E:$E)),"")</f>
        <v/>
      </c>
    </row>
    <row r="58" ht="20" customHeight="1">
      <c r="A58" s="21">
        <f>'NEW ACCOUNT'!A59</f>
        <v/>
      </c>
      <c r="B58" s="22">
        <f>IF('NEW ACCOUNT'!A59="","",'NEW ACCOUNT'!B59)</f>
        <v/>
      </c>
      <c r="C58" s="22">
        <f>IF('NEW ACCOUNT'!A59="","",'NEW ACCOUNT'!C59)</f>
        <v/>
      </c>
      <c r="D58" s="22">
        <f>IF('NEW ACCOUNT'!A59="","",'NEW ACCOUNT'!D59)</f>
        <v/>
      </c>
      <c r="E58" s="22">
        <f>IF('NEW ACCOUNT'!A59="","",'NEW ACCOUNT'!E59)</f>
        <v/>
      </c>
      <c r="F58" s="22">
        <f>IF('NEW ACCOUNT'!A59="","",'NEW ACCOUNT'!F59)</f>
        <v/>
      </c>
      <c r="G58" s="22">
        <f>IF('NEW ACCOUNT'!A59="","",'NEW ACCOUNT'!G59)</f>
        <v/>
      </c>
      <c r="H58" s="22">
        <f>IF('NEW ACCOUNT'!A59="","",'NEW ACCOUNT'!H59)</f>
        <v/>
      </c>
      <c r="I58" s="23">
        <f>IFERROR(IF(A58="","",SUMIF(SAVINGS!$A:$A,A58,SAVINGS!$E:$E)),"")</f>
        <v/>
      </c>
      <c r="J58" s="23">
        <f>IFERROR(IF(A58="","",SUMIF(SAVINGS!$A:$A,A58,SAVINGS!$E:$E)-SUMIF(WITHDRAWALS!$A:$A,A58,WITHDRAWALS!$E:$E)),"")</f>
        <v/>
      </c>
    </row>
    <row r="59" ht="20" customHeight="1">
      <c r="A59" s="18">
        <f>'NEW ACCOUNT'!A60</f>
        <v/>
      </c>
      <c r="B59" s="19">
        <f>IF('NEW ACCOUNT'!A60="","",'NEW ACCOUNT'!B60)</f>
        <v/>
      </c>
      <c r="C59" s="19">
        <f>IF('NEW ACCOUNT'!A60="","",'NEW ACCOUNT'!C60)</f>
        <v/>
      </c>
      <c r="D59" s="19">
        <f>IF('NEW ACCOUNT'!A60="","",'NEW ACCOUNT'!D60)</f>
        <v/>
      </c>
      <c r="E59" s="19">
        <f>IF('NEW ACCOUNT'!A60="","",'NEW ACCOUNT'!E60)</f>
        <v/>
      </c>
      <c r="F59" s="19">
        <f>IF('NEW ACCOUNT'!A60="","",'NEW ACCOUNT'!F60)</f>
        <v/>
      </c>
      <c r="G59" s="19">
        <f>IF('NEW ACCOUNT'!A60="","",'NEW ACCOUNT'!G60)</f>
        <v/>
      </c>
      <c r="H59" s="19">
        <f>IF('NEW ACCOUNT'!A60="","",'NEW ACCOUNT'!H60)</f>
        <v/>
      </c>
      <c r="I59" s="20">
        <f>IFERROR(IF(A59="","",SUMIF(SAVINGS!$A:$A,A59,SAVINGS!$E:$E)),"")</f>
        <v/>
      </c>
      <c r="J59" s="20">
        <f>IFERROR(IF(A59="","",SUMIF(SAVINGS!$A:$A,A59,SAVINGS!$E:$E)-SUMIF(WITHDRAWALS!$A:$A,A59,WITHDRAWALS!$E:$E)),"")</f>
        <v/>
      </c>
    </row>
    <row r="60" ht="20" customHeight="1">
      <c r="A60" s="21">
        <f>'NEW ACCOUNT'!A61</f>
        <v/>
      </c>
      <c r="B60" s="22">
        <f>IF('NEW ACCOUNT'!A61="","",'NEW ACCOUNT'!B61)</f>
        <v/>
      </c>
      <c r="C60" s="22">
        <f>IF('NEW ACCOUNT'!A61="","",'NEW ACCOUNT'!C61)</f>
        <v/>
      </c>
      <c r="D60" s="22">
        <f>IF('NEW ACCOUNT'!A61="","",'NEW ACCOUNT'!D61)</f>
        <v/>
      </c>
      <c r="E60" s="22">
        <f>IF('NEW ACCOUNT'!A61="","",'NEW ACCOUNT'!E61)</f>
        <v/>
      </c>
      <c r="F60" s="22">
        <f>IF('NEW ACCOUNT'!A61="","",'NEW ACCOUNT'!F61)</f>
        <v/>
      </c>
      <c r="G60" s="22">
        <f>IF('NEW ACCOUNT'!A61="","",'NEW ACCOUNT'!G61)</f>
        <v/>
      </c>
      <c r="H60" s="22">
        <f>IF('NEW ACCOUNT'!A61="","",'NEW ACCOUNT'!H61)</f>
        <v/>
      </c>
      <c r="I60" s="23">
        <f>IFERROR(IF(A60="","",SUMIF(SAVINGS!$A:$A,A60,SAVINGS!$E:$E)),"")</f>
        <v/>
      </c>
      <c r="J60" s="23">
        <f>IFERROR(IF(A60="","",SUMIF(SAVINGS!$A:$A,A60,SAVINGS!$E:$E)-SUMIF(WITHDRAWALS!$A:$A,A60,WITHDRAWALS!$E:$E)),"")</f>
        <v/>
      </c>
    </row>
    <row r="61" ht="20" customHeight="1">
      <c r="A61" s="18">
        <f>'NEW ACCOUNT'!A62</f>
        <v/>
      </c>
      <c r="B61" s="19">
        <f>IF('NEW ACCOUNT'!A62="","",'NEW ACCOUNT'!B62)</f>
        <v/>
      </c>
      <c r="C61" s="19">
        <f>IF('NEW ACCOUNT'!A62="","",'NEW ACCOUNT'!C62)</f>
        <v/>
      </c>
      <c r="D61" s="19">
        <f>IF('NEW ACCOUNT'!A62="","",'NEW ACCOUNT'!D62)</f>
        <v/>
      </c>
      <c r="E61" s="19">
        <f>IF('NEW ACCOUNT'!A62="","",'NEW ACCOUNT'!E62)</f>
        <v/>
      </c>
      <c r="F61" s="19">
        <f>IF('NEW ACCOUNT'!A62="","",'NEW ACCOUNT'!F62)</f>
        <v/>
      </c>
      <c r="G61" s="19">
        <f>IF('NEW ACCOUNT'!A62="","",'NEW ACCOUNT'!G62)</f>
        <v/>
      </c>
      <c r="H61" s="19">
        <f>IF('NEW ACCOUNT'!A62="","",'NEW ACCOUNT'!H62)</f>
        <v/>
      </c>
      <c r="I61" s="20">
        <f>IFERROR(IF(A61="","",SUMIF(SAVINGS!$A:$A,A61,SAVINGS!$E:$E)),"")</f>
        <v/>
      </c>
      <c r="J61" s="20">
        <f>IFERROR(IF(A61="","",SUMIF(SAVINGS!$A:$A,A61,SAVINGS!$E:$E)-SUMIF(WITHDRAWALS!$A:$A,A61,WITHDRAWALS!$E:$E)),"")</f>
        <v/>
      </c>
    </row>
    <row r="62" ht="20" customHeight="1">
      <c r="A62" s="21">
        <f>'NEW ACCOUNT'!A63</f>
        <v/>
      </c>
      <c r="B62" s="22">
        <f>IF('NEW ACCOUNT'!A63="","",'NEW ACCOUNT'!B63)</f>
        <v/>
      </c>
      <c r="C62" s="22">
        <f>IF('NEW ACCOUNT'!A63="","",'NEW ACCOUNT'!C63)</f>
        <v/>
      </c>
      <c r="D62" s="22">
        <f>IF('NEW ACCOUNT'!A63="","",'NEW ACCOUNT'!D63)</f>
        <v/>
      </c>
      <c r="E62" s="22">
        <f>IF('NEW ACCOUNT'!A63="","",'NEW ACCOUNT'!E63)</f>
        <v/>
      </c>
      <c r="F62" s="22">
        <f>IF('NEW ACCOUNT'!A63="","",'NEW ACCOUNT'!F63)</f>
        <v/>
      </c>
      <c r="G62" s="22">
        <f>IF('NEW ACCOUNT'!A63="","",'NEW ACCOUNT'!G63)</f>
        <v/>
      </c>
      <c r="H62" s="22">
        <f>IF('NEW ACCOUNT'!A63="","",'NEW ACCOUNT'!H63)</f>
        <v/>
      </c>
      <c r="I62" s="23">
        <f>IFERROR(IF(A62="","",SUMIF(SAVINGS!$A:$A,A62,SAVINGS!$E:$E)),"")</f>
        <v/>
      </c>
      <c r="J62" s="23">
        <f>IFERROR(IF(A62="","",SUMIF(SAVINGS!$A:$A,A62,SAVINGS!$E:$E)-SUMIF(WITHDRAWALS!$A:$A,A62,WITHDRAWALS!$E:$E)),"")</f>
        <v/>
      </c>
    </row>
    <row r="63" ht="20" customHeight="1">
      <c r="A63" s="18">
        <f>'NEW ACCOUNT'!A64</f>
        <v/>
      </c>
      <c r="B63" s="19">
        <f>IF('NEW ACCOUNT'!A64="","",'NEW ACCOUNT'!B64)</f>
        <v/>
      </c>
      <c r="C63" s="19">
        <f>IF('NEW ACCOUNT'!A64="","",'NEW ACCOUNT'!C64)</f>
        <v/>
      </c>
      <c r="D63" s="19">
        <f>IF('NEW ACCOUNT'!A64="","",'NEW ACCOUNT'!D64)</f>
        <v/>
      </c>
      <c r="E63" s="19">
        <f>IF('NEW ACCOUNT'!A64="","",'NEW ACCOUNT'!E64)</f>
        <v/>
      </c>
      <c r="F63" s="19">
        <f>IF('NEW ACCOUNT'!A64="","",'NEW ACCOUNT'!F64)</f>
        <v/>
      </c>
      <c r="G63" s="19">
        <f>IF('NEW ACCOUNT'!A64="","",'NEW ACCOUNT'!G64)</f>
        <v/>
      </c>
      <c r="H63" s="19">
        <f>IF('NEW ACCOUNT'!A64="","",'NEW ACCOUNT'!H64)</f>
        <v/>
      </c>
      <c r="I63" s="20">
        <f>IFERROR(IF(A63="","",SUMIF(SAVINGS!$A:$A,A63,SAVINGS!$E:$E)),"")</f>
        <v/>
      </c>
      <c r="J63" s="20">
        <f>IFERROR(IF(A63="","",SUMIF(SAVINGS!$A:$A,A63,SAVINGS!$E:$E)-SUMIF(WITHDRAWALS!$A:$A,A63,WITHDRAWALS!$E:$E)),"")</f>
        <v/>
      </c>
    </row>
    <row r="64" ht="20" customHeight="1">
      <c r="A64" s="21">
        <f>'NEW ACCOUNT'!A65</f>
        <v/>
      </c>
      <c r="B64" s="22">
        <f>IF('NEW ACCOUNT'!A65="","",'NEW ACCOUNT'!B65)</f>
        <v/>
      </c>
      <c r="C64" s="22">
        <f>IF('NEW ACCOUNT'!A65="","",'NEW ACCOUNT'!C65)</f>
        <v/>
      </c>
      <c r="D64" s="22">
        <f>IF('NEW ACCOUNT'!A65="","",'NEW ACCOUNT'!D65)</f>
        <v/>
      </c>
      <c r="E64" s="22">
        <f>IF('NEW ACCOUNT'!A65="","",'NEW ACCOUNT'!E65)</f>
        <v/>
      </c>
      <c r="F64" s="22">
        <f>IF('NEW ACCOUNT'!A65="","",'NEW ACCOUNT'!F65)</f>
        <v/>
      </c>
      <c r="G64" s="22">
        <f>IF('NEW ACCOUNT'!A65="","",'NEW ACCOUNT'!G65)</f>
        <v/>
      </c>
      <c r="H64" s="22">
        <f>IF('NEW ACCOUNT'!A65="","",'NEW ACCOUNT'!H65)</f>
        <v/>
      </c>
      <c r="I64" s="23">
        <f>IFERROR(IF(A64="","",SUMIF(SAVINGS!$A:$A,A64,SAVINGS!$E:$E)),"")</f>
        <v/>
      </c>
      <c r="J64" s="23">
        <f>IFERROR(IF(A64="","",SUMIF(SAVINGS!$A:$A,A64,SAVINGS!$E:$E)-SUMIF(WITHDRAWALS!$A:$A,A64,WITHDRAWALS!$E:$E)),"")</f>
        <v/>
      </c>
    </row>
    <row r="65" ht="20" customHeight="1">
      <c r="A65" s="18">
        <f>'NEW ACCOUNT'!A66</f>
        <v/>
      </c>
      <c r="B65" s="19">
        <f>IF('NEW ACCOUNT'!A66="","",'NEW ACCOUNT'!B66)</f>
        <v/>
      </c>
      <c r="C65" s="19">
        <f>IF('NEW ACCOUNT'!A66="","",'NEW ACCOUNT'!C66)</f>
        <v/>
      </c>
      <c r="D65" s="19">
        <f>IF('NEW ACCOUNT'!A66="","",'NEW ACCOUNT'!D66)</f>
        <v/>
      </c>
      <c r="E65" s="19">
        <f>IF('NEW ACCOUNT'!A66="","",'NEW ACCOUNT'!E66)</f>
        <v/>
      </c>
      <c r="F65" s="19">
        <f>IF('NEW ACCOUNT'!A66="","",'NEW ACCOUNT'!F66)</f>
        <v/>
      </c>
      <c r="G65" s="19">
        <f>IF('NEW ACCOUNT'!A66="","",'NEW ACCOUNT'!G66)</f>
        <v/>
      </c>
      <c r="H65" s="19">
        <f>IF('NEW ACCOUNT'!A66="","",'NEW ACCOUNT'!H66)</f>
        <v/>
      </c>
      <c r="I65" s="20">
        <f>IFERROR(IF(A65="","",SUMIF(SAVINGS!$A:$A,A65,SAVINGS!$E:$E)),"")</f>
        <v/>
      </c>
      <c r="J65" s="20">
        <f>IFERROR(IF(A65="","",SUMIF(SAVINGS!$A:$A,A65,SAVINGS!$E:$E)-SUMIF(WITHDRAWALS!$A:$A,A65,WITHDRAWALS!$E:$E)),"")</f>
        <v/>
      </c>
    </row>
    <row r="66" ht="20" customHeight="1">
      <c r="A66" s="21">
        <f>'NEW ACCOUNT'!A67</f>
        <v/>
      </c>
      <c r="B66" s="22">
        <f>IF('NEW ACCOUNT'!A67="","",'NEW ACCOUNT'!B67)</f>
        <v/>
      </c>
      <c r="C66" s="22">
        <f>IF('NEW ACCOUNT'!A67="","",'NEW ACCOUNT'!C67)</f>
        <v/>
      </c>
      <c r="D66" s="22">
        <f>IF('NEW ACCOUNT'!A67="","",'NEW ACCOUNT'!D67)</f>
        <v/>
      </c>
      <c r="E66" s="22">
        <f>IF('NEW ACCOUNT'!A67="","",'NEW ACCOUNT'!E67)</f>
        <v/>
      </c>
      <c r="F66" s="22">
        <f>IF('NEW ACCOUNT'!A67="","",'NEW ACCOUNT'!F67)</f>
        <v/>
      </c>
      <c r="G66" s="22">
        <f>IF('NEW ACCOUNT'!A67="","",'NEW ACCOUNT'!G67)</f>
        <v/>
      </c>
      <c r="H66" s="22">
        <f>IF('NEW ACCOUNT'!A67="","",'NEW ACCOUNT'!H67)</f>
        <v/>
      </c>
      <c r="I66" s="23">
        <f>IFERROR(IF(A66="","",SUMIF(SAVINGS!$A:$A,A66,SAVINGS!$E:$E)),"")</f>
        <v/>
      </c>
      <c r="J66" s="23">
        <f>IFERROR(IF(A66="","",SUMIF(SAVINGS!$A:$A,A66,SAVINGS!$E:$E)-SUMIF(WITHDRAWALS!$A:$A,A66,WITHDRAWALS!$E:$E)),"")</f>
        <v/>
      </c>
    </row>
    <row r="67" ht="20" customHeight="1">
      <c r="A67" s="18">
        <f>'NEW ACCOUNT'!A68</f>
        <v/>
      </c>
      <c r="B67" s="19">
        <f>IF('NEW ACCOUNT'!A68="","",'NEW ACCOUNT'!B68)</f>
        <v/>
      </c>
      <c r="C67" s="19">
        <f>IF('NEW ACCOUNT'!A68="","",'NEW ACCOUNT'!C68)</f>
        <v/>
      </c>
      <c r="D67" s="19">
        <f>IF('NEW ACCOUNT'!A68="","",'NEW ACCOUNT'!D68)</f>
        <v/>
      </c>
      <c r="E67" s="19">
        <f>IF('NEW ACCOUNT'!A68="","",'NEW ACCOUNT'!E68)</f>
        <v/>
      </c>
      <c r="F67" s="19">
        <f>IF('NEW ACCOUNT'!A68="","",'NEW ACCOUNT'!F68)</f>
        <v/>
      </c>
      <c r="G67" s="19">
        <f>IF('NEW ACCOUNT'!A68="","",'NEW ACCOUNT'!G68)</f>
        <v/>
      </c>
      <c r="H67" s="19">
        <f>IF('NEW ACCOUNT'!A68="","",'NEW ACCOUNT'!H68)</f>
        <v/>
      </c>
      <c r="I67" s="20">
        <f>IFERROR(IF(A67="","",SUMIF(SAVINGS!$A:$A,A67,SAVINGS!$E:$E)),"")</f>
        <v/>
      </c>
      <c r="J67" s="20">
        <f>IFERROR(IF(A67="","",SUMIF(SAVINGS!$A:$A,A67,SAVINGS!$E:$E)-SUMIF(WITHDRAWALS!$A:$A,A67,WITHDRAWALS!$E:$E)),"")</f>
        <v/>
      </c>
    </row>
    <row r="68" ht="20" customHeight="1">
      <c r="A68" s="21">
        <f>'NEW ACCOUNT'!A69</f>
        <v/>
      </c>
      <c r="B68" s="22">
        <f>IF('NEW ACCOUNT'!A69="","",'NEW ACCOUNT'!B69)</f>
        <v/>
      </c>
      <c r="C68" s="22">
        <f>IF('NEW ACCOUNT'!A69="","",'NEW ACCOUNT'!C69)</f>
        <v/>
      </c>
      <c r="D68" s="22">
        <f>IF('NEW ACCOUNT'!A69="","",'NEW ACCOUNT'!D69)</f>
        <v/>
      </c>
      <c r="E68" s="22">
        <f>IF('NEW ACCOUNT'!A69="","",'NEW ACCOUNT'!E69)</f>
        <v/>
      </c>
      <c r="F68" s="22">
        <f>IF('NEW ACCOUNT'!A69="","",'NEW ACCOUNT'!F69)</f>
        <v/>
      </c>
      <c r="G68" s="22">
        <f>IF('NEW ACCOUNT'!A69="","",'NEW ACCOUNT'!G69)</f>
        <v/>
      </c>
      <c r="H68" s="22">
        <f>IF('NEW ACCOUNT'!A69="","",'NEW ACCOUNT'!H69)</f>
        <v/>
      </c>
      <c r="I68" s="23">
        <f>IFERROR(IF(A68="","",SUMIF(SAVINGS!$A:$A,A68,SAVINGS!$E:$E)),"")</f>
        <v/>
      </c>
      <c r="J68" s="23">
        <f>IFERROR(IF(A68="","",SUMIF(SAVINGS!$A:$A,A68,SAVINGS!$E:$E)-SUMIF(WITHDRAWALS!$A:$A,A68,WITHDRAWALS!$E:$E)),"")</f>
        <v/>
      </c>
    </row>
    <row r="69" ht="20" customHeight="1">
      <c r="A69" s="18">
        <f>'NEW ACCOUNT'!A70</f>
        <v/>
      </c>
      <c r="B69" s="19">
        <f>IF('NEW ACCOUNT'!A70="","",'NEW ACCOUNT'!B70)</f>
        <v/>
      </c>
      <c r="C69" s="19">
        <f>IF('NEW ACCOUNT'!A70="","",'NEW ACCOUNT'!C70)</f>
        <v/>
      </c>
      <c r="D69" s="19">
        <f>IF('NEW ACCOUNT'!A70="","",'NEW ACCOUNT'!D70)</f>
        <v/>
      </c>
      <c r="E69" s="19">
        <f>IF('NEW ACCOUNT'!A70="","",'NEW ACCOUNT'!E70)</f>
        <v/>
      </c>
      <c r="F69" s="19">
        <f>IF('NEW ACCOUNT'!A70="","",'NEW ACCOUNT'!F70)</f>
        <v/>
      </c>
      <c r="G69" s="19">
        <f>IF('NEW ACCOUNT'!A70="","",'NEW ACCOUNT'!G70)</f>
        <v/>
      </c>
      <c r="H69" s="19">
        <f>IF('NEW ACCOUNT'!A70="","",'NEW ACCOUNT'!H70)</f>
        <v/>
      </c>
      <c r="I69" s="20">
        <f>IFERROR(IF(A69="","",SUMIF(SAVINGS!$A:$A,A69,SAVINGS!$E:$E)),"")</f>
        <v/>
      </c>
      <c r="J69" s="20">
        <f>IFERROR(IF(A69="","",SUMIF(SAVINGS!$A:$A,A69,SAVINGS!$E:$E)-SUMIF(WITHDRAWALS!$A:$A,A69,WITHDRAWALS!$E:$E)),"")</f>
        <v/>
      </c>
    </row>
    <row r="70" ht="20" customHeight="1">
      <c r="A70" s="21">
        <f>'NEW ACCOUNT'!A71</f>
        <v/>
      </c>
      <c r="B70" s="22">
        <f>IF('NEW ACCOUNT'!A71="","",'NEW ACCOUNT'!B71)</f>
        <v/>
      </c>
      <c r="C70" s="22">
        <f>IF('NEW ACCOUNT'!A71="","",'NEW ACCOUNT'!C71)</f>
        <v/>
      </c>
      <c r="D70" s="22">
        <f>IF('NEW ACCOUNT'!A71="","",'NEW ACCOUNT'!D71)</f>
        <v/>
      </c>
      <c r="E70" s="22">
        <f>IF('NEW ACCOUNT'!A71="","",'NEW ACCOUNT'!E71)</f>
        <v/>
      </c>
      <c r="F70" s="22">
        <f>IF('NEW ACCOUNT'!A71="","",'NEW ACCOUNT'!F71)</f>
        <v/>
      </c>
      <c r="G70" s="22">
        <f>IF('NEW ACCOUNT'!A71="","",'NEW ACCOUNT'!G71)</f>
        <v/>
      </c>
      <c r="H70" s="22">
        <f>IF('NEW ACCOUNT'!A71="","",'NEW ACCOUNT'!H71)</f>
        <v/>
      </c>
      <c r="I70" s="23">
        <f>IFERROR(IF(A70="","",SUMIF(SAVINGS!$A:$A,A70,SAVINGS!$E:$E)),"")</f>
        <v/>
      </c>
      <c r="J70" s="23">
        <f>IFERROR(IF(A70="","",SUMIF(SAVINGS!$A:$A,A70,SAVINGS!$E:$E)-SUMIF(WITHDRAWALS!$A:$A,A70,WITHDRAWALS!$E:$E)),"")</f>
        <v/>
      </c>
    </row>
    <row r="71" ht="20" customHeight="1">
      <c r="A71" s="18">
        <f>'NEW ACCOUNT'!A72</f>
        <v/>
      </c>
      <c r="B71" s="19">
        <f>IF('NEW ACCOUNT'!A72="","",'NEW ACCOUNT'!B72)</f>
        <v/>
      </c>
      <c r="C71" s="19">
        <f>IF('NEW ACCOUNT'!A72="","",'NEW ACCOUNT'!C72)</f>
        <v/>
      </c>
      <c r="D71" s="19">
        <f>IF('NEW ACCOUNT'!A72="","",'NEW ACCOUNT'!D72)</f>
        <v/>
      </c>
      <c r="E71" s="19">
        <f>IF('NEW ACCOUNT'!A72="","",'NEW ACCOUNT'!E72)</f>
        <v/>
      </c>
      <c r="F71" s="19">
        <f>IF('NEW ACCOUNT'!A72="","",'NEW ACCOUNT'!F72)</f>
        <v/>
      </c>
      <c r="G71" s="19">
        <f>IF('NEW ACCOUNT'!A72="","",'NEW ACCOUNT'!G72)</f>
        <v/>
      </c>
      <c r="H71" s="19">
        <f>IF('NEW ACCOUNT'!A72="","",'NEW ACCOUNT'!H72)</f>
        <v/>
      </c>
      <c r="I71" s="20">
        <f>IFERROR(IF(A71="","",SUMIF(SAVINGS!$A:$A,A71,SAVINGS!$E:$E)),"")</f>
        <v/>
      </c>
      <c r="J71" s="20">
        <f>IFERROR(IF(A71="","",SUMIF(SAVINGS!$A:$A,A71,SAVINGS!$E:$E)-SUMIF(WITHDRAWALS!$A:$A,A71,WITHDRAWALS!$E:$E)),"")</f>
        <v/>
      </c>
    </row>
    <row r="72" ht="20" customHeight="1">
      <c r="A72" s="21">
        <f>'NEW ACCOUNT'!A73</f>
        <v/>
      </c>
      <c r="B72" s="22">
        <f>IF('NEW ACCOUNT'!A73="","",'NEW ACCOUNT'!B73)</f>
        <v/>
      </c>
      <c r="C72" s="22">
        <f>IF('NEW ACCOUNT'!A73="","",'NEW ACCOUNT'!C73)</f>
        <v/>
      </c>
      <c r="D72" s="22">
        <f>IF('NEW ACCOUNT'!A73="","",'NEW ACCOUNT'!D73)</f>
        <v/>
      </c>
      <c r="E72" s="22">
        <f>IF('NEW ACCOUNT'!A73="","",'NEW ACCOUNT'!E73)</f>
        <v/>
      </c>
      <c r="F72" s="22">
        <f>IF('NEW ACCOUNT'!A73="","",'NEW ACCOUNT'!F73)</f>
        <v/>
      </c>
      <c r="G72" s="22">
        <f>IF('NEW ACCOUNT'!A73="","",'NEW ACCOUNT'!G73)</f>
        <v/>
      </c>
      <c r="H72" s="22">
        <f>IF('NEW ACCOUNT'!A73="","",'NEW ACCOUNT'!H73)</f>
        <v/>
      </c>
      <c r="I72" s="23">
        <f>IFERROR(IF(A72="","",SUMIF(SAVINGS!$A:$A,A72,SAVINGS!$E:$E)),"")</f>
        <v/>
      </c>
      <c r="J72" s="23">
        <f>IFERROR(IF(A72="","",SUMIF(SAVINGS!$A:$A,A72,SAVINGS!$E:$E)-SUMIF(WITHDRAWALS!$A:$A,A72,WITHDRAWALS!$E:$E)),"")</f>
        <v/>
      </c>
    </row>
    <row r="73" ht="20" customHeight="1">
      <c r="A73" s="18">
        <f>'NEW ACCOUNT'!A74</f>
        <v/>
      </c>
      <c r="B73" s="19">
        <f>IF('NEW ACCOUNT'!A74="","",'NEW ACCOUNT'!B74)</f>
        <v/>
      </c>
      <c r="C73" s="19">
        <f>IF('NEW ACCOUNT'!A74="","",'NEW ACCOUNT'!C74)</f>
        <v/>
      </c>
      <c r="D73" s="19">
        <f>IF('NEW ACCOUNT'!A74="","",'NEW ACCOUNT'!D74)</f>
        <v/>
      </c>
      <c r="E73" s="19">
        <f>IF('NEW ACCOUNT'!A74="","",'NEW ACCOUNT'!E74)</f>
        <v/>
      </c>
      <c r="F73" s="19">
        <f>IF('NEW ACCOUNT'!A74="","",'NEW ACCOUNT'!F74)</f>
        <v/>
      </c>
      <c r="G73" s="19">
        <f>IF('NEW ACCOUNT'!A74="","",'NEW ACCOUNT'!G74)</f>
        <v/>
      </c>
      <c r="H73" s="19">
        <f>IF('NEW ACCOUNT'!A74="","",'NEW ACCOUNT'!H74)</f>
        <v/>
      </c>
      <c r="I73" s="20">
        <f>IFERROR(IF(A73="","",SUMIF(SAVINGS!$A:$A,A73,SAVINGS!$E:$E)),"")</f>
        <v/>
      </c>
      <c r="J73" s="20">
        <f>IFERROR(IF(A73="","",SUMIF(SAVINGS!$A:$A,A73,SAVINGS!$E:$E)-SUMIF(WITHDRAWALS!$A:$A,A73,WITHDRAWALS!$E:$E)),"")</f>
        <v/>
      </c>
    </row>
    <row r="74" ht="20" customHeight="1">
      <c r="A74" s="21">
        <f>'NEW ACCOUNT'!A75</f>
        <v/>
      </c>
      <c r="B74" s="22">
        <f>IF('NEW ACCOUNT'!A75="","",'NEW ACCOUNT'!B75)</f>
        <v/>
      </c>
      <c r="C74" s="22">
        <f>IF('NEW ACCOUNT'!A75="","",'NEW ACCOUNT'!C75)</f>
        <v/>
      </c>
      <c r="D74" s="22">
        <f>IF('NEW ACCOUNT'!A75="","",'NEW ACCOUNT'!D75)</f>
        <v/>
      </c>
      <c r="E74" s="22">
        <f>IF('NEW ACCOUNT'!A75="","",'NEW ACCOUNT'!E75)</f>
        <v/>
      </c>
      <c r="F74" s="22">
        <f>IF('NEW ACCOUNT'!A75="","",'NEW ACCOUNT'!F75)</f>
        <v/>
      </c>
      <c r="G74" s="22">
        <f>IF('NEW ACCOUNT'!A75="","",'NEW ACCOUNT'!G75)</f>
        <v/>
      </c>
      <c r="H74" s="22">
        <f>IF('NEW ACCOUNT'!A75="","",'NEW ACCOUNT'!H75)</f>
        <v/>
      </c>
      <c r="I74" s="23">
        <f>IFERROR(IF(A74="","",SUMIF(SAVINGS!$A:$A,A74,SAVINGS!$E:$E)),"")</f>
        <v/>
      </c>
      <c r="J74" s="23">
        <f>IFERROR(IF(A74="","",SUMIF(SAVINGS!$A:$A,A74,SAVINGS!$E:$E)-SUMIF(WITHDRAWALS!$A:$A,A74,WITHDRAWALS!$E:$E)),"")</f>
        <v/>
      </c>
    </row>
    <row r="75" ht="20" customHeight="1">
      <c r="A75" s="18">
        <f>'NEW ACCOUNT'!A76</f>
        <v/>
      </c>
      <c r="B75" s="19">
        <f>IF('NEW ACCOUNT'!A76="","",'NEW ACCOUNT'!B76)</f>
        <v/>
      </c>
      <c r="C75" s="19">
        <f>IF('NEW ACCOUNT'!A76="","",'NEW ACCOUNT'!C76)</f>
        <v/>
      </c>
      <c r="D75" s="19">
        <f>IF('NEW ACCOUNT'!A76="","",'NEW ACCOUNT'!D76)</f>
        <v/>
      </c>
      <c r="E75" s="19">
        <f>IF('NEW ACCOUNT'!A76="","",'NEW ACCOUNT'!E76)</f>
        <v/>
      </c>
      <c r="F75" s="19">
        <f>IF('NEW ACCOUNT'!A76="","",'NEW ACCOUNT'!F76)</f>
        <v/>
      </c>
      <c r="G75" s="19">
        <f>IF('NEW ACCOUNT'!A76="","",'NEW ACCOUNT'!G76)</f>
        <v/>
      </c>
      <c r="H75" s="19">
        <f>IF('NEW ACCOUNT'!A76="","",'NEW ACCOUNT'!H76)</f>
        <v/>
      </c>
      <c r="I75" s="20">
        <f>IFERROR(IF(A75="","",SUMIF(SAVINGS!$A:$A,A75,SAVINGS!$E:$E)),"")</f>
        <v/>
      </c>
      <c r="J75" s="20">
        <f>IFERROR(IF(A75="","",SUMIF(SAVINGS!$A:$A,A75,SAVINGS!$E:$E)-SUMIF(WITHDRAWALS!$A:$A,A75,WITHDRAWALS!$E:$E)),"")</f>
        <v/>
      </c>
    </row>
    <row r="76" ht="20" customHeight="1">
      <c r="A76" s="21">
        <f>'NEW ACCOUNT'!A77</f>
        <v/>
      </c>
      <c r="B76" s="22">
        <f>IF('NEW ACCOUNT'!A77="","",'NEW ACCOUNT'!B77)</f>
        <v/>
      </c>
      <c r="C76" s="22">
        <f>IF('NEW ACCOUNT'!A77="","",'NEW ACCOUNT'!C77)</f>
        <v/>
      </c>
      <c r="D76" s="22">
        <f>IF('NEW ACCOUNT'!A77="","",'NEW ACCOUNT'!D77)</f>
        <v/>
      </c>
      <c r="E76" s="22">
        <f>IF('NEW ACCOUNT'!A77="","",'NEW ACCOUNT'!E77)</f>
        <v/>
      </c>
      <c r="F76" s="22">
        <f>IF('NEW ACCOUNT'!A77="","",'NEW ACCOUNT'!F77)</f>
        <v/>
      </c>
      <c r="G76" s="22">
        <f>IF('NEW ACCOUNT'!A77="","",'NEW ACCOUNT'!G77)</f>
        <v/>
      </c>
      <c r="H76" s="22">
        <f>IF('NEW ACCOUNT'!A77="","",'NEW ACCOUNT'!H77)</f>
        <v/>
      </c>
      <c r="I76" s="23">
        <f>IFERROR(IF(A76="","",SUMIF(SAVINGS!$A:$A,A76,SAVINGS!$E:$E)),"")</f>
        <v/>
      </c>
      <c r="J76" s="23">
        <f>IFERROR(IF(A76="","",SUMIF(SAVINGS!$A:$A,A76,SAVINGS!$E:$E)-SUMIF(WITHDRAWALS!$A:$A,A76,WITHDRAWALS!$E:$E)),"")</f>
        <v/>
      </c>
    </row>
    <row r="77" ht="20" customHeight="1">
      <c r="A77" s="18">
        <f>'NEW ACCOUNT'!A78</f>
        <v/>
      </c>
      <c r="B77" s="19">
        <f>IF('NEW ACCOUNT'!A78="","",'NEW ACCOUNT'!B78)</f>
        <v/>
      </c>
      <c r="C77" s="19">
        <f>IF('NEW ACCOUNT'!A78="","",'NEW ACCOUNT'!C78)</f>
        <v/>
      </c>
      <c r="D77" s="19">
        <f>IF('NEW ACCOUNT'!A78="","",'NEW ACCOUNT'!D78)</f>
        <v/>
      </c>
      <c r="E77" s="19">
        <f>IF('NEW ACCOUNT'!A78="","",'NEW ACCOUNT'!E78)</f>
        <v/>
      </c>
      <c r="F77" s="19">
        <f>IF('NEW ACCOUNT'!A78="","",'NEW ACCOUNT'!F78)</f>
        <v/>
      </c>
      <c r="G77" s="19">
        <f>IF('NEW ACCOUNT'!A78="","",'NEW ACCOUNT'!G78)</f>
        <v/>
      </c>
      <c r="H77" s="19">
        <f>IF('NEW ACCOUNT'!A78="","",'NEW ACCOUNT'!H78)</f>
        <v/>
      </c>
      <c r="I77" s="20">
        <f>IFERROR(IF(A77="","",SUMIF(SAVINGS!$A:$A,A77,SAVINGS!$E:$E)),"")</f>
        <v/>
      </c>
      <c r="J77" s="20">
        <f>IFERROR(IF(A77="","",SUMIF(SAVINGS!$A:$A,A77,SAVINGS!$E:$E)-SUMIF(WITHDRAWALS!$A:$A,A77,WITHDRAWALS!$E:$E)),"")</f>
        <v/>
      </c>
    </row>
    <row r="78" ht="20" customHeight="1">
      <c r="A78" s="21">
        <f>'NEW ACCOUNT'!A79</f>
        <v/>
      </c>
      <c r="B78" s="22">
        <f>IF('NEW ACCOUNT'!A79="","",'NEW ACCOUNT'!B79)</f>
        <v/>
      </c>
      <c r="C78" s="22">
        <f>IF('NEW ACCOUNT'!A79="","",'NEW ACCOUNT'!C79)</f>
        <v/>
      </c>
      <c r="D78" s="22">
        <f>IF('NEW ACCOUNT'!A79="","",'NEW ACCOUNT'!D79)</f>
        <v/>
      </c>
      <c r="E78" s="22">
        <f>IF('NEW ACCOUNT'!A79="","",'NEW ACCOUNT'!E79)</f>
        <v/>
      </c>
      <c r="F78" s="22">
        <f>IF('NEW ACCOUNT'!A79="","",'NEW ACCOUNT'!F79)</f>
        <v/>
      </c>
      <c r="G78" s="22">
        <f>IF('NEW ACCOUNT'!A79="","",'NEW ACCOUNT'!G79)</f>
        <v/>
      </c>
      <c r="H78" s="22">
        <f>IF('NEW ACCOUNT'!A79="","",'NEW ACCOUNT'!H79)</f>
        <v/>
      </c>
      <c r="I78" s="23">
        <f>IFERROR(IF(A78="","",SUMIF(SAVINGS!$A:$A,A78,SAVINGS!$E:$E)),"")</f>
        <v/>
      </c>
      <c r="J78" s="23">
        <f>IFERROR(IF(A78="","",SUMIF(SAVINGS!$A:$A,A78,SAVINGS!$E:$E)-SUMIF(WITHDRAWALS!$A:$A,A78,WITHDRAWALS!$E:$E)),"")</f>
        <v/>
      </c>
    </row>
    <row r="79" ht="20" customHeight="1">
      <c r="A79" s="18">
        <f>'NEW ACCOUNT'!A80</f>
        <v/>
      </c>
      <c r="B79" s="19">
        <f>IF('NEW ACCOUNT'!A80="","",'NEW ACCOUNT'!B80)</f>
        <v/>
      </c>
      <c r="C79" s="19">
        <f>IF('NEW ACCOUNT'!A80="","",'NEW ACCOUNT'!C80)</f>
        <v/>
      </c>
      <c r="D79" s="19">
        <f>IF('NEW ACCOUNT'!A80="","",'NEW ACCOUNT'!D80)</f>
        <v/>
      </c>
      <c r="E79" s="19">
        <f>IF('NEW ACCOUNT'!A80="","",'NEW ACCOUNT'!E80)</f>
        <v/>
      </c>
      <c r="F79" s="19">
        <f>IF('NEW ACCOUNT'!A80="","",'NEW ACCOUNT'!F80)</f>
        <v/>
      </c>
      <c r="G79" s="19">
        <f>IF('NEW ACCOUNT'!A80="","",'NEW ACCOUNT'!G80)</f>
        <v/>
      </c>
      <c r="H79" s="19">
        <f>IF('NEW ACCOUNT'!A80="","",'NEW ACCOUNT'!H80)</f>
        <v/>
      </c>
      <c r="I79" s="20">
        <f>IFERROR(IF(A79="","",SUMIF(SAVINGS!$A:$A,A79,SAVINGS!$E:$E)),"")</f>
        <v/>
      </c>
      <c r="J79" s="20">
        <f>IFERROR(IF(A79="","",SUMIF(SAVINGS!$A:$A,A79,SAVINGS!$E:$E)-SUMIF(WITHDRAWALS!$A:$A,A79,WITHDRAWALS!$E:$E)),"")</f>
        <v/>
      </c>
    </row>
    <row r="80" ht="20" customHeight="1">
      <c r="A80" s="21">
        <f>'NEW ACCOUNT'!A81</f>
        <v/>
      </c>
      <c r="B80" s="22">
        <f>IF('NEW ACCOUNT'!A81="","",'NEW ACCOUNT'!B81)</f>
        <v/>
      </c>
      <c r="C80" s="22">
        <f>IF('NEW ACCOUNT'!A81="","",'NEW ACCOUNT'!C81)</f>
        <v/>
      </c>
      <c r="D80" s="22">
        <f>IF('NEW ACCOUNT'!A81="","",'NEW ACCOUNT'!D81)</f>
        <v/>
      </c>
      <c r="E80" s="22">
        <f>IF('NEW ACCOUNT'!A81="","",'NEW ACCOUNT'!E81)</f>
        <v/>
      </c>
      <c r="F80" s="22">
        <f>IF('NEW ACCOUNT'!A81="","",'NEW ACCOUNT'!F81)</f>
        <v/>
      </c>
      <c r="G80" s="22">
        <f>IF('NEW ACCOUNT'!A81="","",'NEW ACCOUNT'!G81)</f>
        <v/>
      </c>
      <c r="H80" s="22">
        <f>IF('NEW ACCOUNT'!A81="","",'NEW ACCOUNT'!H81)</f>
        <v/>
      </c>
      <c r="I80" s="23">
        <f>IFERROR(IF(A80="","",SUMIF(SAVINGS!$A:$A,A80,SAVINGS!$E:$E)),"")</f>
        <v/>
      </c>
      <c r="J80" s="23">
        <f>IFERROR(IF(A80="","",SUMIF(SAVINGS!$A:$A,A80,SAVINGS!$E:$E)-SUMIF(WITHDRAWALS!$A:$A,A80,WITHDRAWALS!$E:$E)),"")</f>
        <v/>
      </c>
    </row>
    <row r="81" ht="20" customHeight="1">
      <c r="A81" s="18">
        <f>'NEW ACCOUNT'!A82</f>
        <v/>
      </c>
      <c r="B81" s="19">
        <f>IF('NEW ACCOUNT'!A82="","",'NEW ACCOUNT'!B82)</f>
        <v/>
      </c>
      <c r="C81" s="19">
        <f>IF('NEW ACCOUNT'!A82="","",'NEW ACCOUNT'!C82)</f>
        <v/>
      </c>
      <c r="D81" s="19">
        <f>IF('NEW ACCOUNT'!A82="","",'NEW ACCOUNT'!D82)</f>
        <v/>
      </c>
      <c r="E81" s="19">
        <f>IF('NEW ACCOUNT'!A82="","",'NEW ACCOUNT'!E82)</f>
        <v/>
      </c>
      <c r="F81" s="19">
        <f>IF('NEW ACCOUNT'!A82="","",'NEW ACCOUNT'!F82)</f>
        <v/>
      </c>
      <c r="G81" s="19">
        <f>IF('NEW ACCOUNT'!A82="","",'NEW ACCOUNT'!G82)</f>
        <v/>
      </c>
      <c r="H81" s="19">
        <f>IF('NEW ACCOUNT'!A82="","",'NEW ACCOUNT'!H82)</f>
        <v/>
      </c>
      <c r="I81" s="20">
        <f>IFERROR(IF(A81="","",SUMIF(SAVINGS!$A:$A,A81,SAVINGS!$E:$E)),"")</f>
        <v/>
      </c>
      <c r="J81" s="20">
        <f>IFERROR(IF(A81="","",SUMIF(SAVINGS!$A:$A,A81,SAVINGS!$E:$E)-SUMIF(WITHDRAWALS!$A:$A,A81,WITHDRAWALS!$E:$E)),"")</f>
        <v/>
      </c>
    </row>
    <row r="82" ht="20" customHeight="1">
      <c r="A82" s="21">
        <f>'NEW ACCOUNT'!A83</f>
        <v/>
      </c>
      <c r="B82" s="22">
        <f>IF('NEW ACCOUNT'!A83="","",'NEW ACCOUNT'!B83)</f>
        <v/>
      </c>
      <c r="C82" s="22">
        <f>IF('NEW ACCOUNT'!A83="","",'NEW ACCOUNT'!C83)</f>
        <v/>
      </c>
      <c r="D82" s="22">
        <f>IF('NEW ACCOUNT'!A83="","",'NEW ACCOUNT'!D83)</f>
        <v/>
      </c>
      <c r="E82" s="22">
        <f>IF('NEW ACCOUNT'!A83="","",'NEW ACCOUNT'!E83)</f>
        <v/>
      </c>
      <c r="F82" s="22">
        <f>IF('NEW ACCOUNT'!A83="","",'NEW ACCOUNT'!F83)</f>
        <v/>
      </c>
      <c r="G82" s="22">
        <f>IF('NEW ACCOUNT'!A83="","",'NEW ACCOUNT'!G83)</f>
        <v/>
      </c>
      <c r="H82" s="22">
        <f>IF('NEW ACCOUNT'!A83="","",'NEW ACCOUNT'!H83)</f>
        <v/>
      </c>
      <c r="I82" s="23">
        <f>IFERROR(IF(A82="","",SUMIF(SAVINGS!$A:$A,A82,SAVINGS!$E:$E)),"")</f>
        <v/>
      </c>
      <c r="J82" s="23">
        <f>IFERROR(IF(A82="","",SUMIF(SAVINGS!$A:$A,A82,SAVINGS!$E:$E)-SUMIF(WITHDRAWALS!$A:$A,A82,WITHDRAWALS!$E:$E)),"")</f>
        <v/>
      </c>
    </row>
    <row r="83" ht="20" customHeight="1">
      <c r="A83" s="18">
        <f>'NEW ACCOUNT'!A84</f>
        <v/>
      </c>
      <c r="B83" s="19">
        <f>IF('NEW ACCOUNT'!A84="","",'NEW ACCOUNT'!B84)</f>
        <v/>
      </c>
      <c r="C83" s="19">
        <f>IF('NEW ACCOUNT'!A84="","",'NEW ACCOUNT'!C84)</f>
        <v/>
      </c>
      <c r="D83" s="19">
        <f>IF('NEW ACCOUNT'!A84="","",'NEW ACCOUNT'!D84)</f>
        <v/>
      </c>
      <c r="E83" s="19">
        <f>IF('NEW ACCOUNT'!A84="","",'NEW ACCOUNT'!E84)</f>
        <v/>
      </c>
      <c r="F83" s="19">
        <f>IF('NEW ACCOUNT'!A84="","",'NEW ACCOUNT'!F84)</f>
        <v/>
      </c>
      <c r="G83" s="19">
        <f>IF('NEW ACCOUNT'!A84="","",'NEW ACCOUNT'!G84)</f>
        <v/>
      </c>
      <c r="H83" s="19">
        <f>IF('NEW ACCOUNT'!A84="","",'NEW ACCOUNT'!H84)</f>
        <v/>
      </c>
      <c r="I83" s="20">
        <f>IFERROR(IF(A83="","",SUMIF(SAVINGS!$A:$A,A83,SAVINGS!$E:$E)),"")</f>
        <v/>
      </c>
      <c r="J83" s="20">
        <f>IFERROR(IF(A83="","",SUMIF(SAVINGS!$A:$A,A83,SAVINGS!$E:$E)-SUMIF(WITHDRAWALS!$A:$A,A83,WITHDRAWALS!$E:$E)),"")</f>
        <v/>
      </c>
    </row>
    <row r="84" ht="20" customHeight="1">
      <c r="A84" s="21">
        <f>'NEW ACCOUNT'!A85</f>
        <v/>
      </c>
      <c r="B84" s="22">
        <f>IF('NEW ACCOUNT'!A85="","",'NEW ACCOUNT'!B85)</f>
        <v/>
      </c>
      <c r="C84" s="22">
        <f>IF('NEW ACCOUNT'!A85="","",'NEW ACCOUNT'!C85)</f>
        <v/>
      </c>
      <c r="D84" s="22">
        <f>IF('NEW ACCOUNT'!A85="","",'NEW ACCOUNT'!D85)</f>
        <v/>
      </c>
      <c r="E84" s="22">
        <f>IF('NEW ACCOUNT'!A85="","",'NEW ACCOUNT'!E85)</f>
        <v/>
      </c>
      <c r="F84" s="22">
        <f>IF('NEW ACCOUNT'!A85="","",'NEW ACCOUNT'!F85)</f>
        <v/>
      </c>
      <c r="G84" s="22">
        <f>IF('NEW ACCOUNT'!A85="","",'NEW ACCOUNT'!G85)</f>
        <v/>
      </c>
      <c r="H84" s="22">
        <f>IF('NEW ACCOUNT'!A85="","",'NEW ACCOUNT'!H85)</f>
        <v/>
      </c>
      <c r="I84" s="23">
        <f>IFERROR(IF(A84="","",SUMIF(SAVINGS!$A:$A,A84,SAVINGS!$E:$E)),"")</f>
        <v/>
      </c>
      <c r="J84" s="23">
        <f>IFERROR(IF(A84="","",SUMIF(SAVINGS!$A:$A,A84,SAVINGS!$E:$E)-SUMIF(WITHDRAWALS!$A:$A,A84,WITHDRAWALS!$E:$E)),"")</f>
        <v/>
      </c>
    </row>
    <row r="85" ht="20" customHeight="1">
      <c r="A85" s="18">
        <f>'NEW ACCOUNT'!A86</f>
        <v/>
      </c>
      <c r="B85" s="19">
        <f>IF('NEW ACCOUNT'!A86="","",'NEW ACCOUNT'!B86)</f>
        <v/>
      </c>
      <c r="C85" s="19">
        <f>IF('NEW ACCOUNT'!A86="","",'NEW ACCOUNT'!C86)</f>
        <v/>
      </c>
      <c r="D85" s="19">
        <f>IF('NEW ACCOUNT'!A86="","",'NEW ACCOUNT'!D86)</f>
        <v/>
      </c>
      <c r="E85" s="19">
        <f>IF('NEW ACCOUNT'!A86="","",'NEW ACCOUNT'!E86)</f>
        <v/>
      </c>
      <c r="F85" s="19">
        <f>IF('NEW ACCOUNT'!A86="","",'NEW ACCOUNT'!F86)</f>
        <v/>
      </c>
      <c r="G85" s="19">
        <f>IF('NEW ACCOUNT'!A86="","",'NEW ACCOUNT'!G86)</f>
        <v/>
      </c>
      <c r="H85" s="19">
        <f>IF('NEW ACCOUNT'!A86="","",'NEW ACCOUNT'!H86)</f>
        <v/>
      </c>
      <c r="I85" s="20">
        <f>IFERROR(IF(A85="","",SUMIF(SAVINGS!$A:$A,A85,SAVINGS!$E:$E)),"")</f>
        <v/>
      </c>
      <c r="J85" s="20">
        <f>IFERROR(IF(A85="","",SUMIF(SAVINGS!$A:$A,A85,SAVINGS!$E:$E)-SUMIF(WITHDRAWALS!$A:$A,A85,WITHDRAWALS!$E:$E)),"")</f>
        <v/>
      </c>
    </row>
    <row r="86" ht="20" customHeight="1">
      <c r="A86" s="21">
        <f>'NEW ACCOUNT'!A87</f>
        <v/>
      </c>
      <c r="B86" s="22">
        <f>IF('NEW ACCOUNT'!A87="","",'NEW ACCOUNT'!B87)</f>
        <v/>
      </c>
      <c r="C86" s="22">
        <f>IF('NEW ACCOUNT'!A87="","",'NEW ACCOUNT'!C87)</f>
        <v/>
      </c>
      <c r="D86" s="22">
        <f>IF('NEW ACCOUNT'!A87="","",'NEW ACCOUNT'!D87)</f>
        <v/>
      </c>
      <c r="E86" s="22">
        <f>IF('NEW ACCOUNT'!A87="","",'NEW ACCOUNT'!E87)</f>
        <v/>
      </c>
      <c r="F86" s="22">
        <f>IF('NEW ACCOUNT'!A87="","",'NEW ACCOUNT'!F87)</f>
        <v/>
      </c>
      <c r="G86" s="22">
        <f>IF('NEW ACCOUNT'!A87="","",'NEW ACCOUNT'!G87)</f>
        <v/>
      </c>
      <c r="H86" s="22">
        <f>IF('NEW ACCOUNT'!A87="","",'NEW ACCOUNT'!H87)</f>
        <v/>
      </c>
      <c r="I86" s="23">
        <f>IFERROR(IF(A86="","",SUMIF(SAVINGS!$A:$A,A86,SAVINGS!$E:$E)),"")</f>
        <v/>
      </c>
      <c r="J86" s="23">
        <f>IFERROR(IF(A86="","",SUMIF(SAVINGS!$A:$A,A86,SAVINGS!$E:$E)-SUMIF(WITHDRAWALS!$A:$A,A86,WITHDRAWALS!$E:$E)),"")</f>
        <v/>
      </c>
    </row>
    <row r="87" ht="20" customHeight="1">
      <c r="A87" s="18">
        <f>'NEW ACCOUNT'!A88</f>
        <v/>
      </c>
      <c r="B87" s="19">
        <f>IF('NEW ACCOUNT'!A88="","",'NEW ACCOUNT'!B88)</f>
        <v/>
      </c>
      <c r="C87" s="19">
        <f>IF('NEW ACCOUNT'!A88="","",'NEW ACCOUNT'!C88)</f>
        <v/>
      </c>
      <c r="D87" s="19">
        <f>IF('NEW ACCOUNT'!A88="","",'NEW ACCOUNT'!D88)</f>
        <v/>
      </c>
      <c r="E87" s="19">
        <f>IF('NEW ACCOUNT'!A88="","",'NEW ACCOUNT'!E88)</f>
        <v/>
      </c>
      <c r="F87" s="19">
        <f>IF('NEW ACCOUNT'!A88="","",'NEW ACCOUNT'!F88)</f>
        <v/>
      </c>
      <c r="G87" s="19">
        <f>IF('NEW ACCOUNT'!A88="","",'NEW ACCOUNT'!G88)</f>
        <v/>
      </c>
      <c r="H87" s="19">
        <f>IF('NEW ACCOUNT'!A88="","",'NEW ACCOUNT'!H88)</f>
        <v/>
      </c>
      <c r="I87" s="20">
        <f>IFERROR(IF(A87="","",SUMIF(SAVINGS!$A:$A,A87,SAVINGS!$E:$E)),"")</f>
        <v/>
      </c>
      <c r="J87" s="20">
        <f>IFERROR(IF(A87="","",SUMIF(SAVINGS!$A:$A,A87,SAVINGS!$E:$E)-SUMIF(WITHDRAWALS!$A:$A,A87,WITHDRAWALS!$E:$E)),"")</f>
        <v/>
      </c>
    </row>
    <row r="88" ht="20" customHeight="1">
      <c r="A88" s="21">
        <f>'NEW ACCOUNT'!A89</f>
        <v/>
      </c>
      <c r="B88" s="22">
        <f>IF('NEW ACCOUNT'!A89="","",'NEW ACCOUNT'!B89)</f>
        <v/>
      </c>
      <c r="C88" s="22">
        <f>IF('NEW ACCOUNT'!A89="","",'NEW ACCOUNT'!C89)</f>
        <v/>
      </c>
      <c r="D88" s="22">
        <f>IF('NEW ACCOUNT'!A89="","",'NEW ACCOUNT'!D89)</f>
        <v/>
      </c>
      <c r="E88" s="22">
        <f>IF('NEW ACCOUNT'!A89="","",'NEW ACCOUNT'!E89)</f>
        <v/>
      </c>
      <c r="F88" s="22">
        <f>IF('NEW ACCOUNT'!A89="","",'NEW ACCOUNT'!F89)</f>
        <v/>
      </c>
      <c r="G88" s="22">
        <f>IF('NEW ACCOUNT'!A89="","",'NEW ACCOUNT'!G89)</f>
        <v/>
      </c>
      <c r="H88" s="22">
        <f>IF('NEW ACCOUNT'!A89="","",'NEW ACCOUNT'!H89)</f>
        <v/>
      </c>
      <c r="I88" s="23">
        <f>IFERROR(IF(A88="","",SUMIF(SAVINGS!$A:$A,A88,SAVINGS!$E:$E)),"")</f>
        <v/>
      </c>
      <c r="J88" s="23">
        <f>IFERROR(IF(A88="","",SUMIF(SAVINGS!$A:$A,A88,SAVINGS!$E:$E)-SUMIF(WITHDRAWALS!$A:$A,A88,WITHDRAWALS!$E:$E)),"")</f>
        <v/>
      </c>
    </row>
    <row r="89" ht="20" customHeight="1">
      <c r="A89" s="18">
        <f>'NEW ACCOUNT'!A90</f>
        <v/>
      </c>
      <c r="B89" s="19">
        <f>IF('NEW ACCOUNT'!A90="","",'NEW ACCOUNT'!B90)</f>
        <v/>
      </c>
      <c r="C89" s="19">
        <f>IF('NEW ACCOUNT'!A90="","",'NEW ACCOUNT'!C90)</f>
        <v/>
      </c>
      <c r="D89" s="19">
        <f>IF('NEW ACCOUNT'!A90="","",'NEW ACCOUNT'!D90)</f>
        <v/>
      </c>
      <c r="E89" s="19">
        <f>IF('NEW ACCOUNT'!A90="","",'NEW ACCOUNT'!E90)</f>
        <v/>
      </c>
      <c r="F89" s="19">
        <f>IF('NEW ACCOUNT'!A90="","",'NEW ACCOUNT'!F90)</f>
        <v/>
      </c>
      <c r="G89" s="19">
        <f>IF('NEW ACCOUNT'!A90="","",'NEW ACCOUNT'!G90)</f>
        <v/>
      </c>
      <c r="H89" s="19">
        <f>IF('NEW ACCOUNT'!A90="","",'NEW ACCOUNT'!H90)</f>
        <v/>
      </c>
      <c r="I89" s="20">
        <f>IFERROR(IF(A89="","",SUMIF(SAVINGS!$A:$A,A89,SAVINGS!$E:$E)),"")</f>
        <v/>
      </c>
      <c r="J89" s="20">
        <f>IFERROR(IF(A89="","",SUMIF(SAVINGS!$A:$A,A89,SAVINGS!$E:$E)-SUMIF(WITHDRAWALS!$A:$A,A89,WITHDRAWALS!$E:$E)),"")</f>
        <v/>
      </c>
    </row>
    <row r="90" ht="20" customHeight="1">
      <c r="A90" s="21">
        <f>'NEW ACCOUNT'!A91</f>
        <v/>
      </c>
      <c r="B90" s="22">
        <f>IF('NEW ACCOUNT'!A91="","",'NEW ACCOUNT'!B91)</f>
        <v/>
      </c>
      <c r="C90" s="22">
        <f>IF('NEW ACCOUNT'!A91="","",'NEW ACCOUNT'!C91)</f>
        <v/>
      </c>
      <c r="D90" s="22">
        <f>IF('NEW ACCOUNT'!A91="","",'NEW ACCOUNT'!D91)</f>
        <v/>
      </c>
      <c r="E90" s="22">
        <f>IF('NEW ACCOUNT'!A91="","",'NEW ACCOUNT'!E91)</f>
        <v/>
      </c>
      <c r="F90" s="22">
        <f>IF('NEW ACCOUNT'!A91="","",'NEW ACCOUNT'!F91)</f>
        <v/>
      </c>
      <c r="G90" s="22">
        <f>IF('NEW ACCOUNT'!A91="","",'NEW ACCOUNT'!G91)</f>
        <v/>
      </c>
      <c r="H90" s="22">
        <f>IF('NEW ACCOUNT'!A91="","",'NEW ACCOUNT'!H91)</f>
        <v/>
      </c>
      <c r="I90" s="23">
        <f>IFERROR(IF(A90="","",SUMIF(SAVINGS!$A:$A,A90,SAVINGS!$E:$E)),"")</f>
        <v/>
      </c>
      <c r="J90" s="23">
        <f>IFERROR(IF(A90="","",SUMIF(SAVINGS!$A:$A,A90,SAVINGS!$E:$E)-SUMIF(WITHDRAWALS!$A:$A,A90,WITHDRAWALS!$E:$E)),"")</f>
        <v/>
      </c>
    </row>
    <row r="91" ht="20" customHeight="1">
      <c r="A91" s="18">
        <f>'NEW ACCOUNT'!A92</f>
        <v/>
      </c>
      <c r="B91" s="19">
        <f>IF('NEW ACCOUNT'!A92="","",'NEW ACCOUNT'!B92)</f>
        <v/>
      </c>
      <c r="C91" s="19">
        <f>IF('NEW ACCOUNT'!A92="","",'NEW ACCOUNT'!C92)</f>
        <v/>
      </c>
      <c r="D91" s="19">
        <f>IF('NEW ACCOUNT'!A92="","",'NEW ACCOUNT'!D92)</f>
        <v/>
      </c>
      <c r="E91" s="19">
        <f>IF('NEW ACCOUNT'!A92="","",'NEW ACCOUNT'!E92)</f>
        <v/>
      </c>
      <c r="F91" s="19">
        <f>IF('NEW ACCOUNT'!A92="","",'NEW ACCOUNT'!F92)</f>
        <v/>
      </c>
      <c r="G91" s="19">
        <f>IF('NEW ACCOUNT'!A92="","",'NEW ACCOUNT'!G92)</f>
        <v/>
      </c>
      <c r="H91" s="19">
        <f>IF('NEW ACCOUNT'!A92="","",'NEW ACCOUNT'!H92)</f>
        <v/>
      </c>
      <c r="I91" s="20">
        <f>IFERROR(IF(A91="","",SUMIF(SAVINGS!$A:$A,A91,SAVINGS!$E:$E)),"")</f>
        <v/>
      </c>
      <c r="J91" s="20">
        <f>IFERROR(IF(A91="","",SUMIF(SAVINGS!$A:$A,A91,SAVINGS!$E:$E)-SUMIF(WITHDRAWALS!$A:$A,A91,WITHDRAWALS!$E:$E)),"")</f>
        <v/>
      </c>
    </row>
    <row r="92" ht="20" customHeight="1">
      <c r="A92" s="21">
        <f>'NEW ACCOUNT'!A93</f>
        <v/>
      </c>
      <c r="B92" s="22">
        <f>IF('NEW ACCOUNT'!A93="","",'NEW ACCOUNT'!B93)</f>
        <v/>
      </c>
      <c r="C92" s="22">
        <f>IF('NEW ACCOUNT'!A93="","",'NEW ACCOUNT'!C93)</f>
        <v/>
      </c>
      <c r="D92" s="22">
        <f>IF('NEW ACCOUNT'!A93="","",'NEW ACCOUNT'!D93)</f>
        <v/>
      </c>
      <c r="E92" s="22">
        <f>IF('NEW ACCOUNT'!A93="","",'NEW ACCOUNT'!E93)</f>
        <v/>
      </c>
      <c r="F92" s="22">
        <f>IF('NEW ACCOUNT'!A93="","",'NEW ACCOUNT'!F93)</f>
        <v/>
      </c>
      <c r="G92" s="22">
        <f>IF('NEW ACCOUNT'!A93="","",'NEW ACCOUNT'!G93)</f>
        <v/>
      </c>
      <c r="H92" s="22">
        <f>IF('NEW ACCOUNT'!A93="","",'NEW ACCOUNT'!H93)</f>
        <v/>
      </c>
      <c r="I92" s="23">
        <f>IFERROR(IF(A92="","",SUMIF(SAVINGS!$A:$A,A92,SAVINGS!$E:$E)),"")</f>
        <v/>
      </c>
      <c r="J92" s="23">
        <f>IFERROR(IF(A92="","",SUMIF(SAVINGS!$A:$A,A92,SAVINGS!$E:$E)-SUMIF(WITHDRAWALS!$A:$A,A92,WITHDRAWALS!$E:$E)),"")</f>
        <v/>
      </c>
    </row>
    <row r="93" ht="20" customHeight="1">
      <c r="A93" s="18">
        <f>'NEW ACCOUNT'!A94</f>
        <v/>
      </c>
      <c r="B93" s="19">
        <f>IF('NEW ACCOUNT'!A94="","",'NEW ACCOUNT'!B94)</f>
        <v/>
      </c>
      <c r="C93" s="19">
        <f>IF('NEW ACCOUNT'!A94="","",'NEW ACCOUNT'!C94)</f>
        <v/>
      </c>
      <c r="D93" s="19">
        <f>IF('NEW ACCOUNT'!A94="","",'NEW ACCOUNT'!D94)</f>
        <v/>
      </c>
      <c r="E93" s="19">
        <f>IF('NEW ACCOUNT'!A94="","",'NEW ACCOUNT'!E94)</f>
        <v/>
      </c>
      <c r="F93" s="19">
        <f>IF('NEW ACCOUNT'!A94="","",'NEW ACCOUNT'!F94)</f>
        <v/>
      </c>
      <c r="G93" s="19">
        <f>IF('NEW ACCOUNT'!A94="","",'NEW ACCOUNT'!G94)</f>
        <v/>
      </c>
      <c r="H93" s="19">
        <f>IF('NEW ACCOUNT'!A94="","",'NEW ACCOUNT'!H94)</f>
        <v/>
      </c>
      <c r="I93" s="20">
        <f>IFERROR(IF(A93="","",SUMIF(SAVINGS!$A:$A,A93,SAVINGS!$E:$E)),"")</f>
        <v/>
      </c>
      <c r="J93" s="20">
        <f>IFERROR(IF(A93="","",SUMIF(SAVINGS!$A:$A,A93,SAVINGS!$E:$E)-SUMIF(WITHDRAWALS!$A:$A,A93,WITHDRAWALS!$E:$E)),"")</f>
        <v/>
      </c>
    </row>
    <row r="94" ht="20" customHeight="1">
      <c r="A94" s="21">
        <f>'NEW ACCOUNT'!A95</f>
        <v/>
      </c>
      <c r="B94" s="22">
        <f>IF('NEW ACCOUNT'!A95="","",'NEW ACCOUNT'!B95)</f>
        <v/>
      </c>
      <c r="C94" s="22">
        <f>IF('NEW ACCOUNT'!A95="","",'NEW ACCOUNT'!C95)</f>
        <v/>
      </c>
      <c r="D94" s="22">
        <f>IF('NEW ACCOUNT'!A95="","",'NEW ACCOUNT'!D95)</f>
        <v/>
      </c>
      <c r="E94" s="22">
        <f>IF('NEW ACCOUNT'!A95="","",'NEW ACCOUNT'!E95)</f>
        <v/>
      </c>
      <c r="F94" s="22">
        <f>IF('NEW ACCOUNT'!A95="","",'NEW ACCOUNT'!F95)</f>
        <v/>
      </c>
      <c r="G94" s="22">
        <f>IF('NEW ACCOUNT'!A95="","",'NEW ACCOUNT'!G95)</f>
        <v/>
      </c>
      <c r="H94" s="22">
        <f>IF('NEW ACCOUNT'!A95="","",'NEW ACCOUNT'!H95)</f>
        <v/>
      </c>
      <c r="I94" s="23">
        <f>IFERROR(IF(A94="","",SUMIF(SAVINGS!$A:$A,A94,SAVINGS!$E:$E)),"")</f>
        <v/>
      </c>
      <c r="J94" s="23">
        <f>IFERROR(IF(A94="","",SUMIF(SAVINGS!$A:$A,A94,SAVINGS!$E:$E)-SUMIF(WITHDRAWALS!$A:$A,A94,WITHDRAWALS!$E:$E)),"")</f>
        <v/>
      </c>
    </row>
    <row r="95" ht="20" customHeight="1">
      <c r="A95" s="18">
        <f>'NEW ACCOUNT'!A96</f>
        <v/>
      </c>
      <c r="B95" s="19">
        <f>IF('NEW ACCOUNT'!A96="","",'NEW ACCOUNT'!B96)</f>
        <v/>
      </c>
      <c r="C95" s="19">
        <f>IF('NEW ACCOUNT'!A96="","",'NEW ACCOUNT'!C96)</f>
        <v/>
      </c>
      <c r="D95" s="19">
        <f>IF('NEW ACCOUNT'!A96="","",'NEW ACCOUNT'!D96)</f>
        <v/>
      </c>
      <c r="E95" s="19">
        <f>IF('NEW ACCOUNT'!A96="","",'NEW ACCOUNT'!E96)</f>
        <v/>
      </c>
      <c r="F95" s="19">
        <f>IF('NEW ACCOUNT'!A96="","",'NEW ACCOUNT'!F96)</f>
        <v/>
      </c>
      <c r="G95" s="19">
        <f>IF('NEW ACCOUNT'!A96="","",'NEW ACCOUNT'!G96)</f>
        <v/>
      </c>
      <c r="H95" s="19">
        <f>IF('NEW ACCOUNT'!A96="","",'NEW ACCOUNT'!H96)</f>
        <v/>
      </c>
      <c r="I95" s="20">
        <f>IFERROR(IF(A95="","",SUMIF(SAVINGS!$A:$A,A95,SAVINGS!$E:$E)),"")</f>
        <v/>
      </c>
      <c r="J95" s="20">
        <f>IFERROR(IF(A95="","",SUMIF(SAVINGS!$A:$A,A95,SAVINGS!$E:$E)-SUMIF(WITHDRAWALS!$A:$A,A95,WITHDRAWALS!$E:$E)),"")</f>
        <v/>
      </c>
    </row>
    <row r="96" ht="20" customHeight="1">
      <c r="A96" s="21">
        <f>'NEW ACCOUNT'!A97</f>
        <v/>
      </c>
      <c r="B96" s="22">
        <f>IF('NEW ACCOUNT'!A97="","",'NEW ACCOUNT'!B97)</f>
        <v/>
      </c>
      <c r="C96" s="22">
        <f>IF('NEW ACCOUNT'!A97="","",'NEW ACCOUNT'!C97)</f>
        <v/>
      </c>
      <c r="D96" s="22">
        <f>IF('NEW ACCOUNT'!A97="","",'NEW ACCOUNT'!D97)</f>
        <v/>
      </c>
      <c r="E96" s="22">
        <f>IF('NEW ACCOUNT'!A97="","",'NEW ACCOUNT'!E97)</f>
        <v/>
      </c>
      <c r="F96" s="22">
        <f>IF('NEW ACCOUNT'!A97="","",'NEW ACCOUNT'!F97)</f>
        <v/>
      </c>
      <c r="G96" s="22">
        <f>IF('NEW ACCOUNT'!A97="","",'NEW ACCOUNT'!G97)</f>
        <v/>
      </c>
      <c r="H96" s="22">
        <f>IF('NEW ACCOUNT'!A97="","",'NEW ACCOUNT'!H97)</f>
        <v/>
      </c>
      <c r="I96" s="23">
        <f>IFERROR(IF(A96="","",SUMIF(SAVINGS!$A:$A,A96,SAVINGS!$E:$E)),"")</f>
        <v/>
      </c>
      <c r="J96" s="23">
        <f>IFERROR(IF(A96="","",SUMIF(SAVINGS!$A:$A,A96,SAVINGS!$E:$E)-SUMIF(WITHDRAWALS!$A:$A,A96,WITHDRAWALS!$E:$E)),"")</f>
        <v/>
      </c>
    </row>
    <row r="97" ht="20" customHeight="1">
      <c r="A97" s="18">
        <f>'NEW ACCOUNT'!A98</f>
        <v/>
      </c>
      <c r="B97" s="19">
        <f>IF('NEW ACCOUNT'!A98="","",'NEW ACCOUNT'!B98)</f>
        <v/>
      </c>
      <c r="C97" s="19">
        <f>IF('NEW ACCOUNT'!A98="","",'NEW ACCOUNT'!C98)</f>
        <v/>
      </c>
      <c r="D97" s="19">
        <f>IF('NEW ACCOUNT'!A98="","",'NEW ACCOUNT'!D98)</f>
        <v/>
      </c>
      <c r="E97" s="19">
        <f>IF('NEW ACCOUNT'!A98="","",'NEW ACCOUNT'!E98)</f>
        <v/>
      </c>
      <c r="F97" s="19">
        <f>IF('NEW ACCOUNT'!A98="","",'NEW ACCOUNT'!F98)</f>
        <v/>
      </c>
      <c r="G97" s="19">
        <f>IF('NEW ACCOUNT'!A98="","",'NEW ACCOUNT'!G98)</f>
        <v/>
      </c>
      <c r="H97" s="19">
        <f>IF('NEW ACCOUNT'!A98="","",'NEW ACCOUNT'!H98)</f>
        <v/>
      </c>
      <c r="I97" s="20">
        <f>IFERROR(IF(A97="","",SUMIF(SAVINGS!$A:$A,A97,SAVINGS!$E:$E)),"")</f>
        <v/>
      </c>
      <c r="J97" s="20">
        <f>IFERROR(IF(A97="","",SUMIF(SAVINGS!$A:$A,A97,SAVINGS!$E:$E)-SUMIF(WITHDRAWALS!$A:$A,A97,WITHDRAWALS!$E:$E)),"")</f>
        <v/>
      </c>
    </row>
    <row r="98" ht="20" customHeight="1">
      <c r="A98" s="21">
        <f>'NEW ACCOUNT'!A99</f>
        <v/>
      </c>
      <c r="B98" s="22">
        <f>IF('NEW ACCOUNT'!A99="","",'NEW ACCOUNT'!B99)</f>
        <v/>
      </c>
      <c r="C98" s="22">
        <f>IF('NEW ACCOUNT'!A99="","",'NEW ACCOUNT'!C99)</f>
        <v/>
      </c>
      <c r="D98" s="22">
        <f>IF('NEW ACCOUNT'!A99="","",'NEW ACCOUNT'!D99)</f>
        <v/>
      </c>
      <c r="E98" s="22">
        <f>IF('NEW ACCOUNT'!A99="","",'NEW ACCOUNT'!E99)</f>
        <v/>
      </c>
      <c r="F98" s="22">
        <f>IF('NEW ACCOUNT'!A99="","",'NEW ACCOUNT'!F99)</f>
        <v/>
      </c>
      <c r="G98" s="22">
        <f>IF('NEW ACCOUNT'!A99="","",'NEW ACCOUNT'!G99)</f>
        <v/>
      </c>
      <c r="H98" s="22">
        <f>IF('NEW ACCOUNT'!A99="","",'NEW ACCOUNT'!H99)</f>
        <v/>
      </c>
      <c r="I98" s="23">
        <f>IFERROR(IF(A98="","",SUMIF(SAVINGS!$A:$A,A98,SAVINGS!$E:$E)),"")</f>
        <v/>
      </c>
      <c r="J98" s="23">
        <f>IFERROR(IF(A98="","",SUMIF(SAVINGS!$A:$A,A98,SAVINGS!$E:$E)-SUMIF(WITHDRAWALS!$A:$A,A98,WITHDRAWALS!$E:$E)),"")</f>
        <v/>
      </c>
    </row>
    <row r="99" ht="20" customHeight="1">
      <c r="A99" s="18">
        <f>'NEW ACCOUNT'!A100</f>
        <v/>
      </c>
      <c r="B99" s="19">
        <f>IF('NEW ACCOUNT'!A100="","",'NEW ACCOUNT'!B100)</f>
        <v/>
      </c>
      <c r="C99" s="19">
        <f>IF('NEW ACCOUNT'!A100="","",'NEW ACCOUNT'!C100)</f>
        <v/>
      </c>
      <c r="D99" s="19">
        <f>IF('NEW ACCOUNT'!A100="","",'NEW ACCOUNT'!D100)</f>
        <v/>
      </c>
      <c r="E99" s="19">
        <f>IF('NEW ACCOUNT'!A100="","",'NEW ACCOUNT'!E100)</f>
        <v/>
      </c>
      <c r="F99" s="19">
        <f>IF('NEW ACCOUNT'!A100="","",'NEW ACCOUNT'!F100)</f>
        <v/>
      </c>
      <c r="G99" s="19">
        <f>IF('NEW ACCOUNT'!A100="","",'NEW ACCOUNT'!G100)</f>
        <v/>
      </c>
      <c r="H99" s="19">
        <f>IF('NEW ACCOUNT'!A100="","",'NEW ACCOUNT'!H100)</f>
        <v/>
      </c>
      <c r="I99" s="20">
        <f>IFERROR(IF(A99="","",SUMIF(SAVINGS!$A:$A,A99,SAVINGS!$E:$E)),"")</f>
        <v/>
      </c>
      <c r="J99" s="20">
        <f>IFERROR(IF(A99="","",SUMIF(SAVINGS!$A:$A,A99,SAVINGS!$E:$E)-SUMIF(WITHDRAWALS!$A:$A,A99,WITHDRAWALS!$E:$E)),"")</f>
        <v/>
      </c>
    </row>
    <row r="100" ht="20" customHeight="1">
      <c r="A100" s="21">
        <f>'NEW ACCOUNT'!A101</f>
        <v/>
      </c>
      <c r="B100" s="22">
        <f>IF('NEW ACCOUNT'!A101="","",'NEW ACCOUNT'!B101)</f>
        <v/>
      </c>
      <c r="C100" s="22">
        <f>IF('NEW ACCOUNT'!A101="","",'NEW ACCOUNT'!C101)</f>
        <v/>
      </c>
      <c r="D100" s="22">
        <f>IF('NEW ACCOUNT'!A101="","",'NEW ACCOUNT'!D101)</f>
        <v/>
      </c>
      <c r="E100" s="22">
        <f>IF('NEW ACCOUNT'!A101="","",'NEW ACCOUNT'!E101)</f>
        <v/>
      </c>
      <c r="F100" s="22">
        <f>IF('NEW ACCOUNT'!A101="","",'NEW ACCOUNT'!F101)</f>
        <v/>
      </c>
      <c r="G100" s="22">
        <f>IF('NEW ACCOUNT'!A101="","",'NEW ACCOUNT'!G101)</f>
        <v/>
      </c>
      <c r="H100" s="22">
        <f>IF('NEW ACCOUNT'!A101="","",'NEW ACCOUNT'!H101)</f>
        <v/>
      </c>
      <c r="I100" s="23">
        <f>IFERROR(IF(A100="","",SUMIF(SAVINGS!$A:$A,A100,SAVINGS!$E:$E)),"")</f>
        <v/>
      </c>
      <c r="J100" s="23">
        <f>IFERROR(IF(A100="","",SUMIF(SAVINGS!$A:$A,A100,SAVINGS!$E:$E)-SUMIF(WITHDRAWALS!$A:$A,A100,WITHDRAWALS!$E:$E)),"")</f>
        <v/>
      </c>
    </row>
    <row r="101" ht="20" customHeight="1">
      <c r="A101" s="18">
        <f>'NEW ACCOUNT'!A102</f>
        <v/>
      </c>
      <c r="B101" s="19">
        <f>IF('NEW ACCOUNT'!A102="","",'NEW ACCOUNT'!B102)</f>
        <v/>
      </c>
      <c r="C101" s="19">
        <f>IF('NEW ACCOUNT'!A102="","",'NEW ACCOUNT'!C102)</f>
        <v/>
      </c>
      <c r="D101" s="19">
        <f>IF('NEW ACCOUNT'!A102="","",'NEW ACCOUNT'!D102)</f>
        <v/>
      </c>
      <c r="E101" s="19">
        <f>IF('NEW ACCOUNT'!A102="","",'NEW ACCOUNT'!E102)</f>
        <v/>
      </c>
      <c r="F101" s="19">
        <f>IF('NEW ACCOUNT'!A102="","",'NEW ACCOUNT'!F102)</f>
        <v/>
      </c>
      <c r="G101" s="19">
        <f>IF('NEW ACCOUNT'!A102="","",'NEW ACCOUNT'!G102)</f>
        <v/>
      </c>
      <c r="H101" s="19">
        <f>IF('NEW ACCOUNT'!A102="","",'NEW ACCOUNT'!H102)</f>
        <v/>
      </c>
      <c r="I101" s="20">
        <f>IFERROR(IF(A101="","",SUMIF(SAVINGS!$A:$A,A101,SAVINGS!$E:$E)),"")</f>
        <v/>
      </c>
      <c r="J101" s="20">
        <f>IFERROR(IF(A101="","",SUMIF(SAVINGS!$A:$A,A101,SAVINGS!$E:$E)-SUMIF(WITHDRAWALS!$A:$A,A101,WITHDRAWALS!$E:$E)),"")</f>
        <v/>
      </c>
    </row>
    <row r="102" ht="20" customHeight="1">
      <c r="A102" s="21">
        <f>'NEW ACCOUNT'!A103</f>
        <v/>
      </c>
      <c r="B102" s="22">
        <f>IF('NEW ACCOUNT'!A103="","",'NEW ACCOUNT'!B103)</f>
        <v/>
      </c>
      <c r="C102" s="22">
        <f>IF('NEW ACCOUNT'!A103="","",'NEW ACCOUNT'!C103)</f>
        <v/>
      </c>
      <c r="D102" s="22">
        <f>IF('NEW ACCOUNT'!A103="","",'NEW ACCOUNT'!D103)</f>
        <v/>
      </c>
      <c r="E102" s="22">
        <f>IF('NEW ACCOUNT'!A103="","",'NEW ACCOUNT'!E103)</f>
        <v/>
      </c>
      <c r="F102" s="22">
        <f>IF('NEW ACCOUNT'!A103="","",'NEW ACCOUNT'!F103)</f>
        <v/>
      </c>
      <c r="G102" s="22">
        <f>IF('NEW ACCOUNT'!A103="","",'NEW ACCOUNT'!G103)</f>
        <v/>
      </c>
      <c r="H102" s="22">
        <f>IF('NEW ACCOUNT'!A103="","",'NEW ACCOUNT'!H103)</f>
        <v/>
      </c>
      <c r="I102" s="23">
        <f>IFERROR(IF(A102="","",SUMIF(SAVINGS!$A:$A,A102,SAVINGS!$E:$E)),"")</f>
        <v/>
      </c>
      <c r="J102" s="23">
        <f>IFERROR(IF(A102="","",SUMIF(SAVINGS!$A:$A,A102,SAVINGS!$E:$E)-SUMIF(WITHDRAWALS!$A:$A,A102,WITHDRAWALS!$E:$E)),"")</f>
        <v/>
      </c>
    </row>
    <row r="103" ht="20" customHeight="1">
      <c r="A103" s="18">
        <f>'NEW ACCOUNT'!A104</f>
        <v/>
      </c>
      <c r="B103" s="19">
        <f>IF('NEW ACCOUNT'!A104="","",'NEW ACCOUNT'!B104)</f>
        <v/>
      </c>
      <c r="C103" s="19">
        <f>IF('NEW ACCOUNT'!A104="","",'NEW ACCOUNT'!C104)</f>
        <v/>
      </c>
      <c r="D103" s="19">
        <f>IF('NEW ACCOUNT'!A104="","",'NEW ACCOUNT'!D104)</f>
        <v/>
      </c>
      <c r="E103" s="19">
        <f>IF('NEW ACCOUNT'!A104="","",'NEW ACCOUNT'!E104)</f>
        <v/>
      </c>
      <c r="F103" s="19">
        <f>IF('NEW ACCOUNT'!A104="","",'NEW ACCOUNT'!F104)</f>
        <v/>
      </c>
      <c r="G103" s="19">
        <f>IF('NEW ACCOUNT'!A104="","",'NEW ACCOUNT'!G104)</f>
        <v/>
      </c>
      <c r="H103" s="19">
        <f>IF('NEW ACCOUNT'!A104="","",'NEW ACCOUNT'!H104)</f>
        <v/>
      </c>
      <c r="I103" s="20">
        <f>IFERROR(IF(A103="","",SUMIF(SAVINGS!$A:$A,A103,SAVINGS!$E:$E)),"")</f>
        <v/>
      </c>
      <c r="J103" s="20">
        <f>IFERROR(IF(A103="","",SUMIF(SAVINGS!$A:$A,A103,SAVINGS!$E:$E)-SUMIF(WITHDRAWALS!$A:$A,A103,WITHDRAWALS!$E:$E)),"")</f>
        <v/>
      </c>
    </row>
    <row r="104" ht="20" customHeight="1">
      <c r="A104" s="21">
        <f>'NEW ACCOUNT'!A105</f>
        <v/>
      </c>
      <c r="B104" s="22">
        <f>IF('NEW ACCOUNT'!A105="","",'NEW ACCOUNT'!B105)</f>
        <v/>
      </c>
      <c r="C104" s="22">
        <f>IF('NEW ACCOUNT'!A105="","",'NEW ACCOUNT'!C105)</f>
        <v/>
      </c>
      <c r="D104" s="22">
        <f>IF('NEW ACCOUNT'!A105="","",'NEW ACCOUNT'!D105)</f>
        <v/>
      </c>
      <c r="E104" s="22">
        <f>IF('NEW ACCOUNT'!A105="","",'NEW ACCOUNT'!E105)</f>
        <v/>
      </c>
      <c r="F104" s="22">
        <f>IF('NEW ACCOUNT'!A105="","",'NEW ACCOUNT'!F105)</f>
        <v/>
      </c>
      <c r="G104" s="22">
        <f>IF('NEW ACCOUNT'!A105="","",'NEW ACCOUNT'!G105)</f>
        <v/>
      </c>
      <c r="H104" s="22">
        <f>IF('NEW ACCOUNT'!A105="","",'NEW ACCOUNT'!H105)</f>
        <v/>
      </c>
      <c r="I104" s="23">
        <f>IFERROR(IF(A104="","",SUMIF(SAVINGS!$A:$A,A104,SAVINGS!$E:$E)),"")</f>
        <v/>
      </c>
      <c r="J104" s="23">
        <f>IFERROR(IF(A104="","",SUMIF(SAVINGS!$A:$A,A104,SAVINGS!$E:$E)-SUMIF(WITHDRAWALS!$A:$A,A104,WITHDRAWALS!$E:$E)),"")</f>
        <v/>
      </c>
    </row>
    <row r="105" ht="20" customHeight="1">
      <c r="A105" s="18">
        <f>'NEW ACCOUNT'!A106</f>
        <v/>
      </c>
      <c r="B105" s="19">
        <f>IF('NEW ACCOUNT'!A106="","",'NEW ACCOUNT'!B106)</f>
        <v/>
      </c>
      <c r="C105" s="19">
        <f>IF('NEW ACCOUNT'!A106="","",'NEW ACCOUNT'!C106)</f>
        <v/>
      </c>
      <c r="D105" s="19">
        <f>IF('NEW ACCOUNT'!A106="","",'NEW ACCOUNT'!D106)</f>
        <v/>
      </c>
      <c r="E105" s="19">
        <f>IF('NEW ACCOUNT'!A106="","",'NEW ACCOUNT'!E106)</f>
        <v/>
      </c>
      <c r="F105" s="19">
        <f>IF('NEW ACCOUNT'!A106="","",'NEW ACCOUNT'!F106)</f>
        <v/>
      </c>
      <c r="G105" s="19">
        <f>IF('NEW ACCOUNT'!A106="","",'NEW ACCOUNT'!G106)</f>
        <v/>
      </c>
      <c r="H105" s="19">
        <f>IF('NEW ACCOUNT'!A106="","",'NEW ACCOUNT'!H106)</f>
        <v/>
      </c>
      <c r="I105" s="20">
        <f>IFERROR(IF(A105="","",SUMIF(SAVINGS!$A:$A,A105,SAVINGS!$E:$E)),"")</f>
        <v/>
      </c>
      <c r="J105" s="20">
        <f>IFERROR(IF(A105="","",SUMIF(SAVINGS!$A:$A,A105,SAVINGS!$E:$E)-SUMIF(WITHDRAWALS!$A:$A,A105,WITHDRAWALS!$E:$E)),"")</f>
        <v/>
      </c>
    </row>
    <row r="106" ht="20" customHeight="1">
      <c r="A106" s="21">
        <f>'NEW ACCOUNT'!A107</f>
        <v/>
      </c>
      <c r="B106" s="22">
        <f>IF('NEW ACCOUNT'!A107="","",'NEW ACCOUNT'!B107)</f>
        <v/>
      </c>
      <c r="C106" s="22">
        <f>IF('NEW ACCOUNT'!A107="","",'NEW ACCOUNT'!C107)</f>
        <v/>
      </c>
      <c r="D106" s="22">
        <f>IF('NEW ACCOUNT'!A107="","",'NEW ACCOUNT'!D107)</f>
        <v/>
      </c>
      <c r="E106" s="22">
        <f>IF('NEW ACCOUNT'!A107="","",'NEW ACCOUNT'!E107)</f>
        <v/>
      </c>
      <c r="F106" s="22">
        <f>IF('NEW ACCOUNT'!A107="","",'NEW ACCOUNT'!F107)</f>
        <v/>
      </c>
      <c r="G106" s="22">
        <f>IF('NEW ACCOUNT'!A107="","",'NEW ACCOUNT'!G107)</f>
        <v/>
      </c>
      <c r="H106" s="22">
        <f>IF('NEW ACCOUNT'!A107="","",'NEW ACCOUNT'!H107)</f>
        <v/>
      </c>
      <c r="I106" s="23">
        <f>IFERROR(IF(A106="","",SUMIF(SAVINGS!$A:$A,A106,SAVINGS!$E:$E)),"")</f>
        <v/>
      </c>
      <c r="J106" s="23">
        <f>IFERROR(IF(A106="","",SUMIF(SAVINGS!$A:$A,A106,SAVINGS!$E:$E)-SUMIF(WITHDRAWALS!$A:$A,A106,WITHDRAWALS!$E:$E)),"")</f>
        <v/>
      </c>
    </row>
    <row r="107" ht="20" customHeight="1">
      <c r="A107" s="18">
        <f>'NEW ACCOUNT'!A108</f>
        <v/>
      </c>
      <c r="B107" s="19">
        <f>IF('NEW ACCOUNT'!A108="","",'NEW ACCOUNT'!B108)</f>
        <v/>
      </c>
      <c r="C107" s="19">
        <f>IF('NEW ACCOUNT'!A108="","",'NEW ACCOUNT'!C108)</f>
        <v/>
      </c>
      <c r="D107" s="19">
        <f>IF('NEW ACCOUNT'!A108="","",'NEW ACCOUNT'!D108)</f>
        <v/>
      </c>
      <c r="E107" s="19">
        <f>IF('NEW ACCOUNT'!A108="","",'NEW ACCOUNT'!E108)</f>
        <v/>
      </c>
      <c r="F107" s="19">
        <f>IF('NEW ACCOUNT'!A108="","",'NEW ACCOUNT'!F108)</f>
        <v/>
      </c>
      <c r="G107" s="19">
        <f>IF('NEW ACCOUNT'!A108="","",'NEW ACCOUNT'!G108)</f>
        <v/>
      </c>
      <c r="H107" s="19">
        <f>IF('NEW ACCOUNT'!A108="","",'NEW ACCOUNT'!H108)</f>
        <v/>
      </c>
      <c r="I107" s="20">
        <f>IFERROR(IF(A107="","",SUMIF(SAVINGS!$A:$A,A107,SAVINGS!$E:$E)),"")</f>
        <v/>
      </c>
      <c r="J107" s="20">
        <f>IFERROR(IF(A107="","",SUMIF(SAVINGS!$A:$A,A107,SAVINGS!$E:$E)-SUMIF(WITHDRAWALS!$A:$A,A107,WITHDRAWALS!$E:$E)),"")</f>
        <v/>
      </c>
    </row>
    <row r="108" ht="20" customHeight="1">
      <c r="A108" s="21">
        <f>'NEW ACCOUNT'!A109</f>
        <v/>
      </c>
      <c r="B108" s="22">
        <f>IF('NEW ACCOUNT'!A109="","",'NEW ACCOUNT'!B109)</f>
        <v/>
      </c>
      <c r="C108" s="22">
        <f>IF('NEW ACCOUNT'!A109="","",'NEW ACCOUNT'!C109)</f>
        <v/>
      </c>
      <c r="D108" s="22">
        <f>IF('NEW ACCOUNT'!A109="","",'NEW ACCOUNT'!D109)</f>
        <v/>
      </c>
      <c r="E108" s="22">
        <f>IF('NEW ACCOUNT'!A109="","",'NEW ACCOUNT'!E109)</f>
        <v/>
      </c>
      <c r="F108" s="22">
        <f>IF('NEW ACCOUNT'!A109="","",'NEW ACCOUNT'!F109)</f>
        <v/>
      </c>
      <c r="G108" s="22">
        <f>IF('NEW ACCOUNT'!A109="","",'NEW ACCOUNT'!G109)</f>
        <v/>
      </c>
      <c r="H108" s="22">
        <f>IF('NEW ACCOUNT'!A109="","",'NEW ACCOUNT'!H109)</f>
        <v/>
      </c>
      <c r="I108" s="23">
        <f>IFERROR(IF(A108="","",SUMIF(SAVINGS!$A:$A,A108,SAVINGS!$E:$E)),"")</f>
        <v/>
      </c>
      <c r="J108" s="23">
        <f>IFERROR(IF(A108="","",SUMIF(SAVINGS!$A:$A,A108,SAVINGS!$E:$E)-SUMIF(WITHDRAWALS!$A:$A,A108,WITHDRAWALS!$E:$E)),"")</f>
        <v/>
      </c>
    </row>
    <row r="109" ht="20" customHeight="1">
      <c r="A109" s="18">
        <f>'NEW ACCOUNT'!A110</f>
        <v/>
      </c>
      <c r="B109" s="19">
        <f>IF('NEW ACCOUNT'!A110="","",'NEW ACCOUNT'!B110)</f>
        <v/>
      </c>
      <c r="C109" s="19">
        <f>IF('NEW ACCOUNT'!A110="","",'NEW ACCOUNT'!C110)</f>
        <v/>
      </c>
      <c r="D109" s="19">
        <f>IF('NEW ACCOUNT'!A110="","",'NEW ACCOUNT'!D110)</f>
        <v/>
      </c>
      <c r="E109" s="19">
        <f>IF('NEW ACCOUNT'!A110="","",'NEW ACCOUNT'!E110)</f>
        <v/>
      </c>
      <c r="F109" s="19">
        <f>IF('NEW ACCOUNT'!A110="","",'NEW ACCOUNT'!F110)</f>
        <v/>
      </c>
      <c r="G109" s="19">
        <f>IF('NEW ACCOUNT'!A110="","",'NEW ACCOUNT'!G110)</f>
        <v/>
      </c>
      <c r="H109" s="19">
        <f>IF('NEW ACCOUNT'!A110="","",'NEW ACCOUNT'!H110)</f>
        <v/>
      </c>
      <c r="I109" s="20">
        <f>IFERROR(IF(A109="","",SUMIF(SAVINGS!$A:$A,A109,SAVINGS!$E:$E)),"")</f>
        <v/>
      </c>
      <c r="J109" s="20">
        <f>IFERROR(IF(A109="","",SUMIF(SAVINGS!$A:$A,A109,SAVINGS!$E:$E)-SUMIF(WITHDRAWALS!$A:$A,A109,WITHDRAWALS!$E:$E)),"")</f>
        <v/>
      </c>
    </row>
    <row r="110" ht="20" customHeight="1">
      <c r="A110" s="21">
        <f>'NEW ACCOUNT'!A111</f>
        <v/>
      </c>
      <c r="B110" s="22">
        <f>IF('NEW ACCOUNT'!A111="","",'NEW ACCOUNT'!B111)</f>
        <v/>
      </c>
      <c r="C110" s="22">
        <f>IF('NEW ACCOUNT'!A111="","",'NEW ACCOUNT'!C111)</f>
        <v/>
      </c>
      <c r="D110" s="22">
        <f>IF('NEW ACCOUNT'!A111="","",'NEW ACCOUNT'!D111)</f>
        <v/>
      </c>
      <c r="E110" s="22">
        <f>IF('NEW ACCOUNT'!A111="","",'NEW ACCOUNT'!E111)</f>
        <v/>
      </c>
      <c r="F110" s="22">
        <f>IF('NEW ACCOUNT'!A111="","",'NEW ACCOUNT'!F111)</f>
        <v/>
      </c>
      <c r="G110" s="22">
        <f>IF('NEW ACCOUNT'!A111="","",'NEW ACCOUNT'!G111)</f>
        <v/>
      </c>
      <c r="H110" s="22">
        <f>IF('NEW ACCOUNT'!A111="","",'NEW ACCOUNT'!H111)</f>
        <v/>
      </c>
      <c r="I110" s="23">
        <f>IFERROR(IF(A110="","",SUMIF(SAVINGS!$A:$A,A110,SAVINGS!$E:$E)),"")</f>
        <v/>
      </c>
      <c r="J110" s="23">
        <f>IFERROR(IF(A110="","",SUMIF(SAVINGS!$A:$A,A110,SAVINGS!$E:$E)-SUMIF(WITHDRAWALS!$A:$A,A110,WITHDRAWALS!$E:$E)),"")</f>
        <v/>
      </c>
    </row>
    <row r="111" ht="20" customHeight="1">
      <c r="A111" s="18">
        <f>'NEW ACCOUNT'!A112</f>
        <v/>
      </c>
      <c r="B111" s="19">
        <f>IF('NEW ACCOUNT'!A112="","",'NEW ACCOUNT'!B112)</f>
        <v/>
      </c>
      <c r="C111" s="19">
        <f>IF('NEW ACCOUNT'!A112="","",'NEW ACCOUNT'!C112)</f>
        <v/>
      </c>
      <c r="D111" s="19">
        <f>IF('NEW ACCOUNT'!A112="","",'NEW ACCOUNT'!D112)</f>
        <v/>
      </c>
      <c r="E111" s="19">
        <f>IF('NEW ACCOUNT'!A112="","",'NEW ACCOUNT'!E112)</f>
        <v/>
      </c>
      <c r="F111" s="19">
        <f>IF('NEW ACCOUNT'!A112="","",'NEW ACCOUNT'!F112)</f>
        <v/>
      </c>
      <c r="G111" s="19">
        <f>IF('NEW ACCOUNT'!A112="","",'NEW ACCOUNT'!G112)</f>
        <v/>
      </c>
      <c r="H111" s="19">
        <f>IF('NEW ACCOUNT'!A112="","",'NEW ACCOUNT'!H112)</f>
        <v/>
      </c>
      <c r="I111" s="20">
        <f>IFERROR(IF(A111="","",SUMIF(SAVINGS!$A:$A,A111,SAVINGS!$E:$E)),"")</f>
        <v/>
      </c>
      <c r="J111" s="20">
        <f>IFERROR(IF(A111="","",SUMIF(SAVINGS!$A:$A,A111,SAVINGS!$E:$E)-SUMIF(WITHDRAWALS!$A:$A,A111,WITHDRAWALS!$E:$E)),"")</f>
        <v/>
      </c>
    </row>
    <row r="112" ht="20" customHeight="1">
      <c r="A112" s="21">
        <f>'NEW ACCOUNT'!A113</f>
        <v/>
      </c>
      <c r="B112" s="22">
        <f>IF('NEW ACCOUNT'!A113="","",'NEW ACCOUNT'!B113)</f>
        <v/>
      </c>
      <c r="C112" s="22">
        <f>IF('NEW ACCOUNT'!A113="","",'NEW ACCOUNT'!C113)</f>
        <v/>
      </c>
      <c r="D112" s="22">
        <f>IF('NEW ACCOUNT'!A113="","",'NEW ACCOUNT'!D113)</f>
        <v/>
      </c>
      <c r="E112" s="22">
        <f>IF('NEW ACCOUNT'!A113="","",'NEW ACCOUNT'!E113)</f>
        <v/>
      </c>
      <c r="F112" s="22">
        <f>IF('NEW ACCOUNT'!A113="","",'NEW ACCOUNT'!F113)</f>
        <v/>
      </c>
      <c r="G112" s="22">
        <f>IF('NEW ACCOUNT'!A113="","",'NEW ACCOUNT'!G113)</f>
        <v/>
      </c>
      <c r="H112" s="22">
        <f>IF('NEW ACCOUNT'!A113="","",'NEW ACCOUNT'!H113)</f>
        <v/>
      </c>
      <c r="I112" s="23">
        <f>IFERROR(IF(A112="","",SUMIF(SAVINGS!$A:$A,A112,SAVINGS!$E:$E)),"")</f>
        <v/>
      </c>
      <c r="J112" s="23">
        <f>IFERROR(IF(A112="","",SUMIF(SAVINGS!$A:$A,A112,SAVINGS!$E:$E)-SUMIF(WITHDRAWALS!$A:$A,A112,WITHDRAWALS!$E:$E)),"")</f>
        <v/>
      </c>
    </row>
    <row r="113" ht="20" customHeight="1">
      <c r="A113" s="18">
        <f>'NEW ACCOUNT'!A114</f>
        <v/>
      </c>
      <c r="B113" s="19">
        <f>IF('NEW ACCOUNT'!A114="","",'NEW ACCOUNT'!B114)</f>
        <v/>
      </c>
      <c r="C113" s="19">
        <f>IF('NEW ACCOUNT'!A114="","",'NEW ACCOUNT'!C114)</f>
        <v/>
      </c>
      <c r="D113" s="19">
        <f>IF('NEW ACCOUNT'!A114="","",'NEW ACCOUNT'!D114)</f>
        <v/>
      </c>
      <c r="E113" s="19">
        <f>IF('NEW ACCOUNT'!A114="","",'NEW ACCOUNT'!E114)</f>
        <v/>
      </c>
      <c r="F113" s="19">
        <f>IF('NEW ACCOUNT'!A114="","",'NEW ACCOUNT'!F114)</f>
        <v/>
      </c>
      <c r="G113" s="19">
        <f>IF('NEW ACCOUNT'!A114="","",'NEW ACCOUNT'!G114)</f>
        <v/>
      </c>
      <c r="H113" s="19">
        <f>IF('NEW ACCOUNT'!A114="","",'NEW ACCOUNT'!H114)</f>
        <v/>
      </c>
      <c r="I113" s="20">
        <f>IFERROR(IF(A113="","",SUMIF(SAVINGS!$A:$A,A113,SAVINGS!$E:$E)),"")</f>
        <v/>
      </c>
      <c r="J113" s="20">
        <f>IFERROR(IF(A113="","",SUMIF(SAVINGS!$A:$A,A113,SAVINGS!$E:$E)-SUMIF(WITHDRAWALS!$A:$A,A113,WITHDRAWALS!$E:$E)),"")</f>
        <v/>
      </c>
    </row>
    <row r="114" ht="20" customHeight="1">
      <c r="A114" s="21">
        <f>'NEW ACCOUNT'!A115</f>
        <v/>
      </c>
      <c r="B114" s="22">
        <f>IF('NEW ACCOUNT'!A115="","",'NEW ACCOUNT'!B115)</f>
        <v/>
      </c>
      <c r="C114" s="22">
        <f>IF('NEW ACCOUNT'!A115="","",'NEW ACCOUNT'!C115)</f>
        <v/>
      </c>
      <c r="D114" s="22">
        <f>IF('NEW ACCOUNT'!A115="","",'NEW ACCOUNT'!D115)</f>
        <v/>
      </c>
      <c r="E114" s="22">
        <f>IF('NEW ACCOUNT'!A115="","",'NEW ACCOUNT'!E115)</f>
        <v/>
      </c>
      <c r="F114" s="22">
        <f>IF('NEW ACCOUNT'!A115="","",'NEW ACCOUNT'!F115)</f>
        <v/>
      </c>
      <c r="G114" s="22">
        <f>IF('NEW ACCOUNT'!A115="","",'NEW ACCOUNT'!G115)</f>
        <v/>
      </c>
      <c r="H114" s="22">
        <f>IF('NEW ACCOUNT'!A115="","",'NEW ACCOUNT'!H115)</f>
        <v/>
      </c>
      <c r="I114" s="23">
        <f>IFERROR(IF(A114="","",SUMIF(SAVINGS!$A:$A,A114,SAVINGS!$E:$E)),"")</f>
        <v/>
      </c>
      <c r="J114" s="23">
        <f>IFERROR(IF(A114="","",SUMIF(SAVINGS!$A:$A,A114,SAVINGS!$E:$E)-SUMIF(WITHDRAWALS!$A:$A,A114,WITHDRAWALS!$E:$E)),"")</f>
        <v/>
      </c>
    </row>
    <row r="115" ht="20" customHeight="1">
      <c r="A115" s="18">
        <f>'NEW ACCOUNT'!A116</f>
        <v/>
      </c>
      <c r="B115" s="19">
        <f>IF('NEW ACCOUNT'!A116="","",'NEW ACCOUNT'!B116)</f>
        <v/>
      </c>
      <c r="C115" s="19">
        <f>IF('NEW ACCOUNT'!A116="","",'NEW ACCOUNT'!C116)</f>
        <v/>
      </c>
      <c r="D115" s="19">
        <f>IF('NEW ACCOUNT'!A116="","",'NEW ACCOUNT'!D116)</f>
        <v/>
      </c>
      <c r="E115" s="19">
        <f>IF('NEW ACCOUNT'!A116="","",'NEW ACCOUNT'!E116)</f>
        <v/>
      </c>
      <c r="F115" s="19">
        <f>IF('NEW ACCOUNT'!A116="","",'NEW ACCOUNT'!F116)</f>
        <v/>
      </c>
      <c r="G115" s="19">
        <f>IF('NEW ACCOUNT'!A116="","",'NEW ACCOUNT'!G116)</f>
        <v/>
      </c>
      <c r="H115" s="19">
        <f>IF('NEW ACCOUNT'!A116="","",'NEW ACCOUNT'!H116)</f>
        <v/>
      </c>
      <c r="I115" s="20">
        <f>IFERROR(IF(A115="","",SUMIF(SAVINGS!$A:$A,A115,SAVINGS!$E:$E)),"")</f>
        <v/>
      </c>
      <c r="J115" s="20">
        <f>IFERROR(IF(A115="","",SUMIF(SAVINGS!$A:$A,A115,SAVINGS!$E:$E)-SUMIF(WITHDRAWALS!$A:$A,A115,WITHDRAWALS!$E:$E)),"")</f>
        <v/>
      </c>
    </row>
    <row r="116" ht="20" customHeight="1">
      <c r="A116" s="21">
        <f>'NEW ACCOUNT'!A117</f>
        <v/>
      </c>
      <c r="B116" s="22">
        <f>IF('NEW ACCOUNT'!A117="","",'NEW ACCOUNT'!B117)</f>
        <v/>
      </c>
      <c r="C116" s="22">
        <f>IF('NEW ACCOUNT'!A117="","",'NEW ACCOUNT'!C117)</f>
        <v/>
      </c>
      <c r="D116" s="22">
        <f>IF('NEW ACCOUNT'!A117="","",'NEW ACCOUNT'!D117)</f>
        <v/>
      </c>
      <c r="E116" s="22">
        <f>IF('NEW ACCOUNT'!A117="","",'NEW ACCOUNT'!E117)</f>
        <v/>
      </c>
      <c r="F116" s="22">
        <f>IF('NEW ACCOUNT'!A117="","",'NEW ACCOUNT'!F117)</f>
        <v/>
      </c>
      <c r="G116" s="22">
        <f>IF('NEW ACCOUNT'!A117="","",'NEW ACCOUNT'!G117)</f>
        <v/>
      </c>
      <c r="H116" s="22">
        <f>IF('NEW ACCOUNT'!A117="","",'NEW ACCOUNT'!H117)</f>
        <v/>
      </c>
      <c r="I116" s="23">
        <f>IFERROR(IF(A116="","",SUMIF(SAVINGS!$A:$A,A116,SAVINGS!$E:$E)),"")</f>
        <v/>
      </c>
      <c r="J116" s="23">
        <f>IFERROR(IF(A116="","",SUMIF(SAVINGS!$A:$A,A116,SAVINGS!$E:$E)-SUMIF(WITHDRAWALS!$A:$A,A116,WITHDRAWALS!$E:$E)),"")</f>
        <v/>
      </c>
    </row>
    <row r="117" ht="20" customHeight="1">
      <c r="A117" s="18">
        <f>'NEW ACCOUNT'!A118</f>
        <v/>
      </c>
      <c r="B117" s="19">
        <f>IF('NEW ACCOUNT'!A118="","",'NEW ACCOUNT'!B118)</f>
        <v/>
      </c>
      <c r="C117" s="19">
        <f>IF('NEW ACCOUNT'!A118="","",'NEW ACCOUNT'!C118)</f>
        <v/>
      </c>
      <c r="D117" s="19">
        <f>IF('NEW ACCOUNT'!A118="","",'NEW ACCOUNT'!D118)</f>
        <v/>
      </c>
      <c r="E117" s="19">
        <f>IF('NEW ACCOUNT'!A118="","",'NEW ACCOUNT'!E118)</f>
        <v/>
      </c>
      <c r="F117" s="19">
        <f>IF('NEW ACCOUNT'!A118="","",'NEW ACCOUNT'!F118)</f>
        <v/>
      </c>
      <c r="G117" s="19">
        <f>IF('NEW ACCOUNT'!A118="","",'NEW ACCOUNT'!G118)</f>
        <v/>
      </c>
      <c r="H117" s="19">
        <f>IF('NEW ACCOUNT'!A118="","",'NEW ACCOUNT'!H118)</f>
        <v/>
      </c>
      <c r="I117" s="20">
        <f>IFERROR(IF(A117="","",SUMIF(SAVINGS!$A:$A,A117,SAVINGS!$E:$E)),"")</f>
        <v/>
      </c>
      <c r="J117" s="20">
        <f>IFERROR(IF(A117="","",SUMIF(SAVINGS!$A:$A,A117,SAVINGS!$E:$E)-SUMIF(WITHDRAWALS!$A:$A,A117,WITHDRAWALS!$E:$E)),"")</f>
        <v/>
      </c>
    </row>
    <row r="118" ht="20" customHeight="1">
      <c r="A118" s="21">
        <f>'NEW ACCOUNT'!A119</f>
        <v/>
      </c>
      <c r="B118" s="22">
        <f>IF('NEW ACCOUNT'!A119="","",'NEW ACCOUNT'!B119)</f>
        <v/>
      </c>
      <c r="C118" s="22">
        <f>IF('NEW ACCOUNT'!A119="","",'NEW ACCOUNT'!C119)</f>
        <v/>
      </c>
      <c r="D118" s="22">
        <f>IF('NEW ACCOUNT'!A119="","",'NEW ACCOUNT'!D119)</f>
        <v/>
      </c>
      <c r="E118" s="22">
        <f>IF('NEW ACCOUNT'!A119="","",'NEW ACCOUNT'!E119)</f>
        <v/>
      </c>
      <c r="F118" s="22">
        <f>IF('NEW ACCOUNT'!A119="","",'NEW ACCOUNT'!F119)</f>
        <v/>
      </c>
      <c r="G118" s="22">
        <f>IF('NEW ACCOUNT'!A119="","",'NEW ACCOUNT'!G119)</f>
        <v/>
      </c>
      <c r="H118" s="22">
        <f>IF('NEW ACCOUNT'!A119="","",'NEW ACCOUNT'!H119)</f>
        <v/>
      </c>
      <c r="I118" s="23">
        <f>IFERROR(IF(A118="","",SUMIF(SAVINGS!$A:$A,A118,SAVINGS!$E:$E)),"")</f>
        <v/>
      </c>
      <c r="J118" s="23">
        <f>IFERROR(IF(A118="","",SUMIF(SAVINGS!$A:$A,A118,SAVINGS!$E:$E)-SUMIF(WITHDRAWALS!$A:$A,A118,WITHDRAWALS!$E:$E)),"")</f>
        <v/>
      </c>
    </row>
    <row r="119" ht="20" customHeight="1">
      <c r="A119" s="18">
        <f>'NEW ACCOUNT'!A120</f>
        <v/>
      </c>
      <c r="B119" s="19">
        <f>IF('NEW ACCOUNT'!A120="","",'NEW ACCOUNT'!B120)</f>
        <v/>
      </c>
      <c r="C119" s="19">
        <f>IF('NEW ACCOUNT'!A120="","",'NEW ACCOUNT'!C120)</f>
        <v/>
      </c>
      <c r="D119" s="19">
        <f>IF('NEW ACCOUNT'!A120="","",'NEW ACCOUNT'!D120)</f>
        <v/>
      </c>
      <c r="E119" s="19">
        <f>IF('NEW ACCOUNT'!A120="","",'NEW ACCOUNT'!E120)</f>
        <v/>
      </c>
      <c r="F119" s="19">
        <f>IF('NEW ACCOUNT'!A120="","",'NEW ACCOUNT'!F120)</f>
        <v/>
      </c>
      <c r="G119" s="19">
        <f>IF('NEW ACCOUNT'!A120="","",'NEW ACCOUNT'!G120)</f>
        <v/>
      </c>
      <c r="H119" s="19">
        <f>IF('NEW ACCOUNT'!A120="","",'NEW ACCOUNT'!H120)</f>
        <v/>
      </c>
      <c r="I119" s="20">
        <f>IFERROR(IF(A119="","",SUMIF(SAVINGS!$A:$A,A119,SAVINGS!$E:$E)),"")</f>
        <v/>
      </c>
      <c r="J119" s="20">
        <f>IFERROR(IF(A119="","",SUMIF(SAVINGS!$A:$A,A119,SAVINGS!$E:$E)-SUMIF(WITHDRAWALS!$A:$A,A119,WITHDRAWALS!$E:$E)),"")</f>
        <v/>
      </c>
    </row>
    <row r="120" ht="20" customHeight="1">
      <c r="A120" s="21">
        <f>'NEW ACCOUNT'!A121</f>
        <v/>
      </c>
      <c r="B120" s="22">
        <f>IF('NEW ACCOUNT'!A121="","",'NEW ACCOUNT'!B121)</f>
        <v/>
      </c>
      <c r="C120" s="22">
        <f>IF('NEW ACCOUNT'!A121="","",'NEW ACCOUNT'!C121)</f>
        <v/>
      </c>
      <c r="D120" s="22">
        <f>IF('NEW ACCOUNT'!A121="","",'NEW ACCOUNT'!D121)</f>
        <v/>
      </c>
      <c r="E120" s="22">
        <f>IF('NEW ACCOUNT'!A121="","",'NEW ACCOUNT'!E121)</f>
        <v/>
      </c>
      <c r="F120" s="22">
        <f>IF('NEW ACCOUNT'!A121="","",'NEW ACCOUNT'!F121)</f>
        <v/>
      </c>
      <c r="G120" s="22">
        <f>IF('NEW ACCOUNT'!A121="","",'NEW ACCOUNT'!G121)</f>
        <v/>
      </c>
      <c r="H120" s="22">
        <f>IF('NEW ACCOUNT'!A121="","",'NEW ACCOUNT'!H121)</f>
        <v/>
      </c>
      <c r="I120" s="23">
        <f>IFERROR(IF(A120="","",SUMIF(SAVINGS!$A:$A,A120,SAVINGS!$E:$E)),"")</f>
        <v/>
      </c>
      <c r="J120" s="23">
        <f>IFERROR(IF(A120="","",SUMIF(SAVINGS!$A:$A,A120,SAVINGS!$E:$E)-SUMIF(WITHDRAWALS!$A:$A,A120,WITHDRAWALS!$E:$E)),"")</f>
        <v/>
      </c>
    </row>
    <row r="121" ht="20" customHeight="1">
      <c r="A121" s="18">
        <f>'NEW ACCOUNT'!A122</f>
        <v/>
      </c>
      <c r="B121" s="19">
        <f>IF('NEW ACCOUNT'!A122="","",'NEW ACCOUNT'!B122)</f>
        <v/>
      </c>
      <c r="C121" s="19">
        <f>IF('NEW ACCOUNT'!A122="","",'NEW ACCOUNT'!C122)</f>
        <v/>
      </c>
      <c r="D121" s="19">
        <f>IF('NEW ACCOUNT'!A122="","",'NEW ACCOUNT'!D122)</f>
        <v/>
      </c>
      <c r="E121" s="19">
        <f>IF('NEW ACCOUNT'!A122="","",'NEW ACCOUNT'!E122)</f>
        <v/>
      </c>
      <c r="F121" s="19">
        <f>IF('NEW ACCOUNT'!A122="","",'NEW ACCOUNT'!F122)</f>
        <v/>
      </c>
      <c r="G121" s="19">
        <f>IF('NEW ACCOUNT'!A122="","",'NEW ACCOUNT'!G122)</f>
        <v/>
      </c>
      <c r="H121" s="19">
        <f>IF('NEW ACCOUNT'!A122="","",'NEW ACCOUNT'!H122)</f>
        <v/>
      </c>
      <c r="I121" s="20">
        <f>IFERROR(IF(A121="","",SUMIF(SAVINGS!$A:$A,A121,SAVINGS!$E:$E)),"")</f>
        <v/>
      </c>
      <c r="J121" s="20">
        <f>IFERROR(IF(A121="","",SUMIF(SAVINGS!$A:$A,A121,SAVINGS!$E:$E)-SUMIF(WITHDRAWALS!$A:$A,A121,WITHDRAWALS!$E:$E)),"")</f>
        <v/>
      </c>
    </row>
    <row r="122" ht="20" customHeight="1">
      <c r="A122" s="21">
        <f>'NEW ACCOUNT'!A123</f>
        <v/>
      </c>
      <c r="B122" s="22">
        <f>IF('NEW ACCOUNT'!A123="","",'NEW ACCOUNT'!B123)</f>
        <v/>
      </c>
      <c r="C122" s="22">
        <f>IF('NEW ACCOUNT'!A123="","",'NEW ACCOUNT'!C123)</f>
        <v/>
      </c>
      <c r="D122" s="22">
        <f>IF('NEW ACCOUNT'!A123="","",'NEW ACCOUNT'!D123)</f>
        <v/>
      </c>
      <c r="E122" s="22">
        <f>IF('NEW ACCOUNT'!A123="","",'NEW ACCOUNT'!E123)</f>
        <v/>
      </c>
      <c r="F122" s="22">
        <f>IF('NEW ACCOUNT'!A123="","",'NEW ACCOUNT'!F123)</f>
        <v/>
      </c>
      <c r="G122" s="22">
        <f>IF('NEW ACCOUNT'!A123="","",'NEW ACCOUNT'!G123)</f>
        <v/>
      </c>
      <c r="H122" s="22">
        <f>IF('NEW ACCOUNT'!A123="","",'NEW ACCOUNT'!H123)</f>
        <v/>
      </c>
      <c r="I122" s="23">
        <f>IFERROR(IF(A122="","",SUMIF(SAVINGS!$A:$A,A122,SAVINGS!$E:$E)),"")</f>
        <v/>
      </c>
      <c r="J122" s="23">
        <f>IFERROR(IF(A122="","",SUMIF(SAVINGS!$A:$A,A122,SAVINGS!$E:$E)-SUMIF(WITHDRAWALS!$A:$A,A122,WITHDRAWALS!$E:$E)),"")</f>
        <v/>
      </c>
    </row>
    <row r="123" ht="20" customHeight="1">
      <c r="A123" s="18">
        <f>'NEW ACCOUNT'!A124</f>
        <v/>
      </c>
      <c r="B123" s="19">
        <f>IF('NEW ACCOUNT'!A124="","",'NEW ACCOUNT'!B124)</f>
        <v/>
      </c>
      <c r="C123" s="19">
        <f>IF('NEW ACCOUNT'!A124="","",'NEW ACCOUNT'!C124)</f>
        <v/>
      </c>
      <c r="D123" s="19">
        <f>IF('NEW ACCOUNT'!A124="","",'NEW ACCOUNT'!D124)</f>
        <v/>
      </c>
      <c r="E123" s="19">
        <f>IF('NEW ACCOUNT'!A124="","",'NEW ACCOUNT'!E124)</f>
        <v/>
      </c>
      <c r="F123" s="19">
        <f>IF('NEW ACCOUNT'!A124="","",'NEW ACCOUNT'!F124)</f>
        <v/>
      </c>
      <c r="G123" s="19">
        <f>IF('NEW ACCOUNT'!A124="","",'NEW ACCOUNT'!G124)</f>
        <v/>
      </c>
      <c r="H123" s="19">
        <f>IF('NEW ACCOUNT'!A124="","",'NEW ACCOUNT'!H124)</f>
        <v/>
      </c>
      <c r="I123" s="20">
        <f>IFERROR(IF(A123="","",SUMIF(SAVINGS!$A:$A,A123,SAVINGS!$E:$E)),"")</f>
        <v/>
      </c>
      <c r="J123" s="20">
        <f>IFERROR(IF(A123="","",SUMIF(SAVINGS!$A:$A,A123,SAVINGS!$E:$E)-SUMIF(WITHDRAWALS!$A:$A,A123,WITHDRAWALS!$E:$E)),"")</f>
        <v/>
      </c>
    </row>
    <row r="124" ht="20" customHeight="1">
      <c r="A124" s="21">
        <f>'NEW ACCOUNT'!A125</f>
        <v/>
      </c>
      <c r="B124" s="22">
        <f>IF('NEW ACCOUNT'!A125="","",'NEW ACCOUNT'!B125)</f>
        <v/>
      </c>
      <c r="C124" s="22">
        <f>IF('NEW ACCOUNT'!A125="","",'NEW ACCOUNT'!C125)</f>
        <v/>
      </c>
      <c r="D124" s="22">
        <f>IF('NEW ACCOUNT'!A125="","",'NEW ACCOUNT'!D125)</f>
        <v/>
      </c>
      <c r="E124" s="22">
        <f>IF('NEW ACCOUNT'!A125="","",'NEW ACCOUNT'!E125)</f>
        <v/>
      </c>
      <c r="F124" s="22">
        <f>IF('NEW ACCOUNT'!A125="","",'NEW ACCOUNT'!F125)</f>
        <v/>
      </c>
      <c r="G124" s="22">
        <f>IF('NEW ACCOUNT'!A125="","",'NEW ACCOUNT'!G125)</f>
        <v/>
      </c>
      <c r="H124" s="22">
        <f>IF('NEW ACCOUNT'!A125="","",'NEW ACCOUNT'!H125)</f>
        <v/>
      </c>
      <c r="I124" s="23">
        <f>IFERROR(IF(A124="","",SUMIF(SAVINGS!$A:$A,A124,SAVINGS!$E:$E)),"")</f>
        <v/>
      </c>
      <c r="J124" s="23">
        <f>IFERROR(IF(A124="","",SUMIF(SAVINGS!$A:$A,A124,SAVINGS!$E:$E)-SUMIF(WITHDRAWALS!$A:$A,A124,WITHDRAWALS!$E:$E)),"")</f>
        <v/>
      </c>
    </row>
    <row r="125" ht="20" customHeight="1">
      <c r="A125" s="18">
        <f>'NEW ACCOUNT'!A126</f>
        <v/>
      </c>
      <c r="B125" s="19">
        <f>IF('NEW ACCOUNT'!A126="","",'NEW ACCOUNT'!B126)</f>
        <v/>
      </c>
      <c r="C125" s="19">
        <f>IF('NEW ACCOUNT'!A126="","",'NEW ACCOUNT'!C126)</f>
        <v/>
      </c>
      <c r="D125" s="19">
        <f>IF('NEW ACCOUNT'!A126="","",'NEW ACCOUNT'!D126)</f>
        <v/>
      </c>
      <c r="E125" s="19">
        <f>IF('NEW ACCOUNT'!A126="","",'NEW ACCOUNT'!E126)</f>
        <v/>
      </c>
      <c r="F125" s="19">
        <f>IF('NEW ACCOUNT'!A126="","",'NEW ACCOUNT'!F126)</f>
        <v/>
      </c>
      <c r="G125" s="19">
        <f>IF('NEW ACCOUNT'!A126="","",'NEW ACCOUNT'!G126)</f>
        <v/>
      </c>
      <c r="H125" s="19">
        <f>IF('NEW ACCOUNT'!A126="","",'NEW ACCOUNT'!H126)</f>
        <v/>
      </c>
      <c r="I125" s="20">
        <f>IFERROR(IF(A125="","",SUMIF(SAVINGS!$A:$A,A125,SAVINGS!$E:$E)),"")</f>
        <v/>
      </c>
      <c r="J125" s="20">
        <f>IFERROR(IF(A125="","",SUMIF(SAVINGS!$A:$A,A125,SAVINGS!$E:$E)-SUMIF(WITHDRAWALS!$A:$A,A125,WITHDRAWALS!$E:$E)),"")</f>
        <v/>
      </c>
    </row>
    <row r="126" ht="20" customHeight="1">
      <c r="A126" s="21">
        <f>'NEW ACCOUNT'!A127</f>
        <v/>
      </c>
      <c r="B126" s="22">
        <f>IF('NEW ACCOUNT'!A127="","",'NEW ACCOUNT'!B127)</f>
        <v/>
      </c>
      <c r="C126" s="22">
        <f>IF('NEW ACCOUNT'!A127="","",'NEW ACCOUNT'!C127)</f>
        <v/>
      </c>
      <c r="D126" s="22">
        <f>IF('NEW ACCOUNT'!A127="","",'NEW ACCOUNT'!D127)</f>
        <v/>
      </c>
      <c r="E126" s="22">
        <f>IF('NEW ACCOUNT'!A127="","",'NEW ACCOUNT'!E127)</f>
        <v/>
      </c>
      <c r="F126" s="22">
        <f>IF('NEW ACCOUNT'!A127="","",'NEW ACCOUNT'!F127)</f>
        <v/>
      </c>
      <c r="G126" s="22">
        <f>IF('NEW ACCOUNT'!A127="","",'NEW ACCOUNT'!G127)</f>
        <v/>
      </c>
      <c r="H126" s="22">
        <f>IF('NEW ACCOUNT'!A127="","",'NEW ACCOUNT'!H127)</f>
        <v/>
      </c>
      <c r="I126" s="23">
        <f>IFERROR(IF(A126="","",SUMIF(SAVINGS!$A:$A,A126,SAVINGS!$E:$E)),"")</f>
        <v/>
      </c>
      <c r="J126" s="23">
        <f>IFERROR(IF(A126="","",SUMIF(SAVINGS!$A:$A,A126,SAVINGS!$E:$E)-SUMIF(WITHDRAWALS!$A:$A,A126,WITHDRAWALS!$E:$E)),"")</f>
        <v/>
      </c>
    </row>
    <row r="127" ht="20" customHeight="1">
      <c r="A127" s="18">
        <f>'NEW ACCOUNT'!A128</f>
        <v/>
      </c>
      <c r="B127" s="19">
        <f>IF('NEW ACCOUNT'!A128="","",'NEW ACCOUNT'!B128)</f>
        <v/>
      </c>
      <c r="C127" s="19">
        <f>IF('NEW ACCOUNT'!A128="","",'NEW ACCOUNT'!C128)</f>
        <v/>
      </c>
      <c r="D127" s="19">
        <f>IF('NEW ACCOUNT'!A128="","",'NEW ACCOUNT'!D128)</f>
        <v/>
      </c>
      <c r="E127" s="19">
        <f>IF('NEW ACCOUNT'!A128="","",'NEW ACCOUNT'!E128)</f>
        <v/>
      </c>
      <c r="F127" s="19">
        <f>IF('NEW ACCOUNT'!A128="","",'NEW ACCOUNT'!F128)</f>
        <v/>
      </c>
      <c r="G127" s="19">
        <f>IF('NEW ACCOUNT'!A128="","",'NEW ACCOUNT'!G128)</f>
        <v/>
      </c>
      <c r="H127" s="19">
        <f>IF('NEW ACCOUNT'!A128="","",'NEW ACCOUNT'!H128)</f>
        <v/>
      </c>
      <c r="I127" s="20">
        <f>IFERROR(IF(A127="","",SUMIF(SAVINGS!$A:$A,A127,SAVINGS!$E:$E)),"")</f>
        <v/>
      </c>
      <c r="J127" s="20">
        <f>IFERROR(IF(A127="","",SUMIF(SAVINGS!$A:$A,A127,SAVINGS!$E:$E)-SUMIF(WITHDRAWALS!$A:$A,A127,WITHDRAWALS!$E:$E)),"")</f>
        <v/>
      </c>
    </row>
    <row r="128" ht="20" customHeight="1">
      <c r="A128" s="21">
        <f>'NEW ACCOUNT'!A129</f>
        <v/>
      </c>
      <c r="B128" s="22">
        <f>IF('NEW ACCOUNT'!A129="","",'NEW ACCOUNT'!B129)</f>
        <v/>
      </c>
      <c r="C128" s="22">
        <f>IF('NEW ACCOUNT'!A129="","",'NEW ACCOUNT'!C129)</f>
        <v/>
      </c>
      <c r="D128" s="22">
        <f>IF('NEW ACCOUNT'!A129="","",'NEW ACCOUNT'!D129)</f>
        <v/>
      </c>
      <c r="E128" s="22">
        <f>IF('NEW ACCOUNT'!A129="","",'NEW ACCOUNT'!E129)</f>
        <v/>
      </c>
      <c r="F128" s="22">
        <f>IF('NEW ACCOUNT'!A129="","",'NEW ACCOUNT'!F129)</f>
        <v/>
      </c>
      <c r="G128" s="22">
        <f>IF('NEW ACCOUNT'!A129="","",'NEW ACCOUNT'!G129)</f>
        <v/>
      </c>
      <c r="H128" s="22">
        <f>IF('NEW ACCOUNT'!A129="","",'NEW ACCOUNT'!H129)</f>
        <v/>
      </c>
      <c r="I128" s="23">
        <f>IFERROR(IF(A128="","",SUMIF(SAVINGS!$A:$A,A128,SAVINGS!$E:$E)),"")</f>
        <v/>
      </c>
      <c r="J128" s="23">
        <f>IFERROR(IF(A128="","",SUMIF(SAVINGS!$A:$A,A128,SAVINGS!$E:$E)-SUMIF(WITHDRAWALS!$A:$A,A128,WITHDRAWALS!$E:$E)),"")</f>
        <v/>
      </c>
    </row>
    <row r="129" ht="20" customHeight="1">
      <c r="A129" s="18">
        <f>'NEW ACCOUNT'!A130</f>
        <v/>
      </c>
      <c r="B129" s="19">
        <f>IF('NEW ACCOUNT'!A130="","",'NEW ACCOUNT'!B130)</f>
        <v/>
      </c>
      <c r="C129" s="19">
        <f>IF('NEW ACCOUNT'!A130="","",'NEW ACCOUNT'!C130)</f>
        <v/>
      </c>
      <c r="D129" s="19">
        <f>IF('NEW ACCOUNT'!A130="","",'NEW ACCOUNT'!D130)</f>
        <v/>
      </c>
      <c r="E129" s="19">
        <f>IF('NEW ACCOUNT'!A130="","",'NEW ACCOUNT'!E130)</f>
        <v/>
      </c>
      <c r="F129" s="19">
        <f>IF('NEW ACCOUNT'!A130="","",'NEW ACCOUNT'!F130)</f>
        <v/>
      </c>
      <c r="G129" s="19">
        <f>IF('NEW ACCOUNT'!A130="","",'NEW ACCOUNT'!G130)</f>
        <v/>
      </c>
      <c r="H129" s="19">
        <f>IF('NEW ACCOUNT'!A130="","",'NEW ACCOUNT'!H130)</f>
        <v/>
      </c>
      <c r="I129" s="20">
        <f>IFERROR(IF(A129="","",SUMIF(SAVINGS!$A:$A,A129,SAVINGS!$E:$E)),"")</f>
        <v/>
      </c>
      <c r="J129" s="20">
        <f>IFERROR(IF(A129="","",SUMIF(SAVINGS!$A:$A,A129,SAVINGS!$E:$E)-SUMIF(WITHDRAWALS!$A:$A,A129,WITHDRAWALS!$E:$E)),"")</f>
        <v/>
      </c>
    </row>
    <row r="130" ht="20" customHeight="1">
      <c r="A130" s="21">
        <f>'NEW ACCOUNT'!A131</f>
        <v/>
      </c>
      <c r="B130" s="22">
        <f>IF('NEW ACCOUNT'!A131="","",'NEW ACCOUNT'!B131)</f>
        <v/>
      </c>
      <c r="C130" s="22">
        <f>IF('NEW ACCOUNT'!A131="","",'NEW ACCOUNT'!C131)</f>
        <v/>
      </c>
      <c r="D130" s="22">
        <f>IF('NEW ACCOUNT'!A131="","",'NEW ACCOUNT'!D131)</f>
        <v/>
      </c>
      <c r="E130" s="22">
        <f>IF('NEW ACCOUNT'!A131="","",'NEW ACCOUNT'!E131)</f>
        <v/>
      </c>
      <c r="F130" s="22">
        <f>IF('NEW ACCOUNT'!A131="","",'NEW ACCOUNT'!F131)</f>
        <v/>
      </c>
      <c r="G130" s="22">
        <f>IF('NEW ACCOUNT'!A131="","",'NEW ACCOUNT'!G131)</f>
        <v/>
      </c>
      <c r="H130" s="22">
        <f>IF('NEW ACCOUNT'!A131="","",'NEW ACCOUNT'!H131)</f>
        <v/>
      </c>
      <c r="I130" s="23">
        <f>IFERROR(IF(A130="","",SUMIF(SAVINGS!$A:$A,A130,SAVINGS!$E:$E)),"")</f>
        <v/>
      </c>
      <c r="J130" s="23">
        <f>IFERROR(IF(A130="","",SUMIF(SAVINGS!$A:$A,A130,SAVINGS!$E:$E)-SUMIF(WITHDRAWALS!$A:$A,A130,WITHDRAWALS!$E:$E)),"")</f>
        <v/>
      </c>
    </row>
    <row r="131" ht="20" customHeight="1">
      <c r="A131" s="18">
        <f>'NEW ACCOUNT'!A132</f>
        <v/>
      </c>
      <c r="B131" s="19">
        <f>IF('NEW ACCOUNT'!A132="","",'NEW ACCOUNT'!B132)</f>
        <v/>
      </c>
      <c r="C131" s="19">
        <f>IF('NEW ACCOUNT'!A132="","",'NEW ACCOUNT'!C132)</f>
        <v/>
      </c>
      <c r="D131" s="19">
        <f>IF('NEW ACCOUNT'!A132="","",'NEW ACCOUNT'!D132)</f>
        <v/>
      </c>
      <c r="E131" s="19">
        <f>IF('NEW ACCOUNT'!A132="","",'NEW ACCOUNT'!E132)</f>
        <v/>
      </c>
      <c r="F131" s="19">
        <f>IF('NEW ACCOUNT'!A132="","",'NEW ACCOUNT'!F132)</f>
        <v/>
      </c>
      <c r="G131" s="19">
        <f>IF('NEW ACCOUNT'!A132="","",'NEW ACCOUNT'!G132)</f>
        <v/>
      </c>
      <c r="H131" s="19">
        <f>IF('NEW ACCOUNT'!A132="","",'NEW ACCOUNT'!H132)</f>
        <v/>
      </c>
      <c r="I131" s="20">
        <f>IFERROR(IF(A131="","",SUMIF(SAVINGS!$A:$A,A131,SAVINGS!$E:$E)),"")</f>
        <v/>
      </c>
      <c r="J131" s="20">
        <f>IFERROR(IF(A131="","",SUMIF(SAVINGS!$A:$A,A131,SAVINGS!$E:$E)-SUMIF(WITHDRAWALS!$A:$A,A131,WITHDRAWALS!$E:$E)),"")</f>
        <v/>
      </c>
    </row>
    <row r="132" ht="20" customHeight="1">
      <c r="A132" s="21">
        <f>'NEW ACCOUNT'!A133</f>
        <v/>
      </c>
      <c r="B132" s="22">
        <f>IF('NEW ACCOUNT'!A133="","",'NEW ACCOUNT'!B133)</f>
        <v/>
      </c>
      <c r="C132" s="22">
        <f>IF('NEW ACCOUNT'!A133="","",'NEW ACCOUNT'!C133)</f>
        <v/>
      </c>
      <c r="D132" s="22">
        <f>IF('NEW ACCOUNT'!A133="","",'NEW ACCOUNT'!D133)</f>
        <v/>
      </c>
      <c r="E132" s="22">
        <f>IF('NEW ACCOUNT'!A133="","",'NEW ACCOUNT'!E133)</f>
        <v/>
      </c>
      <c r="F132" s="22">
        <f>IF('NEW ACCOUNT'!A133="","",'NEW ACCOUNT'!F133)</f>
        <v/>
      </c>
      <c r="G132" s="22">
        <f>IF('NEW ACCOUNT'!A133="","",'NEW ACCOUNT'!G133)</f>
        <v/>
      </c>
      <c r="H132" s="22">
        <f>IF('NEW ACCOUNT'!A133="","",'NEW ACCOUNT'!H133)</f>
        <v/>
      </c>
      <c r="I132" s="23">
        <f>IFERROR(IF(A132="","",SUMIF(SAVINGS!$A:$A,A132,SAVINGS!$E:$E)),"")</f>
        <v/>
      </c>
      <c r="J132" s="23">
        <f>IFERROR(IF(A132="","",SUMIF(SAVINGS!$A:$A,A132,SAVINGS!$E:$E)-SUMIF(WITHDRAWALS!$A:$A,A132,WITHDRAWALS!$E:$E)),"")</f>
        <v/>
      </c>
    </row>
    <row r="133" ht="20" customHeight="1">
      <c r="A133" s="18">
        <f>'NEW ACCOUNT'!A134</f>
        <v/>
      </c>
      <c r="B133" s="19">
        <f>IF('NEW ACCOUNT'!A134="","",'NEW ACCOUNT'!B134)</f>
        <v/>
      </c>
      <c r="C133" s="19">
        <f>IF('NEW ACCOUNT'!A134="","",'NEW ACCOUNT'!C134)</f>
        <v/>
      </c>
      <c r="D133" s="19">
        <f>IF('NEW ACCOUNT'!A134="","",'NEW ACCOUNT'!D134)</f>
        <v/>
      </c>
      <c r="E133" s="19">
        <f>IF('NEW ACCOUNT'!A134="","",'NEW ACCOUNT'!E134)</f>
        <v/>
      </c>
      <c r="F133" s="19">
        <f>IF('NEW ACCOUNT'!A134="","",'NEW ACCOUNT'!F134)</f>
        <v/>
      </c>
      <c r="G133" s="19">
        <f>IF('NEW ACCOUNT'!A134="","",'NEW ACCOUNT'!G134)</f>
        <v/>
      </c>
      <c r="H133" s="19">
        <f>IF('NEW ACCOUNT'!A134="","",'NEW ACCOUNT'!H134)</f>
        <v/>
      </c>
      <c r="I133" s="20">
        <f>IFERROR(IF(A133="","",SUMIF(SAVINGS!$A:$A,A133,SAVINGS!$E:$E)),"")</f>
        <v/>
      </c>
      <c r="J133" s="20">
        <f>IFERROR(IF(A133="","",SUMIF(SAVINGS!$A:$A,A133,SAVINGS!$E:$E)-SUMIF(WITHDRAWALS!$A:$A,A133,WITHDRAWALS!$E:$E)),"")</f>
        <v/>
      </c>
    </row>
    <row r="134" ht="20" customHeight="1">
      <c r="A134" s="21">
        <f>'NEW ACCOUNT'!A135</f>
        <v/>
      </c>
      <c r="B134" s="22">
        <f>IF('NEW ACCOUNT'!A135="","",'NEW ACCOUNT'!B135)</f>
        <v/>
      </c>
      <c r="C134" s="22">
        <f>IF('NEW ACCOUNT'!A135="","",'NEW ACCOUNT'!C135)</f>
        <v/>
      </c>
      <c r="D134" s="22">
        <f>IF('NEW ACCOUNT'!A135="","",'NEW ACCOUNT'!D135)</f>
        <v/>
      </c>
      <c r="E134" s="22">
        <f>IF('NEW ACCOUNT'!A135="","",'NEW ACCOUNT'!E135)</f>
        <v/>
      </c>
      <c r="F134" s="22">
        <f>IF('NEW ACCOUNT'!A135="","",'NEW ACCOUNT'!F135)</f>
        <v/>
      </c>
      <c r="G134" s="22">
        <f>IF('NEW ACCOUNT'!A135="","",'NEW ACCOUNT'!G135)</f>
        <v/>
      </c>
      <c r="H134" s="22">
        <f>IF('NEW ACCOUNT'!A135="","",'NEW ACCOUNT'!H135)</f>
        <v/>
      </c>
      <c r="I134" s="23">
        <f>IFERROR(IF(A134="","",SUMIF(SAVINGS!$A:$A,A134,SAVINGS!$E:$E)),"")</f>
        <v/>
      </c>
      <c r="J134" s="23">
        <f>IFERROR(IF(A134="","",SUMIF(SAVINGS!$A:$A,A134,SAVINGS!$E:$E)-SUMIF(WITHDRAWALS!$A:$A,A134,WITHDRAWALS!$E:$E)),"")</f>
        <v/>
      </c>
    </row>
    <row r="135" ht="20" customHeight="1">
      <c r="A135" s="18">
        <f>'NEW ACCOUNT'!A136</f>
        <v/>
      </c>
      <c r="B135" s="19">
        <f>IF('NEW ACCOUNT'!A136="","",'NEW ACCOUNT'!B136)</f>
        <v/>
      </c>
      <c r="C135" s="19">
        <f>IF('NEW ACCOUNT'!A136="","",'NEW ACCOUNT'!C136)</f>
        <v/>
      </c>
      <c r="D135" s="19">
        <f>IF('NEW ACCOUNT'!A136="","",'NEW ACCOUNT'!D136)</f>
        <v/>
      </c>
      <c r="E135" s="19">
        <f>IF('NEW ACCOUNT'!A136="","",'NEW ACCOUNT'!E136)</f>
        <v/>
      </c>
      <c r="F135" s="19">
        <f>IF('NEW ACCOUNT'!A136="","",'NEW ACCOUNT'!F136)</f>
        <v/>
      </c>
      <c r="G135" s="19">
        <f>IF('NEW ACCOUNT'!A136="","",'NEW ACCOUNT'!G136)</f>
        <v/>
      </c>
      <c r="H135" s="19">
        <f>IF('NEW ACCOUNT'!A136="","",'NEW ACCOUNT'!H136)</f>
        <v/>
      </c>
      <c r="I135" s="20">
        <f>IFERROR(IF(A135="","",SUMIF(SAVINGS!$A:$A,A135,SAVINGS!$E:$E)),"")</f>
        <v/>
      </c>
      <c r="J135" s="20">
        <f>IFERROR(IF(A135="","",SUMIF(SAVINGS!$A:$A,A135,SAVINGS!$E:$E)-SUMIF(WITHDRAWALS!$A:$A,A135,WITHDRAWALS!$E:$E)),"")</f>
        <v/>
      </c>
    </row>
    <row r="136" ht="20" customHeight="1">
      <c r="A136" s="21">
        <f>'NEW ACCOUNT'!A137</f>
        <v/>
      </c>
      <c r="B136" s="22">
        <f>IF('NEW ACCOUNT'!A137="","",'NEW ACCOUNT'!B137)</f>
        <v/>
      </c>
      <c r="C136" s="22">
        <f>IF('NEW ACCOUNT'!A137="","",'NEW ACCOUNT'!C137)</f>
        <v/>
      </c>
      <c r="D136" s="22">
        <f>IF('NEW ACCOUNT'!A137="","",'NEW ACCOUNT'!D137)</f>
        <v/>
      </c>
      <c r="E136" s="22">
        <f>IF('NEW ACCOUNT'!A137="","",'NEW ACCOUNT'!E137)</f>
        <v/>
      </c>
      <c r="F136" s="22">
        <f>IF('NEW ACCOUNT'!A137="","",'NEW ACCOUNT'!F137)</f>
        <v/>
      </c>
      <c r="G136" s="22">
        <f>IF('NEW ACCOUNT'!A137="","",'NEW ACCOUNT'!G137)</f>
        <v/>
      </c>
      <c r="H136" s="22">
        <f>IF('NEW ACCOUNT'!A137="","",'NEW ACCOUNT'!H137)</f>
        <v/>
      </c>
      <c r="I136" s="23">
        <f>IFERROR(IF(A136="","",SUMIF(SAVINGS!$A:$A,A136,SAVINGS!$E:$E)),"")</f>
        <v/>
      </c>
      <c r="J136" s="23">
        <f>IFERROR(IF(A136="","",SUMIF(SAVINGS!$A:$A,A136,SAVINGS!$E:$E)-SUMIF(WITHDRAWALS!$A:$A,A136,WITHDRAWALS!$E:$E)),"")</f>
        <v/>
      </c>
    </row>
    <row r="137" ht="20" customHeight="1">
      <c r="A137" s="18">
        <f>'NEW ACCOUNT'!A138</f>
        <v/>
      </c>
      <c r="B137" s="19">
        <f>IF('NEW ACCOUNT'!A138="","",'NEW ACCOUNT'!B138)</f>
        <v/>
      </c>
      <c r="C137" s="19">
        <f>IF('NEW ACCOUNT'!A138="","",'NEW ACCOUNT'!C138)</f>
        <v/>
      </c>
      <c r="D137" s="19">
        <f>IF('NEW ACCOUNT'!A138="","",'NEW ACCOUNT'!D138)</f>
        <v/>
      </c>
      <c r="E137" s="19">
        <f>IF('NEW ACCOUNT'!A138="","",'NEW ACCOUNT'!E138)</f>
        <v/>
      </c>
      <c r="F137" s="19">
        <f>IF('NEW ACCOUNT'!A138="","",'NEW ACCOUNT'!F138)</f>
        <v/>
      </c>
      <c r="G137" s="19">
        <f>IF('NEW ACCOUNT'!A138="","",'NEW ACCOUNT'!G138)</f>
        <v/>
      </c>
      <c r="H137" s="19">
        <f>IF('NEW ACCOUNT'!A138="","",'NEW ACCOUNT'!H138)</f>
        <v/>
      </c>
      <c r="I137" s="20">
        <f>IFERROR(IF(A137="","",SUMIF(SAVINGS!$A:$A,A137,SAVINGS!$E:$E)),"")</f>
        <v/>
      </c>
      <c r="J137" s="20">
        <f>IFERROR(IF(A137="","",SUMIF(SAVINGS!$A:$A,A137,SAVINGS!$E:$E)-SUMIF(WITHDRAWALS!$A:$A,A137,WITHDRAWALS!$E:$E)),"")</f>
        <v/>
      </c>
    </row>
    <row r="138" ht="20" customHeight="1">
      <c r="A138" s="21">
        <f>'NEW ACCOUNT'!A139</f>
        <v/>
      </c>
      <c r="B138" s="22">
        <f>IF('NEW ACCOUNT'!A139="","",'NEW ACCOUNT'!B139)</f>
        <v/>
      </c>
      <c r="C138" s="22">
        <f>IF('NEW ACCOUNT'!A139="","",'NEW ACCOUNT'!C139)</f>
        <v/>
      </c>
      <c r="D138" s="22">
        <f>IF('NEW ACCOUNT'!A139="","",'NEW ACCOUNT'!D139)</f>
        <v/>
      </c>
      <c r="E138" s="22">
        <f>IF('NEW ACCOUNT'!A139="","",'NEW ACCOUNT'!E139)</f>
        <v/>
      </c>
      <c r="F138" s="22">
        <f>IF('NEW ACCOUNT'!A139="","",'NEW ACCOUNT'!F139)</f>
        <v/>
      </c>
      <c r="G138" s="22">
        <f>IF('NEW ACCOUNT'!A139="","",'NEW ACCOUNT'!G139)</f>
        <v/>
      </c>
      <c r="H138" s="22">
        <f>IF('NEW ACCOUNT'!A139="","",'NEW ACCOUNT'!H139)</f>
        <v/>
      </c>
      <c r="I138" s="23">
        <f>IFERROR(IF(A138="","",SUMIF(SAVINGS!$A:$A,A138,SAVINGS!$E:$E)),"")</f>
        <v/>
      </c>
      <c r="J138" s="23">
        <f>IFERROR(IF(A138="","",SUMIF(SAVINGS!$A:$A,A138,SAVINGS!$E:$E)-SUMIF(WITHDRAWALS!$A:$A,A138,WITHDRAWALS!$E:$E)),"")</f>
        <v/>
      </c>
    </row>
    <row r="139" ht="20" customHeight="1">
      <c r="A139" s="18">
        <f>'NEW ACCOUNT'!A140</f>
        <v/>
      </c>
      <c r="B139" s="19">
        <f>IF('NEW ACCOUNT'!A140="","",'NEW ACCOUNT'!B140)</f>
        <v/>
      </c>
      <c r="C139" s="19">
        <f>IF('NEW ACCOUNT'!A140="","",'NEW ACCOUNT'!C140)</f>
        <v/>
      </c>
      <c r="D139" s="19">
        <f>IF('NEW ACCOUNT'!A140="","",'NEW ACCOUNT'!D140)</f>
        <v/>
      </c>
      <c r="E139" s="19">
        <f>IF('NEW ACCOUNT'!A140="","",'NEW ACCOUNT'!E140)</f>
        <v/>
      </c>
      <c r="F139" s="19">
        <f>IF('NEW ACCOUNT'!A140="","",'NEW ACCOUNT'!F140)</f>
        <v/>
      </c>
      <c r="G139" s="19">
        <f>IF('NEW ACCOUNT'!A140="","",'NEW ACCOUNT'!G140)</f>
        <v/>
      </c>
      <c r="H139" s="19">
        <f>IF('NEW ACCOUNT'!A140="","",'NEW ACCOUNT'!H140)</f>
        <v/>
      </c>
      <c r="I139" s="20">
        <f>IFERROR(IF(A139="","",SUMIF(SAVINGS!$A:$A,A139,SAVINGS!$E:$E)),"")</f>
        <v/>
      </c>
      <c r="J139" s="20">
        <f>IFERROR(IF(A139="","",SUMIF(SAVINGS!$A:$A,A139,SAVINGS!$E:$E)-SUMIF(WITHDRAWALS!$A:$A,A139,WITHDRAWALS!$E:$E)),"")</f>
        <v/>
      </c>
    </row>
    <row r="140" ht="20" customHeight="1">
      <c r="A140" s="21">
        <f>'NEW ACCOUNT'!A141</f>
        <v/>
      </c>
      <c r="B140" s="22">
        <f>IF('NEW ACCOUNT'!A141="","",'NEW ACCOUNT'!B141)</f>
        <v/>
      </c>
      <c r="C140" s="22">
        <f>IF('NEW ACCOUNT'!A141="","",'NEW ACCOUNT'!C141)</f>
        <v/>
      </c>
      <c r="D140" s="22">
        <f>IF('NEW ACCOUNT'!A141="","",'NEW ACCOUNT'!D141)</f>
        <v/>
      </c>
      <c r="E140" s="22">
        <f>IF('NEW ACCOUNT'!A141="","",'NEW ACCOUNT'!E141)</f>
        <v/>
      </c>
      <c r="F140" s="22">
        <f>IF('NEW ACCOUNT'!A141="","",'NEW ACCOUNT'!F141)</f>
        <v/>
      </c>
      <c r="G140" s="22">
        <f>IF('NEW ACCOUNT'!A141="","",'NEW ACCOUNT'!G141)</f>
        <v/>
      </c>
      <c r="H140" s="22">
        <f>IF('NEW ACCOUNT'!A141="","",'NEW ACCOUNT'!H141)</f>
        <v/>
      </c>
      <c r="I140" s="23">
        <f>IFERROR(IF(A140="","",SUMIF(SAVINGS!$A:$A,A140,SAVINGS!$E:$E)),"")</f>
        <v/>
      </c>
      <c r="J140" s="23">
        <f>IFERROR(IF(A140="","",SUMIF(SAVINGS!$A:$A,A140,SAVINGS!$E:$E)-SUMIF(WITHDRAWALS!$A:$A,A140,WITHDRAWALS!$E:$E)),"")</f>
        <v/>
      </c>
    </row>
    <row r="141" ht="20" customHeight="1">
      <c r="A141" s="18">
        <f>'NEW ACCOUNT'!A142</f>
        <v/>
      </c>
      <c r="B141" s="19">
        <f>IF('NEW ACCOUNT'!A142="","",'NEW ACCOUNT'!B142)</f>
        <v/>
      </c>
      <c r="C141" s="19">
        <f>IF('NEW ACCOUNT'!A142="","",'NEW ACCOUNT'!C142)</f>
        <v/>
      </c>
      <c r="D141" s="19">
        <f>IF('NEW ACCOUNT'!A142="","",'NEW ACCOUNT'!D142)</f>
        <v/>
      </c>
      <c r="E141" s="19">
        <f>IF('NEW ACCOUNT'!A142="","",'NEW ACCOUNT'!E142)</f>
        <v/>
      </c>
      <c r="F141" s="19">
        <f>IF('NEW ACCOUNT'!A142="","",'NEW ACCOUNT'!F142)</f>
        <v/>
      </c>
      <c r="G141" s="19">
        <f>IF('NEW ACCOUNT'!A142="","",'NEW ACCOUNT'!G142)</f>
        <v/>
      </c>
      <c r="H141" s="19">
        <f>IF('NEW ACCOUNT'!A142="","",'NEW ACCOUNT'!H142)</f>
        <v/>
      </c>
      <c r="I141" s="20">
        <f>IFERROR(IF(A141="","",SUMIF(SAVINGS!$A:$A,A141,SAVINGS!$E:$E)),"")</f>
        <v/>
      </c>
      <c r="J141" s="20">
        <f>IFERROR(IF(A141="","",SUMIF(SAVINGS!$A:$A,A141,SAVINGS!$E:$E)-SUMIF(WITHDRAWALS!$A:$A,A141,WITHDRAWALS!$E:$E)),"")</f>
        <v/>
      </c>
    </row>
    <row r="142" ht="20" customHeight="1">
      <c r="A142" s="21">
        <f>'NEW ACCOUNT'!A143</f>
        <v/>
      </c>
      <c r="B142" s="22">
        <f>IF('NEW ACCOUNT'!A143="","",'NEW ACCOUNT'!B143)</f>
        <v/>
      </c>
      <c r="C142" s="22">
        <f>IF('NEW ACCOUNT'!A143="","",'NEW ACCOUNT'!C143)</f>
        <v/>
      </c>
      <c r="D142" s="22">
        <f>IF('NEW ACCOUNT'!A143="","",'NEW ACCOUNT'!D143)</f>
        <v/>
      </c>
      <c r="E142" s="22">
        <f>IF('NEW ACCOUNT'!A143="","",'NEW ACCOUNT'!E143)</f>
        <v/>
      </c>
      <c r="F142" s="22">
        <f>IF('NEW ACCOUNT'!A143="","",'NEW ACCOUNT'!F143)</f>
        <v/>
      </c>
      <c r="G142" s="22">
        <f>IF('NEW ACCOUNT'!A143="","",'NEW ACCOUNT'!G143)</f>
        <v/>
      </c>
      <c r="H142" s="22">
        <f>IF('NEW ACCOUNT'!A143="","",'NEW ACCOUNT'!H143)</f>
        <v/>
      </c>
      <c r="I142" s="23">
        <f>IFERROR(IF(A142="","",SUMIF(SAVINGS!$A:$A,A142,SAVINGS!$E:$E)),"")</f>
        <v/>
      </c>
      <c r="J142" s="23">
        <f>IFERROR(IF(A142="","",SUMIF(SAVINGS!$A:$A,A142,SAVINGS!$E:$E)-SUMIF(WITHDRAWALS!$A:$A,A142,WITHDRAWALS!$E:$E)),"")</f>
        <v/>
      </c>
    </row>
    <row r="143" ht="20" customHeight="1">
      <c r="A143" s="18">
        <f>'NEW ACCOUNT'!A144</f>
        <v/>
      </c>
      <c r="B143" s="19">
        <f>IF('NEW ACCOUNT'!A144="","",'NEW ACCOUNT'!B144)</f>
        <v/>
      </c>
      <c r="C143" s="19">
        <f>IF('NEW ACCOUNT'!A144="","",'NEW ACCOUNT'!C144)</f>
        <v/>
      </c>
      <c r="D143" s="19">
        <f>IF('NEW ACCOUNT'!A144="","",'NEW ACCOUNT'!D144)</f>
        <v/>
      </c>
      <c r="E143" s="19">
        <f>IF('NEW ACCOUNT'!A144="","",'NEW ACCOUNT'!E144)</f>
        <v/>
      </c>
      <c r="F143" s="19">
        <f>IF('NEW ACCOUNT'!A144="","",'NEW ACCOUNT'!F144)</f>
        <v/>
      </c>
      <c r="G143" s="19">
        <f>IF('NEW ACCOUNT'!A144="","",'NEW ACCOUNT'!G144)</f>
        <v/>
      </c>
      <c r="H143" s="19">
        <f>IF('NEW ACCOUNT'!A144="","",'NEW ACCOUNT'!H144)</f>
        <v/>
      </c>
      <c r="I143" s="20">
        <f>IFERROR(IF(A143="","",SUMIF(SAVINGS!$A:$A,A143,SAVINGS!$E:$E)),"")</f>
        <v/>
      </c>
      <c r="J143" s="20">
        <f>IFERROR(IF(A143="","",SUMIF(SAVINGS!$A:$A,A143,SAVINGS!$E:$E)-SUMIF(WITHDRAWALS!$A:$A,A143,WITHDRAWALS!$E:$E)),"")</f>
        <v/>
      </c>
    </row>
    <row r="144" ht="20" customHeight="1">
      <c r="A144" s="21">
        <f>'NEW ACCOUNT'!A145</f>
        <v/>
      </c>
      <c r="B144" s="22">
        <f>IF('NEW ACCOUNT'!A145="","",'NEW ACCOUNT'!B145)</f>
        <v/>
      </c>
      <c r="C144" s="22">
        <f>IF('NEW ACCOUNT'!A145="","",'NEW ACCOUNT'!C145)</f>
        <v/>
      </c>
      <c r="D144" s="22">
        <f>IF('NEW ACCOUNT'!A145="","",'NEW ACCOUNT'!D145)</f>
        <v/>
      </c>
      <c r="E144" s="22">
        <f>IF('NEW ACCOUNT'!A145="","",'NEW ACCOUNT'!E145)</f>
        <v/>
      </c>
      <c r="F144" s="22">
        <f>IF('NEW ACCOUNT'!A145="","",'NEW ACCOUNT'!F145)</f>
        <v/>
      </c>
      <c r="G144" s="22">
        <f>IF('NEW ACCOUNT'!A145="","",'NEW ACCOUNT'!G145)</f>
        <v/>
      </c>
      <c r="H144" s="22">
        <f>IF('NEW ACCOUNT'!A145="","",'NEW ACCOUNT'!H145)</f>
        <v/>
      </c>
      <c r="I144" s="23">
        <f>IFERROR(IF(A144="","",SUMIF(SAVINGS!$A:$A,A144,SAVINGS!$E:$E)),"")</f>
        <v/>
      </c>
      <c r="J144" s="23">
        <f>IFERROR(IF(A144="","",SUMIF(SAVINGS!$A:$A,A144,SAVINGS!$E:$E)-SUMIF(WITHDRAWALS!$A:$A,A144,WITHDRAWALS!$E:$E)),"")</f>
        <v/>
      </c>
    </row>
    <row r="145" ht="20" customHeight="1">
      <c r="A145" s="18">
        <f>'NEW ACCOUNT'!A146</f>
        <v/>
      </c>
      <c r="B145" s="19">
        <f>IF('NEW ACCOUNT'!A146="","",'NEW ACCOUNT'!B146)</f>
        <v/>
      </c>
      <c r="C145" s="19">
        <f>IF('NEW ACCOUNT'!A146="","",'NEW ACCOUNT'!C146)</f>
        <v/>
      </c>
      <c r="D145" s="19">
        <f>IF('NEW ACCOUNT'!A146="","",'NEW ACCOUNT'!D146)</f>
        <v/>
      </c>
      <c r="E145" s="19">
        <f>IF('NEW ACCOUNT'!A146="","",'NEW ACCOUNT'!E146)</f>
        <v/>
      </c>
      <c r="F145" s="19">
        <f>IF('NEW ACCOUNT'!A146="","",'NEW ACCOUNT'!F146)</f>
        <v/>
      </c>
      <c r="G145" s="19">
        <f>IF('NEW ACCOUNT'!A146="","",'NEW ACCOUNT'!G146)</f>
        <v/>
      </c>
      <c r="H145" s="19">
        <f>IF('NEW ACCOUNT'!A146="","",'NEW ACCOUNT'!H146)</f>
        <v/>
      </c>
      <c r="I145" s="20">
        <f>IFERROR(IF(A145="","",SUMIF(SAVINGS!$A:$A,A145,SAVINGS!$E:$E)),"")</f>
        <v/>
      </c>
      <c r="J145" s="20">
        <f>IFERROR(IF(A145="","",SUMIF(SAVINGS!$A:$A,A145,SAVINGS!$E:$E)-SUMIF(WITHDRAWALS!$A:$A,A145,WITHDRAWALS!$E:$E)),"")</f>
        <v/>
      </c>
    </row>
    <row r="146" ht="20" customHeight="1">
      <c r="A146" s="21">
        <f>'NEW ACCOUNT'!A147</f>
        <v/>
      </c>
      <c r="B146" s="22">
        <f>IF('NEW ACCOUNT'!A147="","",'NEW ACCOUNT'!B147)</f>
        <v/>
      </c>
      <c r="C146" s="22">
        <f>IF('NEW ACCOUNT'!A147="","",'NEW ACCOUNT'!C147)</f>
        <v/>
      </c>
      <c r="D146" s="22">
        <f>IF('NEW ACCOUNT'!A147="","",'NEW ACCOUNT'!D147)</f>
        <v/>
      </c>
      <c r="E146" s="22">
        <f>IF('NEW ACCOUNT'!A147="","",'NEW ACCOUNT'!E147)</f>
        <v/>
      </c>
      <c r="F146" s="22">
        <f>IF('NEW ACCOUNT'!A147="","",'NEW ACCOUNT'!F147)</f>
        <v/>
      </c>
      <c r="G146" s="22">
        <f>IF('NEW ACCOUNT'!A147="","",'NEW ACCOUNT'!G147)</f>
        <v/>
      </c>
      <c r="H146" s="22">
        <f>IF('NEW ACCOUNT'!A147="","",'NEW ACCOUNT'!H147)</f>
        <v/>
      </c>
      <c r="I146" s="23">
        <f>IFERROR(IF(A146="","",SUMIF(SAVINGS!$A:$A,A146,SAVINGS!$E:$E)),"")</f>
        <v/>
      </c>
      <c r="J146" s="23">
        <f>IFERROR(IF(A146="","",SUMIF(SAVINGS!$A:$A,A146,SAVINGS!$E:$E)-SUMIF(WITHDRAWALS!$A:$A,A146,WITHDRAWALS!$E:$E)),"")</f>
        <v/>
      </c>
    </row>
    <row r="147" ht="20" customHeight="1">
      <c r="A147" s="18">
        <f>'NEW ACCOUNT'!A148</f>
        <v/>
      </c>
      <c r="B147" s="19">
        <f>IF('NEW ACCOUNT'!A148="","",'NEW ACCOUNT'!B148)</f>
        <v/>
      </c>
      <c r="C147" s="19">
        <f>IF('NEW ACCOUNT'!A148="","",'NEW ACCOUNT'!C148)</f>
        <v/>
      </c>
      <c r="D147" s="19">
        <f>IF('NEW ACCOUNT'!A148="","",'NEW ACCOUNT'!D148)</f>
        <v/>
      </c>
      <c r="E147" s="19">
        <f>IF('NEW ACCOUNT'!A148="","",'NEW ACCOUNT'!E148)</f>
        <v/>
      </c>
      <c r="F147" s="19">
        <f>IF('NEW ACCOUNT'!A148="","",'NEW ACCOUNT'!F148)</f>
        <v/>
      </c>
      <c r="G147" s="19">
        <f>IF('NEW ACCOUNT'!A148="","",'NEW ACCOUNT'!G148)</f>
        <v/>
      </c>
      <c r="H147" s="19">
        <f>IF('NEW ACCOUNT'!A148="","",'NEW ACCOUNT'!H148)</f>
        <v/>
      </c>
      <c r="I147" s="20">
        <f>IFERROR(IF(A147="","",SUMIF(SAVINGS!$A:$A,A147,SAVINGS!$E:$E)),"")</f>
        <v/>
      </c>
      <c r="J147" s="20">
        <f>IFERROR(IF(A147="","",SUMIF(SAVINGS!$A:$A,A147,SAVINGS!$E:$E)-SUMIF(WITHDRAWALS!$A:$A,A147,WITHDRAWALS!$E:$E)),"")</f>
        <v/>
      </c>
    </row>
    <row r="148" ht="20" customHeight="1">
      <c r="A148" s="21">
        <f>'NEW ACCOUNT'!A149</f>
        <v/>
      </c>
      <c r="B148" s="22">
        <f>IF('NEW ACCOUNT'!A149="","",'NEW ACCOUNT'!B149)</f>
        <v/>
      </c>
      <c r="C148" s="22">
        <f>IF('NEW ACCOUNT'!A149="","",'NEW ACCOUNT'!C149)</f>
        <v/>
      </c>
      <c r="D148" s="22">
        <f>IF('NEW ACCOUNT'!A149="","",'NEW ACCOUNT'!D149)</f>
        <v/>
      </c>
      <c r="E148" s="22">
        <f>IF('NEW ACCOUNT'!A149="","",'NEW ACCOUNT'!E149)</f>
        <v/>
      </c>
      <c r="F148" s="22">
        <f>IF('NEW ACCOUNT'!A149="","",'NEW ACCOUNT'!F149)</f>
        <v/>
      </c>
      <c r="G148" s="22">
        <f>IF('NEW ACCOUNT'!A149="","",'NEW ACCOUNT'!G149)</f>
        <v/>
      </c>
      <c r="H148" s="22">
        <f>IF('NEW ACCOUNT'!A149="","",'NEW ACCOUNT'!H149)</f>
        <v/>
      </c>
      <c r="I148" s="23">
        <f>IFERROR(IF(A148="","",SUMIF(SAVINGS!$A:$A,A148,SAVINGS!$E:$E)),"")</f>
        <v/>
      </c>
      <c r="J148" s="23">
        <f>IFERROR(IF(A148="","",SUMIF(SAVINGS!$A:$A,A148,SAVINGS!$E:$E)-SUMIF(WITHDRAWALS!$A:$A,A148,WITHDRAWALS!$E:$E)),"")</f>
        <v/>
      </c>
    </row>
    <row r="149" ht="20" customHeight="1">
      <c r="A149" s="18">
        <f>'NEW ACCOUNT'!A150</f>
        <v/>
      </c>
      <c r="B149" s="19">
        <f>IF('NEW ACCOUNT'!A150="","",'NEW ACCOUNT'!B150)</f>
        <v/>
      </c>
      <c r="C149" s="19">
        <f>IF('NEW ACCOUNT'!A150="","",'NEW ACCOUNT'!C150)</f>
        <v/>
      </c>
      <c r="D149" s="19">
        <f>IF('NEW ACCOUNT'!A150="","",'NEW ACCOUNT'!D150)</f>
        <v/>
      </c>
      <c r="E149" s="19">
        <f>IF('NEW ACCOUNT'!A150="","",'NEW ACCOUNT'!E150)</f>
        <v/>
      </c>
      <c r="F149" s="19">
        <f>IF('NEW ACCOUNT'!A150="","",'NEW ACCOUNT'!F150)</f>
        <v/>
      </c>
      <c r="G149" s="19">
        <f>IF('NEW ACCOUNT'!A150="","",'NEW ACCOUNT'!G150)</f>
        <v/>
      </c>
      <c r="H149" s="19">
        <f>IF('NEW ACCOUNT'!A150="","",'NEW ACCOUNT'!H150)</f>
        <v/>
      </c>
      <c r="I149" s="20">
        <f>IFERROR(IF(A149="","",SUMIF(SAVINGS!$A:$A,A149,SAVINGS!$E:$E)),"")</f>
        <v/>
      </c>
      <c r="J149" s="20">
        <f>IFERROR(IF(A149="","",SUMIF(SAVINGS!$A:$A,A149,SAVINGS!$E:$E)-SUMIF(WITHDRAWALS!$A:$A,A149,WITHDRAWALS!$E:$E)),"")</f>
        <v/>
      </c>
    </row>
    <row r="150" ht="20" customHeight="1">
      <c r="A150" s="21">
        <f>'NEW ACCOUNT'!A151</f>
        <v/>
      </c>
      <c r="B150" s="22">
        <f>IF('NEW ACCOUNT'!A151="","",'NEW ACCOUNT'!B151)</f>
        <v/>
      </c>
      <c r="C150" s="22">
        <f>IF('NEW ACCOUNT'!A151="","",'NEW ACCOUNT'!C151)</f>
        <v/>
      </c>
      <c r="D150" s="22">
        <f>IF('NEW ACCOUNT'!A151="","",'NEW ACCOUNT'!D151)</f>
        <v/>
      </c>
      <c r="E150" s="22">
        <f>IF('NEW ACCOUNT'!A151="","",'NEW ACCOUNT'!E151)</f>
        <v/>
      </c>
      <c r="F150" s="22">
        <f>IF('NEW ACCOUNT'!A151="","",'NEW ACCOUNT'!F151)</f>
        <v/>
      </c>
      <c r="G150" s="22">
        <f>IF('NEW ACCOUNT'!A151="","",'NEW ACCOUNT'!G151)</f>
        <v/>
      </c>
      <c r="H150" s="22">
        <f>IF('NEW ACCOUNT'!A151="","",'NEW ACCOUNT'!H151)</f>
        <v/>
      </c>
      <c r="I150" s="23">
        <f>IFERROR(IF(A150="","",SUMIF(SAVINGS!$A:$A,A150,SAVINGS!$E:$E)),"")</f>
        <v/>
      </c>
      <c r="J150" s="23">
        <f>IFERROR(IF(A150="","",SUMIF(SAVINGS!$A:$A,A150,SAVINGS!$E:$E)-SUMIF(WITHDRAWALS!$A:$A,A150,WITHDRAWALS!$E:$E)),"")</f>
        <v/>
      </c>
    </row>
    <row r="151" ht="20" customHeight="1">
      <c r="A151" s="18">
        <f>'NEW ACCOUNT'!A152</f>
        <v/>
      </c>
      <c r="B151" s="19">
        <f>IF('NEW ACCOUNT'!A152="","",'NEW ACCOUNT'!B152)</f>
        <v/>
      </c>
      <c r="C151" s="19">
        <f>IF('NEW ACCOUNT'!A152="","",'NEW ACCOUNT'!C152)</f>
        <v/>
      </c>
      <c r="D151" s="19">
        <f>IF('NEW ACCOUNT'!A152="","",'NEW ACCOUNT'!D152)</f>
        <v/>
      </c>
      <c r="E151" s="19">
        <f>IF('NEW ACCOUNT'!A152="","",'NEW ACCOUNT'!E152)</f>
        <v/>
      </c>
      <c r="F151" s="19">
        <f>IF('NEW ACCOUNT'!A152="","",'NEW ACCOUNT'!F152)</f>
        <v/>
      </c>
      <c r="G151" s="19">
        <f>IF('NEW ACCOUNT'!A152="","",'NEW ACCOUNT'!G152)</f>
        <v/>
      </c>
      <c r="H151" s="19">
        <f>IF('NEW ACCOUNT'!A152="","",'NEW ACCOUNT'!H152)</f>
        <v/>
      </c>
      <c r="I151" s="20">
        <f>IFERROR(IF(A151="","",SUMIF(SAVINGS!$A:$A,A151,SAVINGS!$E:$E)),"")</f>
        <v/>
      </c>
      <c r="J151" s="20">
        <f>IFERROR(IF(A151="","",SUMIF(SAVINGS!$A:$A,A151,SAVINGS!$E:$E)-SUMIF(WITHDRAWALS!$A:$A,A151,WITHDRAWALS!$E:$E)),"")</f>
        <v/>
      </c>
    </row>
    <row r="152" ht="20" customHeight="1">
      <c r="A152" s="21">
        <f>'NEW ACCOUNT'!A153</f>
        <v/>
      </c>
      <c r="B152" s="22">
        <f>IF('NEW ACCOUNT'!A153="","",'NEW ACCOUNT'!B153)</f>
        <v/>
      </c>
      <c r="C152" s="22">
        <f>IF('NEW ACCOUNT'!A153="","",'NEW ACCOUNT'!C153)</f>
        <v/>
      </c>
      <c r="D152" s="22">
        <f>IF('NEW ACCOUNT'!A153="","",'NEW ACCOUNT'!D153)</f>
        <v/>
      </c>
      <c r="E152" s="22">
        <f>IF('NEW ACCOUNT'!A153="","",'NEW ACCOUNT'!E153)</f>
        <v/>
      </c>
      <c r="F152" s="22">
        <f>IF('NEW ACCOUNT'!A153="","",'NEW ACCOUNT'!F153)</f>
        <v/>
      </c>
      <c r="G152" s="22">
        <f>IF('NEW ACCOUNT'!A153="","",'NEW ACCOUNT'!G153)</f>
        <v/>
      </c>
      <c r="H152" s="22">
        <f>IF('NEW ACCOUNT'!A153="","",'NEW ACCOUNT'!H153)</f>
        <v/>
      </c>
      <c r="I152" s="23">
        <f>IFERROR(IF(A152="","",SUMIF(SAVINGS!$A:$A,A152,SAVINGS!$E:$E)),"")</f>
        <v/>
      </c>
      <c r="J152" s="23">
        <f>IFERROR(IF(A152="","",SUMIF(SAVINGS!$A:$A,A152,SAVINGS!$E:$E)-SUMIF(WITHDRAWALS!$A:$A,A152,WITHDRAWALS!$E:$E)),"")</f>
        <v/>
      </c>
    </row>
    <row r="153" ht="20" customHeight="1">
      <c r="A153" s="18">
        <f>'NEW ACCOUNT'!A154</f>
        <v/>
      </c>
      <c r="B153" s="19">
        <f>IF('NEW ACCOUNT'!A154="","",'NEW ACCOUNT'!B154)</f>
        <v/>
      </c>
      <c r="C153" s="19">
        <f>IF('NEW ACCOUNT'!A154="","",'NEW ACCOUNT'!C154)</f>
        <v/>
      </c>
      <c r="D153" s="19">
        <f>IF('NEW ACCOUNT'!A154="","",'NEW ACCOUNT'!D154)</f>
        <v/>
      </c>
      <c r="E153" s="19">
        <f>IF('NEW ACCOUNT'!A154="","",'NEW ACCOUNT'!E154)</f>
        <v/>
      </c>
      <c r="F153" s="19">
        <f>IF('NEW ACCOUNT'!A154="","",'NEW ACCOUNT'!F154)</f>
        <v/>
      </c>
      <c r="G153" s="19">
        <f>IF('NEW ACCOUNT'!A154="","",'NEW ACCOUNT'!G154)</f>
        <v/>
      </c>
      <c r="H153" s="19">
        <f>IF('NEW ACCOUNT'!A154="","",'NEW ACCOUNT'!H154)</f>
        <v/>
      </c>
      <c r="I153" s="20">
        <f>IFERROR(IF(A153="","",SUMIF(SAVINGS!$A:$A,A153,SAVINGS!$E:$E)),"")</f>
        <v/>
      </c>
      <c r="J153" s="20">
        <f>IFERROR(IF(A153="","",SUMIF(SAVINGS!$A:$A,A153,SAVINGS!$E:$E)-SUMIF(WITHDRAWALS!$A:$A,A153,WITHDRAWALS!$E:$E)),"")</f>
        <v/>
      </c>
    </row>
    <row r="154" ht="20" customHeight="1">
      <c r="A154" s="21">
        <f>'NEW ACCOUNT'!A155</f>
        <v/>
      </c>
      <c r="B154" s="22">
        <f>IF('NEW ACCOUNT'!A155="","",'NEW ACCOUNT'!B155)</f>
        <v/>
      </c>
      <c r="C154" s="22">
        <f>IF('NEW ACCOUNT'!A155="","",'NEW ACCOUNT'!C155)</f>
        <v/>
      </c>
      <c r="D154" s="22">
        <f>IF('NEW ACCOUNT'!A155="","",'NEW ACCOUNT'!D155)</f>
        <v/>
      </c>
      <c r="E154" s="22">
        <f>IF('NEW ACCOUNT'!A155="","",'NEW ACCOUNT'!E155)</f>
        <v/>
      </c>
      <c r="F154" s="22">
        <f>IF('NEW ACCOUNT'!A155="","",'NEW ACCOUNT'!F155)</f>
        <v/>
      </c>
      <c r="G154" s="22">
        <f>IF('NEW ACCOUNT'!A155="","",'NEW ACCOUNT'!G155)</f>
        <v/>
      </c>
      <c r="H154" s="22">
        <f>IF('NEW ACCOUNT'!A155="","",'NEW ACCOUNT'!H155)</f>
        <v/>
      </c>
      <c r="I154" s="23">
        <f>IFERROR(IF(A154="","",SUMIF(SAVINGS!$A:$A,A154,SAVINGS!$E:$E)),"")</f>
        <v/>
      </c>
      <c r="J154" s="23">
        <f>IFERROR(IF(A154="","",SUMIF(SAVINGS!$A:$A,A154,SAVINGS!$E:$E)-SUMIF(WITHDRAWALS!$A:$A,A154,WITHDRAWALS!$E:$E)),"")</f>
        <v/>
      </c>
    </row>
    <row r="155" ht="20" customHeight="1">
      <c r="A155" s="18">
        <f>'NEW ACCOUNT'!A156</f>
        <v/>
      </c>
      <c r="B155" s="19">
        <f>IF('NEW ACCOUNT'!A156="","",'NEW ACCOUNT'!B156)</f>
        <v/>
      </c>
      <c r="C155" s="19">
        <f>IF('NEW ACCOUNT'!A156="","",'NEW ACCOUNT'!C156)</f>
        <v/>
      </c>
      <c r="D155" s="19">
        <f>IF('NEW ACCOUNT'!A156="","",'NEW ACCOUNT'!D156)</f>
        <v/>
      </c>
      <c r="E155" s="19">
        <f>IF('NEW ACCOUNT'!A156="","",'NEW ACCOUNT'!E156)</f>
        <v/>
      </c>
      <c r="F155" s="19">
        <f>IF('NEW ACCOUNT'!A156="","",'NEW ACCOUNT'!F156)</f>
        <v/>
      </c>
      <c r="G155" s="19">
        <f>IF('NEW ACCOUNT'!A156="","",'NEW ACCOUNT'!G156)</f>
        <v/>
      </c>
      <c r="H155" s="19">
        <f>IF('NEW ACCOUNT'!A156="","",'NEW ACCOUNT'!H156)</f>
        <v/>
      </c>
      <c r="I155" s="20">
        <f>IFERROR(IF(A155="","",SUMIF(SAVINGS!$A:$A,A155,SAVINGS!$E:$E)),"")</f>
        <v/>
      </c>
      <c r="J155" s="20">
        <f>IFERROR(IF(A155="","",SUMIF(SAVINGS!$A:$A,A155,SAVINGS!$E:$E)-SUMIF(WITHDRAWALS!$A:$A,A155,WITHDRAWALS!$E:$E)),"")</f>
        <v/>
      </c>
    </row>
    <row r="156" ht="20" customHeight="1">
      <c r="A156" s="21">
        <f>'NEW ACCOUNT'!A157</f>
        <v/>
      </c>
      <c r="B156" s="22">
        <f>IF('NEW ACCOUNT'!A157="","",'NEW ACCOUNT'!B157)</f>
        <v/>
      </c>
      <c r="C156" s="22">
        <f>IF('NEW ACCOUNT'!A157="","",'NEW ACCOUNT'!C157)</f>
        <v/>
      </c>
      <c r="D156" s="22">
        <f>IF('NEW ACCOUNT'!A157="","",'NEW ACCOUNT'!D157)</f>
        <v/>
      </c>
      <c r="E156" s="22">
        <f>IF('NEW ACCOUNT'!A157="","",'NEW ACCOUNT'!E157)</f>
        <v/>
      </c>
      <c r="F156" s="22">
        <f>IF('NEW ACCOUNT'!A157="","",'NEW ACCOUNT'!F157)</f>
        <v/>
      </c>
      <c r="G156" s="22">
        <f>IF('NEW ACCOUNT'!A157="","",'NEW ACCOUNT'!G157)</f>
        <v/>
      </c>
      <c r="H156" s="22">
        <f>IF('NEW ACCOUNT'!A157="","",'NEW ACCOUNT'!H157)</f>
        <v/>
      </c>
      <c r="I156" s="23">
        <f>IFERROR(IF(A156="","",SUMIF(SAVINGS!$A:$A,A156,SAVINGS!$E:$E)),"")</f>
        <v/>
      </c>
      <c r="J156" s="23">
        <f>IFERROR(IF(A156="","",SUMIF(SAVINGS!$A:$A,A156,SAVINGS!$E:$E)-SUMIF(WITHDRAWALS!$A:$A,A156,WITHDRAWALS!$E:$E)),"")</f>
        <v/>
      </c>
    </row>
    <row r="157" ht="20" customHeight="1">
      <c r="A157" s="18">
        <f>'NEW ACCOUNT'!A158</f>
        <v/>
      </c>
      <c r="B157" s="19">
        <f>IF('NEW ACCOUNT'!A158="","",'NEW ACCOUNT'!B158)</f>
        <v/>
      </c>
      <c r="C157" s="19">
        <f>IF('NEW ACCOUNT'!A158="","",'NEW ACCOUNT'!C158)</f>
        <v/>
      </c>
      <c r="D157" s="19">
        <f>IF('NEW ACCOUNT'!A158="","",'NEW ACCOUNT'!D158)</f>
        <v/>
      </c>
      <c r="E157" s="19">
        <f>IF('NEW ACCOUNT'!A158="","",'NEW ACCOUNT'!E158)</f>
        <v/>
      </c>
      <c r="F157" s="19">
        <f>IF('NEW ACCOUNT'!A158="","",'NEW ACCOUNT'!F158)</f>
        <v/>
      </c>
      <c r="G157" s="19">
        <f>IF('NEW ACCOUNT'!A158="","",'NEW ACCOUNT'!G158)</f>
        <v/>
      </c>
      <c r="H157" s="19">
        <f>IF('NEW ACCOUNT'!A158="","",'NEW ACCOUNT'!H158)</f>
        <v/>
      </c>
      <c r="I157" s="20">
        <f>IFERROR(IF(A157="","",SUMIF(SAVINGS!$A:$A,A157,SAVINGS!$E:$E)),"")</f>
        <v/>
      </c>
      <c r="J157" s="20">
        <f>IFERROR(IF(A157="","",SUMIF(SAVINGS!$A:$A,A157,SAVINGS!$E:$E)-SUMIF(WITHDRAWALS!$A:$A,A157,WITHDRAWALS!$E:$E)),"")</f>
        <v/>
      </c>
    </row>
    <row r="158" ht="20" customHeight="1">
      <c r="A158" s="21">
        <f>'NEW ACCOUNT'!A159</f>
        <v/>
      </c>
      <c r="B158" s="22">
        <f>IF('NEW ACCOUNT'!A159="","",'NEW ACCOUNT'!B159)</f>
        <v/>
      </c>
      <c r="C158" s="22">
        <f>IF('NEW ACCOUNT'!A159="","",'NEW ACCOUNT'!C159)</f>
        <v/>
      </c>
      <c r="D158" s="22">
        <f>IF('NEW ACCOUNT'!A159="","",'NEW ACCOUNT'!D159)</f>
        <v/>
      </c>
      <c r="E158" s="22">
        <f>IF('NEW ACCOUNT'!A159="","",'NEW ACCOUNT'!E159)</f>
        <v/>
      </c>
      <c r="F158" s="22">
        <f>IF('NEW ACCOUNT'!A159="","",'NEW ACCOUNT'!F159)</f>
        <v/>
      </c>
      <c r="G158" s="22">
        <f>IF('NEW ACCOUNT'!A159="","",'NEW ACCOUNT'!G159)</f>
        <v/>
      </c>
      <c r="H158" s="22">
        <f>IF('NEW ACCOUNT'!A159="","",'NEW ACCOUNT'!H159)</f>
        <v/>
      </c>
      <c r="I158" s="23">
        <f>IFERROR(IF(A158="","",SUMIF(SAVINGS!$A:$A,A158,SAVINGS!$E:$E)),"")</f>
        <v/>
      </c>
      <c r="J158" s="23">
        <f>IFERROR(IF(A158="","",SUMIF(SAVINGS!$A:$A,A158,SAVINGS!$E:$E)-SUMIF(WITHDRAWALS!$A:$A,A158,WITHDRAWALS!$E:$E)),"")</f>
        <v/>
      </c>
    </row>
    <row r="159" ht="20" customHeight="1">
      <c r="A159" s="18">
        <f>'NEW ACCOUNT'!A160</f>
        <v/>
      </c>
      <c r="B159" s="19">
        <f>IF('NEW ACCOUNT'!A160="","",'NEW ACCOUNT'!B160)</f>
        <v/>
      </c>
      <c r="C159" s="19">
        <f>IF('NEW ACCOUNT'!A160="","",'NEW ACCOUNT'!C160)</f>
        <v/>
      </c>
      <c r="D159" s="19">
        <f>IF('NEW ACCOUNT'!A160="","",'NEW ACCOUNT'!D160)</f>
        <v/>
      </c>
      <c r="E159" s="19">
        <f>IF('NEW ACCOUNT'!A160="","",'NEW ACCOUNT'!E160)</f>
        <v/>
      </c>
      <c r="F159" s="19">
        <f>IF('NEW ACCOUNT'!A160="","",'NEW ACCOUNT'!F160)</f>
        <v/>
      </c>
      <c r="G159" s="19">
        <f>IF('NEW ACCOUNT'!A160="","",'NEW ACCOUNT'!G160)</f>
        <v/>
      </c>
      <c r="H159" s="19">
        <f>IF('NEW ACCOUNT'!A160="","",'NEW ACCOUNT'!H160)</f>
        <v/>
      </c>
      <c r="I159" s="20">
        <f>IFERROR(IF(A159="","",SUMIF(SAVINGS!$A:$A,A159,SAVINGS!$E:$E)),"")</f>
        <v/>
      </c>
      <c r="J159" s="20">
        <f>IFERROR(IF(A159="","",SUMIF(SAVINGS!$A:$A,A159,SAVINGS!$E:$E)-SUMIF(WITHDRAWALS!$A:$A,A159,WITHDRAWALS!$E:$E)),"")</f>
        <v/>
      </c>
    </row>
    <row r="160" ht="20" customHeight="1">
      <c r="A160" s="21">
        <f>'NEW ACCOUNT'!A161</f>
        <v/>
      </c>
      <c r="B160" s="22">
        <f>IF('NEW ACCOUNT'!A161="","",'NEW ACCOUNT'!B161)</f>
        <v/>
      </c>
      <c r="C160" s="22">
        <f>IF('NEW ACCOUNT'!A161="","",'NEW ACCOUNT'!C161)</f>
        <v/>
      </c>
      <c r="D160" s="22">
        <f>IF('NEW ACCOUNT'!A161="","",'NEW ACCOUNT'!D161)</f>
        <v/>
      </c>
      <c r="E160" s="22">
        <f>IF('NEW ACCOUNT'!A161="","",'NEW ACCOUNT'!E161)</f>
        <v/>
      </c>
      <c r="F160" s="22">
        <f>IF('NEW ACCOUNT'!A161="","",'NEW ACCOUNT'!F161)</f>
        <v/>
      </c>
      <c r="G160" s="22">
        <f>IF('NEW ACCOUNT'!A161="","",'NEW ACCOUNT'!G161)</f>
        <v/>
      </c>
      <c r="H160" s="22">
        <f>IF('NEW ACCOUNT'!A161="","",'NEW ACCOUNT'!H161)</f>
        <v/>
      </c>
      <c r="I160" s="23">
        <f>IFERROR(IF(A160="","",SUMIF(SAVINGS!$A:$A,A160,SAVINGS!$E:$E)),"")</f>
        <v/>
      </c>
      <c r="J160" s="23">
        <f>IFERROR(IF(A160="","",SUMIF(SAVINGS!$A:$A,A160,SAVINGS!$E:$E)-SUMIF(WITHDRAWALS!$A:$A,A160,WITHDRAWALS!$E:$E)),"")</f>
        <v/>
      </c>
    </row>
    <row r="161" ht="20" customHeight="1">
      <c r="A161" s="18">
        <f>'NEW ACCOUNT'!A162</f>
        <v/>
      </c>
      <c r="B161" s="19">
        <f>IF('NEW ACCOUNT'!A162="","",'NEW ACCOUNT'!B162)</f>
        <v/>
      </c>
      <c r="C161" s="19">
        <f>IF('NEW ACCOUNT'!A162="","",'NEW ACCOUNT'!C162)</f>
        <v/>
      </c>
      <c r="D161" s="19">
        <f>IF('NEW ACCOUNT'!A162="","",'NEW ACCOUNT'!D162)</f>
        <v/>
      </c>
      <c r="E161" s="19">
        <f>IF('NEW ACCOUNT'!A162="","",'NEW ACCOUNT'!E162)</f>
        <v/>
      </c>
      <c r="F161" s="19">
        <f>IF('NEW ACCOUNT'!A162="","",'NEW ACCOUNT'!F162)</f>
        <v/>
      </c>
      <c r="G161" s="19">
        <f>IF('NEW ACCOUNT'!A162="","",'NEW ACCOUNT'!G162)</f>
        <v/>
      </c>
      <c r="H161" s="19">
        <f>IF('NEW ACCOUNT'!A162="","",'NEW ACCOUNT'!H162)</f>
        <v/>
      </c>
      <c r="I161" s="20">
        <f>IFERROR(IF(A161="","",SUMIF(SAVINGS!$A:$A,A161,SAVINGS!$E:$E)),"")</f>
        <v/>
      </c>
      <c r="J161" s="20">
        <f>IFERROR(IF(A161="","",SUMIF(SAVINGS!$A:$A,A161,SAVINGS!$E:$E)-SUMIF(WITHDRAWALS!$A:$A,A161,WITHDRAWALS!$E:$E)),"")</f>
        <v/>
      </c>
    </row>
    <row r="162" ht="20" customHeight="1">
      <c r="A162" s="21">
        <f>'NEW ACCOUNT'!A163</f>
        <v/>
      </c>
      <c r="B162" s="22">
        <f>IF('NEW ACCOUNT'!A163="","",'NEW ACCOUNT'!B163)</f>
        <v/>
      </c>
      <c r="C162" s="22">
        <f>IF('NEW ACCOUNT'!A163="","",'NEW ACCOUNT'!C163)</f>
        <v/>
      </c>
      <c r="D162" s="22">
        <f>IF('NEW ACCOUNT'!A163="","",'NEW ACCOUNT'!D163)</f>
        <v/>
      </c>
      <c r="E162" s="22">
        <f>IF('NEW ACCOUNT'!A163="","",'NEW ACCOUNT'!E163)</f>
        <v/>
      </c>
      <c r="F162" s="22">
        <f>IF('NEW ACCOUNT'!A163="","",'NEW ACCOUNT'!F163)</f>
        <v/>
      </c>
      <c r="G162" s="22">
        <f>IF('NEW ACCOUNT'!A163="","",'NEW ACCOUNT'!G163)</f>
        <v/>
      </c>
      <c r="H162" s="22">
        <f>IF('NEW ACCOUNT'!A163="","",'NEW ACCOUNT'!H163)</f>
        <v/>
      </c>
      <c r="I162" s="23">
        <f>IFERROR(IF(A162="","",SUMIF(SAVINGS!$A:$A,A162,SAVINGS!$E:$E)),"")</f>
        <v/>
      </c>
      <c r="J162" s="23">
        <f>IFERROR(IF(A162="","",SUMIF(SAVINGS!$A:$A,A162,SAVINGS!$E:$E)-SUMIF(WITHDRAWALS!$A:$A,A162,WITHDRAWALS!$E:$E)),"")</f>
        <v/>
      </c>
    </row>
    <row r="163" ht="20" customHeight="1">
      <c r="A163" s="18">
        <f>'NEW ACCOUNT'!A164</f>
        <v/>
      </c>
      <c r="B163" s="19">
        <f>IF('NEW ACCOUNT'!A164="","",'NEW ACCOUNT'!B164)</f>
        <v/>
      </c>
      <c r="C163" s="19">
        <f>IF('NEW ACCOUNT'!A164="","",'NEW ACCOUNT'!C164)</f>
        <v/>
      </c>
      <c r="D163" s="19">
        <f>IF('NEW ACCOUNT'!A164="","",'NEW ACCOUNT'!D164)</f>
        <v/>
      </c>
      <c r="E163" s="19">
        <f>IF('NEW ACCOUNT'!A164="","",'NEW ACCOUNT'!E164)</f>
        <v/>
      </c>
      <c r="F163" s="19">
        <f>IF('NEW ACCOUNT'!A164="","",'NEW ACCOUNT'!F164)</f>
        <v/>
      </c>
      <c r="G163" s="19">
        <f>IF('NEW ACCOUNT'!A164="","",'NEW ACCOUNT'!G164)</f>
        <v/>
      </c>
      <c r="H163" s="19">
        <f>IF('NEW ACCOUNT'!A164="","",'NEW ACCOUNT'!H164)</f>
        <v/>
      </c>
      <c r="I163" s="20">
        <f>IFERROR(IF(A163="","",SUMIF(SAVINGS!$A:$A,A163,SAVINGS!$E:$E)),"")</f>
        <v/>
      </c>
      <c r="J163" s="20">
        <f>IFERROR(IF(A163="","",SUMIF(SAVINGS!$A:$A,A163,SAVINGS!$E:$E)-SUMIF(WITHDRAWALS!$A:$A,A163,WITHDRAWALS!$E:$E)),"")</f>
        <v/>
      </c>
    </row>
    <row r="164" ht="20" customHeight="1">
      <c r="A164" s="21">
        <f>'NEW ACCOUNT'!A165</f>
        <v/>
      </c>
      <c r="B164" s="22">
        <f>IF('NEW ACCOUNT'!A165="","",'NEW ACCOUNT'!B165)</f>
        <v/>
      </c>
      <c r="C164" s="22">
        <f>IF('NEW ACCOUNT'!A165="","",'NEW ACCOUNT'!C165)</f>
        <v/>
      </c>
      <c r="D164" s="22">
        <f>IF('NEW ACCOUNT'!A165="","",'NEW ACCOUNT'!D165)</f>
        <v/>
      </c>
      <c r="E164" s="22">
        <f>IF('NEW ACCOUNT'!A165="","",'NEW ACCOUNT'!E165)</f>
        <v/>
      </c>
      <c r="F164" s="22">
        <f>IF('NEW ACCOUNT'!A165="","",'NEW ACCOUNT'!F165)</f>
        <v/>
      </c>
      <c r="G164" s="22">
        <f>IF('NEW ACCOUNT'!A165="","",'NEW ACCOUNT'!G165)</f>
        <v/>
      </c>
      <c r="H164" s="22">
        <f>IF('NEW ACCOUNT'!A165="","",'NEW ACCOUNT'!H165)</f>
        <v/>
      </c>
      <c r="I164" s="23">
        <f>IFERROR(IF(A164="","",SUMIF(SAVINGS!$A:$A,A164,SAVINGS!$E:$E)),"")</f>
        <v/>
      </c>
      <c r="J164" s="23">
        <f>IFERROR(IF(A164="","",SUMIF(SAVINGS!$A:$A,A164,SAVINGS!$E:$E)-SUMIF(WITHDRAWALS!$A:$A,A164,WITHDRAWALS!$E:$E)),"")</f>
        <v/>
      </c>
    </row>
    <row r="165" ht="20" customHeight="1">
      <c r="A165" s="18">
        <f>'NEW ACCOUNT'!A166</f>
        <v/>
      </c>
      <c r="B165" s="19">
        <f>IF('NEW ACCOUNT'!A166="","",'NEW ACCOUNT'!B166)</f>
        <v/>
      </c>
      <c r="C165" s="19">
        <f>IF('NEW ACCOUNT'!A166="","",'NEW ACCOUNT'!C166)</f>
        <v/>
      </c>
      <c r="D165" s="19">
        <f>IF('NEW ACCOUNT'!A166="","",'NEW ACCOUNT'!D166)</f>
        <v/>
      </c>
      <c r="E165" s="19">
        <f>IF('NEW ACCOUNT'!A166="","",'NEW ACCOUNT'!E166)</f>
        <v/>
      </c>
      <c r="F165" s="19">
        <f>IF('NEW ACCOUNT'!A166="","",'NEW ACCOUNT'!F166)</f>
        <v/>
      </c>
      <c r="G165" s="19">
        <f>IF('NEW ACCOUNT'!A166="","",'NEW ACCOUNT'!G166)</f>
        <v/>
      </c>
      <c r="H165" s="19">
        <f>IF('NEW ACCOUNT'!A166="","",'NEW ACCOUNT'!H166)</f>
        <v/>
      </c>
      <c r="I165" s="20">
        <f>IFERROR(IF(A165="","",SUMIF(SAVINGS!$A:$A,A165,SAVINGS!$E:$E)),"")</f>
        <v/>
      </c>
      <c r="J165" s="20">
        <f>IFERROR(IF(A165="","",SUMIF(SAVINGS!$A:$A,A165,SAVINGS!$E:$E)-SUMIF(WITHDRAWALS!$A:$A,A165,WITHDRAWALS!$E:$E)),"")</f>
        <v/>
      </c>
    </row>
    <row r="166" ht="20" customHeight="1">
      <c r="A166" s="21">
        <f>'NEW ACCOUNT'!A167</f>
        <v/>
      </c>
      <c r="B166" s="22">
        <f>IF('NEW ACCOUNT'!A167="","",'NEW ACCOUNT'!B167)</f>
        <v/>
      </c>
      <c r="C166" s="22">
        <f>IF('NEW ACCOUNT'!A167="","",'NEW ACCOUNT'!C167)</f>
        <v/>
      </c>
      <c r="D166" s="22">
        <f>IF('NEW ACCOUNT'!A167="","",'NEW ACCOUNT'!D167)</f>
        <v/>
      </c>
      <c r="E166" s="22">
        <f>IF('NEW ACCOUNT'!A167="","",'NEW ACCOUNT'!E167)</f>
        <v/>
      </c>
      <c r="F166" s="22">
        <f>IF('NEW ACCOUNT'!A167="","",'NEW ACCOUNT'!F167)</f>
        <v/>
      </c>
      <c r="G166" s="22">
        <f>IF('NEW ACCOUNT'!A167="","",'NEW ACCOUNT'!G167)</f>
        <v/>
      </c>
      <c r="H166" s="22">
        <f>IF('NEW ACCOUNT'!A167="","",'NEW ACCOUNT'!H167)</f>
        <v/>
      </c>
      <c r="I166" s="23">
        <f>IFERROR(IF(A166="","",SUMIF(SAVINGS!$A:$A,A166,SAVINGS!$E:$E)),"")</f>
        <v/>
      </c>
      <c r="J166" s="23">
        <f>IFERROR(IF(A166="","",SUMIF(SAVINGS!$A:$A,A166,SAVINGS!$E:$E)-SUMIF(WITHDRAWALS!$A:$A,A166,WITHDRAWALS!$E:$E)),"")</f>
        <v/>
      </c>
    </row>
    <row r="167" ht="20" customHeight="1">
      <c r="A167" s="18">
        <f>'NEW ACCOUNT'!A168</f>
        <v/>
      </c>
      <c r="B167" s="19">
        <f>IF('NEW ACCOUNT'!A168="","",'NEW ACCOUNT'!B168)</f>
        <v/>
      </c>
      <c r="C167" s="19">
        <f>IF('NEW ACCOUNT'!A168="","",'NEW ACCOUNT'!C168)</f>
        <v/>
      </c>
      <c r="D167" s="19">
        <f>IF('NEW ACCOUNT'!A168="","",'NEW ACCOUNT'!D168)</f>
        <v/>
      </c>
      <c r="E167" s="19">
        <f>IF('NEW ACCOUNT'!A168="","",'NEW ACCOUNT'!E168)</f>
        <v/>
      </c>
      <c r="F167" s="19">
        <f>IF('NEW ACCOUNT'!A168="","",'NEW ACCOUNT'!F168)</f>
        <v/>
      </c>
      <c r="G167" s="19">
        <f>IF('NEW ACCOUNT'!A168="","",'NEW ACCOUNT'!G168)</f>
        <v/>
      </c>
      <c r="H167" s="19">
        <f>IF('NEW ACCOUNT'!A168="","",'NEW ACCOUNT'!H168)</f>
        <v/>
      </c>
      <c r="I167" s="20">
        <f>IFERROR(IF(A167="","",SUMIF(SAVINGS!$A:$A,A167,SAVINGS!$E:$E)),"")</f>
        <v/>
      </c>
      <c r="J167" s="20">
        <f>IFERROR(IF(A167="","",SUMIF(SAVINGS!$A:$A,A167,SAVINGS!$E:$E)-SUMIF(WITHDRAWALS!$A:$A,A167,WITHDRAWALS!$E:$E)),"")</f>
        <v/>
      </c>
    </row>
    <row r="168" ht="20" customHeight="1">
      <c r="A168" s="21">
        <f>'NEW ACCOUNT'!A169</f>
        <v/>
      </c>
      <c r="B168" s="22">
        <f>IF('NEW ACCOUNT'!A169="","",'NEW ACCOUNT'!B169)</f>
        <v/>
      </c>
      <c r="C168" s="22">
        <f>IF('NEW ACCOUNT'!A169="","",'NEW ACCOUNT'!C169)</f>
        <v/>
      </c>
      <c r="D168" s="22">
        <f>IF('NEW ACCOUNT'!A169="","",'NEW ACCOUNT'!D169)</f>
        <v/>
      </c>
      <c r="E168" s="22">
        <f>IF('NEW ACCOUNT'!A169="","",'NEW ACCOUNT'!E169)</f>
        <v/>
      </c>
      <c r="F168" s="22">
        <f>IF('NEW ACCOUNT'!A169="","",'NEW ACCOUNT'!F169)</f>
        <v/>
      </c>
      <c r="G168" s="22">
        <f>IF('NEW ACCOUNT'!A169="","",'NEW ACCOUNT'!G169)</f>
        <v/>
      </c>
      <c r="H168" s="22">
        <f>IF('NEW ACCOUNT'!A169="","",'NEW ACCOUNT'!H169)</f>
        <v/>
      </c>
      <c r="I168" s="23">
        <f>IFERROR(IF(A168="","",SUMIF(SAVINGS!$A:$A,A168,SAVINGS!$E:$E)),"")</f>
        <v/>
      </c>
      <c r="J168" s="23">
        <f>IFERROR(IF(A168="","",SUMIF(SAVINGS!$A:$A,A168,SAVINGS!$E:$E)-SUMIF(WITHDRAWALS!$A:$A,A168,WITHDRAWALS!$E:$E)),"")</f>
        <v/>
      </c>
    </row>
    <row r="169" ht="20" customHeight="1">
      <c r="A169" s="18">
        <f>'NEW ACCOUNT'!A170</f>
        <v/>
      </c>
      <c r="B169" s="19">
        <f>IF('NEW ACCOUNT'!A170="","",'NEW ACCOUNT'!B170)</f>
        <v/>
      </c>
      <c r="C169" s="19">
        <f>IF('NEW ACCOUNT'!A170="","",'NEW ACCOUNT'!C170)</f>
        <v/>
      </c>
      <c r="D169" s="19">
        <f>IF('NEW ACCOUNT'!A170="","",'NEW ACCOUNT'!D170)</f>
        <v/>
      </c>
      <c r="E169" s="19">
        <f>IF('NEW ACCOUNT'!A170="","",'NEW ACCOUNT'!E170)</f>
        <v/>
      </c>
      <c r="F169" s="19">
        <f>IF('NEW ACCOUNT'!A170="","",'NEW ACCOUNT'!F170)</f>
        <v/>
      </c>
      <c r="G169" s="19">
        <f>IF('NEW ACCOUNT'!A170="","",'NEW ACCOUNT'!G170)</f>
        <v/>
      </c>
      <c r="H169" s="19">
        <f>IF('NEW ACCOUNT'!A170="","",'NEW ACCOUNT'!H170)</f>
        <v/>
      </c>
      <c r="I169" s="20">
        <f>IFERROR(IF(A169="","",SUMIF(SAVINGS!$A:$A,A169,SAVINGS!$E:$E)),"")</f>
        <v/>
      </c>
      <c r="J169" s="20">
        <f>IFERROR(IF(A169="","",SUMIF(SAVINGS!$A:$A,A169,SAVINGS!$E:$E)-SUMIF(WITHDRAWALS!$A:$A,A169,WITHDRAWALS!$E:$E)),"")</f>
        <v/>
      </c>
    </row>
    <row r="170" ht="20" customHeight="1">
      <c r="A170" s="21">
        <f>'NEW ACCOUNT'!A171</f>
        <v/>
      </c>
      <c r="B170" s="22">
        <f>IF('NEW ACCOUNT'!A171="","",'NEW ACCOUNT'!B171)</f>
        <v/>
      </c>
      <c r="C170" s="22">
        <f>IF('NEW ACCOUNT'!A171="","",'NEW ACCOUNT'!C171)</f>
        <v/>
      </c>
      <c r="D170" s="22">
        <f>IF('NEW ACCOUNT'!A171="","",'NEW ACCOUNT'!D171)</f>
        <v/>
      </c>
      <c r="E170" s="22">
        <f>IF('NEW ACCOUNT'!A171="","",'NEW ACCOUNT'!E171)</f>
        <v/>
      </c>
      <c r="F170" s="22">
        <f>IF('NEW ACCOUNT'!A171="","",'NEW ACCOUNT'!F171)</f>
        <v/>
      </c>
      <c r="G170" s="22">
        <f>IF('NEW ACCOUNT'!A171="","",'NEW ACCOUNT'!G171)</f>
        <v/>
      </c>
      <c r="H170" s="22">
        <f>IF('NEW ACCOUNT'!A171="","",'NEW ACCOUNT'!H171)</f>
        <v/>
      </c>
      <c r="I170" s="23">
        <f>IFERROR(IF(A170="","",SUMIF(SAVINGS!$A:$A,A170,SAVINGS!$E:$E)),"")</f>
        <v/>
      </c>
      <c r="J170" s="23">
        <f>IFERROR(IF(A170="","",SUMIF(SAVINGS!$A:$A,A170,SAVINGS!$E:$E)-SUMIF(WITHDRAWALS!$A:$A,A170,WITHDRAWALS!$E:$E)),"")</f>
        <v/>
      </c>
    </row>
    <row r="171" ht="20" customHeight="1">
      <c r="A171" s="18">
        <f>'NEW ACCOUNT'!A172</f>
        <v/>
      </c>
      <c r="B171" s="19">
        <f>IF('NEW ACCOUNT'!A172="","",'NEW ACCOUNT'!B172)</f>
        <v/>
      </c>
      <c r="C171" s="19">
        <f>IF('NEW ACCOUNT'!A172="","",'NEW ACCOUNT'!C172)</f>
        <v/>
      </c>
      <c r="D171" s="19">
        <f>IF('NEW ACCOUNT'!A172="","",'NEW ACCOUNT'!D172)</f>
        <v/>
      </c>
      <c r="E171" s="19">
        <f>IF('NEW ACCOUNT'!A172="","",'NEW ACCOUNT'!E172)</f>
        <v/>
      </c>
      <c r="F171" s="19">
        <f>IF('NEW ACCOUNT'!A172="","",'NEW ACCOUNT'!F172)</f>
        <v/>
      </c>
      <c r="G171" s="19">
        <f>IF('NEW ACCOUNT'!A172="","",'NEW ACCOUNT'!G172)</f>
        <v/>
      </c>
      <c r="H171" s="19">
        <f>IF('NEW ACCOUNT'!A172="","",'NEW ACCOUNT'!H172)</f>
        <v/>
      </c>
      <c r="I171" s="20">
        <f>IFERROR(IF(A171="","",SUMIF(SAVINGS!$A:$A,A171,SAVINGS!$E:$E)),"")</f>
        <v/>
      </c>
      <c r="J171" s="20">
        <f>IFERROR(IF(A171="","",SUMIF(SAVINGS!$A:$A,A171,SAVINGS!$E:$E)-SUMIF(WITHDRAWALS!$A:$A,A171,WITHDRAWALS!$E:$E)),"")</f>
        <v/>
      </c>
    </row>
    <row r="172" ht="20" customHeight="1">
      <c r="A172" s="21">
        <f>'NEW ACCOUNT'!A173</f>
        <v/>
      </c>
      <c r="B172" s="22">
        <f>IF('NEW ACCOUNT'!A173="","",'NEW ACCOUNT'!B173)</f>
        <v/>
      </c>
      <c r="C172" s="22">
        <f>IF('NEW ACCOUNT'!A173="","",'NEW ACCOUNT'!C173)</f>
        <v/>
      </c>
      <c r="D172" s="22">
        <f>IF('NEW ACCOUNT'!A173="","",'NEW ACCOUNT'!D173)</f>
        <v/>
      </c>
      <c r="E172" s="22">
        <f>IF('NEW ACCOUNT'!A173="","",'NEW ACCOUNT'!E173)</f>
        <v/>
      </c>
      <c r="F172" s="22">
        <f>IF('NEW ACCOUNT'!A173="","",'NEW ACCOUNT'!F173)</f>
        <v/>
      </c>
      <c r="G172" s="22">
        <f>IF('NEW ACCOUNT'!A173="","",'NEW ACCOUNT'!G173)</f>
        <v/>
      </c>
      <c r="H172" s="22">
        <f>IF('NEW ACCOUNT'!A173="","",'NEW ACCOUNT'!H173)</f>
        <v/>
      </c>
      <c r="I172" s="23">
        <f>IFERROR(IF(A172="","",SUMIF(SAVINGS!$A:$A,A172,SAVINGS!$E:$E)),"")</f>
        <v/>
      </c>
      <c r="J172" s="23">
        <f>IFERROR(IF(A172="","",SUMIF(SAVINGS!$A:$A,A172,SAVINGS!$E:$E)-SUMIF(WITHDRAWALS!$A:$A,A172,WITHDRAWALS!$E:$E)),"")</f>
        <v/>
      </c>
    </row>
    <row r="173" ht="20" customHeight="1">
      <c r="A173" s="18">
        <f>'NEW ACCOUNT'!A174</f>
        <v/>
      </c>
      <c r="B173" s="19">
        <f>IF('NEW ACCOUNT'!A174="","",'NEW ACCOUNT'!B174)</f>
        <v/>
      </c>
      <c r="C173" s="19">
        <f>IF('NEW ACCOUNT'!A174="","",'NEW ACCOUNT'!C174)</f>
        <v/>
      </c>
      <c r="D173" s="19">
        <f>IF('NEW ACCOUNT'!A174="","",'NEW ACCOUNT'!D174)</f>
        <v/>
      </c>
      <c r="E173" s="19">
        <f>IF('NEW ACCOUNT'!A174="","",'NEW ACCOUNT'!E174)</f>
        <v/>
      </c>
      <c r="F173" s="19">
        <f>IF('NEW ACCOUNT'!A174="","",'NEW ACCOUNT'!F174)</f>
        <v/>
      </c>
      <c r="G173" s="19">
        <f>IF('NEW ACCOUNT'!A174="","",'NEW ACCOUNT'!G174)</f>
        <v/>
      </c>
      <c r="H173" s="19">
        <f>IF('NEW ACCOUNT'!A174="","",'NEW ACCOUNT'!H174)</f>
        <v/>
      </c>
      <c r="I173" s="20">
        <f>IFERROR(IF(A173="","",SUMIF(SAVINGS!$A:$A,A173,SAVINGS!$E:$E)),"")</f>
        <v/>
      </c>
      <c r="J173" s="20">
        <f>IFERROR(IF(A173="","",SUMIF(SAVINGS!$A:$A,A173,SAVINGS!$E:$E)-SUMIF(WITHDRAWALS!$A:$A,A173,WITHDRAWALS!$E:$E)),"")</f>
        <v/>
      </c>
    </row>
    <row r="174" ht="20" customHeight="1">
      <c r="A174" s="21">
        <f>'NEW ACCOUNT'!A175</f>
        <v/>
      </c>
      <c r="B174" s="22">
        <f>IF('NEW ACCOUNT'!A175="","",'NEW ACCOUNT'!B175)</f>
        <v/>
      </c>
      <c r="C174" s="22">
        <f>IF('NEW ACCOUNT'!A175="","",'NEW ACCOUNT'!C175)</f>
        <v/>
      </c>
      <c r="D174" s="22">
        <f>IF('NEW ACCOUNT'!A175="","",'NEW ACCOUNT'!D175)</f>
        <v/>
      </c>
      <c r="E174" s="22">
        <f>IF('NEW ACCOUNT'!A175="","",'NEW ACCOUNT'!E175)</f>
        <v/>
      </c>
      <c r="F174" s="22">
        <f>IF('NEW ACCOUNT'!A175="","",'NEW ACCOUNT'!F175)</f>
        <v/>
      </c>
      <c r="G174" s="22">
        <f>IF('NEW ACCOUNT'!A175="","",'NEW ACCOUNT'!G175)</f>
        <v/>
      </c>
      <c r="H174" s="22">
        <f>IF('NEW ACCOUNT'!A175="","",'NEW ACCOUNT'!H175)</f>
        <v/>
      </c>
      <c r="I174" s="23">
        <f>IFERROR(IF(A174="","",SUMIF(SAVINGS!$A:$A,A174,SAVINGS!$E:$E)),"")</f>
        <v/>
      </c>
      <c r="J174" s="23">
        <f>IFERROR(IF(A174="","",SUMIF(SAVINGS!$A:$A,A174,SAVINGS!$E:$E)-SUMIF(WITHDRAWALS!$A:$A,A174,WITHDRAWALS!$E:$E)),"")</f>
        <v/>
      </c>
    </row>
    <row r="175" ht="20" customHeight="1">
      <c r="A175" s="18">
        <f>'NEW ACCOUNT'!A176</f>
        <v/>
      </c>
      <c r="B175" s="19">
        <f>IF('NEW ACCOUNT'!A176="","",'NEW ACCOUNT'!B176)</f>
        <v/>
      </c>
      <c r="C175" s="19">
        <f>IF('NEW ACCOUNT'!A176="","",'NEW ACCOUNT'!C176)</f>
        <v/>
      </c>
      <c r="D175" s="19">
        <f>IF('NEW ACCOUNT'!A176="","",'NEW ACCOUNT'!D176)</f>
        <v/>
      </c>
      <c r="E175" s="19">
        <f>IF('NEW ACCOUNT'!A176="","",'NEW ACCOUNT'!E176)</f>
        <v/>
      </c>
      <c r="F175" s="19">
        <f>IF('NEW ACCOUNT'!A176="","",'NEW ACCOUNT'!F176)</f>
        <v/>
      </c>
      <c r="G175" s="19">
        <f>IF('NEW ACCOUNT'!A176="","",'NEW ACCOUNT'!G176)</f>
        <v/>
      </c>
      <c r="H175" s="19">
        <f>IF('NEW ACCOUNT'!A176="","",'NEW ACCOUNT'!H176)</f>
        <v/>
      </c>
      <c r="I175" s="20">
        <f>IFERROR(IF(A175="","",SUMIF(SAVINGS!$A:$A,A175,SAVINGS!$E:$E)),"")</f>
        <v/>
      </c>
      <c r="J175" s="20">
        <f>IFERROR(IF(A175="","",SUMIF(SAVINGS!$A:$A,A175,SAVINGS!$E:$E)-SUMIF(WITHDRAWALS!$A:$A,A175,WITHDRAWALS!$E:$E)),"")</f>
        <v/>
      </c>
    </row>
    <row r="176" ht="20" customHeight="1">
      <c r="A176" s="21">
        <f>'NEW ACCOUNT'!A177</f>
        <v/>
      </c>
      <c r="B176" s="22">
        <f>IF('NEW ACCOUNT'!A177="","",'NEW ACCOUNT'!B177)</f>
        <v/>
      </c>
      <c r="C176" s="22">
        <f>IF('NEW ACCOUNT'!A177="","",'NEW ACCOUNT'!C177)</f>
        <v/>
      </c>
      <c r="D176" s="22">
        <f>IF('NEW ACCOUNT'!A177="","",'NEW ACCOUNT'!D177)</f>
        <v/>
      </c>
      <c r="E176" s="22">
        <f>IF('NEW ACCOUNT'!A177="","",'NEW ACCOUNT'!E177)</f>
        <v/>
      </c>
      <c r="F176" s="22">
        <f>IF('NEW ACCOUNT'!A177="","",'NEW ACCOUNT'!F177)</f>
        <v/>
      </c>
      <c r="G176" s="22">
        <f>IF('NEW ACCOUNT'!A177="","",'NEW ACCOUNT'!G177)</f>
        <v/>
      </c>
      <c r="H176" s="22">
        <f>IF('NEW ACCOUNT'!A177="","",'NEW ACCOUNT'!H177)</f>
        <v/>
      </c>
      <c r="I176" s="23">
        <f>IFERROR(IF(A176="","",SUMIF(SAVINGS!$A:$A,A176,SAVINGS!$E:$E)),"")</f>
        <v/>
      </c>
      <c r="J176" s="23">
        <f>IFERROR(IF(A176="","",SUMIF(SAVINGS!$A:$A,A176,SAVINGS!$E:$E)-SUMIF(WITHDRAWALS!$A:$A,A176,WITHDRAWALS!$E:$E)),"")</f>
        <v/>
      </c>
    </row>
    <row r="177" ht="20" customHeight="1">
      <c r="A177" s="18">
        <f>'NEW ACCOUNT'!A178</f>
        <v/>
      </c>
      <c r="B177" s="19">
        <f>IF('NEW ACCOUNT'!A178="","",'NEW ACCOUNT'!B178)</f>
        <v/>
      </c>
      <c r="C177" s="19">
        <f>IF('NEW ACCOUNT'!A178="","",'NEW ACCOUNT'!C178)</f>
        <v/>
      </c>
      <c r="D177" s="19">
        <f>IF('NEW ACCOUNT'!A178="","",'NEW ACCOUNT'!D178)</f>
        <v/>
      </c>
      <c r="E177" s="19">
        <f>IF('NEW ACCOUNT'!A178="","",'NEW ACCOUNT'!E178)</f>
        <v/>
      </c>
      <c r="F177" s="19">
        <f>IF('NEW ACCOUNT'!A178="","",'NEW ACCOUNT'!F178)</f>
        <v/>
      </c>
      <c r="G177" s="19">
        <f>IF('NEW ACCOUNT'!A178="","",'NEW ACCOUNT'!G178)</f>
        <v/>
      </c>
      <c r="H177" s="19">
        <f>IF('NEW ACCOUNT'!A178="","",'NEW ACCOUNT'!H178)</f>
        <v/>
      </c>
      <c r="I177" s="20">
        <f>IFERROR(IF(A177="","",SUMIF(SAVINGS!$A:$A,A177,SAVINGS!$E:$E)),"")</f>
        <v/>
      </c>
      <c r="J177" s="20">
        <f>IFERROR(IF(A177="","",SUMIF(SAVINGS!$A:$A,A177,SAVINGS!$E:$E)-SUMIF(WITHDRAWALS!$A:$A,A177,WITHDRAWALS!$E:$E)),"")</f>
        <v/>
      </c>
    </row>
    <row r="178" ht="20" customHeight="1">
      <c r="A178" s="21">
        <f>'NEW ACCOUNT'!A179</f>
        <v/>
      </c>
      <c r="B178" s="22">
        <f>IF('NEW ACCOUNT'!A179="","",'NEW ACCOUNT'!B179)</f>
        <v/>
      </c>
      <c r="C178" s="22">
        <f>IF('NEW ACCOUNT'!A179="","",'NEW ACCOUNT'!C179)</f>
        <v/>
      </c>
      <c r="D178" s="22">
        <f>IF('NEW ACCOUNT'!A179="","",'NEW ACCOUNT'!D179)</f>
        <v/>
      </c>
      <c r="E178" s="22">
        <f>IF('NEW ACCOUNT'!A179="","",'NEW ACCOUNT'!E179)</f>
        <v/>
      </c>
      <c r="F178" s="22">
        <f>IF('NEW ACCOUNT'!A179="","",'NEW ACCOUNT'!F179)</f>
        <v/>
      </c>
      <c r="G178" s="22">
        <f>IF('NEW ACCOUNT'!A179="","",'NEW ACCOUNT'!G179)</f>
        <v/>
      </c>
      <c r="H178" s="22">
        <f>IF('NEW ACCOUNT'!A179="","",'NEW ACCOUNT'!H179)</f>
        <v/>
      </c>
      <c r="I178" s="23">
        <f>IFERROR(IF(A178="","",SUMIF(SAVINGS!$A:$A,A178,SAVINGS!$E:$E)),"")</f>
        <v/>
      </c>
      <c r="J178" s="23">
        <f>IFERROR(IF(A178="","",SUMIF(SAVINGS!$A:$A,A178,SAVINGS!$E:$E)-SUMIF(WITHDRAWALS!$A:$A,A178,WITHDRAWALS!$E:$E)),"")</f>
        <v/>
      </c>
    </row>
    <row r="179" ht="20" customHeight="1">
      <c r="A179" s="18">
        <f>'NEW ACCOUNT'!A180</f>
        <v/>
      </c>
      <c r="B179" s="19">
        <f>IF('NEW ACCOUNT'!A180="","",'NEW ACCOUNT'!B180)</f>
        <v/>
      </c>
      <c r="C179" s="19">
        <f>IF('NEW ACCOUNT'!A180="","",'NEW ACCOUNT'!C180)</f>
        <v/>
      </c>
      <c r="D179" s="19">
        <f>IF('NEW ACCOUNT'!A180="","",'NEW ACCOUNT'!D180)</f>
        <v/>
      </c>
      <c r="E179" s="19">
        <f>IF('NEW ACCOUNT'!A180="","",'NEW ACCOUNT'!E180)</f>
        <v/>
      </c>
      <c r="F179" s="19">
        <f>IF('NEW ACCOUNT'!A180="","",'NEW ACCOUNT'!F180)</f>
        <v/>
      </c>
      <c r="G179" s="19">
        <f>IF('NEW ACCOUNT'!A180="","",'NEW ACCOUNT'!G180)</f>
        <v/>
      </c>
      <c r="H179" s="19">
        <f>IF('NEW ACCOUNT'!A180="","",'NEW ACCOUNT'!H180)</f>
        <v/>
      </c>
      <c r="I179" s="20">
        <f>IFERROR(IF(A179="","",SUMIF(SAVINGS!$A:$A,A179,SAVINGS!$E:$E)),"")</f>
        <v/>
      </c>
      <c r="J179" s="20">
        <f>IFERROR(IF(A179="","",SUMIF(SAVINGS!$A:$A,A179,SAVINGS!$E:$E)-SUMIF(WITHDRAWALS!$A:$A,A179,WITHDRAWALS!$E:$E)),"")</f>
        <v/>
      </c>
    </row>
    <row r="180" ht="20" customHeight="1">
      <c r="A180" s="21">
        <f>'NEW ACCOUNT'!A181</f>
        <v/>
      </c>
      <c r="B180" s="22">
        <f>IF('NEW ACCOUNT'!A181="","",'NEW ACCOUNT'!B181)</f>
        <v/>
      </c>
      <c r="C180" s="22">
        <f>IF('NEW ACCOUNT'!A181="","",'NEW ACCOUNT'!C181)</f>
        <v/>
      </c>
      <c r="D180" s="22">
        <f>IF('NEW ACCOUNT'!A181="","",'NEW ACCOUNT'!D181)</f>
        <v/>
      </c>
      <c r="E180" s="22">
        <f>IF('NEW ACCOUNT'!A181="","",'NEW ACCOUNT'!E181)</f>
        <v/>
      </c>
      <c r="F180" s="22">
        <f>IF('NEW ACCOUNT'!A181="","",'NEW ACCOUNT'!F181)</f>
        <v/>
      </c>
      <c r="G180" s="22">
        <f>IF('NEW ACCOUNT'!A181="","",'NEW ACCOUNT'!G181)</f>
        <v/>
      </c>
      <c r="H180" s="22">
        <f>IF('NEW ACCOUNT'!A181="","",'NEW ACCOUNT'!H181)</f>
        <v/>
      </c>
      <c r="I180" s="23">
        <f>IFERROR(IF(A180="","",SUMIF(SAVINGS!$A:$A,A180,SAVINGS!$E:$E)),"")</f>
        <v/>
      </c>
      <c r="J180" s="23">
        <f>IFERROR(IF(A180="","",SUMIF(SAVINGS!$A:$A,A180,SAVINGS!$E:$E)-SUMIF(WITHDRAWALS!$A:$A,A180,WITHDRAWALS!$E:$E)),"")</f>
        <v/>
      </c>
    </row>
    <row r="181" ht="20" customHeight="1">
      <c r="A181" s="18">
        <f>'NEW ACCOUNT'!A182</f>
        <v/>
      </c>
      <c r="B181" s="19">
        <f>IF('NEW ACCOUNT'!A182="","",'NEW ACCOUNT'!B182)</f>
        <v/>
      </c>
      <c r="C181" s="19">
        <f>IF('NEW ACCOUNT'!A182="","",'NEW ACCOUNT'!C182)</f>
        <v/>
      </c>
      <c r="D181" s="19">
        <f>IF('NEW ACCOUNT'!A182="","",'NEW ACCOUNT'!D182)</f>
        <v/>
      </c>
      <c r="E181" s="19">
        <f>IF('NEW ACCOUNT'!A182="","",'NEW ACCOUNT'!E182)</f>
        <v/>
      </c>
      <c r="F181" s="19">
        <f>IF('NEW ACCOUNT'!A182="","",'NEW ACCOUNT'!F182)</f>
        <v/>
      </c>
      <c r="G181" s="19">
        <f>IF('NEW ACCOUNT'!A182="","",'NEW ACCOUNT'!G182)</f>
        <v/>
      </c>
      <c r="H181" s="19">
        <f>IF('NEW ACCOUNT'!A182="","",'NEW ACCOUNT'!H182)</f>
        <v/>
      </c>
      <c r="I181" s="20">
        <f>IFERROR(IF(A181="","",SUMIF(SAVINGS!$A:$A,A181,SAVINGS!$E:$E)),"")</f>
        <v/>
      </c>
      <c r="J181" s="20">
        <f>IFERROR(IF(A181="","",SUMIF(SAVINGS!$A:$A,A181,SAVINGS!$E:$E)-SUMIF(WITHDRAWALS!$A:$A,A181,WITHDRAWALS!$E:$E)),"")</f>
        <v/>
      </c>
    </row>
    <row r="182" ht="20" customHeight="1">
      <c r="A182" s="21">
        <f>'NEW ACCOUNT'!A183</f>
        <v/>
      </c>
      <c r="B182" s="22">
        <f>IF('NEW ACCOUNT'!A183="","",'NEW ACCOUNT'!B183)</f>
        <v/>
      </c>
      <c r="C182" s="22">
        <f>IF('NEW ACCOUNT'!A183="","",'NEW ACCOUNT'!C183)</f>
        <v/>
      </c>
      <c r="D182" s="22">
        <f>IF('NEW ACCOUNT'!A183="","",'NEW ACCOUNT'!D183)</f>
        <v/>
      </c>
      <c r="E182" s="22">
        <f>IF('NEW ACCOUNT'!A183="","",'NEW ACCOUNT'!E183)</f>
        <v/>
      </c>
      <c r="F182" s="22">
        <f>IF('NEW ACCOUNT'!A183="","",'NEW ACCOUNT'!F183)</f>
        <v/>
      </c>
      <c r="G182" s="22">
        <f>IF('NEW ACCOUNT'!A183="","",'NEW ACCOUNT'!G183)</f>
        <v/>
      </c>
      <c r="H182" s="22">
        <f>IF('NEW ACCOUNT'!A183="","",'NEW ACCOUNT'!H183)</f>
        <v/>
      </c>
      <c r="I182" s="23">
        <f>IFERROR(IF(A182="","",SUMIF(SAVINGS!$A:$A,A182,SAVINGS!$E:$E)),"")</f>
        <v/>
      </c>
      <c r="J182" s="23">
        <f>IFERROR(IF(A182="","",SUMIF(SAVINGS!$A:$A,A182,SAVINGS!$E:$E)-SUMIF(WITHDRAWALS!$A:$A,A182,WITHDRAWALS!$E:$E)),"")</f>
        <v/>
      </c>
    </row>
    <row r="183" ht="20" customHeight="1">
      <c r="A183" s="18">
        <f>'NEW ACCOUNT'!A184</f>
        <v/>
      </c>
      <c r="B183" s="19">
        <f>IF('NEW ACCOUNT'!A184="","",'NEW ACCOUNT'!B184)</f>
        <v/>
      </c>
      <c r="C183" s="19">
        <f>IF('NEW ACCOUNT'!A184="","",'NEW ACCOUNT'!C184)</f>
        <v/>
      </c>
      <c r="D183" s="19">
        <f>IF('NEW ACCOUNT'!A184="","",'NEW ACCOUNT'!D184)</f>
        <v/>
      </c>
      <c r="E183" s="19">
        <f>IF('NEW ACCOUNT'!A184="","",'NEW ACCOUNT'!E184)</f>
        <v/>
      </c>
      <c r="F183" s="19">
        <f>IF('NEW ACCOUNT'!A184="","",'NEW ACCOUNT'!F184)</f>
        <v/>
      </c>
      <c r="G183" s="19">
        <f>IF('NEW ACCOUNT'!A184="","",'NEW ACCOUNT'!G184)</f>
        <v/>
      </c>
      <c r="H183" s="19">
        <f>IF('NEW ACCOUNT'!A184="","",'NEW ACCOUNT'!H184)</f>
        <v/>
      </c>
      <c r="I183" s="20">
        <f>IFERROR(IF(A183="","",SUMIF(SAVINGS!$A:$A,A183,SAVINGS!$E:$E)),"")</f>
        <v/>
      </c>
      <c r="J183" s="20">
        <f>IFERROR(IF(A183="","",SUMIF(SAVINGS!$A:$A,A183,SAVINGS!$E:$E)-SUMIF(WITHDRAWALS!$A:$A,A183,WITHDRAWALS!$E:$E)),"")</f>
        <v/>
      </c>
    </row>
    <row r="184" ht="20" customHeight="1">
      <c r="A184" s="21">
        <f>'NEW ACCOUNT'!A185</f>
        <v/>
      </c>
      <c r="B184" s="22">
        <f>IF('NEW ACCOUNT'!A185="","",'NEW ACCOUNT'!B185)</f>
        <v/>
      </c>
      <c r="C184" s="22">
        <f>IF('NEW ACCOUNT'!A185="","",'NEW ACCOUNT'!C185)</f>
        <v/>
      </c>
      <c r="D184" s="22">
        <f>IF('NEW ACCOUNT'!A185="","",'NEW ACCOUNT'!D185)</f>
        <v/>
      </c>
      <c r="E184" s="22">
        <f>IF('NEW ACCOUNT'!A185="","",'NEW ACCOUNT'!E185)</f>
        <v/>
      </c>
      <c r="F184" s="22">
        <f>IF('NEW ACCOUNT'!A185="","",'NEW ACCOUNT'!F185)</f>
        <v/>
      </c>
      <c r="G184" s="22">
        <f>IF('NEW ACCOUNT'!A185="","",'NEW ACCOUNT'!G185)</f>
        <v/>
      </c>
      <c r="H184" s="22">
        <f>IF('NEW ACCOUNT'!A185="","",'NEW ACCOUNT'!H185)</f>
        <v/>
      </c>
      <c r="I184" s="23">
        <f>IFERROR(IF(A184="","",SUMIF(SAVINGS!$A:$A,A184,SAVINGS!$E:$E)),"")</f>
        <v/>
      </c>
      <c r="J184" s="23">
        <f>IFERROR(IF(A184="","",SUMIF(SAVINGS!$A:$A,A184,SAVINGS!$E:$E)-SUMIF(WITHDRAWALS!$A:$A,A184,WITHDRAWALS!$E:$E)),"")</f>
        <v/>
      </c>
    </row>
    <row r="185" ht="20" customHeight="1">
      <c r="A185" s="18">
        <f>'NEW ACCOUNT'!A186</f>
        <v/>
      </c>
      <c r="B185" s="19">
        <f>IF('NEW ACCOUNT'!A186="","",'NEW ACCOUNT'!B186)</f>
        <v/>
      </c>
      <c r="C185" s="19">
        <f>IF('NEW ACCOUNT'!A186="","",'NEW ACCOUNT'!C186)</f>
        <v/>
      </c>
      <c r="D185" s="19">
        <f>IF('NEW ACCOUNT'!A186="","",'NEW ACCOUNT'!D186)</f>
        <v/>
      </c>
      <c r="E185" s="19">
        <f>IF('NEW ACCOUNT'!A186="","",'NEW ACCOUNT'!E186)</f>
        <v/>
      </c>
      <c r="F185" s="19">
        <f>IF('NEW ACCOUNT'!A186="","",'NEW ACCOUNT'!F186)</f>
        <v/>
      </c>
      <c r="G185" s="19">
        <f>IF('NEW ACCOUNT'!A186="","",'NEW ACCOUNT'!G186)</f>
        <v/>
      </c>
      <c r="H185" s="19">
        <f>IF('NEW ACCOUNT'!A186="","",'NEW ACCOUNT'!H186)</f>
        <v/>
      </c>
      <c r="I185" s="20">
        <f>IFERROR(IF(A185="","",SUMIF(SAVINGS!$A:$A,A185,SAVINGS!$E:$E)),"")</f>
        <v/>
      </c>
      <c r="J185" s="20">
        <f>IFERROR(IF(A185="","",SUMIF(SAVINGS!$A:$A,A185,SAVINGS!$E:$E)-SUMIF(WITHDRAWALS!$A:$A,A185,WITHDRAWALS!$E:$E)),"")</f>
        <v/>
      </c>
    </row>
    <row r="186" ht="20" customHeight="1">
      <c r="A186" s="21">
        <f>'NEW ACCOUNT'!A187</f>
        <v/>
      </c>
      <c r="B186" s="22">
        <f>IF('NEW ACCOUNT'!A187="","",'NEW ACCOUNT'!B187)</f>
        <v/>
      </c>
      <c r="C186" s="22">
        <f>IF('NEW ACCOUNT'!A187="","",'NEW ACCOUNT'!C187)</f>
        <v/>
      </c>
      <c r="D186" s="22">
        <f>IF('NEW ACCOUNT'!A187="","",'NEW ACCOUNT'!D187)</f>
        <v/>
      </c>
      <c r="E186" s="22">
        <f>IF('NEW ACCOUNT'!A187="","",'NEW ACCOUNT'!E187)</f>
        <v/>
      </c>
      <c r="F186" s="22">
        <f>IF('NEW ACCOUNT'!A187="","",'NEW ACCOUNT'!F187)</f>
        <v/>
      </c>
      <c r="G186" s="22">
        <f>IF('NEW ACCOUNT'!A187="","",'NEW ACCOUNT'!G187)</f>
        <v/>
      </c>
      <c r="H186" s="22">
        <f>IF('NEW ACCOUNT'!A187="","",'NEW ACCOUNT'!H187)</f>
        <v/>
      </c>
      <c r="I186" s="23">
        <f>IFERROR(IF(A186="","",SUMIF(SAVINGS!$A:$A,A186,SAVINGS!$E:$E)),"")</f>
        <v/>
      </c>
      <c r="J186" s="23">
        <f>IFERROR(IF(A186="","",SUMIF(SAVINGS!$A:$A,A186,SAVINGS!$E:$E)-SUMIF(WITHDRAWALS!$A:$A,A186,WITHDRAWALS!$E:$E)),"")</f>
        <v/>
      </c>
    </row>
    <row r="187" ht="20" customHeight="1">
      <c r="A187" s="18">
        <f>'NEW ACCOUNT'!A188</f>
        <v/>
      </c>
      <c r="B187" s="19">
        <f>IF('NEW ACCOUNT'!A188="","",'NEW ACCOUNT'!B188)</f>
        <v/>
      </c>
      <c r="C187" s="19">
        <f>IF('NEW ACCOUNT'!A188="","",'NEW ACCOUNT'!C188)</f>
        <v/>
      </c>
      <c r="D187" s="19">
        <f>IF('NEW ACCOUNT'!A188="","",'NEW ACCOUNT'!D188)</f>
        <v/>
      </c>
      <c r="E187" s="19">
        <f>IF('NEW ACCOUNT'!A188="","",'NEW ACCOUNT'!E188)</f>
        <v/>
      </c>
      <c r="F187" s="19">
        <f>IF('NEW ACCOUNT'!A188="","",'NEW ACCOUNT'!F188)</f>
        <v/>
      </c>
      <c r="G187" s="19">
        <f>IF('NEW ACCOUNT'!A188="","",'NEW ACCOUNT'!G188)</f>
        <v/>
      </c>
      <c r="H187" s="19">
        <f>IF('NEW ACCOUNT'!A188="","",'NEW ACCOUNT'!H188)</f>
        <v/>
      </c>
      <c r="I187" s="20">
        <f>IFERROR(IF(A187="","",SUMIF(SAVINGS!$A:$A,A187,SAVINGS!$E:$E)),"")</f>
        <v/>
      </c>
      <c r="J187" s="20">
        <f>IFERROR(IF(A187="","",SUMIF(SAVINGS!$A:$A,A187,SAVINGS!$E:$E)-SUMIF(WITHDRAWALS!$A:$A,A187,WITHDRAWALS!$E:$E)),"")</f>
        <v/>
      </c>
    </row>
    <row r="188" ht="20" customHeight="1">
      <c r="A188" s="21">
        <f>'NEW ACCOUNT'!A189</f>
        <v/>
      </c>
      <c r="B188" s="22">
        <f>IF('NEW ACCOUNT'!A189="","",'NEW ACCOUNT'!B189)</f>
        <v/>
      </c>
      <c r="C188" s="22">
        <f>IF('NEW ACCOUNT'!A189="","",'NEW ACCOUNT'!C189)</f>
        <v/>
      </c>
      <c r="D188" s="22">
        <f>IF('NEW ACCOUNT'!A189="","",'NEW ACCOUNT'!D189)</f>
        <v/>
      </c>
      <c r="E188" s="22">
        <f>IF('NEW ACCOUNT'!A189="","",'NEW ACCOUNT'!E189)</f>
        <v/>
      </c>
      <c r="F188" s="22">
        <f>IF('NEW ACCOUNT'!A189="","",'NEW ACCOUNT'!F189)</f>
        <v/>
      </c>
      <c r="G188" s="22">
        <f>IF('NEW ACCOUNT'!A189="","",'NEW ACCOUNT'!G189)</f>
        <v/>
      </c>
      <c r="H188" s="22">
        <f>IF('NEW ACCOUNT'!A189="","",'NEW ACCOUNT'!H189)</f>
        <v/>
      </c>
      <c r="I188" s="23">
        <f>IFERROR(IF(A188="","",SUMIF(SAVINGS!$A:$A,A188,SAVINGS!$E:$E)),"")</f>
        <v/>
      </c>
      <c r="J188" s="23">
        <f>IFERROR(IF(A188="","",SUMIF(SAVINGS!$A:$A,A188,SAVINGS!$E:$E)-SUMIF(WITHDRAWALS!$A:$A,A188,WITHDRAWALS!$E:$E)),"")</f>
        <v/>
      </c>
    </row>
    <row r="189" ht="20" customHeight="1">
      <c r="A189" s="18">
        <f>'NEW ACCOUNT'!A190</f>
        <v/>
      </c>
      <c r="B189" s="19">
        <f>IF('NEW ACCOUNT'!A190="","",'NEW ACCOUNT'!B190)</f>
        <v/>
      </c>
      <c r="C189" s="19">
        <f>IF('NEW ACCOUNT'!A190="","",'NEW ACCOUNT'!C190)</f>
        <v/>
      </c>
      <c r="D189" s="19">
        <f>IF('NEW ACCOUNT'!A190="","",'NEW ACCOUNT'!D190)</f>
        <v/>
      </c>
      <c r="E189" s="19">
        <f>IF('NEW ACCOUNT'!A190="","",'NEW ACCOUNT'!E190)</f>
        <v/>
      </c>
      <c r="F189" s="19">
        <f>IF('NEW ACCOUNT'!A190="","",'NEW ACCOUNT'!F190)</f>
        <v/>
      </c>
      <c r="G189" s="19">
        <f>IF('NEW ACCOUNT'!A190="","",'NEW ACCOUNT'!G190)</f>
        <v/>
      </c>
      <c r="H189" s="19">
        <f>IF('NEW ACCOUNT'!A190="","",'NEW ACCOUNT'!H190)</f>
        <v/>
      </c>
      <c r="I189" s="20">
        <f>IFERROR(IF(A189="","",SUMIF(SAVINGS!$A:$A,A189,SAVINGS!$E:$E)),"")</f>
        <v/>
      </c>
      <c r="J189" s="20">
        <f>IFERROR(IF(A189="","",SUMIF(SAVINGS!$A:$A,A189,SAVINGS!$E:$E)-SUMIF(WITHDRAWALS!$A:$A,A189,WITHDRAWALS!$E:$E)),"")</f>
        <v/>
      </c>
    </row>
    <row r="190" ht="20" customHeight="1">
      <c r="A190" s="21">
        <f>'NEW ACCOUNT'!A191</f>
        <v/>
      </c>
      <c r="B190" s="22">
        <f>IF('NEW ACCOUNT'!A191="","",'NEW ACCOUNT'!B191)</f>
        <v/>
      </c>
      <c r="C190" s="22">
        <f>IF('NEW ACCOUNT'!A191="","",'NEW ACCOUNT'!C191)</f>
        <v/>
      </c>
      <c r="D190" s="22">
        <f>IF('NEW ACCOUNT'!A191="","",'NEW ACCOUNT'!D191)</f>
        <v/>
      </c>
      <c r="E190" s="22">
        <f>IF('NEW ACCOUNT'!A191="","",'NEW ACCOUNT'!E191)</f>
        <v/>
      </c>
      <c r="F190" s="22">
        <f>IF('NEW ACCOUNT'!A191="","",'NEW ACCOUNT'!F191)</f>
        <v/>
      </c>
      <c r="G190" s="22">
        <f>IF('NEW ACCOUNT'!A191="","",'NEW ACCOUNT'!G191)</f>
        <v/>
      </c>
      <c r="H190" s="22">
        <f>IF('NEW ACCOUNT'!A191="","",'NEW ACCOUNT'!H191)</f>
        <v/>
      </c>
      <c r="I190" s="23">
        <f>IFERROR(IF(A190="","",SUMIF(SAVINGS!$A:$A,A190,SAVINGS!$E:$E)),"")</f>
        <v/>
      </c>
      <c r="J190" s="23">
        <f>IFERROR(IF(A190="","",SUMIF(SAVINGS!$A:$A,A190,SAVINGS!$E:$E)-SUMIF(WITHDRAWALS!$A:$A,A190,WITHDRAWALS!$E:$E)),"")</f>
        <v/>
      </c>
    </row>
    <row r="191" ht="20" customHeight="1">
      <c r="A191" s="18">
        <f>'NEW ACCOUNT'!A192</f>
        <v/>
      </c>
      <c r="B191" s="19">
        <f>IF('NEW ACCOUNT'!A192="","",'NEW ACCOUNT'!B192)</f>
        <v/>
      </c>
      <c r="C191" s="19">
        <f>IF('NEW ACCOUNT'!A192="","",'NEW ACCOUNT'!C192)</f>
        <v/>
      </c>
      <c r="D191" s="19">
        <f>IF('NEW ACCOUNT'!A192="","",'NEW ACCOUNT'!D192)</f>
        <v/>
      </c>
      <c r="E191" s="19">
        <f>IF('NEW ACCOUNT'!A192="","",'NEW ACCOUNT'!E192)</f>
        <v/>
      </c>
      <c r="F191" s="19">
        <f>IF('NEW ACCOUNT'!A192="","",'NEW ACCOUNT'!F192)</f>
        <v/>
      </c>
      <c r="G191" s="19">
        <f>IF('NEW ACCOUNT'!A192="","",'NEW ACCOUNT'!G192)</f>
        <v/>
      </c>
      <c r="H191" s="19">
        <f>IF('NEW ACCOUNT'!A192="","",'NEW ACCOUNT'!H192)</f>
        <v/>
      </c>
      <c r="I191" s="20">
        <f>IFERROR(IF(A191="","",SUMIF(SAVINGS!$A:$A,A191,SAVINGS!$E:$E)),"")</f>
        <v/>
      </c>
      <c r="J191" s="20">
        <f>IFERROR(IF(A191="","",SUMIF(SAVINGS!$A:$A,A191,SAVINGS!$E:$E)-SUMIF(WITHDRAWALS!$A:$A,A191,WITHDRAWALS!$E:$E)),"")</f>
        <v/>
      </c>
    </row>
    <row r="192" ht="20" customHeight="1">
      <c r="A192" s="21">
        <f>'NEW ACCOUNT'!A193</f>
        <v/>
      </c>
      <c r="B192" s="22">
        <f>IF('NEW ACCOUNT'!A193="","",'NEW ACCOUNT'!B193)</f>
        <v/>
      </c>
      <c r="C192" s="22">
        <f>IF('NEW ACCOUNT'!A193="","",'NEW ACCOUNT'!C193)</f>
        <v/>
      </c>
      <c r="D192" s="22">
        <f>IF('NEW ACCOUNT'!A193="","",'NEW ACCOUNT'!D193)</f>
        <v/>
      </c>
      <c r="E192" s="22">
        <f>IF('NEW ACCOUNT'!A193="","",'NEW ACCOUNT'!E193)</f>
        <v/>
      </c>
      <c r="F192" s="22">
        <f>IF('NEW ACCOUNT'!A193="","",'NEW ACCOUNT'!F193)</f>
        <v/>
      </c>
      <c r="G192" s="22">
        <f>IF('NEW ACCOUNT'!A193="","",'NEW ACCOUNT'!G193)</f>
        <v/>
      </c>
      <c r="H192" s="22">
        <f>IF('NEW ACCOUNT'!A193="","",'NEW ACCOUNT'!H193)</f>
        <v/>
      </c>
      <c r="I192" s="23">
        <f>IFERROR(IF(A192="","",SUMIF(SAVINGS!$A:$A,A192,SAVINGS!$E:$E)),"")</f>
        <v/>
      </c>
      <c r="J192" s="23">
        <f>IFERROR(IF(A192="","",SUMIF(SAVINGS!$A:$A,A192,SAVINGS!$E:$E)-SUMIF(WITHDRAWALS!$A:$A,A192,WITHDRAWALS!$E:$E)),"")</f>
        <v/>
      </c>
    </row>
    <row r="193" ht="20" customHeight="1">
      <c r="A193" s="18">
        <f>'NEW ACCOUNT'!A194</f>
        <v/>
      </c>
      <c r="B193" s="19">
        <f>IF('NEW ACCOUNT'!A194="","",'NEW ACCOUNT'!B194)</f>
        <v/>
      </c>
      <c r="C193" s="19">
        <f>IF('NEW ACCOUNT'!A194="","",'NEW ACCOUNT'!C194)</f>
        <v/>
      </c>
      <c r="D193" s="19">
        <f>IF('NEW ACCOUNT'!A194="","",'NEW ACCOUNT'!D194)</f>
        <v/>
      </c>
      <c r="E193" s="19">
        <f>IF('NEW ACCOUNT'!A194="","",'NEW ACCOUNT'!E194)</f>
        <v/>
      </c>
      <c r="F193" s="19">
        <f>IF('NEW ACCOUNT'!A194="","",'NEW ACCOUNT'!F194)</f>
        <v/>
      </c>
      <c r="G193" s="19">
        <f>IF('NEW ACCOUNT'!A194="","",'NEW ACCOUNT'!G194)</f>
        <v/>
      </c>
      <c r="H193" s="19">
        <f>IF('NEW ACCOUNT'!A194="","",'NEW ACCOUNT'!H194)</f>
        <v/>
      </c>
      <c r="I193" s="20">
        <f>IFERROR(IF(A193="","",SUMIF(SAVINGS!$A:$A,A193,SAVINGS!$E:$E)),"")</f>
        <v/>
      </c>
      <c r="J193" s="20">
        <f>IFERROR(IF(A193="","",SUMIF(SAVINGS!$A:$A,A193,SAVINGS!$E:$E)-SUMIF(WITHDRAWALS!$A:$A,A193,WITHDRAWALS!$E:$E)),"")</f>
        <v/>
      </c>
    </row>
    <row r="194" ht="20" customHeight="1">
      <c r="A194" s="21">
        <f>'NEW ACCOUNT'!A195</f>
        <v/>
      </c>
      <c r="B194" s="22">
        <f>IF('NEW ACCOUNT'!A195="","",'NEW ACCOUNT'!B195)</f>
        <v/>
      </c>
      <c r="C194" s="22">
        <f>IF('NEW ACCOUNT'!A195="","",'NEW ACCOUNT'!C195)</f>
        <v/>
      </c>
      <c r="D194" s="22">
        <f>IF('NEW ACCOUNT'!A195="","",'NEW ACCOUNT'!D195)</f>
        <v/>
      </c>
      <c r="E194" s="22">
        <f>IF('NEW ACCOUNT'!A195="","",'NEW ACCOUNT'!E195)</f>
        <v/>
      </c>
      <c r="F194" s="22">
        <f>IF('NEW ACCOUNT'!A195="","",'NEW ACCOUNT'!F195)</f>
        <v/>
      </c>
      <c r="G194" s="22">
        <f>IF('NEW ACCOUNT'!A195="","",'NEW ACCOUNT'!G195)</f>
        <v/>
      </c>
      <c r="H194" s="22">
        <f>IF('NEW ACCOUNT'!A195="","",'NEW ACCOUNT'!H195)</f>
        <v/>
      </c>
      <c r="I194" s="23">
        <f>IFERROR(IF(A194="","",SUMIF(SAVINGS!$A:$A,A194,SAVINGS!$E:$E)),"")</f>
        <v/>
      </c>
      <c r="J194" s="23">
        <f>IFERROR(IF(A194="","",SUMIF(SAVINGS!$A:$A,A194,SAVINGS!$E:$E)-SUMIF(WITHDRAWALS!$A:$A,A194,WITHDRAWALS!$E:$E)),"")</f>
        <v/>
      </c>
    </row>
    <row r="195" ht="20" customHeight="1">
      <c r="A195" s="18">
        <f>'NEW ACCOUNT'!A196</f>
        <v/>
      </c>
      <c r="B195" s="19">
        <f>IF('NEW ACCOUNT'!A196="","",'NEW ACCOUNT'!B196)</f>
        <v/>
      </c>
      <c r="C195" s="19">
        <f>IF('NEW ACCOUNT'!A196="","",'NEW ACCOUNT'!C196)</f>
        <v/>
      </c>
      <c r="D195" s="19">
        <f>IF('NEW ACCOUNT'!A196="","",'NEW ACCOUNT'!D196)</f>
        <v/>
      </c>
      <c r="E195" s="19">
        <f>IF('NEW ACCOUNT'!A196="","",'NEW ACCOUNT'!E196)</f>
        <v/>
      </c>
      <c r="F195" s="19">
        <f>IF('NEW ACCOUNT'!A196="","",'NEW ACCOUNT'!F196)</f>
        <v/>
      </c>
      <c r="G195" s="19">
        <f>IF('NEW ACCOUNT'!A196="","",'NEW ACCOUNT'!G196)</f>
        <v/>
      </c>
      <c r="H195" s="19">
        <f>IF('NEW ACCOUNT'!A196="","",'NEW ACCOUNT'!H196)</f>
        <v/>
      </c>
      <c r="I195" s="20">
        <f>IFERROR(IF(A195="","",SUMIF(SAVINGS!$A:$A,A195,SAVINGS!$E:$E)),"")</f>
        <v/>
      </c>
      <c r="J195" s="20">
        <f>IFERROR(IF(A195="","",SUMIF(SAVINGS!$A:$A,A195,SAVINGS!$E:$E)-SUMIF(WITHDRAWALS!$A:$A,A195,WITHDRAWALS!$E:$E)),"")</f>
        <v/>
      </c>
    </row>
    <row r="196" ht="20" customHeight="1">
      <c r="A196" s="21">
        <f>'NEW ACCOUNT'!A197</f>
        <v/>
      </c>
      <c r="B196" s="22">
        <f>IF('NEW ACCOUNT'!A197="","",'NEW ACCOUNT'!B197)</f>
        <v/>
      </c>
      <c r="C196" s="22">
        <f>IF('NEW ACCOUNT'!A197="","",'NEW ACCOUNT'!C197)</f>
        <v/>
      </c>
      <c r="D196" s="22">
        <f>IF('NEW ACCOUNT'!A197="","",'NEW ACCOUNT'!D197)</f>
        <v/>
      </c>
      <c r="E196" s="22">
        <f>IF('NEW ACCOUNT'!A197="","",'NEW ACCOUNT'!E197)</f>
        <v/>
      </c>
      <c r="F196" s="22">
        <f>IF('NEW ACCOUNT'!A197="","",'NEW ACCOUNT'!F197)</f>
        <v/>
      </c>
      <c r="G196" s="22">
        <f>IF('NEW ACCOUNT'!A197="","",'NEW ACCOUNT'!G197)</f>
        <v/>
      </c>
      <c r="H196" s="22">
        <f>IF('NEW ACCOUNT'!A197="","",'NEW ACCOUNT'!H197)</f>
        <v/>
      </c>
      <c r="I196" s="23">
        <f>IFERROR(IF(A196="","",SUMIF(SAVINGS!$A:$A,A196,SAVINGS!$E:$E)),"")</f>
        <v/>
      </c>
      <c r="J196" s="23">
        <f>IFERROR(IF(A196="","",SUMIF(SAVINGS!$A:$A,A196,SAVINGS!$E:$E)-SUMIF(WITHDRAWALS!$A:$A,A196,WITHDRAWALS!$E:$E)),"")</f>
        <v/>
      </c>
    </row>
    <row r="197" ht="20" customHeight="1">
      <c r="A197" s="18">
        <f>'NEW ACCOUNT'!A198</f>
        <v/>
      </c>
      <c r="B197" s="19">
        <f>IF('NEW ACCOUNT'!A198="","",'NEW ACCOUNT'!B198)</f>
        <v/>
      </c>
      <c r="C197" s="19">
        <f>IF('NEW ACCOUNT'!A198="","",'NEW ACCOUNT'!C198)</f>
        <v/>
      </c>
      <c r="D197" s="19">
        <f>IF('NEW ACCOUNT'!A198="","",'NEW ACCOUNT'!D198)</f>
        <v/>
      </c>
      <c r="E197" s="19">
        <f>IF('NEW ACCOUNT'!A198="","",'NEW ACCOUNT'!E198)</f>
        <v/>
      </c>
      <c r="F197" s="19">
        <f>IF('NEW ACCOUNT'!A198="","",'NEW ACCOUNT'!F198)</f>
        <v/>
      </c>
      <c r="G197" s="19">
        <f>IF('NEW ACCOUNT'!A198="","",'NEW ACCOUNT'!G198)</f>
        <v/>
      </c>
      <c r="H197" s="19">
        <f>IF('NEW ACCOUNT'!A198="","",'NEW ACCOUNT'!H198)</f>
        <v/>
      </c>
      <c r="I197" s="20">
        <f>IFERROR(IF(A197="","",SUMIF(SAVINGS!$A:$A,A197,SAVINGS!$E:$E)),"")</f>
        <v/>
      </c>
      <c r="J197" s="20">
        <f>IFERROR(IF(A197="","",SUMIF(SAVINGS!$A:$A,A197,SAVINGS!$E:$E)-SUMIF(WITHDRAWALS!$A:$A,A197,WITHDRAWALS!$E:$E)),"")</f>
        <v/>
      </c>
    </row>
    <row r="198" ht="20" customHeight="1">
      <c r="A198" s="21">
        <f>'NEW ACCOUNT'!A199</f>
        <v/>
      </c>
      <c r="B198" s="22">
        <f>IF('NEW ACCOUNT'!A199="","",'NEW ACCOUNT'!B199)</f>
        <v/>
      </c>
      <c r="C198" s="22">
        <f>IF('NEW ACCOUNT'!A199="","",'NEW ACCOUNT'!C199)</f>
        <v/>
      </c>
      <c r="D198" s="22">
        <f>IF('NEW ACCOUNT'!A199="","",'NEW ACCOUNT'!D199)</f>
        <v/>
      </c>
      <c r="E198" s="22">
        <f>IF('NEW ACCOUNT'!A199="","",'NEW ACCOUNT'!E199)</f>
        <v/>
      </c>
      <c r="F198" s="22">
        <f>IF('NEW ACCOUNT'!A199="","",'NEW ACCOUNT'!F199)</f>
        <v/>
      </c>
      <c r="G198" s="22">
        <f>IF('NEW ACCOUNT'!A199="","",'NEW ACCOUNT'!G199)</f>
        <v/>
      </c>
      <c r="H198" s="22">
        <f>IF('NEW ACCOUNT'!A199="","",'NEW ACCOUNT'!H199)</f>
        <v/>
      </c>
      <c r="I198" s="23">
        <f>IFERROR(IF(A198="","",SUMIF(SAVINGS!$A:$A,A198,SAVINGS!$E:$E)),"")</f>
        <v/>
      </c>
      <c r="J198" s="23">
        <f>IFERROR(IF(A198="","",SUMIF(SAVINGS!$A:$A,A198,SAVINGS!$E:$E)-SUMIF(WITHDRAWALS!$A:$A,A198,WITHDRAWALS!$E:$E)),"")</f>
        <v/>
      </c>
    </row>
    <row r="199" ht="20" customHeight="1">
      <c r="A199" s="18">
        <f>'NEW ACCOUNT'!A200</f>
        <v/>
      </c>
      <c r="B199" s="19">
        <f>IF('NEW ACCOUNT'!A200="","",'NEW ACCOUNT'!B200)</f>
        <v/>
      </c>
      <c r="C199" s="19">
        <f>IF('NEW ACCOUNT'!A200="","",'NEW ACCOUNT'!C200)</f>
        <v/>
      </c>
      <c r="D199" s="19">
        <f>IF('NEW ACCOUNT'!A200="","",'NEW ACCOUNT'!D200)</f>
        <v/>
      </c>
      <c r="E199" s="19">
        <f>IF('NEW ACCOUNT'!A200="","",'NEW ACCOUNT'!E200)</f>
        <v/>
      </c>
      <c r="F199" s="19">
        <f>IF('NEW ACCOUNT'!A200="","",'NEW ACCOUNT'!F200)</f>
        <v/>
      </c>
      <c r="G199" s="19">
        <f>IF('NEW ACCOUNT'!A200="","",'NEW ACCOUNT'!G200)</f>
        <v/>
      </c>
      <c r="H199" s="19">
        <f>IF('NEW ACCOUNT'!A200="","",'NEW ACCOUNT'!H200)</f>
        <v/>
      </c>
      <c r="I199" s="20">
        <f>IFERROR(IF(A199="","",SUMIF(SAVINGS!$A:$A,A199,SAVINGS!$E:$E)),"")</f>
        <v/>
      </c>
      <c r="J199" s="20">
        <f>IFERROR(IF(A199="","",SUMIF(SAVINGS!$A:$A,A199,SAVINGS!$E:$E)-SUMIF(WITHDRAWALS!$A:$A,A199,WITHDRAWALS!$E:$E)),"")</f>
        <v/>
      </c>
    </row>
    <row r="200" ht="20" customHeight="1">
      <c r="A200" s="21">
        <f>'NEW ACCOUNT'!A201</f>
        <v/>
      </c>
      <c r="B200" s="22">
        <f>IF('NEW ACCOUNT'!A201="","",'NEW ACCOUNT'!B201)</f>
        <v/>
      </c>
      <c r="C200" s="22">
        <f>IF('NEW ACCOUNT'!A201="","",'NEW ACCOUNT'!C201)</f>
        <v/>
      </c>
      <c r="D200" s="22">
        <f>IF('NEW ACCOUNT'!A201="","",'NEW ACCOUNT'!D201)</f>
        <v/>
      </c>
      <c r="E200" s="22">
        <f>IF('NEW ACCOUNT'!A201="","",'NEW ACCOUNT'!E201)</f>
        <v/>
      </c>
      <c r="F200" s="22">
        <f>IF('NEW ACCOUNT'!A201="","",'NEW ACCOUNT'!F201)</f>
        <v/>
      </c>
      <c r="G200" s="22">
        <f>IF('NEW ACCOUNT'!A201="","",'NEW ACCOUNT'!G201)</f>
        <v/>
      </c>
      <c r="H200" s="22">
        <f>IF('NEW ACCOUNT'!A201="","",'NEW ACCOUNT'!H201)</f>
        <v/>
      </c>
      <c r="I200" s="23">
        <f>IFERROR(IF(A200="","",SUMIF(SAVINGS!$A:$A,A200,SAVINGS!$E:$E)),"")</f>
        <v/>
      </c>
      <c r="J200" s="23">
        <f>IFERROR(IF(A200="","",SUMIF(SAVINGS!$A:$A,A200,SAVINGS!$E:$E)-SUMIF(WITHDRAWALS!$A:$A,A200,WITHDRAWALS!$E:$E)),"")</f>
        <v/>
      </c>
    </row>
    <row r="201" ht="20" customHeight="1">
      <c r="A201" s="18">
        <f>'NEW ACCOUNT'!A202</f>
        <v/>
      </c>
      <c r="B201" s="19">
        <f>IF('NEW ACCOUNT'!A202="","",'NEW ACCOUNT'!B202)</f>
        <v/>
      </c>
      <c r="C201" s="19">
        <f>IF('NEW ACCOUNT'!A202="","",'NEW ACCOUNT'!C202)</f>
        <v/>
      </c>
      <c r="D201" s="19">
        <f>IF('NEW ACCOUNT'!A202="","",'NEW ACCOUNT'!D202)</f>
        <v/>
      </c>
      <c r="E201" s="19">
        <f>IF('NEW ACCOUNT'!A202="","",'NEW ACCOUNT'!E202)</f>
        <v/>
      </c>
      <c r="F201" s="19">
        <f>IF('NEW ACCOUNT'!A202="","",'NEW ACCOUNT'!F202)</f>
        <v/>
      </c>
      <c r="G201" s="19">
        <f>IF('NEW ACCOUNT'!A202="","",'NEW ACCOUNT'!G202)</f>
        <v/>
      </c>
      <c r="H201" s="19">
        <f>IF('NEW ACCOUNT'!A202="","",'NEW ACCOUNT'!H202)</f>
        <v/>
      </c>
      <c r="I201" s="20">
        <f>IFERROR(IF(A201="","",SUMIF(SAVINGS!$A:$A,A201,SAVINGS!$E:$E)),"")</f>
        <v/>
      </c>
      <c r="J201" s="20">
        <f>IFERROR(IF(A201="","",SUMIF(SAVINGS!$A:$A,A201,SAVINGS!$E:$E)-SUMIF(WITHDRAWALS!$A:$A,A201,WITHDRAWALS!$E:$E)),"")</f>
        <v/>
      </c>
    </row>
    <row r="202" ht="20" customHeight="1">
      <c r="A202" s="21">
        <f>'NEW ACCOUNT'!A203</f>
        <v/>
      </c>
      <c r="B202" s="22">
        <f>IF('NEW ACCOUNT'!A203="","",'NEW ACCOUNT'!B203)</f>
        <v/>
      </c>
      <c r="C202" s="22">
        <f>IF('NEW ACCOUNT'!A203="","",'NEW ACCOUNT'!C203)</f>
        <v/>
      </c>
      <c r="D202" s="22">
        <f>IF('NEW ACCOUNT'!A203="","",'NEW ACCOUNT'!D203)</f>
        <v/>
      </c>
      <c r="E202" s="22">
        <f>IF('NEW ACCOUNT'!A203="","",'NEW ACCOUNT'!E203)</f>
        <v/>
      </c>
      <c r="F202" s="22">
        <f>IF('NEW ACCOUNT'!A203="","",'NEW ACCOUNT'!F203)</f>
        <v/>
      </c>
      <c r="G202" s="22">
        <f>IF('NEW ACCOUNT'!A203="","",'NEW ACCOUNT'!G203)</f>
        <v/>
      </c>
      <c r="H202" s="22">
        <f>IF('NEW ACCOUNT'!A203="","",'NEW ACCOUNT'!H203)</f>
        <v/>
      </c>
      <c r="I202" s="23">
        <f>IFERROR(IF(A202="","",SUMIF(SAVINGS!$A:$A,A202,SAVINGS!$E:$E)),"")</f>
        <v/>
      </c>
      <c r="J202" s="23">
        <f>IFERROR(IF(A202="","",SUMIF(SAVINGS!$A:$A,A202,SAVINGS!$E:$E)-SUMIF(WITHDRAWALS!$A:$A,A202,WITHDRAWALS!$E:$E)),"")</f>
        <v/>
      </c>
    </row>
    <row r="203" ht="20" customHeight="1">
      <c r="A203" s="18">
        <f>'NEW ACCOUNT'!A204</f>
        <v/>
      </c>
      <c r="B203" s="19">
        <f>IF('NEW ACCOUNT'!A204="","",'NEW ACCOUNT'!B204)</f>
        <v/>
      </c>
      <c r="C203" s="19">
        <f>IF('NEW ACCOUNT'!A204="","",'NEW ACCOUNT'!C204)</f>
        <v/>
      </c>
      <c r="D203" s="19">
        <f>IF('NEW ACCOUNT'!A204="","",'NEW ACCOUNT'!D204)</f>
        <v/>
      </c>
      <c r="E203" s="19">
        <f>IF('NEW ACCOUNT'!A204="","",'NEW ACCOUNT'!E204)</f>
        <v/>
      </c>
      <c r="F203" s="19">
        <f>IF('NEW ACCOUNT'!A204="","",'NEW ACCOUNT'!F204)</f>
        <v/>
      </c>
      <c r="G203" s="19">
        <f>IF('NEW ACCOUNT'!A204="","",'NEW ACCOUNT'!G204)</f>
        <v/>
      </c>
      <c r="H203" s="19">
        <f>IF('NEW ACCOUNT'!A204="","",'NEW ACCOUNT'!H204)</f>
        <v/>
      </c>
      <c r="I203" s="20">
        <f>IFERROR(IF(A203="","",SUMIF(SAVINGS!$A:$A,A203,SAVINGS!$E:$E)),"")</f>
        <v/>
      </c>
      <c r="J203" s="20">
        <f>IFERROR(IF(A203="","",SUMIF(SAVINGS!$A:$A,A203,SAVINGS!$E:$E)-SUMIF(WITHDRAWALS!$A:$A,A203,WITHDRAWALS!$E:$E)),"")</f>
        <v/>
      </c>
    </row>
    <row r="204" ht="20" customHeight="1">
      <c r="A204" s="21">
        <f>'NEW ACCOUNT'!A205</f>
        <v/>
      </c>
      <c r="B204" s="22">
        <f>IF('NEW ACCOUNT'!A205="","",'NEW ACCOUNT'!B205)</f>
        <v/>
      </c>
      <c r="C204" s="22">
        <f>IF('NEW ACCOUNT'!A205="","",'NEW ACCOUNT'!C205)</f>
        <v/>
      </c>
      <c r="D204" s="22">
        <f>IF('NEW ACCOUNT'!A205="","",'NEW ACCOUNT'!D205)</f>
        <v/>
      </c>
      <c r="E204" s="22">
        <f>IF('NEW ACCOUNT'!A205="","",'NEW ACCOUNT'!E205)</f>
        <v/>
      </c>
      <c r="F204" s="22">
        <f>IF('NEW ACCOUNT'!A205="","",'NEW ACCOUNT'!F205)</f>
        <v/>
      </c>
      <c r="G204" s="22">
        <f>IF('NEW ACCOUNT'!A205="","",'NEW ACCOUNT'!G205)</f>
        <v/>
      </c>
      <c r="H204" s="22">
        <f>IF('NEW ACCOUNT'!A205="","",'NEW ACCOUNT'!H205)</f>
        <v/>
      </c>
      <c r="I204" s="23">
        <f>IFERROR(IF(A204="","",SUMIF(SAVINGS!$A:$A,A204,SAVINGS!$E:$E)),"")</f>
        <v/>
      </c>
      <c r="J204" s="23">
        <f>IFERROR(IF(A204="","",SUMIF(SAVINGS!$A:$A,A204,SAVINGS!$E:$E)-SUMIF(WITHDRAWALS!$A:$A,A204,WITHDRAWALS!$E:$E)),"")</f>
        <v/>
      </c>
    </row>
    <row r="205" ht="20" customHeight="1">
      <c r="A205" s="18">
        <f>'NEW ACCOUNT'!A206</f>
        <v/>
      </c>
      <c r="B205" s="19">
        <f>IF('NEW ACCOUNT'!A206="","",'NEW ACCOUNT'!B206)</f>
        <v/>
      </c>
      <c r="C205" s="19">
        <f>IF('NEW ACCOUNT'!A206="","",'NEW ACCOUNT'!C206)</f>
        <v/>
      </c>
      <c r="D205" s="19">
        <f>IF('NEW ACCOUNT'!A206="","",'NEW ACCOUNT'!D206)</f>
        <v/>
      </c>
      <c r="E205" s="19">
        <f>IF('NEW ACCOUNT'!A206="","",'NEW ACCOUNT'!E206)</f>
        <v/>
      </c>
      <c r="F205" s="19">
        <f>IF('NEW ACCOUNT'!A206="","",'NEW ACCOUNT'!F206)</f>
        <v/>
      </c>
      <c r="G205" s="19">
        <f>IF('NEW ACCOUNT'!A206="","",'NEW ACCOUNT'!G206)</f>
        <v/>
      </c>
      <c r="H205" s="19">
        <f>IF('NEW ACCOUNT'!A206="","",'NEW ACCOUNT'!H206)</f>
        <v/>
      </c>
      <c r="I205" s="20">
        <f>IFERROR(IF(A205="","",SUMIF(SAVINGS!$A:$A,A205,SAVINGS!$E:$E)),"")</f>
        <v/>
      </c>
      <c r="J205" s="20">
        <f>IFERROR(IF(A205="","",SUMIF(SAVINGS!$A:$A,A205,SAVINGS!$E:$E)-SUMIF(WITHDRAWALS!$A:$A,A205,WITHDRAWALS!$E:$E)),"")</f>
        <v/>
      </c>
    </row>
    <row r="206" ht="20" customHeight="1">
      <c r="A206" s="21">
        <f>'NEW ACCOUNT'!A207</f>
        <v/>
      </c>
      <c r="B206" s="22">
        <f>IF('NEW ACCOUNT'!A207="","",'NEW ACCOUNT'!B207)</f>
        <v/>
      </c>
      <c r="C206" s="22">
        <f>IF('NEW ACCOUNT'!A207="","",'NEW ACCOUNT'!C207)</f>
        <v/>
      </c>
      <c r="D206" s="22">
        <f>IF('NEW ACCOUNT'!A207="","",'NEW ACCOUNT'!D207)</f>
        <v/>
      </c>
      <c r="E206" s="22">
        <f>IF('NEW ACCOUNT'!A207="","",'NEW ACCOUNT'!E207)</f>
        <v/>
      </c>
      <c r="F206" s="22">
        <f>IF('NEW ACCOUNT'!A207="","",'NEW ACCOUNT'!F207)</f>
        <v/>
      </c>
      <c r="G206" s="22">
        <f>IF('NEW ACCOUNT'!A207="","",'NEW ACCOUNT'!G207)</f>
        <v/>
      </c>
      <c r="H206" s="22">
        <f>IF('NEW ACCOUNT'!A207="","",'NEW ACCOUNT'!H207)</f>
        <v/>
      </c>
      <c r="I206" s="23">
        <f>IFERROR(IF(A206="","",SUMIF(SAVINGS!$A:$A,A206,SAVINGS!$E:$E)),"")</f>
        <v/>
      </c>
      <c r="J206" s="23">
        <f>IFERROR(IF(A206="","",SUMIF(SAVINGS!$A:$A,A206,SAVINGS!$E:$E)-SUMIF(WITHDRAWALS!$A:$A,A206,WITHDRAWALS!$E:$E)),"")</f>
        <v/>
      </c>
    </row>
    <row r="207" ht="20" customHeight="1">
      <c r="A207" s="18">
        <f>'NEW ACCOUNT'!A208</f>
        <v/>
      </c>
      <c r="B207" s="19">
        <f>IF('NEW ACCOUNT'!A208="","",'NEW ACCOUNT'!B208)</f>
        <v/>
      </c>
      <c r="C207" s="19">
        <f>IF('NEW ACCOUNT'!A208="","",'NEW ACCOUNT'!C208)</f>
        <v/>
      </c>
      <c r="D207" s="19">
        <f>IF('NEW ACCOUNT'!A208="","",'NEW ACCOUNT'!D208)</f>
        <v/>
      </c>
      <c r="E207" s="19">
        <f>IF('NEW ACCOUNT'!A208="","",'NEW ACCOUNT'!E208)</f>
        <v/>
      </c>
      <c r="F207" s="19">
        <f>IF('NEW ACCOUNT'!A208="","",'NEW ACCOUNT'!F208)</f>
        <v/>
      </c>
      <c r="G207" s="19">
        <f>IF('NEW ACCOUNT'!A208="","",'NEW ACCOUNT'!G208)</f>
        <v/>
      </c>
      <c r="H207" s="19">
        <f>IF('NEW ACCOUNT'!A208="","",'NEW ACCOUNT'!H208)</f>
        <v/>
      </c>
      <c r="I207" s="20">
        <f>IFERROR(IF(A207="","",SUMIF(SAVINGS!$A:$A,A207,SAVINGS!$E:$E)),"")</f>
        <v/>
      </c>
      <c r="J207" s="20">
        <f>IFERROR(IF(A207="","",SUMIF(SAVINGS!$A:$A,A207,SAVINGS!$E:$E)-SUMIF(WITHDRAWALS!$A:$A,A207,WITHDRAWALS!$E:$E)),"")</f>
        <v/>
      </c>
    </row>
    <row r="208" ht="20" customHeight="1">
      <c r="A208" s="21">
        <f>'NEW ACCOUNT'!A209</f>
        <v/>
      </c>
      <c r="B208" s="22">
        <f>IF('NEW ACCOUNT'!A209="","",'NEW ACCOUNT'!B209)</f>
        <v/>
      </c>
      <c r="C208" s="22">
        <f>IF('NEW ACCOUNT'!A209="","",'NEW ACCOUNT'!C209)</f>
        <v/>
      </c>
      <c r="D208" s="22">
        <f>IF('NEW ACCOUNT'!A209="","",'NEW ACCOUNT'!D209)</f>
        <v/>
      </c>
      <c r="E208" s="22">
        <f>IF('NEW ACCOUNT'!A209="","",'NEW ACCOUNT'!E209)</f>
        <v/>
      </c>
      <c r="F208" s="22">
        <f>IF('NEW ACCOUNT'!A209="","",'NEW ACCOUNT'!F209)</f>
        <v/>
      </c>
      <c r="G208" s="22">
        <f>IF('NEW ACCOUNT'!A209="","",'NEW ACCOUNT'!G209)</f>
        <v/>
      </c>
      <c r="H208" s="22">
        <f>IF('NEW ACCOUNT'!A209="","",'NEW ACCOUNT'!H209)</f>
        <v/>
      </c>
      <c r="I208" s="23">
        <f>IFERROR(IF(A208="","",SUMIF(SAVINGS!$A:$A,A208,SAVINGS!$E:$E)),"")</f>
        <v/>
      </c>
      <c r="J208" s="23">
        <f>IFERROR(IF(A208="","",SUMIF(SAVINGS!$A:$A,A208,SAVINGS!$E:$E)-SUMIF(WITHDRAWALS!$A:$A,A208,WITHDRAWALS!$E:$E)),"")</f>
        <v/>
      </c>
    </row>
    <row r="209" ht="20" customHeight="1">
      <c r="A209" s="18">
        <f>'NEW ACCOUNT'!A210</f>
        <v/>
      </c>
      <c r="B209" s="19">
        <f>IF('NEW ACCOUNT'!A210="","",'NEW ACCOUNT'!B210)</f>
        <v/>
      </c>
      <c r="C209" s="19">
        <f>IF('NEW ACCOUNT'!A210="","",'NEW ACCOUNT'!C210)</f>
        <v/>
      </c>
      <c r="D209" s="19">
        <f>IF('NEW ACCOUNT'!A210="","",'NEW ACCOUNT'!D210)</f>
        <v/>
      </c>
      <c r="E209" s="19">
        <f>IF('NEW ACCOUNT'!A210="","",'NEW ACCOUNT'!E210)</f>
        <v/>
      </c>
      <c r="F209" s="19">
        <f>IF('NEW ACCOUNT'!A210="","",'NEW ACCOUNT'!F210)</f>
        <v/>
      </c>
      <c r="G209" s="19">
        <f>IF('NEW ACCOUNT'!A210="","",'NEW ACCOUNT'!G210)</f>
        <v/>
      </c>
      <c r="H209" s="19">
        <f>IF('NEW ACCOUNT'!A210="","",'NEW ACCOUNT'!H210)</f>
        <v/>
      </c>
      <c r="I209" s="20">
        <f>IFERROR(IF(A209="","",SUMIF(SAVINGS!$A:$A,A209,SAVINGS!$E:$E)),"")</f>
        <v/>
      </c>
      <c r="J209" s="20">
        <f>IFERROR(IF(A209="","",SUMIF(SAVINGS!$A:$A,A209,SAVINGS!$E:$E)-SUMIF(WITHDRAWALS!$A:$A,A209,WITHDRAWALS!$E:$E)),"")</f>
        <v/>
      </c>
    </row>
    <row r="210" ht="20" customHeight="1">
      <c r="A210" s="21">
        <f>'NEW ACCOUNT'!A211</f>
        <v/>
      </c>
      <c r="B210" s="22">
        <f>IF('NEW ACCOUNT'!A211="","",'NEW ACCOUNT'!B211)</f>
        <v/>
      </c>
      <c r="C210" s="22">
        <f>IF('NEW ACCOUNT'!A211="","",'NEW ACCOUNT'!C211)</f>
        <v/>
      </c>
      <c r="D210" s="22">
        <f>IF('NEW ACCOUNT'!A211="","",'NEW ACCOUNT'!D211)</f>
        <v/>
      </c>
      <c r="E210" s="22">
        <f>IF('NEW ACCOUNT'!A211="","",'NEW ACCOUNT'!E211)</f>
        <v/>
      </c>
      <c r="F210" s="22">
        <f>IF('NEW ACCOUNT'!A211="","",'NEW ACCOUNT'!F211)</f>
        <v/>
      </c>
      <c r="G210" s="22">
        <f>IF('NEW ACCOUNT'!A211="","",'NEW ACCOUNT'!G211)</f>
        <v/>
      </c>
      <c r="H210" s="22">
        <f>IF('NEW ACCOUNT'!A211="","",'NEW ACCOUNT'!H211)</f>
        <v/>
      </c>
      <c r="I210" s="23">
        <f>IFERROR(IF(A210="","",SUMIF(SAVINGS!$A:$A,A210,SAVINGS!$E:$E)),"")</f>
        <v/>
      </c>
      <c r="J210" s="23">
        <f>IFERROR(IF(A210="","",SUMIF(SAVINGS!$A:$A,A210,SAVINGS!$E:$E)-SUMIF(WITHDRAWALS!$A:$A,A210,WITHDRAWALS!$E:$E)),"")</f>
        <v/>
      </c>
    </row>
    <row r="211" ht="20" customHeight="1">
      <c r="A211" s="18">
        <f>'NEW ACCOUNT'!A212</f>
        <v/>
      </c>
      <c r="B211" s="19">
        <f>IF('NEW ACCOUNT'!A212="","",'NEW ACCOUNT'!B212)</f>
        <v/>
      </c>
      <c r="C211" s="19">
        <f>IF('NEW ACCOUNT'!A212="","",'NEW ACCOUNT'!C212)</f>
        <v/>
      </c>
      <c r="D211" s="19">
        <f>IF('NEW ACCOUNT'!A212="","",'NEW ACCOUNT'!D212)</f>
        <v/>
      </c>
      <c r="E211" s="19">
        <f>IF('NEW ACCOUNT'!A212="","",'NEW ACCOUNT'!E212)</f>
        <v/>
      </c>
      <c r="F211" s="19">
        <f>IF('NEW ACCOUNT'!A212="","",'NEW ACCOUNT'!F212)</f>
        <v/>
      </c>
      <c r="G211" s="19">
        <f>IF('NEW ACCOUNT'!A212="","",'NEW ACCOUNT'!G212)</f>
        <v/>
      </c>
      <c r="H211" s="19">
        <f>IF('NEW ACCOUNT'!A212="","",'NEW ACCOUNT'!H212)</f>
        <v/>
      </c>
      <c r="I211" s="20">
        <f>IFERROR(IF(A211="","",SUMIF(SAVINGS!$A:$A,A211,SAVINGS!$E:$E)),"")</f>
        <v/>
      </c>
      <c r="J211" s="20">
        <f>IFERROR(IF(A211="","",SUMIF(SAVINGS!$A:$A,A211,SAVINGS!$E:$E)-SUMIF(WITHDRAWALS!$A:$A,A211,WITHDRAWALS!$E:$E)),"")</f>
        <v/>
      </c>
    </row>
    <row r="212" ht="20" customHeight="1">
      <c r="A212" s="21">
        <f>'NEW ACCOUNT'!A213</f>
        <v/>
      </c>
      <c r="B212" s="22">
        <f>IF('NEW ACCOUNT'!A213="","",'NEW ACCOUNT'!B213)</f>
        <v/>
      </c>
      <c r="C212" s="22">
        <f>IF('NEW ACCOUNT'!A213="","",'NEW ACCOUNT'!C213)</f>
        <v/>
      </c>
      <c r="D212" s="22">
        <f>IF('NEW ACCOUNT'!A213="","",'NEW ACCOUNT'!D213)</f>
        <v/>
      </c>
      <c r="E212" s="22">
        <f>IF('NEW ACCOUNT'!A213="","",'NEW ACCOUNT'!E213)</f>
        <v/>
      </c>
      <c r="F212" s="22">
        <f>IF('NEW ACCOUNT'!A213="","",'NEW ACCOUNT'!F213)</f>
        <v/>
      </c>
      <c r="G212" s="22">
        <f>IF('NEW ACCOUNT'!A213="","",'NEW ACCOUNT'!G213)</f>
        <v/>
      </c>
      <c r="H212" s="22">
        <f>IF('NEW ACCOUNT'!A213="","",'NEW ACCOUNT'!H213)</f>
        <v/>
      </c>
      <c r="I212" s="23">
        <f>IFERROR(IF(A212="","",SUMIF(SAVINGS!$A:$A,A212,SAVINGS!$E:$E)),"")</f>
        <v/>
      </c>
      <c r="J212" s="23">
        <f>IFERROR(IF(A212="","",SUMIF(SAVINGS!$A:$A,A212,SAVINGS!$E:$E)-SUMIF(WITHDRAWALS!$A:$A,A212,WITHDRAWALS!$E:$E)),"")</f>
        <v/>
      </c>
    </row>
    <row r="213" ht="20" customHeight="1">
      <c r="A213" s="18">
        <f>'NEW ACCOUNT'!A214</f>
        <v/>
      </c>
      <c r="B213" s="19">
        <f>IF('NEW ACCOUNT'!A214="","",'NEW ACCOUNT'!B214)</f>
        <v/>
      </c>
      <c r="C213" s="19">
        <f>IF('NEW ACCOUNT'!A214="","",'NEW ACCOUNT'!C214)</f>
        <v/>
      </c>
      <c r="D213" s="19">
        <f>IF('NEW ACCOUNT'!A214="","",'NEW ACCOUNT'!D214)</f>
        <v/>
      </c>
      <c r="E213" s="19">
        <f>IF('NEW ACCOUNT'!A214="","",'NEW ACCOUNT'!E214)</f>
        <v/>
      </c>
      <c r="F213" s="19">
        <f>IF('NEW ACCOUNT'!A214="","",'NEW ACCOUNT'!F214)</f>
        <v/>
      </c>
      <c r="G213" s="19">
        <f>IF('NEW ACCOUNT'!A214="","",'NEW ACCOUNT'!G214)</f>
        <v/>
      </c>
      <c r="H213" s="19">
        <f>IF('NEW ACCOUNT'!A214="","",'NEW ACCOUNT'!H214)</f>
        <v/>
      </c>
      <c r="I213" s="20">
        <f>IFERROR(IF(A213="","",SUMIF(SAVINGS!$A:$A,A213,SAVINGS!$E:$E)),"")</f>
        <v/>
      </c>
      <c r="J213" s="20">
        <f>IFERROR(IF(A213="","",SUMIF(SAVINGS!$A:$A,A213,SAVINGS!$E:$E)-SUMIF(WITHDRAWALS!$A:$A,A213,WITHDRAWALS!$E:$E)),"")</f>
        <v/>
      </c>
    </row>
    <row r="214" ht="20" customHeight="1">
      <c r="A214" s="21">
        <f>'NEW ACCOUNT'!A215</f>
        <v/>
      </c>
      <c r="B214" s="22">
        <f>IF('NEW ACCOUNT'!A215="","",'NEW ACCOUNT'!B215)</f>
        <v/>
      </c>
      <c r="C214" s="22">
        <f>IF('NEW ACCOUNT'!A215="","",'NEW ACCOUNT'!C215)</f>
        <v/>
      </c>
      <c r="D214" s="22">
        <f>IF('NEW ACCOUNT'!A215="","",'NEW ACCOUNT'!D215)</f>
        <v/>
      </c>
      <c r="E214" s="22">
        <f>IF('NEW ACCOUNT'!A215="","",'NEW ACCOUNT'!E215)</f>
        <v/>
      </c>
      <c r="F214" s="22">
        <f>IF('NEW ACCOUNT'!A215="","",'NEW ACCOUNT'!F215)</f>
        <v/>
      </c>
      <c r="G214" s="22">
        <f>IF('NEW ACCOUNT'!A215="","",'NEW ACCOUNT'!G215)</f>
        <v/>
      </c>
      <c r="H214" s="22">
        <f>IF('NEW ACCOUNT'!A215="","",'NEW ACCOUNT'!H215)</f>
        <v/>
      </c>
      <c r="I214" s="23">
        <f>IFERROR(IF(A214="","",SUMIF(SAVINGS!$A:$A,A214,SAVINGS!$E:$E)),"")</f>
        <v/>
      </c>
      <c r="J214" s="23">
        <f>IFERROR(IF(A214="","",SUMIF(SAVINGS!$A:$A,A214,SAVINGS!$E:$E)-SUMIF(WITHDRAWALS!$A:$A,A214,WITHDRAWALS!$E:$E)),"")</f>
        <v/>
      </c>
    </row>
    <row r="215" ht="20" customHeight="1">
      <c r="A215" s="18">
        <f>'NEW ACCOUNT'!A216</f>
        <v/>
      </c>
      <c r="B215" s="19">
        <f>IF('NEW ACCOUNT'!A216="","",'NEW ACCOUNT'!B216)</f>
        <v/>
      </c>
      <c r="C215" s="19">
        <f>IF('NEW ACCOUNT'!A216="","",'NEW ACCOUNT'!C216)</f>
        <v/>
      </c>
      <c r="D215" s="19">
        <f>IF('NEW ACCOUNT'!A216="","",'NEW ACCOUNT'!D216)</f>
        <v/>
      </c>
      <c r="E215" s="19">
        <f>IF('NEW ACCOUNT'!A216="","",'NEW ACCOUNT'!E216)</f>
        <v/>
      </c>
      <c r="F215" s="19">
        <f>IF('NEW ACCOUNT'!A216="","",'NEW ACCOUNT'!F216)</f>
        <v/>
      </c>
      <c r="G215" s="19">
        <f>IF('NEW ACCOUNT'!A216="","",'NEW ACCOUNT'!G216)</f>
        <v/>
      </c>
      <c r="H215" s="19">
        <f>IF('NEW ACCOUNT'!A216="","",'NEW ACCOUNT'!H216)</f>
        <v/>
      </c>
      <c r="I215" s="20">
        <f>IFERROR(IF(A215="","",SUMIF(SAVINGS!$A:$A,A215,SAVINGS!$E:$E)),"")</f>
        <v/>
      </c>
      <c r="J215" s="20">
        <f>IFERROR(IF(A215="","",SUMIF(SAVINGS!$A:$A,A215,SAVINGS!$E:$E)-SUMIF(WITHDRAWALS!$A:$A,A215,WITHDRAWALS!$E:$E)),"")</f>
        <v/>
      </c>
    </row>
    <row r="216" ht="20" customHeight="1">
      <c r="A216" s="21">
        <f>'NEW ACCOUNT'!A217</f>
        <v/>
      </c>
      <c r="B216" s="22">
        <f>IF('NEW ACCOUNT'!A217="","",'NEW ACCOUNT'!B217)</f>
        <v/>
      </c>
      <c r="C216" s="22">
        <f>IF('NEW ACCOUNT'!A217="","",'NEW ACCOUNT'!C217)</f>
        <v/>
      </c>
      <c r="D216" s="22">
        <f>IF('NEW ACCOUNT'!A217="","",'NEW ACCOUNT'!D217)</f>
        <v/>
      </c>
      <c r="E216" s="22">
        <f>IF('NEW ACCOUNT'!A217="","",'NEW ACCOUNT'!E217)</f>
        <v/>
      </c>
      <c r="F216" s="22">
        <f>IF('NEW ACCOUNT'!A217="","",'NEW ACCOUNT'!F217)</f>
        <v/>
      </c>
      <c r="G216" s="22">
        <f>IF('NEW ACCOUNT'!A217="","",'NEW ACCOUNT'!G217)</f>
        <v/>
      </c>
      <c r="H216" s="22">
        <f>IF('NEW ACCOUNT'!A217="","",'NEW ACCOUNT'!H217)</f>
        <v/>
      </c>
      <c r="I216" s="23">
        <f>IFERROR(IF(A216="","",SUMIF(SAVINGS!$A:$A,A216,SAVINGS!$E:$E)),"")</f>
        <v/>
      </c>
      <c r="J216" s="23">
        <f>IFERROR(IF(A216="","",SUMIF(SAVINGS!$A:$A,A216,SAVINGS!$E:$E)-SUMIF(WITHDRAWALS!$A:$A,A216,WITHDRAWALS!$E:$E)),"")</f>
        <v/>
      </c>
    </row>
    <row r="217" ht="20" customHeight="1">
      <c r="A217" s="18">
        <f>'NEW ACCOUNT'!A218</f>
        <v/>
      </c>
      <c r="B217" s="19">
        <f>IF('NEW ACCOUNT'!A218="","",'NEW ACCOUNT'!B218)</f>
        <v/>
      </c>
      <c r="C217" s="19">
        <f>IF('NEW ACCOUNT'!A218="","",'NEW ACCOUNT'!C218)</f>
        <v/>
      </c>
      <c r="D217" s="19">
        <f>IF('NEW ACCOUNT'!A218="","",'NEW ACCOUNT'!D218)</f>
        <v/>
      </c>
      <c r="E217" s="19">
        <f>IF('NEW ACCOUNT'!A218="","",'NEW ACCOUNT'!E218)</f>
        <v/>
      </c>
      <c r="F217" s="19">
        <f>IF('NEW ACCOUNT'!A218="","",'NEW ACCOUNT'!F218)</f>
        <v/>
      </c>
      <c r="G217" s="19">
        <f>IF('NEW ACCOUNT'!A218="","",'NEW ACCOUNT'!G218)</f>
        <v/>
      </c>
      <c r="H217" s="19">
        <f>IF('NEW ACCOUNT'!A218="","",'NEW ACCOUNT'!H218)</f>
        <v/>
      </c>
      <c r="I217" s="20">
        <f>IFERROR(IF(A217="","",SUMIF(SAVINGS!$A:$A,A217,SAVINGS!$E:$E)),"")</f>
        <v/>
      </c>
      <c r="J217" s="20">
        <f>IFERROR(IF(A217="","",SUMIF(SAVINGS!$A:$A,A217,SAVINGS!$E:$E)-SUMIF(WITHDRAWALS!$A:$A,A217,WITHDRAWALS!$E:$E)),"")</f>
        <v/>
      </c>
    </row>
    <row r="218" ht="20" customHeight="1">
      <c r="A218" s="21">
        <f>'NEW ACCOUNT'!A219</f>
        <v/>
      </c>
      <c r="B218" s="22">
        <f>IF('NEW ACCOUNT'!A219="","",'NEW ACCOUNT'!B219)</f>
        <v/>
      </c>
      <c r="C218" s="22">
        <f>IF('NEW ACCOUNT'!A219="","",'NEW ACCOUNT'!C219)</f>
        <v/>
      </c>
      <c r="D218" s="22">
        <f>IF('NEW ACCOUNT'!A219="","",'NEW ACCOUNT'!D219)</f>
        <v/>
      </c>
      <c r="E218" s="22">
        <f>IF('NEW ACCOUNT'!A219="","",'NEW ACCOUNT'!E219)</f>
        <v/>
      </c>
      <c r="F218" s="22">
        <f>IF('NEW ACCOUNT'!A219="","",'NEW ACCOUNT'!F219)</f>
        <v/>
      </c>
      <c r="G218" s="22">
        <f>IF('NEW ACCOUNT'!A219="","",'NEW ACCOUNT'!G219)</f>
        <v/>
      </c>
      <c r="H218" s="22">
        <f>IF('NEW ACCOUNT'!A219="","",'NEW ACCOUNT'!H219)</f>
        <v/>
      </c>
      <c r="I218" s="23">
        <f>IFERROR(IF(A218="","",SUMIF(SAVINGS!$A:$A,A218,SAVINGS!$E:$E)),"")</f>
        <v/>
      </c>
      <c r="J218" s="23">
        <f>IFERROR(IF(A218="","",SUMIF(SAVINGS!$A:$A,A218,SAVINGS!$E:$E)-SUMIF(WITHDRAWALS!$A:$A,A218,WITHDRAWALS!$E:$E)),"")</f>
        <v/>
      </c>
    </row>
    <row r="219" ht="20" customHeight="1">
      <c r="A219" s="18">
        <f>'NEW ACCOUNT'!A220</f>
        <v/>
      </c>
      <c r="B219" s="19">
        <f>IF('NEW ACCOUNT'!A220="","",'NEW ACCOUNT'!B220)</f>
        <v/>
      </c>
      <c r="C219" s="19">
        <f>IF('NEW ACCOUNT'!A220="","",'NEW ACCOUNT'!C220)</f>
        <v/>
      </c>
      <c r="D219" s="19">
        <f>IF('NEW ACCOUNT'!A220="","",'NEW ACCOUNT'!D220)</f>
        <v/>
      </c>
      <c r="E219" s="19">
        <f>IF('NEW ACCOUNT'!A220="","",'NEW ACCOUNT'!E220)</f>
        <v/>
      </c>
      <c r="F219" s="19">
        <f>IF('NEW ACCOUNT'!A220="","",'NEW ACCOUNT'!F220)</f>
        <v/>
      </c>
      <c r="G219" s="19">
        <f>IF('NEW ACCOUNT'!A220="","",'NEW ACCOUNT'!G220)</f>
        <v/>
      </c>
      <c r="H219" s="19">
        <f>IF('NEW ACCOUNT'!A220="","",'NEW ACCOUNT'!H220)</f>
        <v/>
      </c>
      <c r="I219" s="20">
        <f>IFERROR(IF(A219="","",SUMIF(SAVINGS!$A:$A,A219,SAVINGS!$E:$E)),"")</f>
        <v/>
      </c>
      <c r="J219" s="20">
        <f>IFERROR(IF(A219="","",SUMIF(SAVINGS!$A:$A,A219,SAVINGS!$E:$E)-SUMIF(WITHDRAWALS!$A:$A,A219,WITHDRAWALS!$E:$E)),"")</f>
        <v/>
      </c>
    </row>
    <row r="220" ht="20" customHeight="1">
      <c r="A220" s="21">
        <f>'NEW ACCOUNT'!A221</f>
        <v/>
      </c>
      <c r="B220" s="22">
        <f>IF('NEW ACCOUNT'!A221="","",'NEW ACCOUNT'!B221)</f>
        <v/>
      </c>
      <c r="C220" s="22">
        <f>IF('NEW ACCOUNT'!A221="","",'NEW ACCOUNT'!C221)</f>
        <v/>
      </c>
      <c r="D220" s="22">
        <f>IF('NEW ACCOUNT'!A221="","",'NEW ACCOUNT'!D221)</f>
        <v/>
      </c>
      <c r="E220" s="22">
        <f>IF('NEW ACCOUNT'!A221="","",'NEW ACCOUNT'!E221)</f>
        <v/>
      </c>
      <c r="F220" s="22">
        <f>IF('NEW ACCOUNT'!A221="","",'NEW ACCOUNT'!F221)</f>
        <v/>
      </c>
      <c r="G220" s="22">
        <f>IF('NEW ACCOUNT'!A221="","",'NEW ACCOUNT'!G221)</f>
        <v/>
      </c>
      <c r="H220" s="22">
        <f>IF('NEW ACCOUNT'!A221="","",'NEW ACCOUNT'!H221)</f>
        <v/>
      </c>
      <c r="I220" s="23">
        <f>IFERROR(IF(A220="","",SUMIF(SAVINGS!$A:$A,A220,SAVINGS!$E:$E)),"")</f>
        <v/>
      </c>
      <c r="J220" s="23">
        <f>IFERROR(IF(A220="","",SUMIF(SAVINGS!$A:$A,A220,SAVINGS!$E:$E)-SUMIF(WITHDRAWALS!$A:$A,A220,WITHDRAWALS!$E:$E)),"")</f>
        <v/>
      </c>
    </row>
    <row r="221" ht="20" customHeight="1">
      <c r="A221" s="18">
        <f>'NEW ACCOUNT'!A222</f>
        <v/>
      </c>
      <c r="B221" s="19">
        <f>IF('NEW ACCOUNT'!A222="","",'NEW ACCOUNT'!B222)</f>
        <v/>
      </c>
      <c r="C221" s="19">
        <f>IF('NEW ACCOUNT'!A222="","",'NEW ACCOUNT'!C222)</f>
        <v/>
      </c>
      <c r="D221" s="19">
        <f>IF('NEW ACCOUNT'!A222="","",'NEW ACCOUNT'!D222)</f>
        <v/>
      </c>
      <c r="E221" s="19">
        <f>IF('NEW ACCOUNT'!A222="","",'NEW ACCOUNT'!E222)</f>
        <v/>
      </c>
      <c r="F221" s="19">
        <f>IF('NEW ACCOUNT'!A222="","",'NEW ACCOUNT'!F222)</f>
        <v/>
      </c>
      <c r="G221" s="19">
        <f>IF('NEW ACCOUNT'!A222="","",'NEW ACCOUNT'!G222)</f>
        <v/>
      </c>
      <c r="H221" s="19">
        <f>IF('NEW ACCOUNT'!A222="","",'NEW ACCOUNT'!H222)</f>
        <v/>
      </c>
      <c r="I221" s="20">
        <f>IFERROR(IF(A221="","",SUMIF(SAVINGS!$A:$A,A221,SAVINGS!$E:$E)),"")</f>
        <v/>
      </c>
      <c r="J221" s="20">
        <f>IFERROR(IF(A221="","",SUMIF(SAVINGS!$A:$A,A221,SAVINGS!$E:$E)-SUMIF(WITHDRAWALS!$A:$A,A221,WITHDRAWALS!$E:$E)),"")</f>
        <v/>
      </c>
    </row>
    <row r="222" ht="20" customHeight="1">
      <c r="A222" s="21">
        <f>'NEW ACCOUNT'!A223</f>
        <v/>
      </c>
      <c r="B222" s="22">
        <f>IF('NEW ACCOUNT'!A223="","",'NEW ACCOUNT'!B223)</f>
        <v/>
      </c>
      <c r="C222" s="22">
        <f>IF('NEW ACCOUNT'!A223="","",'NEW ACCOUNT'!C223)</f>
        <v/>
      </c>
      <c r="D222" s="22">
        <f>IF('NEW ACCOUNT'!A223="","",'NEW ACCOUNT'!D223)</f>
        <v/>
      </c>
      <c r="E222" s="22">
        <f>IF('NEW ACCOUNT'!A223="","",'NEW ACCOUNT'!E223)</f>
        <v/>
      </c>
      <c r="F222" s="22">
        <f>IF('NEW ACCOUNT'!A223="","",'NEW ACCOUNT'!F223)</f>
        <v/>
      </c>
      <c r="G222" s="22">
        <f>IF('NEW ACCOUNT'!A223="","",'NEW ACCOUNT'!G223)</f>
        <v/>
      </c>
      <c r="H222" s="22">
        <f>IF('NEW ACCOUNT'!A223="","",'NEW ACCOUNT'!H223)</f>
        <v/>
      </c>
      <c r="I222" s="23">
        <f>IFERROR(IF(A222="","",SUMIF(SAVINGS!$A:$A,A222,SAVINGS!$E:$E)),"")</f>
        <v/>
      </c>
      <c r="J222" s="23">
        <f>IFERROR(IF(A222="","",SUMIF(SAVINGS!$A:$A,A222,SAVINGS!$E:$E)-SUMIF(WITHDRAWALS!$A:$A,A222,WITHDRAWALS!$E:$E)),"")</f>
        <v/>
      </c>
    </row>
    <row r="223" ht="20" customHeight="1">
      <c r="A223" s="18">
        <f>'NEW ACCOUNT'!A224</f>
        <v/>
      </c>
      <c r="B223" s="19">
        <f>IF('NEW ACCOUNT'!A224="","",'NEW ACCOUNT'!B224)</f>
        <v/>
      </c>
      <c r="C223" s="19">
        <f>IF('NEW ACCOUNT'!A224="","",'NEW ACCOUNT'!C224)</f>
        <v/>
      </c>
      <c r="D223" s="19">
        <f>IF('NEW ACCOUNT'!A224="","",'NEW ACCOUNT'!D224)</f>
        <v/>
      </c>
      <c r="E223" s="19">
        <f>IF('NEW ACCOUNT'!A224="","",'NEW ACCOUNT'!E224)</f>
        <v/>
      </c>
      <c r="F223" s="19">
        <f>IF('NEW ACCOUNT'!A224="","",'NEW ACCOUNT'!F224)</f>
        <v/>
      </c>
      <c r="G223" s="19">
        <f>IF('NEW ACCOUNT'!A224="","",'NEW ACCOUNT'!G224)</f>
        <v/>
      </c>
      <c r="H223" s="19">
        <f>IF('NEW ACCOUNT'!A224="","",'NEW ACCOUNT'!H224)</f>
        <v/>
      </c>
      <c r="I223" s="20">
        <f>IFERROR(IF(A223="","",SUMIF(SAVINGS!$A:$A,A223,SAVINGS!$E:$E)),"")</f>
        <v/>
      </c>
      <c r="J223" s="20">
        <f>IFERROR(IF(A223="","",SUMIF(SAVINGS!$A:$A,A223,SAVINGS!$E:$E)-SUMIF(WITHDRAWALS!$A:$A,A223,WITHDRAWALS!$E:$E)),"")</f>
        <v/>
      </c>
    </row>
    <row r="224" ht="20" customHeight="1">
      <c r="A224" s="21">
        <f>'NEW ACCOUNT'!A225</f>
        <v/>
      </c>
      <c r="B224" s="22">
        <f>IF('NEW ACCOUNT'!A225="","",'NEW ACCOUNT'!B225)</f>
        <v/>
      </c>
      <c r="C224" s="22">
        <f>IF('NEW ACCOUNT'!A225="","",'NEW ACCOUNT'!C225)</f>
        <v/>
      </c>
      <c r="D224" s="22">
        <f>IF('NEW ACCOUNT'!A225="","",'NEW ACCOUNT'!D225)</f>
        <v/>
      </c>
      <c r="E224" s="22">
        <f>IF('NEW ACCOUNT'!A225="","",'NEW ACCOUNT'!E225)</f>
        <v/>
      </c>
      <c r="F224" s="22">
        <f>IF('NEW ACCOUNT'!A225="","",'NEW ACCOUNT'!F225)</f>
        <v/>
      </c>
      <c r="G224" s="22">
        <f>IF('NEW ACCOUNT'!A225="","",'NEW ACCOUNT'!G225)</f>
        <v/>
      </c>
      <c r="H224" s="22">
        <f>IF('NEW ACCOUNT'!A225="","",'NEW ACCOUNT'!H225)</f>
        <v/>
      </c>
      <c r="I224" s="23">
        <f>IFERROR(IF(A224="","",SUMIF(SAVINGS!$A:$A,A224,SAVINGS!$E:$E)),"")</f>
        <v/>
      </c>
      <c r="J224" s="23">
        <f>IFERROR(IF(A224="","",SUMIF(SAVINGS!$A:$A,A224,SAVINGS!$E:$E)-SUMIF(WITHDRAWALS!$A:$A,A224,WITHDRAWALS!$E:$E)),"")</f>
        <v/>
      </c>
    </row>
    <row r="225" ht="20" customHeight="1">
      <c r="A225" s="18">
        <f>'NEW ACCOUNT'!A226</f>
        <v/>
      </c>
      <c r="B225" s="19">
        <f>IF('NEW ACCOUNT'!A226="","",'NEW ACCOUNT'!B226)</f>
        <v/>
      </c>
      <c r="C225" s="19">
        <f>IF('NEW ACCOUNT'!A226="","",'NEW ACCOUNT'!C226)</f>
        <v/>
      </c>
      <c r="D225" s="19">
        <f>IF('NEW ACCOUNT'!A226="","",'NEW ACCOUNT'!D226)</f>
        <v/>
      </c>
      <c r="E225" s="19">
        <f>IF('NEW ACCOUNT'!A226="","",'NEW ACCOUNT'!E226)</f>
        <v/>
      </c>
      <c r="F225" s="19">
        <f>IF('NEW ACCOUNT'!A226="","",'NEW ACCOUNT'!F226)</f>
        <v/>
      </c>
      <c r="G225" s="19">
        <f>IF('NEW ACCOUNT'!A226="","",'NEW ACCOUNT'!G226)</f>
        <v/>
      </c>
      <c r="H225" s="19">
        <f>IF('NEW ACCOUNT'!A226="","",'NEW ACCOUNT'!H226)</f>
        <v/>
      </c>
      <c r="I225" s="20">
        <f>IFERROR(IF(A225="","",SUMIF(SAVINGS!$A:$A,A225,SAVINGS!$E:$E)),"")</f>
        <v/>
      </c>
      <c r="J225" s="20">
        <f>IFERROR(IF(A225="","",SUMIF(SAVINGS!$A:$A,A225,SAVINGS!$E:$E)-SUMIF(WITHDRAWALS!$A:$A,A225,WITHDRAWALS!$E:$E)),"")</f>
        <v/>
      </c>
    </row>
    <row r="226" ht="20" customHeight="1">
      <c r="A226" s="21">
        <f>'NEW ACCOUNT'!A227</f>
        <v/>
      </c>
      <c r="B226" s="22">
        <f>IF('NEW ACCOUNT'!A227="","",'NEW ACCOUNT'!B227)</f>
        <v/>
      </c>
      <c r="C226" s="22">
        <f>IF('NEW ACCOUNT'!A227="","",'NEW ACCOUNT'!C227)</f>
        <v/>
      </c>
      <c r="D226" s="22">
        <f>IF('NEW ACCOUNT'!A227="","",'NEW ACCOUNT'!D227)</f>
        <v/>
      </c>
      <c r="E226" s="22">
        <f>IF('NEW ACCOUNT'!A227="","",'NEW ACCOUNT'!E227)</f>
        <v/>
      </c>
      <c r="F226" s="22">
        <f>IF('NEW ACCOUNT'!A227="","",'NEW ACCOUNT'!F227)</f>
        <v/>
      </c>
      <c r="G226" s="22">
        <f>IF('NEW ACCOUNT'!A227="","",'NEW ACCOUNT'!G227)</f>
        <v/>
      </c>
      <c r="H226" s="22">
        <f>IF('NEW ACCOUNT'!A227="","",'NEW ACCOUNT'!H227)</f>
        <v/>
      </c>
      <c r="I226" s="23">
        <f>IFERROR(IF(A226="","",SUMIF(SAVINGS!$A:$A,A226,SAVINGS!$E:$E)),"")</f>
        <v/>
      </c>
      <c r="J226" s="23">
        <f>IFERROR(IF(A226="","",SUMIF(SAVINGS!$A:$A,A226,SAVINGS!$E:$E)-SUMIF(WITHDRAWALS!$A:$A,A226,WITHDRAWALS!$E:$E)),"")</f>
        <v/>
      </c>
    </row>
    <row r="227" ht="20" customHeight="1">
      <c r="A227" s="18">
        <f>'NEW ACCOUNT'!A228</f>
        <v/>
      </c>
      <c r="B227" s="19">
        <f>IF('NEW ACCOUNT'!A228="","",'NEW ACCOUNT'!B228)</f>
        <v/>
      </c>
      <c r="C227" s="19">
        <f>IF('NEW ACCOUNT'!A228="","",'NEW ACCOUNT'!C228)</f>
        <v/>
      </c>
      <c r="D227" s="19">
        <f>IF('NEW ACCOUNT'!A228="","",'NEW ACCOUNT'!D228)</f>
        <v/>
      </c>
      <c r="E227" s="19">
        <f>IF('NEW ACCOUNT'!A228="","",'NEW ACCOUNT'!E228)</f>
        <v/>
      </c>
      <c r="F227" s="19">
        <f>IF('NEW ACCOUNT'!A228="","",'NEW ACCOUNT'!F228)</f>
        <v/>
      </c>
      <c r="G227" s="19">
        <f>IF('NEW ACCOUNT'!A228="","",'NEW ACCOUNT'!G228)</f>
        <v/>
      </c>
      <c r="H227" s="19">
        <f>IF('NEW ACCOUNT'!A228="","",'NEW ACCOUNT'!H228)</f>
        <v/>
      </c>
      <c r="I227" s="20">
        <f>IFERROR(IF(A227="","",SUMIF(SAVINGS!$A:$A,A227,SAVINGS!$E:$E)),"")</f>
        <v/>
      </c>
      <c r="J227" s="20">
        <f>IFERROR(IF(A227="","",SUMIF(SAVINGS!$A:$A,A227,SAVINGS!$E:$E)-SUMIF(WITHDRAWALS!$A:$A,A227,WITHDRAWALS!$E:$E)),"")</f>
        <v/>
      </c>
    </row>
    <row r="228" ht="20" customHeight="1">
      <c r="A228" s="21">
        <f>'NEW ACCOUNT'!A229</f>
        <v/>
      </c>
      <c r="B228" s="22">
        <f>IF('NEW ACCOUNT'!A229="","",'NEW ACCOUNT'!B229)</f>
        <v/>
      </c>
      <c r="C228" s="22">
        <f>IF('NEW ACCOUNT'!A229="","",'NEW ACCOUNT'!C229)</f>
        <v/>
      </c>
      <c r="D228" s="22">
        <f>IF('NEW ACCOUNT'!A229="","",'NEW ACCOUNT'!D229)</f>
        <v/>
      </c>
      <c r="E228" s="22">
        <f>IF('NEW ACCOUNT'!A229="","",'NEW ACCOUNT'!E229)</f>
        <v/>
      </c>
      <c r="F228" s="22">
        <f>IF('NEW ACCOUNT'!A229="","",'NEW ACCOUNT'!F229)</f>
        <v/>
      </c>
      <c r="G228" s="22">
        <f>IF('NEW ACCOUNT'!A229="","",'NEW ACCOUNT'!G229)</f>
        <v/>
      </c>
      <c r="H228" s="22">
        <f>IF('NEW ACCOUNT'!A229="","",'NEW ACCOUNT'!H229)</f>
        <v/>
      </c>
      <c r="I228" s="23">
        <f>IFERROR(IF(A228="","",SUMIF(SAVINGS!$A:$A,A228,SAVINGS!$E:$E)),"")</f>
        <v/>
      </c>
      <c r="J228" s="23">
        <f>IFERROR(IF(A228="","",SUMIF(SAVINGS!$A:$A,A228,SAVINGS!$E:$E)-SUMIF(WITHDRAWALS!$A:$A,A228,WITHDRAWALS!$E:$E)),"")</f>
        <v/>
      </c>
    </row>
    <row r="229" ht="20" customHeight="1">
      <c r="A229" s="18">
        <f>'NEW ACCOUNT'!A230</f>
        <v/>
      </c>
      <c r="B229" s="19">
        <f>IF('NEW ACCOUNT'!A230="","",'NEW ACCOUNT'!B230)</f>
        <v/>
      </c>
      <c r="C229" s="19">
        <f>IF('NEW ACCOUNT'!A230="","",'NEW ACCOUNT'!C230)</f>
        <v/>
      </c>
      <c r="D229" s="19">
        <f>IF('NEW ACCOUNT'!A230="","",'NEW ACCOUNT'!D230)</f>
        <v/>
      </c>
      <c r="E229" s="19">
        <f>IF('NEW ACCOUNT'!A230="","",'NEW ACCOUNT'!E230)</f>
        <v/>
      </c>
      <c r="F229" s="19">
        <f>IF('NEW ACCOUNT'!A230="","",'NEW ACCOUNT'!F230)</f>
        <v/>
      </c>
      <c r="G229" s="19">
        <f>IF('NEW ACCOUNT'!A230="","",'NEW ACCOUNT'!G230)</f>
        <v/>
      </c>
      <c r="H229" s="19">
        <f>IF('NEW ACCOUNT'!A230="","",'NEW ACCOUNT'!H230)</f>
        <v/>
      </c>
      <c r="I229" s="20">
        <f>IFERROR(IF(A229="","",SUMIF(SAVINGS!$A:$A,A229,SAVINGS!$E:$E)),"")</f>
        <v/>
      </c>
      <c r="J229" s="20">
        <f>IFERROR(IF(A229="","",SUMIF(SAVINGS!$A:$A,A229,SAVINGS!$E:$E)-SUMIF(WITHDRAWALS!$A:$A,A229,WITHDRAWALS!$E:$E)),"")</f>
        <v/>
      </c>
    </row>
    <row r="230" ht="20" customHeight="1">
      <c r="A230" s="21">
        <f>'NEW ACCOUNT'!A231</f>
        <v/>
      </c>
      <c r="B230" s="22">
        <f>IF('NEW ACCOUNT'!A231="","",'NEW ACCOUNT'!B231)</f>
        <v/>
      </c>
      <c r="C230" s="22">
        <f>IF('NEW ACCOUNT'!A231="","",'NEW ACCOUNT'!C231)</f>
        <v/>
      </c>
      <c r="D230" s="22">
        <f>IF('NEW ACCOUNT'!A231="","",'NEW ACCOUNT'!D231)</f>
        <v/>
      </c>
      <c r="E230" s="22">
        <f>IF('NEW ACCOUNT'!A231="","",'NEW ACCOUNT'!E231)</f>
        <v/>
      </c>
      <c r="F230" s="22">
        <f>IF('NEW ACCOUNT'!A231="","",'NEW ACCOUNT'!F231)</f>
        <v/>
      </c>
      <c r="G230" s="22">
        <f>IF('NEW ACCOUNT'!A231="","",'NEW ACCOUNT'!G231)</f>
        <v/>
      </c>
      <c r="H230" s="22">
        <f>IF('NEW ACCOUNT'!A231="","",'NEW ACCOUNT'!H231)</f>
        <v/>
      </c>
      <c r="I230" s="23">
        <f>IFERROR(IF(A230="","",SUMIF(SAVINGS!$A:$A,A230,SAVINGS!$E:$E)),"")</f>
        <v/>
      </c>
      <c r="J230" s="23">
        <f>IFERROR(IF(A230="","",SUMIF(SAVINGS!$A:$A,A230,SAVINGS!$E:$E)-SUMIF(WITHDRAWALS!$A:$A,A230,WITHDRAWALS!$E:$E)),"")</f>
        <v/>
      </c>
    </row>
    <row r="231" ht="20" customHeight="1">
      <c r="A231" s="18">
        <f>'NEW ACCOUNT'!A232</f>
        <v/>
      </c>
      <c r="B231" s="19">
        <f>IF('NEW ACCOUNT'!A232="","",'NEW ACCOUNT'!B232)</f>
        <v/>
      </c>
      <c r="C231" s="19">
        <f>IF('NEW ACCOUNT'!A232="","",'NEW ACCOUNT'!C232)</f>
        <v/>
      </c>
      <c r="D231" s="19">
        <f>IF('NEW ACCOUNT'!A232="","",'NEW ACCOUNT'!D232)</f>
        <v/>
      </c>
      <c r="E231" s="19">
        <f>IF('NEW ACCOUNT'!A232="","",'NEW ACCOUNT'!E232)</f>
        <v/>
      </c>
      <c r="F231" s="19">
        <f>IF('NEW ACCOUNT'!A232="","",'NEW ACCOUNT'!F232)</f>
        <v/>
      </c>
      <c r="G231" s="19">
        <f>IF('NEW ACCOUNT'!A232="","",'NEW ACCOUNT'!G232)</f>
        <v/>
      </c>
      <c r="H231" s="19">
        <f>IF('NEW ACCOUNT'!A232="","",'NEW ACCOUNT'!H232)</f>
        <v/>
      </c>
      <c r="I231" s="20">
        <f>IFERROR(IF(A231="","",SUMIF(SAVINGS!$A:$A,A231,SAVINGS!$E:$E)),"")</f>
        <v/>
      </c>
      <c r="J231" s="20">
        <f>IFERROR(IF(A231="","",SUMIF(SAVINGS!$A:$A,A231,SAVINGS!$E:$E)-SUMIF(WITHDRAWALS!$A:$A,A231,WITHDRAWALS!$E:$E)),"")</f>
        <v/>
      </c>
    </row>
    <row r="232" ht="20" customHeight="1">
      <c r="A232" s="21">
        <f>'NEW ACCOUNT'!A233</f>
        <v/>
      </c>
      <c r="B232" s="22">
        <f>IF('NEW ACCOUNT'!A233="","",'NEW ACCOUNT'!B233)</f>
        <v/>
      </c>
      <c r="C232" s="22">
        <f>IF('NEW ACCOUNT'!A233="","",'NEW ACCOUNT'!C233)</f>
        <v/>
      </c>
      <c r="D232" s="22">
        <f>IF('NEW ACCOUNT'!A233="","",'NEW ACCOUNT'!D233)</f>
        <v/>
      </c>
      <c r="E232" s="22">
        <f>IF('NEW ACCOUNT'!A233="","",'NEW ACCOUNT'!E233)</f>
        <v/>
      </c>
      <c r="F232" s="22">
        <f>IF('NEW ACCOUNT'!A233="","",'NEW ACCOUNT'!F233)</f>
        <v/>
      </c>
      <c r="G232" s="22">
        <f>IF('NEW ACCOUNT'!A233="","",'NEW ACCOUNT'!G233)</f>
        <v/>
      </c>
      <c r="H232" s="22">
        <f>IF('NEW ACCOUNT'!A233="","",'NEW ACCOUNT'!H233)</f>
        <v/>
      </c>
      <c r="I232" s="23">
        <f>IFERROR(IF(A232="","",SUMIF(SAVINGS!$A:$A,A232,SAVINGS!$E:$E)),"")</f>
        <v/>
      </c>
      <c r="J232" s="23">
        <f>IFERROR(IF(A232="","",SUMIF(SAVINGS!$A:$A,A232,SAVINGS!$E:$E)-SUMIF(WITHDRAWALS!$A:$A,A232,WITHDRAWALS!$E:$E)),"")</f>
        <v/>
      </c>
    </row>
    <row r="233" ht="20" customHeight="1">
      <c r="A233" s="18">
        <f>'NEW ACCOUNT'!A234</f>
        <v/>
      </c>
      <c r="B233" s="19">
        <f>IF('NEW ACCOUNT'!A234="","",'NEW ACCOUNT'!B234)</f>
        <v/>
      </c>
      <c r="C233" s="19">
        <f>IF('NEW ACCOUNT'!A234="","",'NEW ACCOUNT'!C234)</f>
        <v/>
      </c>
      <c r="D233" s="19">
        <f>IF('NEW ACCOUNT'!A234="","",'NEW ACCOUNT'!D234)</f>
        <v/>
      </c>
      <c r="E233" s="19">
        <f>IF('NEW ACCOUNT'!A234="","",'NEW ACCOUNT'!E234)</f>
        <v/>
      </c>
      <c r="F233" s="19">
        <f>IF('NEW ACCOUNT'!A234="","",'NEW ACCOUNT'!F234)</f>
        <v/>
      </c>
      <c r="G233" s="19">
        <f>IF('NEW ACCOUNT'!A234="","",'NEW ACCOUNT'!G234)</f>
        <v/>
      </c>
      <c r="H233" s="19">
        <f>IF('NEW ACCOUNT'!A234="","",'NEW ACCOUNT'!H234)</f>
        <v/>
      </c>
      <c r="I233" s="20">
        <f>IFERROR(IF(A233="","",SUMIF(SAVINGS!$A:$A,A233,SAVINGS!$E:$E)),"")</f>
        <v/>
      </c>
      <c r="J233" s="20">
        <f>IFERROR(IF(A233="","",SUMIF(SAVINGS!$A:$A,A233,SAVINGS!$E:$E)-SUMIF(WITHDRAWALS!$A:$A,A233,WITHDRAWALS!$E:$E)),"")</f>
        <v/>
      </c>
    </row>
    <row r="234" ht="20" customHeight="1">
      <c r="A234" s="21">
        <f>'NEW ACCOUNT'!A235</f>
        <v/>
      </c>
      <c r="B234" s="22">
        <f>IF('NEW ACCOUNT'!A235="","",'NEW ACCOUNT'!B235)</f>
        <v/>
      </c>
      <c r="C234" s="22">
        <f>IF('NEW ACCOUNT'!A235="","",'NEW ACCOUNT'!C235)</f>
        <v/>
      </c>
      <c r="D234" s="22">
        <f>IF('NEW ACCOUNT'!A235="","",'NEW ACCOUNT'!D235)</f>
        <v/>
      </c>
      <c r="E234" s="22">
        <f>IF('NEW ACCOUNT'!A235="","",'NEW ACCOUNT'!E235)</f>
        <v/>
      </c>
      <c r="F234" s="22">
        <f>IF('NEW ACCOUNT'!A235="","",'NEW ACCOUNT'!F235)</f>
        <v/>
      </c>
      <c r="G234" s="22">
        <f>IF('NEW ACCOUNT'!A235="","",'NEW ACCOUNT'!G235)</f>
        <v/>
      </c>
      <c r="H234" s="22">
        <f>IF('NEW ACCOUNT'!A235="","",'NEW ACCOUNT'!H235)</f>
        <v/>
      </c>
      <c r="I234" s="23">
        <f>IFERROR(IF(A234="","",SUMIF(SAVINGS!$A:$A,A234,SAVINGS!$E:$E)),"")</f>
        <v/>
      </c>
      <c r="J234" s="23">
        <f>IFERROR(IF(A234="","",SUMIF(SAVINGS!$A:$A,A234,SAVINGS!$E:$E)-SUMIF(WITHDRAWALS!$A:$A,A234,WITHDRAWALS!$E:$E)),"")</f>
        <v/>
      </c>
    </row>
    <row r="235" ht="20" customHeight="1">
      <c r="A235" s="18">
        <f>'NEW ACCOUNT'!A236</f>
        <v/>
      </c>
      <c r="B235" s="19">
        <f>IF('NEW ACCOUNT'!A236="","",'NEW ACCOUNT'!B236)</f>
        <v/>
      </c>
      <c r="C235" s="19">
        <f>IF('NEW ACCOUNT'!A236="","",'NEW ACCOUNT'!C236)</f>
        <v/>
      </c>
      <c r="D235" s="19">
        <f>IF('NEW ACCOUNT'!A236="","",'NEW ACCOUNT'!D236)</f>
        <v/>
      </c>
      <c r="E235" s="19">
        <f>IF('NEW ACCOUNT'!A236="","",'NEW ACCOUNT'!E236)</f>
        <v/>
      </c>
      <c r="F235" s="19">
        <f>IF('NEW ACCOUNT'!A236="","",'NEW ACCOUNT'!F236)</f>
        <v/>
      </c>
      <c r="G235" s="19">
        <f>IF('NEW ACCOUNT'!A236="","",'NEW ACCOUNT'!G236)</f>
        <v/>
      </c>
      <c r="H235" s="19">
        <f>IF('NEW ACCOUNT'!A236="","",'NEW ACCOUNT'!H236)</f>
        <v/>
      </c>
      <c r="I235" s="20">
        <f>IFERROR(IF(A235="","",SUMIF(SAVINGS!$A:$A,A235,SAVINGS!$E:$E)),"")</f>
        <v/>
      </c>
      <c r="J235" s="20">
        <f>IFERROR(IF(A235="","",SUMIF(SAVINGS!$A:$A,A235,SAVINGS!$E:$E)-SUMIF(WITHDRAWALS!$A:$A,A235,WITHDRAWALS!$E:$E)),"")</f>
        <v/>
      </c>
    </row>
    <row r="236" ht="20" customHeight="1">
      <c r="A236" s="21">
        <f>'NEW ACCOUNT'!A237</f>
        <v/>
      </c>
      <c r="B236" s="22">
        <f>IF('NEW ACCOUNT'!A237="","",'NEW ACCOUNT'!B237)</f>
        <v/>
      </c>
      <c r="C236" s="22">
        <f>IF('NEW ACCOUNT'!A237="","",'NEW ACCOUNT'!C237)</f>
        <v/>
      </c>
      <c r="D236" s="22">
        <f>IF('NEW ACCOUNT'!A237="","",'NEW ACCOUNT'!D237)</f>
        <v/>
      </c>
      <c r="E236" s="22">
        <f>IF('NEW ACCOUNT'!A237="","",'NEW ACCOUNT'!E237)</f>
        <v/>
      </c>
      <c r="F236" s="22">
        <f>IF('NEW ACCOUNT'!A237="","",'NEW ACCOUNT'!F237)</f>
        <v/>
      </c>
      <c r="G236" s="22">
        <f>IF('NEW ACCOUNT'!A237="","",'NEW ACCOUNT'!G237)</f>
        <v/>
      </c>
      <c r="H236" s="22">
        <f>IF('NEW ACCOUNT'!A237="","",'NEW ACCOUNT'!H237)</f>
        <v/>
      </c>
      <c r="I236" s="23">
        <f>IFERROR(IF(A236="","",SUMIF(SAVINGS!$A:$A,A236,SAVINGS!$E:$E)),"")</f>
        <v/>
      </c>
      <c r="J236" s="23">
        <f>IFERROR(IF(A236="","",SUMIF(SAVINGS!$A:$A,A236,SAVINGS!$E:$E)-SUMIF(WITHDRAWALS!$A:$A,A236,WITHDRAWALS!$E:$E)),"")</f>
        <v/>
      </c>
    </row>
    <row r="237" ht="20" customHeight="1">
      <c r="A237" s="18">
        <f>'NEW ACCOUNT'!A238</f>
        <v/>
      </c>
      <c r="B237" s="19">
        <f>IF('NEW ACCOUNT'!A238="","",'NEW ACCOUNT'!B238)</f>
        <v/>
      </c>
      <c r="C237" s="19">
        <f>IF('NEW ACCOUNT'!A238="","",'NEW ACCOUNT'!C238)</f>
        <v/>
      </c>
      <c r="D237" s="19">
        <f>IF('NEW ACCOUNT'!A238="","",'NEW ACCOUNT'!D238)</f>
        <v/>
      </c>
      <c r="E237" s="19">
        <f>IF('NEW ACCOUNT'!A238="","",'NEW ACCOUNT'!E238)</f>
        <v/>
      </c>
      <c r="F237" s="19">
        <f>IF('NEW ACCOUNT'!A238="","",'NEW ACCOUNT'!F238)</f>
        <v/>
      </c>
      <c r="G237" s="19">
        <f>IF('NEW ACCOUNT'!A238="","",'NEW ACCOUNT'!G238)</f>
        <v/>
      </c>
      <c r="H237" s="19">
        <f>IF('NEW ACCOUNT'!A238="","",'NEW ACCOUNT'!H238)</f>
        <v/>
      </c>
      <c r="I237" s="20">
        <f>IFERROR(IF(A237="","",SUMIF(SAVINGS!$A:$A,A237,SAVINGS!$E:$E)),"")</f>
        <v/>
      </c>
      <c r="J237" s="20">
        <f>IFERROR(IF(A237="","",SUMIF(SAVINGS!$A:$A,A237,SAVINGS!$E:$E)-SUMIF(WITHDRAWALS!$A:$A,A237,WITHDRAWALS!$E:$E)),"")</f>
        <v/>
      </c>
    </row>
    <row r="238" ht="20" customHeight="1">
      <c r="A238" s="21">
        <f>'NEW ACCOUNT'!A239</f>
        <v/>
      </c>
      <c r="B238" s="22">
        <f>IF('NEW ACCOUNT'!A239="","",'NEW ACCOUNT'!B239)</f>
        <v/>
      </c>
      <c r="C238" s="22">
        <f>IF('NEW ACCOUNT'!A239="","",'NEW ACCOUNT'!C239)</f>
        <v/>
      </c>
      <c r="D238" s="22">
        <f>IF('NEW ACCOUNT'!A239="","",'NEW ACCOUNT'!D239)</f>
        <v/>
      </c>
      <c r="E238" s="22">
        <f>IF('NEW ACCOUNT'!A239="","",'NEW ACCOUNT'!E239)</f>
        <v/>
      </c>
      <c r="F238" s="22">
        <f>IF('NEW ACCOUNT'!A239="","",'NEW ACCOUNT'!F239)</f>
        <v/>
      </c>
      <c r="G238" s="22">
        <f>IF('NEW ACCOUNT'!A239="","",'NEW ACCOUNT'!G239)</f>
        <v/>
      </c>
      <c r="H238" s="22">
        <f>IF('NEW ACCOUNT'!A239="","",'NEW ACCOUNT'!H239)</f>
        <v/>
      </c>
      <c r="I238" s="23">
        <f>IFERROR(IF(A238="","",SUMIF(SAVINGS!$A:$A,A238,SAVINGS!$E:$E)),"")</f>
        <v/>
      </c>
      <c r="J238" s="23">
        <f>IFERROR(IF(A238="","",SUMIF(SAVINGS!$A:$A,A238,SAVINGS!$E:$E)-SUMIF(WITHDRAWALS!$A:$A,A238,WITHDRAWALS!$E:$E)),"")</f>
        <v/>
      </c>
    </row>
    <row r="239" ht="20" customHeight="1">
      <c r="A239" s="18">
        <f>'NEW ACCOUNT'!A240</f>
        <v/>
      </c>
      <c r="B239" s="19">
        <f>IF('NEW ACCOUNT'!A240="","",'NEW ACCOUNT'!B240)</f>
        <v/>
      </c>
      <c r="C239" s="19">
        <f>IF('NEW ACCOUNT'!A240="","",'NEW ACCOUNT'!C240)</f>
        <v/>
      </c>
      <c r="D239" s="19">
        <f>IF('NEW ACCOUNT'!A240="","",'NEW ACCOUNT'!D240)</f>
        <v/>
      </c>
      <c r="E239" s="19">
        <f>IF('NEW ACCOUNT'!A240="","",'NEW ACCOUNT'!E240)</f>
        <v/>
      </c>
      <c r="F239" s="19">
        <f>IF('NEW ACCOUNT'!A240="","",'NEW ACCOUNT'!F240)</f>
        <v/>
      </c>
      <c r="G239" s="19">
        <f>IF('NEW ACCOUNT'!A240="","",'NEW ACCOUNT'!G240)</f>
        <v/>
      </c>
      <c r="H239" s="19">
        <f>IF('NEW ACCOUNT'!A240="","",'NEW ACCOUNT'!H240)</f>
        <v/>
      </c>
      <c r="I239" s="20">
        <f>IFERROR(IF(A239="","",SUMIF(SAVINGS!$A:$A,A239,SAVINGS!$E:$E)),"")</f>
        <v/>
      </c>
      <c r="J239" s="20">
        <f>IFERROR(IF(A239="","",SUMIF(SAVINGS!$A:$A,A239,SAVINGS!$E:$E)-SUMIF(WITHDRAWALS!$A:$A,A239,WITHDRAWALS!$E:$E)),"")</f>
        <v/>
      </c>
    </row>
    <row r="240" ht="20" customHeight="1">
      <c r="A240" s="21">
        <f>'NEW ACCOUNT'!A241</f>
        <v/>
      </c>
      <c r="B240" s="22">
        <f>IF('NEW ACCOUNT'!A241="","",'NEW ACCOUNT'!B241)</f>
        <v/>
      </c>
      <c r="C240" s="22">
        <f>IF('NEW ACCOUNT'!A241="","",'NEW ACCOUNT'!C241)</f>
        <v/>
      </c>
      <c r="D240" s="22">
        <f>IF('NEW ACCOUNT'!A241="","",'NEW ACCOUNT'!D241)</f>
        <v/>
      </c>
      <c r="E240" s="22">
        <f>IF('NEW ACCOUNT'!A241="","",'NEW ACCOUNT'!E241)</f>
        <v/>
      </c>
      <c r="F240" s="22">
        <f>IF('NEW ACCOUNT'!A241="","",'NEW ACCOUNT'!F241)</f>
        <v/>
      </c>
      <c r="G240" s="22">
        <f>IF('NEW ACCOUNT'!A241="","",'NEW ACCOUNT'!G241)</f>
        <v/>
      </c>
      <c r="H240" s="22">
        <f>IF('NEW ACCOUNT'!A241="","",'NEW ACCOUNT'!H241)</f>
        <v/>
      </c>
      <c r="I240" s="23">
        <f>IFERROR(IF(A240="","",SUMIF(SAVINGS!$A:$A,A240,SAVINGS!$E:$E)),"")</f>
        <v/>
      </c>
      <c r="J240" s="23">
        <f>IFERROR(IF(A240="","",SUMIF(SAVINGS!$A:$A,A240,SAVINGS!$E:$E)-SUMIF(WITHDRAWALS!$A:$A,A240,WITHDRAWALS!$E:$E)),"")</f>
        <v/>
      </c>
    </row>
    <row r="241" ht="20" customHeight="1">
      <c r="A241" s="18">
        <f>'NEW ACCOUNT'!A242</f>
        <v/>
      </c>
      <c r="B241" s="19">
        <f>IF('NEW ACCOUNT'!A242="","",'NEW ACCOUNT'!B242)</f>
        <v/>
      </c>
      <c r="C241" s="19">
        <f>IF('NEW ACCOUNT'!A242="","",'NEW ACCOUNT'!C242)</f>
        <v/>
      </c>
      <c r="D241" s="19">
        <f>IF('NEW ACCOUNT'!A242="","",'NEW ACCOUNT'!D242)</f>
        <v/>
      </c>
      <c r="E241" s="19">
        <f>IF('NEW ACCOUNT'!A242="","",'NEW ACCOUNT'!E242)</f>
        <v/>
      </c>
      <c r="F241" s="19">
        <f>IF('NEW ACCOUNT'!A242="","",'NEW ACCOUNT'!F242)</f>
        <v/>
      </c>
      <c r="G241" s="19">
        <f>IF('NEW ACCOUNT'!A242="","",'NEW ACCOUNT'!G242)</f>
        <v/>
      </c>
      <c r="H241" s="19">
        <f>IF('NEW ACCOUNT'!A242="","",'NEW ACCOUNT'!H242)</f>
        <v/>
      </c>
      <c r="I241" s="20">
        <f>IFERROR(IF(A241="","",SUMIF(SAVINGS!$A:$A,A241,SAVINGS!$E:$E)),"")</f>
        <v/>
      </c>
      <c r="J241" s="20">
        <f>IFERROR(IF(A241="","",SUMIF(SAVINGS!$A:$A,A241,SAVINGS!$E:$E)-SUMIF(WITHDRAWALS!$A:$A,A241,WITHDRAWALS!$E:$E)),"")</f>
        <v/>
      </c>
    </row>
    <row r="242" ht="20" customHeight="1">
      <c r="A242" s="21">
        <f>'NEW ACCOUNT'!A243</f>
        <v/>
      </c>
      <c r="B242" s="22">
        <f>IF('NEW ACCOUNT'!A243="","",'NEW ACCOUNT'!B243)</f>
        <v/>
      </c>
      <c r="C242" s="22">
        <f>IF('NEW ACCOUNT'!A243="","",'NEW ACCOUNT'!C243)</f>
        <v/>
      </c>
      <c r="D242" s="22">
        <f>IF('NEW ACCOUNT'!A243="","",'NEW ACCOUNT'!D243)</f>
        <v/>
      </c>
      <c r="E242" s="22">
        <f>IF('NEW ACCOUNT'!A243="","",'NEW ACCOUNT'!E243)</f>
        <v/>
      </c>
      <c r="F242" s="22">
        <f>IF('NEW ACCOUNT'!A243="","",'NEW ACCOUNT'!F243)</f>
        <v/>
      </c>
      <c r="G242" s="22">
        <f>IF('NEW ACCOUNT'!A243="","",'NEW ACCOUNT'!G243)</f>
        <v/>
      </c>
      <c r="H242" s="22">
        <f>IF('NEW ACCOUNT'!A243="","",'NEW ACCOUNT'!H243)</f>
        <v/>
      </c>
      <c r="I242" s="23">
        <f>IFERROR(IF(A242="","",SUMIF(SAVINGS!$A:$A,A242,SAVINGS!$E:$E)),"")</f>
        <v/>
      </c>
      <c r="J242" s="23">
        <f>IFERROR(IF(A242="","",SUMIF(SAVINGS!$A:$A,A242,SAVINGS!$E:$E)-SUMIF(WITHDRAWALS!$A:$A,A242,WITHDRAWALS!$E:$E)),"")</f>
        <v/>
      </c>
    </row>
    <row r="243" ht="20" customHeight="1">
      <c r="A243" s="18">
        <f>'NEW ACCOUNT'!A244</f>
        <v/>
      </c>
      <c r="B243" s="19">
        <f>IF('NEW ACCOUNT'!A244="","",'NEW ACCOUNT'!B244)</f>
        <v/>
      </c>
      <c r="C243" s="19">
        <f>IF('NEW ACCOUNT'!A244="","",'NEW ACCOUNT'!C244)</f>
        <v/>
      </c>
      <c r="D243" s="19">
        <f>IF('NEW ACCOUNT'!A244="","",'NEW ACCOUNT'!D244)</f>
        <v/>
      </c>
      <c r="E243" s="19">
        <f>IF('NEW ACCOUNT'!A244="","",'NEW ACCOUNT'!E244)</f>
        <v/>
      </c>
      <c r="F243" s="19">
        <f>IF('NEW ACCOUNT'!A244="","",'NEW ACCOUNT'!F244)</f>
        <v/>
      </c>
      <c r="G243" s="19">
        <f>IF('NEW ACCOUNT'!A244="","",'NEW ACCOUNT'!G244)</f>
        <v/>
      </c>
      <c r="H243" s="19">
        <f>IF('NEW ACCOUNT'!A244="","",'NEW ACCOUNT'!H244)</f>
        <v/>
      </c>
      <c r="I243" s="20">
        <f>IFERROR(IF(A243="","",SUMIF(SAVINGS!$A:$A,A243,SAVINGS!$E:$E)),"")</f>
        <v/>
      </c>
      <c r="J243" s="20">
        <f>IFERROR(IF(A243="","",SUMIF(SAVINGS!$A:$A,A243,SAVINGS!$E:$E)-SUMIF(WITHDRAWALS!$A:$A,A243,WITHDRAWALS!$E:$E)),"")</f>
        <v/>
      </c>
    </row>
    <row r="244" ht="20" customHeight="1">
      <c r="A244" s="21">
        <f>'NEW ACCOUNT'!A245</f>
        <v/>
      </c>
      <c r="B244" s="22">
        <f>IF('NEW ACCOUNT'!A245="","",'NEW ACCOUNT'!B245)</f>
        <v/>
      </c>
      <c r="C244" s="22">
        <f>IF('NEW ACCOUNT'!A245="","",'NEW ACCOUNT'!C245)</f>
        <v/>
      </c>
      <c r="D244" s="22">
        <f>IF('NEW ACCOUNT'!A245="","",'NEW ACCOUNT'!D245)</f>
        <v/>
      </c>
      <c r="E244" s="22">
        <f>IF('NEW ACCOUNT'!A245="","",'NEW ACCOUNT'!E245)</f>
        <v/>
      </c>
      <c r="F244" s="22">
        <f>IF('NEW ACCOUNT'!A245="","",'NEW ACCOUNT'!F245)</f>
        <v/>
      </c>
      <c r="G244" s="22">
        <f>IF('NEW ACCOUNT'!A245="","",'NEW ACCOUNT'!G245)</f>
        <v/>
      </c>
      <c r="H244" s="22">
        <f>IF('NEW ACCOUNT'!A245="","",'NEW ACCOUNT'!H245)</f>
        <v/>
      </c>
      <c r="I244" s="23">
        <f>IFERROR(IF(A244="","",SUMIF(SAVINGS!$A:$A,A244,SAVINGS!$E:$E)),"")</f>
        <v/>
      </c>
      <c r="J244" s="23">
        <f>IFERROR(IF(A244="","",SUMIF(SAVINGS!$A:$A,A244,SAVINGS!$E:$E)-SUMIF(WITHDRAWALS!$A:$A,A244,WITHDRAWALS!$E:$E)),"")</f>
        <v/>
      </c>
    </row>
    <row r="245" ht="20" customHeight="1">
      <c r="A245" s="18">
        <f>'NEW ACCOUNT'!A246</f>
        <v/>
      </c>
      <c r="B245" s="19">
        <f>IF('NEW ACCOUNT'!A246="","",'NEW ACCOUNT'!B246)</f>
        <v/>
      </c>
      <c r="C245" s="19">
        <f>IF('NEW ACCOUNT'!A246="","",'NEW ACCOUNT'!C246)</f>
        <v/>
      </c>
      <c r="D245" s="19">
        <f>IF('NEW ACCOUNT'!A246="","",'NEW ACCOUNT'!D246)</f>
        <v/>
      </c>
      <c r="E245" s="19">
        <f>IF('NEW ACCOUNT'!A246="","",'NEW ACCOUNT'!E246)</f>
        <v/>
      </c>
      <c r="F245" s="19">
        <f>IF('NEW ACCOUNT'!A246="","",'NEW ACCOUNT'!F246)</f>
        <v/>
      </c>
      <c r="G245" s="19">
        <f>IF('NEW ACCOUNT'!A246="","",'NEW ACCOUNT'!G246)</f>
        <v/>
      </c>
      <c r="H245" s="19">
        <f>IF('NEW ACCOUNT'!A246="","",'NEW ACCOUNT'!H246)</f>
        <v/>
      </c>
      <c r="I245" s="20">
        <f>IFERROR(IF(A245="","",SUMIF(SAVINGS!$A:$A,A245,SAVINGS!$E:$E)),"")</f>
        <v/>
      </c>
      <c r="J245" s="20">
        <f>IFERROR(IF(A245="","",SUMIF(SAVINGS!$A:$A,A245,SAVINGS!$E:$E)-SUMIF(WITHDRAWALS!$A:$A,A245,WITHDRAWALS!$E:$E)),"")</f>
        <v/>
      </c>
    </row>
    <row r="246" ht="20" customHeight="1">
      <c r="A246" s="21">
        <f>'NEW ACCOUNT'!A247</f>
        <v/>
      </c>
      <c r="B246" s="22">
        <f>IF('NEW ACCOUNT'!A247="","",'NEW ACCOUNT'!B247)</f>
        <v/>
      </c>
      <c r="C246" s="22">
        <f>IF('NEW ACCOUNT'!A247="","",'NEW ACCOUNT'!C247)</f>
        <v/>
      </c>
      <c r="D246" s="22">
        <f>IF('NEW ACCOUNT'!A247="","",'NEW ACCOUNT'!D247)</f>
        <v/>
      </c>
      <c r="E246" s="22">
        <f>IF('NEW ACCOUNT'!A247="","",'NEW ACCOUNT'!E247)</f>
        <v/>
      </c>
      <c r="F246" s="22">
        <f>IF('NEW ACCOUNT'!A247="","",'NEW ACCOUNT'!F247)</f>
        <v/>
      </c>
      <c r="G246" s="22">
        <f>IF('NEW ACCOUNT'!A247="","",'NEW ACCOUNT'!G247)</f>
        <v/>
      </c>
      <c r="H246" s="22">
        <f>IF('NEW ACCOUNT'!A247="","",'NEW ACCOUNT'!H247)</f>
        <v/>
      </c>
      <c r="I246" s="23">
        <f>IFERROR(IF(A246="","",SUMIF(SAVINGS!$A:$A,A246,SAVINGS!$E:$E)),"")</f>
        <v/>
      </c>
      <c r="J246" s="23">
        <f>IFERROR(IF(A246="","",SUMIF(SAVINGS!$A:$A,A246,SAVINGS!$E:$E)-SUMIF(WITHDRAWALS!$A:$A,A246,WITHDRAWALS!$E:$E)),"")</f>
        <v/>
      </c>
    </row>
    <row r="247" ht="20" customHeight="1">
      <c r="A247" s="18">
        <f>'NEW ACCOUNT'!A248</f>
        <v/>
      </c>
      <c r="B247" s="19">
        <f>IF('NEW ACCOUNT'!A248="","",'NEW ACCOUNT'!B248)</f>
        <v/>
      </c>
      <c r="C247" s="19">
        <f>IF('NEW ACCOUNT'!A248="","",'NEW ACCOUNT'!C248)</f>
        <v/>
      </c>
      <c r="D247" s="19">
        <f>IF('NEW ACCOUNT'!A248="","",'NEW ACCOUNT'!D248)</f>
        <v/>
      </c>
      <c r="E247" s="19">
        <f>IF('NEW ACCOUNT'!A248="","",'NEW ACCOUNT'!E248)</f>
        <v/>
      </c>
      <c r="F247" s="19">
        <f>IF('NEW ACCOUNT'!A248="","",'NEW ACCOUNT'!F248)</f>
        <v/>
      </c>
      <c r="G247" s="19">
        <f>IF('NEW ACCOUNT'!A248="","",'NEW ACCOUNT'!G248)</f>
        <v/>
      </c>
      <c r="H247" s="19">
        <f>IF('NEW ACCOUNT'!A248="","",'NEW ACCOUNT'!H248)</f>
        <v/>
      </c>
      <c r="I247" s="20">
        <f>IFERROR(IF(A247="","",SUMIF(SAVINGS!$A:$A,A247,SAVINGS!$E:$E)),"")</f>
        <v/>
      </c>
      <c r="J247" s="20">
        <f>IFERROR(IF(A247="","",SUMIF(SAVINGS!$A:$A,A247,SAVINGS!$E:$E)-SUMIF(WITHDRAWALS!$A:$A,A247,WITHDRAWALS!$E:$E)),"")</f>
        <v/>
      </c>
    </row>
    <row r="248" ht="20" customHeight="1">
      <c r="A248" s="21">
        <f>'NEW ACCOUNT'!A249</f>
        <v/>
      </c>
      <c r="B248" s="22">
        <f>IF('NEW ACCOUNT'!A249="","",'NEW ACCOUNT'!B249)</f>
        <v/>
      </c>
      <c r="C248" s="22">
        <f>IF('NEW ACCOUNT'!A249="","",'NEW ACCOUNT'!C249)</f>
        <v/>
      </c>
      <c r="D248" s="22">
        <f>IF('NEW ACCOUNT'!A249="","",'NEW ACCOUNT'!D249)</f>
        <v/>
      </c>
      <c r="E248" s="22">
        <f>IF('NEW ACCOUNT'!A249="","",'NEW ACCOUNT'!E249)</f>
        <v/>
      </c>
      <c r="F248" s="22">
        <f>IF('NEW ACCOUNT'!A249="","",'NEW ACCOUNT'!F249)</f>
        <v/>
      </c>
      <c r="G248" s="22">
        <f>IF('NEW ACCOUNT'!A249="","",'NEW ACCOUNT'!G249)</f>
        <v/>
      </c>
      <c r="H248" s="22">
        <f>IF('NEW ACCOUNT'!A249="","",'NEW ACCOUNT'!H249)</f>
        <v/>
      </c>
      <c r="I248" s="23">
        <f>IFERROR(IF(A248="","",SUMIF(SAVINGS!$A:$A,A248,SAVINGS!$E:$E)),"")</f>
        <v/>
      </c>
      <c r="J248" s="23">
        <f>IFERROR(IF(A248="","",SUMIF(SAVINGS!$A:$A,A248,SAVINGS!$E:$E)-SUMIF(WITHDRAWALS!$A:$A,A248,WITHDRAWALS!$E:$E)),"")</f>
        <v/>
      </c>
    </row>
    <row r="249" ht="20" customHeight="1">
      <c r="A249" s="18">
        <f>'NEW ACCOUNT'!A250</f>
        <v/>
      </c>
      <c r="B249" s="19">
        <f>IF('NEW ACCOUNT'!A250="","",'NEW ACCOUNT'!B250)</f>
        <v/>
      </c>
      <c r="C249" s="19">
        <f>IF('NEW ACCOUNT'!A250="","",'NEW ACCOUNT'!C250)</f>
        <v/>
      </c>
      <c r="D249" s="19">
        <f>IF('NEW ACCOUNT'!A250="","",'NEW ACCOUNT'!D250)</f>
        <v/>
      </c>
      <c r="E249" s="19">
        <f>IF('NEW ACCOUNT'!A250="","",'NEW ACCOUNT'!E250)</f>
        <v/>
      </c>
      <c r="F249" s="19">
        <f>IF('NEW ACCOUNT'!A250="","",'NEW ACCOUNT'!F250)</f>
        <v/>
      </c>
      <c r="G249" s="19">
        <f>IF('NEW ACCOUNT'!A250="","",'NEW ACCOUNT'!G250)</f>
        <v/>
      </c>
      <c r="H249" s="19">
        <f>IF('NEW ACCOUNT'!A250="","",'NEW ACCOUNT'!H250)</f>
        <v/>
      </c>
      <c r="I249" s="20">
        <f>IFERROR(IF(A249="","",SUMIF(SAVINGS!$A:$A,A249,SAVINGS!$E:$E)),"")</f>
        <v/>
      </c>
      <c r="J249" s="20">
        <f>IFERROR(IF(A249="","",SUMIF(SAVINGS!$A:$A,A249,SAVINGS!$E:$E)-SUMIF(WITHDRAWALS!$A:$A,A249,WITHDRAWALS!$E:$E)),"")</f>
        <v/>
      </c>
    </row>
    <row r="250" ht="20" customHeight="1">
      <c r="A250" s="21">
        <f>'NEW ACCOUNT'!A251</f>
        <v/>
      </c>
      <c r="B250" s="22">
        <f>IF('NEW ACCOUNT'!A251="","",'NEW ACCOUNT'!B251)</f>
        <v/>
      </c>
      <c r="C250" s="22">
        <f>IF('NEW ACCOUNT'!A251="","",'NEW ACCOUNT'!C251)</f>
        <v/>
      </c>
      <c r="D250" s="22">
        <f>IF('NEW ACCOUNT'!A251="","",'NEW ACCOUNT'!D251)</f>
        <v/>
      </c>
      <c r="E250" s="22">
        <f>IF('NEW ACCOUNT'!A251="","",'NEW ACCOUNT'!E251)</f>
        <v/>
      </c>
      <c r="F250" s="22">
        <f>IF('NEW ACCOUNT'!A251="","",'NEW ACCOUNT'!F251)</f>
        <v/>
      </c>
      <c r="G250" s="22">
        <f>IF('NEW ACCOUNT'!A251="","",'NEW ACCOUNT'!G251)</f>
        <v/>
      </c>
      <c r="H250" s="22">
        <f>IF('NEW ACCOUNT'!A251="","",'NEW ACCOUNT'!H251)</f>
        <v/>
      </c>
      <c r="I250" s="23">
        <f>IFERROR(IF(A250="","",SUMIF(SAVINGS!$A:$A,A250,SAVINGS!$E:$E)),"")</f>
        <v/>
      </c>
      <c r="J250" s="23">
        <f>IFERROR(IF(A250="","",SUMIF(SAVINGS!$A:$A,A250,SAVINGS!$E:$E)-SUMIF(WITHDRAWALS!$A:$A,A250,WITHDRAWALS!$E:$E)),"")</f>
        <v/>
      </c>
    </row>
    <row r="251" ht="20" customHeight="1">
      <c r="A251" s="18">
        <f>'NEW ACCOUNT'!A252</f>
        <v/>
      </c>
      <c r="B251" s="19">
        <f>IF('NEW ACCOUNT'!A252="","",'NEW ACCOUNT'!B252)</f>
        <v/>
      </c>
      <c r="C251" s="19">
        <f>IF('NEW ACCOUNT'!A252="","",'NEW ACCOUNT'!C252)</f>
        <v/>
      </c>
      <c r="D251" s="19">
        <f>IF('NEW ACCOUNT'!A252="","",'NEW ACCOUNT'!D252)</f>
        <v/>
      </c>
      <c r="E251" s="19">
        <f>IF('NEW ACCOUNT'!A252="","",'NEW ACCOUNT'!E252)</f>
        <v/>
      </c>
      <c r="F251" s="19">
        <f>IF('NEW ACCOUNT'!A252="","",'NEW ACCOUNT'!F252)</f>
        <v/>
      </c>
      <c r="G251" s="19">
        <f>IF('NEW ACCOUNT'!A252="","",'NEW ACCOUNT'!G252)</f>
        <v/>
      </c>
      <c r="H251" s="19">
        <f>IF('NEW ACCOUNT'!A252="","",'NEW ACCOUNT'!H252)</f>
        <v/>
      </c>
      <c r="I251" s="20">
        <f>IFERROR(IF(A251="","",SUMIF(SAVINGS!$A:$A,A251,SAVINGS!$E:$E)),"")</f>
        <v/>
      </c>
      <c r="J251" s="20">
        <f>IFERROR(IF(A251="","",SUMIF(SAVINGS!$A:$A,A251,SAVINGS!$E:$E)-SUMIF(WITHDRAWALS!$A:$A,A251,WITHDRAWALS!$E:$E)),"")</f>
        <v/>
      </c>
    </row>
    <row r="252" ht="20" customHeight="1">
      <c r="A252" s="21">
        <f>'NEW ACCOUNT'!A253</f>
        <v/>
      </c>
      <c r="B252" s="22">
        <f>IF('NEW ACCOUNT'!A253="","",'NEW ACCOUNT'!B253)</f>
        <v/>
      </c>
      <c r="C252" s="22">
        <f>IF('NEW ACCOUNT'!A253="","",'NEW ACCOUNT'!C253)</f>
        <v/>
      </c>
      <c r="D252" s="22">
        <f>IF('NEW ACCOUNT'!A253="","",'NEW ACCOUNT'!D253)</f>
        <v/>
      </c>
      <c r="E252" s="22">
        <f>IF('NEW ACCOUNT'!A253="","",'NEW ACCOUNT'!E253)</f>
        <v/>
      </c>
      <c r="F252" s="22">
        <f>IF('NEW ACCOUNT'!A253="","",'NEW ACCOUNT'!F253)</f>
        <v/>
      </c>
      <c r="G252" s="22">
        <f>IF('NEW ACCOUNT'!A253="","",'NEW ACCOUNT'!G253)</f>
        <v/>
      </c>
      <c r="H252" s="22">
        <f>IF('NEW ACCOUNT'!A253="","",'NEW ACCOUNT'!H253)</f>
        <v/>
      </c>
      <c r="I252" s="23">
        <f>IFERROR(IF(A252="","",SUMIF(SAVINGS!$A:$A,A252,SAVINGS!$E:$E)),"")</f>
        <v/>
      </c>
      <c r="J252" s="23">
        <f>IFERROR(IF(A252="","",SUMIF(SAVINGS!$A:$A,A252,SAVINGS!$E:$E)-SUMIF(WITHDRAWALS!$A:$A,A252,WITHDRAWALS!$E:$E)),"")</f>
        <v/>
      </c>
    </row>
    <row r="253" ht="20" customHeight="1">
      <c r="A253" s="18">
        <f>'NEW ACCOUNT'!A254</f>
        <v/>
      </c>
      <c r="B253" s="19">
        <f>IF('NEW ACCOUNT'!A254="","",'NEW ACCOUNT'!B254)</f>
        <v/>
      </c>
      <c r="C253" s="19">
        <f>IF('NEW ACCOUNT'!A254="","",'NEW ACCOUNT'!C254)</f>
        <v/>
      </c>
      <c r="D253" s="19">
        <f>IF('NEW ACCOUNT'!A254="","",'NEW ACCOUNT'!D254)</f>
        <v/>
      </c>
      <c r="E253" s="19">
        <f>IF('NEW ACCOUNT'!A254="","",'NEW ACCOUNT'!E254)</f>
        <v/>
      </c>
      <c r="F253" s="19">
        <f>IF('NEW ACCOUNT'!A254="","",'NEW ACCOUNT'!F254)</f>
        <v/>
      </c>
      <c r="G253" s="19">
        <f>IF('NEW ACCOUNT'!A254="","",'NEW ACCOUNT'!G254)</f>
        <v/>
      </c>
      <c r="H253" s="19">
        <f>IF('NEW ACCOUNT'!A254="","",'NEW ACCOUNT'!H254)</f>
        <v/>
      </c>
      <c r="I253" s="20">
        <f>IFERROR(IF(A253="","",SUMIF(SAVINGS!$A:$A,A253,SAVINGS!$E:$E)),"")</f>
        <v/>
      </c>
      <c r="J253" s="20">
        <f>IFERROR(IF(A253="","",SUMIF(SAVINGS!$A:$A,A253,SAVINGS!$E:$E)-SUMIF(WITHDRAWALS!$A:$A,A253,WITHDRAWALS!$E:$E)),"")</f>
        <v/>
      </c>
    </row>
    <row r="254" ht="20" customHeight="1">
      <c r="A254" s="21">
        <f>'NEW ACCOUNT'!A255</f>
        <v/>
      </c>
      <c r="B254" s="22">
        <f>IF('NEW ACCOUNT'!A255="","",'NEW ACCOUNT'!B255)</f>
        <v/>
      </c>
      <c r="C254" s="22">
        <f>IF('NEW ACCOUNT'!A255="","",'NEW ACCOUNT'!C255)</f>
        <v/>
      </c>
      <c r="D254" s="22">
        <f>IF('NEW ACCOUNT'!A255="","",'NEW ACCOUNT'!D255)</f>
        <v/>
      </c>
      <c r="E254" s="22">
        <f>IF('NEW ACCOUNT'!A255="","",'NEW ACCOUNT'!E255)</f>
        <v/>
      </c>
      <c r="F254" s="22">
        <f>IF('NEW ACCOUNT'!A255="","",'NEW ACCOUNT'!F255)</f>
        <v/>
      </c>
      <c r="G254" s="22">
        <f>IF('NEW ACCOUNT'!A255="","",'NEW ACCOUNT'!G255)</f>
        <v/>
      </c>
      <c r="H254" s="22">
        <f>IF('NEW ACCOUNT'!A255="","",'NEW ACCOUNT'!H255)</f>
        <v/>
      </c>
      <c r="I254" s="23">
        <f>IFERROR(IF(A254="","",SUMIF(SAVINGS!$A:$A,A254,SAVINGS!$E:$E)),"")</f>
        <v/>
      </c>
      <c r="J254" s="23">
        <f>IFERROR(IF(A254="","",SUMIF(SAVINGS!$A:$A,A254,SAVINGS!$E:$E)-SUMIF(WITHDRAWALS!$A:$A,A254,WITHDRAWALS!$E:$E)),"")</f>
        <v/>
      </c>
    </row>
    <row r="255" ht="20" customHeight="1">
      <c r="A255" s="18">
        <f>'NEW ACCOUNT'!A256</f>
        <v/>
      </c>
      <c r="B255" s="19">
        <f>IF('NEW ACCOUNT'!A256="","",'NEW ACCOUNT'!B256)</f>
        <v/>
      </c>
      <c r="C255" s="19">
        <f>IF('NEW ACCOUNT'!A256="","",'NEW ACCOUNT'!C256)</f>
        <v/>
      </c>
      <c r="D255" s="19">
        <f>IF('NEW ACCOUNT'!A256="","",'NEW ACCOUNT'!D256)</f>
        <v/>
      </c>
      <c r="E255" s="19">
        <f>IF('NEW ACCOUNT'!A256="","",'NEW ACCOUNT'!E256)</f>
        <v/>
      </c>
      <c r="F255" s="19">
        <f>IF('NEW ACCOUNT'!A256="","",'NEW ACCOUNT'!F256)</f>
        <v/>
      </c>
      <c r="G255" s="19">
        <f>IF('NEW ACCOUNT'!A256="","",'NEW ACCOUNT'!G256)</f>
        <v/>
      </c>
      <c r="H255" s="19">
        <f>IF('NEW ACCOUNT'!A256="","",'NEW ACCOUNT'!H256)</f>
        <v/>
      </c>
      <c r="I255" s="20">
        <f>IFERROR(IF(A255="","",SUMIF(SAVINGS!$A:$A,A255,SAVINGS!$E:$E)),"")</f>
        <v/>
      </c>
      <c r="J255" s="20">
        <f>IFERROR(IF(A255="","",SUMIF(SAVINGS!$A:$A,A255,SAVINGS!$E:$E)-SUMIF(WITHDRAWALS!$A:$A,A255,WITHDRAWALS!$E:$E)),"")</f>
        <v/>
      </c>
    </row>
    <row r="256" ht="20" customHeight="1">
      <c r="A256" s="21">
        <f>'NEW ACCOUNT'!A257</f>
        <v/>
      </c>
      <c r="B256" s="22">
        <f>IF('NEW ACCOUNT'!A257="","",'NEW ACCOUNT'!B257)</f>
        <v/>
      </c>
      <c r="C256" s="22">
        <f>IF('NEW ACCOUNT'!A257="","",'NEW ACCOUNT'!C257)</f>
        <v/>
      </c>
      <c r="D256" s="22">
        <f>IF('NEW ACCOUNT'!A257="","",'NEW ACCOUNT'!D257)</f>
        <v/>
      </c>
      <c r="E256" s="22">
        <f>IF('NEW ACCOUNT'!A257="","",'NEW ACCOUNT'!E257)</f>
        <v/>
      </c>
      <c r="F256" s="22">
        <f>IF('NEW ACCOUNT'!A257="","",'NEW ACCOUNT'!F257)</f>
        <v/>
      </c>
      <c r="G256" s="22">
        <f>IF('NEW ACCOUNT'!A257="","",'NEW ACCOUNT'!G257)</f>
        <v/>
      </c>
      <c r="H256" s="22">
        <f>IF('NEW ACCOUNT'!A257="","",'NEW ACCOUNT'!H257)</f>
        <v/>
      </c>
      <c r="I256" s="23">
        <f>IFERROR(IF(A256="","",SUMIF(SAVINGS!$A:$A,A256,SAVINGS!$E:$E)),"")</f>
        <v/>
      </c>
      <c r="J256" s="23">
        <f>IFERROR(IF(A256="","",SUMIF(SAVINGS!$A:$A,A256,SAVINGS!$E:$E)-SUMIF(WITHDRAWALS!$A:$A,A256,WITHDRAWALS!$E:$E)),"")</f>
        <v/>
      </c>
    </row>
    <row r="257" ht="20" customHeight="1">
      <c r="A257" s="18">
        <f>'NEW ACCOUNT'!A258</f>
        <v/>
      </c>
      <c r="B257" s="19">
        <f>IF('NEW ACCOUNT'!A258="","",'NEW ACCOUNT'!B258)</f>
        <v/>
      </c>
      <c r="C257" s="19">
        <f>IF('NEW ACCOUNT'!A258="","",'NEW ACCOUNT'!C258)</f>
        <v/>
      </c>
      <c r="D257" s="19">
        <f>IF('NEW ACCOUNT'!A258="","",'NEW ACCOUNT'!D258)</f>
        <v/>
      </c>
      <c r="E257" s="19">
        <f>IF('NEW ACCOUNT'!A258="","",'NEW ACCOUNT'!E258)</f>
        <v/>
      </c>
      <c r="F257" s="19">
        <f>IF('NEW ACCOUNT'!A258="","",'NEW ACCOUNT'!F258)</f>
        <v/>
      </c>
      <c r="G257" s="19">
        <f>IF('NEW ACCOUNT'!A258="","",'NEW ACCOUNT'!G258)</f>
        <v/>
      </c>
      <c r="H257" s="19">
        <f>IF('NEW ACCOUNT'!A258="","",'NEW ACCOUNT'!H258)</f>
        <v/>
      </c>
      <c r="I257" s="20">
        <f>IFERROR(IF(A257="","",SUMIF(SAVINGS!$A:$A,A257,SAVINGS!$E:$E)),"")</f>
        <v/>
      </c>
      <c r="J257" s="20">
        <f>IFERROR(IF(A257="","",SUMIF(SAVINGS!$A:$A,A257,SAVINGS!$E:$E)-SUMIF(WITHDRAWALS!$A:$A,A257,WITHDRAWALS!$E:$E)),"")</f>
        <v/>
      </c>
    </row>
    <row r="258" ht="20" customHeight="1">
      <c r="A258" s="21">
        <f>'NEW ACCOUNT'!A259</f>
        <v/>
      </c>
      <c r="B258" s="22">
        <f>IF('NEW ACCOUNT'!A259="","",'NEW ACCOUNT'!B259)</f>
        <v/>
      </c>
      <c r="C258" s="22">
        <f>IF('NEW ACCOUNT'!A259="","",'NEW ACCOUNT'!C259)</f>
        <v/>
      </c>
      <c r="D258" s="22">
        <f>IF('NEW ACCOUNT'!A259="","",'NEW ACCOUNT'!D259)</f>
        <v/>
      </c>
      <c r="E258" s="22">
        <f>IF('NEW ACCOUNT'!A259="","",'NEW ACCOUNT'!E259)</f>
        <v/>
      </c>
      <c r="F258" s="22">
        <f>IF('NEW ACCOUNT'!A259="","",'NEW ACCOUNT'!F259)</f>
        <v/>
      </c>
      <c r="G258" s="22">
        <f>IF('NEW ACCOUNT'!A259="","",'NEW ACCOUNT'!G259)</f>
        <v/>
      </c>
      <c r="H258" s="22">
        <f>IF('NEW ACCOUNT'!A259="","",'NEW ACCOUNT'!H259)</f>
        <v/>
      </c>
      <c r="I258" s="23">
        <f>IFERROR(IF(A258="","",SUMIF(SAVINGS!$A:$A,A258,SAVINGS!$E:$E)),"")</f>
        <v/>
      </c>
      <c r="J258" s="23">
        <f>IFERROR(IF(A258="","",SUMIF(SAVINGS!$A:$A,A258,SAVINGS!$E:$E)-SUMIF(WITHDRAWALS!$A:$A,A258,WITHDRAWALS!$E:$E)),"")</f>
        <v/>
      </c>
    </row>
    <row r="259" ht="20" customHeight="1">
      <c r="A259" s="18">
        <f>'NEW ACCOUNT'!A260</f>
        <v/>
      </c>
      <c r="B259" s="19">
        <f>IF('NEW ACCOUNT'!A260="","",'NEW ACCOUNT'!B260)</f>
        <v/>
      </c>
      <c r="C259" s="19">
        <f>IF('NEW ACCOUNT'!A260="","",'NEW ACCOUNT'!C260)</f>
        <v/>
      </c>
      <c r="D259" s="19">
        <f>IF('NEW ACCOUNT'!A260="","",'NEW ACCOUNT'!D260)</f>
        <v/>
      </c>
      <c r="E259" s="19">
        <f>IF('NEW ACCOUNT'!A260="","",'NEW ACCOUNT'!E260)</f>
        <v/>
      </c>
      <c r="F259" s="19">
        <f>IF('NEW ACCOUNT'!A260="","",'NEW ACCOUNT'!F260)</f>
        <v/>
      </c>
      <c r="G259" s="19">
        <f>IF('NEW ACCOUNT'!A260="","",'NEW ACCOUNT'!G260)</f>
        <v/>
      </c>
      <c r="H259" s="19">
        <f>IF('NEW ACCOUNT'!A260="","",'NEW ACCOUNT'!H260)</f>
        <v/>
      </c>
      <c r="I259" s="20">
        <f>IFERROR(IF(A259="","",SUMIF(SAVINGS!$A:$A,A259,SAVINGS!$E:$E)),"")</f>
        <v/>
      </c>
      <c r="J259" s="20">
        <f>IFERROR(IF(A259="","",SUMIF(SAVINGS!$A:$A,A259,SAVINGS!$E:$E)-SUMIF(WITHDRAWALS!$A:$A,A259,WITHDRAWALS!$E:$E)),"")</f>
        <v/>
      </c>
    </row>
    <row r="260" ht="20" customHeight="1">
      <c r="A260" s="21">
        <f>'NEW ACCOUNT'!A261</f>
        <v/>
      </c>
      <c r="B260" s="22">
        <f>IF('NEW ACCOUNT'!A261="","",'NEW ACCOUNT'!B261)</f>
        <v/>
      </c>
      <c r="C260" s="22">
        <f>IF('NEW ACCOUNT'!A261="","",'NEW ACCOUNT'!C261)</f>
        <v/>
      </c>
      <c r="D260" s="22">
        <f>IF('NEW ACCOUNT'!A261="","",'NEW ACCOUNT'!D261)</f>
        <v/>
      </c>
      <c r="E260" s="22">
        <f>IF('NEW ACCOUNT'!A261="","",'NEW ACCOUNT'!E261)</f>
        <v/>
      </c>
      <c r="F260" s="22">
        <f>IF('NEW ACCOUNT'!A261="","",'NEW ACCOUNT'!F261)</f>
        <v/>
      </c>
      <c r="G260" s="22">
        <f>IF('NEW ACCOUNT'!A261="","",'NEW ACCOUNT'!G261)</f>
        <v/>
      </c>
      <c r="H260" s="22">
        <f>IF('NEW ACCOUNT'!A261="","",'NEW ACCOUNT'!H261)</f>
        <v/>
      </c>
      <c r="I260" s="23">
        <f>IFERROR(IF(A260="","",SUMIF(SAVINGS!$A:$A,A260,SAVINGS!$E:$E)),"")</f>
        <v/>
      </c>
      <c r="J260" s="23">
        <f>IFERROR(IF(A260="","",SUMIF(SAVINGS!$A:$A,A260,SAVINGS!$E:$E)-SUMIF(WITHDRAWALS!$A:$A,A260,WITHDRAWALS!$E:$E)),"")</f>
        <v/>
      </c>
    </row>
    <row r="261" ht="20" customHeight="1">
      <c r="A261" s="18">
        <f>'NEW ACCOUNT'!A262</f>
        <v/>
      </c>
      <c r="B261" s="19">
        <f>IF('NEW ACCOUNT'!A262="","",'NEW ACCOUNT'!B262)</f>
        <v/>
      </c>
      <c r="C261" s="19">
        <f>IF('NEW ACCOUNT'!A262="","",'NEW ACCOUNT'!C262)</f>
        <v/>
      </c>
      <c r="D261" s="19">
        <f>IF('NEW ACCOUNT'!A262="","",'NEW ACCOUNT'!D262)</f>
        <v/>
      </c>
      <c r="E261" s="19">
        <f>IF('NEW ACCOUNT'!A262="","",'NEW ACCOUNT'!E262)</f>
        <v/>
      </c>
      <c r="F261" s="19">
        <f>IF('NEW ACCOUNT'!A262="","",'NEW ACCOUNT'!F262)</f>
        <v/>
      </c>
      <c r="G261" s="19">
        <f>IF('NEW ACCOUNT'!A262="","",'NEW ACCOUNT'!G262)</f>
        <v/>
      </c>
      <c r="H261" s="19">
        <f>IF('NEW ACCOUNT'!A262="","",'NEW ACCOUNT'!H262)</f>
        <v/>
      </c>
      <c r="I261" s="20">
        <f>IFERROR(IF(A261="","",SUMIF(SAVINGS!$A:$A,A261,SAVINGS!$E:$E)),"")</f>
        <v/>
      </c>
      <c r="J261" s="20">
        <f>IFERROR(IF(A261="","",SUMIF(SAVINGS!$A:$A,A261,SAVINGS!$E:$E)-SUMIF(WITHDRAWALS!$A:$A,A261,WITHDRAWALS!$E:$E)),"")</f>
        <v/>
      </c>
    </row>
    <row r="262" ht="20" customHeight="1">
      <c r="A262" s="21">
        <f>'NEW ACCOUNT'!A263</f>
        <v/>
      </c>
      <c r="B262" s="22">
        <f>IF('NEW ACCOUNT'!A263="","",'NEW ACCOUNT'!B263)</f>
        <v/>
      </c>
      <c r="C262" s="22">
        <f>IF('NEW ACCOUNT'!A263="","",'NEW ACCOUNT'!C263)</f>
        <v/>
      </c>
      <c r="D262" s="22">
        <f>IF('NEW ACCOUNT'!A263="","",'NEW ACCOUNT'!D263)</f>
        <v/>
      </c>
      <c r="E262" s="22">
        <f>IF('NEW ACCOUNT'!A263="","",'NEW ACCOUNT'!E263)</f>
        <v/>
      </c>
      <c r="F262" s="22">
        <f>IF('NEW ACCOUNT'!A263="","",'NEW ACCOUNT'!F263)</f>
        <v/>
      </c>
      <c r="G262" s="22">
        <f>IF('NEW ACCOUNT'!A263="","",'NEW ACCOUNT'!G263)</f>
        <v/>
      </c>
      <c r="H262" s="22">
        <f>IF('NEW ACCOUNT'!A263="","",'NEW ACCOUNT'!H263)</f>
        <v/>
      </c>
      <c r="I262" s="23">
        <f>IFERROR(IF(A262="","",SUMIF(SAVINGS!$A:$A,A262,SAVINGS!$E:$E)),"")</f>
        <v/>
      </c>
      <c r="J262" s="23">
        <f>IFERROR(IF(A262="","",SUMIF(SAVINGS!$A:$A,A262,SAVINGS!$E:$E)-SUMIF(WITHDRAWALS!$A:$A,A262,WITHDRAWALS!$E:$E)),"")</f>
        <v/>
      </c>
    </row>
    <row r="263" ht="20" customHeight="1">
      <c r="A263" s="18">
        <f>'NEW ACCOUNT'!A264</f>
        <v/>
      </c>
      <c r="B263" s="19">
        <f>IF('NEW ACCOUNT'!A264="","",'NEW ACCOUNT'!B264)</f>
        <v/>
      </c>
      <c r="C263" s="19">
        <f>IF('NEW ACCOUNT'!A264="","",'NEW ACCOUNT'!C264)</f>
        <v/>
      </c>
      <c r="D263" s="19">
        <f>IF('NEW ACCOUNT'!A264="","",'NEW ACCOUNT'!D264)</f>
        <v/>
      </c>
      <c r="E263" s="19">
        <f>IF('NEW ACCOUNT'!A264="","",'NEW ACCOUNT'!E264)</f>
        <v/>
      </c>
      <c r="F263" s="19">
        <f>IF('NEW ACCOUNT'!A264="","",'NEW ACCOUNT'!F264)</f>
        <v/>
      </c>
      <c r="G263" s="19">
        <f>IF('NEW ACCOUNT'!A264="","",'NEW ACCOUNT'!G264)</f>
        <v/>
      </c>
      <c r="H263" s="19">
        <f>IF('NEW ACCOUNT'!A264="","",'NEW ACCOUNT'!H264)</f>
        <v/>
      </c>
      <c r="I263" s="20">
        <f>IFERROR(IF(A263="","",SUMIF(SAVINGS!$A:$A,A263,SAVINGS!$E:$E)),"")</f>
        <v/>
      </c>
      <c r="J263" s="20">
        <f>IFERROR(IF(A263="","",SUMIF(SAVINGS!$A:$A,A263,SAVINGS!$E:$E)-SUMIF(WITHDRAWALS!$A:$A,A263,WITHDRAWALS!$E:$E)),"")</f>
        <v/>
      </c>
    </row>
    <row r="264" ht="20" customHeight="1">
      <c r="A264" s="21">
        <f>'NEW ACCOUNT'!A265</f>
        <v/>
      </c>
      <c r="B264" s="22">
        <f>IF('NEW ACCOUNT'!A265="","",'NEW ACCOUNT'!B265)</f>
        <v/>
      </c>
      <c r="C264" s="22">
        <f>IF('NEW ACCOUNT'!A265="","",'NEW ACCOUNT'!C265)</f>
        <v/>
      </c>
      <c r="D264" s="22">
        <f>IF('NEW ACCOUNT'!A265="","",'NEW ACCOUNT'!D265)</f>
        <v/>
      </c>
      <c r="E264" s="22">
        <f>IF('NEW ACCOUNT'!A265="","",'NEW ACCOUNT'!E265)</f>
        <v/>
      </c>
      <c r="F264" s="22">
        <f>IF('NEW ACCOUNT'!A265="","",'NEW ACCOUNT'!F265)</f>
        <v/>
      </c>
      <c r="G264" s="22">
        <f>IF('NEW ACCOUNT'!A265="","",'NEW ACCOUNT'!G265)</f>
        <v/>
      </c>
      <c r="H264" s="22">
        <f>IF('NEW ACCOUNT'!A265="","",'NEW ACCOUNT'!H265)</f>
        <v/>
      </c>
      <c r="I264" s="23">
        <f>IFERROR(IF(A264="","",SUMIF(SAVINGS!$A:$A,A264,SAVINGS!$E:$E)),"")</f>
        <v/>
      </c>
      <c r="J264" s="23">
        <f>IFERROR(IF(A264="","",SUMIF(SAVINGS!$A:$A,A264,SAVINGS!$E:$E)-SUMIF(WITHDRAWALS!$A:$A,A264,WITHDRAWALS!$E:$E)),"")</f>
        <v/>
      </c>
    </row>
    <row r="265" ht="20" customHeight="1">
      <c r="A265" s="18">
        <f>'NEW ACCOUNT'!A266</f>
        <v/>
      </c>
      <c r="B265" s="19">
        <f>IF('NEW ACCOUNT'!A266="","",'NEW ACCOUNT'!B266)</f>
        <v/>
      </c>
      <c r="C265" s="19">
        <f>IF('NEW ACCOUNT'!A266="","",'NEW ACCOUNT'!C266)</f>
        <v/>
      </c>
      <c r="D265" s="19">
        <f>IF('NEW ACCOUNT'!A266="","",'NEW ACCOUNT'!D266)</f>
        <v/>
      </c>
      <c r="E265" s="19">
        <f>IF('NEW ACCOUNT'!A266="","",'NEW ACCOUNT'!E266)</f>
        <v/>
      </c>
      <c r="F265" s="19">
        <f>IF('NEW ACCOUNT'!A266="","",'NEW ACCOUNT'!F266)</f>
        <v/>
      </c>
      <c r="G265" s="19">
        <f>IF('NEW ACCOUNT'!A266="","",'NEW ACCOUNT'!G266)</f>
        <v/>
      </c>
      <c r="H265" s="19">
        <f>IF('NEW ACCOUNT'!A266="","",'NEW ACCOUNT'!H266)</f>
        <v/>
      </c>
      <c r="I265" s="20">
        <f>IFERROR(IF(A265="","",SUMIF(SAVINGS!$A:$A,A265,SAVINGS!$E:$E)),"")</f>
        <v/>
      </c>
      <c r="J265" s="20">
        <f>IFERROR(IF(A265="","",SUMIF(SAVINGS!$A:$A,A265,SAVINGS!$E:$E)-SUMIF(WITHDRAWALS!$A:$A,A265,WITHDRAWALS!$E:$E)),"")</f>
        <v/>
      </c>
    </row>
    <row r="266" ht="20" customHeight="1">
      <c r="A266" s="21">
        <f>'NEW ACCOUNT'!A267</f>
        <v/>
      </c>
      <c r="B266" s="22">
        <f>IF('NEW ACCOUNT'!A267="","",'NEW ACCOUNT'!B267)</f>
        <v/>
      </c>
      <c r="C266" s="22">
        <f>IF('NEW ACCOUNT'!A267="","",'NEW ACCOUNT'!C267)</f>
        <v/>
      </c>
      <c r="D266" s="22">
        <f>IF('NEW ACCOUNT'!A267="","",'NEW ACCOUNT'!D267)</f>
        <v/>
      </c>
      <c r="E266" s="22">
        <f>IF('NEW ACCOUNT'!A267="","",'NEW ACCOUNT'!E267)</f>
        <v/>
      </c>
      <c r="F266" s="22">
        <f>IF('NEW ACCOUNT'!A267="","",'NEW ACCOUNT'!F267)</f>
        <v/>
      </c>
      <c r="G266" s="22">
        <f>IF('NEW ACCOUNT'!A267="","",'NEW ACCOUNT'!G267)</f>
        <v/>
      </c>
      <c r="H266" s="22">
        <f>IF('NEW ACCOUNT'!A267="","",'NEW ACCOUNT'!H267)</f>
        <v/>
      </c>
      <c r="I266" s="23">
        <f>IFERROR(IF(A266="","",SUMIF(SAVINGS!$A:$A,A266,SAVINGS!$E:$E)),"")</f>
        <v/>
      </c>
      <c r="J266" s="23">
        <f>IFERROR(IF(A266="","",SUMIF(SAVINGS!$A:$A,A266,SAVINGS!$E:$E)-SUMIF(WITHDRAWALS!$A:$A,A266,WITHDRAWALS!$E:$E)),"")</f>
        <v/>
      </c>
    </row>
    <row r="267" ht="20" customHeight="1">
      <c r="A267" s="18">
        <f>'NEW ACCOUNT'!A268</f>
        <v/>
      </c>
      <c r="B267" s="19">
        <f>IF('NEW ACCOUNT'!A268="","",'NEW ACCOUNT'!B268)</f>
        <v/>
      </c>
      <c r="C267" s="19">
        <f>IF('NEW ACCOUNT'!A268="","",'NEW ACCOUNT'!C268)</f>
        <v/>
      </c>
      <c r="D267" s="19">
        <f>IF('NEW ACCOUNT'!A268="","",'NEW ACCOUNT'!D268)</f>
        <v/>
      </c>
      <c r="E267" s="19">
        <f>IF('NEW ACCOUNT'!A268="","",'NEW ACCOUNT'!E268)</f>
        <v/>
      </c>
      <c r="F267" s="19">
        <f>IF('NEW ACCOUNT'!A268="","",'NEW ACCOUNT'!F268)</f>
        <v/>
      </c>
      <c r="G267" s="19">
        <f>IF('NEW ACCOUNT'!A268="","",'NEW ACCOUNT'!G268)</f>
        <v/>
      </c>
      <c r="H267" s="19">
        <f>IF('NEW ACCOUNT'!A268="","",'NEW ACCOUNT'!H268)</f>
        <v/>
      </c>
      <c r="I267" s="20">
        <f>IFERROR(IF(A267="","",SUMIF(SAVINGS!$A:$A,A267,SAVINGS!$E:$E)),"")</f>
        <v/>
      </c>
      <c r="J267" s="20">
        <f>IFERROR(IF(A267="","",SUMIF(SAVINGS!$A:$A,A267,SAVINGS!$E:$E)-SUMIF(WITHDRAWALS!$A:$A,A267,WITHDRAWALS!$E:$E)),"")</f>
        <v/>
      </c>
    </row>
    <row r="268" ht="20" customHeight="1">
      <c r="A268" s="21">
        <f>'NEW ACCOUNT'!A269</f>
        <v/>
      </c>
      <c r="B268" s="22">
        <f>IF('NEW ACCOUNT'!A269="","",'NEW ACCOUNT'!B269)</f>
        <v/>
      </c>
      <c r="C268" s="22">
        <f>IF('NEW ACCOUNT'!A269="","",'NEW ACCOUNT'!C269)</f>
        <v/>
      </c>
      <c r="D268" s="22">
        <f>IF('NEW ACCOUNT'!A269="","",'NEW ACCOUNT'!D269)</f>
        <v/>
      </c>
      <c r="E268" s="22">
        <f>IF('NEW ACCOUNT'!A269="","",'NEW ACCOUNT'!E269)</f>
        <v/>
      </c>
      <c r="F268" s="22">
        <f>IF('NEW ACCOUNT'!A269="","",'NEW ACCOUNT'!F269)</f>
        <v/>
      </c>
      <c r="G268" s="22">
        <f>IF('NEW ACCOUNT'!A269="","",'NEW ACCOUNT'!G269)</f>
        <v/>
      </c>
      <c r="H268" s="22">
        <f>IF('NEW ACCOUNT'!A269="","",'NEW ACCOUNT'!H269)</f>
        <v/>
      </c>
      <c r="I268" s="23">
        <f>IFERROR(IF(A268="","",SUMIF(SAVINGS!$A:$A,A268,SAVINGS!$E:$E)),"")</f>
        <v/>
      </c>
      <c r="J268" s="23">
        <f>IFERROR(IF(A268="","",SUMIF(SAVINGS!$A:$A,A268,SAVINGS!$E:$E)-SUMIF(WITHDRAWALS!$A:$A,A268,WITHDRAWALS!$E:$E)),"")</f>
        <v/>
      </c>
    </row>
    <row r="269" ht="20" customHeight="1">
      <c r="A269" s="18">
        <f>'NEW ACCOUNT'!A270</f>
        <v/>
      </c>
      <c r="B269" s="19">
        <f>IF('NEW ACCOUNT'!A270="","",'NEW ACCOUNT'!B270)</f>
        <v/>
      </c>
      <c r="C269" s="19">
        <f>IF('NEW ACCOUNT'!A270="","",'NEW ACCOUNT'!C270)</f>
        <v/>
      </c>
      <c r="D269" s="19">
        <f>IF('NEW ACCOUNT'!A270="","",'NEW ACCOUNT'!D270)</f>
        <v/>
      </c>
      <c r="E269" s="19">
        <f>IF('NEW ACCOUNT'!A270="","",'NEW ACCOUNT'!E270)</f>
        <v/>
      </c>
      <c r="F269" s="19">
        <f>IF('NEW ACCOUNT'!A270="","",'NEW ACCOUNT'!F270)</f>
        <v/>
      </c>
      <c r="G269" s="19">
        <f>IF('NEW ACCOUNT'!A270="","",'NEW ACCOUNT'!G270)</f>
        <v/>
      </c>
      <c r="H269" s="19">
        <f>IF('NEW ACCOUNT'!A270="","",'NEW ACCOUNT'!H270)</f>
        <v/>
      </c>
      <c r="I269" s="20">
        <f>IFERROR(IF(A269="","",SUMIF(SAVINGS!$A:$A,A269,SAVINGS!$E:$E)),"")</f>
        <v/>
      </c>
      <c r="J269" s="20">
        <f>IFERROR(IF(A269="","",SUMIF(SAVINGS!$A:$A,A269,SAVINGS!$E:$E)-SUMIF(WITHDRAWALS!$A:$A,A269,WITHDRAWALS!$E:$E)),"")</f>
        <v/>
      </c>
    </row>
    <row r="270" ht="20" customHeight="1">
      <c r="A270" s="21">
        <f>'NEW ACCOUNT'!A271</f>
        <v/>
      </c>
      <c r="B270" s="22">
        <f>IF('NEW ACCOUNT'!A271="","",'NEW ACCOUNT'!B271)</f>
        <v/>
      </c>
      <c r="C270" s="22">
        <f>IF('NEW ACCOUNT'!A271="","",'NEW ACCOUNT'!C271)</f>
        <v/>
      </c>
      <c r="D270" s="22">
        <f>IF('NEW ACCOUNT'!A271="","",'NEW ACCOUNT'!D271)</f>
        <v/>
      </c>
      <c r="E270" s="22">
        <f>IF('NEW ACCOUNT'!A271="","",'NEW ACCOUNT'!E271)</f>
        <v/>
      </c>
      <c r="F270" s="22">
        <f>IF('NEW ACCOUNT'!A271="","",'NEW ACCOUNT'!F271)</f>
        <v/>
      </c>
      <c r="G270" s="22">
        <f>IF('NEW ACCOUNT'!A271="","",'NEW ACCOUNT'!G271)</f>
        <v/>
      </c>
      <c r="H270" s="22">
        <f>IF('NEW ACCOUNT'!A271="","",'NEW ACCOUNT'!H271)</f>
        <v/>
      </c>
      <c r="I270" s="23">
        <f>IFERROR(IF(A270="","",SUMIF(SAVINGS!$A:$A,A270,SAVINGS!$E:$E)),"")</f>
        <v/>
      </c>
      <c r="J270" s="23">
        <f>IFERROR(IF(A270="","",SUMIF(SAVINGS!$A:$A,A270,SAVINGS!$E:$E)-SUMIF(WITHDRAWALS!$A:$A,A270,WITHDRAWALS!$E:$E)),"")</f>
        <v/>
      </c>
    </row>
    <row r="271" ht="20" customHeight="1">
      <c r="A271" s="18">
        <f>'NEW ACCOUNT'!A272</f>
        <v/>
      </c>
      <c r="B271" s="19">
        <f>IF('NEW ACCOUNT'!A272="","",'NEW ACCOUNT'!B272)</f>
        <v/>
      </c>
      <c r="C271" s="19">
        <f>IF('NEW ACCOUNT'!A272="","",'NEW ACCOUNT'!C272)</f>
        <v/>
      </c>
      <c r="D271" s="19">
        <f>IF('NEW ACCOUNT'!A272="","",'NEW ACCOUNT'!D272)</f>
        <v/>
      </c>
      <c r="E271" s="19">
        <f>IF('NEW ACCOUNT'!A272="","",'NEW ACCOUNT'!E272)</f>
        <v/>
      </c>
      <c r="F271" s="19">
        <f>IF('NEW ACCOUNT'!A272="","",'NEW ACCOUNT'!F272)</f>
        <v/>
      </c>
      <c r="G271" s="19">
        <f>IF('NEW ACCOUNT'!A272="","",'NEW ACCOUNT'!G272)</f>
        <v/>
      </c>
      <c r="H271" s="19">
        <f>IF('NEW ACCOUNT'!A272="","",'NEW ACCOUNT'!H272)</f>
        <v/>
      </c>
      <c r="I271" s="20">
        <f>IFERROR(IF(A271="","",SUMIF(SAVINGS!$A:$A,A271,SAVINGS!$E:$E)),"")</f>
        <v/>
      </c>
      <c r="J271" s="20">
        <f>IFERROR(IF(A271="","",SUMIF(SAVINGS!$A:$A,A271,SAVINGS!$E:$E)-SUMIF(WITHDRAWALS!$A:$A,A271,WITHDRAWALS!$E:$E)),"")</f>
        <v/>
      </c>
    </row>
    <row r="272" ht="20" customHeight="1">
      <c r="A272" s="21">
        <f>'NEW ACCOUNT'!A273</f>
        <v/>
      </c>
      <c r="B272" s="22">
        <f>IF('NEW ACCOUNT'!A273="","",'NEW ACCOUNT'!B273)</f>
        <v/>
      </c>
      <c r="C272" s="22">
        <f>IF('NEW ACCOUNT'!A273="","",'NEW ACCOUNT'!C273)</f>
        <v/>
      </c>
      <c r="D272" s="22">
        <f>IF('NEW ACCOUNT'!A273="","",'NEW ACCOUNT'!D273)</f>
        <v/>
      </c>
      <c r="E272" s="22">
        <f>IF('NEW ACCOUNT'!A273="","",'NEW ACCOUNT'!E273)</f>
        <v/>
      </c>
      <c r="F272" s="22">
        <f>IF('NEW ACCOUNT'!A273="","",'NEW ACCOUNT'!F273)</f>
        <v/>
      </c>
      <c r="G272" s="22">
        <f>IF('NEW ACCOUNT'!A273="","",'NEW ACCOUNT'!G273)</f>
        <v/>
      </c>
      <c r="H272" s="22">
        <f>IF('NEW ACCOUNT'!A273="","",'NEW ACCOUNT'!H273)</f>
        <v/>
      </c>
      <c r="I272" s="23">
        <f>IFERROR(IF(A272="","",SUMIF(SAVINGS!$A:$A,A272,SAVINGS!$E:$E)),"")</f>
        <v/>
      </c>
      <c r="J272" s="23">
        <f>IFERROR(IF(A272="","",SUMIF(SAVINGS!$A:$A,A272,SAVINGS!$E:$E)-SUMIF(WITHDRAWALS!$A:$A,A272,WITHDRAWALS!$E:$E)),"")</f>
        <v/>
      </c>
    </row>
    <row r="273" ht="20" customHeight="1">
      <c r="A273" s="18">
        <f>'NEW ACCOUNT'!A274</f>
        <v/>
      </c>
      <c r="B273" s="19">
        <f>IF('NEW ACCOUNT'!A274="","",'NEW ACCOUNT'!B274)</f>
        <v/>
      </c>
      <c r="C273" s="19">
        <f>IF('NEW ACCOUNT'!A274="","",'NEW ACCOUNT'!C274)</f>
        <v/>
      </c>
      <c r="D273" s="19">
        <f>IF('NEW ACCOUNT'!A274="","",'NEW ACCOUNT'!D274)</f>
        <v/>
      </c>
      <c r="E273" s="19">
        <f>IF('NEW ACCOUNT'!A274="","",'NEW ACCOUNT'!E274)</f>
        <v/>
      </c>
      <c r="F273" s="19">
        <f>IF('NEW ACCOUNT'!A274="","",'NEW ACCOUNT'!F274)</f>
        <v/>
      </c>
      <c r="G273" s="19">
        <f>IF('NEW ACCOUNT'!A274="","",'NEW ACCOUNT'!G274)</f>
        <v/>
      </c>
      <c r="H273" s="19">
        <f>IF('NEW ACCOUNT'!A274="","",'NEW ACCOUNT'!H274)</f>
        <v/>
      </c>
      <c r="I273" s="20">
        <f>IFERROR(IF(A273="","",SUMIF(SAVINGS!$A:$A,A273,SAVINGS!$E:$E)),"")</f>
        <v/>
      </c>
      <c r="J273" s="20">
        <f>IFERROR(IF(A273="","",SUMIF(SAVINGS!$A:$A,A273,SAVINGS!$E:$E)-SUMIF(WITHDRAWALS!$A:$A,A273,WITHDRAWALS!$E:$E)),"")</f>
        <v/>
      </c>
    </row>
    <row r="274" ht="20" customHeight="1">
      <c r="A274" s="21">
        <f>'NEW ACCOUNT'!A275</f>
        <v/>
      </c>
      <c r="B274" s="22">
        <f>IF('NEW ACCOUNT'!A275="","",'NEW ACCOUNT'!B275)</f>
        <v/>
      </c>
      <c r="C274" s="22">
        <f>IF('NEW ACCOUNT'!A275="","",'NEW ACCOUNT'!C275)</f>
        <v/>
      </c>
      <c r="D274" s="22">
        <f>IF('NEW ACCOUNT'!A275="","",'NEW ACCOUNT'!D275)</f>
        <v/>
      </c>
      <c r="E274" s="22">
        <f>IF('NEW ACCOUNT'!A275="","",'NEW ACCOUNT'!E275)</f>
        <v/>
      </c>
      <c r="F274" s="22">
        <f>IF('NEW ACCOUNT'!A275="","",'NEW ACCOUNT'!F275)</f>
        <v/>
      </c>
      <c r="G274" s="22">
        <f>IF('NEW ACCOUNT'!A275="","",'NEW ACCOUNT'!G275)</f>
        <v/>
      </c>
      <c r="H274" s="22">
        <f>IF('NEW ACCOUNT'!A275="","",'NEW ACCOUNT'!H275)</f>
        <v/>
      </c>
      <c r="I274" s="23">
        <f>IFERROR(IF(A274="","",SUMIF(SAVINGS!$A:$A,A274,SAVINGS!$E:$E)),"")</f>
        <v/>
      </c>
      <c r="J274" s="23">
        <f>IFERROR(IF(A274="","",SUMIF(SAVINGS!$A:$A,A274,SAVINGS!$E:$E)-SUMIF(WITHDRAWALS!$A:$A,A274,WITHDRAWALS!$E:$E)),"")</f>
        <v/>
      </c>
    </row>
    <row r="275" ht="20" customHeight="1">
      <c r="A275" s="18">
        <f>'NEW ACCOUNT'!A276</f>
        <v/>
      </c>
      <c r="B275" s="19">
        <f>IF('NEW ACCOUNT'!A276="","",'NEW ACCOUNT'!B276)</f>
        <v/>
      </c>
      <c r="C275" s="19">
        <f>IF('NEW ACCOUNT'!A276="","",'NEW ACCOUNT'!C276)</f>
        <v/>
      </c>
      <c r="D275" s="19">
        <f>IF('NEW ACCOUNT'!A276="","",'NEW ACCOUNT'!D276)</f>
        <v/>
      </c>
      <c r="E275" s="19">
        <f>IF('NEW ACCOUNT'!A276="","",'NEW ACCOUNT'!E276)</f>
        <v/>
      </c>
      <c r="F275" s="19">
        <f>IF('NEW ACCOUNT'!A276="","",'NEW ACCOUNT'!F276)</f>
        <v/>
      </c>
      <c r="G275" s="19">
        <f>IF('NEW ACCOUNT'!A276="","",'NEW ACCOUNT'!G276)</f>
        <v/>
      </c>
      <c r="H275" s="19">
        <f>IF('NEW ACCOUNT'!A276="","",'NEW ACCOUNT'!H276)</f>
        <v/>
      </c>
      <c r="I275" s="20">
        <f>IFERROR(IF(A275="","",SUMIF(SAVINGS!$A:$A,A275,SAVINGS!$E:$E)),"")</f>
        <v/>
      </c>
      <c r="J275" s="20">
        <f>IFERROR(IF(A275="","",SUMIF(SAVINGS!$A:$A,A275,SAVINGS!$E:$E)-SUMIF(WITHDRAWALS!$A:$A,A275,WITHDRAWALS!$E:$E)),"")</f>
        <v/>
      </c>
    </row>
    <row r="276" ht="20" customHeight="1">
      <c r="A276" s="21">
        <f>'NEW ACCOUNT'!A277</f>
        <v/>
      </c>
      <c r="B276" s="22">
        <f>IF('NEW ACCOUNT'!A277="","",'NEW ACCOUNT'!B277)</f>
        <v/>
      </c>
      <c r="C276" s="22">
        <f>IF('NEW ACCOUNT'!A277="","",'NEW ACCOUNT'!C277)</f>
        <v/>
      </c>
      <c r="D276" s="22">
        <f>IF('NEW ACCOUNT'!A277="","",'NEW ACCOUNT'!D277)</f>
        <v/>
      </c>
      <c r="E276" s="22">
        <f>IF('NEW ACCOUNT'!A277="","",'NEW ACCOUNT'!E277)</f>
        <v/>
      </c>
      <c r="F276" s="22">
        <f>IF('NEW ACCOUNT'!A277="","",'NEW ACCOUNT'!F277)</f>
        <v/>
      </c>
      <c r="G276" s="22">
        <f>IF('NEW ACCOUNT'!A277="","",'NEW ACCOUNT'!G277)</f>
        <v/>
      </c>
      <c r="H276" s="22">
        <f>IF('NEW ACCOUNT'!A277="","",'NEW ACCOUNT'!H277)</f>
        <v/>
      </c>
      <c r="I276" s="23">
        <f>IFERROR(IF(A276="","",SUMIF(SAVINGS!$A:$A,A276,SAVINGS!$E:$E)),"")</f>
        <v/>
      </c>
      <c r="J276" s="23">
        <f>IFERROR(IF(A276="","",SUMIF(SAVINGS!$A:$A,A276,SAVINGS!$E:$E)-SUMIF(WITHDRAWALS!$A:$A,A276,WITHDRAWALS!$E:$E)),"")</f>
        <v/>
      </c>
    </row>
    <row r="277" ht="20" customHeight="1">
      <c r="A277" s="18">
        <f>'NEW ACCOUNT'!A278</f>
        <v/>
      </c>
      <c r="B277" s="19">
        <f>IF('NEW ACCOUNT'!A278="","",'NEW ACCOUNT'!B278)</f>
        <v/>
      </c>
      <c r="C277" s="19">
        <f>IF('NEW ACCOUNT'!A278="","",'NEW ACCOUNT'!C278)</f>
        <v/>
      </c>
      <c r="D277" s="19">
        <f>IF('NEW ACCOUNT'!A278="","",'NEW ACCOUNT'!D278)</f>
        <v/>
      </c>
      <c r="E277" s="19">
        <f>IF('NEW ACCOUNT'!A278="","",'NEW ACCOUNT'!E278)</f>
        <v/>
      </c>
      <c r="F277" s="19">
        <f>IF('NEW ACCOUNT'!A278="","",'NEW ACCOUNT'!F278)</f>
        <v/>
      </c>
      <c r="G277" s="19">
        <f>IF('NEW ACCOUNT'!A278="","",'NEW ACCOUNT'!G278)</f>
        <v/>
      </c>
      <c r="H277" s="19">
        <f>IF('NEW ACCOUNT'!A278="","",'NEW ACCOUNT'!H278)</f>
        <v/>
      </c>
      <c r="I277" s="20">
        <f>IFERROR(IF(A277="","",SUMIF(SAVINGS!$A:$A,A277,SAVINGS!$E:$E)),"")</f>
        <v/>
      </c>
      <c r="J277" s="20">
        <f>IFERROR(IF(A277="","",SUMIF(SAVINGS!$A:$A,A277,SAVINGS!$E:$E)-SUMIF(WITHDRAWALS!$A:$A,A277,WITHDRAWALS!$E:$E)),"")</f>
        <v/>
      </c>
    </row>
    <row r="278" ht="20" customHeight="1">
      <c r="A278" s="21">
        <f>'NEW ACCOUNT'!A279</f>
        <v/>
      </c>
      <c r="B278" s="22">
        <f>IF('NEW ACCOUNT'!A279="","",'NEW ACCOUNT'!B279)</f>
        <v/>
      </c>
      <c r="C278" s="22">
        <f>IF('NEW ACCOUNT'!A279="","",'NEW ACCOUNT'!C279)</f>
        <v/>
      </c>
      <c r="D278" s="22">
        <f>IF('NEW ACCOUNT'!A279="","",'NEW ACCOUNT'!D279)</f>
        <v/>
      </c>
      <c r="E278" s="22">
        <f>IF('NEW ACCOUNT'!A279="","",'NEW ACCOUNT'!E279)</f>
        <v/>
      </c>
      <c r="F278" s="22">
        <f>IF('NEW ACCOUNT'!A279="","",'NEW ACCOUNT'!F279)</f>
        <v/>
      </c>
      <c r="G278" s="22">
        <f>IF('NEW ACCOUNT'!A279="","",'NEW ACCOUNT'!G279)</f>
        <v/>
      </c>
      <c r="H278" s="22">
        <f>IF('NEW ACCOUNT'!A279="","",'NEW ACCOUNT'!H279)</f>
        <v/>
      </c>
      <c r="I278" s="23">
        <f>IFERROR(IF(A278="","",SUMIF(SAVINGS!$A:$A,A278,SAVINGS!$E:$E)),"")</f>
        <v/>
      </c>
      <c r="J278" s="23">
        <f>IFERROR(IF(A278="","",SUMIF(SAVINGS!$A:$A,A278,SAVINGS!$E:$E)-SUMIF(WITHDRAWALS!$A:$A,A278,WITHDRAWALS!$E:$E)),"")</f>
        <v/>
      </c>
    </row>
    <row r="279" ht="20" customHeight="1">
      <c r="A279" s="18">
        <f>'NEW ACCOUNT'!A280</f>
        <v/>
      </c>
      <c r="B279" s="19">
        <f>IF('NEW ACCOUNT'!A280="","",'NEW ACCOUNT'!B280)</f>
        <v/>
      </c>
      <c r="C279" s="19">
        <f>IF('NEW ACCOUNT'!A280="","",'NEW ACCOUNT'!C280)</f>
        <v/>
      </c>
      <c r="D279" s="19">
        <f>IF('NEW ACCOUNT'!A280="","",'NEW ACCOUNT'!D280)</f>
        <v/>
      </c>
      <c r="E279" s="19">
        <f>IF('NEW ACCOUNT'!A280="","",'NEW ACCOUNT'!E280)</f>
        <v/>
      </c>
      <c r="F279" s="19">
        <f>IF('NEW ACCOUNT'!A280="","",'NEW ACCOUNT'!F280)</f>
        <v/>
      </c>
      <c r="G279" s="19">
        <f>IF('NEW ACCOUNT'!A280="","",'NEW ACCOUNT'!G280)</f>
        <v/>
      </c>
      <c r="H279" s="19">
        <f>IF('NEW ACCOUNT'!A280="","",'NEW ACCOUNT'!H280)</f>
        <v/>
      </c>
      <c r="I279" s="20">
        <f>IFERROR(IF(A279="","",SUMIF(SAVINGS!$A:$A,A279,SAVINGS!$E:$E)),"")</f>
        <v/>
      </c>
      <c r="J279" s="20">
        <f>IFERROR(IF(A279="","",SUMIF(SAVINGS!$A:$A,A279,SAVINGS!$E:$E)-SUMIF(WITHDRAWALS!$A:$A,A279,WITHDRAWALS!$E:$E)),"")</f>
        <v/>
      </c>
    </row>
    <row r="280" ht="20" customHeight="1">
      <c r="A280" s="21">
        <f>'NEW ACCOUNT'!A281</f>
        <v/>
      </c>
      <c r="B280" s="22">
        <f>IF('NEW ACCOUNT'!A281="","",'NEW ACCOUNT'!B281)</f>
        <v/>
      </c>
      <c r="C280" s="22">
        <f>IF('NEW ACCOUNT'!A281="","",'NEW ACCOUNT'!C281)</f>
        <v/>
      </c>
      <c r="D280" s="22">
        <f>IF('NEW ACCOUNT'!A281="","",'NEW ACCOUNT'!D281)</f>
        <v/>
      </c>
      <c r="E280" s="22">
        <f>IF('NEW ACCOUNT'!A281="","",'NEW ACCOUNT'!E281)</f>
        <v/>
      </c>
      <c r="F280" s="22">
        <f>IF('NEW ACCOUNT'!A281="","",'NEW ACCOUNT'!F281)</f>
        <v/>
      </c>
      <c r="G280" s="22">
        <f>IF('NEW ACCOUNT'!A281="","",'NEW ACCOUNT'!G281)</f>
        <v/>
      </c>
      <c r="H280" s="22">
        <f>IF('NEW ACCOUNT'!A281="","",'NEW ACCOUNT'!H281)</f>
        <v/>
      </c>
      <c r="I280" s="23">
        <f>IFERROR(IF(A280="","",SUMIF(SAVINGS!$A:$A,A280,SAVINGS!$E:$E)),"")</f>
        <v/>
      </c>
      <c r="J280" s="23">
        <f>IFERROR(IF(A280="","",SUMIF(SAVINGS!$A:$A,A280,SAVINGS!$E:$E)-SUMIF(WITHDRAWALS!$A:$A,A280,WITHDRAWALS!$E:$E)),"")</f>
        <v/>
      </c>
    </row>
    <row r="281" ht="20" customHeight="1">
      <c r="A281" s="18">
        <f>'NEW ACCOUNT'!A282</f>
        <v/>
      </c>
      <c r="B281" s="19">
        <f>IF('NEW ACCOUNT'!A282="","",'NEW ACCOUNT'!B282)</f>
        <v/>
      </c>
      <c r="C281" s="19">
        <f>IF('NEW ACCOUNT'!A282="","",'NEW ACCOUNT'!C282)</f>
        <v/>
      </c>
      <c r="D281" s="19">
        <f>IF('NEW ACCOUNT'!A282="","",'NEW ACCOUNT'!D282)</f>
        <v/>
      </c>
      <c r="E281" s="19">
        <f>IF('NEW ACCOUNT'!A282="","",'NEW ACCOUNT'!E282)</f>
        <v/>
      </c>
      <c r="F281" s="19">
        <f>IF('NEW ACCOUNT'!A282="","",'NEW ACCOUNT'!F282)</f>
        <v/>
      </c>
      <c r="G281" s="19">
        <f>IF('NEW ACCOUNT'!A282="","",'NEW ACCOUNT'!G282)</f>
        <v/>
      </c>
      <c r="H281" s="19">
        <f>IF('NEW ACCOUNT'!A282="","",'NEW ACCOUNT'!H282)</f>
        <v/>
      </c>
      <c r="I281" s="20">
        <f>IFERROR(IF(A281="","",SUMIF(SAVINGS!$A:$A,A281,SAVINGS!$E:$E)),"")</f>
        <v/>
      </c>
      <c r="J281" s="20">
        <f>IFERROR(IF(A281="","",SUMIF(SAVINGS!$A:$A,A281,SAVINGS!$E:$E)-SUMIF(WITHDRAWALS!$A:$A,A281,WITHDRAWALS!$E:$E)),"")</f>
        <v/>
      </c>
    </row>
    <row r="282" ht="20" customHeight="1">
      <c r="A282" s="21">
        <f>'NEW ACCOUNT'!A283</f>
        <v/>
      </c>
      <c r="B282" s="22">
        <f>IF('NEW ACCOUNT'!A283="","",'NEW ACCOUNT'!B283)</f>
        <v/>
      </c>
      <c r="C282" s="22">
        <f>IF('NEW ACCOUNT'!A283="","",'NEW ACCOUNT'!C283)</f>
        <v/>
      </c>
      <c r="D282" s="22">
        <f>IF('NEW ACCOUNT'!A283="","",'NEW ACCOUNT'!D283)</f>
        <v/>
      </c>
      <c r="E282" s="22">
        <f>IF('NEW ACCOUNT'!A283="","",'NEW ACCOUNT'!E283)</f>
        <v/>
      </c>
      <c r="F282" s="22">
        <f>IF('NEW ACCOUNT'!A283="","",'NEW ACCOUNT'!F283)</f>
        <v/>
      </c>
      <c r="G282" s="22">
        <f>IF('NEW ACCOUNT'!A283="","",'NEW ACCOUNT'!G283)</f>
        <v/>
      </c>
      <c r="H282" s="22">
        <f>IF('NEW ACCOUNT'!A283="","",'NEW ACCOUNT'!H283)</f>
        <v/>
      </c>
      <c r="I282" s="23">
        <f>IFERROR(IF(A282="","",SUMIF(SAVINGS!$A:$A,A282,SAVINGS!$E:$E)),"")</f>
        <v/>
      </c>
      <c r="J282" s="23">
        <f>IFERROR(IF(A282="","",SUMIF(SAVINGS!$A:$A,A282,SAVINGS!$E:$E)-SUMIF(WITHDRAWALS!$A:$A,A282,WITHDRAWALS!$E:$E)),"")</f>
        <v/>
      </c>
    </row>
    <row r="283" ht="20" customHeight="1">
      <c r="A283" s="18">
        <f>'NEW ACCOUNT'!A284</f>
        <v/>
      </c>
      <c r="B283" s="19">
        <f>IF('NEW ACCOUNT'!A284="","",'NEW ACCOUNT'!B284)</f>
        <v/>
      </c>
      <c r="C283" s="19">
        <f>IF('NEW ACCOUNT'!A284="","",'NEW ACCOUNT'!C284)</f>
        <v/>
      </c>
      <c r="D283" s="19">
        <f>IF('NEW ACCOUNT'!A284="","",'NEW ACCOUNT'!D284)</f>
        <v/>
      </c>
      <c r="E283" s="19">
        <f>IF('NEW ACCOUNT'!A284="","",'NEW ACCOUNT'!E284)</f>
        <v/>
      </c>
      <c r="F283" s="19">
        <f>IF('NEW ACCOUNT'!A284="","",'NEW ACCOUNT'!F284)</f>
        <v/>
      </c>
      <c r="G283" s="19">
        <f>IF('NEW ACCOUNT'!A284="","",'NEW ACCOUNT'!G284)</f>
        <v/>
      </c>
      <c r="H283" s="19">
        <f>IF('NEW ACCOUNT'!A284="","",'NEW ACCOUNT'!H284)</f>
        <v/>
      </c>
      <c r="I283" s="20">
        <f>IFERROR(IF(A283="","",SUMIF(SAVINGS!$A:$A,A283,SAVINGS!$E:$E)),"")</f>
        <v/>
      </c>
      <c r="J283" s="20">
        <f>IFERROR(IF(A283="","",SUMIF(SAVINGS!$A:$A,A283,SAVINGS!$E:$E)-SUMIF(WITHDRAWALS!$A:$A,A283,WITHDRAWALS!$E:$E)),"")</f>
        <v/>
      </c>
    </row>
    <row r="284" ht="20" customHeight="1">
      <c r="A284" s="21">
        <f>'NEW ACCOUNT'!A285</f>
        <v/>
      </c>
      <c r="B284" s="22">
        <f>IF('NEW ACCOUNT'!A285="","",'NEW ACCOUNT'!B285)</f>
        <v/>
      </c>
      <c r="C284" s="22">
        <f>IF('NEW ACCOUNT'!A285="","",'NEW ACCOUNT'!C285)</f>
        <v/>
      </c>
      <c r="D284" s="22">
        <f>IF('NEW ACCOUNT'!A285="","",'NEW ACCOUNT'!D285)</f>
        <v/>
      </c>
      <c r="E284" s="22">
        <f>IF('NEW ACCOUNT'!A285="","",'NEW ACCOUNT'!E285)</f>
        <v/>
      </c>
      <c r="F284" s="22">
        <f>IF('NEW ACCOUNT'!A285="","",'NEW ACCOUNT'!F285)</f>
        <v/>
      </c>
      <c r="G284" s="22">
        <f>IF('NEW ACCOUNT'!A285="","",'NEW ACCOUNT'!G285)</f>
        <v/>
      </c>
      <c r="H284" s="22">
        <f>IF('NEW ACCOUNT'!A285="","",'NEW ACCOUNT'!H285)</f>
        <v/>
      </c>
      <c r="I284" s="23">
        <f>IFERROR(IF(A284="","",SUMIF(SAVINGS!$A:$A,A284,SAVINGS!$E:$E)),"")</f>
        <v/>
      </c>
      <c r="J284" s="23">
        <f>IFERROR(IF(A284="","",SUMIF(SAVINGS!$A:$A,A284,SAVINGS!$E:$E)-SUMIF(WITHDRAWALS!$A:$A,A284,WITHDRAWALS!$E:$E)),"")</f>
        <v/>
      </c>
    </row>
    <row r="285" ht="20" customHeight="1">
      <c r="A285" s="18">
        <f>'NEW ACCOUNT'!A286</f>
        <v/>
      </c>
      <c r="B285" s="19">
        <f>IF('NEW ACCOUNT'!A286="","",'NEW ACCOUNT'!B286)</f>
        <v/>
      </c>
      <c r="C285" s="19">
        <f>IF('NEW ACCOUNT'!A286="","",'NEW ACCOUNT'!C286)</f>
        <v/>
      </c>
      <c r="D285" s="19">
        <f>IF('NEW ACCOUNT'!A286="","",'NEW ACCOUNT'!D286)</f>
        <v/>
      </c>
      <c r="E285" s="19">
        <f>IF('NEW ACCOUNT'!A286="","",'NEW ACCOUNT'!E286)</f>
        <v/>
      </c>
      <c r="F285" s="19">
        <f>IF('NEW ACCOUNT'!A286="","",'NEW ACCOUNT'!F286)</f>
        <v/>
      </c>
      <c r="G285" s="19">
        <f>IF('NEW ACCOUNT'!A286="","",'NEW ACCOUNT'!G286)</f>
        <v/>
      </c>
      <c r="H285" s="19">
        <f>IF('NEW ACCOUNT'!A286="","",'NEW ACCOUNT'!H286)</f>
        <v/>
      </c>
      <c r="I285" s="20">
        <f>IFERROR(IF(A285="","",SUMIF(SAVINGS!$A:$A,A285,SAVINGS!$E:$E)),"")</f>
        <v/>
      </c>
      <c r="J285" s="20">
        <f>IFERROR(IF(A285="","",SUMIF(SAVINGS!$A:$A,A285,SAVINGS!$E:$E)-SUMIF(WITHDRAWALS!$A:$A,A285,WITHDRAWALS!$E:$E)),"")</f>
        <v/>
      </c>
    </row>
    <row r="286" ht="20" customHeight="1">
      <c r="A286" s="21">
        <f>'NEW ACCOUNT'!A287</f>
        <v/>
      </c>
      <c r="B286" s="22">
        <f>IF('NEW ACCOUNT'!A287="","",'NEW ACCOUNT'!B287)</f>
        <v/>
      </c>
      <c r="C286" s="22">
        <f>IF('NEW ACCOUNT'!A287="","",'NEW ACCOUNT'!C287)</f>
        <v/>
      </c>
      <c r="D286" s="22">
        <f>IF('NEW ACCOUNT'!A287="","",'NEW ACCOUNT'!D287)</f>
        <v/>
      </c>
      <c r="E286" s="22">
        <f>IF('NEW ACCOUNT'!A287="","",'NEW ACCOUNT'!E287)</f>
        <v/>
      </c>
      <c r="F286" s="22">
        <f>IF('NEW ACCOUNT'!A287="","",'NEW ACCOUNT'!F287)</f>
        <v/>
      </c>
      <c r="G286" s="22">
        <f>IF('NEW ACCOUNT'!A287="","",'NEW ACCOUNT'!G287)</f>
        <v/>
      </c>
      <c r="H286" s="22">
        <f>IF('NEW ACCOUNT'!A287="","",'NEW ACCOUNT'!H287)</f>
        <v/>
      </c>
      <c r="I286" s="23">
        <f>IFERROR(IF(A286="","",SUMIF(SAVINGS!$A:$A,A286,SAVINGS!$E:$E)),"")</f>
        <v/>
      </c>
      <c r="J286" s="23">
        <f>IFERROR(IF(A286="","",SUMIF(SAVINGS!$A:$A,A286,SAVINGS!$E:$E)-SUMIF(WITHDRAWALS!$A:$A,A286,WITHDRAWALS!$E:$E)),"")</f>
        <v/>
      </c>
    </row>
    <row r="287" ht="20" customHeight="1">
      <c r="A287" s="18">
        <f>'NEW ACCOUNT'!A288</f>
        <v/>
      </c>
      <c r="B287" s="19">
        <f>IF('NEW ACCOUNT'!A288="","",'NEW ACCOUNT'!B288)</f>
        <v/>
      </c>
      <c r="C287" s="19">
        <f>IF('NEW ACCOUNT'!A288="","",'NEW ACCOUNT'!C288)</f>
        <v/>
      </c>
      <c r="D287" s="19">
        <f>IF('NEW ACCOUNT'!A288="","",'NEW ACCOUNT'!D288)</f>
        <v/>
      </c>
      <c r="E287" s="19">
        <f>IF('NEW ACCOUNT'!A288="","",'NEW ACCOUNT'!E288)</f>
        <v/>
      </c>
      <c r="F287" s="19">
        <f>IF('NEW ACCOUNT'!A288="","",'NEW ACCOUNT'!F288)</f>
        <v/>
      </c>
      <c r="G287" s="19">
        <f>IF('NEW ACCOUNT'!A288="","",'NEW ACCOUNT'!G288)</f>
        <v/>
      </c>
      <c r="H287" s="19">
        <f>IF('NEW ACCOUNT'!A288="","",'NEW ACCOUNT'!H288)</f>
        <v/>
      </c>
      <c r="I287" s="20">
        <f>IFERROR(IF(A287="","",SUMIF(SAVINGS!$A:$A,A287,SAVINGS!$E:$E)),"")</f>
        <v/>
      </c>
      <c r="J287" s="20">
        <f>IFERROR(IF(A287="","",SUMIF(SAVINGS!$A:$A,A287,SAVINGS!$E:$E)-SUMIF(WITHDRAWALS!$A:$A,A287,WITHDRAWALS!$E:$E)),"")</f>
        <v/>
      </c>
    </row>
    <row r="288" ht="20" customHeight="1">
      <c r="A288" s="21">
        <f>'NEW ACCOUNT'!A289</f>
        <v/>
      </c>
      <c r="B288" s="22">
        <f>IF('NEW ACCOUNT'!A289="","",'NEW ACCOUNT'!B289)</f>
        <v/>
      </c>
      <c r="C288" s="22">
        <f>IF('NEW ACCOUNT'!A289="","",'NEW ACCOUNT'!C289)</f>
        <v/>
      </c>
      <c r="D288" s="22">
        <f>IF('NEW ACCOUNT'!A289="","",'NEW ACCOUNT'!D289)</f>
        <v/>
      </c>
      <c r="E288" s="22">
        <f>IF('NEW ACCOUNT'!A289="","",'NEW ACCOUNT'!E289)</f>
        <v/>
      </c>
      <c r="F288" s="22">
        <f>IF('NEW ACCOUNT'!A289="","",'NEW ACCOUNT'!F289)</f>
        <v/>
      </c>
      <c r="G288" s="22">
        <f>IF('NEW ACCOUNT'!A289="","",'NEW ACCOUNT'!G289)</f>
        <v/>
      </c>
      <c r="H288" s="22">
        <f>IF('NEW ACCOUNT'!A289="","",'NEW ACCOUNT'!H289)</f>
        <v/>
      </c>
      <c r="I288" s="23">
        <f>IFERROR(IF(A288="","",SUMIF(SAVINGS!$A:$A,A288,SAVINGS!$E:$E)),"")</f>
        <v/>
      </c>
      <c r="J288" s="23">
        <f>IFERROR(IF(A288="","",SUMIF(SAVINGS!$A:$A,A288,SAVINGS!$E:$E)-SUMIF(WITHDRAWALS!$A:$A,A288,WITHDRAWALS!$E:$E)),"")</f>
        <v/>
      </c>
    </row>
    <row r="289" ht="20" customHeight="1">
      <c r="A289" s="18">
        <f>'NEW ACCOUNT'!A290</f>
        <v/>
      </c>
      <c r="B289" s="19">
        <f>IF('NEW ACCOUNT'!A290="","",'NEW ACCOUNT'!B290)</f>
        <v/>
      </c>
      <c r="C289" s="19">
        <f>IF('NEW ACCOUNT'!A290="","",'NEW ACCOUNT'!C290)</f>
        <v/>
      </c>
      <c r="D289" s="19">
        <f>IF('NEW ACCOUNT'!A290="","",'NEW ACCOUNT'!D290)</f>
        <v/>
      </c>
      <c r="E289" s="19">
        <f>IF('NEW ACCOUNT'!A290="","",'NEW ACCOUNT'!E290)</f>
        <v/>
      </c>
      <c r="F289" s="19">
        <f>IF('NEW ACCOUNT'!A290="","",'NEW ACCOUNT'!F290)</f>
        <v/>
      </c>
      <c r="G289" s="19">
        <f>IF('NEW ACCOUNT'!A290="","",'NEW ACCOUNT'!G290)</f>
        <v/>
      </c>
      <c r="H289" s="19">
        <f>IF('NEW ACCOUNT'!A290="","",'NEW ACCOUNT'!H290)</f>
        <v/>
      </c>
      <c r="I289" s="20">
        <f>IFERROR(IF(A289="","",SUMIF(SAVINGS!$A:$A,A289,SAVINGS!$E:$E)),"")</f>
        <v/>
      </c>
      <c r="J289" s="20">
        <f>IFERROR(IF(A289="","",SUMIF(SAVINGS!$A:$A,A289,SAVINGS!$E:$E)-SUMIF(WITHDRAWALS!$A:$A,A289,WITHDRAWALS!$E:$E)),"")</f>
        <v/>
      </c>
    </row>
    <row r="290" ht="20" customHeight="1">
      <c r="A290" s="21">
        <f>'NEW ACCOUNT'!A291</f>
        <v/>
      </c>
      <c r="B290" s="22">
        <f>IF('NEW ACCOUNT'!A291="","",'NEW ACCOUNT'!B291)</f>
        <v/>
      </c>
      <c r="C290" s="22">
        <f>IF('NEW ACCOUNT'!A291="","",'NEW ACCOUNT'!C291)</f>
        <v/>
      </c>
      <c r="D290" s="22">
        <f>IF('NEW ACCOUNT'!A291="","",'NEW ACCOUNT'!D291)</f>
        <v/>
      </c>
      <c r="E290" s="22">
        <f>IF('NEW ACCOUNT'!A291="","",'NEW ACCOUNT'!E291)</f>
        <v/>
      </c>
      <c r="F290" s="22">
        <f>IF('NEW ACCOUNT'!A291="","",'NEW ACCOUNT'!F291)</f>
        <v/>
      </c>
      <c r="G290" s="22">
        <f>IF('NEW ACCOUNT'!A291="","",'NEW ACCOUNT'!G291)</f>
        <v/>
      </c>
      <c r="H290" s="22">
        <f>IF('NEW ACCOUNT'!A291="","",'NEW ACCOUNT'!H291)</f>
        <v/>
      </c>
      <c r="I290" s="23">
        <f>IFERROR(IF(A290="","",SUMIF(SAVINGS!$A:$A,A290,SAVINGS!$E:$E)),"")</f>
        <v/>
      </c>
      <c r="J290" s="23">
        <f>IFERROR(IF(A290="","",SUMIF(SAVINGS!$A:$A,A290,SAVINGS!$E:$E)-SUMIF(WITHDRAWALS!$A:$A,A290,WITHDRAWALS!$E:$E)),"")</f>
        <v/>
      </c>
    </row>
    <row r="291" ht="20" customHeight="1">
      <c r="A291" s="18">
        <f>'NEW ACCOUNT'!A292</f>
        <v/>
      </c>
      <c r="B291" s="19">
        <f>IF('NEW ACCOUNT'!A292="","",'NEW ACCOUNT'!B292)</f>
        <v/>
      </c>
      <c r="C291" s="19">
        <f>IF('NEW ACCOUNT'!A292="","",'NEW ACCOUNT'!C292)</f>
        <v/>
      </c>
      <c r="D291" s="19">
        <f>IF('NEW ACCOUNT'!A292="","",'NEW ACCOUNT'!D292)</f>
        <v/>
      </c>
      <c r="E291" s="19">
        <f>IF('NEW ACCOUNT'!A292="","",'NEW ACCOUNT'!E292)</f>
        <v/>
      </c>
      <c r="F291" s="19">
        <f>IF('NEW ACCOUNT'!A292="","",'NEW ACCOUNT'!F292)</f>
        <v/>
      </c>
      <c r="G291" s="19">
        <f>IF('NEW ACCOUNT'!A292="","",'NEW ACCOUNT'!G292)</f>
        <v/>
      </c>
      <c r="H291" s="19">
        <f>IF('NEW ACCOUNT'!A292="","",'NEW ACCOUNT'!H292)</f>
        <v/>
      </c>
      <c r="I291" s="20">
        <f>IFERROR(IF(A291="","",SUMIF(SAVINGS!$A:$A,A291,SAVINGS!$E:$E)),"")</f>
        <v/>
      </c>
      <c r="J291" s="20">
        <f>IFERROR(IF(A291="","",SUMIF(SAVINGS!$A:$A,A291,SAVINGS!$E:$E)-SUMIF(WITHDRAWALS!$A:$A,A291,WITHDRAWALS!$E:$E)),"")</f>
        <v/>
      </c>
    </row>
    <row r="292" ht="20" customHeight="1">
      <c r="A292" s="21">
        <f>'NEW ACCOUNT'!A293</f>
        <v/>
      </c>
      <c r="B292" s="22">
        <f>IF('NEW ACCOUNT'!A293="","",'NEW ACCOUNT'!B293)</f>
        <v/>
      </c>
      <c r="C292" s="22">
        <f>IF('NEW ACCOUNT'!A293="","",'NEW ACCOUNT'!C293)</f>
        <v/>
      </c>
      <c r="D292" s="22">
        <f>IF('NEW ACCOUNT'!A293="","",'NEW ACCOUNT'!D293)</f>
        <v/>
      </c>
      <c r="E292" s="22">
        <f>IF('NEW ACCOUNT'!A293="","",'NEW ACCOUNT'!E293)</f>
        <v/>
      </c>
      <c r="F292" s="22">
        <f>IF('NEW ACCOUNT'!A293="","",'NEW ACCOUNT'!F293)</f>
        <v/>
      </c>
      <c r="G292" s="22">
        <f>IF('NEW ACCOUNT'!A293="","",'NEW ACCOUNT'!G293)</f>
        <v/>
      </c>
      <c r="H292" s="22">
        <f>IF('NEW ACCOUNT'!A293="","",'NEW ACCOUNT'!H293)</f>
        <v/>
      </c>
      <c r="I292" s="23">
        <f>IFERROR(IF(A292="","",SUMIF(SAVINGS!$A:$A,A292,SAVINGS!$E:$E)),"")</f>
        <v/>
      </c>
      <c r="J292" s="23">
        <f>IFERROR(IF(A292="","",SUMIF(SAVINGS!$A:$A,A292,SAVINGS!$E:$E)-SUMIF(WITHDRAWALS!$A:$A,A292,WITHDRAWALS!$E:$E)),"")</f>
        <v/>
      </c>
    </row>
    <row r="293" ht="20" customHeight="1">
      <c r="A293" s="18">
        <f>'NEW ACCOUNT'!A294</f>
        <v/>
      </c>
      <c r="B293" s="19">
        <f>IF('NEW ACCOUNT'!A294="","",'NEW ACCOUNT'!B294)</f>
        <v/>
      </c>
      <c r="C293" s="19">
        <f>IF('NEW ACCOUNT'!A294="","",'NEW ACCOUNT'!C294)</f>
        <v/>
      </c>
      <c r="D293" s="19">
        <f>IF('NEW ACCOUNT'!A294="","",'NEW ACCOUNT'!D294)</f>
        <v/>
      </c>
      <c r="E293" s="19">
        <f>IF('NEW ACCOUNT'!A294="","",'NEW ACCOUNT'!E294)</f>
        <v/>
      </c>
      <c r="F293" s="19">
        <f>IF('NEW ACCOUNT'!A294="","",'NEW ACCOUNT'!F294)</f>
        <v/>
      </c>
      <c r="G293" s="19">
        <f>IF('NEW ACCOUNT'!A294="","",'NEW ACCOUNT'!G294)</f>
        <v/>
      </c>
      <c r="H293" s="19">
        <f>IF('NEW ACCOUNT'!A294="","",'NEW ACCOUNT'!H294)</f>
        <v/>
      </c>
      <c r="I293" s="20">
        <f>IFERROR(IF(A293="","",SUMIF(SAVINGS!$A:$A,A293,SAVINGS!$E:$E)),"")</f>
        <v/>
      </c>
      <c r="J293" s="20">
        <f>IFERROR(IF(A293="","",SUMIF(SAVINGS!$A:$A,A293,SAVINGS!$E:$E)-SUMIF(WITHDRAWALS!$A:$A,A293,WITHDRAWALS!$E:$E)),"")</f>
        <v/>
      </c>
    </row>
    <row r="294" ht="20" customHeight="1">
      <c r="A294" s="21">
        <f>'NEW ACCOUNT'!A295</f>
        <v/>
      </c>
      <c r="B294" s="22">
        <f>IF('NEW ACCOUNT'!A295="","",'NEW ACCOUNT'!B295)</f>
        <v/>
      </c>
      <c r="C294" s="22">
        <f>IF('NEW ACCOUNT'!A295="","",'NEW ACCOUNT'!C295)</f>
        <v/>
      </c>
      <c r="D294" s="22">
        <f>IF('NEW ACCOUNT'!A295="","",'NEW ACCOUNT'!D295)</f>
        <v/>
      </c>
      <c r="E294" s="22">
        <f>IF('NEW ACCOUNT'!A295="","",'NEW ACCOUNT'!E295)</f>
        <v/>
      </c>
      <c r="F294" s="22">
        <f>IF('NEW ACCOUNT'!A295="","",'NEW ACCOUNT'!F295)</f>
        <v/>
      </c>
      <c r="G294" s="22">
        <f>IF('NEW ACCOUNT'!A295="","",'NEW ACCOUNT'!G295)</f>
        <v/>
      </c>
      <c r="H294" s="22">
        <f>IF('NEW ACCOUNT'!A295="","",'NEW ACCOUNT'!H295)</f>
        <v/>
      </c>
      <c r="I294" s="23">
        <f>IFERROR(IF(A294="","",SUMIF(SAVINGS!$A:$A,A294,SAVINGS!$E:$E)),"")</f>
        <v/>
      </c>
      <c r="J294" s="23">
        <f>IFERROR(IF(A294="","",SUMIF(SAVINGS!$A:$A,A294,SAVINGS!$E:$E)-SUMIF(WITHDRAWALS!$A:$A,A294,WITHDRAWALS!$E:$E)),"")</f>
        <v/>
      </c>
    </row>
    <row r="295" ht="20" customHeight="1">
      <c r="A295" s="18">
        <f>'NEW ACCOUNT'!A296</f>
        <v/>
      </c>
      <c r="B295" s="19">
        <f>IF('NEW ACCOUNT'!A296="","",'NEW ACCOUNT'!B296)</f>
        <v/>
      </c>
      <c r="C295" s="19">
        <f>IF('NEW ACCOUNT'!A296="","",'NEW ACCOUNT'!C296)</f>
        <v/>
      </c>
      <c r="D295" s="19">
        <f>IF('NEW ACCOUNT'!A296="","",'NEW ACCOUNT'!D296)</f>
        <v/>
      </c>
      <c r="E295" s="19">
        <f>IF('NEW ACCOUNT'!A296="","",'NEW ACCOUNT'!E296)</f>
        <v/>
      </c>
      <c r="F295" s="19">
        <f>IF('NEW ACCOUNT'!A296="","",'NEW ACCOUNT'!F296)</f>
        <v/>
      </c>
      <c r="G295" s="19">
        <f>IF('NEW ACCOUNT'!A296="","",'NEW ACCOUNT'!G296)</f>
        <v/>
      </c>
      <c r="H295" s="19">
        <f>IF('NEW ACCOUNT'!A296="","",'NEW ACCOUNT'!H296)</f>
        <v/>
      </c>
      <c r="I295" s="20">
        <f>IFERROR(IF(A295="","",SUMIF(SAVINGS!$A:$A,A295,SAVINGS!$E:$E)),"")</f>
        <v/>
      </c>
      <c r="J295" s="20">
        <f>IFERROR(IF(A295="","",SUMIF(SAVINGS!$A:$A,A295,SAVINGS!$E:$E)-SUMIF(WITHDRAWALS!$A:$A,A295,WITHDRAWALS!$E:$E)),"")</f>
        <v/>
      </c>
    </row>
    <row r="296" ht="20" customHeight="1">
      <c r="A296" s="21">
        <f>'NEW ACCOUNT'!A297</f>
        <v/>
      </c>
      <c r="B296" s="22">
        <f>IF('NEW ACCOUNT'!A297="","",'NEW ACCOUNT'!B297)</f>
        <v/>
      </c>
      <c r="C296" s="22">
        <f>IF('NEW ACCOUNT'!A297="","",'NEW ACCOUNT'!C297)</f>
        <v/>
      </c>
      <c r="D296" s="22">
        <f>IF('NEW ACCOUNT'!A297="","",'NEW ACCOUNT'!D297)</f>
        <v/>
      </c>
      <c r="E296" s="22">
        <f>IF('NEW ACCOUNT'!A297="","",'NEW ACCOUNT'!E297)</f>
        <v/>
      </c>
      <c r="F296" s="22">
        <f>IF('NEW ACCOUNT'!A297="","",'NEW ACCOUNT'!F297)</f>
        <v/>
      </c>
      <c r="G296" s="22">
        <f>IF('NEW ACCOUNT'!A297="","",'NEW ACCOUNT'!G297)</f>
        <v/>
      </c>
      <c r="H296" s="22">
        <f>IF('NEW ACCOUNT'!A297="","",'NEW ACCOUNT'!H297)</f>
        <v/>
      </c>
      <c r="I296" s="23">
        <f>IFERROR(IF(A296="","",SUMIF(SAVINGS!$A:$A,A296,SAVINGS!$E:$E)),"")</f>
        <v/>
      </c>
      <c r="J296" s="23">
        <f>IFERROR(IF(A296="","",SUMIF(SAVINGS!$A:$A,A296,SAVINGS!$E:$E)-SUMIF(WITHDRAWALS!$A:$A,A296,WITHDRAWALS!$E:$E)),"")</f>
        <v/>
      </c>
    </row>
    <row r="297" ht="20" customHeight="1">
      <c r="A297" s="18">
        <f>'NEW ACCOUNT'!A298</f>
        <v/>
      </c>
      <c r="B297" s="19">
        <f>IF('NEW ACCOUNT'!A298="","",'NEW ACCOUNT'!B298)</f>
        <v/>
      </c>
      <c r="C297" s="19">
        <f>IF('NEW ACCOUNT'!A298="","",'NEW ACCOUNT'!C298)</f>
        <v/>
      </c>
      <c r="D297" s="19">
        <f>IF('NEW ACCOUNT'!A298="","",'NEW ACCOUNT'!D298)</f>
        <v/>
      </c>
      <c r="E297" s="19">
        <f>IF('NEW ACCOUNT'!A298="","",'NEW ACCOUNT'!E298)</f>
        <v/>
      </c>
      <c r="F297" s="19">
        <f>IF('NEW ACCOUNT'!A298="","",'NEW ACCOUNT'!F298)</f>
        <v/>
      </c>
      <c r="G297" s="19">
        <f>IF('NEW ACCOUNT'!A298="","",'NEW ACCOUNT'!G298)</f>
        <v/>
      </c>
      <c r="H297" s="19">
        <f>IF('NEW ACCOUNT'!A298="","",'NEW ACCOUNT'!H298)</f>
        <v/>
      </c>
      <c r="I297" s="20">
        <f>IFERROR(IF(A297="","",SUMIF(SAVINGS!$A:$A,A297,SAVINGS!$E:$E)),"")</f>
        <v/>
      </c>
      <c r="J297" s="20">
        <f>IFERROR(IF(A297="","",SUMIF(SAVINGS!$A:$A,A297,SAVINGS!$E:$E)-SUMIF(WITHDRAWALS!$A:$A,A297,WITHDRAWALS!$E:$E)),"")</f>
        <v/>
      </c>
    </row>
    <row r="298" ht="20" customHeight="1">
      <c r="A298" s="21">
        <f>'NEW ACCOUNT'!A299</f>
        <v/>
      </c>
      <c r="B298" s="22">
        <f>IF('NEW ACCOUNT'!A299="","",'NEW ACCOUNT'!B299)</f>
        <v/>
      </c>
      <c r="C298" s="22">
        <f>IF('NEW ACCOUNT'!A299="","",'NEW ACCOUNT'!C299)</f>
        <v/>
      </c>
      <c r="D298" s="22">
        <f>IF('NEW ACCOUNT'!A299="","",'NEW ACCOUNT'!D299)</f>
        <v/>
      </c>
      <c r="E298" s="22">
        <f>IF('NEW ACCOUNT'!A299="","",'NEW ACCOUNT'!E299)</f>
        <v/>
      </c>
      <c r="F298" s="22">
        <f>IF('NEW ACCOUNT'!A299="","",'NEW ACCOUNT'!F299)</f>
        <v/>
      </c>
      <c r="G298" s="22">
        <f>IF('NEW ACCOUNT'!A299="","",'NEW ACCOUNT'!G299)</f>
        <v/>
      </c>
      <c r="H298" s="22">
        <f>IF('NEW ACCOUNT'!A299="","",'NEW ACCOUNT'!H299)</f>
        <v/>
      </c>
      <c r="I298" s="23">
        <f>IFERROR(IF(A298="","",SUMIF(SAVINGS!$A:$A,A298,SAVINGS!$E:$E)),"")</f>
        <v/>
      </c>
      <c r="J298" s="23">
        <f>IFERROR(IF(A298="","",SUMIF(SAVINGS!$A:$A,A298,SAVINGS!$E:$E)-SUMIF(WITHDRAWALS!$A:$A,A298,WITHDRAWALS!$E:$E)),"")</f>
        <v/>
      </c>
    </row>
    <row r="299" ht="20" customHeight="1">
      <c r="A299" s="18">
        <f>'NEW ACCOUNT'!A300</f>
        <v/>
      </c>
      <c r="B299" s="19">
        <f>IF('NEW ACCOUNT'!A300="","",'NEW ACCOUNT'!B300)</f>
        <v/>
      </c>
      <c r="C299" s="19">
        <f>IF('NEW ACCOUNT'!A300="","",'NEW ACCOUNT'!C300)</f>
        <v/>
      </c>
      <c r="D299" s="19">
        <f>IF('NEW ACCOUNT'!A300="","",'NEW ACCOUNT'!D300)</f>
        <v/>
      </c>
      <c r="E299" s="19">
        <f>IF('NEW ACCOUNT'!A300="","",'NEW ACCOUNT'!E300)</f>
        <v/>
      </c>
      <c r="F299" s="19">
        <f>IF('NEW ACCOUNT'!A300="","",'NEW ACCOUNT'!F300)</f>
        <v/>
      </c>
      <c r="G299" s="19">
        <f>IF('NEW ACCOUNT'!A300="","",'NEW ACCOUNT'!G300)</f>
        <v/>
      </c>
      <c r="H299" s="19">
        <f>IF('NEW ACCOUNT'!A300="","",'NEW ACCOUNT'!H300)</f>
        <v/>
      </c>
      <c r="I299" s="20">
        <f>IFERROR(IF(A299="","",SUMIF(SAVINGS!$A:$A,A299,SAVINGS!$E:$E)),"")</f>
        <v/>
      </c>
      <c r="J299" s="20">
        <f>IFERROR(IF(A299="","",SUMIF(SAVINGS!$A:$A,A299,SAVINGS!$E:$E)-SUMIF(WITHDRAWALS!$A:$A,A299,WITHDRAWALS!$E:$E)),"")</f>
        <v/>
      </c>
    </row>
    <row r="300" ht="20" customHeight="1">
      <c r="A300" s="21">
        <f>'NEW ACCOUNT'!A301</f>
        <v/>
      </c>
      <c r="B300" s="22">
        <f>IF('NEW ACCOUNT'!A301="","",'NEW ACCOUNT'!B301)</f>
        <v/>
      </c>
      <c r="C300" s="22">
        <f>IF('NEW ACCOUNT'!A301="","",'NEW ACCOUNT'!C301)</f>
        <v/>
      </c>
      <c r="D300" s="22">
        <f>IF('NEW ACCOUNT'!A301="","",'NEW ACCOUNT'!D301)</f>
        <v/>
      </c>
      <c r="E300" s="22">
        <f>IF('NEW ACCOUNT'!A301="","",'NEW ACCOUNT'!E301)</f>
        <v/>
      </c>
      <c r="F300" s="22">
        <f>IF('NEW ACCOUNT'!A301="","",'NEW ACCOUNT'!F301)</f>
        <v/>
      </c>
      <c r="G300" s="22">
        <f>IF('NEW ACCOUNT'!A301="","",'NEW ACCOUNT'!G301)</f>
        <v/>
      </c>
      <c r="H300" s="22">
        <f>IF('NEW ACCOUNT'!A301="","",'NEW ACCOUNT'!H301)</f>
        <v/>
      </c>
      <c r="I300" s="23">
        <f>IFERROR(IF(A300="","",SUMIF(SAVINGS!$A:$A,A300,SAVINGS!$E:$E)),"")</f>
        <v/>
      </c>
      <c r="J300" s="23">
        <f>IFERROR(IF(A300="","",SUMIF(SAVINGS!$A:$A,A300,SAVINGS!$E:$E)-SUMIF(WITHDRAWALS!$A:$A,A300,WITHDRAWALS!$E:$E)),"")</f>
        <v/>
      </c>
    </row>
    <row r="301" ht="20" customHeight="1">
      <c r="A301" s="18">
        <f>'NEW ACCOUNT'!A302</f>
        <v/>
      </c>
      <c r="B301" s="19">
        <f>IF('NEW ACCOUNT'!A302="","",'NEW ACCOUNT'!B302)</f>
        <v/>
      </c>
      <c r="C301" s="19">
        <f>IF('NEW ACCOUNT'!A302="","",'NEW ACCOUNT'!C302)</f>
        <v/>
      </c>
      <c r="D301" s="19">
        <f>IF('NEW ACCOUNT'!A302="","",'NEW ACCOUNT'!D302)</f>
        <v/>
      </c>
      <c r="E301" s="19">
        <f>IF('NEW ACCOUNT'!A302="","",'NEW ACCOUNT'!E302)</f>
        <v/>
      </c>
      <c r="F301" s="19">
        <f>IF('NEW ACCOUNT'!A302="","",'NEW ACCOUNT'!F302)</f>
        <v/>
      </c>
      <c r="G301" s="19">
        <f>IF('NEW ACCOUNT'!A302="","",'NEW ACCOUNT'!G302)</f>
        <v/>
      </c>
      <c r="H301" s="19">
        <f>IF('NEW ACCOUNT'!A302="","",'NEW ACCOUNT'!H302)</f>
        <v/>
      </c>
      <c r="I301" s="20">
        <f>IFERROR(IF(A301="","",SUMIF(SAVINGS!$A:$A,A301,SAVINGS!$E:$E)),"")</f>
        <v/>
      </c>
      <c r="J301" s="20">
        <f>IFERROR(IF(A301="","",SUMIF(SAVINGS!$A:$A,A301,SAVINGS!$E:$E)-SUMIF(WITHDRAWALS!$A:$A,A301,WITHDRAWALS!$E:$E)),"")</f>
        <v/>
      </c>
    </row>
    <row r="302" ht="20" customHeight="1">
      <c r="A302" s="21">
        <f>'NEW ACCOUNT'!A303</f>
        <v/>
      </c>
      <c r="B302" s="22">
        <f>IF('NEW ACCOUNT'!A303="","",'NEW ACCOUNT'!B303)</f>
        <v/>
      </c>
      <c r="C302" s="22">
        <f>IF('NEW ACCOUNT'!A303="","",'NEW ACCOUNT'!C303)</f>
        <v/>
      </c>
      <c r="D302" s="22">
        <f>IF('NEW ACCOUNT'!A303="","",'NEW ACCOUNT'!D303)</f>
        <v/>
      </c>
      <c r="E302" s="22">
        <f>IF('NEW ACCOUNT'!A303="","",'NEW ACCOUNT'!E303)</f>
        <v/>
      </c>
      <c r="F302" s="22">
        <f>IF('NEW ACCOUNT'!A303="","",'NEW ACCOUNT'!F303)</f>
        <v/>
      </c>
      <c r="G302" s="22">
        <f>IF('NEW ACCOUNT'!A303="","",'NEW ACCOUNT'!G303)</f>
        <v/>
      </c>
      <c r="H302" s="22">
        <f>IF('NEW ACCOUNT'!A303="","",'NEW ACCOUNT'!H303)</f>
        <v/>
      </c>
      <c r="I302" s="23">
        <f>IFERROR(IF(A302="","",SUMIF(SAVINGS!$A:$A,A302,SAVINGS!$E:$E)),"")</f>
        <v/>
      </c>
      <c r="J302" s="23">
        <f>IFERROR(IF(A302="","",SUMIF(SAVINGS!$A:$A,A302,SAVINGS!$E:$E)-SUMIF(WITHDRAWALS!$A:$A,A302,WITHDRAWALS!$E:$E)),"")</f>
        <v/>
      </c>
    </row>
    <row r="303" ht="20" customHeight="1">
      <c r="A303" s="18">
        <f>'NEW ACCOUNT'!A304</f>
        <v/>
      </c>
      <c r="B303" s="19">
        <f>IF('NEW ACCOUNT'!A304="","",'NEW ACCOUNT'!B304)</f>
        <v/>
      </c>
      <c r="C303" s="19">
        <f>IF('NEW ACCOUNT'!A304="","",'NEW ACCOUNT'!C304)</f>
        <v/>
      </c>
      <c r="D303" s="19">
        <f>IF('NEW ACCOUNT'!A304="","",'NEW ACCOUNT'!D304)</f>
        <v/>
      </c>
      <c r="E303" s="19">
        <f>IF('NEW ACCOUNT'!A304="","",'NEW ACCOUNT'!E304)</f>
        <v/>
      </c>
      <c r="F303" s="19">
        <f>IF('NEW ACCOUNT'!A304="","",'NEW ACCOUNT'!F304)</f>
        <v/>
      </c>
      <c r="G303" s="19">
        <f>IF('NEW ACCOUNT'!A304="","",'NEW ACCOUNT'!G304)</f>
        <v/>
      </c>
      <c r="H303" s="19">
        <f>IF('NEW ACCOUNT'!A304="","",'NEW ACCOUNT'!H304)</f>
        <v/>
      </c>
      <c r="I303" s="20">
        <f>IFERROR(IF(A303="","",SUMIF(SAVINGS!$A:$A,A303,SAVINGS!$E:$E)),"")</f>
        <v/>
      </c>
      <c r="J303" s="20">
        <f>IFERROR(IF(A303="","",SUMIF(SAVINGS!$A:$A,A303,SAVINGS!$E:$E)-SUMIF(WITHDRAWALS!$A:$A,A303,WITHDRAWALS!$E:$E)),"")</f>
        <v/>
      </c>
    </row>
    <row r="304" ht="20" customHeight="1">
      <c r="A304" s="21">
        <f>'NEW ACCOUNT'!A305</f>
        <v/>
      </c>
      <c r="B304" s="22">
        <f>IF('NEW ACCOUNT'!A305="","",'NEW ACCOUNT'!B305)</f>
        <v/>
      </c>
      <c r="C304" s="22">
        <f>IF('NEW ACCOUNT'!A305="","",'NEW ACCOUNT'!C305)</f>
        <v/>
      </c>
      <c r="D304" s="22">
        <f>IF('NEW ACCOUNT'!A305="","",'NEW ACCOUNT'!D305)</f>
        <v/>
      </c>
      <c r="E304" s="22">
        <f>IF('NEW ACCOUNT'!A305="","",'NEW ACCOUNT'!E305)</f>
        <v/>
      </c>
      <c r="F304" s="22">
        <f>IF('NEW ACCOUNT'!A305="","",'NEW ACCOUNT'!F305)</f>
        <v/>
      </c>
      <c r="G304" s="22">
        <f>IF('NEW ACCOUNT'!A305="","",'NEW ACCOUNT'!G305)</f>
        <v/>
      </c>
      <c r="H304" s="22">
        <f>IF('NEW ACCOUNT'!A305="","",'NEW ACCOUNT'!H305)</f>
        <v/>
      </c>
      <c r="I304" s="23">
        <f>IFERROR(IF(A304="","",SUMIF(SAVINGS!$A:$A,A304,SAVINGS!$E:$E)),"")</f>
        <v/>
      </c>
      <c r="J304" s="23">
        <f>IFERROR(IF(A304="","",SUMIF(SAVINGS!$A:$A,A304,SAVINGS!$E:$E)-SUMIF(WITHDRAWALS!$A:$A,A304,WITHDRAWALS!$E:$E)),"")</f>
        <v/>
      </c>
    </row>
    <row r="305" ht="20" customHeight="1">
      <c r="A305" s="18">
        <f>'NEW ACCOUNT'!A306</f>
        <v/>
      </c>
      <c r="B305" s="19">
        <f>IF('NEW ACCOUNT'!A306="","",'NEW ACCOUNT'!B306)</f>
        <v/>
      </c>
      <c r="C305" s="19">
        <f>IF('NEW ACCOUNT'!A306="","",'NEW ACCOUNT'!C306)</f>
        <v/>
      </c>
      <c r="D305" s="19">
        <f>IF('NEW ACCOUNT'!A306="","",'NEW ACCOUNT'!D306)</f>
        <v/>
      </c>
      <c r="E305" s="19">
        <f>IF('NEW ACCOUNT'!A306="","",'NEW ACCOUNT'!E306)</f>
        <v/>
      </c>
      <c r="F305" s="19">
        <f>IF('NEW ACCOUNT'!A306="","",'NEW ACCOUNT'!F306)</f>
        <v/>
      </c>
      <c r="G305" s="19">
        <f>IF('NEW ACCOUNT'!A306="","",'NEW ACCOUNT'!G306)</f>
        <v/>
      </c>
      <c r="H305" s="19">
        <f>IF('NEW ACCOUNT'!A306="","",'NEW ACCOUNT'!H306)</f>
        <v/>
      </c>
      <c r="I305" s="20">
        <f>IFERROR(IF(A305="","",SUMIF(SAVINGS!$A:$A,A305,SAVINGS!$E:$E)),"")</f>
        <v/>
      </c>
      <c r="J305" s="20">
        <f>IFERROR(IF(A305="","",SUMIF(SAVINGS!$A:$A,A305,SAVINGS!$E:$E)-SUMIF(WITHDRAWALS!$A:$A,A305,WITHDRAWALS!$E:$E)),"")</f>
        <v/>
      </c>
    </row>
    <row r="306" ht="20" customHeight="1">
      <c r="A306" s="21">
        <f>'NEW ACCOUNT'!A307</f>
        <v/>
      </c>
      <c r="B306" s="22">
        <f>IF('NEW ACCOUNT'!A307="","",'NEW ACCOUNT'!B307)</f>
        <v/>
      </c>
      <c r="C306" s="22">
        <f>IF('NEW ACCOUNT'!A307="","",'NEW ACCOUNT'!C307)</f>
        <v/>
      </c>
      <c r="D306" s="22">
        <f>IF('NEW ACCOUNT'!A307="","",'NEW ACCOUNT'!D307)</f>
        <v/>
      </c>
      <c r="E306" s="22">
        <f>IF('NEW ACCOUNT'!A307="","",'NEW ACCOUNT'!E307)</f>
        <v/>
      </c>
      <c r="F306" s="22">
        <f>IF('NEW ACCOUNT'!A307="","",'NEW ACCOUNT'!F307)</f>
        <v/>
      </c>
      <c r="G306" s="22">
        <f>IF('NEW ACCOUNT'!A307="","",'NEW ACCOUNT'!G307)</f>
        <v/>
      </c>
      <c r="H306" s="22">
        <f>IF('NEW ACCOUNT'!A307="","",'NEW ACCOUNT'!H307)</f>
        <v/>
      </c>
      <c r="I306" s="23">
        <f>IFERROR(IF(A306="","",SUMIF(SAVINGS!$A:$A,A306,SAVINGS!$E:$E)),"")</f>
        <v/>
      </c>
      <c r="J306" s="23">
        <f>IFERROR(IF(A306="","",SUMIF(SAVINGS!$A:$A,A306,SAVINGS!$E:$E)-SUMIF(WITHDRAWALS!$A:$A,A306,WITHDRAWALS!$E:$E)),"")</f>
        <v/>
      </c>
    </row>
    <row r="307" ht="20" customHeight="1">
      <c r="A307" s="18">
        <f>'NEW ACCOUNT'!A308</f>
        <v/>
      </c>
      <c r="B307" s="19">
        <f>IF('NEW ACCOUNT'!A308="","",'NEW ACCOUNT'!B308)</f>
        <v/>
      </c>
      <c r="C307" s="19">
        <f>IF('NEW ACCOUNT'!A308="","",'NEW ACCOUNT'!C308)</f>
        <v/>
      </c>
      <c r="D307" s="19">
        <f>IF('NEW ACCOUNT'!A308="","",'NEW ACCOUNT'!D308)</f>
        <v/>
      </c>
      <c r="E307" s="19">
        <f>IF('NEW ACCOUNT'!A308="","",'NEW ACCOUNT'!E308)</f>
        <v/>
      </c>
      <c r="F307" s="19">
        <f>IF('NEW ACCOUNT'!A308="","",'NEW ACCOUNT'!F308)</f>
        <v/>
      </c>
      <c r="G307" s="19">
        <f>IF('NEW ACCOUNT'!A308="","",'NEW ACCOUNT'!G308)</f>
        <v/>
      </c>
      <c r="H307" s="19">
        <f>IF('NEW ACCOUNT'!A308="","",'NEW ACCOUNT'!H308)</f>
        <v/>
      </c>
      <c r="I307" s="20">
        <f>IFERROR(IF(A307="","",SUMIF(SAVINGS!$A:$A,A307,SAVINGS!$E:$E)),"")</f>
        <v/>
      </c>
      <c r="J307" s="20">
        <f>IFERROR(IF(A307="","",SUMIF(SAVINGS!$A:$A,A307,SAVINGS!$E:$E)-SUMIF(WITHDRAWALS!$A:$A,A307,WITHDRAWALS!$E:$E)),"")</f>
        <v/>
      </c>
    </row>
    <row r="308" ht="20" customHeight="1">
      <c r="A308" s="21">
        <f>'NEW ACCOUNT'!A309</f>
        <v/>
      </c>
      <c r="B308" s="22">
        <f>IF('NEW ACCOUNT'!A309="","",'NEW ACCOUNT'!B309)</f>
        <v/>
      </c>
      <c r="C308" s="22">
        <f>IF('NEW ACCOUNT'!A309="","",'NEW ACCOUNT'!C309)</f>
        <v/>
      </c>
      <c r="D308" s="22">
        <f>IF('NEW ACCOUNT'!A309="","",'NEW ACCOUNT'!D309)</f>
        <v/>
      </c>
      <c r="E308" s="22">
        <f>IF('NEW ACCOUNT'!A309="","",'NEW ACCOUNT'!E309)</f>
        <v/>
      </c>
      <c r="F308" s="22">
        <f>IF('NEW ACCOUNT'!A309="","",'NEW ACCOUNT'!F309)</f>
        <v/>
      </c>
      <c r="G308" s="22">
        <f>IF('NEW ACCOUNT'!A309="","",'NEW ACCOUNT'!G309)</f>
        <v/>
      </c>
      <c r="H308" s="22">
        <f>IF('NEW ACCOUNT'!A309="","",'NEW ACCOUNT'!H309)</f>
        <v/>
      </c>
      <c r="I308" s="23">
        <f>IFERROR(IF(A308="","",SUMIF(SAVINGS!$A:$A,A308,SAVINGS!$E:$E)),"")</f>
        <v/>
      </c>
      <c r="J308" s="23">
        <f>IFERROR(IF(A308="","",SUMIF(SAVINGS!$A:$A,A308,SAVINGS!$E:$E)-SUMIF(WITHDRAWALS!$A:$A,A308,WITHDRAWALS!$E:$E)),"")</f>
        <v/>
      </c>
    </row>
    <row r="309" ht="20" customHeight="1">
      <c r="A309" s="18">
        <f>'NEW ACCOUNT'!A310</f>
        <v/>
      </c>
      <c r="B309" s="19">
        <f>IF('NEW ACCOUNT'!A310="","",'NEW ACCOUNT'!B310)</f>
        <v/>
      </c>
      <c r="C309" s="19">
        <f>IF('NEW ACCOUNT'!A310="","",'NEW ACCOUNT'!C310)</f>
        <v/>
      </c>
      <c r="D309" s="19">
        <f>IF('NEW ACCOUNT'!A310="","",'NEW ACCOUNT'!D310)</f>
        <v/>
      </c>
      <c r="E309" s="19">
        <f>IF('NEW ACCOUNT'!A310="","",'NEW ACCOUNT'!E310)</f>
        <v/>
      </c>
      <c r="F309" s="19">
        <f>IF('NEW ACCOUNT'!A310="","",'NEW ACCOUNT'!F310)</f>
        <v/>
      </c>
      <c r="G309" s="19">
        <f>IF('NEW ACCOUNT'!A310="","",'NEW ACCOUNT'!G310)</f>
        <v/>
      </c>
      <c r="H309" s="19">
        <f>IF('NEW ACCOUNT'!A310="","",'NEW ACCOUNT'!H310)</f>
        <v/>
      </c>
      <c r="I309" s="20">
        <f>IFERROR(IF(A309="","",SUMIF(SAVINGS!$A:$A,A309,SAVINGS!$E:$E)),"")</f>
        <v/>
      </c>
      <c r="J309" s="20">
        <f>IFERROR(IF(A309="","",SUMIF(SAVINGS!$A:$A,A309,SAVINGS!$E:$E)-SUMIF(WITHDRAWALS!$A:$A,A309,WITHDRAWALS!$E:$E)),"")</f>
        <v/>
      </c>
    </row>
    <row r="310" ht="20" customHeight="1">
      <c r="A310" s="21">
        <f>'NEW ACCOUNT'!A311</f>
        <v/>
      </c>
      <c r="B310" s="22">
        <f>IF('NEW ACCOUNT'!A311="","",'NEW ACCOUNT'!B311)</f>
        <v/>
      </c>
      <c r="C310" s="22">
        <f>IF('NEW ACCOUNT'!A311="","",'NEW ACCOUNT'!C311)</f>
        <v/>
      </c>
      <c r="D310" s="22">
        <f>IF('NEW ACCOUNT'!A311="","",'NEW ACCOUNT'!D311)</f>
        <v/>
      </c>
      <c r="E310" s="22">
        <f>IF('NEW ACCOUNT'!A311="","",'NEW ACCOUNT'!E311)</f>
        <v/>
      </c>
      <c r="F310" s="22">
        <f>IF('NEW ACCOUNT'!A311="","",'NEW ACCOUNT'!F311)</f>
        <v/>
      </c>
      <c r="G310" s="22">
        <f>IF('NEW ACCOUNT'!A311="","",'NEW ACCOUNT'!G311)</f>
        <v/>
      </c>
      <c r="H310" s="22">
        <f>IF('NEW ACCOUNT'!A311="","",'NEW ACCOUNT'!H311)</f>
        <v/>
      </c>
      <c r="I310" s="23">
        <f>IFERROR(IF(A310="","",SUMIF(SAVINGS!$A:$A,A310,SAVINGS!$E:$E)),"")</f>
        <v/>
      </c>
      <c r="J310" s="23">
        <f>IFERROR(IF(A310="","",SUMIF(SAVINGS!$A:$A,A310,SAVINGS!$E:$E)-SUMIF(WITHDRAWALS!$A:$A,A310,WITHDRAWALS!$E:$E)),"")</f>
        <v/>
      </c>
    </row>
    <row r="311" ht="20" customHeight="1">
      <c r="A311" s="18">
        <f>'NEW ACCOUNT'!A312</f>
        <v/>
      </c>
      <c r="B311" s="19">
        <f>IF('NEW ACCOUNT'!A312="","",'NEW ACCOUNT'!B312)</f>
        <v/>
      </c>
      <c r="C311" s="19">
        <f>IF('NEW ACCOUNT'!A312="","",'NEW ACCOUNT'!C312)</f>
        <v/>
      </c>
      <c r="D311" s="19">
        <f>IF('NEW ACCOUNT'!A312="","",'NEW ACCOUNT'!D312)</f>
        <v/>
      </c>
      <c r="E311" s="19">
        <f>IF('NEW ACCOUNT'!A312="","",'NEW ACCOUNT'!E312)</f>
        <v/>
      </c>
      <c r="F311" s="19">
        <f>IF('NEW ACCOUNT'!A312="","",'NEW ACCOUNT'!F312)</f>
        <v/>
      </c>
      <c r="G311" s="19">
        <f>IF('NEW ACCOUNT'!A312="","",'NEW ACCOUNT'!G312)</f>
        <v/>
      </c>
      <c r="H311" s="19">
        <f>IF('NEW ACCOUNT'!A312="","",'NEW ACCOUNT'!H312)</f>
        <v/>
      </c>
      <c r="I311" s="20">
        <f>IFERROR(IF(A311="","",SUMIF(SAVINGS!$A:$A,A311,SAVINGS!$E:$E)),"")</f>
        <v/>
      </c>
      <c r="J311" s="20">
        <f>IFERROR(IF(A311="","",SUMIF(SAVINGS!$A:$A,A311,SAVINGS!$E:$E)-SUMIF(WITHDRAWALS!$A:$A,A311,WITHDRAWALS!$E:$E)),"")</f>
        <v/>
      </c>
    </row>
    <row r="312" ht="20" customHeight="1">
      <c r="A312" s="21">
        <f>'NEW ACCOUNT'!A313</f>
        <v/>
      </c>
      <c r="B312" s="22">
        <f>IF('NEW ACCOUNT'!A313="","",'NEW ACCOUNT'!B313)</f>
        <v/>
      </c>
      <c r="C312" s="22">
        <f>IF('NEW ACCOUNT'!A313="","",'NEW ACCOUNT'!C313)</f>
        <v/>
      </c>
      <c r="D312" s="22">
        <f>IF('NEW ACCOUNT'!A313="","",'NEW ACCOUNT'!D313)</f>
        <v/>
      </c>
      <c r="E312" s="22">
        <f>IF('NEW ACCOUNT'!A313="","",'NEW ACCOUNT'!E313)</f>
        <v/>
      </c>
      <c r="F312" s="22">
        <f>IF('NEW ACCOUNT'!A313="","",'NEW ACCOUNT'!F313)</f>
        <v/>
      </c>
      <c r="G312" s="22">
        <f>IF('NEW ACCOUNT'!A313="","",'NEW ACCOUNT'!G313)</f>
        <v/>
      </c>
      <c r="H312" s="22">
        <f>IF('NEW ACCOUNT'!A313="","",'NEW ACCOUNT'!H313)</f>
        <v/>
      </c>
      <c r="I312" s="23">
        <f>IFERROR(IF(A312="","",SUMIF(SAVINGS!$A:$A,A312,SAVINGS!$E:$E)),"")</f>
        <v/>
      </c>
      <c r="J312" s="23">
        <f>IFERROR(IF(A312="","",SUMIF(SAVINGS!$A:$A,A312,SAVINGS!$E:$E)-SUMIF(WITHDRAWALS!$A:$A,A312,WITHDRAWALS!$E:$E)),"")</f>
        <v/>
      </c>
    </row>
    <row r="313" ht="20" customHeight="1">
      <c r="A313" s="18">
        <f>'NEW ACCOUNT'!A314</f>
        <v/>
      </c>
      <c r="B313" s="19">
        <f>IF('NEW ACCOUNT'!A314="","",'NEW ACCOUNT'!B314)</f>
        <v/>
      </c>
      <c r="C313" s="19">
        <f>IF('NEW ACCOUNT'!A314="","",'NEW ACCOUNT'!C314)</f>
        <v/>
      </c>
      <c r="D313" s="19">
        <f>IF('NEW ACCOUNT'!A314="","",'NEW ACCOUNT'!D314)</f>
        <v/>
      </c>
      <c r="E313" s="19">
        <f>IF('NEW ACCOUNT'!A314="","",'NEW ACCOUNT'!E314)</f>
        <v/>
      </c>
      <c r="F313" s="19">
        <f>IF('NEW ACCOUNT'!A314="","",'NEW ACCOUNT'!F314)</f>
        <v/>
      </c>
      <c r="G313" s="19">
        <f>IF('NEW ACCOUNT'!A314="","",'NEW ACCOUNT'!G314)</f>
        <v/>
      </c>
      <c r="H313" s="19">
        <f>IF('NEW ACCOUNT'!A314="","",'NEW ACCOUNT'!H314)</f>
        <v/>
      </c>
      <c r="I313" s="20">
        <f>IFERROR(IF(A313="","",SUMIF(SAVINGS!$A:$A,A313,SAVINGS!$E:$E)),"")</f>
        <v/>
      </c>
      <c r="J313" s="20">
        <f>IFERROR(IF(A313="","",SUMIF(SAVINGS!$A:$A,A313,SAVINGS!$E:$E)-SUMIF(WITHDRAWALS!$A:$A,A313,WITHDRAWALS!$E:$E)),"")</f>
        <v/>
      </c>
    </row>
    <row r="314" ht="20" customHeight="1">
      <c r="A314" s="21">
        <f>'NEW ACCOUNT'!A315</f>
        <v/>
      </c>
      <c r="B314" s="22">
        <f>IF('NEW ACCOUNT'!A315="","",'NEW ACCOUNT'!B315)</f>
        <v/>
      </c>
      <c r="C314" s="22">
        <f>IF('NEW ACCOUNT'!A315="","",'NEW ACCOUNT'!C315)</f>
        <v/>
      </c>
      <c r="D314" s="22">
        <f>IF('NEW ACCOUNT'!A315="","",'NEW ACCOUNT'!D315)</f>
        <v/>
      </c>
      <c r="E314" s="22">
        <f>IF('NEW ACCOUNT'!A315="","",'NEW ACCOUNT'!E315)</f>
        <v/>
      </c>
      <c r="F314" s="22">
        <f>IF('NEW ACCOUNT'!A315="","",'NEW ACCOUNT'!F315)</f>
        <v/>
      </c>
      <c r="G314" s="22">
        <f>IF('NEW ACCOUNT'!A315="","",'NEW ACCOUNT'!G315)</f>
        <v/>
      </c>
      <c r="H314" s="22">
        <f>IF('NEW ACCOUNT'!A315="","",'NEW ACCOUNT'!H315)</f>
        <v/>
      </c>
      <c r="I314" s="23">
        <f>IFERROR(IF(A314="","",SUMIF(SAVINGS!$A:$A,A314,SAVINGS!$E:$E)),"")</f>
        <v/>
      </c>
      <c r="J314" s="23">
        <f>IFERROR(IF(A314="","",SUMIF(SAVINGS!$A:$A,A314,SAVINGS!$E:$E)-SUMIF(WITHDRAWALS!$A:$A,A314,WITHDRAWALS!$E:$E)),"")</f>
        <v/>
      </c>
    </row>
    <row r="315" ht="20" customHeight="1">
      <c r="A315" s="18">
        <f>'NEW ACCOUNT'!A316</f>
        <v/>
      </c>
      <c r="B315" s="19">
        <f>IF('NEW ACCOUNT'!A316="","",'NEW ACCOUNT'!B316)</f>
        <v/>
      </c>
      <c r="C315" s="19">
        <f>IF('NEW ACCOUNT'!A316="","",'NEW ACCOUNT'!C316)</f>
        <v/>
      </c>
      <c r="D315" s="19">
        <f>IF('NEW ACCOUNT'!A316="","",'NEW ACCOUNT'!D316)</f>
        <v/>
      </c>
      <c r="E315" s="19">
        <f>IF('NEW ACCOUNT'!A316="","",'NEW ACCOUNT'!E316)</f>
        <v/>
      </c>
      <c r="F315" s="19">
        <f>IF('NEW ACCOUNT'!A316="","",'NEW ACCOUNT'!F316)</f>
        <v/>
      </c>
      <c r="G315" s="19">
        <f>IF('NEW ACCOUNT'!A316="","",'NEW ACCOUNT'!G316)</f>
        <v/>
      </c>
      <c r="H315" s="19">
        <f>IF('NEW ACCOUNT'!A316="","",'NEW ACCOUNT'!H316)</f>
        <v/>
      </c>
      <c r="I315" s="20">
        <f>IFERROR(IF(A315="","",SUMIF(SAVINGS!$A:$A,A315,SAVINGS!$E:$E)),"")</f>
        <v/>
      </c>
      <c r="J315" s="20">
        <f>IFERROR(IF(A315="","",SUMIF(SAVINGS!$A:$A,A315,SAVINGS!$E:$E)-SUMIF(WITHDRAWALS!$A:$A,A315,WITHDRAWALS!$E:$E)),"")</f>
        <v/>
      </c>
    </row>
    <row r="316" ht="20" customHeight="1">
      <c r="A316" s="21">
        <f>'NEW ACCOUNT'!A317</f>
        <v/>
      </c>
      <c r="B316" s="22">
        <f>IF('NEW ACCOUNT'!A317="","",'NEW ACCOUNT'!B317)</f>
        <v/>
      </c>
      <c r="C316" s="22">
        <f>IF('NEW ACCOUNT'!A317="","",'NEW ACCOUNT'!C317)</f>
        <v/>
      </c>
      <c r="D316" s="22">
        <f>IF('NEW ACCOUNT'!A317="","",'NEW ACCOUNT'!D317)</f>
        <v/>
      </c>
      <c r="E316" s="22">
        <f>IF('NEW ACCOUNT'!A317="","",'NEW ACCOUNT'!E317)</f>
        <v/>
      </c>
      <c r="F316" s="22">
        <f>IF('NEW ACCOUNT'!A317="","",'NEW ACCOUNT'!F317)</f>
        <v/>
      </c>
      <c r="G316" s="22">
        <f>IF('NEW ACCOUNT'!A317="","",'NEW ACCOUNT'!G317)</f>
        <v/>
      </c>
      <c r="H316" s="22">
        <f>IF('NEW ACCOUNT'!A317="","",'NEW ACCOUNT'!H317)</f>
        <v/>
      </c>
      <c r="I316" s="23">
        <f>IFERROR(IF(A316="","",SUMIF(SAVINGS!$A:$A,A316,SAVINGS!$E:$E)),"")</f>
        <v/>
      </c>
      <c r="J316" s="23">
        <f>IFERROR(IF(A316="","",SUMIF(SAVINGS!$A:$A,A316,SAVINGS!$E:$E)-SUMIF(WITHDRAWALS!$A:$A,A316,WITHDRAWALS!$E:$E)),"")</f>
        <v/>
      </c>
    </row>
    <row r="317" ht="20" customHeight="1">
      <c r="A317" s="18">
        <f>'NEW ACCOUNT'!A318</f>
        <v/>
      </c>
      <c r="B317" s="19">
        <f>IF('NEW ACCOUNT'!A318="","",'NEW ACCOUNT'!B318)</f>
        <v/>
      </c>
      <c r="C317" s="19">
        <f>IF('NEW ACCOUNT'!A318="","",'NEW ACCOUNT'!C318)</f>
        <v/>
      </c>
      <c r="D317" s="19">
        <f>IF('NEW ACCOUNT'!A318="","",'NEW ACCOUNT'!D318)</f>
        <v/>
      </c>
      <c r="E317" s="19">
        <f>IF('NEW ACCOUNT'!A318="","",'NEW ACCOUNT'!E318)</f>
        <v/>
      </c>
      <c r="F317" s="19">
        <f>IF('NEW ACCOUNT'!A318="","",'NEW ACCOUNT'!F318)</f>
        <v/>
      </c>
      <c r="G317" s="19">
        <f>IF('NEW ACCOUNT'!A318="","",'NEW ACCOUNT'!G318)</f>
        <v/>
      </c>
      <c r="H317" s="19">
        <f>IF('NEW ACCOUNT'!A318="","",'NEW ACCOUNT'!H318)</f>
        <v/>
      </c>
      <c r="I317" s="20">
        <f>IFERROR(IF(A317="","",SUMIF(SAVINGS!$A:$A,A317,SAVINGS!$E:$E)),"")</f>
        <v/>
      </c>
      <c r="J317" s="20">
        <f>IFERROR(IF(A317="","",SUMIF(SAVINGS!$A:$A,A317,SAVINGS!$E:$E)-SUMIF(WITHDRAWALS!$A:$A,A317,WITHDRAWALS!$E:$E)),"")</f>
        <v/>
      </c>
    </row>
    <row r="318" ht="20" customHeight="1">
      <c r="A318" s="21">
        <f>'NEW ACCOUNT'!A319</f>
        <v/>
      </c>
      <c r="B318" s="22">
        <f>IF('NEW ACCOUNT'!A319="","",'NEW ACCOUNT'!B319)</f>
        <v/>
      </c>
      <c r="C318" s="22">
        <f>IF('NEW ACCOUNT'!A319="","",'NEW ACCOUNT'!C319)</f>
        <v/>
      </c>
      <c r="D318" s="22">
        <f>IF('NEW ACCOUNT'!A319="","",'NEW ACCOUNT'!D319)</f>
        <v/>
      </c>
      <c r="E318" s="22">
        <f>IF('NEW ACCOUNT'!A319="","",'NEW ACCOUNT'!E319)</f>
        <v/>
      </c>
      <c r="F318" s="22">
        <f>IF('NEW ACCOUNT'!A319="","",'NEW ACCOUNT'!F319)</f>
        <v/>
      </c>
      <c r="G318" s="22">
        <f>IF('NEW ACCOUNT'!A319="","",'NEW ACCOUNT'!G319)</f>
        <v/>
      </c>
      <c r="H318" s="22">
        <f>IF('NEW ACCOUNT'!A319="","",'NEW ACCOUNT'!H319)</f>
        <v/>
      </c>
      <c r="I318" s="23">
        <f>IFERROR(IF(A318="","",SUMIF(SAVINGS!$A:$A,A318,SAVINGS!$E:$E)),"")</f>
        <v/>
      </c>
      <c r="J318" s="23">
        <f>IFERROR(IF(A318="","",SUMIF(SAVINGS!$A:$A,A318,SAVINGS!$E:$E)-SUMIF(WITHDRAWALS!$A:$A,A318,WITHDRAWALS!$E:$E)),"")</f>
        <v/>
      </c>
    </row>
    <row r="319" ht="20" customHeight="1">
      <c r="A319" s="18">
        <f>'NEW ACCOUNT'!A320</f>
        <v/>
      </c>
      <c r="B319" s="19">
        <f>IF('NEW ACCOUNT'!A320="","",'NEW ACCOUNT'!B320)</f>
        <v/>
      </c>
      <c r="C319" s="19">
        <f>IF('NEW ACCOUNT'!A320="","",'NEW ACCOUNT'!C320)</f>
        <v/>
      </c>
      <c r="D319" s="19">
        <f>IF('NEW ACCOUNT'!A320="","",'NEW ACCOUNT'!D320)</f>
        <v/>
      </c>
      <c r="E319" s="19">
        <f>IF('NEW ACCOUNT'!A320="","",'NEW ACCOUNT'!E320)</f>
        <v/>
      </c>
      <c r="F319" s="19">
        <f>IF('NEW ACCOUNT'!A320="","",'NEW ACCOUNT'!F320)</f>
        <v/>
      </c>
      <c r="G319" s="19">
        <f>IF('NEW ACCOUNT'!A320="","",'NEW ACCOUNT'!G320)</f>
        <v/>
      </c>
      <c r="H319" s="19">
        <f>IF('NEW ACCOUNT'!A320="","",'NEW ACCOUNT'!H320)</f>
        <v/>
      </c>
      <c r="I319" s="20">
        <f>IFERROR(IF(A319="","",SUMIF(SAVINGS!$A:$A,A319,SAVINGS!$E:$E)),"")</f>
        <v/>
      </c>
      <c r="J319" s="20">
        <f>IFERROR(IF(A319="","",SUMIF(SAVINGS!$A:$A,A319,SAVINGS!$E:$E)-SUMIF(WITHDRAWALS!$A:$A,A319,WITHDRAWALS!$E:$E)),"")</f>
        <v/>
      </c>
    </row>
    <row r="320" ht="20" customHeight="1">
      <c r="A320" s="21">
        <f>'NEW ACCOUNT'!A321</f>
        <v/>
      </c>
      <c r="B320" s="22">
        <f>IF('NEW ACCOUNT'!A321="","",'NEW ACCOUNT'!B321)</f>
        <v/>
      </c>
      <c r="C320" s="22">
        <f>IF('NEW ACCOUNT'!A321="","",'NEW ACCOUNT'!C321)</f>
        <v/>
      </c>
      <c r="D320" s="22">
        <f>IF('NEW ACCOUNT'!A321="","",'NEW ACCOUNT'!D321)</f>
        <v/>
      </c>
      <c r="E320" s="22">
        <f>IF('NEW ACCOUNT'!A321="","",'NEW ACCOUNT'!E321)</f>
        <v/>
      </c>
      <c r="F320" s="22">
        <f>IF('NEW ACCOUNT'!A321="","",'NEW ACCOUNT'!F321)</f>
        <v/>
      </c>
      <c r="G320" s="22">
        <f>IF('NEW ACCOUNT'!A321="","",'NEW ACCOUNT'!G321)</f>
        <v/>
      </c>
      <c r="H320" s="22">
        <f>IF('NEW ACCOUNT'!A321="","",'NEW ACCOUNT'!H321)</f>
        <v/>
      </c>
      <c r="I320" s="23">
        <f>IFERROR(IF(A320="","",SUMIF(SAVINGS!$A:$A,A320,SAVINGS!$E:$E)),"")</f>
        <v/>
      </c>
      <c r="J320" s="23">
        <f>IFERROR(IF(A320="","",SUMIF(SAVINGS!$A:$A,A320,SAVINGS!$E:$E)-SUMIF(WITHDRAWALS!$A:$A,A320,WITHDRAWALS!$E:$E)),"")</f>
        <v/>
      </c>
    </row>
    <row r="321" ht="20" customHeight="1">
      <c r="A321" s="18">
        <f>'NEW ACCOUNT'!A322</f>
        <v/>
      </c>
      <c r="B321" s="19">
        <f>IF('NEW ACCOUNT'!A322="","",'NEW ACCOUNT'!B322)</f>
        <v/>
      </c>
      <c r="C321" s="19">
        <f>IF('NEW ACCOUNT'!A322="","",'NEW ACCOUNT'!C322)</f>
        <v/>
      </c>
      <c r="D321" s="19">
        <f>IF('NEW ACCOUNT'!A322="","",'NEW ACCOUNT'!D322)</f>
        <v/>
      </c>
      <c r="E321" s="19">
        <f>IF('NEW ACCOUNT'!A322="","",'NEW ACCOUNT'!E322)</f>
        <v/>
      </c>
      <c r="F321" s="19">
        <f>IF('NEW ACCOUNT'!A322="","",'NEW ACCOUNT'!F322)</f>
        <v/>
      </c>
      <c r="G321" s="19">
        <f>IF('NEW ACCOUNT'!A322="","",'NEW ACCOUNT'!G322)</f>
        <v/>
      </c>
      <c r="H321" s="19">
        <f>IF('NEW ACCOUNT'!A322="","",'NEW ACCOUNT'!H322)</f>
        <v/>
      </c>
      <c r="I321" s="20">
        <f>IFERROR(IF(A321="","",SUMIF(SAVINGS!$A:$A,A321,SAVINGS!$E:$E)),"")</f>
        <v/>
      </c>
      <c r="J321" s="20">
        <f>IFERROR(IF(A321="","",SUMIF(SAVINGS!$A:$A,A321,SAVINGS!$E:$E)-SUMIF(WITHDRAWALS!$A:$A,A321,WITHDRAWALS!$E:$E)),"")</f>
        <v/>
      </c>
    </row>
    <row r="322" ht="20" customHeight="1">
      <c r="A322" s="21">
        <f>'NEW ACCOUNT'!A323</f>
        <v/>
      </c>
      <c r="B322" s="22">
        <f>IF('NEW ACCOUNT'!A323="","",'NEW ACCOUNT'!B323)</f>
        <v/>
      </c>
      <c r="C322" s="22">
        <f>IF('NEW ACCOUNT'!A323="","",'NEW ACCOUNT'!C323)</f>
        <v/>
      </c>
      <c r="D322" s="22">
        <f>IF('NEW ACCOUNT'!A323="","",'NEW ACCOUNT'!D323)</f>
        <v/>
      </c>
      <c r="E322" s="22">
        <f>IF('NEW ACCOUNT'!A323="","",'NEW ACCOUNT'!E323)</f>
        <v/>
      </c>
      <c r="F322" s="22">
        <f>IF('NEW ACCOUNT'!A323="","",'NEW ACCOUNT'!F323)</f>
        <v/>
      </c>
      <c r="G322" s="22">
        <f>IF('NEW ACCOUNT'!A323="","",'NEW ACCOUNT'!G323)</f>
        <v/>
      </c>
      <c r="H322" s="22">
        <f>IF('NEW ACCOUNT'!A323="","",'NEW ACCOUNT'!H323)</f>
        <v/>
      </c>
      <c r="I322" s="23">
        <f>IFERROR(IF(A322="","",SUMIF(SAVINGS!$A:$A,A322,SAVINGS!$E:$E)),"")</f>
        <v/>
      </c>
      <c r="J322" s="23">
        <f>IFERROR(IF(A322="","",SUMIF(SAVINGS!$A:$A,A322,SAVINGS!$E:$E)-SUMIF(WITHDRAWALS!$A:$A,A322,WITHDRAWALS!$E:$E)),"")</f>
        <v/>
      </c>
    </row>
    <row r="323" ht="20" customHeight="1">
      <c r="A323" s="18">
        <f>'NEW ACCOUNT'!A324</f>
        <v/>
      </c>
      <c r="B323" s="19">
        <f>IF('NEW ACCOUNT'!A324="","",'NEW ACCOUNT'!B324)</f>
        <v/>
      </c>
      <c r="C323" s="19">
        <f>IF('NEW ACCOUNT'!A324="","",'NEW ACCOUNT'!C324)</f>
        <v/>
      </c>
      <c r="D323" s="19">
        <f>IF('NEW ACCOUNT'!A324="","",'NEW ACCOUNT'!D324)</f>
        <v/>
      </c>
      <c r="E323" s="19">
        <f>IF('NEW ACCOUNT'!A324="","",'NEW ACCOUNT'!E324)</f>
        <v/>
      </c>
      <c r="F323" s="19">
        <f>IF('NEW ACCOUNT'!A324="","",'NEW ACCOUNT'!F324)</f>
        <v/>
      </c>
      <c r="G323" s="19">
        <f>IF('NEW ACCOUNT'!A324="","",'NEW ACCOUNT'!G324)</f>
        <v/>
      </c>
      <c r="H323" s="19">
        <f>IF('NEW ACCOUNT'!A324="","",'NEW ACCOUNT'!H324)</f>
        <v/>
      </c>
      <c r="I323" s="20">
        <f>IFERROR(IF(A323="","",SUMIF(SAVINGS!$A:$A,A323,SAVINGS!$E:$E)),"")</f>
        <v/>
      </c>
      <c r="J323" s="20">
        <f>IFERROR(IF(A323="","",SUMIF(SAVINGS!$A:$A,A323,SAVINGS!$E:$E)-SUMIF(WITHDRAWALS!$A:$A,A323,WITHDRAWALS!$E:$E)),"")</f>
        <v/>
      </c>
    </row>
    <row r="324" ht="20" customHeight="1">
      <c r="A324" s="21">
        <f>'NEW ACCOUNT'!A325</f>
        <v/>
      </c>
      <c r="B324" s="22">
        <f>IF('NEW ACCOUNT'!A325="","",'NEW ACCOUNT'!B325)</f>
        <v/>
      </c>
      <c r="C324" s="22">
        <f>IF('NEW ACCOUNT'!A325="","",'NEW ACCOUNT'!C325)</f>
        <v/>
      </c>
      <c r="D324" s="22">
        <f>IF('NEW ACCOUNT'!A325="","",'NEW ACCOUNT'!D325)</f>
        <v/>
      </c>
      <c r="E324" s="22">
        <f>IF('NEW ACCOUNT'!A325="","",'NEW ACCOUNT'!E325)</f>
        <v/>
      </c>
      <c r="F324" s="22">
        <f>IF('NEW ACCOUNT'!A325="","",'NEW ACCOUNT'!F325)</f>
        <v/>
      </c>
      <c r="G324" s="22">
        <f>IF('NEW ACCOUNT'!A325="","",'NEW ACCOUNT'!G325)</f>
        <v/>
      </c>
      <c r="H324" s="22">
        <f>IF('NEW ACCOUNT'!A325="","",'NEW ACCOUNT'!H325)</f>
        <v/>
      </c>
      <c r="I324" s="23">
        <f>IFERROR(IF(A324="","",SUMIF(SAVINGS!$A:$A,A324,SAVINGS!$E:$E)),"")</f>
        <v/>
      </c>
      <c r="J324" s="23">
        <f>IFERROR(IF(A324="","",SUMIF(SAVINGS!$A:$A,A324,SAVINGS!$E:$E)-SUMIF(WITHDRAWALS!$A:$A,A324,WITHDRAWALS!$E:$E)),"")</f>
        <v/>
      </c>
    </row>
    <row r="325" ht="20" customHeight="1">
      <c r="A325" s="18">
        <f>'NEW ACCOUNT'!A326</f>
        <v/>
      </c>
      <c r="B325" s="19">
        <f>IF('NEW ACCOUNT'!A326="","",'NEW ACCOUNT'!B326)</f>
        <v/>
      </c>
      <c r="C325" s="19">
        <f>IF('NEW ACCOUNT'!A326="","",'NEW ACCOUNT'!C326)</f>
        <v/>
      </c>
      <c r="D325" s="19">
        <f>IF('NEW ACCOUNT'!A326="","",'NEW ACCOUNT'!D326)</f>
        <v/>
      </c>
      <c r="E325" s="19">
        <f>IF('NEW ACCOUNT'!A326="","",'NEW ACCOUNT'!E326)</f>
        <v/>
      </c>
      <c r="F325" s="19">
        <f>IF('NEW ACCOUNT'!A326="","",'NEW ACCOUNT'!F326)</f>
        <v/>
      </c>
      <c r="G325" s="19">
        <f>IF('NEW ACCOUNT'!A326="","",'NEW ACCOUNT'!G326)</f>
        <v/>
      </c>
      <c r="H325" s="19">
        <f>IF('NEW ACCOUNT'!A326="","",'NEW ACCOUNT'!H326)</f>
        <v/>
      </c>
      <c r="I325" s="20">
        <f>IFERROR(IF(A325="","",SUMIF(SAVINGS!$A:$A,A325,SAVINGS!$E:$E)),"")</f>
        <v/>
      </c>
      <c r="J325" s="20">
        <f>IFERROR(IF(A325="","",SUMIF(SAVINGS!$A:$A,A325,SAVINGS!$E:$E)-SUMIF(WITHDRAWALS!$A:$A,A325,WITHDRAWALS!$E:$E)),"")</f>
        <v/>
      </c>
    </row>
    <row r="326" ht="20" customHeight="1">
      <c r="A326" s="21">
        <f>'NEW ACCOUNT'!A327</f>
        <v/>
      </c>
      <c r="B326" s="22">
        <f>IF('NEW ACCOUNT'!A327="","",'NEW ACCOUNT'!B327)</f>
        <v/>
      </c>
      <c r="C326" s="22">
        <f>IF('NEW ACCOUNT'!A327="","",'NEW ACCOUNT'!C327)</f>
        <v/>
      </c>
      <c r="D326" s="22">
        <f>IF('NEW ACCOUNT'!A327="","",'NEW ACCOUNT'!D327)</f>
        <v/>
      </c>
      <c r="E326" s="22">
        <f>IF('NEW ACCOUNT'!A327="","",'NEW ACCOUNT'!E327)</f>
        <v/>
      </c>
      <c r="F326" s="22">
        <f>IF('NEW ACCOUNT'!A327="","",'NEW ACCOUNT'!F327)</f>
        <v/>
      </c>
      <c r="G326" s="22">
        <f>IF('NEW ACCOUNT'!A327="","",'NEW ACCOUNT'!G327)</f>
        <v/>
      </c>
      <c r="H326" s="22">
        <f>IF('NEW ACCOUNT'!A327="","",'NEW ACCOUNT'!H327)</f>
        <v/>
      </c>
      <c r="I326" s="23">
        <f>IFERROR(IF(A326="","",SUMIF(SAVINGS!$A:$A,A326,SAVINGS!$E:$E)),"")</f>
        <v/>
      </c>
      <c r="J326" s="23">
        <f>IFERROR(IF(A326="","",SUMIF(SAVINGS!$A:$A,A326,SAVINGS!$E:$E)-SUMIF(WITHDRAWALS!$A:$A,A326,WITHDRAWALS!$E:$E)),"")</f>
        <v/>
      </c>
    </row>
    <row r="327" ht="20" customHeight="1">
      <c r="A327" s="18">
        <f>'NEW ACCOUNT'!A328</f>
        <v/>
      </c>
      <c r="B327" s="19">
        <f>IF('NEW ACCOUNT'!A328="","",'NEW ACCOUNT'!B328)</f>
        <v/>
      </c>
      <c r="C327" s="19">
        <f>IF('NEW ACCOUNT'!A328="","",'NEW ACCOUNT'!C328)</f>
        <v/>
      </c>
      <c r="D327" s="19">
        <f>IF('NEW ACCOUNT'!A328="","",'NEW ACCOUNT'!D328)</f>
        <v/>
      </c>
      <c r="E327" s="19">
        <f>IF('NEW ACCOUNT'!A328="","",'NEW ACCOUNT'!E328)</f>
        <v/>
      </c>
      <c r="F327" s="19">
        <f>IF('NEW ACCOUNT'!A328="","",'NEW ACCOUNT'!F328)</f>
        <v/>
      </c>
      <c r="G327" s="19">
        <f>IF('NEW ACCOUNT'!A328="","",'NEW ACCOUNT'!G328)</f>
        <v/>
      </c>
      <c r="H327" s="19">
        <f>IF('NEW ACCOUNT'!A328="","",'NEW ACCOUNT'!H328)</f>
        <v/>
      </c>
      <c r="I327" s="20">
        <f>IFERROR(IF(A327="","",SUMIF(SAVINGS!$A:$A,A327,SAVINGS!$E:$E)),"")</f>
        <v/>
      </c>
      <c r="J327" s="20">
        <f>IFERROR(IF(A327="","",SUMIF(SAVINGS!$A:$A,A327,SAVINGS!$E:$E)-SUMIF(WITHDRAWALS!$A:$A,A327,WITHDRAWALS!$E:$E)),"")</f>
        <v/>
      </c>
    </row>
    <row r="328" ht="20" customHeight="1">
      <c r="A328" s="21">
        <f>'NEW ACCOUNT'!A329</f>
        <v/>
      </c>
      <c r="B328" s="22">
        <f>IF('NEW ACCOUNT'!A329="","",'NEW ACCOUNT'!B329)</f>
        <v/>
      </c>
      <c r="C328" s="22">
        <f>IF('NEW ACCOUNT'!A329="","",'NEW ACCOUNT'!C329)</f>
        <v/>
      </c>
      <c r="D328" s="22">
        <f>IF('NEW ACCOUNT'!A329="","",'NEW ACCOUNT'!D329)</f>
        <v/>
      </c>
      <c r="E328" s="22">
        <f>IF('NEW ACCOUNT'!A329="","",'NEW ACCOUNT'!E329)</f>
        <v/>
      </c>
      <c r="F328" s="22">
        <f>IF('NEW ACCOUNT'!A329="","",'NEW ACCOUNT'!F329)</f>
        <v/>
      </c>
      <c r="G328" s="22">
        <f>IF('NEW ACCOUNT'!A329="","",'NEW ACCOUNT'!G329)</f>
        <v/>
      </c>
      <c r="H328" s="22">
        <f>IF('NEW ACCOUNT'!A329="","",'NEW ACCOUNT'!H329)</f>
        <v/>
      </c>
      <c r="I328" s="23">
        <f>IFERROR(IF(A328="","",SUMIF(SAVINGS!$A:$A,A328,SAVINGS!$E:$E)),"")</f>
        <v/>
      </c>
      <c r="J328" s="23">
        <f>IFERROR(IF(A328="","",SUMIF(SAVINGS!$A:$A,A328,SAVINGS!$E:$E)-SUMIF(WITHDRAWALS!$A:$A,A328,WITHDRAWALS!$E:$E)),"")</f>
        <v/>
      </c>
    </row>
    <row r="329" ht="20" customHeight="1">
      <c r="A329" s="18">
        <f>'NEW ACCOUNT'!A330</f>
        <v/>
      </c>
      <c r="B329" s="19">
        <f>IF('NEW ACCOUNT'!A330="","",'NEW ACCOUNT'!B330)</f>
        <v/>
      </c>
      <c r="C329" s="19">
        <f>IF('NEW ACCOUNT'!A330="","",'NEW ACCOUNT'!C330)</f>
        <v/>
      </c>
      <c r="D329" s="19">
        <f>IF('NEW ACCOUNT'!A330="","",'NEW ACCOUNT'!D330)</f>
        <v/>
      </c>
      <c r="E329" s="19">
        <f>IF('NEW ACCOUNT'!A330="","",'NEW ACCOUNT'!E330)</f>
        <v/>
      </c>
      <c r="F329" s="19">
        <f>IF('NEW ACCOUNT'!A330="","",'NEW ACCOUNT'!F330)</f>
        <v/>
      </c>
      <c r="G329" s="19">
        <f>IF('NEW ACCOUNT'!A330="","",'NEW ACCOUNT'!G330)</f>
        <v/>
      </c>
      <c r="H329" s="19">
        <f>IF('NEW ACCOUNT'!A330="","",'NEW ACCOUNT'!H330)</f>
        <v/>
      </c>
      <c r="I329" s="20">
        <f>IFERROR(IF(A329="","",SUMIF(SAVINGS!$A:$A,A329,SAVINGS!$E:$E)),"")</f>
        <v/>
      </c>
      <c r="J329" s="20">
        <f>IFERROR(IF(A329="","",SUMIF(SAVINGS!$A:$A,A329,SAVINGS!$E:$E)-SUMIF(WITHDRAWALS!$A:$A,A329,WITHDRAWALS!$E:$E)),"")</f>
        <v/>
      </c>
    </row>
    <row r="330" ht="20" customHeight="1">
      <c r="A330" s="21">
        <f>'NEW ACCOUNT'!A331</f>
        <v/>
      </c>
      <c r="B330" s="22">
        <f>IF('NEW ACCOUNT'!A331="","",'NEW ACCOUNT'!B331)</f>
        <v/>
      </c>
      <c r="C330" s="22">
        <f>IF('NEW ACCOUNT'!A331="","",'NEW ACCOUNT'!C331)</f>
        <v/>
      </c>
      <c r="D330" s="22">
        <f>IF('NEW ACCOUNT'!A331="","",'NEW ACCOUNT'!D331)</f>
        <v/>
      </c>
      <c r="E330" s="22">
        <f>IF('NEW ACCOUNT'!A331="","",'NEW ACCOUNT'!E331)</f>
        <v/>
      </c>
      <c r="F330" s="22">
        <f>IF('NEW ACCOUNT'!A331="","",'NEW ACCOUNT'!F331)</f>
        <v/>
      </c>
      <c r="G330" s="22">
        <f>IF('NEW ACCOUNT'!A331="","",'NEW ACCOUNT'!G331)</f>
        <v/>
      </c>
      <c r="H330" s="22">
        <f>IF('NEW ACCOUNT'!A331="","",'NEW ACCOUNT'!H331)</f>
        <v/>
      </c>
      <c r="I330" s="23">
        <f>IFERROR(IF(A330="","",SUMIF(SAVINGS!$A:$A,A330,SAVINGS!$E:$E)),"")</f>
        <v/>
      </c>
      <c r="J330" s="23">
        <f>IFERROR(IF(A330="","",SUMIF(SAVINGS!$A:$A,A330,SAVINGS!$E:$E)-SUMIF(WITHDRAWALS!$A:$A,A330,WITHDRAWALS!$E:$E)),"")</f>
        <v/>
      </c>
    </row>
    <row r="331" ht="20" customHeight="1">
      <c r="A331" s="18">
        <f>'NEW ACCOUNT'!A332</f>
        <v/>
      </c>
      <c r="B331" s="19">
        <f>IF('NEW ACCOUNT'!A332="","",'NEW ACCOUNT'!B332)</f>
        <v/>
      </c>
      <c r="C331" s="19">
        <f>IF('NEW ACCOUNT'!A332="","",'NEW ACCOUNT'!C332)</f>
        <v/>
      </c>
      <c r="D331" s="19">
        <f>IF('NEW ACCOUNT'!A332="","",'NEW ACCOUNT'!D332)</f>
        <v/>
      </c>
      <c r="E331" s="19">
        <f>IF('NEW ACCOUNT'!A332="","",'NEW ACCOUNT'!E332)</f>
        <v/>
      </c>
      <c r="F331" s="19">
        <f>IF('NEW ACCOUNT'!A332="","",'NEW ACCOUNT'!F332)</f>
        <v/>
      </c>
      <c r="G331" s="19">
        <f>IF('NEW ACCOUNT'!A332="","",'NEW ACCOUNT'!G332)</f>
        <v/>
      </c>
      <c r="H331" s="19">
        <f>IF('NEW ACCOUNT'!A332="","",'NEW ACCOUNT'!H332)</f>
        <v/>
      </c>
      <c r="I331" s="20">
        <f>IFERROR(IF(A331="","",SUMIF(SAVINGS!$A:$A,A331,SAVINGS!$E:$E)),"")</f>
        <v/>
      </c>
      <c r="J331" s="20">
        <f>IFERROR(IF(A331="","",SUMIF(SAVINGS!$A:$A,A331,SAVINGS!$E:$E)-SUMIF(WITHDRAWALS!$A:$A,A331,WITHDRAWALS!$E:$E)),"")</f>
        <v/>
      </c>
    </row>
    <row r="332" ht="20" customHeight="1">
      <c r="A332" s="21">
        <f>'NEW ACCOUNT'!A333</f>
        <v/>
      </c>
      <c r="B332" s="22">
        <f>IF('NEW ACCOUNT'!A333="","",'NEW ACCOUNT'!B333)</f>
        <v/>
      </c>
      <c r="C332" s="22">
        <f>IF('NEW ACCOUNT'!A333="","",'NEW ACCOUNT'!C333)</f>
        <v/>
      </c>
      <c r="D332" s="22">
        <f>IF('NEW ACCOUNT'!A333="","",'NEW ACCOUNT'!D333)</f>
        <v/>
      </c>
      <c r="E332" s="22">
        <f>IF('NEW ACCOUNT'!A333="","",'NEW ACCOUNT'!E333)</f>
        <v/>
      </c>
      <c r="F332" s="22">
        <f>IF('NEW ACCOUNT'!A333="","",'NEW ACCOUNT'!F333)</f>
        <v/>
      </c>
      <c r="G332" s="22">
        <f>IF('NEW ACCOUNT'!A333="","",'NEW ACCOUNT'!G333)</f>
        <v/>
      </c>
      <c r="H332" s="22">
        <f>IF('NEW ACCOUNT'!A333="","",'NEW ACCOUNT'!H333)</f>
        <v/>
      </c>
      <c r="I332" s="23">
        <f>IFERROR(IF(A332="","",SUMIF(SAVINGS!$A:$A,A332,SAVINGS!$E:$E)),"")</f>
        <v/>
      </c>
      <c r="J332" s="23">
        <f>IFERROR(IF(A332="","",SUMIF(SAVINGS!$A:$A,A332,SAVINGS!$E:$E)-SUMIF(WITHDRAWALS!$A:$A,A332,WITHDRAWALS!$E:$E)),"")</f>
        <v/>
      </c>
    </row>
    <row r="333" ht="20" customHeight="1">
      <c r="A333" s="18">
        <f>'NEW ACCOUNT'!A334</f>
        <v/>
      </c>
      <c r="B333" s="19">
        <f>IF('NEW ACCOUNT'!A334="","",'NEW ACCOUNT'!B334)</f>
        <v/>
      </c>
      <c r="C333" s="19">
        <f>IF('NEW ACCOUNT'!A334="","",'NEW ACCOUNT'!C334)</f>
        <v/>
      </c>
      <c r="D333" s="19">
        <f>IF('NEW ACCOUNT'!A334="","",'NEW ACCOUNT'!D334)</f>
        <v/>
      </c>
      <c r="E333" s="19">
        <f>IF('NEW ACCOUNT'!A334="","",'NEW ACCOUNT'!E334)</f>
        <v/>
      </c>
      <c r="F333" s="19">
        <f>IF('NEW ACCOUNT'!A334="","",'NEW ACCOUNT'!F334)</f>
        <v/>
      </c>
      <c r="G333" s="19">
        <f>IF('NEW ACCOUNT'!A334="","",'NEW ACCOUNT'!G334)</f>
        <v/>
      </c>
      <c r="H333" s="19">
        <f>IF('NEW ACCOUNT'!A334="","",'NEW ACCOUNT'!H334)</f>
        <v/>
      </c>
      <c r="I333" s="20">
        <f>IFERROR(IF(A333="","",SUMIF(SAVINGS!$A:$A,A333,SAVINGS!$E:$E)),"")</f>
        <v/>
      </c>
      <c r="J333" s="20">
        <f>IFERROR(IF(A333="","",SUMIF(SAVINGS!$A:$A,A333,SAVINGS!$E:$E)-SUMIF(WITHDRAWALS!$A:$A,A333,WITHDRAWALS!$E:$E)),"")</f>
        <v/>
      </c>
    </row>
    <row r="334" ht="20" customHeight="1">
      <c r="A334" s="21">
        <f>'NEW ACCOUNT'!A335</f>
        <v/>
      </c>
      <c r="B334" s="22">
        <f>IF('NEW ACCOUNT'!A335="","",'NEW ACCOUNT'!B335)</f>
        <v/>
      </c>
      <c r="C334" s="22">
        <f>IF('NEW ACCOUNT'!A335="","",'NEW ACCOUNT'!C335)</f>
        <v/>
      </c>
      <c r="D334" s="22">
        <f>IF('NEW ACCOUNT'!A335="","",'NEW ACCOUNT'!D335)</f>
        <v/>
      </c>
      <c r="E334" s="22">
        <f>IF('NEW ACCOUNT'!A335="","",'NEW ACCOUNT'!E335)</f>
        <v/>
      </c>
      <c r="F334" s="22">
        <f>IF('NEW ACCOUNT'!A335="","",'NEW ACCOUNT'!F335)</f>
        <v/>
      </c>
      <c r="G334" s="22">
        <f>IF('NEW ACCOUNT'!A335="","",'NEW ACCOUNT'!G335)</f>
        <v/>
      </c>
      <c r="H334" s="22">
        <f>IF('NEW ACCOUNT'!A335="","",'NEW ACCOUNT'!H335)</f>
        <v/>
      </c>
      <c r="I334" s="23">
        <f>IFERROR(IF(A334="","",SUMIF(SAVINGS!$A:$A,A334,SAVINGS!$E:$E)),"")</f>
        <v/>
      </c>
      <c r="J334" s="23">
        <f>IFERROR(IF(A334="","",SUMIF(SAVINGS!$A:$A,A334,SAVINGS!$E:$E)-SUMIF(WITHDRAWALS!$A:$A,A334,WITHDRAWALS!$E:$E)),"")</f>
        <v/>
      </c>
    </row>
    <row r="335" ht="20" customHeight="1">
      <c r="A335" s="18">
        <f>'NEW ACCOUNT'!A336</f>
        <v/>
      </c>
      <c r="B335" s="19">
        <f>IF('NEW ACCOUNT'!A336="","",'NEW ACCOUNT'!B336)</f>
        <v/>
      </c>
      <c r="C335" s="19">
        <f>IF('NEW ACCOUNT'!A336="","",'NEW ACCOUNT'!C336)</f>
        <v/>
      </c>
      <c r="D335" s="19">
        <f>IF('NEW ACCOUNT'!A336="","",'NEW ACCOUNT'!D336)</f>
        <v/>
      </c>
      <c r="E335" s="19">
        <f>IF('NEW ACCOUNT'!A336="","",'NEW ACCOUNT'!E336)</f>
        <v/>
      </c>
      <c r="F335" s="19">
        <f>IF('NEW ACCOUNT'!A336="","",'NEW ACCOUNT'!F336)</f>
        <v/>
      </c>
      <c r="G335" s="19">
        <f>IF('NEW ACCOUNT'!A336="","",'NEW ACCOUNT'!G336)</f>
        <v/>
      </c>
      <c r="H335" s="19">
        <f>IF('NEW ACCOUNT'!A336="","",'NEW ACCOUNT'!H336)</f>
        <v/>
      </c>
      <c r="I335" s="20">
        <f>IFERROR(IF(A335="","",SUMIF(SAVINGS!$A:$A,A335,SAVINGS!$E:$E)),"")</f>
        <v/>
      </c>
      <c r="J335" s="20">
        <f>IFERROR(IF(A335="","",SUMIF(SAVINGS!$A:$A,A335,SAVINGS!$E:$E)-SUMIF(WITHDRAWALS!$A:$A,A335,WITHDRAWALS!$E:$E)),"")</f>
        <v/>
      </c>
    </row>
    <row r="336" ht="20" customHeight="1">
      <c r="A336" s="21">
        <f>'NEW ACCOUNT'!A337</f>
        <v/>
      </c>
      <c r="B336" s="22">
        <f>IF('NEW ACCOUNT'!A337="","",'NEW ACCOUNT'!B337)</f>
        <v/>
      </c>
      <c r="C336" s="22">
        <f>IF('NEW ACCOUNT'!A337="","",'NEW ACCOUNT'!C337)</f>
        <v/>
      </c>
      <c r="D336" s="22">
        <f>IF('NEW ACCOUNT'!A337="","",'NEW ACCOUNT'!D337)</f>
        <v/>
      </c>
      <c r="E336" s="22">
        <f>IF('NEW ACCOUNT'!A337="","",'NEW ACCOUNT'!E337)</f>
        <v/>
      </c>
      <c r="F336" s="22">
        <f>IF('NEW ACCOUNT'!A337="","",'NEW ACCOUNT'!F337)</f>
        <v/>
      </c>
      <c r="G336" s="22">
        <f>IF('NEW ACCOUNT'!A337="","",'NEW ACCOUNT'!G337)</f>
        <v/>
      </c>
      <c r="H336" s="22">
        <f>IF('NEW ACCOUNT'!A337="","",'NEW ACCOUNT'!H337)</f>
        <v/>
      </c>
      <c r="I336" s="23">
        <f>IFERROR(IF(A336="","",SUMIF(SAVINGS!$A:$A,A336,SAVINGS!$E:$E)),"")</f>
        <v/>
      </c>
      <c r="J336" s="23">
        <f>IFERROR(IF(A336="","",SUMIF(SAVINGS!$A:$A,A336,SAVINGS!$E:$E)-SUMIF(WITHDRAWALS!$A:$A,A336,WITHDRAWALS!$E:$E)),"")</f>
        <v/>
      </c>
    </row>
    <row r="337" ht="20" customHeight="1">
      <c r="A337" s="18">
        <f>'NEW ACCOUNT'!A338</f>
        <v/>
      </c>
      <c r="B337" s="19">
        <f>IF('NEW ACCOUNT'!A338="","",'NEW ACCOUNT'!B338)</f>
        <v/>
      </c>
      <c r="C337" s="19">
        <f>IF('NEW ACCOUNT'!A338="","",'NEW ACCOUNT'!C338)</f>
        <v/>
      </c>
      <c r="D337" s="19">
        <f>IF('NEW ACCOUNT'!A338="","",'NEW ACCOUNT'!D338)</f>
        <v/>
      </c>
      <c r="E337" s="19">
        <f>IF('NEW ACCOUNT'!A338="","",'NEW ACCOUNT'!E338)</f>
        <v/>
      </c>
      <c r="F337" s="19">
        <f>IF('NEW ACCOUNT'!A338="","",'NEW ACCOUNT'!F338)</f>
        <v/>
      </c>
      <c r="G337" s="19">
        <f>IF('NEW ACCOUNT'!A338="","",'NEW ACCOUNT'!G338)</f>
        <v/>
      </c>
      <c r="H337" s="19">
        <f>IF('NEW ACCOUNT'!A338="","",'NEW ACCOUNT'!H338)</f>
        <v/>
      </c>
      <c r="I337" s="20">
        <f>IFERROR(IF(A337="","",SUMIF(SAVINGS!$A:$A,A337,SAVINGS!$E:$E)),"")</f>
        <v/>
      </c>
      <c r="J337" s="20">
        <f>IFERROR(IF(A337="","",SUMIF(SAVINGS!$A:$A,A337,SAVINGS!$E:$E)-SUMIF(WITHDRAWALS!$A:$A,A337,WITHDRAWALS!$E:$E)),"")</f>
        <v/>
      </c>
    </row>
    <row r="338" ht="20" customHeight="1">
      <c r="A338" s="21">
        <f>'NEW ACCOUNT'!A339</f>
        <v/>
      </c>
      <c r="B338" s="22">
        <f>IF('NEW ACCOUNT'!A339="","",'NEW ACCOUNT'!B339)</f>
        <v/>
      </c>
      <c r="C338" s="22">
        <f>IF('NEW ACCOUNT'!A339="","",'NEW ACCOUNT'!C339)</f>
        <v/>
      </c>
      <c r="D338" s="22">
        <f>IF('NEW ACCOUNT'!A339="","",'NEW ACCOUNT'!D339)</f>
        <v/>
      </c>
      <c r="E338" s="22">
        <f>IF('NEW ACCOUNT'!A339="","",'NEW ACCOUNT'!E339)</f>
        <v/>
      </c>
      <c r="F338" s="22">
        <f>IF('NEW ACCOUNT'!A339="","",'NEW ACCOUNT'!F339)</f>
        <v/>
      </c>
      <c r="G338" s="22">
        <f>IF('NEW ACCOUNT'!A339="","",'NEW ACCOUNT'!G339)</f>
        <v/>
      </c>
      <c r="H338" s="22">
        <f>IF('NEW ACCOUNT'!A339="","",'NEW ACCOUNT'!H339)</f>
        <v/>
      </c>
      <c r="I338" s="23">
        <f>IFERROR(IF(A338="","",SUMIF(SAVINGS!$A:$A,A338,SAVINGS!$E:$E)),"")</f>
        <v/>
      </c>
      <c r="J338" s="23">
        <f>IFERROR(IF(A338="","",SUMIF(SAVINGS!$A:$A,A338,SAVINGS!$E:$E)-SUMIF(WITHDRAWALS!$A:$A,A338,WITHDRAWALS!$E:$E)),"")</f>
        <v/>
      </c>
    </row>
    <row r="339" ht="20" customHeight="1">
      <c r="A339" s="18">
        <f>'NEW ACCOUNT'!A340</f>
        <v/>
      </c>
      <c r="B339" s="19">
        <f>IF('NEW ACCOUNT'!A340="","",'NEW ACCOUNT'!B340)</f>
        <v/>
      </c>
      <c r="C339" s="19">
        <f>IF('NEW ACCOUNT'!A340="","",'NEW ACCOUNT'!C340)</f>
        <v/>
      </c>
      <c r="D339" s="19">
        <f>IF('NEW ACCOUNT'!A340="","",'NEW ACCOUNT'!D340)</f>
        <v/>
      </c>
      <c r="E339" s="19">
        <f>IF('NEW ACCOUNT'!A340="","",'NEW ACCOUNT'!E340)</f>
        <v/>
      </c>
      <c r="F339" s="19">
        <f>IF('NEW ACCOUNT'!A340="","",'NEW ACCOUNT'!F340)</f>
        <v/>
      </c>
      <c r="G339" s="19">
        <f>IF('NEW ACCOUNT'!A340="","",'NEW ACCOUNT'!G340)</f>
        <v/>
      </c>
      <c r="H339" s="19">
        <f>IF('NEW ACCOUNT'!A340="","",'NEW ACCOUNT'!H340)</f>
        <v/>
      </c>
      <c r="I339" s="20">
        <f>IFERROR(IF(A339="","",SUMIF(SAVINGS!$A:$A,A339,SAVINGS!$E:$E)),"")</f>
        <v/>
      </c>
      <c r="J339" s="20">
        <f>IFERROR(IF(A339="","",SUMIF(SAVINGS!$A:$A,A339,SAVINGS!$E:$E)-SUMIF(WITHDRAWALS!$A:$A,A339,WITHDRAWALS!$E:$E)),"")</f>
        <v/>
      </c>
    </row>
    <row r="340" ht="20" customHeight="1">
      <c r="A340" s="21">
        <f>'NEW ACCOUNT'!A341</f>
        <v/>
      </c>
      <c r="B340" s="22">
        <f>IF('NEW ACCOUNT'!A341="","",'NEW ACCOUNT'!B341)</f>
        <v/>
      </c>
      <c r="C340" s="22">
        <f>IF('NEW ACCOUNT'!A341="","",'NEW ACCOUNT'!C341)</f>
        <v/>
      </c>
      <c r="D340" s="22">
        <f>IF('NEW ACCOUNT'!A341="","",'NEW ACCOUNT'!D341)</f>
        <v/>
      </c>
      <c r="E340" s="22">
        <f>IF('NEW ACCOUNT'!A341="","",'NEW ACCOUNT'!E341)</f>
        <v/>
      </c>
      <c r="F340" s="22">
        <f>IF('NEW ACCOUNT'!A341="","",'NEW ACCOUNT'!F341)</f>
        <v/>
      </c>
      <c r="G340" s="22">
        <f>IF('NEW ACCOUNT'!A341="","",'NEW ACCOUNT'!G341)</f>
        <v/>
      </c>
      <c r="H340" s="22">
        <f>IF('NEW ACCOUNT'!A341="","",'NEW ACCOUNT'!H341)</f>
        <v/>
      </c>
      <c r="I340" s="23">
        <f>IFERROR(IF(A340="","",SUMIF(SAVINGS!$A:$A,A340,SAVINGS!$E:$E)),"")</f>
        <v/>
      </c>
      <c r="J340" s="23">
        <f>IFERROR(IF(A340="","",SUMIF(SAVINGS!$A:$A,A340,SAVINGS!$E:$E)-SUMIF(WITHDRAWALS!$A:$A,A340,WITHDRAWALS!$E:$E)),"")</f>
        <v/>
      </c>
    </row>
    <row r="341" ht="20" customHeight="1">
      <c r="A341" s="18">
        <f>'NEW ACCOUNT'!A342</f>
        <v/>
      </c>
      <c r="B341" s="19">
        <f>IF('NEW ACCOUNT'!A342="","",'NEW ACCOUNT'!B342)</f>
        <v/>
      </c>
      <c r="C341" s="19">
        <f>IF('NEW ACCOUNT'!A342="","",'NEW ACCOUNT'!C342)</f>
        <v/>
      </c>
      <c r="D341" s="19">
        <f>IF('NEW ACCOUNT'!A342="","",'NEW ACCOUNT'!D342)</f>
        <v/>
      </c>
      <c r="E341" s="19">
        <f>IF('NEW ACCOUNT'!A342="","",'NEW ACCOUNT'!E342)</f>
        <v/>
      </c>
      <c r="F341" s="19">
        <f>IF('NEW ACCOUNT'!A342="","",'NEW ACCOUNT'!F342)</f>
        <v/>
      </c>
      <c r="G341" s="19">
        <f>IF('NEW ACCOUNT'!A342="","",'NEW ACCOUNT'!G342)</f>
        <v/>
      </c>
      <c r="H341" s="19">
        <f>IF('NEW ACCOUNT'!A342="","",'NEW ACCOUNT'!H342)</f>
        <v/>
      </c>
      <c r="I341" s="20">
        <f>IFERROR(IF(A341="","",SUMIF(SAVINGS!$A:$A,A341,SAVINGS!$E:$E)),"")</f>
        <v/>
      </c>
      <c r="J341" s="20">
        <f>IFERROR(IF(A341="","",SUMIF(SAVINGS!$A:$A,A341,SAVINGS!$E:$E)-SUMIF(WITHDRAWALS!$A:$A,A341,WITHDRAWALS!$E:$E)),"")</f>
        <v/>
      </c>
    </row>
    <row r="342" ht="20" customHeight="1">
      <c r="A342" s="21">
        <f>'NEW ACCOUNT'!A343</f>
        <v/>
      </c>
      <c r="B342" s="22">
        <f>IF('NEW ACCOUNT'!A343="","",'NEW ACCOUNT'!B343)</f>
        <v/>
      </c>
      <c r="C342" s="22">
        <f>IF('NEW ACCOUNT'!A343="","",'NEW ACCOUNT'!C343)</f>
        <v/>
      </c>
      <c r="D342" s="22">
        <f>IF('NEW ACCOUNT'!A343="","",'NEW ACCOUNT'!D343)</f>
        <v/>
      </c>
      <c r="E342" s="22">
        <f>IF('NEW ACCOUNT'!A343="","",'NEW ACCOUNT'!E343)</f>
        <v/>
      </c>
      <c r="F342" s="22">
        <f>IF('NEW ACCOUNT'!A343="","",'NEW ACCOUNT'!F343)</f>
        <v/>
      </c>
      <c r="G342" s="22">
        <f>IF('NEW ACCOUNT'!A343="","",'NEW ACCOUNT'!G343)</f>
        <v/>
      </c>
      <c r="H342" s="22">
        <f>IF('NEW ACCOUNT'!A343="","",'NEW ACCOUNT'!H343)</f>
        <v/>
      </c>
      <c r="I342" s="23">
        <f>IFERROR(IF(A342="","",SUMIF(SAVINGS!$A:$A,A342,SAVINGS!$E:$E)),"")</f>
        <v/>
      </c>
      <c r="J342" s="23">
        <f>IFERROR(IF(A342="","",SUMIF(SAVINGS!$A:$A,A342,SAVINGS!$E:$E)-SUMIF(WITHDRAWALS!$A:$A,A342,WITHDRAWALS!$E:$E)),"")</f>
        <v/>
      </c>
    </row>
    <row r="343" ht="20" customHeight="1">
      <c r="A343" s="18">
        <f>'NEW ACCOUNT'!A344</f>
        <v/>
      </c>
      <c r="B343" s="19">
        <f>IF('NEW ACCOUNT'!A344="","",'NEW ACCOUNT'!B344)</f>
        <v/>
      </c>
      <c r="C343" s="19">
        <f>IF('NEW ACCOUNT'!A344="","",'NEW ACCOUNT'!C344)</f>
        <v/>
      </c>
      <c r="D343" s="19">
        <f>IF('NEW ACCOUNT'!A344="","",'NEW ACCOUNT'!D344)</f>
        <v/>
      </c>
      <c r="E343" s="19">
        <f>IF('NEW ACCOUNT'!A344="","",'NEW ACCOUNT'!E344)</f>
        <v/>
      </c>
      <c r="F343" s="19">
        <f>IF('NEW ACCOUNT'!A344="","",'NEW ACCOUNT'!F344)</f>
        <v/>
      </c>
      <c r="G343" s="19">
        <f>IF('NEW ACCOUNT'!A344="","",'NEW ACCOUNT'!G344)</f>
        <v/>
      </c>
      <c r="H343" s="19">
        <f>IF('NEW ACCOUNT'!A344="","",'NEW ACCOUNT'!H344)</f>
        <v/>
      </c>
      <c r="I343" s="20">
        <f>IFERROR(IF(A343="","",SUMIF(SAVINGS!$A:$A,A343,SAVINGS!$E:$E)),"")</f>
        <v/>
      </c>
      <c r="J343" s="20">
        <f>IFERROR(IF(A343="","",SUMIF(SAVINGS!$A:$A,A343,SAVINGS!$E:$E)-SUMIF(WITHDRAWALS!$A:$A,A343,WITHDRAWALS!$E:$E)),"")</f>
        <v/>
      </c>
    </row>
    <row r="344" ht="20" customHeight="1">
      <c r="A344" s="21">
        <f>'NEW ACCOUNT'!A345</f>
        <v/>
      </c>
      <c r="B344" s="22">
        <f>IF('NEW ACCOUNT'!A345="","",'NEW ACCOUNT'!B345)</f>
        <v/>
      </c>
      <c r="C344" s="22">
        <f>IF('NEW ACCOUNT'!A345="","",'NEW ACCOUNT'!C345)</f>
        <v/>
      </c>
      <c r="D344" s="22">
        <f>IF('NEW ACCOUNT'!A345="","",'NEW ACCOUNT'!D345)</f>
        <v/>
      </c>
      <c r="E344" s="22">
        <f>IF('NEW ACCOUNT'!A345="","",'NEW ACCOUNT'!E345)</f>
        <v/>
      </c>
      <c r="F344" s="22">
        <f>IF('NEW ACCOUNT'!A345="","",'NEW ACCOUNT'!F345)</f>
        <v/>
      </c>
      <c r="G344" s="22">
        <f>IF('NEW ACCOUNT'!A345="","",'NEW ACCOUNT'!G345)</f>
        <v/>
      </c>
      <c r="H344" s="22">
        <f>IF('NEW ACCOUNT'!A345="","",'NEW ACCOUNT'!H345)</f>
        <v/>
      </c>
      <c r="I344" s="23">
        <f>IFERROR(IF(A344="","",SUMIF(SAVINGS!$A:$A,A344,SAVINGS!$E:$E)),"")</f>
        <v/>
      </c>
      <c r="J344" s="23">
        <f>IFERROR(IF(A344="","",SUMIF(SAVINGS!$A:$A,A344,SAVINGS!$E:$E)-SUMIF(WITHDRAWALS!$A:$A,A344,WITHDRAWALS!$E:$E)),"")</f>
        <v/>
      </c>
    </row>
    <row r="345" ht="20" customHeight="1">
      <c r="A345" s="18">
        <f>'NEW ACCOUNT'!A346</f>
        <v/>
      </c>
      <c r="B345" s="19">
        <f>IF('NEW ACCOUNT'!A346="","",'NEW ACCOUNT'!B346)</f>
        <v/>
      </c>
      <c r="C345" s="19">
        <f>IF('NEW ACCOUNT'!A346="","",'NEW ACCOUNT'!C346)</f>
        <v/>
      </c>
      <c r="D345" s="19">
        <f>IF('NEW ACCOUNT'!A346="","",'NEW ACCOUNT'!D346)</f>
        <v/>
      </c>
      <c r="E345" s="19">
        <f>IF('NEW ACCOUNT'!A346="","",'NEW ACCOUNT'!E346)</f>
        <v/>
      </c>
      <c r="F345" s="19">
        <f>IF('NEW ACCOUNT'!A346="","",'NEW ACCOUNT'!F346)</f>
        <v/>
      </c>
      <c r="G345" s="19">
        <f>IF('NEW ACCOUNT'!A346="","",'NEW ACCOUNT'!G346)</f>
        <v/>
      </c>
      <c r="H345" s="19">
        <f>IF('NEW ACCOUNT'!A346="","",'NEW ACCOUNT'!H346)</f>
        <v/>
      </c>
      <c r="I345" s="20">
        <f>IFERROR(IF(A345="","",SUMIF(SAVINGS!$A:$A,A345,SAVINGS!$E:$E)),"")</f>
        <v/>
      </c>
      <c r="J345" s="20">
        <f>IFERROR(IF(A345="","",SUMIF(SAVINGS!$A:$A,A345,SAVINGS!$E:$E)-SUMIF(WITHDRAWALS!$A:$A,A345,WITHDRAWALS!$E:$E)),"")</f>
        <v/>
      </c>
    </row>
    <row r="346" ht="20" customHeight="1">
      <c r="A346" s="21">
        <f>'NEW ACCOUNT'!A347</f>
        <v/>
      </c>
      <c r="B346" s="22">
        <f>IF('NEW ACCOUNT'!A347="","",'NEW ACCOUNT'!B347)</f>
        <v/>
      </c>
      <c r="C346" s="22">
        <f>IF('NEW ACCOUNT'!A347="","",'NEW ACCOUNT'!C347)</f>
        <v/>
      </c>
      <c r="D346" s="22">
        <f>IF('NEW ACCOUNT'!A347="","",'NEW ACCOUNT'!D347)</f>
        <v/>
      </c>
      <c r="E346" s="22">
        <f>IF('NEW ACCOUNT'!A347="","",'NEW ACCOUNT'!E347)</f>
        <v/>
      </c>
      <c r="F346" s="22">
        <f>IF('NEW ACCOUNT'!A347="","",'NEW ACCOUNT'!F347)</f>
        <v/>
      </c>
      <c r="G346" s="22">
        <f>IF('NEW ACCOUNT'!A347="","",'NEW ACCOUNT'!G347)</f>
        <v/>
      </c>
      <c r="H346" s="22">
        <f>IF('NEW ACCOUNT'!A347="","",'NEW ACCOUNT'!H347)</f>
        <v/>
      </c>
      <c r="I346" s="23">
        <f>IFERROR(IF(A346="","",SUMIF(SAVINGS!$A:$A,A346,SAVINGS!$E:$E)),"")</f>
        <v/>
      </c>
      <c r="J346" s="23">
        <f>IFERROR(IF(A346="","",SUMIF(SAVINGS!$A:$A,A346,SAVINGS!$E:$E)-SUMIF(WITHDRAWALS!$A:$A,A346,WITHDRAWALS!$E:$E)),"")</f>
        <v/>
      </c>
    </row>
    <row r="347" ht="20" customHeight="1">
      <c r="A347" s="18">
        <f>'NEW ACCOUNT'!A348</f>
        <v/>
      </c>
      <c r="B347" s="19">
        <f>IF('NEW ACCOUNT'!A348="","",'NEW ACCOUNT'!B348)</f>
        <v/>
      </c>
      <c r="C347" s="19">
        <f>IF('NEW ACCOUNT'!A348="","",'NEW ACCOUNT'!C348)</f>
        <v/>
      </c>
      <c r="D347" s="19">
        <f>IF('NEW ACCOUNT'!A348="","",'NEW ACCOUNT'!D348)</f>
        <v/>
      </c>
      <c r="E347" s="19">
        <f>IF('NEW ACCOUNT'!A348="","",'NEW ACCOUNT'!E348)</f>
        <v/>
      </c>
      <c r="F347" s="19">
        <f>IF('NEW ACCOUNT'!A348="","",'NEW ACCOUNT'!F348)</f>
        <v/>
      </c>
      <c r="G347" s="19">
        <f>IF('NEW ACCOUNT'!A348="","",'NEW ACCOUNT'!G348)</f>
        <v/>
      </c>
      <c r="H347" s="19">
        <f>IF('NEW ACCOUNT'!A348="","",'NEW ACCOUNT'!H348)</f>
        <v/>
      </c>
      <c r="I347" s="20">
        <f>IFERROR(IF(A347="","",SUMIF(SAVINGS!$A:$A,A347,SAVINGS!$E:$E)),"")</f>
        <v/>
      </c>
      <c r="J347" s="20">
        <f>IFERROR(IF(A347="","",SUMIF(SAVINGS!$A:$A,A347,SAVINGS!$E:$E)-SUMIF(WITHDRAWALS!$A:$A,A347,WITHDRAWALS!$E:$E)),"")</f>
        <v/>
      </c>
    </row>
    <row r="348" ht="20" customHeight="1">
      <c r="A348" s="21">
        <f>'NEW ACCOUNT'!A349</f>
        <v/>
      </c>
      <c r="B348" s="22">
        <f>IF('NEW ACCOUNT'!A349="","",'NEW ACCOUNT'!B349)</f>
        <v/>
      </c>
      <c r="C348" s="22">
        <f>IF('NEW ACCOUNT'!A349="","",'NEW ACCOUNT'!C349)</f>
        <v/>
      </c>
      <c r="D348" s="22">
        <f>IF('NEW ACCOUNT'!A349="","",'NEW ACCOUNT'!D349)</f>
        <v/>
      </c>
      <c r="E348" s="22">
        <f>IF('NEW ACCOUNT'!A349="","",'NEW ACCOUNT'!E349)</f>
        <v/>
      </c>
      <c r="F348" s="22">
        <f>IF('NEW ACCOUNT'!A349="","",'NEW ACCOUNT'!F349)</f>
        <v/>
      </c>
      <c r="G348" s="22">
        <f>IF('NEW ACCOUNT'!A349="","",'NEW ACCOUNT'!G349)</f>
        <v/>
      </c>
      <c r="H348" s="22">
        <f>IF('NEW ACCOUNT'!A349="","",'NEW ACCOUNT'!H349)</f>
        <v/>
      </c>
      <c r="I348" s="23">
        <f>IFERROR(IF(A348="","",SUMIF(SAVINGS!$A:$A,A348,SAVINGS!$E:$E)),"")</f>
        <v/>
      </c>
      <c r="J348" s="23">
        <f>IFERROR(IF(A348="","",SUMIF(SAVINGS!$A:$A,A348,SAVINGS!$E:$E)-SUMIF(WITHDRAWALS!$A:$A,A348,WITHDRAWALS!$E:$E)),"")</f>
        <v/>
      </c>
    </row>
    <row r="349" ht="20" customHeight="1">
      <c r="A349" s="18">
        <f>'NEW ACCOUNT'!A350</f>
        <v/>
      </c>
      <c r="B349" s="19">
        <f>IF('NEW ACCOUNT'!A350="","",'NEW ACCOUNT'!B350)</f>
        <v/>
      </c>
      <c r="C349" s="19">
        <f>IF('NEW ACCOUNT'!A350="","",'NEW ACCOUNT'!C350)</f>
        <v/>
      </c>
      <c r="D349" s="19">
        <f>IF('NEW ACCOUNT'!A350="","",'NEW ACCOUNT'!D350)</f>
        <v/>
      </c>
      <c r="E349" s="19">
        <f>IF('NEW ACCOUNT'!A350="","",'NEW ACCOUNT'!E350)</f>
        <v/>
      </c>
      <c r="F349" s="19">
        <f>IF('NEW ACCOUNT'!A350="","",'NEW ACCOUNT'!F350)</f>
        <v/>
      </c>
      <c r="G349" s="19">
        <f>IF('NEW ACCOUNT'!A350="","",'NEW ACCOUNT'!G350)</f>
        <v/>
      </c>
      <c r="H349" s="19">
        <f>IF('NEW ACCOUNT'!A350="","",'NEW ACCOUNT'!H350)</f>
        <v/>
      </c>
      <c r="I349" s="20">
        <f>IFERROR(IF(A349="","",SUMIF(SAVINGS!$A:$A,A349,SAVINGS!$E:$E)),"")</f>
        <v/>
      </c>
      <c r="J349" s="20">
        <f>IFERROR(IF(A349="","",SUMIF(SAVINGS!$A:$A,A349,SAVINGS!$E:$E)-SUMIF(WITHDRAWALS!$A:$A,A349,WITHDRAWALS!$E:$E)),"")</f>
        <v/>
      </c>
    </row>
    <row r="350" ht="20" customHeight="1">
      <c r="A350" s="21">
        <f>'NEW ACCOUNT'!A351</f>
        <v/>
      </c>
      <c r="B350" s="22">
        <f>IF('NEW ACCOUNT'!A351="","",'NEW ACCOUNT'!B351)</f>
        <v/>
      </c>
      <c r="C350" s="22">
        <f>IF('NEW ACCOUNT'!A351="","",'NEW ACCOUNT'!C351)</f>
        <v/>
      </c>
      <c r="D350" s="22">
        <f>IF('NEW ACCOUNT'!A351="","",'NEW ACCOUNT'!D351)</f>
        <v/>
      </c>
      <c r="E350" s="22">
        <f>IF('NEW ACCOUNT'!A351="","",'NEW ACCOUNT'!E351)</f>
        <v/>
      </c>
      <c r="F350" s="22">
        <f>IF('NEW ACCOUNT'!A351="","",'NEW ACCOUNT'!F351)</f>
        <v/>
      </c>
      <c r="G350" s="22">
        <f>IF('NEW ACCOUNT'!A351="","",'NEW ACCOUNT'!G351)</f>
        <v/>
      </c>
      <c r="H350" s="22">
        <f>IF('NEW ACCOUNT'!A351="","",'NEW ACCOUNT'!H351)</f>
        <v/>
      </c>
      <c r="I350" s="23">
        <f>IFERROR(IF(A350="","",SUMIF(SAVINGS!$A:$A,A350,SAVINGS!$E:$E)),"")</f>
        <v/>
      </c>
      <c r="J350" s="23">
        <f>IFERROR(IF(A350="","",SUMIF(SAVINGS!$A:$A,A350,SAVINGS!$E:$E)-SUMIF(WITHDRAWALS!$A:$A,A350,WITHDRAWALS!$E:$E)),"")</f>
        <v/>
      </c>
    </row>
    <row r="351" ht="20" customHeight="1">
      <c r="A351" s="18">
        <f>'NEW ACCOUNT'!A352</f>
        <v/>
      </c>
      <c r="B351" s="19">
        <f>IF('NEW ACCOUNT'!A352="","",'NEW ACCOUNT'!B352)</f>
        <v/>
      </c>
      <c r="C351" s="19">
        <f>IF('NEW ACCOUNT'!A352="","",'NEW ACCOUNT'!C352)</f>
        <v/>
      </c>
      <c r="D351" s="19">
        <f>IF('NEW ACCOUNT'!A352="","",'NEW ACCOUNT'!D352)</f>
        <v/>
      </c>
      <c r="E351" s="19">
        <f>IF('NEW ACCOUNT'!A352="","",'NEW ACCOUNT'!E352)</f>
        <v/>
      </c>
      <c r="F351" s="19">
        <f>IF('NEW ACCOUNT'!A352="","",'NEW ACCOUNT'!F352)</f>
        <v/>
      </c>
      <c r="G351" s="19">
        <f>IF('NEW ACCOUNT'!A352="","",'NEW ACCOUNT'!G352)</f>
        <v/>
      </c>
      <c r="H351" s="19">
        <f>IF('NEW ACCOUNT'!A352="","",'NEW ACCOUNT'!H352)</f>
        <v/>
      </c>
      <c r="I351" s="20">
        <f>IFERROR(IF(A351="","",SUMIF(SAVINGS!$A:$A,A351,SAVINGS!$E:$E)),"")</f>
        <v/>
      </c>
      <c r="J351" s="20">
        <f>IFERROR(IF(A351="","",SUMIF(SAVINGS!$A:$A,A351,SAVINGS!$E:$E)-SUMIF(WITHDRAWALS!$A:$A,A351,WITHDRAWALS!$E:$E)),"")</f>
        <v/>
      </c>
    </row>
    <row r="352" ht="20" customHeight="1">
      <c r="A352" s="21">
        <f>'NEW ACCOUNT'!A353</f>
        <v/>
      </c>
      <c r="B352" s="22">
        <f>IF('NEW ACCOUNT'!A353="","",'NEW ACCOUNT'!B353)</f>
        <v/>
      </c>
      <c r="C352" s="22">
        <f>IF('NEW ACCOUNT'!A353="","",'NEW ACCOUNT'!C353)</f>
        <v/>
      </c>
      <c r="D352" s="22">
        <f>IF('NEW ACCOUNT'!A353="","",'NEW ACCOUNT'!D353)</f>
        <v/>
      </c>
      <c r="E352" s="22">
        <f>IF('NEW ACCOUNT'!A353="","",'NEW ACCOUNT'!E353)</f>
        <v/>
      </c>
      <c r="F352" s="22">
        <f>IF('NEW ACCOUNT'!A353="","",'NEW ACCOUNT'!F353)</f>
        <v/>
      </c>
      <c r="G352" s="22">
        <f>IF('NEW ACCOUNT'!A353="","",'NEW ACCOUNT'!G353)</f>
        <v/>
      </c>
      <c r="H352" s="22">
        <f>IF('NEW ACCOUNT'!A353="","",'NEW ACCOUNT'!H353)</f>
        <v/>
      </c>
      <c r="I352" s="23">
        <f>IFERROR(IF(A352="","",SUMIF(SAVINGS!$A:$A,A352,SAVINGS!$E:$E)),"")</f>
        <v/>
      </c>
      <c r="J352" s="23">
        <f>IFERROR(IF(A352="","",SUMIF(SAVINGS!$A:$A,A352,SAVINGS!$E:$E)-SUMIF(WITHDRAWALS!$A:$A,A352,WITHDRAWALS!$E:$E)),"")</f>
        <v/>
      </c>
    </row>
    <row r="353" ht="20" customHeight="1">
      <c r="A353" s="18">
        <f>'NEW ACCOUNT'!A354</f>
        <v/>
      </c>
      <c r="B353" s="19">
        <f>IF('NEW ACCOUNT'!A354="","",'NEW ACCOUNT'!B354)</f>
        <v/>
      </c>
      <c r="C353" s="19">
        <f>IF('NEW ACCOUNT'!A354="","",'NEW ACCOUNT'!C354)</f>
        <v/>
      </c>
      <c r="D353" s="19">
        <f>IF('NEW ACCOUNT'!A354="","",'NEW ACCOUNT'!D354)</f>
        <v/>
      </c>
      <c r="E353" s="19">
        <f>IF('NEW ACCOUNT'!A354="","",'NEW ACCOUNT'!E354)</f>
        <v/>
      </c>
      <c r="F353" s="19">
        <f>IF('NEW ACCOUNT'!A354="","",'NEW ACCOUNT'!F354)</f>
        <v/>
      </c>
      <c r="G353" s="19">
        <f>IF('NEW ACCOUNT'!A354="","",'NEW ACCOUNT'!G354)</f>
        <v/>
      </c>
      <c r="H353" s="19">
        <f>IF('NEW ACCOUNT'!A354="","",'NEW ACCOUNT'!H354)</f>
        <v/>
      </c>
      <c r="I353" s="20">
        <f>IFERROR(IF(A353="","",SUMIF(SAVINGS!$A:$A,A353,SAVINGS!$E:$E)),"")</f>
        <v/>
      </c>
      <c r="J353" s="20">
        <f>IFERROR(IF(A353="","",SUMIF(SAVINGS!$A:$A,A353,SAVINGS!$E:$E)-SUMIF(WITHDRAWALS!$A:$A,A353,WITHDRAWALS!$E:$E)),"")</f>
        <v/>
      </c>
    </row>
    <row r="354" ht="20" customHeight="1">
      <c r="A354" s="21">
        <f>'NEW ACCOUNT'!A355</f>
        <v/>
      </c>
      <c r="B354" s="22">
        <f>IF('NEW ACCOUNT'!A355="","",'NEW ACCOUNT'!B355)</f>
        <v/>
      </c>
      <c r="C354" s="22">
        <f>IF('NEW ACCOUNT'!A355="","",'NEW ACCOUNT'!C355)</f>
        <v/>
      </c>
      <c r="D354" s="22">
        <f>IF('NEW ACCOUNT'!A355="","",'NEW ACCOUNT'!D355)</f>
        <v/>
      </c>
      <c r="E354" s="22">
        <f>IF('NEW ACCOUNT'!A355="","",'NEW ACCOUNT'!E355)</f>
        <v/>
      </c>
      <c r="F354" s="22">
        <f>IF('NEW ACCOUNT'!A355="","",'NEW ACCOUNT'!F355)</f>
        <v/>
      </c>
      <c r="G354" s="22">
        <f>IF('NEW ACCOUNT'!A355="","",'NEW ACCOUNT'!G355)</f>
        <v/>
      </c>
      <c r="H354" s="22">
        <f>IF('NEW ACCOUNT'!A355="","",'NEW ACCOUNT'!H355)</f>
        <v/>
      </c>
      <c r="I354" s="23">
        <f>IFERROR(IF(A354="","",SUMIF(SAVINGS!$A:$A,A354,SAVINGS!$E:$E)),"")</f>
        <v/>
      </c>
      <c r="J354" s="23">
        <f>IFERROR(IF(A354="","",SUMIF(SAVINGS!$A:$A,A354,SAVINGS!$E:$E)-SUMIF(WITHDRAWALS!$A:$A,A354,WITHDRAWALS!$E:$E)),"")</f>
        <v/>
      </c>
    </row>
    <row r="355" ht="20" customHeight="1">
      <c r="A355" s="18">
        <f>'NEW ACCOUNT'!A356</f>
        <v/>
      </c>
      <c r="B355" s="19">
        <f>IF('NEW ACCOUNT'!A356="","",'NEW ACCOUNT'!B356)</f>
        <v/>
      </c>
      <c r="C355" s="19">
        <f>IF('NEW ACCOUNT'!A356="","",'NEW ACCOUNT'!C356)</f>
        <v/>
      </c>
      <c r="D355" s="19">
        <f>IF('NEW ACCOUNT'!A356="","",'NEW ACCOUNT'!D356)</f>
        <v/>
      </c>
      <c r="E355" s="19">
        <f>IF('NEW ACCOUNT'!A356="","",'NEW ACCOUNT'!E356)</f>
        <v/>
      </c>
      <c r="F355" s="19">
        <f>IF('NEW ACCOUNT'!A356="","",'NEW ACCOUNT'!F356)</f>
        <v/>
      </c>
      <c r="G355" s="19">
        <f>IF('NEW ACCOUNT'!A356="","",'NEW ACCOUNT'!G356)</f>
        <v/>
      </c>
      <c r="H355" s="19">
        <f>IF('NEW ACCOUNT'!A356="","",'NEW ACCOUNT'!H356)</f>
        <v/>
      </c>
      <c r="I355" s="20">
        <f>IFERROR(IF(A355="","",SUMIF(SAVINGS!$A:$A,A355,SAVINGS!$E:$E)),"")</f>
        <v/>
      </c>
      <c r="J355" s="20">
        <f>IFERROR(IF(A355="","",SUMIF(SAVINGS!$A:$A,A355,SAVINGS!$E:$E)-SUMIF(WITHDRAWALS!$A:$A,A355,WITHDRAWALS!$E:$E)),"")</f>
        <v/>
      </c>
    </row>
    <row r="356" ht="20" customHeight="1">
      <c r="A356" s="21">
        <f>'NEW ACCOUNT'!A357</f>
        <v/>
      </c>
      <c r="B356" s="22">
        <f>IF('NEW ACCOUNT'!A357="","",'NEW ACCOUNT'!B357)</f>
        <v/>
      </c>
      <c r="C356" s="22">
        <f>IF('NEW ACCOUNT'!A357="","",'NEW ACCOUNT'!C357)</f>
        <v/>
      </c>
      <c r="D356" s="22">
        <f>IF('NEW ACCOUNT'!A357="","",'NEW ACCOUNT'!D357)</f>
        <v/>
      </c>
      <c r="E356" s="22">
        <f>IF('NEW ACCOUNT'!A357="","",'NEW ACCOUNT'!E357)</f>
        <v/>
      </c>
      <c r="F356" s="22">
        <f>IF('NEW ACCOUNT'!A357="","",'NEW ACCOUNT'!F357)</f>
        <v/>
      </c>
      <c r="G356" s="22">
        <f>IF('NEW ACCOUNT'!A357="","",'NEW ACCOUNT'!G357)</f>
        <v/>
      </c>
      <c r="H356" s="22">
        <f>IF('NEW ACCOUNT'!A357="","",'NEW ACCOUNT'!H357)</f>
        <v/>
      </c>
      <c r="I356" s="23">
        <f>IFERROR(IF(A356="","",SUMIF(SAVINGS!$A:$A,A356,SAVINGS!$E:$E)),"")</f>
        <v/>
      </c>
      <c r="J356" s="23">
        <f>IFERROR(IF(A356="","",SUMIF(SAVINGS!$A:$A,A356,SAVINGS!$E:$E)-SUMIF(WITHDRAWALS!$A:$A,A356,WITHDRAWALS!$E:$E)),"")</f>
        <v/>
      </c>
    </row>
    <row r="357" ht="20" customHeight="1">
      <c r="A357" s="18">
        <f>'NEW ACCOUNT'!A358</f>
        <v/>
      </c>
      <c r="B357" s="19">
        <f>IF('NEW ACCOUNT'!A358="","",'NEW ACCOUNT'!B358)</f>
        <v/>
      </c>
      <c r="C357" s="19">
        <f>IF('NEW ACCOUNT'!A358="","",'NEW ACCOUNT'!C358)</f>
        <v/>
      </c>
      <c r="D357" s="19">
        <f>IF('NEW ACCOUNT'!A358="","",'NEW ACCOUNT'!D358)</f>
        <v/>
      </c>
      <c r="E357" s="19">
        <f>IF('NEW ACCOUNT'!A358="","",'NEW ACCOUNT'!E358)</f>
        <v/>
      </c>
      <c r="F357" s="19">
        <f>IF('NEW ACCOUNT'!A358="","",'NEW ACCOUNT'!F358)</f>
        <v/>
      </c>
      <c r="G357" s="19">
        <f>IF('NEW ACCOUNT'!A358="","",'NEW ACCOUNT'!G358)</f>
        <v/>
      </c>
      <c r="H357" s="19">
        <f>IF('NEW ACCOUNT'!A358="","",'NEW ACCOUNT'!H358)</f>
        <v/>
      </c>
      <c r="I357" s="20">
        <f>IFERROR(IF(A357="","",SUMIF(SAVINGS!$A:$A,A357,SAVINGS!$E:$E)),"")</f>
        <v/>
      </c>
      <c r="J357" s="20">
        <f>IFERROR(IF(A357="","",SUMIF(SAVINGS!$A:$A,A357,SAVINGS!$E:$E)-SUMIF(WITHDRAWALS!$A:$A,A357,WITHDRAWALS!$E:$E)),"")</f>
        <v/>
      </c>
    </row>
    <row r="358" ht="20" customHeight="1">
      <c r="A358" s="21">
        <f>'NEW ACCOUNT'!A359</f>
        <v/>
      </c>
      <c r="B358" s="22">
        <f>IF('NEW ACCOUNT'!A359="","",'NEW ACCOUNT'!B359)</f>
        <v/>
      </c>
      <c r="C358" s="22">
        <f>IF('NEW ACCOUNT'!A359="","",'NEW ACCOUNT'!C359)</f>
        <v/>
      </c>
      <c r="D358" s="22">
        <f>IF('NEW ACCOUNT'!A359="","",'NEW ACCOUNT'!D359)</f>
        <v/>
      </c>
      <c r="E358" s="22">
        <f>IF('NEW ACCOUNT'!A359="","",'NEW ACCOUNT'!E359)</f>
        <v/>
      </c>
      <c r="F358" s="22">
        <f>IF('NEW ACCOUNT'!A359="","",'NEW ACCOUNT'!F359)</f>
        <v/>
      </c>
      <c r="G358" s="22">
        <f>IF('NEW ACCOUNT'!A359="","",'NEW ACCOUNT'!G359)</f>
        <v/>
      </c>
      <c r="H358" s="22">
        <f>IF('NEW ACCOUNT'!A359="","",'NEW ACCOUNT'!H359)</f>
        <v/>
      </c>
      <c r="I358" s="23">
        <f>IFERROR(IF(A358="","",SUMIF(SAVINGS!$A:$A,A358,SAVINGS!$E:$E)),"")</f>
        <v/>
      </c>
      <c r="J358" s="23">
        <f>IFERROR(IF(A358="","",SUMIF(SAVINGS!$A:$A,A358,SAVINGS!$E:$E)-SUMIF(WITHDRAWALS!$A:$A,A358,WITHDRAWALS!$E:$E)),"")</f>
        <v/>
      </c>
    </row>
    <row r="359" ht="20" customHeight="1">
      <c r="A359" s="18">
        <f>'NEW ACCOUNT'!A360</f>
        <v/>
      </c>
      <c r="B359" s="19">
        <f>IF('NEW ACCOUNT'!A360="","",'NEW ACCOUNT'!B360)</f>
        <v/>
      </c>
      <c r="C359" s="19">
        <f>IF('NEW ACCOUNT'!A360="","",'NEW ACCOUNT'!C360)</f>
        <v/>
      </c>
      <c r="D359" s="19">
        <f>IF('NEW ACCOUNT'!A360="","",'NEW ACCOUNT'!D360)</f>
        <v/>
      </c>
      <c r="E359" s="19">
        <f>IF('NEW ACCOUNT'!A360="","",'NEW ACCOUNT'!E360)</f>
        <v/>
      </c>
      <c r="F359" s="19">
        <f>IF('NEW ACCOUNT'!A360="","",'NEW ACCOUNT'!F360)</f>
        <v/>
      </c>
      <c r="G359" s="19">
        <f>IF('NEW ACCOUNT'!A360="","",'NEW ACCOUNT'!G360)</f>
        <v/>
      </c>
      <c r="H359" s="19">
        <f>IF('NEW ACCOUNT'!A360="","",'NEW ACCOUNT'!H360)</f>
        <v/>
      </c>
      <c r="I359" s="20">
        <f>IFERROR(IF(A359="","",SUMIF(SAVINGS!$A:$A,A359,SAVINGS!$E:$E)),"")</f>
        <v/>
      </c>
      <c r="J359" s="20">
        <f>IFERROR(IF(A359="","",SUMIF(SAVINGS!$A:$A,A359,SAVINGS!$E:$E)-SUMIF(WITHDRAWALS!$A:$A,A359,WITHDRAWALS!$E:$E)),"")</f>
        <v/>
      </c>
    </row>
    <row r="360" ht="20" customHeight="1">
      <c r="A360" s="21">
        <f>'NEW ACCOUNT'!A361</f>
        <v/>
      </c>
      <c r="B360" s="22">
        <f>IF('NEW ACCOUNT'!A361="","",'NEW ACCOUNT'!B361)</f>
        <v/>
      </c>
      <c r="C360" s="22">
        <f>IF('NEW ACCOUNT'!A361="","",'NEW ACCOUNT'!C361)</f>
        <v/>
      </c>
      <c r="D360" s="22">
        <f>IF('NEW ACCOUNT'!A361="","",'NEW ACCOUNT'!D361)</f>
        <v/>
      </c>
      <c r="E360" s="22">
        <f>IF('NEW ACCOUNT'!A361="","",'NEW ACCOUNT'!E361)</f>
        <v/>
      </c>
      <c r="F360" s="22">
        <f>IF('NEW ACCOUNT'!A361="","",'NEW ACCOUNT'!F361)</f>
        <v/>
      </c>
      <c r="G360" s="22">
        <f>IF('NEW ACCOUNT'!A361="","",'NEW ACCOUNT'!G361)</f>
        <v/>
      </c>
      <c r="H360" s="22">
        <f>IF('NEW ACCOUNT'!A361="","",'NEW ACCOUNT'!H361)</f>
        <v/>
      </c>
      <c r="I360" s="23">
        <f>IFERROR(IF(A360="","",SUMIF(SAVINGS!$A:$A,A360,SAVINGS!$E:$E)),"")</f>
        <v/>
      </c>
      <c r="J360" s="23">
        <f>IFERROR(IF(A360="","",SUMIF(SAVINGS!$A:$A,A360,SAVINGS!$E:$E)-SUMIF(WITHDRAWALS!$A:$A,A360,WITHDRAWALS!$E:$E)),"")</f>
        <v/>
      </c>
    </row>
    <row r="361" ht="20" customHeight="1">
      <c r="A361" s="18">
        <f>'NEW ACCOUNT'!A362</f>
        <v/>
      </c>
      <c r="B361" s="19">
        <f>IF('NEW ACCOUNT'!A362="","",'NEW ACCOUNT'!B362)</f>
        <v/>
      </c>
      <c r="C361" s="19">
        <f>IF('NEW ACCOUNT'!A362="","",'NEW ACCOUNT'!C362)</f>
        <v/>
      </c>
      <c r="D361" s="19">
        <f>IF('NEW ACCOUNT'!A362="","",'NEW ACCOUNT'!D362)</f>
        <v/>
      </c>
      <c r="E361" s="19">
        <f>IF('NEW ACCOUNT'!A362="","",'NEW ACCOUNT'!E362)</f>
        <v/>
      </c>
      <c r="F361" s="19">
        <f>IF('NEW ACCOUNT'!A362="","",'NEW ACCOUNT'!F362)</f>
        <v/>
      </c>
      <c r="G361" s="19">
        <f>IF('NEW ACCOUNT'!A362="","",'NEW ACCOUNT'!G362)</f>
        <v/>
      </c>
      <c r="H361" s="19">
        <f>IF('NEW ACCOUNT'!A362="","",'NEW ACCOUNT'!H362)</f>
        <v/>
      </c>
      <c r="I361" s="20">
        <f>IFERROR(IF(A361="","",SUMIF(SAVINGS!$A:$A,A361,SAVINGS!$E:$E)),"")</f>
        <v/>
      </c>
      <c r="J361" s="20">
        <f>IFERROR(IF(A361="","",SUMIF(SAVINGS!$A:$A,A361,SAVINGS!$E:$E)-SUMIF(WITHDRAWALS!$A:$A,A361,WITHDRAWALS!$E:$E)),"")</f>
        <v/>
      </c>
    </row>
    <row r="362" ht="20" customHeight="1">
      <c r="A362" s="21">
        <f>'NEW ACCOUNT'!A363</f>
        <v/>
      </c>
      <c r="B362" s="22">
        <f>IF('NEW ACCOUNT'!A363="","",'NEW ACCOUNT'!B363)</f>
        <v/>
      </c>
      <c r="C362" s="22">
        <f>IF('NEW ACCOUNT'!A363="","",'NEW ACCOUNT'!C363)</f>
        <v/>
      </c>
      <c r="D362" s="22">
        <f>IF('NEW ACCOUNT'!A363="","",'NEW ACCOUNT'!D363)</f>
        <v/>
      </c>
      <c r="E362" s="22">
        <f>IF('NEW ACCOUNT'!A363="","",'NEW ACCOUNT'!E363)</f>
        <v/>
      </c>
      <c r="F362" s="22">
        <f>IF('NEW ACCOUNT'!A363="","",'NEW ACCOUNT'!F363)</f>
        <v/>
      </c>
      <c r="G362" s="22">
        <f>IF('NEW ACCOUNT'!A363="","",'NEW ACCOUNT'!G363)</f>
        <v/>
      </c>
      <c r="H362" s="22">
        <f>IF('NEW ACCOUNT'!A363="","",'NEW ACCOUNT'!H363)</f>
        <v/>
      </c>
      <c r="I362" s="23">
        <f>IFERROR(IF(A362="","",SUMIF(SAVINGS!$A:$A,A362,SAVINGS!$E:$E)),"")</f>
        <v/>
      </c>
      <c r="J362" s="23">
        <f>IFERROR(IF(A362="","",SUMIF(SAVINGS!$A:$A,A362,SAVINGS!$E:$E)-SUMIF(WITHDRAWALS!$A:$A,A362,WITHDRAWALS!$E:$E)),"")</f>
        <v/>
      </c>
    </row>
    <row r="363" ht="20" customHeight="1">
      <c r="A363" s="18">
        <f>'NEW ACCOUNT'!A364</f>
        <v/>
      </c>
      <c r="B363" s="19">
        <f>IF('NEW ACCOUNT'!A364="","",'NEW ACCOUNT'!B364)</f>
        <v/>
      </c>
      <c r="C363" s="19">
        <f>IF('NEW ACCOUNT'!A364="","",'NEW ACCOUNT'!C364)</f>
        <v/>
      </c>
      <c r="D363" s="19">
        <f>IF('NEW ACCOUNT'!A364="","",'NEW ACCOUNT'!D364)</f>
        <v/>
      </c>
      <c r="E363" s="19">
        <f>IF('NEW ACCOUNT'!A364="","",'NEW ACCOUNT'!E364)</f>
        <v/>
      </c>
      <c r="F363" s="19">
        <f>IF('NEW ACCOUNT'!A364="","",'NEW ACCOUNT'!F364)</f>
        <v/>
      </c>
      <c r="G363" s="19">
        <f>IF('NEW ACCOUNT'!A364="","",'NEW ACCOUNT'!G364)</f>
        <v/>
      </c>
      <c r="H363" s="19">
        <f>IF('NEW ACCOUNT'!A364="","",'NEW ACCOUNT'!H364)</f>
        <v/>
      </c>
      <c r="I363" s="20">
        <f>IFERROR(IF(A363="","",SUMIF(SAVINGS!$A:$A,A363,SAVINGS!$E:$E)),"")</f>
        <v/>
      </c>
      <c r="J363" s="20">
        <f>IFERROR(IF(A363="","",SUMIF(SAVINGS!$A:$A,A363,SAVINGS!$E:$E)-SUMIF(WITHDRAWALS!$A:$A,A363,WITHDRAWALS!$E:$E)),"")</f>
        <v/>
      </c>
    </row>
    <row r="364" ht="20" customHeight="1">
      <c r="A364" s="21">
        <f>'NEW ACCOUNT'!A365</f>
        <v/>
      </c>
      <c r="B364" s="22">
        <f>IF('NEW ACCOUNT'!A365="","",'NEW ACCOUNT'!B365)</f>
        <v/>
      </c>
      <c r="C364" s="22">
        <f>IF('NEW ACCOUNT'!A365="","",'NEW ACCOUNT'!C365)</f>
        <v/>
      </c>
      <c r="D364" s="22">
        <f>IF('NEW ACCOUNT'!A365="","",'NEW ACCOUNT'!D365)</f>
        <v/>
      </c>
      <c r="E364" s="22">
        <f>IF('NEW ACCOUNT'!A365="","",'NEW ACCOUNT'!E365)</f>
        <v/>
      </c>
      <c r="F364" s="22">
        <f>IF('NEW ACCOUNT'!A365="","",'NEW ACCOUNT'!F365)</f>
        <v/>
      </c>
      <c r="G364" s="22">
        <f>IF('NEW ACCOUNT'!A365="","",'NEW ACCOUNT'!G365)</f>
        <v/>
      </c>
      <c r="H364" s="22">
        <f>IF('NEW ACCOUNT'!A365="","",'NEW ACCOUNT'!H365)</f>
        <v/>
      </c>
      <c r="I364" s="23">
        <f>IFERROR(IF(A364="","",SUMIF(SAVINGS!$A:$A,A364,SAVINGS!$E:$E)),"")</f>
        <v/>
      </c>
      <c r="J364" s="23">
        <f>IFERROR(IF(A364="","",SUMIF(SAVINGS!$A:$A,A364,SAVINGS!$E:$E)-SUMIF(WITHDRAWALS!$A:$A,A364,WITHDRAWALS!$E:$E)),"")</f>
        <v/>
      </c>
    </row>
    <row r="365" ht="20" customHeight="1">
      <c r="A365" s="18">
        <f>'NEW ACCOUNT'!A366</f>
        <v/>
      </c>
      <c r="B365" s="19">
        <f>IF('NEW ACCOUNT'!A366="","",'NEW ACCOUNT'!B366)</f>
        <v/>
      </c>
      <c r="C365" s="19">
        <f>IF('NEW ACCOUNT'!A366="","",'NEW ACCOUNT'!C366)</f>
        <v/>
      </c>
      <c r="D365" s="19">
        <f>IF('NEW ACCOUNT'!A366="","",'NEW ACCOUNT'!D366)</f>
        <v/>
      </c>
      <c r="E365" s="19">
        <f>IF('NEW ACCOUNT'!A366="","",'NEW ACCOUNT'!E366)</f>
        <v/>
      </c>
      <c r="F365" s="19">
        <f>IF('NEW ACCOUNT'!A366="","",'NEW ACCOUNT'!F366)</f>
        <v/>
      </c>
      <c r="G365" s="19">
        <f>IF('NEW ACCOUNT'!A366="","",'NEW ACCOUNT'!G366)</f>
        <v/>
      </c>
      <c r="H365" s="19">
        <f>IF('NEW ACCOUNT'!A366="","",'NEW ACCOUNT'!H366)</f>
        <v/>
      </c>
      <c r="I365" s="20">
        <f>IFERROR(IF(A365="","",SUMIF(SAVINGS!$A:$A,A365,SAVINGS!$E:$E)),"")</f>
        <v/>
      </c>
      <c r="J365" s="20">
        <f>IFERROR(IF(A365="","",SUMIF(SAVINGS!$A:$A,A365,SAVINGS!$E:$E)-SUMIF(WITHDRAWALS!$A:$A,A365,WITHDRAWALS!$E:$E)),"")</f>
        <v/>
      </c>
    </row>
    <row r="366" ht="20" customHeight="1">
      <c r="A366" s="21">
        <f>'NEW ACCOUNT'!A367</f>
        <v/>
      </c>
      <c r="B366" s="22">
        <f>IF('NEW ACCOUNT'!A367="","",'NEW ACCOUNT'!B367)</f>
        <v/>
      </c>
      <c r="C366" s="22">
        <f>IF('NEW ACCOUNT'!A367="","",'NEW ACCOUNT'!C367)</f>
        <v/>
      </c>
      <c r="D366" s="22">
        <f>IF('NEW ACCOUNT'!A367="","",'NEW ACCOUNT'!D367)</f>
        <v/>
      </c>
      <c r="E366" s="22">
        <f>IF('NEW ACCOUNT'!A367="","",'NEW ACCOUNT'!E367)</f>
        <v/>
      </c>
      <c r="F366" s="22">
        <f>IF('NEW ACCOUNT'!A367="","",'NEW ACCOUNT'!F367)</f>
        <v/>
      </c>
      <c r="G366" s="22">
        <f>IF('NEW ACCOUNT'!A367="","",'NEW ACCOUNT'!G367)</f>
        <v/>
      </c>
      <c r="H366" s="22">
        <f>IF('NEW ACCOUNT'!A367="","",'NEW ACCOUNT'!H367)</f>
        <v/>
      </c>
      <c r="I366" s="23">
        <f>IFERROR(IF(A366="","",SUMIF(SAVINGS!$A:$A,A366,SAVINGS!$E:$E)),"")</f>
        <v/>
      </c>
      <c r="J366" s="23">
        <f>IFERROR(IF(A366="","",SUMIF(SAVINGS!$A:$A,A366,SAVINGS!$E:$E)-SUMIF(WITHDRAWALS!$A:$A,A366,WITHDRAWALS!$E:$E)),"")</f>
        <v/>
      </c>
    </row>
    <row r="367" ht="20" customHeight="1">
      <c r="A367" s="18">
        <f>'NEW ACCOUNT'!A368</f>
        <v/>
      </c>
      <c r="B367" s="19">
        <f>IF('NEW ACCOUNT'!A368="","",'NEW ACCOUNT'!B368)</f>
        <v/>
      </c>
      <c r="C367" s="19">
        <f>IF('NEW ACCOUNT'!A368="","",'NEW ACCOUNT'!C368)</f>
        <v/>
      </c>
      <c r="D367" s="19">
        <f>IF('NEW ACCOUNT'!A368="","",'NEW ACCOUNT'!D368)</f>
        <v/>
      </c>
      <c r="E367" s="19">
        <f>IF('NEW ACCOUNT'!A368="","",'NEW ACCOUNT'!E368)</f>
        <v/>
      </c>
      <c r="F367" s="19">
        <f>IF('NEW ACCOUNT'!A368="","",'NEW ACCOUNT'!F368)</f>
        <v/>
      </c>
      <c r="G367" s="19">
        <f>IF('NEW ACCOUNT'!A368="","",'NEW ACCOUNT'!G368)</f>
        <v/>
      </c>
      <c r="H367" s="19">
        <f>IF('NEW ACCOUNT'!A368="","",'NEW ACCOUNT'!H368)</f>
        <v/>
      </c>
      <c r="I367" s="20">
        <f>IFERROR(IF(A367="","",SUMIF(SAVINGS!$A:$A,A367,SAVINGS!$E:$E)),"")</f>
        <v/>
      </c>
      <c r="J367" s="20">
        <f>IFERROR(IF(A367="","",SUMIF(SAVINGS!$A:$A,A367,SAVINGS!$E:$E)-SUMIF(WITHDRAWALS!$A:$A,A367,WITHDRAWALS!$E:$E)),"")</f>
        <v/>
      </c>
    </row>
    <row r="368" ht="20" customHeight="1">
      <c r="A368" s="21">
        <f>'NEW ACCOUNT'!A369</f>
        <v/>
      </c>
      <c r="B368" s="22">
        <f>IF('NEW ACCOUNT'!A369="","",'NEW ACCOUNT'!B369)</f>
        <v/>
      </c>
      <c r="C368" s="22">
        <f>IF('NEW ACCOUNT'!A369="","",'NEW ACCOUNT'!C369)</f>
        <v/>
      </c>
      <c r="D368" s="22">
        <f>IF('NEW ACCOUNT'!A369="","",'NEW ACCOUNT'!D369)</f>
        <v/>
      </c>
      <c r="E368" s="22">
        <f>IF('NEW ACCOUNT'!A369="","",'NEW ACCOUNT'!E369)</f>
        <v/>
      </c>
      <c r="F368" s="22">
        <f>IF('NEW ACCOUNT'!A369="","",'NEW ACCOUNT'!F369)</f>
        <v/>
      </c>
      <c r="G368" s="22">
        <f>IF('NEW ACCOUNT'!A369="","",'NEW ACCOUNT'!G369)</f>
        <v/>
      </c>
      <c r="H368" s="22">
        <f>IF('NEW ACCOUNT'!A369="","",'NEW ACCOUNT'!H369)</f>
        <v/>
      </c>
      <c r="I368" s="23">
        <f>IFERROR(IF(A368="","",SUMIF(SAVINGS!$A:$A,A368,SAVINGS!$E:$E)),"")</f>
        <v/>
      </c>
      <c r="J368" s="23">
        <f>IFERROR(IF(A368="","",SUMIF(SAVINGS!$A:$A,A368,SAVINGS!$E:$E)-SUMIF(WITHDRAWALS!$A:$A,A368,WITHDRAWALS!$E:$E)),"")</f>
        <v/>
      </c>
    </row>
    <row r="369" ht="20" customHeight="1">
      <c r="A369" s="18">
        <f>'NEW ACCOUNT'!A370</f>
        <v/>
      </c>
      <c r="B369" s="19">
        <f>IF('NEW ACCOUNT'!A370="","",'NEW ACCOUNT'!B370)</f>
        <v/>
      </c>
      <c r="C369" s="19">
        <f>IF('NEW ACCOUNT'!A370="","",'NEW ACCOUNT'!C370)</f>
        <v/>
      </c>
      <c r="D369" s="19">
        <f>IF('NEW ACCOUNT'!A370="","",'NEW ACCOUNT'!D370)</f>
        <v/>
      </c>
      <c r="E369" s="19">
        <f>IF('NEW ACCOUNT'!A370="","",'NEW ACCOUNT'!E370)</f>
        <v/>
      </c>
      <c r="F369" s="19">
        <f>IF('NEW ACCOUNT'!A370="","",'NEW ACCOUNT'!F370)</f>
        <v/>
      </c>
      <c r="G369" s="19">
        <f>IF('NEW ACCOUNT'!A370="","",'NEW ACCOUNT'!G370)</f>
        <v/>
      </c>
      <c r="H369" s="19">
        <f>IF('NEW ACCOUNT'!A370="","",'NEW ACCOUNT'!H370)</f>
        <v/>
      </c>
      <c r="I369" s="20">
        <f>IFERROR(IF(A369="","",SUMIF(SAVINGS!$A:$A,A369,SAVINGS!$E:$E)),"")</f>
        <v/>
      </c>
      <c r="J369" s="20">
        <f>IFERROR(IF(A369="","",SUMIF(SAVINGS!$A:$A,A369,SAVINGS!$E:$E)-SUMIF(WITHDRAWALS!$A:$A,A369,WITHDRAWALS!$E:$E)),"")</f>
        <v/>
      </c>
    </row>
    <row r="370" ht="20" customHeight="1">
      <c r="A370" s="21">
        <f>'NEW ACCOUNT'!A371</f>
        <v/>
      </c>
      <c r="B370" s="22">
        <f>IF('NEW ACCOUNT'!A371="","",'NEW ACCOUNT'!B371)</f>
        <v/>
      </c>
      <c r="C370" s="22">
        <f>IF('NEW ACCOUNT'!A371="","",'NEW ACCOUNT'!C371)</f>
        <v/>
      </c>
      <c r="D370" s="22">
        <f>IF('NEW ACCOUNT'!A371="","",'NEW ACCOUNT'!D371)</f>
        <v/>
      </c>
      <c r="E370" s="22">
        <f>IF('NEW ACCOUNT'!A371="","",'NEW ACCOUNT'!E371)</f>
        <v/>
      </c>
      <c r="F370" s="22">
        <f>IF('NEW ACCOUNT'!A371="","",'NEW ACCOUNT'!F371)</f>
        <v/>
      </c>
      <c r="G370" s="22">
        <f>IF('NEW ACCOUNT'!A371="","",'NEW ACCOUNT'!G371)</f>
        <v/>
      </c>
      <c r="H370" s="22">
        <f>IF('NEW ACCOUNT'!A371="","",'NEW ACCOUNT'!H371)</f>
        <v/>
      </c>
      <c r="I370" s="23">
        <f>IFERROR(IF(A370="","",SUMIF(SAVINGS!$A:$A,A370,SAVINGS!$E:$E)),"")</f>
        <v/>
      </c>
      <c r="J370" s="23">
        <f>IFERROR(IF(A370="","",SUMIF(SAVINGS!$A:$A,A370,SAVINGS!$E:$E)-SUMIF(WITHDRAWALS!$A:$A,A370,WITHDRAWALS!$E:$E)),"")</f>
        <v/>
      </c>
    </row>
    <row r="371" ht="20" customHeight="1">
      <c r="A371" s="18">
        <f>'NEW ACCOUNT'!A372</f>
        <v/>
      </c>
      <c r="B371" s="19">
        <f>IF('NEW ACCOUNT'!A372="","",'NEW ACCOUNT'!B372)</f>
        <v/>
      </c>
      <c r="C371" s="19">
        <f>IF('NEW ACCOUNT'!A372="","",'NEW ACCOUNT'!C372)</f>
        <v/>
      </c>
      <c r="D371" s="19">
        <f>IF('NEW ACCOUNT'!A372="","",'NEW ACCOUNT'!D372)</f>
        <v/>
      </c>
      <c r="E371" s="19">
        <f>IF('NEW ACCOUNT'!A372="","",'NEW ACCOUNT'!E372)</f>
        <v/>
      </c>
      <c r="F371" s="19">
        <f>IF('NEW ACCOUNT'!A372="","",'NEW ACCOUNT'!F372)</f>
        <v/>
      </c>
      <c r="G371" s="19">
        <f>IF('NEW ACCOUNT'!A372="","",'NEW ACCOUNT'!G372)</f>
        <v/>
      </c>
      <c r="H371" s="19">
        <f>IF('NEW ACCOUNT'!A372="","",'NEW ACCOUNT'!H372)</f>
        <v/>
      </c>
      <c r="I371" s="20">
        <f>IFERROR(IF(A371="","",SUMIF(SAVINGS!$A:$A,A371,SAVINGS!$E:$E)),"")</f>
        <v/>
      </c>
      <c r="J371" s="20">
        <f>IFERROR(IF(A371="","",SUMIF(SAVINGS!$A:$A,A371,SAVINGS!$E:$E)-SUMIF(WITHDRAWALS!$A:$A,A371,WITHDRAWALS!$E:$E)),"")</f>
        <v/>
      </c>
    </row>
    <row r="372" ht="20" customHeight="1">
      <c r="A372" s="21">
        <f>'NEW ACCOUNT'!A373</f>
        <v/>
      </c>
      <c r="B372" s="22">
        <f>IF('NEW ACCOUNT'!A373="","",'NEW ACCOUNT'!B373)</f>
        <v/>
      </c>
      <c r="C372" s="22">
        <f>IF('NEW ACCOUNT'!A373="","",'NEW ACCOUNT'!C373)</f>
        <v/>
      </c>
      <c r="D372" s="22">
        <f>IF('NEW ACCOUNT'!A373="","",'NEW ACCOUNT'!D373)</f>
        <v/>
      </c>
      <c r="E372" s="22">
        <f>IF('NEW ACCOUNT'!A373="","",'NEW ACCOUNT'!E373)</f>
        <v/>
      </c>
      <c r="F372" s="22">
        <f>IF('NEW ACCOUNT'!A373="","",'NEW ACCOUNT'!F373)</f>
        <v/>
      </c>
      <c r="G372" s="22">
        <f>IF('NEW ACCOUNT'!A373="","",'NEW ACCOUNT'!G373)</f>
        <v/>
      </c>
      <c r="H372" s="22">
        <f>IF('NEW ACCOUNT'!A373="","",'NEW ACCOUNT'!H373)</f>
        <v/>
      </c>
      <c r="I372" s="23">
        <f>IFERROR(IF(A372="","",SUMIF(SAVINGS!$A:$A,A372,SAVINGS!$E:$E)),"")</f>
        <v/>
      </c>
      <c r="J372" s="23">
        <f>IFERROR(IF(A372="","",SUMIF(SAVINGS!$A:$A,A372,SAVINGS!$E:$E)-SUMIF(WITHDRAWALS!$A:$A,A372,WITHDRAWALS!$E:$E)),"")</f>
        <v/>
      </c>
    </row>
    <row r="373" ht="20" customHeight="1">
      <c r="A373" s="18">
        <f>'NEW ACCOUNT'!A374</f>
        <v/>
      </c>
      <c r="B373" s="19">
        <f>IF('NEW ACCOUNT'!A374="","",'NEW ACCOUNT'!B374)</f>
        <v/>
      </c>
      <c r="C373" s="19">
        <f>IF('NEW ACCOUNT'!A374="","",'NEW ACCOUNT'!C374)</f>
        <v/>
      </c>
      <c r="D373" s="19">
        <f>IF('NEW ACCOUNT'!A374="","",'NEW ACCOUNT'!D374)</f>
        <v/>
      </c>
      <c r="E373" s="19">
        <f>IF('NEW ACCOUNT'!A374="","",'NEW ACCOUNT'!E374)</f>
        <v/>
      </c>
      <c r="F373" s="19">
        <f>IF('NEW ACCOUNT'!A374="","",'NEW ACCOUNT'!F374)</f>
        <v/>
      </c>
      <c r="G373" s="19">
        <f>IF('NEW ACCOUNT'!A374="","",'NEW ACCOUNT'!G374)</f>
        <v/>
      </c>
      <c r="H373" s="19">
        <f>IF('NEW ACCOUNT'!A374="","",'NEW ACCOUNT'!H374)</f>
        <v/>
      </c>
      <c r="I373" s="20">
        <f>IFERROR(IF(A373="","",SUMIF(SAVINGS!$A:$A,A373,SAVINGS!$E:$E)),"")</f>
        <v/>
      </c>
      <c r="J373" s="20">
        <f>IFERROR(IF(A373="","",SUMIF(SAVINGS!$A:$A,A373,SAVINGS!$E:$E)-SUMIF(WITHDRAWALS!$A:$A,A373,WITHDRAWALS!$E:$E)),"")</f>
        <v/>
      </c>
    </row>
    <row r="374" ht="20" customHeight="1">
      <c r="A374" s="21">
        <f>'NEW ACCOUNT'!A375</f>
        <v/>
      </c>
      <c r="B374" s="22">
        <f>IF('NEW ACCOUNT'!A375="","",'NEW ACCOUNT'!B375)</f>
        <v/>
      </c>
      <c r="C374" s="22">
        <f>IF('NEW ACCOUNT'!A375="","",'NEW ACCOUNT'!C375)</f>
        <v/>
      </c>
      <c r="D374" s="22">
        <f>IF('NEW ACCOUNT'!A375="","",'NEW ACCOUNT'!D375)</f>
        <v/>
      </c>
      <c r="E374" s="22">
        <f>IF('NEW ACCOUNT'!A375="","",'NEW ACCOUNT'!E375)</f>
        <v/>
      </c>
      <c r="F374" s="22">
        <f>IF('NEW ACCOUNT'!A375="","",'NEW ACCOUNT'!F375)</f>
        <v/>
      </c>
      <c r="G374" s="22">
        <f>IF('NEW ACCOUNT'!A375="","",'NEW ACCOUNT'!G375)</f>
        <v/>
      </c>
      <c r="H374" s="22">
        <f>IF('NEW ACCOUNT'!A375="","",'NEW ACCOUNT'!H375)</f>
        <v/>
      </c>
      <c r="I374" s="23">
        <f>IFERROR(IF(A374="","",SUMIF(SAVINGS!$A:$A,A374,SAVINGS!$E:$E)),"")</f>
        <v/>
      </c>
      <c r="J374" s="23">
        <f>IFERROR(IF(A374="","",SUMIF(SAVINGS!$A:$A,A374,SAVINGS!$E:$E)-SUMIF(WITHDRAWALS!$A:$A,A374,WITHDRAWALS!$E:$E)),"")</f>
        <v/>
      </c>
    </row>
    <row r="375" ht="20" customHeight="1">
      <c r="A375" s="18">
        <f>'NEW ACCOUNT'!A376</f>
        <v/>
      </c>
      <c r="B375" s="19">
        <f>IF('NEW ACCOUNT'!A376="","",'NEW ACCOUNT'!B376)</f>
        <v/>
      </c>
      <c r="C375" s="19">
        <f>IF('NEW ACCOUNT'!A376="","",'NEW ACCOUNT'!C376)</f>
        <v/>
      </c>
      <c r="D375" s="19">
        <f>IF('NEW ACCOUNT'!A376="","",'NEW ACCOUNT'!D376)</f>
        <v/>
      </c>
      <c r="E375" s="19">
        <f>IF('NEW ACCOUNT'!A376="","",'NEW ACCOUNT'!E376)</f>
        <v/>
      </c>
      <c r="F375" s="19">
        <f>IF('NEW ACCOUNT'!A376="","",'NEW ACCOUNT'!F376)</f>
        <v/>
      </c>
      <c r="G375" s="19">
        <f>IF('NEW ACCOUNT'!A376="","",'NEW ACCOUNT'!G376)</f>
        <v/>
      </c>
      <c r="H375" s="19">
        <f>IF('NEW ACCOUNT'!A376="","",'NEW ACCOUNT'!H376)</f>
        <v/>
      </c>
      <c r="I375" s="20">
        <f>IFERROR(IF(A375="","",SUMIF(SAVINGS!$A:$A,A375,SAVINGS!$E:$E)),"")</f>
        <v/>
      </c>
      <c r="J375" s="20">
        <f>IFERROR(IF(A375="","",SUMIF(SAVINGS!$A:$A,A375,SAVINGS!$E:$E)-SUMIF(WITHDRAWALS!$A:$A,A375,WITHDRAWALS!$E:$E)),"")</f>
        <v/>
      </c>
    </row>
    <row r="376" ht="20" customHeight="1">
      <c r="A376" s="21">
        <f>'NEW ACCOUNT'!A377</f>
        <v/>
      </c>
      <c r="B376" s="22">
        <f>IF('NEW ACCOUNT'!A377="","",'NEW ACCOUNT'!B377)</f>
        <v/>
      </c>
      <c r="C376" s="22">
        <f>IF('NEW ACCOUNT'!A377="","",'NEW ACCOUNT'!C377)</f>
        <v/>
      </c>
      <c r="D376" s="22">
        <f>IF('NEW ACCOUNT'!A377="","",'NEW ACCOUNT'!D377)</f>
        <v/>
      </c>
      <c r="E376" s="22">
        <f>IF('NEW ACCOUNT'!A377="","",'NEW ACCOUNT'!E377)</f>
        <v/>
      </c>
      <c r="F376" s="22">
        <f>IF('NEW ACCOUNT'!A377="","",'NEW ACCOUNT'!F377)</f>
        <v/>
      </c>
      <c r="G376" s="22">
        <f>IF('NEW ACCOUNT'!A377="","",'NEW ACCOUNT'!G377)</f>
        <v/>
      </c>
      <c r="H376" s="22">
        <f>IF('NEW ACCOUNT'!A377="","",'NEW ACCOUNT'!H377)</f>
        <v/>
      </c>
      <c r="I376" s="23">
        <f>IFERROR(IF(A376="","",SUMIF(SAVINGS!$A:$A,A376,SAVINGS!$E:$E)),"")</f>
        <v/>
      </c>
      <c r="J376" s="23">
        <f>IFERROR(IF(A376="","",SUMIF(SAVINGS!$A:$A,A376,SAVINGS!$E:$E)-SUMIF(WITHDRAWALS!$A:$A,A376,WITHDRAWALS!$E:$E)),"")</f>
        <v/>
      </c>
    </row>
    <row r="377" ht="20" customHeight="1">
      <c r="A377" s="18">
        <f>'NEW ACCOUNT'!A378</f>
        <v/>
      </c>
      <c r="B377" s="19">
        <f>IF('NEW ACCOUNT'!A378="","",'NEW ACCOUNT'!B378)</f>
        <v/>
      </c>
      <c r="C377" s="19">
        <f>IF('NEW ACCOUNT'!A378="","",'NEW ACCOUNT'!C378)</f>
        <v/>
      </c>
      <c r="D377" s="19">
        <f>IF('NEW ACCOUNT'!A378="","",'NEW ACCOUNT'!D378)</f>
        <v/>
      </c>
      <c r="E377" s="19">
        <f>IF('NEW ACCOUNT'!A378="","",'NEW ACCOUNT'!E378)</f>
        <v/>
      </c>
      <c r="F377" s="19">
        <f>IF('NEW ACCOUNT'!A378="","",'NEW ACCOUNT'!F378)</f>
        <v/>
      </c>
      <c r="G377" s="19">
        <f>IF('NEW ACCOUNT'!A378="","",'NEW ACCOUNT'!G378)</f>
        <v/>
      </c>
      <c r="H377" s="19">
        <f>IF('NEW ACCOUNT'!A378="","",'NEW ACCOUNT'!H378)</f>
        <v/>
      </c>
      <c r="I377" s="20">
        <f>IFERROR(IF(A377="","",SUMIF(SAVINGS!$A:$A,A377,SAVINGS!$E:$E)),"")</f>
        <v/>
      </c>
      <c r="J377" s="20">
        <f>IFERROR(IF(A377="","",SUMIF(SAVINGS!$A:$A,A377,SAVINGS!$E:$E)-SUMIF(WITHDRAWALS!$A:$A,A377,WITHDRAWALS!$E:$E)),"")</f>
        <v/>
      </c>
    </row>
    <row r="378" ht="20" customHeight="1">
      <c r="A378" s="21">
        <f>'NEW ACCOUNT'!A379</f>
        <v/>
      </c>
      <c r="B378" s="22">
        <f>IF('NEW ACCOUNT'!A379="","",'NEW ACCOUNT'!B379)</f>
        <v/>
      </c>
      <c r="C378" s="22">
        <f>IF('NEW ACCOUNT'!A379="","",'NEW ACCOUNT'!C379)</f>
        <v/>
      </c>
      <c r="D378" s="22">
        <f>IF('NEW ACCOUNT'!A379="","",'NEW ACCOUNT'!D379)</f>
        <v/>
      </c>
      <c r="E378" s="22">
        <f>IF('NEW ACCOUNT'!A379="","",'NEW ACCOUNT'!E379)</f>
        <v/>
      </c>
      <c r="F378" s="22">
        <f>IF('NEW ACCOUNT'!A379="","",'NEW ACCOUNT'!F379)</f>
        <v/>
      </c>
      <c r="G378" s="22">
        <f>IF('NEW ACCOUNT'!A379="","",'NEW ACCOUNT'!G379)</f>
        <v/>
      </c>
      <c r="H378" s="22">
        <f>IF('NEW ACCOUNT'!A379="","",'NEW ACCOUNT'!H379)</f>
        <v/>
      </c>
      <c r="I378" s="23">
        <f>IFERROR(IF(A378="","",SUMIF(SAVINGS!$A:$A,A378,SAVINGS!$E:$E)),"")</f>
        <v/>
      </c>
      <c r="J378" s="23">
        <f>IFERROR(IF(A378="","",SUMIF(SAVINGS!$A:$A,A378,SAVINGS!$E:$E)-SUMIF(WITHDRAWALS!$A:$A,A378,WITHDRAWALS!$E:$E)),"")</f>
        <v/>
      </c>
    </row>
    <row r="379" ht="20" customHeight="1">
      <c r="A379" s="18">
        <f>'NEW ACCOUNT'!A380</f>
        <v/>
      </c>
      <c r="B379" s="19">
        <f>IF('NEW ACCOUNT'!A380="","",'NEW ACCOUNT'!B380)</f>
        <v/>
      </c>
      <c r="C379" s="19">
        <f>IF('NEW ACCOUNT'!A380="","",'NEW ACCOUNT'!C380)</f>
        <v/>
      </c>
      <c r="D379" s="19">
        <f>IF('NEW ACCOUNT'!A380="","",'NEW ACCOUNT'!D380)</f>
        <v/>
      </c>
      <c r="E379" s="19">
        <f>IF('NEW ACCOUNT'!A380="","",'NEW ACCOUNT'!E380)</f>
        <v/>
      </c>
      <c r="F379" s="19">
        <f>IF('NEW ACCOUNT'!A380="","",'NEW ACCOUNT'!F380)</f>
        <v/>
      </c>
      <c r="G379" s="19">
        <f>IF('NEW ACCOUNT'!A380="","",'NEW ACCOUNT'!G380)</f>
        <v/>
      </c>
      <c r="H379" s="19">
        <f>IF('NEW ACCOUNT'!A380="","",'NEW ACCOUNT'!H380)</f>
        <v/>
      </c>
      <c r="I379" s="20">
        <f>IFERROR(IF(A379="","",SUMIF(SAVINGS!$A:$A,A379,SAVINGS!$E:$E)),"")</f>
        <v/>
      </c>
      <c r="J379" s="20">
        <f>IFERROR(IF(A379="","",SUMIF(SAVINGS!$A:$A,A379,SAVINGS!$E:$E)-SUMIF(WITHDRAWALS!$A:$A,A379,WITHDRAWALS!$E:$E)),"")</f>
        <v/>
      </c>
    </row>
    <row r="380" ht="20" customHeight="1">
      <c r="A380" s="21">
        <f>'NEW ACCOUNT'!A381</f>
        <v/>
      </c>
      <c r="B380" s="22">
        <f>IF('NEW ACCOUNT'!A381="","",'NEW ACCOUNT'!B381)</f>
        <v/>
      </c>
      <c r="C380" s="22">
        <f>IF('NEW ACCOUNT'!A381="","",'NEW ACCOUNT'!C381)</f>
        <v/>
      </c>
      <c r="D380" s="22">
        <f>IF('NEW ACCOUNT'!A381="","",'NEW ACCOUNT'!D381)</f>
        <v/>
      </c>
      <c r="E380" s="22">
        <f>IF('NEW ACCOUNT'!A381="","",'NEW ACCOUNT'!E381)</f>
        <v/>
      </c>
      <c r="F380" s="22">
        <f>IF('NEW ACCOUNT'!A381="","",'NEW ACCOUNT'!F381)</f>
        <v/>
      </c>
      <c r="G380" s="22">
        <f>IF('NEW ACCOUNT'!A381="","",'NEW ACCOUNT'!G381)</f>
        <v/>
      </c>
      <c r="H380" s="22">
        <f>IF('NEW ACCOUNT'!A381="","",'NEW ACCOUNT'!H381)</f>
        <v/>
      </c>
      <c r="I380" s="23">
        <f>IFERROR(IF(A380="","",SUMIF(SAVINGS!$A:$A,A380,SAVINGS!$E:$E)),"")</f>
        <v/>
      </c>
      <c r="J380" s="23">
        <f>IFERROR(IF(A380="","",SUMIF(SAVINGS!$A:$A,A380,SAVINGS!$E:$E)-SUMIF(WITHDRAWALS!$A:$A,A380,WITHDRAWALS!$E:$E)),"")</f>
        <v/>
      </c>
    </row>
    <row r="381" ht="20" customHeight="1">
      <c r="A381" s="18">
        <f>'NEW ACCOUNT'!A382</f>
        <v/>
      </c>
      <c r="B381" s="19">
        <f>IF('NEW ACCOUNT'!A382="","",'NEW ACCOUNT'!B382)</f>
        <v/>
      </c>
      <c r="C381" s="19">
        <f>IF('NEW ACCOUNT'!A382="","",'NEW ACCOUNT'!C382)</f>
        <v/>
      </c>
      <c r="D381" s="19">
        <f>IF('NEW ACCOUNT'!A382="","",'NEW ACCOUNT'!D382)</f>
        <v/>
      </c>
      <c r="E381" s="19">
        <f>IF('NEW ACCOUNT'!A382="","",'NEW ACCOUNT'!E382)</f>
        <v/>
      </c>
      <c r="F381" s="19">
        <f>IF('NEW ACCOUNT'!A382="","",'NEW ACCOUNT'!F382)</f>
        <v/>
      </c>
      <c r="G381" s="19">
        <f>IF('NEW ACCOUNT'!A382="","",'NEW ACCOUNT'!G382)</f>
        <v/>
      </c>
      <c r="H381" s="19">
        <f>IF('NEW ACCOUNT'!A382="","",'NEW ACCOUNT'!H382)</f>
        <v/>
      </c>
      <c r="I381" s="20">
        <f>IFERROR(IF(A381="","",SUMIF(SAVINGS!$A:$A,A381,SAVINGS!$E:$E)),"")</f>
        <v/>
      </c>
      <c r="J381" s="20">
        <f>IFERROR(IF(A381="","",SUMIF(SAVINGS!$A:$A,A381,SAVINGS!$E:$E)-SUMIF(WITHDRAWALS!$A:$A,A381,WITHDRAWALS!$E:$E)),"")</f>
        <v/>
      </c>
    </row>
    <row r="382" ht="20" customHeight="1">
      <c r="A382" s="21">
        <f>'NEW ACCOUNT'!A383</f>
        <v/>
      </c>
      <c r="B382" s="22">
        <f>IF('NEW ACCOUNT'!A383="","",'NEW ACCOUNT'!B383)</f>
        <v/>
      </c>
      <c r="C382" s="22">
        <f>IF('NEW ACCOUNT'!A383="","",'NEW ACCOUNT'!C383)</f>
        <v/>
      </c>
      <c r="D382" s="22">
        <f>IF('NEW ACCOUNT'!A383="","",'NEW ACCOUNT'!D383)</f>
        <v/>
      </c>
      <c r="E382" s="22">
        <f>IF('NEW ACCOUNT'!A383="","",'NEW ACCOUNT'!E383)</f>
        <v/>
      </c>
      <c r="F382" s="22">
        <f>IF('NEW ACCOUNT'!A383="","",'NEW ACCOUNT'!F383)</f>
        <v/>
      </c>
      <c r="G382" s="22">
        <f>IF('NEW ACCOUNT'!A383="","",'NEW ACCOUNT'!G383)</f>
        <v/>
      </c>
      <c r="H382" s="22">
        <f>IF('NEW ACCOUNT'!A383="","",'NEW ACCOUNT'!H383)</f>
        <v/>
      </c>
      <c r="I382" s="23">
        <f>IFERROR(IF(A382="","",SUMIF(SAVINGS!$A:$A,A382,SAVINGS!$E:$E)),"")</f>
        <v/>
      </c>
      <c r="J382" s="23">
        <f>IFERROR(IF(A382="","",SUMIF(SAVINGS!$A:$A,A382,SAVINGS!$E:$E)-SUMIF(WITHDRAWALS!$A:$A,A382,WITHDRAWALS!$E:$E)),"")</f>
        <v/>
      </c>
    </row>
    <row r="383" ht="20" customHeight="1">
      <c r="A383" s="18">
        <f>'NEW ACCOUNT'!A384</f>
        <v/>
      </c>
      <c r="B383" s="19">
        <f>IF('NEW ACCOUNT'!A384="","",'NEW ACCOUNT'!B384)</f>
        <v/>
      </c>
      <c r="C383" s="19">
        <f>IF('NEW ACCOUNT'!A384="","",'NEW ACCOUNT'!C384)</f>
        <v/>
      </c>
      <c r="D383" s="19">
        <f>IF('NEW ACCOUNT'!A384="","",'NEW ACCOUNT'!D384)</f>
        <v/>
      </c>
      <c r="E383" s="19">
        <f>IF('NEW ACCOUNT'!A384="","",'NEW ACCOUNT'!E384)</f>
        <v/>
      </c>
      <c r="F383" s="19">
        <f>IF('NEW ACCOUNT'!A384="","",'NEW ACCOUNT'!F384)</f>
        <v/>
      </c>
      <c r="G383" s="19">
        <f>IF('NEW ACCOUNT'!A384="","",'NEW ACCOUNT'!G384)</f>
        <v/>
      </c>
      <c r="H383" s="19">
        <f>IF('NEW ACCOUNT'!A384="","",'NEW ACCOUNT'!H384)</f>
        <v/>
      </c>
      <c r="I383" s="20">
        <f>IFERROR(IF(A383="","",SUMIF(SAVINGS!$A:$A,A383,SAVINGS!$E:$E)),"")</f>
        <v/>
      </c>
      <c r="J383" s="20">
        <f>IFERROR(IF(A383="","",SUMIF(SAVINGS!$A:$A,A383,SAVINGS!$E:$E)-SUMIF(WITHDRAWALS!$A:$A,A383,WITHDRAWALS!$E:$E)),"")</f>
        <v/>
      </c>
    </row>
    <row r="384" ht="20" customHeight="1">
      <c r="A384" s="21">
        <f>'NEW ACCOUNT'!A385</f>
        <v/>
      </c>
      <c r="B384" s="22">
        <f>IF('NEW ACCOUNT'!A385="","",'NEW ACCOUNT'!B385)</f>
        <v/>
      </c>
      <c r="C384" s="22">
        <f>IF('NEW ACCOUNT'!A385="","",'NEW ACCOUNT'!C385)</f>
        <v/>
      </c>
      <c r="D384" s="22">
        <f>IF('NEW ACCOUNT'!A385="","",'NEW ACCOUNT'!D385)</f>
        <v/>
      </c>
      <c r="E384" s="22">
        <f>IF('NEW ACCOUNT'!A385="","",'NEW ACCOUNT'!E385)</f>
        <v/>
      </c>
      <c r="F384" s="22">
        <f>IF('NEW ACCOUNT'!A385="","",'NEW ACCOUNT'!F385)</f>
        <v/>
      </c>
      <c r="G384" s="22">
        <f>IF('NEW ACCOUNT'!A385="","",'NEW ACCOUNT'!G385)</f>
        <v/>
      </c>
      <c r="H384" s="22">
        <f>IF('NEW ACCOUNT'!A385="","",'NEW ACCOUNT'!H385)</f>
        <v/>
      </c>
      <c r="I384" s="23">
        <f>IFERROR(IF(A384="","",SUMIF(SAVINGS!$A:$A,A384,SAVINGS!$E:$E)),"")</f>
        <v/>
      </c>
      <c r="J384" s="23">
        <f>IFERROR(IF(A384="","",SUMIF(SAVINGS!$A:$A,A384,SAVINGS!$E:$E)-SUMIF(WITHDRAWALS!$A:$A,A384,WITHDRAWALS!$E:$E)),"")</f>
        <v/>
      </c>
    </row>
    <row r="385" ht="20" customHeight="1">
      <c r="A385" s="18">
        <f>'NEW ACCOUNT'!A386</f>
        <v/>
      </c>
      <c r="B385" s="19">
        <f>IF('NEW ACCOUNT'!A386="","",'NEW ACCOUNT'!B386)</f>
        <v/>
      </c>
      <c r="C385" s="19">
        <f>IF('NEW ACCOUNT'!A386="","",'NEW ACCOUNT'!C386)</f>
        <v/>
      </c>
      <c r="D385" s="19">
        <f>IF('NEW ACCOUNT'!A386="","",'NEW ACCOUNT'!D386)</f>
        <v/>
      </c>
      <c r="E385" s="19">
        <f>IF('NEW ACCOUNT'!A386="","",'NEW ACCOUNT'!E386)</f>
        <v/>
      </c>
      <c r="F385" s="19">
        <f>IF('NEW ACCOUNT'!A386="","",'NEW ACCOUNT'!F386)</f>
        <v/>
      </c>
      <c r="G385" s="19">
        <f>IF('NEW ACCOUNT'!A386="","",'NEW ACCOUNT'!G386)</f>
        <v/>
      </c>
      <c r="H385" s="19">
        <f>IF('NEW ACCOUNT'!A386="","",'NEW ACCOUNT'!H386)</f>
        <v/>
      </c>
      <c r="I385" s="20">
        <f>IFERROR(IF(A385="","",SUMIF(SAVINGS!$A:$A,A385,SAVINGS!$E:$E)),"")</f>
        <v/>
      </c>
      <c r="J385" s="20">
        <f>IFERROR(IF(A385="","",SUMIF(SAVINGS!$A:$A,A385,SAVINGS!$E:$E)-SUMIF(WITHDRAWALS!$A:$A,A385,WITHDRAWALS!$E:$E)),"")</f>
        <v/>
      </c>
    </row>
    <row r="386" ht="20" customHeight="1">
      <c r="A386" s="21">
        <f>'NEW ACCOUNT'!A387</f>
        <v/>
      </c>
      <c r="B386" s="22">
        <f>IF('NEW ACCOUNT'!A387="","",'NEW ACCOUNT'!B387)</f>
        <v/>
      </c>
      <c r="C386" s="22">
        <f>IF('NEW ACCOUNT'!A387="","",'NEW ACCOUNT'!C387)</f>
        <v/>
      </c>
      <c r="D386" s="22">
        <f>IF('NEW ACCOUNT'!A387="","",'NEW ACCOUNT'!D387)</f>
        <v/>
      </c>
      <c r="E386" s="22">
        <f>IF('NEW ACCOUNT'!A387="","",'NEW ACCOUNT'!E387)</f>
        <v/>
      </c>
      <c r="F386" s="22">
        <f>IF('NEW ACCOUNT'!A387="","",'NEW ACCOUNT'!F387)</f>
        <v/>
      </c>
      <c r="G386" s="22">
        <f>IF('NEW ACCOUNT'!A387="","",'NEW ACCOUNT'!G387)</f>
        <v/>
      </c>
      <c r="H386" s="22">
        <f>IF('NEW ACCOUNT'!A387="","",'NEW ACCOUNT'!H387)</f>
        <v/>
      </c>
      <c r="I386" s="23">
        <f>IFERROR(IF(A386="","",SUMIF(SAVINGS!$A:$A,A386,SAVINGS!$E:$E)),"")</f>
        <v/>
      </c>
      <c r="J386" s="23">
        <f>IFERROR(IF(A386="","",SUMIF(SAVINGS!$A:$A,A386,SAVINGS!$E:$E)-SUMIF(WITHDRAWALS!$A:$A,A386,WITHDRAWALS!$E:$E)),"")</f>
        <v/>
      </c>
    </row>
    <row r="387" ht="20" customHeight="1">
      <c r="A387" s="18">
        <f>'NEW ACCOUNT'!A388</f>
        <v/>
      </c>
      <c r="B387" s="19">
        <f>IF('NEW ACCOUNT'!A388="","",'NEW ACCOUNT'!B388)</f>
        <v/>
      </c>
      <c r="C387" s="19">
        <f>IF('NEW ACCOUNT'!A388="","",'NEW ACCOUNT'!C388)</f>
        <v/>
      </c>
      <c r="D387" s="19">
        <f>IF('NEW ACCOUNT'!A388="","",'NEW ACCOUNT'!D388)</f>
        <v/>
      </c>
      <c r="E387" s="19">
        <f>IF('NEW ACCOUNT'!A388="","",'NEW ACCOUNT'!E388)</f>
        <v/>
      </c>
      <c r="F387" s="19">
        <f>IF('NEW ACCOUNT'!A388="","",'NEW ACCOUNT'!F388)</f>
        <v/>
      </c>
      <c r="G387" s="19">
        <f>IF('NEW ACCOUNT'!A388="","",'NEW ACCOUNT'!G388)</f>
        <v/>
      </c>
      <c r="H387" s="19">
        <f>IF('NEW ACCOUNT'!A388="","",'NEW ACCOUNT'!H388)</f>
        <v/>
      </c>
      <c r="I387" s="20">
        <f>IFERROR(IF(A387="","",SUMIF(SAVINGS!$A:$A,A387,SAVINGS!$E:$E)),"")</f>
        <v/>
      </c>
      <c r="J387" s="20">
        <f>IFERROR(IF(A387="","",SUMIF(SAVINGS!$A:$A,A387,SAVINGS!$E:$E)-SUMIF(WITHDRAWALS!$A:$A,A387,WITHDRAWALS!$E:$E)),"")</f>
        <v/>
      </c>
    </row>
    <row r="388" ht="20" customHeight="1">
      <c r="A388" s="21">
        <f>'NEW ACCOUNT'!A389</f>
        <v/>
      </c>
      <c r="B388" s="22">
        <f>IF('NEW ACCOUNT'!A389="","",'NEW ACCOUNT'!B389)</f>
        <v/>
      </c>
      <c r="C388" s="22">
        <f>IF('NEW ACCOUNT'!A389="","",'NEW ACCOUNT'!C389)</f>
        <v/>
      </c>
      <c r="D388" s="22">
        <f>IF('NEW ACCOUNT'!A389="","",'NEW ACCOUNT'!D389)</f>
        <v/>
      </c>
      <c r="E388" s="22">
        <f>IF('NEW ACCOUNT'!A389="","",'NEW ACCOUNT'!E389)</f>
        <v/>
      </c>
      <c r="F388" s="22">
        <f>IF('NEW ACCOUNT'!A389="","",'NEW ACCOUNT'!F389)</f>
        <v/>
      </c>
      <c r="G388" s="22">
        <f>IF('NEW ACCOUNT'!A389="","",'NEW ACCOUNT'!G389)</f>
        <v/>
      </c>
      <c r="H388" s="22">
        <f>IF('NEW ACCOUNT'!A389="","",'NEW ACCOUNT'!H389)</f>
        <v/>
      </c>
      <c r="I388" s="23">
        <f>IFERROR(IF(A388="","",SUMIF(SAVINGS!$A:$A,A388,SAVINGS!$E:$E)),"")</f>
        <v/>
      </c>
      <c r="J388" s="23">
        <f>IFERROR(IF(A388="","",SUMIF(SAVINGS!$A:$A,A388,SAVINGS!$E:$E)-SUMIF(WITHDRAWALS!$A:$A,A388,WITHDRAWALS!$E:$E)),"")</f>
        <v/>
      </c>
    </row>
    <row r="389" ht="20" customHeight="1">
      <c r="A389" s="18">
        <f>'NEW ACCOUNT'!A390</f>
        <v/>
      </c>
      <c r="B389" s="19">
        <f>IF('NEW ACCOUNT'!A390="","",'NEW ACCOUNT'!B390)</f>
        <v/>
      </c>
      <c r="C389" s="19">
        <f>IF('NEW ACCOUNT'!A390="","",'NEW ACCOUNT'!C390)</f>
        <v/>
      </c>
      <c r="D389" s="19">
        <f>IF('NEW ACCOUNT'!A390="","",'NEW ACCOUNT'!D390)</f>
        <v/>
      </c>
      <c r="E389" s="19">
        <f>IF('NEW ACCOUNT'!A390="","",'NEW ACCOUNT'!E390)</f>
        <v/>
      </c>
      <c r="F389" s="19">
        <f>IF('NEW ACCOUNT'!A390="","",'NEW ACCOUNT'!F390)</f>
        <v/>
      </c>
      <c r="G389" s="19">
        <f>IF('NEW ACCOUNT'!A390="","",'NEW ACCOUNT'!G390)</f>
        <v/>
      </c>
      <c r="H389" s="19">
        <f>IF('NEW ACCOUNT'!A390="","",'NEW ACCOUNT'!H390)</f>
        <v/>
      </c>
      <c r="I389" s="20">
        <f>IFERROR(IF(A389="","",SUMIF(SAVINGS!$A:$A,A389,SAVINGS!$E:$E)),"")</f>
        <v/>
      </c>
      <c r="J389" s="20">
        <f>IFERROR(IF(A389="","",SUMIF(SAVINGS!$A:$A,A389,SAVINGS!$E:$E)-SUMIF(WITHDRAWALS!$A:$A,A389,WITHDRAWALS!$E:$E)),"")</f>
        <v/>
      </c>
    </row>
    <row r="390" ht="20" customHeight="1">
      <c r="A390" s="21">
        <f>'NEW ACCOUNT'!A391</f>
        <v/>
      </c>
      <c r="B390" s="22">
        <f>IF('NEW ACCOUNT'!A391="","",'NEW ACCOUNT'!B391)</f>
        <v/>
      </c>
      <c r="C390" s="22">
        <f>IF('NEW ACCOUNT'!A391="","",'NEW ACCOUNT'!C391)</f>
        <v/>
      </c>
      <c r="D390" s="22">
        <f>IF('NEW ACCOUNT'!A391="","",'NEW ACCOUNT'!D391)</f>
        <v/>
      </c>
      <c r="E390" s="22">
        <f>IF('NEW ACCOUNT'!A391="","",'NEW ACCOUNT'!E391)</f>
        <v/>
      </c>
      <c r="F390" s="22">
        <f>IF('NEW ACCOUNT'!A391="","",'NEW ACCOUNT'!F391)</f>
        <v/>
      </c>
      <c r="G390" s="22">
        <f>IF('NEW ACCOUNT'!A391="","",'NEW ACCOUNT'!G391)</f>
        <v/>
      </c>
      <c r="H390" s="22">
        <f>IF('NEW ACCOUNT'!A391="","",'NEW ACCOUNT'!H391)</f>
        <v/>
      </c>
      <c r="I390" s="23">
        <f>IFERROR(IF(A390="","",SUMIF(SAVINGS!$A:$A,A390,SAVINGS!$E:$E)),"")</f>
        <v/>
      </c>
      <c r="J390" s="23">
        <f>IFERROR(IF(A390="","",SUMIF(SAVINGS!$A:$A,A390,SAVINGS!$E:$E)-SUMIF(WITHDRAWALS!$A:$A,A390,WITHDRAWALS!$E:$E)),"")</f>
        <v/>
      </c>
    </row>
    <row r="391" ht="20" customHeight="1">
      <c r="A391" s="18">
        <f>'NEW ACCOUNT'!A392</f>
        <v/>
      </c>
      <c r="B391" s="19">
        <f>IF('NEW ACCOUNT'!A392="","",'NEW ACCOUNT'!B392)</f>
        <v/>
      </c>
      <c r="C391" s="19">
        <f>IF('NEW ACCOUNT'!A392="","",'NEW ACCOUNT'!C392)</f>
        <v/>
      </c>
      <c r="D391" s="19">
        <f>IF('NEW ACCOUNT'!A392="","",'NEW ACCOUNT'!D392)</f>
        <v/>
      </c>
      <c r="E391" s="19">
        <f>IF('NEW ACCOUNT'!A392="","",'NEW ACCOUNT'!E392)</f>
        <v/>
      </c>
      <c r="F391" s="19">
        <f>IF('NEW ACCOUNT'!A392="","",'NEW ACCOUNT'!F392)</f>
        <v/>
      </c>
      <c r="G391" s="19">
        <f>IF('NEW ACCOUNT'!A392="","",'NEW ACCOUNT'!G392)</f>
        <v/>
      </c>
      <c r="H391" s="19">
        <f>IF('NEW ACCOUNT'!A392="","",'NEW ACCOUNT'!H392)</f>
        <v/>
      </c>
      <c r="I391" s="20">
        <f>IFERROR(IF(A391="","",SUMIF(SAVINGS!$A:$A,A391,SAVINGS!$E:$E)),"")</f>
        <v/>
      </c>
      <c r="J391" s="20">
        <f>IFERROR(IF(A391="","",SUMIF(SAVINGS!$A:$A,A391,SAVINGS!$E:$E)-SUMIF(WITHDRAWALS!$A:$A,A391,WITHDRAWALS!$E:$E)),"")</f>
        <v/>
      </c>
    </row>
    <row r="392" ht="20" customHeight="1">
      <c r="A392" s="21">
        <f>'NEW ACCOUNT'!A393</f>
        <v/>
      </c>
      <c r="B392" s="22">
        <f>IF('NEW ACCOUNT'!A393="","",'NEW ACCOUNT'!B393)</f>
        <v/>
      </c>
      <c r="C392" s="22">
        <f>IF('NEW ACCOUNT'!A393="","",'NEW ACCOUNT'!C393)</f>
        <v/>
      </c>
      <c r="D392" s="22">
        <f>IF('NEW ACCOUNT'!A393="","",'NEW ACCOUNT'!D393)</f>
        <v/>
      </c>
      <c r="E392" s="22">
        <f>IF('NEW ACCOUNT'!A393="","",'NEW ACCOUNT'!E393)</f>
        <v/>
      </c>
      <c r="F392" s="22">
        <f>IF('NEW ACCOUNT'!A393="","",'NEW ACCOUNT'!F393)</f>
        <v/>
      </c>
      <c r="G392" s="22">
        <f>IF('NEW ACCOUNT'!A393="","",'NEW ACCOUNT'!G393)</f>
        <v/>
      </c>
      <c r="H392" s="22">
        <f>IF('NEW ACCOUNT'!A393="","",'NEW ACCOUNT'!H393)</f>
        <v/>
      </c>
      <c r="I392" s="23">
        <f>IFERROR(IF(A392="","",SUMIF(SAVINGS!$A:$A,A392,SAVINGS!$E:$E)),"")</f>
        <v/>
      </c>
      <c r="J392" s="23">
        <f>IFERROR(IF(A392="","",SUMIF(SAVINGS!$A:$A,A392,SAVINGS!$E:$E)-SUMIF(WITHDRAWALS!$A:$A,A392,WITHDRAWALS!$E:$E)),"")</f>
        <v/>
      </c>
    </row>
    <row r="393" ht="20" customHeight="1">
      <c r="A393" s="18">
        <f>'NEW ACCOUNT'!A394</f>
        <v/>
      </c>
      <c r="B393" s="19">
        <f>IF('NEW ACCOUNT'!A394="","",'NEW ACCOUNT'!B394)</f>
        <v/>
      </c>
      <c r="C393" s="19">
        <f>IF('NEW ACCOUNT'!A394="","",'NEW ACCOUNT'!C394)</f>
        <v/>
      </c>
      <c r="D393" s="19">
        <f>IF('NEW ACCOUNT'!A394="","",'NEW ACCOUNT'!D394)</f>
        <v/>
      </c>
      <c r="E393" s="19">
        <f>IF('NEW ACCOUNT'!A394="","",'NEW ACCOUNT'!E394)</f>
        <v/>
      </c>
      <c r="F393" s="19">
        <f>IF('NEW ACCOUNT'!A394="","",'NEW ACCOUNT'!F394)</f>
        <v/>
      </c>
      <c r="G393" s="19">
        <f>IF('NEW ACCOUNT'!A394="","",'NEW ACCOUNT'!G394)</f>
        <v/>
      </c>
      <c r="H393" s="19">
        <f>IF('NEW ACCOUNT'!A394="","",'NEW ACCOUNT'!H394)</f>
        <v/>
      </c>
      <c r="I393" s="20">
        <f>IFERROR(IF(A393="","",SUMIF(SAVINGS!$A:$A,A393,SAVINGS!$E:$E)),"")</f>
        <v/>
      </c>
      <c r="J393" s="20">
        <f>IFERROR(IF(A393="","",SUMIF(SAVINGS!$A:$A,A393,SAVINGS!$E:$E)-SUMIF(WITHDRAWALS!$A:$A,A393,WITHDRAWALS!$E:$E)),"")</f>
        <v/>
      </c>
    </row>
    <row r="394" ht="20" customHeight="1">
      <c r="A394" s="21">
        <f>'NEW ACCOUNT'!A395</f>
        <v/>
      </c>
      <c r="B394" s="22">
        <f>IF('NEW ACCOUNT'!A395="","",'NEW ACCOUNT'!B395)</f>
        <v/>
      </c>
      <c r="C394" s="22">
        <f>IF('NEW ACCOUNT'!A395="","",'NEW ACCOUNT'!C395)</f>
        <v/>
      </c>
      <c r="D394" s="22">
        <f>IF('NEW ACCOUNT'!A395="","",'NEW ACCOUNT'!D395)</f>
        <v/>
      </c>
      <c r="E394" s="22">
        <f>IF('NEW ACCOUNT'!A395="","",'NEW ACCOUNT'!E395)</f>
        <v/>
      </c>
      <c r="F394" s="22">
        <f>IF('NEW ACCOUNT'!A395="","",'NEW ACCOUNT'!F395)</f>
        <v/>
      </c>
      <c r="G394" s="22">
        <f>IF('NEW ACCOUNT'!A395="","",'NEW ACCOUNT'!G395)</f>
        <v/>
      </c>
      <c r="H394" s="22">
        <f>IF('NEW ACCOUNT'!A395="","",'NEW ACCOUNT'!H395)</f>
        <v/>
      </c>
      <c r="I394" s="23">
        <f>IFERROR(IF(A394="","",SUMIF(SAVINGS!$A:$A,A394,SAVINGS!$E:$E)),"")</f>
        <v/>
      </c>
      <c r="J394" s="23">
        <f>IFERROR(IF(A394="","",SUMIF(SAVINGS!$A:$A,A394,SAVINGS!$E:$E)-SUMIF(WITHDRAWALS!$A:$A,A394,WITHDRAWALS!$E:$E)),"")</f>
        <v/>
      </c>
    </row>
    <row r="395" ht="20" customHeight="1">
      <c r="A395" s="18">
        <f>'NEW ACCOUNT'!A396</f>
        <v/>
      </c>
      <c r="B395" s="19">
        <f>IF('NEW ACCOUNT'!A396="","",'NEW ACCOUNT'!B396)</f>
        <v/>
      </c>
      <c r="C395" s="19">
        <f>IF('NEW ACCOUNT'!A396="","",'NEW ACCOUNT'!C396)</f>
        <v/>
      </c>
      <c r="D395" s="19">
        <f>IF('NEW ACCOUNT'!A396="","",'NEW ACCOUNT'!D396)</f>
        <v/>
      </c>
      <c r="E395" s="19">
        <f>IF('NEW ACCOUNT'!A396="","",'NEW ACCOUNT'!E396)</f>
        <v/>
      </c>
      <c r="F395" s="19">
        <f>IF('NEW ACCOUNT'!A396="","",'NEW ACCOUNT'!F396)</f>
        <v/>
      </c>
      <c r="G395" s="19">
        <f>IF('NEW ACCOUNT'!A396="","",'NEW ACCOUNT'!G396)</f>
        <v/>
      </c>
      <c r="H395" s="19">
        <f>IF('NEW ACCOUNT'!A396="","",'NEW ACCOUNT'!H396)</f>
        <v/>
      </c>
      <c r="I395" s="20">
        <f>IFERROR(IF(A395="","",SUMIF(SAVINGS!$A:$A,A395,SAVINGS!$E:$E)),"")</f>
        <v/>
      </c>
      <c r="J395" s="20">
        <f>IFERROR(IF(A395="","",SUMIF(SAVINGS!$A:$A,A395,SAVINGS!$E:$E)-SUMIF(WITHDRAWALS!$A:$A,A395,WITHDRAWALS!$E:$E)),"")</f>
        <v/>
      </c>
    </row>
    <row r="396" ht="20" customHeight="1">
      <c r="A396" s="21">
        <f>'NEW ACCOUNT'!A397</f>
        <v/>
      </c>
      <c r="B396" s="22">
        <f>IF('NEW ACCOUNT'!A397="","",'NEW ACCOUNT'!B397)</f>
        <v/>
      </c>
      <c r="C396" s="22">
        <f>IF('NEW ACCOUNT'!A397="","",'NEW ACCOUNT'!C397)</f>
        <v/>
      </c>
      <c r="D396" s="22">
        <f>IF('NEW ACCOUNT'!A397="","",'NEW ACCOUNT'!D397)</f>
        <v/>
      </c>
      <c r="E396" s="22">
        <f>IF('NEW ACCOUNT'!A397="","",'NEW ACCOUNT'!E397)</f>
        <v/>
      </c>
      <c r="F396" s="22">
        <f>IF('NEW ACCOUNT'!A397="","",'NEW ACCOUNT'!F397)</f>
        <v/>
      </c>
      <c r="G396" s="22">
        <f>IF('NEW ACCOUNT'!A397="","",'NEW ACCOUNT'!G397)</f>
        <v/>
      </c>
      <c r="H396" s="22">
        <f>IF('NEW ACCOUNT'!A397="","",'NEW ACCOUNT'!H397)</f>
        <v/>
      </c>
      <c r="I396" s="23">
        <f>IFERROR(IF(A396="","",SUMIF(SAVINGS!$A:$A,A396,SAVINGS!$E:$E)),"")</f>
        <v/>
      </c>
      <c r="J396" s="23">
        <f>IFERROR(IF(A396="","",SUMIF(SAVINGS!$A:$A,A396,SAVINGS!$E:$E)-SUMIF(WITHDRAWALS!$A:$A,A396,WITHDRAWALS!$E:$E)),"")</f>
        <v/>
      </c>
    </row>
    <row r="397" ht="20" customHeight="1">
      <c r="A397" s="18">
        <f>'NEW ACCOUNT'!A398</f>
        <v/>
      </c>
      <c r="B397" s="19">
        <f>IF('NEW ACCOUNT'!A398="","",'NEW ACCOUNT'!B398)</f>
        <v/>
      </c>
      <c r="C397" s="19">
        <f>IF('NEW ACCOUNT'!A398="","",'NEW ACCOUNT'!C398)</f>
        <v/>
      </c>
      <c r="D397" s="19">
        <f>IF('NEW ACCOUNT'!A398="","",'NEW ACCOUNT'!D398)</f>
        <v/>
      </c>
      <c r="E397" s="19">
        <f>IF('NEW ACCOUNT'!A398="","",'NEW ACCOUNT'!E398)</f>
        <v/>
      </c>
      <c r="F397" s="19">
        <f>IF('NEW ACCOUNT'!A398="","",'NEW ACCOUNT'!F398)</f>
        <v/>
      </c>
      <c r="G397" s="19">
        <f>IF('NEW ACCOUNT'!A398="","",'NEW ACCOUNT'!G398)</f>
        <v/>
      </c>
      <c r="H397" s="19">
        <f>IF('NEW ACCOUNT'!A398="","",'NEW ACCOUNT'!H398)</f>
        <v/>
      </c>
      <c r="I397" s="20">
        <f>IFERROR(IF(A397="","",SUMIF(SAVINGS!$A:$A,A397,SAVINGS!$E:$E)),"")</f>
        <v/>
      </c>
      <c r="J397" s="20">
        <f>IFERROR(IF(A397="","",SUMIF(SAVINGS!$A:$A,A397,SAVINGS!$E:$E)-SUMIF(WITHDRAWALS!$A:$A,A397,WITHDRAWALS!$E:$E)),"")</f>
        <v/>
      </c>
    </row>
    <row r="398" ht="20" customHeight="1">
      <c r="A398" s="21">
        <f>'NEW ACCOUNT'!A399</f>
        <v/>
      </c>
      <c r="B398" s="22">
        <f>IF('NEW ACCOUNT'!A399="","",'NEW ACCOUNT'!B399)</f>
        <v/>
      </c>
      <c r="C398" s="22">
        <f>IF('NEW ACCOUNT'!A399="","",'NEW ACCOUNT'!C399)</f>
        <v/>
      </c>
      <c r="D398" s="22">
        <f>IF('NEW ACCOUNT'!A399="","",'NEW ACCOUNT'!D399)</f>
        <v/>
      </c>
      <c r="E398" s="22">
        <f>IF('NEW ACCOUNT'!A399="","",'NEW ACCOUNT'!E399)</f>
        <v/>
      </c>
      <c r="F398" s="22">
        <f>IF('NEW ACCOUNT'!A399="","",'NEW ACCOUNT'!F399)</f>
        <v/>
      </c>
      <c r="G398" s="22">
        <f>IF('NEW ACCOUNT'!A399="","",'NEW ACCOUNT'!G399)</f>
        <v/>
      </c>
      <c r="H398" s="22">
        <f>IF('NEW ACCOUNT'!A399="","",'NEW ACCOUNT'!H399)</f>
        <v/>
      </c>
      <c r="I398" s="23">
        <f>IFERROR(IF(A398="","",SUMIF(SAVINGS!$A:$A,A398,SAVINGS!$E:$E)),"")</f>
        <v/>
      </c>
      <c r="J398" s="23">
        <f>IFERROR(IF(A398="","",SUMIF(SAVINGS!$A:$A,A398,SAVINGS!$E:$E)-SUMIF(WITHDRAWALS!$A:$A,A398,WITHDRAWALS!$E:$E)),"")</f>
        <v/>
      </c>
    </row>
    <row r="399" ht="20" customHeight="1">
      <c r="A399" s="18">
        <f>'NEW ACCOUNT'!A400</f>
        <v/>
      </c>
      <c r="B399" s="19">
        <f>IF('NEW ACCOUNT'!A400="","",'NEW ACCOUNT'!B400)</f>
        <v/>
      </c>
      <c r="C399" s="19">
        <f>IF('NEW ACCOUNT'!A400="","",'NEW ACCOUNT'!C400)</f>
        <v/>
      </c>
      <c r="D399" s="19">
        <f>IF('NEW ACCOUNT'!A400="","",'NEW ACCOUNT'!D400)</f>
        <v/>
      </c>
      <c r="E399" s="19">
        <f>IF('NEW ACCOUNT'!A400="","",'NEW ACCOUNT'!E400)</f>
        <v/>
      </c>
      <c r="F399" s="19">
        <f>IF('NEW ACCOUNT'!A400="","",'NEW ACCOUNT'!F400)</f>
        <v/>
      </c>
      <c r="G399" s="19">
        <f>IF('NEW ACCOUNT'!A400="","",'NEW ACCOUNT'!G400)</f>
        <v/>
      </c>
      <c r="H399" s="19">
        <f>IF('NEW ACCOUNT'!A400="","",'NEW ACCOUNT'!H400)</f>
        <v/>
      </c>
      <c r="I399" s="20">
        <f>IFERROR(IF(A399="","",SUMIF(SAVINGS!$A:$A,A399,SAVINGS!$E:$E)),"")</f>
        <v/>
      </c>
      <c r="J399" s="20">
        <f>IFERROR(IF(A399="","",SUMIF(SAVINGS!$A:$A,A399,SAVINGS!$E:$E)-SUMIF(WITHDRAWALS!$A:$A,A399,WITHDRAWALS!$E:$E)),"")</f>
        <v/>
      </c>
    </row>
    <row r="400" ht="20" customHeight="1">
      <c r="A400" s="21">
        <f>'NEW ACCOUNT'!A401</f>
        <v/>
      </c>
      <c r="B400" s="22">
        <f>IF('NEW ACCOUNT'!A401="","",'NEW ACCOUNT'!B401)</f>
        <v/>
      </c>
      <c r="C400" s="22">
        <f>IF('NEW ACCOUNT'!A401="","",'NEW ACCOUNT'!C401)</f>
        <v/>
      </c>
      <c r="D400" s="22">
        <f>IF('NEW ACCOUNT'!A401="","",'NEW ACCOUNT'!D401)</f>
        <v/>
      </c>
      <c r="E400" s="22">
        <f>IF('NEW ACCOUNT'!A401="","",'NEW ACCOUNT'!E401)</f>
        <v/>
      </c>
      <c r="F400" s="22">
        <f>IF('NEW ACCOUNT'!A401="","",'NEW ACCOUNT'!F401)</f>
        <v/>
      </c>
      <c r="G400" s="22">
        <f>IF('NEW ACCOUNT'!A401="","",'NEW ACCOUNT'!G401)</f>
        <v/>
      </c>
      <c r="H400" s="22">
        <f>IF('NEW ACCOUNT'!A401="","",'NEW ACCOUNT'!H401)</f>
        <v/>
      </c>
      <c r="I400" s="23">
        <f>IFERROR(IF(A400="","",SUMIF(SAVINGS!$A:$A,A400,SAVINGS!$E:$E)),"")</f>
        <v/>
      </c>
      <c r="J400" s="23">
        <f>IFERROR(IF(A400="","",SUMIF(SAVINGS!$A:$A,A400,SAVINGS!$E:$E)-SUMIF(WITHDRAWALS!$A:$A,A400,WITHDRAWALS!$E:$E)),"")</f>
        <v/>
      </c>
    </row>
    <row r="401" ht="20" customHeight="1">
      <c r="A401" s="18">
        <f>'NEW ACCOUNT'!A402</f>
        <v/>
      </c>
      <c r="B401" s="19">
        <f>IF('NEW ACCOUNT'!A402="","",'NEW ACCOUNT'!B402)</f>
        <v/>
      </c>
      <c r="C401" s="19">
        <f>IF('NEW ACCOUNT'!A402="","",'NEW ACCOUNT'!C402)</f>
        <v/>
      </c>
      <c r="D401" s="19">
        <f>IF('NEW ACCOUNT'!A402="","",'NEW ACCOUNT'!D402)</f>
        <v/>
      </c>
      <c r="E401" s="19">
        <f>IF('NEW ACCOUNT'!A402="","",'NEW ACCOUNT'!E402)</f>
        <v/>
      </c>
      <c r="F401" s="19">
        <f>IF('NEW ACCOUNT'!A402="","",'NEW ACCOUNT'!F402)</f>
        <v/>
      </c>
      <c r="G401" s="19">
        <f>IF('NEW ACCOUNT'!A402="","",'NEW ACCOUNT'!G402)</f>
        <v/>
      </c>
      <c r="H401" s="19">
        <f>IF('NEW ACCOUNT'!A402="","",'NEW ACCOUNT'!H402)</f>
        <v/>
      </c>
      <c r="I401" s="20">
        <f>IFERROR(IF(A401="","",SUMIF(SAVINGS!$A:$A,A401,SAVINGS!$E:$E)),"")</f>
        <v/>
      </c>
      <c r="J401" s="20">
        <f>IFERROR(IF(A401="","",SUMIF(SAVINGS!$A:$A,A401,SAVINGS!$E:$E)-SUMIF(WITHDRAWALS!$A:$A,A401,WITHDRAWALS!$E:$E)),"")</f>
        <v/>
      </c>
    </row>
    <row r="402" ht="20" customHeight="1">
      <c r="A402" s="21">
        <f>'NEW ACCOUNT'!A403</f>
        <v/>
      </c>
      <c r="B402" s="22">
        <f>IF('NEW ACCOUNT'!A403="","",'NEW ACCOUNT'!B403)</f>
        <v/>
      </c>
      <c r="C402" s="22">
        <f>IF('NEW ACCOUNT'!A403="","",'NEW ACCOUNT'!C403)</f>
        <v/>
      </c>
      <c r="D402" s="22">
        <f>IF('NEW ACCOUNT'!A403="","",'NEW ACCOUNT'!D403)</f>
        <v/>
      </c>
      <c r="E402" s="22">
        <f>IF('NEW ACCOUNT'!A403="","",'NEW ACCOUNT'!E403)</f>
        <v/>
      </c>
      <c r="F402" s="22">
        <f>IF('NEW ACCOUNT'!A403="","",'NEW ACCOUNT'!F403)</f>
        <v/>
      </c>
      <c r="G402" s="22">
        <f>IF('NEW ACCOUNT'!A403="","",'NEW ACCOUNT'!G403)</f>
        <v/>
      </c>
      <c r="H402" s="22">
        <f>IF('NEW ACCOUNT'!A403="","",'NEW ACCOUNT'!H403)</f>
        <v/>
      </c>
      <c r="I402" s="23">
        <f>IFERROR(IF(A402="","",SUMIF(SAVINGS!$A:$A,A402,SAVINGS!$E:$E)),"")</f>
        <v/>
      </c>
      <c r="J402" s="23">
        <f>IFERROR(IF(A402="","",SUMIF(SAVINGS!$A:$A,A402,SAVINGS!$E:$E)-SUMIF(WITHDRAWALS!$A:$A,A402,WITHDRAWALS!$E:$E)),"")</f>
        <v/>
      </c>
    </row>
    <row r="403" ht="20" customHeight="1">
      <c r="A403" s="18">
        <f>'NEW ACCOUNT'!A404</f>
        <v/>
      </c>
      <c r="B403" s="19">
        <f>IF('NEW ACCOUNT'!A404="","",'NEW ACCOUNT'!B404)</f>
        <v/>
      </c>
      <c r="C403" s="19">
        <f>IF('NEW ACCOUNT'!A404="","",'NEW ACCOUNT'!C404)</f>
        <v/>
      </c>
      <c r="D403" s="19">
        <f>IF('NEW ACCOUNT'!A404="","",'NEW ACCOUNT'!D404)</f>
        <v/>
      </c>
      <c r="E403" s="19">
        <f>IF('NEW ACCOUNT'!A404="","",'NEW ACCOUNT'!E404)</f>
        <v/>
      </c>
      <c r="F403" s="19">
        <f>IF('NEW ACCOUNT'!A404="","",'NEW ACCOUNT'!F404)</f>
        <v/>
      </c>
      <c r="G403" s="19">
        <f>IF('NEW ACCOUNT'!A404="","",'NEW ACCOUNT'!G404)</f>
        <v/>
      </c>
      <c r="H403" s="19">
        <f>IF('NEW ACCOUNT'!A404="","",'NEW ACCOUNT'!H404)</f>
        <v/>
      </c>
      <c r="I403" s="20">
        <f>IFERROR(IF(A403="","",SUMIF(SAVINGS!$A:$A,A403,SAVINGS!$E:$E)),"")</f>
        <v/>
      </c>
      <c r="J403" s="20">
        <f>IFERROR(IF(A403="","",SUMIF(SAVINGS!$A:$A,A403,SAVINGS!$E:$E)-SUMIF(WITHDRAWALS!$A:$A,A403,WITHDRAWALS!$E:$E)),"")</f>
        <v/>
      </c>
    </row>
    <row r="404" ht="20" customHeight="1">
      <c r="A404" s="21">
        <f>'NEW ACCOUNT'!A405</f>
        <v/>
      </c>
      <c r="B404" s="22">
        <f>IF('NEW ACCOUNT'!A405="","",'NEW ACCOUNT'!B405)</f>
        <v/>
      </c>
      <c r="C404" s="22">
        <f>IF('NEW ACCOUNT'!A405="","",'NEW ACCOUNT'!C405)</f>
        <v/>
      </c>
      <c r="D404" s="22">
        <f>IF('NEW ACCOUNT'!A405="","",'NEW ACCOUNT'!D405)</f>
        <v/>
      </c>
      <c r="E404" s="22">
        <f>IF('NEW ACCOUNT'!A405="","",'NEW ACCOUNT'!E405)</f>
        <v/>
      </c>
      <c r="F404" s="22">
        <f>IF('NEW ACCOUNT'!A405="","",'NEW ACCOUNT'!F405)</f>
        <v/>
      </c>
      <c r="G404" s="22">
        <f>IF('NEW ACCOUNT'!A405="","",'NEW ACCOUNT'!G405)</f>
        <v/>
      </c>
      <c r="H404" s="22">
        <f>IF('NEW ACCOUNT'!A405="","",'NEW ACCOUNT'!H405)</f>
        <v/>
      </c>
      <c r="I404" s="23">
        <f>IFERROR(IF(A404="","",SUMIF(SAVINGS!$A:$A,A404,SAVINGS!$E:$E)),"")</f>
        <v/>
      </c>
      <c r="J404" s="23">
        <f>IFERROR(IF(A404="","",SUMIF(SAVINGS!$A:$A,A404,SAVINGS!$E:$E)-SUMIF(WITHDRAWALS!$A:$A,A404,WITHDRAWALS!$E:$E)),"")</f>
        <v/>
      </c>
    </row>
    <row r="405" ht="20" customHeight="1">
      <c r="A405" s="18">
        <f>'NEW ACCOUNT'!A406</f>
        <v/>
      </c>
      <c r="B405" s="19">
        <f>IF('NEW ACCOUNT'!A406="","",'NEW ACCOUNT'!B406)</f>
        <v/>
      </c>
      <c r="C405" s="19">
        <f>IF('NEW ACCOUNT'!A406="","",'NEW ACCOUNT'!C406)</f>
        <v/>
      </c>
      <c r="D405" s="19">
        <f>IF('NEW ACCOUNT'!A406="","",'NEW ACCOUNT'!D406)</f>
        <v/>
      </c>
      <c r="E405" s="19">
        <f>IF('NEW ACCOUNT'!A406="","",'NEW ACCOUNT'!E406)</f>
        <v/>
      </c>
      <c r="F405" s="19">
        <f>IF('NEW ACCOUNT'!A406="","",'NEW ACCOUNT'!F406)</f>
        <v/>
      </c>
      <c r="G405" s="19">
        <f>IF('NEW ACCOUNT'!A406="","",'NEW ACCOUNT'!G406)</f>
        <v/>
      </c>
      <c r="H405" s="19">
        <f>IF('NEW ACCOUNT'!A406="","",'NEW ACCOUNT'!H406)</f>
        <v/>
      </c>
      <c r="I405" s="20">
        <f>IFERROR(IF(A405="","",SUMIF(SAVINGS!$A:$A,A405,SAVINGS!$E:$E)),"")</f>
        <v/>
      </c>
      <c r="J405" s="20">
        <f>IFERROR(IF(A405="","",SUMIF(SAVINGS!$A:$A,A405,SAVINGS!$E:$E)-SUMIF(WITHDRAWALS!$A:$A,A405,WITHDRAWALS!$E:$E)),"")</f>
        <v/>
      </c>
    </row>
    <row r="406" ht="20" customHeight="1">
      <c r="A406" s="21">
        <f>'NEW ACCOUNT'!A407</f>
        <v/>
      </c>
      <c r="B406" s="22">
        <f>IF('NEW ACCOUNT'!A407="","",'NEW ACCOUNT'!B407)</f>
        <v/>
      </c>
      <c r="C406" s="22">
        <f>IF('NEW ACCOUNT'!A407="","",'NEW ACCOUNT'!C407)</f>
        <v/>
      </c>
      <c r="D406" s="22">
        <f>IF('NEW ACCOUNT'!A407="","",'NEW ACCOUNT'!D407)</f>
        <v/>
      </c>
      <c r="E406" s="22">
        <f>IF('NEW ACCOUNT'!A407="","",'NEW ACCOUNT'!E407)</f>
        <v/>
      </c>
      <c r="F406" s="22">
        <f>IF('NEW ACCOUNT'!A407="","",'NEW ACCOUNT'!F407)</f>
        <v/>
      </c>
      <c r="G406" s="22">
        <f>IF('NEW ACCOUNT'!A407="","",'NEW ACCOUNT'!G407)</f>
        <v/>
      </c>
      <c r="H406" s="22">
        <f>IF('NEW ACCOUNT'!A407="","",'NEW ACCOUNT'!H407)</f>
        <v/>
      </c>
      <c r="I406" s="23">
        <f>IFERROR(IF(A406="","",SUMIF(SAVINGS!$A:$A,A406,SAVINGS!$E:$E)),"")</f>
        <v/>
      </c>
      <c r="J406" s="23">
        <f>IFERROR(IF(A406="","",SUMIF(SAVINGS!$A:$A,A406,SAVINGS!$E:$E)-SUMIF(WITHDRAWALS!$A:$A,A406,WITHDRAWALS!$E:$E)),"")</f>
        <v/>
      </c>
    </row>
    <row r="407" ht="20" customHeight="1">
      <c r="A407" s="18">
        <f>'NEW ACCOUNT'!A408</f>
        <v/>
      </c>
      <c r="B407" s="19">
        <f>IF('NEW ACCOUNT'!A408="","",'NEW ACCOUNT'!B408)</f>
        <v/>
      </c>
      <c r="C407" s="19">
        <f>IF('NEW ACCOUNT'!A408="","",'NEW ACCOUNT'!C408)</f>
        <v/>
      </c>
      <c r="D407" s="19">
        <f>IF('NEW ACCOUNT'!A408="","",'NEW ACCOUNT'!D408)</f>
        <v/>
      </c>
      <c r="E407" s="19">
        <f>IF('NEW ACCOUNT'!A408="","",'NEW ACCOUNT'!E408)</f>
        <v/>
      </c>
      <c r="F407" s="19">
        <f>IF('NEW ACCOUNT'!A408="","",'NEW ACCOUNT'!F408)</f>
        <v/>
      </c>
      <c r="G407" s="19">
        <f>IF('NEW ACCOUNT'!A408="","",'NEW ACCOUNT'!G408)</f>
        <v/>
      </c>
      <c r="H407" s="19">
        <f>IF('NEW ACCOUNT'!A408="","",'NEW ACCOUNT'!H408)</f>
        <v/>
      </c>
      <c r="I407" s="20">
        <f>IFERROR(IF(A407="","",SUMIF(SAVINGS!$A:$A,A407,SAVINGS!$E:$E)),"")</f>
        <v/>
      </c>
      <c r="J407" s="20">
        <f>IFERROR(IF(A407="","",SUMIF(SAVINGS!$A:$A,A407,SAVINGS!$E:$E)-SUMIF(WITHDRAWALS!$A:$A,A407,WITHDRAWALS!$E:$E)),"")</f>
        <v/>
      </c>
    </row>
    <row r="408" ht="20" customHeight="1">
      <c r="A408" s="21">
        <f>'NEW ACCOUNT'!A409</f>
        <v/>
      </c>
      <c r="B408" s="22">
        <f>IF('NEW ACCOUNT'!A409="","",'NEW ACCOUNT'!B409)</f>
        <v/>
      </c>
      <c r="C408" s="22">
        <f>IF('NEW ACCOUNT'!A409="","",'NEW ACCOUNT'!C409)</f>
        <v/>
      </c>
      <c r="D408" s="22">
        <f>IF('NEW ACCOUNT'!A409="","",'NEW ACCOUNT'!D409)</f>
        <v/>
      </c>
      <c r="E408" s="22">
        <f>IF('NEW ACCOUNT'!A409="","",'NEW ACCOUNT'!E409)</f>
        <v/>
      </c>
      <c r="F408" s="22">
        <f>IF('NEW ACCOUNT'!A409="","",'NEW ACCOUNT'!F409)</f>
        <v/>
      </c>
      <c r="G408" s="22">
        <f>IF('NEW ACCOUNT'!A409="","",'NEW ACCOUNT'!G409)</f>
        <v/>
      </c>
      <c r="H408" s="22">
        <f>IF('NEW ACCOUNT'!A409="","",'NEW ACCOUNT'!H409)</f>
        <v/>
      </c>
      <c r="I408" s="23">
        <f>IFERROR(IF(A408="","",SUMIF(SAVINGS!$A:$A,A408,SAVINGS!$E:$E)),"")</f>
        <v/>
      </c>
      <c r="J408" s="23">
        <f>IFERROR(IF(A408="","",SUMIF(SAVINGS!$A:$A,A408,SAVINGS!$E:$E)-SUMIF(WITHDRAWALS!$A:$A,A408,WITHDRAWALS!$E:$E)),"")</f>
        <v/>
      </c>
    </row>
    <row r="409" ht="20" customHeight="1">
      <c r="A409" s="18">
        <f>'NEW ACCOUNT'!A410</f>
        <v/>
      </c>
      <c r="B409" s="19">
        <f>IF('NEW ACCOUNT'!A410="","",'NEW ACCOUNT'!B410)</f>
        <v/>
      </c>
      <c r="C409" s="19">
        <f>IF('NEW ACCOUNT'!A410="","",'NEW ACCOUNT'!C410)</f>
        <v/>
      </c>
      <c r="D409" s="19">
        <f>IF('NEW ACCOUNT'!A410="","",'NEW ACCOUNT'!D410)</f>
        <v/>
      </c>
      <c r="E409" s="19">
        <f>IF('NEW ACCOUNT'!A410="","",'NEW ACCOUNT'!E410)</f>
        <v/>
      </c>
      <c r="F409" s="19">
        <f>IF('NEW ACCOUNT'!A410="","",'NEW ACCOUNT'!F410)</f>
        <v/>
      </c>
      <c r="G409" s="19">
        <f>IF('NEW ACCOUNT'!A410="","",'NEW ACCOUNT'!G410)</f>
        <v/>
      </c>
      <c r="H409" s="19">
        <f>IF('NEW ACCOUNT'!A410="","",'NEW ACCOUNT'!H410)</f>
        <v/>
      </c>
      <c r="I409" s="20">
        <f>IFERROR(IF(A409="","",SUMIF(SAVINGS!$A:$A,A409,SAVINGS!$E:$E)),"")</f>
        <v/>
      </c>
      <c r="J409" s="20">
        <f>IFERROR(IF(A409="","",SUMIF(SAVINGS!$A:$A,A409,SAVINGS!$E:$E)-SUMIF(WITHDRAWALS!$A:$A,A409,WITHDRAWALS!$E:$E)),"")</f>
        <v/>
      </c>
    </row>
    <row r="410" ht="20" customHeight="1">
      <c r="A410" s="21">
        <f>'NEW ACCOUNT'!A411</f>
        <v/>
      </c>
      <c r="B410" s="22">
        <f>IF('NEW ACCOUNT'!A411="","",'NEW ACCOUNT'!B411)</f>
        <v/>
      </c>
      <c r="C410" s="22">
        <f>IF('NEW ACCOUNT'!A411="","",'NEW ACCOUNT'!C411)</f>
        <v/>
      </c>
      <c r="D410" s="22">
        <f>IF('NEW ACCOUNT'!A411="","",'NEW ACCOUNT'!D411)</f>
        <v/>
      </c>
      <c r="E410" s="22">
        <f>IF('NEW ACCOUNT'!A411="","",'NEW ACCOUNT'!E411)</f>
        <v/>
      </c>
      <c r="F410" s="22">
        <f>IF('NEW ACCOUNT'!A411="","",'NEW ACCOUNT'!F411)</f>
        <v/>
      </c>
      <c r="G410" s="22">
        <f>IF('NEW ACCOUNT'!A411="","",'NEW ACCOUNT'!G411)</f>
        <v/>
      </c>
      <c r="H410" s="22">
        <f>IF('NEW ACCOUNT'!A411="","",'NEW ACCOUNT'!H411)</f>
        <v/>
      </c>
      <c r="I410" s="23">
        <f>IFERROR(IF(A410="","",SUMIF(SAVINGS!$A:$A,A410,SAVINGS!$E:$E)),"")</f>
        <v/>
      </c>
      <c r="J410" s="23">
        <f>IFERROR(IF(A410="","",SUMIF(SAVINGS!$A:$A,A410,SAVINGS!$E:$E)-SUMIF(WITHDRAWALS!$A:$A,A410,WITHDRAWALS!$E:$E)),"")</f>
        <v/>
      </c>
    </row>
    <row r="411" ht="20" customHeight="1">
      <c r="A411" s="18">
        <f>'NEW ACCOUNT'!A412</f>
        <v/>
      </c>
      <c r="B411" s="19">
        <f>IF('NEW ACCOUNT'!A412="","",'NEW ACCOUNT'!B412)</f>
        <v/>
      </c>
      <c r="C411" s="19">
        <f>IF('NEW ACCOUNT'!A412="","",'NEW ACCOUNT'!C412)</f>
        <v/>
      </c>
      <c r="D411" s="19">
        <f>IF('NEW ACCOUNT'!A412="","",'NEW ACCOUNT'!D412)</f>
        <v/>
      </c>
      <c r="E411" s="19">
        <f>IF('NEW ACCOUNT'!A412="","",'NEW ACCOUNT'!E412)</f>
        <v/>
      </c>
      <c r="F411" s="19">
        <f>IF('NEW ACCOUNT'!A412="","",'NEW ACCOUNT'!F412)</f>
        <v/>
      </c>
      <c r="G411" s="19">
        <f>IF('NEW ACCOUNT'!A412="","",'NEW ACCOUNT'!G412)</f>
        <v/>
      </c>
      <c r="H411" s="19">
        <f>IF('NEW ACCOUNT'!A412="","",'NEW ACCOUNT'!H412)</f>
        <v/>
      </c>
      <c r="I411" s="20">
        <f>IFERROR(IF(A411="","",SUMIF(SAVINGS!$A:$A,A411,SAVINGS!$E:$E)),"")</f>
        <v/>
      </c>
      <c r="J411" s="20">
        <f>IFERROR(IF(A411="","",SUMIF(SAVINGS!$A:$A,A411,SAVINGS!$E:$E)-SUMIF(WITHDRAWALS!$A:$A,A411,WITHDRAWALS!$E:$E)),"")</f>
        <v/>
      </c>
    </row>
    <row r="412" ht="20" customHeight="1">
      <c r="A412" s="21">
        <f>'NEW ACCOUNT'!A413</f>
        <v/>
      </c>
      <c r="B412" s="22">
        <f>IF('NEW ACCOUNT'!A413="","",'NEW ACCOUNT'!B413)</f>
        <v/>
      </c>
      <c r="C412" s="22">
        <f>IF('NEW ACCOUNT'!A413="","",'NEW ACCOUNT'!C413)</f>
        <v/>
      </c>
      <c r="D412" s="22">
        <f>IF('NEW ACCOUNT'!A413="","",'NEW ACCOUNT'!D413)</f>
        <v/>
      </c>
      <c r="E412" s="22">
        <f>IF('NEW ACCOUNT'!A413="","",'NEW ACCOUNT'!E413)</f>
        <v/>
      </c>
      <c r="F412" s="22">
        <f>IF('NEW ACCOUNT'!A413="","",'NEW ACCOUNT'!F413)</f>
        <v/>
      </c>
      <c r="G412" s="22">
        <f>IF('NEW ACCOUNT'!A413="","",'NEW ACCOUNT'!G413)</f>
        <v/>
      </c>
      <c r="H412" s="22">
        <f>IF('NEW ACCOUNT'!A413="","",'NEW ACCOUNT'!H413)</f>
        <v/>
      </c>
      <c r="I412" s="23">
        <f>IFERROR(IF(A412="","",SUMIF(SAVINGS!$A:$A,A412,SAVINGS!$E:$E)),"")</f>
        <v/>
      </c>
      <c r="J412" s="23">
        <f>IFERROR(IF(A412="","",SUMIF(SAVINGS!$A:$A,A412,SAVINGS!$E:$E)-SUMIF(WITHDRAWALS!$A:$A,A412,WITHDRAWALS!$E:$E)),"")</f>
        <v/>
      </c>
    </row>
    <row r="413" ht="20" customHeight="1">
      <c r="A413" s="18">
        <f>'NEW ACCOUNT'!A414</f>
        <v/>
      </c>
      <c r="B413" s="19">
        <f>IF('NEW ACCOUNT'!A414="","",'NEW ACCOUNT'!B414)</f>
        <v/>
      </c>
      <c r="C413" s="19">
        <f>IF('NEW ACCOUNT'!A414="","",'NEW ACCOUNT'!C414)</f>
        <v/>
      </c>
      <c r="D413" s="19">
        <f>IF('NEW ACCOUNT'!A414="","",'NEW ACCOUNT'!D414)</f>
        <v/>
      </c>
      <c r="E413" s="19">
        <f>IF('NEW ACCOUNT'!A414="","",'NEW ACCOUNT'!E414)</f>
        <v/>
      </c>
      <c r="F413" s="19">
        <f>IF('NEW ACCOUNT'!A414="","",'NEW ACCOUNT'!F414)</f>
        <v/>
      </c>
      <c r="G413" s="19">
        <f>IF('NEW ACCOUNT'!A414="","",'NEW ACCOUNT'!G414)</f>
        <v/>
      </c>
      <c r="H413" s="19">
        <f>IF('NEW ACCOUNT'!A414="","",'NEW ACCOUNT'!H414)</f>
        <v/>
      </c>
      <c r="I413" s="20">
        <f>IFERROR(IF(A413="","",SUMIF(SAVINGS!$A:$A,A413,SAVINGS!$E:$E)),"")</f>
        <v/>
      </c>
      <c r="J413" s="20">
        <f>IFERROR(IF(A413="","",SUMIF(SAVINGS!$A:$A,A413,SAVINGS!$E:$E)-SUMIF(WITHDRAWALS!$A:$A,A413,WITHDRAWALS!$E:$E)),"")</f>
        <v/>
      </c>
    </row>
    <row r="414" ht="20" customHeight="1">
      <c r="A414" s="21">
        <f>'NEW ACCOUNT'!A415</f>
        <v/>
      </c>
      <c r="B414" s="22">
        <f>IF('NEW ACCOUNT'!A415="","",'NEW ACCOUNT'!B415)</f>
        <v/>
      </c>
      <c r="C414" s="22">
        <f>IF('NEW ACCOUNT'!A415="","",'NEW ACCOUNT'!C415)</f>
        <v/>
      </c>
      <c r="D414" s="22">
        <f>IF('NEW ACCOUNT'!A415="","",'NEW ACCOUNT'!D415)</f>
        <v/>
      </c>
      <c r="E414" s="22">
        <f>IF('NEW ACCOUNT'!A415="","",'NEW ACCOUNT'!E415)</f>
        <v/>
      </c>
      <c r="F414" s="22">
        <f>IF('NEW ACCOUNT'!A415="","",'NEW ACCOUNT'!F415)</f>
        <v/>
      </c>
      <c r="G414" s="22">
        <f>IF('NEW ACCOUNT'!A415="","",'NEW ACCOUNT'!G415)</f>
        <v/>
      </c>
      <c r="H414" s="22">
        <f>IF('NEW ACCOUNT'!A415="","",'NEW ACCOUNT'!H415)</f>
        <v/>
      </c>
      <c r="I414" s="23">
        <f>IFERROR(IF(A414="","",SUMIF(SAVINGS!$A:$A,A414,SAVINGS!$E:$E)),"")</f>
        <v/>
      </c>
      <c r="J414" s="23">
        <f>IFERROR(IF(A414="","",SUMIF(SAVINGS!$A:$A,A414,SAVINGS!$E:$E)-SUMIF(WITHDRAWALS!$A:$A,A414,WITHDRAWALS!$E:$E)),"")</f>
        <v/>
      </c>
    </row>
    <row r="415" ht="20" customHeight="1">
      <c r="A415" s="18">
        <f>'NEW ACCOUNT'!A416</f>
        <v/>
      </c>
      <c r="B415" s="19">
        <f>IF('NEW ACCOUNT'!A416="","",'NEW ACCOUNT'!B416)</f>
        <v/>
      </c>
      <c r="C415" s="19">
        <f>IF('NEW ACCOUNT'!A416="","",'NEW ACCOUNT'!C416)</f>
        <v/>
      </c>
      <c r="D415" s="19">
        <f>IF('NEW ACCOUNT'!A416="","",'NEW ACCOUNT'!D416)</f>
        <v/>
      </c>
      <c r="E415" s="19">
        <f>IF('NEW ACCOUNT'!A416="","",'NEW ACCOUNT'!E416)</f>
        <v/>
      </c>
      <c r="F415" s="19">
        <f>IF('NEW ACCOUNT'!A416="","",'NEW ACCOUNT'!F416)</f>
        <v/>
      </c>
      <c r="G415" s="19">
        <f>IF('NEW ACCOUNT'!A416="","",'NEW ACCOUNT'!G416)</f>
        <v/>
      </c>
      <c r="H415" s="19">
        <f>IF('NEW ACCOUNT'!A416="","",'NEW ACCOUNT'!H416)</f>
        <v/>
      </c>
      <c r="I415" s="20">
        <f>IFERROR(IF(A415="","",SUMIF(SAVINGS!$A:$A,A415,SAVINGS!$E:$E)),"")</f>
        <v/>
      </c>
      <c r="J415" s="20">
        <f>IFERROR(IF(A415="","",SUMIF(SAVINGS!$A:$A,A415,SAVINGS!$E:$E)-SUMIF(WITHDRAWALS!$A:$A,A415,WITHDRAWALS!$E:$E)),"")</f>
        <v/>
      </c>
    </row>
    <row r="416" ht="20" customHeight="1">
      <c r="A416" s="21">
        <f>'NEW ACCOUNT'!A417</f>
        <v/>
      </c>
      <c r="B416" s="22">
        <f>IF('NEW ACCOUNT'!A417="","",'NEW ACCOUNT'!B417)</f>
        <v/>
      </c>
      <c r="C416" s="22">
        <f>IF('NEW ACCOUNT'!A417="","",'NEW ACCOUNT'!C417)</f>
        <v/>
      </c>
      <c r="D416" s="22">
        <f>IF('NEW ACCOUNT'!A417="","",'NEW ACCOUNT'!D417)</f>
        <v/>
      </c>
      <c r="E416" s="22">
        <f>IF('NEW ACCOUNT'!A417="","",'NEW ACCOUNT'!E417)</f>
        <v/>
      </c>
      <c r="F416" s="22">
        <f>IF('NEW ACCOUNT'!A417="","",'NEW ACCOUNT'!F417)</f>
        <v/>
      </c>
      <c r="G416" s="22">
        <f>IF('NEW ACCOUNT'!A417="","",'NEW ACCOUNT'!G417)</f>
        <v/>
      </c>
      <c r="H416" s="22">
        <f>IF('NEW ACCOUNT'!A417="","",'NEW ACCOUNT'!H417)</f>
        <v/>
      </c>
      <c r="I416" s="23">
        <f>IFERROR(IF(A416="","",SUMIF(SAVINGS!$A:$A,A416,SAVINGS!$E:$E)),"")</f>
        <v/>
      </c>
      <c r="J416" s="23">
        <f>IFERROR(IF(A416="","",SUMIF(SAVINGS!$A:$A,A416,SAVINGS!$E:$E)-SUMIF(WITHDRAWALS!$A:$A,A416,WITHDRAWALS!$E:$E)),"")</f>
        <v/>
      </c>
    </row>
    <row r="417" ht="20" customHeight="1">
      <c r="A417" s="18">
        <f>'NEW ACCOUNT'!A418</f>
        <v/>
      </c>
      <c r="B417" s="19">
        <f>IF('NEW ACCOUNT'!A418="","",'NEW ACCOUNT'!B418)</f>
        <v/>
      </c>
      <c r="C417" s="19">
        <f>IF('NEW ACCOUNT'!A418="","",'NEW ACCOUNT'!C418)</f>
        <v/>
      </c>
      <c r="D417" s="19">
        <f>IF('NEW ACCOUNT'!A418="","",'NEW ACCOUNT'!D418)</f>
        <v/>
      </c>
      <c r="E417" s="19">
        <f>IF('NEW ACCOUNT'!A418="","",'NEW ACCOUNT'!E418)</f>
        <v/>
      </c>
      <c r="F417" s="19">
        <f>IF('NEW ACCOUNT'!A418="","",'NEW ACCOUNT'!F418)</f>
        <v/>
      </c>
      <c r="G417" s="19">
        <f>IF('NEW ACCOUNT'!A418="","",'NEW ACCOUNT'!G418)</f>
        <v/>
      </c>
      <c r="H417" s="19">
        <f>IF('NEW ACCOUNT'!A418="","",'NEW ACCOUNT'!H418)</f>
        <v/>
      </c>
      <c r="I417" s="20">
        <f>IFERROR(IF(A417="","",SUMIF(SAVINGS!$A:$A,A417,SAVINGS!$E:$E)),"")</f>
        <v/>
      </c>
      <c r="J417" s="20">
        <f>IFERROR(IF(A417="","",SUMIF(SAVINGS!$A:$A,A417,SAVINGS!$E:$E)-SUMIF(WITHDRAWALS!$A:$A,A417,WITHDRAWALS!$E:$E)),"")</f>
        <v/>
      </c>
    </row>
    <row r="418" ht="20" customHeight="1">
      <c r="A418" s="21">
        <f>'NEW ACCOUNT'!A419</f>
        <v/>
      </c>
      <c r="B418" s="22">
        <f>IF('NEW ACCOUNT'!A419="","",'NEW ACCOUNT'!B419)</f>
        <v/>
      </c>
      <c r="C418" s="22">
        <f>IF('NEW ACCOUNT'!A419="","",'NEW ACCOUNT'!C419)</f>
        <v/>
      </c>
      <c r="D418" s="22">
        <f>IF('NEW ACCOUNT'!A419="","",'NEW ACCOUNT'!D419)</f>
        <v/>
      </c>
      <c r="E418" s="22">
        <f>IF('NEW ACCOUNT'!A419="","",'NEW ACCOUNT'!E419)</f>
        <v/>
      </c>
      <c r="F418" s="22">
        <f>IF('NEW ACCOUNT'!A419="","",'NEW ACCOUNT'!F419)</f>
        <v/>
      </c>
      <c r="G418" s="22">
        <f>IF('NEW ACCOUNT'!A419="","",'NEW ACCOUNT'!G419)</f>
        <v/>
      </c>
      <c r="H418" s="22">
        <f>IF('NEW ACCOUNT'!A419="","",'NEW ACCOUNT'!H419)</f>
        <v/>
      </c>
      <c r="I418" s="23">
        <f>IFERROR(IF(A418="","",SUMIF(SAVINGS!$A:$A,A418,SAVINGS!$E:$E)),"")</f>
        <v/>
      </c>
      <c r="J418" s="23">
        <f>IFERROR(IF(A418="","",SUMIF(SAVINGS!$A:$A,A418,SAVINGS!$E:$E)-SUMIF(WITHDRAWALS!$A:$A,A418,WITHDRAWALS!$E:$E)),"")</f>
        <v/>
      </c>
    </row>
    <row r="419" ht="20" customHeight="1">
      <c r="A419" s="18">
        <f>'NEW ACCOUNT'!A420</f>
        <v/>
      </c>
      <c r="B419" s="19">
        <f>IF('NEW ACCOUNT'!A420="","",'NEW ACCOUNT'!B420)</f>
        <v/>
      </c>
      <c r="C419" s="19">
        <f>IF('NEW ACCOUNT'!A420="","",'NEW ACCOUNT'!C420)</f>
        <v/>
      </c>
      <c r="D419" s="19">
        <f>IF('NEW ACCOUNT'!A420="","",'NEW ACCOUNT'!D420)</f>
        <v/>
      </c>
      <c r="E419" s="19">
        <f>IF('NEW ACCOUNT'!A420="","",'NEW ACCOUNT'!E420)</f>
        <v/>
      </c>
      <c r="F419" s="19">
        <f>IF('NEW ACCOUNT'!A420="","",'NEW ACCOUNT'!F420)</f>
        <v/>
      </c>
      <c r="G419" s="19">
        <f>IF('NEW ACCOUNT'!A420="","",'NEW ACCOUNT'!G420)</f>
        <v/>
      </c>
      <c r="H419" s="19">
        <f>IF('NEW ACCOUNT'!A420="","",'NEW ACCOUNT'!H420)</f>
        <v/>
      </c>
      <c r="I419" s="20">
        <f>IFERROR(IF(A419="","",SUMIF(SAVINGS!$A:$A,A419,SAVINGS!$E:$E)),"")</f>
        <v/>
      </c>
      <c r="J419" s="20">
        <f>IFERROR(IF(A419="","",SUMIF(SAVINGS!$A:$A,A419,SAVINGS!$E:$E)-SUMIF(WITHDRAWALS!$A:$A,A419,WITHDRAWALS!$E:$E)),"")</f>
        <v/>
      </c>
    </row>
    <row r="420" ht="20" customHeight="1">
      <c r="A420" s="21">
        <f>'NEW ACCOUNT'!A421</f>
        <v/>
      </c>
      <c r="B420" s="22">
        <f>IF('NEW ACCOUNT'!A421="","",'NEW ACCOUNT'!B421)</f>
        <v/>
      </c>
      <c r="C420" s="22">
        <f>IF('NEW ACCOUNT'!A421="","",'NEW ACCOUNT'!C421)</f>
        <v/>
      </c>
      <c r="D420" s="22">
        <f>IF('NEW ACCOUNT'!A421="","",'NEW ACCOUNT'!D421)</f>
        <v/>
      </c>
      <c r="E420" s="22">
        <f>IF('NEW ACCOUNT'!A421="","",'NEW ACCOUNT'!E421)</f>
        <v/>
      </c>
      <c r="F420" s="22">
        <f>IF('NEW ACCOUNT'!A421="","",'NEW ACCOUNT'!F421)</f>
        <v/>
      </c>
      <c r="G420" s="22">
        <f>IF('NEW ACCOUNT'!A421="","",'NEW ACCOUNT'!G421)</f>
        <v/>
      </c>
      <c r="H420" s="22">
        <f>IF('NEW ACCOUNT'!A421="","",'NEW ACCOUNT'!H421)</f>
        <v/>
      </c>
      <c r="I420" s="23">
        <f>IFERROR(IF(A420="","",SUMIF(SAVINGS!$A:$A,A420,SAVINGS!$E:$E)),"")</f>
        <v/>
      </c>
      <c r="J420" s="23">
        <f>IFERROR(IF(A420="","",SUMIF(SAVINGS!$A:$A,A420,SAVINGS!$E:$E)-SUMIF(WITHDRAWALS!$A:$A,A420,WITHDRAWALS!$E:$E)),"")</f>
        <v/>
      </c>
    </row>
    <row r="421" ht="20" customHeight="1">
      <c r="A421" s="18">
        <f>'NEW ACCOUNT'!A422</f>
        <v/>
      </c>
      <c r="B421" s="19">
        <f>IF('NEW ACCOUNT'!A422="","",'NEW ACCOUNT'!B422)</f>
        <v/>
      </c>
      <c r="C421" s="19">
        <f>IF('NEW ACCOUNT'!A422="","",'NEW ACCOUNT'!C422)</f>
        <v/>
      </c>
      <c r="D421" s="19">
        <f>IF('NEW ACCOUNT'!A422="","",'NEW ACCOUNT'!D422)</f>
        <v/>
      </c>
      <c r="E421" s="19">
        <f>IF('NEW ACCOUNT'!A422="","",'NEW ACCOUNT'!E422)</f>
        <v/>
      </c>
      <c r="F421" s="19">
        <f>IF('NEW ACCOUNT'!A422="","",'NEW ACCOUNT'!F422)</f>
        <v/>
      </c>
      <c r="G421" s="19">
        <f>IF('NEW ACCOUNT'!A422="","",'NEW ACCOUNT'!G422)</f>
        <v/>
      </c>
      <c r="H421" s="19">
        <f>IF('NEW ACCOUNT'!A422="","",'NEW ACCOUNT'!H422)</f>
        <v/>
      </c>
      <c r="I421" s="20">
        <f>IFERROR(IF(A421="","",SUMIF(SAVINGS!$A:$A,A421,SAVINGS!$E:$E)),"")</f>
        <v/>
      </c>
      <c r="J421" s="20">
        <f>IFERROR(IF(A421="","",SUMIF(SAVINGS!$A:$A,A421,SAVINGS!$E:$E)-SUMIF(WITHDRAWALS!$A:$A,A421,WITHDRAWALS!$E:$E)),"")</f>
        <v/>
      </c>
    </row>
    <row r="422" ht="20" customHeight="1">
      <c r="A422" s="21">
        <f>'NEW ACCOUNT'!A423</f>
        <v/>
      </c>
      <c r="B422" s="22">
        <f>IF('NEW ACCOUNT'!A423="","",'NEW ACCOUNT'!B423)</f>
        <v/>
      </c>
      <c r="C422" s="22">
        <f>IF('NEW ACCOUNT'!A423="","",'NEW ACCOUNT'!C423)</f>
        <v/>
      </c>
      <c r="D422" s="22">
        <f>IF('NEW ACCOUNT'!A423="","",'NEW ACCOUNT'!D423)</f>
        <v/>
      </c>
      <c r="E422" s="22">
        <f>IF('NEW ACCOUNT'!A423="","",'NEW ACCOUNT'!E423)</f>
        <v/>
      </c>
      <c r="F422" s="22">
        <f>IF('NEW ACCOUNT'!A423="","",'NEW ACCOUNT'!F423)</f>
        <v/>
      </c>
      <c r="G422" s="22">
        <f>IF('NEW ACCOUNT'!A423="","",'NEW ACCOUNT'!G423)</f>
        <v/>
      </c>
      <c r="H422" s="22">
        <f>IF('NEW ACCOUNT'!A423="","",'NEW ACCOUNT'!H423)</f>
        <v/>
      </c>
      <c r="I422" s="23">
        <f>IFERROR(IF(A422="","",SUMIF(SAVINGS!$A:$A,A422,SAVINGS!$E:$E)),"")</f>
        <v/>
      </c>
      <c r="J422" s="23">
        <f>IFERROR(IF(A422="","",SUMIF(SAVINGS!$A:$A,A422,SAVINGS!$E:$E)-SUMIF(WITHDRAWALS!$A:$A,A422,WITHDRAWALS!$E:$E)),"")</f>
        <v/>
      </c>
    </row>
    <row r="423" ht="20" customHeight="1">
      <c r="A423" s="18">
        <f>'NEW ACCOUNT'!A424</f>
        <v/>
      </c>
      <c r="B423" s="19">
        <f>IF('NEW ACCOUNT'!A424="","",'NEW ACCOUNT'!B424)</f>
        <v/>
      </c>
      <c r="C423" s="19">
        <f>IF('NEW ACCOUNT'!A424="","",'NEW ACCOUNT'!C424)</f>
        <v/>
      </c>
      <c r="D423" s="19">
        <f>IF('NEW ACCOUNT'!A424="","",'NEW ACCOUNT'!D424)</f>
        <v/>
      </c>
      <c r="E423" s="19">
        <f>IF('NEW ACCOUNT'!A424="","",'NEW ACCOUNT'!E424)</f>
        <v/>
      </c>
      <c r="F423" s="19">
        <f>IF('NEW ACCOUNT'!A424="","",'NEW ACCOUNT'!F424)</f>
        <v/>
      </c>
      <c r="G423" s="19">
        <f>IF('NEW ACCOUNT'!A424="","",'NEW ACCOUNT'!G424)</f>
        <v/>
      </c>
      <c r="H423" s="19">
        <f>IF('NEW ACCOUNT'!A424="","",'NEW ACCOUNT'!H424)</f>
        <v/>
      </c>
      <c r="I423" s="20">
        <f>IFERROR(IF(A423="","",SUMIF(SAVINGS!$A:$A,A423,SAVINGS!$E:$E)),"")</f>
        <v/>
      </c>
      <c r="J423" s="20">
        <f>IFERROR(IF(A423="","",SUMIF(SAVINGS!$A:$A,A423,SAVINGS!$E:$E)-SUMIF(WITHDRAWALS!$A:$A,A423,WITHDRAWALS!$E:$E)),"")</f>
        <v/>
      </c>
    </row>
    <row r="424" ht="20" customHeight="1">
      <c r="A424" s="21">
        <f>'NEW ACCOUNT'!A425</f>
        <v/>
      </c>
      <c r="B424" s="22">
        <f>IF('NEW ACCOUNT'!A425="","",'NEW ACCOUNT'!B425)</f>
        <v/>
      </c>
      <c r="C424" s="22">
        <f>IF('NEW ACCOUNT'!A425="","",'NEW ACCOUNT'!C425)</f>
        <v/>
      </c>
      <c r="D424" s="22">
        <f>IF('NEW ACCOUNT'!A425="","",'NEW ACCOUNT'!D425)</f>
        <v/>
      </c>
      <c r="E424" s="22">
        <f>IF('NEW ACCOUNT'!A425="","",'NEW ACCOUNT'!E425)</f>
        <v/>
      </c>
      <c r="F424" s="22">
        <f>IF('NEW ACCOUNT'!A425="","",'NEW ACCOUNT'!F425)</f>
        <v/>
      </c>
      <c r="G424" s="22">
        <f>IF('NEW ACCOUNT'!A425="","",'NEW ACCOUNT'!G425)</f>
        <v/>
      </c>
      <c r="H424" s="22">
        <f>IF('NEW ACCOUNT'!A425="","",'NEW ACCOUNT'!H425)</f>
        <v/>
      </c>
      <c r="I424" s="23">
        <f>IFERROR(IF(A424="","",SUMIF(SAVINGS!$A:$A,A424,SAVINGS!$E:$E)),"")</f>
        <v/>
      </c>
      <c r="J424" s="23">
        <f>IFERROR(IF(A424="","",SUMIF(SAVINGS!$A:$A,A424,SAVINGS!$E:$E)-SUMIF(WITHDRAWALS!$A:$A,A424,WITHDRAWALS!$E:$E)),"")</f>
        <v/>
      </c>
    </row>
    <row r="425" ht="20" customHeight="1">
      <c r="A425" s="18">
        <f>'NEW ACCOUNT'!A426</f>
        <v/>
      </c>
      <c r="B425" s="19">
        <f>IF('NEW ACCOUNT'!A426="","",'NEW ACCOUNT'!B426)</f>
        <v/>
      </c>
      <c r="C425" s="19">
        <f>IF('NEW ACCOUNT'!A426="","",'NEW ACCOUNT'!C426)</f>
        <v/>
      </c>
      <c r="D425" s="19">
        <f>IF('NEW ACCOUNT'!A426="","",'NEW ACCOUNT'!D426)</f>
        <v/>
      </c>
      <c r="E425" s="19">
        <f>IF('NEW ACCOUNT'!A426="","",'NEW ACCOUNT'!E426)</f>
        <v/>
      </c>
      <c r="F425" s="19">
        <f>IF('NEW ACCOUNT'!A426="","",'NEW ACCOUNT'!F426)</f>
        <v/>
      </c>
      <c r="G425" s="19">
        <f>IF('NEW ACCOUNT'!A426="","",'NEW ACCOUNT'!G426)</f>
        <v/>
      </c>
      <c r="H425" s="19">
        <f>IF('NEW ACCOUNT'!A426="","",'NEW ACCOUNT'!H426)</f>
        <v/>
      </c>
      <c r="I425" s="20">
        <f>IFERROR(IF(A425="","",SUMIF(SAVINGS!$A:$A,A425,SAVINGS!$E:$E)),"")</f>
        <v/>
      </c>
      <c r="J425" s="20">
        <f>IFERROR(IF(A425="","",SUMIF(SAVINGS!$A:$A,A425,SAVINGS!$E:$E)-SUMIF(WITHDRAWALS!$A:$A,A425,WITHDRAWALS!$E:$E)),"")</f>
        <v/>
      </c>
    </row>
    <row r="426" ht="20" customHeight="1">
      <c r="A426" s="21">
        <f>'NEW ACCOUNT'!A427</f>
        <v/>
      </c>
      <c r="B426" s="22">
        <f>IF('NEW ACCOUNT'!A427="","",'NEW ACCOUNT'!B427)</f>
        <v/>
      </c>
      <c r="C426" s="22">
        <f>IF('NEW ACCOUNT'!A427="","",'NEW ACCOUNT'!C427)</f>
        <v/>
      </c>
      <c r="D426" s="22">
        <f>IF('NEW ACCOUNT'!A427="","",'NEW ACCOUNT'!D427)</f>
        <v/>
      </c>
      <c r="E426" s="22">
        <f>IF('NEW ACCOUNT'!A427="","",'NEW ACCOUNT'!E427)</f>
        <v/>
      </c>
      <c r="F426" s="22">
        <f>IF('NEW ACCOUNT'!A427="","",'NEW ACCOUNT'!F427)</f>
        <v/>
      </c>
      <c r="G426" s="22">
        <f>IF('NEW ACCOUNT'!A427="","",'NEW ACCOUNT'!G427)</f>
        <v/>
      </c>
      <c r="H426" s="22">
        <f>IF('NEW ACCOUNT'!A427="","",'NEW ACCOUNT'!H427)</f>
        <v/>
      </c>
      <c r="I426" s="23">
        <f>IFERROR(IF(A426="","",SUMIF(SAVINGS!$A:$A,A426,SAVINGS!$E:$E)),"")</f>
        <v/>
      </c>
      <c r="J426" s="23">
        <f>IFERROR(IF(A426="","",SUMIF(SAVINGS!$A:$A,A426,SAVINGS!$E:$E)-SUMIF(WITHDRAWALS!$A:$A,A426,WITHDRAWALS!$E:$E)),"")</f>
        <v/>
      </c>
    </row>
    <row r="427" ht="20" customHeight="1">
      <c r="A427" s="18">
        <f>'NEW ACCOUNT'!A428</f>
        <v/>
      </c>
      <c r="B427" s="19">
        <f>IF('NEW ACCOUNT'!A428="","",'NEW ACCOUNT'!B428)</f>
        <v/>
      </c>
      <c r="C427" s="19">
        <f>IF('NEW ACCOUNT'!A428="","",'NEW ACCOUNT'!C428)</f>
        <v/>
      </c>
      <c r="D427" s="19">
        <f>IF('NEW ACCOUNT'!A428="","",'NEW ACCOUNT'!D428)</f>
        <v/>
      </c>
      <c r="E427" s="19">
        <f>IF('NEW ACCOUNT'!A428="","",'NEW ACCOUNT'!E428)</f>
        <v/>
      </c>
      <c r="F427" s="19">
        <f>IF('NEW ACCOUNT'!A428="","",'NEW ACCOUNT'!F428)</f>
        <v/>
      </c>
      <c r="G427" s="19">
        <f>IF('NEW ACCOUNT'!A428="","",'NEW ACCOUNT'!G428)</f>
        <v/>
      </c>
      <c r="H427" s="19">
        <f>IF('NEW ACCOUNT'!A428="","",'NEW ACCOUNT'!H428)</f>
        <v/>
      </c>
      <c r="I427" s="20">
        <f>IFERROR(IF(A427="","",SUMIF(SAVINGS!$A:$A,A427,SAVINGS!$E:$E)),"")</f>
        <v/>
      </c>
      <c r="J427" s="20">
        <f>IFERROR(IF(A427="","",SUMIF(SAVINGS!$A:$A,A427,SAVINGS!$E:$E)-SUMIF(WITHDRAWALS!$A:$A,A427,WITHDRAWALS!$E:$E)),"")</f>
        <v/>
      </c>
    </row>
    <row r="428" ht="20" customHeight="1">
      <c r="A428" s="21">
        <f>'NEW ACCOUNT'!A429</f>
        <v/>
      </c>
      <c r="B428" s="22">
        <f>IF('NEW ACCOUNT'!A429="","",'NEW ACCOUNT'!B429)</f>
        <v/>
      </c>
      <c r="C428" s="22">
        <f>IF('NEW ACCOUNT'!A429="","",'NEW ACCOUNT'!C429)</f>
        <v/>
      </c>
      <c r="D428" s="22">
        <f>IF('NEW ACCOUNT'!A429="","",'NEW ACCOUNT'!D429)</f>
        <v/>
      </c>
      <c r="E428" s="22">
        <f>IF('NEW ACCOUNT'!A429="","",'NEW ACCOUNT'!E429)</f>
        <v/>
      </c>
      <c r="F428" s="22">
        <f>IF('NEW ACCOUNT'!A429="","",'NEW ACCOUNT'!F429)</f>
        <v/>
      </c>
      <c r="G428" s="22">
        <f>IF('NEW ACCOUNT'!A429="","",'NEW ACCOUNT'!G429)</f>
        <v/>
      </c>
      <c r="H428" s="22">
        <f>IF('NEW ACCOUNT'!A429="","",'NEW ACCOUNT'!H429)</f>
        <v/>
      </c>
      <c r="I428" s="23">
        <f>IFERROR(IF(A428="","",SUMIF(SAVINGS!$A:$A,A428,SAVINGS!$E:$E)),"")</f>
        <v/>
      </c>
      <c r="J428" s="23">
        <f>IFERROR(IF(A428="","",SUMIF(SAVINGS!$A:$A,A428,SAVINGS!$E:$E)-SUMIF(WITHDRAWALS!$A:$A,A428,WITHDRAWALS!$E:$E)),"")</f>
        <v/>
      </c>
    </row>
    <row r="429" ht="20" customHeight="1">
      <c r="A429" s="18">
        <f>'NEW ACCOUNT'!A430</f>
        <v/>
      </c>
      <c r="B429" s="19">
        <f>IF('NEW ACCOUNT'!A430="","",'NEW ACCOUNT'!B430)</f>
        <v/>
      </c>
      <c r="C429" s="19">
        <f>IF('NEW ACCOUNT'!A430="","",'NEW ACCOUNT'!C430)</f>
        <v/>
      </c>
      <c r="D429" s="19">
        <f>IF('NEW ACCOUNT'!A430="","",'NEW ACCOUNT'!D430)</f>
        <v/>
      </c>
      <c r="E429" s="19">
        <f>IF('NEW ACCOUNT'!A430="","",'NEW ACCOUNT'!E430)</f>
        <v/>
      </c>
      <c r="F429" s="19">
        <f>IF('NEW ACCOUNT'!A430="","",'NEW ACCOUNT'!F430)</f>
        <v/>
      </c>
      <c r="G429" s="19">
        <f>IF('NEW ACCOUNT'!A430="","",'NEW ACCOUNT'!G430)</f>
        <v/>
      </c>
      <c r="H429" s="19">
        <f>IF('NEW ACCOUNT'!A430="","",'NEW ACCOUNT'!H430)</f>
        <v/>
      </c>
      <c r="I429" s="20">
        <f>IFERROR(IF(A429="","",SUMIF(SAVINGS!$A:$A,A429,SAVINGS!$E:$E)),"")</f>
        <v/>
      </c>
      <c r="J429" s="20">
        <f>IFERROR(IF(A429="","",SUMIF(SAVINGS!$A:$A,A429,SAVINGS!$E:$E)-SUMIF(WITHDRAWALS!$A:$A,A429,WITHDRAWALS!$E:$E)),"")</f>
        <v/>
      </c>
    </row>
    <row r="430" ht="20" customHeight="1">
      <c r="A430" s="21">
        <f>'NEW ACCOUNT'!A431</f>
        <v/>
      </c>
      <c r="B430" s="22">
        <f>IF('NEW ACCOUNT'!A431="","",'NEW ACCOUNT'!B431)</f>
        <v/>
      </c>
      <c r="C430" s="22">
        <f>IF('NEW ACCOUNT'!A431="","",'NEW ACCOUNT'!C431)</f>
        <v/>
      </c>
      <c r="D430" s="22">
        <f>IF('NEW ACCOUNT'!A431="","",'NEW ACCOUNT'!D431)</f>
        <v/>
      </c>
      <c r="E430" s="22">
        <f>IF('NEW ACCOUNT'!A431="","",'NEW ACCOUNT'!E431)</f>
        <v/>
      </c>
      <c r="F430" s="22">
        <f>IF('NEW ACCOUNT'!A431="","",'NEW ACCOUNT'!F431)</f>
        <v/>
      </c>
      <c r="G430" s="22">
        <f>IF('NEW ACCOUNT'!A431="","",'NEW ACCOUNT'!G431)</f>
        <v/>
      </c>
      <c r="H430" s="22">
        <f>IF('NEW ACCOUNT'!A431="","",'NEW ACCOUNT'!H431)</f>
        <v/>
      </c>
      <c r="I430" s="23">
        <f>IFERROR(IF(A430="","",SUMIF(SAVINGS!$A:$A,A430,SAVINGS!$E:$E)),"")</f>
        <v/>
      </c>
      <c r="J430" s="23">
        <f>IFERROR(IF(A430="","",SUMIF(SAVINGS!$A:$A,A430,SAVINGS!$E:$E)-SUMIF(WITHDRAWALS!$A:$A,A430,WITHDRAWALS!$E:$E)),"")</f>
        <v/>
      </c>
    </row>
    <row r="431" ht="20" customHeight="1">
      <c r="A431" s="18">
        <f>'NEW ACCOUNT'!A432</f>
        <v/>
      </c>
      <c r="B431" s="19">
        <f>IF('NEW ACCOUNT'!A432="","",'NEW ACCOUNT'!B432)</f>
        <v/>
      </c>
      <c r="C431" s="19">
        <f>IF('NEW ACCOUNT'!A432="","",'NEW ACCOUNT'!C432)</f>
        <v/>
      </c>
      <c r="D431" s="19">
        <f>IF('NEW ACCOUNT'!A432="","",'NEW ACCOUNT'!D432)</f>
        <v/>
      </c>
      <c r="E431" s="19">
        <f>IF('NEW ACCOUNT'!A432="","",'NEW ACCOUNT'!E432)</f>
        <v/>
      </c>
      <c r="F431" s="19">
        <f>IF('NEW ACCOUNT'!A432="","",'NEW ACCOUNT'!F432)</f>
        <v/>
      </c>
      <c r="G431" s="19">
        <f>IF('NEW ACCOUNT'!A432="","",'NEW ACCOUNT'!G432)</f>
        <v/>
      </c>
      <c r="H431" s="19">
        <f>IF('NEW ACCOUNT'!A432="","",'NEW ACCOUNT'!H432)</f>
        <v/>
      </c>
      <c r="I431" s="20">
        <f>IFERROR(IF(A431="","",SUMIF(SAVINGS!$A:$A,A431,SAVINGS!$E:$E)),"")</f>
        <v/>
      </c>
      <c r="J431" s="20">
        <f>IFERROR(IF(A431="","",SUMIF(SAVINGS!$A:$A,A431,SAVINGS!$E:$E)-SUMIF(WITHDRAWALS!$A:$A,A431,WITHDRAWALS!$E:$E)),"")</f>
        <v/>
      </c>
    </row>
    <row r="432" ht="20" customHeight="1">
      <c r="A432" s="21">
        <f>'NEW ACCOUNT'!A433</f>
        <v/>
      </c>
      <c r="B432" s="22">
        <f>IF('NEW ACCOUNT'!A433="","",'NEW ACCOUNT'!B433)</f>
        <v/>
      </c>
      <c r="C432" s="22">
        <f>IF('NEW ACCOUNT'!A433="","",'NEW ACCOUNT'!C433)</f>
        <v/>
      </c>
      <c r="D432" s="22">
        <f>IF('NEW ACCOUNT'!A433="","",'NEW ACCOUNT'!D433)</f>
        <v/>
      </c>
      <c r="E432" s="22">
        <f>IF('NEW ACCOUNT'!A433="","",'NEW ACCOUNT'!E433)</f>
        <v/>
      </c>
      <c r="F432" s="22">
        <f>IF('NEW ACCOUNT'!A433="","",'NEW ACCOUNT'!F433)</f>
        <v/>
      </c>
      <c r="G432" s="22">
        <f>IF('NEW ACCOUNT'!A433="","",'NEW ACCOUNT'!G433)</f>
        <v/>
      </c>
      <c r="H432" s="22">
        <f>IF('NEW ACCOUNT'!A433="","",'NEW ACCOUNT'!H433)</f>
        <v/>
      </c>
      <c r="I432" s="23">
        <f>IFERROR(IF(A432="","",SUMIF(SAVINGS!$A:$A,A432,SAVINGS!$E:$E)),"")</f>
        <v/>
      </c>
      <c r="J432" s="23">
        <f>IFERROR(IF(A432="","",SUMIF(SAVINGS!$A:$A,A432,SAVINGS!$E:$E)-SUMIF(WITHDRAWALS!$A:$A,A432,WITHDRAWALS!$E:$E)),"")</f>
        <v/>
      </c>
    </row>
    <row r="433" ht="20" customHeight="1">
      <c r="A433" s="18">
        <f>'NEW ACCOUNT'!A434</f>
        <v/>
      </c>
      <c r="B433" s="19">
        <f>IF('NEW ACCOUNT'!A434="","",'NEW ACCOUNT'!B434)</f>
        <v/>
      </c>
      <c r="C433" s="19">
        <f>IF('NEW ACCOUNT'!A434="","",'NEW ACCOUNT'!C434)</f>
        <v/>
      </c>
      <c r="D433" s="19">
        <f>IF('NEW ACCOUNT'!A434="","",'NEW ACCOUNT'!D434)</f>
        <v/>
      </c>
      <c r="E433" s="19">
        <f>IF('NEW ACCOUNT'!A434="","",'NEW ACCOUNT'!E434)</f>
        <v/>
      </c>
      <c r="F433" s="19">
        <f>IF('NEW ACCOUNT'!A434="","",'NEW ACCOUNT'!F434)</f>
        <v/>
      </c>
      <c r="G433" s="19">
        <f>IF('NEW ACCOUNT'!A434="","",'NEW ACCOUNT'!G434)</f>
        <v/>
      </c>
      <c r="H433" s="19">
        <f>IF('NEW ACCOUNT'!A434="","",'NEW ACCOUNT'!H434)</f>
        <v/>
      </c>
      <c r="I433" s="20">
        <f>IFERROR(IF(A433="","",SUMIF(SAVINGS!$A:$A,A433,SAVINGS!$E:$E)),"")</f>
        <v/>
      </c>
      <c r="J433" s="20">
        <f>IFERROR(IF(A433="","",SUMIF(SAVINGS!$A:$A,A433,SAVINGS!$E:$E)-SUMIF(WITHDRAWALS!$A:$A,A433,WITHDRAWALS!$E:$E)),"")</f>
        <v/>
      </c>
    </row>
    <row r="434" ht="20" customHeight="1">
      <c r="A434" s="21">
        <f>'NEW ACCOUNT'!A435</f>
        <v/>
      </c>
      <c r="B434" s="22">
        <f>IF('NEW ACCOUNT'!A435="","",'NEW ACCOUNT'!B435)</f>
        <v/>
      </c>
      <c r="C434" s="22">
        <f>IF('NEW ACCOUNT'!A435="","",'NEW ACCOUNT'!C435)</f>
        <v/>
      </c>
      <c r="D434" s="22">
        <f>IF('NEW ACCOUNT'!A435="","",'NEW ACCOUNT'!D435)</f>
        <v/>
      </c>
      <c r="E434" s="22">
        <f>IF('NEW ACCOUNT'!A435="","",'NEW ACCOUNT'!E435)</f>
        <v/>
      </c>
      <c r="F434" s="22">
        <f>IF('NEW ACCOUNT'!A435="","",'NEW ACCOUNT'!F435)</f>
        <v/>
      </c>
      <c r="G434" s="22">
        <f>IF('NEW ACCOUNT'!A435="","",'NEW ACCOUNT'!G435)</f>
        <v/>
      </c>
      <c r="H434" s="22">
        <f>IF('NEW ACCOUNT'!A435="","",'NEW ACCOUNT'!H435)</f>
        <v/>
      </c>
      <c r="I434" s="23">
        <f>IFERROR(IF(A434="","",SUMIF(SAVINGS!$A:$A,A434,SAVINGS!$E:$E)),"")</f>
        <v/>
      </c>
      <c r="J434" s="23">
        <f>IFERROR(IF(A434="","",SUMIF(SAVINGS!$A:$A,A434,SAVINGS!$E:$E)-SUMIF(WITHDRAWALS!$A:$A,A434,WITHDRAWALS!$E:$E)),"")</f>
        <v/>
      </c>
    </row>
    <row r="435" ht="20" customHeight="1">
      <c r="A435" s="18">
        <f>'NEW ACCOUNT'!A436</f>
        <v/>
      </c>
      <c r="B435" s="19">
        <f>IF('NEW ACCOUNT'!A436="","",'NEW ACCOUNT'!B436)</f>
        <v/>
      </c>
      <c r="C435" s="19">
        <f>IF('NEW ACCOUNT'!A436="","",'NEW ACCOUNT'!C436)</f>
        <v/>
      </c>
      <c r="D435" s="19">
        <f>IF('NEW ACCOUNT'!A436="","",'NEW ACCOUNT'!D436)</f>
        <v/>
      </c>
      <c r="E435" s="19">
        <f>IF('NEW ACCOUNT'!A436="","",'NEW ACCOUNT'!E436)</f>
        <v/>
      </c>
      <c r="F435" s="19">
        <f>IF('NEW ACCOUNT'!A436="","",'NEW ACCOUNT'!F436)</f>
        <v/>
      </c>
      <c r="G435" s="19">
        <f>IF('NEW ACCOUNT'!A436="","",'NEW ACCOUNT'!G436)</f>
        <v/>
      </c>
      <c r="H435" s="19">
        <f>IF('NEW ACCOUNT'!A436="","",'NEW ACCOUNT'!H436)</f>
        <v/>
      </c>
      <c r="I435" s="20">
        <f>IFERROR(IF(A435="","",SUMIF(SAVINGS!$A:$A,A435,SAVINGS!$E:$E)),"")</f>
        <v/>
      </c>
      <c r="J435" s="20">
        <f>IFERROR(IF(A435="","",SUMIF(SAVINGS!$A:$A,A435,SAVINGS!$E:$E)-SUMIF(WITHDRAWALS!$A:$A,A435,WITHDRAWALS!$E:$E)),"")</f>
        <v/>
      </c>
    </row>
    <row r="436" ht="20" customHeight="1">
      <c r="A436" s="21">
        <f>'NEW ACCOUNT'!A437</f>
        <v/>
      </c>
      <c r="B436" s="22">
        <f>IF('NEW ACCOUNT'!A437="","",'NEW ACCOUNT'!B437)</f>
        <v/>
      </c>
      <c r="C436" s="22">
        <f>IF('NEW ACCOUNT'!A437="","",'NEW ACCOUNT'!C437)</f>
        <v/>
      </c>
      <c r="D436" s="22">
        <f>IF('NEW ACCOUNT'!A437="","",'NEW ACCOUNT'!D437)</f>
        <v/>
      </c>
      <c r="E436" s="22">
        <f>IF('NEW ACCOUNT'!A437="","",'NEW ACCOUNT'!E437)</f>
        <v/>
      </c>
      <c r="F436" s="22">
        <f>IF('NEW ACCOUNT'!A437="","",'NEW ACCOUNT'!F437)</f>
        <v/>
      </c>
      <c r="G436" s="22">
        <f>IF('NEW ACCOUNT'!A437="","",'NEW ACCOUNT'!G437)</f>
        <v/>
      </c>
      <c r="H436" s="22">
        <f>IF('NEW ACCOUNT'!A437="","",'NEW ACCOUNT'!H437)</f>
        <v/>
      </c>
      <c r="I436" s="23">
        <f>IFERROR(IF(A436="","",SUMIF(SAVINGS!$A:$A,A436,SAVINGS!$E:$E)),"")</f>
        <v/>
      </c>
      <c r="J436" s="23">
        <f>IFERROR(IF(A436="","",SUMIF(SAVINGS!$A:$A,A436,SAVINGS!$E:$E)-SUMIF(WITHDRAWALS!$A:$A,A436,WITHDRAWALS!$E:$E)),"")</f>
        <v/>
      </c>
    </row>
    <row r="437" ht="20" customHeight="1">
      <c r="A437" s="18">
        <f>'NEW ACCOUNT'!A438</f>
        <v/>
      </c>
      <c r="B437" s="19">
        <f>IF('NEW ACCOUNT'!A438="","",'NEW ACCOUNT'!B438)</f>
        <v/>
      </c>
      <c r="C437" s="19">
        <f>IF('NEW ACCOUNT'!A438="","",'NEW ACCOUNT'!C438)</f>
        <v/>
      </c>
      <c r="D437" s="19">
        <f>IF('NEW ACCOUNT'!A438="","",'NEW ACCOUNT'!D438)</f>
        <v/>
      </c>
      <c r="E437" s="19">
        <f>IF('NEW ACCOUNT'!A438="","",'NEW ACCOUNT'!E438)</f>
        <v/>
      </c>
      <c r="F437" s="19">
        <f>IF('NEW ACCOUNT'!A438="","",'NEW ACCOUNT'!F438)</f>
        <v/>
      </c>
      <c r="G437" s="19">
        <f>IF('NEW ACCOUNT'!A438="","",'NEW ACCOUNT'!G438)</f>
        <v/>
      </c>
      <c r="H437" s="19">
        <f>IF('NEW ACCOUNT'!A438="","",'NEW ACCOUNT'!H438)</f>
        <v/>
      </c>
      <c r="I437" s="20">
        <f>IFERROR(IF(A437="","",SUMIF(SAVINGS!$A:$A,A437,SAVINGS!$E:$E)),"")</f>
        <v/>
      </c>
      <c r="J437" s="20">
        <f>IFERROR(IF(A437="","",SUMIF(SAVINGS!$A:$A,A437,SAVINGS!$E:$E)-SUMIF(WITHDRAWALS!$A:$A,A437,WITHDRAWALS!$E:$E)),"")</f>
        <v/>
      </c>
    </row>
    <row r="438" ht="20" customHeight="1">
      <c r="A438" s="21">
        <f>'NEW ACCOUNT'!A439</f>
        <v/>
      </c>
      <c r="B438" s="22">
        <f>IF('NEW ACCOUNT'!A439="","",'NEW ACCOUNT'!B439)</f>
        <v/>
      </c>
      <c r="C438" s="22">
        <f>IF('NEW ACCOUNT'!A439="","",'NEW ACCOUNT'!C439)</f>
        <v/>
      </c>
      <c r="D438" s="22">
        <f>IF('NEW ACCOUNT'!A439="","",'NEW ACCOUNT'!D439)</f>
        <v/>
      </c>
      <c r="E438" s="22">
        <f>IF('NEW ACCOUNT'!A439="","",'NEW ACCOUNT'!E439)</f>
        <v/>
      </c>
      <c r="F438" s="22">
        <f>IF('NEW ACCOUNT'!A439="","",'NEW ACCOUNT'!F439)</f>
        <v/>
      </c>
      <c r="G438" s="22">
        <f>IF('NEW ACCOUNT'!A439="","",'NEW ACCOUNT'!G439)</f>
        <v/>
      </c>
      <c r="H438" s="22">
        <f>IF('NEW ACCOUNT'!A439="","",'NEW ACCOUNT'!H439)</f>
        <v/>
      </c>
      <c r="I438" s="23">
        <f>IFERROR(IF(A438="","",SUMIF(SAVINGS!$A:$A,A438,SAVINGS!$E:$E)),"")</f>
        <v/>
      </c>
      <c r="J438" s="23">
        <f>IFERROR(IF(A438="","",SUMIF(SAVINGS!$A:$A,A438,SAVINGS!$E:$E)-SUMIF(WITHDRAWALS!$A:$A,A438,WITHDRAWALS!$E:$E)),"")</f>
        <v/>
      </c>
    </row>
    <row r="439" ht="20" customHeight="1">
      <c r="A439" s="18">
        <f>'NEW ACCOUNT'!A440</f>
        <v/>
      </c>
      <c r="B439" s="19">
        <f>IF('NEW ACCOUNT'!A440="","",'NEW ACCOUNT'!B440)</f>
        <v/>
      </c>
      <c r="C439" s="19">
        <f>IF('NEW ACCOUNT'!A440="","",'NEW ACCOUNT'!C440)</f>
        <v/>
      </c>
      <c r="D439" s="19">
        <f>IF('NEW ACCOUNT'!A440="","",'NEW ACCOUNT'!D440)</f>
        <v/>
      </c>
      <c r="E439" s="19">
        <f>IF('NEW ACCOUNT'!A440="","",'NEW ACCOUNT'!E440)</f>
        <v/>
      </c>
      <c r="F439" s="19">
        <f>IF('NEW ACCOUNT'!A440="","",'NEW ACCOUNT'!F440)</f>
        <v/>
      </c>
      <c r="G439" s="19">
        <f>IF('NEW ACCOUNT'!A440="","",'NEW ACCOUNT'!G440)</f>
        <v/>
      </c>
      <c r="H439" s="19">
        <f>IF('NEW ACCOUNT'!A440="","",'NEW ACCOUNT'!H440)</f>
        <v/>
      </c>
      <c r="I439" s="20">
        <f>IFERROR(IF(A439="","",SUMIF(SAVINGS!$A:$A,A439,SAVINGS!$E:$E)),"")</f>
        <v/>
      </c>
      <c r="J439" s="20">
        <f>IFERROR(IF(A439="","",SUMIF(SAVINGS!$A:$A,A439,SAVINGS!$E:$E)-SUMIF(WITHDRAWALS!$A:$A,A439,WITHDRAWALS!$E:$E)),"")</f>
        <v/>
      </c>
    </row>
    <row r="440" ht="20" customHeight="1">
      <c r="A440" s="21">
        <f>'NEW ACCOUNT'!A441</f>
        <v/>
      </c>
      <c r="B440" s="22">
        <f>IF('NEW ACCOUNT'!A441="","",'NEW ACCOUNT'!B441)</f>
        <v/>
      </c>
      <c r="C440" s="22">
        <f>IF('NEW ACCOUNT'!A441="","",'NEW ACCOUNT'!C441)</f>
        <v/>
      </c>
      <c r="D440" s="22">
        <f>IF('NEW ACCOUNT'!A441="","",'NEW ACCOUNT'!D441)</f>
        <v/>
      </c>
      <c r="E440" s="22">
        <f>IF('NEW ACCOUNT'!A441="","",'NEW ACCOUNT'!E441)</f>
        <v/>
      </c>
      <c r="F440" s="22">
        <f>IF('NEW ACCOUNT'!A441="","",'NEW ACCOUNT'!F441)</f>
        <v/>
      </c>
      <c r="G440" s="22">
        <f>IF('NEW ACCOUNT'!A441="","",'NEW ACCOUNT'!G441)</f>
        <v/>
      </c>
      <c r="H440" s="22">
        <f>IF('NEW ACCOUNT'!A441="","",'NEW ACCOUNT'!H441)</f>
        <v/>
      </c>
      <c r="I440" s="23">
        <f>IFERROR(IF(A440="","",SUMIF(SAVINGS!$A:$A,A440,SAVINGS!$E:$E)),"")</f>
        <v/>
      </c>
      <c r="J440" s="23">
        <f>IFERROR(IF(A440="","",SUMIF(SAVINGS!$A:$A,A440,SAVINGS!$E:$E)-SUMIF(WITHDRAWALS!$A:$A,A440,WITHDRAWALS!$E:$E)),"")</f>
        <v/>
      </c>
    </row>
    <row r="441" ht="20" customHeight="1">
      <c r="A441" s="18">
        <f>'NEW ACCOUNT'!A442</f>
        <v/>
      </c>
      <c r="B441" s="19">
        <f>IF('NEW ACCOUNT'!A442="","",'NEW ACCOUNT'!B442)</f>
        <v/>
      </c>
      <c r="C441" s="19">
        <f>IF('NEW ACCOUNT'!A442="","",'NEW ACCOUNT'!C442)</f>
        <v/>
      </c>
      <c r="D441" s="19">
        <f>IF('NEW ACCOUNT'!A442="","",'NEW ACCOUNT'!D442)</f>
        <v/>
      </c>
      <c r="E441" s="19">
        <f>IF('NEW ACCOUNT'!A442="","",'NEW ACCOUNT'!E442)</f>
        <v/>
      </c>
      <c r="F441" s="19">
        <f>IF('NEW ACCOUNT'!A442="","",'NEW ACCOUNT'!F442)</f>
        <v/>
      </c>
      <c r="G441" s="19">
        <f>IF('NEW ACCOUNT'!A442="","",'NEW ACCOUNT'!G442)</f>
        <v/>
      </c>
      <c r="H441" s="19">
        <f>IF('NEW ACCOUNT'!A442="","",'NEW ACCOUNT'!H442)</f>
        <v/>
      </c>
      <c r="I441" s="20">
        <f>IFERROR(IF(A441="","",SUMIF(SAVINGS!$A:$A,A441,SAVINGS!$E:$E)),"")</f>
        <v/>
      </c>
      <c r="J441" s="20">
        <f>IFERROR(IF(A441="","",SUMIF(SAVINGS!$A:$A,A441,SAVINGS!$E:$E)-SUMIF(WITHDRAWALS!$A:$A,A441,WITHDRAWALS!$E:$E)),"")</f>
        <v/>
      </c>
    </row>
    <row r="442" ht="20" customHeight="1">
      <c r="A442" s="21">
        <f>'NEW ACCOUNT'!A443</f>
        <v/>
      </c>
      <c r="B442" s="22">
        <f>IF('NEW ACCOUNT'!A443="","",'NEW ACCOUNT'!B443)</f>
        <v/>
      </c>
      <c r="C442" s="22">
        <f>IF('NEW ACCOUNT'!A443="","",'NEW ACCOUNT'!C443)</f>
        <v/>
      </c>
      <c r="D442" s="22">
        <f>IF('NEW ACCOUNT'!A443="","",'NEW ACCOUNT'!D443)</f>
        <v/>
      </c>
      <c r="E442" s="22">
        <f>IF('NEW ACCOUNT'!A443="","",'NEW ACCOUNT'!E443)</f>
        <v/>
      </c>
      <c r="F442" s="22">
        <f>IF('NEW ACCOUNT'!A443="","",'NEW ACCOUNT'!F443)</f>
        <v/>
      </c>
      <c r="G442" s="22">
        <f>IF('NEW ACCOUNT'!A443="","",'NEW ACCOUNT'!G443)</f>
        <v/>
      </c>
      <c r="H442" s="22">
        <f>IF('NEW ACCOUNT'!A443="","",'NEW ACCOUNT'!H443)</f>
        <v/>
      </c>
      <c r="I442" s="23">
        <f>IFERROR(IF(A442="","",SUMIF(SAVINGS!$A:$A,A442,SAVINGS!$E:$E)),"")</f>
        <v/>
      </c>
      <c r="J442" s="23">
        <f>IFERROR(IF(A442="","",SUMIF(SAVINGS!$A:$A,A442,SAVINGS!$E:$E)-SUMIF(WITHDRAWALS!$A:$A,A442,WITHDRAWALS!$E:$E)),"")</f>
        <v/>
      </c>
    </row>
    <row r="443" ht="20" customHeight="1">
      <c r="A443" s="18">
        <f>'NEW ACCOUNT'!A444</f>
        <v/>
      </c>
      <c r="B443" s="19">
        <f>IF('NEW ACCOUNT'!A444="","",'NEW ACCOUNT'!B444)</f>
        <v/>
      </c>
      <c r="C443" s="19">
        <f>IF('NEW ACCOUNT'!A444="","",'NEW ACCOUNT'!C444)</f>
        <v/>
      </c>
      <c r="D443" s="19">
        <f>IF('NEW ACCOUNT'!A444="","",'NEW ACCOUNT'!D444)</f>
        <v/>
      </c>
      <c r="E443" s="19">
        <f>IF('NEW ACCOUNT'!A444="","",'NEW ACCOUNT'!E444)</f>
        <v/>
      </c>
      <c r="F443" s="19">
        <f>IF('NEW ACCOUNT'!A444="","",'NEW ACCOUNT'!F444)</f>
        <v/>
      </c>
      <c r="G443" s="19">
        <f>IF('NEW ACCOUNT'!A444="","",'NEW ACCOUNT'!G444)</f>
        <v/>
      </c>
      <c r="H443" s="19">
        <f>IF('NEW ACCOUNT'!A444="","",'NEW ACCOUNT'!H444)</f>
        <v/>
      </c>
      <c r="I443" s="20">
        <f>IFERROR(IF(A443="","",SUMIF(SAVINGS!$A:$A,A443,SAVINGS!$E:$E)),"")</f>
        <v/>
      </c>
      <c r="J443" s="20">
        <f>IFERROR(IF(A443="","",SUMIF(SAVINGS!$A:$A,A443,SAVINGS!$E:$E)-SUMIF(WITHDRAWALS!$A:$A,A443,WITHDRAWALS!$E:$E)),"")</f>
        <v/>
      </c>
    </row>
    <row r="444" ht="20" customHeight="1">
      <c r="A444" s="21">
        <f>'NEW ACCOUNT'!A445</f>
        <v/>
      </c>
      <c r="B444" s="22">
        <f>IF('NEW ACCOUNT'!A445="","",'NEW ACCOUNT'!B445)</f>
        <v/>
      </c>
      <c r="C444" s="22">
        <f>IF('NEW ACCOUNT'!A445="","",'NEW ACCOUNT'!C445)</f>
        <v/>
      </c>
      <c r="D444" s="22">
        <f>IF('NEW ACCOUNT'!A445="","",'NEW ACCOUNT'!D445)</f>
        <v/>
      </c>
      <c r="E444" s="22">
        <f>IF('NEW ACCOUNT'!A445="","",'NEW ACCOUNT'!E445)</f>
        <v/>
      </c>
      <c r="F444" s="22">
        <f>IF('NEW ACCOUNT'!A445="","",'NEW ACCOUNT'!F445)</f>
        <v/>
      </c>
      <c r="G444" s="22">
        <f>IF('NEW ACCOUNT'!A445="","",'NEW ACCOUNT'!G445)</f>
        <v/>
      </c>
      <c r="H444" s="22">
        <f>IF('NEW ACCOUNT'!A445="","",'NEW ACCOUNT'!H445)</f>
        <v/>
      </c>
      <c r="I444" s="23">
        <f>IFERROR(IF(A444="","",SUMIF(SAVINGS!$A:$A,A444,SAVINGS!$E:$E)),"")</f>
        <v/>
      </c>
      <c r="J444" s="23">
        <f>IFERROR(IF(A444="","",SUMIF(SAVINGS!$A:$A,A444,SAVINGS!$E:$E)-SUMIF(WITHDRAWALS!$A:$A,A444,WITHDRAWALS!$E:$E)),"")</f>
        <v/>
      </c>
    </row>
    <row r="445" ht="20" customHeight="1">
      <c r="A445" s="18">
        <f>'NEW ACCOUNT'!A446</f>
        <v/>
      </c>
      <c r="B445" s="19">
        <f>IF('NEW ACCOUNT'!A446="","",'NEW ACCOUNT'!B446)</f>
        <v/>
      </c>
      <c r="C445" s="19">
        <f>IF('NEW ACCOUNT'!A446="","",'NEW ACCOUNT'!C446)</f>
        <v/>
      </c>
      <c r="D445" s="19">
        <f>IF('NEW ACCOUNT'!A446="","",'NEW ACCOUNT'!D446)</f>
        <v/>
      </c>
      <c r="E445" s="19">
        <f>IF('NEW ACCOUNT'!A446="","",'NEW ACCOUNT'!E446)</f>
        <v/>
      </c>
      <c r="F445" s="19">
        <f>IF('NEW ACCOUNT'!A446="","",'NEW ACCOUNT'!F446)</f>
        <v/>
      </c>
      <c r="G445" s="19">
        <f>IF('NEW ACCOUNT'!A446="","",'NEW ACCOUNT'!G446)</f>
        <v/>
      </c>
      <c r="H445" s="19">
        <f>IF('NEW ACCOUNT'!A446="","",'NEW ACCOUNT'!H446)</f>
        <v/>
      </c>
      <c r="I445" s="20">
        <f>IFERROR(IF(A445="","",SUMIF(SAVINGS!$A:$A,A445,SAVINGS!$E:$E)),"")</f>
        <v/>
      </c>
      <c r="J445" s="20">
        <f>IFERROR(IF(A445="","",SUMIF(SAVINGS!$A:$A,A445,SAVINGS!$E:$E)-SUMIF(WITHDRAWALS!$A:$A,A445,WITHDRAWALS!$E:$E)),"")</f>
        <v/>
      </c>
    </row>
    <row r="446" ht="20" customHeight="1">
      <c r="A446" s="21">
        <f>'NEW ACCOUNT'!A447</f>
        <v/>
      </c>
      <c r="B446" s="22">
        <f>IF('NEW ACCOUNT'!A447="","",'NEW ACCOUNT'!B447)</f>
        <v/>
      </c>
      <c r="C446" s="22">
        <f>IF('NEW ACCOUNT'!A447="","",'NEW ACCOUNT'!C447)</f>
        <v/>
      </c>
      <c r="D446" s="22">
        <f>IF('NEW ACCOUNT'!A447="","",'NEW ACCOUNT'!D447)</f>
        <v/>
      </c>
      <c r="E446" s="22">
        <f>IF('NEW ACCOUNT'!A447="","",'NEW ACCOUNT'!E447)</f>
        <v/>
      </c>
      <c r="F446" s="22">
        <f>IF('NEW ACCOUNT'!A447="","",'NEW ACCOUNT'!F447)</f>
        <v/>
      </c>
      <c r="G446" s="22">
        <f>IF('NEW ACCOUNT'!A447="","",'NEW ACCOUNT'!G447)</f>
        <v/>
      </c>
      <c r="H446" s="22">
        <f>IF('NEW ACCOUNT'!A447="","",'NEW ACCOUNT'!H447)</f>
        <v/>
      </c>
      <c r="I446" s="23">
        <f>IFERROR(IF(A446="","",SUMIF(SAVINGS!$A:$A,A446,SAVINGS!$E:$E)),"")</f>
        <v/>
      </c>
      <c r="J446" s="23">
        <f>IFERROR(IF(A446="","",SUMIF(SAVINGS!$A:$A,A446,SAVINGS!$E:$E)-SUMIF(WITHDRAWALS!$A:$A,A446,WITHDRAWALS!$E:$E)),"")</f>
        <v/>
      </c>
    </row>
    <row r="447" ht="20" customHeight="1">
      <c r="A447" s="18">
        <f>'NEW ACCOUNT'!A448</f>
        <v/>
      </c>
      <c r="B447" s="19">
        <f>IF('NEW ACCOUNT'!A448="","",'NEW ACCOUNT'!B448)</f>
        <v/>
      </c>
      <c r="C447" s="19">
        <f>IF('NEW ACCOUNT'!A448="","",'NEW ACCOUNT'!C448)</f>
        <v/>
      </c>
      <c r="D447" s="19">
        <f>IF('NEW ACCOUNT'!A448="","",'NEW ACCOUNT'!D448)</f>
        <v/>
      </c>
      <c r="E447" s="19">
        <f>IF('NEW ACCOUNT'!A448="","",'NEW ACCOUNT'!E448)</f>
        <v/>
      </c>
      <c r="F447" s="19">
        <f>IF('NEW ACCOUNT'!A448="","",'NEW ACCOUNT'!F448)</f>
        <v/>
      </c>
      <c r="G447" s="19">
        <f>IF('NEW ACCOUNT'!A448="","",'NEW ACCOUNT'!G448)</f>
        <v/>
      </c>
      <c r="H447" s="19">
        <f>IF('NEW ACCOUNT'!A448="","",'NEW ACCOUNT'!H448)</f>
        <v/>
      </c>
      <c r="I447" s="20">
        <f>IFERROR(IF(A447="","",SUMIF(SAVINGS!$A:$A,A447,SAVINGS!$E:$E)),"")</f>
        <v/>
      </c>
      <c r="J447" s="20">
        <f>IFERROR(IF(A447="","",SUMIF(SAVINGS!$A:$A,A447,SAVINGS!$E:$E)-SUMIF(WITHDRAWALS!$A:$A,A447,WITHDRAWALS!$E:$E)),"")</f>
        <v/>
      </c>
    </row>
    <row r="448" ht="20" customHeight="1">
      <c r="A448" s="21">
        <f>'NEW ACCOUNT'!A449</f>
        <v/>
      </c>
      <c r="B448" s="22">
        <f>IF('NEW ACCOUNT'!A449="","",'NEW ACCOUNT'!B449)</f>
        <v/>
      </c>
      <c r="C448" s="22">
        <f>IF('NEW ACCOUNT'!A449="","",'NEW ACCOUNT'!C449)</f>
        <v/>
      </c>
      <c r="D448" s="22">
        <f>IF('NEW ACCOUNT'!A449="","",'NEW ACCOUNT'!D449)</f>
        <v/>
      </c>
      <c r="E448" s="22">
        <f>IF('NEW ACCOUNT'!A449="","",'NEW ACCOUNT'!E449)</f>
        <v/>
      </c>
      <c r="F448" s="22">
        <f>IF('NEW ACCOUNT'!A449="","",'NEW ACCOUNT'!F449)</f>
        <v/>
      </c>
      <c r="G448" s="22">
        <f>IF('NEW ACCOUNT'!A449="","",'NEW ACCOUNT'!G449)</f>
        <v/>
      </c>
      <c r="H448" s="22">
        <f>IF('NEW ACCOUNT'!A449="","",'NEW ACCOUNT'!H449)</f>
        <v/>
      </c>
      <c r="I448" s="23">
        <f>IFERROR(IF(A448="","",SUMIF(SAVINGS!$A:$A,A448,SAVINGS!$E:$E)),"")</f>
        <v/>
      </c>
      <c r="J448" s="23">
        <f>IFERROR(IF(A448="","",SUMIF(SAVINGS!$A:$A,A448,SAVINGS!$E:$E)-SUMIF(WITHDRAWALS!$A:$A,A448,WITHDRAWALS!$E:$E)),"")</f>
        <v/>
      </c>
    </row>
    <row r="449" ht="20" customHeight="1">
      <c r="A449" s="18">
        <f>'NEW ACCOUNT'!A450</f>
        <v/>
      </c>
      <c r="B449" s="19">
        <f>IF('NEW ACCOUNT'!A450="","",'NEW ACCOUNT'!B450)</f>
        <v/>
      </c>
      <c r="C449" s="19">
        <f>IF('NEW ACCOUNT'!A450="","",'NEW ACCOUNT'!C450)</f>
        <v/>
      </c>
      <c r="D449" s="19">
        <f>IF('NEW ACCOUNT'!A450="","",'NEW ACCOUNT'!D450)</f>
        <v/>
      </c>
      <c r="E449" s="19">
        <f>IF('NEW ACCOUNT'!A450="","",'NEW ACCOUNT'!E450)</f>
        <v/>
      </c>
      <c r="F449" s="19">
        <f>IF('NEW ACCOUNT'!A450="","",'NEW ACCOUNT'!F450)</f>
        <v/>
      </c>
      <c r="G449" s="19">
        <f>IF('NEW ACCOUNT'!A450="","",'NEW ACCOUNT'!G450)</f>
        <v/>
      </c>
      <c r="H449" s="19">
        <f>IF('NEW ACCOUNT'!A450="","",'NEW ACCOUNT'!H450)</f>
        <v/>
      </c>
      <c r="I449" s="20">
        <f>IFERROR(IF(A449="","",SUMIF(SAVINGS!$A:$A,A449,SAVINGS!$E:$E)),"")</f>
        <v/>
      </c>
      <c r="J449" s="20">
        <f>IFERROR(IF(A449="","",SUMIF(SAVINGS!$A:$A,A449,SAVINGS!$E:$E)-SUMIF(WITHDRAWALS!$A:$A,A449,WITHDRAWALS!$E:$E)),"")</f>
        <v/>
      </c>
    </row>
    <row r="450" ht="20" customHeight="1">
      <c r="A450" s="21">
        <f>'NEW ACCOUNT'!A451</f>
        <v/>
      </c>
      <c r="B450" s="22">
        <f>IF('NEW ACCOUNT'!A451="","",'NEW ACCOUNT'!B451)</f>
        <v/>
      </c>
      <c r="C450" s="22">
        <f>IF('NEW ACCOUNT'!A451="","",'NEW ACCOUNT'!C451)</f>
        <v/>
      </c>
      <c r="D450" s="22">
        <f>IF('NEW ACCOUNT'!A451="","",'NEW ACCOUNT'!D451)</f>
        <v/>
      </c>
      <c r="E450" s="22">
        <f>IF('NEW ACCOUNT'!A451="","",'NEW ACCOUNT'!E451)</f>
        <v/>
      </c>
      <c r="F450" s="22">
        <f>IF('NEW ACCOUNT'!A451="","",'NEW ACCOUNT'!F451)</f>
        <v/>
      </c>
      <c r="G450" s="22">
        <f>IF('NEW ACCOUNT'!A451="","",'NEW ACCOUNT'!G451)</f>
        <v/>
      </c>
      <c r="H450" s="22">
        <f>IF('NEW ACCOUNT'!A451="","",'NEW ACCOUNT'!H451)</f>
        <v/>
      </c>
      <c r="I450" s="23">
        <f>IFERROR(IF(A450="","",SUMIF(SAVINGS!$A:$A,A450,SAVINGS!$E:$E)),"")</f>
        <v/>
      </c>
      <c r="J450" s="23">
        <f>IFERROR(IF(A450="","",SUMIF(SAVINGS!$A:$A,A450,SAVINGS!$E:$E)-SUMIF(WITHDRAWALS!$A:$A,A450,WITHDRAWALS!$E:$E)),"")</f>
        <v/>
      </c>
    </row>
    <row r="451" ht="20" customHeight="1">
      <c r="A451" s="18">
        <f>'NEW ACCOUNT'!A452</f>
        <v/>
      </c>
      <c r="B451" s="19">
        <f>IF('NEW ACCOUNT'!A452="","",'NEW ACCOUNT'!B452)</f>
        <v/>
      </c>
      <c r="C451" s="19">
        <f>IF('NEW ACCOUNT'!A452="","",'NEW ACCOUNT'!C452)</f>
        <v/>
      </c>
      <c r="D451" s="19">
        <f>IF('NEW ACCOUNT'!A452="","",'NEW ACCOUNT'!D452)</f>
        <v/>
      </c>
      <c r="E451" s="19">
        <f>IF('NEW ACCOUNT'!A452="","",'NEW ACCOUNT'!E452)</f>
        <v/>
      </c>
      <c r="F451" s="19">
        <f>IF('NEW ACCOUNT'!A452="","",'NEW ACCOUNT'!F452)</f>
        <v/>
      </c>
      <c r="G451" s="19">
        <f>IF('NEW ACCOUNT'!A452="","",'NEW ACCOUNT'!G452)</f>
        <v/>
      </c>
      <c r="H451" s="19">
        <f>IF('NEW ACCOUNT'!A452="","",'NEW ACCOUNT'!H452)</f>
        <v/>
      </c>
      <c r="I451" s="20">
        <f>IFERROR(IF(A451="","",SUMIF(SAVINGS!$A:$A,A451,SAVINGS!$E:$E)),"")</f>
        <v/>
      </c>
      <c r="J451" s="20">
        <f>IFERROR(IF(A451="","",SUMIF(SAVINGS!$A:$A,A451,SAVINGS!$E:$E)-SUMIF(WITHDRAWALS!$A:$A,A451,WITHDRAWALS!$E:$E)),"")</f>
        <v/>
      </c>
    </row>
    <row r="452" ht="20" customHeight="1">
      <c r="A452" s="21">
        <f>'NEW ACCOUNT'!A453</f>
        <v/>
      </c>
      <c r="B452" s="22">
        <f>IF('NEW ACCOUNT'!A453="","",'NEW ACCOUNT'!B453)</f>
        <v/>
      </c>
      <c r="C452" s="22">
        <f>IF('NEW ACCOUNT'!A453="","",'NEW ACCOUNT'!C453)</f>
        <v/>
      </c>
      <c r="D452" s="22">
        <f>IF('NEW ACCOUNT'!A453="","",'NEW ACCOUNT'!D453)</f>
        <v/>
      </c>
      <c r="E452" s="22">
        <f>IF('NEW ACCOUNT'!A453="","",'NEW ACCOUNT'!E453)</f>
        <v/>
      </c>
      <c r="F452" s="22">
        <f>IF('NEW ACCOUNT'!A453="","",'NEW ACCOUNT'!F453)</f>
        <v/>
      </c>
      <c r="G452" s="22">
        <f>IF('NEW ACCOUNT'!A453="","",'NEW ACCOUNT'!G453)</f>
        <v/>
      </c>
      <c r="H452" s="22">
        <f>IF('NEW ACCOUNT'!A453="","",'NEW ACCOUNT'!H453)</f>
        <v/>
      </c>
      <c r="I452" s="23">
        <f>IFERROR(IF(A452="","",SUMIF(SAVINGS!$A:$A,A452,SAVINGS!$E:$E)),"")</f>
        <v/>
      </c>
      <c r="J452" s="23">
        <f>IFERROR(IF(A452="","",SUMIF(SAVINGS!$A:$A,A452,SAVINGS!$E:$E)-SUMIF(WITHDRAWALS!$A:$A,A452,WITHDRAWALS!$E:$E)),"")</f>
        <v/>
      </c>
    </row>
    <row r="453" ht="20" customHeight="1">
      <c r="A453" s="18">
        <f>'NEW ACCOUNT'!A454</f>
        <v/>
      </c>
      <c r="B453" s="19">
        <f>IF('NEW ACCOUNT'!A454="","",'NEW ACCOUNT'!B454)</f>
        <v/>
      </c>
      <c r="C453" s="19">
        <f>IF('NEW ACCOUNT'!A454="","",'NEW ACCOUNT'!C454)</f>
        <v/>
      </c>
      <c r="D453" s="19">
        <f>IF('NEW ACCOUNT'!A454="","",'NEW ACCOUNT'!D454)</f>
        <v/>
      </c>
      <c r="E453" s="19">
        <f>IF('NEW ACCOUNT'!A454="","",'NEW ACCOUNT'!E454)</f>
        <v/>
      </c>
      <c r="F453" s="19">
        <f>IF('NEW ACCOUNT'!A454="","",'NEW ACCOUNT'!F454)</f>
        <v/>
      </c>
      <c r="G453" s="19">
        <f>IF('NEW ACCOUNT'!A454="","",'NEW ACCOUNT'!G454)</f>
        <v/>
      </c>
      <c r="H453" s="19">
        <f>IF('NEW ACCOUNT'!A454="","",'NEW ACCOUNT'!H454)</f>
        <v/>
      </c>
      <c r="I453" s="20">
        <f>IFERROR(IF(A453="","",SUMIF(SAVINGS!$A:$A,A453,SAVINGS!$E:$E)),"")</f>
        <v/>
      </c>
      <c r="J453" s="20">
        <f>IFERROR(IF(A453="","",SUMIF(SAVINGS!$A:$A,A453,SAVINGS!$E:$E)-SUMIF(WITHDRAWALS!$A:$A,A453,WITHDRAWALS!$E:$E)),"")</f>
        <v/>
      </c>
    </row>
    <row r="454" ht="20" customHeight="1">
      <c r="A454" s="21">
        <f>'NEW ACCOUNT'!A455</f>
        <v/>
      </c>
      <c r="B454" s="22">
        <f>IF('NEW ACCOUNT'!A455="","",'NEW ACCOUNT'!B455)</f>
        <v/>
      </c>
      <c r="C454" s="22">
        <f>IF('NEW ACCOUNT'!A455="","",'NEW ACCOUNT'!C455)</f>
        <v/>
      </c>
      <c r="D454" s="22">
        <f>IF('NEW ACCOUNT'!A455="","",'NEW ACCOUNT'!D455)</f>
        <v/>
      </c>
      <c r="E454" s="22">
        <f>IF('NEW ACCOUNT'!A455="","",'NEW ACCOUNT'!E455)</f>
        <v/>
      </c>
      <c r="F454" s="22">
        <f>IF('NEW ACCOUNT'!A455="","",'NEW ACCOUNT'!F455)</f>
        <v/>
      </c>
      <c r="G454" s="22">
        <f>IF('NEW ACCOUNT'!A455="","",'NEW ACCOUNT'!G455)</f>
        <v/>
      </c>
      <c r="H454" s="22">
        <f>IF('NEW ACCOUNT'!A455="","",'NEW ACCOUNT'!H455)</f>
        <v/>
      </c>
      <c r="I454" s="23">
        <f>IFERROR(IF(A454="","",SUMIF(SAVINGS!$A:$A,A454,SAVINGS!$E:$E)),"")</f>
        <v/>
      </c>
      <c r="J454" s="23">
        <f>IFERROR(IF(A454="","",SUMIF(SAVINGS!$A:$A,A454,SAVINGS!$E:$E)-SUMIF(WITHDRAWALS!$A:$A,A454,WITHDRAWALS!$E:$E)),"")</f>
        <v/>
      </c>
    </row>
    <row r="455" ht="20" customHeight="1">
      <c r="A455" s="18">
        <f>'NEW ACCOUNT'!A456</f>
        <v/>
      </c>
      <c r="B455" s="19">
        <f>IF('NEW ACCOUNT'!A456="","",'NEW ACCOUNT'!B456)</f>
        <v/>
      </c>
      <c r="C455" s="19">
        <f>IF('NEW ACCOUNT'!A456="","",'NEW ACCOUNT'!C456)</f>
        <v/>
      </c>
      <c r="D455" s="19">
        <f>IF('NEW ACCOUNT'!A456="","",'NEW ACCOUNT'!D456)</f>
        <v/>
      </c>
      <c r="E455" s="19">
        <f>IF('NEW ACCOUNT'!A456="","",'NEW ACCOUNT'!E456)</f>
        <v/>
      </c>
      <c r="F455" s="19">
        <f>IF('NEW ACCOUNT'!A456="","",'NEW ACCOUNT'!F456)</f>
        <v/>
      </c>
      <c r="G455" s="19">
        <f>IF('NEW ACCOUNT'!A456="","",'NEW ACCOUNT'!G456)</f>
        <v/>
      </c>
      <c r="H455" s="19">
        <f>IF('NEW ACCOUNT'!A456="","",'NEW ACCOUNT'!H456)</f>
        <v/>
      </c>
      <c r="I455" s="20">
        <f>IFERROR(IF(A455="","",SUMIF(SAVINGS!$A:$A,A455,SAVINGS!$E:$E)),"")</f>
        <v/>
      </c>
      <c r="J455" s="20">
        <f>IFERROR(IF(A455="","",SUMIF(SAVINGS!$A:$A,A455,SAVINGS!$E:$E)-SUMIF(WITHDRAWALS!$A:$A,A455,WITHDRAWALS!$E:$E)),"")</f>
        <v/>
      </c>
    </row>
    <row r="456" ht="20" customHeight="1">
      <c r="A456" s="21">
        <f>'NEW ACCOUNT'!A457</f>
        <v/>
      </c>
      <c r="B456" s="22">
        <f>IF('NEW ACCOUNT'!A457="","",'NEW ACCOUNT'!B457)</f>
        <v/>
      </c>
      <c r="C456" s="22">
        <f>IF('NEW ACCOUNT'!A457="","",'NEW ACCOUNT'!C457)</f>
        <v/>
      </c>
      <c r="D456" s="22">
        <f>IF('NEW ACCOUNT'!A457="","",'NEW ACCOUNT'!D457)</f>
        <v/>
      </c>
      <c r="E456" s="22">
        <f>IF('NEW ACCOUNT'!A457="","",'NEW ACCOUNT'!E457)</f>
        <v/>
      </c>
      <c r="F456" s="22">
        <f>IF('NEW ACCOUNT'!A457="","",'NEW ACCOUNT'!F457)</f>
        <v/>
      </c>
      <c r="G456" s="22">
        <f>IF('NEW ACCOUNT'!A457="","",'NEW ACCOUNT'!G457)</f>
        <v/>
      </c>
      <c r="H456" s="22">
        <f>IF('NEW ACCOUNT'!A457="","",'NEW ACCOUNT'!H457)</f>
        <v/>
      </c>
      <c r="I456" s="23">
        <f>IFERROR(IF(A456="","",SUMIF(SAVINGS!$A:$A,A456,SAVINGS!$E:$E)),"")</f>
        <v/>
      </c>
      <c r="J456" s="23">
        <f>IFERROR(IF(A456="","",SUMIF(SAVINGS!$A:$A,A456,SAVINGS!$E:$E)-SUMIF(WITHDRAWALS!$A:$A,A456,WITHDRAWALS!$E:$E)),"")</f>
        <v/>
      </c>
    </row>
    <row r="457" ht="20" customHeight="1">
      <c r="A457" s="18">
        <f>'NEW ACCOUNT'!A458</f>
        <v/>
      </c>
      <c r="B457" s="19">
        <f>IF('NEW ACCOUNT'!A458="","",'NEW ACCOUNT'!B458)</f>
        <v/>
      </c>
      <c r="C457" s="19">
        <f>IF('NEW ACCOUNT'!A458="","",'NEW ACCOUNT'!C458)</f>
        <v/>
      </c>
      <c r="D457" s="19">
        <f>IF('NEW ACCOUNT'!A458="","",'NEW ACCOUNT'!D458)</f>
        <v/>
      </c>
      <c r="E457" s="19">
        <f>IF('NEW ACCOUNT'!A458="","",'NEW ACCOUNT'!E458)</f>
        <v/>
      </c>
      <c r="F457" s="19">
        <f>IF('NEW ACCOUNT'!A458="","",'NEW ACCOUNT'!F458)</f>
        <v/>
      </c>
      <c r="G457" s="19">
        <f>IF('NEW ACCOUNT'!A458="","",'NEW ACCOUNT'!G458)</f>
        <v/>
      </c>
      <c r="H457" s="19">
        <f>IF('NEW ACCOUNT'!A458="","",'NEW ACCOUNT'!H458)</f>
        <v/>
      </c>
      <c r="I457" s="20">
        <f>IFERROR(IF(A457="","",SUMIF(SAVINGS!$A:$A,A457,SAVINGS!$E:$E)),"")</f>
        <v/>
      </c>
      <c r="J457" s="20">
        <f>IFERROR(IF(A457="","",SUMIF(SAVINGS!$A:$A,A457,SAVINGS!$E:$E)-SUMIF(WITHDRAWALS!$A:$A,A457,WITHDRAWALS!$E:$E)),"")</f>
        <v/>
      </c>
    </row>
    <row r="458" ht="20" customHeight="1">
      <c r="A458" s="21">
        <f>'NEW ACCOUNT'!A459</f>
        <v/>
      </c>
      <c r="B458" s="22">
        <f>IF('NEW ACCOUNT'!A459="","",'NEW ACCOUNT'!B459)</f>
        <v/>
      </c>
      <c r="C458" s="22">
        <f>IF('NEW ACCOUNT'!A459="","",'NEW ACCOUNT'!C459)</f>
        <v/>
      </c>
      <c r="D458" s="22">
        <f>IF('NEW ACCOUNT'!A459="","",'NEW ACCOUNT'!D459)</f>
        <v/>
      </c>
      <c r="E458" s="22">
        <f>IF('NEW ACCOUNT'!A459="","",'NEW ACCOUNT'!E459)</f>
        <v/>
      </c>
      <c r="F458" s="22">
        <f>IF('NEW ACCOUNT'!A459="","",'NEW ACCOUNT'!F459)</f>
        <v/>
      </c>
      <c r="G458" s="22">
        <f>IF('NEW ACCOUNT'!A459="","",'NEW ACCOUNT'!G459)</f>
        <v/>
      </c>
      <c r="H458" s="22">
        <f>IF('NEW ACCOUNT'!A459="","",'NEW ACCOUNT'!H459)</f>
        <v/>
      </c>
      <c r="I458" s="23">
        <f>IFERROR(IF(A458="","",SUMIF(SAVINGS!$A:$A,A458,SAVINGS!$E:$E)),"")</f>
        <v/>
      </c>
      <c r="J458" s="23">
        <f>IFERROR(IF(A458="","",SUMIF(SAVINGS!$A:$A,A458,SAVINGS!$E:$E)-SUMIF(WITHDRAWALS!$A:$A,A458,WITHDRAWALS!$E:$E)),"")</f>
        <v/>
      </c>
    </row>
    <row r="459" ht="20" customHeight="1">
      <c r="A459" s="18">
        <f>'NEW ACCOUNT'!A460</f>
        <v/>
      </c>
      <c r="B459" s="19">
        <f>IF('NEW ACCOUNT'!A460="","",'NEW ACCOUNT'!B460)</f>
        <v/>
      </c>
      <c r="C459" s="19">
        <f>IF('NEW ACCOUNT'!A460="","",'NEW ACCOUNT'!C460)</f>
        <v/>
      </c>
      <c r="D459" s="19">
        <f>IF('NEW ACCOUNT'!A460="","",'NEW ACCOUNT'!D460)</f>
        <v/>
      </c>
      <c r="E459" s="19">
        <f>IF('NEW ACCOUNT'!A460="","",'NEW ACCOUNT'!E460)</f>
        <v/>
      </c>
      <c r="F459" s="19">
        <f>IF('NEW ACCOUNT'!A460="","",'NEW ACCOUNT'!F460)</f>
        <v/>
      </c>
      <c r="G459" s="19">
        <f>IF('NEW ACCOUNT'!A460="","",'NEW ACCOUNT'!G460)</f>
        <v/>
      </c>
      <c r="H459" s="19">
        <f>IF('NEW ACCOUNT'!A460="","",'NEW ACCOUNT'!H460)</f>
        <v/>
      </c>
      <c r="I459" s="20">
        <f>IFERROR(IF(A459="","",SUMIF(SAVINGS!$A:$A,A459,SAVINGS!$E:$E)),"")</f>
        <v/>
      </c>
      <c r="J459" s="20">
        <f>IFERROR(IF(A459="","",SUMIF(SAVINGS!$A:$A,A459,SAVINGS!$E:$E)-SUMIF(WITHDRAWALS!$A:$A,A459,WITHDRAWALS!$E:$E)),"")</f>
        <v/>
      </c>
    </row>
    <row r="460" ht="20" customHeight="1">
      <c r="A460" s="21">
        <f>'NEW ACCOUNT'!A461</f>
        <v/>
      </c>
      <c r="B460" s="22">
        <f>IF('NEW ACCOUNT'!A461="","",'NEW ACCOUNT'!B461)</f>
        <v/>
      </c>
      <c r="C460" s="22">
        <f>IF('NEW ACCOUNT'!A461="","",'NEW ACCOUNT'!C461)</f>
        <v/>
      </c>
      <c r="D460" s="22">
        <f>IF('NEW ACCOUNT'!A461="","",'NEW ACCOUNT'!D461)</f>
        <v/>
      </c>
      <c r="E460" s="22">
        <f>IF('NEW ACCOUNT'!A461="","",'NEW ACCOUNT'!E461)</f>
        <v/>
      </c>
      <c r="F460" s="22">
        <f>IF('NEW ACCOUNT'!A461="","",'NEW ACCOUNT'!F461)</f>
        <v/>
      </c>
      <c r="G460" s="22">
        <f>IF('NEW ACCOUNT'!A461="","",'NEW ACCOUNT'!G461)</f>
        <v/>
      </c>
      <c r="H460" s="22">
        <f>IF('NEW ACCOUNT'!A461="","",'NEW ACCOUNT'!H461)</f>
        <v/>
      </c>
      <c r="I460" s="23">
        <f>IFERROR(IF(A460="","",SUMIF(SAVINGS!$A:$A,A460,SAVINGS!$E:$E)),"")</f>
        <v/>
      </c>
      <c r="J460" s="23">
        <f>IFERROR(IF(A460="","",SUMIF(SAVINGS!$A:$A,A460,SAVINGS!$E:$E)-SUMIF(WITHDRAWALS!$A:$A,A460,WITHDRAWALS!$E:$E)),"")</f>
        <v/>
      </c>
    </row>
    <row r="461" ht="20" customHeight="1">
      <c r="A461" s="18">
        <f>'NEW ACCOUNT'!A462</f>
        <v/>
      </c>
      <c r="B461" s="19">
        <f>IF('NEW ACCOUNT'!A462="","",'NEW ACCOUNT'!B462)</f>
        <v/>
      </c>
      <c r="C461" s="19">
        <f>IF('NEW ACCOUNT'!A462="","",'NEW ACCOUNT'!C462)</f>
        <v/>
      </c>
      <c r="D461" s="19">
        <f>IF('NEW ACCOUNT'!A462="","",'NEW ACCOUNT'!D462)</f>
        <v/>
      </c>
      <c r="E461" s="19">
        <f>IF('NEW ACCOUNT'!A462="","",'NEW ACCOUNT'!E462)</f>
        <v/>
      </c>
      <c r="F461" s="19">
        <f>IF('NEW ACCOUNT'!A462="","",'NEW ACCOUNT'!F462)</f>
        <v/>
      </c>
      <c r="G461" s="19">
        <f>IF('NEW ACCOUNT'!A462="","",'NEW ACCOUNT'!G462)</f>
        <v/>
      </c>
      <c r="H461" s="19">
        <f>IF('NEW ACCOUNT'!A462="","",'NEW ACCOUNT'!H462)</f>
        <v/>
      </c>
      <c r="I461" s="20">
        <f>IFERROR(IF(A461="","",SUMIF(SAVINGS!$A:$A,A461,SAVINGS!$E:$E)),"")</f>
        <v/>
      </c>
      <c r="J461" s="20">
        <f>IFERROR(IF(A461="","",SUMIF(SAVINGS!$A:$A,A461,SAVINGS!$E:$E)-SUMIF(WITHDRAWALS!$A:$A,A461,WITHDRAWALS!$E:$E)),"")</f>
        <v/>
      </c>
    </row>
    <row r="462" ht="20" customHeight="1">
      <c r="A462" s="21">
        <f>'NEW ACCOUNT'!A463</f>
        <v/>
      </c>
      <c r="B462" s="22">
        <f>IF('NEW ACCOUNT'!A463="","",'NEW ACCOUNT'!B463)</f>
        <v/>
      </c>
      <c r="C462" s="22">
        <f>IF('NEW ACCOUNT'!A463="","",'NEW ACCOUNT'!C463)</f>
        <v/>
      </c>
      <c r="D462" s="22">
        <f>IF('NEW ACCOUNT'!A463="","",'NEW ACCOUNT'!D463)</f>
        <v/>
      </c>
      <c r="E462" s="22">
        <f>IF('NEW ACCOUNT'!A463="","",'NEW ACCOUNT'!E463)</f>
        <v/>
      </c>
      <c r="F462" s="22">
        <f>IF('NEW ACCOUNT'!A463="","",'NEW ACCOUNT'!F463)</f>
        <v/>
      </c>
      <c r="G462" s="22">
        <f>IF('NEW ACCOUNT'!A463="","",'NEW ACCOUNT'!G463)</f>
        <v/>
      </c>
      <c r="H462" s="22">
        <f>IF('NEW ACCOUNT'!A463="","",'NEW ACCOUNT'!H463)</f>
        <v/>
      </c>
      <c r="I462" s="23">
        <f>IFERROR(IF(A462="","",SUMIF(SAVINGS!$A:$A,A462,SAVINGS!$E:$E)),"")</f>
        <v/>
      </c>
      <c r="J462" s="23">
        <f>IFERROR(IF(A462="","",SUMIF(SAVINGS!$A:$A,A462,SAVINGS!$E:$E)-SUMIF(WITHDRAWALS!$A:$A,A462,WITHDRAWALS!$E:$E)),"")</f>
        <v/>
      </c>
    </row>
    <row r="463" ht="20" customHeight="1">
      <c r="A463" s="18">
        <f>'NEW ACCOUNT'!A464</f>
        <v/>
      </c>
      <c r="B463" s="19">
        <f>IF('NEW ACCOUNT'!A464="","",'NEW ACCOUNT'!B464)</f>
        <v/>
      </c>
      <c r="C463" s="19">
        <f>IF('NEW ACCOUNT'!A464="","",'NEW ACCOUNT'!C464)</f>
        <v/>
      </c>
      <c r="D463" s="19">
        <f>IF('NEW ACCOUNT'!A464="","",'NEW ACCOUNT'!D464)</f>
        <v/>
      </c>
      <c r="E463" s="19">
        <f>IF('NEW ACCOUNT'!A464="","",'NEW ACCOUNT'!E464)</f>
        <v/>
      </c>
      <c r="F463" s="19">
        <f>IF('NEW ACCOUNT'!A464="","",'NEW ACCOUNT'!F464)</f>
        <v/>
      </c>
      <c r="G463" s="19">
        <f>IF('NEW ACCOUNT'!A464="","",'NEW ACCOUNT'!G464)</f>
        <v/>
      </c>
      <c r="H463" s="19">
        <f>IF('NEW ACCOUNT'!A464="","",'NEW ACCOUNT'!H464)</f>
        <v/>
      </c>
      <c r="I463" s="20">
        <f>IFERROR(IF(A463="","",SUMIF(SAVINGS!$A:$A,A463,SAVINGS!$E:$E)),"")</f>
        <v/>
      </c>
      <c r="J463" s="20">
        <f>IFERROR(IF(A463="","",SUMIF(SAVINGS!$A:$A,A463,SAVINGS!$E:$E)-SUMIF(WITHDRAWALS!$A:$A,A463,WITHDRAWALS!$E:$E)),"")</f>
        <v/>
      </c>
    </row>
    <row r="464" ht="20" customHeight="1">
      <c r="A464" s="21">
        <f>'NEW ACCOUNT'!A465</f>
        <v/>
      </c>
      <c r="B464" s="22">
        <f>IF('NEW ACCOUNT'!A465="","",'NEW ACCOUNT'!B465)</f>
        <v/>
      </c>
      <c r="C464" s="22">
        <f>IF('NEW ACCOUNT'!A465="","",'NEW ACCOUNT'!C465)</f>
        <v/>
      </c>
      <c r="D464" s="22">
        <f>IF('NEW ACCOUNT'!A465="","",'NEW ACCOUNT'!D465)</f>
        <v/>
      </c>
      <c r="E464" s="22">
        <f>IF('NEW ACCOUNT'!A465="","",'NEW ACCOUNT'!E465)</f>
        <v/>
      </c>
      <c r="F464" s="22">
        <f>IF('NEW ACCOUNT'!A465="","",'NEW ACCOUNT'!F465)</f>
        <v/>
      </c>
      <c r="G464" s="22">
        <f>IF('NEW ACCOUNT'!A465="","",'NEW ACCOUNT'!G465)</f>
        <v/>
      </c>
      <c r="H464" s="22">
        <f>IF('NEW ACCOUNT'!A465="","",'NEW ACCOUNT'!H465)</f>
        <v/>
      </c>
      <c r="I464" s="23">
        <f>IFERROR(IF(A464="","",SUMIF(SAVINGS!$A:$A,A464,SAVINGS!$E:$E)),"")</f>
        <v/>
      </c>
      <c r="J464" s="23">
        <f>IFERROR(IF(A464="","",SUMIF(SAVINGS!$A:$A,A464,SAVINGS!$E:$E)-SUMIF(WITHDRAWALS!$A:$A,A464,WITHDRAWALS!$E:$E)),"")</f>
        <v/>
      </c>
    </row>
    <row r="465" ht="20" customHeight="1">
      <c r="A465" s="18">
        <f>'NEW ACCOUNT'!A466</f>
        <v/>
      </c>
      <c r="B465" s="19">
        <f>IF('NEW ACCOUNT'!A466="","",'NEW ACCOUNT'!B466)</f>
        <v/>
      </c>
      <c r="C465" s="19">
        <f>IF('NEW ACCOUNT'!A466="","",'NEW ACCOUNT'!C466)</f>
        <v/>
      </c>
      <c r="D465" s="19">
        <f>IF('NEW ACCOUNT'!A466="","",'NEW ACCOUNT'!D466)</f>
        <v/>
      </c>
      <c r="E465" s="19">
        <f>IF('NEW ACCOUNT'!A466="","",'NEW ACCOUNT'!E466)</f>
        <v/>
      </c>
      <c r="F465" s="19">
        <f>IF('NEW ACCOUNT'!A466="","",'NEW ACCOUNT'!F466)</f>
        <v/>
      </c>
      <c r="G465" s="19">
        <f>IF('NEW ACCOUNT'!A466="","",'NEW ACCOUNT'!G466)</f>
        <v/>
      </c>
      <c r="H465" s="19">
        <f>IF('NEW ACCOUNT'!A466="","",'NEW ACCOUNT'!H466)</f>
        <v/>
      </c>
      <c r="I465" s="20">
        <f>IFERROR(IF(A465="","",SUMIF(SAVINGS!$A:$A,A465,SAVINGS!$E:$E)),"")</f>
        <v/>
      </c>
      <c r="J465" s="20">
        <f>IFERROR(IF(A465="","",SUMIF(SAVINGS!$A:$A,A465,SAVINGS!$E:$E)-SUMIF(WITHDRAWALS!$A:$A,A465,WITHDRAWALS!$E:$E)),"")</f>
        <v/>
      </c>
    </row>
    <row r="466" ht="20" customHeight="1">
      <c r="A466" s="21">
        <f>'NEW ACCOUNT'!A467</f>
        <v/>
      </c>
      <c r="B466" s="22">
        <f>IF('NEW ACCOUNT'!A467="","",'NEW ACCOUNT'!B467)</f>
        <v/>
      </c>
      <c r="C466" s="22">
        <f>IF('NEW ACCOUNT'!A467="","",'NEW ACCOUNT'!C467)</f>
        <v/>
      </c>
      <c r="D466" s="22">
        <f>IF('NEW ACCOUNT'!A467="","",'NEW ACCOUNT'!D467)</f>
        <v/>
      </c>
      <c r="E466" s="22">
        <f>IF('NEW ACCOUNT'!A467="","",'NEW ACCOUNT'!E467)</f>
        <v/>
      </c>
      <c r="F466" s="22">
        <f>IF('NEW ACCOUNT'!A467="","",'NEW ACCOUNT'!F467)</f>
        <v/>
      </c>
      <c r="G466" s="22">
        <f>IF('NEW ACCOUNT'!A467="","",'NEW ACCOUNT'!G467)</f>
        <v/>
      </c>
      <c r="H466" s="22">
        <f>IF('NEW ACCOUNT'!A467="","",'NEW ACCOUNT'!H467)</f>
        <v/>
      </c>
      <c r="I466" s="23">
        <f>IFERROR(IF(A466="","",SUMIF(SAVINGS!$A:$A,A466,SAVINGS!$E:$E)),"")</f>
        <v/>
      </c>
      <c r="J466" s="23">
        <f>IFERROR(IF(A466="","",SUMIF(SAVINGS!$A:$A,A466,SAVINGS!$E:$E)-SUMIF(WITHDRAWALS!$A:$A,A466,WITHDRAWALS!$E:$E)),"")</f>
        <v/>
      </c>
    </row>
    <row r="467" ht="20" customHeight="1">
      <c r="A467" s="18">
        <f>'NEW ACCOUNT'!A468</f>
        <v/>
      </c>
      <c r="B467" s="19">
        <f>IF('NEW ACCOUNT'!A468="","",'NEW ACCOUNT'!B468)</f>
        <v/>
      </c>
      <c r="C467" s="19">
        <f>IF('NEW ACCOUNT'!A468="","",'NEW ACCOUNT'!C468)</f>
        <v/>
      </c>
      <c r="D467" s="19">
        <f>IF('NEW ACCOUNT'!A468="","",'NEW ACCOUNT'!D468)</f>
        <v/>
      </c>
      <c r="E467" s="19">
        <f>IF('NEW ACCOUNT'!A468="","",'NEW ACCOUNT'!E468)</f>
        <v/>
      </c>
      <c r="F467" s="19">
        <f>IF('NEW ACCOUNT'!A468="","",'NEW ACCOUNT'!F468)</f>
        <v/>
      </c>
      <c r="G467" s="19">
        <f>IF('NEW ACCOUNT'!A468="","",'NEW ACCOUNT'!G468)</f>
        <v/>
      </c>
      <c r="H467" s="19">
        <f>IF('NEW ACCOUNT'!A468="","",'NEW ACCOUNT'!H468)</f>
        <v/>
      </c>
      <c r="I467" s="20">
        <f>IFERROR(IF(A467="","",SUMIF(SAVINGS!$A:$A,A467,SAVINGS!$E:$E)),"")</f>
        <v/>
      </c>
      <c r="J467" s="20">
        <f>IFERROR(IF(A467="","",SUMIF(SAVINGS!$A:$A,A467,SAVINGS!$E:$E)-SUMIF(WITHDRAWALS!$A:$A,A467,WITHDRAWALS!$E:$E)),"")</f>
        <v/>
      </c>
    </row>
    <row r="468" ht="20" customHeight="1">
      <c r="A468" s="21">
        <f>'NEW ACCOUNT'!A469</f>
        <v/>
      </c>
      <c r="B468" s="22">
        <f>IF('NEW ACCOUNT'!A469="","",'NEW ACCOUNT'!B469)</f>
        <v/>
      </c>
      <c r="C468" s="22">
        <f>IF('NEW ACCOUNT'!A469="","",'NEW ACCOUNT'!C469)</f>
        <v/>
      </c>
      <c r="D468" s="22">
        <f>IF('NEW ACCOUNT'!A469="","",'NEW ACCOUNT'!D469)</f>
        <v/>
      </c>
      <c r="E468" s="22">
        <f>IF('NEW ACCOUNT'!A469="","",'NEW ACCOUNT'!E469)</f>
        <v/>
      </c>
      <c r="F468" s="22">
        <f>IF('NEW ACCOUNT'!A469="","",'NEW ACCOUNT'!F469)</f>
        <v/>
      </c>
      <c r="G468" s="22">
        <f>IF('NEW ACCOUNT'!A469="","",'NEW ACCOUNT'!G469)</f>
        <v/>
      </c>
      <c r="H468" s="22">
        <f>IF('NEW ACCOUNT'!A469="","",'NEW ACCOUNT'!H469)</f>
        <v/>
      </c>
      <c r="I468" s="23">
        <f>IFERROR(IF(A468="","",SUMIF(SAVINGS!$A:$A,A468,SAVINGS!$E:$E)),"")</f>
        <v/>
      </c>
      <c r="J468" s="23">
        <f>IFERROR(IF(A468="","",SUMIF(SAVINGS!$A:$A,A468,SAVINGS!$E:$E)-SUMIF(WITHDRAWALS!$A:$A,A468,WITHDRAWALS!$E:$E)),"")</f>
        <v/>
      </c>
    </row>
    <row r="469" ht="20" customHeight="1">
      <c r="A469" s="18">
        <f>'NEW ACCOUNT'!A470</f>
        <v/>
      </c>
      <c r="B469" s="19">
        <f>IF('NEW ACCOUNT'!A470="","",'NEW ACCOUNT'!B470)</f>
        <v/>
      </c>
      <c r="C469" s="19">
        <f>IF('NEW ACCOUNT'!A470="","",'NEW ACCOUNT'!C470)</f>
        <v/>
      </c>
      <c r="D469" s="19">
        <f>IF('NEW ACCOUNT'!A470="","",'NEW ACCOUNT'!D470)</f>
        <v/>
      </c>
      <c r="E469" s="19">
        <f>IF('NEW ACCOUNT'!A470="","",'NEW ACCOUNT'!E470)</f>
        <v/>
      </c>
      <c r="F469" s="19">
        <f>IF('NEW ACCOUNT'!A470="","",'NEW ACCOUNT'!F470)</f>
        <v/>
      </c>
      <c r="G469" s="19">
        <f>IF('NEW ACCOUNT'!A470="","",'NEW ACCOUNT'!G470)</f>
        <v/>
      </c>
      <c r="H469" s="19">
        <f>IF('NEW ACCOUNT'!A470="","",'NEW ACCOUNT'!H470)</f>
        <v/>
      </c>
      <c r="I469" s="20">
        <f>IFERROR(IF(A469="","",SUMIF(SAVINGS!$A:$A,A469,SAVINGS!$E:$E)),"")</f>
        <v/>
      </c>
      <c r="J469" s="20">
        <f>IFERROR(IF(A469="","",SUMIF(SAVINGS!$A:$A,A469,SAVINGS!$E:$E)-SUMIF(WITHDRAWALS!$A:$A,A469,WITHDRAWALS!$E:$E)),"")</f>
        <v/>
      </c>
    </row>
    <row r="470" ht="20" customHeight="1">
      <c r="A470" s="21">
        <f>'NEW ACCOUNT'!A471</f>
        <v/>
      </c>
      <c r="B470" s="22">
        <f>IF('NEW ACCOUNT'!A471="","",'NEW ACCOUNT'!B471)</f>
        <v/>
      </c>
      <c r="C470" s="22">
        <f>IF('NEW ACCOUNT'!A471="","",'NEW ACCOUNT'!C471)</f>
        <v/>
      </c>
      <c r="D470" s="22">
        <f>IF('NEW ACCOUNT'!A471="","",'NEW ACCOUNT'!D471)</f>
        <v/>
      </c>
      <c r="E470" s="22">
        <f>IF('NEW ACCOUNT'!A471="","",'NEW ACCOUNT'!E471)</f>
        <v/>
      </c>
      <c r="F470" s="22">
        <f>IF('NEW ACCOUNT'!A471="","",'NEW ACCOUNT'!F471)</f>
        <v/>
      </c>
      <c r="G470" s="22">
        <f>IF('NEW ACCOUNT'!A471="","",'NEW ACCOUNT'!G471)</f>
        <v/>
      </c>
      <c r="H470" s="22">
        <f>IF('NEW ACCOUNT'!A471="","",'NEW ACCOUNT'!H471)</f>
        <v/>
      </c>
      <c r="I470" s="23">
        <f>IFERROR(IF(A470="","",SUMIF(SAVINGS!$A:$A,A470,SAVINGS!$E:$E)),"")</f>
        <v/>
      </c>
      <c r="J470" s="23">
        <f>IFERROR(IF(A470="","",SUMIF(SAVINGS!$A:$A,A470,SAVINGS!$E:$E)-SUMIF(WITHDRAWALS!$A:$A,A470,WITHDRAWALS!$E:$E)),"")</f>
        <v/>
      </c>
    </row>
    <row r="471" ht="20" customHeight="1">
      <c r="A471" s="18">
        <f>'NEW ACCOUNT'!A472</f>
        <v/>
      </c>
      <c r="B471" s="19">
        <f>IF('NEW ACCOUNT'!A472="","",'NEW ACCOUNT'!B472)</f>
        <v/>
      </c>
      <c r="C471" s="19">
        <f>IF('NEW ACCOUNT'!A472="","",'NEW ACCOUNT'!C472)</f>
        <v/>
      </c>
      <c r="D471" s="19">
        <f>IF('NEW ACCOUNT'!A472="","",'NEW ACCOUNT'!D472)</f>
        <v/>
      </c>
      <c r="E471" s="19">
        <f>IF('NEW ACCOUNT'!A472="","",'NEW ACCOUNT'!E472)</f>
        <v/>
      </c>
      <c r="F471" s="19">
        <f>IF('NEW ACCOUNT'!A472="","",'NEW ACCOUNT'!F472)</f>
        <v/>
      </c>
      <c r="G471" s="19">
        <f>IF('NEW ACCOUNT'!A472="","",'NEW ACCOUNT'!G472)</f>
        <v/>
      </c>
      <c r="H471" s="19">
        <f>IF('NEW ACCOUNT'!A472="","",'NEW ACCOUNT'!H472)</f>
        <v/>
      </c>
      <c r="I471" s="20">
        <f>IFERROR(IF(A471="","",SUMIF(SAVINGS!$A:$A,A471,SAVINGS!$E:$E)),"")</f>
        <v/>
      </c>
      <c r="J471" s="20">
        <f>IFERROR(IF(A471="","",SUMIF(SAVINGS!$A:$A,A471,SAVINGS!$E:$E)-SUMIF(WITHDRAWALS!$A:$A,A471,WITHDRAWALS!$E:$E)),"")</f>
        <v/>
      </c>
    </row>
    <row r="472" ht="20" customHeight="1">
      <c r="A472" s="21">
        <f>'NEW ACCOUNT'!A473</f>
        <v/>
      </c>
      <c r="B472" s="22">
        <f>IF('NEW ACCOUNT'!A473="","",'NEW ACCOUNT'!B473)</f>
        <v/>
      </c>
      <c r="C472" s="22">
        <f>IF('NEW ACCOUNT'!A473="","",'NEW ACCOUNT'!C473)</f>
        <v/>
      </c>
      <c r="D472" s="22">
        <f>IF('NEW ACCOUNT'!A473="","",'NEW ACCOUNT'!D473)</f>
        <v/>
      </c>
      <c r="E472" s="22">
        <f>IF('NEW ACCOUNT'!A473="","",'NEW ACCOUNT'!E473)</f>
        <v/>
      </c>
      <c r="F472" s="22">
        <f>IF('NEW ACCOUNT'!A473="","",'NEW ACCOUNT'!F473)</f>
        <v/>
      </c>
      <c r="G472" s="22">
        <f>IF('NEW ACCOUNT'!A473="","",'NEW ACCOUNT'!G473)</f>
        <v/>
      </c>
      <c r="H472" s="22">
        <f>IF('NEW ACCOUNT'!A473="","",'NEW ACCOUNT'!H473)</f>
        <v/>
      </c>
      <c r="I472" s="23">
        <f>IFERROR(IF(A472="","",SUMIF(SAVINGS!$A:$A,A472,SAVINGS!$E:$E)),"")</f>
        <v/>
      </c>
      <c r="J472" s="23">
        <f>IFERROR(IF(A472="","",SUMIF(SAVINGS!$A:$A,A472,SAVINGS!$E:$E)-SUMIF(WITHDRAWALS!$A:$A,A472,WITHDRAWALS!$E:$E)),"")</f>
        <v/>
      </c>
    </row>
    <row r="473" ht="20" customHeight="1">
      <c r="A473" s="18">
        <f>'NEW ACCOUNT'!A474</f>
        <v/>
      </c>
      <c r="B473" s="19">
        <f>IF('NEW ACCOUNT'!A474="","",'NEW ACCOUNT'!B474)</f>
        <v/>
      </c>
      <c r="C473" s="19">
        <f>IF('NEW ACCOUNT'!A474="","",'NEW ACCOUNT'!C474)</f>
        <v/>
      </c>
      <c r="D473" s="19">
        <f>IF('NEW ACCOUNT'!A474="","",'NEW ACCOUNT'!D474)</f>
        <v/>
      </c>
      <c r="E473" s="19">
        <f>IF('NEW ACCOUNT'!A474="","",'NEW ACCOUNT'!E474)</f>
        <v/>
      </c>
      <c r="F473" s="19">
        <f>IF('NEW ACCOUNT'!A474="","",'NEW ACCOUNT'!F474)</f>
        <v/>
      </c>
      <c r="G473" s="19">
        <f>IF('NEW ACCOUNT'!A474="","",'NEW ACCOUNT'!G474)</f>
        <v/>
      </c>
      <c r="H473" s="19">
        <f>IF('NEW ACCOUNT'!A474="","",'NEW ACCOUNT'!H474)</f>
        <v/>
      </c>
      <c r="I473" s="20">
        <f>IFERROR(IF(A473="","",SUMIF(SAVINGS!$A:$A,A473,SAVINGS!$E:$E)),"")</f>
        <v/>
      </c>
      <c r="J473" s="20">
        <f>IFERROR(IF(A473="","",SUMIF(SAVINGS!$A:$A,A473,SAVINGS!$E:$E)-SUMIF(WITHDRAWALS!$A:$A,A473,WITHDRAWALS!$E:$E)),"")</f>
        <v/>
      </c>
    </row>
    <row r="474" ht="20" customHeight="1">
      <c r="A474" s="21">
        <f>'NEW ACCOUNT'!A475</f>
        <v/>
      </c>
      <c r="B474" s="22">
        <f>IF('NEW ACCOUNT'!A475="","",'NEW ACCOUNT'!B475)</f>
        <v/>
      </c>
      <c r="C474" s="22">
        <f>IF('NEW ACCOUNT'!A475="","",'NEW ACCOUNT'!C475)</f>
        <v/>
      </c>
      <c r="D474" s="22">
        <f>IF('NEW ACCOUNT'!A475="","",'NEW ACCOUNT'!D475)</f>
        <v/>
      </c>
      <c r="E474" s="22">
        <f>IF('NEW ACCOUNT'!A475="","",'NEW ACCOUNT'!E475)</f>
        <v/>
      </c>
      <c r="F474" s="22">
        <f>IF('NEW ACCOUNT'!A475="","",'NEW ACCOUNT'!F475)</f>
        <v/>
      </c>
      <c r="G474" s="22">
        <f>IF('NEW ACCOUNT'!A475="","",'NEW ACCOUNT'!G475)</f>
        <v/>
      </c>
      <c r="H474" s="22">
        <f>IF('NEW ACCOUNT'!A475="","",'NEW ACCOUNT'!H475)</f>
        <v/>
      </c>
      <c r="I474" s="23">
        <f>IFERROR(IF(A474="","",SUMIF(SAVINGS!$A:$A,A474,SAVINGS!$E:$E)),"")</f>
        <v/>
      </c>
      <c r="J474" s="23">
        <f>IFERROR(IF(A474="","",SUMIF(SAVINGS!$A:$A,A474,SAVINGS!$E:$E)-SUMIF(WITHDRAWALS!$A:$A,A474,WITHDRAWALS!$E:$E)),"")</f>
        <v/>
      </c>
    </row>
    <row r="475" ht="20" customHeight="1">
      <c r="A475" s="18">
        <f>'NEW ACCOUNT'!A476</f>
        <v/>
      </c>
      <c r="B475" s="19">
        <f>IF('NEW ACCOUNT'!A476="","",'NEW ACCOUNT'!B476)</f>
        <v/>
      </c>
      <c r="C475" s="19">
        <f>IF('NEW ACCOUNT'!A476="","",'NEW ACCOUNT'!C476)</f>
        <v/>
      </c>
      <c r="D475" s="19">
        <f>IF('NEW ACCOUNT'!A476="","",'NEW ACCOUNT'!D476)</f>
        <v/>
      </c>
      <c r="E475" s="19">
        <f>IF('NEW ACCOUNT'!A476="","",'NEW ACCOUNT'!E476)</f>
        <v/>
      </c>
      <c r="F475" s="19">
        <f>IF('NEW ACCOUNT'!A476="","",'NEW ACCOUNT'!F476)</f>
        <v/>
      </c>
      <c r="G475" s="19">
        <f>IF('NEW ACCOUNT'!A476="","",'NEW ACCOUNT'!G476)</f>
        <v/>
      </c>
      <c r="H475" s="19">
        <f>IF('NEW ACCOUNT'!A476="","",'NEW ACCOUNT'!H476)</f>
        <v/>
      </c>
      <c r="I475" s="20">
        <f>IFERROR(IF(A475="","",SUMIF(SAVINGS!$A:$A,A475,SAVINGS!$E:$E)),"")</f>
        <v/>
      </c>
      <c r="J475" s="20">
        <f>IFERROR(IF(A475="","",SUMIF(SAVINGS!$A:$A,A475,SAVINGS!$E:$E)-SUMIF(WITHDRAWALS!$A:$A,A475,WITHDRAWALS!$E:$E)),"")</f>
        <v/>
      </c>
    </row>
    <row r="476" ht="20" customHeight="1">
      <c r="A476" s="21">
        <f>'NEW ACCOUNT'!A477</f>
        <v/>
      </c>
      <c r="B476" s="22">
        <f>IF('NEW ACCOUNT'!A477="","",'NEW ACCOUNT'!B477)</f>
        <v/>
      </c>
      <c r="C476" s="22">
        <f>IF('NEW ACCOUNT'!A477="","",'NEW ACCOUNT'!C477)</f>
        <v/>
      </c>
      <c r="D476" s="22">
        <f>IF('NEW ACCOUNT'!A477="","",'NEW ACCOUNT'!D477)</f>
        <v/>
      </c>
      <c r="E476" s="22">
        <f>IF('NEW ACCOUNT'!A477="","",'NEW ACCOUNT'!E477)</f>
        <v/>
      </c>
      <c r="F476" s="22">
        <f>IF('NEW ACCOUNT'!A477="","",'NEW ACCOUNT'!F477)</f>
        <v/>
      </c>
      <c r="G476" s="22">
        <f>IF('NEW ACCOUNT'!A477="","",'NEW ACCOUNT'!G477)</f>
        <v/>
      </c>
      <c r="H476" s="22">
        <f>IF('NEW ACCOUNT'!A477="","",'NEW ACCOUNT'!H477)</f>
        <v/>
      </c>
      <c r="I476" s="23">
        <f>IFERROR(IF(A476="","",SUMIF(SAVINGS!$A:$A,A476,SAVINGS!$E:$E)),"")</f>
        <v/>
      </c>
      <c r="J476" s="23">
        <f>IFERROR(IF(A476="","",SUMIF(SAVINGS!$A:$A,A476,SAVINGS!$E:$E)-SUMIF(WITHDRAWALS!$A:$A,A476,WITHDRAWALS!$E:$E)),"")</f>
        <v/>
      </c>
    </row>
    <row r="477" ht="20" customHeight="1">
      <c r="A477" s="18">
        <f>'NEW ACCOUNT'!A478</f>
        <v/>
      </c>
      <c r="B477" s="19">
        <f>IF('NEW ACCOUNT'!A478="","",'NEW ACCOUNT'!B478)</f>
        <v/>
      </c>
      <c r="C477" s="19">
        <f>IF('NEW ACCOUNT'!A478="","",'NEW ACCOUNT'!C478)</f>
        <v/>
      </c>
      <c r="D477" s="19">
        <f>IF('NEW ACCOUNT'!A478="","",'NEW ACCOUNT'!D478)</f>
        <v/>
      </c>
      <c r="E477" s="19">
        <f>IF('NEW ACCOUNT'!A478="","",'NEW ACCOUNT'!E478)</f>
        <v/>
      </c>
      <c r="F477" s="19">
        <f>IF('NEW ACCOUNT'!A478="","",'NEW ACCOUNT'!F478)</f>
        <v/>
      </c>
      <c r="G477" s="19">
        <f>IF('NEW ACCOUNT'!A478="","",'NEW ACCOUNT'!G478)</f>
        <v/>
      </c>
      <c r="H477" s="19">
        <f>IF('NEW ACCOUNT'!A478="","",'NEW ACCOUNT'!H478)</f>
        <v/>
      </c>
      <c r="I477" s="20">
        <f>IFERROR(IF(A477="","",SUMIF(SAVINGS!$A:$A,A477,SAVINGS!$E:$E)),"")</f>
        <v/>
      </c>
      <c r="J477" s="20">
        <f>IFERROR(IF(A477="","",SUMIF(SAVINGS!$A:$A,A477,SAVINGS!$E:$E)-SUMIF(WITHDRAWALS!$A:$A,A477,WITHDRAWALS!$E:$E)),"")</f>
        <v/>
      </c>
    </row>
    <row r="478" ht="20" customHeight="1">
      <c r="A478" s="21">
        <f>'NEW ACCOUNT'!A479</f>
        <v/>
      </c>
      <c r="B478" s="22">
        <f>IF('NEW ACCOUNT'!A479="","",'NEW ACCOUNT'!B479)</f>
        <v/>
      </c>
      <c r="C478" s="22">
        <f>IF('NEW ACCOUNT'!A479="","",'NEW ACCOUNT'!C479)</f>
        <v/>
      </c>
      <c r="D478" s="22">
        <f>IF('NEW ACCOUNT'!A479="","",'NEW ACCOUNT'!D479)</f>
        <v/>
      </c>
      <c r="E478" s="22">
        <f>IF('NEW ACCOUNT'!A479="","",'NEW ACCOUNT'!E479)</f>
        <v/>
      </c>
      <c r="F478" s="22">
        <f>IF('NEW ACCOUNT'!A479="","",'NEW ACCOUNT'!F479)</f>
        <v/>
      </c>
      <c r="G478" s="22">
        <f>IF('NEW ACCOUNT'!A479="","",'NEW ACCOUNT'!G479)</f>
        <v/>
      </c>
      <c r="H478" s="22">
        <f>IF('NEW ACCOUNT'!A479="","",'NEW ACCOUNT'!H479)</f>
        <v/>
      </c>
      <c r="I478" s="23">
        <f>IFERROR(IF(A478="","",SUMIF(SAVINGS!$A:$A,A478,SAVINGS!$E:$E)),"")</f>
        <v/>
      </c>
      <c r="J478" s="23">
        <f>IFERROR(IF(A478="","",SUMIF(SAVINGS!$A:$A,A478,SAVINGS!$E:$E)-SUMIF(WITHDRAWALS!$A:$A,A478,WITHDRAWALS!$E:$E)),"")</f>
        <v/>
      </c>
    </row>
    <row r="479" ht="20" customHeight="1">
      <c r="A479" s="18">
        <f>'NEW ACCOUNT'!A480</f>
        <v/>
      </c>
      <c r="B479" s="19">
        <f>IF('NEW ACCOUNT'!A480="","",'NEW ACCOUNT'!B480)</f>
        <v/>
      </c>
      <c r="C479" s="19">
        <f>IF('NEW ACCOUNT'!A480="","",'NEW ACCOUNT'!C480)</f>
        <v/>
      </c>
      <c r="D479" s="19">
        <f>IF('NEW ACCOUNT'!A480="","",'NEW ACCOUNT'!D480)</f>
        <v/>
      </c>
      <c r="E479" s="19">
        <f>IF('NEW ACCOUNT'!A480="","",'NEW ACCOUNT'!E480)</f>
        <v/>
      </c>
      <c r="F479" s="19">
        <f>IF('NEW ACCOUNT'!A480="","",'NEW ACCOUNT'!F480)</f>
        <v/>
      </c>
      <c r="G479" s="19">
        <f>IF('NEW ACCOUNT'!A480="","",'NEW ACCOUNT'!G480)</f>
        <v/>
      </c>
      <c r="H479" s="19">
        <f>IF('NEW ACCOUNT'!A480="","",'NEW ACCOUNT'!H480)</f>
        <v/>
      </c>
      <c r="I479" s="20">
        <f>IFERROR(IF(A479="","",SUMIF(SAVINGS!$A:$A,A479,SAVINGS!$E:$E)),"")</f>
        <v/>
      </c>
      <c r="J479" s="20">
        <f>IFERROR(IF(A479="","",SUMIF(SAVINGS!$A:$A,A479,SAVINGS!$E:$E)-SUMIF(WITHDRAWALS!$A:$A,A479,WITHDRAWALS!$E:$E)),"")</f>
        <v/>
      </c>
    </row>
    <row r="480" ht="20" customHeight="1">
      <c r="A480" s="21">
        <f>'NEW ACCOUNT'!A481</f>
        <v/>
      </c>
      <c r="B480" s="22">
        <f>IF('NEW ACCOUNT'!A481="","",'NEW ACCOUNT'!B481)</f>
        <v/>
      </c>
      <c r="C480" s="22">
        <f>IF('NEW ACCOUNT'!A481="","",'NEW ACCOUNT'!C481)</f>
        <v/>
      </c>
      <c r="D480" s="22">
        <f>IF('NEW ACCOUNT'!A481="","",'NEW ACCOUNT'!D481)</f>
        <v/>
      </c>
      <c r="E480" s="22">
        <f>IF('NEW ACCOUNT'!A481="","",'NEW ACCOUNT'!E481)</f>
        <v/>
      </c>
      <c r="F480" s="22">
        <f>IF('NEW ACCOUNT'!A481="","",'NEW ACCOUNT'!F481)</f>
        <v/>
      </c>
      <c r="G480" s="22">
        <f>IF('NEW ACCOUNT'!A481="","",'NEW ACCOUNT'!G481)</f>
        <v/>
      </c>
      <c r="H480" s="22">
        <f>IF('NEW ACCOUNT'!A481="","",'NEW ACCOUNT'!H481)</f>
        <v/>
      </c>
      <c r="I480" s="23">
        <f>IFERROR(IF(A480="","",SUMIF(SAVINGS!$A:$A,A480,SAVINGS!$E:$E)),"")</f>
        <v/>
      </c>
      <c r="J480" s="23">
        <f>IFERROR(IF(A480="","",SUMIF(SAVINGS!$A:$A,A480,SAVINGS!$E:$E)-SUMIF(WITHDRAWALS!$A:$A,A480,WITHDRAWALS!$E:$E)),"")</f>
        <v/>
      </c>
    </row>
    <row r="481" ht="20" customHeight="1">
      <c r="A481" s="18">
        <f>'NEW ACCOUNT'!A482</f>
        <v/>
      </c>
      <c r="B481" s="19">
        <f>IF('NEW ACCOUNT'!A482="","",'NEW ACCOUNT'!B482)</f>
        <v/>
      </c>
      <c r="C481" s="19">
        <f>IF('NEW ACCOUNT'!A482="","",'NEW ACCOUNT'!C482)</f>
        <v/>
      </c>
      <c r="D481" s="19">
        <f>IF('NEW ACCOUNT'!A482="","",'NEW ACCOUNT'!D482)</f>
        <v/>
      </c>
      <c r="E481" s="19">
        <f>IF('NEW ACCOUNT'!A482="","",'NEW ACCOUNT'!E482)</f>
        <v/>
      </c>
      <c r="F481" s="19">
        <f>IF('NEW ACCOUNT'!A482="","",'NEW ACCOUNT'!F482)</f>
        <v/>
      </c>
      <c r="G481" s="19">
        <f>IF('NEW ACCOUNT'!A482="","",'NEW ACCOUNT'!G482)</f>
        <v/>
      </c>
      <c r="H481" s="19">
        <f>IF('NEW ACCOUNT'!A482="","",'NEW ACCOUNT'!H482)</f>
        <v/>
      </c>
      <c r="I481" s="20">
        <f>IFERROR(IF(A481="","",SUMIF(SAVINGS!$A:$A,A481,SAVINGS!$E:$E)),"")</f>
        <v/>
      </c>
      <c r="J481" s="20">
        <f>IFERROR(IF(A481="","",SUMIF(SAVINGS!$A:$A,A481,SAVINGS!$E:$E)-SUMIF(WITHDRAWALS!$A:$A,A481,WITHDRAWALS!$E:$E)),"")</f>
        <v/>
      </c>
    </row>
    <row r="482" ht="20" customHeight="1">
      <c r="A482" s="21">
        <f>'NEW ACCOUNT'!A483</f>
        <v/>
      </c>
      <c r="B482" s="22">
        <f>IF('NEW ACCOUNT'!A483="","",'NEW ACCOUNT'!B483)</f>
        <v/>
      </c>
      <c r="C482" s="22">
        <f>IF('NEW ACCOUNT'!A483="","",'NEW ACCOUNT'!C483)</f>
        <v/>
      </c>
      <c r="D482" s="22">
        <f>IF('NEW ACCOUNT'!A483="","",'NEW ACCOUNT'!D483)</f>
        <v/>
      </c>
      <c r="E482" s="22">
        <f>IF('NEW ACCOUNT'!A483="","",'NEW ACCOUNT'!E483)</f>
        <v/>
      </c>
      <c r="F482" s="22">
        <f>IF('NEW ACCOUNT'!A483="","",'NEW ACCOUNT'!F483)</f>
        <v/>
      </c>
      <c r="G482" s="22">
        <f>IF('NEW ACCOUNT'!A483="","",'NEW ACCOUNT'!G483)</f>
        <v/>
      </c>
      <c r="H482" s="22">
        <f>IF('NEW ACCOUNT'!A483="","",'NEW ACCOUNT'!H483)</f>
        <v/>
      </c>
      <c r="I482" s="23">
        <f>IFERROR(IF(A482="","",SUMIF(SAVINGS!$A:$A,A482,SAVINGS!$E:$E)),"")</f>
        <v/>
      </c>
      <c r="J482" s="23">
        <f>IFERROR(IF(A482="","",SUMIF(SAVINGS!$A:$A,A482,SAVINGS!$E:$E)-SUMIF(WITHDRAWALS!$A:$A,A482,WITHDRAWALS!$E:$E)),"")</f>
        <v/>
      </c>
    </row>
    <row r="483" ht="20" customHeight="1">
      <c r="A483" s="18">
        <f>'NEW ACCOUNT'!A484</f>
        <v/>
      </c>
      <c r="B483" s="19">
        <f>IF('NEW ACCOUNT'!A484="","",'NEW ACCOUNT'!B484)</f>
        <v/>
      </c>
      <c r="C483" s="19">
        <f>IF('NEW ACCOUNT'!A484="","",'NEW ACCOUNT'!C484)</f>
        <v/>
      </c>
      <c r="D483" s="19">
        <f>IF('NEW ACCOUNT'!A484="","",'NEW ACCOUNT'!D484)</f>
        <v/>
      </c>
      <c r="E483" s="19">
        <f>IF('NEW ACCOUNT'!A484="","",'NEW ACCOUNT'!E484)</f>
        <v/>
      </c>
      <c r="F483" s="19">
        <f>IF('NEW ACCOUNT'!A484="","",'NEW ACCOUNT'!F484)</f>
        <v/>
      </c>
      <c r="G483" s="19">
        <f>IF('NEW ACCOUNT'!A484="","",'NEW ACCOUNT'!G484)</f>
        <v/>
      </c>
      <c r="H483" s="19">
        <f>IF('NEW ACCOUNT'!A484="","",'NEW ACCOUNT'!H484)</f>
        <v/>
      </c>
      <c r="I483" s="20">
        <f>IFERROR(IF(A483="","",SUMIF(SAVINGS!$A:$A,A483,SAVINGS!$E:$E)),"")</f>
        <v/>
      </c>
      <c r="J483" s="20">
        <f>IFERROR(IF(A483="","",SUMIF(SAVINGS!$A:$A,A483,SAVINGS!$E:$E)-SUMIF(WITHDRAWALS!$A:$A,A483,WITHDRAWALS!$E:$E)),"")</f>
        <v/>
      </c>
    </row>
    <row r="484" ht="20" customHeight="1">
      <c r="A484" s="21">
        <f>'NEW ACCOUNT'!A485</f>
        <v/>
      </c>
      <c r="B484" s="22">
        <f>IF('NEW ACCOUNT'!A485="","",'NEW ACCOUNT'!B485)</f>
        <v/>
      </c>
      <c r="C484" s="22">
        <f>IF('NEW ACCOUNT'!A485="","",'NEW ACCOUNT'!C485)</f>
        <v/>
      </c>
      <c r="D484" s="22">
        <f>IF('NEW ACCOUNT'!A485="","",'NEW ACCOUNT'!D485)</f>
        <v/>
      </c>
      <c r="E484" s="22">
        <f>IF('NEW ACCOUNT'!A485="","",'NEW ACCOUNT'!E485)</f>
        <v/>
      </c>
      <c r="F484" s="22">
        <f>IF('NEW ACCOUNT'!A485="","",'NEW ACCOUNT'!F485)</f>
        <v/>
      </c>
      <c r="G484" s="22">
        <f>IF('NEW ACCOUNT'!A485="","",'NEW ACCOUNT'!G485)</f>
        <v/>
      </c>
      <c r="H484" s="22">
        <f>IF('NEW ACCOUNT'!A485="","",'NEW ACCOUNT'!H485)</f>
        <v/>
      </c>
      <c r="I484" s="23">
        <f>IFERROR(IF(A484="","",SUMIF(SAVINGS!$A:$A,A484,SAVINGS!$E:$E)),"")</f>
        <v/>
      </c>
      <c r="J484" s="23">
        <f>IFERROR(IF(A484="","",SUMIF(SAVINGS!$A:$A,A484,SAVINGS!$E:$E)-SUMIF(WITHDRAWALS!$A:$A,A484,WITHDRAWALS!$E:$E)),"")</f>
        <v/>
      </c>
    </row>
    <row r="485" ht="20" customHeight="1">
      <c r="A485" s="18">
        <f>'NEW ACCOUNT'!A486</f>
        <v/>
      </c>
      <c r="B485" s="19">
        <f>IF('NEW ACCOUNT'!A486="","",'NEW ACCOUNT'!B486)</f>
        <v/>
      </c>
      <c r="C485" s="19">
        <f>IF('NEW ACCOUNT'!A486="","",'NEW ACCOUNT'!C486)</f>
        <v/>
      </c>
      <c r="D485" s="19">
        <f>IF('NEW ACCOUNT'!A486="","",'NEW ACCOUNT'!D486)</f>
        <v/>
      </c>
      <c r="E485" s="19">
        <f>IF('NEW ACCOUNT'!A486="","",'NEW ACCOUNT'!E486)</f>
        <v/>
      </c>
      <c r="F485" s="19">
        <f>IF('NEW ACCOUNT'!A486="","",'NEW ACCOUNT'!F486)</f>
        <v/>
      </c>
      <c r="G485" s="19">
        <f>IF('NEW ACCOUNT'!A486="","",'NEW ACCOUNT'!G486)</f>
        <v/>
      </c>
      <c r="H485" s="19">
        <f>IF('NEW ACCOUNT'!A486="","",'NEW ACCOUNT'!H486)</f>
        <v/>
      </c>
      <c r="I485" s="20">
        <f>IFERROR(IF(A485="","",SUMIF(SAVINGS!$A:$A,A485,SAVINGS!$E:$E)),"")</f>
        <v/>
      </c>
      <c r="J485" s="20">
        <f>IFERROR(IF(A485="","",SUMIF(SAVINGS!$A:$A,A485,SAVINGS!$E:$E)-SUMIF(WITHDRAWALS!$A:$A,A485,WITHDRAWALS!$E:$E)),"")</f>
        <v/>
      </c>
    </row>
    <row r="486" ht="20" customHeight="1">
      <c r="A486" s="21">
        <f>'NEW ACCOUNT'!A487</f>
        <v/>
      </c>
      <c r="B486" s="22">
        <f>IF('NEW ACCOUNT'!A487="","",'NEW ACCOUNT'!B487)</f>
        <v/>
      </c>
      <c r="C486" s="22">
        <f>IF('NEW ACCOUNT'!A487="","",'NEW ACCOUNT'!C487)</f>
        <v/>
      </c>
      <c r="D486" s="22">
        <f>IF('NEW ACCOUNT'!A487="","",'NEW ACCOUNT'!D487)</f>
        <v/>
      </c>
      <c r="E486" s="22">
        <f>IF('NEW ACCOUNT'!A487="","",'NEW ACCOUNT'!E487)</f>
        <v/>
      </c>
      <c r="F486" s="22">
        <f>IF('NEW ACCOUNT'!A487="","",'NEW ACCOUNT'!F487)</f>
        <v/>
      </c>
      <c r="G486" s="22">
        <f>IF('NEW ACCOUNT'!A487="","",'NEW ACCOUNT'!G487)</f>
        <v/>
      </c>
      <c r="H486" s="22">
        <f>IF('NEW ACCOUNT'!A487="","",'NEW ACCOUNT'!H487)</f>
        <v/>
      </c>
      <c r="I486" s="23">
        <f>IFERROR(IF(A486="","",SUMIF(SAVINGS!$A:$A,A486,SAVINGS!$E:$E)),"")</f>
        <v/>
      </c>
      <c r="J486" s="23">
        <f>IFERROR(IF(A486="","",SUMIF(SAVINGS!$A:$A,A486,SAVINGS!$E:$E)-SUMIF(WITHDRAWALS!$A:$A,A486,WITHDRAWALS!$E:$E)),"")</f>
        <v/>
      </c>
    </row>
    <row r="487" ht="20" customHeight="1">
      <c r="A487" s="18">
        <f>'NEW ACCOUNT'!A488</f>
        <v/>
      </c>
      <c r="B487" s="19">
        <f>IF('NEW ACCOUNT'!A488="","",'NEW ACCOUNT'!B488)</f>
        <v/>
      </c>
      <c r="C487" s="19">
        <f>IF('NEW ACCOUNT'!A488="","",'NEW ACCOUNT'!C488)</f>
        <v/>
      </c>
      <c r="D487" s="19">
        <f>IF('NEW ACCOUNT'!A488="","",'NEW ACCOUNT'!D488)</f>
        <v/>
      </c>
      <c r="E487" s="19">
        <f>IF('NEW ACCOUNT'!A488="","",'NEW ACCOUNT'!E488)</f>
        <v/>
      </c>
      <c r="F487" s="19">
        <f>IF('NEW ACCOUNT'!A488="","",'NEW ACCOUNT'!F488)</f>
        <v/>
      </c>
      <c r="G487" s="19">
        <f>IF('NEW ACCOUNT'!A488="","",'NEW ACCOUNT'!G488)</f>
        <v/>
      </c>
      <c r="H487" s="19">
        <f>IF('NEW ACCOUNT'!A488="","",'NEW ACCOUNT'!H488)</f>
        <v/>
      </c>
      <c r="I487" s="20">
        <f>IFERROR(IF(A487="","",SUMIF(SAVINGS!$A:$A,A487,SAVINGS!$E:$E)),"")</f>
        <v/>
      </c>
      <c r="J487" s="20">
        <f>IFERROR(IF(A487="","",SUMIF(SAVINGS!$A:$A,A487,SAVINGS!$E:$E)-SUMIF(WITHDRAWALS!$A:$A,A487,WITHDRAWALS!$E:$E)),"")</f>
        <v/>
      </c>
    </row>
    <row r="488" ht="20" customHeight="1">
      <c r="A488" s="21">
        <f>'NEW ACCOUNT'!A489</f>
        <v/>
      </c>
      <c r="B488" s="22">
        <f>IF('NEW ACCOUNT'!A489="","",'NEW ACCOUNT'!B489)</f>
        <v/>
      </c>
      <c r="C488" s="22">
        <f>IF('NEW ACCOUNT'!A489="","",'NEW ACCOUNT'!C489)</f>
        <v/>
      </c>
      <c r="D488" s="22">
        <f>IF('NEW ACCOUNT'!A489="","",'NEW ACCOUNT'!D489)</f>
        <v/>
      </c>
      <c r="E488" s="22">
        <f>IF('NEW ACCOUNT'!A489="","",'NEW ACCOUNT'!E489)</f>
        <v/>
      </c>
      <c r="F488" s="22">
        <f>IF('NEW ACCOUNT'!A489="","",'NEW ACCOUNT'!F489)</f>
        <v/>
      </c>
      <c r="G488" s="22">
        <f>IF('NEW ACCOUNT'!A489="","",'NEW ACCOUNT'!G489)</f>
        <v/>
      </c>
      <c r="H488" s="22">
        <f>IF('NEW ACCOUNT'!A489="","",'NEW ACCOUNT'!H489)</f>
        <v/>
      </c>
      <c r="I488" s="23">
        <f>IFERROR(IF(A488="","",SUMIF(SAVINGS!$A:$A,A488,SAVINGS!$E:$E)),"")</f>
        <v/>
      </c>
      <c r="J488" s="23">
        <f>IFERROR(IF(A488="","",SUMIF(SAVINGS!$A:$A,A488,SAVINGS!$E:$E)-SUMIF(WITHDRAWALS!$A:$A,A488,WITHDRAWALS!$E:$E)),"")</f>
        <v/>
      </c>
    </row>
    <row r="489" ht="20" customHeight="1">
      <c r="A489" s="18">
        <f>'NEW ACCOUNT'!A490</f>
        <v/>
      </c>
      <c r="B489" s="19">
        <f>IF('NEW ACCOUNT'!A490="","",'NEW ACCOUNT'!B490)</f>
        <v/>
      </c>
      <c r="C489" s="19">
        <f>IF('NEW ACCOUNT'!A490="","",'NEW ACCOUNT'!C490)</f>
        <v/>
      </c>
      <c r="D489" s="19">
        <f>IF('NEW ACCOUNT'!A490="","",'NEW ACCOUNT'!D490)</f>
        <v/>
      </c>
      <c r="E489" s="19">
        <f>IF('NEW ACCOUNT'!A490="","",'NEW ACCOUNT'!E490)</f>
        <v/>
      </c>
      <c r="F489" s="19">
        <f>IF('NEW ACCOUNT'!A490="","",'NEW ACCOUNT'!F490)</f>
        <v/>
      </c>
      <c r="G489" s="19">
        <f>IF('NEW ACCOUNT'!A490="","",'NEW ACCOUNT'!G490)</f>
        <v/>
      </c>
      <c r="H489" s="19">
        <f>IF('NEW ACCOUNT'!A490="","",'NEW ACCOUNT'!H490)</f>
        <v/>
      </c>
      <c r="I489" s="20">
        <f>IFERROR(IF(A489="","",SUMIF(SAVINGS!$A:$A,A489,SAVINGS!$E:$E)),"")</f>
        <v/>
      </c>
      <c r="J489" s="20">
        <f>IFERROR(IF(A489="","",SUMIF(SAVINGS!$A:$A,A489,SAVINGS!$E:$E)-SUMIF(WITHDRAWALS!$A:$A,A489,WITHDRAWALS!$E:$E)),"")</f>
        <v/>
      </c>
    </row>
    <row r="490" ht="20" customHeight="1">
      <c r="A490" s="21">
        <f>'NEW ACCOUNT'!A491</f>
        <v/>
      </c>
      <c r="B490" s="22">
        <f>IF('NEW ACCOUNT'!A491="","",'NEW ACCOUNT'!B491)</f>
        <v/>
      </c>
      <c r="C490" s="22">
        <f>IF('NEW ACCOUNT'!A491="","",'NEW ACCOUNT'!C491)</f>
        <v/>
      </c>
      <c r="D490" s="22">
        <f>IF('NEW ACCOUNT'!A491="","",'NEW ACCOUNT'!D491)</f>
        <v/>
      </c>
      <c r="E490" s="22">
        <f>IF('NEW ACCOUNT'!A491="","",'NEW ACCOUNT'!E491)</f>
        <v/>
      </c>
      <c r="F490" s="22">
        <f>IF('NEW ACCOUNT'!A491="","",'NEW ACCOUNT'!F491)</f>
        <v/>
      </c>
      <c r="G490" s="22">
        <f>IF('NEW ACCOUNT'!A491="","",'NEW ACCOUNT'!G491)</f>
        <v/>
      </c>
      <c r="H490" s="22">
        <f>IF('NEW ACCOUNT'!A491="","",'NEW ACCOUNT'!H491)</f>
        <v/>
      </c>
      <c r="I490" s="23">
        <f>IFERROR(IF(A490="","",SUMIF(SAVINGS!$A:$A,A490,SAVINGS!$E:$E)),"")</f>
        <v/>
      </c>
      <c r="J490" s="23">
        <f>IFERROR(IF(A490="","",SUMIF(SAVINGS!$A:$A,A490,SAVINGS!$E:$E)-SUMIF(WITHDRAWALS!$A:$A,A490,WITHDRAWALS!$E:$E)),"")</f>
        <v/>
      </c>
    </row>
    <row r="491" ht="20" customHeight="1">
      <c r="A491" s="18">
        <f>'NEW ACCOUNT'!A492</f>
        <v/>
      </c>
      <c r="B491" s="19">
        <f>IF('NEW ACCOUNT'!A492="","",'NEW ACCOUNT'!B492)</f>
        <v/>
      </c>
      <c r="C491" s="19">
        <f>IF('NEW ACCOUNT'!A492="","",'NEW ACCOUNT'!C492)</f>
        <v/>
      </c>
      <c r="D491" s="19">
        <f>IF('NEW ACCOUNT'!A492="","",'NEW ACCOUNT'!D492)</f>
        <v/>
      </c>
      <c r="E491" s="19">
        <f>IF('NEW ACCOUNT'!A492="","",'NEW ACCOUNT'!E492)</f>
        <v/>
      </c>
      <c r="F491" s="19">
        <f>IF('NEW ACCOUNT'!A492="","",'NEW ACCOUNT'!F492)</f>
        <v/>
      </c>
      <c r="G491" s="19">
        <f>IF('NEW ACCOUNT'!A492="","",'NEW ACCOUNT'!G492)</f>
        <v/>
      </c>
      <c r="H491" s="19">
        <f>IF('NEW ACCOUNT'!A492="","",'NEW ACCOUNT'!H492)</f>
        <v/>
      </c>
      <c r="I491" s="20">
        <f>IFERROR(IF(A491="","",SUMIF(SAVINGS!$A:$A,A491,SAVINGS!$E:$E)),"")</f>
        <v/>
      </c>
      <c r="J491" s="20">
        <f>IFERROR(IF(A491="","",SUMIF(SAVINGS!$A:$A,A491,SAVINGS!$E:$E)-SUMIF(WITHDRAWALS!$A:$A,A491,WITHDRAWALS!$E:$E)),"")</f>
        <v/>
      </c>
    </row>
    <row r="492" ht="20" customHeight="1">
      <c r="A492" s="21">
        <f>'NEW ACCOUNT'!A493</f>
        <v/>
      </c>
      <c r="B492" s="22">
        <f>IF('NEW ACCOUNT'!A493="","",'NEW ACCOUNT'!B493)</f>
        <v/>
      </c>
      <c r="C492" s="22">
        <f>IF('NEW ACCOUNT'!A493="","",'NEW ACCOUNT'!C493)</f>
        <v/>
      </c>
      <c r="D492" s="22">
        <f>IF('NEW ACCOUNT'!A493="","",'NEW ACCOUNT'!D493)</f>
        <v/>
      </c>
      <c r="E492" s="22">
        <f>IF('NEW ACCOUNT'!A493="","",'NEW ACCOUNT'!E493)</f>
        <v/>
      </c>
      <c r="F492" s="22">
        <f>IF('NEW ACCOUNT'!A493="","",'NEW ACCOUNT'!F493)</f>
        <v/>
      </c>
      <c r="G492" s="22">
        <f>IF('NEW ACCOUNT'!A493="","",'NEW ACCOUNT'!G493)</f>
        <v/>
      </c>
      <c r="H492" s="22">
        <f>IF('NEW ACCOUNT'!A493="","",'NEW ACCOUNT'!H493)</f>
        <v/>
      </c>
      <c r="I492" s="23">
        <f>IFERROR(IF(A492="","",SUMIF(SAVINGS!$A:$A,A492,SAVINGS!$E:$E)),"")</f>
        <v/>
      </c>
      <c r="J492" s="23">
        <f>IFERROR(IF(A492="","",SUMIF(SAVINGS!$A:$A,A492,SAVINGS!$E:$E)-SUMIF(WITHDRAWALS!$A:$A,A492,WITHDRAWALS!$E:$E)),"")</f>
        <v/>
      </c>
    </row>
    <row r="493" ht="20" customHeight="1">
      <c r="A493" s="18">
        <f>'NEW ACCOUNT'!A494</f>
        <v/>
      </c>
      <c r="B493" s="19">
        <f>IF('NEW ACCOUNT'!A494="","",'NEW ACCOUNT'!B494)</f>
        <v/>
      </c>
      <c r="C493" s="19">
        <f>IF('NEW ACCOUNT'!A494="","",'NEW ACCOUNT'!C494)</f>
        <v/>
      </c>
      <c r="D493" s="19">
        <f>IF('NEW ACCOUNT'!A494="","",'NEW ACCOUNT'!D494)</f>
        <v/>
      </c>
      <c r="E493" s="19">
        <f>IF('NEW ACCOUNT'!A494="","",'NEW ACCOUNT'!E494)</f>
        <v/>
      </c>
      <c r="F493" s="19">
        <f>IF('NEW ACCOUNT'!A494="","",'NEW ACCOUNT'!F494)</f>
        <v/>
      </c>
      <c r="G493" s="19">
        <f>IF('NEW ACCOUNT'!A494="","",'NEW ACCOUNT'!G494)</f>
        <v/>
      </c>
      <c r="H493" s="19">
        <f>IF('NEW ACCOUNT'!A494="","",'NEW ACCOUNT'!H494)</f>
        <v/>
      </c>
      <c r="I493" s="20">
        <f>IFERROR(IF(A493="","",SUMIF(SAVINGS!$A:$A,A493,SAVINGS!$E:$E)),"")</f>
        <v/>
      </c>
      <c r="J493" s="20">
        <f>IFERROR(IF(A493="","",SUMIF(SAVINGS!$A:$A,A493,SAVINGS!$E:$E)-SUMIF(WITHDRAWALS!$A:$A,A493,WITHDRAWALS!$E:$E)),"")</f>
        <v/>
      </c>
    </row>
    <row r="494" ht="20" customHeight="1">
      <c r="A494" s="21">
        <f>'NEW ACCOUNT'!A495</f>
        <v/>
      </c>
      <c r="B494" s="22">
        <f>IF('NEW ACCOUNT'!A495="","",'NEW ACCOUNT'!B495)</f>
        <v/>
      </c>
      <c r="C494" s="22">
        <f>IF('NEW ACCOUNT'!A495="","",'NEW ACCOUNT'!C495)</f>
        <v/>
      </c>
      <c r="D494" s="22">
        <f>IF('NEW ACCOUNT'!A495="","",'NEW ACCOUNT'!D495)</f>
        <v/>
      </c>
      <c r="E494" s="22">
        <f>IF('NEW ACCOUNT'!A495="","",'NEW ACCOUNT'!E495)</f>
        <v/>
      </c>
      <c r="F494" s="22">
        <f>IF('NEW ACCOUNT'!A495="","",'NEW ACCOUNT'!F495)</f>
        <v/>
      </c>
      <c r="G494" s="22">
        <f>IF('NEW ACCOUNT'!A495="","",'NEW ACCOUNT'!G495)</f>
        <v/>
      </c>
      <c r="H494" s="22">
        <f>IF('NEW ACCOUNT'!A495="","",'NEW ACCOUNT'!H495)</f>
        <v/>
      </c>
      <c r="I494" s="23">
        <f>IFERROR(IF(A494="","",SUMIF(SAVINGS!$A:$A,A494,SAVINGS!$E:$E)),"")</f>
        <v/>
      </c>
      <c r="J494" s="23">
        <f>IFERROR(IF(A494="","",SUMIF(SAVINGS!$A:$A,A494,SAVINGS!$E:$E)-SUMIF(WITHDRAWALS!$A:$A,A494,WITHDRAWALS!$E:$E)),"")</f>
        <v/>
      </c>
    </row>
    <row r="495" ht="20" customHeight="1">
      <c r="A495" s="18">
        <f>'NEW ACCOUNT'!A496</f>
        <v/>
      </c>
      <c r="B495" s="19">
        <f>IF('NEW ACCOUNT'!A496="","",'NEW ACCOUNT'!B496)</f>
        <v/>
      </c>
      <c r="C495" s="19">
        <f>IF('NEW ACCOUNT'!A496="","",'NEW ACCOUNT'!C496)</f>
        <v/>
      </c>
      <c r="D495" s="19">
        <f>IF('NEW ACCOUNT'!A496="","",'NEW ACCOUNT'!D496)</f>
        <v/>
      </c>
      <c r="E495" s="19">
        <f>IF('NEW ACCOUNT'!A496="","",'NEW ACCOUNT'!E496)</f>
        <v/>
      </c>
      <c r="F495" s="19">
        <f>IF('NEW ACCOUNT'!A496="","",'NEW ACCOUNT'!F496)</f>
        <v/>
      </c>
      <c r="G495" s="19">
        <f>IF('NEW ACCOUNT'!A496="","",'NEW ACCOUNT'!G496)</f>
        <v/>
      </c>
      <c r="H495" s="19">
        <f>IF('NEW ACCOUNT'!A496="","",'NEW ACCOUNT'!H496)</f>
        <v/>
      </c>
      <c r="I495" s="20">
        <f>IFERROR(IF(A495="","",SUMIF(SAVINGS!$A:$A,A495,SAVINGS!$E:$E)),"")</f>
        <v/>
      </c>
      <c r="J495" s="20">
        <f>IFERROR(IF(A495="","",SUMIF(SAVINGS!$A:$A,A495,SAVINGS!$E:$E)-SUMIF(WITHDRAWALS!$A:$A,A495,WITHDRAWALS!$E:$E)),"")</f>
        <v/>
      </c>
    </row>
    <row r="496" ht="20" customHeight="1">
      <c r="A496" s="21">
        <f>'NEW ACCOUNT'!A497</f>
        <v/>
      </c>
      <c r="B496" s="22">
        <f>IF('NEW ACCOUNT'!A497="","",'NEW ACCOUNT'!B497)</f>
        <v/>
      </c>
      <c r="C496" s="22">
        <f>IF('NEW ACCOUNT'!A497="","",'NEW ACCOUNT'!C497)</f>
        <v/>
      </c>
      <c r="D496" s="22">
        <f>IF('NEW ACCOUNT'!A497="","",'NEW ACCOUNT'!D497)</f>
        <v/>
      </c>
      <c r="E496" s="22">
        <f>IF('NEW ACCOUNT'!A497="","",'NEW ACCOUNT'!E497)</f>
        <v/>
      </c>
      <c r="F496" s="22">
        <f>IF('NEW ACCOUNT'!A497="","",'NEW ACCOUNT'!F497)</f>
        <v/>
      </c>
      <c r="G496" s="22">
        <f>IF('NEW ACCOUNT'!A497="","",'NEW ACCOUNT'!G497)</f>
        <v/>
      </c>
      <c r="H496" s="22">
        <f>IF('NEW ACCOUNT'!A497="","",'NEW ACCOUNT'!H497)</f>
        <v/>
      </c>
      <c r="I496" s="23">
        <f>IFERROR(IF(A496="","",SUMIF(SAVINGS!$A:$A,A496,SAVINGS!$E:$E)),"")</f>
        <v/>
      </c>
      <c r="J496" s="23">
        <f>IFERROR(IF(A496="","",SUMIF(SAVINGS!$A:$A,A496,SAVINGS!$E:$E)-SUMIF(WITHDRAWALS!$A:$A,A496,WITHDRAWALS!$E:$E)),"")</f>
        <v/>
      </c>
    </row>
    <row r="497" ht="20" customHeight="1">
      <c r="A497" s="18">
        <f>'NEW ACCOUNT'!A498</f>
        <v/>
      </c>
      <c r="B497" s="19">
        <f>IF('NEW ACCOUNT'!A498="","",'NEW ACCOUNT'!B498)</f>
        <v/>
      </c>
      <c r="C497" s="19">
        <f>IF('NEW ACCOUNT'!A498="","",'NEW ACCOUNT'!C498)</f>
        <v/>
      </c>
      <c r="D497" s="19">
        <f>IF('NEW ACCOUNT'!A498="","",'NEW ACCOUNT'!D498)</f>
        <v/>
      </c>
      <c r="E497" s="19">
        <f>IF('NEW ACCOUNT'!A498="","",'NEW ACCOUNT'!E498)</f>
        <v/>
      </c>
      <c r="F497" s="19">
        <f>IF('NEW ACCOUNT'!A498="","",'NEW ACCOUNT'!F498)</f>
        <v/>
      </c>
      <c r="G497" s="19">
        <f>IF('NEW ACCOUNT'!A498="","",'NEW ACCOUNT'!G498)</f>
        <v/>
      </c>
      <c r="H497" s="19">
        <f>IF('NEW ACCOUNT'!A498="","",'NEW ACCOUNT'!H498)</f>
        <v/>
      </c>
      <c r="I497" s="20">
        <f>IFERROR(IF(A497="","",SUMIF(SAVINGS!$A:$A,A497,SAVINGS!$E:$E)),"")</f>
        <v/>
      </c>
      <c r="J497" s="20">
        <f>IFERROR(IF(A497="","",SUMIF(SAVINGS!$A:$A,A497,SAVINGS!$E:$E)-SUMIF(WITHDRAWALS!$A:$A,A497,WITHDRAWALS!$E:$E)),"")</f>
        <v/>
      </c>
    </row>
    <row r="498" ht="20" customHeight="1">
      <c r="A498" s="21">
        <f>'NEW ACCOUNT'!A499</f>
        <v/>
      </c>
      <c r="B498" s="22">
        <f>IF('NEW ACCOUNT'!A499="","",'NEW ACCOUNT'!B499)</f>
        <v/>
      </c>
      <c r="C498" s="22">
        <f>IF('NEW ACCOUNT'!A499="","",'NEW ACCOUNT'!C499)</f>
        <v/>
      </c>
      <c r="D498" s="22">
        <f>IF('NEW ACCOUNT'!A499="","",'NEW ACCOUNT'!D499)</f>
        <v/>
      </c>
      <c r="E498" s="22">
        <f>IF('NEW ACCOUNT'!A499="","",'NEW ACCOUNT'!E499)</f>
        <v/>
      </c>
      <c r="F498" s="22">
        <f>IF('NEW ACCOUNT'!A499="","",'NEW ACCOUNT'!F499)</f>
        <v/>
      </c>
      <c r="G498" s="22">
        <f>IF('NEW ACCOUNT'!A499="","",'NEW ACCOUNT'!G499)</f>
        <v/>
      </c>
      <c r="H498" s="22">
        <f>IF('NEW ACCOUNT'!A499="","",'NEW ACCOUNT'!H499)</f>
        <v/>
      </c>
      <c r="I498" s="23">
        <f>IFERROR(IF(A498="","",SUMIF(SAVINGS!$A:$A,A498,SAVINGS!$E:$E)),"")</f>
        <v/>
      </c>
      <c r="J498" s="23">
        <f>IFERROR(IF(A498="","",SUMIF(SAVINGS!$A:$A,A498,SAVINGS!$E:$E)-SUMIF(WITHDRAWALS!$A:$A,A498,WITHDRAWALS!$E:$E)),"")</f>
        <v/>
      </c>
    </row>
    <row r="499" ht="20" customHeight="1">
      <c r="A499" s="18">
        <f>'NEW ACCOUNT'!A500</f>
        <v/>
      </c>
      <c r="B499" s="19">
        <f>IF('NEW ACCOUNT'!A500="","",'NEW ACCOUNT'!B500)</f>
        <v/>
      </c>
      <c r="C499" s="19">
        <f>IF('NEW ACCOUNT'!A500="","",'NEW ACCOUNT'!C500)</f>
        <v/>
      </c>
      <c r="D499" s="19">
        <f>IF('NEW ACCOUNT'!A500="","",'NEW ACCOUNT'!D500)</f>
        <v/>
      </c>
      <c r="E499" s="19">
        <f>IF('NEW ACCOUNT'!A500="","",'NEW ACCOUNT'!E500)</f>
        <v/>
      </c>
      <c r="F499" s="19">
        <f>IF('NEW ACCOUNT'!A500="","",'NEW ACCOUNT'!F500)</f>
        <v/>
      </c>
      <c r="G499" s="19">
        <f>IF('NEW ACCOUNT'!A500="","",'NEW ACCOUNT'!G500)</f>
        <v/>
      </c>
      <c r="H499" s="19">
        <f>IF('NEW ACCOUNT'!A500="","",'NEW ACCOUNT'!H500)</f>
        <v/>
      </c>
      <c r="I499" s="20">
        <f>IFERROR(IF(A499="","",SUMIF(SAVINGS!$A:$A,A499,SAVINGS!$E:$E)),"")</f>
        <v/>
      </c>
      <c r="J499" s="20">
        <f>IFERROR(IF(A499="","",SUMIF(SAVINGS!$A:$A,A499,SAVINGS!$E:$E)-SUMIF(WITHDRAWALS!$A:$A,A499,WITHDRAWALS!$E:$E)),"")</f>
        <v/>
      </c>
    </row>
    <row r="500" ht="20" customHeight="1">
      <c r="A500" s="21">
        <f>'NEW ACCOUNT'!A501</f>
        <v/>
      </c>
      <c r="B500" s="22">
        <f>IF('NEW ACCOUNT'!A501="","",'NEW ACCOUNT'!B501)</f>
        <v/>
      </c>
      <c r="C500" s="22">
        <f>IF('NEW ACCOUNT'!A501="","",'NEW ACCOUNT'!C501)</f>
        <v/>
      </c>
      <c r="D500" s="22">
        <f>IF('NEW ACCOUNT'!A501="","",'NEW ACCOUNT'!D501)</f>
        <v/>
      </c>
      <c r="E500" s="22">
        <f>IF('NEW ACCOUNT'!A501="","",'NEW ACCOUNT'!E501)</f>
        <v/>
      </c>
      <c r="F500" s="22">
        <f>IF('NEW ACCOUNT'!A501="","",'NEW ACCOUNT'!F501)</f>
        <v/>
      </c>
      <c r="G500" s="22">
        <f>IF('NEW ACCOUNT'!A501="","",'NEW ACCOUNT'!G501)</f>
        <v/>
      </c>
      <c r="H500" s="22">
        <f>IF('NEW ACCOUNT'!A501="","",'NEW ACCOUNT'!H501)</f>
        <v/>
      </c>
      <c r="I500" s="23">
        <f>IFERROR(IF(A500="","",SUMIF(SAVINGS!$A:$A,A500,SAVINGS!$E:$E)),"")</f>
        <v/>
      </c>
      <c r="J500" s="23">
        <f>IFERROR(IF(A500="","",SUMIF(SAVINGS!$A:$A,A500,SAVINGS!$E:$E)-SUMIF(WITHDRAWALS!$A:$A,A500,WITHDRAWALS!$E:$E)),"")</f>
        <v/>
      </c>
    </row>
    <row r="501" ht="20" customHeight="1">
      <c r="A501" s="18">
        <f>'NEW ACCOUNT'!A502</f>
        <v/>
      </c>
      <c r="B501" s="19">
        <f>IF('NEW ACCOUNT'!A502="","",'NEW ACCOUNT'!B502)</f>
        <v/>
      </c>
      <c r="C501" s="19">
        <f>IF('NEW ACCOUNT'!A502="","",'NEW ACCOUNT'!C502)</f>
        <v/>
      </c>
      <c r="D501" s="19">
        <f>IF('NEW ACCOUNT'!A502="","",'NEW ACCOUNT'!D502)</f>
        <v/>
      </c>
      <c r="E501" s="19">
        <f>IF('NEW ACCOUNT'!A502="","",'NEW ACCOUNT'!E502)</f>
        <v/>
      </c>
      <c r="F501" s="19">
        <f>IF('NEW ACCOUNT'!A502="","",'NEW ACCOUNT'!F502)</f>
        <v/>
      </c>
      <c r="G501" s="19">
        <f>IF('NEW ACCOUNT'!A502="","",'NEW ACCOUNT'!G502)</f>
        <v/>
      </c>
      <c r="H501" s="19">
        <f>IF('NEW ACCOUNT'!A502="","",'NEW ACCOUNT'!H502)</f>
        <v/>
      </c>
      <c r="I501" s="20">
        <f>IFERROR(IF(A501="","",SUMIF(SAVINGS!$A:$A,A501,SAVINGS!$E:$E)),"")</f>
        <v/>
      </c>
      <c r="J501" s="20">
        <f>IFERROR(IF(A501="","",SUMIF(SAVINGS!$A:$A,A501,SAVINGS!$E:$E)-SUMIF(WITHDRAWALS!$A:$A,A501,WITHDRAWALS!$E:$E)),"")</f>
        <v/>
      </c>
    </row>
    <row r="502" ht="20" customHeight="1">
      <c r="A502" s="21">
        <f>'NEW ACCOUNT'!A503</f>
        <v/>
      </c>
      <c r="B502" s="22">
        <f>IF('NEW ACCOUNT'!A503="","",'NEW ACCOUNT'!B503)</f>
        <v/>
      </c>
      <c r="C502" s="22">
        <f>IF('NEW ACCOUNT'!A503="","",'NEW ACCOUNT'!C503)</f>
        <v/>
      </c>
      <c r="D502" s="22">
        <f>IF('NEW ACCOUNT'!A503="","",'NEW ACCOUNT'!D503)</f>
        <v/>
      </c>
      <c r="E502" s="22">
        <f>IF('NEW ACCOUNT'!A503="","",'NEW ACCOUNT'!E503)</f>
        <v/>
      </c>
      <c r="F502" s="22">
        <f>IF('NEW ACCOUNT'!A503="","",'NEW ACCOUNT'!F503)</f>
        <v/>
      </c>
      <c r="G502" s="22">
        <f>IF('NEW ACCOUNT'!A503="","",'NEW ACCOUNT'!G503)</f>
        <v/>
      </c>
      <c r="H502" s="22">
        <f>IF('NEW ACCOUNT'!A503="","",'NEW ACCOUNT'!H503)</f>
        <v/>
      </c>
      <c r="I502" s="23">
        <f>IFERROR(IF(A502="","",SUMIF(SAVINGS!$A:$A,A502,SAVINGS!$E:$E)),"")</f>
        <v/>
      </c>
      <c r="J502" s="23">
        <f>IFERROR(IF(A502="","",SUMIF(SAVINGS!$A:$A,A502,SAVINGS!$E:$E)-SUMIF(WITHDRAWALS!$A:$A,A502,WITHDRAWALS!$E:$E)),"")</f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H200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24" customWidth="1" min="3" max="3"/>
    <col width="14" customWidth="1" min="4" max="4"/>
    <col width="24" customWidth="1" min="5" max="5"/>
    <col width="24" customWidth="1" min="6" max="6"/>
    <col width="18" customWidth="1" min="7" max="7"/>
    <col width="22" customWidth="1" min="8" max="8"/>
  </cols>
  <sheetData>
    <row r="1" ht="34" customHeight="1">
      <c r="A1" s="24" t="inlineStr">
        <is>
          <t>SAVINGS TRANSACTION REGISTER</t>
        </is>
      </c>
    </row>
    <row r="2" ht="30" customHeight="1">
      <c r="A2" s="25" t="inlineStr">
        <is>
          <t>Account Number</t>
        </is>
      </c>
      <c r="B2" s="25" t="inlineStr">
        <is>
          <t>Customer Name</t>
        </is>
      </c>
      <c r="C2" s="25" t="inlineStr">
        <is>
          <t>Previous Balance (GHS)</t>
        </is>
      </c>
      <c r="D2" s="25" t="inlineStr">
        <is>
          <t>Date</t>
        </is>
      </c>
      <c r="E2" s="25" t="inlineStr">
        <is>
          <t>Savings Amount (GHS)</t>
        </is>
      </c>
      <c r="F2" s="25" t="inlineStr">
        <is>
          <t>New Balance (GHS)</t>
        </is>
      </c>
      <c r="G2" s="25" t="inlineStr">
        <is>
          <t>Recorded By</t>
        </is>
      </c>
      <c r="H2" s="25" t="inlineStr">
        <is>
          <t>Notes</t>
        </is>
      </c>
    </row>
    <row r="3" ht="20" customHeight="1">
      <c r="A3" s="26" t="n"/>
      <c r="B3" s="27">
        <f>IFERROR(IF(A3="","",VLOOKUP(A3,DATABASE!$A:$B,2,0)),"")</f>
        <v/>
      </c>
      <c r="C3" s="20">
        <f>IFERROR(IF(A3="","",0-SUMIF(WITHDRAWALS!$A:$A,A3,WITHDRAWALS!$E:$E)),"")</f>
        <v/>
      </c>
      <c r="D3" s="28">
        <f>IF(A3="","",TODAY())</f>
        <v/>
      </c>
      <c r="E3" s="29" t="n"/>
      <c r="F3" s="20">
        <f>IFERROR(IF(OR(A3="",E3=""),"",C3+E3),"")</f>
        <v/>
      </c>
      <c r="G3" s="30" t="n"/>
      <c r="H3" s="27" t="n"/>
    </row>
    <row r="4" ht="20" customHeight="1">
      <c r="A4" s="26" t="n"/>
      <c r="B4" s="31">
        <f>IFERROR(IF(A4="","",VLOOKUP(A4,DATABASE!$A:$B,2,0)),"")</f>
        <v/>
      </c>
      <c r="C4" s="32">
        <f>IFERROR(IF(A4="","",SUMIF(SAVINGS!$A$3:A3,A4,SAVINGS!$E$3:E3)-SUMIF(WITHDRAWALS!$A:$A,A4,WITHDRAWALS!$E:$E)),"")</f>
        <v/>
      </c>
      <c r="D4" s="33">
        <f>IF(A4="","",TODAY())</f>
        <v/>
      </c>
      <c r="E4" s="29" t="n"/>
      <c r="F4" s="32">
        <f>IFERROR(IF(OR(A4="",E4=""),"",C4+E4),"")</f>
        <v/>
      </c>
      <c r="G4" s="30" t="n"/>
      <c r="H4" s="31" t="n"/>
    </row>
    <row r="5" ht="20" customHeight="1">
      <c r="A5" s="26" t="n"/>
      <c r="B5" s="27">
        <f>IFERROR(IF(A5="","",VLOOKUP(A5,DATABASE!$A:$B,2,0)),"")</f>
        <v/>
      </c>
      <c r="C5" s="20">
        <f>IFERROR(IF(A5="","",SUMIF(SAVINGS!$A$3:A4,A5,SAVINGS!$E$3:E4)-SUMIF(WITHDRAWALS!$A:$A,A5,WITHDRAWALS!$E:$E)),"")</f>
        <v/>
      </c>
      <c r="D5" s="28">
        <f>IF(A5="","",TODAY())</f>
        <v/>
      </c>
      <c r="E5" s="29" t="n"/>
      <c r="F5" s="20">
        <f>IFERROR(IF(OR(A5="",E5=""),"",C5+E5),"")</f>
        <v/>
      </c>
      <c r="G5" s="30" t="n"/>
      <c r="H5" s="27" t="n"/>
    </row>
    <row r="6" ht="20" customHeight="1">
      <c r="A6" s="26" t="n"/>
      <c r="B6" s="31">
        <f>IFERROR(IF(A6="","",VLOOKUP(A6,DATABASE!$A:$B,2,0)),"")</f>
        <v/>
      </c>
      <c r="C6" s="32">
        <f>IFERROR(IF(A6="","",SUMIF(SAVINGS!$A$3:A5,A6,SAVINGS!$E$3:E5)-SUMIF(WITHDRAWALS!$A:$A,A6,WITHDRAWALS!$E:$E)),"")</f>
        <v/>
      </c>
      <c r="D6" s="33">
        <f>IF(A6="","",TODAY())</f>
        <v/>
      </c>
      <c r="E6" s="29" t="n"/>
      <c r="F6" s="32">
        <f>IFERROR(IF(OR(A6="",E6=""),"",C6+E6),"")</f>
        <v/>
      </c>
      <c r="G6" s="30" t="n"/>
      <c r="H6" s="31" t="n"/>
    </row>
    <row r="7" ht="20" customHeight="1">
      <c r="A7" s="26" t="n"/>
      <c r="B7" s="27">
        <f>IFERROR(IF(A7="","",VLOOKUP(A7,DATABASE!$A:$B,2,0)),"")</f>
        <v/>
      </c>
      <c r="C7" s="20">
        <f>IFERROR(IF(A7="","",SUMIF(SAVINGS!$A$3:A6,A7,SAVINGS!$E$3:E6)-SUMIF(WITHDRAWALS!$A:$A,A7,WITHDRAWALS!$E:$E)),"")</f>
        <v/>
      </c>
      <c r="D7" s="28">
        <f>IF(A7="","",TODAY())</f>
        <v/>
      </c>
      <c r="E7" s="29" t="n"/>
      <c r="F7" s="20">
        <f>IFERROR(IF(OR(A7="",E7=""),"",C7+E7),"")</f>
        <v/>
      </c>
      <c r="G7" s="30" t="n"/>
      <c r="H7" s="27" t="n"/>
    </row>
    <row r="8" ht="20" customHeight="1">
      <c r="A8" s="26" t="n"/>
      <c r="B8" s="31">
        <f>IFERROR(IF(A8="","",VLOOKUP(A8,DATABASE!$A:$B,2,0)),"")</f>
        <v/>
      </c>
      <c r="C8" s="32">
        <f>IFERROR(IF(A8="","",SUMIF(SAVINGS!$A$3:A7,A8,SAVINGS!$E$3:E7)-SUMIF(WITHDRAWALS!$A:$A,A8,WITHDRAWALS!$E:$E)),"")</f>
        <v/>
      </c>
      <c r="D8" s="33">
        <f>IF(A8="","",TODAY())</f>
        <v/>
      </c>
      <c r="E8" s="29" t="n"/>
      <c r="F8" s="32">
        <f>IFERROR(IF(OR(A8="",E8=""),"",C8+E8),"")</f>
        <v/>
      </c>
      <c r="G8" s="30" t="n"/>
      <c r="H8" s="31" t="n"/>
    </row>
    <row r="9" ht="20" customHeight="1">
      <c r="A9" s="26" t="n"/>
      <c r="B9" s="27">
        <f>IFERROR(IF(A9="","",VLOOKUP(A9,DATABASE!$A:$B,2,0)),"")</f>
        <v/>
      </c>
      <c r="C9" s="20">
        <f>IFERROR(IF(A9="","",SUMIF(SAVINGS!$A$3:A8,A9,SAVINGS!$E$3:E8)-SUMIF(WITHDRAWALS!$A:$A,A9,WITHDRAWALS!$E:$E)),"")</f>
        <v/>
      </c>
      <c r="D9" s="28">
        <f>IF(A9="","",TODAY())</f>
        <v/>
      </c>
      <c r="E9" s="29" t="n"/>
      <c r="F9" s="20">
        <f>IFERROR(IF(OR(A9="",E9=""),"",C9+E9),"")</f>
        <v/>
      </c>
      <c r="G9" s="30" t="n"/>
      <c r="H9" s="27" t="n"/>
    </row>
    <row r="10" ht="20" customHeight="1">
      <c r="A10" s="26" t="n"/>
      <c r="B10" s="31">
        <f>IFERROR(IF(A10="","",VLOOKUP(A10,DATABASE!$A:$B,2,0)),"")</f>
        <v/>
      </c>
      <c r="C10" s="32">
        <f>IFERROR(IF(A10="","",SUMIF(SAVINGS!$A$3:A9,A10,SAVINGS!$E$3:E9)-SUMIF(WITHDRAWALS!$A:$A,A10,WITHDRAWALS!$E:$E)),"")</f>
        <v/>
      </c>
      <c r="D10" s="33">
        <f>IF(A10="","",TODAY())</f>
        <v/>
      </c>
      <c r="E10" s="29" t="n"/>
      <c r="F10" s="32">
        <f>IFERROR(IF(OR(A10="",E10=""),"",C10+E10),"")</f>
        <v/>
      </c>
      <c r="G10" s="30" t="n"/>
      <c r="H10" s="31" t="n"/>
    </row>
    <row r="11" ht="20" customHeight="1">
      <c r="A11" s="26" t="n"/>
      <c r="B11" s="27">
        <f>IFERROR(IF(A11="","",VLOOKUP(A11,DATABASE!$A:$B,2,0)),"")</f>
        <v/>
      </c>
      <c r="C11" s="20">
        <f>IFERROR(IF(A11="","",SUMIF(SAVINGS!$A$3:A10,A11,SAVINGS!$E$3:E10)-SUMIF(WITHDRAWALS!$A:$A,A11,WITHDRAWALS!$E:$E)),"")</f>
        <v/>
      </c>
      <c r="D11" s="28">
        <f>IF(A11="","",TODAY())</f>
        <v/>
      </c>
      <c r="E11" s="29" t="n"/>
      <c r="F11" s="20">
        <f>IFERROR(IF(OR(A11="",E11=""),"",C11+E11),"")</f>
        <v/>
      </c>
      <c r="G11" s="30" t="n"/>
      <c r="H11" s="27" t="n"/>
    </row>
    <row r="12" ht="20" customHeight="1">
      <c r="A12" s="26" t="n"/>
      <c r="B12" s="31">
        <f>IFERROR(IF(A12="","",VLOOKUP(A12,DATABASE!$A:$B,2,0)),"")</f>
        <v/>
      </c>
      <c r="C12" s="32">
        <f>IFERROR(IF(A12="","",SUMIF(SAVINGS!$A$3:A11,A12,SAVINGS!$E$3:E11)-SUMIF(WITHDRAWALS!$A:$A,A12,WITHDRAWALS!$E:$E)),"")</f>
        <v/>
      </c>
      <c r="D12" s="33">
        <f>IF(A12="","",TODAY())</f>
        <v/>
      </c>
      <c r="E12" s="29" t="n"/>
      <c r="F12" s="32">
        <f>IFERROR(IF(OR(A12="",E12=""),"",C12+E12),"")</f>
        <v/>
      </c>
      <c r="G12" s="30" t="n"/>
      <c r="H12" s="31" t="n"/>
    </row>
    <row r="13" ht="20" customHeight="1">
      <c r="A13" s="26" t="n"/>
      <c r="B13" s="27">
        <f>IFERROR(IF(A13="","",VLOOKUP(A13,DATABASE!$A:$B,2,0)),"")</f>
        <v/>
      </c>
      <c r="C13" s="20">
        <f>IFERROR(IF(A13="","",SUMIF(SAVINGS!$A$3:A12,A13,SAVINGS!$E$3:E12)-SUMIF(WITHDRAWALS!$A:$A,A13,WITHDRAWALS!$E:$E)),"")</f>
        <v/>
      </c>
      <c r="D13" s="28">
        <f>IF(A13="","",TODAY())</f>
        <v/>
      </c>
      <c r="E13" s="29" t="n"/>
      <c r="F13" s="20">
        <f>IFERROR(IF(OR(A13="",E13=""),"",C13+E13),"")</f>
        <v/>
      </c>
      <c r="G13" s="30" t="n"/>
      <c r="H13" s="27" t="n"/>
    </row>
    <row r="14" ht="20" customHeight="1">
      <c r="A14" s="26" t="n"/>
      <c r="B14" s="31">
        <f>IFERROR(IF(A14="","",VLOOKUP(A14,DATABASE!$A:$B,2,0)),"")</f>
        <v/>
      </c>
      <c r="C14" s="32">
        <f>IFERROR(IF(A14="","",SUMIF(SAVINGS!$A$3:A13,A14,SAVINGS!$E$3:E13)-SUMIF(WITHDRAWALS!$A:$A,A14,WITHDRAWALS!$E:$E)),"")</f>
        <v/>
      </c>
      <c r="D14" s="33">
        <f>IF(A14="","",TODAY())</f>
        <v/>
      </c>
      <c r="E14" s="29" t="n"/>
      <c r="F14" s="32">
        <f>IFERROR(IF(OR(A14="",E14=""),"",C14+E14),"")</f>
        <v/>
      </c>
      <c r="G14" s="30" t="n"/>
      <c r="H14" s="31" t="n"/>
    </row>
    <row r="15" ht="20" customHeight="1">
      <c r="A15" s="26" t="n"/>
      <c r="B15" s="27">
        <f>IFERROR(IF(A15="","",VLOOKUP(A15,DATABASE!$A:$B,2,0)),"")</f>
        <v/>
      </c>
      <c r="C15" s="20">
        <f>IFERROR(IF(A15="","",SUMIF(SAVINGS!$A$3:A14,A15,SAVINGS!$E$3:E14)-SUMIF(WITHDRAWALS!$A:$A,A15,WITHDRAWALS!$E:$E)),"")</f>
        <v/>
      </c>
      <c r="D15" s="28">
        <f>IF(A15="","",TODAY())</f>
        <v/>
      </c>
      <c r="E15" s="29" t="n"/>
      <c r="F15" s="20">
        <f>IFERROR(IF(OR(A15="",E15=""),"",C15+E15),"")</f>
        <v/>
      </c>
      <c r="G15" s="30" t="n"/>
      <c r="H15" s="27" t="n"/>
    </row>
    <row r="16" ht="20" customHeight="1">
      <c r="A16" s="26" t="n"/>
      <c r="B16" s="31">
        <f>IFERROR(IF(A16="","",VLOOKUP(A16,DATABASE!$A:$B,2,0)),"")</f>
        <v/>
      </c>
      <c r="C16" s="32">
        <f>IFERROR(IF(A16="","",SUMIF(SAVINGS!$A$3:A15,A16,SAVINGS!$E$3:E15)-SUMIF(WITHDRAWALS!$A:$A,A16,WITHDRAWALS!$E:$E)),"")</f>
        <v/>
      </c>
      <c r="D16" s="33">
        <f>IF(A16="","",TODAY())</f>
        <v/>
      </c>
      <c r="E16" s="29" t="n"/>
      <c r="F16" s="32">
        <f>IFERROR(IF(OR(A16="",E16=""),"",C16+E16),"")</f>
        <v/>
      </c>
      <c r="G16" s="30" t="n"/>
      <c r="H16" s="31" t="n"/>
    </row>
    <row r="17" ht="20" customHeight="1">
      <c r="A17" s="26" t="n"/>
      <c r="B17" s="27">
        <f>IFERROR(IF(A17="","",VLOOKUP(A17,DATABASE!$A:$B,2,0)),"")</f>
        <v/>
      </c>
      <c r="C17" s="20">
        <f>IFERROR(IF(A17="","",SUMIF(SAVINGS!$A$3:A16,A17,SAVINGS!$E$3:E16)-SUMIF(WITHDRAWALS!$A:$A,A17,WITHDRAWALS!$E:$E)),"")</f>
        <v/>
      </c>
      <c r="D17" s="28">
        <f>IF(A17="","",TODAY())</f>
        <v/>
      </c>
      <c r="E17" s="29" t="n"/>
      <c r="F17" s="20">
        <f>IFERROR(IF(OR(A17="",E17=""),"",C17+E17),"")</f>
        <v/>
      </c>
      <c r="G17" s="30" t="n"/>
      <c r="H17" s="27" t="n"/>
    </row>
    <row r="18" ht="20" customHeight="1">
      <c r="A18" s="26" t="n"/>
      <c r="B18" s="31">
        <f>IFERROR(IF(A18="","",VLOOKUP(A18,DATABASE!$A:$B,2,0)),"")</f>
        <v/>
      </c>
      <c r="C18" s="32">
        <f>IFERROR(IF(A18="","",SUMIF(SAVINGS!$A$3:A17,A18,SAVINGS!$E$3:E17)-SUMIF(WITHDRAWALS!$A:$A,A18,WITHDRAWALS!$E:$E)),"")</f>
        <v/>
      </c>
      <c r="D18" s="33">
        <f>IF(A18="","",TODAY())</f>
        <v/>
      </c>
      <c r="E18" s="29" t="n"/>
      <c r="F18" s="32">
        <f>IFERROR(IF(OR(A18="",E18=""),"",C18+E18),"")</f>
        <v/>
      </c>
      <c r="G18" s="30" t="n"/>
      <c r="H18" s="31" t="n"/>
    </row>
    <row r="19" ht="20" customHeight="1">
      <c r="A19" s="26" t="n"/>
      <c r="B19" s="27">
        <f>IFERROR(IF(A19="","",VLOOKUP(A19,DATABASE!$A:$B,2,0)),"")</f>
        <v/>
      </c>
      <c r="C19" s="20">
        <f>IFERROR(IF(A19="","",SUMIF(SAVINGS!$A$3:A18,A19,SAVINGS!$E$3:E18)-SUMIF(WITHDRAWALS!$A:$A,A19,WITHDRAWALS!$E:$E)),"")</f>
        <v/>
      </c>
      <c r="D19" s="28">
        <f>IF(A19="","",TODAY())</f>
        <v/>
      </c>
      <c r="E19" s="29" t="n"/>
      <c r="F19" s="20">
        <f>IFERROR(IF(OR(A19="",E19=""),"",C19+E19),"")</f>
        <v/>
      </c>
      <c r="G19" s="30" t="n"/>
      <c r="H19" s="27" t="n"/>
    </row>
    <row r="20" ht="20" customHeight="1">
      <c r="A20" s="26" t="n"/>
      <c r="B20" s="31">
        <f>IFERROR(IF(A20="","",VLOOKUP(A20,DATABASE!$A:$B,2,0)),"")</f>
        <v/>
      </c>
      <c r="C20" s="32">
        <f>IFERROR(IF(A20="","",SUMIF(SAVINGS!$A$3:A19,A20,SAVINGS!$E$3:E19)-SUMIF(WITHDRAWALS!$A:$A,A20,WITHDRAWALS!$E:$E)),"")</f>
        <v/>
      </c>
      <c r="D20" s="33">
        <f>IF(A20="","",TODAY())</f>
        <v/>
      </c>
      <c r="E20" s="29" t="n"/>
      <c r="F20" s="32">
        <f>IFERROR(IF(OR(A20="",E20=""),"",C20+E20),"")</f>
        <v/>
      </c>
      <c r="G20" s="30" t="n"/>
      <c r="H20" s="31" t="n"/>
    </row>
    <row r="21" ht="20" customHeight="1">
      <c r="A21" s="26" t="n"/>
      <c r="B21" s="27">
        <f>IFERROR(IF(A21="","",VLOOKUP(A21,DATABASE!$A:$B,2,0)),"")</f>
        <v/>
      </c>
      <c r="C21" s="20">
        <f>IFERROR(IF(A21="","",SUMIF(SAVINGS!$A$3:A20,A21,SAVINGS!$E$3:E20)-SUMIF(WITHDRAWALS!$A:$A,A21,WITHDRAWALS!$E:$E)),"")</f>
        <v/>
      </c>
      <c r="D21" s="28">
        <f>IF(A21="","",TODAY())</f>
        <v/>
      </c>
      <c r="E21" s="29" t="n"/>
      <c r="F21" s="20">
        <f>IFERROR(IF(OR(A21="",E21=""),"",C21+E21),"")</f>
        <v/>
      </c>
      <c r="G21" s="30" t="n"/>
      <c r="H21" s="27" t="n"/>
    </row>
    <row r="22" ht="20" customHeight="1">
      <c r="A22" s="26" t="n"/>
      <c r="B22" s="31">
        <f>IFERROR(IF(A22="","",VLOOKUP(A22,DATABASE!$A:$B,2,0)),"")</f>
        <v/>
      </c>
      <c r="C22" s="32">
        <f>IFERROR(IF(A22="","",SUMIF(SAVINGS!$A$3:A21,A22,SAVINGS!$E$3:E21)-SUMIF(WITHDRAWALS!$A:$A,A22,WITHDRAWALS!$E:$E)),"")</f>
        <v/>
      </c>
      <c r="D22" s="33">
        <f>IF(A22="","",TODAY())</f>
        <v/>
      </c>
      <c r="E22" s="29" t="n"/>
      <c r="F22" s="32">
        <f>IFERROR(IF(OR(A22="",E22=""),"",C22+E22),"")</f>
        <v/>
      </c>
      <c r="G22" s="30" t="n"/>
      <c r="H22" s="31" t="n"/>
    </row>
    <row r="23" ht="20" customHeight="1">
      <c r="A23" s="26" t="n"/>
      <c r="B23" s="27">
        <f>IFERROR(IF(A23="","",VLOOKUP(A23,DATABASE!$A:$B,2,0)),"")</f>
        <v/>
      </c>
      <c r="C23" s="20">
        <f>IFERROR(IF(A23="","",SUMIF(SAVINGS!$A$3:A22,A23,SAVINGS!$E$3:E22)-SUMIF(WITHDRAWALS!$A:$A,A23,WITHDRAWALS!$E:$E)),"")</f>
        <v/>
      </c>
      <c r="D23" s="28">
        <f>IF(A23="","",TODAY())</f>
        <v/>
      </c>
      <c r="E23" s="29" t="n"/>
      <c r="F23" s="20">
        <f>IFERROR(IF(OR(A23="",E23=""),"",C23+E23),"")</f>
        <v/>
      </c>
      <c r="G23" s="30" t="n"/>
      <c r="H23" s="27" t="n"/>
    </row>
    <row r="24" ht="20" customHeight="1">
      <c r="A24" s="26" t="n"/>
      <c r="B24" s="31">
        <f>IFERROR(IF(A24="","",VLOOKUP(A24,DATABASE!$A:$B,2,0)),"")</f>
        <v/>
      </c>
      <c r="C24" s="32">
        <f>IFERROR(IF(A24="","",SUMIF(SAVINGS!$A$3:A23,A24,SAVINGS!$E$3:E23)-SUMIF(WITHDRAWALS!$A:$A,A24,WITHDRAWALS!$E:$E)),"")</f>
        <v/>
      </c>
      <c r="D24" s="33">
        <f>IF(A24="","",TODAY())</f>
        <v/>
      </c>
      <c r="E24" s="29" t="n"/>
      <c r="F24" s="32">
        <f>IFERROR(IF(OR(A24="",E24=""),"",C24+E24),"")</f>
        <v/>
      </c>
      <c r="G24" s="30" t="n"/>
      <c r="H24" s="31" t="n"/>
    </row>
    <row r="25" ht="20" customHeight="1">
      <c r="A25" s="26" t="n"/>
      <c r="B25" s="27">
        <f>IFERROR(IF(A25="","",VLOOKUP(A25,DATABASE!$A:$B,2,0)),"")</f>
        <v/>
      </c>
      <c r="C25" s="20">
        <f>IFERROR(IF(A25="","",SUMIF(SAVINGS!$A$3:A24,A25,SAVINGS!$E$3:E24)-SUMIF(WITHDRAWALS!$A:$A,A25,WITHDRAWALS!$E:$E)),"")</f>
        <v/>
      </c>
      <c r="D25" s="28">
        <f>IF(A25="","",TODAY())</f>
        <v/>
      </c>
      <c r="E25" s="29" t="n"/>
      <c r="F25" s="20">
        <f>IFERROR(IF(OR(A25="",E25=""),"",C25+E25),"")</f>
        <v/>
      </c>
      <c r="G25" s="30" t="n"/>
      <c r="H25" s="27" t="n"/>
    </row>
    <row r="26" ht="20" customHeight="1">
      <c r="A26" s="26" t="n"/>
      <c r="B26" s="31">
        <f>IFERROR(IF(A26="","",VLOOKUP(A26,DATABASE!$A:$B,2,0)),"")</f>
        <v/>
      </c>
      <c r="C26" s="32">
        <f>IFERROR(IF(A26="","",SUMIF(SAVINGS!$A$3:A25,A26,SAVINGS!$E$3:E25)-SUMIF(WITHDRAWALS!$A:$A,A26,WITHDRAWALS!$E:$E)),"")</f>
        <v/>
      </c>
      <c r="D26" s="33">
        <f>IF(A26="","",TODAY())</f>
        <v/>
      </c>
      <c r="E26" s="29" t="n"/>
      <c r="F26" s="32">
        <f>IFERROR(IF(OR(A26="",E26=""),"",C26+E26),"")</f>
        <v/>
      </c>
      <c r="G26" s="30" t="n"/>
      <c r="H26" s="31" t="n"/>
    </row>
    <row r="27" ht="20" customHeight="1">
      <c r="A27" s="26" t="n"/>
      <c r="B27" s="27">
        <f>IFERROR(IF(A27="","",VLOOKUP(A27,DATABASE!$A:$B,2,0)),"")</f>
        <v/>
      </c>
      <c r="C27" s="20">
        <f>IFERROR(IF(A27="","",SUMIF(SAVINGS!$A$3:A26,A27,SAVINGS!$E$3:E26)-SUMIF(WITHDRAWALS!$A:$A,A27,WITHDRAWALS!$E:$E)),"")</f>
        <v/>
      </c>
      <c r="D27" s="28">
        <f>IF(A27="","",TODAY())</f>
        <v/>
      </c>
      <c r="E27" s="29" t="n"/>
      <c r="F27" s="20">
        <f>IFERROR(IF(OR(A27="",E27=""),"",C27+E27),"")</f>
        <v/>
      </c>
      <c r="G27" s="30" t="n"/>
      <c r="H27" s="27" t="n"/>
    </row>
    <row r="28" ht="20" customHeight="1">
      <c r="A28" s="26" t="n"/>
      <c r="B28" s="31">
        <f>IFERROR(IF(A28="","",VLOOKUP(A28,DATABASE!$A:$B,2,0)),"")</f>
        <v/>
      </c>
      <c r="C28" s="32">
        <f>IFERROR(IF(A28="","",SUMIF(SAVINGS!$A$3:A27,A28,SAVINGS!$E$3:E27)-SUMIF(WITHDRAWALS!$A:$A,A28,WITHDRAWALS!$E:$E)),"")</f>
        <v/>
      </c>
      <c r="D28" s="33">
        <f>IF(A28="","",TODAY())</f>
        <v/>
      </c>
      <c r="E28" s="29" t="n"/>
      <c r="F28" s="32">
        <f>IFERROR(IF(OR(A28="",E28=""),"",C28+E28),"")</f>
        <v/>
      </c>
      <c r="G28" s="30" t="n"/>
      <c r="H28" s="31" t="n"/>
    </row>
    <row r="29" ht="20" customHeight="1">
      <c r="A29" s="26" t="n"/>
      <c r="B29" s="27">
        <f>IFERROR(IF(A29="","",VLOOKUP(A29,DATABASE!$A:$B,2,0)),"")</f>
        <v/>
      </c>
      <c r="C29" s="20">
        <f>IFERROR(IF(A29="","",SUMIF(SAVINGS!$A$3:A28,A29,SAVINGS!$E$3:E28)-SUMIF(WITHDRAWALS!$A:$A,A29,WITHDRAWALS!$E:$E)),"")</f>
        <v/>
      </c>
      <c r="D29" s="28">
        <f>IF(A29="","",TODAY())</f>
        <v/>
      </c>
      <c r="E29" s="29" t="n"/>
      <c r="F29" s="20">
        <f>IFERROR(IF(OR(A29="",E29=""),"",C29+E29),"")</f>
        <v/>
      </c>
      <c r="G29" s="30" t="n"/>
      <c r="H29" s="27" t="n"/>
    </row>
    <row r="30" ht="20" customHeight="1">
      <c r="A30" s="26" t="n"/>
      <c r="B30" s="31">
        <f>IFERROR(IF(A30="","",VLOOKUP(A30,DATABASE!$A:$B,2,0)),"")</f>
        <v/>
      </c>
      <c r="C30" s="32">
        <f>IFERROR(IF(A30="","",SUMIF(SAVINGS!$A$3:A29,A30,SAVINGS!$E$3:E29)-SUMIF(WITHDRAWALS!$A:$A,A30,WITHDRAWALS!$E:$E)),"")</f>
        <v/>
      </c>
      <c r="D30" s="33">
        <f>IF(A30="","",TODAY())</f>
        <v/>
      </c>
      <c r="E30" s="29" t="n"/>
      <c r="F30" s="32">
        <f>IFERROR(IF(OR(A30="",E30=""),"",C30+E30),"")</f>
        <v/>
      </c>
      <c r="G30" s="30" t="n"/>
      <c r="H30" s="31" t="n"/>
    </row>
    <row r="31" ht="20" customHeight="1">
      <c r="A31" s="26" t="n"/>
      <c r="B31" s="27">
        <f>IFERROR(IF(A31="","",VLOOKUP(A31,DATABASE!$A:$B,2,0)),"")</f>
        <v/>
      </c>
      <c r="C31" s="20">
        <f>IFERROR(IF(A31="","",SUMIF(SAVINGS!$A$3:A30,A31,SAVINGS!$E$3:E30)-SUMIF(WITHDRAWALS!$A:$A,A31,WITHDRAWALS!$E:$E)),"")</f>
        <v/>
      </c>
      <c r="D31" s="28">
        <f>IF(A31="","",TODAY())</f>
        <v/>
      </c>
      <c r="E31" s="29" t="n"/>
      <c r="F31" s="20">
        <f>IFERROR(IF(OR(A31="",E31=""),"",C31+E31),"")</f>
        <v/>
      </c>
      <c r="G31" s="30" t="n"/>
      <c r="H31" s="27" t="n"/>
    </row>
    <row r="32" ht="20" customHeight="1">
      <c r="A32" s="26" t="n"/>
      <c r="B32" s="31">
        <f>IFERROR(IF(A32="","",VLOOKUP(A32,DATABASE!$A:$B,2,0)),"")</f>
        <v/>
      </c>
      <c r="C32" s="32">
        <f>IFERROR(IF(A32="","",SUMIF(SAVINGS!$A$3:A31,A32,SAVINGS!$E$3:E31)-SUMIF(WITHDRAWALS!$A:$A,A32,WITHDRAWALS!$E:$E)),"")</f>
        <v/>
      </c>
      <c r="D32" s="33">
        <f>IF(A32="","",TODAY())</f>
        <v/>
      </c>
      <c r="E32" s="29" t="n"/>
      <c r="F32" s="32">
        <f>IFERROR(IF(OR(A32="",E32=""),"",C32+E32),"")</f>
        <v/>
      </c>
      <c r="G32" s="30" t="n"/>
      <c r="H32" s="31" t="n"/>
    </row>
    <row r="33" ht="20" customHeight="1">
      <c r="A33" s="26" t="n"/>
      <c r="B33" s="27">
        <f>IFERROR(IF(A33="","",VLOOKUP(A33,DATABASE!$A:$B,2,0)),"")</f>
        <v/>
      </c>
      <c r="C33" s="20">
        <f>IFERROR(IF(A33="","",SUMIF(SAVINGS!$A$3:A32,A33,SAVINGS!$E$3:E32)-SUMIF(WITHDRAWALS!$A:$A,A33,WITHDRAWALS!$E:$E)),"")</f>
        <v/>
      </c>
      <c r="D33" s="28">
        <f>IF(A33="","",TODAY())</f>
        <v/>
      </c>
      <c r="E33" s="29" t="n"/>
      <c r="F33" s="20">
        <f>IFERROR(IF(OR(A33="",E33=""),"",C33+E33),"")</f>
        <v/>
      </c>
      <c r="G33" s="30" t="n"/>
      <c r="H33" s="27" t="n"/>
    </row>
    <row r="34" ht="20" customHeight="1">
      <c r="A34" s="26" t="n"/>
      <c r="B34" s="31">
        <f>IFERROR(IF(A34="","",VLOOKUP(A34,DATABASE!$A:$B,2,0)),"")</f>
        <v/>
      </c>
      <c r="C34" s="32">
        <f>IFERROR(IF(A34="","",SUMIF(SAVINGS!$A$3:A33,A34,SAVINGS!$E$3:E33)-SUMIF(WITHDRAWALS!$A:$A,A34,WITHDRAWALS!$E:$E)),"")</f>
        <v/>
      </c>
      <c r="D34" s="33">
        <f>IF(A34="","",TODAY())</f>
        <v/>
      </c>
      <c r="E34" s="29" t="n"/>
      <c r="F34" s="32">
        <f>IFERROR(IF(OR(A34="",E34=""),"",C34+E34),"")</f>
        <v/>
      </c>
      <c r="G34" s="30" t="n"/>
      <c r="H34" s="31" t="n"/>
    </row>
    <row r="35" ht="20" customHeight="1">
      <c r="A35" s="26" t="n"/>
      <c r="B35" s="27">
        <f>IFERROR(IF(A35="","",VLOOKUP(A35,DATABASE!$A:$B,2,0)),"")</f>
        <v/>
      </c>
      <c r="C35" s="20">
        <f>IFERROR(IF(A35="","",SUMIF(SAVINGS!$A$3:A34,A35,SAVINGS!$E$3:E34)-SUMIF(WITHDRAWALS!$A:$A,A35,WITHDRAWALS!$E:$E)),"")</f>
        <v/>
      </c>
      <c r="D35" s="28">
        <f>IF(A35="","",TODAY())</f>
        <v/>
      </c>
      <c r="E35" s="29" t="n"/>
      <c r="F35" s="20">
        <f>IFERROR(IF(OR(A35="",E35=""),"",C35+E35),"")</f>
        <v/>
      </c>
      <c r="G35" s="30" t="n"/>
      <c r="H35" s="27" t="n"/>
    </row>
    <row r="36" ht="20" customHeight="1">
      <c r="A36" s="26" t="n"/>
      <c r="B36" s="31">
        <f>IFERROR(IF(A36="","",VLOOKUP(A36,DATABASE!$A:$B,2,0)),"")</f>
        <v/>
      </c>
      <c r="C36" s="32">
        <f>IFERROR(IF(A36="","",SUMIF(SAVINGS!$A$3:A35,A36,SAVINGS!$E$3:E35)-SUMIF(WITHDRAWALS!$A:$A,A36,WITHDRAWALS!$E:$E)),"")</f>
        <v/>
      </c>
      <c r="D36" s="33">
        <f>IF(A36="","",TODAY())</f>
        <v/>
      </c>
      <c r="E36" s="29" t="n"/>
      <c r="F36" s="32">
        <f>IFERROR(IF(OR(A36="",E36=""),"",C36+E36),"")</f>
        <v/>
      </c>
      <c r="G36" s="30" t="n"/>
      <c r="H36" s="31" t="n"/>
    </row>
    <row r="37" ht="20" customHeight="1">
      <c r="A37" s="26" t="n"/>
      <c r="B37" s="27">
        <f>IFERROR(IF(A37="","",VLOOKUP(A37,DATABASE!$A:$B,2,0)),"")</f>
        <v/>
      </c>
      <c r="C37" s="20">
        <f>IFERROR(IF(A37="","",SUMIF(SAVINGS!$A$3:A36,A37,SAVINGS!$E$3:E36)-SUMIF(WITHDRAWALS!$A:$A,A37,WITHDRAWALS!$E:$E)),"")</f>
        <v/>
      </c>
      <c r="D37" s="28">
        <f>IF(A37="","",TODAY())</f>
        <v/>
      </c>
      <c r="E37" s="29" t="n"/>
      <c r="F37" s="20">
        <f>IFERROR(IF(OR(A37="",E37=""),"",C37+E37),"")</f>
        <v/>
      </c>
      <c r="G37" s="30" t="n"/>
      <c r="H37" s="27" t="n"/>
    </row>
    <row r="38" ht="20" customHeight="1">
      <c r="A38" s="26" t="n"/>
      <c r="B38" s="31">
        <f>IFERROR(IF(A38="","",VLOOKUP(A38,DATABASE!$A:$B,2,0)),"")</f>
        <v/>
      </c>
      <c r="C38" s="32">
        <f>IFERROR(IF(A38="","",SUMIF(SAVINGS!$A$3:A37,A38,SAVINGS!$E$3:E37)-SUMIF(WITHDRAWALS!$A:$A,A38,WITHDRAWALS!$E:$E)),"")</f>
        <v/>
      </c>
      <c r="D38" s="33">
        <f>IF(A38="","",TODAY())</f>
        <v/>
      </c>
      <c r="E38" s="29" t="n"/>
      <c r="F38" s="32">
        <f>IFERROR(IF(OR(A38="",E38=""),"",C38+E38),"")</f>
        <v/>
      </c>
      <c r="G38" s="30" t="n"/>
      <c r="H38" s="31" t="n"/>
    </row>
    <row r="39" ht="20" customHeight="1">
      <c r="A39" s="26" t="n"/>
      <c r="B39" s="27">
        <f>IFERROR(IF(A39="","",VLOOKUP(A39,DATABASE!$A:$B,2,0)),"")</f>
        <v/>
      </c>
      <c r="C39" s="20">
        <f>IFERROR(IF(A39="","",SUMIF(SAVINGS!$A$3:A38,A39,SAVINGS!$E$3:E38)-SUMIF(WITHDRAWALS!$A:$A,A39,WITHDRAWALS!$E:$E)),"")</f>
        <v/>
      </c>
      <c r="D39" s="28">
        <f>IF(A39="","",TODAY())</f>
        <v/>
      </c>
      <c r="E39" s="29" t="n"/>
      <c r="F39" s="20">
        <f>IFERROR(IF(OR(A39="",E39=""),"",C39+E39),"")</f>
        <v/>
      </c>
      <c r="G39" s="30" t="n"/>
      <c r="H39" s="27" t="n"/>
    </row>
    <row r="40" ht="20" customHeight="1">
      <c r="A40" s="26" t="n"/>
      <c r="B40" s="31">
        <f>IFERROR(IF(A40="","",VLOOKUP(A40,DATABASE!$A:$B,2,0)),"")</f>
        <v/>
      </c>
      <c r="C40" s="32">
        <f>IFERROR(IF(A40="","",SUMIF(SAVINGS!$A$3:A39,A40,SAVINGS!$E$3:E39)-SUMIF(WITHDRAWALS!$A:$A,A40,WITHDRAWALS!$E:$E)),"")</f>
        <v/>
      </c>
      <c r="D40" s="33">
        <f>IF(A40="","",TODAY())</f>
        <v/>
      </c>
      <c r="E40" s="29" t="n"/>
      <c r="F40" s="32">
        <f>IFERROR(IF(OR(A40="",E40=""),"",C40+E40),"")</f>
        <v/>
      </c>
      <c r="G40" s="30" t="n"/>
      <c r="H40" s="31" t="n"/>
    </row>
    <row r="41" ht="20" customHeight="1">
      <c r="A41" s="26" t="n"/>
      <c r="B41" s="27">
        <f>IFERROR(IF(A41="","",VLOOKUP(A41,DATABASE!$A:$B,2,0)),"")</f>
        <v/>
      </c>
      <c r="C41" s="20">
        <f>IFERROR(IF(A41="","",SUMIF(SAVINGS!$A$3:A40,A41,SAVINGS!$E$3:E40)-SUMIF(WITHDRAWALS!$A:$A,A41,WITHDRAWALS!$E:$E)),"")</f>
        <v/>
      </c>
      <c r="D41" s="28">
        <f>IF(A41="","",TODAY())</f>
        <v/>
      </c>
      <c r="E41" s="29" t="n"/>
      <c r="F41" s="20">
        <f>IFERROR(IF(OR(A41="",E41=""),"",C41+E41),"")</f>
        <v/>
      </c>
      <c r="G41" s="30" t="n"/>
      <c r="H41" s="27" t="n"/>
    </row>
    <row r="42" ht="20" customHeight="1">
      <c r="A42" s="26" t="n"/>
      <c r="B42" s="31">
        <f>IFERROR(IF(A42="","",VLOOKUP(A42,DATABASE!$A:$B,2,0)),"")</f>
        <v/>
      </c>
      <c r="C42" s="32">
        <f>IFERROR(IF(A42="","",SUMIF(SAVINGS!$A$3:A41,A42,SAVINGS!$E$3:E41)-SUMIF(WITHDRAWALS!$A:$A,A42,WITHDRAWALS!$E:$E)),"")</f>
        <v/>
      </c>
      <c r="D42" s="33">
        <f>IF(A42="","",TODAY())</f>
        <v/>
      </c>
      <c r="E42" s="29" t="n"/>
      <c r="F42" s="32">
        <f>IFERROR(IF(OR(A42="",E42=""),"",C42+E42),"")</f>
        <v/>
      </c>
      <c r="G42" s="30" t="n"/>
      <c r="H42" s="31" t="n"/>
    </row>
    <row r="43" ht="20" customHeight="1">
      <c r="A43" s="26" t="n"/>
      <c r="B43" s="27">
        <f>IFERROR(IF(A43="","",VLOOKUP(A43,DATABASE!$A:$B,2,0)),"")</f>
        <v/>
      </c>
      <c r="C43" s="20">
        <f>IFERROR(IF(A43="","",SUMIF(SAVINGS!$A$3:A42,A43,SAVINGS!$E$3:E42)-SUMIF(WITHDRAWALS!$A:$A,A43,WITHDRAWALS!$E:$E)),"")</f>
        <v/>
      </c>
      <c r="D43" s="28">
        <f>IF(A43="","",TODAY())</f>
        <v/>
      </c>
      <c r="E43" s="29" t="n"/>
      <c r="F43" s="20">
        <f>IFERROR(IF(OR(A43="",E43=""),"",C43+E43),"")</f>
        <v/>
      </c>
      <c r="G43" s="30" t="n"/>
      <c r="H43" s="27" t="n"/>
    </row>
    <row r="44" ht="20" customHeight="1">
      <c r="A44" s="26" t="n"/>
      <c r="B44" s="31">
        <f>IFERROR(IF(A44="","",VLOOKUP(A44,DATABASE!$A:$B,2,0)),"")</f>
        <v/>
      </c>
      <c r="C44" s="32">
        <f>IFERROR(IF(A44="","",SUMIF(SAVINGS!$A$3:A43,A44,SAVINGS!$E$3:E43)-SUMIF(WITHDRAWALS!$A:$A,A44,WITHDRAWALS!$E:$E)),"")</f>
        <v/>
      </c>
      <c r="D44" s="33">
        <f>IF(A44="","",TODAY())</f>
        <v/>
      </c>
      <c r="E44" s="29" t="n"/>
      <c r="F44" s="32">
        <f>IFERROR(IF(OR(A44="",E44=""),"",C44+E44),"")</f>
        <v/>
      </c>
      <c r="G44" s="30" t="n"/>
      <c r="H44" s="31" t="n"/>
    </row>
    <row r="45" ht="20" customHeight="1">
      <c r="A45" s="26" t="n"/>
      <c r="B45" s="27">
        <f>IFERROR(IF(A45="","",VLOOKUP(A45,DATABASE!$A:$B,2,0)),"")</f>
        <v/>
      </c>
      <c r="C45" s="20">
        <f>IFERROR(IF(A45="","",SUMIF(SAVINGS!$A$3:A44,A45,SAVINGS!$E$3:E44)-SUMIF(WITHDRAWALS!$A:$A,A45,WITHDRAWALS!$E:$E)),"")</f>
        <v/>
      </c>
      <c r="D45" s="28">
        <f>IF(A45="","",TODAY())</f>
        <v/>
      </c>
      <c r="E45" s="29" t="n"/>
      <c r="F45" s="20">
        <f>IFERROR(IF(OR(A45="",E45=""),"",C45+E45),"")</f>
        <v/>
      </c>
      <c r="G45" s="30" t="n"/>
      <c r="H45" s="27" t="n"/>
    </row>
    <row r="46" ht="20" customHeight="1">
      <c r="A46" s="26" t="n"/>
      <c r="B46" s="31">
        <f>IFERROR(IF(A46="","",VLOOKUP(A46,DATABASE!$A:$B,2,0)),"")</f>
        <v/>
      </c>
      <c r="C46" s="32">
        <f>IFERROR(IF(A46="","",SUMIF(SAVINGS!$A$3:A45,A46,SAVINGS!$E$3:E45)-SUMIF(WITHDRAWALS!$A:$A,A46,WITHDRAWALS!$E:$E)),"")</f>
        <v/>
      </c>
      <c r="D46" s="33">
        <f>IF(A46="","",TODAY())</f>
        <v/>
      </c>
      <c r="E46" s="29" t="n"/>
      <c r="F46" s="32">
        <f>IFERROR(IF(OR(A46="",E46=""),"",C46+E46),"")</f>
        <v/>
      </c>
      <c r="G46" s="30" t="n"/>
      <c r="H46" s="31" t="n"/>
    </row>
    <row r="47" ht="20" customHeight="1">
      <c r="A47" s="26" t="n"/>
      <c r="B47" s="27">
        <f>IFERROR(IF(A47="","",VLOOKUP(A47,DATABASE!$A:$B,2,0)),"")</f>
        <v/>
      </c>
      <c r="C47" s="20">
        <f>IFERROR(IF(A47="","",SUMIF(SAVINGS!$A$3:A46,A47,SAVINGS!$E$3:E46)-SUMIF(WITHDRAWALS!$A:$A,A47,WITHDRAWALS!$E:$E)),"")</f>
        <v/>
      </c>
      <c r="D47" s="28">
        <f>IF(A47="","",TODAY())</f>
        <v/>
      </c>
      <c r="E47" s="29" t="n"/>
      <c r="F47" s="20">
        <f>IFERROR(IF(OR(A47="",E47=""),"",C47+E47),"")</f>
        <v/>
      </c>
      <c r="G47" s="30" t="n"/>
      <c r="H47" s="27" t="n"/>
    </row>
    <row r="48" ht="20" customHeight="1">
      <c r="A48" s="26" t="n"/>
      <c r="B48" s="31">
        <f>IFERROR(IF(A48="","",VLOOKUP(A48,DATABASE!$A:$B,2,0)),"")</f>
        <v/>
      </c>
      <c r="C48" s="32">
        <f>IFERROR(IF(A48="","",SUMIF(SAVINGS!$A$3:A47,A48,SAVINGS!$E$3:E47)-SUMIF(WITHDRAWALS!$A:$A,A48,WITHDRAWALS!$E:$E)),"")</f>
        <v/>
      </c>
      <c r="D48" s="33">
        <f>IF(A48="","",TODAY())</f>
        <v/>
      </c>
      <c r="E48" s="29" t="n"/>
      <c r="F48" s="32">
        <f>IFERROR(IF(OR(A48="",E48=""),"",C48+E48),"")</f>
        <v/>
      </c>
      <c r="G48" s="30" t="n"/>
      <c r="H48" s="31" t="n"/>
    </row>
    <row r="49" ht="20" customHeight="1">
      <c r="A49" s="26" t="n"/>
      <c r="B49" s="27">
        <f>IFERROR(IF(A49="","",VLOOKUP(A49,DATABASE!$A:$B,2,0)),"")</f>
        <v/>
      </c>
      <c r="C49" s="20">
        <f>IFERROR(IF(A49="","",SUMIF(SAVINGS!$A$3:A48,A49,SAVINGS!$E$3:E48)-SUMIF(WITHDRAWALS!$A:$A,A49,WITHDRAWALS!$E:$E)),"")</f>
        <v/>
      </c>
      <c r="D49" s="28">
        <f>IF(A49="","",TODAY())</f>
        <v/>
      </c>
      <c r="E49" s="29" t="n"/>
      <c r="F49" s="20">
        <f>IFERROR(IF(OR(A49="",E49=""),"",C49+E49),"")</f>
        <v/>
      </c>
      <c r="G49" s="30" t="n"/>
      <c r="H49" s="27" t="n"/>
    </row>
    <row r="50" ht="20" customHeight="1">
      <c r="A50" s="26" t="n"/>
      <c r="B50" s="31">
        <f>IFERROR(IF(A50="","",VLOOKUP(A50,DATABASE!$A:$B,2,0)),"")</f>
        <v/>
      </c>
      <c r="C50" s="32">
        <f>IFERROR(IF(A50="","",SUMIF(SAVINGS!$A$3:A49,A50,SAVINGS!$E$3:E49)-SUMIF(WITHDRAWALS!$A:$A,A50,WITHDRAWALS!$E:$E)),"")</f>
        <v/>
      </c>
      <c r="D50" s="33">
        <f>IF(A50="","",TODAY())</f>
        <v/>
      </c>
      <c r="E50" s="29" t="n"/>
      <c r="F50" s="32">
        <f>IFERROR(IF(OR(A50="",E50=""),"",C50+E50),"")</f>
        <v/>
      </c>
      <c r="G50" s="30" t="n"/>
      <c r="H50" s="31" t="n"/>
    </row>
    <row r="51" ht="20" customHeight="1">
      <c r="A51" s="26" t="n"/>
      <c r="B51" s="27">
        <f>IFERROR(IF(A51="","",VLOOKUP(A51,DATABASE!$A:$B,2,0)),"")</f>
        <v/>
      </c>
      <c r="C51" s="20">
        <f>IFERROR(IF(A51="","",SUMIF(SAVINGS!$A$3:A50,A51,SAVINGS!$E$3:E50)-SUMIF(WITHDRAWALS!$A:$A,A51,WITHDRAWALS!$E:$E)),"")</f>
        <v/>
      </c>
      <c r="D51" s="28">
        <f>IF(A51="","",TODAY())</f>
        <v/>
      </c>
      <c r="E51" s="29" t="n"/>
      <c r="F51" s="20">
        <f>IFERROR(IF(OR(A51="",E51=""),"",C51+E51),"")</f>
        <v/>
      </c>
      <c r="G51" s="30" t="n"/>
      <c r="H51" s="27" t="n"/>
    </row>
    <row r="52" ht="20" customHeight="1">
      <c r="A52" s="26" t="n"/>
      <c r="B52" s="31">
        <f>IFERROR(IF(A52="","",VLOOKUP(A52,DATABASE!$A:$B,2,0)),"")</f>
        <v/>
      </c>
      <c r="C52" s="32">
        <f>IFERROR(IF(A52="","",SUMIF(SAVINGS!$A$3:A51,A52,SAVINGS!$E$3:E51)-SUMIF(WITHDRAWALS!$A:$A,A52,WITHDRAWALS!$E:$E)),"")</f>
        <v/>
      </c>
      <c r="D52" s="33">
        <f>IF(A52="","",TODAY())</f>
        <v/>
      </c>
      <c r="E52" s="29" t="n"/>
      <c r="F52" s="32">
        <f>IFERROR(IF(OR(A52="",E52=""),"",C52+E52),"")</f>
        <v/>
      </c>
      <c r="G52" s="30" t="n"/>
      <c r="H52" s="31" t="n"/>
    </row>
    <row r="53" ht="20" customHeight="1">
      <c r="A53" s="26" t="n"/>
      <c r="B53" s="27">
        <f>IFERROR(IF(A53="","",VLOOKUP(A53,DATABASE!$A:$B,2,0)),"")</f>
        <v/>
      </c>
      <c r="C53" s="20">
        <f>IFERROR(IF(A53="","",SUMIF(SAVINGS!$A$3:A52,A53,SAVINGS!$E$3:E52)-SUMIF(WITHDRAWALS!$A:$A,A53,WITHDRAWALS!$E:$E)),"")</f>
        <v/>
      </c>
      <c r="D53" s="28">
        <f>IF(A53="","",TODAY())</f>
        <v/>
      </c>
      <c r="E53" s="29" t="n"/>
      <c r="F53" s="20">
        <f>IFERROR(IF(OR(A53="",E53=""),"",C53+E53),"")</f>
        <v/>
      </c>
      <c r="G53" s="30" t="n"/>
      <c r="H53" s="27" t="n"/>
    </row>
    <row r="54" ht="20" customHeight="1">
      <c r="A54" s="26" t="n"/>
      <c r="B54" s="31">
        <f>IFERROR(IF(A54="","",VLOOKUP(A54,DATABASE!$A:$B,2,0)),"")</f>
        <v/>
      </c>
      <c r="C54" s="32">
        <f>IFERROR(IF(A54="","",SUMIF(SAVINGS!$A$3:A53,A54,SAVINGS!$E$3:E53)-SUMIF(WITHDRAWALS!$A:$A,A54,WITHDRAWALS!$E:$E)),"")</f>
        <v/>
      </c>
      <c r="D54" s="33">
        <f>IF(A54="","",TODAY())</f>
        <v/>
      </c>
      <c r="E54" s="29" t="n"/>
      <c r="F54" s="32">
        <f>IFERROR(IF(OR(A54="",E54=""),"",C54+E54),"")</f>
        <v/>
      </c>
      <c r="G54" s="30" t="n"/>
      <c r="H54" s="31" t="n"/>
    </row>
    <row r="55" ht="20" customHeight="1">
      <c r="A55" s="26" t="n"/>
      <c r="B55" s="27">
        <f>IFERROR(IF(A55="","",VLOOKUP(A55,DATABASE!$A:$B,2,0)),"")</f>
        <v/>
      </c>
      <c r="C55" s="20">
        <f>IFERROR(IF(A55="","",SUMIF(SAVINGS!$A$3:A54,A55,SAVINGS!$E$3:E54)-SUMIF(WITHDRAWALS!$A:$A,A55,WITHDRAWALS!$E:$E)),"")</f>
        <v/>
      </c>
      <c r="D55" s="28">
        <f>IF(A55="","",TODAY())</f>
        <v/>
      </c>
      <c r="E55" s="29" t="n"/>
      <c r="F55" s="20">
        <f>IFERROR(IF(OR(A55="",E55=""),"",C55+E55),"")</f>
        <v/>
      </c>
      <c r="G55" s="30" t="n"/>
      <c r="H55" s="27" t="n"/>
    </row>
    <row r="56" ht="20" customHeight="1">
      <c r="A56" s="26" t="n"/>
      <c r="B56" s="31">
        <f>IFERROR(IF(A56="","",VLOOKUP(A56,DATABASE!$A:$B,2,0)),"")</f>
        <v/>
      </c>
      <c r="C56" s="32">
        <f>IFERROR(IF(A56="","",SUMIF(SAVINGS!$A$3:A55,A56,SAVINGS!$E$3:E55)-SUMIF(WITHDRAWALS!$A:$A,A56,WITHDRAWALS!$E:$E)),"")</f>
        <v/>
      </c>
      <c r="D56" s="33">
        <f>IF(A56="","",TODAY())</f>
        <v/>
      </c>
      <c r="E56" s="29" t="n"/>
      <c r="F56" s="32">
        <f>IFERROR(IF(OR(A56="",E56=""),"",C56+E56),"")</f>
        <v/>
      </c>
      <c r="G56" s="30" t="n"/>
      <c r="H56" s="31" t="n"/>
    </row>
    <row r="57" ht="20" customHeight="1">
      <c r="A57" s="26" t="n"/>
      <c r="B57" s="27">
        <f>IFERROR(IF(A57="","",VLOOKUP(A57,DATABASE!$A:$B,2,0)),"")</f>
        <v/>
      </c>
      <c r="C57" s="20">
        <f>IFERROR(IF(A57="","",SUMIF(SAVINGS!$A$3:A56,A57,SAVINGS!$E$3:E56)-SUMIF(WITHDRAWALS!$A:$A,A57,WITHDRAWALS!$E:$E)),"")</f>
        <v/>
      </c>
      <c r="D57" s="28">
        <f>IF(A57="","",TODAY())</f>
        <v/>
      </c>
      <c r="E57" s="29" t="n"/>
      <c r="F57" s="20">
        <f>IFERROR(IF(OR(A57="",E57=""),"",C57+E57),"")</f>
        <v/>
      </c>
      <c r="G57" s="30" t="n"/>
      <c r="H57" s="27" t="n"/>
    </row>
    <row r="58" ht="20" customHeight="1">
      <c r="A58" s="26" t="n"/>
      <c r="B58" s="31">
        <f>IFERROR(IF(A58="","",VLOOKUP(A58,DATABASE!$A:$B,2,0)),"")</f>
        <v/>
      </c>
      <c r="C58" s="32">
        <f>IFERROR(IF(A58="","",SUMIF(SAVINGS!$A$3:A57,A58,SAVINGS!$E$3:E57)-SUMIF(WITHDRAWALS!$A:$A,A58,WITHDRAWALS!$E:$E)),"")</f>
        <v/>
      </c>
      <c r="D58" s="33">
        <f>IF(A58="","",TODAY())</f>
        <v/>
      </c>
      <c r="E58" s="29" t="n"/>
      <c r="F58" s="32">
        <f>IFERROR(IF(OR(A58="",E58=""),"",C58+E58),"")</f>
        <v/>
      </c>
      <c r="G58" s="30" t="n"/>
      <c r="H58" s="31" t="n"/>
    </row>
    <row r="59" ht="20" customHeight="1">
      <c r="A59" s="26" t="n"/>
      <c r="B59" s="27">
        <f>IFERROR(IF(A59="","",VLOOKUP(A59,DATABASE!$A:$B,2,0)),"")</f>
        <v/>
      </c>
      <c r="C59" s="20">
        <f>IFERROR(IF(A59="","",SUMIF(SAVINGS!$A$3:A58,A59,SAVINGS!$E$3:E58)-SUMIF(WITHDRAWALS!$A:$A,A59,WITHDRAWALS!$E:$E)),"")</f>
        <v/>
      </c>
      <c r="D59" s="28">
        <f>IF(A59="","",TODAY())</f>
        <v/>
      </c>
      <c r="E59" s="29" t="n"/>
      <c r="F59" s="20">
        <f>IFERROR(IF(OR(A59="",E59=""),"",C59+E59),"")</f>
        <v/>
      </c>
      <c r="G59" s="30" t="n"/>
      <c r="H59" s="27" t="n"/>
    </row>
    <row r="60" ht="20" customHeight="1">
      <c r="A60" s="26" t="n"/>
      <c r="B60" s="31">
        <f>IFERROR(IF(A60="","",VLOOKUP(A60,DATABASE!$A:$B,2,0)),"")</f>
        <v/>
      </c>
      <c r="C60" s="32">
        <f>IFERROR(IF(A60="","",SUMIF(SAVINGS!$A$3:A59,A60,SAVINGS!$E$3:E59)-SUMIF(WITHDRAWALS!$A:$A,A60,WITHDRAWALS!$E:$E)),"")</f>
        <v/>
      </c>
      <c r="D60" s="33">
        <f>IF(A60="","",TODAY())</f>
        <v/>
      </c>
      <c r="E60" s="29" t="n"/>
      <c r="F60" s="32">
        <f>IFERROR(IF(OR(A60="",E60=""),"",C60+E60),"")</f>
        <v/>
      </c>
      <c r="G60" s="30" t="n"/>
      <c r="H60" s="31" t="n"/>
    </row>
    <row r="61" ht="20" customHeight="1">
      <c r="A61" s="26" t="n"/>
      <c r="B61" s="27">
        <f>IFERROR(IF(A61="","",VLOOKUP(A61,DATABASE!$A:$B,2,0)),"")</f>
        <v/>
      </c>
      <c r="C61" s="20">
        <f>IFERROR(IF(A61="","",SUMIF(SAVINGS!$A$3:A60,A61,SAVINGS!$E$3:E60)-SUMIF(WITHDRAWALS!$A:$A,A61,WITHDRAWALS!$E:$E)),"")</f>
        <v/>
      </c>
      <c r="D61" s="28">
        <f>IF(A61="","",TODAY())</f>
        <v/>
      </c>
      <c r="E61" s="29" t="n"/>
      <c r="F61" s="20">
        <f>IFERROR(IF(OR(A61="",E61=""),"",C61+E61),"")</f>
        <v/>
      </c>
      <c r="G61" s="30" t="n"/>
      <c r="H61" s="27" t="n"/>
    </row>
    <row r="62" ht="20" customHeight="1">
      <c r="A62" s="26" t="n"/>
      <c r="B62" s="31">
        <f>IFERROR(IF(A62="","",VLOOKUP(A62,DATABASE!$A:$B,2,0)),"")</f>
        <v/>
      </c>
      <c r="C62" s="32">
        <f>IFERROR(IF(A62="","",SUMIF(SAVINGS!$A$3:A61,A62,SAVINGS!$E$3:E61)-SUMIF(WITHDRAWALS!$A:$A,A62,WITHDRAWALS!$E:$E)),"")</f>
        <v/>
      </c>
      <c r="D62" s="33">
        <f>IF(A62="","",TODAY())</f>
        <v/>
      </c>
      <c r="E62" s="29" t="n"/>
      <c r="F62" s="32">
        <f>IFERROR(IF(OR(A62="",E62=""),"",C62+E62),"")</f>
        <v/>
      </c>
      <c r="G62" s="30" t="n"/>
      <c r="H62" s="31" t="n"/>
    </row>
    <row r="63" ht="20" customHeight="1">
      <c r="A63" s="26" t="n"/>
      <c r="B63" s="27">
        <f>IFERROR(IF(A63="","",VLOOKUP(A63,DATABASE!$A:$B,2,0)),"")</f>
        <v/>
      </c>
      <c r="C63" s="20">
        <f>IFERROR(IF(A63="","",SUMIF(SAVINGS!$A$3:A62,A63,SAVINGS!$E$3:E62)-SUMIF(WITHDRAWALS!$A:$A,A63,WITHDRAWALS!$E:$E)),"")</f>
        <v/>
      </c>
      <c r="D63" s="28">
        <f>IF(A63="","",TODAY())</f>
        <v/>
      </c>
      <c r="E63" s="29" t="n"/>
      <c r="F63" s="20">
        <f>IFERROR(IF(OR(A63="",E63=""),"",C63+E63),"")</f>
        <v/>
      </c>
      <c r="G63" s="30" t="n"/>
      <c r="H63" s="27" t="n"/>
    </row>
    <row r="64" ht="20" customHeight="1">
      <c r="A64" s="26" t="n"/>
      <c r="B64" s="31">
        <f>IFERROR(IF(A64="","",VLOOKUP(A64,DATABASE!$A:$B,2,0)),"")</f>
        <v/>
      </c>
      <c r="C64" s="32">
        <f>IFERROR(IF(A64="","",SUMIF(SAVINGS!$A$3:A63,A64,SAVINGS!$E$3:E63)-SUMIF(WITHDRAWALS!$A:$A,A64,WITHDRAWALS!$E:$E)),"")</f>
        <v/>
      </c>
      <c r="D64" s="33">
        <f>IF(A64="","",TODAY())</f>
        <v/>
      </c>
      <c r="E64" s="29" t="n"/>
      <c r="F64" s="32">
        <f>IFERROR(IF(OR(A64="",E64=""),"",C64+E64),"")</f>
        <v/>
      </c>
      <c r="G64" s="30" t="n"/>
      <c r="H64" s="31" t="n"/>
    </row>
    <row r="65" ht="20" customHeight="1">
      <c r="A65" s="26" t="n"/>
      <c r="B65" s="27">
        <f>IFERROR(IF(A65="","",VLOOKUP(A65,DATABASE!$A:$B,2,0)),"")</f>
        <v/>
      </c>
      <c r="C65" s="20">
        <f>IFERROR(IF(A65="","",SUMIF(SAVINGS!$A$3:A64,A65,SAVINGS!$E$3:E64)-SUMIF(WITHDRAWALS!$A:$A,A65,WITHDRAWALS!$E:$E)),"")</f>
        <v/>
      </c>
      <c r="D65" s="28">
        <f>IF(A65="","",TODAY())</f>
        <v/>
      </c>
      <c r="E65" s="29" t="n"/>
      <c r="F65" s="20">
        <f>IFERROR(IF(OR(A65="",E65=""),"",C65+E65),"")</f>
        <v/>
      </c>
      <c r="G65" s="30" t="n"/>
      <c r="H65" s="27" t="n"/>
    </row>
    <row r="66" ht="20" customHeight="1">
      <c r="A66" s="26" t="n"/>
      <c r="B66" s="31">
        <f>IFERROR(IF(A66="","",VLOOKUP(A66,DATABASE!$A:$B,2,0)),"")</f>
        <v/>
      </c>
      <c r="C66" s="32">
        <f>IFERROR(IF(A66="","",SUMIF(SAVINGS!$A$3:A65,A66,SAVINGS!$E$3:E65)-SUMIF(WITHDRAWALS!$A:$A,A66,WITHDRAWALS!$E:$E)),"")</f>
        <v/>
      </c>
      <c r="D66" s="33">
        <f>IF(A66="","",TODAY())</f>
        <v/>
      </c>
      <c r="E66" s="29" t="n"/>
      <c r="F66" s="32">
        <f>IFERROR(IF(OR(A66="",E66=""),"",C66+E66),"")</f>
        <v/>
      </c>
      <c r="G66" s="30" t="n"/>
      <c r="H66" s="31" t="n"/>
    </row>
    <row r="67" ht="20" customHeight="1">
      <c r="A67" s="26" t="n"/>
      <c r="B67" s="27">
        <f>IFERROR(IF(A67="","",VLOOKUP(A67,DATABASE!$A:$B,2,0)),"")</f>
        <v/>
      </c>
      <c r="C67" s="20">
        <f>IFERROR(IF(A67="","",SUMIF(SAVINGS!$A$3:A66,A67,SAVINGS!$E$3:E66)-SUMIF(WITHDRAWALS!$A:$A,A67,WITHDRAWALS!$E:$E)),"")</f>
        <v/>
      </c>
      <c r="D67" s="28">
        <f>IF(A67="","",TODAY())</f>
        <v/>
      </c>
      <c r="E67" s="29" t="n"/>
      <c r="F67" s="20">
        <f>IFERROR(IF(OR(A67="",E67=""),"",C67+E67),"")</f>
        <v/>
      </c>
      <c r="G67" s="30" t="n"/>
      <c r="H67" s="27" t="n"/>
    </row>
    <row r="68" ht="20" customHeight="1">
      <c r="A68" s="26" t="n"/>
      <c r="B68" s="31">
        <f>IFERROR(IF(A68="","",VLOOKUP(A68,DATABASE!$A:$B,2,0)),"")</f>
        <v/>
      </c>
      <c r="C68" s="32">
        <f>IFERROR(IF(A68="","",SUMIF(SAVINGS!$A$3:A67,A68,SAVINGS!$E$3:E67)-SUMIF(WITHDRAWALS!$A:$A,A68,WITHDRAWALS!$E:$E)),"")</f>
        <v/>
      </c>
      <c r="D68" s="33">
        <f>IF(A68="","",TODAY())</f>
        <v/>
      </c>
      <c r="E68" s="29" t="n"/>
      <c r="F68" s="32">
        <f>IFERROR(IF(OR(A68="",E68=""),"",C68+E68),"")</f>
        <v/>
      </c>
      <c r="G68" s="30" t="n"/>
      <c r="H68" s="31" t="n"/>
    </row>
    <row r="69" ht="20" customHeight="1">
      <c r="A69" s="26" t="n"/>
      <c r="B69" s="27">
        <f>IFERROR(IF(A69="","",VLOOKUP(A69,DATABASE!$A:$B,2,0)),"")</f>
        <v/>
      </c>
      <c r="C69" s="20">
        <f>IFERROR(IF(A69="","",SUMIF(SAVINGS!$A$3:A68,A69,SAVINGS!$E$3:E68)-SUMIF(WITHDRAWALS!$A:$A,A69,WITHDRAWALS!$E:$E)),"")</f>
        <v/>
      </c>
      <c r="D69" s="28">
        <f>IF(A69="","",TODAY())</f>
        <v/>
      </c>
      <c r="E69" s="29" t="n"/>
      <c r="F69" s="20">
        <f>IFERROR(IF(OR(A69="",E69=""),"",C69+E69),"")</f>
        <v/>
      </c>
      <c r="G69" s="30" t="n"/>
      <c r="H69" s="27" t="n"/>
    </row>
    <row r="70" ht="20" customHeight="1">
      <c r="A70" s="26" t="n"/>
      <c r="B70" s="31">
        <f>IFERROR(IF(A70="","",VLOOKUP(A70,DATABASE!$A:$B,2,0)),"")</f>
        <v/>
      </c>
      <c r="C70" s="32">
        <f>IFERROR(IF(A70="","",SUMIF(SAVINGS!$A$3:A69,A70,SAVINGS!$E$3:E69)-SUMIF(WITHDRAWALS!$A:$A,A70,WITHDRAWALS!$E:$E)),"")</f>
        <v/>
      </c>
      <c r="D70" s="33">
        <f>IF(A70="","",TODAY())</f>
        <v/>
      </c>
      <c r="E70" s="29" t="n"/>
      <c r="F70" s="32">
        <f>IFERROR(IF(OR(A70="",E70=""),"",C70+E70),"")</f>
        <v/>
      </c>
      <c r="G70" s="30" t="n"/>
      <c r="H70" s="31" t="n"/>
    </row>
    <row r="71" ht="20" customHeight="1">
      <c r="A71" s="26" t="n"/>
      <c r="B71" s="27">
        <f>IFERROR(IF(A71="","",VLOOKUP(A71,DATABASE!$A:$B,2,0)),"")</f>
        <v/>
      </c>
      <c r="C71" s="20">
        <f>IFERROR(IF(A71="","",SUMIF(SAVINGS!$A$3:A70,A71,SAVINGS!$E$3:E70)-SUMIF(WITHDRAWALS!$A:$A,A71,WITHDRAWALS!$E:$E)),"")</f>
        <v/>
      </c>
      <c r="D71" s="28">
        <f>IF(A71="","",TODAY())</f>
        <v/>
      </c>
      <c r="E71" s="29" t="n"/>
      <c r="F71" s="20">
        <f>IFERROR(IF(OR(A71="",E71=""),"",C71+E71),"")</f>
        <v/>
      </c>
      <c r="G71" s="30" t="n"/>
      <c r="H71" s="27" t="n"/>
    </row>
    <row r="72" ht="20" customHeight="1">
      <c r="A72" s="26" t="n"/>
      <c r="B72" s="31">
        <f>IFERROR(IF(A72="","",VLOOKUP(A72,DATABASE!$A:$B,2,0)),"")</f>
        <v/>
      </c>
      <c r="C72" s="32">
        <f>IFERROR(IF(A72="","",SUMIF(SAVINGS!$A$3:A71,A72,SAVINGS!$E$3:E71)-SUMIF(WITHDRAWALS!$A:$A,A72,WITHDRAWALS!$E:$E)),"")</f>
        <v/>
      </c>
      <c r="D72" s="33">
        <f>IF(A72="","",TODAY())</f>
        <v/>
      </c>
      <c r="E72" s="29" t="n"/>
      <c r="F72" s="32">
        <f>IFERROR(IF(OR(A72="",E72=""),"",C72+E72),"")</f>
        <v/>
      </c>
      <c r="G72" s="30" t="n"/>
      <c r="H72" s="31" t="n"/>
    </row>
    <row r="73" ht="20" customHeight="1">
      <c r="A73" s="26" t="n"/>
      <c r="B73" s="27">
        <f>IFERROR(IF(A73="","",VLOOKUP(A73,DATABASE!$A:$B,2,0)),"")</f>
        <v/>
      </c>
      <c r="C73" s="20">
        <f>IFERROR(IF(A73="","",SUMIF(SAVINGS!$A$3:A72,A73,SAVINGS!$E$3:E72)-SUMIF(WITHDRAWALS!$A:$A,A73,WITHDRAWALS!$E:$E)),"")</f>
        <v/>
      </c>
      <c r="D73" s="28">
        <f>IF(A73="","",TODAY())</f>
        <v/>
      </c>
      <c r="E73" s="29" t="n"/>
      <c r="F73" s="20">
        <f>IFERROR(IF(OR(A73="",E73=""),"",C73+E73),"")</f>
        <v/>
      </c>
      <c r="G73" s="30" t="n"/>
      <c r="H73" s="27" t="n"/>
    </row>
    <row r="74" ht="20" customHeight="1">
      <c r="A74" s="26" t="n"/>
      <c r="B74" s="31">
        <f>IFERROR(IF(A74="","",VLOOKUP(A74,DATABASE!$A:$B,2,0)),"")</f>
        <v/>
      </c>
      <c r="C74" s="32">
        <f>IFERROR(IF(A74="","",SUMIF(SAVINGS!$A$3:A73,A74,SAVINGS!$E$3:E73)-SUMIF(WITHDRAWALS!$A:$A,A74,WITHDRAWALS!$E:$E)),"")</f>
        <v/>
      </c>
      <c r="D74" s="33">
        <f>IF(A74="","",TODAY())</f>
        <v/>
      </c>
      <c r="E74" s="29" t="n"/>
      <c r="F74" s="32">
        <f>IFERROR(IF(OR(A74="",E74=""),"",C74+E74),"")</f>
        <v/>
      </c>
      <c r="G74" s="30" t="n"/>
      <c r="H74" s="31" t="n"/>
    </row>
    <row r="75" ht="20" customHeight="1">
      <c r="A75" s="26" t="n"/>
      <c r="B75" s="27">
        <f>IFERROR(IF(A75="","",VLOOKUP(A75,DATABASE!$A:$B,2,0)),"")</f>
        <v/>
      </c>
      <c r="C75" s="20">
        <f>IFERROR(IF(A75="","",SUMIF(SAVINGS!$A$3:A74,A75,SAVINGS!$E$3:E74)-SUMIF(WITHDRAWALS!$A:$A,A75,WITHDRAWALS!$E:$E)),"")</f>
        <v/>
      </c>
      <c r="D75" s="28">
        <f>IF(A75="","",TODAY())</f>
        <v/>
      </c>
      <c r="E75" s="29" t="n"/>
      <c r="F75" s="20">
        <f>IFERROR(IF(OR(A75="",E75=""),"",C75+E75),"")</f>
        <v/>
      </c>
      <c r="G75" s="30" t="n"/>
      <c r="H75" s="27" t="n"/>
    </row>
    <row r="76" ht="20" customHeight="1">
      <c r="A76" s="26" t="n"/>
      <c r="B76" s="31">
        <f>IFERROR(IF(A76="","",VLOOKUP(A76,DATABASE!$A:$B,2,0)),"")</f>
        <v/>
      </c>
      <c r="C76" s="32">
        <f>IFERROR(IF(A76="","",SUMIF(SAVINGS!$A$3:A75,A76,SAVINGS!$E$3:E75)-SUMIF(WITHDRAWALS!$A:$A,A76,WITHDRAWALS!$E:$E)),"")</f>
        <v/>
      </c>
      <c r="D76" s="33">
        <f>IF(A76="","",TODAY())</f>
        <v/>
      </c>
      <c r="E76" s="29" t="n"/>
      <c r="F76" s="32">
        <f>IFERROR(IF(OR(A76="",E76=""),"",C76+E76),"")</f>
        <v/>
      </c>
      <c r="G76" s="30" t="n"/>
      <c r="H76" s="31" t="n"/>
    </row>
    <row r="77" ht="20" customHeight="1">
      <c r="A77" s="26" t="n"/>
      <c r="B77" s="27">
        <f>IFERROR(IF(A77="","",VLOOKUP(A77,DATABASE!$A:$B,2,0)),"")</f>
        <v/>
      </c>
      <c r="C77" s="20">
        <f>IFERROR(IF(A77="","",SUMIF(SAVINGS!$A$3:A76,A77,SAVINGS!$E$3:E76)-SUMIF(WITHDRAWALS!$A:$A,A77,WITHDRAWALS!$E:$E)),"")</f>
        <v/>
      </c>
      <c r="D77" s="28">
        <f>IF(A77="","",TODAY())</f>
        <v/>
      </c>
      <c r="E77" s="29" t="n"/>
      <c r="F77" s="20">
        <f>IFERROR(IF(OR(A77="",E77=""),"",C77+E77),"")</f>
        <v/>
      </c>
      <c r="G77" s="30" t="n"/>
      <c r="H77" s="27" t="n"/>
    </row>
    <row r="78" ht="20" customHeight="1">
      <c r="A78" s="26" t="n"/>
      <c r="B78" s="31">
        <f>IFERROR(IF(A78="","",VLOOKUP(A78,DATABASE!$A:$B,2,0)),"")</f>
        <v/>
      </c>
      <c r="C78" s="32">
        <f>IFERROR(IF(A78="","",SUMIF(SAVINGS!$A$3:A77,A78,SAVINGS!$E$3:E77)-SUMIF(WITHDRAWALS!$A:$A,A78,WITHDRAWALS!$E:$E)),"")</f>
        <v/>
      </c>
      <c r="D78" s="33">
        <f>IF(A78="","",TODAY())</f>
        <v/>
      </c>
      <c r="E78" s="29" t="n"/>
      <c r="F78" s="32">
        <f>IFERROR(IF(OR(A78="",E78=""),"",C78+E78),"")</f>
        <v/>
      </c>
      <c r="G78" s="30" t="n"/>
      <c r="H78" s="31" t="n"/>
    </row>
    <row r="79" ht="20" customHeight="1">
      <c r="A79" s="26" t="n"/>
      <c r="B79" s="27">
        <f>IFERROR(IF(A79="","",VLOOKUP(A79,DATABASE!$A:$B,2,0)),"")</f>
        <v/>
      </c>
      <c r="C79" s="20">
        <f>IFERROR(IF(A79="","",SUMIF(SAVINGS!$A$3:A78,A79,SAVINGS!$E$3:E78)-SUMIF(WITHDRAWALS!$A:$A,A79,WITHDRAWALS!$E:$E)),"")</f>
        <v/>
      </c>
      <c r="D79" s="28">
        <f>IF(A79="","",TODAY())</f>
        <v/>
      </c>
      <c r="E79" s="29" t="n"/>
      <c r="F79" s="20">
        <f>IFERROR(IF(OR(A79="",E79=""),"",C79+E79),"")</f>
        <v/>
      </c>
      <c r="G79" s="30" t="n"/>
      <c r="H79" s="27" t="n"/>
    </row>
    <row r="80" ht="20" customHeight="1">
      <c r="A80" s="26" t="n"/>
      <c r="B80" s="31">
        <f>IFERROR(IF(A80="","",VLOOKUP(A80,DATABASE!$A:$B,2,0)),"")</f>
        <v/>
      </c>
      <c r="C80" s="32">
        <f>IFERROR(IF(A80="","",SUMIF(SAVINGS!$A$3:A79,A80,SAVINGS!$E$3:E79)-SUMIF(WITHDRAWALS!$A:$A,A80,WITHDRAWALS!$E:$E)),"")</f>
        <v/>
      </c>
      <c r="D80" s="33">
        <f>IF(A80="","",TODAY())</f>
        <v/>
      </c>
      <c r="E80" s="29" t="n"/>
      <c r="F80" s="32">
        <f>IFERROR(IF(OR(A80="",E80=""),"",C80+E80),"")</f>
        <v/>
      </c>
      <c r="G80" s="30" t="n"/>
      <c r="H80" s="31" t="n"/>
    </row>
    <row r="81" ht="20" customHeight="1">
      <c r="A81" s="26" t="n"/>
      <c r="B81" s="27">
        <f>IFERROR(IF(A81="","",VLOOKUP(A81,DATABASE!$A:$B,2,0)),"")</f>
        <v/>
      </c>
      <c r="C81" s="20">
        <f>IFERROR(IF(A81="","",SUMIF(SAVINGS!$A$3:A80,A81,SAVINGS!$E$3:E80)-SUMIF(WITHDRAWALS!$A:$A,A81,WITHDRAWALS!$E:$E)),"")</f>
        <v/>
      </c>
      <c r="D81" s="28">
        <f>IF(A81="","",TODAY())</f>
        <v/>
      </c>
      <c r="E81" s="29" t="n"/>
      <c r="F81" s="20">
        <f>IFERROR(IF(OR(A81="",E81=""),"",C81+E81),"")</f>
        <v/>
      </c>
      <c r="G81" s="30" t="n"/>
      <c r="H81" s="27" t="n"/>
    </row>
    <row r="82" ht="20" customHeight="1">
      <c r="A82" s="26" t="n"/>
      <c r="B82" s="31">
        <f>IFERROR(IF(A82="","",VLOOKUP(A82,DATABASE!$A:$B,2,0)),"")</f>
        <v/>
      </c>
      <c r="C82" s="32">
        <f>IFERROR(IF(A82="","",SUMIF(SAVINGS!$A$3:A81,A82,SAVINGS!$E$3:E81)-SUMIF(WITHDRAWALS!$A:$A,A82,WITHDRAWALS!$E:$E)),"")</f>
        <v/>
      </c>
      <c r="D82" s="33">
        <f>IF(A82="","",TODAY())</f>
        <v/>
      </c>
      <c r="E82" s="29" t="n"/>
      <c r="F82" s="32">
        <f>IFERROR(IF(OR(A82="",E82=""),"",C82+E82),"")</f>
        <v/>
      </c>
      <c r="G82" s="30" t="n"/>
      <c r="H82" s="31" t="n"/>
    </row>
    <row r="83" ht="20" customHeight="1">
      <c r="A83" s="26" t="n"/>
      <c r="B83" s="27">
        <f>IFERROR(IF(A83="","",VLOOKUP(A83,DATABASE!$A:$B,2,0)),"")</f>
        <v/>
      </c>
      <c r="C83" s="20">
        <f>IFERROR(IF(A83="","",SUMIF(SAVINGS!$A$3:A82,A83,SAVINGS!$E$3:E82)-SUMIF(WITHDRAWALS!$A:$A,A83,WITHDRAWALS!$E:$E)),"")</f>
        <v/>
      </c>
      <c r="D83" s="28">
        <f>IF(A83="","",TODAY())</f>
        <v/>
      </c>
      <c r="E83" s="29" t="n"/>
      <c r="F83" s="20">
        <f>IFERROR(IF(OR(A83="",E83=""),"",C83+E83),"")</f>
        <v/>
      </c>
      <c r="G83" s="30" t="n"/>
      <c r="H83" s="27" t="n"/>
    </row>
    <row r="84" ht="20" customHeight="1">
      <c r="A84" s="26" t="n"/>
      <c r="B84" s="31">
        <f>IFERROR(IF(A84="","",VLOOKUP(A84,DATABASE!$A:$B,2,0)),"")</f>
        <v/>
      </c>
      <c r="C84" s="32">
        <f>IFERROR(IF(A84="","",SUMIF(SAVINGS!$A$3:A83,A84,SAVINGS!$E$3:E83)-SUMIF(WITHDRAWALS!$A:$A,A84,WITHDRAWALS!$E:$E)),"")</f>
        <v/>
      </c>
      <c r="D84" s="33">
        <f>IF(A84="","",TODAY())</f>
        <v/>
      </c>
      <c r="E84" s="29" t="n"/>
      <c r="F84" s="32">
        <f>IFERROR(IF(OR(A84="",E84=""),"",C84+E84),"")</f>
        <v/>
      </c>
      <c r="G84" s="30" t="n"/>
      <c r="H84" s="31" t="n"/>
    </row>
    <row r="85" ht="20" customHeight="1">
      <c r="A85" s="26" t="n"/>
      <c r="B85" s="27">
        <f>IFERROR(IF(A85="","",VLOOKUP(A85,DATABASE!$A:$B,2,0)),"")</f>
        <v/>
      </c>
      <c r="C85" s="20">
        <f>IFERROR(IF(A85="","",SUMIF(SAVINGS!$A$3:A84,A85,SAVINGS!$E$3:E84)-SUMIF(WITHDRAWALS!$A:$A,A85,WITHDRAWALS!$E:$E)),"")</f>
        <v/>
      </c>
      <c r="D85" s="28">
        <f>IF(A85="","",TODAY())</f>
        <v/>
      </c>
      <c r="E85" s="29" t="n"/>
      <c r="F85" s="20">
        <f>IFERROR(IF(OR(A85="",E85=""),"",C85+E85),"")</f>
        <v/>
      </c>
      <c r="G85" s="30" t="n"/>
      <c r="H85" s="27" t="n"/>
    </row>
    <row r="86" ht="20" customHeight="1">
      <c r="A86" s="26" t="n"/>
      <c r="B86" s="31">
        <f>IFERROR(IF(A86="","",VLOOKUP(A86,DATABASE!$A:$B,2,0)),"")</f>
        <v/>
      </c>
      <c r="C86" s="32">
        <f>IFERROR(IF(A86="","",SUMIF(SAVINGS!$A$3:A85,A86,SAVINGS!$E$3:E85)-SUMIF(WITHDRAWALS!$A:$A,A86,WITHDRAWALS!$E:$E)),"")</f>
        <v/>
      </c>
      <c r="D86" s="33">
        <f>IF(A86="","",TODAY())</f>
        <v/>
      </c>
      <c r="E86" s="29" t="n"/>
      <c r="F86" s="32">
        <f>IFERROR(IF(OR(A86="",E86=""),"",C86+E86),"")</f>
        <v/>
      </c>
      <c r="G86" s="30" t="n"/>
      <c r="H86" s="31" t="n"/>
    </row>
    <row r="87" ht="20" customHeight="1">
      <c r="A87" s="26" t="n"/>
      <c r="B87" s="27">
        <f>IFERROR(IF(A87="","",VLOOKUP(A87,DATABASE!$A:$B,2,0)),"")</f>
        <v/>
      </c>
      <c r="C87" s="20">
        <f>IFERROR(IF(A87="","",SUMIF(SAVINGS!$A$3:A86,A87,SAVINGS!$E$3:E86)-SUMIF(WITHDRAWALS!$A:$A,A87,WITHDRAWALS!$E:$E)),"")</f>
        <v/>
      </c>
      <c r="D87" s="28">
        <f>IF(A87="","",TODAY())</f>
        <v/>
      </c>
      <c r="E87" s="29" t="n"/>
      <c r="F87" s="20">
        <f>IFERROR(IF(OR(A87="",E87=""),"",C87+E87),"")</f>
        <v/>
      </c>
      <c r="G87" s="30" t="n"/>
      <c r="H87" s="27" t="n"/>
    </row>
    <row r="88" ht="20" customHeight="1">
      <c r="A88" s="26" t="n"/>
      <c r="B88" s="31">
        <f>IFERROR(IF(A88="","",VLOOKUP(A88,DATABASE!$A:$B,2,0)),"")</f>
        <v/>
      </c>
      <c r="C88" s="32">
        <f>IFERROR(IF(A88="","",SUMIF(SAVINGS!$A$3:A87,A88,SAVINGS!$E$3:E87)-SUMIF(WITHDRAWALS!$A:$A,A88,WITHDRAWALS!$E:$E)),"")</f>
        <v/>
      </c>
      <c r="D88" s="33">
        <f>IF(A88="","",TODAY())</f>
        <v/>
      </c>
      <c r="E88" s="29" t="n"/>
      <c r="F88" s="32">
        <f>IFERROR(IF(OR(A88="",E88=""),"",C88+E88),"")</f>
        <v/>
      </c>
      <c r="G88" s="30" t="n"/>
      <c r="H88" s="31" t="n"/>
    </row>
    <row r="89" ht="20" customHeight="1">
      <c r="A89" s="26" t="n"/>
      <c r="B89" s="27">
        <f>IFERROR(IF(A89="","",VLOOKUP(A89,DATABASE!$A:$B,2,0)),"")</f>
        <v/>
      </c>
      <c r="C89" s="20">
        <f>IFERROR(IF(A89="","",SUMIF(SAVINGS!$A$3:A88,A89,SAVINGS!$E$3:E88)-SUMIF(WITHDRAWALS!$A:$A,A89,WITHDRAWALS!$E:$E)),"")</f>
        <v/>
      </c>
      <c r="D89" s="28">
        <f>IF(A89="","",TODAY())</f>
        <v/>
      </c>
      <c r="E89" s="29" t="n"/>
      <c r="F89" s="20">
        <f>IFERROR(IF(OR(A89="",E89=""),"",C89+E89),"")</f>
        <v/>
      </c>
      <c r="G89" s="30" t="n"/>
      <c r="H89" s="27" t="n"/>
    </row>
    <row r="90" ht="20" customHeight="1">
      <c r="A90" s="26" t="n"/>
      <c r="B90" s="31">
        <f>IFERROR(IF(A90="","",VLOOKUP(A90,DATABASE!$A:$B,2,0)),"")</f>
        <v/>
      </c>
      <c r="C90" s="32">
        <f>IFERROR(IF(A90="","",SUMIF(SAVINGS!$A$3:A89,A90,SAVINGS!$E$3:E89)-SUMIF(WITHDRAWALS!$A:$A,A90,WITHDRAWALS!$E:$E)),"")</f>
        <v/>
      </c>
      <c r="D90" s="33">
        <f>IF(A90="","",TODAY())</f>
        <v/>
      </c>
      <c r="E90" s="29" t="n"/>
      <c r="F90" s="32">
        <f>IFERROR(IF(OR(A90="",E90=""),"",C90+E90),"")</f>
        <v/>
      </c>
      <c r="G90" s="30" t="n"/>
      <c r="H90" s="31" t="n"/>
    </row>
    <row r="91" ht="20" customHeight="1">
      <c r="A91" s="26" t="n"/>
      <c r="B91" s="27">
        <f>IFERROR(IF(A91="","",VLOOKUP(A91,DATABASE!$A:$B,2,0)),"")</f>
        <v/>
      </c>
      <c r="C91" s="20">
        <f>IFERROR(IF(A91="","",SUMIF(SAVINGS!$A$3:A90,A91,SAVINGS!$E$3:E90)-SUMIF(WITHDRAWALS!$A:$A,A91,WITHDRAWALS!$E:$E)),"")</f>
        <v/>
      </c>
      <c r="D91" s="28">
        <f>IF(A91="","",TODAY())</f>
        <v/>
      </c>
      <c r="E91" s="29" t="n"/>
      <c r="F91" s="20">
        <f>IFERROR(IF(OR(A91="",E91=""),"",C91+E91),"")</f>
        <v/>
      </c>
      <c r="G91" s="30" t="n"/>
      <c r="H91" s="27" t="n"/>
    </row>
    <row r="92" ht="20" customHeight="1">
      <c r="A92" s="26" t="n"/>
      <c r="B92" s="31">
        <f>IFERROR(IF(A92="","",VLOOKUP(A92,DATABASE!$A:$B,2,0)),"")</f>
        <v/>
      </c>
      <c r="C92" s="32">
        <f>IFERROR(IF(A92="","",SUMIF(SAVINGS!$A$3:A91,A92,SAVINGS!$E$3:E91)-SUMIF(WITHDRAWALS!$A:$A,A92,WITHDRAWALS!$E:$E)),"")</f>
        <v/>
      </c>
      <c r="D92" s="33">
        <f>IF(A92="","",TODAY())</f>
        <v/>
      </c>
      <c r="E92" s="29" t="n"/>
      <c r="F92" s="32">
        <f>IFERROR(IF(OR(A92="",E92=""),"",C92+E92),"")</f>
        <v/>
      </c>
      <c r="G92" s="30" t="n"/>
      <c r="H92" s="31" t="n"/>
    </row>
    <row r="93" ht="20" customHeight="1">
      <c r="A93" s="26" t="n"/>
      <c r="B93" s="27">
        <f>IFERROR(IF(A93="","",VLOOKUP(A93,DATABASE!$A:$B,2,0)),"")</f>
        <v/>
      </c>
      <c r="C93" s="20">
        <f>IFERROR(IF(A93="","",SUMIF(SAVINGS!$A$3:A92,A93,SAVINGS!$E$3:E92)-SUMIF(WITHDRAWALS!$A:$A,A93,WITHDRAWALS!$E:$E)),"")</f>
        <v/>
      </c>
      <c r="D93" s="28">
        <f>IF(A93="","",TODAY())</f>
        <v/>
      </c>
      <c r="E93" s="29" t="n"/>
      <c r="F93" s="20">
        <f>IFERROR(IF(OR(A93="",E93=""),"",C93+E93),"")</f>
        <v/>
      </c>
      <c r="G93" s="30" t="n"/>
      <c r="H93" s="27" t="n"/>
    </row>
    <row r="94" ht="20" customHeight="1">
      <c r="A94" s="26" t="n"/>
      <c r="B94" s="31">
        <f>IFERROR(IF(A94="","",VLOOKUP(A94,DATABASE!$A:$B,2,0)),"")</f>
        <v/>
      </c>
      <c r="C94" s="32">
        <f>IFERROR(IF(A94="","",SUMIF(SAVINGS!$A$3:A93,A94,SAVINGS!$E$3:E93)-SUMIF(WITHDRAWALS!$A:$A,A94,WITHDRAWALS!$E:$E)),"")</f>
        <v/>
      </c>
      <c r="D94" s="33">
        <f>IF(A94="","",TODAY())</f>
        <v/>
      </c>
      <c r="E94" s="29" t="n"/>
      <c r="F94" s="32">
        <f>IFERROR(IF(OR(A94="",E94=""),"",C94+E94),"")</f>
        <v/>
      </c>
      <c r="G94" s="30" t="n"/>
      <c r="H94" s="31" t="n"/>
    </row>
    <row r="95" ht="20" customHeight="1">
      <c r="A95" s="26" t="n"/>
      <c r="B95" s="27">
        <f>IFERROR(IF(A95="","",VLOOKUP(A95,DATABASE!$A:$B,2,0)),"")</f>
        <v/>
      </c>
      <c r="C95" s="20">
        <f>IFERROR(IF(A95="","",SUMIF(SAVINGS!$A$3:A94,A95,SAVINGS!$E$3:E94)-SUMIF(WITHDRAWALS!$A:$A,A95,WITHDRAWALS!$E:$E)),"")</f>
        <v/>
      </c>
      <c r="D95" s="28">
        <f>IF(A95="","",TODAY())</f>
        <v/>
      </c>
      <c r="E95" s="29" t="n"/>
      <c r="F95" s="20">
        <f>IFERROR(IF(OR(A95="",E95=""),"",C95+E95),"")</f>
        <v/>
      </c>
      <c r="G95" s="30" t="n"/>
      <c r="H95" s="27" t="n"/>
    </row>
    <row r="96" ht="20" customHeight="1">
      <c r="A96" s="26" t="n"/>
      <c r="B96" s="31">
        <f>IFERROR(IF(A96="","",VLOOKUP(A96,DATABASE!$A:$B,2,0)),"")</f>
        <v/>
      </c>
      <c r="C96" s="32">
        <f>IFERROR(IF(A96="","",SUMIF(SAVINGS!$A$3:A95,A96,SAVINGS!$E$3:E95)-SUMIF(WITHDRAWALS!$A:$A,A96,WITHDRAWALS!$E:$E)),"")</f>
        <v/>
      </c>
      <c r="D96" s="33">
        <f>IF(A96="","",TODAY())</f>
        <v/>
      </c>
      <c r="E96" s="29" t="n"/>
      <c r="F96" s="32">
        <f>IFERROR(IF(OR(A96="",E96=""),"",C96+E96),"")</f>
        <v/>
      </c>
      <c r="G96" s="30" t="n"/>
      <c r="H96" s="31" t="n"/>
    </row>
    <row r="97" ht="20" customHeight="1">
      <c r="A97" s="26" t="n"/>
      <c r="B97" s="27">
        <f>IFERROR(IF(A97="","",VLOOKUP(A97,DATABASE!$A:$B,2,0)),"")</f>
        <v/>
      </c>
      <c r="C97" s="20">
        <f>IFERROR(IF(A97="","",SUMIF(SAVINGS!$A$3:A96,A97,SAVINGS!$E$3:E96)-SUMIF(WITHDRAWALS!$A:$A,A97,WITHDRAWALS!$E:$E)),"")</f>
        <v/>
      </c>
      <c r="D97" s="28">
        <f>IF(A97="","",TODAY())</f>
        <v/>
      </c>
      <c r="E97" s="29" t="n"/>
      <c r="F97" s="20">
        <f>IFERROR(IF(OR(A97="",E97=""),"",C97+E97),"")</f>
        <v/>
      </c>
      <c r="G97" s="30" t="n"/>
      <c r="H97" s="27" t="n"/>
    </row>
    <row r="98" ht="20" customHeight="1">
      <c r="A98" s="26" t="n"/>
      <c r="B98" s="31">
        <f>IFERROR(IF(A98="","",VLOOKUP(A98,DATABASE!$A:$B,2,0)),"")</f>
        <v/>
      </c>
      <c r="C98" s="32">
        <f>IFERROR(IF(A98="","",SUMIF(SAVINGS!$A$3:A97,A98,SAVINGS!$E$3:E97)-SUMIF(WITHDRAWALS!$A:$A,A98,WITHDRAWALS!$E:$E)),"")</f>
        <v/>
      </c>
      <c r="D98" s="33">
        <f>IF(A98="","",TODAY())</f>
        <v/>
      </c>
      <c r="E98" s="29" t="n"/>
      <c r="F98" s="32">
        <f>IFERROR(IF(OR(A98="",E98=""),"",C98+E98),"")</f>
        <v/>
      </c>
      <c r="G98" s="30" t="n"/>
      <c r="H98" s="31" t="n"/>
    </row>
    <row r="99" ht="20" customHeight="1">
      <c r="A99" s="26" t="n"/>
      <c r="B99" s="27">
        <f>IFERROR(IF(A99="","",VLOOKUP(A99,DATABASE!$A:$B,2,0)),"")</f>
        <v/>
      </c>
      <c r="C99" s="20">
        <f>IFERROR(IF(A99="","",SUMIF(SAVINGS!$A$3:A98,A99,SAVINGS!$E$3:E98)-SUMIF(WITHDRAWALS!$A:$A,A99,WITHDRAWALS!$E:$E)),"")</f>
        <v/>
      </c>
      <c r="D99" s="28">
        <f>IF(A99="","",TODAY())</f>
        <v/>
      </c>
      <c r="E99" s="29" t="n"/>
      <c r="F99" s="20">
        <f>IFERROR(IF(OR(A99="",E99=""),"",C99+E99),"")</f>
        <v/>
      </c>
      <c r="G99" s="30" t="n"/>
      <c r="H99" s="27" t="n"/>
    </row>
    <row r="100" ht="20" customHeight="1">
      <c r="A100" s="26" t="n"/>
      <c r="B100" s="31">
        <f>IFERROR(IF(A100="","",VLOOKUP(A100,DATABASE!$A:$B,2,0)),"")</f>
        <v/>
      </c>
      <c r="C100" s="32">
        <f>IFERROR(IF(A100="","",SUMIF(SAVINGS!$A$3:A99,A100,SAVINGS!$E$3:E99)-SUMIF(WITHDRAWALS!$A:$A,A100,WITHDRAWALS!$E:$E)),"")</f>
        <v/>
      </c>
      <c r="D100" s="33">
        <f>IF(A100="","",TODAY())</f>
        <v/>
      </c>
      <c r="E100" s="29" t="n"/>
      <c r="F100" s="32">
        <f>IFERROR(IF(OR(A100="",E100=""),"",C100+E100),"")</f>
        <v/>
      </c>
      <c r="G100" s="30" t="n"/>
      <c r="H100" s="31" t="n"/>
    </row>
    <row r="101" ht="20" customHeight="1">
      <c r="A101" s="26" t="n"/>
      <c r="B101" s="27">
        <f>IFERROR(IF(A101="","",VLOOKUP(A101,DATABASE!$A:$B,2,0)),"")</f>
        <v/>
      </c>
      <c r="C101" s="20">
        <f>IFERROR(IF(A101="","",SUMIF(SAVINGS!$A$3:A100,A101,SAVINGS!$E$3:E100)-SUMIF(WITHDRAWALS!$A:$A,A101,WITHDRAWALS!$E:$E)),"")</f>
        <v/>
      </c>
      <c r="D101" s="28">
        <f>IF(A101="","",TODAY())</f>
        <v/>
      </c>
      <c r="E101" s="29" t="n"/>
      <c r="F101" s="20">
        <f>IFERROR(IF(OR(A101="",E101=""),"",C101+E101),"")</f>
        <v/>
      </c>
      <c r="G101" s="30" t="n"/>
      <c r="H101" s="27" t="n"/>
    </row>
    <row r="102" ht="20" customHeight="1">
      <c r="A102" s="26" t="n"/>
      <c r="B102" s="31">
        <f>IFERROR(IF(A102="","",VLOOKUP(A102,DATABASE!$A:$B,2,0)),"")</f>
        <v/>
      </c>
      <c r="C102" s="32">
        <f>IFERROR(IF(A102="","",SUMIF(SAVINGS!$A$3:A101,A102,SAVINGS!$E$3:E101)-SUMIF(WITHDRAWALS!$A:$A,A102,WITHDRAWALS!$E:$E)),"")</f>
        <v/>
      </c>
      <c r="D102" s="33">
        <f>IF(A102="","",TODAY())</f>
        <v/>
      </c>
      <c r="E102" s="29" t="n"/>
      <c r="F102" s="32">
        <f>IFERROR(IF(OR(A102="",E102=""),"",C102+E102),"")</f>
        <v/>
      </c>
      <c r="G102" s="30" t="n"/>
      <c r="H102" s="31" t="n"/>
    </row>
    <row r="103" ht="20" customHeight="1">
      <c r="A103" s="26" t="n"/>
      <c r="B103" s="27">
        <f>IFERROR(IF(A103="","",VLOOKUP(A103,DATABASE!$A:$B,2,0)),"")</f>
        <v/>
      </c>
      <c r="C103" s="20">
        <f>IFERROR(IF(A103="","",SUMIF(SAVINGS!$A$3:A102,A103,SAVINGS!$E$3:E102)-SUMIF(WITHDRAWALS!$A:$A,A103,WITHDRAWALS!$E:$E)),"")</f>
        <v/>
      </c>
      <c r="D103" s="28">
        <f>IF(A103="","",TODAY())</f>
        <v/>
      </c>
      <c r="E103" s="29" t="n"/>
      <c r="F103" s="20">
        <f>IFERROR(IF(OR(A103="",E103=""),"",C103+E103),"")</f>
        <v/>
      </c>
      <c r="G103" s="30" t="n"/>
      <c r="H103" s="27" t="n"/>
    </row>
    <row r="104" ht="20" customHeight="1">
      <c r="A104" s="26" t="n"/>
      <c r="B104" s="31">
        <f>IFERROR(IF(A104="","",VLOOKUP(A104,DATABASE!$A:$B,2,0)),"")</f>
        <v/>
      </c>
      <c r="C104" s="32">
        <f>IFERROR(IF(A104="","",SUMIF(SAVINGS!$A$3:A103,A104,SAVINGS!$E$3:E103)-SUMIF(WITHDRAWALS!$A:$A,A104,WITHDRAWALS!$E:$E)),"")</f>
        <v/>
      </c>
      <c r="D104" s="33">
        <f>IF(A104="","",TODAY())</f>
        <v/>
      </c>
      <c r="E104" s="29" t="n"/>
      <c r="F104" s="32">
        <f>IFERROR(IF(OR(A104="",E104=""),"",C104+E104),"")</f>
        <v/>
      </c>
      <c r="G104" s="30" t="n"/>
      <c r="H104" s="31" t="n"/>
    </row>
    <row r="105" ht="20" customHeight="1">
      <c r="A105" s="26" t="n"/>
      <c r="B105" s="27">
        <f>IFERROR(IF(A105="","",VLOOKUP(A105,DATABASE!$A:$B,2,0)),"")</f>
        <v/>
      </c>
      <c r="C105" s="20">
        <f>IFERROR(IF(A105="","",SUMIF(SAVINGS!$A$3:A104,A105,SAVINGS!$E$3:E104)-SUMIF(WITHDRAWALS!$A:$A,A105,WITHDRAWALS!$E:$E)),"")</f>
        <v/>
      </c>
      <c r="D105" s="28">
        <f>IF(A105="","",TODAY())</f>
        <v/>
      </c>
      <c r="E105" s="29" t="n"/>
      <c r="F105" s="20">
        <f>IFERROR(IF(OR(A105="",E105=""),"",C105+E105),"")</f>
        <v/>
      </c>
      <c r="G105" s="30" t="n"/>
      <c r="H105" s="27" t="n"/>
    </row>
    <row r="106" ht="20" customHeight="1">
      <c r="A106" s="26" t="n"/>
      <c r="B106" s="31">
        <f>IFERROR(IF(A106="","",VLOOKUP(A106,DATABASE!$A:$B,2,0)),"")</f>
        <v/>
      </c>
      <c r="C106" s="32">
        <f>IFERROR(IF(A106="","",SUMIF(SAVINGS!$A$3:A105,A106,SAVINGS!$E$3:E105)-SUMIF(WITHDRAWALS!$A:$A,A106,WITHDRAWALS!$E:$E)),"")</f>
        <v/>
      </c>
      <c r="D106" s="33">
        <f>IF(A106="","",TODAY())</f>
        <v/>
      </c>
      <c r="E106" s="29" t="n"/>
      <c r="F106" s="32">
        <f>IFERROR(IF(OR(A106="",E106=""),"",C106+E106),"")</f>
        <v/>
      </c>
      <c r="G106" s="30" t="n"/>
      <c r="H106" s="31" t="n"/>
    </row>
    <row r="107" ht="20" customHeight="1">
      <c r="A107" s="26" t="n"/>
      <c r="B107" s="27">
        <f>IFERROR(IF(A107="","",VLOOKUP(A107,DATABASE!$A:$B,2,0)),"")</f>
        <v/>
      </c>
      <c r="C107" s="20">
        <f>IFERROR(IF(A107="","",SUMIF(SAVINGS!$A$3:A106,A107,SAVINGS!$E$3:E106)-SUMIF(WITHDRAWALS!$A:$A,A107,WITHDRAWALS!$E:$E)),"")</f>
        <v/>
      </c>
      <c r="D107" s="28">
        <f>IF(A107="","",TODAY())</f>
        <v/>
      </c>
      <c r="E107" s="29" t="n"/>
      <c r="F107" s="20">
        <f>IFERROR(IF(OR(A107="",E107=""),"",C107+E107),"")</f>
        <v/>
      </c>
      <c r="G107" s="30" t="n"/>
      <c r="H107" s="27" t="n"/>
    </row>
    <row r="108" ht="20" customHeight="1">
      <c r="A108" s="26" t="n"/>
      <c r="B108" s="31">
        <f>IFERROR(IF(A108="","",VLOOKUP(A108,DATABASE!$A:$B,2,0)),"")</f>
        <v/>
      </c>
      <c r="C108" s="32">
        <f>IFERROR(IF(A108="","",SUMIF(SAVINGS!$A$3:A107,A108,SAVINGS!$E$3:E107)-SUMIF(WITHDRAWALS!$A:$A,A108,WITHDRAWALS!$E:$E)),"")</f>
        <v/>
      </c>
      <c r="D108" s="33">
        <f>IF(A108="","",TODAY())</f>
        <v/>
      </c>
      <c r="E108" s="29" t="n"/>
      <c r="F108" s="32">
        <f>IFERROR(IF(OR(A108="",E108=""),"",C108+E108),"")</f>
        <v/>
      </c>
      <c r="G108" s="30" t="n"/>
      <c r="H108" s="31" t="n"/>
    </row>
    <row r="109" ht="20" customHeight="1">
      <c r="A109" s="26" t="n"/>
      <c r="B109" s="27">
        <f>IFERROR(IF(A109="","",VLOOKUP(A109,DATABASE!$A:$B,2,0)),"")</f>
        <v/>
      </c>
      <c r="C109" s="20">
        <f>IFERROR(IF(A109="","",SUMIF(SAVINGS!$A$3:A108,A109,SAVINGS!$E$3:E108)-SUMIF(WITHDRAWALS!$A:$A,A109,WITHDRAWALS!$E:$E)),"")</f>
        <v/>
      </c>
      <c r="D109" s="28">
        <f>IF(A109="","",TODAY())</f>
        <v/>
      </c>
      <c r="E109" s="29" t="n"/>
      <c r="F109" s="20">
        <f>IFERROR(IF(OR(A109="",E109=""),"",C109+E109),"")</f>
        <v/>
      </c>
      <c r="G109" s="30" t="n"/>
      <c r="H109" s="27" t="n"/>
    </row>
    <row r="110" ht="20" customHeight="1">
      <c r="A110" s="26" t="n"/>
      <c r="B110" s="31">
        <f>IFERROR(IF(A110="","",VLOOKUP(A110,DATABASE!$A:$B,2,0)),"")</f>
        <v/>
      </c>
      <c r="C110" s="32">
        <f>IFERROR(IF(A110="","",SUMIF(SAVINGS!$A$3:A109,A110,SAVINGS!$E$3:E109)-SUMIF(WITHDRAWALS!$A:$A,A110,WITHDRAWALS!$E:$E)),"")</f>
        <v/>
      </c>
      <c r="D110" s="33">
        <f>IF(A110="","",TODAY())</f>
        <v/>
      </c>
      <c r="E110" s="29" t="n"/>
      <c r="F110" s="32">
        <f>IFERROR(IF(OR(A110="",E110=""),"",C110+E110),"")</f>
        <v/>
      </c>
      <c r="G110" s="30" t="n"/>
      <c r="H110" s="31" t="n"/>
    </row>
    <row r="111" ht="20" customHeight="1">
      <c r="A111" s="26" t="n"/>
      <c r="B111" s="27">
        <f>IFERROR(IF(A111="","",VLOOKUP(A111,DATABASE!$A:$B,2,0)),"")</f>
        <v/>
      </c>
      <c r="C111" s="20">
        <f>IFERROR(IF(A111="","",SUMIF(SAVINGS!$A$3:A110,A111,SAVINGS!$E$3:E110)-SUMIF(WITHDRAWALS!$A:$A,A111,WITHDRAWALS!$E:$E)),"")</f>
        <v/>
      </c>
      <c r="D111" s="28">
        <f>IF(A111="","",TODAY())</f>
        <v/>
      </c>
      <c r="E111" s="29" t="n"/>
      <c r="F111" s="20">
        <f>IFERROR(IF(OR(A111="",E111=""),"",C111+E111),"")</f>
        <v/>
      </c>
      <c r="G111" s="30" t="n"/>
      <c r="H111" s="27" t="n"/>
    </row>
    <row r="112" ht="20" customHeight="1">
      <c r="A112" s="26" t="n"/>
      <c r="B112" s="31">
        <f>IFERROR(IF(A112="","",VLOOKUP(A112,DATABASE!$A:$B,2,0)),"")</f>
        <v/>
      </c>
      <c r="C112" s="32">
        <f>IFERROR(IF(A112="","",SUMIF(SAVINGS!$A$3:A111,A112,SAVINGS!$E$3:E111)-SUMIF(WITHDRAWALS!$A:$A,A112,WITHDRAWALS!$E:$E)),"")</f>
        <v/>
      </c>
      <c r="D112" s="33">
        <f>IF(A112="","",TODAY())</f>
        <v/>
      </c>
      <c r="E112" s="29" t="n"/>
      <c r="F112" s="32">
        <f>IFERROR(IF(OR(A112="",E112=""),"",C112+E112),"")</f>
        <v/>
      </c>
      <c r="G112" s="30" t="n"/>
      <c r="H112" s="31" t="n"/>
    </row>
    <row r="113" ht="20" customHeight="1">
      <c r="A113" s="26" t="n"/>
      <c r="B113" s="27">
        <f>IFERROR(IF(A113="","",VLOOKUP(A113,DATABASE!$A:$B,2,0)),"")</f>
        <v/>
      </c>
      <c r="C113" s="20">
        <f>IFERROR(IF(A113="","",SUMIF(SAVINGS!$A$3:A112,A113,SAVINGS!$E$3:E112)-SUMIF(WITHDRAWALS!$A:$A,A113,WITHDRAWALS!$E:$E)),"")</f>
        <v/>
      </c>
      <c r="D113" s="28">
        <f>IF(A113="","",TODAY())</f>
        <v/>
      </c>
      <c r="E113" s="29" t="n"/>
      <c r="F113" s="20">
        <f>IFERROR(IF(OR(A113="",E113=""),"",C113+E113),"")</f>
        <v/>
      </c>
      <c r="G113" s="30" t="n"/>
      <c r="H113" s="27" t="n"/>
    </row>
    <row r="114" ht="20" customHeight="1">
      <c r="A114" s="26" t="n"/>
      <c r="B114" s="31">
        <f>IFERROR(IF(A114="","",VLOOKUP(A114,DATABASE!$A:$B,2,0)),"")</f>
        <v/>
      </c>
      <c r="C114" s="32">
        <f>IFERROR(IF(A114="","",SUMIF(SAVINGS!$A$3:A113,A114,SAVINGS!$E$3:E113)-SUMIF(WITHDRAWALS!$A:$A,A114,WITHDRAWALS!$E:$E)),"")</f>
        <v/>
      </c>
      <c r="D114" s="33">
        <f>IF(A114="","",TODAY())</f>
        <v/>
      </c>
      <c r="E114" s="29" t="n"/>
      <c r="F114" s="32">
        <f>IFERROR(IF(OR(A114="",E114=""),"",C114+E114),"")</f>
        <v/>
      </c>
      <c r="G114" s="30" t="n"/>
      <c r="H114" s="31" t="n"/>
    </row>
    <row r="115" ht="20" customHeight="1">
      <c r="A115" s="26" t="n"/>
      <c r="B115" s="27">
        <f>IFERROR(IF(A115="","",VLOOKUP(A115,DATABASE!$A:$B,2,0)),"")</f>
        <v/>
      </c>
      <c r="C115" s="20">
        <f>IFERROR(IF(A115="","",SUMIF(SAVINGS!$A$3:A114,A115,SAVINGS!$E$3:E114)-SUMIF(WITHDRAWALS!$A:$A,A115,WITHDRAWALS!$E:$E)),"")</f>
        <v/>
      </c>
      <c r="D115" s="28">
        <f>IF(A115="","",TODAY())</f>
        <v/>
      </c>
      <c r="E115" s="29" t="n"/>
      <c r="F115" s="20">
        <f>IFERROR(IF(OR(A115="",E115=""),"",C115+E115),"")</f>
        <v/>
      </c>
      <c r="G115" s="30" t="n"/>
      <c r="H115" s="27" t="n"/>
    </row>
    <row r="116" ht="20" customHeight="1">
      <c r="A116" s="26" t="n"/>
      <c r="B116" s="31">
        <f>IFERROR(IF(A116="","",VLOOKUP(A116,DATABASE!$A:$B,2,0)),"")</f>
        <v/>
      </c>
      <c r="C116" s="32">
        <f>IFERROR(IF(A116="","",SUMIF(SAVINGS!$A$3:A115,A116,SAVINGS!$E$3:E115)-SUMIF(WITHDRAWALS!$A:$A,A116,WITHDRAWALS!$E:$E)),"")</f>
        <v/>
      </c>
      <c r="D116" s="33">
        <f>IF(A116="","",TODAY())</f>
        <v/>
      </c>
      <c r="E116" s="29" t="n"/>
      <c r="F116" s="32">
        <f>IFERROR(IF(OR(A116="",E116=""),"",C116+E116),"")</f>
        <v/>
      </c>
      <c r="G116" s="30" t="n"/>
      <c r="H116" s="31" t="n"/>
    </row>
    <row r="117" ht="20" customHeight="1">
      <c r="A117" s="26" t="n"/>
      <c r="B117" s="27">
        <f>IFERROR(IF(A117="","",VLOOKUP(A117,DATABASE!$A:$B,2,0)),"")</f>
        <v/>
      </c>
      <c r="C117" s="20">
        <f>IFERROR(IF(A117="","",SUMIF(SAVINGS!$A$3:A116,A117,SAVINGS!$E$3:E116)-SUMIF(WITHDRAWALS!$A:$A,A117,WITHDRAWALS!$E:$E)),"")</f>
        <v/>
      </c>
      <c r="D117" s="28">
        <f>IF(A117="","",TODAY())</f>
        <v/>
      </c>
      <c r="E117" s="29" t="n"/>
      <c r="F117" s="20">
        <f>IFERROR(IF(OR(A117="",E117=""),"",C117+E117),"")</f>
        <v/>
      </c>
      <c r="G117" s="30" t="n"/>
      <c r="H117" s="27" t="n"/>
    </row>
    <row r="118" ht="20" customHeight="1">
      <c r="A118" s="26" t="n"/>
      <c r="B118" s="31">
        <f>IFERROR(IF(A118="","",VLOOKUP(A118,DATABASE!$A:$B,2,0)),"")</f>
        <v/>
      </c>
      <c r="C118" s="32">
        <f>IFERROR(IF(A118="","",SUMIF(SAVINGS!$A$3:A117,A118,SAVINGS!$E$3:E117)-SUMIF(WITHDRAWALS!$A:$A,A118,WITHDRAWALS!$E:$E)),"")</f>
        <v/>
      </c>
      <c r="D118" s="33">
        <f>IF(A118="","",TODAY())</f>
        <v/>
      </c>
      <c r="E118" s="29" t="n"/>
      <c r="F118" s="32">
        <f>IFERROR(IF(OR(A118="",E118=""),"",C118+E118),"")</f>
        <v/>
      </c>
      <c r="G118" s="30" t="n"/>
      <c r="H118" s="31" t="n"/>
    </row>
    <row r="119" ht="20" customHeight="1">
      <c r="A119" s="26" t="n"/>
      <c r="B119" s="27">
        <f>IFERROR(IF(A119="","",VLOOKUP(A119,DATABASE!$A:$B,2,0)),"")</f>
        <v/>
      </c>
      <c r="C119" s="20">
        <f>IFERROR(IF(A119="","",SUMIF(SAVINGS!$A$3:A118,A119,SAVINGS!$E$3:E118)-SUMIF(WITHDRAWALS!$A:$A,A119,WITHDRAWALS!$E:$E)),"")</f>
        <v/>
      </c>
      <c r="D119" s="28">
        <f>IF(A119="","",TODAY())</f>
        <v/>
      </c>
      <c r="E119" s="29" t="n"/>
      <c r="F119" s="20">
        <f>IFERROR(IF(OR(A119="",E119=""),"",C119+E119),"")</f>
        <v/>
      </c>
      <c r="G119" s="30" t="n"/>
      <c r="H119" s="27" t="n"/>
    </row>
    <row r="120" ht="20" customHeight="1">
      <c r="A120" s="26" t="n"/>
      <c r="B120" s="31">
        <f>IFERROR(IF(A120="","",VLOOKUP(A120,DATABASE!$A:$B,2,0)),"")</f>
        <v/>
      </c>
      <c r="C120" s="32">
        <f>IFERROR(IF(A120="","",SUMIF(SAVINGS!$A$3:A119,A120,SAVINGS!$E$3:E119)-SUMIF(WITHDRAWALS!$A:$A,A120,WITHDRAWALS!$E:$E)),"")</f>
        <v/>
      </c>
      <c r="D120" s="33">
        <f>IF(A120="","",TODAY())</f>
        <v/>
      </c>
      <c r="E120" s="29" t="n"/>
      <c r="F120" s="32">
        <f>IFERROR(IF(OR(A120="",E120=""),"",C120+E120),"")</f>
        <v/>
      </c>
      <c r="G120" s="30" t="n"/>
      <c r="H120" s="31" t="n"/>
    </row>
    <row r="121" ht="20" customHeight="1">
      <c r="A121" s="26" t="n"/>
      <c r="B121" s="27">
        <f>IFERROR(IF(A121="","",VLOOKUP(A121,DATABASE!$A:$B,2,0)),"")</f>
        <v/>
      </c>
      <c r="C121" s="20">
        <f>IFERROR(IF(A121="","",SUMIF(SAVINGS!$A$3:A120,A121,SAVINGS!$E$3:E120)-SUMIF(WITHDRAWALS!$A:$A,A121,WITHDRAWALS!$E:$E)),"")</f>
        <v/>
      </c>
      <c r="D121" s="28">
        <f>IF(A121="","",TODAY())</f>
        <v/>
      </c>
      <c r="E121" s="29" t="n"/>
      <c r="F121" s="20">
        <f>IFERROR(IF(OR(A121="",E121=""),"",C121+E121),"")</f>
        <v/>
      </c>
      <c r="G121" s="30" t="n"/>
      <c r="H121" s="27" t="n"/>
    </row>
    <row r="122" ht="20" customHeight="1">
      <c r="A122" s="26" t="n"/>
      <c r="B122" s="31">
        <f>IFERROR(IF(A122="","",VLOOKUP(A122,DATABASE!$A:$B,2,0)),"")</f>
        <v/>
      </c>
      <c r="C122" s="32">
        <f>IFERROR(IF(A122="","",SUMIF(SAVINGS!$A$3:A121,A122,SAVINGS!$E$3:E121)-SUMIF(WITHDRAWALS!$A:$A,A122,WITHDRAWALS!$E:$E)),"")</f>
        <v/>
      </c>
      <c r="D122" s="33">
        <f>IF(A122="","",TODAY())</f>
        <v/>
      </c>
      <c r="E122" s="29" t="n"/>
      <c r="F122" s="32">
        <f>IFERROR(IF(OR(A122="",E122=""),"",C122+E122),"")</f>
        <v/>
      </c>
      <c r="G122" s="30" t="n"/>
      <c r="H122" s="31" t="n"/>
    </row>
    <row r="123" ht="20" customHeight="1">
      <c r="A123" s="26" t="n"/>
      <c r="B123" s="27">
        <f>IFERROR(IF(A123="","",VLOOKUP(A123,DATABASE!$A:$B,2,0)),"")</f>
        <v/>
      </c>
      <c r="C123" s="20">
        <f>IFERROR(IF(A123="","",SUMIF(SAVINGS!$A$3:A122,A123,SAVINGS!$E$3:E122)-SUMIF(WITHDRAWALS!$A:$A,A123,WITHDRAWALS!$E:$E)),"")</f>
        <v/>
      </c>
      <c r="D123" s="28">
        <f>IF(A123="","",TODAY())</f>
        <v/>
      </c>
      <c r="E123" s="29" t="n"/>
      <c r="F123" s="20">
        <f>IFERROR(IF(OR(A123="",E123=""),"",C123+E123),"")</f>
        <v/>
      </c>
      <c r="G123" s="30" t="n"/>
      <c r="H123" s="27" t="n"/>
    </row>
    <row r="124" ht="20" customHeight="1">
      <c r="A124" s="26" t="n"/>
      <c r="B124" s="31">
        <f>IFERROR(IF(A124="","",VLOOKUP(A124,DATABASE!$A:$B,2,0)),"")</f>
        <v/>
      </c>
      <c r="C124" s="32">
        <f>IFERROR(IF(A124="","",SUMIF(SAVINGS!$A$3:A123,A124,SAVINGS!$E$3:E123)-SUMIF(WITHDRAWALS!$A:$A,A124,WITHDRAWALS!$E:$E)),"")</f>
        <v/>
      </c>
      <c r="D124" s="33">
        <f>IF(A124="","",TODAY())</f>
        <v/>
      </c>
      <c r="E124" s="29" t="n"/>
      <c r="F124" s="32">
        <f>IFERROR(IF(OR(A124="",E124=""),"",C124+E124),"")</f>
        <v/>
      </c>
      <c r="G124" s="30" t="n"/>
      <c r="H124" s="31" t="n"/>
    </row>
    <row r="125" ht="20" customHeight="1">
      <c r="A125" s="26" t="n"/>
      <c r="B125" s="27">
        <f>IFERROR(IF(A125="","",VLOOKUP(A125,DATABASE!$A:$B,2,0)),"")</f>
        <v/>
      </c>
      <c r="C125" s="20">
        <f>IFERROR(IF(A125="","",SUMIF(SAVINGS!$A$3:A124,A125,SAVINGS!$E$3:E124)-SUMIF(WITHDRAWALS!$A:$A,A125,WITHDRAWALS!$E:$E)),"")</f>
        <v/>
      </c>
      <c r="D125" s="28">
        <f>IF(A125="","",TODAY())</f>
        <v/>
      </c>
      <c r="E125" s="29" t="n"/>
      <c r="F125" s="20">
        <f>IFERROR(IF(OR(A125="",E125=""),"",C125+E125),"")</f>
        <v/>
      </c>
      <c r="G125" s="30" t="n"/>
      <c r="H125" s="27" t="n"/>
    </row>
    <row r="126" ht="20" customHeight="1">
      <c r="A126" s="26" t="n"/>
      <c r="B126" s="31">
        <f>IFERROR(IF(A126="","",VLOOKUP(A126,DATABASE!$A:$B,2,0)),"")</f>
        <v/>
      </c>
      <c r="C126" s="32">
        <f>IFERROR(IF(A126="","",SUMIF(SAVINGS!$A$3:A125,A126,SAVINGS!$E$3:E125)-SUMIF(WITHDRAWALS!$A:$A,A126,WITHDRAWALS!$E:$E)),"")</f>
        <v/>
      </c>
      <c r="D126" s="33">
        <f>IF(A126="","",TODAY())</f>
        <v/>
      </c>
      <c r="E126" s="29" t="n"/>
      <c r="F126" s="32">
        <f>IFERROR(IF(OR(A126="",E126=""),"",C126+E126),"")</f>
        <v/>
      </c>
      <c r="G126" s="30" t="n"/>
      <c r="H126" s="31" t="n"/>
    </row>
    <row r="127" ht="20" customHeight="1">
      <c r="A127" s="26" t="n"/>
      <c r="B127" s="27">
        <f>IFERROR(IF(A127="","",VLOOKUP(A127,DATABASE!$A:$B,2,0)),"")</f>
        <v/>
      </c>
      <c r="C127" s="20">
        <f>IFERROR(IF(A127="","",SUMIF(SAVINGS!$A$3:A126,A127,SAVINGS!$E$3:E126)-SUMIF(WITHDRAWALS!$A:$A,A127,WITHDRAWALS!$E:$E)),"")</f>
        <v/>
      </c>
      <c r="D127" s="28">
        <f>IF(A127="","",TODAY())</f>
        <v/>
      </c>
      <c r="E127" s="29" t="n"/>
      <c r="F127" s="20">
        <f>IFERROR(IF(OR(A127="",E127=""),"",C127+E127),"")</f>
        <v/>
      </c>
      <c r="G127" s="30" t="n"/>
      <c r="H127" s="27" t="n"/>
    </row>
    <row r="128" ht="20" customHeight="1">
      <c r="A128" s="26" t="n"/>
      <c r="B128" s="31">
        <f>IFERROR(IF(A128="","",VLOOKUP(A128,DATABASE!$A:$B,2,0)),"")</f>
        <v/>
      </c>
      <c r="C128" s="32">
        <f>IFERROR(IF(A128="","",SUMIF(SAVINGS!$A$3:A127,A128,SAVINGS!$E$3:E127)-SUMIF(WITHDRAWALS!$A:$A,A128,WITHDRAWALS!$E:$E)),"")</f>
        <v/>
      </c>
      <c r="D128" s="33">
        <f>IF(A128="","",TODAY())</f>
        <v/>
      </c>
      <c r="E128" s="29" t="n"/>
      <c r="F128" s="32">
        <f>IFERROR(IF(OR(A128="",E128=""),"",C128+E128),"")</f>
        <v/>
      </c>
      <c r="G128" s="30" t="n"/>
      <c r="H128" s="31" t="n"/>
    </row>
    <row r="129" ht="20" customHeight="1">
      <c r="A129" s="26" t="n"/>
      <c r="B129" s="27">
        <f>IFERROR(IF(A129="","",VLOOKUP(A129,DATABASE!$A:$B,2,0)),"")</f>
        <v/>
      </c>
      <c r="C129" s="20">
        <f>IFERROR(IF(A129="","",SUMIF(SAVINGS!$A$3:A128,A129,SAVINGS!$E$3:E128)-SUMIF(WITHDRAWALS!$A:$A,A129,WITHDRAWALS!$E:$E)),"")</f>
        <v/>
      </c>
      <c r="D129" s="28">
        <f>IF(A129="","",TODAY())</f>
        <v/>
      </c>
      <c r="E129" s="29" t="n"/>
      <c r="F129" s="20">
        <f>IFERROR(IF(OR(A129="",E129=""),"",C129+E129),"")</f>
        <v/>
      </c>
      <c r="G129" s="30" t="n"/>
      <c r="H129" s="27" t="n"/>
    </row>
    <row r="130" ht="20" customHeight="1">
      <c r="A130" s="26" t="n"/>
      <c r="B130" s="31">
        <f>IFERROR(IF(A130="","",VLOOKUP(A130,DATABASE!$A:$B,2,0)),"")</f>
        <v/>
      </c>
      <c r="C130" s="32">
        <f>IFERROR(IF(A130="","",SUMIF(SAVINGS!$A$3:A129,A130,SAVINGS!$E$3:E129)-SUMIF(WITHDRAWALS!$A:$A,A130,WITHDRAWALS!$E:$E)),"")</f>
        <v/>
      </c>
      <c r="D130" s="33">
        <f>IF(A130="","",TODAY())</f>
        <v/>
      </c>
      <c r="E130" s="29" t="n"/>
      <c r="F130" s="32">
        <f>IFERROR(IF(OR(A130="",E130=""),"",C130+E130),"")</f>
        <v/>
      </c>
      <c r="G130" s="30" t="n"/>
      <c r="H130" s="31" t="n"/>
    </row>
    <row r="131" ht="20" customHeight="1">
      <c r="A131" s="26" t="n"/>
      <c r="B131" s="27">
        <f>IFERROR(IF(A131="","",VLOOKUP(A131,DATABASE!$A:$B,2,0)),"")</f>
        <v/>
      </c>
      <c r="C131" s="20">
        <f>IFERROR(IF(A131="","",SUMIF(SAVINGS!$A$3:A130,A131,SAVINGS!$E$3:E130)-SUMIF(WITHDRAWALS!$A:$A,A131,WITHDRAWALS!$E:$E)),"")</f>
        <v/>
      </c>
      <c r="D131" s="28">
        <f>IF(A131="","",TODAY())</f>
        <v/>
      </c>
      <c r="E131" s="29" t="n"/>
      <c r="F131" s="20">
        <f>IFERROR(IF(OR(A131="",E131=""),"",C131+E131),"")</f>
        <v/>
      </c>
      <c r="G131" s="30" t="n"/>
      <c r="H131" s="27" t="n"/>
    </row>
    <row r="132" ht="20" customHeight="1">
      <c r="A132" s="26" t="n"/>
      <c r="B132" s="31">
        <f>IFERROR(IF(A132="","",VLOOKUP(A132,DATABASE!$A:$B,2,0)),"")</f>
        <v/>
      </c>
      <c r="C132" s="32">
        <f>IFERROR(IF(A132="","",SUMIF(SAVINGS!$A$3:A131,A132,SAVINGS!$E$3:E131)-SUMIF(WITHDRAWALS!$A:$A,A132,WITHDRAWALS!$E:$E)),"")</f>
        <v/>
      </c>
      <c r="D132" s="33">
        <f>IF(A132="","",TODAY())</f>
        <v/>
      </c>
      <c r="E132" s="29" t="n"/>
      <c r="F132" s="32">
        <f>IFERROR(IF(OR(A132="",E132=""),"",C132+E132),"")</f>
        <v/>
      </c>
      <c r="G132" s="30" t="n"/>
      <c r="H132" s="31" t="n"/>
    </row>
    <row r="133" ht="20" customHeight="1">
      <c r="A133" s="26" t="n"/>
      <c r="B133" s="27">
        <f>IFERROR(IF(A133="","",VLOOKUP(A133,DATABASE!$A:$B,2,0)),"")</f>
        <v/>
      </c>
      <c r="C133" s="20">
        <f>IFERROR(IF(A133="","",SUMIF(SAVINGS!$A$3:A132,A133,SAVINGS!$E$3:E132)-SUMIF(WITHDRAWALS!$A:$A,A133,WITHDRAWALS!$E:$E)),"")</f>
        <v/>
      </c>
      <c r="D133" s="28">
        <f>IF(A133="","",TODAY())</f>
        <v/>
      </c>
      <c r="E133" s="29" t="n"/>
      <c r="F133" s="20">
        <f>IFERROR(IF(OR(A133="",E133=""),"",C133+E133),"")</f>
        <v/>
      </c>
      <c r="G133" s="30" t="n"/>
      <c r="H133" s="27" t="n"/>
    </row>
    <row r="134" ht="20" customHeight="1">
      <c r="A134" s="26" t="n"/>
      <c r="B134" s="31">
        <f>IFERROR(IF(A134="","",VLOOKUP(A134,DATABASE!$A:$B,2,0)),"")</f>
        <v/>
      </c>
      <c r="C134" s="32">
        <f>IFERROR(IF(A134="","",SUMIF(SAVINGS!$A$3:A133,A134,SAVINGS!$E$3:E133)-SUMIF(WITHDRAWALS!$A:$A,A134,WITHDRAWALS!$E:$E)),"")</f>
        <v/>
      </c>
      <c r="D134" s="33">
        <f>IF(A134="","",TODAY())</f>
        <v/>
      </c>
      <c r="E134" s="29" t="n"/>
      <c r="F134" s="32">
        <f>IFERROR(IF(OR(A134="",E134=""),"",C134+E134),"")</f>
        <v/>
      </c>
      <c r="G134" s="30" t="n"/>
      <c r="H134" s="31" t="n"/>
    </row>
    <row r="135" ht="20" customHeight="1">
      <c r="A135" s="26" t="n"/>
      <c r="B135" s="27">
        <f>IFERROR(IF(A135="","",VLOOKUP(A135,DATABASE!$A:$B,2,0)),"")</f>
        <v/>
      </c>
      <c r="C135" s="20">
        <f>IFERROR(IF(A135="","",SUMIF(SAVINGS!$A$3:A134,A135,SAVINGS!$E$3:E134)-SUMIF(WITHDRAWALS!$A:$A,A135,WITHDRAWALS!$E:$E)),"")</f>
        <v/>
      </c>
      <c r="D135" s="28">
        <f>IF(A135="","",TODAY())</f>
        <v/>
      </c>
      <c r="E135" s="29" t="n"/>
      <c r="F135" s="20">
        <f>IFERROR(IF(OR(A135="",E135=""),"",C135+E135),"")</f>
        <v/>
      </c>
      <c r="G135" s="30" t="n"/>
      <c r="H135" s="27" t="n"/>
    </row>
    <row r="136" ht="20" customHeight="1">
      <c r="A136" s="26" t="n"/>
      <c r="B136" s="31">
        <f>IFERROR(IF(A136="","",VLOOKUP(A136,DATABASE!$A:$B,2,0)),"")</f>
        <v/>
      </c>
      <c r="C136" s="32">
        <f>IFERROR(IF(A136="","",SUMIF(SAVINGS!$A$3:A135,A136,SAVINGS!$E$3:E135)-SUMIF(WITHDRAWALS!$A:$A,A136,WITHDRAWALS!$E:$E)),"")</f>
        <v/>
      </c>
      <c r="D136" s="33">
        <f>IF(A136="","",TODAY())</f>
        <v/>
      </c>
      <c r="E136" s="29" t="n"/>
      <c r="F136" s="32">
        <f>IFERROR(IF(OR(A136="",E136=""),"",C136+E136),"")</f>
        <v/>
      </c>
      <c r="G136" s="30" t="n"/>
      <c r="H136" s="31" t="n"/>
    </row>
    <row r="137" ht="20" customHeight="1">
      <c r="A137" s="26" t="n"/>
      <c r="B137" s="27">
        <f>IFERROR(IF(A137="","",VLOOKUP(A137,DATABASE!$A:$B,2,0)),"")</f>
        <v/>
      </c>
      <c r="C137" s="20">
        <f>IFERROR(IF(A137="","",SUMIF(SAVINGS!$A$3:A136,A137,SAVINGS!$E$3:E136)-SUMIF(WITHDRAWALS!$A:$A,A137,WITHDRAWALS!$E:$E)),"")</f>
        <v/>
      </c>
      <c r="D137" s="28">
        <f>IF(A137="","",TODAY())</f>
        <v/>
      </c>
      <c r="E137" s="29" t="n"/>
      <c r="F137" s="20">
        <f>IFERROR(IF(OR(A137="",E137=""),"",C137+E137),"")</f>
        <v/>
      </c>
      <c r="G137" s="30" t="n"/>
      <c r="H137" s="27" t="n"/>
    </row>
    <row r="138" ht="20" customHeight="1">
      <c r="A138" s="26" t="n"/>
      <c r="B138" s="31">
        <f>IFERROR(IF(A138="","",VLOOKUP(A138,DATABASE!$A:$B,2,0)),"")</f>
        <v/>
      </c>
      <c r="C138" s="32">
        <f>IFERROR(IF(A138="","",SUMIF(SAVINGS!$A$3:A137,A138,SAVINGS!$E$3:E137)-SUMIF(WITHDRAWALS!$A:$A,A138,WITHDRAWALS!$E:$E)),"")</f>
        <v/>
      </c>
      <c r="D138" s="33">
        <f>IF(A138="","",TODAY())</f>
        <v/>
      </c>
      <c r="E138" s="29" t="n"/>
      <c r="F138" s="32">
        <f>IFERROR(IF(OR(A138="",E138=""),"",C138+E138),"")</f>
        <v/>
      </c>
      <c r="G138" s="30" t="n"/>
      <c r="H138" s="31" t="n"/>
    </row>
    <row r="139" ht="20" customHeight="1">
      <c r="A139" s="26" t="n"/>
      <c r="B139" s="27">
        <f>IFERROR(IF(A139="","",VLOOKUP(A139,DATABASE!$A:$B,2,0)),"")</f>
        <v/>
      </c>
      <c r="C139" s="20">
        <f>IFERROR(IF(A139="","",SUMIF(SAVINGS!$A$3:A138,A139,SAVINGS!$E$3:E138)-SUMIF(WITHDRAWALS!$A:$A,A139,WITHDRAWALS!$E:$E)),"")</f>
        <v/>
      </c>
      <c r="D139" s="28">
        <f>IF(A139="","",TODAY())</f>
        <v/>
      </c>
      <c r="E139" s="29" t="n"/>
      <c r="F139" s="20">
        <f>IFERROR(IF(OR(A139="",E139=""),"",C139+E139),"")</f>
        <v/>
      </c>
      <c r="G139" s="30" t="n"/>
      <c r="H139" s="27" t="n"/>
    </row>
    <row r="140" ht="20" customHeight="1">
      <c r="A140" s="26" t="n"/>
      <c r="B140" s="31">
        <f>IFERROR(IF(A140="","",VLOOKUP(A140,DATABASE!$A:$B,2,0)),"")</f>
        <v/>
      </c>
      <c r="C140" s="32">
        <f>IFERROR(IF(A140="","",SUMIF(SAVINGS!$A$3:A139,A140,SAVINGS!$E$3:E139)-SUMIF(WITHDRAWALS!$A:$A,A140,WITHDRAWALS!$E:$E)),"")</f>
        <v/>
      </c>
      <c r="D140" s="33">
        <f>IF(A140="","",TODAY())</f>
        <v/>
      </c>
      <c r="E140" s="29" t="n"/>
      <c r="F140" s="32">
        <f>IFERROR(IF(OR(A140="",E140=""),"",C140+E140),"")</f>
        <v/>
      </c>
      <c r="G140" s="30" t="n"/>
      <c r="H140" s="31" t="n"/>
    </row>
    <row r="141" ht="20" customHeight="1">
      <c r="A141" s="26" t="n"/>
      <c r="B141" s="27">
        <f>IFERROR(IF(A141="","",VLOOKUP(A141,DATABASE!$A:$B,2,0)),"")</f>
        <v/>
      </c>
      <c r="C141" s="20">
        <f>IFERROR(IF(A141="","",SUMIF(SAVINGS!$A$3:A140,A141,SAVINGS!$E$3:E140)-SUMIF(WITHDRAWALS!$A:$A,A141,WITHDRAWALS!$E:$E)),"")</f>
        <v/>
      </c>
      <c r="D141" s="28">
        <f>IF(A141="","",TODAY())</f>
        <v/>
      </c>
      <c r="E141" s="29" t="n"/>
      <c r="F141" s="20">
        <f>IFERROR(IF(OR(A141="",E141=""),"",C141+E141),"")</f>
        <v/>
      </c>
      <c r="G141" s="30" t="n"/>
      <c r="H141" s="27" t="n"/>
    </row>
    <row r="142" ht="20" customHeight="1">
      <c r="A142" s="26" t="n"/>
      <c r="B142" s="31">
        <f>IFERROR(IF(A142="","",VLOOKUP(A142,DATABASE!$A:$B,2,0)),"")</f>
        <v/>
      </c>
      <c r="C142" s="32">
        <f>IFERROR(IF(A142="","",SUMIF(SAVINGS!$A$3:A141,A142,SAVINGS!$E$3:E141)-SUMIF(WITHDRAWALS!$A:$A,A142,WITHDRAWALS!$E:$E)),"")</f>
        <v/>
      </c>
      <c r="D142" s="33">
        <f>IF(A142="","",TODAY())</f>
        <v/>
      </c>
      <c r="E142" s="29" t="n"/>
      <c r="F142" s="32">
        <f>IFERROR(IF(OR(A142="",E142=""),"",C142+E142),"")</f>
        <v/>
      </c>
      <c r="G142" s="30" t="n"/>
      <c r="H142" s="31" t="n"/>
    </row>
    <row r="143" ht="20" customHeight="1">
      <c r="A143" s="26" t="n"/>
      <c r="B143" s="27">
        <f>IFERROR(IF(A143="","",VLOOKUP(A143,DATABASE!$A:$B,2,0)),"")</f>
        <v/>
      </c>
      <c r="C143" s="20">
        <f>IFERROR(IF(A143="","",SUMIF(SAVINGS!$A$3:A142,A143,SAVINGS!$E$3:E142)-SUMIF(WITHDRAWALS!$A:$A,A143,WITHDRAWALS!$E:$E)),"")</f>
        <v/>
      </c>
      <c r="D143" s="28">
        <f>IF(A143="","",TODAY())</f>
        <v/>
      </c>
      <c r="E143" s="29" t="n"/>
      <c r="F143" s="20">
        <f>IFERROR(IF(OR(A143="",E143=""),"",C143+E143),"")</f>
        <v/>
      </c>
      <c r="G143" s="30" t="n"/>
      <c r="H143" s="27" t="n"/>
    </row>
    <row r="144" ht="20" customHeight="1">
      <c r="A144" s="26" t="n"/>
      <c r="B144" s="31">
        <f>IFERROR(IF(A144="","",VLOOKUP(A144,DATABASE!$A:$B,2,0)),"")</f>
        <v/>
      </c>
      <c r="C144" s="32">
        <f>IFERROR(IF(A144="","",SUMIF(SAVINGS!$A$3:A143,A144,SAVINGS!$E$3:E143)-SUMIF(WITHDRAWALS!$A:$A,A144,WITHDRAWALS!$E:$E)),"")</f>
        <v/>
      </c>
      <c r="D144" s="33">
        <f>IF(A144="","",TODAY())</f>
        <v/>
      </c>
      <c r="E144" s="29" t="n"/>
      <c r="F144" s="32">
        <f>IFERROR(IF(OR(A144="",E144=""),"",C144+E144),"")</f>
        <v/>
      </c>
      <c r="G144" s="30" t="n"/>
      <c r="H144" s="31" t="n"/>
    </row>
    <row r="145" ht="20" customHeight="1">
      <c r="A145" s="26" t="n"/>
      <c r="B145" s="27">
        <f>IFERROR(IF(A145="","",VLOOKUP(A145,DATABASE!$A:$B,2,0)),"")</f>
        <v/>
      </c>
      <c r="C145" s="20">
        <f>IFERROR(IF(A145="","",SUMIF(SAVINGS!$A$3:A144,A145,SAVINGS!$E$3:E144)-SUMIF(WITHDRAWALS!$A:$A,A145,WITHDRAWALS!$E:$E)),"")</f>
        <v/>
      </c>
      <c r="D145" s="28">
        <f>IF(A145="","",TODAY())</f>
        <v/>
      </c>
      <c r="E145" s="29" t="n"/>
      <c r="F145" s="20">
        <f>IFERROR(IF(OR(A145="",E145=""),"",C145+E145),"")</f>
        <v/>
      </c>
      <c r="G145" s="30" t="n"/>
      <c r="H145" s="27" t="n"/>
    </row>
    <row r="146" ht="20" customHeight="1">
      <c r="A146" s="26" t="n"/>
      <c r="B146" s="31">
        <f>IFERROR(IF(A146="","",VLOOKUP(A146,DATABASE!$A:$B,2,0)),"")</f>
        <v/>
      </c>
      <c r="C146" s="32">
        <f>IFERROR(IF(A146="","",SUMIF(SAVINGS!$A$3:A145,A146,SAVINGS!$E$3:E145)-SUMIF(WITHDRAWALS!$A:$A,A146,WITHDRAWALS!$E:$E)),"")</f>
        <v/>
      </c>
      <c r="D146" s="33">
        <f>IF(A146="","",TODAY())</f>
        <v/>
      </c>
      <c r="E146" s="29" t="n"/>
      <c r="F146" s="32">
        <f>IFERROR(IF(OR(A146="",E146=""),"",C146+E146),"")</f>
        <v/>
      </c>
      <c r="G146" s="30" t="n"/>
      <c r="H146" s="31" t="n"/>
    </row>
    <row r="147" ht="20" customHeight="1">
      <c r="A147" s="26" t="n"/>
      <c r="B147" s="27">
        <f>IFERROR(IF(A147="","",VLOOKUP(A147,DATABASE!$A:$B,2,0)),"")</f>
        <v/>
      </c>
      <c r="C147" s="20">
        <f>IFERROR(IF(A147="","",SUMIF(SAVINGS!$A$3:A146,A147,SAVINGS!$E$3:E146)-SUMIF(WITHDRAWALS!$A:$A,A147,WITHDRAWALS!$E:$E)),"")</f>
        <v/>
      </c>
      <c r="D147" s="28">
        <f>IF(A147="","",TODAY())</f>
        <v/>
      </c>
      <c r="E147" s="29" t="n"/>
      <c r="F147" s="20">
        <f>IFERROR(IF(OR(A147="",E147=""),"",C147+E147),"")</f>
        <v/>
      </c>
      <c r="G147" s="30" t="n"/>
      <c r="H147" s="27" t="n"/>
    </row>
    <row r="148" ht="20" customHeight="1">
      <c r="A148" s="26" t="n"/>
      <c r="B148" s="31">
        <f>IFERROR(IF(A148="","",VLOOKUP(A148,DATABASE!$A:$B,2,0)),"")</f>
        <v/>
      </c>
      <c r="C148" s="32">
        <f>IFERROR(IF(A148="","",SUMIF(SAVINGS!$A$3:A147,A148,SAVINGS!$E$3:E147)-SUMIF(WITHDRAWALS!$A:$A,A148,WITHDRAWALS!$E:$E)),"")</f>
        <v/>
      </c>
      <c r="D148" s="33">
        <f>IF(A148="","",TODAY())</f>
        <v/>
      </c>
      <c r="E148" s="29" t="n"/>
      <c r="F148" s="32">
        <f>IFERROR(IF(OR(A148="",E148=""),"",C148+E148),"")</f>
        <v/>
      </c>
      <c r="G148" s="30" t="n"/>
      <c r="H148" s="31" t="n"/>
    </row>
    <row r="149" ht="20" customHeight="1">
      <c r="A149" s="26" t="n"/>
      <c r="B149" s="27">
        <f>IFERROR(IF(A149="","",VLOOKUP(A149,DATABASE!$A:$B,2,0)),"")</f>
        <v/>
      </c>
      <c r="C149" s="20">
        <f>IFERROR(IF(A149="","",SUMIF(SAVINGS!$A$3:A148,A149,SAVINGS!$E$3:E148)-SUMIF(WITHDRAWALS!$A:$A,A149,WITHDRAWALS!$E:$E)),"")</f>
        <v/>
      </c>
      <c r="D149" s="28">
        <f>IF(A149="","",TODAY())</f>
        <v/>
      </c>
      <c r="E149" s="29" t="n"/>
      <c r="F149" s="20">
        <f>IFERROR(IF(OR(A149="",E149=""),"",C149+E149),"")</f>
        <v/>
      </c>
      <c r="G149" s="30" t="n"/>
      <c r="H149" s="27" t="n"/>
    </row>
    <row r="150" ht="20" customHeight="1">
      <c r="A150" s="26" t="n"/>
      <c r="B150" s="31">
        <f>IFERROR(IF(A150="","",VLOOKUP(A150,DATABASE!$A:$B,2,0)),"")</f>
        <v/>
      </c>
      <c r="C150" s="32">
        <f>IFERROR(IF(A150="","",SUMIF(SAVINGS!$A$3:A149,A150,SAVINGS!$E$3:E149)-SUMIF(WITHDRAWALS!$A:$A,A150,WITHDRAWALS!$E:$E)),"")</f>
        <v/>
      </c>
      <c r="D150" s="33">
        <f>IF(A150="","",TODAY())</f>
        <v/>
      </c>
      <c r="E150" s="29" t="n"/>
      <c r="F150" s="32">
        <f>IFERROR(IF(OR(A150="",E150=""),"",C150+E150),"")</f>
        <v/>
      </c>
      <c r="G150" s="30" t="n"/>
      <c r="H150" s="31" t="n"/>
    </row>
    <row r="151" ht="20" customHeight="1">
      <c r="A151" s="26" t="n"/>
      <c r="B151" s="27">
        <f>IFERROR(IF(A151="","",VLOOKUP(A151,DATABASE!$A:$B,2,0)),"")</f>
        <v/>
      </c>
      <c r="C151" s="20">
        <f>IFERROR(IF(A151="","",SUMIF(SAVINGS!$A$3:A150,A151,SAVINGS!$E$3:E150)-SUMIF(WITHDRAWALS!$A:$A,A151,WITHDRAWALS!$E:$E)),"")</f>
        <v/>
      </c>
      <c r="D151" s="28">
        <f>IF(A151="","",TODAY())</f>
        <v/>
      </c>
      <c r="E151" s="29" t="n"/>
      <c r="F151" s="20">
        <f>IFERROR(IF(OR(A151="",E151=""),"",C151+E151),"")</f>
        <v/>
      </c>
      <c r="G151" s="30" t="n"/>
      <c r="H151" s="27" t="n"/>
    </row>
    <row r="152" ht="20" customHeight="1">
      <c r="A152" s="26" t="n"/>
      <c r="B152" s="31">
        <f>IFERROR(IF(A152="","",VLOOKUP(A152,DATABASE!$A:$B,2,0)),"")</f>
        <v/>
      </c>
      <c r="C152" s="32">
        <f>IFERROR(IF(A152="","",SUMIF(SAVINGS!$A$3:A151,A152,SAVINGS!$E$3:E151)-SUMIF(WITHDRAWALS!$A:$A,A152,WITHDRAWALS!$E:$E)),"")</f>
        <v/>
      </c>
      <c r="D152" s="33">
        <f>IF(A152="","",TODAY())</f>
        <v/>
      </c>
      <c r="E152" s="29" t="n"/>
      <c r="F152" s="32">
        <f>IFERROR(IF(OR(A152="",E152=""),"",C152+E152),"")</f>
        <v/>
      </c>
      <c r="G152" s="30" t="n"/>
      <c r="H152" s="31" t="n"/>
    </row>
    <row r="153" ht="20" customHeight="1">
      <c r="A153" s="26" t="n"/>
      <c r="B153" s="27">
        <f>IFERROR(IF(A153="","",VLOOKUP(A153,DATABASE!$A:$B,2,0)),"")</f>
        <v/>
      </c>
      <c r="C153" s="20">
        <f>IFERROR(IF(A153="","",SUMIF(SAVINGS!$A$3:A152,A153,SAVINGS!$E$3:E152)-SUMIF(WITHDRAWALS!$A:$A,A153,WITHDRAWALS!$E:$E)),"")</f>
        <v/>
      </c>
      <c r="D153" s="28">
        <f>IF(A153="","",TODAY())</f>
        <v/>
      </c>
      <c r="E153" s="29" t="n"/>
      <c r="F153" s="20">
        <f>IFERROR(IF(OR(A153="",E153=""),"",C153+E153),"")</f>
        <v/>
      </c>
      <c r="G153" s="30" t="n"/>
      <c r="H153" s="27" t="n"/>
    </row>
    <row r="154" ht="20" customHeight="1">
      <c r="A154" s="26" t="n"/>
      <c r="B154" s="31">
        <f>IFERROR(IF(A154="","",VLOOKUP(A154,DATABASE!$A:$B,2,0)),"")</f>
        <v/>
      </c>
      <c r="C154" s="32">
        <f>IFERROR(IF(A154="","",SUMIF(SAVINGS!$A$3:A153,A154,SAVINGS!$E$3:E153)-SUMIF(WITHDRAWALS!$A:$A,A154,WITHDRAWALS!$E:$E)),"")</f>
        <v/>
      </c>
      <c r="D154" s="33">
        <f>IF(A154="","",TODAY())</f>
        <v/>
      </c>
      <c r="E154" s="29" t="n"/>
      <c r="F154" s="32">
        <f>IFERROR(IF(OR(A154="",E154=""),"",C154+E154),"")</f>
        <v/>
      </c>
      <c r="G154" s="30" t="n"/>
      <c r="H154" s="31" t="n"/>
    </row>
    <row r="155" ht="20" customHeight="1">
      <c r="A155" s="26" t="n"/>
      <c r="B155" s="27">
        <f>IFERROR(IF(A155="","",VLOOKUP(A155,DATABASE!$A:$B,2,0)),"")</f>
        <v/>
      </c>
      <c r="C155" s="20">
        <f>IFERROR(IF(A155="","",SUMIF(SAVINGS!$A$3:A154,A155,SAVINGS!$E$3:E154)-SUMIF(WITHDRAWALS!$A:$A,A155,WITHDRAWALS!$E:$E)),"")</f>
        <v/>
      </c>
      <c r="D155" s="28">
        <f>IF(A155="","",TODAY())</f>
        <v/>
      </c>
      <c r="E155" s="29" t="n"/>
      <c r="F155" s="20">
        <f>IFERROR(IF(OR(A155="",E155=""),"",C155+E155),"")</f>
        <v/>
      </c>
      <c r="G155" s="30" t="n"/>
      <c r="H155" s="27" t="n"/>
    </row>
    <row r="156" ht="20" customHeight="1">
      <c r="A156" s="26" t="n"/>
      <c r="B156" s="31">
        <f>IFERROR(IF(A156="","",VLOOKUP(A156,DATABASE!$A:$B,2,0)),"")</f>
        <v/>
      </c>
      <c r="C156" s="32">
        <f>IFERROR(IF(A156="","",SUMIF(SAVINGS!$A$3:A155,A156,SAVINGS!$E$3:E155)-SUMIF(WITHDRAWALS!$A:$A,A156,WITHDRAWALS!$E:$E)),"")</f>
        <v/>
      </c>
      <c r="D156" s="33">
        <f>IF(A156="","",TODAY())</f>
        <v/>
      </c>
      <c r="E156" s="29" t="n"/>
      <c r="F156" s="32">
        <f>IFERROR(IF(OR(A156="",E156=""),"",C156+E156),"")</f>
        <v/>
      </c>
      <c r="G156" s="30" t="n"/>
      <c r="H156" s="31" t="n"/>
    </row>
    <row r="157" ht="20" customHeight="1">
      <c r="A157" s="26" t="n"/>
      <c r="B157" s="27">
        <f>IFERROR(IF(A157="","",VLOOKUP(A157,DATABASE!$A:$B,2,0)),"")</f>
        <v/>
      </c>
      <c r="C157" s="20">
        <f>IFERROR(IF(A157="","",SUMIF(SAVINGS!$A$3:A156,A157,SAVINGS!$E$3:E156)-SUMIF(WITHDRAWALS!$A:$A,A157,WITHDRAWALS!$E:$E)),"")</f>
        <v/>
      </c>
      <c r="D157" s="28">
        <f>IF(A157="","",TODAY())</f>
        <v/>
      </c>
      <c r="E157" s="29" t="n"/>
      <c r="F157" s="20">
        <f>IFERROR(IF(OR(A157="",E157=""),"",C157+E157),"")</f>
        <v/>
      </c>
      <c r="G157" s="30" t="n"/>
      <c r="H157" s="27" t="n"/>
    </row>
    <row r="158" ht="20" customHeight="1">
      <c r="A158" s="26" t="n"/>
      <c r="B158" s="31">
        <f>IFERROR(IF(A158="","",VLOOKUP(A158,DATABASE!$A:$B,2,0)),"")</f>
        <v/>
      </c>
      <c r="C158" s="32">
        <f>IFERROR(IF(A158="","",SUMIF(SAVINGS!$A$3:A157,A158,SAVINGS!$E$3:E157)-SUMIF(WITHDRAWALS!$A:$A,A158,WITHDRAWALS!$E:$E)),"")</f>
        <v/>
      </c>
      <c r="D158" s="33">
        <f>IF(A158="","",TODAY())</f>
        <v/>
      </c>
      <c r="E158" s="29" t="n"/>
      <c r="F158" s="32">
        <f>IFERROR(IF(OR(A158="",E158=""),"",C158+E158),"")</f>
        <v/>
      </c>
      <c r="G158" s="30" t="n"/>
      <c r="H158" s="31" t="n"/>
    </row>
    <row r="159" ht="20" customHeight="1">
      <c r="A159" s="26" t="n"/>
      <c r="B159" s="27">
        <f>IFERROR(IF(A159="","",VLOOKUP(A159,DATABASE!$A:$B,2,0)),"")</f>
        <v/>
      </c>
      <c r="C159" s="20">
        <f>IFERROR(IF(A159="","",SUMIF(SAVINGS!$A$3:A158,A159,SAVINGS!$E$3:E158)-SUMIF(WITHDRAWALS!$A:$A,A159,WITHDRAWALS!$E:$E)),"")</f>
        <v/>
      </c>
      <c r="D159" s="28">
        <f>IF(A159="","",TODAY())</f>
        <v/>
      </c>
      <c r="E159" s="29" t="n"/>
      <c r="F159" s="20">
        <f>IFERROR(IF(OR(A159="",E159=""),"",C159+E159),"")</f>
        <v/>
      </c>
      <c r="G159" s="30" t="n"/>
      <c r="H159" s="27" t="n"/>
    </row>
    <row r="160" ht="20" customHeight="1">
      <c r="A160" s="26" t="n"/>
      <c r="B160" s="31">
        <f>IFERROR(IF(A160="","",VLOOKUP(A160,DATABASE!$A:$B,2,0)),"")</f>
        <v/>
      </c>
      <c r="C160" s="32">
        <f>IFERROR(IF(A160="","",SUMIF(SAVINGS!$A$3:A159,A160,SAVINGS!$E$3:E159)-SUMIF(WITHDRAWALS!$A:$A,A160,WITHDRAWALS!$E:$E)),"")</f>
        <v/>
      </c>
      <c r="D160" s="33">
        <f>IF(A160="","",TODAY())</f>
        <v/>
      </c>
      <c r="E160" s="29" t="n"/>
      <c r="F160" s="32">
        <f>IFERROR(IF(OR(A160="",E160=""),"",C160+E160),"")</f>
        <v/>
      </c>
      <c r="G160" s="30" t="n"/>
      <c r="H160" s="31" t="n"/>
    </row>
    <row r="161" ht="20" customHeight="1">
      <c r="A161" s="26" t="n"/>
      <c r="B161" s="27">
        <f>IFERROR(IF(A161="","",VLOOKUP(A161,DATABASE!$A:$B,2,0)),"")</f>
        <v/>
      </c>
      <c r="C161" s="20">
        <f>IFERROR(IF(A161="","",SUMIF(SAVINGS!$A$3:A160,A161,SAVINGS!$E$3:E160)-SUMIF(WITHDRAWALS!$A:$A,A161,WITHDRAWALS!$E:$E)),"")</f>
        <v/>
      </c>
      <c r="D161" s="28">
        <f>IF(A161="","",TODAY())</f>
        <v/>
      </c>
      <c r="E161" s="29" t="n"/>
      <c r="F161" s="20">
        <f>IFERROR(IF(OR(A161="",E161=""),"",C161+E161),"")</f>
        <v/>
      </c>
      <c r="G161" s="30" t="n"/>
      <c r="H161" s="27" t="n"/>
    </row>
    <row r="162" ht="20" customHeight="1">
      <c r="A162" s="26" t="n"/>
      <c r="B162" s="31">
        <f>IFERROR(IF(A162="","",VLOOKUP(A162,DATABASE!$A:$B,2,0)),"")</f>
        <v/>
      </c>
      <c r="C162" s="32">
        <f>IFERROR(IF(A162="","",SUMIF(SAVINGS!$A$3:A161,A162,SAVINGS!$E$3:E161)-SUMIF(WITHDRAWALS!$A:$A,A162,WITHDRAWALS!$E:$E)),"")</f>
        <v/>
      </c>
      <c r="D162" s="33">
        <f>IF(A162="","",TODAY())</f>
        <v/>
      </c>
      <c r="E162" s="29" t="n"/>
      <c r="F162" s="32">
        <f>IFERROR(IF(OR(A162="",E162=""),"",C162+E162),"")</f>
        <v/>
      </c>
      <c r="G162" s="30" t="n"/>
      <c r="H162" s="31" t="n"/>
    </row>
    <row r="163" ht="20" customHeight="1">
      <c r="A163" s="26" t="n"/>
      <c r="B163" s="27">
        <f>IFERROR(IF(A163="","",VLOOKUP(A163,DATABASE!$A:$B,2,0)),"")</f>
        <v/>
      </c>
      <c r="C163" s="20">
        <f>IFERROR(IF(A163="","",SUMIF(SAVINGS!$A$3:A162,A163,SAVINGS!$E$3:E162)-SUMIF(WITHDRAWALS!$A:$A,A163,WITHDRAWALS!$E:$E)),"")</f>
        <v/>
      </c>
      <c r="D163" s="28">
        <f>IF(A163="","",TODAY())</f>
        <v/>
      </c>
      <c r="E163" s="29" t="n"/>
      <c r="F163" s="20">
        <f>IFERROR(IF(OR(A163="",E163=""),"",C163+E163),"")</f>
        <v/>
      </c>
      <c r="G163" s="30" t="n"/>
      <c r="H163" s="27" t="n"/>
    </row>
    <row r="164" ht="20" customHeight="1">
      <c r="A164" s="26" t="n"/>
      <c r="B164" s="31">
        <f>IFERROR(IF(A164="","",VLOOKUP(A164,DATABASE!$A:$B,2,0)),"")</f>
        <v/>
      </c>
      <c r="C164" s="32">
        <f>IFERROR(IF(A164="","",SUMIF(SAVINGS!$A$3:A163,A164,SAVINGS!$E$3:E163)-SUMIF(WITHDRAWALS!$A:$A,A164,WITHDRAWALS!$E:$E)),"")</f>
        <v/>
      </c>
      <c r="D164" s="33">
        <f>IF(A164="","",TODAY())</f>
        <v/>
      </c>
      <c r="E164" s="29" t="n"/>
      <c r="F164" s="32">
        <f>IFERROR(IF(OR(A164="",E164=""),"",C164+E164),"")</f>
        <v/>
      </c>
      <c r="G164" s="30" t="n"/>
      <c r="H164" s="31" t="n"/>
    </row>
    <row r="165" ht="20" customHeight="1">
      <c r="A165" s="26" t="n"/>
      <c r="B165" s="27">
        <f>IFERROR(IF(A165="","",VLOOKUP(A165,DATABASE!$A:$B,2,0)),"")</f>
        <v/>
      </c>
      <c r="C165" s="20">
        <f>IFERROR(IF(A165="","",SUMIF(SAVINGS!$A$3:A164,A165,SAVINGS!$E$3:E164)-SUMIF(WITHDRAWALS!$A:$A,A165,WITHDRAWALS!$E:$E)),"")</f>
        <v/>
      </c>
      <c r="D165" s="28">
        <f>IF(A165="","",TODAY())</f>
        <v/>
      </c>
      <c r="E165" s="29" t="n"/>
      <c r="F165" s="20">
        <f>IFERROR(IF(OR(A165="",E165=""),"",C165+E165),"")</f>
        <v/>
      </c>
      <c r="G165" s="30" t="n"/>
      <c r="H165" s="27" t="n"/>
    </row>
    <row r="166" ht="20" customHeight="1">
      <c r="A166" s="26" t="n"/>
      <c r="B166" s="31">
        <f>IFERROR(IF(A166="","",VLOOKUP(A166,DATABASE!$A:$B,2,0)),"")</f>
        <v/>
      </c>
      <c r="C166" s="32">
        <f>IFERROR(IF(A166="","",SUMIF(SAVINGS!$A$3:A165,A166,SAVINGS!$E$3:E165)-SUMIF(WITHDRAWALS!$A:$A,A166,WITHDRAWALS!$E:$E)),"")</f>
        <v/>
      </c>
      <c r="D166" s="33">
        <f>IF(A166="","",TODAY())</f>
        <v/>
      </c>
      <c r="E166" s="29" t="n"/>
      <c r="F166" s="32">
        <f>IFERROR(IF(OR(A166="",E166=""),"",C166+E166),"")</f>
        <v/>
      </c>
      <c r="G166" s="30" t="n"/>
      <c r="H166" s="31" t="n"/>
    </row>
    <row r="167" ht="20" customHeight="1">
      <c r="A167" s="26" t="n"/>
      <c r="B167" s="27">
        <f>IFERROR(IF(A167="","",VLOOKUP(A167,DATABASE!$A:$B,2,0)),"")</f>
        <v/>
      </c>
      <c r="C167" s="20">
        <f>IFERROR(IF(A167="","",SUMIF(SAVINGS!$A$3:A166,A167,SAVINGS!$E$3:E166)-SUMIF(WITHDRAWALS!$A:$A,A167,WITHDRAWALS!$E:$E)),"")</f>
        <v/>
      </c>
      <c r="D167" s="28">
        <f>IF(A167="","",TODAY())</f>
        <v/>
      </c>
      <c r="E167" s="29" t="n"/>
      <c r="F167" s="20">
        <f>IFERROR(IF(OR(A167="",E167=""),"",C167+E167),"")</f>
        <v/>
      </c>
      <c r="G167" s="30" t="n"/>
      <c r="H167" s="27" t="n"/>
    </row>
    <row r="168" ht="20" customHeight="1">
      <c r="A168" s="26" t="n"/>
      <c r="B168" s="31">
        <f>IFERROR(IF(A168="","",VLOOKUP(A168,DATABASE!$A:$B,2,0)),"")</f>
        <v/>
      </c>
      <c r="C168" s="32">
        <f>IFERROR(IF(A168="","",SUMIF(SAVINGS!$A$3:A167,A168,SAVINGS!$E$3:E167)-SUMIF(WITHDRAWALS!$A:$A,A168,WITHDRAWALS!$E:$E)),"")</f>
        <v/>
      </c>
      <c r="D168" s="33">
        <f>IF(A168="","",TODAY())</f>
        <v/>
      </c>
      <c r="E168" s="29" t="n"/>
      <c r="F168" s="32">
        <f>IFERROR(IF(OR(A168="",E168=""),"",C168+E168),"")</f>
        <v/>
      </c>
      <c r="G168" s="30" t="n"/>
      <c r="H168" s="31" t="n"/>
    </row>
    <row r="169" ht="20" customHeight="1">
      <c r="A169" s="26" t="n"/>
      <c r="B169" s="27">
        <f>IFERROR(IF(A169="","",VLOOKUP(A169,DATABASE!$A:$B,2,0)),"")</f>
        <v/>
      </c>
      <c r="C169" s="20">
        <f>IFERROR(IF(A169="","",SUMIF(SAVINGS!$A$3:A168,A169,SAVINGS!$E$3:E168)-SUMIF(WITHDRAWALS!$A:$A,A169,WITHDRAWALS!$E:$E)),"")</f>
        <v/>
      </c>
      <c r="D169" s="28">
        <f>IF(A169="","",TODAY())</f>
        <v/>
      </c>
      <c r="E169" s="29" t="n"/>
      <c r="F169" s="20">
        <f>IFERROR(IF(OR(A169="",E169=""),"",C169+E169),"")</f>
        <v/>
      </c>
      <c r="G169" s="30" t="n"/>
      <c r="H169" s="27" t="n"/>
    </row>
    <row r="170" ht="20" customHeight="1">
      <c r="A170" s="26" t="n"/>
      <c r="B170" s="31">
        <f>IFERROR(IF(A170="","",VLOOKUP(A170,DATABASE!$A:$B,2,0)),"")</f>
        <v/>
      </c>
      <c r="C170" s="32">
        <f>IFERROR(IF(A170="","",SUMIF(SAVINGS!$A$3:A169,A170,SAVINGS!$E$3:E169)-SUMIF(WITHDRAWALS!$A:$A,A170,WITHDRAWALS!$E:$E)),"")</f>
        <v/>
      </c>
      <c r="D170" s="33">
        <f>IF(A170="","",TODAY())</f>
        <v/>
      </c>
      <c r="E170" s="29" t="n"/>
      <c r="F170" s="32">
        <f>IFERROR(IF(OR(A170="",E170=""),"",C170+E170),"")</f>
        <v/>
      </c>
      <c r="G170" s="30" t="n"/>
      <c r="H170" s="31" t="n"/>
    </row>
    <row r="171" ht="20" customHeight="1">
      <c r="A171" s="26" t="n"/>
      <c r="B171" s="27">
        <f>IFERROR(IF(A171="","",VLOOKUP(A171,DATABASE!$A:$B,2,0)),"")</f>
        <v/>
      </c>
      <c r="C171" s="20">
        <f>IFERROR(IF(A171="","",SUMIF(SAVINGS!$A$3:A170,A171,SAVINGS!$E$3:E170)-SUMIF(WITHDRAWALS!$A:$A,A171,WITHDRAWALS!$E:$E)),"")</f>
        <v/>
      </c>
      <c r="D171" s="28">
        <f>IF(A171="","",TODAY())</f>
        <v/>
      </c>
      <c r="E171" s="29" t="n"/>
      <c r="F171" s="20">
        <f>IFERROR(IF(OR(A171="",E171=""),"",C171+E171),"")</f>
        <v/>
      </c>
      <c r="G171" s="30" t="n"/>
      <c r="H171" s="27" t="n"/>
    </row>
    <row r="172" ht="20" customHeight="1">
      <c r="A172" s="26" t="n"/>
      <c r="B172" s="31">
        <f>IFERROR(IF(A172="","",VLOOKUP(A172,DATABASE!$A:$B,2,0)),"")</f>
        <v/>
      </c>
      <c r="C172" s="32">
        <f>IFERROR(IF(A172="","",SUMIF(SAVINGS!$A$3:A171,A172,SAVINGS!$E$3:E171)-SUMIF(WITHDRAWALS!$A:$A,A172,WITHDRAWALS!$E:$E)),"")</f>
        <v/>
      </c>
      <c r="D172" s="33">
        <f>IF(A172="","",TODAY())</f>
        <v/>
      </c>
      <c r="E172" s="29" t="n"/>
      <c r="F172" s="32">
        <f>IFERROR(IF(OR(A172="",E172=""),"",C172+E172),"")</f>
        <v/>
      </c>
      <c r="G172" s="30" t="n"/>
      <c r="H172" s="31" t="n"/>
    </row>
    <row r="173" ht="20" customHeight="1">
      <c r="A173" s="26" t="n"/>
      <c r="B173" s="27">
        <f>IFERROR(IF(A173="","",VLOOKUP(A173,DATABASE!$A:$B,2,0)),"")</f>
        <v/>
      </c>
      <c r="C173" s="20">
        <f>IFERROR(IF(A173="","",SUMIF(SAVINGS!$A$3:A172,A173,SAVINGS!$E$3:E172)-SUMIF(WITHDRAWALS!$A:$A,A173,WITHDRAWALS!$E:$E)),"")</f>
        <v/>
      </c>
      <c r="D173" s="28">
        <f>IF(A173="","",TODAY())</f>
        <v/>
      </c>
      <c r="E173" s="29" t="n"/>
      <c r="F173" s="20">
        <f>IFERROR(IF(OR(A173="",E173=""),"",C173+E173),"")</f>
        <v/>
      </c>
      <c r="G173" s="30" t="n"/>
      <c r="H173" s="27" t="n"/>
    </row>
    <row r="174" ht="20" customHeight="1">
      <c r="A174" s="26" t="n"/>
      <c r="B174" s="31">
        <f>IFERROR(IF(A174="","",VLOOKUP(A174,DATABASE!$A:$B,2,0)),"")</f>
        <v/>
      </c>
      <c r="C174" s="32">
        <f>IFERROR(IF(A174="","",SUMIF(SAVINGS!$A$3:A173,A174,SAVINGS!$E$3:E173)-SUMIF(WITHDRAWALS!$A:$A,A174,WITHDRAWALS!$E:$E)),"")</f>
        <v/>
      </c>
      <c r="D174" s="33">
        <f>IF(A174="","",TODAY())</f>
        <v/>
      </c>
      <c r="E174" s="29" t="n"/>
      <c r="F174" s="32">
        <f>IFERROR(IF(OR(A174="",E174=""),"",C174+E174),"")</f>
        <v/>
      </c>
      <c r="G174" s="30" t="n"/>
      <c r="H174" s="31" t="n"/>
    </row>
    <row r="175" ht="20" customHeight="1">
      <c r="A175" s="26" t="n"/>
      <c r="B175" s="27">
        <f>IFERROR(IF(A175="","",VLOOKUP(A175,DATABASE!$A:$B,2,0)),"")</f>
        <v/>
      </c>
      <c r="C175" s="20">
        <f>IFERROR(IF(A175="","",SUMIF(SAVINGS!$A$3:A174,A175,SAVINGS!$E$3:E174)-SUMIF(WITHDRAWALS!$A:$A,A175,WITHDRAWALS!$E:$E)),"")</f>
        <v/>
      </c>
      <c r="D175" s="28">
        <f>IF(A175="","",TODAY())</f>
        <v/>
      </c>
      <c r="E175" s="29" t="n"/>
      <c r="F175" s="20">
        <f>IFERROR(IF(OR(A175="",E175=""),"",C175+E175),"")</f>
        <v/>
      </c>
      <c r="G175" s="30" t="n"/>
      <c r="H175" s="27" t="n"/>
    </row>
    <row r="176" ht="20" customHeight="1">
      <c r="A176" s="26" t="n"/>
      <c r="B176" s="31">
        <f>IFERROR(IF(A176="","",VLOOKUP(A176,DATABASE!$A:$B,2,0)),"")</f>
        <v/>
      </c>
      <c r="C176" s="32">
        <f>IFERROR(IF(A176="","",SUMIF(SAVINGS!$A$3:A175,A176,SAVINGS!$E$3:E175)-SUMIF(WITHDRAWALS!$A:$A,A176,WITHDRAWALS!$E:$E)),"")</f>
        <v/>
      </c>
      <c r="D176" s="33">
        <f>IF(A176="","",TODAY())</f>
        <v/>
      </c>
      <c r="E176" s="29" t="n"/>
      <c r="F176" s="32">
        <f>IFERROR(IF(OR(A176="",E176=""),"",C176+E176),"")</f>
        <v/>
      </c>
      <c r="G176" s="30" t="n"/>
      <c r="H176" s="31" t="n"/>
    </row>
    <row r="177" ht="20" customHeight="1">
      <c r="A177" s="26" t="n"/>
      <c r="B177" s="27">
        <f>IFERROR(IF(A177="","",VLOOKUP(A177,DATABASE!$A:$B,2,0)),"")</f>
        <v/>
      </c>
      <c r="C177" s="20">
        <f>IFERROR(IF(A177="","",SUMIF(SAVINGS!$A$3:A176,A177,SAVINGS!$E$3:E176)-SUMIF(WITHDRAWALS!$A:$A,A177,WITHDRAWALS!$E:$E)),"")</f>
        <v/>
      </c>
      <c r="D177" s="28">
        <f>IF(A177="","",TODAY())</f>
        <v/>
      </c>
      <c r="E177" s="29" t="n"/>
      <c r="F177" s="20">
        <f>IFERROR(IF(OR(A177="",E177=""),"",C177+E177),"")</f>
        <v/>
      </c>
      <c r="G177" s="30" t="n"/>
      <c r="H177" s="27" t="n"/>
    </row>
    <row r="178" ht="20" customHeight="1">
      <c r="A178" s="26" t="n"/>
      <c r="B178" s="31">
        <f>IFERROR(IF(A178="","",VLOOKUP(A178,DATABASE!$A:$B,2,0)),"")</f>
        <v/>
      </c>
      <c r="C178" s="32">
        <f>IFERROR(IF(A178="","",SUMIF(SAVINGS!$A$3:A177,A178,SAVINGS!$E$3:E177)-SUMIF(WITHDRAWALS!$A:$A,A178,WITHDRAWALS!$E:$E)),"")</f>
        <v/>
      </c>
      <c r="D178" s="33">
        <f>IF(A178="","",TODAY())</f>
        <v/>
      </c>
      <c r="E178" s="29" t="n"/>
      <c r="F178" s="32">
        <f>IFERROR(IF(OR(A178="",E178=""),"",C178+E178),"")</f>
        <v/>
      </c>
      <c r="G178" s="30" t="n"/>
      <c r="H178" s="31" t="n"/>
    </row>
    <row r="179" ht="20" customHeight="1">
      <c r="A179" s="26" t="n"/>
      <c r="B179" s="27">
        <f>IFERROR(IF(A179="","",VLOOKUP(A179,DATABASE!$A:$B,2,0)),"")</f>
        <v/>
      </c>
      <c r="C179" s="20">
        <f>IFERROR(IF(A179="","",SUMIF(SAVINGS!$A$3:A178,A179,SAVINGS!$E$3:E178)-SUMIF(WITHDRAWALS!$A:$A,A179,WITHDRAWALS!$E:$E)),"")</f>
        <v/>
      </c>
      <c r="D179" s="28">
        <f>IF(A179="","",TODAY())</f>
        <v/>
      </c>
      <c r="E179" s="29" t="n"/>
      <c r="F179" s="20">
        <f>IFERROR(IF(OR(A179="",E179=""),"",C179+E179),"")</f>
        <v/>
      </c>
      <c r="G179" s="30" t="n"/>
      <c r="H179" s="27" t="n"/>
    </row>
    <row r="180" ht="20" customHeight="1">
      <c r="A180" s="26" t="n"/>
      <c r="B180" s="31">
        <f>IFERROR(IF(A180="","",VLOOKUP(A180,DATABASE!$A:$B,2,0)),"")</f>
        <v/>
      </c>
      <c r="C180" s="32">
        <f>IFERROR(IF(A180="","",SUMIF(SAVINGS!$A$3:A179,A180,SAVINGS!$E$3:E179)-SUMIF(WITHDRAWALS!$A:$A,A180,WITHDRAWALS!$E:$E)),"")</f>
        <v/>
      </c>
      <c r="D180" s="33">
        <f>IF(A180="","",TODAY())</f>
        <v/>
      </c>
      <c r="E180" s="29" t="n"/>
      <c r="F180" s="32">
        <f>IFERROR(IF(OR(A180="",E180=""),"",C180+E180),"")</f>
        <v/>
      </c>
      <c r="G180" s="30" t="n"/>
      <c r="H180" s="31" t="n"/>
    </row>
    <row r="181" ht="20" customHeight="1">
      <c r="A181" s="26" t="n"/>
      <c r="B181" s="27">
        <f>IFERROR(IF(A181="","",VLOOKUP(A181,DATABASE!$A:$B,2,0)),"")</f>
        <v/>
      </c>
      <c r="C181" s="20">
        <f>IFERROR(IF(A181="","",SUMIF(SAVINGS!$A$3:A180,A181,SAVINGS!$E$3:E180)-SUMIF(WITHDRAWALS!$A:$A,A181,WITHDRAWALS!$E:$E)),"")</f>
        <v/>
      </c>
      <c r="D181" s="28">
        <f>IF(A181="","",TODAY())</f>
        <v/>
      </c>
      <c r="E181" s="29" t="n"/>
      <c r="F181" s="20">
        <f>IFERROR(IF(OR(A181="",E181=""),"",C181+E181),"")</f>
        <v/>
      </c>
      <c r="G181" s="30" t="n"/>
      <c r="H181" s="27" t="n"/>
    </row>
    <row r="182" ht="20" customHeight="1">
      <c r="A182" s="26" t="n"/>
      <c r="B182" s="31">
        <f>IFERROR(IF(A182="","",VLOOKUP(A182,DATABASE!$A:$B,2,0)),"")</f>
        <v/>
      </c>
      <c r="C182" s="32">
        <f>IFERROR(IF(A182="","",SUMIF(SAVINGS!$A$3:A181,A182,SAVINGS!$E$3:E181)-SUMIF(WITHDRAWALS!$A:$A,A182,WITHDRAWALS!$E:$E)),"")</f>
        <v/>
      </c>
      <c r="D182" s="33">
        <f>IF(A182="","",TODAY())</f>
        <v/>
      </c>
      <c r="E182" s="29" t="n"/>
      <c r="F182" s="32">
        <f>IFERROR(IF(OR(A182="",E182=""),"",C182+E182),"")</f>
        <v/>
      </c>
      <c r="G182" s="30" t="n"/>
      <c r="H182" s="31" t="n"/>
    </row>
    <row r="183" ht="20" customHeight="1">
      <c r="A183" s="26" t="n"/>
      <c r="B183" s="27">
        <f>IFERROR(IF(A183="","",VLOOKUP(A183,DATABASE!$A:$B,2,0)),"")</f>
        <v/>
      </c>
      <c r="C183" s="20">
        <f>IFERROR(IF(A183="","",SUMIF(SAVINGS!$A$3:A182,A183,SAVINGS!$E$3:E182)-SUMIF(WITHDRAWALS!$A:$A,A183,WITHDRAWALS!$E:$E)),"")</f>
        <v/>
      </c>
      <c r="D183" s="28">
        <f>IF(A183="","",TODAY())</f>
        <v/>
      </c>
      <c r="E183" s="29" t="n"/>
      <c r="F183" s="20">
        <f>IFERROR(IF(OR(A183="",E183=""),"",C183+E183),"")</f>
        <v/>
      </c>
      <c r="G183" s="30" t="n"/>
      <c r="H183" s="27" t="n"/>
    </row>
    <row r="184" ht="20" customHeight="1">
      <c r="A184" s="26" t="n"/>
      <c r="B184" s="31">
        <f>IFERROR(IF(A184="","",VLOOKUP(A184,DATABASE!$A:$B,2,0)),"")</f>
        <v/>
      </c>
      <c r="C184" s="32">
        <f>IFERROR(IF(A184="","",SUMIF(SAVINGS!$A$3:A183,A184,SAVINGS!$E$3:E183)-SUMIF(WITHDRAWALS!$A:$A,A184,WITHDRAWALS!$E:$E)),"")</f>
        <v/>
      </c>
      <c r="D184" s="33">
        <f>IF(A184="","",TODAY())</f>
        <v/>
      </c>
      <c r="E184" s="29" t="n"/>
      <c r="F184" s="32">
        <f>IFERROR(IF(OR(A184="",E184=""),"",C184+E184),"")</f>
        <v/>
      </c>
      <c r="G184" s="30" t="n"/>
      <c r="H184" s="31" t="n"/>
    </row>
    <row r="185" ht="20" customHeight="1">
      <c r="A185" s="26" t="n"/>
      <c r="B185" s="27">
        <f>IFERROR(IF(A185="","",VLOOKUP(A185,DATABASE!$A:$B,2,0)),"")</f>
        <v/>
      </c>
      <c r="C185" s="20">
        <f>IFERROR(IF(A185="","",SUMIF(SAVINGS!$A$3:A184,A185,SAVINGS!$E$3:E184)-SUMIF(WITHDRAWALS!$A:$A,A185,WITHDRAWALS!$E:$E)),"")</f>
        <v/>
      </c>
      <c r="D185" s="28">
        <f>IF(A185="","",TODAY())</f>
        <v/>
      </c>
      <c r="E185" s="29" t="n"/>
      <c r="F185" s="20">
        <f>IFERROR(IF(OR(A185="",E185=""),"",C185+E185),"")</f>
        <v/>
      </c>
      <c r="G185" s="30" t="n"/>
      <c r="H185" s="27" t="n"/>
    </row>
    <row r="186" ht="20" customHeight="1">
      <c r="A186" s="26" t="n"/>
      <c r="B186" s="31">
        <f>IFERROR(IF(A186="","",VLOOKUP(A186,DATABASE!$A:$B,2,0)),"")</f>
        <v/>
      </c>
      <c r="C186" s="32">
        <f>IFERROR(IF(A186="","",SUMIF(SAVINGS!$A$3:A185,A186,SAVINGS!$E$3:E185)-SUMIF(WITHDRAWALS!$A:$A,A186,WITHDRAWALS!$E:$E)),"")</f>
        <v/>
      </c>
      <c r="D186" s="33">
        <f>IF(A186="","",TODAY())</f>
        <v/>
      </c>
      <c r="E186" s="29" t="n"/>
      <c r="F186" s="32">
        <f>IFERROR(IF(OR(A186="",E186=""),"",C186+E186),"")</f>
        <v/>
      </c>
      <c r="G186" s="30" t="n"/>
      <c r="H186" s="31" t="n"/>
    </row>
    <row r="187" ht="20" customHeight="1">
      <c r="A187" s="26" t="n"/>
      <c r="B187" s="27">
        <f>IFERROR(IF(A187="","",VLOOKUP(A187,DATABASE!$A:$B,2,0)),"")</f>
        <v/>
      </c>
      <c r="C187" s="20">
        <f>IFERROR(IF(A187="","",SUMIF(SAVINGS!$A$3:A186,A187,SAVINGS!$E$3:E186)-SUMIF(WITHDRAWALS!$A:$A,A187,WITHDRAWALS!$E:$E)),"")</f>
        <v/>
      </c>
      <c r="D187" s="28">
        <f>IF(A187="","",TODAY())</f>
        <v/>
      </c>
      <c r="E187" s="29" t="n"/>
      <c r="F187" s="20">
        <f>IFERROR(IF(OR(A187="",E187=""),"",C187+E187),"")</f>
        <v/>
      </c>
      <c r="G187" s="30" t="n"/>
      <c r="H187" s="27" t="n"/>
    </row>
    <row r="188" ht="20" customHeight="1">
      <c r="A188" s="26" t="n"/>
      <c r="B188" s="31">
        <f>IFERROR(IF(A188="","",VLOOKUP(A188,DATABASE!$A:$B,2,0)),"")</f>
        <v/>
      </c>
      <c r="C188" s="32">
        <f>IFERROR(IF(A188="","",SUMIF(SAVINGS!$A$3:A187,A188,SAVINGS!$E$3:E187)-SUMIF(WITHDRAWALS!$A:$A,A188,WITHDRAWALS!$E:$E)),"")</f>
        <v/>
      </c>
      <c r="D188" s="33">
        <f>IF(A188="","",TODAY())</f>
        <v/>
      </c>
      <c r="E188" s="29" t="n"/>
      <c r="F188" s="32">
        <f>IFERROR(IF(OR(A188="",E188=""),"",C188+E188),"")</f>
        <v/>
      </c>
      <c r="G188" s="30" t="n"/>
      <c r="H188" s="31" t="n"/>
    </row>
    <row r="189" ht="20" customHeight="1">
      <c r="A189" s="26" t="n"/>
      <c r="B189" s="27">
        <f>IFERROR(IF(A189="","",VLOOKUP(A189,DATABASE!$A:$B,2,0)),"")</f>
        <v/>
      </c>
      <c r="C189" s="20">
        <f>IFERROR(IF(A189="","",SUMIF(SAVINGS!$A$3:A188,A189,SAVINGS!$E$3:E188)-SUMIF(WITHDRAWALS!$A:$A,A189,WITHDRAWALS!$E:$E)),"")</f>
        <v/>
      </c>
      <c r="D189" s="28">
        <f>IF(A189="","",TODAY())</f>
        <v/>
      </c>
      <c r="E189" s="29" t="n"/>
      <c r="F189" s="20">
        <f>IFERROR(IF(OR(A189="",E189=""),"",C189+E189),"")</f>
        <v/>
      </c>
      <c r="G189" s="30" t="n"/>
      <c r="H189" s="27" t="n"/>
    </row>
    <row r="190" ht="20" customHeight="1">
      <c r="A190" s="26" t="n"/>
      <c r="B190" s="31">
        <f>IFERROR(IF(A190="","",VLOOKUP(A190,DATABASE!$A:$B,2,0)),"")</f>
        <v/>
      </c>
      <c r="C190" s="32">
        <f>IFERROR(IF(A190="","",SUMIF(SAVINGS!$A$3:A189,A190,SAVINGS!$E$3:E189)-SUMIF(WITHDRAWALS!$A:$A,A190,WITHDRAWALS!$E:$E)),"")</f>
        <v/>
      </c>
      <c r="D190" s="33">
        <f>IF(A190="","",TODAY())</f>
        <v/>
      </c>
      <c r="E190" s="29" t="n"/>
      <c r="F190" s="32">
        <f>IFERROR(IF(OR(A190="",E190=""),"",C190+E190),"")</f>
        <v/>
      </c>
      <c r="G190" s="30" t="n"/>
      <c r="H190" s="31" t="n"/>
    </row>
    <row r="191" ht="20" customHeight="1">
      <c r="A191" s="26" t="n"/>
      <c r="B191" s="27">
        <f>IFERROR(IF(A191="","",VLOOKUP(A191,DATABASE!$A:$B,2,0)),"")</f>
        <v/>
      </c>
      <c r="C191" s="20">
        <f>IFERROR(IF(A191="","",SUMIF(SAVINGS!$A$3:A190,A191,SAVINGS!$E$3:E190)-SUMIF(WITHDRAWALS!$A:$A,A191,WITHDRAWALS!$E:$E)),"")</f>
        <v/>
      </c>
      <c r="D191" s="28">
        <f>IF(A191="","",TODAY())</f>
        <v/>
      </c>
      <c r="E191" s="29" t="n"/>
      <c r="F191" s="20">
        <f>IFERROR(IF(OR(A191="",E191=""),"",C191+E191),"")</f>
        <v/>
      </c>
      <c r="G191" s="30" t="n"/>
      <c r="H191" s="27" t="n"/>
    </row>
    <row r="192" ht="20" customHeight="1">
      <c r="A192" s="26" t="n"/>
      <c r="B192" s="31">
        <f>IFERROR(IF(A192="","",VLOOKUP(A192,DATABASE!$A:$B,2,0)),"")</f>
        <v/>
      </c>
      <c r="C192" s="32">
        <f>IFERROR(IF(A192="","",SUMIF(SAVINGS!$A$3:A191,A192,SAVINGS!$E$3:E191)-SUMIF(WITHDRAWALS!$A:$A,A192,WITHDRAWALS!$E:$E)),"")</f>
        <v/>
      </c>
      <c r="D192" s="33">
        <f>IF(A192="","",TODAY())</f>
        <v/>
      </c>
      <c r="E192" s="29" t="n"/>
      <c r="F192" s="32">
        <f>IFERROR(IF(OR(A192="",E192=""),"",C192+E192),"")</f>
        <v/>
      </c>
      <c r="G192" s="30" t="n"/>
      <c r="H192" s="31" t="n"/>
    </row>
    <row r="193" ht="20" customHeight="1">
      <c r="A193" s="26" t="n"/>
      <c r="B193" s="27">
        <f>IFERROR(IF(A193="","",VLOOKUP(A193,DATABASE!$A:$B,2,0)),"")</f>
        <v/>
      </c>
      <c r="C193" s="20">
        <f>IFERROR(IF(A193="","",SUMIF(SAVINGS!$A$3:A192,A193,SAVINGS!$E$3:E192)-SUMIF(WITHDRAWALS!$A:$A,A193,WITHDRAWALS!$E:$E)),"")</f>
        <v/>
      </c>
      <c r="D193" s="28">
        <f>IF(A193="","",TODAY())</f>
        <v/>
      </c>
      <c r="E193" s="29" t="n"/>
      <c r="F193" s="20">
        <f>IFERROR(IF(OR(A193="",E193=""),"",C193+E193),"")</f>
        <v/>
      </c>
      <c r="G193" s="30" t="n"/>
      <c r="H193" s="27" t="n"/>
    </row>
    <row r="194" ht="20" customHeight="1">
      <c r="A194" s="26" t="n"/>
      <c r="B194" s="31">
        <f>IFERROR(IF(A194="","",VLOOKUP(A194,DATABASE!$A:$B,2,0)),"")</f>
        <v/>
      </c>
      <c r="C194" s="32">
        <f>IFERROR(IF(A194="","",SUMIF(SAVINGS!$A$3:A193,A194,SAVINGS!$E$3:E193)-SUMIF(WITHDRAWALS!$A:$A,A194,WITHDRAWALS!$E:$E)),"")</f>
        <v/>
      </c>
      <c r="D194" s="33">
        <f>IF(A194="","",TODAY())</f>
        <v/>
      </c>
      <c r="E194" s="29" t="n"/>
      <c r="F194" s="32">
        <f>IFERROR(IF(OR(A194="",E194=""),"",C194+E194),"")</f>
        <v/>
      </c>
      <c r="G194" s="30" t="n"/>
      <c r="H194" s="31" t="n"/>
    </row>
    <row r="195" ht="20" customHeight="1">
      <c r="A195" s="26" t="n"/>
      <c r="B195" s="27">
        <f>IFERROR(IF(A195="","",VLOOKUP(A195,DATABASE!$A:$B,2,0)),"")</f>
        <v/>
      </c>
      <c r="C195" s="20">
        <f>IFERROR(IF(A195="","",SUMIF(SAVINGS!$A$3:A194,A195,SAVINGS!$E$3:E194)-SUMIF(WITHDRAWALS!$A:$A,A195,WITHDRAWALS!$E:$E)),"")</f>
        <v/>
      </c>
      <c r="D195" s="28">
        <f>IF(A195="","",TODAY())</f>
        <v/>
      </c>
      <c r="E195" s="29" t="n"/>
      <c r="F195" s="20">
        <f>IFERROR(IF(OR(A195="",E195=""),"",C195+E195),"")</f>
        <v/>
      </c>
      <c r="G195" s="30" t="n"/>
      <c r="H195" s="27" t="n"/>
    </row>
    <row r="196" ht="20" customHeight="1">
      <c r="A196" s="26" t="n"/>
      <c r="B196" s="31">
        <f>IFERROR(IF(A196="","",VLOOKUP(A196,DATABASE!$A:$B,2,0)),"")</f>
        <v/>
      </c>
      <c r="C196" s="32">
        <f>IFERROR(IF(A196="","",SUMIF(SAVINGS!$A$3:A195,A196,SAVINGS!$E$3:E195)-SUMIF(WITHDRAWALS!$A:$A,A196,WITHDRAWALS!$E:$E)),"")</f>
        <v/>
      </c>
      <c r="D196" s="33">
        <f>IF(A196="","",TODAY())</f>
        <v/>
      </c>
      <c r="E196" s="29" t="n"/>
      <c r="F196" s="32">
        <f>IFERROR(IF(OR(A196="",E196=""),"",C196+E196),"")</f>
        <v/>
      </c>
      <c r="G196" s="30" t="n"/>
      <c r="H196" s="31" t="n"/>
    </row>
    <row r="197" ht="20" customHeight="1">
      <c r="A197" s="26" t="n"/>
      <c r="B197" s="27">
        <f>IFERROR(IF(A197="","",VLOOKUP(A197,DATABASE!$A:$B,2,0)),"")</f>
        <v/>
      </c>
      <c r="C197" s="20">
        <f>IFERROR(IF(A197="","",SUMIF(SAVINGS!$A$3:A196,A197,SAVINGS!$E$3:E196)-SUMIF(WITHDRAWALS!$A:$A,A197,WITHDRAWALS!$E:$E)),"")</f>
        <v/>
      </c>
      <c r="D197" s="28">
        <f>IF(A197="","",TODAY())</f>
        <v/>
      </c>
      <c r="E197" s="29" t="n"/>
      <c r="F197" s="20">
        <f>IFERROR(IF(OR(A197="",E197=""),"",C197+E197),"")</f>
        <v/>
      </c>
      <c r="G197" s="30" t="n"/>
      <c r="H197" s="27" t="n"/>
    </row>
    <row r="198" ht="20" customHeight="1">
      <c r="A198" s="26" t="n"/>
      <c r="B198" s="31">
        <f>IFERROR(IF(A198="","",VLOOKUP(A198,DATABASE!$A:$B,2,0)),"")</f>
        <v/>
      </c>
      <c r="C198" s="32">
        <f>IFERROR(IF(A198="","",SUMIF(SAVINGS!$A$3:A197,A198,SAVINGS!$E$3:E197)-SUMIF(WITHDRAWALS!$A:$A,A198,WITHDRAWALS!$E:$E)),"")</f>
        <v/>
      </c>
      <c r="D198" s="33">
        <f>IF(A198="","",TODAY())</f>
        <v/>
      </c>
      <c r="E198" s="29" t="n"/>
      <c r="F198" s="32">
        <f>IFERROR(IF(OR(A198="",E198=""),"",C198+E198),"")</f>
        <v/>
      </c>
      <c r="G198" s="30" t="n"/>
      <c r="H198" s="31" t="n"/>
    </row>
    <row r="199" ht="20" customHeight="1">
      <c r="A199" s="26" t="n"/>
      <c r="B199" s="27">
        <f>IFERROR(IF(A199="","",VLOOKUP(A199,DATABASE!$A:$B,2,0)),"")</f>
        <v/>
      </c>
      <c r="C199" s="20">
        <f>IFERROR(IF(A199="","",SUMIF(SAVINGS!$A$3:A198,A199,SAVINGS!$E$3:E198)-SUMIF(WITHDRAWALS!$A:$A,A199,WITHDRAWALS!$E:$E)),"")</f>
        <v/>
      </c>
      <c r="D199" s="28">
        <f>IF(A199="","",TODAY())</f>
        <v/>
      </c>
      <c r="E199" s="29" t="n"/>
      <c r="F199" s="20">
        <f>IFERROR(IF(OR(A199="",E199=""),"",C199+E199),"")</f>
        <v/>
      </c>
      <c r="G199" s="30" t="n"/>
      <c r="H199" s="27" t="n"/>
    </row>
    <row r="200" ht="20" customHeight="1">
      <c r="A200" s="26" t="n"/>
      <c r="B200" s="31">
        <f>IFERROR(IF(A200="","",VLOOKUP(A200,DATABASE!$A:$B,2,0)),"")</f>
        <v/>
      </c>
      <c r="C200" s="32">
        <f>IFERROR(IF(A200="","",SUMIF(SAVINGS!$A$3:A199,A200,SAVINGS!$E$3:E199)-SUMIF(WITHDRAWALS!$A:$A,A200,WITHDRAWALS!$E:$E)),"")</f>
        <v/>
      </c>
      <c r="D200" s="33">
        <f>IF(A200="","",TODAY())</f>
        <v/>
      </c>
      <c r="E200" s="29" t="n"/>
      <c r="F200" s="32">
        <f>IFERROR(IF(OR(A200="",E200=""),"",C200+E200),"")</f>
        <v/>
      </c>
      <c r="G200" s="30" t="n"/>
      <c r="H200" s="31" t="n"/>
    </row>
    <row r="201" ht="20" customHeight="1">
      <c r="A201" s="26" t="n"/>
      <c r="B201" s="27">
        <f>IFERROR(IF(A201="","",VLOOKUP(A201,DATABASE!$A:$B,2,0)),"")</f>
        <v/>
      </c>
      <c r="C201" s="20">
        <f>IFERROR(IF(A201="","",SUMIF(SAVINGS!$A$3:A200,A201,SAVINGS!$E$3:E200)-SUMIF(WITHDRAWALS!$A:$A,A201,WITHDRAWALS!$E:$E)),"")</f>
        <v/>
      </c>
      <c r="D201" s="28">
        <f>IF(A201="","",TODAY())</f>
        <v/>
      </c>
      <c r="E201" s="29" t="n"/>
      <c r="F201" s="20">
        <f>IFERROR(IF(OR(A201="",E201=""),"",C201+E201),"")</f>
        <v/>
      </c>
      <c r="G201" s="30" t="n"/>
      <c r="H201" s="27" t="n"/>
    </row>
    <row r="202" ht="20" customHeight="1">
      <c r="A202" s="26" t="n"/>
      <c r="B202" s="31">
        <f>IFERROR(IF(A202="","",VLOOKUP(A202,DATABASE!$A:$B,2,0)),"")</f>
        <v/>
      </c>
      <c r="C202" s="32">
        <f>IFERROR(IF(A202="","",SUMIF(SAVINGS!$A$3:A201,A202,SAVINGS!$E$3:E201)-SUMIF(WITHDRAWALS!$A:$A,A202,WITHDRAWALS!$E:$E)),"")</f>
        <v/>
      </c>
      <c r="D202" s="33">
        <f>IF(A202="","",TODAY())</f>
        <v/>
      </c>
      <c r="E202" s="29" t="n"/>
      <c r="F202" s="32">
        <f>IFERROR(IF(OR(A202="",E202=""),"",C202+E202),"")</f>
        <v/>
      </c>
      <c r="G202" s="30" t="n"/>
      <c r="H202" s="31" t="n"/>
    </row>
    <row r="203" ht="20" customHeight="1">
      <c r="A203" s="26" t="n"/>
      <c r="B203" s="27">
        <f>IFERROR(IF(A203="","",VLOOKUP(A203,DATABASE!$A:$B,2,0)),"")</f>
        <v/>
      </c>
      <c r="C203" s="20">
        <f>IFERROR(IF(A203="","",SUMIF(SAVINGS!$A$3:A202,A203,SAVINGS!$E$3:E202)-SUMIF(WITHDRAWALS!$A:$A,A203,WITHDRAWALS!$E:$E)),"")</f>
        <v/>
      </c>
      <c r="D203" s="28">
        <f>IF(A203="","",TODAY())</f>
        <v/>
      </c>
      <c r="E203" s="29" t="n"/>
      <c r="F203" s="20">
        <f>IFERROR(IF(OR(A203="",E203=""),"",C203+E203),"")</f>
        <v/>
      </c>
      <c r="G203" s="30" t="n"/>
      <c r="H203" s="27" t="n"/>
    </row>
    <row r="204" ht="20" customHeight="1">
      <c r="A204" s="26" t="n"/>
      <c r="B204" s="31">
        <f>IFERROR(IF(A204="","",VLOOKUP(A204,DATABASE!$A:$B,2,0)),"")</f>
        <v/>
      </c>
      <c r="C204" s="32">
        <f>IFERROR(IF(A204="","",SUMIF(SAVINGS!$A$3:A203,A204,SAVINGS!$E$3:E203)-SUMIF(WITHDRAWALS!$A:$A,A204,WITHDRAWALS!$E:$E)),"")</f>
        <v/>
      </c>
      <c r="D204" s="33">
        <f>IF(A204="","",TODAY())</f>
        <v/>
      </c>
      <c r="E204" s="29" t="n"/>
      <c r="F204" s="32">
        <f>IFERROR(IF(OR(A204="",E204=""),"",C204+E204),"")</f>
        <v/>
      </c>
      <c r="G204" s="30" t="n"/>
      <c r="H204" s="31" t="n"/>
    </row>
    <row r="205" ht="20" customHeight="1">
      <c r="A205" s="26" t="n"/>
      <c r="B205" s="27">
        <f>IFERROR(IF(A205="","",VLOOKUP(A205,DATABASE!$A:$B,2,0)),"")</f>
        <v/>
      </c>
      <c r="C205" s="20">
        <f>IFERROR(IF(A205="","",SUMIF(SAVINGS!$A$3:A204,A205,SAVINGS!$E$3:E204)-SUMIF(WITHDRAWALS!$A:$A,A205,WITHDRAWALS!$E:$E)),"")</f>
        <v/>
      </c>
      <c r="D205" s="28">
        <f>IF(A205="","",TODAY())</f>
        <v/>
      </c>
      <c r="E205" s="29" t="n"/>
      <c r="F205" s="20">
        <f>IFERROR(IF(OR(A205="",E205=""),"",C205+E205),"")</f>
        <v/>
      </c>
      <c r="G205" s="30" t="n"/>
      <c r="H205" s="27" t="n"/>
    </row>
    <row r="206" ht="20" customHeight="1">
      <c r="A206" s="26" t="n"/>
      <c r="B206" s="31">
        <f>IFERROR(IF(A206="","",VLOOKUP(A206,DATABASE!$A:$B,2,0)),"")</f>
        <v/>
      </c>
      <c r="C206" s="32">
        <f>IFERROR(IF(A206="","",SUMIF(SAVINGS!$A$3:A205,A206,SAVINGS!$E$3:E205)-SUMIF(WITHDRAWALS!$A:$A,A206,WITHDRAWALS!$E:$E)),"")</f>
        <v/>
      </c>
      <c r="D206" s="33">
        <f>IF(A206="","",TODAY())</f>
        <v/>
      </c>
      <c r="E206" s="29" t="n"/>
      <c r="F206" s="32">
        <f>IFERROR(IF(OR(A206="",E206=""),"",C206+E206),"")</f>
        <v/>
      </c>
      <c r="G206" s="30" t="n"/>
      <c r="H206" s="31" t="n"/>
    </row>
    <row r="207" ht="20" customHeight="1">
      <c r="A207" s="26" t="n"/>
      <c r="B207" s="27">
        <f>IFERROR(IF(A207="","",VLOOKUP(A207,DATABASE!$A:$B,2,0)),"")</f>
        <v/>
      </c>
      <c r="C207" s="20">
        <f>IFERROR(IF(A207="","",SUMIF(SAVINGS!$A$3:A206,A207,SAVINGS!$E$3:E206)-SUMIF(WITHDRAWALS!$A:$A,A207,WITHDRAWALS!$E:$E)),"")</f>
        <v/>
      </c>
      <c r="D207" s="28">
        <f>IF(A207="","",TODAY())</f>
        <v/>
      </c>
      <c r="E207" s="29" t="n"/>
      <c r="F207" s="20">
        <f>IFERROR(IF(OR(A207="",E207=""),"",C207+E207),"")</f>
        <v/>
      </c>
      <c r="G207" s="30" t="n"/>
      <c r="H207" s="27" t="n"/>
    </row>
    <row r="208" ht="20" customHeight="1">
      <c r="A208" s="26" t="n"/>
      <c r="B208" s="31">
        <f>IFERROR(IF(A208="","",VLOOKUP(A208,DATABASE!$A:$B,2,0)),"")</f>
        <v/>
      </c>
      <c r="C208" s="32">
        <f>IFERROR(IF(A208="","",SUMIF(SAVINGS!$A$3:A207,A208,SAVINGS!$E$3:E207)-SUMIF(WITHDRAWALS!$A:$A,A208,WITHDRAWALS!$E:$E)),"")</f>
        <v/>
      </c>
      <c r="D208" s="33">
        <f>IF(A208="","",TODAY())</f>
        <v/>
      </c>
      <c r="E208" s="29" t="n"/>
      <c r="F208" s="32">
        <f>IFERROR(IF(OR(A208="",E208=""),"",C208+E208),"")</f>
        <v/>
      </c>
      <c r="G208" s="30" t="n"/>
      <c r="H208" s="31" t="n"/>
    </row>
    <row r="209" ht="20" customHeight="1">
      <c r="A209" s="26" t="n"/>
      <c r="B209" s="27">
        <f>IFERROR(IF(A209="","",VLOOKUP(A209,DATABASE!$A:$B,2,0)),"")</f>
        <v/>
      </c>
      <c r="C209" s="20">
        <f>IFERROR(IF(A209="","",SUMIF(SAVINGS!$A$3:A208,A209,SAVINGS!$E$3:E208)-SUMIF(WITHDRAWALS!$A:$A,A209,WITHDRAWALS!$E:$E)),"")</f>
        <v/>
      </c>
      <c r="D209" s="28">
        <f>IF(A209="","",TODAY())</f>
        <v/>
      </c>
      <c r="E209" s="29" t="n"/>
      <c r="F209" s="20">
        <f>IFERROR(IF(OR(A209="",E209=""),"",C209+E209),"")</f>
        <v/>
      </c>
      <c r="G209" s="30" t="n"/>
      <c r="H209" s="27" t="n"/>
    </row>
    <row r="210" ht="20" customHeight="1">
      <c r="A210" s="26" t="n"/>
      <c r="B210" s="31">
        <f>IFERROR(IF(A210="","",VLOOKUP(A210,DATABASE!$A:$B,2,0)),"")</f>
        <v/>
      </c>
      <c r="C210" s="32">
        <f>IFERROR(IF(A210="","",SUMIF(SAVINGS!$A$3:A209,A210,SAVINGS!$E$3:E209)-SUMIF(WITHDRAWALS!$A:$A,A210,WITHDRAWALS!$E:$E)),"")</f>
        <v/>
      </c>
      <c r="D210" s="33">
        <f>IF(A210="","",TODAY())</f>
        <v/>
      </c>
      <c r="E210" s="29" t="n"/>
      <c r="F210" s="32">
        <f>IFERROR(IF(OR(A210="",E210=""),"",C210+E210),"")</f>
        <v/>
      </c>
      <c r="G210" s="30" t="n"/>
      <c r="H210" s="31" t="n"/>
    </row>
    <row r="211" ht="20" customHeight="1">
      <c r="A211" s="26" t="n"/>
      <c r="B211" s="27">
        <f>IFERROR(IF(A211="","",VLOOKUP(A211,DATABASE!$A:$B,2,0)),"")</f>
        <v/>
      </c>
      <c r="C211" s="20">
        <f>IFERROR(IF(A211="","",SUMIF(SAVINGS!$A$3:A210,A211,SAVINGS!$E$3:E210)-SUMIF(WITHDRAWALS!$A:$A,A211,WITHDRAWALS!$E:$E)),"")</f>
        <v/>
      </c>
      <c r="D211" s="28">
        <f>IF(A211="","",TODAY())</f>
        <v/>
      </c>
      <c r="E211" s="29" t="n"/>
      <c r="F211" s="20">
        <f>IFERROR(IF(OR(A211="",E211=""),"",C211+E211),"")</f>
        <v/>
      </c>
      <c r="G211" s="30" t="n"/>
      <c r="H211" s="27" t="n"/>
    </row>
    <row r="212" ht="20" customHeight="1">
      <c r="A212" s="26" t="n"/>
      <c r="B212" s="31">
        <f>IFERROR(IF(A212="","",VLOOKUP(A212,DATABASE!$A:$B,2,0)),"")</f>
        <v/>
      </c>
      <c r="C212" s="32">
        <f>IFERROR(IF(A212="","",SUMIF(SAVINGS!$A$3:A211,A212,SAVINGS!$E$3:E211)-SUMIF(WITHDRAWALS!$A:$A,A212,WITHDRAWALS!$E:$E)),"")</f>
        <v/>
      </c>
      <c r="D212" s="33">
        <f>IF(A212="","",TODAY())</f>
        <v/>
      </c>
      <c r="E212" s="29" t="n"/>
      <c r="F212" s="32">
        <f>IFERROR(IF(OR(A212="",E212=""),"",C212+E212),"")</f>
        <v/>
      </c>
      <c r="G212" s="30" t="n"/>
      <c r="H212" s="31" t="n"/>
    </row>
    <row r="213" ht="20" customHeight="1">
      <c r="A213" s="26" t="n"/>
      <c r="B213" s="27">
        <f>IFERROR(IF(A213="","",VLOOKUP(A213,DATABASE!$A:$B,2,0)),"")</f>
        <v/>
      </c>
      <c r="C213" s="20">
        <f>IFERROR(IF(A213="","",SUMIF(SAVINGS!$A$3:A212,A213,SAVINGS!$E$3:E212)-SUMIF(WITHDRAWALS!$A:$A,A213,WITHDRAWALS!$E:$E)),"")</f>
        <v/>
      </c>
      <c r="D213" s="28">
        <f>IF(A213="","",TODAY())</f>
        <v/>
      </c>
      <c r="E213" s="29" t="n"/>
      <c r="F213" s="20">
        <f>IFERROR(IF(OR(A213="",E213=""),"",C213+E213),"")</f>
        <v/>
      </c>
      <c r="G213" s="30" t="n"/>
      <c r="H213" s="27" t="n"/>
    </row>
    <row r="214" ht="20" customHeight="1">
      <c r="A214" s="26" t="n"/>
      <c r="B214" s="31">
        <f>IFERROR(IF(A214="","",VLOOKUP(A214,DATABASE!$A:$B,2,0)),"")</f>
        <v/>
      </c>
      <c r="C214" s="32">
        <f>IFERROR(IF(A214="","",SUMIF(SAVINGS!$A$3:A213,A214,SAVINGS!$E$3:E213)-SUMIF(WITHDRAWALS!$A:$A,A214,WITHDRAWALS!$E:$E)),"")</f>
        <v/>
      </c>
      <c r="D214" s="33">
        <f>IF(A214="","",TODAY())</f>
        <v/>
      </c>
      <c r="E214" s="29" t="n"/>
      <c r="F214" s="32">
        <f>IFERROR(IF(OR(A214="",E214=""),"",C214+E214),"")</f>
        <v/>
      </c>
      <c r="G214" s="30" t="n"/>
      <c r="H214" s="31" t="n"/>
    </row>
    <row r="215" ht="20" customHeight="1">
      <c r="A215" s="26" t="n"/>
      <c r="B215" s="27">
        <f>IFERROR(IF(A215="","",VLOOKUP(A215,DATABASE!$A:$B,2,0)),"")</f>
        <v/>
      </c>
      <c r="C215" s="20">
        <f>IFERROR(IF(A215="","",SUMIF(SAVINGS!$A$3:A214,A215,SAVINGS!$E$3:E214)-SUMIF(WITHDRAWALS!$A:$A,A215,WITHDRAWALS!$E:$E)),"")</f>
        <v/>
      </c>
      <c r="D215" s="28">
        <f>IF(A215="","",TODAY())</f>
        <v/>
      </c>
      <c r="E215" s="29" t="n"/>
      <c r="F215" s="20">
        <f>IFERROR(IF(OR(A215="",E215=""),"",C215+E215),"")</f>
        <v/>
      </c>
      <c r="G215" s="30" t="n"/>
      <c r="H215" s="27" t="n"/>
    </row>
    <row r="216" ht="20" customHeight="1">
      <c r="A216" s="26" t="n"/>
      <c r="B216" s="31">
        <f>IFERROR(IF(A216="","",VLOOKUP(A216,DATABASE!$A:$B,2,0)),"")</f>
        <v/>
      </c>
      <c r="C216" s="32">
        <f>IFERROR(IF(A216="","",SUMIF(SAVINGS!$A$3:A215,A216,SAVINGS!$E$3:E215)-SUMIF(WITHDRAWALS!$A:$A,A216,WITHDRAWALS!$E:$E)),"")</f>
        <v/>
      </c>
      <c r="D216" s="33">
        <f>IF(A216="","",TODAY())</f>
        <v/>
      </c>
      <c r="E216" s="29" t="n"/>
      <c r="F216" s="32">
        <f>IFERROR(IF(OR(A216="",E216=""),"",C216+E216),"")</f>
        <v/>
      </c>
      <c r="G216" s="30" t="n"/>
      <c r="H216" s="31" t="n"/>
    </row>
    <row r="217" ht="20" customHeight="1">
      <c r="A217" s="26" t="n"/>
      <c r="B217" s="27">
        <f>IFERROR(IF(A217="","",VLOOKUP(A217,DATABASE!$A:$B,2,0)),"")</f>
        <v/>
      </c>
      <c r="C217" s="20">
        <f>IFERROR(IF(A217="","",SUMIF(SAVINGS!$A$3:A216,A217,SAVINGS!$E$3:E216)-SUMIF(WITHDRAWALS!$A:$A,A217,WITHDRAWALS!$E:$E)),"")</f>
        <v/>
      </c>
      <c r="D217" s="28">
        <f>IF(A217="","",TODAY())</f>
        <v/>
      </c>
      <c r="E217" s="29" t="n"/>
      <c r="F217" s="20">
        <f>IFERROR(IF(OR(A217="",E217=""),"",C217+E217),"")</f>
        <v/>
      </c>
      <c r="G217" s="30" t="n"/>
      <c r="H217" s="27" t="n"/>
    </row>
    <row r="218" ht="20" customHeight="1">
      <c r="A218" s="26" t="n"/>
      <c r="B218" s="31">
        <f>IFERROR(IF(A218="","",VLOOKUP(A218,DATABASE!$A:$B,2,0)),"")</f>
        <v/>
      </c>
      <c r="C218" s="32">
        <f>IFERROR(IF(A218="","",SUMIF(SAVINGS!$A$3:A217,A218,SAVINGS!$E$3:E217)-SUMIF(WITHDRAWALS!$A:$A,A218,WITHDRAWALS!$E:$E)),"")</f>
        <v/>
      </c>
      <c r="D218" s="33">
        <f>IF(A218="","",TODAY())</f>
        <v/>
      </c>
      <c r="E218" s="29" t="n"/>
      <c r="F218" s="32">
        <f>IFERROR(IF(OR(A218="",E218=""),"",C218+E218),"")</f>
        <v/>
      </c>
      <c r="G218" s="30" t="n"/>
      <c r="H218" s="31" t="n"/>
    </row>
    <row r="219" ht="20" customHeight="1">
      <c r="A219" s="26" t="n"/>
      <c r="B219" s="27">
        <f>IFERROR(IF(A219="","",VLOOKUP(A219,DATABASE!$A:$B,2,0)),"")</f>
        <v/>
      </c>
      <c r="C219" s="20">
        <f>IFERROR(IF(A219="","",SUMIF(SAVINGS!$A$3:A218,A219,SAVINGS!$E$3:E218)-SUMIF(WITHDRAWALS!$A:$A,A219,WITHDRAWALS!$E:$E)),"")</f>
        <v/>
      </c>
      <c r="D219" s="28">
        <f>IF(A219="","",TODAY())</f>
        <v/>
      </c>
      <c r="E219" s="29" t="n"/>
      <c r="F219" s="20">
        <f>IFERROR(IF(OR(A219="",E219=""),"",C219+E219),"")</f>
        <v/>
      </c>
      <c r="G219" s="30" t="n"/>
      <c r="H219" s="27" t="n"/>
    </row>
    <row r="220" ht="20" customHeight="1">
      <c r="A220" s="26" t="n"/>
      <c r="B220" s="31">
        <f>IFERROR(IF(A220="","",VLOOKUP(A220,DATABASE!$A:$B,2,0)),"")</f>
        <v/>
      </c>
      <c r="C220" s="32">
        <f>IFERROR(IF(A220="","",SUMIF(SAVINGS!$A$3:A219,A220,SAVINGS!$E$3:E219)-SUMIF(WITHDRAWALS!$A:$A,A220,WITHDRAWALS!$E:$E)),"")</f>
        <v/>
      </c>
      <c r="D220" s="33">
        <f>IF(A220="","",TODAY())</f>
        <v/>
      </c>
      <c r="E220" s="29" t="n"/>
      <c r="F220" s="32">
        <f>IFERROR(IF(OR(A220="",E220=""),"",C220+E220),"")</f>
        <v/>
      </c>
      <c r="G220" s="30" t="n"/>
      <c r="H220" s="31" t="n"/>
    </row>
    <row r="221" ht="20" customHeight="1">
      <c r="A221" s="26" t="n"/>
      <c r="B221" s="27">
        <f>IFERROR(IF(A221="","",VLOOKUP(A221,DATABASE!$A:$B,2,0)),"")</f>
        <v/>
      </c>
      <c r="C221" s="20">
        <f>IFERROR(IF(A221="","",SUMIF(SAVINGS!$A$3:A220,A221,SAVINGS!$E$3:E220)-SUMIF(WITHDRAWALS!$A:$A,A221,WITHDRAWALS!$E:$E)),"")</f>
        <v/>
      </c>
      <c r="D221" s="28">
        <f>IF(A221="","",TODAY())</f>
        <v/>
      </c>
      <c r="E221" s="29" t="n"/>
      <c r="F221" s="20">
        <f>IFERROR(IF(OR(A221="",E221=""),"",C221+E221),"")</f>
        <v/>
      </c>
      <c r="G221" s="30" t="n"/>
      <c r="H221" s="27" t="n"/>
    </row>
    <row r="222" ht="20" customHeight="1">
      <c r="A222" s="26" t="n"/>
      <c r="B222" s="31">
        <f>IFERROR(IF(A222="","",VLOOKUP(A222,DATABASE!$A:$B,2,0)),"")</f>
        <v/>
      </c>
      <c r="C222" s="32">
        <f>IFERROR(IF(A222="","",SUMIF(SAVINGS!$A$3:A221,A222,SAVINGS!$E$3:E221)-SUMIF(WITHDRAWALS!$A:$A,A222,WITHDRAWALS!$E:$E)),"")</f>
        <v/>
      </c>
      <c r="D222" s="33">
        <f>IF(A222="","",TODAY())</f>
        <v/>
      </c>
      <c r="E222" s="29" t="n"/>
      <c r="F222" s="32">
        <f>IFERROR(IF(OR(A222="",E222=""),"",C222+E222),"")</f>
        <v/>
      </c>
      <c r="G222" s="30" t="n"/>
      <c r="H222" s="31" t="n"/>
    </row>
    <row r="223" ht="20" customHeight="1">
      <c r="A223" s="26" t="n"/>
      <c r="B223" s="27">
        <f>IFERROR(IF(A223="","",VLOOKUP(A223,DATABASE!$A:$B,2,0)),"")</f>
        <v/>
      </c>
      <c r="C223" s="20">
        <f>IFERROR(IF(A223="","",SUMIF(SAVINGS!$A$3:A222,A223,SAVINGS!$E$3:E222)-SUMIF(WITHDRAWALS!$A:$A,A223,WITHDRAWALS!$E:$E)),"")</f>
        <v/>
      </c>
      <c r="D223" s="28">
        <f>IF(A223="","",TODAY())</f>
        <v/>
      </c>
      <c r="E223" s="29" t="n"/>
      <c r="F223" s="20">
        <f>IFERROR(IF(OR(A223="",E223=""),"",C223+E223),"")</f>
        <v/>
      </c>
      <c r="G223" s="30" t="n"/>
      <c r="H223" s="27" t="n"/>
    </row>
    <row r="224" ht="20" customHeight="1">
      <c r="A224" s="26" t="n"/>
      <c r="B224" s="31">
        <f>IFERROR(IF(A224="","",VLOOKUP(A224,DATABASE!$A:$B,2,0)),"")</f>
        <v/>
      </c>
      <c r="C224" s="32">
        <f>IFERROR(IF(A224="","",SUMIF(SAVINGS!$A$3:A223,A224,SAVINGS!$E$3:E223)-SUMIF(WITHDRAWALS!$A:$A,A224,WITHDRAWALS!$E:$E)),"")</f>
        <v/>
      </c>
      <c r="D224" s="33">
        <f>IF(A224="","",TODAY())</f>
        <v/>
      </c>
      <c r="E224" s="29" t="n"/>
      <c r="F224" s="32">
        <f>IFERROR(IF(OR(A224="",E224=""),"",C224+E224),"")</f>
        <v/>
      </c>
      <c r="G224" s="30" t="n"/>
      <c r="H224" s="31" t="n"/>
    </row>
    <row r="225" ht="20" customHeight="1">
      <c r="A225" s="26" t="n"/>
      <c r="B225" s="27">
        <f>IFERROR(IF(A225="","",VLOOKUP(A225,DATABASE!$A:$B,2,0)),"")</f>
        <v/>
      </c>
      <c r="C225" s="20">
        <f>IFERROR(IF(A225="","",SUMIF(SAVINGS!$A$3:A224,A225,SAVINGS!$E$3:E224)-SUMIF(WITHDRAWALS!$A:$A,A225,WITHDRAWALS!$E:$E)),"")</f>
        <v/>
      </c>
      <c r="D225" s="28">
        <f>IF(A225="","",TODAY())</f>
        <v/>
      </c>
      <c r="E225" s="29" t="n"/>
      <c r="F225" s="20">
        <f>IFERROR(IF(OR(A225="",E225=""),"",C225+E225),"")</f>
        <v/>
      </c>
      <c r="G225" s="30" t="n"/>
      <c r="H225" s="27" t="n"/>
    </row>
    <row r="226" ht="20" customHeight="1">
      <c r="A226" s="26" t="n"/>
      <c r="B226" s="31">
        <f>IFERROR(IF(A226="","",VLOOKUP(A226,DATABASE!$A:$B,2,0)),"")</f>
        <v/>
      </c>
      <c r="C226" s="32">
        <f>IFERROR(IF(A226="","",SUMIF(SAVINGS!$A$3:A225,A226,SAVINGS!$E$3:E225)-SUMIF(WITHDRAWALS!$A:$A,A226,WITHDRAWALS!$E:$E)),"")</f>
        <v/>
      </c>
      <c r="D226" s="33">
        <f>IF(A226="","",TODAY())</f>
        <v/>
      </c>
      <c r="E226" s="29" t="n"/>
      <c r="F226" s="32">
        <f>IFERROR(IF(OR(A226="",E226=""),"",C226+E226),"")</f>
        <v/>
      </c>
      <c r="G226" s="30" t="n"/>
      <c r="H226" s="31" t="n"/>
    </row>
    <row r="227" ht="20" customHeight="1">
      <c r="A227" s="26" t="n"/>
      <c r="B227" s="27">
        <f>IFERROR(IF(A227="","",VLOOKUP(A227,DATABASE!$A:$B,2,0)),"")</f>
        <v/>
      </c>
      <c r="C227" s="20">
        <f>IFERROR(IF(A227="","",SUMIF(SAVINGS!$A$3:A226,A227,SAVINGS!$E$3:E226)-SUMIF(WITHDRAWALS!$A:$A,A227,WITHDRAWALS!$E:$E)),"")</f>
        <v/>
      </c>
      <c r="D227" s="28">
        <f>IF(A227="","",TODAY())</f>
        <v/>
      </c>
      <c r="E227" s="29" t="n"/>
      <c r="F227" s="20">
        <f>IFERROR(IF(OR(A227="",E227=""),"",C227+E227),"")</f>
        <v/>
      </c>
      <c r="G227" s="30" t="n"/>
      <c r="H227" s="27" t="n"/>
    </row>
    <row r="228" ht="20" customHeight="1">
      <c r="A228" s="26" t="n"/>
      <c r="B228" s="31">
        <f>IFERROR(IF(A228="","",VLOOKUP(A228,DATABASE!$A:$B,2,0)),"")</f>
        <v/>
      </c>
      <c r="C228" s="32">
        <f>IFERROR(IF(A228="","",SUMIF(SAVINGS!$A$3:A227,A228,SAVINGS!$E$3:E227)-SUMIF(WITHDRAWALS!$A:$A,A228,WITHDRAWALS!$E:$E)),"")</f>
        <v/>
      </c>
      <c r="D228" s="33">
        <f>IF(A228="","",TODAY())</f>
        <v/>
      </c>
      <c r="E228" s="29" t="n"/>
      <c r="F228" s="32">
        <f>IFERROR(IF(OR(A228="",E228=""),"",C228+E228),"")</f>
        <v/>
      </c>
      <c r="G228" s="30" t="n"/>
      <c r="H228" s="31" t="n"/>
    </row>
    <row r="229" ht="20" customHeight="1">
      <c r="A229" s="26" t="n"/>
      <c r="B229" s="27">
        <f>IFERROR(IF(A229="","",VLOOKUP(A229,DATABASE!$A:$B,2,0)),"")</f>
        <v/>
      </c>
      <c r="C229" s="20">
        <f>IFERROR(IF(A229="","",SUMIF(SAVINGS!$A$3:A228,A229,SAVINGS!$E$3:E228)-SUMIF(WITHDRAWALS!$A:$A,A229,WITHDRAWALS!$E:$E)),"")</f>
        <v/>
      </c>
      <c r="D229" s="28">
        <f>IF(A229="","",TODAY())</f>
        <v/>
      </c>
      <c r="E229" s="29" t="n"/>
      <c r="F229" s="20">
        <f>IFERROR(IF(OR(A229="",E229=""),"",C229+E229),"")</f>
        <v/>
      </c>
      <c r="G229" s="30" t="n"/>
      <c r="H229" s="27" t="n"/>
    </row>
    <row r="230" ht="20" customHeight="1">
      <c r="A230" s="26" t="n"/>
      <c r="B230" s="31">
        <f>IFERROR(IF(A230="","",VLOOKUP(A230,DATABASE!$A:$B,2,0)),"")</f>
        <v/>
      </c>
      <c r="C230" s="32">
        <f>IFERROR(IF(A230="","",SUMIF(SAVINGS!$A$3:A229,A230,SAVINGS!$E$3:E229)-SUMIF(WITHDRAWALS!$A:$A,A230,WITHDRAWALS!$E:$E)),"")</f>
        <v/>
      </c>
      <c r="D230" s="33">
        <f>IF(A230="","",TODAY())</f>
        <v/>
      </c>
      <c r="E230" s="29" t="n"/>
      <c r="F230" s="32">
        <f>IFERROR(IF(OR(A230="",E230=""),"",C230+E230),"")</f>
        <v/>
      </c>
      <c r="G230" s="30" t="n"/>
      <c r="H230" s="31" t="n"/>
    </row>
    <row r="231" ht="20" customHeight="1">
      <c r="A231" s="26" t="n"/>
      <c r="B231" s="27">
        <f>IFERROR(IF(A231="","",VLOOKUP(A231,DATABASE!$A:$B,2,0)),"")</f>
        <v/>
      </c>
      <c r="C231" s="20">
        <f>IFERROR(IF(A231="","",SUMIF(SAVINGS!$A$3:A230,A231,SAVINGS!$E$3:E230)-SUMIF(WITHDRAWALS!$A:$A,A231,WITHDRAWALS!$E:$E)),"")</f>
        <v/>
      </c>
      <c r="D231" s="28">
        <f>IF(A231="","",TODAY())</f>
        <v/>
      </c>
      <c r="E231" s="29" t="n"/>
      <c r="F231" s="20">
        <f>IFERROR(IF(OR(A231="",E231=""),"",C231+E231),"")</f>
        <v/>
      </c>
      <c r="G231" s="30" t="n"/>
      <c r="H231" s="27" t="n"/>
    </row>
    <row r="232" ht="20" customHeight="1">
      <c r="A232" s="26" t="n"/>
      <c r="B232" s="31">
        <f>IFERROR(IF(A232="","",VLOOKUP(A232,DATABASE!$A:$B,2,0)),"")</f>
        <v/>
      </c>
      <c r="C232" s="32">
        <f>IFERROR(IF(A232="","",SUMIF(SAVINGS!$A$3:A231,A232,SAVINGS!$E$3:E231)-SUMIF(WITHDRAWALS!$A:$A,A232,WITHDRAWALS!$E:$E)),"")</f>
        <v/>
      </c>
      <c r="D232" s="33">
        <f>IF(A232="","",TODAY())</f>
        <v/>
      </c>
      <c r="E232" s="29" t="n"/>
      <c r="F232" s="32">
        <f>IFERROR(IF(OR(A232="",E232=""),"",C232+E232),"")</f>
        <v/>
      </c>
      <c r="G232" s="30" t="n"/>
      <c r="H232" s="31" t="n"/>
    </row>
    <row r="233" ht="20" customHeight="1">
      <c r="A233" s="26" t="n"/>
      <c r="B233" s="27">
        <f>IFERROR(IF(A233="","",VLOOKUP(A233,DATABASE!$A:$B,2,0)),"")</f>
        <v/>
      </c>
      <c r="C233" s="20">
        <f>IFERROR(IF(A233="","",SUMIF(SAVINGS!$A$3:A232,A233,SAVINGS!$E$3:E232)-SUMIF(WITHDRAWALS!$A:$A,A233,WITHDRAWALS!$E:$E)),"")</f>
        <v/>
      </c>
      <c r="D233" s="28">
        <f>IF(A233="","",TODAY())</f>
        <v/>
      </c>
      <c r="E233" s="29" t="n"/>
      <c r="F233" s="20">
        <f>IFERROR(IF(OR(A233="",E233=""),"",C233+E233),"")</f>
        <v/>
      </c>
      <c r="G233" s="30" t="n"/>
      <c r="H233" s="27" t="n"/>
    </row>
    <row r="234" ht="20" customHeight="1">
      <c r="A234" s="26" t="n"/>
      <c r="B234" s="31">
        <f>IFERROR(IF(A234="","",VLOOKUP(A234,DATABASE!$A:$B,2,0)),"")</f>
        <v/>
      </c>
      <c r="C234" s="32">
        <f>IFERROR(IF(A234="","",SUMIF(SAVINGS!$A$3:A233,A234,SAVINGS!$E$3:E233)-SUMIF(WITHDRAWALS!$A:$A,A234,WITHDRAWALS!$E:$E)),"")</f>
        <v/>
      </c>
      <c r="D234" s="33">
        <f>IF(A234="","",TODAY())</f>
        <v/>
      </c>
      <c r="E234" s="29" t="n"/>
      <c r="F234" s="32">
        <f>IFERROR(IF(OR(A234="",E234=""),"",C234+E234),"")</f>
        <v/>
      </c>
      <c r="G234" s="30" t="n"/>
      <c r="H234" s="31" t="n"/>
    </row>
    <row r="235" ht="20" customHeight="1">
      <c r="A235" s="26" t="n"/>
      <c r="B235" s="27">
        <f>IFERROR(IF(A235="","",VLOOKUP(A235,DATABASE!$A:$B,2,0)),"")</f>
        <v/>
      </c>
      <c r="C235" s="20">
        <f>IFERROR(IF(A235="","",SUMIF(SAVINGS!$A$3:A234,A235,SAVINGS!$E$3:E234)-SUMIF(WITHDRAWALS!$A:$A,A235,WITHDRAWALS!$E:$E)),"")</f>
        <v/>
      </c>
      <c r="D235" s="28">
        <f>IF(A235="","",TODAY())</f>
        <v/>
      </c>
      <c r="E235" s="29" t="n"/>
      <c r="F235" s="20">
        <f>IFERROR(IF(OR(A235="",E235=""),"",C235+E235),"")</f>
        <v/>
      </c>
      <c r="G235" s="30" t="n"/>
      <c r="H235" s="27" t="n"/>
    </row>
    <row r="236" ht="20" customHeight="1">
      <c r="A236" s="26" t="n"/>
      <c r="B236" s="31">
        <f>IFERROR(IF(A236="","",VLOOKUP(A236,DATABASE!$A:$B,2,0)),"")</f>
        <v/>
      </c>
      <c r="C236" s="32">
        <f>IFERROR(IF(A236="","",SUMIF(SAVINGS!$A$3:A235,A236,SAVINGS!$E$3:E235)-SUMIF(WITHDRAWALS!$A:$A,A236,WITHDRAWALS!$E:$E)),"")</f>
        <v/>
      </c>
      <c r="D236" s="33">
        <f>IF(A236="","",TODAY())</f>
        <v/>
      </c>
      <c r="E236" s="29" t="n"/>
      <c r="F236" s="32">
        <f>IFERROR(IF(OR(A236="",E236=""),"",C236+E236),"")</f>
        <v/>
      </c>
      <c r="G236" s="30" t="n"/>
      <c r="H236" s="31" t="n"/>
    </row>
    <row r="237" ht="20" customHeight="1">
      <c r="A237" s="26" t="n"/>
      <c r="B237" s="27">
        <f>IFERROR(IF(A237="","",VLOOKUP(A237,DATABASE!$A:$B,2,0)),"")</f>
        <v/>
      </c>
      <c r="C237" s="20">
        <f>IFERROR(IF(A237="","",SUMIF(SAVINGS!$A$3:A236,A237,SAVINGS!$E$3:E236)-SUMIF(WITHDRAWALS!$A:$A,A237,WITHDRAWALS!$E:$E)),"")</f>
        <v/>
      </c>
      <c r="D237" s="28">
        <f>IF(A237="","",TODAY())</f>
        <v/>
      </c>
      <c r="E237" s="29" t="n"/>
      <c r="F237" s="20">
        <f>IFERROR(IF(OR(A237="",E237=""),"",C237+E237),"")</f>
        <v/>
      </c>
      <c r="G237" s="30" t="n"/>
      <c r="H237" s="27" t="n"/>
    </row>
    <row r="238" ht="20" customHeight="1">
      <c r="A238" s="26" t="n"/>
      <c r="B238" s="31">
        <f>IFERROR(IF(A238="","",VLOOKUP(A238,DATABASE!$A:$B,2,0)),"")</f>
        <v/>
      </c>
      <c r="C238" s="32">
        <f>IFERROR(IF(A238="","",SUMIF(SAVINGS!$A$3:A237,A238,SAVINGS!$E$3:E237)-SUMIF(WITHDRAWALS!$A:$A,A238,WITHDRAWALS!$E:$E)),"")</f>
        <v/>
      </c>
      <c r="D238" s="33">
        <f>IF(A238="","",TODAY())</f>
        <v/>
      </c>
      <c r="E238" s="29" t="n"/>
      <c r="F238" s="32">
        <f>IFERROR(IF(OR(A238="",E238=""),"",C238+E238),"")</f>
        <v/>
      </c>
      <c r="G238" s="30" t="n"/>
      <c r="H238" s="31" t="n"/>
    </row>
    <row r="239" ht="20" customHeight="1">
      <c r="A239" s="26" t="n"/>
      <c r="B239" s="27">
        <f>IFERROR(IF(A239="","",VLOOKUP(A239,DATABASE!$A:$B,2,0)),"")</f>
        <v/>
      </c>
      <c r="C239" s="20">
        <f>IFERROR(IF(A239="","",SUMIF(SAVINGS!$A$3:A238,A239,SAVINGS!$E$3:E238)-SUMIF(WITHDRAWALS!$A:$A,A239,WITHDRAWALS!$E:$E)),"")</f>
        <v/>
      </c>
      <c r="D239" s="28">
        <f>IF(A239="","",TODAY())</f>
        <v/>
      </c>
      <c r="E239" s="29" t="n"/>
      <c r="F239" s="20">
        <f>IFERROR(IF(OR(A239="",E239=""),"",C239+E239),"")</f>
        <v/>
      </c>
      <c r="G239" s="30" t="n"/>
      <c r="H239" s="27" t="n"/>
    </row>
    <row r="240" ht="20" customHeight="1">
      <c r="A240" s="26" t="n"/>
      <c r="B240" s="31">
        <f>IFERROR(IF(A240="","",VLOOKUP(A240,DATABASE!$A:$B,2,0)),"")</f>
        <v/>
      </c>
      <c r="C240" s="32">
        <f>IFERROR(IF(A240="","",SUMIF(SAVINGS!$A$3:A239,A240,SAVINGS!$E$3:E239)-SUMIF(WITHDRAWALS!$A:$A,A240,WITHDRAWALS!$E:$E)),"")</f>
        <v/>
      </c>
      <c r="D240" s="33">
        <f>IF(A240="","",TODAY())</f>
        <v/>
      </c>
      <c r="E240" s="29" t="n"/>
      <c r="F240" s="32">
        <f>IFERROR(IF(OR(A240="",E240=""),"",C240+E240),"")</f>
        <v/>
      </c>
      <c r="G240" s="30" t="n"/>
      <c r="H240" s="31" t="n"/>
    </row>
    <row r="241" ht="20" customHeight="1">
      <c r="A241" s="26" t="n"/>
      <c r="B241" s="27">
        <f>IFERROR(IF(A241="","",VLOOKUP(A241,DATABASE!$A:$B,2,0)),"")</f>
        <v/>
      </c>
      <c r="C241" s="20">
        <f>IFERROR(IF(A241="","",SUMIF(SAVINGS!$A$3:A240,A241,SAVINGS!$E$3:E240)-SUMIF(WITHDRAWALS!$A:$A,A241,WITHDRAWALS!$E:$E)),"")</f>
        <v/>
      </c>
      <c r="D241" s="28">
        <f>IF(A241="","",TODAY())</f>
        <v/>
      </c>
      <c r="E241" s="29" t="n"/>
      <c r="F241" s="20">
        <f>IFERROR(IF(OR(A241="",E241=""),"",C241+E241),"")</f>
        <v/>
      </c>
      <c r="G241" s="30" t="n"/>
      <c r="H241" s="27" t="n"/>
    </row>
    <row r="242" ht="20" customHeight="1">
      <c r="A242" s="26" t="n"/>
      <c r="B242" s="31">
        <f>IFERROR(IF(A242="","",VLOOKUP(A242,DATABASE!$A:$B,2,0)),"")</f>
        <v/>
      </c>
      <c r="C242" s="32">
        <f>IFERROR(IF(A242="","",SUMIF(SAVINGS!$A$3:A241,A242,SAVINGS!$E$3:E241)-SUMIF(WITHDRAWALS!$A:$A,A242,WITHDRAWALS!$E:$E)),"")</f>
        <v/>
      </c>
      <c r="D242" s="33">
        <f>IF(A242="","",TODAY())</f>
        <v/>
      </c>
      <c r="E242" s="29" t="n"/>
      <c r="F242" s="32">
        <f>IFERROR(IF(OR(A242="",E242=""),"",C242+E242),"")</f>
        <v/>
      </c>
      <c r="G242" s="30" t="n"/>
      <c r="H242" s="31" t="n"/>
    </row>
    <row r="243" ht="20" customHeight="1">
      <c r="A243" s="26" t="n"/>
      <c r="B243" s="27">
        <f>IFERROR(IF(A243="","",VLOOKUP(A243,DATABASE!$A:$B,2,0)),"")</f>
        <v/>
      </c>
      <c r="C243" s="20">
        <f>IFERROR(IF(A243="","",SUMIF(SAVINGS!$A$3:A242,A243,SAVINGS!$E$3:E242)-SUMIF(WITHDRAWALS!$A:$A,A243,WITHDRAWALS!$E:$E)),"")</f>
        <v/>
      </c>
      <c r="D243" s="28">
        <f>IF(A243="","",TODAY())</f>
        <v/>
      </c>
      <c r="E243" s="29" t="n"/>
      <c r="F243" s="20">
        <f>IFERROR(IF(OR(A243="",E243=""),"",C243+E243),"")</f>
        <v/>
      </c>
      <c r="G243" s="30" t="n"/>
      <c r="H243" s="27" t="n"/>
    </row>
    <row r="244" ht="20" customHeight="1">
      <c r="A244" s="26" t="n"/>
      <c r="B244" s="31">
        <f>IFERROR(IF(A244="","",VLOOKUP(A244,DATABASE!$A:$B,2,0)),"")</f>
        <v/>
      </c>
      <c r="C244" s="32">
        <f>IFERROR(IF(A244="","",SUMIF(SAVINGS!$A$3:A243,A244,SAVINGS!$E$3:E243)-SUMIF(WITHDRAWALS!$A:$A,A244,WITHDRAWALS!$E:$E)),"")</f>
        <v/>
      </c>
      <c r="D244" s="33">
        <f>IF(A244="","",TODAY())</f>
        <v/>
      </c>
      <c r="E244" s="29" t="n"/>
      <c r="F244" s="32">
        <f>IFERROR(IF(OR(A244="",E244=""),"",C244+E244),"")</f>
        <v/>
      </c>
      <c r="G244" s="30" t="n"/>
      <c r="H244" s="31" t="n"/>
    </row>
    <row r="245" ht="20" customHeight="1">
      <c r="A245" s="26" t="n"/>
      <c r="B245" s="27">
        <f>IFERROR(IF(A245="","",VLOOKUP(A245,DATABASE!$A:$B,2,0)),"")</f>
        <v/>
      </c>
      <c r="C245" s="20">
        <f>IFERROR(IF(A245="","",SUMIF(SAVINGS!$A$3:A244,A245,SAVINGS!$E$3:E244)-SUMIF(WITHDRAWALS!$A:$A,A245,WITHDRAWALS!$E:$E)),"")</f>
        <v/>
      </c>
      <c r="D245" s="28">
        <f>IF(A245="","",TODAY())</f>
        <v/>
      </c>
      <c r="E245" s="29" t="n"/>
      <c r="F245" s="20">
        <f>IFERROR(IF(OR(A245="",E245=""),"",C245+E245),"")</f>
        <v/>
      </c>
      <c r="G245" s="30" t="n"/>
      <c r="H245" s="27" t="n"/>
    </row>
    <row r="246" ht="20" customHeight="1">
      <c r="A246" s="26" t="n"/>
      <c r="B246" s="31">
        <f>IFERROR(IF(A246="","",VLOOKUP(A246,DATABASE!$A:$B,2,0)),"")</f>
        <v/>
      </c>
      <c r="C246" s="32">
        <f>IFERROR(IF(A246="","",SUMIF(SAVINGS!$A$3:A245,A246,SAVINGS!$E$3:E245)-SUMIF(WITHDRAWALS!$A:$A,A246,WITHDRAWALS!$E:$E)),"")</f>
        <v/>
      </c>
      <c r="D246" s="33">
        <f>IF(A246="","",TODAY())</f>
        <v/>
      </c>
      <c r="E246" s="29" t="n"/>
      <c r="F246" s="32">
        <f>IFERROR(IF(OR(A246="",E246=""),"",C246+E246),"")</f>
        <v/>
      </c>
      <c r="G246" s="30" t="n"/>
      <c r="H246" s="31" t="n"/>
    </row>
    <row r="247" ht="20" customHeight="1">
      <c r="A247" s="26" t="n"/>
      <c r="B247" s="27">
        <f>IFERROR(IF(A247="","",VLOOKUP(A247,DATABASE!$A:$B,2,0)),"")</f>
        <v/>
      </c>
      <c r="C247" s="20">
        <f>IFERROR(IF(A247="","",SUMIF(SAVINGS!$A$3:A246,A247,SAVINGS!$E$3:E246)-SUMIF(WITHDRAWALS!$A:$A,A247,WITHDRAWALS!$E:$E)),"")</f>
        <v/>
      </c>
      <c r="D247" s="28">
        <f>IF(A247="","",TODAY())</f>
        <v/>
      </c>
      <c r="E247" s="29" t="n"/>
      <c r="F247" s="20">
        <f>IFERROR(IF(OR(A247="",E247=""),"",C247+E247),"")</f>
        <v/>
      </c>
      <c r="G247" s="30" t="n"/>
      <c r="H247" s="27" t="n"/>
    </row>
    <row r="248" ht="20" customHeight="1">
      <c r="A248" s="26" t="n"/>
      <c r="B248" s="31">
        <f>IFERROR(IF(A248="","",VLOOKUP(A248,DATABASE!$A:$B,2,0)),"")</f>
        <v/>
      </c>
      <c r="C248" s="32">
        <f>IFERROR(IF(A248="","",SUMIF(SAVINGS!$A$3:A247,A248,SAVINGS!$E$3:E247)-SUMIF(WITHDRAWALS!$A:$A,A248,WITHDRAWALS!$E:$E)),"")</f>
        <v/>
      </c>
      <c r="D248" s="33">
        <f>IF(A248="","",TODAY())</f>
        <v/>
      </c>
      <c r="E248" s="29" t="n"/>
      <c r="F248" s="32">
        <f>IFERROR(IF(OR(A248="",E248=""),"",C248+E248),"")</f>
        <v/>
      </c>
      <c r="G248" s="30" t="n"/>
      <c r="H248" s="31" t="n"/>
    </row>
    <row r="249" ht="20" customHeight="1">
      <c r="A249" s="26" t="n"/>
      <c r="B249" s="27">
        <f>IFERROR(IF(A249="","",VLOOKUP(A249,DATABASE!$A:$B,2,0)),"")</f>
        <v/>
      </c>
      <c r="C249" s="20">
        <f>IFERROR(IF(A249="","",SUMIF(SAVINGS!$A$3:A248,A249,SAVINGS!$E$3:E248)-SUMIF(WITHDRAWALS!$A:$A,A249,WITHDRAWALS!$E:$E)),"")</f>
        <v/>
      </c>
      <c r="D249" s="28">
        <f>IF(A249="","",TODAY())</f>
        <v/>
      </c>
      <c r="E249" s="29" t="n"/>
      <c r="F249" s="20">
        <f>IFERROR(IF(OR(A249="",E249=""),"",C249+E249),"")</f>
        <v/>
      </c>
      <c r="G249" s="30" t="n"/>
      <c r="H249" s="27" t="n"/>
    </row>
    <row r="250" ht="20" customHeight="1">
      <c r="A250" s="26" t="n"/>
      <c r="B250" s="31">
        <f>IFERROR(IF(A250="","",VLOOKUP(A250,DATABASE!$A:$B,2,0)),"")</f>
        <v/>
      </c>
      <c r="C250" s="32">
        <f>IFERROR(IF(A250="","",SUMIF(SAVINGS!$A$3:A249,A250,SAVINGS!$E$3:E249)-SUMIF(WITHDRAWALS!$A:$A,A250,WITHDRAWALS!$E:$E)),"")</f>
        <v/>
      </c>
      <c r="D250" s="33">
        <f>IF(A250="","",TODAY())</f>
        <v/>
      </c>
      <c r="E250" s="29" t="n"/>
      <c r="F250" s="32">
        <f>IFERROR(IF(OR(A250="",E250=""),"",C250+E250),"")</f>
        <v/>
      </c>
      <c r="G250" s="30" t="n"/>
      <c r="H250" s="31" t="n"/>
    </row>
    <row r="251" ht="20" customHeight="1">
      <c r="A251" s="26" t="n"/>
      <c r="B251" s="27">
        <f>IFERROR(IF(A251="","",VLOOKUP(A251,DATABASE!$A:$B,2,0)),"")</f>
        <v/>
      </c>
      <c r="C251" s="20">
        <f>IFERROR(IF(A251="","",SUMIF(SAVINGS!$A$3:A250,A251,SAVINGS!$E$3:E250)-SUMIF(WITHDRAWALS!$A:$A,A251,WITHDRAWALS!$E:$E)),"")</f>
        <v/>
      </c>
      <c r="D251" s="28">
        <f>IF(A251="","",TODAY())</f>
        <v/>
      </c>
      <c r="E251" s="29" t="n"/>
      <c r="F251" s="20">
        <f>IFERROR(IF(OR(A251="",E251=""),"",C251+E251),"")</f>
        <v/>
      </c>
      <c r="G251" s="30" t="n"/>
      <c r="H251" s="27" t="n"/>
    </row>
    <row r="252" ht="20" customHeight="1">
      <c r="A252" s="26" t="n"/>
      <c r="B252" s="31">
        <f>IFERROR(IF(A252="","",VLOOKUP(A252,DATABASE!$A:$B,2,0)),"")</f>
        <v/>
      </c>
      <c r="C252" s="32">
        <f>IFERROR(IF(A252="","",SUMIF(SAVINGS!$A$3:A251,A252,SAVINGS!$E$3:E251)-SUMIF(WITHDRAWALS!$A:$A,A252,WITHDRAWALS!$E:$E)),"")</f>
        <v/>
      </c>
      <c r="D252" s="33">
        <f>IF(A252="","",TODAY())</f>
        <v/>
      </c>
      <c r="E252" s="29" t="n"/>
      <c r="F252" s="32">
        <f>IFERROR(IF(OR(A252="",E252=""),"",C252+E252),"")</f>
        <v/>
      </c>
      <c r="G252" s="30" t="n"/>
      <c r="H252" s="31" t="n"/>
    </row>
    <row r="253" ht="20" customHeight="1">
      <c r="A253" s="26" t="n"/>
      <c r="B253" s="27">
        <f>IFERROR(IF(A253="","",VLOOKUP(A253,DATABASE!$A:$B,2,0)),"")</f>
        <v/>
      </c>
      <c r="C253" s="20">
        <f>IFERROR(IF(A253="","",SUMIF(SAVINGS!$A$3:A252,A253,SAVINGS!$E$3:E252)-SUMIF(WITHDRAWALS!$A:$A,A253,WITHDRAWALS!$E:$E)),"")</f>
        <v/>
      </c>
      <c r="D253" s="28">
        <f>IF(A253="","",TODAY())</f>
        <v/>
      </c>
      <c r="E253" s="29" t="n"/>
      <c r="F253" s="20">
        <f>IFERROR(IF(OR(A253="",E253=""),"",C253+E253),"")</f>
        <v/>
      </c>
      <c r="G253" s="30" t="n"/>
      <c r="H253" s="27" t="n"/>
    </row>
    <row r="254" ht="20" customHeight="1">
      <c r="A254" s="26" t="n"/>
      <c r="B254" s="31">
        <f>IFERROR(IF(A254="","",VLOOKUP(A254,DATABASE!$A:$B,2,0)),"")</f>
        <v/>
      </c>
      <c r="C254" s="32">
        <f>IFERROR(IF(A254="","",SUMIF(SAVINGS!$A$3:A253,A254,SAVINGS!$E$3:E253)-SUMIF(WITHDRAWALS!$A:$A,A254,WITHDRAWALS!$E:$E)),"")</f>
        <v/>
      </c>
      <c r="D254" s="33">
        <f>IF(A254="","",TODAY())</f>
        <v/>
      </c>
      <c r="E254" s="29" t="n"/>
      <c r="F254" s="32">
        <f>IFERROR(IF(OR(A254="",E254=""),"",C254+E254),"")</f>
        <v/>
      </c>
      <c r="G254" s="30" t="n"/>
      <c r="H254" s="31" t="n"/>
    </row>
    <row r="255" ht="20" customHeight="1">
      <c r="A255" s="26" t="n"/>
      <c r="B255" s="27">
        <f>IFERROR(IF(A255="","",VLOOKUP(A255,DATABASE!$A:$B,2,0)),"")</f>
        <v/>
      </c>
      <c r="C255" s="20">
        <f>IFERROR(IF(A255="","",SUMIF(SAVINGS!$A$3:A254,A255,SAVINGS!$E$3:E254)-SUMIF(WITHDRAWALS!$A:$A,A255,WITHDRAWALS!$E:$E)),"")</f>
        <v/>
      </c>
      <c r="D255" s="28">
        <f>IF(A255="","",TODAY())</f>
        <v/>
      </c>
      <c r="E255" s="29" t="n"/>
      <c r="F255" s="20">
        <f>IFERROR(IF(OR(A255="",E255=""),"",C255+E255),"")</f>
        <v/>
      </c>
      <c r="G255" s="30" t="n"/>
      <c r="H255" s="27" t="n"/>
    </row>
    <row r="256" ht="20" customHeight="1">
      <c r="A256" s="26" t="n"/>
      <c r="B256" s="31">
        <f>IFERROR(IF(A256="","",VLOOKUP(A256,DATABASE!$A:$B,2,0)),"")</f>
        <v/>
      </c>
      <c r="C256" s="32">
        <f>IFERROR(IF(A256="","",SUMIF(SAVINGS!$A$3:A255,A256,SAVINGS!$E$3:E255)-SUMIF(WITHDRAWALS!$A:$A,A256,WITHDRAWALS!$E:$E)),"")</f>
        <v/>
      </c>
      <c r="D256" s="33">
        <f>IF(A256="","",TODAY())</f>
        <v/>
      </c>
      <c r="E256" s="29" t="n"/>
      <c r="F256" s="32">
        <f>IFERROR(IF(OR(A256="",E256=""),"",C256+E256),"")</f>
        <v/>
      </c>
      <c r="G256" s="30" t="n"/>
      <c r="H256" s="31" t="n"/>
    </row>
    <row r="257" ht="20" customHeight="1">
      <c r="A257" s="26" t="n"/>
      <c r="B257" s="27">
        <f>IFERROR(IF(A257="","",VLOOKUP(A257,DATABASE!$A:$B,2,0)),"")</f>
        <v/>
      </c>
      <c r="C257" s="20">
        <f>IFERROR(IF(A257="","",SUMIF(SAVINGS!$A$3:A256,A257,SAVINGS!$E$3:E256)-SUMIF(WITHDRAWALS!$A:$A,A257,WITHDRAWALS!$E:$E)),"")</f>
        <v/>
      </c>
      <c r="D257" s="28">
        <f>IF(A257="","",TODAY())</f>
        <v/>
      </c>
      <c r="E257" s="29" t="n"/>
      <c r="F257" s="20">
        <f>IFERROR(IF(OR(A257="",E257=""),"",C257+E257),"")</f>
        <v/>
      </c>
      <c r="G257" s="30" t="n"/>
      <c r="H257" s="27" t="n"/>
    </row>
    <row r="258" ht="20" customHeight="1">
      <c r="A258" s="26" t="n"/>
      <c r="B258" s="31">
        <f>IFERROR(IF(A258="","",VLOOKUP(A258,DATABASE!$A:$B,2,0)),"")</f>
        <v/>
      </c>
      <c r="C258" s="32">
        <f>IFERROR(IF(A258="","",SUMIF(SAVINGS!$A$3:A257,A258,SAVINGS!$E$3:E257)-SUMIF(WITHDRAWALS!$A:$A,A258,WITHDRAWALS!$E:$E)),"")</f>
        <v/>
      </c>
      <c r="D258" s="33">
        <f>IF(A258="","",TODAY())</f>
        <v/>
      </c>
      <c r="E258" s="29" t="n"/>
      <c r="F258" s="32">
        <f>IFERROR(IF(OR(A258="",E258=""),"",C258+E258),"")</f>
        <v/>
      </c>
      <c r="G258" s="30" t="n"/>
      <c r="H258" s="31" t="n"/>
    </row>
    <row r="259" ht="20" customHeight="1">
      <c r="A259" s="26" t="n"/>
      <c r="B259" s="27">
        <f>IFERROR(IF(A259="","",VLOOKUP(A259,DATABASE!$A:$B,2,0)),"")</f>
        <v/>
      </c>
      <c r="C259" s="20">
        <f>IFERROR(IF(A259="","",SUMIF(SAVINGS!$A$3:A258,A259,SAVINGS!$E$3:E258)-SUMIF(WITHDRAWALS!$A:$A,A259,WITHDRAWALS!$E:$E)),"")</f>
        <v/>
      </c>
      <c r="D259" s="28">
        <f>IF(A259="","",TODAY())</f>
        <v/>
      </c>
      <c r="E259" s="29" t="n"/>
      <c r="F259" s="20">
        <f>IFERROR(IF(OR(A259="",E259=""),"",C259+E259),"")</f>
        <v/>
      </c>
      <c r="G259" s="30" t="n"/>
      <c r="H259" s="27" t="n"/>
    </row>
    <row r="260" ht="20" customHeight="1">
      <c r="A260" s="26" t="n"/>
      <c r="B260" s="31">
        <f>IFERROR(IF(A260="","",VLOOKUP(A260,DATABASE!$A:$B,2,0)),"")</f>
        <v/>
      </c>
      <c r="C260" s="32">
        <f>IFERROR(IF(A260="","",SUMIF(SAVINGS!$A$3:A259,A260,SAVINGS!$E$3:E259)-SUMIF(WITHDRAWALS!$A:$A,A260,WITHDRAWALS!$E:$E)),"")</f>
        <v/>
      </c>
      <c r="D260" s="33">
        <f>IF(A260="","",TODAY())</f>
        <v/>
      </c>
      <c r="E260" s="29" t="n"/>
      <c r="F260" s="32">
        <f>IFERROR(IF(OR(A260="",E260=""),"",C260+E260),"")</f>
        <v/>
      </c>
      <c r="G260" s="30" t="n"/>
      <c r="H260" s="31" t="n"/>
    </row>
    <row r="261" ht="20" customHeight="1">
      <c r="A261" s="26" t="n"/>
      <c r="B261" s="27">
        <f>IFERROR(IF(A261="","",VLOOKUP(A261,DATABASE!$A:$B,2,0)),"")</f>
        <v/>
      </c>
      <c r="C261" s="20">
        <f>IFERROR(IF(A261="","",SUMIF(SAVINGS!$A$3:A260,A261,SAVINGS!$E$3:E260)-SUMIF(WITHDRAWALS!$A:$A,A261,WITHDRAWALS!$E:$E)),"")</f>
        <v/>
      </c>
      <c r="D261" s="28">
        <f>IF(A261="","",TODAY())</f>
        <v/>
      </c>
      <c r="E261" s="29" t="n"/>
      <c r="F261" s="20">
        <f>IFERROR(IF(OR(A261="",E261=""),"",C261+E261),"")</f>
        <v/>
      </c>
      <c r="G261" s="30" t="n"/>
      <c r="H261" s="27" t="n"/>
    </row>
    <row r="262" ht="20" customHeight="1">
      <c r="A262" s="26" t="n"/>
      <c r="B262" s="31">
        <f>IFERROR(IF(A262="","",VLOOKUP(A262,DATABASE!$A:$B,2,0)),"")</f>
        <v/>
      </c>
      <c r="C262" s="32">
        <f>IFERROR(IF(A262="","",SUMIF(SAVINGS!$A$3:A261,A262,SAVINGS!$E$3:E261)-SUMIF(WITHDRAWALS!$A:$A,A262,WITHDRAWALS!$E:$E)),"")</f>
        <v/>
      </c>
      <c r="D262" s="33">
        <f>IF(A262="","",TODAY())</f>
        <v/>
      </c>
      <c r="E262" s="29" t="n"/>
      <c r="F262" s="32">
        <f>IFERROR(IF(OR(A262="",E262=""),"",C262+E262),"")</f>
        <v/>
      </c>
      <c r="G262" s="30" t="n"/>
      <c r="H262" s="31" t="n"/>
    </row>
    <row r="263" ht="20" customHeight="1">
      <c r="A263" s="26" t="n"/>
      <c r="B263" s="27">
        <f>IFERROR(IF(A263="","",VLOOKUP(A263,DATABASE!$A:$B,2,0)),"")</f>
        <v/>
      </c>
      <c r="C263" s="20">
        <f>IFERROR(IF(A263="","",SUMIF(SAVINGS!$A$3:A262,A263,SAVINGS!$E$3:E262)-SUMIF(WITHDRAWALS!$A:$A,A263,WITHDRAWALS!$E:$E)),"")</f>
        <v/>
      </c>
      <c r="D263" s="28">
        <f>IF(A263="","",TODAY())</f>
        <v/>
      </c>
      <c r="E263" s="29" t="n"/>
      <c r="F263" s="20">
        <f>IFERROR(IF(OR(A263="",E263=""),"",C263+E263),"")</f>
        <v/>
      </c>
      <c r="G263" s="30" t="n"/>
      <c r="H263" s="27" t="n"/>
    </row>
    <row r="264" ht="20" customHeight="1">
      <c r="A264" s="26" t="n"/>
      <c r="B264" s="31">
        <f>IFERROR(IF(A264="","",VLOOKUP(A264,DATABASE!$A:$B,2,0)),"")</f>
        <v/>
      </c>
      <c r="C264" s="32">
        <f>IFERROR(IF(A264="","",SUMIF(SAVINGS!$A$3:A263,A264,SAVINGS!$E$3:E263)-SUMIF(WITHDRAWALS!$A:$A,A264,WITHDRAWALS!$E:$E)),"")</f>
        <v/>
      </c>
      <c r="D264" s="33">
        <f>IF(A264="","",TODAY())</f>
        <v/>
      </c>
      <c r="E264" s="29" t="n"/>
      <c r="F264" s="32">
        <f>IFERROR(IF(OR(A264="",E264=""),"",C264+E264),"")</f>
        <v/>
      </c>
      <c r="G264" s="30" t="n"/>
      <c r="H264" s="31" t="n"/>
    </row>
    <row r="265" ht="20" customHeight="1">
      <c r="A265" s="26" t="n"/>
      <c r="B265" s="27">
        <f>IFERROR(IF(A265="","",VLOOKUP(A265,DATABASE!$A:$B,2,0)),"")</f>
        <v/>
      </c>
      <c r="C265" s="20">
        <f>IFERROR(IF(A265="","",SUMIF(SAVINGS!$A$3:A264,A265,SAVINGS!$E$3:E264)-SUMIF(WITHDRAWALS!$A:$A,A265,WITHDRAWALS!$E:$E)),"")</f>
        <v/>
      </c>
      <c r="D265" s="28">
        <f>IF(A265="","",TODAY())</f>
        <v/>
      </c>
      <c r="E265" s="29" t="n"/>
      <c r="F265" s="20">
        <f>IFERROR(IF(OR(A265="",E265=""),"",C265+E265),"")</f>
        <v/>
      </c>
      <c r="G265" s="30" t="n"/>
      <c r="H265" s="27" t="n"/>
    </row>
    <row r="266" ht="20" customHeight="1">
      <c r="A266" s="26" t="n"/>
      <c r="B266" s="31">
        <f>IFERROR(IF(A266="","",VLOOKUP(A266,DATABASE!$A:$B,2,0)),"")</f>
        <v/>
      </c>
      <c r="C266" s="32">
        <f>IFERROR(IF(A266="","",SUMIF(SAVINGS!$A$3:A265,A266,SAVINGS!$E$3:E265)-SUMIF(WITHDRAWALS!$A:$A,A266,WITHDRAWALS!$E:$E)),"")</f>
        <v/>
      </c>
      <c r="D266" s="33">
        <f>IF(A266="","",TODAY())</f>
        <v/>
      </c>
      <c r="E266" s="29" t="n"/>
      <c r="F266" s="32">
        <f>IFERROR(IF(OR(A266="",E266=""),"",C266+E266),"")</f>
        <v/>
      </c>
      <c r="G266" s="30" t="n"/>
      <c r="H266" s="31" t="n"/>
    </row>
    <row r="267" ht="20" customHeight="1">
      <c r="A267" s="26" t="n"/>
      <c r="B267" s="27">
        <f>IFERROR(IF(A267="","",VLOOKUP(A267,DATABASE!$A:$B,2,0)),"")</f>
        <v/>
      </c>
      <c r="C267" s="20">
        <f>IFERROR(IF(A267="","",SUMIF(SAVINGS!$A$3:A266,A267,SAVINGS!$E$3:E266)-SUMIF(WITHDRAWALS!$A:$A,A267,WITHDRAWALS!$E:$E)),"")</f>
        <v/>
      </c>
      <c r="D267" s="28">
        <f>IF(A267="","",TODAY())</f>
        <v/>
      </c>
      <c r="E267" s="29" t="n"/>
      <c r="F267" s="20">
        <f>IFERROR(IF(OR(A267="",E267=""),"",C267+E267),"")</f>
        <v/>
      </c>
      <c r="G267" s="30" t="n"/>
      <c r="H267" s="27" t="n"/>
    </row>
    <row r="268" ht="20" customHeight="1">
      <c r="A268" s="26" t="n"/>
      <c r="B268" s="31">
        <f>IFERROR(IF(A268="","",VLOOKUP(A268,DATABASE!$A:$B,2,0)),"")</f>
        <v/>
      </c>
      <c r="C268" s="32">
        <f>IFERROR(IF(A268="","",SUMIF(SAVINGS!$A$3:A267,A268,SAVINGS!$E$3:E267)-SUMIF(WITHDRAWALS!$A:$A,A268,WITHDRAWALS!$E:$E)),"")</f>
        <v/>
      </c>
      <c r="D268" s="33">
        <f>IF(A268="","",TODAY())</f>
        <v/>
      </c>
      <c r="E268" s="29" t="n"/>
      <c r="F268" s="32">
        <f>IFERROR(IF(OR(A268="",E268=""),"",C268+E268),"")</f>
        <v/>
      </c>
      <c r="G268" s="30" t="n"/>
      <c r="H268" s="31" t="n"/>
    </row>
    <row r="269" ht="20" customHeight="1">
      <c r="A269" s="26" t="n"/>
      <c r="B269" s="27">
        <f>IFERROR(IF(A269="","",VLOOKUP(A269,DATABASE!$A:$B,2,0)),"")</f>
        <v/>
      </c>
      <c r="C269" s="20">
        <f>IFERROR(IF(A269="","",SUMIF(SAVINGS!$A$3:A268,A269,SAVINGS!$E$3:E268)-SUMIF(WITHDRAWALS!$A:$A,A269,WITHDRAWALS!$E:$E)),"")</f>
        <v/>
      </c>
      <c r="D269" s="28">
        <f>IF(A269="","",TODAY())</f>
        <v/>
      </c>
      <c r="E269" s="29" t="n"/>
      <c r="F269" s="20">
        <f>IFERROR(IF(OR(A269="",E269=""),"",C269+E269),"")</f>
        <v/>
      </c>
      <c r="G269" s="30" t="n"/>
      <c r="H269" s="27" t="n"/>
    </row>
    <row r="270" ht="20" customHeight="1">
      <c r="A270" s="26" t="n"/>
      <c r="B270" s="31">
        <f>IFERROR(IF(A270="","",VLOOKUP(A270,DATABASE!$A:$B,2,0)),"")</f>
        <v/>
      </c>
      <c r="C270" s="32">
        <f>IFERROR(IF(A270="","",SUMIF(SAVINGS!$A$3:A269,A270,SAVINGS!$E$3:E269)-SUMIF(WITHDRAWALS!$A:$A,A270,WITHDRAWALS!$E:$E)),"")</f>
        <v/>
      </c>
      <c r="D270" s="33">
        <f>IF(A270="","",TODAY())</f>
        <v/>
      </c>
      <c r="E270" s="29" t="n"/>
      <c r="F270" s="32">
        <f>IFERROR(IF(OR(A270="",E270=""),"",C270+E270),"")</f>
        <v/>
      </c>
      <c r="G270" s="30" t="n"/>
      <c r="H270" s="31" t="n"/>
    </row>
    <row r="271" ht="20" customHeight="1">
      <c r="A271" s="26" t="n"/>
      <c r="B271" s="27">
        <f>IFERROR(IF(A271="","",VLOOKUP(A271,DATABASE!$A:$B,2,0)),"")</f>
        <v/>
      </c>
      <c r="C271" s="20">
        <f>IFERROR(IF(A271="","",SUMIF(SAVINGS!$A$3:A270,A271,SAVINGS!$E$3:E270)-SUMIF(WITHDRAWALS!$A:$A,A271,WITHDRAWALS!$E:$E)),"")</f>
        <v/>
      </c>
      <c r="D271" s="28">
        <f>IF(A271="","",TODAY())</f>
        <v/>
      </c>
      <c r="E271" s="29" t="n"/>
      <c r="F271" s="20">
        <f>IFERROR(IF(OR(A271="",E271=""),"",C271+E271),"")</f>
        <v/>
      </c>
      <c r="G271" s="30" t="n"/>
      <c r="H271" s="27" t="n"/>
    </row>
    <row r="272" ht="20" customHeight="1">
      <c r="A272" s="26" t="n"/>
      <c r="B272" s="31">
        <f>IFERROR(IF(A272="","",VLOOKUP(A272,DATABASE!$A:$B,2,0)),"")</f>
        <v/>
      </c>
      <c r="C272" s="32">
        <f>IFERROR(IF(A272="","",SUMIF(SAVINGS!$A$3:A271,A272,SAVINGS!$E$3:E271)-SUMIF(WITHDRAWALS!$A:$A,A272,WITHDRAWALS!$E:$E)),"")</f>
        <v/>
      </c>
      <c r="D272" s="33">
        <f>IF(A272="","",TODAY())</f>
        <v/>
      </c>
      <c r="E272" s="29" t="n"/>
      <c r="F272" s="32">
        <f>IFERROR(IF(OR(A272="",E272=""),"",C272+E272),"")</f>
        <v/>
      </c>
      <c r="G272" s="30" t="n"/>
      <c r="H272" s="31" t="n"/>
    </row>
    <row r="273" ht="20" customHeight="1">
      <c r="A273" s="26" t="n"/>
      <c r="B273" s="27">
        <f>IFERROR(IF(A273="","",VLOOKUP(A273,DATABASE!$A:$B,2,0)),"")</f>
        <v/>
      </c>
      <c r="C273" s="20">
        <f>IFERROR(IF(A273="","",SUMIF(SAVINGS!$A$3:A272,A273,SAVINGS!$E$3:E272)-SUMIF(WITHDRAWALS!$A:$A,A273,WITHDRAWALS!$E:$E)),"")</f>
        <v/>
      </c>
      <c r="D273" s="28">
        <f>IF(A273="","",TODAY())</f>
        <v/>
      </c>
      <c r="E273" s="29" t="n"/>
      <c r="F273" s="20">
        <f>IFERROR(IF(OR(A273="",E273=""),"",C273+E273),"")</f>
        <v/>
      </c>
      <c r="G273" s="30" t="n"/>
      <c r="H273" s="27" t="n"/>
    </row>
    <row r="274" ht="20" customHeight="1">
      <c r="A274" s="26" t="n"/>
      <c r="B274" s="31">
        <f>IFERROR(IF(A274="","",VLOOKUP(A274,DATABASE!$A:$B,2,0)),"")</f>
        <v/>
      </c>
      <c r="C274" s="32">
        <f>IFERROR(IF(A274="","",SUMIF(SAVINGS!$A$3:A273,A274,SAVINGS!$E$3:E273)-SUMIF(WITHDRAWALS!$A:$A,A274,WITHDRAWALS!$E:$E)),"")</f>
        <v/>
      </c>
      <c r="D274" s="33">
        <f>IF(A274="","",TODAY())</f>
        <v/>
      </c>
      <c r="E274" s="29" t="n"/>
      <c r="F274" s="32">
        <f>IFERROR(IF(OR(A274="",E274=""),"",C274+E274),"")</f>
        <v/>
      </c>
      <c r="G274" s="30" t="n"/>
      <c r="H274" s="31" t="n"/>
    </row>
    <row r="275" ht="20" customHeight="1">
      <c r="A275" s="26" t="n"/>
      <c r="B275" s="27">
        <f>IFERROR(IF(A275="","",VLOOKUP(A275,DATABASE!$A:$B,2,0)),"")</f>
        <v/>
      </c>
      <c r="C275" s="20">
        <f>IFERROR(IF(A275="","",SUMIF(SAVINGS!$A$3:A274,A275,SAVINGS!$E$3:E274)-SUMIF(WITHDRAWALS!$A:$A,A275,WITHDRAWALS!$E:$E)),"")</f>
        <v/>
      </c>
      <c r="D275" s="28">
        <f>IF(A275="","",TODAY())</f>
        <v/>
      </c>
      <c r="E275" s="29" t="n"/>
      <c r="F275" s="20">
        <f>IFERROR(IF(OR(A275="",E275=""),"",C275+E275),"")</f>
        <v/>
      </c>
      <c r="G275" s="30" t="n"/>
      <c r="H275" s="27" t="n"/>
    </row>
    <row r="276" ht="20" customHeight="1">
      <c r="A276" s="26" t="n"/>
      <c r="B276" s="31">
        <f>IFERROR(IF(A276="","",VLOOKUP(A276,DATABASE!$A:$B,2,0)),"")</f>
        <v/>
      </c>
      <c r="C276" s="32">
        <f>IFERROR(IF(A276="","",SUMIF(SAVINGS!$A$3:A275,A276,SAVINGS!$E$3:E275)-SUMIF(WITHDRAWALS!$A:$A,A276,WITHDRAWALS!$E:$E)),"")</f>
        <v/>
      </c>
      <c r="D276" s="33">
        <f>IF(A276="","",TODAY())</f>
        <v/>
      </c>
      <c r="E276" s="29" t="n"/>
      <c r="F276" s="32">
        <f>IFERROR(IF(OR(A276="",E276=""),"",C276+E276),"")</f>
        <v/>
      </c>
      <c r="G276" s="30" t="n"/>
      <c r="H276" s="31" t="n"/>
    </row>
    <row r="277" ht="20" customHeight="1">
      <c r="A277" s="26" t="n"/>
      <c r="B277" s="27">
        <f>IFERROR(IF(A277="","",VLOOKUP(A277,DATABASE!$A:$B,2,0)),"")</f>
        <v/>
      </c>
      <c r="C277" s="20">
        <f>IFERROR(IF(A277="","",SUMIF(SAVINGS!$A$3:A276,A277,SAVINGS!$E$3:E276)-SUMIF(WITHDRAWALS!$A:$A,A277,WITHDRAWALS!$E:$E)),"")</f>
        <v/>
      </c>
      <c r="D277" s="28">
        <f>IF(A277="","",TODAY())</f>
        <v/>
      </c>
      <c r="E277" s="29" t="n"/>
      <c r="F277" s="20">
        <f>IFERROR(IF(OR(A277="",E277=""),"",C277+E277),"")</f>
        <v/>
      </c>
      <c r="G277" s="30" t="n"/>
      <c r="H277" s="27" t="n"/>
    </row>
    <row r="278" ht="20" customHeight="1">
      <c r="A278" s="26" t="n"/>
      <c r="B278" s="31">
        <f>IFERROR(IF(A278="","",VLOOKUP(A278,DATABASE!$A:$B,2,0)),"")</f>
        <v/>
      </c>
      <c r="C278" s="32">
        <f>IFERROR(IF(A278="","",SUMIF(SAVINGS!$A$3:A277,A278,SAVINGS!$E$3:E277)-SUMIF(WITHDRAWALS!$A:$A,A278,WITHDRAWALS!$E:$E)),"")</f>
        <v/>
      </c>
      <c r="D278" s="33">
        <f>IF(A278="","",TODAY())</f>
        <v/>
      </c>
      <c r="E278" s="29" t="n"/>
      <c r="F278" s="32">
        <f>IFERROR(IF(OR(A278="",E278=""),"",C278+E278),"")</f>
        <v/>
      </c>
      <c r="G278" s="30" t="n"/>
      <c r="H278" s="31" t="n"/>
    </row>
    <row r="279" ht="20" customHeight="1">
      <c r="A279" s="26" t="n"/>
      <c r="B279" s="27">
        <f>IFERROR(IF(A279="","",VLOOKUP(A279,DATABASE!$A:$B,2,0)),"")</f>
        <v/>
      </c>
      <c r="C279" s="20">
        <f>IFERROR(IF(A279="","",SUMIF(SAVINGS!$A$3:A278,A279,SAVINGS!$E$3:E278)-SUMIF(WITHDRAWALS!$A:$A,A279,WITHDRAWALS!$E:$E)),"")</f>
        <v/>
      </c>
      <c r="D279" s="28">
        <f>IF(A279="","",TODAY())</f>
        <v/>
      </c>
      <c r="E279" s="29" t="n"/>
      <c r="F279" s="20">
        <f>IFERROR(IF(OR(A279="",E279=""),"",C279+E279),"")</f>
        <v/>
      </c>
      <c r="G279" s="30" t="n"/>
      <c r="H279" s="27" t="n"/>
    </row>
    <row r="280" ht="20" customHeight="1">
      <c r="A280" s="26" t="n"/>
      <c r="B280" s="31">
        <f>IFERROR(IF(A280="","",VLOOKUP(A280,DATABASE!$A:$B,2,0)),"")</f>
        <v/>
      </c>
      <c r="C280" s="32">
        <f>IFERROR(IF(A280="","",SUMIF(SAVINGS!$A$3:A279,A280,SAVINGS!$E$3:E279)-SUMIF(WITHDRAWALS!$A:$A,A280,WITHDRAWALS!$E:$E)),"")</f>
        <v/>
      </c>
      <c r="D280" s="33">
        <f>IF(A280="","",TODAY())</f>
        <v/>
      </c>
      <c r="E280" s="29" t="n"/>
      <c r="F280" s="32">
        <f>IFERROR(IF(OR(A280="",E280=""),"",C280+E280),"")</f>
        <v/>
      </c>
      <c r="G280" s="30" t="n"/>
      <c r="H280" s="31" t="n"/>
    </row>
    <row r="281" ht="20" customHeight="1">
      <c r="A281" s="26" t="n"/>
      <c r="B281" s="27">
        <f>IFERROR(IF(A281="","",VLOOKUP(A281,DATABASE!$A:$B,2,0)),"")</f>
        <v/>
      </c>
      <c r="C281" s="20">
        <f>IFERROR(IF(A281="","",SUMIF(SAVINGS!$A$3:A280,A281,SAVINGS!$E$3:E280)-SUMIF(WITHDRAWALS!$A:$A,A281,WITHDRAWALS!$E:$E)),"")</f>
        <v/>
      </c>
      <c r="D281" s="28">
        <f>IF(A281="","",TODAY())</f>
        <v/>
      </c>
      <c r="E281" s="29" t="n"/>
      <c r="F281" s="20">
        <f>IFERROR(IF(OR(A281="",E281=""),"",C281+E281),"")</f>
        <v/>
      </c>
      <c r="G281" s="30" t="n"/>
      <c r="H281" s="27" t="n"/>
    </row>
    <row r="282" ht="20" customHeight="1">
      <c r="A282" s="26" t="n"/>
      <c r="B282" s="31">
        <f>IFERROR(IF(A282="","",VLOOKUP(A282,DATABASE!$A:$B,2,0)),"")</f>
        <v/>
      </c>
      <c r="C282" s="32">
        <f>IFERROR(IF(A282="","",SUMIF(SAVINGS!$A$3:A281,A282,SAVINGS!$E$3:E281)-SUMIF(WITHDRAWALS!$A:$A,A282,WITHDRAWALS!$E:$E)),"")</f>
        <v/>
      </c>
      <c r="D282" s="33">
        <f>IF(A282="","",TODAY())</f>
        <v/>
      </c>
      <c r="E282" s="29" t="n"/>
      <c r="F282" s="32">
        <f>IFERROR(IF(OR(A282="",E282=""),"",C282+E282),"")</f>
        <v/>
      </c>
      <c r="G282" s="30" t="n"/>
      <c r="H282" s="31" t="n"/>
    </row>
    <row r="283" ht="20" customHeight="1">
      <c r="A283" s="26" t="n"/>
      <c r="B283" s="27">
        <f>IFERROR(IF(A283="","",VLOOKUP(A283,DATABASE!$A:$B,2,0)),"")</f>
        <v/>
      </c>
      <c r="C283" s="20">
        <f>IFERROR(IF(A283="","",SUMIF(SAVINGS!$A$3:A282,A283,SAVINGS!$E$3:E282)-SUMIF(WITHDRAWALS!$A:$A,A283,WITHDRAWALS!$E:$E)),"")</f>
        <v/>
      </c>
      <c r="D283" s="28">
        <f>IF(A283="","",TODAY())</f>
        <v/>
      </c>
      <c r="E283" s="29" t="n"/>
      <c r="F283" s="20">
        <f>IFERROR(IF(OR(A283="",E283=""),"",C283+E283),"")</f>
        <v/>
      </c>
      <c r="G283" s="30" t="n"/>
      <c r="H283" s="27" t="n"/>
    </row>
    <row r="284" ht="20" customHeight="1">
      <c r="A284" s="26" t="n"/>
      <c r="B284" s="31">
        <f>IFERROR(IF(A284="","",VLOOKUP(A284,DATABASE!$A:$B,2,0)),"")</f>
        <v/>
      </c>
      <c r="C284" s="32">
        <f>IFERROR(IF(A284="","",SUMIF(SAVINGS!$A$3:A283,A284,SAVINGS!$E$3:E283)-SUMIF(WITHDRAWALS!$A:$A,A284,WITHDRAWALS!$E:$E)),"")</f>
        <v/>
      </c>
      <c r="D284" s="33">
        <f>IF(A284="","",TODAY())</f>
        <v/>
      </c>
      <c r="E284" s="29" t="n"/>
      <c r="F284" s="32">
        <f>IFERROR(IF(OR(A284="",E284=""),"",C284+E284),"")</f>
        <v/>
      </c>
      <c r="G284" s="30" t="n"/>
      <c r="H284" s="31" t="n"/>
    </row>
    <row r="285" ht="20" customHeight="1">
      <c r="A285" s="26" t="n"/>
      <c r="B285" s="27">
        <f>IFERROR(IF(A285="","",VLOOKUP(A285,DATABASE!$A:$B,2,0)),"")</f>
        <v/>
      </c>
      <c r="C285" s="20">
        <f>IFERROR(IF(A285="","",SUMIF(SAVINGS!$A$3:A284,A285,SAVINGS!$E$3:E284)-SUMIF(WITHDRAWALS!$A:$A,A285,WITHDRAWALS!$E:$E)),"")</f>
        <v/>
      </c>
      <c r="D285" s="28">
        <f>IF(A285="","",TODAY())</f>
        <v/>
      </c>
      <c r="E285" s="29" t="n"/>
      <c r="F285" s="20">
        <f>IFERROR(IF(OR(A285="",E285=""),"",C285+E285),"")</f>
        <v/>
      </c>
      <c r="G285" s="30" t="n"/>
      <c r="H285" s="27" t="n"/>
    </row>
    <row r="286" ht="20" customHeight="1">
      <c r="A286" s="26" t="n"/>
      <c r="B286" s="31">
        <f>IFERROR(IF(A286="","",VLOOKUP(A286,DATABASE!$A:$B,2,0)),"")</f>
        <v/>
      </c>
      <c r="C286" s="32">
        <f>IFERROR(IF(A286="","",SUMIF(SAVINGS!$A$3:A285,A286,SAVINGS!$E$3:E285)-SUMIF(WITHDRAWALS!$A:$A,A286,WITHDRAWALS!$E:$E)),"")</f>
        <v/>
      </c>
      <c r="D286" s="33">
        <f>IF(A286="","",TODAY())</f>
        <v/>
      </c>
      <c r="E286" s="29" t="n"/>
      <c r="F286" s="32">
        <f>IFERROR(IF(OR(A286="",E286=""),"",C286+E286),"")</f>
        <v/>
      </c>
      <c r="G286" s="30" t="n"/>
      <c r="H286" s="31" t="n"/>
    </row>
    <row r="287" ht="20" customHeight="1">
      <c r="A287" s="26" t="n"/>
      <c r="B287" s="27">
        <f>IFERROR(IF(A287="","",VLOOKUP(A287,DATABASE!$A:$B,2,0)),"")</f>
        <v/>
      </c>
      <c r="C287" s="20">
        <f>IFERROR(IF(A287="","",SUMIF(SAVINGS!$A$3:A286,A287,SAVINGS!$E$3:E286)-SUMIF(WITHDRAWALS!$A:$A,A287,WITHDRAWALS!$E:$E)),"")</f>
        <v/>
      </c>
      <c r="D287" s="28">
        <f>IF(A287="","",TODAY())</f>
        <v/>
      </c>
      <c r="E287" s="29" t="n"/>
      <c r="F287" s="20">
        <f>IFERROR(IF(OR(A287="",E287=""),"",C287+E287),"")</f>
        <v/>
      </c>
      <c r="G287" s="30" t="n"/>
      <c r="H287" s="27" t="n"/>
    </row>
    <row r="288" ht="20" customHeight="1">
      <c r="A288" s="26" t="n"/>
      <c r="B288" s="31">
        <f>IFERROR(IF(A288="","",VLOOKUP(A288,DATABASE!$A:$B,2,0)),"")</f>
        <v/>
      </c>
      <c r="C288" s="32">
        <f>IFERROR(IF(A288="","",SUMIF(SAVINGS!$A$3:A287,A288,SAVINGS!$E$3:E287)-SUMIF(WITHDRAWALS!$A:$A,A288,WITHDRAWALS!$E:$E)),"")</f>
        <v/>
      </c>
      <c r="D288" s="33">
        <f>IF(A288="","",TODAY())</f>
        <v/>
      </c>
      <c r="E288" s="29" t="n"/>
      <c r="F288" s="32">
        <f>IFERROR(IF(OR(A288="",E288=""),"",C288+E288),"")</f>
        <v/>
      </c>
      <c r="G288" s="30" t="n"/>
      <c r="H288" s="31" t="n"/>
    </row>
    <row r="289" ht="20" customHeight="1">
      <c r="A289" s="26" t="n"/>
      <c r="B289" s="27">
        <f>IFERROR(IF(A289="","",VLOOKUP(A289,DATABASE!$A:$B,2,0)),"")</f>
        <v/>
      </c>
      <c r="C289" s="20">
        <f>IFERROR(IF(A289="","",SUMIF(SAVINGS!$A$3:A288,A289,SAVINGS!$E$3:E288)-SUMIF(WITHDRAWALS!$A:$A,A289,WITHDRAWALS!$E:$E)),"")</f>
        <v/>
      </c>
      <c r="D289" s="28">
        <f>IF(A289="","",TODAY())</f>
        <v/>
      </c>
      <c r="E289" s="29" t="n"/>
      <c r="F289" s="20">
        <f>IFERROR(IF(OR(A289="",E289=""),"",C289+E289),"")</f>
        <v/>
      </c>
      <c r="G289" s="30" t="n"/>
      <c r="H289" s="27" t="n"/>
    </row>
    <row r="290" ht="20" customHeight="1">
      <c r="A290" s="26" t="n"/>
      <c r="B290" s="31">
        <f>IFERROR(IF(A290="","",VLOOKUP(A290,DATABASE!$A:$B,2,0)),"")</f>
        <v/>
      </c>
      <c r="C290" s="32">
        <f>IFERROR(IF(A290="","",SUMIF(SAVINGS!$A$3:A289,A290,SAVINGS!$E$3:E289)-SUMIF(WITHDRAWALS!$A:$A,A290,WITHDRAWALS!$E:$E)),"")</f>
        <v/>
      </c>
      <c r="D290" s="33">
        <f>IF(A290="","",TODAY())</f>
        <v/>
      </c>
      <c r="E290" s="29" t="n"/>
      <c r="F290" s="32">
        <f>IFERROR(IF(OR(A290="",E290=""),"",C290+E290),"")</f>
        <v/>
      </c>
      <c r="G290" s="30" t="n"/>
      <c r="H290" s="31" t="n"/>
    </row>
    <row r="291" ht="20" customHeight="1">
      <c r="A291" s="26" t="n"/>
      <c r="B291" s="27">
        <f>IFERROR(IF(A291="","",VLOOKUP(A291,DATABASE!$A:$B,2,0)),"")</f>
        <v/>
      </c>
      <c r="C291" s="20">
        <f>IFERROR(IF(A291="","",SUMIF(SAVINGS!$A$3:A290,A291,SAVINGS!$E$3:E290)-SUMIF(WITHDRAWALS!$A:$A,A291,WITHDRAWALS!$E:$E)),"")</f>
        <v/>
      </c>
      <c r="D291" s="28">
        <f>IF(A291="","",TODAY())</f>
        <v/>
      </c>
      <c r="E291" s="29" t="n"/>
      <c r="F291" s="20">
        <f>IFERROR(IF(OR(A291="",E291=""),"",C291+E291),"")</f>
        <v/>
      </c>
      <c r="G291" s="30" t="n"/>
      <c r="H291" s="27" t="n"/>
    </row>
    <row r="292" ht="20" customHeight="1">
      <c r="A292" s="26" t="n"/>
      <c r="B292" s="31">
        <f>IFERROR(IF(A292="","",VLOOKUP(A292,DATABASE!$A:$B,2,0)),"")</f>
        <v/>
      </c>
      <c r="C292" s="32">
        <f>IFERROR(IF(A292="","",SUMIF(SAVINGS!$A$3:A291,A292,SAVINGS!$E$3:E291)-SUMIF(WITHDRAWALS!$A:$A,A292,WITHDRAWALS!$E:$E)),"")</f>
        <v/>
      </c>
      <c r="D292" s="33">
        <f>IF(A292="","",TODAY())</f>
        <v/>
      </c>
      <c r="E292" s="29" t="n"/>
      <c r="F292" s="32">
        <f>IFERROR(IF(OR(A292="",E292=""),"",C292+E292),"")</f>
        <v/>
      </c>
      <c r="G292" s="30" t="n"/>
      <c r="H292" s="31" t="n"/>
    </row>
    <row r="293" ht="20" customHeight="1">
      <c r="A293" s="26" t="n"/>
      <c r="B293" s="27">
        <f>IFERROR(IF(A293="","",VLOOKUP(A293,DATABASE!$A:$B,2,0)),"")</f>
        <v/>
      </c>
      <c r="C293" s="20">
        <f>IFERROR(IF(A293="","",SUMIF(SAVINGS!$A$3:A292,A293,SAVINGS!$E$3:E292)-SUMIF(WITHDRAWALS!$A:$A,A293,WITHDRAWALS!$E:$E)),"")</f>
        <v/>
      </c>
      <c r="D293" s="28">
        <f>IF(A293="","",TODAY())</f>
        <v/>
      </c>
      <c r="E293" s="29" t="n"/>
      <c r="F293" s="20">
        <f>IFERROR(IF(OR(A293="",E293=""),"",C293+E293),"")</f>
        <v/>
      </c>
      <c r="G293" s="30" t="n"/>
      <c r="H293" s="27" t="n"/>
    </row>
    <row r="294" ht="20" customHeight="1">
      <c r="A294" s="26" t="n"/>
      <c r="B294" s="31">
        <f>IFERROR(IF(A294="","",VLOOKUP(A294,DATABASE!$A:$B,2,0)),"")</f>
        <v/>
      </c>
      <c r="C294" s="32">
        <f>IFERROR(IF(A294="","",SUMIF(SAVINGS!$A$3:A293,A294,SAVINGS!$E$3:E293)-SUMIF(WITHDRAWALS!$A:$A,A294,WITHDRAWALS!$E:$E)),"")</f>
        <v/>
      </c>
      <c r="D294" s="33">
        <f>IF(A294="","",TODAY())</f>
        <v/>
      </c>
      <c r="E294" s="29" t="n"/>
      <c r="F294" s="32">
        <f>IFERROR(IF(OR(A294="",E294=""),"",C294+E294),"")</f>
        <v/>
      </c>
      <c r="G294" s="30" t="n"/>
      <c r="H294" s="31" t="n"/>
    </row>
    <row r="295" ht="20" customHeight="1">
      <c r="A295" s="26" t="n"/>
      <c r="B295" s="27">
        <f>IFERROR(IF(A295="","",VLOOKUP(A295,DATABASE!$A:$B,2,0)),"")</f>
        <v/>
      </c>
      <c r="C295" s="20">
        <f>IFERROR(IF(A295="","",SUMIF(SAVINGS!$A$3:A294,A295,SAVINGS!$E$3:E294)-SUMIF(WITHDRAWALS!$A:$A,A295,WITHDRAWALS!$E:$E)),"")</f>
        <v/>
      </c>
      <c r="D295" s="28">
        <f>IF(A295="","",TODAY())</f>
        <v/>
      </c>
      <c r="E295" s="29" t="n"/>
      <c r="F295" s="20">
        <f>IFERROR(IF(OR(A295="",E295=""),"",C295+E295),"")</f>
        <v/>
      </c>
      <c r="G295" s="30" t="n"/>
      <c r="H295" s="27" t="n"/>
    </row>
    <row r="296" ht="20" customHeight="1">
      <c r="A296" s="26" t="n"/>
      <c r="B296" s="31">
        <f>IFERROR(IF(A296="","",VLOOKUP(A296,DATABASE!$A:$B,2,0)),"")</f>
        <v/>
      </c>
      <c r="C296" s="32">
        <f>IFERROR(IF(A296="","",SUMIF(SAVINGS!$A$3:A295,A296,SAVINGS!$E$3:E295)-SUMIF(WITHDRAWALS!$A:$A,A296,WITHDRAWALS!$E:$E)),"")</f>
        <v/>
      </c>
      <c r="D296" s="33">
        <f>IF(A296="","",TODAY())</f>
        <v/>
      </c>
      <c r="E296" s="29" t="n"/>
      <c r="F296" s="32">
        <f>IFERROR(IF(OR(A296="",E296=""),"",C296+E296),"")</f>
        <v/>
      </c>
      <c r="G296" s="30" t="n"/>
      <c r="H296" s="31" t="n"/>
    </row>
    <row r="297" ht="20" customHeight="1">
      <c r="A297" s="26" t="n"/>
      <c r="B297" s="27">
        <f>IFERROR(IF(A297="","",VLOOKUP(A297,DATABASE!$A:$B,2,0)),"")</f>
        <v/>
      </c>
      <c r="C297" s="20">
        <f>IFERROR(IF(A297="","",SUMIF(SAVINGS!$A$3:A296,A297,SAVINGS!$E$3:E296)-SUMIF(WITHDRAWALS!$A:$A,A297,WITHDRAWALS!$E:$E)),"")</f>
        <v/>
      </c>
      <c r="D297" s="28">
        <f>IF(A297="","",TODAY())</f>
        <v/>
      </c>
      <c r="E297" s="29" t="n"/>
      <c r="F297" s="20">
        <f>IFERROR(IF(OR(A297="",E297=""),"",C297+E297),"")</f>
        <v/>
      </c>
      <c r="G297" s="30" t="n"/>
      <c r="H297" s="27" t="n"/>
    </row>
    <row r="298" ht="20" customHeight="1">
      <c r="A298" s="26" t="n"/>
      <c r="B298" s="31">
        <f>IFERROR(IF(A298="","",VLOOKUP(A298,DATABASE!$A:$B,2,0)),"")</f>
        <v/>
      </c>
      <c r="C298" s="32">
        <f>IFERROR(IF(A298="","",SUMIF(SAVINGS!$A$3:A297,A298,SAVINGS!$E$3:E297)-SUMIF(WITHDRAWALS!$A:$A,A298,WITHDRAWALS!$E:$E)),"")</f>
        <v/>
      </c>
      <c r="D298" s="33">
        <f>IF(A298="","",TODAY())</f>
        <v/>
      </c>
      <c r="E298" s="29" t="n"/>
      <c r="F298" s="32">
        <f>IFERROR(IF(OR(A298="",E298=""),"",C298+E298),"")</f>
        <v/>
      </c>
      <c r="G298" s="30" t="n"/>
      <c r="H298" s="31" t="n"/>
    </row>
    <row r="299" ht="20" customHeight="1">
      <c r="A299" s="26" t="n"/>
      <c r="B299" s="27">
        <f>IFERROR(IF(A299="","",VLOOKUP(A299,DATABASE!$A:$B,2,0)),"")</f>
        <v/>
      </c>
      <c r="C299" s="20">
        <f>IFERROR(IF(A299="","",SUMIF(SAVINGS!$A$3:A298,A299,SAVINGS!$E$3:E298)-SUMIF(WITHDRAWALS!$A:$A,A299,WITHDRAWALS!$E:$E)),"")</f>
        <v/>
      </c>
      <c r="D299" s="28">
        <f>IF(A299="","",TODAY())</f>
        <v/>
      </c>
      <c r="E299" s="29" t="n"/>
      <c r="F299" s="20">
        <f>IFERROR(IF(OR(A299="",E299=""),"",C299+E299),"")</f>
        <v/>
      </c>
      <c r="G299" s="30" t="n"/>
      <c r="H299" s="27" t="n"/>
    </row>
    <row r="300" ht="20" customHeight="1">
      <c r="A300" s="26" t="n"/>
      <c r="B300" s="31">
        <f>IFERROR(IF(A300="","",VLOOKUP(A300,DATABASE!$A:$B,2,0)),"")</f>
        <v/>
      </c>
      <c r="C300" s="32">
        <f>IFERROR(IF(A300="","",SUMIF(SAVINGS!$A$3:A299,A300,SAVINGS!$E$3:E299)-SUMIF(WITHDRAWALS!$A:$A,A300,WITHDRAWALS!$E:$E)),"")</f>
        <v/>
      </c>
      <c r="D300" s="33">
        <f>IF(A300="","",TODAY())</f>
        <v/>
      </c>
      <c r="E300" s="29" t="n"/>
      <c r="F300" s="32">
        <f>IFERROR(IF(OR(A300="",E300=""),"",C300+E300),"")</f>
        <v/>
      </c>
      <c r="G300" s="30" t="n"/>
      <c r="H300" s="31" t="n"/>
    </row>
    <row r="301" ht="20" customHeight="1">
      <c r="A301" s="26" t="n"/>
      <c r="B301" s="27">
        <f>IFERROR(IF(A301="","",VLOOKUP(A301,DATABASE!$A:$B,2,0)),"")</f>
        <v/>
      </c>
      <c r="C301" s="20">
        <f>IFERROR(IF(A301="","",SUMIF(SAVINGS!$A$3:A300,A301,SAVINGS!$E$3:E300)-SUMIF(WITHDRAWALS!$A:$A,A301,WITHDRAWALS!$E:$E)),"")</f>
        <v/>
      </c>
      <c r="D301" s="28">
        <f>IF(A301="","",TODAY())</f>
        <v/>
      </c>
      <c r="E301" s="29" t="n"/>
      <c r="F301" s="20">
        <f>IFERROR(IF(OR(A301="",E301=""),"",C301+E301),"")</f>
        <v/>
      </c>
      <c r="G301" s="30" t="n"/>
      <c r="H301" s="27" t="n"/>
    </row>
    <row r="302" ht="20" customHeight="1">
      <c r="A302" s="26" t="n"/>
      <c r="B302" s="31">
        <f>IFERROR(IF(A302="","",VLOOKUP(A302,DATABASE!$A:$B,2,0)),"")</f>
        <v/>
      </c>
      <c r="C302" s="32">
        <f>IFERROR(IF(A302="","",SUMIF(SAVINGS!$A$3:A301,A302,SAVINGS!$E$3:E301)-SUMIF(WITHDRAWALS!$A:$A,A302,WITHDRAWALS!$E:$E)),"")</f>
        <v/>
      </c>
      <c r="D302" s="33">
        <f>IF(A302="","",TODAY())</f>
        <v/>
      </c>
      <c r="E302" s="29" t="n"/>
      <c r="F302" s="32">
        <f>IFERROR(IF(OR(A302="",E302=""),"",C302+E302),"")</f>
        <v/>
      </c>
      <c r="G302" s="30" t="n"/>
      <c r="H302" s="31" t="n"/>
    </row>
    <row r="303" ht="20" customHeight="1">
      <c r="A303" s="26" t="n"/>
      <c r="B303" s="27">
        <f>IFERROR(IF(A303="","",VLOOKUP(A303,DATABASE!$A:$B,2,0)),"")</f>
        <v/>
      </c>
      <c r="C303" s="20">
        <f>IFERROR(IF(A303="","",SUMIF(SAVINGS!$A$3:A302,A303,SAVINGS!$E$3:E302)-SUMIF(WITHDRAWALS!$A:$A,A303,WITHDRAWALS!$E:$E)),"")</f>
        <v/>
      </c>
      <c r="D303" s="28">
        <f>IF(A303="","",TODAY())</f>
        <v/>
      </c>
      <c r="E303" s="29" t="n"/>
      <c r="F303" s="20">
        <f>IFERROR(IF(OR(A303="",E303=""),"",C303+E303),"")</f>
        <v/>
      </c>
      <c r="G303" s="30" t="n"/>
      <c r="H303" s="27" t="n"/>
    </row>
    <row r="304" ht="20" customHeight="1">
      <c r="A304" s="26" t="n"/>
      <c r="B304" s="31">
        <f>IFERROR(IF(A304="","",VLOOKUP(A304,DATABASE!$A:$B,2,0)),"")</f>
        <v/>
      </c>
      <c r="C304" s="32">
        <f>IFERROR(IF(A304="","",SUMIF(SAVINGS!$A$3:A303,A304,SAVINGS!$E$3:E303)-SUMIF(WITHDRAWALS!$A:$A,A304,WITHDRAWALS!$E:$E)),"")</f>
        <v/>
      </c>
      <c r="D304" s="33">
        <f>IF(A304="","",TODAY())</f>
        <v/>
      </c>
      <c r="E304" s="29" t="n"/>
      <c r="F304" s="32">
        <f>IFERROR(IF(OR(A304="",E304=""),"",C304+E304),"")</f>
        <v/>
      </c>
      <c r="G304" s="30" t="n"/>
      <c r="H304" s="31" t="n"/>
    </row>
    <row r="305" ht="20" customHeight="1">
      <c r="A305" s="26" t="n"/>
      <c r="B305" s="27">
        <f>IFERROR(IF(A305="","",VLOOKUP(A305,DATABASE!$A:$B,2,0)),"")</f>
        <v/>
      </c>
      <c r="C305" s="20">
        <f>IFERROR(IF(A305="","",SUMIF(SAVINGS!$A$3:A304,A305,SAVINGS!$E$3:E304)-SUMIF(WITHDRAWALS!$A:$A,A305,WITHDRAWALS!$E:$E)),"")</f>
        <v/>
      </c>
      <c r="D305" s="28">
        <f>IF(A305="","",TODAY())</f>
        <v/>
      </c>
      <c r="E305" s="29" t="n"/>
      <c r="F305" s="20">
        <f>IFERROR(IF(OR(A305="",E305=""),"",C305+E305),"")</f>
        <v/>
      </c>
      <c r="G305" s="30" t="n"/>
      <c r="H305" s="27" t="n"/>
    </row>
    <row r="306" ht="20" customHeight="1">
      <c r="A306" s="26" t="n"/>
      <c r="B306" s="31">
        <f>IFERROR(IF(A306="","",VLOOKUP(A306,DATABASE!$A:$B,2,0)),"")</f>
        <v/>
      </c>
      <c r="C306" s="32">
        <f>IFERROR(IF(A306="","",SUMIF(SAVINGS!$A$3:A305,A306,SAVINGS!$E$3:E305)-SUMIF(WITHDRAWALS!$A:$A,A306,WITHDRAWALS!$E:$E)),"")</f>
        <v/>
      </c>
      <c r="D306" s="33">
        <f>IF(A306="","",TODAY())</f>
        <v/>
      </c>
      <c r="E306" s="29" t="n"/>
      <c r="F306" s="32">
        <f>IFERROR(IF(OR(A306="",E306=""),"",C306+E306),"")</f>
        <v/>
      </c>
      <c r="G306" s="30" t="n"/>
      <c r="H306" s="31" t="n"/>
    </row>
    <row r="307" ht="20" customHeight="1">
      <c r="A307" s="26" t="n"/>
      <c r="B307" s="27">
        <f>IFERROR(IF(A307="","",VLOOKUP(A307,DATABASE!$A:$B,2,0)),"")</f>
        <v/>
      </c>
      <c r="C307" s="20">
        <f>IFERROR(IF(A307="","",SUMIF(SAVINGS!$A$3:A306,A307,SAVINGS!$E$3:E306)-SUMIF(WITHDRAWALS!$A:$A,A307,WITHDRAWALS!$E:$E)),"")</f>
        <v/>
      </c>
      <c r="D307" s="28">
        <f>IF(A307="","",TODAY())</f>
        <v/>
      </c>
      <c r="E307" s="29" t="n"/>
      <c r="F307" s="20">
        <f>IFERROR(IF(OR(A307="",E307=""),"",C307+E307),"")</f>
        <v/>
      </c>
      <c r="G307" s="30" t="n"/>
      <c r="H307" s="27" t="n"/>
    </row>
    <row r="308" ht="20" customHeight="1">
      <c r="A308" s="26" t="n"/>
      <c r="B308" s="31">
        <f>IFERROR(IF(A308="","",VLOOKUP(A308,DATABASE!$A:$B,2,0)),"")</f>
        <v/>
      </c>
      <c r="C308" s="32">
        <f>IFERROR(IF(A308="","",SUMIF(SAVINGS!$A$3:A307,A308,SAVINGS!$E$3:E307)-SUMIF(WITHDRAWALS!$A:$A,A308,WITHDRAWALS!$E:$E)),"")</f>
        <v/>
      </c>
      <c r="D308" s="33">
        <f>IF(A308="","",TODAY())</f>
        <v/>
      </c>
      <c r="E308" s="29" t="n"/>
      <c r="F308" s="32">
        <f>IFERROR(IF(OR(A308="",E308=""),"",C308+E308),"")</f>
        <v/>
      </c>
      <c r="G308" s="30" t="n"/>
      <c r="H308" s="31" t="n"/>
    </row>
    <row r="309" ht="20" customHeight="1">
      <c r="A309" s="26" t="n"/>
      <c r="B309" s="27">
        <f>IFERROR(IF(A309="","",VLOOKUP(A309,DATABASE!$A:$B,2,0)),"")</f>
        <v/>
      </c>
      <c r="C309" s="20">
        <f>IFERROR(IF(A309="","",SUMIF(SAVINGS!$A$3:A308,A309,SAVINGS!$E$3:E308)-SUMIF(WITHDRAWALS!$A:$A,A309,WITHDRAWALS!$E:$E)),"")</f>
        <v/>
      </c>
      <c r="D309" s="28">
        <f>IF(A309="","",TODAY())</f>
        <v/>
      </c>
      <c r="E309" s="29" t="n"/>
      <c r="F309" s="20">
        <f>IFERROR(IF(OR(A309="",E309=""),"",C309+E309),"")</f>
        <v/>
      </c>
      <c r="G309" s="30" t="n"/>
      <c r="H309" s="27" t="n"/>
    </row>
    <row r="310" ht="20" customHeight="1">
      <c r="A310" s="26" t="n"/>
      <c r="B310" s="31">
        <f>IFERROR(IF(A310="","",VLOOKUP(A310,DATABASE!$A:$B,2,0)),"")</f>
        <v/>
      </c>
      <c r="C310" s="32">
        <f>IFERROR(IF(A310="","",SUMIF(SAVINGS!$A$3:A309,A310,SAVINGS!$E$3:E309)-SUMIF(WITHDRAWALS!$A:$A,A310,WITHDRAWALS!$E:$E)),"")</f>
        <v/>
      </c>
      <c r="D310" s="33">
        <f>IF(A310="","",TODAY())</f>
        <v/>
      </c>
      <c r="E310" s="29" t="n"/>
      <c r="F310" s="32">
        <f>IFERROR(IF(OR(A310="",E310=""),"",C310+E310),"")</f>
        <v/>
      </c>
      <c r="G310" s="30" t="n"/>
      <c r="H310" s="31" t="n"/>
    </row>
    <row r="311" ht="20" customHeight="1">
      <c r="A311" s="26" t="n"/>
      <c r="B311" s="27">
        <f>IFERROR(IF(A311="","",VLOOKUP(A311,DATABASE!$A:$B,2,0)),"")</f>
        <v/>
      </c>
      <c r="C311" s="20">
        <f>IFERROR(IF(A311="","",SUMIF(SAVINGS!$A$3:A310,A311,SAVINGS!$E$3:E310)-SUMIF(WITHDRAWALS!$A:$A,A311,WITHDRAWALS!$E:$E)),"")</f>
        <v/>
      </c>
      <c r="D311" s="28">
        <f>IF(A311="","",TODAY())</f>
        <v/>
      </c>
      <c r="E311" s="29" t="n"/>
      <c r="F311" s="20">
        <f>IFERROR(IF(OR(A311="",E311=""),"",C311+E311),"")</f>
        <v/>
      </c>
      <c r="G311" s="30" t="n"/>
      <c r="H311" s="27" t="n"/>
    </row>
    <row r="312" ht="20" customHeight="1">
      <c r="A312" s="26" t="n"/>
      <c r="B312" s="31">
        <f>IFERROR(IF(A312="","",VLOOKUP(A312,DATABASE!$A:$B,2,0)),"")</f>
        <v/>
      </c>
      <c r="C312" s="32">
        <f>IFERROR(IF(A312="","",SUMIF(SAVINGS!$A$3:A311,A312,SAVINGS!$E$3:E311)-SUMIF(WITHDRAWALS!$A:$A,A312,WITHDRAWALS!$E:$E)),"")</f>
        <v/>
      </c>
      <c r="D312" s="33">
        <f>IF(A312="","",TODAY())</f>
        <v/>
      </c>
      <c r="E312" s="29" t="n"/>
      <c r="F312" s="32">
        <f>IFERROR(IF(OR(A312="",E312=""),"",C312+E312),"")</f>
        <v/>
      </c>
      <c r="G312" s="30" t="n"/>
      <c r="H312" s="31" t="n"/>
    </row>
    <row r="313" ht="20" customHeight="1">
      <c r="A313" s="26" t="n"/>
      <c r="B313" s="27">
        <f>IFERROR(IF(A313="","",VLOOKUP(A313,DATABASE!$A:$B,2,0)),"")</f>
        <v/>
      </c>
      <c r="C313" s="20">
        <f>IFERROR(IF(A313="","",SUMIF(SAVINGS!$A$3:A312,A313,SAVINGS!$E$3:E312)-SUMIF(WITHDRAWALS!$A:$A,A313,WITHDRAWALS!$E:$E)),"")</f>
        <v/>
      </c>
      <c r="D313" s="28">
        <f>IF(A313="","",TODAY())</f>
        <v/>
      </c>
      <c r="E313" s="29" t="n"/>
      <c r="F313" s="20">
        <f>IFERROR(IF(OR(A313="",E313=""),"",C313+E313),"")</f>
        <v/>
      </c>
      <c r="G313" s="30" t="n"/>
      <c r="H313" s="27" t="n"/>
    </row>
    <row r="314" ht="20" customHeight="1">
      <c r="A314" s="26" t="n"/>
      <c r="B314" s="31">
        <f>IFERROR(IF(A314="","",VLOOKUP(A314,DATABASE!$A:$B,2,0)),"")</f>
        <v/>
      </c>
      <c r="C314" s="32">
        <f>IFERROR(IF(A314="","",SUMIF(SAVINGS!$A$3:A313,A314,SAVINGS!$E$3:E313)-SUMIF(WITHDRAWALS!$A:$A,A314,WITHDRAWALS!$E:$E)),"")</f>
        <v/>
      </c>
      <c r="D314" s="33">
        <f>IF(A314="","",TODAY())</f>
        <v/>
      </c>
      <c r="E314" s="29" t="n"/>
      <c r="F314" s="32">
        <f>IFERROR(IF(OR(A314="",E314=""),"",C314+E314),"")</f>
        <v/>
      </c>
      <c r="G314" s="30" t="n"/>
      <c r="H314" s="31" t="n"/>
    </row>
    <row r="315" ht="20" customHeight="1">
      <c r="A315" s="26" t="n"/>
      <c r="B315" s="27">
        <f>IFERROR(IF(A315="","",VLOOKUP(A315,DATABASE!$A:$B,2,0)),"")</f>
        <v/>
      </c>
      <c r="C315" s="20">
        <f>IFERROR(IF(A315="","",SUMIF(SAVINGS!$A$3:A314,A315,SAVINGS!$E$3:E314)-SUMIF(WITHDRAWALS!$A:$A,A315,WITHDRAWALS!$E:$E)),"")</f>
        <v/>
      </c>
      <c r="D315" s="28">
        <f>IF(A315="","",TODAY())</f>
        <v/>
      </c>
      <c r="E315" s="29" t="n"/>
      <c r="F315" s="20">
        <f>IFERROR(IF(OR(A315="",E315=""),"",C315+E315),"")</f>
        <v/>
      </c>
      <c r="G315" s="30" t="n"/>
      <c r="H315" s="27" t="n"/>
    </row>
    <row r="316" ht="20" customHeight="1">
      <c r="A316" s="26" t="n"/>
      <c r="B316" s="31">
        <f>IFERROR(IF(A316="","",VLOOKUP(A316,DATABASE!$A:$B,2,0)),"")</f>
        <v/>
      </c>
      <c r="C316" s="32">
        <f>IFERROR(IF(A316="","",SUMIF(SAVINGS!$A$3:A315,A316,SAVINGS!$E$3:E315)-SUMIF(WITHDRAWALS!$A:$A,A316,WITHDRAWALS!$E:$E)),"")</f>
        <v/>
      </c>
      <c r="D316" s="33">
        <f>IF(A316="","",TODAY())</f>
        <v/>
      </c>
      <c r="E316" s="29" t="n"/>
      <c r="F316" s="32">
        <f>IFERROR(IF(OR(A316="",E316=""),"",C316+E316),"")</f>
        <v/>
      </c>
      <c r="G316" s="30" t="n"/>
      <c r="H316" s="31" t="n"/>
    </row>
    <row r="317" ht="20" customHeight="1">
      <c r="A317" s="26" t="n"/>
      <c r="B317" s="27">
        <f>IFERROR(IF(A317="","",VLOOKUP(A317,DATABASE!$A:$B,2,0)),"")</f>
        <v/>
      </c>
      <c r="C317" s="20">
        <f>IFERROR(IF(A317="","",SUMIF(SAVINGS!$A$3:A316,A317,SAVINGS!$E$3:E316)-SUMIF(WITHDRAWALS!$A:$A,A317,WITHDRAWALS!$E:$E)),"")</f>
        <v/>
      </c>
      <c r="D317" s="28">
        <f>IF(A317="","",TODAY())</f>
        <v/>
      </c>
      <c r="E317" s="29" t="n"/>
      <c r="F317" s="20">
        <f>IFERROR(IF(OR(A317="",E317=""),"",C317+E317),"")</f>
        <v/>
      </c>
      <c r="G317" s="30" t="n"/>
      <c r="H317" s="27" t="n"/>
    </row>
    <row r="318" ht="20" customHeight="1">
      <c r="A318" s="26" t="n"/>
      <c r="B318" s="31">
        <f>IFERROR(IF(A318="","",VLOOKUP(A318,DATABASE!$A:$B,2,0)),"")</f>
        <v/>
      </c>
      <c r="C318" s="32">
        <f>IFERROR(IF(A318="","",SUMIF(SAVINGS!$A$3:A317,A318,SAVINGS!$E$3:E317)-SUMIF(WITHDRAWALS!$A:$A,A318,WITHDRAWALS!$E:$E)),"")</f>
        <v/>
      </c>
      <c r="D318" s="33">
        <f>IF(A318="","",TODAY())</f>
        <v/>
      </c>
      <c r="E318" s="29" t="n"/>
      <c r="F318" s="32">
        <f>IFERROR(IF(OR(A318="",E318=""),"",C318+E318),"")</f>
        <v/>
      </c>
      <c r="G318" s="30" t="n"/>
      <c r="H318" s="31" t="n"/>
    </row>
    <row r="319" ht="20" customHeight="1">
      <c r="A319" s="26" t="n"/>
      <c r="B319" s="27">
        <f>IFERROR(IF(A319="","",VLOOKUP(A319,DATABASE!$A:$B,2,0)),"")</f>
        <v/>
      </c>
      <c r="C319" s="20">
        <f>IFERROR(IF(A319="","",SUMIF(SAVINGS!$A$3:A318,A319,SAVINGS!$E$3:E318)-SUMIF(WITHDRAWALS!$A:$A,A319,WITHDRAWALS!$E:$E)),"")</f>
        <v/>
      </c>
      <c r="D319" s="28">
        <f>IF(A319="","",TODAY())</f>
        <v/>
      </c>
      <c r="E319" s="29" t="n"/>
      <c r="F319" s="20">
        <f>IFERROR(IF(OR(A319="",E319=""),"",C319+E319),"")</f>
        <v/>
      </c>
      <c r="G319" s="30" t="n"/>
      <c r="H319" s="27" t="n"/>
    </row>
    <row r="320" ht="20" customHeight="1">
      <c r="A320" s="26" t="n"/>
      <c r="B320" s="31">
        <f>IFERROR(IF(A320="","",VLOOKUP(A320,DATABASE!$A:$B,2,0)),"")</f>
        <v/>
      </c>
      <c r="C320" s="32">
        <f>IFERROR(IF(A320="","",SUMIF(SAVINGS!$A$3:A319,A320,SAVINGS!$E$3:E319)-SUMIF(WITHDRAWALS!$A:$A,A320,WITHDRAWALS!$E:$E)),"")</f>
        <v/>
      </c>
      <c r="D320" s="33">
        <f>IF(A320="","",TODAY())</f>
        <v/>
      </c>
      <c r="E320" s="29" t="n"/>
      <c r="F320" s="32">
        <f>IFERROR(IF(OR(A320="",E320=""),"",C320+E320),"")</f>
        <v/>
      </c>
      <c r="G320" s="30" t="n"/>
      <c r="H320" s="31" t="n"/>
    </row>
    <row r="321" ht="20" customHeight="1">
      <c r="A321" s="26" t="n"/>
      <c r="B321" s="27">
        <f>IFERROR(IF(A321="","",VLOOKUP(A321,DATABASE!$A:$B,2,0)),"")</f>
        <v/>
      </c>
      <c r="C321" s="20">
        <f>IFERROR(IF(A321="","",SUMIF(SAVINGS!$A$3:A320,A321,SAVINGS!$E$3:E320)-SUMIF(WITHDRAWALS!$A:$A,A321,WITHDRAWALS!$E:$E)),"")</f>
        <v/>
      </c>
      <c r="D321" s="28">
        <f>IF(A321="","",TODAY())</f>
        <v/>
      </c>
      <c r="E321" s="29" t="n"/>
      <c r="F321" s="20">
        <f>IFERROR(IF(OR(A321="",E321=""),"",C321+E321),"")</f>
        <v/>
      </c>
      <c r="G321" s="30" t="n"/>
      <c r="H321" s="27" t="n"/>
    </row>
    <row r="322" ht="20" customHeight="1">
      <c r="A322" s="26" t="n"/>
      <c r="B322" s="31">
        <f>IFERROR(IF(A322="","",VLOOKUP(A322,DATABASE!$A:$B,2,0)),"")</f>
        <v/>
      </c>
      <c r="C322" s="32">
        <f>IFERROR(IF(A322="","",SUMIF(SAVINGS!$A$3:A321,A322,SAVINGS!$E$3:E321)-SUMIF(WITHDRAWALS!$A:$A,A322,WITHDRAWALS!$E:$E)),"")</f>
        <v/>
      </c>
      <c r="D322" s="33">
        <f>IF(A322="","",TODAY())</f>
        <v/>
      </c>
      <c r="E322" s="29" t="n"/>
      <c r="F322" s="32">
        <f>IFERROR(IF(OR(A322="",E322=""),"",C322+E322),"")</f>
        <v/>
      </c>
      <c r="G322" s="30" t="n"/>
      <c r="H322" s="31" t="n"/>
    </row>
    <row r="323" ht="20" customHeight="1">
      <c r="A323" s="26" t="n"/>
      <c r="B323" s="27">
        <f>IFERROR(IF(A323="","",VLOOKUP(A323,DATABASE!$A:$B,2,0)),"")</f>
        <v/>
      </c>
      <c r="C323" s="20">
        <f>IFERROR(IF(A323="","",SUMIF(SAVINGS!$A$3:A322,A323,SAVINGS!$E$3:E322)-SUMIF(WITHDRAWALS!$A:$A,A323,WITHDRAWALS!$E:$E)),"")</f>
        <v/>
      </c>
      <c r="D323" s="28">
        <f>IF(A323="","",TODAY())</f>
        <v/>
      </c>
      <c r="E323" s="29" t="n"/>
      <c r="F323" s="20">
        <f>IFERROR(IF(OR(A323="",E323=""),"",C323+E323),"")</f>
        <v/>
      </c>
      <c r="G323" s="30" t="n"/>
      <c r="H323" s="27" t="n"/>
    </row>
    <row r="324" ht="20" customHeight="1">
      <c r="A324" s="26" t="n"/>
      <c r="B324" s="31">
        <f>IFERROR(IF(A324="","",VLOOKUP(A324,DATABASE!$A:$B,2,0)),"")</f>
        <v/>
      </c>
      <c r="C324" s="32">
        <f>IFERROR(IF(A324="","",SUMIF(SAVINGS!$A$3:A323,A324,SAVINGS!$E$3:E323)-SUMIF(WITHDRAWALS!$A:$A,A324,WITHDRAWALS!$E:$E)),"")</f>
        <v/>
      </c>
      <c r="D324" s="33">
        <f>IF(A324="","",TODAY())</f>
        <v/>
      </c>
      <c r="E324" s="29" t="n"/>
      <c r="F324" s="32">
        <f>IFERROR(IF(OR(A324="",E324=""),"",C324+E324),"")</f>
        <v/>
      </c>
      <c r="G324" s="30" t="n"/>
      <c r="H324" s="31" t="n"/>
    </row>
    <row r="325" ht="20" customHeight="1">
      <c r="A325" s="26" t="n"/>
      <c r="B325" s="27">
        <f>IFERROR(IF(A325="","",VLOOKUP(A325,DATABASE!$A:$B,2,0)),"")</f>
        <v/>
      </c>
      <c r="C325" s="20">
        <f>IFERROR(IF(A325="","",SUMIF(SAVINGS!$A$3:A324,A325,SAVINGS!$E$3:E324)-SUMIF(WITHDRAWALS!$A:$A,A325,WITHDRAWALS!$E:$E)),"")</f>
        <v/>
      </c>
      <c r="D325" s="28">
        <f>IF(A325="","",TODAY())</f>
        <v/>
      </c>
      <c r="E325" s="29" t="n"/>
      <c r="F325" s="20">
        <f>IFERROR(IF(OR(A325="",E325=""),"",C325+E325),"")</f>
        <v/>
      </c>
      <c r="G325" s="30" t="n"/>
      <c r="H325" s="27" t="n"/>
    </row>
    <row r="326" ht="20" customHeight="1">
      <c r="A326" s="26" t="n"/>
      <c r="B326" s="31">
        <f>IFERROR(IF(A326="","",VLOOKUP(A326,DATABASE!$A:$B,2,0)),"")</f>
        <v/>
      </c>
      <c r="C326" s="32">
        <f>IFERROR(IF(A326="","",SUMIF(SAVINGS!$A$3:A325,A326,SAVINGS!$E$3:E325)-SUMIF(WITHDRAWALS!$A:$A,A326,WITHDRAWALS!$E:$E)),"")</f>
        <v/>
      </c>
      <c r="D326" s="33">
        <f>IF(A326="","",TODAY())</f>
        <v/>
      </c>
      <c r="E326" s="29" t="n"/>
      <c r="F326" s="32">
        <f>IFERROR(IF(OR(A326="",E326=""),"",C326+E326),"")</f>
        <v/>
      </c>
      <c r="G326" s="30" t="n"/>
      <c r="H326" s="31" t="n"/>
    </row>
    <row r="327" ht="20" customHeight="1">
      <c r="A327" s="26" t="n"/>
      <c r="B327" s="27">
        <f>IFERROR(IF(A327="","",VLOOKUP(A327,DATABASE!$A:$B,2,0)),"")</f>
        <v/>
      </c>
      <c r="C327" s="20">
        <f>IFERROR(IF(A327="","",SUMIF(SAVINGS!$A$3:A326,A327,SAVINGS!$E$3:E326)-SUMIF(WITHDRAWALS!$A:$A,A327,WITHDRAWALS!$E:$E)),"")</f>
        <v/>
      </c>
      <c r="D327" s="28">
        <f>IF(A327="","",TODAY())</f>
        <v/>
      </c>
      <c r="E327" s="29" t="n"/>
      <c r="F327" s="20">
        <f>IFERROR(IF(OR(A327="",E327=""),"",C327+E327),"")</f>
        <v/>
      </c>
      <c r="G327" s="30" t="n"/>
      <c r="H327" s="27" t="n"/>
    </row>
    <row r="328" ht="20" customHeight="1">
      <c r="A328" s="26" t="n"/>
      <c r="B328" s="31">
        <f>IFERROR(IF(A328="","",VLOOKUP(A328,DATABASE!$A:$B,2,0)),"")</f>
        <v/>
      </c>
      <c r="C328" s="32">
        <f>IFERROR(IF(A328="","",SUMIF(SAVINGS!$A$3:A327,A328,SAVINGS!$E$3:E327)-SUMIF(WITHDRAWALS!$A:$A,A328,WITHDRAWALS!$E:$E)),"")</f>
        <v/>
      </c>
      <c r="D328" s="33">
        <f>IF(A328="","",TODAY())</f>
        <v/>
      </c>
      <c r="E328" s="29" t="n"/>
      <c r="F328" s="32">
        <f>IFERROR(IF(OR(A328="",E328=""),"",C328+E328),"")</f>
        <v/>
      </c>
      <c r="G328" s="30" t="n"/>
      <c r="H328" s="31" t="n"/>
    </row>
    <row r="329" ht="20" customHeight="1">
      <c r="A329" s="26" t="n"/>
      <c r="B329" s="27">
        <f>IFERROR(IF(A329="","",VLOOKUP(A329,DATABASE!$A:$B,2,0)),"")</f>
        <v/>
      </c>
      <c r="C329" s="20">
        <f>IFERROR(IF(A329="","",SUMIF(SAVINGS!$A$3:A328,A329,SAVINGS!$E$3:E328)-SUMIF(WITHDRAWALS!$A:$A,A329,WITHDRAWALS!$E:$E)),"")</f>
        <v/>
      </c>
      <c r="D329" s="28">
        <f>IF(A329="","",TODAY())</f>
        <v/>
      </c>
      <c r="E329" s="29" t="n"/>
      <c r="F329" s="20">
        <f>IFERROR(IF(OR(A329="",E329=""),"",C329+E329),"")</f>
        <v/>
      </c>
      <c r="G329" s="30" t="n"/>
      <c r="H329" s="27" t="n"/>
    </row>
    <row r="330" ht="20" customHeight="1">
      <c r="A330" s="26" t="n"/>
      <c r="B330" s="31">
        <f>IFERROR(IF(A330="","",VLOOKUP(A330,DATABASE!$A:$B,2,0)),"")</f>
        <v/>
      </c>
      <c r="C330" s="32">
        <f>IFERROR(IF(A330="","",SUMIF(SAVINGS!$A$3:A329,A330,SAVINGS!$E$3:E329)-SUMIF(WITHDRAWALS!$A:$A,A330,WITHDRAWALS!$E:$E)),"")</f>
        <v/>
      </c>
      <c r="D330" s="33">
        <f>IF(A330="","",TODAY())</f>
        <v/>
      </c>
      <c r="E330" s="29" t="n"/>
      <c r="F330" s="32">
        <f>IFERROR(IF(OR(A330="",E330=""),"",C330+E330),"")</f>
        <v/>
      </c>
      <c r="G330" s="30" t="n"/>
      <c r="H330" s="31" t="n"/>
    </row>
    <row r="331" ht="20" customHeight="1">
      <c r="A331" s="26" t="n"/>
      <c r="B331" s="27">
        <f>IFERROR(IF(A331="","",VLOOKUP(A331,DATABASE!$A:$B,2,0)),"")</f>
        <v/>
      </c>
      <c r="C331" s="20">
        <f>IFERROR(IF(A331="","",SUMIF(SAVINGS!$A$3:A330,A331,SAVINGS!$E$3:E330)-SUMIF(WITHDRAWALS!$A:$A,A331,WITHDRAWALS!$E:$E)),"")</f>
        <v/>
      </c>
      <c r="D331" s="28">
        <f>IF(A331="","",TODAY())</f>
        <v/>
      </c>
      <c r="E331" s="29" t="n"/>
      <c r="F331" s="20">
        <f>IFERROR(IF(OR(A331="",E331=""),"",C331+E331),"")</f>
        <v/>
      </c>
      <c r="G331" s="30" t="n"/>
      <c r="H331" s="27" t="n"/>
    </row>
    <row r="332" ht="20" customHeight="1">
      <c r="A332" s="26" t="n"/>
      <c r="B332" s="31">
        <f>IFERROR(IF(A332="","",VLOOKUP(A332,DATABASE!$A:$B,2,0)),"")</f>
        <v/>
      </c>
      <c r="C332" s="32">
        <f>IFERROR(IF(A332="","",SUMIF(SAVINGS!$A$3:A331,A332,SAVINGS!$E$3:E331)-SUMIF(WITHDRAWALS!$A:$A,A332,WITHDRAWALS!$E:$E)),"")</f>
        <v/>
      </c>
      <c r="D332" s="33">
        <f>IF(A332="","",TODAY())</f>
        <v/>
      </c>
      <c r="E332" s="29" t="n"/>
      <c r="F332" s="32">
        <f>IFERROR(IF(OR(A332="",E332=""),"",C332+E332),"")</f>
        <v/>
      </c>
      <c r="G332" s="30" t="n"/>
      <c r="H332" s="31" t="n"/>
    </row>
    <row r="333" ht="20" customHeight="1">
      <c r="A333" s="26" t="n"/>
      <c r="B333" s="27">
        <f>IFERROR(IF(A333="","",VLOOKUP(A333,DATABASE!$A:$B,2,0)),"")</f>
        <v/>
      </c>
      <c r="C333" s="20">
        <f>IFERROR(IF(A333="","",SUMIF(SAVINGS!$A$3:A332,A333,SAVINGS!$E$3:E332)-SUMIF(WITHDRAWALS!$A:$A,A333,WITHDRAWALS!$E:$E)),"")</f>
        <v/>
      </c>
      <c r="D333" s="28">
        <f>IF(A333="","",TODAY())</f>
        <v/>
      </c>
      <c r="E333" s="29" t="n"/>
      <c r="F333" s="20">
        <f>IFERROR(IF(OR(A333="",E333=""),"",C333+E333),"")</f>
        <v/>
      </c>
      <c r="G333" s="30" t="n"/>
      <c r="H333" s="27" t="n"/>
    </row>
    <row r="334" ht="20" customHeight="1">
      <c r="A334" s="26" t="n"/>
      <c r="B334" s="31">
        <f>IFERROR(IF(A334="","",VLOOKUP(A334,DATABASE!$A:$B,2,0)),"")</f>
        <v/>
      </c>
      <c r="C334" s="32">
        <f>IFERROR(IF(A334="","",SUMIF(SAVINGS!$A$3:A333,A334,SAVINGS!$E$3:E333)-SUMIF(WITHDRAWALS!$A:$A,A334,WITHDRAWALS!$E:$E)),"")</f>
        <v/>
      </c>
      <c r="D334" s="33">
        <f>IF(A334="","",TODAY())</f>
        <v/>
      </c>
      <c r="E334" s="29" t="n"/>
      <c r="F334" s="32">
        <f>IFERROR(IF(OR(A334="",E334=""),"",C334+E334),"")</f>
        <v/>
      </c>
      <c r="G334" s="30" t="n"/>
      <c r="H334" s="31" t="n"/>
    </row>
    <row r="335" ht="20" customHeight="1">
      <c r="A335" s="26" t="n"/>
      <c r="B335" s="27">
        <f>IFERROR(IF(A335="","",VLOOKUP(A335,DATABASE!$A:$B,2,0)),"")</f>
        <v/>
      </c>
      <c r="C335" s="20">
        <f>IFERROR(IF(A335="","",SUMIF(SAVINGS!$A$3:A334,A335,SAVINGS!$E$3:E334)-SUMIF(WITHDRAWALS!$A:$A,A335,WITHDRAWALS!$E:$E)),"")</f>
        <v/>
      </c>
      <c r="D335" s="28">
        <f>IF(A335="","",TODAY())</f>
        <v/>
      </c>
      <c r="E335" s="29" t="n"/>
      <c r="F335" s="20">
        <f>IFERROR(IF(OR(A335="",E335=""),"",C335+E335),"")</f>
        <v/>
      </c>
      <c r="G335" s="30" t="n"/>
      <c r="H335" s="27" t="n"/>
    </row>
    <row r="336" ht="20" customHeight="1">
      <c r="A336" s="26" t="n"/>
      <c r="B336" s="31">
        <f>IFERROR(IF(A336="","",VLOOKUP(A336,DATABASE!$A:$B,2,0)),"")</f>
        <v/>
      </c>
      <c r="C336" s="32">
        <f>IFERROR(IF(A336="","",SUMIF(SAVINGS!$A$3:A335,A336,SAVINGS!$E$3:E335)-SUMIF(WITHDRAWALS!$A:$A,A336,WITHDRAWALS!$E:$E)),"")</f>
        <v/>
      </c>
      <c r="D336" s="33">
        <f>IF(A336="","",TODAY())</f>
        <v/>
      </c>
      <c r="E336" s="29" t="n"/>
      <c r="F336" s="32">
        <f>IFERROR(IF(OR(A336="",E336=""),"",C336+E336),"")</f>
        <v/>
      </c>
      <c r="G336" s="30" t="n"/>
      <c r="H336" s="31" t="n"/>
    </row>
    <row r="337" ht="20" customHeight="1">
      <c r="A337" s="26" t="n"/>
      <c r="B337" s="27">
        <f>IFERROR(IF(A337="","",VLOOKUP(A337,DATABASE!$A:$B,2,0)),"")</f>
        <v/>
      </c>
      <c r="C337" s="20">
        <f>IFERROR(IF(A337="","",SUMIF(SAVINGS!$A$3:A336,A337,SAVINGS!$E$3:E336)-SUMIF(WITHDRAWALS!$A:$A,A337,WITHDRAWALS!$E:$E)),"")</f>
        <v/>
      </c>
      <c r="D337" s="28">
        <f>IF(A337="","",TODAY())</f>
        <v/>
      </c>
      <c r="E337" s="29" t="n"/>
      <c r="F337" s="20">
        <f>IFERROR(IF(OR(A337="",E337=""),"",C337+E337),"")</f>
        <v/>
      </c>
      <c r="G337" s="30" t="n"/>
      <c r="H337" s="27" t="n"/>
    </row>
    <row r="338" ht="20" customHeight="1">
      <c r="A338" s="26" t="n"/>
      <c r="B338" s="31">
        <f>IFERROR(IF(A338="","",VLOOKUP(A338,DATABASE!$A:$B,2,0)),"")</f>
        <v/>
      </c>
      <c r="C338" s="32">
        <f>IFERROR(IF(A338="","",SUMIF(SAVINGS!$A$3:A337,A338,SAVINGS!$E$3:E337)-SUMIF(WITHDRAWALS!$A:$A,A338,WITHDRAWALS!$E:$E)),"")</f>
        <v/>
      </c>
      <c r="D338" s="33">
        <f>IF(A338="","",TODAY())</f>
        <v/>
      </c>
      <c r="E338" s="29" t="n"/>
      <c r="F338" s="32">
        <f>IFERROR(IF(OR(A338="",E338=""),"",C338+E338),"")</f>
        <v/>
      </c>
      <c r="G338" s="30" t="n"/>
      <c r="H338" s="31" t="n"/>
    </row>
    <row r="339" ht="20" customHeight="1">
      <c r="A339" s="26" t="n"/>
      <c r="B339" s="27">
        <f>IFERROR(IF(A339="","",VLOOKUP(A339,DATABASE!$A:$B,2,0)),"")</f>
        <v/>
      </c>
      <c r="C339" s="20">
        <f>IFERROR(IF(A339="","",SUMIF(SAVINGS!$A$3:A338,A339,SAVINGS!$E$3:E338)-SUMIF(WITHDRAWALS!$A:$A,A339,WITHDRAWALS!$E:$E)),"")</f>
        <v/>
      </c>
      <c r="D339" s="28">
        <f>IF(A339="","",TODAY())</f>
        <v/>
      </c>
      <c r="E339" s="29" t="n"/>
      <c r="F339" s="20">
        <f>IFERROR(IF(OR(A339="",E339=""),"",C339+E339),"")</f>
        <v/>
      </c>
      <c r="G339" s="30" t="n"/>
      <c r="H339" s="27" t="n"/>
    </row>
    <row r="340" ht="20" customHeight="1">
      <c r="A340" s="26" t="n"/>
      <c r="B340" s="31">
        <f>IFERROR(IF(A340="","",VLOOKUP(A340,DATABASE!$A:$B,2,0)),"")</f>
        <v/>
      </c>
      <c r="C340" s="32">
        <f>IFERROR(IF(A340="","",SUMIF(SAVINGS!$A$3:A339,A340,SAVINGS!$E$3:E339)-SUMIF(WITHDRAWALS!$A:$A,A340,WITHDRAWALS!$E:$E)),"")</f>
        <v/>
      </c>
      <c r="D340" s="33">
        <f>IF(A340="","",TODAY())</f>
        <v/>
      </c>
      <c r="E340" s="29" t="n"/>
      <c r="F340" s="32">
        <f>IFERROR(IF(OR(A340="",E340=""),"",C340+E340),"")</f>
        <v/>
      </c>
      <c r="G340" s="30" t="n"/>
      <c r="H340" s="31" t="n"/>
    </row>
    <row r="341" ht="20" customHeight="1">
      <c r="A341" s="26" t="n"/>
      <c r="B341" s="27">
        <f>IFERROR(IF(A341="","",VLOOKUP(A341,DATABASE!$A:$B,2,0)),"")</f>
        <v/>
      </c>
      <c r="C341" s="20">
        <f>IFERROR(IF(A341="","",SUMIF(SAVINGS!$A$3:A340,A341,SAVINGS!$E$3:E340)-SUMIF(WITHDRAWALS!$A:$A,A341,WITHDRAWALS!$E:$E)),"")</f>
        <v/>
      </c>
      <c r="D341" s="28">
        <f>IF(A341="","",TODAY())</f>
        <v/>
      </c>
      <c r="E341" s="29" t="n"/>
      <c r="F341" s="20">
        <f>IFERROR(IF(OR(A341="",E341=""),"",C341+E341),"")</f>
        <v/>
      </c>
      <c r="G341" s="30" t="n"/>
      <c r="H341" s="27" t="n"/>
    </row>
    <row r="342" ht="20" customHeight="1">
      <c r="A342" s="26" t="n"/>
      <c r="B342" s="31">
        <f>IFERROR(IF(A342="","",VLOOKUP(A342,DATABASE!$A:$B,2,0)),"")</f>
        <v/>
      </c>
      <c r="C342" s="32">
        <f>IFERROR(IF(A342="","",SUMIF(SAVINGS!$A$3:A341,A342,SAVINGS!$E$3:E341)-SUMIF(WITHDRAWALS!$A:$A,A342,WITHDRAWALS!$E:$E)),"")</f>
        <v/>
      </c>
      <c r="D342" s="33">
        <f>IF(A342="","",TODAY())</f>
        <v/>
      </c>
      <c r="E342" s="29" t="n"/>
      <c r="F342" s="32">
        <f>IFERROR(IF(OR(A342="",E342=""),"",C342+E342),"")</f>
        <v/>
      </c>
      <c r="G342" s="30" t="n"/>
      <c r="H342" s="31" t="n"/>
    </row>
    <row r="343" ht="20" customHeight="1">
      <c r="A343" s="26" t="n"/>
      <c r="B343" s="27">
        <f>IFERROR(IF(A343="","",VLOOKUP(A343,DATABASE!$A:$B,2,0)),"")</f>
        <v/>
      </c>
      <c r="C343" s="20">
        <f>IFERROR(IF(A343="","",SUMIF(SAVINGS!$A$3:A342,A343,SAVINGS!$E$3:E342)-SUMIF(WITHDRAWALS!$A:$A,A343,WITHDRAWALS!$E:$E)),"")</f>
        <v/>
      </c>
      <c r="D343" s="28">
        <f>IF(A343="","",TODAY())</f>
        <v/>
      </c>
      <c r="E343" s="29" t="n"/>
      <c r="F343" s="20">
        <f>IFERROR(IF(OR(A343="",E343=""),"",C343+E343),"")</f>
        <v/>
      </c>
      <c r="G343" s="30" t="n"/>
      <c r="H343" s="27" t="n"/>
    </row>
    <row r="344" ht="20" customHeight="1">
      <c r="A344" s="26" t="n"/>
      <c r="B344" s="31">
        <f>IFERROR(IF(A344="","",VLOOKUP(A344,DATABASE!$A:$B,2,0)),"")</f>
        <v/>
      </c>
      <c r="C344" s="32">
        <f>IFERROR(IF(A344="","",SUMIF(SAVINGS!$A$3:A343,A344,SAVINGS!$E$3:E343)-SUMIF(WITHDRAWALS!$A:$A,A344,WITHDRAWALS!$E:$E)),"")</f>
        <v/>
      </c>
      <c r="D344" s="33">
        <f>IF(A344="","",TODAY())</f>
        <v/>
      </c>
      <c r="E344" s="29" t="n"/>
      <c r="F344" s="32">
        <f>IFERROR(IF(OR(A344="",E344=""),"",C344+E344),"")</f>
        <v/>
      </c>
      <c r="G344" s="30" t="n"/>
      <c r="H344" s="31" t="n"/>
    </row>
    <row r="345" ht="20" customHeight="1">
      <c r="A345" s="26" t="n"/>
      <c r="B345" s="27">
        <f>IFERROR(IF(A345="","",VLOOKUP(A345,DATABASE!$A:$B,2,0)),"")</f>
        <v/>
      </c>
      <c r="C345" s="20">
        <f>IFERROR(IF(A345="","",SUMIF(SAVINGS!$A$3:A344,A345,SAVINGS!$E$3:E344)-SUMIF(WITHDRAWALS!$A:$A,A345,WITHDRAWALS!$E:$E)),"")</f>
        <v/>
      </c>
      <c r="D345" s="28">
        <f>IF(A345="","",TODAY())</f>
        <v/>
      </c>
      <c r="E345" s="29" t="n"/>
      <c r="F345" s="20">
        <f>IFERROR(IF(OR(A345="",E345=""),"",C345+E345),"")</f>
        <v/>
      </c>
      <c r="G345" s="30" t="n"/>
      <c r="H345" s="27" t="n"/>
    </row>
    <row r="346" ht="20" customHeight="1">
      <c r="A346" s="26" t="n"/>
      <c r="B346" s="31">
        <f>IFERROR(IF(A346="","",VLOOKUP(A346,DATABASE!$A:$B,2,0)),"")</f>
        <v/>
      </c>
      <c r="C346" s="32">
        <f>IFERROR(IF(A346="","",SUMIF(SAVINGS!$A$3:A345,A346,SAVINGS!$E$3:E345)-SUMIF(WITHDRAWALS!$A:$A,A346,WITHDRAWALS!$E:$E)),"")</f>
        <v/>
      </c>
      <c r="D346" s="33">
        <f>IF(A346="","",TODAY())</f>
        <v/>
      </c>
      <c r="E346" s="29" t="n"/>
      <c r="F346" s="32">
        <f>IFERROR(IF(OR(A346="",E346=""),"",C346+E346),"")</f>
        <v/>
      </c>
      <c r="G346" s="30" t="n"/>
      <c r="H346" s="31" t="n"/>
    </row>
    <row r="347" ht="20" customHeight="1">
      <c r="A347" s="26" t="n"/>
      <c r="B347" s="27">
        <f>IFERROR(IF(A347="","",VLOOKUP(A347,DATABASE!$A:$B,2,0)),"")</f>
        <v/>
      </c>
      <c r="C347" s="20">
        <f>IFERROR(IF(A347="","",SUMIF(SAVINGS!$A$3:A346,A347,SAVINGS!$E$3:E346)-SUMIF(WITHDRAWALS!$A:$A,A347,WITHDRAWALS!$E:$E)),"")</f>
        <v/>
      </c>
      <c r="D347" s="28">
        <f>IF(A347="","",TODAY())</f>
        <v/>
      </c>
      <c r="E347" s="29" t="n"/>
      <c r="F347" s="20">
        <f>IFERROR(IF(OR(A347="",E347=""),"",C347+E347),"")</f>
        <v/>
      </c>
      <c r="G347" s="30" t="n"/>
      <c r="H347" s="27" t="n"/>
    </row>
    <row r="348" ht="20" customHeight="1">
      <c r="A348" s="26" t="n"/>
      <c r="B348" s="31">
        <f>IFERROR(IF(A348="","",VLOOKUP(A348,DATABASE!$A:$B,2,0)),"")</f>
        <v/>
      </c>
      <c r="C348" s="32">
        <f>IFERROR(IF(A348="","",SUMIF(SAVINGS!$A$3:A347,A348,SAVINGS!$E$3:E347)-SUMIF(WITHDRAWALS!$A:$A,A348,WITHDRAWALS!$E:$E)),"")</f>
        <v/>
      </c>
      <c r="D348" s="33">
        <f>IF(A348="","",TODAY())</f>
        <v/>
      </c>
      <c r="E348" s="29" t="n"/>
      <c r="F348" s="32">
        <f>IFERROR(IF(OR(A348="",E348=""),"",C348+E348),"")</f>
        <v/>
      </c>
      <c r="G348" s="30" t="n"/>
      <c r="H348" s="31" t="n"/>
    </row>
    <row r="349" ht="20" customHeight="1">
      <c r="A349" s="26" t="n"/>
      <c r="B349" s="27">
        <f>IFERROR(IF(A349="","",VLOOKUP(A349,DATABASE!$A:$B,2,0)),"")</f>
        <v/>
      </c>
      <c r="C349" s="20">
        <f>IFERROR(IF(A349="","",SUMIF(SAVINGS!$A$3:A348,A349,SAVINGS!$E$3:E348)-SUMIF(WITHDRAWALS!$A:$A,A349,WITHDRAWALS!$E:$E)),"")</f>
        <v/>
      </c>
      <c r="D349" s="28">
        <f>IF(A349="","",TODAY())</f>
        <v/>
      </c>
      <c r="E349" s="29" t="n"/>
      <c r="F349" s="20">
        <f>IFERROR(IF(OR(A349="",E349=""),"",C349+E349),"")</f>
        <v/>
      </c>
      <c r="G349" s="30" t="n"/>
      <c r="H349" s="27" t="n"/>
    </row>
    <row r="350" ht="20" customHeight="1">
      <c r="A350" s="26" t="n"/>
      <c r="B350" s="31">
        <f>IFERROR(IF(A350="","",VLOOKUP(A350,DATABASE!$A:$B,2,0)),"")</f>
        <v/>
      </c>
      <c r="C350" s="32">
        <f>IFERROR(IF(A350="","",SUMIF(SAVINGS!$A$3:A349,A350,SAVINGS!$E$3:E349)-SUMIF(WITHDRAWALS!$A:$A,A350,WITHDRAWALS!$E:$E)),"")</f>
        <v/>
      </c>
      <c r="D350" s="33">
        <f>IF(A350="","",TODAY())</f>
        <v/>
      </c>
      <c r="E350" s="29" t="n"/>
      <c r="F350" s="32">
        <f>IFERROR(IF(OR(A350="",E350=""),"",C350+E350),"")</f>
        <v/>
      </c>
      <c r="G350" s="30" t="n"/>
      <c r="H350" s="31" t="n"/>
    </row>
    <row r="351" ht="20" customHeight="1">
      <c r="A351" s="26" t="n"/>
      <c r="B351" s="27">
        <f>IFERROR(IF(A351="","",VLOOKUP(A351,DATABASE!$A:$B,2,0)),"")</f>
        <v/>
      </c>
      <c r="C351" s="20">
        <f>IFERROR(IF(A351="","",SUMIF(SAVINGS!$A$3:A350,A351,SAVINGS!$E$3:E350)-SUMIF(WITHDRAWALS!$A:$A,A351,WITHDRAWALS!$E:$E)),"")</f>
        <v/>
      </c>
      <c r="D351" s="28">
        <f>IF(A351="","",TODAY())</f>
        <v/>
      </c>
      <c r="E351" s="29" t="n"/>
      <c r="F351" s="20">
        <f>IFERROR(IF(OR(A351="",E351=""),"",C351+E351),"")</f>
        <v/>
      </c>
      <c r="G351" s="30" t="n"/>
      <c r="H351" s="27" t="n"/>
    </row>
    <row r="352" ht="20" customHeight="1">
      <c r="A352" s="26" t="n"/>
      <c r="B352" s="31">
        <f>IFERROR(IF(A352="","",VLOOKUP(A352,DATABASE!$A:$B,2,0)),"")</f>
        <v/>
      </c>
      <c r="C352" s="32">
        <f>IFERROR(IF(A352="","",SUMIF(SAVINGS!$A$3:A351,A352,SAVINGS!$E$3:E351)-SUMIF(WITHDRAWALS!$A:$A,A352,WITHDRAWALS!$E:$E)),"")</f>
        <v/>
      </c>
      <c r="D352" s="33">
        <f>IF(A352="","",TODAY())</f>
        <v/>
      </c>
      <c r="E352" s="29" t="n"/>
      <c r="F352" s="32">
        <f>IFERROR(IF(OR(A352="",E352=""),"",C352+E352),"")</f>
        <v/>
      </c>
      <c r="G352" s="30" t="n"/>
      <c r="H352" s="31" t="n"/>
    </row>
    <row r="353" ht="20" customHeight="1">
      <c r="A353" s="26" t="n"/>
      <c r="B353" s="27">
        <f>IFERROR(IF(A353="","",VLOOKUP(A353,DATABASE!$A:$B,2,0)),"")</f>
        <v/>
      </c>
      <c r="C353" s="20">
        <f>IFERROR(IF(A353="","",SUMIF(SAVINGS!$A$3:A352,A353,SAVINGS!$E$3:E352)-SUMIF(WITHDRAWALS!$A:$A,A353,WITHDRAWALS!$E:$E)),"")</f>
        <v/>
      </c>
      <c r="D353" s="28">
        <f>IF(A353="","",TODAY())</f>
        <v/>
      </c>
      <c r="E353" s="29" t="n"/>
      <c r="F353" s="20">
        <f>IFERROR(IF(OR(A353="",E353=""),"",C353+E353),"")</f>
        <v/>
      </c>
      <c r="G353" s="30" t="n"/>
      <c r="H353" s="27" t="n"/>
    </row>
    <row r="354" ht="20" customHeight="1">
      <c r="A354" s="26" t="n"/>
      <c r="B354" s="31">
        <f>IFERROR(IF(A354="","",VLOOKUP(A354,DATABASE!$A:$B,2,0)),"")</f>
        <v/>
      </c>
      <c r="C354" s="32">
        <f>IFERROR(IF(A354="","",SUMIF(SAVINGS!$A$3:A353,A354,SAVINGS!$E$3:E353)-SUMIF(WITHDRAWALS!$A:$A,A354,WITHDRAWALS!$E:$E)),"")</f>
        <v/>
      </c>
      <c r="D354" s="33">
        <f>IF(A354="","",TODAY())</f>
        <v/>
      </c>
      <c r="E354" s="29" t="n"/>
      <c r="F354" s="32">
        <f>IFERROR(IF(OR(A354="",E354=""),"",C354+E354),"")</f>
        <v/>
      </c>
      <c r="G354" s="30" t="n"/>
      <c r="H354" s="31" t="n"/>
    </row>
    <row r="355" ht="20" customHeight="1">
      <c r="A355" s="26" t="n"/>
      <c r="B355" s="27">
        <f>IFERROR(IF(A355="","",VLOOKUP(A355,DATABASE!$A:$B,2,0)),"")</f>
        <v/>
      </c>
      <c r="C355" s="20">
        <f>IFERROR(IF(A355="","",SUMIF(SAVINGS!$A$3:A354,A355,SAVINGS!$E$3:E354)-SUMIF(WITHDRAWALS!$A:$A,A355,WITHDRAWALS!$E:$E)),"")</f>
        <v/>
      </c>
      <c r="D355" s="28">
        <f>IF(A355="","",TODAY())</f>
        <v/>
      </c>
      <c r="E355" s="29" t="n"/>
      <c r="F355" s="20">
        <f>IFERROR(IF(OR(A355="",E355=""),"",C355+E355),"")</f>
        <v/>
      </c>
      <c r="G355" s="30" t="n"/>
      <c r="H355" s="27" t="n"/>
    </row>
    <row r="356" ht="20" customHeight="1">
      <c r="A356" s="26" t="n"/>
      <c r="B356" s="31">
        <f>IFERROR(IF(A356="","",VLOOKUP(A356,DATABASE!$A:$B,2,0)),"")</f>
        <v/>
      </c>
      <c r="C356" s="32">
        <f>IFERROR(IF(A356="","",SUMIF(SAVINGS!$A$3:A355,A356,SAVINGS!$E$3:E355)-SUMIF(WITHDRAWALS!$A:$A,A356,WITHDRAWALS!$E:$E)),"")</f>
        <v/>
      </c>
      <c r="D356" s="33">
        <f>IF(A356="","",TODAY())</f>
        <v/>
      </c>
      <c r="E356" s="29" t="n"/>
      <c r="F356" s="32">
        <f>IFERROR(IF(OR(A356="",E356=""),"",C356+E356),"")</f>
        <v/>
      </c>
      <c r="G356" s="30" t="n"/>
      <c r="H356" s="31" t="n"/>
    </row>
    <row r="357" ht="20" customHeight="1">
      <c r="A357" s="26" t="n"/>
      <c r="B357" s="27">
        <f>IFERROR(IF(A357="","",VLOOKUP(A357,DATABASE!$A:$B,2,0)),"")</f>
        <v/>
      </c>
      <c r="C357" s="20">
        <f>IFERROR(IF(A357="","",SUMIF(SAVINGS!$A$3:A356,A357,SAVINGS!$E$3:E356)-SUMIF(WITHDRAWALS!$A:$A,A357,WITHDRAWALS!$E:$E)),"")</f>
        <v/>
      </c>
      <c r="D357" s="28">
        <f>IF(A357="","",TODAY())</f>
        <v/>
      </c>
      <c r="E357" s="29" t="n"/>
      <c r="F357" s="20">
        <f>IFERROR(IF(OR(A357="",E357=""),"",C357+E357),"")</f>
        <v/>
      </c>
      <c r="G357" s="30" t="n"/>
      <c r="H357" s="27" t="n"/>
    </row>
    <row r="358" ht="20" customHeight="1">
      <c r="A358" s="26" t="n"/>
      <c r="B358" s="31">
        <f>IFERROR(IF(A358="","",VLOOKUP(A358,DATABASE!$A:$B,2,0)),"")</f>
        <v/>
      </c>
      <c r="C358" s="32">
        <f>IFERROR(IF(A358="","",SUMIF(SAVINGS!$A$3:A357,A358,SAVINGS!$E$3:E357)-SUMIF(WITHDRAWALS!$A:$A,A358,WITHDRAWALS!$E:$E)),"")</f>
        <v/>
      </c>
      <c r="D358" s="33">
        <f>IF(A358="","",TODAY())</f>
        <v/>
      </c>
      <c r="E358" s="29" t="n"/>
      <c r="F358" s="32">
        <f>IFERROR(IF(OR(A358="",E358=""),"",C358+E358),"")</f>
        <v/>
      </c>
      <c r="G358" s="30" t="n"/>
      <c r="H358" s="31" t="n"/>
    </row>
    <row r="359" ht="20" customHeight="1">
      <c r="A359" s="26" t="n"/>
      <c r="B359" s="27">
        <f>IFERROR(IF(A359="","",VLOOKUP(A359,DATABASE!$A:$B,2,0)),"")</f>
        <v/>
      </c>
      <c r="C359" s="20">
        <f>IFERROR(IF(A359="","",SUMIF(SAVINGS!$A$3:A358,A359,SAVINGS!$E$3:E358)-SUMIF(WITHDRAWALS!$A:$A,A359,WITHDRAWALS!$E:$E)),"")</f>
        <v/>
      </c>
      <c r="D359" s="28">
        <f>IF(A359="","",TODAY())</f>
        <v/>
      </c>
      <c r="E359" s="29" t="n"/>
      <c r="F359" s="20">
        <f>IFERROR(IF(OR(A359="",E359=""),"",C359+E359),"")</f>
        <v/>
      </c>
      <c r="G359" s="30" t="n"/>
      <c r="H359" s="27" t="n"/>
    </row>
    <row r="360" ht="20" customHeight="1">
      <c r="A360" s="26" t="n"/>
      <c r="B360" s="31">
        <f>IFERROR(IF(A360="","",VLOOKUP(A360,DATABASE!$A:$B,2,0)),"")</f>
        <v/>
      </c>
      <c r="C360" s="32">
        <f>IFERROR(IF(A360="","",SUMIF(SAVINGS!$A$3:A359,A360,SAVINGS!$E$3:E359)-SUMIF(WITHDRAWALS!$A:$A,A360,WITHDRAWALS!$E:$E)),"")</f>
        <v/>
      </c>
      <c r="D360" s="33">
        <f>IF(A360="","",TODAY())</f>
        <v/>
      </c>
      <c r="E360" s="29" t="n"/>
      <c r="F360" s="32">
        <f>IFERROR(IF(OR(A360="",E360=""),"",C360+E360),"")</f>
        <v/>
      </c>
      <c r="G360" s="30" t="n"/>
      <c r="H360" s="31" t="n"/>
    </row>
    <row r="361" ht="20" customHeight="1">
      <c r="A361" s="26" t="n"/>
      <c r="B361" s="27">
        <f>IFERROR(IF(A361="","",VLOOKUP(A361,DATABASE!$A:$B,2,0)),"")</f>
        <v/>
      </c>
      <c r="C361" s="20">
        <f>IFERROR(IF(A361="","",SUMIF(SAVINGS!$A$3:A360,A361,SAVINGS!$E$3:E360)-SUMIF(WITHDRAWALS!$A:$A,A361,WITHDRAWALS!$E:$E)),"")</f>
        <v/>
      </c>
      <c r="D361" s="28">
        <f>IF(A361="","",TODAY())</f>
        <v/>
      </c>
      <c r="E361" s="29" t="n"/>
      <c r="F361" s="20">
        <f>IFERROR(IF(OR(A361="",E361=""),"",C361+E361),"")</f>
        <v/>
      </c>
      <c r="G361" s="30" t="n"/>
      <c r="H361" s="27" t="n"/>
    </row>
    <row r="362" ht="20" customHeight="1">
      <c r="A362" s="26" t="n"/>
      <c r="B362" s="31">
        <f>IFERROR(IF(A362="","",VLOOKUP(A362,DATABASE!$A:$B,2,0)),"")</f>
        <v/>
      </c>
      <c r="C362" s="32">
        <f>IFERROR(IF(A362="","",SUMIF(SAVINGS!$A$3:A361,A362,SAVINGS!$E$3:E361)-SUMIF(WITHDRAWALS!$A:$A,A362,WITHDRAWALS!$E:$E)),"")</f>
        <v/>
      </c>
      <c r="D362" s="33">
        <f>IF(A362="","",TODAY())</f>
        <v/>
      </c>
      <c r="E362" s="29" t="n"/>
      <c r="F362" s="32">
        <f>IFERROR(IF(OR(A362="",E362=""),"",C362+E362),"")</f>
        <v/>
      </c>
      <c r="G362" s="30" t="n"/>
      <c r="H362" s="31" t="n"/>
    </row>
    <row r="363" ht="20" customHeight="1">
      <c r="A363" s="26" t="n"/>
      <c r="B363" s="27">
        <f>IFERROR(IF(A363="","",VLOOKUP(A363,DATABASE!$A:$B,2,0)),"")</f>
        <v/>
      </c>
      <c r="C363" s="20">
        <f>IFERROR(IF(A363="","",SUMIF(SAVINGS!$A$3:A362,A363,SAVINGS!$E$3:E362)-SUMIF(WITHDRAWALS!$A:$A,A363,WITHDRAWALS!$E:$E)),"")</f>
        <v/>
      </c>
      <c r="D363" s="28">
        <f>IF(A363="","",TODAY())</f>
        <v/>
      </c>
      <c r="E363" s="29" t="n"/>
      <c r="F363" s="20">
        <f>IFERROR(IF(OR(A363="",E363=""),"",C363+E363),"")</f>
        <v/>
      </c>
      <c r="G363" s="30" t="n"/>
      <c r="H363" s="27" t="n"/>
    </row>
    <row r="364" ht="20" customHeight="1">
      <c r="A364" s="26" t="n"/>
      <c r="B364" s="31">
        <f>IFERROR(IF(A364="","",VLOOKUP(A364,DATABASE!$A:$B,2,0)),"")</f>
        <v/>
      </c>
      <c r="C364" s="32">
        <f>IFERROR(IF(A364="","",SUMIF(SAVINGS!$A$3:A363,A364,SAVINGS!$E$3:E363)-SUMIF(WITHDRAWALS!$A:$A,A364,WITHDRAWALS!$E:$E)),"")</f>
        <v/>
      </c>
      <c r="D364" s="33">
        <f>IF(A364="","",TODAY())</f>
        <v/>
      </c>
      <c r="E364" s="29" t="n"/>
      <c r="F364" s="32">
        <f>IFERROR(IF(OR(A364="",E364=""),"",C364+E364),"")</f>
        <v/>
      </c>
      <c r="G364" s="30" t="n"/>
      <c r="H364" s="31" t="n"/>
    </row>
    <row r="365" ht="20" customHeight="1">
      <c r="A365" s="26" t="n"/>
      <c r="B365" s="27">
        <f>IFERROR(IF(A365="","",VLOOKUP(A365,DATABASE!$A:$B,2,0)),"")</f>
        <v/>
      </c>
      <c r="C365" s="20">
        <f>IFERROR(IF(A365="","",SUMIF(SAVINGS!$A$3:A364,A365,SAVINGS!$E$3:E364)-SUMIF(WITHDRAWALS!$A:$A,A365,WITHDRAWALS!$E:$E)),"")</f>
        <v/>
      </c>
      <c r="D365" s="28">
        <f>IF(A365="","",TODAY())</f>
        <v/>
      </c>
      <c r="E365" s="29" t="n"/>
      <c r="F365" s="20">
        <f>IFERROR(IF(OR(A365="",E365=""),"",C365+E365),"")</f>
        <v/>
      </c>
      <c r="G365" s="30" t="n"/>
      <c r="H365" s="27" t="n"/>
    </row>
    <row r="366" ht="20" customHeight="1">
      <c r="A366" s="26" t="n"/>
      <c r="B366" s="31">
        <f>IFERROR(IF(A366="","",VLOOKUP(A366,DATABASE!$A:$B,2,0)),"")</f>
        <v/>
      </c>
      <c r="C366" s="32">
        <f>IFERROR(IF(A366="","",SUMIF(SAVINGS!$A$3:A365,A366,SAVINGS!$E$3:E365)-SUMIF(WITHDRAWALS!$A:$A,A366,WITHDRAWALS!$E:$E)),"")</f>
        <v/>
      </c>
      <c r="D366" s="33">
        <f>IF(A366="","",TODAY())</f>
        <v/>
      </c>
      <c r="E366" s="29" t="n"/>
      <c r="F366" s="32">
        <f>IFERROR(IF(OR(A366="",E366=""),"",C366+E366),"")</f>
        <v/>
      </c>
      <c r="G366" s="30" t="n"/>
      <c r="H366" s="31" t="n"/>
    </row>
    <row r="367" ht="20" customHeight="1">
      <c r="A367" s="26" t="n"/>
      <c r="B367" s="27">
        <f>IFERROR(IF(A367="","",VLOOKUP(A367,DATABASE!$A:$B,2,0)),"")</f>
        <v/>
      </c>
      <c r="C367" s="20">
        <f>IFERROR(IF(A367="","",SUMIF(SAVINGS!$A$3:A366,A367,SAVINGS!$E$3:E366)-SUMIF(WITHDRAWALS!$A:$A,A367,WITHDRAWALS!$E:$E)),"")</f>
        <v/>
      </c>
      <c r="D367" s="28">
        <f>IF(A367="","",TODAY())</f>
        <v/>
      </c>
      <c r="E367" s="29" t="n"/>
      <c r="F367" s="20">
        <f>IFERROR(IF(OR(A367="",E367=""),"",C367+E367),"")</f>
        <v/>
      </c>
      <c r="G367" s="30" t="n"/>
      <c r="H367" s="27" t="n"/>
    </row>
    <row r="368" ht="20" customHeight="1">
      <c r="A368" s="26" t="n"/>
      <c r="B368" s="31">
        <f>IFERROR(IF(A368="","",VLOOKUP(A368,DATABASE!$A:$B,2,0)),"")</f>
        <v/>
      </c>
      <c r="C368" s="32">
        <f>IFERROR(IF(A368="","",SUMIF(SAVINGS!$A$3:A367,A368,SAVINGS!$E$3:E367)-SUMIF(WITHDRAWALS!$A:$A,A368,WITHDRAWALS!$E:$E)),"")</f>
        <v/>
      </c>
      <c r="D368" s="33">
        <f>IF(A368="","",TODAY())</f>
        <v/>
      </c>
      <c r="E368" s="29" t="n"/>
      <c r="F368" s="32">
        <f>IFERROR(IF(OR(A368="",E368=""),"",C368+E368),"")</f>
        <v/>
      </c>
      <c r="G368" s="30" t="n"/>
      <c r="H368" s="31" t="n"/>
    </row>
    <row r="369" ht="20" customHeight="1">
      <c r="A369" s="26" t="n"/>
      <c r="B369" s="27">
        <f>IFERROR(IF(A369="","",VLOOKUP(A369,DATABASE!$A:$B,2,0)),"")</f>
        <v/>
      </c>
      <c r="C369" s="20">
        <f>IFERROR(IF(A369="","",SUMIF(SAVINGS!$A$3:A368,A369,SAVINGS!$E$3:E368)-SUMIF(WITHDRAWALS!$A:$A,A369,WITHDRAWALS!$E:$E)),"")</f>
        <v/>
      </c>
      <c r="D369" s="28">
        <f>IF(A369="","",TODAY())</f>
        <v/>
      </c>
      <c r="E369" s="29" t="n"/>
      <c r="F369" s="20">
        <f>IFERROR(IF(OR(A369="",E369=""),"",C369+E369),"")</f>
        <v/>
      </c>
      <c r="G369" s="30" t="n"/>
      <c r="H369" s="27" t="n"/>
    </row>
    <row r="370" ht="20" customHeight="1">
      <c r="A370" s="26" t="n"/>
      <c r="B370" s="31">
        <f>IFERROR(IF(A370="","",VLOOKUP(A370,DATABASE!$A:$B,2,0)),"")</f>
        <v/>
      </c>
      <c r="C370" s="32">
        <f>IFERROR(IF(A370="","",SUMIF(SAVINGS!$A$3:A369,A370,SAVINGS!$E$3:E369)-SUMIF(WITHDRAWALS!$A:$A,A370,WITHDRAWALS!$E:$E)),"")</f>
        <v/>
      </c>
      <c r="D370" s="33">
        <f>IF(A370="","",TODAY())</f>
        <v/>
      </c>
      <c r="E370" s="29" t="n"/>
      <c r="F370" s="32">
        <f>IFERROR(IF(OR(A370="",E370=""),"",C370+E370),"")</f>
        <v/>
      </c>
      <c r="G370" s="30" t="n"/>
      <c r="H370" s="31" t="n"/>
    </row>
    <row r="371" ht="20" customHeight="1">
      <c r="A371" s="26" t="n"/>
      <c r="B371" s="27">
        <f>IFERROR(IF(A371="","",VLOOKUP(A371,DATABASE!$A:$B,2,0)),"")</f>
        <v/>
      </c>
      <c r="C371" s="20">
        <f>IFERROR(IF(A371="","",SUMIF(SAVINGS!$A$3:A370,A371,SAVINGS!$E$3:E370)-SUMIF(WITHDRAWALS!$A:$A,A371,WITHDRAWALS!$E:$E)),"")</f>
        <v/>
      </c>
      <c r="D371" s="28">
        <f>IF(A371="","",TODAY())</f>
        <v/>
      </c>
      <c r="E371" s="29" t="n"/>
      <c r="F371" s="20">
        <f>IFERROR(IF(OR(A371="",E371=""),"",C371+E371),"")</f>
        <v/>
      </c>
      <c r="G371" s="30" t="n"/>
      <c r="H371" s="27" t="n"/>
    </row>
    <row r="372" ht="20" customHeight="1">
      <c r="A372" s="26" t="n"/>
      <c r="B372" s="31">
        <f>IFERROR(IF(A372="","",VLOOKUP(A372,DATABASE!$A:$B,2,0)),"")</f>
        <v/>
      </c>
      <c r="C372" s="32">
        <f>IFERROR(IF(A372="","",SUMIF(SAVINGS!$A$3:A371,A372,SAVINGS!$E$3:E371)-SUMIF(WITHDRAWALS!$A:$A,A372,WITHDRAWALS!$E:$E)),"")</f>
        <v/>
      </c>
      <c r="D372" s="33">
        <f>IF(A372="","",TODAY())</f>
        <v/>
      </c>
      <c r="E372" s="29" t="n"/>
      <c r="F372" s="32">
        <f>IFERROR(IF(OR(A372="",E372=""),"",C372+E372),"")</f>
        <v/>
      </c>
      <c r="G372" s="30" t="n"/>
      <c r="H372" s="31" t="n"/>
    </row>
    <row r="373" ht="20" customHeight="1">
      <c r="A373" s="26" t="n"/>
      <c r="B373" s="27">
        <f>IFERROR(IF(A373="","",VLOOKUP(A373,DATABASE!$A:$B,2,0)),"")</f>
        <v/>
      </c>
      <c r="C373" s="20">
        <f>IFERROR(IF(A373="","",SUMIF(SAVINGS!$A$3:A372,A373,SAVINGS!$E$3:E372)-SUMIF(WITHDRAWALS!$A:$A,A373,WITHDRAWALS!$E:$E)),"")</f>
        <v/>
      </c>
      <c r="D373" s="28">
        <f>IF(A373="","",TODAY())</f>
        <v/>
      </c>
      <c r="E373" s="29" t="n"/>
      <c r="F373" s="20">
        <f>IFERROR(IF(OR(A373="",E373=""),"",C373+E373),"")</f>
        <v/>
      </c>
      <c r="G373" s="30" t="n"/>
      <c r="H373" s="27" t="n"/>
    </row>
    <row r="374" ht="20" customHeight="1">
      <c r="A374" s="26" t="n"/>
      <c r="B374" s="31">
        <f>IFERROR(IF(A374="","",VLOOKUP(A374,DATABASE!$A:$B,2,0)),"")</f>
        <v/>
      </c>
      <c r="C374" s="32">
        <f>IFERROR(IF(A374="","",SUMIF(SAVINGS!$A$3:A373,A374,SAVINGS!$E$3:E373)-SUMIF(WITHDRAWALS!$A:$A,A374,WITHDRAWALS!$E:$E)),"")</f>
        <v/>
      </c>
      <c r="D374" s="33">
        <f>IF(A374="","",TODAY())</f>
        <v/>
      </c>
      <c r="E374" s="29" t="n"/>
      <c r="F374" s="32">
        <f>IFERROR(IF(OR(A374="",E374=""),"",C374+E374),"")</f>
        <v/>
      </c>
      <c r="G374" s="30" t="n"/>
      <c r="H374" s="31" t="n"/>
    </row>
    <row r="375" ht="20" customHeight="1">
      <c r="A375" s="26" t="n"/>
      <c r="B375" s="27">
        <f>IFERROR(IF(A375="","",VLOOKUP(A375,DATABASE!$A:$B,2,0)),"")</f>
        <v/>
      </c>
      <c r="C375" s="20">
        <f>IFERROR(IF(A375="","",SUMIF(SAVINGS!$A$3:A374,A375,SAVINGS!$E$3:E374)-SUMIF(WITHDRAWALS!$A:$A,A375,WITHDRAWALS!$E:$E)),"")</f>
        <v/>
      </c>
      <c r="D375" s="28">
        <f>IF(A375="","",TODAY())</f>
        <v/>
      </c>
      <c r="E375" s="29" t="n"/>
      <c r="F375" s="20">
        <f>IFERROR(IF(OR(A375="",E375=""),"",C375+E375),"")</f>
        <v/>
      </c>
      <c r="G375" s="30" t="n"/>
      <c r="H375" s="27" t="n"/>
    </row>
    <row r="376" ht="20" customHeight="1">
      <c r="A376" s="26" t="n"/>
      <c r="B376" s="31">
        <f>IFERROR(IF(A376="","",VLOOKUP(A376,DATABASE!$A:$B,2,0)),"")</f>
        <v/>
      </c>
      <c r="C376" s="32">
        <f>IFERROR(IF(A376="","",SUMIF(SAVINGS!$A$3:A375,A376,SAVINGS!$E$3:E375)-SUMIF(WITHDRAWALS!$A:$A,A376,WITHDRAWALS!$E:$E)),"")</f>
        <v/>
      </c>
      <c r="D376" s="33">
        <f>IF(A376="","",TODAY())</f>
        <v/>
      </c>
      <c r="E376" s="29" t="n"/>
      <c r="F376" s="32">
        <f>IFERROR(IF(OR(A376="",E376=""),"",C376+E376),"")</f>
        <v/>
      </c>
      <c r="G376" s="30" t="n"/>
      <c r="H376" s="31" t="n"/>
    </row>
    <row r="377" ht="20" customHeight="1">
      <c r="A377" s="26" t="n"/>
      <c r="B377" s="27">
        <f>IFERROR(IF(A377="","",VLOOKUP(A377,DATABASE!$A:$B,2,0)),"")</f>
        <v/>
      </c>
      <c r="C377" s="20">
        <f>IFERROR(IF(A377="","",SUMIF(SAVINGS!$A$3:A376,A377,SAVINGS!$E$3:E376)-SUMIF(WITHDRAWALS!$A:$A,A377,WITHDRAWALS!$E:$E)),"")</f>
        <v/>
      </c>
      <c r="D377" s="28">
        <f>IF(A377="","",TODAY())</f>
        <v/>
      </c>
      <c r="E377" s="29" t="n"/>
      <c r="F377" s="20">
        <f>IFERROR(IF(OR(A377="",E377=""),"",C377+E377),"")</f>
        <v/>
      </c>
      <c r="G377" s="30" t="n"/>
      <c r="H377" s="27" t="n"/>
    </row>
    <row r="378" ht="20" customHeight="1">
      <c r="A378" s="26" t="n"/>
      <c r="B378" s="31">
        <f>IFERROR(IF(A378="","",VLOOKUP(A378,DATABASE!$A:$B,2,0)),"")</f>
        <v/>
      </c>
      <c r="C378" s="32">
        <f>IFERROR(IF(A378="","",SUMIF(SAVINGS!$A$3:A377,A378,SAVINGS!$E$3:E377)-SUMIF(WITHDRAWALS!$A:$A,A378,WITHDRAWALS!$E:$E)),"")</f>
        <v/>
      </c>
      <c r="D378" s="33">
        <f>IF(A378="","",TODAY())</f>
        <v/>
      </c>
      <c r="E378" s="29" t="n"/>
      <c r="F378" s="32">
        <f>IFERROR(IF(OR(A378="",E378=""),"",C378+E378),"")</f>
        <v/>
      </c>
      <c r="G378" s="30" t="n"/>
      <c r="H378" s="31" t="n"/>
    </row>
    <row r="379" ht="20" customHeight="1">
      <c r="A379" s="26" t="n"/>
      <c r="B379" s="27">
        <f>IFERROR(IF(A379="","",VLOOKUP(A379,DATABASE!$A:$B,2,0)),"")</f>
        <v/>
      </c>
      <c r="C379" s="20">
        <f>IFERROR(IF(A379="","",SUMIF(SAVINGS!$A$3:A378,A379,SAVINGS!$E$3:E378)-SUMIF(WITHDRAWALS!$A:$A,A379,WITHDRAWALS!$E:$E)),"")</f>
        <v/>
      </c>
      <c r="D379" s="28">
        <f>IF(A379="","",TODAY())</f>
        <v/>
      </c>
      <c r="E379" s="29" t="n"/>
      <c r="F379" s="20">
        <f>IFERROR(IF(OR(A379="",E379=""),"",C379+E379),"")</f>
        <v/>
      </c>
      <c r="G379" s="30" t="n"/>
      <c r="H379" s="27" t="n"/>
    </row>
    <row r="380" ht="20" customHeight="1">
      <c r="A380" s="26" t="n"/>
      <c r="B380" s="31">
        <f>IFERROR(IF(A380="","",VLOOKUP(A380,DATABASE!$A:$B,2,0)),"")</f>
        <v/>
      </c>
      <c r="C380" s="32">
        <f>IFERROR(IF(A380="","",SUMIF(SAVINGS!$A$3:A379,A380,SAVINGS!$E$3:E379)-SUMIF(WITHDRAWALS!$A:$A,A380,WITHDRAWALS!$E:$E)),"")</f>
        <v/>
      </c>
      <c r="D380" s="33">
        <f>IF(A380="","",TODAY())</f>
        <v/>
      </c>
      <c r="E380" s="29" t="n"/>
      <c r="F380" s="32">
        <f>IFERROR(IF(OR(A380="",E380=""),"",C380+E380),"")</f>
        <v/>
      </c>
      <c r="G380" s="30" t="n"/>
      <c r="H380" s="31" t="n"/>
    </row>
    <row r="381" ht="20" customHeight="1">
      <c r="A381" s="26" t="n"/>
      <c r="B381" s="27">
        <f>IFERROR(IF(A381="","",VLOOKUP(A381,DATABASE!$A:$B,2,0)),"")</f>
        <v/>
      </c>
      <c r="C381" s="20">
        <f>IFERROR(IF(A381="","",SUMIF(SAVINGS!$A$3:A380,A381,SAVINGS!$E$3:E380)-SUMIF(WITHDRAWALS!$A:$A,A381,WITHDRAWALS!$E:$E)),"")</f>
        <v/>
      </c>
      <c r="D381" s="28">
        <f>IF(A381="","",TODAY())</f>
        <v/>
      </c>
      <c r="E381" s="29" t="n"/>
      <c r="F381" s="20">
        <f>IFERROR(IF(OR(A381="",E381=""),"",C381+E381),"")</f>
        <v/>
      </c>
      <c r="G381" s="30" t="n"/>
      <c r="H381" s="27" t="n"/>
    </row>
    <row r="382" ht="20" customHeight="1">
      <c r="A382" s="26" t="n"/>
      <c r="B382" s="31">
        <f>IFERROR(IF(A382="","",VLOOKUP(A382,DATABASE!$A:$B,2,0)),"")</f>
        <v/>
      </c>
      <c r="C382" s="32">
        <f>IFERROR(IF(A382="","",SUMIF(SAVINGS!$A$3:A381,A382,SAVINGS!$E$3:E381)-SUMIF(WITHDRAWALS!$A:$A,A382,WITHDRAWALS!$E:$E)),"")</f>
        <v/>
      </c>
      <c r="D382" s="33">
        <f>IF(A382="","",TODAY())</f>
        <v/>
      </c>
      <c r="E382" s="29" t="n"/>
      <c r="F382" s="32">
        <f>IFERROR(IF(OR(A382="",E382=""),"",C382+E382),"")</f>
        <v/>
      </c>
      <c r="G382" s="30" t="n"/>
      <c r="H382" s="31" t="n"/>
    </row>
    <row r="383" ht="20" customHeight="1">
      <c r="A383" s="26" t="n"/>
      <c r="B383" s="27">
        <f>IFERROR(IF(A383="","",VLOOKUP(A383,DATABASE!$A:$B,2,0)),"")</f>
        <v/>
      </c>
      <c r="C383" s="20">
        <f>IFERROR(IF(A383="","",SUMIF(SAVINGS!$A$3:A382,A383,SAVINGS!$E$3:E382)-SUMIF(WITHDRAWALS!$A:$A,A383,WITHDRAWALS!$E:$E)),"")</f>
        <v/>
      </c>
      <c r="D383" s="28">
        <f>IF(A383="","",TODAY())</f>
        <v/>
      </c>
      <c r="E383" s="29" t="n"/>
      <c r="F383" s="20">
        <f>IFERROR(IF(OR(A383="",E383=""),"",C383+E383),"")</f>
        <v/>
      </c>
      <c r="G383" s="30" t="n"/>
      <c r="H383" s="27" t="n"/>
    </row>
    <row r="384" ht="20" customHeight="1">
      <c r="A384" s="26" t="n"/>
      <c r="B384" s="31">
        <f>IFERROR(IF(A384="","",VLOOKUP(A384,DATABASE!$A:$B,2,0)),"")</f>
        <v/>
      </c>
      <c r="C384" s="32">
        <f>IFERROR(IF(A384="","",SUMIF(SAVINGS!$A$3:A383,A384,SAVINGS!$E$3:E383)-SUMIF(WITHDRAWALS!$A:$A,A384,WITHDRAWALS!$E:$E)),"")</f>
        <v/>
      </c>
      <c r="D384" s="33">
        <f>IF(A384="","",TODAY())</f>
        <v/>
      </c>
      <c r="E384" s="29" t="n"/>
      <c r="F384" s="32">
        <f>IFERROR(IF(OR(A384="",E384=""),"",C384+E384),"")</f>
        <v/>
      </c>
      <c r="G384" s="30" t="n"/>
      <c r="H384" s="31" t="n"/>
    </row>
    <row r="385" ht="20" customHeight="1">
      <c r="A385" s="26" t="n"/>
      <c r="B385" s="27">
        <f>IFERROR(IF(A385="","",VLOOKUP(A385,DATABASE!$A:$B,2,0)),"")</f>
        <v/>
      </c>
      <c r="C385" s="20">
        <f>IFERROR(IF(A385="","",SUMIF(SAVINGS!$A$3:A384,A385,SAVINGS!$E$3:E384)-SUMIF(WITHDRAWALS!$A:$A,A385,WITHDRAWALS!$E:$E)),"")</f>
        <v/>
      </c>
      <c r="D385" s="28">
        <f>IF(A385="","",TODAY())</f>
        <v/>
      </c>
      <c r="E385" s="29" t="n"/>
      <c r="F385" s="20">
        <f>IFERROR(IF(OR(A385="",E385=""),"",C385+E385),"")</f>
        <v/>
      </c>
      <c r="G385" s="30" t="n"/>
      <c r="H385" s="27" t="n"/>
    </row>
    <row r="386" ht="20" customHeight="1">
      <c r="A386" s="26" t="n"/>
      <c r="B386" s="31">
        <f>IFERROR(IF(A386="","",VLOOKUP(A386,DATABASE!$A:$B,2,0)),"")</f>
        <v/>
      </c>
      <c r="C386" s="32">
        <f>IFERROR(IF(A386="","",SUMIF(SAVINGS!$A$3:A385,A386,SAVINGS!$E$3:E385)-SUMIF(WITHDRAWALS!$A:$A,A386,WITHDRAWALS!$E:$E)),"")</f>
        <v/>
      </c>
      <c r="D386" s="33">
        <f>IF(A386="","",TODAY())</f>
        <v/>
      </c>
      <c r="E386" s="29" t="n"/>
      <c r="F386" s="32">
        <f>IFERROR(IF(OR(A386="",E386=""),"",C386+E386),"")</f>
        <v/>
      </c>
      <c r="G386" s="30" t="n"/>
      <c r="H386" s="31" t="n"/>
    </row>
    <row r="387" ht="20" customHeight="1">
      <c r="A387" s="26" t="n"/>
      <c r="B387" s="27">
        <f>IFERROR(IF(A387="","",VLOOKUP(A387,DATABASE!$A:$B,2,0)),"")</f>
        <v/>
      </c>
      <c r="C387" s="20">
        <f>IFERROR(IF(A387="","",SUMIF(SAVINGS!$A$3:A386,A387,SAVINGS!$E$3:E386)-SUMIF(WITHDRAWALS!$A:$A,A387,WITHDRAWALS!$E:$E)),"")</f>
        <v/>
      </c>
      <c r="D387" s="28">
        <f>IF(A387="","",TODAY())</f>
        <v/>
      </c>
      <c r="E387" s="29" t="n"/>
      <c r="F387" s="20">
        <f>IFERROR(IF(OR(A387="",E387=""),"",C387+E387),"")</f>
        <v/>
      </c>
      <c r="G387" s="30" t="n"/>
      <c r="H387" s="27" t="n"/>
    </row>
    <row r="388" ht="20" customHeight="1">
      <c r="A388" s="26" t="n"/>
      <c r="B388" s="31">
        <f>IFERROR(IF(A388="","",VLOOKUP(A388,DATABASE!$A:$B,2,0)),"")</f>
        <v/>
      </c>
      <c r="C388" s="32">
        <f>IFERROR(IF(A388="","",SUMIF(SAVINGS!$A$3:A387,A388,SAVINGS!$E$3:E387)-SUMIF(WITHDRAWALS!$A:$A,A388,WITHDRAWALS!$E:$E)),"")</f>
        <v/>
      </c>
      <c r="D388" s="33">
        <f>IF(A388="","",TODAY())</f>
        <v/>
      </c>
      <c r="E388" s="29" t="n"/>
      <c r="F388" s="32">
        <f>IFERROR(IF(OR(A388="",E388=""),"",C388+E388),"")</f>
        <v/>
      </c>
      <c r="G388" s="30" t="n"/>
      <c r="H388" s="31" t="n"/>
    </row>
    <row r="389" ht="20" customHeight="1">
      <c r="A389" s="26" t="n"/>
      <c r="B389" s="27">
        <f>IFERROR(IF(A389="","",VLOOKUP(A389,DATABASE!$A:$B,2,0)),"")</f>
        <v/>
      </c>
      <c r="C389" s="20">
        <f>IFERROR(IF(A389="","",SUMIF(SAVINGS!$A$3:A388,A389,SAVINGS!$E$3:E388)-SUMIF(WITHDRAWALS!$A:$A,A389,WITHDRAWALS!$E:$E)),"")</f>
        <v/>
      </c>
      <c r="D389" s="28">
        <f>IF(A389="","",TODAY())</f>
        <v/>
      </c>
      <c r="E389" s="29" t="n"/>
      <c r="F389" s="20">
        <f>IFERROR(IF(OR(A389="",E389=""),"",C389+E389),"")</f>
        <v/>
      </c>
      <c r="G389" s="30" t="n"/>
      <c r="H389" s="27" t="n"/>
    </row>
    <row r="390" ht="20" customHeight="1">
      <c r="A390" s="26" t="n"/>
      <c r="B390" s="31">
        <f>IFERROR(IF(A390="","",VLOOKUP(A390,DATABASE!$A:$B,2,0)),"")</f>
        <v/>
      </c>
      <c r="C390" s="32">
        <f>IFERROR(IF(A390="","",SUMIF(SAVINGS!$A$3:A389,A390,SAVINGS!$E$3:E389)-SUMIF(WITHDRAWALS!$A:$A,A390,WITHDRAWALS!$E:$E)),"")</f>
        <v/>
      </c>
      <c r="D390" s="33">
        <f>IF(A390="","",TODAY())</f>
        <v/>
      </c>
      <c r="E390" s="29" t="n"/>
      <c r="F390" s="32">
        <f>IFERROR(IF(OR(A390="",E390=""),"",C390+E390),"")</f>
        <v/>
      </c>
      <c r="G390" s="30" t="n"/>
      <c r="H390" s="31" t="n"/>
    </row>
    <row r="391" ht="20" customHeight="1">
      <c r="A391" s="26" t="n"/>
      <c r="B391" s="27">
        <f>IFERROR(IF(A391="","",VLOOKUP(A391,DATABASE!$A:$B,2,0)),"")</f>
        <v/>
      </c>
      <c r="C391" s="20">
        <f>IFERROR(IF(A391="","",SUMIF(SAVINGS!$A$3:A390,A391,SAVINGS!$E$3:E390)-SUMIF(WITHDRAWALS!$A:$A,A391,WITHDRAWALS!$E:$E)),"")</f>
        <v/>
      </c>
      <c r="D391" s="28">
        <f>IF(A391="","",TODAY())</f>
        <v/>
      </c>
      <c r="E391" s="29" t="n"/>
      <c r="F391" s="20">
        <f>IFERROR(IF(OR(A391="",E391=""),"",C391+E391),"")</f>
        <v/>
      </c>
      <c r="G391" s="30" t="n"/>
      <c r="H391" s="27" t="n"/>
    </row>
    <row r="392" ht="20" customHeight="1">
      <c r="A392" s="26" t="n"/>
      <c r="B392" s="31">
        <f>IFERROR(IF(A392="","",VLOOKUP(A392,DATABASE!$A:$B,2,0)),"")</f>
        <v/>
      </c>
      <c r="C392" s="32">
        <f>IFERROR(IF(A392="","",SUMIF(SAVINGS!$A$3:A391,A392,SAVINGS!$E$3:E391)-SUMIF(WITHDRAWALS!$A:$A,A392,WITHDRAWALS!$E:$E)),"")</f>
        <v/>
      </c>
      <c r="D392" s="33">
        <f>IF(A392="","",TODAY())</f>
        <v/>
      </c>
      <c r="E392" s="29" t="n"/>
      <c r="F392" s="32">
        <f>IFERROR(IF(OR(A392="",E392=""),"",C392+E392),"")</f>
        <v/>
      </c>
      <c r="G392" s="30" t="n"/>
      <c r="H392" s="31" t="n"/>
    </row>
    <row r="393" ht="20" customHeight="1">
      <c r="A393" s="26" t="n"/>
      <c r="B393" s="27">
        <f>IFERROR(IF(A393="","",VLOOKUP(A393,DATABASE!$A:$B,2,0)),"")</f>
        <v/>
      </c>
      <c r="C393" s="20">
        <f>IFERROR(IF(A393="","",SUMIF(SAVINGS!$A$3:A392,A393,SAVINGS!$E$3:E392)-SUMIF(WITHDRAWALS!$A:$A,A393,WITHDRAWALS!$E:$E)),"")</f>
        <v/>
      </c>
      <c r="D393" s="28">
        <f>IF(A393="","",TODAY())</f>
        <v/>
      </c>
      <c r="E393" s="29" t="n"/>
      <c r="F393" s="20">
        <f>IFERROR(IF(OR(A393="",E393=""),"",C393+E393),"")</f>
        <v/>
      </c>
      <c r="G393" s="30" t="n"/>
      <c r="H393" s="27" t="n"/>
    </row>
    <row r="394" ht="20" customHeight="1">
      <c r="A394" s="26" t="n"/>
      <c r="B394" s="31">
        <f>IFERROR(IF(A394="","",VLOOKUP(A394,DATABASE!$A:$B,2,0)),"")</f>
        <v/>
      </c>
      <c r="C394" s="32">
        <f>IFERROR(IF(A394="","",SUMIF(SAVINGS!$A$3:A393,A394,SAVINGS!$E$3:E393)-SUMIF(WITHDRAWALS!$A:$A,A394,WITHDRAWALS!$E:$E)),"")</f>
        <v/>
      </c>
      <c r="D394" s="33">
        <f>IF(A394="","",TODAY())</f>
        <v/>
      </c>
      <c r="E394" s="29" t="n"/>
      <c r="F394" s="32">
        <f>IFERROR(IF(OR(A394="",E394=""),"",C394+E394),"")</f>
        <v/>
      </c>
      <c r="G394" s="30" t="n"/>
      <c r="H394" s="31" t="n"/>
    </row>
    <row r="395" ht="20" customHeight="1">
      <c r="A395" s="26" t="n"/>
      <c r="B395" s="27">
        <f>IFERROR(IF(A395="","",VLOOKUP(A395,DATABASE!$A:$B,2,0)),"")</f>
        <v/>
      </c>
      <c r="C395" s="20">
        <f>IFERROR(IF(A395="","",SUMIF(SAVINGS!$A$3:A394,A395,SAVINGS!$E$3:E394)-SUMIF(WITHDRAWALS!$A:$A,A395,WITHDRAWALS!$E:$E)),"")</f>
        <v/>
      </c>
      <c r="D395" s="28">
        <f>IF(A395="","",TODAY())</f>
        <v/>
      </c>
      <c r="E395" s="29" t="n"/>
      <c r="F395" s="20">
        <f>IFERROR(IF(OR(A395="",E395=""),"",C395+E395),"")</f>
        <v/>
      </c>
      <c r="G395" s="30" t="n"/>
      <c r="H395" s="27" t="n"/>
    </row>
    <row r="396" ht="20" customHeight="1">
      <c r="A396" s="26" t="n"/>
      <c r="B396" s="31">
        <f>IFERROR(IF(A396="","",VLOOKUP(A396,DATABASE!$A:$B,2,0)),"")</f>
        <v/>
      </c>
      <c r="C396" s="32">
        <f>IFERROR(IF(A396="","",SUMIF(SAVINGS!$A$3:A395,A396,SAVINGS!$E$3:E395)-SUMIF(WITHDRAWALS!$A:$A,A396,WITHDRAWALS!$E:$E)),"")</f>
        <v/>
      </c>
      <c r="D396" s="33">
        <f>IF(A396="","",TODAY())</f>
        <v/>
      </c>
      <c r="E396" s="29" t="n"/>
      <c r="F396" s="32">
        <f>IFERROR(IF(OR(A396="",E396=""),"",C396+E396),"")</f>
        <v/>
      </c>
      <c r="G396" s="30" t="n"/>
      <c r="H396" s="31" t="n"/>
    </row>
    <row r="397" ht="20" customHeight="1">
      <c r="A397" s="26" t="n"/>
      <c r="B397" s="27">
        <f>IFERROR(IF(A397="","",VLOOKUP(A397,DATABASE!$A:$B,2,0)),"")</f>
        <v/>
      </c>
      <c r="C397" s="20">
        <f>IFERROR(IF(A397="","",SUMIF(SAVINGS!$A$3:A396,A397,SAVINGS!$E$3:E396)-SUMIF(WITHDRAWALS!$A:$A,A397,WITHDRAWALS!$E:$E)),"")</f>
        <v/>
      </c>
      <c r="D397" s="28">
        <f>IF(A397="","",TODAY())</f>
        <v/>
      </c>
      <c r="E397" s="29" t="n"/>
      <c r="F397" s="20">
        <f>IFERROR(IF(OR(A397="",E397=""),"",C397+E397),"")</f>
        <v/>
      </c>
      <c r="G397" s="30" t="n"/>
      <c r="H397" s="27" t="n"/>
    </row>
    <row r="398" ht="20" customHeight="1">
      <c r="A398" s="26" t="n"/>
      <c r="B398" s="31">
        <f>IFERROR(IF(A398="","",VLOOKUP(A398,DATABASE!$A:$B,2,0)),"")</f>
        <v/>
      </c>
      <c r="C398" s="32">
        <f>IFERROR(IF(A398="","",SUMIF(SAVINGS!$A$3:A397,A398,SAVINGS!$E$3:E397)-SUMIF(WITHDRAWALS!$A:$A,A398,WITHDRAWALS!$E:$E)),"")</f>
        <v/>
      </c>
      <c r="D398" s="33">
        <f>IF(A398="","",TODAY())</f>
        <v/>
      </c>
      <c r="E398" s="29" t="n"/>
      <c r="F398" s="32">
        <f>IFERROR(IF(OR(A398="",E398=""),"",C398+E398),"")</f>
        <v/>
      </c>
      <c r="G398" s="30" t="n"/>
      <c r="H398" s="31" t="n"/>
    </row>
    <row r="399" ht="20" customHeight="1">
      <c r="A399" s="26" t="n"/>
      <c r="B399" s="27">
        <f>IFERROR(IF(A399="","",VLOOKUP(A399,DATABASE!$A:$B,2,0)),"")</f>
        <v/>
      </c>
      <c r="C399" s="20">
        <f>IFERROR(IF(A399="","",SUMIF(SAVINGS!$A$3:A398,A399,SAVINGS!$E$3:E398)-SUMIF(WITHDRAWALS!$A:$A,A399,WITHDRAWALS!$E:$E)),"")</f>
        <v/>
      </c>
      <c r="D399" s="28">
        <f>IF(A399="","",TODAY())</f>
        <v/>
      </c>
      <c r="E399" s="29" t="n"/>
      <c r="F399" s="20">
        <f>IFERROR(IF(OR(A399="",E399=""),"",C399+E399),"")</f>
        <v/>
      </c>
      <c r="G399" s="30" t="n"/>
      <c r="H399" s="27" t="n"/>
    </row>
    <row r="400" ht="20" customHeight="1">
      <c r="A400" s="26" t="n"/>
      <c r="B400" s="31">
        <f>IFERROR(IF(A400="","",VLOOKUP(A400,DATABASE!$A:$B,2,0)),"")</f>
        <v/>
      </c>
      <c r="C400" s="32">
        <f>IFERROR(IF(A400="","",SUMIF(SAVINGS!$A$3:A399,A400,SAVINGS!$E$3:E399)-SUMIF(WITHDRAWALS!$A:$A,A400,WITHDRAWALS!$E:$E)),"")</f>
        <v/>
      </c>
      <c r="D400" s="33">
        <f>IF(A400="","",TODAY())</f>
        <v/>
      </c>
      <c r="E400" s="29" t="n"/>
      <c r="F400" s="32">
        <f>IFERROR(IF(OR(A400="",E400=""),"",C400+E400),"")</f>
        <v/>
      </c>
      <c r="G400" s="30" t="n"/>
      <c r="H400" s="31" t="n"/>
    </row>
    <row r="401" ht="20" customHeight="1">
      <c r="A401" s="26" t="n"/>
      <c r="B401" s="27">
        <f>IFERROR(IF(A401="","",VLOOKUP(A401,DATABASE!$A:$B,2,0)),"")</f>
        <v/>
      </c>
      <c r="C401" s="20">
        <f>IFERROR(IF(A401="","",SUMIF(SAVINGS!$A$3:A400,A401,SAVINGS!$E$3:E400)-SUMIF(WITHDRAWALS!$A:$A,A401,WITHDRAWALS!$E:$E)),"")</f>
        <v/>
      </c>
      <c r="D401" s="28">
        <f>IF(A401="","",TODAY())</f>
        <v/>
      </c>
      <c r="E401" s="29" t="n"/>
      <c r="F401" s="20">
        <f>IFERROR(IF(OR(A401="",E401=""),"",C401+E401),"")</f>
        <v/>
      </c>
      <c r="G401" s="30" t="n"/>
      <c r="H401" s="27" t="n"/>
    </row>
    <row r="402" ht="20" customHeight="1">
      <c r="A402" s="26" t="n"/>
      <c r="B402" s="31">
        <f>IFERROR(IF(A402="","",VLOOKUP(A402,DATABASE!$A:$B,2,0)),"")</f>
        <v/>
      </c>
      <c r="C402" s="32">
        <f>IFERROR(IF(A402="","",SUMIF(SAVINGS!$A$3:A401,A402,SAVINGS!$E$3:E401)-SUMIF(WITHDRAWALS!$A:$A,A402,WITHDRAWALS!$E:$E)),"")</f>
        <v/>
      </c>
      <c r="D402" s="33">
        <f>IF(A402="","",TODAY())</f>
        <v/>
      </c>
      <c r="E402" s="29" t="n"/>
      <c r="F402" s="32">
        <f>IFERROR(IF(OR(A402="",E402=""),"",C402+E402),"")</f>
        <v/>
      </c>
      <c r="G402" s="30" t="n"/>
      <c r="H402" s="31" t="n"/>
    </row>
    <row r="403" ht="20" customHeight="1">
      <c r="A403" s="26" t="n"/>
      <c r="B403" s="27">
        <f>IFERROR(IF(A403="","",VLOOKUP(A403,DATABASE!$A:$B,2,0)),"")</f>
        <v/>
      </c>
      <c r="C403" s="20">
        <f>IFERROR(IF(A403="","",SUMIF(SAVINGS!$A$3:A402,A403,SAVINGS!$E$3:E402)-SUMIF(WITHDRAWALS!$A:$A,A403,WITHDRAWALS!$E:$E)),"")</f>
        <v/>
      </c>
      <c r="D403" s="28">
        <f>IF(A403="","",TODAY())</f>
        <v/>
      </c>
      <c r="E403" s="29" t="n"/>
      <c r="F403" s="20">
        <f>IFERROR(IF(OR(A403="",E403=""),"",C403+E403),"")</f>
        <v/>
      </c>
      <c r="G403" s="30" t="n"/>
      <c r="H403" s="27" t="n"/>
    </row>
    <row r="404" ht="20" customHeight="1">
      <c r="A404" s="26" t="n"/>
      <c r="B404" s="31">
        <f>IFERROR(IF(A404="","",VLOOKUP(A404,DATABASE!$A:$B,2,0)),"")</f>
        <v/>
      </c>
      <c r="C404" s="32">
        <f>IFERROR(IF(A404="","",SUMIF(SAVINGS!$A$3:A403,A404,SAVINGS!$E$3:E403)-SUMIF(WITHDRAWALS!$A:$A,A404,WITHDRAWALS!$E:$E)),"")</f>
        <v/>
      </c>
      <c r="D404" s="33">
        <f>IF(A404="","",TODAY())</f>
        <v/>
      </c>
      <c r="E404" s="29" t="n"/>
      <c r="F404" s="32">
        <f>IFERROR(IF(OR(A404="",E404=""),"",C404+E404),"")</f>
        <v/>
      </c>
      <c r="G404" s="30" t="n"/>
      <c r="H404" s="31" t="n"/>
    </row>
    <row r="405" ht="20" customHeight="1">
      <c r="A405" s="26" t="n"/>
      <c r="B405" s="27">
        <f>IFERROR(IF(A405="","",VLOOKUP(A405,DATABASE!$A:$B,2,0)),"")</f>
        <v/>
      </c>
      <c r="C405" s="20">
        <f>IFERROR(IF(A405="","",SUMIF(SAVINGS!$A$3:A404,A405,SAVINGS!$E$3:E404)-SUMIF(WITHDRAWALS!$A:$A,A405,WITHDRAWALS!$E:$E)),"")</f>
        <v/>
      </c>
      <c r="D405" s="28">
        <f>IF(A405="","",TODAY())</f>
        <v/>
      </c>
      <c r="E405" s="29" t="n"/>
      <c r="F405" s="20">
        <f>IFERROR(IF(OR(A405="",E405=""),"",C405+E405),"")</f>
        <v/>
      </c>
      <c r="G405" s="30" t="n"/>
      <c r="H405" s="27" t="n"/>
    </row>
    <row r="406" ht="20" customHeight="1">
      <c r="A406" s="26" t="n"/>
      <c r="B406" s="31">
        <f>IFERROR(IF(A406="","",VLOOKUP(A406,DATABASE!$A:$B,2,0)),"")</f>
        <v/>
      </c>
      <c r="C406" s="32">
        <f>IFERROR(IF(A406="","",SUMIF(SAVINGS!$A$3:A405,A406,SAVINGS!$E$3:E405)-SUMIF(WITHDRAWALS!$A:$A,A406,WITHDRAWALS!$E:$E)),"")</f>
        <v/>
      </c>
      <c r="D406" s="33">
        <f>IF(A406="","",TODAY())</f>
        <v/>
      </c>
      <c r="E406" s="29" t="n"/>
      <c r="F406" s="32">
        <f>IFERROR(IF(OR(A406="",E406=""),"",C406+E406),"")</f>
        <v/>
      </c>
      <c r="G406" s="30" t="n"/>
      <c r="H406" s="31" t="n"/>
    </row>
    <row r="407" ht="20" customHeight="1">
      <c r="A407" s="26" t="n"/>
      <c r="B407" s="27">
        <f>IFERROR(IF(A407="","",VLOOKUP(A407,DATABASE!$A:$B,2,0)),"")</f>
        <v/>
      </c>
      <c r="C407" s="20">
        <f>IFERROR(IF(A407="","",SUMIF(SAVINGS!$A$3:A406,A407,SAVINGS!$E$3:E406)-SUMIF(WITHDRAWALS!$A:$A,A407,WITHDRAWALS!$E:$E)),"")</f>
        <v/>
      </c>
      <c r="D407" s="28">
        <f>IF(A407="","",TODAY())</f>
        <v/>
      </c>
      <c r="E407" s="29" t="n"/>
      <c r="F407" s="20">
        <f>IFERROR(IF(OR(A407="",E407=""),"",C407+E407),"")</f>
        <v/>
      </c>
      <c r="G407" s="30" t="n"/>
      <c r="H407" s="27" t="n"/>
    </row>
    <row r="408" ht="20" customHeight="1">
      <c r="A408" s="26" t="n"/>
      <c r="B408" s="31">
        <f>IFERROR(IF(A408="","",VLOOKUP(A408,DATABASE!$A:$B,2,0)),"")</f>
        <v/>
      </c>
      <c r="C408" s="32">
        <f>IFERROR(IF(A408="","",SUMIF(SAVINGS!$A$3:A407,A408,SAVINGS!$E$3:E407)-SUMIF(WITHDRAWALS!$A:$A,A408,WITHDRAWALS!$E:$E)),"")</f>
        <v/>
      </c>
      <c r="D408" s="33">
        <f>IF(A408="","",TODAY())</f>
        <v/>
      </c>
      <c r="E408" s="29" t="n"/>
      <c r="F408" s="32">
        <f>IFERROR(IF(OR(A408="",E408=""),"",C408+E408),"")</f>
        <v/>
      </c>
      <c r="G408" s="30" t="n"/>
      <c r="H408" s="31" t="n"/>
    </row>
    <row r="409" ht="20" customHeight="1">
      <c r="A409" s="26" t="n"/>
      <c r="B409" s="27">
        <f>IFERROR(IF(A409="","",VLOOKUP(A409,DATABASE!$A:$B,2,0)),"")</f>
        <v/>
      </c>
      <c r="C409" s="20">
        <f>IFERROR(IF(A409="","",SUMIF(SAVINGS!$A$3:A408,A409,SAVINGS!$E$3:E408)-SUMIF(WITHDRAWALS!$A:$A,A409,WITHDRAWALS!$E:$E)),"")</f>
        <v/>
      </c>
      <c r="D409" s="28">
        <f>IF(A409="","",TODAY())</f>
        <v/>
      </c>
      <c r="E409" s="29" t="n"/>
      <c r="F409" s="20">
        <f>IFERROR(IF(OR(A409="",E409=""),"",C409+E409),"")</f>
        <v/>
      </c>
      <c r="G409" s="30" t="n"/>
      <c r="H409" s="27" t="n"/>
    </row>
    <row r="410" ht="20" customHeight="1">
      <c r="A410" s="26" t="n"/>
      <c r="B410" s="31">
        <f>IFERROR(IF(A410="","",VLOOKUP(A410,DATABASE!$A:$B,2,0)),"")</f>
        <v/>
      </c>
      <c r="C410" s="32">
        <f>IFERROR(IF(A410="","",SUMIF(SAVINGS!$A$3:A409,A410,SAVINGS!$E$3:E409)-SUMIF(WITHDRAWALS!$A:$A,A410,WITHDRAWALS!$E:$E)),"")</f>
        <v/>
      </c>
      <c r="D410" s="33">
        <f>IF(A410="","",TODAY())</f>
        <v/>
      </c>
      <c r="E410" s="29" t="n"/>
      <c r="F410" s="32">
        <f>IFERROR(IF(OR(A410="",E410=""),"",C410+E410),"")</f>
        <v/>
      </c>
      <c r="G410" s="30" t="n"/>
      <c r="H410" s="31" t="n"/>
    </row>
    <row r="411" ht="20" customHeight="1">
      <c r="A411" s="26" t="n"/>
      <c r="B411" s="27">
        <f>IFERROR(IF(A411="","",VLOOKUP(A411,DATABASE!$A:$B,2,0)),"")</f>
        <v/>
      </c>
      <c r="C411" s="20">
        <f>IFERROR(IF(A411="","",SUMIF(SAVINGS!$A$3:A410,A411,SAVINGS!$E$3:E410)-SUMIF(WITHDRAWALS!$A:$A,A411,WITHDRAWALS!$E:$E)),"")</f>
        <v/>
      </c>
      <c r="D411" s="28">
        <f>IF(A411="","",TODAY())</f>
        <v/>
      </c>
      <c r="E411" s="29" t="n"/>
      <c r="F411" s="20">
        <f>IFERROR(IF(OR(A411="",E411=""),"",C411+E411),"")</f>
        <v/>
      </c>
      <c r="G411" s="30" t="n"/>
      <c r="H411" s="27" t="n"/>
    </row>
    <row r="412" ht="20" customHeight="1">
      <c r="A412" s="26" t="n"/>
      <c r="B412" s="31">
        <f>IFERROR(IF(A412="","",VLOOKUP(A412,DATABASE!$A:$B,2,0)),"")</f>
        <v/>
      </c>
      <c r="C412" s="32">
        <f>IFERROR(IF(A412="","",SUMIF(SAVINGS!$A$3:A411,A412,SAVINGS!$E$3:E411)-SUMIF(WITHDRAWALS!$A:$A,A412,WITHDRAWALS!$E:$E)),"")</f>
        <v/>
      </c>
      <c r="D412" s="33">
        <f>IF(A412="","",TODAY())</f>
        <v/>
      </c>
      <c r="E412" s="29" t="n"/>
      <c r="F412" s="32">
        <f>IFERROR(IF(OR(A412="",E412=""),"",C412+E412),"")</f>
        <v/>
      </c>
      <c r="G412" s="30" t="n"/>
      <c r="H412" s="31" t="n"/>
    </row>
    <row r="413" ht="20" customHeight="1">
      <c r="A413" s="26" t="n"/>
      <c r="B413" s="27">
        <f>IFERROR(IF(A413="","",VLOOKUP(A413,DATABASE!$A:$B,2,0)),"")</f>
        <v/>
      </c>
      <c r="C413" s="20">
        <f>IFERROR(IF(A413="","",SUMIF(SAVINGS!$A$3:A412,A413,SAVINGS!$E$3:E412)-SUMIF(WITHDRAWALS!$A:$A,A413,WITHDRAWALS!$E:$E)),"")</f>
        <v/>
      </c>
      <c r="D413" s="28">
        <f>IF(A413="","",TODAY())</f>
        <v/>
      </c>
      <c r="E413" s="29" t="n"/>
      <c r="F413" s="20">
        <f>IFERROR(IF(OR(A413="",E413=""),"",C413+E413),"")</f>
        <v/>
      </c>
      <c r="G413" s="30" t="n"/>
      <c r="H413" s="27" t="n"/>
    </row>
    <row r="414" ht="20" customHeight="1">
      <c r="A414" s="26" t="n"/>
      <c r="B414" s="31">
        <f>IFERROR(IF(A414="","",VLOOKUP(A414,DATABASE!$A:$B,2,0)),"")</f>
        <v/>
      </c>
      <c r="C414" s="32">
        <f>IFERROR(IF(A414="","",SUMIF(SAVINGS!$A$3:A413,A414,SAVINGS!$E$3:E413)-SUMIF(WITHDRAWALS!$A:$A,A414,WITHDRAWALS!$E:$E)),"")</f>
        <v/>
      </c>
      <c r="D414" s="33">
        <f>IF(A414="","",TODAY())</f>
        <v/>
      </c>
      <c r="E414" s="29" t="n"/>
      <c r="F414" s="32">
        <f>IFERROR(IF(OR(A414="",E414=""),"",C414+E414),"")</f>
        <v/>
      </c>
      <c r="G414" s="30" t="n"/>
      <c r="H414" s="31" t="n"/>
    </row>
    <row r="415" ht="20" customHeight="1">
      <c r="A415" s="26" t="n"/>
      <c r="B415" s="27">
        <f>IFERROR(IF(A415="","",VLOOKUP(A415,DATABASE!$A:$B,2,0)),"")</f>
        <v/>
      </c>
      <c r="C415" s="20">
        <f>IFERROR(IF(A415="","",SUMIF(SAVINGS!$A$3:A414,A415,SAVINGS!$E$3:E414)-SUMIF(WITHDRAWALS!$A:$A,A415,WITHDRAWALS!$E:$E)),"")</f>
        <v/>
      </c>
      <c r="D415" s="28">
        <f>IF(A415="","",TODAY())</f>
        <v/>
      </c>
      <c r="E415" s="29" t="n"/>
      <c r="F415" s="20">
        <f>IFERROR(IF(OR(A415="",E415=""),"",C415+E415),"")</f>
        <v/>
      </c>
      <c r="G415" s="30" t="n"/>
      <c r="H415" s="27" t="n"/>
    </row>
    <row r="416" ht="20" customHeight="1">
      <c r="A416" s="26" t="n"/>
      <c r="B416" s="31">
        <f>IFERROR(IF(A416="","",VLOOKUP(A416,DATABASE!$A:$B,2,0)),"")</f>
        <v/>
      </c>
      <c r="C416" s="32">
        <f>IFERROR(IF(A416="","",SUMIF(SAVINGS!$A$3:A415,A416,SAVINGS!$E$3:E415)-SUMIF(WITHDRAWALS!$A:$A,A416,WITHDRAWALS!$E:$E)),"")</f>
        <v/>
      </c>
      <c r="D416" s="33">
        <f>IF(A416="","",TODAY())</f>
        <v/>
      </c>
      <c r="E416" s="29" t="n"/>
      <c r="F416" s="32">
        <f>IFERROR(IF(OR(A416="",E416=""),"",C416+E416),"")</f>
        <v/>
      </c>
      <c r="G416" s="30" t="n"/>
      <c r="H416" s="31" t="n"/>
    </row>
    <row r="417" ht="20" customHeight="1">
      <c r="A417" s="26" t="n"/>
      <c r="B417" s="27">
        <f>IFERROR(IF(A417="","",VLOOKUP(A417,DATABASE!$A:$B,2,0)),"")</f>
        <v/>
      </c>
      <c r="C417" s="20">
        <f>IFERROR(IF(A417="","",SUMIF(SAVINGS!$A$3:A416,A417,SAVINGS!$E$3:E416)-SUMIF(WITHDRAWALS!$A:$A,A417,WITHDRAWALS!$E:$E)),"")</f>
        <v/>
      </c>
      <c r="D417" s="28">
        <f>IF(A417="","",TODAY())</f>
        <v/>
      </c>
      <c r="E417" s="29" t="n"/>
      <c r="F417" s="20">
        <f>IFERROR(IF(OR(A417="",E417=""),"",C417+E417),"")</f>
        <v/>
      </c>
      <c r="G417" s="30" t="n"/>
      <c r="H417" s="27" t="n"/>
    </row>
    <row r="418" ht="20" customHeight="1">
      <c r="A418" s="26" t="n"/>
      <c r="B418" s="31">
        <f>IFERROR(IF(A418="","",VLOOKUP(A418,DATABASE!$A:$B,2,0)),"")</f>
        <v/>
      </c>
      <c r="C418" s="32">
        <f>IFERROR(IF(A418="","",SUMIF(SAVINGS!$A$3:A417,A418,SAVINGS!$E$3:E417)-SUMIF(WITHDRAWALS!$A:$A,A418,WITHDRAWALS!$E:$E)),"")</f>
        <v/>
      </c>
      <c r="D418" s="33">
        <f>IF(A418="","",TODAY())</f>
        <v/>
      </c>
      <c r="E418" s="29" t="n"/>
      <c r="F418" s="32">
        <f>IFERROR(IF(OR(A418="",E418=""),"",C418+E418),"")</f>
        <v/>
      </c>
      <c r="G418" s="30" t="n"/>
      <c r="H418" s="31" t="n"/>
    </row>
    <row r="419" ht="20" customHeight="1">
      <c r="A419" s="26" t="n"/>
      <c r="B419" s="27">
        <f>IFERROR(IF(A419="","",VLOOKUP(A419,DATABASE!$A:$B,2,0)),"")</f>
        <v/>
      </c>
      <c r="C419" s="20">
        <f>IFERROR(IF(A419="","",SUMIF(SAVINGS!$A$3:A418,A419,SAVINGS!$E$3:E418)-SUMIF(WITHDRAWALS!$A:$A,A419,WITHDRAWALS!$E:$E)),"")</f>
        <v/>
      </c>
      <c r="D419" s="28">
        <f>IF(A419="","",TODAY())</f>
        <v/>
      </c>
      <c r="E419" s="29" t="n"/>
      <c r="F419" s="20">
        <f>IFERROR(IF(OR(A419="",E419=""),"",C419+E419),"")</f>
        <v/>
      </c>
      <c r="G419" s="30" t="n"/>
      <c r="H419" s="27" t="n"/>
    </row>
    <row r="420" ht="20" customHeight="1">
      <c r="A420" s="26" t="n"/>
      <c r="B420" s="31">
        <f>IFERROR(IF(A420="","",VLOOKUP(A420,DATABASE!$A:$B,2,0)),"")</f>
        <v/>
      </c>
      <c r="C420" s="32">
        <f>IFERROR(IF(A420="","",SUMIF(SAVINGS!$A$3:A419,A420,SAVINGS!$E$3:E419)-SUMIF(WITHDRAWALS!$A:$A,A420,WITHDRAWALS!$E:$E)),"")</f>
        <v/>
      </c>
      <c r="D420" s="33">
        <f>IF(A420="","",TODAY())</f>
        <v/>
      </c>
      <c r="E420" s="29" t="n"/>
      <c r="F420" s="32">
        <f>IFERROR(IF(OR(A420="",E420=""),"",C420+E420),"")</f>
        <v/>
      </c>
      <c r="G420" s="30" t="n"/>
      <c r="H420" s="31" t="n"/>
    </row>
    <row r="421" ht="20" customHeight="1">
      <c r="A421" s="26" t="n"/>
      <c r="B421" s="27">
        <f>IFERROR(IF(A421="","",VLOOKUP(A421,DATABASE!$A:$B,2,0)),"")</f>
        <v/>
      </c>
      <c r="C421" s="20">
        <f>IFERROR(IF(A421="","",SUMIF(SAVINGS!$A$3:A420,A421,SAVINGS!$E$3:E420)-SUMIF(WITHDRAWALS!$A:$A,A421,WITHDRAWALS!$E:$E)),"")</f>
        <v/>
      </c>
      <c r="D421" s="28">
        <f>IF(A421="","",TODAY())</f>
        <v/>
      </c>
      <c r="E421" s="29" t="n"/>
      <c r="F421" s="20">
        <f>IFERROR(IF(OR(A421="",E421=""),"",C421+E421),"")</f>
        <v/>
      </c>
      <c r="G421" s="30" t="n"/>
      <c r="H421" s="27" t="n"/>
    </row>
    <row r="422" ht="20" customHeight="1">
      <c r="A422" s="26" t="n"/>
      <c r="B422" s="31">
        <f>IFERROR(IF(A422="","",VLOOKUP(A422,DATABASE!$A:$B,2,0)),"")</f>
        <v/>
      </c>
      <c r="C422" s="32">
        <f>IFERROR(IF(A422="","",SUMIF(SAVINGS!$A$3:A421,A422,SAVINGS!$E$3:E421)-SUMIF(WITHDRAWALS!$A:$A,A422,WITHDRAWALS!$E:$E)),"")</f>
        <v/>
      </c>
      <c r="D422" s="33">
        <f>IF(A422="","",TODAY())</f>
        <v/>
      </c>
      <c r="E422" s="29" t="n"/>
      <c r="F422" s="32">
        <f>IFERROR(IF(OR(A422="",E422=""),"",C422+E422),"")</f>
        <v/>
      </c>
      <c r="G422" s="30" t="n"/>
      <c r="H422" s="31" t="n"/>
    </row>
    <row r="423" ht="20" customHeight="1">
      <c r="A423" s="26" t="n"/>
      <c r="B423" s="27">
        <f>IFERROR(IF(A423="","",VLOOKUP(A423,DATABASE!$A:$B,2,0)),"")</f>
        <v/>
      </c>
      <c r="C423" s="20">
        <f>IFERROR(IF(A423="","",SUMIF(SAVINGS!$A$3:A422,A423,SAVINGS!$E$3:E422)-SUMIF(WITHDRAWALS!$A:$A,A423,WITHDRAWALS!$E:$E)),"")</f>
        <v/>
      </c>
      <c r="D423" s="28">
        <f>IF(A423="","",TODAY())</f>
        <v/>
      </c>
      <c r="E423" s="29" t="n"/>
      <c r="F423" s="20">
        <f>IFERROR(IF(OR(A423="",E423=""),"",C423+E423),"")</f>
        <v/>
      </c>
      <c r="G423" s="30" t="n"/>
      <c r="H423" s="27" t="n"/>
    </row>
    <row r="424" ht="20" customHeight="1">
      <c r="A424" s="26" t="n"/>
      <c r="B424" s="31">
        <f>IFERROR(IF(A424="","",VLOOKUP(A424,DATABASE!$A:$B,2,0)),"")</f>
        <v/>
      </c>
      <c r="C424" s="32">
        <f>IFERROR(IF(A424="","",SUMIF(SAVINGS!$A$3:A423,A424,SAVINGS!$E$3:E423)-SUMIF(WITHDRAWALS!$A:$A,A424,WITHDRAWALS!$E:$E)),"")</f>
        <v/>
      </c>
      <c r="D424" s="33">
        <f>IF(A424="","",TODAY())</f>
        <v/>
      </c>
      <c r="E424" s="29" t="n"/>
      <c r="F424" s="32">
        <f>IFERROR(IF(OR(A424="",E424=""),"",C424+E424),"")</f>
        <v/>
      </c>
      <c r="G424" s="30" t="n"/>
      <c r="H424" s="31" t="n"/>
    </row>
    <row r="425" ht="20" customHeight="1">
      <c r="A425" s="26" t="n"/>
      <c r="B425" s="27">
        <f>IFERROR(IF(A425="","",VLOOKUP(A425,DATABASE!$A:$B,2,0)),"")</f>
        <v/>
      </c>
      <c r="C425" s="20">
        <f>IFERROR(IF(A425="","",SUMIF(SAVINGS!$A$3:A424,A425,SAVINGS!$E$3:E424)-SUMIF(WITHDRAWALS!$A:$A,A425,WITHDRAWALS!$E:$E)),"")</f>
        <v/>
      </c>
      <c r="D425" s="28">
        <f>IF(A425="","",TODAY())</f>
        <v/>
      </c>
      <c r="E425" s="29" t="n"/>
      <c r="F425" s="20">
        <f>IFERROR(IF(OR(A425="",E425=""),"",C425+E425),"")</f>
        <v/>
      </c>
      <c r="G425" s="30" t="n"/>
      <c r="H425" s="27" t="n"/>
    </row>
    <row r="426" ht="20" customHeight="1">
      <c r="A426" s="26" t="n"/>
      <c r="B426" s="31">
        <f>IFERROR(IF(A426="","",VLOOKUP(A426,DATABASE!$A:$B,2,0)),"")</f>
        <v/>
      </c>
      <c r="C426" s="32">
        <f>IFERROR(IF(A426="","",SUMIF(SAVINGS!$A$3:A425,A426,SAVINGS!$E$3:E425)-SUMIF(WITHDRAWALS!$A:$A,A426,WITHDRAWALS!$E:$E)),"")</f>
        <v/>
      </c>
      <c r="D426" s="33">
        <f>IF(A426="","",TODAY())</f>
        <v/>
      </c>
      <c r="E426" s="29" t="n"/>
      <c r="F426" s="32">
        <f>IFERROR(IF(OR(A426="",E426=""),"",C426+E426),"")</f>
        <v/>
      </c>
      <c r="G426" s="30" t="n"/>
      <c r="H426" s="31" t="n"/>
    </row>
    <row r="427" ht="20" customHeight="1">
      <c r="A427" s="26" t="n"/>
      <c r="B427" s="27">
        <f>IFERROR(IF(A427="","",VLOOKUP(A427,DATABASE!$A:$B,2,0)),"")</f>
        <v/>
      </c>
      <c r="C427" s="20">
        <f>IFERROR(IF(A427="","",SUMIF(SAVINGS!$A$3:A426,A427,SAVINGS!$E$3:E426)-SUMIF(WITHDRAWALS!$A:$A,A427,WITHDRAWALS!$E:$E)),"")</f>
        <v/>
      </c>
      <c r="D427" s="28">
        <f>IF(A427="","",TODAY())</f>
        <v/>
      </c>
      <c r="E427" s="29" t="n"/>
      <c r="F427" s="20">
        <f>IFERROR(IF(OR(A427="",E427=""),"",C427+E427),"")</f>
        <v/>
      </c>
      <c r="G427" s="30" t="n"/>
      <c r="H427" s="27" t="n"/>
    </row>
    <row r="428" ht="20" customHeight="1">
      <c r="A428" s="26" t="n"/>
      <c r="B428" s="31">
        <f>IFERROR(IF(A428="","",VLOOKUP(A428,DATABASE!$A:$B,2,0)),"")</f>
        <v/>
      </c>
      <c r="C428" s="32">
        <f>IFERROR(IF(A428="","",SUMIF(SAVINGS!$A$3:A427,A428,SAVINGS!$E$3:E427)-SUMIF(WITHDRAWALS!$A:$A,A428,WITHDRAWALS!$E:$E)),"")</f>
        <v/>
      </c>
      <c r="D428" s="33">
        <f>IF(A428="","",TODAY())</f>
        <v/>
      </c>
      <c r="E428" s="29" t="n"/>
      <c r="F428" s="32">
        <f>IFERROR(IF(OR(A428="",E428=""),"",C428+E428),"")</f>
        <v/>
      </c>
      <c r="G428" s="30" t="n"/>
      <c r="H428" s="31" t="n"/>
    </row>
    <row r="429" ht="20" customHeight="1">
      <c r="A429" s="26" t="n"/>
      <c r="B429" s="27">
        <f>IFERROR(IF(A429="","",VLOOKUP(A429,DATABASE!$A:$B,2,0)),"")</f>
        <v/>
      </c>
      <c r="C429" s="20">
        <f>IFERROR(IF(A429="","",SUMIF(SAVINGS!$A$3:A428,A429,SAVINGS!$E$3:E428)-SUMIF(WITHDRAWALS!$A:$A,A429,WITHDRAWALS!$E:$E)),"")</f>
        <v/>
      </c>
      <c r="D429" s="28">
        <f>IF(A429="","",TODAY())</f>
        <v/>
      </c>
      <c r="E429" s="29" t="n"/>
      <c r="F429" s="20">
        <f>IFERROR(IF(OR(A429="",E429=""),"",C429+E429),"")</f>
        <v/>
      </c>
      <c r="G429" s="30" t="n"/>
      <c r="H429" s="27" t="n"/>
    </row>
    <row r="430" ht="20" customHeight="1">
      <c r="A430" s="26" t="n"/>
      <c r="B430" s="31">
        <f>IFERROR(IF(A430="","",VLOOKUP(A430,DATABASE!$A:$B,2,0)),"")</f>
        <v/>
      </c>
      <c r="C430" s="32">
        <f>IFERROR(IF(A430="","",SUMIF(SAVINGS!$A$3:A429,A430,SAVINGS!$E$3:E429)-SUMIF(WITHDRAWALS!$A:$A,A430,WITHDRAWALS!$E:$E)),"")</f>
        <v/>
      </c>
      <c r="D430" s="33">
        <f>IF(A430="","",TODAY())</f>
        <v/>
      </c>
      <c r="E430" s="29" t="n"/>
      <c r="F430" s="32">
        <f>IFERROR(IF(OR(A430="",E430=""),"",C430+E430),"")</f>
        <v/>
      </c>
      <c r="G430" s="30" t="n"/>
      <c r="H430" s="31" t="n"/>
    </row>
    <row r="431" ht="20" customHeight="1">
      <c r="A431" s="26" t="n"/>
      <c r="B431" s="27">
        <f>IFERROR(IF(A431="","",VLOOKUP(A431,DATABASE!$A:$B,2,0)),"")</f>
        <v/>
      </c>
      <c r="C431" s="20">
        <f>IFERROR(IF(A431="","",SUMIF(SAVINGS!$A$3:A430,A431,SAVINGS!$E$3:E430)-SUMIF(WITHDRAWALS!$A:$A,A431,WITHDRAWALS!$E:$E)),"")</f>
        <v/>
      </c>
      <c r="D431" s="28">
        <f>IF(A431="","",TODAY())</f>
        <v/>
      </c>
      <c r="E431" s="29" t="n"/>
      <c r="F431" s="20">
        <f>IFERROR(IF(OR(A431="",E431=""),"",C431+E431),"")</f>
        <v/>
      </c>
      <c r="G431" s="30" t="n"/>
      <c r="H431" s="27" t="n"/>
    </row>
    <row r="432" ht="20" customHeight="1">
      <c r="A432" s="26" t="n"/>
      <c r="B432" s="31">
        <f>IFERROR(IF(A432="","",VLOOKUP(A432,DATABASE!$A:$B,2,0)),"")</f>
        <v/>
      </c>
      <c r="C432" s="32">
        <f>IFERROR(IF(A432="","",SUMIF(SAVINGS!$A$3:A431,A432,SAVINGS!$E$3:E431)-SUMIF(WITHDRAWALS!$A:$A,A432,WITHDRAWALS!$E:$E)),"")</f>
        <v/>
      </c>
      <c r="D432" s="33">
        <f>IF(A432="","",TODAY())</f>
        <v/>
      </c>
      <c r="E432" s="29" t="n"/>
      <c r="F432" s="32">
        <f>IFERROR(IF(OR(A432="",E432=""),"",C432+E432),"")</f>
        <v/>
      </c>
      <c r="G432" s="30" t="n"/>
      <c r="H432" s="31" t="n"/>
    </row>
    <row r="433" ht="20" customHeight="1">
      <c r="A433" s="26" t="n"/>
      <c r="B433" s="27">
        <f>IFERROR(IF(A433="","",VLOOKUP(A433,DATABASE!$A:$B,2,0)),"")</f>
        <v/>
      </c>
      <c r="C433" s="20">
        <f>IFERROR(IF(A433="","",SUMIF(SAVINGS!$A$3:A432,A433,SAVINGS!$E$3:E432)-SUMIF(WITHDRAWALS!$A:$A,A433,WITHDRAWALS!$E:$E)),"")</f>
        <v/>
      </c>
      <c r="D433" s="28">
        <f>IF(A433="","",TODAY())</f>
        <v/>
      </c>
      <c r="E433" s="29" t="n"/>
      <c r="F433" s="20">
        <f>IFERROR(IF(OR(A433="",E433=""),"",C433+E433),"")</f>
        <v/>
      </c>
      <c r="G433" s="30" t="n"/>
      <c r="H433" s="27" t="n"/>
    </row>
    <row r="434" ht="20" customHeight="1">
      <c r="A434" s="26" t="n"/>
      <c r="B434" s="31">
        <f>IFERROR(IF(A434="","",VLOOKUP(A434,DATABASE!$A:$B,2,0)),"")</f>
        <v/>
      </c>
      <c r="C434" s="32">
        <f>IFERROR(IF(A434="","",SUMIF(SAVINGS!$A$3:A433,A434,SAVINGS!$E$3:E433)-SUMIF(WITHDRAWALS!$A:$A,A434,WITHDRAWALS!$E:$E)),"")</f>
        <v/>
      </c>
      <c r="D434" s="33">
        <f>IF(A434="","",TODAY())</f>
        <v/>
      </c>
      <c r="E434" s="29" t="n"/>
      <c r="F434" s="32">
        <f>IFERROR(IF(OR(A434="",E434=""),"",C434+E434),"")</f>
        <v/>
      </c>
      <c r="G434" s="30" t="n"/>
      <c r="H434" s="31" t="n"/>
    </row>
    <row r="435" ht="20" customHeight="1">
      <c r="A435" s="26" t="n"/>
      <c r="B435" s="27">
        <f>IFERROR(IF(A435="","",VLOOKUP(A435,DATABASE!$A:$B,2,0)),"")</f>
        <v/>
      </c>
      <c r="C435" s="20">
        <f>IFERROR(IF(A435="","",SUMIF(SAVINGS!$A$3:A434,A435,SAVINGS!$E$3:E434)-SUMIF(WITHDRAWALS!$A:$A,A435,WITHDRAWALS!$E:$E)),"")</f>
        <v/>
      </c>
      <c r="D435" s="28">
        <f>IF(A435="","",TODAY())</f>
        <v/>
      </c>
      <c r="E435" s="29" t="n"/>
      <c r="F435" s="20">
        <f>IFERROR(IF(OR(A435="",E435=""),"",C435+E435),"")</f>
        <v/>
      </c>
      <c r="G435" s="30" t="n"/>
      <c r="H435" s="27" t="n"/>
    </row>
    <row r="436" ht="20" customHeight="1">
      <c r="A436" s="26" t="n"/>
      <c r="B436" s="31">
        <f>IFERROR(IF(A436="","",VLOOKUP(A436,DATABASE!$A:$B,2,0)),"")</f>
        <v/>
      </c>
      <c r="C436" s="32">
        <f>IFERROR(IF(A436="","",SUMIF(SAVINGS!$A$3:A435,A436,SAVINGS!$E$3:E435)-SUMIF(WITHDRAWALS!$A:$A,A436,WITHDRAWALS!$E:$E)),"")</f>
        <v/>
      </c>
      <c r="D436" s="33">
        <f>IF(A436="","",TODAY())</f>
        <v/>
      </c>
      <c r="E436" s="29" t="n"/>
      <c r="F436" s="32">
        <f>IFERROR(IF(OR(A436="",E436=""),"",C436+E436),"")</f>
        <v/>
      </c>
      <c r="G436" s="30" t="n"/>
      <c r="H436" s="31" t="n"/>
    </row>
    <row r="437" ht="20" customHeight="1">
      <c r="A437" s="26" t="n"/>
      <c r="B437" s="27">
        <f>IFERROR(IF(A437="","",VLOOKUP(A437,DATABASE!$A:$B,2,0)),"")</f>
        <v/>
      </c>
      <c r="C437" s="20">
        <f>IFERROR(IF(A437="","",SUMIF(SAVINGS!$A$3:A436,A437,SAVINGS!$E$3:E436)-SUMIF(WITHDRAWALS!$A:$A,A437,WITHDRAWALS!$E:$E)),"")</f>
        <v/>
      </c>
      <c r="D437" s="28">
        <f>IF(A437="","",TODAY())</f>
        <v/>
      </c>
      <c r="E437" s="29" t="n"/>
      <c r="F437" s="20">
        <f>IFERROR(IF(OR(A437="",E437=""),"",C437+E437),"")</f>
        <v/>
      </c>
      <c r="G437" s="30" t="n"/>
      <c r="H437" s="27" t="n"/>
    </row>
    <row r="438" ht="20" customHeight="1">
      <c r="A438" s="26" t="n"/>
      <c r="B438" s="31">
        <f>IFERROR(IF(A438="","",VLOOKUP(A438,DATABASE!$A:$B,2,0)),"")</f>
        <v/>
      </c>
      <c r="C438" s="32">
        <f>IFERROR(IF(A438="","",SUMIF(SAVINGS!$A$3:A437,A438,SAVINGS!$E$3:E437)-SUMIF(WITHDRAWALS!$A:$A,A438,WITHDRAWALS!$E:$E)),"")</f>
        <v/>
      </c>
      <c r="D438" s="33">
        <f>IF(A438="","",TODAY())</f>
        <v/>
      </c>
      <c r="E438" s="29" t="n"/>
      <c r="F438" s="32">
        <f>IFERROR(IF(OR(A438="",E438=""),"",C438+E438),"")</f>
        <v/>
      </c>
      <c r="G438" s="30" t="n"/>
      <c r="H438" s="31" t="n"/>
    </row>
    <row r="439" ht="20" customHeight="1">
      <c r="A439" s="26" t="n"/>
      <c r="B439" s="27">
        <f>IFERROR(IF(A439="","",VLOOKUP(A439,DATABASE!$A:$B,2,0)),"")</f>
        <v/>
      </c>
      <c r="C439" s="20">
        <f>IFERROR(IF(A439="","",SUMIF(SAVINGS!$A$3:A438,A439,SAVINGS!$E$3:E438)-SUMIF(WITHDRAWALS!$A:$A,A439,WITHDRAWALS!$E:$E)),"")</f>
        <v/>
      </c>
      <c r="D439" s="28">
        <f>IF(A439="","",TODAY())</f>
        <v/>
      </c>
      <c r="E439" s="29" t="n"/>
      <c r="F439" s="20">
        <f>IFERROR(IF(OR(A439="",E439=""),"",C439+E439),"")</f>
        <v/>
      </c>
      <c r="G439" s="30" t="n"/>
      <c r="H439" s="27" t="n"/>
    </row>
    <row r="440" ht="20" customHeight="1">
      <c r="A440" s="26" t="n"/>
      <c r="B440" s="31">
        <f>IFERROR(IF(A440="","",VLOOKUP(A440,DATABASE!$A:$B,2,0)),"")</f>
        <v/>
      </c>
      <c r="C440" s="32">
        <f>IFERROR(IF(A440="","",SUMIF(SAVINGS!$A$3:A439,A440,SAVINGS!$E$3:E439)-SUMIF(WITHDRAWALS!$A:$A,A440,WITHDRAWALS!$E:$E)),"")</f>
        <v/>
      </c>
      <c r="D440" s="33">
        <f>IF(A440="","",TODAY())</f>
        <v/>
      </c>
      <c r="E440" s="29" t="n"/>
      <c r="F440" s="32">
        <f>IFERROR(IF(OR(A440="",E440=""),"",C440+E440),"")</f>
        <v/>
      </c>
      <c r="G440" s="30" t="n"/>
      <c r="H440" s="31" t="n"/>
    </row>
    <row r="441" ht="20" customHeight="1">
      <c r="A441" s="26" t="n"/>
      <c r="B441" s="27">
        <f>IFERROR(IF(A441="","",VLOOKUP(A441,DATABASE!$A:$B,2,0)),"")</f>
        <v/>
      </c>
      <c r="C441" s="20">
        <f>IFERROR(IF(A441="","",SUMIF(SAVINGS!$A$3:A440,A441,SAVINGS!$E$3:E440)-SUMIF(WITHDRAWALS!$A:$A,A441,WITHDRAWALS!$E:$E)),"")</f>
        <v/>
      </c>
      <c r="D441" s="28">
        <f>IF(A441="","",TODAY())</f>
        <v/>
      </c>
      <c r="E441" s="29" t="n"/>
      <c r="F441" s="20">
        <f>IFERROR(IF(OR(A441="",E441=""),"",C441+E441),"")</f>
        <v/>
      </c>
      <c r="G441" s="30" t="n"/>
      <c r="H441" s="27" t="n"/>
    </row>
    <row r="442" ht="20" customHeight="1">
      <c r="A442" s="26" t="n"/>
      <c r="B442" s="31">
        <f>IFERROR(IF(A442="","",VLOOKUP(A442,DATABASE!$A:$B,2,0)),"")</f>
        <v/>
      </c>
      <c r="C442" s="32">
        <f>IFERROR(IF(A442="","",SUMIF(SAVINGS!$A$3:A441,A442,SAVINGS!$E$3:E441)-SUMIF(WITHDRAWALS!$A:$A,A442,WITHDRAWALS!$E:$E)),"")</f>
        <v/>
      </c>
      <c r="D442" s="33">
        <f>IF(A442="","",TODAY())</f>
        <v/>
      </c>
      <c r="E442" s="29" t="n"/>
      <c r="F442" s="32">
        <f>IFERROR(IF(OR(A442="",E442=""),"",C442+E442),"")</f>
        <v/>
      </c>
      <c r="G442" s="30" t="n"/>
      <c r="H442" s="31" t="n"/>
    </row>
    <row r="443" ht="20" customHeight="1">
      <c r="A443" s="26" t="n"/>
      <c r="B443" s="27">
        <f>IFERROR(IF(A443="","",VLOOKUP(A443,DATABASE!$A:$B,2,0)),"")</f>
        <v/>
      </c>
      <c r="C443" s="20">
        <f>IFERROR(IF(A443="","",SUMIF(SAVINGS!$A$3:A442,A443,SAVINGS!$E$3:E442)-SUMIF(WITHDRAWALS!$A:$A,A443,WITHDRAWALS!$E:$E)),"")</f>
        <v/>
      </c>
      <c r="D443" s="28">
        <f>IF(A443="","",TODAY())</f>
        <v/>
      </c>
      <c r="E443" s="29" t="n"/>
      <c r="F443" s="20">
        <f>IFERROR(IF(OR(A443="",E443=""),"",C443+E443),"")</f>
        <v/>
      </c>
      <c r="G443" s="30" t="n"/>
      <c r="H443" s="27" t="n"/>
    </row>
    <row r="444" ht="20" customHeight="1">
      <c r="A444" s="26" t="n"/>
      <c r="B444" s="31">
        <f>IFERROR(IF(A444="","",VLOOKUP(A444,DATABASE!$A:$B,2,0)),"")</f>
        <v/>
      </c>
      <c r="C444" s="32">
        <f>IFERROR(IF(A444="","",SUMIF(SAVINGS!$A$3:A443,A444,SAVINGS!$E$3:E443)-SUMIF(WITHDRAWALS!$A:$A,A444,WITHDRAWALS!$E:$E)),"")</f>
        <v/>
      </c>
      <c r="D444" s="33">
        <f>IF(A444="","",TODAY())</f>
        <v/>
      </c>
      <c r="E444" s="29" t="n"/>
      <c r="F444" s="32">
        <f>IFERROR(IF(OR(A444="",E444=""),"",C444+E444),"")</f>
        <v/>
      </c>
      <c r="G444" s="30" t="n"/>
      <c r="H444" s="31" t="n"/>
    </row>
    <row r="445" ht="20" customHeight="1">
      <c r="A445" s="26" t="n"/>
      <c r="B445" s="27">
        <f>IFERROR(IF(A445="","",VLOOKUP(A445,DATABASE!$A:$B,2,0)),"")</f>
        <v/>
      </c>
      <c r="C445" s="20">
        <f>IFERROR(IF(A445="","",SUMIF(SAVINGS!$A$3:A444,A445,SAVINGS!$E$3:E444)-SUMIF(WITHDRAWALS!$A:$A,A445,WITHDRAWALS!$E:$E)),"")</f>
        <v/>
      </c>
      <c r="D445" s="28">
        <f>IF(A445="","",TODAY())</f>
        <v/>
      </c>
      <c r="E445" s="29" t="n"/>
      <c r="F445" s="20">
        <f>IFERROR(IF(OR(A445="",E445=""),"",C445+E445),"")</f>
        <v/>
      </c>
      <c r="G445" s="30" t="n"/>
      <c r="H445" s="27" t="n"/>
    </row>
    <row r="446" ht="20" customHeight="1">
      <c r="A446" s="26" t="n"/>
      <c r="B446" s="31">
        <f>IFERROR(IF(A446="","",VLOOKUP(A446,DATABASE!$A:$B,2,0)),"")</f>
        <v/>
      </c>
      <c r="C446" s="32">
        <f>IFERROR(IF(A446="","",SUMIF(SAVINGS!$A$3:A445,A446,SAVINGS!$E$3:E445)-SUMIF(WITHDRAWALS!$A:$A,A446,WITHDRAWALS!$E:$E)),"")</f>
        <v/>
      </c>
      <c r="D446" s="33">
        <f>IF(A446="","",TODAY())</f>
        <v/>
      </c>
      <c r="E446" s="29" t="n"/>
      <c r="F446" s="32">
        <f>IFERROR(IF(OR(A446="",E446=""),"",C446+E446),"")</f>
        <v/>
      </c>
      <c r="G446" s="30" t="n"/>
      <c r="H446" s="31" t="n"/>
    </row>
    <row r="447" ht="20" customHeight="1">
      <c r="A447" s="26" t="n"/>
      <c r="B447" s="27">
        <f>IFERROR(IF(A447="","",VLOOKUP(A447,DATABASE!$A:$B,2,0)),"")</f>
        <v/>
      </c>
      <c r="C447" s="20">
        <f>IFERROR(IF(A447="","",SUMIF(SAVINGS!$A$3:A446,A447,SAVINGS!$E$3:E446)-SUMIF(WITHDRAWALS!$A:$A,A447,WITHDRAWALS!$E:$E)),"")</f>
        <v/>
      </c>
      <c r="D447" s="28">
        <f>IF(A447="","",TODAY())</f>
        <v/>
      </c>
      <c r="E447" s="29" t="n"/>
      <c r="F447" s="20">
        <f>IFERROR(IF(OR(A447="",E447=""),"",C447+E447),"")</f>
        <v/>
      </c>
      <c r="G447" s="30" t="n"/>
      <c r="H447" s="27" t="n"/>
    </row>
    <row r="448" ht="20" customHeight="1">
      <c r="A448" s="26" t="n"/>
      <c r="B448" s="31">
        <f>IFERROR(IF(A448="","",VLOOKUP(A448,DATABASE!$A:$B,2,0)),"")</f>
        <v/>
      </c>
      <c r="C448" s="32">
        <f>IFERROR(IF(A448="","",SUMIF(SAVINGS!$A$3:A447,A448,SAVINGS!$E$3:E447)-SUMIF(WITHDRAWALS!$A:$A,A448,WITHDRAWALS!$E:$E)),"")</f>
        <v/>
      </c>
      <c r="D448" s="33">
        <f>IF(A448="","",TODAY())</f>
        <v/>
      </c>
      <c r="E448" s="29" t="n"/>
      <c r="F448" s="32">
        <f>IFERROR(IF(OR(A448="",E448=""),"",C448+E448),"")</f>
        <v/>
      </c>
      <c r="G448" s="30" t="n"/>
      <c r="H448" s="31" t="n"/>
    </row>
    <row r="449" ht="20" customHeight="1">
      <c r="A449" s="26" t="n"/>
      <c r="B449" s="27">
        <f>IFERROR(IF(A449="","",VLOOKUP(A449,DATABASE!$A:$B,2,0)),"")</f>
        <v/>
      </c>
      <c r="C449" s="20">
        <f>IFERROR(IF(A449="","",SUMIF(SAVINGS!$A$3:A448,A449,SAVINGS!$E$3:E448)-SUMIF(WITHDRAWALS!$A:$A,A449,WITHDRAWALS!$E:$E)),"")</f>
        <v/>
      </c>
      <c r="D449" s="28">
        <f>IF(A449="","",TODAY())</f>
        <v/>
      </c>
      <c r="E449" s="29" t="n"/>
      <c r="F449" s="20">
        <f>IFERROR(IF(OR(A449="",E449=""),"",C449+E449),"")</f>
        <v/>
      </c>
      <c r="G449" s="30" t="n"/>
      <c r="H449" s="27" t="n"/>
    </row>
    <row r="450" ht="20" customHeight="1">
      <c r="A450" s="26" t="n"/>
      <c r="B450" s="31">
        <f>IFERROR(IF(A450="","",VLOOKUP(A450,DATABASE!$A:$B,2,0)),"")</f>
        <v/>
      </c>
      <c r="C450" s="32">
        <f>IFERROR(IF(A450="","",SUMIF(SAVINGS!$A$3:A449,A450,SAVINGS!$E$3:E449)-SUMIF(WITHDRAWALS!$A:$A,A450,WITHDRAWALS!$E:$E)),"")</f>
        <v/>
      </c>
      <c r="D450" s="33">
        <f>IF(A450="","",TODAY())</f>
        <v/>
      </c>
      <c r="E450" s="29" t="n"/>
      <c r="F450" s="32">
        <f>IFERROR(IF(OR(A450="",E450=""),"",C450+E450),"")</f>
        <v/>
      </c>
      <c r="G450" s="30" t="n"/>
      <c r="H450" s="31" t="n"/>
    </row>
    <row r="451" ht="20" customHeight="1">
      <c r="A451" s="26" t="n"/>
      <c r="B451" s="27">
        <f>IFERROR(IF(A451="","",VLOOKUP(A451,DATABASE!$A:$B,2,0)),"")</f>
        <v/>
      </c>
      <c r="C451" s="20">
        <f>IFERROR(IF(A451="","",SUMIF(SAVINGS!$A$3:A450,A451,SAVINGS!$E$3:E450)-SUMIF(WITHDRAWALS!$A:$A,A451,WITHDRAWALS!$E:$E)),"")</f>
        <v/>
      </c>
      <c r="D451" s="28">
        <f>IF(A451="","",TODAY())</f>
        <v/>
      </c>
      <c r="E451" s="29" t="n"/>
      <c r="F451" s="20">
        <f>IFERROR(IF(OR(A451="",E451=""),"",C451+E451),"")</f>
        <v/>
      </c>
      <c r="G451" s="30" t="n"/>
      <c r="H451" s="27" t="n"/>
    </row>
    <row r="452" ht="20" customHeight="1">
      <c r="A452" s="26" t="n"/>
      <c r="B452" s="31">
        <f>IFERROR(IF(A452="","",VLOOKUP(A452,DATABASE!$A:$B,2,0)),"")</f>
        <v/>
      </c>
      <c r="C452" s="32">
        <f>IFERROR(IF(A452="","",SUMIF(SAVINGS!$A$3:A451,A452,SAVINGS!$E$3:E451)-SUMIF(WITHDRAWALS!$A:$A,A452,WITHDRAWALS!$E:$E)),"")</f>
        <v/>
      </c>
      <c r="D452" s="33">
        <f>IF(A452="","",TODAY())</f>
        <v/>
      </c>
      <c r="E452" s="29" t="n"/>
      <c r="F452" s="32">
        <f>IFERROR(IF(OR(A452="",E452=""),"",C452+E452),"")</f>
        <v/>
      </c>
      <c r="G452" s="30" t="n"/>
      <c r="H452" s="31" t="n"/>
    </row>
    <row r="453" ht="20" customHeight="1">
      <c r="A453" s="26" t="n"/>
      <c r="B453" s="27">
        <f>IFERROR(IF(A453="","",VLOOKUP(A453,DATABASE!$A:$B,2,0)),"")</f>
        <v/>
      </c>
      <c r="C453" s="20">
        <f>IFERROR(IF(A453="","",SUMIF(SAVINGS!$A$3:A452,A453,SAVINGS!$E$3:E452)-SUMIF(WITHDRAWALS!$A:$A,A453,WITHDRAWALS!$E:$E)),"")</f>
        <v/>
      </c>
      <c r="D453" s="28">
        <f>IF(A453="","",TODAY())</f>
        <v/>
      </c>
      <c r="E453" s="29" t="n"/>
      <c r="F453" s="20">
        <f>IFERROR(IF(OR(A453="",E453=""),"",C453+E453),"")</f>
        <v/>
      </c>
      <c r="G453" s="30" t="n"/>
      <c r="H453" s="27" t="n"/>
    </row>
    <row r="454" ht="20" customHeight="1">
      <c r="A454" s="26" t="n"/>
      <c r="B454" s="31">
        <f>IFERROR(IF(A454="","",VLOOKUP(A454,DATABASE!$A:$B,2,0)),"")</f>
        <v/>
      </c>
      <c r="C454" s="32">
        <f>IFERROR(IF(A454="","",SUMIF(SAVINGS!$A$3:A453,A454,SAVINGS!$E$3:E453)-SUMIF(WITHDRAWALS!$A:$A,A454,WITHDRAWALS!$E:$E)),"")</f>
        <v/>
      </c>
      <c r="D454" s="33">
        <f>IF(A454="","",TODAY())</f>
        <v/>
      </c>
      <c r="E454" s="29" t="n"/>
      <c r="F454" s="32">
        <f>IFERROR(IF(OR(A454="",E454=""),"",C454+E454),"")</f>
        <v/>
      </c>
      <c r="G454" s="30" t="n"/>
      <c r="H454" s="31" t="n"/>
    </row>
    <row r="455" ht="20" customHeight="1">
      <c r="A455" s="26" t="n"/>
      <c r="B455" s="27">
        <f>IFERROR(IF(A455="","",VLOOKUP(A455,DATABASE!$A:$B,2,0)),"")</f>
        <v/>
      </c>
      <c r="C455" s="20">
        <f>IFERROR(IF(A455="","",SUMIF(SAVINGS!$A$3:A454,A455,SAVINGS!$E$3:E454)-SUMIF(WITHDRAWALS!$A:$A,A455,WITHDRAWALS!$E:$E)),"")</f>
        <v/>
      </c>
      <c r="D455" s="28">
        <f>IF(A455="","",TODAY())</f>
        <v/>
      </c>
      <c r="E455" s="29" t="n"/>
      <c r="F455" s="20">
        <f>IFERROR(IF(OR(A455="",E455=""),"",C455+E455),"")</f>
        <v/>
      </c>
      <c r="G455" s="30" t="n"/>
      <c r="H455" s="27" t="n"/>
    </row>
    <row r="456" ht="20" customHeight="1">
      <c r="A456" s="26" t="n"/>
      <c r="B456" s="31">
        <f>IFERROR(IF(A456="","",VLOOKUP(A456,DATABASE!$A:$B,2,0)),"")</f>
        <v/>
      </c>
      <c r="C456" s="32">
        <f>IFERROR(IF(A456="","",SUMIF(SAVINGS!$A$3:A455,A456,SAVINGS!$E$3:E455)-SUMIF(WITHDRAWALS!$A:$A,A456,WITHDRAWALS!$E:$E)),"")</f>
        <v/>
      </c>
      <c r="D456" s="33">
        <f>IF(A456="","",TODAY())</f>
        <v/>
      </c>
      <c r="E456" s="29" t="n"/>
      <c r="F456" s="32">
        <f>IFERROR(IF(OR(A456="",E456=""),"",C456+E456),"")</f>
        <v/>
      </c>
      <c r="G456" s="30" t="n"/>
      <c r="H456" s="31" t="n"/>
    </row>
    <row r="457" ht="20" customHeight="1">
      <c r="A457" s="26" t="n"/>
      <c r="B457" s="27">
        <f>IFERROR(IF(A457="","",VLOOKUP(A457,DATABASE!$A:$B,2,0)),"")</f>
        <v/>
      </c>
      <c r="C457" s="20">
        <f>IFERROR(IF(A457="","",SUMIF(SAVINGS!$A$3:A456,A457,SAVINGS!$E$3:E456)-SUMIF(WITHDRAWALS!$A:$A,A457,WITHDRAWALS!$E:$E)),"")</f>
        <v/>
      </c>
      <c r="D457" s="28">
        <f>IF(A457="","",TODAY())</f>
        <v/>
      </c>
      <c r="E457" s="29" t="n"/>
      <c r="F457" s="20">
        <f>IFERROR(IF(OR(A457="",E457=""),"",C457+E457),"")</f>
        <v/>
      </c>
      <c r="G457" s="30" t="n"/>
      <c r="H457" s="27" t="n"/>
    </row>
    <row r="458" ht="20" customHeight="1">
      <c r="A458" s="26" t="n"/>
      <c r="B458" s="31">
        <f>IFERROR(IF(A458="","",VLOOKUP(A458,DATABASE!$A:$B,2,0)),"")</f>
        <v/>
      </c>
      <c r="C458" s="32">
        <f>IFERROR(IF(A458="","",SUMIF(SAVINGS!$A$3:A457,A458,SAVINGS!$E$3:E457)-SUMIF(WITHDRAWALS!$A:$A,A458,WITHDRAWALS!$E:$E)),"")</f>
        <v/>
      </c>
      <c r="D458" s="33">
        <f>IF(A458="","",TODAY())</f>
        <v/>
      </c>
      <c r="E458" s="29" t="n"/>
      <c r="F458" s="32">
        <f>IFERROR(IF(OR(A458="",E458=""),"",C458+E458),"")</f>
        <v/>
      </c>
      <c r="G458" s="30" t="n"/>
      <c r="H458" s="31" t="n"/>
    </row>
    <row r="459" ht="20" customHeight="1">
      <c r="A459" s="26" t="n"/>
      <c r="B459" s="27">
        <f>IFERROR(IF(A459="","",VLOOKUP(A459,DATABASE!$A:$B,2,0)),"")</f>
        <v/>
      </c>
      <c r="C459" s="20">
        <f>IFERROR(IF(A459="","",SUMIF(SAVINGS!$A$3:A458,A459,SAVINGS!$E$3:E458)-SUMIF(WITHDRAWALS!$A:$A,A459,WITHDRAWALS!$E:$E)),"")</f>
        <v/>
      </c>
      <c r="D459" s="28">
        <f>IF(A459="","",TODAY())</f>
        <v/>
      </c>
      <c r="E459" s="29" t="n"/>
      <c r="F459" s="20">
        <f>IFERROR(IF(OR(A459="",E459=""),"",C459+E459),"")</f>
        <v/>
      </c>
      <c r="G459" s="30" t="n"/>
      <c r="H459" s="27" t="n"/>
    </row>
    <row r="460" ht="20" customHeight="1">
      <c r="A460" s="26" t="n"/>
      <c r="B460" s="31">
        <f>IFERROR(IF(A460="","",VLOOKUP(A460,DATABASE!$A:$B,2,0)),"")</f>
        <v/>
      </c>
      <c r="C460" s="32">
        <f>IFERROR(IF(A460="","",SUMIF(SAVINGS!$A$3:A459,A460,SAVINGS!$E$3:E459)-SUMIF(WITHDRAWALS!$A:$A,A460,WITHDRAWALS!$E:$E)),"")</f>
        <v/>
      </c>
      <c r="D460" s="33">
        <f>IF(A460="","",TODAY())</f>
        <v/>
      </c>
      <c r="E460" s="29" t="n"/>
      <c r="F460" s="32">
        <f>IFERROR(IF(OR(A460="",E460=""),"",C460+E460),"")</f>
        <v/>
      </c>
      <c r="G460" s="30" t="n"/>
      <c r="H460" s="31" t="n"/>
    </row>
    <row r="461" ht="20" customHeight="1">
      <c r="A461" s="26" t="n"/>
      <c r="B461" s="27">
        <f>IFERROR(IF(A461="","",VLOOKUP(A461,DATABASE!$A:$B,2,0)),"")</f>
        <v/>
      </c>
      <c r="C461" s="20">
        <f>IFERROR(IF(A461="","",SUMIF(SAVINGS!$A$3:A460,A461,SAVINGS!$E$3:E460)-SUMIF(WITHDRAWALS!$A:$A,A461,WITHDRAWALS!$E:$E)),"")</f>
        <v/>
      </c>
      <c r="D461" s="28">
        <f>IF(A461="","",TODAY())</f>
        <v/>
      </c>
      <c r="E461" s="29" t="n"/>
      <c r="F461" s="20">
        <f>IFERROR(IF(OR(A461="",E461=""),"",C461+E461),"")</f>
        <v/>
      </c>
      <c r="G461" s="30" t="n"/>
      <c r="H461" s="27" t="n"/>
    </row>
    <row r="462" ht="20" customHeight="1">
      <c r="A462" s="26" t="n"/>
      <c r="B462" s="31">
        <f>IFERROR(IF(A462="","",VLOOKUP(A462,DATABASE!$A:$B,2,0)),"")</f>
        <v/>
      </c>
      <c r="C462" s="32">
        <f>IFERROR(IF(A462="","",SUMIF(SAVINGS!$A$3:A461,A462,SAVINGS!$E$3:E461)-SUMIF(WITHDRAWALS!$A:$A,A462,WITHDRAWALS!$E:$E)),"")</f>
        <v/>
      </c>
      <c r="D462" s="33">
        <f>IF(A462="","",TODAY())</f>
        <v/>
      </c>
      <c r="E462" s="29" t="n"/>
      <c r="F462" s="32">
        <f>IFERROR(IF(OR(A462="",E462=""),"",C462+E462),"")</f>
        <v/>
      </c>
      <c r="G462" s="30" t="n"/>
      <c r="H462" s="31" t="n"/>
    </row>
    <row r="463" ht="20" customHeight="1">
      <c r="A463" s="26" t="n"/>
      <c r="B463" s="27">
        <f>IFERROR(IF(A463="","",VLOOKUP(A463,DATABASE!$A:$B,2,0)),"")</f>
        <v/>
      </c>
      <c r="C463" s="20">
        <f>IFERROR(IF(A463="","",SUMIF(SAVINGS!$A$3:A462,A463,SAVINGS!$E$3:E462)-SUMIF(WITHDRAWALS!$A:$A,A463,WITHDRAWALS!$E:$E)),"")</f>
        <v/>
      </c>
      <c r="D463" s="28">
        <f>IF(A463="","",TODAY())</f>
        <v/>
      </c>
      <c r="E463" s="29" t="n"/>
      <c r="F463" s="20">
        <f>IFERROR(IF(OR(A463="",E463=""),"",C463+E463),"")</f>
        <v/>
      </c>
      <c r="G463" s="30" t="n"/>
      <c r="H463" s="27" t="n"/>
    </row>
    <row r="464" ht="20" customHeight="1">
      <c r="A464" s="26" t="n"/>
      <c r="B464" s="31">
        <f>IFERROR(IF(A464="","",VLOOKUP(A464,DATABASE!$A:$B,2,0)),"")</f>
        <v/>
      </c>
      <c r="C464" s="32">
        <f>IFERROR(IF(A464="","",SUMIF(SAVINGS!$A$3:A463,A464,SAVINGS!$E$3:E463)-SUMIF(WITHDRAWALS!$A:$A,A464,WITHDRAWALS!$E:$E)),"")</f>
        <v/>
      </c>
      <c r="D464" s="33">
        <f>IF(A464="","",TODAY())</f>
        <v/>
      </c>
      <c r="E464" s="29" t="n"/>
      <c r="F464" s="32">
        <f>IFERROR(IF(OR(A464="",E464=""),"",C464+E464),"")</f>
        <v/>
      </c>
      <c r="G464" s="30" t="n"/>
      <c r="H464" s="31" t="n"/>
    </row>
    <row r="465" ht="20" customHeight="1">
      <c r="A465" s="26" t="n"/>
      <c r="B465" s="27">
        <f>IFERROR(IF(A465="","",VLOOKUP(A465,DATABASE!$A:$B,2,0)),"")</f>
        <v/>
      </c>
      <c r="C465" s="20">
        <f>IFERROR(IF(A465="","",SUMIF(SAVINGS!$A$3:A464,A465,SAVINGS!$E$3:E464)-SUMIF(WITHDRAWALS!$A:$A,A465,WITHDRAWALS!$E:$E)),"")</f>
        <v/>
      </c>
      <c r="D465" s="28">
        <f>IF(A465="","",TODAY())</f>
        <v/>
      </c>
      <c r="E465" s="29" t="n"/>
      <c r="F465" s="20">
        <f>IFERROR(IF(OR(A465="",E465=""),"",C465+E465),"")</f>
        <v/>
      </c>
      <c r="G465" s="30" t="n"/>
      <c r="H465" s="27" t="n"/>
    </row>
    <row r="466" ht="20" customHeight="1">
      <c r="A466" s="26" t="n"/>
      <c r="B466" s="31">
        <f>IFERROR(IF(A466="","",VLOOKUP(A466,DATABASE!$A:$B,2,0)),"")</f>
        <v/>
      </c>
      <c r="C466" s="32">
        <f>IFERROR(IF(A466="","",SUMIF(SAVINGS!$A$3:A465,A466,SAVINGS!$E$3:E465)-SUMIF(WITHDRAWALS!$A:$A,A466,WITHDRAWALS!$E:$E)),"")</f>
        <v/>
      </c>
      <c r="D466" s="33">
        <f>IF(A466="","",TODAY())</f>
        <v/>
      </c>
      <c r="E466" s="29" t="n"/>
      <c r="F466" s="32">
        <f>IFERROR(IF(OR(A466="",E466=""),"",C466+E466),"")</f>
        <v/>
      </c>
      <c r="G466" s="30" t="n"/>
      <c r="H466" s="31" t="n"/>
    </row>
    <row r="467" ht="20" customHeight="1">
      <c r="A467" s="26" t="n"/>
      <c r="B467" s="27">
        <f>IFERROR(IF(A467="","",VLOOKUP(A467,DATABASE!$A:$B,2,0)),"")</f>
        <v/>
      </c>
      <c r="C467" s="20">
        <f>IFERROR(IF(A467="","",SUMIF(SAVINGS!$A$3:A466,A467,SAVINGS!$E$3:E466)-SUMIF(WITHDRAWALS!$A:$A,A467,WITHDRAWALS!$E:$E)),"")</f>
        <v/>
      </c>
      <c r="D467" s="28">
        <f>IF(A467="","",TODAY())</f>
        <v/>
      </c>
      <c r="E467" s="29" t="n"/>
      <c r="F467" s="20">
        <f>IFERROR(IF(OR(A467="",E467=""),"",C467+E467),"")</f>
        <v/>
      </c>
      <c r="G467" s="30" t="n"/>
      <c r="H467" s="27" t="n"/>
    </row>
    <row r="468" ht="20" customHeight="1">
      <c r="A468" s="26" t="n"/>
      <c r="B468" s="31">
        <f>IFERROR(IF(A468="","",VLOOKUP(A468,DATABASE!$A:$B,2,0)),"")</f>
        <v/>
      </c>
      <c r="C468" s="32">
        <f>IFERROR(IF(A468="","",SUMIF(SAVINGS!$A$3:A467,A468,SAVINGS!$E$3:E467)-SUMIF(WITHDRAWALS!$A:$A,A468,WITHDRAWALS!$E:$E)),"")</f>
        <v/>
      </c>
      <c r="D468" s="33">
        <f>IF(A468="","",TODAY())</f>
        <v/>
      </c>
      <c r="E468" s="29" t="n"/>
      <c r="F468" s="32">
        <f>IFERROR(IF(OR(A468="",E468=""),"",C468+E468),"")</f>
        <v/>
      </c>
      <c r="G468" s="30" t="n"/>
      <c r="H468" s="31" t="n"/>
    </row>
    <row r="469" ht="20" customHeight="1">
      <c r="A469" s="26" t="n"/>
      <c r="B469" s="27">
        <f>IFERROR(IF(A469="","",VLOOKUP(A469,DATABASE!$A:$B,2,0)),"")</f>
        <v/>
      </c>
      <c r="C469" s="20">
        <f>IFERROR(IF(A469="","",SUMIF(SAVINGS!$A$3:A468,A469,SAVINGS!$E$3:E468)-SUMIF(WITHDRAWALS!$A:$A,A469,WITHDRAWALS!$E:$E)),"")</f>
        <v/>
      </c>
      <c r="D469" s="28">
        <f>IF(A469="","",TODAY())</f>
        <v/>
      </c>
      <c r="E469" s="29" t="n"/>
      <c r="F469" s="20">
        <f>IFERROR(IF(OR(A469="",E469=""),"",C469+E469),"")</f>
        <v/>
      </c>
      <c r="G469" s="30" t="n"/>
      <c r="H469" s="27" t="n"/>
    </row>
    <row r="470" ht="20" customHeight="1">
      <c r="A470" s="26" t="n"/>
      <c r="B470" s="31">
        <f>IFERROR(IF(A470="","",VLOOKUP(A470,DATABASE!$A:$B,2,0)),"")</f>
        <v/>
      </c>
      <c r="C470" s="32">
        <f>IFERROR(IF(A470="","",SUMIF(SAVINGS!$A$3:A469,A470,SAVINGS!$E$3:E469)-SUMIF(WITHDRAWALS!$A:$A,A470,WITHDRAWALS!$E:$E)),"")</f>
        <v/>
      </c>
      <c r="D470" s="33">
        <f>IF(A470="","",TODAY())</f>
        <v/>
      </c>
      <c r="E470" s="29" t="n"/>
      <c r="F470" s="32">
        <f>IFERROR(IF(OR(A470="",E470=""),"",C470+E470),"")</f>
        <v/>
      </c>
      <c r="G470" s="30" t="n"/>
      <c r="H470" s="31" t="n"/>
    </row>
    <row r="471" ht="20" customHeight="1">
      <c r="A471" s="26" t="n"/>
      <c r="B471" s="27">
        <f>IFERROR(IF(A471="","",VLOOKUP(A471,DATABASE!$A:$B,2,0)),"")</f>
        <v/>
      </c>
      <c r="C471" s="20">
        <f>IFERROR(IF(A471="","",SUMIF(SAVINGS!$A$3:A470,A471,SAVINGS!$E$3:E470)-SUMIF(WITHDRAWALS!$A:$A,A471,WITHDRAWALS!$E:$E)),"")</f>
        <v/>
      </c>
      <c r="D471" s="28">
        <f>IF(A471="","",TODAY())</f>
        <v/>
      </c>
      <c r="E471" s="29" t="n"/>
      <c r="F471" s="20">
        <f>IFERROR(IF(OR(A471="",E471=""),"",C471+E471),"")</f>
        <v/>
      </c>
      <c r="G471" s="30" t="n"/>
      <c r="H471" s="27" t="n"/>
    </row>
    <row r="472" ht="20" customHeight="1">
      <c r="A472" s="26" t="n"/>
      <c r="B472" s="31">
        <f>IFERROR(IF(A472="","",VLOOKUP(A472,DATABASE!$A:$B,2,0)),"")</f>
        <v/>
      </c>
      <c r="C472" s="32">
        <f>IFERROR(IF(A472="","",SUMIF(SAVINGS!$A$3:A471,A472,SAVINGS!$E$3:E471)-SUMIF(WITHDRAWALS!$A:$A,A472,WITHDRAWALS!$E:$E)),"")</f>
        <v/>
      </c>
      <c r="D472" s="33">
        <f>IF(A472="","",TODAY())</f>
        <v/>
      </c>
      <c r="E472" s="29" t="n"/>
      <c r="F472" s="32">
        <f>IFERROR(IF(OR(A472="",E472=""),"",C472+E472),"")</f>
        <v/>
      </c>
      <c r="G472" s="30" t="n"/>
      <c r="H472" s="31" t="n"/>
    </row>
    <row r="473" ht="20" customHeight="1">
      <c r="A473" s="26" t="n"/>
      <c r="B473" s="27">
        <f>IFERROR(IF(A473="","",VLOOKUP(A473,DATABASE!$A:$B,2,0)),"")</f>
        <v/>
      </c>
      <c r="C473" s="20">
        <f>IFERROR(IF(A473="","",SUMIF(SAVINGS!$A$3:A472,A473,SAVINGS!$E$3:E472)-SUMIF(WITHDRAWALS!$A:$A,A473,WITHDRAWALS!$E:$E)),"")</f>
        <v/>
      </c>
      <c r="D473" s="28">
        <f>IF(A473="","",TODAY())</f>
        <v/>
      </c>
      <c r="E473" s="29" t="n"/>
      <c r="F473" s="20">
        <f>IFERROR(IF(OR(A473="",E473=""),"",C473+E473),"")</f>
        <v/>
      </c>
      <c r="G473" s="30" t="n"/>
      <c r="H473" s="27" t="n"/>
    </row>
    <row r="474" ht="20" customHeight="1">
      <c r="A474" s="26" t="n"/>
      <c r="B474" s="31">
        <f>IFERROR(IF(A474="","",VLOOKUP(A474,DATABASE!$A:$B,2,0)),"")</f>
        <v/>
      </c>
      <c r="C474" s="32">
        <f>IFERROR(IF(A474="","",SUMIF(SAVINGS!$A$3:A473,A474,SAVINGS!$E$3:E473)-SUMIF(WITHDRAWALS!$A:$A,A474,WITHDRAWALS!$E:$E)),"")</f>
        <v/>
      </c>
      <c r="D474" s="33">
        <f>IF(A474="","",TODAY())</f>
        <v/>
      </c>
      <c r="E474" s="29" t="n"/>
      <c r="F474" s="32">
        <f>IFERROR(IF(OR(A474="",E474=""),"",C474+E474),"")</f>
        <v/>
      </c>
      <c r="G474" s="30" t="n"/>
      <c r="H474" s="31" t="n"/>
    </row>
    <row r="475" ht="20" customHeight="1">
      <c r="A475" s="26" t="n"/>
      <c r="B475" s="27">
        <f>IFERROR(IF(A475="","",VLOOKUP(A475,DATABASE!$A:$B,2,0)),"")</f>
        <v/>
      </c>
      <c r="C475" s="20">
        <f>IFERROR(IF(A475="","",SUMIF(SAVINGS!$A$3:A474,A475,SAVINGS!$E$3:E474)-SUMIF(WITHDRAWALS!$A:$A,A475,WITHDRAWALS!$E:$E)),"")</f>
        <v/>
      </c>
      <c r="D475" s="28">
        <f>IF(A475="","",TODAY())</f>
        <v/>
      </c>
      <c r="E475" s="29" t="n"/>
      <c r="F475" s="20">
        <f>IFERROR(IF(OR(A475="",E475=""),"",C475+E475),"")</f>
        <v/>
      </c>
      <c r="G475" s="30" t="n"/>
      <c r="H475" s="27" t="n"/>
    </row>
    <row r="476" ht="20" customHeight="1">
      <c r="A476" s="26" t="n"/>
      <c r="B476" s="31">
        <f>IFERROR(IF(A476="","",VLOOKUP(A476,DATABASE!$A:$B,2,0)),"")</f>
        <v/>
      </c>
      <c r="C476" s="32">
        <f>IFERROR(IF(A476="","",SUMIF(SAVINGS!$A$3:A475,A476,SAVINGS!$E$3:E475)-SUMIF(WITHDRAWALS!$A:$A,A476,WITHDRAWALS!$E:$E)),"")</f>
        <v/>
      </c>
      <c r="D476" s="33">
        <f>IF(A476="","",TODAY())</f>
        <v/>
      </c>
      <c r="E476" s="29" t="n"/>
      <c r="F476" s="32">
        <f>IFERROR(IF(OR(A476="",E476=""),"",C476+E476),"")</f>
        <v/>
      </c>
      <c r="G476" s="30" t="n"/>
      <c r="H476" s="31" t="n"/>
    </row>
    <row r="477" ht="20" customHeight="1">
      <c r="A477" s="26" t="n"/>
      <c r="B477" s="27">
        <f>IFERROR(IF(A477="","",VLOOKUP(A477,DATABASE!$A:$B,2,0)),"")</f>
        <v/>
      </c>
      <c r="C477" s="20">
        <f>IFERROR(IF(A477="","",SUMIF(SAVINGS!$A$3:A476,A477,SAVINGS!$E$3:E476)-SUMIF(WITHDRAWALS!$A:$A,A477,WITHDRAWALS!$E:$E)),"")</f>
        <v/>
      </c>
      <c r="D477" s="28">
        <f>IF(A477="","",TODAY())</f>
        <v/>
      </c>
      <c r="E477" s="29" t="n"/>
      <c r="F477" s="20">
        <f>IFERROR(IF(OR(A477="",E477=""),"",C477+E477),"")</f>
        <v/>
      </c>
      <c r="G477" s="30" t="n"/>
      <c r="H477" s="27" t="n"/>
    </row>
    <row r="478" ht="20" customHeight="1">
      <c r="A478" s="26" t="n"/>
      <c r="B478" s="31">
        <f>IFERROR(IF(A478="","",VLOOKUP(A478,DATABASE!$A:$B,2,0)),"")</f>
        <v/>
      </c>
      <c r="C478" s="32">
        <f>IFERROR(IF(A478="","",SUMIF(SAVINGS!$A$3:A477,A478,SAVINGS!$E$3:E477)-SUMIF(WITHDRAWALS!$A:$A,A478,WITHDRAWALS!$E:$E)),"")</f>
        <v/>
      </c>
      <c r="D478" s="33">
        <f>IF(A478="","",TODAY())</f>
        <v/>
      </c>
      <c r="E478" s="29" t="n"/>
      <c r="F478" s="32">
        <f>IFERROR(IF(OR(A478="",E478=""),"",C478+E478),"")</f>
        <v/>
      </c>
      <c r="G478" s="30" t="n"/>
      <c r="H478" s="31" t="n"/>
    </row>
    <row r="479" ht="20" customHeight="1">
      <c r="A479" s="26" t="n"/>
      <c r="B479" s="27">
        <f>IFERROR(IF(A479="","",VLOOKUP(A479,DATABASE!$A:$B,2,0)),"")</f>
        <v/>
      </c>
      <c r="C479" s="20">
        <f>IFERROR(IF(A479="","",SUMIF(SAVINGS!$A$3:A478,A479,SAVINGS!$E$3:E478)-SUMIF(WITHDRAWALS!$A:$A,A479,WITHDRAWALS!$E:$E)),"")</f>
        <v/>
      </c>
      <c r="D479" s="28">
        <f>IF(A479="","",TODAY())</f>
        <v/>
      </c>
      <c r="E479" s="29" t="n"/>
      <c r="F479" s="20">
        <f>IFERROR(IF(OR(A479="",E479=""),"",C479+E479),"")</f>
        <v/>
      </c>
      <c r="G479" s="30" t="n"/>
      <c r="H479" s="27" t="n"/>
    </row>
    <row r="480" ht="20" customHeight="1">
      <c r="A480" s="26" t="n"/>
      <c r="B480" s="31">
        <f>IFERROR(IF(A480="","",VLOOKUP(A480,DATABASE!$A:$B,2,0)),"")</f>
        <v/>
      </c>
      <c r="C480" s="32">
        <f>IFERROR(IF(A480="","",SUMIF(SAVINGS!$A$3:A479,A480,SAVINGS!$E$3:E479)-SUMIF(WITHDRAWALS!$A:$A,A480,WITHDRAWALS!$E:$E)),"")</f>
        <v/>
      </c>
      <c r="D480" s="33">
        <f>IF(A480="","",TODAY())</f>
        <v/>
      </c>
      <c r="E480" s="29" t="n"/>
      <c r="F480" s="32">
        <f>IFERROR(IF(OR(A480="",E480=""),"",C480+E480),"")</f>
        <v/>
      </c>
      <c r="G480" s="30" t="n"/>
      <c r="H480" s="31" t="n"/>
    </row>
    <row r="481" ht="20" customHeight="1">
      <c r="A481" s="26" t="n"/>
      <c r="B481" s="27">
        <f>IFERROR(IF(A481="","",VLOOKUP(A481,DATABASE!$A:$B,2,0)),"")</f>
        <v/>
      </c>
      <c r="C481" s="20">
        <f>IFERROR(IF(A481="","",SUMIF(SAVINGS!$A$3:A480,A481,SAVINGS!$E$3:E480)-SUMIF(WITHDRAWALS!$A:$A,A481,WITHDRAWALS!$E:$E)),"")</f>
        <v/>
      </c>
      <c r="D481" s="28">
        <f>IF(A481="","",TODAY())</f>
        <v/>
      </c>
      <c r="E481" s="29" t="n"/>
      <c r="F481" s="20">
        <f>IFERROR(IF(OR(A481="",E481=""),"",C481+E481),"")</f>
        <v/>
      </c>
      <c r="G481" s="30" t="n"/>
      <c r="H481" s="27" t="n"/>
    </row>
    <row r="482" ht="20" customHeight="1">
      <c r="A482" s="26" t="n"/>
      <c r="B482" s="31">
        <f>IFERROR(IF(A482="","",VLOOKUP(A482,DATABASE!$A:$B,2,0)),"")</f>
        <v/>
      </c>
      <c r="C482" s="32">
        <f>IFERROR(IF(A482="","",SUMIF(SAVINGS!$A$3:A481,A482,SAVINGS!$E$3:E481)-SUMIF(WITHDRAWALS!$A:$A,A482,WITHDRAWALS!$E:$E)),"")</f>
        <v/>
      </c>
      <c r="D482" s="33">
        <f>IF(A482="","",TODAY())</f>
        <v/>
      </c>
      <c r="E482" s="29" t="n"/>
      <c r="F482" s="32">
        <f>IFERROR(IF(OR(A482="",E482=""),"",C482+E482),"")</f>
        <v/>
      </c>
      <c r="G482" s="30" t="n"/>
      <c r="H482" s="31" t="n"/>
    </row>
    <row r="483" ht="20" customHeight="1">
      <c r="A483" s="26" t="n"/>
      <c r="B483" s="27">
        <f>IFERROR(IF(A483="","",VLOOKUP(A483,DATABASE!$A:$B,2,0)),"")</f>
        <v/>
      </c>
      <c r="C483" s="20">
        <f>IFERROR(IF(A483="","",SUMIF(SAVINGS!$A$3:A482,A483,SAVINGS!$E$3:E482)-SUMIF(WITHDRAWALS!$A:$A,A483,WITHDRAWALS!$E:$E)),"")</f>
        <v/>
      </c>
      <c r="D483" s="28">
        <f>IF(A483="","",TODAY())</f>
        <v/>
      </c>
      <c r="E483" s="29" t="n"/>
      <c r="F483" s="20">
        <f>IFERROR(IF(OR(A483="",E483=""),"",C483+E483),"")</f>
        <v/>
      </c>
      <c r="G483" s="30" t="n"/>
      <c r="H483" s="27" t="n"/>
    </row>
    <row r="484" ht="20" customHeight="1">
      <c r="A484" s="26" t="n"/>
      <c r="B484" s="31">
        <f>IFERROR(IF(A484="","",VLOOKUP(A484,DATABASE!$A:$B,2,0)),"")</f>
        <v/>
      </c>
      <c r="C484" s="32">
        <f>IFERROR(IF(A484="","",SUMIF(SAVINGS!$A$3:A483,A484,SAVINGS!$E$3:E483)-SUMIF(WITHDRAWALS!$A:$A,A484,WITHDRAWALS!$E:$E)),"")</f>
        <v/>
      </c>
      <c r="D484" s="33">
        <f>IF(A484="","",TODAY())</f>
        <v/>
      </c>
      <c r="E484" s="29" t="n"/>
      <c r="F484" s="32">
        <f>IFERROR(IF(OR(A484="",E484=""),"",C484+E484),"")</f>
        <v/>
      </c>
      <c r="G484" s="30" t="n"/>
      <c r="H484" s="31" t="n"/>
    </row>
    <row r="485" ht="20" customHeight="1">
      <c r="A485" s="26" t="n"/>
      <c r="B485" s="27">
        <f>IFERROR(IF(A485="","",VLOOKUP(A485,DATABASE!$A:$B,2,0)),"")</f>
        <v/>
      </c>
      <c r="C485" s="20">
        <f>IFERROR(IF(A485="","",SUMIF(SAVINGS!$A$3:A484,A485,SAVINGS!$E$3:E484)-SUMIF(WITHDRAWALS!$A:$A,A485,WITHDRAWALS!$E:$E)),"")</f>
        <v/>
      </c>
      <c r="D485" s="28">
        <f>IF(A485="","",TODAY())</f>
        <v/>
      </c>
      <c r="E485" s="29" t="n"/>
      <c r="F485" s="20">
        <f>IFERROR(IF(OR(A485="",E485=""),"",C485+E485),"")</f>
        <v/>
      </c>
      <c r="G485" s="30" t="n"/>
      <c r="H485" s="27" t="n"/>
    </row>
    <row r="486" ht="20" customHeight="1">
      <c r="A486" s="26" t="n"/>
      <c r="B486" s="31">
        <f>IFERROR(IF(A486="","",VLOOKUP(A486,DATABASE!$A:$B,2,0)),"")</f>
        <v/>
      </c>
      <c r="C486" s="32">
        <f>IFERROR(IF(A486="","",SUMIF(SAVINGS!$A$3:A485,A486,SAVINGS!$E$3:E485)-SUMIF(WITHDRAWALS!$A:$A,A486,WITHDRAWALS!$E:$E)),"")</f>
        <v/>
      </c>
      <c r="D486" s="33">
        <f>IF(A486="","",TODAY())</f>
        <v/>
      </c>
      <c r="E486" s="29" t="n"/>
      <c r="F486" s="32">
        <f>IFERROR(IF(OR(A486="",E486=""),"",C486+E486),"")</f>
        <v/>
      </c>
      <c r="G486" s="30" t="n"/>
      <c r="H486" s="31" t="n"/>
    </row>
    <row r="487" ht="20" customHeight="1">
      <c r="A487" s="26" t="n"/>
      <c r="B487" s="27">
        <f>IFERROR(IF(A487="","",VLOOKUP(A487,DATABASE!$A:$B,2,0)),"")</f>
        <v/>
      </c>
      <c r="C487" s="20">
        <f>IFERROR(IF(A487="","",SUMIF(SAVINGS!$A$3:A486,A487,SAVINGS!$E$3:E486)-SUMIF(WITHDRAWALS!$A:$A,A487,WITHDRAWALS!$E:$E)),"")</f>
        <v/>
      </c>
      <c r="D487" s="28">
        <f>IF(A487="","",TODAY())</f>
        <v/>
      </c>
      <c r="E487" s="29" t="n"/>
      <c r="F487" s="20">
        <f>IFERROR(IF(OR(A487="",E487=""),"",C487+E487),"")</f>
        <v/>
      </c>
      <c r="G487" s="30" t="n"/>
      <c r="H487" s="27" t="n"/>
    </row>
    <row r="488" ht="20" customHeight="1">
      <c r="A488" s="26" t="n"/>
      <c r="B488" s="31">
        <f>IFERROR(IF(A488="","",VLOOKUP(A488,DATABASE!$A:$B,2,0)),"")</f>
        <v/>
      </c>
      <c r="C488" s="32">
        <f>IFERROR(IF(A488="","",SUMIF(SAVINGS!$A$3:A487,A488,SAVINGS!$E$3:E487)-SUMIF(WITHDRAWALS!$A:$A,A488,WITHDRAWALS!$E:$E)),"")</f>
        <v/>
      </c>
      <c r="D488" s="33">
        <f>IF(A488="","",TODAY())</f>
        <v/>
      </c>
      <c r="E488" s="29" t="n"/>
      <c r="F488" s="32">
        <f>IFERROR(IF(OR(A488="",E488=""),"",C488+E488),"")</f>
        <v/>
      </c>
      <c r="G488" s="30" t="n"/>
      <c r="H488" s="31" t="n"/>
    </row>
    <row r="489" ht="20" customHeight="1">
      <c r="A489" s="26" t="n"/>
      <c r="B489" s="27">
        <f>IFERROR(IF(A489="","",VLOOKUP(A489,DATABASE!$A:$B,2,0)),"")</f>
        <v/>
      </c>
      <c r="C489" s="20">
        <f>IFERROR(IF(A489="","",SUMIF(SAVINGS!$A$3:A488,A489,SAVINGS!$E$3:E488)-SUMIF(WITHDRAWALS!$A:$A,A489,WITHDRAWALS!$E:$E)),"")</f>
        <v/>
      </c>
      <c r="D489" s="28">
        <f>IF(A489="","",TODAY())</f>
        <v/>
      </c>
      <c r="E489" s="29" t="n"/>
      <c r="F489" s="20">
        <f>IFERROR(IF(OR(A489="",E489=""),"",C489+E489),"")</f>
        <v/>
      </c>
      <c r="G489" s="30" t="n"/>
      <c r="H489" s="27" t="n"/>
    </row>
    <row r="490" ht="20" customHeight="1">
      <c r="A490" s="26" t="n"/>
      <c r="B490" s="31">
        <f>IFERROR(IF(A490="","",VLOOKUP(A490,DATABASE!$A:$B,2,0)),"")</f>
        <v/>
      </c>
      <c r="C490" s="32">
        <f>IFERROR(IF(A490="","",SUMIF(SAVINGS!$A$3:A489,A490,SAVINGS!$E$3:E489)-SUMIF(WITHDRAWALS!$A:$A,A490,WITHDRAWALS!$E:$E)),"")</f>
        <v/>
      </c>
      <c r="D490" s="33">
        <f>IF(A490="","",TODAY())</f>
        <v/>
      </c>
      <c r="E490" s="29" t="n"/>
      <c r="F490" s="32">
        <f>IFERROR(IF(OR(A490="",E490=""),"",C490+E490),"")</f>
        <v/>
      </c>
      <c r="G490" s="30" t="n"/>
      <c r="H490" s="31" t="n"/>
    </row>
    <row r="491" ht="20" customHeight="1">
      <c r="A491" s="26" t="n"/>
      <c r="B491" s="27">
        <f>IFERROR(IF(A491="","",VLOOKUP(A491,DATABASE!$A:$B,2,0)),"")</f>
        <v/>
      </c>
      <c r="C491" s="20">
        <f>IFERROR(IF(A491="","",SUMIF(SAVINGS!$A$3:A490,A491,SAVINGS!$E$3:E490)-SUMIF(WITHDRAWALS!$A:$A,A491,WITHDRAWALS!$E:$E)),"")</f>
        <v/>
      </c>
      <c r="D491" s="28">
        <f>IF(A491="","",TODAY())</f>
        <v/>
      </c>
      <c r="E491" s="29" t="n"/>
      <c r="F491" s="20">
        <f>IFERROR(IF(OR(A491="",E491=""),"",C491+E491),"")</f>
        <v/>
      </c>
      <c r="G491" s="30" t="n"/>
      <c r="H491" s="27" t="n"/>
    </row>
    <row r="492" ht="20" customHeight="1">
      <c r="A492" s="26" t="n"/>
      <c r="B492" s="31">
        <f>IFERROR(IF(A492="","",VLOOKUP(A492,DATABASE!$A:$B,2,0)),"")</f>
        <v/>
      </c>
      <c r="C492" s="32">
        <f>IFERROR(IF(A492="","",SUMIF(SAVINGS!$A$3:A491,A492,SAVINGS!$E$3:E491)-SUMIF(WITHDRAWALS!$A:$A,A492,WITHDRAWALS!$E:$E)),"")</f>
        <v/>
      </c>
      <c r="D492" s="33">
        <f>IF(A492="","",TODAY())</f>
        <v/>
      </c>
      <c r="E492" s="29" t="n"/>
      <c r="F492" s="32">
        <f>IFERROR(IF(OR(A492="",E492=""),"",C492+E492),"")</f>
        <v/>
      </c>
      <c r="G492" s="30" t="n"/>
      <c r="H492" s="31" t="n"/>
    </row>
    <row r="493" ht="20" customHeight="1">
      <c r="A493" s="26" t="n"/>
      <c r="B493" s="27">
        <f>IFERROR(IF(A493="","",VLOOKUP(A493,DATABASE!$A:$B,2,0)),"")</f>
        <v/>
      </c>
      <c r="C493" s="20">
        <f>IFERROR(IF(A493="","",SUMIF(SAVINGS!$A$3:A492,A493,SAVINGS!$E$3:E492)-SUMIF(WITHDRAWALS!$A:$A,A493,WITHDRAWALS!$E:$E)),"")</f>
        <v/>
      </c>
      <c r="D493" s="28">
        <f>IF(A493="","",TODAY())</f>
        <v/>
      </c>
      <c r="E493" s="29" t="n"/>
      <c r="F493" s="20">
        <f>IFERROR(IF(OR(A493="",E493=""),"",C493+E493),"")</f>
        <v/>
      </c>
      <c r="G493" s="30" t="n"/>
      <c r="H493" s="27" t="n"/>
    </row>
    <row r="494" ht="20" customHeight="1">
      <c r="A494" s="26" t="n"/>
      <c r="B494" s="31">
        <f>IFERROR(IF(A494="","",VLOOKUP(A494,DATABASE!$A:$B,2,0)),"")</f>
        <v/>
      </c>
      <c r="C494" s="32">
        <f>IFERROR(IF(A494="","",SUMIF(SAVINGS!$A$3:A493,A494,SAVINGS!$E$3:E493)-SUMIF(WITHDRAWALS!$A:$A,A494,WITHDRAWALS!$E:$E)),"")</f>
        <v/>
      </c>
      <c r="D494" s="33">
        <f>IF(A494="","",TODAY())</f>
        <v/>
      </c>
      <c r="E494" s="29" t="n"/>
      <c r="F494" s="32">
        <f>IFERROR(IF(OR(A494="",E494=""),"",C494+E494),"")</f>
        <v/>
      </c>
      <c r="G494" s="30" t="n"/>
      <c r="H494" s="31" t="n"/>
    </row>
    <row r="495" ht="20" customHeight="1">
      <c r="A495" s="26" t="n"/>
      <c r="B495" s="27">
        <f>IFERROR(IF(A495="","",VLOOKUP(A495,DATABASE!$A:$B,2,0)),"")</f>
        <v/>
      </c>
      <c r="C495" s="20">
        <f>IFERROR(IF(A495="","",SUMIF(SAVINGS!$A$3:A494,A495,SAVINGS!$E$3:E494)-SUMIF(WITHDRAWALS!$A:$A,A495,WITHDRAWALS!$E:$E)),"")</f>
        <v/>
      </c>
      <c r="D495" s="28">
        <f>IF(A495="","",TODAY())</f>
        <v/>
      </c>
      <c r="E495" s="29" t="n"/>
      <c r="F495" s="20">
        <f>IFERROR(IF(OR(A495="",E495=""),"",C495+E495),"")</f>
        <v/>
      </c>
      <c r="G495" s="30" t="n"/>
      <c r="H495" s="27" t="n"/>
    </row>
    <row r="496" ht="20" customHeight="1">
      <c r="A496" s="26" t="n"/>
      <c r="B496" s="31">
        <f>IFERROR(IF(A496="","",VLOOKUP(A496,DATABASE!$A:$B,2,0)),"")</f>
        <v/>
      </c>
      <c r="C496" s="32">
        <f>IFERROR(IF(A496="","",SUMIF(SAVINGS!$A$3:A495,A496,SAVINGS!$E$3:E495)-SUMIF(WITHDRAWALS!$A:$A,A496,WITHDRAWALS!$E:$E)),"")</f>
        <v/>
      </c>
      <c r="D496" s="33">
        <f>IF(A496="","",TODAY())</f>
        <v/>
      </c>
      <c r="E496" s="29" t="n"/>
      <c r="F496" s="32">
        <f>IFERROR(IF(OR(A496="",E496=""),"",C496+E496),"")</f>
        <v/>
      </c>
      <c r="G496" s="30" t="n"/>
      <c r="H496" s="31" t="n"/>
    </row>
    <row r="497" ht="20" customHeight="1">
      <c r="A497" s="26" t="n"/>
      <c r="B497" s="27">
        <f>IFERROR(IF(A497="","",VLOOKUP(A497,DATABASE!$A:$B,2,0)),"")</f>
        <v/>
      </c>
      <c r="C497" s="20">
        <f>IFERROR(IF(A497="","",SUMIF(SAVINGS!$A$3:A496,A497,SAVINGS!$E$3:E496)-SUMIF(WITHDRAWALS!$A:$A,A497,WITHDRAWALS!$E:$E)),"")</f>
        <v/>
      </c>
      <c r="D497" s="28">
        <f>IF(A497="","",TODAY())</f>
        <v/>
      </c>
      <c r="E497" s="29" t="n"/>
      <c r="F497" s="20">
        <f>IFERROR(IF(OR(A497="",E497=""),"",C497+E497),"")</f>
        <v/>
      </c>
      <c r="G497" s="30" t="n"/>
      <c r="H497" s="27" t="n"/>
    </row>
    <row r="498" ht="20" customHeight="1">
      <c r="A498" s="26" t="n"/>
      <c r="B498" s="31">
        <f>IFERROR(IF(A498="","",VLOOKUP(A498,DATABASE!$A:$B,2,0)),"")</f>
        <v/>
      </c>
      <c r="C498" s="32">
        <f>IFERROR(IF(A498="","",SUMIF(SAVINGS!$A$3:A497,A498,SAVINGS!$E$3:E497)-SUMIF(WITHDRAWALS!$A:$A,A498,WITHDRAWALS!$E:$E)),"")</f>
        <v/>
      </c>
      <c r="D498" s="33">
        <f>IF(A498="","",TODAY())</f>
        <v/>
      </c>
      <c r="E498" s="29" t="n"/>
      <c r="F498" s="32">
        <f>IFERROR(IF(OR(A498="",E498=""),"",C498+E498),"")</f>
        <v/>
      </c>
      <c r="G498" s="30" t="n"/>
      <c r="H498" s="31" t="n"/>
    </row>
    <row r="499" ht="20" customHeight="1">
      <c r="A499" s="26" t="n"/>
      <c r="B499" s="27">
        <f>IFERROR(IF(A499="","",VLOOKUP(A499,DATABASE!$A:$B,2,0)),"")</f>
        <v/>
      </c>
      <c r="C499" s="20">
        <f>IFERROR(IF(A499="","",SUMIF(SAVINGS!$A$3:A498,A499,SAVINGS!$E$3:E498)-SUMIF(WITHDRAWALS!$A:$A,A499,WITHDRAWALS!$E:$E)),"")</f>
        <v/>
      </c>
      <c r="D499" s="28">
        <f>IF(A499="","",TODAY())</f>
        <v/>
      </c>
      <c r="E499" s="29" t="n"/>
      <c r="F499" s="20">
        <f>IFERROR(IF(OR(A499="",E499=""),"",C499+E499),"")</f>
        <v/>
      </c>
      <c r="G499" s="30" t="n"/>
      <c r="H499" s="27" t="n"/>
    </row>
    <row r="500" ht="20" customHeight="1">
      <c r="A500" s="26" t="n"/>
      <c r="B500" s="31">
        <f>IFERROR(IF(A500="","",VLOOKUP(A500,DATABASE!$A:$B,2,0)),"")</f>
        <v/>
      </c>
      <c r="C500" s="32">
        <f>IFERROR(IF(A500="","",SUMIF(SAVINGS!$A$3:A499,A500,SAVINGS!$E$3:E499)-SUMIF(WITHDRAWALS!$A:$A,A500,WITHDRAWALS!$E:$E)),"")</f>
        <v/>
      </c>
      <c r="D500" s="33">
        <f>IF(A500="","",TODAY())</f>
        <v/>
      </c>
      <c r="E500" s="29" t="n"/>
      <c r="F500" s="32">
        <f>IFERROR(IF(OR(A500="",E500=""),"",C500+E500),"")</f>
        <v/>
      </c>
      <c r="G500" s="30" t="n"/>
      <c r="H500" s="31" t="n"/>
    </row>
    <row r="501" ht="20" customHeight="1">
      <c r="A501" s="26" t="n"/>
      <c r="B501" s="27">
        <f>IFERROR(IF(A501="","",VLOOKUP(A501,DATABASE!$A:$B,2,0)),"")</f>
        <v/>
      </c>
      <c r="C501" s="20">
        <f>IFERROR(IF(A501="","",SUMIF(SAVINGS!$A$3:A500,A501,SAVINGS!$E$3:E500)-SUMIF(WITHDRAWALS!$A:$A,A501,WITHDRAWALS!$E:$E)),"")</f>
        <v/>
      </c>
      <c r="D501" s="28">
        <f>IF(A501="","",TODAY())</f>
        <v/>
      </c>
      <c r="E501" s="29" t="n"/>
      <c r="F501" s="20">
        <f>IFERROR(IF(OR(A501="",E501=""),"",C501+E501),"")</f>
        <v/>
      </c>
      <c r="G501" s="30" t="n"/>
      <c r="H501" s="27" t="n"/>
    </row>
    <row r="502" ht="20" customHeight="1">
      <c r="A502" s="26" t="n"/>
      <c r="B502" s="31">
        <f>IFERROR(IF(A502="","",VLOOKUP(A502,DATABASE!$A:$B,2,0)),"")</f>
        <v/>
      </c>
      <c r="C502" s="32">
        <f>IFERROR(IF(A502="","",SUMIF(SAVINGS!$A$3:A501,A502,SAVINGS!$E$3:E501)-SUMIF(WITHDRAWALS!$A:$A,A502,WITHDRAWALS!$E:$E)),"")</f>
        <v/>
      </c>
      <c r="D502" s="33">
        <f>IF(A502="","",TODAY())</f>
        <v/>
      </c>
      <c r="E502" s="29" t="n"/>
      <c r="F502" s="32">
        <f>IFERROR(IF(OR(A502="",E502=""),"",C502+E502),"")</f>
        <v/>
      </c>
      <c r="G502" s="30" t="n"/>
      <c r="H502" s="31" t="n"/>
    </row>
    <row r="503" ht="20" customHeight="1">
      <c r="A503" s="26" t="n"/>
      <c r="B503" s="27">
        <f>IFERROR(IF(A503="","",VLOOKUP(A503,DATABASE!$A:$B,2,0)),"")</f>
        <v/>
      </c>
      <c r="C503" s="20">
        <f>IFERROR(IF(A503="","",SUMIF(SAVINGS!$A$3:A502,A503,SAVINGS!$E$3:E502)-SUMIF(WITHDRAWALS!$A:$A,A503,WITHDRAWALS!$E:$E)),"")</f>
        <v/>
      </c>
      <c r="D503" s="28">
        <f>IF(A503="","",TODAY())</f>
        <v/>
      </c>
      <c r="E503" s="29" t="n"/>
      <c r="F503" s="20">
        <f>IFERROR(IF(OR(A503="",E503=""),"",C503+E503),"")</f>
        <v/>
      </c>
      <c r="G503" s="30" t="n"/>
      <c r="H503" s="27" t="n"/>
    </row>
    <row r="504" ht="20" customHeight="1">
      <c r="A504" s="26" t="n"/>
      <c r="B504" s="31">
        <f>IFERROR(IF(A504="","",VLOOKUP(A504,DATABASE!$A:$B,2,0)),"")</f>
        <v/>
      </c>
      <c r="C504" s="32">
        <f>IFERROR(IF(A504="","",SUMIF(SAVINGS!$A$3:A503,A504,SAVINGS!$E$3:E503)-SUMIF(WITHDRAWALS!$A:$A,A504,WITHDRAWALS!$E:$E)),"")</f>
        <v/>
      </c>
      <c r="D504" s="33">
        <f>IF(A504="","",TODAY())</f>
        <v/>
      </c>
      <c r="E504" s="29" t="n"/>
      <c r="F504" s="32">
        <f>IFERROR(IF(OR(A504="",E504=""),"",C504+E504),"")</f>
        <v/>
      </c>
      <c r="G504" s="30" t="n"/>
      <c r="H504" s="31" t="n"/>
    </row>
    <row r="505" ht="20" customHeight="1">
      <c r="A505" s="26" t="n"/>
      <c r="B505" s="27">
        <f>IFERROR(IF(A505="","",VLOOKUP(A505,DATABASE!$A:$B,2,0)),"")</f>
        <v/>
      </c>
      <c r="C505" s="20">
        <f>IFERROR(IF(A505="","",SUMIF(SAVINGS!$A$3:A504,A505,SAVINGS!$E$3:E504)-SUMIF(WITHDRAWALS!$A:$A,A505,WITHDRAWALS!$E:$E)),"")</f>
        <v/>
      </c>
      <c r="D505" s="28">
        <f>IF(A505="","",TODAY())</f>
        <v/>
      </c>
      <c r="E505" s="29" t="n"/>
      <c r="F505" s="20">
        <f>IFERROR(IF(OR(A505="",E505=""),"",C505+E505),"")</f>
        <v/>
      </c>
      <c r="G505" s="30" t="n"/>
      <c r="H505" s="27" t="n"/>
    </row>
    <row r="506" ht="20" customHeight="1">
      <c r="A506" s="26" t="n"/>
      <c r="B506" s="31">
        <f>IFERROR(IF(A506="","",VLOOKUP(A506,DATABASE!$A:$B,2,0)),"")</f>
        <v/>
      </c>
      <c r="C506" s="32">
        <f>IFERROR(IF(A506="","",SUMIF(SAVINGS!$A$3:A505,A506,SAVINGS!$E$3:E505)-SUMIF(WITHDRAWALS!$A:$A,A506,WITHDRAWALS!$E:$E)),"")</f>
        <v/>
      </c>
      <c r="D506" s="33">
        <f>IF(A506="","",TODAY())</f>
        <v/>
      </c>
      <c r="E506" s="29" t="n"/>
      <c r="F506" s="32">
        <f>IFERROR(IF(OR(A506="",E506=""),"",C506+E506),"")</f>
        <v/>
      </c>
      <c r="G506" s="30" t="n"/>
      <c r="H506" s="31" t="n"/>
    </row>
    <row r="507" ht="20" customHeight="1">
      <c r="A507" s="26" t="n"/>
      <c r="B507" s="27">
        <f>IFERROR(IF(A507="","",VLOOKUP(A507,DATABASE!$A:$B,2,0)),"")</f>
        <v/>
      </c>
      <c r="C507" s="20">
        <f>IFERROR(IF(A507="","",SUMIF(SAVINGS!$A$3:A506,A507,SAVINGS!$E$3:E506)-SUMIF(WITHDRAWALS!$A:$A,A507,WITHDRAWALS!$E:$E)),"")</f>
        <v/>
      </c>
      <c r="D507" s="28">
        <f>IF(A507="","",TODAY())</f>
        <v/>
      </c>
      <c r="E507" s="29" t="n"/>
      <c r="F507" s="20">
        <f>IFERROR(IF(OR(A507="",E507=""),"",C507+E507),"")</f>
        <v/>
      </c>
      <c r="G507" s="30" t="n"/>
      <c r="H507" s="27" t="n"/>
    </row>
    <row r="508" ht="20" customHeight="1">
      <c r="A508" s="26" t="n"/>
      <c r="B508" s="31">
        <f>IFERROR(IF(A508="","",VLOOKUP(A508,DATABASE!$A:$B,2,0)),"")</f>
        <v/>
      </c>
      <c r="C508" s="32">
        <f>IFERROR(IF(A508="","",SUMIF(SAVINGS!$A$3:A507,A508,SAVINGS!$E$3:E507)-SUMIF(WITHDRAWALS!$A:$A,A508,WITHDRAWALS!$E:$E)),"")</f>
        <v/>
      </c>
      <c r="D508" s="33">
        <f>IF(A508="","",TODAY())</f>
        <v/>
      </c>
      <c r="E508" s="29" t="n"/>
      <c r="F508" s="32">
        <f>IFERROR(IF(OR(A508="",E508=""),"",C508+E508),"")</f>
        <v/>
      </c>
      <c r="G508" s="30" t="n"/>
      <c r="H508" s="31" t="n"/>
    </row>
    <row r="509" ht="20" customHeight="1">
      <c r="A509" s="26" t="n"/>
      <c r="B509" s="27">
        <f>IFERROR(IF(A509="","",VLOOKUP(A509,DATABASE!$A:$B,2,0)),"")</f>
        <v/>
      </c>
      <c r="C509" s="20">
        <f>IFERROR(IF(A509="","",SUMIF(SAVINGS!$A$3:A508,A509,SAVINGS!$E$3:E508)-SUMIF(WITHDRAWALS!$A:$A,A509,WITHDRAWALS!$E:$E)),"")</f>
        <v/>
      </c>
      <c r="D509" s="28">
        <f>IF(A509="","",TODAY())</f>
        <v/>
      </c>
      <c r="E509" s="29" t="n"/>
      <c r="F509" s="20">
        <f>IFERROR(IF(OR(A509="",E509=""),"",C509+E509),"")</f>
        <v/>
      </c>
      <c r="G509" s="30" t="n"/>
      <c r="H509" s="27" t="n"/>
    </row>
    <row r="510" ht="20" customHeight="1">
      <c r="A510" s="26" t="n"/>
      <c r="B510" s="31">
        <f>IFERROR(IF(A510="","",VLOOKUP(A510,DATABASE!$A:$B,2,0)),"")</f>
        <v/>
      </c>
      <c r="C510" s="32">
        <f>IFERROR(IF(A510="","",SUMIF(SAVINGS!$A$3:A509,A510,SAVINGS!$E$3:E509)-SUMIF(WITHDRAWALS!$A:$A,A510,WITHDRAWALS!$E:$E)),"")</f>
        <v/>
      </c>
      <c r="D510" s="33">
        <f>IF(A510="","",TODAY())</f>
        <v/>
      </c>
      <c r="E510" s="29" t="n"/>
      <c r="F510" s="32">
        <f>IFERROR(IF(OR(A510="",E510=""),"",C510+E510),"")</f>
        <v/>
      </c>
      <c r="G510" s="30" t="n"/>
      <c r="H510" s="31" t="n"/>
    </row>
    <row r="511" ht="20" customHeight="1">
      <c r="A511" s="26" t="n"/>
      <c r="B511" s="27">
        <f>IFERROR(IF(A511="","",VLOOKUP(A511,DATABASE!$A:$B,2,0)),"")</f>
        <v/>
      </c>
      <c r="C511" s="20">
        <f>IFERROR(IF(A511="","",SUMIF(SAVINGS!$A$3:A510,A511,SAVINGS!$E$3:E510)-SUMIF(WITHDRAWALS!$A:$A,A511,WITHDRAWALS!$E:$E)),"")</f>
        <v/>
      </c>
      <c r="D511" s="28">
        <f>IF(A511="","",TODAY())</f>
        <v/>
      </c>
      <c r="E511" s="29" t="n"/>
      <c r="F511" s="20">
        <f>IFERROR(IF(OR(A511="",E511=""),"",C511+E511),"")</f>
        <v/>
      </c>
      <c r="G511" s="30" t="n"/>
      <c r="H511" s="27" t="n"/>
    </row>
    <row r="512" ht="20" customHeight="1">
      <c r="A512" s="26" t="n"/>
      <c r="B512" s="31">
        <f>IFERROR(IF(A512="","",VLOOKUP(A512,DATABASE!$A:$B,2,0)),"")</f>
        <v/>
      </c>
      <c r="C512" s="32">
        <f>IFERROR(IF(A512="","",SUMIF(SAVINGS!$A$3:A511,A512,SAVINGS!$E$3:E511)-SUMIF(WITHDRAWALS!$A:$A,A512,WITHDRAWALS!$E:$E)),"")</f>
        <v/>
      </c>
      <c r="D512" s="33">
        <f>IF(A512="","",TODAY())</f>
        <v/>
      </c>
      <c r="E512" s="29" t="n"/>
      <c r="F512" s="32">
        <f>IFERROR(IF(OR(A512="",E512=""),"",C512+E512),"")</f>
        <v/>
      </c>
      <c r="G512" s="30" t="n"/>
      <c r="H512" s="31" t="n"/>
    </row>
    <row r="513" ht="20" customHeight="1">
      <c r="A513" s="26" t="n"/>
      <c r="B513" s="27">
        <f>IFERROR(IF(A513="","",VLOOKUP(A513,DATABASE!$A:$B,2,0)),"")</f>
        <v/>
      </c>
      <c r="C513" s="20">
        <f>IFERROR(IF(A513="","",SUMIF(SAVINGS!$A$3:A512,A513,SAVINGS!$E$3:E512)-SUMIF(WITHDRAWALS!$A:$A,A513,WITHDRAWALS!$E:$E)),"")</f>
        <v/>
      </c>
      <c r="D513" s="28">
        <f>IF(A513="","",TODAY())</f>
        <v/>
      </c>
      <c r="E513" s="29" t="n"/>
      <c r="F513" s="20">
        <f>IFERROR(IF(OR(A513="",E513=""),"",C513+E513),"")</f>
        <v/>
      </c>
      <c r="G513" s="30" t="n"/>
      <c r="H513" s="27" t="n"/>
    </row>
    <row r="514" ht="20" customHeight="1">
      <c r="A514" s="26" t="n"/>
      <c r="B514" s="31">
        <f>IFERROR(IF(A514="","",VLOOKUP(A514,DATABASE!$A:$B,2,0)),"")</f>
        <v/>
      </c>
      <c r="C514" s="32">
        <f>IFERROR(IF(A514="","",SUMIF(SAVINGS!$A$3:A513,A514,SAVINGS!$E$3:E513)-SUMIF(WITHDRAWALS!$A:$A,A514,WITHDRAWALS!$E:$E)),"")</f>
        <v/>
      </c>
      <c r="D514" s="33">
        <f>IF(A514="","",TODAY())</f>
        <v/>
      </c>
      <c r="E514" s="29" t="n"/>
      <c r="F514" s="32">
        <f>IFERROR(IF(OR(A514="",E514=""),"",C514+E514),"")</f>
        <v/>
      </c>
      <c r="G514" s="30" t="n"/>
      <c r="H514" s="31" t="n"/>
    </row>
    <row r="515" ht="20" customHeight="1">
      <c r="A515" s="26" t="n"/>
      <c r="B515" s="27">
        <f>IFERROR(IF(A515="","",VLOOKUP(A515,DATABASE!$A:$B,2,0)),"")</f>
        <v/>
      </c>
      <c r="C515" s="20">
        <f>IFERROR(IF(A515="","",SUMIF(SAVINGS!$A$3:A514,A515,SAVINGS!$E$3:E514)-SUMIF(WITHDRAWALS!$A:$A,A515,WITHDRAWALS!$E:$E)),"")</f>
        <v/>
      </c>
      <c r="D515" s="28">
        <f>IF(A515="","",TODAY())</f>
        <v/>
      </c>
      <c r="E515" s="29" t="n"/>
      <c r="F515" s="20">
        <f>IFERROR(IF(OR(A515="",E515=""),"",C515+E515),"")</f>
        <v/>
      </c>
      <c r="G515" s="30" t="n"/>
      <c r="H515" s="27" t="n"/>
    </row>
    <row r="516" ht="20" customHeight="1">
      <c r="A516" s="26" t="n"/>
      <c r="B516" s="31">
        <f>IFERROR(IF(A516="","",VLOOKUP(A516,DATABASE!$A:$B,2,0)),"")</f>
        <v/>
      </c>
      <c r="C516" s="32">
        <f>IFERROR(IF(A516="","",SUMIF(SAVINGS!$A$3:A515,A516,SAVINGS!$E$3:E515)-SUMIF(WITHDRAWALS!$A:$A,A516,WITHDRAWALS!$E:$E)),"")</f>
        <v/>
      </c>
      <c r="D516" s="33">
        <f>IF(A516="","",TODAY())</f>
        <v/>
      </c>
      <c r="E516" s="29" t="n"/>
      <c r="F516" s="32">
        <f>IFERROR(IF(OR(A516="",E516=""),"",C516+E516),"")</f>
        <v/>
      </c>
      <c r="G516" s="30" t="n"/>
      <c r="H516" s="31" t="n"/>
    </row>
    <row r="517" ht="20" customHeight="1">
      <c r="A517" s="26" t="n"/>
      <c r="B517" s="27">
        <f>IFERROR(IF(A517="","",VLOOKUP(A517,DATABASE!$A:$B,2,0)),"")</f>
        <v/>
      </c>
      <c r="C517" s="20">
        <f>IFERROR(IF(A517="","",SUMIF(SAVINGS!$A$3:A516,A517,SAVINGS!$E$3:E516)-SUMIF(WITHDRAWALS!$A:$A,A517,WITHDRAWALS!$E:$E)),"")</f>
        <v/>
      </c>
      <c r="D517" s="28">
        <f>IF(A517="","",TODAY())</f>
        <v/>
      </c>
      <c r="E517" s="29" t="n"/>
      <c r="F517" s="20">
        <f>IFERROR(IF(OR(A517="",E517=""),"",C517+E517),"")</f>
        <v/>
      </c>
      <c r="G517" s="30" t="n"/>
      <c r="H517" s="27" t="n"/>
    </row>
    <row r="518" ht="20" customHeight="1">
      <c r="A518" s="26" t="n"/>
      <c r="B518" s="31">
        <f>IFERROR(IF(A518="","",VLOOKUP(A518,DATABASE!$A:$B,2,0)),"")</f>
        <v/>
      </c>
      <c r="C518" s="32">
        <f>IFERROR(IF(A518="","",SUMIF(SAVINGS!$A$3:A517,A518,SAVINGS!$E$3:E517)-SUMIF(WITHDRAWALS!$A:$A,A518,WITHDRAWALS!$E:$E)),"")</f>
        <v/>
      </c>
      <c r="D518" s="33">
        <f>IF(A518="","",TODAY())</f>
        <v/>
      </c>
      <c r="E518" s="29" t="n"/>
      <c r="F518" s="32">
        <f>IFERROR(IF(OR(A518="",E518=""),"",C518+E518),"")</f>
        <v/>
      </c>
      <c r="G518" s="30" t="n"/>
      <c r="H518" s="31" t="n"/>
    </row>
    <row r="519" ht="20" customHeight="1">
      <c r="A519" s="26" t="n"/>
      <c r="B519" s="27">
        <f>IFERROR(IF(A519="","",VLOOKUP(A519,DATABASE!$A:$B,2,0)),"")</f>
        <v/>
      </c>
      <c r="C519" s="20">
        <f>IFERROR(IF(A519="","",SUMIF(SAVINGS!$A$3:A518,A519,SAVINGS!$E$3:E518)-SUMIF(WITHDRAWALS!$A:$A,A519,WITHDRAWALS!$E:$E)),"")</f>
        <v/>
      </c>
      <c r="D519" s="28">
        <f>IF(A519="","",TODAY())</f>
        <v/>
      </c>
      <c r="E519" s="29" t="n"/>
      <c r="F519" s="20">
        <f>IFERROR(IF(OR(A519="",E519=""),"",C519+E519),"")</f>
        <v/>
      </c>
      <c r="G519" s="30" t="n"/>
      <c r="H519" s="27" t="n"/>
    </row>
    <row r="520" ht="20" customHeight="1">
      <c r="A520" s="26" t="n"/>
      <c r="B520" s="31">
        <f>IFERROR(IF(A520="","",VLOOKUP(A520,DATABASE!$A:$B,2,0)),"")</f>
        <v/>
      </c>
      <c r="C520" s="32">
        <f>IFERROR(IF(A520="","",SUMIF(SAVINGS!$A$3:A519,A520,SAVINGS!$E$3:E519)-SUMIF(WITHDRAWALS!$A:$A,A520,WITHDRAWALS!$E:$E)),"")</f>
        <v/>
      </c>
      <c r="D520" s="33">
        <f>IF(A520="","",TODAY())</f>
        <v/>
      </c>
      <c r="E520" s="29" t="n"/>
      <c r="F520" s="32">
        <f>IFERROR(IF(OR(A520="",E520=""),"",C520+E520),"")</f>
        <v/>
      </c>
      <c r="G520" s="30" t="n"/>
      <c r="H520" s="31" t="n"/>
    </row>
    <row r="521" ht="20" customHeight="1">
      <c r="A521" s="26" t="n"/>
      <c r="B521" s="27">
        <f>IFERROR(IF(A521="","",VLOOKUP(A521,DATABASE!$A:$B,2,0)),"")</f>
        <v/>
      </c>
      <c r="C521" s="20">
        <f>IFERROR(IF(A521="","",SUMIF(SAVINGS!$A$3:A520,A521,SAVINGS!$E$3:E520)-SUMIF(WITHDRAWALS!$A:$A,A521,WITHDRAWALS!$E:$E)),"")</f>
        <v/>
      </c>
      <c r="D521" s="28">
        <f>IF(A521="","",TODAY())</f>
        <v/>
      </c>
      <c r="E521" s="29" t="n"/>
      <c r="F521" s="20">
        <f>IFERROR(IF(OR(A521="",E521=""),"",C521+E521),"")</f>
        <v/>
      </c>
      <c r="G521" s="30" t="n"/>
      <c r="H521" s="27" t="n"/>
    </row>
    <row r="522" ht="20" customHeight="1">
      <c r="A522" s="26" t="n"/>
      <c r="B522" s="31">
        <f>IFERROR(IF(A522="","",VLOOKUP(A522,DATABASE!$A:$B,2,0)),"")</f>
        <v/>
      </c>
      <c r="C522" s="32">
        <f>IFERROR(IF(A522="","",SUMIF(SAVINGS!$A$3:A521,A522,SAVINGS!$E$3:E521)-SUMIF(WITHDRAWALS!$A:$A,A522,WITHDRAWALS!$E:$E)),"")</f>
        <v/>
      </c>
      <c r="D522" s="33">
        <f>IF(A522="","",TODAY())</f>
        <v/>
      </c>
      <c r="E522" s="29" t="n"/>
      <c r="F522" s="32">
        <f>IFERROR(IF(OR(A522="",E522=""),"",C522+E522),"")</f>
        <v/>
      </c>
      <c r="G522" s="30" t="n"/>
      <c r="H522" s="31" t="n"/>
    </row>
    <row r="523" ht="20" customHeight="1">
      <c r="A523" s="26" t="n"/>
      <c r="B523" s="27">
        <f>IFERROR(IF(A523="","",VLOOKUP(A523,DATABASE!$A:$B,2,0)),"")</f>
        <v/>
      </c>
      <c r="C523" s="20">
        <f>IFERROR(IF(A523="","",SUMIF(SAVINGS!$A$3:A522,A523,SAVINGS!$E$3:E522)-SUMIF(WITHDRAWALS!$A:$A,A523,WITHDRAWALS!$E:$E)),"")</f>
        <v/>
      </c>
      <c r="D523" s="28">
        <f>IF(A523="","",TODAY())</f>
        <v/>
      </c>
      <c r="E523" s="29" t="n"/>
      <c r="F523" s="20">
        <f>IFERROR(IF(OR(A523="",E523=""),"",C523+E523),"")</f>
        <v/>
      </c>
      <c r="G523" s="30" t="n"/>
      <c r="H523" s="27" t="n"/>
    </row>
    <row r="524" ht="20" customHeight="1">
      <c r="A524" s="26" t="n"/>
      <c r="B524" s="31">
        <f>IFERROR(IF(A524="","",VLOOKUP(A524,DATABASE!$A:$B,2,0)),"")</f>
        <v/>
      </c>
      <c r="C524" s="32">
        <f>IFERROR(IF(A524="","",SUMIF(SAVINGS!$A$3:A523,A524,SAVINGS!$E$3:E523)-SUMIF(WITHDRAWALS!$A:$A,A524,WITHDRAWALS!$E:$E)),"")</f>
        <v/>
      </c>
      <c r="D524" s="33">
        <f>IF(A524="","",TODAY())</f>
        <v/>
      </c>
      <c r="E524" s="29" t="n"/>
      <c r="F524" s="32">
        <f>IFERROR(IF(OR(A524="",E524=""),"",C524+E524),"")</f>
        <v/>
      </c>
      <c r="G524" s="30" t="n"/>
      <c r="H524" s="31" t="n"/>
    </row>
    <row r="525" ht="20" customHeight="1">
      <c r="A525" s="26" t="n"/>
      <c r="B525" s="27">
        <f>IFERROR(IF(A525="","",VLOOKUP(A525,DATABASE!$A:$B,2,0)),"")</f>
        <v/>
      </c>
      <c r="C525" s="20">
        <f>IFERROR(IF(A525="","",SUMIF(SAVINGS!$A$3:A524,A525,SAVINGS!$E$3:E524)-SUMIF(WITHDRAWALS!$A:$A,A525,WITHDRAWALS!$E:$E)),"")</f>
        <v/>
      </c>
      <c r="D525" s="28">
        <f>IF(A525="","",TODAY())</f>
        <v/>
      </c>
      <c r="E525" s="29" t="n"/>
      <c r="F525" s="20">
        <f>IFERROR(IF(OR(A525="",E525=""),"",C525+E525),"")</f>
        <v/>
      </c>
      <c r="G525" s="30" t="n"/>
      <c r="H525" s="27" t="n"/>
    </row>
    <row r="526" ht="20" customHeight="1">
      <c r="A526" s="26" t="n"/>
      <c r="B526" s="31">
        <f>IFERROR(IF(A526="","",VLOOKUP(A526,DATABASE!$A:$B,2,0)),"")</f>
        <v/>
      </c>
      <c r="C526" s="32">
        <f>IFERROR(IF(A526="","",SUMIF(SAVINGS!$A$3:A525,A526,SAVINGS!$E$3:E525)-SUMIF(WITHDRAWALS!$A:$A,A526,WITHDRAWALS!$E:$E)),"")</f>
        <v/>
      </c>
      <c r="D526" s="33">
        <f>IF(A526="","",TODAY())</f>
        <v/>
      </c>
      <c r="E526" s="29" t="n"/>
      <c r="F526" s="32">
        <f>IFERROR(IF(OR(A526="",E526=""),"",C526+E526),"")</f>
        <v/>
      </c>
      <c r="G526" s="30" t="n"/>
      <c r="H526" s="31" t="n"/>
    </row>
    <row r="527" ht="20" customHeight="1">
      <c r="A527" s="26" t="n"/>
      <c r="B527" s="27">
        <f>IFERROR(IF(A527="","",VLOOKUP(A527,DATABASE!$A:$B,2,0)),"")</f>
        <v/>
      </c>
      <c r="C527" s="20">
        <f>IFERROR(IF(A527="","",SUMIF(SAVINGS!$A$3:A526,A527,SAVINGS!$E$3:E526)-SUMIF(WITHDRAWALS!$A:$A,A527,WITHDRAWALS!$E:$E)),"")</f>
        <v/>
      </c>
      <c r="D527" s="28">
        <f>IF(A527="","",TODAY())</f>
        <v/>
      </c>
      <c r="E527" s="29" t="n"/>
      <c r="F527" s="20">
        <f>IFERROR(IF(OR(A527="",E527=""),"",C527+E527),"")</f>
        <v/>
      </c>
      <c r="G527" s="30" t="n"/>
      <c r="H527" s="27" t="n"/>
    </row>
    <row r="528" ht="20" customHeight="1">
      <c r="A528" s="26" t="n"/>
      <c r="B528" s="31">
        <f>IFERROR(IF(A528="","",VLOOKUP(A528,DATABASE!$A:$B,2,0)),"")</f>
        <v/>
      </c>
      <c r="C528" s="32">
        <f>IFERROR(IF(A528="","",SUMIF(SAVINGS!$A$3:A527,A528,SAVINGS!$E$3:E527)-SUMIF(WITHDRAWALS!$A:$A,A528,WITHDRAWALS!$E:$E)),"")</f>
        <v/>
      </c>
      <c r="D528" s="33">
        <f>IF(A528="","",TODAY())</f>
        <v/>
      </c>
      <c r="E528" s="29" t="n"/>
      <c r="F528" s="32">
        <f>IFERROR(IF(OR(A528="",E528=""),"",C528+E528),"")</f>
        <v/>
      </c>
      <c r="G528" s="30" t="n"/>
      <c r="H528" s="31" t="n"/>
    </row>
    <row r="529" ht="20" customHeight="1">
      <c r="A529" s="26" t="n"/>
      <c r="B529" s="27">
        <f>IFERROR(IF(A529="","",VLOOKUP(A529,DATABASE!$A:$B,2,0)),"")</f>
        <v/>
      </c>
      <c r="C529" s="20">
        <f>IFERROR(IF(A529="","",SUMIF(SAVINGS!$A$3:A528,A529,SAVINGS!$E$3:E528)-SUMIF(WITHDRAWALS!$A:$A,A529,WITHDRAWALS!$E:$E)),"")</f>
        <v/>
      </c>
      <c r="D529" s="28">
        <f>IF(A529="","",TODAY())</f>
        <v/>
      </c>
      <c r="E529" s="29" t="n"/>
      <c r="F529" s="20">
        <f>IFERROR(IF(OR(A529="",E529=""),"",C529+E529),"")</f>
        <v/>
      </c>
      <c r="G529" s="30" t="n"/>
      <c r="H529" s="27" t="n"/>
    </row>
    <row r="530" ht="20" customHeight="1">
      <c r="A530" s="26" t="n"/>
      <c r="B530" s="31">
        <f>IFERROR(IF(A530="","",VLOOKUP(A530,DATABASE!$A:$B,2,0)),"")</f>
        <v/>
      </c>
      <c r="C530" s="32">
        <f>IFERROR(IF(A530="","",SUMIF(SAVINGS!$A$3:A529,A530,SAVINGS!$E$3:E529)-SUMIF(WITHDRAWALS!$A:$A,A530,WITHDRAWALS!$E:$E)),"")</f>
        <v/>
      </c>
      <c r="D530" s="33">
        <f>IF(A530="","",TODAY())</f>
        <v/>
      </c>
      <c r="E530" s="29" t="n"/>
      <c r="F530" s="32">
        <f>IFERROR(IF(OR(A530="",E530=""),"",C530+E530),"")</f>
        <v/>
      </c>
      <c r="G530" s="30" t="n"/>
      <c r="H530" s="31" t="n"/>
    </row>
    <row r="531" ht="20" customHeight="1">
      <c r="A531" s="26" t="n"/>
      <c r="B531" s="27">
        <f>IFERROR(IF(A531="","",VLOOKUP(A531,DATABASE!$A:$B,2,0)),"")</f>
        <v/>
      </c>
      <c r="C531" s="20">
        <f>IFERROR(IF(A531="","",SUMIF(SAVINGS!$A$3:A530,A531,SAVINGS!$E$3:E530)-SUMIF(WITHDRAWALS!$A:$A,A531,WITHDRAWALS!$E:$E)),"")</f>
        <v/>
      </c>
      <c r="D531" s="28">
        <f>IF(A531="","",TODAY())</f>
        <v/>
      </c>
      <c r="E531" s="29" t="n"/>
      <c r="F531" s="20">
        <f>IFERROR(IF(OR(A531="",E531=""),"",C531+E531),"")</f>
        <v/>
      </c>
      <c r="G531" s="30" t="n"/>
      <c r="H531" s="27" t="n"/>
    </row>
    <row r="532" ht="20" customHeight="1">
      <c r="A532" s="26" t="n"/>
      <c r="B532" s="31">
        <f>IFERROR(IF(A532="","",VLOOKUP(A532,DATABASE!$A:$B,2,0)),"")</f>
        <v/>
      </c>
      <c r="C532" s="32">
        <f>IFERROR(IF(A532="","",SUMIF(SAVINGS!$A$3:A531,A532,SAVINGS!$E$3:E531)-SUMIF(WITHDRAWALS!$A:$A,A532,WITHDRAWALS!$E:$E)),"")</f>
        <v/>
      </c>
      <c r="D532" s="33">
        <f>IF(A532="","",TODAY())</f>
        <v/>
      </c>
      <c r="E532" s="29" t="n"/>
      <c r="F532" s="32">
        <f>IFERROR(IF(OR(A532="",E532=""),"",C532+E532),"")</f>
        <v/>
      </c>
      <c r="G532" s="30" t="n"/>
      <c r="H532" s="31" t="n"/>
    </row>
    <row r="533" ht="20" customHeight="1">
      <c r="A533" s="26" t="n"/>
      <c r="B533" s="27">
        <f>IFERROR(IF(A533="","",VLOOKUP(A533,DATABASE!$A:$B,2,0)),"")</f>
        <v/>
      </c>
      <c r="C533" s="20">
        <f>IFERROR(IF(A533="","",SUMIF(SAVINGS!$A$3:A532,A533,SAVINGS!$E$3:E532)-SUMIF(WITHDRAWALS!$A:$A,A533,WITHDRAWALS!$E:$E)),"")</f>
        <v/>
      </c>
      <c r="D533" s="28">
        <f>IF(A533="","",TODAY())</f>
        <v/>
      </c>
      <c r="E533" s="29" t="n"/>
      <c r="F533" s="20">
        <f>IFERROR(IF(OR(A533="",E533=""),"",C533+E533),"")</f>
        <v/>
      </c>
      <c r="G533" s="30" t="n"/>
      <c r="H533" s="27" t="n"/>
    </row>
    <row r="534" ht="20" customHeight="1">
      <c r="A534" s="26" t="n"/>
      <c r="B534" s="31">
        <f>IFERROR(IF(A534="","",VLOOKUP(A534,DATABASE!$A:$B,2,0)),"")</f>
        <v/>
      </c>
      <c r="C534" s="32">
        <f>IFERROR(IF(A534="","",SUMIF(SAVINGS!$A$3:A533,A534,SAVINGS!$E$3:E533)-SUMIF(WITHDRAWALS!$A:$A,A534,WITHDRAWALS!$E:$E)),"")</f>
        <v/>
      </c>
      <c r="D534" s="33">
        <f>IF(A534="","",TODAY())</f>
        <v/>
      </c>
      <c r="E534" s="29" t="n"/>
      <c r="F534" s="32">
        <f>IFERROR(IF(OR(A534="",E534=""),"",C534+E534),"")</f>
        <v/>
      </c>
      <c r="G534" s="30" t="n"/>
      <c r="H534" s="31" t="n"/>
    </row>
    <row r="535" ht="20" customHeight="1">
      <c r="A535" s="26" t="n"/>
      <c r="B535" s="27">
        <f>IFERROR(IF(A535="","",VLOOKUP(A535,DATABASE!$A:$B,2,0)),"")</f>
        <v/>
      </c>
      <c r="C535" s="20">
        <f>IFERROR(IF(A535="","",SUMIF(SAVINGS!$A$3:A534,A535,SAVINGS!$E$3:E534)-SUMIF(WITHDRAWALS!$A:$A,A535,WITHDRAWALS!$E:$E)),"")</f>
        <v/>
      </c>
      <c r="D535" s="28">
        <f>IF(A535="","",TODAY())</f>
        <v/>
      </c>
      <c r="E535" s="29" t="n"/>
      <c r="F535" s="20">
        <f>IFERROR(IF(OR(A535="",E535=""),"",C535+E535),"")</f>
        <v/>
      </c>
      <c r="G535" s="30" t="n"/>
      <c r="H535" s="27" t="n"/>
    </row>
    <row r="536" ht="20" customHeight="1">
      <c r="A536" s="26" t="n"/>
      <c r="B536" s="31">
        <f>IFERROR(IF(A536="","",VLOOKUP(A536,DATABASE!$A:$B,2,0)),"")</f>
        <v/>
      </c>
      <c r="C536" s="32">
        <f>IFERROR(IF(A536="","",SUMIF(SAVINGS!$A$3:A535,A536,SAVINGS!$E$3:E535)-SUMIF(WITHDRAWALS!$A:$A,A536,WITHDRAWALS!$E:$E)),"")</f>
        <v/>
      </c>
      <c r="D536" s="33">
        <f>IF(A536="","",TODAY())</f>
        <v/>
      </c>
      <c r="E536" s="29" t="n"/>
      <c r="F536" s="32">
        <f>IFERROR(IF(OR(A536="",E536=""),"",C536+E536),"")</f>
        <v/>
      </c>
      <c r="G536" s="30" t="n"/>
      <c r="H536" s="31" t="n"/>
    </row>
    <row r="537" ht="20" customHeight="1">
      <c r="A537" s="26" t="n"/>
      <c r="B537" s="27">
        <f>IFERROR(IF(A537="","",VLOOKUP(A537,DATABASE!$A:$B,2,0)),"")</f>
        <v/>
      </c>
      <c r="C537" s="20">
        <f>IFERROR(IF(A537="","",SUMIF(SAVINGS!$A$3:A536,A537,SAVINGS!$E$3:E536)-SUMIF(WITHDRAWALS!$A:$A,A537,WITHDRAWALS!$E:$E)),"")</f>
        <v/>
      </c>
      <c r="D537" s="28">
        <f>IF(A537="","",TODAY())</f>
        <v/>
      </c>
      <c r="E537" s="29" t="n"/>
      <c r="F537" s="20">
        <f>IFERROR(IF(OR(A537="",E537=""),"",C537+E537),"")</f>
        <v/>
      </c>
      <c r="G537" s="30" t="n"/>
      <c r="H537" s="27" t="n"/>
    </row>
    <row r="538" ht="20" customHeight="1">
      <c r="A538" s="26" t="n"/>
      <c r="B538" s="31">
        <f>IFERROR(IF(A538="","",VLOOKUP(A538,DATABASE!$A:$B,2,0)),"")</f>
        <v/>
      </c>
      <c r="C538" s="32">
        <f>IFERROR(IF(A538="","",SUMIF(SAVINGS!$A$3:A537,A538,SAVINGS!$E$3:E537)-SUMIF(WITHDRAWALS!$A:$A,A538,WITHDRAWALS!$E:$E)),"")</f>
        <v/>
      </c>
      <c r="D538" s="33">
        <f>IF(A538="","",TODAY())</f>
        <v/>
      </c>
      <c r="E538" s="29" t="n"/>
      <c r="F538" s="32">
        <f>IFERROR(IF(OR(A538="",E538=""),"",C538+E538),"")</f>
        <v/>
      </c>
      <c r="G538" s="30" t="n"/>
      <c r="H538" s="31" t="n"/>
    </row>
    <row r="539" ht="20" customHeight="1">
      <c r="A539" s="26" t="n"/>
      <c r="B539" s="27">
        <f>IFERROR(IF(A539="","",VLOOKUP(A539,DATABASE!$A:$B,2,0)),"")</f>
        <v/>
      </c>
      <c r="C539" s="20">
        <f>IFERROR(IF(A539="","",SUMIF(SAVINGS!$A$3:A538,A539,SAVINGS!$E$3:E538)-SUMIF(WITHDRAWALS!$A:$A,A539,WITHDRAWALS!$E:$E)),"")</f>
        <v/>
      </c>
      <c r="D539" s="28">
        <f>IF(A539="","",TODAY())</f>
        <v/>
      </c>
      <c r="E539" s="29" t="n"/>
      <c r="F539" s="20">
        <f>IFERROR(IF(OR(A539="",E539=""),"",C539+E539),"")</f>
        <v/>
      </c>
      <c r="G539" s="30" t="n"/>
      <c r="H539" s="27" t="n"/>
    </row>
    <row r="540" ht="20" customHeight="1">
      <c r="A540" s="26" t="n"/>
      <c r="B540" s="31">
        <f>IFERROR(IF(A540="","",VLOOKUP(A540,DATABASE!$A:$B,2,0)),"")</f>
        <v/>
      </c>
      <c r="C540" s="32">
        <f>IFERROR(IF(A540="","",SUMIF(SAVINGS!$A$3:A539,A540,SAVINGS!$E$3:E539)-SUMIF(WITHDRAWALS!$A:$A,A540,WITHDRAWALS!$E:$E)),"")</f>
        <v/>
      </c>
      <c r="D540" s="33">
        <f>IF(A540="","",TODAY())</f>
        <v/>
      </c>
      <c r="E540" s="29" t="n"/>
      <c r="F540" s="32">
        <f>IFERROR(IF(OR(A540="",E540=""),"",C540+E540),"")</f>
        <v/>
      </c>
      <c r="G540" s="30" t="n"/>
      <c r="H540" s="31" t="n"/>
    </row>
    <row r="541" ht="20" customHeight="1">
      <c r="A541" s="26" t="n"/>
      <c r="B541" s="27">
        <f>IFERROR(IF(A541="","",VLOOKUP(A541,DATABASE!$A:$B,2,0)),"")</f>
        <v/>
      </c>
      <c r="C541" s="20">
        <f>IFERROR(IF(A541="","",SUMIF(SAVINGS!$A$3:A540,A541,SAVINGS!$E$3:E540)-SUMIF(WITHDRAWALS!$A:$A,A541,WITHDRAWALS!$E:$E)),"")</f>
        <v/>
      </c>
      <c r="D541" s="28">
        <f>IF(A541="","",TODAY())</f>
        <v/>
      </c>
      <c r="E541" s="29" t="n"/>
      <c r="F541" s="20">
        <f>IFERROR(IF(OR(A541="",E541=""),"",C541+E541),"")</f>
        <v/>
      </c>
      <c r="G541" s="30" t="n"/>
      <c r="H541" s="27" t="n"/>
    </row>
    <row r="542" ht="20" customHeight="1">
      <c r="A542" s="26" t="n"/>
      <c r="B542" s="31">
        <f>IFERROR(IF(A542="","",VLOOKUP(A542,DATABASE!$A:$B,2,0)),"")</f>
        <v/>
      </c>
      <c r="C542" s="32">
        <f>IFERROR(IF(A542="","",SUMIF(SAVINGS!$A$3:A541,A542,SAVINGS!$E$3:E541)-SUMIF(WITHDRAWALS!$A:$A,A542,WITHDRAWALS!$E:$E)),"")</f>
        <v/>
      </c>
      <c r="D542" s="33">
        <f>IF(A542="","",TODAY())</f>
        <v/>
      </c>
      <c r="E542" s="29" t="n"/>
      <c r="F542" s="32">
        <f>IFERROR(IF(OR(A542="",E542=""),"",C542+E542),"")</f>
        <v/>
      </c>
      <c r="G542" s="30" t="n"/>
      <c r="H542" s="31" t="n"/>
    </row>
    <row r="543" ht="20" customHeight="1">
      <c r="A543" s="26" t="n"/>
      <c r="B543" s="27">
        <f>IFERROR(IF(A543="","",VLOOKUP(A543,DATABASE!$A:$B,2,0)),"")</f>
        <v/>
      </c>
      <c r="C543" s="20">
        <f>IFERROR(IF(A543="","",SUMIF(SAVINGS!$A$3:A542,A543,SAVINGS!$E$3:E542)-SUMIF(WITHDRAWALS!$A:$A,A543,WITHDRAWALS!$E:$E)),"")</f>
        <v/>
      </c>
      <c r="D543" s="28">
        <f>IF(A543="","",TODAY())</f>
        <v/>
      </c>
      <c r="E543" s="29" t="n"/>
      <c r="F543" s="20">
        <f>IFERROR(IF(OR(A543="",E543=""),"",C543+E543),"")</f>
        <v/>
      </c>
      <c r="G543" s="30" t="n"/>
      <c r="H543" s="27" t="n"/>
    </row>
    <row r="544" ht="20" customHeight="1">
      <c r="A544" s="26" t="n"/>
      <c r="B544" s="31">
        <f>IFERROR(IF(A544="","",VLOOKUP(A544,DATABASE!$A:$B,2,0)),"")</f>
        <v/>
      </c>
      <c r="C544" s="32">
        <f>IFERROR(IF(A544="","",SUMIF(SAVINGS!$A$3:A543,A544,SAVINGS!$E$3:E543)-SUMIF(WITHDRAWALS!$A:$A,A544,WITHDRAWALS!$E:$E)),"")</f>
        <v/>
      </c>
      <c r="D544" s="33">
        <f>IF(A544="","",TODAY())</f>
        <v/>
      </c>
      <c r="E544" s="29" t="n"/>
      <c r="F544" s="32">
        <f>IFERROR(IF(OR(A544="",E544=""),"",C544+E544),"")</f>
        <v/>
      </c>
      <c r="G544" s="30" t="n"/>
      <c r="H544" s="31" t="n"/>
    </row>
    <row r="545" ht="20" customHeight="1">
      <c r="A545" s="26" t="n"/>
      <c r="B545" s="27">
        <f>IFERROR(IF(A545="","",VLOOKUP(A545,DATABASE!$A:$B,2,0)),"")</f>
        <v/>
      </c>
      <c r="C545" s="20">
        <f>IFERROR(IF(A545="","",SUMIF(SAVINGS!$A$3:A544,A545,SAVINGS!$E$3:E544)-SUMIF(WITHDRAWALS!$A:$A,A545,WITHDRAWALS!$E:$E)),"")</f>
        <v/>
      </c>
      <c r="D545" s="28">
        <f>IF(A545="","",TODAY())</f>
        <v/>
      </c>
      <c r="E545" s="29" t="n"/>
      <c r="F545" s="20">
        <f>IFERROR(IF(OR(A545="",E545=""),"",C545+E545),"")</f>
        <v/>
      </c>
      <c r="G545" s="30" t="n"/>
      <c r="H545" s="27" t="n"/>
    </row>
    <row r="546" ht="20" customHeight="1">
      <c r="A546" s="26" t="n"/>
      <c r="B546" s="31">
        <f>IFERROR(IF(A546="","",VLOOKUP(A546,DATABASE!$A:$B,2,0)),"")</f>
        <v/>
      </c>
      <c r="C546" s="32">
        <f>IFERROR(IF(A546="","",SUMIF(SAVINGS!$A$3:A545,A546,SAVINGS!$E$3:E545)-SUMIF(WITHDRAWALS!$A:$A,A546,WITHDRAWALS!$E:$E)),"")</f>
        <v/>
      </c>
      <c r="D546" s="33">
        <f>IF(A546="","",TODAY())</f>
        <v/>
      </c>
      <c r="E546" s="29" t="n"/>
      <c r="F546" s="32">
        <f>IFERROR(IF(OR(A546="",E546=""),"",C546+E546),"")</f>
        <v/>
      </c>
      <c r="G546" s="30" t="n"/>
      <c r="H546" s="31" t="n"/>
    </row>
    <row r="547" ht="20" customHeight="1">
      <c r="A547" s="26" t="n"/>
      <c r="B547" s="27">
        <f>IFERROR(IF(A547="","",VLOOKUP(A547,DATABASE!$A:$B,2,0)),"")</f>
        <v/>
      </c>
      <c r="C547" s="20">
        <f>IFERROR(IF(A547="","",SUMIF(SAVINGS!$A$3:A546,A547,SAVINGS!$E$3:E546)-SUMIF(WITHDRAWALS!$A:$A,A547,WITHDRAWALS!$E:$E)),"")</f>
        <v/>
      </c>
      <c r="D547" s="28">
        <f>IF(A547="","",TODAY())</f>
        <v/>
      </c>
      <c r="E547" s="29" t="n"/>
      <c r="F547" s="20">
        <f>IFERROR(IF(OR(A547="",E547=""),"",C547+E547),"")</f>
        <v/>
      </c>
      <c r="G547" s="30" t="n"/>
      <c r="H547" s="27" t="n"/>
    </row>
    <row r="548" ht="20" customHeight="1">
      <c r="A548" s="26" t="n"/>
      <c r="B548" s="31">
        <f>IFERROR(IF(A548="","",VLOOKUP(A548,DATABASE!$A:$B,2,0)),"")</f>
        <v/>
      </c>
      <c r="C548" s="32">
        <f>IFERROR(IF(A548="","",SUMIF(SAVINGS!$A$3:A547,A548,SAVINGS!$E$3:E547)-SUMIF(WITHDRAWALS!$A:$A,A548,WITHDRAWALS!$E:$E)),"")</f>
        <v/>
      </c>
      <c r="D548" s="33">
        <f>IF(A548="","",TODAY())</f>
        <v/>
      </c>
      <c r="E548" s="29" t="n"/>
      <c r="F548" s="32">
        <f>IFERROR(IF(OR(A548="",E548=""),"",C548+E548),"")</f>
        <v/>
      </c>
      <c r="G548" s="30" t="n"/>
      <c r="H548" s="31" t="n"/>
    </row>
    <row r="549" ht="20" customHeight="1">
      <c r="A549" s="26" t="n"/>
      <c r="B549" s="27">
        <f>IFERROR(IF(A549="","",VLOOKUP(A549,DATABASE!$A:$B,2,0)),"")</f>
        <v/>
      </c>
      <c r="C549" s="20">
        <f>IFERROR(IF(A549="","",SUMIF(SAVINGS!$A$3:A548,A549,SAVINGS!$E$3:E548)-SUMIF(WITHDRAWALS!$A:$A,A549,WITHDRAWALS!$E:$E)),"")</f>
        <v/>
      </c>
      <c r="D549" s="28">
        <f>IF(A549="","",TODAY())</f>
        <v/>
      </c>
      <c r="E549" s="29" t="n"/>
      <c r="F549" s="20">
        <f>IFERROR(IF(OR(A549="",E549=""),"",C549+E549),"")</f>
        <v/>
      </c>
      <c r="G549" s="30" t="n"/>
      <c r="H549" s="27" t="n"/>
    </row>
    <row r="550" ht="20" customHeight="1">
      <c r="A550" s="26" t="n"/>
      <c r="B550" s="31">
        <f>IFERROR(IF(A550="","",VLOOKUP(A550,DATABASE!$A:$B,2,0)),"")</f>
        <v/>
      </c>
      <c r="C550" s="32">
        <f>IFERROR(IF(A550="","",SUMIF(SAVINGS!$A$3:A549,A550,SAVINGS!$E$3:E549)-SUMIF(WITHDRAWALS!$A:$A,A550,WITHDRAWALS!$E:$E)),"")</f>
        <v/>
      </c>
      <c r="D550" s="33">
        <f>IF(A550="","",TODAY())</f>
        <v/>
      </c>
      <c r="E550" s="29" t="n"/>
      <c r="F550" s="32">
        <f>IFERROR(IF(OR(A550="",E550=""),"",C550+E550),"")</f>
        <v/>
      </c>
      <c r="G550" s="30" t="n"/>
      <c r="H550" s="31" t="n"/>
    </row>
    <row r="551" ht="20" customHeight="1">
      <c r="A551" s="26" t="n"/>
      <c r="B551" s="27">
        <f>IFERROR(IF(A551="","",VLOOKUP(A551,DATABASE!$A:$B,2,0)),"")</f>
        <v/>
      </c>
      <c r="C551" s="20">
        <f>IFERROR(IF(A551="","",SUMIF(SAVINGS!$A$3:A550,A551,SAVINGS!$E$3:E550)-SUMIF(WITHDRAWALS!$A:$A,A551,WITHDRAWALS!$E:$E)),"")</f>
        <v/>
      </c>
      <c r="D551" s="28">
        <f>IF(A551="","",TODAY())</f>
        <v/>
      </c>
      <c r="E551" s="29" t="n"/>
      <c r="F551" s="20">
        <f>IFERROR(IF(OR(A551="",E551=""),"",C551+E551),"")</f>
        <v/>
      </c>
      <c r="G551" s="30" t="n"/>
      <c r="H551" s="27" t="n"/>
    </row>
    <row r="552" ht="20" customHeight="1">
      <c r="A552" s="26" t="n"/>
      <c r="B552" s="31">
        <f>IFERROR(IF(A552="","",VLOOKUP(A552,DATABASE!$A:$B,2,0)),"")</f>
        <v/>
      </c>
      <c r="C552" s="32">
        <f>IFERROR(IF(A552="","",SUMIF(SAVINGS!$A$3:A551,A552,SAVINGS!$E$3:E551)-SUMIF(WITHDRAWALS!$A:$A,A552,WITHDRAWALS!$E:$E)),"")</f>
        <v/>
      </c>
      <c r="D552" s="33">
        <f>IF(A552="","",TODAY())</f>
        <v/>
      </c>
      <c r="E552" s="29" t="n"/>
      <c r="F552" s="32">
        <f>IFERROR(IF(OR(A552="",E552=""),"",C552+E552),"")</f>
        <v/>
      </c>
      <c r="G552" s="30" t="n"/>
      <c r="H552" s="31" t="n"/>
    </row>
    <row r="553" ht="20" customHeight="1">
      <c r="A553" s="26" t="n"/>
      <c r="B553" s="27">
        <f>IFERROR(IF(A553="","",VLOOKUP(A553,DATABASE!$A:$B,2,0)),"")</f>
        <v/>
      </c>
      <c r="C553" s="20">
        <f>IFERROR(IF(A553="","",SUMIF(SAVINGS!$A$3:A552,A553,SAVINGS!$E$3:E552)-SUMIF(WITHDRAWALS!$A:$A,A553,WITHDRAWALS!$E:$E)),"")</f>
        <v/>
      </c>
      <c r="D553" s="28">
        <f>IF(A553="","",TODAY())</f>
        <v/>
      </c>
      <c r="E553" s="29" t="n"/>
      <c r="F553" s="20">
        <f>IFERROR(IF(OR(A553="",E553=""),"",C553+E553),"")</f>
        <v/>
      </c>
      <c r="G553" s="30" t="n"/>
      <c r="H553" s="27" t="n"/>
    </row>
    <row r="554" ht="20" customHeight="1">
      <c r="A554" s="26" t="n"/>
      <c r="B554" s="31">
        <f>IFERROR(IF(A554="","",VLOOKUP(A554,DATABASE!$A:$B,2,0)),"")</f>
        <v/>
      </c>
      <c r="C554" s="32">
        <f>IFERROR(IF(A554="","",SUMIF(SAVINGS!$A$3:A553,A554,SAVINGS!$E$3:E553)-SUMIF(WITHDRAWALS!$A:$A,A554,WITHDRAWALS!$E:$E)),"")</f>
        <v/>
      </c>
      <c r="D554" s="33">
        <f>IF(A554="","",TODAY())</f>
        <v/>
      </c>
      <c r="E554" s="29" t="n"/>
      <c r="F554" s="32">
        <f>IFERROR(IF(OR(A554="",E554=""),"",C554+E554),"")</f>
        <v/>
      </c>
      <c r="G554" s="30" t="n"/>
      <c r="H554" s="31" t="n"/>
    </row>
    <row r="555" ht="20" customHeight="1">
      <c r="A555" s="26" t="n"/>
      <c r="B555" s="27">
        <f>IFERROR(IF(A555="","",VLOOKUP(A555,DATABASE!$A:$B,2,0)),"")</f>
        <v/>
      </c>
      <c r="C555" s="20">
        <f>IFERROR(IF(A555="","",SUMIF(SAVINGS!$A$3:A554,A555,SAVINGS!$E$3:E554)-SUMIF(WITHDRAWALS!$A:$A,A555,WITHDRAWALS!$E:$E)),"")</f>
        <v/>
      </c>
      <c r="D555" s="28">
        <f>IF(A555="","",TODAY())</f>
        <v/>
      </c>
      <c r="E555" s="29" t="n"/>
      <c r="F555" s="20">
        <f>IFERROR(IF(OR(A555="",E555=""),"",C555+E555),"")</f>
        <v/>
      </c>
      <c r="G555" s="30" t="n"/>
      <c r="H555" s="27" t="n"/>
    </row>
    <row r="556" ht="20" customHeight="1">
      <c r="A556" s="26" t="n"/>
      <c r="B556" s="31">
        <f>IFERROR(IF(A556="","",VLOOKUP(A556,DATABASE!$A:$B,2,0)),"")</f>
        <v/>
      </c>
      <c r="C556" s="32">
        <f>IFERROR(IF(A556="","",SUMIF(SAVINGS!$A$3:A555,A556,SAVINGS!$E$3:E555)-SUMIF(WITHDRAWALS!$A:$A,A556,WITHDRAWALS!$E:$E)),"")</f>
        <v/>
      </c>
      <c r="D556" s="33">
        <f>IF(A556="","",TODAY())</f>
        <v/>
      </c>
      <c r="E556" s="29" t="n"/>
      <c r="F556" s="32">
        <f>IFERROR(IF(OR(A556="",E556=""),"",C556+E556),"")</f>
        <v/>
      </c>
      <c r="G556" s="30" t="n"/>
      <c r="H556" s="31" t="n"/>
    </row>
    <row r="557" ht="20" customHeight="1">
      <c r="A557" s="26" t="n"/>
      <c r="B557" s="27">
        <f>IFERROR(IF(A557="","",VLOOKUP(A557,DATABASE!$A:$B,2,0)),"")</f>
        <v/>
      </c>
      <c r="C557" s="20">
        <f>IFERROR(IF(A557="","",SUMIF(SAVINGS!$A$3:A556,A557,SAVINGS!$E$3:E556)-SUMIF(WITHDRAWALS!$A:$A,A557,WITHDRAWALS!$E:$E)),"")</f>
        <v/>
      </c>
      <c r="D557" s="28">
        <f>IF(A557="","",TODAY())</f>
        <v/>
      </c>
      <c r="E557" s="29" t="n"/>
      <c r="F557" s="20">
        <f>IFERROR(IF(OR(A557="",E557=""),"",C557+E557),"")</f>
        <v/>
      </c>
      <c r="G557" s="30" t="n"/>
      <c r="H557" s="27" t="n"/>
    </row>
    <row r="558" ht="20" customHeight="1">
      <c r="A558" s="26" t="n"/>
      <c r="B558" s="31">
        <f>IFERROR(IF(A558="","",VLOOKUP(A558,DATABASE!$A:$B,2,0)),"")</f>
        <v/>
      </c>
      <c r="C558" s="32">
        <f>IFERROR(IF(A558="","",SUMIF(SAVINGS!$A$3:A557,A558,SAVINGS!$E$3:E557)-SUMIF(WITHDRAWALS!$A:$A,A558,WITHDRAWALS!$E:$E)),"")</f>
        <v/>
      </c>
      <c r="D558" s="33">
        <f>IF(A558="","",TODAY())</f>
        <v/>
      </c>
      <c r="E558" s="29" t="n"/>
      <c r="F558" s="32">
        <f>IFERROR(IF(OR(A558="",E558=""),"",C558+E558),"")</f>
        <v/>
      </c>
      <c r="G558" s="30" t="n"/>
      <c r="H558" s="31" t="n"/>
    </row>
    <row r="559" ht="20" customHeight="1">
      <c r="A559" s="26" t="n"/>
      <c r="B559" s="27">
        <f>IFERROR(IF(A559="","",VLOOKUP(A559,DATABASE!$A:$B,2,0)),"")</f>
        <v/>
      </c>
      <c r="C559" s="20">
        <f>IFERROR(IF(A559="","",SUMIF(SAVINGS!$A$3:A558,A559,SAVINGS!$E$3:E558)-SUMIF(WITHDRAWALS!$A:$A,A559,WITHDRAWALS!$E:$E)),"")</f>
        <v/>
      </c>
      <c r="D559" s="28">
        <f>IF(A559="","",TODAY())</f>
        <v/>
      </c>
      <c r="E559" s="29" t="n"/>
      <c r="F559" s="20">
        <f>IFERROR(IF(OR(A559="",E559=""),"",C559+E559),"")</f>
        <v/>
      </c>
      <c r="G559" s="30" t="n"/>
      <c r="H559" s="27" t="n"/>
    </row>
    <row r="560" ht="20" customHeight="1">
      <c r="A560" s="26" t="n"/>
      <c r="B560" s="31">
        <f>IFERROR(IF(A560="","",VLOOKUP(A560,DATABASE!$A:$B,2,0)),"")</f>
        <v/>
      </c>
      <c r="C560" s="32">
        <f>IFERROR(IF(A560="","",SUMIF(SAVINGS!$A$3:A559,A560,SAVINGS!$E$3:E559)-SUMIF(WITHDRAWALS!$A:$A,A560,WITHDRAWALS!$E:$E)),"")</f>
        <v/>
      </c>
      <c r="D560" s="33">
        <f>IF(A560="","",TODAY())</f>
        <v/>
      </c>
      <c r="E560" s="29" t="n"/>
      <c r="F560" s="32">
        <f>IFERROR(IF(OR(A560="",E560=""),"",C560+E560),"")</f>
        <v/>
      </c>
      <c r="G560" s="30" t="n"/>
      <c r="H560" s="31" t="n"/>
    </row>
    <row r="561" ht="20" customHeight="1">
      <c r="A561" s="26" t="n"/>
      <c r="B561" s="27">
        <f>IFERROR(IF(A561="","",VLOOKUP(A561,DATABASE!$A:$B,2,0)),"")</f>
        <v/>
      </c>
      <c r="C561" s="20">
        <f>IFERROR(IF(A561="","",SUMIF(SAVINGS!$A$3:A560,A561,SAVINGS!$E$3:E560)-SUMIF(WITHDRAWALS!$A:$A,A561,WITHDRAWALS!$E:$E)),"")</f>
        <v/>
      </c>
      <c r="D561" s="28">
        <f>IF(A561="","",TODAY())</f>
        <v/>
      </c>
      <c r="E561" s="29" t="n"/>
      <c r="F561" s="20">
        <f>IFERROR(IF(OR(A561="",E561=""),"",C561+E561),"")</f>
        <v/>
      </c>
      <c r="G561" s="30" t="n"/>
      <c r="H561" s="27" t="n"/>
    </row>
    <row r="562" ht="20" customHeight="1">
      <c r="A562" s="26" t="n"/>
      <c r="B562" s="31">
        <f>IFERROR(IF(A562="","",VLOOKUP(A562,DATABASE!$A:$B,2,0)),"")</f>
        <v/>
      </c>
      <c r="C562" s="32">
        <f>IFERROR(IF(A562="","",SUMIF(SAVINGS!$A$3:A561,A562,SAVINGS!$E$3:E561)-SUMIF(WITHDRAWALS!$A:$A,A562,WITHDRAWALS!$E:$E)),"")</f>
        <v/>
      </c>
      <c r="D562" s="33">
        <f>IF(A562="","",TODAY())</f>
        <v/>
      </c>
      <c r="E562" s="29" t="n"/>
      <c r="F562" s="32">
        <f>IFERROR(IF(OR(A562="",E562=""),"",C562+E562),"")</f>
        <v/>
      </c>
      <c r="G562" s="30" t="n"/>
      <c r="H562" s="31" t="n"/>
    </row>
    <row r="563" ht="20" customHeight="1">
      <c r="A563" s="26" t="n"/>
      <c r="B563" s="27">
        <f>IFERROR(IF(A563="","",VLOOKUP(A563,DATABASE!$A:$B,2,0)),"")</f>
        <v/>
      </c>
      <c r="C563" s="20">
        <f>IFERROR(IF(A563="","",SUMIF(SAVINGS!$A$3:A562,A563,SAVINGS!$E$3:E562)-SUMIF(WITHDRAWALS!$A:$A,A563,WITHDRAWALS!$E:$E)),"")</f>
        <v/>
      </c>
      <c r="D563" s="28">
        <f>IF(A563="","",TODAY())</f>
        <v/>
      </c>
      <c r="E563" s="29" t="n"/>
      <c r="F563" s="20">
        <f>IFERROR(IF(OR(A563="",E563=""),"",C563+E563),"")</f>
        <v/>
      </c>
      <c r="G563" s="30" t="n"/>
      <c r="H563" s="27" t="n"/>
    </row>
    <row r="564" ht="20" customHeight="1">
      <c r="A564" s="26" t="n"/>
      <c r="B564" s="31">
        <f>IFERROR(IF(A564="","",VLOOKUP(A564,DATABASE!$A:$B,2,0)),"")</f>
        <v/>
      </c>
      <c r="C564" s="32">
        <f>IFERROR(IF(A564="","",SUMIF(SAVINGS!$A$3:A563,A564,SAVINGS!$E$3:E563)-SUMIF(WITHDRAWALS!$A:$A,A564,WITHDRAWALS!$E:$E)),"")</f>
        <v/>
      </c>
      <c r="D564" s="33">
        <f>IF(A564="","",TODAY())</f>
        <v/>
      </c>
      <c r="E564" s="29" t="n"/>
      <c r="F564" s="32">
        <f>IFERROR(IF(OR(A564="",E564=""),"",C564+E564),"")</f>
        <v/>
      </c>
      <c r="G564" s="30" t="n"/>
      <c r="H564" s="31" t="n"/>
    </row>
    <row r="565" ht="20" customHeight="1">
      <c r="A565" s="26" t="n"/>
      <c r="B565" s="27">
        <f>IFERROR(IF(A565="","",VLOOKUP(A565,DATABASE!$A:$B,2,0)),"")</f>
        <v/>
      </c>
      <c r="C565" s="20">
        <f>IFERROR(IF(A565="","",SUMIF(SAVINGS!$A$3:A564,A565,SAVINGS!$E$3:E564)-SUMIF(WITHDRAWALS!$A:$A,A565,WITHDRAWALS!$E:$E)),"")</f>
        <v/>
      </c>
      <c r="D565" s="28">
        <f>IF(A565="","",TODAY())</f>
        <v/>
      </c>
      <c r="E565" s="29" t="n"/>
      <c r="F565" s="20">
        <f>IFERROR(IF(OR(A565="",E565=""),"",C565+E565),"")</f>
        <v/>
      </c>
      <c r="G565" s="30" t="n"/>
      <c r="H565" s="27" t="n"/>
    </row>
    <row r="566" ht="20" customHeight="1">
      <c r="A566" s="26" t="n"/>
      <c r="B566" s="31">
        <f>IFERROR(IF(A566="","",VLOOKUP(A566,DATABASE!$A:$B,2,0)),"")</f>
        <v/>
      </c>
      <c r="C566" s="32">
        <f>IFERROR(IF(A566="","",SUMIF(SAVINGS!$A$3:A565,A566,SAVINGS!$E$3:E565)-SUMIF(WITHDRAWALS!$A:$A,A566,WITHDRAWALS!$E:$E)),"")</f>
        <v/>
      </c>
      <c r="D566" s="33">
        <f>IF(A566="","",TODAY())</f>
        <v/>
      </c>
      <c r="E566" s="29" t="n"/>
      <c r="F566" s="32">
        <f>IFERROR(IF(OR(A566="",E566=""),"",C566+E566),"")</f>
        <v/>
      </c>
      <c r="G566" s="30" t="n"/>
      <c r="H566" s="31" t="n"/>
    </row>
    <row r="567" ht="20" customHeight="1">
      <c r="A567" s="26" t="n"/>
      <c r="B567" s="27">
        <f>IFERROR(IF(A567="","",VLOOKUP(A567,DATABASE!$A:$B,2,0)),"")</f>
        <v/>
      </c>
      <c r="C567" s="20">
        <f>IFERROR(IF(A567="","",SUMIF(SAVINGS!$A$3:A566,A567,SAVINGS!$E$3:E566)-SUMIF(WITHDRAWALS!$A:$A,A567,WITHDRAWALS!$E:$E)),"")</f>
        <v/>
      </c>
      <c r="D567" s="28">
        <f>IF(A567="","",TODAY())</f>
        <v/>
      </c>
      <c r="E567" s="29" t="n"/>
      <c r="F567" s="20">
        <f>IFERROR(IF(OR(A567="",E567=""),"",C567+E567),"")</f>
        <v/>
      </c>
      <c r="G567" s="30" t="n"/>
      <c r="H567" s="27" t="n"/>
    </row>
    <row r="568" ht="20" customHeight="1">
      <c r="A568" s="26" t="n"/>
      <c r="B568" s="31">
        <f>IFERROR(IF(A568="","",VLOOKUP(A568,DATABASE!$A:$B,2,0)),"")</f>
        <v/>
      </c>
      <c r="C568" s="32">
        <f>IFERROR(IF(A568="","",SUMIF(SAVINGS!$A$3:A567,A568,SAVINGS!$E$3:E567)-SUMIF(WITHDRAWALS!$A:$A,A568,WITHDRAWALS!$E:$E)),"")</f>
        <v/>
      </c>
      <c r="D568" s="33">
        <f>IF(A568="","",TODAY())</f>
        <v/>
      </c>
      <c r="E568" s="29" t="n"/>
      <c r="F568" s="32">
        <f>IFERROR(IF(OR(A568="",E568=""),"",C568+E568),"")</f>
        <v/>
      </c>
      <c r="G568" s="30" t="n"/>
      <c r="H568" s="31" t="n"/>
    </row>
    <row r="569" ht="20" customHeight="1">
      <c r="A569" s="26" t="n"/>
      <c r="B569" s="27">
        <f>IFERROR(IF(A569="","",VLOOKUP(A569,DATABASE!$A:$B,2,0)),"")</f>
        <v/>
      </c>
      <c r="C569" s="20">
        <f>IFERROR(IF(A569="","",SUMIF(SAVINGS!$A$3:A568,A569,SAVINGS!$E$3:E568)-SUMIF(WITHDRAWALS!$A:$A,A569,WITHDRAWALS!$E:$E)),"")</f>
        <v/>
      </c>
      <c r="D569" s="28">
        <f>IF(A569="","",TODAY())</f>
        <v/>
      </c>
      <c r="E569" s="29" t="n"/>
      <c r="F569" s="20">
        <f>IFERROR(IF(OR(A569="",E569=""),"",C569+E569),"")</f>
        <v/>
      </c>
      <c r="G569" s="30" t="n"/>
      <c r="H569" s="27" t="n"/>
    </row>
    <row r="570" ht="20" customHeight="1">
      <c r="A570" s="26" t="n"/>
      <c r="B570" s="31">
        <f>IFERROR(IF(A570="","",VLOOKUP(A570,DATABASE!$A:$B,2,0)),"")</f>
        <v/>
      </c>
      <c r="C570" s="32">
        <f>IFERROR(IF(A570="","",SUMIF(SAVINGS!$A$3:A569,A570,SAVINGS!$E$3:E569)-SUMIF(WITHDRAWALS!$A:$A,A570,WITHDRAWALS!$E:$E)),"")</f>
        <v/>
      </c>
      <c r="D570" s="33">
        <f>IF(A570="","",TODAY())</f>
        <v/>
      </c>
      <c r="E570" s="29" t="n"/>
      <c r="F570" s="32">
        <f>IFERROR(IF(OR(A570="",E570=""),"",C570+E570),"")</f>
        <v/>
      </c>
      <c r="G570" s="30" t="n"/>
      <c r="H570" s="31" t="n"/>
    </row>
    <row r="571" ht="20" customHeight="1">
      <c r="A571" s="26" t="n"/>
      <c r="B571" s="27">
        <f>IFERROR(IF(A571="","",VLOOKUP(A571,DATABASE!$A:$B,2,0)),"")</f>
        <v/>
      </c>
      <c r="C571" s="20">
        <f>IFERROR(IF(A571="","",SUMIF(SAVINGS!$A$3:A570,A571,SAVINGS!$E$3:E570)-SUMIF(WITHDRAWALS!$A:$A,A571,WITHDRAWALS!$E:$E)),"")</f>
        <v/>
      </c>
      <c r="D571" s="28">
        <f>IF(A571="","",TODAY())</f>
        <v/>
      </c>
      <c r="E571" s="29" t="n"/>
      <c r="F571" s="20">
        <f>IFERROR(IF(OR(A571="",E571=""),"",C571+E571),"")</f>
        <v/>
      </c>
      <c r="G571" s="30" t="n"/>
      <c r="H571" s="27" t="n"/>
    </row>
    <row r="572" ht="20" customHeight="1">
      <c r="A572" s="26" t="n"/>
      <c r="B572" s="31">
        <f>IFERROR(IF(A572="","",VLOOKUP(A572,DATABASE!$A:$B,2,0)),"")</f>
        <v/>
      </c>
      <c r="C572" s="32">
        <f>IFERROR(IF(A572="","",SUMIF(SAVINGS!$A$3:A571,A572,SAVINGS!$E$3:E571)-SUMIF(WITHDRAWALS!$A:$A,A572,WITHDRAWALS!$E:$E)),"")</f>
        <v/>
      </c>
      <c r="D572" s="33">
        <f>IF(A572="","",TODAY())</f>
        <v/>
      </c>
      <c r="E572" s="29" t="n"/>
      <c r="F572" s="32">
        <f>IFERROR(IF(OR(A572="",E572=""),"",C572+E572),"")</f>
        <v/>
      </c>
      <c r="G572" s="30" t="n"/>
      <c r="H572" s="31" t="n"/>
    </row>
    <row r="573" ht="20" customHeight="1">
      <c r="A573" s="26" t="n"/>
      <c r="B573" s="27">
        <f>IFERROR(IF(A573="","",VLOOKUP(A573,DATABASE!$A:$B,2,0)),"")</f>
        <v/>
      </c>
      <c r="C573" s="20">
        <f>IFERROR(IF(A573="","",SUMIF(SAVINGS!$A$3:A572,A573,SAVINGS!$E$3:E572)-SUMIF(WITHDRAWALS!$A:$A,A573,WITHDRAWALS!$E:$E)),"")</f>
        <v/>
      </c>
      <c r="D573" s="28">
        <f>IF(A573="","",TODAY())</f>
        <v/>
      </c>
      <c r="E573" s="29" t="n"/>
      <c r="F573" s="20">
        <f>IFERROR(IF(OR(A573="",E573=""),"",C573+E573),"")</f>
        <v/>
      </c>
      <c r="G573" s="30" t="n"/>
      <c r="H573" s="27" t="n"/>
    </row>
    <row r="574" ht="20" customHeight="1">
      <c r="A574" s="26" t="n"/>
      <c r="B574" s="31">
        <f>IFERROR(IF(A574="","",VLOOKUP(A574,DATABASE!$A:$B,2,0)),"")</f>
        <v/>
      </c>
      <c r="C574" s="32">
        <f>IFERROR(IF(A574="","",SUMIF(SAVINGS!$A$3:A573,A574,SAVINGS!$E$3:E573)-SUMIF(WITHDRAWALS!$A:$A,A574,WITHDRAWALS!$E:$E)),"")</f>
        <v/>
      </c>
      <c r="D574" s="33">
        <f>IF(A574="","",TODAY())</f>
        <v/>
      </c>
      <c r="E574" s="29" t="n"/>
      <c r="F574" s="32">
        <f>IFERROR(IF(OR(A574="",E574=""),"",C574+E574),"")</f>
        <v/>
      </c>
      <c r="G574" s="30" t="n"/>
      <c r="H574" s="31" t="n"/>
    </row>
    <row r="575" ht="20" customHeight="1">
      <c r="A575" s="26" t="n"/>
      <c r="B575" s="27">
        <f>IFERROR(IF(A575="","",VLOOKUP(A575,DATABASE!$A:$B,2,0)),"")</f>
        <v/>
      </c>
      <c r="C575" s="20">
        <f>IFERROR(IF(A575="","",SUMIF(SAVINGS!$A$3:A574,A575,SAVINGS!$E$3:E574)-SUMIF(WITHDRAWALS!$A:$A,A575,WITHDRAWALS!$E:$E)),"")</f>
        <v/>
      </c>
      <c r="D575" s="28">
        <f>IF(A575="","",TODAY())</f>
        <v/>
      </c>
      <c r="E575" s="29" t="n"/>
      <c r="F575" s="20">
        <f>IFERROR(IF(OR(A575="",E575=""),"",C575+E575),"")</f>
        <v/>
      </c>
      <c r="G575" s="30" t="n"/>
      <c r="H575" s="27" t="n"/>
    </row>
    <row r="576" ht="20" customHeight="1">
      <c r="A576" s="26" t="n"/>
      <c r="B576" s="31">
        <f>IFERROR(IF(A576="","",VLOOKUP(A576,DATABASE!$A:$B,2,0)),"")</f>
        <v/>
      </c>
      <c r="C576" s="32">
        <f>IFERROR(IF(A576="","",SUMIF(SAVINGS!$A$3:A575,A576,SAVINGS!$E$3:E575)-SUMIF(WITHDRAWALS!$A:$A,A576,WITHDRAWALS!$E:$E)),"")</f>
        <v/>
      </c>
      <c r="D576" s="33">
        <f>IF(A576="","",TODAY())</f>
        <v/>
      </c>
      <c r="E576" s="29" t="n"/>
      <c r="F576" s="32">
        <f>IFERROR(IF(OR(A576="",E576=""),"",C576+E576),"")</f>
        <v/>
      </c>
      <c r="G576" s="30" t="n"/>
      <c r="H576" s="31" t="n"/>
    </row>
    <row r="577" ht="20" customHeight="1">
      <c r="A577" s="26" t="n"/>
      <c r="B577" s="27">
        <f>IFERROR(IF(A577="","",VLOOKUP(A577,DATABASE!$A:$B,2,0)),"")</f>
        <v/>
      </c>
      <c r="C577" s="20">
        <f>IFERROR(IF(A577="","",SUMIF(SAVINGS!$A$3:A576,A577,SAVINGS!$E$3:E576)-SUMIF(WITHDRAWALS!$A:$A,A577,WITHDRAWALS!$E:$E)),"")</f>
        <v/>
      </c>
      <c r="D577" s="28">
        <f>IF(A577="","",TODAY())</f>
        <v/>
      </c>
      <c r="E577" s="29" t="n"/>
      <c r="F577" s="20">
        <f>IFERROR(IF(OR(A577="",E577=""),"",C577+E577),"")</f>
        <v/>
      </c>
      <c r="G577" s="30" t="n"/>
      <c r="H577" s="27" t="n"/>
    </row>
    <row r="578" ht="20" customHeight="1">
      <c r="A578" s="26" t="n"/>
      <c r="B578" s="31">
        <f>IFERROR(IF(A578="","",VLOOKUP(A578,DATABASE!$A:$B,2,0)),"")</f>
        <v/>
      </c>
      <c r="C578" s="32">
        <f>IFERROR(IF(A578="","",SUMIF(SAVINGS!$A$3:A577,A578,SAVINGS!$E$3:E577)-SUMIF(WITHDRAWALS!$A:$A,A578,WITHDRAWALS!$E:$E)),"")</f>
        <v/>
      </c>
      <c r="D578" s="33">
        <f>IF(A578="","",TODAY())</f>
        <v/>
      </c>
      <c r="E578" s="29" t="n"/>
      <c r="F578" s="32">
        <f>IFERROR(IF(OR(A578="",E578=""),"",C578+E578),"")</f>
        <v/>
      </c>
      <c r="G578" s="30" t="n"/>
      <c r="H578" s="31" t="n"/>
    </row>
    <row r="579" ht="20" customHeight="1">
      <c r="A579" s="26" t="n"/>
      <c r="B579" s="27">
        <f>IFERROR(IF(A579="","",VLOOKUP(A579,DATABASE!$A:$B,2,0)),"")</f>
        <v/>
      </c>
      <c r="C579" s="20">
        <f>IFERROR(IF(A579="","",SUMIF(SAVINGS!$A$3:A578,A579,SAVINGS!$E$3:E578)-SUMIF(WITHDRAWALS!$A:$A,A579,WITHDRAWALS!$E:$E)),"")</f>
        <v/>
      </c>
      <c r="D579" s="28">
        <f>IF(A579="","",TODAY())</f>
        <v/>
      </c>
      <c r="E579" s="29" t="n"/>
      <c r="F579" s="20">
        <f>IFERROR(IF(OR(A579="",E579=""),"",C579+E579),"")</f>
        <v/>
      </c>
      <c r="G579" s="30" t="n"/>
      <c r="H579" s="27" t="n"/>
    </row>
    <row r="580" ht="20" customHeight="1">
      <c r="A580" s="26" t="n"/>
      <c r="B580" s="31">
        <f>IFERROR(IF(A580="","",VLOOKUP(A580,DATABASE!$A:$B,2,0)),"")</f>
        <v/>
      </c>
      <c r="C580" s="32">
        <f>IFERROR(IF(A580="","",SUMIF(SAVINGS!$A$3:A579,A580,SAVINGS!$E$3:E579)-SUMIF(WITHDRAWALS!$A:$A,A580,WITHDRAWALS!$E:$E)),"")</f>
        <v/>
      </c>
      <c r="D580" s="33">
        <f>IF(A580="","",TODAY())</f>
        <v/>
      </c>
      <c r="E580" s="29" t="n"/>
      <c r="F580" s="32">
        <f>IFERROR(IF(OR(A580="",E580=""),"",C580+E580),"")</f>
        <v/>
      </c>
      <c r="G580" s="30" t="n"/>
      <c r="H580" s="31" t="n"/>
    </row>
    <row r="581" ht="20" customHeight="1">
      <c r="A581" s="26" t="n"/>
      <c r="B581" s="27">
        <f>IFERROR(IF(A581="","",VLOOKUP(A581,DATABASE!$A:$B,2,0)),"")</f>
        <v/>
      </c>
      <c r="C581" s="20">
        <f>IFERROR(IF(A581="","",SUMIF(SAVINGS!$A$3:A580,A581,SAVINGS!$E$3:E580)-SUMIF(WITHDRAWALS!$A:$A,A581,WITHDRAWALS!$E:$E)),"")</f>
        <v/>
      </c>
      <c r="D581" s="28">
        <f>IF(A581="","",TODAY())</f>
        <v/>
      </c>
      <c r="E581" s="29" t="n"/>
      <c r="F581" s="20">
        <f>IFERROR(IF(OR(A581="",E581=""),"",C581+E581),"")</f>
        <v/>
      </c>
      <c r="G581" s="30" t="n"/>
      <c r="H581" s="27" t="n"/>
    </row>
    <row r="582" ht="20" customHeight="1">
      <c r="A582" s="26" t="n"/>
      <c r="B582" s="31">
        <f>IFERROR(IF(A582="","",VLOOKUP(A582,DATABASE!$A:$B,2,0)),"")</f>
        <v/>
      </c>
      <c r="C582" s="32">
        <f>IFERROR(IF(A582="","",SUMIF(SAVINGS!$A$3:A581,A582,SAVINGS!$E$3:E581)-SUMIF(WITHDRAWALS!$A:$A,A582,WITHDRAWALS!$E:$E)),"")</f>
        <v/>
      </c>
      <c r="D582" s="33">
        <f>IF(A582="","",TODAY())</f>
        <v/>
      </c>
      <c r="E582" s="29" t="n"/>
      <c r="F582" s="32">
        <f>IFERROR(IF(OR(A582="",E582=""),"",C582+E582),"")</f>
        <v/>
      </c>
      <c r="G582" s="30" t="n"/>
      <c r="H582" s="31" t="n"/>
    </row>
    <row r="583" ht="20" customHeight="1">
      <c r="A583" s="26" t="n"/>
      <c r="B583" s="27">
        <f>IFERROR(IF(A583="","",VLOOKUP(A583,DATABASE!$A:$B,2,0)),"")</f>
        <v/>
      </c>
      <c r="C583" s="20">
        <f>IFERROR(IF(A583="","",SUMIF(SAVINGS!$A$3:A582,A583,SAVINGS!$E$3:E582)-SUMIF(WITHDRAWALS!$A:$A,A583,WITHDRAWALS!$E:$E)),"")</f>
        <v/>
      </c>
      <c r="D583" s="28">
        <f>IF(A583="","",TODAY())</f>
        <v/>
      </c>
      <c r="E583" s="29" t="n"/>
      <c r="F583" s="20">
        <f>IFERROR(IF(OR(A583="",E583=""),"",C583+E583),"")</f>
        <v/>
      </c>
      <c r="G583" s="30" t="n"/>
      <c r="H583" s="27" t="n"/>
    </row>
    <row r="584" ht="20" customHeight="1">
      <c r="A584" s="26" t="n"/>
      <c r="B584" s="31">
        <f>IFERROR(IF(A584="","",VLOOKUP(A584,DATABASE!$A:$B,2,0)),"")</f>
        <v/>
      </c>
      <c r="C584" s="32">
        <f>IFERROR(IF(A584="","",SUMIF(SAVINGS!$A$3:A583,A584,SAVINGS!$E$3:E583)-SUMIF(WITHDRAWALS!$A:$A,A584,WITHDRAWALS!$E:$E)),"")</f>
        <v/>
      </c>
      <c r="D584" s="33">
        <f>IF(A584="","",TODAY())</f>
        <v/>
      </c>
      <c r="E584" s="29" t="n"/>
      <c r="F584" s="32">
        <f>IFERROR(IF(OR(A584="",E584=""),"",C584+E584),"")</f>
        <v/>
      </c>
      <c r="G584" s="30" t="n"/>
      <c r="H584" s="31" t="n"/>
    </row>
    <row r="585" ht="20" customHeight="1">
      <c r="A585" s="26" t="n"/>
      <c r="B585" s="27">
        <f>IFERROR(IF(A585="","",VLOOKUP(A585,DATABASE!$A:$B,2,0)),"")</f>
        <v/>
      </c>
      <c r="C585" s="20">
        <f>IFERROR(IF(A585="","",SUMIF(SAVINGS!$A$3:A584,A585,SAVINGS!$E$3:E584)-SUMIF(WITHDRAWALS!$A:$A,A585,WITHDRAWALS!$E:$E)),"")</f>
        <v/>
      </c>
      <c r="D585" s="28">
        <f>IF(A585="","",TODAY())</f>
        <v/>
      </c>
      <c r="E585" s="29" t="n"/>
      <c r="F585" s="20">
        <f>IFERROR(IF(OR(A585="",E585=""),"",C585+E585),"")</f>
        <v/>
      </c>
      <c r="G585" s="30" t="n"/>
      <c r="H585" s="27" t="n"/>
    </row>
    <row r="586" ht="20" customHeight="1">
      <c r="A586" s="26" t="n"/>
      <c r="B586" s="31">
        <f>IFERROR(IF(A586="","",VLOOKUP(A586,DATABASE!$A:$B,2,0)),"")</f>
        <v/>
      </c>
      <c r="C586" s="32">
        <f>IFERROR(IF(A586="","",SUMIF(SAVINGS!$A$3:A585,A586,SAVINGS!$E$3:E585)-SUMIF(WITHDRAWALS!$A:$A,A586,WITHDRAWALS!$E:$E)),"")</f>
        <v/>
      </c>
      <c r="D586" s="33">
        <f>IF(A586="","",TODAY())</f>
        <v/>
      </c>
      <c r="E586" s="29" t="n"/>
      <c r="F586" s="32">
        <f>IFERROR(IF(OR(A586="",E586=""),"",C586+E586),"")</f>
        <v/>
      </c>
      <c r="G586" s="30" t="n"/>
      <c r="H586" s="31" t="n"/>
    </row>
    <row r="587" ht="20" customHeight="1">
      <c r="A587" s="26" t="n"/>
      <c r="B587" s="27">
        <f>IFERROR(IF(A587="","",VLOOKUP(A587,DATABASE!$A:$B,2,0)),"")</f>
        <v/>
      </c>
      <c r="C587" s="20">
        <f>IFERROR(IF(A587="","",SUMIF(SAVINGS!$A$3:A586,A587,SAVINGS!$E$3:E586)-SUMIF(WITHDRAWALS!$A:$A,A587,WITHDRAWALS!$E:$E)),"")</f>
        <v/>
      </c>
      <c r="D587" s="28">
        <f>IF(A587="","",TODAY())</f>
        <v/>
      </c>
      <c r="E587" s="29" t="n"/>
      <c r="F587" s="20">
        <f>IFERROR(IF(OR(A587="",E587=""),"",C587+E587),"")</f>
        <v/>
      </c>
      <c r="G587" s="30" t="n"/>
      <c r="H587" s="27" t="n"/>
    </row>
    <row r="588" ht="20" customHeight="1">
      <c r="A588" s="26" t="n"/>
      <c r="B588" s="31">
        <f>IFERROR(IF(A588="","",VLOOKUP(A588,DATABASE!$A:$B,2,0)),"")</f>
        <v/>
      </c>
      <c r="C588" s="32">
        <f>IFERROR(IF(A588="","",SUMIF(SAVINGS!$A$3:A587,A588,SAVINGS!$E$3:E587)-SUMIF(WITHDRAWALS!$A:$A,A588,WITHDRAWALS!$E:$E)),"")</f>
        <v/>
      </c>
      <c r="D588" s="33">
        <f>IF(A588="","",TODAY())</f>
        <v/>
      </c>
      <c r="E588" s="29" t="n"/>
      <c r="F588" s="32">
        <f>IFERROR(IF(OR(A588="",E588=""),"",C588+E588),"")</f>
        <v/>
      </c>
      <c r="G588" s="30" t="n"/>
      <c r="H588" s="31" t="n"/>
    </row>
    <row r="589" ht="20" customHeight="1">
      <c r="A589" s="26" t="n"/>
      <c r="B589" s="27">
        <f>IFERROR(IF(A589="","",VLOOKUP(A589,DATABASE!$A:$B,2,0)),"")</f>
        <v/>
      </c>
      <c r="C589" s="20">
        <f>IFERROR(IF(A589="","",SUMIF(SAVINGS!$A$3:A588,A589,SAVINGS!$E$3:E588)-SUMIF(WITHDRAWALS!$A:$A,A589,WITHDRAWALS!$E:$E)),"")</f>
        <v/>
      </c>
      <c r="D589" s="28">
        <f>IF(A589="","",TODAY())</f>
        <v/>
      </c>
      <c r="E589" s="29" t="n"/>
      <c r="F589" s="20">
        <f>IFERROR(IF(OR(A589="",E589=""),"",C589+E589),"")</f>
        <v/>
      </c>
      <c r="G589" s="30" t="n"/>
      <c r="H589" s="27" t="n"/>
    </row>
    <row r="590" ht="20" customHeight="1">
      <c r="A590" s="26" t="n"/>
      <c r="B590" s="31">
        <f>IFERROR(IF(A590="","",VLOOKUP(A590,DATABASE!$A:$B,2,0)),"")</f>
        <v/>
      </c>
      <c r="C590" s="32">
        <f>IFERROR(IF(A590="","",SUMIF(SAVINGS!$A$3:A589,A590,SAVINGS!$E$3:E589)-SUMIF(WITHDRAWALS!$A:$A,A590,WITHDRAWALS!$E:$E)),"")</f>
        <v/>
      </c>
      <c r="D590" s="33">
        <f>IF(A590="","",TODAY())</f>
        <v/>
      </c>
      <c r="E590" s="29" t="n"/>
      <c r="F590" s="32">
        <f>IFERROR(IF(OR(A590="",E590=""),"",C590+E590),"")</f>
        <v/>
      </c>
      <c r="G590" s="30" t="n"/>
      <c r="H590" s="31" t="n"/>
    </row>
    <row r="591" ht="20" customHeight="1">
      <c r="A591" s="26" t="n"/>
      <c r="B591" s="27">
        <f>IFERROR(IF(A591="","",VLOOKUP(A591,DATABASE!$A:$B,2,0)),"")</f>
        <v/>
      </c>
      <c r="C591" s="20">
        <f>IFERROR(IF(A591="","",SUMIF(SAVINGS!$A$3:A590,A591,SAVINGS!$E$3:E590)-SUMIF(WITHDRAWALS!$A:$A,A591,WITHDRAWALS!$E:$E)),"")</f>
        <v/>
      </c>
      <c r="D591" s="28">
        <f>IF(A591="","",TODAY())</f>
        <v/>
      </c>
      <c r="E591" s="29" t="n"/>
      <c r="F591" s="20">
        <f>IFERROR(IF(OR(A591="",E591=""),"",C591+E591),"")</f>
        <v/>
      </c>
      <c r="G591" s="30" t="n"/>
      <c r="H591" s="27" t="n"/>
    </row>
    <row r="592" ht="20" customHeight="1">
      <c r="A592" s="26" t="n"/>
      <c r="B592" s="31">
        <f>IFERROR(IF(A592="","",VLOOKUP(A592,DATABASE!$A:$B,2,0)),"")</f>
        <v/>
      </c>
      <c r="C592" s="32">
        <f>IFERROR(IF(A592="","",SUMIF(SAVINGS!$A$3:A591,A592,SAVINGS!$E$3:E591)-SUMIF(WITHDRAWALS!$A:$A,A592,WITHDRAWALS!$E:$E)),"")</f>
        <v/>
      </c>
      <c r="D592" s="33">
        <f>IF(A592="","",TODAY())</f>
        <v/>
      </c>
      <c r="E592" s="29" t="n"/>
      <c r="F592" s="32">
        <f>IFERROR(IF(OR(A592="",E592=""),"",C592+E592),"")</f>
        <v/>
      </c>
      <c r="G592" s="30" t="n"/>
      <c r="H592" s="31" t="n"/>
    </row>
    <row r="593" ht="20" customHeight="1">
      <c r="A593" s="26" t="n"/>
      <c r="B593" s="27">
        <f>IFERROR(IF(A593="","",VLOOKUP(A593,DATABASE!$A:$B,2,0)),"")</f>
        <v/>
      </c>
      <c r="C593" s="20">
        <f>IFERROR(IF(A593="","",SUMIF(SAVINGS!$A$3:A592,A593,SAVINGS!$E$3:E592)-SUMIF(WITHDRAWALS!$A:$A,A593,WITHDRAWALS!$E:$E)),"")</f>
        <v/>
      </c>
      <c r="D593" s="28">
        <f>IF(A593="","",TODAY())</f>
        <v/>
      </c>
      <c r="E593" s="29" t="n"/>
      <c r="F593" s="20">
        <f>IFERROR(IF(OR(A593="",E593=""),"",C593+E593),"")</f>
        <v/>
      </c>
      <c r="G593" s="30" t="n"/>
      <c r="H593" s="27" t="n"/>
    </row>
    <row r="594" ht="20" customHeight="1">
      <c r="A594" s="26" t="n"/>
      <c r="B594" s="31">
        <f>IFERROR(IF(A594="","",VLOOKUP(A594,DATABASE!$A:$B,2,0)),"")</f>
        <v/>
      </c>
      <c r="C594" s="32">
        <f>IFERROR(IF(A594="","",SUMIF(SAVINGS!$A$3:A593,A594,SAVINGS!$E$3:E593)-SUMIF(WITHDRAWALS!$A:$A,A594,WITHDRAWALS!$E:$E)),"")</f>
        <v/>
      </c>
      <c r="D594" s="33">
        <f>IF(A594="","",TODAY())</f>
        <v/>
      </c>
      <c r="E594" s="29" t="n"/>
      <c r="F594" s="32">
        <f>IFERROR(IF(OR(A594="",E594=""),"",C594+E594),"")</f>
        <v/>
      </c>
      <c r="G594" s="30" t="n"/>
      <c r="H594" s="31" t="n"/>
    </row>
    <row r="595" ht="20" customHeight="1">
      <c r="A595" s="26" t="n"/>
      <c r="B595" s="27">
        <f>IFERROR(IF(A595="","",VLOOKUP(A595,DATABASE!$A:$B,2,0)),"")</f>
        <v/>
      </c>
      <c r="C595" s="20">
        <f>IFERROR(IF(A595="","",SUMIF(SAVINGS!$A$3:A594,A595,SAVINGS!$E$3:E594)-SUMIF(WITHDRAWALS!$A:$A,A595,WITHDRAWALS!$E:$E)),"")</f>
        <v/>
      </c>
      <c r="D595" s="28">
        <f>IF(A595="","",TODAY())</f>
        <v/>
      </c>
      <c r="E595" s="29" t="n"/>
      <c r="F595" s="20">
        <f>IFERROR(IF(OR(A595="",E595=""),"",C595+E595),"")</f>
        <v/>
      </c>
      <c r="G595" s="30" t="n"/>
      <c r="H595" s="27" t="n"/>
    </row>
    <row r="596" ht="20" customHeight="1">
      <c r="A596" s="26" t="n"/>
      <c r="B596" s="31">
        <f>IFERROR(IF(A596="","",VLOOKUP(A596,DATABASE!$A:$B,2,0)),"")</f>
        <v/>
      </c>
      <c r="C596" s="32">
        <f>IFERROR(IF(A596="","",SUMIF(SAVINGS!$A$3:A595,A596,SAVINGS!$E$3:E595)-SUMIF(WITHDRAWALS!$A:$A,A596,WITHDRAWALS!$E:$E)),"")</f>
        <v/>
      </c>
      <c r="D596" s="33">
        <f>IF(A596="","",TODAY())</f>
        <v/>
      </c>
      <c r="E596" s="29" t="n"/>
      <c r="F596" s="32">
        <f>IFERROR(IF(OR(A596="",E596=""),"",C596+E596),"")</f>
        <v/>
      </c>
      <c r="G596" s="30" t="n"/>
      <c r="H596" s="31" t="n"/>
    </row>
    <row r="597" ht="20" customHeight="1">
      <c r="A597" s="26" t="n"/>
      <c r="B597" s="27">
        <f>IFERROR(IF(A597="","",VLOOKUP(A597,DATABASE!$A:$B,2,0)),"")</f>
        <v/>
      </c>
      <c r="C597" s="20">
        <f>IFERROR(IF(A597="","",SUMIF(SAVINGS!$A$3:A596,A597,SAVINGS!$E$3:E596)-SUMIF(WITHDRAWALS!$A:$A,A597,WITHDRAWALS!$E:$E)),"")</f>
        <v/>
      </c>
      <c r="D597" s="28">
        <f>IF(A597="","",TODAY())</f>
        <v/>
      </c>
      <c r="E597" s="29" t="n"/>
      <c r="F597" s="20">
        <f>IFERROR(IF(OR(A597="",E597=""),"",C597+E597),"")</f>
        <v/>
      </c>
      <c r="G597" s="30" t="n"/>
      <c r="H597" s="27" t="n"/>
    </row>
    <row r="598" ht="20" customHeight="1">
      <c r="A598" s="26" t="n"/>
      <c r="B598" s="31">
        <f>IFERROR(IF(A598="","",VLOOKUP(A598,DATABASE!$A:$B,2,0)),"")</f>
        <v/>
      </c>
      <c r="C598" s="32">
        <f>IFERROR(IF(A598="","",SUMIF(SAVINGS!$A$3:A597,A598,SAVINGS!$E$3:E597)-SUMIF(WITHDRAWALS!$A:$A,A598,WITHDRAWALS!$E:$E)),"")</f>
        <v/>
      </c>
      <c r="D598" s="33">
        <f>IF(A598="","",TODAY())</f>
        <v/>
      </c>
      <c r="E598" s="29" t="n"/>
      <c r="F598" s="32">
        <f>IFERROR(IF(OR(A598="",E598=""),"",C598+E598),"")</f>
        <v/>
      </c>
      <c r="G598" s="30" t="n"/>
      <c r="H598" s="31" t="n"/>
    </row>
    <row r="599" ht="20" customHeight="1">
      <c r="A599" s="26" t="n"/>
      <c r="B599" s="27">
        <f>IFERROR(IF(A599="","",VLOOKUP(A599,DATABASE!$A:$B,2,0)),"")</f>
        <v/>
      </c>
      <c r="C599" s="20">
        <f>IFERROR(IF(A599="","",SUMIF(SAVINGS!$A$3:A598,A599,SAVINGS!$E$3:E598)-SUMIF(WITHDRAWALS!$A:$A,A599,WITHDRAWALS!$E:$E)),"")</f>
        <v/>
      </c>
      <c r="D599" s="28">
        <f>IF(A599="","",TODAY())</f>
        <v/>
      </c>
      <c r="E599" s="29" t="n"/>
      <c r="F599" s="20">
        <f>IFERROR(IF(OR(A599="",E599=""),"",C599+E599),"")</f>
        <v/>
      </c>
      <c r="G599" s="30" t="n"/>
      <c r="H599" s="27" t="n"/>
    </row>
    <row r="600" ht="20" customHeight="1">
      <c r="A600" s="26" t="n"/>
      <c r="B600" s="31">
        <f>IFERROR(IF(A600="","",VLOOKUP(A600,DATABASE!$A:$B,2,0)),"")</f>
        <v/>
      </c>
      <c r="C600" s="32">
        <f>IFERROR(IF(A600="","",SUMIF(SAVINGS!$A$3:A599,A600,SAVINGS!$E$3:E599)-SUMIF(WITHDRAWALS!$A:$A,A600,WITHDRAWALS!$E:$E)),"")</f>
        <v/>
      </c>
      <c r="D600" s="33">
        <f>IF(A600="","",TODAY())</f>
        <v/>
      </c>
      <c r="E600" s="29" t="n"/>
      <c r="F600" s="32">
        <f>IFERROR(IF(OR(A600="",E600=""),"",C600+E600),"")</f>
        <v/>
      </c>
      <c r="G600" s="30" t="n"/>
      <c r="H600" s="31" t="n"/>
    </row>
    <row r="601" ht="20" customHeight="1">
      <c r="A601" s="26" t="n"/>
      <c r="B601" s="27">
        <f>IFERROR(IF(A601="","",VLOOKUP(A601,DATABASE!$A:$B,2,0)),"")</f>
        <v/>
      </c>
      <c r="C601" s="20">
        <f>IFERROR(IF(A601="","",SUMIF(SAVINGS!$A$3:A600,A601,SAVINGS!$E$3:E600)-SUMIF(WITHDRAWALS!$A:$A,A601,WITHDRAWALS!$E:$E)),"")</f>
        <v/>
      </c>
      <c r="D601" s="28">
        <f>IF(A601="","",TODAY())</f>
        <v/>
      </c>
      <c r="E601" s="29" t="n"/>
      <c r="F601" s="20">
        <f>IFERROR(IF(OR(A601="",E601=""),"",C601+E601),"")</f>
        <v/>
      </c>
      <c r="G601" s="30" t="n"/>
      <c r="H601" s="27" t="n"/>
    </row>
    <row r="602" ht="20" customHeight="1">
      <c r="A602" s="26" t="n"/>
      <c r="B602" s="31">
        <f>IFERROR(IF(A602="","",VLOOKUP(A602,DATABASE!$A:$B,2,0)),"")</f>
        <v/>
      </c>
      <c r="C602" s="32">
        <f>IFERROR(IF(A602="","",SUMIF(SAVINGS!$A$3:A601,A602,SAVINGS!$E$3:E601)-SUMIF(WITHDRAWALS!$A:$A,A602,WITHDRAWALS!$E:$E)),"")</f>
        <v/>
      </c>
      <c r="D602" s="33">
        <f>IF(A602="","",TODAY())</f>
        <v/>
      </c>
      <c r="E602" s="29" t="n"/>
      <c r="F602" s="32">
        <f>IFERROR(IF(OR(A602="",E602=""),"",C602+E602),"")</f>
        <v/>
      </c>
      <c r="G602" s="30" t="n"/>
      <c r="H602" s="31" t="n"/>
    </row>
    <row r="603" ht="20" customHeight="1">
      <c r="A603" s="26" t="n"/>
      <c r="B603" s="27">
        <f>IFERROR(IF(A603="","",VLOOKUP(A603,DATABASE!$A:$B,2,0)),"")</f>
        <v/>
      </c>
      <c r="C603" s="20">
        <f>IFERROR(IF(A603="","",SUMIF(SAVINGS!$A$3:A602,A603,SAVINGS!$E$3:E602)-SUMIF(WITHDRAWALS!$A:$A,A603,WITHDRAWALS!$E:$E)),"")</f>
        <v/>
      </c>
      <c r="D603" s="28">
        <f>IF(A603="","",TODAY())</f>
        <v/>
      </c>
      <c r="E603" s="29" t="n"/>
      <c r="F603" s="20">
        <f>IFERROR(IF(OR(A603="",E603=""),"",C603+E603),"")</f>
        <v/>
      </c>
      <c r="G603" s="30" t="n"/>
      <c r="H603" s="27" t="n"/>
    </row>
    <row r="604" ht="20" customHeight="1">
      <c r="A604" s="26" t="n"/>
      <c r="B604" s="31">
        <f>IFERROR(IF(A604="","",VLOOKUP(A604,DATABASE!$A:$B,2,0)),"")</f>
        <v/>
      </c>
      <c r="C604" s="32">
        <f>IFERROR(IF(A604="","",SUMIF(SAVINGS!$A$3:A603,A604,SAVINGS!$E$3:E603)-SUMIF(WITHDRAWALS!$A:$A,A604,WITHDRAWALS!$E:$E)),"")</f>
        <v/>
      </c>
      <c r="D604" s="33">
        <f>IF(A604="","",TODAY())</f>
        <v/>
      </c>
      <c r="E604" s="29" t="n"/>
      <c r="F604" s="32">
        <f>IFERROR(IF(OR(A604="",E604=""),"",C604+E604),"")</f>
        <v/>
      </c>
      <c r="G604" s="30" t="n"/>
      <c r="H604" s="31" t="n"/>
    </row>
    <row r="605" ht="20" customHeight="1">
      <c r="A605" s="26" t="n"/>
      <c r="B605" s="27">
        <f>IFERROR(IF(A605="","",VLOOKUP(A605,DATABASE!$A:$B,2,0)),"")</f>
        <v/>
      </c>
      <c r="C605" s="20">
        <f>IFERROR(IF(A605="","",SUMIF(SAVINGS!$A$3:A604,A605,SAVINGS!$E$3:E604)-SUMIF(WITHDRAWALS!$A:$A,A605,WITHDRAWALS!$E:$E)),"")</f>
        <v/>
      </c>
      <c r="D605" s="28">
        <f>IF(A605="","",TODAY())</f>
        <v/>
      </c>
      <c r="E605" s="29" t="n"/>
      <c r="F605" s="20">
        <f>IFERROR(IF(OR(A605="",E605=""),"",C605+E605),"")</f>
        <v/>
      </c>
      <c r="G605" s="30" t="n"/>
      <c r="H605" s="27" t="n"/>
    </row>
    <row r="606" ht="20" customHeight="1">
      <c r="A606" s="26" t="n"/>
      <c r="B606" s="31">
        <f>IFERROR(IF(A606="","",VLOOKUP(A606,DATABASE!$A:$B,2,0)),"")</f>
        <v/>
      </c>
      <c r="C606" s="32">
        <f>IFERROR(IF(A606="","",SUMIF(SAVINGS!$A$3:A605,A606,SAVINGS!$E$3:E605)-SUMIF(WITHDRAWALS!$A:$A,A606,WITHDRAWALS!$E:$E)),"")</f>
        <v/>
      </c>
      <c r="D606" s="33">
        <f>IF(A606="","",TODAY())</f>
        <v/>
      </c>
      <c r="E606" s="29" t="n"/>
      <c r="F606" s="32">
        <f>IFERROR(IF(OR(A606="",E606=""),"",C606+E606),"")</f>
        <v/>
      </c>
      <c r="G606" s="30" t="n"/>
      <c r="H606" s="31" t="n"/>
    </row>
    <row r="607" ht="20" customHeight="1">
      <c r="A607" s="26" t="n"/>
      <c r="B607" s="27">
        <f>IFERROR(IF(A607="","",VLOOKUP(A607,DATABASE!$A:$B,2,0)),"")</f>
        <v/>
      </c>
      <c r="C607" s="20">
        <f>IFERROR(IF(A607="","",SUMIF(SAVINGS!$A$3:A606,A607,SAVINGS!$E$3:E606)-SUMIF(WITHDRAWALS!$A:$A,A607,WITHDRAWALS!$E:$E)),"")</f>
        <v/>
      </c>
      <c r="D607" s="28">
        <f>IF(A607="","",TODAY())</f>
        <v/>
      </c>
      <c r="E607" s="29" t="n"/>
      <c r="F607" s="20">
        <f>IFERROR(IF(OR(A607="",E607=""),"",C607+E607),"")</f>
        <v/>
      </c>
      <c r="G607" s="30" t="n"/>
      <c r="H607" s="27" t="n"/>
    </row>
    <row r="608" ht="20" customHeight="1">
      <c r="A608" s="26" t="n"/>
      <c r="B608" s="31">
        <f>IFERROR(IF(A608="","",VLOOKUP(A608,DATABASE!$A:$B,2,0)),"")</f>
        <v/>
      </c>
      <c r="C608" s="32">
        <f>IFERROR(IF(A608="","",SUMIF(SAVINGS!$A$3:A607,A608,SAVINGS!$E$3:E607)-SUMIF(WITHDRAWALS!$A:$A,A608,WITHDRAWALS!$E:$E)),"")</f>
        <v/>
      </c>
      <c r="D608" s="33">
        <f>IF(A608="","",TODAY())</f>
        <v/>
      </c>
      <c r="E608" s="29" t="n"/>
      <c r="F608" s="32">
        <f>IFERROR(IF(OR(A608="",E608=""),"",C608+E608),"")</f>
        <v/>
      </c>
      <c r="G608" s="30" t="n"/>
      <c r="H608" s="31" t="n"/>
    </row>
    <row r="609" ht="20" customHeight="1">
      <c r="A609" s="26" t="n"/>
      <c r="B609" s="27">
        <f>IFERROR(IF(A609="","",VLOOKUP(A609,DATABASE!$A:$B,2,0)),"")</f>
        <v/>
      </c>
      <c r="C609" s="20">
        <f>IFERROR(IF(A609="","",SUMIF(SAVINGS!$A$3:A608,A609,SAVINGS!$E$3:E608)-SUMIF(WITHDRAWALS!$A:$A,A609,WITHDRAWALS!$E:$E)),"")</f>
        <v/>
      </c>
      <c r="D609" s="28">
        <f>IF(A609="","",TODAY())</f>
        <v/>
      </c>
      <c r="E609" s="29" t="n"/>
      <c r="F609" s="20">
        <f>IFERROR(IF(OR(A609="",E609=""),"",C609+E609),"")</f>
        <v/>
      </c>
      <c r="G609" s="30" t="n"/>
      <c r="H609" s="27" t="n"/>
    </row>
    <row r="610" ht="20" customHeight="1">
      <c r="A610" s="26" t="n"/>
      <c r="B610" s="31">
        <f>IFERROR(IF(A610="","",VLOOKUP(A610,DATABASE!$A:$B,2,0)),"")</f>
        <v/>
      </c>
      <c r="C610" s="32">
        <f>IFERROR(IF(A610="","",SUMIF(SAVINGS!$A$3:A609,A610,SAVINGS!$E$3:E609)-SUMIF(WITHDRAWALS!$A:$A,A610,WITHDRAWALS!$E:$E)),"")</f>
        <v/>
      </c>
      <c r="D610" s="33">
        <f>IF(A610="","",TODAY())</f>
        <v/>
      </c>
      <c r="E610" s="29" t="n"/>
      <c r="F610" s="32">
        <f>IFERROR(IF(OR(A610="",E610=""),"",C610+E610),"")</f>
        <v/>
      </c>
      <c r="G610" s="30" t="n"/>
      <c r="H610" s="31" t="n"/>
    </row>
    <row r="611" ht="20" customHeight="1">
      <c r="A611" s="26" t="n"/>
      <c r="B611" s="27">
        <f>IFERROR(IF(A611="","",VLOOKUP(A611,DATABASE!$A:$B,2,0)),"")</f>
        <v/>
      </c>
      <c r="C611" s="20">
        <f>IFERROR(IF(A611="","",SUMIF(SAVINGS!$A$3:A610,A611,SAVINGS!$E$3:E610)-SUMIF(WITHDRAWALS!$A:$A,A611,WITHDRAWALS!$E:$E)),"")</f>
        <v/>
      </c>
      <c r="D611" s="28">
        <f>IF(A611="","",TODAY())</f>
        <v/>
      </c>
      <c r="E611" s="29" t="n"/>
      <c r="F611" s="20">
        <f>IFERROR(IF(OR(A611="",E611=""),"",C611+E611),"")</f>
        <v/>
      </c>
      <c r="G611" s="30" t="n"/>
      <c r="H611" s="27" t="n"/>
    </row>
    <row r="612" ht="20" customHeight="1">
      <c r="A612" s="26" t="n"/>
      <c r="B612" s="31">
        <f>IFERROR(IF(A612="","",VLOOKUP(A612,DATABASE!$A:$B,2,0)),"")</f>
        <v/>
      </c>
      <c r="C612" s="32">
        <f>IFERROR(IF(A612="","",SUMIF(SAVINGS!$A$3:A611,A612,SAVINGS!$E$3:E611)-SUMIF(WITHDRAWALS!$A:$A,A612,WITHDRAWALS!$E:$E)),"")</f>
        <v/>
      </c>
      <c r="D612" s="33">
        <f>IF(A612="","",TODAY())</f>
        <v/>
      </c>
      <c r="E612" s="29" t="n"/>
      <c r="F612" s="32">
        <f>IFERROR(IF(OR(A612="",E612=""),"",C612+E612),"")</f>
        <v/>
      </c>
      <c r="G612" s="30" t="n"/>
      <c r="H612" s="31" t="n"/>
    </row>
    <row r="613" ht="20" customHeight="1">
      <c r="A613" s="26" t="n"/>
      <c r="B613" s="27">
        <f>IFERROR(IF(A613="","",VLOOKUP(A613,DATABASE!$A:$B,2,0)),"")</f>
        <v/>
      </c>
      <c r="C613" s="20">
        <f>IFERROR(IF(A613="","",SUMIF(SAVINGS!$A$3:A612,A613,SAVINGS!$E$3:E612)-SUMIF(WITHDRAWALS!$A:$A,A613,WITHDRAWALS!$E:$E)),"")</f>
        <v/>
      </c>
      <c r="D613" s="28">
        <f>IF(A613="","",TODAY())</f>
        <v/>
      </c>
      <c r="E613" s="29" t="n"/>
      <c r="F613" s="20">
        <f>IFERROR(IF(OR(A613="",E613=""),"",C613+E613),"")</f>
        <v/>
      </c>
      <c r="G613" s="30" t="n"/>
      <c r="H613" s="27" t="n"/>
    </row>
    <row r="614" ht="20" customHeight="1">
      <c r="A614" s="26" t="n"/>
      <c r="B614" s="31">
        <f>IFERROR(IF(A614="","",VLOOKUP(A614,DATABASE!$A:$B,2,0)),"")</f>
        <v/>
      </c>
      <c r="C614" s="32">
        <f>IFERROR(IF(A614="","",SUMIF(SAVINGS!$A$3:A613,A614,SAVINGS!$E$3:E613)-SUMIF(WITHDRAWALS!$A:$A,A614,WITHDRAWALS!$E:$E)),"")</f>
        <v/>
      </c>
      <c r="D614" s="33">
        <f>IF(A614="","",TODAY())</f>
        <v/>
      </c>
      <c r="E614" s="29" t="n"/>
      <c r="F614" s="32">
        <f>IFERROR(IF(OR(A614="",E614=""),"",C614+E614),"")</f>
        <v/>
      </c>
      <c r="G614" s="30" t="n"/>
      <c r="H614" s="31" t="n"/>
    </row>
    <row r="615" ht="20" customHeight="1">
      <c r="A615" s="26" t="n"/>
      <c r="B615" s="27">
        <f>IFERROR(IF(A615="","",VLOOKUP(A615,DATABASE!$A:$B,2,0)),"")</f>
        <v/>
      </c>
      <c r="C615" s="20">
        <f>IFERROR(IF(A615="","",SUMIF(SAVINGS!$A$3:A614,A615,SAVINGS!$E$3:E614)-SUMIF(WITHDRAWALS!$A:$A,A615,WITHDRAWALS!$E:$E)),"")</f>
        <v/>
      </c>
      <c r="D615" s="28">
        <f>IF(A615="","",TODAY())</f>
        <v/>
      </c>
      <c r="E615" s="29" t="n"/>
      <c r="F615" s="20">
        <f>IFERROR(IF(OR(A615="",E615=""),"",C615+E615),"")</f>
        <v/>
      </c>
      <c r="G615" s="30" t="n"/>
      <c r="H615" s="27" t="n"/>
    </row>
    <row r="616" ht="20" customHeight="1">
      <c r="A616" s="26" t="n"/>
      <c r="B616" s="31">
        <f>IFERROR(IF(A616="","",VLOOKUP(A616,DATABASE!$A:$B,2,0)),"")</f>
        <v/>
      </c>
      <c r="C616" s="32">
        <f>IFERROR(IF(A616="","",SUMIF(SAVINGS!$A$3:A615,A616,SAVINGS!$E$3:E615)-SUMIF(WITHDRAWALS!$A:$A,A616,WITHDRAWALS!$E:$E)),"")</f>
        <v/>
      </c>
      <c r="D616" s="33">
        <f>IF(A616="","",TODAY())</f>
        <v/>
      </c>
      <c r="E616" s="29" t="n"/>
      <c r="F616" s="32">
        <f>IFERROR(IF(OR(A616="",E616=""),"",C616+E616),"")</f>
        <v/>
      </c>
      <c r="G616" s="30" t="n"/>
      <c r="H616" s="31" t="n"/>
    </row>
    <row r="617" ht="20" customHeight="1">
      <c r="A617" s="26" t="n"/>
      <c r="B617" s="27">
        <f>IFERROR(IF(A617="","",VLOOKUP(A617,DATABASE!$A:$B,2,0)),"")</f>
        <v/>
      </c>
      <c r="C617" s="20">
        <f>IFERROR(IF(A617="","",SUMIF(SAVINGS!$A$3:A616,A617,SAVINGS!$E$3:E616)-SUMIF(WITHDRAWALS!$A:$A,A617,WITHDRAWALS!$E:$E)),"")</f>
        <v/>
      </c>
      <c r="D617" s="28">
        <f>IF(A617="","",TODAY())</f>
        <v/>
      </c>
      <c r="E617" s="29" t="n"/>
      <c r="F617" s="20">
        <f>IFERROR(IF(OR(A617="",E617=""),"",C617+E617),"")</f>
        <v/>
      </c>
      <c r="G617" s="30" t="n"/>
      <c r="H617" s="27" t="n"/>
    </row>
    <row r="618" ht="20" customHeight="1">
      <c r="A618" s="26" t="n"/>
      <c r="B618" s="31">
        <f>IFERROR(IF(A618="","",VLOOKUP(A618,DATABASE!$A:$B,2,0)),"")</f>
        <v/>
      </c>
      <c r="C618" s="32">
        <f>IFERROR(IF(A618="","",SUMIF(SAVINGS!$A$3:A617,A618,SAVINGS!$E$3:E617)-SUMIF(WITHDRAWALS!$A:$A,A618,WITHDRAWALS!$E:$E)),"")</f>
        <v/>
      </c>
      <c r="D618" s="33">
        <f>IF(A618="","",TODAY())</f>
        <v/>
      </c>
      <c r="E618" s="29" t="n"/>
      <c r="F618" s="32">
        <f>IFERROR(IF(OR(A618="",E618=""),"",C618+E618),"")</f>
        <v/>
      </c>
      <c r="G618" s="30" t="n"/>
      <c r="H618" s="31" t="n"/>
    </row>
    <row r="619" ht="20" customHeight="1">
      <c r="A619" s="26" t="n"/>
      <c r="B619" s="27">
        <f>IFERROR(IF(A619="","",VLOOKUP(A619,DATABASE!$A:$B,2,0)),"")</f>
        <v/>
      </c>
      <c r="C619" s="20">
        <f>IFERROR(IF(A619="","",SUMIF(SAVINGS!$A$3:A618,A619,SAVINGS!$E$3:E618)-SUMIF(WITHDRAWALS!$A:$A,A619,WITHDRAWALS!$E:$E)),"")</f>
        <v/>
      </c>
      <c r="D619" s="28">
        <f>IF(A619="","",TODAY())</f>
        <v/>
      </c>
      <c r="E619" s="29" t="n"/>
      <c r="F619" s="20">
        <f>IFERROR(IF(OR(A619="",E619=""),"",C619+E619),"")</f>
        <v/>
      </c>
      <c r="G619" s="30" t="n"/>
      <c r="H619" s="27" t="n"/>
    </row>
    <row r="620" ht="20" customHeight="1">
      <c r="A620" s="26" t="n"/>
      <c r="B620" s="31">
        <f>IFERROR(IF(A620="","",VLOOKUP(A620,DATABASE!$A:$B,2,0)),"")</f>
        <v/>
      </c>
      <c r="C620" s="32">
        <f>IFERROR(IF(A620="","",SUMIF(SAVINGS!$A$3:A619,A620,SAVINGS!$E$3:E619)-SUMIF(WITHDRAWALS!$A:$A,A620,WITHDRAWALS!$E:$E)),"")</f>
        <v/>
      </c>
      <c r="D620" s="33">
        <f>IF(A620="","",TODAY())</f>
        <v/>
      </c>
      <c r="E620" s="29" t="n"/>
      <c r="F620" s="32">
        <f>IFERROR(IF(OR(A620="",E620=""),"",C620+E620),"")</f>
        <v/>
      </c>
      <c r="G620" s="30" t="n"/>
      <c r="H620" s="31" t="n"/>
    </row>
    <row r="621" ht="20" customHeight="1">
      <c r="A621" s="26" t="n"/>
      <c r="B621" s="27">
        <f>IFERROR(IF(A621="","",VLOOKUP(A621,DATABASE!$A:$B,2,0)),"")</f>
        <v/>
      </c>
      <c r="C621" s="20">
        <f>IFERROR(IF(A621="","",SUMIF(SAVINGS!$A$3:A620,A621,SAVINGS!$E$3:E620)-SUMIF(WITHDRAWALS!$A:$A,A621,WITHDRAWALS!$E:$E)),"")</f>
        <v/>
      </c>
      <c r="D621" s="28">
        <f>IF(A621="","",TODAY())</f>
        <v/>
      </c>
      <c r="E621" s="29" t="n"/>
      <c r="F621" s="20">
        <f>IFERROR(IF(OR(A621="",E621=""),"",C621+E621),"")</f>
        <v/>
      </c>
      <c r="G621" s="30" t="n"/>
      <c r="H621" s="27" t="n"/>
    </row>
    <row r="622" ht="20" customHeight="1">
      <c r="A622" s="26" t="n"/>
      <c r="B622" s="31">
        <f>IFERROR(IF(A622="","",VLOOKUP(A622,DATABASE!$A:$B,2,0)),"")</f>
        <v/>
      </c>
      <c r="C622" s="32">
        <f>IFERROR(IF(A622="","",SUMIF(SAVINGS!$A$3:A621,A622,SAVINGS!$E$3:E621)-SUMIF(WITHDRAWALS!$A:$A,A622,WITHDRAWALS!$E:$E)),"")</f>
        <v/>
      </c>
      <c r="D622" s="33">
        <f>IF(A622="","",TODAY())</f>
        <v/>
      </c>
      <c r="E622" s="29" t="n"/>
      <c r="F622" s="32">
        <f>IFERROR(IF(OR(A622="",E622=""),"",C622+E622),"")</f>
        <v/>
      </c>
      <c r="G622" s="30" t="n"/>
      <c r="H622" s="31" t="n"/>
    </row>
    <row r="623" ht="20" customHeight="1">
      <c r="A623" s="26" t="n"/>
      <c r="B623" s="27">
        <f>IFERROR(IF(A623="","",VLOOKUP(A623,DATABASE!$A:$B,2,0)),"")</f>
        <v/>
      </c>
      <c r="C623" s="20">
        <f>IFERROR(IF(A623="","",SUMIF(SAVINGS!$A$3:A622,A623,SAVINGS!$E$3:E622)-SUMIF(WITHDRAWALS!$A:$A,A623,WITHDRAWALS!$E:$E)),"")</f>
        <v/>
      </c>
      <c r="D623" s="28">
        <f>IF(A623="","",TODAY())</f>
        <v/>
      </c>
      <c r="E623" s="29" t="n"/>
      <c r="F623" s="20">
        <f>IFERROR(IF(OR(A623="",E623=""),"",C623+E623),"")</f>
        <v/>
      </c>
      <c r="G623" s="30" t="n"/>
      <c r="H623" s="27" t="n"/>
    </row>
    <row r="624" ht="20" customHeight="1">
      <c r="A624" s="26" t="n"/>
      <c r="B624" s="31">
        <f>IFERROR(IF(A624="","",VLOOKUP(A624,DATABASE!$A:$B,2,0)),"")</f>
        <v/>
      </c>
      <c r="C624" s="32">
        <f>IFERROR(IF(A624="","",SUMIF(SAVINGS!$A$3:A623,A624,SAVINGS!$E$3:E623)-SUMIF(WITHDRAWALS!$A:$A,A624,WITHDRAWALS!$E:$E)),"")</f>
        <v/>
      </c>
      <c r="D624" s="33">
        <f>IF(A624="","",TODAY())</f>
        <v/>
      </c>
      <c r="E624" s="29" t="n"/>
      <c r="F624" s="32">
        <f>IFERROR(IF(OR(A624="",E624=""),"",C624+E624),"")</f>
        <v/>
      </c>
      <c r="G624" s="30" t="n"/>
      <c r="H624" s="31" t="n"/>
    </row>
    <row r="625" ht="20" customHeight="1">
      <c r="A625" s="26" t="n"/>
      <c r="B625" s="27">
        <f>IFERROR(IF(A625="","",VLOOKUP(A625,DATABASE!$A:$B,2,0)),"")</f>
        <v/>
      </c>
      <c r="C625" s="20">
        <f>IFERROR(IF(A625="","",SUMIF(SAVINGS!$A$3:A624,A625,SAVINGS!$E$3:E624)-SUMIF(WITHDRAWALS!$A:$A,A625,WITHDRAWALS!$E:$E)),"")</f>
        <v/>
      </c>
      <c r="D625" s="28">
        <f>IF(A625="","",TODAY())</f>
        <v/>
      </c>
      <c r="E625" s="29" t="n"/>
      <c r="F625" s="20">
        <f>IFERROR(IF(OR(A625="",E625=""),"",C625+E625),"")</f>
        <v/>
      </c>
      <c r="G625" s="30" t="n"/>
      <c r="H625" s="27" t="n"/>
    </row>
    <row r="626" ht="20" customHeight="1">
      <c r="A626" s="26" t="n"/>
      <c r="B626" s="31">
        <f>IFERROR(IF(A626="","",VLOOKUP(A626,DATABASE!$A:$B,2,0)),"")</f>
        <v/>
      </c>
      <c r="C626" s="32">
        <f>IFERROR(IF(A626="","",SUMIF(SAVINGS!$A$3:A625,A626,SAVINGS!$E$3:E625)-SUMIF(WITHDRAWALS!$A:$A,A626,WITHDRAWALS!$E:$E)),"")</f>
        <v/>
      </c>
      <c r="D626" s="33">
        <f>IF(A626="","",TODAY())</f>
        <v/>
      </c>
      <c r="E626" s="29" t="n"/>
      <c r="F626" s="32">
        <f>IFERROR(IF(OR(A626="",E626=""),"",C626+E626),"")</f>
        <v/>
      </c>
      <c r="G626" s="30" t="n"/>
      <c r="H626" s="31" t="n"/>
    </row>
    <row r="627" ht="20" customHeight="1">
      <c r="A627" s="26" t="n"/>
      <c r="B627" s="27">
        <f>IFERROR(IF(A627="","",VLOOKUP(A627,DATABASE!$A:$B,2,0)),"")</f>
        <v/>
      </c>
      <c r="C627" s="20">
        <f>IFERROR(IF(A627="","",SUMIF(SAVINGS!$A$3:A626,A627,SAVINGS!$E$3:E626)-SUMIF(WITHDRAWALS!$A:$A,A627,WITHDRAWALS!$E:$E)),"")</f>
        <v/>
      </c>
      <c r="D627" s="28">
        <f>IF(A627="","",TODAY())</f>
        <v/>
      </c>
      <c r="E627" s="29" t="n"/>
      <c r="F627" s="20">
        <f>IFERROR(IF(OR(A627="",E627=""),"",C627+E627),"")</f>
        <v/>
      </c>
      <c r="G627" s="30" t="n"/>
      <c r="H627" s="27" t="n"/>
    </row>
    <row r="628" ht="20" customHeight="1">
      <c r="A628" s="26" t="n"/>
      <c r="B628" s="31">
        <f>IFERROR(IF(A628="","",VLOOKUP(A628,DATABASE!$A:$B,2,0)),"")</f>
        <v/>
      </c>
      <c r="C628" s="32">
        <f>IFERROR(IF(A628="","",SUMIF(SAVINGS!$A$3:A627,A628,SAVINGS!$E$3:E627)-SUMIF(WITHDRAWALS!$A:$A,A628,WITHDRAWALS!$E:$E)),"")</f>
        <v/>
      </c>
      <c r="D628" s="33">
        <f>IF(A628="","",TODAY())</f>
        <v/>
      </c>
      <c r="E628" s="29" t="n"/>
      <c r="F628" s="32">
        <f>IFERROR(IF(OR(A628="",E628=""),"",C628+E628),"")</f>
        <v/>
      </c>
      <c r="G628" s="30" t="n"/>
      <c r="H628" s="31" t="n"/>
    </row>
    <row r="629" ht="20" customHeight="1">
      <c r="A629" s="26" t="n"/>
      <c r="B629" s="27">
        <f>IFERROR(IF(A629="","",VLOOKUP(A629,DATABASE!$A:$B,2,0)),"")</f>
        <v/>
      </c>
      <c r="C629" s="20">
        <f>IFERROR(IF(A629="","",SUMIF(SAVINGS!$A$3:A628,A629,SAVINGS!$E$3:E628)-SUMIF(WITHDRAWALS!$A:$A,A629,WITHDRAWALS!$E:$E)),"")</f>
        <v/>
      </c>
      <c r="D629" s="28">
        <f>IF(A629="","",TODAY())</f>
        <v/>
      </c>
      <c r="E629" s="29" t="n"/>
      <c r="F629" s="20">
        <f>IFERROR(IF(OR(A629="",E629=""),"",C629+E629),"")</f>
        <v/>
      </c>
      <c r="G629" s="30" t="n"/>
      <c r="H629" s="27" t="n"/>
    </row>
    <row r="630" ht="20" customHeight="1">
      <c r="A630" s="26" t="n"/>
      <c r="B630" s="31">
        <f>IFERROR(IF(A630="","",VLOOKUP(A630,DATABASE!$A:$B,2,0)),"")</f>
        <v/>
      </c>
      <c r="C630" s="32">
        <f>IFERROR(IF(A630="","",SUMIF(SAVINGS!$A$3:A629,A630,SAVINGS!$E$3:E629)-SUMIF(WITHDRAWALS!$A:$A,A630,WITHDRAWALS!$E:$E)),"")</f>
        <v/>
      </c>
      <c r="D630" s="33">
        <f>IF(A630="","",TODAY())</f>
        <v/>
      </c>
      <c r="E630" s="29" t="n"/>
      <c r="F630" s="32">
        <f>IFERROR(IF(OR(A630="",E630=""),"",C630+E630),"")</f>
        <v/>
      </c>
      <c r="G630" s="30" t="n"/>
      <c r="H630" s="31" t="n"/>
    </row>
    <row r="631" ht="20" customHeight="1">
      <c r="A631" s="26" t="n"/>
      <c r="B631" s="27">
        <f>IFERROR(IF(A631="","",VLOOKUP(A631,DATABASE!$A:$B,2,0)),"")</f>
        <v/>
      </c>
      <c r="C631" s="20">
        <f>IFERROR(IF(A631="","",SUMIF(SAVINGS!$A$3:A630,A631,SAVINGS!$E$3:E630)-SUMIF(WITHDRAWALS!$A:$A,A631,WITHDRAWALS!$E:$E)),"")</f>
        <v/>
      </c>
      <c r="D631" s="28">
        <f>IF(A631="","",TODAY())</f>
        <v/>
      </c>
      <c r="E631" s="29" t="n"/>
      <c r="F631" s="20">
        <f>IFERROR(IF(OR(A631="",E631=""),"",C631+E631),"")</f>
        <v/>
      </c>
      <c r="G631" s="30" t="n"/>
      <c r="H631" s="27" t="n"/>
    </row>
    <row r="632" ht="20" customHeight="1">
      <c r="A632" s="26" t="n"/>
      <c r="B632" s="31">
        <f>IFERROR(IF(A632="","",VLOOKUP(A632,DATABASE!$A:$B,2,0)),"")</f>
        <v/>
      </c>
      <c r="C632" s="32">
        <f>IFERROR(IF(A632="","",SUMIF(SAVINGS!$A$3:A631,A632,SAVINGS!$E$3:E631)-SUMIF(WITHDRAWALS!$A:$A,A632,WITHDRAWALS!$E:$E)),"")</f>
        <v/>
      </c>
      <c r="D632" s="33">
        <f>IF(A632="","",TODAY())</f>
        <v/>
      </c>
      <c r="E632" s="29" t="n"/>
      <c r="F632" s="32">
        <f>IFERROR(IF(OR(A632="",E632=""),"",C632+E632),"")</f>
        <v/>
      </c>
      <c r="G632" s="30" t="n"/>
      <c r="H632" s="31" t="n"/>
    </row>
    <row r="633" ht="20" customHeight="1">
      <c r="A633" s="26" t="n"/>
      <c r="B633" s="27">
        <f>IFERROR(IF(A633="","",VLOOKUP(A633,DATABASE!$A:$B,2,0)),"")</f>
        <v/>
      </c>
      <c r="C633" s="20">
        <f>IFERROR(IF(A633="","",SUMIF(SAVINGS!$A$3:A632,A633,SAVINGS!$E$3:E632)-SUMIF(WITHDRAWALS!$A:$A,A633,WITHDRAWALS!$E:$E)),"")</f>
        <v/>
      </c>
      <c r="D633" s="28">
        <f>IF(A633="","",TODAY())</f>
        <v/>
      </c>
      <c r="E633" s="29" t="n"/>
      <c r="F633" s="20">
        <f>IFERROR(IF(OR(A633="",E633=""),"",C633+E633),"")</f>
        <v/>
      </c>
      <c r="G633" s="30" t="n"/>
      <c r="H633" s="27" t="n"/>
    </row>
    <row r="634" ht="20" customHeight="1">
      <c r="A634" s="26" t="n"/>
      <c r="B634" s="31">
        <f>IFERROR(IF(A634="","",VLOOKUP(A634,DATABASE!$A:$B,2,0)),"")</f>
        <v/>
      </c>
      <c r="C634" s="32">
        <f>IFERROR(IF(A634="","",SUMIF(SAVINGS!$A$3:A633,A634,SAVINGS!$E$3:E633)-SUMIF(WITHDRAWALS!$A:$A,A634,WITHDRAWALS!$E:$E)),"")</f>
        <v/>
      </c>
      <c r="D634" s="33">
        <f>IF(A634="","",TODAY())</f>
        <v/>
      </c>
      <c r="E634" s="29" t="n"/>
      <c r="F634" s="32">
        <f>IFERROR(IF(OR(A634="",E634=""),"",C634+E634),"")</f>
        <v/>
      </c>
      <c r="G634" s="30" t="n"/>
      <c r="H634" s="31" t="n"/>
    </row>
    <row r="635" ht="20" customHeight="1">
      <c r="A635" s="26" t="n"/>
      <c r="B635" s="27">
        <f>IFERROR(IF(A635="","",VLOOKUP(A635,DATABASE!$A:$B,2,0)),"")</f>
        <v/>
      </c>
      <c r="C635" s="20">
        <f>IFERROR(IF(A635="","",SUMIF(SAVINGS!$A$3:A634,A635,SAVINGS!$E$3:E634)-SUMIF(WITHDRAWALS!$A:$A,A635,WITHDRAWALS!$E:$E)),"")</f>
        <v/>
      </c>
      <c r="D635" s="28">
        <f>IF(A635="","",TODAY())</f>
        <v/>
      </c>
      <c r="E635" s="29" t="n"/>
      <c r="F635" s="20">
        <f>IFERROR(IF(OR(A635="",E635=""),"",C635+E635),"")</f>
        <v/>
      </c>
      <c r="G635" s="30" t="n"/>
      <c r="H635" s="27" t="n"/>
    </row>
    <row r="636" ht="20" customHeight="1">
      <c r="A636" s="26" t="n"/>
      <c r="B636" s="31">
        <f>IFERROR(IF(A636="","",VLOOKUP(A636,DATABASE!$A:$B,2,0)),"")</f>
        <v/>
      </c>
      <c r="C636" s="32">
        <f>IFERROR(IF(A636="","",SUMIF(SAVINGS!$A$3:A635,A636,SAVINGS!$E$3:E635)-SUMIF(WITHDRAWALS!$A:$A,A636,WITHDRAWALS!$E:$E)),"")</f>
        <v/>
      </c>
      <c r="D636" s="33">
        <f>IF(A636="","",TODAY())</f>
        <v/>
      </c>
      <c r="E636" s="29" t="n"/>
      <c r="F636" s="32">
        <f>IFERROR(IF(OR(A636="",E636=""),"",C636+E636),"")</f>
        <v/>
      </c>
      <c r="G636" s="30" t="n"/>
      <c r="H636" s="31" t="n"/>
    </row>
    <row r="637" ht="20" customHeight="1">
      <c r="A637" s="26" t="n"/>
      <c r="B637" s="27">
        <f>IFERROR(IF(A637="","",VLOOKUP(A637,DATABASE!$A:$B,2,0)),"")</f>
        <v/>
      </c>
      <c r="C637" s="20">
        <f>IFERROR(IF(A637="","",SUMIF(SAVINGS!$A$3:A636,A637,SAVINGS!$E$3:E636)-SUMIF(WITHDRAWALS!$A:$A,A637,WITHDRAWALS!$E:$E)),"")</f>
        <v/>
      </c>
      <c r="D637" s="28">
        <f>IF(A637="","",TODAY())</f>
        <v/>
      </c>
      <c r="E637" s="29" t="n"/>
      <c r="F637" s="20">
        <f>IFERROR(IF(OR(A637="",E637=""),"",C637+E637),"")</f>
        <v/>
      </c>
      <c r="G637" s="30" t="n"/>
      <c r="H637" s="27" t="n"/>
    </row>
    <row r="638" ht="20" customHeight="1">
      <c r="A638" s="26" t="n"/>
      <c r="B638" s="31">
        <f>IFERROR(IF(A638="","",VLOOKUP(A638,DATABASE!$A:$B,2,0)),"")</f>
        <v/>
      </c>
      <c r="C638" s="32">
        <f>IFERROR(IF(A638="","",SUMIF(SAVINGS!$A$3:A637,A638,SAVINGS!$E$3:E637)-SUMIF(WITHDRAWALS!$A:$A,A638,WITHDRAWALS!$E:$E)),"")</f>
        <v/>
      </c>
      <c r="D638" s="33">
        <f>IF(A638="","",TODAY())</f>
        <v/>
      </c>
      <c r="E638" s="29" t="n"/>
      <c r="F638" s="32">
        <f>IFERROR(IF(OR(A638="",E638=""),"",C638+E638),"")</f>
        <v/>
      </c>
      <c r="G638" s="30" t="n"/>
      <c r="H638" s="31" t="n"/>
    </row>
    <row r="639" ht="20" customHeight="1">
      <c r="A639" s="26" t="n"/>
      <c r="B639" s="27">
        <f>IFERROR(IF(A639="","",VLOOKUP(A639,DATABASE!$A:$B,2,0)),"")</f>
        <v/>
      </c>
      <c r="C639" s="20">
        <f>IFERROR(IF(A639="","",SUMIF(SAVINGS!$A$3:A638,A639,SAVINGS!$E$3:E638)-SUMIF(WITHDRAWALS!$A:$A,A639,WITHDRAWALS!$E:$E)),"")</f>
        <v/>
      </c>
      <c r="D639" s="28">
        <f>IF(A639="","",TODAY())</f>
        <v/>
      </c>
      <c r="E639" s="29" t="n"/>
      <c r="F639" s="20">
        <f>IFERROR(IF(OR(A639="",E639=""),"",C639+E639),"")</f>
        <v/>
      </c>
      <c r="G639" s="30" t="n"/>
      <c r="H639" s="27" t="n"/>
    </row>
    <row r="640" ht="20" customHeight="1">
      <c r="A640" s="26" t="n"/>
      <c r="B640" s="31">
        <f>IFERROR(IF(A640="","",VLOOKUP(A640,DATABASE!$A:$B,2,0)),"")</f>
        <v/>
      </c>
      <c r="C640" s="32">
        <f>IFERROR(IF(A640="","",SUMIF(SAVINGS!$A$3:A639,A640,SAVINGS!$E$3:E639)-SUMIF(WITHDRAWALS!$A:$A,A640,WITHDRAWALS!$E:$E)),"")</f>
        <v/>
      </c>
      <c r="D640" s="33">
        <f>IF(A640="","",TODAY())</f>
        <v/>
      </c>
      <c r="E640" s="29" t="n"/>
      <c r="F640" s="32">
        <f>IFERROR(IF(OR(A640="",E640=""),"",C640+E640),"")</f>
        <v/>
      </c>
      <c r="G640" s="30" t="n"/>
      <c r="H640" s="31" t="n"/>
    </row>
    <row r="641" ht="20" customHeight="1">
      <c r="A641" s="26" t="n"/>
      <c r="B641" s="27">
        <f>IFERROR(IF(A641="","",VLOOKUP(A641,DATABASE!$A:$B,2,0)),"")</f>
        <v/>
      </c>
      <c r="C641" s="20">
        <f>IFERROR(IF(A641="","",SUMIF(SAVINGS!$A$3:A640,A641,SAVINGS!$E$3:E640)-SUMIF(WITHDRAWALS!$A:$A,A641,WITHDRAWALS!$E:$E)),"")</f>
        <v/>
      </c>
      <c r="D641" s="28">
        <f>IF(A641="","",TODAY())</f>
        <v/>
      </c>
      <c r="E641" s="29" t="n"/>
      <c r="F641" s="20">
        <f>IFERROR(IF(OR(A641="",E641=""),"",C641+E641),"")</f>
        <v/>
      </c>
      <c r="G641" s="30" t="n"/>
      <c r="H641" s="27" t="n"/>
    </row>
    <row r="642" ht="20" customHeight="1">
      <c r="A642" s="26" t="n"/>
      <c r="B642" s="31">
        <f>IFERROR(IF(A642="","",VLOOKUP(A642,DATABASE!$A:$B,2,0)),"")</f>
        <v/>
      </c>
      <c r="C642" s="32">
        <f>IFERROR(IF(A642="","",SUMIF(SAVINGS!$A$3:A641,A642,SAVINGS!$E$3:E641)-SUMIF(WITHDRAWALS!$A:$A,A642,WITHDRAWALS!$E:$E)),"")</f>
        <v/>
      </c>
      <c r="D642" s="33">
        <f>IF(A642="","",TODAY())</f>
        <v/>
      </c>
      <c r="E642" s="29" t="n"/>
      <c r="F642" s="32">
        <f>IFERROR(IF(OR(A642="",E642=""),"",C642+E642),"")</f>
        <v/>
      </c>
      <c r="G642" s="30" t="n"/>
      <c r="H642" s="31" t="n"/>
    </row>
    <row r="643" ht="20" customHeight="1">
      <c r="A643" s="26" t="n"/>
      <c r="B643" s="27">
        <f>IFERROR(IF(A643="","",VLOOKUP(A643,DATABASE!$A:$B,2,0)),"")</f>
        <v/>
      </c>
      <c r="C643" s="20">
        <f>IFERROR(IF(A643="","",SUMIF(SAVINGS!$A$3:A642,A643,SAVINGS!$E$3:E642)-SUMIF(WITHDRAWALS!$A:$A,A643,WITHDRAWALS!$E:$E)),"")</f>
        <v/>
      </c>
      <c r="D643" s="28">
        <f>IF(A643="","",TODAY())</f>
        <v/>
      </c>
      <c r="E643" s="29" t="n"/>
      <c r="F643" s="20">
        <f>IFERROR(IF(OR(A643="",E643=""),"",C643+E643),"")</f>
        <v/>
      </c>
      <c r="G643" s="30" t="n"/>
      <c r="H643" s="27" t="n"/>
    </row>
    <row r="644" ht="20" customHeight="1">
      <c r="A644" s="26" t="n"/>
      <c r="B644" s="31">
        <f>IFERROR(IF(A644="","",VLOOKUP(A644,DATABASE!$A:$B,2,0)),"")</f>
        <v/>
      </c>
      <c r="C644" s="32">
        <f>IFERROR(IF(A644="","",SUMIF(SAVINGS!$A$3:A643,A644,SAVINGS!$E$3:E643)-SUMIF(WITHDRAWALS!$A:$A,A644,WITHDRAWALS!$E:$E)),"")</f>
        <v/>
      </c>
      <c r="D644" s="33">
        <f>IF(A644="","",TODAY())</f>
        <v/>
      </c>
      <c r="E644" s="29" t="n"/>
      <c r="F644" s="32">
        <f>IFERROR(IF(OR(A644="",E644=""),"",C644+E644),"")</f>
        <v/>
      </c>
      <c r="G644" s="30" t="n"/>
      <c r="H644" s="31" t="n"/>
    </row>
    <row r="645" ht="20" customHeight="1">
      <c r="A645" s="26" t="n"/>
      <c r="B645" s="27">
        <f>IFERROR(IF(A645="","",VLOOKUP(A645,DATABASE!$A:$B,2,0)),"")</f>
        <v/>
      </c>
      <c r="C645" s="20">
        <f>IFERROR(IF(A645="","",SUMIF(SAVINGS!$A$3:A644,A645,SAVINGS!$E$3:E644)-SUMIF(WITHDRAWALS!$A:$A,A645,WITHDRAWALS!$E:$E)),"")</f>
        <v/>
      </c>
      <c r="D645" s="28">
        <f>IF(A645="","",TODAY())</f>
        <v/>
      </c>
      <c r="E645" s="29" t="n"/>
      <c r="F645" s="20">
        <f>IFERROR(IF(OR(A645="",E645=""),"",C645+E645),"")</f>
        <v/>
      </c>
      <c r="G645" s="30" t="n"/>
      <c r="H645" s="27" t="n"/>
    </row>
    <row r="646" ht="20" customHeight="1">
      <c r="A646" s="26" t="n"/>
      <c r="B646" s="31">
        <f>IFERROR(IF(A646="","",VLOOKUP(A646,DATABASE!$A:$B,2,0)),"")</f>
        <v/>
      </c>
      <c r="C646" s="32">
        <f>IFERROR(IF(A646="","",SUMIF(SAVINGS!$A$3:A645,A646,SAVINGS!$E$3:E645)-SUMIF(WITHDRAWALS!$A:$A,A646,WITHDRAWALS!$E:$E)),"")</f>
        <v/>
      </c>
      <c r="D646" s="33">
        <f>IF(A646="","",TODAY())</f>
        <v/>
      </c>
      <c r="E646" s="29" t="n"/>
      <c r="F646" s="32">
        <f>IFERROR(IF(OR(A646="",E646=""),"",C646+E646),"")</f>
        <v/>
      </c>
      <c r="G646" s="30" t="n"/>
      <c r="H646" s="31" t="n"/>
    </row>
    <row r="647" ht="20" customHeight="1">
      <c r="A647" s="26" t="n"/>
      <c r="B647" s="27">
        <f>IFERROR(IF(A647="","",VLOOKUP(A647,DATABASE!$A:$B,2,0)),"")</f>
        <v/>
      </c>
      <c r="C647" s="20">
        <f>IFERROR(IF(A647="","",SUMIF(SAVINGS!$A$3:A646,A647,SAVINGS!$E$3:E646)-SUMIF(WITHDRAWALS!$A:$A,A647,WITHDRAWALS!$E:$E)),"")</f>
        <v/>
      </c>
      <c r="D647" s="28">
        <f>IF(A647="","",TODAY())</f>
        <v/>
      </c>
      <c r="E647" s="29" t="n"/>
      <c r="F647" s="20">
        <f>IFERROR(IF(OR(A647="",E647=""),"",C647+E647),"")</f>
        <v/>
      </c>
      <c r="G647" s="30" t="n"/>
      <c r="H647" s="27" t="n"/>
    </row>
    <row r="648" ht="20" customHeight="1">
      <c r="A648" s="26" t="n"/>
      <c r="B648" s="31">
        <f>IFERROR(IF(A648="","",VLOOKUP(A648,DATABASE!$A:$B,2,0)),"")</f>
        <v/>
      </c>
      <c r="C648" s="32">
        <f>IFERROR(IF(A648="","",SUMIF(SAVINGS!$A$3:A647,A648,SAVINGS!$E$3:E647)-SUMIF(WITHDRAWALS!$A:$A,A648,WITHDRAWALS!$E:$E)),"")</f>
        <v/>
      </c>
      <c r="D648" s="33">
        <f>IF(A648="","",TODAY())</f>
        <v/>
      </c>
      <c r="E648" s="29" t="n"/>
      <c r="F648" s="32">
        <f>IFERROR(IF(OR(A648="",E648=""),"",C648+E648),"")</f>
        <v/>
      </c>
      <c r="G648" s="30" t="n"/>
      <c r="H648" s="31" t="n"/>
    </row>
    <row r="649" ht="20" customHeight="1">
      <c r="A649" s="26" t="n"/>
      <c r="B649" s="27">
        <f>IFERROR(IF(A649="","",VLOOKUP(A649,DATABASE!$A:$B,2,0)),"")</f>
        <v/>
      </c>
      <c r="C649" s="20">
        <f>IFERROR(IF(A649="","",SUMIF(SAVINGS!$A$3:A648,A649,SAVINGS!$E$3:E648)-SUMIF(WITHDRAWALS!$A:$A,A649,WITHDRAWALS!$E:$E)),"")</f>
        <v/>
      </c>
      <c r="D649" s="28">
        <f>IF(A649="","",TODAY())</f>
        <v/>
      </c>
      <c r="E649" s="29" t="n"/>
      <c r="F649" s="20">
        <f>IFERROR(IF(OR(A649="",E649=""),"",C649+E649),"")</f>
        <v/>
      </c>
      <c r="G649" s="30" t="n"/>
      <c r="H649" s="27" t="n"/>
    </row>
    <row r="650" ht="20" customHeight="1">
      <c r="A650" s="26" t="n"/>
      <c r="B650" s="31">
        <f>IFERROR(IF(A650="","",VLOOKUP(A650,DATABASE!$A:$B,2,0)),"")</f>
        <v/>
      </c>
      <c r="C650" s="32">
        <f>IFERROR(IF(A650="","",SUMIF(SAVINGS!$A$3:A649,A650,SAVINGS!$E$3:E649)-SUMIF(WITHDRAWALS!$A:$A,A650,WITHDRAWALS!$E:$E)),"")</f>
        <v/>
      </c>
      <c r="D650" s="33">
        <f>IF(A650="","",TODAY())</f>
        <v/>
      </c>
      <c r="E650" s="29" t="n"/>
      <c r="F650" s="32">
        <f>IFERROR(IF(OR(A650="",E650=""),"",C650+E650),"")</f>
        <v/>
      </c>
      <c r="G650" s="30" t="n"/>
      <c r="H650" s="31" t="n"/>
    </row>
    <row r="651" ht="20" customHeight="1">
      <c r="A651" s="26" t="n"/>
      <c r="B651" s="27">
        <f>IFERROR(IF(A651="","",VLOOKUP(A651,DATABASE!$A:$B,2,0)),"")</f>
        <v/>
      </c>
      <c r="C651" s="20">
        <f>IFERROR(IF(A651="","",SUMIF(SAVINGS!$A$3:A650,A651,SAVINGS!$E$3:E650)-SUMIF(WITHDRAWALS!$A:$A,A651,WITHDRAWALS!$E:$E)),"")</f>
        <v/>
      </c>
      <c r="D651" s="28">
        <f>IF(A651="","",TODAY())</f>
        <v/>
      </c>
      <c r="E651" s="29" t="n"/>
      <c r="F651" s="20">
        <f>IFERROR(IF(OR(A651="",E651=""),"",C651+E651),"")</f>
        <v/>
      </c>
      <c r="G651" s="30" t="n"/>
      <c r="H651" s="27" t="n"/>
    </row>
    <row r="652" ht="20" customHeight="1">
      <c r="A652" s="26" t="n"/>
      <c r="B652" s="31">
        <f>IFERROR(IF(A652="","",VLOOKUP(A652,DATABASE!$A:$B,2,0)),"")</f>
        <v/>
      </c>
      <c r="C652" s="32">
        <f>IFERROR(IF(A652="","",SUMIF(SAVINGS!$A$3:A651,A652,SAVINGS!$E$3:E651)-SUMIF(WITHDRAWALS!$A:$A,A652,WITHDRAWALS!$E:$E)),"")</f>
        <v/>
      </c>
      <c r="D652" s="33">
        <f>IF(A652="","",TODAY())</f>
        <v/>
      </c>
      <c r="E652" s="29" t="n"/>
      <c r="F652" s="32">
        <f>IFERROR(IF(OR(A652="",E652=""),"",C652+E652),"")</f>
        <v/>
      </c>
      <c r="G652" s="30" t="n"/>
      <c r="H652" s="31" t="n"/>
    </row>
    <row r="653" ht="20" customHeight="1">
      <c r="A653" s="26" t="n"/>
      <c r="B653" s="27">
        <f>IFERROR(IF(A653="","",VLOOKUP(A653,DATABASE!$A:$B,2,0)),"")</f>
        <v/>
      </c>
      <c r="C653" s="20">
        <f>IFERROR(IF(A653="","",SUMIF(SAVINGS!$A$3:A652,A653,SAVINGS!$E$3:E652)-SUMIF(WITHDRAWALS!$A:$A,A653,WITHDRAWALS!$E:$E)),"")</f>
        <v/>
      </c>
      <c r="D653" s="28">
        <f>IF(A653="","",TODAY())</f>
        <v/>
      </c>
      <c r="E653" s="29" t="n"/>
      <c r="F653" s="20">
        <f>IFERROR(IF(OR(A653="",E653=""),"",C653+E653),"")</f>
        <v/>
      </c>
      <c r="G653" s="30" t="n"/>
      <c r="H653" s="27" t="n"/>
    </row>
    <row r="654" ht="20" customHeight="1">
      <c r="A654" s="26" t="n"/>
      <c r="B654" s="31">
        <f>IFERROR(IF(A654="","",VLOOKUP(A654,DATABASE!$A:$B,2,0)),"")</f>
        <v/>
      </c>
      <c r="C654" s="32">
        <f>IFERROR(IF(A654="","",SUMIF(SAVINGS!$A$3:A653,A654,SAVINGS!$E$3:E653)-SUMIF(WITHDRAWALS!$A:$A,A654,WITHDRAWALS!$E:$E)),"")</f>
        <v/>
      </c>
      <c r="D654" s="33">
        <f>IF(A654="","",TODAY())</f>
        <v/>
      </c>
      <c r="E654" s="29" t="n"/>
      <c r="F654" s="32">
        <f>IFERROR(IF(OR(A654="",E654=""),"",C654+E654),"")</f>
        <v/>
      </c>
      <c r="G654" s="30" t="n"/>
      <c r="H654" s="31" t="n"/>
    </row>
    <row r="655" ht="20" customHeight="1">
      <c r="A655" s="26" t="n"/>
      <c r="B655" s="27">
        <f>IFERROR(IF(A655="","",VLOOKUP(A655,DATABASE!$A:$B,2,0)),"")</f>
        <v/>
      </c>
      <c r="C655" s="20">
        <f>IFERROR(IF(A655="","",SUMIF(SAVINGS!$A$3:A654,A655,SAVINGS!$E$3:E654)-SUMIF(WITHDRAWALS!$A:$A,A655,WITHDRAWALS!$E:$E)),"")</f>
        <v/>
      </c>
      <c r="D655" s="28">
        <f>IF(A655="","",TODAY())</f>
        <v/>
      </c>
      <c r="E655" s="29" t="n"/>
      <c r="F655" s="20">
        <f>IFERROR(IF(OR(A655="",E655=""),"",C655+E655),"")</f>
        <v/>
      </c>
      <c r="G655" s="30" t="n"/>
      <c r="H655" s="27" t="n"/>
    </row>
    <row r="656" ht="20" customHeight="1">
      <c r="A656" s="26" t="n"/>
      <c r="B656" s="31">
        <f>IFERROR(IF(A656="","",VLOOKUP(A656,DATABASE!$A:$B,2,0)),"")</f>
        <v/>
      </c>
      <c r="C656" s="32">
        <f>IFERROR(IF(A656="","",SUMIF(SAVINGS!$A$3:A655,A656,SAVINGS!$E$3:E655)-SUMIF(WITHDRAWALS!$A:$A,A656,WITHDRAWALS!$E:$E)),"")</f>
        <v/>
      </c>
      <c r="D656" s="33">
        <f>IF(A656="","",TODAY())</f>
        <v/>
      </c>
      <c r="E656" s="29" t="n"/>
      <c r="F656" s="32">
        <f>IFERROR(IF(OR(A656="",E656=""),"",C656+E656),"")</f>
        <v/>
      </c>
      <c r="G656" s="30" t="n"/>
      <c r="H656" s="31" t="n"/>
    </row>
    <row r="657" ht="20" customHeight="1">
      <c r="A657" s="26" t="n"/>
      <c r="B657" s="27">
        <f>IFERROR(IF(A657="","",VLOOKUP(A657,DATABASE!$A:$B,2,0)),"")</f>
        <v/>
      </c>
      <c r="C657" s="20">
        <f>IFERROR(IF(A657="","",SUMIF(SAVINGS!$A$3:A656,A657,SAVINGS!$E$3:E656)-SUMIF(WITHDRAWALS!$A:$A,A657,WITHDRAWALS!$E:$E)),"")</f>
        <v/>
      </c>
      <c r="D657" s="28">
        <f>IF(A657="","",TODAY())</f>
        <v/>
      </c>
      <c r="E657" s="29" t="n"/>
      <c r="F657" s="20">
        <f>IFERROR(IF(OR(A657="",E657=""),"",C657+E657),"")</f>
        <v/>
      </c>
      <c r="G657" s="30" t="n"/>
      <c r="H657" s="27" t="n"/>
    </row>
    <row r="658" ht="20" customHeight="1">
      <c r="A658" s="26" t="n"/>
      <c r="B658" s="31">
        <f>IFERROR(IF(A658="","",VLOOKUP(A658,DATABASE!$A:$B,2,0)),"")</f>
        <v/>
      </c>
      <c r="C658" s="32">
        <f>IFERROR(IF(A658="","",SUMIF(SAVINGS!$A$3:A657,A658,SAVINGS!$E$3:E657)-SUMIF(WITHDRAWALS!$A:$A,A658,WITHDRAWALS!$E:$E)),"")</f>
        <v/>
      </c>
      <c r="D658" s="33">
        <f>IF(A658="","",TODAY())</f>
        <v/>
      </c>
      <c r="E658" s="29" t="n"/>
      <c r="F658" s="32">
        <f>IFERROR(IF(OR(A658="",E658=""),"",C658+E658),"")</f>
        <v/>
      </c>
      <c r="G658" s="30" t="n"/>
      <c r="H658" s="31" t="n"/>
    </row>
    <row r="659" ht="20" customHeight="1">
      <c r="A659" s="26" t="n"/>
      <c r="B659" s="27">
        <f>IFERROR(IF(A659="","",VLOOKUP(A659,DATABASE!$A:$B,2,0)),"")</f>
        <v/>
      </c>
      <c r="C659" s="20">
        <f>IFERROR(IF(A659="","",SUMIF(SAVINGS!$A$3:A658,A659,SAVINGS!$E$3:E658)-SUMIF(WITHDRAWALS!$A:$A,A659,WITHDRAWALS!$E:$E)),"")</f>
        <v/>
      </c>
      <c r="D659" s="28">
        <f>IF(A659="","",TODAY())</f>
        <v/>
      </c>
      <c r="E659" s="29" t="n"/>
      <c r="F659" s="20">
        <f>IFERROR(IF(OR(A659="",E659=""),"",C659+E659),"")</f>
        <v/>
      </c>
      <c r="G659" s="30" t="n"/>
      <c r="H659" s="27" t="n"/>
    </row>
    <row r="660" ht="20" customHeight="1">
      <c r="A660" s="26" t="n"/>
      <c r="B660" s="31">
        <f>IFERROR(IF(A660="","",VLOOKUP(A660,DATABASE!$A:$B,2,0)),"")</f>
        <v/>
      </c>
      <c r="C660" s="32">
        <f>IFERROR(IF(A660="","",SUMIF(SAVINGS!$A$3:A659,A660,SAVINGS!$E$3:E659)-SUMIF(WITHDRAWALS!$A:$A,A660,WITHDRAWALS!$E:$E)),"")</f>
        <v/>
      </c>
      <c r="D660" s="33">
        <f>IF(A660="","",TODAY())</f>
        <v/>
      </c>
      <c r="E660" s="29" t="n"/>
      <c r="F660" s="32">
        <f>IFERROR(IF(OR(A660="",E660=""),"",C660+E660),"")</f>
        <v/>
      </c>
      <c r="G660" s="30" t="n"/>
      <c r="H660" s="31" t="n"/>
    </row>
    <row r="661" ht="20" customHeight="1">
      <c r="A661" s="26" t="n"/>
      <c r="B661" s="27">
        <f>IFERROR(IF(A661="","",VLOOKUP(A661,DATABASE!$A:$B,2,0)),"")</f>
        <v/>
      </c>
      <c r="C661" s="20">
        <f>IFERROR(IF(A661="","",SUMIF(SAVINGS!$A$3:A660,A661,SAVINGS!$E$3:E660)-SUMIF(WITHDRAWALS!$A:$A,A661,WITHDRAWALS!$E:$E)),"")</f>
        <v/>
      </c>
      <c r="D661" s="28">
        <f>IF(A661="","",TODAY())</f>
        <v/>
      </c>
      <c r="E661" s="29" t="n"/>
      <c r="F661" s="20">
        <f>IFERROR(IF(OR(A661="",E661=""),"",C661+E661),"")</f>
        <v/>
      </c>
      <c r="G661" s="30" t="n"/>
      <c r="H661" s="27" t="n"/>
    </row>
    <row r="662" ht="20" customHeight="1">
      <c r="A662" s="26" t="n"/>
      <c r="B662" s="31">
        <f>IFERROR(IF(A662="","",VLOOKUP(A662,DATABASE!$A:$B,2,0)),"")</f>
        <v/>
      </c>
      <c r="C662" s="32">
        <f>IFERROR(IF(A662="","",SUMIF(SAVINGS!$A$3:A661,A662,SAVINGS!$E$3:E661)-SUMIF(WITHDRAWALS!$A:$A,A662,WITHDRAWALS!$E:$E)),"")</f>
        <v/>
      </c>
      <c r="D662" s="33">
        <f>IF(A662="","",TODAY())</f>
        <v/>
      </c>
      <c r="E662" s="29" t="n"/>
      <c r="F662" s="32">
        <f>IFERROR(IF(OR(A662="",E662=""),"",C662+E662),"")</f>
        <v/>
      </c>
      <c r="G662" s="30" t="n"/>
      <c r="H662" s="31" t="n"/>
    </row>
    <row r="663" ht="20" customHeight="1">
      <c r="A663" s="26" t="n"/>
      <c r="B663" s="27">
        <f>IFERROR(IF(A663="","",VLOOKUP(A663,DATABASE!$A:$B,2,0)),"")</f>
        <v/>
      </c>
      <c r="C663" s="20">
        <f>IFERROR(IF(A663="","",SUMIF(SAVINGS!$A$3:A662,A663,SAVINGS!$E$3:E662)-SUMIF(WITHDRAWALS!$A:$A,A663,WITHDRAWALS!$E:$E)),"")</f>
        <v/>
      </c>
      <c r="D663" s="28">
        <f>IF(A663="","",TODAY())</f>
        <v/>
      </c>
      <c r="E663" s="29" t="n"/>
      <c r="F663" s="20">
        <f>IFERROR(IF(OR(A663="",E663=""),"",C663+E663),"")</f>
        <v/>
      </c>
      <c r="G663" s="30" t="n"/>
      <c r="H663" s="27" t="n"/>
    </row>
    <row r="664" ht="20" customHeight="1">
      <c r="A664" s="26" t="n"/>
      <c r="B664" s="31">
        <f>IFERROR(IF(A664="","",VLOOKUP(A664,DATABASE!$A:$B,2,0)),"")</f>
        <v/>
      </c>
      <c r="C664" s="32">
        <f>IFERROR(IF(A664="","",SUMIF(SAVINGS!$A$3:A663,A664,SAVINGS!$E$3:E663)-SUMIF(WITHDRAWALS!$A:$A,A664,WITHDRAWALS!$E:$E)),"")</f>
        <v/>
      </c>
      <c r="D664" s="33">
        <f>IF(A664="","",TODAY())</f>
        <v/>
      </c>
      <c r="E664" s="29" t="n"/>
      <c r="F664" s="32">
        <f>IFERROR(IF(OR(A664="",E664=""),"",C664+E664),"")</f>
        <v/>
      </c>
      <c r="G664" s="30" t="n"/>
      <c r="H664" s="31" t="n"/>
    </row>
    <row r="665" ht="20" customHeight="1">
      <c r="A665" s="26" t="n"/>
      <c r="B665" s="27">
        <f>IFERROR(IF(A665="","",VLOOKUP(A665,DATABASE!$A:$B,2,0)),"")</f>
        <v/>
      </c>
      <c r="C665" s="20">
        <f>IFERROR(IF(A665="","",SUMIF(SAVINGS!$A$3:A664,A665,SAVINGS!$E$3:E664)-SUMIF(WITHDRAWALS!$A:$A,A665,WITHDRAWALS!$E:$E)),"")</f>
        <v/>
      </c>
      <c r="D665" s="28">
        <f>IF(A665="","",TODAY())</f>
        <v/>
      </c>
      <c r="E665" s="29" t="n"/>
      <c r="F665" s="20">
        <f>IFERROR(IF(OR(A665="",E665=""),"",C665+E665),"")</f>
        <v/>
      </c>
      <c r="G665" s="30" t="n"/>
      <c r="H665" s="27" t="n"/>
    </row>
    <row r="666" ht="20" customHeight="1">
      <c r="A666" s="26" t="n"/>
      <c r="B666" s="31">
        <f>IFERROR(IF(A666="","",VLOOKUP(A666,DATABASE!$A:$B,2,0)),"")</f>
        <v/>
      </c>
      <c r="C666" s="32">
        <f>IFERROR(IF(A666="","",SUMIF(SAVINGS!$A$3:A665,A666,SAVINGS!$E$3:E665)-SUMIF(WITHDRAWALS!$A:$A,A666,WITHDRAWALS!$E:$E)),"")</f>
        <v/>
      </c>
      <c r="D666" s="33">
        <f>IF(A666="","",TODAY())</f>
        <v/>
      </c>
      <c r="E666" s="29" t="n"/>
      <c r="F666" s="32">
        <f>IFERROR(IF(OR(A666="",E666=""),"",C666+E666),"")</f>
        <v/>
      </c>
      <c r="G666" s="30" t="n"/>
      <c r="H666" s="31" t="n"/>
    </row>
    <row r="667" ht="20" customHeight="1">
      <c r="A667" s="26" t="n"/>
      <c r="B667" s="27">
        <f>IFERROR(IF(A667="","",VLOOKUP(A667,DATABASE!$A:$B,2,0)),"")</f>
        <v/>
      </c>
      <c r="C667" s="20">
        <f>IFERROR(IF(A667="","",SUMIF(SAVINGS!$A$3:A666,A667,SAVINGS!$E$3:E666)-SUMIF(WITHDRAWALS!$A:$A,A667,WITHDRAWALS!$E:$E)),"")</f>
        <v/>
      </c>
      <c r="D667" s="28">
        <f>IF(A667="","",TODAY())</f>
        <v/>
      </c>
      <c r="E667" s="29" t="n"/>
      <c r="F667" s="20">
        <f>IFERROR(IF(OR(A667="",E667=""),"",C667+E667),"")</f>
        <v/>
      </c>
      <c r="G667" s="30" t="n"/>
      <c r="H667" s="27" t="n"/>
    </row>
    <row r="668" ht="20" customHeight="1">
      <c r="A668" s="26" t="n"/>
      <c r="B668" s="31">
        <f>IFERROR(IF(A668="","",VLOOKUP(A668,DATABASE!$A:$B,2,0)),"")</f>
        <v/>
      </c>
      <c r="C668" s="32">
        <f>IFERROR(IF(A668="","",SUMIF(SAVINGS!$A$3:A667,A668,SAVINGS!$E$3:E667)-SUMIF(WITHDRAWALS!$A:$A,A668,WITHDRAWALS!$E:$E)),"")</f>
        <v/>
      </c>
      <c r="D668" s="33">
        <f>IF(A668="","",TODAY())</f>
        <v/>
      </c>
      <c r="E668" s="29" t="n"/>
      <c r="F668" s="32">
        <f>IFERROR(IF(OR(A668="",E668=""),"",C668+E668),"")</f>
        <v/>
      </c>
      <c r="G668" s="30" t="n"/>
      <c r="H668" s="31" t="n"/>
    </row>
    <row r="669" ht="20" customHeight="1">
      <c r="A669" s="26" t="n"/>
      <c r="B669" s="27">
        <f>IFERROR(IF(A669="","",VLOOKUP(A669,DATABASE!$A:$B,2,0)),"")</f>
        <v/>
      </c>
      <c r="C669" s="20">
        <f>IFERROR(IF(A669="","",SUMIF(SAVINGS!$A$3:A668,A669,SAVINGS!$E$3:E668)-SUMIF(WITHDRAWALS!$A:$A,A669,WITHDRAWALS!$E:$E)),"")</f>
        <v/>
      </c>
      <c r="D669" s="28">
        <f>IF(A669="","",TODAY())</f>
        <v/>
      </c>
      <c r="E669" s="29" t="n"/>
      <c r="F669" s="20">
        <f>IFERROR(IF(OR(A669="",E669=""),"",C669+E669),"")</f>
        <v/>
      </c>
      <c r="G669" s="30" t="n"/>
      <c r="H669" s="27" t="n"/>
    </row>
    <row r="670" ht="20" customHeight="1">
      <c r="A670" s="26" t="n"/>
      <c r="B670" s="31">
        <f>IFERROR(IF(A670="","",VLOOKUP(A670,DATABASE!$A:$B,2,0)),"")</f>
        <v/>
      </c>
      <c r="C670" s="32">
        <f>IFERROR(IF(A670="","",SUMIF(SAVINGS!$A$3:A669,A670,SAVINGS!$E$3:E669)-SUMIF(WITHDRAWALS!$A:$A,A670,WITHDRAWALS!$E:$E)),"")</f>
        <v/>
      </c>
      <c r="D670" s="33">
        <f>IF(A670="","",TODAY())</f>
        <v/>
      </c>
      <c r="E670" s="29" t="n"/>
      <c r="F670" s="32">
        <f>IFERROR(IF(OR(A670="",E670=""),"",C670+E670),"")</f>
        <v/>
      </c>
      <c r="G670" s="30" t="n"/>
      <c r="H670" s="31" t="n"/>
    </row>
    <row r="671" ht="20" customHeight="1">
      <c r="A671" s="26" t="n"/>
      <c r="B671" s="27">
        <f>IFERROR(IF(A671="","",VLOOKUP(A671,DATABASE!$A:$B,2,0)),"")</f>
        <v/>
      </c>
      <c r="C671" s="20">
        <f>IFERROR(IF(A671="","",SUMIF(SAVINGS!$A$3:A670,A671,SAVINGS!$E$3:E670)-SUMIF(WITHDRAWALS!$A:$A,A671,WITHDRAWALS!$E:$E)),"")</f>
        <v/>
      </c>
      <c r="D671" s="28">
        <f>IF(A671="","",TODAY())</f>
        <v/>
      </c>
      <c r="E671" s="29" t="n"/>
      <c r="F671" s="20">
        <f>IFERROR(IF(OR(A671="",E671=""),"",C671+E671),"")</f>
        <v/>
      </c>
      <c r="G671" s="30" t="n"/>
      <c r="H671" s="27" t="n"/>
    </row>
    <row r="672" ht="20" customHeight="1">
      <c r="A672" s="26" t="n"/>
      <c r="B672" s="31">
        <f>IFERROR(IF(A672="","",VLOOKUP(A672,DATABASE!$A:$B,2,0)),"")</f>
        <v/>
      </c>
      <c r="C672" s="32">
        <f>IFERROR(IF(A672="","",SUMIF(SAVINGS!$A$3:A671,A672,SAVINGS!$E$3:E671)-SUMIF(WITHDRAWALS!$A:$A,A672,WITHDRAWALS!$E:$E)),"")</f>
        <v/>
      </c>
      <c r="D672" s="33">
        <f>IF(A672="","",TODAY())</f>
        <v/>
      </c>
      <c r="E672" s="29" t="n"/>
      <c r="F672" s="32">
        <f>IFERROR(IF(OR(A672="",E672=""),"",C672+E672),"")</f>
        <v/>
      </c>
      <c r="G672" s="30" t="n"/>
      <c r="H672" s="31" t="n"/>
    </row>
    <row r="673" ht="20" customHeight="1">
      <c r="A673" s="26" t="n"/>
      <c r="B673" s="27">
        <f>IFERROR(IF(A673="","",VLOOKUP(A673,DATABASE!$A:$B,2,0)),"")</f>
        <v/>
      </c>
      <c r="C673" s="20">
        <f>IFERROR(IF(A673="","",SUMIF(SAVINGS!$A$3:A672,A673,SAVINGS!$E$3:E672)-SUMIF(WITHDRAWALS!$A:$A,A673,WITHDRAWALS!$E:$E)),"")</f>
        <v/>
      </c>
      <c r="D673" s="28">
        <f>IF(A673="","",TODAY())</f>
        <v/>
      </c>
      <c r="E673" s="29" t="n"/>
      <c r="F673" s="20">
        <f>IFERROR(IF(OR(A673="",E673=""),"",C673+E673),"")</f>
        <v/>
      </c>
      <c r="G673" s="30" t="n"/>
      <c r="H673" s="27" t="n"/>
    </row>
    <row r="674" ht="20" customHeight="1">
      <c r="A674" s="26" t="n"/>
      <c r="B674" s="31">
        <f>IFERROR(IF(A674="","",VLOOKUP(A674,DATABASE!$A:$B,2,0)),"")</f>
        <v/>
      </c>
      <c r="C674" s="32">
        <f>IFERROR(IF(A674="","",SUMIF(SAVINGS!$A$3:A673,A674,SAVINGS!$E$3:E673)-SUMIF(WITHDRAWALS!$A:$A,A674,WITHDRAWALS!$E:$E)),"")</f>
        <v/>
      </c>
      <c r="D674" s="33">
        <f>IF(A674="","",TODAY())</f>
        <v/>
      </c>
      <c r="E674" s="29" t="n"/>
      <c r="F674" s="32">
        <f>IFERROR(IF(OR(A674="",E674=""),"",C674+E674),"")</f>
        <v/>
      </c>
      <c r="G674" s="30" t="n"/>
      <c r="H674" s="31" t="n"/>
    </row>
    <row r="675" ht="20" customHeight="1">
      <c r="A675" s="26" t="n"/>
      <c r="B675" s="27">
        <f>IFERROR(IF(A675="","",VLOOKUP(A675,DATABASE!$A:$B,2,0)),"")</f>
        <v/>
      </c>
      <c r="C675" s="20">
        <f>IFERROR(IF(A675="","",SUMIF(SAVINGS!$A$3:A674,A675,SAVINGS!$E$3:E674)-SUMIF(WITHDRAWALS!$A:$A,A675,WITHDRAWALS!$E:$E)),"")</f>
        <v/>
      </c>
      <c r="D675" s="28">
        <f>IF(A675="","",TODAY())</f>
        <v/>
      </c>
      <c r="E675" s="29" t="n"/>
      <c r="F675" s="20">
        <f>IFERROR(IF(OR(A675="",E675=""),"",C675+E675),"")</f>
        <v/>
      </c>
      <c r="G675" s="30" t="n"/>
      <c r="H675" s="27" t="n"/>
    </row>
    <row r="676" ht="20" customHeight="1">
      <c r="A676" s="26" t="n"/>
      <c r="B676" s="31">
        <f>IFERROR(IF(A676="","",VLOOKUP(A676,DATABASE!$A:$B,2,0)),"")</f>
        <v/>
      </c>
      <c r="C676" s="32">
        <f>IFERROR(IF(A676="","",SUMIF(SAVINGS!$A$3:A675,A676,SAVINGS!$E$3:E675)-SUMIF(WITHDRAWALS!$A:$A,A676,WITHDRAWALS!$E:$E)),"")</f>
        <v/>
      </c>
      <c r="D676" s="33">
        <f>IF(A676="","",TODAY())</f>
        <v/>
      </c>
      <c r="E676" s="29" t="n"/>
      <c r="F676" s="32">
        <f>IFERROR(IF(OR(A676="",E676=""),"",C676+E676),"")</f>
        <v/>
      </c>
      <c r="G676" s="30" t="n"/>
      <c r="H676" s="31" t="n"/>
    </row>
    <row r="677" ht="20" customHeight="1">
      <c r="A677" s="26" t="n"/>
      <c r="B677" s="27">
        <f>IFERROR(IF(A677="","",VLOOKUP(A677,DATABASE!$A:$B,2,0)),"")</f>
        <v/>
      </c>
      <c r="C677" s="20">
        <f>IFERROR(IF(A677="","",SUMIF(SAVINGS!$A$3:A676,A677,SAVINGS!$E$3:E676)-SUMIF(WITHDRAWALS!$A:$A,A677,WITHDRAWALS!$E:$E)),"")</f>
        <v/>
      </c>
      <c r="D677" s="28">
        <f>IF(A677="","",TODAY())</f>
        <v/>
      </c>
      <c r="E677" s="29" t="n"/>
      <c r="F677" s="20">
        <f>IFERROR(IF(OR(A677="",E677=""),"",C677+E677),"")</f>
        <v/>
      </c>
      <c r="G677" s="30" t="n"/>
      <c r="H677" s="27" t="n"/>
    </row>
    <row r="678" ht="20" customHeight="1">
      <c r="A678" s="26" t="n"/>
      <c r="B678" s="31">
        <f>IFERROR(IF(A678="","",VLOOKUP(A678,DATABASE!$A:$B,2,0)),"")</f>
        <v/>
      </c>
      <c r="C678" s="32">
        <f>IFERROR(IF(A678="","",SUMIF(SAVINGS!$A$3:A677,A678,SAVINGS!$E$3:E677)-SUMIF(WITHDRAWALS!$A:$A,A678,WITHDRAWALS!$E:$E)),"")</f>
        <v/>
      </c>
      <c r="D678" s="33">
        <f>IF(A678="","",TODAY())</f>
        <v/>
      </c>
      <c r="E678" s="29" t="n"/>
      <c r="F678" s="32">
        <f>IFERROR(IF(OR(A678="",E678=""),"",C678+E678),"")</f>
        <v/>
      </c>
      <c r="G678" s="30" t="n"/>
      <c r="H678" s="31" t="n"/>
    </row>
    <row r="679" ht="20" customHeight="1">
      <c r="A679" s="26" t="n"/>
      <c r="B679" s="27">
        <f>IFERROR(IF(A679="","",VLOOKUP(A679,DATABASE!$A:$B,2,0)),"")</f>
        <v/>
      </c>
      <c r="C679" s="20">
        <f>IFERROR(IF(A679="","",SUMIF(SAVINGS!$A$3:A678,A679,SAVINGS!$E$3:E678)-SUMIF(WITHDRAWALS!$A:$A,A679,WITHDRAWALS!$E:$E)),"")</f>
        <v/>
      </c>
      <c r="D679" s="28">
        <f>IF(A679="","",TODAY())</f>
        <v/>
      </c>
      <c r="E679" s="29" t="n"/>
      <c r="F679" s="20">
        <f>IFERROR(IF(OR(A679="",E679=""),"",C679+E679),"")</f>
        <v/>
      </c>
      <c r="G679" s="30" t="n"/>
      <c r="H679" s="27" t="n"/>
    </row>
    <row r="680" ht="20" customHeight="1">
      <c r="A680" s="26" t="n"/>
      <c r="B680" s="31">
        <f>IFERROR(IF(A680="","",VLOOKUP(A680,DATABASE!$A:$B,2,0)),"")</f>
        <v/>
      </c>
      <c r="C680" s="32">
        <f>IFERROR(IF(A680="","",SUMIF(SAVINGS!$A$3:A679,A680,SAVINGS!$E$3:E679)-SUMIF(WITHDRAWALS!$A:$A,A680,WITHDRAWALS!$E:$E)),"")</f>
        <v/>
      </c>
      <c r="D680" s="33">
        <f>IF(A680="","",TODAY())</f>
        <v/>
      </c>
      <c r="E680" s="29" t="n"/>
      <c r="F680" s="32">
        <f>IFERROR(IF(OR(A680="",E680=""),"",C680+E680),"")</f>
        <v/>
      </c>
      <c r="G680" s="30" t="n"/>
      <c r="H680" s="31" t="n"/>
    </row>
    <row r="681" ht="20" customHeight="1">
      <c r="A681" s="26" t="n"/>
      <c r="B681" s="27">
        <f>IFERROR(IF(A681="","",VLOOKUP(A681,DATABASE!$A:$B,2,0)),"")</f>
        <v/>
      </c>
      <c r="C681" s="20">
        <f>IFERROR(IF(A681="","",SUMIF(SAVINGS!$A$3:A680,A681,SAVINGS!$E$3:E680)-SUMIF(WITHDRAWALS!$A:$A,A681,WITHDRAWALS!$E:$E)),"")</f>
        <v/>
      </c>
      <c r="D681" s="28">
        <f>IF(A681="","",TODAY())</f>
        <v/>
      </c>
      <c r="E681" s="29" t="n"/>
      <c r="F681" s="20">
        <f>IFERROR(IF(OR(A681="",E681=""),"",C681+E681),"")</f>
        <v/>
      </c>
      <c r="G681" s="30" t="n"/>
      <c r="H681" s="27" t="n"/>
    </row>
    <row r="682" ht="20" customHeight="1">
      <c r="A682" s="26" t="n"/>
      <c r="B682" s="31">
        <f>IFERROR(IF(A682="","",VLOOKUP(A682,DATABASE!$A:$B,2,0)),"")</f>
        <v/>
      </c>
      <c r="C682" s="32">
        <f>IFERROR(IF(A682="","",SUMIF(SAVINGS!$A$3:A681,A682,SAVINGS!$E$3:E681)-SUMIF(WITHDRAWALS!$A:$A,A682,WITHDRAWALS!$E:$E)),"")</f>
        <v/>
      </c>
      <c r="D682" s="33">
        <f>IF(A682="","",TODAY())</f>
        <v/>
      </c>
      <c r="E682" s="29" t="n"/>
      <c r="F682" s="32">
        <f>IFERROR(IF(OR(A682="",E682=""),"",C682+E682),"")</f>
        <v/>
      </c>
      <c r="G682" s="30" t="n"/>
      <c r="H682" s="31" t="n"/>
    </row>
    <row r="683" ht="20" customHeight="1">
      <c r="A683" s="26" t="n"/>
      <c r="B683" s="27">
        <f>IFERROR(IF(A683="","",VLOOKUP(A683,DATABASE!$A:$B,2,0)),"")</f>
        <v/>
      </c>
      <c r="C683" s="20">
        <f>IFERROR(IF(A683="","",SUMIF(SAVINGS!$A$3:A682,A683,SAVINGS!$E$3:E682)-SUMIF(WITHDRAWALS!$A:$A,A683,WITHDRAWALS!$E:$E)),"")</f>
        <v/>
      </c>
      <c r="D683" s="28">
        <f>IF(A683="","",TODAY())</f>
        <v/>
      </c>
      <c r="E683" s="29" t="n"/>
      <c r="F683" s="20">
        <f>IFERROR(IF(OR(A683="",E683=""),"",C683+E683),"")</f>
        <v/>
      </c>
      <c r="G683" s="30" t="n"/>
      <c r="H683" s="27" t="n"/>
    </row>
    <row r="684" ht="20" customHeight="1">
      <c r="A684" s="26" t="n"/>
      <c r="B684" s="31">
        <f>IFERROR(IF(A684="","",VLOOKUP(A684,DATABASE!$A:$B,2,0)),"")</f>
        <v/>
      </c>
      <c r="C684" s="32">
        <f>IFERROR(IF(A684="","",SUMIF(SAVINGS!$A$3:A683,A684,SAVINGS!$E$3:E683)-SUMIF(WITHDRAWALS!$A:$A,A684,WITHDRAWALS!$E:$E)),"")</f>
        <v/>
      </c>
      <c r="D684" s="33">
        <f>IF(A684="","",TODAY())</f>
        <v/>
      </c>
      <c r="E684" s="29" t="n"/>
      <c r="F684" s="32">
        <f>IFERROR(IF(OR(A684="",E684=""),"",C684+E684),"")</f>
        <v/>
      </c>
      <c r="G684" s="30" t="n"/>
      <c r="H684" s="31" t="n"/>
    </row>
    <row r="685" ht="20" customHeight="1">
      <c r="A685" s="26" t="n"/>
      <c r="B685" s="27">
        <f>IFERROR(IF(A685="","",VLOOKUP(A685,DATABASE!$A:$B,2,0)),"")</f>
        <v/>
      </c>
      <c r="C685" s="20">
        <f>IFERROR(IF(A685="","",SUMIF(SAVINGS!$A$3:A684,A685,SAVINGS!$E$3:E684)-SUMIF(WITHDRAWALS!$A:$A,A685,WITHDRAWALS!$E:$E)),"")</f>
        <v/>
      </c>
      <c r="D685" s="28">
        <f>IF(A685="","",TODAY())</f>
        <v/>
      </c>
      <c r="E685" s="29" t="n"/>
      <c r="F685" s="20">
        <f>IFERROR(IF(OR(A685="",E685=""),"",C685+E685),"")</f>
        <v/>
      </c>
      <c r="G685" s="30" t="n"/>
      <c r="H685" s="27" t="n"/>
    </row>
    <row r="686" ht="20" customHeight="1">
      <c r="A686" s="26" t="n"/>
      <c r="B686" s="31">
        <f>IFERROR(IF(A686="","",VLOOKUP(A686,DATABASE!$A:$B,2,0)),"")</f>
        <v/>
      </c>
      <c r="C686" s="32">
        <f>IFERROR(IF(A686="","",SUMIF(SAVINGS!$A$3:A685,A686,SAVINGS!$E$3:E685)-SUMIF(WITHDRAWALS!$A:$A,A686,WITHDRAWALS!$E:$E)),"")</f>
        <v/>
      </c>
      <c r="D686" s="33">
        <f>IF(A686="","",TODAY())</f>
        <v/>
      </c>
      <c r="E686" s="29" t="n"/>
      <c r="F686" s="32">
        <f>IFERROR(IF(OR(A686="",E686=""),"",C686+E686),"")</f>
        <v/>
      </c>
      <c r="G686" s="30" t="n"/>
      <c r="H686" s="31" t="n"/>
    </row>
    <row r="687" ht="20" customHeight="1">
      <c r="A687" s="26" t="n"/>
      <c r="B687" s="27">
        <f>IFERROR(IF(A687="","",VLOOKUP(A687,DATABASE!$A:$B,2,0)),"")</f>
        <v/>
      </c>
      <c r="C687" s="20">
        <f>IFERROR(IF(A687="","",SUMIF(SAVINGS!$A$3:A686,A687,SAVINGS!$E$3:E686)-SUMIF(WITHDRAWALS!$A:$A,A687,WITHDRAWALS!$E:$E)),"")</f>
        <v/>
      </c>
      <c r="D687" s="28">
        <f>IF(A687="","",TODAY())</f>
        <v/>
      </c>
      <c r="E687" s="29" t="n"/>
      <c r="F687" s="20">
        <f>IFERROR(IF(OR(A687="",E687=""),"",C687+E687),"")</f>
        <v/>
      </c>
      <c r="G687" s="30" t="n"/>
      <c r="H687" s="27" t="n"/>
    </row>
    <row r="688" ht="20" customHeight="1">
      <c r="A688" s="26" t="n"/>
      <c r="B688" s="31">
        <f>IFERROR(IF(A688="","",VLOOKUP(A688,DATABASE!$A:$B,2,0)),"")</f>
        <v/>
      </c>
      <c r="C688" s="32">
        <f>IFERROR(IF(A688="","",SUMIF(SAVINGS!$A$3:A687,A688,SAVINGS!$E$3:E687)-SUMIF(WITHDRAWALS!$A:$A,A688,WITHDRAWALS!$E:$E)),"")</f>
        <v/>
      </c>
      <c r="D688" s="33">
        <f>IF(A688="","",TODAY())</f>
        <v/>
      </c>
      <c r="E688" s="29" t="n"/>
      <c r="F688" s="32">
        <f>IFERROR(IF(OR(A688="",E688=""),"",C688+E688),"")</f>
        <v/>
      </c>
      <c r="G688" s="30" t="n"/>
      <c r="H688" s="31" t="n"/>
    </row>
    <row r="689" ht="20" customHeight="1">
      <c r="A689" s="26" t="n"/>
      <c r="B689" s="27">
        <f>IFERROR(IF(A689="","",VLOOKUP(A689,DATABASE!$A:$B,2,0)),"")</f>
        <v/>
      </c>
      <c r="C689" s="20">
        <f>IFERROR(IF(A689="","",SUMIF(SAVINGS!$A$3:A688,A689,SAVINGS!$E$3:E688)-SUMIF(WITHDRAWALS!$A:$A,A689,WITHDRAWALS!$E:$E)),"")</f>
        <v/>
      </c>
      <c r="D689" s="28">
        <f>IF(A689="","",TODAY())</f>
        <v/>
      </c>
      <c r="E689" s="29" t="n"/>
      <c r="F689" s="20">
        <f>IFERROR(IF(OR(A689="",E689=""),"",C689+E689),"")</f>
        <v/>
      </c>
      <c r="G689" s="30" t="n"/>
      <c r="H689" s="27" t="n"/>
    </row>
    <row r="690" ht="20" customHeight="1">
      <c r="A690" s="26" t="n"/>
      <c r="B690" s="31">
        <f>IFERROR(IF(A690="","",VLOOKUP(A690,DATABASE!$A:$B,2,0)),"")</f>
        <v/>
      </c>
      <c r="C690" s="32">
        <f>IFERROR(IF(A690="","",SUMIF(SAVINGS!$A$3:A689,A690,SAVINGS!$E$3:E689)-SUMIF(WITHDRAWALS!$A:$A,A690,WITHDRAWALS!$E:$E)),"")</f>
        <v/>
      </c>
      <c r="D690" s="33">
        <f>IF(A690="","",TODAY())</f>
        <v/>
      </c>
      <c r="E690" s="29" t="n"/>
      <c r="F690" s="32">
        <f>IFERROR(IF(OR(A690="",E690=""),"",C690+E690),"")</f>
        <v/>
      </c>
      <c r="G690" s="30" t="n"/>
      <c r="H690" s="31" t="n"/>
    </row>
    <row r="691" ht="20" customHeight="1">
      <c r="A691" s="26" t="n"/>
      <c r="B691" s="27">
        <f>IFERROR(IF(A691="","",VLOOKUP(A691,DATABASE!$A:$B,2,0)),"")</f>
        <v/>
      </c>
      <c r="C691" s="20">
        <f>IFERROR(IF(A691="","",SUMIF(SAVINGS!$A$3:A690,A691,SAVINGS!$E$3:E690)-SUMIF(WITHDRAWALS!$A:$A,A691,WITHDRAWALS!$E:$E)),"")</f>
        <v/>
      </c>
      <c r="D691" s="28">
        <f>IF(A691="","",TODAY())</f>
        <v/>
      </c>
      <c r="E691" s="29" t="n"/>
      <c r="F691" s="20">
        <f>IFERROR(IF(OR(A691="",E691=""),"",C691+E691),"")</f>
        <v/>
      </c>
      <c r="G691" s="30" t="n"/>
      <c r="H691" s="27" t="n"/>
    </row>
    <row r="692" ht="20" customHeight="1">
      <c r="A692" s="26" t="n"/>
      <c r="B692" s="31">
        <f>IFERROR(IF(A692="","",VLOOKUP(A692,DATABASE!$A:$B,2,0)),"")</f>
        <v/>
      </c>
      <c r="C692" s="32">
        <f>IFERROR(IF(A692="","",SUMIF(SAVINGS!$A$3:A691,A692,SAVINGS!$E$3:E691)-SUMIF(WITHDRAWALS!$A:$A,A692,WITHDRAWALS!$E:$E)),"")</f>
        <v/>
      </c>
      <c r="D692" s="33">
        <f>IF(A692="","",TODAY())</f>
        <v/>
      </c>
      <c r="E692" s="29" t="n"/>
      <c r="F692" s="32">
        <f>IFERROR(IF(OR(A692="",E692=""),"",C692+E692),"")</f>
        <v/>
      </c>
      <c r="G692" s="30" t="n"/>
      <c r="H692" s="31" t="n"/>
    </row>
    <row r="693" ht="20" customHeight="1">
      <c r="A693" s="26" t="n"/>
      <c r="B693" s="27">
        <f>IFERROR(IF(A693="","",VLOOKUP(A693,DATABASE!$A:$B,2,0)),"")</f>
        <v/>
      </c>
      <c r="C693" s="20">
        <f>IFERROR(IF(A693="","",SUMIF(SAVINGS!$A$3:A692,A693,SAVINGS!$E$3:E692)-SUMIF(WITHDRAWALS!$A:$A,A693,WITHDRAWALS!$E:$E)),"")</f>
        <v/>
      </c>
      <c r="D693" s="28">
        <f>IF(A693="","",TODAY())</f>
        <v/>
      </c>
      <c r="E693" s="29" t="n"/>
      <c r="F693" s="20">
        <f>IFERROR(IF(OR(A693="",E693=""),"",C693+E693),"")</f>
        <v/>
      </c>
      <c r="G693" s="30" t="n"/>
      <c r="H693" s="27" t="n"/>
    </row>
    <row r="694" ht="20" customHeight="1">
      <c r="A694" s="26" t="n"/>
      <c r="B694" s="31">
        <f>IFERROR(IF(A694="","",VLOOKUP(A694,DATABASE!$A:$B,2,0)),"")</f>
        <v/>
      </c>
      <c r="C694" s="32">
        <f>IFERROR(IF(A694="","",SUMIF(SAVINGS!$A$3:A693,A694,SAVINGS!$E$3:E693)-SUMIF(WITHDRAWALS!$A:$A,A694,WITHDRAWALS!$E:$E)),"")</f>
        <v/>
      </c>
      <c r="D694" s="33">
        <f>IF(A694="","",TODAY())</f>
        <v/>
      </c>
      <c r="E694" s="29" t="n"/>
      <c r="F694" s="32">
        <f>IFERROR(IF(OR(A694="",E694=""),"",C694+E694),"")</f>
        <v/>
      </c>
      <c r="G694" s="30" t="n"/>
      <c r="H694" s="31" t="n"/>
    </row>
    <row r="695" ht="20" customHeight="1">
      <c r="A695" s="26" t="n"/>
      <c r="B695" s="27">
        <f>IFERROR(IF(A695="","",VLOOKUP(A695,DATABASE!$A:$B,2,0)),"")</f>
        <v/>
      </c>
      <c r="C695" s="20">
        <f>IFERROR(IF(A695="","",SUMIF(SAVINGS!$A$3:A694,A695,SAVINGS!$E$3:E694)-SUMIF(WITHDRAWALS!$A:$A,A695,WITHDRAWALS!$E:$E)),"")</f>
        <v/>
      </c>
      <c r="D695" s="28">
        <f>IF(A695="","",TODAY())</f>
        <v/>
      </c>
      <c r="E695" s="29" t="n"/>
      <c r="F695" s="20">
        <f>IFERROR(IF(OR(A695="",E695=""),"",C695+E695),"")</f>
        <v/>
      </c>
      <c r="G695" s="30" t="n"/>
      <c r="H695" s="27" t="n"/>
    </row>
    <row r="696" ht="20" customHeight="1">
      <c r="A696" s="26" t="n"/>
      <c r="B696" s="31">
        <f>IFERROR(IF(A696="","",VLOOKUP(A696,DATABASE!$A:$B,2,0)),"")</f>
        <v/>
      </c>
      <c r="C696" s="32">
        <f>IFERROR(IF(A696="","",SUMIF(SAVINGS!$A$3:A695,A696,SAVINGS!$E$3:E695)-SUMIF(WITHDRAWALS!$A:$A,A696,WITHDRAWALS!$E:$E)),"")</f>
        <v/>
      </c>
      <c r="D696" s="33">
        <f>IF(A696="","",TODAY())</f>
        <v/>
      </c>
      <c r="E696" s="29" t="n"/>
      <c r="F696" s="32">
        <f>IFERROR(IF(OR(A696="",E696=""),"",C696+E696),"")</f>
        <v/>
      </c>
      <c r="G696" s="30" t="n"/>
      <c r="H696" s="31" t="n"/>
    </row>
    <row r="697" ht="20" customHeight="1">
      <c r="A697" s="26" t="n"/>
      <c r="B697" s="27">
        <f>IFERROR(IF(A697="","",VLOOKUP(A697,DATABASE!$A:$B,2,0)),"")</f>
        <v/>
      </c>
      <c r="C697" s="20">
        <f>IFERROR(IF(A697="","",SUMIF(SAVINGS!$A$3:A696,A697,SAVINGS!$E$3:E696)-SUMIF(WITHDRAWALS!$A:$A,A697,WITHDRAWALS!$E:$E)),"")</f>
        <v/>
      </c>
      <c r="D697" s="28">
        <f>IF(A697="","",TODAY())</f>
        <v/>
      </c>
      <c r="E697" s="29" t="n"/>
      <c r="F697" s="20">
        <f>IFERROR(IF(OR(A697="",E697=""),"",C697+E697),"")</f>
        <v/>
      </c>
      <c r="G697" s="30" t="n"/>
      <c r="H697" s="27" t="n"/>
    </row>
    <row r="698" ht="20" customHeight="1">
      <c r="A698" s="26" t="n"/>
      <c r="B698" s="31">
        <f>IFERROR(IF(A698="","",VLOOKUP(A698,DATABASE!$A:$B,2,0)),"")</f>
        <v/>
      </c>
      <c r="C698" s="32">
        <f>IFERROR(IF(A698="","",SUMIF(SAVINGS!$A$3:A697,A698,SAVINGS!$E$3:E697)-SUMIF(WITHDRAWALS!$A:$A,A698,WITHDRAWALS!$E:$E)),"")</f>
        <v/>
      </c>
      <c r="D698" s="33">
        <f>IF(A698="","",TODAY())</f>
        <v/>
      </c>
      <c r="E698" s="29" t="n"/>
      <c r="F698" s="32">
        <f>IFERROR(IF(OR(A698="",E698=""),"",C698+E698),"")</f>
        <v/>
      </c>
      <c r="G698" s="30" t="n"/>
      <c r="H698" s="31" t="n"/>
    </row>
    <row r="699" ht="20" customHeight="1">
      <c r="A699" s="26" t="n"/>
      <c r="B699" s="27">
        <f>IFERROR(IF(A699="","",VLOOKUP(A699,DATABASE!$A:$B,2,0)),"")</f>
        <v/>
      </c>
      <c r="C699" s="20">
        <f>IFERROR(IF(A699="","",SUMIF(SAVINGS!$A$3:A698,A699,SAVINGS!$E$3:E698)-SUMIF(WITHDRAWALS!$A:$A,A699,WITHDRAWALS!$E:$E)),"")</f>
        <v/>
      </c>
      <c r="D699" s="28">
        <f>IF(A699="","",TODAY())</f>
        <v/>
      </c>
      <c r="E699" s="29" t="n"/>
      <c r="F699" s="20">
        <f>IFERROR(IF(OR(A699="",E699=""),"",C699+E699),"")</f>
        <v/>
      </c>
      <c r="G699" s="30" t="n"/>
      <c r="H699" s="27" t="n"/>
    </row>
    <row r="700" ht="20" customHeight="1">
      <c r="A700" s="26" t="n"/>
      <c r="B700" s="31">
        <f>IFERROR(IF(A700="","",VLOOKUP(A700,DATABASE!$A:$B,2,0)),"")</f>
        <v/>
      </c>
      <c r="C700" s="32">
        <f>IFERROR(IF(A700="","",SUMIF(SAVINGS!$A$3:A699,A700,SAVINGS!$E$3:E699)-SUMIF(WITHDRAWALS!$A:$A,A700,WITHDRAWALS!$E:$E)),"")</f>
        <v/>
      </c>
      <c r="D700" s="33">
        <f>IF(A700="","",TODAY())</f>
        <v/>
      </c>
      <c r="E700" s="29" t="n"/>
      <c r="F700" s="32">
        <f>IFERROR(IF(OR(A700="",E700=""),"",C700+E700),"")</f>
        <v/>
      </c>
      <c r="G700" s="30" t="n"/>
      <c r="H700" s="31" t="n"/>
    </row>
    <row r="701" ht="20" customHeight="1">
      <c r="A701" s="26" t="n"/>
      <c r="B701" s="27">
        <f>IFERROR(IF(A701="","",VLOOKUP(A701,DATABASE!$A:$B,2,0)),"")</f>
        <v/>
      </c>
      <c r="C701" s="20">
        <f>IFERROR(IF(A701="","",SUMIF(SAVINGS!$A$3:A700,A701,SAVINGS!$E$3:E700)-SUMIF(WITHDRAWALS!$A:$A,A701,WITHDRAWALS!$E:$E)),"")</f>
        <v/>
      </c>
      <c r="D701" s="28">
        <f>IF(A701="","",TODAY())</f>
        <v/>
      </c>
      <c r="E701" s="29" t="n"/>
      <c r="F701" s="20">
        <f>IFERROR(IF(OR(A701="",E701=""),"",C701+E701),"")</f>
        <v/>
      </c>
      <c r="G701" s="30" t="n"/>
      <c r="H701" s="27" t="n"/>
    </row>
    <row r="702" ht="20" customHeight="1">
      <c r="A702" s="26" t="n"/>
      <c r="B702" s="31">
        <f>IFERROR(IF(A702="","",VLOOKUP(A702,DATABASE!$A:$B,2,0)),"")</f>
        <v/>
      </c>
      <c r="C702" s="32">
        <f>IFERROR(IF(A702="","",SUMIF(SAVINGS!$A$3:A701,A702,SAVINGS!$E$3:E701)-SUMIF(WITHDRAWALS!$A:$A,A702,WITHDRAWALS!$E:$E)),"")</f>
        <v/>
      </c>
      <c r="D702" s="33">
        <f>IF(A702="","",TODAY())</f>
        <v/>
      </c>
      <c r="E702" s="29" t="n"/>
      <c r="F702" s="32">
        <f>IFERROR(IF(OR(A702="",E702=""),"",C702+E702),"")</f>
        <v/>
      </c>
      <c r="G702" s="30" t="n"/>
      <c r="H702" s="31" t="n"/>
    </row>
    <row r="703" ht="20" customHeight="1">
      <c r="A703" s="26" t="n"/>
      <c r="B703" s="27">
        <f>IFERROR(IF(A703="","",VLOOKUP(A703,DATABASE!$A:$B,2,0)),"")</f>
        <v/>
      </c>
      <c r="C703" s="20">
        <f>IFERROR(IF(A703="","",SUMIF(SAVINGS!$A$3:A702,A703,SAVINGS!$E$3:E702)-SUMIF(WITHDRAWALS!$A:$A,A703,WITHDRAWALS!$E:$E)),"")</f>
        <v/>
      </c>
      <c r="D703" s="28">
        <f>IF(A703="","",TODAY())</f>
        <v/>
      </c>
      <c r="E703" s="29" t="n"/>
      <c r="F703" s="20">
        <f>IFERROR(IF(OR(A703="",E703=""),"",C703+E703),"")</f>
        <v/>
      </c>
      <c r="G703" s="30" t="n"/>
      <c r="H703" s="27" t="n"/>
    </row>
    <row r="704" ht="20" customHeight="1">
      <c r="A704" s="26" t="n"/>
      <c r="B704" s="31">
        <f>IFERROR(IF(A704="","",VLOOKUP(A704,DATABASE!$A:$B,2,0)),"")</f>
        <v/>
      </c>
      <c r="C704" s="32">
        <f>IFERROR(IF(A704="","",SUMIF(SAVINGS!$A$3:A703,A704,SAVINGS!$E$3:E703)-SUMIF(WITHDRAWALS!$A:$A,A704,WITHDRAWALS!$E:$E)),"")</f>
        <v/>
      </c>
      <c r="D704" s="33">
        <f>IF(A704="","",TODAY())</f>
        <v/>
      </c>
      <c r="E704" s="29" t="n"/>
      <c r="F704" s="32">
        <f>IFERROR(IF(OR(A704="",E704=""),"",C704+E704),"")</f>
        <v/>
      </c>
      <c r="G704" s="30" t="n"/>
      <c r="H704" s="31" t="n"/>
    </row>
    <row r="705" ht="20" customHeight="1">
      <c r="A705" s="26" t="n"/>
      <c r="B705" s="27">
        <f>IFERROR(IF(A705="","",VLOOKUP(A705,DATABASE!$A:$B,2,0)),"")</f>
        <v/>
      </c>
      <c r="C705" s="20">
        <f>IFERROR(IF(A705="","",SUMIF(SAVINGS!$A$3:A704,A705,SAVINGS!$E$3:E704)-SUMIF(WITHDRAWALS!$A:$A,A705,WITHDRAWALS!$E:$E)),"")</f>
        <v/>
      </c>
      <c r="D705" s="28">
        <f>IF(A705="","",TODAY())</f>
        <v/>
      </c>
      <c r="E705" s="29" t="n"/>
      <c r="F705" s="20">
        <f>IFERROR(IF(OR(A705="",E705=""),"",C705+E705),"")</f>
        <v/>
      </c>
      <c r="G705" s="30" t="n"/>
      <c r="H705" s="27" t="n"/>
    </row>
    <row r="706" ht="20" customHeight="1">
      <c r="A706" s="26" t="n"/>
      <c r="B706" s="31">
        <f>IFERROR(IF(A706="","",VLOOKUP(A706,DATABASE!$A:$B,2,0)),"")</f>
        <v/>
      </c>
      <c r="C706" s="32">
        <f>IFERROR(IF(A706="","",SUMIF(SAVINGS!$A$3:A705,A706,SAVINGS!$E$3:E705)-SUMIF(WITHDRAWALS!$A:$A,A706,WITHDRAWALS!$E:$E)),"")</f>
        <v/>
      </c>
      <c r="D706" s="33">
        <f>IF(A706="","",TODAY())</f>
        <v/>
      </c>
      <c r="E706" s="29" t="n"/>
      <c r="F706" s="32">
        <f>IFERROR(IF(OR(A706="",E706=""),"",C706+E706),"")</f>
        <v/>
      </c>
      <c r="G706" s="30" t="n"/>
      <c r="H706" s="31" t="n"/>
    </row>
    <row r="707" ht="20" customHeight="1">
      <c r="A707" s="26" t="n"/>
      <c r="B707" s="27">
        <f>IFERROR(IF(A707="","",VLOOKUP(A707,DATABASE!$A:$B,2,0)),"")</f>
        <v/>
      </c>
      <c r="C707" s="20">
        <f>IFERROR(IF(A707="","",SUMIF(SAVINGS!$A$3:A706,A707,SAVINGS!$E$3:E706)-SUMIF(WITHDRAWALS!$A:$A,A707,WITHDRAWALS!$E:$E)),"")</f>
        <v/>
      </c>
      <c r="D707" s="28">
        <f>IF(A707="","",TODAY())</f>
        <v/>
      </c>
      <c r="E707" s="29" t="n"/>
      <c r="F707" s="20">
        <f>IFERROR(IF(OR(A707="",E707=""),"",C707+E707),"")</f>
        <v/>
      </c>
      <c r="G707" s="30" t="n"/>
      <c r="H707" s="27" t="n"/>
    </row>
    <row r="708" ht="20" customHeight="1">
      <c r="A708" s="26" t="n"/>
      <c r="B708" s="31">
        <f>IFERROR(IF(A708="","",VLOOKUP(A708,DATABASE!$A:$B,2,0)),"")</f>
        <v/>
      </c>
      <c r="C708" s="32">
        <f>IFERROR(IF(A708="","",SUMIF(SAVINGS!$A$3:A707,A708,SAVINGS!$E$3:E707)-SUMIF(WITHDRAWALS!$A:$A,A708,WITHDRAWALS!$E:$E)),"")</f>
        <v/>
      </c>
      <c r="D708" s="33">
        <f>IF(A708="","",TODAY())</f>
        <v/>
      </c>
      <c r="E708" s="29" t="n"/>
      <c r="F708" s="32">
        <f>IFERROR(IF(OR(A708="",E708=""),"",C708+E708),"")</f>
        <v/>
      </c>
      <c r="G708" s="30" t="n"/>
      <c r="H708" s="31" t="n"/>
    </row>
    <row r="709" ht="20" customHeight="1">
      <c r="A709" s="26" t="n"/>
      <c r="B709" s="27">
        <f>IFERROR(IF(A709="","",VLOOKUP(A709,DATABASE!$A:$B,2,0)),"")</f>
        <v/>
      </c>
      <c r="C709" s="20">
        <f>IFERROR(IF(A709="","",SUMIF(SAVINGS!$A$3:A708,A709,SAVINGS!$E$3:E708)-SUMIF(WITHDRAWALS!$A:$A,A709,WITHDRAWALS!$E:$E)),"")</f>
        <v/>
      </c>
      <c r="D709" s="28">
        <f>IF(A709="","",TODAY())</f>
        <v/>
      </c>
      <c r="E709" s="29" t="n"/>
      <c r="F709" s="20">
        <f>IFERROR(IF(OR(A709="",E709=""),"",C709+E709),"")</f>
        <v/>
      </c>
      <c r="G709" s="30" t="n"/>
      <c r="H709" s="27" t="n"/>
    </row>
    <row r="710" ht="20" customHeight="1">
      <c r="A710" s="26" t="n"/>
      <c r="B710" s="31">
        <f>IFERROR(IF(A710="","",VLOOKUP(A710,DATABASE!$A:$B,2,0)),"")</f>
        <v/>
      </c>
      <c r="C710" s="32">
        <f>IFERROR(IF(A710="","",SUMIF(SAVINGS!$A$3:A709,A710,SAVINGS!$E$3:E709)-SUMIF(WITHDRAWALS!$A:$A,A710,WITHDRAWALS!$E:$E)),"")</f>
        <v/>
      </c>
      <c r="D710" s="33">
        <f>IF(A710="","",TODAY())</f>
        <v/>
      </c>
      <c r="E710" s="29" t="n"/>
      <c r="F710" s="32">
        <f>IFERROR(IF(OR(A710="",E710=""),"",C710+E710),"")</f>
        <v/>
      </c>
      <c r="G710" s="30" t="n"/>
      <c r="H710" s="31" t="n"/>
    </row>
    <row r="711" ht="20" customHeight="1">
      <c r="A711" s="26" t="n"/>
      <c r="B711" s="27">
        <f>IFERROR(IF(A711="","",VLOOKUP(A711,DATABASE!$A:$B,2,0)),"")</f>
        <v/>
      </c>
      <c r="C711" s="20">
        <f>IFERROR(IF(A711="","",SUMIF(SAVINGS!$A$3:A710,A711,SAVINGS!$E$3:E710)-SUMIF(WITHDRAWALS!$A:$A,A711,WITHDRAWALS!$E:$E)),"")</f>
        <v/>
      </c>
      <c r="D711" s="28">
        <f>IF(A711="","",TODAY())</f>
        <v/>
      </c>
      <c r="E711" s="29" t="n"/>
      <c r="F711" s="20">
        <f>IFERROR(IF(OR(A711="",E711=""),"",C711+E711),"")</f>
        <v/>
      </c>
      <c r="G711" s="30" t="n"/>
      <c r="H711" s="27" t="n"/>
    </row>
    <row r="712" ht="20" customHeight="1">
      <c r="A712" s="26" t="n"/>
      <c r="B712" s="31">
        <f>IFERROR(IF(A712="","",VLOOKUP(A712,DATABASE!$A:$B,2,0)),"")</f>
        <v/>
      </c>
      <c r="C712" s="32">
        <f>IFERROR(IF(A712="","",SUMIF(SAVINGS!$A$3:A711,A712,SAVINGS!$E$3:E711)-SUMIF(WITHDRAWALS!$A:$A,A712,WITHDRAWALS!$E:$E)),"")</f>
        <v/>
      </c>
      <c r="D712" s="33">
        <f>IF(A712="","",TODAY())</f>
        <v/>
      </c>
      <c r="E712" s="29" t="n"/>
      <c r="F712" s="32">
        <f>IFERROR(IF(OR(A712="",E712=""),"",C712+E712),"")</f>
        <v/>
      </c>
      <c r="G712" s="30" t="n"/>
      <c r="H712" s="31" t="n"/>
    </row>
    <row r="713" ht="20" customHeight="1">
      <c r="A713" s="26" t="n"/>
      <c r="B713" s="27">
        <f>IFERROR(IF(A713="","",VLOOKUP(A713,DATABASE!$A:$B,2,0)),"")</f>
        <v/>
      </c>
      <c r="C713" s="20">
        <f>IFERROR(IF(A713="","",SUMIF(SAVINGS!$A$3:A712,A713,SAVINGS!$E$3:E712)-SUMIF(WITHDRAWALS!$A:$A,A713,WITHDRAWALS!$E:$E)),"")</f>
        <v/>
      </c>
      <c r="D713" s="28">
        <f>IF(A713="","",TODAY())</f>
        <v/>
      </c>
      <c r="E713" s="29" t="n"/>
      <c r="F713" s="20">
        <f>IFERROR(IF(OR(A713="",E713=""),"",C713+E713),"")</f>
        <v/>
      </c>
      <c r="G713" s="30" t="n"/>
      <c r="H713" s="27" t="n"/>
    </row>
    <row r="714" ht="20" customHeight="1">
      <c r="A714" s="26" t="n"/>
      <c r="B714" s="31">
        <f>IFERROR(IF(A714="","",VLOOKUP(A714,DATABASE!$A:$B,2,0)),"")</f>
        <v/>
      </c>
      <c r="C714" s="32">
        <f>IFERROR(IF(A714="","",SUMIF(SAVINGS!$A$3:A713,A714,SAVINGS!$E$3:E713)-SUMIF(WITHDRAWALS!$A:$A,A714,WITHDRAWALS!$E:$E)),"")</f>
        <v/>
      </c>
      <c r="D714" s="33">
        <f>IF(A714="","",TODAY())</f>
        <v/>
      </c>
      <c r="E714" s="29" t="n"/>
      <c r="F714" s="32">
        <f>IFERROR(IF(OR(A714="",E714=""),"",C714+E714),"")</f>
        <v/>
      </c>
      <c r="G714" s="30" t="n"/>
      <c r="H714" s="31" t="n"/>
    </row>
    <row r="715" ht="20" customHeight="1">
      <c r="A715" s="26" t="n"/>
      <c r="B715" s="27">
        <f>IFERROR(IF(A715="","",VLOOKUP(A715,DATABASE!$A:$B,2,0)),"")</f>
        <v/>
      </c>
      <c r="C715" s="20">
        <f>IFERROR(IF(A715="","",SUMIF(SAVINGS!$A$3:A714,A715,SAVINGS!$E$3:E714)-SUMIF(WITHDRAWALS!$A:$A,A715,WITHDRAWALS!$E:$E)),"")</f>
        <v/>
      </c>
      <c r="D715" s="28">
        <f>IF(A715="","",TODAY())</f>
        <v/>
      </c>
      <c r="E715" s="29" t="n"/>
      <c r="F715" s="20">
        <f>IFERROR(IF(OR(A715="",E715=""),"",C715+E715),"")</f>
        <v/>
      </c>
      <c r="G715" s="30" t="n"/>
      <c r="H715" s="27" t="n"/>
    </row>
    <row r="716" ht="20" customHeight="1">
      <c r="A716" s="26" t="n"/>
      <c r="B716" s="31">
        <f>IFERROR(IF(A716="","",VLOOKUP(A716,DATABASE!$A:$B,2,0)),"")</f>
        <v/>
      </c>
      <c r="C716" s="32">
        <f>IFERROR(IF(A716="","",SUMIF(SAVINGS!$A$3:A715,A716,SAVINGS!$E$3:E715)-SUMIF(WITHDRAWALS!$A:$A,A716,WITHDRAWALS!$E:$E)),"")</f>
        <v/>
      </c>
      <c r="D716" s="33">
        <f>IF(A716="","",TODAY())</f>
        <v/>
      </c>
      <c r="E716" s="29" t="n"/>
      <c r="F716" s="32">
        <f>IFERROR(IF(OR(A716="",E716=""),"",C716+E716),"")</f>
        <v/>
      </c>
      <c r="G716" s="30" t="n"/>
      <c r="H716" s="31" t="n"/>
    </row>
    <row r="717" ht="20" customHeight="1">
      <c r="A717" s="26" t="n"/>
      <c r="B717" s="27">
        <f>IFERROR(IF(A717="","",VLOOKUP(A717,DATABASE!$A:$B,2,0)),"")</f>
        <v/>
      </c>
      <c r="C717" s="20">
        <f>IFERROR(IF(A717="","",SUMIF(SAVINGS!$A$3:A716,A717,SAVINGS!$E$3:E716)-SUMIF(WITHDRAWALS!$A:$A,A717,WITHDRAWALS!$E:$E)),"")</f>
        <v/>
      </c>
      <c r="D717" s="28">
        <f>IF(A717="","",TODAY())</f>
        <v/>
      </c>
      <c r="E717" s="29" t="n"/>
      <c r="F717" s="20">
        <f>IFERROR(IF(OR(A717="",E717=""),"",C717+E717),"")</f>
        <v/>
      </c>
      <c r="G717" s="30" t="n"/>
      <c r="H717" s="27" t="n"/>
    </row>
    <row r="718" ht="20" customHeight="1">
      <c r="A718" s="26" t="n"/>
      <c r="B718" s="31">
        <f>IFERROR(IF(A718="","",VLOOKUP(A718,DATABASE!$A:$B,2,0)),"")</f>
        <v/>
      </c>
      <c r="C718" s="32">
        <f>IFERROR(IF(A718="","",SUMIF(SAVINGS!$A$3:A717,A718,SAVINGS!$E$3:E717)-SUMIF(WITHDRAWALS!$A:$A,A718,WITHDRAWALS!$E:$E)),"")</f>
        <v/>
      </c>
      <c r="D718" s="33">
        <f>IF(A718="","",TODAY())</f>
        <v/>
      </c>
      <c r="E718" s="29" t="n"/>
      <c r="F718" s="32">
        <f>IFERROR(IF(OR(A718="",E718=""),"",C718+E718),"")</f>
        <v/>
      </c>
      <c r="G718" s="30" t="n"/>
      <c r="H718" s="31" t="n"/>
    </row>
    <row r="719" ht="20" customHeight="1">
      <c r="A719" s="26" t="n"/>
      <c r="B719" s="27">
        <f>IFERROR(IF(A719="","",VLOOKUP(A719,DATABASE!$A:$B,2,0)),"")</f>
        <v/>
      </c>
      <c r="C719" s="20">
        <f>IFERROR(IF(A719="","",SUMIF(SAVINGS!$A$3:A718,A719,SAVINGS!$E$3:E718)-SUMIF(WITHDRAWALS!$A:$A,A719,WITHDRAWALS!$E:$E)),"")</f>
        <v/>
      </c>
      <c r="D719" s="28">
        <f>IF(A719="","",TODAY())</f>
        <v/>
      </c>
      <c r="E719" s="29" t="n"/>
      <c r="F719" s="20">
        <f>IFERROR(IF(OR(A719="",E719=""),"",C719+E719),"")</f>
        <v/>
      </c>
      <c r="G719" s="30" t="n"/>
      <c r="H719" s="27" t="n"/>
    </row>
    <row r="720" ht="20" customHeight="1">
      <c r="A720" s="26" t="n"/>
      <c r="B720" s="31">
        <f>IFERROR(IF(A720="","",VLOOKUP(A720,DATABASE!$A:$B,2,0)),"")</f>
        <v/>
      </c>
      <c r="C720" s="32">
        <f>IFERROR(IF(A720="","",SUMIF(SAVINGS!$A$3:A719,A720,SAVINGS!$E$3:E719)-SUMIF(WITHDRAWALS!$A:$A,A720,WITHDRAWALS!$E:$E)),"")</f>
        <v/>
      </c>
      <c r="D720" s="33">
        <f>IF(A720="","",TODAY())</f>
        <v/>
      </c>
      <c r="E720" s="29" t="n"/>
      <c r="F720" s="32">
        <f>IFERROR(IF(OR(A720="",E720=""),"",C720+E720),"")</f>
        <v/>
      </c>
      <c r="G720" s="30" t="n"/>
      <c r="H720" s="31" t="n"/>
    </row>
    <row r="721" ht="20" customHeight="1">
      <c r="A721" s="26" t="n"/>
      <c r="B721" s="27">
        <f>IFERROR(IF(A721="","",VLOOKUP(A721,DATABASE!$A:$B,2,0)),"")</f>
        <v/>
      </c>
      <c r="C721" s="20">
        <f>IFERROR(IF(A721="","",SUMIF(SAVINGS!$A$3:A720,A721,SAVINGS!$E$3:E720)-SUMIF(WITHDRAWALS!$A:$A,A721,WITHDRAWALS!$E:$E)),"")</f>
        <v/>
      </c>
      <c r="D721" s="28">
        <f>IF(A721="","",TODAY())</f>
        <v/>
      </c>
      <c r="E721" s="29" t="n"/>
      <c r="F721" s="20">
        <f>IFERROR(IF(OR(A721="",E721=""),"",C721+E721),"")</f>
        <v/>
      </c>
      <c r="G721" s="30" t="n"/>
      <c r="H721" s="27" t="n"/>
    </row>
    <row r="722" ht="20" customHeight="1">
      <c r="A722" s="26" t="n"/>
      <c r="B722" s="31">
        <f>IFERROR(IF(A722="","",VLOOKUP(A722,DATABASE!$A:$B,2,0)),"")</f>
        <v/>
      </c>
      <c r="C722" s="32">
        <f>IFERROR(IF(A722="","",SUMIF(SAVINGS!$A$3:A721,A722,SAVINGS!$E$3:E721)-SUMIF(WITHDRAWALS!$A:$A,A722,WITHDRAWALS!$E:$E)),"")</f>
        <v/>
      </c>
      <c r="D722" s="33">
        <f>IF(A722="","",TODAY())</f>
        <v/>
      </c>
      <c r="E722" s="29" t="n"/>
      <c r="F722" s="32">
        <f>IFERROR(IF(OR(A722="",E722=""),"",C722+E722),"")</f>
        <v/>
      </c>
      <c r="G722" s="30" t="n"/>
      <c r="H722" s="31" t="n"/>
    </row>
    <row r="723" ht="20" customHeight="1">
      <c r="A723" s="26" t="n"/>
      <c r="B723" s="27">
        <f>IFERROR(IF(A723="","",VLOOKUP(A723,DATABASE!$A:$B,2,0)),"")</f>
        <v/>
      </c>
      <c r="C723" s="20">
        <f>IFERROR(IF(A723="","",SUMIF(SAVINGS!$A$3:A722,A723,SAVINGS!$E$3:E722)-SUMIF(WITHDRAWALS!$A:$A,A723,WITHDRAWALS!$E:$E)),"")</f>
        <v/>
      </c>
      <c r="D723" s="28">
        <f>IF(A723="","",TODAY())</f>
        <v/>
      </c>
      <c r="E723" s="29" t="n"/>
      <c r="F723" s="20">
        <f>IFERROR(IF(OR(A723="",E723=""),"",C723+E723),"")</f>
        <v/>
      </c>
      <c r="G723" s="30" t="n"/>
      <c r="H723" s="27" t="n"/>
    </row>
    <row r="724" ht="20" customHeight="1">
      <c r="A724" s="26" t="n"/>
      <c r="B724" s="31">
        <f>IFERROR(IF(A724="","",VLOOKUP(A724,DATABASE!$A:$B,2,0)),"")</f>
        <v/>
      </c>
      <c r="C724" s="32">
        <f>IFERROR(IF(A724="","",SUMIF(SAVINGS!$A$3:A723,A724,SAVINGS!$E$3:E723)-SUMIF(WITHDRAWALS!$A:$A,A724,WITHDRAWALS!$E:$E)),"")</f>
        <v/>
      </c>
      <c r="D724" s="33">
        <f>IF(A724="","",TODAY())</f>
        <v/>
      </c>
      <c r="E724" s="29" t="n"/>
      <c r="F724" s="32">
        <f>IFERROR(IF(OR(A724="",E724=""),"",C724+E724),"")</f>
        <v/>
      </c>
      <c r="G724" s="30" t="n"/>
      <c r="H724" s="31" t="n"/>
    </row>
    <row r="725" ht="20" customHeight="1">
      <c r="A725" s="26" t="n"/>
      <c r="B725" s="27">
        <f>IFERROR(IF(A725="","",VLOOKUP(A725,DATABASE!$A:$B,2,0)),"")</f>
        <v/>
      </c>
      <c r="C725" s="20">
        <f>IFERROR(IF(A725="","",SUMIF(SAVINGS!$A$3:A724,A725,SAVINGS!$E$3:E724)-SUMIF(WITHDRAWALS!$A:$A,A725,WITHDRAWALS!$E:$E)),"")</f>
        <v/>
      </c>
      <c r="D725" s="28">
        <f>IF(A725="","",TODAY())</f>
        <v/>
      </c>
      <c r="E725" s="29" t="n"/>
      <c r="F725" s="20">
        <f>IFERROR(IF(OR(A725="",E725=""),"",C725+E725),"")</f>
        <v/>
      </c>
      <c r="G725" s="30" t="n"/>
      <c r="H725" s="27" t="n"/>
    </row>
    <row r="726" ht="20" customHeight="1">
      <c r="A726" s="26" t="n"/>
      <c r="B726" s="31">
        <f>IFERROR(IF(A726="","",VLOOKUP(A726,DATABASE!$A:$B,2,0)),"")</f>
        <v/>
      </c>
      <c r="C726" s="32">
        <f>IFERROR(IF(A726="","",SUMIF(SAVINGS!$A$3:A725,A726,SAVINGS!$E$3:E725)-SUMIF(WITHDRAWALS!$A:$A,A726,WITHDRAWALS!$E:$E)),"")</f>
        <v/>
      </c>
      <c r="D726" s="33">
        <f>IF(A726="","",TODAY())</f>
        <v/>
      </c>
      <c r="E726" s="29" t="n"/>
      <c r="F726" s="32">
        <f>IFERROR(IF(OR(A726="",E726=""),"",C726+E726),"")</f>
        <v/>
      </c>
      <c r="G726" s="30" t="n"/>
      <c r="H726" s="31" t="n"/>
    </row>
    <row r="727" ht="20" customHeight="1">
      <c r="A727" s="26" t="n"/>
      <c r="B727" s="27">
        <f>IFERROR(IF(A727="","",VLOOKUP(A727,DATABASE!$A:$B,2,0)),"")</f>
        <v/>
      </c>
      <c r="C727" s="20">
        <f>IFERROR(IF(A727="","",SUMIF(SAVINGS!$A$3:A726,A727,SAVINGS!$E$3:E726)-SUMIF(WITHDRAWALS!$A:$A,A727,WITHDRAWALS!$E:$E)),"")</f>
        <v/>
      </c>
      <c r="D727" s="28">
        <f>IF(A727="","",TODAY())</f>
        <v/>
      </c>
      <c r="E727" s="29" t="n"/>
      <c r="F727" s="20">
        <f>IFERROR(IF(OR(A727="",E727=""),"",C727+E727),"")</f>
        <v/>
      </c>
      <c r="G727" s="30" t="n"/>
      <c r="H727" s="27" t="n"/>
    </row>
    <row r="728" ht="20" customHeight="1">
      <c r="A728" s="26" t="n"/>
      <c r="B728" s="31">
        <f>IFERROR(IF(A728="","",VLOOKUP(A728,DATABASE!$A:$B,2,0)),"")</f>
        <v/>
      </c>
      <c r="C728" s="32">
        <f>IFERROR(IF(A728="","",SUMIF(SAVINGS!$A$3:A727,A728,SAVINGS!$E$3:E727)-SUMIF(WITHDRAWALS!$A:$A,A728,WITHDRAWALS!$E:$E)),"")</f>
        <v/>
      </c>
      <c r="D728" s="33">
        <f>IF(A728="","",TODAY())</f>
        <v/>
      </c>
      <c r="E728" s="29" t="n"/>
      <c r="F728" s="32">
        <f>IFERROR(IF(OR(A728="",E728=""),"",C728+E728),"")</f>
        <v/>
      </c>
      <c r="G728" s="30" t="n"/>
      <c r="H728" s="31" t="n"/>
    </row>
    <row r="729" ht="20" customHeight="1">
      <c r="A729" s="26" t="n"/>
      <c r="B729" s="27">
        <f>IFERROR(IF(A729="","",VLOOKUP(A729,DATABASE!$A:$B,2,0)),"")</f>
        <v/>
      </c>
      <c r="C729" s="20">
        <f>IFERROR(IF(A729="","",SUMIF(SAVINGS!$A$3:A728,A729,SAVINGS!$E$3:E728)-SUMIF(WITHDRAWALS!$A:$A,A729,WITHDRAWALS!$E:$E)),"")</f>
        <v/>
      </c>
      <c r="D729" s="28">
        <f>IF(A729="","",TODAY())</f>
        <v/>
      </c>
      <c r="E729" s="29" t="n"/>
      <c r="F729" s="20">
        <f>IFERROR(IF(OR(A729="",E729=""),"",C729+E729),"")</f>
        <v/>
      </c>
      <c r="G729" s="30" t="n"/>
      <c r="H729" s="27" t="n"/>
    </row>
    <row r="730" ht="20" customHeight="1">
      <c r="A730" s="26" t="n"/>
      <c r="B730" s="31">
        <f>IFERROR(IF(A730="","",VLOOKUP(A730,DATABASE!$A:$B,2,0)),"")</f>
        <v/>
      </c>
      <c r="C730" s="32">
        <f>IFERROR(IF(A730="","",SUMIF(SAVINGS!$A$3:A729,A730,SAVINGS!$E$3:E729)-SUMIF(WITHDRAWALS!$A:$A,A730,WITHDRAWALS!$E:$E)),"")</f>
        <v/>
      </c>
      <c r="D730" s="33">
        <f>IF(A730="","",TODAY())</f>
        <v/>
      </c>
      <c r="E730" s="29" t="n"/>
      <c r="F730" s="32">
        <f>IFERROR(IF(OR(A730="",E730=""),"",C730+E730),"")</f>
        <v/>
      </c>
      <c r="G730" s="30" t="n"/>
      <c r="H730" s="31" t="n"/>
    </row>
    <row r="731" ht="20" customHeight="1">
      <c r="A731" s="26" t="n"/>
      <c r="B731" s="27">
        <f>IFERROR(IF(A731="","",VLOOKUP(A731,DATABASE!$A:$B,2,0)),"")</f>
        <v/>
      </c>
      <c r="C731" s="20">
        <f>IFERROR(IF(A731="","",SUMIF(SAVINGS!$A$3:A730,A731,SAVINGS!$E$3:E730)-SUMIF(WITHDRAWALS!$A:$A,A731,WITHDRAWALS!$E:$E)),"")</f>
        <v/>
      </c>
      <c r="D731" s="28">
        <f>IF(A731="","",TODAY())</f>
        <v/>
      </c>
      <c r="E731" s="29" t="n"/>
      <c r="F731" s="20">
        <f>IFERROR(IF(OR(A731="",E731=""),"",C731+E731),"")</f>
        <v/>
      </c>
      <c r="G731" s="30" t="n"/>
      <c r="H731" s="27" t="n"/>
    </row>
    <row r="732" ht="20" customHeight="1">
      <c r="A732" s="26" t="n"/>
      <c r="B732" s="31">
        <f>IFERROR(IF(A732="","",VLOOKUP(A732,DATABASE!$A:$B,2,0)),"")</f>
        <v/>
      </c>
      <c r="C732" s="32">
        <f>IFERROR(IF(A732="","",SUMIF(SAVINGS!$A$3:A731,A732,SAVINGS!$E$3:E731)-SUMIF(WITHDRAWALS!$A:$A,A732,WITHDRAWALS!$E:$E)),"")</f>
        <v/>
      </c>
      <c r="D732" s="33">
        <f>IF(A732="","",TODAY())</f>
        <v/>
      </c>
      <c r="E732" s="29" t="n"/>
      <c r="F732" s="32">
        <f>IFERROR(IF(OR(A732="",E732=""),"",C732+E732),"")</f>
        <v/>
      </c>
      <c r="G732" s="30" t="n"/>
      <c r="H732" s="31" t="n"/>
    </row>
    <row r="733" ht="20" customHeight="1">
      <c r="A733" s="26" t="n"/>
      <c r="B733" s="27">
        <f>IFERROR(IF(A733="","",VLOOKUP(A733,DATABASE!$A:$B,2,0)),"")</f>
        <v/>
      </c>
      <c r="C733" s="20">
        <f>IFERROR(IF(A733="","",SUMIF(SAVINGS!$A$3:A732,A733,SAVINGS!$E$3:E732)-SUMIF(WITHDRAWALS!$A:$A,A733,WITHDRAWALS!$E:$E)),"")</f>
        <v/>
      </c>
      <c r="D733" s="28">
        <f>IF(A733="","",TODAY())</f>
        <v/>
      </c>
      <c r="E733" s="29" t="n"/>
      <c r="F733" s="20">
        <f>IFERROR(IF(OR(A733="",E733=""),"",C733+E733),"")</f>
        <v/>
      </c>
      <c r="G733" s="30" t="n"/>
      <c r="H733" s="27" t="n"/>
    </row>
    <row r="734" ht="20" customHeight="1">
      <c r="A734" s="26" t="n"/>
      <c r="B734" s="31">
        <f>IFERROR(IF(A734="","",VLOOKUP(A734,DATABASE!$A:$B,2,0)),"")</f>
        <v/>
      </c>
      <c r="C734" s="32">
        <f>IFERROR(IF(A734="","",SUMIF(SAVINGS!$A$3:A733,A734,SAVINGS!$E$3:E733)-SUMIF(WITHDRAWALS!$A:$A,A734,WITHDRAWALS!$E:$E)),"")</f>
        <v/>
      </c>
      <c r="D734" s="33">
        <f>IF(A734="","",TODAY())</f>
        <v/>
      </c>
      <c r="E734" s="29" t="n"/>
      <c r="F734" s="32">
        <f>IFERROR(IF(OR(A734="",E734=""),"",C734+E734),"")</f>
        <v/>
      </c>
      <c r="G734" s="30" t="n"/>
      <c r="H734" s="31" t="n"/>
    </row>
    <row r="735" ht="20" customHeight="1">
      <c r="A735" s="26" t="n"/>
      <c r="B735" s="27">
        <f>IFERROR(IF(A735="","",VLOOKUP(A735,DATABASE!$A:$B,2,0)),"")</f>
        <v/>
      </c>
      <c r="C735" s="20">
        <f>IFERROR(IF(A735="","",SUMIF(SAVINGS!$A$3:A734,A735,SAVINGS!$E$3:E734)-SUMIF(WITHDRAWALS!$A:$A,A735,WITHDRAWALS!$E:$E)),"")</f>
        <v/>
      </c>
      <c r="D735" s="28">
        <f>IF(A735="","",TODAY())</f>
        <v/>
      </c>
      <c r="E735" s="29" t="n"/>
      <c r="F735" s="20">
        <f>IFERROR(IF(OR(A735="",E735=""),"",C735+E735),"")</f>
        <v/>
      </c>
      <c r="G735" s="30" t="n"/>
      <c r="H735" s="27" t="n"/>
    </row>
    <row r="736" ht="20" customHeight="1">
      <c r="A736" s="26" t="n"/>
      <c r="B736" s="31">
        <f>IFERROR(IF(A736="","",VLOOKUP(A736,DATABASE!$A:$B,2,0)),"")</f>
        <v/>
      </c>
      <c r="C736" s="32">
        <f>IFERROR(IF(A736="","",SUMIF(SAVINGS!$A$3:A735,A736,SAVINGS!$E$3:E735)-SUMIF(WITHDRAWALS!$A:$A,A736,WITHDRAWALS!$E:$E)),"")</f>
        <v/>
      </c>
      <c r="D736" s="33">
        <f>IF(A736="","",TODAY())</f>
        <v/>
      </c>
      <c r="E736" s="29" t="n"/>
      <c r="F736" s="32">
        <f>IFERROR(IF(OR(A736="",E736=""),"",C736+E736),"")</f>
        <v/>
      </c>
      <c r="G736" s="30" t="n"/>
      <c r="H736" s="31" t="n"/>
    </row>
    <row r="737" ht="20" customHeight="1">
      <c r="A737" s="26" t="n"/>
      <c r="B737" s="27">
        <f>IFERROR(IF(A737="","",VLOOKUP(A737,DATABASE!$A:$B,2,0)),"")</f>
        <v/>
      </c>
      <c r="C737" s="20">
        <f>IFERROR(IF(A737="","",SUMIF(SAVINGS!$A$3:A736,A737,SAVINGS!$E$3:E736)-SUMIF(WITHDRAWALS!$A:$A,A737,WITHDRAWALS!$E:$E)),"")</f>
        <v/>
      </c>
      <c r="D737" s="28">
        <f>IF(A737="","",TODAY())</f>
        <v/>
      </c>
      <c r="E737" s="29" t="n"/>
      <c r="F737" s="20">
        <f>IFERROR(IF(OR(A737="",E737=""),"",C737+E737),"")</f>
        <v/>
      </c>
      <c r="G737" s="30" t="n"/>
      <c r="H737" s="27" t="n"/>
    </row>
    <row r="738" ht="20" customHeight="1">
      <c r="A738" s="26" t="n"/>
      <c r="B738" s="31">
        <f>IFERROR(IF(A738="","",VLOOKUP(A738,DATABASE!$A:$B,2,0)),"")</f>
        <v/>
      </c>
      <c r="C738" s="32">
        <f>IFERROR(IF(A738="","",SUMIF(SAVINGS!$A$3:A737,A738,SAVINGS!$E$3:E737)-SUMIF(WITHDRAWALS!$A:$A,A738,WITHDRAWALS!$E:$E)),"")</f>
        <v/>
      </c>
      <c r="D738" s="33">
        <f>IF(A738="","",TODAY())</f>
        <v/>
      </c>
      <c r="E738" s="29" t="n"/>
      <c r="F738" s="32">
        <f>IFERROR(IF(OR(A738="",E738=""),"",C738+E738),"")</f>
        <v/>
      </c>
      <c r="G738" s="30" t="n"/>
      <c r="H738" s="31" t="n"/>
    </row>
    <row r="739" ht="20" customHeight="1">
      <c r="A739" s="26" t="n"/>
      <c r="B739" s="27">
        <f>IFERROR(IF(A739="","",VLOOKUP(A739,DATABASE!$A:$B,2,0)),"")</f>
        <v/>
      </c>
      <c r="C739" s="20">
        <f>IFERROR(IF(A739="","",SUMIF(SAVINGS!$A$3:A738,A739,SAVINGS!$E$3:E738)-SUMIF(WITHDRAWALS!$A:$A,A739,WITHDRAWALS!$E:$E)),"")</f>
        <v/>
      </c>
      <c r="D739" s="28">
        <f>IF(A739="","",TODAY())</f>
        <v/>
      </c>
      <c r="E739" s="29" t="n"/>
      <c r="F739" s="20">
        <f>IFERROR(IF(OR(A739="",E739=""),"",C739+E739),"")</f>
        <v/>
      </c>
      <c r="G739" s="30" t="n"/>
      <c r="H739" s="27" t="n"/>
    </row>
    <row r="740" ht="20" customHeight="1">
      <c r="A740" s="26" t="n"/>
      <c r="B740" s="31">
        <f>IFERROR(IF(A740="","",VLOOKUP(A740,DATABASE!$A:$B,2,0)),"")</f>
        <v/>
      </c>
      <c r="C740" s="32">
        <f>IFERROR(IF(A740="","",SUMIF(SAVINGS!$A$3:A739,A740,SAVINGS!$E$3:E739)-SUMIF(WITHDRAWALS!$A:$A,A740,WITHDRAWALS!$E:$E)),"")</f>
        <v/>
      </c>
      <c r="D740" s="33">
        <f>IF(A740="","",TODAY())</f>
        <v/>
      </c>
      <c r="E740" s="29" t="n"/>
      <c r="F740" s="32">
        <f>IFERROR(IF(OR(A740="",E740=""),"",C740+E740),"")</f>
        <v/>
      </c>
      <c r="G740" s="30" t="n"/>
      <c r="H740" s="31" t="n"/>
    </row>
    <row r="741" ht="20" customHeight="1">
      <c r="A741" s="26" t="n"/>
      <c r="B741" s="27">
        <f>IFERROR(IF(A741="","",VLOOKUP(A741,DATABASE!$A:$B,2,0)),"")</f>
        <v/>
      </c>
      <c r="C741" s="20">
        <f>IFERROR(IF(A741="","",SUMIF(SAVINGS!$A$3:A740,A741,SAVINGS!$E$3:E740)-SUMIF(WITHDRAWALS!$A:$A,A741,WITHDRAWALS!$E:$E)),"")</f>
        <v/>
      </c>
      <c r="D741" s="28">
        <f>IF(A741="","",TODAY())</f>
        <v/>
      </c>
      <c r="E741" s="29" t="n"/>
      <c r="F741" s="20">
        <f>IFERROR(IF(OR(A741="",E741=""),"",C741+E741),"")</f>
        <v/>
      </c>
      <c r="G741" s="30" t="n"/>
      <c r="H741" s="27" t="n"/>
    </row>
    <row r="742" ht="20" customHeight="1">
      <c r="A742" s="26" t="n"/>
      <c r="B742" s="31">
        <f>IFERROR(IF(A742="","",VLOOKUP(A742,DATABASE!$A:$B,2,0)),"")</f>
        <v/>
      </c>
      <c r="C742" s="32">
        <f>IFERROR(IF(A742="","",SUMIF(SAVINGS!$A$3:A741,A742,SAVINGS!$E$3:E741)-SUMIF(WITHDRAWALS!$A:$A,A742,WITHDRAWALS!$E:$E)),"")</f>
        <v/>
      </c>
      <c r="D742" s="33">
        <f>IF(A742="","",TODAY())</f>
        <v/>
      </c>
      <c r="E742" s="29" t="n"/>
      <c r="F742" s="32">
        <f>IFERROR(IF(OR(A742="",E742=""),"",C742+E742),"")</f>
        <v/>
      </c>
      <c r="G742" s="30" t="n"/>
      <c r="H742" s="31" t="n"/>
    </row>
    <row r="743" ht="20" customHeight="1">
      <c r="A743" s="26" t="n"/>
      <c r="B743" s="27">
        <f>IFERROR(IF(A743="","",VLOOKUP(A743,DATABASE!$A:$B,2,0)),"")</f>
        <v/>
      </c>
      <c r="C743" s="20">
        <f>IFERROR(IF(A743="","",SUMIF(SAVINGS!$A$3:A742,A743,SAVINGS!$E$3:E742)-SUMIF(WITHDRAWALS!$A:$A,A743,WITHDRAWALS!$E:$E)),"")</f>
        <v/>
      </c>
      <c r="D743" s="28">
        <f>IF(A743="","",TODAY())</f>
        <v/>
      </c>
      <c r="E743" s="29" t="n"/>
      <c r="F743" s="20">
        <f>IFERROR(IF(OR(A743="",E743=""),"",C743+E743),"")</f>
        <v/>
      </c>
      <c r="G743" s="30" t="n"/>
      <c r="H743" s="27" t="n"/>
    </row>
    <row r="744" ht="20" customHeight="1">
      <c r="A744" s="26" t="n"/>
      <c r="B744" s="31">
        <f>IFERROR(IF(A744="","",VLOOKUP(A744,DATABASE!$A:$B,2,0)),"")</f>
        <v/>
      </c>
      <c r="C744" s="32">
        <f>IFERROR(IF(A744="","",SUMIF(SAVINGS!$A$3:A743,A744,SAVINGS!$E$3:E743)-SUMIF(WITHDRAWALS!$A:$A,A744,WITHDRAWALS!$E:$E)),"")</f>
        <v/>
      </c>
      <c r="D744" s="33">
        <f>IF(A744="","",TODAY())</f>
        <v/>
      </c>
      <c r="E744" s="29" t="n"/>
      <c r="F744" s="32">
        <f>IFERROR(IF(OR(A744="",E744=""),"",C744+E744),"")</f>
        <v/>
      </c>
      <c r="G744" s="30" t="n"/>
      <c r="H744" s="31" t="n"/>
    </row>
    <row r="745" ht="20" customHeight="1">
      <c r="A745" s="26" t="n"/>
      <c r="B745" s="27">
        <f>IFERROR(IF(A745="","",VLOOKUP(A745,DATABASE!$A:$B,2,0)),"")</f>
        <v/>
      </c>
      <c r="C745" s="20">
        <f>IFERROR(IF(A745="","",SUMIF(SAVINGS!$A$3:A744,A745,SAVINGS!$E$3:E744)-SUMIF(WITHDRAWALS!$A:$A,A745,WITHDRAWALS!$E:$E)),"")</f>
        <v/>
      </c>
      <c r="D745" s="28">
        <f>IF(A745="","",TODAY())</f>
        <v/>
      </c>
      <c r="E745" s="29" t="n"/>
      <c r="F745" s="20">
        <f>IFERROR(IF(OR(A745="",E745=""),"",C745+E745),"")</f>
        <v/>
      </c>
      <c r="G745" s="30" t="n"/>
      <c r="H745" s="27" t="n"/>
    </row>
    <row r="746" ht="20" customHeight="1">
      <c r="A746" s="26" t="n"/>
      <c r="B746" s="31">
        <f>IFERROR(IF(A746="","",VLOOKUP(A746,DATABASE!$A:$B,2,0)),"")</f>
        <v/>
      </c>
      <c r="C746" s="32">
        <f>IFERROR(IF(A746="","",SUMIF(SAVINGS!$A$3:A745,A746,SAVINGS!$E$3:E745)-SUMIF(WITHDRAWALS!$A:$A,A746,WITHDRAWALS!$E:$E)),"")</f>
        <v/>
      </c>
      <c r="D746" s="33">
        <f>IF(A746="","",TODAY())</f>
        <v/>
      </c>
      <c r="E746" s="29" t="n"/>
      <c r="F746" s="32">
        <f>IFERROR(IF(OR(A746="",E746=""),"",C746+E746),"")</f>
        <v/>
      </c>
      <c r="G746" s="30" t="n"/>
      <c r="H746" s="31" t="n"/>
    </row>
    <row r="747" ht="20" customHeight="1">
      <c r="A747" s="26" t="n"/>
      <c r="B747" s="27">
        <f>IFERROR(IF(A747="","",VLOOKUP(A747,DATABASE!$A:$B,2,0)),"")</f>
        <v/>
      </c>
      <c r="C747" s="20">
        <f>IFERROR(IF(A747="","",SUMIF(SAVINGS!$A$3:A746,A747,SAVINGS!$E$3:E746)-SUMIF(WITHDRAWALS!$A:$A,A747,WITHDRAWALS!$E:$E)),"")</f>
        <v/>
      </c>
      <c r="D747" s="28">
        <f>IF(A747="","",TODAY())</f>
        <v/>
      </c>
      <c r="E747" s="29" t="n"/>
      <c r="F747" s="20">
        <f>IFERROR(IF(OR(A747="",E747=""),"",C747+E747),"")</f>
        <v/>
      </c>
      <c r="G747" s="30" t="n"/>
      <c r="H747" s="27" t="n"/>
    </row>
    <row r="748" ht="20" customHeight="1">
      <c r="A748" s="26" t="n"/>
      <c r="B748" s="31">
        <f>IFERROR(IF(A748="","",VLOOKUP(A748,DATABASE!$A:$B,2,0)),"")</f>
        <v/>
      </c>
      <c r="C748" s="32">
        <f>IFERROR(IF(A748="","",SUMIF(SAVINGS!$A$3:A747,A748,SAVINGS!$E$3:E747)-SUMIF(WITHDRAWALS!$A:$A,A748,WITHDRAWALS!$E:$E)),"")</f>
        <v/>
      </c>
      <c r="D748" s="33">
        <f>IF(A748="","",TODAY())</f>
        <v/>
      </c>
      <c r="E748" s="29" t="n"/>
      <c r="F748" s="32">
        <f>IFERROR(IF(OR(A748="",E748=""),"",C748+E748),"")</f>
        <v/>
      </c>
      <c r="G748" s="30" t="n"/>
      <c r="H748" s="31" t="n"/>
    </row>
    <row r="749" ht="20" customHeight="1">
      <c r="A749" s="26" t="n"/>
      <c r="B749" s="27">
        <f>IFERROR(IF(A749="","",VLOOKUP(A749,DATABASE!$A:$B,2,0)),"")</f>
        <v/>
      </c>
      <c r="C749" s="20">
        <f>IFERROR(IF(A749="","",SUMIF(SAVINGS!$A$3:A748,A749,SAVINGS!$E$3:E748)-SUMIF(WITHDRAWALS!$A:$A,A749,WITHDRAWALS!$E:$E)),"")</f>
        <v/>
      </c>
      <c r="D749" s="28">
        <f>IF(A749="","",TODAY())</f>
        <v/>
      </c>
      <c r="E749" s="29" t="n"/>
      <c r="F749" s="20">
        <f>IFERROR(IF(OR(A749="",E749=""),"",C749+E749),"")</f>
        <v/>
      </c>
      <c r="G749" s="30" t="n"/>
      <c r="H749" s="27" t="n"/>
    </row>
    <row r="750" ht="20" customHeight="1">
      <c r="A750" s="26" t="n"/>
      <c r="B750" s="31">
        <f>IFERROR(IF(A750="","",VLOOKUP(A750,DATABASE!$A:$B,2,0)),"")</f>
        <v/>
      </c>
      <c r="C750" s="32">
        <f>IFERROR(IF(A750="","",SUMIF(SAVINGS!$A$3:A749,A750,SAVINGS!$E$3:E749)-SUMIF(WITHDRAWALS!$A:$A,A750,WITHDRAWALS!$E:$E)),"")</f>
        <v/>
      </c>
      <c r="D750" s="33">
        <f>IF(A750="","",TODAY())</f>
        <v/>
      </c>
      <c r="E750" s="29" t="n"/>
      <c r="F750" s="32">
        <f>IFERROR(IF(OR(A750="",E750=""),"",C750+E750),"")</f>
        <v/>
      </c>
      <c r="G750" s="30" t="n"/>
      <c r="H750" s="31" t="n"/>
    </row>
    <row r="751" ht="20" customHeight="1">
      <c r="A751" s="26" t="n"/>
      <c r="B751" s="27">
        <f>IFERROR(IF(A751="","",VLOOKUP(A751,DATABASE!$A:$B,2,0)),"")</f>
        <v/>
      </c>
      <c r="C751" s="20">
        <f>IFERROR(IF(A751="","",SUMIF(SAVINGS!$A$3:A750,A751,SAVINGS!$E$3:E750)-SUMIF(WITHDRAWALS!$A:$A,A751,WITHDRAWALS!$E:$E)),"")</f>
        <v/>
      </c>
      <c r="D751" s="28">
        <f>IF(A751="","",TODAY())</f>
        <v/>
      </c>
      <c r="E751" s="29" t="n"/>
      <c r="F751" s="20">
        <f>IFERROR(IF(OR(A751="",E751=""),"",C751+E751),"")</f>
        <v/>
      </c>
      <c r="G751" s="30" t="n"/>
      <c r="H751" s="27" t="n"/>
    </row>
    <row r="752" ht="20" customHeight="1">
      <c r="A752" s="26" t="n"/>
      <c r="B752" s="31">
        <f>IFERROR(IF(A752="","",VLOOKUP(A752,DATABASE!$A:$B,2,0)),"")</f>
        <v/>
      </c>
      <c r="C752" s="32">
        <f>IFERROR(IF(A752="","",SUMIF(SAVINGS!$A$3:A751,A752,SAVINGS!$E$3:E751)-SUMIF(WITHDRAWALS!$A:$A,A752,WITHDRAWALS!$E:$E)),"")</f>
        <v/>
      </c>
      <c r="D752" s="33">
        <f>IF(A752="","",TODAY())</f>
        <v/>
      </c>
      <c r="E752" s="29" t="n"/>
      <c r="F752" s="32">
        <f>IFERROR(IF(OR(A752="",E752=""),"",C752+E752),"")</f>
        <v/>
      </c>
      <c r="G752" s="30" t="n"/>
      <c r="H752" s="31" t="n"/>
    </row>
    <row r="753" ht="20" customHeight="1">
      <c r="A753" s="26" t="n"/>
      <c r="B753" s="27">
        <f>IFERROR(IF(A753="","",VLOOKUP(A753,DATABASE!$A:$B,2,0)),"")</f>
        <v/>
      </c>
      <c r="C753" s="20">
        <f>IFERROR(IF(A753="","",SUMIF(SAVINGS!$A$3:A752,A753,SAVINGS!$E$3:E752)-SUMIF(WITHDRAWALS!$A:$A,A753,WITHDRAWALS!$E:$E)),"")</f>
        <v/>
      </c>
      <c r="D753" s="28">
        <f>IF(A753="","",TODAY())</f>
        <v/>
      </c>
      <c r="E753" s="29" t="n"/>
      <c r="F753" s="20">
        <f>IFERROR(IF(OR(A753="",E753=""),"",C753+E753),"")</f>
        <v/>
      </c>
      <c r="G753" s="30" t="n"/>
      <c r="H753" s="27" t="n"/>
    </row>
    <row r="754" ht="20" customHeight="1">
      <c r="A754" s="26" t="n"/>
      <c r="B754" s="31">
        <f>IFERROR(IF(A754="","",VLOOKUP(A754,DATABASE!$A:$B,2,0)),"")</f>
        <v/>
      </c>
      <c r="C754" s="32">
        <f>IFERROR(IF(A754="","",SUMIF(SAVINGS!$A$3:A753,A754,SAVINGS!$E$3:E753)-SUMIF(WITHDRAWALS!$A:$A,A754,WITHDRAWALS!$E:$E)),"")</f>
        <v/>
      </c>
      <c r="D754" s="33">
        <f>IF(A754="","",TODAY())</f>
        <v/>
      </c>
      <c r="E754" s="29" t="n"/>
      <c r="F754" s="32">
        <f>IFERROR(IF(OR(A754="",E754=""),"",C754+E754),"")</f>
        <v/>
      </c>
      <c r="G754" s="30" t="n"/>
      <c r="H754" s="31" t="n"/>
    </row>
    <row r="755" ht="20" customHeight="1">
      <c r="A755" s="26" t="n"/>
      <c r="B755" s="27">
        <f>IFERROR(IF(A755="","",VLOOKUP(A755,DATABASE!$A:$B,2,0)),"")</f>
        <v/>
      </c>
      <c r="C755" s="20">
        <f>IFERROR(IF(A755="","",SUMIF(SAVINGS!$A$3:A754,A755,SAVINGS!$E$3:E754)-SUMIF(WITHDRAWALS!$A:$A,A755,WITHDRAWALS!$E:$E)),"")</f>
        <v/>
      </c>
      <c r="D755" s="28">
        <f>IF(A755="","",TODAY())</f>
        <v/>
      </c>
      <c r="E755" s="29" t="n"/>
      <c r="F755" s="20">
        <f>IFERROR(IF(OR(A755="",E755=""),"",C755+E755),"")</f>
        <v/>
      </c>
      <c r="G755" s="30" t="n"/>
      <c r="H755" s="27" t="n"/>
    </row>
    <row r="756" ht="20" customHeight="1">
      <c r="A756" s="26" t="n"/>
      <c r="B756" s="31">
        <f>IFERROR(IF(A756="","",VLOOKUP(A756,DATABASE!$A:$B,2,0)),"")</f>
        <v/>
      </c>
      <c r="C756" s="32">
        <f>IFERROR(IF(A756="","",SUMIF(SAVINGS!$A$3:A755,A756,SAVINGS!$E$3:E755)-SUMIF(WITHDRAWALS!$A:$A,A756,WITHDRAWALS!$E:$E)),"")</f>
        <v/>
      </c>
      <c r="D756" s="33">
        <f>IF(A756="","",TODAY())</f>
        <v/>
      </c>
      <c r="E756" s="29" t="n"/>
      <c r="F756" s="32">
        <f>IFERROR(IF(OR(A756="",E756=""),"",C756+E756),"")</f>
        <v/>
      </c>
      <c r="G756" s="30" t="n"/>
      <c r="H756" s="31" t="n"/>
    </row>
    <row r="757" ht="20" customHeight="1">
      <c r="A757" s="26" t="n"/>
      <c r="B757" s="27">
        <f>IFERROR(IF(A757="","",VLOOKUP(A757,DATABASE!$A:$B,2,0)),"")</f>
        <v/>
      </c>
      <c r="C757" s="20">
        <f>IFERROR(IF(A757="","",SUMIF(SAVINGS!$A$3:A756,A757,SAVINGS!$E$3:E756)-SUMIF(WITHDRAWALS!$A:$A,A757,WITHDRAWALS!$E:$E)),"")</f>
        <v/>
      </c>
      <c r="D757" s="28">
        <f>IF(A757="","",TODAY())</f>
        <v/>
      </c>
      <c r="E757" s="29" t="n"/>
      <c r="F757" s="20">
        <f>IFERROR(IF(OR(A757="",E757=""),"",C757+E757),"")</f>
        <v/>
      </c>
      <c r="G757" s="30" t="n"/>
      <c r="H757" s="27" t="n"/>
    </row>
    <row r="758" ht="20" customHeight="1">
      <c r="A758" s="26" t="n"/>
      <c r="B758" s="31">
        <f>IFERROR(IF(A758="","",VLOOKUP(A758,DATABASE!$A:$B,2,0)),"")</f>
        <v/>
      </c>
      <c r="C758" s="32">
        <f>IFERROR(IF(A758="","",SUMIF(SAVINGS!$A$3:A757,A758,SAVINGS!$E$3:E757)-SUMIF(WITHDRAWALS!$A:$A,A758,WITHDRAWALS!$E:$E)),"")</f>
        <v/>
      </c>
      <c r="D758" s="33">
        <f>IF(A758="","",TODAY())</f>
        <v/>
      </c>
      <c r="E758" s="29" t="n"/>
      <c r="F758" s="32">
        <f>IFERROR(IF(OR(A758="",E758=""),"",C758+E758),"")</f>
        <v/>
      </c>
      <c r="G758" s="30" t="n"/>
      <c r="H758" s="31" t="n"/>
    </row>
    <row r="759" ht="20" customHeight="1">
      <c r="A759" s="26" t="n"/>
      <c r="B759" s="27">
        <f>IFERROR(IF(A759="","",VLOOKUP(A759,DATABASE!$A:$B,2,0)),"")</f>
        <v/>
      </c>
      <c r="C759" s="20">
        <f>IFERROR(IF(A759="","",SUMIF(SAVINGS!$A$3:A758,A759,SAVINGS!$E$3:E758)-SUMIF(WITHDRAWALS!$A:$A,A759,WITHDRAWALS!$E:$E)),"")</f>
        <v/>
      </c>
      <c r="D759" s="28">
        <f>IF(A759="","",TODAY())</f>
        <v/>
      </c>
      <c r="E759" s="29" t="n"/>
      <c r="F759" s="20">
        <f>IFERROR(IF(OR(A759="",E759=""),"",C759+E759),"")</f>
        <v/>
      </c>
      <c r="G759" s="30" t="n"/>
      <c r="H759" s="27" t="n"/>
    </row>
    <row r="760" ht="20" customHeight="1">
      <c r="A760" s="26" t="n"/>
      <c r="B760" s="31">
        <f>IFERROR(IF(A760="","",VLOOKUP(A760,DATABASE!$A:$B,2,0)),"")</f>
        <v/>
      </c>
      <c r="C760" s="32">
        <f>IFERROR(IF(A760="","",SUMIF(SAVINGS!$A$3:A759,A760,SAVINGS!$E$3:E759)-SUMIF(WITHDRAWALS!$A:$A,A760,WITHDRAWALS!$E:$E)),"")</f>
        <v/>
      </c>
      <c r="D760" s="33">
        <f>IF(A760="","",TODAY())</f>
        <v/>
      </c>
      <c r="E760" s="29" t="n"/>
      <c r="F760" s="32">
        <f>IFERROR(IF(OR(A760="",E760=""),"",C760+E760),"")</f>
        <v/>
      </c>
      <c r="G760" s="30" t="n"/>
      <c r="H760" s="31" t="n"/>
    </row>
    <row r="761" ht="20" customHeight="1">
      <c r="A761" s="26" t="n"/>
      <c r="B761" s="27">
        <f>IFERROR(IF(A761="","",VLOOKUP(A761,DATABASE!$A:$B,2,0)),"")</f>
        <v/>
      </c>
      <c r="C761" s="20">
        <f>IFERROR(IF(A761="","",SUMIF(SAVINGS!$A$3:A760,A761,SAVINGS!$E$3:E760)-SUMIF(WITHDRAWALS!$A:$A,A761,WITHDRAWALS!$E:$E)),"")</f>
        <v/>
      </c>
      <c r="D761" s="28">
        <f>IF(A761="","",TODAY())</f>
        <v/>
      </c>
      <c r="E761" s="29" t="n"/>
      <c r="F761" s="20">
        <f>IFERROR(IF(OR(A761="",E761=""),"",C761+E761),"")</f>
        <v/>
      </c>
      <c r="G761" s="30" t="n"/>
      <c r="H761" s="27" t="n"/>
    </row>
    <row r="762" ht="20" customHeight="1">
      <c r="A762" s="26" t="n"/>
      <c r="B762" s="31">
        <f>IFERROR(IF(A762="","",VLOOKUP(A762,DATABASE!$A:$B,2,0)),"")</f>
        <v/>
      </c>
      <c r="C762" s="32">
        <f>IFERROR(IF(A762="","",SUMIF(SAVINGS!$A$3:A761,A762,SAVINGS!$E$3:E761)-SUMIF(WITHDRAWALS!$A:$A,A762,WITHDRAWALS!$E:$E)),"")</f>
        <v/>
      </c>
      <c r="D762" s="33">
        <f>IF(A762="","",TODAY())</f>
        <v/>
      </c>
      <c r="E762" s="29" t="n"/>
      <c r="F762" s="32">
        <f>IFERROR(IF(OR(A762="",E762=""),"",C762+E762),"")</f>
        <v/>
      </c>
      <c r="G762" s="30" t="n"/>
      <c r="H762" s="31" t="n"/>
    </row>
    <row r="763" ht="20" customHeight="1">
      <c r="A763" s="26" t="n"/>
      <c r="B763" s="27">
        <f>IFERROR(IF(A763="","",VLOOKUP(A763,DATABASE!$A:$B,2,0)),"")</f>
        <v/>
      </c>
      <c r="C763" s="20">
        <f>IFERROR(IF(A763="","",SUMIF(SAVINGS!$A$3:A762,A763,SAVINGS!$E$3:E762)-SUMIF(WITHDRAWALS!$A:$A,A763,WITHDRAWALS!$E:$E)),"")</f>
        <v/>
      </c>
      <c r="D763" s="28">
        <f>IF(A763="","",TODAY())</f>
        <v/>
      </c>
      <c r="E763" s="29" t="n"/>
      <c r="F763" s="20">
        <f>IFERROR(IF(OR(A763="",E763=""),"",C763+E763),"")</f>
        <v/>
      </c>
      <c r="G763" s="30" t="n"/>
      <c r="H763" s="27" t="n"/>
    </row>
    <row r="764" ht="20" customHeight="1">
      <c r="A764" s="26" t="n"/>
      <c r="B764" s="31">
        <f>IFERROR(IF(A764="","",VLOOKUP(A764,DATABASE!$A:$B,2,0)),"")</f>
        <v/>
      </c>
      <c r="C764" s="32">
        <f>IFERROR(IF(A764="","",SUMIF(SAVINGS!$A$3:A763,A764,SAVINGS!$E$3:E763)-SUMIF(WITHDRAWALS!$A:$A,A764,WITHDRAWALS!$E:$E)),"")</f>
        <v/>
      </c>
      <c r="D764" s="33">
        <f>IF(A764="","",TODAY())</f>
        <v/>
      </c>
      <c r="E764" s="29" t="n"/>
      <c r="F764" s="32">
        <f>IFERROR(IF(OR(A764="",E764=""),"",C764+E764),"")</f>
        <v/>
      </c>
      <c r="G764" s="30" t="n"/>
      <c r="H764" s="31" t="n"/>
    </row>
    <row r="765" ht="20" customHeight="1">
      <c r="A765" s="26" t="n"/>
      <c r="B765" s="27">
        <f>IFERROR(IF(A765="","",VLOOKUP(A765,DATABASE!$A:$B,2,0)),"")</f>
        <v/>
      </c>
      <c r="C765" s="20">
        <f>IFERROR(IF(A765="","",SUMIF(SAVINGS!$A$3:A764,A765,SAVINGS!$E$3:E764)-SUMIF(WITHDRAWALS!$A:$A,A765,WITHDRAWALS!$E:$E)),"")</f>
        <v/>
      </c>
      <c r="D765" s="28">
        <f>IF(A765="","",TODAY())</f>
        <v/>
      </c>
      <c r="E765" s="29" t="n"/>
      <c r="F765" s="20">
        <f>IFERROR(IF(OR(A765="",E765=""),"",C765+E765),"")</f>
        <v/>
      </c>
      <c r="G765" s="30" t="n"/>
      <c r="H765" s="27" t="n"/>
    </row>
    <row r="766" ht="20" customHeight="1">
      <c r="A766" s="26" t="n"/>
      <c r="B766" s="31">
        <f>IFERROR(IF(A766="","",VLOOKUP(A766,DATABASE!$A:$B,2,0)),"")</f>
        <v/>
      </c>
      <c r="C766" s="32">
        <f>IFERROR(IF(A766="","",SUMIF(SAVINGS!$A$3:A765,A766,SAVINGS!$E$3:E765)-SUMIF(WITHDRAWALS!$A:$A,A766,WITHDRAWALS!$E:$E)),"")</f>
        <v/>
      </c>
      <c r="D766" s="33">
        <f>IF(A766="","",TODAY())</f>
        <v/>
      </c>
      <c r="E766" s="29" t="n"/>
      <c r="F766" s="32">
        <f>IFERROR(IF(OR(A766="",E766=""),"",C766+E766),"")</f>
        <v/>
      </c>
      <c r="G766" s="30" t="n"/>
      <c r="H766" s="31" t="n"/>
    </row>
    <row r="767" ht="20" customHeight="1">
      <c r="A767" s="26" t="n"/>
      <c r="B767" s="27">
        <f>IFERROR(IF(A767="","",VLOOKUP(A767,DATABASE!$A:$B,2,0)),"")</f>
        <v/>
      </c>
      <c r="C767" s="20">
        <f>IFERROR(IF(A767="","",SUMIF(SAVINGS!$A$3:A766,A767,SAVINGS!$E$3:E766)-SUMIF(WITHDRAWALS!$A:$A,A767,WITHDRAWALS!$E:$E)),"")</f>
        <v/>
      </c>
      <c r="D767" s="28">
        <f>IF(A767="","",TODAY())</f>
        <v/>
      </c>
      <c r="E767" s="29" t="n"/>
      <c r="F767" s="20">
        <f>IFERROR(IF(OR(A767="",E767=""),"",C767+E767),"")</f>
        <v/>
      </c>
      <c r="G767" s="30" t="n"/>
      <c r="H767" s="27" t="n"/>
    </row>
    <row r="768" ht="20" customHeight="1">
      <c r="A768" s="26" t="n"/>
      <c r="B768" s="31">
        <f>IFERROR(IF(A768="","",VLOOKUP(A768,DATABASE!$A:$B,2,0)),"")</f>
        <v/>
      </c>
      <c r="C768" s="32">
        <f>IFERROR(IF(A768="","",SUMIF(SAVINGS!$A$3:A767,A768,SAVINGS!$E$3:E767)-SUMIF(WITHDRAWALS!$A:$A,A768,WITHDRAWALS!$E:$E)),"")</f>
        <v/>
      </c>
      <c r="D768" s="33">
        <f>IF(A768="","",TODAY())</f>
        <v/>
      </c>
      <c r="E768" s="29" t="n"/>
      <c r="F768" s="32">
        <f>IFERROR(IF(OR(A768="",E768=""),"",C768+E768),"")</f>
        <v/>
      </c>
      <c r="G768" s="30" t="n"/>
      <c r="H768" s="31" t="n"/>
    </row>
    <row r="769" ht="20" customHeight="1">
      <c r="A769" s="26" t="n"/>
      <c r="B769" s="27">
        <f>IFERROR(IF(A769="","",VLOOKUP(A769,DATABASE!$A:$B,2,0)),"")</f>
        <v/>
      </c>
      <c r="C769" s="20">
        <f>IFERROR(IF(A769="","",SUMIF(SAVINGS!$A$3:A768,A769,SAVINGS!$E$3:E768)-SUMIF(WITHDRAWALS!$A:$A,A769,WITHDRAWALS!$E:$E)),"")</f>
        <v/>
      </c>
      <c r="D769" s="28">
        <f>IF(A769="","",TODAY())</f>
        <v/>
      </c>
      <c r="E769" s="29" t="n"/>
      <c r="F769" s="20">
        <f>IFERROR(IF(OR(A769="",E769=""),"",C769+E769),"")</f>
        <v/>
      </c>
      <c r="G769" s="30" t="n"/>
      <c r="H769" s="27" t="n"/>
    </row>
    <row r="770" ht="20" customHeight="1">
      <c r="A770" s="26" t="n"/>
      <c r="B770" s="31">
        <f>IFERROR(IF(A770="","",VLOOKUP(A770,DATABASE!$A:$B,2,0)),"")</f>
        <v/>
      </c>
      <c r="C770" s="32">
        <f>IFERROR(IF(A770="","",SUMIF(SAVINGS!$A$3:A769,A770,SAVINGS!$E$3:E769)-SUMIF(WITHDRAWALS!$A:$A,A770,WITHDRAWALS!$E:$E)),"")</f>
        <v/>
      </c>
      <c r="D770" s="33">
        <f>IF(A770="","",TODAY())</f>
        <v/>
      </c>
      <c r="E770" s="29" t="n"/>
      <c r="F770" s="32">
        <f>IFERROR(IF(OR(A770="",E770=""),"",C770+E770),"")</f>
        <v/>
      </c>
      <c r="G770" s="30" t="n"/>
      <c r="H770" s="31" t="n"/>
    </row>
    <row r="771" ht="20" customHeight="1">
      <c r="A771" s="26" t="n"/>
      <c r="B771" s="27">
        <f>IFERROR(IF(A771="","",VLOOKUP(A771,DATABASE!$A:$B,2,0)),"")</f>
        <v/>
      </c>
      <c r="C771" s="20">
        <f>IFERROR(IF(A771="","",SUMIF(SAVINGS!$A$3:A770,A771,SAVINGS!$E$3:E770)-SUMIF(WITHDRAWALS!$A:$A,A771,WITHDRAWALS!$E:$E)),"")</f>
        <v/>
      </c>
      <c r="D771" s="28">
        <f>IF(A771="","",TODAY())</f>
        <v/>
      </c>
      <c r="E771" s="29" t="n"/>
      <c r="F771" s="20">
        <f>IFERROR(IF(OR(A771="",E771=""),"",C771+E771),"")</f>
        <v/>
      </c>
      <c r="G771" s="30" t="n"/>
      <c r="H771" s="27" t="n"/>
    </row>
    <row r="772" ht="20" customHeight="1">
      <c r="A772" s="26" t="n"/>
      <c r="B772" s="31">
        <f>IFERROR(IF(A772="","",VLOOKUP(A772,DATABASE!$A:$B,2,0)),"")</f>
        <v/>
      </c>
      <c r="C772" s="32">
        <f>IFERROR(IF(A772="","",SUMIF(SAVINGS!$A$3:A771,A772,SAVINGS!$E$3:E771)-SUMIF(WITHDRAWALS!$A:$A,A772,WITHDRAWALS!$E:$E)),"")</f>
        <v/>
      </c>
      <c r="D772" s="33">
        <f>IF(A772="","",TODAY())</f>
        <v/>
      </c>
      <c r="E772" s="29" t="n"/>
      <c r="F772" s="32">
        <f>IFERROR(IF(OR(A772="",E772=""),"",C772+E772),"")</f>
        <v/>
      </c>
      <c r="G772" s="30" t="n"/>
      <c r="H772" s="31" t="n"/>
    </row>
    <row r="773" ht="20" customHeight="1">
      <c r="A773" s="26" t="n"/>
      <c r="B773" s="27">
        <f>IFERROR(IF(A773="","",VLOOKUP(A773,DATABASE!$A:$B,2,0)),"")</f>
        <v/>
      </c>
      <c r="C773" s="20">
        <f>IFERROR(IF(A773="","",SUMIF(SAVINGS!$A$3:A772,A773,SAVINGS!$E$3:E772)-SUMIF(WITHDRAWALS!$A:$A,A773,WITHDRAWALS!$E:$E)),"")</f>
        <v/>
      </c>
      <c r="D773" s="28">
        <f>IF(A773="","",TODAY())</f>
        <v/>
      </c>
      <c r="E773" s="29" t="n"/>
      <c r="F773" s="20">
        <f>IFERROR(IF(OR(A773="",E773=""),"",C773+E773),"")</f>
        <v/>
      </c>
      <c r="G773" s="30" t="n"/>
      <c r="H773" s="27" t="n"/>
    </row>
    <row r="774" ht="20" customHeight="1">
      <c r="A774" s="26" t="n"/>
      <c r="B774" s="31">
        <f>IFERROR(IF(A774="","",VLOOKUP(A774,DATABASE!$A:$B,2,0)),"")</f>
        <v/>
      </c>
      <c r="C774" s="32">
        <f>IFERROR(IF(A774="","",SUMIF(SAVINGS!$A$3:A773,A774,SAVINGS!$E$3:E773)-SUMIF(WITHDRAWALS!$A:$A,A774,WITHDRAWALS!$E:$E)),"")</f>
        <v/>
      </c>
      <c r="D774" s="33">
        <f>IF(A774="","",TODAY())</f>
        <v/>
      </c>
      <c r="E774" s="29" t="n"/>
      <c r="F774" s="32">
        <f>IFERROR(IF(OR(A774="",E774=""),"",C774+E774),"")</f>
        <v/>
      </c>
      <c r="G774" s="30" t="n"/>
      <c r="H774" s="31" t="n"/>
    </row>
    <row r="775" ht="20" customHeight="1">
      <c r="A775" s="26" t="n"/>
      <c r="B775" s="27">
        <f>IFERROR(IF(A775="","",VLOOKUP(A775,DATABASE!$A:$B,2,0)),"")</f>
        <v/>
      </c>
      <c r="C775" s="20">
        <f>IFERROR(IF(A775="","",SUMIF(SAVINGS!$A$3:A774,A775,SAVINGS!$E$3:E774)-SUMIF(WITHDRAWALS!$A:$A,A775,WITHDRAWALS!$E:$E)),"")</f>
        <v/>
      </c>
      <c r="D775" s="28">
        <f>IF(A775="","",TODAY())</f>
        <v/>
      </c>
      <c r="E775" s="29" t="n"/>
      <c r="F775" s="20">
        <f>IFERROR(IF(OR(A775="",E775=""),"",C775+E775),"")</f>
        <v/>
      </c>
      <c r="G775" s="30" t="n"/>
      <c r="H775" s="27" t="n"/>
    </row>
    <row r="776" ht="20" customHeight="1">
      <c r="A776" s="26" t="n"/>
      <c r="B776" s="31">
        <f>IFERROR(IF(A776="","",VLOOKUP(A776,DATABASE!$A:$B,2,0)),"")</f>
        <v/>
      </c>
      <c r="C776" s="32">
        <f>IFERROR(IF(A776="","",SUMIF(SAVINGS!$A$3:A775,A776,SAVINGS!$E$3:E775)-SUMIF(WITHDRAWALS!$A:$A,A776,WITHDRAWALS!$E:$E)),"")</f>
        <v/>
      </c>
      <c r="D776" s="33">
        <f>IF(A776="","",TODAY())</f>
        <v/>
      </c>
      <c r="E776" s="29" t="n"/>
      <c r="F776" s="32">
        <f>IFERROR(IF(OR(A776="",E776=""),"",C776+E776),"")</f>
        <v/>
      </c>
      <c r="G776" s="30" t="n"/>
      <c r="H776" s="31" t="n"/>
    </row>
    <row r="777" ht="20" customHeight="1">
      <c r="A777" s="26" t="n"/>
      <c r="B777" s="27">
        <f>IFERROR(IF(A777="","",VLOOKUP(A777,DATABASE!$A:$B,2,0)),"")</f>
        <v/>
      </c>
      <c r="C777" s="20">
        <f>IFERROR(IF(A777="","",SUMIF(SAVINGS!$A$3:A776,A777,SAVINGS!$E$3:E776)-SUMIF(WITHDRAWALS!$A:$A,A777,WITHDRAWALS!$E:$E)),"")</f>
        <v/>
      </c>
      <c r="D777" s="28">
        <f>IF(A777="","",TODAY())</f>
        <v/>
      </c>
      <c r="E777" s="29" t="n"/>
      <c r="F777" s="20">
        <f>IFERROR(IF(OR(A777="",E777=""),"",C777+E777),"")</f>
        <v/>
      </c>
      <c r="G777" s="30" t="n"/>
      <c r="H777" s="27" t="n"/>
    </row>
    <row r="778" ht="20" customHeight="1">
      <c r="A778" s="26" t="n"/>
      <c r="B778" s="31">
        <f>IFERROR(IF(A778="","",VLOOKUP(A778,DATABASE!$A:$B,2,0)),"")</f>
        <v/>
      </c>
      <c r="C778" s="32">
        <f>IFERROR(IF(A778="","",SUMIF(SAVINGS!$A$3:A777,A778,SAVINGS!$E$3:E777)-SUMIF(WITHDRAWALS!$A:$A,A778,WITHDRAWALS!$E:$E)),"")</f>
        <v/>
      </c>
      <c r="D778" s="33">
        <f>IF(A778="","",TODAY())</f>
        <v/>
      </c>
      <c r="E778" s="29" t="n"/>
      <c r="F778" s="32">
        <f>IFERROR(IF(OR(A778="",E778=""),"",C778+E778),"")</f>
        <v/>
      </c>
      <c r="G778" s="30" t="n"/>
      <c r="H778" s="31" t="n"/>
    </row>
    <row r="779" ht="20" customHeight="1">
      <c r="A779" s="26" t="n"/>
      <c r="B779" s="27">
        <f>IFERROR(IF(A779="","",VLOOKUP(A779,DATABASE!$A:$B,2,0)),"")</f>
        <v/>
      </c>
      <c r="C779" s="20">
        <f>IFERROR(IF(A779="","",SUMIF(SAVINGS!$A$3:A778,A779,SAVINGS!$E$3:E778)-SUMIF(WITHDRAWALS!$A:$A,A779,WITHDRAWALS!$E:$E)),"")</f>
        <v/>
      </c>
      <c r="D779" s="28">
        <f>IF(A779="","",TODAY())</f>
        <v/>
      </c>
      <c r="E779" s="29" t="n"/>
      <c r="F779" s="20">
        <f>IFERROR(IF(OR(A779="",E779=""),"",C779+E779),"")</f>
        <v/>
      </c>
      <c r="G779" s="30" t="n"/>
      <c r="H779" s="27" t="n"/>
    </row>
    <row r="780" ht="20" customHeight="1">
      <c r="A780" s="26" t="n"/>
      <c r="B780" s="31">
        <f>IFERROR(IF(A780="","",VLOOKUP(A780,DATABASE!$A:$B,2,0)),"")</f>
        <v/>
      </c>
      <c r="C780" s="32">
        <f>IFERROR(IF(A780="","",SUMIF(SAVINGS!$A$3:A779,A780,SAVINGS!$E$3:E779)-SUMIF(WITHDRAWALS!$A:$A,A780,WITHDRAWALS!$E:$E)),"")</f>
        <v/>
      </c>
      <c r="D780" s="33">
        <f>IF(A780="","",TODAY())</f>
        <v/>
      </c>
      <c r="E780" s="29" t="n"/>
      <c r="F780" s="32">
        <f>IFERROR(IF(OR(A780="",E780=""),"",C780+E780),"")</f>
        <v/>
      </c>
      <c r="G780" s="30" t="n"/>
      <c r="H780" s="31" t="n"/>
    </row>
    <row r="781" ht="20" customHeight="1">
      <c r="A781" s="26" t="n"/>
      <c r="B781" s="27">
        <f>IFERROR(IF(A781="","",VLOOKUP(A781,DATABASE!$A:$B,2,0)),"")</f>
        <v/>
      </c>
      <c r="C781" s="20">
        <f>IFERROR(IF(A781="","",SUMIF(SAVINGS!$A$3:A780,A781,SAVINGS!$E$3:E780)-SUMIF(WITHDRAWALS!$A:$A,A781,WITHDRAWALS!$E:$E)),"")</f>
        <v/>
      </c>
      <c r="D781" s="28">
        <f>IF(A781="","",TODAY())</f>
        <v/>
      </c>
      <c r="E781" s="29" t="n"/>
      <c r="F781" s="20">
        <f>IFERROR(IF(OR(A781="",E781=""),"",C781+E781),"")</f>
        <v/>
      </c>
      <c r="G781" s="30" t="n"/>
      <c r="H781" s="27" t="n"/>
    </row>
    <row r="782" ht="20" customHeight="1">
      <c r="A782" s="26" t="n"/>
      <c r="B782" s="31">
        <f>IFERROR(IF(A782="","",VLOOKUP(A782,DATABASE!$A:$B,2,0)),"")</f>
        <v/>
      </c>
      <c r="C782" s="32">
        <f>IFERROR(IF(A782="","",SUMIF(SAVINGS!$A$3:A781,A782,SAVINGS!$E$3:E781)-SUMIF(WITHDRAWALS!$A:$A,A782,WITHDRAWALS!$E:$E)),"")</f>
        <v/>
      </c>
      <c r="D782" s="33">
        <f>IF(A782="","",TODAY())</f>
        <v/>
      </c>
      <c r="E782" s="29" t="n"/>
      <c r="F782" s="32">
        <f>IFERROR(IF(OR(A782="",E782=""),"",C782+E782),"")</f>
        <v/>
      </c>
      <c r="G782" s="30" t="n"/>
      <c r="H782" s="31" t="n"/>
    </row>
    <row r="783" ht="20" customHeight="1">
      <c r="A783" s="26" t="n"/>
      <c r="B783" s="27">
        <f>IFERROR(IF(A783="","",VLOOKUP(A783,DATABASE!$A:$B,2,0)),"")</f>
        <v/>
      </c>
      <c r="C783" s="20">
        <f>IFERROR(IF(A783="","",SUMIF(SAVINGS!$A$3:A782,A783,SAVINGS!$E$3:E782)-SUMIF(WITHDRAWALS!$A:$A,A783,WITHDRAWALS!$E:$E)),"")</f>
        <v/>
      </c>
      <c r="D783" s="28">
        <f>IF(A783="","",TODAY())</f>
        <v/>
      </c>
      <c r="E783" s="29" t="n"/>
      <c r="F783" s="20">
        <f>IFERROR(IF(OR(A783="",E783=""),"",C783+E783),"")</f>
        <v/>
      </c>
      <c r="G783" s="30" t="n"/>
      <c r="H783" s="27" t="n"/>
    </row>
    <row r="784" ht="20" customHeight="1">
      <c r="A784" s="26" t="n"/>
      <c r="B784" s="31">
        <f>IFERROR(IF(A784="","",VLOOKUP(A784,DATABASE!$A:$B,2,0)),"")</f>
        <v/>
      </c>
      <c r="C784" s="32">
        <f>IFERROR(IF(A784="","",SUMIF(SAVINGS!$A$3:A783,A784,SAVINGS!$E$3:E783)-SUMIF(WITHDRAWALS!$A:$A,A784,WITHDRAWALS!$E:$E)),"")</f>
        <v/>
      </c>
      <c r="D784" s="33">
        <f>IF(A784="","",TODAY())</f>
        <v/>
      </c>
      <c r="E784" s="29" t="n"/>
      <c r="F784" s="32">
        <f>IFERROR(IF(OR(A784="",E784=""),"",C784+E784),"")</f>
        <v/>
      </c>
      <c r="G784" s="30" t="n"/>
      <c r="H784" s="31" t="n"/>
    </row>
    <row r="785" ht="20" customHeight="1">
      <c r="A785" s="26" t="n"/>
      <c r="B785" s="27">
        <f>IFERROR(IF(A785="","",VLOOKUP(A785,DATABASE!$A:$B,2,0)),"")</f>
        <v/>
      </c>
      <c r="C785" s="20">
        <f>IFERROR(IF(A785="","",SUMIF(SAVINGS!$A$3:A784,A785,SAVINGS!$E$3:E784)-SUMIF(WITHDRAWALS!$A:$A,A785,WITHDRAWALS!$E:$E)),"")</f>
        <v/>
      </c>
      <c r="D785" s="28">
        <f>IF(A785="","",TODAY())</f>
        <v/>
      </c>
      <c r="E785" s="29" t="n"/>
      <c r="F785" s="20">
        <f>IFERROR(IF(OR(A785="",E785=""),"",C785+E785),"")</f>
        <v/>
      </c>
      <c r="G785" s="30" t="n"/>
      <c r="H785" s="27" t="n"/>
    </row>
    <row r="786" ht="20" customHeight="1">
      <c r="A786" s="26" t="n"/>
      <c r="B786" s="31">
        <f>IFERROR(IF(A786="","",VLOOKUP(A786,DATABASE!$A:$B,2,0)),"")</f>
        <v/>
      </c>
      <c r="C786" s="32">
        <f>IFERROR(IF(A786="","",SUMIF(SAVINGS!$A$3:A785,A786,SAVINGS!$E$3:E785)-SUMIF(WITHDRAWALS!$A:$A,A786,WITHDRAWALS!$E:$E)),"")</f>
        <v/>
      </c>
      <c r="D786" s="33">
        <f>IF(A786="","",TODAY())</f>
        <v/>
      </c>
      <c r="E786" s="29" t="n"/>
      <c r="F786" s="32">
        <f>IFERROR(IF(OR(A786="",E786=""),"",C786+E786),"")</f>
        <v/>
      </c>
      <c r="G786" s="30" t="n"/>
      <c r="H786" s="31" t="n"/>
    </row>
    <row r="787" ht="20" customHeight="1">
      <c r="A787" s="26" t="n"/>
      <c r="B787" s="27">
        <f>IFERROR(IF(A787="","",VLOOKUP(A787,DATABASE!$A:$B,2,0)),"")</f>
        <v/>
      </c>
      <c r="C787" s="20">
        <f>IFERROR(IF(A787="","",SUMIF(SAVINGS!$A$3:A786,A787,SAVINGS!$E$3:E786)-SUMIF(WITHDRAWALS!$A:$A,A787,WITHDRAWALS!$E:$E)),"")</f>
        <v/>
      </c>
      <c r="D787" s="28">
        <f>IF(A787="","",TODAY())</f>
        <v/>
      </c>
      <c r="E787" s="29" t="n"/>
      <c r="F787" s="20">
        <f>IFERROR(IF(OR(A787="",E787=""),"",C787+E787),"")</f>
        <v/>
      </c>
      <c r="G787" s="30" t="n"/>
      <c r="H787" s="27" t="n"/>
    </row>
    <row r="788" ht="20" customHeight="1">
      <c r="A788" s="26" t="n"/>
      <c r="B788" s="31">
        <f>IFERROR(IF(A788="","",VLOOKUP(A788,DATABASE!$A:$B,2,0)),"")</f>
        <v/>
      </c>
      <c r="C788" s="32">
        <f>IFERROR(IF(A788="","",SUMIF(SAVINGS!$A$3:A787,A788,SAVINGS!$E$3:E787)-SUMIF(WITHDRAWALS!$A:$A,A788,WITHDRAWALS!$E:$E)),"")</f>
        <v/>
      </c>
      <c r="D788" s="33">
        <f>IF(A788="","",TODAY())</f>
        <v/>
      </c>
      <c r="E788" s="29" t="n"/>
      <c r="F788" s="32">
        <f>IFERROR(IF(OR(A788="",E788=""),"",C788+E788),"")</f>
        <v/>
      </c>
      <c r="G788" s="30" t="n"/>
      <c r="H788" s="31" t="n"/>
    </row>
    <row r="789" ht="20" customHeight="1">
      <c r="A789" s="26" t="n"/>
      <c r="B789" s="27">
        <f>IFERROR(IF(A789="","",VLOOKUP(A789,DATABASE!$A:$B,2,0)),"")</f>
        <v/>
      </c>
      <c r="C789" s="20">
        <f>IFERROR(IF(A789="","",SUMIF(SAVINGS!$A$3:A788,A789,SAVINGS!$E$3:E788)-SUMIF(WITHDRAWALS!$A:$A,A789,WITHDRAWALS!$E:$E)),"")</f>
        <v/>
      </c>
      <c r="D789" s="28">
        <f>IF(A789="","",TODAY())</f>
        <v/>
      </c>
      <c r="E789" s="29" t="n"/>
      <c r="F789" s="20">
        <f>IFERROR(IF(OR(A789="",E789=""),"",C789+E789),"")</f>
        <v/>
      </c>
      <c r="G789" s="30" t="n"/>
      <c r="H789" s="27" t="n"/>
    </row>
    <row r="790" ht="20" customHeight="1">
      <c r="A790" s="26" t="n"/>
      <c r="B790" s="31">
        <f>IFERROR(IF(A790="","",VLOOKUP(A790,DATABASE!$A:$B,2,0)),"")</f>
        <v/>
      </c>
      <c r="C790" s="32">
        <f>IFERROR(IF(A790="","",SUMIF(SAVINGS!$A$3:A789,A790,SAVINGS!$E$3:E789)-SUMIF(WITHDRAWALS!$A:$A,A790,WITHDRAWALS!$E:$E)),"")</f>
        <v/>
      </c>
      <c r="D790" s="33">
        <f>IF(A790="","",TODAY())</f>
        <v/>
      </c>
      <c r="E790" s="29" t="n"/>
      <c r="F790" s="32">
        <f>IFERROR(IF(OR(A790="",E790=""),"",C790+E790),"")</f>
        <v/>
      </c>
      <c r="G790" s="30" t="n"/>
      <c r="H790" s="31" t="n"/>
    </row>
    <row r="791" ht="20" customHeight="1">
      <c r="A791" s="26" t="n"/>
      <c r="B791" s="27">
        <f>IFERROR(IF(A791="","",VLOOKUP(A791,DATABASE!$A:$B,2,0)),"")</f>
        <v/>
      </c>
      <c r="C791" s="20">
        <f>IFERROR(IF(A791="","",SUMIF(SAVINGS!$A$3:A790,A791,SAVINGS!$E$3:E790)-SUMIF(WITHDRAWALS!$A:$A,A791,WITHDRAWALS!$E:$E)),"")</f>
        <v/>
      </c>
      <c r="D791" s="28">
        <f>IF(A791="","",TODAY())</f>
        <v/>
      </c>
      <c r="E791" s="29" t="n"/>
      <c r="F791" s="20">
        <f>IFERROR(IF(OR(A791="",E791=""),"",C791+E791),"")</f>
        <v/>
      </c>
      <c r="G791" s="30" t="n"/>
      <c r="H791" s="27" t="n"/>
    </row>
    <row r="792" ht="20" customHeight="1">
      <c r="A792" s="26" t="n"/>
      <c r="B792" s="31">
        <f>IFERROR(IF(A792="","",VLOOKUP(A792,DATABASE!$A:$B,2,0)),"")</f>
        <v/>
      </c>
      <c r="C792" s="32">
        <f>IFERROR(IF(A792="","",SUMIF(SAVINGS!$A$3:A791,A792,SAVINGS!$E$3:E791)-SUMIF(WITHDRAWALS!$A:$A,A792,WITHDRAWALS!$E:$E)),"")</f>
        <v/>
      </c>
      <c r="D792" s="33">
        <f>IF(A792="","",TODAY())</f>
        <v/>
      </c>
      <c r="E792" s="29" t="n"/>
      <c r="F792" s="32">
        <f>IFERROR(IF(OR(A792="",E792=""),"",C792+E792),"")</f>
        <v/>
      </c>
      <c r="G792" s="30" t="n"/>
      <c r="H792" s="31" t="n"/>
    </row>
    <row r="793" ht="20" customHeight="1">
      <c r="A793" s="26" t="n"/>
      <c r="B793" s="27">
        <f>IFERROR(IF(A793="","",VLOOKUP(A793,DATABASE!$A:$B,2,0)),"")</f>
        <v/>
      </c>
      <c r="C793" s="20">
        <f>IFERROR(IF(A793="","",SUMIF(SAVINGS!$A$3:A792,A793,SAVINGS!$E$3:E792)-SUMIF(WITHDRAWALS!$A:$A,A793,WITHDRAWALS!$E:$E)),"")</f>
        <v/>
      </c>
      <c r="D793" s="28">
        <f>IF(A793="","",TODAY())</f>
        <v/>
      </c>
      <c r="E793" s="29" t="n"/>
      <c r="F793" s="20">
        <f>IFERROR(IF(OR(A793="",E793=""),"",C793+E793),"")</f>
        <v/>
      </c>
      <c r="G793" s="30" t="n"/>
      <c r="H793" s="27" t="n"/>
    </row>
    <row r="794" ht="20" customHeight="1">
      <c r="A794" s="26" t="n"/>
      <c r="B794" s="31">
        <f>IFERROR(IF(A794="","",VLOOKUP(A794,DATABASE!$A:$B,2,0)),"")</f>
        <v/>
      </c>
      <c r="C794" s="32">
        <f>IFERROR(IF(A794="","",SUMIF(SAVINGS!$A$3:A793,A794,SAVINGS!$E$3:E793)-SUMIF(WITHDRAWALS!$A:$A,A794,WITHDRAWALS!$E:$E)),"")</f>
        <v/>
      </c>
      <c r="D794" s="33">
        <f>IF(A794="","",TODAY())</f>
        <v/>
      </c>
      <c r="E794" s="29" t="n"/>
      <c r="F794" s="32">
        <f>IFERROR(IF(OR(A794="",E794=""),"",C794+E794),"")</f>
        <v/>
      </c>
      <c r="G794" s="30" t="n"/>
      <c r="H794" s="31" t="n"/>
    </row>
    <row r="795" ht="20" customHeight="1">
      <c r="A795" s="26" t="n"/>
      <c r="B795" s="27">
        <f>IFERROR(IF(A795="","",VLOOKUP(A795,DATABASE!$A:$B,2,0)),"")</f>
        <v/>
      </c>
      <c r="C795" s="20">
        <f>IFERROR(IF(A795="","",SUMIF(SAVINGS!$A$3:A794,A795,SAVINGS!$E$3:E794)-SUMIF(WITHDRAWALS!$A:$A,A795,WITHDRAWALS!$E:$E)),"")</f>
        <v/>
      </c>
      <c r="D795" s="28">
        <f>IF(A795="","",TODAY())</f>
        <v/>
      </c>
      <c r="E795" s="29" t="n"/>
      <c r="F795" s="20">
        <f>IFERROR(IF(OR(A795="",E795=""),"",C795+E795),"")</f>
        <v/>
      </c>
      <c r="G795" s="30" t="n"/>
      <c r="H795" s="27" t="n"/>
    </row>
    <row r="796" ht="20" customHeight="1">
      <c r="A796" s="26" t="n"/>
      <c r="B796" s="31">
        <f>IFERROR(IF(A796="","",VLOOKUP(A796,DATABASE!$A:$B,2,0)),"")</f>
        <v/>
      </c>
      <c r="C796" s="32">
        <f>IFERROR(IF(A796="","",SUMIF(SAVINGS!$A$3:A795,A796,SAVINGS!$E$3:E795)-SUMIF(WITHDRAWALS!$A:$A,A796,WITHDRAWALS!$E:$E)),"")</f>
        <v/>
      </c>
      <c r="D796" s="33">
        <f>IF(A796="","",TODAY())</f>
        <v/>
      </c>
      <c r="E796" s="29" t="n"/>
      <c r="F796" s="32">
        <f>IFERROR(IF(OR(A796="",E796=""),"",C796+E796),"")</f>
        <v/>
      </c>
      <c r="G796" s="30" t="n"/>
      <c r="H796" s="31" t="n"/>
    </row>
    <row r="797" ht="20" customHeight="1">
      <c r="A797" s="26" t="n"/>
      <c r="B797" s="27">
        <f>IFERROR(IF(A797="","",VLOOKUP(A797,DATABASE!$A:$B,2,0)),"")</f>
        <v/>
      </c>
      <c r="C797" s="20">
        <f>IFERROR(IF(A797="","",SUMIF(SAVINGS!$A$3:A796,A797,SAVINGS!$E$3:E796)-SUMIF(WITHDRAWALS!$A:$A,A797,WITHDRAWALS!$E:$E)),"")</f>
        <v/>
      </c>
      <c r="D797" s="28">
        <f>IF(A797="","",TODAY())</f>
        <v/>
      </c>
      <c r="E797" s="29" t="n"/>
      <c r="F797" s="20">
        <f>IFERROR(IF(OR(A797="",E797=""),"",C797+E797),"")</f>
        <v/>
      </c>
      <c r="G797" s="30" t="n"/>
      <c r="H797" s="27" t="n"/>
    </row>
    <row r="798" ht="20" customHeight="1">
      <c r="A798" s="26" t="n"/>
      <c r="B798" s="31">
        <f>IFERROR(IF(A798="","",VLOOKUP(A798,DATABASE!$A:$B,2,0)),"")</f>
        <v/>
      </c>
      <c r="C798" s="32">
        <f>IFERROR(IF(A798="","",SUMIF(SAVINGS!$A$3:A797,A798,SAVINGS!$E$3:E797)-SUMIF(WITHDRAWALS!$A:$A,A798,WITHDRAWALS!$E:$E)),"")</f>
        <v/>
      </c>
      <c r="D798" s="33">
        <f>IF(A798="","",TODAY())</f>
        <v/>
      </c>
      <c r="E798" s="29" t="n"/>
      <c r="F798" s="32">
        <f>IFERROR(IF(OR(A798="",E798=""),"",C798+E798),"")</f>
        <v/>
      </c>
      <c r="G798" s="30" t="n"/>
      <c r="H798" s="31" t="n"/>
    </row>
    <row r="799" ht="20" customHeight="1">
      <c r="A799" s="26" t="n"/>
      <c r="B799" s="27">
        <f>IFERROR(IF(A799="","",VLOOKUP(A799,DATABASE!$A:$B,2,0)),"")</f>
        <v/>
      </c>
      <c r="C799" s="20">
        <f>IFERROR(IF(A799="","",SUMIF(SAVINGS!$A$3:A798,A799,SAVINGS!$E$3:E798)-SUMIF(WITHDRAWALS!$A:$A,A799,WITHDRAWALS!$E:$E)),"")</f>
        <v/>
      </c>
      <c r="D799" s="28">
        <f>IF(A799="","",TODAY())</f>
        <v/>
      </c>
      <c r="E799" s="29" t="n"/>
      <c r="F799" s="20">
        <f>IFERROR(IF(OR(A799="",E799=""),"",C799+E799),"")</f>
        <v/>
      </c>
      <c r="G799" s="30" t="n"/>
      <c r="H799" s="27" t="n"/>
    </row>
    <row r="800" ht="20" customHeight="1">
      <c r="A800" s="26" t="n"/>
      <c r="B800" s="31">
        <f>IFERROR(IF(A800="","",VLOOKUP(A800,DATABASE!$A:$B,2,0)),"")</f>
        <v/>
      </c>
      <c r="C800" s="32">
        <f>IFERROR(IF(A800="","",SUMIF(SAVINGS!$A$3:A799,A800,SAVINGS!$E$3:E799)-SUMIF(WITHDRAWALS!$A:$A,A800,WITHDRAWALS!$E:$E)),"")</f>
        <v/>
      </c>
      <c r="D800" s="33">
        <f>IF(A800="","",TODAY())</f>
        <v/>
      </c>
      <c r="E800" s="29" t="n"/>
      <c r="F800" s="32">
        <f>IFERROR(IF(OR(A800="",E800=""),"",C800+E800),"")</f>
        <v/>
      </c>
      <c r="G800" s="30" t="n"/>
      <c r="H800" s="31" t="n"/>
    </row>
    <row r="801" ht="20" customHeight="1">
      <c r="A801" s="26" t="n"/>
      <c r="B801" s="27">
        <f>IFERROR(IF(A801="","",VLOOKUP(A801,DATABASE!$A:$B,2,0)),"")</f>
        <v/>
      </c>
      <c r="C801" s="20">
        <f>IFERROR(IF(A801="","",SUMIF(SAVINGS!$A$3:A800,A801,SAVINGS!$E$3:E800)-SUMIF(WITHDRAWALS!$A:$A,A801,WITHDRAWALS!$E:$E)),"")</f>
        <v/>
      </c>
      <c r="D801" s="28">
        <f>IF(A801="","",TODAY())</f>
        <v/>
      </c>
      <c r="E801" s="29" t="n"/>
      <c r="F801" s="20">
        <f>IFERROR(IF(OR(A801="",E801=""),"",C801+E801),"")</f>
        <v/>
      </c>
      <c r="G801" s="30" t="n"/>
      <c r="H801" s="27" t="n"/>
    </row>
    <row r="802" ht="20" customHeight="1">
      <c r="A802" s="26" t="n"/>
      <c r="B802" s="31">
        <f>IFERROR(IF(A802="","",VLOOKUP(A802,DATABASE!$A:$B,2,0)),"")</f>
        <v/>
      </c>
      <c r="C802" s="32">
        <f>IFERROR(IF(A802="","",SUMIF(SAVINGS!$A$3:A801,A802,SAVINGS!$E$3:E801)-SUMIF(WITHDRAWALS!$A:$A,A802,WITHDRAWALS!$E:$E)),"")</f>
        <v/>
      </c>
      <c r="D802" s="33">
        <f>IF(A802="","",TODAY())</f>
        <v/>
      </c>
      <c r="E802" s="29" t="n"/>
      <c r="F802" s="32">
        <f>IFERROR(IF(OR(A802="",E802=""),"",C802+E802),"")</f>
        <v/>
      </c>
      <c r="G802" s="30" t="n"/>
      <c r="H802" s="31" t="n"/>
    </row>
    <row r="803" ht="20" customHeight="1">
      <c r="A803" s="26" t="n"/>
      <c r="B803" s="27">
        <f>IFERROR(IF(A803="","",VLOOKUP(A803,DATABASE!$A:$B,2,0)),"")</f>
        <v/>
      </c>
      <c r="C803" s="20">
        <f>IFERROR(IF(A803="","",SUMIF(SAVINGS!$A$3:A802,A803,SAVINGS!$E$3:E802)-SUMIF(WITHDRAWALS!$A:$A,A803,WITHDRAWALS!$E:$E)),"")</f>
        <v/>
      </c>
      <c r="D803" s="28">
        <f>IF(A803="","",TODAY())</f>
        <v/>
      </c>
      <c r="E803" s="29" t="n"/>
      <c r="F803" s="20">
        <f>IFERROR(IF(OR(A803="",E803=""),"",C803+E803),"")</f>
        <v/>
      </c>
      <c r="G803" s="30" t="n"/>
      <c r="H803" s="27" t="n"/>
    </row>
    <row r="804" ht="20" customHeight="1">
      <c r="A804" s="26" t="n"/>
      <c r="B804" s="31">
        <f>IFERROR(IF(A804="","",VLOOKUP(A804,DATABASE!$A:$B,2,0)),"")</f>
        <v/>
      </c>
      <c r="C804" s="32">
        <f>IFERROR(IF(A804="","",SUMIF(SAVINGS!$A$3:A803,A804,SAVINGS!$E$3:E803)-SUMIF(WITHDRAWALS!$A:$A,A804,WITHDRAWALS!$E:$E)),"")</f>
        <v/>
      </c>
      <c r="D804" s="33">
        <f>IF(A804="","",TODAY())</f>
        <v/>
      </c>
      <c r="E804" s="29" t="n"/>
      <c r="F804" s="32">
        <f>IFERROR(IF(OR(A804="",E804=""),"",C804+E804),"")</f>
        <v/>
      </c>
      <c r="G804" s="30" t="n"/>
      <c r="H804" s="31" t="n"/>
    </row>
    <row r="805" ht="20" customHeight="1">
      <c r="A805" s="26" t="n"/>
      <c r="B805" s="27">
        <f>IFERROR(IF(A805="","",VLOOKUP(A805,DATABASE!$A:$B,2,0)),"")</f>
        <v/>
      </c>
      <c r="C805" s="20">
        <f>IFERROR(IF(A805="","",SUMIF(SAVINGS!$A$3:A804,A805,SAVINGS!$E$3:E804)-SUMIF(WITHDRAWALS!$A:$A,A805,WITHDRAWALS!$E:$E)),"")</f>
        <v/>
      </c>
      <c r="D805" s="28">
        <f>IF(A805="","",TODAY())</f>
        <v/>
      </c>
      <c r="E805" s="29" t="n"/>
      <c r="F805" s="20">
        <f>IFERROR(IF(OR(A805="",E805=""),"",C805+E805),"")</f>
        <v/>
      </c>
      <c r="G805" s="30" t="n"/>
      <c r="H805" s="27" t="n"/>
    </row>
    <row r="806" ht="20" customHeight="1">
      <c r="A806" s="26" t="n"/>
      <c r="B806" s="31">
        <f>IFERROR(IF(A806="","",VLOOKUP(A806,DATABASE!$A:$B,2,0)),"")</f>
        <v/>
      </c>
      <c r="C806" s="32">
        <f>IFERROR(IF(A806="","",SUMIF(SAVINGS!$A$3:A805,A806,SAVINGS!$E$3:E805)-SUMIF(WITHDRAWALS!$A:$A,A806,WITHDRAWALS!$E:$E)),"")</f>
        <v/>
      </c>
      <c r="D806" s="33">
        <f>IF(A806="","",TODAY())</f>
        <v/>
      </c>
      <c r="E806" s="29" t="n"/>
      <c r="F806" s="32">
        <f>IFERROR(IF(OR(A806="",E806=""),"",C806+E806),"")</f>
        <v/>
      </c>
      <c r="G806" s="30" t="n"/>
      <c r="H806" s="31" t="n"/>
    </row>
    <row r="807" ht="20" customHeight="1">
      <c r="A807" s="26" t="n"/>
      <c r="B807" s="27">
        <f>IFERROR(IF(A807="","",VLOOKUP(A807,DATABASE!$A:$B,2,0)),"")</f>
        <v/>
      </c>
      <c r="C807" s="20">
        <f>IFERROR(IF(A807="","",SUMIF(SAVINGS!$A$3:A806,A807,SAVINGS!$E$3:E806)-SUMIF(WITHDRAWALS!$A:$A,A807,WITHDRAWALS!$E:$E)),"")</f>
        <v/>
      </c>
      <c r="D807" s="28">
        <f>IF(A807="","",TODAY())</f>
        <v/>
      </c>
      <c r="E807" s="29" t="n"/>
      <c r="F807" s="20">
        <f>IFERROR(IF(OR(A807="",E807=""),"",C807+E807),"")</f>
        <v/>
      </c>
      <c r="G807" s="30" t="n"/>
      <c r="H807" s="27" t="n"/>
    </row>
    <row r="808" ht="20" customHeight="1">
      <c r="A808" s="26" t="n"/>
      <c r="B808" s="31">
        <f>IFERROR(IF(A808="","",VLOOKUP(A808,DATABASE!$A:$B,2,0)),"")</f>
        <v/>
      </c>
      <c r="C808" s="32">
        <f>IFERROR(IF(A808="","",SUMIF(SAVINGS!$A$3:A807,A808,SAVINGS!$E$3:E807)-SUMIF(WITHDRAWALS!$A:$A,A808,WITHDRAWALS!$E:$E)),"")</f>
        <v/>
      </c>
      <c r="D808" s="33">
        <f>IF(A808="","",TODAY())</f>
        <v/>
      </c>
      <c r="E808" s="29" t="n"/>
      <c r="F808" s="32">
        <f>IFERROR(IF(OR(A808="",E808=""),"",C808+E808),"")</f>
        <v/>
      </c>
      <c r="G808" s="30" t="n"/>
      <c r="H808" s="31" t="n"/>
    </row>
    <row r="809" ht="20" customHeight="1">
      <c r="A809" s="26" t="n"/>
      <c r="B809" s="27">
        <f>IFERROR(IF(A809="","",VLOOKUP(A809,DATABASE!$A:$B,2,0)),"")</f>
        <v/>
      </c>
      <c r="C809" s="20">
        <f>IFERROR(IF(A809="","",SUMIF(SAVINGS!$A$3:A808,A809,SAVINGS!$E$3:E808)-SUMIF(WITHDRAWALS!$A:$A,A809,WITHDRAWALS!$E:$E)),"")</f>
        <v/>
      </c>
      <c r="D809" s="28">
        <f>IF(A809="","",TODAY())</f>
        <v/>
      </c>
      <c r="E809" s="29" t="n"/>
      <c r="F809" s="20">
        <f>IFERROR(IF(OR(A809="",E809=""),"",C809+E809),"")</f>
        <v/>
      </c>
      <c r="G809" s="30" t="n"/>
      <c r="H809" s="27" t="n"/>
    </row>
    <row r="810" ht="20" customHeight="1">
      <c r="A810" s="26" t="n"/>
      <c r="B810" s="31">
        <f>IFERROR(IF(A810="","",VLOOKUP(A810,DATABASE!$A:$B,2,0)),"")</f>
        <v/>
      </c>
      <c r="C810" s="32">
        <f>IFERROR(IF(A810="","",SUMIF(SAVINGS!$A$3:A809,A810,SAVINGS!$E$3:E809)-SUMIF(WITHDRAWALS!$A:$A,A810,WITHDRAWALS!$E:$E)),"")</f>
        <v/>
      </c>
      <c r="D810" s="33">
        <f>IF(A810="","",TODAY())</f>
        <v/>
      </c>
      <c r="E810" s="29" t="n"/>
      <c r="F810" s="32">
        <f>IFERROR(IF(OR(A810="",E810=""),"",C810+E810),"")</f>
        <v/>
      </c>
      <c r="G810" s="30" t="n"/>
      <c r="H810" s="31" t="n"/>
    </row>
    <row r="811" ht="20" customHeight="1">
      <c r="A811" s="26" t="n"/>
      <c r="B811" s="27">
        <f>IFERROR(IF(A811="","",VLOOKUP(A811,DATABASE!$A:$B,2,0)),"")</f>
        <v/>
      </c>
      <c r="C811" s="20">
        <f>IFERROR(IF(A811="","",SUMIF(SAVINGS!$A$3:A810,A811,SAVINGS!$E$3:E810)-SUMIF(WITHDRAWALS!$A:$A,A811,WITHDRAWALS!$E:$E)),"")</f>
        <v/>
      </c>
      <c r="D811" s="28">
        <f>IF(A811="","",TODAY())</f>
        <v/>
      </c>
      <c r="E811" s="29" t="n"/>
      <c r="F811" s="20">
        <f>IFERROR(IF(OR(A811="",E811=""),"",C811+E811),"")</f>
        <v/>
      </c>
      <c r="G811" s="30" t="n"/>
      <c r="H811" s="27" t="n"/>
    </row>
    <row r="812" ht="20" customHeight="1">
      <c r="A812" s="26" t="n"/>
      <c r="B812" s="31">
        <f>IFERROR(IF(A812="","",VLOOKUP(A812,DATABASE!$A:$B,2,0)),"")</f>
        <v/>
      </c>
      <c r="C812" s="32">
        <f>IFERROR(IF(A812="","",SUMIF(SAVINGS!$A$3:A811,A812,SAVINGS!$E$3:E811)-SUMIF(WITHDRAWALS!$A:$A,A812,WITHDRAWALS!$E:$E)),"")</f>
        <v/>
      </c>
      <c r="D812" s="33">
        <f>IF(A812="","",TODAY())</f>
        <v/>
      </c>
      <c r="E812" s="29" t="n"/>
      <c r="F812" s="32">
        <f>IFERROR(IF(OR(A812="",E812=""),"",C812+E812),"")</f>
        <v/>
      </c>
      <c r="G812" s="30" t="n"/>
      <c r="H812" s="31" t="n"/>
    </row>
    <row r="813" ht="20" customHeight="1">
      <c r="A813" s="26" t="n"/>
      <c r="B813" s="27">
        <f>IFERROR(IF(A813="","",VLOOKUP(A813,DATABASE!$A:$B,2,0)),"")</f>
        <v/>
      </c>
      <c r="C813" s="20">
        <f>IFERROR(IF(A813="","",SUMIF(SAVINGS!$A$3:A812,A813,SAVINGS!$E$3:E812)-SUMIF(WITHDRAWALS!$A:$A,A813,WITHDRAWALS!$E:$E)),"")</f>
        <v/>
      </c>
      <c r="D813" s="28">
        <f>IF(A813="","",TODAY())</f>
        <v/>
      </c>
      <c r="E813" s="29" t="n"/>
      <c r="F813" s="20">
        <f>IFERROR(IF(OR(A813="",E813=""),"",C813+E813),"")</f>
        <v/>
      </c>
      <c r="G813" s="30" t="n"/>
      <c r="H813" s="27" t="n"/>
    </row>
    <row r="814" ht="20" customHeight="1">
      <c r="A814" s="26" t="n"/>
      <c r="B814" s="31">
        <f>IFERROR(IF(A814="","",VLOOKUP(A814,DATABASE!$A:$B,2,0)),"")</f>
        <v/>
      </c>
      <c r="C814" s="32">
        <f>IFERROR(IF(A814="","",SUMIF(SAVINGS!$A$3:A813,A814,SAVINGS!$E$3:E813)-SUMIF(WITHDRAWALS!$A:$A,A814,WITHDRAWALS!$E:$E)),"")</f>
        <v/>
      </c>
      <c r="D814" s="33">
        <f>IF(A814="","",TODAY())</f>
        <v/>
      </c>
      <c r="E814" s="29" t="n"/>
      <c r="F814" s="32">
        <f>IFERROR(IF(OR(A814="",E814=""),"",C814+E814),"")</f>
        <v/>
      </c>
      <c r="G814" s="30" t="n"/>
      <c r="H814" s="31" t="n"/>
    </row>
    <row r="815" ht="20" customHeight="1">
      <c r="A815" s="26" t="n"/>
      <c r="B815" s="27">
        <f>IFERROR(IF(A815="","",VLOOKUP(A815,DATABASE!$A:$B,2,0)),"")</f>
        <v/>
      </c>
      <c r="C815" s="20">
        <f>IFERROR(IF(A815="","",SUMIF(SAVINGS!$A$3:A814,A815,SAVINGS!$E$3:E814)-SUMIF(WITHDRAWALS!$A:$A,A815,WITHDRAWALS!$E:$E)),"")</f>
        <v/>
      </c>
      <c r="D815" s="28">
        <f>IF(A815="","",TODAY())</f>
        <v/>
      </c>
      <c r="E815" s="29" t="n"/>
      <c r="F815" s="20">
        <f>IFERROR(IF(OR(A815="",E815=""),"",C815+E815),"")</f>
        <v/>
      </c>
      <c r="G815" s="30" t="n"/>
      <c r="H815" s="27" t="n"/>
    </row>
    <row r="816" ht="20" customHeight="1">
      <c r="A816" s="26" t="n"/>
      <c r="B816" s="31">
        <f>IFERROR(IF(A816="","",VLOOKUP(A816,DATABASE!$A:$B,2,0)),"")</f>
        <v/>
      </c>
      <c r="C816" s="32">
        <f>IFERROR(IF(A816="","",SUMIF(SAVINGS!$A$3:A815,A816,SAVINGS!$E$3:E815)-SUMIF(WITHDRAWALS!$A:$A,A816,WITHDRAWALS!$E:$E)),"")</f>
        <v/>
      </c>
      <c r="D816" s="33">
        <f>IF(A816="","",TODAY())</f>
        <v/>
      </c>
      <c r="E816" s="29" t="n"/>
      <c r="F816" s="32">
        <f>IFERROR(IF(OR(A816="",E816=""),"",C816+E816),"")</f>
        <v/>
      </c>
      <c r="G816" s="30" t="n"/>
      <c r="H816" s="31" t="n"/>
    </row>
    <row r="817" ht="20" customHeight="1">
      <c r="A817" s="26" t="n"/>
      <c r="B817" s="27">
        <f>IFERROR(IF(A817="","",VLOOKUP(A817,DATABASE!$A:$B,2,0)),"")</f>
        <v/>
      </c>
      <c r="C817" s="20">
        <f>IFERROR(IF(A817="","",SUMIF(SAVINGS!$A$3:A816,A817,SAVINGS!$E$3:E816)-SUMIF(WITHDRAWALS!$A:$A,A817,WITHDRAWALS!$E:$E)),"")</f>
        <v/>
      </c>
      <c r="D817" s="28">
        <f>IF(A817="","",TODAY())</f>
        <v/>
      </c>
      <c r="E817" s="29" t="n"/>
      <c r="F817" s="20">
        <f>IFERROR(IF(OR(A817="",E817=""),"",C817+E817),"")</f>
        <v/>
      </c>
      <c r="G817" s="30" t="n"/>
      <c r="H817" s="27" t="n"/>
    </row>
    <row r="818" ht="20" customHeight="1">
      <c r="A818" s="26" t="n"/>
      <c r="B818" s="31">
        <f>IFERROR(IF(A818="","",VLOOKUP(A818,DATABASE!$A:$B,2,0)),"")</f>
        <v/>
      </c>
      <c r="C818" s="32">
        <f>IFERROR(IF(A818="","",SUMIF(SAVINGS!$A$3:A817,A818,SAVINGS!$E$3:E817)-SUMIF(WITHDRAWALS!$A:$A,A818,WITHDRAWALS!$E:$E)),"")</f>
        <v/>
      </c>
      <c r="D818" s="33">
        <f>IF(A818="","",TODAY())</f>
        <v/>
      </c>
      <c r="E818" s="29" t="n"/>
      <c r="F818" s="32">
        <f>IFERROR(IF(OR(A818="",E818=""),"",C818+E818),"")</f>
        <v/>
      </c>
      <c r="G818" s="30" t="n"/>
      <c r="H818" s="31" t="n"/>
    </row>
    <row r="819" ht="20" customHeight="1">
      <c r="A819" s="26" t="n"/>
      <c r="B819" s="27">
        <f>IFERROR(IF(A819="","",VLOOKUP(A819,DATABASE!$A:$B,2,0)),"")</f>
        <v/>
      </c>
      <c r="C819" s="20">
        <f>IFERROR(IF(A819="","",SUMIF(SAVINGS!$A$3:A818,A819,SAVINGS!$E$3:E818)-SUMIF(WITHDRAWALS!$A:$A,A819,WITHDRAWALS!$E:$E)),"")</f>
        <v/>
      </c>
      <c r="D819" s="28">
        <f>IF(A819="","",TODAY())</f>
        <v/>
      </c>
      <c r="E819" s="29" t="n"/>
      <c r="F819" s="20">
        <f>IFERROR(IF(OR(A819="",E819=""),"",C819+E819),"")</f>
        <v/>
      </c>
      <c r="G819" s="30" t="n"/>
      <c r="H819" s="27" t="n"/>
    </row>
    <row r="820" ht="20" customHeight="1">
      <c r="A820" s="26" t="n"/>
      <c r="B820" s="31">
        <f>IFERROR(IF(A820="","",VLOOKUP(A820,DATABASE!$A:$B,2,0)),"")</f>
        <v/>
      </c>
      <c r="C820" s="32">
        <f>IFERROR(IF(A820="","",SUMIF(SAVINGS!$A$3:A819,A820,SAVINGS!$E$3:E819)-SUMIF(WITHDRAWALS!$A:$A,A820,WITHDRAWALS!$E:$E)),"")</f>
        <v/>
      </c>
      <c r="D820" s="33">
        <f>IF(A820="","",TODAY())</f>
        <v/>
      </c>
      <c r="E820" s="29" t="n"/>
      <c r="F820" s="32">
        <f>IFERROR(IF(OR(A820="",E820=""),"",C820+E820),"")</f>
        <v/>
      </c>
      <c r="G820" s="30" t="n"/>
      <c r="H820" s="31" t="n"/>
    </row>
    <row r="821" ht="20" customHeight="1">
      <c r="A821" s="26" t="n"/>
      <c r="B821" s="27">
        <f>IFERROR(IF(A821="","",VLOOKUP(A821,DATABASE!$A:$B,2,0)),"")</f>
        <v/>
      </c>
      <c r="C821" s="20">
        <f>IFERROR(IF(A821="","",SUMIF(SAVINGS!$A$3:A820,A821,SAVINGS!$E$3:E820)-SUMIF(WITHDRAWALS!$A:$A,A821,WITHDRAWALS!$E:$E)),"")</f>
        <v/>
      </c>
      <c r="D821" s="28">
        <f>IF(A821="","",TODAY())</f>
        <v/>
      </c>
      <c r="E821" s="29" t="n"/>
      <c r="F821" s="20">
        <f>IFERROR(IF(OR(A821="",E821=""),"",C821+E821),"")</f>
        <v/>
      </c>
      <c r="G821" s="30" t="n"/>
      <c r="H821" s="27" t="n"/>
    </row>
    <row r="822" ht="20" customHeight="1">
      <c r="A822" s="26" t="n"/>
      <c r="B822" s="31">
        <f>IFERROR(IF(A822="","",VLOOKUP(A822,DATABASE!$A:$B,2,0)),"")</f>
        <v/>
      </c>
      <c r="C822" s="32">
        <f>IFERROR(IF(A822="","",SUMIF(SAVINGS!$A$3:A821,A822,SAVINGS!$E$3:E821)-SUMIF(WITHDRAWALS!$A:$A,A822,WITHDRAWALS!$E:$E)),"")</f>
        <v/>
      </c>
      <c r="D822" s="33">
        <f>IF(A822="","",TODAY())</f>
        <v/>
      </c>
      <c r="E822" s="29" t="n"/>
      <c r="F822" s="32">
        <f>IFERROR(IF(OR(A822="",E822=""),"",C822+E822),"")</f>
        <v/>
      </c>
      <c r="G822" s="30" t="n"/>
      <c r="H822" s="31" t="n"/>
    </row>
    <row r="823" ht="20" customHeight="1">
      <c r="A823" s="26" t="n"/>
      <c r="B823" s="27">
        <f>IFERROR(IF(A823="","",VLOOKUP(A823,DATABASE!$A:$B,2,0)),"")</f>
        <v/>
      </c>
      <c r="C823" s="20">
        <f>IFERROR(IF(A823="","",SUMIF(SAVINGS!$A$3:A822,A823,SAVINGS!$E$3:E822)-SUMIF(WITHDRAWALS!$A:$A,A823,WITHDRAWALS!$E:$E)),"")</f>
        <v/>
      </c>
      <c r="D823" s="28">
        <f>IF(A823="","",TODAY())</f>
        <v/>
      </c>
      <c r="E823" s="29" t="n"/>
      <c r="F823" s="20">
        <f>IFERROR(IF(OR(A823="",E823=""),"",C823+E823),"")</f>
        <v/>
      </c>
      <c r="G823" s="30" t="n"/>
      <c r="H823" s="27" t="n"/>
    </row>
    <row r="824" ht="20" customHeight="1">
      <c r="A824" s="26" t="n"/>
      <c r="B824" s="31">
        <f>IFERROR(IF(A824="","",VLOOKUP(A824,DATABASE!$A:$B,2,0)),"")</f>
        <v/>
      </c>
      <c r="C824" s="32">
        <f>IFERROR(IF(A824="","",SUMIF(SAVINGS!$A$3:A823,A824,SAVINGS!$E$3:E823)-SUMIF(WITHDRAWALS!$A:$A,A824,WITHDRAWALS!$E:$E)),"")</f>
        <v/>
      </c>
      <c r="D824" s="33">
        <f>IF(A824="","",TODAY())</f>
        <v/>
      </c>
      <c r="E824" s="29" t="n"/>
      <c r="F824" s="32">
        <f>IFERROR(IF(OR(A824="",E824=""),"",C824+E824),"")</f>
        <v/>
      </c>
      <c r="G824" s="30" t="n"/>
      <c r="H824" s="31" t="n"/>
    </row>
    <row r="825" ht="20" customHeight="1">
      <c r="A825" s="26" t="n"/>
      <c r="B825" s="27">
        <f>IFERROR(IF(A825="","",VLOOKUP(A825,DATABASE!$A:$B,2,0)),"")</f>
        <v/>
      </c>
      <c r="C825" s="20">
        <f>IFERROR(IF(A825="","",SUMIF(SAVINGS!$A$3:A824,A825,SAVINGS!$E$3:E824)-SUMIF(WITHDRAWALS!$A:$A,A825,WITHDRAWALS!$E:$E)),"")</f>
        <v/>
      </c>
      <c r="D825" s="28">
        <f>IF(A825="","",TODAY())</f>
        <v/>
      </c>
      <c r="E825" s="29" t="n"/>
      <c r="F825" s="20">
        <f>IFERROR(IF(OR(A825="",E825=""),"",C825+E825),"")</f>
        <v/>
      </c>
      <c r="G825" s="30" t="n"/>
      <c r="H825" s="27" t="n"/>
    </row>
    <row r="826" ht="20" customHeight="1">
      <c r="A826" s="26" t="n"/>
      <c r="B826" s="31">
        <f>IFERROR(IF(A826="","",VLOOKUP(A826,DATABASE!$A:$B,2,0)),"")</f>
        <v/>
      </c>
      <c r="C826" s="32">
        <f>IFERROR(IF(A826="","",SUMIF(SAVINGS!$A$3:A825,A826,SAVINGS!$E$3:E825)-SUMIF(WITHDRAWALS!$A:$A,A826,WITHDRAWALS!$E:$E)),"")</f>
        <v/>
      </c>
      <c r="D826" s="33">
        <f>IF(A826="","",TODAY())</f>
        <v/>
      </c>
      <c r="E826" s="29" t="n"/>
      <c r="F826" s="32">
        <f>IFERROR(IF(OR(A826="",E826=""),"",C826+E826),"")</f>
        <v/>
      </c>
      <c r="G826" s="30" t="n"/>
      <c r="H826" s="31" t="n"/>
    </row>
    <row r="827" ht="20" customHeight="1">
      <c r="A827" s="26" t="n"/>
      <c r="B827" s="27">
        <f>IFERROR(IF(A827="","",VLOOKUP(A827,DATABASE!$A:$B,2,0)),"")</f>
        <v/>
      </c>
      <c r="C827" s="20">
        <f>IFERROR(IF(A827="","",SUMIF(SAVINGS!$A$3:A826,A827,SAVINGS!$E$3:E826)-SUMIF(WITHDRAWALS!$A:$A,A827,WITHDRAWALS!$E:$E)),"")</f>
        <v/>
      </c>
      <c r="D827" s="28">
        <f>IF(A827="","",TODAY())</f>
        <v/>
      </c>
      <c r="E827" s="29" t="n"/>
      <c r="F827" s="20">
        <f>IFERROR(IF(OR(A827="",E827=""),"",C827+E827),"")</f>
        <v/>
      </c>
      <c r="G827" s="30" t="n"/>
      <c r="H827" s="27" t="n"/>
    </row>
    <row r="828" ht="20" customHeight="1">
      <c r="A828" s="26" t="n"/>
      <c r="B828" s="31">
        <f>IFERROR(IF(A828="","",VLOOKUP(A828,DATABASE!$A:$B,2,0)),"")</f>
        <v/>
      </c>
      <c r="C828" s="32">
        <f>IFERROR(IF(A828="","",SUMIF(SAVINGS!$A$3:A827,A828,SAVINGS!$E$3:E827)-SUMIF(WITHDRAWALS!$A:$A,A828,WITHDRAWALS!$E:$E)),"")</f>
        <v/>
      </c>
      <c r="D828" s="33">
        <f>IF(A828="","",TODAY())</f>
        <v/>
      </c>
      <c r="E828" s="29" t="n"/>
      <c r="F828" s="32">
        <f>IFERROR(IF(OR(A828="",E828=""),"",C828+E828),"")</f>
        <v/>
      </c>
      <c r="G828" s="30" t="n"/>
      <c r="H828" s="31" t="n"/>
    </row>
    <row r="829" ht="20" customHeight="1">
      <c r="A829" s="26" t="n"/>
      <c r="B829" s="27">
        <f>IFERROR(IF(A829="","",VLOOKUP(A829,DATABASE!$A:$B,2,0)),"")</f>
        <v/>
      </c>
      <c r="C829" s="20">
        <f>IFERROR(IF(A829="","",SUMIF(SAVINGS!$A$3:A828,A829,SAVINGS!$E$3:E828)-SUMIF(WITHDRAWALS!$A:$A,A829,WITHDRAWALS!$E:$E)),"")</f>
        <v/>
      </c>
      <c r="D829" s="28">
        <f>IF(A829="","",TODAY())</f>
        <v/>
      </c>
      <c r="E829" s="29" t="n"/>
      <c r="F829" s="20">
        <f>IFERROR(IF(OR(A829="",E829=""),"",C829+E829),"")</f>
        <v/>
      </c>
      <c r="G829" s="30" t="n"/>
      <c r="H829" s="27" t="n"/>
    </row>
    <row r="830" ht="20" customHeight="1">
      <c r="A830" s="26" t="n"/>
      <c r="B830" s="31">
        <f>IFERROR(IF(A830="","",VLOOKUP(A830,DATABASE!$A:$B,2,0)),"")</f>
        <v/>
      </c>
      <c r="C830" s="32">
        <f>IFERROR(IF(A830="","",SUMIF(SAVINGS!$A$3:A829,A830,SAVINGS!$E$3:E829)-SUMIF(WITHDRAWALS!$A:$A,A830,WITHDRAWALS!$E:$E)),"")</f>
        <v/>
      </c>
      <c r="D830" s="33">
        <f>IF(A830="","",TODAY())</f>
        <v/>
      </c>
      <c r="E830" s="29" t="n"/>
      <c r="F830" s="32">
        <f>IFERROR(IF(OR(A830="",E830=""),"",C830+E830),"")</f>
        <v/>
      </c>
      <c r="G830" s="30" t="n"/>
      <c r="H830" s="31" t="n"/>
    </row>
    <row r="831" ht="20" customHeight="1">
      <c r="A831" s="26" t="n"/>
      <c r="B831" s="27">
        <f>IFERROR(IF(A831="","",VLOOKUP(A831,DATABASE!$A:$B,2,0)),"")</f>
        <v/>
      </c>
      <c r="C831" s="20">
        <f>IFERROR(IF(A831="","",SUMIF(SAVINGS!$A$3:A830,A831,SAVINGS!$E$3:E830)-SUMIF(WITHDRAWALS!$A:$A,A831,WITHDRAWALS!$E:$E)),"")</f>
        <v/>
      </c>
      <c r="D831" s="28">
        <f>IF(A831="","",TODAY())</f>
        <v/>
      </c>
      <c r="E831" s="29" t="n"/>
      <c r="F831" s="20">
        <f>IFERROR(IF(OR(A831="",E831=""),"",C831+E831),"")</f>
        <v/>
      </c>
      <c r="G831" s="30" t="n"/>
      <c r="H831" s="27" t="n"/>
    </row>
    <row r="832" ht="20" customHeight="1">
      <c r="A832" s="26" t="n"/>
      <c r="B832" s="31">
        <f>IFERROR(IF(A832="","",VLOOKUP(A832,DATABASE!$A:$B,2,0)),"")</f>
        <v/>
      </c>
      <c r="C832" s="32">
        <f>IFERROR(IF(A832="","",SUMIF(SAVINGS!$A$3:A831,A832,SAVINGS!$E$3:E831)-SUMIF(WITHDRAWALS!$A:$A,A832,WITHDRAWALS!$E:$E)),"")</f>
        <v/>
      </c>
      <c r="D832" s="33">
        <f>IF(A832="","",TODAY())</f>
        <v/>
      </c>
      <c r="E832" s="29" t="n"/>
      <c r="F832" s="32">
        <f>IFERROR(IF(OR(A832="",E832=""),"",C832+E832),"")</f>
        <v/>
      </c>
      <c r="G832" s="30" t="n"/>
      <c r="H832" s="31" t="n"/>
    </row>
    <row r="833" ht="20" customHeight="1">
      <c r="A833" s="26" t="n"/>
      <c r="B833" s="27">
        <f>IFERROR(IF(A833="","",VLOOKUP(A833,DATABASE!$A:$B,2,0)),"")</f>
        <v/>
      </c>
      <c r="C833" s="20">
        <f>IFERROR(IF(A833="","",SUMIF(SAVINGS!$A$3:A832,A833,SAVINGS!$E$3:E832)-SUMIF(WITHDRAWALS!$A:$A,A833,WITHDRAWALS!$E:$E)),"")</f>
        <v/>
      </c>
      <c r="D833" s="28">
        <f>IF(A833="","",TODAY())</f>
        <v/>
      </c>
      <c r="E833" s="29" t="n"/>
      <c r="F833" s="20">
        <f>IFERROR(IF(OR(A833="",E833=""),"",C833+E833),"")</f>
        <v/>
      </c>
      <c r="G833" s="30" t="n"/>
      <c r="H833" s="27" t="n"/>
    </row>
    <row r="834" ht="20" customHeight="1">
      <c r="A834" s="26" t="n"/>
      <c r="B834" s="31">
        <f>IFERROR(IF(A834="","",VLOOKUP(A834,DATABASE!$A:$B,2,0)),"")</f>
        <v/>
      </c>
      <c r="C834" s="32">
        <f>IFERROR(IF(A834="","",SUMIF(SAVINGS!$A$3:A833,A834,SAVINGS!$E$3:E833)-SUMIF(WITHDRAWALS!$A:$A,A834,WITHDRAWALS!$E:$E)),"")</f>
        <v/>
      </c>
      <c r="D834" s="33">
        <f>IF(A834="","",TODAY())</f>
        <v/>
      </c>
      <c r="E834" s="29" t="n"/>
      <c r="F834" s="32">
        <f>IFERROR(IF(OR(A834="",E834=""),"",C834+E834),"")</f>
        <v/>
      </c>
      <c r="G834" s="30" t="n"/>
      <c r="H834" s="31" t="n"/>
    </row>
    <row r="835" ht="20" customHeight="1">
      <c r="A835" s="26" t="n"/>
      <c r="B835" s="27">
        <f>IFERROR(IF(A835="","",VLOOKUP(A835,DATABASE!$A:$B,2,0)),"")</f>
        <v/>
      </c>
      <c r="C835" s="20">
        <f>IFERROR(IF(A835="","",SUMIF(SAVINGS!$A$3:A834,A835,SAVINGS!$E$3:E834)-SUMIF(WITHDRAWALS!$A:$A,A835,WITHDRAWALS!$E:$E)),"")</f>
        <v/>
      </c>
      <c r="D835" s="28">
        <f>IF(A835="","",TODAY())</f>
        <v/>
      </c>
      <c r="E835" s="29" t="n"/>
      <c r="F835" s="20">
        <f>IFERROR(IF(OR(A835="",E835=""),"",C835+E835),"")</f>
        <v/>
      </c>
      <c r="G835" s="30" t="n"/>
      <c r="H835" s="27" t="n"/>
    </row>
    <row r="836" ht="20" customHeight="1">
      <c r="A836" s="26" t="n"/>
      <c r="B836" s="31">
        <f>IFERROR(IF(A836="","",VLOOKUP(A836,DATABASE!$A:$B,2,0)),"")</f>
        <v/>
      </c>
      <c r="C836" s="32">
        <f>IFERROR(IF(A836="","",SUMIF(SAVINGS!$A$3:A835,A836,SAVINGS!$E$3:E835)-SUMIF(WITHDRAWALS!$A:$A,A836,WITHDRAWALS!$E:$E)),"")</f>
        <v/>
      </c>
      <c r="D836" s="33">
        <f>IF(A836="","",TODAY())</f>
        <v/>
      </c>
      <c r="E836" s="29" t="n"/>
      <c r="F836" s="32">
        <f>IFERROR(IF(OR(A836="",E836=""),"",C836+E836),"")</f>
        <v/>
      </c>
      <c r="G836" s="30" t="n"/>
      <c r="H836" s="31" t="n"/>
    </row>
    <row r="837" ht="20" customHeight="1">
      <c r="A837" s="26" t="n"/>
      <c r="B837" s="27">
        <f>IFERROR(IF(A837="","",VLOOKUP(A837,DATABASE!$A:$B,2,0)),"")</f>
        <v/>
      </c>
      <c r="C837" s="20">
        <f>IFERROR(IF(A837="","",SUMIF(SAVINGS!$A$3:A836,A837,SAVINGS!$E$3:E836)-SUMIF(WITHDRAWALS!$A:$A,A837,WITHDRAWALS!$E:$E)),"")</f>
        <v/>
      </c>
      <c r="D837" s="28">
        <f>IF(A837="","",TODAY())</f>
        <v/>
      </c>
      <c r="E837" s="29" t="n"/>
      <c r="F837" s="20">
        <f>IFERROR(IF(OR(A837="",E837=""),"",C837+E837),"")</f>
        <v/>
      </c>
      <c r="G837" s="30" t="n"/>
      <c r="H837" s="27" t="n"/>
    </row>
    <row r="838" ht="20" customHeight="1">
      <c r="A838" s="26" t="n"/>
      <c r="B838" s="31">
        <f>IFERROR(IF(A838="","",VLOOKUP(A838,DATABASE!$A:$B,2,0)),"")</f>
        <v/>
      </c>
      <c r="C838" s="32">
        <f>IFERROR(IF(A838="","",SUMIF(SAVINGS!$A$3:A837,A838,SAVINGS!$E$3:E837)-SUMIF(WITHDRAWALS!$A:$A,A838,WITHDRAWALS!$E:$E)),"")</f>
        <v/>
      </c>
      <c r="D838" s="33">
        <f>IF(A838="","",TODAY())</f>
        <v/>
      </c>
      <c r="E838" s="29" t="n"/>
      <c r="F838" s="32">
        <f>IFERROR(IF(OR(A838="",E838=""),"",C838+E838),"")</f>
        <v/>
      </c>
      <c r="G838" s="30" t="n"/>
      <c r="H838" s="31" t="n"/>
    </row>
    <row r="839" ht="20" customHeight="1">
      <c r="A839" s="26" t="n"/>
      <c r="B839" s="27">
        <f>IFERROR(IF(A839="","",VLOOKUP(A839,DATABASE!$A:$B,2,0)),"")</f>
        <v/>
      </c>
      <c r="C839" s="20">
        <f>IFERROR(IF(A839="","",SUMIF(SAVINGS!$A$3:A838,A839,SAVINGS!$E$3:E838)-SUMIF(WITHDRAWALS!$A:$A,A839,WITHDRAWALS!$E:$E)),"")</f>
        <v/>
      </c>
      <c r="D839" s="28">
        <f>IF(A839="","",TODAY())</f>
        <v/>
      </c>
      <c r="E839" s="29" t="n"/>
      <c r="F839" s="20">
        <f>IFERROR(IF(OR(A839="",E839=""),"",C839+E839),"")</f>
        <v/>
      </c>
      <c r="G839" s="30" t="n"/>
      <c r="H839" s="27" t="n"/>
    </row>
    <row r="840" ht="20" customHeight="1">
      <c r="A840" s="26" t="n"/>
      <c r="B840" s="31">
        <f>IFERROR(IF(A840="","",VLOOKUP(A840,DATABASE!$A:$B,2,0)),"")</f>
        <v/>
      </c>
      <c r="C840" s="32">
        <f>IFERROR(IF(A840="","",SUMIF(SAVINGS!$A$3:A839,A840,SAVINGS!$E$3:E839)-SUMIF(WITHDRAWALS!$A:$A,A840,WITHDRAWALS!$E:$E)),"")</f>
        <v/>
      </c>
      <c r="D840" s="33">
        <f>IF(A840="","",TODAY())</f>
        <v/>
      </c>
      <c r="E840" s="29" t="n"/>
      <c r="F840" s="32">
        <f>IFERROR(IF(OR(A840="",E840=""),"",C840+E840),"")</f>
        <v/>
      </c>
      <c r="G840" s="30" t="n"/>
      <c r="H840" s="31" t="n"/>
    </row>
    <row r="841" ht="20" customHeight="1">
      <c r="A841" s="26" t="n"/>
      <c r="B841" s="27">
        <f>IFERROR(IF(A841="","",VLOOKUP(A841,DATABASE!$A:$B,2,0)),"")</f>
        <v/>
      </c>
      <c r="C841" s="20">
        <f>IFERROR(IF(A841="","",SUMIF(SAVINGS!$A$3:A840,A841,SAVINGS!$E$3:E840)-SUMIF(WITHDRAWALS!$A:$A,A841,WITHDRAWALS!$E:$E)),"")</f>
        <v/>
      </c>
      <c r="D841" s="28">
        <f>IF(A841="","",TODAY())</f>
        <v/>
      </c>
      <c r="E841" s="29" t="n"/>
      <c r="F841" s="20">
        <f>IFERROR(IF(OR(A841="",E841=""),"",C841+E841),"")</f>
        <v/>
      </c>
      <c r="G841" s="30" t="n"/>
      <c r="H841" s="27" t="n"/>
    </row>
    <row r="842" ht="20" customHeight="1">
      <c r="A842" s="26" t="n"/>
      <c r="B842" s="31">
        <f>IFERROR(IF(A842="","",VLOOKUP(A842,DATABASE!$A:$B,2,0)),"")</f>
        <v/>
      </c>
      <c r="C842" s="32">
        <f>IFERROR(IF(A842="","",SUMIF(SAVINGS!$A$3:A841,A842,SAVINGS!$E$3:E841)-SUMIF(WITHDRAWALS!$A:$A,A842,WITHDRAWALS!$E:$E)),"")</f>
        <v/>
      </c>
      <c r="D842" s="33">
        <f>IF(A842="","",TODAY())</f>
        <v/>
      </c>
      <c r="E842" s="29" t="n"/>
      <c r="F842" s="32">
        <f>IFERROR(IF(OR(A842="",E842=""),"",C842+E842),"")</f>
        <v/>
      </c>
      <c r="G842" s="30" t="n"/>
      <c r="H842" s="31" t="n"/>
    </row>
    <row r="843" ht="20" customHeight="1">
      <c r="A843" s="26" t="n"/>
      <c r="B843" s="27">
        <f>IFERROR(IF(A843="","",VLOOKUP(A843,DATABASE!$A:$B,2,0)),"")</f>
        <v/>
      </c>
      <c r="C843" s="20">
        <f>IFERROR(IF(A843="","",SUMIF(SAVINGS!$A$3:A842,A843,SAVINGS!$E$3:E842)-SUMIF(WITHDRAWALS!$A:$A,A843,WITHDRAWALS!$E:$E)),"")</f>
        <v/>
      </c>
      <c r="D843" s="28">
        <f>IF(A843="","",TODAY())</f>
        <v/>
      </c>
      <c r="E843" s="29" t="n"/>
      <c r="F843" s="20">
        <f>IFERROR(IF(OR(A843="",E843=""),"",C843+E843),"")</f>
        <v/>
      </c>
      <c r="G843" s="30" t="n"/>
      <c r="H843" s="27" t="n"/>
    </row>
    <row r="844" ht="20" customHeight="1">
      <c r="A844" s="26" t="n"/>
      <c r="B844" s="31">
        <f>IFERROR(IF(A844="","",VLOOKUP(A844,DATABASE!$A:$B,2,0)),"")</f>
        <v/>
      </c>
      <c r="C844" s="32">
        <f>IFERROR(IF(A844="","",SUMIF(SAVINGS!$A$3:A843,A844,SAVINGS!$E$3:E843)-SUMIF(WITHDRAWALS!$A:$A,A844,WITHDRAWALS!$E:$E)),"")</f>
        <v/>
      </c>
      <c r="D844" s="33">
        <f>IF(A844="","",TODAY())</f>
        <v/>
      </c>
      <c r="E844" s="29" t="n"/>
      <c r="F844" s="32">
        <f>IFERROR(IF(OR(A844="",E844=""),"",C844+E844),"")</f>
        <v/>
      </c>
      <c r="G844" s="30" t="n"/>
      <c r="H844" s="31" t="n"/>
    </row>
    <row r="845" ht="20" customHeight="1">
      <c r="A845" s="26" t="n"/>
      <c r="B845" s="27">
        <f>IFERROR(IF(A845="","",VLOOKUP(A845,DATABASE!$A:$B,2,0)),"")</f>
        <v/>
      </c>
      <c r="C845" s="20">
        <f>IFERROR(IF(A845="","",SUMIF(SAVINGS!$A$3:A844,A845,SAVINGS!$E$3:E844)-SUMIF(WITHDRAWALS!$A:$A,A845,WITHDRAWALS!$E:$E)),"")</f>
        <v/>
      </c>
      <c r="D845" s="28">
        <f>IF(A845="","",TODAY())</f>
        <v/>
      </c>
      <c r="E845" s="29" t="n"/>
      <c r="F845" s="20">
        <f>IFERROR(IF(OR(A845="",E845=""),"",C845+E845),"")</f>
        <v/>
      </c>
      <c r="G845" s="30" t="n"/>
      <c r="H845" s="27" t="n"/>
    </row>
    <row r="846" ht="20" customHeight="1">
      <c r="A846" s="26" t="n"/>
      <c r="B846" s="31">
        <f>IFERROR(IF(A846="","",VLOOKUP(A846,DATABASE!$A:$B,2,0)),"")</f>
        <v/>
      </c>
      <c r="C846" s="32">
        <f>IFERROR(IF(A846="","",SUMIF(SAVINGS!$A$3:A845,A846,SAVINGS!$E$3:E845)-SUMIF(WITHDRAWALS!$A:$A,A846,WITHDRAWALS!$E:$E)),"")</f>
        <v/>
      </c>
      <c r="D846" s="33">
        <f>IF(A846="","",TODAY())</f>
        <v/>
      </c>
      <c r="E846" s="29" t="n"/>
      <c r="F846" s="32">
        <f>IFERROR(IF(OR(A846="",E846=""),"",C846+E846),"")</f>
        <v/>
      </c>
      <c r="G846" s="30" t="n"/>
      <c r="H846" s="31" t="n"/>
    </row>
    <row r="847" ht="20" customHeight="1">
      <c r="A847" s="26" t="n"/>
      <c r="B847" s="27">
        <f>IFERROR(IF(A847="","",VLOOKUP(A847,DATABASE!$A:$B,2,0)),"")</f>
        <v/>
      </c>
      <c r="C847" s="20">
        <f>IFERROR(IF(A847="","",SUMIF(SAVINGS!$A$3:A846,A847,SAVINGS!$E$3:E846)-SUMIF(WITHDRAWALS!$A:$A,A847,WITHDRAWALS!$E:$E)),"")</f>
        <v/>
      </c>
      <c r="D847" s="28">
        <f>IF(A847="","",TODAY())</f>
        <v/>
      </c>
      <c r="E847" s="29" t="n"/>
      <c r="F847" s="20">
        <f>IFERROR(IF(OR(A847="",E847=""),"",C847+E847),"")</f>
        <v/>
      </c>
      <c r="G847" s="30" t="n"/>
      <c r="H847" s="27" t="n"/>
    </row>
    <row r="848" ht="20" customHeight="1">
      <c r="A848" s="26" t="n"/>
      <c r="B848" s="31">
        <f>IFERROR(IF(A848="","",VLOOKUP(A848,DATABASE!$A:$B,2,0)),"")</f>
        <v/>
      </c>
      <c r="C848" s="32">
        <f>IFERROR(IF(A848="","",SUMIF(SAVINGS!$A$3:A847,A848,SAVINGS!$E$3:E847)-SUMIF(WITHDRAWALS!$A:$A,A848,WITHDRAWALS!$E:$E)),"")</f>
        <v/>
      </c>
      <c r="D848" s="33">
        <f>IF(A848="","",TODAY())</f>
        <v/>
      </c>
      <c r="E848" s="29" t="n"/>
      <c r="F848" s="32">
        <f>IFERROR(IF(OR(A848="",E848=""),"",C848+E848),"")</f>
        <v/>
      </c>
      <c r="G848" s="30" t="n"/>
      <c r="H848" s="31" t="n"/>
    </row>
    <row r="849" ht="20" customHeight="1">
      <c r="A849" s="26" t="n"/>
      <c r="B849" s="27">
        <f>IFERROR(IF(A849="","",VLOOKUP(A849,DATABASE!$A:$B,2,0)),"")</f>
        <v/>
      </c>
      <c r="C849" s="20">
        <f>IFERROR(IF(A849="","",SUMIF(SAVINGS!$A$3:A848,A849,SAVINGS!$E$3:E848)-SUMIF(WITHDRAWALS!$A:$A,A849,WITHDRAWALS!$E:$E)),"")</f>
        <v/>
      </c>
      <c r="D849" s="28">
        <f>IF(A849="","",TODAY())</f>
        <v/>
      </c>
      <c r="E849" s="29" t="n"/>
      <c r="F849" s="20">
        <f>IFERROR(IF(OR(A849="",E849=""),"",C849+E849),"")</f>
        <v/>
      </c>
      <c r="G849" s="30" t="n"/>
      <c r="H849" s="27" t="n"/>
    </row>
    <row r="850" ht="20" customHeight="1">
      <c r="A850" s="26" t="n"/>
      <c r="B850" s="31">
        <f>IFERROR(IF(A850="","",VLOOKUP(A850,DATABASE!$A:$B,2,0)),"")</f>
        <v/>
      </c>
      <c r="C850" s="32">
        <f>IFERROR(IF(A850="","",SUMIF(SAVINGS!$A$3:A849,A850,SAVINGS!$E$3:E849)-SUMIF(WITHDRAWALS!$A:$A,A850,WITHDRAWALS!$E:$E)),"")</f>
        <v/>
      </c>
      <c r="D850" s="33">
        <f>IF(A850="","",TODAY())</f>
        <v/>
      </c>
      <c r="E850" s="29" t="n"/>
      <c r="F850" s="32">
        <f>IFERROR(IF(OR(A850="",E850=""),"",C850+E850),"")</f>
        <v/>
      </c>
      <c r="G850" s="30" t="n"/>
      <c r="H850" s="31" t="n"/>
    </row>
    <row r="851" ht="20" customHeight="1">
      <c r="A851" s="26" t="n"/>
      <c r="B851" s="27">
        <f>IFERROR(IF(A851="","",VLOOKUP(A851,DATABASE!$A:$B,2,0)),"")</f>
        <v/>
      </c>
      <c r="C851" s="20">
        <f>IFERROR(IF(A851="","",SUMIF(SAVINGS!$A$3:A850,A851,SAVINGS!$E$3:E850)-SUMIF(WITHDRAWALS!$A:$A,A851,WITHDRAWALS!$E:$E)),"")</f>
        <v/>
      </c>
      <c r="D851" s="28">
        <f>IF(A851="","",TODAY())</f>
        <v/>
      </c>
      <c r="E851" s="29" t="n"/>
      <c r="F851" s="20">
        <f>IFERROR(IF(OR(A851="",E851=""),"",C851+E851),"")</f>
        <v/>
      </c>
      <c r="G851" s="30" t="n"/>
      <c r="H851" s="27" t="n"/>
    </row>
    <row r="852" ht="20" customHeight="1">
      <c r="A852" s="26" t="n"/>
      <c r="B852" s="31">
        <f>IFERROR(IF(A852="","",VLOOKUP(A852,DATABASE!$A:$B,2,0)),"")</f>
        <v/>
      </c>
      <c r="C852" s="32">
        <f>IFERROR(IF(A852="","",SUMIF(SAVINGS!$A$3:A851,A852,SAVINGS!$E$3:E851)-SUMIF(WITHDRAWALS!$A:$A,A852,WITHDRAWALS!$E:$E)),"")</f>
        <v/>
      </c>
      <c r="D852" s="33">
        <f>IF(A852="","",TODAY())</f>
        <v/>
      </c>
      <c r="E852" s="29" t="n"/>
      <c r="F852" s="32">
        <f>IFERROR(IF(OR(A852="",E852=""),"",C852+E852),"")</f>
        <v/>
      </c>
      <c r="G852" s="30" t="n"/>
      <c r="H852" s="31" t="n"/>
    </row>
    <row r="853" ht="20" customHeight="1">
      <c r="A853" s="26" t="n"/>
      <c r="B853" s="27">
        <f>IFERROR(IF(A853="","",VLOOKUP(A853,DATABASE!$A:$B,2,0)),"")</f>
        <v/>
      </c>
      <c r="C853" s="20">
        <f>IFERROR(IF(A853="","",SUMIF(SAVINGS!$A$3:A852,A853,SAVINGS!$E$3:E852)-SUMIF(WITHDRAWALS!$A:$A,A853,WITHDRAWALS!$E:$E)),"")</f>
        <v/>
      </c>
      <c r="D853" s="28">
        <f>IF(A853="","",TODAY())</f>
        <v/>
      </c>
      <c r="E853" s="29" t="n"/>
      <c r="F853" s="20">
        <f>IFERROR(IF(OR(A853="",E853=""),"",C853+E853),"")</f>
        <v/>
      </c>
      <c r="G853" s="30" t="n"/>
      <c r="H853" s="27" t="n"/>
    </row>
    <row r="854" ht="20" customHeight="1">
      <c r="A854" s="26" t="n"/>
      <c r="B854" s="31">
        <f>IFERROR(IF(A854="","",VLOOKUP(A854,DATABASE!$A:$B,2,0)),"")</f>
        <v/>
      </c>
      <c r="C854" s="32">
        <f>IFERROR(IF(A854="","",SUMIF(SAVINGS!$A$3:A853,A854,SAVINGS!$E$3:E853)-SUMIF(WITHDRAWALS!$A:$A,A854,WITHDRAWALS!$E:$E)),"")</f>
        <v/>
      </c>
      <c r="D854" s="33">
        <f>IF(A854="","",TODAY())</f>
        <v/>
      </c>
      <c r="E854" s="29" t="n"/>
      <c r="F854" s="32">
        <f>IFERROR(IF(OR(A854="",E854=""),"",C854+E854),"")</f>
        <v/>
      </c>
      <c r="G854" s="30" t="n"/>
      <c r="H854" s="31" t="n"/>
    </row>
    <row r="855" ht="20" customHeight="1">
      <c r="A855" s="26" t="n"/>
      <c r="B855" s="27">
        <f>IFERROR(IF(A855="","",VLOOKUP(A855,DATABASE!$A:$B,2,0)),"")</f>
        <v/>
      </c>
      <c r="C855" s="20">
        <f>IFERROR(IF(A855="","",SUMIF(SAVINGS!$A$3:A854,A855,SAVINGS!$E$3:E854)-SUMIF(WITHDRAWALS!$A:$A,A855,WITHDRAWALS!$E:$E)),"")</f>
        <v/>
      </c>
      <c r="D855" s="28">
        <f>IF(A855="","",TODAY())</f>
        <v/>
      </c>
      <c r="E855" s="29" t="n"/>
      <c r="F855" s="20">
        <f>IFERROR(IF(OR(A855="",E855=""),"",C855+E855),"")</f>
        <v/>
      </c>
      <c r="G855" s="30" t="n"/>
      <c r="H855" s="27" t="n"/>
    </row>
    <row r="856" ht="20" customHeight="1">
      <c r="A856" s="26" t="n"/>
      <c r="B856" s="31">
        <f>IFERROR(IF(A856="","",VLOOKUP(A856,DATABASE!$A:$B,2,0)),"")</f>
        <v/>
      </c>
      <c r="C856" s="32">
        <f>IFERROR(IF(A856="","",SUMIF(SAVINGS!$A$3:A855,A856,SAVINGS!$E$3:E855)-SUMIF(WITHDRAWALS!$A:$A,A856,WITHDRAWALS!$E:$E)),"")</f>
        <v/>
      </c>
      <c r="D856" s="33">
        <f>IF(A856="","",TODAY())</f>
        <v/>
      </c>
      <c r="E856" s="29" t="n"/>
      <c r="F856" s="32">
        <f>IFERROR(IF(OR(A856="",E856=""),"",C856+E856),"")</f>
        <v/>
      </c>
      <c r="G856" s="30" t="n"/>
      <c r="H856" s="31" t="n"/>
    </row>
    <row r="857" ht="20" customHeight="1">
      <c r="A857" s="26" t="n"/>
      <c r="B857" s="27">
        <f>IFERROR(IF(A857="","",VLOOKUP(A857,DATABASE!$A:$B,2,0)),"")</f>
        <v/>
      </c>
      <c r="C857" s="20">
        <f>IFERROR(IF(A857="","",SUMIF(SAVINGS!$A$3:A856,A857,SAVINGS!$E$3:E856)-SUMIF(WITHDRAWALS!$A:$A,A857,WITHDRAWALS!$E:$E)),"")</f>
        <v/>
      </c>
      <c r="D857" s="28">
        <f>IF(A857="","",TODAY())</f>
        <v/>
      </c>
      <c r="E857" s="29" t="n"/>
      <c r="F857" s="20">
        <f>IFERROR(IF(OR(A857="",E857=""),"",C857+E857),"")</f>
        <v/>
      </c>
      <c r="G857" s="30" t="n"/>
      <c r="H857" s="27" t="n"/>
    </row>
    <row r="858" ht="20" customHeight="1">
      <c r="A858" s="26" t="n"/>
      <c r="B858" s="31">
        <f>IFERROR(IF(A858="","",VLOOKUP(A858,DATABASE!$A:$B,2,0)),"")</f>
        <v/>
      </c>
      <c r="C858" s="32">
        <f>IFERROR(IF(A858="","",SUMIF(SAVINGS!$A$3:A857,A858,SAVINGS!$E$3:E857)-SUMIF(WITHDRAWALS!$A:$A,A858,WITHDRAWALS!$E:$E)),"")</f>
        <v/>
      </c>
      <c r="D858" s="33">
        <f>IF(A858="","",TODAY())</f>
        <v/>
      </c>
      <c r="E858" s="29" t="n"/>
      <c r="F858" s="32">
        <f>IFERROR(IF(OR(A858="",E858=""),"",C858+E858),"")</f>
        <v/>
      </c>
      <c r="G858" s="30" t="n"/>
      <c r="H858" s="31" t="n"/>
    </row>
    <row r="859" ht="20" customHeight="1">
      <c r="A859" s="26" t="n"/>
      <c r="B859" s="27">
        <f>IFERROR(IF(A859="","",VLOOKUP(A859,DATABASE!$A:$B,2,0)),"")</f>
        <v/>
      </c>
      <c r="C859" s="20">
        <f>IFERROR(IF(A859="","",SUMIF(SAVINGS!$A$3:A858,A859,SAVINGS!$E$3:E858)-SUMIF(WITHDRAWALS!$A:$A,A859,WITHDRAWALS!$E:$E)),"")</f>
        <v/>
      </c>
      <c r="D859" s="28">
        <f>IF(A859="","",TODAY())</f>
        <v/>
      </c>
      <c r="E859" s="29" t="n"/>
      <c r="F859" s="20">
        <f>IFERROR(IF(OR(A859="",E859=""),"",C859+E859),"")</f>
        <v/>
      </c>
      <c r="G859" s="30" t="n"/>
      <c r="H859" s="27" t="n"/>
    </row>
    <row r="860" ht="20" customHeight="1">
      <c r="A860" s="26" t="n"/>
      <c r="B860" s="31">
        <f>IFERROR(IF(A860="","",VLOOKUP(A860,DATABASE!$A:$B,2,0)),"")</f>
        <v/>
      </c>
      <c r="C860" s="32">
        <f>IFERROR(IF(A860="","",SUMIF(SAVINGS!$A$3:A859,A860,SAVINGS!$E$3:E859)-SUMIF(WITHDRAWALS!$A:$A,A860,WITHDRAWALS!$E:$E)),"")</f>
        <v/>
      </c>
      <c r="D860" s="33">
        <f>IF(A860="","",TODAY())</f>
        <v/>
      </c>
      <c r="E860" s="29" t="n"/>
      <c r="F860" s="32">
        <f>IFERROR(IF(OR(A860="",E860=""),"",C860+E860),"")</f>
        <v/>
      </c>
      <c r="G860" s="30" t="n"/>
      <c r="H860" s="31" t="n"/>
    </row>
    <row r="861" ht="20" customHeight="1">
      <c r="A861" s="26" t="n"/>
      <c r="B861" s="27">
        <f>IFERROR(IF(A861="","",VLOOKUP(A861,DATABASE!$A:$B,2,0)),"")</f>
        <v/>
      </c>
      <c r="C861" s="20">
        <f>IFERROR(IF(A861="","",SUMIF(SAVINGS!$A$3:A860,A861,SAVINGS!$E$3:E860)-SUMIF(WITHDRAWALS!$A:$A,A861,WITHDRAWALS!$E:$E)),"")</f>
        <v/>
      </c>
      <c r="D861" s="28">
        <f>IF(A861="","",TODAY())</f>
        <v/>
      </c>
      <c r="E861" s="29" t="n"/>
      <c r="F861" s="20">
        <f>IFERROR(IF(OR(A861="",E861=""),"",C861+E861),"")</f>
        <v/>
      </c>
      <c r="G861" s="30" t="n"/>
      <c r="H861" s="27" t="n"/>
    </row>
    <row r="862" ht="20" customHeight="1">
      <c r="A862" s="26" t="n"/>
      <c r="B862" s="31">
        <f>IFERROR(IF(A862="","",VLOOKUP(A862,DATABASE!$A:$B,2,0)),"")</f>
        <v/>
      </c>
      <c r="C862" s="32">
        <f>IFERROR(IF(A862="","",SUMIF(SAVINGS!$A$3:A861,A862,SAVINGS!$E$3:E861)-SUMIF(WITHDRAWALS!$A:$A,A862,WITHDRAWALS!$E:$E)),"")</f>
        <v/>
      </c>
      <c r="D862" s="33">
        <f>IF(A862="","",TODAY())</f>
        <v/>
      </c>
      <c r="E862" s="29" t="n"/>
      <c r="F862" s="32">
        <f>IFERROR(IF(OR(A862="",E862=""),"",C862+E862),"")</f>
        <v/>
      </c>
      <c r="G862" s="30" t="n"/>
      <c r="H862" s="31" t="n"/>
    </row>
    <row r="863" ht="20" customHeight="1">
      <c r="A863" s="26" t="n"/>
      <c r="B863" s="27">
        <f>IFERROR(IF(A863="","",VLOOKUP(A863,DATABASE!$A:$B,2,0)),"")</f>
        <v/>
      </c>
      <c r="C863" s="20">
        <f>IFERROR(IF(A863="","",SUMIF(SAVINGS!$A$3:A862,A863,SAVINGS!$E$3:E862)-SUMIF(WITHDRAWALS!$A:$A,A863,WITHDRAWALS!$E:$E)),"")</f>
        <v/>
      </c>
      <c r="D863" s="28">
        <f>IF(A863="","",TODAY())</f>
        <v/>
      </c>
      <c r="E863" s="29" t="n"/>
      <c r="F863" s="20">
        <f>IFERROR(IF(OR(A863="",E863=""),"",C863+E863),"")</f>
        <v/>
      </c>
      <c r="G863" s="30" t="n"/>
      <c r="H863" s="27" t="n"/>
    </row>
    <row r="864" ht="20" customHeight="1">
      <c r="A864" s="26" t="n"/>
      <c r="B864" s="31">
        <f>IFERROR(IF(A864="","",VLOOKUP(A864,DATABASE!$A:$B,2,0)),"")</f>
        <v/>
      </c>
      <c r="C864" s="32">
        <f>IFERROR(IF(A864="","",SUMIF(SAVINGS!$A$3:A863,A864,SAVINGS!$E$3:E863)-SUMIF(WITHDRAWALS!$A:$A,A864,WITHDRAWALS!$E:$E)),"")</f>
        <v/>
      </c>
      <c r="D864" s="33">
        <f>IF(A864="","",TODAY())</f>
        <v/>
      </c>
      <c r="E864" s="29" t="n"/>
      <c r="F864" s="32">
        <f>IFERROR(IF(OR(A864="",E864=""),"",C864+E864),"")</f>
        <v/>
      </c>
      <c r="G864" s="30" t="n"/>
      <c r="H864" s="31" t="n"/>
    </row>
    <row r="865" ht="20" customHeight="1">
      <c r="A865" s="26" t="n"/>
      <c r="B865" s="27">
        <f>IFERROR(IF(A865="","",VLOOKUP(A865,DATABASE!$A:$B,2,0)),"")</f>
        <v/>
      </c>
      <c r="C865" s="20">
        <f>IFERROR(IF(A865="","",SUMIF(SAVINGS!$A$3:A864,A865,SAVINGS!$E$3:E864)-SUMIF(WITHDRAWALS!$A:$A,A865,WITHDRAWALS!$E:$E)),"")</f>
        <v/>
      </c>
      <c r="D865" s="28">
        <f>IF(A865="","",TODAY())</f>
        <v/>
      </c>
      <c r="E865" s="29" t="n"/>
      <c r="F865" s="20">
        <f>IFERROR(IF(OR(A865="",E865=""),"",C865+E865),"")</f>
        <v/>
      </c>
      <c r="G865" s="30" t="n"/>
      <c r="H865" s="27" t="n"/>
    </row>
    <row r="866" ht="20" customHeight="1">
      <c r="A866" s="26" t="n"/>
      <c r="B866" s="31">
        <f>IFERROR(IF(A866="","",VLOOKUP(A866,DATABASE!$A:$B,2,0)),"")</f>
        <v/>
      </c>
      <c r="C866" s="32">
        <f>IFERROR(IF(A866="","",SUMIF(SAVINGS!$A$3:A865,A866,SAVINGS!$E$3:E865)-SUMIF(WITHDRAWALS!$A:$A,A866,WITHDRAWALS!$E:$E)),"")</f>
        <v/>
      </c>
      <c r="D866" s="33">
        <f>IF(A866="","",TODAY())</f>
        <v/>
      </c>
      <c r="E866" s="29" t="n"/>
      <c r="F866" s="32">
        <f>IFERROR(IF(OR(A866="",E866=""),"",C866+E866),"")</f>
        <v/>
      </c>
      <c r="G866" s="30" t="n"/>
      <c r="H866" s="31" t="n"/>
    </row>
    <row r="867" ht="20" customHeight="1">
      <c r="A867" s="26" t="n"/>
      <c r="B867" s="27">
        <f>IFERROR(IF(A867="","",VLOOKUP(A867,DATABASE!$A:$B,2,0)),"")</f>
        <v/>
      </c>
      <c r="C867" s="20">
        <f>IFERROR(IF(A867="","",SUMIF(SAVINGS!$A$3:A866,A867,SAVINGS!$E$3:E866)-SUMIF(WITHDRAWALS!$A:$A,A867,WITHDRAWALS!$E:$E)),"")</f>
        <v/>
      </c>
      <c r="D867" s="28">
        <f>IF(A867="","",TODAY())</f>
        <v/>
      </c>
      <c r="E867" s="29" t="n"/>
      <c r="F867" s="20">
        <f>IFERROR(IF(OR(A867="",E867=""),"",C867+E867),"")</f>
        <v/>
      </c>
      <c r="G867" s="30" t="n"/>
      <c r="H867" s="27" t="n"/>
    </row>
    <row r="868" ht="20" customHeight="1">
      <c r="A868" s="26" t="n"/>
      <c r="B868" s="31">
        <f>IFERROR(IF(A868="","",VLOOKUP(A868,DATABASE!$A:$B,2,0)),"")</f>
        <v/>
      </c>
      <c r="C868" s="32">
        <f>IFERROR(IF(A868="","",SUMIF(SAVINGS!$A$3:A867,A868,SAVINGS!$E$3:E867)-SUMIF(WITHDRAWALS!$A:$A,A868,WITHDRAWALS!$E:$E)),"")</f>
        <v/>
      </c>
      <c r="D868" s="33">
        <f>IF(A868="","",TODAY())</f>
        <v/>
      </c>
      <c r="E868" s="29" t="n"/>
      <c r="F868" s="32">
        <f>IFERROR(IF(OR(A868="",E868=""),"",C868+E868),"")</f>
        <v/>
      </c>
      <c r="G868" s="30" t="n"/>
      <c r="H868" s="31" t="n"/>
    </row>
    <row r="869" ht="20" customHeight="1">
      <c r="A869" s="26" t="n"/>
      <c r="B869" s="27">
        <f>IFERROR(IF(A869="","",VLOOKUP(A869,DATABASE!$A:$B,2,0)),"")</f>
        <v/>
      </c>
      <c r="C869" s="20">
        <f>IFERROR(IF(A869="","",SUMIF(SAVINGS!$A$3:A868,A869,SAVINGS!$E$3:E868)-SUMIF(WITHDRAWALS!$A:$A,A869,WITHDRAWALS!$E:$E)),"")</f>
        <v/>
      </c>
      <c r="D869" s="28">
        <f>IF(A869="","",TODAY())</f>
        <v/>
      </c>
      <c r="E869" s="29" t="n"/>
      <c r="F869" s="20">
        <f>IFERROR(IF(OR(A869="",E869=""),"",C869+E869),"")</f>
        <v/>
      </c>
      <c r="G869" s="30" t="n"/>
      <c r="H869" s="27" t="n"/>
    </row>
    <row r="870" ht="20" customHeight="1">
      <c r="A870" s="26" t="n"/>
      <c r="B870" s="31">
        <f>IFERROR(IF(A870="","",VLOOKUP(A870,DATABASE!$A:$B,2,0)),"")</f>
        <v/>
      </c>
      <c r="C870" s="32">
        <f>IFERROR(IF(A870="","",SUMIF(SAVINGS!$A$3:A869,A870,SAVINGS!$E$3:E869)-SUMIF(WITHDRAWALS!$A:$A,A870,WITHDRAWALS!$E:$E)),"")</f>
        <v/>
      </c>
      <c r="D870" s="33">
        <f>IF(A870="","",TODAY())</f>
        <v/>
      </c>
      <c r="E870" s="29" t="n"/>
      <c r="F870" s="32">
        <f>IFERROR(IF(OR(A870="",E870=""),"",C870+E870),"")</f>
        <v/>
      </c>
      <c r="G870" s="30" t="n"/>
      <c r="H870" s="31" t="n"/>
    </row>
    <row r="871" ht="20" customHeight="1">
      <c r="A871" s="26" t="n"/>
      <c r="B871" s="27">
        <f>IFERROR(IF(A871="","",VLOOKUP(A871,DATABASE!$A:$B,2,0)),"")</f>
        <v/>
      </c>
      <c r="C871" s="20">
        <f>IFERROR(IF(A871="","",SUMIF(SAVINGS!$A$3:A870,A871,SAVINGS!$E$3:E870)-SUMIF(WITHDRAWALS!$A:$A,A871,WITHDRAWALS!$E:$E)),"")</f>
        <v/>
      </c>
      <c r="D871" s="28">
        <f>IF(A871="","",TODAY())</f>
        <v/>
      </c>
      <c r="E871" s="29" t="n"/>
      <c r="F871" s="20">
        <f>IFERROR(IF(OR(A871="",E871=""),"",C871+E871),"")</f>
        <v/>
      </c>
      <c r="G871" s="30" t="n"/>
      <c r="H871" s="27" t="n"/>
    </row>
    <row r="872" ht="20" customHeight="1">
      <c r="A872" s="26" t="n"/>
      <c r="B872" s="31">
        <f>IFERROR(IF(A872="","",VLOOKUP(A872,DATABASE!$A:$B,2,0)),"")</f>
        <v/>
      </c>
      <c r="C872" s="32">
        <f>IFERROR(IF(A872="","",SUMIF(SAVINGS!$A$3:A871,A872,SAVINGS!$E$3:E871)-SUMIF(WITHDRAWALS!$A:$A,A872,WITHDRAWALS!$E:$E)),"")</f>
        <v/>
      </c>
      <c r="D872" s="33">
        <f>IF(A872="","",TODAY())</f>
        <v/>
      </c>
      <c r="E872" s="29" t="n"/>
      <c r="F872" s="32">
        <f>IFERROR(IF(OR(A872="",E872=""),"",C872+E872),"")</f>
        <v/>
      </c>
      <c r="G872" s="30" t="n"/>
      <c r="H872" s="31" t="n"/>
    </row>
    <row r="873" ht="20" customHeight="1">
      <c r="A873" s="26" t="n"/>
      <c r="B873" s="27">
        <f>IFERROR(IF(A873="","",VLOOKUP(A873,DATABASE!$A:$B,2,0)),"")</f>
        <v/>
      </c>
      <c r="C873" s="20">
        <f>IFERROR(IF(A873="","",SUMIF(SAVINGS!$A$3:A872,A873,SAVINGS!$E$3:E872)-SUMIF(WITHDRAWALS!$A:$A,A873,WITHDRAWALS!$E:$E)),"")</f>
        <v/>
      </c>
      <c r="D873" s="28">
        <f>IF(A873="","",TODAY())</f>
        <v/>
      </c>
      <c r="E873" s="29" t="n"/>
      <c r="F873" s="20">
        <f>IFERROR(IF(OR(A873="",E873=""),"",C873+E873),"")</f>
        <v/>
      </c>
      <c r="G873" s="30" t="n"/>
      <c r="H873" s="27" t="n"/>
    </row>
    <row r="874" ht="20" customHeight="1">
      <c r="A874" s="26" t="n"/>
      <c r="B874" s="31">
        <f>IFERROR(IF(A874="","",VLOOKUP(A874,DATABASE!$A:$B,2,0)),"")</f>
        <v/>
      </c>
      <c r="C874" s="32">
        <f>IFERROR(IF(A874="","",SUMIF(SAVINGS!$A$3:A873,A874,SAVINGS!$E$3:E873)-SUMIF(WITHDRAWALS!$A:$A,A874,WITHDRAWALS!$E:$E)),"")</f>
        <v/>
      </c>
      <c r="D874" s="33">
        <f>IF(A874="","",TODAY())</f>
        <v/>
      </c>
      <c r="E874" s="29" t="n"/>
      <c r="F874" s="32">
        <f>IFERROR(IF(OR(A874="",E874=""),"",C874+E874),"")</f>
        <v/>
      </c>
      <c r="G874" s="30" t="n"/>
      <c r="H874" s="31" t="n"/>
    </row>
    <row r="875" ht="20" customHeight="1">
      <c r="A875" s="26" t="n"/>
      <c r="B875" s="27">
        <f>IFERROR(IF(A875="","",VLOOKUP(A875,DATABASE!$A:$B,2,0)),"")</f>
        <v/>
      </c>
      <c r="C875" s="20">
        <f>IFERROR(IF(A875="","",SUMIF(SAVINGS!$A$3:A874,A875,SAVINGS!$E$3:E874)-SUMIF(WITHDRAWALS!$A:$A,A875,WITHDRAWALS!$E:$E)),"")</f>
        <v/>
      </c>
      <c r="D875" s="28">
        <f>IF(A875="","",TODAY())</f>
        <v/>
      </c>
      <c r="E875" s="29" t="n"/>
      <c r="F875" s="20">
        <f>IFERROR(IF(OR(A875="",E875=""),"",C875+E875),"")</f>
        <v/>
      </c>
      <c r="G875" s="30" t="n"/>
      <c r="H875" s="27" t="n"/>
    </row>
    <row r="876" ht="20" customHeight="1">
      <c r="A876" s="26" t="n"/>
      <c r="B876" s="31">
        <f>IFERROR(IF(A876="","",VLOOKUP(A876,DATABASE!$A:$B,2,0)),"")</f>
        <v/>
      </c>
      <c r="C876" s="32">
        <f>IFERROR(IF(A876="","",SUMIF(SAVINGS!$A$3:A875,A876,SAVINGS!$E$3:E875)-SUMIF(WITHDRAWALS!$A:$A,A876,WITHDRAWALS!$E:$E)),"")</f>
        <v/>
      </c>
      <c r="D876" s="33">
        <f>IF(A876="","",TODAY())</f>
        <v/>
      </c>
      <c r="E876" s="29" t="n"/>
      <c r="F876" s="32">
        <f>IFERROR(IF(OR(A876="",E876=""),"",C876+E876),"")</f>
        <v/>
      </c>
      <c r="G876" s="30" t="n"/>
      <c r="H876" s="31" t="n"/>
    </row>
    <row r="877" ht="20" customHeight="1">
      <c r="A877" s="26" t="n"/>
      <c r="B877" s="27">
        <f>IFERROR(IF(A877="","",VLOOKUP(A877,DATABASE!$A:$B,2,0)),"")</f>
        <v/>
      </c>
      <c r="C877" s="20">
        <f>IFERROR(IF(A877="","",SUMIF(SAVINGS!$A$3:A876,A877,SAVINGS!$E$3:E876)-SUMIF(WITHDRAWALS!$A:$A,A877,WITHDRAWALS!$E:$E)),"")</f>
        <v/>
      </c>
      <c r="D877" s="28">
        <f>IF(A877="","",TODAY())</f>
        <v/>
      </c>
      <c r="E877" s="29" t="n"/>
      <c r="F877" s="20">
        <f>IFERROR(IF(OR(A877="",E877=""),"",C877+E877),"")</f>
        <v/>
      </c>
      <c r="G877" s="30" t="n"/>
      <c r="H877" s="27" t="n"/>
    </row>
    <row r="878" ht="20" customHeight="1">
      <c r="A878" s="26" t="n"/>
      <c r="B878" s="31">
        <f>IFERROR(IF(A878="","",VLOOKUP(A878,DATABASE!$A:$B,2,0)),"")</f>
        <v/>
      </c>
      <c r="C878" s="32">
        <f>IFERROR(IF(A878="","",SUMIF(SAVINGS!$A$3:A877,A878,SAVINGS!$E$3:E877)-SUMIF(WITHDRAWALS!$A:$A,A878,WITHDRAWALS!$E:$E)),"")</f>
        <v/>
      </c>
      <c r="D878" s="33">
        <f>IF(A878="","",TODAY())</f>
        <v/>
      </c>
      <c r="E878" s="29" t="n"/>
      <c r="F878" s="32">
        <f>IFERROR(IF(OR(A878="",E878=""),"",C878+E878),"")</f>
        <v/>
      </c>
      <c r="G878" s="30" t="n"/>
      <c r="H878" s="31" t="n"/>
    </row>
    <row r="879" ht="20" customHeight="1">
      <c r="A879" s="26" t="n"/>
      <c r="B879" s="27">
        <f>IFERROR(IF(A879="","",VLOOKUP(A879,DATABASE!$A:$B,2,0)),"")</f>
        <v/>
      </c>
      <c r="C879" s="20">
        <f>IFERROR(IF(A879="","",SUMIF(SAVINGS!$A$3:A878,A879,SAVINGS!$E$3:E878)-SUMIF(WITHDRAWALS!$A:$A,A879,WITHDRAWALS!$E:$E)),"")</f>
        <v/>
      </c>
      <c r="D879" s="28">
        <f>IF(A879="","",TODAY())</f>
        <v/>
      </c>
      <c r="E879" s="29" t="n"/>
      <c r="F879" s="20">
        <f>IFERROR(IF(OR(A879="",E879=""),"",C879+E879),"")</f>
        <v/>
      </c>
      <c r="G879" s="30" t="n"/>
      <c r="H879" s="27" t="n"/>
    </row>
    <row r="880" ht="20" customHeight="1">
      <c r="A880" s="26" t="n"/>
      <c r="B880" s="31">
        <f>IFERROR(IF(A880="","",VLOOKUP(A880,DATABASE!$A:$B,2,0)),"")</f>
        <v/>
      </c>
      <c r="C880" s="32">
        <f>IFERROR(IF(A880="","",SUMIF(SAVINGS!$A$3:A879,A880,SAVINGS!$E$3:E879)-SUMIF(WITHDRAWALS!$A:$A,A880,WITHDRAWALS!$E:$E)),"")</f>
        <v/>
      </c>
      <c r="D880" s="33">
        <f>IF(A880="","",TODAY())</f>
        <v/>
      </c>
      <c r="E880" s="29" t="n"/>
      <c r="F880" s="32">
        <f>IFERROR(IF(OR(A880="",E880=""),"",C880+E880),"")</f>
        <v/>
      </c>
      <c r="G880" s="30" t="n"/>
      <c r="H880" s="31" t="n"/>
    </row>
    <row r="881" ht="20" customHeight="1">
      <c r="A881" s="26" t="n"/>
      <c r="B881" s="27">
        <f>IFERROR(IF(A881="","",VLOOKUP(A881,DATABASE!$A:$B,2,0)),"")</f>
        <v/>
      </c>
      <c r="C881" s="20">
        <f>IFERROR(IF(A881="","",SUMIF(SAVINGS!$A$3:A880,A881,SAVINGS!$E$3:E880)-SUMIF(WITHDRAWALS!$A:$A,A881,WITHDRAWALS!$E:$E)),"")</f>
        <v/>
      </c>
      <c r="D881" s="28">
        <f>IF(A881="","",TODAY())</f>
        <v/>
      </c>
      <c r="E881" s="29" t="n"/>
      <c r="F881" s="20">
        <f>IFERROR(IF(OR(A881="",E881=""),"",C881+E881),"")</f>
        <v/>
      </c>
      <c r="G881" s="30" t="n"/>
      <c r="H881" s="27" t="n"/>
    </row>
    <row r="882" ht="20" customHeight="1">
      <c r="A882" s="26" t="n"/>
      <c r="B882" s="31">
        <f>IFERROR(IF(A882="","",VLOOKUP(A882,DATABASE!$A:$B,2,0)),"")</f>
        <v/>
      </c>
      <c r="C882" s="32">
        <f>IFERROR(IF(A882="","",SUMIF(SAVINGS!$A$3:A881,A882,SAVINGS!$E$3:E881)-SUMIF(WITHDRAWALS!$A:$A,A882,WITHDRAWALS!$E:$E)),"")</f>
        <v/>
      </c>
      <c r="D882" s="33">
        <f>IF(A882="","",TODAY())</f>
        <v/>
      </c>
      <c r="E882" s="29" t="n"/>
      <c r="F882" s="32">
        <f>IFERROR(IF(OR(A882="",E882=""),"",C882+E882),"")</f>
        <v/>
      </c>
      <c r="G882" s="30" t="n"/>
      <c r="H882" s="31" t="n"/>
    </row>
    <row r="883" ht="20" customHeight="1">
      <c r="A883" s="26" t="n"/>
      <c r="B883" s="27">
        <f>IFERROR(IF(A883="","",VLOOKUP(A883,DATABASE!$A:$B,2,0)),"")</f>
        <v/>
      </c>
      <c r="C883" s="20">
        <f>IFERROR(IF(A883="","",SUMIF(SAVINGS!$A$3:A882,A883,SAVINGS!$E$3:E882)-SUMIF(WITHDRAWALS!$A:$A,A883,WITHDRAWALS!$E:$E)),"")</f>
        <v/>
      </c>
      <c r="D883" s="28">
        <f>IF(A883="","",TODAY())</f>
        <v/>
      </c>
      <c r="E883" s="29" t="n"/>
      <c r="F883" s="20">
        <f>IFERROR(IF(OR(A883="",E883=""),"",C883+E883),"")</f>
        <v/>
      </c>
      <c r="G883" s="30" t="n"/>
      <c r="H883" s="27" t="n"/>
    </row>
    <row r="884" ht="20" customHeight="1">
      <c r="A884" s="26" t="n"/>
      <c r="B884" s="31">
        <f>IFERROR(IF(A884="","",VLOOKUP(A884,DATABASE!$A:$B,2,0)),"")</f>
        <v/>
      </c>
      <c r="C884" s="32">
        <f>IFERROR(IF(A884="","",SUMIF(SAVINGS!$A$3:A883,A884,SAVINGS!$E$3:E883)-SUMIF(WITHDRAWALS!$A:$A,A884,WITHDRAWALS!$E:$E)),"")</f>
        <v/>
      </c>
      <c r="D884" s="33">
        <f>IF(A884="","",TODAY())</f>
        <v/>
      </c>
      <c r="E884" s="29" t="n"/>
      <c r="F884" s="32">
        <f>IFERROR(IF(OR(A884="",E884=""),"",C884+E884),"")</f>
        <v/>
      </c>
      <c r="G884" s="30" t="n"/>
      <c r="H884" s="31" t="n"/>
    </row>
    <row r="885" ht="20" customHeight="1">
      <c r="A885" s="26" t="n"/>
      <c r="B885" s="27">
        <f>IFERROR(IF(A885="","",VLOOKUP(A885,DATABASE!$A:$B,2,0)),"")</f>
        <v/>
      </c>
      <c r="C885" s="20">
        <f>IFERROR(IF(A885="","",SUMIF(SAVINGS!$A$3:A884,A885,SAVINGS!$E$3:E884)-SUMIF(WITHDRAWALS!$A:$A,A885,WITHDRAWALS!$E:$E)),"")</f>
        <v/>
      </c>
      <c r="D885" s="28">
        <f>IF(A885="","",TODAY())</f>
        <v/>
      </c>
      <c r="E885" s="29" t="n"/>
      <c r="F885" s="20">
        <f>IFERROR(IF(OR(A885="",E885=""),"",C885+E885),"")</f>
        <v/>
      </c>
      <c r="G885" s="30" t="n"/>
      <c r="H885" s="27" t="n"/>
    </row>
    <row r="886" ht="20" customHeight="1">
      <c r="A886" s="26" t="n"/>
      <c r="B886" s="31">
        <f>IFERROR(IF(A886="","",VLOOKUP(A886,DATABASE!$A:$B,2,0)),"")</f>
        <v/>
      </c>
      <c r="C886" s="32">
        <f>IFERROR(IF(A886="","",SUMIF(SAVINGS!$A$3:A885,A886,SAVINGS!$E$3:E885)-SUMIF(WITHDRAWALS!$A:$A,A886,WITHDRAWALS!$E:$E)),"")</f>
        <v/>
      </c>
      <c r="D886" s="33">
        <f>IF(A886="","",TODAY())</f>
        <v/>
      </c>
      <c r="E886" s="29" t="n"/>
      <c r="F886" s="32">
        <f>IFERROR(IF(OR(A886="",E886=""),"",C886+E886),"")</f>
        <v/>
      </c>
      <c r="G886" s="30" t="n"/>
      <c r="H886" s="31" t="n"/>
    </row>
    <row r="887" ht="20" customHeight="1">
      <c r="A887" s="26" t="n"/>
      <c r="B887" s="27">
        <f>IFERROR(IF(A887="","",VLOOKUP(A887,DATABASE!$A:$B,2,0)),"")</f>
        <v/>
      </c>
      <c r="C887" s="20">
        <f>IFERROR(IF(A887="","",SUMIF(SAVINGS!$A$3:A886,A887,SAVINGS!$E$3:E886)-SUMIF(WITHDRAWALS!$A:$A,A887,WITHDRAWALS!$E:$E)),"")</f>
        <v/>
      </c>
      <c r="D887" s="28">
        <f>IF(A887="","",TODAY())</f>
        <v/>
      </c>
      <c r="E887" s="29" t="n"/>
      <c r="F887" s="20">
        <f>IFERROR(IF(OR(A887="",E887=""),"",C887+E887),"")</f>
        <v/>
      </c>
      <c r="G887" s="30" t="n"/>
      <c r="H887" s="27" t="n"/>
    </row>
    <row r="888" ht="20" customHeight="1">
      <c r="A888" s="26" t="n"/>
      <c r="B888" s="31">
        <f>IFERROR(IF(A888="","",VLOOKUP(A888,DATABASE!$A:$B,2,0)),"")</f>
        <v/>
      </c>
      <c r="C888" s="32">
        <f>IFERROR(IF(A888="","",SUMIF(SAVINGS!$A$3:A887,A888,SAVINGS!$E$3:E887)-SUMIF(WITHDRAWALS!$A:$A,A888,WITHDRAWALS!$E:$E)),"")</f>
        <v/>
      </c>
      <c r="D888" s="33">
        <f>IF(A888="","",TODAY())</f>
        <v/>
      </c>
      <c r="E888" s="29" t="n"/>
      <c r="F888" s="32">
        <f>IFERROR(IF(OR(A888="",E888=""),"",C888+E888),"")</f>
        <v/>
      </c>
      <c r="G888" s="30" t="n"/>
      <c r="H888" s="31" t="n"/>
    </row>
    <row r="889" ht="20" customHeight="1">
      <c r="A889" s="26" t="n"/>
      <c r="B889" s="27">
        <f>IFERROR(IF(A889="","",VLOOKUP(A889,DATABASE!$A:$B,2,0)),"")</f>
        <v/>
      </c>
      <c r="C889" s="20">
        <f>IFERROR(IF(A889="","",SUMIF(SAVINGS!$A$3:A888,A889,SAVINGS!$E$3:E888)-SUMIF(WITHDRAWALS!$A:$A,A889,WITHDRAWALS!$E:$E)),"")</f>
        <v/>
      </c>
      <c r="D889" s="28">
        <f>IF(A889="","",TODAY())</f>
        <v/>
      </c>
      <c r="E889" s="29" t="n"/>
      <c r="F889" s="20">
        <f>IFERROR(IF(OR(A889="",E889=""),"",C889+E889),"")</f>
        <v/>
      </c>
      <c r="G889" s="30" t="n"/>
      <c r="H889" s="27" t="n"/>
    </row>
    <row r="890" ht="20" customHeight="1">
      <c r="A890" s="26" t="n"/>
      <c r="B890" s="31">
        <f>IFERROR(IF(A890="","",VLOOKUP(A890,DATABASE!$A:$B,2,0)),"")</f>
        <v/>
      </c>
      <c r="C890" s="32">
        <f>IFERROR(IF(A890="","",SUMIF(SAVINGS!$A$3:A889,A890,SAVINGS!$E$3:E889)-SUMIF(WITHDRAWALS!$A:$A,A890,WITHDRAWALS!$E:$E)),"")</f>
        <v/>
      </c>
      <c r="D890" s="33">
        <f>IF(A890="","",TODAY())</f>
        <v/>
      </c>
      <c r="E890" s="29" t="n"/>
      <c r="F890" s="32">
        <f>IFERROR(IF(OR(A890="",E890=""),"",C890+E890),"")</f>
        <v/>
      </c>
      <c r="G890" s="30" t="n"/>
      <c r="H890" s="31" t="n"/>
    </row>
    <row r="891" ht="20" customHeight="1">
      <c r="A891" s="26" t="n"/>
      <c r="B891" s="27">
        <f>IFERROR(IF(A891="","",VLOOKUP(A891,DATABASE!$A:$B,2,0)),"")</f>
        <v/>
      </c>
      <c r="C891" s="20">
        <f>IFERROR(IF(A891="","",SUMIF(SAVINGS!$A$3:A890,A891,SAVINGS!$E$3:E890)-SUMIF(WITHDRAWALS!$A:$A,A891,WITHDRAWALS!$E:$E)),"")</f>
        <v/>
      </c>
      <c r="D891" s="28">
        <f>IF(A891="","",TODAY())</f>
        <v/>
      </c>
      <c r="E891" s="29" t="n"/>
      <c r="F891" s="20">
        <f>IFERROR(IF(OR(A891="",E891=""),"",C891+E891),"")</f>
        <v/>
      </c>
      <c r="G891" s="30" t="n"/>
      <c r="H891" s="27" t="n"/>
    </row>
    <row r="892" ht="20" customHeight="1">
      <c r="A892" s="26" t="n"/>
      <c r="B892" s="31">
        <f>IFERROR(IF(A892="","",VLOOKUP(A892,DATABASE!$A:$B,2,0)),"")</f>
        <v/>
      </c>
      <c r="C892" s="32">
        <f>IFERROR(IF(A892="","",SUMIF(SAVINGS!$A$3:A891,A892,SAVINGS!$E$3:E891)-SUMIF(WITHDRAWALS!$A:$A,A892,WITHDRAWALS!$E:$E)),"")</f>
        <v/>
      </c>
      <c r="D892" s="33">
        <f>IF(A892="","",TODAY())</f>
        <v/>
      </c>
      <c r="E892" s="29" t="n"/>
      <c r="F892" s="32">
        <f>IFERROR(IF(OR(A892="",E892=""),"",C892+E892),"")</f>
        <v/>
      </c>
      <c r="G892" s="30" t="n"/>
      <c r="H892" s="31" t="n"/>
    </row>
    <row r="893" ht="20" customHeight="1">
      <c r="A893" s="26" t="n"/>
      <c r="B893" s="27">
        <f>IFERROR(IF(A893="","",VLOOKUP(A893,DATABASE!$A:$B,2,0)),"")</f>
        <v/>
      </c>
      <c r="C893" s="20">
        <f>IFERROR(IF(A893="","",SUMIF(SAVINGS!$A$3:A892,A893,SAVINGS!$E$3:E892)-SUMIF(WITHDRAWALS!$A:$A,A893,WITHDRAWALS!$E:$E)),"")</f>
        <v/>
      </c>
      <c r="D893" s="28">
        <f>IF(A893="","",TODAY())</f>
        <v/>
      </c>
      <c r="E893" s="29" t="n"/>
      <c r="F893" s="20">
        <f>IFERROR(IF(OR(A893="",E893=""),"",C893+E893),"")</f>
        <v/>
      </c>
      <c r="G893" s="30" t="n"/>
      <c r="H893" s="27" t="n"/>
    </row>
    <row r="894" ht="20" customHeight="1">
      <c r="A894" s="26" t="n"/>
      <c r="B894" s="31">
        <f>IFERROR(IF(A894="","",VLOOKUP(A894,DATABASE!$A:$B,2,0)),"")</f>
        <v/>
      </c>
      <c r="C894" s="32">
        <f>IFERROR(IF(A894="","",SUMIF(SAVINGS!$A$3:A893,A894,SAVINGS!$E$3:E893)-SUMIF(WITHDRAWALS!$A:$A,A894,WITHDRAWALS!$E:$E)),"")</f>
        <v/>
      </c>
      <c r="D894" s="33">
        <f>IF(A894="","",TODAY())</f>
        <v/>
      </c>
      <c r="E894" s="29" t="n"/>
      <c r="F894" s="32">
        <f>IFERROR(IF(OR(A894="",E894=""),"",C894+E894),"")</f>
        <v/>
      </c>
      <c r="G894" s="30" t="n"/>
      <c r="H894" s="31" t="n"/>
    </row>
    <row r="895" ht="20" customHeight="1">
      <c r="A895" s="26" t="n"/>
      <c r="B895" s="27">
        <f>IFERROR(IF(A895="","",VLOOKUP(A895,DATABASE!$A:$B,2,0)),"")</f>
        <v/>
      </c>
      <c r="C895" s="20">
        <f>IFERROR(IF(A895="","",SUMIF(SAVINGS!$A$3:A894,A895,SAVINGS!$E$3:E894)-SUMIF(WITHDRAWALS!$A:$A,A895,WITHDRAWALS!$E:$E)),"")</f>
        <v/>
      </c>
      <c r="D895" s="28">
        <f>IF(A895="","",TODAY())</f>
        <v/>
      </c>
      <c r="E895" s="29" t="n"/>
      <c r="F895" s="20">
        <f>IFERROR(IF(OR(A895="",E895=""),"",C895+E895),"")</f>
        <v/>
      </c>
      <c r="G895" s="30" t="n"/>
      <c r="H895" s="27" t="n"/>
    </row>
    <row r="896" ht="20" customHeight="1">
      <c r="A896" s="26" t="n"/>
      <c r="B896" s="31">
        <f>IFERROR(IF(A896="","",VLOOKUP(A896,DATABASE!$A:$B,2,0)),"")</f>
        <v/>
      </c>
      <c r="C896" s="32">
        <f>IFERROR(IF(A896="","",SUMIF(SAVINGS!$A$3:A895,A896,SAVINGS!$E$3:E895)-SUMIF(WITHDRAWALS!$A:$A,A896,WITHDRAWALS!$E:$E)),"")</f>
        <v/>
      </c>
      <c r="D896" s="33">
        <f>IF(A896="","",TODAY())</f>
        <v/>
      </c>
      <c r="E896" s="29" t="n"/>
      <c r="F896" s="32">
        <f>IFERROR(IF(OR(A896="",E896=""),"",C896+E896),"")</f>
        <v/>
      </c>
      <c r="G896" s="30" t="n"/>
      <c r="H896" s="31" t="n"/>
    </row>
    <row r="897" ht="20" customHeight="1">
      <c r="A897" s="26" t="n"/>
      <c r="B897" s="27">
        <f>IFERROR(IF(A897="","",VLOOKUP(A897,DATABASE!$A:$B,2,0)),"")</f>
        <v/>
      </c>
      <c r="C897" s="20">
        <f>IFERROR(IF(A897="","",SUMIF(SAVINGS!$A$3:A896,A897,SAVINGS!$E$3:E896)-SUMIF(WITHDRAWALS!$A:$A,A897,WITHDRAWALS!$E:$E)),"")</f>
        <v/>
      </c>
      <c r="D897" s="28">
        <f>IF(A897="","",TODAY())</f>
        <v/>
      </c>
      <c r="E897" s="29" t="n"/>
      <c r="F897" s="20">
        <f>IFERROR(IF(OR(A897="",E897=""),"",C897+E897),"")</f>
        <v/>
      </c>
      <c r="G897" s="30" t="n"/>
      <c r="H897" s="27" t="n"/>
    </row>
    <row r="898" ht="20" customHeight="1">
      <c r="A898" s="26" t="n"/>
      <c r="B898" s="31">
        <f>IFERROR(IF(A898="","",VLOOKUP(A898,DATABASE!$A:$B,2,0)),"")</f>
        <v/>
      </c>
      <c r="C898" s="32">
        <f>IFERROR(IF(A898="","",SUMIF(SAVINGS!$A$3:A897,A898,SAVINGS!$E$3:E897)-SUMIF(WITHDRAWALS!$A:$A,A898,WITHDRAWALS!$E:$E)),"")</f>
        <v/>
      </c>
      <c r="D898" s="33">
        <f>IF(A898="","",TODAY())</f>
        <v/>
      </c>
      <c r="E898" s="29" t="n"/>
      <c r="F898" s="32">
        <f>IFERROR(IF(OR(A898="",E898=""),"",C898+E898),"")</f>
        <v/>
      </c>
      <c r="G898" s="30" t="n"/>
      <c r="H898" s="31" t="n"/>
    </row>
    <row r="899" ht="20" customHeight="1">
      <c r="A899" s="26" t="n"/>
      <c r="B899" s="27">
        <f>IFERROR(IF(A899="","",VLOOKUP(A899,DATABASE!$A:$B,2,0)),"")</f>
        <v/>
      </c>
      <c r="C899" s="20">
        <f>IFERROR(IF(A899="","",SUMIF(SAVINGS!$A$3:A898,A899,SAVINGS!$E$3:E898)-SUMIF(WITHDRAWALS!$A:$A,A899,WITHDRAWALS!$E:$E)),"")</f>
        <v/>
      </c>
      <c r="D899" s="28">
        <f>IF(A899="","",TODAY())</f>
        <v/>
      </c>
      <c r="E899" s="29" t="n"/>
      <c r="F899" s="20">
        <f>IFERROR(IF(OR(A899="",E899=""),"",C899+E899),"")</f>
        <v/>
      </c>
      <c r="G899" s="30" t="n"/>
      <c r="H899" s="27" t="n"/>
    </row>
    <row r="900" ht="20" customHeight="1">
      <c r="A900" s="26" t="n"/>
      <c r="B900" s="31">
        <f>IFERROR(IF(A900="","",VLOOKUP(A900,DATABASE!$A:$B,2,0)),"")</f>
        <v/>
      </c>
      <c r="C900" s="32">
        <f>IFERROR(IF(A900="","",SUMIF(SAVINGS!$A$3:A899,A900,SAVINGS!$E$3:E899)-SUMIF(WITHDRAWALS!$A:$A,A900,WITHDRAWALS!$E:$E)),"")</f>
        <v/>
      </c>
      <c r="D900" s="33">
        <f>IF(A900="","",TODAY())</f>
        <v/>
      </c>
      <c r="E900" s="29" t="n"/>
      <c r="F900" s="32">
        <f>IFERROR(IF(OR(A900="",E900=""),"",C900+E900),"")</f>
        <v/>
      </c>
      <c r="G900" s="30" t="n"/>
      <c r="H900" s="31" t="n"/>
    </row>
    <row r="901" ht="20" customHeight="1">
      <c r="A901" s="26" t="n"/>
      <c r="B901" s="27">
        <f>IFERROR(IF(A901="","",VLOOKUP(A901,DATABASE!$A:$B,2,0)),"")</f>
        <v/>
      </c>
      <c r="C901" s="20">
        <f>IFERROR(IF(A901="","",SUMIF(SAVINGS!$A$3:A900,A901,SAVINGS!$E$3:E900)-SUMIF(WITHDRAWALS!$A:$A,A901,WITHDRAWALS!$E:$E)),"")</f>
        <v/>
      </c>
      <c r="D901" s="28">
        <f>IF(A901="","",TODAY())</f>
        <v/>
      </c>
      <c r="E901" s="29" t="n"/>
      <c r="F901" s="20">
        <f>IFERROR(IF(OR(A901="",E901=""),"",C901+E901),"")</f>
        <v/>
      </c>
      <c r="G901" s="30" t="n"/>
      <c r="H901" s="27" t="n"/>
    </row>
    <row r="902" ht="20" customHeight="1">
      <c r="A902" s="26" t="n"/>
      <c r="B902" s="31">
        <f>IFERROR(IF(A902="","",VLOOKUP(A902,DATABASE!$A:$B,2,0)),"")</f>
        <v/>
      </c>
      <c r="C902" s="32">
        <f>IFERROR(IF(A902="","",SUMIF(SAVINGS!$A$3:A901,A902,SAVINGS!$E$3:E901)-SUMIF(WITHDRAWALS!$A:$A,A902,WITHDRAWALS!$E:$E)),"")</f>
        <v/>
      </c>
      <c r="D902" s="33">
        <f>IF(A902="","",TODAY())</f>
        <v/>
      </c>
      <c r="E902" s="29" t="n"/>
      <c r="F902" s="32">
        <f>IFERROR(IF(OR(A902="",E902=""),"",C902+E902),"")</f>
        <v/>
      </c>
      <c r="G902" s="30" t="n"/>
      <c r="H902" s="31" t="n"/>
    </row>
    <row r="903" ht="20" customHeight="1">
      <c r="A903" s="26" t="n"/>
      <c r="B903" s="27">
        <f>IFERROR(IF(A903="","",VLOOKUP(A903,DATABASE!$A:$B,2,0)),"")</f>
        <v/>
      </c>
      <c r="C903" s="20">
        <f>IFERROR(IF(A903="","",SUMIF(SAVINGS!$A$3:A902,A903,SAVINGS!$E$3:E902)-SUMIF(WITHDRAWALS!$A:$A,A903,WITHDRAWALS!$E:$E)),"")</f>
        <v/>
      </c>
      <c r="D903" s="28">
        <f>IF(A903="","",TODAY())</f>
        <v/>
      </c>
      <c r="E903" s="29" t="n"/>
      <c r="F903" s="20">
        <f>IFERROR(IF(OR(A903="",E903=""),"",C903+E903),"")</f>
        <v/>
      </c>
      <c r="G903" s="30" t="n"/>
      <c r="H903" s="27" t="n"/>
    </row>
    <row r="904" ht="20" customHeight="1">
      <c r="A904" s="26" t="n"/>
      <c r="B904" s="31">
        <f>IFERROR(IF(A904="","",VLOOKUP(A904,DATABASE!$A:$B,2,0)),"")</f>
        <v/>
      </c>
      <c r="C904" s="32">
        <f>IFERROR(IF(A904="","",SUMIF(SAVINGS!$A$3:A903,A904,SAVINGS!$E$3:E903)-SUMIF(WITHDRAWALS!$A:$A,A904,WITHDRAWALS!$E:$E)),"")</f>
        <v/>
      </c>
      <c r="D904" s="33">
        <f>IF(A904="","",TODAY())</f>
        <v/>
      </c>
      <c r="E904" s="29" t="n"/>
      <c r="F904" s="32">
        <f>IFERROR(IF(OR(A904="",E904=""),"",C904+E904),"")</f>
        <v/>
      </c>
      <c r="G904" s="30" t="n"/>
      <c r="H904" s="31" t="n"/>
    </row>
    <row r="905" ht="20" customHeight="1">
      <c r="A905" s="26" t="n"/>
      <c r="B905" s="27">
        <f>IFERROR(IF(A905="","",VLOOKUP(A905,DATABASE!$A:$B,2,0)),"")</f>
        <v/>
      </c>
      <c r="C905" s="20">
        <f>IFERROR(IF(A905="","",SUMIF(SAVINGS!$A$3:A904,A905,SAVINGS!$E$3:E904)-SUMIF(WITHDRAWALS!$A:$A,A905,WITHDRAWALS!$E:$E)),"")</f>
        <v/>
      </c>
      <c r="D905" s="28">
        <f>IF(A905="","",TODAY())</f>
        <v/>
      </c>
      <c r="E905" s="29" t="n"/>
      <c r="F905" s="20">
        <f>IFERROR(IF(OR(A905="",E905=""),"",C905+E905),"")</f>
        <v/>
      </c>
      <c r="G905" s="30" t="n"/>
      <c r="H905" s="27" t="n"/>
    </row>
    <row r="906" ht="20" customHeight="1">
      <c r="A906" s="26" t="n"/>
      <c r="B906" s="31">
        <f>IFERROR(IF(A906="","",VLOOKUP(A906,DATABASE!$A:$B,2,0)),"")</f>
        <v/>
      </c>
      <c r="C906" s="32">
        <f>IFERROR(IF(A906="","",SUMIF(SAVINGS!$A$3:A905,A906,SAVINGS!$E$3:E905)-SUMIF(WITHDRAWALS!$A:$A,A906,WITHDRAWALS!$E:$E)),"")</f>
        <v/>
      </c>
      <c r="D906" s="33">
        <f>IF(A906="","",TODAY())</f>
        <v/>
      </c>
      <c r="E906" s="29" t="n"/>
      <c r="F906" s="32">
        <f>IFERROR(IF(OR(A906="",E906=""),"",C906+E906),"")</f>
        <v/>
      </c>
      <c r="G906" s="30" t="n"/>
      <c r="H906" s="31" t="n"/>
    </row>
    <row r="907" ht="20" customHeight="1">
      <c r="A907" s="26" t="n"/>
      <c r="B907" s="27">
        <f>IFERROR(IF(A907="","",VLOOKUP(A907,DATABASE!$A:$B,2,0)),"")</f>
        <v/>
      </c>
      <c r="C907" s="20">
        <f>IFERROR(IF(A907="","",SUMIF(SAVINGS!$A$3:A906,A907,SAVINGS!$E$3:E906)-SUMIF(WITHDRAWALS!$A:$A,A907,WITHDRAWALS!$E:$E)),"")</f>
        <v/>
      </c>
      <c r="D907" s="28">
        <f>IF(A907="","",TODAY())</f>
        <v/>
      </c>
      <c r="E907" s="29" t="n"/>
      <c r="F907" s="20">
        <f>IFERROR(IF(OR(A907="",E907=""),"",C907+E907),"")</f>
        <v/>
      </c>
      <c r="G907" s="30" t="n"/>
      <c r="H907" s="27" t="n"/>
    </row>
    <row r="908" ht="20" customHeight="1">
      <c r="A908" s="26" t="n"/>
      <c r="B908" s="31">
        <f>IFERROR(IF(A908="","",VLOOKUP(A908,DATABASE!$A:$B,2,0)),"")</f>
        <v/>
      </c>
      <c r="C908" s="32">
        <f>IFERROR(IF(A908="","",SUMIF(SAVINGS!$A$3:A907,A908,SAVINGS!$E$3:E907)-SUMIF(WITHDRAWALS!$A:$A,A908,WITHDRAWALS!$E:$E)),"")</f>
        <v/>
      </c>
      <c r="D908" s="33">
        <f>IF(A908="","",TODAY())</f>
        <v/>
      </c>
      <c r="E908" s="29" t="n"/>
      <c r="F908" s="32">
        <f>IFERROR(IF(OR(A908="",E908=""),"",C908+E908),"")</f>
        <v/>
      </c>
      <c r="G908" s="30" t="n"/>
      <c r="H908" s="31" t="n"/>
    </row>
    <row r="909" ht="20" customHeight="1">
      <c r="A909" s="26" t="n"/>
      <c r="B909" s="27">
        <f>IFERROR(IF(A909="","",VLOOKUP(A909,DATABASE!$A:$B,2,0)),"")</f>
        <v/>
      </c>
      <c r="C909" s="20">
        <f>IFERROR(IF(A909="","",SUMIF(SAVINGS!$A$3:A908,A909,SAVINGS!$E$3:E908)-SUMIF(WITHDRAWALS!$A:$A,A909,WITHDRAWALS!$E:$E)),"")</f>
        <v/>
      </c>
      <c r="D909" s="28">
        <f>IF(A909="","",TODAY())</f>
        <v/>
      </c>
      <c r="E909" s="29" t="n"/>
      <c r="F909" s="20">
        <f>IFERROR(IF(OR(A909="",E909=""),"",C909+E909),"")</f>
        <v/>
      </c>
      <c r="G909" s="30" t="n"/>
      <c r="H909" s="27" t="n"/>
    </row>
    <row r="910" ht="20" customHeight="1">
      <c r="A910" s="26" t="n"/>
      <c r="B910" s="31">
        <f>IFERROR(IF(A910="","",VLOOKUP(A910,DATABASE!$A:$B,2,0)),"")</f>
        <v/>
      </c>
      <c r="C910" s="32">
        <f>IFERROR(IF(A910="","",SUMIF(SAVINGS!$A$3:A909,A910,SAVINGS!$E$3:E909)-SUMIF(WITHDRAWALS!$A:$A,A910,WITHDRAWALS!$E:$E)),"")</f>
        <v/>
      </c>
      <c r="D910" s="33">
        <f>IF(A910="","",TODAY())</f>
        <v/>
      </c>
      <c r="E910" s="29" t="n"/>
      <c r="F910" s="32">
        <f>IFERROR(IF(OR(A910="",E910=""),"",C910+E910),"")</f>
        <v/>
      </c>
      <c r="G910" s="30" t="n"/>
      <c r="H910" s="31" t="n"/>
    </row>
    <row r="911" ht="20" customHeight="1">
      <c r="A911" s="26" t="n"/>
      <c r="B911" s="27">
        <f>IFERROR(IF(A911="","",VLOOKUP(A911,DATABASE!$A:$B,2,0)),"")</f>
        <v/>
      </c>
      <c r="C911" s="20">
        <f>IFERROR(IF(A911="","",SUMIF(SAVINGS!$A$3:A910,A911,SAVINGS!$E$3:E910)-SUMIF(WITHDRAWALS!$A:$A,A911,WITHDRAWALS!$E:$E)),"")</f>
        <v/>
      </c>
      <c r="D911" s="28">
        <f>IF(A911="","",TODAY())</f>
        <v/>
      </c>
      <c r="E911" s="29" t="n"/>
      <c r="F911" s="20">
        <f>IFERROR(IF(OR(A911="",E911=""),"",C911+E911),"")</f>
        <v/>
      </c>
      <c r="G911" s="30" t="n"/>
      <c r="H911" s="27" t="n"/>
    </row>
    <row r="912" ht="20" customHeight="1">
      <c r="A912" s="26" t="n"/>
      <c r="B912" s="31">
        <f>IFERROR(IF(A912="","",VLOOKUP(A912,DATABASE!$A:$B,2,0)),"")</f>
        <v/>
      </c>
      <c r="C912" s="32">
        <f>IFERROR(IF(A912="","",SUMIF(SAVINGS!$A$3:A911,A912,SAVINGS!$E$3:E911)-SUMIF(WITHDRAWALS!$A:$A,A912,WITHDRAWALS!$E:$E)),"")</f>
        <v/>
      </c>
      <c r="D912" s="33">
        <f>IF(A912="","",TODAY())</f>
        <v/>
      </c>
      <c r="E912" s="29" t="n"/>
      <c r="F912" s="32">
        <f>IFERROR(IF(OR(A912="",E912=""),"",C912+E912),"")</f>
        <v/>
      </c>
      <c r="G912" s="30" t="n"/>
      <c r="H912" s="31" t="n"/>
    </row>
    <row r="913" ht="20" customHeight="1">
      <c r="A913" s="26" t="n"/>
      <c r="B913" s="27">
        <f>IFERROR(IF(A913="","",VLOOKUP(A913,DATABASE!$A:$B,2,0)),"")</f>
        <v/>
      </c>
      <c r="C913" s="20">
        <f>IFERROR(IF(A913="","",SUMIF(SAVINGS!$A$3:A912,A913,SAVINGS!$E$3:E912)-SUMIF(WITHDRAWALS!$A:$A,A913,WITHDRAWALS!$E:$E)),"")</f>
        <v/>
      </c>
      <c r="D913" s="28">
        <f>IF(A913="","",TODAY())</f>
        <v/>
      </c>
      <c r="E913" s="29" t="n"/>
      <c r="F913" s="20">
        <f>IFERROR(IF(OR(A913="",E913=""),"",C913+E913),"")</f>
        <v/>
      </c>
      <c r="G913" s="30" t="n"/>
      <c r="H913" s="27" t="n"/>
    </row>
    <row r="914" ht="20" customHeight="1">
      <c r="A914" s="26" t="n"/>
      <c r="B914" s="31">
        <f>IFERROR(IF(A914="","",VLOOKUP(A914,DATABASE!$A:$B,2,0)),"")</f>
        <v/>
      </c>
      <c r="C914" s="32">
        <f>IFERROR(IF(A914="","",SUMIF(SAVINGS!$A$3:A913,A914,SAVINGS!$E$3:E913)-SUMIF(WITHDRAWALS!$A:$A,A914,WITHDRAWALS!$E:$E)),"")</f>
        <v/>
      </c>
      <c r="D914" s="33">
        <f>IF(A914="","",TODAY())</f>
        <v/>
      </c>
      <c r="E914" s="29" t="n"/>
      <c r="F914" s="32">
        <f>IFERROR(IF(OR(A914="",E914=""),"",C914+E914),"")</f>
        <v/>
      </c>
      <c r="G914" s="30" t="n"/>
      <c r="H914" s="31" t="n"/>
    </row>
    <row r="915" ht="20" customHeight="1">
      <c r="A915" s="26" t="n"/>
      <c r="B915" s="27">
        <f>IFERROR(IF(A915="","",VLOOKUP(A915,DATABASE!$A:$B,2,0)),"")</f>
        <v/>
      </c>
      <c r="C915" s="20">
        <f>IFERROR(IF(A915="","",SUMIF(SAVINGS!$A$3:A914,A915,SAVINGS!$E$3:E914)-SUMIF(WITHDRAWALS!$A:$A,A915,WITHDRAWALS!$E:$E)),"")</f>
        <v/>
      </c>
      <c r="D915" s="28">
        <f>IF(A915="","",TODAY())</f>
        <v/>
      </c>
      <c r="E915" s="29" t="n"/>
      <c r="F915" s="20">
        <f>IFERROR(IF(OR(A915="",E915=""),"",C915+E915),"")</f>
        <v/>
      </c>
      <c r="G915" s="30" t="n"/>
      <c r="H915" s="27" t="n"/>
    </row>
    <row r="916" ht="20" customHeight="1">
      <c r="A916" s="26" t="n"/>
      <c r="B916" s="31">
        <f>IFERROR(IF(A916="","",VLOOKUP(A916,DATABASE!$A:$B,2,0)),"")</f>
        <v/>
      </c>
      <c r="C916" s="32">
        <f>IFERROR(IF(A916="","",SUMIF(SAVINGS!$A$3:A915,A916,SAVINGS!$E$3:E915)-SUMIF(WITHDRAWALS!$A:$A,A916,WITHDRAWALS!$E:$E)),"")</f>
        <v/>
      </c>
      <c r="D916" s="33">
        <f>IF(A916="","",TODAY())</f>
        <v/>
      </c>
      <c r="E916" s="29" t="n"/>
      <c r="F916" s="32">
        <f>IFERROR(IF(OR(A916="",E916=""),"",C916+E916),"")</f>
        <v/>
      </c>
      <c r="G916" s="30" t="n"/>
      <c r="H916" s="31" t="n"/>
    </row>
    <row r="917" ht="20" customHeight="1">
      <c r="A917" s="26" t="n"/>
      <c r="B917" s="27">
        <f>IFERROR(IF(A917="","",VLOOKUP(A917,DATABASE!$A:$B,2,0)),"")</f>
        <v/>
      </c>
      <c r="C917" s="20">
        <f>IFERROR(IF(A917="","",SUMIF(SAVINGS!$A$3:A916,A917,SAVINGS!$E$3:E916)-SUMIF(WITHDRAWALS!$A:$A,A917,WITHDRAWALS!$E:$E)),"")</f>
        <v/>
      </c>
      <c r="D917" s="28">
        <f>IF(A917="","",TODAY())</f>
        <v/>
      </c>
      <c r="E917" s="29" t="n"/>
      <c r="F917" s="20">
        <f>IFERROR(IF(OR(A917="",E917=""),"",C917+E917),"")</f>
        <v/>
      </c>
      <c r="G917" s="30" t="n"/>
      <c r="H917" s="27" t="n"/>
    </row>
    <row r="918" ht="20" customHeight="1">
      <c r="A918" s="26" t="n"/>
      <c r="B918" s="31">
        <f>IFERROR(IF(A918="","",VLOOKUP(A918,DATABASE!$A:$B,2,0)),"")</f>
        <v/>
      </c>
      <c r="C918" s="32">
        <f>IFERROR(IF(A918="","",SUMIF(SAVINGS!$A$3:A917,A918,SAVINGS!$E$3:E917)-SUMIF(WITHDRAWALS!$A:$A,A918,WITHDRAWALS!$E:$E)),"")</f>
        <v/>
      </c>
      <c r="D918" s="33">
        <f>IF(A918="","",TODAY())</f>
        <v/>
      </c>
      <c r="E918" s="29" t="n"/>
      <c r="F918" s="32">
        <f>IFERROR(IF(OR(A918="",E918=""),"",C918+E918),"")</f>
        <v/>
      </c>
      <c r="G918" s="30" t="n"/>
      <c r="H918" s="31" t="n"/>
    </row>
    <row r="919" ht="20" customHeight="1">
      <c r="A919" s="26" t="n"/>
      <c r="B919" s="27">
        <f>IFERROR(IF(A919="","",VLOOKUP(A919,DATABASE!$A:$B,2,0)),"")</f>
        <v/>
      </c>
      <c r="C919" s="20">
        <f>IFERROR(IF(A919="","",SUMIF(SAVINGS!$A$3:A918,A919,SAVINGS!$E$3:E918)-SUMIF(WITHDRAWALS!$A:$A,A919,WITHDRAWALS!$E:$E)),"")</f>
        <v/>
      </c>
      <c r="D919" s="28">
        <f>IF(A919="","",TODAY())</f>
        <v/>
      </c>
      <c r="E919" s="29" t="n"/>
      <c r="F919" s="20">
        <f>IFERROR(IF(OR(A919="",E919=""),"",C919+E919),"")</f>
        <v/>
      </c>
      <c r="G919" s="30" t="n"/>
      <c r="H919" s="27" t="n"/>
    </row>
    <row r="920" ht="20" customHeight="1">
      <c r="A920" s="26" t="n"/>
      <c r="B920" s="31">
        <f>IFERROR(IF(A920="","",VLOOKUP(A920,DATABASE!$A:$B,2,0)),"")</f>
        <v/>
      </c>
      <c r="C920" s="32">
        <f>IFERROR(IF(A920="","",SUMIF(SAVINGS!$A$3:A919,A920,SAVINGS!$E$3:E919)-SUMIF(WITHDRAWALS!$A:$A,A920,WITHDRAWALS!$E:$E)),"")</f>
        <v/>
      </c>
      <c r="D920" s="33">
        <f>IF(A920="","",TODAY())</f>
        <v/>
      </c>
      <c r="E920" s="29" t="n"/>
      <c r="F920" s="32">
        <f>IFERROR(IF(OR(A920="",E920=""),"",C920+E920),"")</f>
        <v/>
      </c>
      <c r="G920" s="30" t="n"/>
      <c r="H920" s="31" t="n"/>
    </row>
    <row r="921" ht="20" customHeight="1">
      <c r="A921" s="26" t="n"/>
      <c r="B921" s="27">
        <f>IFERROR(IF(A921="","",VLOOKUP(A921,DATABASE!$A:$B,2,0)),"")</f>
        <v/>
      </c>
      <c r="C921" s="20">
        <f>IFERROR(IF(A921="","",SUMIF(SAVINGS!$A$3:A920,A921,SAVINGS!$E$3:E920)-SUMIF(WITHDRAWALS!$A:$A,A921,WITHDRAWALS!$E:$E)),"")</f>
        <v/>
      </c>
      <c r="D921" s="28">
        <f>IF(A921="","",TODAY())</f>
        <v/>
      </c>
      <c r="E921" s="29" t="n"/>
      <c r="F921" s="20">
        <f>IFERROR(IF(OR(A921="",E921=""),"",C921+E921),"")</f>
        <v/>
      </c>
      <c r="G921" s="30" t="n"/>
      <c r="H921" s="27" t="n"/>
    </row>
    <row r="922" ht="20" customHeight="1">
      <c r="A922" s="26" t="n"/>
      <c r="B922" s="31">
        <f>IFERROR(IF(A922="","",VLOOKUP(A922,DATABASE!$A:$B,2,0)),"")</f>
        <v/>
      </c>
      <c r="C922" s="32">
        <f>IFERROR(IF(A922="","",SUMIF(SAVINGS!$A$3:A921,A922,SAVINGS!$E$3:E921)-SUMIF(WITHDRAWALS!$A:$A,A922,WITHDRAWALS!$E:$E)),"")</f>
        <v/>
      </c>
      <c r="D922" s="33">
        <f>IF(A922="","",TODAY())</f>
        <v/>
      </c>
      <c r="E922" s="29" t="n"/>
      <c r="F922" s="32">
        <f>IFERROR(IF(OR(A922="",E922=""),"",C922+E922),"")</f>
        <v/>
      </c>
      <c r="G922" s="30" t="n"/>
      <c r="H922" s="31" t="n"/>
    </row>
    <row r="923" ht="20" customHeight="1">
      <c r="A923" s="26" t="n"/>
      <c r="B923" s="27">
        <f>IFERROR(IF(A923="","",VLOOKUP(A923,DATABASE!$A:$B,2,0)),"")</f>
        <v/>
      </c>
      <c r="C923" s="20">
        <f>IFERROR(IF(A923="","",SUMIF(SAVINGS!$A$3:A922,A923,SAVINGS!$E$3:E922)-SUMIF(WITHDRAWALS!$A:$A,A923,WITHDRAWALS!$E:$E)),"")</f>
        <v/>
      </c>
      <c r="D923" s="28">
        <f>IF(A923="","",TODAY())</f>
        <v/>
      </c>
      <c r="E923" s="29" t="n"/>
      <c r="F923" s="20">
        <f>IFERROR(IF(OR(A923="",E923=""),"",C923+E923),"")</f>
        <v/>
      </c>
      <c r="G923" s="30" t="n"/>
      <c r="H923" s="27" t="n"/>
    </row>
    <row r="924" ht="20" customHeight="1">
      <c r="A924" s="26" t="n"/>
      <c r="B924" s="31">
        <f>IFERROR(IF(A924="","",VLOOKUP(A924,DATABASE!$A:$B,2,0)),"")</f>
        <v/>
      </c>
      <c r="C924" s="32">
        <f>IFERROR(IF(A924="","",SUMIF(SAVINGS!$A$3:A923,A924,SAVINGS!$E$3:E923)-SUMIF(WITHDRAWALS!$A:$A,A924,WITHDRAWALS!$E:$E)),"")</f>
        <v/>
      </c>
      <c r="D924" s="33">
        <f>IF(A924="","",TODAY())</f>
        <v/>
      </c>
      <c r="E924" s="29" t="n"/>
      <c r="F924" s="32">
        <f>IFERROR(IF(OR(A924="",E924=""),"",C924+E924),"")</f>
        <v/>
      </c>
      <c r="G924" s="30" t="n"/>
      <c r="H924" s="31" t="n"/>
    </row>
    <row r="925" ht="20" customHeight="1">
      <c r="A925" s="26" t="n"/>
      <c r="B925" s="27">
        <f>IFERROR(IF(A925="","",VLOOKUP(A925,DATABASE!$A:$B,2,0)),"")</f>
        <v/>
      </c>
      <c r="C925" s="20">
        <f>IFERROR(IF(A925="","",SUMIF(SAVINGS!$A$3:A924,A925,SAVINGS!$E$3:E924)-SUMIF(WITHDRAWALS!$A:$A,A925,WITHDRAWALS!$E:$E)),"")</f>
        <v/>
      </c>
      <c r="D925" s="28">
        <f>IF(A925="","",TODAY())</f>
        <v/>
      </c>
      <c r="E925" s="29" t="n"/>
      <c r="F925" s="20">
        <f>IFERROR(IF(OR(A925="",E925=""),"",C925+E925),"")</f>
        <v/>
      </c>
      <c r="G925" s="30" t="n"/>
      <c r="H925" s="27" t="n"/>
    </row>
    <row r="926" ht="20" customHeight="1">
      <c r="A926" s="26" t="n"/>
      <c r="B926" s="31">
        <f>IFERROR(IF(A926="","",VLOOKUP(A926,DATABASE!$A:$B,2,0)),"")</f>
        <v/>
      </c>
      <c r="C926" s="32">
        <f>IFERROR(IF(A926="","",SUMIF(SAVINGS!$A$3:A925,A926,SAVINGS!$E$3:E925)-SUMIF(WITHDRAWALS!$A:$A,A926,WITHDRAWALS!$E:$E)),"")</f>
        <v/>
      </c>
      <c r="D926" s="33">
        <f>IF(A926="","",TODAY())</f>
        <v/>
      </c>
      <c r="E926" s="29" t="n"/>
      <c r="F926" s="32">
        <f>IFERROR(IF(OR(A926="",E926=""),"",C926+E926),"")</f>
        <v/>
      </c>
      <c r="G926" s="30" t="n"/>
      <c r="H926" s="31" t="n"/>
    </row>
    <row r="927" ht="20" customHeight="1">
      <c r="A927" s="26" t="n"/>
      <c r="B927" s="27">
        <f>IFERROR(IF(A927="","",VLOOKUP(A927,DATABASE!$A:$B,2,0)),"")</f>
        <v/>
      </c>
      <c r="C927" s="20">
        <f>IFERROR(IF(A927="","",SUMIF(SAVINGS!$A$3:A926,A927,SAVINGS!$E$3:E926)-SUMIF(WITHDRAWALS!$A:$A,A927,WITHDRAWALS!$E:$E)),"")</f>
        <v/>
      </c>
      <c r="D927" s="28">
        <f>IF(A927="","",TODAY())</f>
        <v/>
      </c>
      <c r="E927" s="29" t="n"/>
      <c r="F927" s="20">
        <f>IFERROR(IF(OR(A927="",E927=""),"",C927+E927),"")</f>
        <v/>
      </c>
      <c r="G927" s="30" t="n"/>
      <c r="H927" s="27" t="n"/>
    </row>
    <row r="928" ht="20" customHeight="1">
      <c r="A928" s="26" t="n"/>
      <c r="B928" s="31">
        <f>IFERROR(IF(A928="","",VLOOKUP(A928,DATABASE!$A:$B,2,0)),"")</f>
        <v/>
      </c>
      <c r="C928" s="32">
        <f>IFERROR(IF(A928="","",SUMIF(SAVINGS!$A$3:A927,A928,SAVINGS!$E$3:E927)-SUMIF(WITHDRAWALS!$A:$A,A928,WITHDRAWALS!$E:$E)),"")</f>
        <v/>
      </c>
      <c r="D928" s="33">
        <f>IF(A928="","",TODAY())</f>
        <v/>
      </c>
      <c r="E928" s="29" t="n"/>
      <c r="F928" s="32">
        <f>IFERROR(IF(OR(A928="",E928=""),"",C928+E928),"")</f>
        <v/>
      </c>
      <c r="G928" s="30" t="n"/>
      <c r="H928" s="31" t="n"/>
    </row>
    <row r="929" ht="20" customHeight="1">
      <c r="A929" s="26" t="n"/>
      <c r="B929" s="27">
        <f>IFERROR(IF(A929="","",VLOOKUP(A929,DATABASE!$A:$B,2,0)),"")</f>
        <v/>
      </c>
      <c r="C929" s="20">
        <f>IFERROR(IF(A929="","",SUMIF(SAVINGS!$A$3:A928,A929,SAVINGS!$E$3:E928)-SUMIF(WITHDRAWALS!$A:$A,A929,WITHDRAWALS!$E:$E)),"")</f>
        <v/>
      </c>
      <c r="D929" s="28">
        <f>IF(A929="","",TODAY())</f>
        <v/>
      </c>
      <c r="E929" s="29" t="n"/>
      <c r="F929" s="20">
        <f>IFERROR(IF(OR(A929="",E929=""),"",C929+E929),"")</f>
        <v/>
      </c>
      <c r="G929" s="30" t="n"/>
      <c r="H929" s="27" t="n"/>
    </row>
    <row r="930" ht="20" customHeight="1">
      <c r="A930" s="26" t="n"/>
      <c r="B930" s="31">
        <f>IFERROR(IF(A930="","",VLOOKUP(A930,DATABASE!$A:$B,2,0)),"")</f>
        <v/>
      </c>
      <c r="C930" s="32">
        <f>IFERROR(IF(A930="","",SUMIF(SAVINGS!$A$3:A929,A930,SAVINGS!$E$3:E929)-SUMIF(WITHDRAWALS!$A:$A,A930,WITHDRAWALS!$E:$E)),"")</f>
        <v/>
      </c>
      <c r="D930" s="33">
        <f>IF(A930="","",TODAY())</f>
        <v/>
      </c>
      <c r="E930" s="29" t="n"/>
      <c r="F930" s="32">
        <f>IFERROR(IF(OR(A930="",E930=""),"",C930+E930),"")</f>
        <v/>
      </c>
      <c r="G930" s="30" t="n"/>
      <c r="H930" s="31" t="n"/>
    </row>
    <row r="931" ht="20" customHeight="1">
      <c r="A931" s="26" t="n"/>
      <c r="B931" s="27">
        <f>IFERROR(IF(A931="","",VLOOKUP(A931,DATABASE!$A:$B,2,0)),"")</f>
        <v/>
      </c>
      <c r="C931" s="20">
        <f>IFERROR(IF(A931="","",SUMIF(SAVINGS!$A$3:A930,A931,SAVINGS!$E$3:E930)-SUMIF(WITHDRAWALS!$A:$A,A931,WITHDRAWALS!$E:$E)),"")</f>
        <v/>
      </c>
      <c r="D931" s="28">
        <f>IF(A931="","",TODAY())</f>
        <v/>
      </c>
      <c r="E931" s="29" t="n"/>
      <c r="F931" s="20">
        <f>IFERROR(IF(OR(A931="",E931=""),"",C931+E931),"")</f>
        <v/>
      </c>
      <c r="G931" s="30" t="n"/>
      <c r="H931" s="27" t="n"/>
    </row>
    <row r="932" ht="20" customHeight="1">
      <c r="A932" s="26" t="n"/>
      <c r="B932" s="31">
        <f>IFERROR(IF(A932="","",VLOOKUP(A932,DATABASE!$A:$B,2,0)),"")</f>
        <v/>
      </c>
      <c r="C932" s="32">
        <f>IFERROR(IF(A932="","",SUMIF(SAVINGS!$A$3:A931,A932,SAVINGS!$E$3:E931)-SUMIF(WITHDRAWALS!$A:$A,A932,WITHDRAWALS!$E:$E)),"")</f>
        <v/>
      </c>
      <c r="D932" s="33">
        <f>IF(A932="","",TODAY())</f>
        <v/>
      </c>
      <c r="E932" s="29" t="n"/>
      <c r="F932" s="32">
        <f>IFERROR(IF(OR(A932="",E932=""),"",C932+E932),"")</f>
        <v/>
      </c>
      <c r="G932" s="30" t="n"/>
      <c r="H932" s="31" t="n"/>
    </row>
    <row r="933" ht="20" customHeight="1">
      <c r="A933" s="26" t="n"/>
      <c r="B933" s="27">
        <f>IFERROR(IF(A933="","",VLOOKUP(A933,DATABASE!$A:$B,2,0)),"")</f>
        <v/>
      </c>
      <c r="C933" s="20">
        <f>IFERROR(IF(A933="","",SUMIF(SAVINGS!$A$3:A932,A933,SAVINGS!$E$3:E932)-SUMIF(WITHDRAWALS!$A:$A,A933,WITHDRAWALS!$E:$E)),"")</f>
        <v/>
      </c>
      <c r="D933" s="28">
        <f>IF(A933="","",TODAY())</f>
        <v/>
      </c>
      <c r="E933" s="29" t="n"/>
      <c r="F933" s="20">
        <f>IFERROR(IF(OR(A933="",E933=""),"",C933+E933),"")</f>
        <v/>
      </c>
      <c r="G933" s="30" t="n"/>
      <c r="H933" s="27" t="n"/>
    </row>
    <row r="934" ht="20" customHeight="1">
      <c r="A934" s="26" t="n"/>
      <c r="B934" s="31">
        <f>IFERROR(IF(A934="","",VLOOKUP(A934,DATABASE!$A:$B,2,0)),"")</f>
        <v/>
      </c>
      <c r="C934" s="32">
        <f>IFERROR(IF(A934="","",SUMIF(SAVINGS!$A$3:A933,A934,SAVINGS!$E$3:E933)-SUMIF(WITHDRAWALS!$A:$A,A934,WITHDRAWALS!$E:$E)),"")</f>
        <v/>
      </c>
      <c r="D934" s="33">
        <f>IF(A934="","",TODAY())</f>
        <v/>
      </c>
      <c r="E934" s="29" t="n"/>
      <c r="F934" s="32">
        <f>IFERROR(IF(OR(A934="",E934=""),"",C934+E934),"")</f>
        <v/>
      </c>
      <c r="G934" s="30" t="n"/>
      <c r="H934" s="31" t="n"/>
    </row>
    <row r="935" ht="20" customHeight="1">
      <c r="A935" s="26" t="n"/>
      <c r="B935" s="27">
        <f>IFERROR(IF(A935="","",VLOOKUP(A935,DATABASE!$A:$B,2,0)),"")</f>
        <v/>
      </c>
      <c r="C935" s="20">
        <f>IFERROR(IF(A935="","",SUMIF(SAVINGS!$A$3:A934,A935,SAVINGS!$E$3:E934)-SUMIF(WITHDRAWALS!$A:$A,A935,WITHDRAWALS!$E:$E)),"")</f>
        <v/>
      </c>
      <c r="D935" s="28">
        <f>IF(A935="","",TODAY())</f>
        <v/>
      </c>
      <c r="E935" s="29" t="n"/>
      <c r="F935" s="20">
        <f>IFERROR(IF(OR(A935="",E935=""),"",C935+E935),"")</f>
        <v/>
      </c>
      <c r="G935" s="30" t="n"/>
      <c r="H935" s="27" t="n"/>
    </row>
    <row r="936" ht="20" customHeight="1">
      <c r="A936" s="26" t="n"/>
      <c r="B936" s="31">
        <f>IFERROR(IF(A936="","",VLOOKUP(A936,DATABASE!$A:$B,2,0)),"")</f>
        <v/>
      </c>
      <c r="C936" s="32">
        <f>IFERROR(IF(A936="","",SUMIF(SAVINGS!$A$3:A935,A936,SAVINGS!$E$3:E935)-SUMIF(WITHDRAWALS!$A:$A,A936,WITHDRAWALS!$E:$E)),"")</f>
        <v/>
      </c>
      <c r="D936" s="33">
        <f>IF(A936="","",TODAY())</f>
        <v/>
      </c>
      <c r="E936" s="29" t="n"/>
      <c r="F936" s="32">
        <f>IFERROR(IF(OR(A936="",E936=""),"",C936+E936),"")</f>
        <v/>
      </c>
      <c r="G936" s="30" t="n"/>
      <c r="H936" s="31" t="n"/>
    </row>
    <row r="937" ht="20" customHeight="1">
      <c r="A937" s="26" t="n"/>
      <c r="B937" s="27">
        <f>IFERROR(IF(A937="","",VLOOKUP(A937,DATABASE!$A:$B,2,0)),"")</f>
        <v/>
      </c>
      <c r="C937" s="20">
        <f>IFERROR(IF(A937="","",SUMIF(SAVINGS!$A$3:A936,A937,SAVINGS!$E$3:E936)-SUMIF(WITHDRAWALS!$A:$A,A937,WITHDRAWALS!$E:$E)),"")</f>
        <v/>
      </c>
      <c r="D937" s="28">
        <f>IF(A937="","",TODAY())</f>
        <v/>
      </c>
      <c r="E937" s="29" t="n"/>
      <c r="F937" s="20">
        <f>IFERROR(IF(OR(A937="",E937=""),"",C937+E937),"")</f>
        <v/>
      </c>
      <c r="G937" s="30" t="n"/>
      <c r="H937" s="27" t="n"/>
    </row>
    <row r="938" ht="20" customHeight="1">
      <c r="A938" s="26" t="n"/>
      <c r="B938" s="31">
        <f>IFERROR(IF(A938="","",VLOOKUP(A938,DATABASE!$A:$B,2,0)),"")</f>
        <v/>
      </c>
      <c r="C938" s="32">
        <f>IFERROR(IF(A938="","",SUMIF(SAVINGS!$A$3:A937,A938,SAVINGS!$E$3:E937)-SUMIF(WITHDRAWALS!$A:$A,A938,WITHDRAWALS!$E:$E)),"")</f>
        <v/>
      </c>
      <c r="D938" s="33">
        <f>IF(A938="","",TODAY())</f>
        <v/>
      </c>
      <c r="E938" s="29" t="n"/>
      <c r="F938" s="32">
        <f>IFERROR(IF(OR(A938="",E938=""),"",C938+E938),"")</f>
        <v/>
      </c>
      <c r="G938" s="30" t="n"/>
      <c r="H938" s="31" t="n"/>
    </row>
    <row r="939" ht="20" customHeight="1">
      <c r="A939" s="26" t="n"/>
      <c r="B939" s="27">
        <f>IFERROR(IF(A939="","",VLOOKUP(A939,DATABASE!$A:$B,2,0)),"")</f>
        <v/>
      </c>
      <c r="C939" s="20">
        <f>IFERROR(IF(A939="","",SUMIF(SAVINGS!$A$3:A938,A939,SAVINGS!$E$3:E938)-SUMIF(WITHDRAWALS!$A:$A,A939,WITHDRAWALS!$E:$E)),"")</f>
        <v/>
      </c>
      <c r="D939" s="28">
        <f>IF(A939="","",TODAY())</f>
        <v/>
      </c>
      <c r="E939" s="29" t="n"/>
      <c r="F939" s="20">
        <f>IFERROR(IF(OR(A939="",E939=""),"",C939+E939),"")</f>
        <v/>
      </c>
      <c r="G939" s="30" t="n"/>
      <c r="H939" s="27" t="n"/>
    </row>
    <row r="940" ht="20" customHeight="1">
      <c r="A940" s="26" t="n"/>
      <c r="B940" s="31">
        <f>IFERROR(IF(A940="","",VLOOKUP(A940,DATABASE!$A:$B,2,0)),"")</f>
        <v/>
      </c>
      <c r="C940" s="32">
        <f>IFERROR(IF(A940="","",SUMIF(SAVINGS!$A$3:A939,A940,SAVINGS!$E$3:E939)-SUMIF(WITHDRAWALS!$A:$A,A940,WITHDRAWALS!$E:$E)),"")</f>
        <v/>
      </c>
      <c r="D940" s="33">
        <f>IF(A940="","",TODAY())</f>
        <v/>
      </c>
      <c r="E940" s="29" t="n"/>
      <c r="F940" s="32">
        <f>IFERROR(IF(OR(A940="",E940=""),"",C940+E940),"")</f>
        <v/>
      </c>
      <c r="G940" s="30" t="n"/>
      <c r="H940" s="31" t="n"/>
    </row>
    <row r="941" ht="20" customHeight="1">
      <c r="A941" s="26" t="n"/>
      <c r="B941" s="27">
        <f>IFERROR(IF(A941="","",VLOOKUP(A941,DATABASE!$A:$B,2,0)),"")</f>
        <v/>
      </c>
      <c r="C941" s="20">
        <f>IFERROR(IF(A941="","",SUMIF(SAVINGS!$A$3:A940,A941,SAVINGS!$E$3:E940)-SUMIF(WITHDRAWALS!$A:$A,A941,WITHDRAWALS!$E:$E)),"")</f>
        <v/>
      </c>
      <c r="D941" s="28">
        <f>IF(A941="","",TODAY())</f>
        <v/>
      </c>
      <c r="E941" s="29" t="n"/>
      <c r="F941" s="20">
        <f>IFERROR(IF(OR(A941="",E941=""),"",C941+E941),"")</f>
        <v/>
      </c>
      <c r="G941" s="30" t="n"/>
      <c r="H941" s="27" t="n"/>
    </row>
    <row r="942" ht="20" customHeight="1">
      <c r="A942" s="26" t="n"/>
      <c r="B942" s="31">
        <f>IFERROR(IF(A942="","",VLOOKUP(A942,DATABASE!$A:$B,2,0)),"")</f>
        <v/>
      </c>
      <c r="C942" s="32">
        <f>IFERROR(IF(A942="","",SUMIF(SAVINGS!$A$3:A941,A942,SAVINGS!$E$3:E941)-SUMIF(WITHDRAWALS!$A:$A,A942,WITHDRAWALS!$E:$E)),"")</f>
        <v/>
      </c>
      <c r="D942" s="33">
        <f>IF(A942="","",TODAY())</f>
        <v/>
      </c>
      <c r="E942" s="29" t="n"/>
      <c r="F942" s="32">
        <f>IFERROR(IF(OR(A942="",E942=""),"",C942+E942),"")</f>
        <v/>
      </c>
      <c r="G942" s="30" t="n"/>
      <c r="H942" s="31" t="n"/>
    </row>
    <row r="943" ht="20" customHeight="1">
      <c r="A943" s="26" t="n"/>
      <c r="B943" s="27">
        <f>IFERROR(IF(A943="","",VLOOKUP(A943,DATABASE!$A:$B,2,0)),"")</f>
        <v/>
      </c>
      <c r="C943" s="20">
        <f>IFERROR(IF(A943="","",SUMIF(SAVINGS!$A$3:A942,A943,SAVINGS!$E$3:E942)-SUMIF(WITHDRAWALS!$A:$A,A943,WITHDRAWALS!$E:$E)),"")</f>
        <v/>
      </c>
      <c r="D943" s="28">
        <f>IF(A943="","",TODAY())</f>
        <v/>
      </c>
      <c r="E943" s="29" t="n"/>
      <c r="F943" s="20">
        <f>IFERROR(IF(OR(A943="",E943=""),"",C943+E943),"")</f>
        <v/>
      </c>
      <c r="G943" s="30" t="n"/>
      <c r="H943" s="27" t="n"/>
    </row>
    <row r="944" ht="20" customHeight="1">
      <c r="A944" s="26" t="n"/>
      <c r="B944" s="31">
        <f>IFERROR(IF(A944="","",VLOOKUP(A944,DATABASE!$A:$B,2,0)),"")</f>
        <v/>
      </c>
      <c r="C944" s="32">
        <f>IFERROR(IF(A944="","",SUMIF(SAVINGS!$A$3:A943,A944,SAVINGS!$E$3:E943)-SUMIF(WITHDRAWALS!$A:$A,A944,WITHDRAWALS!$E:$E)),"")</f>
        <v/>
      </c>
      <c r="D944" s="33">
        <f>IF(A944="","",TODAY())</f>
        <v/>
      </c>
      <c r="E944" s="29" t="n"/>
      <c r="F944" s="32">
        <f>IFERROR(IF(OR(A944="",E944=""),"",C944+E944),"")</f>
        <v/>
      </c>
      <c r="G944" s="30" t="n"/>
      <c r="H944" s="31" t="n"/>
    </row>
    <row r="945" ht="20" customHeight="1">
      <c r="A945" s="26" t="n"/>
      <c r="B945" s="27">
        <f>IFERROR(IF(A945="","",VLOOKUP(A945,DATABASE!$A:$B,2,0)),"")</f>
        <v/>
      </c>
      <c r="C945" s="20">
        <f>IFERROR(IF(A945="","",SUMIF(SAVINGS!$A$3:A944,A945,SAVINGS!$E$3:E944)-SUMIF(WITHDRAWALS!$A:$A,A945,WITHDRAWALS!$E:$E)),"")</f>
        <v/>
      </c>
      <c r="D945" s="28">
        <f>IF(A945="","",TODAY())</f>
        <v/>
      </c>
      <c r="E945" s="29" t="n"/>
      <c r="F945" s="20">
        <f>IFERROR(IF(OR(A945="",E945=""),"",C945+E945),"")</f>
        <v/>
      </c>
      <c r="G945" s="30" t="n"/>
      <c r="H945" s="27" t="n"/>
    </row>
    <row r="946" ht="20" customHeight="1">
      <c r="A946" s="26" t="n"/>
      <c r="B946" s="31">
        <f>IFERROR(IF(A946="","",VLOOKUP(A946,DATABASE!$A:$B,2,0)),"")</f>
        <v/>
      </c>
      <c r="C946" s="32">
        <f>IFERROR(IF(A946="","",SUMIF(SAVINGS!$A$3:A945,A946,SAVINGS!$E$3:E945)-SUMIF(WITHDRAWALS!$A:$A,A946,WITHDRAWALS!$E:$E)),"")</f>
        <v/>
      </c>
      <c r="D946" s="33">
        <f>IF(A946="","",TODAY())</f>
        <v/>
      </c>
      <c r="E946" s="29" t="n"/>
      <c r="F946" s="32">
        <f>IFERROR(IF(OR(A946="",E946=""),"",C946+E946),"")</f>
        <v/>
      </c>
      <c r="G946" s="30" t="n"/>
      <c r="H946" s="31" t="n"/>
    </row>
    <row r="947" ht="20" customHeight="1">
      <c r="A947" s="26" t="n"/>
      <c r="B947" s="27">
        <f>IFERROR(IF(A947="","",VLOOKUP(A947,DATABASE!$A:$B,2,0)),"")</f>
        <v/>
      </c>
      <c r="C947" s="20">
        <f>IFERROR(IF(A947="","",SUMIF(SAVINGS!$A$3:A946,A947,SAVINGS!$E$3:E946)-SUMIF(WITHDRAWALS!$A:$A,A947,WITHDRAWALS!$E:$E)),"")</f>
        <v/>
      </c>
      <c r="D947" s="28">
        <f>IF(A947="","",TODAY())</f>
        <v/>
      </c>
      <c r="E947" s="29" t="n"/>
      <c r="F947" s="20">
        <f>IFERROR(IF(OR(A947="",E947=""),"",C947+E947),"")</f>
        <v/>
      </c>
      <c r="G947" s="30" t="n"/>
      <c r="H947" s="27" t="n"/>
    </row>
    <row r="948" ht="20" customHeight="1">
      <c r="A948" s="26" t="n"/>
      <c r="B948" s="31">
        <f>IFERROR(IF(A948="","",VLOOKUP(A948,DATABASE!$A:$B,2,0)),"")</f>
        <v/>
      </c>
      <c r="C948" s="32">
        <f>IFERROR(IF(A948="","",SUMIF(SAVINGS!$A$3:A947,A948,SAVINGS!$E$3:E947)-SUMIF(WITHDRAWALS!$A:$A,A948,WITHDRAWALS!$E:$E)),"")</f>
        <v/>
      </c>
      <c r="D948" s="33">
        <f>IF(A948="","",TODAY())</f>
        <v/>
      </c>
      <c r="E948" s="29" t="n"/>
      <c r="F948" s="32">
        <f>IFERROR(IF(OR(A948="",E948=""),"",C948+E948),"")</f>
        <v/>
      </c>
      <c r="G948" s="30" t="n"/>
      <c r="H948" s="31" t="n"/>
    </row>
    <row r="949" ht="20" customHeight="1">
      <c r="A949" s="26" t="n"/>
      <c r="B949" s="27">
        <f>IFERROR(IF(A949="","",VLOOKUP(A949,DATABASE!$A:$B,2,0)),"")</f>
        <v/>
      </c>
      <c r="C949" s="20">
        <f>IFERROR(IF(A949="","",SUMIF(SAVINGS!$A$3:A948,A949,SAVINGS!$E$3:E948)-SUMIF(WITHDRAWALS!$A:$A,A949,WITHDRAWALS!$E:$E)),"")</f>
        <v/>
      </c>
      <c r="D949" s="28">
        <f>IF(A949="","",TODAY())</f>
        <v/>
      </c>
      <c r="E949" s="29" t="n"/>
      <c r="F949" s="20">
        <f>IFERROR(IF(OR(A949="",E949=""),"",C949+E949),"")</f>
        <v/>
      </c>
      <c r="G949" s="30" t="n"/>
      <c r="H949" s="27" t="n"/>
    </row>
    <row r="950" ht="20" customHeight="1">
      <c r="A950" s="26" t="n"/>
      <c r="B950" s="31">
        <f>IFERROR(IF(A950="","",VLOOKUP(A950,DATABASE!$A:$B,2,0)),"")</f>
        <v/>
      </c>
      <c r="C950" s="32">
        <f>IFERROR(IF(A950="","",SUMIF(SAVINGS!$A$3:A949,A950,SAVINGS!$E$3:E949)-SUMIF(WITHDRAWALS!$A:$A,A950,WITHDRAWALS!$E:$E)),"")</f>
        <v/>
      </c>
      <c r="D950" s="33">
        <f>IF(A950="","",TODAY())</f>
        <v/>
      </c>
      <c r="E950" s="29" t="n"/>
      <c r="F950" s="32">
        <f>IFERROR(IF(OR(A950="",E950=""),"",C950+E950),"")</f>
        <v/>
      </c>
      <c r="G950" s="30" t="n"/>
      <c r="H950" s="31" t="n"/>
    </row>
    <row r="951" ht="20" customHeight="1">
      <c r="A951" s="26" t="n"/>
      <c r="B951" s="27">
        <f>IFERROR(IF(A951="","",VLOOKUP(A951,DATABASE!$A:$B,2,0)),"")</f>
        <v/>
      </c>
      <c r="C951" s="20">
        <f>IFERROR(IF(A951="","",SUMIF(SAVINGS!$A$3:A950,A951,SAVINGS!$E$3:E950)-SUMIF(WITHDRAWALS!$A:$A,A951,WITHDRAWALS!$E:$E)),"")</f>
        <v/>
      </c>
      <c r="D951" s="28">
        <f>IF(A951="","",TODAY())</f>
        <v/>
      </c>
      <c r="E951" s="29" t="n"/>
      <c r="F951" s="20">
        <f>IFERROR(IF(OR(A951="",E951=""),"",C951+E951),"")</f>
        <v/>
      </c>
      <c r="G951" s="30" t="n"/>
      <c r="H951" s="27" t="n"/>
    </row>
    <row r="952" ht="20" customHeight="1">
      <c r="A952" s="26" t="n"/>
      <c r="B952" s="31">
        <f>IFERROR(IF(A952="","",VLOOKUP(A952,DATABASE!$A:$B,2,0)),"")</f>
        <v/>
      </c>
      <c r="C952" s="32">
        <f>IFERROR(IF(A952="","",SUMIF(SAVINGS!$A$3:A951,A952,SAVINGS!$E$3:E951)-SUMIF(WITHDRAWALS!$A:$A,A952,WITHDRAWALS!$E:$E)),"")</f>
        <v/>
      </c>
      <c r="D952" s="33">
        <f>IF(A952="","",TODAY())</f>
        <v/>
      </c>
      <c r="E952" s="29" t="n"/>
      <c r="F952" s="32">
        <f>IFERROR(IF(OR(A952="",E952=""),"",C952+E952),"")</f>
        <v/>
      </c>
      <c r="G952" s="30" t="n"/>
      <c r="H952" s="31" t="n"/>
    </row>
    <row r="953" ht="20" customHeight="1">
      <c r="A953" s="26" t="n"/>
      <c r="B953" s="27">
        <f>IFERROR(IF(A953="","",VLOOKUP(A953,DATABASE!$A:$B,2,0)),"")</f>
        <v/>
      </c>
      <c r="C953" s="20">
        <f>IFERROR(IF(A953="","",SUMIF(SAVINGS!$A$3:A952,A953,SAVINGS!$E$3:E952)-SUMIF(WITHDRAWALS!$A:$A,A953,WITHDRAWALS!$E:$E)),"")</f>
        <v/>
      </c>
      <c r="D953" s="28">
        <f>IF(A953="","",TODAY())</f>
        <v/>
      </c>
      <c r="E953" s="29" t="n"/>
      <c r="F953" s="20">
        <f>IFERROR(IF(OR(A953="",E953=""),"",C953+E953),"")</f>
        <v/>
      </c>
      <c r="G953" s="30" t="n"/>
      <c r="H953" s="27" t="n"/>
    </row>
    <row r="954" ht="20" customHeight="1">
      <c r="A954" s="26" t="n"/>
      <c r="B954" s="31">
        <f>IFERROR(IF(A954="","",VLOOKUP(A954,DATABASE!$A:$B,2,0)),"")</f>
        <v/>
      </c>
      <c r="C954" s="32">
        <f>IFERROR(IF(A954="","",SUMIF(SAVINGS!$A$3:A953,A954,SAVINGS!$E$3:E953)-SUMIF(WITHDRAWALS!$A:$A,A954,WITHDRAWALS!$E:$E)),"")</f>
        <v/>
      </c>
      <c r="D954" s="33">
        <f>IF(A954="","",TODAY())</f>
        <v/>
      </c>
      <c r="E954" s="29" t="n"/>
      <c r="F954" s="32">
        <f>IFERROR(IF(OR(A954="",E954=""),"",C954+E954),"")</f>
        <v/>
      </c>
      <c r="G954" s="30" t="n"/>
      <c r="H954" s="31" t="n"/>
    </row>
    <row r="955" ht="20" customHeight="1">
      <c r="A955" s="26" t="n"/>
      <c r="B955" s="27">
        <f>IFERROR(IF(A955="","",VLOOKUP(A955,DATABASE!$A:$B,2,0)),"")</f>
        <v/>
      </c>
      <c r="C955" s="20">
        <f>IFERROR(IF(A955="","",SUMIF(SAVINGS!$A$3:A954,A955,SAVINGS!$E$3:E954)-SUMIF(WITHDRAWALS!$A:$A,A955,WITHDRAWALS!$E:$E)),"")</f>
        <v/>
      </c>
      <c r="D955" s="28">
        <f>IF(A955="","",TODAY())</f>
        <v/>
      </c>
      <c r="E955" s="29" t="n"/>
      <c r="F955" s="20">
        <f>IFERROR(IF(OR(A955="",E955=""),"",C955+E955),"")</f>
        <v/>
      </c>
      <c r="G955" s="30" t="n"/>
      <c r="H955" s="27" t="n"/>
    </row>
    <row r="956" ht="20" customHeight="1">
      <c r="A956" s="26" t="n"/>
      <c r="B956" s="31">
        <f>IFERROR(IF(A956="","",VLOOKUP(A956,DATABASE!$A:$B,2,0)),"")</f>
        <v/>
      </c>
      <c r="C956" s="32">
        <f>IFERROR(IF(A956="","",SUMIF(SAVINGS!$A$3:A955,A956,SAVINGS!$E$3:E955)-SUMIF(WITHDRAWALS!$A:$A,A956,WITHDRAWALS!$E:$E)),"")</f>
        <v/>
      </c>
      <c r="D956" s="33">
        <f>IF(A956="","",TODAY())</f>
        <v/>
      </c>
      <c r="E956" s="29" t="n"/>
      <c r="F956" s="32">
        <f>IFERROR(IF(OR(A956="",E956=""),"",C956+E956),"")</f>
        <v/>
      </c>
      <c r="G956" s="30" t="n"/>
      <c r="H956" s="31" t="n"/>
    </row>
    <row r="957" ht="20" customHeight="1">
      <c r="A957" s="26" t="n"/>
      <c r="B957" s="27">
        <f>IFERROR(IF(A957="","",VLOOKUP(A957,DATABASE!$A:$B,2,0)),"")</f>
        <v/>
      </c>
      <c r="C957" s="20">
        <f>IFERROR(IF(A957="","",SUMIF(SAVINGS!$A$3:A956,A957,SAVINGS!$E$3:E956)-SUMIF(WITHDRAWALS!$A:$A,A957,WITHDRAWALS!$E:$E)),"")</f>
        <v/>
      </c>
      <c r="D957" s="28">
        <f>IF(A957="","",TODAY())</f>
        <v/>
      </c>
      <c r="E957" s="29" t="n"/>
      <c r="F957" s="20">
        <f>IFERROR(IF(OR(A957="",E957=""),"",C957+E957),"")</f>
        <v/>
      </c>
      <c r="G957" s="30" t="n"/>
      <c r="H957" s="27" t="n"/>
    </row>
    <row r="958" ht="20" customHeight="1">
      <c r="A958" s="26" t="n"/>
      <c r="B958" s="31">
        <f>IFERROR(IF(A958="","",VLOOKUP(A958,DATABASE!$A:$B,2,0)),"")</f>
        <v/>
      </c>
      <c r="C958" s="32">
        <f>IFERROR(IF(A958="","",SUMIF(SAVINGS!$A$3:A957,A958,SAVINGS!$E$3:E957)-SUMIF(WITHDRAWALS!$A:$A,A958,WITHDRAWALS!$E:$E)),"")</f>
        <v/>
      </c>
      <c r="D958" s="33">
        <f>IF(A958="","",TODAY())</f>
        <v/>
      </c>
      <c r="E958" s="29" t="n"/>
      <c r="F958" s="32">
        <f>IFERROR(IF(OR(A958="",E958=""),"",C958+E958),"")</f>
        <v/>
      </c>
      <c r="G958" s="30" t="n"/>
      <c r="H958" s="31" t="n"/>
    </row>
    <row r="959" ht="20" customHeight="1">
      <c r="A959" s="26" t="n"/>
      <c r="B959" s="27">
        <f>IFERROR(IF(A959="","",VLOOKUP(A959,DATABASE!$A:$B,2,0)),"")</f>
        <v/>
      </c>
      <c r="C959" s="20">
        <f>IFERROR(IF(A959="","",SUMIF(SAVINGS!$A$3:A958,A959,SAVINGS!$E$3:E958)-SUMIF(WITHDRAWALS!$A:$A,A959,WITHDRAWALS!$E:$E)),"")</f>
        <v/>
      </c>
      <c r="D959" s="28">
        <f>IF(A959="","",TODAY())</f>
        <v/>
      </c>
      <c r="E959" s="29" t="n"/>
      <c r="F959" s="20">
        <f>IFERROR(IF(OR(A959="",E959=""),"",C959+E959),"")</f>
        <v/>
      </c>
      <c r="G959" s="30" t="n"/>
      <c r="H959" s="27" t="n"/>
    </row>
    <row r="960" ht="20" customHeight="1">
      <c r="A960" s="26" t="n"/>
      <c r="B960" s="31">
        <f>IFERROR(IF(A960="","",VLOOKUP(A960,DATABASE!$A:$B,2,0)),"")</f>
        <v/>
      </c>
      <c r="C960" s="32">
        <f>IFERROR(IF(A960="","",SUMIF(SAVINGS!$A$3:A959,A960,SAVINGS!$E$3:E959)-SUMIF(WITHDRAWALS!$A:$A,A960,WITHDRAWALS!$E:$E)),"")</f>
        <v/>
      </c>
      <c r="D960" s="33">
        <f>IF(A960="","",TODAY())</f>
        <v/>
      </c>
      <c r="E960" s="29" t="n"/>
      <c r="F960" s="32">
        <f>IFERROR(IF(OR(A960="",E960=""),"",C960+E960),"")</f>
        <v/>
      </c>
      <c r="G960" s="30" t="n"/>
      <c r="H960" s="31" t="n"/>
    </row>
    <row r="961" ht="20" customHeight="1">
      <c r="A961" s="26" t="n"/>
      <c r="B961" s="27">
        <f>IFERROR(IF(A961="","",VLOOKUP(A961,DATABASE!$A:$B,2,0)),"")</f>
        <v/>
      </c>
      <c r="C961" s="20">
        <f>IFERROR(IF(A961="","",SUMIF(SAVINGS!$A$3:A960,A961,SAVINGS!$E$3:E960)-SUMIF(WITHDRAWALS!$A:$A,A961,WITHDRAWALS!$E:$E)),"")</f>
        <v/>
      </c>
      <c r="D961" s="28">
        <f>IF(A961="","",TODAY())</f>
        <v/>
      </c>
      <c r="E961" s="29" t="n"/>
      <c r="F961" s="20">
        <f>IFERROR(IF(OR(A961="",E961=""),"",C961+E961),"")</f>
        <v/>
      </c>
      <c r="G961" s="30" t="n"/>
      <c r="H961" s="27" t="n"/>
    </row>
    <row r="962" ht="20" customHeight="1">
      <c r="A962" s="26" t="n"/>
      <c r="B962" s="31">
        <f>IFERROR(IF(A962="","",VLOOKUP(A962,DATABASE!$A:$B,2,0)),"")</f>
        <v/>
      </c>
      <c r="C962" s="32">
        <f>IFERROR(IF(A962="","",SUMIF(SAVINGS!$A$3:A961,A962,SAVINGS!$E$3:E961)-SUMIF(WITHDRAWALS!$A:$A,A962,WITHDRAWALS!$E:$E)),"")</f>
        <v/>
      </c>
      <c r="D962" s="33">
        <f>IF(A962="","",TODAY())</f>
        <v/>
      </c>
      <c r="E962" s="29" t="n"/>
      <c r="F962" s="32">
        <f>IFERROR(IF(OR(A962="",E962=""),"",C962+E962),"")</f>
        <v/>
      </c>
      <c r="G962" s="30" t="n"/>
      <c r="H962" s="31" t="n"/>
    </row>
    <row r="963" ht="20" customHeight="1">
      <c r="A963" s="26" t="n"/>
      <c r="B963" s="27">
        <f>IFERROR(IF(A963="","",VLOOKUP(A963,DATABASE!$A:$B,2,0)),"")</f>
        <v/>
      </c>
      <c r="C963" s="20">
        <f>IFERROR(IF(A963="","",SUMIF(SAVINGS!$A$3:A962,A963,SAVINGS!$E$3:E962)-SUMIF(WITHDRAWALS!$A:$A,A963,WITHDRAWALS!$E:$E)),"")</f>
        <v/>
      </c>
      <c r="D963" s="28">
        <f>IF(A963="","",TODAY())</f>
        <v/>
      </c>
      <c r="E963" s="29" t="n"/>
      <c r="F963" s="20">
        <f>IFERROR(IF(OR(A963="",E963=""),"",C963+E963),"")</f>
        <v/>
      </c>
      <c r="G963" s="30" t="n"/>
      <c r="H963" s="27" t="n"/>
    </row>
    <row r="964" ht="20" customHeight="1">
      <c r="A964" s="26" t="n"/>
      <c r="B964" s="31">
        <f>IFERROR(IF(A964="","",VLOOKUP(A964,DATABASE!$A:$B,2,0)),"")</f>
        <v/>
      </c>
      <c r="C964" s="32">
        <f>IFERROR(IF(A964="","",SUMIF(SAVINGS!$A$3:A963,A964,SAVINGS!$E$3:E963)-SUMIF(WITHDRAWALS!$A:$A,A964,WITHDRAWALS!$E:$E)),"")</f>
        <v/>
      </c>
      <c r="D964" s="33">
        <f>IF(A964="","",TODAY())</f>
        <v/>
      </c>
      <c r="E964" s="29" t="n"/>
      <c r="F964" s="32">
        <f>IFERROR(IF(OR(A964="",E964=""),"",C964+E964),"")</f>
        <v/>
      </c>
      <c r="G964" s="30" t="n"/>
      <c r="H964" s="31" t="n"/>
    </row>
    <row r="965" ht="20" customHeight="1">
      <c r="A965" s="26" t="n"/>
      <c r="B965" s="27">
        <f>IFERROR(IF(A965="","",VLOOKUP(A965,DATABASE!$A:$B,2,0)),"")</f>
        <v/>
      </c>
      <c r="C965" s="20">
        <f>IFERROR(IF(A965="","",SUMIF(SAVINGS!$A$3:A964,A965,SAVINGS!$E$3:E964)-SUMIF(WITHDRAWALS!$A:$A,A965,WITHDRAWALS!$E:$E)),"")</f>
        <v/>
      </c>
      <c r="D965" s="28">
        <f>IF(A965="","",TODAY())</f>
        <v/>
      </c>
      <c r="E965" s="29" t="n"/>
      <c r="F965" s="20">
        <f>IFERROR(IF(OR(A965="",E965=""),"",C965+E965),"")</f>
        <v/>
      </c>
      <c r="G965" s="30" t="n"/>
      <c r="H965" s="27" t="n"/>
    </row>
    <row r="966" ht="20" customHeight="1">
      <c r="A966" s="26" t="n"/>
      <c r="B966" s="31">
        <f>IFERROR(IF(A966="","",VLOOKUP(A966,DATABASE!$A:$B,2,0)),"")</f>
        <v/>
      </c>
      <c r="C966" s="32">
        <f>IFERROR(IF(A966="","",SUMIF(SAVINGS!$A$3:A965,A966,SAVINGS!$E$3:E965)-SUMIF(WITHDRAWALS!$A:$A,A966,WITHDRAWALS!$E:$E)),"")</f>
        <v/>
      </c>
      <c r="D966" s="33">
        <f>IF(A966="","",TODAY())</f>
        <v/>
      </c>
      <c r="E966" s="29" t="n"/>
      <c r="F966" s="32">
        <f>IFERROR(IF(OR(A966="",E966=""),"",C966+E966),"")</f>
        <v/>
      </c>
      <c r="G966" s="30" t="n"/>
      <c r="H966" s="31" t="n"/>
    </row>
    <row r="967" ht="20" customHeight="1">
      <c r="A967" s="26" t="n"/>
      <c r="B967" s="27">
        <f>IFERROR(IF(A967="","",VLOOKUP(A967,DATABASE!$A:$B,2,0)),"")</f>
        <v/>
      </c>
      <c r="C967" s="20">
        <f>IFERROR(IF(A967="","",SUMIF(SAVINGS!$A$3:A966,A967,SAVINGS!$E$3:E966)-SUMIF(WITHDRAWALS!$A:$A,A967,WITHDRAWALS!$E:$E)),"")</f>
        <v/>
      </c>
      <c r="D967" s="28">
        <f>IF(A967="","",TODAY())</f>
        <v/>
      </c>
      <c r="E967" s="29" t="n"/>
      <c r="F967" s="20">
        <f>IFERROR(IF(OR(A967="",E967=""),"",C967+E967),"")</f>
        <v/>
      </c>
      <c r="G967" s="30" t="n"/>
      <c r="H967" s="27" t="n"/>
    </row>
    <row r="968" ht="20" customHeight="1">
      <c r="A968" s="26" t="n"/>
      <c r="B968" s="31">
        <f>IFERROR(IF(A968="","",VLOOKUP(A968,DATABASE!$A:$B,2,0)),"")</f>
        <v/>
      </c>
      <c r="C968" s="32">
        <f>IFERROR(IF(A968="","",SUMIF(SAVINGS!$A$3:A967,A968,SAVINGS!$E$3:E967)-SUMIF(WITHDRAWALS!$A:$A,A968,WITHDRAWALS!$E:$E)),"")</f>
        <v/>
      </c>
      <c r="D968" s="33">
        <f>IF(A968="","",TODAY())</f>
        <v/>
      </c>
      <c r="E968" s="29" t="n"/>
      <c r="F968" s="32">
        <f>IFERROR(IF(OR(A968="",E968=""),"",C968+E968),"")</f>
        <v/>
      </c>
      <c r="G968" s="30" t="n"/>
      <c r="H968" s="31" t="n"/>
    </row>
    <row r="969" ht="20" customHeight="1">
      <c r="A969" s="26" t="n"/>
      <c r="B969" s="27">
        <f>IFERROR(IF(A969="","",VLOOKUP(A969,DATABASE!$A:$B,2,0)),"")</f>
        <v/>
      </c>
      <c r="C969" s="20">
        <f>IFERROR(IF(A969="","",SUMIF(SAVINGS!$A$3:A968,A969,SAVINGS!$E$3:E968)-SUMIF(WITHDRAWALS!$A:$A,A969,WITHDRAWALS!$E:$E)),"")</f>
        <v/>
      </c>
      <c r="D969" s="28">
        <f>IF(A969="","",TODAY())</f>
        <v/>
      </c>
      <c r="E969" s="29" t="n"/>
      <c r="F969" s="20">
        <f>IFERROR(IF(OR(A969="",E969=""),"",C969+E969),"")</f>
        <v/>
      </c>
      <c r="G969" s="30" t="n"/>
      <c r="H969" s="27" t="n"/>
    </row>
    <row r="970" ht="20" customHeight="1">
      <c r="A970" s="26" t="n"/>
      <c r="B970" s="31">
        <f>IFERROR(IF(A970="","",VLOOKUP(A970,DATABASE!$A:$B,2,0)),"")</f>
        <v/>
      </c>
      <c r="C970" s="32">
        <f>IFERROR(IF(A970="","",SUMIF(SAVINGS!$A$3:A969,A970,SAVINGS!$E$3:E969)-SUMIF(WITHDRAWALS!$A:$A,A970,WITHDRAWALS!$E:$E)),"")</f>
        <v/>
      </c>
      <c r="D970" s="33">
        <f>IF(A970="","",TODAY())</f>
        <v/>
      </c>
      <c r="E970" s="29" t="n"/>
      <c r="F970" s="32">
        <f>IFERROR(IF(OR(A970="",E970=""),"",C970+E970),"")</f>
        <v/>
      </c>
      <c r="G970" s="30" t="n"/>
      <c r="H970" s="31" t="n"/>
    </row>
    <row r="971" ht="20" customHeight="1">
      <c r="A971" s="26" t="n"/>
      <c r="B971" s="27">
        <f>IFERROR(IF(A971="","",VLOOKUP(A971,DATABASE!$A:$B,2,0)),"")</f>
        <v/>
      </c>
      <c r="C971" s="20">
        <f>IFERROR(IF(A971="","",SUMIF(SAVINGS!$A$3:A970,A971,SAVINGS!$E$3:E970)-SUMIF(WITHDRAWALS!$A:$A,A971,WITHDRAWALS!$E:$E)),"")</f>
        <v/>
      </c>
      <c r="D971" s="28">
        <f>IF(A971="","",TODAY())</f>
        <v/>
      </c>
      <c r="E971" s="29" t="n"/>
      <c r="F971" s="20">
        <f>IFERROR(IF(OR(A971="",E971=""),"",C971+E971),"")</f>
        <v/>
      </c>
      <c r="G971" s="30" t="n"/>
      <c r="H971" s="27" t="n"/>
    </row>
    <row r="972" ht="20" customHeight="1">
      <c r="A972" s="26" t="n"/>
      <c r="B972" s="31">
        <f>IFERROR(IF(A972="","",VLOOKUP(A972,DATABASE!$A:$B,2,0)),"")</f>
        <v/>
      </c>
      <c r="C972" s="32">
        <f>IFERROR(IF(A972="","",SUMIF(SAVINGS!$A$3:A971,A972,SAVINGS!$E$3:E971)-SUMIF(WITHDRAWALS!$A:$A,A972,WITHDRAWALS!$E:$E)),"")</f>
        <v/>
      </c>
      <c r="D972" s="33">
        <f>IF(A972="","",TODAY())</f>
        <v/>
      </c>
      <c r="E972" s="29" t="n"/>
      <c r="F972" s="32">
        <f>IFERROR(IF(OR(A972="",E972=""),"",C972+E972),"")</f>
        <v/>
      </c>
      <c r="G972" s="30" t="n"/>
      <c r="H972" s="31" t="n"/>
    </row>
    <row r="973" ht="20" customHeight="1">
      <c r="A973" s="26" t="n"/>
      <c r="B973" s="27">
        <f>IFERROR(IF(A973="","",VLOOKUP(A973,DATABASE!$A:$B,2,0)),"")</f>
        <v/>
      </c>
      <c r="C973" s="20">
        <f>IFERROR(IF(A973="","",SUMIF(SAVINGS!$A$3:A972,A973,SAVINGS!$E$3:E972)-SUMIF(WITHDRAWALS!$A:$A,A973,WITHDRAWALS!$E:$E)),"")</f>
        <v/>
      </c>
      <c r="D973" s="28">
        <f>IF(A973="","",TODAY())</f>
        <v/>
      </c>
      <c r="E973" s="29" t="n"/>
      <c r="F973" s="20">
        <f>IFERROR(IF(OR(A973="",E973=""),"",C973+E973),"")</f>
        <v/>
      </c>
      <c r="G973" s="30" t="n"/>
      <c r="H973" s="27" t="n"/>
    </row>
    <row r="974" ht="20" customHeight="1">
      <c r="A974" s="26" t="n"/>
      <c r="B974" s="31">
        <f>IFERROR(IF(A974="","",VLOOKUP(A974,DATABASE!$A:$B,2,0)),"")</f>
        <v/>
      </c>
      <c r="C974" s="32">
        <f>IFERROR(IF(A974="","",SUMIF(SAVINGS!$A$3:A973,A974,SAVINGS!$E$3:E973)-SUMIF(WITHDRAWALS!$A:$A,A974,WITHDRAWALS!$E:$E)),"")</f>
        <v/>
      </c>
      <c r="D974" s="33">
        <f>IF(A974="","",TODAY())</f>
        <v/>
      </c>
      <c r="E974" s="29" t="n"/>
      <c r="F974" s="32">
        <f>IFERROR(IF(OR(A974="",E974=""),"",C974+E974),"")</f>
        <v/>
      </c>
      <c r="G974" s="30" t="n"/>
      <c r="H974" s="31" t="n"/>
    </row>
    <row r="975" ht="20" customHeight="1">
      <c r="A975" s="26" t="n"/>
      <c r="B975" s="27">
        <f>IFERROR(IF(A975="","",VLOOKUP(A975,DATABASE!$A:$B,2,0)),"")</f>
        <v/>
      </c>
      <c r="C975" s="20">
        <f>IFERROR(IF(A975="","",SUMIF(SAVINGS!$A$3:A974,A975,SAVINGS!$E$3:E974)-SUMIF(WITHDRAWALS!$A:$A,A975,WITHDRAWALS!$E:$E)),"")</f>
        <v/>
      </c>
      <c r="D975" s="28">
        <f>IF(A975="","",TODAY())</f>
        <v/>
      </c>
      <c r="E975" s="29" t="n"/>
      <c r="F975" s="20">
        <f>IFERROR(IF(OR(A975="",E975=""),"",C975+E975),"")</f>
        <v/>
      </c>
      <c r="G975" s="30" t="n"/>
      <c r="H975" s="27" t="n"/>
    </row>
    <row r="976" ht="20" customHeight="1">
      <c r="A976" s="26" t="n"/>
      <c r="B976" s="31">
        <f>IFERROR(IF(A976="","",VLOOKUP(A976,DATABASE!$A:$B,2,0)),"")</f>
        <v/>
      </c>
      <c r="C976" s="32">
        <f>IFERROR(IF(A976="","",SUMIF(SAVINGS!$A$3:A975,A976,SAVINGS!$E$3:E975)-SUMIF(WITHDRAWALS!$A:$A,A976,WITHDRAWALS!$E:$E)),"")</f>
        <v/>
      </c>
      <c r="D976" s="33">
        <f>IF(A976="","",TODAY())</f>
        <v/>
      </c>
      <c r="E976" s="29" t="n"/>
      <c r="F976" s="32">
        <f>IFERROR(IF(OR(A976="",E976=""),"",C976+E976),"")</f>
        <v/>
      </c>
      <c r="G976" s="30" t="n"/>
      <c r="H976" s="31" t="n"/>
    </row>
    <row r="977" ht="20" customHeight="1">
      <c r="A977" s="26" t="n"/>
      <c r="B977" s="27">
        <f>IFERROR(IF(A977="","",VLOOKUP(A977,DATABASE!$A:$B,2,0)),"")</f>
        <v/>
      </c>
      <c r="C977" s="20">
        <f>IFERROR(IF(A977="","",SUMIF(SAVINGS!$A$3:A976,A977,SAVINGS!$E$3:E976)-SUMIF(WITHDRAWALS!$A:$A,A977,WITHDRAWALS!$E:$E)),"")</f>
        <v/>
      </c>
      <c r="D977" s="28">
        <f>IF(A977="","",TODAY())</f>
        <v/>
      </c>
      <c r="E977" s="29" t="n"/>
      <c r="F977" s="20">
        <f>IFERROR(IF(OR(A977="",E977=""),"",C977+E977),"")</f>
        <v/>
      </c>
      <c r="G977" s="30" t="n"/>
      <c r="H977" s="27" t="n"/>
    </row>
    <row r="978" ht="20" customHeight="1">
      <c r="A978" s="26" t="n"/>
      <c r="B978" s="31">
        <f>IFERROR(IF(A978="","",VLOOKUP(A978,DATABASE!$A:$B,2,0)),"")</f>
        <v/>
      </c>
      <c r="C978" s="32">
        <f>IFERROR(IF(A978="","",SUMIF(SAVINGS!$A$3:A977,A978,SAVINGS!$E$3:E977)-SUMIF(WITHDRAWALS!$A:$A,A978,WITHDRAWALS!$E:$E)),"")</f>
        <v/>
      </c>
      <c r="D978" s="33">
        <f>IF(A978="","",TODAY())</f>
        <v/>
      </c>
      <c r="E978" s="29" t="n"/>
      <c r="F978" s="32">
        <f>IFERROR(IF(OR(A978="",E978=""),"",C978+E978),"")</f>
        <v/>
      </c>
      <c r="G978" s="30" t="n"/>
      <c r="H978" s="31" t="n"/>
    </row>
    <row r="979" ht="20" customHeight="1">
      <c r="A979" s="26" t="n"/>
      <c r="B979" s="27">
        <f>IFERROR(IF(A979="","",VLOOKUP(A979,DATABASE!$A:$B,2,0)),"")</f>
        <v/>
      </c>
      <c r="C979" s="20">
        <f>IFERROR(IF(A979="","",SUMIF(SAVINGS!$A$3:A978,A979,SAVINGS!$E$3:E978)-SUMIF(WITHDRAWALS!$A:$A,A979,WITHDRAWALS!$E:$E)),"")</f>
        <v/>
      </c>
      <c r="D979" s="28">
        <f>IF(A979="","",TODAY())</f>
        <v/>
      </c>
      <c r="E979" s="29" t="n"/>
      <c r="F979" s="20">
        <f>IFERROR(IF(OR(A979="",E979=""),"",C979+E979),"")</f>
        <v/>
      </c>
      <c r="G979" s="30" t="n"/>
      <c r="H979" s="27" t="n"/>
    </row>
    <row r="980" ht="20" customHeight="1">
      <c r="A980" s="26" t="n"/>
      <c r="B980" s="31">
        <f>IFERROR(IF(A980="","",VLOOKUP(A980,DATABASE!$A:$B,2,0)),"")</f>
        <v/>
      </c>
      <c r="C980" s="32">
        <f>IFERROR(IF(A980="","",SUMIF(SAVINGS!$A$3:A979,A980,SAVINGS!$E$3:E979)-SUMIF(WITHDRAWALS!$A:$A,A980,WITHDRAWALS!$E:$E)),"")</f>
        <v/>
      </c>
      <c r="D980" s="33">
        <f>IF(A980="","",TODAY())</f>
        <v/>
      </c>
      <c r="E980" s="29" t="n"/>
      <c r="F980" s="32">
        <f>IFERROR(IF(OR(A980="",E980=""),"",C980+E980),"")</f>
        <v/>
      </c>
      <c r="G980" s="30" t="n"/>
      <c r="H980" s="31" t="n"/>
    </row>
    <row r="981" ht="20" customHeight="1">
      <c r="A981" s="26" t="n"/>
      <c r="B981" s="27">
        <f>IFERROR(IF(A981="","",VLOOKUP(A981,DATABASE!$A:$B,2,0)),"")</f>
        <v/>
      </c>
      <c r="C981" s="20">
        <f>IFERROR(IF(A981="","",SUMIF(SAVINGS!$A$3:A980,A981,SAVINGS!$E$3:E980)-SUMIF(WITHDRAWALS!$A:$A,A981,WITHDRAWALS!$E:$E)),"")</f>
        <v/>
      </c>
      <c r="D981" s="28">
        <f>IF(A981="","",TODAY())</f>
        <v/>
      </c>
      <c r="E981" s="29" t="n"/>
      <c r="F981" s="20">
        <f>IFERROR(IF(OR(A981="",E981=""),"",C981+E981),"")</f>
        <v/>
      </c>
      <c r="G981" s="30" t="n"/>
      <c r="H981" s="27" t="n"/>
    </row>
    <row r="982" ht="20" customHeight="1">
      <c r="A982" s="26" t="n"/>
      <c r="B982" s="31">
        <f>IFERROR(IF(A982="","",VLOOKUP(A982,DATABASE!$A:$B,2,0)),"")</f>
        <v/>
      </c>
      <c r="C982" s="32">
        <f>IFERROR(IF(A982="","",SUMIF(SAVINGS!$A$3:A981,A982,SAVINGS!$E$3:E981)-SUMIF(WITHDRAWALS!$A:$A,A982,WITHDRAWALS!$E:$E)),"")</f>
        <v/>
      </c>
      <c r="D982" s="33">
        <f>IF(A982="","",TODAY())</f>
        <v/>
      </c>
      <c r="E982" s="29" t="n"/>
      <c r="F982" s="32">
        <f>IFERROR(IF(OR(A982="",E982=""),"",C982+E982),"")</f>
        <v/>
      </c>
      <c r="G982" s="30" t="n"/>
      <c r="H982" s="31" t="n"/>
    </row>
    <row r="983" ht="20" customHeight="1">
      <c r="A983" s="26" t="n"/>
      <c r="B983" s="27">
        <f>IFERROR(IF(A983="","",VLOOKUP(A983,DATABASE!$A:$B,2,0)),"")</f>
        <v/>
      </c>
      <c r="C983" s="20">
        <f>IFERROR(IF(A983="","",SUMIF(SAVINGS!$A$3:A982,A983,SAVINGS!$E$3:E982)-SUMIF(WITHDRAWALS!$A:$A,A983,WITHDRAWALS!$E:$E)),"")</f>
        <v/>
      </c>
      <c r="D983" s="28">
        <f>IF(A983="","",TODAY())</f>
        <v/>
      </c>
      <c r="E983" s="29" t="n"/>
      <c r="F983" s="20">
        <f>IFERROR(IF(OR(A983="",E983=""),"",C983+E983),"")</f>
        <v/>
      </c>
      <c r="G983" s="30" t="n"/>
      <c r="H983" s="27" t="n"/>
    </row>
    <row r="984" ht="20" customHeight="1">
      <c r="A984" s="26" t="n"/>
      <c r="B984" s="31">
        <f>IFERROR(IF(A984="","",VLOOKUP(A984,DATABASE!$A:$B,2,0)),"")</f>
        <v/>
      </c>
      <c r="C984" s="32">
        <f>IFERROR(IF(A984="","",SUMIF(SAVINGS!$A$3:A983,A984,SAVINGS!$E$3:E983)-SUMIF(WITHDRAWALS!$A:$A,A984,WITHDRAWALS!$E:$E)),"")</f>
        <v/>
      </c>
      <c r="D984" s="33">
        <f>IF(A984="","",TODAY())</f>
        <v/>
      </c>
      <c r="E984" s="29" t="n"/>
      <c r="F984" s="32">
        <f>IFERROR(IF(OR(A984="",E984=""),"",C984+E984),"")</f>
        <v/>
      </c>
      <c r="G984" s="30" t="n"/>
      <c r="H984" s="31" t="n"/>
    </row>
    <row r="985" ht="20" customHeight="1">
      <c r="A985" s="26" t="n"/>
      <c r="B985" s="27">
        <f>IFERROR(IF(A985="","",VLOOKUP(A985,DATABASE!$A:$B,2,0)),"")</f>
        <v/>
      </c>
      <c r="C985" s="20">
        <f>IFERROR(IF(A985="","",SUMIF(SAVINGS!$A$3:A984,A985,SAVINGS!$E$3:E984)-SUMIF(WITHDRAWALS!$A:$A,A985,WITHDRAWALS!$E:$E)),"")</f>
        <v/>
      </c>
      <c r="D985" s="28">
        <f>IF(A985="","",TODAY())</f>
        <v/>
      </c>
      <c r="E985" s="29" t="n"/>
      <c r="F985" s="20">
        <f>IFERROR(IF(OR(A985="",E985=""),"",C985+E985),"")</f>
        <v/>
      </c>
      <c r="G985" s="30" t="n"/>
      <c r="H985" s="27" t="n"/>
    </row>
    <row r="986" ht="20" customHeight="1">
      <c r="A986" s="26" t="n"/>
      <c r="B986" s="31">
        <f>IFERROR(IF(A986="","",VLOOKUP(A986,DATABASE!$A:$B,2,0)),"")</f>
        <v/>
      </c>
      <c r="C986" s="32">
        <f>IFERROR(IF(A986="","",SUMIF(SAVINGS!$A$3:A985,A986,SAVINGS!$E$3:E985)-SUMIF(WITHDRAWALS!$A:$A,A986,WITHDRAWALS!$E:$E)),"")</f>
        <v/>
      </c>
      <c r="D986" s="33">
        <f>IF(A986="","",TODAY())</f>
        <v/>
      </c>
      <c r="E986" s="29" t="n"/>
      <c r="F986" s="32">
        <f>IFERROR(IF(OR(A986="",E986=""),"",C986+E986),"")</f>
        <v/>
      </c>
      <c r="G986" s="30" t="n"/>
      <c r="H986" s="31" t="n"/>
    </row>
    <row r="987" ht="20" customHeight="1">
      <c r="A987" s="26" t="n"/>
      <c r="B987" s="27">
        <f>IFERROR(IF(A987="","",VLOOKUP(A987,DATABASE!$A:$B,2,0)),"")</f>
        <v/>
      </c>
      <c r="C987" s="20">
        <f>IFERROR(IF(A987="","",SUMIF(SAVINGS!$A$3:A986,A987,SAVINGS!$E$3:E986)-SUMIF(WITHDRAWALS!$A:$A,A987,WITHDRAWALS!$E:$E)),"")</f>
        <v/>
      </c>
      <c r="D987" s="28">
        <f>IF(A987="","",TODAY())</f>
        <v/>
      </c>
      <c r="E987" s="29" t="n"/>
      <c r="F987" s="20">
        <f>IFERROR(IF(OR(A987="",E987=""),"",C987+E987),"")</f>
        <v/>
      </c>
      <c r="G987" s="30" t="n"/>
      <c r="H987" s="27" t="n"/>
    </row>
    <row r="988" ht="20" customHeight="1">
      <c r="A988" s="26" t="n"/>
      <c r="B988" s="31">
        <f>IFERROR(IF(A988="","",VLOOKUP(A988,DATABASE!$A:$B,2,0)),"")</f>
        <v/>
      </c>
      <c r="C988" s="32">
        <f>IFERROR(IF(A988="","",SUMIF(SAVINGS!$A$3:A987,A988,SAVINGS!$E$3:E987)-SUMIF(WITHDRAWALS!$A:$A,A988,WITHDRAWALS!$E:$E)),"")</f>
        <v/>
      </c>
      <c r="D988" s="33">
        <f>IF(A988="","",TODAY())</f>
        <v/>
      </c>
      <c r="E988" s="29" t="n"/>
      <c r="F988" s="32">
        <f>IFERROR(IF(OR(A988="",E988=""),"",C988+E988),"")</f>
        <v/>
      </c>
      <c r="G988" s="30" t="n"/>
      <c r="H988" s="31" t="n"/>
    </row>
    <row r="989" ht="20" customHeight="1">
      <c r="A989" s="26" t="n"/>
      <c r="B989" s="27">
        <f>IFERROR(IF(A989="","",VLOOKUP(A989,DATABASE!$A:$B,2,0)),"")</f>
        <v/>
      </c>
      <c r="C989" s="20">
        <f>IFERROR(IF(A989="","",SUMIF(SAVINGS!$A$3:A988,A989,SAVINGS!$E$3:E988)-SUMIF(WITHDRAWALS!$A:$A,A989,WITHDRAWALS!$E:$E)),"")</f>
        <v/>
      </c>
      <c r="D989" s="28">
        <f>IF(A989="","",TODAY())</f>
        <v/>
      </c>
      <c r="E989" s="29" t="n"/>
      <c r="F989" s="20">
        <f>IFERROR(IF(OR(A989="",E989=""),"",C989+E989),"")</f>
        <v/>
      </c>
      <c r="G989" s="30" t="n"/>
      <c r="H989" s="27" t="n"/>
    </row>
    <row r="990" ht="20" customHeight="1">
      <c r="A990" s="26" t="n"/>
      <c r="B990" s="31">
        <f>IFERROR(IF(A990="","",VLOOKUP(A990,DATABASE!$A:$B,2,0)),"")</f>
        <v/>
      </c>
      <c r="C990" s="32">
        <f>IFERROR(IF(A990="","",SUMIF(SAVINGS!$A$3:A989,A990,SAVINGS!$E$3:E989)-SUMIF(WITHDRAWALS!$A:$A,A990,WITHDRAWALS!$E:$E)),"")</f>
        <v/>
      </c>
      <c r="D990" s="33">
        <f>IF(A990="","",TODAY())</f>
        <v/>
      </c>
      <c r="E990" s="29" t="n"/>
      <c r="F990" s="32">
        <f>IFERROR(IF(OR(A990="",E990=""),"",C990+E990),"")</f>
        <v/>
      </c>
      <c r="G990" s="30" t="n"/>
      <c r="H990" s="31" t="n"/>
    </row>
    <row r="991" ht="20" customHeight="1">
      <c r="A991" s="26" t="n"/>
      <c r="B991" s="27">
        <f>IFERROR(IF(A991="","",VLOOKUP(A991,DATABASE!$A:$B,2,0)),"")</f>
        <v/>
      </c>
      <c r="C991" s="20">
        <f>IFERROR(IF(A991="","",SUMIF(SAVINGS!$A$3:A990,A991,SAVINGS!$E$3:E990)-SUMIF(WITHDRAWALS!$A:$A,A991,WITHDRAWALS!$E:$E)),"")</f>
        <v/>
      </c>
      <c r="D991" s="28">
        <f>IF(A991="","",TODAY())</f>
        <v/>
      </c>
      <c r="E991" s="29" t="n"/>
      <c r="F991" s="20">
        <f>IFERROR(IF(OR(A991="",E991=""),"",C991+E991),"")</f>
        <v/>
      </c>
      <c r="G991" s="30" t="n"/>
      <c r="H991" s="27" t="n"/>
    </row>
    <row r="992" ht="20" customHeight="1">
      <c r="A992" s="26" t="n"/>
      <c r="B992" s="31">
        <f>IFERROR(IF(A992="","",VLOOKUP(A992,DATABASE!$A:$B,2,0)),"")</f>
        <v/>
      </c>
      <c r="C992" s="32">
        <f>IFERROR(IF(A992="","",SUMIF(SAVINGS!$A$3:A991,A992,SAVINGS!$E$3:E991)-SUMIF(WITHDRAWALS!$A:$A,A992,WITHDRAWALS!$E:$E)),"")</f>
        <v/>
      </c>
      <c r="D992" s="33">
        <f>IF(A992="","",TODAY())</f>
        <v/>
      </c>
      <c r="E992" s="29" t="n"/>
      <c r="F992" s="32">
        <f>IFERROR(IF(OR(A992="",E992=""),"",C992+E992),"")</f>
        <v/>
      </c>
      <c r="G992" s="30" t="n"/>
      <c r="H992" s="31" t="n"/>
    </row>
    <row r="993" ht="20" customHeight="1">
      <c r="A993" s="26" t="n"/>
      <c r="B993" s="27">
        <f>IFERROR(IF(A993="","",VLOOKUP(A993,DATABASE!$A:$B,2,0)),"")</f>
        <v/>
      </c>
      <c r="C993" s="20">
        <f>IFERROR(IF(A993="","",SUMIF(SAVINGS!$A$3:A992,A993,SAVINGS!$E$3:E992)-SUMIF(WITHDRAWALS!$A:$A,A993,WITHDRAWALS!$E:$E)),"")</f>
        <v/>
      </c>
      <c r="D993" s="28">
        <f>IF(A993="","",TODAY())</f>
        <v/>
      </c>
      <c r="E993" s="29" t="n"/>
      <c r="F993" s="20">
        <f>IFERROR(IF(OR(A993="",E993=""),"",C993+E993),"")</f>
        <v/>
      </c>
      <c r="G993" s="30" t="n"/>
      <c r="H993" s="27" t="n"/>
    </row>
    <row r="994" ht="20" customHeight="1">
      <c r="A994" s="26" t="n"/>
      <c r="B994" s="31">
        <f>IFERROR(IF(A994="","",VLOOKUP(A994,DATABASE!$A:$B,2,0)),"")</f>
        <v/>
      </c>
      <c r="C994" s="32">
        <f>IFERROR(IF(A994="","",SUMIF(SAVINGS!$A$3:A993,A994,SAVINGS!$E$3:E993)-SUMIF(WITHDRAWALS!$A:$A,A994,WITHDRAWALS!$E:$E)),"")</f>
        <v/>
      </c>
      <c r="D994" s="33">
        <f>IF(A994="","",TODAY())</f>
        <v/>
      </c>
      <c r="E994" s="29" t="n"/>
      <c r="F994" s="32">
        <f>IFERROR(IF(OR(A994="",E994=""),"",C994+E994),"")</f>
        <v/>
      </c>
      <c r="G994" s="30" t="n"/>
      <c r="H994" s="31" t="n"/>
    </row>
    <row r="995" ht="20" customHeight="1">
      <c r="A995" s="26" t="n"/>
      <c r="B995" s="27">
        <f>IFERROR(IF(A995="","",VLOOKUP(A995,DATABASE!$A:$B,2,0)),"")</f>
        <v/>
      </c>
      <c r="C995" s="20">
        <f>IFERROR(IF(A995="","",SUMIF(SAVINGS!$A$3:A994,A995,SAVINGS!$E$3:E994)-SUMIF(WITHDRAWALS!$A:$A,A995,WITHDRAWALS!$E:$E)),"")</f>
        <v/>
      </c>
      <c r="D995" s="28">
        <f>IF(A995="","",TODAY())</f>
        <v/>
      </c>
      <c r="E995" s="29" t="n"/>
      <c r="F995" s="20">
        <f>IFERROR(IF(OR(A995="",E995=""),"",C995+E995),"")</f>
        <v/>
      </c>
      <c r="G995" s="30" t="n"/>
      <c r="H995" s="27" t="n"/>
    </row>
    <row r="996" ht="20" customHeight="1">
      <c r="A996" s="26" t="n"/>
      <c r="B996" s="31">
        <f>IFERROR(IF(A996="","",VLOOKUP(A996,DATABASE!$A:$B,2,0)),"")</f>
        <v/>
      </c>
      <c r="C996" s="32">
        <f>IFERROR(IF(A996="","",SUMIF(SAVINGS!$A$3:A995,A996,SAVINGS!$E$3:E995)-SUMIF(WITHDRAWALS!$A:$A,A996,WITHDRAWALS!$E:$E)),"")</f>
        <v/>
      </c>
      <c r="D996" s="33">
        <f>IF(A996="","",TODAY())</f>
        <v/>
      </c>
      <c r="E996" s="29" t="n"/>
      <c r="F996" s="32">
        <f>IFERROR(IF(OR(A996="",E996=""),"",C996+E996),"")</f>
        <v/>
      </c>
      <c r="G996" s="30" t="n"/>
      <c r="H996" s="31" t="n"/>
    </row>
    <row r="997" ht="20" customHeight="1">
      <c r="A997" s="26" t="n"/>
      <c r="B997" s="27">
        <f>IFERROR(IF(A997="","",VLOOKUP(A997,DATABASE!$A:$B,2,0)),"")</f>
        <v/>
      </c>
      <c r="C997" s="20">
        <f>IFERROR(IF(A997="","",SUMIF(SAVINGS!$A$3:A996,A997,SAVINGS!$E$3:E996)-SUMIF(WITHDRAWALS!$A:$A,A997,WITHDRAWALS!$E:$E)),"")</f>
        <v/>
      </c>
      <c r="D997" s="28">
        <f>IF(A997="","",TODAY())</f>
        <v/>
      </c>
      <c r="E997" s="29" t="n"/>
      <c r="F997" s="20">
        <f>IFERROR(IF(OR(A997="",E997=""),"",C997+E997),"")</f>
        <v/>
      </c>
      <c r="G997" s="30" t="n"/>
      <c r="H997" s="27" t="n"/>
    </row>
    <row r="998" ht="20" customHeight="1">
      <c r="A998" s="26" t="n"/>
      <c r="B998" s="31">
        <f>IFERROR(IF(A998="","",VLOOKUP(A998,DATABASE!$A:$B,2,0)),"")</f>
        <v/>
      </c>
      <c r="C998" s="32">
        <f>IFERROR(IF(A998="","",SUMIF(SAVINGS!$A$3:A997,A998,SAVINGS!$E$3:E997)-SUMIF(WITHDRAWALS!$A:$A,A998,WITHDRAWALS!$E:$E)),"")</f>
        <v/>
      </c>
      <c r="D998" s="33">
        <f>IF(A998="","",TODAY())</f>
        <v/>
      </c>
      <c r="E998" s="29" t="n"/>
      <c r="F998" s="32">
        <f>IFERROR(IF(OR(A998="",E998=""),"",C998+E998),"")</f>
        <v/>
      </c>
      <c r="G998" s="30" t="n"/>
      <c r="H998" s="31" t="n"/>
    </row>
    <row r="999" ht="20" customHeight="1">
      <c r="A999" s="26" t="n"/>
      <c r="B999" s="27">
        <f>IFERROR(IF(A999="","",VLOOKUP(A999,DATABASE!$A:$B,2,0)),"")</f>
        <v/>
      </c>
      <c r="C999" s="20">
        <f>IFERROR(IF(A999="","",SUMIF(SAVINGS!$A$3:A998,A999,SAVINGS!$E$3:E998)-SUMIF(WITHDRAWALS!$A:$A,A999,WITHDRAWALS!$E:$E)),"")</f>
        <v/>
      </c>
      <c r="D999" s="28">
        <f>IF(A999="","",TODAY())</f>
        <v/>
      </c>
      <c r="E999" s="29" t="n"/>
      <c r="F999" s="20">
        <f>IFERROR(IF(OR(A999="",E999=""),"",C999+E999),"")</f>
        <v/>
      </c>
      <c r="G999" s="30" t="n"/>
      <c r="H999" s="27" t="n"/>
    </row>
    <row r="1000" ht="20" customHeight="1">
      <c r="A1000" s="26" t="n"/>
      <c r="B1000" s="31">
        <f>IFERROR(IF(A1000="","",VLOOKUP(A1000,DATABASE!$A:$B,2,0)),"")</f>
        <v/>
      </c>
      <c r="C1000" s="32">
        <f>IFERROR(IF(A1000="","",SUMIF(SAVINGS!$A$3:A999,A1000,SAVINGS!$E$3:E999)-SUMIF(WITHDRAWALS!$A:$A,A1000,WITHDRAWALS!$E:$E)),"")</f>
        <v/>
      </c>
      <c r="D1000" s="33">
        <f>IF(A1000="","",TODAY())</f>
        <v/>
      </c>
      <c r="E1000" s="29" t="n"/>
      <c r="F1000" s="32">
        <f>IFERROR(IF(OR(A1000="",E1000=""),"",C1000+E1000),"")</f>
        <v/>
      </c>
      <c r="G1000" s="30" t="n"/>
      <c r="H1000" s="31" t="n"/>
    </row>
    <row r="1001" ht="20" customHeight="1">
      <c r="A1001" s="26" t="n"/>
      <c r="B1001" s="27">
        <f>IFERROR(IF(A1001="","",VLOOKUP(A1001,DATABASE!$A:$B,2,0)),"")</f>
        <v/>
      </c>
      <c r="C1001" s="20">
        <f>IFERROR(IF(A1001="","",SUMIF(SAVINGS!$A$3:A1000,A1001,SAVINGS!$E$3:E1000)-SUMIF(WITHDRAWALS!$A:$A,A1001,WITHDRAWALS!$E:$E)),"")</f>
        <v/>
      </c>
      <c r="D1001" s="28">
        <f>IF(A1001="","",TODAY())</f>
        <v/>
      </c>
      <c r="E1001" s="29" t="n"/>
      <c r="F1001" s="20">
        <f>IFERROR(IF(OR(A1001="",E1001=""),"",C1001+E1001),"")</f>
        <v/>
      </c>
      <c r="G1001" s="30" t="n"/>
      <c r="H1001" s="27" t="n"/>
    </row>
    <row r="1002" ht="20" customHeight="1">
      <c r="A1002" s="26" t="n"/>
      <c r="B1002" s="31">
        <f>IFERROR(IF(A1002="","",VLOOKUP(A1002,DATABASE!$A:$B,2,0)),"")</f>
        <v/>
      </c>
      <c r="C1002" s="32">
        <f>IFERROR(IF(A1002="","",SUMIF(SAVINGS!$A$3:A1001,A1002,SAVINGS!$E$3:E1001)-SUMIF(WITHDRAWALS!$A:$A,A1002,WITHDRAWALS!$E:$E)),"")</f>
        <v/>
      </c>
      <c r="D1002" s="33">
        <f>IF(A1002="","",TODAY())</f>
        <v/>
      </c>
      <c r="E1002" s="29" t="n"/>
      <c r="F1002" s="32">
        <f>IFERROR(IF(OR(A1002="",E1002=""),"",C1002+E1002),"")</f>
        <v/>
      </c>
      <c r="G1002" s="30" t="n"/>
      <c r="H1002" s="31" t="n"/>
    </row>
    <row r="1003" ht="20" customHeight="1">
      <c r="A1003" s="26" t="n"/>
      <c r="B1003" s="27">
        <f>IFERROR(IF(A1003="","",VLOOKUP(A1003,DATABASE!$A:$B,2,0)),"")</f>
        <v/>
      </c>
      <c r="C1003" s="20">
        <f>IFERROR(IF(A1003="","",SUMIF(SAVINGS!$A$3:A1002,A1003,SAVINGS!$E$3:E1002)-SUMIF(WITHDRAWALS!$A:$A,A1003,WITHDRAWALS!$E:$E)),"")</f>
        <v/>
      </c>
      <c r="D1003" s="28">
        <f>IF(A1003="","",TODAY())</f>
        <v/>
      </c>
      <c r="E1003" s="29" t="n"/>
      <c r="F1003" s="20">
        <f>IFERROR(IF(OR(A1003="",E1003=""),"",C1003+E1003),"")</f>
        <v/>
      </c>
      <c r="G1003" s="30" t="n"/>
      <c r="H1003" s="27" t="n"/>
    </row>
    <row r="1004" ht="20" customHeight="1">
      <c r="A1004" s="26" t="n"/>
      <c r="B1004" s="31">
        <f>IFERROR(IF(A1004="","",VLOOKUP(A1004,DATABASE!$A:$B,2,0)),"")</f>
        <v/>
      </c>
      <c r="C1004" s="32">
        <f>IFERROR(IF(A1004="","",SUMIF(SAVINGS!$A$3:A1003,A1004,SAVINGS!$E$3:E1003)-SUMIF(WITHDRAWALS!$A:$A,A1004,WITHDRAWALS!$E:$E)),"")</f>
        <v/>
      </c>
      <c r="D1004" s="33">
        <f>IF(A1004="","",TODAY())</f>
        <v/>
      </c>
      <c r="E1004" s="29" t="n"/>
      <c r="F1004" s="32">
        <f>IFERROR(IF(OR(A1004="",E1004=""),"",C1004+E1004),"")</f>
        <v/>
      </c>
      <c r="G1004" s="30" t="n"/>
      <c r="H1004" s="31" t="n"/>
    </row>
    <row r="1005" ht="20" customHeight="1">
      <c r="A1005" s="26" t="n"/>
      <c r="B1005" s="27">
        <f>IFERROR(IF(A1005="","",VLOOKUP(A1005,DATABASE!$A:$B,2,0)),"")</f>
        <v/>
      </c>
      <c r="C1005" s="20">
        <f>IFERROR(IF(A1005="","",SUMIF(SAVINGS!$A$3:A1004,A1005,SAVINGS!$E$3:E1004)-SUMIF(WITHDRAWALS!$A:$A,A1005,WITHDRAWALS!$E:$E)),"")</f>
        <v/>
      </c>
      <c r="D1005" s="28">
        <f>IF(A1005="","",TODAY())</f>
        <v/>
      </c>
      <c r="E1005" s="29" t="n"/>
      <c r="F1005" s="20">
        <f>IFERROR(IF(OR(A1005="",E1005=""),"",C1005+E1005),"")</f>
        <v/>
      </c>
      <c r="G1005" s="30" t="n"/>
      <c r="H1005" s="27" t="n"/>
    </row>
    <row r="1006" ht="20" customHeight="1">
      <c r="A1006" s="26" t="n"/>
      <c r="B1006" s="31">
        <f>IFERROR(IF(A1006="","",VLOOKUP(A1006,DATABASE!$A:$B,2,0)),"")</f>
        <v/>
      </c>
      <c r="C1006" s="32">
        <f>IFERROR(IF(A1006="","",SUMIF(SAVINGS!$A$3:A1005,A1006,SAVINGS!$E$3:E1005)-SUMIF(WITHDRAWALS!$A:$A,A1006,WITHDRAWALS!$E:$E)),"")</f>
        <v/>
      </c>
      <c r="D1006" s="33">
        <f>IF(A1006="","",TODAY())</f>
        <v/>
      </c>
      <c r="E1006" s="29" t="n"/>
      <c r="F1006" s="32">
        <f>IFERROR(IF(OR(A1006="",E1006=""),"",C1006+E1006),"")</f>
        <v/>
      </c>
      <c r="G1006" s="30" t="n"/>
      <c r="H1006" s="31" t="n"/>
    </row>
    <row r="1007" ht="20" customHeight="1">
      <c r="A1007" s="26" t="n"/>
      <c r="B1007" s="27">
        <f>IFERROR(IF(A1007="","",VLOOKUP(A1007,DATABASE!$A:$B,2,0)),"")</f>
        <v/>
      </c>
      <c r="C1007" s="20">
        <f>IFERROR(IF(A1007="","",SUMIF(SAVINGS!$A$3:A1006,A1007,SAVINGS!$E$3:E1006)-SUMIF(WITHDRAWALS!$A:$A,A1007,WITHDRAWALS!$E:$E)),"")</f>
        <v/>
      </c>
      <c r="D1007" s="28">
        <f>IF(A1007="","",TODAY())</f>
        <v/>
      </c>
      <c r="E1007" s="29" t="n"/>
      <c r="F1007" s="20">
        <f>IFERROR(IF(OR(A1007="",E1007=""),"",C1007+E1007),"")</f>
        <v/>
      </c>
      <c r="G1007" s="30" t="n"/>
      <c r="H1007" s="27" t="n"/>
    </row>
    <row r="1008" ht="20" customHeight="1">
      <c r="A1008" s="26" t="n"/>
      <c r="B1008" s="31">
        <f>IFERROR(IF(A1008="","",VLOOKUP(A1008,DATABASE!$A:$B,2,0)),"")</f>
        <v/>
      </c>
      <c r="C1008" s="32">
        <f>IFERROR(IF(A1008="","",SUMIF(SAVINGS!$A$3:A1007,A1008,SAVINGS!$E$3:E1007)-SUMIF(WITHDRAWALS!$A:$A,A1008,WITHDRAWALS!$E:$E)),"")</f>
        <v/>
      </c>
      <c r="D1008" s="33">
        <f>IF(A1008="","",TODAY())</f>
        <v/>
      </c>
      <c r="E1008" s="29" t="n"/>
      <c r="F1008" s="32">
        <f>IFERROR(IF(OR(A1008="",E1008=""),"",C1008+E1008),"")</f>
        <v/>
      </c>
      <c r="G1008" s="30" t="n"/>
      <c r="H1008" s="31" t="n"/>
    </row>
    <row r="1009" ht="20" customHeight="1">
      <c r="A1009" s="26" t="n"/>
      <c r="B1009" s="27">
        <f>IFERROR(IF(A1009="","",VLOOKUP(A1009,DATABASE!$A:$B,2,0)),"")</f>
        <v/>
      </c>
      <c r="C1009" s="20">
        <f>IFERROR(IF(A1009="","",SUMIF(SAVINGS!$A$3:A1008,A1009,SAVINGS!$E$3:E1008)-SUMIF(WITHDRAWALS!$A:$A,A1009,WITHDRAWALS!$E:$E)),"")</f>
        <v/>
      </c>
      <c r="D1009" s="28">
        <f>IF(A1009="","",TODAY())</f>
        <v/>
      </c>
      <c r="E1009" s="29" t="n"/>
      <c r="F1009" s="20">
        <f>IFERROR(IF(OR(A1009="",E1009=""),"",C1009+E1009),"")</f>
        <v/>
      </c>
      <c r="G1009" s="30" t="n"/>
      <c r="H1009" s="27" t="n"/>
    </row>
    <row r="1010" ht="20" customHeight="1">
      <c r="A1010" s="26" t="n"/>
      <c r="B1010" s="31">
        <f>IFERROR(IF(A1010="","",VLOOKUP(A1010,DATABASE!$A:$B,2,0)),"")</f>
        <v/>
      </c>
      <c r="C1010" s="32">
        <f>IFERROR(IF(A1010="","",SUMIF(SAVINGS!$A$3:A1009,A1010,SAVINGS!$E$3:E1009)-SUMIF(WITHDRAWALS!$A:$A,A1010,WITHDRAWALS!$E:$E)),"")</f>
        <v/>
      </c>
      <c r="D1010" s="33">
        <f>IF(A1010="","",TODAY())</f>
        <v/>
      </c>
      <c r="E1010" s="29" t="n"/>
      <c r="F1010" s="32">
        <f>IFERROR(IF(OR(A1010="",E1010=""),"",C1010+E1010),"")</f>
        <v/>
      </c>
      <c r="G1010" s="30" t="n"/>
      <c r="H1010" s="31" t="n"/>
    </row>
    <row r="1011" ht="20" customHeight="1">
      <c r="A1011" s="26" t="n"/>
      <c r="B1011" s="27">
        <f>IFERROR(IF(A1011="","",VLOOKUP(A1011,DATABASE!$A:$B,2,0)),"")</f>
        <v/>
      </c>
      <c r="C1011" s="20">
        <f>IFERROR(IF(A1011="","",SUMIF(SAVINGS!$A$3:A1010,A1011,SAVINGS!$E$3:E1010)-SUMIF(WITHDRAWALS!$A:$A,A1011,WITHDRAWALS!$E:$E)),"")</f>
        <v/>
      </c>
      <c r="D1011" s="28">
        <f>IF(A1011="","",TODAY())</f>
        <v/>
      </c>
      <c r="E1011" s="29" t="n"/>
      <c r="F1011" s="20">
        <f>IFERROR(IF(OR(A1011="",E1011=""),"",C1011+E1011),"")</f>
        <v/>
      </c>
      <c r="G1011" s="30" t="n"/>
      <c r="H1011" s="27" t="n"/>
    </row>
    <row r="1012" ht="20" customHeight="1">
      <c r="A1012" s="26" t="n"/>
      <c r="B1012" s="31">
        <f>IFERROR(IF(A1012="","",VLOOKUP(A1012,DATABASE!$A:$B,2,0)),"")</f>
        <v/>
      </c>
      <c r="C1012" s="32">
        <f>IFERROR(IF(A1012="","",SUMIF(SAVINGS!$A$3:A1011,A1012,SAVINGS!$E$3:E1011)-SUMIF(WITHDRAWALS!$A:$A,A1012,WITHDRAWALS!$E:$E)),"")</f>
        <v/>
      </c>
      <c r="D1012" s="33">
        <f>IF(A1012="","",TODAY())</f>
        <v/>
      </c>
      <c r="E1012" s="29" t="n"/>
      <c r="F1012" s="32">
        <f>IFERROR(IF(OR(A1012="",E1012=""),"",C1012+E1012),"")</f>
        <v/>
      </c>
      <c r="G1012" s="30" t="n"/>
      <c r="H1012" s="31" t="n"/>
    </row>
    <row r="1013" ht="20" customHeight="1">
      <c r="A1013" s="26" t="n"/>
      <c r="B1013" s="27">
        <f>IFERROR(IF(A1013="","",VLOOKUP(A1013,DATABASE!$A:$B,2,0)),"")</f>
        <v/>
      </c>
      <c r="C1013" s="20">
        <f>IFERROR(IF(A1013="","",SUMIF(SAVINGS!$A$3:A1012,A1013,SAVINGS!$E$3:E1012)-SUMIF(WITHDRAWALS!$A:$A,A1013,WITHDRAWALS!$E:$E)),"")</f>
        <v/>
      </c>
      <c r="D1013" s="28">
        <f>IF(A1013="","",TODAY())</f>
        <v/>
      </c>
      <c r="E1013" s="29" t="n"/>
      <c r="F1013" s="20">
        <f>IFERROR(IF(OR(A1013="",E1013=""),"",C1013+E1013),"")</f>
        <v/>
      </c>
      <c r="G1013" s="30" t="n"/>
      <c r="H1013" s="27" t="n"/>
    </row>
    <row r="1014" ht="20" customHeight="1">
      <c r="A1014" s="26" t="n"/>
      <c r="B1014" s="31">
        <f>IFERROR(IF(A1014="","",VLOOKUP(A1014,DATABASE!$A:$B,2,0)),"")</f>
        <v/>
      </c>
      <c r="C1014" s="32">
        <f>IFERROR(IF(A1014="","",SUMIF(SAVINGS!$A$3:A1013,A1014,SAVINGS!$E$3:E1013)-SUMIF(WITHDRAWALS!$A:$A,A1014,WITHDRAWALS!$E:$E)),"")</f>
        <v/>
      </c>
      <c r="D1014" s="33">
        <f>IF(A1014="","",TODAY())</f>
        <v/>
      </c>
      <c r="E1014" s="29" t="n"/>
      <c r="F1014" s="32">
        <f>IFERROR(IF(OR(A1014="",E1014=""),"",C1014+E1014),"")</f>
        <v/>
      </c>
      <c r="G1014" s="30" t="n"/>
      <c r="H1014" s="31" t="n"/>
    </row>
    <row r="1015" ht="20" customHeight="1">
      <c r="A1015" s="26" t="n"/>
      <c r="B1015" s="27">
        <f>IFERROR(IF(A1015="","",VLOOKUP(A1015,DATABASE!$A:$B,2,0)),"")</f>
        <v/>
      </c>
      <c r="C1015" s="20">
        <f>IFERROR(IF(A1015="","",SUMIF(SAVINGS!$A$3:A1014,A1015,SAVINGS!$E$3:E1014)-SUMIF(WITHDRAWALS!$A:$A,A1015,WITHDRAWALS!$E:$E)),"")</f>
        <v/>
      </c>
      <c r="D1015" s="28">
        <f>IF(A1015="","",TODAY())</f>
        <v/>
      </c>
      <c r="E1015" s="29" t="n"/>
      <c r="F1015" s="20">
        <f>IFERROR(IF(OR(A1015="",E1015=""),"",C1015+E1015),"")</f>
        <v/>
      </c>
      <c r="G1015" s="30" t="n"/>
      <c r="H1015" s="27" t="n"/>
    </row>
    <row r="1016" ht="20" customHeight="1">
      <c r="A1016" s="26" t="n"/>
      <c r="B1016" s="31">
        <f>IFERROR(IF(A1016="","",VLOOKUP(A1016,DATABASE!$A:$B,2,0)),"")</f>
        <v/>
      </c>
      <c r="C1016" s="32">
        <f>IFERROR(IF(A1016="","",SUMIF(SAVINGS!$A$3:A1015,A1016,SAVINGS!$E$3:E1015)-SUMIF(WITHDRAWALS!$A:$A,A1016,WITHDRAWALS!$E:$E)),"")</f>
        <v/>
      </c>
      <c r="D1016" s="33">
        <f>IF(A1016="","",TODAY())</f>
        <v/>
      </c>
      <c r="E1016" s="29" t="n"/>
      <c r="F1016" s="32">
        <f>IFERROR(IF(OR(A1016="",E1016=""),"",C1016+E1016),"")</f>
        <v/>
      </c>
      <c r="G1016" s="30" t="n"/>
      <c r="H1016" s="31" t="n"/>
    </row>
    <row r="1017" ht="20" customHeight="1">
      <c r="A1017" s="26" t="n"/>
      <c r="B1017" s="27">
        <f>IFERROR(IF(A1017="","",VLOOKUP(A1017,DATABASE!$A:$B,2,0)),"")</f>
        <v/>
      </c>
      <c r="C1017" s="20">
        <f>IFERROR(IF(A1017="","",SUMIF(SAVINGS!$A$3:A1016,A1017,SAVINGS!$E$3:E1016)-SUMIF(WITHDRAWALS!$A:$A,A1017,WITHDRAWALS!$E:$E)),"")</f>
        <v/>
      </c>
      <c r="D1017" s="28">
        <f>IF(A1017="","",TODAY())</f>
        <v/>
      </c>
      <c r="E1017" s="29" t="n"/>
      <c r="F1017" s="20">
        <f>IFERROR(IF(OR(A1017="",E1017=""),"",C1017+E1017),"")</f>
        <v/>
      </c>
      <c r="G1017" s="30" t="n"/>
      <c r="H1017" s="27" t="n"/>
    </row>
    <row r="1018" ht="20" customHeight="1">
      <c r="A1018" s="26" t="n"/>
      <c r="B1018" s="31">
        <f>IFERROR(IF(A1018="","",VLOOKUP(A1018,DATABASE!$A:$B,2,0)),"")</f>
        <v/>
      </c>
      <c r="C1018" s="32">
        <f>IFERROR(IF(A1018="","",SUMIF(SAVINGS!$A$3:A1017,A1018,SAVINGS!$E$3:E1017)-SUMIF(WITHDRAWALS!$A:$A,A1018,WITHDRAWALS!$E:$E)),"")</f>
        <v/>
      </c>
      <c r="D1018" s="33">
        <f>IF(A1018="","",TODAY())</f>
        <v/>
      </c>
      <c r="E1018" s="29" t="n"/>
      <c r="F1018" s="32">
        <f>IFERROR(IF(OR(A1018="",E1018=""),"",C1018+E1018),"")</f>
        <v/>
      </c>
      <c r="G1018" s="30" t="n"/>
      <c r="H1018" s="31" t="n"/>
    </row>
    <row r="1019" ht="20" customHeight="1">
      <c r="A1019" s="26" t="n"/>
      <c r="B1019" s="27">
        <f>IFERROR(IF(A1019="","",VLOOKUP(A1019,DATABASE!$A:$B,2,0)),"")</f>
        <v/>
      </c>
      <c r="C1019" s="20">
        <f>IFERROR(IF(A1019="","",SUMIF(SAVINGS!$A$3:A1018,A1019,SAVINGS!$E$3:E1018)-SUMIF(WITHDRAWALS!$A:$A,A1019,WITHDRAWALS!$E:$E)),"")</f>
        <v/>
      </c>
      <c r="D1019" s="28">
        <f>IF(A1019="","",TODAY())</f>
        <v/>
      </c>
      <c r="E1019" s="29" t="n"/>
      <c r="F1019" s="20">
        <f>IFERROR(IF(OR(A1019="",E1019=""),"",C1019+E1019),"")</f>
        <v/>
      </c>
      <c r="G1019" s="30" t="n"/>
      <c r="H1019" s="27" t="n"/>
    </row>
    <row r="1020" ht="20" customHeight="1">
      <c r="A1020" s="26" t="n"/>
      <c r="B1020" s="31">
        <f>IFERROR(IF(A1020="","",VLOOKUP(A1020,DATABASE!$A:$B,2,0)),"")</f>
        <v/>
      </c>
      <c r="C1020" s="32">
        <f>IFERROR(IF(A1020="","",SUMIF(SAVINGS!$A$3:A1019,A1020,SAVINGS!$E$3:E1019)-SUMIF(WITHDRAWALS!$A:$A,A1020,WITHDRAWALS!$E:$E)),"")</f>
        <v/>
      </c>
      <c r="D1020" s="33">
        <f>IF(A1020="","",TODAY())</f>
        <v/>
      </c>
      <c r="E1020" s="29" t="n"/>
      <c r="F1020" s="32">
        <f>IFERROR(IF(OR(A1020="",E1020=""),"",C1020+E1020),"")</f>
        <v/>
      </c>
      <c r="G1020" s="30" t="n"/>
      <c r="H1020" s="31" t="n"/>
    </row>
    <row r="1021" ht="20" customHeight="1">
      <c r="A1021" s="26" t="n"/>
      <c r="B1021" s="27">
        <f>IFERROR(IF(A1021="","",VLOOKUP(A1021,DATABASE!$A:$B,2,0)),"")</f>
        <v/>
      </c>
      <c r="C1021" s="20">
        <f>IFERROR(IF(A1021="","",SUMIF(SAVINGS!$A$3:A1020,A1021,SAVINGS!$E$3:E1020)-SUMIF(WITHDRAWALS!$A:$A,A1021,WITHDRAWALS!$E:$E)),"")</f>
        <v/>
      </c>
      <c r="D1021" s="28">
        <f>IF(A1021="","",TODAY())</f>
        <v/>
      </c>
      <c r="E1021" s="29" t="n"/>
      <c r="F1021" s="20">
        <f>IFERROR(IF(OR(A1021="",E1021=""),"",C1021+E1021),"")</f>
        <v/>
      </c>
      <c r="G1021" s="30" t="n"/>
      <c r="H1021" s="27" t="n"/>
    </row>
    <row r="1022" ht="20" customHeight="1">
      <c r="A1022" s="26" t="n"/>
      <c r="B1022" s="31">
        <f>IFERROR(IF(A1022="","",VLOOKUP(A1022,DATABASE!$A:$B,2,0)),"")</f>
        <v/>
      </c>
      <c r="C1022" s="32">
        <f>IFERROR(IF(A1022="","",SUMIF(SAVINGS!$A$3:A1021,A1022,SAVINGS!$E$3:E1021)-SUMIF(WITHDRAWALS!$A:$A,A1022,WITHDRAWALS!$E:$E)),"")</f>
        <v/>
      </c>
      <c r="D1022" s="33">
        <f>IF(A1022="","",TODAY())</f>
        <v/>
      </c>
      <c r="E1022" s="29" t="n"/>
      <c r="F1022" s="32">
        <f>IFERROR(IF(OR(A1022="",E1022=""),"",C1022+E1022),"")</f>
        <v/>
      </c>
      <c r="G1022" s="30" t="n"/>
      <c r="H1022" s="31" t="n"/>
    </row>
    <row r="1023" ht="20" customHeight="1">
      <c r="A1023" s="26" t="n"/>
      <c r="B1023" s="27">
        <f>IFERROR(IF(A1023="","",VLOOKUP(A1023,DATABASE!$A:$B,2,0)),"")</f>
        <v/>
      </c>
      <c r="C1023" s="20">
        <f>IFERROR(IF(A1023="","",SUMIF(SAVINGS!$A$3:A1022,A1023,SAVINGS!$E$3:E1022)-SUMIF(WITHDRAWALS!$A:$A,A1023,WITHDRAWALS!$E:$E)),"")</f>
        <v/>
      </c>
      <c r="D1023" s="28">
        <f>IF(A1023="","",TODAY())</f>
        <v/>
      </c>
      <c r="E1023" s="29" t="n"/>
      <c r="F1023" s="20">
        <f>IFERROR(IF(OR(A1023="",E1023=""),"",C1023+E1023),"")</f>
        <v/>
      </c>
      <c r="G1023" s="30" t="n"/>
      <c r="H1023" s="27" t="n"/>
    </row>
    <row r="1024" ht="20" customHeight="1">
      <c r="A1024" s="26" t="n"/>
      <c r="B1024" s="31">
        <f>IFERROR(IF(A1024="","",VLOOKUP(A1024,DATABASE!$A:$B,2,0)),"")</f>
        <v/>
      </c>
      <c r="C1024" s="32">
        <f>IFERROR(IF(A1024="","",SUMIF(SAVINGS!$A$3:A1023,A1024,SAVINGS!$E$3:E1023)-SUMIF(WITHDRAWALS!$A:$A,A1024,WITHDRAWALS!$E:$E)),"")</f>
        <v/>
      </c>
      <c r="D1024" s="33">
        <f>IF(A1024="","",TODAY())</f>
        <v/>
      </c>
      <c r="E1024" s="29" t="n"/>
      <c r="F1024" s="32">
        <f>IFERROR(IF(OR(A1024="",E1024=""),"",C1024+E1024),"")</f>
        <v/>
      </c>
      <c r="G1024" s="30" t="n"/>
      <c r="H1024" s="31" t="n"/>
    </row>
    <row r="1025" ht="20" customHeight="1">
      <c r="A1025" s="26" t="n"/>
      <c r="B1025" s="27">
        <f>IFERROR(IF(A1025="","",VLOOKUP(A1025,DATABASE!$A:$B,2,0)),"")</f>
        <v/>
      </c>
      <c r="C1025" s="20">
        <f>IFERROR(IF(A1025="","",SUMIF(SAVINGS!$A$3:A1024,A1025,SAVINGS!$E$3:E1024)-SUMIF(WITHDRAWALS!$A:$A,A1025,WITHDRAWALS!$E:$E)),"")</f>
        <v/>
      </c>
      <c r="D1025" s="28">
        <f>IF(A1025="","",TODAY())</f>
        <v/>
      </c>
      <c r="E1025" s="29" t="n"/>
      <c r="F1025" s="20">
        <f>IFERROR(IF(OR(A1025="",E1025=""),"",C1025+E1025),"")</f>
        <v/>
      </c>
      <c r="G1025" s="30" t="n"/>
      <c r="H1025" s="27" t="n"/>
    </row>
    <row r="1026" ht="20" customHeight="1">
      <c r="A1026" s="26" t="n"/>
      <c r="B1026" s="31">
        <f>IFERROR(IF(A1026="","",VLOOKUP(A1026,DATABASE!$A:$B,2,0)),"")</f>
        <v/>
      </c>
      <c r="C1026" s="32">
        <f>IFERROR(IF(A1026="","",SUMIF(SAVINGS!$A$3:A1025,A1026,SAVINGS!$E$3:E1025)-SUMIF(WITHDRAWALS!$A:$A,A1026,WITHDRAWALS!$E:$E)),"")</f>
        <v/>
      </c>
      <c r="D1026" s="33">
        <f>IF(A1026="","",TODAY())</f>
        <v/>
      </c>
      <c r="E1026" s="29" t="n"/>
      <c r="F1026" s="32">
        <f>IFERROR(IF(OR(A1026="",E1026=""),"",C1026+E1026),"")</f>
        <v/>
      </c>
      <c r="G1026" s="30" t="n"/>
      <c r="H1026" s="31" t="n"/>
    </row>
    <row r="1027" ht="20" customHeight="1">
      <c r="A1027" s="26" t="n"/>
      <c r="B1027" s="27">
        <f>IFERROR(IF(A1027="","",VLOOKUP(A1027,DATABASE!$A:$B,2,0)),"")</f>
        <v/>
      </c>
      <c r="C1027" s="20">
        <f>IFERROR(IF(A1027="","",SUMIF(SAVINGS!$A$3:A1026,A1027,SAVINGS!$E$3:E1026)-SUMIF(WITHDRAWALS!$A:$A,A1027,WITHDRAWALS!$E:$E)),"")</f>
        <v/>
      </c>
      <c r="D1027" s="28">
        <f>IF(A1027="","",TODAY())</f>
        <v/>
      </c>
      <c r="E1027" s="29" t="n"/>
      <c r="F1027" s="20">
        <f>IFERROR(IF(OR(A1027="",E1027=""),"",C1027+E1027),"")</f>
        <v/>
      </c>
      <c r="G1027" s="30" t="n"/>
      <c r="H1027" s="27" t="n"/>
    </row>
    <row r="1028" ht="20" customHeight="1">
      <c r="A1028" s="26" t="n"/>
      <c r="B1028" s="31">
        <f>IFERROR(IF(A1028="","",VLOOKUP(A1028,DATABASE!$A:$B,2,0)),"")</f>
        <v/>
      </c>
      <c r="C1028" s="32">
        <f>IFERROR(IF(A1028="","",SUMIF(SAVINGS!$A$3:A1027,A1028,SAVINGS!$E$3:E1027)-SUMIF(WITHDRAWALS!$A:$A,A1028,WITHDRAWALS!$E:$E)),"")</f>
        <v/>
      </c>
      <c r="D1028" s="33">
        <f>IF(A1028="","",TODAY())</f>
        <v/>
      </c>
      <c r="E1028" s="29" t="n"/>
      <c r="F1028" s="32">
        <f>IFERROR(IF(OR(A1028="",E1028=""),"",C1028+E1028),"")</f>
        <v/>
      </c>
      <c r="G1028" s="30" t="n"/>
      <c r="H1028" s="31" t="n"/>
    </row>
    <row r="1029" ht="20" customHeight="1">
      <c r="A1029" s="26" t="n"/>
      <c r="B1029" s="27">
        <f>IFERROR(IF(A1029="","",VLOOKUP(A1029,DATABASE!$A:$B,2,0)),"")</f>
        <v/>
      </c>
      <c r="C1029" s="20">
        <f>IFERROR(IF(A1029="","",SUMIF(SAVINGS!$A$3:A1028,A1029,SAVINGS!$E$3:E1028)-SUMIF(WITHDRAWALS!$A:$A,A1029,WITHDRAWALS!$E:$E)),"")</f>
        <v/>
      </c>
      <c r="D1029" s="28">
        <f>IF(A1029="","",TODAY())</f>
        <v/>
      </c>
      <c r="E1029" s="29" t="n"/>
      <c r="F1029" s="20">
        <f>IFERROR(IF(OR(A1029="",E1029=""),"",C1029+E1029),"")</f>
        <v/>
      </c>
      <c r="G1029" s="30" t="n"/>
      <c r="H1029" s="27" t="n"/>
    </row>
    <row r="1030" ht="20" customHeight="1">
      <c r="A1030" s="26" t="n"/>
      <c r="B1030" s="31">
        <f>IFERROR(IF(A1030="","",VLOOKUP(A1030,DATABASE!$A:$B,2,0)),"")</f>
        <v/>
      </c>
      <c r="C1030" s="32">
        <f>IFERROR(IF(A1030="","",SUMIF(SAVINGS!$A$3:A1029,A1030,SAVINGS!$E$3:E1029)-SUMIF(WITHDRAWALS!$A:$A,A1030,WITHDRAWALS!$E:$E)),"")</f>
        <v/>
      </c>
      <c r="D1030" s="33">
        <f>IF(A1030="","",TODAY())</f>
        <v/>
      </c>
      <c r="E1030" s="29" t="n"/>
      <c r="F1030" s="32">
        <f>IFERROR(IF(OR(A1030="",E1030=""),"",C1030+E1030),"")</f>
        <v/>
      </c>
      <c r="G1030" s="30" t="n"/>
      <c r="H1030" s="31" t="n"/>
    </row>
    <row r="1031" ht="20" customHeight="1">
      <c r="A1031" s="26" t="n"/>
      <c r="B1031" s="27">
        <f>IFERROR(IF(A1031="","",VLOOKUP(A1031,DATABASE!$A:$B,2,0)),"")</f>
        <v/>
      </c>
      <c r="C1031" s="20">
        <f>IFERROR(IF(A1031="","",SUMIF(SAVINGS!$A$3:A1030,A1031,SAVINGS!$E$3:E1030)-SUMIF(WITHDRAWALS!$A:$A,A1031,WITHDRAWALS!$E:$E)),"")</f>
        <v/>
      </c>
      <c r="D1031" s="28">
        <f>IF(A1031="","",TODAY())</f>
        <v/>
      </c>
      <c r="E1031" s="29" t="n"/>
      <c r="F1031" s="20">
        <f>IFERROR(IF(OR(A1031="",E1031=""),"",C1031+E1031),"")</f>
        <v/>
      </c>
      <c r="G1031" s="30" t="n"/>
      <c r="H1031" s="27" t="n"/>
    </row>
    <row r="1032" ht="20" customHeight="1">
      <c r="A1032" s="26" t="n"/>
      <c r="B1032" s="31">
        <f>IFERROR(IF(A1032="","",VLOOKUP(A1032,DATABASE!$A:$B,2,0)),"")</f>
        <v/>
      </c>
      <c r="C1032" s="32">
        <f>IFERROR(IF(A1032="","",SUMIF(SAVINGS!$A$3:A1031,A1032,SAVINGS!$E$3:E1031)-SUMIF(WITHDRAWALS!$A:$A,A1032,WITHDRAWALS!$E:$E)),"")</f>
        <v/>
      </c>
      <c r="D1032" s="33">
        <f>IF(A1032="","",TODAY())</f>
        <v/>
      </c>
      <c r="E1032" s="29" t="n"/>
      <c r="F1032" s="32">
        <f>IFERROR(IF(OR(A1032="",E1032=""),"",C1032+E1032),"")</f>
        <v/>
      </c>
      <c r="G1032" s="30" t="n"/>
      <c r="H1032" s="31" t="n"/>
    </row>
    <row r="1033" ht="20" customHeight="1">
      <c r="A1033" s="26" t="n"/>
      <c r="B1033" s="27">
        <f>IFERROR(IF(A1033="","",VLOOKUP(A1033,DATABASE!$A:$B,2,0)),"")</f>
        <v/>
      </c>
      <c r="C1033" s="20">
        <f>IFERROR(IF(A1033="","",SUMIF(SAVINGS!$A$3:A1032,A1033,SAVINGS!$E$3:E1032)-SUMIF(WITHDRAWALS!$A:$A,A1033,WITHDRAWALS!$E:$E)),"")</f>
        <v/>
      </c>
      <c r="D1033" s="28">
        <f>IF(A1033="","",TODAY())</f>
        <v/>
      </c>
      <c r="E1033" s="29" t="n"/>
      <c r="F1033" s="20">
        <f>IFERROR(IF(OR(A1033="",E1033=""),"",C1033+E1033),"")</f>
        <v/>
      </c>
      <c r="G1033" s="30" t="n"/>
      <c r="H1033" s="27" t="n"/>
    </row>
    <row r="1034" ht="20" customHeight="1">
      <c r="A1034" s="26" t="n"/>
      <c r="B1034" s="31">
        <f>IFERROR(IF(A1034="","",VLOOKUP(A1034,DATABASE!$A:$B,2,0)),"")</f>
        <v/>
      </c>
      <c r="C1034" s="32">
        <f>IFERROR(IF(A1034="","",SUMIF(SAVINGS!$A$3:A1033,A1034,SAVINGS!$E$3:E1033)-SUMIF(WITHDRAWALS!$A:$A,A1034,WITHDRAWALS!$E:$E)),"")</f>
        <v/>
      </c>
      <c r="D1034" s="33">
        <f>IF(A1034="","",TODAY())</f>
        <v/>
      </c>
      <c r="E1034" s="29" t="n"/>
      <c r="F1034" s="32">
        <f>IFERROR(IF(OR(A1034="",E1034=""),"",C1034+E1034),"")</f>
        <v/>
      </c>
      <c r="G1034" s="30" t="n"/>
      <c r="H1034" s="31" t="n"/>
    </row>
    <row r="1035" ht="20" customHeight="1">
      <c r="A1035" s="26" t="n"/>
      <c r="B1035" s="27">
        <f>IFERROR(IF(A1035="","",VLOOKUP(A1035,DATABASE!$A:$B,2,0)),"")</f>
        <v/>
      </c>
      <c r="C1035" s="20">
        <f>IFERROR(IF(A1035="","",SUMIF(SAVINGS!$A$3:A1034,A1035,SAVINGS!$E$3:E1034)-SUMIF(WITHDRAWALS!$A:$A,A1035,WITHDRAWALS!$E:$E)),"")</f>
        <v/>
      </c>
      <c r="D1035" s="28">
        <f>IF(A1035="","",TODAY())</f>
        <v/>
      </c>
      <c r="E1035" s="29" t="n"/>
      <c r="F1035" s="20">
        <f>IFERROR(IF(OR(A1035="",E1035=""),"",C1035+E1035),"")</f>
        <v/>
      </c>
      <c r="G1035" s="30" t="n"/>
      <c r="H1035" s="27" t="n"/>
    </row>
    <row r="1036" ht="20" customHeight="1">
      <c r="A1036" s="26" t="n"/>
      <c r="B1036" s="31">
        <f>IFERROR(IF(A1036="","",VLOOKUP(A1036,DATABASE!$A:$B,2,0)),"")</f>
        <v/>
      </c>
      <c r="C1036" s="32">
        <f>IFERROR(IF(A1036="","",SUMIF(SAVINGS!$A$3:A1035,A1036,SAVINGS!$E$3:E1035)-SUMIF(WITHDRAWALS!$A:$A,A1036,WITHDRAWALS!$E:$E)),"")</f>
        <v/>
      </c>
      <c r="D1036" s="33">
        <f>IF(A1036="","",TODAY())</f>
        <v/>
      </c>
      <c r="E1036" s="29" t="n"/>
      <c r="F1036" s="32">
        <f>IFERROR(IF(OR(A1036="",E1036=""),"",C1036+E1036),"")</f>
        <v/>
      </c>
      <c r="G1036" s="30" t="n"/>
      <c r="H1036" s="31" t="n"/>
    </row>
    <row r="1037" ht="20" customHeight="1">
      <c r="A1037" s="26" t="n"/>
      <c r="B1037" s="27">
        <f>IFERROR(IF(A1037="","",VLOOKUP(A1037,DATABASE!$A:$B,2,0)),"")</f>
        <v/>
      </c>
      <c r="C1037" s="20">
        <f>IFERROR(IF(A1037="","",SUMIF(SAVINGS!$A$3:A1036,A1037,SAVINGS!$E$3:E1036)-SUMIF(WITHDRAWALS!$A:$A,A1037,WITHDRAWALS!$E:$E)),"")</f>
        <v/>
      </c>
      <c r="D1037" s="28">
        <f>IF(A1037="","",TODAY())</f>
        <v/>
      </c>
      <c r="E1037" s="29" t="n"/>
      <c r="F1037" s="20">
        <f>IFERROR(IF(OR(A1037="",E1037=""),"",C1037+E1037),"")</f>
        <v/>
      </c>
      <c r="G1037" s="30" t="n"/>
      <c r="H1037" s="27" t="n"/>
    </row>
    <row r="1038" ht="20" customHeight="1">
      <c r="A1038" s="26" t="n"/>
      <c r="B1038" s="31">
        <f>IFERROR(IF(A1038="","",VLOOKUP(A1038,DATABASE!$A:$B,2,0)),"")</f>
        <v/>
      </c>
      <c r="C1038" s="32">
        <f>IFERROR(IF(A1038="","",SUMIF(SAVINGS!$A$3:A1037,A1038,SAVINGS!$E$3:E1037)-SUMIF(WITHDRAWALS!$A:$A,A1038,WITHDRAWALS!$E:$E)),"")</f>
        <v/>
      </c>
      <c r="D1038" s="33">
        <f>IF(A1038="","",TODAY())</f>
        <v/>
      </c>
      <c r="E1038" s="29" t="n"/>
      <c r="F1038" s="32">
        <f>IFERROR(IF(OR(A1038="",E1038=""),"",C1038+E1038),"")</f>
        <v/>
      </c>
      <c r="G1038" s="30" t="n"/>
      <c r="H1038" s="31" t="n"/>
    </row>
    <row r="1039" ht="20" customHeight="1">
      <c r="A1039" s="26" t="n"/>
      <c r="B1039" s="27">
        <f>IFERROR(IF(A1039="","",VLOOKUP(A1039,DATABASE!$A:$B,2,0)),"")</f>
        <v/>
      </c>
      <c r="C1039" s="20">
        <f>IFERROR(IF(A1039="","",SUMIF(SAVINGS!$A$3:A1038,A1039,SAVINGS!$E$3:E1038)-SUMIF(WITHDRAWALS!$A:$A,A1039,WITHDRAWALS!$E:$E)),"")</f>
        <v/>
      </c>
      <c r="D1039" s="28">
        <f>IF(A1039="","",TODAY())</f>
        <v/>
      </c>
      <c r="E1039" s="29" t="n"/>
      <c r="F1039" s="20">
        <f>IFERROR(IF(OR(A1039="",E1039=""),"",C1039+E1039),"")</f>
        <v/>
      </c>
      <c r="G1039" s="30" t="n"/>
      <c r="H1039" s="27" t="n"/>
    </row>
    <row r="1040" ht="20" customHeight="1">
      <c r="A1040" s="26" t="n"/>
      <c r="B1040" s="31">
        <f>IFERROR(IF(A1040="","",VLOOKUP(A1040,DATABASE!$A:$B,2,0)),"")</f>
        <v/>
      </c>
      <c r="C1040" s="32">
        <f>IFERROR(IF(A1040="","",SUMIF(SAVINGS!$A$3:A1039,A1040,SAVINGS!$E$3:E1039)-SUMIF(WITHDRAWALS!$A:$A,A1040,WITHDRAWALS!$E:$E)),"")</f>
        <v/>
      </c>
      <c r="D1040" s="33">
        <f>IF(A1040="","",TODAY())</f>
        <v/>
      </c>
      <c r="E1040" s="29" t="n"/>
      <c r="F1040" s="32">
        <f>IFERROR(IF(OR(A1040="",E1040=""),"",C1040+E1040),"")</f>
        <v/>
      </c>
      <c r="G1040" s="30" t="n"/>
      <c r="H1040" s="31" t="n"/>
    </row>
    <row r="1041" ht="20" customHeight="1">
      <c r="A1041" s="26" t="n"/>
      <c r="B1041" s="27">
        <f>IFERROR(IF(A1041="","",VLOOKUP(A1041,DATABASE!$A:$B,2,0)),"")</f>
        <v/>
      </c>
      <c r="C1041" s="20">
        <f>IFERROR(IF(A1041="","",SUMIF(SAVINGS!$A$3:A1040,A1041,SAVINGS!$E$3:E1040)-SUMIF(WITHDRAWALS!$A:$A,A1041,WITHDRAWALS!$E:$E)),"")</f>
        <v/>
      </c>
      <c r="D1041" s="28">
        <f>IF(A1041="","",TODAY())</f>
        <v/>
      </c>
      <c r="E1041" s="29" t="n"/>
      <c r="F1041" s="20">
        <f>IFERROR(IF(OR(A1041="",E1041=""),"",C1041+E1041),"")</f>
        <v/>
      </c>
      <c r="G1041" s="30" t="n"/>
      <c r="H1041" s="27" t="n"/>
    </row>
    <row r="1042" ht="20" customHeight="1">
      <c r="A1042" s="26" t="n"/>
      <c r="B1042" s="31">
        <f>IFERROR(IF(A1042="","",VLOOKUP(A1042,DATABASE!$A:$B,2,0)),"")</f>
        <v/>
      </c>
      <c r="C1042" s="32">
        <f>IFERROR(IF(A1042="","",SUMIF(SAVINGS!$A$3:A1041,A1042,SAVINGS!$E$3:E1041)-SUMIF(WITHDRAWALS!$A:$A,A1042,WITHDRAWALS!$E:$E)),"")</f>
        <v/>
      </c>
      <c r="D1042" s="33">
        <f>IF(A1042="","",TODAY())</f>
        <v/>
      </c>
      <c r="E1042" s="29" t="n"/>
      <c r="F1042" s="32">
        <f>IFERROR(IF(OR(A1042="",E1042=""),"",C1042+E1042),"")</f>
        <v/>
      </c>
      <c r="G1042" s="30" t="n"/>
      <c r="H1042" s="31" t="n"/>
    </row>
    <row r="1043" ht="20" customHeight="1">
      <c r="A1043" s="26" t="n"/>
      <c r="B1043" s="27">
        <f>IFERROR(IF(A1043="","",VLOOKUP(A1043,DATABASE!$A:$B,2,0)),"")</f>
        <v/>
      </c>
      <c r="C1043" s="20">
        <f>IFERROR(IF(A1043="","",SUMIF(SAVINGS!$A$3:A1042,A1043,SAVINGS!$E$3:E1042)-SUMIF(WITHDRAWALS!$A:$A,A1043,WITHDRAWALS!$E:$E)),"")</f>
        <v/>
      </c>
      <c r="D1043" s="28">
        <f>IF(A1043="","",TODAY())</f>
        <v/>
      </c>
      <c r="E1043" s="29" t="n"/>
      <c r="F1043" s="20">
        <f>IFERROR(IF(OR(A1043="",E1043=""),"",C1043+E1043),"")</f>
        <v/>
      </c>
      <c r="G1043" s="30" t="n"/>
      <c r="H1043" s="27" t="n"/>
    </row>
    <row r="1044" ht="20" customHeight="1">
      <c r="A1044" s="26" t="n"/>
      <c r="B1044" s="31">
        <f>IFERROR(IF(A1044="","",VLOOKUP(A1044,DATABASE!$A:$B,2,0)),"")</f>
        <v/>
      </c>
      <c r="C1044" s="32">
        <f>IFERROR(IF(A1044="","",SUMIF(SAVINGS!$A$3:A1043,A1044,SAVINGS!$E$3:E1043)-SUMIF(WITHDRAWALS!$A:$A,A1044,WITHDRAWALS!$E:$E)),"")</f>
        <v/>
      </c>
      <c r="D1044" s="33">
        <f>IF(A1044="","",TODAY())</f>
        <v/>
      </c>
      <c r="E1044" s="29" t="n"/>
      <c r="F1044" s="32">
        <f>IFERROR(IF(OR(A1044="",E1044=""),"",C1044+E1044),"")</f>
        <v/>
      </c>
      <c r="G1044" s="30" t="n"/>
      <c r="H1044" s="31" t="n"/>
    </row>
    <row r="1045" ht="20" customHeight="1">
      <c r="A1045" s="26" t="n"/>
      <c r="B1045" s="27">
        <f>IFERROR(IF(A1045="","",VLOOKUP(A1045,DATABASE!$A:$B,2,0)),"")</f>
        <v/>
      </c>
      <c r="C1045" s="20">
        <f>IFERROR(IF(A1045="","",SUMIF(SAVINGS!$A$3:A1044,A1045,SAVINGS!$E$3:E1044)-SUMIF(WITHDRAWALS!$A:$A,A1045,WITHDRAWALS!$E:$E)),"")</f>
        <v/>
      </c>
      <c r="D1045" s="28">
        <f>IF(A1045="","",TODAY())</f>
        <v/>
      </c>
      <c r="E1045" s="29" t="n"/>
      <c r="F1045" s="20">
        <f>IFERROR(IF(OR(A1045="",E1045=""),"",C1045+E1045),"")</f>
        <v/>
      </c>
      <c r="G1045" s="30" t="n"/>
      <c r="H1045" s="27" t="n"/>
    </row>
    <row r="1046" ht="20" customHeight="1">
      <c r="A1046" s="26" t="n"/>
      <c r="B1046" s="31">
        <f>IFERROR(IF(A1046="","",VLOOKUP(A1046,DATABASE!$A:$B,2,0)),"")</f>
        <v/>
      </c>
      <c r="C1046" s="32">
        <f>IFERROR(IF(A1046="","",SUMIF(SAVINGS!$A$3:A1045,A1046,SAVINGS!$E$3:E1045)-SUMIF(WITHDRAWALS!$A:$A,A1046,WITHDRAWALS!$E:$E)),"")</f>
        <v/>
      </c>
      <c r="D1046" s="33">
        <f>IF(A1046="","",TODAY())</f>
        <v/>
      </c>
      <c r="E1046" s="29" t="n"/>
      <c r="F1046" s="32">
        <f>IFERROR(IF(OR(A1046="",E1046=""),"",C1046+E1046),"")</f>
        <v/>
      </c>
      <c r="G1046" s="30" t="n"/>
      <c r="H1046" s="31" t="n"/>
    </row>
    <row r="1047" ht="20" customHeight="1">
      <c r="A1047" s="26" t="n"/>
      <c r="B1047" s="27">
        <f>IFERROR(IF(A1047="","",VLOOKUP(A1047,DATABASE!$A:$B,2,0)),"")</f>
        <v/>
      </c>
      <c r="C1047" s="20">
        <f>IFERROR(IF(A1047="","",SUMIF(SAVINGS!$A$3:A1046,A1047,SAVINGS!$E$3:E1046)-SUMIF(WITHDRAWALS!$A:$A,A1047,WITHDRAWALS!$E:$E)),"")</f>
        <v/>
      </c>
      <c r="D1047" s="28">
        <f>IF(A1047="","",TODAY())</f>
        <v/>
      </c>
      <c r="E1047" s="29" t="n"/>
      <c r="F1047" s="20">
        <f>IFERROR(IF(OR(A1047="",E1047=""),"",C1047+E1047),"")</f>
        <v/>
      </c>
      <c r="G1047" s="30" t="n"/>
      <c r="H1047" s="27" t="n"/>
    </row>
    <row r="1048" ht="20" customHeight="1">
      <c r="A1048" s="26" t="n"/>
      <c r="B1048" s="31">
        <f>IFERROR(IF(A1048="","",VLOOKUP(A1048,DATABASE!$A:$B,2,0)),"")</f>
        <v/>
      </c>
      <c r="C1048" s="32">
        <f>IFERROR(IF(A1048="","",SUMIF(SAVINGS!$A$3:A1047,A1048,SAVINGS!$E$3:E1047)-SUMIF(WITHDRAWALS!$A:$A,A1048,WITHDRAWALS!$E:$E)),"")</f>
        <v/>
      </c>
      <c r="D1048" s="33">
        <f>IF(A1048="","",TODAY())</f>
        <v/>
      </c>
      <c r="E1048" s="29" t="n"/>
      <c r="F1048" s="32">
        <f>IFERROR(IF(OR(A1048="",E1048=""),"",C1048+E1048),"")</f>
        <v/>
      </c>
      <c r="G1048" s="30" t="n"/>
      <c r="H1048" s="31" t="n"/>
    </row>
    <row r="1049" ht="20" customHeight="1">
      <c r="A1049" s="26" t="n"/>
      <c r="B1049" s="27">
        <f>IFERROR(IF(A1049="","",VLOOKUP(A1049,DATABASE!$A:$B,2,0)),"")</f>
        <v/>
      </c>
      <c r="C1049" s="20">
        <f>IFERROR(IF(A1049="","",SUMIF(SAVINGS!$A$3:A1048,A1049,SAVINGS!$E$3:E1048)-SUMIF(WITHDRAWALS!$A:$A,A1049,WITHDRAWALS!$E:$E)),"")</f>
        <v/>
      </c>
      <c r="D1049" s="28">
        <f>IF(A1049="","",TODAY())</f>
        <v/>
      </c>
      <c r="E1049" s="29" t="n"/>
      <c r="F1049" s="20">
        <f>IFERROR(IF(OR(A1049="",E1049=""),"",C1049+E1049),"")</f>
        <v/>
      </c>
      <c r="G1049" s="30" t="n"/>
      <c r="H1049" s="27" t="n"/>
    </row>
    <row r="1050" ht="20" customHeight="1">
      <c r="A1050" s="26" t="n"/>
      <c r="B1050" s="31">
        <f>IFERROR(IF(A1050="","",VLOOKUP(A1050,DATABASE!$A:$B,2,0)),"")</f>
        <v/>
      </c>
      <c r="C1050" s="32">
        <f>IFERROR(IF(A1050="","",SUMIF(SAVINGS!$A$3:A1049,A1050,SAVINGS!$E$3:E1049)-SUMIF(WITHDRAWALS!$A:$A,A1050,WITHDRAWALS!$E:$E)),"")</f>
        <v/>
      </c>
      <c r="D1050" s="33">
        <f>IF(A1050="","",TODAY())</f>
        <v/>
      </c>
      <c r="E1050" s="29" t="n"/>
      <c r="F1050" s="32">
        <f>IFERROR(IF(OR(A1050="",E1050=""),"",C1050+E1050),"")</f>
        <v/>
      </c>
      <c r="G1050" s="30" t="n"/>
      <c r="H1050" s="31" t="n"/>
    </row>
    <row r="1051" ht="20" customHeight="1">
      <c r="A1051" s="26" t="n"/>
      <c r="B1051" s="27">
        <f>IFERROR(IF(A1051="","",VLOOKUP(A1051,DATABASE!$A:$B,2,0)),"")</f>
        <v/>
      </c>
      <c r="C1051" s="20">
        <f>IFERROR(IF(A1051="","",SUMIF(SAVINGS!$A$3:A1050,A1051,SAVINGS!$E$3:E1050)-SUMIF(WITHDRAWALS!$A:$A,A1051,WITHDRAWALS!$E:$E)),"")</f>
        <v/>
      </c>
      <c r="D1051" s="28">
        <f>IF(A1051="","",TODAY())</f>
        <v/>
      </c>
      <c r="E1051" s="29" t="n"/>
      <c r="F1051" s="20">
        <f>IFERROR(IF(OR(A1051="",E1051=""),"",C1051+E1051),"")</f>
        <v/>
      </c>
      <c r="G1051" s="30" t="n"/>
      <c r="H1051" s="27" t="n"/>
    </row>
    <row r="1052" ht="20" customHeight="1">
      <c r="A1052" s="26" t="n"/>
      <c r="B1052" s="31">
        <f>IFERROR(IF(A1052="","",VLOOKUP(A1052,DATABASE!$A:$B,2,0)),"")</f>
        <v/>
      </c>
      <c r="C1052" s="32">
        <f>IFERROR(IF(A1052="","",SUMIF(SAVINGS!$A$3:A1051,A1052,SAVINGS!$E$3:E1051)-SUMIF(WITHDRAWALS!$A:$A,A1052,WITHDRAWALS!$E:$E)),"")</f>
        <v/>
      </c>
      <c r="D1052" s="33">
        <f>IF(A1052="","",TODAY())</f>
        <v/>
      </c>
      <c r="E1052" s="29" t="n"/>
      <c r="F1052" s="32">
        <f>IFERROR(IF(OR(A1052="",E1052=""),"",C1052+E1052),"")</f>
        <v/>
      </c>
      <c r="G1052" s="30" t="n"/>
      <c r="H1052" s="31" t="n"/>
    </row>
    <row r="1053" ht="20" customHeight="1">
      <c r="A1053" s="26" t="n"/>
      <c r="B1053" s="27">
        <f>IFERROR(IF(A1053="","",VLOOKUP(A1053,DATABASE!$A:$B,2,0)),"")</f>
        <v/>
      </c>
      <c r="C1053" s="20">
        <f>IFERROR(IF(A1053="","",SUMIF(SAVINGS!$A$3:A1052,A1053,SAVINGS!$E$3:E1052)-SUMIF(WITHDRAWALS!$A:$A,A1053,WITHDRAWALS!$E:$E)),"")</f>
        <v/>
      </c>
      <c r="D1053" s="28">
        <f>IF(A1053="","",TODAY())</f>
        <v/>
      </c>
      <c r="E1053" s="29" t="n"/>
      <c r="F1053" s="20">
        <f>IFERROR(IF(OR(A1053="",E1053=""),"",C1053+E1053),"")</f>
        <v/>
      </c>
      <c r="G1053" s="30" t="n"/>
      <c r="H1053" s="27" t="n"/>
    </row>
    <row r="1054" ht="20" customHeight="1">
      <c r="A1054" s="26" t="n"/>
      <c r="B1054" s="31">
        <f>IFERROR(IF(A1054="","",VLOOKUP(A1054,DATABASE!$A:$B,2,0)),"")</f>
        <v/>
      </c>
      <c r="C1054" s="32">
        <f>IFERROR(IF(A1054="","",SUMIF(SAVINGS!$A$3:A1053,A1054,SAVINGS!$E$3:E1053)-SUMIF(WITHDRAWALS!$A:$A,A1054,WITHDRAWALS!$E:$E)),"")</f>
        <v/>
      </c>
      <c r="D1054" s="33">
        <f>IF(A1054="","",TODAY())</f>
        <v/>
      </c>
      <c r="E1054" s="29" t="n"/>
      <c r="F1054" s="32">
        <f>IFERROR(IF(OR(A1054="",E1054=""),"",C1054+E1054),"")</f>
        <v/>
      </c>
      <c r="G1054" s="30" t="n"/>
      <c r="H1054" s="31" t="n"/>
    </row>
    <row r="1055" ht="20" customHeight="1">
      <c r="A1055" s="26" t="n"/>
      <c r="B1055" s="27">
        <f>IFERROR(IF(A1055="","",VLOOKUP(A1055,DATABASE!$A:$B,2,0)),"")</f>
        <v/>
      </c>
      <c r="C1055" s="20">
        <f>IFERROR(IF(A1055="","",SUMIF(SAVINGS!$A$3:A1054,A1055,SAVINGS!$E$3:E1054)-SUMIF(WITHDRAWALS!$A:$A,A1055,WITHDRAWALS!$E:$E)),"")</f>
        <v/>
      </c>
      <c r="D1055" s="28">
        <f>IF(A1055="","",TODAY())</f>
        <v/>
      </c>
      <c r="E1055" s="29" t="n"/>
      <c r="F1055" s="20">
        <f>IFERROR(IF(OR(A1055="",E1055=""),"",C1055+E1055),"")</f>
        <v/>
      </c>
      <c r="G1055" s="30" t="n"/>
      <c r="H1055" s="27" t="n"/>
    </row>
    <row r="1056" ht="20" customHeight="1">
      <c r="A1056" s="26" t="n"/>
      <c r="B1056" s="31">
        <f>IFERROR(IF(A1056="","",VLOOKUP(A1056,DATABASE!$A:$B,2,0)),"")</f>
        <v/>
      </c>
      <c r="C1056" s="32">
        <f>IFERROR(IF(A1056="","",SUMIF(SAVINGS!$A$3:A1055,A1056,SAVINGS!$E$3:E1055)-SUMIF(WITHDRAWALS!$A:$A,A1056,WITHDRAWALS!$E:$E)),"")</f>
        <v/>
      </c>
      <c r="D1056" s="33">
        <f>IF(A1056="","",TODAY())</f>
        <v/>
      </c>
      <c r="E1056" s="29" t="n"/>
      <c r="F1056" s="32">
        <f>IFERROR(IF(OR(A1056="",E1056=""),"",C1056+E1056),"")</f>
        <v/>
      </c>
      <c r="G1056" s="30" t="n"/>
      <c r="H1056" s="31" t="n"/>
    </row>
    <row r="1057" ht="20" customHeight="1">
      <c r="A1057" s="26" t="n"/>
      <c r="B1057" s="27">
        <f>IFERROR(IF(A1057="","",VLOOKUP(A1057,DATABASE!$A:$B,2,0)),"")</f>
        <v/>
      </c>
      <c r="C1057" s="20">
        <f>IFERROR(IF(A1057="","",SUMIF(SAVINGS!$A$3:A1056,A1057,SAVINGS!$E$3:E1056)-SUMIF(WITHDRAWALS!$A:$A,A1057,WITHDRAWALS!$E:$E)),"")</f>
        <v/>
      </c>
      <c r="D1057" s="28">
        <f>IF(A1057="","",TODAY())</f>
        <v/>
      </c>
      <c r="E1057" s="29" t="n"/>
      <c r="F1057" s="20">
        <f>IFERROR(IF(OR(A1057="",E1057=""),"",C1057+E1057),"")</f>
        <v/>
      </c>
      <c r="G1057" s="30" t="n"/>
      <c r="H1057" s="27" t="n"/>
    </row>
    <row r="1058" ht="20" customHeight="1">
      <c r="A1058" s="26" t="n"/>
      <c r="B1058" s="31">
        <f>IFERROR(IF(A1058="","",VLOOKUP(A1058,DATABASE!$A:$B,2,0)),"")</f>
        <v/>
      </c>
      <c r="C1058" s="32">
        <f>IFERROR(IF(A1058="","",SUMIF(SAVINGS!$A$3:A1057,A1058,SAVINGS!$E$3:E1057)-SUMIF(WITHDRAWALS!$A:$A,A1058,WITHDRAWALS!$E:$E)),"")</f>
        <v/>
      </c>
      <c r="D1058" s="33">
        <f>IF(A1058="","",TODAY())</f>
        <v/>
      </c>
      <c r="E1058" s="29" t="n"/>
      <c r="F1058" s="32">
        <f>IFERROR(IF(OR(A1058="",E1058=""),"",C1058+E1058),"")</f>
        <v/>
      </c>
      <c r="G1058" s="30" t="n"/>
      <c r="H1058" s="31" t="n"/>
    </row>
    <row r="1059" ht="20" customHeight="1">
      <c r="A1059" s="26" t="n"/>
      <c r="B1059" s="27">
        <f>IFERROR(IF(A1059="","",VLOOKUP(A1059,DATABASE!$A:$B,2,0)),"")</f>
        <v/>
      </c>
      <c r="C1059" s="20">
        <f>IFERROR(IF(A1059="","",SUMIF(SAVINGS!$A$3:A1058,A1059,SAVINGS!$E$3:E1058)-SUMIF(WITHDRAWALS!$A:$A,A1059,WITHDRAWALS!$E:$E)),"")</f>
        <v/>
      </c>
      <c r="D1059" s="28">
        <f>IF(A1059="","",TODAY())</f>
        <v/>
      </c>
      <c r="E1059" s="29" t="n"/>
      <c r="F1059" s="20">
        <f>IFERROR(IF(OR(A1059="",E1059=""),"",C1059+E1059),"")</f>
        <v/>
      </c>
      <c r="G1059" s="30" t="n"/>
      <c r="H1059" s="27" t="n"/>
    </row>
    <row r="1060" ht="20" customHeight="1">
      <c r="A1060" s="26" t="n"/>
      <c r="B1060" s="31">
        <f>IFERROR(IF(A1060="","",VLOOKUP(A1060,DATABASE!$A:$B,2,0)),"")</f>
        <v/>
      </c>
      <c r="C1060" s="32">
        <f>IFERROR(IF(A1060="","",SUMIF(SAVINGS!$A$3:A1059,A1060,SAVINGS!$E$3:E1059)-SUMIF(WITHDRAWALS!$A:$A,A1060,WITHDRAWALS!$E:$E)),"")</f>
        <v/>
      </c>
      <c r="D1060" s="33">
        <f>IF(A1060="","",TODAY())</f>
        <v/>
      </c>
      <c r="E1060" s="29" t="n"/>
      <c r="F1060" s="32">
        <f>IFERROR(IF(OR(A1060="",E1060=""),"",C1060+E1060),"")</f>
        <v/>
      </c>
      <c r="G1060" s="30" t="n"/>
      <c r="H1060" s="31" t="n"/>
    </row>
    <row r="1061" ht="20" customHeight="1">
      <c r="A1061" s="26" t="n"/>
      <c r="B1061" s="27">
        <f>IFERROR(IF(A1061="","",VLOOKUP(A1061,DATABASE!$A:$B,2,0)),"")</f>
        <v/>
      </c>
      <c r="C1061" s="20">
        <f>IFERROR(IF(A1061="","",SUMIF(SAVINGS!$A$3:A1060,A1061,SAVINGS!$E$3:E1060)-SUMIF(WITHDRAWALS!$A:$A,A1061,WITHDRAWALS!$E:$E)),"")</f>
        <v/>
      </c>
      <c r="D1061" s="28">
        <f>IF(A1061="","",TODAY())</f>
        <v/>
      </c>
      <c r="E1061" s="29" t="n"/>
      <c r="F1061" s="20">
        <f>IFERROR(IF(OR(A1061="",E1061=""),"",C1061+E1061),"")</f>
        <v/>
      </c>
      <c r="G1061" s="30" t="n"/>
      <c r="H1061" s="27" t="n"/>
    </row>
    <row r="1062" ht="20" customHeight="1">
      <c r="A1062" s="26" t="n"/>
      <c r="B1062" s="31">
        <f>IFERROR(IF(A1062="","",VLOOKUP(A1062,DATABASE!$A:$B,2,0)),"")</f>
        <v/>
      </c>
      <c r="C1062" s="32">
        <f>IFERROR(IF(A1062="","",SUMIF(SAVINGS!$A$3:A1061,A1062,SAVINGS!$E$3:E1061)-SUMIF(WITHDRAWALS!$A:$A,A1062,WITHDRAWALS!$E:$E)),"")</f>
        <v/>
      </c>
      <c r="D1062" s="33">
        <f>IF(A1062="","",TODAY())</f>
        <v/>
      </c>
      <c r="E1062" s="29" t="n"/>
      <c r="F1062" s="32">
        <f>IFERROR(IF(OR(A1062="",E1062=""),"",C1062+E1062),"")</f>
        <v/>
      </c>
      <c r="G1062" s="30" t="n"/>
      <c r="H1062" s="31" t="n"/>
    </row>
    <row r="1063" ht="20" customHeight="1">
      <c r="A1063" s="26" t="n"/>
      <c r="B1063" s="27">
        <f>IFERROR(IF(A1063="","",VLOOKUP(A1063,DATABASE!$A:$B,2,0)),"")</f>
        <v/>
      </c>
      <c r="C1063" s="20">
        <f>IFERROR(IF(A1063="","",SUMIF(SAVINGS!$A$3:A1062,A1063,SAVINGS!$E$3:E1062)-SUMIF(WITHDRAWALS!$A:$A,A1063,WITHDRAWALS!$E:$E)),"")</f>
        <v/>
      </c>
      <c r="D1063" s="28">
        <f>IF(A1063="","",TODAY())</f>
        <v/>
      </c>
      <c r="E1063" s="29" t="n"/>
      <c r="F1063" s="20">
        <f>IFERROR(IF(OR(A1063="",E1063=""),"",C1063+E1063),"")</f>
        <v/>
      </c>
      <c r="G1063" s="30" t="n"/>
      <c r="H1063" s="27" t="n"/>
    </row>
    <row r="1064" ht="20" customHeight="1">
      <c r="A1064" s="26" t="n"/>
      <c r="B1064" s="31">
        <f>IFERROR(IF(A1064="","",VLOOKUP(A1064,DATABASE!$A:$B,2,0)),"")</f>
        <v/>
      </c>
      <c r="C1064" s="32">
        <f>IFERROR(IF(A1064="","",SUMIF(SAVINGS!$A$3:A1063,A1064,SAVINGS!$E$3:E1063)-SUMIF(WITHDRAWALS!$A:$A,A1064,WITHDRAWALS!$E:$E)),"")</f>
        <v/>
      </c>
      <c r="D1064" s="33">
        <f>IF(A1064="","",TODAY())</f>
        <v/>
      </c>
      <c r="E1064" s="29" t="n"/>
      <c r="F1064" s="32">
        <f>IFERROR(IF(OR(A1064="",E1064=""),"",C1064+E1064),"")</f>
        <v/>
      </c>
      <c r="G1064" s="30" t="n"/>
      <c r="H1064" s="31" t="n"/>
    </row>
    <row r="1065" ht="20" customHeight="1">
      <c r="A1065" s="26" t="n"/>
      <c r="B1065" s="27">
        <f>IFERROR(IF(A1065="","",VLOOKUP(A1065,DATABASE!$A:$B,2,0)),"")</f>
        <v/>
      </c>
      <c r="C1065" s="20">
        <f>IFERROR(IF(A1065="","",SUMIF(SAVINGS!$A$3:A1064,A1065,SAVINGS!$E$3:E1064)-SUMIF(WITHDRAWALS!$A:$A,A1065,WITHDRAWALS!$E:$E)),"")</f>
        <v/>
      </c>
      <c r="D1065" s="28">
        <f>IF(A1065="","",TODAY())</f>
        <v/>
      </c>
      <c r="E1065" s="29" t="n"/>
      <c r="F1065" s="20">
        <f>IFERROR(IF(OR(A1065="",E1065=""),"",C1065+E1065),"")</f>
        <v/>
      </c>
      <c r="G1065" s="30" t="n"/>
      <c r="H1065" s="27" t="n"/>
    </row>
    <row r="1066" ht="20" customHeight="1">
      <c r="A1066" s="26" t="n"/>
      <c r="B1066" s="31">
        <f>IFERROR(IF(A1066="","",VLOOKUP(A1066,DATABASE!$A:$B,2,0)),"")</f>
        <v/>
      </c>
      <c r="C1066" s="32">
        <f>IFERROR(IF(A1066="","",SUMIF(SAVINGS!$A$3:A1065,A1066,SAVINGS!$E$3:E1065)-SUMIF(WITHDRAWALS!$A:$A,A1066,WITHDRAWALS!$E:$E)),"")</f>
        <v/>
      </c>
      <c r="D1066" s="33">
        <f>IF(A1066="","",TODAY())</f>
        <v/>
      </c>
      <c r="E1066" s="29" t="n"/>
      <c r="F1066" s="32">
        <f>IFERROR(IF(OR(A1066="",E1066=""),"",C1066+E1066),"")</f>
        <v/>
      </c>
      <c r="G1066" s="30" t="n"/>
      <c r="H1066" s="31" t="n"/>
    </row>
    <row r="1067" ht="20" customHeight="1">
      <c r="A1067" s="26" t="n"/>
      <c r="B1067" s="27">
        <f>IFERROR(IF(A1067="","",VLOOKUP(A1067,DATABASE!$A:$B,2,0)),"")</f>
        <v/>
      </c>
      <c r="C1067" s="20">
        <f>IFERROR(IF(A1067="","",SUMIF(SAVINGS!$A$3:A1066,A1067,SAVINGS!$E$3:E1066)-SUMIF(WITHDRAWALS!$A:$A,A1067,WITHDRAWALS!$E:$E)),"")</f>
        <v/>
      </c>
      <c r="D1067" s="28">
        <f>IF(A1067="","",TODAY())</f>
        <v/>
      </c>
      <c r="E1067" s="29" t="n"/>
      <c r="F1067" s="20">
        <f>IFERROR(IF(OR(A1067="",E1067=""),"",C1067+E1067),"")</f>
        <v/>
      </c>
      <c r="G1067" s="30" t="n"/>
      <c r="H1067" s="27" t="n"/>
    </row>
    <row r="1068" ht="20" customHeight="1">
      <c r="A1068" s="26" t="n"/>
      <c r="B1068" s="31">
        <f>IFERROR(IF(A1068="","",VLOOKUP(A1068,DATABASE!$A:$B,2,0)),"")</f>
        <v/>
      </c>
      <c r="C1068" s="32">
        <f>IFERROR(IF(A1068="","",SUMIF(SAVINGS!$A$3:A1067,A1068,SAVINGS!$E$3:E1067)-SUMIF(WITHDRAWALS!$A:$A,A1068,WITHDRAWALS!$E:$E)),"")</f>
        <v/>
      </c>
      <c r="D1068" s="33">
        <f>IF(A1068="","",TODAY())</f>
        <v/>
      </c>
      <c r="E1068" s="29" t="n"/>
      <c r="F1068" s="32">
        <f>IFERROR(IF(OR(A1068="",E1068=""),"",C1068+E1068),"")</f>
        <v/>
      </c>
      <c r="G1068" s="30" t="n"/>
      <c r="H1068" s="31" t="n"/>
    </row>
    <row r="1069" ht="20" customHeight="1">
      <c r="A1069" s="26" t="n"/>
      <c r="B1069" s="27">
        <f>IFERROR(IF(A1069="","",VLOOKUP(A1069,DATABASE!$A:$B,2,0)),"")</f>
        <v/>
      </c>
      <c r="C1069" s="20">
        <f>IFERROR(IF(A1069="","",SUMIF(SAVINGS!$A$3:A1068,A1069,SAVINGS!$E$3:E1068)-SUMIF(WITHDRAWALS!$A:$A,A1069,WITHDRAWALS!$E:$E)),"")</f>
        <v/>
      </c>
      <c r="D1069" s="28">
        <f>IF(A1069="","",TODAY())</f>
        <v/>
      </c>
      <c r="E1069" s="29" t="n"/>
      <c r="F1069" s="20">
        <f>IFERROR(IF(OR(A1069="",E1069=""),"",C1069+E1069),"")</f>
        <v/>
      </c>
      <c r="G1069" s="30" t="n"/>
      <c r="H1069" s="27" t="n"/>
    </row>
    <row r="1070" ht="20" customHeight="1">
      <c r="A1070" s="26" t="n"/>
      <c r="B1070" s="31">
        <f>IFERROR(IF(A1070="","",VLOOKUP(A1070,DATABASE!$A:$B,2,0)),"")</f>
        <v/>
      </c>
      <c r="C1070" s="32">
        <f>IFERROR(IF(A1070="","",SUMIF(SAVINGS!$A$3:A1069,A1070,SAVINGS!$E$3:E1069)-SUMIF(WITHDRAWALS!$A:$A,A1070,WITHDRAWALS!$E:$E)),"")</f>
        <v/>
      </c>
      <c r="D1070" s="33">
        <f>IF(A1070="","",TODAY())</f>
        <v/>
      </c>
      <c r="E1070" s="29" t="n"/>
      <c r="F1070" s="32">
        <f>IFERROR(IF(OR(A1070="",E1070=""),"",C1070+E1070),"")</f>
        <v/>
      </c>
      <c r="G1070" s="30" t="n"/>
      <c r="H1070" s="31" t="n"/>
    </row>
    <row r="1071" ht="20" customHeight="1">
      <c r="A1071" s="26" t="n"/>
      <c r="B1071" s="27">
        <f>IFERROR(IF(A1071="","",VLOOKUP(A1071,DATABASE!$A:$B,2,0)),"")</f>
        <v/>
      </c>
      <c r="C1071" s="20">
        <f>IFERROR(IF(A1071="","",SUMIF(SAVINGS!$A$3:A1070,A1071,SAVINGS!$E$3:E1070)-SUMIF(WITHDRAWALS!$A:$A,A1071,WITHDRAWALS!$E:$E)),"")</f>
        <v/>
      </c>
      <c r="D1071" s="28">
        <f>IF(A1071="","",TODAY())</f>
        <v/>
      </c>
      <c r="E1071" s="29" t="n"/>
      <c r="F1071" s="20">
        <f>IFERROR(IF(OR(A1071="",E1071=""),"",C1071+E1071),"")</f>
        <v/>
      </c>
      <c r="G1071" s="30" t="n"/>
      <c r="H1071" s="27" t="n"/>
    </row>
    <row r="1072" ht="20" customHeight="1">
      <c r="A1072" s="26" t="n"/>
      <c r="B1072" s="31">
        <f>IFERROR(IF(A1072="","",VLOOKUP(A1072,DATABASE!$A:$B,2,0)),"")</f>
        <v/>
      </c>
      <c r="C1072" s="32">
        <f>IFERROR(IF(A1072="","",SUMIF(SAVINGS!$A$3:A1071,A1072,SAVINGS!$E$3:E1071)-SUMIF(WITHDRAWALS!$A:$A,A1072,WITHDRAWALS!$E:$E)),"")</f>
        <v/>
      </c>
      <c r="D1072" s="33">
        <f>IF(A1072="","",TODAY())</f>
        <v/>
      </c>
      <c r="E1072" s="29" t="n"/>
      <c r="F1072" s="32">
        <f>IFERROR(IF(OR(A1072="",E1072=""),"",C1072+E1072),"")</f>
        <v/>
      </c>
      <c r="G1072" s="30" t="n"/>
      <c r="H1072" s="31" t="n"/>
    </row>
    <row r="1073" ht="20" customHeight="1">
      <c r="A1073" s="26" t="n"/>
      <c r="B1073" s="27">
        <f>IFERROR(IF(A1073="","",VLOOKUP(A1073,DATABASE!$A:$B,2,0)),"")</f>
        <v/>
      </c>
      <c r="C1073" s="20">
        <f>IFERROR(IF(A1073="","",SUMIF(SAVINGS!$A$3:A1072,A1073,SAVINGS!$E$3:E1072)-SUMIF(WITHDRAWALS!$A:$A,A1073,WITHDRAWALS!$E:$E)),"")</f>
        <v/>
      </c>
      <c r="D1073" s="28">
        <f>IF(A1073="","",TODAY())</f>
        <v/>
      </c>
      <c r="E1073" s="29" t="n"/>
      <c r="F1073" s="20">
        <f>IFERROR(IF(OR(A1073="",E1073=""),"",C1073+E1073),"")</f>
        <v/>
      </c>
      <c r="G1073" s="30" t="n"/>
      <c r="H1073" s="27" t="n"/>
    </row>
    <row r="1074" ht="20" customHeight="1">
      <c r="A1074" s="26" t="n"/>
      <c r="B1074" s="31">
        <f>IFERROR(IF(A1074="","",VLOOKUP(A1074,DATABASE!$A:$B,2,0)),"")</f>
        <v/>
      </c>
      <c r="C1074" s="32">
        <f>IFERROR(IF(A1074="","",SUMIF(SAVINGS!$A$3:A1073,A1074,SAVINGS!$E$3:E1073)-SUMIF(WITHDRAWALS!$A:$A,A1074,WITHDRAWALS!$E:$E)),"")</f>
        <v/>
      </c>
      <c r="D1074" s="33">
        <f>IF(A1074="","",TODAY())</f>
        <v/>
      </c>
      <c r="E1074" s="29" t="n"/>
      <c r="F1074" s="32">
        <f>IFERROR(IF(OR(A1074="",E1074=""),"",C1074+E1074),"")</f>
        <v/>
      </c>
      <c r="G1074" s="30" t="n"/>
      <c r="H1074" s="31" t="n"/>
    </row>
    <row r="1075" ht="20" customHeight="1">
      <c r="A1075" s="26" t="n"/>
      <c r="B1075" s="27">
        <f>IFERROR(IF(A1075="","",VLOOKUP(A1075,DATABASE!$A:$B,2,0)),"")</f>
        <v/>
      </c>
      <c r="C1075" s="20">
        <f>IFERROR(IF(A1075="","",SUMIF(SAVINGS!$A$3:A1074,A1075,SAVINGS!$E$3:E1074)-SUMIF(WITHDRAWALS!$A:$A,A1075,WITHDRAWALS!$E:$E)),"")</f>
        <v/>
      </c>
      <c r="D1075" s="28">
        <f>IF(A1075="","",TODAY())</f>
        <v/>
      </c>
      <c r="E1075" s="29" t="n"/>
      <c r="F1075" s="20">
        <f>IFERROR(IF(OR(A1075="",E1075=""),"",C1075+E1075),"")</f>
        <v/>
      </c>
      <c r="G1075" s="30" t="n"/>
      <c r="H1075" s="27" t="n"/>
    </row>
    <row r="1076" ht="20" customHeight="1">
      <c r="A1076" s="26" t="n"/>
      <c r="B1076" s="31">
        <f>IFERROR(IF(A1076="","",VLOOKUP(A1076,DATABASE!$A:$B,2,0)),"")</f>
        <v/>
      </c>
      <c r="C1076" s="32">
        <f>IFERROR(IF(A1076="","",SUMIF(SAVINGS!$A$3:A1075,A1076,SAVINGS!$E$3:E1075)-SUMIF(WITHDRAWALS!$A:$A,A1076,WITHDRAWALS!$E:$E)),"")</f>
        <v/>
      </c>
      <c r="D1076" s="33">
        <f>IF(A1076="","",TODAY())</f>
        <v/>
      </c>
      <c r="E1076" s="29" t="n"/>
      <c r="F1076" s="32">
        <f>IFERROR(IF(OR(A1076="",E1076=""),"",C1076+E1076),"")</f>
        <v/>
      </c>
      <c r="G1076" s="30" t="n"/>
      <c r="H1076" s="31" t="n"/>
    </row>
    <row r="1077" ht="20" customHeight="1">
      <c r="A1077" s="26" t="n"/>
      <c r="B1077" s="27">
        <f>IFERROR(IF(A1077="","",VLOOKUP(A1077,DATABASE!$A:$B,2,0)),"")</f>
        <v/>
      </c>
      <c r="C1077" s="20">
        <f>IFERROR(IF(A1077="","",SUMIF(SAVINGS!$A$3:A1076,A1077,SAVINGS!$E$3:E1076)-SUMIF(WITHDRAWALS!$A:$A,A1077,WITHDRAWALS!$E:$E)),"")</f>
        <v/>
      </c>
      <c r="D1077" s="28">
        <f>IF(A1077="","",TODAY())</f>
        <v/>
      </c>
      <c r="E1077" s="29" t="n"/>
      <c r="F1077" s="20">
        <f>IFERROR(IF(OR(A1077="",E1077=""),"",C1077+E1077),"")</f>
        <v/>
      </c>
      <c r="G1077" s="30" t="n"/>
      <c r="H1077" s="27" t="n"/>
    </row>
    <row r="1078" ht="20" customHeight="1">
      <c r="A1078" s="26" t="n"/>
      <c r="B1078" s="31">
        <f>IFERROR(IF(A1078="","",VLOOKUP(A1078,DATABASE!$A:$B,2,0)),"")</f>
        <v/>
      </c>
      <c r="C1078" s="32">
        <f>IFERROR(IF(A1078="","",SUMIF(SAVINGS!$A$3:A1077,A1078,SAVINGS!$E$3:E1077)-SUMIF(WITHDRAWALS!$A:$A,A1078,WITHDRAWALS!$E:$E)),"")</f>
        <v/>
      </c>
      <c r="D1078" s="33">
        <f>IF(A1078="","",TODAY())</f>
        <v/>
      </c>
      <c r="E1078" s="29" t="n"/>
      <c r="F1078" s="32">
        <f>IFERROR(IF(OR(A1078="",E1078=""),"",C1078+E1078),"")</f>
        <v/>
      </c>
      <c r="G1078" s="30" t="n"/>
      <c r="H1078" s="31" t="n"/>
    </row>
    <row r="1079" ht="20" customHeight="1">
      <c r="A1079" s="26" t="n"/>
      <c r="B1079" s="27">
        <f>IFERROR(IF(A1079="","",VLOOKUP(A1079,DATABASE!$A:$B,2,0)),"")</f>
        <v/>
      </c>
      <c r="C1079" s="20">
        <f>IFERROR(IF(A1079="","",SUMIF(SAVINGS!$A$3:A1078,A1079,SAVINGS!$E$3:E1078)-SUMIF(WITHDRAWALS!$A:$A,A1079,WITHDRAWALS!$E:$E)),"")</f>
        <v/>
      </c>
      <c r="D1079" s="28">
        <f>IF(A1079="","",TODAY())</f>
        <v/>
      </c>
      <c r="E1079" s="29" t="n"/>
      <c r="F1079" s="20">
        <f>IFERROR(IF(OR(A1079="",E1079=""),"",C1079+E1079),"")</f>
        <v/>
      </c>
      <c r="G1079" s="30" t="n"/>
      <c r="H1079" s="27" t="n"/>
    </row>
    <row r="1080" ht="20" customHeight="1">
      <c r="A1080" s="26" t="n"/>
      <c r="B1080" s="31">
        <f>IFERROR(IF(A1080="","",VLOOKUP(A1080,DATABASE!$A:$B,2,0)),"")</f>
        <v/>
      </c>
      <c r="C1080" s="32">
        <f>IFERROR(IF(A1080="","",SUMIF(SAVINGS!$A$3:A1079,A1080,SAVINGS!$E$3:E1079)-SUMIF(WITHDRAWALS!$A:$A,A1080,WITHDRAWALS!$E:$E)),"")</f>
        <v/>
      </c>
      <c r="D1080" s="33">
        <f>IF(A1080="","",TODAY())</f>
        <v/>
      </c>
      <c r="E1080" s="29" t="n"/>
      <c r="F1080" s="32">
        <f>IFERROR(IF(OR(A1080="",E1080=""),"",C1080+E1080),"")</f>
        <v/>
      </c>
      <c r="G1080" s="30" t="n"/>
      <c r="H1080" s="31" t="n"/>
    </row>
    <row r="1081" ht="20" customHeight="1">
      <c r="A1081" s="26" t="n"/>
      <c r="B1081" s="27">
        <f>IFERROR(IF(A1081="","",VLOOKUP(A1081,DATABASE!$A:$B,2,0)),"")</f>
        <v/>
      </c>
      <c r="C1081" s="20">
        <f>IFERROR(IF(A1081="","",SUMIF(SAVINGS!$A$3:A1080,A1081,SAVINGS!$E$3:E1080)-SUMIF(WITHDRAWALS!$A:$A,A1081,WITHDRAWALS!$E:$E)),"")</f>
        <v/>
      </c>
      <c r="D1081" s="28">
        <f>IF(A1081="","",TODAY())</f>
        <v/>
      </c>
      <c r="E1081" s="29" t="n"/>
      <c r="F1081" s="20">
        <f>IFERROR(IF(OR(A1081="",E1081=""),"",C1081+E1081),"")</f>
        <v/>
      </c>
      <c r="G1081" s="30" t="n"/>
      <c r="H1081" s="27" t="n"/>
    </row>
    <row r="1082" ht="20" customHeight="1">
      <c r="A1082" s="26" t="n"/>
      <c r="B1082" s="31">
        <f>IFERROR(IF(A1082="","",VLOOKUP(A1082,DATABASE!$A:$B,2,0)),"")</f>
        <v/>
      </c>
      <c r="C1082" s="32">
        <f>IFERROR(IF(A1082="","",SUMIF(SAVINGS!$A$3:A1081,A1082,SAVINGS!$E$3:E1081)-SUMIF(WITHDRAWALS!$A:$A,A1082,WITHDRAWALS!$E:$E)),"")</f>
        <v/>
      </c>
      <c r="D1082" s="33">
        <f>IF(A1082="","",TODAY())</f>
        <v/>
      </c>
      <c r="E1082" s="29" t="n"/>
      <c r="F1082" s="32">
        <f>IFERROR(IF(OR(A1082="",E1082=""),"",C1082+E1082),"")</f>
        <v/>
      </c>
      <c r="G1082" s="30" t="n"/>
      <c r="H1082" s="31" t="n"/>
    </row>
    <row r="1083" ht="20" customHeight="1">
      <c r="A1083" s="26" t="n"/>
      <c r="B1083" s="27">
        <f>IFERROR(IF(A1083="","",VLOOKUP(A1083,DATABASE!$A:$B,2,0)),"")</f>
        <v/>
      </c>
      <c r="C1083" s="20">
        <f>IFERROR(IF(A1083="","",SUMIF(SAVINGS!$A$3:A1082,A1083,SAVINGS!$E$3:E1082)-SUMIF(WITHDRAWALS!$A:$A,A1083,WITHDRAWALS!$E:$E)),"")</f>
        <v/>
      </c>
      <c r="D1083" s="28">
        <f>IF(A1083="","",TODAY())</f>
        <v/>
      </c>
      <c r="E1083" s="29" t="n"/>
      <c r="F1083" s="20">
        <f>IFERROR(IF(OR(A1083="",E1083=""),"",C1083+E1083),"")</f>
        <v/>
      </c>
      <c r="G1083" s="30" t="n"/>
      <c r="H1083" s="27" t="n"/>
    </row>
    <row r="1084" ht="20" customHeight="1">
      <c r="A1084" s="26" t="n"/>
      <c r="B1084" s="31">
        <f>IFERROR(IF(A1084="","",VLOOKUP(A1084,DATABASE!$A:$B,2,0)),"")</f>
        <v/>
      </c>
      <c r="C1084" s="32">
        <f>IFERROR(IF(A1084="","",SUMIF(SAVINGS!$A$3:A1083,A1084,SAVINGS!$E$3:E1083)-SUMIF(WITHDRAWALS!$A:$A,A1084,WITHDRAWALS!$E:$E)),"")</f>
        <v/>
      </c>
      <c r="D1084" s="33">
        <f>IF(A1084="","",TODAY())</f>
        <v/>
      </c>
      <c r="E1084" s="29" t="n"/>
      <c r="F1084" s="32">
        <f>IFERROR(IF(OR(A1084="",E1084=""),"",C1084+E1084),"")</f>
        <v/>
      </c>
      <c r="G1084" s="30" t="n"/>
      <c r="H1084" s="31" t="n"/>
    </row>
    <row r="1085" ht="20" customHeight="1">
      <c r="A1085" s="26" t="n"/>
      <c r="B1085" s="27">
        <f>IFERROR(IF(A1085="","",VLOOKUP(A1085,DATABASE!$A:$B,2,0)),"")</f>
        <v/>
      </c>
      <c r="C1085" s="20">
        <f>IFERROR(IF(A1085="","",SUMIF(SAVINGS!$A$3:A1084,A1085,SAVINGS!$E$3:E1084)-SUMIF(WITHDRAWALS!$A:$A,A1085,WITHDRAWALS!$E:$E)),"")</f>
        <v/>
      </c>
      <c r="D1085" s="28">
        <f>IF(A1085="","",TODAY())</f>
        <v/>
      </c>
      <c r="E1085" s="29" t="n"/>
      <c r="F1085" s="20">
        <f>IFERROR(IF(OR(A1085="",E1085=""),"",C1085+E1085),"")</f>
        <v/>
      </c>
      <c r="G1085" s="30" t="n"/>
      <c r="H1085" s="27" t="n"/>
    </row>
    <row r="1086" ht="20" customHeight="1">
      <c r="A1086" s="26" t="n"/>
      <c r="B1086" s="31">
        <f>IFERROR(IF(A1086="","",VLOOKUP(A1086,DATABASE!$A:$B,2,0)),"")</f>
        <v/>
      </c>
      <c r="C1086" s="32">
        <f>IFERROR(IF(A1086="","",SUMIF(SAVINGS!$A$3:A1085,A1086,SAVINGS!$E$3:E1085)-SUMIF(WITHDRAWALS!$A:$A,A1086,WITHDRAWALS!$E:$E)),"")</f>
        <v/>
      </c>
      <c r="D1086" s="33">
        <f>IF(A1086="","",TODAY())</f>
        <v/>
      </c>
      <c r="E1086" s="29" t="n"/>
      <c r="F1086" s="32">
        <f>IFERROR(IF(OR(A1086="",E1086=""),"",C1086+E1086),"")</f>
        <v/>
      </c>
      <c r="G1086" s="30" t="n"/>
      <c r="H1086" s="31" t="n"/>
    </row>
    <row r="1087" ht="20" customHeight="1">
      <c r="A1087" s="26" t="n"/>
      <c r="B1087" s="27">
        <f>IFERROR(IF(A1087="","",VLOOKUP(A1087,DATABASE!$A:$B,2,0)),"")</f>
        <v/>
      </c>
      <c r="C1087" s="20">
        <f>IFERROR(IF(A1087="","",SUMIF(SAVINGS!$A$3:A1086,A1087,SAVINGS!$E$3:E1086)-SUMIF(WITHDRAWALS!$A:$A,A1087,WITHDRAWALS!$E:$E)),"")</f>
        <v/>
      </c>
      <c r="D1087" s="28">
        <f>IF(A1087="","",TODAY())</f>
        <v/>
      </c>
      <c r="E1087" s="29" t="n"/>
      <c r="F1087" s="20">
        <f>IFERROR(IF(OR(A1087="",E1087=""),"",C1087+E1087),"")</f>
        <v/>
      </c>
      <c r="G1087" s="30" t="n"/>
      <c r="H1087" s="27" t="n"/>
    </row>
    <row r="1088" ht="20" customHeight="1">
      <c r="A1088" s="26" t="n"/>
      <c r="B1088" s="31">
        <f>IFERROR(IF(A1088="","",VLOOKUP(A1088,DATABASE!$A:$B,2,0)),"")</f>
        <v/>
      </c>
      <c r="C1088" s="32">
        <f>IFERROR(IF(A1088="","",SUMIF(SAVINGS!$A$3:A1087,A1088,SAVINGS!$E$3:E1087)-SUMIF(WITHDRAWALS!$A:$A,A1088,WITHDRAWALS!$E:$E)),"")</f>
        <v/>
      </c>
      <c r="D1088" s="33">
        <f>IF(A1088="","",TODAY())</f>
        <v/>
      </c>
      <c r="E1088" s="29" t="n"/>
      <c r="F1088" s="32">
        <f>IFERROR(IF(OR(A1088="",E1088=""),"",C1088+E1088),"")</f>
        <v/>
      </c>
      <c r="G1088" s="30" t="n"/>
      <c r="H1088" s="31" t="n"/>
    </row>
    <row r="1089" ht="20" customHeight="1">
      <c r="A1089" s="26" t="n"/>
      <c r="B1089" s="27">
        <f>IFERROR(IF(A1089="","",VLOOKUP(A1089,DATABASE!$A:$B,2,0)),"")</f>
        <v/>
      </c>
      <c r="C1089" s="20">
        <f>IFERROR(IF(A1089="","",SUMIF(SAVINGS!$A$3:A1088,A1089,SAVINGS!$E$3:E1088)-SUMIF(WITHDRAWALS!$A:$A,A1089,WITHDRAWALS!$E:$E)),"")</f>
        <v/>
      </c>
      <c r="D1089" s="28">
        <f>IF(A1089="","",TODAY())</f>
        <v/>
      </c>
      <c r="E1089" s="29" t="n"/>
      <c r="F1089" s="20">
        <f>IFERROR(IF(OR(A1089="",E1089=""),"",C1089+E1089),"")</f>
        <v/>
      </c>
      <c r="G1089" s="30" t="n"/>
      <c r="H1089" s="27" t="n"/>
    </row>
    <row r="1090" ht="20" customHeight="1">
      <c r="A1090" s="26" t="n"/>
      <c r="B1090" s="31">
        <f>IFERROR(IF(A1090="","",VLOOKUP(A1090,DATABASE!$A:$B,2,0)),"")</f>
        <v/>
      </c>
      <c r="C1090" s="32">
        <f>IFERROR(IF(A1090="","",SUMIF(SAVINGS!$A$3:A1089,A1090,SAVINGS!$E$3:E1089)-SUMIF(WITHDRAWALS!$A:$A,A1090,WITHDRAWALS!$E:$E)),"")</f>
        <v/>
      </c>
      <c r="D1090" s="33">
        <f>IF(A1090="","",TODAY())</f>
        <v/>
      </c>
      <c r="E1090" s="29" t="n"/>
      <c r="F1090" s="32">
        <f>IFERROR(IF(OR(A1090="",E1090=""),"",C1090+E1090),"")</f>
        <v/>
      </c>
      <c r="G1090" s="30" t="n"/>
      <c r="H1090" s="31" t="n"/>
    </row>
    <row r="1091" ht="20" customHeight="1">
      <c r="A1091" s="26" t="n"/>
      <c r="B1091" s="27">
        <f>IFERROR(IF(A1091="","",VLOOKUP(A1091,DATABASE!$A:$B,2,0)),"")</f>
        <v/>
      </c>
      <c r="C1091" s="20">
        <f>IFERROR(IF(A1091="","",SUMIF(SAVINGS!$A$3:A1090,A1091,SAVINGS!$E$3:E1090)-SUMIF(WITHDRAWALS!$A:$A,A1091,WITHDRAWALS!$E:$E)),"")</f>
        <v/>
      </c>
      <c r="D1091" s="28">
        <f>IF(A1091="","",TODAY())</f>
        <v/>
      </c>
      <c r="E1091" s="29" t="n"/>
      <c r="F1091" s="20">
        <f>IFERROR(IF(OR(A1091="",E1091=""),"",C1091+E1091),"")</f>
        <v/>
      </c>
      <c r="G1091" s="30" t="n"/>
      <c r="H1091" s="27" t="n"/>
    </row>
    <row r="1092" ht="20" customHeight="1">
      <c r="A1092" s="26" t="n"/>
      <c r="B1092" s="31">
        <f>IFERROR(IF(A1092="","",VLOOKUP(A1092,DATABASE!$A:$B,2,0)),"")</f>
        <v/>
      </c>
      <c r="C1092" s="32">
        <f>IFERROR(IF(A1092="","",SUMIF(SAVINGS!$A$3:A1091,A1092,SAVINGS!$E$3:E1091)-SUMIF(WITHDRAWALS!$A:$A,A1092,WITHDRAWALS!$E:$E)),"")</f>
        <v/>
      </c>
      <c r="D1092" s="33">
        <f>IF(A1092="","",TODAY())</f>
        <v/>
      </c>
      <c r="E1092" s="29" t="n"/>
      <c r="F1092" s="32">
        <f>IFERROR(IF(OR(A1092="",E1092=""),"",C1092+E1092),"")</f>
        <v/>
      </c>
      <c r="G1092" s="30" t="n"/>
      <c r="H1092" s="31" t="n"/>
    </row>
    <row r="1093" ht="20" customHeight="1">
      <c r="A1093" s="26" t="n"/>
      <c r="B1093" s="27">
        <f>IFERROR(IF(A1093="","",VLOOKUP(A1093,DATABASE!$A:$B,2,0)),"")</f>
        <v/>
      </c>
      <c r="C1093" s="20">
        <f>IFERROR(IF(A1093="","",SUMIF(SAVINGS!$A$3:A1092,A1093,SAVINGS!$E$3:E1092)-SUMIF(WITHDRAWALS!$A:$A,A1093,WITHDRAWALS!$E:$E)),"")</f>
        <v/>
      </c>
      <c r="D1093" s="28">
        <f>IF(A1093="","",TODAY())</f>
        <v/>
      </c>
      <c r="E1093" s="29" t="n"/>
      <c r="F1093" s="20">
        <f>IFERROR(IF(OR(A1093="",E1093=""),"",C1093+E1093),"")</f>
        <v/>
      </c>
      <c r="G1093" s="30" t="n"/>
      <c r="H1093" s="27" t="n"/>
    </row>
    <row r="1094" ht="20" customHeight="1">
      <c r="A1094" s="26" t="n"/>
      <c r="B1094" s="31">
        <f>IFERROR(IF(A1094="","",VLOOKUP(A1094,DATABASE!$A:$B,2,0)),"")</f>
        <v/>
      </c>
      <c r="C1094" s="32">
        <f>IFERROR(IF(A1094="","",SUMIF(SAVINGS!$A$3:A1093,A1094,SAVINGS!$E$3:E1093)-SUMIF(WITHDRAWALS!$A:$A,A1094,WITHDRAWALS!$E:$E)),"")</f>
        <v/>
      </c>
      <c r="D1094" s="33">
        <f>IF(A1094="","",TODAY())</f>
        <v/>
      </c>
      <c r="E1094" s="29" t="n"/>
      <c r="F1094" s="32">
        <f>IFERROR(IF(OR(A1094="",E1094=""),"",C1094+E1094),"")</f>
        <v/>
      </c>
      <c r="G1094" s="30" t="n"/>
      <c r="H1094" s="31" t="n"/>
    </row>
    <row r="1095" ht="20" customHeight="1">
      <c r="A1095" s="26" t="n"/>
      <c r="B1095" s="27">
        <f>IFERROR(IF(A1095="","",VLOOKUP(A1095,DATABASE!$A:$B,2,0)),"")</f>
        <v/>
      </c>
      <c r="C1095" s="20">
        <f>IFERROR(IF(A1095="","",SUMIF(SAVINGS!$A$3:A1094,A1095,SAVINGS!$E$3:E1094)-SUMIF(WITHDRAWALS!$A:$A,A1095,WITHDRAWALS!$E:$E)),"")</f>
        <v/>
      </c>
      <c r="D1095" s="28">
        <f>IF(A1095="","",TODAY())</f>
        <v/>
      </c>
      <c r="E1095" s="29" t="n"/>
      <c r="F1095" s="20">
        <f>IFERROR(IF(OR(A1095="",E1095=""),"",C1095+E1095),"")</f>
        <v/>
      </c>
      <c r="G1095" s="30" t="n"/>
      <c r="H1095" s="27" t="n"/>
    </row>
    <row r="1096" ht="20" customHeight="1">
      <c r="A1096" s="26" t="n"/>
      <c r="B1096" s="31">
        <f>IFERROR(IF(A1096="","",VLOOKUP(A1096,DATABASE!$A:$B,2,0)),"")</f>
        <v/>
      </c>
      <c r="C1096" s="32">
        <f>IFERROR(IF(A1096="","",SUMIF(SAVINGS!$A$3:A1095,A1096,SAVINGS!$E$3:E1095)-SUMIF(WITHDRAWALS!$A:$A,A1096,WITHDRAWALS!$E:$E)),"")</f>
        <v/>
      </c>
      <c r="D1096" s="33">
        <f>IF(A1096="","",TODAY())</f>
        <v/>
      </c>
      <c r="E1096" s="29" t="n"/>
      <c r="F1096" s="32">
        <f>IFERROR(IF(OR(A1096="",E1096=""),"",C1096+E1096),"")</f>
        <v/>
      </c>
      <c r="G1096" s="30" t="n"/>
      <c r="H1096" s="31" t="n"/>
    </row>
    <row r="1097" ht="20" customHeight="1">
      <c r="A1097" s="26" t="n"/>
      <c r="B1097" s="27">
        <f>IFERROR(IF(A1097="","",VLOOKUP(A1097,DATABASE!$A:$B,2,0)),"")</f>
        <v/>
      </c>
      <c r="C1097" s="20">
        <f>IFERROR(IF(A1097="","",SUMIF(SAVINGS!$A$3:A1096,A1097,SAVINGS!$E$3:E1096)-SUMIF(WITHDRAWALS!$A:$A,A1097,WITHDRAWALS!$E:$E)),"")</f>
        <v/>
      </c>
      <c r="D1097" s="28">
        <f>IF(A1097="","",TODAY())</f>
        <v/>
      </c>
      <c r="E1097" s="29" t="n"/>
      <c r="F1097" s="20">
        <f>IFERROR(IF(OR(A1097="",E1097=""),"",C1097+E1097),"")</f>
        <v/>
      </c>
      <c r="G1097" s="30" t="n"/>
      <c r="H1097" s="27" t="n"/>
    </row>
    <row r="1098" ht="20" customHeight="1">
      <c r="A1098" s="26" t="n"/>
      <c r="B1098" s="31">
        <f>IFERROR(IF(A1098="","",VLOOKUP(A1098,DATABASE!$A:$B,2,0)),"")</f>
        <v/>
      </c>
      <c r="C1098" s="32">
        <f>IFERROR(IF(A1098="","",SUMIF(SAVINGS!$A$3:A1097,A1098,SAVINGS!$E$3:E1097)-SUMIF(WITHDRAWALS!$A:$A,A1098,WITHDRAWALS!$E:$E)),"")</f>
        <v/>
      </c>
      <c r="D1098" s="33">
        <f>IF(A1098="","",TODAY())</f>
        <v/>
      </c>
      <c r="E1098" s="29" t="n"/>
      <c r="F1098" s="32">
        <f>IFERROR(IF(OR(A1098="",E1098=""),"",C1098+E1098),"")</f>
        <v/>
      </c>
      <c r="G1098" s="30" t="n"/>
      <c r="H1098" s="31" t="n"/>
    </row>
    <row r="1099" ht="20" customHeight="1">
      <c r="A1099" s="26" t="n"/>
      <c r="B1099" s="27">
        <f>IFERROR(IF(A1099="","",VLOOKUP(A1099,DATABASE!$A:$B,2,0)),"")</f>
        <v/>
      </c>
      <c r="C1099" s="20">
        <f>IFERROR(IF(A1099="","",SUMIF(SAVINGS!$A$3:A1098,A1099,SAVINGS!$E$3:E1098)-SUMIF(WITHDRAWALS!$A:$A,A1099,WITHDRAWALS!$E:$E)),"")</f>
        <v/>
      </c>
      <c r="D1099" s="28">
        <f>IF(A1099="","",TODAY())</f>
        <v/>
      </c>
      <c r="E1099" s="29" t="n"/>
      <c r="F1099" s="20">
        <f>IFERROR(IF(OR(A1099="",E1099=""),"",C1099+E1099),"")</f>
        <v/>
      </c>
      <c r="G1099" s="30" t="n"/>
      <c r="H1099" s="27" t="n"/>
    </row>
    <row r="1100" ht="20" customHeight="1">
      <c r="A1100" s="26" t="n"/>
      <c r="B1100" s="31">
        <f>IFERROR(IF(A1100="","",VLOOKUP(A1100,DATABASE!$A:$B,2,0)),"")</f>
        <v/>
      </c>
      <c r="C1100" s="32">
        <f>IFERROR(IF(A1100="","",SUMIF(SAVINGS!$A$3:A1099,A1100,SAVINGS!$E$3:E1099)-SUMIF(WITHDRAWALS!$A:$A,A1100,WITHDRAWALS!$E:$E)),"")</f>
        <v/>
      </c>
      <c r="D1100" s="33">
        <f>IF(A1100="","",TODAY())</f>
        <v/>
      </c>
      <c r="E1100" s="29" t="n"/>
      <c r="F1100" s="32">
        <f>IFERROR(IF(OR(A1100="",E1100=""),"",C1100+E1100),"")</f>
        <v/>
      </c>
      <c r="G1100" s="30" t="n"/>
      <c r="H1100" s="31" t="n"/>
    </row>
    <row r="1101" ht="20" customHeight="1">
      <c r="A1101" s="26" t="n"/>
      <c r="B1101" s="27">
        <f>IFERROR(IF(A1101="","",VLOOKUP(A1101,DATABASE!$A:$B,2,0)),"")</f>
        <v/>
      </c>
      <c r="C1101" s="20">
        <f>IFERROR(IF(A1101="","",SUMIF(SAVINGS!$A$3:A1100,A1101,SAVINGS!$E$3:E1100)-SUMIF(WITHDRAWALS!$A:$A,A1101,WITHDRAWALS!$E:$E)),"")</f>
        <v/>
      </c>
      <c r="D1101" s="28">
        <f>IF(A1101="","",TODAY())</f>
        <v/>
      </c>
      <c r="E1101" s="29" t="n"/>
      <c r="F1101" s="20">
        <f>IFERROR(IF(OR(A1101="",E1101=""),"",C1101+E1101),"")</f>
        <v/>
      </c>
      <c r="G1101" s="30" t="n"/>
      <c r="H1101" s="27" t="n"/>
    </row>
    <row r="1102" ht="20" customHeight="1">
      <c r="A1102" s="26" t="n"/>
      <c r="B1102" s="31">
        <f>IFERROR(IF(A1102="","",VLOOKUP(A1102,DATABASE!$A:$B,2,0)),"")</f>
        <v/>
      </c>
      <c r="C1102" s="32">
        <f>IFERROR(IF(A1102="","",SUMIF(SAVINGS!$A$3:A1101,A1102,SAVINGS!$E$3:E1101)-SUMIF(WITHDRAWALS!$A:$A,A1102,WITHDRAWALS!$E:$E)),"")</f>
        <v/>
      </c>
      <c r="D1102" s="33">
        <f>IF(A1102="","",TODAY())</f>
        <v/>
      </c>
      <c r="E1102" s="29" t="n"/>
      <c r="F1102" s="32">
        <f>IFERROR(IF(OR(A1102="",E1102=""),"",C1102+E1102),"")</f>
        <v/>
      </c>
      <c r="G1102" s="30" t="n"/>
      <c r="H1102" s="31" t="n"/>
    </row>
    <row r="1103" ht="20" customHeight="1">
      <c r="A1103" s="26" t="n"/>
      <c r="B1103" s="27">
        <f>IFERROR(IF(A1103="","",VLOOKUP(A1103,DATABASE!$A:$B,2,0)),"")</f>
        <v/>
      </c>
      <c r="C1103" s="20">
        <f>IFERROR(IF(A1103="","",SUMIF(SAVINGS!$A$3:A1102,A1103,SAVINGS!$E$3:E1102)-SUMIF(WITHDRAWALS!$A:$A,A1103,WITHDRAWALS!$E:$E)),"")</f>
        <v/>
      </c>
      <c r="D1103" s="28">
        <f>IF(A1103="","",TODAY())</f>
        <v/>
      </c>
      <c r="E1103" s="29" t="n"/>
      <c r="F1103" s="20">
        <f>IFERROR(IF(OR(A1103="",E1103=""),"",C1103+E1103),"")</f>
        <v/>
      </c>
      <c r="G1103" s="30" t="n"/>
      <c r="H1103" s="27" t="n"/>
    </row>
    <row r="1104" ht="20" customHeight="1">
      <c r="A1104" s="26" t="n"/>
      <c r="B1104" s="31">
        <f>IFERROR(IF(A1104="","",VLOOKUP(A1104,DATABASE!$A:$B,2,0)),"")</f>
        <v/>
      </c>
      <c r="C1104" s="32">
        <f>IFERROR(IF(A1104="","",SUMIF(SAVINGS!$A$3:A1103,A1104,SAVINGS!$E$3:E1103)-SUMIF(WITHDRAWALS!$A:$A,A1104,WITHDRAWALS!$E:$E)),"")</f>
        <v/>
      </c>
      <c r="D1104" s="33">
        <f>IF(A1104="","",TODAY())</f>
        <v/>
      </c>
      <c r="E1104" s="29" t="n"/>
      <c r="F1104" s="32">
        <f>IFERROR(IF(OR(A1104="",E1104=""),"",C1104+E1104),"")</f>
        <v/>
      </c>
      <c r="G1104" s="30" t="n"/>
      <c r="H1104" s="31" t="n"/>
    </row>
    <row r="1105" ht="20" customHeight="1">
      <c r="A1105" s="26" t="n"/>
      <c r="B1105" s="27">
        <f>IFERROR(IF(A1105="","",VLOOKUP(A1105,DATABASE!$A:$B,2,0)),"")</f>
        <v/>
      </c>
      <c r="C1105" s="20">
        <f>IFERROR(IF(A1105="","",SUMIF(SAVINGS!$A$3:A1104,A1105,SAVINGS!$E$3:E1104)-SUMIF(WITHDRAWALS!$A:$A,A1105,WITHDRAWALS!$E:$E)),"")</f>
        <v/>
      </c>
      <c r="D1105" s="28">
        <f>IF(A1105="","",TODAY())</f>
        <v/>
      </c>
      <c r="E1105" s="29" t="n"/>
      <c r="F1105" s="20">
        <f>IFERROR(IF(OR(A1105="",E1105=""),"",C1105+E1105),"")</f>
        <v/>
      </c>
      <c r="G1105" s="30" t="n"/>
      <c r="H1105" s="27" t="n"/>
    </row>
    <row r="1106" ht="20" customHeight="1">
      <c r="A1106" s="26" t="n"/>
      <c r="B1106" s="31">
        <f>IFERROR(IF(A1106="","",VLOOKUP(A1106,DATABASE!$A:$B,2,0)),"")</f>
        <v/>
      </c>
      <c r="C1106" s="32">
        <f>IFERROR(IF(A1106="","",SUMIF(SAVINGS!$A$3:A1105,A1106,SAVINGS!$E$3:E1105)-SUMIF(WITHDRAWALS!$A:$A,A1106,WITHDRAWALS!$E:$E)),"")</f>
        <v/>
      </c>
      <c r="D1106" s="33">
        <f>IF(A1106="","",TODAY())</f>
        <v/>
      </c>
      <c r="E1106" s="29" t="n"/>
      <c r="F1106" s="32">
        <f>IFERROR(IF(OR(A1106="",E1106=""),"",C1106+E1106),"")</f>
        <v/>
      </c>
      <c r="G1106" s="30" t="n"/>
      <c r="H1106" s="31" t="n"/>
    </row>
    <row r="1107" ht="20" customHeight="1">
      <c r="A1107" s="26" t="n"/>
      <c r="B1107" s="27">
        <f>IFERROR(IF(A1107="","",VLOOKUP(A1107,DATABASE!$A:$B,2,0)),"")</f>
        <v/>
      </c>
      <c r="C1107" s="20">
        <f>IFERROR(IF(A1107="","",SUMIF(SAVINGS!$A$3:A1106,A1107,SAVINGS!$E$3:E1106)-SUMIF(WITHDRAWALS!$A:$A,A1107,WITHDRAWALS!$E:$E)),"")</f>
        <v/>
      </c>
      <c r="D1107" s="28">
        <f>IF(A1107="","",TODAY())</f>
        <v/>
      </c>
      <c r="E1107" s="29" t="n"/>
      <c r="F1107" s="20">
        <f>IFERROR(IF(OR(A1107="",E1107=""),"",C1107+E1107),"")</f>
        <v/>
      </c>
      <c r="G1107" s="30" t="n"/>
      <c r="H1107" s="27" t="n"/>
    </row>
    <row r="1108" ht="20" customHeight="1">
      <c r="A1108" s="26" t="n"/>
      <c r="B1108" s="31">
        <f>IFERROR(IF(A1108="","",VLOOKUP(A1108,DATABASE!$A:$B,2,0)),"")</f>
        <v/>
      </c>
      <c r="C1108" s="32">
        <f>IFERROR(IF(A1108="","",SUMIF(SAVINGS!$A$3:A1107,A1108,SAVINGS!$E$3:E1107)-SUMIF(WITHDRAWALS!$A:$A,A1108,WITHDRAWALS!$E:$E)),"")</f>
        <v/>
      </c>
      <c r="D1108" s="33">
        <f>IF(A1108="","",TODAY())</f>
        <v/>
      </c>
      <c r="E1108" s="29" t="n"/>
      <c r="F1108" s="32">
        <f>IFERROR(IF(OR(A1108="",E1108=""),"",C1108+E1108),"")</f>
        <v/>
      </c>
      <c r="G1108" s="30" t="n"/>
      <c r="H1108" s="31" t="n"/>
    </row>
    <row r="1109" ht="20" customHeight="1">
      <c r="A1109" s="26" t="n"/>
      <c r="B1109" s="27">
        <f>IFERROR(IF(A1109="","",VLOOKUP(A1109,DATABASE!$A:$B,2,0)),"")</f>
        <v/>
      </c>
      <c r="C1109" s="20">
        <f>IFERROR(IF(A1109="","",SUMIF(SAVINGS!$A$3:A1108,A1109,SAVINGS!$E$3:E1108)-SUMIF(WITHDRAWALS!$A:$A,A1109,WITHDRAWALS!$E:$E)),"")</f>
        <v/>
      </c>
      <c r="D1109" s="28">
        <f>IF(A1109="","",TODAY())</f>
        <v/>
      </c>
      <c r="E1109" s="29" t="n"/>
      <c r="F1109" s="20">
        <f>IFERROR(IF(OR(A1109="",E1109=""),"",C1109+E1109),"")</f>
        <v/>
      </c>
      <c r="G1109" s="30" t="n"/>
      <c r="H1109" s="27" t="n"/>
    </row>
    <row r="1110" ht="20" customHeight="1">
      <c r="A1110" s="26" t="n"/>
      <c r="B1110" s="31">
        <f>IFERROR(IF(A1110="","",VLOOKUP(A1110,DATABASE!$A:$B,2,0)),"")</f>
        <v/>
      </c>
      <c r="C1110" s="32">
        <f>IFERROR(IF(A1110="","",SUMIF(SAVINGS!$A$3:A1109,A1110,SAVINGS!$E$3:E1109)-SUMIF(WITHDRAWALS!$A:$A,A1110,WITHDRAWALS!$E:$E)),"")</f>
        <v/>
      </c>
      <c r="D1110" s="33">
        <f>IF(A1110="","",TODAY())</f>
        <v/>
      </c>
      <c r="E1110" s="29" t="n"/>
      <c r="F1110" s="32">
        <f>IFERROR(IF(OR(A1110="",E1110=""),"",C1110+E1110),"")</f>
        <v/>
      </c>
      <c r="G1110" s="30" t="n"/>
      <c r="H1110" s="31" t="n"/>
    </row>
    <row r="1111" ht="20" customHeight="1">
      <c r="A1111" s="26" t="n"/>
      <c r="B1111" s="27">
        <f>IFERROR(IF(A1111="","",VLOOKUP(A1111,DATABASE!$A:$B,2,0)),"")</f>
        <v/>
      </c>
      <c r="C1111" s="20">
        <f>IFERROR(IF(A1111="","",SUMIF(SAVINGS!$A$3:A1110,A1111,SAVINGS!$E$3:E1110)-SUMIF(WITHDRAWALS!$A:$A,A1111,WITHDRAWALS!$E:$E)),"")</f>
        <v/>
      </c>
      <c r="D1111" s="28">
        <f>IF(A1111="","",TODAY())</f>
        <v/>
      </c>
      <c r="E1111" s="29" t="n"/>
      <c r="F1111" s="20">
        <f>IFERROR(IF(OR(A1111="",E1111=""),"",C1111+E1111),"")</f>
        <v/>
      </c>
      <c r="G1111" s="30" t="n"/>
      <c r="H1111" s="27" t="n"/>
    </row>
    <row r="1112" ht="20" customHeight="1">
      <c r="A1112" s="26" t="n"/>
      <c r="B1112" s="31">
        <f>IFERROR(IF(A1112="","",VLOOKUP(A1112,DATABASE!$A:$B,2,0)),"")</f>
        <v/>
      </c>
      <c r="C1112" s="32">
        <f>IFERROR(IF(A1112="","",SUMIF(SAVINGS!$A$3:A1111,A1112,SAVINGS!$E$3:E1111)-SUMIF(WITHDRAWALS!$A:$A,A1112,WITHDRAWALS!$E:$E)),"")</f>
        <v/>
      </c>
      <c r="D1112" s="33">
        <f>IF(A1112="","",TODAY())</f>
        <v/>
      </c>
      <c r="E1112" s="29" t="n"/>
      <c r="F1112" s="32">
        <f>IFERROR(IF(OR(A1112="",E1112=""),"",C1112+E1112),"")</f>
        <v/>
      </c>
      <c r="G1112" s="30" t="n"/>
      <c r="H1112" s="31" t="n"/>
    </row>
    <row r="1113" ht="20" customHeight="1">
      <c r="A1113" s="26" t="n"/>
      <c r="B1113" s="27">
        <f>IFERROR(IF(A1113="","",VLOOKUP(A1113,DATABASE!$A:$B,2,0)),"")</f>
        <v/>
      </c>
      <c r="C1113" s="20">
        <f>IFERROR(IF(A1113="","",SUMIF(SAVINGS!$A$3:A1112,A1113,SAVINGS!$E$3:E1112)-SUMIF(WITHDRAWALS!$A:$A,A1113,WITHDRAWALS!$E:$E)),"")</f>
        <v/>
      </c>
      <c r="D1113" s="28">
        <f>IF(A1113="","",TODAY())</f>
        <v/>
      </c>
      <c r="E1113" s="29" t="n"/>
      <c r="F1113" s="20">
        <f>IFERROR(IF(OR(A1113="",E1113=""),"",C1113+E1113),"")</f>
        <v/>
      </c>
      <c r="G1113" s="30" t="n"/>
      <c r="H1113" s="27" t="n"/>
    </row>
    <row r="1114" ht="20" customHeight="1">
      <c r="A1114" s="26" t="n"/>
      <c r="B1114" s="31">
        <f>IFERROR(IF(A1114="","",VLOOKUP(A1114,DATABASE!$A:$B,2,0)),"")</f>
        <v/>
      </c>
      <c r="C1114" s="32">
        <f>IFERROR(IF(A1114="","",SUMIF(SAVINGS!$A$3:A1113,A1114,SAVINGS!$E$3:E1113)-SUMIF(WITHDRAWALS!$A:$A,A1114,WITHDRAWALS!$E:$E)),"")</f>
        <v/>
      </c>
      <c r="D1114" s="33">
        <f>IF(A1114="","",TODAY())</f>
        <v/>
      </c>
      <c r="E1114" s="29" t="n"/>
      <c r="F1114" s="32">
        <f>IFERROR(IF(OR(A1114="",E1114=""),"",C1114+E1114),"")</f>
        <v/>
      </c>
      <c r="G1114" s="30" t="n"/>
      <c r="H1114" s="31" t="n"/>
    </row>
    <row r="1115" ht="20" customHeight="1">
      <c r="A1115" s="26" t="n"/>
      <c r="B1115" s="27">
        <f>IFERROR(IF(A1115="","",VLOOKUP(A1115,DATABASE!$A:$B,2,0)),"")</f>
        <v/>
      </c>
      <c r="C1115" s="20">
        <f>IFERROR(IF(A1115="","",SUMIF(SAVINGS!$A$3:A1114,A1115,SAVINGS!$E$3:E1114)-SUMIF(WITHDRAWALS!$A:$A,A1115,WITHDRAWALS!$E:$E)),"")</f>
        <v/>
      </c>
      <c r="D1115" s="28">
        <f>IF(A1115="","",TODAY())</f>
        <v/>
      </c>
      <c r="E1115" s="29" t="n"/>
      <c r="F1115" s="20">
        <f>IFERROR(IF(OR(A1115="",E1115=""),"",C1115+E1115),"")</f>
        <v/>
      </c>
      <c r="G1115" s="30" t="n"/>
      <c r="H1115" s="27" t="n"/>
    </row>
    <row r="1116" ht="20" customHeight="1">
      <c r="A1116" s="26" t="n"/>
      <c r="B1116" s="31">
        <f>IFERROR(IF(A1116="","",VLOOKUP(A1116,DATABASE!$A:$B,2,0)),"")</f>
        <v/>
      </c>
      <c r="C1116" s="32">
        <f>IFERROR(IF(A1116="","",SUMIF(SAVINGS!$A$3:A1115,A1116,SAVINGS!$E$3:E1115)-SUMIF(WITHDRAWALS!$A:$A,A1116,WITHDRAWALS!$E:$E)),"")</f>
        <v/>
      </c>
      <c r="D1116" s="33">
        <f>IF(A1116="","",TODAY())</f>
        <v/>
      </c>
      <c r="E1116" s="29" t="n"/>
      <c r="F1116" s="32">
        <f>IFERROR(IF(OR(A1116="",E1116=""),"",C1116+E1116),"")</f>
        <v/>
      </c>
      <c r="G1116" s="30" t="n"/>
      <c r="H1116" s="31" t="n"/>
    </row>
    <row r="1117" ht="20" customHeight="1">
      <c r="A1117" s="26" t="n"/>
      <c r="B1117" s="27">
        <f>IFERROR(IF(A1117="","",VLOOKUP(A1117,DATABASE!$A:$B,2,0)),"")</f>
        <v/>
      </c>
      <c r="C1117" s="20">
        <f>IFERROR(IF(A1117="","",SUMIF(SAVINGS!$A$3:A1116,A1117,SAVINGS!$E$3:E1116)-SUMIF(WITHDRAWALS!$A:$A,A1117,WITHDRAWALS!$E:$E)),"")</f>
        <v/>
      </c>
      <c r="D1117" s="28">
        <f>IF(A1117="","",TODAY())</f>
        <v/>
      </c>
      <c r="E1117" s="29" t="n"/>
      <c r="F1117" s="20">
        <f>IFERROR(IF(OR(A1117="",E1117=""),"",C1117+E1117),"")</f>
        <v/>
      </c>
      <c r="G1117" s="30" t="n"/>
      <c r="H1117" s="27" t="n"/>
    </row>
    <row r="1118" ht="20" customHeight="1">
      <c r="A1118" s="26" t="n"/>
      <c r="B1118" s="31">
        <f>IFERROR(IF(A1118="","",VLOOKUP(A1118,DATABASE!$A:$B,2,0)),"")</f>
        <v/>
      </c>
      <c r="C1118" s="32">
        <f>IFERROR(IF(A1118="","",SUMIF(SAVINGS!$A$3:A1117,A1118,SAVINGS!$E$3:E1117)-SUMIF(WITHDRAWALS!$A:$A,A1118,WITHDRAWALS!$E:$E)),"")</f>
        <v/>
      </c>
      <c r="D1118" s="33">
        <f>IF(A1118="","",TODAY())</f>
        <v/>
      </c>
      <c r="E1118" s="29" t="n"/>
      <c r="F1118" s="32">
        <f>IFERROR(IF(OR(A1118="",E1118=""),"",C1118+E1118),"")</f>
        <v/>
      </c>
      <c r="G1118" s="30" t="n"/>
      <c r="H1118" s="31" t="n"/>
    </row>
    <row r="1119" ht="20" customHeight="1">
      <c r="A1119" s="26" t="n"/>
      <c r="B1119" s="27">
        <f>IFERROR(IF(A1119="","",VLOOKUP(A1119,DATABASE!$A:$B,2,0)),"")</f>
        <v/>
      </c>
      <c r="C1119" s="20">
        <f>IFERROR(IF(A1119="","",SUMIF(SAVINGS!$A$3:A1118,A1119,SAVINGS!$E$3:E1118)-SUMIF(WITHDRAWALS!$A:$A,A1119,WITHDRAWALS!$E:$E)),"")</f>
        <v/>
      </c>
      <c r="D1119" s="28">
        <f>IF(A1119="","",TODAY())</f>
        <v/>
      </c>
      <c r="E1119" s="29" t="n"/>
      <c r="F1119" s="20">
        <f>IFERROR(IF(OR(A1119="",E1119=""),"",C1119+E1119),"")</f>
        <v/>
      </c>
      <c r="G1119" s="30" t="n"/>
      <c r="H1119" s="27" t="n"/>
    </row>
    <row r="1120" ht="20" customHeight="1">
      <c r="A1120" s="26" t="n"/>
      <c r="B1120" s="31">
        <f>IFERROR(IF(A1120="","",VLOOKUP(A1120,DATABASE!$A:$B,2,0)),"")</f>
        <v/>
      </c>
      <c r="C1120" s="32">
        <f>IFERROR(IF(A1120="","",SUMIF(SAVINGS!$A$3:A1119,A1120,SAVINGS!$E$3:E1119)-SUMIF(WITHDRAWALS!$A:$A,A1120,WITHDRAWALS!$E:$E)),"")</f>
        <v/>
      </c>
      <c r="D1120" s="33">
        <f>IF(A1120="","",TODAY())</f>
        <v/>
      </c>
      <c r="E1120" s="29" t="n"/>
      <c r="F1120" s="32">
        <f>IFERROR(IF(OR(A1120="",E1120=""),"",C1120+E1120),"")</f>
        <v/>
      </c>
      <c r="G1120" s="30" t="n"/>
      <c r="H1120" s="31" t="n"/>
    </row>
    <row r="1121" ht="20" customHeight="1">
      <c r="A1121" s="26" t="n"/>
      <c r="B1121" s="27">
        <f>IFERROR(IF(A1121="","",VLOOKUP(A1121,DATABASE!$A:$B,2,0)),"")</f>
        <v/>
      </c>
      <c r="C1121" s="20">
        <f>IFERROR(IF(A1121="","",SUMIF(SAVINGS!$A$3:A1120,A1121,SAVINGS!$E$3:E1120)-SUMIF(WITHDRAWALS!$A:$A,A1121,WITHDRAWALS!$E:$E)),"")</f>
        <v/>
      </c>
      <c r="D1121" s="28">
        <f>IF(A1121="","",TODAY())</f>
        <v/>
      </c>
      <c r="E1121" s="29" t="n"/>
      <c r="F1121" s="20">
        <f>IFERROR(IF(OR(A1121="",E1121=""),"",C1121+E1121),"")</f>
        <v/>
      </c>
      <c r="G1121" s="30" t="n"/>
      <c r="H1121" s="27" t="n"/>
    </row>
    <row r="1122" ht="20" customHeight="1">
      <c r="A1122" s="26" t="n"/>
      <c r="B1122" s="31">
        <f>IFERROR(IF(A1122="","",VLOOKUP(A1122,DATABASE!$A:$B,2,0)),"")</f>
        <v/>
      </c>
      <c r="C1122" s="32">
        <f>IFERROR(IF(A1122="","",SUMIF(SAVINGS!$A$3:A1121,A1122,SAVINGS!$E$3:E1121)-SUMIF(WITHDRAWALS!$A:$A,A1122,WITHDRAWALS!$E:$E)),"")</f>
        <v/>
      </c>
      <c r="D1122" s="33">
        <f>IF(A1122="","",TODAY())</f>
        <v/>
      </c>
      <c r="E1122" s="29" t="n"/>
      <c r="F1122" s="32">
        <f>IFERROR(IF(OR(A1122="",E1122=""),"",C1122+E1122),"")</f>
        <v/>
      </c>
      <c r="G1122" s="30" t="n"/>
      <c r="H1122" s="31" t="n"/>
    </row>
    <row r="1123" ht="20" customHeight="1">
      <c r="A1123" s="26" t="n"/>
      <c r="B1123" s="27">
        <f>IFERROR(IF(A1123="","",VLOOKUP(A1123,DATABASE!$A:$B,2,0)),"")</f>
        <v/>
      </c>
      <c r="C1123" s="20">
        <f>IFERROR(IF(A1123="","",SUMIF(SAVINGS!$A$3:A1122,A1123,SAVINGS!$E$3:E1122)-SUMIF(WITHDRAWALS!$A:$A,A1123,WITHDRAWALS!$E:$E)),"")</f>
        <v/>
      </c>
      <c r="D1123" s="28">
        <f>IF(A1123="","",TODAY())</f>
        <v/>
      </c>
      <c r="E1123" s="29" t="n"/>
      <c r="F1123" s="20">
        <f>IFERROR(IF(OR(A1123="",E1123=""),"",C1123+E1123),"")</f>
        <v/>
      </c>
      <c r="G1123" s="30" t="n"/>
      <c r="H1123" s="27" t="n"/>
    </row>
    <row r="1124" ht="20" customHeight="1">
      <c r="A1124" s="26" t="n"/>
      <c r="B1124" s="31">
        <f>IFERROR(IF(A1124="","",VLOOKUP(A1124,DATABASE!$A:$B,2,0)),"")</f>
        <v/>
      </c>
      <c r="C1124" s="32">
        <f>IFERROR(IF(A1124="","",SUMIF(SAVINGS!$A$3:A1123,A1124,SAVINGS!$E$3:E1123)-SUMIF(WITHDRAWALS!$A:$A,A1124,WITHDRAWALS!$E:$E)),"")</f>
        <v/>
      </c>
      <c r="D1124" s="33">
        <f>IF(A1124="","",TODAY())</f>
        <v/>
      </c>
      <c r="E1124" s="29" t="n"/>
      <c r="F1124" s="32">
        <f>IFERROR(IF(OR(A1124="",E1124=""),"",C1124+E1124),"")</f>
        <v/>
      </c>
      <c r="G1124" s="30" t="n"/>
      <c r="H1124" s="31" t="n"/>
    </row>
    <row r="1125" ht="20" customHeight="1">
      <c r="A1125" s="26" t="n"/>
      <c r="B1125" s="27">
        <f>IFERROR(IF(A1125="","",VLOOKUP(A1125,DATABASE!$A:$B,2,0)),"")</f>
        <v/>
      </c>
      <c r="C1125" s="20">
        <f>IFERROR(IF(A1125="","",SUMIF(SAVINGS!$A$3:A1124,A1125,SAVINGS!$E$3:E1124)-SUMIF(WITHDRAWALS!$A:$A,A1125,WITHDRAWALS!$E:$E)),"")</f>
        <v/>
      </c>
      <c r="D1125" s="28">
        <f>IF(A1125="","",TODAY())</f>
        <v/>
      </c>
      <c r="E1125" s="29" t="n"/>
      <c r="F1125" s="20">
        <f>IFERROR(IF(OR(A1125="",E1125=""),"",C1125+E1125),"")</f>
        <v/>
      </c>
      <c r="G1125" s="30" t="n"/>
      <c r="H1125" s="27" t="n"/>
    </row>
    <row r="1126" ht="20" customHeight="1">
      <c r="A1126" s="26" t="n"/>
      <c r="B1126" s="31">
        <f>IFERROR(IF(A1126="","",VLOOKUP(A1126,DATABASE!$A:$B,2,0)),"")</f>
        <v/>
      </c>
      <c r="C1126" s="32">
        <f>IFERROR(IF(A1126="","",SUMIF(SAVINGS!$A$3:A1125,A1126,SAVINGS!$E$3:E1125)-SUMIF(WITHDRAWALS!$A:$A,A1126,WITHDRAWALS!$E:$E)),"")</f>
        <v/>
      </c>
      <c r="D1126" s="33">
        <f>IF(A1126="","",TODAY())</f>
        <v/>
      </c>
      <c r="E1126" s="29" t="n"/>
      <c r="F1126" s="32">
        <f>IFERROR(IF(OR(A1126="",E1126=""),"",C1126+E1126),"")</f>
        <v/>
      </c>
      <c r="G1126" s="30" t="n"/>
      <c r="H1126" s="31" t="n"/>
    </row>
    <row r="1127" ht="20" customHeight="1">
      <c r="A1127" s="26" t="n"/>
      <c r="B1127" s="27">
        <f>IFERROR(IF(A1127="","",VLOOKUP(A1127,DATABASE!$A:$B,2,0)),"")</f>
        <v/>
      </c>
      <c r="C1127" s="20">
        <f>IFERROR(IF(A1127="","",SUMIF(SAVINGS!$A$3:A1126,A1127,SAVINGS!$E$3:E1126)-SUMIF(WITHDRAWALS!$A:$A,A1127,WITHDRAWALS!$E:$E)),"")</f>
        <v/>
      </c>
      <c r="D1127" s="28">
        <f>IF(A1127="","",TODAY())</f>
        <v/>
      </c>
      <c r="E1127" s="29" t="n"/>
      <c r="F1127" s="20">
        <f>IFERROR(IF(OR(A1127="",E1127=""),"",C1127+E1127),"")</f>
        <v/>
      </c>
      <c r="G1127" s="30" t="n"/>
      <c r="H1127" s="27" t="n"/>
    </row>
    <row r="1128" ht="20" customHeight="1">
      <c r="A1128" s="26" t="n"/>
      <c r="B1128" s="31">
        <f>IFERROR(IF(A1128="","",VLOOKUP(A1128,DATABASE!$A:$B,2,0)),"")</f>
        <v/>
      </c>
      <c r="C1128" s="32">
        <f>IFERROR(IF(A1128="","",SUMIF(SAVINGS!$A$3:A1127,A1128,SAVINGS!$E$3:E1127)-SUMIF(WITHDRAWALS!$A:$A,A1128,WITHDRAWALS!$E:$E)),"")</f>
        <v/>
      </c>
      <c r="D1128" s="33">
        <f>IF(A1128="","",TODAY())</f>
        <v/>
      </c>
      <c r="E1128" s="29" t="n"/>
      <c r="F1128" s="32">
        <f>IFERROR(IF(OR(A1128="",E1128=""),"",C1128+E1128),"")</f>
        <v/>
      </c>
      <c r="G1128" s="30" t="n"/>
      <c r="H1128" s="31" t="n"/>
    </row>
    <row r="1129" ht="20" customHeight="1">
      <c r="A1129" s="26" t="n"/>
      <c r="B1129" s="27">
        <f>IFERROR(IF(A1129="","",VLOOKUP(A1129,DATABASE!$A:$B,2,0)),"")</f>
        <v/>
      </c>
      <c r="C1129" s="20">
        <f>IFERROR(IF(A1129="","",SUMIF(SAVINGS!$A$3:A1128,A1129,SAVINGS!$E$3:E1128)-SUMIF(WITHDRAWALS!$A:$A,A1129,WITHDRAWALS!$E:$E)),"")</f>
        <v/>
      </c>
      <c r="D1129" s="28">
        <f>IF(A1129="","",TODAY())</f>
        <v/>
      </c>
      <c r="E1129" s="29" t="n"/>
      <c r="F1129" s="20">
        <f>IFERROR(IF(OR(A1129="",E1129=""),"",C1129+E1129),"")</f>
        <v/>
      </c>
      <c r="G1129" s="30" t="n"/>
      <c r="H1129" s="27" t="n"/>
    </row>
    <row r="1130" ht="20" customHeight="1">
      <c r="A1130" s="26" t="n"/>
      <c r="B1130" s="31">
        <f>IFERROR(IF(A1130="","",VLOOKUP(A1130,DATABASE!$A:$B,2,0)),"")</f>
        <v/>
      </c>
      <c r="C1130" s="32">
        <f>IFERROR(IF(A1130="","",SUMIF(SAVINGS!$A$3:A1129,A1130,SAVINGS!$E$3:E1129)-SUMIF(WITHDRAWALS!$A:$A,A1130,WITHDRAWALS!$E:$E)),"")</f>
        <v/>
      </c>
      <c r="D1130" s="33">
        <f>IF(A1130="","",TODAY())</f>
        <v/>
      </c>
      <c r="E1130" s="29" t="n"/>
      <c r="F1130" s="32">
        <f>IFERROR(IF(OR(A1130="",E1130=""),"",C1130+E1130),"")</f>
        <v/>
      </c>
      <c r="G1130" s="30" t="n"/>
      <c r="H1130" s="31" t="n"/>
    </row>
    <row r="1131" ht="20" customHeight="1">
      <c r="A1131" s="26" t="n"/>
      <c r="B1131" s="27">
        <f>IFERROR(IF(A1131="","",VLOOKUP(A1131,DATABASE!$A:$B,2,0)),"")</f>
        <v/>
      </c>
      <c r="C1131" s="20">
        <f>IFERROR(IF(A1131="","",SUMIF(SAVINGS!$A$3:A1130,A1131,SAVINGS!$E$3:E1130)-SUMIF(WITHDRAWALS!$A:$A,A1131,WITHDRAWALS!$E:$E)),"")</f>
        <v/>
      </c>
      <c r="D1131" s="28">
        <f>IF(A1131="","",TODAY())</f>
        <v/>
      </c>
      <c r="E1131" s="29" t="n"/>
      <c r="F1131" s="20">
        <f>IFERROR(IF(OR(A1131="",E1131=""),"",C1131+E1131),"")</f>
        <v/>
      </c>
      <c r="G1131" s="30" t="n"/>
      <c r="H1131" s="27" t="n"/>
    </row>
    <row r="1132" ht="20" customHeight="1">
      <c r="A1132" s="26" t="n"/>
      <c r="B1132" s="31">
        <f>IFERROR(IF(A1132="","",VLOOKUP(A1132,DATABASE!$A:$B,2,0)),"")</f>
        <v/>
      </c>
      <c r="C1132" s="32">
        <f>IFERROR(IF(A1132="","",SUMIF(SAVINGS!$A$3:A1131,A1132,SAVINGS!$E$3:E1131)-SUMIF(WITHDRAWALS!$A:$A,A1132,WITHDRAWALS!$E:$E)),"")</f>
        <v/>
      </c>
      <c r="D1132" s="33">
        <f>IF(A1132="","",TODAY())</f>
        <v/>
      </c>
      <c r="E1132" s="29" t="n"/>
      <c r="F1132" s="32">
        <f>IFERROR(IF(OR(A1132="",E1132=""),"",C1132+E1132),"")</f>
        <v/>
      </c>
      <c r="G1132" s="30" t="n"/>
      <c r="H1132" s="31" t="n"/>
    </row>
    <row r="1133" ht="20" customHeight="1">
      <c r="A1133" s="26" t="n"/>
      <c r="B1133" s="27">
        <f>IFERROR(IF(A1133="","",VLOOKUP(A1133,DATABASE!$A:$B,2,0)),"")</f>
        <v/>
      </c>
      <c r="C1133" s="20">
        <f>IFERROR(IF(A1133="","",SUMIF(SAVINGS!$A$3:A1132,A1133,SAVINGS!$E$3:E1132)-SUMIF(WITHDRAWALS!$A:$A,A1133,WITHDRAWALS!$E:$E)),"")</f>
        <v/>
      </c>
      <c r="D1133" s="28">
        <f>IF(A1133="","",TODAY())</f>
        <v/>
      </c>
      <c r="E1133" s="29" t="n"/>
      <c r="F1133" s="20">
        <f>IFERROR(IF(OR(A1133="",E1133=""),"",C1133+E1133),"")</f>
        <v/>
      </c>
      <c r="G1133" s="30" t="n"/>
      <c r="H1133" s="27" t="n"/>
    </row>
    <row r="1134" ht="20" customHeight="1">
      <c r="A1134" s="26" t="n"/>
      <c r="B1134" s="31">
        <f>IFERROR(IF(A1134="","",VLOOKUP(A1134,DATABASE!$A:$B,2,0)),"")</f>
        <v/>
      </c>
      <c r="C1134" s="32">
        <f>IFERROR(IF(A1134="","",SUMIF(SAVINGS!$A$3:A1133,A1134,SAVINGS!$E$3:E1133)-SUMIF(WITHDRAWALS!$A:$A,A1134,WITHDRAWALS!$E:$E)),"")</f>
        <v/>
      </c>
      <c r="D1134" s="33">
        <f>IF(A1134="","",TODAY())</f>
        <v/>
      </c>
      <c r="E1134" s="29" t="n"/>
      <c r="F1134" s="32">
        <f>IFERROR(IF(OR(A1134="",E1134=""),"",C1134+E1134),"")</f>
        <v/>
      </c>
      <c r="G1134" s="30" t="n"/>
      <c r="H1134" s="31" t="n"/>
    </row>
    <row r="1135" ht="20" customHeight="1">
      <c r="A1135" s="26" t="n"/>
      <c r="B1135" s="27">
        <f>IFERROR(IF(A1135="","",VLOOKUP(A1135,DATABASE!$A:$B,2,0)),"")</f>
        <v/>
      </c>
      <c r="C1135" s="20">
        <f>IFERROR(IF(A1135="","",SUMIF(SAVINGS!$A$3:A1134,A1135,SAVINGS!$E$3:E1134)-SUMIF(WITHDRAWALS!$A:$A,A1135,WITHDRAWALS!$E:$E)),"")</f>
        <v/>
      </c>
      <c r="D1135" s="28">
        <f>IF(A1135="","",TODAY())</f>
        <v/>
      </c>
      <c r="E1135" s="29" t="n"/>
      <c r="F1135" s="20">
        <f>IFERROR(IF(OR(A1135="",E1135=""),"",C1135+E1135),"")</f>
        <v/>
      </c>
      <c r="G1135" s="30" t="n"/>
      <c r="H1135" s="27" t="n"/>
    </row>
    <row r="1136" ht="20" customHeight="1">
      <c r="A1136" s="26" t="n"/>
      <c r="B1136" s="31">
        <f>IFERROR(IF(A1136="","",VLOOKUP(A1136,DATABASE!$A:$B,2,0)),"")</f>
        <v/>
      </c>
      <c r="C1136" s="32">
        <f>IFERROR(IF(A1136="","",SUMIF(SAVINGS!$A$3:A1135,A1136,SAVINGS!$E$3:E1135)-SUMIF(WITHDRAWALS!$A:$A,A1136,WITHDRAWALS!$E:$E)),"")</f>
        <v/>
      </c>
      <c r="D1136" s="33">
        <f>IF(A1136="","",TODAY())</f>
        <v/>
      </c>
      <c r="E1136" s="29" t="n"/>
      <c r="F1136" s="32">
        <f>IFERROR(IF(OR(A1136="",E1136=""),"",C1136+E1136),"")</f>
        <v/>
      </c>
      <c r="G1136" s="30" t="n"/>
      <c r="H1136" s="31" t="n"/>
    </row>
    <row r="1137" ht="20" customHeight="1">
      <c r="A1137" s="26" t="n"/>
      <c r="B1137" s="27">
        <f>IFERROR(IF(A1137="","",VLOOKUP(A1137,DATABASE!$A:$B,2,0)),"")</f>
        <v/>
      </c>
      <c r="C1137" s="20">
        <f>IFERROR(IF(A1137="","",SUMIF(SAVINGS!$A$3:A1136,A1137,SAVINGS!$E$3:E1136)-SUMIF(WITHDRAWALS!$A:$A,A1137,WITHDRAWALS!$E:$E)),"")</f>
        <v/>
      </c>
      <c r="D1137" s="28">
        <f>IF(A1137="","",TODAY())</f>
        <v/>
      </c>
      <c r="E1137" s="29" t="n"/>
      <c r="F1137" s="20">
        <f>IFERROR(IF(OR(A1137="",E1137=""),"",C1137+E1137),"")</f>
        <v/>
      </c>
      <c r="G1137" s="30" t="n"/>
      <c r="H1137" s="27" t="n"/>
    </row>
    <row r="1138" ht="20" customHeight="1">
      <c r="A1138" s="26" t="n"/>
      <c r="B1138" s="31">
        <f>IFERROR(IF(A1138="","",VLOOKUP(A1138,DATABASE!$A:$B,2,0)),"")</f>
        <v/>
      </c>
      <c r="C1138" s="32">
        <f>IFERROR(IF(A1138="","",SUMIF(SAVINGS!$A$3:A1137,A1138,SAVINGS!$E$3:E1137)-SUMIF(WITHDRAWALS!$A:$A,A1138,WITHDRAWALS!$E:$E)),"")</f>
        <v/>
      </c>
      <c r="D1138" s="33">
        <f>IF(A1138="","",TODAY())</f>
        <v/>
      </c>
      <c r="E1138" s="29" t="n"/>
      <c r="F1138" s="32">
        <f>IFERROR(IF(OR(A1138="",E1138=""),"",C1138+E1138),"")</f>
        <v/>
      </c>
      <c r="G1138" s="30" t="n"/>
      <c r="H1138" s="31" t="n"/>
    </row>
    <row r="1139" ht="20" customHeight="1">
      <c r="A1139" s="26" t="n"/>
      <c r="B1139" s="27">
        <f>IFERROR(IF(A1139="","",VLOOKUP(A1139,DATABASE!$A:$B,2,0)),"")</f>
        <v/>
      </c>
      <c r="C1139" s="20">
        <f>IFERROR(IF(A1139="","",SUMIF(SAVINGS!$A$3:A1138,A1139,SAVINGS!$E$3:E1138)-SUMIF(WITHDRAWALS!$A:$A,A1139,WITHDRAWALS!$E:$E)),"")</f>
        <v/>
      </c>
      <c r="D1139" s="28">
        <f>IF(A1139="","",TODAY())</f>
        <v/>
      </c>
      <c r="E1139" s="29" t="n"/>
      <c r="F1139" s="20">
        <f>IFERROR(IF(OR(A1139="",E1139=""),"",C1139+E1139),"")</f>
        <v/>
      </c>
      <c r="G1139" s="30" t="n"/>
      <c r="H1139" s="27" t="n"/>
    </row>
    <row r="1140" ht="20" customHeight="1">
      <c r="A1140" s="26" t="n"/>
      <c r="B1140" s="31">
        <f>IFERROR(IF(A1140="","",VLOOKUP(A1140,DATABASE!$A:$B,2,0)),"")</f>
        <v/>
      </c>
      <c r="C1140" s="32">
        <f>IFERROR(IF(A1140="","",SUMIF(SAVINGS!$A$3:A1139,A1140,SAVINGS!$E$3:E1139)-SUMIF(WITHDRAWALS!$A:$A,A1140,WITHDRAWALS!$E:$E)),"")</f>
        <v/>
      </c>
      <c r="D1140" s="33">
        <f>IF(A1140="","",TODAY())</f>
        <v/>
      </c>
      <c r="E1140" s="29" t="n"/>
      <c r="F1140" s="32">
        <f>IFERROR(IF(OR(A1140="",E1140=""),"",C1140+E1140),"")</f>
        <v/>
      </c>
      <c r="G1140" s="30" t="n"/>
      <c r="H1140" s="31" t="n"/>
    </row>
    <row r="1141" ht="20" customHeight="1">
      <c r="A1141" s="26" t="n"/>
      <c r="B1141" s="27">
        <f>IFERROR(IF(A1141="","",VLOOKUP(A1141,DATABASE!$A:$B,2,0)),"")</f>
        <v/>
      </c>
      <c r="C1141" s="20">
        <f>IFERROR(IF(A1141="","",SUMIF(SAVINGS!$A$3:A1140,A1141,SAVINGS!$E$3:E1140)-SUMIF(WITHDRAWALS!$A:$A,A1141,WITHDRAWALS!$E:$E)),"")</f>
        <v/>
      </c>
      <c r="D1141" s="28">
        <f>IF(A1141="","",TODAY())</f>
        <v/>
      </c>
      <c r="E1141" s="29" t="n"/>
      <c r="F1141" s="20">
        <f>IFERROR(IF(OR(A1141="",E1141=""),"",C1141+E1141),"")</f>
        <v/>
      </c>
      <c r="G1141" s="30" t="n"/>
      <c r="H1141" s="27" t="n"/>
    </row>
    <row r="1142" ht="20" customHeight="1">
      <c r="A1142" s="26" t="n"/>
      <c r="B1142" s="31">
        <f>IFERROR(IF(A1142="","",VLOOKUP(A1142,DATABASE!$A:$B,2,0)),"")</f>
        <v/>
      </c>
      <c r="C1142" s="32">
        <f>IFERROR(IF(A1142="","",SUMIF(SAVINGS!$A$3:A1141,A1142,SAVINGS!$E$3:E1141)-SUMIF(WITHDRAWALS!$A:$A,A1142,WITHDRAWALS!$E:$E)),"")</f>
        <v/>
      </c>
      <c r="D1142" s="33">
        <f>IF(A1142="","",TODAY())</f>
        <v/>
      </c>
      <c r="E1142" s="29" t="n"/>
      <c r="F1142" s="32">
        <f>IFERROR(IF(OR(A1142="",E1142=""),"",C1142+E1142),"")</f>
        <v/>
      </c>
      <c r="G1142" s="30" t="n"/>
      <c r="H1142" s="31" t="n"/>
    </row>
    <row r="1143" ht="20" customHeight="1">
      <c r="A1143" s="26" t="n"/>
      <c r="B1143" s="27">
        <f>IFERROR(IF(A1143="","",VLOOKUP(A1143,DATABASE!$A:$B,2,0)),"")</f>
        <v/>
      </c>
      <c r="C1143" s="20">
        <f>IFERROR(IF(A1143="","",SUMIF(SAVINGS!$A$3:A1142,A1143,SAVINGS!$E$3:E1142)-SUMIF(WITHDRAWALS!$A:$A,A1143,WITHDRAWALS!$E:$E)),"")</f>
        <v/>
      </c>
      <c r="D1143" s="28">
        <f>IF(A1143="","",TODAY())</f>
        <v/>
      </c>
      <c r="E1143" s="29" t="n"/>
      <c r="F1143" s="20">
        <f>IFERROR(IF(OR(A1143="",E1143=""),"",C1143+E1143),"")</f>
        <v/>
      </c>
      <c r="G1143" s="30" t="n"/>
      <c r="H1143" s="27" t="n"/>
    </row>
    <row r="1144" ht="20" customHeight="1">
      <c r="A1144" s="26" t="n"/>
      <c r="B1144" s="31">
        <f>IFERROR(IF(A1144="","",VLOOKUP(A1144,DATABASE!$A:$B,2,0)),"")</f>
        <v/>
      </c>
      <c r="C1144" s="32">
        <f>IFERROR(IF(A1144="","",SUMIF(SAVINGS!$A$3:A1143,A1144,SAVINGS!$E$3:E1143)-SUMIF(WITHDRAWALS!$A:$A,A1144,WITHDRAWALS!$E:$E)),"")</f>
        <v/>
      </c>
      <c r="D1144" s="33">
        <f>IF(A1144="","",TODAY())</f>
        <v/>
      </c>
      <c r="E1144" s="29" t="n"/>
      <c r="F1144" s="32">
        <f>IFERROR(IF(OR(A1144="",E1144=""),"",C1144+E1144),"")</f>
        <v/>
      </c>
      <c r="G1144" s="30" t="n"/>
      <c r="H1144" s="31" t="n"/>
    </row>
    <row r="1145" ht="20" customHeight="1">
      <c r="A1145" s="26" t="n"/>
      <c r="B1145" s="27">
        <f>IFERROR(IF(A1145="","",VLOOKUP(A1145,DATABASE!$A:$B,2,0)),"")</f>
        <v/>
      </c>
      <c r="C1145" s="20">
        <f>IFERROR(IF(A1145="","",SUMIF(SAVINGS!$A$3:A1144,A1145,SAVINGS!$E$3:E1144)-SUMIF(WITHDRAWALS!$A:$A,A1145,WITHDRAWALS!$E:$E)),"")</f>
        <v/>
      </c>
      <c r="D1145" s="28">
        <f>IF(A1145="","",TODAY())</f>
        <v/>
      </c>
      <c r="E1145" s="29" t="n"/>
      <c r="F1145" s="20">
        <f>IFERROR(IF(OR(A1145="",E1145=""),"",C1145+E1145),"")</f>
        <v/>
      </c>
      <c r="G1145" s="30" t="n"/>
      <c r="H1145" s="27" t="n"/>
    </row>
    <row r="1146" ht="20" customHeight="1">
      <c r="A1146" s="26" t="n"/>
      <c r="B1146" s="31">
        <f>IFERROR(IF(A1146="","",VLOOKUP(A1146,DATABASE!$A:$B,2,0)),"")</f>
        <v/>
      </c>
      <c r="C1146" s="32">
        <f>IFERROR(IF(A1146="","",SUMIF(SAVINGS!$A$3:A1145,A1146,SAVINGS!$E$3:E1145)-SUMIF(WITHDRAWALS!$A:$A,A1146,WITHDRAWALS!$E:$E)),"")</f>
        <v/>
      </c>
      <c r="D1146" s="33">
        <f>IF(A1146="","",TODAY())</f>
        <v/>
      </c>
      <c r="E1146" s="29" t="n"/>
      <c r="F1146" s="32">
        <f>IFERROR(IF(OR(A1146="",E1146=""),"",C1146+E1146),"")</f>
        <v/>
      </c>
      <c r="G1146" s="30" t="n"/>
      <c r="H1146" s="31" t="n"/>
    </row>
    <row r="1147" ht="20" customHeight="1">
      <c r="A1147" s="26" t="n"/>
      <c r="B1147" s="27">
        <f>IFERROR(IF(A1147="","",VLOOKUP(A1147,DATABASE!$A:$B,2,0)),"")</f>
        <v/>
      </c>
      <c r="C1147" s="20">
        <f>IFERROR(IF(A1147="","",SUMIF(SAVINGS!$A$3:A1146,A1147,SAVINGS!$E$3:E1146)-SUMIF(WITHDRAWALS!$A:$A,A1147,WITHDRAWALS!$E:$E)),"")</f>
        <v/>
      </c>
      <c r="D1147" s="28">
        <f>IF(A1147="","",TODAY())</f>
        <v/>
      </c>
      <c r="E1147" s="29" t="n"/>
      <c r="F1147" s="20">
        <f>IFERROR(IF(OR(A1147="",E1147=""),"",C1147+E1147),"")</f>
        <v/>
      </c>
      <c r="G1147" s="30" t="n"/>
      <c r="H1147" s="27" t="n"/>
    </row>
    <row r="1148" ht="20" customHeight="1">
      <c r="A1148" s="26" t="n"/>
      <c r="B1148" s="31">
        <f>IFERROR(IF(A1148="","",VLOOKUP(A1148,DATABASE!$A:$B,2,0)),"")</f>
        <v/>
      </c>
      <c r="C1148" s="32">
        <f>IFERROR(IF(A1148="","",SUMIF(SAVINGS!$A$3:A1147,A1148,SAVINGS!$E$3:E1147)-SUMIF(WITHDRAWALS!$A:$A,A1148,WITHDRAWALS!$E:$E)),"")</f>
        <v/>
      </c>
      <c r="D1148" s="33">
        <f>IF(A1148="","",TODAY())</f>
        <v/>
      </c>
      <c r="E1148" s="29" t="n"/>
      <c r="F1148" s="32">
        <f>IFERROR(IF(OR(A1148="",E1148=""),"",C1148+E1148),"")</f>
        <v/>
      </c>
      <c r="G1148" s="30" t="n"/>
      <c r="H1148" s="31" t="n"/>
    </row>
    <row r="1149" ht="20" customHeight="1">
      <c r="A1149" s="26" t="n"/>
      <c r="B1149" s="27">
        <f>IFERROR(IF(A1149="","",VLOOKUP(A1149,DATABASE!$A:$B,2,0)),"")</f>
        <v/>
      </c>
      <c r="C1149" s="20">
        <f>IFERROR(IF(A1149="","",SUMIF(SAVINGS!$A$3:A1148,A1149,SAVINGS!$E$3:E1148)-SUMIF(WITHDRAWALS!$A:$A,A1149,WITHDRAWALS!$E:$E)),"")</f>
        <v/>
      </c>
      <c r="D1149" s="28">
        <f>IF(A1149="","",TODAY())</f>
        <v/>
      </c>
      <c r="E1149" s="29" t="n"/>
      <c r="F1149" s="20">
        <f>IFERROR(IF(OR(A1149="",E1149=""),"",C1149+E1149),"")</f>
        <v/>
      </c>
      <c r="G1149" s="30" t="n"/>
      <c r="H1149" s="27" t="n"/>
    </row>
    <row r="1150" ht="20" customHeight="1">
      <c r="A1150" s="26" t="n"/>
      <c r="B1150" s="31">
        <f>IFERROR(IF(A1150="","",VLOOKUP(A1150,DATABASE!$A:$B,2,0)),"")</f>
        <v/>
      </c>
      <c r="C1150" s="32">
        <f>IFERROR(IF(A1150="","",SUMIF(SAVINGS!$A$3:A1149,A1150,SAVINGS!$E$3:E1149)-SUMIF(WITHDRAWALS!$A:$A,A1150,WITHDRAWALS!$E:$E)),"")</f>
        <v/>
      </c>
      <c r="D1150" s="33">
        <f>IF(A1150="","",TODAY())</f>
        <v/>
      </c>
      <c r="E1150" s="29" t="n"/>
      <c r="F1150" s="32">
        <f>IFERROR(IF(OR(A1150="",E1150=""),"",C1150+E1150),"")</f>
        <v/>
      </c>
      <c r="G1150" s="30" t="n"/>
      <c r="H1150" s="31" t="n"/>
    </row>
    <row r="1151" ht="20" customHeight="1">
      <c r="A1151" s="26" t="n"/>
      <c r="B1151" s="27">
        <f>IFERROR(IF(A1151="","",VLOOKUP(A1151,DATABASE!$A:$B,2,0)),"")</f>
        <v/>
      </c>
      <c r="C1151" s="20">
        <f>IFERROR(IF(A1151="","",SUMIF(SAVINGS!$A$3:A1150,A1151,SAVINGS!$E$3:E1150)-SUMIF(WITHDRAWALS!$A:$A,A1151,WITHDRAWALS!$E:$E)),"")</f>
        <v/>
      </c>
      <c r="D1151" s="28">
        <f>IF(A1151="","",TODAY())</f>
        <v/>
      </c>
      <c r="E1151" s="29" t="n"/>
      <c r="F1151" s="20">
        <f>IFERROR(IF(OR(A1151="",E1151=""),"",C1151+E1151),"")</f>
        <v/>
      </c>
      <c r="G1151" s="30" t="n"/>
      <c r="H1151" s="27" t="n"/>
    </row>
    <row r="1152" ht="20" customHeight="1">
      <c r="A1152" s="26" t="n"/>
      <c r="B1152" s="31">
        <f>IFERROR(IF(A1152="","",VLOOKUP(A1152,DATABASE!$A:$B,2,0)),"")</f>
        <v/>
      </c>
      <c r="C1152" s="32">
        <f>IFERROR(IF(A1152="","",SUMIF(SAVINGS!$A$3:A1151,A1152,SAVINGS!$E$3:E1151)-SUMIF(WITHDRAWALS!$A:$A,A1152,WITHDRAWALS!$E:$E)),"")</f>
        <v/>
      </c>
      <c r="D1152" s="33">
        <f>IF(A1152="","",TODAY())</f>
        <v/>
      </c>
      <c r="E1152" s="29" t="n"/>
      <c r="F1152" s="32">
        <f>IFERROR(IF(OR(A1152="",E1152=""),"",C1152+E1152),"")</f>
        <v/>
      </c>
      <c r="G1152" s="30" t="n"/>
      <c r="H1152" s="31" t="n"/>
    </row>
    <row r="1153" ht="20" customHeight="1">
      <c r="A1153" s="26" t="n"/>
      <c r="B1153" s="27">
        <f>IFERROR(IF(A1153="","",VLOOKUP(A1153,DATABASE!$A:$B,2,0)),"")</f>
        <v/>
      </c>
      <c r="C1153" s="20">
        <f>IFERROR(IF(A1153="","",SUMIF(SAVINGS!$A$3:A1152,A1153,SAVINGS!$E$3:E1152)-SUMIF(WITHDRAWALS!$A:$A,A1153,WITHDRAWALS!$E:$E)),"")</f>
        <v/>
      </c>
      <c r="D1153" s="28">
        <f>IF(A1153="","",TODAY())</f>
        <v/>
      </c>
      <c r="E1153" s="29" t="n"/>
      <c r="F1153" s="20">
        <f>IFERROR(IF(OR(A1153="",E1153=""),"",C1153+E1153),"")</f>
        <v/>
      </c>
      <c r="G1153" s="30" t="n"/>
      <c r="H1153" s="27" t="n"/>
    </row>
    <row r="1154" ht="20" customHeight="1">
      <c r="A1154" s="26" t="n"/>
      <c r="B1154" s="31">
        <f>IFERROR(IF(A1154="","",VLOOKUP(A1154,DATABASE!$A:$B,2,0)),"")</f>
        <v/>
      </c>
      <c r="C1154" s="32">
        <f>IFERROR(IF(A1154="","",SUMIF(SAVINGS!$A$3:A1153,A1154,SAVINGS!$E$3:E1153)-SUMIF(WITHDRAWALS!$A:$A,A1154,WITHDRAWALS!$E:$E)),"")</f>
        <v/>
      </c>
      <c r="D1154" s="33">
        <f>IF(A1154="","",TODAY())</f>
        <v/>
      </c>
      <c r="E1154" s="29" t="n"/>
      <c r="F1154" s="32">
        <f>IFERROR(IF(OR(A1154="",E1154=""),"",C1154+E1154),"")</f>
        <v/>
      </c>
      <c r="G1154" s="30" t="n"/>
      <c r="H1154" s="31" t="n"/>
    </row>
    <row r="1155" ht="20" customHeight="1">
      <c r="A1155" s="26" t="n"/>
      <c r="B1155" s="27">
        <f>IFERROR(IF(A1155="","",VLOOKUP(A1155,DATABASE!$A:$B,2,0)),"")</f>
        <v/>
      </c>
      <c r="C1155" s="20">
        <f>IFERROR(IF(A1155="","",SUMIF(SAVINGS!$A$3:A1154,A1155,SAVINGS!$E$3:E1154)-SUMIF(WITHDRAWALS!$A:$A,A1155,WITHDRAWALS!$E:$E)),"")</f>
        <v/>
      </c>
      <c r="D1155" s="28">
        <f>IF(A1155="","",TODAY())</f>
        <v/>
      </c>
      <c r="E1155" s="29" t="n"/>
      <c r="F1155" s="20">
        <f>IFERROR(IF(OR(A1155="",E1155=""),"",C1155+E1155),"")</f>
        <v/>
      </c>
      <c r="G1155" s="30" t="n"/>
      <c r="H1155" s="27" t="n"/>
    </row>
    <row r="1156" ht="20" customHeight="1">
      <c r="A1156" s="26" t="n"/>
      <c r="B1156" s="31">
        <f>IFERROR(IF(A1156="","",VLOOKUP(A1156,DATABASE!$A:$B,2,0)),"")</f>
        <v/>
      </c>
      <c r="C1156" s="32">
        <f>IFERROR(IF(A1156="","",SUMIF(SAVINGS!$A$3:A1155,A1156,SAVINGS!$E$3:E1155)-SUMIF(WITHDRAWALS!$A:$A,A1156,WITHDRAWALS!$E:$E)),"")</f>
        <v/>
      </c>
      <c r="D1156" s="33">
        <f>IF(A1156="","",TODAY())</f>
        <v/>
      </c>
      <c r="E1156" s="29" t="n"/>
      <c r="F1156" s="32">
        <f>IFERROR(IF(OR(A1156="",E1156=""),"",C1156+E1156),"")</f>
        <v/>
      </c>
      <c r="G1156" s="30" t="n"/>
      <c r="H1156" s="31" t="n"/>
    </row>
    <row r="1157" ht="20" customHeight="1">
      <c r="A1157" s="26" t="n"/>
      <c r="B1157" s="27">
        <f>IFERROR(IF(A1157="","",VLOOKUP(A1157,DATABASE!$A:$B,2,0)),"")</f>
        <v/>
      </c>
      <c r="C1157" s="20">
        <f>IFERROR(IF(A1157="","",SUMIF(SAVINGS!$A$3:A1156,A1157,SAVINGS!$E$3:E1156)-SUMIF(WITHDRAWALS!$A:$A,A1157,WITHDRAWALS!$E:$E)),"")</f>
        <v/>
      </c>
      <c r="D1157" s="28">
        <f>IF(A1157="","",TODAY())</f>
        <v/>
      </c>
      <c r="E1157" s="29" t="n"/>
      <c r="F1157" s="20">
        <f>IFERROR(IF(OR(A1157="",E1157=""),"",C1157+E1157),"")</f>
        <v/>
      </c>
      <c r="G1157" s="30" t="n"/>
      <c r="H1157" s="27" t="n"/>
    </row>
    <row r="1158" ht="20" customHeight="1">
      <c r="A1158" s="26" t="n"/>
      <c r="B1158" s="31">
        <f>IFERROR(IF(A1158="","",VLOOKUP(A1158,DATABASE!$A:$B,2,0)),"")</f>
        <v/>
      </c>
      <c r="C1158" s="32">
        <f>IFERROR(IF(A1158="","",SUMIF(SAVINGS!$A$3:A1157,A1158,SAVINGS!$E$3:E1157)-SUMIF(WITHDRAWALS!$A:$A,A1158,WITHDRAWALS!$E:$E)),"")</f>
        <v/>
      </c>
      <c r="D1158" s="33">
        <f>IF(A1158="","",TODAY())</f>
        <v/>
      </c>
      <c r="E1158" s="29" t="n"/>
      <c r="F1158" s="32">
        <f>IFERROR(IF(OR(A1158="",E1158=""),"",C1158+E1158),"")</f>
        <v/>
      </c>
      <c r="G1158" s="30" t="n"/>
      <c r="H1158" s="31" t="n"/>
    </row>
    <row r="1159" ht="20" customHeight="1">
      <c r="A1159" s="26" t="n"/>
      <c r="B1159" s="27">
        <f>IFERROR(IF(A1159="","",VLOOKUP(A1159,DATABASE!$A:$B,2,0)),"")</f>
        <v/>
      </c>
      <c r="C1159" s="20">
        <f>IFERROR(IF(A1159="","",SUMIF(SAVINGS!$A$3:A1158,A1159,SAVINGS!$E$3:E1158)-SUMIF(WITHDRAWALS!$A:$A,A1159,WITHDRAWALS!$E:$E)),"")</f>
        <v/>
      </c>
      <c r="D1159" s="28">
        <f>IF(A1159="","",TODAY())</f>
        <v/>
      </c>
      <c r="E1159" s="29" t="n"/>
      <c r="F1159" s="20">
        <f>IFERROR(IF(OR(A1159="",E1159=""),"",C1159+E1159),"")</f>
        <v/>
      </c>
      <c r="G1159" s="30" t="n"/>
      <c r="H1159" s="27" t="n"/>
    </row>
    <row r="1160" ht="20" customHeight="1">
      <c r="A1160" s="26" t="n"/>
      <c r="B1160" s="31">
        <f>IFERROR(IF(A1160="","",VLOOKUP(A1160,DATABASE!$A:$B,2,0)),"")</f>
        <v/>
      </c>
      <c r="C1160" s="32">
        <f>IFERROR(IF(A1160="","",SUMIF(SAVINGS!$A$3:A1159,A1160,SAVINGS!$E$3:E1159)-SUMIF(WITHDRAWALS!$A:$A,A1160,WITHDRAWALS!$E:$E)),"")</f>
        <v/>
      </c>
      <c r="D1160" s="33">
        <f>IF(A1160="","",TODAY())</f>
        <v/>
      </c>
      <c r="E1160" s="29" t="n"/>
      <c r="F1160" s="32">
        <f>IFERROR(IF(OR(A1160="",E1160=""),"",C1160+E1160),"")</f>
        <v/>
      </c>
      <c r="G1160" s="30" t="n"/>
      <c r="H1160" s="31" t="n"/>
    </row>
    <row r="1161" ht="20" customHeight="1">
      <c r="A1161" s="26" t="n"/>
      <c r="B1161" s="27">
        <f>IFERROR(IF(A1161="","",VLOOKUP(A1161,DATABASE!$A:$B,2,0)),"")</f>
        <v/>
      </c>
      <c r="C1161" s="20">
        <f>IFERROR(IF(A1161="","",SUMIF(SAVINGS!$A$3:A1160,A1161,SAVINGS!$E$3:E1160)-SUMIF(WITHDRAWALS!$A:$A,A1161,WITHDRAWALS!$E:$E)),"")</f>
        <v/>
      </c>
      <c r="D1161" s="28">
        <f>IF(A1161="","",TODAY())</f>
        <v/>
      </c>
      <c r="E1161" s="29" t="n"/>
      <c r="F1161" s="20">
        <f>IFERROR(IF(OR(A1161="",E1161=""),"",C1161+E1161),"")</f>
        <v/>
      </c>
      <c r="G1161" s="30" t="n"/>
      <c r="H1161" s="27" t="n"/>
    </row>
    <row r="1162" ht="20" customHeight="1">
      <c r="A1162" s="26" t="n"/>
      <c r="B1162" s="31">
        <f>IFERROR(IF(A1162="","",VLOOKUP(A1162,DATABASE!$A:$B,2,0)),"")</f>
        <v/>
      </c>
      <c r="C1162" s="32">
        <f>IFERROR(IF(A1162="","",SUMIF(SAVINGS!$A$3:A1161,A1162,SAVINGS!$E$3:E1161)-SUMIF(WITHDRAWALS!$A:$A,A1162,WITHDRAWALS!$E:$E)),"")</f>
        <v/>
      </c>
      <c r="D1162" s="33">
        <f>IF(A1162="","",TODAY())</f>
        <v/>
      </c>
      <c r="E1162" s="29" t="n"/>
      <c r="F1162" s="32">
        <f>IFERROR(IF(OR(A1162="",E1162=""),"",C1162+E1162),"")</f>
        <v/>
      </c>
      <c r="G1162" s="30" t="n"/>
      <c r="H1162" s="31" t="n"/>
    </row>
    <row r="1163" ht="20" customHeight="1">
      <c r="A1163" s="26" t="n"/>
      <c r="B1163" s="27">
        <f>IFERROR(IF(A1163="","",VLOOKUP(A1163,DATABASE!$A:$B,2,0)),"")</f>
        <v/>
      </c>
      <c r="C1163" s="20">
        <f>IFERROR(IF(A1163="","",SUMIF(SAVINGS!$A$3:A1162,A1163,SAVINGS!$E$3:E1162)-SUMIF(WITHDRAWALS!$A:$A,A1163,WITHDRAWALS!$E:$E)),"")</f>
        <v/>
      </c>
      <c r="D1163" s="28">
        <f>IF(A1163="","",TODAY())</f>
        <v/>
      </c>
      <c r="E1163" s="29" t="n"/>
      <c r="F1163" s="20">
        <f>IFERROR(IF(OR(A1163="",E1163=""),"",C1163+E1163),"")</f>
        <v/>
      </c>
      <c r="G1163" s="30" t="n"/>
      <c r="H1163" s="27" t="n"/>
    </row>
    <row r="1164" ht="20" customHeight="1">
      <c r="A1164" s="26" t="n"/>
      <c r="B1164" s="31">
        <f>IFERROR(IF(A1164="","",VLOOKUP(A1164,DATABASE!$A:$B,2,0)),"")</f>
        <v/>
      </c>
      <c r="C1164" s="32">
        <f>IFERROR(IF(A1164="","",SUMIF(SAVINGS!$A$3:A1163,A1164,SAVINGS!$E$3:E1163)-SUMIF(WITHDRAWALS!$A:$A,A1164,WITHDRAWALS!$E:$E)),"")</f>
        <v/>
      </c>
      <c r="D1164" s="33">
        <f>IF(A1164="","",TODAY())</f>
        <v/>
      </c>
      <c r="E1164" s="29" t="n"/>
      <c r="F1164" s="32">
        <f>IFERROR(IF(OR(A1164="",E1164=""),"",C1164+E1164),"")</f>
        <v/>
      </c>
      <c r="G1164" s="30" t="n"/>
      <c r="H1164" s="31" t="n"/>
    </row>
    <row r="1165" ht="20" customHeight="1">
      <c r="A1165" s="26" t="n"/>
      <c r="B1165" s="27">
        <f>IFERROR(IF(A1165="","",VLOOKUP(A1165,DATABASE!$A:$B,2,0)),"")</f>
        <v/>
      </c>
      <c r="C1165" s="20">
        <f>IFERROR(IF(A1165="","",SUMIF(SAVINGS!$A$3:A1164,A1165,SAVINGS!$E$3:E1164)-SUMIF(WITHDRAWALS!$A:$A,A1165,WITHDRAWALS!$E:$E)),"")</f>
        <v/>
      </c>
      <c r="D1165" s="28">
        <f>IF(A1165="","",TODAY())</f>
        <v/>
      </c>
      <c r="E1165" s="29" t="n"/>
      <c r="F1165" s="20">
        <f>IFERROR(IF(OR(A1165="",E1165=""),"",C1165+E1165),"")</f>
        <v/>
      </c>
      <c r="G1165" s="30" t="n"/>
      <c r="H1165" s="27" t="n"/>
    </row>
    <row r="1166" ht="20" customHeight="1">
      <c r="A1166" s="26" t="n"/>
      <c r="B1166" s="31">
        <f>IFERROR(IF(A1166="","",VLOOKUP(A1166,DATABASE!$A:$B,2,0)),"")</f>
        <v/>
      </c>
      <c r="C1166" s="32">
        <f>IFERROR(IF(A1166="","",SUMIF(SAVINGS!$A$3:A1165,A1166,SAVINGS!$E$3:E1165)-SUMIF(WITHDRAWALS!$A:$A,A1166,WITHDRAWALS!$E:$E)),"")</f>
        <v/>
      </c>
      <c r="D1166" s="33">
        <f>IF(A1166="","",TODAY())</f>
        <v/>
      </c>
      <c r="E1166" s="29" t="n"/>
      <c r="F1166" s="32">
        <f>IFERROR(IF(OR(A1166="",E1166=""),"",C1166+E1166),"")</f>
        <v/>
      </c>
      <c r="G1166" s="30" t="n"/>
      <c r="H1166" s="31" t="n"/>
    </row>
    <row r="1167" ht="20" customHeight="1">
      <c r="A1167" s="26" t="n"/>
      <c r="B1167" s="27">
        <f>IFERROR(IF(A1167="","",VLOOKUP(A1167,DATABASE!$A:$B,2,0)),"")</f>
        <v/>
      </c>
      <c r="C1167" s="20">
        <f>IFERROR(IF(A1167="","",SUMIF(SAVINGS!$A$3:A1166,A1167,SAVINGS!$E$3:E1166)-SUMIF(WITHDRAWALS!$A:$A,A1167,WITHDRAWALS!$E:$E)),"")</f>
        <v/>
      </c>
      <c r="D1167" s="28">
        <f>IF(A1167="","",TODAY())</f>
        <v/>
      </c>
      <c r="E1167" s="29" t="n"/>
      <c r="F1167" s="20">
        <f>IFERROR(IF(OR(A1167="",E1167=""),"",C1167+E1167),"")</f>
        <v/>
      </c>
      <c r="G1167" s="30" t="n"/>
      <c r="H1167" s="27" t="n"/>
    </row>
    <row r="1168" ht="20" customHeight="1">
      <c r="A1168" s="26" t="n"/>
      <c r="B1168" s="31">
        <f>IFERROR(IF(A1168="","",VLOOKUP(A1168,DATABASE!$A:$B,2,0)),"")</f>
        <v/>
      </c>
      <c r="C1168" s="32">
        <f>IFERROR(IF(A1168="","",SUMIF(SAVINGS!$A$3:A1167,A1168,SAVINGS!$E$3:E1167)-SUMIF(WITHDRAWALS!$A:$A,A1168,WITHDRAWALS!$E:$E)),"")</f>
        <v/>
      </c>
      <c r="D1168" s="33">
        <f>IF(A1168="","",TODAY())</f>
        <v/>
      </c>
      <c r="E1168" s="29" t="n"/>
      <c r="F1168" s="32">
        <f>IFERROR(IF(OR(A1168="",E1168=""),"",C1168+E1168),"")</f>
        <v/>
      </c>
      <c r="G1168" s="30" t="n"/>
      <c r="H1168" s="31" t="n"/>
    </row>
    <row r="1169" ht="20" customHeight="1">
      <c r="A1169" s="26" t="n"/>
      <c r="B1169" s="27">
        <f>IFERROR(IF(A1169="","",VLOOKUP(A1169,DATABASE!$A:$B,2,0)),"")</f>
        <v/>
      </c>
      <c r="C1169" s="20">
        <f>IFERROR(IF(A1169="","",SUMIF(SAVINGS!$A$3:A1168,A1169,SAVINGS!$E$3:E1168)-SUMIF(WITHDRAWALS!$A:$A,A1169,WITHDRAWALS!$E:$E)),"")</f>
        <v/>
      </c>
      <c r="D1169" s="28">
        <f>IF(A1169="","",TODAY())</f>
        <v/>
      </c>
      <c r="E1169" s="29" t="n"/>
      <c r="F1169" s="20">
        <f>IFERROR(IF(OR(A1169="",E1169=""),"",C1169+E1169),"")</f>
        <v/>
      </c>
      <c r="G1169" s="30" t="n"/>
      <c r="H1169" s="27" t="n"/>
    </row>
    <row r="1170" ht="20" customHeight="1">
      <c r="A1170" s="26" t="n"/>
      <c r="B1170" s="31">
        <f>IFERROR(IF(A1170="","",VLOOKUP(A1170,DATABASE!$A:$B,2,0)),"")</f>
        <v/>
      </c>
      <c r="C1170" s="32">
        <f>IFERROR(IF(A1170="","",SUMIF(SAVINGS!$A$3:A1169,A1170,SAVINGS!$E$3:E1169)-SUMIF(WITHDRAWALS!$A:$A,A1170,WITHDRAWALS!$E:$E)),"")</f>
        <v/>
      </c>
      <c r="D1170" s="33">
        <f>IF(A1170="","",TODAY())</f>
        <v/>
      </c>
      <c r="E1170" s="29" t="n"/>
      <c r="F1170" s="32">
        <f>IFERROR(IF(OR(A1170="",E1170=""),"",C1170+E1170),"")</f>
        <v/>
      </c>
      <c r="G1170" s="30" t="n"/>
      <c r="H1170" s="31" t="n"/>
    </row>
    <row r="1171" ht="20" customHeight="1">
      <c r="A1171" s="26" t="n"/>
      <c r="B1171" s="27">
        <f>IFERROR(IF(A1171="","",VLOOKUP(A1171,DATABASE!$A:$B,2,0)),"")</f>
        <v/>
      </c>
      <c r="C1171" s="20">
        <f>IFERROR(IF(A1171="","",SUMIF(SAVINGS!$A$3:A1170,A1171,SAVINGS!$E$3:E1170)-SUMIF(WITHDRAWALS!$A:$A,A1171,WITHDRAWALS!$E:$E)),"")</f>
        <v/>
      </c>
      <c r="D1171" s="28">
        <f>IF(A1171="","",TODAY())</f>
        <v/>
      </c>
      <c r="E1171" s="29" t="n"/>
      <c r="F1171" s="20">
        <f>IFERROR(IF(OR(A1171="",E1171=""),"",C1171+E1171),"")</f>
        <v/>
      </c>
      <c r="G1171" s="30" t="n"/>
      <c r="H1171" s="27" t="n"/>
    </row>
    <row r="1172" ht="20" customHeight="1">
      <c r="A1172" s="26" t="n"/>
      <c r="B1172" s="31">
        <f>IFERROR(IF(A1172="","",VLOOKUP(A1172,DATABASE!$A:$B,2,0)),"")</f>
        <v/>
      </c>
      <c r="C1172" s="32">
        <f>IFERROR(IF(A1172="","",SUMIF(SAVINGS!$A$3:A1171,A1172,SAVINGS!$E$3:E1171)-SUMIF(WITHDRAWALS!$A:$A,A1172,WITHDRAWALS!$E:$E)),"")</f>
        <v/>
      </c>
      <c r="D1172" s="33">
        <f>IF(A1172="","",TODAY())</f>
        <v/>
      </c>
      <c r="E1172" s="29" t="n"/>
      <c r="F1172" s="32">
        <f>IFERROR(IF(OR(A1172="",E1172=""),"",C1172+E1172),"")</f>
        <v/>
      </c>
      <c r="G1172" s="30" t="n"/>
      <c r="H1172" s="31" t="n"/>
    </row>
    <row r="1173" ht="20" customHeight="1">
      <c r="A1173" s="26" t="n"/>
      <c r="B1173" s="27">
        <f>IFERROR(IF(A1173="","",VLOOKUP(A1173,DATABASE!$A:$B,2,0)),"")</f>
        <v/>
      </c>
      <c r="C1173" s="20">
        <f>IFERROR(IF(A1173="","",SUMIF(SAVINGS!$A$3:A1172,A1173,SAVINGS!$E$3:E1172)-SUMIF(WITHDRAWALS!$A:$A,A1173,WITHDRAWALS!$E:$E)),"")</f>
        <v/>
      </c>
      <c r="D1173" s="28">
        <f>IF(A1173="","",TODAY())</f>
        <v/>
      </c>
      <c r="E1173" s="29" t="n"/>
      <c r="F1173" s="20">
        <f>IFERROR(IF(OR(A1173="",E1173=""),"",C1173+E1173),"")</f>
        <v/>
      </c>
      <c r="G1173" s="30" t="n"/>
      <c r="H1173" s="27" t="n"/>
    </row>
    <row r="1174" ht="20" customHeight="1">
      <c r="A1174" s="26" t="n"/>
      <c r="B1174" s="31">
        <f>IFERROR(IF(A1174="","",VLOOKUP(A1174,DATABASE!$A:$B,2,0)),"")</f>
        <v/>
      </c>
      <c r="C1174" s="32">
        <f>IFERROR(IF(A1174="","",SUMIF(SAVINGS!$A$3:A1173,A1174,SAVINGS!$E$3:E1173)-SUMIF(WITHDRAWALS!$A:$A,A1174,WITHDRAWALS!$E:$E)),"")</f>
        <v/>
      </c>
      <c r="D1174" s="33">
        <f>IF(A1174="","",TODAY())</f>
        <v/>
      </c>
      <c r="E1174" s="29" t="n"/>
      <c r="F1174" s="32">
        <f>IFERROR(IF(OR(A1174="",E1174=""),"",C1174+E1174),"")</f>
        <v/>
      </c>
      <c r="G1174" s="30" t="n"/>
      <c r="H1174" s="31" t="n"/>
    </row>
    <row r="1175" ht="20" customHeight="1">
      <c r="A1175" s="26" t="n"/>
      <c r="B1175" s="27">
        <f>IFERROR(IF(A1175="","",VLOOKUP(A1175,DATABASE!$A:$B,2,0)),"")</f>
        <v/>
      </c>
      <c r="C1175" s="20">
        <f>IFERROR(IF(A1175="","",SUMIF(SAVINGS!$A$3:A1174,A1175,SAVINGS!$E$3:E1174)-SUMIF(WITHDRAWALS!$A:$A,A1175,WITHDRAWALS!$E:$E)),"")</f>
        <v/>
      </c>
      <c r="D1175" s="28">
        <f>IF(A1175="","",TODAY())</f>
        <v/>
      </c>
      <c r="E1175" s="29" t="n"/>
      <c r="F1175" s="20">
        <f>IFERROR(IF(OR(A1175="",E1175=""),"",C1175+E1175),"")</f>
        <v/>
      </c>
      <c r="G1175" s="30" t="n"/>
      <c r="H1175" s="27" t="n"/>
    </row>
    <row r="1176" ht="20" customHeight="1">
      <c r="A1176" s="26" t="n"/>
      <c r="B1176" s="31">
        <f>IFERROR(IF(A1176="","",VLOOKUP(A1176,DATABASE!$A:$B,2,0)),"")</f>
        <v/>
      </c>
      <c r="C1176" s="32">
        <f>IFERROR(IF(A1176="","",SUMIF(SAVINGS!$A$3:A1175,A1176,SAVINGS!$E$3:E1175)-SUMIF(WITHDRAWALS!$A:$A,A1176,WITHDRAWALS!$E:$E)),"")</f>
        <v/>
      </c>
      <c r="D1176" s="33">
        <f>IF(A1176="","",TODAY())</f>
        <v/>
      </c>
      <c r="E1176" s="29" t="n"/>
      <c r="F1176" s="32">
        <f>IFERROR(IF(OR(A1176="",E1176=""),"",C1176+E1176),"")</f>
        <v/>
      </c>
      <c r="G1176" s="30" t="n"/>
      <c r="H1176" s="31" t="n"/>
    </row>
    <row r="1177" ht="20" customHeight="1">
      <c r="A1177" s="26" t="n"/>
      <c r="B1177" s="27">
        <f>IFERROR(IF(A1177="","",VLOOKUP(A1177,DATABASE!$A:$B,2,0)),"")</f>
        <v/>
      </c>
      <c r="C1177" s="20">
        <f>IFERROR(IF(A1177="","",SUMIF(SAVINGS!$A$3:A1176,A1177,SAVINGS!$E$3:E1176)-SUMIF(WITHDRAWALS!$A:$A,A1177,WITHDRAWALS!$E:$E)),"")</f>
        <v/>
      </c>
      <c r="D1177" s="28">
        <f>IF(A1177="","",TODAY())</f>
        <v/>
      </c>
      <c r="E1177" s="29" t="n"/>
      <c r="F1177" s="20">
        <f>IFERROR(IF(OR(A1177="",E1177=""),"",C1177+E1177),"")</f>
        <v/>
      </c>
      <c r="G1177" s="30" t="n"/>
      <c r="H1177" s="27" t="n"/>
    </row>
    <row r="1178" ht="20" customHeight="1">
      <c r="A1178" s="26" t="n"/>
      <c r="B1178" s="31">
        <f>IFERROR(IF(A1178="","",VLOOKUP(A1178,DATABASE!$A:$B,2,0)),"")</f>
        <v/>
      </c>
      <c r="C1178" s="32">
        <f>IFERROR(IF(A1178="","",SUMIF(SAVINGS!$A$3:A1177,A1178,SAVINGS!$E$3:E1177)-SUMIF(WITHDRAWALS!$A:$A,A1178,WITHDRAWALS!$E:$E)),"")</f>
        <v/>
      </c>
      <c r="D1178" s="33">
        <f>IF(A1178="","",TODAY())</f>
        <v/>
      </c>
      <c r="E1178" s="29" t="n"/>
      <c r="F1178" s="32">
        <f>IFERROR(IF(OR(A1178="",E1178=""),"",C1178+E1178),"")</f>
        <v/>
      </c>
      <c r="G1178" s="30" t="n"/>
      <c r="H1178" s="31" t="n"/>
    </row>
    <row r="1179" ht="20" customHeight="1">
      <c r="A1179" s="26" t="n"/>
      <c r="B1179" s="27">
        <f>IFERROR(IF(A1179="","",VLOOKUP(A1179,DATABASE!$A:$B,2,0)),"")</f>
        <v/>
      </c>
      <c r="C1179" s="20">
        <f>IFERROR(IF(A1179="","",SUMIF(SAVINGS!$A$3:A1178,A1179,SAVINGS!$E$3:E1178)-SUMIF(WITHDRAWALS!$A:$A,A1179,WITHDRAWALS!$E:$E)),"")</f>
        <v/>
      </c>
      <c r="D1179" s="28">
        <f>IF(A1179="","",TODAY())</f>
        <v/>
      </c>
      <c r="E1179" s="29" t="n"/>
      <c r="F1179" s="20">
        <f>IFERROR(IF(OR(A1179="",E1179=""),"",C1179+E1179),"")</f>
        <v/>
      </c>
      <c r="G1179" s="30" t="n"/>
      <c r="H1179" s="27" t="n"/>
    </row>
    <row r="1180" ht="20" customHeight="1">
      <c r="A1180" s="26" t="n"/>
      <c r="B1180" s="31">
        <f>IFERROR(IF(A1180="","",VLOOKUP(A1180,DATABASE!$A:$B,2,0)),"")</f>
        <v/>
      </c>
      <c r="C1180" s="32">
        <f>IFERROR(IF(A1180="","",SUMIF(SAVINGS!$A$3:A1179,A1180,SAVINGS!$E$3:E1179)-SUMIF(WITHDRAWALS!$A:$A,A1180,WITHDRAWALS!$E:$E)),"")</f>
        <v/>
      </c>
      <c r="D1180" s="33">
        <f>IF(A1180="","",TODAY())</f>
        <v/>
      </c>
      <c r="E1180" s="29" t="n"/>
      <c r="F1180" s="32">
        <f>IFERROR(IF(OR(A1180="",E1180=""),"",C1180+E1180),"")</f>
        <v/>
      </c>
      <c r="G1180" s="30" t="n"/>
      <c r="H1180" s="31" t="n"/>
    </row>
    <row r="1181" ht="20" customHeight="1">
      <c r="A1181" s="26" t="n"/>
      <c r="B1181" s="27">
        <f>IFERROR(IF(A1181="","",VLOOKUP(A1181,DATABASE!$A:$B,2,0)),"")</f>
        <v/>
      </c>
      <c r="C1181" s="20">
        <f>IFERROR(IF(A1181="","",SUMIF(SAVINGS!$A$3:A1180,A1181,SAVINGS!$E$3:E1180)-SUMIF(WITHDRAWALS!$A:$A,A1181,WITHDRAWALS!$E:$E)),"")</f>
        <v/>
      </c>
      <c r="D1181" s="28">
        <f>IF(A1181="","",TODAY())</f>
        <v/>
      </c>
      <c r="E1181" s="29" t="n"/>
      <c r="F1181" s="20">
        <f>IFERROR(IF(OR(A1181="",E1181=""),"",C1181+E1181),"")</f>
        <v/>
      </c>
      <c r="G1181" s="30" t="n"/>
      <c r="H1181" s="27" t="n"/>
    </row>
    <row r="1182" ht="20" customHeight="1">
      <c r="A1182" s="26" t="n"/>
      <c r="B1182" s="31">
        <f>IFERROR(IF(A1182="","",VLOOKUP(A1182,DATABASE!$A:$B,2,0)),"")</f>
        <v/>
      </c>
      <c r="C1182" s="32">
        <f>IFERROR(IF(A1182="","",SUMIF(SAVINGS!$A$3:A1181,A1182,SAVINGS!$E$3:E1181)-SUMIF(WITHDRAWALS!$A:$A,A1182,WITHDRAWALS!$E:$E)),"")</f>
        <v/>
      </c>
      <c r="D1182" s="33">
        <f>IF(A1182="","",TODAY())</f>
        <v/>
      </c>
      <c r="E1182" s="29" t="n"/>
      <c r="F1182" s="32">
        <f>IFERROR(IF(OR(A1182="",E1182=""),"",C1182+E1182),"")</f>
        <v/>
      </c>
      <c r="G1182" s="30" t="n"/>
      <c r="H1182" s="31" t="n"/>
    </row>
    <row r="1183" ht="20" customHeight="1">
      <c r="A1183" s="26" t="n"/>
      <c r="B1183" s="27">
        <f>IFERROR(IF(A1183="","",VLOOKUP(A1183,DATABASE!$A:$B,2,0)),"")</f>
        <v/>
      </c>
      <c r="C1183" s="20">
        <f>IFERROR(IF(A1183="","",SUMIF(SAVINGS!$A$3:A1182,A1183,SAVINGS!$E$3:E1182)-SUMIF(WITHDRAWALS!$A:$A,A1183,WITHDRAWALS!$E:$E)),"")</f>
        <v/>
      </c>
      <c r="D1183" s="28">
        <f>IF(A1183="","",TODAY())</f>
        <v/>
      </c>
      <c r="E1183" s="29" t="n"/>
      <c r="F1183" s="20">
        <f>IFERROR(IF(OR(A1183="",E1183=""),"",C1183+E1183),"")</f>
        <v/>
      </c>
      <c r="G1183" s="30" t="n"/>
      <c r="H1183" s="27" t="n"/>
    </row>
    <row r="1184" ht="20" customHeight="1">
      <c r="A1184" s="26" t="n"/>
      <c r="B1184" s="31">
        <f>IFERROR(IF(A1184="","",VLOOKUP(A1184,DATABASE!$A:$B,2,0)),"")</f>
        <v/>
      </c>
      <c r="C1184" s="32">
        <f>IFERROR(IF(A1184="","",SUMIF(SAVINGS!$A$3:A1183,A1184,SAVINGS!$E$3:E1183)-SUMIF(WITHDRAWALS!$A:$A,A1184,WITHDRAWALS!$E:$E)),"")</f>
        <v/>
      </c>
      <c r="D1184" s="33">
        <f>IF(A1184="","",TODAY())</f>
        <v/>
      </c>
      <c r="E1184" s="29" t="n"/>
      <c r="F1184" s="32">
        <f>IFERROR(IF(OR(A1184="",E1184=""),"",C1184+E1184),"")</f>
        <v/>
      </c>
      <c r="G1184" s="30" t="n"/>
      <c r="H1184" s="31" t="n"/>
    </row>
    <row r="1185" ht="20" customHeight="1">
      <c r="A1185" s="26" t="n"/>
      <c r="B1185" s="27">
        <f>IFERROR(IF(A1185="","",VLOOKUP(A1185,DATABASE!$A:$B,2,0)),"")</f>
        <v/>
      </c>
      <c r="C1185" s="20">
        <f>IFERROR(IF(A1185="","",SUMIF(SAVINGS!$A$3:A1184,A1185,SAVINGS!$E$3:E1184)-SUMIF(WITHDRAWALS!$A:$A,A1185,WITHDRAWALS!$E:$E)),"")</f>
        <v/>
      </c>
      <c r="D1185" s="28">
        <f>IF(A1185="","",TODAY())</f>
        <v/>
      </c>
      <c r="E1185" s="29" t="n"/>
      <c r="F1185" s="20">
        <f>IFERROR(IF(OR(A1185="",E1185=""),"",C1185+E1185),"")</f>
        <v/>
      </c>
      <c r="G1185" s="30" t="n"/>
      <c r="H1185" s="27" t="n"/>
    </row>
    <row r="1186" ht="20" customHeight="1">
      <c r="A1186" s="26" t="n"/>
      <c r="B1186" s="31">
        <f>IFERROR(IF(A1186="","",VLOOKUP(A1186,DATABASE!$A:$B,2,0)),"")</f>
        <v/>
      </c>
      <c r="C1186" s="32">
        <f>IFERROR(IF(A1186="","",SUMIF(SAVINGS!$A$3:A1185,A1186,SAVINGS!$E$3:E1185)-SUMIF(WITHDRAWALS!$A:$A,A1186,WITHDRAWALS!$E:$E)),"")</f>
        <v/>
      </c>
      <c r="D1186" s="33">
        <f>IF(A1186="","",TODAY())</f>
        <v/>
      </c>
      <c r="E1186" s="29" t="n"/>
      <c r="F1186" s="32">
        <f>IFERROR(IF(OR(A1186="",E1186=""),"",C1186+E1186),"")</f>
        <v/>
      </c>
      <c r="G1186" s="30" t="n"/>
      <c r="H1186" s="31" t="n"/>
    </row>
    <row r="1187" ht="20" customHeight="1">
      <c r="A1187" s="26" t="n"/>
      <c r="B1187" s="27">
        <f>IFERROR(IF(A1187="","",VLOOKUP(A1187,DATABASE!$A:$B,2,0)),"")</f>
        <v/>
      </c>
      <c r="C1187" s="20">
        <f>IFERROR(IF(A1187="","",SUMIF(SAVINGS!$A$3:A1186,A1187,SAVINGS!$E$3:E1186)-SUMIF(WITHDRAWALS!$A:$A,A1187,WITHDRAWALS!$E:$E)),"")</f>
        <v/>
      </c>
      <c r="D1187" s="28">
        <f>IF(A1187="","",TODAY())</f>
        <v/>
      </c>
      <c r="E1187" s="29" t="n"/>
      <c r="F1187" s="20">
        <f>IFERROR(IF(OR(A1187="",E1187=""),"",C1187+E1187),"")</f>
        <v/>
      </c>
      <c r="G1187" s="30" t="n"/>
      <c r="H1187" s="27" t="n"/>
    </row>
    <row r="1188" ht="20" customHeight="1">
      <c r="A1188" s="26" t="n"/>
      <c r="B1188" s="31">
        <f>IFERROR(IF(A1188="","",VLOOKUP(A1188,DATABASE!$A:$B,2,0)),"")</f>
        <v/>
      </c>
      <c r="C1188" s="32">
        <f>IFERROR(IF(A1188="","",SUMIF(SAVINGS!$A$3:A1187,A1188,SAVINGS!$E$3:E1187)-SUMIF(WITHDRAWALS!$A:$A,A1188,WITHDRAWALS!$E:$E)),"")</f>
        <v/>
      </c>
      <c r="D1188" s="33">
        <f>IF(A1188="","",TODAY())</f>
        <v/>
      </c>
      <c r="E1188" s="29" t="n"/>
      <c r="F1188" s="32">
        <f>IFERROR(IF(OR(A1188="",E1188=""),"",C1188+E1188),"")</f>
        <v/>
      </c>
      <c r="G1188" s="30" t="n"/>
      <c r="H1188" s="31" t="n"/>
    </row>
    <row r="1189" ht="20" customHeight="1">
      <c r="A1189" s="26" t="n"/>
      <c r="B1189" s="27">
        <f>IFERROR(IF(A1189="","",VLOOKUP(A1189,DATABASE!$A:$B,2,0)),"")</f>
        <v/>
      </c>
      <c r="C1189" s="20">
        <f>IFERROR(IF(A1189="","",SUMIF(SAVINGS!$A$3:A1188,A1189,SAVINGS!$E$3:E1188)-SUMIF(WITHDRAWALS!$A:$A,A1189,WITHDRAWALS!$E:$E)),"")</f>
        <v/>
      </c>
      <c r="D1189" s="28">
        <f>IF(A1189="","",TODAY())</f>
        <v/>
      </c>
      <c r="E1189" s="29" t="n"/>
      <c r="F1189" s="20">
        <f>IFERROR(IF(OR(A1189="",E1189=""),"",C1189+E1189),"")</f>
        <v/>
      </c>
      <c r="G1189" s="30" t="n"/>
      <c r="H1189" s="27" t="n"/>
    </row>
    <row r="1190" ht="20" customHeight="1">
      <c r="A1190" s="26" t="n"/>
      <c r="B1190" s="31">
        <f>IFERROR(IF(A1190="","",VLOOKUP(A1190,DATABASE!$A:$B,2,0)),"")</f>
        <v/>
      </c>
      <c r="C1190" s="32">
        <f>IFERROR(IF(A1190="","",SUMIF(SAVINGS!$A$3:A1189,A1190,SAVINGS!$E$3:E1189)-SUMIF(WITHDRAWALS!$A:$A,A1190,WITHDRAWALS!$E:$E)),"")</f>
        <v/>
      </c>
      <c r="D1190" s="33">
        <f>IF(A1190="","",TODAY())</f>
        <v/>
      </c>
      <c r="E1190" s="29" t="n"/>
      <c r="F1190" s="32">
        <f>IFERROR(IF(OR(A1190="",E1190=""),"",C1190+E1190),"")</f>
        <v/>
      </c>
      <c r="G1190" s="30" t="n"/>
      <c r="H1190" s="31" t="n"/>
    </row>
    <row r="1191" ht="20" customHeight="1">
      <c r="A1191" s="26" t="n"/>
      <c r="B1191" s="27">
        <f>IFERROR(IF(A1191="","",VLOOKUP(A1191,DATABASE!$A:$B,2,0)),"")</f>
        <v/>
      </c>
      <c r="C1191" s="20">
        <f>IFERROR(IF(A1191="","",SUMIF(SAVINGS!$A$3:A1190,A1191,SAVINGS!$E$3:E1190)-SUMIF(WITHDRAWALS!$A:$A,A1191,WITHDRAWALS!$E:$E)),"")</f>
        <v/>
      </c>
      <c r="D1191" s="28">
        <f>IF(A1191="","",TODAY())</f>
        <v/>
      </c>
      <c r="E1191" s="29" t="n"/>
      <c r="F1191" s="20">
        <f>IFERROR(IF(OR(A1191="",E1191=""),"",C1191+E1191),"")</f>
        <v/>
      </c>
      <c r="G1191" s="30" t="n"/>
      <c r="H1191" s="27" t="n"/>
    </row>
    <row r="1192" ht="20" customHeight="1">
      <c r="A1192" s="26" t="n"/>
      <c r="B1192" s="31">
        <f>IFERROR(IF(A1192="","",VLOOKUP(A1192,DATABASE!$A:$B,2,0)),"")</f>
        <v/>
      </c>
      <c r="C1192" s="32">
        <f>IFERROR(IF(A1192="","",SUMIF(SAVINGS!$A$3:A1191,A1192,SAVINGS!$E$3:E1191)-SUMIF(WITHDRAWALS!$A:$A,A1192,WITHDRAWALS!$E:$E)),"")</f>
        <v/>
      </c>
      <c r="D1192" s="33">
        <f>IF(A1192="","",TODAY())</f>
        <v/>
      </c>
      <c r="E1192" s="29" t="n"/>
      <c r="F1192" s="32">
        <f>IFERROR(IF(OR(A1192="",E1192=""),"",C1192+E1192),"")</f>
        <v/>
      </c>
      <c r="G1192" s="30" t="n"/>
      <c r="H1192" s="31" t="n"/>
    </row>
    <row r="1193" ht="20" customHeight="1">
      <c r="A1193" s="26" t="n"/>
      <c r="B1193" s="27">
        <f>IFERROR(IF(A1193="","",VLOOKUP(A1193,DATABASE!$A:$B,2,0)),"")</f>
        <v/>
      </c>
      <c r="C1193" s="20">
        <f>IFERROR(IF(A1193="","",SUMIF(SAVINGS!$A$3:A1192,A1193,SAVINGS!$E$3:E1192)-SUMIF(WITHDRAWALS!$A:$A,A1193,WITHDRAWALS!$E:$E)),"")</f>
        <v/>
      </c>
      <c r="D1193" s="28">
        <f>IF(A1193="","",TODAY())</f>
        <v/>
      </c>
      <c r="E1193" s="29" t="n"/>
      <c r="F1193" s="20">
        <f>IFERROR(IF(OR(A1193="",E1193=""),"",C1193+E1193),"")</f>
        <v/>
      </c>
      <c r="G1193" s="30" t="n"/>
      <c r="H1193" s="27" t="n"/>
    </row>
    <row r="1194" ht="20" customHeight="1">
      <c r="A1194" s="26" t="n"/>
      <c r="B1194" s="31">
        <f>IFERROR(IF(A1194="","",VLOOKUP(A1194,DATABASE!$A:$B,2,0)),"")</f>
        <v/>
      </c>
      <c r="C1194" s="32">
        <f>IFERROR(IF(A1194="","",SUMIF(SAVINGS!$A$3:A1193,A1194,SAVINGS!$E$3:E1193)-SUMIF(WITHDRAWALS!$A:$A,A1194,WITHDRAWALS!$E:$E)),"")</f>
        <v/>
      </c>
      <c r="D1194" s="33">
        <f>IF(A1194="","",TODAY())</f>
        <v/>
      </c>
      <c r="E1194" s="29" t="n"/>
      <c r="F1194" s="32">
        <f>IFERROR(IF(OR(A1194="",E1194=""),"",C1194+E1194),"")</f>
        <v/>
      </c>
      <c r="G1194" s="30" t="n"/>
      <c r="H1194" s="31" t="n"/>
    </row>
    <row r="1195" ht="20" customHeight="1">
      <c r="A1195" s="26" t="n"/>
      <c r="B1195" s="27">
        <f>IFERROR(IF(A1195="","",VLOOKUP(A1195,DATABASE!$A:$B,2,0)),"")</f>
        <v/>
      </c>
      <c r="C1195" s="20">
        <f>IFERROR(IF(A1195="","",SUMIF(SAVINGS!$A$3:A1194,A1195,SAVINGS!$E$3:E1194)-SUMIF(WITHDRAWALS!$A:$A,A1195,WITHDRAWALS!$E:$E)),"")</f>
        <v/>
      </c>
      <c r="D1195" s="28">
        <f>IF(A1195="","",TODAY())</f>
        <v/>
      </c>
      <c r="E1195" s="29" t="n"/>
      <c r="F1195" s="20">
        <f>IFERROR(IF(OR(A1195="",E1195=""),"",C1195+E1195),"")</f>
        <v/>
      </c>
      <c r="G1195" s="30" t="n"/>
      <c r="H1195" s="27" t="n"/>
    </row>
    <row r="1196" ht="20" customHeight="1">
      <c r="A1196" s="26" t="n"/>
      <c r="B1196" s="31">
        <f>IFERROR(IF(A1196="","",VLOOKUP(A1196,DATABASE!$A:$B,2,0)),"")</f>
        <v/>
      </c>
      <c r="C1196" s="32">
        <f>IFERROR(IF(A1196="","",SUMIF(SAVINGS!$A$3:A1195,A1196,SAVINGS!$E$3:E1195)-SUMIF(WITHDRAWALS!$A:$A,A1196,WITHDRAWALS!$E:$E)),"")</f>
        <v/>
      </c>
      <c r="D1196" s="33">
        <f>IF(A1196="","",TODAY())</f>
        <v/>
      </c>
      <c r="E1196" s="29" t="n"/>
      <c r="F1196" s="32">
        <f>IFERROR(IF(OR(A1196="",E1196=""),"",C1196+E1196),"")</f>
        <v/>
      </c>
      <c r="G1196" s="30" t="n"/>
      <c r="H1196" s="31" t="n"/>
    </row>
    <row r="1197" ht="20" customHeight="1">
      <c r="A1197" s="26" t="n"/>
      <c r="B1197" s="27">
        <f>IFERROR(IF(A1197="","",VLOOKUP(A1197,DATABASE!$A:$B,2,0)),"")</f>
        <v/>
      </c>
      <c r="C1197" s="20">
        <f>IFERROR(IF(A1197="","",SUMIF(SAVINGS!$A$3:A1196,A1197,SAVINGS!$E$3:E1196)-SUMIF(WITHDRAWALS!$A:$A,A1197,WITHDRAWALS!$E:$E)),"")</f>
        <v/>
      </c>
      <c r="D1197" s="28">
        <f>IF(A1197="","",TODAY())</f>
        <v/>
      </c>
      <c r="E1197" s="29" t="n"/>
      <c r="F1197" s="20">
        <f>IFERROR(IF(OR(A1197="",E1197=""),"",C1197+E1197),"")</f>
        <v/>
      </c>
      <c r="G1197" s="30" t="n"/>
      <c r="H1197" s="27" t="n"/>
    </row>
    <row r="1198" ht="20" customHeight="1">
      <c r="A1198" s="26" t="n"/>
      <c r="B1198" s="31">
        <f>IFERROR(IF(A1198="","",VLOOKUP(A1198,DATABASE!$A:$B,2,0)),"")</f>
        <v/>
      </c>
      <c r="C1198" s="32">
        <f>IFERROR(IF(A1198="","",SUMIF(SAVINGS!$A$3:A1197,A1198,SAVINGS!$E$3:E1197)-SUMIF(WITHDRAWALS!$A:$A,A1198,WITHDRAWALS!$E:$E)),"")</f>
        <v/>
      </c>
      <c r="D1198" s="33">
        <f>IF(A1198="","",TODAY())</f>
        <v/>
      </c>
      <c r="E1198" s="29" t="n"/>
      <c r="F1198" s="32">
        <f>IFERROR(IF(OR(A1198="",E1198=""),"",C1198+E1198),"")</f>
        <v/>
      </c>
      <c r="G1198" s="30" t="n"/>
      <c r="H1198" s="31" t="n"/>
    </row>
    <row r="1199" ht="20" customHeight="1">
      <c r="A1199" s="26" t="n"/>
      <c r="B1199" s="27">
        <f>IFERROR(IF(A1199="","",VLOOKUP(A1199,DATABASE!$A:$B,2,0)),"")</f>
        <v/>
      </c>
      <c r="C1199" s="20">
        <f>IFERROR(IF(A1199="","",SUMIF(SAVINGS!$A$3:A1198,A1199,SAVINGS!$E$3:E1198)-SUMIF(WITHDRAWALS!$A:$A,A1199,WITHDRAWALS!$E:$E)),"")</f>
        <v/>
      </c>
      <c r="D1199" s="28">
        <f>IF(A1199="","",TODAY())</f>
        <v/>
      </c>
      <c r="E1199" s="29" t="n"/>
      <c r="F1199" s="20">
        <f>IFERROR(IF(OR(A1199="",E1199=""),"",C1199+E1199),"")</f>
        <v/>
      </c>
      <c r="G1199" s="30" t="n"/>
      <c r="H1199" s="27" t="n"/>
    </row>
    <row r="1200" ht="20" customHeight="1">
      <c r="A1200" s="26" t="n"/>
      <c r="B1200" s="31">
        <f>IFERROR(IF(A1200="","",VLOOKUP(A1200,DATABASE!$A:$B,2,0)),"")</f>
        <v/>
      </c>
      <c r="C1200" s="32">
        <f>IFERROR(IF(A1200="","",SUMIF(SAVINGS!$A$3:A1199,A1200,SAVINGS!$E$3:E1199)-SUMIF(WITHDRAWALS!$A:$A,A1200,WITHDRAWALS!$E:$E)),"")</f>
        <v/>
      </c>
      <c r="D1200" s="33">
        <f>IF(A1200="","",TODAY())</f>
        <v/>
      </c>
      <c r="E1200" s="29" t="n"/>
      <c r="F1200" s="32">
        <f>IFERROR(IF(OR(A1200="",E1200=""),"",C1200+E1200),"")</f>
        <v/>
      </c>
      <c r="G1200" s="30" t="n"/>
      <c r="H1200" s="31" t="n"/>
    </row>
    <row r="1201" ht="20" customHeight="1">
      <c r="A1201" s="26" t="n"/>
      <c r="B1201" s="27">
        <f>IFERROR(IF(A1201="","",VLOOKUP(A1201,DATABASE!$A:$B,2,0)),"")</f>
        <v/>
      </c>
      <c r="C1201" s="20">
        <f>IFERROR(IF(A1201="","",SUMIF(SAVINGS!$A$3:A1200,A1201,SAVINGS!$E$3:E1200)-SUMIF(WITHDRAWALS!$A:$A,A1201,WITHDRAWALS!$E:$E)),"")</f>
        <v/>
      </c>
      <c r="D1201" s="28">
        <f>IF(A1201="","",TODAY())</f>
        <v/>
      </c>
      <c r="E1201" s="29" t="n"/>
      <c r="F1201" s="20">
        <f>IFERROR(IF(OR(A1201="",E1201=""),"",C1201+E1201),"")</f>
        <v/>
      </c>
      <c r="G1201" s="30" t="n"/>
      <c r="H1201" s="27" t="n"/>
    </row>
    <row r="1202" ht="20" customHeight="1">
      <c r="A1202" s="26" t="n"/>
      <c r="B1202" s="31">
        <f>IFERROR(IF(A1202="","",VLOOKUP(A1202,DATABASE!$A:$B,2,0)),"")</f>
        <v/>
      </c>
      <c r="C1202" s="32">
        <f>IFERROR(IF(A1202="","",SUMIF(SAVINGS!$A$3:A1201,A1202,SAVINGS!$E$3:E1201)-SUMIF(WITHDRAWALS!$A:$A,A1202,WITHDRAWALS!$E:$E)),"")</f>
        <v/>
      </c>
      <c r="D1202" s="33">
        <f>IF(A1202="","",TODAY())</f>
        <v/>
      </c>
      <c r="E1202" s="29" t="n"/>
      <c r="F1202" s="32">
        <f>IFERROR(IF(OR(A1202="",E1202=""),"",C1202+E1202),"")</f>
        <v/>
      </c>
      <c r="G1202" s="30" t="n"/>
      <c r="H1202" s="31" t="n"/>
    </row>
    <row r="1203" ht="20" customHeight="1">
      <c r="A1203" s="26" t="n"/>
      <c r="B1203" s="27">
        <f>IFERROR(IF(A1203="","",VLOOKUP(A1203,DATABASE!$A:$B,2,0)),"")</f>
        <v/>
      </c>
      <c r="C1203" s="20">
        <f>IFERROR(IF(A1203="","",SUMIF(SAVINGS!$A$3:A1202,A1203,SAVINGS!$E$3:E1202)-SUMIF(WITHDRAWALS!$A:$A,A1203,WITHDRAWALS!$E:$E)),"")</f>
        <v/>
      </c>
      <c r="D1203" s="28">
        <f>IF(A1203="","",TODAY())</f>
        <v/>
      </c>
      <c r="E1203" s="29" t="n"/>
      <c r="F1203" s="20">
        <f>IFERROR(IF(OR(A1203="",E1203=""),"",C1203+E1203),"")</f>
        <v/>
      </c>
      <c r="G1203" s="30" t="n"/>
      <c r="H1203" s="27" t="n"/>
    </row>
    <row r="1204" ht="20" customHeight="1">
      <c r="A1204" s="26" t="n"/>
      <c r="B1204" s="31">
        <f>IFERROR(IF(A1204="","",VLOOKUP(A1204,DATABASE!$A:$B,2,0)),"")</f>
        <v/>
      </c>
      <c r="C1204" s="32">
        <f>IFERROR(IF(A1204="","",SUMIF(SAVINGS!$A$3:A1203,A1204,SAVINGS!$E$3:E1203)-SUMIF(WITHDRAWALS!$A:$A,A1204,WITHDRAWALS!$E:$E)),"")</f>
        <v/>
      </c>
      <c r="D1204" s="33">
        <f>IF(A1204="","",TODAY())</f>
        <v/>
      </c>
      <c r="E1204" s="29" t="n"/>
      <c r="F1204" s="32">
        <f>IFERROR(IF(OR(A1204="",E1204=""),"",C1204+E1204),"")</f>
        <v/>
      </c>
      <c r="G1204" s="30" t="n"/>
      <c r="H1204" s="31" t="n"/>
    </row>
    <row r="1205" ht="20" customHeight="1">
      <c r="A1205" s="26" t="n"/>
      <c r="B1205" s="27">
        <f>IFERROR(IF(A1205="","",VLOOKUP(A1205,DATABASE!$A:$B,2,0)),"")</f>
        <v/>
      </c>
      <c r="C1205" s="20">
        <f>IFERROR(IF(A1205="","",SUMIF(SAVINGS!$A$3:A1204,A1205,SAVINGS!$E$3:E1204)-SUMIF(WITHDRAWALS!$A:$A,A1205,WITHDRAWALS!$E:$E)),"")</f>
        <v/>
      </c>
      <c r="D1205" s="28">
        <f>IF(A1205="","",TODAY())</f>
        <v/>
      </c>
      <c r="E1205" s="29" t="n"/>
      <c r="F1205" s="20">
        <f>IFERROR(IF(OR(A1205="",E1205=""),"",C1205+E1205),"")</f>
        <v/>
      </c>
      <c r="G1205" s="30" t="n"/>
      <c r="H1205" s="27" t="n"/>
    </row>
    <row r="1206" ht="20" customHeight="1">
      <c r="A1206" s="26" t="n"/>
      <c r="B1206" s="31">
        <f>IFERROR(IF(A1206="","",VLOOKUP(A1206,DATABASE!$A:$B,2,0)),"")</f>
        <v/>
      </c>
      <c r="C1206" s="32">
        <f>IFERROR(IF(A1206="","",SUMIF(SAVINGS!$A$3:A1205,A1206,SAVINGS!$E$3:E1205)-SUMIF(WITHDRAWALS!$A:$A,A1206,WITHDRAWALS!$E:$E)),"")</f>
        <v/>
      </c>
      <c r="D1206" s="33">
        <f>IF(A1206="","",TODAY())</f>
        <v/>
      </c>
      <c r="E1206" s="29" t="n"/>
      <c r="F1206" s="32">
        <f>IFERROR(IF(OR(A1206="",E1206=""),"",C1206+E1206),"")</f>
        <v/>
      </c>
      <c r="G1206" s="30" t="n"/>
      <c r="H1206" s="31" t="n"/>
    </row>
    <row r="1207" ht="20" customHeight="1">
      <c r="A1207" s="26" t="n"/>
      <c r="B1207" s="27">
        <f>IFERROR(IF(A1207="","",VLOOKUP(A1207,DATABASE!$A:$B,2,0)),"")</f>
        <v/>
      </c>
      <c r="C1207" s="20">
        <f>IFERROR(IF(A1207="","",SUMIF(SAVINGS!$A$3:A1206,A1207,SAVINGS!$E$3:E1206)-SUMIF(WITHDRAWALS!$A:$A,A1207,WITHDRAWALS!$E:$E)),"")</f>
        <v/>
      </c>
      <c r="D1207" s="28">
        <f>IF(A1207="","",TODAY())</f>
        <v/>
      </c>
      <c r="E1207" s="29" t="n"/>
      <c r="F1207" s="20">
        <f>IFERROR(IF(OR(A1207="",E1207=""),"",C1207+E1207),"")</f>
        <v/>
      </c>
      <c r="G1207" s="30" t="n"/>
      <c r="H1207" s="27" t="n"/>
    </row>
    <row r="1208" ht="20" customHeight="1">
      <c r="A1208" s="26" t="n"/>
      <c r="B1208" s="31">
        <f>IFERROR(IF(A1208="","",VLOOKUP(A1208,DATABASE!$A:$B,2,0)),"")</f>
        <v/>
      </c>
      <c r="C1208" s="32">
        <f>IFERROR(IF(A1208="","",SUMIF(SAVINGS!$A$3:A1207,A1208,SAVINGS!$E$3:E1207)-SUMIF(WITHDRAWALS!$A:$A,A1208,WITHDRAWALS!$E:$E)),"")</f>
        <v/>
      </c>
      <c r="D1208" s="33">
        <f>IF(A1208="","",TODAY())</f>
        <v/>
      </c>
      <c r="E1208" s="29" t="n"/>
      <c r="F1208" s="32">
        <f>IFERROR(IF(OR(A1208="",E1208=""),"",C1208+E1208),"")</f>
        <v/>
      </c>
      <c r="G1208" s="30" t="n"/>
      <c r="H1208" s="31" t="n"/>
    </row>
    <row r="1209" ht="20" customHeight="1">
      <c r="A1209" s="26" t="n"/>
      <c r="B1209" s="27">
        <f>IFERROR(IF(A1209="","",VLOOKUP(A1209,DATABASE!$A:$B,2,0)),"")</f>
        <v/>
      </c>
      <c r="C1209" s="20">
        <f>IFERROR(IF(A1209="","",SUMIF(SAVINGS!$A$3:A1208,A1209,SAVINGS!$E$3:E1208)-SUMIF(WITHDRAWALS!$A:$A,A1209,WITHDRAWALS!$E:$E)),"")</f>
        <v/>
      </c>
      <c r="D1209" s="28">
        <f>IF(A1209="","",TODAY())</f>
        <v/>
      </c>
      <c r="E1209" s="29" t="n"/>
      <c r="F1209" s="20">
        <f>IFERROR(IF(OR(A1209="",E1209=""),"",C1209+E1209),"")</f>
        <v/>
      </c>
      <c r="G1209" s="30" t="n"/>
      <c r="H1209" s="27" t="n"/>
    </row>
    <row r="1210" ht="20" customHeight="1">
      <c r="A1210" s="26" t="n"/>
      <c r="B1210" s="31">
        <f>IFERROR(IF(A1210="","",VLOOKUP(A1210,DATABASE!$A:$B,2,0)),"")</f>
        <v/>
      </c>
      <c r="C1210" s="32">
        <f>IFERROR(IF(A1210="","",SUMIF(SAVINGS!$A$3:A1209,A1210,SAVINGS!$E$3:E1209)-SUMIF(WITHDRAWALS!$A:$A,A1210,WITHDRAWALS!$E:$E)),"")</f>
        <v/>
      </c>
      <c r="D1210" s="33">
        <f>IF(A1210="","",TODAY())</f>
        <v/>
      </c>
      <c r="E1210" s="29" t="n"/>
      <c r="F1210" s="32">
        <f>IFERROR(IF(OR(A1210="",E1210=""),"",C1210+E1210),"")</f>
        <v/>
      </c>
      <c r="G1210" s="30" t="n"/>
      <c r="H1210" s="31" t="n"/>
    </row>
    <row r="1211" ht="20" customHeight="1">
      <c r="A1211" s="26" t="n"/>
      <c r="B1211" s="27">
        <f>IFERROR(IF(A1211="","",VLOOKUP(A1211,DATABASE!$A:$B,2,0)),"")</f>
        <v/>
      </c>
      <c r="C1211" s="20">
        <f>IFERROR(IF(A1211="","",SUMIF(SAVINGS!$A$3:A1210,A1211,SAVINGS!$E$3:E1210)-SUMIF(WITHDRAWALS!$A:$A,A1211,WITHDRAWALS!$E:$E)),"")</f>
        <v/>
      </c>
      <c r="D1211" s="28">
        <f>IF(A1211="","",TODAY())</f>
        <v/>
      </c>
      <c r="E1211" s="29" t="n"/>
      <c r="F1211" s="20">
        <f>IFERROR(IF(OR(A1211="",E1211=""),"",C1211+E1211),"")</f>
        <v/>
      </c>
      <c r="G1211" s="30" t="n"/>
      <c r="H1211" s="27" t="n"/>
    </row>
    <row r="1212" ht="20" customHeight="1">
      <c r="A1212" s="26" t="n"/>
      <c r="B1212" s="31">
        <f>IFERROR(IF(A1212="","",VLOOKUP(A1212,DATABASE!$A:$B,2,0)),"")</f>
        <v/>
      </c>
      <c r="C1212" s="32">
        <f>IFERROR(IF(A1212="","",SUMIF(SAVINGS!$A$3:A1211,A1212,SAVINGS!$E$3:E1211)-SUMIF(WITHDRAWALS!$A:$A,A1212,WITHDRAWALS!$E:$E)),"")</f>
        <v/>
      </c>
      <c r="D1212" s="33">
        <f>IF(A1212="","",TODAY())</f>
        <v/>
      </c>
      <c r="E1212" s="29" t="n"/>
      <c r="F1212" s="32">
        <f>IFERROR(IF(OR(A1212="",E1212=""),"",C1212+E1212),"")</f>
        <v/>
      </c>
      <c r="G1212" s="30" t="n"/>
      <c r="H1212" s="31" t="n"/>
    </row>
    <row r="1213" ht="20" customHeight="1">
      <c r="A1213" s="26" t="n"/>
      <c r="B1213" s="27">
        <f>IFERROR(IF(A1213="","",VLOOKUP(A1213,DATABASE!$A:$B,2,0)),"")</f>
        <v/>
      </c>
      <c r="C1213" s="20">
        <f>IFERROR(IF(A1213="","",SUMIF(SAVINGS!$A$3:A1212,A1213,SAVINGS!$E$3:E1212)-SUMIF(WITHDRAWALS!$A:$A,A1213,WITHDRAWALS!$E:$E)),"")</f>
        <v/>
      </c>
      <c r="D1213" s="28">
        <f>IF(A1213="","",TODAY())</f>
        <v/>
      </c>
      <c r="E1213" s="29" t="n"/>
      <c r="F1213" s="20">
        <f>IFERROR(IF(OR(A1213="",E1213=""),"",C1213+E1213),"")</f>
        <v/>
      </c>
      <c r="G1213" s="30" t="n"/>
      <c r="H1213" s="27" t="n"/>
    </row>
    <row r="1214" ht="20" customHeight="1">
      <c r="A1214" s="26" t="n"/>
      <c r="B1214" s="31">
        <f>IFERROR(IF(A1214="","",VLOOKUP(A1214,DATABASE!$A:$B,2,0)),"")</f>
        <v/>
      </c>
      <c r="C1214" s="32">
        <f>IFERROR(IF(A1214="","",SUMIF(SAVINGS!$A$3:A1213,A1214,SAVINGS!$E$3:E1213)-SUMIF(WITHDRAWALS!$A:$A,A1214,WITHDRAWALS!$E:$E)),"")</f>
        <v/>
      </c>
      <c r="D1214" s="33">
        <f>IF(A1214="","",TODAY())</f>
        <v/>
      </c>
      <c r="E1214" s="29" t="n"/>
      <c r="F1214" s="32">
        <f>IFERROR(IF(OR(A1214="",E1214=""),"",C1214+E1214),"")</f>
        <v/>
      </c>
      <c r="G1214" s="30" t="n"/>
      <c r="H1214" s="31" t="n"/>
    </row>
    <row r="1215" ht="20" customHeight="1">
      <c r="A1215" s="26" t="n"/>
      <c r="B1215" s="27">
        <f>IFERROR(IF(A1215="","",VLOOKUP(A1215,DATABASE!$A:$B,2,0)),"")</f>
        <v/>
      </c>
      <c r="C1215" s="20">
        <f>IFERROR(IF(A1215="","",SUMIF(SAVINGS!$A$3:A1214,A1215,SAVINGS!$E$3:E1214)-SUMIF(WITHDRAWALS!$A:$A,A1215,WITHDRAWALS!$E:$E)),"")</f>
        <v/>
      </c>
      <c r="D1215" s="28">
        <f>IF(A1215="","",TODAY())</f>
        <v/>
      </c>
      <c r="E1215" s="29" t="n"/>
      <c r="F1215" s="20">
        <f>IFERROR(IF(OR(A1215="",E1215=""),"",C1215+E1215),"")</f>
        <v/>
      </c>
      <c r="G1215" s="30" t="n"/>
      <c r="H1215" s="27" t="n"/>
    </row>
    <row r="1216" ht="20" customHeight="1">
      <c r="A1216" s="26" t="n"/>
      <c r="B1216" s="31">
        <f>IFERROR(IF(A1216="","",VLOOKUP(A1216,DATABASE!$A:$B,2,0)),"")</f>
        <v/>
      </c>
      <c r="C1216" s="32">
        <f>IFERROR(IF(A1216="","",SUMIF(SAVINGS!$A$3:A1215,A1216,SAVINGS!$E$3:E1215)-SUMIF(WITHDRAWALS!$A:$A,A1216,WITHDRAWALS!$E:$E)),"")</f>
        <v/>
      </c>
      <c r="D1216" s="33">
        <f>IF(A1216="","",TODAY())</f>
        <v/>
      </c>
      <c r="E1216" s="29" t="n"/>
      <c r="F1216" s="32">
        <f>IFERROR(IF(OR(A1216="",E1216=""),"",C1216+E1216),"")</f>
        <v/>
      </c>
      <c r="G1216" s="30" t="n"/>
      <c r="H1216" s="31" t="n"/>
    </row>
    <row r="1217" ht="20" customHeight="1">
      <c r="A1217" s="26" t="n"/>
      <c r="B1217" s="27">
        <f>IFERROR(IF(A1217="","",VLOOKUP(A1217,DATABASE!$A:$B,2,0)),"")</f>
        <v/>
      </c>
      <c r="C1217" s="20">
        <f>IFERROR(IF(A1217="","",SUMIF(SAVINGS!$A$3:A1216,A1217,SAVINGS!$E$3:E1216)-SUMIF(WITHDRAWALS!$A:$A,A1217,WITHDRAWALS!$E:$E)),"")</f>
        <v/>
      </c>
      <c r="D1217" s="28">
        <f>IF(A1217="","",TODAY())</f>
        <v/>
      </c>
      <c r="E1217" s="29" t="n"/>
      <c r="F1217" s="20">
        <f>IFERROR(IF(OR(A1217="",E1217=""),"",C1217+E1217),"")</f>
        <v/>
      </c>
      <c r="G1217" s="30" t="n"/>
      <c r="H1217" s="27" t="n"/>
    </row>
    <row r="1218" ht="20" customHeight="1">
      <c r="A1218" s="26" t="n"/>
      <c r="B1218" s="31">
        <f>IFERROR(IF(A1218="","",VLOOKUP(A1218,DATABASE!$A:$B,2,0)),"")</f>
        <v/>
      </c>
      <c r="C1218" s="32">
        <f>IFERROR(IF(A1218="","",SUMIF(SAVINGS!$A$3:A1217,A1218,SAVINGS!$E$3:E1217)-SUMIF(WITHDRAWALS!$A:$A,A1218,WITHDRAWALS!$E:$E)),"")</f>
        <v/>
      </c>
      <c r="D1218" s="33">
        <f>IF(A1218="","",TODAY())</f>
        <v/>
      </c>
      <c r="E1218" s="29" t="n"/>
      <c r="F1218" s="32">
        <f>IFERROR(IF(OR(A1218="",E1218=""),"",C1218+E1218),"")</f>
        <v/>
      </c>
      <c r="G1218" s="30" t="n"/>
      <c r="H1218" s="31" t="n"/>
    </row>
    <row r="1219" ht="20" customHeight="1">
      <c r="A1219" s="26" t="n"/>
      <c r="B1219" s="27">
        <f>IFERROR(IF(A1219="","",VLOOKUP(A1219,DATABASE!$A:$B,2,0)),"")</f>
        <v/>
      </c>
      <c r="C1219" s="20">
        <f>IFERROR(IF(A1219="","",SUMIF(SAVINGS!$A$3:A1218,A1219,SAVINGS!$E$3:E1218)-SUMIF(WITHDRAWALS!$A:$A,A1219,WITHDRAWALS!$E:$E)),"")</f>
        <v/>
      </c>
      <c r="D1219" s="28">
        <f>IF(A1219="","",TODAY())</f>
        <v/>
      </c>
      <c r="E1219" s="29" t="n"/>
      <c r="F1219" s="20">
        <f>IFERROR(IF(OR(A1219="",E1219=""),"",C1219+E1219),"")</f>
        <v/>
      </c>
      <c r="G1219" s="30" t="n"/>
      <c r="H1219" s="27" t="n"/>
    </row>
    <row r="1220" ht="20" customHeight="1">
      <c r="A1220" s="26" t="n"/>
      <c r="B1220" s="31">
        <f>IFERROR(IF(A1220="","",VLOOKUP(A1220,DATABASE!$A:$B,2,0)),"")</f>
        <v/>
      </c>
      <c r="C1220" s="32">
        <f>IFERROR(IF(A1220="","",SUMIF(SAVINGS!$A$3:A1219,A1220,SAVINGS!$E$3:E1219)-SUMIF(WITHDRAWALS!$A:$A,A1220,WITHDRAWALS!$E:$E)),"")</f>
        <v/>
      </c>
      <c r="D1220" s="33">
        <f>IF(A1220="","",TODAY())</f>
        <v/>
      </c>
      <c r="E1220" s="29" t="n"/>
      <c r="F1220" s="32">
        <f>IFERROR(IF(OR(A1220="",E1220=""),"",C1220+E1220),"")</f>
        <v/>
      </c>
      <c r="G1220" s="30" t="n"/>
      <c r="H1220" s="31" t="n"/>
    </row>
    <row r="1221" ht="20" customHeight="1">
      <c r="A1221" s="26" t="n"/>
      <c r="B1221" s="27">
        <f>IFERROR(IF(A1221="","",VLOOKUP(A1221,DATABASE!$A:$B,2,0)),"")</f>
        <v/>
      </c>
      <c r="C1221" s="20">
        <f>IFERROR(IF(A1221="","",SUMIF(SAVINGS!$A$3:A1220,A1221,SAVINGS!$E$3:E1220)-SUMIF(WITHDRAWALS!$A:$A,A1221,WITHDRAWALS!$E:$E)),"")</f>
        <v/>
      </c>
      <c r="D1221" s="28">
        <f>IF(A1221="","",TODAY())</f>
        <v/>
      </c>
      <c r="E1221" s="29" t="n"/>
      <c r="F1221" s="20">
        <f>IFERROR(IF(OR(A1221="",E1221=""),"",C1221+E1221),"")</f>
        <v/>
      </c>
      <c r="G1221" s="30" t="n"/>
      <c r="H1221" s="27" t="n"/>
    </row>
    <row r="1222" ht="20" customHeight="1">
      <c r="A1222" s="26" t="n"/>
      <c r="B1222" s="31">
        <f>IFERROR(IF(A1222="","",VLOOKUP(A1222,DATABASE!$A:$B,2,0)),"")</f>
        <v/>
      </c>
      <c r="C1222" s="32">
        <f>IFERROR(IF(A1222="","",SUMIF(SAVINGS!$A$3:A1221,A1222,SAVINGS!$E$3:E1221)-SUMIF(WITHDRAWALS!$A:$A,A1222,WITHDRAWALS!$E:$E)),"")</f>
        <v/>
      </c>
      <c r="D1222" s="33">
        <f>IF(A1222="","",TODAY())</f>
        <v/>
      </c>
      <c r="E1222" s="29" t="n"/>
      <c r="F1222" s="32">
        <f>IFERROR(IF(OR(A1222="",E1222=""),"",C1222+E1222),"")</f>
        <v/>
      </c>
      <c r="G1222" s="30" t="n"/>
      <c r="H1222" s="31" t="n"/>
    </row>
    <row r="1223" ht="20" customHeight="1">
      <c r="A1223" s="26" t="n"/>
      <c r="B1223" s="27">
        <f>IFERROR(IF(A1223="","",VLOOKUP(A1223,DATABASE!$A:$B,2,0)),"")</f>
        <v/>
      </c>
      <c r="C1223" s="20">
        <f>IFERROR(IF(A1223="","",SUMIF(SAVINGS!$A$3:A1222,A1223,SAVINGS!$E$3:E1222)-SUMIF(WITHDRAWALS!$A:$A,A1223,WITHDRAWALS!$E:$E)),"")</f>
        <v/>
      </c>
      <c r="D1223" s="28">
        <f>IF(A1223="","",TODAY())</f>
        <v/>
      </c>
      <c r="E1223" s="29" t="n"/>
      <c r="F1223" s="20">
        <f>IFERROR(IF(OR(A1223="",E1223=""),"",C1223+E1223),"")</f>
        <v/>
      </c>
      <c r="G1223" s="30" t="n"/>
      <c r="H1223" s="27" t="n"/>
    </row>
    <row r="1224" ht="20" customHeight="1">
      <c r="A1224" s="26" t="n"/>
      <c r="B1224" s="31">
        <f>IFERROR(IF(A1224="","",VLOOKUP(A1224,DATABASE!$A:$B,2,0)),"")</f>
        <v/>
      </c>
      <c r="C1224" s="32">
        <f>IFERROR(IF(A1224="","",SUMIF(SAVINGS!$A$3:A1223,A1224,SAVINGS!$E$3:E1223)-SUMIF(WITHDRAWALS!$A:$A,A1224,WITHDRAWALS!$E:$E)),"")</f>
        <v/>
      </c>
      <c r="D1224" s="33">
        <f>IF(A1224="","",TODAY())</f>
        <v/>
      </c>
      <c r="E1224" s="29" t="n"/>
      <c r="F1224" s="32">
        <f>IFERROR(IF(OR(A1224="",E1224=""),"",C1224+E1224),"")</f>
        <v/>
      </c>
      <c r="G1224" s="30" t="n"/>
      <c r="H1224" s="31" t="n"/>
    </row>
    <row r="1225" ht="20" customHeight="1">
      <c r="A1225" s="26" t="n"/>
      <c r="B1225" s="27">
        <f>IFERROR(IF(A1225="","",VLOOKUP(A1225,DATABASE!$A:$B,2,0)),"")</f>
        <v/>
      </c>
      <c r="C1225" s="20">
        <f>IFERROR(IF(A1225="","",SUMIF(SAVINGS!$A$3:A1224,A1225,SAVINGS!$E$3:E1224)-SUMIF(WITHDRAWALS!$A:$A,A1225,WITHDRAWALS!$E:$E)),"")</f>
        <v/>
      </c>
      <c r="D1225" s="28">
        <f>IF(A1225="","",TODAY())</f>
        <v/>
      </c>
      <c r="E1225" s="29" t="n"/>
      <c r="F1225" s="20">
        <f>IFERROR(IF(OR(A1225="",E1225=""),"",C1225+E1225),"")</f>
        <v/>
      </c>
      <c r="G1225" s="30" t="n"/>
      <c r="H1225" s="27" t="n"/>
    </row>
    <row r="1226" ht="20" customHeight="1">
      <c r="A1226" s="26" t="n"/>
      <c r="B1226" s="31">
        <f>IFERROR(IF(A1226="","",VLOOKUP(A1226,DATABASE!$A:$B,2,0)),"")</f>
        <v/>
      </c>
      <c r="C1226" s="32">
        <f>IFERROR(IF(A1226="","",SUMIF(SAVINGS!$A$3:A1225,A1226,SAVINGS!$E$3:E1225)-SUMIF(WITHDRAWALS!$A:$A,A1226,WITHDRAWALS!$E:$E)),"")</f>
        <v/>
      </c>
      <c r="D1226" s="33">
        <f>IF(A1226="","",TODAY())</f>
        <v/>
      </c>
      <c r="E1226" s="29" t="n"/>
      <c r="F1226" s="32">
        <f>IFERROR(IF(OR(A1226="",E1226=""),"",C1226+E1226),"")</f>
        <v/>
      </c>
      <c r="G1226" s="30" t="n"/>
      <c r="H1226" s="31" t="n"/>
    </row>
    <row r="1227" ht="20" customHeight="1">
      <c r="A1227" s="26" t="n"/>
      <c r="B1227" s="27">
        <f>IFERROR(IF(A1227="","",VLOOKUP(A1227,DATABASE!$A:$B,2,0)),"")</f>
        <v/>
      </c>
      <c r="C1227" s="20">
        <f>IFERROR(IF(A1227="","",SUMIF(SAVINGS!$A$3:A1226,A1227,SAVINGS!$E$3:E1226)-SUMIF(WITHDRAWALS!$A:$A,A1227,WITHDRAWALS!$E:$E)),"")</f>
        <v/>
      </c>
      <c r="D1227" s="28">
        <f>IF(A1227="","",TODAY())</f>
        <v/>
      </c>
      <c r="E1227" s="29" t="n"/>
      <c r="F1227" s="20">
        <f>IFERROR(IF(OR(A1227="",E1227=""),"",C1227+E1227),"")</f>
        <v/>
      </c>
      <c r="G1227" s="30" t="n"/>
      <c r="H1227" s="27" t="n"/>
    </row>
    <row r="1228" ht="20" customHeight="1">
      <c r="A1228" s="26" t="n"/>
      <c r="B1228" s="31">
        <f>IFERROR(IF(A1228="","",VLOOKUP(A1228,DATABASE!$A:$B,2,0)),"")</f>
        <v/>
      </c>
      <c r="C1228" s="32">
        <f>IFERROR(IF(A1228="","",SUMIF(SAVINGS!$A$3:A1227,A1228,SAVINGS!$E$3:E1227)-SUMIF(WITHDRAWALS!$A:$A,A1228,WITHDRAWALS!$E:$E)),"")</f>
        <v/>
      </c>
      <c r="D1228" s="33">
        <f>IF(A1228="","",TODAY())</f>
        <v/>
      </c>
      <c r="E1228" s="29" t="n"/>
      <c r="F1228" s="32">
        <f>IFERROR(IF(OR(A1228="",E1228=""),"",C1228+E1228),"")</f>
        <v/>
      </c>
      <c r="G1228" s="30" t="n"/>
      <c r="H1228" s="31" t="n"/>
    </row>
    <row r="1229" ht="20" customHeight="1">
      <c r="A1229" s="26" t="n"/>
      <c r="B1229" s="27">
        <f>IFERROR(IF(A1229="","",VLOOKUP(A1229,DATABASE!$A:$B,2,0)),"")</f>
        <v/>
      </c>
      <c r="C1229" s="20">
        <f>IFERROR(IF(A1229="","",SUMIF(SAVINGS!$A$3:A1228,A1229,SAVINGS!$E$3:E1228)-SUMIF(WITHDRAWALS!$A:$A,A1229,WITHDRAWALS!$E:$E)),"")</f>
        <v/>
      </c>
      <c r="D1229" s="28">
        <f>IF(A1229="","",TODAY())</f>
        <v/>
      </c>
      <c r="E1229" s="29" t="n"/>
      <c r="F1229" s="20">
        <f>IFERROR(IF(OR(A1229="",E1229=""),"",C1229+E1229),"")</f>
        <v/>
      </c>
      <c r="G1229" s="30" t="n"/>
      <c r="H1229" s="27" t="n"/>
    </row>
    <row r="1230" ht="20" customHeight="1">
      <c r="A1230" s="26" t="n"/>
      <c r="B1230" s="31">
        <f>IFERROR(IF(A1230="","",VLOOKUP(A1230,DATABASE!$A:$B,2,0)),"")</f>
        <v/>
      </c>
      <c r="C1230" s="32">
        <f>IFERROR(IF(A1230="","",SUMIF(SAVINGS!$A$3:A1229,A1230,SAVINGS!$E$3:E1229)-SUMIF(WITHDRAWALS!$A:$A,A1230,WITHDRAWALS!$E:$E)),"")</f>
        <v/>
      </c>
      <c r="D1230" s="33">
        <f>IF(A1230="","",TODAY())</f>
        <v/>
      </c>
      <c r="E1230" s="29" t="n"/>
      <c r="F1230" s="32">
        <f>IFERROR(IF(OR(A1230="",E1230=""),"",C1230+E1230),"")</f>
        <v/>
      </c>
      <c r="G1230" s="30" t="n"/>
      <c r="H1230" s="31" t="n"/>
    </row>
    <row r="1231" ht="20" customHeight="1">
      <c r="A1231" s="26" t="n"/>
      <c r="B1231" s="27">
        <f>IFERROR(IF(A1231="","",VLOOKUP(A1231,DATABASE!$A:$B,2,0)),"")</f>
        <v/>
      </c>
      <c r="C1231" s="20">
        <f>IFERROR(IF(A1231="","",SUMIF(SAVINGS!$A$3:A1230,A1231,SAVINGS!$E$3:E1230)-SUMIF(WITHDRAWALS!$A:$A,A1231,WITHDRAWALS!$E:$E)),"")</f>
        <v/>
      </c>
      <c r="D1231" s="28">
        <f>IF(A1231="","",TODAY())</f>
        <v/>
      </c>
      <c r="E1231" s="29" t="n"/>
      <c r="F1231" s="20">
        <f>IFERROR(IF(OR(A1231="",E1231=""),"",C1231+E1231),"")</f>
        <v/>
      </c>
      <c r="G1231" s="30" t="n"/>
      <c r="H1231" s="27" t="n"/>
    </row>
    <row r="1232" ht="20" customHeight="1">
      <c r="A1232" s="26" t="n"/>
      <c r="B1232" s="31">
        <f>IFERROR(IF(A1232="","",VLOOKUP(A1232,DATABASE!$A:$B,2,0)),"")</f>
        <v/>
      </c>
      <c r="C1232" s="32">
        <f>IFERROR(IF(A1232="","",SUMIF(SAVINGS!$A$3:A1231,A1232,SAVINGS!$E$3:E1231)-SUMIF(WITHDRAWALS!$A:$A,A1232,WITHDRAWALS!$E:$E)),"")</f>
        <v/>
      </c>
      <c r="D1232" s="33">
        <f>IF(A1232="","",TODAY())</f>
        <v/>
      </c>
      <c r="E1232" s="29" t="n"/>
      <c r="F1232" s="32">
        <f>IFERROR(IF(OR(A1232="",E1232=""),"",C1232+E1232),"")</f>
        <v/>
      </c>
      <c r="G1232" s="30" t="n"/>
      <c r="H1232" s="31" t="n"/>
    </row>
    <row r="1233" ht="20" customHeight="1">
      <c r="A1233" s="26" t="n"/>
      <c r="B1233" s="27">
        <f>IFERROR(IF(A1233="","",VLOOKUP(A1233,DATABASE!$A:$B,2,0)),"")</f>
        <v/>
      </c>
      <c r="C1233" s="20">
        <f>IFERROR(IF(A1233="","",SUMIF(SAVINGS!$A$3:A1232,A1233,SAVINGS!$E$3:E1232)-SUMIF(WITHDRAWALS!$A:$A,A1233,WITHDRAWALS!$E:$E)),"")</f>
        <v/>
      </c>
      <c r="D1233" s="28">
        <f>IF(A1233="","",TODAY())</f>
        <v/>
      </c>
      <c r="E1233" s="29" t="n"/>
      <c r="F1233" s="20">
        <f>IFERROR(IF(OR(A1233="",E1233=""),"",C1233+E1233),"")</f>
        <v/>
      </c>
      <c r="G1233" s="30" t="n"/>
      <c r="H1233" s="27" t="n"/>
    </row>
    <row r="1234" ht="20" customHeight="1">
      <c r="A1234" s="26" t="n"/>
      <c r="B1234" s="31">
        <f>IFERROR(IF(A1234="","",VLOOKUP(A1234,DATABASE!$A:$B,2,0)),"")</f>
        <v/>
      </c>
      <c r="C1234" s="32">
        <f>IFERROR(IF(A1234="","",SUMIF(SAVINGS!$A$3:A1233,A1234,SAVINGS!$E$3:E1233)-SUMIF(WITHDRAWALS!$A:$A,A1234,WITHDRAWALS!$E:$E)),"")</f>
        <v/>
      </c>
      <c r="D1234" s="33">
        <f>IF(A1234="","",TODAY())</f>
        <v/>
      </c>
      <c r="E1234" s="29" t="n"/>
      <c r="F1234" s="32">
        <f>IFERROR(IF(OR(A1234="",E1234=""),"",C1234+E1234),"")</f>
        <v/>
      </c>
      <c r="G1234" s="30" t="n"/>
      <c r="H1234" s="31" t="n"/>
    </row>
    <row r="1235" ht="20" customHeight="1">
      <c r="A1235" s="26" t="n"/>
      <c r="B1235" s="27">
        <f>IFERROR(IF(A1235="","",VLOOKUP(A1235,DATABASE!$A:$B,2,0)),"")</f>
        <v/>
      </c>
      <c r="C1235" s="20">
        <f>IFERROR(IF(A1235="","",SUMIF(SAVINGS!$A$3:A1234,A1235,SAVINGS!$E$3:E1234)-SUMIF(WITHDRAWALS!$A:$A,A1235,WITHDRAWALS!$E:$E)),"")</f>
        <v/>
      </c>
      <c r="D1235" s="28">
        <f>IF(A1235="","",TODAY())</f>
        <v/>
      </c>
      <c r="E1235" s="29" t="n"/>
      <c r="F1235" s="20">
        <f>IFERROR(IF(OR(A1235="",E1235=""),"",C1235+E1235),"")</f>
        <v/>
      </c>
      <c r="G1235" s="30" t="n"/>
      <c r="H1235" s="27" t="n"/>
    </row>
    <row r="1236" ht="20" customHeight="1">
      <c r="A1236" s="26" t="n"/>
      <c r="B1236" s="31">
        <f>IFERROR(IF(A1236="","",VLOOKUP(A1236,DATABASE!$A:$B,2,0)),"")</f>
        <v/>
      </c>
      <c r="C1236" s="32">
        <f>IFERROR(IF(A1236="","",SUMIF(SAVINGS!$A$3:A1235,A1236,SAVINGS!$E$3:E1235)-SUMIF(WITHDRAWALS!$A:$A,A1236,WITHDRAWALS!$E:$E)),"")</f>
        <v/>
      </c>
      <c r="D1236" s="33">
        <f>IF(A1236="","",TODAY())</f>
        <v/>
      </c>
      <c r="E1236" s="29" t="n"/>
      <c r="F1236" s="32">
        <f>IFERROR(IF(OR(A1236="",E1236=""),"",C1236+E1236),"")</f>
        <v/>
      </c>
      <c r="G1236" s="30" t="n"/>
      <c r="H1236" s="31" t="n"/>
    </row>
    <row r="1237" ht="20" customHeight="1">
      <c r="A1237" s="26" t="n"/>
      <c r="B1237" s="27">
        <f>IFERROR(IF(A1237="","",VLOOKUP(A1237,DATABASE!$A:$B,2,0)),"")</f>
        <v/>
      </c>
      <c r="C1237" s="20">
        <f>IFERROR(IF(A1237="","",SUMIF(SAVINGS!$A$3:A1236,A1237,SAVINGS!$E$3:E1236)-SUMIF(WITHDRAWALS!$A:$A,A1237,WITHDRAWALS!$E:$E)),"")</f>
        <v/>
      </c>
      <c r="D1237" s="28">
        <f>IF(A1237="","",TODAY())</f>
        <v/>
      </c>
      <c r="E1237" s="29" t="n"/>
      <c r="F1237" s="20">
        <f>IFERROR(IF(OR(A1237="",E1237=""),"",C1237+E1237),"")</f>
        <v/>
      </c>
      <c r="G1237" s="30" t="n"/>
      <c r="H1237" s="27" t="n"/>
    </row>
    <row r="1238" ht="20" customHeight="1">
      <c r="A1238" s="26" t="n"/>
      <c r="B1238" s="31">
        <f>IFERROR(IF(A1238="","",VLOOKUP(A1238,DATABASE!$A:$B,2,0)),"")</f>
        <v/>
      </c>
      <c r="C1238" s="32">
        <f>IFERROR(IF(A1238="","",SUMIF(SAVINGS!$A$3:A1237,A1238,SAVINGS!$E$3:E1237)-SUMIF(WITHDRAWALS!$A:$A,A1238,WITHDRAWALS!$E:$E)),"")</f>
        <v/>
      </c>
      <c r="D1238" s="33">
        <f>IF(A1238="","",TODAY())</f>
        <v/>
      </c>
      <c r="E1238" s="29" t="n"/>
      <c r="F1238" s="32">
        <f>IFERROR(IF(OR(A1238="",E1238=""),"",C1238+E1238),"")</f>
        <v/>
      </c>
      <c r="G1238" s="30" t="n"/>
      <c r="H1238" s="31" t="n"/>
    </row>
    <row r="1239" ht="20" customHeight="1">
      <c r="A1239" s="26" t="n"/>
      <c r="B1239" s="27">
        <f>IFERROR(IF(A1239="","",VLOOKUP(A1239,DATABASE!$A:$B,2,0)),"")</f>
        <v/>
      </c>
      <c r="C1239" s="20">
        <f>IFERROR(IF(A1239="","",SUMIF(SAVINGS!$A$3:A1238,A1239,SAVINGS!$E$3:E1238)-SUMIF(WITHDRAWALS!$A:$A,A1239,WITHDRAWALS!$E:$E)),"")</f>
        <v/>
      </c>
      <c r="D1239" s="28">
        <f>IF(A1239="","",TODAY())</f>
        <v/>
      </c>
      <c r="E1239" s="29" t="n"/>
      <c r="F1239" s="20">
        <f>IFERROR(IF(OR(A1239="",E1239=""),"",C1239+E1239),"")</f>
        <v/>
      </c>
      <c r="G1239" s="30" t="n"/>
      <c r="H1239" s="27" t="n"/>
    </row>
    <row r="1240" ht="20" customHeight="1">
      <c r="A1240" s="26" t="n"/>
      <c r="B1240" s="31">
        <f>IFERROR(IF(A1240="","",VLOOKUP(A1240,DATABASE!$A:$B,2,0)),"")</f>
        <v/>
      </c>
      <c r="C1240" s="32">
        <f>IFERROR(IF(A1240="","",SUMIF(SAVINGS!$A$3:A1239,A1240,SAVINGS!$E$3:E1239)-SUMIF(WITHDRAWALS!$A:$A,A1240,WITHDRAWALS!$E:$E)),"")</f>
        <v/>
      </c>
      <c r="D1240" s="33">
        <f>IF(A1240="","",TODAY())</f>
        <v/>
      </c>
      <c r="E1240" s="29" t="n"/>
      <c r="F1240" s="32">
        <f>IFERROR(IF(OR(A1240="",E1240=""),"",C1240+E1240),"")</f>
        <v/>
      </c>
      <c r="G1240" s="30" t="n"/>
      <c r="H1240" s="31" t="n"/>
    </row>
    <row r="1241" ht="20" customHeight="1">
      <c r="A1241" s="26" t="n"/>
      <c r="B1241" s="27">
        <f>IFERROR(IF(A1241="","",VLOOKUP(A1241,DATABASE!$A:$B,2,0)),"")</f>
        <v/>
      </c>
      <c r="C1241" s="20">
        <f>IFERROR(IF(A1241="","",SUMIF(SAVINGS!$A$3:A1240,A1241,SAVINGS!$E$3:E1240)-SUMIF(WITHDRAWALS!$A:$A,A1241,WITHDRAWALS!$E:$E)),"")</f>
        <v/>
      </c>
      <c r="D1241" s="28">
        <f>IF(A1241="","",TODAY())</f>
        <v/>
      </c>
      <c r="E1241" s="29" t="n"/>
      <c r="F1241" s="20">
        <f>IFERROR(IF(OR(A1241="",E1241=""),"",C1241+E1241),"")</f>
        <v/>
      </c>
      <c r="G1241" s="30" t="n"/>
      <c r="H1241" s="27" t="n"/>
    </row>
    <row r="1242" ht="20" customHeight="1">
      <c r="A1242" s="26" t="n"/>
      <c r="B1242" s="31">
        <f>IFERROR(IF(A1242="","",VLOOKUP(A1242,DATABASE!$A:$B,2,0)),"")</f>
        <v/>
      </c>
      <c r="C1242" s="32">
        <f>IFERROR(IF(A1242="","",SUMIF(SAVINGS!$A$3:A1241,A1242,SAVINGS!$E$3:E1241)-SUMIF(WITHDRAWALS!$A:$A,A1242,WITHDRAWALS!$E:$E)),"")</f>
        <v/>
      </c>
      <c r="D1242" s="33">
        <f>IF(A1242="","",TODAY())</f>
        <v/>
      </c>
      <c r="E1242" s="29" t="n"/>
      <c r="F1242" s="32">
        <f>IFERROR(IF(OR(A1242="",E1242=""),"",C1242+E1242),"")</f>
        <v/>
      </c>
      <c r="G1242" s="30" t="n"/>
      <c r="H1242" s="31" t="n"/>
    </row>
    <row r="1243" ht="20" customHeight="1">
      <c r="A1243" s="26" t="n"/>
      <c r="B1243" s="27">
        <f>IFERROR(IF(A1243="","",VLOOKUP(A1243,DATABASE!$A:$B,2,0)),"")</f>
        <v/>
      </c>
      <c r="C1243" s="20">
        <f>IFERROR(IF(A1243="","",SUMIF(SAVINGS!$A$3:A1242,A1243,SAVINGS!$E$3:E1242)-SUMIF(WITHDRAWALS!$A:$A,A1243,WITHDRAWALS!$E:$E)),"")</f>
        <v/>
      </c>
      <c r="D1243" s="28">
        <f>IF(A1243="","",TODAY())</f>
        <v/>
      </c>
      <c r="E1243" s="29" t="n"/>
      <c r="F1243" s="20">
        <f>IFERROR(IF(OR(A1243="",E1243=""),"",C1243+E1243),"")</f>
        <v/>
      </c>
      <c r="G1243" s="30" t="n"/>
      <c r="H1243" s="27" t="n"/>
    </row>
    <row r="1244" ht="20" customHeight="1">
      <c r="A1244" s="26" t="n"/>
      <c r="B1244" s="31">
        <f>IFERROR(IF(A1244="","",VLOOKUP(A1244,DATABASE!$A:$B,2,0)),"")</f>
        <v/>
      </c>
      <c r="C1244" s="32">
        <f>IFERROR(IF(A1244="","",SUMIF(SAVINGS!$A$3:A1243,A1244,SAVINGS!$E$3:E1243)-SUMIF(WITHDRAWALS!$A:$A,A1244,WITHDRAWALS!$E:$E)),"")</f>
        <v/>
      </c>
      <c r="D1244" s="33">
        <f>IF(A1244="","",TODAY())</f>
        <v/>
      </c>
      <c r="E1244" s="29" t="n"/>
      <c r="F1244" s="32">
        <f>IFERROR(IF(OR(A1244="",E1244=""),"",C1244+E1244),"")</f>
        <v/>
      </c>
      <c r="G1244" s="30" t="n"/>
      <c r="H1244" s="31" t="n"/>
    </row>
    <row r="1245" ht="20" customHeight="1">
      <c r="A1245" s="26" t="n"/>
      <c r="B1245" s="27">
        <f>IFERROR(IF(A1245="","",VLOOKUP(A1245,DATABASE!$A:$B,2,0)),"")</f>
        <v/>
      </c>
      <c r="C1245" s="20">
        <f>IFERROR(IF(A1245="","",SUMIF(SAVINGS!$A$3:A1244,A1245,SAVINGS!$E$3:E1244)-SUMIF(WITHDRAWALS!$A:$A,A1245,WITHDRAWALS!$E:$E)),"")</f>
        <v/>
      </c>
      <c r="D1245" s="28">
        <f>IF(A1245="","",TODAY())</f>
        <v/>
      </c>
      <c r="E1245" s="29" t="n"/>
      <c r="F1245" s="20">
        <f>IFERROR(IF(OR(A1245="",E1245=""),"",C1245+E1245),"")</f>
        <v/>
      </c>
      <c r="G1245" s="30" t="n"/>
      <c r="H1245" s="27" t="n"/>
    </row>
    <row r="1246" ht="20" customHeight="1">
      <c r="A1246" s="26" t="n"/>
      <c r="B1246" s="31">
        <f>IFERROR(IF(A1246="","",VLOOKUP(A1246,DATABASE!$A:$B,2,0)),"")</f>
        <v/>
      </c>
      <c r="C1246" s="32">
        <f>IFERROR(IF(A1246="","",SUMIF(SAVINGS!$A$3:A1245,A1246,SAVINGS!$E$3:E1245)-SUMIF(WITHDRAWALS!$A:$A,A1246,WITHDRAWALS!$E:$E)),"")</f>
        <v/>
      </c>
      <c r="D1246" s="33">
        <f>IF(A1246="","",TODAY())</f>
        <v/>
      </c>
      <c r="E1246" s="29" t="n"/>
      <c r="F1246" s="32">
        <f>IFERROR(IF(OR(A1246="",E1246=""),"",C1246+E1246),"")</f>
        <v/>
      </c>
      <c r="G1246" s="30" t="n"/>
      <c r="H1246" s="31" t="n"/>
    </row>
    <row r="1247" ht="20" customHeight="1">
      <c r="A1247" s="26" t="n"/>
      <c r="B1247" s="27">
        <f>IFERROR(IF(A1247="","",VLOOKUP(A1247,DATABASE!$A:$B,2,0)),"")</f>
        <v/>
      </c>
      <c r="C1247" s="20">
        <f>IFERROR(IF(A1247="","",SUMIF(SAVINGS!$A$3:A1246,A1247,SAVINGS!$E$3:E1246)-SUMIF(WITHDRAWALS!$A:$A,A1247,WITHDRAWALS!$E:$E)),"")</f>
        <v/>
      </c>
      <c r="D1247" s="28">
        <f>IF(A1247="","",TODAY())</f>
        <v/>
      </c>
      <c r="E1247" s="29" t="n"/>
      <c r="F1247" s="20">
        <f>IFERROR(IF(OR(A1247="",E1247=""),"",C1247+E1247),"")</f>
        <v/>
      </c>
      <c r="G1247" s="30" t="n"/>
      <c r="H1247" s="27" t="n"/>
    </row>
    <row r="1248" ht="20" customHeight="1">
      <c r="A1248" s="26" t="n"/>
      <c r="B1248" s="31">
        <f>IFERROR(IF(A1248="","",VLOOKUP(A1248,DATABASE!$A:$B,2,0)),"")</f>
        <v/>
      </c>
      <c r="C1248" s="32">
        <f>IFERROR(IF(A1248="","",SUMIF(SAVINGS!$A$3:A1247,A1248,SAVINGS!$E$3:E1247)-SUMIF(WITHDRAWALS!$A:$A,A1248,WITHDRAWALS!$E:$E)),"")</f>
        <v/>
      </c>
      <c r="D1248" s="33">
        <f>IF(A1248="","",TODAY())</f>
        <v/>
      </c>
      <c r="E1248" s="29" t="n"/>
      <c r="F1248" s="32">
        <f>IFERROR(IF(OR(A1248="",E1248=""),"",C1248+E1248),"")</f>
        <v/>
      </c>
      <c r="G1248" s="30" t="n"/>
      <c r="H1248" s="31" t="n"/>
    </row>
    <row r="1249" ht="20" customHeight="1">
      <c r="A1249" s="26" t="n"/>
      <c r="B1249" s="27">
        <f>IFERROR(IF(A1249="","",VLOOKUP(A1249,DATABASE!$A:$B,2,0)),"")</f>
        <v/>
      </c>
      <c r="C1249" s="20">
        <f>IFERROR(IF(A1249="","",SUMIF(SAVINGS!$A$3:A1248,A1249,SAVINGS!$E$3:E1248)-SUMIF(WITHDRAWALS!$A:$A,A1249,WITHDRAWALS!$E:$E)),"")</f>
        <v/>
      </c>
      <c r="D1249" s="28">
        <f>IF(A1249="","",TODAY())</f>
        <v/>
      </c>
      <c r="E1249" s="29" t="n"/>
      <c r="F1249" s="20">
        <f>IFERROR(IF(OR(A1249="",E1249=""),"",C1249+E1249),"")</f>
        <v/>
      </c>
      <c r="G1249" s="30" t="n"/>
      <c r="H1249" s="27" t="n"/>
    </row>
    <row r="1250" ht="20" customHeight="1">
      <c r="A1250" s="26" t="n"/>
      <c r="B1250" s="31">
        <f>IFERROR(IF(A1250="","",VLOOKUP(A1250,DATABASE!$A:$B,2,0)),"")</f>
        <v/>
      </c>
      <c r="C1250" s="32">
        <f>IFERROR(IF(A1250="","",SUMIF(SAVINGS!$A$3:A1249,A1250,SAVINGS!$E$3:E1249)-SUMIF(WITHDRAWALS!$A:$A,A1250,WITHDRAWALS!$E:$E)),"")</f>
        <v/>
      </c>
      <c r="D1250" s="33">
        <f>IF(A1250="","",TODAY())</f>
        <v/>
      </c>
      <c r="E1250" s="29" t="n"/>
      <c r="F1250" s="32">
        <f>IFERROR(IF(OR(A1250="",E1250=""),"",C1250+E1250),"")</f>
        <v/>
      </c>
      <c r="G1250" s="30" t="n"/>
      <c r="H1250" s="31" t="n"/>
    </row>
    <row r="1251" ht="20" customHeight="1">
      <c r="A1251" s="26" t="n"/>
      <c r="B1251" s="27">
        <f>IFERROR(IF(A1251="","",VLOOKUP(A1251,DATABASE!$A:$B,2,0)),"")</f>
        <v/>
      </c>
      <c r="C1251" s="20">
        <f>IFERROR(IF(A1251="","",SUMIF(SAVINGS!$A$3:A1250,A1251,SAVINGS!$E$3:E1250)-SUMIF(WITHDRAWALS!$A:$A,A1251,WITHDRAWALS!$E:$E)),"")</f>
        <v/>
      </c>
      <c r="D1251" s="28">
        <f>IF(A1251="","",TODAY())</f>
        <v/>
      </c>
      <c r="E1251" s="29" t="n"/>
      <c r="F1251" s="20">
        <f>IFERROR(IF(OR(A1251="",E1251=""),"",C1251+E1251),"")</f>
        <v/>
      </c>
      <c r="G1251" s="30" t="n"/>
      <c r="H1251" s="27" t="n"/>
    </row>
    <row r="1252" ht="20" customHeight="1">
      <c r="A1252" s="26" t="n"/>
      <c r="B1252" s="31">
        <f>IFERROR(IF(A1252="","",VLOOKUP(A1252,DATABASE!$A:$B,2,0)),"")</f>
        <v/>
      </c>
      <c r="C1252" s="32">
        <f>IFERROR(IF(A1252="","",SUMIF(SAVINGS!$A$3:A1251,A1252,SAVINGS!$E$3:E1251)-SUMIF(WITHDRAWALS!$A:$A,A1252,WITHDRAWALS!$E:$E)),"")</f>
        <v/>
      </c>
      <c r="D1252" s="33">
        <f>IF(A1252="","",TODAY())</f>
        <v/>
      </c>
      <c r="E1252" s="29" t="n"/>
      <c r="F1252" s="32">
        <f>IFERROR(IF(OR(A1252="",E1252=""),"",C1252+E1252),"")</f>
        <v/>
      </c>
      <c r="G1252" s="30" t="n"/>
      <c r="H1252" s="31" t="n"/>
    </row>
    <row r="1253" ht="20" customHeight="1">
      <c r="A1253" s="26" t="n"/>
      <c r="B1253" s="27">
        <f>IFERROR(IF(A1253="","",VLOOKUP(A1253,DATABASE!$A:$B,2,0)),"")</f>
        <v/>
      </c>
      <c r="C1253" s="20">
        <f>IFERROR(IF(A1253="","",SUMIF(SAVINGS!$A$3:A1252,A1253,SAVINGS!$E$3:E1252)-SUMIF(WITHDRAWALS!$A:$A,A1253,WITHDRAWALS!$E:$E)),"")</f>
        <v/>
      </c>
      <c r="D1253" s="28">
        <f>IF(A1253="","",TODAY())</f>
        <v/>
      </c>
      <c r="E1253" s="29" t="n"/>
      <c r="F1253" s="20">
        <f>IFERROR(IF(OR(A1253="",E1253=""),"",C1253+E1253),"")</f>
        <v/>
      </c>
      <c r="G1253" s="30" t="n"/>
      <c r="H1253" s="27" t="n"/>
    </row>
    <row r="1254" ht="20" customHeight="1">
      <c r="A1254" s="26" t="n"/>
      <c r="B1254" s="31">
        <f>IFERROR(IF(A1254="","",VLOOKUP(A1254,DATABASE!$A:$B,2,0)),"")</f>
        <v/>
      </c>
      <c r="C1254" s="32">
        <f>IFERROR(IF(A1254="","",SUMIF(SAVINGS!$A$3:A1253,A1254,SAVINGS!$E$3:E1253)-SUMIF(WITHDRAWALS!$A:$A,A1254,WITHDRAWALS!$E:$E)),"")</f>
        <v/>
      </c>
      <c r="D1254" s="33">
        <f>IF(A1254="","",TODAY())</f>
        <v/>
      </c>
      <c r="E1254" s="29" t="n"/>
      <c r="F1254" s="32">
        <f>IFERROR(IF(OR(A1254="",E1254=""),"",C1254+E1254),"")</f>
        <v/>
      </c>
      <c r="G1254" s="30" t="n"/>
      <c r="H1254" s="31" t="n"/>
    </row>
    <row r="1255" ht="20" customHeight="1">
      <c r="A1255" s="26" t="n"/>
      <c r="B1255" s="27">
        <f>IFERROR(IF(A1255="","",VLOOKUP(A1255,DATABASE!$A:$B,2,0)),"")</f>
        <v/>
      </c>
      <c r="C1255" s="20">
        <f>IFERROR(IF(A1255="","",SUMIF(SAVINGS!$A$3:A1254,A1255,SAVINGS!$E$3:E1254)-SUMIF(WITHDRAWALS!$A:$A,A1255,WITHDRAWALS!$E:$E)),"")</f>
        <v/>
      </c>
      <c r="D1255" s="28">
        <f>IF(A1255="","",TODAY())</f>
        <v/>
      </c>
      <c r="E1255" s="29" t="n"/>
      <c r="F1255" s="20">
        <f>IFERROR(IF(OR(A1255="",E1255=""),"",C1255+E1255),"")</f>
        <v/>
      </c>
      <c r="G1255" s="30" t="n"/>
      <c r="H1255" s="27" t="n"/>
    </row>
    <row r="1256" ht="20" customHeight="1">
      <c r="A1256" s="26" t="n"/>
      <c r="B1256" s="31">
        <f>IFERROR(IF(A1256="","",VLOOKUP(A1256,DATABASE!$A:$B,2,0)),"")</f>
        <v/>
      </c>
      <c r="C1256" s="32">
        <f>IFERROR(IF(A1256="","",SUMIF(SAVINGS!$A$3:A1255,A1256,SAVINGS!$E$3:E1255)-SUMIF(WITHDRAWALS!$A:$A,A1256,WITHDRAWALS!$E:$E)),"")</f>
        <v/>
      </c>
      <c r="D1256" s="33">
        <f>IF(A1256="","",TODAY())</f>
        <v/>
      </c>
      <c r="E1256" s="29" t="n"/>
      <c r="F1256" s="32">
        <f>IFERROR(IF(OR(A1256="",E1256=""),"",C1256+E1256),"")</f>
        <v/>
      </c>
      <c r="G1256" s="30" t="n"/>
      <c r="H1256" s="31" t="n"/>
    </row>
    <row r="1257" ht="20" customHeight="1">
      <c r="A1257" s="26" t="n"/>
      <c r="B1257" s="27">
        <f>IFERROR(IF(A1257="","",VLOOKUP(A1257,DATABASE!$A:$B,2,0)),"")</f>
        <v/>
      </c>
      <c r="C1257" s="20">
        <f>IFERROR(IF(A1257="","",SUMIF(SAVINGS!$A$3:A1256,A1257,SAVINGS!$E$3:E1256)-SUMIF(WITHDRAWALS!$A:$A,A1257,WITHDRAWALS!$E:$E)),"")</f>
        <v/>
      </c>
      <c r="D1257" s="28">
        <f>IF(A1257="","",TODAY())</f>
        <v/>
      </c>
      <c r="E1257" s="29" t="n"/>
      <c r="F1257" s="20">
        <f>IFERROR(IF(OR(A1257="",E1257=""),"",C1257+E1257),"")</f>
        <v/>
      </c>
      <c r="G1257" s="30" t="n"/>
      <c r="H1257" s="27" t="n"/>
    </row>
    <row r="1258" ht="20" customHeight="1">
      <c r="A1258" s="26" t="n"/>
      <c r="B1258" s="31">
        <f>IFERROR(IF(A1258="","",VLOOKUP(A1258,DATABASE!$A:$B,2,0)),"")</f>
        <v/>
      </c>
      <c r="C1258" s="32">
        <f>IFERROR(IF(A1258="","",SUMIF(SAVINGS!$A$3:A1257,A1258,SAVINGS!$E$3:E1257)-SUMIF(WITHDRAWALS!$A:$A,A1258,WITHDRAWALS!$E:$E)),"")</f>
        <v/>
      </c>
      <c r="D1258" s="33">
        <f>IF(A1258="","",TODAY())</f>
        <v/>
      </c>
      <c r="E1258" s="29" t="n"/>
      <c r="F1258" s="32">
        <f>IFERROR(IF(OR(A1258="",E1258=""),"",C1258+E1258),"")</f>
        <v/>
      </c>
      <c r="G1258" s="30" t="n"/>
      <c r="H1258" s="31" t="n"/>
    </row>
    <row r="1259" ht="20" customHeight="1">
      <c r="A1259" s="26" t="n"/>
      <c r="B1259" s="27">
        <f>IFERROR(IF(A1259="","",VLOOKUP(A1259,DATABASE!$A:$B,2,0)),"")</f>
        <v/>
      </c>
      <c r="C1259" s="20">
        <f>IFERROR(IF(A1259="","",SUMIF(SAVINGS!$A$3:A1258,A1259,SAVINGS!$E$3:E1258)-SUMIF(WITHDRAWALS!$A:$A,A1259,WITHDRAWALS!$E:$E)),"")</f>
        <v/>
      </c>
      <c r="D1259" s="28">
        <f>IF(A1259="","",TODAY())</f>
        <v/>
      </c>
      <c r="E1259" s="29" t="n"/>
      <c r="F1259" s="20">
        <f>IFERROR(IF(OR(A1259="",E1259=""),"",C1259+E1259),"")</f>
        <v/>
      </c>
      <c r="G1259" s="30" t="n"/>
      <c r="H1259" s="27" t="n"/>
    </row>
    <row r="1260" ht="20" customHeight="1">
      <c r="A1260" s="26" t="n"/>
      <c r="B1260" s="31">
        <f>IFERROR(IF(A1260="","",VLOOKUP(A1260,DATABASE!$A:$B,2,0)),"")</f>
        <v/>
      </c>
      <c r="C1260" s="32">
        <f>IFERROR(IF(A1260="","",SUMIF(SAVINGS!$A$3:A1259,A1260,SAVINGS!$E$3:E1259)-SUMIF(WITHDRAWALS!$A:$A,A1260,WITHDRAWALS!$E:$E)),"")</f>
        <v/>
      </c>
      <c r="D1260" s="33">
        <f>IF(A1260="","",TODAY())</f>
        <v/>
      </c>
      <c r="E1260" s="29" t="n"/>
      <c r="F1260" s="32">
        <f>IFERROR(IF(OR(A1260="",E1260=""),"",C1260+E1260),"")</f>
        <v/>
      </c>
      <c r="G1260" s="30" t="n"/>
      <c r="H1260" s="31" t="n"/>
    </row>
    <row r="1261" ht="20" customHeight="1">
      <c r="A1261" s="26" t="n"/>
      <c r="B1261" s="27">
        <f>IFERROR(IF(A1261="","",VLOOKUP(A1261,DATABASE!$A:$B,2,0)),"")</f>
        <v/>
      </c>
      <c r="C1261" s="20">
        <f>IFERROR(IF(A1261="","",SUMIF(SAVINGS!$A$3:A1260,A1261,SAVINGS!$E$3:E1260)-SUMIF(WITHDRAWALS!$A:$A,A1261,WITHDRAWALS!$E:$E)),"")</f>
        <v/>
      </c>
      <c r="D1261" s="28">
        <f>IF(A1261="","",TODAY())</f>
        <v/>
      </c>
      <c r="E1261" s="29" t="n"/>
      <c r="F1261" s="20">
        <f>IFERROR(IF(OR(A1261="",E1261=""),"",C1261+E1261),"")</f>
        <v/>
      </c>
      <c r="G1261" s="30" t="n"/>
      <c r="H1261" s="27" t="n"/>
    </row>
    <row r="1262" ht="20" customHeight="1">
      <c r="A1262" s="26" t="n"/>
      <c r="B1262" s="31">
        <f>IFERROR(IF(A1262="","",VLOOKUP(A1262,DATABASE!$A:$B,2,0)),"")</f>
        <v/>
      </c>
      <c r="C1262" s="32">
        <f>IFERROR(IF(A1262="","",SUMIF(SAVINGS!$A$3:A1261,A1262,SAVINGS!$E$3:E1261)-SUMIF(WITHDRAWALS!$A:$A,A1262,WITHDRAWALS!$E:$E)),"")</f>
        <v/>
      </c>
      <c r="D1262" s="33">
        <f>IF(A1262="","",TODAY())</f>
        <v/>
      </c>
      <c r="E1262" s="29" t="n"/>
      <c r="F1262" s="32">
        <f>IFERROR(IF(OR(A1262="",E1262=""),"",C1262+E1262),"")</f>
        <v/>
      </c>
      <c r="G1262" s="30" t="n"/>
      <c r="H1262" s="31" t="n"/>
    </row>
    <row r="1263" ht="20" customHeight="1">
      <c r="A1263" s="26" t="n"/>
      <c r="B1263" s="27">
        <f>IFERROR(IF(A1263="","",VLOOKUP(A1263,DATABASE!$A:$B,2,0)),"")</f>
        <v/>
      </c>
      <c r="C1263" s="20">
        <f>IFERROR(IF(A1263="","",SUMIF(SAVINGS!$A$3:A1262,A1263,SAVINGS!$E$3:E1262)-SUMIF(WITHDRAWALS!$A:$A,A1263,WITHDRAWALS!$E:$E)),"")</f>
        <v/>
      </c>
      <c r="D1263" s="28">
        <f>IF(A1263="","",TODAY())</f>
        <v/>
      </c>
      <c r="E1263" s="29" t="n"/>
      <c r="F1263" s="20">
        <f>IFERROR(IF(OR(A1263="",E1263=""),"",C1263+E1263),"")</f>
        <v/>
      </c>
      <c r="G1263" s="30" t="n"/>
      <c r="H1263" s="27" t="n"/>
    </row>
    <row r="1264" ht="20" customHeight="1">
      <c r="A1264" s="26" t="n"/>
      <c r="B1264" s="31">
        <f>IFERROR(IF(A1264="","",VLOOKUP(A1264,DATABASE!$A:$B,2,0)),"")</f>
        <v/>
      </c>
      <c r="C1264" s="32">
        <f>IFERROR(IF(A1264="","",SUMIF(SAVINGS!$A$3:A1263,A1264,SAVINGS!$E$3:E1263)-SUMIF(WITHDRAWALS!$A:$A,A1264,WITHDRAWALS!$E:$E)),"")</f>
        <v/>
      </c>
      <c r="D1264" s="33">
        <f>IF(A1264="","",TODAY())</f>
        <v/>
      </c>
      <c r="E1264" s="29" t="n"/>
      <c r="F1264" s="32">
        <f>IFERROR(IF(OR(A1264="",E1264=""),"",C1264+E1264),"")</f>
        <v/>
      </c>
      <c r="G1264" s="30" t="n"/>
      <c r="H1264" s="31" t="n"/>
    </row>
    <row r="1265" ht="20" customHeight="1">
      <c r="A1265" s="26" t="n"/>
      <c r="B1265" s="27">
        <f>IFERROR(IF(A1265="","",VLOOKUP(A1265,DATABASE!$A:$B,2,0)),"")</f>
        <v/>
      </c>
      <c r="C1265" s="20">
        <f>IFERROR(IF(A1265="","",SUMIF(SAVINGS!$A$3:A1264,A1265,SAVINGS!$E$3:E1264)-SUMIF(WITHDRAWALS!$A:$A,A1265,WITHDRAWALS!$E:$E)),"")</f>
        <v/>
      </c>
      <c r="D1265" s="28">
        <f>IF(A1265="","",TODAY())</f>
        <v/>
      </c>
      <c r="E1265" s="29" t="n"/>
      <c r="F1265" s="20">
        <f>IFERROR(IF(OR(A1265="",E1265=""),"",C1265+E1265),"")</f>
        <v/>
      </c>
      <c r="G1265" s="30" t="n"/>
      <c r="H1265" s="27" t="n"/>
    </row>
    <row r="1266" ht="20" customHeight="1">
      <c r="A1266" s="26" t="n"/>
      <c r="B1266" s="31">
        <f>IFERROR(IF(A1266="","",VLOOKUP(A1266,DATABASE!$A:$B,2,0)),"")</f>
        <v/>
      </c>
      <c r="C1266" s="32">
        <f>IFERROR(IF(A1266="","",SUMIF(SAVINGS!$A$3:A1265,A1266,SAVINGS!$E$3:E1265)-SUMIF(WITHDRAWALS!$A:$A,A1266,WITHDRAWALS!$E:$E)),"")</f>
        <v/>
      </c>
      <c r="D1266" s="33">
        <f>IF(A1266="","",TODAY())</f>
        <v/>
      </c>
      <c r="E1266" s="29" t="n"/>
      <c r="F1266" s="32">
        <f>IFERROR(IF(OR(A1266="",E1266=""),"",C1266+E1266),"")</f>
        <v/>
      </c>
      <c r="G1266" s="30" t="n"/>
      <c r="H1266" s="31" t="n"/>
    </row>
    <row r="1267" ht="20" customHeight="1">
      <c r="A1267" s="26" t="n"/>
      <c r="B1267" s="27">
        <f>IFERROR(IF(A1267="","",VLOOKUP(A1267,DATABASE!$A:$B,2,0)),"")</f>
        <v/>
      </c>
      <c r="C1267" s="20">
        <f>IFERROR(IF(A1267="","",SUMIF(SAVINGS!$A$3:A1266,A1267,SAVINGS!$E$3:E1266)-SUMIF(WITHDRAWALS!$A:$A,A1267,WITHDRAWALS!$E:$E)),"")</f>
        <v/>
      </c>
      <c r="D1267" s="28">
        <f>IF(A1267="","",TODAY())</f>
        <v/>
      </c>
      <c r="E1267" s="29" t="n"/>
      <c r="F1267" s="20">
        <f>IFERROR(IF(OR(A1267="",E1267=""),"",C1267+E1267),"")</f>
        <v/>
      </c>
      <c r="G1267" s="30" t="n"/>
      <c r="H1267" s="27" t="n"/>
    </row>
    <row r="1268" ht="20" customHeight="1">
      <c r="A1268" s="26" t="n"/>
      <c r="B1268" s="31">
        <f>IFERROR(IF(A1268="","",VLOOKUP(A1268,DATABASE!$A:$B,2,0)),"")</f>
        <v/>
      </c>
      <c r="C1268" s="32">
        <f>IFERROR(IF(A1268="","",SUMIF(SAVINGS!$A$3:A1267,A1268,SAVINGS!$E$3:E1267)-SUMIF(WITHDRAWALS!$A:$A,A1268,WITHDRAWALS!$E:$E)),"")</f>
        <v/>
      </c>
      <c r="D1268" s="33">
        <f>IF(A1268="","",TODAY())</f>
        <v/>
      </c>
      <c r="E1268" s="29" t="n"/>
      <c r="F1268" s="32">
        <f>IFERROR(IF(OR(A1268="",E1268=""),"",C1268+E1268),"")</f>
        <v/>
      </c>
      <c r="G1268" s="30" t="n"/>
      <c r="H1268" s="31" t="n"/>
    </row>
    <row r="1269" ht="20" customHeight="1">
      <c r="A1269" s="26" t="n"/>
      <c r="B1269" s="27">
        <f>IFERROR(IF(A1269="","",VLOOKUP(A1269,DATABASE!$A:$B,2,0)),"")</f>
        <v/>
      </c>
      <c r="C1269" s="20">
        <f>IFERROR(IF(A1269="","",SUMIF(SAVINGS!$A$3:A1268,A1269,SAVINGS!$E$3:E1268)-SUMIF(WITHDRAWALS!$A:$A,A1269,WITHDRAWALS!$E:$E)),"")</f>
        <v/>
      </c>
      <c r="D1269" s="28">
        <f>IF(A1269="","",TODAY())</f>
        <v/>
      </c>
      <c r="E1269" s="29" t="n"/>
      <c r="F1269" s="20">
        <f>IFERROR(IF(OR(A1269="",E1269=""),"",C1269+E1269),"")</f>
        <v/>
      </c>
      <c r="G1269" s="30" t="n"/>
      <c r="H1269" s="27" t="n"/>
    </row>
    <row r="1270" ht="20" customHeight="1">
      <c r="A1270" s="26" t="n"/>
      <c r="B1270" s="31">
        <f>IFERROR(IF(A1270="","",VLOOKUP(A1270,DATABASE!$A:$B,2,0)),"")</f>
        <v/>
      </c>
      <c r="C1270" s="32">
        <f>IFERROR(IF(A1270="","",SUMIF(SAVINGS!$A$3:A1269,A1270,SAVINGS!$E$3:E1269)-SUMIF(WITHDRAWALS!$A:$A,A1270,WITHDRAWALS!$E:$E)),"")</f>
        <v/>
      </c>
      <c r="D1270" s="33">
        <f>IF(A1270="","",TODAY())</f>
        <v/>
      </c>
      <c r="E1270" s="29" t="n"/>
      <c r="F1270" s="32">
        <f>IFERROR(IF(OR(A1270="",E1270=""),"",C1270+E1270),"")</f>
        <v/>
      </c>
      <c r="G1270" s="30" t="n"/>
      <c r="H1270" s="31" t="n"/>
    </row>
    <row r="1271" ht="20" customHeight="1">
      <c r="A1271" s="26" t="n"/>
      <c r="B1271" s="27">
        <f>IFERROR(IF(A1271="","",VLOOKUP(A1271,DATABASE!$A:$B,2,0)),"")</f>
        <v/>
      </c>
      <c r="C1271" s="20">
        <f>IFERROR(IF(A1271="","",SUMIF(SAVINGS!$A$3:A1270,A1271,SAVINGS!$E$3:E1270)-SUMIF(WITHDRAWALS!$A:$A,A1271,WITHDRAWALS!$E:$E)),"")</f>
        <v/>
      </c>
      <c r="D1271" s="28">
        <f>IF(A1271="","",TODAY())</f>
        <v/>
      </c>
      <c r="E1271" s="29" t="n"/>
      <c r="F1271" s="20">
        <f>IFERROR(IF(OR(A1271="",E1271=""),"",C1271+E1271),"")</f>
        <v/>
      </c>
      <c r="G1271" s="30" t="n"/>
      <c r="H1271" s="27" t="n"/>
    </row>
    <row r="1272" ht="20" customHeight="1">
      <c r="A1272" s="26" t="n"/>
      <c r="B1272" s="31">
        <f>IFERROR(IF(A1272="","",VLOOKUP(A1272,DATABASE!$A:$B,2,0)),"")</f>
        <v/>
      </c>
      <c r="C1272" s="32">
        <f>IFERROR(IF(A1272="","",SUMIF(SAVINGS!$A$3:A1271,A1272,SAVINGS!$E$3:E1271)-SUMIF(WITHDRAWALS!$A:$A,A1272,WITHDRAWALS!$E:$E)),"")</f>
        <v/>
      </c>
      <c r="D1272" s="33">
        <f>IF(A1272="","",TODAY())</f>
        <v/>
      </c>
      <c r="E1272" s="29" t="n"/>
      <c r="F1272" s="32">
        <f>IFERROR(IF(OR(A1272="",E1272=""),"",C1272+E1272),"")</f>
        <v/>
      </c>
      <c r="G1272" s="30" t="n"/>
      <c r="H1272" s="31" t="n"/>
    </row>
    <row r="1273" ht="20" customHeight="1">
      <c r="A1273" s="26" t="n"/>
      <c r="B1273" s="27">
        <f>IFERROR(IF(A1273="","",VLOOKUP(A1273,DATABASE!$A:$B,2,0)),"")</f>
        <v/>
      </c>
      <c r="C1273" s="20">
        <f>IFERROR(IF(A1273="","",SUMIF(SAVINGS!$A$3:A1272,A1273,SAVINGS!$E$3:E1272)-SUMIF(WITHDRAWALS!$A:$A,A1273,WITHDRAWALS!$E:$E)),"")</f>
        <v/>
      </c>
      <c r="D1273" s="28">
        <f>IF(A1273="","",TODAY())</f>
        <v/>
      </c>
      <c r="E1273" s="29" t="n"/>
      <c r="F1273" s="20">
        <f>IFERROR(IF(OR(A1273="",E1273=""),"",C1273+E1273),"")</f>
        <v/>
      </c>
      <c r="G1273" s="30" t="n"/>
      <c r="H1273" s="27" t="n"/>
    </row>
    <row r="1274" ht="20" customHeight="1">
      <c r="A1274" s="26" t="n"/>
      <c r="B1274" s="31">
        <f>IFERROR(IF(A1274="","",VLOOKUP(A1274,DATABASE!$A:$B,2,0)),"")</f>
        <v/>
      </c>
      <c r="C1274" s="32">
        <f>IFERROR(IF(A1274="","",SUMIF(SAVINGS!$A$3:A1273,A1274,SAVINGS!$E$3:E1273)-SUMIF(WITHDRAWALS!$A:$A,A1274,WITHDRAWALS!$E:$E)),"")</f>
        <v/>
      </c>
      <c r="D1274" s="33">
        <f>IF(A1274="","",TODAY())</f>
        <v/>
      </c>
      <c r="E1274" s="29" t="n"/>
      <c r="F1274" s="32">
        <f>IFERROR(IF(OR(A1274="",E1274=""),"",C1274+E1274),"")</f>
        <v/>
      </c>
      <c r="G1274" s="30" t="n"/>
      <c r="H1274" s="31" t="n"/>
    </row>
    <row r="1275" ht="20" customHeight="1">
      <c r="A1275" s="26" t="n"/>
      <c r="B1275" s="27">
        <f>IFERROR(IF(A1275="","",VLOOKUP(A1275,DATABASE!$A:$B,2,0)),"")</f>
        <v/>
      </c>
      <c r="C1275" s="20">
        <f>IFERROR(IF(A1275="","",SUMIF(SAVINGS!$A$3:A1274,A1275,SAVINGS!$E$3:E1274)-SUMIF(WITHDRAWALS!$A:$A,A1275,WITHDRAWALS!$E:$E)),"")</f>
        <v/>
      </c>
      <c r="D1275" s="28">
        <f>IF(A1275="","",TODAY())</f>
        <v/>
      </c>
      <c r="E1275" s="29" t="n"/>
      <c r="F1275" s="20">
        <f>IFERROR(IF(OR(A1275="",E1275=""),"",C1275+E1275),"")</f>
        <v/>
      </c>
      <c r="G1275" s="30" t="n"/>
      <c r="H1275" s="27" t="n"/>
    </row>
    <row r="1276" ht="20" customHeight="1">
      <c r="A1276" s="26" t="n"/>
      <c r="B1276" s="31">
        <f>IFERROR(IF(A1276="","",VLOOKUP(A1276,DATABASE!$A:$B,2,0)),"")</f>
        <v/>
      </c>
      <c r="C1276" s="32">
        <f>IFERROR(IF(A1276="","",SUMIF(SAVINGS!$A$3:A1275,A1276,SAVINGS!$E$3:E1275)-SUMIF(WITHDRAWALS!$A:$A,A1276,WITHDRAWALS!$E:$E)),"")</f>
        <v/>
      </c>
      <c r="D1276" s="33">
        <f>IF(A1276="","",TODAY())</f>
        <v/>
      </c>
      <c r="E1276" s="29" t="n"/>
      <c r="F1276" s="32">
        <f>IFERROR(IF(OR(A1276="",E1276=""),"",C1276+E1276),"")</f>
        <v/>
      </c>
      <c r="G1276" s="30" t="n"/>
      <c r="H1276" s="31" t="n"/>
    </row>
    <row r="1277" ht="20" customHeight="1">
      <c r="A1277" s="26" t="n"/>
      <c r="B1277" s="27">
        <f>IFERROR(IF(A1277="","",VLOOKUP(A1277,DATABASE!$A:$B,2,0)),"")</f>
        <v/>
      </c>
      <c r="C1277" s="20">
        <f>IFERROR(IF(A1277="","",SUMIF(SAVINGS!$A$3:A1276,A1277,SAVINGS!$E$3:E1276)-SUMIF(WITHDRAWALS!$A:$A,A1277,WITHDRAWALS!$E:$E)),"")</f>
        <v/>
      </c>
      <c r="D1277" s="28">
        <f>IF(A1277="","",TODAY())</f>
        <v/>
      </c>
      <c r="E1277" s="29" t="n"/>
      <c r="F1277" s="20">
        <f>IFERROR(IF(OR(A1277="",E1277=""),"",C1277+E1277),"")</f>
        <v/>
      </c>
      <c r="G1277" s="30" t="n"/>
      <c r="H1277" s="27" t="n"/>
    </row>
    <row r="1278" ht="20" customHeight="1">
      <c r="A1278" s="26" t="n"/>
      <c r="B1278" s="31">
        <f>IFERROR(IF(A1278="","",VLOOKUP(A1278,DATABASE!$A:$B,2,0)),"")</f>
        <v/>
      </c>
      <c r="C1278" s="32">
        <f>IFERROR(IF(A1278="","",SUMIF(SAVINGS!$A$3:A1277,A1278,SAVINGS!$E$3:E1277)-SUMIF(WITHDRAWALS!$A:$A,A1278,WITHDRAWALS!$E:$E)),"")</f>
        <v/>
      </c>
      <c r="D1278" s="33">
        <f>IF(A1278="","",TODAY())</f>
        <v/>
      </c>
      <c r="E1278" s="29" t="n"/>
      <c r="F1278" s="32">
        <f>IFERROR(IF(OR(A1278="",E1278=""),"",C1278+E1278),"")</f>
        <v/>
      </c>
      <c r="G1278" s="30" t="n"/>
      <c r="H1278" s="31" t="n"/>
    </row>
    <row r="1279" ht="20" customHeight="1">
      <c r="A1279" s="26" t="n"/>
      <c r="B1279" s="27">
        <f>IFERROR(IF(A1279="","",VLOOKUP(A1279,DATABASE!$A:$B,2,0)),"")</f>
        <v/>
      </c>
      <c r="C1279" s="20">
        <f>IFERROR(IF(A1279="","",SUMIF(SAVINGS!$A$3:A1278,A1279,SAVINGS!$E$3:E1278)-SUMIF(WITHDRAWALS!$A:$A,A1279,WITHDRAWALS!$E:$E)),"")</f>
        <v/>
      </c>
      <c r="D1279" s="28">
        <f>IF(A1279="","",TODAY())</f>
        <v/>
      </c>
      <c r="E1279" s="29" t="n"/>
      <c r="F1279" s="20">
        <f>IFERROR(IF(OR(A1279="",E1279=""),"",C1279+E1279),"")</f>
        <v/>
      </c>
      <c r="G1279" s="30" t="n"/>
      <c r="H1279" s="27" t="n"/>
    </row>
    <row r="1280" ht="20" customHeight="1">
      <c r="A1280" s="26" t="n"/>
      <c r="B1280" s="31">
        <f>IFERROR(IF(A1280="","",VLOOKUP(A1280,DATABASE!$A:$B,2,0)),"")</f>
        <v/>
      </c>
      <c r="C1280" s="32">
        <f>IFERROR(IF(A1280="","",SUMIF(SAVINGS!$A$3:A1279,A1280,SAVINGS!$E$3:E1279)-SUMIF(WITHDRAWALS!$A:$A,A1280,WITHDRAWALS!$E:$E)),"")</f>
        <v/>
      </c>
      <c r="D1280" s="33">
        <f>IF(A1280="","",TODAY())</f>
        <v/>
      </c>
      <c r="E1280" s="29" t="n"/>
      <c r="F1280" s="32">
        <f>IFERROR(IF(OR(A1280="",E1280=""),"",C1280+E1280),"")</f>
        <v/>
      </c>
      <c r="G1280" s="30" t="n"/>
      <c r="H1280" s="31" t="n"/>
    </row>
    <row r="1281" ht="20" customHeight="1">
      <c r="A1281" s="26" t="n"/>
      <c r="B1281" s="27">
        <f>IFERROR(IF(A1281="","",VLOOKUP(A1281,DATABASE!$A:$B,2,0)),"")</f>
        <v/>
      </c>
      <c r="C1281" s="20">
        <f>IFERROR(IF(A1281="","",SUMIF(SAVINGS!$A$3:A1280,A1281,SAVINGS!$E$3:E1280)-SUMIF(WITHDRAWALS!$A:$A,A1281,WITHDRAWALS!$E:$E)),"")</f>
        <v/>
      </c>
      <c r="D1281" s="28">
        <f>IF(A1281="","",TODAY())</f>
        <v/>
      </c>
      <c r="E1281" s="29" t="n"/>
      <c r="F1281" s="20">
        <f>IFERROR(IF(OR(A1281="",E1281=""),"",C1281+E1281),"")</f>
        <v/>
      </c>
      <c r="G1281" s="30" t="n"/>
      <c r="H1281" s="27" t="n"/>
    </row>
    <row r="1282" ht="20" customHeight="1">
      <c r="A1282" s="26" t="n"/>
      <c r="B1282" s="31">
        <f>IFERROR(IF(A1282="","",VLOOKUP(A1282,DATABASE!$A:$B,2,0)),"")</f>
        <v/>
      </c>
      <c r="C1282" s="32">
        <f>IFERROR(IF(A1282="","",SUMIF(SAVINGS!$A$3:A1281,A1282,SAVINGS!$E$3:E1281)-SUMIF(WITHDRAWALS!$A:$A,A1282,WITHDRAWALS!$E:$E)),"")</f>
        <v/>
      </c>
      <c r="D1282" s="33">
        <f>IF(A1282="","",TODAY())</f>
        <v/>
      </c>
      <c r="E1282" s="29" t="n"/>
      <c r="F1282" s="32">
        <f>IFERROR(IF(OR(A1282="",E1282=""),"",C1282+E1282),"")</f>
        <v/>
      </c>
      <c r="G1282" s="30" t="n"/>
      <c r="H1282" s="31" t="n"/>
    </row>
    <row r="1283" ht="20" customHeight="1">
      <c r="A1283" s="26" t="n"/>
      <c r="B1283" s="27">
        <f>IFERROR(IF(A1283="","",VLOOKUP(A1283,DATABASE!$A:$B,2,0)),"")</f>
        <v/>
      </c>
      <c r="C1283" s="20">
        <f>IFERROR(IF(A1283="","",SUMIF(SAVINGS!$A$3:A1282,A1283,SAVINGS!$E$3:E1282)-SUMIF(WITHDRAWALS!$A:$A,A1283,WITHDRAWALS!$E:$E)),"")</f>
        <v/>
      </c>
      <c r="D1283" s="28">
        <f>IF(A1283="","",TODAY())</f>
        <v/>
      </c>
      <c r="E1283" s="29" t="n"/>
      <c r="F1283" s="20">
        <f>IFERROR(IF(OR(A1283="",E1283=""),"",C1283+E1283),"")</f>
        <v/>
      </c>
      <c r="G1283" s="30" t="n"/>
      <c r="H1283" s="27" t="n"/>
    </row>
    <row r="1284" ht="20" customHeight="1">
      <c r="A1284" s="26" t="n"/>
      <c r="B1284" s="31">
        <f>IFERROR(IF(A1284="","",VLOOKUP(A1284,DATABASE!$A:$B,2,0)),"")</f>
        <v/>
      </c>
      <c r="C1284" s="32">
        <f>IFERROR(IF(A1284="","",SUMIF(SAVINGS!$A$3:A1283,A1284,SAVINGS!$E$3:E1283)-SUMIF(WITHDRAWALS!$A:$A,A1284,WITHDRAWALS!$E:$E)),"")</f>
        <v/>
      </c>
      <c r="D1284" s="33">
        <f>IF(A1284="","",TODAY())</f>
        <v/>
      </c>
      <c r="E1284" s="29" t="n"/>
      <c r="F1284" s="32">
        <f>IFERROR(IF(OR(A1284="",E1284=""),"",C1284+E1284),"")</f>
        <v/>
      </c>
      <c r="G1284" s="30" t="n"/>
      <c r="H1284" s="31" t="n"/>
    </row>
    <row r="1285" ht="20" customHeight="1">
      <c r="A1285" s="26" t="n"/>
      <c r="B1285" s="27">
        <f>IFERROR(IF(A1285="","",VLOOKUP(A1285,DATABASE!$A:$B,2,0)),"")</f>
        <v/>
      </c>
      <c r="C1285" s="20">
        <f>IFERROR(IF(A1285="","",SUMIF(SAVINGS!$A$3:A1284,A1285,SAVINGS!$E$3:E1284)-SUMIF(WITHDRAWALS!$A:$A,A1285,WITHDRAWALS!$E:$E)),"")</f>
        <v/>
      </c>
      <c r="D1285" s="28">
        <f>IF(A1285="","",TODAY())</f>
        <v/>
      </c>
      <c r="E1285" s="29" t="n"/>
      <c r="F1285" s="20">
        <f>IFERROR(IF(OR(A1285="",E1285=""),"",C1285+E1285),"")</f>
        <v/>
      </c>
      <c r="G1285" s="30" t="n"/>
      <c r="H1285" s="27" t="n"/>
    </row>
    <row r="1286" ht="20" customHeight="1">
      <c r="A1286" s="26" t="n"/>
      <c r="B1286" s="31">
        <f>IFERROR(IF(A1286="","",VLOOKUP(A1286,DATABASE!$A:$B,2,0)),"")</f>
        <v/>
      </c>
      <c r="C1286" s="32">
        <f>IFERROR(IF(A1286="","",SUMIF(SAVINGS!$A$3:A1285,A1286,SAVINGS!$E$3:E1285)-SUMIF(WITHDRAWALS!$A:$A,A1286,WITHDRAWALS!$E:$E)),"")</f>
        <v/>
      </c>
      <c r="D1286" s="33">
        <f>IF(A1286="","",TODAY())</f>
        <v/>
      </c>
      <c r="E1286" s="29" t="n"/>
      <c r="F1286" s="32">
        <f>IFERROR(IF(OR(A1286="",E1286=""),"",C1286+E1286),"")</f>
        <v/>
      </c>
      <c r="G1286" s="30" t="n"/>
      <c r="H1286" s="31" t="n"/>
    </row>
    <row r="1287" ht="20" customHeight="1">
      <c r="A1287" s="26" t="n"/>
      <c r="B1287" s="27">
        <f>IFERROR(IF(A1287="","",VLOOKUP(A1287,DATABASE!$A:$B,2,0)),"")</f>
        <v/>
      </c>
      <c r="C1287" s="20">
        <f>IFERROR(IF(A1287="","",SUMIF(SAVINGS!$A$3:A1286,A1287,SAVINGS!$E$3:E1286)-SUMIF(WITHDRAWALS!$A:$A,A1287,WITHDRAWALS!$E:$E)),"")</f>
        <v/>
      </c>
      <c r="D1287" s="28">
        <f>IF(A1287="","",TODAY())</f>
        <v/>
      </c>
      <c r="E1287" s="29" t="n"/>
      <c r="F1287" s="20">
        <f>IFERROR(IF(OR(A1287="",E1287=""),"",C1287+E1287),"")</f>
        <v/>
      </c>
      <c r="G1287" s="30" t="n"/>
      <c r="H1287" s="27" t="n"/>
    </row>
    <row r="1288" ht="20" customHeight="1">
      <c r="A1288" s="26" t="n"/>
      <c r="B1288" s="31">
        <f>IFERROR(IF(A1288="","",VLOOKUP(A1288,DATABASE!$A:$B,2,0)),"")</f>
        <v/>
      </c>
      <c r="C1288" s="32">
        <f>IFERROR(IF(A1288="","",SUMIF(SAVINGS!$A$3:A1287,A1288,SAVINGS!$E$3:E1287)-SUMIF(WITHDRAWALS!$A:$A,A1288,WITHDRAWALS!$E:$E)),"")</f>
        <v/>
      </c>
      <c r="D1288" s="33">
        <f>IF(A1288="","",TODAY())</f>
        <v/>
      </c>
      <c r="E1288" s="29" t="n"/>
      <c r="F1288" s="32">
        <f>IFERROR(IF(OR(A1288="",E1288=""),"",C1288+E1288),"")</f>
        <v/>
      </c>
      <c r="G1288" s="30" t="n"/>
      <c r="H1288" s="31" t="n"/>
    </row>
    <row r="1289" ht="20" customHeight="1">
      <c r="A1289" s="26" t="n"/>
      <c r="B1289" s="27">
        <f>IFERROR(IF(A1289="","",VLOOKUP(A1289,DATABASE!$A:$B,2,0)),"")</f>
        <v/>
      </c>
      <c r="C1289" s="20">
        <f>IFERROR(IF(A1289="","",SUMIF(SAVINGS!$A$3:A1288,A1289,SAVINGS!$E$3:E1288)-SUMIF(WITHDRAWALS!$A:$A,A1289,WITHDRAWALS!$E:$E)),"")</f>
        <v/>
      </c>
      <c r="D1289" s="28">
        <f>IF(A1289="","",TODAY())</f>
        <v/>
      </c>
      <c r="E1289" s="29" t="n"/>
      <c r="F1289" s="20">
        <f>IFERROR(IF(OR(A1289="",E1289=""),"",C1289+E1289),"")</f>
        <v/>
      </c>
      <c r="G1289" s="30" t="n"/>
      <c r="H1289" s="27" t="n"/>
    </row>
    <row r="1290" ht="20" customHeight="1">
      <c r="A1290" s="26" t="n"/>
      <c r="B1290" s="31">
        <f>IFERROR(IF(A1290="","",VLOOKUP(A1290,DATABASE!$A:$B,2,0)),"")</f>
        <v/>
      </c>
      <c r="C1290" s="32">
        <f>IFERROR(IF(A1290="","",SUMIF(SAVINGS!$A$3:A1289,A1290,SAVINGS!$E$3:E1289)-SUMIF(WITHDRAWALS!$A:$A,A1290,WITHDRAWALS!$E:$E)),"")</f>
        <v/>
      </c>
      <c r="D1290" s="33">
        <f>IF(A1290="","",TODAY())</f>
        <v/>
      </c>
      <c r="E1290" s="29" t="n"/>
      <c r="F1290" s="32">
        <f>IFERROR(IF(OR(A1290="",E1290=""),"",C1290+E1290),"")</f>
        <v/>
      </c>
      <c r="G1290" s="30" t="n"/>
      <c r="H1290" s="31" t="n"/>
    </row>
    <row r="1291" ht="20" customHeight="1">
      <c r="A1291" s="26" t="n"/>
      <c r="B1291" s="27">
        <f>IFERROR(IF(A1291="","",VLOOKUP(A1291,DATABASE!$A:$B,2,0)),"")</f>
        <v/>
      </c>
      <c r="C1291" s="20">
        <f>IFERROR(IF(A1291="","",SUMIF(SAVINGS!$A$3:A1290,A1291,SAVINGS!$E$3:E1290)-SUMIF(WITHDRAWALS!$A:$A,A1291,WITHDRAWALS!$E:$E)),"")</f>
        <v/>
      </c>
      <c r="D1291" s="28">
        <f>IF(A1291="","",TODAY())</f>
        <v/>
      </c>
      <c r="E1291" s="29" t="n"/>
      <c r="F1291" s="20">
        <f>IFERROR(IF(OR(A1291="",E1291=""),"",C1291+E1291),"")</f>
        <v/>
      </c>
      <c r="G1291" s="30" t="n"/>
      <c r="H1291" s="27" t="n"/>
    </row>
    <row r="1292" ht="20" customHeight="1">
      <c r="A1292" s="26" t="n"/>
      <c r="B1292" s="31">
        <f>IFERROR(IF(A1292="","",VLOOKUP(A1292,DATABASE!$A:$B,2,0)),"")</f>
        <v/>
      </c>
      <c r="C1292" s="32">
        <f>IFERROR(IF(A1292="","",SUMIF(SAVINGS!$A$3:A1291,A1292,SAVINGS!$E$3:E1291)-SUMIF(WITHDRAWALS!$A:$A,A1292,WITHDRAWALS!$E:$E)),"")</f>
        <v/>
      </c>
      <c r="D1292" s="33">
        <f>IF(A1292="","",TODAY())</f>
        <v/>
      </c>
      <c r="E1292" s="29" t="n"/>
      <c r="F1292" s="32">
        <f>IFERROR(IF(OR(A1292="",E1292=""),"",C1292+E1292),"")</f>
        <v/>
      </c>
      <c r="G1292" s="30" t="n"/>
      <c r="H1292" s="31" t="n"/>
    </row>
    <row r="1293" ht="20" customHeight="1">
      <c r="A1293" s="26" t="n"/>
      <c r="B1293" s="27">
        <f>IFERROR(IF(A1293="","",VLOOKUP(A1293,DATABASE!$A:$B,2,0)),"")</f>
        <v/>
      </c>
      <c r="C1293" s="20">
        <f>IFERROR(IF(A1293="","",SUMIF(SAVINGS!$A$3:A1292,A1293,SAVINGS!$E$3:E1292)-SUMIF(WITHDRAWALS!$A:$A,A1293,WITHDRAWALS!$E:$E)),"")</f>
        <v/>
      </c>
      <c r="D1293" s="28">
        <f>IF(A1293="","",TODAY())</f>
        <v/>
      </c>
      <c r="E1293" s="29" t="n"/>
      <c r="F1293" s="20">
        <f>IFERROR(IF(OR(A1293="",E1293=""),"",C1293+E1293),"")</f>
        <v/>
      </c>
      <c r="G1293" s="30" t="n"/>
      <c r="H1293" s="27" t="n"/>
    </row>
    <row r="1294" ht="20" customHeight="1">
      <c r="A1294" s="26" t="n"/>
      <c r="B1294" s="31">
        <f>IFERROR(IF(A1294="","",VLOOKUP(A1294,DATABASE!$A:$B,2,0)),"")</f>
        <v/>
      </c>
      <c r="C1294" s="32">
        <f>IFERROR(IF(A1294="","",SUMIF(SAVINGS!$A$3:A1293,A1294,SAVINGS!$E$3:E1293)-SUMIF(WITHDRAWALS!$A:$A,A1294,WITHDRAWALS!$E:$E)),"")</f>
        <v/>
      </c>
      <c r="D1294" s="33">
        <f>IF(A1294="","",TODAY())</f>
        <v/>
      </c>
      <c r="E1294" s="29" t="n"/>
      <c r="F1294" s="32">
        <f>IFERROR(IF(OR(A1294="",E1294=""),"",C1294+E1294),"")</f>
        <v/>
      </c>
      <c r="G1294" s="30" t="n"/>
      <c r="H1294" s="31" t="n"/>
    </row>
    <row r="1295" ht="20" customHeight="1">
      <c r="A1295" s="26" t="n"/>
      <c r="B1295" s="27">
        <f>IFERROR(IF(A1295="","",VLOOKUP(A1295,DATABASE!$A:$B,2,0)),"")</f>
        <v/>
      </c>
      <c r="C1295" s="20">
        <f>IFERROR(IF(A1295="","",SUMIF(SAVINGS!$A$3:A1294,A1295,SAVINGS!$E$3:E1294)-SUMIF(WITHDRAWALS!$A:$A,A1295,WITHDRAWALS!$E:$E)),"")</f>
        <v/>
      </c>
      <c r="D1295" s="28">
        <f>IF(A1295="","",TODAY())</f>
        <v/>
      </c>
      <c r="E1295" s="29" t="n"/>
      <c r="F1295" s="20">
        <f>IFERROR(IF(OR(A1295="",E1295=""),"",C1295+E1295),"")</f>
        <v/>
      </c>
      <c r="G1295" s="30" t="n"/>
      <c r="H1295" s="27" t="n"/>
    </row>
    <row r="1296" ht="20" customHeight="1">
      <c r="A1296" s="26" t="n"/>
      <c r="B1296" s="31">
        <f>IFERROR(IF(A1296="","",VLOOKUP(A1296,DATABASE!$A:$B,2,0)),"")</f>
        <v/>
      </c>
      <c r="C1296" s="32">
        <f>IFERROR(IF(A1296="","",SUMIF(SAVINGS!$A$3:A1295,A1296,SAVINGS!$E$3:E1295)-SUMIF(WITHDRAWALS!$A:$A,A1296,WITHDRAWALS!$E:$E)),"")</f>
        <v/>
      </c>
      <c r="D1296" s="33">
        <f>IF(A1296="","",TODAY())</f>
        <v/>
      </c>
      <c r="E1296" s="29" t="n"/>
      <c r="F1296" s="32">
        <f>IFERROR(IF(OR(A1296="",E1296=""),"",C1296+E1296),"")</f>
        <v/>
      </c>
      <c r="G1296" s="30" t="n"/>
      <c r="H1296" s="31" t="n"/>
    </row>
    <row r="1297" ht="20" customHeight="1">
      <c r="A1297" s="26" t="n"/>
      <c r="B1297" s="27">
        <f>IFERROR(IF(A1297="","",VLOOKUP(A1297,DATABASE!$A:$B,2,0)),"")</f>
        <v/>
      </c>
      <c r="C1297" s="20">
        <f>IFERROR(IF(A1297="","",SUMIF(SAVINGS!$A$3:A1296,A1297,SAVINGS!$E$3:E1296)-SUMIF(WITHDRAWALS!$A:$A,A1297,WITHDRAWALS!$E:$E)),"")</f>
        <v/>
      </c>
      <c r="D1297" s="28">
        <f>IF(A1297="","",TODAY())</f>
        <v/>
      </c>
      <c r="E1297" s="29" t="n"/>
      <c r="F1297" s="20">
        <f>IFERROR(IF(OR(A1297="",E1297=""),"",C1297+E1297),"")</f>
        <v/>
      </c>
      <c r="G1297" s="30" t="n"/>
      <c r="H1297" s="27" t="n"/>
    </row>
    <row r="1298" ht="20" customHeight="1">
      <c r="A1298" s="26" t="n"/>
      <c r="B1298" s="31">
        <f>IFERROR(IF(A1298="","",VLOOKUP(A1298,DATABASE!$A:$B,2,0)),"")</f>
        <v/>
      </c>
      <c r="C1298" s="32">
        <f>IFERROR(IF(A1298="","",SUMIF(SAVINGS!$A$3:A1297,A1298,SAVINGS!$E$3:E1297)-SUMIF(WITHDRAWALS!$A:$A,A1298,WITHDRAWALS!$E:$E)),"")</f>
        <v/>
      </c>
      <c r="D1298" s="33">
        <f>IF(A1298="","",TODAY())</f>
        <v/>
      </c>
      <c r="E1298" s="29" t="n"/>
      <c r="F1298" s="32">
        <f>IFERROR(IF(OR(A1298="",E1298=""),"",C1298+E1298),"")</f>
        <v/>
      </c>
      <c r="G1298" s="30" t="n"/>
      <c r="H1298" s="31" t="n"/>
    </row>
    <row r="1299" ht="20" customHeight="1">
      <c r="A1299" s="26" t="n"/>
      <c r="B1299" s="27">
        <f>IFERROR(IF(A1299="","",VLOOKUP(A1299,DATABASE!$A:$B,2,0)),"")</f>
        <v/>
      </c>
      <c r="C1299" s="20">
        <f>IFERROR(IF(A1299="","",SUMIF(SAVINGS!$A$3:A1298,A1299,SAVINGS!$E$3:E1298)-SUMIF(WITHDRAWALS!$A:$A,A1299,WITHDRAWALS!$E:$E)),"")</f>
        <v/>
      </c>
      <c r="D1299" s="28">
        <f>IF(A1299="","",TODAY())</f>
        <v/>
      </c>
      <c r="E1299" s="29" t="n"/>
      <c r="F1299" s="20">
        <f>IFERROR(IF(OR(A1299="",E1299=""),"",C1299+E1299),"")</f>
        <v/>
      </c>
      <c r="G1299" s="30" t="n"/>
      <c r="H1299" s="27" t="n"/>
    </row>
    <row r="1300" ht="20" customHeight="1">
      <c r="A1300" s="26" t="n"/>
      <c r="B1300" s="31">
        <f>IFERROR(IF(A1300="","",VLOOKUP(A1300,DATABASE!$A:$B,2,0)),"")</f>
        <v/>
      </c>
      <c r="C1300" s="32">
        <f>IFERROR(IF(A1300="","",SUMIF(SAVINGS!$A$3:A1299,A1300,SAVINGS!$E$3:E1299)-SUMIF(WITHDRAWALS!$A:$A,A1300,WITHDRAWALS!$E:$E)),"")</f>
        <v/>
      </c>
      <c r="D1300" s="33">
        <f>IF(A1300="","",TODAY())</f>
        <v/>
      </c>
      <c r="E1300" s="29" t="n"/>
      <c r="F1300" s="32">
        <f>IFERROR(IF(OR(A1300="",E1300=""),"",C1300+E1300),"")</f>
        <v/>
      </c>
      <c r="G1300" s="30" t="n"/>
      <c r="H1300" s="31" t="n"/>
    </row>
    <row r="1301" ht="20" customHeight="1">
      <c r="A1301" s="26" t="n"/>
      <c r="B1301" s="27">
        <f>IFERROR(IF(A1301="","",VLOOKUP(A1301,DATABASE!$A:$B,2,0)),"")</f>
        <v/>
      </c>
      <c r="C1301" s="20">
        <f>IFERROR(IF(A1301="","",SUMIF(SAVINGS!$A$3:A1300,A1301,SAVINGS!$E$3:E1300)-SUMIF(WITHDRAWALS!$A:$A,A1301,WITHDRAWALS!$E:$E)),"")</f>
        <v/>
      </c>
      <c r="D1301" s="28">
        <f>IF(A1301="","",TODAY())</f>
        <v/>
      </c>
      <c r="E1301" s="29" t="n"/>
      <c r="F1301" s="20">
        <f>IFERROR(IF(OR(A1301="",E1301=""),"",C1301+E1301),"")</f>
        <v/>
      </c>
      <c r="G1301" s="30" t="n"/>
      <c r="H1301" s="27" t="n"/>
    </row>
    <row r="1302" ht="20" customHeight="1">
      <c r="A1302" s="26" t="n"/>
      <c r="B1302" s="31">
        <f>IFERROR(IF(A1302="","",VLOOKUP(A1302,DATABASE!$A:$B,2,0)),"")</f>
        <v/>
      </c>
      <c r="C1302" s="32">
        <f>IFERROR(IF(A1302="","",SUMIF(SAVINGS!$A$3:A1301,A1302,SAVINGS!$E$3:E1301)-SUMIF(WITHDRAWALS!$A:$A,A1302,WITHDRAWALS!$E:$E)),"")</f>
        <v/>
      </c>
      <c r="D1302" s="33">
        <f>IF(A1302="","",TODAY())</f>
        <v/>
      </c>
      <c r="E1302" s="29" t="n"/>
      <c r="F1302" s="32">
        <f>IFERROR(IF(OR(A1302="",E1302=""),"",C1302+E1302),"")</f>
        <v/>
      </c>
      <c r="G1302" s="30" t="n"/>
      <c r="H1302" s="31" t="n"/>
    </row>
    <row r="1303" ht="20" customHeight="1">
      <c r="A1303" s="26" t="n"/>
      <c r="B1303" s="27">
        <f>IFERROR(IF(A1303="","",VLOOKUP(A1303,DATABASE!$A:$B,2,0)),"")</f>
        <v/>
      </c>
      <c r="C1303" s="20">
        <f>IFERROR(IF(A1303="","",SUMIF(SAVINGS!$A$3:A1302,A1303,SAVINGS!$E$3:E1302)-SUMIF(WITHDRAWALS!$A:$A,A1303,WITHDRAWALS!$E:$E)),"")</f>
        <v/>
      </c>
      <c r="D1303" s="28">
        <f>IF(A1303="","",TODAY())</f>
        <v/>
      </c>
      <c r="E1303" s="29" t="n"/>
      <c r="F1303" s="20">
        <f>IFERROR(IF(OR(A1303="",E1303=""),"",C1303+E1303),"")</f>
        <v/>
      </c>
      <c r="G1303" s="30" t="n"/>
      <c r="H1303" s="27" t="n"/>
    </row>
    <row r="1304" ht="20" customHeight="1">
      <c r="A1304" s="26" t="n"/>
      <c r="B1304" s="31">
        <f>IFERROR(IF(A1304="","",VLOOKUP(A1304,DATABASE!$A:$B,2,0)),"")</f>
        <v/>
      </c>
      <c r="C1304" s="32">
        <f>IFERROR(IF(A1304="","",SUMIF(SAVINGS!$A$3:A1303,A1304,SAVINGS!$E$3:E1303)-SUMIF(WITHDRAWALS!$A:$A,A1304,WITHDRAWALS!$E:$E)),"")</f>
        <v/>
      </c>
      <c r="D1304" s="33">
        <f>IF(A1304="","",TODAY())</f>
        <v/>
      </c>
      <c r="E1304" s="29" t="n"/>
      <c r="F1304" s="32">
        <f>IFERROR(IF(OR(A1304="",E1304=""),"",C1304+E1304),"")</f>
        <v/>
      </c>
      <c r="G1304" s="30" t="n"/>
      <c r="H1304" s="31" t="n"/>
    </row>
    <row r="1305" ht="20" customHeight="1">
      <c r="A1305" s="26" t="n"/>
      <c r="B1305" s="27">
        <f>IFERROR(IF(A1305="","",VLOOKUP(A1305,DATABASE!$A:$B,2,0)),"")</f>
        <v/>
      </c>
      <c r="C1305" s="20">
        <f>IFERROR(IF(A1305="","",SUMIF(SAVINGS!$A$3:A1304,A1305,SAVINGS!$E$3:E1304)-SUMIF(WITHDRAWALS!$A:$A,A1305,WITHDRAWALS!$E:$E)),"")</f>
        <v/>
      </c>
      <c r="D1305" s="28">
        <f>IF(A1305="","",TODAY())</f>
        <v/>
      </c>
      <c r="E1305" s="29" t="n"/>
      <c r="F1305" s="20">
        <f>IFERROR(IF(OR(A1305="",E1305=""),"",C1305+E1305),"")</f>
        <v/>
      </c>
      <c r="G1305" s="30" t="n"/>
      <c r="H1305" s="27" t="n"/>
    </row>
    <row r="1306" ht="20" customHeight="1">
      <c r="A1306" s="26" t="n"/>
      <c r="B1306" s="31">
        <f>IFERROR(IF(A1306="","",VLOOKUP(A1306,DATABASE!$A:$B,2,0)),"")</f>
        <v/>
      </c>
      <c r="C1306" s="32">
        <f>IFERROR(IF(A1306="","",SUMIF(SAVINGS!$A$3:A1305,A1306,SAVINGS!$E$3:E1305)-SUMIF(WITHDRAWALS!$A:$A,A1306,WITHDRAWALS!$E:$E)),"")</f>
        <v/>
      </c>
      <c r="D1306" s="33">
        <f>IF(A1306="","",TODAY())</f>
        <v/>
      </c>
      <c r="E1306" s="29" t="n"/>
      <c r="F1306" s="32">
        <f>IFERROR(IF(OR(A1306="",E1306=""),"",C1306+E1306),"")</f>
        <v/>
      </c>
      <c r="G1306" s="30" t="n"/>
      <c r="H1306" s="31" t="n"/>
    </row>
    <row r="1307" ht="20" customHeight="1">
      <c r="A1307" s="26" t="n"/>
      <c r="B1307" s="27">
        <f>IFERROR(IF(A1307="","",VLOOKUP(A1307,DATABASE!$A:$B,2,0)),"")</f>
        <v/>
      </c>
      <c r="C1307" s="20">
        <f>IFERROR(IF(A1307="","",SUMIF(SAVINGS!$A$3:A1306,A1307,SAVINGS!$E$3:E1306)-SUMIF(WITHDRAWALS!$A:$A,A1307,WITHDRAWALS!$E:$E)),"")</f>
        <v/>
      </c>
      <c r="D1307" s="28">
        <f>IF(A1307="","",TODAY())</f>
        <v/>
      </c>
      <c r="E1307" s="29" t="n"/>
      <c r="F1307" s="20">
        <f>IFERROR(IF(OR(A1307="",E1307=""),"",C1307+E1307),"")</f>
        <v/>
      </c>
      <c r="G1307" s="30" t="n"/>
      <c r="H1307" s="27" t="n"/>
    </row>
    <row r="1308" ht="20" customHeight="1">
      <c r="A1308" s="26" t="n"/>
      <c r="B1308" s="31">
        <f>IFERROR(IF(A1308="","",VLOOKUP(A1308,DATABASE!$A:$B,2,0)),"")</f>
        <v/>
      </c>
      <c r="C1308" s="32">
        <f>IFERROR(IF(A1308="","",SUMIF(SAVINGS!$A$3:A1307,A1308,SAVINGS!$E$3:E1307)-SUMIF(WITHDRAWALS!$A:$A,A1308,WITHDRAWALS!$E:$E)),"")</f>
        <v/>
      </c>
      <c r="D1308" s="33">
        <f>IF(A1308="","",TODAY())</f>
        <v/>
      </c>
      <c r="E1308" s="29" t="n"/>
      <c r="F1308" s="32">
        <f>IFERROR(IF(OR(A1308="",E1308=""),"",C1308+E1308),"")</f>
        <v/>
      </c>
      <c r="G1308" s="30" t="n"/>
      <c r="H1308" s="31" t="n"/>
    </row>
    <row r="1309" ht="20" customHeight="1">
      <c r="A1309" s="26" t="n"/>
      <c r="B1309" s="27">
        <f>IFERROR(IF(A1309="","",VLOOKUP(A1309,DATABASE!$A:$B,2,0)),"")</f>
        <v/>
      </c>
      <c r="C1309" s="20">
        <f>IFERROR(IF(A1309="","",SUMIF(SAVINGS!$A$3:A1308,A1309,SAVINGS!$E$3:E1308)-SUMIF(WITHDRAWALS!$A:$A,A1309,WITHDRAWALS!$E:$E)),"")</f>
        <v/>
      </c>
      <c r="D1309" s="28">
        <f>IF(A1309="","",TODAY())</f>
        <v/>
      </c>
      <c r="E1309" s="29" t="n"/>
      <c r="F1309" s="20">
        <f>IFERROR(IF(OR(A1309="",E1309=""),"",C1309+E1309),"")</f>
        <v/>
      </c>
      <c r="G1309" s="30" t="n"/>
      <c r="H1309" s="27" t="n"/>
    </row>
    <row r="1310" ht="20" customHeight="1">
      <c r="A1310" s="26" t="n"/>
      <c r="B1310" s="31">
        <f>IFERROR(IF(A1310="","",VLOOKUP(A1310,DATABASE!$A:$B,2,0)),"")</f>
        <v/>
      </c>
      <c r="C1310" s="32">
        <f>IFERROR(IF(A1310="","",SUMIF(SAVINGS!$A$3:A1309,A1310,SAVINGS!$E$3:E1309)-SUMIF(WITHDRAWALS!$A:$A,A1310,WITHDRAWALS!$E:$E)),"")</f>
        <v/>
      </c>
      <c r="D1310" s="33">
        <f>IF(A1310="","",TODAY())</f>
        <v/>
      </c>
      <c r="E1310" s="29" t="n"/>
      <c r="F1310" s="32">
        <f>IFERROR(IF(OR(A1310="",E1310=""),"",C1310+E1310),"")</f>
        <v/>
      </c>
      <c r="G1310" s="30" t="n"/>
      <c r="H1310" s="31" t="n"/>
    </row>
    <row r="1311" ht="20" customHeight="1">
      <c r="A1311" s="26" t="n"/>
      <c r="B1311" s="27">
        <f>IFERROR(IF(A1311="","",VLOOKUP(A1311,DATABASE!$A:$B,2,0)),"")</f>
        <v/>
      </c>
      <c r="C1311" s="20">
        <f>IFERROR(IF(A1311="","",SUMIF(SAVINGS!$A$3:A1310,A1311,SAVINGS!$E$3:E1310)-SUMIF(WITHDRAWALS!$A:$A,A1311,WITHDRAWALS!$E:$E)),"")</f>
        <v/>
      </c>
      <c r="D1311" s="28">
        <f>IF(A1311="","",TODAY())</f>
        <v/>
      </c>
      <c r="E1311" s="29" t="n"/>
      <c r="F1311" s="20">
        <f>IFERROR(IF(OR(A1311="",E1311=""),"",C1311+E1311),"")</f>
        <v/>
      </c>
      <c r="G1311" s="30" t="n"/>
      <c r="H1311" s="27" t="n"/>
    </row>
    <row r="1312" ht="20" customHeight="1">
      <c r="A1312" s="26" t="n"/>
      <c r="B1312" s="31">
        <f>IFERROR(IF(A1312="","",VLOOKUP(A1312,DATABASE!$A:$B,2,0)),"")</f>
        <v/>
      </c>
      <c r="C1312" s="32">
        <f>IFERROR(IF(A1312="","",SUMIF(SAVINGS!$A$3:A1311,A1312,SAVINGS!$E$3:E1311)-SUMIF(WITHDRAWALS!$A:$A,A1312,WITHDRAWALS!$E:$E)),"")</f>
        <v/>
      </c>
      <c r="D1312" s="33">
        <f>IF(A1312="","",TODAY())</f>
        <v/>
      </c>
      <c r="E1312" s="29" t="n"/>
      <c r="F1312" s="32">
        <f>IFERROR(IF(OR(A1312="",E1312=""),"",C1312+E1312),"")</f>
        <v/>
      </c>
      <c r="G1312" s="30" t="n"/>
      <c r="H1312" s="31" t="n"/>
    </row>
    <row r="1313" ht="20" customHeight="1">
      <c r="A1313" s="26" t="n"/>
      <c r="B1313" s="27">
        <f>IFERROR(IF(A1313="","",VLOOKUP(A1313,DATABASE!$A:$B,2,0)),"")</f>
        <v/>
      </c>
      <c r="C1313" s="20">
        <f>IFERROR(IF(A1313="","",SUMIF(SAVINGS!$A$3:A1312,A1313,SAVINGS!$E$3:E1312)-SUMIF(WITHDRAWALS!$A:$A,A1313,WITHDRAWALS!$E:$E)),"")</f>
        <v/>
      </c>
      <c r="D1313" s="28">
        <f>IF(A1313="","",TODAY())</f>
        <v/>
      </c>
      <c r="E1313" s="29" t="n"/>
      <c r="F1313" s="20">
        <f>IFERROR(IF(OR(A1313="",E1313=""),"",C1313+E1313),"")</f>
        <v/>
      </c>
      <c r="G1313" s="30" t="n"/>
      <c r="H1313" s="27" t="n"/>
    </row>
    <row r="1314" ht="20" customHeight="1">
      <c r="A1314" s="26" t="n"/>
      <c r="B1314" s="31">
        <f>IFERROR(IF(A1314="","",VLOOKUP(A1314,DATABASE!$A:$B,2,0)),"")</f>
        <v/>
      </c>
      <c r="C1314" s="32">
        <f>IFERROR(IF(A1314="","",SUMIF(SAVINGS!$A$3:A1313,A1314,SAVINGS!$E$3:E1313)-SUMIF(WITHDRAWALS!$A:$A,A1314,WITHDRAWALS!$E:$E)),"")</f>
        <v/>
      </c>
      <c r="D1314" s="33">
        <f>IF(A1314="","",TODAY())</f>
        <v/>
      </c>
      <c r="E1314" s="29" t="n"/>
      <c r="F1314" s="32">
        <f>IFERROR(IF(OR(A1314="",E1314=""),"",C1314+E1314),"")</f>
        <v/>
      </c>
      <c r="G1314" s="30" t="n"/>
      <c r="H1314" s="31" t="n"/>
    </row>
    <row r="1315" ht="20" customHeight="1">
      <c r="A1315" s="26" t="n"/>
      <c r="B1315" s="27">
        <f>IFERROR(IF(A1315="","",VLOOKUP(A1315,DATABASE!$A:$B,2,0)),"")</f>
        <v/>
      </c>
      <c r="C1315" s="20">
        <f>IFERROR(IF(A1315="","",SUMIF(SAVINGS!$A$3:A1314,A1315,SAVINGS!$E$3:E1314)-SUMIF(WITHDRAWALS!$A:$A,A1315,WITHDRAWALS!$E:$E)),"")</f>
        <v/>
      </c>
      <c r="D1315" s="28">
        <f>IF(A1315="","",TODAY())</f>
        <v/>
      </c>
      <c r="E1315" s="29" t="n"/>
      <c r="F1315" s="20">
        <f>IFERROR(IF(OR(A1315="",E1315=""),"",C1315+E1315),"")</f>
        <v/>
      </c>
      <c r="G1315" s="30" t="n"/>
      <c r="H1315" s="27" t="n"/>
    </row>
    <row r="1316" ht="20" customHeight="1">
      <c r="A1316" s="26" t="n"/>
      <c r="B1316" s="31">
        <f>IFERROR(IF(A1316="","",VLOOKUP(A1316,DATABASE!$A:$B,2,0)),"")</f>
        <v/>
      </c>
      <c r="C1316" s="32">
        <f>IFERROR(IF(A1316="","",SUMIF(SAVINGS!$A$3:A1315,A1316,SAVINGS!$E$3:E1315)-SUMIF(WITHDRAWALS!$A:$A,A1316,WITHDRAWALS!$E:$E)),"")</f>
        <v/>
      </c>
      <c r="D1316" s="33">
        <f>IF(A1316="","",TODAY())</f>
        <v/>
      </c>
      <c r="E1316" s="29" t="n"/>
      <c r="F1316" s="32">
        <f>IFERROR(IF(OR(A1316="",E1316=""),"",C1316+E1316),"")</f>
        <v/>
      </c>
      <c r="G1316" s="30" t="n"/>
      <c r="H1316" s="31" t="n"/>
    </row>
    <row r="1317" ht="20" customHeight="1">
      <c r="A1317" s="26" t="n"/>
      <c r="B1317" s="27">
        <f>IFERROR(IF(A1317="","",VLOOKUP(A1317,DATABASE!$A:$B,2,0)),"")</f>
        <v/>
      </c>
      <c r="C1317" s="20">
        <f>IFERROR(IF(A1317="","",SUMIF(SAVINGS!$A$3:A1316,A1317,SAVINGS!$E$3:E1316)-SUMIF(WITHDRAWALS!$A:$A,A1317,WITHDRAWALS!$E:$E)),"")</f>
        <v/>
      </c>
      <c r="D1317" s="28">
        <f>IF(A1317="","",TODAY())</f>
        <v/>
      </c>
      <c r="E1317" s="29" t="n"/>
      <c r="F1317" s="20">
        <f>IFERROR(IF(OR(A1317="",E1317=""),"",C1317+E1317),"")</f>
        <v/>
      </c>
      <c r="G1317" s="30" t="n"/>
      <c r="H1317" s="27" t="n"/>
    </row>
    <row r="1318" ht="20" customHeight="1">
      <c r="A1318" s="26" t="n"/>
      <c r="B1318" s="31">
        <f>IFERROR(IF(A1318="","",VLOOKUP(A1318,DATABASE!$A:$B,2,0)),"")</f>
        <v/>
      </c>
      <c r="C1318" s="32">
        <f>IFERROR(IF(A1318="","",SUMIF(SAVINGS!$A$3:A1317,A1318,SAVINGS!$E$3:E1317)-SUMIF(WITHDRAWALS!$A:$A,A1318,WITHDRAWALS!$E:$E)),"")</f>
        <v/>
      </c>
      <c r="D1318" s="33">
        <f>IF(A1318="","",TODAY())</f>
        <v/>
      </c>
      <c r="E1318" s="29" t="n"/>
      <c r="F1318" s="32">
        <f>IFERROR(IF(OR(A1318="",E1318=""),"",C1318+E1318),"")</f>
        <v/>
      </c>
      <c r="G1318" s="30" t="n"/>
      <c r="H1318" s="31" t="n"/>
    </row>
    <row r="1319" ht="20" customHeight="1">
      <c r="A1319" s="26" t="n"/>
      <c r="B1319" s="27">
        <f>IFERROR(IF(A1319="","",VLOOKUP(A1319,DATABASE!$A:$B,2,0)),"")</f>
        <v/>
      </c>
      <c r="C1319" s="20">
        <f>IFERROR(IF(A1319="","",SUMIF(SAVINGS!$A$3:A1318,A1319,SAVINGS!$E$3:E1318)-SUMIF(WITHDRAWALS!$A:$A,A1319,WITHDRAWALS!$E:$E)),"")</f>
        <v/>
      </c>
      <c r="D1319" s="28">
        <f>IF(A1319="","",TODAY())</f>
        <v/>
      </c>
      <c r="E1319" s="29" t="n"/>
      <c r="F1319" s="20">
        <f>IFERROR(IF(OR(A1319="",E1319=""),"",C1319+E1319),"")</f>
        <v/>
      </c>
      <c r="G1319" s="30" t="n"/>
      <c r="H1319" s="27" t="n"/>
    </row>
    <row r="1320" ht="20" customHeight="1">
      <c r="A1320" s="26" t="n"/>
      <c r="B1320" s="31">
        <f>IFERROR(IF(A1320="","",VLOOKUP(A1320,DATABASE!$A:$B,2,0)),"")</f>
        <v/>
      </c>
      <c r="C1320" s="32">
        <f>IFERROR(IF(A1320="","",SUMIF(SAVINGS!$A$3:A1319,A1320,SAVINGS!$E$3:E1319)-SUMIF(WITHDRAWALS!$A:$A,A1320,WITHDRAWALS!$E:$E)),"")</f>
        <v/>
      </c>
      <c r="D1320" s="33">
        <f>IF(A1320="","",TODAY())</f>
        <v/>
      </c>
      <c r="E1320" s="29" t="n"/>
      <c r="F1320" s="32">
        <f>IFERROR(IF(OR(A1320="",E1320=""),"",C1320+E1320),"")</f>
        <v/>
      </c>
      <c r="G1320" s="30" t="n"/>
      <c r="H1320" s="31" t="n"/>
    </row>
    <row r="1321" ht="20" customHeight="1">
      <c r="A1321" s="26" t="n"/>
      <c r="B1321" s="27">
        <f>IFERROR(IF(A1321="","",VLOOKUP(A1321,DATABASE!$A:$B,2,0)),"")</f>
        <v/>
      </c>
      <c r="C1321" s="20">
        <f>IFERROR(IF(A1321="","",SUMIF(SAVINGS!$A$3:A1320,A1321,SAVINGS!$E$3:E1320)-SUMIF(WITHDRAWALS!$A:$A,A1321,WITHDRAWALS!$E:$E)),"")</f>
        <v/>
      </c>
      <c r="D1321" s="28">
        <f>IF(A1321="","",TODAY())</f>
        <v/>
      </c>
      <c r="E1321" s="29" t="n"/>
      <c r="F1321" s="20">
        <f>IFERROR(IF(OR(A1321="",E1321=""),"",C1321+E1321),"")</f>
        <v/>
      </c>
      <c r="G1321" s="30" t="n"/>
      <c r="H1321" s="27" t="n"/>
    </row>
    <row r="1322" ht="20" customHeight="1">
      <c r="A1322" s="26" t="n"/>
      <c r="B1322" s="31">
        <f>IFERROR(IF(A1322="","",VLOOKUP(A1322,DATABASE!$A:$B,2,0)),"")</f>
        <v/>
      </c>
      <c r="C1322" s="32">
        <f>IFERROR(IF(A1322="","",SUMIF(SAVINGS!$A$3:A1321,A1322,SAVINGS!$E$3:E1321)-SUMIF(WITHDRAWALS!$A:$A,A1322,WITHDRAWALS!$E:$E)),"")</f>
        <v/>
      </c>
      <c r="D1322" s="33">
        <f>IF(A1322="","",TODAY())</f>
        <v/>
      </c>
      <c r="E1322" s="29" t="n"/>
      <c r="F1322" s="32">
        <f>IFERROR(IF(OR(A1322="",E1322=""),"",C1322+E1322),"")</f>
        <v/>
      </c>
      <c r="G1322" s="30" t="n"/>
      <c r="H1322" s="31" t="n"/>
    </row>
    <row r="1323" ht="20" customHeight="1">
      <c r="A1323" s="26" t="n"/>
      <c r="B1323" s="27">
        <f>IFERROR(IF(A1323="","",VLOOKUP(A1323,DATABASE!$A:$B,2,0)),"")</f>
        <v/>
      </c>
      <c r="C1323" s="20">
        <f>IFERROR(IF(A1323="","",SUMIF(SAVINGS!$A$3:A1322,A1323,SAVINGS!$E$3:E1322)-SUMIF(WITHDRAWALS!$A:$A,A1323,WITHDRAWALS!$E:$E)),"")</f>
        <v/>
      </c>
      <c r="D1323" s="28">
        <f>IF(A1323="","",TODAY())</f>
        <v/>
      </c>
      <c r="E1323" s="29" t="n"/>
      <c r="F1323" s="20">
        <f>IFERROR(IF(OR(A1323="",E1323=""),"",C1323+E1323),"")</f>
        <v/>
      </c>
      <c r="G1323" s="30" t="n"/>
      <c r="H1323" s="27" t="n"/>
    </row>
    <row r="1324" ht="20" customHeight="1">
      <c r="A1324" s="26" t="n"/>
      <c r="B1324" s="31">
        <f>IFERROR(IF(A1324="","",VLOOKUP(A1324,DATABASE!$A:$B,2,0)),"")</f>
        <v/>
      </c>
      <c r="C1324" s="32">
        <f>IFERROR(IF(A1324="","",SUMIF(SAVINGS!$A$3:A1323,A1324,SAVINGS!$E$3:E1323)-SUMIF(WITHDRAWALS!$A:$A,A1324,WITHDRAWALS!$E:$E)),"")</f>
        <v/>
      </c>
      <c r="D1324" s="33">
        <f>IF(A1324="","",TODAY())</f>
        <v/>
      </c>
      <c r="E1324" s="29" t="n"/>
      <c r="F1324" s="32">
        <f>IFERROR(IF(OR(A1324="",E1324=""),"",C1324+E1324),"")</f>
        <v/>
      </c>
      <c r="G1324" s="30" t="n"/>
      <c r="H1324" s="31" t="n"/>
    </row>
    <row r="1325" ht="20" customHeight="1">
      <c r="A1325" s="26" t="n"/>
      <c r="B1325" s="27">
        <f>IFERROR(IF(A1325="","",VLOOKUP(A1325,DATABASE!$A:$B,2,0)),"")</f>
        <v/>
      </c>
      <c r="C1325" s="20">
        <f>IFERROR(IF(A1325="","",SUMIF(SAVINGS!$A$3:A1324,A1325,SAVINGS!$E$3:E1324)-SUMIF(WITHDRAWALS!$A:$A,A1325,WITHDRAWALS!$E:$E)),"")</f>
        <v/>
      </c>
      <c r="D1325" s="28">
        <f>IF(A1325="","",TODAY())</f>
        <v/>
      </c>
      <c r="E1325" s="29" t="n"/>
      <c r="F1325" s="20">
        <f>IFERROR(IF(OR(A1325="",E1325=""),"",C1325+E1325),"")</f>
        <v/>
      </c>
      <c r="G1325" s="30" t="n"/>
      <c r="H1325" s="27" t="n"/>
    </row>
    <row r="1326" ht="20" customHeight="1">
      <c r="A1326" s="26" t="n"/>
      <c r="B1326" s="31">
        <f>IFERROR(IF(A1326="","",VLOOKUP(A1326,DATABASE!$A:$B,2,0)),"")</f>
        <v/>
      </c>
      <c r="C1326" s="32">
        <f>IFERROR(IF(A1326="","",SUMIF(SAVINGS!$A$3:A1325,A1326,SAVINGS!$E$3:E1325)-SUMIF(WITHDRAWALS!$A:$A,A1326,WITHDRAWALS!$E:$E)),"")</f>
        <v/>
      </c>
      <c r="D1326" s="33">
        <f>IF(A1326="","",TODAY())</f>
        <v/>
      </c>
      <c r="E1326" s="29" t="n"/>
      <c r="F1326" s="32">
        <f>IFERROR(IF(OR(A1326="",E1326=""),"",C1326+E1326),"")</f>
        <v/>
      </c>
      <c r="G1326" s="30" t="n"/>
      <c r="H1326" s="31" t="n"/>
    </row>
    <row r="1327" ht="20" customHeight="1">
      <c r="A1327" s="26" t="n"/>
      <c r="B1327" s="27">
        <f>IFERROR(IF(A1327="","",VLOOKUP(A1327,DATABASE!$A:$B,2,0)),"")</f>
        <v/>
      </c>
      <c r="C1327" s="20">
        <f>IFERROR(IF(A1327="","",SUMIF(SAVINGS!$A$3:A1326,A1327,SAVINGS!$E$3:E1326)-SUMIF(WITHDRAWALS!$A:$A,A1327,WITHDRAWALS!$E:$E)),"")</f>
        <v/>
      </c>
      <c r="D1327" s="28">
        <f>IF(A1327="","",TODAY())</f>
        <v/>
      </c>
      <c r="E1327" s="29" t="n"/>
      <c r="F1327" s="20">
        <f>IFERROR(IF(OR(A1327="",E1327=""),"",C1327+E1327),"")</f>
        <v/>
      </c>
      <c r="G1327" s="30" t="n"/>
      <c r="H1327" s="27" t="n"/>
    </row>
    <row r="1328" ht="20" customHeight="1">
      <c r="A1328" s="26" t="n"/>
      <c r="B1328" s="31">
        <f>IFERROR(IF(A1328="","",VLOOKUP(A1328,DATABASE!$A:$B,2,0)),"")</f>
        <v/>
      </c>
      <c r="C1328" s="32">
        <f>IFERROR(IF(A1328="","",SUMIF(SAVINGS!$A$3:A1327,A1328,SAVINGS!$E$3:E1327)-SUMIF(WITHDRAWALS!$A:$A,A1328,WITHDRAWALS!$E:$E)),"")</f>
        <v/>
      </c>
      <c r="D1328" s="33">
        <f>IF(A1328="","",TODAY())</f>
        <v/>
      </c>
      <c r="E1328" s="29" t="n"/>
      <c r="F1328" s="32">
        <f>IFERROR(IF(OR(A1328="",E1328=""),"",C1328+E1328),"")</f>
        <v/>
      </c>
      <c r="G1328" s="30" t="n"/>
      <c r="H1328" s="31" t="n"/>
    </row>
    <row r="1329" ht="20" customHeight="1">
      <c r="A1329" s="26" t="n"/>
      <c r="B1329" s="27">
        <f>IFERROR(IF(A1329="","",VLOOKUP(A1329,DATABASE!$A:$B,2,0)),"")</f>
        <v/>
      </c>
      <c r="C1329" s="20">
        <f>IFERROR(IF(A1329="","",SUMIF(SAVINGS!$A$3:A1328,A1329,SAVINGS!$E$3:E1328)-SUMIF(WITHDRAWALS!$A:$A,A1329,WITHDRAWALS!$E:$E)),"")</f>
        <v/>
      </c>
      <c r="D1329" s="28">
        <f>IF(A1329="","",TODAY())</f>
        <v/>
      </c>
      <c r="E1329" s="29" t="n"/>
      <c r="F1329" s="20">
        <f>IFERROR(IF(OR(A1329="",E1329=""),"",C1329+E1329),"")</f>
        <v/>
      </c>
      <c r="G1329" s="30" t="n"/>
      <c r="H1329" s="27" t="n"/>
    </row>
    <row r="1330" ht="20" customHeight="1">
      <c r="A1330" s="26" t="n"/>
      <c r="B1330" s="31">
        <f>IFERROR(IF(A1330="","",VLOOKUP(A1330,DATABASE!$A:$B,2,0)),"")</f>
        <v/>
      </c>
      <c r="C1330" s="32">
        <f>IFERROR(IF(A1330="","",SUMIF(SAVINGS!$A$3:A1329,A1330,SAVINGS!$E$3:E1329)-SUMIF(WITHDRAWALS!$A:$A,A1330,WITHDRAWALS!$E:$E)),"")</f>
        <v/>
      </c>
      <c r="D1330" s="33">
        <f>IF(A1330="","",TODAY())</f>
        <v/>
      </c>
      <c r="E1330" s="29" t="n"/>
      <c r="F1330" s="32">
        <f>IFERROR(IF(OR(A1330="",E1330=""),"",C1330+E1330),"")</f>
        <v/>
      </c>
      <c r="G1330" s="30" t="n"/>
      <c r="H1330" s="31" t="n"/>
    </row>
    <row r="1331" ht="20" customHeight="1">
      <c r="A1331" s="26" t="n"/>
      <c r="B1331" s="27">
        <f>IFERROR(IF(A1331="","",VLOOKUP(A1331,DATABASE!$A:$B,2,0)),"")</f>
        <v/>
      </c>
      <c r="C1331" s="20">
        <f>IFERROR(IF(A1331="","",SUMIF(SAVINGS!$A$3:A1330,A1331,SAVINGS!$E$3:E1330)-SUMIF(WITHDRAWALS!$A:$A,A1331,WITHDRAWALS!$E:$E)),"")</f>
        <v/>
      </c>
      <c r="D1331" s="28">
        <f>IF(A1331="","",TODAY())</f>
        <v/>
      </c>
      <c r="E1331" s="29" t="n"/>
      <c r="F1331" s="20">
        <f>IFERROR(IF(OR(A1331="",E1331=""),"",C1331+E1331),"")</f>
        <v/>
      </c>
      <c r="G1331" s="30" t="n"/>
      <c r="H1331" s="27" t="n"/>
    </row>
    <row r="1332" ht="20" customHeight="1">
      <c r="A1332" s="26" t="n"/>
      <c r="B1332" s="31">
        <f>IFERROR(IF(A1332="","",VLOOKUP(A1332,DATABASE!$A:$B,2,0)),"")</f>
        <v/>
      </c>
      <c r="C1332" s="32">
        <f>IFERROR(IF(A1332="","",SUMIF(SAVINGS!$A$3:A1331,A1332,SAVINGS!$E$3:E1331)-SUMIF(WITHDRAWALS!$A:$A,A1332,WITHDRAWALS!$E:$E)),"")</f>
        <v/>
      </c>
      <c r="D1332" s="33">
        <f>IF(A1332="","",TODAY())</f>
        <v/>
      </c>
      <c r="E1332" s="29" t="n"/>
      <c r="F1332" s="32">
        <f>IFERROR(IF(OR(A1332="",E1332=""),"",C1332+E1332),"")</f>
        <v/>
      </c>
      <c r="G1332" s="30" t="n"/>
      <c r="H1332" s="31" t="n"/>
    </row>
    <row r="1333" ht="20" customHeight="1">
      <c r="A1333" s="26" t="n"/>
      <c r="B1333" s="27">
        <f>IFERROR(IF(A1333="","",VLOOKUP(A1333,DATABASE!$A:$B,2,0)),"")</f>
        <v/>
      </c>
      <c r="C1333" s="20">
        <f>IFERROR(IF(A1333="","",SUMIF(SAVINGS!$A$3:A1332,A1333,SAVINGS!$E$3:E1332)-SUMIF(WITHDRAWALS!$A:$A,A1333,WITHDRAWALS!$E:$E)),"")</f>
        <v/>
      </c>
      <c r="D1333" s="28">
        <f>IF(A1333="","",TODAY())</f>
        <v/>
      </c>
      <c r="E1333" s="29" t="n"/>
      <c r="F1333" s="20">
        <f>IFERROR(IF(OR(A1333="",E1333=""),"",C1333+E1333),"")</f>
        <v/>
      </c>
      <c r="G1333" s="30" t="n"/>
      <c r="H1333" s="27" t="n"/>
    </row>
    <row r="1334" ht="20" customHeight="1">
      <c r="A1334" s="26" t="n"/>
      <c r="B1334" s="31">
        <f>IFERROR(IF(A1334="","",VLOOKUP(A1334,DATABASE!$A:$B,2,0)),"")</f>
        <v/>
      </c>
      <c r="C1334" s="32">
        <f>IFERROR(IF(A1334="","",SUMIF(SAVINGS!$A$3:A1333,A1334,SAVINGS!$E$3:E1333)-SUMIF(WITHDRAWALS!$A:$A,A1334,WITHDRAWALS!$E:$E)),"")</f>
        <v/>
      </c>
      <c r="D1334" s="33">
        <f>IF(A1334="","",TODAY())</f>
        <v/>
      </c>
      <c r="E1334" s="29" t="n"/>
      <c r="F1334" s="32">
        <f>IFERROR(IF(OR(A1334="",E1334=""),"",C1334+E1334),"")</f>
        <v/>
      </c>
      <c r="G1334" s="30" t="n"/>
      <c r="H1334" s="31" t="n"/>
    </row>
    <row r="1335" ht="20" customHeight="1">
      <c r="A1335" s="26" t="n"/>
      <c r="B1335" s="27">
        <f>IFERROR(IF(A1335="","",VLOOKUP(A1335,DATABASE!$A:$B,2,0)),"")</f>
        <v/>
      </c>
      <c r="C1335" s="20">
        <f>IFERROR(IF(A1335="","",SUMIF(SAVINGS!$A$3:A1334,A1335,SAVINGS!$E$3:E1334)-SUMIF(WITHDRAWALS!$A:$A,A1335,WITHDRAWALS!$E:$E)),"")</f>
        <v/>
      </c>
      <c r="D1335" s="28">
        <f>IF(A1335="","",TODAY())</f>
        <v/>
      </c>
      <c r="E1335" s="29" t="n"/>
      <c r="F1335" s="20">
        <f>IFERROR(IF(OR(A1335="",E1335=""),"",C1335+E1335),"")</f>
        <v/>
      </c>
      <c r="G1335" s="30" t="n"/>
      <c r="H1335" s="27" t="n"/>
    </row>
    <row r="1336" ht="20" customHeight="1">
      <c r="A1336" s="26" t="n"/>
      <c r="B1336" s="31">
        <f>IFERROR(IF(A1336="","",VLOOKUP(A1336,DATABASE!$A:$B,2,0)),"")</f>
        <v/>
      </c>
      <c r="C1336" s="32">
        <f>IFERROR(IF(A1336="","",SUMIF(SAVINGS!$A$3:A1335,A1336,SAVINGS!$E$3:E1335)-SUMIF(WITHDRAWALS!$A:$A,A1336,WITHDRAWALS!$E:$E)),"")</f>
        <v/>
      </c>
      <c r="D1336" s="33">
        <f>IF(A1336="","",TODAY())</f>
        <v/>
      </c>
      <c r="E1336" s="29" t="n"/>
      <c r="F1336" s="32">
        <f>IFERROR(IF(OR(A1336="",E1336=""),"",C1336+E1336),"")</f>
        <v/>
      </c>
      <c r="G1336" s="30" t="n"/>
      <c r="H1336" s="31" t="n"/>
    </row>
    <row r="1337" ht="20" customHeight="1">
      <c r="A1337" s="26" t="n"/>
      <c r="B1337" s="27">
        <f>IFERROR(IF(A1337="","",VLOOKUP(A1337,DATABASE!$A:$B,2,0)),"")</f>
        <v/>
      </c>
      <c r="C1337" s="20">
        <f>IFERROR(IF(A1337="","",SUMIF(SAVINGS!$A$3:A1336,A1337,SAVINGS!$E$3:E1336)-SUMIF(WITHDRAWALS!$A:$A,A1337,WITHDRAWALS!$E:$E)),"")</f>
        <v/>
      </c>
      <c r="D1337" s="28">
        <f>IF(A1337="","",TODAY())</f>
        <v/>
      </c>
      <c r="E1337" s="29" t="n"/>
      <c r="F1337" s="20">
        <f>IFERROR(IF(OR(A1337="",E1337=""),"",C1337+E1337),"")</f>
        <v/>
      </c>
      <c r="G1337" s="30" t="n"/>
      <c r="H1337" s="27" t="n"/>
    </row>
    <row r="1338" ht="20" customHeight="1">
      <c r="A1338" s="26" t="n"/>
      <c r="B1338" s="31">
        <f>IFERROR(IF(A1338="","",VLOOKUP(A1338,DATABASE!$A:$B,2,0)),"")</f>
        <v/>
      </c>
      <c r="C1338" s="32">
        <f>IFERROR(IF(A1338="","",SUMIF(SAVINGS!$A$3:A1337,A1338,SAVINGS!$E$3:E1337)-SUMIF(WITHDRAWALS!$A:$A,A1338,WITHDRAWALS!$E:$E)),"")</f>
        <v/>
      </c>
      <c r="D1338" s="33">
        <f>IF(A1338="","",TODAY())</f>
        <v/>
      </c>
      <c r="E1338" s="29" t="n"/>
      <c r="F1338" s="32">
        <f>IFERROR(IF(OR(A1338="",E1338=""),"",C1338+E1338),"")</f>
        <v/>
      </c>
      <c r="G1338" s="30" t="n"/>
      <c r="H1338" s="31" t="n"/>
    </row>
    <row r="1339" ht="20" customHeight="1">
      <c r="A1339" s="26" t="n"/>
      <c r="B1339" s="27">
        <f>IFERROR(IF(A1339="","",VLOOKUP(A1339,DATABASE!$A:$B,2,0)),"")</f>
        <v/>
      </c>
      <c r="C1339" s="20">
        <f>IFERROR(IF(A1339="","",SUMIF(SAVINGS!$A$3:A1338,A1339,SAVINGS!$E$3:E1338)-SUMIF(WITHDRAWALS!$A:$A,A1339,WITHDRAWALS!$E:$E)),"")</f>
        <v/>
      </c>
      <c r="D1339" s="28">
        <f>IF(A1339="","",TODAY())</f>
        <v/>
      </c>
      <c r="E1339" s="29" t="n"/>
      <c r="F1339" s="20">
        <f>IFERROR(IF(OR(A1339="",E1339=""),"",C1339+E1339),"")</f>
        <v/>
      </c>
      <c r="G1339" s="30" t="n"/>
      <c r="H1339" s="27" t="n"/>
    </row>
    <row r="1340" ht="20" customHeight="1">
      <c r="A1340" s="26" t="n"/>
      <c r="B1340" s="31">
        <f>IFERROR(IF(A1340="","",VLOOKUP(A1340,DATABASE!$A:$B,2,0)),"")</f>
        <v/>
      </c>
      <c r="C1340" s="32">
        <f>IFERROR(IF(A1340="","",SUMIF(SAVINGS!$A$3:A1339,A1340,SAVINGS!$E$3:E1339)-SUMIF(WITHDRAWALS!$A:$A,A1340,WITHDRAWALS!$E:$E)),"")</f>
        <v/>
      </c>
      <c r="D1340" s="33">
        <f>IF(A1340="","",TODAY())</f>
        <v/>
      </c>
      <c r="E1340" s="29" t="n"/>
      <c r="F1340" s="32">
        <f>IFERROR(IF(OR(A1340="",E1340=""),"",C1340+E1340),"")</f>
        <v/>
      </c>
      <c r="G1340" s="30" t="n"/>
      <c r="H1340" s="31" t="n"/>
    </row>
    <row r="1341" ht="20" customHeight="1">
      <c r="A1341" s="26" t="n"/>
      <c r="B1341" s="27">
        <f>IFERROR(IF(A1341="","",VLOOKUP(A1341,DATABASE!$A:$B,2,0)),"")</f>
        <v/>
      </c>
      <c r="C1341" s="20">
        <f>IFERROR(IF(A1341="","",SUMIF(SAVINGS!$A$3:A1340,A1341,SAVINGS!$E$3:E1340)-SUMIF(WITHDRAWALS!$A:$A,A1341,WITHDRAWALS!$E:$E)),"")</f>
        <v/>
      </c>
      <c r="D1341" s="28">
        <f>IF(A1341="","",TODAY())</f>
        <v/>
      </c>
      <c r="E1341" s="29" t="n"/>
      <c r="F1341" s="20">
        <f>IFERROR(IF(OR(A1341="",E1341=""),"",C1341+E1341),"")</f>
        <v/>
      </c>
      <c r="G1341" s="30" t="n"/>
      <c r="H1341" s="27" t="n"/>
    </row>
    <row r="1342" ht="20" customHeight="1">
      <c r="A1342" s="26" t="n"/>
      <c r="B1342" s="31">
        <f>IFERROR(IF(A1342="","",VLOOKUP(A1342,DATABASE!$A:$B,2,0)),"")</f>
        <v/>
      </c>
      <c r="C1342" s="32">
        <f>IFERROR(IF(A1342="","",SUMIF(SAVINGS!$A$3:A1341,A1342,SAVINGS!$E$3:E1341)-SUMIF(WITHDRAWALS!$A:$A,A1342,WITHDRAWALS!$E:$E)),"")</f>
        <v/>
      </c>
      <c r="D1342" s="33">
        <f>IF(A1342="","",TODAY())</f>
        <v/>
      </c>
      <c r="E1342" s="29" t="n"/>
      <c r="F1342" s="32">
        <f>IFERROR(IF(OR(A1342="",E1342=""),"",C1342+E1342),"")</f>
        <v/>
      </c>
      <c r="G1342" s="30" t="n"/>
      <c r="H1342" s="31" t="n"/>
    </row>
    <row r="1343" ht="20" customHeight="1">
      <c r="A1343" s="26" t="n"/>
      <c r="B1343" s="27">
        <f>IFERROR(IF(A1343="","",VLOOKUP(A1343,DATABASE!$A:$B,2,0)),"")</f>
        <v/>
      </c>
      <c r="C1343" s="20">
        <f>IFERROR(IF(A1343="","",SUMIF(SAVINGS!$A$3:A1342,A1343,SAVINGS!$E$3:E1342)-SUMIF(WITHDRAWALS!$A:$A,A1343,WITHDRAWALS!$E:$E)),"")</f>
        <v/>
      </c>
      <c r="D1343" s="28">
        <f>IF(A1343="","",TODAY())</f>
        <v/>
      </c>
      <c r="E1343" s="29" t="n"/>
      <c r="F1343" s="20">
        <f>IFERROR(IF(OR(A1343="",E1343=""),"",C1343+E1343),"")</f>
        <v/>
      </c>
      <c r="G1343" s="30" t="n"/>
      <c r="H1343" s="27" t="n"/>
    </row>
    <row r="1344" ht="20" customHeight="1">
      <c r="A1344" s="26" t="n"/>
      <c r="B1344" s="31">
        <f>IFERROR(IF(A1344="","",VLOOKUP(A1344,DATABASE!$A:$B,2,0)),"")</f>
        <v/>
      </c>
      <c r="C1344" s="32">
        <f>IFERROR(IF(A1344="","",SUMIF(SAVINGS!$A$3:A1343,A1344,SAVINGS!$E$3:E1343)-SUMIF(WITHDRAWALS!$A:$A,A1344,WITHDRAWALS!$E:$E)),"")</f>
        <v/>
      </c>
      <c r="D1344" s="33">
        <f>IF(A1344="","",TODAY())</f>
        <v/>
      </c>
      <c r="E1344" s="29" t="n"/>
      <c r="F1344" s="32">
        <f>IFERROR(IF(OR(A1344="",E1344=""),"",C1344+E1344),"")</f>
        <v/>
      </c>
      <c r="G1344" s="30" t="n"/>
      <c r="H1344" s="31" t="n"/>
    </row>
    <row r="1345" ht="20" customHeight="1">
      <c r="A1345" s="26" t="n"/>
      <c r="B1345" s="27">
        <f>IFERROR(IF(A1345="","",VLOOKUP(A1345,DATABASE!$A:$B,2,0)),"")</f>
        <v/>
      </c>
      <c r="C1345" s="20">
        <f>IFERROR(IF(A1345="","",SUMIF(SAVINGS!$A$3:A1344,A1345,SAVINGS!$E$3:E1344)-SUMIF(WITHDRAWALS!$A:$A,A1345,WITHDRAWALS!$E:$E)),"")</f>
        <v/>
      </c>
      <c r="D1345" s="28">
        <f>IF(A1345="","",TODAY())</f>
        <v/>
      </c>
      <c r="E1345" s="29" t="n"/>
      <c r="F1345" s="20">
        <f>IFERROR(IF(OR(A1345="",E1345=""),"",C1345+E1345),"")</f>
        <v/>
      </c>
      <c r="G1345" s="30" t="n"/>
      <c r="H1345" s="27" t="n"/>
    </row>
    <row r="1346" ht="20" customHeight="1">
      <c r="A1346" s="26" t="n"/>
      <c r="B1346" s="31">
        <f>IFERROR(IF(A1346="","",VLOOKUP(A1346,DATABASE!$A:$B,2,0)),"")</f>
        <v/>
      </c>
      <c r="C1346" s="32">
        <f>IFERROR(IF(A1346="","",SUMIF(SAVINGS!$A$3:A1345,A1346,SAVINGS!$E$3:E1345)-SUMIF(WITHDRAWALS!$A:$A,A1346,WITHDRAWALS!$E:$E)),"")</f>
        <v/>
      </c>
      <c r="D1346" s="33">
        <f>IF(A1346="","",TODAY())</f>
        <v/>
      </c>
      <c r="E1346" s="29" t="n"/>
      <c r="F1346" s="32">
        <f>IFERROR(IF(OR(A1346="",E1346=""),"",C1346+E1346),"")</f>
        <v/>
      </c>
      <c r="G1346" s="30" t="n"/>
      <c r="H1346" s="31" t="n"/>
    </row>
    <row r="1347" ht="20" customHeight="1">
      <c r="A1347" s="26" t="n"/>
      <c r="B1347" s="27">
        <f>IFERROR(IF(A1347="","",VLOOKUP(A1347,DATABASE!$A:$B,2,0)),"")</f>
        <v/>
      </c>
      <c r="C1347" s="20">
        <f>IFERROR(IF(A1347="","",SUMIF(SAVINGS!$A$3:A1346,A1347,SAVINGS!$E$3:E1346)-SUMIF(WITHDRAWALS!$A:$A,A1347,WITHDRAWALS!$E:$E)),"")</f>
        <v/>
      </c>
      <c r="D1347" s="28">
        <f>IF(A1347="","",TODAY())</f>
        <v/>
      </c>
      <c r="E1347" s="29" t="n"/>
      <c r="F1347" s="20">
        <f>IFERROR(IF(OR(A1347="",E1347=""),"",C1347+E1347),"")</f>
        <v/>
      </c>
      <c r="G1347" s="30" t="n"/>
      <c r="H1347" s="27" t="n"/>
    </row>
    <row r="1348" ht="20" customHeight="1">
      <c r="A1348" s="26" t="n"/>
      <c r="B1348" s="31">
        <f>IFERROR(IF(A1348="","",VLOOKUP(A1348,DATABASE!$A:$B,2,0)),"")</f>
        <v/>
      </c>
      <c r="C1348" s="32">
        <f>IFERROR(IF(A1348="","",SUMIF(SAVINGS!$A$3:A1347,A1348,SAVINGS!$E$3:E1347)-SUMIF(WITHDRAWALS!$A:$A,A1348,WITHDRAWALS!$E:$E)),"")</f>
        <v/>
      </c>
      <c r="D1348" s="33">
        <f>IF(A1348="","",TODAY())</f>
        <v/>
      </c>
      <c r="E1348" s="29" t="n"/>
      <c r="F1348" s="32">
        <f>IFERROR(IF(OR(A1348="",E1348=""),"",C1348+E1348),"")</f>
        <v/>
      </c>
      <c r="G1348" s="30" t="n"/>
      <c r="H1348" s="31" t="n"/>
    </row>
    <row r="1349" ht="20" customHeight="1">
      <c r="A1349" s="26" t="n"/>
      <c r="B1349" s="27">
        <f>IFERROR(IF(A1349="","",VLOOKUP(A1349,DATABASE!$A:$B,2,0)),"")</f>
        <v/>
      </c>
      <c r="C1349" s="20">
        <f>IFERROR(IF(A1349="","",SUMIF(SAVINGS!$A$3:A1348,A1349,SAVINGS!$E$3:E1348)-SUMIF(WITHDRAWALS!$A:$A,A1349,WITHDRAWALS!$E:$E)),"")</f>
        <v/>
      </c>
      <c r="D1349" s="28">
        <f>IF(A1349="","",TODAY())</f>
        <v/>
      </c>
      <c r="E1349" s="29" t="n"/>
      <c r="F1349" s="20">
        <f>IFERROR(IF(OR(A1349="",E1349=""),"",C1349+E1349),"")</f>
        <v/>
      </c>
      <c r="G1349" s="30" t="n"/>
      <c r="H1349" s="27" t="n"/>
    </row>
    <row r="1350" ht="20" customHeight="1">
      <c r="A1350" s="26" t="n"/>
      <c r="B1350" s="31">
        <f>IFERROR(IF(A1350="","",VLOOKUP(A1350,DATABASE!$A:$B,2,0)),"")</f>
        <v/>
      </c>
      <c r="C1350" s="32">
        <f>IFERROR(IF(A1350="","",SUMIF(SAVINGS!$A$3:A1349,A1350,SAVINGS!$E$3:E1349)-SUMIF(WITHDRAWALS!$A:$A,A1350,WITHDRAWALS!$E:$E)),"")</f>
        <v/>
      </c>
      <c r="D1350" s="33">
        <f>IF(A1350="","",TODAY())</f>
        <v/>
      </c>
      <c r="E1350" s="29" t="n"/>
      <c r="F1350" s="32">
        <f>IFERROR(IF(OR(A1350="",E1350=""),"",C1350+E1350),"")</f>
        <v/>
      </c>
      <c r="G1350" s="30" t="n"/>
      <c r="H1350" s="31" t="n"/>
    </row>
    <row r="1351" ht="20" customHeight="1">
      <c r="A1351" s="26" t="n"/>
      <c r="B1351" s="27">
        <f>IFERROR(IF(A1351="","",VLOOKUP(A1351,DATABASE!$A:$B,2,0)),"")</f>
        <v/>
      </c>
      <c r="C1351" s="20">
        <f>IFERROR(IF(A1351="","",SUMIF(SAVINGS!$A$3:A1350,A1351,SAVINGS!$E$3:E1350)-SUMIF(WITHDRAWALS!$A:$A,A1351,WITHDRAWALS!$E:$E)),"")</f>
        <v/>
      </c>
      <c r="D1351" s="28">
        <f>IF(A1351="","",TODAY())</f>
        <v/>
      </c>
      <c r="E1351" s="29" t="n"/>
      <c r="F1351" s="20">
        <f>IFERROR(IF(OR(A1351="",E1351=""),"",C1351+E1351),"")</f>
        <v/>
      </c>
      <c r="G1351" s="30" t="n"/>
      <c r="H1351" s="27" t="n"/>
    </row>
    <row r="1352" ht="20" customHeight="1">
      <c r="A1352" s="26" t="n"/>
      <c r="B1352" s="31">
        <f>IFERROR(IF(A1352="","",VLOOKUP(A1352,DATABASE!$A:$B,2,0)),"")</f>
        <v/>
      </c>
      <c r="C1352" s="32">
        <f>IFERROR(IF(A1352="","",SUMIF(SAVINGS!$A$3:A1351,A1352,SAVINGS!$E$3:E1351)-SUMIF(WITHDRAWALS!$A:$A,A1352,WITHDRAWALS!$E:$E)),"")</f>
        <v/>
      </c>
      <c r="D1352" s="33">
        <f>IF(A1352="","",TODAY())</f>
        <v/>
      </c>
      <c r="E1352" s="29" t="n"/>
      <c r="F1352" s="32">
        <f>IFERROR(IF(OR(A1352="",E1352=""),"",C1352+E1352),"")</f>
        <v/>
      </c>
      <c r="G1352" s="30" t="n"/>
      <c r="H1352" s="31" t="n"/>
    </row>
    <row r="1353" ht="20" customHeight="1">
      <c r="A1353" s="26" t="n"/>
      <c r="B1353" s="27">
        <f>IFERROR(IF(A1353="","",VLOOKUP(A1353,DATABASE!$A:$B,2,0)),"")</f>
        <v/>
      </c>
      <c r="C1353" s="20">
        <f>IFERROR(IF(A1353="","",SUMIF(SAVINGS!$A$3:A1352,A1353,SAVINGS!$E$3:E1352)-SUMIF(WITHDRAWALS!$A:$A,A1353,WITHDRAWALS!$E:$E)),"")</f>
        <v/>
      </c>
      <c r="D1353" s="28">
        <f>IF(A1353="","",TODAY())</f>
        <v/>
      </c>
      <c r="E1353" s="29" t="n"/>
      <c r="F1353" s="20">
        <f>IFERROR(IF(OR(A1353="",E1353=""),"",C1353+E1353),"")</f>
        <v/>
      </c>
      <c r="G1353" s="30" t="n"/>
      <c r="H1353" s="27" t="n"/>
    </row>
    <row r="1354" ht="20" customHeight="1">
      <c r="A1354" s="26" t="n"/>
      <c r="B1354" s="31">
        <f>IFERROR(IF(A1354="","",VLOOKUP(A1354,DATABASE!$A:$B,2,0)),"")</f>
        <v/>
      </c>
      <c r="C1354" s="32">
        <f>IFERROR(IF(A1354="","",SUMIF(SAVINGS!$A$3:A1353,A1354,SAVINGS!$E$3:E1353)-SUMIF(WITHDRAWALS!$A:$A,A1354,WITHDRAWALS!$E:$E)),"")</f>
        <v/>
      </c>
      <c r="D1354" s="33">
        <f>IF(A1354="","",TODAY())</f>
        <v/>
      </c>
      <c r="E1354" s="29" t="n"/>
      <c r="F1354" s="32">
        <f>IFERROR(IF(OR(A1354="",E1354=""),"",C1354+E1354),"")</f>
        <v/>
      </c>
      <c r="G1354" s="30" t="n"/>
      <c r="H1354" s="31" t="n"/>
    </row>
    <row r="1355" ht="20" customHeight="1">
      <c r="A1355" s="26" t="n"/>
      <c r="B1355" s="27">
        <f>IFERROR(IF(A1355="","",VLOOKUP(A1355,DATABASE!$A:$B,2,0)),"")</f>
        <v/>
      </c>
      <c r="C1355" s="20">
        <f>IFERROR(IF(A1355="","",SUMIF(SAVINGS!$A$3:A1354,A1355,SAVINGS!$E$3:E1354)-SUMIF(WITHDRAWALS!$A:$A,A1355,WITHDRAWALS!$E:$E)),"")</f>
        <v/>
      </c>
      <c r="D1355" s="28">
        <f>IF(A1355="","",TODAY())</f>
        <v/>
      </c>
      <c r="E1355" s="29" t="n"/>
      <c r="F1355" s="20">
        <f>IFERROR(IF(OR(A1355="",E1355=""),"",C1355+E1355),"")</f>
        <v/>
      </c>
      <c r="G1355" s="30" t="n"/>
      <c r="H1355" s="27" t="n"/>
    </row>
    <row r="1356" ht="20" customHeight="1">
      <c r="A1356" s="26" t="n"/>
      <c r="B1356" s="31">
        <f>IFERROR(IF(A1356="","",VLOOKUP(A1356,DATABASE!$A:$B,2,0)),"")</f>
        <v/>
      </c>
      <c r="C1356" s="32">
        <f>IFERROR(IF(A1356="","",SUMIF(SAVINGS!$A$3:A1355,A1356,SAVINGS!$E$3:E1355)-SUMIF(WITHDRAWALS!$A:$A,A1356,WITHDRAWALS!$E:$E)),"")</f>
        <v/>
      </c>
      <c r="D1356" s="33">
        <f>IF(A1356="","",TODAY())</f>
        <v/>
      </c>
      <c r="E1356" s="29" t="n"/>
      <c r="F1356" s="32">
        <f>IFERROR(IF(OR(A1356="",E1356=""),"",C1356+E1356),"")</f>
        <v/>
      </c>
      <c r="G1356" s="30" t="n"/>
      <c r="H1356" s="31" t="n"/>
    </row>
    <row r="1357" ht="20" customHeight="1">
      <c r="A1357" s="26" t="n"/>
      <c r="B1357" s="27">
        <f>IFERROR(IF(A1357="","",VLOOKUP(A1357,DATABASE!$A:$B,2,0)),"")</f>
        <v/>
      </c>
      <c r="C1357" s="20">
        <f>IFERROR(IF(A1357="","",SUMIF(SAVINGS!$A$3:A1356,A1357,SAVINGS!$E$3:E1356)-SUMIF(WITHDRAWALS!$A:$A,A1357,WITHDRAWALS!$E:$E)),"")</f>
        <v/>
      </c>
      <c r="D1357" s="28">
        <f>IF(A1357="","",TODAY())</f>
        <v/>
      </c>
      <c r="E1357" s="29" t="n"/>
      <c r="F1357" s="20">
        <f>IFERROR(IF(OR(A1357="",E1357=""),"",C1357+E1357),"")</f>
        <v/>
      </c>
      <c r="G1357" s="30" t="n"/>
      <c r="H1357" s="27" t="n"/>
    </row>
    <row r="1358" ht="20" customHeight="1">
      <c r="A1358" s="26" t="n"/>
      <c r="B1358" s="31">
        <f>IFERROR(IF(A1358="","",VLOOKUP(A1358,DATABASE!$A:$B,2,0)),"")</f>
        <v/>
      </c>
      <c r="C1358" s="32">
        <f>IFERROR(IF(A1358="","",SUMIF(SAVINGS!$A$3:A1357,A1358,SAVINGS!$E$3:E1357)-SUMIF(WITHDRAWALS!$A:$A,A1358,WITHDRAWALS!$E:$E)),"")</f>
        <v/>
      </c>
      <c r="D1358" s="33">
        <f>IF(A1358="","",TODAY())</f>
        <v/>
      </c>
      <c r="E1358" s="29" t="n"/>
      <c r="F1358" s="32">
        <f>IFERROR(IF(OR(A1358="",E1358=""),"",C1358+E1358),"")</f>
        <v/>
      </c>
      <c r="G1358" s="30" t="n"/>
      <c r="H1358" s="31" t="n"/>
    </row>
    <row r="1359" ht="20" customHeight="1">
      <c r="A1359" s="26" t="n"/>
      <c r="B1359" s="27">
        <f>IFERROR(IF(A1359="","",VLOOKUP(A1359,DATABASE!$A:$B,2,0)),"")</f>
        <v/>
      </c>
      <c r="C1359" s="20">
        <f>IFERROR(IF(A1359="","",SUMIF(SAVINGS!$A$3:A1358,A1359,SAVINGS!$E$3:E1358)-SUMIF(WITHDRAWALS!$A:$A,A1359,WITHDRAWALS!$E:$E)),"")</f>
        <v/>
      </c>
      <c r="D1359" s="28">
        <f>IF(A1359="","",TODAY())</f>
        <v/>
      </c>
      <c r="E1359" s="29" t="n"/>
      <c r="F1359" s="20">
        <f>IFERROR(IF(OR(A1359="",E1359=""),"",C1359+E1359),"")</f>
        <v/>
      </c>
      <c r="G1359" s="30" t="n"/>
      <c r="H1359" s="27" t="n"/>
    </row>
    <row r="1360" ht="20" customHeight="1">
      <c r="A1360" s="26" t="n"/>
      <c r="B1360" s="31">
        <f>IFERROR(IF(A1360="","",VLOOKUP(A1360,DATABASE!$A:$B,2,0)),"")</f>
        <v/>
      </c>
      <c r="C1360" s="32">
        <f>IFERROR(IF(A1360="","",SUMIF(SAVINGS!$A$3:A1359,A1360,SAVINGS!$E$3:E1359)-SUMIF(WITHDRAWALS!$A:$A,A1360,WITHDRAWALS!$E:$E)),"")</f>
        <v/>
      </c>
      <c r="D1360" s="33">
        <f>IF(A1360="","",TODAY())</f>
        <v/>
      </c>
      <c r="E1360" s="29" t="n"/>
      <c r="F1360" s="32">
        <f>IFERROR(IF(OR(A1360="",E1360=""),"",C1360+E1360),"")</f>
        <v/>
      </c>
      <c r="G1360" s="30" t="n"/>
      <c r="H1360" s="31" t="n"/>
    </row>
    <row r="1361" ht="20" customHeight="1">
      <c r="A1361" s="26" t="n"/>
      <c r="B1361" s="27">
        <f>IFERROR(IF(A1361="","",VLOOKUP(A1361,DATABASE!$A:$B,2,0)),"")</f>
        <v/>
      </c>
      <c r="C1361" s="20">
        <f>IFERROR(IF(A1361="","",SUMIF(SAVINGS!$A$3:A1360,A1361,SAVINGS!$E$3:E1360)-SUMIF(WITHDRAWALS!$A:$A,A1361,WITHDRAWALS!$E:$E)),"")</f>
        <v/>
      </c>
      <c r="D1361" s="28">
        <f>IF(A1361="","",TODAY())</f>
        <v/>
      </c>
      <c r="E1361" s="29" t="n"/>
      <c r="F1361" s="20">
        <f>IFERROR(IF(OR(A1361="",E1361=""),"",C1361+E1361),"")</f>
        <v/>
      </c>
      <c r="G1361" s="30" t="n"/>
      <c r="H1361" s="27" t="n"/>
    </row>
    <row r="1362" ht="20" customHeight="1">
      <c r="A1362" s="26" t="n"/>
      <c r="B1362" s="31">
        <f>IFERROR(IF(A1362="","",VLOOKUP(A1362,DATABASE!$A:$B,2,0)),"")</f>
        <v/>
      </c>
      <c r="C1362" s="32">
        <f>IFERROR(IF(A1362="","",SUMIF(SAVINGS!$A$3:A1361,A1362,SAVINGS!$E$3:E1361)-SUMIF(WITHDRAWALS!$A:$A,A1362,WITHDRAWALS!$E:$E)),"")</f>
        <v/>
      </c>
      <c r="D1362" s="33">
        <f>IF(A1362="","",TODAY())</f>
        <v/>
      </c>
      <c r="E1362" s="29" t="n"/>
      <c r="F1362" s="32">
        <f>IFERROR(IF(OR(A1362="",E1362=""),"",C1362+E1362),"")</f>
        <v/>
      </c>
      <c r="G1362" s="30" t="n"/>
      <c r="H1362" s="31" t="n"/>
    </row>
    <row r="1363" ht="20" customHeight="1">
      <c r="A1363" s="26" t="n"/>
      <c r="B1363" s="27">
        <f>IFERROR(IF(A1363="","",VLOOKUP(A1363,DATABASE!$A:$B,2,0)),"")</f>
        <v/>
      </c>
      <c r="C1363" s="20">
        <f>IFERROR(IF(A1363="","",SUMIF(SAVINGS!$A$3:A1362,A1363,SAVINGS!$E$3:E1362)-SUMIF(WITHDRAWALS!$A:$A,A1363,WITHDRAWALS!$E:$E)),"")</f>
        <v/>
      </c>
      <c r="D1363" s="28">
        <f>IF(A1363="","",TODAY())</f>
        <v/>
      </c>
      <c r="E1363" s="29" t="n"/>
      <c r="F1363" s="20">
        <f>IFERROR(IF(OR(A1363="",E1363=""),"",C1363+E1363),"")</f>
        <v/>
      </c>
      <c r="G1363" s="30" t="n"/>
      <c r="H1363" s="27" t="n"/>
    </row>
    <row r="1364" ht="20" customHeight="1">
      <c r="A1364" s="26" t="n"/>
      <c r="B1364" s="31">
        <f>IFERROR(IF(A1364="","",VLOOKUP(A1364,DATABASE!$A:$B,2,0)),"")</f>
        <v/>
      </c>
      <c r="C1364" s="32">
        <f>IFERROR(IF(A1364="","",SUMIF(SAVINGS!$A$3:A1363,A1364,SAVINGS!$E$3:E1363)-SUMIF(WITHDRAWALS!$A:$A,A1364,WITHDRAWALS!$E:$E)),"")</f>
        <v/>
      </c>
      <c r="D1364" s="33">
        <f>IF(A1364="","",TODAY())</f>
        <v/>
      </c>
      <c r="E1364" s="29" t="n"/>
      <c r="F1364" s="32">
        <f>IFERROR(IF(OR(A1364="",E1364=""),"",C1364+E1364),"")</f>
        <v/>
      </c>
      <c r="G1364" s="30" t="n"/>
      <c r="H1364" s="31" t="n"/>
    </row>
    <row r="1365" ht="20" customHeight="1">
      <c r="A1365" s="26" t="n"/>
      <c r="B1365" s="27">
        <f>IFERROR(IF(A1365="","",VLOOKUP(A1365,DATABASE!$A:$B,2,0)),"")</f>
        <v/>
      </c>
      <c r="C1365" s="20">
        <f>IFERROR(IF(A1365="","",SUMIF(SAVINGS!$A$3:A1364,A1365,SAVINGS!$E$3:E1364)-SUMIF(WITHDRAWALS!$A:$A,A1365,WITHDRAWALS!$E:$E)),"")</f>
        <v/>
      </c>
      <c r="D1365" s="28">
        <f>IF(A1365="","",TODAY())</f>
        <v/>
      </c>
      <c r="E1365" s="29" t="n"/>
      <c r="F1365" s="20">
        <f>IFERROR(IF(OR(A1365="",E1365=""),"",C1365+E1365),"")</f>
        <v/>
      </c>
      <c r="G1365" s="30" t="n"/>
      <c r="H1365" s="27" t="n"/>
    </row>
    <row r="1366" ht="20" customHeight="1">
      <c r="A1366" s="26" t="n"/>
      <c r="B1366" s="31">
        <f>IFERROR(IF(A1366="","",VLOOKUP(A1366,DATABASE!$A:$B,2,0)),"")</f>
        <v/>
      </c>
      <c r="C1366" s="32">
        <f>IFERROR(IF(A1366="","",SUMIF(SAVINGS!$A$3:A1365,A1366,SAVINGS!$E$3:E1365)-SUMIF(WITHDRAWALS!$A:$A,A1366,WITHDRAWALS!$E:$E)),"")</f>
        <v/>
      </c>
      <c r="D1366" s="33">
        <f>IF(A1366="","",TODAY())</f>
        <v/>
      </c>
      <c r="E1366" s="29" t="n"/>
      <c r="F1366" s="32">
        <f>IFERROR(IF(OR(A1366="",E1366=""),"",C1366+E1366),"")</f>
        <v/>
      </c>
      <c r="G1366" s="30" t="n"/>
      <c r="H1366" s="31" t="n"/>
    </row>
    <row r="1367" ht="20" customHeight="1">
      <c r="A1367" s="26" t="n"/>
      <c r="B1367" s="27">
        <f>IFERROR(IF(A1367="","",VLOOKUP(A1367,DATABASE!$A:$B,2,0)),"")</f>
        <v/>
      </c>
      <c r="C1367" s="20">
        <f>IFERROR(IF(A1367="","",SUMIF(SAVINGS!$A$3:A1366,A1367,SAVINGS!$E$3:E1366)-SUMIF(WITHDRAWALS!$A:$A,A1367,WITHDRAWALS!$E:$E)),"")</f>
        <v/>
      </c>
      <c r="D1367" s="28">
        <f>IF(A1367="","",TODAY())</f>
        <v/>
      </c>
      <c r="E1367" s="29" t="n"/>
      <c r="F1367" s="20">
        <f>IFERROR(IF(OR(A1367="",E1367=""),"",C1367+E1367),"")</f>
        <v/>
      </c>
      <c r="G1367" s="30" t="n"/>
      <c r="H1367" s="27" t="n"/>
    </row>
    <row r="1368" ht="20" customHeight="1">
      <c r="A1368" s="26" t="n"/>
      <c r="B1368" s="31">
        <f>IFERROR(IF(A1368="","",VLOOKUP(A1368,DATABASE!$A:$B,2,0)),"")</f>
        <v/>
      </c>
      <c r="C1368" s="32">
        <f>IFERROR(IF(A1368="","",SUMIF(SAVINGS!$A$3:A1367,A1368,SAVINGS!$E$3:E1367)-SUMIF(WITHDRAWALS!$A:$A,A1368,WITHDRAWALS!$E:$E)),"")</f>
        <v/>
      </c>
      <c r="D1368" s="33">
        <f>IF(A1368="","",TODAY())</f>
        <v/>
      </c>
      <c r="E1368" s="29" t="n"/>
      <c r="F1368" s="32">
        <f>IFERROR(IF(OR(A1368="",E1368=""),"",C1368+E1368),"")</f>
        <v/>
      </c>
      <c r="G1368" s="30" t="n"/>
      <c r="H1368" s="31" t="n"/>
    </row>
    <row r="1369" ht="20" customHeight="1">
      <c r="A1369" s="26" t="n"/>
      <c r="B1369" s="27">
        <f>IFERROR(IF(A1369="","",VLOOKUP(A1369,DATABASE!$A:$B,2,0)),"")</f>
        <v/>
      </c>
      <c r="C1369" s="20">
        <f>IFERROR(IF(A1369="","",SUMIF(SAVINGS!$A$3:A1368,A1369,SAVINGS!$E$3:E1368)-SUMIF(WITHDRAWALS!$A:$A,A1369,WITHDRAWALS!$E:$E)),"")</f>
        <v/>
      </c>
      <c r="D1369" s="28">
        <f>IF(A1369="","",TODAY())</f>
        <v/>
      </c>
      <c r="E1369" s="29" t="n"/>
      <c r="F1369" s="20">
        <f>IFERROR(IF(OR(A1369="",E1369=""),"",C1369+E1369),"")</f>
        <v/>
      </c>
      <c r="G1369" s="30" t="n"/>
      <c r="H1369" s="27" t="n"/>
    </row>
    <row r="1370" ht="20" customHeight="1">
      <c r="A1370" s="26" t="n"/>
      <c r="B1370" s="31">
        <f>IFERROR(IF(A1370="","",VLOOKUP(A1370,DATABASE!$A:$B,2,0)),"")</f>
        <v/>
      </c>
      <c r="C1370" s="32">
        <f>IFERROR(IF(A1370="","",SUMIF(SAVINGS!$A$3:A1369,A1370,SAVINGS!$E$3:E1369)-SUMIF(WITHDRAWALS!$A:$A,A1370,WITHDRAWALS!$E:$E)),"")</f>
        <v/>
      </c>
      <c r="D1370" s="33">
        <f>IF(A1370="","",TODAY())</f>
        <v/>
      </c>
      <c r="E1370" s="29" t="n"/>
      <c r="F1370" s="32">
        <f>IFERROR(IF(OR(A1370="",E1370=""),"",C1370+E1370),"")</f>
        <v/>
      </c>
      <c r="G1370" s="30" t="n"/>
      <c r="H1370" s="31" t="n"/>
    </row>
    <row r="1371" ht="20" customHeight="1">
      <c r="A1371" s="26" t="n"/>
      <c r="B1371" s="27">
        <f>IFERROR(IF(A1371="","",VLOOKUP(A1371,DATABASE!$A:$B,2,0)),"")</f>
        <v/>
      </c>
      <c r="C1371" s="20">
        <f>IFERROR(IF(A1371="","",SUMIF(SAVINGS!$A$3:A1370,A1371,SAVINGS!$E$3:E1370)-SUMIF(WITHDRAWALS!$A:$A,A1371,WITHDRAWALS!$E:$E)),"")</f>
        <v/>
      </c>
      <c r="D1371" s="28">
        <f>IF(A1371="","",TODAY())</f>
        <v/>
      </c>
      <c r="E1371" s="29" t="n"/>
      <c r="F1371" s="20">
        <f>IFERROR(IF(OR(A1371="",E1371=""),"",C1371+E1371),"")</f>
        <v/>
      </c>
      <c r="G1371" s="30" t="n"/>
      <c r="H1371" s="27" t="n"/>
    </row>
    <row r="1372" ht="20" customHeight="1">
      <c r="A1372" s="26" t="n"/>
      <c r="B1372" s="31">
        <f>IFERROR(IF(A1372="","",VLOOKUP(A1372,DATABASE!$A:$B,2,0)),"")</f>
        <v/>
      </c>
      <c r="C1372" s="32">
        <f>IFERROR(IF(A1372="","",SUMIF(SAVINGS!$A$3:A1371,A1372,SAVINGS!$E$3:E1371)-SUMIF(WITHDRAWALS!$A:$A,A1372,WITHDRAWALS!$E:$E)),"")</f>
        <v/>
      </c>
      <c r="D1372" s="33">
        <f>IF(A1372="","",TODAY())</f>
        <v/>
      </c>
      <c r="E1372" s="29" t="n"/>
      <c r="F1372" s="32">
        <f>IFERROR(IF(OR(A1372="",E1372=""),"",C1372+E1372),"")</f>
        <v/>
      </c>
      <c r="G1372" s="30" t="n"/>
      <c r="H1372" s="31" t="n"/>
    </row>
    <row r="1373" ht="20" customHeight="1">
      <c r="A1373" s="26" t="n"/>
      <c r="B1373" s="27">
        <f>IFERROR(IF(A1373="","",VLOOKUP(A1373,DATABASE!$A:$B,2,0)),"")</f>
        <v/>
      </c>
      <c r="C1373" s="20">
        <f>IFERROR(IF(A1373="","",SUMIF(SAVINGS!$A$3:A1372,A1373,SAVINGS!$E$3:E1372)-SUMIF(WITHDRAWALS!$A:$A,A1373,WITHDRAWALS!$E:$E)),"")</f>
        <v/>
      </c>
      <c r="D1373" s="28">
        <f>IF(A1373="","",TODAY())</f>
        <v/>
      </c>
      <c r="E1373" s="29" t="n"/>
      <c r="F1373" s="20">
        <f>IFERROR(IF(OR(A1373="",E1373=""),"",C1373+E1373),"")</f>
        <v/>
      </c>
      <c r="G1373" s="30" t="n"/>
      <c r="H1373" s="27" t="n"/>
    </row>
    <row r="1374" ht="20" customHeight="1">
      <c r="A1374" s="26" t="n"/>
      <c r="B1374" s="31">
        <f>IFERROR(IF(A1374="","",VLOOKUP(A1374,DATABASE!$A:$B,2,0)),"")</f>
        <v/>
      </c>
      <c r="C1374" s="32">
        <f>IFERROR(IF(A1374="","",SUMIF(SAVINGS!$A$3:A1373,A1374,SAVINGS!$E$3:E1373)-SUMIF(WITHDRAWALS!$A:$A,A1374,WITHDRAWALS!$E:$E)),"")</f>
        <v/>
      </c>
      <c r="D1374" s="33">
        <f>IF(A1374="","",TODAY())</f>
        <v/>
      </c>
      <c r="E1374" s="29" t="n"/>
      <c r="F1374" s="32">
        <f>IFERROR(IF(OR(A1374="",E1374=""),"",C1374+E1374),"")</f>
        <v/>
      </c>
      <c r="G1374" s="30" t="n"/>
      <c r="H1374" s="31" t="n"/>
    </row>
    <row r="1375" ht="20" customHeight="1">
      <c r="A1375" s="26" t="n"/>
      <c r="B1375" s="27">
        <f>IFERROR(IF(A1375="","",VLOOKUP(A1375,DATABASE!$A:$B,2,0)),"")</f>
        <v/>
      </c>
      <c r="C1375" s="20">
        <f>IFERROR(IF(A1375="","",SUMIF(SAVINGS!$A$3:A1374,A1375,SAVINGS!$E$3:E1374)-SUMIF(WITHDRAWALS!$A:$A,A1375,WITHDRAWALS!$E:$E)),"")</f>
        <v/>
      </c>
      <c r="D1375" s="28">
        <f>IF(A1375="","",TODAY())</f>
        <v/>
      </c>
      <c r="E1375" s="29" t="n"/>
      <c r="F1375" s="20">
        <f>IFERROR(IF(OR(A1375="",E1375=""),"",C1375+E1375),"")</f>
        <v/>
      </c>
      <c r="G1375" s="30" t="n"/>
      <c r="H1375" s="27" t="n"/>
    </row>
    <row r="1376" ht="20" customHeight="1">
      <c r="A1376" s="26" t="n"/>
      <c r="B1376" s="31">
        <f>IFERROR(IF(A1376="","",VLOOKUP(A1376,DATABASE!$A:$B,2,0)),"")</f>
        <v/>
      </c>
      <c r="C1376" s="32">
        <f>IFERROR(IF(A1376="","",SUMIF(SAVINGS!$A$3:A1375,A1376,SAVINGS!$E$3:E1375)-SUMIF(WITHDRAWALS!$A:$A,A1376,WITHDRAWALS!$E:$E)),"")</f>
        <v/>
      </c>
      <c r="D1376" s="33">
        <f>IF(A1376="","",TODAY())</f>
        <v/>
      </c>
      <c r="E1376" s="29" t="n"/>
      <c r="F1376" s="32">
        <f>IFERROR(IF(OR(A1376="",E1376=""),"",C1376+E1376),"")</f>
        <v/>
      </c>
      <c r="G1376" s="30" t="n"/>
      <c r="H1376" s="31" t="n"/>
    </row>
    <row r="1377" ht="20" customHeight="1">
      <c r="A1377" s="26" t="n"/>
      <c r="B1377" s="27">
        <f>IFERROR(IF(A1377="","",VLOOKUP(A1377,DATABASE!$A:$B,2,0)),"")</f>
        <v/>
      </c>
      <c r="C1377" s="20">
        <f>IFERROR(IF(A1377="","",SUMIF(SAVINGS!$A$3:A1376,A1377,SAVINGS!$E$3:E1376)-SUMIF(WITHDRAWALS!$A:$A,A1377,WITHDRAWALS!$E:$E)),"")</f>
        <v/>
      </c>
      <c r="D1377" s="28">
        <f>IF(A1377="","",TODAY())</f>
        <v/>
      </c>
      <c r="E1377" s="29" t="n"/>
      <c r="F1377" s="20">
        <f>IFERROR(IF(OR(A1377="",E1377=""),"",C1377+E1377),"")</f>
        <v/>
      </c>
      <c r="G1377" s="30" t="n"/>
      <c r="H1377" s="27" t="n"/>
    </row>
    <row r="1378" ht="20" customHeight="1">
      <c r="A1378" s="26" t="n"/>
      <c r="B1378" s="31">
        <f>IFERROR(IF(A1378="","",VLOOKUP(A1378,DATABASE!$A:$B,2,0)),"")</f>
        <v/>
      </c>
      <c r="C1378" s="32">
        <f>IFERROR(IF(A1378="","",SUMIF(SAVINGS!$A$3:A1377,A1378,SAVINGS!$E$3:E1377)-SUMIF(WITHDRAWALS!$A:$A,A1378,WITHDRAWALS!$E:$E)),"")</f>
        <v/>
      </c>
      <c r="D1378" s="33">
        <f>IF(A1378="","",TODAY())</f>
        <v/>
      </c>
      <c r="E1378" s="29" t="n"/>
      <c r="F1378" s="32">
        <f>IFERROR(IF(OR(A1378="",E1378=""),"",C1378+E1378),"")</f>
        <v/>
      </c>
      <c r="G1378" s="30" t="n"/>
      <c r="H1378" s="31" t="n"/>
    </row>
    <row r="1379" ht="20" customHeight="1">
      <c r="A1379" s="26" t="n"/>
      <c r="B1379" s="27">
        <f>IFERROR(IF(A1379="","",VLOOKUP(A1379,DATABASE!$A:$B,2,0)),"")</f>
        <v/>
      </c>
      <c r="C1379" s="20">
        <f>IFERROR(IF(A1379="","",SUMIF(SAVINGS!$A$3:A1378,A1379,SAVINGS!$E$3:E1378)-SUMIF(WITHDRAWALS!$A:$A,A1379,WITHDRAWALS!$E:$E)),"")</f>
        <v/>
      </c>
      <c r="D1379" s="28">
        <f>IF(A1379="","",TODAY())</f>
        <v/>
      </c>
      <c r="E1379" s="29" t="n"/>
      <c r="F1379" s="20">
        <f>IFERROR(IF(OR(A1379="",E1379=""),"",C1379+E1379),"")</f>
        <v/>
      </c>
      <c r="G1379" s="30" t="n"/>
      <c r="H1379" s="27" t="n"/>
    </row>
    <row r="1380" ht="20" customHeight="1">
      <c r="A1380" s="26" t="n"/>
      <c r="B1380" s="31">
        <f>IFERROR(IF(A1380="","",VLOOKUP(A1380,DATABASE!$A:$B,2,0)),"")</f>
        <v/>
      </c>
      <c r="C1380" s="32">
        <f>IFERROR(IF(A1380="","",SUMIF(SAVINGS!$A$3:A1379,A1380,SAVINGS!$E$3:E1379)-SUMIF(WITHDRAWALS!$A:$A,A1380,WITHDRAWALS!$E:$E)),"")</f>
        <v/>
      </c>
      <c r="D1380" s="33">
        <f>IF(A1380="","",TODAY())</f>
        <v/>
      </c>
      <c r="E1380" s="29" t="n"/>
      <c r="F1380" s="32">
        <f>IFERROR(IF(OR(A1380="",E1380=""),"",C1380+E1380),"")</f>
        <v/>
      </c>
      <c r="G1380" s="30" t="n"/>
      <c r="H1380" s="31" t="n"/>
    </row>
    <row r="1381" ht="20" customHeight="1">
      <c r="A1381" s="26" t="n"/>
      <c r="B1381" s="27">
        <f>IFERROR(IF(A1381="","",VLOOKUP(A1381,DATABASE!$A:$B,2,0)),"")</f>
        <v/>
      </c>
      <c r="C1381" s="20">
        <f>IFERROR(IF(A1381="","",SUMIF(SAVINGS!$A$3:A1380,A1381,SAVINGS!$E$3:E1380)-SUMIF(WITHDRAWALS!$A:$A,A1381,WITHDRAWALS!$E:$E)),"")</f>
        <v/>
      </c>
      <c r="D1381" s="28">
        <f>IF(A1381="","",TODAY())</f>
        <v/>
      </c>
      <c r="E1381" s="29" t="n"/>
      <c r="F1381" s="20">
        <f>IFERROR(IF(OR(A1381="",E1381=""),"",C1381+E1381),"")</f>
        <v/>
      </c>
      <c r="G1381" s="30" t="n"/>
      <c r="H1381" s="27" t="n"/>
    </row>
    <row r="1382" ht="20" customHeight="1">
      <c r="A1382" s="26" t="n"/>
      <c r="B1382" s="31">
        <f>IFERROR(IF(A1382="","",VLOOKUP(A1382,DATABASE!$A:$B,2,0)),"")</f>
        <v/>
      </c>
      <c r="C1382" s="32">
        <f>IFERROR(IF(A1382="","",SUMIF(SAVINGS!$A$3:A1381,A1382,SAVINGS!$E$3:E1381)-SUMIF(WITHDRAWALS!$A:$A,A1382,WITHDRAWALS!$E:$E)),"")</f>
        <v/>
      </c>
      <c r="D1382" s="33">
        <f>IF(A1382="","",TODAY())</f>
        <v/>
      </c>
      <c r="E1382" s="29" t="n"/>
      <c r="F1382" s="32">
        <f>IFERROR(IF(OR(A1382="",E1382=""),"",C1382+E1382),"")</f>
        <v/>
      </c>
      <c r="G1382" s="30" t="n"/>
      <c r="H1382" s="31" t="n"/>
    </row>
    <row r="1383" ht="20" customHeight="1">
      <c r="A1383" s="26" t="n"/>
      <c r="B1383" s="27">
        <f>IFERROR(IF(A1383="","",VLOOKUP(A1383,DATABASE!$A:$B,2,0)),"")</f>
        <v/>
      </c>
      <c r="C1383" s="20">
        <f>IFERROR(IF(A1383="","",SUMIF(SAVINGS!$A$3:A1382,A1383,SAVINGS!$E$3:E1382)-SUMIF(WITHDRAWALS!$A:$A,A1383,WITHDRAWALS!$E:$E)),"")</f>
        <v/>
      </c>
      <c r="D1383" s="28">
        <f>IF(A1383="","",TODAY())</f>
        <v/>
      </c>
      <c r="E1383" s="29" t="n"/>
      <c r="F1383" s="20">
        <f>IFERROR(IF(OR(A1383="",E1383=""),"",C1383+E1383),"")</f>
        <v/>
      </c>
      <c r="G1383" s="30" t="n"/>
      <c r="H1383" s="27" t="n"/>
    </row>
    <row r="1384" ht="20" customHeight="1">
      <c r="A1384" s="26" t="n"/>
      <c r="B1384" s="31">
        <f>IFERROR(IF(A1384="","",VLOOKUP(A1384,DATABASE!$A:$B,2,0)),"")</f>
        <v/>
      </c>
      <c r="C1384" s="32">
        <f>IFERROR(IF(A1384="","",SUMIF(SAVINGS!$A$3:A1383,A1384,SAVINGS!$E$3:E1383)-SUMIF(WITHDRAWALS!$A:$A,A1384,WITHDRAWALS!$E:$E)),"")</f>
        <v/>
      </c>
      <c r="D1384" s="33">
        <f>IF(A1384="","",TODAY())</f>
        <v/>
      </c>
      <c r="E1384" s="29" t="n"/>
      <c r="F1384" s="32">
        <f>IFERROR(IF(OR(A1384="",E1384=""),"",C1384+E1384),"")</f>
        <v/>
      </c>
      <c r="G1384" s="30" t="n"/>
      <c r="H1384" s="31" t="n"/>
    </row>
    <row r="1385" ht="20" customHeight="1">
      <c r="A1385" s="26" t="n"/>
      <c r="B1385" s="27">
        <f>IFERROR(IF(A1385="","",VLOOKUP(A1385,DATABASE!$A:$B,2,0)),"")</f>
        <v/>
      </c>
      <c r="C1385" s="20">
        <f>IFERROR(IF(A1385="","",SUMIF(SAVINGS!$A$3:A1384,A1385,SAVINGS!$E$3:E1384)-SUMIF(WITHDRAWALS!$A:$A,A1385,WITHDRAWALS!$E:$E)),"")</f>
        <v/>
      </c>
      <c r="D1385" s="28">
        <f>IF(A1385="","",TODAY())</f>
        <v/>
      </c>
      <c r="E1385" s="29" t="n"/>
      <c r="F1385" s="20">
        <f>IFERROR(IF(OR(A1385="",E1385=""),"",C1385+E1385),"")</f>
        <v/>
      </c>
      <c r="G1385" s="30" t="n"/>
      <c r="H1385" s="27" t="n"/>
    </row>
    <row r="1386" ht="20" customHeight="1">
      <c r="A1386" s="26" t="n"/>
      <c r="B1386" s="31">
        <f>IFERROR(IF(A1386="","",VLOOKUP(A1386,DATABASE!$A:$B,2,0)),"")</f>
        <v/>
      </c>
      <c r="C1386" s="32">
        <f>IFERROR(IF(A1386="","",SUMIF(SAVINGS!$A$3:A1385,A1386,SAVINGS!$E$3:E1385)-SUMIF(WITHDRAWALS!$A:$A,A1386,WITHDRAWALS!$E:$E)),"")</f>
        <v/>
      </c>
      <c r="D1386" s="33">
        <f>IF(A1386="","",TODAY())</f>
        <v/>
      </c>
      <c r="E1386" s="29" t="n"/>
      <c r="F1386" s="32">
        <f>IFERROR(IF(OR(A1386="",E1386=""),"",C1386+E1386),"")</f>
        <v/>
      </c>
      <c r="G1386" s="30" t="n"/>
      <c r="H1386" s="31" t="n"/>
    </row>
    <row r="1387" ht="20" customHeight="1">
      <c r="A1387" s="26" t="n"/>
      <c r="B1387" s="27">
        <f>IFERROR(IF(A1387="","",VLOOKUP(A1387,DATABASE!$A:$B,2,0)),"")</f>
        <v/>
      </c>
      <c r="C1387" s="20">
        <f>IFERROR(IF(A1387="","",SUMIF(SAVINGS!$A$3:A1386,A1387,SAVINGS!$E$3:E1386)-SUMIF(WITHDRAWALS!$A:$A,A1387,WITHDRAWALS!$E:$E)),"")</f>
        <v/>
      </c>
      <c r="D1387" s="28">
        <f>IF(A1387="","",TODAY())</f>
        <v/>
      </c>
      <c r="E1387" s="29" t="n"/>
      <c r="F1387" s="20">
        <f>IFERROR(IF(OR(A1387="",E1387=""),"",C1387+E1387),"")</f>
        <v/>
      </c>
      <c r="G1387" s="30" t="n"/>
      <c r="H1387" s="27" t="n"/>
    </row>
    <row r="1388" ht="20" customHeight="1">
      <c r="A1388" s="26" t="n"/>
      <c r="B1388" s="31">
        <f>IFERROR(IF(A1388="","",VLOOKUP(A1388,DATABASE!$A:$B,2,0)),"")</f>
        <v/>
      </c>
      <c r="C1388" s="32">
        <f>IFERROR(IF(A1388="","",SUMIF(SAVINGS!$A$3:A1387,A1388,SAVINGS!$E$3:E1387)-SUMIF(WITHDRAWALS!$A:$A,A1388,WITHDRAWALS!$E:$E)),"")</f>
        <v/>
      </c>
      <c r="D1388" s="33">
        <f>IF(A1388="","",TODAY())</f>
        <v/>
      </c>
      <c r="E1388" s="29" t="n"/>
      <c r="F1388" s="32">
        <f>IFERROR(IF(OR(A1388="",E1388=""),"",C1388+E1388),"")</f>
        <v/>
      </c>
      <c r="G1388" s="30" t="n"/>
      <c r="H1388" s="31" t="n"/>
    </row>
    <row r="1389" ht="20" customHeight="1">
      <c r="A1389" s="26" t="n"/>
      <c r="B1389" s="27">
        <f>IFERROR(IF(A1389="","",VLOOKUP(A1389,DATABASE!$A:$B,2,0)),"")</f>
        <v/>
      </c>
      <c r="C1389" s="20">
        <f>IFERROR(IF(A1389="","",SUMIF(SAVINGS!$A$3:A1388,A1389,SAVINGS!$E$3:E1388)-SUMIF(WITHDRAWALS!$A:$A,A1389,WITHDRAWALS!$E:$E)),"")</f>
        <v/>
      </c>
      <c r="D1389" s="28">
        <f>IF(A1389="","",TODAY())</f>
        <v/>
      </c>
      <c r="E1389" s="29" t="n"/>
      <c r="F1389" s="20">
        <f>IFERROR(IF(OR(A1389="",E1389=""),"",C1389+E1389),"")</f>
        <v/>
      </c>
      <c r="G1389" s="30" t="n"/>
      <c r="H1389" s="27" t="n"/>
    </row>
    <row r="1390" ht="20" customHeight="1">
      <c r="A1390" s="26" t="n"/>
      <c r="B1390" s="31">
        <f>IFERROR(IF(A1390="","",VLOOKUP(A1390,DATABASE!$A:$B,2,0)),"")</f>
        <v/>
      </c>
      <c r="C1390" s="32">
        <f>IFERROR(IF(A1390="","",SUMIF(SAVINGS!$A$3:A1389,A1390,SAVINGS!$E$3:E1389)-SUMIF(WITHDRAWALS!$A:$A,A1390,WITHDRAWALS!$E:$E)),"")</f>
        <v/>
      </c>
      <c r="D1390" s="33">
        <f>IF(A1390="","",TODAY())</f>
        <v/>
      </c>
      <c r="E1390" s="29" t="n"/>
      <c r="F1390" s="32">
        <f>IFERROR(IF(OR(A1390="",E1390=""),"",C1390+E1390),"")</f>
        <v/>
      </c>
      <c r="G1390" s="30" t="n"/>
      <c r="H1390" s="31" t="n"/>
    </row>
    <row r="1391" ht="20" customHeight="1">
      <c r="A1391" s="26" t="n"/>
      <c r="B1391" s="27">
        <f>IFERROR(IF(A1391="","",VLOOKUP(A1391,DATABASE!$A:$B,2,0)),"")</f>
        <v/>
      </c>
      <c r="C1391" s="20">
        <f>IFERROR(IF(A1391="","",SUMIF(SAVINGS!$A$3:A1390,A1391,SAVINGS!$E$3:E1390)-SUMIF(WITHDRAWALS!$A:$A,A1391,WITHDRAWALS!$E:$E)),"")</f>
        <v/>
      </c>
      <c r="D1391" s="28">
        <f>IF(A1391="","",TODAY())</f>
        <v/>
      </c>
      <c r="E1391" s="29" t="n"/>
      <c r="F1391" s="20">
        <f>IFERROR(IF(OR(A1391="",E1391=""),"",C1391+E1391),"")</f>
        <v/>
      </c>
      <c r="G1391" s="30" t="n"/>
      <c r="H1391" s="27" t="n"/>
    </row>
    <row r="1392" ht="20" customHeight="1">
      <c r="A1392" s="26" t="n"/>
      <c r="B1392" s="31">
        <f>IFERROR(IF(A1392="","",VLOOKUP(A1392,DATABASE!$A:$B,2,0)),"")</f>
        <v/>
      </c>
      <c r="C1392" s="32">
        <f>IFERROR(IF(A1392="","",SUMIF(SAVINGS!$A$3:A1391,A1392,SAVINGS!$E$3:E1391)-SUMIF(WITHDRAWALS!$A:$A,A1392,WITHDRAWALS!$E:$E)),"")</f>
        <v/>
      </c>
      <c r="D1392" s="33">
        <f>IF(A1392="","",TODAY())</f>
        <v/>
      </c>
      <c r="E1392" s="29" t="n"/>
      <c r="F1392" s="32">
        <f>IFERROR(IF(OR(A1392="",E1392=""),"",C1392+E1392),"")</f>
        <v/>
      </c>
      <c r="G1392" s="30" t="n"/>
      <c r="H1392" s="31" t="n"/>
    </row>
    <row r="1393" ht="20" customHeight="1">
      <c r="A1393" s="26" t="n"/>
      <c r="B1393" s="27">
        <f>IFERROR(IF(A1393="","",VLOOKUP(A1393,DATABASE!$A:$B,2,0)),"")</f>
        <v/>
      </c>
      <c r="C1393" s="20">
        <f>IFERROR(IF(A1393="","",SUMIF(SAVINGS!$A$3:A1392,A1393,SAVINGS!$E$3:E1392)-SUMIF(WITHDRAWALS!$A:$A,A1393,WITHDRAWALS!$E:$E)),"")</f>
        <v/>
      </c>
      <c r="D1393" s="28">
        <f>IF(A1393="","",TODAY())</f>
        <v/>
      </c>
      <c r="E1393" s="29" t="n"/>
      <c r="F1393" s="20">
        <f>IFERROR(IF(OR(A1393="",E1393=""),"",C1393+E1393),"")</f>
        <v/>
      </c>
      <c r="G1393" s="30" t="n"/>
      <c r="H1393" s="27" t="n"/>
    </row>
    <row r="1394" ht="20" customHeight="1">
      <c r="A1394" s="26" t="n"/>
      <c r="B1394" s="31">
        <f>IFERROR(IF(A1394="","",VLOOKUP(A1394,DATABASE!$A:$B,2,0)),"")</f>
        <v/>
      </c>
      <c r="C1394" s="32">
        <f>IFERROR(IF(A1394="","",SUMIF(SAVINGS!$A$3:A1393,A1394,SAVINGS!$E$3:E1393)-SUMIF(WITHDRAWALS!$A:$A,A1394,WITHDRAWALS!$E:$E)),"")</f>
        <v/>
      </c>
      <c r="D1394" s="33">
        <f>IF(A1394="","",TODAY())</f>
        <v/>
      </c>
      <c r="E1394" s="29" t="n"/>
      <c r="F1394" s="32">
        <f>IFERROR(IF(OR(A1394="",E1394=""),"",C1394+E1394),"")</f>
        <v/>
      </c>
      <c r="G1394" s="30" t="n"/>
      <c r="H1394" s="31" t="n"/>
    </row>
    <row r="1395" ht="20" customHeight="1">
      <c r="A1395" s="26" t="n"/>
      <c r="B1395" s="27">
        <f>IFERROR(IF(A1395="","",VLOOKUP(A1395,DATABASE!$A:$B,2,0)),"")</f>
        <v/>
      </c>
      <c r="C1395" s="20">
        <f>IFERROR(IF(A1395="","",SUMIF(SAVINGS!$A$3:A1394,A1395,SAVINGS!$E$3:E1394)-SUMIF(WITHDRAWALS!$A:$A,A1395,WITHDRAWALS!$E:$E)),"")</f>
        <v/>
      </c>
      <c r="D1395" s="28">
        <f>IF(A1395="","",TODAY())</f>
        <v/>
      </c>
      <c r="E1395" s="29" t="n"/>
      <c r="F1395" s="20">
        <f>IFERROR(IF(OR(A1395="",E1395=""),"",C1395+E1395),"")</f>
        <v/>
      </c>
      <c r="G1395" s="30" t="n"/>
      <c r="H1395" s="27" t="n"/>
    </row>
    <row r="1396" ht="20" customHeight="1">
      <c r="A1396" s="26" t="n"/>
      <c r="B1396" s="31">
        <f>IFERROR(IF(A1396="","",VLOOKUP(A1396,DATABASE!$A:$B,2,0)),"")</f>
        <v/>
      </c>
      <c r="C1396" s="32">
        <f>IFERROR(IF(A1396="","",SUMIF(SAVINGS!$A$3:A1395,A1396,SAVINGS!$E$3:E1395)-SUMIF(WITHDRAWALS!$A:$A,A1396,WITHDRAWALS!$E:$E)),"")</f>
        <v/>
      </c>
      <c r="D1396" s="33">
        <f>IF(A1396="","",TODAY())</f>
        <v/>
      </c>
      <c r="E1396" s="29" t="n"/>
      <c r="F1396" s="32">
        <f>IFERROR(IF(OR(A1396="",E1396=""),"",C1396+E1396),"")</f>
        <v/>
      </c>
      <c r="G1396" s="30" t="n"/>
      <c r="H1396" s="31" t="n"/>
    </row>
    <row r="1397" ht="20" customHeight="1">
      <c r="A1397" s="26" t="n"/>
      <c r="B1397" s="27">
        <f>IFERROR(IF(A1397="","",VLOOKUP(A1397,DATABASE!$A:$B,2,0)),"")</f>
        <v/>
      </c>
      <c r="C1397" s="20">
        <f>IFERROR(IF(A1397="","",SUMIF(SAVINGS!$A$3:A1396,A1397,SAVINGS!$E$3:E1396)-SUMIF(WITHDRAWALS!$A:$A,A1397,WITHDRAWALS!$E:$E)),"")</f>
        <v/>
      </c>
      <c r="D1397" s="28">
        <f>IF(A1397="","",TODAY())</f>
        <v/>
      </c>
      <c r="E1397" s="29" t="n"/>
      <c r="F1397" s="20">
        <f>IFERROR(IF(OR(A1397="",E1397=""),"",C1397+E1397),"")</f>
        <v/>
      </c>
      <c r="G1397" s="30" t="n"/>
      <c r="H1397" s="27" t="n"/>
    </row>
    <row r="1398" ht="20" customHeight="1">
      <c r="A1398" s="26" t="n"/>
      <c r="B1398" s="31">
        <f>IFERROR(IF(A1398="","",VLOOKUP(A1398,DATABASE!$A:$B,2,0)),"")</f>
        <v/>
      </c>
      <c r="C1398" s="32">
        <f>IFERROR(IF(A1398="","",SUMIF(SAVINGS!$A$3:A1397,A1398,SAVINGS!$E$3:E1397)-SUMIF(WITHDRAWALS!$A:$A,A1398,WITHDRAWALS!$E:$E)),"")</f>
        <v/>
      </c>
      <c r="D1398" s="33">
        <f>IF(A1398="","",TODAY())</f>
        <v/>
      </c>
      <c r="E1398" s="29" t="n"/>
      <c r="F1398" s="32">
        <f>IFERROR(IF(OR(A1398="",E1398=""),"",C1398+E1398),"")</f>
        <v/>
      </c>
      <c r="G1398" s="30" t="n"/>
      <c r="H1398" s="31" t="n"/>
    </row>
    <row r="1399" ht="20" customHeight="1">
      <c r="A1399" s="26" t="n"/>
      <c r="B1399" s="27">
        <f>IFERROR(IF(A1399="","",VLOOKUP(A1399,DATABASE!$A:$B,2,0)),"")</f>
        <v/>
      </c>
      <c r="C1399" s="20">
        <f>IFERROR(IF(A1399="","",SUMIF(SAVINGS!$A$3:A1398,A1399,SAVINGS!$E$3:E1398)-SUMIF(WITHDRAWALS!$A:$A,A1399,WITHDRAWALS!$E:$E)),"")</f>
        <v/>
      </c>
      <c r="D1399" s="28">
        <f>IF(A1399="","",TODAY())</f>
        <v/>
      </c>
      <c r="E1399" s="29" t="n"/>
      <c r="F1399" s="20">
        <f>IFERROR(IF(OR(A1399="",E1399=""),"",C1399+E1399),"")</f>
        <v/>
      </c>
      <c r="G1399" s="30" t="n"/>
      <c r="H1399" s="27" t="n"/>
    </row>
    <row r="1400" ht="20" customHeight="1">
      <c r="A1400" s="26" t="n"/>
      <c r="B1400" s="31">
        <f>IFERROR(IF(A1400="","",VLOOKUP(A1400,DATABASE!$A:$B,2,0)),"")</f>
        <v/>
      </c>
      <c r="C1400" s="32">
        <f>IFERROR(IF(A1400="","",SUMIF(SAVINGS!$A$3:A1399,A1400,SAVINGS!$E$3:E1399)-SUMIF(WITHDRAWALS!$A:$A,A1400,WITHDRAWALS!$E:$E)),"")</f>
        <v/>
      </c>
      <c r="D1400" s="33">
        <f>IF(A1400="","",TODAY())</f>
        <v/>
      </c>
      <c r="E1400" s="29" t="n"/>
      <c r="F1400" s="32">
        <f>IFERROR(IF(OR(A1400="",E1400=""),"",C1400+E1400),"")</f>
        <v/>
      </c>
      <c r="G1400" s="30" t="n"/>
      <c r="H1400" s="31" t="n"/>
    </row>
    <row r="1401" ht="20" customHeight="1">
      <c r="A1401" s="26" t="n"/>
      <c r="B1401" s="27">
        <f>IFERROR(IF(A1401="","",VLOOKUP(A1401,DATABASE!$A:$B,2,0)),"")</f>
        <v/>
      </c>
      <c r="C1401" s="20">
        <f>IFERROR(IF(A1401="","",SUMIF(SAVINGS!$A$3:A1400,A1401,SAVINGS!$E$3:E1400)-SUMIF(WITHDRAWALS!$A:$A,A1401,WITHDRAWALS!$E:$E)),"")</f>
        <v/>
      </c>
      <c r="D1401" s="28">
        <f>IF(A1401="","",TODAY())</f>
        <v/>
      </c>
      <c r="E1401" s="29" t="n"/>
      <c r="F1401" s="20">
        <f>IFERROR(IF(OR(A1401="",E1401=""),"",C1401+E1401),"")</f>
        <v/>
      </c>
      <c r="G1401" s="30" t="n"/>
      <c r="H1401" s="27" t="n"/>
    </row>
    <row r="1402" ht="20" customHeight="1">
      <c r="A1402" s="26" t="n"/>
      <c r="B1402" s="31">
        <f>IFERROR(IF(A1402="","",VLOOKUP(A1402,DATABASE!$A:$B,2,0)),"")</f>
        <v/>
      </c>
      <c r="C1402" s="32">
        <f>IFERROR(IF(A1402="","",SUMIF(SAVINGS!$A$3:A1401,A1402,SAVINGS!$E$3:E1401)-SUMIF(WITHDRAWALS!$A:$A,A1402,WITHDRAWALS!$E:$E)),"")</f>
        <v/>
      </c>
      <c r="D1402" s="33">
        <f>IF(A1402="","",TODAY())</f>
        <v/>
      </c>
      <c r="E1402" s="29" t="n"/>
      <c r="F1402" s="32">
        <f>IFERROR(IF(OR(A1402="",E1402=""),"",C1402+E1402),"")</f>
        <v/>
      </c>
      <c r="G1402" s="30" t="n"/>
      <c r="H1402" s="31" t="n"/>
    </row>
    <row r="1403" ht="20" customHeight="1">
      <c r="A1403" s="26" t="n"/>
      <c r="B1403" s="27">
        <f>IFERROR(IF(A1403="","",VLOOKUP(A1403,DATABASE!$A:$B,2,0)),"")</f>
        <v/>
      </c>
      <c r="C1403" s="20">
        <f>IFERROR(IF(A1403="","",SUMIF(SAVINGS!$A$3:A1402,A1403,SAVINGS!$E$3:E1402)-SUMIF(WITHDRAWALS!$A:$A,A1403,WITHDRAWALS!$E:$E)),"")</f>
        <v/>
      </c>
      <c r="D1403" s="28">
        <f>IF(A1403="","",TODAY())</f>
        <v/>
      </c>
      <c r="E1403" s="29" t="n"/>
      <c r="F1403" s="20">
        <f>IFERROR(IF(OR(A1403="",E1403=""),"",C1403+E1403),"")</f>
        <v/>
      </c>
      <c r="G1403" s="30" t="n"/>
      <c r="H1403" s="27" t="n"/>
    </row>
    <row r="1404" ht="20" customHeight="1">
      <c r="A1404" s="26" t="n"/>
      <c r="B1404" s="31">
        <f>IFERROR(IF(A1404="","",VLOOKUP(A1404,DATABASE!$A:$B,2,0)),"")</f>
        <v/>
      </c>
      <c r="C1404" s="32">
        <f>IFERROR(IF(A1404="","",SUMIF(SAVINGS!$A$3:A1403,A1404,SAVINGS!$E$3:E1403)-SUMIF(WITHDRAWALS!$A:$A,A1404,WITHDRAWALS!$E:$E)),"")</f>
        <v/>
      </c>
      <c r="D1404" s="33">
        <f>IF(A1404="","",TODAY())</f>
        <v/>
      </c>
      <c r="E1404" s="29" t="n"/>
      <c r="F1404" s="32">
        <f>IFERROR(IF(OR(A1404="",E1404=""),"",C1404+E1404),"")</f>
        <v/>
      </c>
      <c r="G1404" s="30" t="n"/>
      <c r="H1404" s="31" t="n"/>
    </row>
    <row r="1405" ht="20" customHeight="1">
      <c r="A1405" s="26" t="n"/>
      <c r="B1405" s="27">
        <f>IFERROR(IF(A1405="","",VLOOKUP(A1405,DATABASE!$A:$B,2,0)),"")</f>
        <v/>
      </c>
      <c r="C1405" s="20">
        <f>IFERROR(IF(A1405="","",SUMIF(SAVINGS!$A$3:A1404,A1405,SAVINGS!$E$3:E1404)-SUMIF(WITHDRAWALS!$A:$A,A1405,WITHDRAWALS!$E:$E)),"")</f>
        <v/>
      </c>
      <c r="D1405" s="28">
        <f>IF(A1405="","",TODAY())</f>
        <v/>
      </c>
      <c r="E1405" s="29" t="n"/>
      <c r="F1405" s="20">
        <f>IFERROR(IF(OR(A1405="",E1405=""),"",C1405+E1405),"")</f>
        <v/>
      </c>
      <c r="G1405" s="30" t="n"/>
      <c r="H1405" s="27" t="n"/>
    </row>
    <row r="1406" ht="20" customHeight="1">
      <c r="A1406" s="26" t="n"/>
      <c r="B1406" s="31">
        <f>IFERROR(IF(A1406="","",VLOOKUP(A1406,DATABASE!$A:$B,2,0)),"")</f>
        <v/>
      </c>
      <c r="C1406" s="32">
        <f>IFERROR(IF(A1406="","",SUMIF(SAVINGS!$A$3:A1405,A1406,SAVINGS!$E$3:E1405)-SUMIF(WITHDRAWALS!$A:$A,A1406,WITHDRAWALS!$E:$E)),"")</f>
        <v/>
      </c>
      <c r="D1406" s="33">
        <f>IF(A1406="","",TODAY())</f>
        <v/>
      </c>
      <c r="E1406" s="29" t="n"/>
      <c r="F1406" s="32">
        <f>IFERROR(IF(OR(A1406="",E1406=""),"",C1406+E1406),"")</f>
        <v/>
      </c>
      <c r="G1406" s="30" t="n"/>
      <c r="H1406" s="31" t="n"/>
    </row>
    <row r="1407" ht="20" customHeight="1">
      <c r="A1407" s="26" t="n"/>
      <c r="B1407" s="27">
        <f>IFERROR(IF(A1407="","",VLOOKUP(A1407,DATABASE!$A:$B,2,0)),"")</f>
        <v/>
      </c>
      <c r="C1407" s="20">
        <f>IFERROR(IF(A1407="","",SUMIF(SAVINGS!$A$3:A1406,A1407,SAVINGS!$E$3:E1406)-SUMIF(WITHDRAWALS!$A:$A,A1407,WITHDRAWALS!$E:$E)),"")</f>
        <v/>
      </c>
      <c r="D1407" s="28">
        <f>IF(A1407="","",TODAY())</f>
        <v/>
      </c>
      <c r="E1407" s="29" t="n"/>
      <c r="F1407" s="20">
        <f>IFERROR(IF(OR(A1407="",E1407=""),"",C1407+E1407),"")</f>
        <v/>
      </c>
      <c r="G1407" s="30" t="n"/>
      <c r="H1407" s="27" t="n"/>
    </row>
    <row r="1408" ht="20" customHeight="1">
      <c r="A1408" s="26" t="n"/>
      <c r="B1408" s="31">
        <f>IFERROR(IF(A1408="","",VLOOKUP(A1408,DATABASE!$A:$B,2,0)),"")</f>
        <v/>
      </c>
      <c r="C1408" s="32">
        <f>IFERROR(IF(A1408="","",SUMIF(SAVINGS!$A$3:A1407,A1408,SAVINGS!$E$3:E1407)-SUMIF(WITHDRAWALS!$A:$A,A1408,WITHDRAWALS!$E:$E)),"")</f>
        <v/>
      </c>
      <c r="D1408" s="33">
        <f>IF(A1408="","",TODAY())</f>
        <v/>
      </c>
      <c r="E1408" s="29" t="n"/>
      <c r="F1408" s="32">
        <f>IFERROR(IF(OR(A1408="",E1408=""),"",C1408+E1408),"")</f>
        <v/>
      </c>
      <c r="G1408" s="30" t="n"/>
      <c r="H1408" s="31" t="n"/>
    </row>
    <row r="1409" ht="20" customHeight="1">
      <c r="A1409" s="26" t="n"/>
      <c r="B1409" s="27">
        <f>IFERROR(IF(A1409="","",VLOOKUP(A1409,DATABASE!$A:$B,2,0)),"")</f>
        <v/>
      </c>
      <c r="C1409" s="20">
        <f>IFERROR(IF(A1409="","",SUMIF(SAVINGS!$A$3:A1408,A1409,SAVINGS!$E$3:E1408)-SUMIF(WITHDRAWALS!$A:$A,A1409,WITHDRAWALS!$E:$E)),"")</f>
        <v/>
      </c>
      <c r="D1409" s="28">
        <f>IF(A1409="","",TODAY())</f>
        <v/>
      </c>
      <c r="E1409" s="29" t="n"/>
      <c r="F1409" s="20">
        <f>IFERROR(IF(OR(A1409="",E1409=""),"",C1409+E1409),"")</f>
        <v/>
      </c>
      <c r="G1409" s="30" t="n"/>
      <c r="H1409" s="27" t="n"/>
    </row>
    <row r="1410" ht="20" customHeight="1">
      <c r="A1410" s="26" t="n"/>
      <c r="B1410" s="31">
        <f>IFERROR(IF(A1410="","",VLOOKUP(A1410,DATABASE!$A:$B,2,0)),"")</f>
        <v/>
      </c>
      <c r="C1410" s="32">
        <f>IFERROR(IF(A1410="","",SUMIF(SAVINGS!$A$3:A1409,A1410,SAVINGS!$E$3:E1409)-SUMIF(WITHDRAWALS!$A:$A,A1410,WITHDRAWALS!$E:$E)),"")</f>
        <v/>
      </c>
      <c r="D1410" s="33">
        <f>IF(A1410="","",TODAY())</f>
        <v/>
      </c>
      <c r="E1410" s="29" t="n"/>
      <c r="F1410" s="32">
        <f>IFERROR(IF(OR(A1410="",E1410=""),"",C1410+E1410),"")</f>
        <v/>
      </c>
      <c r="G1410" s="30" t="n"/>
      <c r="H1410" s="31" t="n"/>
    </row>
    <row r="1411" ht="20" customHeight="1">
      <c r="A1411" s="26" t="n"/>
      <c r="B1411" s="27">
        <f>IFERROR(IF(A1411="","",VLOOKUP(A1411,DATABASE!$A:$B,2,0)),"")</f>
        <v/>
      </c>
      <c r="C1411" s="20">
        <f>IFERROR(IF(A1411="","",SUMIF(SAVINGS!$A$3:A1410,A1411,SAVINGS!$E$3:E1410)-SUMIF(WITHDRAWALS!$A:$A,A1411,WITHDRAWALS!$E:$E)),"")</f>
        <v/>
      </c>
      <c r="D1411" s="28">
        <f>IF(A1411="","",TODAY())</f>
        <v/>
      </c>
      <c r="E1411" s="29" t="n"/>
      <c r="F1411" s="20">
        <f>IFERROR(IF(OR(A1411="",E1411=""),"",C1411+E1411),"")</f>
        <v/>
      </c>
      <c r="G1411" s="30" t="n"/>
      <c r="H1411" s="27" t="n"/>
    </row>
    <row r="1412" ht="20" customHeight="1">
      <c r="A1412" s="26" t="n"/>
      <c r="B1412" s="31">
        <f>IFERROR(IF(A1412="","",VLOOKUP(A1412,DATABASE!$A:$B,2,0)),"")</f>
        <v/>
      </c>
      <c r="C1412" s="32">
        <f>IFERROR(IF(A1412="","",SUMIF(SAVINGS!$A$3:A1411,A1412,SAVINGS!$E$3:E1411)-SUMIF(WITHDRAWALS!$A:$A,A1412,WITHDRAWALS!$E:$E)),"")</f>
        <v/>
      </c>
      <c r="D1412" s="33">
        <f>IF(A1412="","",TODAY())</f>
        <v/>
      </c>
      <c r="E1412" s="29" t="n"/>
      <c r="F1412" s="32">
        <f>IFERROR(IF(OR(A1412="",E1412=""),"",C1412+E1412),"")</f>
        <v/>
      </c>
      <c r="G1412" s="30" t="n"/>
      <c r="H1412" s="31" t="n"/>
    </row>
    <row r="1413" ht="20" customHeight="1">
      <c r="A1413" s="26" t="n"/>
      <c r="B1413" s="27">
        <f>IFERROR(IF(A1413="","",VLOOKUP(A1413,DATABASE!$A:$B,2,0)),"")</f>
        <v/>
      </c>
      <c r="C1413" s="20">
        <f>IFERROR(IF(A1413="","",SUMIF(SAVINGS!$A$3:A1412,A1413,SAVINGS!$E$3:E1412)-SUMIF(WITHDRAWALS!$A:$A,A1413,WITHDRAWALS!$E:$E)),"")</f>
        <v/>
      </c>
      <c r="D1413" s="28">
        <f>IF(A1413="","",TODAY())</f>
        <v/>
      </c>
      <c r="E1413" s="29" t="n"/>
      <c r="F1413" s="20">
        <f>IFERROR(IF(OR(A1413="",E1413=""),"",C1413+E1413),"")</f>
        <v/>
      </c>
      <c r="G1413" s="30" t="n"/>
      <c r="H1413" s="27" t="n"/>
    </row>
    <row r="1414" ht="20" customHeight="1">
      <c r="A1414" s="26" t="n"/>
      <c r="B1414" s="31">
        <f>IFERROR(IF(A1414="","",VLOOKUP(A1414,DATABASE!$A:$B,2,0)),"")</f>
        <v/>
      </c>
      <c r="C1414" s="32">
        <f>IFERROR(IF(A1414="","",SUMIF(SAVINGS!$A$3:A1413,A1414,SAVINGS!$E$3:E1413)-SUMIF(WITHDRAWALS!$A:$A,A1414,WITHDRAWALS!$E:$E)),"")</f>
        <v/>
      </c>
      <c r="D1414" s="33">
        <f>IF(A1414="","",TODAY())</f>
        <v/>
      </c>
      <c r="E1414" s="29" t="n"/>
      <c r="F1414" s="32">
        <f>IFERROR(IF(OR(A1414="",E1414=""),"",C1414+E1414),"")</f>
        <v/>
      </c>
      <c r="G1414" s="30" t="n"/>
      <c r="H1414" s="31" t="n"/>
    </row>
    <row r="1415" ht="20" customHeight="1">
      <c r="A1415" s="26" t="n"/>
      <c r="B1415" s="27">
        <f>IFERROR(IF(A1415="","",VLOOKUP(A1415,DATABASE!$A:$B,2,0)),"")</f>
        <v/>
      </c>
      <c r="C1415" s="20">
        <f>IFERROR(IF(A1415="","",SUMIF(SAVINGS!$A$3:A1414,A1415,SAVINGS!$E$3:E1414)-SUMIF(WITHDRAWALS!$A:$A,A1415,WITHDRAWALS!$E:$E)),"")</f>
        <v/>
      </c>
      <c r="D1415" s="28">
        <f>IF(A1415="","",TODAY())</f>
        <v/>
      </c>
      <c r="E1415" s="29" t="n"/>
      <c r="F1415" s="20">
        <f>IFERROR(IF(OR(A1415="",E1415=""),"",C1415+E1415),"")</f>
        <v/>
      </c>
      <c r="G1415" s="30" t="n"/>
      <c r="H1415" s="27" t="n"/>
    </row>
    <row r="1416" ht="20" customHeight="1">
      <c r="A1416" s="26" t="n"/>
      <c r="B1416" s="31">
        <f>IFERROR(IF(A1416="","",VLOOKUP(A1416,DATABASE!$A:$B,2,0)),"")</f>
        <v/>
      </c>
      <c r="C1416" s="32">
        <f>IFERROR(IF(A1416="","",SUMIF(SAVINGS!$A$3:A1415,A1416,SAVINGS!$E$3:E1415)-SUMIF(WITHDRAWALS!$A:$A,A1416,WITHDRAWALS!$E:$E)),"")</f>
        <v/>
      </c>
      <c r="D1416" s="33">
        <f>IF(A1416="","",TODAY())</f>
        <v/>
      </c>
      <c r="E1416" s="29" t="n"/>
      <c r="F1416" s="32">
        <f>IFERROR(IF(OR(A1416="",E1416=""),"",C1416+E1416),"")</f>
        <v/>
      </c>
      <c r="G1416" s="30" t="n"/>
      <c r="H1416" s="31" t="n"/>
    </row>
    <row r="1417" ht="20" customHeight="1">
      <c r="A1417" s="26" t="n"/>
      <c r="B1417" s="27">
        <f>IFERROR(IF(A1417="","",VLOOKUP(A1417,DATABASE!$A:$B,2,0)),"")</f>
        <v/>
      </c>
      <c r="C1417" s="20">
        <f>IFERROR(IF(A1417="","",SUMIF(SAVINGS!$A$3:A1416,A1417,SAVINGS!$E$3:E1416)-SUMIF(WITHDRAWALS!$A:$A,A1417,WITHDRAWALS!$E:$E)),"")</f>
        <v/>
      </c>
      <c r="D1417" s="28">
        <f>IF(A1417="","",TODAY())</f>
        <v/>
      </c>
      <c r="E1417" s="29" t="n"/>
      <c r="F1417" s="20">
        <f>IFERROR(IF(OR(A1417="",E1417=""),"",C1417+E1417),"")</f>
        <v/>
      </c>
      <c r="G1417" s="30" t="n"/>
      <c r="H1417" s="27" t="n"/>
    </row>
    <row r="1418" ht="20" customHeight="1">
      <c r="A1418" s="26" t="n"/>
      <c r="B1418" s="31">
        <f>IFERROR(IF(A1418="","",VLOOKUP(A1418,DATABASE!$A:$B,2,0)),"")</f>
        <v/>
      </c>
      <c r="C1418" s="32">
        <f>IFERROR(IF(A1418="","",SUMIF(SAVINGS!$A$3:A1417,A1418,SAVINGS!$E$3:E1417)-SUMIF(WITHDRAWALS!$A:$A,A1418,WITHDRAWALS!$E:$E)),"")</f>
        <v/>
      </c>
      <c r="D1418" s="33">
        <f>IF(A1418="","",TODAY())</f>
        <v/>
      </c>
      <c r="E1418" s="29" t="n"/>
      <c r="F1418" s="32">
        <f>IFERROR(IF(OR(A1418="",E1418=""),"",C1418+E1418),"")</f>
        <v/>
      </c>
      <c r="G1418" s="30" t="n"/>
      <c r="H1418" s="31" t="n"/>
    </row>
    <row r="1419" ht="20" customHeight="1">
      <c r="A1419" s="26" t="n"/>
      <c r="B1419" s="27">
        <f>IFERROR(IF(A1419="","",VLOOKUP(A1419,DATABASE!$A:$B,2,0)),"")</f>
        <v/>
      </c>
      <c r="C1419" s="20">
        <f>IFERROR(IF(A1419="","",SUMIF(SAVINGS!$A$3:A1418,A1419,SAVINGS!$E$3:E1418)-SUMIF(WITHDRAWALS!$A:$A,A1419,WITHDRAWALS!$E:$E)),"")</f>
        <v/>
      </c>
      <c r="D1419" s="28">
        <f>IF(A1419="","",TODAY())</f>
        <v/>
      </c>
      <c r="E1419" s="29" t="n"/>
      <c r="F1419" s="20">
        <f>IFERROR(IF(OR(A1419="",E1419=""),"",C1419+E1419),"")</f>
        <v/>
      </c>
      <c r="G1419" s="30" t="n"/>
      <c r="H1419" s="27" t="n"/>
    </row>
    <row r="1420" ht="20" customHeight="1">
      <c r="A1420" s="26" t="n"/>
      <c r="B1420" s="31">
        <f>IFERROR(IF(A1420="","",VLOOKUP(A1420,DATABASE!$A:$B,2,0)),"")</f>
        <v/>
      </c>
      <c r="C1420" s="32">
        <f>IFERROR(IF(A1420="","",SUMIF(SAVINGS!$A$3:A1419,A1420,SAVINGS!$E$3:E1419)-SUMIF(WITHDRAWALS!$A:$A,A1420,WITHDRAWALS!$E:$E)),"")</f>
        <v/>
      </c>
      <c r="D1420" s="33">
        <f>IF(A1420="","",TODAY())</f>
        <v/>
      </c>
      <c r="E1420" s="29" t="n"/>
      <c r="F1420" s="32">
        <f>IFERROR(IF(OR(A1420="",E1420=""),"",C1420+E1420),"")</f>
        <v/>
      </c>
      <c r="G1420" s="30" t="n"/>
      <c r="H1420" s="31" t="n"/>
    </row>
    <row r="1421" ht="20" customHeight="1">
      <c r="A1421" s="26" t="n"/>
      <c r="B1421" s="27">
        <f>IFERROR(IF(A1421="","",VLOOKUP(A1421,DATABASE!$A:$B,2,0)),"")</f>
        <v/>
      </c>
      <c r="C1421" s="20">
        <f>IFERROR(IF(A1421="","",SUMIF(SAVINGS!$A$3:A1420,A1421,SAVINGS!$E$3:E1420)-SUMIF(WITHDRAWALS!$A:$A,A1421,WITHDRAWALS!$E:$E)),"")</f>
        <v/>
      </c>
      <c r="D1421" s="28">
        <f>IF(A1421="","",TODAY())</f>
        <v/>
      </c>
      <c r="E1421" s="29" t="n"/>
      <c r="F1421" s="20">
        <f>IFERROR(IF(OR(A1421="",E1421=""),"",C1421+E1421),"")</f>
        <v/>
      </c>
      <c r="G1421" s="30" t="n"/>
      <c r="H1421" s="27" t="n"/>
    </row>
    <row r="1422" ht="20" customHeight="1">
      <c r="A1422" s="26" t="n"/>
      <c r="B1422" s="31">
        <f>IFERROR(IF(A1422="","",VLOOKUP(A1422,DATABASE!$A:$B,2,0)),"")</f>
        <v/>
      </c>
      <c r="C1422" s="32">
        <f>IFERROR(IF(A1422="","",SUMIF(SAVINGS!$A$3:A1421,A1422,SAVINGS!$E$3:E1421)-SUMIF(WITHDRAWALS!$A:$A,A1422,WITHDRAWALS!$E:$E)),"")</f>
        <v/>
      </c>
      <c r="D1422" s="33">
        <f>IF(A1422="","",TODAY())</f>
        <v/>
      </c>
      <c r="E1422" s="29" t="n"/>
      <c r="F1422" s="32">
        <f>IFERROR(IF(OR(A1422="",E1422=""),"",C1422+E1422),"")</f>
        <v/>
      </c>
      <c r="G1422" s="30" t="n"/>
      <c r="H1422" s="31" t="n"/>
    </row>
    <row r="1423" ht="20" customHeight="1">
      <c r="A1423" s="26" t="n"/>
      <c r="B1423" s="27">
        <f>IFERROR(IF(A1423="","",VLOOKUP(A1423,DATABASE!$A:$B,2,0)),"")</f>
        <v/>
      </c>
      <c r="C1423" s="20">
        <f>IFERROR(IF(A1423="","",SUMIF(SAVINGS!$A$3:A1422,A1423,SAVINGS!$E$3:E1422)-SUMIF(WITHDRAWALS!$A:$A,A1423,WITHDRAWALS!$E:$E)),"")</f>
        <v/>
      </c>
      <c r="D1423" s="28">
        <f>IF(A1423="","",TODAY())</f>
        <v/>
      </c>
      <c r="E1423" s="29" t="n"/>
      <c r="F1423" s="20">
        <f>IFERROR(IF(OR(A1423="",E1423=""),"",C1423+E1423),"")</f>
        <v/>
      </c>
      <c r="G1423" s="30" t="n"/>
      <c r="H1423" s="27" t="n"/>
    </row>
    <row r="1424" ht="20" customHeight="1">
      <c r="A1424" s="26" t="n"/>
      <c r="B1424" s="31">
        <f>IFERROR(IF(A1424="","",VLOOKUP(A1424,DATABASE!$A:$B,2,0)),"")</f>
        <v/>
      </c>
      <c r="C1424" s="32">
        <f>IFERROR(IF(A1424="","",SUMIF(SAVINGS!$A$3:A1423,A1424,SAVINGS!$E$3:E1423)-SUMIF(WITHDRAWALS!$A:$A,A1424,WITHDRAWALS!$E:$E)),"")</f>
        <v/>
      </c>
      <c r="D1424" s="33">
        <f>IF(A1424="","",TODAY())</f>
        <v/>
      </c>
      <c r="E1424" s="29" t="n"/>
      <c r="F1424" s="32">
        <f>IFERROR(IF(OR(A1424="",E1424=""),"",C1424+E1424),"")</f>
        <v/>
      </c>
      <c r="G1424" s="30" t="n"/>
      <c r="H1424" s="31" t="n"/>
    </row>
    <row r="1425" ht="20" customHeight="1">
      <c r="A1425" s="26" t="n"/>
      <c r="B1425" s="27">
        <f>IFERROR(IF(A1425="","",VLOOKUP(A1425,DATABASE!$A:$B,2,0)),"")</f>
        <v/>
      </c>
      <c r="C1425" s="20">
        <f>IFERROR(IF(A1425="","",SUMIF(SAVINGS!$A$3:A1424,A1425,SAVINGS!$E$3:E1424)-SUMIF(WITHDRAWALS!$A:$A,A1425,WITHDRAWALS!$E:$E)),"")</f>
        <v/>
      </c>
      <c r="D1425" s="28">
        <f>IF(A1425="","",TODAY())</f>
        <v/>
      </c>
      <c r="E1425" s="29" t="n"/>
      <c r="F1425" s="20">
        <f>IFERROR(IF(OR(A1425="",E1425=""),"",C1425+E1425),"")</f>
        <v/>
      </c>
      <c r="G1425" s="30" t="n"/>
      <c r="H1425" s="27" t="n"/>
    </row>
    <row r="1426" ht="20" customHeight="1">
      <c r="A1426" s="26" t="n"/>
      <c r="B1426" s="31">
        <f>IFERROR(IF(A1426="","",VLOOKUP(A1426,DATABASE!$A:$B,2,0)),"")</f>
        <v/>
      </c>
      <c r="C1426" s="32">
        <f>IFERROR(IF(A1426="","",SUMIF(SAVINGS!$A$3:A1425,A1426,SAVINGS!$E$3:E1425)-SUMIF(WITHDRAWALS!$A:$A,A1426,WITHDRAWALS!$E:$E)),"")</f>
        <v/>
      </c>
      <c r="D1426" s="33">
        <f>IF(A1426="","",TODAY())</f>
        <v/>
      </c>
      <c r="E1426" s="29" t="n"/>
      <c r="F1426" s="32">
        <f>IFERROR(IF(OR(A1426="",E1426=""),"",C1426+E1426),"")</f>
        <v/>
      </c>
      <c r="G1426" s="30" t="n"/>
      <c r="H1426" s="31" t="n"/>
    </row>
    <row r="1427" ht="20" customHeight="1">
      <c r="A1427" s="26" t="n"/>
      <c r="B1427" s="27">
        <f>IFERROR(IF(A1427="","",VLOOKUP(A1427,DATABASE!$A:$B,2,0)),"")</f>
        <v/>
      </c>
      <c r="C1427" s="20">
        <f>IFERROR(IF(A1427="","",SUMIF(SAVINGS!$A$3:A1426,A1427,SAVINGS!$E$3:E1426)-SUMIF(WITHDRAWALS!$A:$A,A1427,WITHDRAWALS!$E:$E)),"")</f>
        <v/>
      </c>
      <c r="D1427" s="28">
        <f>IF(A1427="","",TODAY())</f>
        <v/>
      </c>
      <c r="E1427" s="29" t="n"/>
      <c r="F1427" s="20">
        <f>IFERROR(IF(OR(A1427="",E1427=""),"",C1427+E1427),"")</f>
        <v/>
      </c>
      <c r="G1427" s="30" t="n"/>
      <c r="H1427" s="27" t="n"/>
    </row>
    <row r="1428" ht="20" customHeight="1">
      <c r="A1428" s="26" t="n"/>
      <c r="B1428" s="31">
        <f>IFERROR(IF(A1428="","",VLOOKUP(A1428,DATABASE!$A:$B,2,0)),"")</f>
        <v/>
      </c>
      <c r="C1428" s="32">
        <f>IFERROR(IF(A1428="","",SUMIF(SAVINGS!$A$3:A1427,A1428,SAVINGS!$E$3:E1427)-SUMIF(WITHDRAWALS!$A:$A,A1428,WITHDRAWALS!$E:$E)),"")</f>
        <v/>
      </c>
      <c r="D1428" s="33">
        <f>IF(A1428="","",TODAY())</f>
        <v/>
      </c>
      <c r="E1428" s="29" t="n"/>
      <c r="F1428" s="32">
        <f>IFERROR(IF(OR(A1428="",E1428=""),"",C1428+E1428),"")</f>
        <v/>
      </c>
      <c r="G1428" s="30" t="n"/>
      <c r="H1428" s="31" t="n"/>
    </row>
    <row r="1429" ht="20" customHeight="1">
      <c r="A1429" s="26" t="n"/>
      <c r="B1429" s="27">
        <f>IFERROR(IF(A1429="","",VLOOKUP(A1429,DATABASE!$A:$B,2,0)),"")</f>
        <v/>
      </c>
      <c r="C1429" s="20">
        <f>IFERROR(IF(A1429="","",SUMIF(SAVINGS!$A$3:A1428,A1429,SAVINGS!$E$3:E1428)-SUMIF(WITHDRAWALS!$A:$A,A1429,WITHDRAWALS!$E:$E)),"")</f>
        <v/>
      </c>
      <c r="D1429" s="28">
        <f>IF(A1429="","",TODAY())</f>
        <v/>
      </c>
      <c r="E1429" s="29" t="n"/>
      <c r="F1429" s="20">
        <f>IFERROR(IF(OR(A1429="",E1429=""),"",C1429+E1429),"")</f>
        <v/>
      </c>
      <c r="G1429" s="30" t="n"/>
      <c r="H1429" s="27" t="n"/>
    </row>
    <row r="1430" ht="20" customHeight="1">
      <c r="A1430" s="26" t="n"/>
      <c r="B1430" s="31">
        <f>IFERROR(IF(A1430="","",VLOOKUP(A1430,DATABASE!$A:$B,2,0)),"")</f>
        <v/>
      </c>
      <c r="C1430" s="32">
        <f>IFERROR(IF(A1430="","",SUMIF(SAVINGS!$A$3:A1429,A1430,SAVINGS!$E$3:E1429)-SUMIF(WITHDRAWALS!$A:$A,A1430,WITHDRAWALS!$E:$E)),"")</f>
        <v/>
      </c>
      <c r="D1430" s="33">
        <f>IF(A1430="","",TODAY())</f>
        <v/>
      </c>
      <c r="E1430" s="29" t="n"/>
      <c r="F1430" s="32">
        <f>IFERROR(IF(OR(A1430="",E1430=""),"",C1430+E1430),"")</f>
        <v/>
      </c>
      <c r="G1430" s="30" t="n"/>
      <c r="H1430" s="31" t="n"/>
    </row>
    <row r="1431" ht="20" customHeight="1">
      <c r="A1431" s="26" t="n"/>
      <c r="B1431" s="27">
        <f>IFERROR(IF(A1431="","",VLOOKUP(A1431,DATABASE!$A:$B,2,0)),"")</f>
        <v/>
      </c>
      <c r="C1431" s="20">
        <f>IFERROR(IF(A1431="","",SUMIF(SAVINGS!$A$3:A1430,A1431,SAVINGS!$E$3:E1430)-SUMIF(WITHDRAWALS!$A:$A,A1431,WITHDRAWALS!$E:$E)),"")</f>
        <v/>
      </c>
      <c r="D1431" s="28">
        <f>IF(A1431="","",TODAY())</f>
        <v/>
      </c>
      <c r="E1431" s="29" t="n"/>
      <c r="F1431" s="20">
        <f>IFERROR(IF(OR(A1431="",E1431=""),"",C1431+E1431),"")</f>
        <v/>
      </c>
      <c r="G1431" s="30" t="n"/>
      <c r="H1431" s="27" t="n"/>
    </row>
    <row r="1432" ht="20" customHeight="1">
      <c r="A1432" s="26" t="n"/>
      <c r="B1432" s="31">
        <f>IFERROR(IF(A1432="","",VLOOKUP(A1432,DATABASE!$A:$B,2,0)),"")</f>
        <v/>
      </c>
      <c r="C1432" s="32">
        <f>IFERROR(IF(A1432="","",SUMIF(SAVINGS!$A$3:A1431,A1432,SAVINGS!$E$3:E1431)-SUMIF(WITHDRAWALS!$A:$A,A1432,WITHDRAWALS!$E:$E)),"")</f>
        <v/>
      </c>
      <c r="D1432" s="33">
        <f>IF(A1432="","",TODAY())</f>
        <v/>
      </c>
      <c r="E1432" s="29" t="n"/>
      <c r="F1432" s="32">
        <f>IFERROR(IF(OR(A1432="",E1432=""),"",C1432+E1432),"")</f>
        <v/>
      </c>
      <c r="G1432" s="30" t="n"/>
      <c r="H1432" s="31" t="n"/>
    </row>
    <row r="1433" ht="20" customHeight="1">
      <c r="A1433" s="26" t="n"/>
      <c r="B1433" s="27">
        <f>IFERROR(IF(A1433="","",VLOOKUP(A1433,DATABASE!$A:$B,2,0)),"")</f>
        <v/>
      </c>
      <c r="C1433" s="20">
        <f>IFERROR(IF(A1433="","",SUMIF(SAVINGS!$A$3:A1432,A1433,SAVINGS!$E$3:E1432)-SUMIF(WITHDRAWALS!$A:$A,A1433,WITHDRAWALS!$E:$E)),"")</f>
        <v/>
      </c>
      <c r="D1433" s="28">
        <f>IF(A1433="","",TODAY())</f>
        <v/>
      </c>
      <c r="E1433" s="29" t="n"/>
      <c r="F1433" s="20">
        <f>IFERROR(IF(OR(A1433="",E1433=""),"",C1433+E1433),"")</f>
        <v/>
      </c>
      <c r="G1433" s="30" t="n"/>
      <c r="H1433" s="27" t="n"/>
    </row>
    <row r="1434" ht="20" customHeight="1">
      <c r="A1434" s="26" t="n"/>
      <c r="B1434" s="31">
        <f>IFERROR(IF(A1434="","",VLOOKUP(A1434,DATABASE!$A:$B,2,0)),"")</f>
        <v/>
      </c>
      <c r="C1434" s="32">
        <f>IFERROR(IF(A1434="","",SUMIF(SAVINGS!$A$3:A1433,A1434,SAVINGS!$E$3:E1433)-SUMIF(WITHDRAWALS!$A:$A,A1434,WITHDRAWALS!$E:$E)),"")</f>
        <v/>
      </c>
      <c r="D1434" s="33">
        <f>IF(A1434="","",TODAY())</f>
        <v/>
      </c>
      <c r="E1434" s="29" t="n"/>
      <c r="F1434" s="32">
        <f>IFERROR(IF(OR(A1434="",E1434=""),"",C1434+E1434),"")</f>
        <v/>
      </c>
      <c r="G1434" s="30" t="n"/>
      <c r="H1434" s="31" t="n"/>
    </row>
    <row r="1435" ht="20" customHeight="1">
      <c r="A1435" s="26" t="n"/>
      <c r="B1435" s="27">
        <f>IFERROR(IF(A1435="","",VLOOKUP(A1435,DATABASE!$A:$B,2,0)),"")</f>
        <v/>
      </c>
      <c r="C1435" s="20">
        <f>IFERROR(IF(A1435="","",SUMIF(SAVINGS!$A$3:A1434,A1435,SAVINGS!$E$3:E1434)-SUMIF(WITHDRAWALS!$A:$A,A1435,WITHDRAWALS!$E:$E)),"")</f>
        <v/>
      </c>
      <c r="D1435" s="28">
        <f>IF(A1435="","",TODAY())</f>
        <v/>
      </c>
      <c r="E1435" s="29" t="n"/>
      <c r="F1435" s="20">
        <f>IFERROR(IF(OR(A1435="",E1435=""),"",C1435+E1435),"")</f>
        <v/>
      </c>
      <c r="G1435" s="30" t="n"/>
      <c r="H1435" s="27" t="n"/>
    </row>
    <row r="1436" ht="20" customHeight="1">
      <c r="A1436" s="26" t="n"/>
      <c r="B1436" s="31">
        <f>IFERROR(IF(A1436="","",VLOOKUP(A1436,DATABASE!$A:$B,2,0)),"")</f>
        <v/>
      </c>
      <c r="C1436" s="32">
        <f>IFERROR(IF(A1436="","",SUMIF(SAVINGS!$A$3:A1435,A1436,SAVINGS!$E$3:E1435)-SUMIF(WITHDRAWALS!$A:$A,A1436,WITHDRAWALS!$E:$E)),"")</f>
        <v/>
      </c>
      <c r="D1436" s="33">
        <f>IF(A1436="","",TODAY())</f>
        <v/>
      </c>
      <c r="E1436" s="29" t="n"/>
      <c r="F1436" s="32">
        <f>IFERROR(IF(OR(A1436="",E1436=""),"",C1436+E1436),"")</f>
        <v/>
      </c>
      <c r="G1436" s="30" t="n"/>
      <c r="H1436" s="31" t="n"/>
    </row>
    <row r="1437" ht="20" customHeight="1">
      <c r="A1437" s="26" t="n"/>
      <c r="B1437" s="27">
        <f>IFERROR(IF(A1437="","",VLOOKUP(A1437,DATABASE!$A:$B,2,0)),"")</f>
        <v/>
      </c>
      <c r="C1437" s="20">
        <f>IFERROR(IF(A1437="","",SUMIF(SAVINGS!$A$3:A1436,A1437,SAVINGS!$E$3:E1436)-SUMIF(WITHDRAWALS!$A:$A,A1437,WITHDRAWALS!$E:$E)),"")</f>
        <v/>
      </c>
      <c r="D1437" s="28">
        <f>IF(A1437="","",TODAY())</f>
        <v/>
      </c>
      <c r="E1437" s="29" t="n"/>
      <c r="F1437" s="20">
        <f>IFERROR(IF(OR(A1437="",E1437=""),"",C1437+E1437),"")</f>
        <v/>
      </c>
      <c r="G1437" s="30" t="n"/>
      <c r="H1437" s="27" t="n"/>
    </row>
    <row r="1438" ht="20" customHeight="1">
      <c r="A1438" s="26" t="n"/>
      <c r="B1438" s="31">
        <f>IFERROR(IF(A1438="","",VLOOKUP(A1438,DATABASE!$A:$B,2,0)),"")</f>
        <v/>
      </c>
      <c r="C1438" s="32">
        <f>IFERROR(IF(A1438="","",SUMIF(SAVINGS!$A$3:A1437,A1438,SAVINGS!$E$3:E1437)-SUMIF(WITHDRAWALS!$A:$A,A1438,WITHDRAWALS!$E:$E)),"")</f>
        <v/>
      </c>
      <c r="D1438" s="33">
        <f>IF(A1438="","",TODAY())</f>
        <v/>
      </c>
      <c r="E1438" s="29" t="n"/>
      <c r="F1438" s="32">
        <f>IFERROR(IF(OR(A1438="",E1438=""),"",C1438+E1438),"")</f>
        <v/>
      </c>
      <c r="G1438" s="30" t="n"/>
      <c r="H1438" s="31" t="n"/>
    </row>
    <row r="1439" ht="20" customHeight="1">
      <c r="A1439" s="26" t="n"/>
      <c r="B1439" s="27">
        <f>IFERROR(IF(A1439="","",VLOOKUP(A1439,DATABASE!$A:$B,2,0)),"")</f>
        <v/>
      </c>
      <c r="C1439" s="20">
        <f>IFERROR(IF(A1439="","",SUMIF(SAVINGS!$A$3:A1438,A1439,SAVINGS!$E$3:E1438)-SUMIF(WITHDRAWALS!$A:$A,A1439,WITHDRAWALS!$E:$E)),"")</f>
        <v/>
      </c>
      <c r="D1439" s="28">
        <f>IF(A1439="","",TODAY())</f>
        <v/>
      </c>
      <c r="E1439" s="29" t="n"/>
      <c r="F1439" s="20">
        <f>IFERROR(IF(OR(A1439="",E1439=""),"",C1439+E1439),"")</f>
        <v/>
      </c>
      <c r="G1439" s="30" t="n"/>
      <c r="H1439" s="27" t="n"/>
    </row>
    <row r="1440" ht="20" customHeight="1">
      <c r="A1440" s="26" t="n"/>
      <c r="B1440" s="31">
        <f>IFERROR(IF(A1440="","",VLOOKUP(A1440,DATABASE!$A:$B,2,0)),"")</f>
        <v/>
      </c>
      <c r="C1440" s="32">
        <f>IFERROR(IF(A1440="","",SUMIF(SAVINGS!$A$3:A1439,A1440,SAVINGS!$E$3:E1439)-SUMIF(WITHDRAWALS!$A:$A,A1440,WITHDRAWALS!$E:$E)),"")</f>
        <v/>
      </c>
      <c r="D1440" s="33">
        <f>IF(A1440="","",TODAY())</f>
        <v/>
      </c>
      <c r="E1440" s="29" t="n"/>
      <c r="F1440" s="32">
        <f>IFERROR(IF(OR(A1440="",E1440=""),"",C1440+E1440),"")</f>
        <v/>
      </c>
      <c r="G1440" s="30" t="n"/>
      <c r="H1440" s="31" t="n"/>
    </row>
    <row r="1441" ht="20" customHeight="1">
      <c r="A1441" s="26" t="n"/>
      <c r="B1441" s="27">
        <f>IFERROR(IF(A1441="","",VLOOKUP(A1441,DATABASE!$A:$B,2,0)),"")</f>
        <v/>
      </c>
      <c r="C1441" s="20">
        <f>IFERROR(IF(A1441="","",SUMIF(SAVINGS!$A$3:A1440,A1441,SAVINGS!$E$3:E1440)-SUMIF(WITHDRAWALS!$A:$A,A1441,WITHDRAWALS!$E:$E)),"")</f>
        <v/>
      </c>
      <c r="D1441" s="28">
        <f>IF(A1441="","",TODAY())</f>
        <v/>
      </c>
      <c r="E1441" s="29" t="n"/>
      <c r="F1441" s="20">
        <f>IFERROR(IF(OR(A1441="",E1441=""),"",C1441+E1441),"")</f>
        <v/>
      </c>
      <c r="G1441" s="30" t="n"/>
      <c r="H1441" s="27" t="n"/>
    </row>
    <row r="1442" ht="20" customHeight="1">
      <c r="A1442" s="26" t="n"/>
      <c r="B1442" s="31">
        <f>IFERROR(IF(A1442="","",VLOOKUP(A1442,DATABASE!$A:$B,2,0)),"")</f>
        <v/>
      </c>
      <c r="C1442" s="32">
        <f>IFERROR(IF(A1442="","",SUMIF(SAVINGS!$A$3:A1441,A1442,SAVINGS!$E$3:E1441)-SUMIF(WITHDRAWALS!$A:$A,A1442,WITHDRAWALS!$E:$E)),"")</f>
        <v/>
      </c>
      <c r="D1442" s="33">
        <f>IF(A1442="","",TODAY())</f>
        <v/>
      </c>
      <c r="E1442" s="29" t="n"/>
      <c r="F1442" s="32">
        <f>IFERROR(IF(OR(A1442="",E1442=""),"",C1442+E1442),"")</f>
        <v/>
      </c>
      <c r="G1442" s="30" t="n"/>
      <c r="H1442" s="31" t="n"/>
    </row>
    <row r="1443" ht="20" customHeight="1">
      <c r="A1443" s="26" t="n"/>
      <c r="B1443" s="27">
        <f>IFERROR(IF(A1443="","",VLOOKUP(A1443,DATABASE!$A:$B,2,0)),"")</f>
        <v/>
      </c>
      <c r="C1443" s="20">
        <f>IFERROR(IF(A1443="","",SUMIF(SAVINGS!$A$3:A1442,A1443,SAVINGS!$E$3:E1442)-SUMIF(WITHDRAWALS!$A:$A,A1443,WITHDRAWALS!$E:$E)),"")</f>
        <v/>
      </c>
      <c r="D1443" s="28">
        <f>IF(A1443="","",TODAY())</f>
        <v/>
      </c>
      <c r="E1443" s="29" t="n"/>
      <c r="F1443" s="20">
        <f>IFERROR(IF(OR(A1443="",E1443=""),"",C1443+E1443),"")</f>
        <v/>
      </c>
      <c r="G1443" s="30" t="n"/>
      <c r="H1443" s="27" t="n"/>
    </row>
    <row r="1444" ht="20" customHeight="1">
      <c r="A1444" s="26" t="n"/>
      <c r="B1444" s="31">
        <f>IFERROR(IF(A1444="","",VLOOKUP(A1444,DATABASE!$A:$B,2,0)),"")</f>
        <v/>
      </c>
      <c r="C1444" s="32">
        <f>IFERROR(IF(A1444="","",SUMIF(SAVINGS!$A$3:A1443,A1444,SAVINGS!$E$3:E1443)-SUMIF(WITHDRAWALS!$A:$A,A1444,WITHDRAWALS!$E:$E)),"")</f>
        <v/>
      </c>
      <c r="D1444" s="33">
        <f>IF(A1444="","",TODAY())</f>
        <v/>
      </c>
      <c r="E1444" s="29" t="n"/>
      <c r="F1444" s="32">
        <f>IFERROR(IF(OR(A1444="",E1444=""),"",C1444+E1444),"")</f>
        <v/>
      </c>
      <c r="G1444" s="30" t="n"/>
      <c r="H1444" s="31" t="n"/>
    </row>
    <row r="1445" ht="20" customHeight="1">
      <c r="A1445" s="26" t="n"/>
      <c r="B1445" s="27">
        <f>IFERROR(IF(A1445="","",VLOOKUP(A1445,DATABASE!$A:$B,2,0)),"")</f>
        <v/>
      </c>
      <c r="C1445" s="20">
        <f>IFERROR(IF(A1445="","",SUMIF(SAVINGS!$A$3:A1444,A1445,SAVINGS!$E$3:E1444)-SUMIF(WITHDRAWALS!$A:$A,A1445,WITHDRAWALS!$E:$E)),"")</f>
        <v/>
      </c>
      <c r="D1445" s="28">
        <f>IF(A1445="","",TODAY())</f>
        <v/>
      </c>
      <c r="E1445" s="29" t="n"/>
      <c r="F1445" s="20">
        <f>IFERROR(IF(OR(A1445="",E1445=""),"",C1445+E1445),"")</f>
        <v/>
      </c>
      <c r="G1445" s="30" t="n"/>
      <c r="H1445" s="27" t="n"/>
    </row>
    <row r="1446" ht="20" customHeight="1">
      <c r="A1446" s="26" t="n"/>
      <c r="B1446" s="31">
        <f>IFERROR(IF(A1446="","",VLOOKUP(A1446,DATABASE!$A:$B,2,0)),"")</f>
        <v/>
      </c>
      <c r="C1446" s="32">
        <f>IFERROR(IF(A1446="","",SUMIF(SAVINGS!$A$3:A1445,A1446,SAVINGS!$E$3:E1445)-SUMIF(WITHDRAWALS!$A:$A,A1446,WITHDRAWALS!$E:$E)),"")</f>
        <v/>
      </c>
      <c r="D1446" s="33">
        <f>IF(A1446="","",TODAY())</f>
        <v/>
      </c>
      <c r="E1446" s="29" t="n"/>
      <c r="F1446" s="32">
        <f>IFERROR(IF(OR(A1446="",E1446=""),"",C1446+E1446),"")</f>
        <v/>
      </c>
      <c r="G1446" s="30" t="n"/>
      <c r="H1446" s="31" t="n"/>
    </row>
    <row r="1447" ht="20" customHeight="1">
      <c r="A1447" s="26" t="n"/>
      <c r="B1447" s="27">
        <f>IFERROR(IF(A1447="","",VLOOKUP(A1447,DATABASE!$A:$B,2,0)),"")</f>
        <v/>
      </c>
      <c r="C1447" s="20">
        <f>IFERROR(IF(A1447="","",SUMIF(SAVINGS!$A$3:A1446,A1447,SAVINGS!$E$3:E1446)-SUMIF(WITHDRAWALS!$A:$A,A1447,WITHDRAWALS!$E:$E)),"")</f>
        <v/>
      </c>
      <c r="D1447" s="28">
        <f>IF(A1447="","",TODAY())</f>
        <v/>
      </c>
      <c r="E1447" s="29" t="n"/>
      <c r="F1447" s="20">
        <f>IFERROR(IF(OR(A1447="",E1447=""),"",C1447+E1447),"")</f>
        <v/>
      </c>
      <c r="G1447" s="30" t="n"/>
      <c r="H1447" s="27" t="n"/>
    </row>
    <row r="1448" ht="20" customHeight="1">
      <c r="A1448" s="26" t="n"/>
      <c r="B1448" s="31">
        <f>IFERROR(IF(A1448="","",VLOOKUP(A1448,DATABASE!$A:$B,2,0)),"")</f>
        <v/>
      </c>
      <c r="C1448" s="32">
        <f>IFERROR(IF(A1448="","",SUMIF(SAVINGS!$A$3:A1447,A1448,SAVINGS!$E$3:E1447)-SUMIF(WITHDRAWALS!$A:$A,A1448,WITHDRAWALS!$E:$E)),"")</f>
        <v/>
      </c>
      <c r="D1448" s="33">
        <f>IF(A1448="","",TODAY())</f>
        <v/>
      </c>
      <c r="E1448" s="29" t="n"/>
      <c r="F1448" s="32">
        <f>IFERROR(IF(OR(A1448="",E1448=""),"",C1448+E1448),"")</f>
        <v/>
      </c>
      <c r="G1448" s="30" t="n"/>
      <c r="H1448" s="31" t="n"/>
    </row>
    <row r="1449" ht="20" customHeight="1">
      <c r="A1449" s="26" t="n"/>
      <c r="B1449" s="27">
        <f>IFERROR(IF(A1449="","",VLOOKUP(A1449,DATABASE!$A:$B,2,0)),"")</f>
        <v/>
      </c>
      <c r="C1449" s="20">
        <f>IFERROR(IF(A1449="","",SUMIF(SAVINGS!$A$3:A1448,A1449,SAVINGS!$E$3:E1448)-SUMIF(WITHDRAWALS!$A:$A,A1449,WITHDRAWALS!$E:$E)),"")</f>
        <v/>
      </c>
      <c r="D1449" s="28">
        <f>IF(A1449="","",TODAY())</f>
        <v/>
      </c>
      <c r="E1449" s="29" t="n"/>
      <c r="F1449" s="20">
        <f>IFERROR(IF(OR(A1449="",E1449=""),"",C1449+E1449),"")</f>
        <v/>
      </c>
      <c r="G1449" s="30" t="n"/>
      <c r="H1449" s="27" t="n"/>
    </row>
    <row r="1450" ht="20" customHeight="1">
      <c r="A1450" s="26" t="n"/>
      <c r="B1450" s="31">
        <f>IFERROR(IF(A1450="","",VLOOKUP(A1450,DATABASE!$A:$B,2,0)),"")</f>
        <v/>
      </c>
      <c r="C1450" s="32">
        <f>IFERROR(IF(A1450="","",SUMIF(SAVINGS!$A$3:A1449,A1450,SAVINGS!$E$3:E1449)-SUMIF(WITHDRAWALS!$A:$A,A1450,WITHDRAWALS!$E:$E)),"")</f>
        <v/>
      </c>
      <c r="D1450" s="33">
        <f>IF(A1450="","",TODAY())</f>
        <v/>
      </c>
      <c r="E1450" s="29" t="n"/>
      <c r="F1450" s="32">
        <f>IFERROR(IF(OR(A1450="",E1450=""),"",C1450+E1450),"")</f>
        <v/>
      </c>
      <c r="G1450" s="30" t="n"/>
      <c r="H1450" s="31" t="n"/>
    </row>
    <row r="1451" ht="20" customHeight="1">
      <c r="A1451" s="26" t="n"/>
      <c r="B1451" s="27">
        <f>IFERROR(IF(A1451="","",VLOOKUP(A1451,DATABASE!$A:$B,2,0)),"")</f>
        <v/>
      </c>
      <c r="C1451" s="20">
        <f>IFERROR(IF(A1451="","",SUMIF(SAVINGS!$A$3:A1450,A1451,SAVINGS!$E$3:E1450)-SUMIF(WITHDRAWALS!$A:$A,A1451,WITHDRAWALS!$E:$E)),"")</f>
        <v/>
      </c>
      <c r="D1451" s="28">
        <f>IF(A1451="","",TODAY())</f>
        <v/>
      </c>
      <c r="E1451" s="29" t="n"/>
      <c r="F1451" s="20">
        <f>IFERROR(IF(OR(A1451="",E1451=""),"",C1451+E1451),"")</f>
        <v/>
      </c>
      <c r="G1451" s="30" t="n"/>
      <c r="H1451" s="27" t="n"/>
    </row>
    <row r="1452" ht="20" customHeight="1">
      <c r="A1452" s="26" t="n"/>
      <c r="B1452" s="31">
        <f>IFERROR(IF(A1452="","",VLOOKUP(A1452,DATABASE!$A:$B,2,0)),"")</f>
        <v/>
      </c>
      <c r="C1452" s="32">
        <f>IFERROR(IF(A1452="","",SUMIF(SAVINGS!$A$3:A1451,A1452,SAVINGS!$E$3:E1451)-SUMIF(WITHDRAWALS!$A:$A,A1452,WITHDRAWALS!$E:$E)),"")</f>
        <v/>
      </c>
      <c r="D1452" s="33">
        <f>IF(A1452="","",TODAY())</f>
        <v/>
      </c>
      <c r="E1452" s="29" t="n"/>
      <c r="F1452" s="32">
        <f>IFERROR(IF(OR(A1452="",E1452=""),"",C1452+E1452),"")</f>
        <v/>
      </c>
      <c r="G1452" s="30" t="n"/>
      <c r="H1452" s="31" t="n"/>
    </row>
    <row r="1453" ht="20" customHeight="1">
      <c r="A1453" s="26" t="n"/>
      <c r="B1453" s="27">
        <f>IFERROR(IF(A1453="","",VLOOKUP(A1453,DATABASE!$A:$B,2,0)),"")</f>
        <v/>
      </c>
      <c r="C1453" s="20">
        <f>IFERROR(IF(A1453="","",SUMIF(SAVINGS!$A$3:A1452,A1453,SAVINGS!$E$3:E1452)-SUMIF(WITHDRAWALS!$A:$A,A1453,WITHDRAWALS!$E:$E)),"")</f>
        <v/>
      </c>
      <c r="D1453" s="28">
        <f>IF(A1453="","",TODAY())</f>
        <v/>
      </c>
      <c r="E1453" s="29" t="n"/>
      <c r="F1453" s="20">
        <f>IFERROR(IF(OR(A1453="",E1453=""),"",C1453+E1453),"")</f>
        <v/>
      </c>
      <c r="G1453" s="30" t="n"/>
      <c r="H1453" s="27" t="n"/>
    </row>
    <row r="1454" ht="20" customHeight="1">
      <c r="A1454" s="26" t="n"/>
      <c r="B1454" s="31">
        <f>IFERROR(IF(A1454="","",VLOOKUP(A1454,DATABASE!$A:$B,2,0)),"")</f>
        <v/>
      </c>
      <c r="C1454" s="32">
        <f>IFERROR(IF(A1454="","",SUMIF(SAVINGS!$A$3:A1453,A1454,SAVINGS!$E$3:E1453)-SUMIF(WITHDRAWALS!$A:$A,A1454,WITHDRAWALS!$E:$E)),"")</f>
        <v/>
      </c>
      <c r="D1454" s="33">
        <f>IF(A1454="","",TODAY())</f>
        <v/>
      </c>
      <c r="E1454" s="29" t="n"/>
      <c r="F1454" s="32">
        <f>IFERROR(IF(OR(A1454="",E1454=""),"",C1454+E1454),"")</f>
        <v/>
      </c>
      <c r="G1454" s="30" t="n"/>
      <c r="H1454" s="31" t="n"/>
    </row>
    <row r="1455" ht="20" customHeight="1">
      <c r="A1455" s="26" t="n"/>
      <c r="B1455" s="27">
        <f>IFERROR(IF(A1455="","",VLOOKUP(A1455,DATABASE!$A:$B,2,0)),"")</f>
        <v/>
      </c>
      <c r="C1455" s="20">
        <f>IFERROR(IF(A1455="","",SUMIF(SAVINGS!$A$3:A1454,A1455,SAVINGS!$E$3:E1454)-SUMIF(WITHDRAWALS!$A:$A,A1455,WITHDRAWALS!$E:$E)),"")</f>
        <v/>
      </c>
      <c r="D1455" s="28">
        <f>IF(A1455="","",TODAY())</f>
        <v/>
      </c>
      <c r="E1455" s="29" t="n"/>
      <c r="F1455" s="20">
        <f>IFERROR(IF(OR(A1455="",E1455=""),"",C1455+E1455),"")</f>
        <v/>
      </c>
      <c r="G1455" s="30" t="n"/>
      <c r="H1455" s="27" t="n"/>
    </row>
    <row r="1456" ht="20" customHeight="1">
      <c r="A1456" s="26" t="n"/>
      <c r="B1456" s="31">
        <f>IFERROR(IF(A1456="","",VLOOKUP(A1456,DATABASE!$A:$B,2,0)),"")</f>
        <v/>
      </c>
      <c r="C1456" s="32">
        <f>IFERROR(IF(A1456="","",SUMIF(SAVINGS!$A$3:A1455,A1456,SAVINGS!$E$3:E1455)-SUMIF(WITHDRAWALS!$A:$A,A1456,WITHDRAWALS!$E:$E)),"")</f>
        <v/>
      </c>
      <c r="D1456" s="33">
        <f>IF(A1456="","",TODAY())</f>
        <v/>
      </c>
      <c r="E1456" s="29" t="n"/>
      <c r="F1456" s="32">
        <f>IFERROR(IF(OR(A1456="",E1456=""),"",C1456+E1456),"")</f>
        <v/>
      </c>
      <c r="G1456" s="30" t="n"/>
      <c r="H1456" s="31" t="n"/>
    </row>
    <row r="1457" ht="20" customHeight="1">
      <c r="A1457" s="26" t="n"/>
      <c r="B1457" s="27">
        <f>IFERROR(IF(A1457="","",VLOOKUP(A1457,DATABASE!$A:$B,2,0)),"")</f>
        <v/>
      </c>
      <c r="C1457" s="20">
        <f>IFERROR(IF(A1457="","",SUMIF(SAVINGS!$A$3:A1456,A1457,SAVINGS!$E$3:E1456)-SUMIF(WITHDRAWALS!$A:$A,A1457,WITHDRAWALS!$E:$E)),"")</f>
        <v/>
      </c>
      <c r="D1457" s="28">
        <f>IF(A1457="","",TODAY())</f>
        <v/>
      </c>
      <c r="E1457" s="29" t="n"/>
      <c r="F1457" s="20">
        <f>IFERROR(IF(OR(A1457="",E1457=""),"",C1457+E1457),"")</f>
        <v/>
      </c>
      <c r="G1457" s="30" t="n"/>
      <c r="H1457" s="27" t="n"/>
    </row>
    <row r="1458" ht="20" customHeight="1">
      <c r="A1458" s="26" t="n"/>
      <c r="B1458" s="31">
        <f>IFERROR(IF(A1458="","",VLOOKUP(A1458,DATABASE!$A:$B,2,0)),"")</f>
        <v/>
      </c>
      <c r="C1458" s="32">
        <f>IFERROR(IF(A1458="","",SUMIF(SAVINGS!$A$3:A1457,A1458,SAVINGS!$E$3:E1457)-SUMIF(WITHDRAWALS!$A:$A,A1458,WITHDRAWALS!$E:$E)),"")</f>
        <v/>
      </c>
      <c r="D1458" s="33">
        <f>IF(A1458="","",TODAY())</f>
        <v/>
      </c>
      <c r="E1458" s="29" t="n"/>
      <c r="F1458" s="32">
        <f>IFERROR(IF(OR(A1458="",E1458=""),"",C1458+E1458),"")</f>
        <v/>
      </c>
      <c r="G1458" s="30" t="n"/>
      <c r="H1458" s="31" t="n"/>
    </row>
    <row r="1459" ht="20" customHeight="1">
      <c r="A1459" s="26" t="n"/>
      <c r="B1459" s="27">
        <f>IFERROR(IF(A1459="","",VLOOKUP(A1459,DATABASE!$A:$B,2,0)),"")</f>
        <v/>
      </c>
      <c r="C1459" s="20">
        <f>IFERROR(IF(A1459="","",SUMIF(SAVINGS!$A$3:A1458,A1459,SAVINGS!$E$3:E1458)-SUMIF(WITHDRAWALS!$A:$A,A1459,WITHDRAWALS!$E:$E)),"")</f>
        <v/>
      </c>
      <c r="D1459" s="28">
        <f>IF(A1459="","",TODAY())</f>
        <v/>
      </c>
      <c r="E1459" s="29" t="n"/>
      <c r="F1459" s="20">
        <f>IFERROR(IF(OR(A1459="",E1459=""),"",C1459+E1459),"")</f>
        <v/>
      </c>
      <c r="G1459" s="30" t="n"/>
      <c r="H1459" s="27" t="n"/>
    </row>
    <row r="1460" ht="20" customHeight="1">
      <c r="A1460" s="26" t="n"/>
      <c r="B1460" s="31">
        <f>IFERROR(IF(A1460="","",VLOOKUP(A1460,DATABASE!$A:$B,2,0)),"")</f>
        <v/>
      </c>
      <c r="C1460" s="32">
        <f>IFERROR(IF(A1460="","",SUMIF(SAVINGS!$A$3:A1459,A1460,SAVINGS!$E$3:E1459)-SUMIF(WITHDRAWALS!$A:$A,A1460,WITHDRAWALS!$E:$E)),"")</f>
        <v/>
      </c>
      <c r="D1460" s="33">
        <f>IF(A1460="","",TODAY())</f>
        <v/>
      </c>
      <c r="E1460" s="29" t="n"/>
      <c r="F1460" s="32">
        <f>IFERROR(IF(OR(A1460="",E1460=""),"",C1460+E1460),"")</f>
        <v/>
      </c>
      <c r="G1460" s="30" t="n"/>
      <c r="H1460" s="31" t="n"/>
    </row>
    <row r="1461" ht="20" customHeight="1">
      <c r="A1461" s="26" t="n"/>
      <c r="B1461" s="27">
        <f>IFERROR(IF(A1461="","",VLOOKUP(A1461,DATABASE!$A:$B,2,0)),"")</f>
        <v/>
      </c>
      <c r="C1461" s="20">
        <f>IFERROR(IF(A1461="","",SUMIF(SAVINGS!$A$3:A1460,A1461,SAVINGS!$E$3:E1460)-SUMIF(WITHDRAWALS!$A:$A,A1461,WITHDRAWALS!$E:$E)),"")</f>
        <v/>
      </c>
      <c r="D1461" s="28">
        <f>IF(A1461="","",TODAY())</f>
        <v/>
      </c>
      <c r="E1461" s="29" t="n"/>
      <c r="F1461" s="20">
        <f>IFERROR(IF(OR(A1461="",E1461=""),"",C1461+E1461),"")</f>
        <v/>
      </c>
      <c r="G1461" s="30" t="n"/>
      <c r="H1461" s="27" t="n"/>
    </row>
    <row r="1462" ht="20" customHeight="1">
      <c r="A1462" s="26" t="n"/>
      <c r="B1462" s="31">
        <f>IFERROR(IF(A1462="","",VLOOKUP(A1462,DATABASE!$A:$B,2,0)),"")</f>
        <v/>
      </c>
      <c r="C1462" s="32">
        <f>IFERROR(IF(A1462="","",SUMIF(SAVINGS!$A$3:A1461,A1462,SAVINGS!$E$3:E1461)-SUMIF(WITHDRAWALS!$A:$A,A1462,WITHDRAWALS!$E:$E)),"")</f>
        <v/>
      </c>
      <c r="D1462" s="33">
        <f>IF(A1462="","",TODAY())</f>
        <v/>
      </c>
      <c r="E1462" s="29" t="n"/>
      <c r="F1462" s="32">
        <f>IFERROR(IF(OR(A1462="",E1462=""),"",C1462+E1462),"")</f>
        <v/>
      </c>
      <c r="G1462" s="30" t="n"/>
      <c r="H1462" s="31" t="n"/>
    </row>
    <row r="1463" ht="20" customHeight="1">
      <c r="A1463" s="26" t="n"/>
      <c r="B1463" s="27">
        <f>IFERROR(IF(A1463="","",VLOOKUP(A1463,DATABASE!$A:$B,2,0)),"")</f>
        <v/>
      </c>
      <c r="C1463" s="20">
        <f>IFERROR(IF(A1463="","",SUMIF(SAVINGS!$A$3:A1462,A1463,SAVINGS!$E$3:E1462)-SUMIF(WITHDRAWALS!$A:$A,A1463,WITHDRAWALS!$E:$E)),"")</f>
        <v/>
      </c>
      <c r="D1463" s="28">
        <f>IF(A1463="","",TODAY())</f>
        <v/>
      </c>
      <c r="E1463" s="29" t="n"/>
      <c r="F1463" s="20">
        <f>IFERROR(IF(OR(A1463="",E1463=""),"",C1463+E1463),"")</f>
        <v/>
      </c>
      <c r="G1463" s="30" t="n"/>
      <c r="H1463" s="27" t="n"/>
    </row>
    <row r="1464" ht="20" customHeight="1">
      <c r="A1464" s="26" t="n"/>
      <c r="B1464" s="31">
        <f>IFERROR(IF(A1464="","",VLOOKUP(A1464,DATABASE!$A:$B,2,0)),"")</f>
        <v/>
      </c>
      <c r="C1464" s="32">
        <f>IFERROR(IF(A1464="","",SUMIF(SAVINGS!$A$3:A1463,A1464,SAVINGS!$E$3:E1463)-SUMIF(WITHDRAWALS!$A:$A,A1464,WITHDRAWALS!$E:$E)),"")</f>
        <v/>
      </c>
      <c r="D1464" s="33">
        <f>IF(A1464="","",TODAY())</f>
        <v/>
      </c>
      <c r="E1464" s="29" t="n"/>
      <c r="F1464" s="32">
        <f>IFERROR(IF(OR(A1464="",E1464=""),"",C1464+E1464),"")</f>
        <v/>
      </c>
      <c r="G1464" s="30" t="n"/>
      <c r="H1464" s="31" t="n"/>
    </row>
    <row r="1465" ht="20" customHeight="1">
      <c r="A1465" s="26" t="n"/>
      <c r="B1465" s="27">
        <f>IFERROR(IF(A1465="","",VLOOKUP(A1465,DATABASE!$A:$B,2,0)),"")</f>
        <v/>
      </c>
      <c r="C1465" s="20">
        <f>IFERROR(IF(A1465="","",SUMIF(SAVINGS!$A$3:A1464,A1465,SAVINGS!$E$3:E1464)-SUMIF(WITHDRAWALS!$A:$A,A1465,WITHDRAWALS!$E:$E)),"")</f>
        <v/>
      </c>
      <c r="D1465" s="28">
        <f>IF(A1465="","",TODAY())</f>
        <v/>
      </c>
      <c r="E1465" s="29" t="n"/>
      <c r="F1465" s="20">
        <f>IFERROR(IF(OR(A1465="",E1465=""),"",C1465+E1465),"")</f>
        <v/>
      </c>
      <c r="G1465" s="30" t="n"/>
      <c r="H1465" s="27" t="n"/>
    </row>
    <row r="1466" ht="20" customHeight="1">
      <c r="A1466" s="26" t="n"/>
      <c r="B1466" s="31">
        <f>IFERROR(IF(A1466="","",VLOOKUP(A1466,DATABASE!$A:$B,2,0)),"")</f>
        <v/>
      </c>
      <c r="C1466" s="32">
        <f>IFERROR(IF(A1466="","",SUMIF(SAVINGS!$A$3:A1465,A1466,SAVINGS!$E$3:E1465)-SUMIF(WITHDRAWALS!$A:$A,A1466,WITHDRAWALS!$E:$E)),"")</f>
        <v/>
      </c>
      <c r="D1466" s="33">
        <f>IF(A1466="","",TODAY())</f>
        <v/>
      </c>
      <c r="E1466" s="29" t="n"/>
      <c r="F1466" s="32">
        <f>IFERROR(IF(OR(A1466="",E1466=""),"",C1466+E1466),"")</f>
        <v/>
      </c>
      <c r="G1466" s="30" t="n"/>
      <c r="H1466" s="31" t="n"/>
    </row>
    <row r="1467" ht="20" customHeight="1">
      <c r="A1467" s="26" t="n"/>
      <c r="B1467" s="27">
        <f>IFERROR(IF(A1467="","",VLOOKUP(A1467,DATABASE!$A:$B,2,0)),"")</f>
        <v/>
      </c>
      <c r="C1467" s="20">
        <f>IFERROR(IF(A1467="","",SUMIF(SAVINGS!$A$3:A1466,A1467,SAVINGS!$E$3:E1466)-SUMIF(WITHDRAWALS!$A:$A,A1467,WITHDRAWALS!$E:$E)),"")</f>
        <v/>
      </c>
      <c r="D1467" s="28">
        <f>IF(A1467="","",TODAY())</f>
        <v/>
      </c>
      <c r="E1467" s="29" t="n"/>
      <c r="F1467" s="20">
        <f>IFERROR(IF(OR(A1467="",E1467=""),"",C1467+E1467),"")</f>
        <v/>
      </c>
      <c r="G1467" s="30" t="n"/>
      <c r="H1467" s="27" t="n"/>
    </row>
    <row r="1468" ht="20" customHeight="1">
      <c r="A1468" s="26" t="n"/>
      <c r="B1468" s="31">
        <f>IFERROR(IF(A1468="","",VLOOKUP(A1468,DATABASE!$A:$B,2,0)),"")</f>
        <v/>
      </c>
      <c r="C1468" s="32">
        <f>IFERROR(IF(A1468="","",SUMIF(SAVINGS!$A$3:A1467,A1468,SAVINGS!$E$3:E1467)-SUMIF(WITHDRAWALS!$A:$A,A1468,WITHDRAWALS!$E:$E)),"")</f>
        <v/>
      </c>
      <c r="D1468" s="33">
        <f>IF(A1468="","",TODAY())</f>
        <v/>
      </c>
      <c r="E1468" s="29" t="n"/>
      <c r="F1468" s="32">
        <f>IFERROR(IF(OR(A1468="",E1468=""),"",C1468+E1468),"")</f>
        <v/>
      </c>
      <c r="G1468" s="30" t="n"/>
      <c r="H1468" s="31" t="n"/>
    </row>
    <row r="1469" ht="20" customHeight="1">
      <c r="A1469" s="26" t="n"/>
      <c r="B1469" s="27">
        <f>IFERROR(IF(A1469="","",VLOOKUP(A1469,DATABASE!$A:$B,2,0)),"")</f>
        <v/>
      </c>
      <c r="C1469" s="20">
        <f>IFERROR(IF(A1469="","",SUMIF(SAVINGS!$A$3:A1468,A1469,SAVINGS!$E$3:E1468)-SUMIF(WITHDRAWALS!$A:$A,A1469,WITHDRAWALS!$E:$E)),"")</f>
        <v/>
      </c>
      <c r="D1469" s="28">
        <f>IF(A1469="","",TODAY())</f>
        <v/>
      </c>
      <c r="E1469" s="29" t="n"/>
      <c r="F1469" s="20">
        <f>IFERROR(IF(OR(A1469="",E1469=""),"",C1469+E1469),"")</f>
        <v/>
      </c>
      <c r="G1469" s="30" t="n"/>
      <c r="H1469" s="27" t="n"/>
    </row>
    <row r="1470" ht="20" customHeight="1">
      <c r="A1470" s="26" t="n"/>
      <c r="B1470" s="31">
        <f>IFERROR(IF(A1470="","",VLOOKUP(A1470,DATABASE!$A:$B,2,0)),"")</f>
        <v/>
      </c>
      <c r="C1470" s="32">
        <f>IFERROR(IF(A1470="","",SUMIF(SAVINGS!$A$3:A1469,A1470,SAVINGS!$E$3:E1469)-SUMIF(WITHDRAWALS!$A:$A,A1470,WITHDRAWALS!$E:$E)),"")</f>
        <v/>
      </c>
      <c r="D1470" s="33">
        <f>IF(A1470="","",TODAY())</f>
        <v/>
      </c>
      <c r="E1470" s="29" t="n"/>
      <c r="F1470" s="32">
        <f>IFERROR(IF(OR(A1470="",E1470=""),"",C1470+E1470),"")</f>
        <v/>
      </c>
      <c r="G1470" s="30" t="n"/>
      <c r="H1470" s="31" t="n"/>
    </row>
    <row r="1471" ht="20" customHeight="1">
      <c r="A1471" s="26" t="n"/>
      <c r="B1471" s="27">
        <f>IFERROR(IF(A1471="","",VLOOKUP(A1471,DATABASE!$A:$B,2,0)),"")</f>
        <v/>
      </c>
      <c r="C1471" s="20">
        <f>IFERROR(IF(A1471="","",SUMIF(SAVINGS!$A$3:A1470,A1471,SAVINGS!$E$3:E1470)-SUMIF(WITHDRAWALS!$A:$A,A1471,WITHDRAWALS!$E:$E)),"")</f>
        <v/>
      </c>
      <c r="D1471" s="28">
        <f>IF(A1471="","",TODAY())</f>
        <v/>
      </c>
      <c r="E1471" s="29" t="n"/>
      <c r="F1471" s="20">
        <f>IFERROR(IF(OR(A1471="",E1471=""),"",C1471+E1471),"")</f>
        <v/>
      </c>
      <c r="G1471" s="30" t="n"/>
      <c r="H1471" s="27" t="n"/>
    </row>
    <row r="1472" ht="20" customHeight="1">
      <c r="A1472" s="26" t="n"/>
      <c r="B1472" s="31">
        <f>IFERROR(IF(A1472="","",VLOOKUP(A1472,DATABASE!$A:$B,2,0)),"")</f>
        <v/>
      </c>
      <c r="C1472" s="32">
        <f>IFERROR(IF(A1472="","",SUMIF(SAVINGS!$A$3:A1471,A1472,SAVINGS!$E$3:E1471)-SUMIF(WITHDRAWALS!$A:$A,A1472,WITHDRAWALS!$E:$E)),"")</f>
        <v/>
      </c>
      <c r="D1472" s="33">
        <f>IF(A1472="","",TODAY())</f>
        <v/>
      </c>
      <c r="E1472" s="29" t="n"/>
      <c r="F1472" s="32">
        <f>IFERROR(IF(OR(A1472="",E1472=""),"",C1472+E1472),"")</f>
        <v/>
      </c>
      <c r="G1472" s="30" t="n"/>
      <c r="H1472" s="31" t="n"/>
    </row>
    <row r="1473" ht="20" customHeight="1">
      <c r="A1473" s="26" t="n"/>
      <c r="B1473" s="27">
        <f>IFERROR(IF(A1473="","",VLOOKUP(A1473,DATABASE!$A:$B,2,0)),"")</f>
        <v/>
      </c>
      <c r="C1473" s="20">
        <f>IFERROR(IF(A1473="","",SUMIF(SAVINGS!$A$3:A1472,A1473,SAVINGS!$E$3:E1472)-SUMIF(WITHDRAWALS!$A:$A,A1473,WITHDRAWALS!$E:$E)),"")</f>
        <v/>
      </c>
      <c r="D1473" s="28">
        <f>IF(A1473="","",TODAY())</f>
        <v/>
      </c>
      <c r="E1473" s="29" t="n"/>
      <c r="F1473" s="20">
        <f>IFERROR(IF(OR(A1473="",E1473=""),"",C1473+E1473),"")</f>
        <v/>
      </c>
      <c r="G1473" s="30" t="n"/>
      <c r="H1473" s="27" t="n"/>
    </row>
    <row r="1474" ht="20" customHeight="1">
      <c r="A1474" s="26" t="n"/>
      <c r="B1474" s="31">
        <f>IFERROR(IF(A1474="","",VLOOKUP(A1474,DATABASE!$A:$B,2,0)),"")</f>
        <v/>
      </c>
      <c r="C1474" s="32">
        <f>IFERROR(IF(A1474="","",SUMIF(SAVINGS!$A$3:A1473,A1474,SAVINGS!$E$3:E1473)-SUMIF(WITHDRAWALS!$A:$A,A1474,WITHDRAWALS!$E:$E)),"")</f>
        <v/>
      </c>
      <c r="D1474" s="33">
        <f>IF(A1474="","",TODAY())</f>
        <v/>
      </c>
      <c r="E1474" s="29" t="n"/>
      <c r="F1474" s="32">
        <f>IFERROR(IF(OR(A1474="",E1474=""),"",C1474+E1474),"")</f>
        <v/>
      </c>
      <c r="G1474" s="30" t="n"/>
      <c r="H1474" s="31" t="n"/>
    </row>
    <row r="1475" ht="20" customHeight="1">
      <c r="A1475" s="26" t="n"/>
      <c r="B1475" s="27">
        <f>IFERROR(IF(A1475="","",VLOOKUP(A1475,DATABASE!$A:$B,2,0)),"")</f>
        <v/>
      </c>
      <c r="C1475" s="20">
        <f>IFERROR(IF(A1475="","",SUMIF(SAVINGS!$A$3:A1474,A1475,SAVINGS!$E$3:E1474)-SUMIF(WITHDRAWALS!$A:$A,A1475,WITHDRAWALS!$E:$E)),"")</f>
        <v/>
      </c>
      <c r="D1475" s="28">
        <f>IF(A1475="","",TODAY())</f>
        <v/>
      </c>
      <c r="E1475" s="29" t="n"/>
      <c r="F1475" s="20">
        <f>IFERROR(IF(OR(A1475="",E1475=""),"",C1475+E1475),"")</f>
        <v/>
      </c>
      <c r="G1475" s="30" t="n"/>
      <c r="H1475" s="27" t="n"/>
    </row>
    <row r="1476" ht="20" customHeight="1">
      <c r="A1476" s="26" t="n"/>
      <c r="B1476" s="31">
        <f>IFERROR(IF(A1476="","",VLOOKUP(A1476,DATABASE!$A:$B,2,0)),"")</f>
        <v/>
      </c>
      <c r="C1476" s="32">
        <f>IFERROR(IF(A1476="","",SUMIF(SAVINGS!$A$3:A1475,A1476,SAVINGS!$E$3:E1475)-SUMIF(WITHDRAWALS!$A:$A,A1476,WITHDRAWALS!$E:$E)),"")</f>
        <v/>
      </c>
      <c r="D1476" s="33">
        <f>IF(A1476="","",TODAY())</f>
        <v/>
      </c>
      <c r="E1476" s="29" t="n"/>
      <c r="F1476" s="32">
        <f>IFERROR(IF(OR(A1476="",E1476=""),"",C1476+E1476),"")</f>
        <v/>
      </c>
      <c r="G1476" s="30" t="n"/>
      <c r="H1476" s="31" t="n"/>
    </row>
    <row r="1477" ht="20" customHeight="1">
      <c r="A1477" s="26" t="n"/>
      <c r="B1477" s="27">
        <f>IFERROR(IF(A1477="","",VLOOKUP(A1477,DATABASE!$A:$B,2,0)),"")</f>
        <v/>
      </c>
      <c r="C1477" s="20">
        <f>IFERROR(IF(A1477="","",SUMIF(SAVINGS!$A$3:A1476,A1477,SAVINGS!$E$3:E1476)-SUMIF(WITHDRAWALS!$A:$A,A1477,WITHDRAWALS!$E:$E)),"")</f>
        <v/>
      </c>
      <c r="D1477" s="28">
        <f>IF(A1477="","",TODAY())</f>
        <v/>
      </c>
      <c r="E1477" s="29" t="n"/>
      <c r="F1477" s="20">
        <f>IFERROR(IF(OR(A1477="",E1477=""),"",C1477+E1477),"")</f>
        <v/>
      </c>
      <c r="G1477" s="30" t="n"/>
      <c r="H1477" s="27" t="n"/>
    </row>
    <row r="1478" ht="20" customHeight="1">
      <c r="A1478" s="26" t="n"/>
      <c r="B1478" s="31">
        <f>IFERROR(IF(A1478="","",VLOOKUP(A1478,DATABASE!$A:$B,2,0)),"")</f>
        <v/>
      </c>
      <c r="C1478" s="32">
        <f>IFERROR(IF(A1478="","",SUMIF(SAVINGS!$A$3:A1477,A1478,SAVINGS!$E$3:E1477)-SUMIF(WITHDRAWALS!$A:$A,A1478,WITHDRAWALS!$E:$E)),"")</f>
        <v/>
      </c>
      <c r="D1478" s="33">
        <f>IF(A1478="","",TODAY())</f>
        <v/>
      </c>
      <c r="E1478" s="29" t="n"/>
      <c r="F1478" s="32">
        <f>IFERROR(IF(OR(A1478="",E1478=""),"",C1478+E1478),"")</f>
        <v/>
      </c>
      <c r="G1478" s="30" t="n"/>
      <c r="H1478" s="31" t="n"/>
    </row>
    <row r="1479" ht="20" customHeight="1">
      <c r="A1479" s="26" t="n"/>
      <c r="B1479" s="27">
        <f>IFERROR(IF(A1479="","",VLOOKUP(A1479,DATABASE!$A:$B,2,0)),"")</f>
        <v/>
      </c>
      <c r="C1479" s="20">
        <f>IFERROR(IF(A1479="","",SUMIF(SAVINGS!$A$3:A1478,A1479,SAVINGS!$E$3:E1478)-SUMIF(WITHDRAWALS!$A:$A,A1479,WITHDRAWALS!$E:$E)),"")</f>
        <v/>
      </c>
      <c r="D1479" s="28">
        <f>IF(A1479="","",TODAY())</f>
        <v/>
      </c>
      <c r="E1479" s="29" t="n"/>
      <c r="F1479" s="20">
        <f>IFERROR(IF(OR(A1479="",E1479=""),"",C1479+E1479),"")</f>
        <v/>
      </c>
      <c r="G1479" s="30" t="n"/>
      <c r="H1479" s="27" t="n"/>
    </row>
    <row r="1480" ht="20" customHeight="1">
      <c r="A1480" s="26" t="n"/>
      <c r="B1480" s="31">
        <f>IFERROR(IF(A1480="","",VLOOKUP(A1480,DATABASE!$A:$B,2,0)),"")</f>
        <v/>
      </c>
      <c r="C1480" s="32">
        <f>IFERROR(IF(A1480="","",SUMIF(SAVINGS!$A$3:A1479,A1480,SAVINGS!$E$3:E1479)-SUMIF(WITHDRAWALS!$A:$A,A1480,WITHDRAWALS!$E:$E)),"")</f>
        <v/>
      </c>
      <c r="D1480" s="33">
        <f>IF(A1480="","",TODAY())</f>
        <v/>
      </c>
      <c r="E1480" s="29" t="n"/>
      <c r="F1480" s="32">
        <f>IFERROR(IF(OR(A1480="",E1480=""),"",C1480+E1480),"")</f>
        <v/>
      </c>
      <c r="G1480" s="30" t="n"/>
      <c r="H1480" s="31" t="n"/>
    </row>
    <row r="1481" ht="20" customHeight="1">
      <c r="A1481" s="26" t="n"/>
      <c r="B1481" s="27">
        <f>IFERROR(IF(A1481="","",VLOOKUP(A1481,DATABASE!$A:$B,2,0)),"")</f>
        <v/>
      </c>
      <c r="C1481" s="20">
        <f>IFERROR(IF(A1481="","",SUMIF(SAVINGS!$A$3:A1480,A1481,SAVINGS!$E$3:E1480)-SUMIF(WITHDRAWALS!$A:$A,A1481,WITHDRAWALS!$E:$E)),"")</f>
        <v/>
      </c>
      <c r="D1481" s="28">
        <f>IF(A1481="","",TODAY())</f>
        <v/>
      </c>
      <c r="E1481" s="29" t="n"/>
      <c r="F1481" s="20">
        <f>IFERROR(IF(OR(A1481="",E1481=""),"",C1481+E1481),"")</f>
        <v/>
      </c>
      <c r="G1481" s="30" t="n"/>
      <c r="H1481" s="27" t="n"/>
    </row>
    <row r="1482" ht="20" customHeight="1">
      <c r="A1482" s="26" t="n"/>
      <c r="B1482" s="31">
        <f>IFERROR(IF(A1482="","",VLOOKUP(A1482,DATABASE!$A:$B,2,0)),"")</f>
        <v/>
      </c>
      <c r="C1482" s="32">
        <f>IFERROR(IF(A1482="","",SUMIF(SAVINGS!$A$3:A1481,A1482,SAVINGS!$E$3:E1481)-SUMIF(WITHDRAWALS!$A:$A,A1482,WITHDRAWALS!$E:$E)),"")</f>
        <v/>
      </c>
      <c r="D1482" s="33">
        <f>IF(A1482="","",TODAY())</f>
        <v/>
      </c>
      <c r="E1482" s="29" t="n"/>
      <c r="F1482" s="32">
        <f>IFERROR(IF(OR(A1482="",E1482=""),"",C1482+E1482),"")</f>
        <v/>
      </c>
      <c r="G1482" s="30" t="n"/>
      <c r="H1482" s="31" t="n"/>
    </row>
    <row r="1483" ht="20" customHeight="1">
      <c r="A1483" s="26" t="n"/>
      <c r="B1483" s="27">
        <f>IFERROR(IF(A1483="","",VLOOKUP(A1483,DATABASE!$A:$B,2,0)),"")</f>
        <v/>
      </c>
      <c r="C1483" s="20">
        <f>IFERROR(IF(A1483="","",SUMIF(SAVINGS!$A$3:A1482,A1483,SAVINGS!$E$3:E1482)-SUMIF(WITHDRAWALS!$A:$A,A1483,WITHDRAWALS!$E:$E)),"")</f>
        <v/>
      </c>
      <c r="D1483" s="28">
        <f>IF(A1483="","",TODAY())</f>
        <v/>
      </c>
      <c r="E1483" s="29" t="n"/>
      <c r="F1483" s="20">
        <f>IFERROR(IF(OR(A1483="",E1483=""),"",C1483+E1483),"")</f>
        <v/>
      </c>
      <c r="G1483" s="30" t="n"/>
      <c r="H1483" s="27" t="n"/>
    </row>
    <row r="1484" ht="20" customHeight="1">
      <c r="A1484" s="26" t="n"/>
      <c r="B1484" s="31">
        <f>IFERROR(IF(A1484="","",VLOOKUP(A1484,DATABASE!$A:$B,2,0)),"")</f>
        <v/>
      </c>
      <c r="C1484" s="32">
        <f>IFERROR(IF(A1484="","",SUMIF(SAVINGS!$A$3:A1483,A1484,SAVINGS!$E$3:E1483)-SUMIF(WITHDRAWALS!$A:$A,A1484,WITHDRAWALS!$E:$E)),"")</f>
        <v/>
      </c>
      <c r="D1484" s="33">
        <f>IF(A1484="","",TODAY())</f>
        <v/>
      </c>
      <c r="E1484" s="29" t="n"/>
      <c r="F1484" s="32">
        <f>IFERROR(IF(OR(A1484="",E1484=""),"",C1484+E1484),"")</f>
        <v/>
      </c>
      <c r="G1484" s="30" t="n"/>
      <c r="H1484" s="31" t="n"/>
    </row>
    <row r="1485" ht="20" customHeight="1">
      <c r="A1485" s="26" t="n"/>
      <c r="B1485" s="27">
        <f>IFERROR(IF(A1485="","",VLOOKUP(A1485,DATABASE!$A:$B,2,0)),"")</f>
        <v/>
      </c>
      <c r="C1485" s="20">
        <f>IFERROR(IF(A1485="","",SUMIF(SAVINGS!$A$3:A1484,A1485,SAVINGS!$E$3:E1484)-SUMIF(WITHDRAWALS!$A:$A,A1485,WITHDRAWALS!$E:$E)),"")</f>
        <v/>
      </c>
      <c r="D1485" s="28">
        <f>IF(A1485="","",TODAY())</f>
        <v/>
      </c>
      <c r="E1485" s="29" t="n"/>
      <c r="F1485" s="20">
        <f>IFERROR(IF(OR(A1485="",E1485=""),"",C1485+E1485),"")</f>
        <v/>
      </c>
      <c r="G1485" s="30" t="n"/>
      <c r="H1485" s="27" t="n"/>
    </row>
    <row r="1486" ht="20" customHeight="1">
      <c r="A1486" s="26" t="n"/>
      <c r="B1486" s="31">
        <f>IFERROR(IF(A1486="","",VLOOKUP(A1486,DATABASE!$A:$B,2,0)),"")</f>
        <v/>
      </c>
      <c r="C1486" s="32">
        <f>IFERROR(IF(A1486="","",SUMIF(SAVINGS!$A$3:A1485,A1486,SAVINGS!$E$3:E1485)-SUMIF(WITHDRAWALS!$A:$A,A1486,WITHDRAWALS!$E:$E)),"")</f>
        <v/>
      </c>
      <c r="D1486" s="33">
        <f>IF(A1486="","",TODAY())</f>
        <v/>
      </c>
      <c r="E1486" s="29" t="n"/>
      <c r="F1486" s="32">
        <f>IFERROR(IF(OR(A1486="",E1486=""),"",C1486+E1486),"")</f>
        <v/>
      </c>
      <c r="G1486" s="30" t="n"/>
      <c r="H1486" s="31" t="n"/>
    </row>
    <row r="1487" ht="20" customHeight="1">
      <c r="A1487" s="26" t="n"/>
      <c r="B1487" s="27">
        <f>IFERROR(IF(A1487="","",VLOOKUP(A1487,DATABASE!$A:$B,2,0)),"")</f>
        <v/>
      </c>
      <c r="C1487" s="20">
        <f>IFERROR(IF(A1487="","",SUMIF(SAVINGS!$A$3:A1486,A1487,SAVINGS!$E$3:E1486)-SUMIF(WITHDRAWALS!$A:$A,A1487,WITHDRAWALS!$E:$E)),"")</f>
        <v/>
      </c>
      <c r="D1487" s="28">
        <f>IF(A1487="","",TODAY())</f>
        <v/>
      </c>
      <c r="E1487" s="29" t="n"/>
      <c r="F1487" s="20">
        <f>IFERROR(IF(OR(A1487="",E1487=""),"",C1487+E1487),"")</f>
        <v/>
      </c>
      <c r="G1487" s="30" t="n"/>
      <c r="H1487" s="27" t="n"/>
    </row>
    <row r="1488" ht="20" customHeight="1">
      <c r="A1488" s="26" t="n"/>
      <c r="B1488" s="31">
        <f>IFERROR(IF(A1488="","",VLOOKUP(A1488,DATABASE!$A:$B,2,0)),"")</f>
        <v/>
      </c>
      <c r="C1488" s="32">
        <f>IFERROR(IF(A1488="","",SUMIF(SAVINGS!$A$3:A1487,A1488,SAVINGS!$E$3:E1487)-SUMIF(WITHDRAWALS!$A:$A,A1488,WITHDRAWALS!$E:$E)),"")</f>
        <v/>
      </c>
      <c r="D1488" s="33">
        <f>IF(A1488="","",TODAY())</f>
        <v/>
      </c>
      <c r="E1488" s="29" t="n"/>
      <c r="F1488" s="32">
        <f>IFERROR(IF(OR(A1488="",E1488=""),"",C1488+E1488),"")</f>
        <v/>
      </c>
      <c r="G1488" s="30" t="n"/>
      <c r="H1488" s="31" t="n"/>
    </row>
    <row r="1489" ht="20" customHeight="1">
      <c r="A1489" s="26" t="n"/>
      <c r="B1489" s="27">
        <f>IFERROR(IF(A1489="","",VLOOKUP(A1489,DATABASE!$A:$B,2,0)),"")</f>
        <v/>
      </c>
      <c r="C1489" s="20">
        <f>IFERROR(IF(A1489="","",SUMIF(SAVINGS!$A$3:A1488,A1489,SAVINGS!$E$3:E1488)-SUMIF(WITHDRAWALS!$A:$A,A1489,WITHDRAWALS!$E:$E)),"")</f>
        <v/>
      </c>
      <c r="D1489" s="28">
        <f>IF(A1489="","",TODAY())</f>
        <v/>
      </c>
      <c r="E1489" s="29" t="n"/>
      <c r="F1489" s="20">
        <f>IFERROR(IF(OR(A1489="",E1489=""),"",C1489+E1489),"")</f>
        <v/>
      </c>
      <c r="G1489" s="30" t="n"/>
      <c r="H1489" s="27" t="n"/>
    </row>
    <row r="1490" ht="20" customHeight="1">
      <c r="A1490" s="26" t="n"/>
      <c r="B1490" s="31">
        <f>IFERROR(IF(A1490="","",VLOOKUP(A1490,DATABASE!$A:$B,2,0)),"")</f>
        <v/>
      </c>
      <c r="C1490" s="32">
        <f>IFERROR(IF(A1490="","",SUMIF(SAVINGS!$A$3:A1489,A1490,SAVINGS!$E$3:E1489)-SUMIF(WITHDRAWALS!$A:$A,A1490,WITHDRAWALS!$E:$E)),"")</f>
        <v/>
      </c>
      <c r="D1490" s="33">
        <f>IF(A1490="","",TODAY())</f>
        <v/>
      </c>
      <c r="E1490" s="29" t="n"/>
      <c r="F1490" s="32">
        <f>IFERROR(IF(OR(A1490="",E1490=""),"",C1490+E1490),"")</f>
        <v/>
      </c>
      <c r="G1490" s="30" t="n"/>
      <c r="H1490" s="31" t="n"/>
    </row>
    <row r="1491" ht="20" customHeight="1">
      <c r="A1491" s="26" t="n"/>
      <c r="B1491" s="27">
        <f>IFERROR(IF(A1491="","",VLOOKUP(A1491,DATABASE!$A:$B,2,0)),"")</f>
        <v/>
      </c>
      <c r="C1491" s="20">
        <f>IFERROR(IF(A1491="","",SUMIF(SAVINGS!$A$3:A1490,A1491,SAVINGS!$E$3:E1490)-SUMIF(WITHDRAWALS!$A:$A,A1491,WITHDRAWALS!$E:$E)),"")</f>
        <v/>
      </c>
      <c r="D1491" s="28">
        <f>IF(A1491="","",TODAY())</f>
        <v/>
      </c>
      <c r="E1491" s="29" t="n"/>
      <c r="F1491" s="20">
        <f>IFERROR(IF(OR(A1491="",E1491=""),"",C1491+E1491),"")</f>
        <v/>
      </c>
      <c r="G1491" s="30" t="n"/>
      <c r="H1491" s="27" t="n"/>
    </row>
    <row r="1492" ht="20" customHeight="1">
      <c r="A1492" s="26" t="n"/>
      <c r="B1492" s="31">
        <f>IFERROR(IF(A1492="","",VLOOKUP(A1492,DATABASE!$A:$B,2,0)),"")</f>
        <v/>
      </c>
      <c r="C1492" s="32">
        <f>IFERROR(IF(A1492="","",SUMIF(SAVINGS!$A$3:A1491,A1492,SAVINGS!$E$3:E1491)-SUMIF(WITHDRAWALS!$A:$A,A1492,WITHDRAWALS!$E:$E)),"")</f>
        <v/>
      </c>
      <c r="D1492" s="33">
        <f>IF(A1492="","",TODAY())</f>
        <v/>
      </c>
      <c r="E1492" s="29" t="n"/>
      <c r="F1492" s="32">
        <f>IFERROR(IF(OR(A1492="",E1492=""),"",C1492+E1492),"")</f>
        <v/>
      </c>
      <c r="G1492" s="30" t="n"/>
      <c r="H1492" s="31" t="n"/>
    </row>
    <row r="1493" ht="20" customHeight="1">
      <c r="A1493" s="26" t="n"/>
      <c r="B1493" s="27">
        <f>IFERROR(IF(A1493="","",VLOOKUP(A1493,DATABASE!$A:$B,2,0)),"")</f>
        <v/>
      </c>
      <c r="C1493" s="20">
        <f>IFERROR(IF(A1493="","",SUMIF(SAVINGS!$A$3:A1492,A1493,SAVINGS!$E$3:E1492)-SUMIF(WITHDRAWALS!$A:$A,A1493,WITHDRAWALS!$E:$E)),"")</f>
        <v/>
      </c>
      <c r="D1493" s="28">
        <f>IF(A1493="","",TODAY())</f>
        <v/>
      </c>
      <c r="E1493" s="29" t="n"/>
      <c r="F1493" s="20">
        <f>IFERROR(IF(OR(A1493="",E1493=""),"",C1493+E1493),"")</f>
        <v/>
      </c>
      <c r="G1493" s="30" t="n"/>
      <c r="H1493" s="27" t="n"/>
    </row>
    <row r="1494" ht="20" customHeight="1">
      <c r="A1494" s="26" t="n"/>
      <c r="B1494" s="31">
        <f>IFERROR(IF(A1494="","",VLOOKUP(A1494,DATABASE!$A:$B,2,0)),"")</f>
        <v/>
      </c>
      <c r="C1494" s="32">
        <f>IFERROR(IF(A1494="","",SUMIF(SAVINGS!$A$3:A1493,A1494,SAVINGS!$E$3:E1493)-SUMIF(WITHDRAWALS!$A:$A,A1494,WITHDRAWALS!$E:$E)),"")</f>
        <v/>
      </c>
      <c r="D1494" s="33">
        <f>IF(A1494="","",TODAY())</f>
        <v/>
      </c>
      <c r="E1494" s="29" t="n"/>
      <c r="F1494" s="32">
        <f>IFERROR(IF(OR(A1494="",E1494=""),"",C1494+E1494),"")</f>
        <v/>
      </c>
      <c r="G1494" s="30" t="n"/>
      <c r="H1494" s="31" t="n"/>
    </row>
    <row r="1495" ht="20" customHeight="1">
      <c r="A1495" s="26" t="n"/>
      <c r="B1495" s="27">
        <f>IFERROR(IF(A1495="","",VLOOKUP(A1495,DATABASE!$A:$B,2,0)),"")</f>
        <v/>
      </c>
      <c r="C1495" s="20">
        <f>IFERROR(IF(A1495="","",SUMIF(SAVINGS!$A$3:A1494,A1495,SAVINGS!$E$3:E1494)-SUMIF(WITHDRAWALS!$A:$A,A1495,WITHDRAWALS!$E:$E)),"")</f>
        <v/>
      </c>
      <c r="D1495" s="28">
        <f>IF(A1495="","",TODAY())</f>
        <v/>
      </c>
      <c r="E1495" s="29" t="n"/>
      <c r="F1495" s="20">
        <f>IFERROR(IF(OR(A1495="",E1495=""),"",C1495+E1495),"")</f>
        <v/>
      </c>
      <c r="G1495" s="30" t="n"/>
      <c r="H1495" s="27" t="n"/>
    </row>
    <row r="1496" ht="20" customHeight="1">
      <c r="A1496" s="26" t="n"/>
      <c r="B1496" s="31">
        <f>IFERROR(IF(A1496="","",VLOOKUP(A1496,DATABASE!$A:$B,2,0)),"")</f>
        <v/>
      </c>
      <c r="C1496" s="32">
        <f>IFERROR(IF(A1496="","",SUMIF(SAVINGS!$A$3:A1495,A1496,SAVINGS!$E$3:E1495)-SUMIF(WITHDRAWALS!$A:$A,A1496,WITHDRAWALS!$E:$E)),"")</f>
        <v/>
      </c>
      <c r="D1496" s="33">
        <f>IF(A1496="","",TODAY())</f>
        <v/>
      </c>
      <c r="E1496" s="29" t="n"/>
      <c r="F1496" s="32">
        <f>IFERROR(IF(OR(A1496="",E1496=""),"",C1496+E1496),"")</f>
        <v/>
      </c>
      <c r="G1496" s="30" t="n"/>
      <c r="H1496" s="31" t="n"/>
    </row>
    <row r="1497" ht="20" customHeight="1">
      <c r="A1497" s="26" t="n"/>
      <c r="B1497" s="27">
        <f>IFERROR(IF(A1497="","",VLOOKUP(A1497,DATABASE!$A:$B,2,0)),"")</f>
        <v/>
      </c>
      <c r="C1497" s="20">
        <f>IFERROR(IF(A1497="","",SUMIF(SAVINGS!$A$3:A1496,A1497,SAVINGS!$E$3:E1496)-SUMIF(WITHDRAWALS!$A:$A,A1497,WITHDRAWALS!$E:$E)),"")</f>
        <v/>
      </c>
      <c r="D1497" s="28">
        <f>IF(A1497="","",TODAY())</f>
        <v/>
      </c>
      <c r="E1497" s="29" t="n"/>
      <c r="F1497" s="20">
        <f>IFERROR(IF(OR(A1497="",E1497=""),"",C1497+E1497),"")</f>
        <v/>
      </c>
      <c r="G1497" s="30" t="n"/>
      <c r="H1497" s="27" t="n"/>
    </row>
    <row r="1498" ht="20" customHeight="1">
      <c r="A1498" s="26" t="n"/>
      <c r="B1498" s="31">
        <f>IFERROR(IF(A1498="","",VLOOKUP(A1498,DATABASE!$A:$B,2,0)),"")</f>
        <v/>
      </c>
      <c r="C1498" s="32">
        <f>IFERROR(IF(A1498="","",SUMIF(SAVINGS!$A$3:A1497,A1498,SAVINGS!$E$3:E1497)-SUMIF(WITHDRAWALS!$A:$A,A1498,WITHDRAWALS!$E:$E)),"")</f>
        <v/>
      </c>
      <c r="D1498" s="33">
        <f>IF(A1498="","",TODAY())</f>
        <v/>
      </c>
      <c r="E1498" s="29" t="n"/>
      <c r="F1498" s="32">
        <f>IFERROR(IF(OR(A1498="",E1498=""),"",C1498+E1498),"")</f>
        <v/>
      </c>
      <c r="G1498" s="30" t="n"/>
      <c r="H1498" s="31" t="n"/>
    </row>
    <row r="1499" ht="20" customHeight="1">
      <c r="A1499" s="26" t="n"/>
      <c r="B1499" s="27">
        <f>IFERROR(IF(A1499="","",VLOOKUP(A1499,DATABASE!$A:$B,2,0)),"")</f>
        <v/>
      </c>
      <c r="C1499" s="20">
        <f>IFERROR(IF(A1499="","",SUMIF(SAVINGS!$A$3:A1498,A1499,SAVINGS!$E$3:E1498)-SUMIF(WITHDRAWALS!$A:$A,A1499,WITHDRAWALS!$E:$E)),"")</f>
        <v/>
      </c>
      <c r="D1499" s="28">
        <f>IF(A1499="","",TODAY())</f>
        <v/>
      </c>
      <c r="E1499" s="29" t="n"/>
      <c r="F1499" s="20">
        <f>IFERROR(IF(OR(A1499="",E1499=""),"",C1499+E1499),"")</f>
        <v/>
      </c>
      <c r="G1499" s="30" t="n"/>
      <c r="H1499" s="27" t="n"/>
    </row>
    <row r="1500" ht="20" customHeight="1">
      <c r="A1500" s="26" t="n"/>
      <c r="B1500" s="31">
        <f>IFERROR(IF(A1500="","",VLOOKUP(A1500,DATABASE!$A:$B,2,0)),"")</f>
        <v/>
      </c>
      <c r="C1500" s="32">
        <f>IFERROR(IF(A1500="","",SUMIF(SAVINGS!$A$3:A1499,A1500,SAVINGS!$E$3:E1499)-SUMIF(WITHDRAWALS!$A:$A,A1500,WITHDRAWALS!$E:$E)),"")</f>
        <v/>
      </c>
      <c r="D1500" s="33">
        <f>IF(A1500="","",TODAY())</f>
        <v/>
      </c>
      <c r="E1500" s="29" t="n"/>
      <c r="F1500" s="32">
        <f>IFERROR(IF(OR(A1500="",E1500=""),"",C1500+E1500),"")</f>
        <v/>
      </c>
      <c r="G1500" s="30" t="n"/>
      <c r="H1500" s="31" t="n"/>
    </row>
    <row r="1501" ht="20" customHeight="1">
      <c r="A1501" s="26" t="n"/>
      <c r="B1501" s="27">
        <f>IFERROR(IF(A1501="","",VLOOKUP(A1501,DATABASE!$A:$B,2,0)),"")</f>
        <v/>
      </c>
      <c r="C1501" s="20">
        <f>IFERROR(IF(A1501="","",SUMIF(SAVINGS!$A$3:A1500,A1501,SAVINGS!$E$3:E1500)-SUMIF(WITHDRAWALS!$A:$A,A1501,WITHDRAWALS!$E:$E)),"")</f>
        <v/>
      </c>
      <c r="D1501" s="28">
        <f>IF(A1501="","",TODAY())</f>
        <v/>
      </c>
      <c r="E1501" s="29" t="n"/>
      <c r="F1501" s="20">
        <f>IFERROR(IF(OR(A1501="",E1501=""),"",C1501+E1501),"")</f>
        <v/>
      </c>
      <c r="G1501" s="30" t="n"/>
      <c r="H1501" s="27" t="n"/>
    </row>
    <row r="1502" ht="20" customHeight="1">
      <c r="A1502" s="26" t="n"/>
      <c r="B1502" s="31">
        <f>IFERROR(IF(A1502="","",VLOOKUP(A1502,DATABASE!$A:$B,2,0)),"")</f>
        <v/>
      </c>
      <c r="C1502" s="32">
        <f>IFERROR(IF(A1502="","",SUMIF(SAVINGS!$A$3:A1501,A1502,SAVINGS!$E$3:E1501)-SUMIF(WITHDRAWALS!$A:$A,A1502,WITHDRAWALS!$E:$E)),"")</f>
        <v/>
      </c>
      <c r="D1502" s="33">
        <f>IF(A1502="","",TODAY())</f>
        <v/>
      </c>
      <c r="E1502" s="29" t="n"/>
      <c r="F1502" s="32">
        <f>IFERROR(IF(OR(A1502="",E1502=""),"",C1502+E1502),"")</f>
        <v/>
      </c>
      <c r="G1502" s="30" t="n"/>
      <c r="H1502" s="31" t="n"/>
    </row>
    <row r="1503" ht="20" customHeight="1">
      <c r="A1503" s="26" t="n"/>
      <c r="B1503" s="27">
        <f>IFERROR(IF(A1503="","",VLOOKUP(A1503,DATABASE!$A:$B,2,0)),"")</f>
        <v/>
      </c>
      <c r="C1503" s="20">
        <f>IFERROR(IF(A1503="","",SUMIF(SAVINGS!$A$3:A1502,A1503,SAVINGS!$E$3:E1502)-SUMIF(WITHDRAWALS!$A:$A,A1503,WITHDRAWALS!$E:$E)),"")</f>
        <v/>
      </c>
      <c r="D1503" s="28">
        <f>IF(A1503="","",TODAY())</f>
        <v/>
      </c>
      <c r="E1503" s="29" t="n"/>
      <c r="F1503" s="20">
        <f>IFERROR(IF(OR(A1503="",E1503=""),"",C1503+E1503),"")</f>
        <v/>
      </c>
      <c r="G1503" s="30" t="n"/>
      <c r="H1503" s="27" t="n"/>
    </row>
    <row r="1504" ht="20" customHeight="1">
      <c r="A1504" s="26" t="n"/>
      <c r="B1504" s="31">
        <f>IFERROR(IF(A1504="","",VLOOKUP(A1504,DATABASE!$A:$B,2,0)),"")</f>
        <v/>
      </c>
      <c r="C1504" s="32">
        <f>IFERROR(IF(A1504="","",SUMIF(SAVINGS!$A$3:A1503,A1504,SAVINGS!$E$3:E1503)-SUMIF(WITHDRAWALS!$A:$A,A1504,WITHDRAWALS!$E:$E)),"")</f>
        <v/>
      </c>
      <c r="D1504" s="33">
        <f>IF(A1504="","",TODAY())</f>
        <v/>
      </c>
      <c r="E1504" s="29" t="n"/>
      <c r="F1504" s="32">
        <f>IFERROR(IF(OR(A1504="",E1504=""),"",C1504+E1504),"")</f>
        <v/>
      </c>
      <c r="G1504" s="30" t="n"/>
      <c r="H1504" s="31" t="n"/>
    </row>
    <row r="1505" ht="20" customHeight="1">
      <c r="A1505" s="26" t="n"/>
      <c r="B1505" s="27">
        <f>IFERROR(IF(A1505="","",VLOOKUP(A1505,DATABASE!$A:$B,2,0)),"")</f>
        <v/>
      </c>
      <c r="C1505" s="20">
        <f>IFERROR(IF(A1505="","",SUMIF(SAVINGS!$A$3:A1504,A1505,SAVINGS!$E$3:E1504)-SUMIF(WITHDRAWALS!$A:$A,A1505,WITHDRAWALS!$E:$E)),"")</f>
        <v/>
      </c>
      <c r="D1505" s="28">
        <f>IF(A1505="","",TODAY())</f>
        <v/>
      </c>
      <c r="E1505" s="29" t="n"/>
      <c r="F1505" s="20">
        <f>IFERROR(IF(OR(A1505="",E1505=""),"",C1505+E1505),"")</f>
        <v/>
      </c>
      <c r="G1505" s="30" t="n"/>
      <c r="H1505" s="27" t="n"/>
    </row>
    <row r="1506" ht="20" customHeight="1">
      <c r="A1506" s="26" t="n"/>
      <c r="B1506" s="31">
        <f>IFERROR(IF(A1506="","",VLOOKUP(A1506,DATABASE!$A:$B,2,0)),"")</f>
        <v/>
      </c>
      <c r="C1506" s="32">
        <f>IFERROR(IF(A1506="","",SUMIF(SAVINGS!$A$3:A1505,A1506,SAVINGS!$E$3:E1505)-SUMIF(WITHDRAWALS!$A:$A,A1506,WITHDRAWALS!$E:$E)),"")</f>
        <v/>
      </c>
      <c r="D1506" s="33">
        <f>IF(A1506="","",TODAY())</f>
        <v/>
      </c>
      <c r="E1506" s="29" t="n"/>
      <c r="F1506" s="32">
        <f>IFERROR(IF(OR(A1506="",E1506=""),"",C1506+E1506),"")</f>
        <v/>
      </c>
      <c r="G1506" s="30" t="n"/>
      <c r="H1506" s="31" t="n"/>
    </row>
    <row r="1507" ht="20" customHeight="1">
      <c r="A1507" s="26" t="n"/>
      <c r="B1507" s="27">
        <f>IFERROR(IF(A1507="","",VLOOKUP(A1507,DATABASE!$A:$B,2,0)),"")</f>
        <v/>
      </c>
      <c r="C1507" s="20">
        <f>IFERROR(IF(A1507="","",SUMIF(SAVINGS!$A$3:A1506,A1507,SAVINGS!$E$3:E1506)-SUMIF(WITHDRAWALS!$A:$A,A1507,WITHDRAWALS!$E:$E)),"")</f>
        <v/>
      </c>
      <c r="D1507" s="28">
        <f>IF(A1507="","",TODAY())</f>
        <v/>
      </c>
      <c r="E1507" s="29" t="n"/>
      <c r="F1507" s="20">
        <f>IFERROR(IF(OR(A1507="",E1507=""),"",C1507+E1507),"")</f>
        <v/>
      </c>
      <c r="G1507" s="30" t="n"/>
      <c r="H1507" s="27" t="n"/>
    </row>
    <row r="1508" ht="20" customHeight="1">
      <c r="A1508" s="26" t="n"/>
      <c r="B1508" s="31">
        <f>IFERROR(IF(A1508="","",VLOOKUP(A1508,DATABASE!$A:$B,2,0)),"")</f>
        <v/>
      </c>
      <c r="C1508" s="32">
        <f>IFERROR(IF(A1508="","",SUMIF(SAVINGS!$A$3:A1507,A1508,SAVINGS!$E$3:E1507)-SUMIF(WITHDRAWALS!$A:$A,A1508,WITHDRAWALS!$E:$E)),"")</f>
        <v/>
      </c>
      <c r="D1508" s="33">
        <f>IF(A1508="","",TODAY())</f>
        <v/>
      </c>
      <c r="E1508" s="29" t="n"/>
      <c r="F1508" s="32">
        <f>IFERROR(IF(OR(A1508="",E1508=""),"",C1508+E1508),"")</f>
        <v/>
      </c>
      <c r="G1508" s="30" t="n"/>
      <c r="H1508" s="31" t="n"/>
    </row>
    <row r="1509" ht="20" customHeight="1">
      <c r="A1509" s="26" t="n"/>
      <c r="B1509" s="27">
        <f>IFERROR(IF(A1509="","",VLOOKUP(A1509,DATABASE!$A:$B,2,0)),"")</f>
        <v/>
      </c>
      <c r="C1509" s="20">
        <f>IFERROR(IF(A1509="","",SUMIF(SAVINGS!$A$3:A1508,A1509,SAVINGS!$E$3:E1508)-SUMIF(WITHDRAWALS!$A:$A,A1509,WITHDRAWALS!$E:$E)),"")</f>
        <v/>
      </c>
      <c r="D1509" s="28">
        <f>IF(A1509="","",TODAY())</f>
        <v/>
      </c>
      <c r="E1509" s="29" t="n"/>
      <c r="F1509" s="20">
        <f>IFERROR(IF(OR(A1509="",E1509=""),"",C1509+E1509),"")</f>
        <v/>
      </c>
      <c r="G1509" s="30" t="n"/>
      <c r="H1509" s="27" t="n"/>
    </row>
    <row r="1510" ht="20" customHeight="1">
      <c r="A1510" s="26" t="n"/>
      <c r="B1510" s="31">
        <f>IFERROR(IF(A1510="","",VLOOKUP(A1510,DATABASE!$A:$B,2,0)),"")</f>
        <v/>
      </c>
      <c r="C1510" s="32">
        <f>IFERROR(IF(A1510="","",SUMIF(SAVINGS!$A$3:A1509,A1510,SAVINGS!$E$3:E1509)-SUMIF(WITHDRAWALS!$A:$A,A1510,WITHDRAWALS!$E:$E)),"")</f>
        <v/>
      </c>
      <c r="D1510" s="33">
        <f>IF(A1510="","",TODAY())</f>
        <v/>
      </c>
      <c r="E1510" s="29" t="n"/>
      <c r="F1510" s="32">
        <f>IFERROR(IF(OR(A1510="",E1510=""),"",C1510+E1510),"")</f>
        <v/>
      </c>
      <c r="G1510" s="30" t="n"/>
      <c r="H1510" s="31" t="n"/>
    </row>
    <row r="1511" ht="20" customHeight="1">
      <c r="A1511" s="26" t="n"/>
      <c r="B1511" s="27">
        <f>IFERROR(IF(A1511="","",VLOOKUP(A1511,DATABASE!$A:$B,2,0)),"")</f>
        <v/>
      </c>
      <c r="C1511" s="20">
        <f>IFERROR(IF(A1511="","",SUMIF(SAVINGS!$A$3:A1510,A1511,SAVINGS!$E$3:E1510)-SUMIF(WITHDRAWALS!$A:$A,A1511,WITHDRAWALS!$E:$E)),"")</f>
        <v/>
      </c>
      <c r="D1511" s="28">
        <f>IF(A1511="","",TODAY())</f>
        <v/>
      </c>
      <c r="E1511" s="29" t="n"/>
      <c r="F1511" s="20">
        <f>IFERROR(IF(OR(A1511="",E1511=""),"",C1511+E1511),"")</f>
        <v/>
      </c>
      <c r="G1511" s="30" t="n"/>
      <c r="H1511" s="27" t="n"/>
    </row>
    <row r="1512" ht="20" customHeight="1">
      <c r="A1512" s="26" t="n"/>
      <c r="B1512" s="31">
        <f>IFERROR(IF(A1512="","",VLOOKUP(A1512,DATABASE!$A:$B,2,0)),"")</f>
        <v/>
      </c>
      <c r="C1512" s="32">
        <f>IFERROR(IF(A1512="","",SUMIF(SAVINGS!$A$3:A1511,A1512,SAVINGS!$E$3:E1511)-SUMIF(WITHDRAWALS!$A:$A,A1512,WITHDRAWALS!$E:$E)),"")</f>
        <v/>
      </c>
      <c r="D1512" s="33">
        <f>IF(A1512="","",TODAY())</f>
        <v/>
      </c>
      <c r="E1512" s="29" t="n"/>
      <c r="F1512" s="32">
        <f>IFERROR(IF(OR(A1512="",E1512=""),"",C1512+E1512),"")</f>
        <v/>
      </c>
      <c r="G1512" s="30" t="n"/>
      <c r="H1512" s="31" t="n"/>
    </row>
    <row r="1513" ht="20" customHeight="1">
      <c r="A1513" s="26" t="n"/>
      <c r="B1513" s="27">
        <f>IFERROR(IF(A1513="","",VLOOKUP(A1513,DATABASE!$A:$B,2,0)),"")</f>
        <v/>
      </c>
      <c r="C1513" s="20">
        <f>IFERROR(IF(A1513="","",SUMIF(SAVINGS!$A$3:A1512,A1513,SAVINGS!$E$3:E1512)-SUMIF(WITHDRAWALS!$A:$A,A1513,WITHDRAWALS!$E:$E)),"")</f>
        <v/>
      </c>
      <c r="D1513" s="28">
        <f>IF(A1513="","",TODAY())</f>
        <v/>
      </c>
      <c r="E1513" s="29" t="n"/>
      <c r="F1513" s="20">
        <f>IFERROR(IF(OR(A1513="",E1513=""),"",C1513+E1513),"")</f>
        <v/>
      </c>
      <c r="G1513" s="30" t="n"/>
      <c r="H1513" s="27" t="n"/>
    </row>
    <row r="1514" ht="20" customHeight="1">
      <c r="A1514" s="26" t="n"/>
      <c r="B1514" s="31">
        <f>IFERROR(IF(A1514="","",VLOOKUP(A1514,DATABASE!$A:$B,2,0)),"")</f>
        <v/>
      </c>
      <c r="C1514" s="32">
        <f>IFERROR(IF(A1514="","",SUMIF(SAVINGS!$A$3:A1513,A1514,SAVINGS!$E$3:E1513)-SUMIF(WITHDRAWALS!$A:$A,A1514,WITHDRAWALS!$E:$E)),"")</f>
        <v/>
      </c>
      <c r="D1514" s="33">
        <f>IF(A1514="","",TODAY())</f>
        <v/>
      </c>
      <c r="E1514" s="29" t="n"/>
      <c r="F1514" s="32">
        <f>IFERROR(IF(OR(A1514="",E1514=""),"",C1514+E1514),"")</f>
        <v/>
      </c>
      <c r="G1514" s="30" t="n"/>
      <c r="H1514" s="31" t="n"/>
    </row>
    <row r="1515" ht="20" customHeight="1">
      <c r="A1515" s="26" t="n"/>
      <c r="B1515" s="27">
        <f>IFERROR(IF(A1515="","",VLOOKUP(A1515,DATABASE!$A:$B,2,0)),"")</f>
        <v/>
      </c>
      <c r="C1515" s="20">
        <f>IFERROR(IF(A1515="","",SUMIF(SAVINGS!$A$3:A1514,A1515,SAVINGS!$E$3:E1514)-SUMIF(WITHDRAWALS!$A:$A,A1515,WITHDRAWALS!$E:$E)),"")</f>
        <v/>
      </c>
      <c r="D1515" s="28">
        <f>IF(A1515="","",TODAY())</f>
        <v/>
      </c>
      <c r="E1515" s="29" t="n"/>
      <c r="F1515" s="20">
        <f>IFERROR(IF(OR(A1515="",E1515=""),"",C1515+E1515),"")</f>
        <v/>
      </c>
      <c r="G1515" s="30" t="n"/>
      <c r="H1515" s="27" t="n"/>
    </row>
    <row r="1516" ht="20" customHeight="1">
      <c r="A1516" s="26" t="n"/>
      <c r="B1516" s="31">
        <f>IFERROR(IF(A1516="","",VLOOKUP(A1516,DATABASE!$A:$B,2,0)),"")</f>
        <v/>
      </c>
      <c r="C1516" s="32">
        <f>IFERROR(IF(A1516="","",SUMIF(SAVINGS!$A$3:A1515,A1516,SAVINGS!$E$3:E1515)-SUMIF(WITHDRAWALS!$A:$A,A1516,WITHDRAWALS!$E:$E)),"")</f>
        <v/>
      </c>
      <c r="D1516" s="33">
        <f>IF(A1516="","",TODAY())</f>
        <v/>
      </c>
      <c r="E1516" s="29" t="n"/>
      <c r="F1516" s="32">
        <f>IFERROR(IF(OR(A1516="",E1516=""),"",C1516+E1516),"")</f>
        <v/>
      </c>
      <c r="G1516" s="30" t="n"/>
      <c r="H1516" s="31" t="n"/>
    </row>
    <row r="1517" ht="20" customHeight="1">
      <c r="A1517" s="26" t="n"/>
      <c r="B1517" s="27">
        <f>IFERROR(IF(A1517="","",VLOOKUP(A1517,DATABASE!$A:$B,2,0)),"")</f>
        <v/>
      </c>
      <c r="C1517" s="20">
        <f>IFERROR(IF(A1517="","",SUMIF(SAVINGS!$A$3:A1516,A1517,SAVINGS!$E$3:E1516)-SUMIF(WITHDRAWALS!$A:$A,A1517,WITHDRAWALS!$E:$E)),"")</f>
        <v/>
      </c>
      <c r="D1517" s="28">
        <f>IF(A1517="","",TODAY())</f>
        <v/>
      </c>
      <c r="E1517" s="29" t="n"/>
      <c r="F1517" s="20">
        <f>IFERROR(IF(OR(A1517="",E1517=""),"",C1517+E1517),"")</f>
        <v/>
      </c>
      <c r="G1517" s="30" t="n"/>
      <c r="H1517" s="27" t="n"/>
    </row>
    <row r="1518" ht="20" customHeight="1">
      <c r="A1518" s="26" t="n"/>
      <c r="B1518" s="31">
        <f>IFERROR(IF(A1518="","",VLOOKUP(A1518,DATABASE!$A:$B,2,0)),"")</f>
        <v/>
      </c>
      <c r="C1518" s="32">
        <f>IFERROR(IF(A1518="","",SUMIF(SAVINGS!$A$3:A1517,A1518,SAVINGS!$E$3:E1517)-SUMIF(WITHDRAWALS!$A:$A,A1518,WITHDRAWALS!$E:$E)),"")</f>
        <v/>
      </c>
      <c r="D1518" s="33">
        <f>IF(A1518="","",TODAY())</f>
        <v/>
      </c>
      <c r="E1518" s="29" t="n"/>
      <c r="F1518" s="32">
        <f>IFERROR(IF(OR(A1518="",E1518=""),"",C1518+E1518),"")</f>
        <v/>
      </c>
      <c r="G1518" s="30" t="n"/>
      <c r="H1518" s="31" t="n"/>
    </row>
    <row r="1519" ht="20" customHeight="1">
      <c r="A1519" s="26" t="n"/>
      <c r="B1519" s="27">
        <f>IFERROR(IF(A1519="","",VLOOKUP(A1519,DATABASE!$A:$B,2,0)),"")</f>
        <v/>
      </c>
      <c r="C1519" s="20">
        <f>IFERROR(IF(A1519="","",SUMIF(SAVINGS!$A$3:A1518,A1519,SAVINGS!$E$3:E1518)-SUMIF(WITHDRAWALS!$A:$A,A1519,WITHDRAWALS!$E:$E)),"")</f>
        <v/>
      </c>
      <c r="D1519" s="28">
        <f>IF(A1519="","",TODAY())</f>
        <v/>
      </c>
      <c r="E1519" s="29" t="n"/>
      <c r="F1519" s="20">
        <f>IFERROR(IF(OR(A1519="",E1519=""),"",C1519+E1519),"")</f>
        <v/>
      </c>
      <c r="G1519" s="30" t="n"/>
      <c r="H1519" s="27" t="n"/>
    </row>
    <row r="1520" ht="20" customHeight="1">
      <c r="A1520" s="26" t="n"/>
      <c r="B1520" s="31">
        <f>IFERROR(IF(A1520="","",VLOOKUP(A1520,DATABASE!$A:$B,2,0)),"")</f>
        <v/>
      </c>
      <c r="C1520" s="32">
        <f>IFERROR(IF(A1520="","",SUMIF(SAVINGS!$A$3:A1519,A1520,SAVINGS!$E$3:E1519)-SUMIF(WITHDRAWALS!$A:$A,A1520,WITHDRAWALS!$E:$E)),"")</f>
        <v/>
      </c>
      <c r="D1520" s="33">
        <f>IF(A1520="","",TODAY())</f>
        <v/>
      </c>
      <c r="E1520" s="29" t="n"/>
      <c r="F1520" s="32">
        <f>IFERROR(IF(OR(A1520="",E1520=""),"",C1520+E1520),"")</f>
        <v/>
      </c>
      <c r="G1520" s="30" t="n"/>
      <c r="H1520" s="31" t="n"/>
    </row>
    <row r="1521" ht="20" customHeight="1">
      <c r="A1521" s="26" t="n"/>
      <c r="B1521" s="27">
        <f>IFERROR(IF(A1521="","",VLOOKUP(A1521,DATABASE!$A:$B,2,0)),"")</f>
        <v/>
      </c>
      <c r="C1521" s="20">
        <f>IFERROR(IF(A1521="","",SUMIF(SAVINGS!$A$3:A1520,A1521,SAVINGS!$E$3:E1520)-SUMIF(WITHDRAWALS!$A:$A,A1521,WITHDRAWALS!$E:$E)),"")</f>
        <v/>
      </c>
      <c r="D1521" s="28">
        <f>IF(A1521="","",TODAY())</f>
        <v/>
      </c>
      <c r="E1521" s="29" t="n"/>
      <c r="F1521" s="20">
        <f>IFERROR(IF(OR(A1521="",E1521=""),"",C1521+E1521),"")</f>
        <v/>
      </c>
      <c r="G1521" s="30" t="n"/>
      <c r="H1521" s="27" t="n"/>
    </row>
    <row r="1522" ht="20" customHeight="1">
      <c r="A1522" s="26" t="n"/>
      <c r="B1522" s="31">
        <f>IFERROR(IF(A1522="","",VLOOKUP(A1522,DATABASE!$A:$B,2,0)),"")</f>
        <v/>
      </c>
      <c r="C1522" s="32">
        <f>IFERROR(IF(A1522="","",SUMIF(SAVINGS!$A$3:A1521,A1522,SAVINGS!$E$3:E1521)-SUMIF(WITHDRAWALS!$A:$A,A1522,WITHDRAWALS!$E:$E)),"")</f>
        <v/>
      </c>
      <c r="D1522" s="33">
        <f>IF(A1522="","",TODAY())</f>
        <v/>
      </c>
      <c r="E1522" s="29" t="n"/>
      <c r="F1522" s="32">
        <f>IFERROR(IF(OR(A1522="",E1522=""),"",C1522+E1522),"")</f>
        <v/>
      </c>
      <c r="G1522" s="30" t="n"/>
      <c r="H1522" s="31" t="n"/>
    </row>
    <row r="1523" ht="20" customHeight="1">
      <c r="A1523" s="26" t="n"/>
      <c r="B1523" s="27">
        <f>IFERROR(IF(A1523="","",VLOOKUP(A1523,DATABASE!$A:$B,2,0)),"")</f>
        <v/>
      </c>
      <c r="C1523" s="20">
        <f>IFERROR(IF(A1523="","",SUMIF(SAVINGS!$A$3:A1522,A1523,SAVINGS!$E$3:E1522)-SUMIF(WITHDRAWALS!$A:$A,A1523,WITHDRAWALS!$E:$E)),"")</f>
        <v/>
      </c>
      <c r="D1523" s="28">
        <f>IF(A1523="","",TODAY())</f>
        <v/>
      </c>
      <c r="E1523" s="29" t="n"/>
      <c r="F1523" s="20">
        <f>IFERROR(IF(OR(A1523="",E1523=""),"",C1523+E1523),"")</f>
        <v/>
      </c>
      <c r="G1523" s="30" t="n"/>
      <c r="H1523" s="27" t="n"/>
    </row>
    <row r="1524" ht="20" customHeight="1">
      <c r="A1524" s="26" t="n"/>
      <c r="B1524" s="31">
        <f>IFERROR(IF(A1524="","",VLOOKUP(A1524,DATABASE!$A:$B,2,0)),"")</f>
        <v/>
      </c>
      <c r="C1524" s="32">
        <f>IFERROR(IF(A1524="","",SUMIF(SAVINGS!$A$3:A1523,A1524,SAVINGS!$E$3:E1523)-SUMIF(WITHDRAWALS!$A:$A,A1524,WITHDRAWALS!$E:$E)),"")</f>
        <v/>
      </c>
      <c r="D1524" s="33">
        <f>IF(A1524="","",TODAY())</f>
        <v/>
      </c>
      <c r="E1524" s="29" t="n"/>
      <c r="F1524" s="32">
        <f>IFERROR(IF(OR(A1524="",E1524=""),"",C1524+E1524),"")</f>
        <v/>
      </c>
      <c r="G1524" s="30" t="n"/>
      <c r="H1524" s="31" t="n"/>
    </row>
    <row r="1525" ht="20" customHeight="1">
      <c r="A1525" s="26" t="n"/>
      <c r="B1525" s="27">
        <f>IFERROR(IF(A1525="","",VLOOKUP(A1525,DATABASE!$A:$B,2,0)),"")</f>
        <v/>
      </c>
      <c r="C1525" s="20">
        <f>IFERROR(IF(A1525="","",SUMIF(SAVINGS!$A$3:A1524,A1525,SAVINGS!$E$3:E1524)-SUMIF(WITHDRAWALS!$A:$A,A1525,WITHDRAWALS!$E:$E)),"")</f>
        <v/>
      </c>
      <c r="D1525" s="28">
        <f>IF(A1525="","",TODAY())</f>
        <v/>
      </c>
      <c r="E1525" s="29" t="n"/>
      <c r="F1525" s="20">
        <f>IFERROR(IF(OR(A1525="",E1525=""),"",C1525+E1525),"")</f>
        <v/>
      </c>
      <c r="G1525" s="30" t="n"/>
      <c r="H1525" s="27" t="n"/>
    </row>
    <row r="1526" ht="20" customHeight="1">
      <c r="A1526" s="26" t="n"/>
      <c r="B1526" s="31">
        <f>IFERROR(IF(A1526="","",VLOOKUP(A1526,DATABASE!$A:$B,2,0)),"")</f>
        <v/>
      </c>
      <c r="C1526" s="32">
        <f>IFERROR(IF(A1526="","",SUMIF(SAVINGS!$A$3:A1525,A1526,SAVINGS!$E$3:E1525)-SUMIF(WITHDRAWALS!$A:$A,A1526,WITHDRAWALS!$E:$E)),"")</f>
        <v/>
      </c>
      <c r="D1526" s="33">
        <f>IF(A1526="","",TODAY())</f>
        <v/>
      </c>
      <c r="E1526" s="29" t="n"/>
      <c r="F1526" s="32">
        <f>IFERROR(IF(OR(A1526="",E1526=""),"",C1526+E1526),"")</f>
        <v/>
      </c>
      <c r="G1526" s="30" t="n"/>
      <c r="H1526" s="31" t="n"/>
    </row>
    <row r="1527" ht="20" customHeight="1">
      <c r="A1527" s="26" t="n"/>
      <c r="B1527" s="27">
        <f>IFERROR(IF(A1527="","",VLOOKUP(A1527,DATABASE!$A:$B,2,0)),"")</f>
        <v/>
      </c>
      <c r="C1527" s="20">
        <f>IFERROR(IF(A1527="","",SUMIF(SAVINGS!$A$3:A1526,A1527,SAVINGS!$E$3:E1526)-SUMIF(WITHDRAWALS!$A:$A,A1527,WITHDRAWALS!$E:$E)),"")</f>
        <v/>
      </c>
      <c r="D1527" s="28">
        <f>IF(A1527="","",TODAY())</f>
        <v/>
      </c>
      <c r="E1527" s="29" t="n"/>
      <c r="F1527" s="20">
        <f>IFERROR(IF(OR(A1527="",E1527=""),"",C1527+E1527),"")</f>
        <v/>
      </c>
      <c r="G1527" s="30" t="n"/>
      <c r="H1527" s="27" t="n"/>
    </row>
    <row r="1528" ht="20" customHeight="1">
      <c r="A1528" s="26" t="n"/>
      <c r="B1528" s="31">
        <f>IFERROR(IF(A1528="","",VLOOKUP(A1528,DATABASE!$A:$B,2,0)),"")</f>
        <v/>
      </c>
      <c r="C1528" s="32">
        <f>IFERROR(IF(A1528="","",SUMIF(SAVINGS!$A$3:A1527,A1528,SAVINGS!$E$3:E1527)-SUMIF(WITHDRAWALS!$A:$A,A1528,WITHDRAWALS!$E:$E)),"")</f>
        <v/>
      </c>
      <c r="D1528" s="33">
        <f>IF(A1528="","",TODAY())</f>
        <v/>
      </c>
      <c r="E1528" s="29" t="n"/>
      <c r="F1528" s="32">
        <f>IFERROR(IF(OR(A1528="",E1528=""),"",C1528+E1528),"")</f>
        <v/>
      </c>
      <c r="G1528" s="30" t="n"/>
      <c r="H1528" s="31" t="n"/>
    </row>
    <row r="1529" ht="20" customHeight="1">
      <c r="A1529" s="26" t="n"/>
      <c r="B1529" s="27">
        <f>IFERROR(IF(A1529="","",VLOOKUP(A1529,DATABASE!$A:$B,2,0)),"")</f>
        <v/>
      </c>
      <c r="C1529" s="20">
        <f>IFERROR(IF(A1529="","",SUMIF(SAVINGS!$A$3:A1528,A1529,SAVINGS!$E$3:E1528)-SUMIF(WITHDRAWALS!$A:$A,A1529,WITHDRAWALS!$E:$E)),"")</f>
        <v/>
      </c>
      <c r="D1529" s="28">
        <f>IF(A1529="","",TODAY())</f>
        <v/>
      </c>
      <c r="E1529" s="29" t="n"/>
      <c r="F1529" s="20">
        <f>IFERROR(IF(OR(A1529="",E1529=""),"",C1529+E1529),"")</f>
        <v/>
      </c>
      <c r="G1529" s="30" t="n"/>
      <c r="H1529" s="27" t="n"/>
    </row>
    <row r="1530" ht="20" customHeight="1">
      <c r="A1530" s="26" t="n"/>
      <c r="B1530" s="31">
        <f>IFERROR(IF(A1530="","",VLOOKUP(A1530,DATABASE!$A:$B,2,0)),"")</f>
        <v/>
      </c>
      <c r="C1530" s="32">
        <f>IFERROR(IF(A1530="","",SUMIF(SAVINGS!$A$3:A1529,A1530,SAVINGS!$E$3:E1529)-SUMIF(WITHDRAWALS!$A:$A,A1530,WITHDRAWALS!$E:$E)),"")</f>
        <v/>
      </c>
      <c r="D1530" s="33">
        <f>IF(A1530="","",TODAY())</f>
        <v/>
      </c>
      <c r="E1530" s="29" t="n"/>
      <c r="F1530" s="32">
        <f>IFERROR(IF(OR(A1530="",E1530=""),"",C1530+E1530),"")</f>
        <v/>
      </c>
      <c r="G1530" s="30" t="n"/>
      <c r="H1530" s="31" t="n"/>
    </row>
    <row r="1531" ht="20" customHeight="1">
      <c r="A1531" s="26" t="n"/>
      <c r="B1531" s="27">
        <f>IFERROR(IF(A1531="","",VLOOKUP(A1531,DATABASE!$A:$B,2,0)),"")</f>
        <v/>
      </c>
      <c r="C1531" s="20">
        <f>IFERROR(IF(A1531="","",SUMIF(SAVINGS!$A$3:A1530,A1531,SAVINGS!$E$3:E1530)-SUMIF(WITHDRAWALS!$A:$A,A1531,WITHDRAWALS!$E:$E)),"")</f>
        <v/>
      </c>
      <c r="D1531" s="28">
        <f>IF(A1531="","",TODAY())</f>
        <v/>
      </c>
      <c r="E1531" s="29" t="n"/>
      <c r="F1531" s="20">
        <f>IFERROR(IF(OR(A1531="",E1531=""),"",C1531+E1531),"")</f>
        <v/>
      </c>
      <c r="G1531" s="30" t="n"/>
      <c r="H1531" s="27" t="n"/>
    </row>
    <row r="1532" ht="20" customHeight="1">
      <c r="A1532" s="26" t="n"/>
      <c r="B1532" s="31">
        <f>IFERROR(IF(A1532="","",VLOOKUP(A1532,DATABASE!$A:$B,2,0)),"")</f>
        <v/>
      </c>
      <c r="C1532" s="32">
        <f>IFERROR(IF(A1532="","",SUMIF(SAVINGS!$A$3:A1531,A1532,SAVINGS!$E$3:E1531)-SUMIF(WITHDRAWALS!$A:$A,A1532,WITHDRAWALS!$E:$E)),"")</f>
        <v/>
      </c>
      <c r="D1532" s="33">
        <f>IF(A1532="","",TODAY())</f>
        <v/>
      </c>
      <c r="E1532" s="29" t="n"/>
      <c r="F1532" s="32">
        <f>IFERROR(IF(OR(A1532="",E1532=""),"",C1532+E1532),"")</f>
        <v/>
      </c>
      <c r="G1532" s="30" t="n"/>
      <c r="H1532" s="31" t="n"/>
    </row>
    <row r="1533" ht="20" customHeight="1">
      <c r="A1533" s="26" t="n"/>
      <c r="B1533" s="27">
        <f>IFERROR(IF(A1533="","",VLOOKUP(A1533,DATABASE!$A:$B,2,0)),"")</f>
        <v/>
      </c>
      <c r="C1533" s="20">
        <f>IFERROR(IF(A1533="","",SUMIF(SAVINGS!$A$3:A1532,A1533,SAVINGS!$E$3:E1532)-SUMIF(WITHDRAWALS!$A:$A,A1533,WITHDRAWALS!$E:$E)),"")</f>
        <v/>
      </c>
      <c r="D1533" s="28">
        <f>IF(A1533="","",TODAY())</f>
        <v/>
      </c>
      <c r="E1533" s="29" t="n"/>
      <c r="F1533" s="20">
        <f>IFERROR(IF(OR(A1533="",E1533=""),"",C1533+E1533),"")</f>
        <v/>
      </c>
      <c r="G1533" s="30" t="n"/>
      <c r="H1533" s="27" t="n"/>
    </row>
    <row r="1534" ht="20" customHeight="1">
      <c r="A1534" s="26" t="n"/>
      <c r="B1534" s="31">
        <f>IFERROR(IF(A1534="","",VLOOKUP(A1534,DATABASE!$A:$B,2,0)),"")</f>
        <v/>
      </c>
      <c r="C1534" s="32">
        <f>IFERROR(IF(A1534="","",SUMIF(SAVINGS!$A$3:A1533,A1534,SAVINGS!$E$3:E1533)-SUMIF(WITHDRAWALS!$A:$A,A1534,WITHDRAWALS!$E:$E)),"")</f>
        <v/>
      </c>
      <c r="D1534" s="33">
        <f>IF(A1534="","",TODAY())</f>
        <v/>
      </c>
      <c r="E1534" s="29" t="n"/>
      <c r="F1534" s="32">
        <f>IFERROR(IF(OR(A1534="",E1534=""),"",C1534+E1534),"")</f>
        <v/>
      </c>
      <c r="G1534" s="30" t="n"/>
      <c r="H1534" s="31" t="n"/>
    </row>
    <row r="1535" ht="20" customHeight="1">
      <c r="A1535" s="26" t="n"/>
      <c r="B1535" s="27">
        <f>IFERROR(IF(A1535="","",VLOOKUP(A1535,DATABASE!$A:$B,2,0)),"")</f>
        <v/>
      </c>
      <c r="C1535" s="20">
        <f>IFERROR(IF(A1535="","",SUMIF(SAVINGS!$A$3:A1534,A1535,SAVINGS!$E$3:E1534)-SUMIF(WITHDRAWALS!$A:$A,A1535,WITHDRAWALS!$E:$E)),"")</f>
        <v/>
      </c>
      <c r="D1535" s="28">
        <f>IF(A1535="","",TODAY())</f>
        <v/>
      </c>
      <c r="E1535" s="29" t="n"/>
      <c r="F1535" s="20">
        <f>IFERROR(IF(OR(A1535="",E1535=""),"",C1535+E1535),"")</f>
        <v/>
      </c>
      <c r="G1535" s="30" t="n"/>
      <c r="H1535" s="27" t="n"/>
    </row>
    <row r="1536" ht="20" customHeight="1">
      <c r="A1536" s="26" t="n"/>
      <c r="B1536" s="31">
        <f>IFERROR(IF(A1536="","",VLOOKUP(A1536,DATABASE!$A:$B,2,0)),"")</f>
        <v/>
      </c>
      <c r="C1536" s="32">
        <f>IFERROR(IF(A1536="","",SUMIF(SAVINGS!$A$3:A1535,A1536,SAVINGS!$E$3:E1535)-SUMIF(WITHDRAWALS!$A:$A,A1536,WITHDRAWALS!$E:$E)),"")</f>
        <v/>
      </c>
      <c r="D1536" s="33">
        <f>IF(A1536="","",TODAY())</f>
        <v/>
      </c>
      <c r="E1536" s="29" t="n"/>
      <c r="F1536" s="32">
        <f>IFERROR(IF(OR(A1536="",E1536=""),"",C1536+E1536),"")</f>
        <v/>
      </c>
      <c r="G1536" s="30" t="n"/>
      <c r="H1536" s="31" t="n"/>
    </row>
    <row r="1537" ht="20" customHeight="1">
      <c r="A1537" s="26" t="n"/>
      <c r="B1537" s="27">
        <f>IFERROR(IF(A1537="","",VLOOKUP(A1537,DATABASE!$A:$B,2,0)),"")</f>
        <v/>
      </c>
      <c r="C1537" s="20">
        <f>IFERROR(IF(A1537="","",SUMIF(SAVINGS!$A$3:A1536,A1537,SAVINGS!$E$3:E1536)-SUMIF(WITHDRAWALS!$A:$A,A1537,WITHDRAWALS!$E:$E)),"")</f>
        <v/>
      </c>
      <c r="D1537" s="28">
        <f>IF(A1537="","",TODAY())</f>
        <v/>
      </c>
      <c r="E1537" s="29" t="n"/>
      <c r="F1537" s="20">
        <f>IFERROR(IF(OR(A1537="",E1537=""),"",C1537+E1537),"")</f>
        <v/>
      </c>
      <c r="G1537" s="30" t="n"/>
      <c r="H1537" s="27" t="n"/>
    </row>
    <row r="1538" ht="20" customHeight="1">
      <c r="A1538" s="26" t="n"/>
      <c r="B1538" s="31">
        <f>IFERROR(IF(A1538="","",VLOOKUP(A1538,DATABASE!$A:$B,2,0)),"")</f>
        <v/>
      </c>
      <c r="C1538" s="32">
        <f>IFERROR(IF(A1538="","",SUMIF(SAVINGS!$A$3:A1537,A1538,SAVINGS!$E$3:E1537)-SUMIF(WITHDRAWALS!$A:$A,A1538,WITHDRAWALS!$E:$E)),"")</f>
        <v/>
      </c>
      <c r="D1538" s="33">
        <f>IF(A1538="","",TODAY())</f>
        <v/>
      </c>
      <c r="E1538" s="29" t="n"/>
      <c r="F1538" s="32">
        <f>IFERROR(IF(OR(A1538="",E1538=""),"",C1538+E1538),"")</f>
        <v/>
      </c>
      <c r="G1538" s="30" t="n"/>
      <c r="H1538" s="31" t="n"/>
    </row>
    <row r="1539" ht="20" customHeight="1">
      <c r="A1539" s="26" t="n"/>
      <c r="B1539" s="27">
        <f>IFERROR(IF(A1539="","",VLOOKUP(A1539,DATABASE!$A:$B,2,0)),"")</f>
        <v/>
      </c>
      <c r="C1539" s="20">
        <f>IFERROR(IF(A1539="","",SUMIF(SAVINGS!$A$3:A1538,A1539,SAVINGS!$E$3:E1538)-SUMIF(WITHDRAWALS!$A:$A,A1539,WITHDRAWALS!$E:$E)),"")</f>
        <v/>
      </c>
      <c r="D1539" s="28">
        <f>IF(A1539="","",TODAY())</f>
        <v/>
      </c>
      <c r="E1539" s="29" t="n"/>
      <c r="F1539" s="20">
        <f>IFERROR(IF(OR(A1539="",E1539=""),"",C1539+E1539),"")</f>
        <v/>
      </c>
      <c r="G1539" s="30" t="n"/>
      <c r="H1539" s="27" t="n"/>
    </row>
    <row r="1540" ht="20" customHeight="1">
      <c r="A1540" s="26" t="n"/>
      <c r="B1540" s="31">
        <f>IFERROR(IF(A1540="","",VLOOKUP(A1540,DATABASE!$A:$B,2,0)),"")</f>
        <v/>
      </c>
      <c r="C1540" s="32">
        <f>IFERROR(IF(A1540="","",SUMIF(SAVINGS!$A$3:A1539,A1540,SAVINGS!$E$3:E1539)-SUMIF(WITHDRAWALS!$A:$A,A1540,WITHDRAWALS!$E:$E)),"")</f>
        <v/>
      </c>
      <c r="D1540" s="33">
        <f>IF(A1540="","",TODAY())</f>
        <v/>
      </c>
      <c r="E1540" s="29" t="n"/>
      <c r="F1540" s="32">
        <f>IFERROR(IF(OR(A1540="",E1540=""),"",C1540+E1540),"")</f>
        <v/>
      </c>
      <c r="G1540" s="30" t="n"/>
      <c r="H1540" s="31" t="n"/>
    </row>
    <row r="1541" ht="20" customHeight="1">
      <c r="A1541" s="26" t="n"/>
      <c r="B1541" s="27">
        <f>IFERROR(IF(A1541="","",VLOOKUP(A1541,DATABASE!$A:$B,2,0)),"")</f>
        <v/>
      </c>
      <c r="C1541" s="20">
        <f>IFERROR(IF(A1541="","",SUMIF(SAVINGS!$A$3:A1540,A1541,SAVINGS!$E$3:E1540)-SUMIF(WITHDRAWALS!$A:$A,A1541,WITHDRAWALS!$E:$E)),"")</f>
        <v/>
      </c>
      <c r="D1541" s="28">
        <f>IF(A1541="","",TODAY())</f>
        <v/>
      </c>
      <c r="E1541" s="29" t="n"/>
      <c r="F1541" s="20">
        <f>IFERROR(IF(OR(A1541="",E1541=""),"",C1541+E1541),"")</f>
        <v/>
      </c>
      <c r="G1541" s="30" t="n"/>
      <c r="H1541" s="27" t="n"/>
    </row>
    <row r="1542" ht="20" customHeight="1">
      <c r="A1542" s="26" t="n"/>
      <c r="B1542" s="31">
        <f>IFERROR(IF(A1542="","",VLOOKUP(A1542,DATABASE!$A:$B,2,0)),"")</f>
        <v/>
      </c>
      <c r="C1542" s="32">
        <f>IFERROR(IF(A1542="","",SUMIF(SAVINGS!$A$3:A1541,A1542,SAVINGS!$E$3:E1541)-SUMIF(WITHDRAWALS!$A:$A,A1542,WITHDRAWALS!$E:$E)),"")</f>
        <v/>
      </c>
      <c r="D1542" s="33">
        <f>IF(A1542="","",TODAY())</f>
        <v/>
      </c>
      <c r="E1542" s="29" t="n"/>
      <c r="F1542" s="32">
        <f>IFERROR(IF(OR(A1542="",E1542=""),"",C1542+E1542),"")</f>
        <v/>
      </c>
      <c r="G1542" s="30" t="n"/>
      <c r="H1542" s="31" t="n"/>
    </row>
    <row r="1543" ht="20" customHeight="1">
      <c r="A1543" s="26" t="n"/>
      <c r="B1543" s="27">
        <f>IFERROR(IF(A1543="","",VLOOKUP(A1543,DATABASE!$A:$B,2,0)),"")</f>
        <v/>
      </c>
      <c r="C1543" s="20">
        <f>IFERROR(IF(A1543="","",SUMIF(SAVINGS!$A$3:A1542,A1543,SAVINGS!$E$3:E1542)-SUMIF(WITHDRAWALS!$A:$A,A1543,WITHDRAWALS!$E:$E)),"")</f>
        <v/>
      </c>
      <c r="D1543" s="28">
        <f>IF(A1543="","",TODAY())</f>
        <v/>
      </c>
      <c r="E1543" s="29" t="n"/>
      <c r="F1543" s="20">
        <f>IFERROR(IF(OR(A1543="",E1543=""),"",C1543+E1543),"")</f>
        <v/>
      </c>
      <c r="G1543" s="30" t="n"/>
      <c r="H1543" s="27" t="n"/>
    </row>
    <row r="1544" ht="20" customHeight="1">
      <c r="A1544" s="26" t="n"/>
      <c r="B1544" s="31">
        <f>IFERROR(IF(A1544="","",VLOOKUP(A1544,DATABASE!$A:$B,2,0)),"")</f>
        <v/>
      </c>
      <c r="C1544" s="32">
        <f>IFERROR(IF(A1544="","",SUMIF(SAVINGS!$A$3:A1543,A1544,SAVINGS!$E$3:E1543)-SUMIF(WITHDRAWALS!$A:$A,A1544,WITHDRAWALS!$E:$E)),"")</f>
        <v/>
      </c>
      <c r="D1544" s="33">
        <f>IF(A1544="","",TODAY())</f>
        <v/>
      </c>
      <c r="E1544" s="29" t="n"/>
      <c r="F1544" s="32">
        <f>IFERROR(IF(OR(A1544="",E1544=""),"",C1544+E1544),"")</f>
        <v/>
      </c>
      <c r="G1544" s="30" t="n"/>
      <c r="H1544" s="31" t="n"/>
    </row>
    <row r="1545" ht="20" customHeight="1">
      <c r="A1545" s="26" t="n"/>
      <c r="B1545" s="27">
        <f>IFERROR(IF(A1545="","",VLOOKUP(A1545,DATABASE!$A:$B,2,0)),"")</f>
        <v/>
      </c>
      <c r="C1545" s="20">
        <f>IFERROR(IF(A1545="","",SUMIF(SAVINGS!$A$3:A1544,A1545,SAVINGS!$E$3:E1544)-SUMIF(WITHDRAWALS!$A:$A,A1545,WITHDRAWALS!$E:$E)),"")</f>
        <v/>
      </c>
      <c r="D1545" s="28">
        <f>IF(A1545="","",TODAY())</f>
        <v/>
      </c>
      <c r="E1545" s="29" t="n"/>
      <c r="F1545" s="20">
        <f>IFERROR(IF(OR(A1545="",E1545=""),"",C1545+E1545),"")</f>
        <v/>
      </c>
      <c r="G1545" s="30" t="n"/>
      <c r="H1545" s="27" t="n"/>
    </row>
    <row r="1546" ht="20" customHeight="1">
      <c r="A1546" s="26" t="n"/>
      <c r="B1546" s="31">
        <f>IFERROR(IF(A1546="","",VLOOKUP(A1546,DATABASE!$A:$B,2,0)),"")</f>
        <v/>
      </c>
      <c r="C1546" s="32">
        <f>IFERROR(IF(A1546="","",SUMIF(SAVINGS!$A$3:A1545,A1546,SAVINGS!$E$3:E1545)-SUMIF(WITHDRAWALS!$A:$A,A1546,WITHDRAWALS!$E:$E)),"")</f>
        <v/>
      </c>
      <c r="D1546" s="33">
        <f>IF(A1546="","",TODAY())</f>
        <v/>
      </c>
      <c r="E1546" s="29" t="n"/>
      <c r="F1546" s="32">
        <f>IFERROR(IF(OR(A1546="",E1546=""),"",C1546+E1546),"")</f>
        <v/>
      </c>
      <c r="G1546" s="30" t="n"/>
      <c r="H1546" s="31" t="n"/>
    </row>
    <row r="1547" ht="20" customHeight="1">
      <c r="A1547" s="26" t="n"/>
      <c r="B1547" s="27">
        <f>IFERROR(IF(A1547="","",VLOOKUP(A1547,DATABASE!$A:$B,2,0)),"")</f>
        <v/>
      </c>
      <c r="C1547" s="20">
        <f>IFERROR(IF(A1547="","",SUMIF(SAVINGS!$A$3:A1546,A1547,SAVINGS!$E$3:E1546)-SUMIF(WITHDRAWALS!$A:$A,A1547,WITHDRAWALS!$E:$E)),"")</f>
        <v/>
      </c>
      <c r="D1547" s="28">
        <f>IF(A1547="","",TODAY())</f>
        <v/>
      </c>
      <c r="E1547" s="29" t="n"/>
      <c r="F1547" s="20">
        <f>IFERROR(IF(OR(A1547="",E1547=""),"",C1547+E1547),"")</f>
        <v/>
      </c>
      <c r="G1547" s="30" t="n"/>
      <c r="H1547" s="27" t="n"/>
    </row>
    <row r="1548" ht="20" customHeight="1">
      <c r="A1548" s="26" t="n"/>
      <c r="B1548" s="31">
        <f>IFERROR(IF(A1548="","",VLOOKUP(A1548,DATABASE!$A:$B,2,0)),"")</f>
        <v/>
      </c>
      <c r="C1548" s="32">
        <f>IFERROR(IF(A1548="","",SUMIF(SAVINGS!$A$3:A1547,A1548,SAVINGS!$E$3:E1547)-SUMIF(WITHDRAWALS!$A:$A,A1548,WITHDRAWALS!$E:$E)),"")</f>
        <v/>
      </c>
      <c r="D1548" s="33">
        <f>IF(A1548="","",TODAY())</f>
        <v/>
      </c>
      <c r="E1548" s="29" t="n"/>
      <c r="F1548" s="32">
        <f>IFERROR(IF(OR(A1548="",E1548=""),"",C1548+E1548),"")</f>
        <v/>
      </c>
      <c r="G1548" s="30" t="n"/>
      <c r="H1548" s="31" t="n"/>
    </row>
    <row r="1549" ht="20" customHeight="1">
      <c r="A1549" s="26" t="n"/>
      <c r="B1549" s="27">
        <f>IFERROR(IF(A1549="","",VLOOKUP(A1549,DATABASE!$A:$B,2,0)),"")</f>
        <v/>
      </c>
      <c r="C1549" s="20">
        <f>IFERROR(IF(A1549="","",SUMIF(SAVINGS!$A$3:A1548,A1549,SAVINGS!$E$3:E1548)-SUMIF(WITHDRAWALS!$A:$A,A1549,WITHDRAWALS!$E:$E)),"")</f>
        <v/>
      </c>
      <c r="D1549" s="28">
        <f>IF(A1549="","",TODAY())</f>
        <v/>
      </c>
      <c r="E1549" s="29" t="n"/>
      <c r="F1549" s="20">
        <f>IFERROR(IF(OR(A1549="",E1549=""),"",C1549+E1549),"")</f>
        <v/>
      </c>
      <c r="G1549" s="30" t="n"/>
      <c r="H1549" s="27" t="n"/>
    </row>
    <row r="1550" ht="20" customHeight="1">
      <c r="A1550" s="26" t="n"/>
      <c r="B1550" s="31">
        <f>IFERROR(IF(A1550="","",VLOOKUP(A1550,DATABASE!$A:$B,2,0)),"")</f>
        <v/>
      </c>
      <c r="C1550" s="32">
        <f>IFERROR(IF(A1550="","",SUMIF(SAVINGS!$A$3:A1549,A1550,SAVINGS!$E$3:E1549)-SUMIF(WITHDRAWALS!$A:$A,A1550,WITHDRAWALS!$E:$E)),"")</f>
        <v/>
      </c>
      <c r="D1550" s="33">
        <f>IF(A1550="","",TODAY())</f>
        <v/>
      </c>
      <c r="E1550" s="29" t="n"/>
      <c r="F1550" s="32">
        <f>IFERROR(IF(OR(A1550="",E1550=""),"",C1550+E1550),"")</f>
        <v/>
      </c>
      <c r="G1550" s="30" t="n"/>
      <c r="H1550" s="31" t="n"/>
    </row>
    <row r="1551" ht="20" customHeight="1">
      <c r="A1551" s="26" t="n"/>
      <c r="B1551" s="27">
        <f>IFERROR(IF(A1551="","",VLOOKUP(A1551,DATABASE!$A:$B,2,0)),"")</f>
        <v/>
      </c>
      <c r="C1551" s="20">
        <f>IFERROR(IF(A1551="","",SUMIF(SAVINGS!$A$3:A1550,A1551,SAVINGS!$E$3:E1550)-SUMIF(WITHDRAWALS!$A:$A,A1551,WITHDRAWALS!$E:$E)),"")</f>
        <v/>
      </c>
      <c r="D1551" s="28">
        <f>IF(A1551="","",TODAY())</f>
        <v/>
      </c>
      <c r="E1551" s="29" t="n"/>
      <c r="F1551" s="20">
        <f>IFERROR(IF(OR(A1551="",E1551=""),"",C1551+E1551),"")</f>
        <v/>
      </c>
      <c r="G1551" s="30" t="n"/>
      <c r="H1551" s="27" t="n"/>
    </row>
    <row r="1552" ht="20" customHeight="1">
      <c r="A1552" s="26" t="n"/>
      <c r="B1552" s="31">
        <f>IFERROR(IF(A1552="","",VLOOKUP(A1552,DATABASE!$A:$B,2,0)),"")</f>
        <v/>
      </c>
      <c r="C1552" s="32">
        <f>IFERROR(IF(A1552="","",SUMIF(SAVINGS!$A$3:A1551,A1552,SAVINGS!$E$3:E1551)-SUMIF(WITHDRAWALS!$A:$A,A1552,WITHDRAWALS!$E:$E)),"")</f>
        <v/>
      </c>
      <c r="D1552" s="33">
        <f>IF(A1552="","",TODAY())</f>
        <v/>
      </c>
      <c r="E1552" s="29" t="n"/>
      <c r="F1552" s="32">
        <f>IFERROR(IF(OR(A1552="",E1552=""),"",C1552+E1552),"")</f>
        <v/>
      </c>
      <c r="G1552" s="30" t="n"/>
      <c r="H1552" s="31" t="n"/>
    </row>
    <row r="1553" ht="20" customHeight="1">
      <c r="A1553" s="26" t="n"/>
      <c r="B1553" s="27">
        <f>IFERROR(IF(A1553="","",VLOOKUP(A1553,DATABASE!$A:$B,2,0)),"")</f>
        <v/>
      </c>
      <c r="C1553" s="20">
        <f>IFERROR(IF(A1553="","",SUMIF(SAVINGS!$A$3:A1552,A1553,SAVINGS!$E$3:E1552)-SUMIF(WITHDRAWALS!$A:$A,A1553,WITHDRAWALS!$E:$E)),"")</f>
        <v/>
      </c>
      <c r="D1553" s="28">
        <f>IF(A1553="","",TODAY())</f>
        <v/>
      </c>
      <c r="E1553" s="29" t="n"/>
      <c r="F1553" s="20">
        <f>IFERROR(IF(OR(A1553="",E1553=""),"",C1553+E1553),"")</f>
        <v/>
      </c>
      <c r="G1553" s="30" t="n"/>
      <c r="H1553" s="27" t="n"/>
    </row>
    <row r="1554" ht="20" customHeight="1">
      <c r="A1554" s="26" t="n"/>
      <c r="B1554" s="31">
        <f>IFERROR(IF(A1554="","",VLOOKUP(A1554,DATABASE!$A:$B,2,0)),"")</f>
        <v/>
      </c>
      <c r="C1554" s="32">
        <f>IFERROR(IF(A1554="","",SUMIF(SAVINGS!$A$3:A1553,A1554,SAVINGS!$E$3:E1553)-SUMIF(WITHDRAWALS!$A:$A,A1554,WITHDRAWALS!$E:$E)),"")</f>
        <v/>
      </c>
      <c r="D1554" s="33">
        <f>IF(A1554="","",TODAY())</f>
        <v/>
      </c>
      <c r="E1554" s="29" t="n"/>
      <c r="F1554" s="32">
        <f>IFERROR(IF(OR(A1554="",E1554=""),"",C1554+E1554),"")</f>
        <v/>
      </c>
      <c r="G1554" s="30" t="n"/>
      <c r="H1554" s="31" t="n"/>
    </row>
    <row r="1555" ht="20" customHeight="1">
      <c r="A1555" s="26" t="n"/>
      <c r="B1555" s="27">
        <f>IFERROR(IF(A1555="","",VLOOKUP(A1555,DATABASE!$A:$B,2,0)),"")</f>
        <v/>
      </c>
      <c r="C1555" s="20">
        <f>IFERROR(IF(A1555="","",SUMIF(SAVINGS!$A$3:A1554,A1555,SAVINGS!$E$3:E1554)-SUMIF(WITHDRAWALS!$A:$A,A1555,WITHDRAWALS!$E:$E)),"")</f>
        <v/>
      </c>
      <c r="D1555" s="28">
        <f>IF(A1555="","",TODAY())</f>
        <v/>
      </c>
      <c r="E1555" s="29" t="n"/>
      <c r="F1555" s="20">
        <f>IFERROR(IF(OR(A1555="",E1555=""),"",C1555+E1555),"")</f>
        <v/>
      </c>
      <c r="G1555" s="30" t="n"/>
      <c r="H1555" s="27" t="n"/>
    </row>
    <row r="1556" ht="20" customHeight="1">
      <c r="A1556" s="26" t="n"/>
      <c r="B1556" s="31">
        <f>IFERROR(IF(A1556="","",VLOOKUP(A1556,DATABASE!$A:$B,2,0)),"")</f>
        <v/>
      </c>
      <c r="C1556" s="32">
        <f>IFERROR(IF(A1556="","",SUMIF(SAVINGS!$A$3:A1555,A1556,SAVINGS!$E$3:E1555)-SUMIF(WITHDRAWALS!$A:$A,A1556,WITHDRAWALS!$E:$E)),"")</f>
        <v/>
      </c>
      <c r="D1556" s="33">
        <f>IF(A1556="","",TODAY())</f>
        <v/>
      </c>
      <c r="E1556" s="29" t="n"/>
      <c r="F1556" s="32">
        <f>IFERROR(IF(OR(A1556="",E1556=""),"",C1556+E1556),"")</f>
        <v/>
      </c>
      <c r="G1556" s="30" t="n"/>
      <c r="H1556" s="31" t="n"/>
    </row>
    <row r="1557" ht="20" customHeight="1">
      <c r="A1557" s="26" t="n"/>
      <c r="B1557" s="27">
        <f>IFERROR(IF(A1557="","",VLOOKUP(A1557,DATABASE!$A:$B,2,0)),"")</f>
        <v/>
      </c>
      <c r="C1557" s="20">
        <f>IFERROR(IF(A1557="","",SUMIF(SAVINGS!$A$3:A1556,A1557,SAVINGS!$E$3:E1556)-SUMIF(WITHDRAWALS!$A:$A,A1557,WITHDRAWALS!$E:$E)),"")</f>
        <v/>
      </c>
      <c r="D1557" s="28">
        <f>IF(A1557="","",TODAY())</f>
        <v/>
      </c>
      <c r="E1557" s="29" t="n"/>
      <c r="F1557" s="20">
        <f>IFERROR(IF(OR(A1557="",E1557=""),"",C1557+E1557),"")</f>
        <v/>
      </c>
      <c r="G1557" s="30" t="n"/>
      <c r="H1557" s="27" t="n"/>
    </row>
    <row r="1558" ht="20" customHeight="1">
      <c r="A1558" s="26" t="n"/>
      <c r="B1558" s="31">
        <f>IFERROR(IF(A1558="","",VLOOKUP(A1558,DATABASE!$A:$B,2,0)),"")</f>
        <v/>
      </c>
      <c r="C1558" s="32">
        <f>IFERROR(IF(A1558="","",SUMIF(SAVINGS!$A$3:A1557,A1558,SAVINGS!$E$3:E1557)-SUMIF(WITHDRAWALS!$A:$A,A1558,WITHDRAWALS!$E:$E)),"")</f>
        <v/>
      </c>
      <c r="D1558" s="33">
        <f>IF(A1558="","",TODAY())</f>
        <v/>
      </c>
      <c r="E1558" s="29" t="n"/>
      <c r="F1558" s="32">
        <f>IFERROR(IF(OR(A1558="",E1558=""),"",C1558+E1558),"")</f>
        <v/>
      </c>
      <c r="G1558" s="30" t="n"/>
      <c r="H1558" s="31" t="n"/>
    </row>
    <row r="1559" ht="20" customHeight="1">
      <c r="A1559" s="26" t="n"/>
      <c r="B1559" s="27">
        <f>IFERROR(IF(A1559="","",VLOOKUP(A1559,DATABASE!$A:$B,2,0)),"")</f>
        <v/>
      </c>
      <c r="C1559" s="20">
        <f>IFERROR(IF(A1559="","",SUMIF(SAVINGS!$A$3:A1558,A1559,SAVINGS!$E$3:E1558)-SUMIF(WITHDRAWALS!$A:$A,A1559,WITHDRAWALS!$E:$E)),"")</f>
        <v/>
      </c>
      <c r="D1559" s="28">
        <f>IF(A1559="","",TODAY())</f>
        <v/>
      </c>
      <c r="E1559" s="29" t="n"/>
      <c r="F1559" s="20">
        <f>IFERROR(IF(OR(A1559="",E1559=""),"",C1559+E1559),"")</f>
        <v/>
      </c>
      <c r="G1559" s="30" t="n"/>
      <c r="H1559" s="27" t="n"/>
    </row>
    <row r="1560" ht="20" customHeight="1">
      <c r="A1560" s="26" t="n"/>
      <c r="B1560" s="31">
        <f>IFERROR(IF(A1560="","",VLOOKUP(A1560,DATABASE!$A:$B,2,0)),"")</f>
        <v/>
      </c>
      <c r="C1560" s="32">
        <f>IFERROR(IF(A1560="","",SUMIF(SAVINGS!$A$3:A1559,A1560,SAVINGS!$E$3:E1559)-SUMIF(WITHDRAWALS!$A:$A,A1560,WITHDRAWALS!$E:$E)),"")</f>
        <v/>
      </c>
      <c r="D1560" s="33">
        <f>IF(A1560="","",TODAY())</f>
        <v/>
      </c>
      <c r="E1560" s="29" t="n"/>
      <c r="F1560" s="32">
        <f>IFERROR(IF(OR(A1560="",E1560=""),"",C1560+E1560),"")</f>
        <v/>
      </c>
      <c r="G1560" s="30" t="n"/>
      <c r="H1560" s="31" t="n"/>
    </row>
    <row r="1561" ht="20" customHeight="1">
      <c r="A1561" s="26" t="n"/>
      <c r="B1561" s="27">
        <f>IFERROR(IF(A1561="","",VLOOKUP(A1561,DATABASE!$A:$B,2,0)),"")</f>
        <v/>
      </c>
      <c r="C1561" s="20">
        <f>IFERROR(IF(A1561="","",SUMIF(SAVINGS!$A$3:A1560,A1561,SAVINGS!$E$3:E1560)-SUMIF(WITHDRAWALS!$A:$A,A1561,WITHDRAWALS!$E:$E)),"")</f>
        <v/>
      </c>
      <c r="D1561" s="28">
        <f>IF(A1561="","",TODAY())</f>
        <v/>
      </c>
      <c r="E1561" s="29" t="n"/>
      <c r="F1561" s="20">
        <f>IFERROR(IF(OR(A1561="",E1561=""),"",C1561+E1561),"")</f>
        <v/>
      </c>
      <c r="G1561" s="30" t="n"/>
      <c r="H1561" s="27" t="n"/>
    </row>
    <row r="1562" ht="20" customHeight="1">
      <c r="A1562" s="26" t="n"/>
      <c r="B1562" s="31">
        <f>IFERROR(IF(A1562="","",VLOOKUP(A1562,DATABASE!$A:$B,2,0)),"")</f>
        <v/>
      </c>
      <c r="C1562" s="32">
        <f>IFERROR(IF(A1562="","",SUMIF(SAVINGS!$A$3:A1561,A1562,SAVINGS!$E$3:E1561)-SUMIF(WITHDRAWALS!$A:$A,A1562,WITHDRAWALS!$E:$E)),"")</f>
        <v/>
      </c>
      <c r="D1562" s="33">
        <f>IF(A1562="","",TODAY())</f>
        <v/>
      </c>
      <c r="E1562" s="29" t="n"/>
      <c r="F1562" s="32">
        <f>IFERROR(IF(OR(A1562="",E1562=""),"",C1562+E1562),"")</f>
        <v/>
      </c>
      <c r="G1562" s="30" t="n"/>
      <c r="H1562" s="31" t="n"/>
    </row>
    <row r="1563" ht="20" customHeight="1">
      <c r="A1563" s="26" t="n"/>
      <c r="B1563" s="27">
        <f>IFERROR(IF(A1563="","",VLOOKUP(A1563,DATABASE!$A:$B,2,0)),"")</f>
        <v/>
      </c>
      <c r="C1563" s="20">
        <f>IFERROR(IF(A1563="","",SUMIF(SAVINGS!$A$3:A1562,A1563,SAVINGS!$E$3:E1562)-SUMIF(WITHDRAWALS!$A:$A,A1563,WITHDRAWALS!$E:$E)),"")</f>
        <v/>
      </c>
      <c r="D1563" s="28">
        <f>IF(A1563="","",TODAY())</f>
        <v/>
      </c>
      <c r="E1563" s="29" t="n"/>
      <c r="F1563" s="20">
        <f>IFERROR(IF(OR(A1563="",E1563=""),"",C1563+E1563),"")</f>
        <v/>
      </c>
      <c r="G1563" s="30" t="n"/>
      <c r="H1563" s="27" t="n"/>
    </row>
    <row r="1564" ht="20" customHeight="1">
      <c r="A1564" s="26" t="n"/>
      <c r="B1564" s="31">
        <f>IFERROR(IF(A1564="","",VLOOKUP(A1564,DATABASE!$A:$B,2,0)),"")</f>
        <v/>
      </c>
      <c r="C1564" s="32">
        <f>IFERROR(IF(A1564="","",SUMIF(SAVINGS!$A$3:A1563,A1564,SAVINGS!$E$3:E1563)-SUMIF(WITHDRAWALS!$A:$A,A1564,WITHDRAWALS!$E:$E)),"")</f>
        <v/>
      </c>
      <c r="D1564" s="33">
        <f>IF(A1564="","",TODAY())</f>
        <v/>
      </c>
      <c r="E1564" s="29" t="n"/>
      <c r="F1564" s="32">
        <f>IFERROR(IF(OR(A1564="",E1564=""),"",C1564+E1564),"")</f>
        <v/>
      </c>
      <c r="G1564" s="30" t="n"/>
      <c r="H1564" s="31" t="n"/>
    </row>
    <row r="1565" ht="20" customHeight="1">
      <c r="A1565" s="26" t="n"/>
      <c r="B1565" s="27">
        <f>IFERROR(IF(A1565="","",VLOOKUP(A1565,DATABASE!$A:$B,2,0)),"")</f>
        <v/>
      </c>
      <c r="C1565" s="20">
        <f>IFERROR(IF(A1565="","",SUMIF(SAVINGS!$A$3:A1564,A1565,SAVINGS!$E$3:E1564)-SUMIF(WITHDRAWALS!$A:$A,A1565,WITHDRAWALS!$E:$E)),"")</f>
        <v/>
      </c>
      <c r="D1565" s="28">
        <f>IF(A1565="","",TODAY())</f>
        <v/>
      </c>
      <c r="E1565" s="29" t="n"/>
      <c r="F1565" s="20">
        <f>IFERROR(IF(OR(A1565="",E1565=""),"",C1565+E1565),"")</f>
        <v/>
      </c>
      <c r="G1565" s="30" t="n"/>
      <c r="H1565" s="27" t="n"/>
    </row>
    <row r="1566" ht="20" customHeight="1">
      <c r="A1566" s="26" t="n"/>
      <c r="B1566" s="31">
        <f>IFERROR(IF(A1566="","",VLOOKUP(A1566,DATABASE!$A:$B,2,0)),"")</f>
        <v/>
      </c>
      <c r="C1566" s="32">
        <f>IFERROR(IF(A1566="","",SUMIF(SAVINGS!$A$3:A1565,A1566,SAVINGS!$E$3:E1565)-SUMIF(WITHDRAWALS!$A:$A,A1566,WITHDRAWALS!$E:$E)),"")</f>
        <v/>
      </c>
      <c r="D1566" s="33">
        <f>IF(A1566="","",TODAY())</f>
        <v/>
      </c>
      <c r="E1566" s="29" t="n"/>
      <c r="F1566" s="32">
        <f>IFERROR(IF(OR(A1566="",E1566=""),"",C1566+E1566),"")</f>
        <v/>
      </c>
      <c r="G1566" s="30" t="n"/>
      <c r="H1566" s="31" t="n"/>
    </row>
    <row r="1567" ht="20" customHeight="1">
      <c r="A1567" s="26" t="n"/>
      <c r="B1567" s="27">
        <f>IFERROR(IF(A1567="","",VLOOKUP(A1567,DATABASE!$A:$B,2,0)),"")</f>
        <v/>
      </c>
      <c r="C1567" s="20">
        <f>IFERROR(IF(A1567="","",SUMIF(SAVINGS!$A$3:A1566,A1567,SAVINGS!$E$3:E1566)-SUMIF(WITHDRAWALS!$A:$A,A1567,WITHDRAWALS!$E:$E)),"")</f>
        <v/>
      </c>
      <c r="D1567" s="28">
        <f>IF(A1567="","",TODAY())</f>
        <v/>
      </c>
      <c r="E1567" s="29" t="n"/>
      <c r="F1567" s="20">
        <f>IFERROR(IF(OR(A1567="",E1567=""),"",C1567+E1567),"")</f>
        <v/>
      </c>
      <c r="G1567" s="30" t="n"/>
      <c r="H1567" s="27" t="n"/>
    </row>
    <row r="1568" ht="20" customHeight="1">
      <c r="A1568" s="26" t="n"/>
      <c r="B1568" s="31">
        <f>IFERROR(IF(A1568="","",VLOOKUP(A1568,DATABASE!$A:$B,2,0)),"")</f>
        <v/>
      </c>
      <c r="C1568" s="32">
        <f>IFERROR(IF(A1568="","",SUMIF(SAVINGS!$A$3:A1567,A1568,SAVINGS!$E$3:E1567)-SUMIF(WITHDRAWALS!$A:$A,A1568,WITHDRAWALS!$E:$E)),"")</f>
        <v/>
      </c>
      <c r="D1568" s="33">
        <f>IF(A1568="","",TODAY())</f>
        <v/>
      </c>
      <c r="E1568" s="29" t="n"/>
      <c r="F1568" s="32">
        <f>IFERROR(IF(OR(A1568="",E1568=""),"",C1568+E1568),"")</f>
        <v/>
      </c>
      <c r="G1568" s="30" t="n"/>
      <c r="H1568" s="31" t="n"/>
    </row>
    <row r="1569" ht="20" customHeight="1">
      <c r="A1569" s="26" t="n"/>
      <c r="B1569" s="27">
        <f>IFERROR(IF(A1569="","",VLOOKUP(A1569,DATABASE!$A:$B,2,0)),"")</f>
        <v/>
      </c>
      <c r="C1569" s="20">
        <f>IFERROR(IF(A1569="","",SUMIF(SAVINGS!$A$3:A1568,A1569,SAVINGS!$E$3:E1568)-SUMIF(WITHDRAWALS!$A:$A,A1569,WITHDRAWALS!$E:$E)),"")</f>
        <v/>
      </c>
      <c r="D1569" s="28">
        <f>IF(A1569="","",TODAY())</f>
        <v/>
      </c>
      <c r="E1569" s="29" t="n"/>
      <c r="F1569" s="20">
        <f>IFERROR(IF(OR(A1569="",E1569=""),"",C1569+E1569),"")</f>
        <v/>
      </c>
      <c r="G1569" s="30" t="n"/>
      <c r="H1569" s="27" t="n"/>
    </row>
    <row r="1570" ht="20" customHeight="1">
      <c r="A1570" s="26" t="n"/>
      <c r="B1570" s="31">
        <f>IFERROR(IF(A1570="","",VLOOKUP(A1570,DATABASE!$A:$B,2,0)),"")</f>
        <v/>
      </c>
      <c r="C1570" s="32">
        <f>IFERROR(IF(A1570="","",SUMIF(SAVINGS!$A$3:A1569,A1570,SAVINGS!$E$3:E1569)-SUMIF(WITHDRAWALS!$A:$A,A1570,WITHDRAWALS!$E:$E)),"")</f>
        <v/>
      </c>
      <c r="D1570" s="33">
        <f>IF(A1570="","",TODAY())</f>
        <v/>
      </c>
      <c r="E1570" s="29" t="n"/>
      <c r="F1570" s="32">
        <f>IFERROR(IF(OR(A1570="",E1570=""),"",C1570+E1570),"")</f>
        <v/>
      </c>
      <c r="G1570" s="30" t="n"/>
      <c r="H1570" s="31" t="n"/>
    </row>
    <row r="1571" ht="20" customHeight="1">
      <c r="A1571" s="26" t="n"/>
      <c r="B1571" s="27">
        <f>IFERROR(IF(A1571="","",VLOOKUP(A1571,DATABASE!$A:$B,2,0)),"")</f>
        <v/>
      </c>
      <c r="C1571" s="20">
        <f>IFERROR(IF(A1571="","",SUMIF(SAVINGS!$A$3:A1570,A1571,SAVINGS!$E$3:E1570)-SUMIF(WITHDRAWALS!$A:$A,A1571,WITHDRAWALS!$E:$E)),"")</f>
        <v/>
      </c>
      <c r="D1571" s="28">
        <f>IF(A1571="","",TODAY())</f>
        <v/>
      </c>
      <c r="E1571" s="29" t="n"/>
      <c r="F1571" s="20">
        <f>IFERROR(IF(OR(A1571="",E1571=""),"",C1571+E1571),"")</f>
        <v/>
      </c>
      <c r="G1571" s="30" t="n"/>
      <c r="H1571" s="27" t="n"/>
    </row>
    <row r="1572" ht="20" customHeight="1">
      <c r="A1572" s="26" t="n"/>
      <c r="B1572" s="31">
        <f>IFERROR(IF(A1572="","",VLOOKUP(A1572,DATABASE!$A:$B,2,0)),"")</f>
        <v/>
      </c>
      <c r="C1572" s="32">
        <f>IFERROR(IF(A1572="","",SUMIF(SAVINGS!$A$3:A1571,A1572,SAVINGS!$E$3:E1571)-SUMIF(WITHDRAWALS!$A:$A,A1572,WITHDRAWALS!$E:$E)),"")</f>
        <v/>
      </c>
      <c r="D1572" s="33">
        <f>IF(A1572="","",TODAY())</f>
        <v/>
      </c>
      <c r="E1572" s="29" t="n"/>
      <c r="F1572" s="32">
        <f>IFERROR(IF(OR(A1572="",E1572=""),"",C1572+E1572),"")</f>
        <v/>
      </c>
      <c r="G1572" s="30" t="n"/>
      <c r="H1572" s="31" t="n"/>
    </row>
    <row r="1573" ht="20" customHeight="1">
      <c r="A1573" s="26" t="n"/>
      <c r="B1573" s="27">
        <f>IFERROR(IF(A1573="","",VLOOKUP(A1573,DATABASE!$A:$B,2,0)),"")</f>
        <v/>
      </c>
      <c r="C1573" s="20">
        <f>IFERROR(IF(A1573="","",SUMIF(SAVINGS!$A$3:A1572,A1573,SAVINGS!$E$3:E1572)-SUMIF(WITHDRAWALS!$A:$A,A1573,WITHDRAWALS!$E:$E)),"")</f>
        <v/>
      </c>
      <c r="D1573" s="28">
        <f>IF(A1573="","",TODAY())</f>
        <v/>
      </c>
      <c r="E1573" s="29" t="n"/>
      <c r="F1573" s="20">
        <f>IFERROR(IF(OR(A1573="",E1573=""),"",C1573+E1573),"")</f>
        <v/>
      </c>
      <c r="G1573" s="30" t="n"/>
      <c r="H1573" s="27" t="n"/>
    </row>
    <row r="1574" ht="20" customHeight="1">
      <c r="A1574" s="26" t="n"/>
      <c r="B1574" s="31">
        <f>IFERROR(IF(A1574="","",VLOOKUP(A1574,DATABASE!$A:$B,2,0)),"")</f>
        <v/>
      </c>
      <c r="C1574" s="32">
        <f>IFERROR(IF(A1574="","",SUMIF(SAVINGS!$A$3:A1573,A1574,SAVINGS!$E$3:E1573)-SUMIF(WITHDRAWALS!$A:$A,A1574,WITHDRAWALS!$E:$E)),"")</f>
        <v/>
      </c>
      <c r="D1574" s="33">
        <f>IF(A1574="","",TODAY())</f>
        <v/>
      </c>
      <c r="E1574" s="29" t="n"/>
      <c r="F1574" s="32">
        <f>IFERROR(IF(OR(A1574="",E1574=""),"",C1574+E1574),"")</f>
        <v/>
      </c>
      <c r="G1574" s="30" t="n"/>
      <c r="H1574" s="31" t="n"/>
    </row>
    <row r="1575" ht="20" customHeight="1">
      <c r="A1575" s="26" t="n"/>
      <c r="B1575" s="27">
        <f>IFERROR(IF(A1575="","",VLOOKUP(A1575,DATABASE!$A:$B,2,0)),"")</f>
        <v/>
      </c>
      <c r="C1575" s="20">
        <f>IFERROR(IF(A1575="","",SUMIF(SAVINGS!$A$3:A1574,A1575,SAVINGS!$E$3:E1574)-SUMIF(WITHDRAWALS!$A:$A,A1575,WITHDRAWALS!$E:$E)),"")</f>
        <v/>
      </c>
      <c r="D1575" s="28">
        <f>IF(A1575="","",TODAY())</f>
        <v/>
      </c>
      <c r="E1575" s="29" t="n"/>
      <c r="F1575" s="20">
        <f>IFERROR(IF(OR(A1575="",E1575=""),"",C1575+E1575),"")</f>
        <v/>
      </c>
      <c r="G1575" s="30" t="n"/>
      <c r="H1575" s="27" t="n"/>
    </row>
    <row r="1576" ht="20" customHeight="1">
      <c r="A1576" s="26" t="n"/>
      <c r="B1576" s="31">
        <f>IFERROR(IF(A1576="","",VLOOKUP(A1576,DATABASE!$A:$B,2,0)),"")</f>
        <v/>
      </c>
      <c r="C1576" s="32">
        <f>IFERROR(IF(A1576="","",SUMIF(SAVINGS!$A$3:A1575,A1576,SAVINGS!$E$3:E1575)-SUMIF(WITHDRAWALS!$A:$A,A1576,WITHDRAWALS!$E:$E)),"")</f>
        <v/>
      </c>
      <c r="D1576" s="33">
        <f>IF(A1576="","",TODAY())</f>
        <v/>
      </c>
      <c r="E1576" s="29" t="n"/>
      <c r="F1576" s="32">
        <f>IFERROR(IF(OR(A1576="",E1576=""),"",C1576+E1576),"")</f>
        <v/>
      </c>
      <c r="G1576" s="30" t="n"/>
      <c r="H1576" s="31" t="n"/>
    </row>
    <row r="1577" ht="20" customHeight="1">
      <c r="A1577" s="26" t="n"/>
      <c r="B1577" s="27">
        <f>IFERROR(IF(A1577="","",VLOOKUP(A1577,DATABASE!$A:$B,2,0)),"")</f>
        <v/>
      </c>
      <c r="C1577" s="20">
        <f>IFERROR(IF(A1577="","",SUMIF(SAVINGS!$A$3:A1576,A1577,SAVINGS!$E$3:E1576)-SUMIF(WITHDRAWALS!$A:$A,A1577,WITHDRAWALS!$E:$E)),"")</f>
        <v/>
      </c>
      <c r="D1577" s="28">
        <f>IF(A1577="","",TODAY())</f>
        <v/>
      </c>
      <c r="E1577" s="29" t="n"/>
      <c r="F1577" s="20">
        <f>IFERROR(IF(OR(A1577="",E1577=""),"",C1577+E1577),"")</f>
        <v/>
      </c>
      <c r="G1577" s="30" t="n"/>
      <c r="H1577" s="27" t="n"/>
    </row>
    <row r="1578" ht="20" customHeight="1">
      <c r="A1578" s="26" t="n"/>
      <c r="B1578" s="31">
        <f>IFERROR(IF(A1578="","",VLOOKUP(A1578,DATABASE!$A:$B,2,0)),"")</f>
        <v/>
      </c>
      <c r="C1578" s="32">
        <f>IFERROR(IF(A1578="","",SUMIF(SAVINGS!$A$3:A1577,A1578,SAVINGS!$E$3:E1577)-SUMIF(WITHDRAWALS!$A:$A,A1578,WITHDRAWALS!$E:$E)),"")</f>
        <v/>
      </c>
      <c r="D1578" s="33">
        <f>IF(A1578="","",TODAY())</f>
        <v/>
      </c>
      <c r="E1578" s="29" t="n"/>
      <c r="F1578" s="32">
        <f>IFERROR(IF(OR(A1578="",E1578=""),"",C1578+E1578),"")</f>
        <v/>
      </c>
      <c r="G1578" s="30" t="n"/>
      <c r="H1578" s="31" t="n"/>
    </row>
    <row r="1579" ht="20" customHeight="1">
      <c r="A1579" s="26" t="n"/>
      <c r="B1579" s="27">
        <f>IFERROR(IF(A1579="","",VLOOKUP(A1579,DATABASE!$A:$B,2,0)),"")</f>
        <v/>
      </c>
      <c r="C1579" s="20">
        <f>IFERROR(IF(A1579="","",SUMIF(SAVINGS!$A$3:A1578,A1579,SAVINGS!$E$3:E1578)-SUMIF(WITHDRAWALS!$A:$A,A1579,WITHDRAWALS!$E:$E)),"")</f>
        <v/>
      </c>
      <c r="D1579" s="28">
        <f>IF(A1579="","",TODAY())</f>
        <v/>
      </c>
      <c r="E1579" s="29" t="n"/>
      <c r="F1579" s="20">
        <f>IFERROR(IF(OR(A1579="",E1579=""),"",C1579+E1579),"")</f>
        <v/>
      </c>
      <c r="G1579" s="30" t="n"/>
      <c r="H1579" s="27" t="n"/>
    </row>
    <row r="1580" ht="20" customHeight="1">
      <c r="A1580" s="26" t="n"/>
      <c r="B1580" s="31">
        <f>IFERROR(IF(A1580="","",VLOOKUP(A1580,DATABASE!$A:$B,2,0)),"")</f>
        <v/>
      </c>
      <c r="C1580" s="32">
        <f>IFERROR(IF(A1580="","",SUMIF(SAVINGS!$A$3:A1579,A1580,SAVINGS!$E$3:E1579)-SUMIF(WITHDRAWALS!$A:$A,A1580,WITHDRAWALS!$E:$E)),"")</f>
        <v/>
      </c>
      <c r="D1580" s="33">
        <f>IF(A1580="","",TODAY())</f>
        <v/>
      </c>
      <c r="E1580" s="29" t="n"/>
      <c r="F1580" s="32">
        <f>IFERROR(IF(OR(A1580="",E1580=""),"",C1580+E1580),"")</f>
        <v/>
      </c>
      <c r="G1580" s="30" t="n"/>
      <c r="H1580" s="31" t="n"/>
    </row>
    <row r="1581" ht="20" customHeight="1">
      <c r="A1581" s="26" t="n"/>
      <c r="B1581" s="27">
        <f>IFERROR(IF(A1581="","",VLOOKUP(A1581,DATABASE!$A:$B,2,0)),"")</f>
        <v/>
      </c>
      <c r="C1581" s="20">
        <f>IFERROR(IF(A1581="","",SUMIF(SAVINGS!$A$3:A1580,A1581,SAVINGS!$E$3:E1580)-SUMIF(WITHDRAWALS!$A:$A,A1581,WITHDRAWALS!$E:$E)),"")</f>
        <v/>
      </c>
      <c r="D1581" s="28">
        <f>IF(A1581="","",TODAY())</f>
        <v/>
      </c>
      <c r="E1581" s="29" t="n"/>
      <c r="F1581" s="20">
        <f>IFERROR(IF(OR(A1581="",E1581=""),"",C1581+E1581),"")</f>
        <v/>
      </c>
      <c r="G1581" s="30" t="n"/>
      <c r="H1581" s="27" t="n"/>
    </row>
    <row r="1582" ht="20" customHeight="1">
      <c r="A1582" s="26" t="n"/>
      <c r="B1582" s="31">
        <f>IFERROR(IF(A1582="","",VLOOKUP(A1582,DATABASE!$A:$B,2,0)),"")</f>
        <v/>
      </c>
      <c r="C1582" s="32">
        <f>IFERROR(IF(A1582="","",SUMIF(SAVINGS!$A$3:A1581,A1582,SAVINGS!$E$3:E1581)-SUMIF(WITHDRAWALS!$A:$A,A1582,WITHDRAWALS!$E:$E)),"")</f>
        <v/>
      </c>
      <c r="D1582" s="33">
        <f>IF(A1582="","",TODAY())</f>
        <v/>
      </c>
      <c r="E1582" s="29" t="n"/>
      <c r="F1582" s="32">
        <f>IFERROR(IF(OR(A1582="",E1582=""),"",C1582+E1582),"")</f>
        <v/>
      </c>
      <c r="G1582" s="30" t="n"/>
      <c r="H1582" s="31" t="n"/>
    </row>
    <row r="1583" ht="20" customHeight="1">
      <c r="A1583" s="26" t="n"/>
      <c r="B1583" s="27">
        <f>IFERROR(IF(A1583="","",VLOOKUP(A1583,DATABASE!$A:$B,2,0)),"")</f>
        <v/>
      </c>
      <c r="C1583" s="20">
        <f>IFERROR(IF(A1583="","",SUMIF(SAVINGS!$A$3:A1582,A1583,SAVINGS!$E$3:E1582)-SUMIF(WITHDRAWALS!$A:$A,A1583,WITHDRAWALS!$E:$E)),"")</f>
        <v/>
      </c>
      <c r="D1583" s="28">
        <f>IF(A1583="","",TODAY())</f>
        <v/>
      </c>
      <c r="E1583" s="29" t="n"/>
      <c r="F1583" s="20">
        <f>IFERROR(IF(OR(A1583="",E1583=""),"",C1583+E1583),"")</f>
        <v/>
      </c>
      <c r="G1583" s="30" t="n"/>
      <c r="H1583" s="27" t="n"/>
    </row>
    <row r="1584" ht="20" customHeight="1">
      <c r="A1584" s="26" t="n"/>
      <c r="B1584" s="31">
        <f>IFERROR(IF(A1584="","",VLOOKUP(A1584,DATABASE!$A:$B,2,0)),"")</f>
        <v/>
      </c>
      <c r="C1584" s="32">
        <f>IFERROR(IF(A1584="","",SUMIF(SAVINGS!$A$3:A1583,A1584,SAVINGS!$E$3:E1583)-SUMIF(WITHDRAWALS!$A:$A,A1584,WITHDRAWALS!$E:$E)),"")</f>
        <v/>
      </c>
      <c r="D1584" s="33">
        <f>IF(A1584="","",TODAY())</f>
        <v/>
      </c>
      <c r="E1584" s="29" t="n"/>
      <c r="F1584" s="32">
        <f>IFERROR(IF(OR(A1584="",E1584=""),"",C1584+E1584),"")</f>
        <v/>
      </c>
      <c r="G1584" s="30" t="n"/>
      <c r="H1584" s="31" t="n"/>
    </row>
    <row r="1585" ht="20" customHeight="1">
      <c r="A1585" s="26" t="n"/>
      <c r="B1585" s="27">
        <f>IFERROR(IF(A1585="","",VLOOKUP(A1585,DATABASE!$A:$B,2,0)),"")</f>
        <v/>
      </c>
      <c r="C1585" s="20">
        <f>IFERROR(IF(A1585="","",SUMIF(SAVINGS!$A$3:A1584,A1585,SAVINGS!$E$3:E1584)-SUMIF(WITHDRAWALS!$A:$A,A1585,WITHDRAWALS!$E:$E)),"")</f>
        <v/>
      </c>
      <c r="D1585" s="28">
        <f>IF(A1585="","",TODAY())</f>
        <v/>
      </c>
      <c r="E1585" s="29" t="n"/>
      <c r="F1585" s="20">
        <f>IFERROR(IF(OR(A1585="",E1585=""),"",C1585+E1585),"")</f>
        <v/>
      </c>
      <c r="G1585" s="30" t="n"/>
      <c r="H1585" s="27" t="n"/>
    </row>
    <row r="1586" ht="20" customHeight="1">
      <c r="A1586" s="26" t="n"/>
      <c r="B1586" s="31">
        <f>IFERROR(IF(A1586="","",VLOOKUP(A1586,DATABASE!$A:$B,2,0)),"")</f>
        <v/>
      </c>
      <c r="C1586" s="32">
        <f>IFERROR(IF(A1586="","",SUMIF(SAVINGS!$A$3:A1585,A1586,SAVINGS!$E$3:E1585)-SUMIF(WITHDRAWALS!$A:$A,A1586,WITHDRAWALS!$E:$E)),"")</f>
        <v/>
      </c>
      <c r="D1586" s="33">
        <f>IF(A1586="","",TODAY())</f>
        <v/>
      </c>
      <c r="E1586" s="29" t="n"/>
      <c r="F1586" s="32">
        <f>IFERROR(IF(OR(A1586="",E1586=""),"",C1586+E1586),"")</f>
        <v/>
      </c>
      <c r="G1586" s="30" t="n"/>
      <c r="H1586" s="31" t="n"/>
    </row>
    <row r="1587" ht="20" customHeight="1">
      <c r="A1587" s="26" t="n"/>
      <c r="B1587" s="27">
        <f>IFERROR(IF(A1587="","",VLOOKUP(A1587,DATABASE!$A:$B,2,0)),"")</f>
        <v/>
      </c>
      <c r="C1587" s="20">
        <f>IFERROR(IF(A1587="","",SUMIF(SAVINGS!$A$3:A1586,A1587,SAVINGS!$E$3:E1586)-SUMIF(WITHDRAWALS!$A:$A,A1587,WITHDRAWALS!$E:$E)),"")</f>
        <v/>
      </c>
      <c r="D1587" s="28">
        <f>IF(A1587="","",TODAY())</f>
        <v/>
      </c>
      <c r="E1587" s="29" t="n"/>
      <c r="F1587" s="20">
        <f>IFERROR(IF(OR(A1587="",E1587=""),"",C1587+E1587),"")</f>
        <v/>
      </c>
      <c r="G1587" s="30" t="n"/>
      <c r="H1587" s="27" t="n"/>
    </row>
    <row r="1588" ht="20" customHeight="1">
      <c r="A1588" s="26" t="n"/>
      <c r="B1588" s="31">
        <f>IFERROR(IF(A1588="","",VLOOKUP(A1588,DATABASE!$A:$B,2,0)),"")</f>
        <v/>
      </c>
      <c r="C1588" s="32">
        <f>IFERROR(IF(A1588="","",SUMIF(SAVINGS!$A$3:A1587,A1588,SAVINGS!$E$3:E1587)-SUMIF(WITHDRAWALS!$A:$A,A1588,WITHDRAWALS!$E:$E)),"")</f>
        <v/>
      </c>
      <c r="D1588" s="33">
        <f>IF(A1588="","",TODAY())</f>
        <v/>
      </c>
      <c r="E1588" s="29" t="n"/>
      <c r="F1588" s="32">
        <f>IFERROR(IF(OR(A1588="",E1588=""),"",C1588+E1588),"")</f>
        <v/>
      </c>
      <c r="G1588" s="30" t="n"/>
      <c r="H1588" s="31" t="n"/>
    </row>
    <row r="1589" ht="20" customHeight="1">
      <c r="A1589" s="26" t="n"/>
      <c r="B1589" s="27">
        <f>IFERROR(IF(A1589="","",VLOOKUP(A1589,DATABASE!$A:$B,2,0)),"")</f>
        <v/>
      </c>
      <c r="C1589" s="20">
        <f>IFERROR(IF(A1589="","",SUMIF(SAVINGS!$A$3:A1588,A1589,SAVINGS!$E$3:E1588)-SUMIF(WITHDRAWALS!$A:$A,A1589,WITHDRAWALS!$E:$E)),"")</f>
        <v/>
      </c>
      <c r="D1589" s="28">
        <f>IF(A1589="","",TODAY())</f>
        <v/>
      </c>
      <c r="E1589" s="29" t="n"/>
      <c r="F1589" s="20">
        <f>IFERROR(IF(OR(A1589="",E1589=""),"",C1589+E1589),"")</f>
        <v/>
      </c>
      <c r="G1589" s="30" t="n"/>
      <c r="H1589" s="27" t="n"/>
    </row>
    <row r="1590" ht="20" customHeight="1">
      <c r="A1590" s="26" t="n"/>
      <c r="B1590" s="31">
        <f>IFERROR(IF(A1590="","",VLOOKUP(A1590,DATABASE!$A:$B,2,0)),"")</f>
        <v/>
      </c>
      <c r="C1590" s="32">
        <f>IFERROR(IF(A1590="","",SUMIF(SAVINGS!$A$3:A1589,A1590,SAVINGS!$E$3:E1589)-SUMIF(WITHDRAWALS!$A:$A,A1590,WITHDRAWALS!$E:$E)),"")</f>
        <v/>
      </c>
      <c r="D1590" s="33">
        <f>IF(A1590="","",TODAY())</f>
        <v/>
      </c>
      <c r="E1590" s="29" t="n"/>
      <c r="F1590" s="32">
        <f>IFERROR(IF(OR(A1590="",E1590=""),"",C1590+E1590),"")</f>
        <v/>
      </c>
      <c r="G1590" s="30" t="n"/>
      <c r="H1590" s="31" t="n"/>
    </row>
    <row r="1591" ht="20" customHeight="1">
      <c r="A1591" s="26" t="n"/>
      <c r="B1591" s="27">
        <f>IFERROR(IF(A1591="","",VLOOKUP(A1591,DATABASE!$A:$B,2,0)),"")</f>
        <v/>
      </c>
      <c r="C1591" s="20">
        <f>IFERROR(IF(A1591="","",SUMIF(SAVINGS!$A$3:A1590,A1591,SAVINGS!$E$3:E1590)-SUMIF(WITHDRAWALS!$A:$A,A1591,WITHDRAWALS!$E:$E)),"")</f>
        <v/>
      </c>
      <c r="D1591" s="28">
        <f>IF(A1591="","",TODAY())</f>
        <v/>
      </c>
      <c r="E1591" s="29" t="n"/>
      <c r="F1591" s="20">
        <f>IFERROR(IF(OR(A1591="",E1591=""),"",C1591+E1591),"")</f>
        <v/>
      </c>
      <c r="G1591" s="30" t="n"/>
      <c r="H1591" s="27" t="n"/>
    </row>
    <row r="1592" ht="20" customHeight="1">
      <c r="A1592" s="26" t="n"/>
      <c r="B1592" s="31">
        <f>IFERROR(IF(A1592="","",VLOOKUP(A1592,DATABASE!$A:$B,2,0)),"")</f>
        <v/>
      </c>
      <c r="C1592" s="32">
        <f>IFERROR(IF(A1592="","",SUMIF(SAVINGS!$A$3:A1591,A1592,SAVINGS!$E$3:E1591)-SUMIF(WITHDRAWALS!$A:$A,A1592,WITHDRAWALS!$E:$E)),"")</f>
        <v/>
      </c>
      <c r="D1592" s="33">
        <f>IF(A1592="","",TODAY())</f>
        <v/>
      </c>
      <c r="E1592" s="29" t="n"/>
      <c r="F1592" s="32">
        <f>IFERROR(IF(OR(A1592="",E1592=""),"",C1592+E1592),"")</f>
        <v/>
      </c>
      <c r="G1592" s="30" t="n"/>
      <c r="H1592" s="31" t="n"/>
    </row>
    <row r="1593" ht="20" customHeight="1">
      <c r="A1593" s="26" t="n"/>
      <c r="B1593" s="27">
        <f>IFERROR(IF(A1593="","",VLOOKUP(A1593,DATABASE!$A:$B,2,0)),"")</f>
        <v/>
      </c>
      <c r="C1593" s="20">
        <f>IFERROR(IF(A1593="","",SUMIF(SAVINGS!$A$3:A1592,A1593,SAVINGS!$E$3:E1592)-SUMIF(WITHDRAWALS!$A:$A,A1593,WITHDRAWALS!$E:$E)),"")</f>
        <v/>
      </c>
      <c r="D1593" s="28">
        <f>IF(A1593="","",TODAY())</f>
        <v/>
      </c>
      <c r="E1593" s="29" t="n"/>
      <c r="F1593" s="20">
        <f>IFERROR(IF(OR(A1593="",E1593=""),"",C1593+E1593),"")</f>
        <v/>
      </c>
      <c r="G1593" s="30" t="n"/>
      <c r="H1593" s="27" t="n"/>
    </row>
    <row r="1594" ht="20" customHeight="1">
      <c r="A1594" s="26" t="n"/>
      <c r="B1594" s="31">
        <f>IFERROR(IF(A1594="","",VLOOKUP(A1594,DATABASE!$A:$B,2,0)),"")</f>
        <v/>
      </c>
      <c r="C1594" s="32">
        <f>IFERROR(IF(A1594="","",SUMIF(SAVINGS!$A$3:A1593,A1594,SAVINGS!$E$3:E1593)-SUMIF(WITHDRAWALS!$A:$A,A1594,WITHDRAWALS!$E:$E)),"")</f>
        <v/>
      </c>
      <c r="D1594" s="33">
        <f>IF(A1594="","",TODAY())</f>
        <v/>
      </c>
      <c r="E1594" s="29" t="n"/>
      <c r="F1594" s="32">
        <f>IFERROR(IF(OR(A1594="",E1594=""),"",C1594+E1594),"")</f>
        <v/>
      </c>
      <c r="G1594" s="30" t="n"/>
      <c r="H1594" s="31" t="n"/>
    </row>
    <row r="1595" ht="20" customHeight="1">
      <c r="A1595" s="26" t="n"/>
      <c r="B1595" s="27">
        <f>IFERROR(IF(A1595="","",VLOOKUP(A1595,DATABASE!$A:$B,2,0)),"")</f>
        <v/>
      </c>
      <c r="C1595" s="20">
        <f>IFERROR(IF(A1595="","",SUMIF(SAVINGS!$A$3:A1594,A1595,SAVINGS!$E$3:E1594)-SUMIF(WITHDRAWALS!$A:$A,A1595,WITHDRAWALS!$E:$E)),"")</f>
        <v/>
      </c>
      <c r="D1595" s="28">
        <f>IF(A1595="","",TODAY())</f>
        <v/>
      </c>
      <c r="E1595" s="29" t="n"/>
      <c r="F1595" s="20">
        <f>IFERROR(IF(OR(A1595="",E1595=""),"",C1595+E1595),"")</f>
        <v/>
      </c>
      <c r="G1595" s="30" t="n"/>
      <c r="H1595" s="27" t="n"/>
    </row>
    <row r="1596" ht="20" customHeight="1">
      <c r="A1596" s="26" t="n"/>
      <c r="B1596" s="31">
        <f>IFERROR(IF(A1596="","",VLOOKUP(A1596,DATABASE!$A:$B,2,0)),"")</f>
        <v/>
      </c>
      <c r="C1596" s="32">
        <f>IFERROR(IF(A1596="","",SUMIF(SAVINGS!$A$3:A1595,A1596,SAVINGS!$E$3:E1595)-SUMIF(WITHDRAWALS!$A:$A,A1596,WITHDRAWALS!$E:$E)),"")</f>
        <v/>
      </c>
      <c r="D1596" s="33">
        <f>IF(A1596="","",TODAY())</f>
        <v/>
      </c>
      <c r="E1596" s="29" t="n"/>
      <c r="F1596" s="32">
        <f>IFERROR(IF(OR(A1596="",E1596=""),"",C1596+E1596),"")</f>
        <v/>
      </c>
      <c r="G1596" s="30" t="n"/>
      <c r="H1596" s="31" t="n"/>
    </row>
    <row r="1597" ht="20" customHeight="1">
      <c r="A1597" s="26" t="n"/>
      <c r="B1597" s="27">
        <f>IFERROR(IF(A1597="","",VLOOKUP(A1597,DATABASE!$A:$B,2,0)),"")</f>
        <v/>
      </c>
      <c r="C1597" s="20">
        <f>IFERROR(IF(A1597="","",SUMIF(SAVINGS!$A$3:A1596,A1597,SAVINGS!$E$3:E1596)-SUMIF(WITHDRAWALS!$A:$A,A1597,WITHDRAWALS!$E:$E)),"")</f>
        <v/>
      </c>
      <c r="D1597" s="28">
        <f>IF(A1597="","",TODAY())</f>
        <v/>
      </c>
      <c r="E1597" s="29" t="n"/>
      <c r="F1597" s="20">
        <f>IFERROR(IF(OR(A1597="",E1597=""),"",C1597+E1597),"")</f>
        <v/>
      </c>
      <c r="G1597" s="30" t="n"/>
      <c r="H1597" s="27" t="n"/>
    </row>
    <row r="1598" ht="20" customHeight="1">
      <c r="A1598" s="26" t="n"/>
      <c r="B1598" s="31">
        <f>IFERROR(IF(A1598="","",VLOOKUP(A1598,DATABASE!$A:$B,2,0)),"")</f>
        <v/>
      </c>
      <c r="C1598" s="32">
        <f>IFERROR(IF(A1598="","",SUMIF(SAVINGS!$A$3:A1597,A1598,SAVINGS!$E$3:E1597)-SUMIF(WITHDRAWALS!$A:$A,A1598,WITHDRAWALS!$E:$E)),"")</f>
        <v/>
      </c>
      <c r="D1598" s="33">
        <f>IF(A1598="","",TODAY())</f>
        <v/>
      </c>
      <c r="E1598" s="29" t="n"/>
      <c r="F1598" s="32">
        <f>IFERROR(IF(OR(A1598="",E1598=""),"",C1598+E1598),"")</f>
        <v/>
      </c>
      <c r="G1598" s="30" t="n"/>
      <c r="H1598" s="31" t="n"/>
    </row>
    <row r="1599" ht="20" customHeight="1">
      <c r="A1599" s="26" t="n"/>
      <c r="B1599" s="27">
        <f>IFERROR(IF(A1599="","",VLOOKUP(A1599,DATABASE!$A:$B,2,0)),"")</f>
        <v/>
      </c>
      <c r="C1599" s="20">
        <f>IFERROR(IF(A1599="","",SUMIF(SAVINGS!$A$3:A1598,A1599,SAVINGS!$E$3:E1598)-SUMIF(WITHDRAWALS!$A:$A,A1599,WITHDRAWALS!$E:$E)),"")</f>
        <v/>
      </c>
      <c r="D1599" s="28">
        <f>IF(A1599="","",TODAY())</f>
        <v/>
      </c>
      <c r="E1599" s="29" t="n"/>
      <c r="F1599" s="20">
        <f>IFERROR(IF(OR(A1599="",E1599=""),"",C1599+E1599),"")</f>
        <v/>
      </c>
      <c r="G1599" s="30" t="n"/>
      <c r="H1599" s="27" t="n"/>
    </row>
    <row r="1600" ht="20" customHeight="1">
      <c r="A1600" s="26" t="n"/>
      <c r="B1600" s="31">
        <f>IFERROR(IF(A1600="","",VLOOKUP(A1600,DATABASE!$A:$B,2,0)),"")</f>
        <v/>
      </c>
      <c r="C1600" s="32">
        <f>IFERROR(IF(A1600="","",SUMIF(SAVINGS!$A$3:A1599,A1600,SAVINGS!$E$3:E1599)-SUMIF(WITHDRAWALS!$A:$A,A1600,WITHDRAWALS!$E:$E)),"")</f>
        <v/>
      </c>
      <c r="D1600" s="33">
        <f>IF(A1600="","",TODAY())</f>
        <v/>
      </c>
      <c r="E1600" s="29" t="n"/>
      <c r="F1600" s="32">
        <f>IFERROR(IF(OR(A1600="",E1600=""),"",C1600+E1600),"")</f>
        <v/>
      </c>
      <c r="G1600" s="30" t="n"/>
      <c r="H1600" s="31" t="n"/>
    </row>
    <row r="1601" ht="20" customHeight="1">
      <c r="A1601" s="26" t="n"/>
      <c r="B1601" s="27">
        <f>IFERROR(IF(A1601="","",VLOOKUP(A1601,DATABASE!$A:$B,2,0)),"")</f>
        <v/>
      </c>
      <c r="C1601" s="20">
        <f>IFERROR(IF(A1601="","",SUMIF(SAVINGS!$A$3:A1600,A1601,SAVINGS!$E$3:E1600)-SUMIF(WITHDRAWALS!$A:$A,A1601,WITHDRAWALS!$E:$E)),"")</f>
        <v/>
      </c>
      <c r="D1601" s="28">
        <f>IF(A1601="","",TODAY())</f>
        <v/>
      </c>
      <c r="E1601" s="29" t="n"/>
      <c r="F1601" s="20">
        <f>IFERROR(IF(OR(A1601="",E1601=""),"",C1601+E1601),"")</f>
        <v/>
      </c>
      <c r="G1601" s="30" t="n"/>
      <c r="H1601" s="27" t="n"/>
    </row>
    <row r="1602" ht="20" customHeight="1">
      <c r="A1602" s="26" t="n"/>
      <c r="B1602" s="31">
        <f>IFERROR(IF(A1602="","",VLOOKUP(A1602,DATABASE!$A:$B,2,0)),"")</f>
        <v/>
      </c>
      <c r="C1602" s="32">
        <f>IFERROR(IF(A1602="","",SUMIF(SAVINGS!$A$3:A1601,A1602,SAVINGS!$E$3:E1601)-SUMIF(WITHDRAWALS!$A:$A,A1602,WITHDRAWALS!$E:$E)),"")</f>
        <v/>
      </c>
      <c r="D1602" s="33">
        <f>IF(A1602="","",TODAY())</f>
        <v/>
      </c>
      <c r="E1602" s="29" t="n"/>
      <c r="F1602" s="32">
        <f>IFERROR(IF(OR(A1602="",E1602=""),"",C1602+E1602),"")</f>
        <v/>
      </c>
      <c r="G1602" s="30" t="n"/>
      <c r="H1602" s="31" t="n"/>
    </row>
    <row r="1603" ht="20" customHeight="1">
      <c r="A1603" s="26" t="n"/>
      <c r="B1603" s="27">
        <f>IFERROR(IF(A1603="","",VLOOKUP(A1603,DATABASE!$A:$B,2,0)),"")</f>
        <v/>
      </c>
      <c r="C1603" s="20">
        <f>IFERROR(IF(A1603="","",SUMIF(SAVINGS!$A$3:A1602,A1603,SAVINGS!$E$3:E1602)-SUMIF(WITHDRAWALS!$A:$A,A1603,WITHDRAWALS!$E:$E)),"")</f>
        <v/>
      </c>
      <c r="D1603" s="28">
        <f>IF(A1603="","",TODAY())</f>
        <v/>
      </c>
      <c r="E1603" s="29" t="n"/>
      <c r="F1603" s="20">
        <f>IFERROR(IF(OR(A1603="",E1603=""),"",C1603+E1603),"")</f>
        <v/>
      </c>
      <c r="G1603" s="30" t="n"/>
      <c r="H1603" s="27" t="n"/>
    </row>
    <row r="1604" ht="20" customHeight="1">
      <c r="A1604" s="26" t="n"/>
      <c r="B1604" s="31">
        <f>IFERROR(IF(A1604="","",VLOOKUP(A1604,DATABASE!$A:$B,2,0)),"")</f>
        <v/>
      </c>
      <c r="C1604" s="32">
        <f>IFERROR(IF(A1604="","",SUMIF(SAVINGS!$A$3:A1603,A1604,SAVINGS!$E$3:E1603)-SUMIF(WITHDRAWALS!$A:$A,A1604,WITHDRAWALS!$E:$E)),"")</f>
        <v/>
      </c>
      <c r="D1604" s="33">
        <f>IF(A1604="","",TODAY())</f>
        <v/>
      </c>
      <c r="E1604" s="29" t="n"/>
      <c r="F1604" s="32">
        <f>IFERROR(IF(OR(A1604="",E1604=""),"",C1604+E1604),"")</f>
        <v/>
      </c>
      <c r="G1604" s="30" t="n"/>
      <c r="H1604" s="31" t="n"/>
    </row>
    <row r="1605" ht="20" customHeight="1">
      <c r="A1605" s="26" t="n"/>
      <c r="B1605" s="27">
        <f>IFERROR(IF(A1605="","",VLOOKUP(A1605,DATABASE!$A:$B,2,0)),"")</f>
        <v/>
      </c>
      <c r="C1605" s="20">
        <f>IFERROR(IF(A1605="","",SUMIF(SAVINGS!$A$3:A1604,A1605,SAVINGS!$E$3:E1604)-SUMIF(WITHDRAWALS!$A:$A,A1605,WITHDRAWALS!$E:$E)),"")</f>
        <v/>
      </c>
      <c r="D1605" s="28">
        <f>IF(A1605="","",TODAY())</f>
        <v/>
      </c>
      <c r="E1605" s="29" t="n"/>
      <c r="F1605" s="20">
        <f>IFERROR(IF(OR(A1605="",E1605=""),"",C1605+E1605),"")</f>
        <v/>
      </c>
      <c r="G1605" s="30" t="n"/>
      <c r="H1605" s="27" t="n"/>
    </row>
    <row r="1606" ht="20" customHeight="1">
      <c r="A1606" s="26" t="n"/>
      <c r="B1606" s="31">
        <f>IFERROR(IF(A1606="","",VLOOKUP(A1606,DATABASE!$A:$B,2,0)),"")</f>
        <v/>
      </c>
      <c r="C1606" s="32">
        <f>IFERROR(IF(A1606="","",SUMIF(SAVINGS!$A$3:A1605,A1606,SAVINGS!$E$3:E1605)-SUMIF(WITHDRAWALS!$A:$A,A1606,WITHDRAWALS!$E:$E)),"")</f>
        <v/>
      </c>
      <c r="D1606" s="33">
        <f>IF(A1606="","",TODAY())</f>
        <v/>
      </c>
      <c r="E1606" s="29" t="n"/>
      <c r="F1606" s="32">
        <f>IFERROR(IF(OR(A1606="",E1606=""),"",C1606+E1606),"")</f>
        <v/>
      </c>
      <c r="G1606" s="30" t="n"/>
      <c r="H1606" s="31" t="n"/>
    </row>
    <row r="1607" ht="20" customHeight="1">
      <c r="A1607" s="26" t="n"/>
      <c r="B1607" s="27">
        <f>IFERROR(IF(A1607="","",VLOOKUP(A1607,DATABASE!$A:$B,2,0)),"")</f>
        <v/>
      </c>
      <c r="C1607" s="20">
        <f>IFERROR(IF(A1607="","",SUMIF(SAVINGS!$A$3:A1606,A1607,SAVINGS!$E$3:E1606)-SUMIF(WITHDRAWALS!$A:$A,A1607,WITHDRAWALS!$E:$E)),"")</f>
        <v/>
      </c>
      <c r="D1607" s="28">
        <f>IF(A1607="","",TODAY())</f>
        <v/>
      </c>
      <c r="E1607" s="29" t="n"/>
      <c r="F1607" s="20">
        <f>IFERROR(IF(OR(A1607="",E1607=""),"",C1607+E1607),"")</f>
        <v/>
      </c>
      <c r="G1607" s="30" t="n"/>
      <c r="H1607" s="27" t="n"/>
    </row>
    <row r="1608" ht="20" customHeight="1">
      <c r="A1608" s="26" t="n"/>
      <c r="B1608" s="31">
        <f>IFERROR(IF(A1608="","",VLOOKUP(A1608,DATABASE!$A:$B,2,0)),"")</f>
        <v/>
      </c>
      <c r="C1608" s="32">
        <f>IFERROR(IF(A1608="","",SUMIF(SAVINGS!$A$3:A1607,A1608,SAVINGS!$E$3:E1607)-SUMIF(WITHDRAWALS!$A:$A,A1608,WITHDRAWALS!$E:$E)),"")</f>
        <v/>
      </c>
      <c r="D1608" s="33">
        <f>IF(A1608="","",TODAY())</f>
        <v/>
      </c>
      <c r="E1608" s="29" t="n"/>
      <c r="F1608" s="32">
        <f>IFERROR(IF(OR(A1608="",E1608=""),"",C1608+E1608),"")</f>
        <v/>
      </c>
      <c r="G1608" s="30" t="n"/>
      <c r="H1608" s="31" t="n"/>
    </row>
    <row r="1609" ht="20" customHeight="1">
      <c r="A1609" s="26" t="n"/>
      <c r="B1609" s="27">
        <f>IFERROR(IF(A1609="","",VLOOKUP(A1609,DATABASE!$A:$B,2,0)),"")</f>
        <v/>
      </c>
      <c r="C1609" s="20">
        <f>IFERROR(IF(A1609="","",SUMIF(SAVINGS!$A$3:A1608,A1609,SAVINGS!$E$3:E1608)-SUMIF(WITHDRAWALS!$A:$A,A1609,WITHDRAWALS!$E:$E)),"")</f>
        <v/>
      </c>
      <c r="D1609" s="28">
        <f>IF(A1609="","",TODAY())</f>
        <v/>
      </c>
      <c r="E1609" s="29" t="n"/>
      <c r="F1609" s="20">
        <f>IFERROR(IF(OR(A1609="",E1609=""),"",C1609+E1609),"")</f>
        <v/>
      </c>
      <c r="G1609" s="30" t="n"/>
      <c r="H1609" s="27" t="n"/>
    </row>
    <row r="1610" ht="20" customHeight="1">
      <c r="A1610" s="26" t="n"/>
      <c r="B1610" s="31">
        <f>IFERROR(IF(A1610="","",VLOOKUP(A1610,DATABASE!$A:$B,2,0)),"")</f>
        <v/>
      </c>
      <c r="C1610" s="32">
        <f>IFERROR(IF(A1610="","",SUMIF(SAVINGS!$A$3:A1609,A1610,SAVINGS!$E$3:E1609)-SUMIF(WITHDRAWALS!$A:$A,A1610,WITHDRAWALS!$E:$E)),"")</f>
        <v/>
      </c>
      <c r="D1610" s="33">
        <f>IF(A1610="","",TODAY())</f>
        <v/>
      </c>
      <c r="E1610" s="29" t="n"/>
      <c r="F1610" s="32">
        <f>IFERROR(IF(OR(A1610="",E1610=""),"",C1610+E1610),"")</f>
        <v/>
      </c>
      <c r="G1610" s="30" t="n"/>
      <c r="H1610" s="31" t="n"/>
    </row>
    <row r="1611" ht="20" customHeight="1">
      <c r="A1611" s="26" t="n"/>
      <c r="B1611" s="27">
        <f>IFERROR(IF(A1611="","",VLOOKUP(A1611,DATABASE!$A:$B,2,0)),"")</f>
        <v/>
      </c>
      <c r="C1611" s="20">
        <f>IFERROR(IF(A1611="","",SUMIF(SAVINGS!$A$3:A1610,A1611,SAVINGS!$E$3:E1610)-SUMIF(WITHDRAWALS!$A:$A,A1611,WITHDRAWALS!$E:$E)),"")</f>
        <v/>
      </c>
      <c r="D1611" s="28">
        <f>IF(A1611="","",TODAY())</f>
        <v/>
      </c>
      <c r="E1611" s="29" t="n"/>
      <c r="F1611" s="20">
        <f>IFERROR(IF(OR(A1611="",E1611=""),"",C1611+E1611),"")</f>
        <v/>
      </c>
      <c r="G1611" s="30" t="n"/>
      <c r="H1611" s="27" t="n"/>
    </row>
    <row r="1612" ht="20" customHeight="1">
      <c r="A1612" s="26" t="n"/>
      <c r="B1612" s="31">
        <f>IFERROR(IF(A1612="","",VLOOKUP(A1612,DATABASE!$A:$B,2,0)),"")</f>
        <v/>
      </c>
      <c r="C1612" s="32">
        <f>IFERROR(IF(A1612="","",SUMIF(SAVINGS!$A$3:A1611,A1612,SAVINGS!$E$3:E1611)-SUMIF(WITHDRAWALS!$A:$A,A1612,WITHDRAWALS!$E:$E)),"")</f>
        <v/>
      </c>
      <c r="D1612" s="33">
        <f>IF(A1612="","",TODAY())</f>
        <v/>
      </c>
      <c r="E1612" s="29" t="n"/>
      <c r="F1612" s="32">
        <f>IFERROR(IF(OR(A1612="",E1612=""),"",C1612+E1612),"")</f>
        <v/>
      </c>
      <c r="G1612" s="30" t="n"/>
      <c r="H1612" s="31" t="n"/>
    </row>
    <row r="1613" ht="20" customHeight="1">
      <c r="A1613" s="26" t="n"/>
      <c r="B1613" s="27">
        <f>IFERROR(IF(A1613="","",VLOOKUP(A1613,DATABASE!$A:$B,2,0)),"")</f>
        <v/>
      </c>
      <c r="C1613" s="20">
        <f>IFERROR(IF(A1613="","",SUMIF(SAVINGS!$A$3:A1612,A1613,SAVINGS!$E$3:E1612)-SUMIF(WITHDRAWALS!$A:$A,A1613,WITHDRAWALS!$E:$E)),"")</f>
        <v/>
      </c>
      <c r="D1613" s="28">
        <f>IF(A1613="","",TODAY())</f>
        <v/>
      </c>
      <c r="E1613" s="29" t="n"/>
      <c r="F1613" s="20">
        <f>IFERROR(IF(OR(A1613="",E1613=""),"",C1613+E1613),"")</f>
        <v/>
      </c>
      <c r="G1613" s="30" t="n"/>
      <c r="H1613" s="27" t="n"/>
    </row>
    <row r="1614" ht="20" customHeight="1">
      <c r="A1614" s="26" t="n"/>
      <c r="B1614" s="31">
        <f>IFERROR(IF(A1614="","",VLOOKUP(A1614,DATABASE!$A:$B,2,0)),"")</f>
        <v/>
      </c>
      <c r="C1614" s="32">
        <f>IFERROR(IF(A1614="","",SUMIF(SAVINGS!$A$3:A1613,A1614,SAVINGS!$E$3:E1613)-SUMIF(WITHDRAWALS!$A:$A,A1614,WITHDRAWALS!$E:$E)),"")</f>
        <v/>
      </c>
      <c r="D1614" s="33">
        <f>IF(A1614="","",TODAY())</f>
        <v/>
      </c>
      <c r="E1614" s="29" t="n"/>
      <c r="F1614" s="32">
        <f>IFERROR(IF(OR(A1614="",E1614=""),"",C1614+E1614),"")</f>
        <v/>
      </c>
      <c r="G1614" s="30" t="n"/>
      <c r="H1614" s="31" t="n"/>
    </row>
    <row r="1615" ht="20" customHeight="1">
      <c r="A1615" s="26" t="n"/>
      <c r="B1615" s="27">
        <f>IFERROR(IF(A1615="","",VLOOKUP(A1615,DATABASE!$A:$B,2,0)),"")</f>
        <v/>
      </c>
      <c r="C1615" s="20">
        <f>IFERROR(IF(A1615="","",SUMIF(SAVINGS!$A$3:A1614,A1615,SAVINGS!$E$3:E1614)-SUMIF(WITHDRAWALS!$A:$A,A1615,WITHDRAWALS!$E:$E)),"")</f>
        <v/>
      </c>
      <c r="D1615" s="28">
        <f>IF(A1615="","",TODAY())</f>
        <v/>
      </c>
      <c r="E1615" s="29" t="n"/>
      <c r="F1615" s="20">
        <f>IFERROR(IF(OR(A1615="",E1615=""),"",C1615+E1615),"")</f>
        <v/>
      </c>
      <c r="G1615" s="30" t="n"/>
      <c r="H1615" s="27" t="n"/>
    </row>
    <row r="1616" ht="20" customHeight="1">
      <c r="A1616" s="26" t="n"/>
      <c r="B1616" s="31">
        <f>IFERROR(IF(A1616="","",VLOOKUP(A1616,DATABASE!$A:$B,2,0)),"")</f>
        <v/>
      </c>
      <c r="C1616" s="32">
        <f>IFERROR(IF(A1616="","",SUMIF(SAVINGS!$A$3:A1615,A1616,SAVINGS!$E$3:E1615)-SUMIF(WITHDRAWALS!$A:$A,A1616,WITHDRAWALS!$E:$E)),"")</f>
        <v/>
      </c>
      <c r="D1616" s="33">
        <f>IF(A1616="","",TODAY())</f>
        <v/>
      </c>
      <c r="E1616" s="29" t="n"/>
      <c r="F1616" s="32">
        <f>IFERROR(IF(OR(A1616="",E1616=""),"",C1616+E1616),"")</f>
        <v/>
      </c>
      <c r="G1616" s="30" t="n"/>
      <c r="H1616" s="31" t="n"/>
    </row>
    <row r="1617" ht="20" customHeight="1">
      <c r="A1617" s="26" t="n"/>
      <c r="B1617" s="27">
        <f>IFERROR(IF(A1617="","",VLOOKUP(A1617,DATABASE!$A:$B,2,0)),"")</f>
        <v/>
      </c>
      <c r="C1617" s="20">
        <f>IFERROR(IF(A1617="","",SUMIF(SAVINGS!$A$3:A1616,A1617,SAVINGS!$E$3:E1616)-SUMIF(WITHDRAWALS!$A:$A,A1617,WITHDRAWALS!$E:$E)),"")</f>
        <v/>
      </c>
      <c r="D1617" s="28">
        <f>IF(A1617="","",TODAY())</f>
        <v/>
      </c>
      <c r="E1617" s="29" t="n"/>
      <c r="F1617" s="20">
        <f>IFERROR(IF(OR(A1617="",E1617=""),"",C1617+E1617),"")</f>
        <v/>
      </c>
      <c r="G1617" s="30" t="n"/>
      <c r="H1617" s="27" t="n"/>
    </row>
    <row r="1618" ht="20" customHeight="1">
      <c r="A1618" s="26" t="n"/>
      <c r="B1618" s="31">
        <f>IFERROR(IF(A1618="","",VLOOKUP(A1618,DATABASE!$A:$B,2,0)),"")</f>
        <v/>
      </c>
      <c r="C1618" s="32">
        <f>IFERROR(IF(A1618="","",SUMIF(SAVINGS!$A$3:A1617,A1618,SAVINGS!$E$3:E1617)-SUMIF(WITHDRAWALS!$A:$A,A1618,WITHDRAWALS!$E:$E)),"")</f>
        <v/>
      </c>
      <c r="D1618" s="33">
        <f>IF(A1618="","",TODAY())</f>
        <v/>
      </c>
      <c r="E1618" s="29" t="n"/>
      <c r="F1618" s="32">
        <f>IFERROR(IF(OR(A1618="",E1618=""),"",C1618+E1618),"")</f>
        <v/>
      </c>
      <c r="G1618" s="30" t="n"/>
      <c r="H1618" s="31" t="n"/>
    </row>
    <row r="1619" ht="20" customHeight="1">
      <c r="A1619" s="26" t="n"/>
      <c r="B1619" s="27">
        <f>IFERROR(IF(A1619="","",VLOOKUP(A1619,DATABASE!$A:$B,2,0)),"")</f>
        <v/>
      </c>
      <c r="C1619" s="20">
        <f>IFERROR(IF(A1619="","",SUMIF(SAVINGS!$A$3:A1618,A1619,SAVINGS!$E$3:E1618)-SUMIF(WITHDRAWALS!$A:$A,A1619,WITHDRAWALS!$E:$E)),"")</f>
        <v/>
      </c>
      <c r="D1619" s="28">
        <f>IF(A1619="","",TODAY())</f>
        <v/>
      </c>
      <c r="E1619" s="29" t="n"/>
      <c r="F1619" s="20">
        <f>IFERROR(IF(OR(A1619="",E1619=""),"",C1619+E1619),"")</f>
        <v/>
      </c>
      <c r="G1619" s="30" t="n"/>
      <c r="H1619" s="27" t="n"/>
    </row>
    <row r="1620" ht="20" customHeight="1">
      <c r="A1620" s="26" t="n"/>
      <c r="B1620" s="31">
        <f>IFERROR(IF(A1620="","",VLOOKUP(A1620,DATABASE!$A:$B,2,0)),"")</f>
        <v/>
      </c>
      <c r="C1620" s="32">
        <f>IFERROR(IF(A1620="","",SUMIF(SAVINGS!$A$3:A1619,A1620,SAVINGS!$E$3:E1619)-SUMIF(WITHDRAWALS!$A:$A,A1620,WITHDRAWALS!$E:$E)),"")</f>
        <v/>
      </c>
      <c r="D1620" s="33">
        <f>IF(A1620="","",TODAY())</f>
        <v/>
      </c>
      <c r="E1620" s="29" t="n"/>
      <c r="F1620" s="32">
        <f>IFERROR(IF(OR(A1620="",E1620=""),"",C1620+E1620),"")</f>
        <v/>
      </c>
      <c r="G1620" s="30" t="n"/>
      <c r="H1620" s="31" t="n"/>
    </row>
    <row r="1621" ht="20" customHeight="1">
      <c r="A1621" s="26" t="n"/>
      <c r="B1621" s="27">
        <f>IFERROR(IF(A1621="","",VLOOKUP(A1621,DATABASE!$A:$B,2,0)),"")</f>
        <v/>
      </c>
      <c r="C1621" s="20">
        <f>IFERROR(IF(A1621="","",SUMIF(SAVINGS!$A$3:A1620,A1621,SAVINGS!$E$3:E1620)-SUMIF(WITHDRAWALS!$A:$A,A1621,WITHDRAWALS!$E:$E)),"")</f>
        <v/>
      </c>
      <c r="D1621" s="28">
        <f>IF(A1621="","",TODAY())</f>
        <v/>
      </c>
      <c r="E1621" s="29" t="n"/>
      <c r="F1621" s="20">
        <f>IFERROR(IF(OR(A1621="",E1621=""),"",C1621+E1621),"")</f>
        <v/>
      </c>
      <c r="G1621" s="30" t="n"/>
      <c r="H1621" s="27" t="n"/>
    </row>
    <row r="1622" ht="20" customHeight="1">
      <c r="A1622" s="26" t="n"/>
      <c r="B1622" s="31">
        <f>IFERROR(IF(A1622="","",VLOOKUP(A1622,DATABASE!$A:$B,2,0)),"")</f>
        <v/>
      </c>
      <c r="C1622" s="32">
        <f>IFERROR(IF(A1622="","",SUMIF(SAVINGS!$A$3:A1621,A1622,SAVINGS!$E$3:E1621)-SUMIF(WITHDRAWALS!$A:$A,A1622,WITHDRAWALS!$E:$E)),"")</f>
        <v/>
      </c>
      <c r="D1622" s="33">
        <f>IF(A1622="","",TODAY())</f>
        <v/>
      </c>
      <c r="E1622" s="29" t="n"/>
      <c r="F1622" s="32">
        <f>IFERROR(IF(OR(A1622="",E1622=""),"",C1622+E1622),"")</f>
        <v/>
      </c>
      <c r="G1622" s="30" t="n"/>
      <c r="H1622" s="31" t="n"/>
    </row>
    <row r="1623" ht="20" customHeight="1">
      <c r="A1623" s="26" t="n"/>
      <c r="B1623" s="27">
        <f>IFERROR(IF(A1623="","",VLOOKUP(A1623,DATABASE!$A:$B,2,0)),"")</f>
        <v/>
      </c>
      <c r="C1623" s="20">
        <f>IFERROR(IF(A1623="","",SUMIF(SAVINGS!$A$3:A1622,A1623,SAVINGS!$E$3:E1622)-SUMIF(WITHDRAWALS!$A:$A,A1623,WITHDRAWALS!$E:$E)),"")</f>
        <v/>
      </c>
      <c r="D1623" s="28">
        <f>IF(A1623="","",TODAY())</f>
        <v/>
      </c>
      <c r="E1623" s="29" t="n"/>
      <c r="F1623" s="20">
        <f>IFERROR(IF(OR(A1623="",E1623=""),"",C1623+E1623),"")</f>
        <v/>
      </c>
      <c r="G1623" s="30" t="n"/>
      <c r="H1623" s="27" t="n"/>
    </row>
    <row r="1624" ht="20" customHeight="1">
      <c r="A1624" s="26" t="n"/>
      <c r="B1624" s="31">
        <f>IFERROR(IF(A1624="","",VLOOKUP(A1624,DATABASE!$A:$B,2,0)),"")</f>
        <v/>
      </c>
      <c r="C1624" s="32">
        <f>IFERROR(IF(A1624="","",SUMIF(SAVINGS!$A$3:A1623,A1624,SAVINGS!$E$3:E1623)-SUMIF(WITHDRAWALS!$A:$A,A1624,WITHDRAWALS!$E:$E)),"")</f>
        <v/>
      </c>
      <c r="D1624" s="33">
        <f>IF(A1624="","",TODAY())</f>
        <v/>
      </c>
      <c r="E1624" s="29" t="n"/>
      <c r="F1624" s="32">
        <f>IFERROR(IF(OR(A1624="",E1624=""),"",C1624+E1624),"")</f>
        <v/>
      </c>
      <c r="G1624" s="30" t="n"/>
      <c r="H1624" s="31" t="n"/>
    </row>
    <row r="1625" ht="20" customHeight="1">
      <c r="A1625" s="26" t="n"/>
      <c r="B1625" s="27">
        <f>IFERROR(IF(A1625="","",VLOOKUP(A1625,DATABASE!$A:$B,2,0)),"")</f>
        <v/>
      </c>
      <c r="C1625" s="20">
        <f>IFERROR(IF(A1625="","",SUMIF(SAVINGS!$A$3:A1624,A1625,SAVINGS!$E$3:E1624)-SUMIF(WITHDRAWALS!$A:$A,A1625,WITHDRAWALS!$E:$E)),"")</f>
        <v/>
      </c>
      <c r="D1625" s="28">
        <f>IF(A1625="","",TODAY())</f>
        <v/>
      </c>
      <c r="E1625" s="29" t="n"/>
      <c r="F1625" s="20">
        <f>IFERROR(IF(OR(A1625="",E1625=""),"",C1625+E1625),"")</f>
        <v/>
      </c>
      <c r="G1625" s="30" t="n"/>
      <c r="H1625" s="27" t="n"/>
    </row>
    <row r="1626" ht="20" customHeight="1">
      <c r="A1626" s="26" t="n"/>
      <c r="B1626" s="31">
        <f>IFERROR(IF(A1626="","",VLOOKUP(A1626,DATABASE!$A:$B,2,0)),"")</f>
        <v/>
      </c>
      <c r="C1626" s="32">
        <f>IFERROR(IF(A1626="","",SUMIF(SAVINGS!$A$3:A1625,A1626,SAVINGS!$E$3:E1625)-SUMIF(WITHDRAWALS!$A:$A,A1626,WITHDRAWALS!$E:$E)),"")</f>
        <v/>
      </c>
      <c r="D1626" s="33">
        <f>IF(A1626="","",TODAY())</f>
        <v/>
      </c>
      <c r="E1626" s="29" t="n"/>
      <c r="F1626" s="32">
        <f>IFERROR(IF(OR(A1626="",E1626=""),"",C1626+E1626),"")</f>
        <v/>
      </c>
      <c r="G1626" s="30" t="n"/>
      <c r="H1626" s="31" t="n"/>
    </row>
    <row r="1627" ht="20" customHeight="1">
      <c r="A1627" s="26" t="n"/>
      <c r="B1627" s="27">
        <f>IFERROR(IF(A1627="","",VLOOKUP(A1627,DATABASE!$A:$B,2,0)),"")</f>
        <v/>
      </c>
      <c r="C1627" s="20">
        <f>IFERROR(IF(A1627="","",SUMIF(SAVINGS!$A$3:A1626,A1627,SAVINGS!$E$3:E1626)-SUMIF(WITHDRAWALS!$A:$A,A1627,WITHDRAWALS!$E:$E)),"")</f>
        <v/>
      </c>
      <c r="D1627" s="28">
        <f>IF(A1627="","",TODAY())</f>
        <v/>
      </c>
      <c r="E1627" s="29" t="n"/>
      <c r="F1627" s="20">
        <f>IFERROR(IF(OR(A1627="",E1627=""),"",C1627+E1627),"")</f>
        <v/>
      </c>
      <c r="G1627" s="30" t="n"/>
      <c r="H1627" s="27" t="n"/>
    </row>
    <row r="1628" ht="20" customHeight="1">
      <c r="A1628" s="26" t="n"/>
      <c r="B1628" s="31">
        <f>IFERROR(IF(A1628="","",VLOOKUP(A1628,DATABASE!$A:$B,2,0)),"")</f>
        <v/>
      </c>
      <c r="C1628" s="32">
        <f>IFERROR(IF(A1628="","",SUMIF(SAVINGS!$A$3:A1627,A1628,SAVINGS!$E$3:E1627)-SUMIF(WITHDRAWALS!$A:$A,A1628,WITHDRAWALS!$E:$E)),"")</f>
        <v/>
      </c>
      <c r="D1628" s="33">
        <f>IF(A1628="","",TODAY())</f>
        <v/>
      </c>
      <c r="E1628" s="29" t="n"/>
      <c r="F1628" s="32">
        <f>IFERROR(IF(OR(A1628="",E1628=""),"",C1628+E1628),"")</f>
        <v/>
      </c>
      <c r="G1628" s="30" t="n"/>
      <c r="H1628" s="31" t="n"/>
    </row>
    <row r="1629" ht="20" customHeight="1">
      <c r="A1629" s="26" t="n"/>
      <c r="B1629" s="27">
        <f>IFERROR(IF(A1629="","",VLOOKUP(A1629,DATABASE!$A:$B,2,0)),"")</f>
        <v/>
      </c>
      <c r="C1629" s="20">
        <f>IFERROR(IF(A1629="","",SUMIF(SAVINGS!$A$3:A1628,A1629,SAVINGS!$E$3:E1628)-SUMIF(WITHDRAWALS!$A:$A,A1629,WITHDRAWALS!$E:$E)),"")</f>
        <v/>
      </c>
      <c r="D1629" s="28">
        <f>IF(A1629="","",TODAY())</f>
        <v/>
      </c>
      <c r="E1629" s="29" t="n"/>
      <c r="F1629" s="20">
        <f>IFERROR(IF(OR(A1629="",E1629=""),"",C1629+E1629),"")</f>
        <v/>
      </c>
      <c r="G1629" s="30" t="n"/>
      <c r="H1629" s="27" t="n"/>
    </row>
    <row r="1630" ht="20" customHeight="1">
      <c r="A1630" s="26" t="n"/>
      <c r="B1630" s="31">
        <f>IFERROR(IF(A1630="","",VLOOKUP(A1630,DATABASE!$A:$B,2,0)),"")</f>
        <v/>
      </c>
      <c r="C1630" s="32">
        <f>IFERROR(IF(A1630="","",SUMIF(SAVINGS!$A$3:A1629,A1630,SAVINGS!$E$3:E1629)-SUMIF(WITHDRAWALS!$A:$A,A1630,WITHDRAWALS!$E:$E)),"")</f>
        <v/>
      </c>
      <c r="D1630" s="33">
        <f>IF(A1630="","",TODAY())</f>
        <v/>
      </c>
      <c r="E1630" s="29" t="n"/>
      <c r="F1630" s="32">
        <f>IFERROR(IF(OR(A1630="",E1630=""),"",C1630+E1630),"")</f>
        <v/>
      </c>
      <c r="G1630" s="30" t="n"/>
      <c r="H1630" s="31" t="n"/>
    </row>
    <row r="1631" ht="20" customHeight="1">
      <c r="A1631" s="26" t="n"/>
      <c r="B1631" s="27">
        <f>IFERROR(IF(A1631="","",VLOOKUP(A1631,DATABASE!$A:$B,2,0)),"")</f>
        <v/>
      </c>
      <c r="C1631" s="20">
        <f>IFERROR(IF(A1631="","",SUMIF(SAVINGS!$A$3:A1630,A1631,SAVINGS!$E$3:E1630)-SUMIF(WITHDRAWALS!$A:$A,A1631,WITHDRAWALS!$E:$E)),"")</f>
        <v/>
      </c>
      <c r="D1631" s="28">
        <f>IF(A1631="","",TODAY())</f>
        <v/>
      </c>
      <c r="E1631" s="29" t="n"/>
      <c r="F1631" s="20">
        <f>IFERROR(IF(OR(A1631="",E1631=""),"",C1631+E1631),"")</f>
        <v/>
      </c>
      <c r="G1631" s="30" t="n"/>
      <c r="H1631" s="27" t="n"/>
    </row>
    <row r="1632" ht="20" customHeight="1">
      <c r="A1632" s="26" t="n"/>
      <c r="B1632" s="31">
        <f>IFERROR(IF(A1632="","",VLOOKUP(A1632,DATABASE!$A:$B,2,0)),"")</f>
        <v/>
      </c>
      <c r="C1632" s="32">
        <f>IFERROR(IF(A1632="","",SUMIF(SAVINGS!$A$3:A1631,A1632,SAVINGS!$E$3:E1631)-SUMIF(WITHDRAWALS!$A:$A,A1632,WITHDRAWALS!$E:$E)),"")</f>
        <v/>
      </c>
      <c r="D1632" s="33">
        <f>IF(A1632="","",TODAY())</f>
        <v/>
      </c>
      <c r="E1632" s="29" t="n"/>
      <c r="F1632" s="32">
        <f>IFERROR(IF(OR(A1632="",E1632=""),"",C1632+E1632),"")</f>
        <v/>
      </c>
      <c r="G1632" s="30" t="n"/>
      <c r="H1632" s="31" t="n"/>
    </row>
    <row r="1633" ht="20" customHeight="1">
      <c r="A1633" s="26" t="n"/>
      <c r="B1633" s="27">
        <f>IFERROR(IF(A1633="","",VLOOKUP(A1633,DATABASE!$A:$B,2,0)),"")</f>
        <v/>
      </c>
      <c r="C1633" s="20">
        <f>IFERROR(IF(A1633="","",SUMIF(SAVINGS!$A$3:A1632,A1633,SAVINGS!$E$3:E1632)-SUMIF(WITHDRAWALS!$A:$A,A1633,WITHDRAWALS!$E:$E)),"")</f>
        <v/>
      </c>
      <c r="D1633" s="28">
        <f>IF(A1633="","",TODAY())</f>
        <v/>
      </c>
      <c r="E1633" s="29" t="n"/>
      <c r="F1633" s="20">
        <f>IFERROR(IF(OR(A1633="",E1633=""),"",C1633+E1633),"")</f>
        <v/>
      </c>
      <c r="G1633" s="30" t="n"/>
      <c r="H1633" s="27" t="n"/>
    </row>
    <row r="1634" ht="20" customHeight="1">
      <c r="A1634" s="26" t="n"/>
      <c r="B1634" s="31">
        <f>IFERROR(IF(A1634="","",VLOOKUP(A1634,DATABASE!$A:$B,2,0)),"")</f>
        <v/>
      </c>
      <c r="C1634" s="32">
        <f>IFERROR(IF(A1634="","",SUMIF(SAVINGS!$A$3:A1633,A1634,SAVINGS!$E$3:E1633)-SUMIF(WITHDRAWALS!$A:$A,A1634,WITHDRAWALS!$E:$E)),"")</f>
        <v/>
      </c>
      <c r="D1634" s="33">
        <f>IF(A1634="","",TODAY())</f>
        <v/>
      </c>
      <c r="E1634" s="29" t="n"/>
      <c r="F1634" s="32">
        <f>IFERROR(IF(OR(A1634="",E1634=""),"",C1634+E1634),"")</f>
        <v/>
      </c>
      <c r="G1634" s="30" t="n"/>
      <c r="H1634" s="31" t="n"/>
    </row>
    <row r="1635" ht="20" customHeight="1">
      <c r="A1635" s="26" t="n"/>
      <c r="B1635" s="27">
        <f>IFERROR(IF(A1635="","",VLOOKUP(A1635,DATABASE!$A:$B,2,0)),"")</f>
        <v/>
      </c>
      <c r="C1635" s="20">
        <f>IFERROR(IF(A1635="","",SUMIF(SAVINGS!$A$3:A1634,A1635,SAVINGS!$E$3:E1634)-SUMIF(WITHDRAWALS!$A:$A,A1635,WITHDRAWALS!$E:$E)),"")</f>
        <v/>
      </c>
      <c r="D1635" s="28">
        <f>IF(A1635="","",TODAY())</f>
        <v/>
      </c>
      <c r="E1635" s="29" t="n"/>
      <c r="F1635" s="20">
        <f>IFERROR(IF(OR(A1635="",E1635=""),"",C1635+E1635),"")</f>
        <v/>
      </c>
      <c r="G1635" s="30" t="n"/>
      <c r="H1635" s="27" t="n"/>
    </row>
    <row r="1636" ht="20" customHeight="1">
      <c r="A1636" s="26" t="n"/>
      <c r="B1636" s="31">
        <f>IFERROR(IF(A1636="","",VLOOKUP(A1636,DATABASE!$A:$B,2,0)),"")</f>
        <v/>
      </c>
      <c r="C1636" s="32">
        <f>IFERROR(IF(A1636="","",SUMIF(SAVINGS!$A$3:A1635,A1636,SAVINGS!$E$3:E1635)-SUMIF(WITHDRAWALS!$A:$A,A1636,WITHDRAWALS!$E:$E)),"")</f>
        <v/>
      </c>
      <c r="D1636" s="33">
        <f>IF(A1636="","",TODAY())</f>
        <v/>
      </c>
      <c r="E1636" s="29" t="n"/>
      <c r="F1636" s="32">
        <f>IFERROR(IF(OR(A1636="",E1636=""),"",C1636+E1636),"")</f>
        <v/>
      </c>
      <c r="G1636" s="30" t="n"/>
      <c r="H1636" s="31" t="n"/>
    </row>
    <row r="1637" ht="20" customHeight="1">
      <c r="A1637" s="26" t="n"/>
      <c r="B1637" s="27">
        <f>IFERROR(IF(A1637="","",VLOOKUP(A1637,DATABASE!$A:$B,2,0)),"")</f>
        <v/>
      </c>
      <c r="C1637" s="20">
        <f>IFERROR(IF(A1637="","",SUMIF(SAVINGS!$A$3:A1636,A1637,SAVINGS!$E$3:E1636)-SUMIF(WITHDRAWALS!$A:$A,A1637,WITHDRAWALS!$E:$E)),"")</f>
        <v/>
      </c>
      <c r="D1637" s="28">
        <f>IF(A1637="","",TODAY())</f>
        <v/>
      </c>
      <c r="E1637" s="29" t="n"/>
      <c r="F1637" s="20">
        <f>IFERROR(IF(OR(A1637="",E1637=""),"",C1637+E1637),"")</f>
        <v/>
      </c>
      <c r="G1637" s="30" t="n"/>
      <c r="H1637" s="27" t="n"/>
    </row>
    <row r="1638" ht="20" customHeight="1">
      <c r="A1638" s="26" t="n"/>
      <c r="B1638" s="31">
        <f>IFERROR(IF(A1638="","",VLOOKUP(A1638,DATABASE!$A:$B,2,0)),"")</f>
        <v/>
      </c>
      <c r="C1638" s="32">
        <f>IFERROR(IF(A1638="","",SUMIF(SAVINGS!$A$3:A1637,A1638,SAVINGS!$E$3:E1637)-SUMIF(WITHDRAWALS!$A:$A,A1638,WITHDRAWALS!$E:$E)),"")</f>
        <v/>
      </c>
      <c r="D1638" s="33">
        <f>IF(A1638="","",TODAY())</f>
        <v/>
      </c>
      <c r="E1638" s="29" t="n"/>
      <c r="F1638" s="32">
        <f>IFERROR(IF(OR(A1638="",E1638=""),"",C1638+E1638),"")</f>
        <v/>
      </c>
      <c r="G1638" s="30" t="n"/>
      <c r="H1638" s="31" t="n"/>
    </row>
    <row r="1639" ht="20" customHeight="1">
      <c r="A1639" s="26" t="n"/>
      <c r="B1639" s="27">
        <f>IFERROR(IF(A1639="","",VLOOKUP(A1639,DATABASE!$A:$B,2,0)),"")</f>
        <v/>
      </c>
      <c r="C1639" s="20">
        <f>IFERROR(IF(A1639="","",SUMIF(SAVINGS!$A$3:A1638,A1639,SAVINGS!$E$3:E1638)-SUMIF(WITHDRAWALS!$A:$A,A1639,WITHDRAWALS!$E:$E)),"")</f>
        <v/>
      </c>
      <c r="D1639" s="28">
        <f>IF(A1639="","",TODAY())</f>
        <v/>
      </c>
      <c r="E1639" s="29" t="n"/>
      <c r="F1639" s="20">
        <f>IFERROR(IF(OR(A1639="",E1639=""),"",C1639+E1639),"")</f>
        <v/>
      </c>
      <c r="G1639" s="30" t="n"/>
      <c r="H1639" s="27" t="n"/>
    </row>
    <row r="1640" ht="20" customHeight="1">
      <c r="A1640" s="26" t="n"/>
      <c r="B1640" s="31">
        <f>IFERROR(IF(A1640="","",VLOOKUP(A1640,DATABASE!$A:$B,2,0)),"")</f>
        <v/>
      </c>
      <c r="C1640" s="32">
        <f>IFERROR(IF(A1640="","",SUMIF(SAVINGS!$A$3:A1639,A1640,SAVINGS!$E$3:E1639)-SUMIF(WITHDRAWALS!$A:$A,A1640,WITHDRAWALS!$E:$E)),"")</f>
        <v/>
      </c>
      <c r="D1640" s="33">
        <f>IF(A1640="","",TODAY())</f>
        <v/>
      </c>
      <c r="E1640" s="29" t="n"/>
      <c r="F1640" s="32">
        <f>IFERROR(IF(OR(A1640="",E1640=""),"",C1640+E1640),"")</f>
        <v/>
      </c>
      <c r="G1640" s="30" t="n"/>
      <c r="H1640" s="31" t="n"/>
    </row>
    <row r="1641" ht="20" customHeight="1">
      <c r="A1641" s="26" t="n"/>
      <c r="B1641" s="27">
        <f>IFERROR(IF(A1641="","",VLOOKUP(A1641,DATABASE!$A:$B,2,0)),"")</f>
        <v/>
      </c>
      <c r="C1641" s="20">
        <f>IFERROR(IF(A1641="","",SUMIF(SAVINGS!$A$3:A1640,A1641,SAVINGS!$E$3:E1640)-SUMIF(WITHDRAWALS!$A:$A,A1641,WITHDRAWALS!$E:$E)),"")</f>
        <v/>
      </c>
      <c r="D1641" s="28">
        <f>IF(A1641="","",TODAY())</f>
        <v/>
      </c>
      <c r="E1641" s="29" t="n"/>
      <c r="F1641" s="20">
        <f>IFERROR(IF(OR(A1641="",E1641=""),"",C1641+E1641),"")</f>
        <v/>
      </c>
      <c r="G1641" s="30" t="n"/>
      <c r="H1641" s="27" t="n"/>
    </row>
    <row r="1642" ht="20" customHeight="1">
      <c r="A1642" s="26" t="n"/>
      <c r="B1642" s="31">
        <f>IFERROR(IF(A1642="","",VLOOKUP(A1642,DATABASE!$A:$B,2,0)),"")</f>
        <v/>
      </c>
      <c r="C1642" s="32">
        <f>IFERROR(IF(A1642="","",SUMIF(SAVINGS!$A$3:A1641,A1642,SAVINGS!$E$3:E1641)-SUMIF(WITHDRAWALS!$A:$A,A1642,WITHDRAWALS!$E:$E)),"")</f>
        <v/>
      </c>
      <c r="D1642" s="33">
        <f>IF(A1642="","",TODAY())</f>
        <v/>
      </c>
      <c r="E1642" s="29" t="n"/>
      <c r="F1642" s="32">
        <f>IFERROR(IF(OR(A1642="",E1642=""),"",C1642+E1642),"")</f>
        <v/>
      </c>
      <c r="G1642" s="30" t="n"/>
      <c r="H1642" s="31" t="n"/>
    </row>
    <row r="1643" ht="20" customHeight="1">
      <c r="A1643" s="26" t="n"/>
      <c r="B1643" s="27">
        <f>IFERROR(IF(A1643="","",VLOOKUP(A1643,DATABASE!$A:$B,2,0)),"")</f>
        <v/>
      </c>
      <c r="C1643" s="20">
        <f>IFERROR(IF(A1643="","",SUMIF(SAVINGS!$A$3:A1642,A1643,SAVINGS!$E$3:E1642)-SUMIF(WITHDRAWALS!$A:$A,A1643,WITHDRAWALS!$E:$E)),"")</f>
        <v/>
      </c>
      <c r="D1643" s="28">
        <f>IF(A1643="","",TODAY())</f>
        <v/>
      </c>
      <c r="E1643" s="29" t="n"/>
      <c r="F1643" s="20">
        <f>IFERROR(IF(OR(A1643="",E1643=""),"",C1643+E1643),"")</f>
        <v/>
      </c>
      <c r="G1643" s="30" t="n"/>
      <c r="H1643" s="27" t="n"/>
    </row>
    <row r="1644" ht="20" customHeight="1">
      <c r="A1644" s="26" t="n"/>
      <c r="B1644" s="31">
        <f>IFERROR(IF(A1644="","",VLOOKUP(A1644,DATABASE!$A:$B,2,0)),"")</f>
        <v/>
      </c>
      <c r="C1644" s="32">
        <f>IFERROR(IF(A1644="","",SUMIF(SAVINGS!$A$3:A1643,A1644,SAVINGS!$E$3:E1643)-SUMIF(WITHDRAWALS!$A:$A,A1644,WITHDRAWALS!$E:$E)),"")</f>
        <v/>
      </c>
      <c r="D1644" s="33">
        <f>IF(A1644="","",TODAY())</f>
        <v/>
      </c>
      <c r="E1644" s="29" t="n"/>
      <c r="F1644" s="32">
        <f>IFERROR(IF(OR(A1644="",E1644=""),"",C1644+E1644),"")</f>
        <v/>
      </c>
      <c r="G1644" s="30" t="n"/>
      <c r="H1644" s="31" t="n"/>
    </row>
    <row r="1645" ht="20" customHeight="1">
      <c r="A1645" s="26" t="n"/>
      <c r="B1645" s="27">
        <f>IFERROR(IF(A1645="","",VLOOKUP(A1645,DATABASE!$A:$B,2,0)),"")</f>
        <v/>
      </c>
      <c r="C1645" s="20">
        <f>IFERROR(IF(A1645="","",SUMIF(SAVINGS!$A$3:A1644,A1645,SAVINGS!$E$3:E1644)-SUMIF(WITHDRAWALS!$A:$A,A1645,WITHDRAWALS!$E:$E)),"")</f>
        <v/>
      </c>
      <c r="D1645" s="28">
        <f>IF(A1645="","",TODAY())</f>
        <v/>
      </c>
      <c r="E1645" s="29" t="n"/>
      <c r="F1645" s="20">
        <f>IFERROR(IF(OR(A1645="",E1645=""),"",C1645+E1645),"")</f>
        <v/>
      </c>
      <c r="G1645" s="30" t="n"/>
      <c r="H1645" s="27" t="n"/>
    </row>
    <row r="1646" ht="20" customHeight="1">
      <c r="A1646" s="26" t="n"/>
      <c r="B1646" s="31">
        <f>IFERROR(IF(A1646="","",VLOOKUP(A1646,DATABASE!$A:$B,2,0)),"")</f>
        <v/>
      </c>
      <c r="C1646" s="32">
        <f>IFERROR(IF(A1646="","",SUMIF(SAVINGS!$A$3:A1645,A1646,SAVINGS!$E$3:E1645)-SUMIF(WITHDRAWALS!$A:$A,A1646,WITHDRAWALS!$E:$E)),"")</f>
        <v/>
      </c>
      <c r="D1646" s="33">
        <f>IF(A1646="","",TODAY())</f>
        <v/>
      </c>
      <c r="E1646" s="29" t="n"/>
      <c r="F1646" s="32">
        <f>IFERROR(IF(OR(A1646="",E1646=""),"",C1646+E1646),"")</f>
        <v/>
      </c>
      <c r="G1646" s="30" t="n"/>
      <c r="H1646" s="31" t="n"/>
    </row>
    <row r="1647" ht="20" customHeight="1">
      <c r="A1647" s="26" t="n"/>
      <c r="B1647" s="27">
        <f>IFERROR(IF(A1647="","",VLOOKUP(A1647,DATABASE!$A:$B,2,0)),"")</f>
        <v/>
      </c>
      <c r="C1647" s="20">
        <f>IFERROR(IF(A1647="","",SUMIF(SAVINGS!$A$3:A1646,A1647,SAVINGS!$E$3:E1646)-SUMIF(WITHDRAWALS!$A:$A,A1647,WITHDRAWALS!$E:$E)),"")</f>
        <v/>
      </c>
      <c r="D1647" s="28">
        <f>IF(A1647="","",TODAY())</f>
        <v/>
      </c>
      <c r="E1647" s="29" t="n"/>
      <c r="F1647" s="20">
        <f>IFERROR(IF(OR(A1647="",E1647=""),"",C1647+E1647),"")</f>
        <v/>
      </c>
      <c r="G1647" s="30" t="n"/>
      <c r="H1647" s="27" t="n"/>
    </row>
    <row r="1648" ht="20" customHeight="1">
      <c r="A1648" s="26" t="n"/>
      <c r="B1648" s="31">
        <f>IFERROR(IF(A1648="","",VLOOKUP(A1648,DATABASE!$A:$B,2,0)),"")</f>
        <v/>
      </c>
      <c r="C1648" s="32">
        <f>IFERROR(IF(A1648="","",SUMIF(SAVINGS!$A$3:A1647,A1648,SAVINGS!$E$3:E1647)-SUMIF(WITHDRAWALS!$A:$A,A1648,WITHDRAWALS!$E:$E)),"")</f>
        <v/>
      </c>
      <c r="D1648" s="33">
        <f>IF(A1648="","",TODAY())</f>
        <v/>
      </c>
      <c r="E1648" s="29" t="n"/>
      <c r="F1648" s="32">
        <f>IFERROR(IF(OR(A1648="",E1648=""),"",C1648+E1648),"")</f>
        <v/>
      </c>
      <c r="G1648" s="30" t="n"/>
      <c r="H1648" s="31" t="n"/>
    </row>
    <row r="1649" ht="20" customHeight="1">
      <c r="A1649" s="26" t="n"/>
      <c r="B1649" s="27">
        <f>IFERROR(IF(A1649="","",VLOOKUP(A1649,DATABASE!$A:$B,2,0)),"")</f>
        <v/>
      </c>
      <c r="C1649" s="20">
        <f>IFERROR(IF(A1649="","",SUMIF(SAVINGS!$A$3:A1648,A1649,SAVINGS!$E$3:E1648)-SUMIF(WITHDRAWALS!$A:$A,A1649,WITHDRAWALS!$E:$E)),"")</f>
        <v/>
      </c>
      <c r="D1649" s="28">
        <f>IF(A1649="","",TODAY())</f>
        <v/>
      </c>
      <c r="E1649" s="29" t="n"/>
      <c r="F1649" s="20">
        <f>IFERROR(IF(OR(A1649="",E1649=""),"",C1649+E1649),"")</f>
        <v/>
      </c>
      <c r="G1649" s="30" t="n"/>
      <c r="H1649" s="27" t="n"/>
    </row>
    <row r="1650" ht="20" customHeight="1">
      <c r="A1650" s="26" t="n"/>
      <c r="B1650" s="31">
        <f>IFERROR(IF(A1650="","",VLOOKUP(A1650,DATABASE!$A:$B,2,0)),"")</f>
        <v/>
      </c>
      <c r="C1650" s="32">
        <f>IFERROR(IF(A1650="","",SUMIF(SAVINGS!$A$3:A1649,A1650,SAVINGS!$E$3:E1649)-SUMIF(WITHDRAWALS!$A:$A,A1650,WITHDRAWALS!$E:$E)),"")</f>
        <v/>
      </c>
      <c r="D1650" s="33">
        <f>IF(A1650="","",TODAY())</f>
        <v/>
      </c>
      <c r="E1650" s="29" t="n"/>
      <c r="F1650" s="32">
        <f>IFERROR(IF(OR(A1650="",E1650=""),"",C1650+E1650),"")</f>
        <v/>
      </c>
      <c r="G1650" s="30" t="n"/>
      <c r="H1650" s="31" t="n"/>
    </row>
    <row r="1651" ht="20" customHeight="1">
      <c r="A1651" s="26" t="n"/>
      <c r="B1651" s="27">
        <f>IFERROR(IF(A1651="","",VLOOKUP(A1651,DATABASE!$A:$B,2,0)),"")</f>
        <v/>
      </c>
      <c r="C1651" s="20">
        <f>IFERROR(IF(A1651="","",SUMIF(SAVINGS!$A$3:A1650,A1651,SAVINGS!$E$3:E1650)-SUMIF(WITHDRAWALS!$A:$A,A1651,WITHDRAWALS!$E:$E)),"")</f>
        <v/>
      </c>
      <c r="D1651" s="28">
        <f>IF(A1651="","",TODAY())</f>
        <v/>
      </c>
      <c r="E1651" s="29" t="n"/>
      <c r="F1651" s="20">
        <f>IFERROR(IF(OR(A1651="",E1651=""),"",C1651+E1651),"")</f>
        <v/>
      </c>
      <c r="G1651" s="30" t="n"/>
      <c r="H1651" s="27" t="n"/>
    </row>
    <row r="1652" ht="20" customHeight="1">
      <c r="A1652" s="26" t="n"/>
      <c r="B1652" s="31">
        <f>IFERROR(IF(A1652="","",VLOOKUP(A1652,DATABASE!$A:$B,2,0)),"")</f>
        <v/>
      </c>
      <c r="C1652" s="32">
        <f>IFERROR(IF(A1652="","",SUMIF(SAVINGS!$A$3:A1651,A1652,SAVINGS!$E$3:E1651)-SUMIF(WITHDRAWALS!$A:$A,A1652,WITHDRAWALS!$E:$E)),"")</f>
        <v/>
      </c>
      <c r="D1652" s="33">
        <f>IF(A1652="","",TODAY())</f>
        <v/>
      </c>
      <c r="E1652" s="29" t="n"/>
      <c r="F1652" s="32">
        <f>IFERROR(IF(OR(A1652="",E1652=""),"",C1652+E1652),"")</f>
        <v/>
      </c>
      <c r="G1652" s="30" t="n"/>
      <c r="H1652" s="31" t="n"/>
    </row>
    <row r="1653" ht="20" customHeight="1">
      <c r="A1653" s="26" t="n"/>
      <c r="B1653" s="27">
        <f>IFERROR(IF(A1653="","",VLOOKUP(A1653,DATABASE!$A:$B,2,0)),"")</f>
        <v/>
      </c>
      <c r="C1653" s="20">
        <f>IFERROR(IF(A1653="","",SUMIF(SAVINGS!$A$3:A1652,A1653,SAVINGS!$E$3:E1652)-SUMIF(WITHDRAWALS!$A:$A,A1653,WITHDRAWALS!$E:$E)),"")</f>
        <v/>
      </c>
      <c r="D1653" s="28">
        <f>IF(A1653="","",TODAY())</f>
        <v/>
      </c>
      <c r="E1653" s="29" t="n"/>
      <c r="F1653" s="20">
        <f>IFERROR(IF(OR(A1653="",E1653=""),"",C1653+E1653),"")</f>
        <v/>
      </c>
      <c r="G1653" s="30" t="n"/>
      <c r="H1653" s="27" t="n"/>
    </row>
    <row r="1654" ht="20" customHeight="1">
      <c r="A1654" s="26" t="n"/>
      <c r="B1654" s="31">
        <f>IFERROR(IF(A1654="","",VLOOKUP(A1654,DATABASE!$A:$B,2,0)),"")</f>
        <v/>
      </c>
      <c r="C1654" s="32">
        <f>IFERROR(IF(A1654="","",SUMIF(SAVINGS!$A$3:A1653,A1654,SAVINGS!$E$3:E1653)-SUMIF(WITHDRAWALS!$A:$A,A1654,WITHDRAWALS!$E:$E)),"")</f>
        <v/>
      </c>
      <c r="D1654" s="33">
        <f>IF(A1654="","",TODAY())</f>
        <v/>
      </c>
      <c r="E1654" s="29" t="n"/>
      <c r="F1654" s="32">
        <f>IFERROR(IF(OR(A1654="",E1654=""),"",C1654+E1654),"")</f>
        <v/>
      </c>
      <c r="G1654" s="30" t="n"/>
      <c r="H1654" s="31" t="n"/>
    </row>
    <row r="1655" ht="20" customHeight="1">
      <c r="A1655" s="26" t="n"/>
      <c r="B1655" s="27">
        <f>IFERROR(IF(A1655="","",VLOOKUP(A1655,DATABASE!$A:$B,2,0)),"")</f>
        <v/>
      </c>
      <c r="C1655" s="20">
        <f>IFERROR(IF(A1655="","",SUMIF(SAVINGS!$A$3:A1654,A1655,SAVINGS!$E$3:E1654)-SUMIF(WITHDRAWALS!$A:$A,A1655,WITHDRAWALS!$E:$E)),"")</f>
        <v/>
      </c>
      <c r="D1655" s="28">
        <f>IF(A1655="","",TODAY())</f>
        <v/>
      </c>
      <c r="E1655" s="29" t="n"/>
      <c r="F1655" s="20">
        <f>IFERROR(IF(OR(A1655="",E1655=""),"",C1655+E1655),"")</f>
        <v/>
      </c>
      <c r="G1655" s="30" t="n"/>
      <c r="H1655" s="27" t="n"/>
    </row>
    <row r="1656" ht="20" customHeight="1">
      <c r="A1656" s="26" t="n"/>
      <c r="B1656" s="31">
        <f>IFERROR(IF(A1656="","",VLOOKUP(A1656,DATABASE!$A:$B,2,0)),"")</f>
        <v/>
      </c>
      <c r="C1656" s="32">
        <f>IFERROR(IF(A1656="","",SUMIF(SAVINGS!$A$3:A1655,A1656,SAVINGS!$E$3:E1655)-SUMIF(WITHDRAWALS!$A:$A,A1656,WITHDRAWALS!$E:$E)),"")</f>
        <v/>
      </c>
      <c r="D1656" s="33">
        <f>IF(A1656="","",TODAY())</f>
        <v/>
      </c>
      <c r="E1656" s="29" t="n"/>
      <c r="F1656" s="32">
        <f>IFERROR(IF(OR(A1656="",E1656=""),"",C1656+E1656),"")</f>
        <v/>
      </c>
      <c r="G1656" s="30" t="n"/>
      <c r="H1656" s="31" t="n"/>
    </row>
    <row r="1657" ht="20" customHeight="1">
      <c r="A1657" s="26" t="n"/>
      <c r="B1657" s="27">
        <f>IFERROR(IF(A1657="","",VLOOKUP(A1657,DATABASE!$A:$B,2,0)),"")</f>
        <v/>
      </c>
      <c r="C1657" s="20">
        <f>IFERROR(IF(A1657="","",SUMIF(SAVINGS!$A$3:A1656,A1657,SAVINGS!$E$3:E1656)-SUMIF(WITHDRAWALS!$A:$A,A1657,WITHDRAWALS!$E:$E)),"")</f>
        <v/>
      </c>
      <c r="D1657" s="28">
        <f>IF(A1657="","",TODAY())</f>
        <v/>
      </c>
      <c r="E1657" s="29" t="n"/>
      <c r="F1657" s="20">
        <f>IFERROR(IF(OR(A1657="",E1657=""),"",C1657+E1657),"")</f>
        <v/>
      </c>
      <c r="G1657" s="30" t="n"/>
      <c r="H1657" s="27" t="n"/>
    </row>
    <row r="1658" ht="20" customHeight="1">
      <c r="A1658" s="26" t="n"/>
      <c r="B1658" s="31">
        <f>IFERROR(IF(A1658="","",VLOOKUP(A1658,DATABASE!$A:$B,2,0)),"")</f>
        <v/>
      </c>
      <c r="C1658" s="32">
        <f>IFERROR(IF(A1658="","",SUMIF(SAVINGS!$A$3:A1657,A1658,SAVINGS!$E$3:E1657)-SUMIF(WITHDRAWALS!$A:$A,A1658,WITHDRAWALS!$E:$E)),"")</f>
        <v/>
      </c>
      <c r="D1658" s="33">
        <f>IF(A1658="","",TODAY())</f>
        <v/>
      </c>
      <c r="E1658" s="29" t="n"/>
      <c r="F1658" s="32">
        <f>IFERROR(IF(OR(A1658="",E1658=""),"",C1658+E1658),"")</f>
        <v/>
      </c>
      <c r="G1658" s="30" t="n"/>
      <c r="H1658" s="31" t="n"/>
    </row>
    <row r="1659" ht="20" customHeight="1">
      <c r="A1659" s="26" t="n"/>
      <c r="B1659" s="27">
        <f>IFERROR(IF(A1659="","",VLOOKUP(A1659,DATABASE!$A:$B,2,0)),"")</f>
        <v/>
      </c>
      <c r="C1659" s="20">
        <f>IFERROR(IF(A1659="","",SUMIF(SAVINGS!$A$3:A1658,A1659,SAVINGS!$E$3:E1658)-SUMIF(WITHDRAWALS!$A:$A,A1659,WITHDRAWALS!$E:$E)),"")</f>
        <v/>
      </c>
      <c r="D1659" s="28">
        <f>IF(A1659="","",TODAY())</f>
        <v/>
      </c>
      <c r="E1659" s="29" t="n"/>
      <c r="F1659" s="20">
        <f>IFERROR(IF(OR(A1659="",E1659=""),"",C1659+E1659),"")</f>
        <v/>
      </c>
      <c r="G1659" s="30" t="n"/>
      <c r="H1659" s="27" t="n"/>
    </row>
    <row r="1660" ht="20" customHeight="1">
      <c r="A1660" s="26" t="n"/>
      <c r="B1660" s="31">
        <f>IFERROR(IF(A1660="","",VLOOKUP(A1660,DATABASE!$A:$B,2,0)),"")</f>
        <v/>
      </c>
      <c r="C1660" s="32">
        <f>IFERROR(IF(A1660="","",SUMIF(SAVINGS!$A$3:A1659,A1660,SAVINGS!$E$3:E1659)-SUMIF(WITHDRAWALS!$A:$A,A1660,WITHDRAWALS!$E:$E)),"")</f>
        <v/>
      </c>
      <c r="D1660" s="33">
        <f>IF(A1660="","",TODAY())</f>
        <v/>
      </c>
      <c r="E1660" s="29" t="n"/>
      <c r="F1660" s="32">
        <f>IFERROR(IF(OR(A1660="",E1660=""),"",C1660+E1660),"")</f>
        <v/>
      </c>
      <c r="G1660" s="30" t="n"/>
      <c r="H1660" s="31" t="n"/>
    </row>
    <row r="1661" ht="20" customHeight="1">
      <c r="A1661" s="26" t="n"/>
      <c r="B1661" s="27">
        <f>IFERROR(IF(A1661="","",VLOOKUP(A1661,DATABASE!$A:$B,2,0)),"")</f>
        <v/>
      </c>
      <c r="C1661" s="20">
        <f>IFERROR(IF(A1661="","",SUMIF(SAVINGS!$A$3:A1660,A1661,SAVINGS!$E$3:E1660)-SUMIF(WITHDRAWALS!$A:$A,A1661,WITHDRAWALS!$E:$E)),"")</f>
        <v/>
      </c>
      <c r="D1661" s="28">
        <f>IF(A1661="","",TODAY())</f>
        <v/>
      </c>
      <c r="E1661" s="29" t="n"/>
      <c r="F1661" s="20">
        <f>IFERROR(IF(OR(A1661="",E1661=""),"",C1661+E1661),"")</f>
        <v/>
      </c>
      <c r="G1661" s="30" t="n"/>
      <c r="H1661" s="27" t="n"/>
    </row>
    <row r="1662" ht="20" customHeight="1">
      <c r="A1662" s="26" t="n"/>
      <c r="B1662" s="31">
        <f>IFERROR(IF(A1662="","",VLOOKUP(A1662,DATABASE!$A:$B,2,0)),"")</f>
        <v/>
      </c>
      <c r="C1662" s="32">
        <f>IFERROR(IF(A1662="","",SUMIF(SAVINGS!$A$3:A1661,A1662,SAVINGS!$E$3:E1661)-SUMIF(WITHDRAWALS!$A:$A,A1662,WITHDRAWALS!$E:$E)),"")</f>
        <v/>
      </c>
      <c r="D1662" s="33">
        <f>IF(A1662="","",TODAY())</f>
        <v/>
      </c>
      <c r="E1662" s="29" t="n"/>
      <c r="F1662" s="32">
        <f>IFERROR(IF(OR(A1662="",E1662=""),"",C1662+E1662),"")</f>
        <v/>
      </c>
      <c r="G1662" s="30" t="n"/>
      <c r="H1662" s="31" t="n"/>
    </row>
    <row r="1663" ht="20" customHeight="1">
      <c r="A1663" s="26" t="n"/>
      <c r="B1663" s="27">
        <f>IFERROR(IF(A1663="","",VLOOKUP(A1663,DATABASE!$A:$B,2,0)),"")</f>
        <v/>
      </c>
      <c r="C1663" s="20">
        <f>IFERROR(IF(A1663="","",SUMIF(SAVINGS!$A$3:A1662,A1663,SAVINGS!$E$3:E1662)-SUMIF(WITHDRAWALS!$A:$A,A1663,WITHDRAWALS!$E:$E)),"")</f>
        <v/>
      </c>
      <c r="D1663" s="28">
        <f>IF(A1663="","",TODAY())</f>
        <v/>
      </c>
      <c r="E1663" s="29" t="n"/>
      <c r="F1663" s="20">
        <f>IFERROR(IF(OR(A1663="",E1663=""),"",C1663+E1663),"")</f>
        <v/>
      </c>
      <c r="G1663" s="30" t="n"/>
      <c r="H1663" s="27" t="n"/>
    </row>
    <row r="1664" ht="20" customHeight="1">
      <c r="A1664" s="26" t="n"/>
      <c r="B1664" s="31">
        <f>IFERROR(IF(A1664="","",VLOOKUP(A1664,DATABASE!$A:$B,2,0)),"")</f>
        <v/>
      </c>
      <c r="C1664" s="32">
        <f>IFERROR(IF(A1664="","",SUMIF(SAVINGS!$A$3:A1663,A1664,SAVINGS!$E$3:E1663)-SUMIF(WITHDRAWALS!$A:$A,A1664,WITHDRAWALS!$E:$E)),"")</f>
        <v/>
      </c>
      <c r="D1664" s="33">
        <f>IF(A1664="","",TODAY())</f>
        <v/>
      </c>
      <c r="E1664" s="29" t="n"/>
      <c r="F1664" s="32">
        <f>IFERROR(IF(OR(A1664="",E1664=""),"",C1664+E1664),"")</f>
        <v/>
      </c>
      <c r="G1664" s="30" t="n"/>
      <c r="H1664" s="31" t="n"/>
    </row>
    <row r="1665" ht="20" customHeight="1">
      <c r="A1665" s="26" t="n"/>
      <c r="B1665" s="27">
        <f>IFERROR(IF(A1665="","",VLOOKUP(A1665,DATABASE!$A:$B,2,0)),"")</f>
        <v/>
      </c>
      <c r="C1665" s="20">
        <f>IFERROR(IF(A1665="","",SUMIF(SAVINGS!$A$3:A1664,A1665,SAVINGS!$E$3:E1664)-SUMIF(WITHDRAWALS!$A:$A,A1665,WITHDRAWALS!$E:$E)),"")</f>
        <v/>
      </c>
      <c r="D1665" s="28">
        <f>IF(A1665="","",TODAY())</f>
        <v/>
      </c>
      <c r="E1665" s="29" t="n"/>
      <c r="F1665" s="20">
        <f>IFERROR(IF(OR(A1665="",E1665=""),"",C1665+E1665),"")</f>
        <v/>
      </c>
      <c r="G1665" s="30" t="n"/>
      <c r="H1665" s="27" t="n"/>
    </row>
    <row r="1666" ht="20" customHeight="1">
      <c r="A1666" s="26" t="n"/>
      <c r="B1666" s="31">
        <f>IFERROR(IF(A1666="","",VLOOKUP(A1666,DATABASE!$A:$B,2,0)),"")</f>
        <v/>
      </c>
      <c r="C1666" s="32">
        <f>IFERROR(IF(A1666="","",SUMIF(SAVINGS!$A$3:A1665,A1666,SAVINGS!$E$3:E1665)-SUMIF(WITHDRAWALS!$A:$A,A1666,WITHDRAWALS!$E:$E)),"")</f>
        <v/>
      </c>
      <c r="D1666" s="33">
        <f>IF(A1666="","",TODAY())</f>
        <v/>
      </c>
      <c r="E1666" s="29" t="n"/>
      <c r="F1666" s="32">
        <f>IFERROR(IF(OR(A1666="",E1666=""),"",C1666+E1666),"")</f>
        <v/>
      </c>
      <c r="G1666" s="30" t="n"/>
      <c r="H1666" s="31" t="n"/>
    </row>
    <row r="1667" ht="20" customHeight="1">
      <c r="A1667" s="26" t="n"/>
      <c r="B1667" s="27">
        <f>IFERROR(IF(A1667="","",VLOOKUP(A1667,DATABASE!$A:$B,2,0)),"")</f>
        <v/>
      </c>
      <c r="C1667" s="20">
        <f>IFERROR(IF(A1667="","",SUMIF(SAVINGS!$A$3:A1666,A1667,SAVINGS!$E$3:E1666)-SUMIF(WITHDRAWALS!$A:$A,A1667,WITHDRAWALS!$E:$E)),"")</f>
        <v/>
      </c>
      <c r="D1667" s="28">
        <f>IF(A1667="","",TODAY())</f>
        <v/>
      </c>
      <c r="E1667" s="29" t="n"/>
      <c r="F1667" s="20">
        <f>IFERROR(IF(OR(A1667="",E1667=""),"",C1667+E1667),"")</f>
        <v/>
      </c>
      <c r="G1667" s="30" t="n"/>
      <c r="H1667" s="27" t="n"/>
    </row>
    <row r="1668" ht="20" customHeight="1">
      <c r="A1668" s="26" t="n"/>
      <c r="B1668" s="31">
        <f>IFERROR(IF(A1668="","",VLOOKUP(A1668,DATABASE!$A:$B,2,0)),"")</f>
        <v/>
      </c>
      <c r="C1668" s="32">
        <f>IFERROR(IF(A1668="","",SUMIF(SAVINGS!$A$3:A1667,A1668,SAVINGS!$E$3:E1667)-SUMIF(WITHDRAWALS!$A:$A,A1668,WITHDRAWALS!$E:$E)),"")</f>
        <v/>
      </c>
      <c r="D1668" s="33">
        <f>IF(A1668="","",TODAY())</f>
        <v/>
      </c>
      <c r="E1668" s="29" t="n"/>
      <c r="F1668" s="32">
        <f>IFERROR(IF(OR(A1668="",E1668=""),"",C1668+E1668),"")</f>
        <v/>
      </c>
      <c r="G1668" s="30" t="n"/>
      <c r="H1668" s="31" t="n"/>
    </row>
    <row r="1669" ht="20" customHeight="1">
      <c r="A1669" s="26" t="n"/>
      <c r="B1669" s="27">
        <f>IFERROR(IF(A1669="","",VLOOKUP(A1669,DATABASE!$A:$B,2,0)),"")</f>
        <v/>
      </c>
      <c r="C1669" s="20">
        <f>IFERROR(IF(A1669="","",SUMIF(SAVINGS!$A$3:A1668,A1669,SAVINGS!$E$3:E1668)-SUMIF(WITHDRAWALS!$A:$A,A1669,WITHDRAWALS!$E:$E)),"")</f>
        <v/>
      </c>
      <c r="D1669" s="28">
        <f>IF(A1669="","",TODAY())</f>
        <v/>
      </c>
      <c r="E1669" s="29" t="n"/>
      <c r="F1669" s="20">
        <f>IFERROR(IF(OR(A1669="",E1669=""),"",C1669+E1669),"")</f>
        <v/>
      </c>
      <c r="G1669" s="30" t="n"/>
      <c r="H1669" s="27" t="n"/>
    </row>
    <row r="1670" ht="20" customHeight="1">
      <c r="A1670" s="26" t="n"/>
      <c r="B1670" s="31">
        <f>IFERROR(IF(A1670="","",VLOOKUP(A1670,DATABASE!$A:$B,2,0)),"")</f>
        <v/>
      </c>
      <c r="C1670" s="32">
        <f>IFERROR(IF(A1670="","",SUMIF(SAVINGS!$A$3:A1669,A1670,SAVINGS!$E$3:E1669)-SUMIF(WITHDRAWALS!$A:$A,A1670,WITHDRAWALS!$E:$E)),"")</f>
        <v/>
      </c>
      <c r="D1670" s="33">
        <f>IF(A1670="","",TODAY())</f>
        <v/>
      </c>
      <c r="E1670" s="29" t="n"/>
      <c r="F1670" s="32">
        <f>IFERROR(IF(OR(A1670="",E1670=""),"",C1670+E1670),"")</f>
        <v/>
      </c>
      <c r="G1670" s="30" t="n"/>
      <c r="H1670" s="31" t="n"/>
    </row>
    <row r="1671" ht="20" customHeight="1">
      <c r="A1671" s="26" t="n"/>
      <c r="B1671" s="27">
        <f>IFERROR(IF(A1671="","",VLOOKUP(A1671,DATABASE!$A:$B,2,0)),"")</f>
        <v/>
      </c>
      <c r="C1671" s="20">
        <f>IFERROR(IF(A1671="","",SUMIF(SAVINGS!$A$3:A1670,A1671,SAVINGS!$E$3:E1670)-SUMIF(WITHDRAWALS!$A:$A,A1671,WITHDRAWALS!$E:$E)),"")</f>
        <v/>
      </c>
      <c r="D1671" s="28">
        <f>IF(A1671="","",TODAY())</f>
        <v/>
      </c>
      <c r="E1671" s="29" t="n"/>
      <c r="F1671" s="20">
        <f>IFERROR(IF(OR(A1671="",E1671=""),"",C1671+E1671),"")</f>
        <v/>
      </c>
      <c r="G1671" s="30" t="n"/>
      <c r="H1671" s="27" t="n"/>
    </row>
    <row r="1672" ht="20" customHeight="1">
      <c r="A1672" s="26" t="n"/>
      <c r="B1672" s="31">
        <f>IFERROR(IF(A1672="","",VLOOKUP(A1672,DATABASE!$A:$B,2,0)),"")</f>
        <v/>
      </c>
      <c r="C1672" s="32">
        <f>IFERROR(IF(A1672="","",SUMIF(SAVINGS!$A$3:A1671,A1672,SAVINGS!$E$3:E1671)-SUMIF(WITHDRAWALS!$A:$A,A1672,WITHDRAWALS!$E:$E)),"")</f>
        <v/>
      </c>
      <c r="D1672" s="33">
        <f>IF(A1672="","",TODAY())</f>
        <v/>
      </c>
      <c r="E1672" s="29" t="n"/>
      <c r="F1672" s="32">
        <f>IFERROR(IF(OR(A1672="",E1672=""),"",C1672+E1672),"")</f>
        <v/>
      </c>
      <c r="G1672" s="30" t="n"/>
      <c r="H1672" s="31" t="n"/>
    </row>
    <row r="1673" ht="20" customHeight="1">
      <c r="A1673" s="26" t="n"/>
      <c r="B1673" s="27">
        <f>IFERROR(IF(A1673="","",VLOOKUP(A1673,DATABASE!$A:$B,2,0)),"")</f>
        <v/>
      </c>
      <c r="C1673" s="20">
        <f>IFERROR(IF(A1673="","",SUMIF(SAVINGS!$A$3:A1672,A1673,SAVINGS!$E$3:E1672)-SUMIF(WITHDRAWALS!$A:$A,A1673,WITHDRAWALS!$E:$E)),"")</f>
        <v/>
      </c>
      <c r="D1673" s="28">
        <f>IF(A1673="","",TODAY())</f>
        <v/>
      </c>
      <c r="E1673" s="29" t="n"/>
      <c r="F1673" s="20">
        <f>IFERROR(IF(OR(A1673="",E1673=""),"",C1673+E1673),"")</f>
        <v/>
      </c>
      <c r="G1673" s="30" t="n"/>
      <c r="H1673" s="27" t="n"/>
    </row>
    <row r="1674" ht="20" customHeight="1">
      <c r="A1674" s="26" t="n"/>
      <c r="B1674" s="31">
        <f>IFERROR(IF(A1674="","",VLOOKUP(A1674,DATABASE!$A:$B,2,0)),"")</f>
        <v/>
      </c>
      <c r="C1674" s="32">
        <f>IFERROR(IF(A1674="","",SUMIF(SAVINGS!$A$3:A1673,A1674,SAVINGS!$E$3:E1673)-SUMIF(WITHDRAWALS!$A:$A,A1674,WITHDRAWALS!$E:$E)),"")</f>
        <v/>
      </c>
      <c r="D1674" s="33">
        <f>IF(A1674="","",TODAY())</f>
        <v/>
      </c>
      <c r="E1674" s="29" t="n"/>
      <c r="F1674" s="32">
        <f>IFERROR(IF(OR(A1674="",E1674=""),"",C1674+E1674),"")</f>
        <v/>
      </c>
      <c r="G1674" s="30" t="n"/>
      <c r="H1674" s="31" t="n"/>
    </row>
    <row r="1675" ht="20" customHeight="1">
      <c r="A1675" s="26" t="n"/>
      <c r="B1675" s="27">
        <f>IFERROR(IF(A1675="","",VLOOKUP(A1675,DATABASE!$A:$B,2,0)),"")</f>
        <v/>
      </c>
      <c r="C1675" s="20">
        <f>IFERROR(IF(A1675="","",SUMIF(SAVINGS!$A$3:A1674,A1675,SAVINGS!$E$3:E1674)-SUMIF(WITHDRAWALS!$A:$A,A1675,WITHDRAWALS!$E:$E)),"")</f>
        <v/>
      </c>
      <c r="D1675" s="28">
        <f>IF(A1675="","",TODAY())</f>
        <v/>
      </c>
      <c r="E1675" s="29" t="n"/>
      <c r="F1675" s="20">
        <f>IFERROR(IF(OR(A1675="",E1675=""),"",C1675+E1675),"")</f>
        <v/>
      </c>
      <c r="G1675" s="30" t="n"/>
      <c r="H1675" s="27" t="n"/>
    </row>
    <row r="1676" ht="20" customHeight="1">
      <c r="A1676" s="26" t="n"/>
      <c r="B1676" s="31">
        <f>IFERROR(IF(A1676="","",VLOOKUP(A1676,DATABASE!$A:$B,2,0)),"")</f>
        <v/>
      </c>
      <c r="C1676" s="32">
        <f>IFERROR(IF(A1676="","",SUMIF(SAVINGS!$A$3:A1675,A1676,SAVINGS!$E$3:E1675)-SUMIF(WITHDRAWALS!$A:$A,A1676,WITHDRAWALS!$E:$E)),"")</f>
        <v/>
      </c>
      <c r="D1676" s="33">
        <f>IF(A1676="","",TODAY())</f>
        <v/>
      </c>
      <c r="E1676" s="29" t="n"/>
      <c r="F1676" s="32">
        <f>IFERROR(IF(OR(A1676="",E1676=""),"",C1676+E1676),"")</f>
        <v/>
      </c>
      <c r="G1676" s="30" t="n"/>
      <c r="H1676" s="31" t="n"/>
    </row>
    <row r="1677" ht="20" customHeight="1">
      <c r="A1677" s="26" t="n"/>
      <c r="B1677" s="27">
        <f>IFERROR(IF(A1677="","",VLOOKUP(A1677,DATABASE!$A:$B,2,0)),"")</f>
        <v/>
      </c>
      <c r="C1677" s="20">
        <f>IFERROR(IF(A1677="","",SUMIF(SAVINGS!$A$3:A1676,A1677,SAVINGS!$E$3:E1676)-SUMIF(WITHDRAWALS!$A:$A,A1677,WITHDRAWALS!$E:$E)),"")</f>
        <v/>
      </c>
      <c r="D1677" s="28">
        <f>IF(A1677="","",TODAY())</f>
        <v/>
      </c>
      <c r="E1677" s="29" t="n"/>
      <c r="F1677" s="20">
        <f>IFERROR(IF(OR(A1677="",E1677=""),"",C1677+E1677),"")</f>
        <v/>
      </c>
      <c r="G1677" s="30" t="n"/>
      <c r="H1677" s="27" t="n"/>
    </row>
    <row r="1678" ht="20" customHeight="1">
      <c r="A1678" s="26" t="n"/>
      <c r="B1678" s="31">
        <f>IFERROR(IF(A1678="","",VLOOKUP(A1678,DATABASE!$A:$B,2,0)),"")</f>
        <v/>
      </c>
      <c r="C1678" s="32">
        <f>IFERROR(IF(A1678="","",SUMIF(SAVINGS!$A$3:A1677,A1678,SAVINGS!$E$3:E1677)-SUMIF(WITHDRAWALS!$A:$A,A1678,WITHDRAWALS!$E:$E)),"")</f>
        <v/>
      </c>
      <c r="D1678" s="33">
        <f>IF(A1678="","",TODAY())</f>
        <v/>
      </c>
      <c r="E1678" s="29" t="n"/>
      <c r="F1678" s="32">
        <f>IFERROR(IF(OR(A1678="",E1678=""),"",C1678+E1678),"")</f>
        <v/>
      </c>
      <c r="G1678" s="30" t="n"/>
      <c r="H1678" s="31" t="n"/>
    </row>
    <row r="1679" ht="20" customHeight="1">
      <c r="A1679" s="26" t="n"/>
      <c r="B1679" s="27">
        <f>IFERROR(IF(A1679="","",VLOOKUP(A1679,DATABASE!$A:$B,2,0)),"")</f>
        <v/>
      </c>
      <c r="C1679" s="20">
        <f>IFERROR(IF(A1679="","",SUMIF(SAVINGS!$A$3:A1678,A1679,SAVINGS!$E$3:E1678)-SUMIF(WITHDRAWALS!$A:$A,A1679,WITHDRAWALS!$E:$E)),"")</f>
        <v/>
      </c>
      <c r="D1679" s="28">
        <f>IF(A1679="","",TODAY())</f>
        <v/>
      </c>
      <c r="E1679" s="29" t="n"/>
      <c r="F1679" s="20">
        <f>IFERROR(IF(OR(A1679="",E1679=""),"",C1679+E1679),"")</f>
        <v/>
      </c>
      <c r="G1679" s="30" t="n"/>
      <c r="H1679" s="27" t="n"/>
    </row>
    <row r="1680" ht="20" customHeight="1">
      <c r="A1680" s="26" t="n"/>
      <c r="B1680" s="31">
        <f>IFERROR(IF(A1680="","",VLOOKUP(A1680,DATABASE!$A:$B,2,0)),"")</f>
        <v/>
      </c>
      <c r="C1680" s="32">
        <f>IFERROR(IF(A1680="","",SUMIF(SAVINGS!$A$3:A1679,A1680,SAVINGS!$E$3:E1679)-SUMIF(WITHDRAWALS!$A:$A,A1680,WITHDRAWALS!$E:$E)),"")</f>
        <v/>
      </c>
      <c r="D1680" s="33">
        <f>IF(A1680="","",TODAY())</f>
        <v/>
      </c>
      <c r="E1680" s="29" t="n"/>
      <c r="F1680" s="32">
        <f>IFERROR(IF(OR(A1680="",E1680=""),"",C1680+E1680),"")</f>
        <v/>
      </c>
      <c r="G1680" s="30" t="n"/>
      <c r="H1680" s="31" t="n"/>
    </row>
    <row r="1681" ht="20" customHeight="1">
      <c r="A1681" s="26" t="n"/>
      <c r="B1681" s="27">
        <f>IFERROR(IF(A1681="","",VLOOKUP(A1681,DATABASE!$A:$B,2,0)),"")</f>
        <v/>
      </c>
      <c r="C1681" s="20">
        <f>IFERROR(IF(A1681="","",SUMIF(SAVINGS!$A$3:A1680,A1681,SAVINGS!$E$3:E1680)-SUMIF(WITHDRAWALS!$A:$A,A1681,WITHDRAWALS!$E:$E)),"")</f>
        <v/>
      </c>
      <c r="D1681" s="28">
        <f>IF(A1681="","",TODAY())</f>
        <v/>
      </c>
      <c r="E1681" s="29" t="n"/>
      <c r="F1681" s="20">
        <f>IFERROR(IF(OR(A1681="",E1681=""),"",C1681+E1681),"")</f>
        <v/>
      </c>
      <c r="G1681" s="30" t="n"/>
      <c r="H1681" s="27" t="n"/>
    </row>
    <row r="1682" ht="20" customHeight="1">
      <c r="A1682" s="26" t="n"/>
      <c r="B1682" s="31">
        <f>IFERROR(IF(A1682="","",VLOOKUP(A1682,DATABASE!$A:$B,2,0)),"")</f>
        <v/>
      </c>
      <c r="C1682" s="32">
        <f>IFERROR(IF(A1682="","",SUMIF(SAVINGS!$A$3:A1681,A1682,SAVINGS!$E$3:E1681)-SUMIF(WITHDRAWALS!$A:$A,A1682,WITHDRAWALS!$E:$E)),"")</f>
        <v/>
      </c>
      <c r="D1682" s="33">
        <f>IF(A1682="","",TODAY())</f>
        <v/>
      </c>
      <c r="E1682" s="29" t="n"/>
      <c r="F1682" s="32">
        <f>IFERROR(IF(OR(A1682="",E1682=""),"",C1682+E1682),"")</f>
        <v/>
      </c>
      <c r="G1682" s="30" t="n"/>
      <c r="H1682" s="31" t="n"/>
    </row>
    <row r="1683" ht="20" customHeight="1">
      <c r="A1683" s="26" t="n"/>
      <c r="B1683" s="27">
        <f>IFERROR(IF(A1683="","",VLOOKUP(A1683,DATABASE!$A:$B,2,0)),"")</f>
        <v/>
      </c>
      <c r="C1683" s="20">
        <f>IFERROR(IF(A1683="","",SUMIF(SAVINGS!$A$3:A1682,A1683,SAVINGS!$E$3:E1682)-SUMIF(WITHDRAWALS!$A:$A,A1683,WITHDRAWALS!$E:$E)),"")</f>
        <v/>
      </c>
      <c r="D1683" s="28">
        <f>IF(A1683="","",TODAY())</f>
        <v/>
      </c>
      <c r="E1683" s="29" t="n"/>
      <c r="F1683" s="20">
        <f>IFERROR(IF(OR(A1683="",E1683=""),"",C1683+E1683),"")</f>
        <v/>
      </c>
      <c r="G1683" s="30" t="n"/>
      <c r="H1683" s="27" t="n"/>
    </row>
    <row r="1684" ht="20" customHeight="1">
      <c r="A1684" s="26" t="n"/>
      <c r="B1684" s="31">
        <f>IFERROR(IF(A1684="","",VLOOKUP(A1684,DATABASE!$A:$B,2,0)),"")</f>
        <v/>
      </c>
      <c r="C1684" s="32">
        <f>IFERROR(IF(A1684="","",SUMIF(SAVINGS!$A$3:A1683,A1684,SAVINGS!$E$3:E1683)-SUMIF(WITHDRAWALS!$A:$A,A1684,WITHDRAWALS!$E:$E)),"")</f>
        <v/>
      </c>
      <c r="D1684" s="33">
        <f>IF(A1684="","",TODAY())</f>
        <v/>
      </c>
      <c r="E1684" s="29" t="n"/>
      <c r="F1684" s="32">
        <f>IFERROR(IF(OR(A1684="",E1684=""),"",C1684+E1684),"")</f>
        <v/>
      </c>
      <c r="G1684" s="30" t="n"/>
      <c r="H1684" s="31" t="n"/>
    </row>
    <row r="1685" ht="20" customHeight="1">
      <c r="A1685" s="26" t="n"/>
      <c r="B1685" s="27">
        <f>IFERROR(IF(A1685="","",VLOOKUP(A1685,DATABASE!$A:$B,2,0)),"")</f>
        <v/>
      </c>
      <c r="C1685" s="20">
        <f>IFERROR(IF(A1685="","",SUMIF(SAVINGS!$A$3:A1684,A1685,SAVINGS!$E$3:E1684)-SUMIF(WITHDRAWALS!$A:$A,A1685,WITHDRAWALS!$E:$E)),"")</f>
        <v/>
      </c>
      <c r="D1685" s="28">
        <f>IF(A1685="","",TODAY())</f>
        <v/>
      </c>
      <c r="E1685" s="29" t="n"/>
      <c r="F1685" s="20">
        <f>IFERROR(IF(OR(A1685="",E1685=""),"",C1685+E1685),"")</f>
        <v/>
      </c>
      <c r="G1685" s="30" t="n"/>
      <c r="H1685" s="27" t="n"/>
    </row>
    <row r="1686" ht="20" customHeight="1">
      <c r="A1686" s="26" t="n"/>
      <c r="B1686" s="31">
        <f>IFERROR(IF(A1686="","",VLOOKUP(A1686,DATABASE!$A:$B,2,0)),"")</f>
        <v/>
      </c>
      <c r="C1686" s="32">
        <f>IFERROR(IF(A1686="","",SUMIF(SAVINGS!$A$3:A1685,A1686,SAVINGS!$E$3:E1685)-SUMIF(WITHDRAWALS!$A:$A,A1686,WITHDRAWALS!$E:$E)),"")</f>
        <v/>
      </c>
      <c r="D1686" s="33">
        <f>IF(A1686="","",TODAY())</f>
        <v/>
      </c>
      <c r="E1686" s="29" t="n"/>
      <c r="F1686" s="32">
        <f>IFERROR(IF(OR(A1686="",E1686=""),"",C1686+E1686),"")</f>
        <v/>
      </c>
      <c r="G1686" s="30" t="n"/>
      <c r="H1686" s="31" t="n"/>
    </row>
    <row r="1687" ht="20" customHeight="1">
      <c r="A1687" s="26" t="n"/>
      <c r="B1687" s="27">
        <f>IFERROR(IF(A1687="","",VLOOKUP(A1687,DATABASE!$A:$B,2,0)),"")</f>
        <v/>
      </c>
      <c r="C1687" s="20">
        <f>IFERROR(IF(A1687="","",SUMIF(SAVINGS!$A$3:A1686,A1687,SAVINGS!$E$3:E1686)-SUMIF(WITHDRAWALS!$A:$A,A1687,WITHDRAWALS!$E:$E)),"")</f>
        <v/>
      </c>
      <c r="D1687" s="28">
        <f>IF(A1687="","",TODAY())</f>
        <v/>
      </c>
      <c r="E1687" s="29" t="n"/>
      <c r="F1687" s="20">
        <f>IFERROR(IF(OR(A1687="",E1687=""),"",C1687+E1687),"")</f>
        <v/>
      </c>
      <c r="G1687" s="30" t="n"/>
      <c r="H1687" s="27" t="n"/>
    </row>
    <row r="1688" ht="20" customHeight="1">
      <c r="A1688" s="26" t="n"/>
      <c r="B1688" s="31">
        <f>IFERROR(IF(A1688="","",VLOOKUP(A1688,DATABASE!$A:$B,2,0)),"")</f>
        <v/>
      </c>
      <c r="C1688" s="32">
        <f>IFERROR(IF(A1688="","",SUMIF(SAVINGS!$A$3:A1687,A1688,SAVINGS!$E$3:E1687)-SUMIF(WITHDRAWALS!$A:$A,A1688,WITHDRAWALS!$E:$E)),"")</f>
        <v/>
      </c>
      <c r="D1688" s="33">
        <f>IF(A1688="","",TODAY())</f>
        <v/>
      </c>
      <c r="E1688" s="29" t="n"/>
      <c r="F1688" s="32">
        <f>IFERROR(IF(OR(A1688="",E1688=""),"",C1688+E1688),"")</f>
        <v/>
      </c>
      <c r="G1688" s="30" t="n"/>
      <c r="H1688" s="31" t="n"/>
    </row>
    <row r="1689" ht="20" customHeight="1">
      <c r="A1689" s="26" t="n"/>
      <c r="B1689" s="27">
        <f>IFERROR(IF(A1689="","",VLOOKUP(A1689,DATABASE!$A:$B,2,0)),"")</f>
        <v/>
      </c>
      <c r="C1689" s="20">
        <f>IFERROR(IF(A1689="","",SUMIF(SAVINGS!$A$3:A1688,A1689,SAVINGS!$E$3:E1688)-SUMIF(WITHDRAWALS!$A:$A,A1689,WITHDRAWALS!$E:$E)),"")</f>
        <v/>
      </c>
      <c r="D1689" s="28">
        <f>IF(A1689="","",TODAY())</f>
        <v/>
      </c>
      <c r="E1689" s="29" t="n"/>
      <c r="F1689" s="20">
        <f>IFERROR(IF(OR(A1689="",E1689=""),"",C1689+E1689),"")</f>
        <v/>
      </c>
      <c r="G1689" s="30" t="n"/>
      <c r="H1689" s="27" t="n"/>
    </row>
    <row r="1690" ht="20" customHeight="1">
      <c r="A1690" s="26" t="n"/>
      <c r="B1690" s="31">
        <f>IFERROR(IF(A1690="","",VLOOKUP(A1690,DATABASE!$A:$B,2,0)),"")</f>
        <v/>
      </c>
      <c r="C1690" s="32">
        <f>IFERROR(IF(A1690="","",SUMIF(SAVINGS!$A$3:A1689,A1690,SAVINGS!$E$3:E1689)-SUMIF(WITHDRAWALS!$A:$A,A1690,WITHDRAWALS!$E:$E)),"")</f>
        <v/>
      </c>
      <c r="D1690" s="33">
        <f>IF(A1690="","",TODAY())</f>
        <v/>
      </c>
      <c r="E1690" s="29" t="n"/>
      <c r="F1690" s="32">
        <f>IFERROR(IF(OR(A1690="",E1690=""),"",C1690+E1690),"")</f>
        <v/>
      </c>
      <c r="G1690" s="30" t="n"/>
      <c r="H1690" s="31" t="n"/>
    </row>
    <row r="1691" ht="20" customHeight="1">
      <c r="A1691" s="26" t="n"/>
      <c r="B1691" s="27">
        <f>IFERROR(IF(A1691="","",VLOOKUP(A1691,DATABASE!$A:$B,2,0)),"")</f>
        <v/>
      </c>
      <c r="C1691" s="20">
        <f>IFERROR(IF(A1691="","",SUMIF(SAVINGS!$A$3:A1690,A1691,SAVINGS!$E$3:E1690)-SUMIF(WITHDRAWALS!$A:$A,A1691,WITHDRAWALS!$E:$E)),"")</f>
        <v/>
      </c>
      <c r="D1691" s="28">
        <f>IF(A1691="","",TODAY())</f>
        <v/>
      </c>
      <c r="E1691" s="29" t="n"/>
      <c r="F1691" s="20">
        <f>IFERROR(IF(OR(A1691="",E1691=""),"",C1691+E1691),"")</f>
        <v/>
      </c>
      <c r="G1691" s="30" t="n"/>
      <c r="H1691" s="27" t="n"/>
    </row>
    <row r="1692" ht="20" customHeight="1">
      <c r="A1692" s="26" t="n"/>
      <c r="B1692" s="31">
        <f>IFERROR(IF(A1692="","",VLOOKUP(A1692,DATABASE!$A:$B,2,0)),"")</f>
        <v/>
      </c>
      <c r="C1692" s="32">
        <f>IFERROR(IF(A1692="","",SUMIF(SAVINGS!$A$3:A1691,A1692,SAVINGS!$E$3:E1691)-SUMIF(WITHDRAWALS!$A:$A,A1692,WITHDRAWALS!$E:$E)),"")</f>
        <v/>
      </c>
      <c r="D1692" s="33">
        <f>IF(A1692="","",TODAY())</f>
        <v/>
      </c>
      <c r="E1692" s="29" t="n"/>
      <c r="F1692" s="32">
        <f>IFERROR(IF(OR(A1692="",E1692=""),"",C1692+E1692),"")</f>
        <v/>
      </c>
      <c r="G1692" s="30" t="n"/>
      <c r="H1692" s="31" t="n"/>
    </row>
    <row r="1693" ht="20" customHeight="1">
      <c r="A1693" s="26" t="n"/>
      <c r="B1693" s="27">
        <f>IFERROR(IF(A1693="","",VLOOKUP(A1693,DATABASE!$A:$B,2,0)),"")</f>
        <v/>
      </c>
      <c r="C1693" s="20">
        <f>IFERROR(IF(A1693="","",SUMIF(SAVINGS!$A$3:A1692,A1693,SAVINGS!$E$3:E1692)-SUMIF(WITHDRAWALS!$A:$A,A1693,WITHDRAWALS!$E:$E)),"")</f>
        <v/>
      </c>
      <c r="D1693" s="28">
        <f>IF(A1693="","",TODAY())</f>
        <v/>
      </c>
      <c r="E1693" s="29" t="n"/>
      <c r="F1693" s="20">
        <f>IFERROR(IF(OR(A1693="",E1693=""),"",C1693+E1693),"")</f>
        <v/>
      </c>
      <c r="G1693" s="30" t="n"/>
      <c r="H1693" s="27" t="n"/>
    </row>
    <row r="1694" ht="20" customHeight="1">
      <c r="A1694" s="26" t="n"/>
      <c r="B1694" s="31">
        <f>IFERROR(IF(A1694="","",VLOOKUP(A1694,DATABASE!$A:$B,2,0)),"")</f>
        <v/>
      </c>
      <c r="C1694" s="32">
        <f>IFERROR(IF(A1694="","",SUMIF(SAVINGS!$A$3:A1693,A1694,SAVINGS!$E$3:E1693)-SUMIF(WITHDRAWALS!$A:$A,A1694,WITHDRAWALS!$E:$E)),"")</f>
        <v/>
      </c>
      <c r="D1694" s="33">
        <f>IF(A1694="","",TODAY())</f>
        <v/>
      </c>
      <c r="E1694" s="29" t="n"/>
      <c r="F1694" s="32">
        <f>IFERROR(IF(OR(A1694="",E1694=""),"",C1694+E1694),"")</f>
        <v/>
      </c>
      <c r="G1694" s="30" t="n"/>
      <c r="H1694" s="31" t="n"/>
    </row>
    <row r="1695" ht="20" customHeight="1">
      <c r="A1695" s="26" t="n"/>
      <c r="B1695" s="27">
        <f>IFERROR(IF(A1695="","",VLOOKUP(A1695,DATABASE!$A:$B,2,0)),"")</f>
        <v/>
      </c>
      <c r="C1695" s="20">
        <f>IFERROR(IF(A1695="","",SUMIF(SAVINGS!$A$3:A1694,A1695,SAVINGS!$E$3:E1694)-SUMIF(WITHDRAWALS!$A:$A,A1695,WITHDRAWALS!$E:$E)),"")</f>
        <v/>
      </c>
      <c r="D1695" s="28">
        <f>IF(A1695="","",TODAY())</f>
        <v/>
      </c>
      <c r="E1695" s="29" t="n"/>
      <c r="F1695" s="20">
        <f>IFERROR(IF(OR(A1695="",E1695=""),"",C1695+E1695),"")</f>
        <v/>
      </c>
      <c r="G1695" s="30" t="n"/>
      <c r="H1695" s="27" t="n"/>
    </row>
    <row r="1696" ht="20" customHeight="1">
      <c r="A1696" s="26" t="n"/>
      <c r="B1696" s="31">
        <f>IFERROR(IF(A1696="","",VLOOKUP(A1696,DATABASE!$A:$B,2,0)),"")</f>
        <v/>
      </c>
      <c r="C1696" s="32">
        <f>IFERROR(IF(A1696="","",SUMIF(SAVINGS!$A$3:A1695,A1696,SAVINGS!$E$3:E1695)-SUMIF(WITHDRAWALS!$A:$A,A1696,WITHDRAWALS!$E:$E)),"")</f>
        <v/>
      </c>
      <c r="D1696" s="33">
        <f>IF(A1696="","",TODAY())</f>
        <v/>
      </c>
      <c r="E1696" s="29" t="n"/>
      <c r="F1696" s="32">
        <f>IFERROR(IF(OR(A1696="",E1696=""),"",C1696+E1696),"")</f>
        <v/>
      </c>
      <c r="G1696" s="30" t="n"/>
      <c r="H1696" s="31" t="n"/>
    </row>
    <row r="1697" ht="20" customHeight="1">
      <c r="A1697" s="26" t="n"/>
      <c r="B1697" s="27">
        <f>IFERROR(IF(A1697="","",VLOOKUP(A1697,DATABASE!$A:$B,2,0)),"")</f>
        <v/>
      </c>
      <c r="C1697" s="20">
        <f>IFERROR(IF(A1697="","",SUMIF(SAVINGS!$A$3:A1696,A1697,SAVINGS!$E$3:E1696)-SUMIF(WITHDRAWALS!$A:$A,A1697,WITHDRAWALS!$E:$E)),"")</f>
        <v/>
      </c>
      <c r="D1697" s="28">
        <f>IF(A1697="","",TODAY())</f>
        <v/>
      </c>
      <c r="E1697" s="29" t="n"/>
      <c r="F1697" s="20">
        <f>IFERROR(IF(OR(A1697="",E1697=""),"",C1697+E1697),"")</f>
        <v/>
      </c>
      <c r="G1697" s="30" t="n"/>
      <c r="H1697" s="27" t="n"/>
    </row>
    <row r="1698" ht="20" customHeight="1">
      <c r="A1698" s="26" t="n"/>
      <c r="B1698" s="31">
        <f>IFERROR(IF(A1698="","",VLOOKUP(A1698,DATABASE!$A:$B,2,0)),"")</f>
        <v/>
      </c>
      <c r="C1698" s="32">
        <f>IFERROR(IF(A1698="","",SUMIF(SAVINGS!$A$3:A1697,A1698,SAVINGS!$E$3:E1697)-SUMIF(WITHDRAWALS!$A:$A,A1698,WITHDRAWALS!$E:$E)),"")</f>
        <v/>
      </c>
      <c r="D1698" s="33">
        <f>IF(A1698="","",TODAY())</f>
        <v/>
      </c>
      <c r="E1698" s="29" t="n"/>
      <c r="F1698" s="32">
        <f>IFERROR(IF(OR(A1698="",E1698=""),"",C1698+E1698),"")</f>
        <v/>
      </c>
      <c r="G1698" s="30" t="n"/>
      <c r="H1698" s="31" t="n"/>
    </row>
    <row r="1699" ht="20" customHeight="1">
      <c r="A1699" s="26" t="n"/>
      <c r="B1699" s="27">
        <f>IFERROR(IF(A1699="","",VLOOKUP(A1699,DATABASE!$A:$B,2,0)),"")</f>
        <v/>
      </c>
      <c r="C1699" s="20">
        <f>IFERROR(IF(A1699="","",SUMIF(SAVINGS!$A$3:A1698,A1699,SAVINGS!$E$3:E1698)-SUMIF(WITHDRAWALS!$A:$A,A1699,WITHDRAWALS!$E:$E)),"")</f>
        <v/>
      </c>
      <c r="D1699" s="28">
        <f>IF(A1699="","",TODAY())</f>
        <v/>
      </c>
      <c r="E1699" s="29" t="n"/>
      <c r="F1699" s="20">
        <f>IFERROR(IF(OR(A1699="",E1699=""),"",C1699+E1699),"")</f>
        <v/>
      </c>
      <c r="G1699" s="30" t="n"/>
      <c r="H1699" s="27" t="n"/>
    </row>
    <row r="1700" ht="20" customHeight="1">
      <c r="A1700" s="26" t="n"/>
      <c r="B1700" s="31">
        <f>IFERROR(IF(A1700="","",VLOOKUP(A1700,DATABASE!$A:$B,2,0)),"")</f>
        <v/>
      </c>
      <c r="C1700" s="32">
        <f>IFERROR(IF(A1700="","",SUMIF(SAVINGS!$A$3:A1699,A1700,SAVINGS!$E$3:E1699)-SUMIF(WITHDRAWALS!$A:$A,A1700,WITHDRAWALS!$E:$E)),"")</f>
        <v/>
      </c>
      <c r="D1700" s="33">
        <f>IF(A1700="","",TODAY())</f>
        <v/>
      </c>
      <c r="E1700" s="29" t="n"/>
      <c r="F1700" s="32">
        <f>IFERROR(IF(OR(A1700="",E1700=""),"",C1700+E1700),"")</f>
        <v/>
      </c>
      <c r="G1700" s="30" t="n"/>
      <c r="H1700" s="31" t="n"/>
    </row>
    <row r="1701" ht="20" customHeight="1">
      <c r="A1701" s="26" t="n"/>
      <c r="B1701" s="27">
        <f>IFERROR(IF(A1701="","",VLOOKUP(A1701,DATABASE!$A:$B,2,0)),"")</f>
        <v/>
      </c>
      <c r="C1701" s="20">
        <f>IFERROR(IF(A1701="","",SUMIF(SAVINGS!$A$3:A1700,A1701,SAVINGS!$E$3:E1700)-SUMIF(WITHDRAWALS!$A:$A,A1701,WITHDRAWALS!$E:$E)),"")</f>
        <v/>
      </c>
      <c r="D1701" s="28">
        <f>IF(A1701="","",TODAY())</f>
        <v/>
      </c>
      <c r="E1701" s="29" t="n"/>
      <c r="F1701" s="20">
        <f>IFERROR(IF(OR(A1701="",E1701=""),"",C1701+E1701),"")</f>
        <v/>
      </c>
      <c r="G1701" s="30" t="n"/>
      <c r="H1701" s="27" t="n"/>
    </row>
    <row r="1702" ht="20" customHeight="1">
      <c r="A1702" s="26" t="n"/>
      <c r="B1702" s="31">
        <f>IFERROR(IF(A1702="","",VLOOKUP(A1702,DATABASE!$A:$B,2,0)),"")</f>
        <v/>
      </c>
      <c r="C1702" s="32">
        <f>IFERROR(IF(A1702="","",SUMIF(SAVINGS!$A$3:A1701,A1702,SAVINGS!$E$3:E1701)-SUMIF(WITHDRAWALS!$A:$A,A1702,WITHDRAWALS!$E:$E)),"")</f>
        <v/>
      </c>
      <c r="D1702" s="33">
        <f>IF(A1702="","",TODAY())</f>
        <v/>
      </c>
      <c r="E1702" s="29" t="n"/>
      <c r="F1702" s="32">
        <f>IFERROR(IF(OR(A1702="",E1702=""),"",C1702+E1702),"")</f>
        <v/>
      </c>
      <c r="G1702" s="30" t="n"/>
      <c r="H1702" s="31" t="n"/>
    </row>
    <row r="1703" ht="20" customHeight="1">
      <c r="A1703" s="26" t="n"/>
      <c r="B1703" s="27">
        <f>IFERROR(IF(A1703="","",VLOOKUP(A1703,DATABASE!$A:$B,2,0)),"")</f>
        <v/>
      </c>
      <c r="C1703" s="20">
        <f>IFERROR(IF(A1703="","",SUMIF(SAVINGS!$A$3:A1702,A1703,SAVINGS!$E$3:E1702)-SUMIF(WITHDRAWALS!$A:$A,A1703,WITHDRAWALS!$E:$E)),"")</f>
        <v/>
      </c>
      <c r="D1703" s="28">
        <f>IF(A1703="","",TODAY())</f>
        <v/>
      </c>
      <c r="E1703" s="29" t="n"/>
      <c r="F1703" s="20">
        <f>IFERROR(IF(OR(A1703="",E1703=""),"",C1703+E1703),"")</f>
        <v/>
      </c>
      <c r="G1703" s="30" t="n"/>
      <c r="H1703" s="27" t="n"/>
    </row>
    <row r="1704" ht="20" customHeight="1">
      <c r="A1704" s="26" t="n"/>
      <c r="B1704" s="31">
        <f>IFERROR(IF(A1704="","",VLOOKUP(A1704,DATABASE!$A:$B,2,0)),"")</f>
        <v/>
      </c>
      <c r="C1704" s="32">
        <f>IFERROR(IF(A1704="","",SUMIF(SAVINGS!$A$3:A1703,A1704,SAVINGS!$E$3:E1703)-SUMIF(WITHDRAWALS!$A:$A,A1704,WITHDRAWALS!$E:$E)),"")</f>
        <v/>
      </c>
      <c r="D1704" s="33">
        <f>IF(A1704="","",TODAY())</f>
        <v/>
      </c>
      <c r="E1704" s="29" t="n"/>
      <c r="F1704" s="32">
        <f>IFERROR(IF(OR(A1704="",E1704=""),"",C1704+E1704),"")</f>
        <v/>
      </c>
      <c r="G1704" s="30" t="n"/>
      <c r="H1704" s="31" t="n"/>
    </row>
    <row r="1705" ht="20" customHeight="1">
      <c r="A1705" s="26" t="n"/>
      <c r="B1705" s="27">
        <f>IFERROR(IF(A1705="","",VLOOKUP(A1705,DATABASE!$A:$B,2,0)),"")</f>
        <v/>
      </c>
      <c r="C1705" s="20">
        <f>IFERROR(IF(A1705="","",SUMIF(SAVINGS!$A$3:A1704,A1705,SAVINGS!$E$3:E1704)-SUMIF(WITHDRAWALS!$A:$A,A1705,WITHDRAWALS!$E:$E)),"")</f>
        <v/>
      </c>
      <c r="D1705" s="28">
        <f>IF(A1705="","",TODAY())</f>
        <v/>
      </c>
      <c r="E1705" s="29" t="n"/>
      <c r="F1705" s="20">
        <f>IFERROR(IF(OR(A1705="",E1705=""),"",C1705+E1705),"")</f>
        <v/>
      </c>
      <c r="G1705" s="30" t="n"/>
      <c r="H1705" s="27" t="n"/>
    </row>
    <row r="1706" ht="20" customHeight="1">
      <c r="A1706" s="26" t="n"/>
      <c r="B1706" s="31">
        <f>IFERROR(IF(A1706="","",VLOOKUP(A1706,DATABASE!$A:$B,2,0)),"")</f>
        <v/>
      </c>
      <c r="C1706" s="32">
        <f>IFERROR(IF(A1706="","",SUMIF(SAVINGS!$A$3:A1705,A1706,SAVINGS!$E$3:E1705)-SUMIF(WITHDRAWALS!$A:$A,A1706,WITHDRAWALS!$E:$E)),"")</f>
        <v/>
      </c>
      <c r="D1706" s="33">
        <f>IF(A1706="","",TODAY())</f>
        <v/>
      </c>
      <c r="E1706" s="29" t="n"/>
      <c r="F1706" s="32">
        <f>IFERROR(IF(OR(A1706="",E1706=""),"",C1706+E1706),"")</f>
        <v/>
      </c>
      <c r="G1706" s="30" t="n"/>
      <c r="H1706" s="31" t="n"/>
    </row>
    <row r="1707" ht="20" customHeight="1">
      <c r="A1707" s="26" t="n"/>
      <c r="B1707" s="27">
        <f>IFERROR(IF(A1707="","",VLOOKUP(A1707,DATABASE!$A:$B,2,0)),"")</f>
        <v/>
      </c>
      <c r="C1707" s="20">
        <f>IFERROR(IF(A1707="","",SUMIF(SAVINGS!$A$3:A1706,A1707,SAVINGS!$E$3:E1706)-SUMIF(WITHDRAWALS!$A:$A,A1707,WITHDRAWALS!$E:$E)),"")</f>
        <v/>
      </c>
      <c r="D1707" s="28">
        <f>IF(A1707="","",TODAY())</f>
        <v/>
      </c>
      <c r="E1707" s="29" t="n"/>
      <c r="F1707" s="20">
        <f>IFERROR(IF(OR(A1707="",E1707=""),"",C1707+E1707),"")</f>
        <v/>
      </c>
      <c r="G1707" s="30" t="n"/>
      <c r="H1707" s="27" t="n"/>
    </row>
    <row r="1708" ht="20" customHeight="1">
      <c r="A1708" s="26" t="n"/>
      <c r="B1708" s="31">
        <f>IFERROR(IF(A1708="","",VLOOKUP(A1708,DATABASE!$A:$B,2,0)),"")</f>
        <v/>
      </c>
      <c r="C1708" s="32">
        <f>IFERROR(IF(A1708="","",SUMIF(SAVINGS!$A$3:A1707,A1708,SAVINGS!$E$3:E1707)-SUMIF(WITHDRAWALS!$A:$A,A1708,WITHDRAWALS!$E:$E)),"")</f>
        <v/>
      </c>
      <c r="D1708" s="33">
        <f>IF(A1708="","",TODAY())</f>
        <v/>
      </c>
      <c r="E1708" s="29" t="n"/>
      <c r="F1708" s="32">
        <f>IFERROR(IF(OR(A1708="",E1708=""),"",C1708+E1708),"")</f>
        <v/>
      </c>
      <c r="G1708" s="30" t="n"/>
      <c r="H1708" s="31" t="n"/>
    </row>
    <row r="1709" ht="20" customHeight="1">
      <c r="A1709" s="26" t="n"/>
      <c r="B1709" s="27">
        <f>IFERROR(IF(A1709="","",VLOOKUP(A1709,DATABASE!$A:$B,2,0)),"")</f>
        <v/>
      </c>
      <c r="C1709" s="20">
        <f>IFERROR(IF(A1709="","",SUMIF(SAVINGS!$A$3:A1708,A1709,SAVINGS!$E$3:E1708)-SUMIF(WITHDRAWALS!$A:$A,A1709,WITHDRAWALS!$E:$E)),"")</f>
        <v/>
      </c>
      <c r="D1709" s="28">
        <f>IF(A1709="","",TODAY())</f>
        <v/>
      </c>
      <c r="E1709" s="29" t="n"/>
      <c r="F1709" s="20">
        <f>IFERROR(IF(OR(A1709="",E1709=""),"",C1709+E1709),"")</f>
        <v/>
      </c>
      <c r="G1709" s="30" t="n"/>
      <c r="H1709" s="27" t="n"/>
    </row>
    <row r="1710" ht="20" customHeight="1">
      <c r="A1710" s="26" t="n"/>
      <c r="B1710" s="31">
        <f>IFERROR(IF(A1710="","",VLOOKUP(A1710,DATABASE!$A:$B,2,0)),"")</f>
        <v/>
      </c>
      <c r="C1710" s="32">
        <f>IFERROR(IF(A1710="","",SUMIF(SAVINGS!$A$3:A1709,A1710,SAVINGS!$E$3:E1709)-SUMIF(WITHDRAWALS!$A:$A,A1710,WITHDRAWALS!$E:$E)),"")</f>
        <v/>
      </c>
      <c r="D1710" s="33">
        <f>IF(A1710="","",TODAY())</f>
        <v/>
      </c>
      <c r="E1710" s="29" t="n"/>
      <c r="F1710" s="32">
        <f>IFERROR(IF(OR(A1710="",E1710=""),"",C1710+E1710),"")</f>
        <v/>
      </c>
      <c r="G1710" s="30" t="n"/>
      <c r="H1710" s="31" t="n"/>
    </row>
    <row r="1711" ht="20" customHeight="1">
      <c r="A1711" s="26" t="n"/>
      <c r="B1711" s="27">
        <f>IFERROR(IF(A1711="","",VLOOKUP(A1711,DATABASE!$A:$B,2,0)),"")</f>
        <v/>
      </c>
      <c r="C1711" s="20">
        <f>IFERROR(IF(A1711="","",SUMIF(SAVINGS!$A$3:A1710,A1711,SAVINGS!$E$3:E1710)-SUMIF(WITHDRAWALS!$A:$A,A1711,WITHDRAWALS!$E:$E)),"")</f>
        <v/>
      </c>
      <c r="D1711" s="28">
        <f>IF(A1711="","",TODAY())</f>
        <v/>
      </c>
      <c r="E1711" s="29" t="n"/>
      <c r="F1711" s="20">
        <f>IFERROR(IF(OR(A1711="",E1711=""),"",C1711+E1711),"")</f>
        <v/>
      </c>
      <c r="G1711" s="30" t="n"/>
      <c r="H1711" s="27" t="n"/>
    </row>
    <row r="1712" ht="20" customHeight="1">
      <c r="A1712" s="26" t="n"/>
      <c r="B1712" s="31">
        <f>IFERROR(IF(A1712="","",VLOOKUP(A1712,DATABASE!$A:$B,2,0)),"")</f>
        <v/>
      </c>
      <c r="C1712" s="32">
        <f>IFERROR(IF(A1712="","",SUMIF(SAVINGS!$A$3:A1711,A1712,SAVINGS!$E$3:E1711)-SUMIF(WITHDRAWALS!$A:$A,A1712,WITHDRAWALS!$E:$E)),"")</f>
        <v/>
      </c>
      <c r="D1712" s="33">
        <f>IF(A1712="","",TODAY())</f>
        <v/>
      </c>
      <c r="E1712" s="29" t="n"/>
      <c r="F1712" s="32">
        <f>IFERROR(IF(OR(A1712="",E1712=""),"",C1712+E1712),"")</f>
        <v/>
      </c>
      <c r="G1712" s="30" t="n"/>
      <c r="H1712" s="31" t="n"/>
    </row>
    <row r="1713" ht="20" customHeight="1">
      <c r="A1713" s="26" t="n"/>
      <c r="B1713" s="27">
        <f>IFERROR(IF(A1713="","",VLOOKUP(A1713,DATABASE!$A:$B,2,0)),"")</f>
        <v/>
      </c>
      <c r="C1713" s="20">
        <f>IFERROR(IF(A1713="","",SUMIF(SAVINGS!$A$3:A1712,A1713,SAVINGS!$E$3:E1712)-SUMIF(WITHDRAWALS!$A:$A,A1713,WITHDRAWALS!$E:$E)),"")</f>
        <v/>
      </c>
      <c r="D1713" s="28">
        <f>IF(A1713="","",TODAY())</f>
        <v/>
      </c>
      <c r="E1713" s="29" t="n"/>
      <c r="F1713" s="20">
        <f>IFERROR(IF(OR(A1713="",E1713=""),"",C1713+E1713),"")</f>
        <v/>
      </c>
      <c r="G1713" s="30" t="n"/>
      <c r="H1713" s="27" t="n"/>
    </row>
    <row r="1714" ht="20" customHeight="1">
      <c r="A1714" s="26" t="n"/>
      <c r="B1714" s="31">
        <f>IFERROR(IF(A1714="","",VLOOKUP(A1714,DATABASE!$A:$B,2,0)),"")</f>
        <v/>
      </c>
      <c r="C1714" s="32">
        <f>IFERROR(IF(A1714="","",SUMIF(SAVINGS!$A$3:A1713,A1714,SAVINGS!$E$3:E1713)-SUMIF(WITHDRAWALS!$A:$A,A1714,WITHDRAWALS!$E:$E)),"")</f>
        <v/>
      </c>
      <c r="D1714" s="33">
        <f>IF(A1714="","",TODAY())</f>
        <v/>
      </c>
      <c r="E1714" s="29" t="n"/>
      <c r="F1714" s="32">
        <f>IFERROR(IF(OR(A1714="",E1714=""),"",C1714+E1714),"")</f>
        <v/>
      </c>
      <c r="G1714" s="30" t="n"/>
      <c r="H1714" s="31" t="n"/>
    </row>
    <row r="1715" ht="20" customHeight="1">
      <c r="A1715" s="26" t="n"/>
      <c r="B1715" s="27">
        <f>IFERROR(IF(A1715="","",VLOOKUP(A1715,DATABASE!$A:$B,2,0)),"")</f>
        <v/>
      </c>
      <c r="C1715" s="20">
        <f>IFERROR(IF(A1715="","",SUMIF(SAVINGS!$A$3:A1714,A1715,SAVINGS!$E$3:E1714)-SUMIF(WITHDRAWALS!$A:$A,A1715,WITHDRAWALS!$E:$E)),"")</f>
        <v/>
      </c>
      <c r="D1715" s="28">
        <f>IF(A1715="","",TODAY())</f>
        <v/>
      </c>
      <c r="E1715" s="29" t="n"/>
      <c r="F1715" s="20">
        <f>IFERROR(IF(OR(A1715="",E1715=""),"",C1715+E1715),"")</f>
        <v/>
      </c>
      <c r="G1715" s="30" t="n"/>
      <c r="H1715" s="27" t="n"/>
    </row>
    <row r="1716" ht="20" customHeight="1">
      <c r="A1716" s="26" t="n"/>
      <c r="B1716" s="31">
        <f>IFERROR(IF(A1716="","",VLOOKUP(A1716,DATABASE!$A:$B,2,0)),"")</f>
        <v/>
      </c>
      <c r="C1716" s="32">
        <f>IFERROR(IF(A1716="","",SUMIF(SAVINGS!$A$3:A1715,A1716,SAVINGS!$E$3:E1715)-SUMIF(WITHDRAWALS!$A:$A,A1716,WITHDRAWALS!$E:$E)),"")</f>
        <v/>
      </c>
      <c r="D1716" s="33">
        <f>IF(A1716="","",TODAY())</f>
        <v/>
      </c>
      <c r="E1716" s="29" t="n"/>
      <c r="F1716" s="32">
        <f>IFERROR(IF(OR(A1716="",E1716=""),"",C1716+E1716),"")</f>
        <v/>
      </c>
      <c r="G1716" s="30" t="n"/>
      <c r="H1716" s="31" t="n"/>
    </row>
    <row r="1717" ht="20" customHeight="1">
      <c r="A1717" s="26" t="n"/>
      <c r="B1717" s="27">
        <f>IFERROR(IF(A1717="","",VLOOKUP(A1717,DATABASE!$A:$B,2,0)),"")</f>
        <v/>
      </c>
      <c r="C1717" s="20">
        <f>IFERROR(IF(A1717="","",SUMIF(SAVINGS!$A$3:A1716,A1717,SAVINGS!$E$3:E1716)-SUMIF(WITHDRAWALS!$A:$A,A1717,WITHDRAWALS!$E:$E)),"")</f>
        <v/>
      </c>
      <c r="D1717" s="28">
        <f>IF(A1717="","",TODAY())</f>
        <v/>
      </c>
      <c r="E1717" s="29" t="n"/>
      <c r="F1717" s="20">
        <f>IFERROR(IF(OR(A1717="",E1717=""),"",C1717+E1717),"")</f>
        <v/>
      </c>
      <c r="G1717" s="30" t="n"/>
      <c r="H1717" s="27" t="n"/>
    </row>
    <row r="1718" ht="20" customHeight="1">
      <c r="A1718" s="26" t="n"/>
      <c r="B1718" s="31">
        <f>IFERROR(IF(A1718="","",VLOOKUP(A1718,DATABASE!$A:$B,2,0)),"")</f>
        <v/>
      </c>
      <c r="C1718" s="32">
        <f>IFERROR(IF(A1718="","",SUMIF(SAVINGS!$A$3:A1717,A1718,SAVINGS!$E$3:E1717)-SUMIF(WITHDRAWALS!$A:$A,A1718,WITHDRAWALS!$E:$E)),"")</f>
        <v/>
      </c>
      <c r="D1718" s="33">
        <f>IF(A1718="","",TODAY())</f>
        <v/>
      </c>
      <c r="E1718" s="29" t="n"/>
      <c r="F1718" s="32">
        <f>IFERROR(IF(OR(A1718="",E1718=""),"",C1718+E1718),"")</f>
        <v/>
      </c>
      <c r="G1718" s="30" t="n"/>
      <c r="H1718" s="31" t="n"/>
    </row>
    <row r="1719" ht="20" customHeight="1">
      <c r="A1719" s="26" t="n"/>
      <c r="B1719" s="27">
        <f>IFERROR(IF(A1719="","",VLOOKUP(A1719,DATABASE!$A:$B,2,0)),"")</f>
        <v/>
      </c>
      <c r="C1719" s="20">
        <f>IFERROR(IF(A1719="","",SUMIF(SAVINGS!$A$3:A1718,A1719,SAVINGS!$E$3:E1718)-SUMIF(WITHDRAWALS!$A:$A,A1719,WITHDRAWALS!$E:$E)),"")</f>
        <v/>
      </c>
      <c r="D1719" s="28">
        <f>IF(A1719="","",TODAY())</f>
        <v/>
      </c>
      <c r="E1719" s="29" t="n"/>
      <c r="F1719" s="20">
        <f>IFERROR(IF(OR(A1719="",E1719=""),"",C1719+E1719),"")</f>
        <v/>
      </c>
      <c r="G1719" s="30" t="n"/>
      <c r="H1719" s="27" t="n"/>
    </row>
    <row r="1720" ht="20" customHeight="1">
      <c r="A1720" s="26" t="n"/>
      <c r="B1720" s="31">
        <f>IFERROR(IF(A1720="","",VLOOKUP(A1720,DATABASE!$A:$B,2,0)),"")</f>
        <v/>
      </c>
      <c r="C1720" s="32">
        <f>IFERROR(IF(A1720="","",SUMIF(SAVINGS!$A$3:A1719,A1720,SAVINGS!$E$3:E1719)-SUMIF(WITHDRAWALS!$A:$A,A1720,WITHDRAWALS!$E:$E)),"")</f>
        <v/>
      </c>
      <c r="D1720" s="33">
        <f>IF(A1720="","",TODAY())</f>
        <v/>
      </c>
      <c r="E1720" s="29" t="n"/>
      <c r="F1720" s="32">
        <f>IFERROR(IF(OR(A1720="",E1720=""),"",C1720+E1720),"")</f>
        <v/>
      </c>
      <c r="G1720" s="30" t="n"/>
      <c r="H1720" s="31" t="n"/>
    </row>
    <row r="1721" ht="20" customHeight="1">
      <c r="A1721" s="26" t="n"/>
      <c r="B1721" s="27">
        <f>IFERROR(IF(A1721="","",VLOOKUP(A1721,DATABASE!$A:$B,2,0)),"")</f>
        <v/>
      </c>
      <c r="C1721" s="20">
        <f>IFERROR(IF(A1721="","",SUMIF(SAVINGS!$A$3:A1720,A1721,SAVINGS!$E$3:E1720)-SUMIF(WITHDRAWALS!$A:$A,A1721,WITHDRAWALS!$E:$E)),"")</f>
        <v/>
      </c>
      <c r="D1721" s="28">
        <f>IF(A1721="","",TODAY())</f>
        <v/>
      </c>
      <c r="E1721" s="29" t="n"/>
      <c r="F1721" s="20">
        <f>IFERROR(IF(OR(A1721="",E1721=""),"",C1721+E1721),"")</f>
        <v/>
      </c>
      <c r="G1721" s="30" t="n"/>
      <c r="H1721" s="27" t="n"/>
    </row>
    <row r="1722" ht="20" customHeight="1">
      <c r="A1722" s="26" t="n"/>
      <c r="B1722" s="31">
        <f>IFERROR(IF(A1722="","",VLOOKUP(A1722,DATABASE!$A:$B,2,0)),"")</f>
        <v/>
      </c>
      <c r="C1722" s="32">
        <f>IFERROR(IF(A1722="","",SUMIF(SAVINGS!$A$3:A1721,A1722,SAVINGS!$E$3:E1721)-SUMIF(WITHDRAWALS!$A:$A,A1722,WITHDRAWALS!$E:$E)),"")</f>
        <v/>
      </c>
      <c r="D1722" s="33">
        <f>IF(A1722="","",TODAY())</f>
        <v/>
      </c>
      <c r="E1722" s="29" t="n"/>
      <c r="F1722" s="32">
        <f>IFERROR(IF(OR(A1722="",E1722=""),"",C1722+E1722),"")</f>
        <v/>
      </c>
      <c r="G1722" s="30" t="n"/>
      <c r="H1722" s="31" t="n"/>
    </row>
    <row r="1723" ht="20" customHeight="1">
      <c r="A1723" s="26" t="n"/>
      <c r="B1723" s="27">
        <f>IFERROR(IF(A1723="","",VLOOKUP(A1723,DATABASE!$A:$B,2,0)),"")</f>
        <v/>
      </c>
      <c r="C1723" s="20">
        <f>IFERROR(IF(A1723="","",SUMIF(SAVINGS!$A$3:A1722,A1723,SAVINGS!$E$3:E1722)-SUMIF(WITHDRAWALS!$A:$A,A1723,WITHDRAWALS!$E:$E)),"")</f>
        <v/>
      </c>
      <c r="D1723" s="28">
        <f>IF(A1723="","",TODAY())</f>
        <v/>
      </c>
      <c r="E1723" s="29" t="n"/>
      <c r="F1723" s="20">
        <f>IFERROR(IF(OR(A1723="",E1723=""),"",C1723+E1723),"")</f>
        <v/>
      </c>
      <c r="G1723" s="30" t="n"/>
      <c r="H1723" s="27" t="n"/>
    </row>
    <row r="1724" ht="20" customHeight="1">
      <c r="A1724" s="26" t="n"/>
      <c r="B1724" s="31">
        <f>IFERROR(IF(A1724="","",VLOOKUP(A1724,DATABASE!$A:$B,2,0)),"")</f>
        <v/>
      </c>
      <c r="C1724" s="32">
        <f>IFERROR(IF(A1724="","",SUMIF(SAVINGS!$A$3:A1723,A1724,SAVINGS!$E$3:E1723)-SUMIF(WITHDRAWALS!$A:$A,A1724,WITHDRAWALS!$E:$E)),"")</f>
        <v/>
      </c>
      <c r="D1724" s="33">
        <f>IF(A1724="","",TODAY())</f>
        <v/>
      </c>
      <c r="E1724" s="29" t="n"/>
      <c r="F1724" s="32">
        <f>IFERROR(IF(OR(A1724="",E1724=""),"",C1724+E1724),"")</f>
        <v/>
      </c>
      <c r="G1724" s="30" t="n"/>
      <c r="H1724" s="31" t="n"/>
    </row>
    <row r="1725" ht="20" customHeight="1">
      <c r="A1725" s="26" t="n"/>
      <c r="B1725" s="27">
        <f>IFERROR(IF(A1725="","",VLOOKUP(A1725,DATABASE!$A:$B,2,0)),"")</f>
        <v/>
      </c>
      <c r="C1725" s="20">
        <f>IFERROR(IF(A1725="","",SUMIF(SAVINGS!$A$3:A1724,A1725,SAVINGS!$E$3:E1724)-SUMIF(WITHDRAWALS!$A:$A,A1725,WITHDRAWALS!$E:$E)),"")</f>
        <v/>
      </c>
      <c r="D1725" s="28">
        <f>IF(A1725="","",TODAY())</f>
        <v/>
      </c>
      <c r="E1725" s="29" t="n"/>
      <c r="F1725" s="20">
        <f>IFERROR(IF(OR(A1725="",E1725=""),"",C1725+E1725),"")</f>
        <v/>
      </c>
      <c r="G1725" s="30" t="n"/>
      <c r="H1725" s="27" t="n"/>
    </row>
    <row r="1726" ht="20" customHeight="1">
      <c r="A1726" s="26" t="n"/>
      <c r="B1726" s="31">
        <f>IFERROR(IF(A1726="","",VLOOKUP(A1726,DATABASE!$A:$B,2,0)),"")</f>
        <v/>
      </c>
      <c r="C1726" s="32">
        <f>IFERROR(IF(A1726="","",SUMIF(SAVINGS!$A$3:A1725,A1726,SAVINGS!$E$3:E1725)-SUMIF(WITHDRAWALS!$A:$A,A1726,WITHDRAWALS!$E:$E)),"")</f>
        <v/>
      </c>
      <c r="D1726" s="33">
        <f>IF(A1726="","",TODAY())</f>
        <v/>
      </c>
      <c r="E1726" s="29" t="n"/>
      <c r="F1726" s="32">
        <f>IFERROR(IF(OR(A1726="",E1726=""),"",C1726+E1726),"")</f>
        <v/>
      </c>
      <c r="G1726" s="30" t="n"/>
      <c r="H1726" s="31" t="n"/>
    </row>
    <row r="1727" ht="20" customHeight="1">
      <c r="A1727" s="26" t="n"/>
      <c r="B1727" s="27">
        <f>IFERROR(IF(A1727="","",VLOOKUP(A1727,DATABASE!$A:$B,2,0)),"")</f>
        <v/>
      </c>
      <c r="C1727" s="20">
        <f>IFERROR(IF(A1727="","",SUMIF(SAVINGS!$A$3:A1726,A1727,SAVINGS!$E$3:E1726)-SUMIF(WITHDRAWALS!$A:$A,A1727,WITHDRAWALS!$E:$E)),"")</f>
        <v/>
      </c>
      <c r="D1727" s="28">
        <f>IF(A1727="","",TODAY())</f>
        <v/>
      </c>
      <c r="E1727" s="29" t="n"/>
      <c r="F1727" s="20">
        <f>IFERROR(IF(OR(A1727="",E1727=""),"",C1727+E1727),"")</f>
        <v/>
      </c>
      <c r="G1727" s="30" t="n"/>
      <c r="H1727" s="27" t="n"/>
    </row>
    <row r="1728" ht="20" customHeight="1">
      <c r="A1728" s="26" t="n"/>
      <c r="B1728" s="31">
        <f>IFERROR(IF(A1728="","",VLOOKUP(A1728,DATABASE!$A:$B,2,0)),"")</f>
        <v/>
      </c>
      <c r="C1728" s="32">
        <f>IFERROR(IF(A1728="","",SUMIF(SAVINGS!$A$3:A1727,A1728,SAVINGS!$E$3:E1727)-SUMIF(WITHDRAWALS!$A:$A,A1728,WITHDRAWALS!$E:$E)),"")</f>
        <v/>
      </c>
      <c r="D1728" s="33">
        <f>IF(A1728="","",TODAY())</f>
        <v/>
      </c>
      <c r="E1728" s="29" t="n"/>
      <c r="F1728" s="32">
        <f>IFERROR(IF(OR(A1728="",E1728=""),"",C1728+E1728),"")</f>
        <v/>
      </c>
      <c r="G1728" s="30" t="n"/>
      <c r="H1728" s="31" t="n"/>
    </row>
    <row r="1729" ht="20" customHeight="1">
      <c r="A1729" s="26" t="n"/>
      <c r="B1729" s="27">
        <f>IFERROR(IF(A1729="","",VLOOKUP(A1729,DATABASE!$A:$B,2,0)),"")</f>
        <v/>
      </c>
      <c r="C1729" s="20">
        <f>IFERROR(IF(A1729="","",SUMIF(SAVINGS!$A$3:A1728,A1729,SAVINGS!$E$3:E1728)-SUMIF(WITHDRAWALS!$A:$A,A1729,WITHDRAWALS!$E:$E)),"")</f>
        <v/>
      </c>
      <c r="D1729" s="28">
        <f>IF(A1729="","",TODAY())</f>
        <v/>
      </c>
      <c r="E1729" s="29" t="n"/>
      <c r="F1729" s="20">
        <f>IFERROR(IF(OR(A1729="",E1729=""),"",C1729+E1729),"")</f>
        <v/>
      </c>
      <c r="G1729" s="30" t="n"/>
      <c r="H1729" s="27" t="n"/>
    </row>
    <row r="1730" ht="20" customHeight="1">
      <c r="A1730" s="26" t="n"/>
      <c r="B1730" s="31">
        <f>IFERROR(IF(A1730="","",VLOOKUP(A1730,DATABASE!$A:$B,2,0)),"")</f>
        <v/>
      </c>
      <c r="C1730" s="32">
        <f>IFERROR(IF(A1730="","",SUMIF(SAVINGS!$A$3:A1729,A1730,SAVINGS!$E$3:E1729)-SUMIF(WITHDRAWALS!$A:$A,A1730,WITHDRAWALS!$E:$E)),"")</f>
        <v/>
      </c>
      <c r="D1730" s="33">
        <f>IF(A1730="","",TODAY())</f>
        <v/>
      </c>
      <c r="E1730" s="29" t="n"/>
      <c r="F1730" s="32">
        <f>IFERROR(IF(OR(A1730="",E1730=""),"",C1730+E1730),"")</f>
        <v/>
      </c>
      <c r="G1730" s="30" t="n"/>
      <c r="H1730" s="31" t="n"/>
    </row>
    <row r="1731" ht="20" customHeight="1">
      <c r="A1731" s="26" t="n"/>
      <c r="B1731" s="27">
        <f>IFERROR(IF(A1731="","",VLOOKUP(A1731,DATABASE!$A:$B,2,0)),"")</f>
        <v/>
      </c>
      <c r="C1731" s="20">
        <f>IFERROR(IF(A1731="","",SUMIF(SAVINGS!$A$3:A1730,A1731,SAVINGS!$E$3:E1730)-SUMIF(WITHDRAWALS!$A:$A,A1731,WITHDRAWALS!$E:$E)),"")</f>
        <v/>
      </c>
      <c r="D1731" s="28">
        <f>IF(A1731="","",TODAY())</f>
        <v/>
      </c>
      <c r="E1731" s="29" t="n"/>
      <c r="F1731" s="20">
        <f>IFERROR(IF(OR(A1731="",E1731=""),"",C1731+E1731),"")</f>
        <v/>
      </c>
      <c r="G1731" s="30" t="n"/>
      <c r="H1731" s="27" t="n"/>
    </row>
    <row r="1732" ht="20" customHeight="1">
      <c r="A1732" s="26" t="n"/>
      <c r="B1732" s="31">
        <f>IFERROR(IF(A1732="","",VLOOKUP(A1732,DATABASE!$A:$B,2,0)),"")</f>
        <v/>
      </c>
      <c r="C1732" s="32">
        <f>IFERROR(IF(A1732="","",SUMIF(SAVINGS!$A$3:A1731,A1732,SAVINGS!$E$3:E1731)-SUMIF(WITHDRAWALS!$A:$A,A1732,WITHDRAWALS!$E:$E)),"")</f>
        <v/>
      </c>
      <c r="D1732" s="33">
        <f>IF(A1732="","",TODAY())</f>
        <v/>
      </c>
      <c r="E1732" s="29" t="n"/>
      <c r="F1732" s="32">
        <f>IFERROR(IF(OR(A1732="",E1732=""),"",C1732+E1732),"")</f>
        <v/>
      </c>
      <c r="G1732" s="30" t="n"/>
      <c r="H1732" s="31" t="n"/>
    </row>
    <row r="1733" ht="20" customHeight="1">
      <c r="A1733" s="26" t="n"/>
      <c r="B1733" s="27">
        <f>IFERROR(IF(A1733="","",VLOOKUP(A1733,DATABASE!$A:$B,2,0)),"")</f>
        <v/>
      </c>
      <c r="C1733" s="20">
        <f>IFERROR(IF(A1733="","",SUMIF(SAVINGS!$A$3:A1732,A1733,SAVINGS!$E$3:E1732)-SUMIF(WITHDRAWALS!$A:$A,A1733,WITHDRAWALS!$E:$E)),"")</f>
        <v/>
      </c>
      <c r="D1733" s="28">
        <f>IF(A1733="","",TODAY())</f>
        <v/>
      </c>
      <c r="E1733" s="29" t="n"/>
      <c r="F1733" s="20">
        <f>IFERROR(IF(OR(A1733="",E1733=""),"",C1733+E1733),"")</f>
        <v/>
      </c>
      <c r="G1733" s="30" t="n"/>
      <c r="H1733" s="27" t="n"/>
    </row>
    <row r="1734" ht="20" customHeight="1">
      <c r="A1734" s="26" t="n"/>
      <c r="B1734" s="31">
        <f>IFERROR(IF(A1734="","",VLOOKUP(A1734,DATABASE!$A:$B,2,0)),"")</f>
        <v/>
      </c>
      <c r="C1734" s="32">
        <f>IFERROR(IF(A1734="","",SUMIF(SAVINGS!$A$3:A1733,A1734,SAVINGS!$E$3:E1733)-SUMIF(WITHDRAWALS!$A:$A,A1734,WITHDRAWALS!$E:$E)),"")</f>
        <v/>
      </c>
      <c r="D1734" s="33">
        <f>IF(A1734="","",TODAY())</f>
        <v/>
      </c>
      <c r="E1734" s="29" t="n"/>
      <c r="F1734" s="32">
        <f>IFERROR(IF(OR(A1734="",E1734=""),"",C1734+E1734),"")</f>
        <v/>
      </c>
      <c r="G1734" s="30" t="n"/>
      <c r="H1734" s="31" t="n"/>
    </row>
    <row r="1735" ht="20" customHeight="1">
      <c r="A1735" s="26" t="n"/>
      <c r="B1735" s="27">
        <f>IFERROR(IF(A1735="","",VLOOKUP(A1735,DATABASE!$A:$B,2,0)),"")</f>
        <v/>
      </c>
      <c r="C1735" s="20">
        <f>IFERROR(IF(A1735="","",SUMIF(SAVINGS!$A$3:A1734,A1735,SAVINGS!$E$3:E1734)-SUMIF(WITHDRAWALS!$A:$A,A1735,WITHDRAWALS!$E:$E)),"")</f>
        <v/>
      </c>
      <c r="D1735" s="28">
        <f>IF(A1735="","",TODAY())</f>
        <v/>
      </c>
      <c r="E1735" s="29" t="n"/>
      <c r="F1735" s="20">
        <f>IFERROR(IF(OR(A1735="",E1735=""),"",C1735+E1735),"")</f>
        <v/>
      </c>
      <c r="G1735" s="30" t="n"/>
      <c r="H1735" s="27" t="n"/>
    </row>
    <row r="1736" ht="20" customHeight="1">
      <c r="A1736" s="26" t="n"/>
      <c r="B1736" s="31">
        <f>IFERROR(IF(A1736="","",VLOOKUP(A1736,DATABASE!$A:$B,2,0)),"")</f>
        <v/>
      </c>
      <c r="C1736" s="32">
        <f>IFERROR(IF(A1736="","",SUMIF(SAVINGS!$A$3:A1735,A1736,SAVINGS!$E$3:E1735)-SUMIF(WITHDRAWALS!$A:$A,A1736,WITHDRAWALS!$E:$E)),"")</f>
        <v/>
      </c>
      <c r="D1736" s="33">
        <f>IF(A1736="","",TODAY())</f>
        <v/>
      </c>
      <c r="E1736" s="29" t="n"/>
      <c r="F1736" s="32">
        <f>IFERROR(IF(OR(A1736="",E1736=""),"",C1736+E1736),"")</f>
        <v/>
      </c>
      <c r="G1736" s="30" t="n"/>
      <c r="H1736" s="31" t="n"/>
    </row>
    <row r="1737" ht="20" customHeight="1">
      <c r="A1737" s="26" t="n"/>
      <c r="B1737" s="27">
        <f>IFERROR(IF(A1737="","",VLOOKUP(A1737,DATABASE!$A:$B,2,0)),"")</f>
        <v/>
      </c>
      <c r="C1737" s="20">
        <f>IFERROR(IF(A1737="","",SUMIF(SAVINGS!$A$3:A1736,A1737,SAVINGS!$E$3:E1736)-SUMIF(WITHDRAWALS!$A:$A,A1737,WITHDRAWALS!$E:$E)),"")</f>
        <v/>
      </c>
      <c r="D1737" s="28">
        <f>IF(A1737="","",TODAY())</f>
        <v/>
      </c>
      <c r="E1737" s="29" t="n"/>
      <c r="F1737" s="20">
        <f>IFERROR(IF(OR(A1737="",E1737=""),"",C1737+E1737),"")</f>
        <v/>
      </c>
      <c r="G1737" s="30" t="n"/>
      <c r="H1737" s="27" t="n"/>
    </row>
    <row r="1738" ht="20" customHeight="1">
      <c r="A1738" s="26" t="n"/>
      <c r="B1738" s="31">
        <f>IFERROR(IF(A1738="","",VLOOKUP(A1738,DATABASE!$A:$B,2,0)),"")</f>
        <v/>
      </c>
      <c r="C1738" s="32">
        <f>IFERROR(IF(A1738="","",SUMIF(SAVINGS!$A$3:A1737,A1738,SAVINGS!$E$3:E1737)-SUMIF(WITHDRAWALS!$A:$A,A1738,WITHDRAWALS!$E:$E)),"")</f>
        <v/>
      </c>
      <c r="D1738" s="33">
        <f>IF(A1738="","",TODAY())</f>
        <v/>
      </c>
      <c r="E1738" s="29" t="n"/>
      <c r="F1738" s="32">
        <f>IFERROR(IF(OR(A1738="",E1738=""),"",C1738+E1738),"")</f>
        <v/>
      </c>
      <c r="G1738" s="30" t="n"/>
      <c r="H1738" s="31" t="n"/>
    </row>
    <row r="1739" ht="20" customHeight="1">
      <c r="A1739" s="26" t="n"/>
      <c r="B1739" s="27">
        <f>IFERROR(IF(A1739="","",VLOOKUP(A1739,DATABASE!$A:$B,2,0)),"")</f>
        <v/>
      </c>
      <c r="C1739" s="20">
        <f>IFERROR(IF(A1739="","",SUMIF(SAVINGS!$A$3:A1738,A1739,SAVINGS!$E$3:E1738)-SUMIF(WITHDRAWALS!$A:$A,A1739,WITHDRAWALS!$E:$E)),"")</f>
        <v/>
      </c>
      <c r="D1739" s="28">
        <f>IF(A1739="","",TODAY())</f>
        <v/>
      </c>
      <c r="E1739" s="29" t="n"/>
      <c r="F1739" s="20">
        <f>IFERROR(IF(OR(A1739="",E1739=""),"",C1739+E1739),"")</f>
        <v/>
      </c>
      <c r="G1739" s="30" t="n"/>
      <c r="H1739" s="27" t="n"/>
    </row>
    <row r="1740" ht="20" customHeight="1">
      <c r="A1740" s="26" t="n"/>
      <c r="B1740" s="31">
        <f>IFERROR(IF(A1740="","",VLOOKUP(A1740,DATABASE!$A:$B,2,0)),"")</f>
        <v/>
      </c>
      <c r="C1740" s="32">
        <f>IFERROR(IF(A1740="","",SUMIF(SAVINGS!$A$3:A1739,A1740,SAVINGS!$E$3:E1739)-SUMIF(WITHDRAWALS!$A:$A,A1740,WITHDRAWALS!$E:$E)),"")</f>
        <v/>
      </c>
      <c r="D1740" s="33">
        <f>IF(A1740="","",TODAY())</f>
        <v/>
      </c>
      <c r="E1740" s="29" t="n"/>
      <c r="F1740" s="32">
        <f>IFERROR(IF(OR(A1740="",E1740=""),"",C1740+E1740),"")</f>
        <v/>
      </c>
      <c r="G1740" s="30" t="n"/>
      <c r="H1740" s="31" t="n"/>
    </row>
    <row r="1741" ht="20" customHeight="1">
      <c r="A1741" s="26" t="n"/>
      <c r="B1741" s="27">
        <f>IFERROR(IF(A1741="","",VLOOKUP(A1741,DATABASE!$A:$B,2,0)),"")</f>
        <v/>
      </c>
      <c r="C1741" s="20">
        <f>IFERROR(IF(A1741="","",SUMIF(SAVINGS!$A$3:A1740,A1741,SAVINGS!$E$3:E1740)-SUMIF(WITHDRAWALS!$A:$A,A1741,WITHDRAWALS!$E:$E)),"")</f>
        <v/>
      </c>
      <c r="D1741" s="28">
        <f>IF(A1741="","",TODAY())</f>
        <v/>
      </c>
      <c r="E1741" s="29" t="n"/>
      <c r="F1741" s="20">
        <f>IFERROR(IF(OR(A1741="",E1741=""),"",C1741+E1741),"")</f>
        <v/>
      </c>
      <c r="G1741" s="30" t="n"/>
      <c r="H1741" s="27" t="n"/>
    </row>
    <row r="1742" ht="20" customHeight="1">
      <c r="A1742" s="26" t="n"/>
      <c r="B1742" s="31">
        <f>IFERROR(IF(A1742="","",VLOOKUP(A1742,DATABASE!$A:$B,2,0)),"")</f>
        <v/>
      </c>
      <c r="C1742" s="32">
        <f>IFERROR(IF(A1742="","",SUMIF(SAVINGS!$A$3:A1741,A1742,SAVINGS!$E$3:E1741)-SUMIF(WITHDRAWALS!$A:$A,A1742,WITHDRAWALS!$E:$E)),"")</f>
        <v/>
      </c>
      <c r="D1742" s="33">
        <f>IF(A1742="","",TODAY())</f>
        <v/>
      </c>
      <c r="E1742" s="29" t="n"/>
      <c r="F1742" s="32">
        <f>IFERROR(IF(OR(A1742="",E1742=""),"",C1742+E1742),"")</f>
        <v/>
      </c>
      <c r="G1742" s="30" t="n"/>
      <c r="H1742" s="31" t="n"/>
    </row>
    <row r="1743" ht="20" customHeight="1">
      <c r="A1743" s="26" t="n"/>
      <c r="B1743" s="27">
        <f>IFERROR(IF(A1743="","",VLOOKUP(A1743,DATABASE!$A:$B,2,0)),"")</f>
        <v/>
      </c>
      <c r="C1743" s="20">
        <f>IFERROR(IF(A1743="","",SUMIF(SAVINGS!$A$3:A1742,A1743,SAVINGS!$E$3:E1742)-SUMIF(WITHDRAWALS!$A:$A,A1743,WITHDRAWALS!$E:$E)),"")</f>
        <v/>
      </c>
      <c r="D1743" s="28">
        <f>IF(A1743="","",TODAY())</f>
        <v/>
      </c>
      <c r="E1743" s="29" t="n"/>
      <c r="F1743" s="20">
        <f>IFERROR(IF(OR(A1743="",E1743=""),"",C1743+E1743),"")</f>
        <v/>
      </c>
      <c r="G1743" s="30" t="n"/>
      <c r="H1743" s="27" t="n"/>
    </row>
    <row r="1744" ht="20" customHeight="1">
      <c r="A1744" s="26" t="n"/>
      <c r="B1744" s="31">
        <f>IFERROR(IF(A1744="","",VLOOKUP(A1744,DATABASE!$A:$B,2,0)),"")</f>
        <v/>
      </c>
      <c r="C1744" s="32">
        <f>IFERROR(IF(A1744="","",SUMIF(SAVINGS!$A$3:A1743,A1744,SAVINGS!$E$3:E1743)-SUMIF(WITHDRAWALS!$A:$A,A1744,WITHDRAWALS!$E:$E)),"")</f>
        <v/>
      </c>
      <c r="D1744" s="33">
        <f>IF(A1744="","",TODAY())</f>
        <v/>
      </c>
      <c r="E1744" s="29" t="n"/>
      <c r="F1744" s="32">
        <f>IFERROR(IF(OR(A1744="",E1744=""),"",C1744+E1744),"")</f>
        <v/>
      </c>
      <c r="G1744" s="30" t="n"/>
      <c r="H1744" s="31" t="n"/>
    </row>
    <row r="1745" ht="20" customHeight="1">
      <c r="A1745" s="26" t="n"/>
      <c r="B1745" s="27">
        <f>IFERROR(IF(A1745="","",VLOOKUP(A1745,DATABASE!$A:$B,2,0)),"")</f>
        <v/>
      </c>
      <c r="C1745" s="20">
        <f>IFERROR(IF(A1745="","",SUMIF(SAVINGS!$A$3:A1744,A1745,SAVINGS!$E$3:E1744)-SUMIF(WITHDRAWALS!$A:$A,A1745,WITHDRAWALS!$E:$E)),"")</f>
        <v/>
      </c>
      <c r="D1745" s="28">
        <f>IF(A1745="","",TODAY())</f>
        <v/>
      </c>
      <c r="E1745" s="29" t="n"/>
      <c r="F1745" s="20">
        <f>IFERROR(IF(OR(A1745="",E1745=""),"",C1745+E1745),"")</f>
        <v/>
      </c>
      <c r="G1745" s="30" t="n"/>
      <c r="H1745" s="27" t="n"/>
    </row>
    <row r="1746" ht="20" customHeight="1">
      <c r="A1746" s="26" t="n"/>
      <c r="B1746" s="31">
        <f>IFERROR(IF(A1746="","",VLOOKUP(A1746,DATABASE!$A:$B,2,0)),"")</f>
        <v/>
      </c>
      <c r="C1746" s="32">
        <f>IFERROR(IF(A1746="","",SUMIF(SAVINGS!$A$3:A1745,A1746,SAVINGS!$E$3:E1745)-SUMIF(WITHDRAWALS!$A:$A,A1746,WITHDRAWALS!$E:$E)),"")</f>
        <v/>
      </c>
      <c r="D1746" s="33">
        <f>IF(A1746="","",TODAY())</f>
        <v/>
      </c>
      <c r="E1746" s="29" t="n"/>
      <c r="F1746" s="32">
        <f>IFERROR(IF(OR(A1746="",E1746=""),"",C1746+E1746),"")</f>
        <v/>
      </c>
      <c r="G1746" s="30" t="n"/>
      <c r="H1746" s="31" t="n"/>
    </row>
    <row r="1747" ht="20" customHeight="1">
      <c r="A1747" s="26" t="n"/>
      <c r="B1747" s="27">
        <f>IFERROR(IF(A1747="","",VLOOKUP(A1747,DATABASE!$A:$B,2,0)),"")</f>
        <v/>
      </c>
      <c r="C1747" s="20">
        <f>IFERROR(IF(A1747="","",SUMIF(SAVINGS!$A$3:A1746,A1747,SAVINGS!$E$3:E1746)-SUMIF(WITHDRAWALS!$A:$A,A1747,WITHDRAWALS!$E:$E)),"")</f>
        <v/>
      </c>
      <c r="D1747" s="28">
        <f>IF(A1747="","",TODAY())</f>
        <v/>
      </c>
      <c r="E1747" s="29" t="n"/>
      <c r="F1747" s="20">
        <f>IFERROR(IF(OR(A1747="",E1747=""),"",C1747+E1747),"")</f>
        <v/>
      </c>
      <c r="G1747" s="30" t="n"/>
      <c r="H1747" s="27" t="n"/>
    </row>
    <row r="1748" ht="20" customHeight="1">
      <c r="A1748" s="26" t="n"/>
      <c r="B1748" s="31">
        <f>IFERROR(IF(A1748="","",VLOOKUP(A1748,DATABASE!$A:$B,2,0)),"")</f>
        <v/>
      </c>
      <c r="C1748" s="32">
        <f>IFERROR(IF(A1748="","",SUMIF(SAVINGS!$A$3:A1747,A1748,SAVINGS!$E$3:E1747)-SUMIF(WITHDRAWALS!$A:$A,A1748,WITHDRAWALS!$E:$E)),"")</f>
        <v/>
      </c>
      <c r="D1748" s="33">
        <f>IF(A1748="","",TODAY())</f>
        <v/>
      </c>
      <c r="E1748" s="29" t="n"/>
      <c r="F1748" s="32">
        <f>IFERROR(IF(OR(A1748="",E1748=""),"",C1748+E1748),"")</f>
        <v/>
      </c>
      <c r="G1748" s="30" t="n"/>
      <c r="H1748" s="31" t="n"/>
    </row>
    <row r="1749" ht="20" customHeight="1">
      <c r="A1749" s="26" t="n"/>
      <c r="B1749" s="27">
        <f>IFERROR(IF(A1749="","",VLOOKUP(A1749,DATABASE!$A:$B,2,0)),"")</f>
        <v/>
      </c>
      <c r="C1749" s="20">
        <f>IFERROR(IF(A1749="","",SUMIF(SAVINGS!$A$3:A1748,A1749,SAVINGS!$E$3:E1748)-SUMIF(WITHDRAWALS!$A:$A,A1749,WITHDRAWALS!$E:$E)),"")</f>
        <v/>
      </c>
      <c r="D1749" s="28">
        <f>IF(A1749="","",TODAY())</f>
        <v/>
      </c>
      <c r="E1749" s="29" t="n"/>
      <c r="F1749" s="20">
        <f>IFERROR(IF(OR(A1749="",E1749=""),"",C1749+E1749),"")</f>
        <v/>
      </c>
      <c r="G1749" s="30" t="n"/>
      <c r="H1749" s="27" t="n"/>
    </row>
    <row r="1750" ht="20" customHeight="1">
      <c r="A1750" s="26" t="n"/>
      <c r="B1750" s="31">
        <f>IFERROR(IF(A1750="","",VLOOKUP(A1750,DATABASE!$A:$B,2,0)),"")</f>
        <v/>
      </c>
      <c r="C1750" s="32">
        <f>IFERROR(IF(A1750="","",SUMIF(SAVINGS!$A$3:A1749,A1750,SAVINGS!$E$3:E1749)-SUMIF(WITHDRAWALS!$A:$A,A1750,WITHDRAWALS!$E:$E)),"")</f>
        <v/>
      </c>
      <c r="D1750" s="33">
        <f>IF(A1750="","",TODAY())</f>
        <v/>
      </c>
      <c r="E1750" s="29" t="n"/>
      <c r="F1750" s="32">
        <f>IFERROR(IF(OR(A1750="",E1750=""),"",C1750+E1750),"")</f>
        <v/>
      </c>
      <c r="G1750" s="30" t="n"/>
      <c r="H1750" s="31" t="n"/>
    </row>
    <row r="1751" ht="20" customHeight="1">
      <c r="A1751" s="26" t="n"/>
      <c r="B1751" s="27">
        <f>IFERROR(IF(A1751="","",VLOOKUP(A1751,DATABASE!$A:$B,2,0)),"")</f>
        <v/>
      </c>
      <c r="C1751" s="20">
        <f>IFERROR(IF(A1751="","",SUMIF(SAVINGS!$A$3:A1750,A1751,SAVINGS!$E$3:E1750)-SUMIF(WITHDRAWALS!$A:$A,A1751,WITHDRAWALS!$E:$E)),"")</f>
        <v/>
      </c>
      <c r="D1751" s="28">
        <f>IF(A1751="","",TODAY())</f>
        <v/>
      </c>
      <c r="E1751" s="29" t="n"/>
      <c r="F1751" s="20">
        <f>IFERROR(IF(OR(A1751="",E1751=""),"",C1751+E1751),"")</f>
        <v/>
      </c>
      <c r="G1751" s="30" t="n"/>
      <c r="H1751" s="27" t="n"/>
    </row>
    <row r="1752" ht="20" customHeight="1">
      <c r="A1752" s="26" t="n"/>
      <c r="B1752" s="31">
        <f>IFERROR(IF(A1752="","",VLOOKUP(A1752,DATABASE!$A:$B,2,0)),"")</f>
        <v/>
      </c>
      <c r="C1752" s="32">
        <f>IFERROR(IF(A1752="","",SUMIF(SAVINGS!$A$3:A1751,A1752,SAVINGS!$E$3:E1751)-SUMIF(WITHDRAWALS!$A:$A,A1752,WITHDRAWALS!$E:$E)),"")</f>
        <v/>
      </c>
      <c r="D1752" s="33">
        <f>IF(A1752="","",TODAY())</f>
        <v/>
      </c>
      <c r="E1752" s="29" t="n"/>
      <c r="F1752" s="32">
        <f>IFERROR(IF(OR(A1752="",E1752=""),"",C1752+E1752),"")</f>
        <v/>
      </c>
      <c r="G1752" s="30" t="n"/>
      <c r="H1752" s="31" t="n"/>
    </row>
    <row r="1753" ht="20" customHeight="1">
      <c r="A1753" s="26" t="n"/>
      <c r="B1753" s="27">
        <f>IFERROR(IF(A1753="","",VLOOKUP(A1753,DATABASE!$A:$B,2,0)),"")</f>
        <v/>
      </c>
      <c r="C1753" s="20">
        <f>IFERROR(IF(A1753="","",SUMIF(SAVINGS!$A$3:A1752,A1753,SAVINGS!$E$3:E1752)-SUMIF(WITHDRAWALS!$A:$A,A1753,WITHDRAWALS!$E:$E)),"")</f>
        <v/>
      </c>
      <c r="D1753" s="28">
        <f>IF(A1753="","",TODAY())</f>
        <v/>
      </c>
      <c r="E1753" s="29" t="n"/>
      <c r="F1753" s="20">
        <f>IFERROR(IF(OR(A1753="",E1753=""),"",C1753+E1753),"")</f>
        <v/>
      </c>
      <c r="G1753" s="30" t="n"/>
      <c r="H1753" s="27" t="n"/>
    </row>
    <row r="1754" ht="20" customHeight="1">
      <c r="A1754" s="26" t="n"/>
      <c r="B1754" s="31">
        <f>IFERROR(IF(A1754="","",VLOOKUP(A1754,DATABASE!$A:$B,2,0)),"")</f>
        <v/>
      </c>
      <c r="C1754" s="32">
        <f>IFERROR(IF(A1754="","",SUMIF(SAVINGS!$A$3:A1753,A1754,SAVINGS!$E$3:E1753)-SUMIF(WITHDRAWALS!$A:$A,A1754,WITHDRAWALS!$E:$E)),"")</f>
        <v/>
      </c>
      <c r="D1754" s="33">
        <f>IF(A1754="","",TODAY())</f>
        <v/>
      </c>
      <c r="E1754" s="29" t="n"/>
      <c r="F1754" s="32">
        <f>IFERROR(IF(OR(A1754="",E1754=""),"",C1754+E1754),"")</f>
        <v/>
      </c>
      <c r="G1754" s="30" t="n"/>
      <c r="H1754" s="31" t="n"/>
    </row>
    <row r="1755" ht="20" customHeight="1">
      <c r="A1755" s="26" t="n"/>
      <c r="B1755" s="27">
        <f>IFERROR(IF(A1755="","",VLOOKUP(A1755,DATABASE!$A:$B,2,0)),"")</f>
        <v/>
      </c>
      <c r="C1755" s="20">
        <f>IFERROR(IF(A1755="","",SUMIF(SAVINGS!$A$3:A1754,A1755,SAVINGS!$E$3:E1754)-SUMIF(WITHDRAWALS!$A:$A,A1755,WITHDRAWALS!$E:$E)),"")</f>
        <v/>
      </c>
      <c r="D1755" s="28">
        <f>IF(A1755="","",TODAY())</f>
        <v/>
      </c>
      <c r="E1755" s="29" t="n"/>
      <c r="F1755" s="20">
        <f>IFERROR(IF(OR(A1755="",E1755=""),"",C1755+E1755),"")</f>
        <v/>
      </c>
      <c r="G1755" s="30" t="n"/>
      <c r="H1755" s="27" t="n"/>
    </row>
    <row r="1756" ht="20" customHeight="1">
      <c r="A1756" s="26" t="n"/>
      <c r="B1756" s="31">
        <f>IFERROR(IF(A1756="","",VLOOKUP(A1756,DATABASE!$A:$B,2,0)),"")</f>
        <v/>
      </c>
      <c r="C1756" s="32">
        <f>IFERROR(IF(A1756="","",SUMIF(SAVINGS!$A$3:A1755,A1756,SAVINGS!$E$3:E1755)-SUMIF(WITHDRAWALS!$A:$A,A1756,WITHDRAWALS!$E:$E)),"")</f>
        <v/>
      </c>
      <c r="D1756" s="33">
        <f>IF(A1756="","",TODAY())</f>
        <v/>
      </c>
      <c r="E1756" s="29" t="n"/>
      <c r="F1756" s="32">
        <f>IFERROR(IF(OR(A1756="",E1756=""),"",C1756+E1756),"")</f>
        <v/>
      </c>
      <c r="G1756" s="30" t="n"/>
      <c r="H1756" s="31" t="n"/>
    </row>
    <row r="1757" ht="20" customHeight="1">
      <c r="A1757" s="26" t="n"/>
      <c r="B1757" s="27">
        <f>IFERROR(IF(A1757="","",VLOOKUP(A1757,DATABASE!$A:$B,2,0)),"")</f>
        <v/>
      </c>
      <c r="C1757" s="20">
        <f>IFERROR(IF(A1757="","",SUMIF(SAVINGS!$A$3:A1756,A1757,SAVINGS!$E$3:E1756)-SUMIF(WITHDRAWALS!$A:$A,A1757,WITHDRAWALS!$E:$E)),"")</f>
        <v/>
      </c>
      <c r="D1757" s="28">
        <f>IF(A1757="","",TODAY())</f>
        <v/>
      </c>
      <c r="E1757" s="29" t="n"/>
      <c r="F1757" s="20">
        <f>IFERROR(IF(OR(A1757="",E1757=""),"",C1757+E1757),"")</f>
        <v/>
      </c>
      <c r="G1757" s="30" t="n"/>
      <c r="H1757" s="27" t="n"/>
    </row>
    <row r="1758" ht="20" customHeight="1">
      <c r="A1758" s="26" t="n"/>
      <c r="B1758" s="31">
        <f>IFERROR(IF(A1758="","",VLOOKUP(A1758,DATABASE!$A:$B,2,0)),"")</f>
        <v/>
      </c>
      <c r="C1758" s="32">
        <f>IFERROR(IF(A1758="","",SUMIF(SAVINGS!$A$3:A1757,A1758,SAVINGS!$E$3:E1757)-SUMIF(WITHDRAWALS!$A:$A,A1758,WITHDRAWALS!$E:$E)),"")</f>
        <v/>
      </c>
      <c r="D1758" s="33">
        <f>IF(A1758="","",TODAY())</f>
        <v/>
      </c>
      <c r="E1758" s="29" t="n"/>
      <c r="F1758" s="32">
        <f>IFERROR(IF(OR(A1758="",E1758=""),"",C1758+E1758),"")</f>
        <v/>
      </c>
      <c r="G1758" s="30" t="n"/>
      <c r="H1758" s="31" t="n"/>
    </row>
    <row r="1759" ht="20" customHeight="1">
      <c r="A1759" s="26" t="n"/>
      <c r="B1759" s="27">
        <f>IFERROR(IF(A1759="","",VLOOKUP(A1759,DATABASE!$A:$B,2,0)),"")</f>
        <v/>
      </c>
      <c r="C1759" s="20">
        <f>IFERROR(IF(A1759="","",SUMIF(SAVINGS!$A$3:A1758,A1759,SAVINGS!$E$3:E1758)-SUMIF(WITHDRAWALS!$A:$A,A1759,WITHDRAWALS!$E:$E)),"")</f>
        <v/>
      </c>
      <c r="D1759" s="28">
        <f>IF(A1759="","",TODAY())</f>
        <v/>
      </c>
      <c r="E1759" s="29" t="n"/>
      <c r="F1759" s="20">
        <f>IFERROR(IF(OR(A1759="",E1759=""),"",C1759+E1759),"")</f>
        <v/>
      </c>
      <c r="G1759" s="30" t="n"/>
      <c r="H1759" s="27" t="n"/>
    </row>
    <row r="1760" ht="20" customHeight="1">
      <c r="A1760" s="26" t="n"/>
      <c r="B1760" s="31">
        <f>IFERROR(IF(A1760="","",VLOOKUP(A1760,DATABASE!$A:$B,2,0)),"")</f>
        <v/>
      </c>
      <c r="C1760" s="32">
        <f>IFERROR(IF(A1760="","",SUMIF(SAVINGS!$A$3:A1759,A1760,SAVINGS!$E$3:E1759)-SUMIF(WITHDRAWALS!$A:$A,A1760,WITHDRAWALS!$E:$E)),"")</f>
        <v/>
      </c>
      <c r="D1760" s="33">
        <f>IF(A1760="","",TODAY())</f>
        <v/>
      </c>
      <c r="E1760" s="29" t="n"/>
      <c r="F1760" s="32">
        <f>IFERROR(IF(OR(A1760="",E1760=""),"",C1760+E1760),"")</f>
        <v/>
      </c>
      <c r="G1760" s="30" t="n"/>
      <c r="H1760" s="31" t="n"/>
    </row>
    <row r="1761" ht="20" customHeight="1">
      <c r="A1761" s="26" t="n"/>
      <c r="B1761" s="27">
        <f>IFERROR(IF(A1761="","",VLOOKUP(A1761,DATABASE!$A:$B,2,0)),"")</f>
        <v/>
      </c>
      <c r="C1761" s="20">
        <f>IFERROR(IF(A1761="","",SUMIF(SAVINGS!$A$3:A1760,A1761,SAVINGS!$E$3:E1760)-SUMIF(WITHDRAWALS!$A:$A,A1761,WITHDRAWALS!$E:$E)),"")</f>
        <v/>
      </c>
      <c r="D1761" s="28">
        <f>IF(A1761="","",TODAY())</f>
        <v/>
      </c>
      <c r="E1761" s="29" t="n"/>
      <c r="F1761" s="20">
        <f>IFERROR(IF(OR(A1761="",E1761=""),"",C1761+E1761),"")</f>
        <v/>
      </c>
      <c r="G1761" s="30" t="n"/>
      <c r="H1761" s="27" t="n"/>
    </row>
    <row r="1762" ht="20" customHeight="1">
      <c r="A1762" s="26" t="n"/>
      <c r="B1762" s="31">
        <f>IFERROR(IF(A1762="","",VLOOKUP(A1762,DATABASE!$A:$B,2,0)),"")</f>
        <v/>
      </c>
      <c r="C1762" s="32">
        <f>IFERROR(IF(A1762="","",SUMIF(SAVINGS!$A$3:A1761,A1762,SAVINGS!$E$3:E1761)-SUMIF(WITHDRAWALS!$A:$A,A1762,WITHDRAWALS!$E:$E)),"")</f>
        <v/>
      </c>
      <c r="D1762" s="33">
        <f>IF(A1762="","",TODAY())</f>
        <v/>
      </c>
      <c r="E1762" s="29" t="n"/>
      <c r="F1762" s="32">
        <f>IFERROR(IF(OR(A1762="",E1762=""),"",C1762+E1762),"")</f>
        <v/>
      </c>
      <c r="G1762" s="30" t="n"/>
      <c r="H1762" s="31" t="n"/>
    </row>
    <row r="1763" ht="20" customHeight="1">
      <c r="A1763" s="26" t="n"/>
      <c r="B1763" s="27">
        <f>IFERROR(IF(A1763="","",VLOOKUP(A1763,DATABASE!$A:$B,2,0)),"")</f>
        <v/>
      </c>
      <c r="C1763" s="20">
        <f>IFERROR(IF(A1763="","",SUMIF(SAVINGS!$A$3:A1762,A1763,SAVINGS!$E$3:E1762)-SUMIF(WITHDRAWALS!$A:$A,A1763,WITHDRAWALS!$E:$E)),"")</f>
        <v/>
      </c>
      <c r="D1763" s="28">
        <f>IF(A1763="","",TODAY())</f>
        <v/>
      </c>
      <c r="E1763" s="29" t="n"/>
      <c r="F1763" s="20">
        <f>IFERROR(IF(OR(A1763="",E1763=""),"",C1763+E1763),"")</f>
        <v/>
      </c>
      <c r="G1763" s="30" t="n"/>
      <c r="H1763" s="27" t="n"/>
    </row>
    <row r="1764" ht="20" customHeight="1">
      <c r="A1764" s="26" t="n"/>
      <c r="B1764" s="31">
        <f>IFERROR(IF(A1764="","",VLOOKUP(A1764,DATABASE!$A:$B,2,0)),"")</f>
        <v/>
      </c>
      <c r="C1764" s="32">
        <f>IFERROR(IF(A1764="","",SUMIF(SAVINGS!$A$3:A1763,A1764,SAVINGS!$E$3:E1763)-SUMIF(WITHDRAWALS!$A:$A,A1764,WITHDRAWALS!$E:$E)),"")</f>
        <v/>
      </c>
      <c r="D1764" s="33">
        <f>IF(A1764="","",TODAY())</f>
        <v/>
      </c>
      <c r="E1764" s="29" t="n"/>
      <c r="F1764" s="32">
        <f>IFERROR(IF(OR(A1764="",E1764=""),"",C1764+E1764),"")</f>
        <v/>
      </c>
      <c r="G1764" s="30" t="n"/>
      <c r="H1764" s="31" t="n"/>
    </row>
    <row r="1765" ht="20" customHeight="1">
      <c r="A1765" s="26" t="n"/>
      <c r="B1765" s="27">
        <f>IFERROR(IF(A1765="","",VLOOKUP(A1765,DATABASE!$A:$B,2,0)),"")</f>
        <v/>
      </c>
      <c r="C1765" s="20">
        <f>IFERROR(IF(A1765="","",SUMIF(SAVINGS!$A$3:A1764,A1765,SAVINGS!$E$3:E1764)-SUMIF(WITHDRAWALS!$A:$A,A1765,WITHDRAWALS!$E:$E)),"")</f>
        <v/>
      </c>
      <c r="D1765" s="28">
        <f>IF(A1765="","",TODAY())</f>
        <v/>
      </c>
      <c r="E1765" s="29" t="n"/>
      <c r="F1765" s="20">
        <f>IFERROR(IF(OR(A1765="",E1765=""),"",C1765+E1765),"")</f>
        <v/>
      </c>
      <c r="G1765" s="30" t="n"/>
      <c r="H1765" s="27" t="n"/>
    </row>
    <row r="1766" ht="20" customHeight="1">
      <c r="A1766" s="26" t="n"/>
      <c r="B1766" s="31">
        <f>IFERROR(IF(A1766="","",VLOOKUP(A1766,DATABASE!$A:$B,2,0)),"")</f>
        <v/>
      </c>
      <c r="C1766" s="32">
        <f>IFERROR(IF(A1766="","",SUMIF(SAVINGS!$A$3:A1765,A1766,SAVINGS!$E$3:E1765)-SUMIF(WITHDRAWALS!$A:$A,A1766,WITHDRAWALS!$E:$E)),"")</f>
        <v/>
      </c>
      <c r="D1766" s="33">
        <f>IF(A1766="","",TODAY())</f>
        <v/>
      </c>
      <c r="E1766" s="29" t="n"/>
      <c r="F1766" s="32">
        <f>IFERROR(IF(OR(A1766="",E1766=""),"",C1766+E1766),"")</f>
        <v/>
      </c>
      <c r="G1766" s="30" t="n"/>
      <c r="H1766" s="31" t="n"/>
    </row>
    <row r="1767" ht="20" customHeight="1">
      <c r="A1767" s="26" t="n"/>
      <c r="B1767" s="27">
        <f>IFERROR(IF(A1767="","",VLOOKUP(A1767,DATABASE!$A:$B,2,0)),"")</f>
        <v/>
      </c>
      <c r="C1767" s="20">
        <f>IFERROR(IF(A1767="","",SUMIF(SAVINGS!$A$3:A1766,A1767,SAVINGS!$E$3:E1766)-SUMIF(WITHDRAWALS!$A:$A,A1767,WITHDRAWALS!$E:$E)),"")</f>
        <v/>
      </c>
      <c r="D1767" s="28">
        <f>IF(A1767="","",TODAY())</f>
        <v/>
      </c>
      <c r="E1767" s="29" t="n"/>
      <c r="F1767" s="20">
        <f>IFERROR(IF(OR(A1767="",E1767=""),"",C1767+E1767),"")</f>
        <v/>
      </c>
      <c r="G1767" s="30" t="n"/>
      <c r="H1767" s="27" t="n"/>
    </row>
    <row r="1768" ht="20" customHeight="1">
      <c r="A1768" s="26" t="n"/>
      <c r="B1768" s="31">
        <f>IFERROR(IF(A1768="","",VLOOKUP(A1768,DATABASE!$A:$B,2,0)),"")</f>
        <v/>
      </c>
      <c r="C1768" s="32">
        <f>IFERROR(IF(A1768="","",SUMIF(SAVINGS!$A$3:A1767,A1768,SAVINGS!$E$3:E1767)-SUMIF(WITHDRAWALS!$A:$A,A1768,WITHDRAWALS!$E:$E)),"")</f>
        <v/>
      </c>
      <c r="D1768" s="33">
        <f>IF(A1768="","",TODAY())</f>
        <v/>
      </c>
      <c r="E1768" s="29" t="n"/>
      <c r="F1768" s="32">
        <f>IFERROR(IF(OR(A1768="",E1768=""),"",C1768+E1768),"")</f>
        <v/>
      </c>
      <c r="G1768" s="30" t="n"/>
      <c r="H1768" s="31" t="n"/>
    </row>
    <row r="1769" ht="20" customHeight="1">
      <c r="A1769" s="26" t="n"/>
      <c r="B1769" s="27">
        <f>IFERROR(IF(A1769="","",VLOOKUP(A1769,DATABASE!$A:$B,2,0)),"")</f>
        <v/>
      </c>
      <c r="C1769" s="20">
        <f>IFERROR(IF(A1769="","",SUMIF(SAVINGS!$A$3:A1768,A1769,SAVINGS!$E$3:E1768)-SUMIF(WITHDRAWALS!$A:$A,A1769,WITHDRAWALS!$E:$E)),"")</f>
        <v/>
      </c>
      <c r="D1769" s="28">
        <f>IF(A1769="","",TODAY())</f>
        <v/>
      </c>
      <c r="E1769" s="29" t="n"/>
      <c r="F1769" s="20">
        <f>IFERROR(IF(OR(A1769="",E1769=""),"",C1769+E1769),"")</f>
        <v/>
      </c>
      <c r="G1769" s="30" t="n"/>
      <c r="H1769" s="27" t="n"/>
    </row>
    <row r="1770" ht="20" customHeight="1">
      <c r="A1770" s="26" t="n"/>
      <c r="B1770" s="31">
        <f>IFERROR(IF(A1770="","",VLOOKUP(A1770,DATABASE!$A:$B,2,0)),"")</f>
        <v/>
      </c>
      <c r="C1770" s="32">
        <f>IFERROR(IF(A1770="","",SUMIF(SAVINGS!$A$3:A1769,A1770,SAVINGS!$E$3:E1769)-SUMIF(WITHDRAWALS!$A:$A,A1770,WITHDRAWALS!$E:$E)),"")</f>
        <v/>
      </c>
      <c r="D1770" s="33">
        <f>IF(A1770="","",TODAY())</f>
        <v/>
      </c>
      <c r="E1770" s="29" t="n"/>
      <c r="F1770" s="32">
        <f>IFERROR(IF(OR(A1770="",E1770=""),"",C1770+E1770),"")</f>
        <v/>
      </c>
      <c r="G1770" s="30" t="n"/>
      <c r="H1770" s="31" t="n"/>
    </row>
    <row r="1771" ht="20" customHeight="1">
      <c r="A1771" s="26" t="n"/>
      <c r="B1771" s="27">
        <f>IFERROR(IF(A1771="","",VLOOKUP(A1771,DATABASE!$A:$B,2,0)),"")</f>
        <v/>
      </c>
      <c r="C1771" s="20">
        <f>IFERROR(IF(A1771="","",SUMIF(SAVINGS!$A$3:A1770,A1771,SAVINGS!$E$3:E1770)-SUMIF(WITHDRAWALS!$A:$A,A1771,WITHDRAWALS!$E:$E)),"")</f>
        <v/>
      </c>
      <c r="D1771" s="28">
        <f>IF(A1771="","",TODAY())</f>
        <v/>
      </c>
      <c r="E1771" s="29" t="n"/>
      <c r="F1771" s="20">
        <f>IFERROR(IF(OR(A1771="",E1771=""),"",C1771+E1771),"")</f>
        <v/>
      </c>
      <c r="G1771" s="30" t="n"/>
      <c r="H1771" s="27" t="n"/>
    </row>
    <row r="1772" ht="20" customHeight="1">
      <c r="A1772" s="26" t="n"/>
      <c r="B1772" s="31">
        <f>IFERROR(IF(A1772="","",VLOOKUP(A1772,DATABASE!$A:$B,2,0)),"")</f>
        <v/>
      </c>
      <c r="C1772" s="32">
        <f>IFERROR(IF(A1772="","",SUMIF(SAVINGS!$A$3:A1771,A1772,SAVINGS!$E$3:E1771)-SUMIF(WITHDRAWALS!$A:$A,A1772,WITHDRAWALS!$E:$E)),"")</f>
        <v/>
      </c>
      <c r="D1772" s="33">
        <f>IF(A1772="","",TODAY())</f>
        <v/>
      </c>
      <c r="E1772" s="29" t="n"/>
      <c r="F1772" s="32">
        <f>IFERROR(IF(OR(A1772="",E1772=""),"",C1772+E1772),"")</f>
        <v/>
      </c>
      <c r="G1772" s="30" t="n"/>
      <c r="H1772" s="31" t="n"/>
    </row>
    <row r="1773" ht="20" customHeight="1">
      <c r="A1773" s="26" t="n"/>
      <c r="B1773" s="27">
        <f>IFERROR(IF(A1773="","",VLOOKUP(A1773,DATABASE!$A:$B,2,0)),"")</f>
        <v/>
      </c>
      <c r="C1773" s="20">
        <f>IFERROR(IF(A1773="","",SUMIF(SAVINGS!$A$3:A1772,A1773,SAVINGS!$E$3:E1772)-SUMIF(WITHDRAWALS!$A:$A,A1773,WITHDRAWALS!$E:$E)),"")</f>
        <v/>
      </c>
      <c r="D1773" s="28">
        <f>IF(A1773="","",TODAY())</f>
        <v/>
      </c>
      <c r="E1773" s="29" t="n"/>
      <c r="F1773" s="20">
        <f>IFERROR(IF(OR(A1773="",E1773=""),"",C1773+E1773),"")</f>
        <v/>
      </c>
      <c r="G1773" s="30" t="n"/>
      <c r="H1773" s="27" t="n"/>
    </row>
    <row r="1774" ht="20" customHeight="1">
      <c r="A1774" s="26" t="n"/>
      <c r="B1774" s="31">
        <f>IFERROR(IF(A1774="","",VLOOKUP(A1774,DATABASE!$A:$B,2,0)),"")</f>
        <v/>
      </c>
      <c r="C1774" s="32">
        <f>IFERROR(IF(A1774="","",SUMIF(SAVINGS!$A$3:A1773,A1774,SAVINGS!$E$3:E1773)-SUMIF(WITHDRAWALS!$A:$A,A1774,WITHDRAWALS!$E:$E)),"")</f>
        <v/>
      </c>
      <c r="D1774" s="33">
        <f>IF(A1774="","",TODAY())</f>
        <v/>
      </c>
      <c r="E1774" s="29" t="n"/>
      <c r="F1774" s="32">
        <f>IFERROR(IF(OR(A1774="",E1774=""),"",C1774+E1774),"")</f>
        <v/>
      </c>
      <c r="G1774" s="30" t="n"/>
      <c r="H1774" s="31" t="n"/>
    </row>
    <row r="1775" ht="20" customHeight="1">
      <c r="A1775" s="26" t="n"/>
      <c r="B1775" s="27">
        <f>IFERROR(IF(A1775="","",VLOOKUP(A1775,DATABASE!$A:$B,2,0)),"")</f>
        <v/>
      </c>
      <c r="C1775" s="20">
        <f>IFERROR(IF(A1775="","",SUMIF(SAVINGS!$A$3:A1774,A1775,SAVINGS!$E$3:E1774)-SUMIF(WITHDRAWALS!$A:$A,A1775,WITHDRAWALS!$E:$E)),"")</f>
        <v/>
      </c>
      <c r="D1775" s="28">
        <f>IF(A1775="","",TODAY())</f>
        <v/>
      </c>
      <c r="E1775" s="29" t="n"/>
      <c r="F1775" s="20">
        <f>IFERROR(IF(OR(A1775="",E1775=""),"",C1775+E1775),"")</f>
        <v/>
      </c>
      <c r="G1775" s="30" t="n"/>
      <c r="H1775" s="27" t="n"/>
    </row>
    <row r="1776" ht="20" customHeight="1">
      <c r="A1776" s="26" t="n"/>
      <c r="B1776" s="31">
        <f>IFERROR(IF(A1776="","",VLOOKUP(A1776,DATABASE!$A:$B,2,0)),"")</f>
        <v/>
      </c>
      <c r="C1776" s="32">
        <f>IFERROR(IF(A1776="","",SUMIF(SAVINGS!$A$3:A1775,A1776,SAVINGS!$E$3:E1775)-SUMIF(WITHDRAWALS!$A:$A,A1776,WITHDRAWALS!$E:$E)),"")</f>
        <v/>
      </c>
      <c r="D1776" s="33">
        <f>IF(A1776="","",TODAY())</f>
        <v/>
      </c>
      <c r="E1776" s="29" t="n"/>
      <c r="F1776" s="32">
        <f>IFERROR(IF(OR(A1776="",E1776=""),"",C1776+E1776),"")</f>
        <v/>
      </c>
      <c r="G1776" s="30" t="n"/>
      <c r="H1776" s="31" t="n"/>
    </row>
    <row r="1777" ht="20" customHeight="1">
      <c r="A1777" s="26" t="n"/>
      <c r="B1777" s="27">
        <f>IFERROR(IF(A1777="","",VLOOKUP(A1777,DATABASE!$A:$B,2,0)),"")</f>
        <v/>
      </c>
      <c r="C1777" s="20">
        <f>IFERROR(IF(A1777="","",SUMIF(SAVINGS!$A$3:A1776,A1777,SAVINGS!$E$3:E1776)-SUMIF(WITHDRAWALS!$A:$A,A1777,WITHDRAWALS!$E:$E)),"")</f>
        <v/>
      </c>
      <c r="D1777" s="28">
        <f>IF(A1777="","",TODAY())</f>
        <v/>
      </c>
      <c r="E1777" s="29" t="n"/>
      <c r="F1777" s="20">
        <f>IFERROR(IF(OR(A1777="",E1777=""),"",C1777+E1777),"")</f>
        <v/>
      </c>
      <c r="G1777" s="30" t="n"/>
      <c r="H1777" s="27" t="n"/>
    </row>
    <row r="1778" ht="20" customHeight="1">
      <c r="A1778" s="26" t="n"/>
      <c r="B1778" s="31">
        <f>IFERROR(IF(A1778="","",VLOOKUP(A1778,DATABASE!$A:$B,2,0)),"")</f>
        <v/>
      </c>
      <c r="C1778" s="32">
        <f>IFERROR(IF(A1778="","",SUMIF(SAVINGS!$A$3:A1777,A1778,SAVINGS!$E$3:E1777)-SUMIF(WITHDRAWALS!$A:$A,A1778,WITHDRAWALS!$E:$E)),"")</f>
        <v/>
      </c>
      <c r="D1778" s="33">
        <f>IF(A1778="","",TODAY())</f>
        <v/>
      </c>
      <c r="E1778" s="29" t="n"/>
      <c r="F1778" s="32">
        <f>IFERROR(IF(OR(A1778="",E1778=""),"",C1778+E1778),"")</f>
        <v/>
      </c>
      <c r="G1778" s="30" t="n"/>
      <c r="H1778" s="31" t="n"/>
    </row>
    <row r="1779" ht="20" customHeight="1">
      <c r="A1779" s="26" t="n"/>
      <c r="B1779" s="27">
        <f>IFERROR(IF(A1779="","",VLOOKUP(A1779,DATABASE!$A:$B,2,0)),"")</f>
        <v/>
      </c>
      <c r="C1779" s="20">
        <f>IFERROR(IF(A1779="","",SUMIF(SAVINGS!$A$3:A1778,A1779,SAVINGS!$E$3:E1778)-SUMIF(WITHDRAWALS!$A:$A,A1779,WITHDRAWALS!$E:$E)),"")</f>
        <v/>
      </c>
      <c r="D1779" s="28">
        <f>IF(A1779="","",TODAY())</f>
        <v/>
      </c>
      <c r="E1779" s="29" t="n"/>
      <c r="F1779" s="20">
        <f>IFERROR(IF(OR(A1779="",E1779=""),"",C1779+E1779),"")</f>
        <v/>
      </c>
      <c r="G1779" s="30" t="n"/>
      <c r="H1779" s="27" t="n"/>
    </row>
    <row r="1780" ht="20" customHeight="1">
      <c r="A1780" s="26" t="n"/>
      <c r="B1780" s="31">
        <f>IFERROR(IF(A1780="","",VLOOKUP(A1780,DATABASE!$A:$B,2,0)),"")</f>
        <v/>
      </c>
      <c r="C1780" s="32">
        <f>IFERROR(IF(A1780="","",SUMIF(SAVINGS!$A$3:A1779,A1780,SAVINGS!$E$3:E1779)-SUMIF(WITHDRAWALS!$A:$A,A1780,WITHDRAWALS!$E:$E)),"")</f>
        <v/>
      </c>
      <c r="D1780" s="33">
        <f>IF(A1780="","",TODAY())</f>
        <v/>
      </c>
      <c r="E1780" s="29" t="n"/>
      <c r="F1780" s="32">
        <f>IFERROR(IF(OR(A1780="",E1780=""),"",C1780+E1780),"")</f>
        <v/>
      </c>
      <c r="G1780" s="30" t="n"/>
      <c r="H1780" s="31" t="n"/>
    </row>
    <row r="1781" ht="20" customHeight="1">
      <c r="A1781" s="26" t="n"/>
      <c r="B1781" s="27">
        <f>IFERROR(IF(A1781="","",VLOOKUP(A1781,DATABASE!$A:$B,2,0)),"")</f>
        <v/>
      </c>
      <c r="C1781" s="20">
        <f>IFERROR(IF(A1781="","",SUMIF(SAVINGS!$A$3:A1780,A1781,SAVINGS!$E$3:E1780)-SUMIF(WITHDRAWALS!$A:$A,A1781,WITHDRAWALS!$E:$E)),"")</f>
        <v/>
      </c>
      <c r="D1781" s="28">
        <f>IF(A1781="","",TODAY())</f>
        <v/>
      </c>
      <c r="E1781" s="29" t="n"/>
      <c r="F1781" s="20">
        <f>IFERROR(IF(OR(A1781="",E1781=""),"",C1781+E1781),"")</f>
        <v/>
      </c>
      <c r="G1781" s="30" t="n"/>
      <c r="H1781" s="27" t="n"/>
    </row>
    <row r="1782" ht="20" customHeight="1">
      <c r="A1782" s="26" t="n"/>
      <c r="B1782" s="31">
        <f>IFERROR(IF(A1782="","",VLOOKUP(A1782,DATABASE!$A:$B,2,0)),"")</f>
        <v/>
      </c>
      <c r="C1782" s="32">
        <f>IFERROR(IF(A1782="","",SUMIF(SAVINGS!$A$3:A1781,A1782,SAVINGS!$E$3:E1781)-SUMIF(WITHDRAWALS!$A:$A,A1782,WITHDRAWALS!$E:$E)),"")</f>
        <v/>
      </c>
      <c r="D1782" s="33">
        <f>IF(A1782="","",TODAY())</f>
        <v/>
      </c>
      <c r="E1782" s="29" t="n"/>
      <c r="F1782" s="32">
        <f>IFERROR(IF(OR(A1782="",E1782=""),"",C1782+E1782),"")</f>
        <v/>
      </c>
      <c r="G1782" s="30" t="n"/>
      <c r="H1782" s="31" t="n"/>
    </row>
    <row r="1783" ht="20" customHeight="1">
      <c r="A1783" s="26" t="n"/>
      <c r="B1783" s="27">
        <f>IFERROR(IF(A1783="","",VLOOKUP(A1783,DATABASE!$A:$B,2,0)),"")</f>
        <v/>
      </c>
      <c r="C1783" s="20">
        <f>IFERROR(IF(A1783="","",SUMIF(SAVINGS!$A$3:A1782,A1783,SAVINGS!$E$3:E1782)-SUMIF(WITHDRAWALS!$A:$A,A1783,WITHDRAWALS!$E:$E)),"")</f>
        <v/>
      </c>
      <c r="D1783" s="28">
        <f>IF(A1783="","",TODAY())</f>
        <v/>
      </c>
      <c r="E1783" s="29" t="n"/>
      <c r="F1783" s="20">
        <f>IFERROR(IF(OR(A1783="",E1783=""),"",C1783+E1783),"")</f>
        <v/>
      </c>
      <c r="G1783" s="30" t="n"/>
      <c r="H1783" s="27" t="n"/>
    </row>
    <row r="1784" ht="20" customHeight="1">
      <c r="A1784" s="26" t="n"/>
      <c r="B1784" s="31">
        <f>IFERROR(IF(A1784="","",VLOOKUP(A1784,DATABASE!$A:$B,2,0)),"")</f>
        <v/>
      </c>
      <c r="C1784" s="32">
        <f>IFERROR(IF(A1784="","",SUMIF(SAVINGS!$A$3:A1783,A1784,SAVINGS!$E$3:E1783)-SUMIF(WITHDRAWALS!$A:$A,A1784,WITHDRAWALS!$E:$E)),"")</f>
        <v/>
      </c>
      <c r="D1784" s="33">
        <f>IF(A1784="","",TODAY())</f>
        <v/>
      </c>
      <c r="E1784" s="29" t="n"/>
      <c r="F1784" s="32">
        <f>IFERROR(IF(OR(A1784="",E1784=""),"",C1784+E1784),"")</f>
        <v/>
      </c>
      <c r="G1784" s="30" t="n"/>
      <c r="H1784" s="31" t="n"/>
    </row>
    <row r="1785" ht="20" customHeight="1">
      <c r="A1785" s="26" t="n"/>
      <c r="B1785" s="27">
        <f>IFERROR(IF(A1785="","",VLOOKUP(A1785,DATABASE!$A:$B,2,0)),"")</f>
        <v/>
      </c>
      <c r="C1785" s="20">
        <f>IFERROR(IF(A1785="","",SUMIF(SAVINGS!$A$3:A1784,A1785,SAVINGS!$E$3:E1784)-SUMIF(WITHDRAWALS!$A:$A,A1785,WITHDRAWALS!$E:$E)),"")</f>
        <v/>
      </c>
      <c r="D1785" s="28">
        <f>IF(A1785="","",TODAY())</f>
        <v/>
      </c>
      <c r="E1785" s="29" t="n"/>
      <c r="F1785" s="20">
        <f>IFERROR(IF(OR(A1785="",E1785=""),"",C1785+E1785),"")</f>
        <v/>
      </c>
      <c r="G1785" s="30" t="n"/>
      <c r="H1785" s="27" t="n"/>
    </row>
    <row r="1786" ht="20" customHeight="1">
      <c r="A1786" s="26" t="n"/>
      <c r="B1786" s="31">
        <f>IFERROR(IF(A1786="","",VLOOKUP(A1786,DATABASE!$A:$B,2,0)),"")</f>
        <v/>
      </c>
      <c r="C1786" s="32">
        <f>IFERROR(IF(A1786="","",SUMIF(SAVINGS!$A$3:A1785,A1786,SAVINGS!$E$3:E1785)-SUMIF(WITHDRAWALS!$A:$A,A1786,WITHDRAWALS!$E:$E)),"")</f>
        <v/>
      </c>
      <c r="D1786" s="33">
        <f>IF(A1786="","",TODAY())</f>
        <v/>
      </c>
      <c r="E1786" s="29" t="n"/>
      <c r="F1786" s="32">
        <f>IFERROR(IF(OR(A1786="",E1786=""),"",C1786+E1786),"")</f>
        <v/>
      </c>
      <c r="G1786" s="30" t="n"/>
      <c r="H1786" s="31" t="n"/>
    </row>
    <row r="1787" ht="20" customHeight="1">
      <c r="A1787" s="26" t="n"/>
      <c r="B1787" s="27">
        <f>IFERROR(IF(A1787="","",VLOOKUP(A1787,DATABASE!$A:$B,2,0)),"")</f>
        <v/>
      </c>
      <c r="C1787" s="20">
        <f>IFERROR(IF(A1787="","",SUMIF(SAVINGS!$A$3:A1786,A1787,SAVINGS!$E$3:E1786)-SUMIF(WITHDRAWALS!$A:$A,A1787,WITHDRAWALS!$E:$E)),"")</f>
        <v/>
      </c>
      <c r="D1787" s="28">
        <f>IF(A1787="","",TODAY())</f>
        <v/>
      </c>
      <c r="E1787" s="29" t="n"/>
      <c r="F1787" s="20">
        <f>IFERROR(IF(OR(A1787="",E1787=""),"",C1787+E1787),"")</f>
        <v/>
      </c>
      <c r="G1787" s="30" t="n"/>
      <c r="H1787" s="27" t="n"/>
    </row>
    <row r="1788" ht="20" customHeight="1">
      <c r="A1788" s="26" t="n"/>
      <c r="B1788" s="31">
        <f>IFERROR(IF(A1788="","",VLOOKUP(A1788,DATABASE!$A:$B,2,0)),"")</f>
        <v/>
      </c>
      <c r="C1788" s="32">
        <f>IFERROR(IF(A1788="","",SUMIF(SAVINGS!$A$3:A1787,A1788,SAVINGS!$E$3:E1787)-SUMIF(WITHDRAWALS!$A:$A,A1788,WITHDRAWALS!$E:$E)),"")</f>
        <v/>
      </c>
      <c r="D1788" s="33">
        <f>IF(A1788="","",TODAY())</f>
        <v/>
      </c>
      <c r="E1788" s="29" t="n"/>
      <c r="F1788" s="32">
        <f>IFERROR(IF(OR(A1788="",E1788=""),"",C1788+E1788),"")</f>
        <v/>
      </c>
      <c r="G1788" s="30" t="n"/>
      <c r="H1788" s="31" t="n"/>
    </row>
    <row r="1789" ht="20" customHeight="1">
      <c r="A1789" s="26" t="n"/>
      <c r="B1789" s="27">
        <f>IFERROR(IF(A1789="","",VLOOKUP(A1789,DATABASE!$A:$B,2,0)),"")</f>
        <v/>
      </c>
      <c r="C1789" s="20">
        <f>IFERROR(IF(A1789="","",SUMIF(SAVINGS!$A$3:A1788,A1789,SAVINGS!$E$3:E1788)-SUMIF(WITHDRAWALS!$A:$A,A1789,WITHDRAWALS!$E:$E)),"")</f>
        <v/>
      </c>
      <c r="D1789" s="28">
        <f>IF(A1789="","",TODAY())</f>
        <v/>
      </c>
      <c r="E1789" s="29" t="n"/>
      <c r="F1789" s="20">
        <f>IFERROR(IF(OR(A1789="",E1789=""),"",C1789+E1789),"")</f>
        <v/>
      </c>
      <c r="G1789" s="30" t="n"/>
      <c r="H1789" s="27" t="n"/>
    </row>
    <row r="1790" ht="20" customHeight="1">
      <c r="A1790" s="26" t="n"/>
      <c r="B1790" s="31">
        <f>IFERROR(IF(A1790="","",VLOOKUP(A1790,DATABASE!$A:$B,2,0)),"")</f>
        <v/>
      </c>
      <c r="C1790" s="32">
        <f>IFERROR(IF(A1790="","",SUMIF(SAVINGS!$A$3:A1789,A1790,SAVINGS!$E$3:E1789)-SUMIF(WITHDRAWALS!$A:$A,A1790,WITHDRAWALS!$E:$E)),"")</f>
        <v/>
      </c>
      <c r="D1790" s="33">
        <f>IF(A1790="","",TODAY())</f>
        <v/>
      </c>
      <c r="E1790" s="29" t="n"/>
      <c r="F1790" s="32">
        <f>IFERROR(IF(OR(A1790="",E1790=""),"",C1790+E1790),"")</f>
        <v/>
      </c>
      <c r="G1790" s="30" t="n"/>
      <c r="H1790" s="31" t="n"/>
    </row>
    <row r="1791" ht="20" customHeight="1">
      <c r="A1791" s="26" t="n"/>
      <c r="B1791" s="27">
        <f>IFERROR(IF(A1791="","",VLOOKUP(A1791,DATABASE!$A:$B,2,0)),"")</f>
        <v/>
      </c>
      <c r="C1791" s="20">
        <f>IFERROR(IF(A1791="","",SUMIF(SAVINGS!$A$3:A1790,A1791,SAVINGS!$E$3:E1790)-SUMIF(WITHDRAWALS!$A:$A,A1791,WITHDRAWALS!$E:$E)),"")</f>
        <v/>
      </c>
      <c r="D1791" s="28">
        <f>IF(A1791="","",TODAY())</f>
        <v/>
      </c>
      <c r="E1791" s="29" t="n"/>
      <c r="F1791" s="20">
        <f>IFERROR(IF(OR(A1791="",E1791=""),"",C1791+E1791),"")</f>
        <v/>
      </c>
      <c r="G1791" s="30" t="n"/>
      <c r="H1791" s="27" t="n"/>
    </row>
    <row r="1792" ht="20" customHeight="1">
      <c r="A1792" s="26" t="n"/>
      <c r="B1792" s="31">
        <f>IFERROR(IF(A1792="","",VLOOKUP(A1792,DATABASE!$A:$B,2,0)),"")</f>
        <v/>
      </c>
      <c r="C1792" s="32">
        <f>IFERROR(IF(A1792="","",SUMIF(SAVINGS!$A$3:A1791,A1792,SAVINGS!$E$3:E1791)-SUMIF(WITHDRAWALS!$A:$A,A1792,WITHDRAWALS!$E:$E)),"")</f>
        <v/>
      </c>
      <c r="D1792" s="33">
        <f>IF(A1792="","",TODAY())</f>
        <v/>
      </c>
      <c r="E1792" s="29" t="n"/>
      <c r="F1792" s="32">
        <f>IFERROR(IF(OR(A1792="",E1792=""),"",C1792+E1792),"")</f>
        <v/>
      </c>
      <c r="G1792" s="30" t="n"/>
      <c r="H1792" s="31" t="n"/>
    </row>
    <row r="1793" ht="20" customHeight="1">
      <c r="A1793" s="26" t="n"/>
      <c r="B1793" s="27">
        <f>IFERROR(IF(A1793="","",VLOOKUP(A1793,DATABASE!$A:$B,2,0)),"")</f>
        <v/>
      </c>
      <c r="C1793" s="20">
        <f>IFERROR(IF(A1793="","",SUMIF(SAVINGS!$A$3:A1792,A1793,SAVINGS!$E$3:E1792)-SUMIF(WITHDRAWALS!$A:$A,A1793,WITHDRAWALS!$E:$E)),"")</f>
        <v/>
      </c>
      <c r="D1793" s="28">
        <f>IF(A1793="","",TODAY())</f>
        <v/>
      </c>
      <c r="E1793" s="29" t="n"/>
      <c r="F1793" s="20">
        <f>IFERROR(IF(OR(A1793="",E1793=""),"",C1793+E1793),"")</f>
        <v/>
      </c>
      <c r="G1793" s="30" t="n"/>
      <c r="H1793" s="27" t="n"/>
    </row>
    <row r="1794" ht="20" customHeight="1">
      <c r="A1794" s="26" t="n"/>
      <c r="B1794" s="31">
        <f>IFERROR(IF(A1794="","",VLOOKUP(A1794,DATABASE!$A:$B,2,0)),"")</f>
        <v/>
      </c>
      <c r="C1794" s="32">
        <f>IFERROR(IF(A1794="","",SUMIF(SAVINGS!$A$3:A1793,A1794,SAVINGS!$E$3:E1793)-SUMIF(WITHDRAWALS!$A:$A,A1794,WITHDRAWALS!$E:$E)),"")</f>
        <v/>
      </c>
      <c r="D1794" s="33">
        <f>IF(A1794="","",TODAY())</f>
        <v/>
      </c>
      <c r="E1794" s="29" t="n"/>
      <c r="F1794" s="32">
        <f>IFERROR(IF(OR(A1794="",E1794=""),"",C1794+E1794),"")</f>
        <v/>
      </c>
      <c r="G1794" s="30" t="n"/>
      <c r="H1794" s="31" t="n"/>
    </row>
    <row r="1795" ht="20" customHeight="1">
      <c r="A1795" s="26" t="n"/>
      <c r="B1795" s="27">
        <f>IFERROR(IF(A1795="","",VLOOKUP(A1795,DATABASE!$A:$B,2,0)),"")</f>
        <v/>
      </c>
      <c r="C1795" s="20">
        <f>IFERROR(IF(A1795="","",SUMIF(SAVINGS!$A$3:A1794,A1795,SAVINGS!$E$3:E1794)-SUMIF(WITHDRAWALS!$A:$A,A1795,WITHDRAWALS!$E:$E)),"")</f>
        <v/>
      </c>
      <c r="D1795" s="28">
        <f>IF(A1795="","",TODAY())</f>
        <v/>
      </c>
      <c r="E1795" s="29" t="n"/>
      <c r="F1795" s="20">
        <f>IFERROR(IF(OR(A1795="",E1795=""),"",C1795+E1795),"")</f>
        <v/>
      </c>
      <c r="G1795" s="30" t="n"/>
      <c r="H1795" s="27" t="n"/>
    </row>
    <row r="1796" ht="20" customHeight="1">
      <c r="A1796" s="26" t="n"/>
      <c r="B1796" s="31">
        <f>IFERROR(IF(A1796="","",VLOOKUP(A1796,DATABASE!$A:$B,2,0)),"")</f>
        <v/>
      </c>
      <c r="C1796" s="32">
        <f>IFERROR(IF(A1796="","",SUMIF(SAVINGS!$A$3:A1795,A1796,SAVINGS!$E$3:E1795)-SUMIF(WITHDRAWALS!$A:$A,A1796,WITHDRAWALS!$E:$E)),"")</f>
        <v/>
      </c>
      <c r="D1796" s="33">
        <f>IF(A1796="","",TODAY())</f>
        <v/>
      </c>
      <c r="E1796" s="29" t="n"/>
      <c r="F1796" s="32">
        <f>IFERROR(IF(OR(A1796="",E1796=""),"",C1796+E1796),"")</f>
        <v/>
      </c>
      <c r="G1796" s="30" t="n"/>
      <c r="H1796" s="31" t="n"/>
    </row>
    <row r="1797" ht="20" customHeight="1">
      <c r="A1797" s="26" t="n"/>
      <c r="B1797" s="27">
        <f>IFERROR(IF(A1797="","",VLOOKUP(A1797,DATABASE!$A:$B,2,0)),"")</f>
        <v/>
      </c>
      <c r="C1797" s="20">
        <f>IFERROR(IF(A1797="","",SUMIF(SAVINGS!$A$3:A1796,A1797,SAVINGS!$E$3:E1796)-SUMIF(WITHDRAWALS!$A:$A,A1797,WITHDRAWALS!$E:$E)),"")</f>
        <v/>
      </c>
      <c r="D1797" s="28">
        <f>IF(A1797="","",TODAY())</f>
        <v/>
      </c>
      <c r="E1797" s="29" t="n"/>
      <c r="F1797" s="20">
        <f>IFERROR(IF(OR(A1797="",E1797=""),"",C1797+E1797),"")</f>
        <v/>
      </c>
      <c r="G1797" s="30" t="n"/>
      <c r="H1797" s="27" t="n"/>
    </row>
    <row r="1798" ht="20" customHeight="1">
      <c r="A1798" s="26" t="n"/>
      <c r="B1798" s="31">
        <f>IFERROR(IF(A1798="","",VLOOKUP(A1798,DATABASE!$A:$B,2,0)),"")</f>
        <v/>
      </c>
      <c r="C1798" s="32">
        <f>IFERROR(IF(A1798="","",SUMIF(SAVINGS!$A$3:A1797,A1798,SAVINGS!$E$3:E1797)-SUMIF(WITHDRAWALS!$A:$A,A1798,WITHDRAWALS!$E:$E)),"")</f>
        <v/>
      </c>
      <c r="D1798" s="33">
        <f>IF(A1798="","",TODAY())</f>
        <v/>
      </c>
      <c r="E1798" s="29" t="n"/>
      <c r="F1798" s="32">
        <f>IFERROR(IF(OR(A1798="",E1798=""),"",C1798+E1798),"")</f>
        <v/>
      </c>
      <c r="G1798" s="30" t="n"/>
      <c r="H1798" s="31" t="n"/>
    </row>
    <row r="1799" ht="20" customHeight="1">
      <c r="A1799" s="26" t="n"/>
      <c r="B1799" s="27">
        <f>IFERROR(IF(A1799="","",VLOOKUP(A1799,DATABASE!$A:$B,2,0)),"")</f>
        <v/>
      </c>
      <c r="C1799" s="20">
        <f>IFERROR(IF(A1799="","",SUMIF(SAVINGS!$A$3:A1798,A1799,SAVINGS!$E$3:E1798)-SUMIF(WITHDRAWALS!$A:$A,A1799,WITHDRAWALS!$E:$E)),"")</f>
        <v/>
      </c>
      <c r="D1799" s="28">
        <f>IF(A1799="","",TODAY())</f>
        <v/>
      </c>
      <c r="E1799" s="29" t="n"/>
      <c r="F1799" s="20">
        <f>IFERROR(IF(OR(A1799="",E1799=""),"",C1799+E1799),"")</f>
        <v/>
      </c>
      <c r="G1799" s="30" t="n"/>
      <c r="H1799" s="27" t="n"/>
    </row>
    <row r="1800" ht="20" customHeight="1">
      <c r="A1800" s="26" t="n"/>
      <c r="B1800" s="31">
        <f>IFERROR(IF(A1800="","",VLOOKUP(A1800,DATABASE!$A:$B,2,0)),"")</f>
        <v/>
      </c>
      <c r="C1800" s="32">
        <f>IFERROR(IF(A1800="","",SUMIF(SAVINGS!$A$3:A1799,A1800,SAVINGS!$E$3:E1799)-SUMIF(WITHDRAWALS!$A:$A,A1800,WITHDRAWALS!$E:$E)),"")</f>
        <v/>
      </c>
      <c r="D1800" s="33">
        <f>IF(A1800="","",TODAY())</f>
        <v/>
      </c>
      <c r="E1800" s="29" t="n"/>
      <c r="F1800" s="32">
        <f>IFERROR(IF(OR(A1800="",E1800=""),"",C1800+E1800),"")</f>
        <v/>
      </c>
      <c r="G1800" s="30" t="n"/>
      <c r="H1800" s="31" t="n"/>
    </row>
    <row r="1801" ht="20" customHeight="1">
      <c r="A1801" s="26" t="n"/>
      <c r="B1801" s="27">
        <f>IFERROR(IF(A1801="","",VLOOKUP(A1801,DATABASE!$A:$B,2,0)),"")</f>
        <v/>
      </c>
      <c r="C1801" s="20">
        <f>IFERROR(IF(A1801="","",SUMIF(SAVINGS!$A$3:A1800,A1801,SAVINGS!$E$3:E1800)-SUMIF(WITHDRAWALS!$A:$A,A1801,WITHDRAWALS!$E:$E)),"")</f>
        <v/>
      </c>
      <c r="D1801" s="28">
        <f>IF(A1801="","",TODAY())</f>
        <v/>
      </c>
      <c r="E1801" s="29" t="n"/>
      <c r="F1801" s="20">
        <f>IFERROR(IF(OR(A1801="",E1801=""),"",C1801+E1801),"")</f>
        <v/>
      </c>
      <c r="G1801" s="30" t="n"/>
      <c r="H1801" s="27" t="n"/>
    </row>
    <row r="1802" ht="20" customHeight="1">
      <c r="A1802" s="26" t="n"/>
      <c r="B1802" s="31">
        <f>IFERROR(IF(A1802="","",VLOOKUP(A1802,DATABASE!$A:$B,2,0)),"")</f>
        <v/>
      </c>
      <c r="C1802" s="32">
        <f>IFERROR(IF(A1802="","",SUMIF(SAVINGS!$A$3:A1801,A1802,SAVINGS!$E$3:E1801)-SUMIF(WITHDRAWALS!$A:$A,A1802,WITHDRAWALS!$E:$E)),"")</f>
        <v/>
      </c>
      <c r="D1802" s="33">
        <f>IF(A1802="","",TODAY())</f>
        <v/>
      </c>
      <c r="E1802" s="29" t="n"/>
      <c r="F1802" s="32">
        <f>IFERROR(IF(OR(A1802="",E1802=""),"",C1802+E1802),"")</f>
        <v/>
      </c>
      <c r="G1802" s="30" t="n"/>
      <c r="H1802" s="31" t="n"/>
    </row>
    <row r="1803" ht="20" customHeight="1">
      <c r="A1803" s="26" t="n"/>
      <c r="B1803" s="27">
        <f>IFERROR(IF(A1803="","",VLOOKUP(A1803,DATABASE!$A:$B,2,0)),"")</f>
        <v/>
      </c>
      <c r="C1803" s="20">
        <f>IFERROR(IF(A1803="","",SUMIF(SAVINGS!$A$3:A1802,A1803,SAVINGS!$E$3:E1802)-SUMIF(WITHDRAWALS!$A:$A,A1803,WITHDRAWALS!$E:$E)),"")</f>
        <v/>
      </c>
      <c r="D1803" s="28">
        <f>IF(A1803="","",TODAY())</f>
        <v/>
      </c>
      <c r="E1803" s="29" t="n"/>
      <c r="F1803" s="20">
        <f>IFERROR(IF(OR(A1803="",E1803=""),"",C1803+E1803),"")</f>
        <v/>
      </c>
      <c r="G1803" s="30" t="n"/>
      <c r="H1803" s="27" t="n"/>
    </row>
    <row r="1804" ht="20" customHeight="1">
      <c r="A1804" s="26" t="n"/>
      <c r="B1804" s="31">
        <f>IFERROR(IF(A1804="","",VLOOKUP(A1804,DATABASE!$A:$B,2,0)),"")</f>
        <v/>
      </c>
      <c r="C1804" s="32">
        <f>IFERROR(IF(A1804="","",SUMIF(SAVINGS!$A$3:A1803,A1804,SAVINGS!$E$3:E1803)-SUMIF(WITHDRAWALS!$A:$A,A1804,WITHDRAWALS!$E:$E)),"")</f>
        <v/>
      </c>
      <c r="D1804" s="33">
        <f>IF(A1804="","",TODAY())</f>
        <v/>
      </c>
      <c r="E1804" s="29" t="n"/>
      <c r="F1804" s="32">
        <f>IFERROR(IF(OR(A1804="",E1804=""),"",C1804+E1804),"")</f>
        <v/>
      </c>
      <c r="G1804" s="30" t="n"/>
      <c r="H1804" s="31" t="n"/>
    </row>
    <row r="1805" ht="20" customHeight="1">
      <c r="A1805" s="26" t="n"/>
      <c r="B1805" s="27">
        <f>IFERROR(IF(A1805="","",VLOOKUP(A1805,DATABASE!$A:$B,2,0)),"")</f>
        <v/>
      </c>
      <c r="C1805" s="20">
        <f>IFERROR(IF(A1805="","",SUMIF(SAVINGS!$A$3:A1804,A1805,SAVINGS!$E$3:E1804)-SUMIF(WITHDRAWALS!$A:$A,A1805,WITHDRAWALS!$E:$E)),"")</f>
        <v/>
      </c>
      <c r="D1805" s="28">
        <f>IF(A1805="","",TODAY())</f>
        <v/>
      </c>
      <c r="E1805" s="29" t="n"/>
      <c r="F1805" s="20">
        <f>IFERROR(IF(OR(A1805="",E1805=""),"",C1805+E1805),"")</f>
        <v/>
      </c>
      <c r="G1805" s="30" t="n"/>
      <c r="H1805" s="27" t="n"/>
    </row>
    <row r="1806" ht="20" customHeight="1">
      <c r="A1806" s="26" t="n"/>
      <c r="B1806" s="31">
        <f>IFERROR(IF(A1806="","",VLOOKUP(A1806,DATABASE!$A:$B,2,0)),"")</f>
        <v/>
      </c>
      <c r="C1806" s="32">
        <f>IFERROR(IF(A1806="","",SUMIF(SAVINGS!$A$3:A1805,A1806,SAVINGS!$E$3:E1805)-SUMIF(WITHDRAWALS!$A:$A,A1806,WITHDRAWALS!$E:$E)),"")</f>
        <v/>
      </c>
      <c r="D1806" s="33">
        <f>IF(A1806="","",TODAY())</f>
        <v/>
      </c>
      <c r="E1806" s="29" t="n"/>
      <c r="F1806" s="32">
        <f>IFERROR(IF(OR(A1806="",E1806=""),"",C1806+E1806),"")</f>
        <v/>
      </c>
      <c r="G1806" s="30" t="n"/>
      <c r="H1806" s="31" t="n"/>
    </row>
    <row r="1807" ht="20" customHeight="1">
      <c r="A1807" s="26" t="n"/>
      <c r="B1807" s="27">
        <f>IFERROR(IF(A1807="","",VLOOKUP(A1807,DATABASE!$A:$B,2,0)),"")</f>
        <v/>
      </c>
      <c r="C1807" s="20">
        <f>IFERROR(IF(A1807="","",SUMIF(SAVINGS!$A$3:A1806,A1807,SAVINGS!$E$3:E1806)-SUMIF(WITHDRAWALS!$A:$A,A1807,WITHDRAWALS!$E:$E)),"")</f>
        <v/>
      </c>
      <c r="D1807" s="28">
        <f>IF(A1807="","",TODAY())</f>
        <v/>
      </c>
      <c r="E1807" s="29" t="n"/>
      <c r="F1807" s="20">
        <f>IFERROR(IF(OR(A1807="",E1807=""),"",C1807+E1807),"")</f>
        <v/>
      </c>
      <c r="G1807" s="30" t="n"/>
      <c r="H1807" s="27" t="n"/>
    </row>
    <row r="1808" ht="20" customHeight="1">
      <c r="A1808" s="26" t="n"/>
      <c r="B1808" s="31">
        <f>IFERROR(IF(A1808="","",VLOOKUP(A1808,DATABASE!$A:$B,2,0)),"")</f>
        <v/>
      </c>
      <c r="C1808" s="32">
        <f>IFERROR(IF(A1808="","",SUMIF(SAVINGS!$A$3:A1807,A1808,SAVINGS!$E$3:E1807)-SUMIF(WITHDRAWALS!$A:$A,A1808,WITHDRAWALS!$E:$E)),"")</f>
        <v/>
      </c>
      <c r="D1808" s="33">
        <f>IF(A1808="","",TODAY())</f>
        <v/>
      </c>
      <c r="E1808" s="29" t="n"/>
      <c r="F1808" s="32">
        <f>IFERROR(IF(OR(A1808="",E1808=""),"",C1808+E1808),"")</f>
        <v/>
      </c>
      <c r="G1808" s="30" t="n"/>
      <c r="H1808" s="31" t="n"/>
    </row>
    <row r="1809" ht="20" customHeight="1">
      <c r="A1809" s="26" t="n"/>
      <c r="B1809" s="27">
        <f>IFERROR(IF(A1809="","",VLOOKUP(A1809,DATABASE!$A:$B,2,0)),"")</f>
        <v/>
      </c>
      <c r="C1809" s="20">
        <f>IFERROR(IF(A1809="","",SUMIF(SAVINGS!$A$3:A1808,A1809,SAVINGS!$E$3:E1808)-SUMIF(WITHDRAWALS!$A:$A,A1809,WITHDRAWALS!$E:$E)),"")</f>
        <v/>
      </c>
      <c r="D1809" s="28">
        <f>IF(A1809="","",TODAY())</f>
        <v/>
      </c>
      <c r="E1809" s="29" t="n"/>
      <c r="F1809" s="20">
        <f>IFERROR(IF(OR(A1809="",E1809=""),"",C1809+E1809),"")</f>
        <v/>
      </c>
      <c r="G1809" s="30" t="n"/>
      <c r="H1809" s="27" t="n"/>
    </row>
    <row r="1810" ht="20" customHeight="1">
      <c r="A1810" s="26" t="n"/>
      <c r="B1810" s="31">
        <f>IFERROR(IF(A1810="","",VLOOKUP(A1810,DATABASE!$A:$B,2,0)),"")</f>
        <v/>
      </c>
      <c r="C1810" s="32">
        <f>IFERROR(IF(A1810="","",SUMIF(SAVINGS!$A$3:A1809,A1810,SAVINGS!$E$3:E1809)-SUMIF(WITHDRAWALS!$A:$A,A1810,WITHDRAWALS!$E:$E)),"")</f>
        <v/>
      </c>
      <c r="D1810" s="33">
        <f>IF(A1810="","",TODAY())</f>
        <v/>
      </c>
      <c r="E1810" s="29" t="n"/>
      <c r="F1810" s="32">
        <f>IFERROR(IF(OR(A1810="",E1810=""),"",C1810+E1810),"")</f>
        <v/>
      </c>
      <c r="G1810" s="30" t="n"/>
      <c r="H1810" s="31" t="n"/>
    </row>
    <row r="1811" ht="20" customHeight="1">
      <c r="A1811" s="26" t="n"/>
      <c r="B1811" s="27">
        <f>IFERROR(IF(A1811="","",VLOOKUP(A1811,DATABASE!$A:$B,2,0)),"")</f>
        <v/>
      </c>
      <c r="C1811" s="20">
        <f>IFERROR(IF(A1811="","",SUMIF(SAVINGS!$A$3:A1810,A1811,SAVINGS!$E$3:E1810)-SUMIF(WITHDRAWALS!$A:$A,A1811,WITHDRAWALS!$E:$E)),"")</f>
        <v/>
      </c>
      <c r="D1811" s="28">
        <f>IF(A1811="","",TODAY())</f>
        <v/>
      </c>
      <c r="E1811" s="29" t="n"/>
      <c r="F1811" s="20">
        <f>IFERROR(IF(OR(A1811="",E1811=""),"",C1811+E1811),"")</f>
        <v/>
      </c>
      <c r="G1811" s="30" t="n"/>
      <c r="H1811" s="27" t="n"/>
    </row>
    <row r="1812" ht="20" customHeight="1">
      <c r="A1812" s="26" t="n"/>
      <c r="B1812" s="31">
        <f>IFERROR(IF(A1812="","",VLOOKUP(A1812,DATABASE!$A:$B,2,0)),"")</f>
        <v/>
      </c>
      <c r="C1812" s="32">
        <f>IFERROR(IF(A1812="","",SUMIF(SAVINGS!$A$3:A1811,A1812,SAVINGS!$E$3:E1811)-SUMIF(WITHDRAWALS!$A:$A,A1812,WITHDRAWALS!$E:$E)),"")</f>
        <v/>
      </c>
      <c r="D1812" s="33">
        <f>IF(A1812="","",TODAY())</f>
        <v/>
      </c>
      <c r="E1812" s="29" t="n"/>
      <c r="F1812" s="32">
        <f>IFERROR(IF(OR(A1812="",E1812=""),"",C1812+E1812),"")</f>
        <v/>
      </c>
      <c r="G1812" s="30" t="n"/>
      <c r="H1812" s="31" t="n"/>
    </row>
    <row r="1813" ht="20" customHeight="1">
      <c r="A1813" s="26" t="n"/>
      <c r="B1813" s="27">
        <f>IFERROR(IF(A1813="","",VLOOKUP(A1813,DATABASE!$A:$B,2,0)),"")</f>
        <v/>
      </c>
      <c r="C1813" s="20">
        <f>IFERROR(IF(A1813="","",SUMIF(SAVINGS!$A$3:A1812,A1813,SAVINGS!$E$3:E1812)-SUMIF(WITHDRAWALS!$A:$A,A1813,WITHDRAWALS!$E:$E)),"")</f>
        <v/>
      </c>
      <c r="D1813" s="28">
        <f>IF(A1813="","",TODAY())</f>
        <v/>
      </c>
      <c r="E1813" s="29" t="n"/>
      <c r="F1813" s="20">
        <f>IFERROR(IF(OR(A1813="",E1813=""),"",C1813+E1813),"")</f>
        <v/>
      </c>
      <c r="G1813" s="30" t="n"/>
      <c r="H1813" s="27" t="n"/>
    </row>
    <row r="1814" ht="20" customHeight="1">
      <c r="A1814" s="26" t="n"/>
      <c r="B1814" s="31">
        <f>IFERROR(IF(A1814="","",VLOOKUP(A1814,DATABASE!$A:$B,2,0)),"")</f>
        <v/>
      </c>
      <c r="C1814" s="32">
        <f>IFERROR(IF(A1814="","",SUMIF(SAVINGS!$A$3:A1813,A1814,SAVINGS!$E$3:E1813)-SUMIF(WITHDRAWALS!$A:$A,A1814,WITHDRAWALS!$E:$E)),"")</f>
        <v/>
      </c>
      <c r="D1814" s="33">
        <f>IF(A1814="","",TODAY())</f>
        <v/>
      </c>
      <c r="E1814" s="29" t="n"/>
      <c r="F1814" s="32">
        <f>IFERROR(IF(OR(A1814="",E1814=""),"",C1814+E1814),"")</f>
        <v/>
      </c>
      <c r="G1814" s="30" t="n"/>
      <c r="H1814" s="31" t="n"/>
    </row>
    <row r="1815" ht="20" customHeight="1">
      <c r="A1815" s="26" t="n"/>
      <c r="B1815" s="27">
        <f>IFERROR(IF(A1815="","",VLOOKUP(A1815,DATABASE!$A:$B,2,0)),"")</f>
        <v/>
      </c>
      <c r="C1815" s="20">
        <f>IFERROR(IF(A1815="","",SUMIF(SAVINGS!$A$3:A1814,A1815,SAVINGS!$E$3:E1814)-SUMIF(WITHDRAWALS!$A:$A,A1815,WITHDRAWALS!$E:$E)),"")</f>
        <v/>
      </c>
      <c r="D1815" s="28">
        <f>IF(A1815="","",TODAY())</f>
        <v/>
      </c>
      <c r="E1815" s="29" t="n"/>
      <c r="F1815" s="20">
        <f>IFERROR(IF(OR(A1815="",E1815=""),"",C1815+E1815),"")</f>
        <v/>
      </c>
      <c r="G1815" s="30" t="n"/>
      <c r="H1815" s="27" t="n"/>
    </row>
    <row r="1816" ht="20" customHeight="1">
      <c r="A1816" s="26" t="n"/>
      <c r="B1816" s="31">
        <f>IFERROR(IF(A1816="","",VLOOKUP(A1816,DATABASE!$A:$B,2,0)),"")</f>
        <v/>
      </c>
      <c r="C1816" s="32">
        <f>IFERROR(IF(A1816="","",SUMIF(SAVINGS!$A$3:A1815,A1816,SAVINGS!$E$3:E1815)-SUMIF(WITHDRAWALS!$A:$A,A1816,WITHDRAWALS!$E:$E)),"")</f>
        <v/>
      </c>
      <c r="D1816" s="33">
        <f>IF(A1816="","",TODAY())</f>
        <v/>
      </c>
      <c r="E1816" s="29" t="n"/>
      <c r="F1816" s="32">
        <f>IFERROR(IF(OR(A1816="",E1816=""),"",C1816+E1816),"")</f>
        <v/>
      </c>
      <c r="G1816" s="30" t="n"/>
      <c r="H1816" s="31" t="n"/>
    </row>
    <row r="1817" ht="20" customHeight="1">
      <c r="A1817" s="26" t="n"/>
      <c r="B1817" s="27">
        <f>IFERROR(IF(A1817="","",VLOOKUP(A1817,DATABASE!$A:$B,2,0)),"")</f>
        <v/>
      </c>
      <c r="C1817" s="20">
        <f>IFERROR(IF(A1817="","",SUMIF(SAVINGS!$A$3:A1816,A1817,SAVINGS!$E$3:E1816)-SUMIF(WITHDRAWALS!$A:$A,A1817,WITHDRAWALS!$E:$E)),"")</f>
        <v/>
      </c>
      <c r="D1817" s="28">
        <f>IF(A1817="","",TODAY())</f>
        <v/>
      </c>
      <c r="E1817" s="29" t="n"/>
      <c r="F1817" s="20">
        <f>IFERROR(IF(OR(A1817="",E1817=""),"",C1817+E1817),"")</f>
        <v/>
      </c>
      <c r="G1817" s="30" t="n"/>
      <c r="H1817" s="27" t="n"/>
    </row>
    <row r="1818" ht="20" customHeight="1">
      <c r="A1818" s="26" t="n"/>
      <c r="B1818" s="31">
        <f>IFERROR(IF(A1818="","",VLOOKUP(A1818,DATABASE!$A:$B,2,0)),"")</f>
        <v/>
      </c>
      <c r="C1818" s="32">
        <f>IFERROR(IF(A1818="","",SUMIF(SAVINGS!$A$3:A1817,A1818,SAVINGS!$E$3:E1817)-SUMIF(WITHDRAWALS!$A:$A,A1818,WITHDRAWALS!$E:$E)),"")</f>
        <v/>
      </c>
      <c r="D1818" s="33">
        <f>IF(A1818="","",TODAY())</f>
        <v/>
      </c>
      <c r="E1818" s="29" t="n"/>
      <c r="F1818" s="32">
        <f>IFERROR(IF(OR(A1818="",E1818=""),"",C1818+E1818),"")</f>
        <v/>
      </c>
      <c r="G1818" s="30" t="n"/>
      <c r="H1818" s="31" t="n"/>
    </row>
    <row r="1819" ht="20" customHeight="1">
      <c r="A1819" s="26" t="n"/>
      <c r="B1819" s="27">
        <f>IFERROR(IF(A1819="","",VLOOKUP(A1819,DATABASE!$A:$B,2,0)),"")</f>
        <v/>
      </c>
      <c r="C1819" s="20">
        <f>IFERROR(IF(A1819="","",SUMIF(SAVINGS!$A$3:A1818,A1819,SAVINGS!$E$3:E1818)-SUMIF(WITHDRAWALS!$A:$A,A1819,WITHDRAWALS!$E:$E)),"")</f>
        <v/>
      </c>
      <c r="D1819" s="28">
        <f>IF(A1819="","",TODAY())</f>
        <v/>
      </c>
      <c r="E1819" s="29" t="n"/>
      <c r="F1819" s="20">
        <f>IFERROR(IF(OR(A1819="",E1819=""),"",C1819+E1819),"")</f>
        <v/>
      </c>
      <c r="G1819" s="30" t="n"/>
      <c r="H1819" s="27" t="n"/>
    </row>
    <row r="1820" ht="20" customHeight="1">
      <c r="A1820" s="26" t="n"/>
      <c r="B1820" s="31">
        <f>IFERROR(IF(A1820="","",VLOOKUP(A1820,DATABASE!$A:$B,2,0)),"")</f>
        <v/>
      </c>
      <c r="C1820" s="32">
        <f>IFERROR(IF(A1820="","",SUMIF(SAVINGS!$A$3:A1819,A1820,SAVINGS!$E$3:E1819)-SUMIF(WITHDRAWALS!$A:$A,A1820,WITHDRAWALS!$E:$E)),"")</f>
        <v/>
      </c>
      <c r="D1820" s="33">
        <f>IF(A1820="","",TODAY())</f>
        <v/>
      </c>
      <c r="E1820" s="29" t="n"/>
      <c r="F1820" s="32">
        <f>IFERROR(IF(OR(A1820="",E1820=""),"",C1820+E1820),"")</f>
        <v/>
      </c>
      <c r="G1820" s="30" t="n"/>
      <c r="H1820" s="31" t="n"/>
    </row>
    <row r="1821" ht="20" customHeight="1">
      <c r="A1821" s="26" t="n"/>
      <c r="B1821" s="27">
        <f>IFERROR(IF(A1821="","",VLOOKUP(A1821,DATABASE!$A:$B,2,0)),"")</f>
        <v/>
      </c>
      <c r="C1821" s="20">
        <f>IFERROR(IF(A1821="","",SUMIF(SAVINGS!$A$3:A1820,A1821,SAVINGS!$E$3:E1820)-SUMIF(WITHDRAWALS!$A:$A,A1821,WITHDRAWALS!$E:$E)),"")</f>
        <v/>
      </c>
      <c r="D1821" s="28">
        <f>IF(A1821="","",TODAY())</f>
        <v/>
      </c>
      <c r="E1821" s="29" t="n"/>
      <c r="F1821" s="20">
        <f>IFERROR(IF(OR(A1821="",E1821=""),"",C1821+E1821),"")</f>
        <v/>
      </c>
      <c r="G1821" s="30" t="n"/>
      <c r="H1821" s="27" t="n"/>
    </row>
    <row r="1822" ht="20" customHeight="1">
      <c r="A1822" s="26" t="n"/>
      <c r="B1822" s="31">
        <f>IFERROR(IF(A1822="","",VLOOKUP(A1822,DATABASE!$A:$B,2,0)),"")</f>
        <v/>
      </c>
      <c r="C1822" s="32">
        <f>IFERROR(IF(A1822="","",SUMIF(SAVINGS!$A$3:A1821,A1822,SAVINGS!$E$3:E1821)-SUMIF(WITHDRAWALS!$A:$A,A1822,WITHDRAWALS!$E:$E)),"")</f>
        <v/>
      </c>
      <c r="D1822" s="33">
        <f>IF(A1822="","",TODAY())</f>
        <v/>
      </c>
      <c r="E1822" s="29" t="n"/>
      <c r="F1822" s="32">
        <f>IFERROR(IF(OR(A1822="",E1822=""),"",C1822+E1822),"")</f>
        <v/>
      </c>
      <c r="G1822" s="30" t="n"/>
      <c r="H1822" s="31" t="n"/>
    </row>
    <row r="1823" ht="20" customHeight="1">
      <c r="A1823" s="26" t="n"/>
      <c r="B1823" s="27">
        <f>IFERROR(IF(A1823="","",VLOOKUP(A1823,DATABASE!$A:$B,2,0)),"")</f>
        <v/>
      </c>
      <c r="C1823" s="20">
        <f>IFERROR(IF(A1823="","",SUMIF(SAVINGS!$A$3:A1822,A1823,SAVINGS!$E$3:E1822)-SUMIF(WITHDRAWALS!$A:$A,A1823,WITHDRAWALS!$E:$E)),"")</f>
        <v/>
      </c>
      <c r="D1823" s="28">
        <f>IF(A1823="","",TODAY())</f>
        <v/>
      </c>
      <c r="E1823" s="29" t="n"/>
      <c r="F1823" s="20">
        <f>IFERROR(IF(OR(A1823="",E1823=""),"",C1823+E1823),"")</f>
        <v/>
      </c>
      <c r="G1823" s="30" t="n"/>
      <c r="H1823" s="27" t="n"/>
    </row>
    <row r="1824" ht="20" customHeight="1">
      <c r="A1824" s="26" t="n"/>
      <c r="B1824" s="31">
        <f>IFERROR(IF(A1824="","",VLOOKUP(A1824,DATABASE!$A:$B,2,0)),"")</f>
        <v/>
      </c>
      <c r="C1824" s="32">
        <f>IFERROR(IF(A1824="","",SUMIF(SAVINGS!$A$3:A1823,A1824,SAVINGS!$E$3:E1823)-SUMIF(WITHDRAWALS!$A:$A,A1824,WITHDRAWALS!$E:$E)),"")</f>
        <v/>
      </c>
      <c r="D1824" s="33">
        <f>IF(A1824="","",TODAY())</f>
        <v/>
      </c>
      <c r="E1824" s="29" t="n"/>
      <c r="F1824" s="32">
        <f>IFERROR(IF(OR(A1824="",E1824=""),"",C1824+E1824),"")</f>
        <v/>
      </c>
      <c r="G1824" s="30" t="n"/>
      <c r="H1824" s="31" t="n"/>
    </row>
    <row r="1825" ht="20" customHeight="1">
      <c r="A1825" s="26" t="n"/>
      <c r="B1825" s="27">
        <f>IFERROR(IF(A1825="","",VLOOKUP(A1825,DATABASE!$A:$B,2,0)),"")</f>
        <v/>
      </c>
      <c r="C1825" s="20">
        <f>IFERROR(IF(A1825="","",SUMIF(SAVINGS!$A$3:A1824,A1825,SAVINGS!$E$3:E1824)-SUMIF(WITHDRAWALS!$A:$A,A1825,WITHDRAWALS!$E:$E)),"")</f>
        <v/>
      </c>
      <c r="D1825" s="28">
        <f>IF(A1825="","",TODAY())</f>
        <v/>
      </c>
      <c r="E1825" s="29" t="n"/>
      <c r="F1825" s="20">
        <f>IFERROR(IF(OR(A1825="",E1825=""),"",C1825+E1825),"")</f>
        <v/>
      </c>
      <c r="G1825" s="30" t="n"/>
      <c r="H1825" s="27" t="n"/>
    </row>
    <row r="1826" ht="20" customHeight="1">
      <c r="A1826" s="26" t="n"/>
      <c r="B1826" s="31">
        <f>IFERROR(IF(A1826="","",VLOOKUP(A1826,DATABASE!$A:$B,2,0)),"")</f>
        <v/>
      </c>
      <c r="C1826" s="32">
        <f>IFERROR(IF(A1826="","",SUMIF(SAVINGS!$A$3:A1825,A1826,SAVINGS!$E$3:E1825)-SUMIF(WITHDRAWALS!$A:$A,A1826,WITHDRAWALS!$E:$E)),"")</f>
        <v/>
      </c>
      <c r="D1826" s="33">
        <f>IF(A1826="","",TODAY())</f>
        <v/>
      </c>
      <c r="E1826" s="29" t="n"/>
      <c r="F1826" s="32">
        <f>IFERROR(IF(OR(A1826="",E1826=""),"",C1826+E1826),"")</f>
        <v/>
      </c>
      <c r="G1826" s="30" t="n"/>
      <c r="H1826" s="31" t="n"/>
    </row>
    <row r="1827" ht="20" customHeight="1">
      <c r="A1827" s="26" t="n"/>
      <c r="B1827" s="27">
        <f>IFERROR(IF(A1827="","",VLOOKUP(A1827,DATABASE!$A:$B,2,0)),"")</f>
        <v/>
      </c>
      <c r="C1827" s="20">
        <f>IFERROR(IF(A1827="","",SUMIF(SAVINGS!$A$3:A1826,A1827,SAVINGS!$E$3:E1826)-SUMIF(WITHDRAWALS!$A:$A,A1827,WITHDRAWALS!$E:$E)),"")</f>
        <v/>
      </c>
      <c r="D1827" s="28">
        <f>IF(A1827="","",TODAY())</f>
        <v/>
      </c>
      <c r="E1827" s="29" t="n"/>
      <c r="F1827" s="20">
        <f>IFERROR(IF(OR(A1827="",E1827=""),"",C1827+E1827),"")</f>
        <v/>
      </c>
      <c r="G1827" s="30" t="n"/>
      <c r="H1827" s="27" t="n"/>
    </row>
    <row r="1828" ht="20" customHeight="1">
      <c r="A1828" s="26" t="n"/>
      <c r="B1828" s="31">
        <f>IFERROR(IF(A1828="","",VLOOKUP(A1828,DATABASE!$A:$B,2,0)),"")</f>
        <v/>
      </c>
      <c r="C1828" s="32">
        <f>IFERROR(IF(A1828="","",SUMIF(SAVINGS!$A$3:A1827,A1828,SAVINGS!$E$3:E1827)-SUMIF(WITHDRAWALS!$A:$A,A1828,WITHDRAWALS!$E:$E)),"")</f>
        <v/>
      </c>
      <c r="D1828" s="33">
        <f>IF(A1828="","",TODAY())</f>
        <v/>
      </c>
      <c r="E1828" s="29" t="n"/>
      <c r="F1828" s="32">
        <f>IFERROR(IF(OR(A1828="",E1828=""),"",C1828+E1828),"")</f>
        <v/>
      </c>
      <c r="G1828" s="30" t="n"/>
      <c r="H1828" s="31" t="n"/>
    </row>
    <row r="1829" ht="20" customHeight="1">
      <c r="A1829" s="26" t="n"/>
      <c r="B1829" s="27">
        <f>IFERROR(IF(A1829="","",VLOOKUP(A1829,DATABASE!$A:$B,2,0)),"")</f>
        <v/>
      </c>
      <c r="C1829" s="20">
        <f>IFERROR(IF(A1829="","",SUMIF(SAVINGS!$A$3:A1828,A1829,SAVINGS!$E$3:E1828)-SUMIF(WITHDRAWALS!$A:$A,A1829,WITHDRAWALS!$E:$E)),"")</f>
        <v/>
      </c>
      <c r="D1829" s="28">
        <f>IF(A1829="","",TODAY())</f>
        <v/>
      </c>
      <c r="E1829" s="29" t="n"/>
      <c r="F1829" s="20">
        <f>IFERROR(IF(OR(A1829="",E1829=""),"",C1829+E1829),"")</f>
        <v/>
      </c>
      <c r="G1829" s="30" t="n"/>
      <c r="H1829" s="27" t="n"/>
    </row>
    <row r="1830" ht="20" customHeight="1">
      <c r="A1830" s="26" t="n"/>
      <c r="B1830" s="31">
        <f>IFERROR(IF(A1830="","",VLOOKUP(A1830,DATABASE!$A:$B,2,0)),"")</f>
        <v/>
      </c>
      <c r="C1830" s="32">
        <f>IFERROR(IF(A1830="","",SUMIF(SAVINGS!$A$3:A1829,A1830,SAVINGS!$E$3:E1829)-SUMIF(WITHDRAWALS!$A:$A,A1830,WITHDRAWALS!$E:$E)),"")</f>
        <v/>
      </c>
      <c r="D1830" s="33">
        <f>IF(A1830="","",TODAY())</f>
        <v/>
      </c>
      <c r="E1830" s="29" t="n"/>
      <c r="F1830" s="32">
        <f>IFERROR(IF(OR(A1830="",E1830=""),"",C1830+E1830),"")</f>
        <v/>
      </c>
      <c r="G1830" s="30" t="n"/>
      <c r="H1830" s="31" t="n"/>
    </row>
    <row r="1831" ht="20" customHeight="1">
      <c r="A1831" s="26" t="n"/>
      <c r="B1831" s="27">
        <f>IFERROR(IF(A1831="","",VLOOKUP(A1831,DATABASE!$A:$B,2,0)),"")</f>
        <v/>
      </c>
      <c r="C1831" s="20">
        <f>IFERROR(IF(A1831="","",SUMIF(SAVINGS!$A$3:A1830,A1831,SAVINGS!$E$3:E1830)-SUMIF(WITHDRAWALS!$A:$A,A1831,WITHDRAWALS!$E:$E)),"")</f>
        <v/>
      </c>
      <c r="D1831" s="28">
        <f>IF(A1831="","",TODAY())</f>
        <v/>
      </c>
      <c r="E1831" s="29" t="n"/>
      <c r="F1831" s="20">
        <f>IFERROR(IF(OR(A1831="",E1831=""),"",C1831+E1831),"")</f>
        <v/>
      </c>
      <c r="G1831" s="30" t="n"/>
      <c r="H1831" s="27" t="n"/>
    </row>
    <row r="1832" ht="20" customHeight="1">
      <c r="A1832" s="26" t="n"/>
      <c r="B1832" s="31">
        <f>IFERROR(IF(A1832="","",VLOOKUP(A1832,DATABASE!$A:$B,2,0)),"")</f>
        <v/>
      </c>
      <c r="C1832" s="32">
        <f>IFERROR(IF(A1832="","",SUMIF(SAVINGS!$A$3:A1831,A1832,SAVINGS!$E$3:E1831)-SUMIF(WITHDRAWALS!$A:$A,A1832,WITHDRAWALS!$E:$E)),"")</f>
        <v/>
      </c>
      <c r="D1832" s="33">
        <f>IF(A1832="","",TODAY())</f>
        <v/>
      </c>
      <c r="E1832" s="29" t="n"/>
      <c r="F1832" s="32">
        <f>IFERROR(IF(OR(A1832="",E1832=""),"",C1832+E1832),"")</f>
        <v/>
      </c>
      <c r="G1832" s="30" t="n"/>
      <c r="H1832" s="31" t="n"/>
    </row>
    <row r="1833" ht="20" customHeight="1">
      <c r="A1833" s="26" t="n"/>
      <c r="B1833" s="27">
        <f>IFERROR(IF(A1833="","",VLOOKUP(A1833,DATABASE!$A:$B,2,0)),"")</f>
        <v/>
      </c>
      <c r="C1833" s="20">
        <f>IFERROR(IF(A1833="","",SUMIF(SAVINGS!$A$3:A1832,A1833,SAVINGS!$E$3:E1832)-SUMIF(WITHDRAWALS!$A:$A,A1833,WITHDRAWALS!$E:$E)),"")</f>
        <v/>
      </c>
      <c r="D1833" s="28">
        <f>IF(A1833="","",TODAY())</f>
        <v/>
      </c>
      <c r="E1833" s="29" t="n"/>
      <c r="F1833" s="20">
        <f>IFERROR(IF(OR(A1833="",E1833=""),"",C1833+E1833),"")</f>
        <v/>
      </c>
      <c r="G1833" s="30" t="n"/>
      <c r="H1833" s="27" t="n"/>
    </row>
    <row r="1834" ht="20" customHeight="1">
      <c r="A1834" s="26" t="n"/>
      <c r="B1834" s="31">
        <f>IFERROR(IF(A1834="","",VLOOKUP(A1834,DATABASE!$A:$B,2,0)),"")</f>
        <v/>
      </c>
      <c r="C1834" s="32">
        <f>IFERROR(IF(A1834="","",SUMIF(SAVINGS!$A$3:A1833,A1834,SAVINGS!$E$3:E1833)-SUMIF(WITHDRAWALS!$A:$A,A1834,WITHDRAWALS!$E:$E)),"")</f>
        <v/>
      </c>
      <c r="D1834" s="33">
        <f>IF(A1834="","",TODAY())</f>
        <v/>
      </c>
      <c r="E1834" s="29" t="n"/>
      <c r="F1834" s="32">
        <f>IFERROR(IF(OR(A1834="",E1834=""),"",C1834+E1834),"")</f>
        <v/>
      </c>
      <c r="G1834" s="30" t="n"/>
      <c r="H1834" s="31" t="n"/>
    </row>
    <row r="1835" ht="20" customHeight="1">
      <c r="A1835" s="26" t="n"/>
      <c r="B1835" s="27">
        <f>IFERROR(IF(A1835="","",VLOOKUP(A1835,DATABASE!$A:$B,2,0)),"")</f>
        <v/>
      </c>
      <c r="C1835" s="20">
        <f>IFERROR(IF(A1835="","",SUMIF(SAVINGS!$A$3:A1834,A1835,SAVINGS!$E$3:E1834)-SUMIF(WITHDRAWALS!$A:$A,A1835,WITHDRAWALS!$E:$E)),"")</f>
        <v/>
      </c>
      <c r="D1835" s="28">
        <f>IF(A1835="","",TODAY())</f>
        <v/>
      </c>
      <c r="E1835" s="29" t="n"/>
      <c r="F1835" s="20">
        <f>IFERROR(IF(OR(A1835="",E1835=""),"",C1835+E1835),"")</f>
        <v/>
      </c>
      <c r="G1835" s="30" t="n"/>
      <c r="H1835" s="27" t="n"/>
    </row>
    <row r="1836" ht="20" customHeight="1">
      <c r="A1836" s="26" t="n"/>
      <c r="B1836" s="31">
        <f>IFERROR(IF(A1836="","",VLOOKUP(A1836,DATABASE!$A:$B,2,0)),"")</f>
        <v/>
      </c>
      <c r="C1836" s="32">
        <f>IFERROR(IF(A1836="","",SUMIF(SAVINGS!$A$3:A1835,A1836,SAVINGS!$E$3:E1835)-SUMIF(WITHDRAWALS!$A:$A,A1836,WITHDRAWALS!$E:$E)),"")</f>
        <v/>
      </c>
      <c r="D1836" s="33">
        <f>IF(A1836="","",TODAY())</f>
        <v/>
      </c>
      <c r="E1836" s="29" t="n"/>
      <c r="F1836" s="32">
        <f>IFERROR(IF(OR(A1836="",E1836=""),"",C1836+E1836),"")</f>
        <v/>
      </c>
      <c r="G1836" s="30" t="n"/>
      <c r="H1836" s="31" t="n"/>
    </row>
    <row r="1837" ht="20" customHeight="1">
      <c r="A1837" s="26" t="n"/>
      <c r="B1837" s="27">
        <f>IFERROR(IF(A1837="","",VLOOKUP(A1837,DATABASE!$A:$B,2,0)),"")</f>
        <v/>
      </c>
      <c r="C1837" s="20">
        <f>IFERROR(IF(A1837="","",SUMIF(SAVINGS!$A$3:A1836,A1837,SAVINGS!$E$3:E1836)-SUMIF(WITHDRAWALS!$A:$A,A1837,WITHDRAWALS!$E:$E)),"")</f>
        <v/>
      </c>
      <c r="D1837" s="28">
        <f>IF(A1837="","",TODAY())</f>
        <v/>
      </c>
      <c r="E1837" s="29" t="n"/>
      <c r="F1837" s="20">
        <f>IFERROR(IF(OR(A1837="",E1837=""),"",C1837+E1837),"")</f>
        <v/>
      </c>
      <c r="G1837" s="30" t="n"/>
      <c r="H1837" s="27" t="n"/>
    </row>
    <row r="1838" ht="20" customHeight="1">
      <c r="A1838" s="26" t="n"/>
      <c r="B1838" s="31">
        <f>IFERROR(IF(A1838="","",VLOOKUP(A1838,DATABASE!$A:$B,2,0)),"")</f>
        <v/>
      </c>
      <c r="C1838" s="32">
        <f>IFERROR(IF(A1838="","",SUMIF(SAVINGS!$A$3:A1837,A1838,SAVINGS!$E$3:E1837)-SUMIF(WITHDRAWALS!$A:$A,A1838,WITHDRAWALS!$E:$E)),"")</f>
        <v/>
      </c>
      <c r="D1838" s="33">
        <f>IF(A1838="","",TODAY())</f>
        <v/>
      </c>
      <c r="E1838" s="29" t="n"/>
      <c r="F1838" s="32">
        <f>IFERROR(IF(OR(A1838="",E1838=""),"",C1838+E1838),"")</f>
        <v/>
      </c>
      <c r="G1838" s="30" t="n"/>
      <c r="H1838" s="31" t="n"/>
    </row>
    <row r="1839" ht="20" customHeight="1">
      <c r="A1839" s="26" t="n"/>
      <c r="B1839" s="27">
        <f>IFERROR(IF(A1839="","",VLOOKUP(A1839,DATABASE!$A:$B,2,0)),"")</f>
        <v/>
      </c>
      <c r="C1839" s="20">
        <f>IFERROR(IF(A1839="","",SUMIF(SAVINGS!$A$3:A1838,A1839,SAVINGS!$E$3:E1838)-SUMIF(WITHDRAWALS!$A:$A,A1839,WITHDRAWALS!$E:$E)),"")</f>
        <v/>
      </c>
      <c r="D1839" s="28">
        <f>IF(A1839="","",TODAY())</f>
        <v/>
      </c>
      <c r="E1839" s="29" t="n"/>
      <c r="F1839" s="20">
        <f>IFERROR(IF(OR(A1839="",E1839=""),"",C1839+E1839),"")</f>
        <v/>
      </c>
      <c r="G1839" s="30" t="n"/>
      <c r="H1839" s="27" t="n"/>
    </row>
    <row r="1840" ht="20" customHeight="1">
      <c r="A1840" s="26" t="n"/>
      <c r="B1840" s="31">
        <f>IFERROR(IF(A1840="","",VLOOKUP(A1840,DATABASE!$A:$B,2,0)),"")</f>
        <v/>
      </c>
      <c r="C1840" s="32">
        <f>IFERROR(IF(A1840="","",SUMIF(SAVINGS!$A$3:A1839,A1840,SAVINGS!$E$3:E1839)-SUMIF(WITHDRAWALS!$A:$A,A1840,WITHDRAWALS!$E:$E)),"")</f>
        <v/>
      </c>
      <c r="D1840" s="33">
        <f>IF(A1840="","",TODAY())</f>
        <v/>
      </c>
      <c r="E1840" s="29" t="n"/>
      <c r="F1840" s="32">
        <f>IFERROR(IF(OR(A1840="",E1840=""),"",C1840+E1840),"")</f>
        <v/>
      </c>
      <c r="G1840" s="30" t="n"/>
      <c r="H1840" s="31" t="n"/>
    </row>
    <row r="1841" ht="20" customHeight="1">
      <c r="A1841" s="26" t="n"/>
      <c r="B1841" s="27">
        <f>IFERROR(IF(A1841="","",VLOOKUP(A1841,DATABASE!$A:$B,2,0)),"")</f>
        <v/>
      </c>
      <c r="C1841" s="20">
        <f>IFERROR(IF(A1841="","",SUMIF(SAVINGS!$A$3:A1840,A1841,SAVINGS!$E$3:E1840)-SUMIF(WITHDRAWALS!$A:$A,A1841,WITHDRAWALS!$E:$E)),"")</f>
        <v/>
      </c>
      <c r="D1841" s="28">
        <f>IF(A1841="","",TODAY())</f>
        <v/>
      </c>
      <c r="E1841" s="29" t="n"/>
      <c r="F1841" s="20">
        <f>IFERROR(IF(OR(A1841="",E1841=""),"",C1841+E1841),"")</f>
        <v/>
      </c>
      <c r="G1841" s="30" t="n"/>
      <c r="H1841" s="27" t="n"/>
    </row>
    <row r="1842" ht="20" customHeight="1">
      <c r="A1842" s="26" t="n"/>
      <c r="B1842" s="31">
        <f>IFERROR(IF(A1842="","",VLOOKUP(A1842,DATABASE!$A:$B,2,0)),"")</f>
        <v/>
      </c>
      <c r="C1842" s="32">
        <f>IFERROR(IF(A1842="","",SUMIF(SAVINGS!$A$3:A1841,A1842,SAVINGS!$E$3:E1841)-SUMIF(WITHDRAWALS!$A:$A,A1842,WITHDRAWALS!$E:$E)),"")</f>
        <v/>
      </c>
      <c r="D1842" s="33">
        <f>IF(A1842="","",TODAY())</f>
        <v/>
      </c>
      <c r="E1842" s="29" t="n"/>
      <c r="F1842" s="32">
        <f>IFERROR(IF(OR(A1842="",E1842=""),"",C1842+E1842),"")</f>
        <v/>
      </c>
      <c r="G1842" s="30" t="n"/>
      <c r="H1842" s="31" t="n"/>
    </row>
    <row r="1843" ht="20" customHeight="1">
      <c r="A1843" s="26" t="n"/>
      <c r="B1843" s="27">
        <f>IFERROR(IF(A1843="","",VLOOKUP(A1843,DATABASE!$A:$B,2,0)),"")</f>
        <v/>
      </c>
      <c r="C1843" s="20">
        <f>IFERROR(IF(A1843="","",SUMIF(SAVINGS!$A$3:A1842,A1843,SAVINGS!$E$3:E1842)-SUMIF(WITHDRAWALS!$A:$A,A1843,WITHDRAWALS!$E:$E)),"")</f>
        <v/>
      </c>
      <c r="D1843" s="28">
        <f>IF(A1843="","",TODAY())</f>
        <v/>
      </c>
      <c r="E1843" s="29" t="n"/>
      <c r="F1843" s="20">
        <f>IFERROR(IF(OR(A1843="",E1843=""),"",C1843+E1843),"")</f>
        <v/>
      </c>
      <c r="G1843" s="30" t="n"/>
      <c r="H1843" s="27" t="n"/>
    </row>
    <row r="1844" ht="20" customHeight="1">
      <c r="A1844" s="26" t="n"/>
      <c r="B1844" s="31">
        <f>IFERROR(IF(A1844="","",VLOOKUP(A1844,DATABASE!$A:$B,2,0)),"")</f>
        <v/>
      </c>
      <c r="C1844" s="32">
        <f>IFERROR(IF(A1844="","",SUMIF(SAVINGS!$A$3:A1843,A1844,SAVINGS!$E$3:E1843)-SUMIF(WITHDRAWALS!$A:$A,A1844,WITHDRAWALS!$E:$E)),"")</f>
        <v/>
      </c>
      <c r="D1844" s="33">
        <f>IF(A1844="","",TODAY())</f>
        <v/>
      </c>
      <c r="E1844" s="29" t="n"/>
      <c r="F1844" s="32">
        <f>IFERROR(IF(OR(A1844="",E1844=""),"",C1844+E1844),"")</f>
        <v/>
      </c>
      <c r="G1844" s="30" t="n"/>
      <c r="H1844" s="31" t="n"/>
    </row>
    <row r="1845" ht="20" customHeight="1">
      <c r="A1845" s="26" t="n"/>
      <c r="B1845" s="27">
        <f>IFERROR(IF(A1845="","",VLOOKUP(A1845,DATABASE!$A:$B,2,0)),"")</f>
        <v/>
      </c>
      <c r="C1845" s="20">
        <f>IFERROR(IF(A1845="","",SUMIF(SAVINGS!$A$3:A1844,A1845,SAVINGS!$E$3:E1844)-SUMIF(WITHDRAWALS!$A:$A,A1845,WITHDRAWALS!$E:$E)),"")</f>
        <v/>
      </c>
      <c r="D1845" s="28">
        <f>IF(A1845="","",TODAY())</f>
        <v/>
      </c>
      <c r="E1845" s="29" t="n"/>
      <c r="F1845" s="20">
        <f>IFERROR(IF(OR(A1845="",E1845=""),"",C1845+E1845),"")</f>
        <v/>
      </c>
      <c r="G1845" s="30" t="n"/>
      <c r="H1845" s="27" t="n"/>
    </row>
    <row r="1846" ht="20" customHeight="1">
      <c r="A1846" s="26" t="n"/>
      <c r="B1846" s="31">
        <f>IFERROR(IF(A1846="","",VLOOKUP(A1846,DATABASE!$A:$B,2,0)),"")</f>
        <v/>
      </c>
      <c r="C1846" s="32">
        <f>IFERROR(IF(A1846="","",SUMIF(SAVINGS!$A$3:A1845,A1846,SAVINGS!$E$3:E1845)-SUMIF(WITHDRAWALS!$A:$A,A1846,WITHDRAWALS!$E:$E)),"")</f>
        <v/>
      </c>
      <c r="D1846" s="33">
        <f>IF(A1846="","",TODAY())</f>
        <v/>
      </c>
      <c r="E1846" s="29" t="n"/>
      <c r="F1846" s="32">
        <f>IFERROR(IF(OR(A1846="",E1846=""),"",C1846+E1846),"")</f>
        <v/>
      </c>
      <c r="G1846" s="30" t="n"/>
      <c r="H1846" s="31" t="n"/>
    </row>
    <row r="1847" ht="20" customHeight="1">
      <c r="A1847" s="26" t="n"/>
      <c r="B1847" s="27">
        <f>IFERROR(IF(A1847="","",VLOOKUP(A1847,DATABASE!$A:$B,2,0)),"")</f>
        <v/>
      </c>
      <c r="C1847" s="20">
        <f>IFERROR(IF(A1847="","",SUMIF(SAVINGS!$A$3:A1846,A1847,SAVINGS!$E$3:E1846)-SUMIF(WITHDRAWALS!$A:$A,A1847,WITHDRAWALS!$E:$E)),"")</f>
        <v/>
      </c>
      <c r="D1847" s="28">
        <f>IF(A1847="","",TODAY())</f>
        <v/>
      </c>
      <c r="E1847" s="29" t="n"/>
      <c r="F1847" s="20">
        <f>IFERROR(IF(OR(A1847="",E1847=""),"",C1847+E1847),"")</f>
        <v/>
      </c>
      <c r="G1847" s="30" t="n"/>
      <c r="H1847" s="27" t="n"/>
    </row>
    <row r="1848" ht="20" customHeight="1">
      <c r="A1848" s="26" t="n"/>
      <c r="B1848" s="31">
        <f>IFERROR(IF(A1848="","",VLOOKUP(A1848,DATABASE!$A:$B,2,0)),"")</f>
        <v/>
      </c>
      <c r="C1848" s="32">
        <f>IFERROR(IF(A1848="","",SUMIF(SAVINGS!$A$3:A1847,A1848,SAVINGS!$E$3:E1847)-SUMIF(WITHDRAWALS!$A:$A,A1848,WITHDRAWALS!$E:$E)),"")</f>
        <v/>
      </c>
      <c r="D1848" s="33">
        <f>IF(A1848="","",TODAY())</f>
        <v/>
      </c>
      <c r="E1848" s="29" t="n"/>
      <c r="F1848" s="32">
        <f>IFERROR(IF(OR(A1848="",E1848=""),"",C1848+E1848),"")</f>
        <v/>
      </c>
      <c r="G1848" s="30" t="n"/>
      <c r="H1848" s="31" t="n"/>
    </row>
    <row r="1849" ht="20" customHeight="1">
      <c r="A1849" s="26" t="n"/>
      <c r="B1849" s="27">
        <f>IFERROR(IF(A1849="","",VLOOKUP(A1849,DATABASE!$A:$B,2,0)),"")</f>
        <v/>
      </c>
      <c r="C1849" s="20">
        <f>IFERROR(IF(A1849="","",SUMIF(SAVINGS!$A$3:A1848,A1849,SAVINGS!$E$3:E1848)-SUMIF(WITHDRAWALS!$A:$A,A1849,WITHDRAWALS!$E:$E)),"")</f>
        <v/>
      </c>
      <c r="D1849" s="28">
        <f>IF(A1849="","",TODAY())</f>
        <v/>
      </c>
      <c r="E1849" s="29" t="n"/>
      <c r="F1849" s="20">
        <f>IFERROR(IF(OR(A1849="",E1849=""),"",C1849+E1849),"")</f>
        <v/>
      </c>
      <c r="G1849" s="30" t="n"/>
      <c r="H1849" s="27" t="n"/>
    </row>
    <row r="1850" ht="20" customHeight="1">
      <c r="A1850" s="26" t="n"/>
      <c r="B1850" s="31">
        <f>IFERROR(IF(A1850="","",VLOOKUP(A1850,DATABASE!$A:$B,2,0)),"")</f>
        <v/>
      </c>
      <c r="C1850" s="32">
        <f>IFERROR(IF(A1850="","",SUMIF(SAVINGS!$A$3:A1849,A1850,SAVINGS!$E$3:E1849)-SUMIF(WITHDRAWALS!$A:$A,A1850,WITHDRAWALS!$E:$E)),"")</f>
        <v/>
      </c>
      <c r="D1850" s="33">
        <f>IF(A1850="","",TODAY())</f>
        <v/>
      </c>
      <c r="E1850" s="29" t="n"/>
      <c r="F1850" s="32">
        <f>IFERROR(IF(OR(A1850="",E1850=""),"",C1850+E1850),"")</f>
        <v/>
      </c>
      <c r="G1850" s="30" t="n"/>
      <c r="H1850" s="31" t="n"/>
    </row>
    <row r="1851" ht="20" customHeight="1">
      <c r="A1851" s="26" t="n"/>
      <c r="B1851" s="27">
        <f>IFERROR(IF(A1851="","",VLOOKUP(A1851,DATABASE!$A:$B,2,0)),"")</f>
        <v/>
      </c>
      <c r="C1851" s="20">
        <f>IFERROR(IF(A1851="","",SUMIF(SAVINGS!$A$3:A1850,A1851,SAVINGS!$E$3:E1850)-SUMIF(WITHDRAWALS!$A:$A,A1851,WITHDRAWALS!$E:$E)),"")</f>
        <v/>
      </c>
      <c r="D1851" s="28">
        <f>IF(A1851="","",TODAY())</f>
        <v/>
      </c>
      <c r="E1851" s="29" t="n"/>
      <c r="F1851" s="20">
        <f>IFERROR(IF(OR(A1851="",E1851=""),"",C1851+E1851),"")</f>
        <v/>
      </c>
      <c r="G1851" s="30" t="n"/>
      <c r="H1851" s="27" t="n"/>
    </row>
    <row r="1852" ht="20" customHeight="1">
      <c r="A1852" s="26" t="n"/>
      <c r="B1852" s="31">
        <f>IFERROR(IF(A1852="","",VLOOKUP(A1852,DATABASE!$A:$B,2,0)),"")</f>
        <v/>
      </c>
      <c r="C1852" s="32">
        <f>IFERROR(IF(A1852="","",SUMIF(SAVINGS!$A$3:A1851,A1852,SAVINGS!$E$3:E1851)-SUMIF(WITHDRAWALS!$A:$A,A1852,WITHDRAWALS!$E:$E)),"")</f>
        <v/>
      </c>
      <c r="D1852" s="33">
        <f>IF(A1852="","",TODAY())</f>
        <v/>
      </c>
      <c r="E1852" s="29" t="n"/>
      <c r="F1852" s="32">
        <f>IFERROR(IF(OR(A1852="",E1852=""),"",C1852+E1852),"")</f>
        <v/>
      </c>
      <c r="G1852" s="30" t="n"/>
      <c r="H1852" s="31" t="n"/>
    </row>
    <row r="1853" ht="20" customHeight="1">
      <c r="A1853" s="26" t="n"/>
      <c r="B1853" s="27">
        <f>IFERROR(IF(A1853="","",VLOOKUP(A1853,DATABASE!$A:$B,2,0)),"")</f>
        <v/>
      </c>
      <c r="C1853" s="20">
        <f>IFERROR(IF(A1853="","",SUMIF(SAVINGS!$A$3:A1852,A1853,SAVINGS!$E$3:E1852)-SUMIF(WITHDRAWALS!$A:$A,A1853,WITHDRAWALS!$E:$E)),"")</f>
        <v/>
      </c>
      <c r="D1853" s="28">
        <f>IF(A1853="","",TODAY())</f>
        <v/>
      </c>
      <c r="E1853" s="29" t="n"/>
      <c r="F1853" s="20">
        <f>IFERROR(IF(OR(A1853="",E1853=""),"",C1853+E1853),"")</f>
        <v/>
      </c>
      <c r="G1853" s="30" t="n"/>
      <c r="H1853" s="27" t="n"/>
    </row>
    <row r="1854" ht="20" customHeight="1">
      <c r="A1854" s="26" t="n"/>
      <c r="B1854" s="31">
        <f>IFERROR(IF(A1854="","",VLOOKUP(A1854,DATABASE!$A:$B,2,0)),"")</f>
        <v/>
      </c>
      <c r="C1854" s="32">
        <f>IFERROR(IF(A1854="","",SUMIF(SAVINGS!$A$3:A1853,A1854,SAVINGS!$E$3:E1853)-SUMIF(WITHDRAWALS!$A:$A,A1854,WITHDRAWALS!$E:$E)),"")</f>
        <v/>
      </c>
      <c r="D1854" s="33">
        <f>IF(A1854="","",TODAY())</f>
        <v/>
      </c>
      <c r="E1854" s="29" t="n"/>
      <c r="F1854" s="32">
        <f>IFERROR(IF(OR(A1854="",E1854=""),"",C1854+E1854),"")</f>
        <v/>
      </c>
      <c r="G1854" s="30" t="n"/>
      <c r="H1854" s="31" t="n"/>
    </row>
    <row r="1855" ht="20" customHeight="1">
      <c r="A1855" s="26" t="n"/>
      <c r="B1855" s="27">
        <f>IFERROR(IF(A1855="","",VLOOKUP(A1855,DATABASE!$A:$B,2,0)),"")</f>
        <v/>
      </c>
      <c r="C1855" s="20">
        <f>IFERROR(IF(A1855="","",SUMIF(SAVINGS!$A$3:A1854,A1855,SAVINGS!$E$3:E1854)-SUMIF(WITHDRAWALS!$A:$A,A1855,WITHDRAWALS!$E:$E)),"")</f>
        <v/>
      </c>
      <c r="D1855" s="28">
        <f>IF(A1855="","",TODAY())</f>
        <v/>
      </c>
      <c r="E1855" s="29" t="n"/>
      <c r="F1855" s="20">
        <f>IFERROR(IF(OR(A1855="",E1855=""),"",C1855+E1855),"")</f>
        <v/>
      </c>
      <c r="G1855" s="30" t="n"/>
      <c r="H1855" s="27" t="n"/>
    </row>
    <row r="1856" ht="20" customHeight="1">
      <c r="A1856" s="26" t="n"/>
      <c r="B1856" s="31">
        <f>IFERROR(IF(A1856="","",VLOOKUP(A1856,DATABASE!$A:$B,2,0)),"")</f>
        <v/>
      </c>
      <c r="C1856" s="32">
        <f>IFERROR(IF(A1856="","",SUMIF(SAVINGS!$A$3:A1855,A1856,SAVINGS!$E$3:E1855)-SUMIF(WITHDRAWALS!$A:$A,A1856,WITHDRAWALS!$E:$E)),"")</f>
        <v/>
      </c>
      <c r="D1856" s="33">
        <f>IF(A1856="","",TODAY())</f>
        <v/>
      </c>
      <c r="E1856" s="29" t="n"/>
      <c r="F1856" s="32">
        <f>IFERROR(IF(OR(A1856="",E1856=""),"",C1856+E1856),"")</f>
        <v/>
      </c>
      <c r="G1856" s="30" t="n"/>
      <c r="H1856" s="31" t="n"/>
    </row>
    <row r="1857" ht="20" customHeight="1">
      <c r="A1857" s="26" t="n"/>
      <c r="B1857" s="27">
        <f>IFERROR(IF(A1857="","",VLOOKUP(A1857,DATABASE!$A:$B,2,0)),"")</f>
        <v/>
      </c>
      <c r="C1857" s="20">
        <f>IFERROR(IF(A1857="","",SUMIF(SAVINGS!$A$3:A1856,A1857,SAVINGS!$E$3:E1856)-SUMIF(WITHDRAWALS!$A:$A,A1857,WITHDRAWALS!$E:$E)),"")</f>
        <v/>
      </c>
      <c r="D1857" s="28">
        <f>IF(A1857="","",TODAY())</f>
        <v/>
      </c>
      <c r="E1857" s="29" t="n"/>
      <c r="F1857" s="20">
        <f>IFERROR(IF(OR(A1857="",E1857=""),"",C1857+E1857),"")</f>
        <v/>
      </c>
      <c r="G1857" s="30" t="n"/>
      <c r="H1857" s="27" t="n"/>
    </row>
    <row r="1858" ht="20" customHeight="1">
      <c r="A1858" s="26" t="n"/>
      <c r="B1858" s="31">
        <f>IFERROR(IF(A1858="","",VLOOKUP(A1858,DATABASE!$A:$B,2,0)),"")</f>
        <v/>
      </c>
      <c r="C1858" s="32">
        <f>IFERROR(IF(A1858="","",SUMIF(SAVINGS!$A$3:A1857,A1858,SAVINGS!$E$3:E1857)-SUMIF(WITHDRAWALS!$A:$A,A1858,WITHDRAWALS!$E:$E)),"")</f>
        <v/>
      </c>
      <c r="D1858" s="33">
        <f>IF(A1858="","",TODAY())</f>
        <v/>
      </c>
      <c r="E1858" s="29" t="n"/>
      <c r="F1858" s="32">
        <f>IFERROR(IF(OR(A1858="",E1858=""),"",C1858+E1858),"")</f>
        <v/>
      </c>
      <c r="G1858" s="30" t="n"/>
      <c r="H1858" s="31" t="n"/>
    </row>
    <row r="1859" ht="20" customHeight="1">
      <c r="A1859" s="26" t="n"/>
      <c r="B1859" s="27">
        <f>IFERROR(IF(A1859="","",VLOOKUP(A1859,DATABASE!$A:$B,2,0)),"")</f>
        <v/>
      </c>
      <c r="C1859" s="20">
        <f>IFERROR(IF(A1859="","",SUMIF(SAVINGS!$A$3:A1858,A1859,SAVINGS!$E$3:E1858)-SUMIF(WITHDRAWALS!$A:$A,A1859,WITHDRAWALS!$E:$E)),"")</f>
        <v/>
      </c>
      <c r="D1859" s="28">
        <f>IF(A1859="","",TODAY())</f>
        <v/>
      </c>
      <c r="E1859" s="29" t="n"/>
      <c r="F1859" s="20">
        <f>IFERROR(IF(OR(A1859="",E1859=""),"",C1859+E1859),"")</f>
        <v/>
      </c>
      <c r="G1859" s="30" t="n"/>
      <c r="H1859" s="27" t="n"/>
    </row>
    <row r="1860" ht="20" customHeight="1">
      <c r="A1860" s="26" t="n"/>
      <c r="B1860" s="31">
        <f>IFERROR(IF(A1860="","",VLOOKUP(A1860,DATABASE!$A:$B,2,0)),"")</f>
        <v/>
      </c>
      <c r="C1860" s="32">
        <f>IFERROR(IF(A1860="","",SUMIF(SAVINGS!$A$3:A1859,A1860,SAVINGS!$E$3:E1859)-SUMIF(WITHDRAWALS!$A:$A,A1860,WITHDRAWALS!$E:$E)),"")</f>
        <v/>
      </c>
      <c r="D1860" s="33">
        <f>IF(A1860="","",TODAY())</f>
        <v/>
      </c>
      <c r="E1860" s="29" t="n"/>
      <c r="F1860" s="32">
        <f>IFERROR(IF(OR(A1860="",E1860=""),"",C1860+E1860),"")</f>
        <v/>
      </c>
      <c r="G1860" s="30" t="n"/>
      <c r="H1860" s="31" t="n"/>
    </row>
    <row r="1861" ht="20" customHeight="1">
      <c r="A1861" s="26" t="n"/>
      <c r="B1861" s="27">
        <f>IFERROR(IF(A1861="","",VLOOKUP(A1861,DATABASE!$A:$B,2,0)),"")</f>
        <v/>
      </c>
      <c r="C1861" s="20">
        <f>IFERROR(IF(A1861="","",SUMIF(SAVINGS!$A$3:A1860,A1861,SAVINGS!$E$3:E1860)-SUMIF(WITHDRAWALS!$A:$A,A1861,WITHDRAWALS!$E:$E)),"")</f>
        <v/>
      </c>
      <c r="D1861" s="28">
        <f>IF(A1861="","",TODAY())</f>
        <v/>
      </c>
      <c r="E1861" s="29" t="n"/>
      <c r="F1861" s="20">
        <f>IFERROR(IF(OR(A1861="",E1861=""),"",C1861+E1861),"")</f>
        <v/>
      </c>
      <c r="G1861" s="30" t="n"/>
      <c r="H1861" s="27" t="n"/>
    </row>
    <row r="1862" ht="20" customHeight="1">
      <c r="A1862" s="26" t="n"/>
      <c r="B1862" s="31">
        <f>IFERROR(IF(A1862="","",VLOOKUP(A1862,DATABASE!$A:$B,2,0)),"")</f>
        <v/>
      </c>
      <c r="C1862" s="32">
        <f>IFERROR(IF(A1862="","",SUMIF(SAVINGS!$A$3:A1861,A1862,SAVINGS!$E$3:E1861)-SUMIF(WITHDRAWALS!$A:$A,A1862,WITHDRAWALS!$E:$E)),"")</f>
        <v/>
      </c>
      <c r="D1862" s="33">
        <f>IF(A1862="","",TODAY())</f>
        <v/>
      </c>
      <c r="E1862" s="29" t="n"/>
      <c r="F1862" s="32">
        <f>IFERROR(IF(OR(A1862="",E1862=""),"",C1862+E1862),"")</f>
        <v/>
      </c>
      <c r="G1862" s="30" t="n"/>
      <c r="H1862" s="31" t="n"/>
    </row>
    <row r="1863" ht="20" customHeight="1">
      <c r="A1863" s="26" t="n"/>
      <c r="B1863" s="27">
        <f>IFERROR(IF(A1863="","",VLOOKUP(A1863,DATABASE!$A:$B,2,0)),"")</f>
        <v/>
      </c>
      <c r="C1863" s="20">
        <f>IFERROR(IF(A1863="","",SUMIF(SAVINGS!$A$3:A1862,A1863,SAVINGS!$E$3:E1862)-SUMIF(WITHDRAWALS!$A:$A,A1863,WITHDRAWALS!$E:$E)),"")</f>
        <v/>
      </c>
      <c r="D1863" s="28">
        <f>IF(A1863="","",TODAY())</f>
        <v/>
      </c>
      <c r="E1863" s="29" t="n"/>
      <c r="F1863" s="20">
        <f>IFERROR(IF(OR(A1863="",E1863=""),"",C1863+E1863),"")</f>
        <v/>
      </c>
      <c r="G1863" s="30" t="n"/>
      <c r="H1863" s="27" t="n"/>
    </row>
    <row r="1864" ht="20" customHeight="1">
      <c r="A1864" s="26" t="n"/>
      <c r="B1864" s="31">
        <f>IFERROR(IF(A1864="","",VLOOKUP(A1864,DATABASE!$A:$B,2,0)),"")</f>
        <v/>
      </c>
      <c r="C1864" s="32">
        <f>IFERROR(IF(A1864="","",SUMIF(SAVINGS!$A$3:A1863,A1864,SAVINGS!$E$3:E1863)-SUMIF(WITHDRAWALS!$A:$A,A1864,WITHDRAWALS!$E:$E)),"")</f>
        <v/>
      </c>
      <c r="D1864" s="33">
        <f>IF(A1864="","",TODAY())</f>
        <v/>
      </c>
      <c r="E1864" s="29" t="n"/>
      <c r="F1864" s="32">
        <f>IFERROR(IF(OR(A1864="",E1864=""),"",C1864+E1864),"")</f>
        <v/>
      </c>
      <c r="G1864" s="30" t="n"/>
      <c r="H1864" s="31" t="n"/>
    </row>
    <row r="1865" ht="20" customHeight="1">
      <c r="A1865" s="26" t="n"/>
      <c r="B1865" s="27">
        <f>IFERROR(IF(A1865="","",VLOOKUP(A1865,DATABASE!$A:$B,2,0)),"")</f>
        <v/>
      </c>
      <c r="C1865" s="20">
        <f>IFERROR(IF(A1865="","",SUMIF(SAVINGS!$A$3:A1864,A1865,SAVINGS!$E$3:E1864)-SUMIF(WITHDRAWALS!$A:$A,A1865,WITHDRAWALS!$E:$E)),"")</f>
        <v/>
      </c>
      <c r="D1865" s="28">
        <f>IF(A1865="","",TODAY())</f>
        <v/>
      </c>
      <c r="E1865" s="29" t="n"/>
      <c r="F1865" s="20">
        <f>IFERROR(IF(OR(A1865="",E1865=""),"",C1865+E1865),"")</f>
        <v/>
      </c>
      <c r="G1865" s="30" t="n"/>
      <c r="H1865" s="27" t="n"/>
    </row>
    <row r="1866" ht="20" customHeight="1">
      <c r="A1866" s="26" t="n"/>
      <c r="B1866" s="31">
        <f>IFERROR(IF(A1866="","",VLOOKUP(A1866,DATABASE!$A:$B,2,0)),"")</f>
        <v/>
      </c>
      <c r="C1866" s="32">
        <f>IFERROR(IF(A1866="","",SUMIF(SAVINGS!$A$3:A1865,A1866,SAVINGS!$E$3:E1865)-SUMIF(WITHDRAWALS!$A:$A,A1866,WITHDRAWALS!$E:$E)),"")</f>
        <v/>
      </c>
      <c r="D1866" s="33">
        <f>IF(A1866="","",TODAY())</f>
        <v/>
      </c>
      <c r="E1866" s="29" t="n"/>
      <c r="F1866" s="32">
        <f>IFERROR(IF(OR(A1866="",E1866=""),"",C1866+E1866),"")</f>
        <v/>
      </c>
      <c r="G1866" s="30" t="n"/>
      <c r="H1866" s="31" t="n"/>
    </row>
    <row r="1867" ht="20" customHeight="1">
      <c r="A1867" s="26" t="n"/>
      <c r="B1867" s="27">
        <f>IFERROR(IF(A1867="","",VLOOKUP(A1867,DATABASE!$A:$B,2,0)),"")</f>
        <v/>
      </c>
      <c r="C1867" s="20">
        <f>IFERROR(IF(A1867="","",SUMIF(SAVINGS!$A$3:A1866,A1867,SAVINGS!$E$3:E1866)-SUMIF(WITHDRAWALS!$A:$A,A1867,WITHDRAWALS!$E:$E)),"")</f>
        <v/>
      </c>
      <c r="D1867" s="28">
        <f>IF(A1867="","",TODAY())</f>
        <v/>
      </c>
      <c r="E1867" s="29" t="n"/>
      <c r="F1867" s="20">
        <f>IFERROR(IF(OR(A1867="",E1867=""),"",C1867+E1867),"")</f>
        <v/>
      </c>
      <c r="G1867" s="30" t="n"/>
      <c r="H1867" s="27" t="n"/>
    </row>
    <row r="1868" ht="20" customHeight="1">
      <c r="A1868" s="26" t="n"/>
      <c r="B1868" s="31">
        <f>IFERROR(IF(A1868="","",VLOOKUP(A1868,DATABASE!$A:$B,2,0)),"")</f>
        <v/>
      </c>
      <c r="C1868" s="32">
        <f>IFERROR(IF(A1868="","",SUMIF(SAVINGS!$A$3:A1867,A1868,SAVINGS!$E$3:E1867)-SUMIF(WITHDRAWALS!$A:$A,A1868,WITHDRAWALS!$E:$E)),"")</f>
        <v/>
      </c>
      <c r="D1868" s="33">
        <f>IF(A1868="","",TODAY())</f>
        <v/>
      </c>
      <c r="E1868" s="29" t="n"/>
      <c r="F1868" s="32">
        <f>IFERROR(IF(OR(A1868="",E1868=""),"",C1868+E1868),"")</f>
        <v/>
      </c>
      <c r="G1868" s="30" t="n"/>
      <c r="H1868" s="31" t="n"/>
    </row>
    <row r="1869" ht="20" customHeight="1">
      <c r="A1869" s="26" t="n"/>
      <c r="B1869" s="27">
        <f>IFERROR(IF(A1869="","",VLOOKUP(A1869,DATABASE!$A:$B,2,0)),"")</f>
        <v/>
      </c>
      <c r="C1869" s="20">
        <f>IFERROR(IF(A1869="","",SUMIF(SAVINGS!$A$3:A1868,A1869,SAVINGS!$E$3:E1868)-SUMIF(WITHDRAWALS!$A:$A,A1869,WITHDRAWALS!$E:$E)),"")</f>
        <v/>
      </c>
      <c r="D1869" s="28">
        <f>IF(A1869="","",TODAY())</f>
        <v/>
      </c>
      <c r="E1869" s="29" t="n"/>
      <c r="F1869" s="20">
        <f>IFERROR(IF(OR(A1869="",E1869=""),"",C1869+E1869),"")</f>
        <v/>
      </c>
      <c r="G1869" s="30" t="n"/>
      <c r="H1869" s="27" t="n"/>
    </row>
    <row r="1870" ht="20" customHeight="1">
      <c r="A1870" s="26" t="n"/>
      <c r="B1870" s="31">
        <f>IFERROR(IF(A1870="","",VLOOKUP(A1870,DATABASE!$A:$B,2,0)),"")</f>
        <v/>
      </c>
      <c r="C1870" s="32">
        <f>IFERROR(IF(A1870="","",SUMIF(SAVINGS!$A$3:A1869,A1870,SAVINGS!$E$3:E1869)-SUMIF(WITHDRAWALS!$A:$A,A1870,WITHDRAWALS!$E:$E)),"")</f>
        <v/>
      </c>
      <c r="D1870" s="33">
        <f>IF(A1870="","",TODAY())</f>
        <v/>
      </c>
      <c r="E1870" s="29" t="n"/>
      <c r="F1870" s="32">
        <f>IFERROR(IF(OR(A1870="",E1870=""),"",C1870+E1870),"")</f>
        <v/>
      </c>
      <c r="G1870" s="30" t="n"/>
      <c r="H1870" s="31" t="n"/>
    </row>
    <row r="1871" ht="20" customHeight="1">
      <c r="A1871" s="26" t="n"/>
      <c r="B1871" s="27">
        <f>IFERROR(IF(A1871="","",VLOOKUP(A1871,DATABASE!$A:$B,2,0)),"")</f>
        <v/>
      </c>
      <c r="C1871" s="20">
        <f>IFERROR(IF(A1871="","",SUMIF(SAVINGS!$A$3:A1870,A1871,SAVINGS!$E$3:E1870)-SUMIF(WITHDRAWALS!$A:$A,A1871,WITHDRAWALS!$E:$E)),"")</f>
        <v/>
      </c>
      <c r="D1871" s="28">
        <f>IF(A1871="","",TODAY())</f>
        <v/>
      </c>
      <c r="E1871" s="29" t="n"/>
      <c r="F1871" s="20">
        <f>IFERROR(IF(OR(A1871="",E1871=""),"",C1871+E1871),"")</f>
        <v/>
      </c>
      <c r="G1871" s="30" t="n"/>
      <c r="H1871" s="27" t="n"/>
    </row>
    <row r="1872" ht="20" customHeight="1">
      <c r="A1872" s="26" t="n"/>
      <c r="B1872" s="31">
        <f>IFERROR(IF(A1872="","",VLOOKUP(A1872,DATABASE!$A:$B,2,0)),"")</f>
        <v/>
      </c>
      <c r="C1872" s="32">
        <f>IFERROR(IF(A1872="","",SUMIF(SAVINGS!$A$3:A1871,A1872,SAVINGS!$E$3:E1871)-SUMIF(WITHDRAWALS!$A:$A,A1872,WITHDRAWALS!$E:$E)),"")</f>
        <v/>
      </c>
      <c r="D1872" s="33">
        <f>IF(A1872="","",TODAY())</f>
        <v/>
      </c>
      <c r="E1872" s="29" t="n"/>
      <c r="F1872" s="32">
        <f>IFERROR(IF(OR(A1872="",E1872=""),"",C1872+E1872),"")</f>
        <v/>
      </c>
      <c r="G1872" s="30" t="n"/>
      <c r="H1872" s="31" t="n"/>
    </row>
    <row r="1873" ht="20" customHeight="1">
      <c r="A1873" s="26" t="n"/>
      <c r="B1873" s="27">
        <f>IFERROR(IF(A1873="","",VLOOKUP(A1873,DATABASE!$A:$B,2,0)),"")</f>
        <v/>
      </c>
      <c r="C1873" s="20">
        <f>IFERROR(IF(A1873="","",SUMIF(SAVINGS!$A$3:A1872,A1873,SAVINGS!$E$3:E1872)-SUMIF(WITHDRAWALS!$A:$A,A1873,WITHDRAWALS!$E:$E)),"")</f>
        <v/>
      </c>
      <c r="D1873" s="28">
        <f>IF(A1873="","",TODAY())</f>
        <v/>
      </c>
      <c r="E1873" s="29" t="n"/>
      <c r="F1873" s="20">
        <f>IFERROR(IF(OR(A1873="",E1873=""),"",C1873+E1873),"")</f>
        <v/>
      </c>
      <c r="G1873" s="30" t="n"/>
      <c r="H1873" s="27" t="n"/>
    </row>
    <row r="1874" ht="20" customHeight="1">
      <c r="A1874" s="26" t="n"/>
      <c r="B1874" s="31">
        <f>IFERROR(IF(A1874="","",VLOOKUP(A1874,DATABASE!$A:$B,2,0)),"")</f>
        <v/>
      </c>
      <c r="C1874" s="32">
        <f>IFERROR(IF(A1874="","",SUMIF(SAVINGS!$A$3:A1873,A1874,SAVINGS!$E$3:E1873)-SUMIF(WITHDRAWALS!$A:$A,A1874,WITHDRAWALS!$E:$E)),"")</f>
        <v/>
      </c>
      <c r="D1874" s="33">
        <f>IF(A1874="","",TODAY())</f>
        <v/>
      </c>
      <c r="E1874" s="29" t="n"/>
      <c r="F1874" s="32">
        <f>IFERROR(IF(OR(A1874="",E1874=""),"",C1874+E1874),"")</f>
        <v/>
      </c>
      <c r="G1874" s="30" t="n"/>
      <c r="H1874" s="31" t="n"/>
    </row>
    <row r="1875" ht="20" customHeight="1">
      <c r="A1875" s="26" t="n"/>
      <c r="B1875" s="27">
        <f>IFERROR(IF(A1875="","",VLOOKUP(A1875,DATABASE!$A:$B,2,0)),"")</f>
        <v/>
      </c>
      <c r="C1875" s="20">
        <f>IFERROR(IF(A1875="","",SUMIF(SAVINGS!$A$3:A1874,A1875,SAVINGS!$E$3:E1874)-SUMIF(WITHDRAWALS!$A:$A,A1875,WITHDRAWALS!$E:$E)),"")</f>
        <v/>
      </c>
      <c r="D1875" s="28">
        <f>IF(A1875="","",TODAY())</f>
        <v/>
      </c>
      <c r="E1875" s="29" t="n"/>
      <c r="F1875" s="20">
        <f>IFERROR(IF(OR(A1875="",E1875=""),"",C1875+E1875),"")</f>
        <v/>
      </c>
      <c r="G1875" s="30" t="n"/>
      <c r="H1875" s="27" t="n"/>
    </row>
    <row r="1876" ht="20" customHeight="1">
      <c r="A1876" s="26" t="n"/>
      <c r="B1876" s="31">
        <f>IFERROR(IF(A1876="","",VLOOKUP(A1876,DATABASE!$A:$B,2,0)),"")</f>
        <v/>
      </c>
      <c r="C1876" s="32">
        <f>IFERROR(IF(A1876="","",SUMIF(SAVINGS!$A$3:A1875,A1876,SAVINGS!$E$3:E1875)-SUMIF(WITHDRAWALS!$A:$A,A1876,WITHDRAWALS!$E:$E)),"")</f>
        <v/>
      </c>
      <c r="D1876" s="33">
        <f>IF(A1876="","",TODAY())</f>
        <v/>
      </c>
      <c r="E1876" s="29" t="n"/>
      <c r="F1876" s="32">
        <f>IFERROR(IF(OR(A1876="",E1876=""),"",C1876+E1876),"")</f>
        <v/>
      </c>
      <c r="G1876" s="30" t="n"/>
      <c r="H1876" s="31" t="n"/>
    </row>
    <row r="1877" ht="20" customHeight="1">
      <c r="A1877" s="26" t="n"/>
      <c r="B1877" s="27">
        <f>IFERROR(IF(A1877="","",VLOOKUP(A1877,DATABASE!$A:$B,2,0)),"")</f>
        <v/>
      </c>
      <c r="C1877" s="20">
        <f>IFERROR(IF(A1877="","",SUMIF(SAVINGS!$A$3:A1876,A1877,SAVINGS!$E$3:E1876)-SUMIF(WITHDRAWALS!$A:$A,A1877,WITHDRAWALS!$E:$E)),"")</f>
        <v/>
      </c>
      <c r="D1877" s="28">
        <f>IF(A1877="","",TODAY())</f>
        <v/>
      </c>
      <c r="E1877" s="29" t="n"/>
      <c r="F1877" s="20">
        <f>IFERROR(IF(OR(A1877="",E1877=""),"",C1877+E1877),"")</f>
        <v/>
      </c>
      <c r="G1877" s="30" t="n"/>
      <c r="H1877" s="27" t="n"/>
    </row>
    <row r="1878" ht="20" customHeight="1">
      <c r="A1878" s="26" t="n"/>
      <c r="B1878" s="31">
        <f>IFERROR(IF(A1878="","",VLOOKUP(A1878,DATABASE!$A:$B,2,0)),"")</f>
        <v/>
      </c>
      <c r="C1878" s="32">
        <f>IFERROR(IF(A1878="","",SUMIF(SAVINGS!$A$3:A1877,A1878,SAVINGS!$E$3:E1877)-SUMIF(WITHDRAWALS!$A:$A,A1878,WITHDRAWALS!$E:$E)),"")</f>
        <v/>
      </c>
      <c r="D1878" s="33">
        <f>IF(A1878="","",TODAY())</f>
        <v/>
      </c>
      <c r="E1878" s="29" t="n"/>
      <c r="F1878" s="32">
        <f>IFERROR(IF(OR(A1878="",E1878=""),"",C1878+E1878),"")</f>
        <v/>
      </c>
      <c r="G1878" s="30" t="n"/>
      <c r="H1878" s="31" t="n"/>
    </row>
    <row r="1879" ht="20" customHeight="1">
      <c r="A1879" s="26" t="n"/>
      <c r="B1879" s="27">
        <f>IFERROR(IF(A1879="","",VLOOKUP(A1879,DATABASE!$A:$B,2,0)),"")</f>
        <v/>
      </c>
      <c r="C1879" s="20">
        <f>IFERROR(IF(A1879="","",SUMIF(SAVINGS!$A$3:A1878,A1879,SAVINGS!$E$3:E1878)-SUMIF(WITHDRAWALS!$A:$A,A1879,WITHDRAWALS!$E:$E)),"")</f>
        <v/>
      </c>
      <c r="D1879" s="28">
        <f>IF(A1879="","",TODAY())</f>
        <v/>
      </c>
      <c r="E1879" s="29" t="n"/>
      <c r="F1879" s="20">
        <f>IFERROR(IF(OR(A1879="",E1879=""),"",C1879+E1879),"")</f>
        <v/>
      </c>
      <c r="G1879" s="30" t="n"/>
      <c r="H1879" s="27" t="n"/>
    </row>
    <row r="1880" ht="20" customHeight="1">
      <c r="A1880" s="26" t="n"/>
      <c r="B1880" s="31">
        <f>IFERROR(IF(A1880="","",VLOOKUP(A1880,DATABASE!$A:$B,2,0)),"")</f>
        <v/>
      </c>
      <c r="C1880" s="32">
        <f>IFERROR(IF(A1880="","",SUMIF(SAVINGS!$A$3:A1879,A1880,SAVINGS!$E$3:E1879)-SUMIF(WITHDRAWALS!$A:$A,A1880,WITHDRAWALS!$E:$E)),"")</f>
        <v/>
      </c>
      <c r="D1880" s="33">
        <f>IF(A1880="","",TODAY())</f>
        <v/>
      </c>
      <c r="E1880" s="29" t="n"/>
      <c r="F1880" s="32">
        <f>IFERROR(IF(OR(A1880="",E1880=""),"",C1880+E1880),"")</f>
        <v/>
      </c>
      <c r="G1880" s="30" t="n"/>
      <c r="H1880" s="31" t="n"/>
    </row>
    <row r="1881" ht="20" customHeight="1">
      <c r="A1881" s="26" t="n"/>
      <c r="B1881" s="27">
        <f>IFERROR(IF(A1881="","",VLOOKUP(A1881,DATABASE!$A:$B,2,0)),"")</f>
        <v/>
      </c>
      <c r="C1881" s="20">
        <f>IFERROR(IF(A1881="","",SUMIF(SAVINGS!$A$3:A1880,A1881,SAVINGS!$E$3:E1880)-SUMIF(WITHDRAWALS!$A:$A,A1881,WITHDRAWALS!$E:$E)),"")</f>
        <v/>
      </c>
      <c r="D1881" s="28">
        <f>IF(A1881="","",TODAY())</f>
        <v/>
      </c>
      <c r="E1881" s="29" t="n"/>
      <c r="F1881" s="20">
        <f>IFERROR(IF(OR(A1881="",E1881=""),"",C1881+E1881),"")</f>
        <v/>
      </c>
      <c r="G1881" s="30" t="n"/>
      <c r="H1881" s="27" t="n"/>
    </row>
    <row r="1882" ht="20" customHeight="1">
      <c r="A1882" s="26" t="n"/>
      <c r="B1882" s="31">
        <f>IFERROR(IF(A1882="","",VLOOKUP(A1882,DATABASE!$A:$B,2,0)),"")</f>
        <v/>
      </c>
      <c r="C1882" s="32">
        <f>IFERROR(IF(A1882="","",SUMIF(SAVINGS!$A$3:A1881,A1882,SAVINGS!$E$3:E1881)-SUMIF(WITHDRAWALS!$A:$A,A1882,WITHDRAWALS!$E:$E)),"")</f>
        <v/>
      </c>
      <c r="D1882" s="33">
        <f>IF(A1882="","",TODAY())</f>
        <v/>
      </c>
      <c r="E1882" s="29" t="n"/>
      <c r="F1882" s="32">
        <f>IFERROR(IF(OR(A1882="",E1882=""),"",C1882+E1882),"")</f>
        <v/>
      </c>
      <c r="G1882" s="30" t="n"/>
      <c r="H1882" s="31" t="n"/>
    </row>
    <row r="1883" ht="20" customHeight="1">
      <c r="A1883" s="26" t="n"/>
      <c r="B1883" s="27">
        <f>IFERROR(IF(A1883="","",VLOOKUP(A1883,DATABASE!$A:$B,2,0)),"")</f>
        <v/>
      </c>
      <c r="C1883" s="20">
        <f>IFERROR(IF(A1883="","",SUMIF(SAVINGS!$A$3:A1882,A1883,SAVINGS!$E$3:E1882)-SUMIF(WITHDRAWALS!$A:$A,A1883,WITHDRAWALS!$E:$E)),"")</f>
        <v/>
      </c>
      <c r="D1883" s="28">
        <f>IF(A1883="","",TODAY())</f>
        <v/>
      </c>
      <c r="E1883" s="29" t="n"/>
      <c r="F1883" s="20">
        <f>IFERROR(IF(OR(A1883="",E1883=""),"",C1883+E1883),"")</f>
        <v/>
      </c>
      <c r="G1883" s="30" t="n"/>
      <c r="H1883" s="27" t="n"/>
    </row>
    <row r="1884" ht="20" customHeight="1">
      <c r="A1884" s="26" t="n"/>
      <c r="B1884" s="31">
        <f>IFERROR(IF(A1884="","",VLOOKUP(A1884,DATABASE!$A:$B,2,0)),"")</f>
        <v/>
      </c>
      <c r="C1884" s="32">
        <f>IFERROR(IF(A1884="","",SUMIF(SAVINGS!$A$3:A1883,A1884,SAVINGS!$E$3:E1883)-SUMIF(WITHDRAWALS!$A:$A,A1884,WITHDRAWALS!$E:$E)),"")</f>
        <v/>
      </c>
      <c r="D1884" s="33">
        <f>IF(A1884="","",TODAY())</f>
        <v/>
      </c>
      <c r="E1884" s="29" t="n"/>
      <c r="F1884" s="32">
        <f>IFERROR(IF(OR(A1884="",E1884=""),"",C1884+E1884),"")</f>
        <v/>
      </c>
      <c r="G1884" s="30" t="n"/>
      <c r="H1884" s="31" t="n"/>
    </row>
    <row r="1885" ht="20" customHeight="1">
      <c r="A1885" s="26" t="n"/>
      <c r="B1885" s="27">
        <f>IFERROR(IF(A1885="","",VLOOKUP(A1885,DATABASE!$A:$B,2,0)),"")</f>
        <v/>
      </c>
      <c r="C1885" s="20">
        <f>IFERROR(IF(A1885="","",SUMIF(SAVINGS!$A$3:A1884,A1885,SAVINGS!$E$3:E1884)-SUMIF(WITHDRAWALS!$A:$A,A1885,WITHDRAWALS!$E:$E)),"")</f>
        <v/>
      </c>
      <c r="D1885" s="28">
        <f>IF(A1885="","",TODAY())</f>
        <v/>
      </c>
      <c r="E1885" s="29" t="n"/>
      <c r="F1885" s="20">
        <f>IFERROR(IF(OR(A1885="",E1885=""),"",C1885+E1885),"")</f>
        <v/>
      </c>
      <c r="G1885" s="30" t="n"/>
      <c r="H1885" s="27" t="n"/>
    </row>
    <row r="1886" ht="20" customHeight="1">
      <c r="A1886" s="26" t="n"/>
      <c r="B1886" s="31">
        <f>IFERROR(IF(A1886="","",VLOOKUP(A1886,DATABASE!$A:$B,2,0)),"")</f>
        <v/>
      </c>
      <c r="C1886" s="32">
        <f>IFERROR(IF(A1886="","",SUMIF(SAVINGS!$A$3:A1885,A1886,SAVINGS!$E$3:E1885)-SUMIF(WITHDRAWALS!$A:$A,A1886,WITHDRAWALS!$E:$E)),"")</f>
        <v/>
      </c>
      <c r="D1886" s="33">
        <f>IF(A1886="","",TODAY())</f>
        <v/>
      </c>
      <c r="E1886" s="29" t="n"/>
      <c r="F1886" s="32">
        <f>IFERROR(IF(OR(A1886="",E1886=""),"",C1886+E1886),"")</f>
        <v/>
      </c>
      <c r="G1886" s="30" t="n"/>
      <c r="H1886" s="31" t="n"/>
    </row>
    <row r="1887" ht="20" customHeight="1">
      <c r="A1887" s="26" t="n"/>
      <c r="B1887" s="27">
        <f>IFERROR(IF(A1887="","",VLOOKUP(A1887,DATABASE!$A:$B,2,0)),"")</f>
        <v/>
      </c>
      <c r="C1887" s="20">
        <f>IFERROR(IF(A1887="","",SUMIF(SAVINGS!$A$3:A1886,A1887,SAVINGS!$E$3:E1886)-SUMIF(WITHDRAWALS!$A:$A,A1887,WITHDRAWALS!$E:$E)),"")</f>
        <v/>
      </c>
      <c r="D1887" s="28">
        <f>IF(A1887="","",TODAY())</f>
        <v/>
      </c>
      <c r="E1887" s="29" t="n"/>
      <c r="F1887" s="20">
        <f>IFERROR(IF(OR(A1887="",E1887=""),"",C1887+E1887),"")</f>
        <v/>
      </c>
      <c r="G1887" s="30" t="n"/>
      <c r="H1887" s="27" t="n"/>
    </row>
    <row r="1888" ht="20" customHeight="1">
      <c r="A1888" s="26" t="n"/>
      <c r="B1888" s="31">
        <f>IFERROR(IF(A1888="","",VLOOKUP(A1888,DATABASE!$A:$B,2,0)),"")</f>
        <v/>
      </c>
      <c r="C1888" s="32">
        <f>IFERROR(IF(A1888="","",SUMIF(SAVINGS!$A$3:A1887,A1888,SAVINGS!$E$3:E1887)-SUMIF(WITHDRAWALS!$A:$A,A1888,WITHDRAWALS!$E:$E)),"")</f>
        <v/>
      </c>
      <c r="D1888" s="33">
        <f>IF(A1888="","",TODAY())</f>
        <v/>
      </c>
      <c r="E1888" s="29" t="n"/>
      <c r="F1888" s="32">
        <f>IFERROR(IF(OR(A1888="",E1888=""),"",C1888+E1888),"")</f>
        <v/>
      </c>
      <c r="G1888" s="30" t="n"/>
      <c r="H1888" s="31" t="n"/>
    </row>
    <row r="1889" ht="20" customHeight="1">
      <c r="A1889" s="26" t="n"/>
      <c r="B1889" s="27">
        <f>IFERROR(IF(A1889="","",VLOOKUP(A1889,DATABASE!$A:$B,2,0)),"")</f>
        <v/>
      </c>
      <c r="C1889" s="20">
        <f>IFERROR(IF(A1889="","",SUMIF(SAVINGS!$A$3:A1888,A1889,SAVINGS!$E$3:E1888)-SUMIF(WITHDRAWALS!$A:$A,A1889,WITHDRAWALS!$E:$E)),"")</f>
        <v/>
      </c>
      <c r="D1889" s="28">
        <f>IF(A1889="","",TODAY())</f>
        <v/>
      </c>
      <c r="E1889" s="29" t="n"/>
      <c r="F1889" s="20">
        <f>IFERROR(IF(OR(A1889="",E1889=""),"",C1889+E1889),"")</f>
        <v/>
      </c>
      <c r="G1889" s="30" t="n"/>
      <c r="H1889" s="27" t="n"/>
    </row>
    <row r="1890" ht="20" customHeight="1">
      <c r="A1890" s="26" t="n"/>
      <c r="B1890" s="31">
        <f>IFERROR(IF(A1890="","",VLOOKUP(A1890,DATABASE!$A:$B,2,0)),"")</f>
        <v/>
      </c>
      <c r="C1890" s="32">
        <f>IFERROR(IF(A1890="","",SUMIF(SAVINGS!$A$3:A1889,A1890,SAVINGS!$E$3:E1889)-SUMIF(WITHDRAWALS!$A:$A,A1890,WITHDRAWALS!$E:$E)),"")</f>
        <v/>
      </c>
      <c r="D1890" s="33">
        <f>IF(A1890="","",TODAY())</f>
        <v/>
      </c>
      <c r="E1890" s="29" t="n"/>
      <c r="F1890" s="32">
        <f>IFERROR(IF(OR(A1890="",E1890=""),"",C1890+E1890),"")</f>
        <v/>
      </c>
      <c r="G1890" s="30" t="n"/>
      <c r="H1890" s="31" t="n"/>
    </row>
    <row r="1891" ht="20" customHeight="1">
      <c r="A1891" s="26" t="n"/>
      <c r="B1891" s="27">
        <f>IFERROR(IF(A1891="","",VLOOKUP(A1891,DATABASE!$A:$B,2,0)),"")</f>
        <v/>
      </c>
      <c r="C1891" s="20">
        <f>IFERROR(IF(A1891="","",SUMIF(SAVINGS!$A$3:A1890,A1891,SAVINGS!$E$3:E1890)-SUMIF(WITHDRAWALS!$A:$A,A1891,WITHDRAWALS!$E:$E)),"")</f>
        <v/>
      </c>
      <c r="D1891" s="28">
        <f>IF(A1891="","",TODAY())</f>
        <v/>
      </c>
      <c r="E1891" s="29" t="n"/>
      <c r="F1891" s="20">
        <f>IFERROR(IF(OR(A1891="",E1891=""),"",C1891+E1891),"")</f>
        <v/>
      </c>
      <c r="G1891" s="30" t="n"/>
      <c r="H1891" s="27" t="n"/>
    </row>
    <row r="1892" ht="20" customHeight="1">
      <c r="A1892" s="26" t="n"/>
      <c r="B1892" s="31">
        <f>IFERROR(IF(A1892="","",VLOOKUP(A1892,DATABASE!$A:$B,2,0)),"")</f>
        <v/>
      </c>
      <c r="C1892" s="32">
        <f>IFERROR(IF(A1892="","",SUMIF(SAVINGS!$A$3:A1891,A1892,SAVINGS!$E$3:E1891)-SUMIF(WITHDRAWALS!$A:$A,A1892,WITHDRAWALS!$E:$E)),"")</f>
        <v/>
      </c>
      <c r="D1892" s="33">
        <f>IF(A1892="","",TODAY())</f>
        <v/>
      </c>
      <c r="E1892" s="29" t="n"/>
      <c r="F1892" s="32">
        <f>IFERROR(IF(OR(A1892="",E1892=""),"",C1892+E1892),"")</f>
        <v/>
      </c>
      <c r="G1892" s="30" t="n"/>
      <c r="H1892" s="31" t="n"/>
    </row>
    <row r="1893" ht="20" customHeight="1">
      <c r="A1893" s="26" t="n"/>
      <c r="B1893" s="27">
        <f>IFERROR(IF(A1893="","",VLOOKUP(A1893,DATABASE!$A:$B,2,0)),"")</f>
        <v/>
      </c>
      <c r="C1893" s="20">
        <f>IFERROR(IF(A1893="","",SUMIF(SAVINGS!$A$3:A1892,A1893,SAVINGS!$E$3:E1892)-SUMIF(WITHDRAWALS!$A:$A,A1893,WITHDRAWALS!$E:$E)),"")</f>
        <v/>
      </c>
      <c r="D1893" s="28">
        <f>IF(A1893="","",TODAY())</f>
        <v/>
      </c>
      <c r="E1893" s="29" t="n"/>
      <c r="F1893" s="20">
        <f>IFERROR(IF(OR(A1893="",E1893=""),"",C1893+E1893),"")</f>
        <v/>
      </c>
      <c r="G1893" s="30" t="n"/>
      <c r="H1893" s="27" t="n"/>
    </row>
    <row r="1894" ht="20" customHeight="1">
      <c r="A1894" s="26" t="n"/>
      <c r="B1894" s="31">
        <f>IFERROR(IF(A1894="","",VLOOKUP(A1894,DATABASE!$A:$B,2,0)),"")</f>
        <v/>
      </c>
      <c r="C1894" s="32">
        <f>IFERROR(IF(A1894="","",SUMIF(SAVINGS!$A$3:A1893,A1894,SAVINGS!$E$3:E1893)-SUMIF(WITHDRAWALS!$A:$A,A1894,WITHDRAWALS!$E:$E)),"")</f>
        <v/>
      </c>
      <c r="D1894" s="33">
        <f>IF(A1894="","",TODAY())</f>
        <v/>
      </c>
      <c r="E1894" s="29" t="n"/>
      <c r="F1894" s="32">
        <f>IFERROR(IF(OR(A1894="",E1894=""),"",C1894+E1894),"")</f>
        <v/>
      </c>
      <c r="G1894" s="30" t="n"/>
      <c r="H1894" s="31" t="n"/>
    </row>
    <row r="1895" ht="20" customHeight="1">
      <c r="A1895" s="26" t="n"/>
      <c r="B1895" s="27">
        <f>IFERROR(IF(A1895="","",VLOOKUP(A1895,DATABASE!$A:$B,2,0)),"")</f>
        <v/>
      </c>
      <c r="C1895" s="20">
        <f>IFERROR(IF(A1895="","",SUMIF(SAVINGS!$A$3:A1894,A1895,SAVINGS!$E$3:E1894)-SUMIF(WITHDRAWALS!$A:$A,A1895,WITHDRAWALS!$E:$E)),"")</f>
        <v/>
      </c>
      <c r="D1895" s="28">
        <f>IF(A1895="","",TODAY())</f>
        <v/>
      </c>
      <c r="E1895" s="29" t="n"/>
      <c r="F1895" s="20">
        <f>IFERROR(IF(OR(A1895="",E1895=""),"",C1895+E1895),"")</f>
        <v/>
      </c>
      <c r="G1895" s="30" t="n"/>
      <c r="H1895" s="27" t="n"/>
    </row>
    <row r="1896" ht="20" customHeight="1">
      <c r="A1896" s="26" t="n"/>
      <c r="B1896" s="31">
        <f>IFERROR(IF(A1896="","",VLOOKUP(A1896,DATABASE!$A:$B,2,0)),"")</f>
        <v/>
      </c>
      <c r="C1896" s="32">
        <f>IFERROR(IF(A1896="","",SUMIF(SAVINGS!$A$3:A1895,A1896,SAVINGS!$E$3:E1895)-SUMIF(WITHDRAWALS!$A:$A,A1896,WITHDRAWALS!$E:$E)),"")</f>
        <v/>
      </c>
      <c r="D1896" s="33">
        <f>IF(A1896="","",TODAY())</f>
        <v/>
      </c>
      <c r="E1896" s="29" t="n"/>
      <c r="F1896" s="32">
        <f>IFERROR(IF(OR(A1896="",E1896=""),"",C1896+E1896),"")</f>
        <v/>
      </c>
      <c r="G1896" s="30" t="n"/>
      <c r="H1896" s="31" t="n"/>
    </row>
    <row r="1897" ht="20" customHeight="1">
      <c r="A1897" s="26" t="n"/>
      <c r="B1897" s="27">
        <f>IFERROR(IF(A1897="","",VLOOKUP(A1897,DATABASE!$A:$B,2,0)),"")</f>
        <v/>
      </c>
      <c r="C1897" s="20">
        <f>IFERROR(IF(A1897="","",SUMIF(SAVINGS!$A$3:A1896,A1897,SAVINGS!$E$3:E1896)-SUMIF(WITHDRAWALS!$A:$A,A1897,WITHDRAWALS!$E:$E)),"")</f>
        <v/>
      </c>
      <c r="D1897" s="28">
        <f>IF(A1897="","",TODAY())</f>
        <v/>
      </c>
      <c r="E1897" s="29" t="n"/>
      <c r="F1897" s="20">
        <f>IFERROR(IF(OR(A1897="",E1897=""),"",C1897+E1897),"")</f>
        <v/>
      </c>
      <c r="G1897" s="30" t="n"/>
      <c r="H1897" s="27" t="n"/>
    </row>
    <row r="1898" ht="20" customHeight="1">
      <c r="A1898" s="26" t="n"/>
      <c r="B1898" s="31">
        <f>IFERROR(IF(A1898="","",VLOOKUP(A1898,DATABASE!$A:$B,2,0)),"")</f>
        <v/>
      </c>
      <c r="C1898" s="32">
        <f>IFERROR(IF(A1898="","",SUMIF(SAVINGS!$A$3:A1897,A1898,SAVINGS!$E$3:E1897)-SUMIF(WITHDRAWALS!$A:$A,A1898,WITHDRAWALS!$E:$E)),"")</f>
        <v/>
      </c>
      <c r="D1898" s="33">
        <f>IF(A1898="","",TODAY())</f>
        <v/>
      </c>
      <c r="E1898" s="29" t="n"/>
      <c r="F1898" s="32">
        <f>IFERROR(IF(OR(A1898="",E1898=""),"",C1898+E1898),"")</f>
        <v/>
      </c>
      <c r="G1898" s="30" t="n"/>
      <c r="H1898" s="31" t="n"/>
    </row>
    <row r="1899" ht="20" customHeight="1">
      <c r="A1899" s="26" t="n"/>
      <c r="B1899" s="27">
        <f>IFERROR(IF(A1899="","",VLOOKUP(A1899,DATABASE!$A:$B,2,0)),"")</f>
        <v/>
      </c>
      <c r="C1899" s="20">
        <f>IFERROR(IF(A1899="","",SUMIF(SAVINGS!$A$3:A1898,A1899,SAVINGS!$E$3:E1898)-SUMIF(WITHDRAWALS!$A:$A,A1899,WITHDRAWALS!$E:$E)),"")</f>
        <v/>
      </c>
      <c r="D1899" s="28">
        <f>IF(A1899="","",TODAY())</f>
        <v/>
      </c>
      <c r="E1899" s="29" t="n"/>
      <c r="F1899" s="20">
        <f>IFERROR(IF(OR(A1899="",E1899=""),"",C1899+E1899),"")</f>
        <v/>
      </c>
      <c r="G1899" s="30" t="n"/>
      <c r="H1899" s="27" t="n"/>
    </row>
    <row r="1900" ht="20" customHeight="1">
      <c r="A1900" s="26" t="n"/>
      <c r="B1900" s="31">
        <f>IFERROR(IF(A1900="","",VLOOKUP(A1900,DATABASE!$A:$B,2,0)),"")</f>
        <v/>
      </c>
      <c r="C1900" s="32">
        <f>IFERROR(IF(A1900="","",SUMIF(SAVINGS!$A$3:A1899,A1900,SAVINGS!$E$3:E1899)-SUMIF(WITHDRAWALS!$A:$A,A1900,WITHDRAWALS!$E:$E)),"")</f>
        <v/>
      </c>
      <c r="D1900" s="33">
        <f>IF(A1900="","",TODAY())</f>
        <v/>
      </c>
      <c r="E1900" s="29" t="n"/>
      <c r="F1900" s="32">
        <f>IFERROR(IF(OR(A1900="",E1900=""),"",C1900+E1900),"")</f>
        <v/>
      </c>
      <c r="G1900" s="30" t="n"/>
      <c r="H1900" s="31" t="n"/>
    </row>
    <row r="1901" ht="20" customHeight="1">
      <c r="A1901" s="26" t="n"/>
      <c r="B1901" s="27">
        <f>IFERROR(IF(A1901="","",VLOOKUP(A1901,DATABASE!$A:$B,2,0)),"")</f>
        <v/>
      </c>
      <c r="C1901" s="20">
        <f>IFERROR(IF(A1901="","",SUMIF(SAVINGS!$A$3:A1900,A1901,SAVINGS!$E$3:E1900)-SUMIF(WITHDRAWALS!$A:$A,A1901,WITHDRAWALS!$E:$E)),"")</f>
        <v/>
      </c>
      <c r="D1901" s="28">
        <f>IF(A1901="","",TODAY())</f>
        <v/>
      </c>
      <c r="E1901" s="29" t="n"/>
      <c r="F1901" s="20">
        <f>IFERROR(IF(OR(A1901="",E1901=""),"",C1901+E1901),"")</f>
        <v/>
      </c>
      <c r="G1901" s="30" t="n"/>
      <c r="H1901" s="27" t="n"/>
    </row>
    <row r="1902" ht="20" customHeight="1">
      <c r="A1902" s="26" t="n"/>
      <c r="B1902" s="31">
        <f>IFERROR(IF(A1902="","",VLOOKUP(A1902,DATABASE!$A:$B,2,0)),"")</f>
        <v/>
      </c>
      <c r="C1902" s="32">
        <f>IFERROR(IF(A1902="","",SUMIF(SAVINGS!$A$3:A1901,A1902,SAVINGS!$E$3:E1901)-SUMIF(WITHDRAWALS!$A:$A,A1902,WITHDRAWALS!$E:$E)),"")</f>
        <v/>
      </c>
      <c r="D1902" s="33">
        <f>IF(A1902="","",TODAY())</f>
        <v/>
      </c>
      <c r="E1902" s="29" t="n"/>
      <c r="F1902" s="32">
        <f>IFERROR(IF(OR(A1902="",E1902=""),"",C1902+E1902),"")</f>
        <v/>
      </c>
      <c r="G1902" s="30" t="n"/>
      <c r="H1902" s="31" t="n"/>
    </row>
    <row r="1903" ht="20" customHeight="1">
      <c r="A1903" s="26" t="n"/>
      <c r="B1903" s="27">
        <f>IFERROR(IF(A1903="","",VLOOKUP(A1903,DATABASE!$A:$B,2,0)),"")</f>
        <v/>
      </c>
      <c r="C1903" s="20">
        <f>IFERROR(IF(A1903="","",SUMIF(SAVINGS!$A$3:A1902,A1903,SAVINGS!$E$3:E1902)-SUMIF(WITHDRAWALS!$A:$A,A1903,WITHDRAWALS!$E:$E)),"")</f>
        <v/>
      </c>
      <c r="D1903" s="28">
        <f>IF(A1903="","",TODAY())</f>
        <v/>
      </c>
      <c r="E1903" s="29" t="n"/>
      <c r="F1903" s="20">
        <f>IFERROR(IF(OR(A1903="",E1903=""),"",C1903+E1903),"")</f>
        <v/>
      </c>
      <c r="G1903" s="30" t="n"/>
      <c r="H1903" s="27" t="n"/>
    </row>
    <row r="1904" ht="20" customHeight="1">
      <c r="A1904" s="26" t="n"/>
      <c r="B1904" s="31">
        <f>IFERROR(IF(A1904="","",VLOOKUP(A1904,DATABASE!$A:$B,2,0)),"")</f>
        <v/>
      </c>
      <c r="C1904" s="32">
        <f>IFERROR(IF(A1904="","",SUMIF(SAVINGS!$A$3:A1903,A1904,SAVINGS!$E$3:E1903)-SUMIF(WITHDRAWALS!$A:$A,A1904,WITHDRAWALS!$E:$E)),"")</f>
        <v/>
      </c>
      <c r="D1904" s="33">
        <f>IF(A1904="","",TODAY())</f>
        <v/>
      </c>
      <c r="E1904" s="29" t="n"/>
      <c r="F1904" s="32">
        <f>IFERROR(IF(OR(A1904="",E1904=""),"",C1904+E1904),"")</f>
        <v/>
      </c>
      <c r="G1904" s="30" t="n"/>
      <c r="H1904" s="31" t="n"/>
    </row>
    <row r="1905" ht="20" customHeight="1">
      <c r="A1905" s="26" t="n"/>
      <c r="B1905" s="27">
        <f>IFERROR(IF(A1905="","",VLOOKUP(A1905,DATABASE!$A:$B,2,0)),"")</f>
        <v/>
      </c>
      <c r="C1905" s="20">
        <f>IFERROR(IF(A1905="","",SUMIF(SAVINGS!$A$3:A1904,A1905,SAVINGS!$E$3:E1904)-SUMIF(WITHDRAWALS!$A:$A,A1905,WITHDRAWALS!$E:$E)),"")</f>
        <v/>
      </c>
      <c r="D1905" s="28">
        <f>IF(A1905="","",TODAY())</f>
        <v/>
      </c>
      <c r="E1905" s="29" t="n"/>
      <c r="F1905" s="20">
        <f>IFERROR(IF(OR(A1905="",E1905=""),"",C1905+E1905),"")</f>
        <v/>
      </c>
      <c r="G1905" s="30" t="n"/>
      <c r="H1905" s="27" t="n"/>
    </row>
    <row r="1906" ht="20" customHeight="1">
      <c r="A1906" s="26" t="n"/>
      <c r="B1906" s="31">
        <f>IFERROR(IF(A1906="","",VLOOKUP(A1906,DATABASE!$A:$B,2,0)),"")</f>
        <v/>
      </c>
      <c r="C1906" s="32">
        <f>IFERROR(IF(A1906="","",SUMIF(SAVINGS!$A$3:A1905,A1906,SAVINGS!$E$3:E1905)-SUMIF(WITHDRAWALS!$A:$A,A1906,WITHDRAWALS!$E:$E)),"")</f>
        <v/>
      </c>
      <c r="D1906" s="33">
        <f>IF(A1906="","",TODAY())</f>
        <v/>
      </c>
      <c r="E1906" s="29" t="n"/>
      <c r="F1906" s="32">
        <f>IFERROR(IF(OR(A1906="",E1906=""),"",C1906+E1906),"")</f>
        <v/>
      </c>
      <c r="G1906" s="30" t="n"/>
      <c r="H1906" s="31" t="n"/>
    </row>
    <row r="1907" ht="20" customHeight="1">
      <c r="A1907" s="26" t="n"/>
      <c r="B1907" s="27">
        <f>IFERROR(IF(A1907="","",VLOOKUP(A1907,DATABASE!$A:$B,2,0)),"")</f>
        <v/>
      </c>
      <c r="C1907" s="20">
        <f>IFERROR(IF(A1907="","",SUMIF(SAVINGS!$A$3:A1906,A1907,SAVINGS!$E$3:E1906)-SUMIF(WITHDRAWALS!$A:$A,A1907,WITHDRAWALS!$E:$E)),"")</f>
        <v/>
      </c>
      <c r="D1907" s="28">
        <f>IF(A1907="","",TODAY())</f>
        <v/>
      </c>
      <c r="E1907" s="29" t="n"/>
      <c r="F1907" s="20">
        <f>IFERROR(IF(OR(A1907="",E1907=""),"",C1907+E1907),"")</f>
        <v/>
      </c>
      <c r="G1907" s="30" t="n"/>
      <c r="H1907" s="27" t="n"/>
    </row>
    <row r="1908" ht="20" customHeight="1">
      <c r="A1908" s="26" t="n"/>
      <c r="B1908" s="31">
        <f>IFERROR(IF(A1908="","",VLOOKUP(A1908,DATABASE!$A:$B,2,0)),"")</f>
        <v/>
      </c>
      <c r="C1908" s="32">
        <f>IFERROR(IF(A1908="","",SUMIF(SAVINGS!$A$3:A1907,A1908,SAVINGS!$E$3:E1907)-SUMIF(WITHDRAWALS!$A:$A,A1908,WITHDRAWALS!$E:$E)),"")</f>
        <v/>
      </c>
      <c r="D1908" s="33">
        <f>IF(A1908="","",TODAY())</f>
        <v/>
      </c>
      <c r="E1908" s="29" t="n"/>
      <c r="F1908" s="32">
        <f>IFERROR(IF(OR(A1908="",E1908=""),"",C1908+E1908),"")</f>
        <v/>
      </c>
      <c r="G1908" s="30" t="n"/>
      <c r="H1908" s="31" t="n"/>
    </row>
    <row r="1909" ht="20" customHeight="1">
      <c r="A1909" s="26" t="n"/>
      <c r="B1909" s="27">
        <f>IFERROR(IF(A1909="","",VLOOKUP(A1909,DATABASE!$A:$B,2,0)),"")</f>
        <v/>
      </c>
      <c r="C1909" s="20">
        <f>IFERROR(IF(A1909="","",SUMIF(SAVINGS!$A$3:A1908,A1909,SAVINGS!$E$3:E1908)-SUMIF(WITHDRAWALS!$A:$A,A1909,WITHDRAWALS!$E:$E)),"")</f>
        <v/>
      </c>
      <c r="D1909" s="28">
        <f>IF(A1909="","",TODAY())</f>
        <v/>
      </c>
      <c r="E1909" s="29" t="n"/>
      <c r="F1909" s="20">
        <f>IFERROR(IF(OR(A1909="",E1909=""),"",C1909+E1909),"")</f>
        <v/>
      </c>
      <c r="G1909" s="30" t="n"/>
      <c r="H1909" s="27" t="n"/>
    </row>
    <row r="1910" ht="20" customHeight="1">
      <c r="A1910" s="26" t="n"/>
      <c r="B1910" s="31">
        <f>IFERROR(IF(A1910="","",VLOOKUP(A1910,DATABASE!$A:$B,2,0)),"")</f>
        <v/>
      </c>
      <c r="C1910" s="32">
        <f>IFERROR(IF(A1910="","",SUMIF(SAVINGS!$A$3:A1909,A1910,SAVINGS!$E$3:E1909)-SUMIF(WITHDRAWALS!$A:$A,A1910,WITHDRAWALS!$E:$E)),"")</f>
        <v/>
      </c>
      <c r="D1910" s="33">
        <f>IF(A1910="","",TODAY())</f>
        <v/>
      </c>
      <c r="E1910" s="29" t="n"/>
      <c r="F1910" s="32">
        <f>IFERROR(IF(OR(A1910="",E1910=""),"",C1910+E1910),"")</f>
        <v/>
      </c>
      <c r="G1910" s="30" t="n"/>
      <c r="H1910" s="31" t="n"/>
    </row>
    <row r="1911" ht="20" customHeight="1">
      <c r="A1911" s="26" t="n"/>
      <c r="B1911" s="27">
        <f>IFERROR(IF(A1911="","",VLOOKUP(A1911,DATABASE!$A:$B,2,0)),"")</f>
        <v/>
      </c>
      <c r="C1911" s="20">
        <f>IFERROR(IF(A1911="","",SUMIF(SAVINGS!$A$3:A1910,A1911,SAVINGS!$E$3:E1910)-SUMIF(WITHDRAWALS!$A:$A,A1911,WITHDRAWALS!$E:$E)),"")</f>
        <v/>
      </c>
      <c r="D1911" s="28">
        <f>IF(A1911="","",TODAY())</f>
        <v/>
      </c>
      <c r="E1911" s="29" t="n"/>
      <c r="F1911" s="20">
        <f>IFERROR(IF(OR(A1911="",E1911=""),"",C1911+E1911),"")</f>
        <v/>
      </c>
      <c r="G1911" s="30" t="n"/>
      <c r="H1911" s="27" t="n"/>
    </row>
    <row r="1912" ht="20" customHeight="1">
      <c r="A1912" s="26" t="n"/>
      <c r="B1912" s="31">
        <f>IFERROR(IF(A1912="","",VLOOKUP(A1912,DATABASE!$A:$B,2,0)),"")</f>
        <v/>
      </c>
      <c r="C1912" s="32">
        <f>IFERROR(IF(A1912="","",SUMIF(SAVINGS!$A$3:A1911,A1912,SAVINGS!$E$3:E1911)-SUMIF(WITHDRAWALS!$A:$A,A1912,WITHDRAWALS!$E:$E)),"")</f>
        <v/>
      </c>
      <c r="D1912" s="33">
        <f>IF(A1912="","",TODAY())</f>
        <v/>
      </c>
      <c r="E1912" s="29" t="n"/>
      <c r="F1912" s="32">
        <f>IFERROR(IF(OR(A1912="",E1912=""),"",C1912+E1912),"")</f>
        <v/>
      </c>
      <c r="G1912" s="30" t="n"/>
      <c r="H1912" s="31" t="n"/>
    </row>
    <row r="1913" ht="20" customHeight="1">
      <c r="A1913" s="26" t="n"/>
      <c r="B1913" s="27">
        <f>IFERROR(IF(A1913="","",VLOOKUP(A1913,DATABASE!$A:$B,2,0)),"")</f>
        <v/>
      </c>
      <c r="C1913" s="20">
        <f>IFERROR(IF(A1913="","",SUMIF(SAVINGS!$A$3:A1912,A1913,SAVINGS!$E$3:E1912)-SUMIF(WITHDRAWALS!$A:$A,A1913,WITHDRAWALS!$E:$E)),"")</f>
        <v/>
      </c>
      <c r="D1913" s="28">
        <f>IF(A1913="","",TODAY())</f>
        <v/>
      </c>
      <c r="E1913" s="29" t="n"/>
      <c r="F1913" s="20">
        <f>IFERROR(IF(OR(A1913="",E1913=""),"",C1913+E1913),"")</f>
        <v/>
      </c>
      <c r="G1913" s="30" t="n"/>
      <c r="H1913" s="27" t="n"/>
    </row>
    <row r="1914" ht="20" customHeight="1">
      <c r="A1914" s="26" t="n"/>
      <c r="B1914" s="31">
        <f>IFERROR(IF(A1914="","",VLOOKUP(A1914,DATABASE!$A:$B,2,0)),"")</f>
        <v/>
      </c>
      <c r="C1914" s="32">
        <f>IFERROR(IF(A1914="","",SUMIF(SAVINGS!$A$3:A1913,A1914,SAVINGS!$E$3:E1913)-SUMIF(WITHDRAWALS!$A:$A,A1914,WITHDRAWALS!$E:$E)),"")</f>
        <v/>
      </c>
      <c r="D1914" s="33">
        <f>IF(A1914="","",TODAY())</f>
        <v/>
      </c>
      <c r="E1914" s="29" t="n"/>
      <c r="F1914" s="32">
        <f>IFERROR(IF(OR(A1914="",E1914=""),"",C1914+E1914),"")</f>
        <v/>
      </c>
      <c r="G1914" s="30" t="n"/>
      <c r="H1914" s="31" t="n"/>
    </row>
    <row r="1915" ht="20" customHeight="1">
      <c r="A1915" s="26" t="n"/>
      <c r="B1915" s="27">
        <f>IFERROR(IF(A1915="","",VLOOKUP(A1915,DATABASE!$A:$B,2,0)),"")</f>
        <v/>
      </c>
      <c r="C1915" s="20">
        <f>IFERROR(IF(A1915="","",SUMIF(SAVINGS!$A$3:A1914,A1915,SAVINGS!$E$3:E1914)-SUMIF(WITHDRAWALS!$A:$A,A1915,WITHDRAWALS!$E:$E)),"")</f>
        <v/>
      </c>
      <c r="D1915" s="28">
        <f>IF(A1915="","",TODAY())</f>
        <v/>
      </c>
      <c r="E1915" s="29" t="n"/>
      <c r="F1915" s="20">
        <f>IFERROR(IF(OR(A1915="",E1915=""),"",C1915+E1915),"")</f>
        <v/>
      </c>
      <c r="G1915" s="30" t="n"/>
      <c r="H1915" s="27" t="n"/>
    </row>
    <row r="1916" ht="20" customHeight="1">
      <c r="A1916" s="26" t="n"/>
      <c r="B1916" s="31">
        <f>IFERROR(IF(A1916="","",VLOOKUP(A1916,DATABASE!$A:$B,2,0)),"")</f>
        <v/>
      </c>
      <c r="C1916" s="32">
        <f>IFERROR(IF(A1916="","",SUMIF(SAVINGS!$A$3:A1915,A1916,SAVINGS!$E$3:E1915)-SUMIF(WITHDRAWALS!$A:$A,A1916,WITHDRAWALS!$E:$E)),"")</f>
        <v/>
      </c>
      <c r="D1916" s="33">
        <f>IF(A1916="","",TODAY())</f>
        <v/>
      </c>
      <c r="E1916" s="29" t="n"/>
      <c r="F1916" s="32">
        <f>IFERROR(IF(OR(A1916="",E1916=""),"",C1916+E1916),"")</f>
        <v/>
      </c>
      <c r="G1916" s="30" t="n"/>
      <c r="H1916" s="31" t="n"/>
    </row>
    <row r="1917" ht="20" customHeight="1">
      <c r="A1917" s="26" t="n"/>
      <c r="B1917" s="27">
        <f>IFERROR(IF(A1917="","",VLOOKUP(A1917,DATABASE!$A:$B,2,0)),"")</f>
        <v/>
      </c>
      <c r="C1917" s="20">
        <f>IFERROR(IF(A1917="","",SUMIF(SAVINGS!$A$3:A1916,A1917,SAVINGS!$E$3:E1916)-SUMIF(WITHDRAWALS!$A:$A,A1917,WITHDRAWALS!$E:$E)),"")</f>
        <v/>
      </c>
      <c r="D1917" s="28">
        <f>IF(A1917="","",TODAY())</f>
        <v/>
      </c>
      <c r="E1917" s="29" t="n"/>
      <c r="F1917" s="20">
        <f>IFERROR(IF(OR(A1917="",E1917=""),"",C1917+E1917),"")</f>
        <v/>
      </c>
      <c r="G1917" s="30" t="n"/>
      <c r="H1917" s="27" t="n"/>
    </row>
    <row r="1918" ht="20" customHeight="1">
      <c r="A1918" s="26" t="n"/>
      <c r="B1918" s="31">
        <f>IFERROR(IF(A1918="","",VLOOKUP(A1918,DATABASE!$A:$B,2,0)),"")</f>
        <v/>
      </c>
      <c r="C1918" s="32">
        <f>IFERROR(IF(A1918="","",SUMIF(SAVINGS!$A$3:A1917,A1918,SAVINGS!$E$3:E1917)-SUMIF(WITHDRAWALS!$A:$A,A1918,WITHDRAWALS!$E:$E)),"")</f>
        <v/>
      </c>
      <c r="D1918" s="33">
        <f>IF(A1918="","",TODAY())</f>
        <v/>
      </c>
      <c r="E1918" s="29" t="n"/>
      <c r="F1918" s="32">
        <f>IFERROR(IF(OR(A1918="",E1918=""),"",C1918+E1918),"")</f>
        <v/>
      </c>
      <c r="G1918" s="30" t="n"/>
      <c r="H1918" s="31" t="n"/>
    </row>
    <row r="1919" ht="20" customHeight="1">
      <c r="A1919" s="26" t="n"/>
      <c r="B1919" s="27">
        <f>IFERROR(IF(A1919="","",VLOOKUP(A1919,DATABASE!$A:$B,2,0)),"")</f>
        <v/>
      </c>
      <c r="C1919" s="20">
        <f>IFERROR(IF(A1919="","",SUMIF(SAVINGS!$A$3:A1918,A1919,SAVINGS!$E$3:E1918)-SUMIF(WITHDRAWALS!$A:$A,A1919,WITHDRAWALS!$E:$E)),"")</f>
        <v/>
      </c>
      <c r="D1919" s="28">
        <f>IF(A1919="","",TODAY())</f>
        <v/>
      </c>
      <c r="E1919" s="29" t="n"/>
      <c r="F1919" s="20">
        <f>IFERROR(IF(OR(A1919="",E1919=""),"",C1919+E1919),"")</f>
        <v/>
      </c>
      <c r="G1919" s="30" t="n"/>
      <c r="H1919" s="27" t="n"/>
    </row>
    <row r="1920" ht="20" customHeight="1">
      <c r="A1920" s="26" t="n"/>
      <c r="B1920" s="31">
        <f>IFERROR(IF(A1920="","",VLOOKUP(A1920,DATABASE!$A:$B,2,0)),"")</f>
        <v/>
      </c>
      <c r="C1920" s="32">
        <f>IFERROR(IF(A1920="","",SUMIF(SAVINGS!$A$3:A1919,A1920,SAVINGS!$E$3:E1919)-SUMIF(WITHDRAWALS!$A:$A,A1920,WITHDRAWALS!$E:$E)),"")</f>
        <v/>
      </c>
      <c r="D1920" s="33">
        <f>IF(A1920="","",TODAY())</f>
        <v/>
      </c>
      <c r="E1920" s="29" t="n"/>
      <c r="F1920" s="32">
        <f>IFERROR(IF(OR(A1920="",E1920=""),"",C1920+E1920),"")</f>
        <v/>
      </c>
      <c r="G1920" s="30" t="n"/>
      <c r="H1920" s="31" t="n"/>
    </row>
    <row r="1921" ht="20" customHeight="1">
      <c r="A1921" s="26" t="n"/>
      <c r="B1921" s="27">
        <f>IFERROR(IF(A1921="","",VLOOKUP(A1921,DATABASE!$A:$B,2,0)),"")</f>
        <v/>
      </c>
      <c r="C1921" s="20">
        <f>IFERROR(IF(A1921="","",SUMIF(SAVINGS!$A$3:A1920,A1921,SAVINGS!$E$3:E1920)-SUMIF(WITHDRAWALS!$A:$A,A1921,WITHDRAWALS!$E:$E)),"")</f>
        <v/>
      </c>
      <c r="D1921" s="28">
        <f>IF(A1921="","",TODAY())</f>
        <v/>
      </c>
      <c r="E1921" s="29" t="n"/>
      <c r="F1921" s="20">
        <f>IFERROR(IF(OR(A1921="",E1921=""),"",C1921+E1921),"")</f>
        <v/>
      </c>
      <c r="G1921" s="30" t="n"/>
      <c r="H1921" s="27" t="n"/>
    </row>
    <row r="1922" ht="20" customHeight="1">
      <c r="A1922" s="26" t="n"/>
      <c r="B1922" s="31">
        <f>IFERROR(IF(A1922="","",VLOOKUP(A1922,DATABASE!$A:$B,2,0)),"")</f>
        <v/>
      </c>
      <c r="C1922" s="32">
        <f>IFERROR(IF(A1922="","",SUMIF(SAVINGS!$A$3:A1921,A1922,SAVINGS!$E$3:E1921)-SUMIF(WITHDRAWALS!$A:$A,A1922,WITHDRAWALS!$E:$E)),"")</f>
        <v/>
      </c>
      <c r="D1922" s="33">
        <f>IF(A1922="","",TODAY())</f>
        <v/>
      </c>
      <c r="E1922" s="29" t="n"/>
      <c r="F1922" s="32">
        <f>IFERROR(IF(OR(A1922="",E1922=""),"",C1922+E1922),"")</f>
        <v/>
      </c>
      <c r="G1922" s="30" t="n"/>
      <c r="H1922" s="31" t="n"/>
    </row>
    <row r="1923" ht="20" customHeight="1">
      <c r="A1923" s="26" t="n"/>
      <c r="B1923" s="27">
        <f>IFERROR(IF(A1923="","",VLOOKUP(A1923,DATABASE!$A:$B,2,0)),"")</f>
        <v/>
      </c>
      <c r="C1923" s="20">
        <f>IFERROR(IF(A1923="","",SUMIF(SAVINGS!$A$3:A1922,A1923,SAVINGS!$E$3:E1922)-SUMIF(WITHDRAWALS!$A:$A,A1923,WITHDRAWALS!$E:$E)),"")</f>
        <v/>
      </c>
      <c r="D1923" s="28">
        <f>IF(A1923="","",TODAY())</f>
        <v/>
      </c>
      <c r="E1923" s="29" t="n"/>
      <c r="F1923" s="20">
        <f>IFERROR(IF(OR(A1923="",E1923=""),"",C1923+E1923),"")</f>
        <v/>
      </c>
      <c r="G1923" s="30" t="n"/>
      <c r="H1923" s="27" t="n"/>
    </row>
    <row r="1924" ht="20" customHeight="1">
      <c r="A1924" s="26" t="n"/>
      <c r="B1924" s="31">
        <f>IFERROR(IF(A1924="","",VLOOKUP(A1924,DATABASE!$A:$B,2,0)),"")</f>
        <v/>
      </c>
      <c r="C1924" s="32">
        <f>IFERROR(IF(A1924="","",SUMIF(SAVINGS!$A$3:A1923,A1924,SAVINGS!$E$3:E1923)-SUMIF(WITHDRAWALS!$A:$A,A1924,WITHDRAWALS!$E:$E)),"")</f>
        <v/>
      </c>
      <c r="D1924" s="33">
        <f>IF(A1924="","",TODAY())</f>
        <v/>
      </c>
      <c r="E1924" s="29" t="n"/>
      <c r="F1924" s="32">
        <f>IFERROR(IF(OR(A1924="",E1924=""),"",C1924+E1924),"")</f>
        <v/>
      </c>
      <c r="G1924" s="30" t="n"/>
      <c r="H1924" s="31" t="n"/>
    </row>
    <row r="1925" ht="20" customHeight="1">
      <c r="A1925" s="26" t="n"/>
      <c r="B1925" s="27">
        <f>IFERROR(IF(A1925="","",VLOOKUP(A1925,DATABASE!$A:$B,2,0)),"")</f>
        <v/>
      </c>
      <c r="C1925" s="20">
        <f>IFERROR(IF(A1925="","",SUMIF(SAVINGS!$A$3:A1924,A1925,SAVINGS!$E$3:E1924)-SUMIF(WITHDRAWALS!$A:$A,A1925,WITHDRAWALS!$E:$E)),"")</f>
        <v/>
      </c>
      <c r="D1925" s="28">
        <f>IF(A1925="","",TODAY())</f>
        <v/>
      </c>
      <c r="E1925" s="29" t="n"/>
      <c r="F1925" s="20">
        <f>IFERROR(IF(OR(A1925="",E1925=""),"",C1925+E1925),"")</f>
        <v/>
      </c>
      <c r="G1925" s="30" t="n"/>
      <c r="H1925" s="27" t="n"/>
    </row>
    <row r="1926" ht="20" customHeight="1">
      <c r="A1926" s="26" t="n"/>
      <c r="B1926" s="31">
        <f>IFERROR(IF(A1926="","",VLOOKUP(A1926,DATABASE!$A:$B,2,0)),"")</f>
        <v/>
      </c>
      <c r="C1926" s="32">
        <f>IFERROR(IF(A1926="","",SUMIF(SAVINGS!$A$3:A1925,A1926,SAVINGS!$E$3:E1925)-SUMIF(WITHDRAWALS!$A:$A,A1926,WITHDRAWALS!$E:$E)),"")</f>
        <v/>
      </c>
      <c r="D1926" s="33">
        <f>IF(A1926="","",TODAY())</f>
        <v/>
      </c>
      <c r="E1926" s="29" t="n"/>
      <c r="F1926" s="32">
        <f>IFERROR(IF(OR(A1926="",E1926=""),"",C1926+E1926),"")</f>
        <v/>
      </c>
      <c r="G1926" s="30" t="n"/>
      <c r="H1926" s="31" t="n"/>
    </row>
    <row r="1927" ht="20" customHeight="1">
      <c r="A1927" s="26" t="n"/>
      <c r="B1927" s="27">
        <f>IFERROR(IF(A1927="","",VLOOKUP(A1927,DATABASE!$A:$B,2,0)),"")</f>
        <v/>
      </c>
      <c r="C1927" s="20">
        <f>IFERROR(IF(A1927="","",SUMIF(SAVINGS!$A$3:A1926,A1927,SAVINGS!$E$3:E1926)-SUMIF(WITHDRAWALS!$A:$A,A1927,WITHDRAWALS!$E:$E)),"")</f>
        <v/>
      </c>
      <c r="D1927" s="28">
        <f>IF(A1927="","",TODAY())</f>
        <v/>
      </c>
      <c r="E1927" s="29" t="n"/>
      <c r="F1927" s="20">
        <f>IFERROR(IF(OR(A1927="",E1927=""),"",C1927+E1927),"")</f>
        <v/>
      </c>
      <c r="G1927" s="30" t="n"/>
      <c r="H1927" s="27" t="n"/>
    </row>
    <row r="1928" ht="20" customHeight="1">
      <c r="A1928" s="26" t="n"/>
      <c r="B1928" s="31">
        <f>IFERROR(IF(A1928="","",VLOOKUP(A1928,DATABASE!$A:$B,2,0)),"")</f>
        <v/>
      </c>
      <c r="C1928" s="32">
        <f>IFERROR(IF(A1928="","",SUMIF(SAVINGS!$A$3:A1927,A1928,SAVINGS!$E$3:E1927)-SUMIF(WITHDRAWALS!$A:$A,A1928,WITHDRAWALS!$E:$E)),"")</f>
        <v/>
      </c>
      <c r="D1928" s="33">
        <f>IF(A1928="","",TODAY())</f>
        <v/>
      </c>
      <c r="E1928" s="29" t="n"/>
      <c r="F1928" s="32">
        <f>IFERROR(IF(OR(A1928="",E1928=""),"",C1928+E1928),"")</f>
        <v/>
      </c>
      <c r="G1928" s="30" t="n"/>
      <c r="H1928" s="31" t="n"/>
    </row>
    <row r="1929" ht="20" customHeight="1">
      <c r="A1929" s="26" t="n"/>
      <c r="B1929" s="27">
        <f>IFERROR(IF(A1929="","",VLOOKUP(A1929,DATABASE!$A:$B,2,0)),"")</f>
        <v/>
      </c>
      <c r="C1929" s="20">
        <f>IFERROR(IF(A1929="","",SUMIF(SAVINGS!$A$3:A1928,A1929,SAVINGS!$E$3:E1928)-SUMIF(WITHDRAWALS!$A:$A,A1929,WITHDRAWALS!$E:$E)),"")</f>
        <v/>
      </c>
      <c r="D1929" s="28">
        <f>IF(A1929="","",TODAY())</f>
        <v/>
      </c>
      <c r="E1929" s="29" t="n"/>
      <c r="F1929" s="20">
        <f>IFERROR(IF(OR(A1929="",E1929=""),"",C1929+E1929),"")</f>
        <v/>
      </c>
      <c r="G1929" s="30" t="n"/>
      <c r="H1929" s="27" t="n"/>
    </row>
    <row r="1930" ht="20" customHeight="1">
      <c r="A1930" s="26" t="n"/>
      <c r="B1930" s="31">
        <f>IFERROR(IF(A1930="","",VLOOKUP(A1930,DATABASE!$A:$B,2,0)),"")</f>
        <v/>
      </c>
      <c r="C1930" s="32">
        <f>IFERROR(IF(A1930="","",SUMIF(SAVINGS!$A$3:A1929,A1930,SAVINGS!$E$3:E1929)-SUMIF(WITHDRAWALS!$A:$A,A1930,WITHDRAWALS!$E:$E)),"")</f>
        <v/>
      </c>
      <c r="D1930" s="33">
        <f>IF(A1930="","",TODAY())</f>
        <v/>
      </c>
      <c r="E1930" s="29" t="n"/>
      <c r="F1930" s="32">
        <f>IFERROR(IF(OR(A1930="",E1930=""),"",C1930+E1930),"")</f>
        <v/>
      </c>
      <c r="G1930" s="30" t="n"/>
      <c r="H1930" s="31" t="n"/>
    </row>
    <row r="1931" ht="20" customHeight="1">
      <c r="A1931" s="26" t="n"/>
      <c r="B1931" s="27">
        <f>IFERROR(IF(A1931="","",VLOOKUP(A1931,DATABASE!$A:$B,2,0)),"")</f>
        <v/>
      </c>
      <c r="C1931" s="20">
        <f>IFERROR(IF(A1931="","",SUMIF(SAVINGS!$A$3:A1930,A1931,SAVINGS!$E$3:E1930)-SUMIF(WITHDRAWALS!$A:$A,A1931,WITHDRAWALS!$E:$E)),"")</f>
        <v/>
      </c>
      <c r="D1931" s="28">
        <f>IF(A1931="","",TODAY())</f>
        <v/>
      </c>
      <c r="E1931" s="29" t="n"/>
      <c r="F1931" s="20">
        <f>IFERROR(IF(OR(A1931="",E1931=""),"",C1931+E1931),"")</f>
        <v/>
      </c>
      <c r="G1931" s="30" t="n"/>
      <c r="H1931" s="27" t="n"/>
    </row>
    <row r="1932" ht="20" customHeight="1">
      <c r="A1932" s="26" t="n"/>
      <c r="B1932" s="31">
        <f>IFERROR(IF(A1932="","",VLOOKUP(A1932,DATABASE!$A:$B,2,0)),"")</f>
        <v/>
      </c>
      <c r="C1932" s="32">
        <f>IFERROR(IF(A1932="","",SUMIF(SAVINGS!$A$3:A1931,A1932,SAVINGS!$E$3:E1931)-SUMIF(WITHDRAWALS!$A:$A,A1932,WITHDRAWALS!$E:$E)),"")</f>
        <v/>
      </c>
      <c r="D1932" s="33">
        <f>IF(A1932="","",TODAY())</f>
        <v/>
      </c>
      <c r="E1932" s="29" t="n"/>
      <c r="F1932" s="32">
        <f>IFERROR(IF(OR(A1932="",E1932=""),"",C1932+E1932),"")</f>
        <v/>
      </c>
      <c r="G1932" s="30" t="n"/>
      <c r="H1932" s="31" t="n"/>
    </row>
    <row r="1933" ht="20" customHeight="1">
      <c r="A1933" s="26" t="n"/>
      <c r="B1933" s="27">
        <f>IFERROR(IF(A1933="","",VLOOKUP(A1933,DATABASE!$A:$B,2,0)),"")</f>
        <v/>
      </c>
      <c r="C1933" s="20">
        <f>IFERROR(IF(A1933="","",SUMIF(SAVINGS!$A$3:A1932,A1933,SAVINGS!$E$3:E1932)-SUMIF(WITHDRAWALS!$A:$A,A1933,WITHDRAWALS!$E:$E)),"")</f>
        <v/>
      </c>
      <c r="D1933" s="28">
        <f>IF(A1933="","",TODAY())</f>
        <v/>
      </c>
      <c r="E1933" s="29" t="n"/>
      <c r="F1933" s="20">
        <f>IFERROR(IF(OR(A1933="",E1933=""),"",C1933+E1933),"")</f>
        <v/>
      </c>
      <c r="G1933" s="30" t="n"/>
      <c r="H1933" s="27" t="n"/>
    </row>
    <row r="1934" ht="20" customHeight="1">
      <c r="A1934" s="26" t="n"/>
      <c r="B1934" s="31">
        <f>IFERROR(IF(A1934="","",VLOOKUP(A1934,DATABASE!$A:$B,2,0)),"")</f>
        <v/>
      </c>
      <c r="C1934" s="32">
        <f>IFERROR(IF(A1934="","",SUMIF(SAVINGS!$A$3:A1933,A1934,SAVINGS!$E$3:E1933)-SUMIF(WITHDRAWALS!$A:$A,A1934,WITHDRAWALS!$E:$E)),"")</f>
        <v/>
      </c>
      <c r="D1934" s="33">
        <f>IF(A1934="","",TODAY())</f>
        <v/>
      </c>
      <c r="E1934" s="29" t="n"/>
      <c r="F1934" s="32">
        <f>IFERROR(IF(OR(A1934="",E1934=""),"",C1934+E1934),"")</f>
        <v/>
      </c>
      <c r="G1934" s="30" t="n"/>
      <c r="H1934" s="31" t="n"/>
    </row>
    <row r="1935" ht="20" customHeight="1">
      <c r="A1935" s="26" t="n"/>
      <c r="B1935" s="27">
        <f>IFERROR(IF(A1935="","",VLOOKUP(A1935,DATABASE!$A:$B,2,0)),"")</f>
        <v/>
      </c>
      <c r="C1935" s="20">
        <f>IFERROR(IF(A1935="","",SUMIF(SAVINGS!$A$3:A1934,A1935,SAVINGS!$E$3:E1934)-SUMIF(WITHDRAWALS!$A:$A,A1935,WITHDRAWALS!$E:$E)),"")</f>
        <v/>
      </c>
      <c r="D1935" s="28">
        <f>IF(A1935="","",TODAY())</f>
        <v/>
      </c>
      <c r="E1935" s="29" t="n"/>
      <c r="F1935" s="20">
        <f>IFERROR(IF(OR(A1935="",E1935=""),"",C1935+E1935),"")</f>
        <v/>
      </c>
      <c r="G1935" s="30" t="n"/>
      <c r="H1935" s="27" t="n"/>
    </row>
    <row r="1936" ht="20" customHeight="1">
      <c r="A1936" s="26" t="n"/>
      <c r="B1936" s="31">
        <f>IFERROR(IF(A1936="","",VLOOKUP(A1936,DATABASE!$A:$B,2,0)),"")</f>
        <v/>
      </c>
      <c r="C1936" s="32">
        <f>IFERROR(IF(A1936="","",SUMIF(SAVINGS!$A$3:A1935,A1936,SAVINGS!$E$3:E1935)-SUMIF(WITHDRAWALS!$A:$A,A1936,WITHDRAWALS!$E:$E)),"")</f>
        <v/>
      </c>
      <c r="D1936" s="33">
        <f>IF(A1936="","",TODAY())</f>
        <v/>
      </c>
      <c r="E1936" s="29" t="n"/>
      <c r="F1936" s="32">
        <f>IFERROR(IF(OR(A1936="",E1936=""),"",C1936+E1936),"")</f>
        <v/>
      </c>
      <c r="G1936" s="30" t="n"/>
      <c r="H1936" s="31" t="n"/>
    </row>
    <row r="1937" ht="20" customHeight="1">
      <c r="A1937" s="26" t="n"/>
      <c r="B1937" s="27">
        <f>IFERROR(IF(A1937="","",VLOOKUP(A1937,DATABASE!$A:$B,2,0)),"")</f>
        <v/>
      </c>
      <c r="C1937" s="20">
        <f>IFERROR(IF(A1937="","",SUMIF(SAVINGS!$A$3:A1936,A1937,SAVINGS!$E$3:E1936)-SUMIF(WITHDRAWALS!$A:$A,A1937,WITHDRAWALS!$E:$E)),"")</f>
        <v/>
      </c>
      <c r="D1937" s="28">
        <f>IF(A1937="","",TODAY())</f>
        <v/>
      </c>
      <c r="E1937" s="29" t="n"/>
      <c r="F1937" s="20">
        <f>IFERROR(IF(OR(A1937="",E1937=""),"",C1937+E1937),"")</f>
        <v/>
      </c>
      <c r="G1937" s="30" t="n"/>
      <c r="H1937" s="27" t="n"/>
    </row>
    <row r="1938" ht="20" customHeight="1">
      <c r="A1938" s="26" t="n"/>
      <c r="B1938" s="31">
        <f>IFERROR(IF(A1938="","",VLOOKUP(A1938,DATABASE!$A:$B,2,0)),"")</f>
        <v/>
      </c>
      <c r="C1938" s="32">
        <f>IFERROR(IF(A1938="","",SUMIF(SAVINGS!$A$3:A1937,A1938,SAVINGS!$E$3:E1937)-SUMIF(WITHDRAWALS!$A:$A,A1938,WITHDRAWALS!$E:$E)),"")</f>
        <v/>
      </c>
      <c r="D1938" s="33">
        <f>IF(A1938="","",TODAY())</f>
        <v/>
      </c>
      <c r="E1938" s="29" t="n"/>
      <c r="F1938" s="32">
        <f>IFERROR(IF(OR(A1938="",E1938=""),"",C1938+E1938),"")</f>
        <v/>
      </c>
      <c r="G1938" s="30" t="n"/>
      <c r="H1938" s="31" t="n"/>
    </row>
    <row r="1939" ht="20" customHeight="1">
      <c r="A1939" s="26" t="n"/>
      <c r="B1939" s="27">
        <f>IFERROR(IF(A1939="","",VLOOKUP(A1939,DATABASE!$A:$B,2,0)),"")</f>
        <v/>
      </c>
      <c r="C1939" s="20">
        <f>IFERROR(IF(A1939="","",SUMIF(SAVINGS!$A$3:A1938,A1939,SAVINGS!$E$3:E1938)-SUMIF(WITHDRAWALS!$A:$A,A1939,WITHDRAWALS!$E:$E)),"")</f>
        <v/>
      </c>
      <c r="D1939" s="28">
        <f>IF(A1939="","",TODAY())</f>
        <v/>
      </c>
      <c r="E1939" s="29" t="n"/>
      <c r="F1939" s="20">
        <f>IFERROR(IF(OR(A1939="",E1939=""),"",C1939+E1939),"")</f>
        <v/>
      </c>
      <c r="G1939" s="30" t="n"/>
      <c r="H1939" s="27" t="n"/>
    </row>
    <row r="1940" ht="20" customHeight="1">
      <c r="A1940" s="26" t="n"/>
      <c r="B1940" s="31">
        <f>IFERROR(IF(A1940="","",VLOOKUP(A1940,DATABASE!$A:$B,2,0)),"")</f>
        <v/>
      </c>
      <c r="C1940" s="32">
        <f>IFERROR(IF(A1940="","",SUMIF(SAVINGS!$A$3:A1939,A1940,SAVINGS!$E$3:E1939)-SUMIF(WITHDRAWALS!$A:$A,A1940,WITHDRAWALS!$E:$E)),"")</f>
        <v/>
      </c>
      <c r="D1940" s="33">
        <f>IF(A1940="","",TODAY())</f>
        <v/>
      </c>
      <c r="E1940" s="29" t="n"/>
      <c r="F1940" s="32">
        <f>IFERROR(IF(OR(A1940="",E1940=""),"",C1940+E1940),"")</f>
        <v/>
      </c>
      <c r="G1940" s="30" t="n"/>
      <c r="H1940" s="31" t="n"/>
    </row>
    <row r="1941" ht="20" customHeight="1">
      <c r="A1941" s="26" t="n"/>
      <c r="B1941" s="27">
        <f>IFERROR(IF(A1941="","",VLOOKUP(A1941,DATABASE!$A:$B,2,0)),"")</f>
        <v/>
      </c>
      <c r="C1941" s="20">
        <f>IFERROR(IF(A1941="","",SUMIF(SAVINGS!$A$3:A1940,A1941,SAVINGS!$E$3:E1940)-SUMIF(WITHDRAWALS!$A:$A,A1941,WITHDRAWALS!$E:$E)),"")</f>
        <v/>
      </c>
      <c r="D1941" s="28">
        <f>IF(A1941="","",TODAY())</f>
        <v/>
      </c>
      <c r="E1941" s="29" t="n"/>
      <c r="F1941" s="20">
        <f>IFERROR(IF(OR(A1941="",E1941=""),"",C1941+E1941),"")</f>
        <v/>
      </c>
      <c r="G1941" s="30" t="n"/>
      <c r="H1941" s="27" t="n"/>
    </row>
    <row r="1942" ht="20" customHeight="1">
      <c r="A1942" s="26" t="n"/>
      <c r="B1942" s="31">
        <f>IFERROR(IF(A1942="","",VLOOKUP(A1942,DATABASE!$A:$B,2,0)),"")</f>
        <v/>
      </c>
      <c r="C1942" s="32">
        <f>IFERROR(IF(A1942="","",SUMIF(SAVINGS!$A$3:A1941,A1942,SAVINGS!$E$3:E1941)-SUMIF(WITHDRAWALS!$A:$A,A1942,WITHDRAWALS!$E:$E)),"")</f>
        <v/>
      </c>
      <c r="D1942" s="33">
        <f>IF(A1942="","",TODAY())</f>
        <v/>
      </c>
      <c r="E1942" s="29" t="n"/>
      <c r="F1942" s="32">
        <f>IFERROR(IF(OR(A1942="",E1942=""),"",C1942+E1942),"")</f>
        <v/>
      </c>
      <c r="G1942" s="30" t="n"/>
      <c r="H1942" s="31" t="n"/>
    </row>
    <row r="1943" ht="20" customHeight="1">
      <c r="A1943" s="26" t="n"/>
      <c r="B1943" s="27">
        <f>IFERROR(IF(A1943="","",VLOOKUP(A1943,DATABASE!$A:$B,2,0)),"")</f>
        <v/>
      </c>
      <c r="C1943" s="20">
        <f>IFERROR(IF(A1943="","",SUMIF(SAVINGS!$A$3:A1942,A1943,SAVINGS!$E$3:E1942)-SUMIF(WITHDRAWALS!$A:$A,A1943,WITHDRAWALS!$E:$E)),"")</f>
        <v/>
      </c>
      <c r="D1943" s="28">
        <f>IF(A1943="","",TODAY())</f>
        <v/>
      </c>
      <c r="E1943" s="29" t="n"/>
      <c r="F1943" s="20">
        <f>IFERROR(IF(OR(A1943="",E1943=""),"",C1943+E1943),"")</f>
        <v/>
      </c>
      <c r="G1943" s="30" t="n"/>
      <c r="H1943" s="27" t="n"/>
    </row>
    <row r="1944" ht="20" customHeight="1">
      <c r="A1944" s="26" t="n"/>
      <c r="B1944" s="31">
        <f>IFERROR(IF(A1944="","",VLOOKUP(A1944,DATABASE!$A:$B,2,0)),"")</f>
        <v/>
      </c>
      <c r="C1944" s="32">
        <f>IFERROR(IF(A1944="","",SUMIF(SAVINGS!$A$3:A1943,A1944,SAVINGS!$E$3:E1943)-SUMIF(WITHDRAWALS!$A:$A,A1944,WITHDRAWALS!$E:$E)),"")</f>
        <v/>
      </c>
      <c r="D1944" s="33">
        <f>IF(A1944="","",TODAY())</f>
        <v/>
      </c>
      <c r="E1944" s="29" t="n"/>
      <c r="F1944" s="32">
        <f>IFERROR(IF(OR(A1944="",E1944=""),"",C1944+E1944),"")</f>
        <v/>
      </c>
      <c r="G1944" s="30" t="n"/>
      <c r="H1944" s="31" t="n"/>
    </row>
    <row r="1945" ht="20" customHeight="1">
      <c r="A1945" s="26" t="n"/>
      <c r="B1945" s="27">
        <f>IFERROR(IF(A1945="","",VLOOKUP(A1945,DATABASE!$A:$B,2,0)),"")</f>
        <v/>
      </c>
      <c r="C1945" s="20">
        <f>IFERROR(IF(A1945="","",SUMIF(SAVINGS!$A$3:A1944,A1945,SAVINGS!$E$3:E1944)-SUMIF(WITHDRAWALS!$A:$A,A1945,WITHDRAWALS!$E:$E)),"")</f>
        <v/>
      </c>
      <c r="D1945" s="28">
        <f>IF(A1945="","",TODAY())</f>
        <v/>
      </c>
      <c r="E1945" s="29" t="n"/>
      <c r="F1945" s="20">
        <f>IFERROR(IF(OR(A1945="",E1945=""),"",C1945+E1945),"")</f>
        <v/>
      </c>
      <c r="G1945" s="30" t="n"/>
      <c r="H1945" s="27" t="n"/>
    </row>
    <row r="1946" ht="20" customHeight="1">
      <c r="A1946" s="26" t="n"/>
      <c r="B1946" s="31">
        <f>IFERROR(IF(A1946="","",VLOOKUP(A1946,DATABASE!$A:$B,2,0)),"")</f>
        <v/>
      </c>
      <c r="C1946" s="32">
        <f>IFERROR(IF(A1946="","",SUMIF(SAVINGS!$A$3:A1945,A1946,SAVINGS!$E$3:E1945)-SUMIF(WITHDRAWALS!$A:$A,A1946,WITHDRAWALS!$E:$E)),"")</f>
        <v/>
      </c>
      <c r="D1946" s="33">
        <f>IF(A1946="","",TODAY())</f>
        <v/>
      </c>
      <c r="E1946" s="29" t="n"/>
      <c r="F1946" s="32">
        <f>IFERROR(IF(OR(A1946="",E1946=""),"",C1946+E1946),"")</f>
        <v/>
      </c>
      <c r="G1946" s="30" t="n"/>
      <c r="H1946" s="31" t="n"/>
    </row>
    <row r="1947" ht="20" customHeight="1">
      <c r="A1947" s="26" t="n"/>
      <c r="B1947" s="27">
        <f>IFERROR(IF(A1947="","",VLOOKUP(A1947,DATABASE!$A:$B,2,0)),"")</f>
        <v/>
      </c>
      <c r="C1947" s="20">
        <f>IFERROR(IF(A1947="","",SUMIF(SAVINGS!$A$3:A1946,A1947,SAVINGS!$E$3:E1946)-SUMIF(WITHDRAWALS!$A:$A,A1947,WITHDRAWALS!$E:$E)),"")</f>
        <v/>
      </c>
      <c r="D1947" s="28">
        <f>IF(A1947="","",TODAY())</f>
        <v/>
      </c>
      <c r="E1947" s="29" t="n"/>
      <c r="F1947" s="20">
        <f>IFERROR(IF(OR(A1947="",E1947=""),"",C1947+E1947),"")</f>
        <v/>
      </c>
      <c r="G1947" s="30" t="n"/>
      <c r="H1947" s="27" t="n"/>
    </row>
    <row r="1948" ht="20" customHeight="1">
      <c r="A1948" s="26" t="n"/>
      <c r="B1948" s="31">
        <f>IFERROR(IF(A1948="","",VLOOKUP(A1948,DATABASE!$A:$B,2,0)),"")</f>
        <v/>
      </c>
      <c r="C1948" s="32">
        <f>IFERROR(IF(A1948="","",SUMIF(SAVINGS!$A$3:A1947,A1948,SAVINGS!$E$3:E1947)-SUMIF(WITHDRAWALS!$A:$A,A1948,WITHDRAWALS!$E:$E)),"")</f>
        <v/>
      </c>
      <c r="D1948" s="33">
        <f>IF(A1948="","",TODAY())</f>
        <v/>
      </c>
      <c r="E1948" s="29" t="n"/>
      <c r="F1948" s="32">
        <f>IFERROR(IF(OR(A1948="",E1948=""),"",C1948+E1948),"")</f>
        <v/>
      </c>
      <c r="G1948" s="30" t="n"/>
      <c r="H1948" s="31" t="n"/>
    </row>
    <row r="1949" ht="20" customHeight="1">
      <c r="A1949" s="26" t="n"/>
      <c r="B1949" s="27">
        <f>IFERROR(IF(A1949="","",VLOOKUP(A1949,DATABASE!$A:$B,2,0)),"")</f>
        <v/>
      </c>
      <c r="C1949" s="20">
        <f>IFERROR(IF(A1949="","",SUMIF(SAVINGS!$A$3:A1948,A1949,SAVINGS!$E$3:E1948)-SUMIF(WITHDRAWALS!$A:$A,A1949,WITHDRAWALS!$E:$E)),"")</f>
        <v/>
      </c>
      <c r="D1949" s="28">
        <f>IF(A1949="","",TODAY())</f>
        <v/>
      </c>
      <c r="E1949" s="29" t="n"/>
      <c r="F1949" s="20">
        <f>IFERROR(IF(OR(A1949="",E1949=""),"",C1949+E1949),"")</f>
        <v/>
      </c>
      <c r="G1949" s="30" t="n"/>
      <c r="H1949" s="27" t="n"/>
    </row>
    <row r="1950" ht="20" customHeight="1">
      <c r="A1950" s="26" t="n"/>
      <c r="B1950" s="31">
        <f>IFERROR(IF(A1950="","",VLOOKUP(A1950,DATABASE!$A:$B,2,0)),"")</f>
        <v/>
      </c>
      <c r="C1950" s="32">
        <f>IFERROR(IF(A1950="","",SUMIF(SAVINGS!$A$3:A1949,A1950,SAVINGS!$E$3:E1949)-SUMIF(WITHDRAWALS!$A:$A,A1950,WITHDRAWALS!$E:$E)),"")</f>
        <v/>
      </c>
      <c r="D1950" s="33">
        <f>IF(A1950="","",TODAY())</f>
        <v/>
      </c>
      <c r="E1950" s="29" t="n"/>
      <c r="F1950" s="32">
        <f>IFERROR(IF(OR(A1950="",E1950=""),"",C1950+E1950),"")</f>
        <v/>
      </c>
      <c r="G1950" s="30" t="n"/>
      <c r="H1950" s="31" t="n"/>
    </row>
    <row r="1951" ht="20" customHeight="1">
      <c r="A1951" s="26" t="n"/>
      <c r="B1951" s="27">
        <f>IFERROR(IF(A1951="","",VLOOKUP(A1951,DATABASE!$A:$B,2,0)),"")</f>
        <v/>
      </c>
      <c r="C1951" s="20">
        <f>IFERROR(IF(A1951="","",SUMIF(SAVINGS!$A$3:A1950,A1951,SAVINGS!$E$3:E1950)-SUMIF(WITHDRAWALS!$A:$A,A1951,WITHDRAWALS!$E:$E)),"")</f>
        <v/>
      </c>
      <c r="D1951" s="28">
        <f>IF(A1951="","",TODAY())</f>
        <v/>
      </c>
      <c r="E1951" s="29" t="n"/>
      <c r="F1951" s="20">
        <f>IFERROR(IF(OR(A1951="",E1951=""),"",C1951+E1951),"")</f>
        <v/>
      </c>
      <c r="G1951" s="30" t="n"/>
      <c r="H1951" s="27" t="n"/>
    </row>
    <row r="1952" ht="20" customHeight="1">
      <c r="A1952" s="26" t="n"/>
      <c r="B1952" s="31">
        <f>IFERROR(IF(A1952="","",VLOOKUP(A1952,DATABASE!$A:$B,2,0)),"")</f>
        <v/>
      </c>
      <c r="C1952" s="32">
        <f>IFERROR(IF(A1952="","",SUMIF(SAVINGS!$A$3:A1951,A1952,SAVINGS!$E$3:E1951)-SUMIF(WITHDRAWALS!$A:$A,A1952,WITHDRAWALS!$E:$E)),"")</f>
        <v/>
      </c>
      <c r="D1952" s="33">
        <f>IF(A1952="","",TODAY())</f>
        <v/>
      </c>
      <c r="E1952" s="29" t="n"/>
      <c r="F1952" s="32">
        <f>IFERROR(IF(OR(A1952="",E1952=""),"",C1952+E1952),"")</f>
        <v/>
      </c>
      <c r="G1952" s="30" t="n"/>
      <c r="H1952" s="31" t="n"/>
    </row>
    <row r="1953" ht="20" customHeight="1">
      <c r="A1953" s="26" t="n"/>
      <c r="B1953" s="27">
        <f>IFERROR(IF(A1953="","",VLOOKUP(A1953,DATABASE!$A:$B,2,0)),"")</f>
        <v/>
      </c>
      <c r="C1953" s="20">
        <f>IFERROR(IF(A1953="","",SUMIF(SAVINGS!$A$3:A1952,A1953,SAVINGS!$E$3:E1952)-SUMIF(WITHDRAWALS!$A:$A,A1953,WITHDRAWALS!$E:$E)),"")</f>
        <v/>
      </c>
      <c r="D1953" s="28">
        <f>IF(A1953="","",TODAY())</f>
        <v/>
      </c>
      <c r="E1953" s="29" t="n"/>
      <c r="F1953" s="20">
        <f>IFERROR(IF(OR(A1953="",E1953=""),"",C1953+E1953),"")</f>
        <v/>
      </c>
      <c r="G1953" s="30" t="n"/>
      <c r="H1953" s="27" t="n"/>
    </row>
    <row r="1954" ht="20" customHeight="1">
      <c r="A1954" s="26" t="n"/>
      <c r="B1954" s="31">
        <f>IFERROR(IF(A1954="","",VLOOKUP(A1954,DATABASE!$A:$B,2,0)),"")</f>
        <v/>
      </c>
      <c r="C1954" s="32">
        <f>IFERROR(IF(A1954="","",SUMIF(SAVINGS!$A$3:A1953,A1954,SAVINGS!$E$3:E1953)-SUMIF(WITHDRAWALS!$A:$A,A1954,WITHDRAWALS!$E:$E)),"")</f>
        <v/>
      </c>
      <c r="D1954" s="33">
        <f>IF(A1954="","",TODAY())</f>
        <v/>
      </c>
      <c r="E1954" s="29" t="n"/>
      <c r="F1954" s="32">
        <f>IFERROR(IF(OR(A1954="",E1954=""),"",C1954+E1954),"")</f>
        <v/>
      </c>
      <c r="G1954" s="30" t="n"/>
      <c r="H1954" s="31" t="n"/>
    </row>
    <row r="1955" ht="20" customHeight="1">
      <c r="A1955" s="26" t="n"/>
      <c r="B1955" s="27">
        <f>IFERROR(IF(A1955="","",VLOOKUP(A1955,DATABASE!$A:$B,2,0)),"")</f>
        <v/>
      </c>
      <c r="C1955" s="20">
        <f>IFERROR(IF(A1955="","",SUMIF(SAVINGS!$A$3:A1954,A1955,SAVINGS!$E$3:E1954)-SUMIF(WITHDRAWALS!$A:$A,A1955,WITHDRAWALS!$E:$E)),"")</f>
        <v/>
      </c>
      <c r="D1955" s="28">
        <f>IF(A1955="","",TODAY())</f>
        <v/>
      </c>
      <c r="E1955" s="29" t="n"/>
      <c r="F1955" s="20">
        <f>IFERROR(IF(OR(A1955="",E1955=""),"",C1955+E1955),"")</f>
        <v/>
      </c>
      <c r="G1955" s="30" t="n"/>
      <c r="H1955" s="27" t="n"/>
    </row>
    <row r="1956" ht="20" customHeight="1">
      <c r="A1956" s="26" t="n"/>
      <c r="B1956" s="31">
        <f>IFERROR(IF(A1956="","",VLOOKUP(A1956,DATABASE!$A:$B,2,0)),"")</f>
        <v/>
      </c>
      <c r="C1956" s="32">
        <f>IFERROR(IF(A1956="","",SUMIF(SAVINGS!$A$3:A1955,A1956,SAVINGS!$E$3:E1955)-SUMIF(WITHDRAWALS!$A:$A,A1956,WITHDRAWALS!$E:$E)),"")</f>
        <v/>
      </c>
      <c r="D1956" s="33">
        <f>IF(A1956="","",TODAY())</f>
        <v/>
      </c>
      <c r="E1956" s="29" t="n"/>
      <c r="F1956" s="32">
        <f>IFERROR(IF(OR(A1956="",E1956=""),"",C1956+E1956),"")</f>
        <v/>
      </c>
      <c r="G1956" s="30" t="n"/>
      <c r="H1956" s="31" t="n"/>
    </row>
    <row r="1957" ht="20" customHeight="1">
      <c r="A1957" s="26" t="n"/>
      <c r="B1957" s="27">
        <f>IFERROR(IF(A1957="","",VLOOKUP(A1957,DATABASE!$A:$B,2,0)),"")</f>
        <v/>
      </c>
      <c r="C1957" s="20">
        <f>IFERROR(IF(A1957="","",SUMIF(SAVINGS!$A$3:A1956,A1957,SAVINGS!$E$3:E1956)-SUMIF(WITHDRAWALS!$A:$A,A1957,WITHDRAWALS!$E:$E)),"")</f>
        <v/>
      </c>
      <c r="D1957" s="28">
        <f>IF(A1957="","",TODAY())</f>
        <v/>
      </c>
      <c r="E1957" s="29" t="n"/>
      <c r="F1957" s="20">
        <f>IFERROR(IF(OR(A1957="",E1957=""),"",C1957+E1957),"")</f>
        <v/>
      </c>
      <c r="G1957" s="30" t="n"/>
      <c r="H1957" s="27" t="n"/>
    </row>
    <row r="1958" ht="20" customHeight="1">
      <c r="A1958" s="26" t="n"/>
      <c r="B1958" s="31">
        <f>IFERROR(IF(A1958="","",VLOOKUP(A1958,DATABASE!$A:$B,2,0)),"")</f>
        <v/>
      </c>
      <c r="C1958" s="32">
        <f>IFERROR(IF(A1958="","",SUMIF(SAVINGS!$A$3:A1957,A1958,SAVINGS!$E$3:E1957)-SUMIF(WITHDRAWALS!$A:$A,A1958,WITHDRAWALS!$E:$E)),"")</f>
        <v/>
      </c>
      <c r="D1958" s="33">
        <f>IF(A1958="","",TODAY())</f>
        <v/>
      </c>
      <c r="E1958" s="29" t="n"/>
      <c r="F1958" s="32">
        <f>IFERROR(IF(OR(A1958="",E1958=""),"",C1958+E1958),"")</f>
        <v/>
      </c>
      <c r="G1958" s="30" t="n"/>
      <c r="H1958" s="31" t="n"/>
    </row>
    <row r="1959" ht="20" customHeight="1">
      <c r="A1959" s="26" t="n"/>
      <c r="B1959" s="27">
        <f>IFERROR(IF(A1959="","",VLOOKUP(A1959,DATABASE!$A:$B,2,0)),"")</f>
        <v/>
      </c>
      <c r="C1959" s="20">
        <f>IFERROR(IF(A1959="","",SUMIF(SAVINGS!$A$3:A1958,A1959,SAVINGS!$E$3:E1958)-SUMIF(WITHDRAWALS!$A:$A,A1959,WITHDRAWALS!$E:$E)),"")</f>
        <v/>
      </c>
      <c r="D1959" s="28">
        <f>IF(A1959="","",TODAY())</f>
        <v/>
      </c>
      <c r="E1959" s="29" t="n"/>
      <c r="F1959" s="20">
        <f>IFERROR(IF(OR(A1959="",E1959=""),"",C1959+E1959),"")</f>
        <v/>
      </c>
      <c r="G1959" s="30" t="n"/>
      <c r="H1959" s="27" t="n"/>
    </row>
    <row r="1960" ht="20" customHeight="1">
      <c r="A1960" s="26" t="n"/>
      <c r="B1960" s="31">
        <f>IFERROR(IF(A1960="","",VLOOKUP(A1960,DATABASE!$A:$B,2,0)),"")</f>
        <v/>
      </c>
      <c r="C1960" s="32">
        <f>IFERROR(IF(A1960="","",SUMIF(SAVINGS!$A$3:A1959,A1960,SAVINGS!$E$3:E1959)-SUMIF(WITHDRAWALS!$A:$A,A1960,WITHDRAWALS!$E:$E)),"")</f>
        <v/>
      </c>
      <c r="D1960" s="33">
        <f>IF(A1960="","",TODAY())</f>
        <v/>
      </c>
      <c r="E1960" s="29" t="n"/>
      <c r="F1960" s="32">
        <f>IFERROR(IF(OR(A1960="",E1960=""),"",C1960+E1960),"")</f>
        <v/>
      </c>
      <c r="G1960" s="30" t="n"/>
      <c r="H1960" s="31" t="n"/>
    </row>
    <row r="1961" ht="20" customHeight="1">
      <c r="A1961" s="26" t="n"/>
      <c r="B1961" s="27">
        <f>IFERROR(IF(A1961="","",VLOOKUP(A1961,DATABASE!$A:$B,2,0)),"")</f>
        <v/>
      </c>
      <c r="C1961" s="20">
        <f>IFERROR(IF(A1961="","",SUMIF(SAVINGS!$A$3:A1960,A1961,SAVINGS!$E$3:E1960)-SUMIF(WITHDRAWALS!$A:$A,A1961,WITHDRAWALS!$E:$E)),"")</f>
        <v/>
      </c>
      <c r="D1961" s="28">
        <f>IF(A1961="","",TODAY())</f>
        <v/>
      </c>
      <c r="E1961" s="29" t="n"/>
      <c r="F1961" s="20">
        <f>IFERROR(IF(OR(A1961="",E1961=""),"",C1961+E1961),"")</f>
        <v/>
      </c>
      <c r="G1961" s="30" t="n"/>
      <c r="H1961" s="27" t="n"/>
    </row>
    <row r="1962" ht="20" customHeight="1">
      <c r="A1962" s="26" t="n"/>
      <c r="B1962" s="31">
        <f>IFERROR(IF(A1962="","",VLOOKUP(A1962,DATABASE!$A:$B,2,0)),"")</f>
        <v/>
      </c>
      <c r="C1962" s="32">
        <f>IFERROR(IF(A1962="","",SUMIF(SAVINGS!$A$3:A1961,A1962,SAVINGS!$E$3:E1961)-SUMIF(WITHDRAWALS!$A:$A,A1962,WITHDRAWALS!$E:$E)),"")</f>
        <v/>
      </c>
      <c r="D1962" s="33">
        <f>IF(A1962="","",TODAY())</f>
        <v/>
      </c>
      <c r="E1962" s="29" t="n"/>
      <c r="F1962" s="32">
        <f>IFERROR(IF(OR(A1962="",E1962=""),"",C1962+E1962),"")</f>
        <v/>
      </c>
      <c r="G1962" s="30" t="n"/>
      <c r="H1962" s="31" t="n"/>
    </row>
    <row r="1963" ht="20" customHeight="1">
      <c r="A1963" s="26" t="n"/>
      <c r="B1963" s="27">
        <f>IFERROR(IF(A1963="","",VLOOKUP(A1963,DATABASE!$A:$B,2,0)),"")</f>
        <v/>
      </c>
      <c r="C1963" s="20">
        <f>IFERROR(IF(A1963="","",SUMIF(SAVINGS!$A$3:A1962,A1963,SAVINGS!$E$3:E1962)-SUMIF(WITHDRAWALS!$A:$A,A1963,WITHDRAWALS!$E:$E)),"")</f>
        <v/>
      </c>
      <c r="D1963" s="28">
        <f>IF(A1963="","",TODAY())</f>
        <v/>
      </c>
      <c r="E1963" s="29" t="n"/>
      <c r="F1963" s="20">
        <f>IFERROR(IF(OR(A1963="",E1963=""),"",C1963+E1963),"")</f>
        <v/>
      </c>
      <c r="G1963" s="30" t="n"/>
      <c r="H1963" s="27" t="n"/>
    </row>
    <row r="1964" ht="20" customHeight="1">
      <c r="A1964" s="26" t="n"/>
      <c r="B1964" s="31">
        <f>IFERROR(IF(A1964="","",VLOOKUP(A1964,DATABASE!$A:$B,2,0)),"")</f>
        <v/>
      </c>
      <c r="C1964" s="32">
        <f>IFERROR(IF(A1964="","",SUMIF(SAVINGS!$A$3:A1963,A1964,SAVINGS!$E$3:E1963)-SUMIF(WITHDRAWALS!$A:$A,A1964,WITHDRAWALS!$E:$E)),"")</f>
        <v/>
      </c>
      <c r="D1964" s="33">
        <f>IF(A1964="","",TODAY())</f>
        <v/>
      </c>
      <c r="E1964" s="29" t="n"/>
      <c r="F1964" s="32">
        <f>IFERROR(IF(OR(A1964="",E1964=""),"",C1964+E1964),"")</f>
        <v/>
      </c>
      <c r="G1964" s="30" t="n"/>
      <c r="H1964" s="31" t="n"/>
    </row>
    <row r="1965" ht="20" customHeight="1">
      <c r="A1965" s="26" t="n"/>
      <c r="B1965" s="27">
        <f>IFERROR(IF(A1965="","",VLOOKUP(A1965,DATABASE!$A:$B,2,0)),"")</f>
        <v/>
      </c>
      <c r="C1965" s="20">
        <f>IFERROR(IF(A1965="","",SUMIF(SAVINGS!$A$3:A1964,A1965,SAVINGS!$E$3:E1964)-SUMIF(WITHDRAWALS!$A:$A,A1965,WITHDRAWALS!$E:$E)),"")</f>
        <v/>
      </c>
      <c r="D1965" s="28">
        <f>IF(A1965="","",TODAY())</f>
        <v/>
      </c>
      <c r="E1965" s="29" t="n"/>
      <c r="F1965" s="20">
        <f>IFERROR(IF(OR(A1965="",E1965=""),"",C1965+E1965),"")</f>
        <v/>
      </c>
      <c r="G1965" s="30" t="n"/>
      <c r="H1965" s="27" t="n"/>
    </row>
    <row r="1966" ht="20" customHeight="1">
      <c r="A1966" s="26" t="n"/>
      <c r="B1966" s="31">
        <f>IFERROR(IF(A1966="","",VLOOKUP(A1966,DATABASE!$A:$B,2,0)),"")</f>
        <v/>
      </c>
      <c r="C1966" s="32">
        <f>IFERROR(IF(A1966="","",SUMIF(SAVINGS!$A$3:A1965,A1966,SAVINGS!$E$3:E1965)-SUMIF(WITHDRAWALS!$A:$A,A1966,WITHDRAWALS!$E:$E)),"")</f>
        <v/>
      </c>
      <c r="D1966" s="33">
        <f>IF(A1966="","",TODAY())</f>
        <v/>
      </c>
      <c r="E1966" s="29" t="n"/>
      <c r="F1966" s="32">
        <f>IFERROR(IF(OR(A1966="",E1966=""),"",C1966+E1966),"")</f>
        <v/>
      </c>
      <c r="G1966" s="30" t="n"/>
      <c r="H1966" s="31" t="n"/>
    </row>
    <row r="1967" ht="20" customHeight="1">
      <c r="A1967" s="26" t="n"/>
      <c r="B1967" s="27">
        <f>IFERROR(IF(A1967="","",VLOOKUP(A1967,DATABASE!$A:$B,2,0)),"")</f>
        <v/>
      </c>
      <c r="C1967" s="20">
        <f>IFERROR(IF(A1967="","",SUMIF(SAVINGS!$A$3:A1966,A1967,SAVINGS!$E$3:E1966)-SUMIF(WITHDRAWALS!$A:$A,A1967,WITHDRAWALS!$E:$E)),"")</f>
        <v/>
      </c>
      <c r="D1967" s="28">
        <f>IF(A1967="","",TODAY())</f>
        <v/>
      </c>
      <c r="E1967" s="29" t="n"/>
      <c r="F1967" s="20">
        <f>IFERROR(IF(OR(A1967="",E1967=""),"",C1967+E1967),"")</f>
        <v/>
      </c>
      <c r="G1967" s="30" t="n"/>
      <c r="H1967" s="27" t="n"/>
    </row>
    <row r="1968" ht="20" customHeight="1">
      <c r="A1968" s="26" t="n"/>
      <c r="B1968" s="31">
        <f>IFERROR(IF(A1968="","",VLOOKUP(A1968,DATABASE!$A:$B,2,0)),"")</f>
        <v/>
      </c>
      <c r="C1968" s="32">
        <f>IFERROR(IF(A1968="","",SUMIF(SAVINGS!$A$3:A1967,A1968,SAVINGS!$E$3:E1967)-SUMIF(WITHDRAWALS!$A:$A,A1968,WITHDRAWALS!$E:$E)),"")</f>
        <v/>
      </c>
      <c r="D1968" s="33">
        <f>IF(A1968="","",TODAY())</f>
        <v/>
      </c>
      <c r="E1968" s="29" t="n"/>
      <c r="F1968" s="32">
        <f>IFERROR(IF(OR(A1968="",E1968=""),"",C1968+E1968),"")</f>
        <v/>
      </c>
      <c r="G1968" s="30" t="n"/>
      <c r="H1968" s="31" t="n"/>
    </row>
    <row r="1969" ht="20" customHeight="1">
      <c r="A1969" s="26" t="n"/>
      <c r="B1969" s="27">
        <f>IFERROR(IF(A1969="","",VLOOKUP(A1969,DATABASE!$A:$B,2,0)),"")</f>
        <v/>
      </c>
      <c r="C1969" s="20">
        <f>IFERROR(IF(A1969="","",SUMIF(SAVINGS!$A$3:A1968,A1969,SAVINGS!$E$3:E1968)-SUMIF(WITHDRAWALS!$A:$A,A1969,WITHDRAWALS!$E:$E)),"")</f>
        <v/>
      </c>
      <c r="D1969" s="28">
        <f>IF(A1969="","",TODAY())</f>
        <v/>
      </c>
      <c r="E1969" s="29" t="n"/>
      <c r="F1969" s="20">
        <f>IFERROR(IF(OR(A1969="",E1969=""),"",C1969+E1969),"")</f>
        <v/>
      </c>
      <c r="G1969" s="30" t="n"/>
      <c r="H1969" s="27" t="n"/>
    </row>
    <row r="1970" ht="20" customHeight="1">
      <c r="A1970" s="26" t="n"/>
      <c r="B1970" s="31">
        <f>IFERROR(IF(A1970="","",VLOOKUP(A1970,DATABASE!$A:$B,2,0)),"")</f>
        <v/>
      </c>
      <c r="C1970" s="32">
        <f>IFERROR(IF(A1970="","",SUMIF(SAVINGS!$A$3:A1969,A1970,SAVINGS!$E$3:E1969)-SUMIF(WITHDRAWALS!$A:$A,A1970,WITHDRAWALS!$E:$E)),"")</f>
        <v/>
      </c>
      <c r="D1970" s="33">
        <f>IF(A1970="","",TODAY())</f>
        <v/>
      </c>
      <c r="E1970" s="29" t="n"/>
      <c r="F1970" s="32">
        <f>IFERROR(IF(OR(A1970="",E1970=""),"",C1970+E1970),"")</f>
        <v/>
      </c>
      <c r="G1970" s="30" t="n"/>
      <c r="H1970" s="31" t="n"/>
    </row>
    <row r="1971" ht="20" customHeight="1">
      <c r="A1971" s="26" t="n"/>
      <c r="B1971" s="27">
        <f>IFERROR(IF(A1971="","",VLOOKUP(A1971,DATABASE!$A:$B,2,0)),"")</f>
        <v/>
      </c>
      <c r="C1971" s="20">
        <f>IFERROR(IF(A1971="","",SUMIF(SAVINGS!$A$3:A1970,A1971,SAVINGS!$E$3:E1970)-SUMIF(WITHDRAWALS!$A:$A,A1971,WITHDRAWALS!$E:$E)),"")</f>
        <v/>
      </c>
      <c r="D1971" s="28">
        <f>IF(A1971="","",TODAY())</f>
        <v/>
      </c>
      <c r="E1971" s="29" t="n"/>
      <c r="F1971" s="20">
        <f>IFERROR(IF(OR(A1971="",E1971=""),"",C1971+E1971),"")</f>
        <v/>
      </c>
      <c r="G1971" s="30" t="n"/>
      <c r="H1971" s="27" t="n"/>
    </row>
    <row r="1972" ht="20" customHeight="1">
      <c r="A1972" s="26" t="n"/>
      <c r="B1972" s="31">
        <f>IFERROR(IF(A1972="","",VLOOKUP(A1972,DATABASE!$A:$B,2,0)),"")</f>
        <v/>
      </c>
      <c r="C1972" s="32">
        <f>IFERROR(IF(A1972="","",SUMIF(SAVINGS!$A$3:A1971,A1972,SAVINGS!$E$3:E1971)-SUMIF(WITHDRAWALS!$A:$A,A1972,WITHDRAWALS!$E:$E)),"")</f>
        <v/>
      </c>
      <c r="D1972" s="33">
        <f>IF(A1972="","",TODAY())</f>
        <v/>
      </c>
      <c r="E1972" s="29" t="n"/>
      <c r="F1972" s="32">
        <f>IFERROR(IF(OR(A1972="",E1972=""),"",C1972+E1972),"")</f>
        <v/>
      </c>
      <c r="G1972" s="30" t="n"/>
      <c r="H1972" s="31" t="n"/>
    </row>
    <row r="1973" ht="20" customHeight="1">
      <c r="A1973" s="26" t="n"/>
      <c r="B1973" s="27">
        <f>IFERROR(IF(A1973="","",VLOOKUP(A1973,DATABASE!$A:$B,2,0)),"")</f>
        <v/>
      </c>
      <c r="C1973" s="20">
        <f>IFERROR(IF(A1973="","",SUMIF(SAVINGS!$A$3:A1972,A1973,SAVINGS!$E$3:E1972)-SUMIF(WITHDRAWALS!$A:$A,A1973,WITHDRAWALS!$E:$E)),"")</f>
        <v/>
      </c>
      <c r="D1973" s="28">
        <f>IF(A1973="","",TODAY())</f>
        <v/>
      </c>
      <c r="E1973" s="29" t="n"/>
      <c r="F1973" s="20">
        <f>IFERROR(IF(OR(A1973="",E1973=""),"",C1973+E1973),"")</f>
        <v/>
      </c>
      <c r="G1973" s="30" t="n"/>
      <c r="H1973" s="27" t="n"/>
    </row>
    <row r="1974" ht="20" customHeight="1">
      <c r="A1974" s="26" t="n"/>
      <c r="B1974" s="31">
        <f>IFERROR(IF(A1974="","",VLOOKUP(A1974,DATABASE!$A:$B,2,0)),"")</f>
        <v/>
      </c>
      <c r="C1974" s="32">
        <f>IFERROR(IF(A1974="","",SUMIF(SAVINGS!$A$3:A1973,A1974,SAVINGS!$E$3:E1973)-SUMIF(WITHDRAWALS!$A:$A,A1974,WITHDRAWALS!$E:$E)),"")</f>
        <v/>
      </c>
      <c r="D1974" s="33">
        <f>IF(A1974="","",TODAY())</f>
        <v/>
      </c>
      <c r="E1974" s="29" t="n"/>
      <c r="F1974" s="32">
        <f>IFERROR(IF(OR(A1974="",E1974=""),"",C1974+E1974),"")</f>
        <v/>
      </c>
      <c r="G1974" s="30" t="n"/>
      <c r="H1974" s="31" t="n"/>
    </row>
    <row r="1975" ht="20" customHeight="1">
      <c r="A1975" s="26" t="n"/>
      <c r="B1975" s="27">
        <f>IFERROR(IF(A1975="","",VLOOKUP(A1975,DATABASE!$A:$B,2,0)),"")</f>
        <v/>
      </c>
      <c r="C1975" s="20">
        <f>IFERROR(IF(A1975="","",SUMIF(SAVINGS!$A$3:A1974,A1975,SAVINGS!$E$3:E1974)-SUMIF(WITHDRAWALS!$A:$A,A1975,WITHDRAWALS!$E:$E)),"")</f>
        <v/>
      </c>
      <c r="D1975" s="28">
        <f>IF(A1975="","",TODAY())</f>
        <v/>
      </c>
      <c r="E1975" s="29" t="n"/>
      <c r="F1975" s="20">
        <f>IFERROR(IF(OR(A1975="",E1975=""),"",C1975+E1975),"")</f>
        <v/>
      </c>
      <c r="G1975" s="30" t="n"/>
      <c r="H1975" s="27" t="n"/>
    </row>
    <row r="1976" ht="20" customHeight="1">
      <c r="A1976" s="26" t="n"/>
      <c r="B1976" s="31">
        <f>IFERROR(IF(A1976="","",VLOOKUP(A1976,DATABASE!$A:$B,2,0)),"")</f>
        <v/>
      </c>
      <c r="C1976" s="32">
        <f>IFERROR(IF(A1976="","",SUMIF(SAVINGS!$A$3:A1975,A1976,SAVINGS!$E$3:E1975)-SUMIF(WITHDRAWALS!$A:$A,A1976,WITHDRAWALS!$E:$E)),"")</f>
        <v/>
      </c>
      <c r="D1976" s="33">
        <f>IF(A1976="","",TODAY())</f>
        <v/>
      </c>
      <c r="E1976" s="29" t="n"/>
      <c r="F1976" s="32">
        <f>IFERROR(IF(OR(A1976="",E1976=""),"",C1976+E1976),"")</f>
        <v/>
      </c>
      <c r="G1976" s="30" t="n"/>
      <c r="H1976" s="31" t="n"/>
    </row>
    <row r="1977" ht="20" customHeight="1">
      <c r="A1977" s="26" t="n"/>
      <c r="B1977" s="27">
        <f>IFERROR(IF(A1977="","",VLOOKUP(A1977,DATABASE!$A:$B,2,0)),"")</f>
        <v/>
      </c>
      <c r="C1977" s="20">
        <f>IFERROR(IF(A1977="","",SUMIF(SAVINGS!$A$3:A1976,A1977,SAVINGS!$E$3:E1976)-SUMIF(WITHDRAWALS!$A:$A,A1977,WITHDRAWALS!$E:$E)),"")</f>
        <v/>
      </c>
      <c r="D1977" s="28">
        <f>IF(A1977="","",TODAY())</f>
        <v/>
      </c>
      <c r="E1977" s="29" t="n"/>
      <c r="F1977" s="20">
        <f>IFERROR(IF(OR(A1977="",E1977=""),"",C1977+E1977),"")</f>
        <v/>
      </c>
      <c r="G1977" s="30" t="n"/>
      <c r="H1977" s="27" t="n"/>
    </row>
    <row r="1978" ht="20" customHeight="1">
      <c r="A1978" s="26" t="n"/>
      <c r="B1978" s="31">
        <f>IFERROR(IF(A1978="","",VLOOKUP(A1978,DATABASE!$A:$B,2,0)),"")</f>
        <v/>
      </c>
      <c r="C1978" s="32">
        <f>IFERROR(IF(A1978="","",SUMIF(SAVINGS!$A$3:A1977,A1978,SAVINGS!$E$3:E1977)-SUMIF(WITHDRAWALS!$A:$A,A1978,WITHDRAWALS!$E:$E)),"")</f>
        <v/>
      </c>
      <c r="D1978" s="33">
        <f>IF(A1978="","",TODAY())</f>
        <v/>
      </c>
      <c r="E1978" s="29" t="n"/>
      <c r="F1978" s="32">
        <f>IFERROR(IF(OR(A1978="",E1978=""),"",C1978+E1978),"")</f>
        <v/>
      </c>
      <c r="G1978" s="30" t="n"/>
      <c r="H1978" s="31" t="n"/>
    </row>
    <row r="1979" ht="20" customHeight="1">
      <c r="A1979" s="26" t="n"/>
      <c r="B1979" s="27">
        <f>IFERROR(IF(A1979="","",VLOOKUP(A1979,DATABASE!$A:$B,2,0)),"")</f>
        <v/>
      </c>
      <c r="C1979" s="20">
        <f>IFERROR(IF(A1979="","",SUMIF(SAVINGS!$A$3:A1978,A1979,SAVINGS!$E$3:E1978)-SUMIF(WITHDRAWALS!$A:$A,A1979,WITHDRAWALS!$E:$E)),"")</f>
        <v/>
      </c>
      <c r="D1979" s="28">
        <f>IF(A1979="","",TODAY())</f>
        <v/>
      </c>
      <c r="E1979" s="29" t="n"/>
      <c r="F1979" s="20">
        <f>IFERROR(IF(OR(A1979="",E1979=""),"",C1979+E1979),"")</f>
        <v/>
      </c>
      <c r="G1979" s="30" t="n"/>
      <c r="H1979" s="27" t="n"/>
    </row>
    <row r="1980" ht="20" customHeight="1">
      <c r="A1980" s="26" t="n"/>
      <c r="B1980" s="31">
        <f>IFERROR(IF(A1980="","",VLOOKUP(A1980,DATABASE!$A:$B,2,0)),"")</f>
        <v/>
      </c>
      <c r="C1980" s="32">
        <f>IFERROR(IF(A1980="","",SUMIF(SAVINGS!$A$3:A1979,A1980,SAVINGS!$E$3:E1979)-SUMIF(WITHDRAWALS!$A:$A,A1980,WITHDRAWALS!$E:$E)),"")</f>
        <v/>
      </c>
      <c r="D1980" s="33">
        <f>IF(A1980="","",TODAY())</f>
        <v/>
      </c>
      <c r="E1980" s="29" t="n"/>
      <c r="F1980" s="32">
        <f>IFERROR(IF(OR(A1980="",E1980=""),"",C1980+E1980),"")</f>
        <v/>
      </c>
      <c r="G1980" s="30" t="n"/>
      <c r="H1980" s="31" t="n"/>
    </row>
    <row r="1981" ht="20" customHeight="1">
      <c r="A1981" s="26" t="n"/>
      <c r="B1981" s="27">
        <f>IFERROR(IF(A1981="","",VLOOKUP(A1981,DATABASE!$A:$B,2,0)),"")</f>
        <v/>
      </c>
      <c r="C1981" s="20">
        <f>IFERROR(IF(A1981="","",SUMIF(SAVINGS!$A$3:A1980,A1981,SAVINGS!$E$3:E1980)-SUMIF(WITHDRAWALS!$A:$A,A1981,WITHDRAWALS!$E:$E)),"")</f>
        <v/>
      </c>
      <c r="D1981" s="28">
        <f>IF(A1981="","",TODAY())</f>
        <v/>
      </c>
      <c r="E1981" s="29" t="n"/>
      <c r="F1981" s="20">
        <f>IFERROR(IF(OR(A1981="",E1981=""),"",C1981+E1981),"")</f>
        <v/>
      </c>
      <c r="G1981" s="30" t="n"/>
      <c r="H1981" s="27" t="n"/>
    </row>
    <row r="1982" ht="20" customHeight="1">
      <c r="A1982" s="26" t="n"/>
      <c r="B1982" s="31">
        <f>IFERROR(IF(A1982="","",VLOOKUP(A1982,DATABASE!$A:$B,2,0)),"")</f>
        <v/>
      </c>
      <c r="C1982" s="32">
        <f>IFERROR(IF(A1982="","",SUMIF(SAVINGS!$A$3:A1981,A1982,SAVINGS!$E$3:E1981)-SUMIF(WITHDRAWALS!$A:$A,A1982,WITHDRAWALS!$E:$E)),"")</f>
        <v/>
      </c>
      <c r="D1982" s="33">
        <f>IF(A1982="","",TODAY())</f>
        <v/>
      </c>
      <c r="E1982" s="29" t="n"/>
      <c r="F1982" s="32">
        <f>IFERROR(IF(OR(A1982="",E1982=""),"",C1982+E1982),"")</f>
        <v/>
      </c>
      <c r="G1982" s="30" t="n"/>
      <c r="H1982" s="31" t="n"/>
    </row>
    <row r="1983" ht="20" customHeight="1">
      <c r="A1983" s="26" t="n"/>
      <c r="B1983" s="27">
        <f>IFERROR(IF(A1983="","",VLOOKUP(A1983,DATABASE!$A:$B,2,0)),"")</f>
        <v/>
      </c>
      <c r="C1983" s="20">
        <f>IFERROR(IF(A1983="","",SUMIF(SAVINGS!$A$3:A1982,A1983,SAVINGS!$E$3:E1982)-SUMIF(WITHDRAWALS!$A:$A,A1983,WITHDRAWALS!$E:$E)),"")</f>
        <v/>
      </c>
      <c r="D1983" s="28">
        <f>IF(A1983="","",TODAY())</f>
        <v/>
      </c>
      <c r="E1983" s="29" t="n"/>
      <c r="F1983" s="20">
        <f>IFERROR(IF(OR(A1983="",E1983=""),"",C1983+E1983),"")</f>
        <v/>
      </c>
      <c r="G1983" s="30" t="n"/>
      <c r="H1983" s="27" t="n"/>
    </row>
    <row r="1984" ht="20" customHeight="1">
      <c r="A1984" s="26" t="n"/>
      <c r="B1984" s="31">
        <f>IFERROR(IF(A1984="","",VLOOKUP(A1984,DATABASE!$A:$B,2,0)),"")</f>
        <v/>
      </c>
      <c r="C1984" s="32">
        <f>IFERROR(IF(A1984="","",SUMIF(SAVINGS!$A$3:A1983,A1984,SAVINGS!$E$3:E1983)-SUMIF(WITHDRAWALS!$A:$A,A1984,WITHDRAWALS!$E:$E)),"")</f>
        <v/>
      </c>
      <c r="D1984" s="33">
        <f>IF(A1984="","",TODAY())</f>
        <v/>
      </c>
      <c r="E1984" s="29" t="n"/>
      <c r="F1984" s="32">
        <f>IFERROR(IF(OR(A1984="",E1984=""),"",C1984+E1984),"")</f>
        <v/>
      </c>
      <c r="G1984" s="30" t="n"/>
      <c r="H1984" s="31" t="n"/>
    </row>
    <row r="1985" ht="20" customHeight="1">
      <c r="A1985" s="26" t="n"/>
      <c r="B1985" s="27">
        <f>IFERROR(IF(A1985="","",VLOOKUP(A1985,DATABASE!$A:$B,2,0)),"")</f>
        <v/>
      </c>
      <c r="C1985" s="20">
        <f>IFERROR(IF(A1985="","",SUMIF(SAVINGS!$A$3:A1984,A1985,SAVINGS!$E$3:E1984)-SUMIF(WITHDRAWALS!$A:$A,A1985,WITHDRAWALS!$E:$E)),"")</f>
        <v/>
      </c>
      <c r="D1985" s="28">
        <f>IF(A1985="","",TODAY())</f>
        <v/>
      </c>
      <c r="E1985" s="29" t="n"/>
      <c r="F1985" s="20">
        <f>IFERROR(IF(OR(A1985="",E1985=""),"",C1985+E1985),"")</f>
        <v/>
      </c>
      <c r="G1985" s="30" t="n"/>
      <c r="H1985" s="27" t="n"/>
    </row>
    <row r="1986" ht="20" customHeight="1">
      <c r="A1986" s="26" t="n"/>
      <c r="B1986" s="31">
        <f>IFERROR(IF(A1986="","",VLOOKUP(A1986,DATABASE!$A:$B,2,0)),"")</f>
        <v/>
      </c>
      <c r="C1986" s="32">
        <f>IFERROR(IF(A1986="","",SUMIF(SAVINGS!$A$3:A1985,A1986,SAVINGS!$E$3:E1985)-SUMIF(WITHDRAWALS!$A:$A,A1986,WITHDRAWALS!$E:$E)),"")</f>
        <v/>
      </c>
      <c r="D1986" s="33">
        <f>IF(A1986="","",TODAY())</f>
        <v/>
      </c>
      <c r="E1986" s="29" t="n"/>
      <c r="F1986" s="32">
        <f>IFERROR(IF(OR(A1986="",E1986=""),"",C1986+E1986),"")</f>
        <v/>
      </c>
      <c r="G1986" s="30" t="n"/>
      <c r="H1986" s="31" t="n"/>
    </row>
    <row r="1987" ht="20" customHeight="1">
      <c r="A1987" s="26" t="n"/>
      <c r="B1987" s="27">
        <f>IFERROR(IF(A1987="","",VLOOKUP(A1987,DATABASE!$A:$B,2,0)),"")</f>
        <v/>
      </c>
      <c r="C1987" s="20">
        <f>IFERROR(IF(A1987="","",SUMIF(SAVINGS!$A$3:A1986,A1987,SAVINGS!$E$3:E1986)-SUMIF(WITHDRAWALS!$A:$A,A1987,WITHDRAWALS!$E:$E)),"")</f>
        <v/>
      </c>
      <c r="D1987" s="28">
        <f>IF(A1987="","",TODAY())</f>
        <v/>
      </c>
      <c r="E1987" s="29" t="n"/>
      <c r="F1987" s="20">
        <f>IFERROR(IF(OR(A1987="",E1987=""),"",C1987+E1987),"")</f>
        <v/>
      </c>
      <c r="G1987" s="30" t="n"/>
      <c r="H1987" s="27" t="n"/>
    </row>
    <row r="1988" ht="20" customHeight="1">
      <c r="A1988" s="26" t="n"/>
      <c r="B1988" s="31">
        <f>IFERROR(IF(A1988="","",VLOOKUP(A1988,DATABASE!$A:$B,2,0)),"")</f>
        <v/>
      </c>
      <c r="C1988" s="32">
        <f>IFERROR(IF(A1988="","",SUMIF(SAVINGS!$A$3:A1987,A1988,SAVINGS!$E$3:E1987)-SUMIF(WITHDRAWALS!$A:$A,A1988,WITHDRAWALS!$E:$E)),"")</f>
        <v/>
      </c>
      <c r="D1988" s="33">
        <f>IF(A1988="","",TODAY())</f>
        <v/>
      </c>
      <c r="E1988" s="29" t="n"/>
      <c r="F1988" s="32">
        <f>IFERROR(IF(OR(A1988="",E1988=""),"",C1988+E1988),"")</f>
        <v/>
      </c>
      <c r="G1988" s="30" t="n"/>
      <c r="H1988" s="31" t="n"/>
    </row>
    <row r="1989" ht="20" customHeight="1">
      <c r="A1989" s="26" t="n"/>
      <c r="B1989" s="27">
        <f>IFERROR(IF(A1989="","",VLOOKUP(A1989,DATABASE!$A:$B,2,0)),"")</f>
        <v/>
      </c>
      <c r="C1989" s="20">
        <f>IFERROR(IF(A1989="","",SUMIF(SAVINGS!$A$3:A1988,A1989,SAVINGS!$E$3:E1988)-SUMIF(WITHDRAWALS!$A:$A,A1989,WITHDRAWALS!$E:$E)),"")</f>
        <v/>
      </c>
      <c r="D1989" s="28">
        <f>IF(A1989="","",TODAY())</f>
        <v/>
      </c>
      <c r="E1989" s="29" t="n"/>
      <c r="F1989" s="20">
        <f>IFERROR(IF(OR(A1989="",E1989=""),"",C1989+E1989),"")</f>
        <v/>
      </c>
      <c r="G1989" s="30" t="n"/>
      <c r="H1989" s="27" t="n"/>
    </row>
    <row r="1990" ht="20" customHeight="1">
      <c r="A1990" s="26" t="n"/>
      <c r="B1990" s="31">
        <f>IFERROR(IF(A1990="","",VLOOKUP(A1990,DATABASE!$A:$B,2,0)),"")</f>
        <v/>
      </c>
      <c r="C1990" s="32">
        <f>IFERROR(IF(A1990="","",SUMIF(SAVINGS!$A$3:A1989,A1990,SAVINGS!$E$3:E1989)-SUMIF(WITHDRAWALS!$A:$A,A1990,WITHDRAWALS!$E:$E)),"")</f>
        <v/>
      </c>
      <c r="D1990" s="33">
        <f>IF(A1990="","",TODAY())</f>
        <v/>
      </c>
      <c r="E1990" s="29" t="n"/>
      <c r="F1990" s="32">
        <f>IFERROR(IF(OR(A1990="",E1990=""),"",C1990+E1990),"")</f>
        <v/>
      </c>
      <c r="G1990" s="30" t="n"/>
      <c r="H1990" s="31" t="n"/>
    </row>
    <row r="1991" ht="20" customHeight="1">
      <c r="A1991" s="26" t="n"/>
      <c r="B1991" s="27">
        <f>IFERROR(IF(A1991="","",VLOOKUP(A1991,DATABASE!$A:$B,2,0)),"")</f>
        <v/>
      </c>
      <c r="C1991" s="20">
        <f>IFERROR(IF(A1991="","",SUMIF(SAVINGS!$A$3:A1990,A1991,SAVINGS!$E$3:E1990)-SUMIF(WITHDRAWALS!$A:$A,A1991,WITHDRAWALS!$E:$E)),"")</f>
        <v/>
      </c>
      <c r="D1991" s="28">
        <f>IF(A1991="","",TODAY())</f>
        <v/>
      </c>
      <c r="E1991" s="29" t="n"/>
      <c r="F1991" s="20">
        <f>IFERROR(IF(OR(A1991="",E1991=""),"",C1991+E1991),"")</f>
        <v/>
      </c>
      <c r="G1991" s="30" t="n"/>
      <c r="H1991" s="27" t="n"/>
    </row>
    <row r="1992" ht="20" customHeight="1">
      <c r="A1992" s="26" t="n"/>
      <c r="B1992" s="31">
        <f>IFERROR(IF(A1992="","",VLOOKUP(A1992,DATABASE!$A:$B,2,0)),"")</f>
        <v/>
      </c>
      <c r="C1992" s="32">
        <f>IFERROR(IF(A1992="","",SUMIF(SAVINGS!$A$3:A1991,A1992,SAVINGS!$E$3:E1991)-SUMIF(WITHDRAWALS!$A:$A,A1992,WITHDRAWALS!$E:$E)),"")</f>
        <v/>
      </c>
      <c r="D1992" s="33">
        <f>IF(A1992="","",TODAY())</f>
        <v/>
      </c>
      <c r="E1992" s="29" t="n"/>
      <c r="F1992" s="32">
        <f>IFERROR(IF(OR(A1992="",E1992=""),"",C1992+E1992),"")</f>
        <v/>
      </c>
      <c r="G1992" s="30" t="n"/>
      <c r="H1992" s="31" t="n"/>
    </row>
    <row r="1993" ht="20" customHeight="1">
      <c r="A1993" s="26" t="n"/>
      <c r="B1993" s="27">
        <f>IFERROR(IF(A1993="","",VLOOKUP(A1993,DATABASE!$A:$B,2,0)),"")</f>
        <v/>
      </c>
      <c r="C1993" s="20">
        <f>IFERROR(IF(A1993="","",SUMIF(SAVINGS!$A$3:A1992,A1993,SAVINGS!$E$3:E1992)-SUMIF(WITHDRAWALS!$A:$A,A1993,WITHDRAWALS!$E:$E)),"")</f>
        <v/>
      </c>
      <c r="D1993" s="28">
        <f>IF(A1993="","",TODAY())</f>
        <v/>
      </c>
      <c r="E1993" s="29" t="n"/>
      <c r="F1993" s="20">
        <f>IFERROR(IF(OR(A1993="",E1993=""),"",C1993+E1993),"")</f>
        <v/>
      </c>
      <c r="G1993" s="30" t="n"/>
      <c r="H1993" s="27" t="n"/>
    </row>
    <row r="1994" ht="20" customHeight="1">
      <c r="A1994" s="26" t="n"/>
      <c r="B1994" s="31">
        <f>IFERROR(IF(A1994="","",VLOOKUP(A1994,DATABASE!$A:$B,2,0)),"")</f>
        <v/>
      </c>
      <c r="C1994" s="32">
        <f>IFERROR(IF(A1994="","",SUMIF(SAVINGS!$A$3:A1993,A1994,SAVINGS!$E$3:E1993)-SUMIF(WITHDRAWALS!$A:$A,A1994,WITHDRAWALS!$E:$E)),"")</f>
        <v/>
      </c>
      <c r="D1994" s="33">
        <f>IF(A1994="","",TODAY())</f>
        <v/>
      </c>
      <c r="E1994" s="29" t="n"/>
      <c r="F1994" s="32">
        <f>IFERROR(IF(OR(A1994="",E1994=""),"",C1994+E1994),"")</f>
        <v/>
      </c>
      <c r="G1994" s="30" t="n"/>
      <c r="H1994" s="31" t="n"/>
    </row>
    <row r="1995" ht="20" customHeight="1">
      <c r="A1995" s="26" t="n"/>
      <c r="B1995" s="27">
        <f>IFERROR(IF(A1995="","",VLOOKUP(A1995,DATABASE!$A:$B,2,0)),"")</f>
        <v/>
      </c>
      <c r="C1995" s="20">
        <f>IFERROR(IF(A1995="","",SUMIF(SAVINGS!$A$3:A1994,A1995,SAVINGS!$E$3:E1994)-SUMIF(WITHDRAWALS!$A:$A,A1995,WITHDRAWALS!$E:$E)),"")</f>
        <v/>
      </c>
      <c r="D1995" s="28">
        <f>IF(A1995="","",TODAY())</f>
        <v/>
      </c>
      <c r="E1995" s="29" t="n"/>
      <c r="F1995" s="20">
        <f>IFERROR(IF(OR(A1995="",E1995=""),"",C1995+E1995),"")</f>
        <v/>
      </c>
      <c r="G1995" s="30" t="n"/>
      <c r="H1995" s="27" t="n"/>
    </row>
    <row r="1996" ht="20" customHeight="1">
      <c r="A1996" s="26" t="n"/>
      <c r="B1996" s="31">
        <f>IFERROR(IF(A1996="","",VLOOKUP(A1996,DATABASE!$A:$B,2,0)),"")</f>
        <v/>
      </c>
      <c r="C1996" s="32">
        <f>IFERROR(IF(A1996="","",SUMIF(SAVINGS!$A$3:A1995,A1996,SAVINGS!$E$3:E1995)-SUMIF(WITHDRAWALS!$A:$A,A1996,WITHDRAWALS!$E:$E)),"")</f>
        <v/>
      </c>
      <c r="D1996" s="33">
        <f>IF(A1996="","",TODAY())</f>
        <v/>
      </c>
      <c r="E1996" s="29" t="n"/>
      <c r="F1996" s="32">
        <f>IFERROR(IF(OR(A1996="",E1996=""),"",C1996+E1996),"")</f>
        <v/>
      </c>
      <c r="G1996" s="30" t="n"/>
      <c r="H1996" s="31" t="n"/>
    </row>
    <row r="1997" ht="20" customHeight="1">
      <c r="A1997" s="26" t="n"/>
      <c r="B1997" s="27">
        <f>IFERROR(IF(A1997="","",VLOOKUP(A1997,DATABASE!$A:$B,2,0)),"")</f>
        <v/>
      </c>
      <c r="C1997" s="20">
        <f>IFERROR(IF(A1997="","",SUMIF(SAVINGS!$A$3:A1996,A1997,SAVINGS!$E$3:E1996)-SUMIF(WITHDRAWALS!$A:$A,A1997,WITHDRAWALS!$E:$E)),"")</f>
        <v/>
      </c>
      <c r="D1997" s="28">
        <f>IF(A1997="","",TODAY())</f>
        <v/>
      </c>
      <c r="E1997" s="29" t="n"/>
      <c r="F1997" s="20">
        <f>IFERROR(IF(OR(A1997="",E1997=""),"",C1997+E1997),"")</f>
        <v/>
      </c>
      <c r="G1997" s="30" t="n"/>
      <c r="H1997" s="27" t="n"/>
    </row>
    <row r="1998" ht="20" customHeight="1">
      <c r="A1998" s="26" t="n"/>
      <c r="B1998" s="31">
        <f>IFERROR(IF(A1998="","",VLOOKUP(A1998,DATABASE!$A:$B,2,0)),"")</f>
        <v/>
      </c>
      <c r="C1998" s="32">
        <f>IFERROR(IF(A1998="","",SUMIF(SAVINGS!$A$3:A1997,A1998,SAVINGS!$E$3:E1997)-SUMIF(WITHDRAWALS!$A:$A,A1998,WITHDRAWALS!$E:$E)),"")</f>
        <v/>
      </c>
      <c r="D1998" s="33">
        <f>IF(A1998="","",TODAY())</f>
        <v/>
      </c>
      <c r="E1998" s="29" t="n"/>
      <c r="F1998" s="32">
        <f>IFERROR(IF(OR(A1998="",E1998=""),"",C1998+E1998),"")</f>
        <v/>
      </c>
      <c r="G1998" s="30" t="n"/>
      <c r="H1998" s="31" t="n"/>
    </row>
    <row r="1999" ht="20" customHeight="1">
      <c r="A1999" s="26" t="n"/>
      <c r="B1999" s="27">
        <f>IFERROR(IF(A1999="","",VLOOKUP(A1999,DATABASE!$A:$B,2,0)),"")</f>
        <v/>
      </c>
      <c r="C1999" s="20">
        <f>IFERROR(IF(A1999="","",SUMIF(SAVINGS!$A$3:A1998,A1999,SAVINGS!$E$3:E1998)-SUMIF(WITHDRAWALS!$A:$A,A1999,WITHDRAWALS!$E:$E)),"")</f>
        <v/>
      </c>
      <c r="D1999" s="28">
        <f>IF(A1999="","",TODAY())</f>
        <v/>
      </c>
      <c r="E1999" s="29" t="n"/>
      <c r="F1999" s="20">
        <f>IFERROR(IF(OR(A1999="",E1999=""),"",C1999+E1999),"")</f>
        <v/>
      </c>
      <c r="G1999" s="30" t="n"/>
      <c r="H1999" s="27" t="n"/>
    </row>
    <row r="2000" ht="20" customHeight="1">
      <c r="A2000" s="26" t="n"/>
      <c r="B2000" s="31">
        <f>IFERROR(IF(A2000="","",VLOOKUP(A2000,DATABASE!$A:$B,2,0)),"")</f>
        <v/>
      </c>
      <c r="C2000" s="32">
        <f>IFERROR(IF(A2000="","",SUMIF(SAVINGS!$A$3:A1999,A2000,SAVINGS!$E$3:E1999)-SUMIF(WITHDRAWALS!$A:$A,A2000,WITHDRAWALS!$E:$E)),"")</f>
        <v/>
      </c>
      <c r="D2000" s="33">
        <f>IF(A2000="","",TODAY())</f>
        <v/>
      </c>
      <c r="E2000" s="29" t="n"/>
      <c r="F2000" s="32">
        <f>IFERROR(IF(OR(A2000="",E2000=""),"",C2000+E2000),"")</f>
        <v/>
      </c>
      <c r="G2000" s="30" t="n"/>
      <c r="H2000" s="31" t="n"/>
    </row>
    <row r="2001" ht="20" customHeight="1">
      <c r="A2001" s="26" t="n"/>
      <c r="B2001" s="27">
        <f>IFERROR(IF(A2001="","",VLOOKUP(A2001,DATABASE!$A:$B,2,0)),"")</f>
        <v/>
      </c>
      <c r="C2001" s="20">
        <f>IFERROR(IF(A2001="","",SUMIF(SAVINGS!$A$3:A2000,A2001,SAVINGS!$E$3:E2000)-SUMIF(WITHDRAWALS!$A:$A,A2001,WITHDRAWALS!$E:$E)),"")</f>
        <v/>
      </c>
      <c r="D2001" s="28">
        <f>IF(A2001="","",TODAY())</f>
        <v/>
      </c>
      <c r="E2001" s="29" t="n"/>
      <c r="F2001" s="20">
        <f>IFERROR(IF(OR(A2001="",E2001=""),"",C2001+E2001),"")</f>
        <v/>
      </c>
      <c r="G2001" s="30" t="n"/>
      <c r="H2001" s="27" t="n"/>
    </row>
    <row r="2002" ht="20" customHeight="1">
      <c r="A2002" s="26" t="n"/>
      <c r="B2002" s="31">
        <f>IFERROR(IF(A2002="","",VLOOKUP(A2002,DATABASE!$A:$B,2,0)),"")</f>
        <v/>
      </c>
      <c r="C2002" s="32">
        <f>IFERROR(IF(A2002="","",SUMIF(SAVINGS!$A$3:A2001,A2002,SAVINGS!$E$3:E2001)-SUMIF(WITHDRAWALS!$A:$A,A2002,WITHDRAWALS!$E:$E)),"")</f>
        <v/>
      </c>
      <c r="D2002" s="33">
        <f>IF(A2002="","",TODAY())</f>
        <v/>
      </c>
      <c r="E2002" s="29" t="n"/>
      <c r="F2002" s="32">
        <f>IFERROR(IF(OR(A2002="",E2002=""),"",C2002+E2002),"")</f>
        <v/>
      </c>
      <c r="G2002" s="30" t="n"/>
      <c r="H2002" s="31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H200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14" customWidth="1" min="4" max="4"/>
    <col width="26" customWidth="1" min="5" max="5"/>
    <col width="24" customWidth="1" min="6" max="6"/>
    <col width="18" customWidth="1" min="7" max="7"/>
    <col width="22" customWidth="1" min="8" max="8"/>
  </cols>
  <sheetData>
    <row r="1" ht="34" customHeight="1">
      <c r="A1" s="34" t="inlineStr">
        <is>
          <t>WITHDRAWAL TRANSACTION REGISTER</t>
        </is>
      </c>
    </row>
    <row r="2" ht="30" customHeight="1">
      <c r="A2" s="25" t="inlineStr">
        <is>
          <t>Account Number</t>
        </is>
      </c>
      <c r="B2" s="25" t="inlineStr">
        <is>
          <t>Customer Name</t>
        </is>
      </c>
      <c r="C2" s="25" t="inlineStr">
        <is>
          <t>Available Balance (GHS)</t>
        </is>
      </c>
      <c r="D2" s="25" t="inlineStr">
        <is>
          <t>Date</t>
        </is>
      </c>
      <c r="E2" s="25" t="inlineStr">
        <is>
          <t>Withdrawal Amount (GHS)</t>
        </is>
      </c>
      <c r="F2" s="25" t="inlineStr">
        <is>
          <t>New Balance (GHS)</t>
        </is>
      </c>
      <c r="G2" s="25" t="inlineStr">
        <is>
          <t>Authorized By</t>
        </is>
      </c>
      <c r="H2" s="25" t="inlineStr">
        <is>
          <t>Notes</t>
        </is>
      </c>
    </row>
    <row r="3" ht="20" customHeight="1">
      <c r="A3" s="26" t="n"/>
      <c r="B3" s="27">
        <f>IFERROR(IF(A3="","",VLOOKUP(A3,DATABASE!$A:$B,2,0)),"")</f>
        <v/>
      </c>
      <c r="C3" s="20">
        <f>IFERROR(IF(A3="","",VLOOKUP(A3,DATABASE!$A:$J,10,0)),"")</f>
        <v/>
      </c>
      <c r="D3" s="28">
        <f>IF(A3="","",TODAY())</f>
        <v/>
      </c>
      <c r="E3" s="29" t="n"/>
      <c r="F3" s="20">
        <f>IFERROR(IF(OR(A3="",E3=""),"",C3-E3),"")</f>
        <v/>
      </c>
      <c r="G3" s="30" t="n"/>
      <c r="H3" s="27" t="n"/>
    </row>
    <row r="4" ht="20" customHeight="1">
      <c r="A4" s="26" t="n"/>
      <c r="B4" s="35">
        <f>IFERROR(IF(A4="","",VLOOKUP(A4,DATABASE!$A:$B,2,0)),"")</f>
        <v/>
      </c>
      <c r="C4" s="36">
        <f>IFERROR(IF(A4="","",VLOOKUP(A4,DATABASE!$A:$J,10,0)),"")</f>
        <v/>
      </c>
      <c r="D4" s="37">
        <f>IF(A4="","",TODAY())</f>
        <v/>
      </c>
      <c r="E4" s="29" t="n"/>
      <c r="F4" s="36">
        <f>IFERROR(IF(OR(A4="",E4=""),"",C4-E4),"")</f>
        <v/>
      </c>
      <c r="G4" s="30" t="n"/>
      <c r="H4" s="35" t="n"/>
    </row>
    <row r="5" ht="20" customHeight="1">
      <c r="A5" s="26" t="n"/>
      <c r="B5" s="27">
        <f>IFERROR(IF(A5="","",VLOOKUP(A5,DATABASE!$A:$B,2,0)),"")</f>
        <v/>
      </c>
      <c r="C5" s="20">
        <f>IFERROR(IF(A5="","",VLOOKUP(A5,DATABASE!$A:$J,10,0)),"")</f>
        <v/>
      </c>
      <c r="D5" s="28">
        <f>IF(A5="","",TODAY())</f>
        <v/>
      </c>
      <c r="E5" s="29" t="n"/>
      <c r="F5" s="20">
        <f>IFERROR(IF(OR(A5="",E5=""),"",C5-E5),"")</f>
        <v/>
      </c>
      <c r="G5" s="30" t="n"/>
      <c r="H5" s="27" t="n"/>
    </row>
    <row r="6" ht="20" customHeight="1">
      <c r="A6" s="26" t="n"/>
      <c r="B6" s="35">
        <f>IFERROR(IF(A6="","",VLOOKUP(A6,DATABASE!$A:$B,2,0)),"")</f>
        <v/>
      </c>
      <c r="C6" s="36">
        <f>IFERROR(IF(A6="","",VLOOKUP(A6,DATABASE!$A:$J,10,0)),"")</f>
        <v/>
      </c>
      <c r="D6" s="37">
        <f>IF(A6="","",TODAY())</f>
        <v/>
      </c>
      <c r="E6" s="29" t="n"/>
      <c r="F6" s="36">
        <f>IFERROR(IF(OR(A6="",E6=""),"",C6-E6),"")</f>
        <v/>
      </c>
      <c r="G6" s="30" t="n"/>
      <c r="H6" s="35" t="n"/>
    </row>
    <row r="7" ht="20" customHeight="1">
      <c r="A7" s="26" t="n"/>
      <c r="B7" s="27">
        <f>IFERROR(IF(A7="","",VLOOKUP(A7,DATABASE!$A:$B,2,0)),"")</f>
        <v/>
      </c>
      <c r="C7" s="20">
        <f>IFERROR(IF(A7="","",VLOOKUP(A7,DATABASE!$A:$J,10,0)),"")</f>
        <v/>
      </c>
      <c r="D7" s="28">
        <f>IF(A7="","",TODAY())</f>
        <v/>
      </c>
      <c r="E7" s="29" t="n"/>
      <c r="F7" s="20">
        <f>IFERROR(IF(OR(A7="",E7=""),"",C7-E7),"")</f>
        <v/>
      </c>
      <c r="G7" s="30" t="n"/>
      <c r="H7" s="27" t="n"/>
    </row>
    <row r="8" ht="20" customHeight="1">
      <c r="A8" s="26" t="n"/>
      <c r="B8" s="35">
        <f>IFERROR(IF(A8="","",VLOOKUP(A8,DATABASE!$A:$B,2,0)),"")</f>
        <v/>
      </c>
      <c r="C8" s="36">
        <f>IFERROR(IF(A8="","",VLOOKUP(A8,DATABASE!$A:$J,10,0)),"")</f>
        <v/>
      </c>
      <c r="D8" s="37">
        <f>IF(A8="","",TODAY())</f>
        <v/>
      </c>
      <c r="E8" s="29" t="n"/>
      <c r="F8" s="36">
        <f>IFERROR(IF(OR(A8="",E8=""),"",C8-E8),"")</f>
        <v/>
      </c>
      <c r="G8" s="30" t="n"/>
      <c r="H8" s="35" t="n"/>
    </row>
    <row r="9" ht="20" customHeight="1">
      <c r="A9" s="26" t="n"/>
      <c r="B9" s="27">
        <f>IFERROR(IF(A9="","",VLOOKUP(A9,DATABASE!$A:$B,2,0)),"")</f>
        <v/>
      </c>
      <c r="C9" s="20">
        <f>IFERROR(IF(A9="","",VLOOKUP(A9,DATABASE!$A:$J,10,0)),"")</f>
        <v/>
      </c>
      <c r="D9" s="28">
        <f>IF(A9="","",TODAY())</f>
        <v/>
      </c>
      <c r="E9" s="29" t="n"/>
      <c r="F9" s="20">
        <f>IFERROR(IF(OR(A9="",E9=""),"",C9-E9),"")</f>
        <v/>
      </c>
      <c r="G9" s="30" t="n"/>
      <c r="H9" s="27" t="n"/>
    </row>
    <row r="10" ht="20" customHeight="1">
      <c r="A10" s="26" t="n"/>
      <c r="B10" s="35">
        <f>IFERROR(IF(A10="","",VLOOKUP(A10,DATABASE!$A:$B,2,0)),"")</f>
        <v/>
      </c>
      <c r="C10" s="36">
        <f>IFERROR(IF(A10="","",VLOOKUP(A10,DATABASE!$A:$J,10,0)),"")</f>
        <v/>
      </c>
      <c r="D10" s="37">
        <f>IF(A10="","",TODAY())</f>
        <v/>
      </c>
      <c r="E10" s="29" t="n"/>
      <c r="F10" s="36">
        <f>IFERROR(IF(OR(A10="",E10=""),"",C10-E10),"")</f>
        <v/>
      </c>
      <c r="G10" s="30" t="n"/>
      <c r="H10" s="35" t="n"/>
    </row>
    <row r="11" ht="20" customHeight="1">
      <c r="A11" s="26" t="n"/>
      <c r="B11" s="27">
        <f>IFERROR(IF(A11="","",VLOOKUP(A11,DATABASE!$A:$B,2,0)),"")</f>
        <v/>
      </c>
      <c r="C11" s="20">
        <f>IFERROR(IF(A11="","",VLOOKUP(A11,DATABASE!$A:$J,10,0)),"")</f>
        <v/>
      </c>
      <c r="D11" s="28">
        <f>IF(A11="","",TODAY())</f>
        <v/>
      </c>
      <c r="E11" s="29" t="n"/>
      <c r="F11" s="20">
        <f>IFERROR(IF(OR(A11="",E11=""),"",C11-E11),"")</f>
        <v/>
      </c>
      <c r="G11" s="30" t="n"/>
      <c r="H11" s="27" t="n"/>
    </row>
    <row r="12" ht="20" customHeight="1">
      <c r="A12" s="26" t="n"/>
      <c r="B12" s="35">
        <f>IFERROR(IF(A12="","",VLOOKUP(A12,DATABASE!$A:$B,2,0)),"")</f>
        <v/>
      </c>
      <c r="C12" s="36">
        <f>IFERROR(IF(A12="","",VLOOKUP(A12,DATABASE!$A:$J,10,0)),"")</f>
        <v/>
      </c>
      <c r="D12" s="37">
        <f>IF(A12="","",TODAY())</f>
        <v/>
      </c>
      <c r="E12" s="29" t="n"/>
      <c r="F12" s="36">
        <f>IFERROR(IF(OR(A12="",E12=""),"",C12-E12),"")</f>
        <v/>
      </c>
      <c r="G12" s="30" t="n"/>
      <c r="H12" s="35" t="n"/>
    </row>
    <row r="13" ht="20" customHeight="1">
      <c r="A13" s="26" t="n"/>
      <c r="B13" s="27">
        <f>IFERROR(IF(A13="","",VLOOKUP(A13,DATABASE!$A:$B,2,0)),"")</f>
        <v/>
      </c>
      <c r="C13" s="20">
        <f>IFERROR(IF(A13="","",VLOOKUP(A13,DATABASE!$A:$J,10,0)),"")</f>
        <v/>
      </c>
      <c r="D13" s="28">
        <f>IF(A13="","",TODAY())</f>
        <v/>
      </c>
      <c r="E13" s="29" t="n"/>
      <c r="F13" s="20">
        <f>IFERROR(IF(OR(A13="",E13=""),"",C13-E13),"")</f>
        <v/>
      </c>
      <c r="G13" s="30" t="n"/>
      <c r="H13" s="27" t="n"/>
    </row>
    <row r="14" ht="20" customHeight="1">
      <c r="A14" s="26" t="n"/>
      <c r="B14" s="35">
        <f>IFERROR(IF(A14="","",VLOOKUP(A14,DATABASE!$A:$B,2,0)),"")</f>
        <v/>
      </c>
      <c r="C14" s="36">
        <f>IFERROR(IF(A14="","",VLOOKUP(A14,DATABASE!$A:$J,10,0)),"")</f>
        <v/>
      </c>
      <c r="D14" s="37">
        <f>IF(A14="","",TODAY())</f>
        <v/>
      </c>
      <c r="E14" s="29" t="n"/>
      <c r="F14" s="36">
        <f>IFERROR(IF(OR(A14="",E14=""),"",C14-E14),"")</f>
        <v/>
      </c>
      <c r="G14" s="30" t="n"/>
      <c r="H14" s="35" t="n"/>
    </row>
    <row r="15" ht="20" customHeight="1">
      <c r="A15" s="26" t="n"/>
      <c r="B15" s="27">
        <f>IFERROR(IF(A15="","",VLOOKUP(A15,DATABASE!$A:$B,2,0)),"")</f>
        <v/>
      </c>
      <c r="C15" s="20">
        <f>IFERROR(IF(A15="","",VLOOKUP(A15,DATABASE!$A:$J,10,0)),"")</f>
        <v/>
      </c>
      <c r="D15" s="28">
        <f>IF(A15="","",TODAY())</f>
        <v/>
      </c>
      <c r="E15" s="29" t="n"/>
      <c r="F15" s="20">
        <f>IFERROR(IF(OR(A15="",E15=""),"",C15-E15),"")</f>
        <v/>
      </c>
      <c r="G15" s="30" t="n"/>
      <c r="H15" s="27" t="n"/>
    </row>
    <row r="16" ht="20" customHeight="1">
      <c r="A16" s="26" t="n"/>
      <c r="B16" s="35">
        <f>IFERROR(IF(A16="","",VLOOKUP(A16,DATABASE!$A:$B,2,0)),"")</f>
        <v/>
      </c>
      <c r="C16" s="36">
        <f>IFERROR(IF(A16="","",VLOOKUP(A16,DATABASE!$A:$J,10,0)),"")</f>
        <v/>
      </c>
      <c r="D16" s="37">
        <f>IF(A16="","",TODAY())</f>
        <v/>
      </c>
      <c r="E16" s="29" t="n"/>
      <c r="F16" s="36">
        <f>IFERROR(IF(OR(A16="",E16=""),"",C16-E16),"")</f>
        <v/>
      </c>
      <c r="G16" s="30" t="n"/>
      <c r="H16" s="35" t="n"/>
    </row>
    <row r="17" ht="20" customHeight="1">
      <c r="A17" s="26" t="n"/>
      <c r="B17" s="27">
        <f>IFERROR(IF(A17="","",VLOOKUP(A17,DATABASE!$A:$B,2,0)),"")</f>
        <v/>
      </c>
      <c r="C17" s="20">
        <f>IFERROR(IF(A17="","",VLOOKUP(A17,DATABASE!$A:$J,10,0)),"")</f>
        <v/>
      </c>
      <c r="D17" s="28">
        <f>IF(A17="","",TODAY())</f>
        <v/>
      </c>
      <c r="E17" s="29" t="n"/>
      <c r="F17" s="20">
        <f>IFERROR(IF(OR(A17="",E17=""),"",C17-E17),"")</f>
        <v/>
      </c>
      <c r="G17" s="30" t="n"/>
      <c r="H17" s="27" t="n"/>
    </row>
    <row r="18" ht="20" customHeight="1">
      <c r="A18" s="26" t="n"/>
      <c r="B18" s="35">
        <f>IFERROR(IF(A18="","",VLOOKUP(A18,DATABASE!$A:$B,2,0)),"")</f>
        <v/>
      </c>
      <c r="C18" s="36">
        <f>IFERROR(IF(A18="","",VLOOKUP(A18,DATABASE!$A:$J,10,0)),"")</f>
        <v/>
      </c>
      <c r="D18" s="37">
        <f>IF(A18="","",TODAY())</f>
        <v/>
      </c>
      <c r="E18" s="29" t="n"/>
      <c r="F18" s="36">
        <f>IFERROR(IF(OR(A18="",E18=""),"",C18-E18),"")</f>
        <v/>
      </c>
      <c r="G18" s="30" t="n"/>
      <c r="H18" s="35" t="n"/>
    </row>
    <row r="19" ht="20" customHeight="1">
      <c r="A19" s="26" t="n"/>
      <c r="B19" s="27">
        <f>IFERROR(IF(A19="","",VLOOKUP(A19,DATABASE!$A:$B,2,0)),"")</f>
        <v/>
      </c>
      <c r="C19" s="20">
        <f>IFERROR(IF(A19="","",VLOOKUP(A19,DATABASE!$A:$J,10,0)),"")</f>
        <v/>
      </c>
      <c r="D19" s="28">
        <f>IF(A19="","",TODAY())</f>
        <v/>
      </c>
      <c r="E19" s="29" t="n"/>
      <c r="F19" s="20">
        <f>IFERROR(IF(OR(A19="",E19=""),"",C19-E19),"")</f>
        <v/>
      </c>
      <c r="G19" s="30" t="n"/>
      <c r="H19" s="27" t="n"/>
    </row>
    <row r="20" ht="20" customHeight="1">
      <c r="A20" s="26" t="n"/>
      <c r="B20" s="35">
        <f>IFERROR(IF(A20="","",VLOOKUP(A20,DATABASE!$A:$B,2,0)),"")</f>
        <v/>
      </c>
      <c r="C20" s="36">
        <f>IFERROR(IF(A20="","",VLOOKUP(A20,DATABASE!$A:$J,10,0)),"")</f>
        <v/>
      </c>
      <c r="D20" s="37">
        <f>IF(A20="","",TODAY())</f>
        <v/>
      </c>
      <c r="E20" s="29" t="n"/>
      <c r="F20" s="36">
        <f>IFERROR(IF(OR(A20="",E20=""),"",C20-E20),"")</f>
        <v/>
      </c>
      <c r="G20" s="30" t="n"/>
      <c r="H20" s="35" t="n"/>
    </row>
    <row r="21" ht="20" customHeight="1">
      <c r="A21" s="26" t="n"/>
      <c r="B21" s="27">
        <f>IFERROR(IF(A21="","",VLOOKUP(A21,DATABASE!$A:$B,2,0)),"")</f>
        <v/>
      </c>
      <c r="C21" s="20">
        <f>IFERROR(IF(A21="","",VLOOKUP(A21,DATABASE!$A:$J,10,0)),"")</f>
        <v/>
      </c>
      <c r="D21" s="28">
        <f>IF(A21="","",TODAY())</f>
        <v/>
      </c>
      <c r="E21" s="29" t="n"/>
      <c r="F21" s="20">
        <f>IFERROR(IF(OR(A21="",E21=""),"",C21-E21),"")</f>
        <v/>
      </c>
      <c r="G21" s="30" t="n"/>
      <c r="H21" s="27" t="n"/>
    </row>
    <row r="22" ht="20" customHeight="1">
      <c r="A22" s="26" t="n"/>
      <c r="B22" s="35">
        <f>IFERROR(IF(A22="","",VLOOKUP(A22,DATABASE!$A:$B,2,0)),"")</f>
        <v/>
      </c>
      <c r="C22" s="36">
        <f>IFERROR(IF(A22="","",VLOOKUP(A22,DATABASE!$A:$J,10,0)),"")</f>
        <v/>
      </c>
      <c r="D22" s="37">
        <f>IF(A22="","",TODAY())</f>
        <v/>
      </c>
      <c r="E22" s="29" t="n"/>
      <c r="F22" s="36">
        <f>IFERROR(IF(OR(A22="",E22=""),"",C22-E22),"")</f>
        <v/>
      </c>
      <c r="G22" s="30" t="n"/>
      <c r="H22" s="35" t="n"/>
    </row>
    <row r="23" ht="20" customHeight="1">
      <c r="A23" s="26" t="n"/>
      <c r="B23" s="27">
        <f>IFERROR(IF(A23="","",VLOOKUP(A23,DATABASE!$A:$B,2,0)),"")</f>
        <v/>
      </c>
      <c r="C23" s="20">
        <f>IFERROR(IF(A23="","",VLOOKUP(A23,DATABASE!$A:$J,10,0)),"")</f>
        <v/>
      </c>
      <c r="D23" s="28">
        <f>IF(A23="","",TODAY())</f>
        <v/>
      </c>
      <c r="E23" s="29" t="n"/>
      <c r="F23" s="20">
        <f>IFERROR(IF(OR(A23="",E23=""),"",C23-E23),"")</f>
        <v/>
      </c>
      <c r="G23" s="30" t="n"/>
      <c r="H23" s="27" t="n"/>
    </row>
    <row r="24" ht="20" customHeight="1">
      <c r="A24" s="26" t="n"/>
      <c r="B24" s="35">
        <f>IFERROR(IF(A24="","",VLOOKUP(A24,DATABASE!$A:$B,2,0)),"")</f>
        <v/>
      </c>
      <c r="C24" s="36">
        <f>IFERROR(IF(A24="","",VLOOKUP(A24,DATABASE!$A:$J,10,0)),"")</f>
        <v/>
      </c>
      <c r="D24" s="37">
        <f>IF(A24="","",TODAY())</f>
        <v/>
      </c>
      <c r="E24" s="29" t="n"/>
      <c r="F24" s="36">
        <f>IFERROR(IF(OR(A24="",E24=""),"",C24-E24),"")</f>
        <v/>
      </c>
      <c r="G24" s="30" t="n"/>
      <c r="H24" s="35" t="n"/>
    </row>
    <row r="25" ht="20" customHeight="1">
      <c r="A25" s="26" t="n"/>
      <c r="B25" s="27">
        <f>IFERROR(IF(A25="","",VLOOKUP(A25,DATABASE!$A:$B,2,0)),"")</f>
        <v/>
      </c>
      <c r="C25" s="20">
        <f>IFERROR(IF(A25="","",VLOOKUP(A25,DATABASE!$A:$J,10,0)),"")</f>
        <v/>
      </c>
      <c r="D25" s="28">
        <f>IF(A25="","",TODAY())</f>
        <v/>
      </c>
      <c r="E25" s="29" t="n"/>
      <c r="F25" s="20">
        <f>IFERROR(IF(OR(A25="",E25=""),"",C25-E25),"")</f>
        <v/>
      </c>
      <c r="G25" s="30" t="n"/>
      <c r="H25" s="27" t="n"/>
    </row>
    <row r="26" ht="20" customHeight="1">
      <c r="A26" s="26" t="n"/>
      <c r="B26" s="35">
        <f>IFERROR(IF(A26="","",VLOOKUP(A26,DATABASE!$A:$B,2,0)),"")</f>
        <v/>
      </c>
      <c r="C26" s="36">
        <f>IFERROR(IF(A26="","",VLOOKUP(A26,DATABASE!$A:$J,10,0)),"")</f>
        <v/>
      </c>
      <c r="D26" s="37">
        <f>IF(A26="","",TODAY())</f>
        <v/>
      </c>
      <c r="E26" s="29" t="n"/>
      <c r="F26" s="36">
        <f>IFERROR(IF(OR(A26="",E26=""),"",C26-E26),"")</f>
        <v/>
      </c>
      <c r="G26" s="30" t="n"/>
      <c r="H26" s="35" t="n"/>
    </row>
    <row r="27" ht="20" customHeight="1">
      <c r="A27" s="26" t="n"/>
      <c r="B27" s="27">
        <f>IFERROR(IF(A27="","",VLOOKUP(A27,DATABASE!$A:$B,2,0)),"")</f>
        <v/>
      </c>
      <c r="C27" s="20">
        <f>IFERROR(IF(A27="","",VLOOKUP(A27,DATABASE!$A:$J,10,0)),"")</f>
        <v/>
      </c>
      <c r="D27" s="28">
        <f>IF(A27="","",TODAY())</f>
        <v/>
      </c>
      <c r="E27" s="29" t="n"/>
      <c r="F27" s="20">
        <f>IFERROR(IF(OR(A27="",E27=""),"",C27-E27),"")</f>
        <v/>
      </c>
      <c r="G27" s="30" t="n"/>
      <c r="H27" s="27" t="n"/>
    </row>
    <row r="28" ht="20" customHeight="1">
      <c r="A28" s="26" t="n"/>
      <c r="B28" s="35">
        <f>IFERROR(IF(A28="","",VLOOKUP(A28,DATABASE!$A:$B,2,0)),"")</f>
        <v/>
      </c>
      <c r="C28" s="36">
        <f>IFERROR(IF(A28="","",VLOOKUP(A28,DATABASE!$A:$J,10,0)),"")</f>
        <v/>
      </c>
      <c r="D28" s="37">
        <f>IF(A28="","",TODAY())</f>
        <v/>
      </c>
      <c r="E28" s="29" t="n"/>
      <c r="F28" s="36">
        <f>IFERROR(IF(OR(A28="",E28=""),"",C28-E28),"")</f>
        <v/>
      </c>
      <c r="G28" s="30" t="n"/>
      <c r="H28" s="35" t="n"/>
    </row>
    <row r="29" ht="20" customHeight="1">
      <c r="A29" s="26" t="n"/>
      <c r="B29" s="27">
        <f>IFERROR(IF(A29="","",VLOOKUP(A29,DATABASE!$A:$B,2,0)),"")</f>
        <v/>
      </c>
      <c r="C29" s="20">
        <f>IFERROR(IF(A29="","",VLOOKUP(A29,DATABASE!$A:$J,10,0)),"")</f>
        <v/>
      </c>
      <c r="D29" s="28">
        <f>IF(A29="","",TODAY())</f>
        <v/>
      </c>
      <c r="E29" s="29" t="n"/>
      <c r="F29" s="20">
        <f>IFERROR(IF(OR(A29="",E29=""),"",C29-E29),"")</f>
        <v/>
      </c>
      <c r="G29" s="30" t="n"/>
      <c r="H29" s="27" t="n"/>
    </row>
    <row r="30" ht="20" customHeight="1">
      <c r="A30" s="26" t="n"/>
      <c r="B30" s="35">
        <f>IFERROR(IF(A30="","",VLOOKUP(A30,DATABASE!$A:$B,2,0)),"")</f>
        <v/>
      </c>
      <c r="C30" s="36">
        <f>IFERROR(IF(A30="","",VLOOKUP(A30,DATABASE!$A:$J,10,0)),"")</f>
        <v/>
      </c>
      <c r="D30" s="37">
        <f>IF(A30="","",TODAY())</f>
        <v/>
      </c>
      <c r="E30" s="29" t="n"/>
      <c r="F30" s="36">
        <f>IFERROR(IF(OR(A30="",E30=""),"",C30-E30),"")</f>
        <v/>
      </c>
      <c r="G30" s="30" t="n"/>
      <c r="H30" s="35" t="n"/>
    </row>
    <row r="31" ht="20" customHeight="1">
      <c r="A31" s="26" t="n"/>
      <c r="B31" s="27">
        <f>IFERROR(IF(A31="","",VLOOKUP(A31,DATABASE!$A:$B,2,0)),"")</f>
        <v/>
      </c>
      <c r="C31" s="20">
        <f>IFERROR(IF(A31="","",VLOOKUP(A31,DATABASE!$A:$J,10,0)),"")</f>
        <v/>
      </c>
      <c r="D31" s="28">
        <f>IF(A31="","",TODAY())</f>
        <v/>
      </c>
      <c r="E31" s="29" t="n"/>
      <c r="F31" s="20">
        <f>IFERROR(IF(OR(A31="",E31=""),"",C31-E31),"")</f>
        <v/>
      </c>
      <c r="G31" s="30" t="n"/>
      <c r="H31" s="27" t="n"/>
    </row>
    <row r="32" ht="20" customHeight="1">
      <c r="A32" s="26" t="n"/>
      <c r="B32" s="35">
        <f>IFERROR(IF(A32="","",VLOOKUP(A32,DATABASE!$A:$B,2,0)),"")</f>
        <v/>
      </c>
      <c r="C32" s="36">
        <f>IFERROR(IF(A32="","",VLOOKUP(A32,DATABASE!$A:$J,10,0)),"")</f>
        <v/>
      </c>
      <c r="D32" s="37">
        <f>IF(A32="","",TODAY())</f>
        <v/>
      </c>
      <c r="E32" s="29" t="n"/>
      <c r="F32" s="36">
        <f>IFERROR(IF(OR(A32="",E32=""),"",C32-E32),"")</f>
        <v/>
      </c>
      <c r="G32" s="30" t="n"/>
      <c r="H32" s="35" t="n"/>
    </row>
    <row r="33" ht="20" customHeight="1">
      <c r="A33" s="26" t="n"/>
      <c r="B33" s="27">
        <f>IFERROR(IF(A33="","",VLOOKUP(A33,DATABASE!$A:$B,2,0)),"")</f>
        <v/>
      </c>
      <c r="C33" s="20">
        <f>IFERROR(IF(A33="","",VLOOKUP(A33,DATABASE!$A:$J,10,0)),"")</f>
        <v/>
      </c>
      <c r="D33" s="28">
        <f>IF(A33="","",TODAY())</f>
        <v/>
      </c>
      <c r="E33" s="29" t="n"/>
      <c r="F33" s="20">
        <f>IFERROR(IF(OR(A33="",E33=""),"",C33-E33),"")</f>
        <v/>
      </c>
      <c r="G33" s="30" t="n"/>
      <c r="H33" s="27" t="n"/>
    </row>
    <row r="34" ht="20" customHeight="1">
      <c r="A34" s="26" t="n"/>
      <c r="B34" s="35">
        <f>IFERROR(IF(A34="","",VLOOKUP(A34,DATABASE!$A:$B,2,0)),"")</f>
        <v/>
      </c>
      <c r="C34" s="36">
        <f>IFERROR(IF(A34="","",VLOOKUP(A34,DATABASE!$A:$J,10,0)),"")</f>
        <v/>
      </c>
      <c r="D34" s="37">
        <f>IF(A34="","",TODAY())</f>
        <v/>
      </c>
      <c r="E34" s="29" t="n"/>
      <c r="F34" s="36">
        <f>IFERROR(IF(OR(A34="",E34=""),"",C34-E34),"")</f>
        <v/>
      </c>
      <c r="G34" s="30" t="n"/>
      <c r="H34" s="35" t="n"/>
    </row>
    <row r="35" ht="20" customHeight="1">
      <c r="A35" s="26" t="n"/>
      <c r="B35" s="27">
        <f>IFERROR(IF(A35="","",VLOOKUP(A35,DATABASE!$A:$B,2,0)),"")</f>
        <v/>
      </c>
      <c r="C35" s="20">
        <f>IFERROR(IF(A35="","",VLOOKUP(A35,DATABASE!$A:$J,10,0)),"")</f>
        <v/>
      </c>
      <c r="D35" s="28">
        <f>IF(A35="","",TODAY())</f>
        <v/>
      </c>
      <c r="E35" s="29" t="n"/>
      <c r="F35" s="20">
        <f>IFERROR(IF(OR(A35="",E35=""),"",C35-E35),"")</f>
        <v/>
      </c>
      <c r="G35" s="30" t="n"/>
      <c r="H35" s="27" t="n"/>
    </row>
    <row r="36" ht="20" customHeight="1">
      <c r="A36" s="26" t="n"/>
      <c r="B36" s="35">
        <f>IFERROR(IF(A36="","",VLOOKUP(A36,DATABASE!$A:$B,2,0)),"")</f>
        <v/>
      </c>
      <c r="C36" s="36">
        <f>IFERROR(IF(A36="","",VLOOKUP(A36,DATABASE!$A:$J,10,0)),"")</f>
        <v/>
      </c>
      <c r="D36" s="37">
        <f>IF(A36="","",TODAY())</f>
        <v/>
      </c>
      <c r="E36" s="29" t="n"/>
      <c r="F36" s="36">
        <f>IFERROR(IF(OR(A36="",E36=""),"",C36-E36),"")</f>
        <v/>
      </c>
      <c r="G36" s="30" t="n"/>
      <c r="H36" s="35" t="n"/>
    </row>
    <row r="37" ht="20" customHeight="1">
      <c r="A37" s="26" t="n"/>
      <c r="B37" s="27">
        <f>IFERROR(IF(A37="","",VLOOKUP(A37,DATABASE!$A:$B,2,0)),"")</f>
        <v/>
      </c>
      <c r="C37" s="20">
        <f>IFERROR(IF(A37="","",VLOOKUP(A37,DATABASE!$A:$J,10,0)),"")</f>
        <v/>
      </c>
      <c r="D37" s="28">
        <f>IF(A37="","",TODAY())</f>
        <v/>
      </c>
      <c r="E37" s="29" t="n"/>
      <c r="F37" s="20">
        <f>IFERROR(IF(OR(A37="",E37=""),"",C37-E37),"")</f>
        <v/>
      </c>
      <c r="G37" s="30" t="n"/>
      <c r="H37" s="27" t="n"/>
    </row>
    <row r="38" ht="20" customHeight="1">
      <c r="A38" s="26" t="n"/>
      <c r="B38" s="35">
        <f>IFERROR(IF(A38="","",VLOOKUP(A38,DATABASE!$A:$B,2,0)),"")</f>
        <v/>
      </c>
      <c r="C38" s="36">
        <f>IFERROR(IF(A38="","",VLOOKUP(A38,DATABASE!$A:$J,10,0)),"")</f>
        <v/>
      </c>
      <c r="D38" s="37">
        <f>IF(A38="","",TODAY())</f>
        <v/>
      </c>
      <c r="E38" s="29" t="n"/>
      <c r="F38" s="36">
        <f>IFERROR(IF(OR(A38="",E38=""),"",C38-E38),"")</f>
        <v/>
      </c>
      <c r="G38" s="30" t="n"/>
      <c r="H38" s="35" t="n"/>
    </row>
    <row r="39" ht="20" customHeight="1">
      <c r="A39" s="26" t="n"/>
      <c r="B39" s="27">
        <f>IFERROR(IF(A39="","",VLOOKUP(A39,DATABASE!$A:$B,2,0)),"")</f>
        <v/>
      </c>
      <c r="C39" s="20">
        <f>IFERROR(IF(A39="","",VLOOKUP(A39,DATABASE!$A:$J,10,0)),"")</f>
        <v/>
      </c>
      <c r="D39" s="28">
        <f>IF(A39="","",TODAY())</f>
        <v/>
      </c>
      <c r="E39" s="29" t="n"/>
      <c r="F39" s="20">
        <f>IFERROR(IF(OR(A39="",E39=""),"",C39-E39),"")</f>
        <v/>
      </c>
      <c r="G39" s="30" t="n"/>
      <c r="H39" s="27" t="n"/>
    </row>
    <row r="40" ht="20" customHeight="1">
      <c r="A40" s="26" t="n"/>
      <c r="B40" s="35">
        <f>IFERROR(IF(A40="","",VLOOKUP(A40,DATABASE!$A:$B,2,0)),"")</f>
        <v/>
      </c>
      <c r="C40" s="36">
        <f>IFERROR(IF(A40="","",VLOOKUP(A40,DATABASE!$A:$J,10,0)),"")</f>
        <v/>
      </c>
      <c r="D40" s="37">
        <f>IF(A40="","",TODAY())</f>
        <v/>
      </c>
      <c r="E40" s="29" t="n"/>
      <c r="F40" s="36">
        <f>IFERROR(IF(OR(A40="",E40=""),"",C40-E40),"")</f>
        <v/>
      </c>
      <c r="G40" s="30" t="n"/>
      <c r="H40" s="35" t="n"/>
    </row>
    <row r="41" ht="20" customHeight="1">
      <c r="A41" s="26" t="n"/>
      <c r="B41" s="27">
        <f>IFERROR(IF(A41="","",VLOOKUP(A41,DATABASE!$A:$B,2,0)),"")</f>
        <v/>
      </c>
      <c r="C41" s="20">
        <f>IFERROR(IF(A41="","",VLOOKUP(A41,DATABASE!$A:$J,10,0)),"")</f>
        <v/>
      </c>
      <c r="D41" s="28">
        <f>IF(A41="","",TODAY())</f>
        <v/>
      </c>
      <c r="E41" s="29" t="n"/>
      <c r="F41" s="20">
        <f>IFERROR(IF(OR(A41="",E41=""),"",C41-E41),"")</f>
        <v/>
      </c>
      <c r="G41" s="30" t="n"/>
      <c r="H41" s="27" t="n"/>
    </row>
    <row r="42" ht="20" customHeight="1">
      <c r="A42" s="26" t="n"/>
      <c r="B42" s="35">
        <f>IFERROR(IF(A42="","",VLOOKUP(A42,DATABASE!$A:$B,2,0)),"")</f>
        <v/>
      </c>
      <c r="C42" s="36">
        <f>IFERROR(IF(A42="","",VLOOKUP(A42,DATABASE!$A:$J,10,0)),"")</f>
        <v/>
      </c>
      <c r="D42" s="37">
        <f>IF(A42="","",TODAY())</f>
        <v/>
      </c>
      <c r="E42" s="29" t="n"/>
      <c r="F42" s="36">
        <f>IFERROR(IF(OR(A42="",E42=""),"",C42-E42),"")</f>
        <v/>
      </c>
      <c r="G42" s="30" t="n"/>
      <c r="H42" s="35" t="n"/>
    </row>
    <row r="43" ht="20" customHeight="1">
      <c r="A43" s="26" t="n"/>
      <c r="B43" s="27">
        <f>IFERROR(IF(A43="","",VLOOKUP(A43,DATABASE!$A:$B,2,0)),"")</f>
        <v/>
      </c>
      <c r="C43" s="20">
        <f>IFERROR(IF(A43="","",VLOOKUP(A43,DATABASE!$A:$J,10,0)),"")</f>
        <v/>
      </c>
      <c r="D43" s="28">
        <f>IF(A43="","",TODAY())</f>
        <v/>
      </c>
      <c r="E43" s="29" t="n"/>
      <c r="F43" s="20">
        <f>IFERROR(IF(OR(A43="",E43=""),"",C43-E43),"")</f>
        <v/>
      </c>
      <c r="G43" s="30" t="n"/>
      <c r="H43" s="27" t="n"/>
    </row>
    <row r="44" ht="20" customHeight="1">
      <c r="A44" s="26" t="n"/>
      <c r="B44" s="35">
        <f>IFERROR(IF(A44="","",VLOOKUP(A44,DATABASE!$A:$B,2,0)),"")</f>
        <v/>
      </c>
      <c r="C44" s="36">
        <f>IFERROR(IF(A44="","",VLOOKUP(A44,DATABASE!$A:$J,10,0)),"")</f>
        <v/>
      </c>
      <c r="D44" s="37">
        <f>IF(A44="","",TODAY())</f>
        <v/>
      </c>
      <c r="E44" s="29" t="n"/>
      <c r="F44" s="36">
        <f>IFERROR(IF(OR(A44="",E44=""),"",C44-E44),"")</f>
        <v/>
      </c>
      <c r="G44" s="30" t="n"/>
      <c r="H44" s="35" t="n"/>
    </row>
    <row r="45" ht="20" customHeight="1">
      <c r="A45" s="26" t="n"/>
      <c r="B45" s="27">
        <f>IFERROR(IF(A45="","",VLOOKUP(A45,DATABASE!$A:$B,2,0)),"")</f>
        <v/>
      </c>
      <c r="C45" s="20">
        <f>IFERROR(IF(A45="","",VLOOKUP(A45,DATABASE!$A:$J,10,0)),"")</f>
        <v/>
      </c>
      <c r="D45" s="28">
        <f>IF(A45="","",TODAY())</f>
        <v/>
      </c>
      <c r="E45" s="29" t="n"/>
      <c r="F45" s="20">
        <f>IFERROR(IF(OR(A45="",E45=""),"",C45-E45),"")</f>
        <v/>
      </c>
      <c r="G45" s="30" t="n"/>
      <c r="H45" s="27" t="n"/>
    </row>
    <row r="46" ht="20" customHeight="1">
      <c r="A46" s="26" t="n"/>
      <c r="B46" s="35">
        <f>IFERROR(IF(A46="","",VLOOKUP(A46,DATABASE!$A:$B,2,0)),"")</f>
        <v/>
      </c>
      <c r="C46" s="36">
        <f>IFERROR(IF(A46="","",VLOOKUP(A46,DATABASE!$A:$J,10,0)),"")</f>
        <v/>
      </c>
      <c r="D46" s="37">
        <f>IF(A46="","",TODAY())</f>
        <v/>
      </c>
      <c r="E46" s="29" t="n"/>
      <c r="F46" s="36">
        <f>IFERROR(IF(OR(A46="",E46=""),"",C46-E46),"")</f>
        <v/>
      </c>
      <c r="G46" s="30" t="n"/>
      <c r="H46" s="35" t="n"/>
    </row>
    <row r="47" ht="20" customHeight="1">
      <c r="A47" s="26" t="n"/>
      <c r="B47" s="27">
        <f>IFERROR(IF(A47="","",VLOOKUP(A47,DATABASE!$A:$B,2,0)),"")</f>
        <v/>
      </c>
      <c r="C47" s="20">
        <f>IFERROR(IF(A47="","",VLOOKUP(A47,DATABASE!$A:$J,10,0)),"")</f>
        <v/>
      </c>
      <c r="D47" s="28">
        <f>IF(A47="","",TODAY())</f>
        <v/>
      </c>
      <c r="E47" s="29" t="n"/>
      <c r="F47" s="20">
        <f>IFERROR(IF(OR(A47="",E47=""),"",C47-E47),"")</f>
        <v/>
      </c>
      <c r="G47" s="30" t="n"/>
      <c r="H47" s="27" t="n"/>
    </row>
    <row r="48" ht="20" customHeight="1">
      <c r="A48" s="26" t="n"/>
      <c r="B48" s="35">
        <f>IFERROR(IF(A48="","",VLOOKUP(A48,DATABASE!$A:$B,2,0)),"")</f>
        <v/>
      </c>
      <c r="C48" s="36">
        <f>IFERROR(IF(A48="","",VLOOKUP(A48,DATABASE!$A:$J,10,0)),"")</f>
        <v/>
      </c>
      <c r="D48" s="37">
        <f>IF(A48="","",TODAY())</f>
        <v/>
      </c>
      <c r="E48" s="29" t="n"/>
      <c r="F48" s="36">
        <f>IFERROR(IF(OR(A48="",E48=""),"",C48-E48),"")</f>
        <v/>
      </c>
      <c r="G48" s="30" t="n"/>
      <c r="H48" s="35" t="n"/>
    </row>
    <row r="49" ht="20" customHeight="1">
      <c r="A49" s="26" t="n"/>
      <c r="B49" s="27">
        <f>IFERROR(IF(A49="","",VLOOKUP(A49,DATABASE!$A:$B,2,0)),"")</f>
        <v/>
      </c>
      <c r="C49" s="20">
        <f>IFERROR(IF(A49="","",VLOOKUP(A49,DATABASE!$A:$J,10,0)),"")</f>
        <v/>
      </c>
      <c r="D49" s="28">
        <f>IF(A49="","",TODAY())</f>
        <v/>
      </c>
      <c r="E49" s="29" t="n"/>
      <c r="F49" s="20">
        <f>IFERROR(IF(OR(A49="",E49=""),"",C49-E49),"")</f>
        <v/>
      </c>
      <c r="G49" s="30" t="n"/>
      <c r="H49" s="27" t="n"/>
    </row>
    <row r="50" ht="20" customHeight="1">
      <c r="A50" s="26" t="n"/>
      <c r="B50" s="35">
        <f>IFERROR(IF(A50="","",VLOOKUP(A50,DATABASE!$A:$B,2,0)),"")</f>
        <v/>
      </c>
      <c r="C50" s="36">
        <f>IFERROR(IF(A50="","",VLOOKUP(A50,DATABASE!$A:$J,10,0)),"")</f>
        <v/>
      </c>
      <c r="D50" s="37">
        <f>IF(A50="","",TODAY())</f>
        <v/>
      </c>
      <c r="E50" s="29" t="n"/>
      <c r="F50" s="36">
        <f>IFERROR(IF(OR(A50="",E50=""),"",C50-E50),"")</f>
        <v/>
      </c>
      <c r="G50" s="30" t="n"/>
      <c r="H50" s="35" t="n"/>
    </row>
    <row r="51" ht="20" customHeight="1">
      <c r="A51" s="26" t="n"/>
      <c r="B51" s="27">
        <f>IFERROR(IF(A51="","",VLOOKUP(A51,DATABASE!$A:$B,2,0)),"")</f>
        <v/>
      </c>
      <c r="C51" s="20">
        <f>IFERROR(IF(A51="","",VLOOKUP(A51,DATABASE!$A:$J,10,0)),"")</f>
        <v/>
      </c>
      <c r="D51" s="28">
        <f>IF(A51="","",TODAY())</f>
        <v/>
      </c>
      <c r="E51" s="29" t="n"/>
      <c r="F51" s="20">
        <f>IFERROR(IF(OR(A51="",E51=""),"",C51-E51),"")</f>
        <v/>
      </c>
      <c r="G51" s="30" t="n"/>
      <c r="H51" s="27" t="n"/>
    </row>
    <row r="52" ht="20" customHeight="1">
      <c r="A52" s="26" t="n"/>
      <c r="B52" s="35">
        <f>IFERROR(IF(A52="","",VLOOKUP(A52,DATABASE!$A:$B,2,0)),"")</f>
        <v/>
      </c>
      <c r="C52" s="36">
        <f>IFERROR(IF(A52="","",VLOOKUP(A52,DATABASE!$A:$J,10,0)),"")</f>
        <v/>
      </c>
      <c r="D52" s="37">
        <f>IF(A52="","",TODAY())</f>
        <v/>
      </c>
      <c r="E52" s="29" t="n"/>
      <c r="F52" s="36">
        <f>IFERROR(IF(OR(A52="",E52=""),"",C52-E52),"")</f>
        <v/>
      </c>
      <c r="G52" s="30" t="n"/>
      <c r="H52" s="35" t="n"/>
    </row>
    <row r="53" ht="20" customHeight="1">
      <c r="A53" s="26" t="n"/>
      <c r="B53" s="27">
        <f>IFERROR(IF(A53="","",VLOOKUP(A53,DATABASE!$A:$B,2,0)),"")</f>
        <v/>
      </c>
      <c r="C53" s="20">
        <f>IFERROR(IF(A53="","",VLOOKUP(A53,DATABASE!$A:$J,10,0)),"")</f>
        <v/>
      </c>
      <c r="D53" s="28">
        <f>IF(A53="","",TODAY())</f>
        <v/>
      </c>
      <c r="E53" s="29" t="n"/>
      <c r="F53" s="20">
        <f>IFERROR(IF(OR(A53="",E53=""),"",C53-E53),"")</f>
        <v/>
      </c>
      <c r="G53" s="30" t="n"/>
      <c r="H53" s="27" t="n"/>
    </row>
    <row r="54" ht="20" customHeight="1">
      <c r="A54" s="26" t="n"/>
      <c r="B54" s="35">
        <f>IFERROR(IF(A54="","",VLOOKUP(A54,DATABASE!$A:$B,2,0)),"")</f>
        <v/>
      </c>
      <c r="C54" s="36">
        <f>IFERROR(IF(A54="","",VLOOKUP(A54,DATABASE!$A:$J,10,0)),"")</f>
        <v/>
      </c>
      <c r="D54" s="37">
        <f>IF(A54="","",TODAY())</f>
        <v/>
      </c>
      <c r="E54" s="29" t="n"/>
      <c r="F54" s="36">
        <f>IFERROR(IF(OR(A54="",E54=""),"",C54-E54),"")</f>
        <v/>
      </c>
      <c r="G54" s="30" t="n"/>
      <c r="H54" s="35" t="n"/>
    </row>
    <row r="55" ht="20" customHeight="1">
      <c r="A55" s="26" t="n"/>
      <c r="B55" s="27">
        <f>IFERROR(IF(A55="","",VLOOKUP(A55,DATABASE!$A:$B,2,0)),"")</f>
        <v/>
      </c>
      <c r="C55" s="20">
        <f>IFERROR(IF(A55="","",VLOOKUP(A55,DATABASE!$A:$J,10,0)),"")</f>
        <v/>
      </c>
      <c r="D55" s="28">
        <f>IF(A55="","",TODAY())</f>
        <v/>
      </c>
      <c r="E55" s="29" t="n"/>
      <c r="F55" s="20">
        <f>IFERROR(IF(OR(A55="",E55=""),"",C55-E55),"")</f>
        <v/>
      </c>
      <c r="G55" s="30" t="n"/>
      <c r="H55" s="27" t="n"/>
    </row>
    <row r="56" ht="20" customHeight="1">
      <c r="A56" s="26" t="n"/>
      <c r="B56" s="35">
        <f>IFERROR(IF(A56="","",VLOOKUP(A56,DATABASE!$A:$B,2,0)),"")</f>
        <v/>
      </c>
      <c r="C56" s="36">
        <f>IFERROR(IF(A56="","",VLOOKUP(A56,DATABASE!$A:$J,10,0)),"")</f>
        <v/>
      </c>
      <c r="D56" s="37">
        <f>IF(A56="","",TODAY())</f>
        <v/>
      </c>
      <c r="E56" s="29" t="n"/>
      <c r="F56" s="36">
        <f>IFERROR(IF(OR(A56="",E56=""),"",C56-E56),"")</f>
        <v/>
      </c>
      <c r="G56" s="30" t="n"/>
      <c r="H56" s="35" t="n"/>
    </row>
    <row r="57" ht="20" customHeight="1">
      <c r="A57" s="26" t="n"/>
      <c r="B57" s="27">
        <f>IFERROR(IF(A57="","",VLOOKUP(A57,DATABASE!$A:$B,2,0)),"")</f>
        <v/>
      </c>
      <c r="C57" s="20">
        <f>IFERROR(IF(A57="","",VLOOKUP(A57,DATABASE!$A:$J,10,0)),"")</f>
        <v/>
      </c>
      <c r="D57" s="28">
        <f>IF(A57="","",TODAY())</f>
        <v/>
      </c>
      <c r="E57" s="29" t="n"/>
      <c r="F57" s="20">
        <f>IFERROR(IF(OR(A57="",E57=""),"",C57-E57),"")</f>
        <v/>
      </c>
      <c r="G57" s="30" t="n"/>
      <c r="H57" s="27" t="n"/>
    </row>
    <row r="58" ht="20" customHeight="1">
      <c r="A58" s="26" t="n"/>
      <c r="B58" s="35">
        <f>IFERROR(IF(A58="","",VLOOKUP(A58,DATABASE!$A:$B,2,0)),"")</f>
        <v/>
      </c>
      <c r="C58" s="36">
        <f>IFERROR(IF(A58="","",VLOOKUP(A58,DATABASE!$A:$J,10,0)),"")</f>
        <v/>
      </c>
      <c r="D58" s="37">
        <f>IF(A58="","",TODAY())</f>
        <v/>
      </c>
      <c r="E58" s="29" t="n"/>
      <c r="F58" s="36">
        <f>IFERROR(IF(OR(A58="",E58=""),"",C58-E58),"")</f>
        <v/>
      </c>
      <c r="G58" s="30" t="n"/>
      <c r="H58" s="35" t="n"/>
    </row>
    <row r="59" ht="20" customHeight="1">
      <c r="A59" s="26" t="n"/>
      <c r="B59" s="27">
        <f>IFERROR(IF(A59="","",VLOOKUP(A59,DATABASE!$A:$B,2,0)),"")</f>
        <v/>
      </c>
      <c r="C59" s="20">
        <f>IFERROR(IF(A59="","",VLOOKUP(A59,DATABASE!$A:$J,10,0)),"")</f>
        <v/>
      </c>
      <c r="D59" s="28">
        <f>IF(A59="","",TODAY())</f>
        <v/>
      </c>
      <c r="E59" s="29" t="n"/>
      <c r="F59" s="20">
        <f>IFERROR(IF(OR(A59="",E59=""),"",C59-E59),"")</f>
        <v/>
      </c>
      <c r="G59" s="30" t="n"/>
      <c r="H59" s="27" t="n"/>
    </row>
    <row r="60" ht="20" customHeight="1">
      <c r="A60" s="26" t="n"/>
      <c r="B60" s="35">
        <f>IFERROR(IF(A60="","",VLOOKUP(A60,DATABASE!$A:$B,2,0)),"")</f>
        <v/>
      </c>
      <c r="C60" s="36">
        <f>IFERROR(IF(A60="","",VLOOKUP(A60,DATABASE!$A:$J,10,0)),"")</f>
        <v/>
      </c>
      <c r="D60" s="37">
        <f>IF(A60="","",TODAY())</f>
        <v/>
      </c>
      <c r="E60" s="29" t="n"/>
      <c r="F60" s="36">
        <f>IFERROR(IF(OR(A60="",E60=""),"",C60-E60),"")</f>
        <v/>
      </c>
      <c r="G60" s="30" t="n"/>
      <c r="H60" s="35" t="n"/>
    </row>
    <row r="61" ht="20" customHeight="1">
      <c r="A61" s="26" t="n"/>
      <c r="B61" s="27">
        <f>IFERROR(IF(A61="","",VLOOKUP(A61,DATABASE!$A:$B,2,0)),"")</f>
        <v/>
      </c>
      <c r="C61" s="20">
        <f>IFERROR(IF(A61="","",VLOOKUP(A61,DATABASE!$A:$J,10,0)),"")</f>
        <v/>
      </c>
      <c r="D61" s="28">
        <f>IF(A61="","",TODAY())</f>
        <v/>
      </c>
      <c r="E61" s="29" t="n"/>
      <c r="F61" s="20">
        <f>IFERROR(IF(OR(A61="",E61=""),"",C61-E61),"")</f>
        <v/>
      </c>
      <c r="G61" s="30" t="n"/>
      <c r="H61" s="27" t="n"/>
    </row>
    <row r="62" ht="20" customHeight="1">
      <c r="A62" s="26" t="n"/>
      <c r="B62" s="35">
        <f>IFERROR(IF(A62="","",VLOOKUP(A62,DATABASE!$A:$B,2,0)),"")</f>
        <v/>
      </c>
      <c r="C62" s="36">
        <f>IFERROR(IF(A62="","",VLOOKUP(A62,DATABASE!$A:$J,10,0)),"")</f>
        <v/>
      </c>
      <c r="D62" s="37">
        <f>IF(A62="","",TODAY())</f>
        <v/>
      </c>
      <c r="E62" s="29" t="n"/>
      <c r="F62" s="36">
        <f>IFERROR(IF(OR(A62="",E62=""),"",C62-E62),"")</f>
        <v/>
      </c>
      <c r="G62" s="30" t="n"/>
      <c r="H62" s="35" t="n"/>
    </row>
    <row r="63" ht="20" customHeight="1">
      <c r="A63" s="26" t="n"/>
      <c r="B63" s="27">
        <f>IFERROR(IF(A63="","",VLOOKUP(A63,DATABASE!$A:$B,2,0)),"")</f>
        <v/>
      </c>
      <c r="C63" s="20">
        <f>IFERROR(IF(A63="","",VLOOKUP(A63,DATABASE!$A:$J,10,0)),"")</f>
        <v/>
      </c>
      <c r="D63" s="28">
        <f>IF(A63="","",TODAY())</f>
        <v/>
      </c>
      <c r="E63" s="29" t="n"/>
      <c r="F63" s="20">
        <f>IFERROR(IF(OR(A63="",E63=""),"",C63-E63),"")</f>
        <v/>
      </c>
      <c r="G63" s="30" t="n"/>
      <c r="H63" s="27" t="n"/>
    </row>
    <row r="64" ht="20" customHeight="1">
      <c r="A64" s="26" t="n"/>
      <c r="B64" s="35">
        <f>IFERROR(IF(A64="","",VLOOKUP(A64,DATABASE!$A:$B,2,0)),"")</f>
        <v/>
      </c>
      <c r="C64" s="36">
        <f>IFERROR(IF(A64="","",VLOOKUP(A64,DATABASE!$A:$J,10,0)),"")</f>
        <v/>
      </c>
      <c r="D64" s="37">
        <f>IF(A64="","",TODAY())</f>
        <v/>
      </c>
      <c r="E64" s="29" t="n"/>
      <c r="F64" s="36">
        <f>IFERROR(IF(OR(A64="",E64=""),"",C64-E64),"")</f>
        <v/>
      </c>
      <c r="G64" s="30" t="n"/>
      <c r="H64" s="35" t="n"/>
    </row>
    <row r="65" ht="20" customHeight="1">
      <c r="A65" s="26" t="n"/>
      <c r="B65" s="27">
        <f>IFERROR(IF(A65="","",VLOOKUP(A65,DATABASE!$A:$B,2,0)),"")</f>
        <v/>
      </c>
      <c r="C65" s="20">
        <f>IFERROR(IF(A65="","",VLOOKUP(A65,DATABASE!$A:$J,10,0)),"")</f>
        <v/>
      </c>
      <c r="D65" s="28">
        <f>IF(A65="","",TODAY())</f>
        <v/>
      </c>
      <c r="E65" s="29" t="n"/>
      <c r="F65" s="20">
        <f>IFERROR(IF(OR(A65="",E65=""),"",C65-E65),"")</f>
        <v/>
      </c>
      <c r="G65" s="30" t="n"/>
      <c r="H65" s="27" t="n"/>
    </row>
    <row r="66" ht="20" customHeight="1">
      <c r="A66" s="26" t="n"/>
      <c r="B66" s="35">
        <f>IFERROR(IF(A66="","",VLOOKUP(A66,DATABASE!$A:$B,2,0)),"")</f>
        <v/>
      </c>
      <c r="C66" s="36">
        <f>IFERROR(IF(A66="","",VLOOKUP(A66,DATABASE!$A:$J,10,0)),"")</f>
        <v/>
      </c>
      <c r="D66" s="37">
        <f>IF(A66="","",TODAY())</f>
        <v/>
      </c>
      <c r="E66" s="29" t="n"/>
      <c r="F66" s="36">
        <f>IFERROR(IF(OR(A66="",E66=""),"",C66-E66),"")</f>
        <v/>
      </c>
      <c r="G66" s="30" t="n"/>
      <c r="H66" s="35" t="n"/>
    </row>
    <row r="67" ht="20" customHeight="1">
      <c r="A67" s="26" t="n"/>
      <c r="B67" s="27">
        <f>IFERROR(IF(A67="","",VLOOKUP(A67,DATABASE!$A:$B,2,0)),"")</f>
        <v/>
      </c>
      <c r="C67" s="20">
        <f>IFERROR(IF(A67="","",VLOOKUP(A67,DATABASE!$A:$J,10,0)),"")</f>
        <v/>
      </c>
      <c r="D67" s="28">
        <f>IF(A67="","",TODAY())</f>
        <v/>
      </c>
      <c r="E67" s="29" t="n"/>
      <c r="F67" s="20">
        <f>IFERROR(IF(OR(A67="",E67=""),"",C67-E67),"")</f>
        <v/>
      </c>
      <c r="G67" s="30" t="n"/>
      <c r="H67" s="27" t="n"/>
    </row>
    <row r="68" ht="20" customHeight="1">
      <c r="A68" s="26" t="n"/>
      <c r="B68" s="35">
        <f>IFERROR(IF(A68="","",VLOOKUP(A68,DATABASE!$A:$B,2,0)),"")</f>
        <v/>
      </c>
      <c r="C68" s="36">
        <f>IFERROR(IF(A68="","",VLOOKUP(A68,DATABASE!$A:$J,10,0)),"")</f>
        <v/>
      </c>
      <c r="D68" s="37">
        <f>IF(A68="","",TODAY())</f>
        <v/>
      </c>
      <c r="E68" s="29" t="n"/>
      <c r="F68" s="36">
        <f>IFERROR(IF(OR(A68="",E68=""),"",C68-E68),"")</f>
        <v/>
      </c>
      <c r="G68" s="30" t="n"/>
      <c r="H68" s="35" t="n"/>
    </row>
    <row r="69" ht="20" customHeight="1">
      <c r="A69" s="26" t="n"/>
      <c r="B69" s="27">
        <f>IFERROR(IF(A69="","",VLOOKUP(A69,DATABASE!$A:$B,2,0)),"")</f>
        <v/>
      </c>
      <c r="C69" s="20">
        <f>IFERROR(IF(A69="","",VLOOKUP(A69,DATABASE!$A:$J,10,0)),"")</f>
        <v/>
      </c>
      <c r="D69" s="28">
        <f>IF(A69="","",TODAY())</f>
        <v/>
      </c>
      <c r="E69" s="29" t="n"/>
      <c r="F69" s="20">
        <f>IFERROR(IF(OR(A69="",E69=""),"",C69-E69),"")</f>
        <v/>
      </c>
      <c r="G69" s="30" t="n"/>
      <c r="H69" s="27" t="n"/>
    </row>
    <row r="70" ht="20" customHeight="1">
      <c r="A70" s="26" t="n"/>
      <c r="B70" s="35">
        <f>IFERROR(IF(A70="","",VLOOKUP(A70,DATABASE!$A:$B,2,0)),"")</f>
        <v/>
      </c>
      <c r="C70" s="36">
        <f>IFERROR(IF(A70="","",VLOOKUP(A70,DATABASE!$A:$J,10,0)),"")</f>
        <v/>
      </c>
      <c r="D70" s="37">
        <f>IF(A70="","",TODAY())</f>
        <v/>
      </c>
      <c r="E70" s="29" t="n"/>
      <c r="F70" s="36">
        <f>IFERROR(IF(OR(A70="",E70=""),"",C70-E70),"")</f>
        <v/>
      </c>
      <c r="G70" s="30" t="n"/>
      <c r="H70" s="35" t="n"/>
    </row>
    <row r="71" ht="20" customHeight="1">
      <c r="A71" s="26" t="n"/>
      <c r="B71" s="27">
        <f>IFERROR(IF(A71="","",VLOOKUP(A71,DATABASE!$A:$B,2,0)),"")</f>
        <v/>
      </c>
      <c r="C71" s="20">
        <f>IFERROR(IF(A71="","",VLOOKUP(A71,DATABASE!$A:$J,10,0)),"")</f>
        <v/>
      </c>
      <c r="D71" s="28">
        <f>IF(A71="","",TODAY())</f>
        <v/>
      </c>
      <c r="E71" s="29" t="n"/>
      <c r="F71" s="20">
        <f>IFERROR(IF(OR(A71="",E71=""),"",C71-E71),"")</f>
        <v/>
      </c>
      <c r="G71" s="30" t="n"/>
      <c r="H71" s="27" t="n"/>
    </row>
    <row r="72" ht="20" customHeight="1">
      <c r="A72" s="26" t="n"/>
      <c r="B72" s="35">
        <f>IFERROR(IF(A72="","",VLOOKUP(A72,DATABASE!$A:$B,2,0)),"")</f>
        <v/>
      </c>
      <c r="C72" s="36">
        <f>IFERROR(IF(A72="","",VLOOKUP(A72,DATABASE!$A:$J,10,0)),"")</f>
        <v/>
      </c>
      <c r="D72" s="37">
        <f>IF(A72="","",TODAY())</f>
        <v/>
      </c>
      <c r="E72" s="29" t="n"/>
      <c r="F72" s="36">
        <f>IFERROR(IF(OR(A72="",E72=""),"",C72-E72),"")</f>
        <v/>
      </c>
      <c r="G72" s="30" t="n"/>
      <c r="H72" s="35" t="n"/>
    </row>
    <row r="73" ht="20" customHeight="1">
      <c r="A73" s="26" t="n"/>
      <c r="B73" s="27">
        <f>IFERROR(IF(A73="","",VLOOKUP(A73,DATABASE!$A:$B,2,0)),"")</f>
        <v/>
      </c>
      <c r="C73" s="20">
        <f>IFERROR(IF(A73="","",VLOOKUP(A73,DATABASE!$A:$J,10,0)),"")</f>
        <v/>
      </c>
      <c r="D73" s="28">
        <f>IF(A73="","",TODAY())</f>
        <v/>
      </c>
      <c r="E73" s="29" t="n"/>
      <c r="F73" s="20">
        <f>IFERROR(IF(OR(A73="",E73=""),"",C73-E73),"")</f>
        <v/>
      </c>
      <c r="G73" s="30" t="n"/>
      <c r="H73" s="27" t="n"/>
    </row>
    <row r="74" ht="20" customHeight="1">
      <c r="A74" s="26" t="n"/>
      <c r="B74" s="35">
        <f>IFERROR(IF(A74="","",VLOOKUP(A74,DATABASE!$A:$B,2,0)),"")</f>
        <v/>
      </c>
      <c r="C74" s="36">
        <f>IFERROR(IF(A74="","",VLOOKUP(A74,DATABASE!$A:$J,10,0)),"")</f>
        <v/>
      </c>
      <c r="D74" s="37">
        <f>IF(A74="","",TODAY())</f>
        <v/>
      </c>
      <c r="E74" s="29" t="n"/>
      <c r="F74" s="36">
        <f>IFERROR(IF(OR(A74="",E74=""),"",C74-E74),"")</f>
        <v/>
      </c>
      <c r="G74" s="30" t="n"/>
      <c r="H74" s="35" t="n"/>
    </row>
    <row r="75" ht="20" customHeight="1">
      <c r="A75" s="26" t="n"/>
      <c r="B75" s="27">
        <f>IFERROR(IF(A75="","",VLOOKUP(A75,DATABASE!$A:$B,2,0)),"")</f>
        <v/>
      </c>
      <c r="C75" s="20">
        <f>IFERROR(IF(A75="","",VLOOKUP(A75,DATABASE!$A:$J,10,0)),"")</f>
        <v/>
      </c>
      <c r="D75" s="28">
        <f>IF(A75="","",TODAY())</f>
        <v/>
      </c>
      <c r="E75" s="29" t="n"/>
      <c r="F75" s="20">
        <f>IFERROR(IF(OR(A75="",E75=""),"",C75-E75),"")</f>
        <v/>
      </c>
      <c r="G75" s="30" t="n"/>
      <c r="H75" s="27" t="n"/>
    </row>
    <row r="76" ht="20" customHeight="1">
      <c r="A76" s="26" t="n"/>
      <c r="B76" s="35">
        <f>IFERROR(IF(A76="","",VLOOKUP(A76,DATABASE!$A:$B,2,0)),"")</f>
        <v/>
      </c>
      <c r="C76" s="36">
        <f>IFERROR(IF(A76="","",VLOOKUP(A76,DATABASE!$A:$J,10,0)),"")</f>
        <v/>
      </c>
      <c r="D76" s="37">
        <f>IF(A76="","",TODAY())</f>
        <v/>
      </c>
      <c r="E76" s="29" t="n"/>
      <c r="F76" s="36">
        <f>IFERROR(IF(OR(A76="",E76=""),"",C76-E76),"")</f>
        <v/>
      </c>
      <c r="G76" s="30" t="n"/>
      <c r="H76" s="35" t="n"/>
    </row>
    <row r="77" ht="20" customHeight="1">
      <c r="A77" s="26" t="n"/>
      <c r="B77" s="27">
        <f>IFERROR(IF(A77="","",VLOOKUP(A77,DATABASE!$A:$B,2,0)),"")</f>
        <v/>
      </c>
      <c r="C77" s="20">
        <f>IFERROR(IF(A77="","",VLOOKUP(A77,DATABASE!$A:$J,10,0)),"")</f>
        <v/>
      </c>
      <c r="D77" s="28">
        <f>IF(A77="","",TODAY())</f>
        <v/>
      </c>
      <c r="E77" s="29" t="n"/>
      <c r="F77" s="20">
        <f>IFERROR(IF(OR(A77="",E77=""),"",C77-E77),"")</f>
        <v/>
      </c>
      <c r="G77" s="30" t="n"/>
      <c r="H77" s="27" t="n"/>
    </row>
    <row r="78" ht="20" customHeight="1">
      <c r="A78" s="26" t="n"/>
      <c r="B78" s="35">
        <f>IFERROR(IF(A78="","",VLOOKUP(A78,DATABASE!$A:$B,2,0)),"")</f>
        <v/>
      </c>
      <c r="C78" s="36">
        <f>IFERROR(IF(A78="","",VLOOKUP(A78,DATABASE!$A:$J,10,0)),"")</f>
        <v/>
      </c>
      <c r="D78" s="37">
        <f>IF(A78="","",TODAY())</f>
        <v/>
      </c>
      <c r="E78" s="29" t="n"/>
      <c r="F78" s="36">
        <f>IFERROR(IF(OR(A78="",E78=""),"",C78-E78),"")</f>
        <v/>
      </c>
      <c r="G78" s="30" t="n"/>
      <c r="H78" s="35" t="n"/>
    </row>
    <row r="79" ht="20" customHeight="1">
      <c r="A79" s="26" t="n"/>
      <c r="B79" s="27">
        <f>IFERROR(IF(A79="","",VLOOKUP(A79,DATABASE!$A:$B,2,0)),"")</f>
        <v/>
      </c>
      <c r="C79" s="20">
        <f>IFERROR(IF(A79="","",VLOOKUP(A79,DATABASE!$A:$J,10,0)),"")</f>
        <v/>
      </c>
      <c r="D79" s="28">
        <f>IF(A79="","",TODAY())</f>
        <v/>
      </c>
      <c r="E79" s="29" t="n"/>
      <c r="F79" s="20">
        <f>IFERROR(IF(OR(A79="",E79=""),"",C79-E79),"")</f>
        <v/>
      </c>
      <c r="G79" s="30" t="n"/>
      <c r="H79" s="27" t="n"/>
    </row>
    <row r="80" ht="20" customHeight="1">
      <c r="A80" s="26" t="n"/>
      <c r="B80" s="35">
        <f>IFERROR(IF(A80="","",VLOOKUP(A80,DATABASE!$A:$B,2,0)),"")</f>
        <v/>
      </c>
      <c r="C80" s="36">
        <f>IFERROR(IF(A80="","",VLOOKUP(A80,DATABASE!$A:$J,10,0)),"")</f>
        <v/>
      </c>
      <c r="D80" s="37">
        <f>IF(A80="","",TODAY())</f>
        <v/>
      </c>
      <c r="E80" s="29" t="n"/>
      <c r="F80" s="36">
        <f>IFERROR(IF(OR(A80="",E80=""),"",C80-E80),"")</f>
        <v/>
      </c>
      <c r="G80" s="30" t="n"/>
      <c r="H80" s="35" t="n"/>
    </row>
    <row r="81" ht="20" customHeight="1">
      <c r="A81" s="26" t="n"/>
      <c r="B81" s="27">
        <f>IFERROR(IF(A81="","",VLOOKUP(A81,DATABASE!$A:$B,2,0)),"")</f>
        <v/>
      </c>
      <c r="C81" s="20">
        <f>IFERROR(IF(A81="","",VLOOKUP(A81,DATABASE!$A:$J,10,0)),"")</f>
        <v/>
      </c>
      <c r="D81" s="28">
        <f>IF(A81="","",TODAY())</f>
        <v/>
      </c>
      <c r="E81" s="29" t="n"/>
      <c r="F81" s="20">
        <f>IFERROR(IF(OR(A81="",E81=""),"",C81-E81),"")</f>
        <v/>
      </c>
      <c r="G81" s="30" t="n"/>
      <c r="H81" s="27" t="n"/>
    </row>
    <row r="82" ht="20" customHeight="1">
      <c r="A82" s="26" t="n"/>
      <c r="B82" s="35">
        <f>IFERROR(IF(A82="","",VLOOKUP(A82,DATABASE!$A:$B,2,0)),"")</f>
        <v/>
      </c>
      <c r="C82" s="36">
        <f>IFERROR(IF(A82="","",VLOOKUP(A82,DATABASE!$A:$J,10,0)),"")</f>
        <v/>
      </c>
      <c r="D82" s="37">
        <f>IF(A82="","",TODAY())</f>
        <v/>
      </c>
      <c r="E82" s="29" t="n"/>
      <c r="F82" s="36">
        <f>IFERROR(IF(OR(A82="",E82=""),"",C82-E82),"")</f>
        <v/>
      </c>
      <c r="G82" s="30" t="n"/>
      <c r="H82" s="35" t="n"/>
    </row>
    <row r="83" ht="20" customHeight="1">
      <c r="A83" s="26" t="n"/>
      <c r="B83" s="27">
        <f>IFERROR(IF(A83="","",VLOOKUP(A83,DATABASE!$A:$B,2,0)),"")</f>
        <v/>
      </c>
      <c r="C83" s="20">
        <f>IFERROR(IF(A83="","",VLOOKUP(A83,DATABASE!$A:$J,10,0)),"")</f>
        <v/>
      </c>
      <c r="D83" s="28">
        <f>IF(A83="","",TODAY())</f>
        <v/>
      </c>
      <c r="E83" s="29" t="n"/>
      <c r="F83" s="20">
        <f>IFERROR(IF(OR(A83="",E83=""),"",C83-E83),"")</f>
        <v/>
      </c>
      <c r="G83" s="30" t="n"/>
      <c r="H83" s="27" t="n"/>
    </row>
    <row r="84" ht="20" customHeight="1">
      <c r="A84" s="26" t="n"/>
      <c r="B84" s="35">
        <f>IFERROR(IF(A84="","",VLOOKUP(A84,DATABASE!$A:$B,2,0)),"")</f>
        <v/>
      </c>
      <c r="C84" s="36">
        <f>IFERROR(IF(A84="","",VLOOKUP(A84,DATABASE!$A:$J,10,0)),"")</f>
        <v/>
      </c>
      <c r="D84" s="37">
        <f>IF(A84="","",TODAY())</f>
        <v/>
      </c>
      <c r="E84" s="29" t="n"/>
      <c r="F84" s="36">
        <f>IFERROR(IF(OR(A84="",E84=""),"",C84-E84),"")</f>
        <v/>
      </c>
      <c r="G84" s="30" t="n"/>
      <c r="H84" s="35" t="n"/>
    </row>
    <row r="85" ht="20" customHeight="1">
      <c r="A85" s="26" t="n"/>
      <c r="B85" s="27">
        <f>IFERROR(IF(A85="","",VLOOKUP(A85,DATABASE!$A:$B,2,0)),"")</f>
        <v/>
      </c>
      <c r="C85" s="20">
        <f>IFERROR(IF(A85="","",VLOOKUP(A85,DATABASE!$A:$J,10,0)),"")</f>
        <v/>
      </c>
      <c r="D85" s="28">
        <f>IF(A85="","",TODAY())</f>
        <v/>
      </c>
      <c r="E85" s="29" t="n"/>
      <c r="F85" s="20">
        <f>IFERROR(IF(OR(A85="",E85=""),"",C85-E85),"")</f>
        <v/>
      </c>
      <c r="G85" s="30" t="n"/>
      <c r="H85" s="27" t="n"/>
    </row>
    <row r="86" ht="20" customHeight="1">
      <c r="A86" s="26" t="n"/>
      <c r="B86" s="35">
        <f>IFERROR(IF(A86="","",VLOOKUP(A86,DATABASE!$A:$B,2,0)),"")</f>
        <v/>
      </c>
      <c r="C86" s="36">
        <f>IFERROR(IF(A86="","",VLOOKUP(A86,DATABASE!$A:$J,10,0)),"")</f>
        <v/>
      </c>
      <c r="D86" s="37">
        <f>IF(A86="","",TODAY())</f>
        <v/>
      </c>
      <c r="E86" s="29" t="n"/>
      <c r="F86" s="36">
        <f>IFERROR(IF(OR(A86="",E86=""),"",C86-E86),"")</f>
        <v/>
      </c>
      <c r="G86" s="30" t="n"/>
      <c r="H86" s="35" t="n"/>
    </row>
    <row r="87" ht="20" customHeight="1">
      <c r="A87" s="26" t="n"/>
      <c r="B87" s="27">
        <f>IFERROR(IF(A87="","",VLOOKUP(A87,DATABASE!$A:$B,2,0)),"")</f>
        <v/>
      </c>
      <c r="C87" s="20">
        <f>IFERROR(IF(A87="","",VLOOKUP(A87,DATABASE!$A:$J,10,0)),"")</f>
        <v/>
      </c>
      <c r="D87" s="28">
        <f>IF(A87="","",TODAY())</f>
        <v/>
      </c>
      <c r="E87" s="29" t="n"/>
      <c r="F87" s="20">
        <f>IFERROR(IF(OR(A87="",E87=""),"",C87-E87),"")</f>
        <v/>
      </c>
      <c r="G87" s="30" t="n"/>
      <c r="H87" s="27" t="n"/>
    </row>
    <row r="88" ht="20" customHeight="1">
      <c r="A88" s="26" t="n"/>
      <c r="B88" s="35">
        <f>IFERROR(IF(A88="","",VLOOKUP(A88,DATABASE!$A:$B,2,0)),"")</f>
        <v/>
      </c>
      <c r="C88" s="36">
        <f>IFERROR(IF(A88="","",VLOOKUP(A88,DATABASE!$A:$J,10,0)),"")</f>
        <v/>
      </c>
      <c r="D88" s="37">
        <f>IF(A88="","",TODAY())</f>
        <v/>
      </c>
      <c r="E88" s="29" t="n"/>
      <c r="F88" s="36">
        <f>IFERROR(IF(OR(A88="",E88=""),"",C88-E88),"")</f>
        <v/>
      </c>
      <c r="G88" s="30" t="n"/>
      <c r="H88" s="35" t="n"/>
    </row>
    <row r="89" ht="20" customHeight="1">
      <c r="A89" s="26" t="n"/>
      <c r="B89" s="27">
        <f>IFERROR(IF(A89="","",VLOOKUP(A89,DATABASE!$A:$B,2,0)),"")</f>
        <v/>
      </c>
      <c r="C89" s="20">
        <f>IFERROR(IF(A89="","",VLOOKUP(A89,DATABASE!$A:$J,10,0)),"")</f>
        <v/>
      </c>
      <c r="D89" s="28">
        <f>IF(A89="","",TODAY())</f>
        <v/>
      </c>
      <c r="E89" s="29" t="n"/>
      <c r="F89" s="20">
        <f>IFERROR(IF(OR(A89="",E89=""),"",C89-E89),"")</f>
        <v/>
      </c>
      <c r="G89" s="30" t="n"/>
      <c r="H89" s="27" t="n"/>
    </row>
    <row r="90" ht="20" customHeight="1">
      <c r="A90" s="26" t="n"/>
      <c r="B90" s="35">
        <f>IFERROR(IF(A90="","",VLOOKUP(A90,DATABASE!$A:$B,2,0)),"")</f>
        <v/>
      </c>
      <c r="C90" s="36">
        <f>IFERROR(IF(A90="","",VLOOKUP(A90,DATABASE!$A:$J,10,0)),"")</f>
        <v/>
      </c>
      <c r="D90" s="37">
        <f>IF(A90="","",TODAY())</f>
        <v/>
      </c>
      <c r="E90" s="29" t="n"/>
      <c r="F90" s="36">
        <f>IFERROR(IF(OR(A90="",E90=""),"",C90-E90),"")</f>
        <v/>
      </c>
      <c r="G90" s="30" t="n"/>
      <c r="H90" s="35" t="n"/>
    </row>
    <row r="91" ht="20" customHeight="1">
      <c r="A91" s="26" t="n"/>
      <c r="B91" s="27">
        <f>IFERROR(IF(A91="","",VLOOKUP(A91,DATABASE!$A:$B,2,0)),"")</f>
        <v/>
      </c>
      <c r="C91" s="20">
        <f>IFERROR(IF(A91="","",VLOOKUP(A91,DATABASE!$A:$J,10,0)),"")</f>
        <v/>
      </c>
      <c r="D91" s="28">
        <f>IF(A91="","",TODAY())</f>
        <v/>
      </c>
      <c r="E91" s="29" t="n"/>
      <c r="F91" s="20">
        <f>IFERROR(IF(OR(A91="",E91=""),"",C91-E91),"")</f>
        <v/>
      </c>
      <c r="G91" s="30" t="n"/>
      <c r="H91" s="27" t="n"/>
    </row>
    <row r="92" ht="20" customHeight="1">
      <c r="A92" s="26" t="n"/>
      <c r="B92" s="35">
        <f>IFERROR(IF(A92="","",VLOOKUP(A92,DATABASE!$A:$B,2,0)),"")</f>
        <v/>
      </c>
      <c r="C92" s="36">
        <f>IFERROR(IF(A92="","",VLOOKUP(A92,DATABASE!$A:$J,10,0)),"")</f>
        <v/>
      </c>
      <c r="D92" s="37">
        <f>IF(A92="","",TODAY())</f>
        <v/>
      </c>
      <c r="E92" s="29" t="n"/>
      <c r="F92" s="36">
        <f>IFERROR(IF(OR(A92="",E92=""),"",C92-E92),"")</f>
        <v/>
      </c>
      <c r="G92" s="30" t="n"/>
      <c r="H92" s="35" t="n"/>
    </row>
    <row r="93" ht="20" customHeight="1">
      <c r="A93" s="26" t="n"/>
      <c r="B93" s="27">
        <f>IFERROR(IF(A93="","",VLOOKUP(A93,DATABASE!$A:$B,2,0)),"")</f>
        <v/>
      </c>
      <c r="C93" s="20">
        <f>IFERROR(IF(A93="","",VLOOKUP(A93,DATABASE!$A:$J,10,0)),"")</f>
        <v/>
      </c>
      <c r="D93" s="28">
        <f>IF(A93="","",TODAY())</f>
        <v/>
      </c>
      <c r="E93" s="29" t="n"/>
      <c r="F93" s="20">
        <f>IFERROR(IF(OR(A93="",E93=""),"",C93-E93),"")</f>
        <v/>
      </c>
      <c r="G93" s="30" t="n"/>
      <c r="H93" s="27" t="n"/>
    </row>
    <row r="94" ht="20" customHeight="1">
      <c r="A94" s="26" t="n"/>
      <c r="B94" s="35">
        <f>IFERROR(IF(A94="","",VLOOKUP(A94,DATABASE!$A:$B,2,0)),"")</f>
        <v/>
      </c>
      <c r="C94" s="36">
        <f>IFERROR(IF(A94="","",VLOOKUP(A94,DATABASE!$A:$J,10,0)),"")</f>
        <v/>
      </c>
      <c r="D94" s="37">
        <f>IF(A94="","",TODAY())</f>
        <v/>
      </c>
      <c r="E94" s="29" t="n"/>
      <c r="F94" s="36">
        <f>IFERROR(IF(OR(A94="",E94=""),"",C94-E94),"")</f>
        <v/>
      </c>
      <c r="G94" s="30" t="n"/>
      <c r="H94" s="35" t="n"/>
    </row>
    <row r="95" ht="20" customHeight="1">
      <c r="A95" s="26" t="n"/>
      <c r="B95" s="27">
        <f>IFERROR(IF(A95="","",VLOOKUP(A95,DATABASE!$A:$B,2,0)),"")</f>
        <v/>
      </c>
      <c r="C95" s="20">
        <f>IFERROR(IF(A95="","",VLOOKUP(A95,DATABASE!$A:$J,10,0)),"")</f>
        <v/>
      </c>
      <c r="D95" s="28">
        <f>IF(A95="","",TODAY())</f>
        <v/>
      </c>
      <c r="E95" s="29" t="n"/>
      <c r="F95" s="20">
        <f>IFERROR(IF(OR(A95="",E95=""),"",C95-E95),"")</f>
        <v/>
      </c>
      <c r="G95" s="30" t="n"/>
      <c r="H95" s="27" t="n"/>
    </row>
    <row r="96" ht="20" customHeight="1">
      <c r="A96" s="26" t="n"/>
      <c r="B96" s="35">
        <f>IFERROR(IF(A96="","",VLOOKUP(A96,DATABASE!$A:$B,2,0)),"")</f>
        <v/>
      </c>
      <c r="C96" s="36">
        <f>IFERROR(IF(A96="","",VLOOKUP(A96,DATABASE!$A:$J,10,0)),"")</f>
        <v/>
      </c>
      <c r="D96" s="37">
        <f>IF(A96="","",TODAY())</f>
        <v/>
      </c>
      <c r="E96" s="29" t="n"/>
      <c r="F96" s="36">
        <f>IFERROR(IF(OR(A96="",E96=""),"",C96-E96),"")</f>
        <v/>
      </c>
      <c r="G96" s="30" t="n"/>
      <c r="H96" s="35" t="n"/>
    </row>
    <row r="97" ht="20" customHeight="1">
      <c r="A97" s="26" t="n"/>
      <c r="B97" s="27">
        <f>IFERROR(IF(A97="","",VLOOKUP(A97,DATABASE!$A:$B,2,0)),"")</f>
        <v/>
      </c>
      <c r="C97" s="20">
        <f>IFERROR(IF(A97="","",VLOOKUP(A97,DATABASE!$A:$J,10,0)),"")</f>
        <v/>
      </c>
      <c r="D97" s="28">
        <f>IF(A97="","",TODAY())</f>
        <v/>
      </c>
      <c r="E97" s="29" t="n"/>
      <c r="F97" s="20">
        <f>IFERROR(IF(OR(A97="",E97=""),"",C97-E97),"")</f>
        <v/>
      </c>
      <c r="G97" s="30" t="n"/>
      <c r="H97" s="27" t="n"/>
    </row>
    <row r="98" ht="20" customHeight="1">
      <c r="A98" s="26" t="n"/>
      <c r="B98" s="35">
        <f>IFERROR(IF(A98="","",VLOOKUP(A98,DATABASE!$A:$B,2,0)),"")</f>
        <v/>
      </c>
      <c r="C98" s="36">
        <f>IFERROR(IF(A98="","",VLOOKUP(A98,DATABASE!$A:$J,10,0)),"")</f>
        <v/>
      </c>
      <c r="D98" s="37">
        <f>IF(A98="","",TODAY())</f>
        <v/>
      </c>
      <c r="E98" s="29" t="n"/>
      <c r="F98" s="36">
        <f>IFERROR(IF(OR(A98="",E98=""),"",C98-E98),"")</f>
        <v/>
      </c>
      <c r="G98" s="30" t="n"/>
      <c r="H98" s="35" t="n"/>
    </row>
    <row r="99" ht="20" customHeight="1">
      <c r="A99" s="26" t="n"/>
      <c r="B99" s="27">
        <f>IFERROR(IF(A99="","",VLOOKUP(A99,DATABASE!$A:$B,2,0)),"")</f>
        <v/>
      </c>
      <c r="C99" s="20">
        <f>IFERROR(IF(A99="","",VLOOKUP(A99,DATABASE!$A:$J,10,0)),"")</f>
        <v/>
      </c>
      <c r="D99" s="28">
        <f>IF(A99="","",TODAY())</f>
        <v/>
      </c>
      <c r="E99" s="29" t="n"/>
      <c r="F99" s="20">
        <f>IFERROR(IF(OR(A99="",E99=""),"",C99-E99),"")</f>
        <v/>
      </c>
      <c r="G99" s="30" t="n"/>
      <c r="H99" s="27" t="n"/>
    </row>
    <row r="100" ht="20" customHeight="1">
      <c r="A100" s="26" t="n"/>
      <c r="B100" s="35">
        <f>IFERROR(IF(A100="","",VLOOKUP(A100,DATABASE!$A:$B,2,0)),"")</f>
        <v/>
      </c>
      <c r="C100" s="36">
        <f>IFERROR(IF(A100="","",VLOOKUP(A100,DATABASE!$A:$J,10,0)),"")</f>
        <v/>
      </c>
      <c r="D100" s="37">
        <f>IF(A100="","",TODAY())</f>
        <v/>
      </c>
      <c r="E100" s="29" t="n"/>
      <c r="F100" s="36">
        <f>IFERROR(IF(OR(A100="",E100=""),"",C100-E100),"")</f>
        <v/>
      </c>
      <c r="G100" s="30" t="n"/>
      <c r="H100" s="35" t="n"/>
    </row>
    <row r="101" ht="20" customHeight="1">
      <c r="A101" s="26" t="n"/>
      <c r="B101" s="27">
        <f>IFERROR(IF(A101="","",VLOOKUP(A101,DATABASE!$A:$B,2,0)),"")</f>
        <v/>
      </c>
      <c r="C101" s="20">
        <f>IFERROR(IF(A101="","",VLOOKUP(A101,DATABASE!$A:$J,10,0)),"")</f>
        <v/>
      </c>
      <c r="D101" s="28">
        <f>IF(A101="","",TODAY())</f>
        <v/>
      </c>
      <c r="E101" s="29" t="n"/>
      <c r="F101" s="20">
        <f>IFERROR(IF(OR(A101="",E101=""),"",C101-E101),"")</f>
        <v/>
      </c>
      <c r="G101" s="30" t="n"/>
      <c r="H101" s="27" t="n"/>
    </row>
    <row r="102" ht="20" customHeight="1">
      <c r="A102" s="26" t="n"/>
      <c r="B102" s="35">
        <f>IFERROR(IF(A102="","",VLOOKUP(A102,DATABASE!$A:$B,2,0)),"")</f>
        <v/>
      </c>
      <c r="C102" s="36">
        <f>IFERROR(IF(A102="","",VLOOKUP(A102,DATABASE!$A:$J,10,0)),"")</f>
        <v/>
      </c>
      <c r="D102" s="37">
        <f>IF(A102="","",TODAY())</f>
        <v/>
      </c>
      <c r="E102" s="29" t="n"/>
      <c r="F102" s="36">
        <f>IFERROR(IF(OR(A102="",E102=""),"",C102-E102),"")</f>
        <v/>
      </c>
      <c r="G102" s="30" t="n"/>
      <c r="H102" s="35" t="n"/>
    </row>
    <row r="103" ht="20" customHeight="1">
      <c r="A103" s="26" t="n"/>
      <c r="B103" s="27">
        <f>IFERROR(IF(A103="","",VLOOKUP(A103,DATABASE!$A:$B,2,0)),"")</f>
        <v/>
      </c>
      <c r="C103" s="20">
        <f>IFERROR(IF(A103="","",VLOOKUP(A103,DATABASE!$A:$J,10,0)),"")</f>
        <v/>
      </c>
      <c r="D103" s="28">
        <f>IF(A103="","",TODAY())</f>
        <v/>
      </c>
      <c r="E103" s="29" t="n"/>
      <c r="F103" s="20">
        <f>IFERROR(IF(OR(A103="",E103=""),"",C103-E103),"")</f>
        <v/>
      </c>
      <c r="G103" s="30" t="n"/>
      <c r="H103" s="27" t="n"/>
    </row>
    <row r="104" ht="20" customHeight="1">
      <c r="A104" s="26" t="n"/>
      <c r="B104" s="35">
        <f>IFERROR(IF(A104="","",VLOOKUP(A104,DATABASE!$A:$B,2,0)),"")</f>
        <v/>
      </c>
      <c r="C104" s="36">
        <f>IFERROR(IF(A104="","",VLOOKUP(A104,DATABASE!$A:$J,10,0)),"")</f>
        <v/>
      </c>
      <c r="D104" s="37">
        <f>IF(A104="","",TODAY())</f>
        <v/>
      </c>
      <c r="E104" s="29" t="n"/>
      <c r="F104" s="36">
        <f>IFERROR(IF(OR(A104="",E104=""),"",C104-E104),"")</f>
        <v/>
      </c>
      <c r="G104" s="30" t="n"/>
      <c r="H104" s="35" t="n"/>
    </row>
    <row r="105" ht="20" customHeight="1">
      <c r="A105" s="26" t="n"/>
      <c r="B105" s="27">
        <f>IFERROR(IF(A105="","",VLOOKUP(A105,DATABASE!$A:$B,2,0)),"")</f>
        <v/>
      </c>
      <c r="C105" s="20">
        <f>IFERROR(IF(A105="","",VLOOKUP(A105,DATABASE!$A:$J,10,0)),"")</f>
        <v/>
      </c>
      <c r="D105" s="28">
        <f>IF(A105="","",TODAY())</f>
        <v/>
      </c>
      <c r="E105" s="29" t="n"/>
      <c r="F105" s="20">
        <f>IFERROR(IF(OR(A105="",E105=""),"",C105-E105),"")</f>
        <v/>
      </c>
      <c r="G105" s="30" t="n"/>
      <c r="H105" s="27" t="n"/>
    </row>
    <row r="106" ht="20" customHeight="1">
      <c r="A106" s="26" t="n"/>
      <c r="B106" s="35">
        <f>IFERROR(IF(A106="","",VLOOKUP(A106,DATABASE!$A:$B,2,0)),"")</f>
        <v/>
      </c>
      <c r="C106" s="36">
        <f>IFERROR(IF(A106="","",VLOOKUP(A106,DATABASE!$A:$J,10,0)),"")</f>
        <v/>
      </c>
      <c r="D106" s="37">
        <f>IF(A106="","",TODAY())</f>
        <v/>
      </c>
      <c r="E106" s="29" t="n"/>
      <c r="F106" s="36">
        <f>IFERROR(IF(OR(A106="",E106=""),"",C106-E106),"")</f>
        <v/>
      </c>
      <c r="G106" s="30" t="n"/>
      <c r="H106" s="35" t="n"/>
    </row>
    <row r="107" ht="20" customHeight="1">
      <c r="A107" s="26" t="n"/>
      <c r="B107" s="27">
        <f>IFERROR(IF(A107="","",VLOOKUP(A107,DATABASE!$A:$B,2,0)),"")</f>
        <v/>
      </c>
      <c r="C107" s="20">
        <f>IFERROR(IF(A107="","",VLOOKUP(A107,DATABASE!$A:$J,10,0)),"")</f>
        <v/>
      </c>
      <c r="D107" s="28">
        <f>IF(A107="","",TODAY())</f>
        <v/>
      </c>
      <c r="E107" s="29" t="n"/>
      <c r="F107" s="20">
        <f>IFERROR(IF(OR(A107="",E107=""),"",C107-E107),"")</f>
        <v/>
      </c>
      <c r="G107" s="30" t="n"/>
      <c r="H107" s="27" t="n"/>
    </row>
    <row r="108" ht="20" customHeight="1">
      <c r="A108" s="26" t="n"/>
      <c r="B108" s="35">
        <f>IFERROR(IF(A108="","",VLOOKUP(A108,DATABASE!$A:$B,2,0)),"")</f>
        <v/>
      </c>
      <c r="C108" s="36">
        <f>IFERROR(IF(A108="","",VLOOKUP(A108,DATABASE!$A:$J,10,0)),"")</f>
        <v/>
      </c>
      <c r="D108" s="37">
        <f>IF(A108="","",TODAY())</f>
        <v/>
      </c>
      <c r="E108" s="29" t="n"/>
      <c r="F108" s="36">
        <f>IFERROR(IF(OR(A108="",E108=""),"",C108-E108),"")</f>
        <v/>
      </c>
      <c r="G108" s="30" t="n"/>
      <c r="H108" s="35" t="n"/>
    </row>
    <row r="109" ht="20" customHeight="1">
      <c r="A109" s="26" t="n"/>
      <c r="B109" s="27">
        <f>IFERROR(IF(A109="","",VLOOKUP(A109,DATABASE!$A:$B,2,0)),"")</f>
        <v/>
      </c>
      <c r="C109" s="20">
        <f>IFERROR(IF(A109="","",VLOOKUP(A109,DATABASE!$A:$J,10,0)),"")</f>
        <v/>
      </c>
      <c r="D109" s="28">
        <f>IF(A109="","",TODAY())</f>
        <v/>
      </c>
      <c r="E109" s="29" t="n"/>
      <c r="F109" s="20">
        <f>IFERROR(IF(OR(A109="",E109=""),"",C109-E109),"")</f>
        <v/>
      </c>
      <c r="G109" s="30" t="n"/>
      <c r="H109" s="27" t="n"/>
    </row>
    <row r="110" ht="20" customHeight="1">
      <c r="A110" s="26" t="n"/>
      <c r="B110" s="35">
        <f>IFERROR(IF(A110="","",VLOOKUP(A110,DATABASE!$A:$B,2,0)),"")</f>
        <v/>
      </c>
      <c r="C110" s="36">
        <f>IFERROR(IF(A110="","",VLOOKUP(A110,DATABASE!$A:$J,10,0)),"")</f>
        <v/>
      </c>
      <c r="D110" s="37">
        <f>IF(A110="","",TODAY())</f>
        <v/>
      </c>
      <c r="E110" s="29" t="n"/>
      <c r="F110" s="36">
        <f>IFERROR(IF(OR(A110="",E110=""),"",C110-E110),"")</f>
        <v/>
      </c>
      <c r="G110" s="30" t="n"/>
      <c r="H110" s="35" t="n"/>
    </row>
    <row r="111" ht="20" customHeight="1">
      <c r="A111" s="26" t="n"/>
      <c r="B111" s="27">
        <f>IFERROR(IF(A111="","",VLOOKUP(A111,DATABASE!$A:$B,2,0)),"")</f>
        <v/>
      </c>
      <c r="C111" s="20">
        <f>IFERROR(IF(A111="","",VLOOKUP(A111,DATABASE!$A:$J,10,0)),"")</f>
        <v/>
      </c>
      <c r="D111" s="28">
        <f>IF(A111="","",TODAY())</f>
        <v/>
      </c>
      <c r="E111" s="29" t="n"/>
      <c r="F111" s="20">
        <f>IFERROR(IF(OR(A111="",E111=""),"",C111-E111),"")</f>
        <v/>
      </c>
      <c r="G111" s="30" t="n"/>
      <c r="H111" s="27" t="n"/>
    </row>
    <row r="112" ht="20" customHeight="1">
      <c r="A112" s="26" t="n"/>
      <c r="B112" s="35">
        <f>IFERROR(IF(A112="","",VLOOKUP(A112,DATABASE!$A:$B,2,0)),"")</f>
        <v/>
      </c>
      <c r="C112" s="36">
        <f>IFERROR(IF(A112="","",VLOOKUP(A112,DATABASE!$A:$J,10,0)),"")</f>
        <v/>
      </c>
      <c r="D112" s="37">
        <f>IF(A112="","",TODAY())</f>
        <v/>
      </c>
      <c r="E112" s="29" t="n"/>
      <c r="F112" s="36">
        <f>IFERROR(IF(OR(A112="",E112=""),"",C112-E112),"")</f>
        <v/>
      </c>
      <c r="G112" s="30" t="n"/>
      <c r="H112" s="35" t="n"/>
    </row>
    <row r="113" ht="20" customHeight="1">
      <c r="A113" s="26" t="n"/>
      <c r="B113" s="27">
        <f>IFERROR(IF(A113="","",VLOOKUP(A113,DATABASE!$A:$B,2,0)),"")</f>
        <v/>
      </c>
      <c r="C113" s="20">
        <f>IFERROR(IF(A113="","",VLOOKUP(A113,DATABASE!$A:$J,10,0)),"")</f>
        <v/>
      </c>
      <c r="D113" s="28">
        <f>IF(A113="","",TODAY())</f>
        <v/>
      </c>
      <c r="E113" s="29" t="n"/>
      <c r="F113" s="20">
        <f>IFERROR(IF(OR(A113="",E113=""),"",C113-E113),"")</f>
        <v/>
      </c>
      <c r="G113" s="30" t="n"/>
      <c r="H113" s="27" t="n"/>
    </row>
    <row r="114" ht="20" customHeight="1">
      <c r="A114" s="26" t="n"/>
      <c r="B114" s="35">
        <f>IFERROR(IF(A114="","",VLOOKUP(A114,DATABASE!$A:$B,2,0)),"")</f>
        <v/>
      </c>
      <c r="C114" s="36">
        <f>IFERROR(IF(A114="","",VLOOKUP(A114,DATABASE!$A:$J,10,0)),"")</f>
        <v/>
      </c>
      <c r="D114" s="37">
        <f>IF(A114="","",TODAY())</f>
        <v/>
      </c>
      <c r="E114" s="29" t="n"/>
      <c r="F114" s="36">
        <f>IFERROR(IF(OR(A114="",E114=""),"",C114-E114),"")</f>
        <v/>
      </c>
      <c r="G114" s="30" t="n"/>
      <c r="H114" s="35" t="n"/>
    </row>
    <row r="115" ht="20" customHeight="1">
      <c r="A115" s="26" t="n"/>
      <c r="B115" s="27">
        <f>IFERROR(IF(A115="","",VLOOKUP(A115,DATABASE!$A:$B,2,0)),"")</f>
        <v/>
      </c>
      <c r="C115" s="20">
        <f>IFERROR(IF(A115="","",VLOOKUP(A115,DATABASE!$A:$J,10,0)),"")</f>
        <v/>
      </c>
      <c r="D115" s="28">
        <f>IF(A115="","",TODAY())</f>
        <v/>
      </c>
      <c r="E115" s="29" t="n"/>
      <c r="F115" s="20">
        <f>IFERROR(IF(OR(A115="",E115=""),"",C115-E115),"")</f>
        <v/>
      </c>
      <c r="G115" s="30" t="n"/>
      <c r="H115" s="27" t="n"/>
    </row>
    <row r="116" ht="20" customHeight="1">
      <c r="A116" s="26" t="n"/>
      <c r="B116" s="35">
        <f>IFERROR(IF(A116="","",VLOOKUP(A116,DATABASE!$A:$B,2,0)),"")</f>
        <v/>
      </c>
      <c r="C116" s="36">
        <f>IFERROR(IF(A116="","",VLOOKUP(A116,DATABASE!$A:$J,10,0)),"")</f>
        <v/>
      </c>
      <c r="D116" s="37">
        <f>IF(A116="","",TODAY())</f>
        <v/>
      </c>
      <c r="E116" s="29" t="n"/>
      <c r="F116" s="36">
        <f>IFERROR(IF(OR(A116="",E116=""),"",C116-E116),"")</f>
        <v/>
      </c>
      <c r="G116" s="30" t="n"/>
      <c r="H116" s="35" t="n"/>
    </row>
    <row r="117" ht="20" customHeight="1">
      <c r="A117" s="26" t="n"/>
      <c r="B117" s="27">
        <f>IFERROR(IF(A117="","",VLOOKUP(A117,DATABASE!$A:$B,2,0)),"")</f>
        <v/>
      </c>
      <c r="C117" s="20">
        <f>IFERROR(IF(A117="","",VLOOKUP(A117,DATABASE!$A:$J,10,0)),"")</f>
        <v/>
      </c>
      <c r="D117" s="28">
        <f>IF(A117="","",TODAY())</f>
        <v/>
      </c>
      <c r="E117" s="29" t="n"/>
      <c r="F117" s="20">
        <f>IFERROR(IF(OR(A117="",E117=""),"",C117-E117),"")</f>
        <v/>
      </c>
      <c r="G117" s="30" t="n"/>
      <c r="H117" s="27" t="n"/>
    </row>
    <row r="118" ht="20" customHeight="1">
      <c r="A118" s="26" t="n"/>
      <c r="B118" s="35">
        <f>IFERROR(IF(A118="","",VLOOKUP(A118,DATABASE!$A:$B,2,0)),"")</f>
        <v/>
      </c>
      <c r="C118" s="36">
        <f>IFERROR(IF(A118="","",VLOOKUP(A118,DATABASE!$A:$J,10,0)),"")</f>
        <v/>
      </c>
      <c r="D118" s="37">
        <f>IF(A118="","",TODAY())</f>
        <v/>
      </c>
      <c r="E118" s="29" t="n"/>
      <c r="F118" s="36">
        <f>IFERROR(IF(OR(A118="",E118=""),"",C118-E118),"")</f>
        <v/>
      </c>
      <c r="G118" s="30" t="n"/>
      <c r="H118" s="35" t="n"/>
    </row>
    <row r="119" ht="20" customHeight="1">
      <c r="A119" s="26" t="n"/>
      <c r="B119" s="27">
        <f>IFERROR(IF(A119="","",VLOOKUP(A119,DATABASE!$A:$B,2,0)),"")</f>
        <v/>
      </c>
      <c r="C119" s="20">
        <f>IFERROR(IF(A119="","",VLOOKUP(A119,DATABASE!$A:$J,10,0)),"")</f>
        <v/>
      </c>
      <c r="D119" s="28">
        <f>IF(A119="","",TODAY())</f>
        <v/>
      </c>
      <c r="E119" s="29" t="n"/>
      <c r="F119" s="20">
        <f>IFERROR(IF(OR(A119="",E119=""),"",C119-E119),"")</f>
        <v/>
      </c>
      <c r="G119" s="30" t="n"/>
      <c r="H119" s="27" t="n"/>
    </row>
    <row r="120" ht="20" customHeight="1">
      <c r="A120" s="26" t="n"/>
      <c r="B120" s="35">
        <f>IFERROR(IF(A120="","",VLOOKUP(A120,DATABASE!$A:$B,2,0)),"")</f>
        <v/>
      </c>
      <c r="C120" s="36">
        <f>IFERROR(IF(A120="","",VLOOKUP(A120,DATABASE!$A:$J,10,0)),"")</f>
        <v/>
      </c>
      <c r="D120" s="37">
        <f>IF(A120="","",TODAY())</f>
        <v/>
      </c>
      <c r="E120" s="29" t="n"/>
      <c r="F120" s="36">
        <f>IFERROR(IF(OR(A120="",E120=""),"",C120-E120),"")</f>
        <v/>
      </c>
      <c r="G120" s="30" t="n"/>
      <c r="H120" s="35" t="n"/>
    </row>
    <row r="121" ht="20" customHeight="1">
      <c r="A121" s="26" t="n"/>
      <c r="B121" s="27">
        <f>IFERROR(IF(A121="","",VLOOKUP(A121,DATABASE!$A:$B,2,0)),"")</f>
        <v/>
      </c>
      <c r="C121" s="20">
        <f>IFERROR(IF(A121="","",VLOOKUP(A121,DATABASE!$A:$J,10,0)),"")</f>
        <v/>
      </c>
      <c r="D121" s="28">
        <f>IF(A121="","",TODAY())</f>
        <v/>
      </c>
      <c r="E121" s="29" t="n"/>
      <c r="F121" s="20">
        <f>IFERROR(IF(OR(A121="",E121=""),"",C121-E121),"")</f>
        <v/>
      </c>
      <c r="G121" s="30" t="n"/>
      <c r="H121" s="27" t="n"/>
    </row>
    <row r="122" ht="20" customHeight="1">
      <c r="A122" s="26" t="n"/>
      <c r="B122" s="35">
        <f>IFERROR(IF(A122="","",VLOOKUP(A122,DATABASE!$A:$B,2,0)),"")</f>
        <v/>
      </c>
      <c r="C122" s="36">
        <f>IFERROR(IF(A122="","",VLOOKUP(A122,DATABASE!$A:$J,10,0)),"")</f>
        <v/>
      </c>
      <c r="D122" s="37">
        <f>IF(A122="","",TODAY())</f>
        <v/>
      </c>
      <c r="E122" s="29" t="n"/>
      <c r="F122" s="36">
        <f>IFERROR(IF(OR(A122="",E122=""),"",C122-E122),"")</f>
        <v/>
      </c>
      <c r="G122" s="30" t="n"/>
      <c r="H122" s="35" t="n"/>
    </row>
    <row r="123" ht="20" customHeight="1">
      <c r="A123" s="26" t="n"/>
      <c r="B123" s="27">
        <f>IFERROR(IF(A123="","",VLOOKUP(A123,DATABASE!$A:$B,2,0)),"")</f>
        <v/>
      </c>
      <c r="C123" s="20">
        <f>IFERROR(IF(A123="","",VLOOKUP(A123,DATABASE!$A:$J,10,0)),"")</f>
        <v/>
      </c>
      <c r="D123" s="28">
        <f>IF(A123="","",TODAY())</f>
        <v/>
      </c>
      <c r="E123" s="29" t="n"/>
      <c r="F123" s="20">
        <f>IFERROR(IF(OR(A123="",E123=""),"",C123-E123),"")</f>
        <v/>
      </c>
      <c r="G123" s="30" t="n"/>
      <c r="H123" s="27" t="n"/>
    </row>
    <row r="124" ht="20" customHeight="1">
      <c r="A124" s="26" t="n"/>
      <c r="B124" s="35">
        <f>IFERROR(IF(A124="","",VLOOKUP(A124,DATABASE!$A:$B,2,0)),"")</f>
        <v/>
      </c>
      <c r="C124" s="36">
        <f>IFERROR(IF(A124="","",VLOOKUP(A124,DATABASE!$A:$J,10,0)),"")</f>
        <v/>
      </c>
      <c r="D124" s="37">
        <f>IF(A124="","",TODAY())</f>
        <v/>
      </c>
      <c r="E124" s="29" t="n"/>
      <c r="F124" s="36">
        <f>IFERROR(IF(OR(A124="",E124=""),"",C124-E124),"")</f>
        <v/>
      </c>
      <c r="G124" s="30" t="n"/>
      <c r="H124" s="35" t="n"/>
    </row>
    <row r="125" ht="20" customHeight="1">
      <c r="A125" s="26" t="n"/>
      <c r="B125" s="27">
        <f>IFERROR(IF(A125="","",VLOOKUP(A125,DATABASE!$A:$B,2,0)),"")</f>
        <v/>
      </c>
      <c r="C125" s="20">
        <f>IFERROR(IF(A125="","",VLOOKUP(A125,DATABASE!$A:$J,10,0)),"")</f>
        <v/>
      </c>
      <c r="D125" s="28">
        <f>IF(A125="","",TODAY())</f>
        <v/>
      </c>
      <c r="E125" s="29" t="n"/>
      <c r="F125" s="20">
        <f>IFERROR(IF(OR(A125="",E125=""),"",C125-E125),"")</f>
        <v/>
      </c>
      <c r="G125" s="30" t="n"/>
      <c r="H125" s="27" t="n"/>
    </row>
    <row r="126" ht="20" customHeight="1">
      <c r="A126" s="26" t="n"/>
      <c r="B126" s="35">
        <f>IFERROR(IF(A126="","",VLOOKUP(A126,DATABASE!$A:$B,2,0)),"")</f>
        <v/>
      </c>
      <c r="C126" s="36">
        <f>IFERROR(IF(A126="","",VLOOKUP(A126,DATABASE!$A:$J,10,0)),"")</f>
        <v/>
      </c>
      <c r="D126" s="37">
        <f>IF(A126="","",TODAY())</f>
        <v/>
      </c>
      <c r="E126" s="29" t="n"/>
      <c r="F126" s="36">
        <f>IFERROR(IF(OR(A126="",E126=""),"",C126-E126),"")</f>
        <v/>
      </c>
      <c r="G126" s="30" t="n"/>
      <c r="H126" s="35" t="n"/>
    </row>
    <row r="127" ht="20" customHeight="1">
      <c r="A127" s="26" t="n"/>
      <c r="B127" s="27">
        <f>IFERROR(IF(A127="","",VLOOKUP(A127,DATABASE!$A:$B,2,0)),"")</f>
        <v/>
      </c>
      <c r="C127" s="20">
        <f>IFERROR(IF(A127="","",VLOOKUP(A127,DATABASE!$A:$J,10,0)),"")</f>
        <v/>
      </c>
      <c r="D127" s="28">
        <f>IF(A127="","",TODAY())</f>
        <v/>
      </c>
      <c r="E127" s="29" t="n"/>
      <c r="F127" s="20">
        <f>IFERROR(IF(OR(A127="",E127=""),"",C127-E127),"")</f>
        <v/>
      </c>
      <c r="G127" s="30" t="n"/>
      <c r="H127" s="27" t="n"/>
    </row>
    <row r="128" ht="20" customHeight="1">
      <c r="A128" s="26" t="n"/>
      <c r="B128" s="35">
        <f>IFERROR(IF(A128="","",VLOOKUP(A128,DATABASE!$A:$B,2,0)),"")</f>
        <v/>
      </c>
      <c r="C128" s="36">
        <f>IFERROR(IF(A128="","",VLOOKUP(A128,DATABASE!$A:$J,10,0)),"")</f>
        <v/>
      </c>
      <c r="D128" s="37">
        <f>IF(A128="","",TODAY())</f>
        <v/>
      </c>
      <c r="E128" s="29" t="n"/>
      <c r="F128" s="36">
        <f>IFERROR(IF(OR(A128="",E128=""),"",C128-E128),"")</f>
        <v/>
      </c>
      <c r="G128" s="30" t="n"/>
      <c r="H128" s="35" t="n"/>
    </row>
    <row r="129" ht="20" customHeight="1">
      <c r="A129" s="26" t="n"/>
      <c r="B129" s="27">
        <f>IFERROR(IF(A129="","",VLOOKUP(A129,DATABASE!$A:$B,2,0)),"")</f>
        <v/>
      </c>
      <c r="C129" s="20">
        <f>IFERROR(IF(A129="","",VLOOKUP(A129,DATABASE!$A:$J,10,0)),"")</f>
        <v/>
      </c>
      <c r="D129" s="28">
        <f>IF(A129="","",TODAY())</f>
        <v/>
      </c>
      <c r="E129" s="29" t="n"/>
      <c r="F129" s="20">
        <f>IFERROR(IF(OR(A129="",E129=""),"",C129-E129),"")</f>
        <v/>
      </c>
      <c r="G129" s="30" t="n"/>
      <c r="H129" s="27" t="n"/>
    </row>
    <row r="130" ht="20" customHeight="1">
      <c r="A130" s="26" t="n"/>
      <c r="B130" s="35">
        <f>IFERROR(IF(A130="","",VLOOKUP(A130,DATABASE!$A:$B,2,0)),"")</f>
        <v/>
      </c>
      <c r="C130" s="36">
        <f>IFERROR(IF(A130="","",VLOOKUP(A130,DATABASE!$A:$J,10,0)),"")</f>
        <v/>
      </c>
      <c r="D130" s="37">
        <f>IF(A130="","",TODAY())</f>
        <v/>
      </c>
      <c r="E130" s="29" t="n"/>
      <c r="F130" s="36">
        <f>IFERROR(IF(OR(A130="",E130=""),"",C130-E130),"")</f>
        <v/>
      </c>
      <c r="G130" s="30" t="n"/>
      <c r="H130" s="35" t="n"/>
    </row>
    <row r="131" ht="20" customHeight="1">
      <c r="A131" s="26" t="n"/>
      <c r="B131" s="27">
        <f>IFERROR(IF(A131="","",VLOOKUP(A131,DATABASE!$A:$B,2,0)),"")</f>
        <v/>
      </c>
      <c r="C131" s="20">
        <f>IFERROR(IF(A131="","",VLOOKUP(A131,DATABASE!$A:$J,10,0)),"")</f>
        <v/>
      </c>
      <c r="D131" s="28">
        <f>IF(A131="","",TODAY())</f>
        <v/>
      </c>
      <c r="E131" s="29" t="n"/>
      <c r="F131" s="20">
        <f>IFERROR(IF(OR(A131="",E131=""),"",C131-E131),"")</f>
        <v/>
      </c>
      <c r="G131" s="30" t="n"/>
      <c r="H131" s="27" t="n"/>
    </row>
    <row r="132" ht="20" customHeight="1">
      <c r="A132" s="26" t="n"/>
      <c r="B132" s="35">
        <f>IFERROR(IF(A132="","",VLOOKUP(A132,DATABASE!$A:$B,2,0)),"")</f>
        <v/>
      </c>
      <c r="C132" s="36">
        <f>IFERROR(IF(A132="","",VLOOKUP(A132,DATABASE!$A:$J,10,0)),"")</f>
        <v/>
      </c>
      <c r="D132" s="37">
        <f>IF(A132="","",TODAY())</f>
        <v/>
      </c>
      <c r="E132" s="29" t="n"/>
      <c r="F132" s="36">
        <f>IFERROR(IF(OR(A132="",E132=""),"",C132-E132),"")</f>
        <v/>
      </c>
      <c r="G132" s="30" t="n"/>
      <c r="H132" s="35" t="n"/>
    </row>
    <row r="133" ht="20" customHeight="1">
      <c r="A133" s="26" t="n"/>
      <c r="B133" s="27">
        <f>IFERROR(IF(A133="","",VLOOKUP(A133,DATABASE!$A:$B,2,0)),"")</f>
        <v/>
      </c>
      <c r="C133" s="20">
        <f>IFERROR(IF(A133="","",VLOOKUP(A133,DATABASE!$A:$J,10,0)),"")</f>
        <v/>
      </c>
      <c r="D133" s="28">
        <f>IF(A133="","",TODAY())</f>
        <v/>
      </c>
      <c r="E133" s="29" t="n"/>
      <c r="F133" s="20">
        <f>IFERROR(IF(OR(A133="",E133=""),"",C133-E133),"")</f>
        <v/>
      </c>
      <c r="G133" s="30" t="n"/>
      <c r="H133" s="27" t="n"/>
    </row>
    <row r="134" ht="20" customHeight="1">
      <c r="A134" s="26" t="n"/>
      <c r="B134" s="35">
        <f>IFERROR(IF(A134="","",VLOOKUP(A134,DATABASE!$A:$B,2,0)),"")</f>
        <v/>
      </c>
      <c r="C134" s="36">
        <f>IFERROR(IF(A134="","",VLOOKUP(A134,DATABASE!$A:$J,10,0)),"")</f>
        <v/>
      </c>
      <c r="D134" s="37">
        <f>IF(A134="","",TODAY())</f>
        <v/>
      </c>
      <c r="E134" s="29" t="n"/>
      <c r="F134" s="36">
        <f>IFERROR(IF(OR(A134="",E134=""),"",C134-E134),"")</f>
        <v/>
      </c>
      <c r="G134" s="30" t="n"/>
      <c r="H134" s="35" t="n"/>
    </row>
    <row r="135" ht="20" customHeight="1">
      <c r="A135" s="26" t="n"/>
      <c r="B135" s="27">
        <f>IFERROR(IF(A135="","",VLOOKUP(A135,DATABASE!$A:$B,2,0)),"")</f>
        <v/>
      </c>
      <c r="C135" s="20">
        <f>IFERROR(IF(A135="","",VLOOKUP(A135,DATABASE!$A:$J,10,0)),"")</f>
        <v/>
      </c>
      <c r="D135" s="28">
        <f>IF(A135="","",TODAY())</f>
        <v/>
      </c>
      <c r="E135" s="29" t="n"/>
      <c r="F135" s="20">
        <f>IFERROR(IF(OR(A135="",E135=""),"",C135-E135),"")</f>
        <v/>
      </c>
      <c r="G135" s="30" t="n"/>
      <c r="H135" s="27" t="n"/>
    </row>
    <row r="136" ht="20" customHeight="1">
      <c r="A136" s="26" t="n"/>
      <c r="B136" s="35">
        <f>IFERROR(IF(A136="","",VLOOKUP(A136,DATABASE!$A:$B,2,0)),"")</f>
        <v/>
      </c>
      <c r="C136" s="36">
        <f>IFERROR(IF(A136="","",VLOOKUP(A136,DATABASE!$A:$J,10,0)),"")</f>
        <v/>
      </c>
      <c r="D136" s="37">
        <f>IF(A136="","",TODAY())</f>
        <v/>
      </c>
      <c r="E136" s="29" t="n"/>
      <c r="F136" s="36">
        <f>IFERROR(IF(OR(A136="",E136=""),"",C136-E136),"")</f>
        <v/>
      </c>
      <c r="G136" s="30" t="n"/>
      <c r="H136" s="35" t="n"/>
    </row>
    <row r="137" ht="20" customHeight="1">
      <c r="A137" s="26" t="n"/>
      <c r="B137" s="27">
        <f>IFERROR(IF(A137="","",VLOOKUP(A137,DATABASE!$A:$B,2,0)),"")</f>
        <v/>
      </c>
      <c r="C137" s="20">
        <f>IFERROR(IF(A137="","",VLOOKUP(A137,DATABASE!$A:$J,10,0)),"")</f>
        <v/>
      </c>
      <c r="D137" s="28">
        <f>IF(A137="","",TODAY())</f>
        <v/>
      </c>
      <c r="E137" s="29" t="n"/>
      <c r="F137" s="20">
        <f>IFERROR(IF(OR(A137="",E137=""),"",C137-E137),"")</f>
        <v/>
      </c>
      <c r="G137" s="30" t="n"/>
      <c r="H137" s="27" t="n"/>
    </row>
    <row r="138" ht="20" customHeight="1">
      <c r="A138" s="26" t="n"/>
      <c r="B138" s="35">
        <f>IFERROR(IF(A138="","",VLOOKUP(A138,DATABASE!$A:$B,2,0)),"")</f>
        <v/>
      </c>
      <c r="C138" s="36">
        <f>IFERROR(IF(A138="","",VLOOKUP(A138,DATABASE!$A:$J,10,0)),"")</f>
        <v/>
      </c>
      <c r="D138" s="37">
        <f>IF(A138="","",TODAY())</f>
        <v/>
      </c>
      <c r="E138" s="29" t="n"/>
      <c r="F138" s="36">
        <f>IFERROR(IF(OR(A138="",E138=""),"",C138-E138),"")</f>
        <v/>
      </c>
      <c r="G138" s="30" t="n"/>
      <c r="H138" s="35" t="n"/>
    </row>
    <row r="139" ht="20" customHeight="1">
      <c r="A139" s="26" t="n"/>
      <c r="B139" s="27">
        <f>IFERROR(IF(A139="","",VLOOKUP(A139,DATABASE!$A:$B,2,0)),"")</f>
        <v/>
      </c>
      <c r="C139" s="20">
        <f>IFERROR(IF(A139="","",VLOOKUP(A139,DATABASE!$A:$J,10,0)),"")</f>
        <v/>
      </c>
      <c r="D139" s="28">
        <f>IF(A139="","",TODAY())</f>
        <v/>
      </c>
      <c r="E139" s="29" t="n"/>
      <c r="F139" s="20">
        <f>IFERROR(IF(OR(A139="",E139=""),"",C139-E139),"")</f>
        <v/>
      </c>
      <c r="G139" s="30" t="n"/>
      <c r="H139" s="27" t="n"/>
    </row>
    <row r="140" ht="20" customHeight="1">
      <c r="A140" s="26" t="n"/>
      <c r="B140" s="35">
        <f>IFERROR(IF(A140="","",VLOOKUP(A140,DATABASE!$A:$B,2,0)),"")</f>
        <v/>
      </c>
      <c r="C140" s="36">
        <f>IFERROR(IF(A140="","",VLOOKUP(A140,DATABASE!$A:$J,10,0)),"")</f>
        <v/>
      </c>
      <c r="D140" s="37">
        <f>IF(A140="","",TODAY())</f>
        <v/>
      </c>
      <c r="E140" s="29" t="n"/>
      <c r="F140" s="36">
        <f>IFERROR(IF(OR(A140="",E140=""),"",C140-E140),"")</f>
        <v/>
      </c>
      <c r="G140" s="30" t="n"/>
      <c r="H140" s="35" t="n"/>
    </row>
    <row r="141" ht="20" customHeight="1">
      <c r="A141" s="26" t="n"/>
      <c r="B141" s="27">
        <f>IFERROR(IF(A141="","",VLOOKUP(A141,DATABASE!$A:$B,2,0)),"")</f>
        <v/>
      </c>
      <c r="C141" s="20">
        <f>IFERROR(IF(A141="","",VLOOKUP(A141,DATABASE!$A:$J,10,0)),"")</f>
        <v/>
      </c>
      <c r="D141" s="28">
        <f>IF(A141="","",TODAY())</f>
        <v/>
      </c>
      <c r="E141" s="29" t="n"/>
      <c r="F141" s="20">
        <f>IFERROR(IF(OR(A141="",E141=""),"",C141-E141),"")</f>
        <v/>
      </c>
      <c r="G141" s="30" t="n"/>
      <c r="H141" s="27" t="n"/>
    </row>
    <row r="142" ht="20" customHeight="1">
      <c r="A142" s="26" t="n"/>
      <c r="B142" s="35">
        <f>IFERROR(IF(A142="","",VLOOKUP(A142,DATABASE!$A:$B,2,0)),"")</f>
        <v/>
      </c>
      <c r="C142" s="36">
        <f>IFERROR(IF(A142="","",VLOOKUP(A142,DATABASE!$A:$J,10,0)),"")</f>
        <v/>
      </c>
      <c r="D142" s="37">
        <f>IF(A142="","",TODAY())</f>
        <v/>
      </c>
      <c r="E142" s="29" t="n"/>
      <c r="F142" s="36">
        <f>IFERROR(IF(OR(A142="",E142=""),"",C142-E142),"")</f>
        <v/>
      </c>
      <c r="G142" s="30" t="n"/>
      <c r="H142" s="35" t="n"/>
    </row>
    <row r="143" ht="20" customHeight="1">
      <c r="A143" s="26" t="n"/>
      <c r="B143" s="27">
        <f>IFERROR(IF(A143="","",VLOOKUP(A143,DATABASE!$A:$B,2,0)),"")</f>
        <v/>
      </c>
      <c r="C143" s="20">
        <f>IFERROR(IF(A143="","",VLOOKUP(A143,DATABASE!$A:$J,10,0)),"")</f>
        <v/>
      </c>
      <c r="D143" s="28">
        <f>IF(A143="","",TODAY())</f>
        <v/>
      </c>
      <c r="E143" s="29" t="n"/>
      <c r="F143" s="20">
        <f>IFERROR(IF(OR(A143="",E143=""),"",C143-E143),"")</f>
        <v/>
      </c>
      <c r="G143" s="30" t="n"/>
      <c r="H143" s="27" t="n"/>
    </row>
    <row r="144" ht="20" customHeight="1">
      <c r="A144" s="26" t="n"/>
      <c r="B144" s="35">
        <f>IFERROR(IF(A144="","",VLOOKUP(A144,DATABASE!$A:$B,2,0)),"")</f>
        <v/>
      </c>
      <c r="C144" s="36">
        <f>IFERROR(IF(A144="","",VLOOKUP(A144,DATABASE!$A:$J,10,0)),"")</f>
        <v/>
      </c>
      <c r="D144" s="37">
        <f>IF(A144="","",TODAY())</f>
        <v/>
      </c>
      <c r="E144" s="29" t="n"/>
      <c r="F144" s="36">
        <f>IFERROR(IF(OR(A144="",E144=""),"",C144-E144),"")</f>
        <v/>
      </c>
      <c r="G144" s="30" t="n"/>
      <c r="H144" s="35" t="n"/>
    </row>
    <row r="145" ht="20" customHeight="1">
      <c r="A145" s="26" t="n"/>
      <c r="B145" s="27">
        <f>IFERROR(IF(A145="","",VLOOKUP(A145,DATABASE!$A:$B,2,0)),"")</f>
        <v/>
      </c>
      <c r="C145" s="20">
        <f>IFERROR(IF(A145="","",VLOOKUP(A145,DATABASE!$A:$J,10,0)),"")</f>
        <v/>
      </c>
      <c r="D145" s="28">
        <f>IF(A145="","",TODAY())</f>
        <v/>
      </c>
      <c r="E145" s="29" t="n"/>
      <c r="F145" s="20">
        <f>IFERROR(IF(OR(A145="",E145=""),"",C145-E145),"")</f>
        <v/>
      </c>
      <c r="G145" s="30" t="n"/>
      <c r="H145" s="27" t="n"/>
    </row>
    <row r="146" ht="20" customHeight="1">
      <c r="A146" s="26" t="n"/>
      <c r="B146" s="35">
        <f>IFERROR(IF(A146="","",VLOOKUP(A146,DATABASE!$A:$B,2,0)),"")</f>
        <v/>
      </c>
      <c r="C146" s="36">
        <f>IFERROR(IF(A146="","",VLOOKUP(A146,DATABASE!$A:$J,10,0)),"")</f>
        <v/>
      </c>
      <c r="D146" s="37">
        <f>IF(A146="","",TODAY())</f>
        <v/>
      </c>
      <c r="E146" s="29" t="n"/>
      <c r="F146" s="36">
        <f>IFERROR(IF(OR(A146="",E146=""),"",C146-E146),"")</f>
        <v/>
      </c>
      <c r="G146" s="30" t="n"/>
      <c r="H146" s="35" t="n"/>
    </row>
    <row r="147" ht="20" customHeight="1">
      <c r="A147" s="26" t="n"/>
      <c r="B147" s="27">
        <f>IFERROR(IF(A147="","",VLOOKUP(A147,DATABASE!$A:$B,2,0)),"")</f>
        <v/>
      </c>
      <c r="C147" s="20">
        <f>IFERROR(IF(A147="","",VLOOKUP(A147,DATABASE!$A:$J,10,0)),"")</f>
        <v/>
      </c>
      <c r="D147" s="28">
        <f>IF(A147="","",TODAY())</f>
        <v/>
      </c>
      <c r="E147" s="29" t="n"/>
      <c r="F147" s="20">
        <f>IFERROR(IF(OR(A147="",E147=""),"",C147-E147),"")</f>
        <v/>
      </c>
      <c r="G147" s="30" t="n"/>
      <c r="H147" s="27" t="n"/>
    </row>
    <row r="148" ht="20" customHeight="1">
      <c r="A148" s="26" t="n"/>
      <c r="B148" s="35">
        <f>IFERROR(IF(A148="","",VLOOKUP(A148,DATABASE!$A:$B,2,0)),"")</f>
        <v/>
      </c>
      <c r="C148" s="36">
        <f>IFERROR(IF(A148="","",VLOOKUP(A148,DATABASE!$A:$J,10,0)),"")</f>
        <v/>
      </c>
      <c r="D148" s="37">
        <f>IF(A148="","",TODAY())</f>
        <v/>
      </c>
      <c r="E148" s="29" t="n"/>
      <c r="F148" s="36">
        <f>IFERROR(IF(OR(A148="",E148=""),"",C148-E148),"")</f>
        <v/>
      </c>
      <c r="G148" s="30" t="n"/>
      <c r="H148" s="35" t="n"/>
    </row>
    <row r="149" ht="20" customHeight="1">
      <c r="A149" s="26" t="n"/>
      <c r="B149" s="27">
        <f>IFERROR(IF(A149="","",VLOOKUP(A149,DATABASE!$A:$B,2,0)),"")</f>
        <v/>
      </c>
      <c r="C149" s="20">
        <f>IFERROR(IF(A149="","",VLOOKUP(A149,DATABASE!$A:$J,10,0)),"")</f>
        <v/>
      </c>
      <c r="D149" s="28">
        <f>IF(A149="","",TODAY())</f>
        <v/>
      </c>
      <c r="E149" s="29" t="n"/>
      <c r="F149" s="20">
        <f>IFERROR(IF(OR(A149="",E149=""),"",C149-E149),"")</f>
        <v/>
      </c>
      <c r="G149" s="30" t="n"/>
      <c r="H149" s="27" t="n"/>
    </row>
    <row r="150" ht="20" customHeight="1">
      <c r="A150" s="26" t="n"/>
      <c r="B150" s="35">
        <f>IFERROR(IF(A150="","",VLOOKUP(A150,DATABASE!$A:$B,2,0)),"")</f>
        <v/>
      </c>
      <c r="C150" s="36">
        <f>IFERROR(IF(A150="","",VLOOKUP(A150,DATABASE!$A:$J,10,0)),"")</f>
        <v/>
      </c>
      <c r="D150" s="37">
        <f>IF(A150="","",TODAY())</f>
        <v/>
      </c>
      <c r="E150" s="29" t="n"/>
      <c r="F150" s="36">
        <f>IFERROR(IF(OR(A150="",E150=""),"",C150-E150),"")</f>
        <v/>
      </c>
      <c r="G150" s="30" t="n"/>
      <c r="H150" s="35" t="n"/>
    </row>
    <row r="151" ht="20" customHeight="1">
      <c r="A151" s="26" t="n"/>
      <c r="B151" s="27">
        <f>IFERROR(IF(A151="","",VLOOKUP(A151,DATABASE!$A:$B,2,0)),"")</f>
        <v/>
      </c>
      <c r="C151" s="20">
        <f>IFERROR(IF(A151="","",VLOOKUP(A151,DATABASE!$A:$J,10,0)),"")</f>
        <v/>
      </c>
      <c r="D151" s="28">
        <f>IF(A151="","",TODAY())</f>
        <v/>
      </c>
      <c r="E151" s="29" t="n"/>
      <c r="F151" s="20">
        <f>IFERROR(IF(OR(A151="",E151=""),"",C151-E151),"")</f>
        <v/>
      </c>
      <c r="G151" s="30" t="n"/>
      <c r="H151" s="27" t="n"/>
    </row>
    <row r="152" ht="20" customHeight="1">
      <c r="A152" s="26" t="n"/>
      <c r="B152" s="35">
        <f>IFERROR(IF(A152="","",VLOOKUP(A152,DATABASE!$A:$B,2,0)),"")</f>
        <v/>
      </c>
      <c r="C152" s="36">
        <f>IFERROR(IF(A152="","",VLOOKUP(A152,DATABASE!$A:$J,10,0)),"")</f>
        <v/>
      </c>
      <c r="D152" s="37">
        <f>IF(A152="","",TODAY())</f>
        <v/>
      </c>
      <c r="E152" s="29" t="n"/>
      <c r="F152" s="36">
        <f>IFERROR(IF(OR(A152="",E152=""),"",C152-E152),"")</f>
        <v/>
      </c>
      <c r="G152" s="30" t="n"/>
      <c r="H152" s="35" t="n"/>
    </row>
    <row r="153" ht="20" customHeight="1">
      <c r="A153" s="26" t="n"/>
      <c r="B153" s="27">
        <f>IFERROR(IF(A153="","",VLOOKUP(A153,DATABASE!$A:$B,2,0)),"")</f>
        <v/>
      </c>
      <c r="C153" s="20">
        <f>IFERROR(IF(A153="","",VLOOKUP(A153,DATABASE!$A:$J,10,0)),"")</f>
        <v/>
      </c>
      <c r="D153" s="28">
        <f>IF(A153="","",TODAY())</f>
        <v/>
      </c>
      <c r="E153" s="29" t="n"/>
      <c r="F153" s="20">
        <f>IFERROR(IF(OR(A153="",E153=""),"",C153-E153),"")</f>
        <v/>
      </c>
      <c r="G153" s="30" t="n"/>
      <c r="H153" s="27" t="n"/>
    </row>
    <row r="154" ht="20" customHeight="1">
      <c r="A154" s="26" t="n"/>
      <c r="B154" s="35">
        <f>IFERROR(IF(A154="","",VLOOKUP(A154,DATABASE!$A:$B,2,0)),"")</f>
        <v/>
      </c>
      <c r="C154" s="36">
        <f>IFERROR(IF(A154="","",VLOOKUP(A154,DATABASE!$A:$J,10,0)),"")</f>
        <v/>
      </c>
      <c r="D154" s="37">
        <f>IF(A154="","",TODAY())</f>
        <v/>
      </c>
      <c r="E154" s="29" t="n"/>
      <c r="F154" s="36">
        <f>IFERROR(IF(OR(A154="",E154=""),"",C154-E154),"")</f>
        <v/>
      </c>
      <c r="G154" s="30" t="n"/>
      <c r="H154" s="35" t="n"/>
    </row>
    <row r="155" ht="20" customHeight="1">
      <c r="A155" s="26" t="n"/>
      <c r="B155" s="27">
        <f>IFERROR(IF(A155="","",VLOOKUP(A155,DATABASE!$A:$B,2,0)),"")</f>
        <v/>
      </c>
      <c r="C155" s="20">
        <f>IFERROR(IF(A155="","",VLOOKUP(A155,DATABASE!$A:$J,10,0)),"")</f>
        <v/>
      </c>
      <c r="D155" s="28">
        <f>IF(A155="","",TODAY())</f>
        <v/>
      </c>
      <c r="E155" s="29" t="n"/>
      <c r="F155" s="20">
        <f>IFERROR(IF(OR(A155="",E155=""),"",C155-E155),"")</f>
        <v/>
      </c>
      <c r="G155" s="30" t="n"/>
      <c r="H155" s="27" t="n"/>
    </row>
    <row r="156" ht="20" customHeight="1">
      <c r="A156" s="26" t="n"/>
      <c r="B156" s="35">
        <f>IFERROR(IF(A156="","",VLOOKUP(A156,DATABASE!$A:$B,2,0)),"")</f>
        <v/>
      </c>
      <c r="C156" s="36">
        <f>IFERROR(IF(A156="","",VLOOKUP(A156,DATABASE!$A:$J,10,0)),"")</f>
        <v/>
      </c>
      <c r="D156" s="37">
        <f>IF(A156="","",TODAY())</f>
        <v/>
      </c>
      <c r="E156" s="29" t="n"/>
      <c r="F156" s="36">
        <f>IFERROR(IF(OR(A156="",E156=""),"",C156-E156),"")</f>
        <v/>
      </c>
      <c r="G156" s="30" t="n"/>
      <c r="H156" s="35" t="n"/>
    </row>
    <row r="157" ht="20" customHeight="1">
      <c r="A157" s="26" t="n"/>
      <c r="B157" s="27">
        <f>IFERROR(IF(A157="","",VLOOKUP(A157,DATABASE!$A:$B,2,0)),"")</f>
        <v/>
      </c>
      <c r="C157" s="20">
        <f>IFERROR(IF(A157="","",VLOOKUP(A157,DATABASE!$A:$J,10,0)),"")</f>
        <v/>
      </c>
      <c r="D157" s="28">
        <f>IF(A157="","",TODAY())</f>
        <v/>
      </c>
      <c r="E157" s="29" t="n"/>
      <c r="F157" s="20">
        <f>IFERROR(IF(OR(A157="",E157=""),"",C157-E157),"")</f>
        <v/>
      </c>
      <c r="G157" s="30" t="n"/>
      <c r="H157" s="27" t="n"/>
    </row>
    <row r="158" ht="20" customHeight="1">
      <c r="A158" s="26" t="n"/>
      <c r="B158" s="35">
        <f>IFERROR(IF(A158="","",VLOOKUP(A158,DATABASE!$A:$B,2,0)),"")</f>
        <v/>
      </c>
      <c r="C158" s="36">
        <f>IFERROR(IF(A158="","",VLOOKUP(A158,DATABASE!$A:$J,10,0)),"")</f>
        <v/>
      </c>
      <c r="D158" s="37">
        <f>IF(A158="","",TODAY())</f>
        <v/>
      </c>
      <c r="E158" s="29" t="n"/>
      <c r="F158" s="36">
        <f>IFERROR(IF(OR(A158="",E158=""),"",C158-E158),"")</f>
        <v/>
      </c>
      <c r="G158" s="30" t="n"/>
      <c r="H158" s="35" t="n"/>
    </row>
    <row r="159" ht="20" customHeight="1">
      <c r="A159" s="26" t="n"/>
      <c r="B159" s="27">
        <f>IFERROR(IF(A159="","",VLOOKUP(A159,DATABASE!$A:$B,2,0)),"")</f>
        <v/>
      </c>
      <c r="C159" s="20">
        <f>IFERROR(IF(A159="","",VLOOKUP(A159,DATABASE!$A:$J,10,0)),"")</f>
        <v/>
      </c>
      <c r="D159" s="28">
        <f>IF(A159="","",TODAY())</f>
        <v/>
      </c>
      <c r="E159" s="29" t="n"/>
      <c r="F159" s="20">
        <f>IFERROR(IF(OR(A159="",E159=""),"",C159-E159),"")</f>
        <v/>
      </c>
      <c r="G159" s="30" t="n"/>
      <c r="H159" s="27" t="n"/>
    </row>
    <row r="160" ht="20" customHeight="1">
      <c r="A160" s="26" t="n"/>
      <c r="B160" s="35">
        <f>IFERROR(IF(A160="","",VLOOKUP(A160,DATABASE!$A:$B,2,0)),"")</f>
        <v/>
      </c>
      <c r="C160" s="36">
        <f>IFERROR(IF(A160="","",VLOOKUP(A160,DATABASE!$A:$J,10,0)),"")</f>
        <v/>
      </c>
      <c r="D160" s="37">
        <f>IF(A160="","",TODAY())</f>
        <v/>
      </c>
      <c r="E160" s="29" t="n"/>
      <c r="F160" s="36">
        <f>IFERROR(IF(OR(A160="",E160=""),"",C160-E160),"")</f>
        <v/>
      </c>
      <c r="G160" s="30" t="n"/>
      <c r="H160" s="35" t="n"/>
    </row>
    <row r="161" ht="20" customHeight="1">
      <c r="A161" s="26" t="n"/>
      <c r="B161" s="27">
        <f>IFERROR(IF(A161="","",VLOOKUP(A161,DATABASE!$A:$B,2,0)),"")</f>
        <v/>
      </c>
      <c r="C161" s="20">
        <f>IFERROR(IF(A161="","",VLOOKUP(A161,DATABASE!$A:$J,10,0)),"")</f>
        <v/>
      </c>
      <c r="D161" s="28">
        <f>IF(A161="","",TODAY())</f>
        <v/>
      </c>
      <c r="E161" s="29" t="n"/>
      <c r="F161" s="20">
        <f>IFERROR(IF(OR(A161="",E161=""),"",C161-E161),"")</f>
        <v/>
      </c>
      <c r="G161" s="30" t="n"/>
      <c r="H161" s="27" t="n"/>
    </row>
    <row r="162" ht="20" customHeight="1">
      <c r="A162" s="26" t="n"/>
      <c r="B162" s="35">
        <f>IFERROR(IF(A162="","",VLOOKUP(A162,DATABASE!$A:$B,2,0)),"")</f>
        <v/>
      </c>
      <c r="C162" s="36">
        <f>IFERROR(IF(A162="","",VLOOKUP(A162,DATABASE!$A:$J,10,0)),"")</f>
        <v/>
      </c>
      <c r="D162" s="37">
        <f>IF(A162="","",TODAY())</f>
        <v/>
      </c>
      <c r="E162" s="29" t="n"/>
      <c r="F162" s="36">
        <f>IFERROR(IF(OR(A162="",E162=""),"",C162-E162),"")</f>
        <v/>
      </c>
      <c r="G162" s="30" t="n"/>
      <c r="H162" s="35" t="n"/>
    </row>
    <row r="163" ht="20" customHeight="1">
      <c r="A163" s="26" t="n"/>
      <c r="B163" s="27">
        <f>IFERROR(IF(A163="","",VLOOKUP(A163,DATABASE!$A:$B,2,0)),"")</f>
        <v/>
      </c>
      <c r="C163" s="20">
        <f>IFERROR(IF(A163="","",VLOOKUP(A163,DATABASE!$A:$J,10,0)),"")</f>
        <v/>
      </c>
      <c r="D163" s="28">
        <f>IF(A163="","",TODAY())</f>
        <v/>
      </c>
      <c r="E163" s="29" t="n"/>
      <c r="F163" s="20">
        <f>IFERROR(IF(OR(A163="",E163=""),"",C163-E163),"")</f>
        <v/>
      </c>
      <c r="G163" s="30" t="n"/>
      <c r="H163" s="27" t="n"/>
    </row>
    <row r="164" ht="20" customHeight="1">
      <c r="A164" s="26" t="n"/>
      <c r="B164" s="35">
        <f>IFERROR(IF(A164="","",VLOOKUP(A164,DATABASE!$A:$B,2,0)),"")</f>
        <v/>
      </c>
      <c r="C164" s="36">
        <f>IFERROR(IF(A164="","",VLOOKUP(A164,DATABASE!$A:$J,10,0)),"")</f>
        <v/>
      </c>
      <c r="D164" s="37">
        <f>IF(A164="","",TODAY())</f>
        <v/>
      </c>
      <c r="E164" s="29" t="n"/>
      <c r="F164" s="36">
        <f>IFERROR(IF(OR(A164="",E164=""),"",C164-E164),"")</f>
        <v/>
      </c>
      <c r="G164" s="30" t="n"/>
      <c r="H164" s="35" t="n"/>
    </row>
    <row r="165" ht="20" customHeight="1">
      <c r="A165" s="26" t="n"/>
      <c r="B165" s="27">
        <f>IFERROR(IF(A165="","",VLOOKUP(A165,DATABASE!$A:$B,2,0)),"")</f>
        <v/>
      </c>
      <c r="C165" s="20">
        <f>IFERROR(IF(A165="","",VLOOKUP(A165,DATABASE!$A:$J,10,0)),"")</f>
        <v/>
      </c>
      <c r="D165" s="28">
        <f>IF(A165="","",TODAY())</f>
        <v/>
      </c>
      <c r="E165" s="29" t="n"/>
      <c r="F165" s="20">
        <f>IFERROR(IF(OR(A165="",E165=""),"",C165-E165),"")</f>
        <v/>
      </c>
      <c r="G165" s="30" t="n"/>
      <c r="H165" s="27" t="n"/>
    </row>
    <row r="166" ht="20" customHeight="1">
      <c r="A166" s="26" t="n"/>
      <c r="B166" s="35">
        <f>IFERROR(IF(A166="","",VLOOKUP(A166,DATABASE!$A:$B,2,0)),"")</f>
        <v/>
      </c>
      <c r="C166" s="36">
        <f>IFERROR(IF(A166="","",VLOOKUP(A166,DATABASE!$A:$J,10,0)),"")</f>
        <v/>
      </c>
      <c r="D166" s="37">
        <f>IF(A166="","",TODAY())</f>
        <v/>
      </c>
      <c r="E166" s="29" t="n"/>
      <c r="F166" s="36">
        <f>IFERROR(IF(OR(A166="",E166=""),"",C166-E166),"")</f>
        <v/>
      </c>
      <c r="G166" s="30" t="n"/>
      <c r="H166" s="35" t="n"/>
    </row>
    <row r="167" ht="20" customHeight="1">
      <c r="A167" s="26" t="n"/>
      <c r="B167" s="27">
        <f>IFERROR(IF(A167="","",VLOOKUP(A167,DATABASE!$A:$B,2,0)),"")</f>
        <v/>
      </c>
      <c r="C167" s="20">
        <f>IFERROR(IF(A167="","",VLOOKUP(A167,DATABASE!$A:$J,10,0)),"")</f>
        <v/>
      </c>
      <c r="D167" s="28">
        <f>IF(A167="","",TODAY())</f>
        <v/>
      </c>
      <c r="E167" s="29" t="n"/>
      <c r="F167" s="20">
        <f>IFERROR(IF(OR(A167="",E167=""),"",C167-E167),"")</f>
        <v/>
      </c>
      <c r="G167" s="30" t="n"/>
      <c r="H167" s="27" t="n"/>
    </row>
    <row r="168" ht="20" customHeight="1">
      <c r="A168" s="26" t="n"/>
      <c r="B168" s="35">
        <f>IFERROR(IF(A168="","",VLOOKUP(A168,DATABASE!$A:$B,2,0)),"")</f>
        <v/>
      </c>
      <c r="C168" s="36">
        <f>IFERROR(IF(A168="","",VLOOKUP(A168,DATABASE!$A:$J,10,0)),"")</f>
        <v/>
      </c>
      <c r="D168" s="37">
        <f>IF(A168="","",TODAY())</f>
        <v/>
      </c>
      <c r="E168" s="29" t="n"/>
      <c r="F168" s="36">
        <f>IFERROR(IF(OR(A168="",E168=""),"",C168-E168),"")</f>
        <v/>
      </c>
      <c r="G168" s="30" t="n"/>
      <c r="H168" s="35" t="n"/>
    </row>
    <row r="169" ht="20" customHeight="1">
      <c r="A169" s="26" t="n"/>
      <c r="B169" s="27">
        <f>IFERROR(IF(A169="","",VLOOKUP(A169,DATABASE!$A:$B,2,0)),"")</f>
        <v/>
      </c>
      <c r="C169" s="20">
        <f>IFERROR(IF(A169="","",VLOOKUP(A169,DATABASE!$A:$J,10,0)),"")</f>
        <v/>
      </c>
      <c r="D169" s="28">
        <f>IF(A169="","",TODAY())</f>
        <v/>
      </c>
      <c r="E169" s="29" t="n"/>
      <c r="F169" s="20">
        <f>IFERROR(IF(OR(A169="",E169=""),"",C169-E169),"")</f>
        <v/>
      </c>
      <c r="G169" s="30" t="n"/>
      <c r="H169" s="27" t="n"/>
    </row>
    <row r="170" ht="20" customHeight="1">
      <c r="A170" s="26" t="n"/>
      <c r="B170" s="35">
        <f>IFERROR(IF(A170="","",VLOOKUP(A170,DATABASE!$A:$B,2,0)),"")</f>
        <v/>
      </c>
      <c r="C170" s="36">
        <f>IFERROR(IF(A170="","",VLOOKUP(A170,DATABASE!$A:$J,10,0)),"")</f>
        <v/>
      </c>
      <c r="D170" s="37">
        <f>IF(A170="","",TODAY())</f>
        <v/>
      </c>
      <c r="E170" s="29" t="n"/>
      <c r="F170" s="36">
        <f>IFERROR(IF(OR(A170="",E170=""),"",C170-E170),"")</f>
        <v/>
      </c>
      <c r="G170" s="30" t="n"/>
      <c r="H170" s="35" t="n"/>
    </row>
    <row r="171" ht="20" customHeight="1">
      <c r="A171" s="26" t="n"/>
      <c r="B171" s="27">
        <f>IFERROR(IF(A171="","",VLOOKUP(A171,DATABASE!$A:$B,2,0)),"")</f>
        <v/>
      </c>
      <c r="C171" s="20">
        <f>IFERROR(IF(A171="","",VLOOKUP(A171,DATABASE!$A:$J,10,0)),"")</f>
        <v/>
      </c>
      <c r="D171" s="28">
        <f>IF(A171="","",TODAY())</f>
        <v/>
      </c>
      <c r="E171" s="29" t="n"/>
      <c r="F171" s="20">
        <f>IFERROR(IF(OR(A171="",E171=""),"",C171-E171),"")</f>
        <v/>
      </c>
      <c r="G171" s="30" t="n"/>
      <c r="H171" s="27" t="n"/>
    </row>
    <row r="172" ht="20" customHeight="1">
      <c r="A172" s="26" t="n"/>
      <c r="B172" s="35">
        <f>IFERROR(IF(A172="","",VLOOKUP(A172,DATABASE!$A:$B,2,0)),"")</f>
        <v/>
      </c>
      <c r="C172" s="36">
        <f>IFERROR(IF(A172="","",VLOOKUP(A172,DATABASE!$A:$J,10,0)),"")</f>
        <v/>
      </c>
      <c r="D172" s="37">
        <f>IF(A172="","",TODAY())</f>
        <v/>
      </c>
      <c r="E172" s="29" t="n"/>
      <c r="F172" s="36">
        <f>IFERROR(IF(OR(A172="",E172=""),"",C172-E172),"")</f>
        <v/>
      </c>
      <c r="G172" s="30" t="n"/>
      <c r="H172" s="35" t="n"/>
    </row>
    <row r="173" ht="20" customHeight="1">
      <c r="A173" s="26" t="n"/>
      <c r="B173" s="27">
        <f>IFERROR(IF(A173="","",VLOOKUP(A173,DATABASE!$A:$B,2,0)),"")</f>
        <v/>
      </c>
      <c r="C173" s="20">
        <f>IFERROR(IF(A173="","",VLOOKUP(A173,DATABASE!$A:$J,10,0)),"")</f>
        <v/>
      </c>
      <c r="D173" s="28">
        <f>IF(A173="","",TODAY())</f>
        <v/>
      </c>
      <c r="E173" s="29" t="n"/>
      <c r="F173" s="20">
        <f>IFERROR(IF(OR(A173="",E173=""),"",C173-E173),"")</f>
        <v/>
      </c>
      <c r="G173" s="30" t="n"/>
      <c r="H173" s="27" t="n"/>
    </row>
    <row r="174" ht="20" customHeight="1">
      <c r="A174" s="26" t="n"/>
      <c r="B174" s="35">
        <f>IFERROR(IF(A174="","",VLOOKUP(A174,DATABASE!$A:$B,2,0)),"")</f>
        <v/>
      </c>
      <c r="C174" s="36">
        <f>IFERROR(IF(A174="","",VLOOKUP(A174,DATABASE!$A:$J,10,0)),"")</f>
        <v/>
      </c>
      <c r="D174" s="37">
        <f>IF(A174="","",TODAY())</f>
        <v/>
      </c>
      <c r="E174" s="29" t="n"/>
      <c r="F174" s="36">
        <f>IFERROR(IF(OR(A174="",E174=""),"",C174-E174),"")</f>
        <v/>
      </c>
      <c r="G174" s="30" t="n"/>
      <c r="H174" s="35" t="n"/>
    </row>
    <row r="175" ht="20" customHeight="1">
      <c r="A175" s="26" t="n"/>
      <c r="B175" s="27">
        <f>IFERROR(IF(A175="","",VLOOKUP(A175,DATABASE!$A:$B,2,0)),"")</f>
        <v/>
      </c>
      <c r="C175" s="20">
        <f>IFERROR(IF(A175="","",VLOOKUP(A175,DATABASE!$A:$J,10,0)),"")</f>
        <v/>
      </c>
      <c r="D175" s="28">
        <f>IF(A175="","",TODAY())</f>
        <v/>
      </c>
      <c r="E175" s="29" t="n"/>
      <c r="F175" s="20">
        <f>IFERROR(IF(OR(A175="",E175=""),"",C175-E175),"")</f>
        <v/>
      </c>
      <c r="G175" s="30" t="n"/>
      <c r="H175" s="27" t="n"/>
    </row>
    <row r="176" ht="20" customHeight="1">
      <c r="A176" s="26" t="n"/>
      <c r="B176" s="35">
        <f>IFERROR(IF(A176="","",VLOOKUP(A176,DATABASE!$A:$B,2,0)),"")</f>
        <v/>
      </c>
      <c r="C176" s="36">
        <f>IFERROR(IF(A176="","",VLOOKUP(A176,DATABASE!$A:$J,10,0)),"")</f>
        <v/>
      </c>
      <c r="D176" s="37">
        <f>IF(A176="","",TODAY())</f>
        <v/>
      </c>
      <c r="E176" s="29" t="n"/>
      <c r="F176" s="36">
        <f>IFERROR(IF(OR(A176="",E176=""),"",C176-E176),"")</f>
        <v/>
      </c>
      <c r="G176" s="30" t="n"/>
      <c r="H176" s="35" t="n"/>
    </row>
    <row r="177" ht="20" customHeight="1">
      <c r="A177" s="26" t="n"/>
      <c r="B177" s="27">
        <f>IFERROR(IF(A177="","",VLOOKUP(A177,DATABASE!$A:$B,2,0)),"")</f>
        <v/>
      </c>
      <c r="C177" s="20">
        <f>IFERROR(IF(A177="","",VLOOKUP(A177,DATABASE!$A:$J,10,0)),"")</f>
        <v/>
      </c>
      <c r="D177" s="28">
        <f>IF(A177="","",TODAY())</f>
        <v/>
      </c>
      <c r="E177" s="29" t="n"/>
      <c r="F177" s="20">
        <f>IFERROR(IF(OR(A177="",E177=""),"",C177-E177),"")</f>
        <v/>
      </c>
      <c r="G177" s="30" t="n"/>
      <c r="H177" s="27" t="n"/>
    </row>
    <row r="178" ht="20" customHeight="1">
      <c r="A178" s="26" t="n"/>
      <c r="B178" s="35">
        <f>IFERROR(IF(A178="","",VLOOKUP(A178,DATABASE!$A:$B,2,0)),"")</f>
        <v/>
      </c>
      <c r="C178" s="36">
        <f>IFERROR(IF(A178="","",VLOOKUP(A178,DATABASE!$A:$J,10,0)),"")</f>
        <v/>
      </c>
      <c r="D178" s="37">
        <f>IF(A178="","",TODAY())</f>
        <v/>
      </c>
      <c r="E178" s="29" t="n"/>
      <c r="F178" s="36">
        <f>IFERROR(IF(OR(A178="",E178=""),"",C178-E178),"")</f>
        <v/>
      </c>
      <c r="G178" s="30" t="n"/>
      <c r="H178" s="35" t="n"/>
    </row>
    <row r="179" ht="20" customHeight="1">
      <c r="A179" s="26" t="n"/>
      <c r="B179" s="27">
        <f>IFERROR(IF(A179="","",VLOOKUP(A179,DATABASE!$A:$B,2,0)),"")</f>
        <v/>
      </c>
      <c r="C179" s="20">
        <f>IFERROR(IF(A179="","",VLOOKUP(A179,DATABASE!$A:$J,10,0)),"")</f>
        <v/>
      </c>
      <c r="D179" s="28">
        <f>IF(A179="","",TODAY())</f>
        <v/>
      </c>
      <c r="E179" s="29" t="n"/>
      <c r="F179" s="20">
        <f>IFERROR(IF(OR(A179="",E179=""),"",C179-E179),"")</f>
        <v/>
      </c>
      <c r="G179" s="30" t="n"/>
      <c r="H179" s="27" t="n"/>
    </row>
    <row r="180" ht="20" customHeight="1">
      <c r="A180" s="26" t="n"/>
      <c r="B180" s="35">
        <f>IFERROR(IF(A180="","",VLOOKUP(A180,DATABASE!$A:$B,2,0)),"")</f>
        <v/>
      </c>
      <c r="C180" s="36">
        <f>IFERROR(IF(A180="","",VLOOKUP(A180,DATABASE!$A:$J,10,0)),"")</f>
        <v/>
      </c>
      <c r="D180" s="37">
        <f>IF(A180="","",TODAY())</f>
        <v/>
      </c>
      <c r="E180" s="29" t="n"/>
      <c r="F180" s="36">
        <f>IFERROR(IF(OR(A180="",E180=""),"",C180-E180),"")</f>
        <v/>
      </c>
      <c r="G180" s="30" t="n"/>
      <c r="H180" s="35" t="n"/>
    </row>
    <row r="181" ht="20" customHeight="1">
      <c r="A181" s="26" t="n"/>
      <c r="B181" s="27">
        <f>IFERROR(IF(A181="","",VLOOKUP(A181,DATABASE!$A:$B,2,0)),"")</f>
        <v/>
      </c>
      <c r="C181" s="20">
        <f>IFERROR(IF(A181="","",VLOOKUP(A181,DATABASE!$A:$J,10,0)),"")</f>
        <v/>
      </c>
      <c r="D181" s="28">
        <f>IF(A181="","",TODAY())</f>
        <v/>
      </c>
      <c r="E181" s="29" t="n"/>
      <c r="F181" s="20">
        <f>IFERROR(IF(OR(A181="",E181=""),"",C181-E181),"")</f>
        <v/>
      </c>
      <c r="G181" s="30" t="n"/>
      <c r="H181" s="27" t="n"/>
    </row>
    <row r="182" ht="20" customHeight="1">
      <c r="A182" s="26" t="n"/>
      <c r="B182" s="35">
        <f>IFERROR(IF(A182="","",VLOOKUP(A182,DATABASE!$A:$B,2,0)),"")</f>
        <v/>
      </c>
      <c r="C182" s="36">
        <f>IFERROR(IF(A182="","",VLOOKUP(A182,DATABASE!$A:$J,10,0)),"")</f>
        <v/>
      </c>
      <c r="D182" s="37">
        <f>IF(A182="","",TODAY())</f>
        <v/>
      </c>
      <c r="E182" s="29" t="n"/>
      <c r="F182" s="36">
        <f>IFERROR(IF(OR(A182="",E182=""),"",C182-E182),"")</f>
        <v/>
      </c>
      <c r="G182" s="30" t="n"/>
      <c r="H182" s="35" t="n"/>
    </row>
    <row r="183" ht="20" customHeight="1">
      <c r="A183" s="26" t="n"/>
      <c r="B183" s="27">
        <f>IFERROR(IF(A183="","",VLOOKUP(A183,DATABASE!$A:$B,2,0)),"")</f>
        <v/>
      </c>
      <c r="C183" s="20">
        <f>IFERROR(IF(A183="","",VLOOKUP(A183,DATABASE!$A:$J,10,0)),"")</f>
        <v/>
      </c>
      <c r="D183" s="28">
        <f>IF(A183="","",TODAY())</f>
        <v/>
      </c>
      <c r="E183" s="29" t="n"/>
      <c r="F183" s="20">
        <f>IFERROR(IF(OR(A183="",E183=""),"",C183-E183),"")</f>
        <v/>
      </c>
      <c r="G183" s="30" t="n"/>
      <c r="H183" s="27" t="n"/>
    </row>
    <row r="184" ht="20" customHeight="1">
      <c r="A184" s="26" t="n"/>
      <c r="B184" s="35">
        <f>IFERROR(IF(A184="","",VLOOKUP(A184,DATABASE!$A:$B,2,0)),"")</f>
        <v/>
      </c>
      <c r="C184" s="36">
        <f>IFERROR(IF(A184="","",VLOOKUP(A184,DATABASE!$A:$J,10,0)),"")</f>
        <v/>
      </c>
      <c r="D184" s="37">
        <f>IF(A184="","",TODAY())</f>
        <v/>
      </c>
      <c r="E184" s="29" t="n"/>
      <c r="F184" s="36">
        <f>IFERROR(IF(OR(A184="",E184=""),"",C184-E184),"")</f>
        <v/>
      </c>
      <c r="G184" s="30" t="n"/>
      <c r="H184" s="35" t="n"/>
    </row>
    <row r="185" ht="20" customHeight="1">
      <c r="A185" s="26" t="n"/>
      <c r="B185" s="27">
        <f>IFERROR(IF(A185="","",VLOOKUP(A185,DATABASE!$A:$B,2,0)),"")</f>
        <v/>
      </c>
      <c r="C185" s="20">
        <f>IFERROR(IF(A185="","",VLOOKUP(A185,DATABASE!$A:$J,10,0)),"")</f>
        <v/>
      </c>
      <c r="D185" s="28">
        <f>IF(A185="","",TODAY())</f>
        <v/>
      </c>
      <c r="E185" s="29" t="n"/>
      <c r="F185" s="20">
        <f>IFERROR(IF(OR(A185="",E185=""),"",C185-E185),"")</f>
        <v/>
      </c>
      <c r="G185" s="30" t="n"/>
      <c r="H185" s="27" t="n"/>
    </row>
    <row r="186" ht="20" customHeight="1">
      <c r="A186" s="26" t="n"/>
      <c r="B186" s="35">
        <f>IFERROR(IF(A186="","",VLOOKUP(A186,DATABASE!$A:$B,2,0)),"")</f>
        <v/>
      </c>
      <c r="C186" s="36">
        <f>IFERROR(IF(A186="","",VLOOKUP(A186,DATABASE!$A:$J,10,0)),"")</f>
        <v/>
      </c>
      <c r="D186" s="37">
        <f>IF(A186="","",TODAY())</f>
        <v/>
      </c>
      <c r="E186" s="29" t="n"/>
      <c r="F186" s="36">
        <f>IFERROR(IF(OR(A186="",E186=""),"",C186-E186),"")</f>
        <v/>
      </c>
      <c r="G186" s="30" t="n"/>
      <c r="H186" s="35" t="n"/>
    </row>
    <row r="187" ht="20" customHeight="1">
      <c r="A187" s="26" t="n"/>
      <c r="B187" s="27">
        <f>IFERROR(IF(A187="","",VLOOKUP(A187,DATABASE!$A:$B,2,0)),"")</f>
        <v/>
      </c>
      <c r="C187" s="20">
        <f>IFERROR(IF(A187="","",VLOOKUP(A187,DATABASE!$A:$J,10,0)),"")</f>
        <v/>
      </c>
      <c r="D187" s="28">
        <f>IF(A187="","",TODAY())</f>
        <v/>
      </c>
      <c r="E187" s="29" t="n"/>
      <c r="F187" s="20">
        <f>IFERROR(IF(OR(A187="",E187=""),"",C187-E187),"")</f>
        <v/>
      </c>
      <c r="G187" s="30" t="n"/>
      <c r="H187" s="27" t="n"/>
    </row>
    <row r="188" ht="20" customHeight="1">
      <c r="A188" s="26" t="n"/>
      <c r="B188" s="35">
        <f>IFERROR(IF(A188="","",VLOOKUP(A188,DATABASE!$A:$B,2,0)),"")</f>
        <v/>
      </c>
      <c r="C188" s="36">
        <f>IFERROR(IF(A188="","",VLOOKUP(A188,DATABASE!$A:$J,10,0)),"")</f>
        <v/>
      </c>
      <c r="D188" s="37">
        <f>IF(A188="","",TODAY())</f>
        <v/>
      </c>
      <c r="E188" s="29" t="n"/>
      <c r="F188" s="36">
        <f>IFERROR(IF(OR(A188="",E188=""),"",C188-E188),"")</f>
        <v/>
      </c>
      <c r="G188" s="30" t="n"/>
      <c r="H188" s="35" t="n"/>
    </row>
    <row r="189" ht="20" customHeight="1">
      <c r="A189" s="26" t="n"/>
      <c r="B189" s="27">
        <f>IFERROR(IF(A189="","",VLOOKUP(A189,DATABASE!$A:$B,2,0)),"")</f>
        <v/>
      </c>
      <c r="C189" s="20">
        <f>IFERROR(IF(A189="","",VLOOKUP(A189,DATABASE!$A:$J,10,0)),"")</f>
        <v/>
      </c>
      <c r="D189" s="28">
        <f>IF(A189="","",TODAY())</f>
        <v/>
      </c>
      <c r="E189" s="29" t="n"/>
      <c r="F189" s="20">
        <f>IFERROR(IF(OR(A189="",E189=""),"",C189-E189),"")</f>
        <v/>
      </c>
      <c r="G189" s="30" t="n"/>
      <c r="H189" s="27" t="n"/>
    </row>
    <row r="190" ht="20" customHeight="1">
      <c r="A190" s="26" t="n"/>
      <c r="B190" s="35">
        <f>IFERROR(IF(A190="","",VLOOKUP(A190,DATABASE!$A:$B,2,0)),"")</f>
        <v/>
      </c>
      <c r="C190" s="36">
        <f>IFERROR(IF(A190="","",VLOOKUP(A190,DATABASE!$A:$J,10,0)),"")</f>
        <v/>
      </c>
      <c r="D190" s="37">
        <f>IF(A190="","",TODAY())</f>
        <v/>
      </c>
      <c r="E190" s="29" t="n"/>
      <c r="F190" s="36">
        <f>IFERROR(IF(OR(A190="",E190=""),"",C190-E190),"")</f>
        <v/>
      </c>
      <c r="G190" s="30" t="n"/>
      <c r="H190" s="35" t="n"/>
    </row>
    <row r="191" ht="20" customHeight="1">
      <c r="A191" s="26" t="n"/>
      <c r="B191" s="27">
        <f>IFERROR(IF(A191="","",VLOOKUP(A191,DATABASE!$A:$B,2,0)),"")</f>
        <v/>
      </c>
      <c r="C191" s="20">
        <f>IFERROR(IF(A191="","",VLOOKUP(A191,DATABASE!$A:$J,10,0)),"")</f>
        <v/>
      </c>
      <c r="D191" s="28">
        <f>IF(A191="","",TODAY())</f>
        <v/>
      </c>
      <c r="E191" s="29" t="n"/>
      <c r="F191" s="20">
        <f>IFERROR(IF(OR(A191="",E191=""),"",C191-E191),"")</f>
        <v/>
      </c>
      <c r="G191" s="30" t="n"/>
      <c r="H191" s="27" t="n"/>
    </row>
    <row r="192" ht="20" customHeight="1">
      <c r="A192" s="26" t="n"/>
      <c r="B192" s="35">
        <f>IFERROR(IF(A192="","",VLOOKUP(A192,DATABASE!$A:$B,2,0)),"")</f>
        <v/>
      </c>
      <c r="C192" s="36">
        <f>IFERROR(IF(A192="","",VLOOKUP(A192,DATABASE!$A:$J,10,0)),"")</f>
        <v/>
      </c>
      <c r="D192" s="37">
        <f>IF(A192="","",TODAY())</f>
        <v/>
      </c>
      <c r="E192" s="29" t="n"/>
      <c r="F192" s="36">
        <f>IFERROR(IF(OR(A192="",E192=""),"",C192-E192),"")</f>
        <v/>
      </c>
      <c r="G192" s="30" t="n"/>
      <c r="H192" s="35" t="n"/>
    </row>
    <row r="193" ht="20" customHeight="1">
      <c r="A193" s="26" t="n"/>
      <c r="B193" s="27">
        <f>IFERROR(IF(A193="","",VLOOKUP(A193,DATABASE!$A:$B,2,0)),"")</f>
        <v/>
      </c>
      <c r="C193" s="20">
        <f>IFERROR(IF(A193="","",VLOOKUP(A193,DATABASE!$A:$J,10,0)),"")</f>
        <v/>
      </c>
      <c r="D193" s="28">
        <f>IF(A193="","",TODAY())</f>
        <v/>
      </c>
      <c r="E193" s="29" t="n"/>
      <c r="F193" s="20">
        <f>IFERROR(IF(OR(A193="",E193=""),"",C193-E193),"")</f>
        <v/>
      </c>
      <c r="G193" s="30" t="n"/>
      <c r="H193" s="27" t="n"/>
    </row>
    <row r="194" ht="20" customHeight="1">
      <c r="A194" s="26" t="n"/>
      <c r="B194" s="35">
        <f>IFERROR(IF(A194="","",VLOOKUP(A194,DATABASE!$A:$B,2,0)),"")</f>
        <v/>
      </c>
      <c r="C194" s="36">
        <f>IFERROR(IF(A194="","",VLOOKUP(A194,DATABASE!$A:$J,10,0)),"")</f>
        <v/>
      </c>
      <c r="D194" s="37">
        <f>IF(A194="","",TODAY())</f>
        <v/>
      </c>
      <c r="E194" s="29" t="n"/>
      <c r="F194" s="36">
        <f>IFERROR(IF(OR(A194="",E194=""),"",C194-E194),"")</f>
        <v/>
      </c>
      <c r="G194" s="30" t="n"/>
      <c r="H194" s="35" t="n"/>
    </row>
    <row r="195" ht="20" customHeight="1">
      <c r="A195" s="26" t="n"/>
      <c r="B195" s="27">
        <f>IFERROR(IF(A195="","",VLOOKUP(A195,DATABASE!$A:$B,2,0)),"")</f>
        <v/>
      </c>
      <c r="C195" s="20">
        <f>IFERROR(IF(A195="","",VLOOKUP(A195,DATABASE!$A:$J,10,0)),"")</f>
        <v/>
      </c>
      <c r="D195" s="28">
        <f>IF(A195="","",TODAY())</f>
        <v/>
      </c>
      <c r="E195" s="29" t="n"/>
      <c r="F195" s="20">
        <f>IFERROR(IF(OR(A195="",E195=""),"",C195-E195),"")</f>
        <v/>
      </c>
      <c r="G195" s="30" t="n"/>
      <c r="H195" s="27" t="n"/>
    </row>
    <row r="196" ht="20" customHeight="1">
      <c r="A196" s="26" t="n"/>
      <c r="B196" s="35">
        <f>IFERROR(IF(A196="","",VLOOKUP(A196,DATABASE!$A:$B,2,0)),"")</f>
        <v/>
      </c>
      <c r="C196" s="36">
        <f>IFERROR(IF(A196="","",VLOOKUP(A196,DATABASE!$A:$J,10,0)),"")</f>
        <v/>
      </c>
      <c r="D196" s="37">
        <f>IF(A196="","",TODAY())</f>
        <v/>
      </c>
      <c r="E196" s="29" t="n"/>
      <c r="F196" s="36">
        <f>IFERROR(IF(OR(A196="",E196=""),"",C196-E196),"")</f>
        <v/>
      </c>
      <c r="G196" s="30" t="n"/>
      <c r="H196" s="35" t="n"/>
    </row>
    <row r="197" ht="20" customHeight="1">
      <c r="A197" s="26" t="n"/>
      <c r="B197" s="27">
        <f>IFERROR(IF(A197="","",VLOOKUP(A197,DATABASE!$A:$B,2,0)),"")</f>
        <v/>
      </c>
      <c r="C197" s="20">
        <f>IFERROR(IF(A197="","",VLOOKUP(A197,DATABASE!$A:$J,10,0)),"")</f>
        <v/>
      </c>
      <c r="D197" s="28">
        <f>IF(A197="","",TODAY())</f>
        <v/>
      </c>
      <c r="E197" s="29" t="n"/>
      <c r="F197" s="20">
        <f>IFERROR(IF(OR(A197="",E197=""),"",C197-E197),"")</f>
        <v/>
      </c>
      <c r="G197" s="30" t="n"/>
      <c r="H197" s="27" t="n"/>
    </row>
    <row r="198" ht="20" customHeight="1">
      <c r="A198" s="26" t="n"/>
      <c r="B198" s="35">
        <f>IFERROR(IF(A198="","",VLOOKUP(A198,DATABASE!$A:$B,2,0)),"")</f>
        <v/>
      </c>
      <c r="C198" s="36">
        <f>IFERROR(IF(A198="","",VLOOKUP(A198,DATABASE!$A:$J,10,0)),"")</f>
        <v/>
      </c>
      <c r="D198" s="37">
        <f>IF(A198="","",TODAY())</f>
        <v/>
      </c>
      <c r="E198" s="29" t="n"/>
      <c r="F198" s="36">
        <f>IFERROR(IF(OR(A198="",E198=""),"",C198-E198),"")</f>
        <v/>
      </c>
      <c r="G198" s="30" t="n"/>
      <c r="H198" s="35" t="n"/>
    </row>
    <row r="199" ht="20" customHeight="1">
      <c r="A199" s="26" t="n"/>
      <c r="B199" s="27">
        <f>IFERROR(IF(A199="","",VLOOKUP(A199,DATABASE!$A:$B,2,0)),"")</f>
        <v/>
      </c>
      <c r="C199" s="20">
        <f>IFERROR(IF(A199="","",VLOOKUP(A199,DATABASE!$A:$J,10,0)),"")</f>
        <v/>
      </c>
      <c r="D199" s="28">
        <f>IF(A199="","",TODAY())</f>
        <v/>
      </c>
      <c r="E199" s="29" t="n"/>
      <c r="F199" s="20">
        <f>IFERROR(IF(OR(A199="",E199=""),"",C199-E199),"")</f>
        <v/>
      </c>
      <c r="G199" s="30" t="n"/>
      <c r="H199" s="27" t="n"/>
    </row>
    <row r="200" ht="20" customHeight="1">
      <c r="A200" s="26" t="n"/>
      <c r="B200" s="35">
        <f>IFERROR(IF(A200="","",VLOOKUP(A200,DATABASE!$A:$B,2,0)),"")</f>
        <v/>
      </c>
      <c r="C200" s="36">
        <f>IFERROR(IF(A200="","",VLOOKUP(A200,DATABASE!$A:$J,10,0)),"")</f>
        <v/>
      </c>
      <c r="D200" s="37">
        <f>IF(A200="","",TODAY())</f>
        <v/>
      </c>
      <c r="E200" s="29" t="n"/>
      <c r="F200" s="36">
        <f>IFERROR(IF(OR(A200="",E200=""),"",C200-E200),"")</f>
        <v/>
      </c>
      <c r="G200" s="30" t="n"/>
      <c r="H200" s="35" t="n"/>
    </row>
    <row r="201" ht="20" customHeight="1">
      <c r="A201" s="26" t="n"/>
      <c r="B201" s="27">
        <f>IFERROR(IF(A201="","",VLOOKUP(A201,DATABASE!$A:$B,2,0)),"")</f>
        <v/>
      </c>
      <c r="C201" s="20">
        <f>IFERROR(IF(A201="","",VLOOKUP(A201,DATABASE!$A:$J,10,0)),"")</f>
        <v/>
      </c>
      <c r="D201" s="28">
        <f>IF(A201="","",TODAY())</f>
        <v/>
      </c>
      <c r="E201" s="29" t="n"/>
      <c r="F201" s="20">
        <f>IFERROR(IF(OR(A201="",E201=""),"",C201-E201),"")</f>
        <v/>
      </c>
      <c r="G201" s="30" t="n"/>
      <c r="H201" s="27" t="n"/>
    </row>
    <row r="202" ht="20" customHeight="1">
      <c r="A202" s="26" t="n"/>
      <c r="B202" s="35">
        <f>IFERROR(IF(A202="","",VLOOKUP(A202,DATABASE!$A:$B,2,0)),"")</f>
        <v/>
      </c>
      <c r="C202" s="36">
        <f>IFERROR(IF(A202="","",VLOOKUP(A202,DATABASE!$A:$J,10,0)),"")</f>
        <v/>
      </c>
      <c r="D202" s="37">
        <f>IF(A202="","",TODAY())</f>
        <v/>
      </c>
      <c r="E202" s="29" t="n"/>
      <c r="F202" s="36">
        <f>IFERROR(IF(OR(A202="",E202=""),"",C202-E202),"")</f>
        <v/>
      </c>
      <c r="G202" s="30" t="n"/>
      <c r="H202" s="35" t="n"/>
    </row>
    <row r="203" ht="20" customHeight="1">
      <c r="A203" s="26" t="n"/>
      <c r="B203" s="27">
        <f>IFERROR(IF(A203="","",VLOOKUP(A203,DATABASE!$A:$B,2,0)),"")</f>
        <v/>
      </c>
      <c r="C203" s="20">
        <f>IFERROR(IF(A203="","",VLOOKUP(A203,DATABASE!$A:$J,10,0)),"")</f>
        <v/>
      </c>
      <c r="D203" s="28">
        <f>IF(A203="","",TODAY())</f>
        <v/>
      </c>
      <c r="E203" s="29" t="n"/>
      <c r="F203" s="20">
        <f>IFERROR(IF(OR(A203="",E203=""),"",C203-E203),"")</f>
        <v/>
      </c>
      <c r="G203" s="30" t="n"/>
      <c r="H203" s="27" t="n"/>
    </row>
    <row r="204" ht="20" customHeight="1">
      <c r="A204" s="26" t="n"/>
      <c r="B204" s="35">
        <f>IFERROR(IF(A204="","",VLOOKUP(A204,DATABASE!$A:$B,2,0)),"")</f>
        <v/>
      </c>
      <c r="C204" s="36">
        <f>IFERROR(IF(A204="","",VLOOKUP(A204,DATABASE!$A:$J,10,0)),"")</f>
        <v/>
      </c>
      <c r="D204" s="37">
        <f>IF(A204="","",TODAY())</f>
        <v/>
      </c>
      <c r="E204" s="29" t="n"/>
      <c r="F204" s="36">
        <f>IFERROR(IF(OR(A204="",E204=""),"",C204-E204),"")</f>
        <v/>
      </c>
      <c r="G204" s="30" t="n"/>
      <c r="H204" s="35" t="n"/>
    </row>
    <row r="205" ht="20" customHeight="1">
      <c r="A205" s="26" t="n"/>
      <c r="B205" s="27">
        <f>IFERROR(IF(A205="","",VLOOKUP(A205,DATABASE!$A:$B,2,0)),"")</f>
        <v/>
      </c>
      <c r="C205" s="20">
        <f>IFERROR(IF(A205="","",VLOOKUP(A205,DATABASE!$A:$J,10,0)),"")</f>
        <v/>
      </c>
      <c r="D205" s="28">
        <f>IF(A205="","",TODAY())</f>
        <v/>
      </c>
      <c r="E205" s="29" t="n"/>
      <c r="F205" s="20">
        <f>IFERROR(IF(OR(A205="",E205=""),"",C205-E205),"")</f>
        <v/>
      </c>
      <c r="G205" s="30" t="n"/>
      <c r="H205" s="27" t="n"/>
    </row>
    <row r="206" ht="20" customHeight="1">
      <c r="A206" s="26" t="n"/>
      <c r="B206" s="35">
        <f>IFERROR(IF(A206="","",VLOOKUP(A206,DATABASE!$A:$B,2,0)),"")</f>
        <v/>
      </c>
      <c r="C206" s="36">
        <f>IFERROR(IF(A206="","",VLOOKUP(A206,DATABASE!$A:$J,10,0)),"")</f>
        <v/>
      </c>
      <c r="D206" s="37">
        <f>IF(A206="","",TODAY())</f>
        <v/>
      </c>
      <c r="E206" s="29" t="n"/>
      <c r="F206" s="36">
        <f>IFERROR(IF(OR(A206="",E206=""),"",C206-E206),"")</f>
        <v/>
      </c>
      <c r="G206" s="30" t="n"/>
      <c r="H206" s="35" t="n"/>
    </row>
    <row r="207" ht="20" customHeight="1">
      <c r="A207" s="26" t="n"/>
      <c r="B207" s="27">
        <f>IFERROR(IF(A207="","",VLOOKUP(A207,DATABASE!$A:$B,2,0)),"")</f>
        <v/>
      </c>
      <c r="C207" s="20">
        <f>IFERROR(IF(A207="","",VLOOKUP(A207,DATABASE!$A:$J,10,0)),"")</f>
        <v/>
      </c>
      <c r="D207" s="28">
        <f>IF(A207="","",TODAY())</f>
        <v/>
      </c>
      <c r="E207" s="29" t="n"/>
      <c r="F207" s="20">
        <f>IFERROR(IF(OR(A207="",E207=""),"",C207-E207),"")</f>
        <v/>
      </c>
      <c r="G207" s="30" t="n"/>
      <c r="H207" s="27" t="n"/>
    </row>
    <row r="208" ht="20" customHeight="1">
      <c r="A208" s="26" t="n"/>
      <c r="B208" s="35">
        <f>IFERROR(IF(A208="","",VLOOKUP(A208,DATABASE!$A:$B,2,0)),"")</f>
        <v/>
      </c>
      <c r="C208" s="36">
        <f>IFERROR(IF(A208="","",VLOOKUP(A208,DATABASE!$A:$J,10,0)),"")</f>
        <v/>
      </c>
      <c r="D208" s="37">
        <f>IF(A208="","",TODAY())</f>
        <v/>
      </c>
      <c r="E208" s="29" t="n"/>
      <c r="F208" s="36">
        <f>IFERROR(IF(OR(A208="",E208=""),"",C208-E208),"")</f>
        <v/>
      </c>
      <c r="G208" s="30" t="n"/>
      <c r="H208" s="35" t="n"/>
    </row>
    <row r="209" ht="20" customHeight="1">
      <c r="A209" s="26" t="n"/>
      <c r="B209" s="27">
        <f>IFERROR(IF(A209="","",VLOOKUP(A209,DATABASE!$A:$B,2,0)),"")</f>
        <v/>
      </c>
      <c r="C209" s="20">
        <f>IFERROR(IF(A209="","",VLOOKUP(A209,DATABASE!$A:$J,10,0)),"")</f>
        <v/>
      </c>
      <c r="D209" s="28">
        <f>IF(A209="","",TODAY())</f>
        <v/>
      </c>
      <c r="E209" s="29" t="n"/>
      <c r="F209" s="20">
        <f>IFERROR(IF(OR(A209="",E209=""),"",C209-E209),"")</f>
        <v/>
      </c>
      <c r="G209" s="30" t="n"/>
      <c r="H209" s="27" t="n"/>
    </row>
    <row r="210" ht="20" customHeight="1">
      <c r="A210" s="26" t="n"/>
      <c r="B210" s="35">
        <f>IFERROR(IF(A210="","",VLOOKUP(A210,DATABASE!$A:$B,2,0)),"")</f>
        <v/>
      </c>
      <c r="C210" s="36">
        <f>IFERROR(IF(A210="","",VLOOKUP(A210,DATABASE!$A:$J,10,0)),"")</f>
        <v/>
      </c>
      <c r="D210" s="37">
        <f>IF(A210="","",TODAY())</f>
        <v/>
      </c>
      <c r="E210" s="29" t="n"/>
      <c r="F210" s="36">
        <f>IFERROR(IF(OR(A210="",E210=""),"",C210-E210),"")</f>
        <v/>
      </c>
      <c r="G210" s="30" t="n"/>
      <c r="H210" s="35" t="n"/>
    </row>
    <row r="211" ht="20" customHeight="1">
      <c r="A211" s="26" t="n"/>
      <c r="B211" s="27">
        <f>IFERROR(IF(A211="","",VLOOKUP(A211,DATABASE!$A:$B,2,0)),"")</f>
        <v/>
      </c>
      <c r="C211" s="20">
        <f>IFERROR(IF(A211="","",VLOOKUP(A211,DATABASE!$A:$J,10,0)),"")</f>
        <v/>
      </c>
      <c r="D211" s="28">
        <f>IF(A211="","",TODAY())</f>
        <v/>
      </c>
      <c r="E211" s="29" t="n"/>
      <c r="F211" s="20">
        <f>IFERROR(IF(OR(A211="",E211=""),"",C211-E211),"")</f>
        <v/>
      </c>
      <c r="G211" s="30" t="n"/>
      <c r="H211" s="27" t="n"/>
    </row>
    <row r="212" ht="20" customHeight="1">
      <c r="A212" s="26" t="n"/>
      <c r="B212" s="35">
        <f>IFERROR(IF(A212="","",VLOOKUP(A212,DATABASE!$A:$B,2,0)),"")</f>
        <v/>
      </c>
      <c r="C212" s="36">
        <f>IFERROR(IF(A212="","",VLOOKUP(A212,DATABASE!$A:$J,10,0)),"")</f>
        <v/>
      </c>
      <c r="D212" s="37">
        <f>IF(A212="","",TODAY())</f>
        <v/>
      </c>
      <c r="E212" s="29" t="n"/>
      <c r="F212" s="36">
        <f>IFERROR(IF(OR(A212="",E212=""),"",C212-E212),"")</f>
        <v/>
      </c>
      <c r="G212" s="30" t="n"/>
      <c r="H212" s="35" t="n"/>
    </row>
    <row r="213" ht="20" customHeight="1">
      <c r="A213" s="26" t="n"/>
      <c r="B213" s="27">
        <f>IFERROR(IF(A213="","",VLOOKUP(A213,DATABASE!$A:$B,2,0)),"")</f>
        <v/>
      </c>
      <c r="C213" s="20">
        <f>IFERROR(IF(A213="","",VLOOKUP(A213,DATABASE!$A:$J,10,0)),"")</f>
        <v/>
      </c>
      <c r="D213" s="28">
        <f>IF(A213="","",TODAY())</f>
        <v/>
      </c>
      <c r="E213" s="29" t="n"/>
      <c r="F213" s="20">
        <f>IFERROR(IF(OR(A213="",E213=""),"",C213-E213),"")</f>
        <v/>
      </c>
      <c r="G213" s="30" t="n"/>
      <c r="H213" s="27" t="n"/>
    </row>
    <row r="214" ht="20" customHeight="1">
      <c r="A214" s="26" t="n"/>
      <c r="B214" s="35">
        <f>IFERROR(IF(A214="","",VLOOKUP(A214,DATABASE!$A:$B,2,0)),"")</f>
        <v/>
      </c>
      <c r="C214" s="36">
        <f>IFERROR(IF(A214="","",VLOOKUP(A214,DATABASE!$A:$J,10,0)),"")</f>
        <v/>
      </c>
      <c r="D214" s="37">
        <f>IF(A214="","",TODAY())</f>
        <v/>
      </c>
      <c r="E214" s="29" t="n"/>
      <c r="F214" s="36">
        <f>IFERROR(IF(OR(A214="",E214=""),"",C214-E214),"")</f>
        <v/>
      </c>
      <c r="G214" s="30" t="n"/>
      <c r="H214" s="35" t="n"/>
    </row>
    <row r="215" ht="20" customHeight="1">
      <c r="A215" s="26" t="n"/>
      <c r="B215" s="27">
        <f>IFERROR(IF(A215="","",VLOOKUP(A215,DATABASE!$A:$B,2,0)),"")</f>
        <v/>
      </c>
      <c r="C215" s="20">
        <f>IFERROR(IF(A215="","",VLOOKUP(A215,DATABASE!$A:$J,10,0)),"")</f>
        <v/>
      </c>
      <c r="D215" s="28">
        <f>IF(A215="","",TODAY())</f>
        <v/>
      </c>
      <c r="E215" s="29" t="n"/>
      <c r="F215" s="20">
        <f>IFERROR(IF(OR(A215="",E215=""),"",C215-E215),"")</f>
        <v/>
      </c>
      <c r="G215" s="30" t="n"/>
      <c r="H215" s="27" t="n"/>
    </row>
    <row r="216" ht="20" customHeight="1">
      <c r="A216" s="26" t="n"/>
      <c r="B216" s="35">
        <f>IFERROR(IF(A216="","",VLOOKUP(A216,DATABASE!$A:$B,2,0)),"")</f>
        <v/>
      </c>
      <c r="C216" s="36">
        <f>IFERROR(IF(A216="","",VLOOKUP(A216,DATABASE!$A:$J,10,0)),"")</f>
        <v/>
      </c>
      <c r="D216" s="37">
        <f>IF(A216="","",TODAY())</f>
        <v/>
      </c>
      <c r="E216" s="29" t="n"/>
      <c r="F216" s="36">
        <f>IFERROR(IF(OR(A216="",E216=""),"",C216-E216),"")</f>
        <v/>
      </c>
      <c r="G216" s="30" t="n"/>
      <c r="H216" s="35" t="n"/>
    </row>
    <row r="217" ht="20" customHeight="1">
      <c r="A217" s="26" t="n"/>
      <c r="B217" s="27">
        <f>IFERROR(IF(A217="","",VLOOKUP(A217,DATABASE!$A:$B,2,0)),"")</f>
        <v/>
      </c>
      <c r="C217" s="20">
        <f>IFERROR(IF(A217="","",VLOOKUP(A217,DATABASE!$A:$J,10,0)),"")</f>
        <v/>
      </c>
      <c r="D217" s="28">
        <f>IF(A217="","",TODAY())</f>
        <v/>
      </c>
      <c r="E217" s="29" t="n"/>
      <c r="F217" s="20">
        <f>IFERROR(IF(OR(A217="",E217=""),"",C217-E217),"")</f>
        <v/>
      </c>
      <c r="G217" s="30" t="n"/>
      <c r="H217" s="27" t="n"/>
    </row>
    <row r="218" ht="20" customHeight="1">
      <c r="A218" s="26" t="n"/>
      <c r="B218" s="35">
        <f>IFERROR(IF(A218="","",VLOOKUP(A218,DATABASE!$A:$B,2,0)),"")</f>
        <v/>
      </c>
      <c r="C218" s="36">
        <f>IFERROR(IF(A218="","",VLOOKUP(A218,DATABASE!$A:$J,10,0)),"")</f>
        <v/>
      </c>
      <c r="D218" s="37">
        <f>IF(A218="","",TODAY())</f>
        <v/>
      </c>
      <c r="E218" s="29" t="n"/>
      <c r="F218" s="36">
        <f>IFERROR(IF(OR(A218="",E218=""),"",C218-E218),"")</f>
        <v/>
      </c>
      <c r="G218" s="30" t="n"/>
      <c r="H218" s="35" t="n"/>
    </row>
    <row r="219" ht="20" customHeight="1">
      <c r="A219" s="26" t="n"/>
      <c r="B219" s="27">
        <f>IFERROR(IF(A219="","",VLOOKUP(A219,DATABASE!$A:$B,2,0)),"")</f>
        <v/>
      </c>
      <c r="C219" s="20">
        <f>IFERROR(IF(A219="","",VLOOKUP(A219,DATABASE!$A:$J,10,0)),"")</f>
        <v/>
      </c>
      <c r="D219" s="28">
        <f>IF(A219="","",TODAY())</f>
        <v/>
      </c>
      <c r="E219" s="29" t="n"/>
      <c r="F219" s="20">
        <f>IFERROR(IF(OR(A219="",E219=""),"",C219-E219),"")</f>
        <v/>
      </c>
      <c r="G219" s="30" t="n"/>
      <c r="H219" s="27" t="n"/>
    </row>
    <row r="220" ht="20" customHeight="1">
      <c r="A220" s="26" t="n"/>
      <c r="B220" s="35">
        <f>IFERROR(IF(A220="","",VLOOKUP(A220,DATABASE!$A:$B,2,0)),"")</f>
        <v/>
      </c>
      <c r="C220" s="36">
        <f>IFERROR(IF(A220="","",VLOOKUP(A220,DATABASE!$A:$J,10,0)),"")</f>
        <v/>
      </c>
      <c r="D220" s="37">
        <f>IF(A220="","",TODAY())</f>
        <v/>
      </c>
      <c r="E220" s="29" t="n"/>
      <c r="F220" s="36">
        <f>IFERROR(IF(OR(A220="",E220=""),"",C220-E220),"")</f>
        <v/>
      </c>
      <c r="G220" s="30" t="n"/>
      <c r="H220" s="35" t="n"/>
    </row>
    <row r="221" ht="20" customHeight="1">
      <c r="A221" s="26" t="n"/>
      <c r="B221" s="27">
        <f>IFERROR(IF(A221="","",VLOOKUP(A221,DATABASE!$A:$B,2,0)),"")</f>
        <v/>
      </c>
      <c r="C221" s="20">
        <f>IFERROR(IF(A221="","",VLOOKUP(A221,DATABASE!$A:$J,10,0)),"")</f>
        <v/>
      </c>
      <c r="D221" s="28">
        <f>IF(A221="","",TODAY())</f>
        <v/>
      </c>
      <c r="E221" s="29" t="n"/>
      <c r="F221" s="20">
        <f>IFERROR(IF(OR(A221="",E221=""),"",C221-E221),"")</f>
        <v/>
      </c>
      <c r="G221" s="30" t="n"/>
      <c r="H221" s="27" t="n"/>
    </row>
    <row r="222" ht="20" customHeight="1">
      <c r="A222" s="26" t="n"/>
      <c r="B222" s="35">
        <f>IFERROR(IF(A222="","",VLOOKUP(A222,DATABASE!$A:$B,2,0)),"")</f>
        <v/>
      </c>
      <c r="C222" s="36">
        <f>IFERROR(IF(A222="","",VLOOKUP(A222,DATABASE!$A:$J,10,0)),"")</f>
        <v/>
      </c>
      <c r="D222" s="37">
        <f>IF(A222="","",TODAY())</f>
        <v/>
      </c>
      <c r="E222" s="29" t="n"/>
      <c r="F222" s="36">
        <f>IFERROR(IF(OR(A222="",E222=""),"",C222-E222),"")</f>
        <v/>
      </c>
      <c r="G222" s="30" t="n"/>
      <c r="H222" s="35" t="n"/>
    </row>
    <row r="223" ht="20" customHeight="1">
      <c r="A223" s="26" t="n"/>
      <c r="B223" s="27">
        <f>IFERROR(IF(A223="","",VLOOKUP(A223,DATABASE!$A:$B,2,0)),"")</f>
        <v/>
      </c>
      <c r="C223" s="20">
        <f>IFERROR(IF(A223="","",VLOOKUP(A223,DATABASE!$A:$J,10,0)),"")</f>
        <v/>
      </c>
      <c r="D223" s="28">
        <f>IF(A223="","",TODAY())</f>
        <v/>
      </c>
      <c r="E223" s="29" t="n"/>
      <c r="F223" s="20">
        <f>IFERROR(IF(OR(A223="",E223=""),"",C223-E223),"")</f>
        <v/>
      </c>
      <c r="G223" s="30" t="n"/>
      <c r="H223" s="27" t="n"/>
    </row>
    <row r="224" ht="20" customHeight="1">
      <c r="A224" s="26" t="n"/>
      <c r="B224" s="35">
        <f>IFERROR(IF(A224="","",VLOOKUP(A224,DATABASE!$A:$B,2,0)),"")</f>
        <v/>
      </c>
      <c r="C224" s="36">
        <f>IFERROR(IF(A224="","",VLOOKUP(A224,DATABASE!$A:$J,10,0)),"")</f>
        <v/>
      </c>
      <c r="D224" s="37">
        <f>IF(A224="","",TODAY())</f>
        <v/>
      </c>
      <c r="E224" s="29" t="n"/>
      <c r="F224" s="36">
        <f>IFERROR(IF(OR(A224="",E224=""),"",C224-E224),"")</f>
        <v/>
      </c>
      <c r="G224" s="30" t="n"/>
      <c r="H224" s="35" t="n"/>
    </row>
    <row r="225" ht="20" customHeight="1">
      <c r="A225" s="26" t="n"/>
      <c r="B225" s="27">
        <f>IFERROR(IF(A225="","",VLOOKUP(A225,DATABASE!$A:$B,2,0)),"")</f>
        <v/>
      </c>
      <c r="C225" s="20">
        <f>IFERROR(IF(A225="","",VLOOKUP(A225,DATABASE!$A:$J,10,0)),"")</f>
        <v/>
      </c>
      <c r="D225" s="28">
        <f>IF(A225="","",TODAY())</f>
        <v/>
      </c>
      <c r="E225" s="29" t="n"/>
      <c r="F225" s="20">
        <f>IFERROR(IF(OR(A225="",E225=""),"",C225-E225),"")</f>
        <v/>
      </c>
      <c r="G225" s="30" t="n"/>
      <c r="H225" s="27" t="n"/>
    </row>
    <row r="226" ht="20" customHeight="1">
      <c r="A226" s="26" t="n"/>
      <c r="B226" s="35">
        <f>IFERROR(IF(A226="","",VLOOKUP(A226,DATABASE!$A:$B,2,0)),"")</f>
        <v/>
      </c>
      <c r="C226" s="36">
        <f>IFERROR(IF(A226="","",VLOOKUP(A226,DATABASE!$A:$J,10,0)),"")</f>
        <v/>
      </c>
      <c r="D226" s="37">
        <f>IF(A226="","",TODAY())</f>
        <v/>
      </c>
      <c r="E226" s="29" t="n"/>
      <c r="F226" s="36">
        <f>IFERROR(IF(OR(A226="",E226=""),"",C226-E226),"")</f>
        <v/>
      </c>
      <c r="G226" s="30" t="n"/>
      <c r="H226" s="35" t="n"/>
    </row>
    <row r="227" ht="20" customHeight="1">
      <c r="A227" s="26" t="n"/>
      <c r="B227" s="27">
        <f>IFERROR(IF(A227="","",VLOOKUP(A227,DATABASE!$A:$B,2,0)),"")</f>
        <v/>
      </c>
      <c r="C227" s="20">
        <f>IFERROR(IF(A227="","",VLOOKUP(A227,DATABASE!$A:$J,10,0)),"")</f>
        <v/>
      </c>
      <c r="D227" s="28">
        <f>IF(A227="","",TODAY())</f>
        <v/>
      </c>
      <c r="E227" s="29" t="n"/>
      <c r="F227" s="20">
        <f>IFERROR(IF(OR(A227="",E227=""),"",C227-E227),"")</f>
        <v/>
      </c>
      <c r="G227" s="30" t="n"/>
      <c r="H227" s="27" t="n"/>
    </row>
    <row r="228" ht="20" customHeight="1">
      <c r="A228" s="26" t="n"/>
      <c r="B228" s="35">
        <f>IFERROR(IF(A228="","",VLOOKUP(A228,DATABASE!$A:$B,2,0)),"")</f>
        <v/>
      </c>
      <c r="C228" s="36">
        <f>IFERROR(IF(A228="","",VLOOKUP(A228,DATABASE!$A:$J,10,0)),"")</f>
        <v/>
      </c>
      <c r="D228" s="37">
        <f>IF(A228="","",TODAY())</f>
        <v/>
      </c>
      <c r="E228" s="29" t="n"/>
      <c r="F228" s="36">
        <f>IFERROR(IF(OR(A228="",E228=""),"",C228-E228),"")</f>
        <v/>
      </c>
      <c r="G228" s="30" t="n"/>
      <c r="H228" s="35" t="n"/>
    </row>
    <row r="229" ht="20" customHeight="1">
      <c r="A229" s="26" t="n"/>
      <c r="B229" s="27">
        <f>IFERROR(IF(A229="","",VLOOKUP(A229,DATABASE!$A:$B,2,0)),"")</f>
        <v/>
      </c>
      <c r="C229" s="20">
        <f>IFERROR(IF(A229="","",VLOOKUP(A229,DATABASE!$A:$J,10,0)),"")</f>
        <v/>
      </c>
      <c r="D229" s="28">
        <f>IF(A229="","",TODAY())</f>
        <v/>
      </c>
      <c r="E229" s="29" t="n"/>
      <c r="F229" s="20">
        <f>IFERROR(IF(OR(A229="",E229=""),"",C229-E229),"")</f>
        <v/>
      </c>
      <c r="G229" s="30" t="n"/>
      <c r="H229" s="27" t="n"/>
    </row>
    <row r="230" ht="20" customHeight="1">
      <c r="A230" s="26" t="n"/>
      <c r="B230" s="35">
        <f>IFERROR(IF(A230="","",VLOOKUP(A230,DATABASE!$A:$B,2,0)),"")</f>
        <v/>
      </c>
      <c r="C230" s="36">
        <f>IFERROR(IF(A230="","",VLOOKUP(A230,DATABASE!$A:$J,10,0)),"")</f>
        <v/>
      </c>
      <c r="D230" s="37">
        <f>IF(A230="","",TODAY())</f>
        <v/>
      </c>
      <c r="E230" s="29" t="n"/>
      <c r="F230" s="36">
        <f>IFERROR(IF(OR(A230="",E230=""),"",C230-E230),"")</f>
        <v/>
      </c>
      <c r="G230" s="30" t="n"/>
      <c r="H230" s="35" t="n"/>
    </row>
    <row r="231" ht="20" customHeight="1">
      <c r="A231" s="26" t="n"/>
      <c r="B231" s="27">
        <f>IFERROR(IF(A231="","",VLOOKUP(A231,DATABASE!$A:$B,2,0)),"")</f>
        <v/>
      </c>
      <c r="C231" s="20">
        <f>IFERROR(IF(A231="","",VLOOKUP(A231,DATABASE!$A:$J,10,0)),"")</f>
        <v/>
      </c>
      <c r="D231" s="28">
        <f>IF(A231="","",TODAY())</f>
        <v/>
      </c>
      <c r="E231" s="29" t="n"/>
      <c r="F231" s="20">
        <f>IFERROR(IF(OR(A231="",E231=""),"",C231-E231),"")</f>
        <v/>
      </c>
      <c r="G231" s="30" t="n"/>
      <c r="H231" s="27" t="n"/>
    </row>
    <row r="232" ht="20" customHeight="1">
      <c r="A232" s="26" t="n"/>
      <c r="B232" s="35">
        <f>IFERROR(IF(A232="","",VLOOKUP(A232,DATABASE!$A:$B,2,0)),"")</f>
        <v/>
      </c>
      <c r="C232" s="36">
        <f>IFERROR(IF(A232="","",VLOOKUP(A232,DATABASE!$A:$J,10,0)),"")</f>
        <v/>
      </c>
      <c r="D232" s="37">
        <f>IF(A232="","",TODAY())</f>
        <v/>
      </c>
      <c r="E232" s="29" t="n"/>
      <c r="F232" s="36">
        <f>IFERROR(IF(OR(A232="",E232=""),"",C232-E232),"")</f>
        <v/>
      </c>
      <c r="G232" s="30" t="n"/>
      <c r="H232" s="35" t="n"/>
    </row>
    <row r="233" ht="20" customHeight="1">
      <c r="A233" s="26" t="n"/>
      <c r="B233" s="27">
        <f>IFERROR(IF(A233="","",VLOOKUP(A233,DATABASE!$A:$B,2,0)),"")</f>
        <v/>
      </c>
      <c r="C233" s="20">
        <f>IFERROR(IF(A233="","",VLOOKUP(A233,DATABASE!$A:$J,10,0)),"")</f>
        <v/>
      </c>
      <c r="D233" s="28">
        <f>IF(A233="","",TODAY())</f>
        <v/>
      </c>
      <c r="E233" s="29" t="n"/>
      <c r="F233" s="20">
        <f>IFERROR(IF(OR(A233="",E233=""),"",C233-E233),"")</f>
        <v/>
      </c>
      <c r="G233" s="30" t="n"/>
      <c r="H233" s="27" t="n"/>
    </row>
    <row r="234" ht="20" customHeight="1">
      <c r="A234" s="26" t="n"/>
      <c r="B234" s="35">
        <f>IFERROR(IF(A234="","",VLOOKUP(A234,DATABASE!$A:$B,2,0)),"")</f>
        <v/>
      </c>
      <c r="C234" s="36">
        <f>IFERROR(IF(A234="","",VLOOKUP(A234,DATABASE!$A:$J,10,0)),"")</f>
        <v/>
      </c>
      <c r="D234" s="37">
        <f>IF(A234="","",TODAY())</f>
        <v/>
      </c>
      <c r="E234" s="29" t="n"/>
      <c r="F234" s="36">
        <f>IFERROR(IF(OR(A234="",E234=""),"",C234-E234),"")</f>
        <v/>
      </c>
      <c r="G234" s="30" t="n"/>
      <c r="H234" s="35" t="n"/>
    </row>
    <row r="235" ht="20" customHeight="1">
      <c r="A235" s="26" t="n"/>
      <c r="B235" s="27">
        <f>IFERROR(IF(A235="","",VLOOKUP(A235,DATABASE!$A:$B,2,0)),"")</f>
        <v/>
      </c>
      <c r="C235" s="20">
        <f>IFERROR(IF(A235="","",VLOOKUP(A235,DATABASE!$A:$J,10,0)),"")</f>
        <v/>
      </c>
      <c r="D235" s="28">
        <f>IF(A235="","",TODAY())</f>
        <v/>
      </c>
      <c r="E235" s="29" t="n"/>
      <c r="F235" s="20">
        <f>IFERROR(IF(OR(A235="",E235=""),"",C235-E235),"")</f>
        <v/>
      </c>
      <c r="G235" s="30" t="n"/>
      <c r="H235" s="27" t="n"/>
    </row>
    <row r="236" ht="20" customHeight="1">
      <c r="A236" s="26" t="n"/>
      <c r="B236" s="35">
        <f>IFERROR(IF(A236="","",VLOOKUP(A236,DATABASE!$A:$B,2,0)),"")</f>
        <v/>
      </c>
      <c r="C236" s="36">
        <f>IFERROR(IF(A236="","",VLOOKUP(A236,DATABASE!$A:$J,10,0)),"")</f>
        <v/>
      </c>
      <c r="D236" s="37">
        <f>IF(A236="","",TODAY())</f>
        <v/>
      </c>
      <c r="E236" s="29" t="n"/>
      <c r="F236" s="36">
        <f>IFERROR(IF(OR(A236="",E236=""),"",C236-E236),"")</f>
        <v/>
      </c>
      <c r="G236" s="30" t="n"/>
      <c r="H236" s="35" t="n"/>
    </row>
    <row r="237" ht="20" customHeight="1">
      <c r="A237" s="26" t="n"/>
      <c r="B237" s="27">
        <f>IFERROR(IF(A237="","",VLOOKUP(A237,DATABASE!$A:$B,2,0)),"")</f>
        <v/>
      </c>
      <c r="C237" s="20">
        <f>IFERROR(IF(A237="","",VLOOKUP(A237,DATABASE!$A:$J,10,0)),"")</f>
        <v/>
      </c>
      <c r="D237" s="28">
        <f>IF(A237="","",TODAY())</f>
        <v/>
      </c>
      <c r="E237" s="29" t="n"/>
      <c r="F237" s="20">
        <f>IFERROR(IF(OR(A237="",E237=""),"",C237-E237),"")</f>
        <v/>
      </c>
      <c r="G237" s="30" t="n"/>
      <c r="H237" s="27" t="n"/>
    </row>
    <row r="238" ht="20" customHeight="1">
      <c r="A238" s="26" t="n"/>
      <c r="B238" s="35">
        <f>IFERROR(IF(A238="","",VLOOKUP(A238,DATABASE!$A:$B,2,0)),"")</f>
        <v/>
      </c>
      <c r="C238" s="36">
        <f>IFERROR(IF(A238="","",VLOOKUP(A238,DATABASE!$A:$J,10,0)),"")</f>
        <v/>
      </c>
      <c r="D238" s="37">
        <f>IF(A238="","",TODAY())</f>
        <v/>
      </c>
      <c r="E238" s="29" t="n"/>
      <c r="F238" s="36">
        <f>IFERROR(IF(OR(A238="",E238=""),"",C238-E238),"")</f>
        <v/>
      </c>
      <c r="G238" s="30" t="n"/>
      <c r="H238" s="35" t="n"/>
    </row>
    <row r="239" ht="20" customHeight="1">
      <c r="A239" s="26" t="n"/>
      <c r="B239" s="27">
        <f>IFERROR(IF(A239="","",VLOOKUP(A239,DATABASE!$A:$B,2,0)),"")</f>
        <v/>
      </c>
      <c r="C239" s="20">
        <f>IFERROR(IF(A239="","",VLOOKUP(A239,DATABASE!$A:$J,10,0)),"")</f>
        <v/>
      </c>
      <c r="D239" s="28">
        <f>IF(A239="","",TODAY())</f>
        <v/>
      </c>
      <c r="E239" s="29" t="n"/>
      <c r="F239" s="20">
        <f>IFERROR(IF(OR(A239="",E239=""),"",C239-E239),"")</f>
        <v/>
      </c>
      <c r="G239" s="30" t="n"/>
      <c r="H239" s="27" t="n"/>
    </row>
    <row r="240" ht="20" customHeight="1">
      <c r="A240" s="26" t="n"/>
      <c r="B240" s="35">
        <f>IFERROR(IF(A240="","",VLOOKUP(A240,DATABASE!$A:$B,2,0)),"")</f>
        <v/>
      </c>
      <c r="C240" s="36">
        <f>IFERROR(IF(A240="","",VLOOKUP(A240,DATABASE!$A:$J,10,0)),"")</f>
        <v/>
      </c>
      <c r="D240" s="37">
        <f>IF(A240="","",TODAY())</f>
        <v/>
      </c>
      <c r="E240" s="29" t="n"/>
      <c r="F240" s="36">
        <f>IFERROR(IF(OR(A240="",E240=""),"",C240-E240),"")</f>
        <v/>
      </c>
      <c r="G240" s="30" t="n"/>
      <c r="H240" s="35" t="n"/>
    </row>
    <row r="241" ht="20" customHeight="1">
      <c r="A241" s="26" t="n"/>
      <c r="B241" s="27">
        <f>IFERROR(IF(A241="","",VLOOKUP(A241,DATABASE!$A:$B,2,0)),"")</f>
        <v/>
      </c>
      <c r="C241" s="20">
        <f>IFERROR(IF(A241="","",VLOOKUP(A241,DATABASE!$A:$J,10,0)),"")</f>
        <v/>
      </c>
      <c r="D241" s="28">
        <f>IF(A241="","",TODAY())</f>
        <v/>
      </c>
      <c r="E241" s="29" t="n"/>
      <c r="F241" s="20">
        <f>IFERROR(IF(OR(A241="",E241=""),"",C241-E241),"")</f>
        <v/>
      </c>
      <c r="G241" s="30" t="n"/>
      <c r="H241" s="27" t="n"/>
    </row>
    <row r="242" ht="20" customHeight="1">
      <c r="A242" s="26" t="n"/>
      <c r="B242" s="35">
        <f>IFERROR(IF(A242="","",VLOOKUP(A242,DATABASE!$A:$B,2,0)),"")</f>
        <v/>
      </c>
      <c r="C242" s="36">
        <f>IFERROR(IF(A242="","",VLOOKUP(A242,DATABASE!$A:$J,10,0)),"")</f>
        <v/>
      </c>
      <c r="D242" s="37">
        <f>IF(A242="","",TODAY())</f>
        <v/>
      </c>
      <c r="E242" s="29" t="n"/>
      <c r="F242" s="36">
        <f>IFERROR(IF(OR(A242="",E242=""),"",C242-E242),"")</f>
        <v/>
      </c>
      <c r="G242" s="30" t="n"/>
      <c r="H242" s="35" t="n"/>
    </row>
    <row r="243" ht="20" customHeight="1">
      <c r="A243" s="26" t="n"/>
      <c r="B243" s="27">
        <f>IFERROR(IF(A243="","",VLOOKUP(A243,DATABASE!$A:$B,2,0)),"")</f>
        <v/>
      </c>
      <c r="C243" s="20">
        <f>IFERROR(IF(A243="","",VLOOKUP(A243,DATABASE!$A:$J,10,0)),"")</f>
        <v/>
      </c>
      <c r="D243" s="28">
        <f>IF(A243="","",TODAY())</f>
        <v/>
      </c>
      <c r="E243" s="29" t="n"/>
      <c r="F243" s="20">
        <f>IFERROR(IF(OR(A243="",E243=""),"",C243-E243),"")</f>
        <v/>
      </c>
      <c r="G243" s="30" t="n"/>
      <c r="H243" s="27" t="n"/>
    </row>
    <row r="244" ht="20" customHeight="1">
      <c r="A244" s="26" t="n"/>
      <c r="B244" s="35">
        <f>IFERROR(IF(A244="","",VLOOKUP(A244,DATABASE!$A:$B,2,0)),"")</f>
        <v/>
      </c>
      <c r="C244" s="36">
        <f>IFERROR(IF(A244="","",VLOOKUP(A244,DATABASE!$A:$J,10,0)),"")</f>
        <v/>
      </c>
      <c r="D244" s="37">
        <f>IF(A244="","",TODAY())</f>
        <v/>
      </c>
      <c r="E244" s="29" t="n"/>
      <c r="F244" s="36">
        <f>IFERROR(IF(OR(A244="",E244=""),"",C244-E244),"")</f>
        <v/>
      </c>
      <c r="G244" s="30" t="n"/>
      <c r="H244" s="35" t="n"/>
    </row>
    <row r="245" ht="20" customHeight="1">
      <c r="A245" s="26" t="n"/>
      <c r="B245" s="27">
        <f>IFERROR(IF(A245="","",VLOOKUP(A245,DATABASE!$A:$B,2,0)),"")</f>
        <v/>
      </c>
      <c r="C245" s="20">
        <f>IFERROR(IF(A245="","",VLOOKUP(A245,DATABASE!$A:$J,10,0)),"")</f>
        <v/>
      </c>
      <c r="D245" s="28">
        <f>IF(A245="","",TODAY())</f>
        <v/>
      </c>
      <c r="E245" s="29" t="n"/>
      <c r="F245" s="20">
        <f>IFERROR(IF(OR(A245="",E245=""),"",C245-E245),"")</f>
        <v/>
      </c>
      <c r="G245" s="30" t="n"/>
      <c r="H245" s="27" t="n"/>
    </row>
    <row r="246" ht="20" customHeight="1">
      <c r="A246" s="26" t="n"/>
      <c r="B246" s="35">
        <f>IFERROR(IF(A246="","",VLOOKUP(A246,DATABASE!$A:$B,2,0)),"")</f>
        <v/>
      </c>
      <c r="C246" s="36">
        <f>IFERROR(IF(A246="","",VLOOKUP(A246,DATABASE!$A:$J,10,0)),"")</f>
        <v/>
      </c>
      <c r="D246" s="37">
        <f>IF(A246="","",TODAY())</f>
        <v/>
      </c>
      <c r="E246" s="29" t="n"/>
      <c r="F246" s="36">
        <f>IFERROR(IF(OR(A246="",E246=""),"",C246-E246),"")</f>
        <v/>
      </c>
      <c r="G246" s="30" t="n"/>
      <c r="H246" s="35" t="n"/>
    </row>
    <row r="247" ht="20" customHeight="1">
      <c r="A247" s="26" t="n"/>
      <c r="B247" s="27">
        <f>IFERROR(IF(A247="","",VLOOKUP(A247,DATABASE!$A:$B,2,0)),"")</f>
        <v/>
      </c>
      <c r="C247" s="20">
        <f>IFERROR(IF(A247="","",VLOOKUP(A247,DATABASE!$A:$J,10,0)),"")</f>
        <v/>
      </c>
      <c r="D247" s="28">
        <f>IF(A247="","",TODAY())</f>
        <v/>
      </c>
      <c r="E247" s="29" t="n"/>
      <c r="F247" s="20">
        <f>IFERROR(IF(OR(A247="",E247=""),"",C247-E247),"")</f>
        <v/>
      </c>
      <c r="G247" s="30" t="n"/>
      <c r="H247" s="27" t="n"/>
    </row>
    <row r="248" ht="20" customHeight="1">
      <c r="A248" s="26" t="n"/>
      <c r="B248" s="35">
        <f>IFERROR(IF(A248="","",VLOOKUP(A248,DATABASE!$A:$B,2,0)),"")</f>
        <v/>
      </c>
      <c r="C248" s="36">
        <f>IFERROR(IF(A248="","",VLOOKUP(A248,DATABASE!$A:$J,10,0)),"")</f>
        <v/>
      </c>
      <c r="D248" s="37">
        <f>IF(A248="","",TODAY())</f>
        <v/>
      </c>
      <c r="E248" s="29" t="n"/>
      <c r="F248" s="36">
        <f>IFERROR(IF(OR(A248="",E248=""),"",C248-E248),"")</f>
        <v/>
      </c>
      <c r="G248" s="30" t="n"/>
      <c r="H248" s="35" t="n"/>
    </row>
    <row r="249" ht="20" customHeight="1">
      <c r="A249" s="26" t="n"/>
      <c r="B249" s="27">
        <f>IFERROR(IF(A249="","",VLOOKUP(A249,DATABASE!$A:$B,2,0)),"")</f>
        <v/>
      </c>
      <c r="C249" s="20">
        <f>IFERROR(IF(A249="","",VLOOKUP(A249,DATABASE!$A:$J,10,0)),"")</f>
        <v/>
      </c>
      <c r="D249" s="28">
        <f>IF(A249="","",TODAY())</f>
        <v/>
      </c>
      <c r="E249" s="29" t="n"/>
      <c r="F249" s="20">
        <f>IFERROR(IF(OR(A249="",E249=""),"",C249-E249),"")</f>
        <v/>
      </c>
      <c r="G249" s="30" t="n"/>
      <c r="H249" s="27" t="n"/>
    </row>
    <row r="250" ht="20" customHeight="1">
      <c r="A250" s="26" t="n"/>
      <c r="B250" s="35">
        <f>IFERROR(IF(A250="","",VLOOKUP(A250,DATABASE!$A:$B,2,0)),"")</f>
        <v/>
      </c>
      <c r="C250" s="36">
        <f>IFERROR(IF(A250="","",VLOOKUP(A250,DATABASE!$A:$J,10,0)),"")</f>
        <v/>
      </c>
      <c r="D250" s="37">
        <f>IF(A250="","",TODAY())</f>
        <v/>
      </c>
      <c r="E250" s="29" t="n"/>
      <c r="F250" s="36">
        <f>IFERROR(IF(OR(A250="",E250=""),"",C250-E250),"")</f>
        <v/>
      </c>
      <c r="G250" s="30" t="n"/>
      <c r="H250" s="35" t="n"/>
    </row>
    <row r="251" ht="20" customHeight="1">
      <c r="A251" s="26" t="n"/>
      <c r="B251" s="27">
        <f>IFERROR(IF(A251="","",VLOOKUP(A251,DATABASE!$A:$B,2,0)),"")</f>
        <v/>
      </c>
      <c r="C251" s="20">
        <f>IFERROR(IF(A251="","",VLOOKUP(A251,DATABASE!$A:$J,10,0)),"")</f>
        <v/>
      </c>
      <c r="D251" s="28">
        <f>IF(A251="","",TODAY())</f>
        <v/>
      </c>
      <c r="E251" s="29" t="n"/>
      <c r="F251" s="20">
        <f>IFERROR(IF(OR(A251="",E251=""),"",C251-E251),"")</f>
        <v/>
      </c>
      <c r="G251" s="30" t="n"/>
      <c r="H251" s="27" t="n"/>
    </row>
    <row r="252" ht="20" customHeight="1">
      <c r="A252" s="26" t="n"/>
      <c r="B252" s="35">
        <f>IFERROR(IF(A252="","",VLOOKUP(A252,DATABASE!$A:$B,2,0)),"")</f>
        <v/>
      </c>
      <c r="C252" s="36">
        <f>IFERROR(IF(A252="","",VLOOKUP(A252,DATABASE!$A:$J,10,0)),"")</f>
        <v/>
      </c>
      <c r="D252" s="37">
        <f>IF(A252="","",TODAY())</f>
        <v/>
      </c>
      <c r="E252" s="29" t="n"/>
      <c r="F252" s="36">
        <f>IFERROR(IF(OR(A252="",E252=""),"",C252-E252),"")</f>
        <v/>
      </c>
      <c r="G252" s="30" t="n"/>
      <c r="H252" s="35" t="n"/>
    </row>
    <row r="253" ht="20" customHeight="1">
      <c r="A253" s="26" t="n"/>
      <c r="B253" s="27">
        <f>IFERROR(IF(A253="","",VLOOKUP(A253,DATABASE!$A:$B,2,0)),"")</f>
        <v/>
      </c>
      <c r="C253" s="20">
        <f>IFERROR(IF(A253="","",VLOOKUP(A253,DATABASE!$A:$J,10,0)),"")</f>
        <v/>
      </c>
      <c r="D253" s="28">
        <f>IF(A253="","",TODAY())</f>
        <v/>
      </c>
      <c r="E253" s="29" t="n"/>
      <c r="F253" s="20">
        <f>IFERROR(IF(OR(A253="",E253=""),"",C253-E253),"")</f>
        <v/>
      </c>
      <c r="G253" s="30" t="n"/>
      <c r="H253" s="27" t="n"/>
    </row>
    <row r="254" ht="20" customHeight="1">
      <c r="A254" s="26" t="n"/>
      <c r="B254" s="35">
        <f>IFERROR(IF(A254="","",VLOOKUP(A254,DATABASE!$A:$B,2,0)),"")</f>
        <v/>
      </c>
      <c r="C254" s="36">
        <f>IFERROR(IF(A254="","",VLOOKUP(A254,DATABASE!$A:$J,10,0)),"")</f>
        <v/>
      </c>
      <c r="D254" s="37">
        <f>IF(A254="","",TODAY())</f>
        <v/>
      </c>
      <c r="E254" s="29" t="n"/>
      <c r="F254" s="36">
        <f>IFERROR(IF(OR(A254="",E254=""),"",C254-E254),"")</f>
        <v/>
      </c>
      <c r="G254" s="30" t="n"/>
      <c r="H254" s="35" t="n"/>
    </row>
    <row r="255" ht="20" customHeight="1">
      <c r="A255" s="26" t="n"/>
      <c r="B255" s="27">
        <f>IFERROR(IF(A255="","",VLOOKUP(A255,DATABASE!$A:$B,2,0)),"")</f>
        <v/>
      </c>
      <c r="C255" s="20">
        <f>IFERROR(IF(A255="","",VLOOKUP(A255,DATABASE!$A:$J,10,0)),"")</f>
        <v/>
      </c>
      <c r="D255" s="28">
        <f>IF(A255="","",TODAY())</f>
        <v/>
      </c>
      <c r="E255" s="29" t="n"/>
      <c r="F255" s="20">
        <f>IFERROR(IF(OR(A255="",E255=""),"",C255-E255),"")</f>
        <v/>
      </c>
      <c r="G255" s="30" t="n"/>
      <c r="H255" s="27" t="n"/>
    </row>
    <row r="256" ht="20" customHeight="1">
      <c r="A256" s="26" t="n"/>
      <c r="B256" s="35">
        <f>IFERROR(IF(A256="","",VLOOKUP(A256,DATABASE!$A:$B,2,0)),"")</f>
        <v/>
      </c>
      <c r="C256" s="36">
        <f>IFERROR(IF(A256="","",VLOOKUP(A256,DATABASE!$A:$J,10,0)),"")</f>
        <v/>
      </c>
      <c r="D256" s="37">
        <f>IF(A256="","",TODAY())</f>
        <v/>
      </c>
      <c r="E256" s="29" t="n"/>
      <c r="F256" s="36">
        <f>IFERROR(IF(OR(A256="",E256=""),"",C256-E256),"")</f>
        <v/>
      </c>
      <c r="G256" s="30" t="n"/>
      <c r="H256" s="35" t="n"/>
    </row>
    <row r="257" ht="20" customHeight="1">
      <c r="A257" s="26" t="n"/>
      <c r="B257" s="27">
        <f>IFERROR(IF(A257="","",VLOOKUP(A257,DATABASE!$A:$B,2,0)),"")</f>
        <v/>
      </c>
      <c r="C257" s="20">
        <f>IFERROR(IF(A257="","",VLOOKUP(A257,DATABASE!$A:$J,10,0)),"")</f>
        <v/>
      </c>
      <c r="D257" s="28">
        <f>IF(A257="","",TODAY())</f>
        <v/>
      </c>
      <c r="E257" s="29" t="n"/>
      <c r="F257" s="20">
        <f>IFERROR(IF(OR(A257="",E257=""),"",C257-E257),"")</f>
        <v/>
      </c>
      <c r="G257" s="30" t="n"/>
      <c r="H257" s="27" t="n"/>
    </row>
    <row r="258" ht="20" customHeight="1">
      <c r="A258" s="26" t="n"/>
      <c r="B258" s="35">
        <f>IFERROR(IF(A258="","",VLOOKUP(A258,DATABASE!$A:$B,2,0)),"")</f>
        <v/>
      </c>
      <c r="C258" s="36">
        <f>IFERROR(IF(A258="","",VLOOKUP(A258,DATABASE!$A:$J,10,0)),"")</f>
        <v/>
      </c>
      <c r="D258" s="37">
        <f>IF(A258="","",TODAY())</f>
        <v/>
      </c>
      <c r="E258" s="29" t="n"/>
      <c r="F258" s="36">
        <f>IFERROR(IF(OR(A258="",E258=""),"",C258-E258),"")</f>
        <v/>
      </c>
      <c r="G258" s="30" t="n"/>
      <c r="H258" s="35" t="n"/>
    </row>
    <row r="259" ht="20" customHeight="1">
      <c r="A259" s="26" t="n"/>
      <c r="B259" s="27">
        <f>IFERROR(IF(A259="","",VLOOKUP(A259,DATABASE!$A:$B,2,0)),"")</f>
        <v/>
      </c>
      <c r="C259" s="20">
        <f>IFERROR(IF(A259="","",VLOOKUP(A259,DATABASE!$A:$J,10,0)),"")</f>
        <v/>
      </c>
      <c r="D259" s="28">
        <f>IF(A259="","",TODAY())</f>
        <v/>
      </c>
      <c r="E259" s="29" t="n"/>
      <c r="F259" s="20">
        <f>IFERROR(IF(OR(A259="",E259=""),"",C259-E259),"")</f>
        <v/>
      </c>
      <c r="G259" s="30" t="n"/>
      <c r="H259" s="27" t="n"/>
    </row>
    <row r="260" ht="20" customHeight="1">
      <c r="A260" s="26" t="n"/>
      <c r="B260" s="35">
        <f>IFERROR(IF(A260="","",VLOOKUP(A260,DATABASE!$A:$B,2,0)),"")</f>
        <v/>
      </c>
      <c r="C260" s="36">
        <f>IFERROR(IF(A260="","",VLOOKUP(A260,DATABASE!$A:$J,10,0)),"")</f>
        <v/>
      </c>
      <c r="D260" s="37">
        <f>IF(A260="","",TODAY())</f>
        <v/>
      </c>
      <c r="E260" s="29" t="n"/>
      <c r="F260" s="36">
        <f>IFERROR(IF(OR(A260="",E260=""),"",C260-E260),"")</f>
        <v/>
      </c>
      <c r="G260" s="30" t="n"/>
      <c r="H260" s="35" t="n"/>
    </row>
    <row r="261" ht="20" customHeight="1">
      <c r="A261" s="26" t="n"/>
      <c r="B261" s="27">
        <f>IFERROR(IF(A261="","",VLOOKUP(A261,DATABASE!$A:$B,2,0)),"")</f>
        <v/>
      </c>
      <c r="C261" s="20">
        <f>IFERROR(IF(A261="","",VLOOKUP(A261,DATABASE!$A:$J,10,0)),"")</f>
        <v/>
      </c>
      <c r="D261" s="28">
        <f>IF(A261="","",TODAY())</f>
        <v/>
      </c>
      <c r="E261" s="29" t="n"/>
      <c r="F261" s="20">
        <f>IFERROR(IF(OR(A261="",E261=""),"",C261-E261),"")</f>
        <v/>
      </c>
      <c r="G261" s="30" t="n"/>
      <c r="H261" s="27" t="n"/>
    </row>
    <row r="262" ht="20" customHeight="1">
      <c r="A262" s="26" t="n"/>
      <c r="B262" s="35">
        <f>IFERROR(IF(A262="","",VLOOKUP(A262,DATABASE!$A:$B,2,0)),"")</f>
        <v/>
      </c>
      <c r="C262" s="36">
        <f>IFERROR(IF(A262="","",VLOOKUP(A262,DATABASE!$A:$J,10,0)),"")</f>
        <v/>
      </c>
      <c r="D262" s="37">
        <f>IF(A262="","",TODAY())</f>
        <v/>
      </c>
      <c r="E262" s="29" t="n"/>
      <c r="F262" s="36">
        <f>IFERROR(IF(OR(A262="",E262=""),"",C262-E262),"")</f>
        <v/>
      </c>
      <c r="G262" s="30" t="n"/>
      <c r="H262" s="35" t="n"/>
    </row>
    <row r="263" ht="20" customHeight="1">
      <c r="A263" s="26" t="n"/>
      <c r="B263" s="27">
        <f>IFERROR(IF(A263="","",VLOOKUP(A263,DATABASE!$A:$B,2,0)),"")</f>
        <v/>
      </c>
      <c r="C263" s="20">
        <f>IFERROR(IF(A263="","",VLOOKUP(A263,DATABASE!$A:$J,10,0)),"")</f>
        <v/>
      </c>
      <c r="D263" s="28">
        <f>IF(A263="","",TODAY())</f>
        <v/>
      </c>
      <c r="E263" s="29" t="n"/>
      <c r="F263" s="20">
        <f>IFERROR(IF(OR(A263="",E263=""),"",C263-E263),"")</f>
        <v/>
      </c>
      <c r="G263" s="30" t="n"/>
      <c r="H263" s="27" t="n"/>
    </row>
    <row r="264" ht="20" customHeight="1">
      <c r="A264" s="26" t="n"/>
      <c r="B264" s="35">
        <f>IFERROR(IF(A264="","",VLOOKUP(A264,DATABASE!$A:$B,2,0)),"")</f>
        <v/>
      </c>
      <c r="C264" s="36">
        <f>IFERROR(IF(A264="","",VLOOKUP(A264,DATABASE!$A:$J,10,0)),"")</f>
        <v/>
      </c>
      <c r="D264" s="37">
        <f>IF(A264="","",TODAY())</f>
        <v/>
      </c>
      <c r="E264" s="29" t="n"/>
      <c r="F264" s="36">
        <f>IFERROR(IF(OR(A264="",E264=""),"",C264-E264),"")</f>
        <v/>
      </c>
      <c r="G264" s="30" t="n"/>
      <c r="H264" s="35" t="n"/>
    </row>
    <row r="265" ht="20" customHeight="1">
      <c r="A265" s="26" t="n"/>
      <c r="B265" s="27">
        <f>IFERROR(IF(A265="","",VLOOKUP(A265,DATABASE!$A:$B,2,0)),"")</f>
        <v/>
      </c>
      <c r="C265" s="20">
        <f>IFERROR(IF(A265="","",VLOOKUP(A265,DATABASE!$A:$J,10,0)),"")</f>
        <v/>
      </c>
      <c r="D265" s="28">
        <f>IF(A265="","",TODAY())</f>
        <v/>
      </c>
      <c r="E265" s="29" t="n"/>
      <c r="F265" s="20">
        <f>IFERROR(IF(OR(A265="",E265=""),"",C265-E265),"")</f>
        <v/>
      </c>
      <c r="G265" s="30" t="n"/>
      <c r="H265" s="27" t="n"/>
    </row>
    <row r="266" ht="20" customHeight="1">
      <c r="A266" s="26" t="n"/>
      <c r="B266" s="35">
        <f>IFERROR(IF(A266="","",VLOOKUP(A266,DATABASE!$A:$B,2,0)),"")</f>
        <v/>
      </c>
      <c r="C266" s="36">
        <f>IFERROR(IF(A266="","",VLOOKUP(A266,DATABASE!$A:$J,10,0)),"")</f>
        <v/>
      </c>
      <c r="D266" s="37">
        <f>IF(A266="","",TODAY())</f>
        <v/>
      </c>
      <c r="E266" s="29" t="n"/>
      <c r="F266" s="36">
        <f>IFERROR(IF(OR(A266="",E266=""),"",C266-E266),"")</f>
        <v/>
      </c>
      <c r="G266" s="30" t="n"/>
      <c r="H266" s="35" t="n"/>
    </row>
    <row r="267" ht="20" customHeight="1">
      <c r="A267" s="26" t="n"/>
      <c r="B267" s="27">
        <f>IFERROR(IF(A267="","",VLOOKUP(A267,DATABASE!$A:$B,2,0)),"")</f>
        <v/>
      </c>
      <c r="C267" s="20">
        <f>IFERROR(IF(A267="","",VLOOKUP(A267,DATABASE!$A:$J,10,0)),"")</f>
        <v/>
      </c>
      <c r="D267" s="28">
        <f>IF(A267="","",TODAY())</f>
        <v/>
      </c>
      <c r="E267" s="29" t="n"/>
      <c r="F267" s="20">
        <f>IFERROR(IF(OR(A267="",E267=""),"",C267-E267),"")</f>
        <v/>
      </c>
      <c r="G267" s="30" t="n"/>
      <c r="H267" s="27" t="n"/>
    </row>
    <row r="268" ht="20" customHeight="1">
      <c r="A268" s="26" t="n"/>
      <c r="B268" s="35">
        <f>IFERROR(IF(A268="","",VLOOKUP(A268,DATABASE!$A:$B,2,0)),"")</f>
        <v/>
      </c>
      <c r="C268" s="36">
        <f>IFERROR(IF(A268="","",VLOOKUP(A268,DATABASE!$A:$J,10,0)),"")</f>
        <v/>
      </c>
      <c r="D268" s="37">
        <f>IF(A268="","",TODAY())</f>
        <v/>
      </c>
      <c r="E268" s="29" t="n"/>
      <c r="F268" s="36">
        <f>IFERROR(IF(OR(A268="",E268=""),"",C268-E268),"")</f>
        <v/>
      </c>
      <c r="G268" s="30" t="n"/>
      <c r="H268" s="35" t="n"/>
    </row>
    <row r="269" ht="20" customHeight="1">
      <c r="A269" s="26" t="n"/>
      <c r="B269" s="27">
        <f>IFERROR(IF(A269="","",VLOOKUP(A269,DATABASE!$A:$B,2,0)),"")</f>
        <v/>
      </c>
      <c r="C269" s="20">
        <f>IFERROR(IF(A269="","",VLOOKUP(A269,DATABASE!$A:$J,10,0)),"")</f>
        <v/>
      </c>
      <c r="D269" s="28">
        <f>IF(A269="","",TODAY())</f>
        <v/>
      </c>
      <c r="E269" s="29" t="n"/>
      <c r="F269" s="20">
        <f>IFERROR(IF(OR(A269="",E269=""),"",C269-E269),"")</f>
        <v/>
      </c>
      <c r="G269" s="30" t="n"/>
      <c r="H269" s="27" t="n"/>
    </row>
    <row r="270" ht="20" customHeight="1">
      <c r="A270" s="26" t="n"/>
      <c r="B270" s="35">
        <f>IFERROR(IF(A270="","",VLOOKUP(A270,DATABASE!$A:$B,2,0)),"")</f>
        <v/>
      </c>
      <c r="C270" s="36">
        <f>IFERROR(IF(A270="","",VLOOKUP(A270,DATABASE!$A:$J,10,0)),"")</f>
        <v/>
      </c>
      <c r="D270" s="37">
        <f>IF(A270="","",TODAY())</f>
        <v/>
      </c>
      <c r="E270" s="29" t="n"/>
      <c r="F270" s="36">
        <f>IFERROR(IF(OR(A270="",E270=""),"",C270-E270),"")</f>
        <v/>
      </c>
      <c r="G270" s="30" t="n"/>
      <c r="H270" s="35" t="n"/>
    </row>
    <row r="271" ht="20" customHeight="1">
      <c r="A271" s="26" t="n"/>
      <c r="B271" s="27">
        <f>IFERROR(IF(A271="","",VLOOKUP(A271,DATABASE!$A:$B,2,0)),"")</f>
        <v/>
      </c>
      <c r="C271" s="20">
        <f>IFERROR(IF(A271="","",VLOOKUP(A271,DATABASE!$A:$J,10,0)),"")</f>
        <v/>
      </c>
      <c r="D271" s="28">
        <f>IF(A271="","",TODAY())</f>
        <v/>
      </c>
      <c r="E271" s="29" t="n"/>
      <c r="F271" s="20">
        <f>IFERROR(IF(OR(A271="",E271=""),"",C271-E271),"")</f>
        <v/>
      </c>
      <c r="G271" s="30" t="n"/>
      <c r="H271" s="27" t="n"/>
    </row>
    <row r="272" ht="20" customHeight="1">
      <c r="A272" s="26" t="n"/>
      <c r="B272" s="35">
        <f>IFERROR(IF(A272="","",VLOOKUP(A272,DATABASE!$A:$B,2,0)),"")</f>
        <v/>
      </c>
      <c r="C272" s="36">
        <f>IFERROR(IF(A272="","",VLOOKUP(A272,DATABASE!$A:$J,10,0)),"")</f>
        <v/>
      </c>
      <c r="D272" s="37">
        <f>IF(A272="","",TODAY())</f>
        <v/>
      </c>
      <c r="E272" s="29" t="n"/>
      <c r="F272" s="36">
        <f>IFERROR(IF(OR(A272="",E272=""),"",C272-E272),"")</f>
        <v/>
      </c>
      <c r="G272" s="30" t="n"/>
      <c r="H272" s="35" t="n"/>
    </row>
    <row r="273" ht="20" customHeight="1">
      <c r="A273" s="26" t="n"/>
      <c r="B273" s="27">
        <f>IFERROR(IF(A273="","",VLOOKUP(A273,DATABASE!$A:$B,2,0)),"")</f>
        <v/>
      </c>
      <c r="C273" s="20">
        <f>IFERROR(IF(A273="","",VLOOKUP(A273,DATABASE!$A:$J,10,0)),"")</f>
        <v/>
      </c>
      <c r="D273" s="28">
        <f>IF(A273="","",TODAY())</f>
        <v/>
      </c>
      <c r="E273" s="29" t="n"/>
      <c r="F273" s="20">
        <f>IFERROR(IF(OR(A273="",E273=""),"",C273-E273),"")</f>
        <v/>
      </c>
      <c r="G273" s="30" t="n"/>
      <c r="H273" s="27" t="n"/>
    </row>
    <row r="274" ht="20" customHeight="1">
      <c r="A274" s="26" t="n"/>
      <c r="B274" s="35">
        <f>IFERROR(IF(A274="","",VLOOKUP(A274,DATABASE!$A:$B,2,0)),"")</f>
        <v/>
      </c>
      <c r="C274" s="36">
        <f>IFERROR(IF(A274="","",VLOOKUP(A274,DATABASE!$A:$J,10,0)),"")</f>
        <v/>
      </c>
      <c r="D274" s="37">
        <f>IF(A274="","",TODAY())</f>
        <v/>
      </c>
      <c r="E274" s="29" t="n"/>
      <c r="F274" s="36">
        <f>IFERROR(IF(OR(A274="",E274=""),"",C274-E274),"")</f>
        <v/>
      </c>
      <c r="G274" s="30" t="n"/>
      <c r="H274" s="35" t="n"/>
    </row>
    <row r="275" ht="20" customHeight="1">
      <c r="A275" s="26" t="n"/>
      <c r="B275" s="27">
        <f>IFERROR(IF(A275="","",VLOOKUP(A275,DATABASE!$A:$B,2,0)),"")</f>
        <v/>
      </c>
      <c r="C275" s="20">
        <f>IFERROR(IF(A275="","",VLOOKUP(A275,DATABASE!$A:$J,10,0)),"")</f>
        <v/>
      </c>
      <c r="D275" s="28">
        <f>IF(A275="","",TODAY())</f>
        <v/>
      </c>
      <c r="E275" s="29" t="n"/>
      <c r="F275" s="20">
        <f>IFERROR(IF(OR(A275="",E275=""),"",C275-E275),"")</f>
        <v/>
      </c>
      <c r="G275" s="30" t="n"/>
      <c r="H275" s="27" t="n"/>
    </row>
    <row r="276" ht="20" customHeight="1">
      <c r="A276" s="26" t="n"/>
      <c r="B276" s="35">
        <f>IFERROR(IF(A276="","",VLOOKUP(A276,DATABASE!$A:$B,2,0)),"")</f>
        <v/>
      </c>
      <c r="C276" s="36">
        <f>IFERROR(IF(A276="","",VLOOKUP(A276,DATABASE!$A:$J,10,0)),"")</f>
        <v/>
      </c>
      <c r="D276" s="37">
        <f>IF(A276="","",TODAY())</f>
        <v/>
      </c>
      <c r="E276" s="29" t="n"/>
      <c r="F276" s="36">
        <f>IFERROR(IF(OR(A276="",E276=""),"",C276-E276),"")</f>
        <v/>
      </c>
      <c r="G276" s="30" t="n"/>
      <c r="H276" s="35" t="n"/>
    </row>
    <row r="277" ht="20" customHeight="1">
      <c r="A277" s="26" t="n"/>
      <c r="B277" s="27">
        <f>IFERROR(IF(A277="","",VLOOKUP(A277,DATABASE!$A:$B,2,0)),"")</f>
        <v/>
      </c>
      <c r="C277" s="20">
        <f>IFERROR(IF(A277="","",VLOOKUP(A277,DATABASE!$A:$J,10,0)),"")</f>
        <v/>
      </c>
      <c r="D277" s="28">
        <f>IF(A277="","",TODAY())</f>
        <v/>
      </c>
      <c r="E277" s="29" t="n"/>
      <c r="F277" s="20">
        <f>IFERROR(IF(OR(A277="",E277=""),"",C277-E277),"")</f>
        <v/>
      </c>
      <c r="G277" s="30" t="n"/>
      <c r="H277" s="27" t="n"/>
    </row>
    <row r="278" ht="20" customHeight="1">
      <c r="A278" s="26" t="n"/>
      <c r="B278" s="35">
        <f>IFERROR(IF(A278="","",VLOOKUP(A278,DATABASE!$A:$B,2,0)),"")</f>
        <v/>
      </c>
      <c r="C278" s="36">
        <f>IFERROR(IF(A278="","",VLOOKUP(A278,DATABASE!$A:$J,10,0)),"")</f>
        <v/>
      </c>
      <c r="D278" s="37">
        <f>IF(A278="","",TODAY())</f>
        <v/>
      </c>
      <c r="E278" s="29" t="n"/>
      <c r="F278" s="36">
        <f>IFERROR(IF(OR(A278="",E278=""),"",C278-E278),"")</f>
        <v/>
      </c>
      <c r="G278" s="30" t="n"/>
      <c r="H278" s="35" t="n"/>
    </row>
    <row r="279" ht="20" customHeight="1">
      <c r="A279" s="26" t="n"/>
      <c r="B279" s="27">
        <f>IFERROR(IF(A279="","",VLOOKUP(A279,DATABASE!$A:$B,2,0)),"")</f>
        <v/>
      </c>
      <c r="C279" s="20">
        <f>IFERROR(IF(A279="","",VLOOKUP(A279,DATABASE!$A:$J,10,0)),"")</f>
        <v/>
      </c>
      <c r="D279" s="28">
        <f>IF(A279="","",TODAY())</f>
        <v/>
      </c>
      <c r="E279" s="29" t="n"/>
      <c r="F279" s="20">
        <f>IFERROR(IF(OR(A279="",E279=""),"",C279-E279),"")</f>
        <v/>
      </c>
      <c r="G279" s="30" t="n"/>
      <c r="H279" s="27" t="n"/>
    </row>
    <row r="280" ht="20" customHeight="1">
      <c r="A280" s="26" t="n"/>
      <c r="B280" s="35">
        <f>IFERROR(IF(A280="","",VLOOKUP(A280,DATABASE!$A:$B,2,0)),"")</f>
        <v/>
      </c>
      <c r="C280" s="36">
        <f>IFERROR(IF(A280="","",VLOOKUP(A280,DATABASE!$A:$J,10,0)),"")</f>
        <v/>
      </c>
      <c r="D280" s="37">
        <f>IF(A280="","",TODAY())</f>
        <v/>
      </c>
      <c r="E280" s="29" t="n"/>
      <c r="F280" s="36">
        <f>IFERROR(IF(OR(A280="",E280=""),"",C280-E280),"")</f>
        <v/>
      </c>
      <c r="G280" s="30" t="n"/>
      <c r="H280" s="35" t="n"/>
    </row>
    <row r="281" ht="20" customHeight="1">
      <c r="A281" s="26" t="n"/>
      <c r="B281" s="27">
        <f>IFERROR(IF(A281="","",VLOOKUP(A281,DATABASE!$A:$B,2,0)),"")</f>
        <v/>
      </c>
      <c r="C281" s="20">
        <f>IFERROR(IF(A281="","",VLOOKUP(A281,DATABASE!$A:$J,10,0)),"")</f>
        <v/>
      </c>
      <c r="D281" s="28">
        <f>IF(A281="","",TODAY())</f>
        <v/>
      </c>
      <c r="E281" s="29" t="n"/>
      <c r="F281" s="20">
        <f>IFERROR(IF(OR(A281="",E281=""),"",C281-E281),"")</f>
        <v/>
      </c>
      <c r="G281" s="30" t="n"/>
      <c r="H281" s="27" t="n"/>
    </row>
    <row r="282" ht="20" customHeight="1">
      <c r="A282" s="26" t="n"/>
      <c r="B282" s="35">
        <f>IFERROR(IF(A282="","",VLOOKUP(A282,DATABASE!$A:$B,2,0)),"")</f>
        <v/>
      </c>
      <c r="C282" s="36">
        <f>IFERROR(IF(A282="","",VLOOKUP(A282,DATABASE!$A:$J,10,0)),"")</f>
        <v/>
      </c>
      <c r="D282" s="37">
        <f>IF(A282="","",TODAY())</f>
        <v/>
      </c>
      <c r="E282" s="29" t="n"/>
      <c r="F282" s="36">
        <f>IFERROR(IF(OR(A282="",E282=""),"",C282-E282),"")</f>
        <v/>
      </c>
      <c r="G282" s="30" t="n"/>
      <c r="H282" s="35" t="n"/>
    </row>
    <row r="283" ht="20" customHeight="1">
      <c r="A283" s="26" t="n"/>
      <c r="B283" s="27">
        <f>IFERROR(IF(A283="","",VLOOKUP(A283,DATABASE!$A:$B,2,0)),"")</f>
        <v/>
      </c>
      <c r="C283" s="20">
        <f>IFERROR(IF(A283="","",VLOOKUP(A283,DATABASE!$A:$J,10,0)),"")</f>
        <v/>
      </c>
      <c r="D283" s="28">
        <f>IF(A283="","",TODAY())</f>
        <v/>
      </c>
      <c r="E283" s="29" t="n"/>
      <c r="F283" s="20">
        <f>IFERROR(IF(OR(A283="",E283=""),"",C283-E283),"")</f>
        <v/>
      </c>
      <c r="G283" s="30" t="n"/>
      <c r="H283" s="27" t="n"/>
    </row>
    <row r="284" ht="20" customHeight="1">
      <c r="A284" s="26" t="n"/>
      <c r="B284" s="35">
        <f>IFERROR(IF(A284="","",VLOOKUP(A284,DATABASE!$A:$B,2,0)),"")</f>
        <v/>
      </c>
      <c r="C284" s="36">
        <f>IFERROR(IF(A284="","",VLOOKUP(A284,DATABASE!$A:$J,10,0)),"")</f>
        <v/>
      </c>
      <c r="D284" s="37">
        <f>IF(A284="","",TODAY())</f>
        <v/>
      </c>
      <c r="E284" s="29" t="n"/>
      <c r="F284" s="36">
        <f>IFERROR(IF(OR(A284="",E284=""),"",C284-E284),"")</f>
        <v/>
      </c>
      <c r="G284" s="30" t="n"/>
      <c r="H284" s="35" t="n"/>
    </row>
    <row r="285" ht="20" customHeight="1">
      <c r="A285" s="26" t="n"/>
      <c r="B285" s="27">
        <f>IFERROR(IF(A285="","",VLOOKUP(A285,DATABASE!$A:$B,2,0)),"")</f>
        <v/>
      </c>
      <c r="C285" s="20">
        <f>IFERROR(IF(A285="","",VLOOKUP(A285,DATABASE!$A:$J,10,0)),"")</f>
        <v/>
      </c>
      <c r="D285" s="28">
        <f>IF(A285="","",TODAY())</f>
        <v/>
      </c>
      <c r="E285" s="29" t="n"/>
      <c r="F285" s="20">
        <f>IFERROR(IF(OR(A285="",E285=""),"",C285-E285),"")</f>
        <v/>
      </c>
      <c r="G285" s="30" t="n"/>
      <c r="H285" s="27" t="n"/>
    </row>
    <row r="286" ht="20" customHeight="1">
      <c r="A286" s="26" t="n"/>
      <c r="B286" s="35">
        <f>IFERROR(IF(A286="","",VLOOKUP(A286,DATABASE!$A:$B,2,0)),"")</f>
        <v/>
      </c>
      <c r="C286" s="36">
        <f>IFERROR(IF(A286="","",VLOOKUP(A286,DATABASE!$A:$J,10,0)),"")</f>
        <v/>
      </c>
      <c r="D286" s="37">
        <f>IF(A286="","",TODAY())</f>
        <v/>
      </c>
      <c r="E286" s="29" t="n"/>
      <c r="F286" s="36">
        <f>IFERROR(IF(OR(A286="",E286=""),"",C286-E286),"")</f>
        <v/>
      </c>
      <c r="G286" s="30" t="n"/>
      <c r="H286" s="35" t="n"/>
    </row>
    <row r="287" ht="20" customHeight="1">
      <c r="A287" s="26" t="n"/>
      <c r="B287" s="27">
        <f>IFERROR(IF(A287="","",VLOOKUP(A287,DATABASE!$A:$B,2,0)),"")</f>
        <v/>
      </c>
      <c r="C287" s="20">
        <f>IFERROR(IF(A287="","",VLOOKUP(A287,DATABASE!$A:$J,10,0)),"")</f>
        <v/>
      </c>
      <c r="D287" s="28">
        <f>IF(A287="","",TODAY())</f>
        <v/>
      </c>
      <c r="E287" s="29" t="n"/>
      <c r="F287" s="20">
        <f>IFERROR(IF(OR(A287="",E287=""),"",C287-E287),"")</f>
        <v/>
      </c>
      <c r="G287" s="30" t="n"/>
      <c r="H287" s="27" t="n"/>
    </row>
    <row r="288" ht="20" customHeight="1">
      <c r="A288" s="26" t="n"/>
      <c r="B288" s="35">
        <f>IFERROR(IF(A288="","",VLOOKUP(A288,DATABASE!$A:$B,2,0)),"")</f>
        <v/>
      </c>
      <c r="C288" s="36">
        <f>IFERROR(IF(A288="","",VLOOKUP(A288,DATABASE!$A:$J,10,0)),"")</f>
        <v/>
      </c>
      <c r="D288" s="37">
        <f>IF(A288="","",TODAY())</f>
        <v/>
      </c>
      <c r="E288" s="29" t="n"/>
      <c r="F288" s="36">
        <f>IFERROR(IF(OR(A288="",E288=""),"",C288-E288),"")</f>
        <v/>
      </c>
      <c r="G288" s="30" t="n"/>
      <c r="H288" s="35" t="n"/>
    </row>
    <row r="289" ht="20" customHeight="1">
      <c r="A289" s="26" t="n"/>
      <c r="B289" s="27">
        <f>IFERROR(IF(A289="","",VLOOKUP(A289,DATABASE!$A:$B,2,0)),"")</f>
        <v/>
      </c>
      <c r="C289" s="20">
        <f>IFERROR(IF(A289="","",VLOOKUP(A289,DATABASE!$A:$J,10,0)),"")</f>
        <v/>
      </c>
      <c r="D289" s="28">
        <f>IF(A289="","",TODAY())</f>
        <v/>
      </c>
      <c r="E289" s="29" t="n"/>
      <c r="F289" s="20">
        <f>IFERROR(IF(OR(A289="",E289=""),"",C289-E289),"")</f>
        <v/>
      </c>
      <c r="G289" s="30" t="n"/>
      <c r="H289" s="27" t="n"/>
    </row>
    <row r="290" ht="20" customHeight="1">
      <c r="A290" s="26" t="n"/>
      <c r="B290" s="35">
        <f>IFERROR(IF(A290="","",VLOOKUP(A290,DATABASE!$A:$B,2,0)),"")</f>
        <v/>
      </c>
      <c r="C290" s="36">
        <f>IFERROR(IF(A290="","",VLOOKUP(A290,DATABASE!$A:$J,10,0)),"")</f>
        <v/>
      </c>
      <c r="D290" s="37">
        <f>IF(A290="","",TODAY())</f>
        <v/>
      </c>
      <c r="E290" s="29" t="n"/>
      <c r="F290" s="36">
        <f>IFERROR(IF(OR(A290="",E290=""),"",C290-E290),"")</f>
        <v/>
      </c>
      <c r="G290" s="30" t="n"/>
      <c r="H290" s="35" t="n"/>
    </row>
    <row r="291" ht="20" customHeight="1">
      <c r="A291" s="26" t="n"/>
      <c r="B291" s="27">
        <f>IFERROR(IF(A291="","",VLOOKUP(A291,DATABASE!$A:$B,2,0)),"")</f>
        <v/>
      </c>
      <c r="C291" s="20">
        <f>IFERROR(IF(A291="","",VLOOKUP(A291,DATABASE!$A:$J,10,0)),"")</f>
        <v/>
      </c>
      <c r="D291" s="28">
        <f>IF(A291="","",TODAY())</f>
        <v/>
      </c>
      <c r="E291" s="29" t="n"/>
      <c r="F291" s="20">
        <f>IFERROR(IF(OR(A291="",E291=""),"",C291-E291),"")</f>
        <v/>
      </c>
      <c r="G291" s="30" t="n"/>
      <c r="H291" s="27" t="n"/>
    </row>
    <row r="292" ht="20" customHeight="1">
      <c r="A292" s="26" t="n"/>
      <c r="B292" s="35">
        <f>IFERROR(IF(A292="","",VLOOKUP(A292,DATABASE!$A:$B,2,0)),"")</f>
        <v/>
      </c>
      <c r="C292" s="36">
        <f>IFERROR(IF(A292="","",VLOOKUP(A292,DATABASE!$A:$J,10,0)),"")</f>
        <v/>
      </c>
      <c r="D292" s="37">
        <f>IF(A292="","",TODAY())</f>
        <v/>
      </c>
      <c r="E292" s="29" t="n"/>
      <c r="F292" s="36">
        <f>IFERROR(IF(OR(A292="",E292=""),"",C292-E292),"")</f>
        <v/>
      </c>
      <c r="G292" s="30" t="n"/>
      <c r="H292" s="35" t="n"/>
    </row>
    <row r="293" ht="20" customHeight="1">
      <c r="A293" s="26" t="n"/>
      <c r="B293" s="27">
        <f>IFERROR(IF(A293="","",VLOOKUP(A293,DATABASE!$A:$B,2,0)),"")</f>
        <v/>
      </c>
      <c r="C293" s="20">
        <f>IFERROR(IF(A293="","",VLOOKUP(A293,DATABASE!$A:$J,10,0)),"")</f>
        <v/>
      </c>
      <c r="D293" s="28">
        <f>IF(A293="","",TODAY())</f>
        <v/>
      </c>
      <c r="E293" s="29" t="n"/>
      <c r="F293" s="20">
        <f>IFERROR(IF(OR(A293="",E293=""),"",C293-E293),"")</f>
        <v/>
      </c>
      <c r="G293" s="30" t="n"/>
      <c r="H293" s="27" t="n"/>
    </row>
    <row r="294" ht="20" customHeight="1">
      <c r="A294" s="26" t="n"/>
      <c r="B294" s="35">
        <f>IFERROR(IF(A294="","",VLOOKUP(A294,DATABASE!$A:$B,2,0)),"")</f>
        <v/>
      </c>
      <c r="C294" s="36">
        <f>IFERROR(IF(A294="","",VLOOKUP(A294,DATABASE!$A:$J,10,0)),"")</f>
        <v/>
      </c>
      <c r="D294" s="37">
        <f>IF(A294="","",TODAY())</f>
        <v/>
      </c>
      <c r="E294" s="29" t="n"/>
      <c r="F294" s="36">
        <f>IFERROR(IF(OR(A294="",E294=""),"",C294-E294),"")</f>
        <v/>
      </c>
      <c r="G294" s="30" t="n"/>
      <c r="H294" s="35" t="n"/>
    </row>
    <row r="295" ht="20" customHeight="1">
      <c r="A295" s="26" t="n"/>
      <c r="B295" s="27">
        <f>IFERROR(IF(A295="","",VLOOKUP(A295,DATABASE!$A:$B,2,0)),"")</f>
        <v/>
      </c>
      <c r="C295" s="20">
        <f>IFERROR(IF(A295="","",VLOOKUP(A295,DATABASE!$A:$J,10,0)),"")</f>
        <v/>
      </c>
      <c r="D295" s="28">
        <f>IF(A295="","",TODAY())</f>
        <v/>
      </c>
      <c r="E295" s="29" t="n"/>
      <c r="F295" s="20">
        <f>IFERROR(IF(OR(A295="",E295=""),"",C295-E295),"")</f>
        <v/>
      </c>
      <c r="G295" s="30" t="n"/>
      <c r="H295" s="27" t="n"/>
    </row>
    <row r="296" ht="20" customHeight="1">
      <c r="A296" s="26" t="n"/>
      <c r="B296" s="35">
        <f>IFERROR(IF(A296="","",VLOOKUP(A296,DATABASE!$A:$B,2,0)),"")</f>
        <v/>
      </c>
      <c r="C296" s="36">
        <f>IFERROR(IF(A296="","",VLOOKUP(A296,DATABASE!$A:$J,10,0)),"")</f>
        <v/>
      </c>
      <c r="D296" s="37">
        <f>IF(A296="","",TODAY())</f>
        <v/>
      </c>
      <c r="E296" s="29" t="n"/>
      <c r="F296" s="36">
        <f>IFERROR(IF(OR(A296="",E296=""),"",C296-E296),"")</f>
        <v/>
      </c>
      <c r="G296" s="30" t="n"/>
      <c r="H296" s="35" t="n"/>
    </row>
    <row r="297" ht="20" customHeight="1">
      <c r="A297" s="26" t="n"/>
      <c r="B297" s="27">
        <f>IFERROR(IF(A297="","",VLOOKUP(A297,DATABASE!$A:$B,2,0)),"")</f>
        <v/>
      </c>
      <c r="C297" s="20">
        <f>IFERROR(IF(A297="","",VLOOKUP(A297,DATABASE!$A:$J,10,0)),"")</f>
        <v/>
      </c>
      <c r="D297" s="28">
        <f>IF(A297="","",TODAY())</f>
        <v/>
      </c>
      <c r="E297" s="29" t="n"/>
      <c r="F297" s="20">
        <f>IFERROR(IF(OR(A297="",E297=""),"",C297-E297),"")</f>
        <v/>
      </c>
      <c r="G297" s="30" t="n"/>
      <c r="H297" s="27" t="n"/>
    </row>
    <row r="298" ht="20" customHeight="1">
      <c r="A298" s="26" t="n"/>
      <c r="B298" s="35">
        <f>IFERROR(IF(A298="","",VLOOKUP(A298,DATABASE!$A:$B,2,0)),"")</f>
        <v/>
      </c>
      <c r="C298" s="36">
        <f>IFERROR(IF(A298="","",VLOOKUP(A298,DATABASE!$A:$J,10,0)),"")</f>
        <v/>
      </c>
      <c r="D298" s="37">
        <f>IF(A298="","",TODAY())</f>
        <v/>
      </c>
      <c r="E298" s="29" t="n"/>
      <c r="F298" s="36">
        <f>IFERROR(IF(OR(A298="",E298=""),"",C298-E298),"")</f>
        <v/>
      </c>
      <c r="G298" s="30" t="n"/>
      <c r="H298" s="35" t="n"/>
    </row>
    <row r="299" ht="20" customHeight="1">
      <c r="A299" s="26" t="n"/>
      <c r="B299" s="27">
        <f>IFERROR(IF(A299="","",VLOOKUP(A299,DATABASE!$A:$B,2,0)),"")</f>
        <v/>
      </c>
      <c r="C299" s="20">
        <f>IFERROR(IF(A299="","",VLOOKUP(A299,DATABASE!$A:$J,10,0)),"")</f>
        <v/>
      </c>
      <c r="D299" s="28">
        <f>IF(A299="","",TODAY())</f>
        <v/>
      </c>
      <c r="E299" s="29" t="n"/>
      <c r="F299" s="20">
        <f>IFERROR(IF(OR(A299="",E299=""),"",C299-E299),"")</f>
        <v/>
      </c>
      <c r="G299" s="30" t="n"/>
      <c r="H299" s="27" t="n"/>
    </row>
    <row r="300" ht="20" customHeight="1">
      <c r="A300" s="26" t="n"/>
      <c r="B300" s="35">
        <f>IFERROR(IF(A300="","",VLOOKUP(A300,DATABASE!$A:$B,2,0)),"")</f>
        <v/>
      </c>
      <c r="C300" s="36">
        <f>IFERROR(IF(A300="","",VLOOKUP(A300,DATABASE!$A:$J,10,0)),"")</f>
        <v/>
      </c>
      <c r="D300" s="37">
        <f>IF(A300="","",TODAY())</f>
        <v/>
      </c>
      <c r="E300" s="29" t="n"/>
      <c r="F300" s="36">
        <f>IFERROR(IF(OR(A300="",E300=""),"",C300-E300),"")</f>
        <v/>
      </c>
      <c r="G300" s="30" t="n"/>
      <c r="H300" s="35" t="n"/>
    </row>
    <row r="301" ht="20" customHeight="1">
      <c r="A301" s="26" t="n"/>
      <c r="B301" s="27">
        <f>IFERROR(IF(A301="","",VLOOKUP(A301,DATABASE!$A:$B,2,0)),"")</f>
        <v/>
      </c>
      <c r="C301" s="20">
        <f>IFERROR(IF(A301="","",VLOOKUP(A301,DATABASE!$A:$J,10,0)),"")</f>
        <v/>
      </c>
      <c r="D301" s="28">
        <f>IF(A301="","",TODAY())</f>
        <v/>
      </c>
      <c r="E301" s="29" t="n"/>
      <c r="F301" s="20">
        <f>IFERROR(IF(OR(A301="",E301=""),"",C301-E301),"")</f>
        <v/>
      </c>
      <c r="G301" s="30" t="n"/>
      <c r="H301" s="27" t="n"/>
    </row>
    <row r="302" ht="20" customHeight="1">
      <c r="A302" s="26" t="n"/>
      <c r="B302" s="35">
        <f>IFERROR(IF(A302="","",VLOOKUP(A302,DATABASE!$A:$B,2,0)),"")</f>
        <v/>
      </c>
      <c r="C302" s="36">
        <f>IFERROR(IF(A302="","",VLOOKUP(A302,DATABASE!$A:$J,10,0)),"")</f>
        <v/>
      </c>
      <c r="D302" s="37">
        <f>IF(A302="","",TODAY())</f>
        <v/>
      </c>
      <c r="E302" s="29" t="n"/>
      <c r="F302" s="36">
        <f>IFERROR(IF(OR(A302="",E302=""),"",C302-E302),"")</f>
        <v/>
      </c>
      <c r="G302" s="30" t="n"/>
      <c r="H302" s="35" t="n"/>
    </row>
    <row r="303" ht="20" customHeight="1">
      <c r="A303" s="26" t="n"/>
      <c r="B303" s="27">
        <f>IFERROR(IF(A303="","",VLOOKUP(A303,DATABASE!$A:$B,2,0)),"")</f>
        <v/>
      </c>
      <c r="C303" s="20">
        <f>IFERROR(IF(A303="","",VLOOKUP(A303,DATABASE!$A:$J,10,0)),"")</f>
        <v/>
      </c>
      <c r="D303" s="28">
        <f>IF(A303="","",TODAY())</f>
        <v/>
      </c>
      <c r="E303" s="29" t="n"/>
      <c r="F303" s="20">
        <f>IFERROR(IF(OR(A303="",E303=""),"",C303-E303),"")</f>
        <v/>
      </c>
      <c r="G303" s="30" t="n"/>
      <c r="H303" s="27" t="n"/>
    </row>
    <row r="304" ht="20" customHeight="1">
      <c r="A304" s="26" t="n"/>
      <c r="B304" s="35">
        <f>IFERROR(IF(A304="","",VLOOKUP(A304,DATABASE!$A:$B,2,0)),"")</f>
        <v/>
      </c>
      <c r="C304" s="36">
        <f>IFERROR(IF(A304="","",VLOOKUP(A304,DATABASE!$A:$J,10,0)),"")</f>
        <v/>
      </c>
      <c r="D304" s="37">
        <f>IF(A304="","",TODAY())</f>
        <v/>
      </c>
      <c r="E304" s="29" t="n"/>
      <c r="F304" s="36">
        <f>IFERROR(IF(OR(A304="",E304=""),"",C304-E304),"")</f>
        <v/>
      </c>
      <c r="G304" s="30" t="n"/>
      <c r="H304" s="35" t="n"/>
    </row>
    <row r="305" ht="20" customHeight="1">
      <c r="A305" s="26" t="n"/>
      <c r="B305" s="27">
        <f>IFERROR(IF(A305="","",VLOOKUP(A305,DATABASE!$A:$B,2,0)),"")</f>
        <v/>
      </c>
      <c r="C305" s="20">
        <f>IFERROR(IF(A305="","",VLOOKUP(A305,DATABASE!$A:$J,10,0)),"")</f>
        <v/>
      </c>
      <c r="D305" s="28">
        <f>IF(A305="","",TODAY())</f>
        <v/>
      </c>
      <c r="E305" s="29" t="n"/>
      <c r="F305" s="20">
        <f>IFERROR(IF(OR(A305="",E305=""),"",C305-E305),"")</f>
        <v/>
      </c>
      <c r="G305" s="30" t="n"/>
      <c r="H305" s="27" t="n"/>
    </row>
    <row r="306" ht="20" customHeight="1">
      <c r="A306" s="26" t="n"/>
      <c r="B306" s="35">
        <f>IFERROR(IF(A306="","",VLOOKUP(A306,DATABASE!$A:$B,2,0)),"")</f>
        <v/>
      </c>
      <c r="C306" s="36">
        <f>IFERROR(IF(A306="","",VLOOKUP(A306,DATABASE!$A:$J,10,0)),"")</f>
        <v/>
      </c>
      <c r="D306" s="37">
        <f>IF(A306="","",TODAY())</f>
        <v/>
      </c>
      <c r="E306" s="29" t="n"/>
      <c r="F306" s="36">
        <f>IFERROR(IF(OR(A306="",E306=""),"",C306-E306),"")</f>
        <v/>
      </c>
      <c r="G306" s="30" t="n"/>
      <c r="H306" s="35" t="n"/>
    </row>
    <row r="307" ht="20" customHeight="1">
      <c r="A307" s="26" t="n"/>
      <c r="B307" s="27">
        <f>IFERROR(IF(A307="","",VLOOKUP(A307,DATABASE!$A:$B,2,0)),"")</f>
        <v/>
      </c>
      <c r="C307" s="20">
        <f>IFERROR(IF(A307="","",VLOOKUP(A307,DATABASE!$A:$J,10,0)),"")</f>
        <v/>
      </c>
      <c r="D307" s="28">
        <f>IF(A307="","",TODAY())</f>
        <v/>
      </c>
      <c r="E307" s="29" t="n"/>
      <c r="F307" s="20">
        <f>IFERROR(IF(OR(A307="",E307=""),"",C307-E307),"")</f>
        <v/>
      </c>
      <c r="G307" s="30" t="n"/>
      <c r="H307" s="27" t="n"/>
    </row>
    <row r="308" ht="20" customHeight="1">
      <c r="A308" s="26" t="n"/>
      <c r="B308" s="35">
        <f>IFERROR(IF(A308="","",VLOOKUP(A308,DATABASE!$A:$B,2,0)),"")</f>
        <v/>
      </c>
      <c r="C308" s="36">
        <f>IFERROR(IF(A308="","",VLOOKUP(A308,DATABASE!$A:$J,10,0)),"")</f>
        <v/>
      </c>
      <c r="D308" s="37">
        <f>IF(A308="","",TODAY())</f>
        <v/>
      </c>
      <c r="E308" s="29" t="n"/>
      <c r="F308" s="36">
        <f>IFERROR(IF(OR(A308="",E308=""),"",C308-E308),"")</f>
        <v/>
      </c>
      <c r="G308" s="30" t="n"/>
      <c r="H308" s="35" t="n"/>
    </row>
    <row r="309" ht="20" customHeight="1">
      <c r="A309" s="26" t="n"/>
      <c r="B309" s="27">
        <f>IFERROR(IF(A309="","",VLOOKUP(A309,DATABASE!$A:$B,2,0)),"")</f>
        <v/>
      </c>
      <c r="C309" s="20">
        <f>IFERROR(IF(A309="","",VLOOKUP(A309,DATABASE!$A:$J,10,0)),"")</f>
        <v/>
      </c>
      <c r="D309" s="28">
        <f>IF(A309="","",TODAY())</f>
        <v/>
      </c>
      <c r="E309" s="29" t="n"/>
      <c r="F309" s="20">
        <f>IFERROR(IF(OR(A309="",E309=""),"",C309-E309),"")</f>
        <v/>
      </c>
      <c r="G309" s="30" t="n"/>
      <c r="H309" s="27" t="n"/>
    </row>
    <row r="310" ht="20" customHeight="1">
      <c r="A310" s="26" t="n"/>
      <c r="B310" s="35">
        <f>IFERROR(IF(A310="","",VLOOKUP(A310,DATABASE!$A:$B,2,0)),"")</f>
        <v/>
      </c>
      <c r="C310" s="36">
        <f>IFERROR(IF(A310="","",VLOOKUP(A310,DATABASE!$A:$J,10,0)),"")</f>
        <v/>
      </c>
      <c r="D310" s="37">
        <f>IF(A310="","",TODAY())</f>
        <v/>
      </c>
      <c r="E310" s="29" t="n"/>
      <c r="F310" s="36">
        <f>IFERROR(IF(OR(A310="",E310=""),"",C310-E310),"")</f>
        <v/>
      </c>
      <c r="G310" s="30" t="n"/>
      <c r="H310" s="35" t="n"/>
    </row>
    <row r="311" ht="20" customHeight="1">
      <c r="A311" s="26" t="n"/>
      <c r="B311" s="27">
        <f>IFERROR(IF(A311="","",VLOOKUP(A311,DATABASE!$A:$B,2,0)),"")</f>
        <v/>
      </c>
      <c r="C311" s="20">
        <f>IFERROR(IF(A311="","",VLOOKUP(A311,DATABASE!$A:$J,10,0)),"")</f>
        <v/>
      </c>
      <c r="D311" s="28">
        <f>IF(A311="","",TODAY())</f>
        <v/>
      </c>
      <c r="E311" s="29" t="n"/>
      <c r="F311" s="20">
        <f>IFERROR(IF(OR(A311="",E311=""),"",C311-E311),"")</f>
        <v/>
      </c>
      <c r="G311" s="30" t="n"/>
      <c r="H311" s="27" t="n"/>
    </row>
    <row r="312" ht="20" customHeight="1">
      <c r="A312" s="26" t="n"/>
      <c r="B312" s="35">
        <f>IFERROR(IF(A312="","",VLOOKUP(A312,DATABASE!$A:$B,2,0)),"")</f>
        <v/>
      </c>
      <c r="C312" s="36">
        <f>IFERROR(IF(A312="","",VLOOKUP(A312,DATABASE!$A:$J,10,0)),"")</f>
        <v/>
      </c>
      <c r="D312" s="37">
        <f>IF(A312="","",TODAY())</f>
        <v/>
      </c>
      <c r="E312" s="29" t="n"/>
      <c r="F312" s="36">
        <f>IFERROR(IF(OR(A312="",E312=""),"",C312-E312),"")</f>
        <v/>
      </c>
      <c r="G312" s="30" t="n"/>
      <c r="H312" s="35" t="n"/>
    </row>
    <row r="313" ht="20" customHeight="1">
      <c r="A313" s="26" t="n"/>
      <c r="B313" s="27">
        <f>IFERROR(IF(A313="","",VLOOKUP(A313,DATABASE!$A:$B,2,0)),"")</f>
        <v/>
      </c>
      <c r="C313" s="20">
        <f>IFERROR(IF(A313="","",VLOOKUP(A313,DATABASE!$A:$J,10,0)),"")</f>
        <v/>
      </c>
      <c r="D313" s="28">
        <f>IF(A313="","",TODAY())</f>
        <v/>
      </c>
      <c r="E313" s="29" t="n"/>
      <c r="F313" s="20">
        <f>IFERROR(IF(OR(A313="",E313=""),"",C313-E313),"")</f>
        <v/>
      </c>
      <c r="G313" s="30" t="n"/>
      <c r="H313" s="27" t="n"/>
    </row>
    <row r="314" ht="20" customHeight="1">
      <c r="A314" s="26" t="n"/>
      <c r="B314" s="35">
        <f>IFERROR(IF(A314="","",VLOOKUP(A314,DATABASE!$A:$B,2,0)),"")</f>
        <v/>
      </c>
      <c r="C314" s="36">
        <f>IFERROR(IF(A314="","",VLOOKUP(A314,DATABASE!$A:$J,10,0)),"")</f>
        <v/>
      </c>
      <c r="D314" s="37">
        <f>IF(A314="","",TODAY())</f>
        <v/>
      </c>
      <c r="E314" s="29" t="n"/>
      <c r="F314" s="36">
        <f>IFERROR(IF(OR(A314="",E314=""),"",C314-E314),"")</f>
        <v/>
      </c>
      <c r="G314" s="30" t="n"/>
      <c r="H314" s="35" t="n"/>
    </row>
    <row r="315" ht="20" customHeight="1">
      <c r="A315" s="26" t="n"/>
      <c r="B315" s="27">
        <f>IFERROR(IF(A315="","",VLOOKUP(A315,DATABASE!$A:$B,2,0)),"")</f>
        <v/>
      </c>
      <c r="C315" s="20">
        <f>IFERROR(IF(A315="","",VLOOKUP(A315,DATABASE!$A:$J,10,0)),"")</f>
        <v/>
      </c>
      <c r="D315" s="28">
        <f>IF(A315="","",TODAY())</f>
        <v/>
      </c>
      <c r="E315" s="29" t="n"/>
      <c r="F315" s="20">
        <f>IFERROR(IF(OR(A315="",E315=""),"",C315-E315),"")</f>
        <v/>
      </c>
      <c r="G315" s="30" t="n"/>
      <c r="H315" s="27" t="n"/>
    </row>
    <row r="316" ht="20" customHeight="1">
      <c r="A316" s="26" t="n"/>
      <c r="B316" s="35">
        <f>IFERROR(IF(A316="","",VLOOKUP(A316,DATABASE!$A:$B,2,0)),"")</f>
        <v/>
      </c>
      <c r="C316" s="36">
        <f>IFERROR(IF(A316="","",VLOOKUP(A316,DATABASE!$A:$J,10,0)),"")</f>
        <v/>
      </c>
      <c r="D316" s="37">
        <f>IF(A316="","",TODAY())</f>
        <v/>
      </c>
      <c r="E316" s="29" t="n"/>
      <c r="F316" s="36">
        <f>IFERROR(IF(OR(A316="",E316=""),"",C316-E316),"")</f>
        <v/>
      </c>
      <c r="G316" s="30" t="n"/>
      <c r="H316" s="35" t="n"/>
    </row>
    <row r="317" ht="20" customHeight="1">
      <c r="A317" s="26" t="n"/>
      <c r="B317" s="27">
        <f>IFERROR(IF(A317="","",VLOOKUP(A317,DATABASE!$A:$B,2,0)),"")</f>
        <v/>
      </c>
      <c r="C317" s="20">
        <f>IFERROR(IF(A317="","",VLOOKUP(A317,DATABASE!$A:$J,10,0)),"")</f>
        <v/>
      </c>
      <c r="D317" s="28">
        <f>IF(A317="","",TODAY())</f>
        <v/>
      </c>
      <c r="E317" s="29" t="n"/>
      <c r="F317" s="20">
        <f>IFERROR(IF(OR(A317="",E317=""),"",C317-E317),"")</f>
        <v/>
      </c>
      <c r="G317" s="30" t="n"/>
      <c r="H317" s="27" t="n"/>
    </row>
    <row r="318" ht="20" customHeight="1">
      <c r="A318" s="26" t="n"/>
      <c r="B318" s="35">
        <f>IFERROR(IF(A318="","",VLOOKUP(A318,DATABASE!$A:$B,2,0)),"")</f>
        <v/>
      </c>
      <c r="C318" s="36">
        <f>IFERROR(IF(A318="","",VLOOKUP(A318,DATABASE!$A:$J,10,0)),"")</f>
        <v/>
      </c>
      <c r="D318" s="37">
        <f>IF(A318="","",TODAY())</f>
        <v/>
      </c>
      <c r="E318" s="29" t="n"/>
      <c r="F318" s="36">
        <f>IFERROR(IF(OR(A318="",E318=""),"",C318-E318),"")</f>
        <v/>
      </c>
      <c r="G318" s="30" t="n"/>
      <c r="H318" s="35" t="n"/>
    </row>
    <row r="319" ht="20" customHeight="1">
      <c r="A319" s="26" t="n"/>
      <c r="B319" s="27">
        <f>IFERROR(IF(A319="","",VLOOKUP(A319,DATABASE!$A:$B,2,0)),"")</f>
        <v/>
      </c>
      <c r="C319" s="20">
        <f>IFERROR(IF(A319="","",VLOOKUP(A319,DATABASE!$A:$J,10,0)),"")</f>
        <v/>
      </c>
      <c r="D319" s="28">
        <f>IF(A319="","",TODAY())</f>
        <v/>
      </c>
      <c r="E319" s="29" t="n"/>
      <c r="F319" s="20">
        <f>IFERROR(IF(OR(A319="",E319=""),"",C319-E319),"")</f>
        <v/>
      </c>
      <c r="G319" s="30" t="n"/>
      <c r="H319" s="27" t="n"/>
    </row>
    <row r="320" ht="20" customHeight="1">
      <c r="A320" s="26" t="n"/>
      <c r="B320" s="35">
        <f>IFERROR(IF(A320="","",VLOOKUP(A320,DATABASE!$A:$B,2,0)),"")</f>
        <v/>
      </c>
      <c r="C320" s="36">
        <f>IFERROR(IF(A320="","",VLOOKUP(A320,DATABASE!$A:$J,10,0)),"")</f>
        <v/>
      </c>
      <c r="D320" s="37">
        <f>IF(A320="","",TODAY())</f>
        <v/>
      </c>
      <c r="E320" s="29" t="n"/>
      <c r="F320" s="36">
        <f>IFERROR(IF(OR(A320="",E320=""),"",C320-E320),"")</f>
        <v/>
      </c>
      <c r="G320" s="30" t="n"/>
      <c r="H320" s="35" t="n"/>
    </row>
    <row r="321" ht="20" customHeight="1">
      <c r="A321" s="26" t="n"/>
      <c r="B321" s="27">
        <f>IFERROR(IF(A321="","",VLOOKUP(A321,DATABASE!$A:$B,2,0)),"")</f>
        <v/>
      </c>
      <c r="C321" s="20">
        <f>IFERROR(IF(A321="","",VLOOKUP(A321,DATABASE!$A:$J,10,0)),"")</f>
        <v/>
      </c>
      <c r="D321" s="28">
        <f>IF(A321="","",TODAY())</f>
        <v/>
      </c>
      <c r="E321" s="29" t="n"/>
      <c r="F321" s="20">
        <f>IFERROR(IF(OR(A321="",E321=""),"",C321-E321),"")</f>
        <v/>
      </c>
      <c r="G321" s="30" t="n"/>
      <c r="H321" s="27" t="n"/>
    </row>
    <row r="322" ht="20" customHeight="1">
      <c r="A322" s="26" t="n"/>
      <c r="B322" s="35">
        <f>IFERROR(IF(A322="","",VLOOKUP(A322,DATABASE!$A:$B,2,0)),"")</f>
        <v/>
      </c>
      <c r="C322" s="36">
        <f>IFERROR(IF(A322="","",VLOOKUP(A322,DATABASE!$A:$J,10,0)),"")</f>
        <v/>
      </c>
      <c r="D322" s="37">
        <f>IF(A322="","",TODAY())</f>
        <v/>
      </c>
      <c r="E322" s="29" t="n"/>
      <c r="F322" s="36">
        <f>IFERROR(IF(OR(A322="",E322=""),"",C322-E322),"")</f>
        <v/>
      </c>
      <c r="G322" s="30" t="n"/>
      <c r="H322" s="35" t="n"/>
    </row>
    <row r="323" ht="20" customHeight="1">
      <c r="A323" s="26" t="n"/>
      <c r="B323" s="27">
        <f>IFERROR(IF(A323="","",VLOOKUP(A323,DATABASE!$A:$B,2,0)),"")</f>
        <v/>
      </c>
      <c r="C323" s="20">
        <f>IFERROR(IF(A323="","",VLOOKUP(A323,DATABASE!$A:$J,10,0)),"")</f>
        <v/>
      </c>
      <c r="D323" s="28">
        <f>IF(A323="","",TODAY())</f>
        <v/>
      </c>
      <c r="E323" s="29" t="n"/>
      <c r="F323" s="20">
        <f>IFERROR(IF(OR(A323="",E323=""),"",C323-E323),"")</f>
        <v/>
      </c>
      <c r="G323" s="30" t="n"/>
      <c r="H323" s="27" t="n"/>
    </row>
    <row r="324" ht="20" customHeight="1">
      <c r="A324" s="26" t="n"/>
      <c r="B324" s="35">
        <f>IFERROR(IF(A324="","",VLOOKUP(A324,DATABASE!$A:$B,2,0)),"")</f>
        <v/>
      </c>
      <c r="C324" s="36">
        <f>IFERROR(IF(A324="","",VLOOKUP(A324,DATABASE!$A:$J,10,0)),"")</f>
        <v/>
      </c>
      <c r="D324" s="37">
        <f>IF(A324="","",TODAY())</f>
        <v/>
      </c>
      <c r="E324" s="29" t="n"/>
      <c r="F324" s="36">
        <f>IFERROR(IF(OR(A324="",E324=""),"",C324-E324),"")</f>
        <v/>
      </c>
      <c r="G324" s="30" t="n"/>
      <c r="H324" s="35" t="n"/>
    </row>
    <row r="325" ht="20" customHeight="1">
      <c r="A325" s="26" t="n"/>
      <c r="B325" s="27">
        <f>IFERROR(IF(A325="","",VLOOKUP(A325,DATABASE!$A:$B,2,0)),"")</f>
        <v/>
      </c>
      <c r="C325" s="20">
        <f>IFERROR(IF(A325="","",VLOOKUP(A325,DATABASE!$A:$J,10,0)),"")</f>
        <v/>
      </c>
      <c r="D325" s="28">
        <f>IF(A325="","",TODAY())</f>
        <v/>
      </c>
      <c r="E325" s="29" t="n"/>
      <c r="F325" s="20">
        <f>IFERROR(IF(OR(A325="",E325=""),"",C325-E325),"")</f>
        <v/>
      </c>
      <c r="G325" s="30" t="n"/>
      <c r="H325" s="27" t="n"/>
    </row>
    <row r="326" ht="20" customHeight="1">
      <c r="A326" s="26" t="n"/>
      <c r="B326" s="35">
        <f>IFERROR(IF(A326="","",VLOOKUP(A326,DATABASE!$A:$B,2,0)),"")</f>
        <v/>
      </c>
      <c r="C326" s="36">
        <f>IFERROR(IF(A326="","",VLOOKUP(A326,DATABASE!$A:$J,10,0)),"")</f>
        <v/>
      </c>
      <c r="D326" s="37">
        <f>IF(A326="","",TODAY())</f>
        <v/>
      </c>
      <c r="E326" s="29" t="n"/>
      <c r="F326" s="36">
        <f>IFERROR(IF(OR(A326="",E326=""),"",C326-E326),"")</f>
        <v/>
      </c>
      <c r="G326" s="30" t="n"/>
      <c r="H326" s="35" t="n"/>
    </row>
    <row r="327" ht="20" customHeight="1">
      <c r="A327" s="26" t="n"/>
      <c r="B327" s="27">
        <f>IFERROR(IF(A327="","",VLOOKUP(A327,DATABASE!$A:$B,2,0)),"")</f>
        <v/>
      </c>
      <c r="C327" s="20">
        <f>IFERROR(IF(A327="","",VLOOKUP(A327,DATABASE!$A:$J,10,0)),"")</f>
        <v/>
      </c>
      <c r="D327" s="28">
        <f>IF(A327="","",TODAY())</f>
        <v/>
      </c>
      <c r="E327" s="29" t="n"/>
      <c r="F327" s="20">
        <f>IFERROR(IF(OR(A327="",E327=""),"",C327-E327),"")</f>
        <v/>
      </c>
      <c r="G327" s="30" t="n"/>
      <c r="H327" s="27" t="n"/>
    </row>
    <row r="328" ht="20" customHeight="1">
      <c r="A328" s="26" t="n"/>
      <c r="B328" s="35">
        <f>IFERROR(IF(A328="","",VLOOKUP(A328,DATABASE!$A:$B,2,0)),"")</f>
        <v/>
      </c>
      <c r="C328" s="36">
        <f>IFERROR(IF(A328="","",VLOOKUP(A328,DATABASE!$A:$J,10,0)),"")</f>
        <v/>
      </c>
      <c r="D328" s="37">
        <f>IF(A328="","",TODAY())</f>
        <v/>
      </c>
      <c r="E328" s="29" t="n"/>
      <c r="F328" s="36">
        <f>IFERROR(IF(OR(A328="",E328=""),"",C328-E328),"")</f>
        <v/>
      </c>
      <c r="G328" s="30" t="n"/>
      <c r="H328" s="35" t="n"/>
    </row>
    <row r="329" ht="20" customHeight="1">
      <c r="A329" s="26" t="n"/>
      <c r="B329" s="27">
        <f>IFERROR(IF(A329="","",VLOOKUP(A329,DATABASE!$A:$B,2,0)),"")</f>
        <v/>
      </c>
      <c r="C329" s="20">
        <f>IFERROR(IF(A329="","",VLOOKUP(A329,DATABASE!$A:$J,10,0)),"")</f>
        <v/>
      </c>
      <c r="D329" s="28">
        <f>IF(A329="","",TODAY())</f>
        <v/>
      </c>
      <c r="E329" s="29" t="n"/>
      <c r="F329" s="20">
        <f>IFERROR(IF(OR(A329="",E329=""),"",C329-E329),"")</f>
        <v/>
      </c>
      <c r="G329" s="30" t="n"/>
      <c r="H329" s="27" t="n"/>
    </row>
    <row r="330" ht="20" customHeight="1">
      <c r="A330" s="26" t="n"/>
      <c r="B330" s="35">
        <f>IFERROR(IF(A330="","",VLOOKUP(A330,DATABASE!$A:$B,2,0)),"")</f>
        <v/>
      </c>
      <c r="C330" s="36">
        <f>IFERROR(IF(A330="","",VLOOKUP(A330,DATABASE!$A:$J,10,0)),"")</f>
        <v/>
      </c>
      <c r="D330" s="37">
        <f>IF(A330="","",TODAY())</f>
        <v/>
      </c>
      <c r="E330" s="29" t="n"/>
      <c r="F330" s="36">
        <f>IFERROR(IF(OR(A330="",E330=""),"",C330-E330),"")</f>
        <v/>
      </c>
      <c r="G330" s="30" t="n"/>
      <c r="H330" s="35" t="n"/>
    </row>
    <row r="331" ht="20" customHeight="1">
      <c r="A331" s="26" t="n"/>
      <c r="B331" s="27">
        <f>IFERROR(IF(A331="","",VLOOKUP(A331,DATABASE!$A:$B,2,0)),"")</f>
        <v/>
      </c>
      <c r="C331" s="20">
        <f>IFERROR(IF(A331="","",VLOOKUP(A331,DATABASE!$A:$J,10,0)),"")</f>
        <v/>
      </c>
      <c r="D331" s="28">
        <f>IF(A331="","",TODAY())</f>
        <v/>
      </c>
      <c r="E331" s="29" t="n"/>
      <c r="F331" s="20">
        <f>IFERROR(IF(OR(A331="",E331=""),"",C331-E331),"")</f>
        <v/>
      </c>
      <c r="G331" s="30" t="n"/>
      <c r="H331" s="27" t="n"/>
    </row>
    <row r="332" ht="20" customHeight="1">
      <c r="A332" s="26" t="n"/>
      <c r="B332" s="35">
        <f>IFERROR(IF(A332="","",VLOOKUP(A332,DATABASE!$A:$B,2,0)),"")</f>
        <v/>
      </c>
      <c r="C332" s="36">
        <f>IFERROR(IF(A332="","",VLOOKUP(A332,DATABASE!$A:$J,10,0)),"")</f>
        <v/>
      </c>
      <c r="D332" s="37">
        <f>IF(A332="","",TODAY())</f>
        <v/>
      </c>
      <c r="E332" s="29" t="n"/>
      <c r="F332" s="36">
        <f>IFERROR(IF(OR(A332="",E332=""),"",C332-E332),"")</f>
        <v/>
      </c>
      <c r="G332" s="30" t="n"/>
      <c r="H332" s="35" t="n"/>
    </row>
    <row r="333" ht="20" customHeight="1">
      <c r="A333" s="26" t="n"/>
      <c r="B333" s="27">
        <f>IFERROR(IF(A333="","",VLOOKUP(A333,DATABASE!$A:$B,2,0)),"")</f>
        <v/>
      </c>
      <c r="C333" s="20">
        <f>IFERROR(IF(A333="","",VLOOKUP(A333,DATABASE!$A:$J,10,0)),"")</f>
        <v/>
      </c>
      <c r="D333" s="28">
        <f>IF(A333="","",TODAY())</f>
        <v/>
      </c>
      <c r="E333" s="29" t="n"/>
      <c r="F333" s="20">
        <f>IFERROR(IF(OR(A333="",E333=""),"",C333-E333),"")</f>
        <v/>
      </c>
      <c r="G333" s="30" t="n"/>
      <c r="H333" s="27" t="n"/>
    </row>
    <row r="334" ht="20" customHeight="1">
      <c r="A334" s="26" t="n"/>
      <c r="B334" s="35">
        <f>IFERROR(IF(A334="","",VLOOKUP(A334,DATABASE!$A:$B,2,0)),"")</f>
        <v/>
      </c>
      <c r="C334" s="36">
        <f>IFERROR(IF(A334="","",VLOOKUP(A334,DATABASE!$A:$J,10,0)),"")</f>
        <v/>
      </c>
      <c r="D334" s="37">
        <f>IF(A334="","",TODAY())</f>
        <v/>
      </c>
      <c r="E334" s="29" t="n"/>
      <c r="F334" s="36">
        <f>IFERROR(IF(OR(A334="",E334=""),"",C334-E334),"")</f>
        <v/>
      </c>
      <c r="G334" s="30" t="n"/>
      <c r="H334" s="35" t="n"/>
    </row>
    <row r="335" ht="20" customHeight="1">
      <c r="A335" s="26" t="n"/>
      <c r="B335" s="27">
        <f>IFERROR(IF(A335="","",VLOOKUP(A335,DATABASE!$A:$B,2,0)),"")</f>
        <v/>
      </c>
      <c r="C335" s="20">
        <f>IFERROR(IF(A335="","",VLOOKUP(A335,DATABASE!$A:$J,10,0)),"")</f>
        <v/>
      </c>
      <c r="D335" s="28">
        <f>IF(A335="","",TODAY())</f>
        <v/>
      </c>
      <c r="E335" s="29" t="n"/>
      <c r="F335" s="20">
        <f>IFERROR(IF(OR(A335="",E335=""),"",C335-E335),"")</f>
        <v/>
      </c>
      <c r="G335" s="30" t="n"/>
      <c r="H335" s="27" t="n"/>
    </row>
    <row r="336" ht="20" customHeight="1">
      <c r="A336" s="26" t="n"/>
      <c r="B336" s="35">
        <f>IFERROR(IF(A336="","",VLOOKUP(A336,DATABASE!$A:$B,2,0)),"")</f>
        <v/>
      </c>
      <c r="C336" s="36">
        <f>IFERROR(IF(A336="","",VLOOKUP(A336,DATABASE!$A:$J,10,0)),"")</f>
        <v/>
      </c>
      <c r="D336" s="37">
        <f>IF(A336="","",TODAY())</f>
        <v/>
      </c>
      <c r="E336" s="29" t="n"/>
      <c r="F336" s="36">
        <f>IFERROR(IF(OR(A336="",E336=""),"",C336-E336),"")</f>
        <v/>
      </c>
      <c r="G336" s="30" t="n"/>
      <c r="H336" s="35" t="n"/>
    </row>
    <row r="337" ht="20" customHeight="1">
      <c r="A337" s="26" t="n"/>
      <c r="B337" s="27">
        <f>IFERROR(IF(A337="","",VLOOKUP(A337,DATABASE!$A:$B,2,0)),"")</f>
        <v/>
      </c>
      <c r="C337" s="20">
        <f>IFERROR(IF(A337="","",VLOOKUP(A337,DATABASE!$A:$J,10,0)),"")</f>
        <v/>
      </c>
      <c r="D337" s="28">
        <f>IF(A337="","",TODAY())</f>
        <v/>
      </c>
      <c r="E337" s="29" t="n"/>
      <c r="F337" s="20">
        <f>IFERROR(IF(OR(A337="",E337=""),"",C337-E337),"")</f>
        <v/>
      </c>
      <c r="G337" s="30" t="n"/>
      <c r="H337" s="27" t="n"/>
    </row>
    <row r="338" ht="20" customHeight="1">
      <c r="A338" s="26" t="n"/>
      <c r="B338" s="35">
        <f>IFERROR(IF(A338="","",VLOOKUP(A338,DATABASE!$A:$B,2,0)),"")</f>
        <v/>
      </c>
      <c r="C338" s="36">
        <f>IFERROR(IF(A338="","",VLOOKUP(A338,DATABASE!$A:$J,10,0)),"")</f>
        <v/>
      </c>
      <c r="D338" s="37">
        <f>IF(A338="","",TODAY())</f>
        <v/>
      </c>
      <c r="E338" s="29" t="n"/>
      <c r="F338" s="36">
        <f>IFERROR(IF(OR(A338="",E338=""),"",C338-E338),"")</f>
        <v/>
      </c>
      <c r="G338" s="30" t="n"/>
      <c r="H338" s="35" t="n"/>
    </row>
    <row r="339" ht="20" customHeight="1">
      <c r="A339" s="26" t="n"/>
      <c r="B339" s="27">
        <f>IFERROR(IF(A339="","",VLOOKUP(A339,DATABASE!$A:$B,2,0)),"")</f>
        <v/>
      </c>
      <c r="C339" s="20">
        <f>IFERROR(IF(A339="","",VLOOKUP(A339,DATABASE!$A:$J,10,0)),"")</f>
        <v/>
      </c>
      <c r="D339" s="28">
        <f>IF(A339="","",TODAY())</f>
        <v/>
      </c>
      <c r="E339" s="29" t="n"/>
      <c r="F339" s="20">
        <f>IFERROR(IF(OR(A339="",E339=""),"",C339-E339),"")</f>
        <v/>
      </c>
      <c r="G339" s="30" t="n"/>
      <c r="H339" s="27" t="n"/>
    </row>
    <row r="340" ht="20" customHeight="1">
      <c r="A340" s="26" t="n"/>
      <c r="B340" s="35">
        <f>IFERROR(IF(A340="","",VLOOKUP(A340,DATABASE!$A:$B,2,0)),"")</f>
        <v/>
      </c>
      <c r="C340" s="36">
        <f>IFERROR(IF(A340="","",VLOOKUP(A340,DATABASE!$A:$J,10,0)),"")</f>
        <v/>
      </c>
      <c r="D340" s="37">
        <f>IF(A340="","",TODAY())</f>
        <v/>
      </c>
      <c r="E340" s="29" t="n"/>
      <c r="F340" s="36">
        <f>IFERROR(IF(OR(A340="",E340=""),"",C340-E340),"")</f>
        <v/>
      </c>
      <c r="G340" s="30" t="n"/>
      <c r="H340" s="35" t="n"/>
    </row>
    <row r="341" ht="20" customHeight="1">
      <c r="A341" s="26" t="n"/>
      <c r="B341" s="27">
        <f>IFERROR(IF(A341="","",VLOOKUP(A341,DATABASE!$A:$B,2,0)),"")</f>
        <v/>
      </c>
      <c r="C341" s="20">
        <f>IFERROR(IF(A341="","",VLOOKUP(A341,DATABASE!$A:$J,10,0)),"")</f>
        <v/>
      </c>
      <c r="D341" s="28">
        <f>IF(A341="","",TODAY())</f>
        <v/>
      </c>
      <c r="E341" s="29" t="n"/>
      <c r="F341" s="20">
        <f>IFERROR(IF(OR(A341="",E341=""),"",C341-E341),"")</f>
        <v/>
      </c>
      <c r="G341" s="30" t="n"/>
      <c r="H341" s="27" t="n"/>
    </row>
    <row r="342" ht="20" customHeight="1">
      <c r="A342" s="26" t="n"/>
      <c r="B342" s="35">
        <f>IFERROR(IF(A342="","",VLOOKUP(A342,DATABASE!$A:$B,2,0)),"")</f>
        <v/>
      </c>
      <c r="C342" s="36">
        <f>IFERROR(IF(A342="","",VLOOKUP(A342,DATABASE!$A:$J,10,0)),"")</f>
        <v/>
      </c>
      <c r="D342" s="37">
        <f>IF(A342="","",TODAY())</f>
        <v/>
      </c>
      <c r="E342" s="29" t="n"/>
      <c r="F342" s="36">
        <f>IFERROR(IF(OR(A342="",E342=""),"",C342-E342),"")</f>
        <v/>
      </c>
      <c r="G342" s="30" t="n"/>
      <c r="H342" s="35" t="n"/>
    </row>
    <row r="343" ht="20" customHeight="1">
      <c r="A343" s="26" t="n"/>
      <c r="B343" s="27">
        <f>IFERROR(IF(A343="","",VLOOKUP(A343,DATABASE!$A:$B,2,0)),"")</f>
        <v/>
      </c>
      <c r="C343" s="20">
        <f>IFERROR(IF(A343="","",VLOOKUP(A343,DATABASE!$A:$J,10,0)),"")</f>
        <v/>
      </c>
      <c r="D343" s="28">
        <f>IF(A343="","",TODAY())</f>
        <v/>
      </c>
      <c r="E343" s="29" t="n"/>
      <c r="F343" s="20">
        <f>IFERROR(IF(OR(A343="",E343=""),"",C343-E343),"")</f>
        <v/>
      </c>
      <c r="G343" s="30" t="n"/>
      <c r="H343" s="27" t="n"/>
    </row>
    <row r="344" ht="20" customHeight="1">
      <c r="A344" s="26" t="n"/>
      <c r="B344" s="35">
        <f>IFERROR(IF(A344="","",VLOOKUP(A344,DATABASE!$A:$B,2,0)),"")</f>
        <v/>
      </c>
      <c r="C344" s="36">
        <f>IFERROR(IF(A344="","",VLOOKUP(A344,DATABASE!$A:$J,10,0)),"")</f>
        <v/>
      </c>
      <c r="D344" s="37">
        <f>IF(A344="","",TODAY())</f>
        <v/>
      </c>
      <c r="E344" s="29" t="n"/>
      <c r="F344" s="36">
        <f>IFERROR(IF(OR(A344="",E344=""),"",C344-E344),"")</f>
        <v/>
      </c>
      <c r="G344" s="30" t="n"/>
      <c r="H344" s="35" t="n"/>
    </row>
    <row r="345" ht="20" customHeight="1">
      <c r="A345" s="26" t="n"/>
      <c r="B345" s="27">
        <f>IFERROR(IF(A345="","",VLOOKUP(A345,DATABASE!$A:$B,2,0)),"")</f>
        <v/>
      </c>
      <c r="C345" s="20">
        <f>IFERROR(IF(A345="","",VLOOKUP(A345,DATABASE!$A:$J,10,0)),"")</f>
        <v/>
      </c>
      <c r="D345" s="28">
        <f>IF(A345="","",TODAY())</f>
        <v/>
      </c>
      <c r="E345" s="29" t="n"/>
      <c r="F345" s="20">
        <f>IFERROR(IF(OR(A345="",E345=""),"",C345-E345),"")</f>
        <v/>
      </c>
      <c r="G345" s="30" t="n"/>
      <c r="H345" s="27" t="n"/>
    </row>
    <row r="346" ht="20" customHeight="1">
      <c r="A346" s="26" t="n"/>
      <c r="B346" s="35">
        <f>IFERROR(IF(A346="","",VLOOKUP(A346,DATABASE!$A:$B,2,0)),"")</f>
        <v/>
      </c>
      <c r="C346" s="36">
        <f>IFERROR(IF(A346="","",VLOOKUP(A346,DATABASE!$A:$J,10,0)),"")</f>
        <v/>
      </c>
      <c r="D346" s="37">
        <f>IF(A346="","",TODAY())</f>
        <v/>
      </c>
      <c r="E346" s="29" t="n"/>
      <c r="F346" s="36">
        <f>IFERROR(IF(OR(A346="",E346=""),"",C346-E346),"")</f>
        <v/>
      </c>
      <c r="G346" s="30" t="n"/>
      <c r="H346" s="35" t="n"/>
    </row>
    <row r="347" ht="20" customHeight="1">
      <c r="A347" s="26" t="n"/>
      <c r="B347" s="27">
        <f>IFERROR(IF(A347="","",VLOOKUP(A347,DATABASE!$A:$B,2,0)),"")</f>
        <v/>
      </c>
      <c r="C347" s="20">
        <f>IFERROR(IF(A347="","",VLOOKUP(A347,DATABASE!$A:$J,10,0)),"")</f>
        <v/>
      </c>
      <c r="D347" s="28">
        <f>IF(A347="","",TODAY())</f>
        <v/>
      </c>
      <c r="E347" s="29" t="n"/>
      <c r="F347" s="20">
        <f>IFERROR(IF(OR(A347="",E347=""),"",C347-E347),"")</f>
        <v/>
      </c>
      <c r="G347" s="30" t="n"/>
      <c r="H347" s="27" t="n"/>
    </row>
    <row r="348" ht="20" customHeight="1">
      <c r="A348" s="26" t="n"/>
      <c r="B348" s="35">
        <f>IFERROR(IF(A348="","",VLOOKUP(A348,DATABASE!$A:$B,2,0)),"")</f>
        <v/>
      </c>
      <c r="C348" s="36">
        <f>IFERROR(IF(A348="","",VLOOKUP(A348,DATABASE!$A:$J,10,0)),"")</f>
        <v/>
      </c>
      <c r="D348" s="37">
        <f>IF(A348="","",TODAY())</f>
        <v/>
      </c>
      <c r="E348" s="29" t="n"/>
      <c r="F348" s="36">
        <f>IFERROR(IF(OR(A348="",E348=""),"",C348-E348),"")</f>
        <v/>
      </c>
      <c r="G348" s="30" t="n"/>
      <c r="H348" s="35" t="n"/>
    </row>
    <row r="349" ht="20" customHeight="1">
      <c r="A349" s="26" t="n"/>
      <c r="B349" s="27">
        <f>IFERROR(IF(A349="","",VLOOKUP(A349,DATABASE!$A:$B,2,0)),"")</f>
        <v/>
      </c>
      <c r="C349" s="20">
        <f>IFERROR(IF(A349="","",VLOOKUP(A349,DATABASE!$A:$J,10,0)),"")</f>
        <v/>
      </c>
      <c r="D349" s="28">
        <f>IF(A349="","",TODAY())</f>
        <v/>
      </c>
      <c r="E349" s="29" t="n"/>
      <c r="F349" s="20">
        <f>IFERROR(IF(OR(A349="",E349=""),"",C349-E349),"")</f>
        <v/>
      </c>
      <c r="G349" s="30" t="n"/>
      <c r="H349" s="27" t="n"/>
    </row>
    <row r="350" ht="20" customHeight="1">
      <c r="A350" s="26" t="n"/>
      <c r="B350" s="35">
        <f>IFERROR(IF(A350="","",VLOOKUP(A350,DATABASE!$A:$B,2,0)),"")</f>
        <v/>
      </c>
      <c r="C350" s="36">
        <f>IFERROR(IF(A350="","",VLOOKUP(A350,DATABASE!$A:$J,10,0)),"")</f>
        <v/>
      </c>
      <c r="D350" s="37">
        <f>IF(A350="","",TODAY())</f>
        <v/>
      </c>
      <c r="E350" s="29" t="n"/>
      <c r="F350" s="36">
        <f>IFERROR(IF(OR(A350="",E350=""),"",C350-E350),"")</f>
        <v/>
      </c>
      <c r="G350" s="30" t="n"/>
      <c r="H350" s="35" t="n"/>
    </row>
    <row r="351" ht="20" customHeight="1">
      <c r="A351" s="26" t="n"/>
      <c r="B351" s="27">
        <f>IFERROR(IF(A351="","",VLOOKUP(A351,DATABASE!$A:$B,2,0)),"")</f>
        <v/>
      </c>
      <c r="C351" s="20">
        <f>IFERROR(IF(A351="","",VLOOKUP(A351,DATABASE!$A:$J,10,0)),"")</f>
        <v/>
      </c>
      <c r="D351" s="28">
        <f>IF(A351="","",TODAY())</f>
        <v/>
      </c>
      <c r="E351" s="29" t="n"/>
      <c r="F351" s="20">
        <f>IFERROR(IF(OR(A351="",E351=""),"",C351-E351),"")</f>
        <v/>
      </c>
      <c r="G351" s="30" t="n"/>
      <c r="H351" s="27" t="n"/>
    </row>
    <row r="352" ht="20" customHeight="1">
      <c r="A352" s="26" t="n"/>
      <c r="B352" s="35">
        <f>IFERROR(IF(A352="","",VLOOKUP(A352,DATABASE!$A:$B,2,0)),"")</f>
        <v/>
      </c>
      <c r="C352" s="36">
        <f>IFERROR(IF(A352="","",VLOOKUP(A352,DATABASE!$A:$J,10,0)),"")</f>
        <v/>
      </c>
      <c r="D352" s="37">
        <f>IF(A352="","",TODAY())</f>
        <v/>
      </c>
      <c r="E352" s="29" t="n"/>
      <c r="F352" s="36">
        <f>IFERROR(IF(OR(A352="",E352=""),"",C352-E352),"")</f>
        <v/>
      </c>
      <c r="G352" s="30" t="n"/>
      <c r="H352" s="35" t="n"/>
    </row>
    <row r="353" ht="20" customHeight="1">
      <c r="A353" s="26" t="n"/>
      <c r="B353" s="27">
        <f>IFERROR(IF(A353="","",VLOOKUP(A353,DATABASE!$A:$B,2,0)),"")</f>
        <v/>
      </c>
      <c r="C353" s="20">
        <f>IFERROR(IF(A353="","",VLOOKUP(A353,DATABASE!$A:$J,10,0)),"")</f>
        <v/>
      </c>
      <c r="D353" s="28">
        <f>IF(A353="","",TODAY())</f>
        <v/>
      </c>
      <c r="E353" s="29" t="n"/>
      <c r="F353" s="20">
        <f>IFERROR(IF(OR(A353="",E353=""),"",C353-E353),"")</f>
        <v/>
      </c>
      <c r="G353" s="30" t="n"/>
      <c r="H353" s="27" t="n"/>
    </row>
    <row r="354" ht="20" customHeight="1">
      <c r="A354" s="26" t="n"/>
      <c r="B354" s="35">
        <f>IFERROR(IF(A354="","",VLOOKUP(A354,DATABASE!$A:$B,2,0)),"")</f>
        <v/>
      </c>
      <c r="C354" s="36">
        <f>IFERROR(IF(A354="","",VLOOKUP(A354,DATABASE!$A:$J,10,0)),"")</f>
        <v/>
      </c>
      <c r="D354" s="37">
        <f>IF(A354="","",TODAY())</f>
        <v/>
      </c>
      <c r="E354" s="29" t="n"/>
      <c r="F354" s="36">
        <f>IFERROR(IF(OR(A354="",E354=""),"",C354-E354),"")</f>
        <v/>
      </c>
      <c r="G354" s="30" t="n"/>
      <c r="H354" s="35" t="n"/>
    </row>
    <row r="355" ht="20" customHeight="1">
      <c r="A355" s="26" t="n"/>
      <c r="B355" s="27">
        <f>IFERROR(IF(A355="","",VLOOKUP(A355,DATABASE!$A:$B,2,0)),"")</f>
        <v/>
      </c>
      <c r="C355" s="20">
        <f>IFERROR(IF(A355="","",VLOOKUP(A355,DATABASE!$A:$J,10,0)),"")</f>
        <v/>
      </c>
      <c r="D355" s="28">
        <f>IF(A355="","",TODAY())</f>
        <v/>
      </c>
      <c r="E355" s="29" t="n"/>
      <c r="F355" s="20">
        <f>IFERROR(IF(OR(A355="",E355=""),"",C355-E355),"")</f>
        <v/>
      </c>
      <c r="G355" s="30" t="n"/>
      <c r="H355" s="27" t="n"/>
    </row>
    <row r="356" ht="20" customHeight="1">
      <c r="A356" s="26" t="n"/>
      <c r="B356" s="35">
        <f>IFERROR(IF(A356="","",VLOOKUP(A356,DATABASE!$A:$B,2,0)),"")</f>
        <v/>
      </c>
      <c r="C356" s="36">
        <f>IFERROR(IF(A356="","",VLOOKUP(A356,DATABASE!$A:$J,10,0)),"")</f>
        <v/>
      </c>
      <c r="D356" s="37">
        <f>IF(A356="","",TODAY())</f>
        <v/>
      </c>
      <c r="E356" s="29" t="n"/>
      <c r="F356" s="36">
        <f>IFERROR(IF(OR(A356="",E356=""),"",C356-E356),"")</f>
        <v/>
      </c>
      <c r="G356" s="30" t="n"/>
      <c r="H356" s="35" t="n"/>
    </row>
    <row r="357" ht="20" customHeight="1">
      <c r="A357" s="26" t="n"/>
      <c r="B357" s="27">
        <f>IFERROR(IF(A357="","",VLOOKUP(A357,DATABASE!$A:$B,2,0)),"")</f>
        <v/>
      </c>
      <c r="C357" s="20">
        <f>IFERROR(IF(A357="","",VLOOKUP(A357,DATABASE!$A:$J,10,0)),"")</f>
        <v/>
      </c>
      <c r="D357" s="28">
        <f>IF(A357="","",TODAY())</f>
        <v/>
      </c>
      <c r="E357" s="29" t="n"/>
      <c r="F357" s="20">
        <f>IFERROR(IF(OR(A357="",E357=""),"",C357-E357),"")</f>
        <v/>
      </c>
      <c r="G357" s="30" t="n"/>
      <c r="H357" s="27" t="n"/>
    </row>
    <row r="358" ht="20" customHeight="1">
      <c r="A358" s="26" t="n"/>
      <c r="B358" s="35">
        <f>IFERROR(IF(A358="","",VLOOKUP(A358,DATABASE!$A:$B,2,0)),"")</f>
        <v/>
      </c>
      <c r="C358" s="36">
        <f>IFERROR(IF(A358="","",VLOOKUP(A358,DATABASE!$A:$J,10,0)),"")</f>
        <v/>
      </c>
      <c r="D358" s="37">
        <f>IF(A358="","",TODAY())</f>
        <v/>
      </c>
      <c r="E358" s="29" t="n"/>
      <c r="F358" s="36">
        <f>IFERROR(IF(OR(A358="",E358=""),"",C358-E358),"")</f>
        <v/>
      </c>
      <c r="G358" s="30" t="n"/>
      <c r="H358" s="35" t="n"/>
    </row>
    <row r="359" ht="20" customHeight="1">
      <c r="A359" s="26" t="n"/>
      <c r="B359" s="27">
        <f>IFERROR(IF(A359="","",VLOOKUP(A359,DATABASE!$A:$B,2,0)),"")</f>
        <v/>
      </c>
      <c r="C359" s="20">
        <f>IFERROR(IF(A359="","",VLOOKUP(A359,DATABASE!$A:$J,10,0)),"")</f>
        <v/>
      </c>
      <c r="D359" s="28">
        <f>IF(A359="","",TODAY())</f>
        <v/>
      </c>
      <c r="E359" s="29" t="n"/>
      <c r="F359" s="20">
        <f>IFERROR(IF(OR(A359="",E359=""),"",C359-E359),"")</f>
        <v/>
      </c>
      <c r="G359" s="30" t="n"/>
      <c r="H359" s="27" t="n"/>
    </row>
    <row r="360" ht="20" customHeight="1">
      <c r="A360" s="26" t="n"/>
      <c r="B360" s="35">
        <f>IFERROR(IF(A360="","",VLOOKUP(A360,DATABASE!$A:$B,2,0)),"")</f>
        <v/>
      </c>
      <c r="C360" s="36">
        <f>IFERROR(IF(A360="","",VLOOKUP(A360,DATABASE!$A:$J,10,0)),"")</f>
        <v/>
      </c>
      <c r="D360" s="37">
        <f>IF(A360="","",TODAY())</f>
        <v/>
      </c>
      <c r="E360" s="29" t="n"/>
      <c r="F360" s="36">
        <f>IFERROR(IF(OR(A360="",E360=""),"",C360-E360),"")</f>
        <v/>
      </c>
      <c r="G360" s="30" t="n"/>
      <c r="H360" s="35" t="n"/>
    </row>
    <row r="361" ht="20" customHeight="1">
      <c r="A361" s="26" t="n"/>
      <c r="B361" s="27">
        <f>IFERROR(IF(A361="","",VLOOKUP(A361,DATABASE!$A:$B,2,0)),"")</f>
        <v/>
      </c>
      <c r="C361" s="20">
        <f>IFERROR(IF(A361="","",VLOOKUP(A361,DATABASE!$A:$J,10,0)),"")</f>
        <v/>
      </c>
      <c r="D361" s="28">
        <f>IF(A361="","",TODAY())</f>
        <v/>
      </c>
      <c r="E361" s="29" t="n"/>
      <c r="F361" s="20">
        <f>IFERROR(IF(OR(A361="",E361=""),"",C361-E361),"")</f>
        <v/>
      </c>
      <c r="G361" s="30" t="n"/>
      <c r="H361" s="27" t="n"/>
    </row>
    <row r="362" ht="20" customHeight="1">
      <c r="A362" s="26" t="n"/>
      <c r="B362" s="35">
        <f>IFERROR(IF(A362="","",VLOOKUP(A362,DATABASE!$A:$B,2,0)),"")</f>
        <v/>
      </c>
      <c r="C362" s="36">
        <f>IFERROR(IF(A362="","",VLOOKUP(A362,DATABASE!$A:$J,10,0)),"")</f>
        <v/>
      </c>
      <c r="D362" s="37">
        <f>IF(A362="","",TODAY())</f>
        <v/>
      </c>
      <c r="E362" s="29" t="n"/>
      <c r="F362" s="36">
        <f>IFERROR(IF(OR(A362="",E362=""),"",C362-E362),"")</f>
        <v/>
      </c>
      <c r="G362" s="30" t="n"/>
      <c r="H362" s="35" t="n"/>
    </row>
    <row r="363" ht="20" customHeight="1">
      <c r="A363" s="26" t="n"/>
      <c r="B363" s="27">
        <f>IFERROR(IF(A363="","",VLOOKUP(A363,DATABASE!$A:$B,2,0)),"")</f>
        <v/>
      </c>
      <c r="C363" s="20">
        <f>IFERROR(IF(A363="","",VLOOKUP(A363,DATABASE!$A:$J,10,0)),"")</f>
        <v/>
      </c>
      <c r="D363" s="28">
        <f>IF(A363="","",TODAY())</f>
        <v/>
      </c>
      <c r="E363" s="29" t="n"/>
      <c r="F363" s="20">
        <f>IFERROR(IF(OR(A363="",E363=""),"",C363-E363),"")</f>
        <v/>
      </c>
      <c r="G363" s="30" t="n"/>
      <c r="H363" s="27" t="n"/>
    </row>
    <row r="364" ht="20" customHeight="1">
      <c r="A364" s="26" t="n"/>
      <c r="B364" s="35">
        <f>IFERROR(IF(A364="","",VLOOKUP(A364,DATABASE!$A:$B,2,0)),"")</f>
        <v/>
      </c>
      <c r="C364" s="36">
        <f>IFERROR(IF(A364="","",VLOOKUP(A364,DATABASE!$A:$J,10,0)),"")</f>
        <v/>
      </c>
      <c r="D364" s="37">
        <f>IF(A364="","",TODAY())</f>
        <v/>
      </c>
      <c r="E364" s="29" t="n"/>
      <c r="F364" s="36">
        <f>IFERROR(IF(OR(A364="",E364=""),"",C364-E364),"")</f>
        <v/>
      </c>
      <c r="G364" s="30" t="n"/>
      <c r="H364" s="35" t="n"/>
    </row>
    <row r="365" ht="20" customHeight="1">
      <c r="A365" s="26" t="n"/>
      <c r="B365" s="27">
        <f>IFERROR(IF(A365="","",VLOOKUP(A365,DATABASE!$A:$B,2,0)),"")</f>
        <v/>
      </c>
      <c r="C365" s="20">
        <f>IFERROR(IF(A365="","",VLOOKUP(A365,DATABASE!$A:$J,10,0)),"")</f>
        <v/>
      </c>
      <c r="D365" s="28">
        <f>IF(A365="","",TODAY())</f>
        <v/>
      </c>
      <c r="E365" s="29" t="n"/>
      <c r="F365" s="20">
        <f>IFERROR(IF(OR(A365="",E365=""),"",C365-E365),"")</f>
        <v/>
      </c>
      <c r="G365" s="30" t="n"/>
      <c r="H365" s="27" t="n"/>
    </row>
    <row r="366" ht="20" customHeight="1">
      <c r="A366" s="26" t="n"/>
      <c r="B366" s="35">
        <f>IFERROR(IF(A366="","",VLOOKUP(A366,DATABASE!$A:$B,2,0)),"")</f>
        <v/>
      </c>
      <c r="C366" s="36">
        <f>IFERROR(IF(A366="","",VLOOKUP(A366,DATABASE!$A:$J,10,0)),"")</f>
        <v/>
      </c>
      <c r="D366" s="37">
        <f>IF(A366="","",TODAY())</f>
        <v/>
      </c>
      <c r="E366" s="29" t="n"/>
      <c r="F366" s="36">
        <f>IFERROR(IF(OR(A366="",E366=""),"",C366-E366),"")</f>
        <v/>
      </c>
      <c r="G366" s="30" t="n"/>
      <c r="H366" s="35" t="n"/>
    </row>
    <row r="367" ht="20" customHeight="1">
      <c r="A367" s="26" t="n"/>
      <c r="B367" s="27">
        <f>IFERROR(IF(A367="","",VLOOKUP(A367,DATABASE!$A:$B,2,0)),"")</f>
        <v/>
      </c>
      <c r="C367" s="20">
        <f>IFERROR(IF(A367="","",VLOOKUP(A367,DATABASE!$A:$J,10,0)),"")</f>
        <v/>
      </c>
      <c r="D367" s="28">
        <f>IF(A367="","",TODAY())</f>
        <v/>
      </c>
      <c r="E367" s="29" t="n"/>
      <c r="F367" s="20">
        <f>IFERROR(IF(OR(A367="",E367=""),"",C367-E367),"")</f>
        <v/>
      </c>
      <c r="G367" s="30" t="n"/>
      <c r="H367" s="27" t="n"/>
    </row>
    <row r="368" ht="20" customHeight="1">
      <c r="A368" s="26" t="n"/>
      <c r="B368" s="35">
        <f>IFERROR(IF(A368="","",VLOOKUP(A368,DATABASE!$A:$B,2,0)),"")</f>
        <v/>
      </c>
      <c r="C368" s="36">
        <f>IFERROR(IF(A368="","",VLOOKUP(A368,DATABASE!$A:$J,10,0)),"")</f>
        <v/>
      </c>
      <c r="D368" s="37">
        <f>IF(A368="","",TODAY())</f>
        <v/>
      </c>
      <c r="E368" s="29" t="n"/>
      <c r="F368" s="36">
        <f>IFERROR(IF(OR(A368="",E368=""),"",C368-E368),"")</f>
        <v/>
      </c>
      <c r="G368" s="30" t="n"/>
      <c r="H368" s="35" t="n"/>
    </row>
    <row r="369" ht="20" customHeight="1">
      <c r="A369" s="26" t="n"/>
      <c r="B369" s="27">
        <f>IFERROR(IF(A369="","",VLOOKUP(A369,DATABASE!$A:$B,2,0)),"")</f>
        <v/>
      </c>
      <c r="C369" s="20">
        <f>IFERROR(IF(A369="","",VLOOKUP(A369,DATABASE!$A:$J,10,0)),"")</f>
        <v/>
      </c>
      <c r="D369" s="28">
        <f>IF(A369="","",TODAY())</f>
        <v/>
      </c>
      <c r="E369" s="29" t="n"/>
      <c r="F369" s="20">
        <f>IFERROR(IF(OR(A369="",E369=""),"",C369-E369),"")</f>
        <v/>
      </c>
      <c r="G369" s="30" t="n"/>
      <c r="H369" s="27" t="n"/>
    </row>
    <row r="370" ht="20" customHeight="1">
      <c r="A370" s="26" t="n"/>
      <c r="B370" s="35">
        <f>IFERROR(IF(A370="","",VLOOKUP(A370,DATABASE!$A:$B,2,0)),"")</f>
        <v/>
      </c>
      <c r="C370" s="36">
        <f>IFERROR(IF(A370="","",VLOOKUP(A370,DATABASE!$A:$J,10,0)),"")</f>
        <v/>
      </c>
      <c r="D370" s="37">
        <f>IF(A370="","",TODAY())</f>
        <v/>
      </c>
      <c r="E370" s="29" t="n"/>
      <c r="F370" s="36">
        <f>IFERROR(IF(OR(A370="",E370=""),"",C370-E370),"")</f>
        <v/>
      </c>
      <c r="G370" s="30" t="n"/>
      <c r="H370" s="35" t="n"/>
    </row>
    <row r="371" ht="20" customHeight="1">
      <c r="A371" s="26" t="n"/>
      <c r="B371" s="27">
        <f>IFERROR(IF(A371="","",VLOOKUP(A371,DATABASE!$A:$B,2,0)),"")</f>
        <v/>
      </c>
      <c r="C371" s="20">
        <f>IFERROR(IF(A371="","",VLOOKUP(A371,DATABASE!$A:$J,10,0)),"")</f>
        <v/>
      </c>
      <c r="D371" s="28">
        <f>IF(A371="","",TODAY())</f>
        <v/>
      </c>
      <c r="E371" s="29" t="n"/>
      <c r="F371" s="20">
        <f>IFERROR(IF(OR(A371="",E371=""),"",C371-E371),"")</f>
        <v/>
      </c>
      <c r="G371" s="30" t="n"/>
      <c r="H371" s="27" t="n"/>
    </row>
    <row r="372" ht="20" customHeight="1">
      <c r="A372" s="26" t="n"/>
      <c r="B372" s="35">
        <f>IFERROR(IF(A372="","",VLOOKUP(A372,DATABASE!$A:$B,2,0)),"")</f>
        <v/>
      </c>
      <c r="C372" s="36">
        <f>IFERROR(IF(A372="","",VLOOKUP(A372,DATABASE!$A:$J,10,0)),"")</f>
        <v/>
      </c>
      <c r="D372" s="37">
        <f>IF(A372="","",TODAY())</f>
        <v/>
      </c>
      <c r="E372" s="29" t="n"/>
      <c r="F372" s="36">
        <f>IFERROR(IF(OR(A372="",E372=""),"",C372-E372),"")</f>
        <v/>
      </c>
      <c r="G372" s="30" t="n"/>
      <c r="H372" s="35" t="n"/>
    </row>
    <row r="373" ht="20" customHeight="1">
      <c r="A373" s="26" t="n"/>
      <c r="B373" s="27">
        <f>IFERROR(IF(A373="","",VLOOKUP(A373,DATABASE!$A:$B,2,0)),"")</f>
        <v/>
      </c>
      <c r="C373" s="20">
        <f>IFERROR(IF(A373="","",VLOOKUP(A373,DATABASE!$A:$J,10,0)),"")</f>
        <v/>
      </c>
      <c r="D373" s="28">
        <f>IF(A373="","",TODAY())</f>
        <v/>
      </c>
      <c r="E373" s="29" t="n"/>
      <c r="F373" s="20">
        <f>IFERROR(IF(OR(A373="",E373=""),"",C373-E373),"")</f>
        <v/>
      </c>
      <c r="G373" s="30" t="n"/>
      <c r="H373" s="27" t="n"/>
    </row>
    <row r="374" ht="20" customHeight="1">
      <c r="A374" s="26" t="n"/>
      <c r="B374" s="35">
        <f>IFERROR(IF(A374="","",VLOOKUP(A374,DATABASE!$A:$B,2,0)),"")</f>
        <v/>
      </c>
      <c r="C374" s="36">
        <f>IFERROR(IF(A374="","",VLOOKUP(A374,DATABASE!$A:$J,10,0)),"")</f>
        <v/>
      </c>
      <c r="D374" s="37">
        <f>IF(A374="","",TODAY())</f>
        <v/>
      </c>
      <c r="E374" s="29" t="n"/>
      <c r="F374" s="36">
        <f>IFERROR(IF(OR(A374="",E374=""),"",C374-E374),"")</f>
        <v/>
      </c>
      <c r="G374" s="30" t="n"/>
      <c r="H374" s="35" t="n"/>
    </row>
    <row r="375" ht="20" customHeight="1">
      <c r="A375" s="26" t="n"/>
      <c r="B375" s="27">
        <f>IFERROR(IF(A375="","",VLOOKUP(A375,DATABASE!$A:$B,2,0)),"")</f>
        <v/>
      </c>
      <c r="C375" s="20">
        <f>IFERROR(IF(A375="","",VLOOKUP(A375,DATABASE!$A:$J,10,0)),"")</f>
        <v/>
      </c>
      <c r="D375" s="28">
        <f>IF(A375="","",TODAY())</f>
        <v/>
      </c>
      <c r="E375" s="29" t="n"/>
      <c r="F375" s="20">
        <f>IFERROR(IF(OR(A375="",E375=""),"",C375-E375),"")</f>
        <v/>
      </c>
      <c r="G375" s="30" t="n"/>
      <c r="H375" s="27" t="n"/>
    </row>
    <row r="376" ht="20" customHeight="1">
      <c r="A376" s="26" t="n"/>
      <c r="B376" s="35">
        <f>IFERROR(IF(A376="","",VLOOKUP(A376,DATABASE!$A:$B,2,0)),"")</f>
        <v/>
      </c>
      <c r="C376" s="36">
        <f>IFERROR(IF(A376="","",VLOOKUP(A376,DATABASE!$A:$J,10,0)),"")</f>
        <v/>
      </c>
      <c r="D376" s="37">
        <f>IF(A376="","",TODAY())</f>
        <v/>
      </c>
      <c r="E376" s="29" t="n"/>
      <c r="F376" s="36">
        <f>IFERROR(IF(OR(A376="",E376=""),"",C376-E376),"")</f>
        <v/>
      </c>
      <c r="G376" s="30" t="n"/>
      <c r="H376" s="35" t="n"/>
    </row>
    <row r="377" ht="20" customHeight="1">
      <c r="A377" s="26" t="n"/>
      <c r="B377" s="27">
        <f>IFERROR(IF(A377="","",VLOOKUP(A377,DATABASE!$A:$B,2,0)),"")</f>
        <v/>
      </c>
      <c r="C377" s="20">
        <f>IFERROR(IF(A377="","",VLOOKUP(A377,DATABASE!$A:$J,10,0)),"")</f>
        <v/>
      </c>
      <c r="D377" s="28">
        <f>IF(A377="","",TODAY())</f>
        <v/>
      </c>
      <c r="E377" s="29" t="n"/>
      <c r="F377" s="20">
        <f>IFERROR(IF(OR(A377="",E377=""),"",C377-E377),"")</f>
        <v/>
      </c>
      <c r="G377" s="30" t="n"/>
      <c r="H377" s="27" t="n"/>
    </row>
    <row r="378" ht="20" customHeight="1">
      <c r="A378" s="26" t="n"/>
      <c r="B378" s="35">
        <f>IFERROR(IF(A378="","",VLOOKUP(A378,DATABASE!$A:$B,2,0)),"")</f>
        <v/>
      </c>
      <c r="C378" s="36">
        <f>IFERROR(IF(A378="","",VLOOKUP(A378,DATABASE!$A:$J,10,0)),"")</f>
        <v/>
      </c>
      <c r="D378" s="37">
        <f>IF(A378="","",TODAY())</f>
        <v/>
      </c>
      <c r="E378" s="29" t="n"/>
      <c r="F378" s="36">
        <f>IFERROR(IF(OR(A378="",E378=""),"",C378-E378),"")</f>
        <v/>
      </c>
      <c r="G378" s="30" t="n"/>
      <c r="H378" s="35" t="n"/>
    </row>
    <row r="379" ht="20" customHeight="1">
      <c r="A379" s="26" t="n"/>
      <c r="B379" s="27">
        <f>IFERROR(IF(A379="","",VLOOKUP(A379,DATABASE!$A:$B,2,0)),"")</f>
        <v/>
      </c>
      <c r="C379" s="20">
        <f>IFERROR(IF(A379="","",VLOOKUP(A379,DATABASE!$A:$J,10,0)),"")</f>
        <v/>
      </c>
      <c r="D379" s="28">
        <f>IF(A379="","",TODAY())</f>
        <v/>
      </c>
      <c r="E379" s="29" t="n"/>
      <c r="F379" s="20">
        <f>IFERROR(IF(OR(A379="",E379=""),"",C379-E379),"")</f>
        <v/>
      </c>
      <c r="G379" s="30" t="n"/>
      <c r="H379" s="27" t="n"/>
    </row>
    <row r="380" ht="20" customHeight="1">
      <c r="A380" s="26" t="n"/>
      <c r="B380" s="35">
        <f>IFERROR(IF(A380="","",VLOOKUP(A380,DATABASE!$A:$B,2,0)),"")</f>
        <v/>
      </c>
      <c r="C380" s="36">
        <f>IFERROR(IF(A380="","",VLOOKUP(A380,DATABASE!$A:$J,10,0)),"")</f>
        <v/>
      </c>
      <c r="D380" s="37">
        <f>IF(A380="","",TODAY())</f>
        <v/>
      </c>
      <c r="E380" s="29" t="n"/>
      <c r="F380" s="36">
        <f>IFERROR(IF(OR(A380="",E380=""),"",C380-E380),"")</f>
        <v/>
      </c>
      <c r="G380" s="30" t="n"/>
      <c r="H380" s="35" t="n"/>
    </row>
    <row r="381" ht="20" customHeight="1">
      <c r="A381" s="26" t="n"/>
      <c r="B381" s="27">
        <f>IFERROR(IF(A381="","",VLOOKUP(A381,DATABASE!$A:$B,2,0)),"")</f>
        <v/>
      </c>
      <c r="C381" s="20">
        <f>IFERROR(IF(A381="","",VLOOKUP(A381,DATABASE!$A:$J,10,0)),"")</f>
        <v/>
      </c>
      <c r="D381" s="28">
        <f>IF(A381="","",TODAY())</f>
        <v/>
      </c>
      <c r="E381" s="29" t="n"/>
      <c r="F381" s="20">
        <f>IFERROR(IF(OR(A381="",E381=""),"",C381-E381),"")</f>
        <v/>
      </c>
      <c r="G381" s="30" t="n"/>
      <c r="H381" s="27" t="n"/>
    </row>
    <row r="382" ht="20" customHeight="1">
      <c r="A382" s="26" t="n"/>
      <c r="B382" s="35">
        <f>IFERROR(IF(A382="","",VLOOKUP(A382,DATABASE!$A:$B,2,0)),"")</f>
        <v/>
      </c>
      <c r="C382" s="36">
        <f>IFERROR(IF(A382="","",VLOOKUP(A382,DATABASE!$A:$J,10,0)),"")</f>
        <v/>
      </c>
      <c r="D382" s="37">
        <f>IF(A382="","",TODAY())</f>
        <v/>
      </c>
      <c r="E382" s="29" t="n"/>
      <c r="F382" s="36">
        <f>IFERROR(IF(OR(A382="",E382=""),"",C382-E382),"")</f>
        <v/>
      </c>
      <c r="G382" s="30" t="n"/>
      <c r="H382" s="35" t="n"/>
    </row>
    <row r="383" ht="20" customHeight="1">
      <c r="A383" s="26" t="n"/>
      <c r="B383" s="27">
        <f>IFERROR(IF(A383="","",VLOOKUP(A383,DATABASE!$A:$B,2,0)),"")</f>
        <v/>
      </c>
      <c r="C383" s="20">
        <f>IFERROR(IF(A383="","",VLOOKUP(A383,DATABASE!$A:$J,10,0)),"")</f>
        <v/>
      </c>
      <c r="D383" s="28">
        <f>IF(A383="","",TODAY())</f>
        <v/>
      </c>
      <c r="E383" s="29" t="n"/>
      <c r="F383" s="20">
        <f>IFERROR(IF(OR(A383="",E383=""),"",C383-E383),"")</f>
        <v/>
      </c>
      <c r="G383" s="30" t="n"/>
      <c r="H383" s="27" t="n"/>
    </row>
    <row r="384" ht="20" customHeight="1">
      <c r="A384" s="26" t="n"/>
      <c r="B384" s="35">
        <f>IFERROR(IF(A384="","",VLOOKUP(A384,DATABASE!$A:$B,2,0)),"")</f>
        <v/>
      </c>
      <c r="C384" s="36">
        <f>IFERROR(IF(A384="","",VLOOKUP(A384,DATABASE!$A:$J,10,0)),"")</f>
        <v/>
      </c>
      <c r="D384" s="37">
        <f>IF(A384="","",TODAY())</f>
        <v/>
      </c>
      <c r="E384" s="29" t="n"/>
      <c r="F384" s="36">
        <f>IFERROR(IF(OR(A384="",E384=""),"",C384-E384),"")</f>
        <v/>
      </c>
      <c r="G384" s="30" t="n"/>
      <c r="H384" s="35" t="n"/>
    </row>
    <row r="385" ht="20" customHeight="1">
      <c r="A385" s="26" t="n"/>
      <c r="B385" s="27">
        <f>IFERROR(IF(A385="","",VLOOKUP(A385,DATABASE!$A:$B,2,0)),"")</f>
        <v/>
      </c>
      <c r="C385" s="20">
        <f>IFERROR(IF(A385="","",VLOOKUP(A385,DATABASE!$A:$J,10,0)),"")</f>
        <v/>
      </c>
      <c r="D385" s="28">
        <f>IF(A385="","",TODAY())</f>
        <v/>
      </c>
      <c r="E385" s="29" t="n"/>
      <c r="F385" s="20">
        <f>IFERROR(IF(OR(A385="",E385=""),"",C385-E385),"")</f>
        <v/>
      </c>
      <c r="G385" s="30" t="n"/>
      <c r="H385" s="27" t="n"/>
    </row>
    <row r="386" ht="20" customHeight="1">
      <c r="A386" s="26" t="n"/>
      <c r="B386" s="35">
        <f>IFERROR(IF(A386="","",VLOOKUP(A386,DATABASE!$A:$B,2,0)),"")</f>
        <v/>
      </c>
      <c r="C386" s="36">
        <f>IFERROR(IF(A386="","",VLOOKUP(A386,DATABASE!$A:$J,10,0)),"")</f>
        <v/>
      </c>
      <c r="D386" s="37">
        <f>IF(A386="","",TODAY())</f>
        <v/>
      </c>
      <c r="E386" s="29" t="n"/>
      <c r="F386" s="36">
        <f>IFERROR(IF(OR(A386="",E386=""),"",C386-E386),"")</f>
        <v/>
      </c>
      <c r="G386" s="30" t="n"/>
      <c r="H386" s="35" t="n"/>
    </row>
    <row r="387" ht="20" customHeight="1">
      <c r="A387" s="26" t="n"/>
      <c r="B387" s="27">
        <f>IFERROR(IF(A387="","",VLOOKUP(A387,DATABASE!$A:$B,2,0)),"")</f>
        <v/>
      </c>
      <c r="C387" s="20">
        <f>IFERROR(IF(A387="","",VLOOKUP(A387,DATABASE!$A:$J,10,0)),"")</f>
        <v/>
      </c>
      <c r="D387" s="28">
        <f>IF(A387="","",TODAY())</f>
        <v/>
      </c>
      <c r="E387" s="29" t="n"/>
      <c r="F387" s="20">
        <f>IFERROR(IF(OR(A387="",E387=""),"",C387-E387),"")</f>
        <v/>
      </c>
      <c r="G387" s="30" t="n"/>
      <c r="H387" s="27" t="n"/>
    </row>
    <row r="388" ht="20" customHeight="1">
      <c r="A388" s="26" t="n"/>
      <c r="B388" s="35">
        <f>IFERROR(IF(A388="","",VLOOKUP(A388,DATABASE!$A:$B,2,0)),"")</f>
        <v/>
      </c>
      <c r="C388" s="36">
        <f>IFERROR(IF(A388="","",VLOOKUP(A388,DATABASE!$A:$J,10,0)),"")</f>
        <v/>
      </c>
      <c r="D388" s="37">
        <f>IF(A388="","",TODAY())</f>
        <v/>
      </c>
      <c r="E388" s="29" t="n"/>
      <c r="F388" s="36">
        <f>IFERROR(IF(OR(A388="",E388=""),"",C388-E388),"")</f>
        <v/>
      </c>
      <c r="G388" s="30" t="n"/>
      <c r="H388" s="35" t="n"/>
    </row>
    <row r="389" ht="20" customHeight="1">
      <c r="A389" s="26" t="n"/>
      <c r="B389" s="27">
        <f>IFERROR(IF(A389="","",VLOOKUP(A389,DATABASE!$A:$B,2,0)),"")</f>
        <v/>
      </c>
      <c r="C389" s="20">
        <f>IFERROR(IF(A389="","",VLOOKUP(A389,DATABASE!$A:$J,10,0)),"")</f>
        <v/>
      </c>
      <c r="D389" s="28">
        <f>IF(A389="","",TODAY())</f>
        <v/>
      </c>
      <c r="E389" s="29" t="n"/>
      <c r="F389" s="20">
        <f>IFERROR(IF(OR(A389="",E389=""),"",C389-E389),"")</f>
        <v/>
      </c>
      <c r="G389" s="30" t="n"/>
      <c r="H389" s="27" t="n"/>
    </row>
    <row r="390" ht="20" customHeight="1">
      <c r="A390" s="26" t="n"/>
      <c r="B390" s="35">
        <f>IFERROR(IF(A390="","",VLOOKUP(A390,DATABASE!$A:$B,2,0)),"")</f>
        <v/>
      </c>
      <c r="C390" s="36">
        <f>IFERROR(IF(A390="","",VLOOKUP(A390,DATABASE!$A:$J,10,0)),"")</f>
        <v/>
      </c>
      <c r="D390" s="37">
        <f>IF(A390="","",TODAY())</f>
        <v/>
      </c>
      <c r="E390" s="29" t="n"/>
      <c r="F390" s="36">
        <f>IFERROR(IF(OR(A390="",E390=""),"",C390-E390),"")</f>
        <v/>
      </c>
      <c r="G390" s="30" t="n"/>
      <c r="H390" s="35" t="n"/>
    </row>
    <row r="391" ht="20" customHeight="1">
      <c r="A391" s="26" t="n"/>
      <c r="B391" s="27">
        <f>IFERROR(IF(A391="","",VLOOKUP(A391,DATABASE!$A:$B,2,0)),"")</f>
        <v/>
      </c>
      <c r="C391" s="20">
        <f>IFERROR(IF(A391="","",VLOOKUP(A391,DATABASE!$A:$J,10,0)),"")</f>
        <v/>
      </c>
      <c r="D391" s="28">
        <f>IF(A391="","",TODAY())</f>
        <v/>
      </c>
      <c r="E391" s="29" t="n"/>
      <c r="F391" s="20">
        <f>IFERROR(IF(OR(A391="",E391=""),"",C391-E391),"")</f>
        <v/>
      </c>
      <c r="G391" s="30" t="n"/>
      <c r="H391" s="27" t="n"/>
    </row>
    <row r="392" ht="20" customHeight="1">
      <c r="A392" s="26" t="n"/>
      <c r="B392" s="35">
        <f>IFERROR(IF(A392="","",VLOOKUP(A392,DATABASE!$A:$B,2,0)),"")</f>
        <v/>
      </c>
      <c r="C392" s="36">
        <f>IFERROR(IF(A392="","",VLOOKUP(A392,DATABASE!$A:$J,10,0)),"")</f>
        <v/>
      </c>
      <c r="D392" s="37">
        <f>IF(A392="","",TODAY())</f>
        <v/>
      </c>
      <c r="E392" s="29" t="n"/>
      <c r="F392" s="36">
        <f>IFERROR(IF(OR(A392="",E392=""),"",C392-E392),"")</f>
        <v/>
      </c>
      <c r="G392" s="30" t="n"/>
      <c r="H392" s="35" t="n"/>
    </row>
    <row r="393" ht="20" customHeight="1">
      <c r="A393" s="26" t="n"/>
      <c r="B393" s="27">
        <f>IFERROR(IF(A393="","",VLOOKUP(A393,DATABASE!$A:$B,2,0)),"")</f>
        <v/>
      </c>
      <c r="C393" s="20">
        <f>IFERROR(IF(A393="","",VLOOKUP(A393,DATABASE!$A:$J,10,0)),"")</f>
        <v/>
      </c>
      <c r="D393" s="28">
        <f>IF(A393="","",TODAY())</f>
        <v/>
      </c>
      <c r="E393" s="29" t="n"/>
      <c r="F393" s="20">
        <f>IFERROR(IF(OR(A393="",E393=""),"",C393-E393),"")</f>
        <v/>
      </c>
      <c r="G393" s="30" t="n"/>
      <c r="H393" s="27" t="n"/>
    </row>
    <row r="394" ht="20" customHeight="1">
      <c r="A394" s="26" t="n"/>
      <c r="B394" s="35">
        <f>IFERROR(IF(A394="","",VLOOKUP(A394,DATABASE!$A:$B,2,0)),"")</f>
        <v/>
      </c>
      <c r="C394" s="36">
        <f>IFERROR(IF(A394="","",VLOOKUP(A394,DATABASE!$A:$J,10,0)),"")</f>
        <v/>
      </c>
      <c r="D394" s="37">
        <f>IF(A394="","",TODAY())</f>
        <v/>
      </c>
      <c r="E394" s="29" t="n"/>
      <c r="F394" s="36">
        <f>IFERROR(IF(OR(A394="",E394=""),"",C394-E394),"")</f>
        <v/>
      </c>
      <c r="G394" s="30" t="n"/>
      <c r="H394" s="35" t="n"/>
    </row>
    <row r="395" ht="20" customHeight="1">
      <c r="A395" s="26" t="n"/>
      <c r="B395" s="27">
        <f>IFERROR(IF(A395="","",VLOOKUP(A395,DATABASE!$A:$B,2,0)),"")</f>
        <v/>
      </c>
      <c r="C395" s="20">
        <f>IFERROR(IF(A395="","",VLOOKUP(A395,DATABASE!$A:$J,10,0)),"")</f>
        <v/>
      </c>
      <c r="D395" s="28">
        <f>IF(A395="","",TODAY())</f>
        <v/>
      </c>
      <c r="E395" s="29" t="n"/>
      <c r="F395" s="20">
        <f>IFERROR(IF(OR(A395="",E395=""),"",C395-E395),"")</f>
        <v/>
      </c>
      <c r="G395" s="30" t="n"/>
      <c r="H395" s="27" t="n"/>
    </row>
    <row r="396" ht="20" customHeight="1">
      <c r="A396" s="26" t="n"/>
      <c r="B396" s="35">
        <f>IFERROR(IF(A396="","",VLOOKUP(A396,DATABASE!$A:$B,2,0)),"")</f>
        <v/>
      </c>
      <c r="C396" s="36">
        <f>IFERROR(IF(A396="","",VLOOKUP(A396,DATABASE!$A:$J,10,0)),"")</f>
        <v/>
      </c>
      <c r="D396" s="37">
        <f>IF(A396="","",TODAY())</f>
        <v/>
      </c>
      <c r="E396" s="29" t="n"/>
      <c r="F396" s="36">
        <f>IFERROR(IF(OR(A396="",E396=""),"",C396-E396),"")</f>
        <v/>
      </c>
      <c r="G396" s="30" t="n"/>
      <c r="H396" s="35" t="n"/>
    </row>
    <row r="397" ht="20" customHeight="1">
      <c r="A397" s="26" t="n"/>
      <c r="B397" s="27">
        <f>IFERROR(IF(A397="","",VLOOKUP(A397,DATABASE!$A:$B,2,0)),"")</f>
        <v/>
      </c>
      <c r="C397" s="20">
        <f>IFERROR(IF(A397="","",VLOOKUP(A397,DATABASE!$A:$J,10,0)),"")</f>
        <v/>
      </c>
      <c r="D397" s="28">
        <f>IF(A397="","",TODAY())</f>
        <v/>
      </c>
      <c r="E397" s="29" t="n"/>
      <c r="F397" s="20">
        <f>IFERROR(IF(OR(A397="",E397=""),"",C397-E397),"")</f>
        <v/>
      </c>
      <c r="G397" s="30" t="n"/>
      <c r="H397" s="27" t="n"/>
    </row>
    <row r="398" ht="20" customHeight="1">
      <c r="A398" s="26" t="n"/>
      <c r="B398" s="35">
        <f>IFERROR(IF(A398="","",VLOOKUP(A398,DATABASE!$A:$B,2,0)),"")</f>
        <v/>
      </c>
      <c r="C398" s="36">
        <f>IFERROR(IF(A398="","",VLOOKUP(A398,DATABASE!$A:$J,10,0)),"")</f>
        <v/>
      </c>
      <c r="D398" s="37">
        <f>IF(A398="","",TODAY())</f>
        <v/>
      </c>
      <c r="E398" s="29" t="n"/>
      <c r="F398" s="36">
        <f>IFERROR(IF(OR(A398="",E398=""),"",C398-E398),"")</f>
        <v/>
      </c>
      <c r="G398" s="30" t="n"/>
      <c r="H398" s="35" t="n"/>
    </row>
    <row r="399" ht="20" customHeight="1">
      <c r="A399" s="26" t="n"/>
      <c r="B399" s="27">
        <f>IFERROR(IF(A399="","",VLOOKUP(A399,DATABASE!$A:$B,2,0)),"")</f>
        <v/>
      </c>
      <c r="C399" s="20">
        <f>IFERROR(IF(A399="","",VLOOKUP(A399,DATABASE!$A:$J,10,0)),"")</f>
        <v/>
      </c>
      <c r="D399" s="28">
        <f>IF(A399="","",TODAY())</f>
        <v/>
      </c>
      <c r="E399" s="29" t="n"/>
      <c r="F399" s="20">
        <f>IFERROR(IF(OR(A399="",E399=""),"",C399-E399),"")</f>
        <v/>
      </c>
      <c r="G399" s="30" t="n"/>
      <c r="H399" s="27" t="n"/>
    </row>
    <row r="400" ht="20" customHeight="1">
      <c r="A400" s="26" t="n"/>
      <c r="B400" s="35">
        <f>IFERROR(IF(A400="","",VLOOKUP(A400,DATABASE!$A:$B,2,0)),"")</f>
        <v/>
      </c>
      <c r="C400" s="36">
        <f>IFERROR(IF(A400="","",VLOOKUP(A400,DATABASE!$A:$J,10,0)),"")</f>
        <v/>
      </c>
      <c r="D400" s="37">
        <f>IF(A400="","",TODAY())</f>
        <v/>
      </c>
      <c r="E400" s="29" t="n"/>
      <c r="F400" s="36">
        <f>IFERROR(IF(OR(A400="",E400=""),"",C400-E400),"")</f>
        <v/>
      </c>
      <c r="G400" s="30" t="n"/>
      <c r="H400" s="35" t="n"/>
    </row>
    <row r="401" ht="20" customHeight="1">
      <c r="A401" s="26" t="n"/>
      <c r="B401" s="27">
        <f>IFERROR(IF(A401="","",VLOOKUP(A401,DATABASE!$A:$B,2,0)),"")</f>
        <v/>
      </c>
      <c r="C401" s="20">
        <f>IFERROR(IF(A401="","",VLOOKUP(A401,DATABASE!$A:$J,10,0)),"")</f>
        <v/>
      </c>
      <c r="D401" s="28">
        <f>IF(A401="","",TODAY())</f>
        <v/>
      </c>
      <c r="E401" s="29" t="n"/>
      <c r="F401" s="20">
        <f>IFERROR(IF(OR(A401="",E401=""),"",C401-E401),"")</f>
        <v/>
      </c>
      <c r="G401" s="30" t="n"/>
      <c r="H401" s="27" t="n"/>
    </row>
    <row r="402" ht="20" customHeight="1">
      <c r="A402" s="26" t="n"/>
      <c r="B402" s="35">
        <f>IFERROR(IF(A402="","",VLOOKUP(A402,DATABASE!$A:$B,2,0)),"")</f>
        <v/>
      </c>
      <c r="C402" s="36">
        <f>IFERROR(IF(A402="","",VLOOKUP(A402,DATABASE!$A:$J,10,0)),"")</f>
        <v/>
      </c>
      <c r="D402" s="37">
        <f>IF(A402="","",TODAY())</f>
        <v/>
      </c>
      <c r="E402" s="29" t="n"/>
      <c r="F402" s="36">
        <f>IFERROR(IF(OR(A402="",E402=""),"",C402-E402),"")</f>
        <v/>
      </c>
      <c r="G402" s="30" t="n"/>
      <c r="H402" s="35" t="n"/>
    </row>
    <row r="403" ht="20" customHeight="1">
      <c r="A403" s="26" t="n"/>
      <c r="B403" s="27">
        <f>IFERROR(IF(A403="","",VLOOKUP(A403,DATABASE!$A:$B,2,0)),"")</f>
        <v/>
      </c>
      <c r="C403" s="20">
        <f>IFERROR(IF(A403="","",VLOOKUP(A403,DATABASE!$A:$J,10,0)),"")</f>
        <v/>
      </c>
      <c r="D403" s="28">
        <f>IF(A403="","",TODAY())</f>
        <v/>
      </c>
      <c r="E403" s="29" t="n"/>
      <c r="F403" s="20">
        <f>IFERROR(IF(OR(A403="",E403=""),"",C403-E403),"")</f>
        <v/>
      </c>
      <c r="G403" s="30" t="n"/>
      <c r="H403" s="27" t="n"/>
    </row>
    <row r="404" ht="20" customHeight="1">
      <c r="A404" s="26" t="n"/>
      <c r="B404" s="35">
        <f>IFERROR(IF(A404="","",VLOOKUP(A404,DATABASE!$A:$B,2,0)),"")</f>
        <v/>
      </c>
      <c r="C404" s="36">
        <f>IFERROR(IF(A404="","",VLOOKUP(A404,DATABASE!$A:$J,10,0)),"")</f>
        <v/>
      </c>
      <c r="D404" s="37">
        <f>IF(A404="","",TODAY())</f>
        <v/>
      </c>
      <c r="E404" s="29" t="n"/>
      <c r="F404" s="36">
        <f>IFERROR(IF(OR(A404="",E404=""),"",C404-E404),"")</f>
        <v/>
      </c>
      <c r="G404" s="30" t="n"/>
      <c r="H404" s="35" t="n"/>
    </row>
    <row r="405" ht="20" customHeight="1">
      <c r="A405" s="26" t="n"/>
      <c r="B405" s="27">
        <f>IFERROR(IF(A405="","",VLOOKUP(A405,DATABASE!$A:$B,2,0)),"")</f>
        <v/>
      </c>
      <c r="C405" s="20">
        <f>IFERROR(IF(A405="","",VLOOKUP(A405,DATABASE!$A:$J,10,0)),"")</f>
        <v/>
      </c>
      <c r="D405" s="28">
        <f>IF(A405="","",TODAY())</f>
        <v/>
      </c>
      <c r="E405" s="29" t="n"/>
      <c r="F405" s="20">
        <f>IFERROR(IF(OR(A405="",E405=""),"",C405-E405),"")</f>
        <v/>
      </c>
      <c r="G405" s="30" t="n"/>
      <c r="H405" s="27" t="n"/>
    </row>
    <row r="406" ht="20" customHeight="1">
      <c r="A406" s="26" t="n"/>
      <c r="B406" s="35">
        <f>IFERROR(IF(A406="","",VLOOKUP(A406,DATABASE!$A:$B,2,0)),"")</f>
        <v/>
      </c>
      <c r="C406" s="36">
        <f>IFERROR(IF(A406="","",VLOOKUP(A406,DATABASE!$A:$J,10,0)),"")</f>
        <v/>
      </c>
      <c r="D406" s="37">
        <f>IF(A406="","",TODAY())</f>
        <v/>
      </c>
      <c r="E406" s="29" t="n"/>
      <c r="F406" s="36">
        <f>IFERROR(IF(OR(A406="",E406=""),"",C406-E406),"")</f>
        <v/>
      </c>
      <c r="G406" s="30" t="n"/>
      <c r="H406" s="35" t="n"/>
    </row>
    <row r="407" ht="20" customHeight="1">
      <c r="A407" s="26" t="n"/>
      <c r="B407" s="27">
        <f>IFERROR(IF(A407="","",VLOOKUP(A407,DATABASE!$A:$B,2,0)),"")</f>
        <v/>
      </c>
      <c r="C407" s="20">
        <f>IFERROR(IF(A407="","",VLOOKUP(A407,DATABASE!$A:$J,10,0)),"")</f>
        <v/>
      </c>
      <c r="D407" s="28">
        <f>IF(A407="","",TODAY())</f>
        <v/>
      </c>
      <c r="E407" s="29" t="n"/>
      <c r="F407" s="20">
        <f>IFERROR(IF(OR(A407="",E407=""),"",C407-E407),"")</f>
        <v/>
      </c>
      <c r="G407" s="30" t="n"/>
      <c r="H407" s="27" t="n"/>
    </row>
    <row r="408" ht="20" customHeight="1">
      <c r="A408" s="26" t="n"/>
      <c r="B408" s="35">
        <f>IFERROR(IF(A408="","",VLOOKUP(A408,DATABASE!$A:$B,2,0)),"")</f>
        <v/>
      </c>
      <c r="C408" s="36">
        <f>IFERROR(IF(A408="","",VLOOKUP(A408,DATABASE!$A:$J,10,0)),"")</f>
        <v/>
      </c>
      <c r="D408" s="37">
        <f>IF(A408="","",TODAY())</f>
        <v/>
      </c>
      <c r="E408" s="29" t="n"/>
      <c r="F408" s="36">
        <f>IFERROR(IF(OR(A408="",E408=""),"",C408-E408),"")</f>
        <v/>
      </c>
      <c r="G408" s="30" t="n"/>
      <c r="H408" s="35" t="n"/>
    </row>
    <row r="409" ht="20" customHeight="1">
      <c r="A409" s="26" t="n"/>
      <c r="B409" s="27">
        <f>IFERROR(IF(A409="","",VLOOKUP(A409,DATABASE!$A:$B,2,0)),"")</f>
        <v/>
      </c>
      <c r="C409" s="20">
        <f>IFERROR(IF(A409="","",VLOOKUP(A409,DATABASE!$A:$J,10,0)),"")</f>
        <v/>
      </c>
      <c r="D409" s="28">
        <f>IF(A409="","",TODAY())</f>
        <v/>
      </c>
      <c r="E409" s="29" t="n"/>
      <c r="F409" s="20">
        <f>IFERROR(IF(OR(A409="",E409=""),"",C409-E409),"")</f>
        <v/>
      </c>
      <c r="G409" s="30" t="n"/>
      <c r="H409" s="27" t="n"/>
    </row>
    <row r="410" ht="20" customHeight="1">
      <c r="A410" s="26" t="n"/>
      <c r="B410" s="35">
        <f>IFERROR(IF(A410="","",VLOOKUP(A410,DATABASE!$A:$B,2,0)),"")</f>
        <v/>
      </c>
      <c r="C410" s="36">
        <f>IFERROR(IF(A410="","",VLOOKUP(A410,DATABASE!$A:$J,10,0)),"")</f>
        <v/>
      </c>
      <c r="D410" s="37">
        <f>IF(A410="","",TODAY())</f>
        <v/>
      </c>
      <c r="E410" s="29" t="n"/>
      <c r="F410" s="36">
        <f>IFERROR(IF(OR(A410="",E410=""),"",C410-E410),"")</f>
        <v/>
      </c>
      <c r="G410" s="30" t="n"/>
      <c r="H410" s="35" t="n"/>
    </row>
    <row r="411" ht="20" customHeight="1">
      <c r="A411" s="26" t="n"/>
      <c r="B411" s="27">
        <f>IFERROR(IF(A411="","",VLOOKUP(A411,DATABASE!$A:$B,2,0)),"")</f>
        <v/>
      </c>
      <c r="C411" s="20">
        <f>IFERROR(IF(A411="","",VLOOKUP(A411,DATABASE!$A:$J,10,0)),"")</f>
        <v/>
      </c>
      <c r="D411" s="28">
        <f>IF(A411="","",TODAY())</f>
        <v/>
      </c>
      <c r="E411" s="29" t="n"/>
      <c r="F411" s="20">
        <f>IFERROR(IF(OR(A411="",E411=""),"",C411-E411),"")</f>
        <v/>
      </c>
      <c r="G411" s="30" t="n"/>
      <c r="H411" s="27" t="n"/>
    </row>
    <row r="412" ht="20" customHeight="1">
      <c r="A412" s="26" t="n"/>
      <c r="B412" s="35">
        <f>IFERROR(IF(A412="","",VLOOKUP(A412,DATABASE!$A:$B,2,0)),"")</f>
        <v/>
      </c>
      <c r="C412" s="36">
        <f>IFERROR(IF(A412="","",VLOOKUP(A412,DATABASE!$A:$J,10,0)),"")</f>
        <v/>
      </c>
      <c r="D412" s="37">
        <f>IF(A412="","",TODAY())</f>
        <v/>
      </c>
      <c r="E412" s="29" t="n"/>
      <c r="F412" s="36">
        <f>IFERROR(IF(OR(A412="",E412=""),"",C412-E412),"")</f>
        <v/>
      </c>
      <c r="G412" s="30" t="n"/>
      <c r="H412" s="35" t="n"/>
    </row>
    <row r="413" ht="20" customHeight="1">
      <c r="A413" s="26" t="n"/>
      <c r="B413" s="27">
        <f>IFERROR(IF(A413="","",VLOOKUP(A413,DATABASE!$A:$B,2,0)),"")</f>
        <v/>
      </c>
      <c r="C413" s="20">
        <f>IFERROR(IF(A413="","",VLOOKUP(A413,DATABASE!$A:$J,10,0)),"")</f>
        <v/>
      </c>
      <c r="D413" s="28">
        <f>IF(A413="","",TODAY())</f>
        <v/>
      </c>
      <c r="E413" s="29" t="n"/>
      <c r="F413" s="20">
        <f>IFERROR(IF(OR(A413="",E413=""),"",C413-E413),"")</f>
        <v/>
      </c>
      <c r="G413" s="30" t="n"/>
      <c r="H413" s="27" t="n"/>
    </row>
    <row r="414" ht="20" customHeight="1">
      <c r="A414" s="26" t="n"/>
      <c r="B414" s="35">
        <f>IFERROR(IF(A414="","",VLOOKUP(A414,DATABASE!$A:$B,2,0)),"")</f>
        <v/>
      </c>
      <c r="C414" s="36">
        <f>IFERROR(IF(A414="","",VLOOKUP(A414,DATABASE!$A:$J,10,0)),"")</f>
        <v/>
      </c>
      <c r="D414" s="37">
        <f>IF(A414="","",TODAY())</f>
        <v/>
      </c>
      <c r="E414" s="29" t="n"/>
      <c r="F414" s="36">
        <f>IFERROR(IF(OR(A414="",E414=""),"",C414-E414),"")</f>
        <v/>
      </c>
      <c r="G414" s="30" t="n"/>
      <c r="H414" s="35" t="n"/>
    </row>
    <row r="415" ht="20" customHeight="1">
      <c r="A415" s="26" t="n"/>
      <c r="B415" s="27">
        <f>IFERROR(IF(A415="","",VLOOKUP(A415,DATABASE!$A:$B,2,0)),"")</f>
        <v/>
      </c>
      <c r="C415" s="20">
        <f>IFERROR(IF(A415="","",VLOOKUP(A415,DATABASE!$A:$J,10,0)),"")</f>
        <v/>
      </c>
      <c r="D415" s="28">
        <f>IF(A415="","",TODAY())</f>
        <v/>
      </c>
      <c r="E415" s="29" t="n"/>
      <c r="F415" s="20">
        <f>IFERROR(IF(OR(A415="",E415=""),"",C415-E415),"")</f>
        <v/>
      </c>
      <c r="G415" s="30" t="n"/>
      <c r="H415" s="27" t="n"/>
    </row>
    <row r="416" ht="20" customHeight="1">
      <c r="A416" s="26" t="n"/>
      <c r="B416" s="35">
        <f>IFERROR(IF(A416="","",VLOOKUP(A416,DATABASE!$A:$B,2,0)),"")</f>
        <v/>
      </c>
      <c r="C416" s="36">
        <f>IFERROR(IF(A416="","",VLOOKUP(A416,DATABASE!$A:$J,10,0)),"")</f>
        <v/>
      </c>
      <c r="D416" s="37">
        <f>IF(A416="","",TODAY())</f>
        <v/>
      </c>
      <c r="E416" s="29" t="n"/>
      <c r="F416" s="36">
        <f>IFERROR(IF(OR(A416="",E416=""),"",C416-E416),"")</f>
        <v/>
      </c>
      <c r="G416" s="30" t="n"/>
      <c r="H416" s="35" t="n"/>
    </row>
    <row r="417" ht="20" customHeight="1">
      <c r="A417" s="26" t="n"/>
      <c r="B417" s="27">
        <f>IFERROR(IF(A417="","",VLOOKUP(A417,DATABASE!$A:$B,2,0)),"")</f>
        <v/>
      </c>
      <c r="C417" s="20">
        <f>IFERROR(IF(A417="","",VLOOKUP(A417,DATABASE!$A:$J,10,0)),"")</f>
        <v/>
      </c>
      <c r="D417" s="28">
        <f>IF(A417="","",TODAY())</f>
        <v/>
      </c>
      <c r="E417" s="29" t="n"/>
      <c r="F417" s="20">
        <f>IFERROR(IF(OR(A417="",E417=""),"",C417-E417),"")</f>
        <v/>
      </c>
      <c r="G417" s="30" t="n"/>
      <c r="H417" s="27" t="n"/>
    </row>
    <row r="418" ht="20" customHeight="1">
      <c r="A418" s="26" t="n"/>
      <c r="B418" s="35">
        <f>IFERROR(IF(A418="","",VLOOKUP(A418,DATABASE!$A:$B,2,0)),"")</f>
        <v/>
      </c>
      <c r="C418" s="36">
        <f>IFERROR(IF(A418="","",VLOOKUP(A418,DATABASE!$A:$J,10,0)),"")</f>
        <v/>
      </c>
      <c r="D418" s="37">
        <f>IF(A418="","",TODAY())</f>
        <v/>
      </c>
      <c r="E418" s="29" t="n"/>
      <c r="F418" s="36">
        <f>IFERROR(IF(OR(A418="",E418=""),"",C418-E418),"")</f>
        <v/>
      </c>
      <c r="G418" s="30" t="n"/>
      <c r="H418" s="35" t="n"/>
    </row>
    <row r="419" ht="20" customHeight="1">
      <c r="A419" s="26" t="n"/>
      <c r="B419" s="27">
        <f>IFERROR(IF(A419="","",VLOOKUP(A419,DATABASE!$A:$B,2,0)),"")</f>
        <v/>
      </c>
      <c r="C419" s="20">
        <f>IFERROR(IF(A419="","",VLOOKUP(A419,DATABASE!$A:$J,10,0)),"")</f>
        <v/>
      </c>
      <c r="D419" s="28">
        <f>IF(A419="","",TODAY())</f>
        <v/>
      </c>
      <c r="E419" s="29" t="n"/>
      <c r="F419" s="20">
        <f>IFERROR(IF(OR(A419="",E419=""),"",C419-E419),"")</f>
        <v/>
      </c>
      <c r="G419" s="30" t="n"/>
      <c r="H419" s="27" t="n"/>
    </row>
    <row r="420" ht="20" customHeight="1">
      <c r="A420" s="26" t="n"/>
      <c r="B420" s="35">
        <f>IFERROR(IF(A420="","",VLOOKUP(A420,DATABASE!$A:$B,2,0)),"")</f>
        <v/>
      </c>
      <c r="C420" s="36">
        <f>IFERROR(IF(A420="","",VLOOKUP(A420,DATABASE!$A:$J,10,0)),"")</f>
        <v/>
      </c>
      <c r="D420" s="37">
        <f>IF(A420="","",TODAY())</f>
        <v/>
      </c>
      <c r="E420" s="29" t="n"/>
      <c r="F420" s="36">
        <f>IFERROR(IF(OR(A420="",E420=""),"",C420-E420),"")</f>
        <v/>
      </c>
      <c r="G420" s="30" t="n"/>
      <c r="H420" s="35" t="n"/>
    </row>
    <row r="421" ht="20" customHeight="1">
      <c r="A421" s="26" t="n"/>
      <c r="B421" s="27">
        <f>IFERROR(IF(A421="","",VLOOKUP(A421,DATABASE!$A:$B,2,0)),"")</f>
        <v/>
      </c>
      <c r="C421" s="20">
        <f>IFERROR(IF(A421="","",VLOOKUP(A421,DATABASE!$A:$J,10,0)),"")</f>
        <v/>
      </c>
      <c r="D421" s="28">
        <f>IF(A421="","",TODAY())</f>
        <v/>
      </c>
      <c r="E421" s="29" t="n"/>
      <c r="F421" s="20">
        <f>IFERROR(IF(OR(A421="",E421=""),"",C421-E421),"")</f>
        <v/>
      </c>
      <c r="G421" s="30" t="n"/>
      <c r="H421" s="27" t="n"/>
    </row>
    <row r="422" ht="20" customHeight="1">
      <c r="A422" s="26" t="n"/>
      <c r="B422" s="35">
        <f>IFERROR(IF(A422="","",VLOOKUP(A422,DATABASE!$A:$B,2,0)),"")</f>
        <v/>
      </c>
      <c r="C422" s="36">
        <f>IFERROR(IF(A422="","",VLOOKUP(A422,DATABASE!$A:$J,10,0)),"")</f>
        <v/>
      </c>
      <c r="D422" s="37">
        <f>IF(A422="","",TODAY())</f>
        <v/>
      </c>
      <c r="E422" s="29" t="n"/>
      <c r="F422" s="36">
        <f>IFERROR(IF(OR(A422="",E422=""),"",C422-E422),"")</f>
        <v/>
      </c>
      <c r="G422" s="30" t="n"/>
      <c r="H422" s="35" t="n"/>
    </row>
    <row r="423" ht="20" customHeight="1">
      <c r="A423" s="26" t="n"/>
      <c r="B423" s="27">
        <f>IFERROR(IF(A423="","",VLOOKUP(A423,DATABASE!$A:$B,2,0)),"")</f>
        <v/>
      </c>
      <c r="C423" s="20">
        <f>IFERROR(IF(A423="","",VLOOKUP(A423,DATABASE!$A:$J,10,0)),"")</f>
        <v/>
      </c>
      <c r="D423" s="28">
        <f>IF(A423="","",TODAY())</f>
        <v/>
      </c>
      <c r="E423" s="29" t="n"/>
      <c r="F423" s="20">
        <f>IFERROR(IF(OR(A423="",E423=""),"",C423-E423),"")</f>
        <v/>
      </c>
      <c r="G423" s="30" t="n"/>
      <c r="H423" s="27" t="n"/>
    </row>
    <row r="424" ht="20" customHeight="1">
      <c r="A424" s="26" t="n"/>
      <c r="B424" s="35">
        <f>IFERROR(IF(A424="","",VLOOKUP(A424,DATABASE!$A:$B,2,0)),"")</f>
        <v/>
      </c>
      <c r="C424" s="36">
        <f>IFERROR(IF(A424="","",VLOOKUP(A424,DATABASE!$A:$J,10,0)),"")</f>
        <v/>
      </c>
      <c r="D424" s="37">
        <f>IF(A424="","",TODAY())</f>
        <v/>
      </c>
      <c r="E424" s="29" t="n"/>
      <c r="F424" s="36">
        <f>IFERROR(IF(OR(A424="",E424=""),"",C424-E424),"")</f>
        <v/>
      </c>
      <c r="G424" s="30" t="n"/>
      <c r="H424" s="35" t="n"/>
    </row>
    <row r="425" ht="20" customHeight="1">
      <c r="A425" s="26" t="n"/>
      <c r="B425" s="27">
        <f>IFERROR(IF(A425="","",VLOOKUP(A425,DATABASE!$A:$B,2,0)),"")</f>
        <v/>
      </c>
      <c r="C425" s="20">
        <f>IFERROR(IF(A425="","",VLOOKUP(A425,DATABASE!$A:$J,10,0)),"")</f>
        <v/>
      </c>
      <c r="D425" s="28">
        <f>IF(A425="","",TODAY())</f>
        <v/>
      </c>
      <c r="E425" s="29" t="n"/>
      <c r="F425" s="20">
        <f>IFERROR(IF(OR(A425="",E425=""),"",C425-E425),"")</f>
        <v/>
      </c>
      <c r="G425" s="30" t="n"/>
      <c r="H425" s="27" t="n"/>
    </row>
    <row r="426" ht="20" customHeight="1">
      <c r="A426" s="26" t="n"/>
      <c r="B426" s="35">
        <f>IFERROR(IF(A426="","",VLOOKUP(A426,DATABASE!$A:$B,2,0)),"")</f>
        <v/>
      </c>
      <c r="C426" s="36">
        <f>IFERROR(IF(A426="","",VLOOKUP(A426,DATABASE!$A:$J,10,0)),"")</f>
        <v/>
      </c>
      <c r="D426" s="37">
        <f>IF(A426="","",TODAY())</f>
        <v/>
      </c>
      <c r="E426" s="29" t="n"/>
      <c r="F426" s="36">
        <f>IFERROR(IF(OR(A426="",E426=""),"",C426-E426),"")</f>
        <v/>
      </c>
      <c r="G426" s="30" t="n"/>
      <c r="H426" s="35" t="n"/>
    </row>
    <row r="427" ht="20" customHeight="1">
      <c r="A427" s="26" t="n"/>
      <c r="B427" s="27">
        <f>IFERROR(IF(A427="","",VLOOKUP(A427,DATABASE!$A:$B,2,0)),"")</f>
        <v/>
      </c>
      <c r="C427" s="20">
        <f>IFERROR(IF(A427="","",VLOOKUP(A427,DATABASE!$A:$J,10,0)),"")</f>
        <v/>
      </c>
      <c r="D427" s="28">
        <f>IF(A427="","",TODAY())</f>
        <v/>
      </c>
      <c r="E427" s="29" t="n"/>
      <c r="F427" s="20">
        <f>IFERROR(IF(OR(A427="",E427=""),"",C427-E427),"")</f>
        <v/>
      </c>
      <c r="G427" s="30" t="n"/>
      <c r="H427" s="27" t="n"/>
    </row>
    <row r="428" ht="20" customHeight="1">
      <c r="A428" s="26" t="n"/>
      <c r="B428" s="35">
        <f>IFERROR(IF(A428="","",VLOOKUP(A428,DATABASE!$A:$B,2,0)),"")</f>
        <v/>
      </c>
      <c r="C428" s="36">
        <f>IFERROR(IF(A428="","",VLOOKUP(A428,DATABASE!$A:$J,10,0)),"")</f>
        <v/>
      </c>
      <c r="D428" s="37">
        <f>IF(A428="","",TODAY())</f>
        <v/>
      </c>
      <c r="E428" s="29" t="n"/>
      <c r="F428" s="36">
        <f>IFERROR(IF(OR(A428="",E428=""),"",C428-E428),"")</f>
        <v/>
      </c>
      <c r="G428" s="30" t="n"/>
      <c r="H428" s="35" t="n"/>
    </row>
    <row r="429" ht="20" customHeight="1">
      <c r="A429" s="26" t="n"/>
      <c r="B429" s="27">
        <f>IFERROR(IF(A429="","",VLOOKUP(A429,DATABASE!$A:$B,2,0)),"")</f>
        <v/>
      </c>
      <c r="C429" s="20">
        <f>IFERROR(IF(A429="","",VLOOKUP(A429,DATABASE!$A:$J,10,0)),"")</f>
        <v/>
      </c>
      <c r="D429" s="28">
        <f>IF(A429="","",TODAY())</f>
        <v/>
      </c>
      <c r="E429" s="29" t="n"/>
      <c r="F429" s="20">
        <f>IFERROR(IF(OR(A429="",E429=""),"",C429-E429),"")</f>
        <v/>
      </c>
      <c r="G429" s="30" t="n"/>
      <c r="H429" s="27" t="n"/>
    </row>
    <row r="430" ht="20" customHeight="1">
      <c r="A430" s="26" t="n"/>
      <c r="B430" s="35">
        <f>IFERROR(IF(A430="","",VLOOKUP(A430,DATABASE!$A:$B,2,0)),"")</f>
        <v/>
      </c>
      <c r="C430" s="36">
        <f>IFERROR(IF(A430="","",VLOOKUP(A430,DATABASE!$A:$J,10,0)),"")</f>
        <v/>
      </c>
      <c r="D430" s="37">
        <f>IF(A430="","",TODAY())</f>
        <v/>
      </c>
      <c r="E430" s="29" t="n"/>
      <c r="F430" s="36">
        <f>IFERROR(IF(OR(A430="",E430=""),"",C430-E430),"")</f>
        <v/>
      </c>
      <c r="G430" s="30" t="n"/>
      <c r="H430" s="35" t="n"/>
    </row>
    <row r="431" ht="20" customHeight="1">
      <c r="A431" s="26" t="n"/>
      <c r="B431" s="27">
        <f>IFERROR(IF(A431="","",VLOOKUP(A431,DATABASE!$A:$B,2,0)),"")</f>
        <v/>
      </c>
      <c r="C431" s="20">
        <f>IFERROR(IF(A431="","",VLOOKUP(A431,DATABASE!$A:$J,10,0)),"")</f>
        <v/>
      </c>
      <c r="D431" s="28">
        <f>IF(A431="","",TODAY())</f>
        <v/>
      </c>
      <c r="E431" s="29" t="n"/>
      <c r="F431" s="20">
        <f>IFERROR(IF(OR(A431="",E431=""),"",C431-E431),"")</f>
        <v/>
      </c>
      <c r="G431" s="30" t="n"/>
      <c r="H431" s="27" t="n"/>
    </row>
    <row r="432" ht="20" customHeight="1">
      <c r="A432" s="26" t="n"/>
      <c r="B432" s="35">
        <f>IFERROR(IF(A432="","",VLOOKUP(A432,DATABASE!$A:$B,2,0)),"")</f>
        <v/>
      </c>
      <c r="C432" s="36">
        <f>IFERROR(IF(A432="","",VLOOKUP(A432,DATABASE!$A:$J,10,0)),"")</f>
        <v/>
      </c>
      <c r="D432" s="37">
        <f>IF(A432="","",TODAY())</f>
        <v/>
      </c>
      <c r="E432" s="29" t="n"/>
      <c r="F432" s="36">
        <f>IFERROR(IF(OR(A432="",E432=""),"",C432-E432),"")</f>
        <v/>
      </c>
      <c r="G432" s="30" t="n"/>
      <c r="H432" s="35" t="n"/>
    </row>
    <row r="433" ht="20" customHeight="1">
      <c r="A433" s="26" t="n"/>
      <c r="B433" s="27">
        <f>IFERROR(IF(A433="","",VLOOKUP(A433,DATABASE!$A:$B,2,0)),"")</f>
        <v/>
      </c>
      <c r="C433" s="20">
        <f>IFERROR(IF(A433="","",VLOOKUP(A433,DATABASE!$A:$J,10,0)),"")</f>
        <v/>
      </c>
      <c r="D433" s="28">
        <f>IF(A433="","",TODAY())</f>
        <v/>
      </c>
      <c r="E433" s="29" t="n"/>
      <c r="F433" s="20">
        <f>IFERROR(IF(OR(A433="",E433=""),"",C433-E433),"")</f>
        <v/>
      </c>
      <c r="G433" s="30" t="n"/>
      <c r="H433" s="27" t="n"/>
    </row>
    <row r="434" ht="20" customHeight="1">
      <c r="A434" s="26" t="n"/>
      <c r="B434" s="35">
        <f>IFERROR(IF(A434="","",VLOOKUP(A434,DATABASE!$A:$B,2,0)),"")</f>
        <v/>
      </c>
      <c r="C434" s="36">
        <f>IFERROR(IF(A434="","",VLOOKUP(A434,DATABASE!$A:$J,10,0)),"")</f>
        <v/>
      </c>
      <c r="D434" s="37">
        <f>IF(A434="","",TODAY())</f>
        <v/>
      </c>
      <c r="E434" s="29" t="n"/>
      <c r="F434" s="36">
        <f>IFERROR(IF(OR(A434="",E434=""),"",C434-E434),"")</f>
        <v/>
      </c>
      <c r="G434" s="30" t="n"/>
      <c r="H434" s="35" t="n"/>
    </row>
    <row r="435" ht="20" customHeight="1">
      <c r="A435" s="26" t="n"/>
      <c r="B435" s="27">
        <f>IFERROR(IF(A435="","",VLOOKUP(A435,DATABASE!$A:$B,2,0)),"")</f>
        <v/>
      </c>
      <c r="C435" s="20">
        <f>IFERROR(IF(A435="","",VLOOKUP(A435,DATABASE!$A:$J,10,0)),"")</f>
        <v/>
      </c>
      <c r="D435" s="28">
        <f>IF(A435="","",TODAY())</f>
        <v/>
      </c>
      <c r="E435" s="29" t="n"/>
      <c r="F435" s="20">
        <f>IFERROR(IF(OR(A435="",E435=""),"",C435-E435),"")</f>
        <v/>
      </c>
      <c r="G435" s="30" t="n"/>
      <c r="H435" s="27" t="n"/>
    </row>
    <row r="436" ht="20" customHeight="1">
      <c r="A436" s="26" t="n"/>
      <c r="B436" s="35">
        <f>IFERROR(IF(A436="","",VLOOKUP(A436,DATABASE!$A:$B,2,0)),"")</f>
        <v/>
      </c>
      <c r="C436" s="36">
        <f>IFERROR(IF(A436="","",VLOOKUP(A436,DATABASE!$A:$J,10,0)),"")</f>
        <v/>
      </c>
      <c r="D436" s="37">
        <f>IF(A436="","",TODAY())</f>
        <v/>
      </c>
      <c r="E436" s="29" t="n"/>
      <c r="F436" s="36">
        <f>IFERROR(IF(OR(A436="",E436=""),"",C436-E436),"")</f>
        <v/>
      </c>
      <c r="G436" s="30" t="n"/>
      <c r="H436" s="35" t="n"/>
    </row>
    <row r="437" ht="20" customHeight="1">
      <c r="A437" s="26" t="n"/>
      <c r="B437" s="27">
        <f>IFERROR(IF(A437="","",VLOOKUP(A437,DATABASE!$A:$B,2,0)),"")</f>
        <v/>
      </c>
      <c r="C437" s="20">
        <f>IFERROR(IF(A437="","",VLOOKUP(A437,DATABASE!$A:$J,10,0)),"")</f>
        <v/>
      </c>
      <c r="D437" s="28">
        <f>IF(A437="","",TODAY())</f>
        <v/>
      </c>
      <c r="E437" s="29" t="n"/>
      <c r="F437" s="20">
        <f>IFERROR(IF(OR(A437="",E437=""),"",C437-E437),"")</f>
        <v/>
      </c>
      <c r="G437" s="30" t="n"/>
      <c r="H437" s="27" t="n"/>
    </row>
    <row r="438" ht="20" customHeight="1">
      <c r="A438" s="26" t="n"/>
      <c r="B438" s="35">
        <f>IFERROR(IF(A438="","",VLOOKUP(A438,DATABASE!$A:$B,2,0)),"")</f>
        <v/>
      </c>
      <c r="C438" s="36">
        <f>IFERROR(IF(A438="","",VLOOKUP(A438,DATABASE!$A:$J,10,0)),"")</f>
        <v/>
      </c>
      <c r="D438" s="37">
        <f>IF(A438="","",TODAY())</f>
        <v/>
      </c>
      <c r="E438" s="29" t="n"/>
      <c r="F438" s="36">
        <f>IFERROR(IF(OR(A438="",E438=""),"",C438-E438),"")</f>
        <v/>
      </c>
      <c r="G438" s="30" t="n"/>
      <c r="H438" s="35" t="n"/>
    </row>
    <row r="439" ht="20" customHeight="1">
      <c r="A439" s="26" t="n"/>
      <c r="B439" s="27">
        <f>IFERROR(IF(A439="","",VLOOKUP(A439,DATABASE!$A:$B,2,0)),"")</f>
        <v/>
      </c>
      <c r="C439" s="20">
        <f>IFERROR(IF(A439="","",VLOOKUP(A439,DATABASE!$A:$J,10,0)),"")</f>
        <v/>
      </c>
      <c r="D439" s="28">
        <f>IF(A439="","",TODAY())</f>
        <v/>
      </c>
      <c r="E439" s="29" t="n"/>
      <c r="F439" s="20">
        <f>IFERROR(IF(OR(A439="",E439=""),"",C439-E439),"")</f>
        <v/>
      </c>
      <c r="G439" s="30" t="n"/>
      <c r="H439" s="27" t="n"/>
    </row>
    <row r="440" ht="20" customHeight="1">
      <c r="A440" s="26" t="n"/>
      <c r="B440" s="35">
        <f>IFERROR(IF(A440="","",VLOOKUP(A440,DATABASE!$A:$B,2,0)),"")</f>
        <v/>
      </c>
      <c r="C440" s="36">
        <f>IFERROR(IF(A440="","",VLOOKUP(A440,DATABASE!$A:$J,10,0)),"")</f>
        <v/>
      </c>
      <c r="D440" s="37">
        <f>IF(A440="","",TODAY())</f>
        <v/>
      </c>
      <c r="E440" s="29" t="n"/>
      <c r="F440" s="36">
        <f>IFERROR(IF(OR(A440="",E440=""),"",C440-E440),"")</f>
        <v/>
      </c>
      <c r="G440" s="30" t="n"/>
      <c r="H440" s="35" t="n"/>
    </row>
    <row r="441" ht="20" customHeight="1">
      <c r="A441" s="26" t="n"/>
      <c r="B441" s="27">
        <f>IFERROR(IF(A441="","",VLOOKUP(A441,DATABASE!$A:$B,2,0)),"")</f>
        <v/>
      </c>
      <c r="C441" s="20">
        <f>IFERROR(IF(A441="","",VLOOKUP(A441,DATABASE!$A:$J,10,0)),"")</f>
        <v/>
      </c>
      <c r="D441" s="28">
        <f>IF(A441="","",TODAY())</f>
        <v/>
      </c>
      <c r="E441" s="29" t="n"/>
      <c r="F441" s="20">
        <f>IFERROR(IF(OR(A441="",E441=""),"",C441-E441),"")</f>
        <v/>
      </c>
      <c r="G441" s="30" t="n"/>
      <c r="H441" s="27" t="n"/>
    </row>
    <row r="442" ht="20" customHeight="1">
      <c r="A442" s="26" t="n"/>
      <c r="B442" s="35">
        <f>IFERROR(IF(A442="","",VLOOKUP(A442,DATABASE!$A:$B,2,0)),"")</f>
        <v/>
      </c>
      <c r="C442" s="36">
        <f>IFERROR(IF(A442="","",VLOOKUP(A442,DATABASE!$A:$J,10,0)),"")</f>
        <v/>
      </c>
      <c r="D442" s="37">
        <f>IF(A442="","",TODAY())</f>
        <v/>
      </c>
      <c r="E442" s="29" t="n"/>
      <c r="F442" s="36">
        <f>IFERROR(IF(OR(A442="",E442=""),"",C442-E442),"")</f>
        <v/>
      </c>
      <c r="G442" s="30" t="n"/>
      <c r="H442" s="35" t="n"/>
    </row>
    <row r="443" ht="20" customHeight="1">
      <c r="A443" s="26" t="n"/>
      <c r="B443" s="27">
        <f>IFERROR(IF(A443="","",VLOOKUP(A443,DATABASE!$A:$B,2,0)),"")</f>
        <v/>
      </c>
      <c r="C443" s="20">
        <f>IFERROR(IF(A443="","",VLOOKUP(A443,DATABASE!$A:$J,10,0)),"")</f>
        <v/>
      </c>
      <c r="D443" s="28">
        <f>IF(A443="","",TODAY())</f>
        <v/>
      </c>
      <c r="E443" s="29" t="n"/>
      <c r="F443" s="20">
        <f>IFERROR(IF(OR(A443="",E443=""),"",C443-E443),"")</f>
        <v/>
      </c>
      <c r="G443" s="30" t="n"/>
      <c r="H443" s="27" t="n"/>
    </row>
    <row r="444" ht="20" customHeight="1">
      <c r="A444" s="26" t="n"/>
      <c r="B444" s="35">
        <f>IFERROR(IF(A444="","",VLOOKUP(A444,DATABASE!$A:$B,2,0)),"")</f>
        <v/>
      </c>
      <c r="C444" s="36">
        <f>IFERROR(IF(A444="","",VLOOKUP(A444,DATABASE!$A:$J,10,0)),"")</f>
        <v/>
      </c>
      <c r="D444" s="37">
        <f>IF(A444="","",TODAY())</f>
        <v/>
      </c>
      <c r="E444" s="29" t="n"/>
      <c r="F444" s="36">
        <f>IFERROR(IF(OR(A444="",E444=""),"",C444-E444),"")</f>
        <v/>
      </c>
      <c r="G444" s="30" t="n"/>
      <c r="H444" s="35" t="n"/>
    </row>
    <row r="445" ht="20" customHeight="1">
      <c r="A445" s="26" t="n"/>
      <c r="B445" s="27">
        <f>IFERROR(IF(A445="","",VLOOKUP(A445,DATABASE!$A:$B,2,0)),"")</f>
        <v/>
      </c>
      <c r="C445" s="20">
        <f>IFERROR(IF(A445="","",VLOOKUP(A445,DATABASE!$A:$J,10,0)),"")</f>
        <v/>
      </c>
      <c r="D445" s="28">
        <f>IF(A445="","",TODAY())</f>
        <v/>
      </c>
      <c r="E445" s="29" t="n"/>
      <c r="F445" s="20">
        <f>IFERROR(IF(OR(A445="",E445=""),"",C445-E445),"")</f>
        <v/>
      </c>
      <c r="G445" s="30" t="n"/>
      <c r="H445" s="27" t="n"/>
    </row>
    <row r="446" ht="20" customHeight="1">
      <c r="A446" s="26" t="n"/>
      <c r="B446" s="35">
        <f>IFERROR(IF(A446="","",VLOOKUP(A446,DATABASE!$A:$B,2,0)),"")</f>
        <v/>
      </c>
      <c r="C446" s="36">
        <f>IFERROR(IF(A446="","",VLOOKUP(A446,DATABASE!$A:$J,10,0)),"")</f>
        <v/>
      </c>
      <c r="D446" s="37">
        <f>IF(A446="","",TODAY())</f>
        <v/>
      </c>
      <c r="E446" s="29" t="n"/>
      <c r="F446" s="36">
        <f>IFERROR(IF(OR(A446="",E446=""),"",C446-E446),"")</f>
        <v/>
      </c>
      <c r="G446" s="30" t="n"/>
      <c r="H446" s="35" t="n"/>
    </row>
    <row r="447" ht="20" customHeight="1">
      <c r="A447" s="26" t="n"/>
      <c r="B447" s="27">
        <f>IFERROR(IF(A447="","",VLOOKUP(A447,DATABASE!$A:$B,2,0)),"")</f>
        <v/>
      </c>
      <c r="C447" s="20">
        <f>IFERROR(IF(A447="","",VLOOKUP(A447,DATABASE!$A:$J,10,0)),"")</f>
        <v/>
      </c>
      <c r="D447" s="28">
        <f>IF(A447="","",TODAY())</f>
        <v/>
      </c>
      <c r="E447" s="29" t="n"/>
      <c r="F447" s="20">
        <f>IFERROR(IF(OR(A447="",E447=""),"",C447-E447),"")</f>
        <v/>
      </c>
      <c r="G447" s="30" t="n"/>
      <c r="H447" s="27" t="n"/>
    </row>
    <row r="448" ht="20" customHeight="1">
      <c r="A448" s="26" t="n"/>
      <c r="B448" s="35">
        <f>IFERROR(IF(A448="","",VLOOKUP(A448,DATABASE!$A:$B,2,0)),"")</f>
        <v/>
      </c>
      <c r="C448" s="36">
        <f>IFERROR(IF(A448="","",VLOOKUP(A448,DATABASE!$A:$J,10,0)),"")</f>
        <v/>
      </c>
      <c r="D448" s="37">
        <f>IF(A448="","",TODAY())</f>
        <v/>
      </c>
      <c r="E448" s="29" t="n"/>
      <c r="F448" s="36">
        <f>IFERROR(IF(OR(A448="",E448=""),"",C448-E448),"")</f>
        <v/>
      </c>
      <c r="G448" s="30" t="n"/>
      <c r="H448" s="35" t="n"/>
    </row>
    <row r="449" ht="20" customHeight="1">
      <c r="A449" s="26" t="n"/>
      <c r="B449" s="27">
        <f>IFERROR(IF(A449="","",VLOOKUP(A449,DATABASE!$A:$B,2,0)),"")</f>
        <v/>
      </c>
      <c r="C449" s="20">
        <f>IFERROR(IF(A449="","",VLOOKUP(A449,DATABASE!$A:$J,10,0)),"")</f>
        <v/>
      </c>
      <c r="D449" s="28">
        <f>IF(A449="","",TODAY())</f>
        <v/>
      </c>
      <c r="E449" s="29" t="n"/>
      <c r="F449" s="20">
        <f>IFERROR(IF(OR(A449="",E449=""),"",C449-E449),"")</f>
        <v/>
      </c>
      <c r="G449" s="30" t="n"/>
      <c r="H449" s="27" t="n"/>
    </row>
    <row r="450" ht="20" customHeight="1">
      <c r="A450" s="26" t="n"/>
      <c r="B450" s="35">
        <f>IFERROR(IF(A450="","",VLOOKUP(A450,DATABASE!$A:$B,2,0)),"")</f>
        <v/>
      </c>
      <c r="C450" s="36">
        <f>IFERROR(IF(A450="","",VLOOKUP(A450,DATABASE!$A:$J,10,0)),"")</f>
        <v/>
      </c>
      <c r="D450" s="37">
        <f>IF(A450="","",TODAY())</f>
        <v/>
      </c>
      <c r="E450" s="29" t="n"/>
      <c r="F450" s="36">
        <f>IFERROR(IF(OR(A450="",E450=""),"",C450-E450),"")</f>
        <v/>
      </c>
      <c r="G450" s="30" t="n"/>
      <c r="H450" s="35" t="n"/>
    </row>
    <row r="451" ht="20" customHeight="1">
      <c r="A451" s="26" t="n"/>
      <c r="B451" s="27">
        <f>IFERROR(IF(A451="","",VLOOKUP(A451,DATABASE!$A:$B,2,0)),"")</f>
        <v/>
      </c>
      <c r="C451" s="20">
        <f>IFERROR(IF(A451="","",VLOOKUP(A451,DATABASE!$A:$J,10,0)),"")</f>
        <v/>
      </c>
      <c r="D451" s="28">
        <f>IF(A451="","",TODAY())</f>
        <v/>
      </c>
      <c r="E451" s="29" t="n"/>
      <c r="F451" s="20">
        <f>IFERROR(IF(OR(A451="",E451=""),"",C451-E451),"")</f>
        <v/>
      </c>
      <c r="G451" s="30" t="n"/>
      <c r="H451" s="27" t="n"/>
    </row>
    <row r="452" ht="20" customHeight="1">
      <c r="A452" s="26" t="n"/>
      <c r="B452" s="35">
        <f>IFERROR(IF(A452="","",VLOOKUP(A452,DATABASE!$A:$B,2,0)),"")</f>
        <v/>
      </c>
      <c r="C452" s="36">
        <f>IFERROR(IF(A452="","",VLOOKUP(A452,DATABASE!$A:$J,10,0)),"")</f>
        <v/>
      </c>
      <c r="D452" s="37">
        <f>IF(A452="","",TODAY())</f>
        <v/>
      </c>
      <c r="E452" s="29" t="n"/>
      <c r="F452" s="36">
        <f>IFERROR(IF(OR(A452="",E452=""),"",C452-E452),"")</f>
        <v/>
      </c>
      <c r="G452" s="30" t="n"/>
      <c r="H452" s="35" t="n"/>
    </row>
    <row r="453" ht="20" customHeight="1">
      <c r="A453" s="26" t="n"/>
      <c r="B453" s="27">
        <f>IFERROR(IF(A453="","",VLOOKUP(A453,DATABASE!$A:$B,2,0)),"")</f>
        <v/>
      </c>
      <c r="C453" s="20">
        <f>IFERROR(IF(A453="","",VLOOKUP(A453,DATABASE!$A:$J,10,0)),"")</f>
        <v/>
      </c>
      <c r="D453" s="28">
        <f>IF(A453="","",TODAY())</f>
        <v/>
      </c>
      <c r="E453" s="29" t="n"/>
      <c r="F453" s="20">
        <f>IFERROR(IF(OR(A453="",E453=""),"",C453-E453),"")</f>
        <v/>
      </c>
      <c r="G453" s="30" t="n"/>
      <c r="H453" s="27" t="n"/>
    </row>
    <row r="454" ht="20" customHeight="1">
      <c r="A454" s="26" t="n"/>
      <c r="B454" s="35">
        <f>IFERROR(IF(A454="","",VLOOKUP(A454,DATABASE!$A:$B,2,0)),"")</f>
        <v/>
      </c>
      <c r="C454" s="36">
        <f>IFERROR(IF(A454="","",VLOOKUP(A454,DATABASE!$A:$J,10,0)),"")</f>
        <v/>
      </c>
      <c r="D454" s="37">
        <f>IF(A454="","",TODAY())</f>
        <v/>
      </c>
      <c r="E454" s="29" t="n"/>
      <c r="F454" s="36">
        <f>IFERROR(IF(OR(A454="",E454=""),"",C454-E454),"")</f>
        <v/>
      </c>
      <c r="G454" s="30" t="n"/>
      <c r="H454" s="35" t="n"/>
    </row>
    <row r="455" ht="20" customHeight="1">
      <c r="A455" s="26" t="n"/>
      <c r="B455" s="27">
        <f>IFERROR(IF(A455="","",VLOOKUP(A455,DATABASE!$A:$B,2,0)),"")</f>
        <v/>
      </c>
      <c r="C455" s="20">
        <f>IFERROR(IF(A455="","",VLOOKUP(A455,DATABASE!$A:$J,10,0)),"")</f>
        <v/>
      </c>
      <c r="D455" s="28">
        <f>IF(A455="","",TODAY())</f>
        <v/>
      </c>
      <c r="E455" s="29" t="n"/>
      <c r="F455" s="20">
        <f>IFERROR(IF(OR(A455="",E455=""),"",C455-E455),"")</f>
        <v/>
      </c>
      <c r="G455" s="30" t="n"/>
      <c r="H455" s="27" t="n"/>
    </row>
    <row r="456" ht="20" customHeight="1">
      <c r="A456" s="26" t="n"/>
      <c r="B456" s="35">
        <f>IFERROR(IF(A456="","",VLOOKUP(A456,DATABASE!$A:$B,2,0)),"")</f>
        <v/>
      </c>
      <c r="C456" s="36">
        <f>IFERROR(IF(A456="","",VLOOKUP(A456,DATABASE!$A:$J,10,0)),"")</f>
        <v/>
      </c>
      <c r="D456" s="37">
        <f>IF(A456="","",TODAY())</f>
        <v/>
      </c>
      <c r="E456" s="29" t="n"/>
      <c r="F456" s="36">
        <f>IFERROR(IF(OR(A456="",E456=""),"",C456-E456),"")</f>
        <v/>
      </c>
      <c r="G456" s="30" t="n"/>
      <c r="H456" s="35" t="n"/>
    </row>
    <row r="457" ht="20" customHeight="1">
      <c r="A457" s="26" t="n"/>
      <c r="B457" s="27">
        <f>IFERROR(IF(A457="","",VLOOKUP(A457,DATABASE!$A:$B,2,0)),"")</f>
        <v/>
      </c>
      <c r="C457" s="20">
        <f>IFERROR(IF(A457="","",VLOOKUP(A457,DATABASE!$A:$J,10,0)),"")</f>
        <v/>
      </c>
      <c r="D457" s="28">
        <f>IF(A457="","",TODAY())</f>
        <v/>
      </c>
      <c r="E457" s="29" t="n"/>
      <c r="F457" s="20">
        <f>IFERROR(IF(OR(A457="",E457=""),"",C457-E457),"")</f>
        <v/>
      </c>
      <c r="G457" s="30" t="n"/>
      <c r="H457" s="27" t="n"/>
    </row>
    <row r="458" ht="20" customHeight="1">
      <c r="A458" s="26" t="n"/>
      <c r="B458" s="35">
        <f>IFERROR(IF(A458="","",VLOOKUP(A458,DATABASE!$A:$B,2,0)),"")</f>
        <v/>
      </c>
      <c r="C458" s="36">
        <f>IFERROR(IF(A458="","",VLOOKUP(A458,DATABASE!$A:$J,10,0)),"")</f>
        <v/>
      </c>
      <c r="D458" s="37">
        <f>IF(A458="","",TODAY())</f>
        <v/>
      </c>
      <c r="E458" s="29" t="n"/>
      <c r="F458" s="36">
        <f>IFERROR(IF(OR(A458="",E458=""),"",C458-E458),"")</f>
        <v/>
      </c>
      <c r="G458" s="30" t="n"/>
      <c r="H458" s="35" t="n"/>
    </row>
    <row r="459" ht="20" customHeight="1">
      <c r="A459" s="26" t="n"/>
      <c r="B459" s="27">
        <f>IFERROR(IF(A459="","",VLOOKUP(A459,DATABASE!$A:$B,2,0)),"")</f>
        <v/>
      </c>
      <c r="C459" s="20">
        <f>IFERROR(IF(A459="","",VLOOKUP(A459,DATABASE!$A:$J,10,0)),"")</f>
        <v/>
      </c>
      <c r="D459" s="28">
        <f>IF(A459="","",TODAY())</f>
        <v/>
      </c>
      <c r="E459" s="29" t="n"/>
      <c r="F459" s="20">
        <f>IFERROR(IF(OR(A459="",E459=""),"",C459-E459),"")</f>
        <v/>
      </c>
      <c r="G459" s="30" t="n"/>
      <c r="H459" s="27" t="n"/>
    </row>
    <row r="460" ht="20" customHeight="1">
      <c r="A460" s="26" t="n"/>
      <c r="B460" s="35">
        <f>IFERROR(IF(A460="","",VLOOKUP(A460,DATABASE!$A:$B,2,0)),"")</f>
        <v/>
      </c>
      <c r="C460" s="36">
        <f>IFERROR(IF(A460="","",VLOOKUP(A460,DATABASE!$A:$J,10,0)),"")</f>
        <v/>
      </c>
      <c r="D460" s="37">
        <f>IF(A460="","",TODAY())</f>
        <v/>
      </c>
      <c r="E460" s="29" t="n"/>
      <c r="F460" s="36">
        <f>IFERROR(IF(OR(A460="",E460=""),"",C460-E460),"")</f>
        <v/>
      </c>
      <c r="G460" s="30" t="n"/>
      <c r="H460" s="35" t="n"/>
    </row>
    <row r="461" ht="20" customHeight="1">
      <c r="A461" s="26" t="n"/>
      <c r="B461" s="27">
        <f>IFERROR(IF(A461="","",VLOOKUP(A461,DATABASE!$A:$B,2,0)),"")</f>
        <v/>
      </c>
      <c r="C461" s="20">
        <f>IFERROR(IF(A461="","",VLOOKUP(A461,DATABASE!$A:$J,10,0)),"")</f>
        <v/>
      </c>
      <c r="D461" s="28">
        <f>IF(A461="","",TODAY())</f>
        <v/>
      </c>
      <c r="E461" s="29" t="n"/>
      <c r="F461" s="20">
        <f>IFERROR(IF(OR(A461="",E461=""),"",C461-E461),"")</f>
        <v/>
      </c>
      <c r="G461" s="30" t="n"/>
      <c r="H461" s="27" t="n"/>
    </row>
    <row r="462" ht="20" customHeight="1">
      <c r="A462" s="26" t="n"/>
      <c r="B462" s="35">
        <f>IFERROR(IF(A462="","",VLOOKUP(A462,DATABASE!$A:$B,2,0)),"")</f>
        <v/>
      </c>
      <c r="C462" s="36">
        <f>IFERROR(IF(A462="","",VLOOKUP(A462,DATABASE!$A:$J,10,0)),"")</f>
        <v/>
      </c>
      <c r="D462" s="37">
        <f>IF(A462="","",TODAY())</f>
        <v/>
      </c>
      <c r="E462" s="29" t="n"/>
      <c r="F462" s="36">
        <f>IFERROR(IF(OR(A462="",E462=""),"",C462-E462),"")</f>
        <v/>
      </c>
      <c r="G462" s="30" t="n"/>
      <c r="H462" s="35" t="n"/>
    </row>
    <row r="463" ht="20" customHeight="1">
      <c r="A463" s="26" t="n"/>
      <c r="B463" s="27">
        <f>IFERROR(IF(A463="","",VLOOKUP(A463,DATABASE!$A:$B,2,0)),"")</f>
        <v/>
      </c>
      <c r="C463" s="20">
        <f>IFERROR(IF(A463="","",VLOOKUP(A463,DATABASE!$A:$J,10,0)),"")</f>
        <v/>
      </c>
      <c r="D463" s="28">
        <f>IF(A463="","",TODAY())</f>
        <v/>
      </c>
      <c r="E463" s="29" t="n"/>
      <c r="F463" s="20">
        <f>IFERROR(IF(OR(A463="",E463=""),"",C463-E463),"")</f>
        <v/>
      </c>
      <c r="G463" s="30" t="n"/>
      <c r="H463" s="27" t="n"/>
    </row>
    <row r="464" ht="20" customHeight="1">
      <c r="A464" s="26" t="n"/>
      <c r="B464" s="35">
        <f>IFERROR(IF(A464="","",VLOOKUP(A464,DATABASE!$A:$B,2,0)),"")</f>
        <v/>
      </c>
      <c r="C464" s="36">
        <f>IFERROR(IF(A464="","",VLOOKUP(A464,DATABASE!$A:$J,10,0)),"")</f>
        <v/>
      </c>
      <c r="D464" s="37">
        <f>IF(A464="","",TODAY())</f>
        <v/>
      </c>
      <c r="E464" s="29" t="n"/>
      <c r="F464" s="36">
        <f>IFERROR(IF(OR(A464="",E464=""),"",C464-E464),"")</f>
        <v/>
      </c>
      <c r="G464" s="30" t="n"/>
      <c r="H464" s="35" t="n"/>
    </row>
    <row r="465" ht="20" customHeight="1">
      <c r="A465" s="26" t="n"/>
      <c r="B465" s="27">
        <f>IFERROR(IF(A465="","",VLOOKUP(A465,DATABASE!$A:$B,2,0)),"")</f>
        <v/>
      </c>
      <c r="C465" s="20">
        <f>IFERROR(IF(A465="","",VLOOKUP(A465,DATABASE!$A:$J,10,0)),"")</f>
        <v/>
      </c>
      <c r="D465" s="28">
        <f>IF(A465="","",TODAY())</f>
        <v/>
      </c>
      <c r="E465" s="29" t="n"/>
      <c r="F465" s="20">
        <f>IFERROR(IF(OR(A465="",E465=""),"",C465-E465),"")</f>
        <v/>
      </c>
      <c r="G465" s="30" t="n"/>
      <c r="H465" s="27" t="n"/>
    </row>
    <row r="466" ht="20" customHeight="1">
      <c r="A466" s="26" t="n"/>
      <c r="B466" s="35">
        <f>IFERROR(IF(A466="","",VLOOKUP(A466,DATABASE!$A:$B,2,0)),"")</f>
        <v/>
      </c>
      <c r="C466" s="36">
        <f>IFERROR(IF(A466="","",VLOOKUP(A466,DATABASE!$A:$J,10,0)),"")</f>
        <v/>
      </c>
      <c r="D466" s="37">
        <f>IF(A466="","",TODAY())</f>
        <v/>
      </c>
      <c r="E466" s="29" t="n"/>
      <c r="F466" s="36">
        <f>IFERROR(IF(OR(A466="",E466=""),"",C466-E466),"")</f>
        <v/>
      </c>
      <c r="G466" s="30" t="n"/>
      <c r="H466" s="35" t="n"/>
    </row>
    <row r="467" ht="20" customHeight="1">
      <c r="A467" s="26" t="n"/>
      <c r="B467" s="27">
        <f>IFERROR(IF(A467="","",VLOOKUP(A467,DATABASE!$A:$B,2,0)),"")</f>
        <v/>
      </c>
      <c r="C467" s="20">
        <f>IFERROR(IF(A467="","",VLOOKUP(A467,DATABASE!$A:$J,10,0)),"")</f>
        <v/>
      </c>
      <c r="D467" s="28">
        <f>IF(A467="","",TODAY())</f>
        <v/>
      </c>
      <c r="E467" s="29" t="n"/>
      <c r="F467" s="20">
        <f>IFERROR(IF(OR(A467="",E467=""),"",C467-E467),"")</f>
        <v/>
      </c>
      <c r="G467" s="30" t="n"/>
      <c r="H467" s="27" t="n"/>
    </row>
    <row r="468" ht="20" customHeight="1">
      <c r="A468" s="26" t="n"/>
      <c r="B468" s="35">
        <f>IFERROR(IF(A468="","",VLOOKUP(A468,DATABASE!$A:$B,2,0)),"")</f>
        <v/>
      </c>
      <c r="C468" s="36">
        <f>IFERROR(IF(A468="","",VLOOKUP(A468,DATABASE!$A:$J,10,0)),"")</f>
        <v/>
      </c>
      <c r="D468" s="37">
        <f>IF(A468="","",TODAY())</f>
        <v/>
      </c>
      <c r="E468" s="29" t="n"/>
      <c r="F468" s="36">
        <f>IFERROR(IF(OR(A468="",E468=""),"",C468-E468),"")</f>
        <v/>
      </c>
      <c r="G468" s="30" t="n"/>
      <c r="H468" s="35" t="n"/>
    </row>
    <row r="469" ht="20" customHeight="1">
      <c r="A469" s="26" t="n"/>
      <c r="B469" s="27">
        <f>IFERROR(IF(A469="","",VLOOKUP(A469,DATABASE!$A:$B,2,0)),"")</f>
        <v/>
      </c>
      <c r="C469" s="20">
        <f>IFERROR(IF(A469="","",VLOOKUP(A469,DATABASE!$A:$J,10,0)),"")</f>
        <v/>
      </c>
      <c r="D469" s="28">
        <f>IF(A469="","",TODAY())</f>
        <v/>
      </c>
      <c r="E469" s="29" t="n"/>
      <c r="F469" s="20">
        <f>IFERROR(IF(OR(A469="",E469=""),"",C469-E469),"")</f>
        <v/>
      </c>
      <c r="G469" s="30" t="n"/>
      <c r="H469" s="27" t="n"/>
    </row>
    <row r="470" ht="20" customHeight="1">
      <c r="A470" s="26" t="n"/>
      <c r="B470" s="35">
        <f>IFERROR(IF(A470="","",VLOOKUP(A470,DATABASE!$A:$B,2,0)),"")</f>
        <v/>
      </c>
      <c r="C470" s="36">
        <f>IFERROR(IF(A470="","",VLOOKUP(A470,DATABASE!$A:$J,10,0)),"")</f>
        <v/>
      </c>
      <c r="D470" s="37">
        <f>IF(A470="","",TODAY())</f>
        <v/>
      </c>
      <c r="E470" s="29" t="n"/>
      <c r="F470" s="36">
        <f>IFERROR(IF(OR(A470="",E470=""),"",C470-E470),"")</f>
        <v/>
      </c>
      <c r="G470" s="30" t="n"/>
      <c r="H470" s="35" t="n"/>
    </row>
    <row r="471" ht="20" customHeight="1">
      <c r="A471" s="26" t="n"/>
      <c r="B471" s="27">
        <f>IFERROR(IF(A471="","",VLOOKUP(A471,DATABASE!$A:$B,2,0)),"")</f>
        <v/>
      </c>
      <c r="C471" s="20">
        <f>IFERROR(IF(A471="","",VLOOKUP(A471,DATABASE!$A:$J,10,0)),"")</f>
        <v/>
      </c>
      <c r="D471" s="28">
        <f>IF(A471="","",TODAY())</f>
        <v/>
      </c>
      <c r="E471" s="29" t="n"/>
      <c r="F471" s="20">
        <f>IFERROR(IF(OR(A471="",E471=""),"",C471-E471),"")</f>
        <v/>
      </c>
      <c r="G471" s="30" t="n"/>
      <c r="H471" s="27" t="n"/>
    </row>
    <row r="472" ht="20" customHeight="1">
      <c r="A472" s="26" t="n"/>
      <c r="B472" s="35">
        <f>IFERROR(IF(A472="","",VLOOKUP(A472,DATABASE!$A:$B,2,0)),"")</f>
        <v/>
      </c>
      <c r="C472" s="36">
        <f>IFERROR(IF(A472="","",VLOOKUP(A472,DATABASE!$A:$J,10,0)),"")</f>
        <v/>
      </c>
      <c r="D472" s="37">
        <f>IF(A472="","",TODAY())</f>
        <v/>
      </c>
      <c r="E472" s="29" t="n"/>
      <c r="F472" s="36">
        <f>IFERROR(IF(OR(A472="",E472=""),"",C472-E472),"")</f>
        <v/>
      </c>
      <c r="G472" s="30" t="n"/>
      <c r="H472" s="35" t="n"/>
    </row>
    <row r="473" ht="20" customHeight="1">
      <c r="A473" s="26" t="n"/>
      <c r="B473" s="27">
        <f>IFERROR(IF(A473="","",VLOOKUP(A473,DATABASE!$A:$B,2,0)),"")</f>
        <v/>
      </c>
      <c r="C473" s="20">
        <f>IFERROR(IF(A473="","",VLOOKUP(A473,DATABASE!$A:$J,10,0)),"")</f>
        <v/>
      </c>
      <c r="D473" s="28">
        <f>IF(A473="","",TODAY())</f>
        <v/>
      </c>
      <c r="E473" s="29" t="n"/>
      <c r="F473" s="20">
        <f>IFERROR(IF(OR(A473="",E473=""),"",C473-E473),"")</f>
        <v/>
      </c>
      <c r="G473" s="30" t="n"/>
      <c r="H473" s="27" t="n"/>
    </row>
    <row r="474" ht="20" customHeight="1">
      <c r="A474" s="26" t="n"/>
      <c r="B474" s="35">
        <f>IFERROR(IF(A474="","",VLOOKUP(A474,DATABASE!$A:$B,2,0)),"")</f>
        <v/>
      </c>
      <c r="C474" s="36">
        <f>IFERROR(IF(A474="","",VLOOKUP(A474,DATABASE!$A:$J,10,0)),"")</f>
        <v/>
      </c>
      <c r="D474" s="37">
        <f>IF(A474="","",TODAY())</f>
        <v/>
      </c>
      <c r="E474" s="29" t="n"/>
      <c r="F474" s="36">
        <f>IFERROR(IF(OR(A474="",E474=""),"",C474-E474),"")</f>
        <v/>
      </c>
      <c r="G474" s="30" t="n"/>
      <c r="H474" s="35" t="n"/>
    </row>
    <row r="475" ht="20" customHeight="1">
      <c r="A475" s="26" t="n"/>
      <c r="B475" s="27">
        <f>IFERROR(IF(A475="","",VLOOKUP(A475,DATABASE!$A:$B,2,0)),"")</f>
        <v/>
      </c>
      <c r="C475" s="20">
        <f>IFERROR(IF(A475="","",VLOOKUP(A475,DATABASE!$A:$J,10,0)),"")</f>
        <v/>
      </c>
      <c r="D475" s="28">
        <f>IF(A475="","",TODAY())</f>
        <v/>
      </c>
      <c r="E475" s="29" t="n"/>
      <c r="F475" s="20">
        <f>IFERROR(IF(OR(A475="",E475=""),"",C475-E475),"")</f>
        <v/>
      </c>
      <c r="G475" s="30" t="n"/>
      <c r="H475" s="27" t="n"/>
    </row>
    <row r="476" ht="20" customHeight="1">
      <c r="A476" s="26" t="n"/>
      <c r="B476" s="35">
        <f>IFERROR(IF(A476="","",VLOOKUP(A476,DATABASE!$A:$B,2,0)),"")</f>
        <v/>
      </c>
      <c r="C476" s="36">
        <f>IFERROR(IF(A476="","",VLOOKUP(A476,DATABASE!$A:$J,10,0)),"")</f>
        <v/>
      </c>
      <c r="D476" s="37">
        <f>IF(A476="","",TODAY())</f>
        <v/>
      </c>
      <c r="E476" s="29" t="n"/>
      <c r="F476" s="36">
        <f>IFERROR(IF(OR(A476="",E476=""),"",C476-E476),"")</f>
        <v/>
      </c>
      <c r="G476" s="30" t="n"/>
      <c r="H476" s="35" t="n"/>
    </row>
    <row r="477" ht="20" customHeight="1">
      <c r="A477" s="26" t="n"/>
      <c r="B477" s="27">
        <f>IFERROR(IF(A477="","",VLOOKUP(A477,DATABASE!$A:$B,2,0)),"")</f>
        <v/>
      </c>
      <c r="C477" s="20">
        <f>IFERROR(IF(A477="","",VLOOKUP(A477,DATABASE!$A:$J,10,0)),"")</f>
        <v/>
      </c>
      <c r="D477" s="28">
        <f>IF(A477="","",TODAY())</f>
        <v/>
      </c>
      <c r="E477" s="29" t="n"/>
      <c r="F477" s="20">
        <f>IFERROR(IF(OR(A477="",E477=""),"",C477-E477),"")</f>
        <v/>
      </c>
      <c r="G477" s="30" t="n"/>
      <c r="H477" s="27" t="n"/>
    </row>
    <row r="478" ht="20" customHeight="1">
      <c r="A478" s="26" t="n"/>
      <c r="B478" s="35">
        <f>IFERROR(IF(A478="","",VLOOKUP(A478,DATABASE!$A:$B,2,0)),"")</f>
        <v/>
      </c>
      <c r="C478" s="36">
        <f>IFERROR(IF(A478="","",VLOOKUP(A478,DATABASE!$A:$J,10,0)),"")</f>
        <v/>
      </c>
      <c r="D478" s="37">
        <f>IF(A478="","",TODAY())</f>
        <v/>
      </c>
      <c r="E478" s="29" t="n"/>
      <c r="F478" s="36">
        <f>IFERROR(IF(OR(A478="",E478=""),"",C478-E478),"")</f>
        <v/>
      </c>
      <c r="G478" s="30" t="n"/>
      <c r="H478" s="35" t="n"/>
    </row>
    <row r="479" ht="20" customHeight="1">
      <c r="A479" s="26" t="n"/>
      <c r="B479" s="27">
        <f>IFERROR(IF(A479="","",VLOOKUP(A479,DATABASE!$A:$B,2,0)),"")</f>
        <v/>
      </c>
      <c r="C479" s="20">
        <f>IFERROR(IF(A479="","",VLOOKUP(A479,DATABASE!$A:$J,10,0)),"")</f>
        <v/>
      </c>
      <c r="D479" s="28">
        <f>IF(A479="","",TODAY())</f>
        <v/>
      </c>
      <c r="E479" s="29" t="n"/>
      <c r="F479" s="20">
        <f>IFERROR(IF(OR(A479="",E479=""),"",C479-E479),"")</f>
        <v/>
      </c>
      <c r="G479" s="30" t="n"/>
      <c r="H479" s="27" t="n"/>
    </row>
    <row r="480" ht="20" customHeight="1">
      <c r="A480" s="26" t="n"/>
      <c r="B480" s="35">
        <f>IFERROR(IF(A480="","",VLOOKUP(A480,DATABASE!$A:$B,2,0)),"")</f>
        <v/>
      </c>
      <c r="C480" s="36">
        <f>IFERROR(IF(A480="","",VLOOKUP(A480,DATABASE!$A:$J,10,0)),"")</f>
        <v/>
      </c>
      <c r="D480" s="37">
        <f>IF(A480="","",TODAY())</f>
        <v/>
      </c>
      <c r="E480" s="29" t="n"/>
      <c r="F480" s="36">
        <f>IFERROR(IF(OR(A480="",E480=""),"",C480-E480),"")</f>
        <v/>
      </c>
      <c r="G480" s="30" t="n"/>
      <c r="H480" s="35" t="n"/>
    </row>
    <row r="481" ht="20" customHeight="1">
      <c r="A481" s="26" t="n"/>
      <c r="B481" s="27">
        <f>IFERROR(IF(A481="","",VLOOKUP(A481,DATABASE!$A:$B,2,0)),"")</f>
        <v/>
      </c>
      <c r="C481" s="20">
        <f>IFERROR(IF(A481="","",VLOOKUP(A481,DATABASE!$A:$J,10,0)),"")</f>
        <v/>
      </c>
      <c r="D481" s="28">
        <f>IF(A481="","",TODAY())</f>
        <v/>
      </c>
      <c r="E481" s="29" t="n"/>
      <c r="F481" s="20">
        <f>IFERROR(IF(OR(A481="",E481=""),"",C481-E481),"")</f>
        <v/>
      </c>
      <c r="G481" s="30" t="n"/>
      <c r="H481" s="27" t="n"/>
    </row>
    <row r="482" ht="20" customHeight="1">
      <c r="A482" s="26" t="n"/>
      <c r="B482" s="35">
        <f>IFERROR(IF(A482="","",VLOOKUP(A482,DATABASE!$A:$B,2,0)),"")</f>
        <v/>
      </c>
      <c r="C482" s="36">
        <f>IFERROR(IF(A482="","",VLOOKUP(A482,DATABASE!$A:$J,10,0)),"")</f>
        <v/>
      </c>
      <c r="D482" s="37">
        <f>IF(A482="","",TODAY())</f>
        <v/>
      </c>
      <c r="E482" s="29" t="n"/>
      <c r="F482" s="36">
        <f>IFERROR(IF(OR(A482="",E482=""),"",C482-E482),"")</f>
        <v/>
      </c>
      <c r="G482" s="30" t="n"/>
      <c r="H482" s="35" t="n"/>
    </row>
    <row r="483" ht="20" customHeight="1">
      <c r="A483" s="26" t="n"/>
      <c r="B483" s="27">
        <f>IFERROR(IF(A483="","",VLOOKUP(A483,DATABASE!$A:$B,2,0)),"")</f>
        <v/>
      </c>
      <c r="C483" s="20">
        <f>IFERROR(IF(A483="","",VLOOKUP(A483,DATABASE!$A:$J,10,0)),"")</f>
        <v/>
      </c>
      <c r="D483" s="28">
        <f>IF(A483="","",TODAY())</f>
        <v/>
      </c>
      <c r="E483" s="29" t="n"/>
      <c r="F483" s="20">
        <f>IFERROR(IF(OR(A483="",E483=""),"",C483-E483),"")</f>
        <v/>
      </c>
      <c r="G483" s="30" t="n"/>
      <c r="H483" s="27" t="n"/>
    </row>
    <row r="484" ht="20" customHeight="1">
      <c r="A484" s="26" t="n"/>
      <c r="B484" s="35">
        <f>IFERROR(IF(A484="","",VLOOKUP(A484,DATABASE!$A:$B,2,0)),"")</f>
        <v/>
      </c>
      <c r="C484" s="36">
        <f>IFERROR(IF(A484="","",VLOOKUP(A484,DATABASE!$A:$J,10,0)),"")</f>
        <v/>
      </c>
      <c r="D484" s="37">
        <f>IF(A484="","",TODAY())</f>
        <v/>
      </c>
      <c r="E484" s="29" t="n"/>
      <c r="F484" s="36">
        <f>IFERROR(IF(OR(A484="",E484=""),"",C484-E484),"")</f>
        <v/>
      </c>
      <c r="G484" s="30" t="n"/>
      <c r="H484" s="35" t="n"/>
    </row>
    <row r="485" ht="20" customHeight="1">
      <c r="A485" s="26" t="n"/>
      <c r="B485" s="27">
        <f>IFERROR(IF(A485="","",VLOOKUP(A485,DATABASE!$A:$B,2,0)),"")</f>
        <v/>
      </c>
      <c r="C485" s="20">
        <f>IFERROR(IF(A485="","",VLOOKUP(A485,DATABASE!$A:$J,10,0)),"")</f>
        <v/>
      </c>
      <c r="D485" s="28">
        <f>IF(A485="","",TODAY())</f>
        <v/>
      </c>
      <c r="E485" s="29" t="n"/>
      <c r="F485" s="20">
        <f>IFERROR(IF(OR(A485="",E485=""),"",C485-E485),"")</f>
        <v/>
      </c>
      <c r="G485" s="30" t="n"/>
      <c r="H485" s="27" t="n"/>
    </row>
    <row r="486" ht="20" customHeight="1">
      <c r="A486" s="26" t="n"/>
      <c r="B486" s="35">
        <f>IFERROR(IF(A486="","",VLOOKUP(A486,DATABASE!$A:$B,2,0)),"")</f>
        <v/>
      </c>
      <c r="C486" s="36">
        <f>IFERROR(IF(A486="","",VLOOKUP(A486,DATABASE!$A:$J,10,0)),"")</f>
        <v/>
      </c>
      <c r="D486" s="37">
        <f>IF(A486="","",TODAY())</f>
        <v/>
      </c>
      <c r="E486" s="29" t="n"/>
      <c r="F486" s="36">
        <f>IFERROR(IF(OR(A486="",E486=""),"",C486-E486),"")</f>
        <v/>
      </c>
      <c r="G486" s="30" t="n"/>
      <c r="H486" s="35" t="n"/>
    </row>
    <row r="487" ht="20" customHeight="1">
      <c r="A487" s="26" t="n"/>
      <c r="B487" s="27">
        <f>IFERROR(IF(A487="","",VLOOKUP(A487,DATABASE!$A:$B,2,0)),"")</f>
        <v/>
      </c>
      <c r="C487" s="20">
        <f>IFERROR(IF(A487="","",VLOOKUP(A487,DATABASE!$A:$J,10,0)),"")</f>
        <v/>
      </c>
      <c r="D487" s="28">
        <f>IF(A487="","",TODAY())</f>
        <v/>
      </c>
      <c r="E487" s="29" t="n"/>
      <c r="F487" s="20">
        <f>IFERROR(IF(OR(A487="",E487=""),"",C487-E487),"")</f>
        <v/>
      </c>
      <c r="G487" s="30" t="n"/>
      <c r="H487" s="27" t="n"/>
    </row>
    <row r="488" ht="20" customHeight="1">
      <c r="A488" s="26" t="n"/>
      <c r="B488" s="35">
        <f>IFERROR(IF(A488="","",VLOOKUP(A488,DATABASE!$A:$B,2,0)),"")</f>
        <v/>
      </c>
      <c r="C488" s="36">
        <f>IFERROR(IF(A488="","",VLOOKUP(A488,DATABASE!$A:$J,10,0)),"")</f>
        <v/>
      </c>
      <c r="D488" s="37">
        <f>IF(A488="","",TODAY())</f>
        <v/>
      </c>
      <c r="E488" s="29" t="n"/>
      <c r="F488" s="36">
        <f>IFERROR(IF(OR(A488="",E488=""),"",C488-E488),"")</f>
        <v/>
      </c>
      <c r="G488" s="30" t="n"/>
      <c r="H488" s="35" t="n"/>
    </row>
    <row r="489" ht="20" customHeight="1">
      <c r="A489" s="26" t="n"/>
      <c r="B489" s="27">
        <f>IFERROR(IF(A489="","",VLOOKUP(A489,DATABASE!$A:$B,2,0)),"")</f>
        <v/>
      </c>
      <c r="C489" s="20">
        <f>IFERROR(IF(A489="","",VLOOKUP(A489,DATABASE!$A:$J,10,0)),"")</f>
        <v/>
      </c>
      <c r="D489" s="28">
        <f>IF(A489="","",TODAY())</f>
        <v/>
      </c>
      <c r="E489" s="29" t="n"/>
      <c r="F489" s="20">
        <f>IFERROR(IF(OR(A489="",E489=""),"",C489-E489),"")</f>
        <v/>
      </c>
      <c r="G489" s="30" t="n"/>
      <c r="H489" s="27" t="n"/>
    </row>
    <row r="490" ht="20" customHeight="1">
      <c r="A490" s="26" t="n"/>
      <c r="B490" s="35">
        <f>IFERROR(IF(A490="","",VLOOKUP(A490,DATABASE!$A:$B,2,0)),"")</f>
        <v/>
      </c>
      <c r="C490" s="36">
        <f>IFERROR(IF(A490="","",VLOOKUP(A490,DATABASE!$A:$J,10,0)),"")</f>
        <v/>
      </c>
      <c r="D490" s="37">
        <f>IF(A490="","",TODAY())</f>
        <v/>
      </c>
      <c r="E490" s="29" t="n"/>
      <c r="F490" s="36">
        <f>IFERROR(IF(OR(A490="",E490=""),"",C490-E490),"")</f>
        <v/>
      </c>
      <c r="G490" s="30" t="n"/>
      <c r="H490" s="35" t="n"/>
    </row>
    <row r="491" ht="20" customHeight="1">
      <c r="A491" s="26" t="n"/>
      <c r="B491" s="27">
        <f>IFERROR(IF(A491="","",VLOOKUP(A491,DATABASE!$A:$B,2,0)),"")</f>
        <v/>
      </c>
      <c r="C491" s="20">
        <f>IFERROR(IF(A491="","",VLOOKUP(A491,DATABASE!$A:$J,10,0)),"")</f>
        <v/>
      </c>
      <c r="D491" s="28">
        <f>IF(A491="","",TODAY())</f>
        <v/>
      </c>
      <c r="E491" s="29" t="n"/>
      <c r="F491" s="20">
        <f>IFERROR(IF(OR(A491="",E491=""),"",C491-E491),"")</f>
        <v/>
      </c>
      <c r="G491" s="30" t="n"/>
      <c r="H491" s="27" t="n"/>
    </row>
    <row r="492" ht="20" customHeight="1">
      <c r="A492" s="26" t="n"/>
      <c r="B492" s="35">
        <f>IFERROR(IF(A492="","",VLOOKUP(A492,DATABASE!$A:$B,2,0)),"")</f>
        <v/>
      </c>
      <c r="C492" s="36">
        <f>IFERROR(IF(A492="","",VLOOKUP(A492,DATABASE!$A:$J,10,0)),"")</f>
        <v/>
      </c>
      <c r="D492" s="37">
        <f>IF(A492="","",TODAY())</f>
        <v/>
      </c>
      <c r="E492" s="29" t="n"/>
      <c r="F492" s="36">
        <f>IFERROR(IF(OR(A492="",E492=""),"",C492-E492),"")</f>
        <v/>
      </c>
      <c r="G492" s="30" t="n"/>
      <c r="H492" s="35" t="n"/>
    </row>
    <row r="493" ht="20" customHeight="1">
      <c r="A493" s="26" t="n"/>
      <c r="B493" s="27">
        <f>IFERROR(IF(A493="","",VLOOKUP(A493,DATABASE!$A:$B,2,0)),"")</f>
        <v/>
      </c>
      <c r="C493" s="20">
        <f>IFERROR(IF(A493="","",VLOOKUP(A493,DATABASE!$A:$J,10,0)),"")</f>
        <v/>
      </c>
      <c r="D493" s="28">
        <f>IF(A493="","",TODAY())</f>
        <v/>
      </c>
      <c r="E493" s="29" t="n"/>
      <c r="F493" s="20">
        <f>IFERROR(IF(OR(A493="",E493=""),"",C493-E493),"")</f>
        <v/>
      </c>
      <c r="G493" s="30" t="n"/>
      <c r="H493" s="27" t="n"/>
    </row>
    <row r="494" ht="20" customHeight="1">
      <c r="A494" s="26" t="n"/>
      <c r="B494" s="35">
        <f>IFERROR(IF(A494="","",VLOOKUP(A494,DATABASE!$A:$B,2,0)),"")</f>
        <v/>
      </c>
      <c r="C494" s="36">
        <f>IFERROR(IF(A494="","",VLOOKUP(A494,DATABASE!$A:$J,10,0)),"")</f>
        <v/>
      </c>
      <c r="D494" s="37">
        <f>IF(A494="","",TODAY())</f>
        <v/>
      </c>
      <c r="E494" s="29" t="n"/>
      <c r="F494" s="36">
        <f>IFERROR(IF(OR(A494="",E494=""),"",C494-E494),"")</f>
        <v/>
      </c>
      <c r="G494" s="30" t="n"/>
      <c r="H494" s="35" t="n"/>
    </row>
    <row r="495" ht="20" customHeight="1">
      <c r="A495" s="26" t="n"/>
      <c r="B495" s="27">
        <f>IFERROR(IF(A495="","",VLOOKUP(A495,DATABASE!$A:$B,2,0)),"")</f>
        <v/>
      </c>
      <c r="C495" s="20">
        <f>IFERROR(IF(A495="","",VLOOKUP(A495,DATABASE!$A:$J,10,0)),"")</f>
        <v/>
      </c>
      <c r="D495" s="28">
        <f>IF(A495="","",TODAY())</f>
        <v/>
      </c>
      <c r="E495" s="29" t="n"/>
      <c r="F495" s="20">
        <f>IFERROR(IF(OR(A495="",E495=""),"",C495-E495),"")</f>
        <v/>
      </c>
      <c r="G495" s="30" t="n"/>
      <c r="H495" s="27" t="n"/>
    </row>
    <row r="496" ht="20" customHeight="1">
      <c r="A496" s="26" t="n"/>
      <c r="B496" s="35">
        <f>IFERROR(IF(A496="","",VLOOKUP(A496,DATABASE!$A:$B,2,0)),"")</f>
        <v/>
      </c>
      <c r="C496" s="36">
        <f>IFERROR(IF(A496="","",VLOOKUP(A496,DATABASE!$A:$J,10,0)),"")</f>
        <v/>
      </c>
      <c r="D496" s="37">
        <f>IF(A496="","",TODAY())</f>
        <v/>
      </c>
      <c r="E496" s="29" t="n"/>
      <c r="F496" s="36">
        <f>IFERROR(IF(OR(A496="",E496=""),"",C496-E496),"")</f>
        <v/>
      </c>
      <c r="G496" s="30" t="n"/>
      <c r="H496" s="35" t="n"/>
    </row>
    <row r="497" ht="20" customHeight="1">
      <c r="A497" s="26" t="n"/>
      <c r="B497" s="27">
        <f>IFERROR(IF(A497="","",VLOOKUP(A497,DATABASE!$A:$B,2,0)),"")</f>
        <v/>
      </c>
      <c r="C497" s="20">
        <f>IFERROR(IF(A497="","",VLOOKUP(A497,DATABASE!$A:$J,10,0)),"")</f>
        <v/>
      </c>
      <c r="D497" s="28">
        <f>IF(A497="","",TODAY())</f>
        <v/>
      </c>
      <c r="E497" s="29" t="n"/>
      <c r="F497" s="20">
        <f>IFERROR(IF(OR(A497="",E497=""),"",C497-E497),"")</f>
        <v/>
      </c>
      <c r="G497" s="30" t="n"/>
      <c r="H497" s="27" t="n"/>
    </row>
    <row r="498" ht="20" customHeight="1">
      <c r="A498" s="26" t="n"/>
      <c r="B498" s="35">
        <f>IFERROR(IF(A498="","",VLOOKUP(A498,DATABASE!$A:$B,2,0)),"")</f>
        <v/>
      </c>
      <c r="C498" s="36">
        <f>IFERROR(IF(A498="","",VLOOKUP(A498,DATABASE!$A:$J,10,0)),"")</f>
        <v/>
      </c>
      <c r="D498" s="37">
        <f>IF(A498="","",TODAY())</f>
        <v/>
      </c>
      <c r="E498" s="29" t="n"/>
      <c r="F498" s="36">
        <f>IFERROR(IF(OR(A498="",E498=""),"",C498-E498),"")</f>
        <v/>
      </c>
      <c r="G498" s="30" t="n"/>
      <c r="H498" s="35" t="n"/>
    </row>
    <row r="499" ht="20" customHeight="1">
      <c r="A499" s="26" t="n"/>
      <c r="B499" s="27">
        <f>IFERROR(IF(A499="","",VLOOKUP(A499,DATABASE!$A:$B,2,0)),"")</f>
        <v/>
      </c>
      <c r="C499" s="20">
        <f>IFERROR(IF(A499="","",VLOOKUP(A499,DATABASE!$A:$J,10,0)),"")</f>
        <v/>
      </c>
      <c r="D499" s="28">
        <f>IF(A499="","",TODAY())</f>
        <v/>
      </c>
      <c r="E499" s="29" t="n"/>
      <c r="F499" s="20">
        <f>IFERROR(IF(OR(A499="",E499=""),"",C499-E499),"")</f>
        <v/>
      </c>
      <c r="G499" s="30" t="n"/>
      <c r="H499" s="27" t="n"/>
    </row>
    <row r="500" ht="20" customHeight="1">
      <c r="A500" s="26" t="n"/>
      <c r="B500" s="35">
        <f>IFERROR(IF(A500="","",VLOOKUP(A500,DATABASE!$A:$B,2,0)),"")</f>
        <v/>
      </c>
      <c r="C500" s="36">
        <f>IFERROR(IF(A500="","",VLOOKUP(A500,DATABASE!$A:$J,10,0)),"")</f>
        <v/>
      </c>
      <c r="D500" s="37">
        <f>IF(A500="","",TODAY())</f>
        <v/>
      </c>
      <c r="E500" s="29" t="n"/>
      <c r="F500" s="36">
        <f>IFERROR(IF(OR(A500="",E500=""),"",C500-E500),"")</f>
        <v/>
      </c>
      <c r="G500" s="30" t="n"/>
      <c r="H500" s="35" t="n"/>
    </row>
    <row r="501" ht="20" customHeight="1">
      <c r="A501" s="26" t="n"/>
      <c r="B501" s="27">
        <f>IFERROR(IF(A501="","",VLOOKUP(A501,DATABASE!$A:$B,2,0)),"")</f>
        <v/>
      </c>
      <c r="C501" s="20">
        <f>IFERROR(IF(A501="","",VLOOKUP(A501,DATABASE!$A:$J,10,0)),"")</f>
        <v/>
      </c>
      <c r="D501" s="28">
        <f>IF(A501="","",TODAY())</f>
        <v/>
      </c>
      <c r="E501" s="29" t="n"/>
      <c r="F501" s="20">
        <f>IFERROR(IF(OR(A501="",E501=""),"",C501-E501),"")</f>
        <v/>
      </c>
      <c r="G501" s="30" t="n"/>
      <c r="H501" s="27" t="n"/>
    </row>
    <row r="502" ht="20" customHeight="1">
      <c r="A502" s="26" t="n"/>
      <c r="B502" s="35">
        <f>IFERROR(IF(A502="","",VLOOKUP(A502,DATABASE!$A:$B,2,0)),"")</f>
        <v/>
      </c>
      <c r="C502" s="36">
        <f>IFERROR(IF(A502="","",VLOOKUP(A502,DATABASE!$A:$J,10,0)),"")</f>
        <v/>
      </c>
      <c r="D502" s="37">
        <f>IF(A502="","",TODAY())</f>
        <v/>
      </c>
      <c r="E502" s="29" t="n"/>
      <c r="F502" s="36">
        <f>IFERROR(IF(OR(A502="",E502=""),"",C502-E502),"")</f>
        <v/>
      </c>
      <c r="G502" s="30" t="n"/>
      <c r="H502" s="35" t="n"/>
    </row>
    <row r="503" ht="20" customHeight="1">
      <c r="A503" s="26" t="n"/>
      <c r="B503" s="27">
        <f>IFERROR(IF(A503="","",VLOOKUP(A503,DATABASE!$A:$B,2,0)),"")</f>
        <v/>
      </c>
      <c r="C503" s="20">
        <f>IFERROR(IF(A503="","",VLOOKUP(A503,DATABASE!$A:$J,10,0)),"")</f>
        <v/>
      </c>
      <c r="D503" s="28">
        <f>IF(A503="","",TODAY())</f>
        <v/>
      </c>
      <c r="E503" s="29" t="n"/>
      <c r="F503" s="20">
        <f>IFERROR(IF(OR(A503="",E503=""),"",C503-E503),"")</f>
        <v/>
      </c>
      <c r="G503" s="30" t="n"/>
      <c r="H503" s="27" t="n"/>
    </row>
    <row r="504" ht="20" customHeight="1">
      <c r="A504" s="26" t="n"/>
      <c r="B504" s="35">
        <f>IFERROR(IF(A504="","",VLOOKUP(A504,DATABASE!$A:$B,2,0)),"")</f>
        <v/>
      </c>
      <c r="C504" s="36">
        <f>IFERROR(IF(A504="","",VLOOKUP(A504,DATABASE!$A:$J,10,0)),"")</f>
        <v/>
      </c>
      <c r="D504" s="37">
        <f>IF(A504="","",TODAY())</f>
        <v/>
      </c>
      <c r="E504" s="29" t="n"/>
      <c r="F504" s="36">
        <f>IFERROR(IF(OR(A504="",E504=""),"",C504-E504),"")</f>
        <v/>
      </c>
      <c r="G504" s="30" t="n"/>
      <c r="H504" s="35" t="n"/>
    </row>
    <row r="505" ht="20" customHeight="1">
      <c r="A505" s="26" t="n"/>
      <c r="B505" s="27">
        <f>IFERROR(IF(A505="","",VLOOKUP(A505,DATABASE!$A:$B,2,0)),"")</f>
        <v/>
      </c>
      <c r="C505" s="20">
        <f>IFERROR(IF(A505="","",VLOOKUP(A505,DATABASE!$A:$J,10,0)),"")</f>
        <v/>
      </c>
      <c r="D505" s="28">
        <f>IF(A505="","",TODAY())</f>
        <v/>
      </c>
      <c r="E505" s="29" t="n"/>
      <c r="F505" s="20">
        <f>IFERROR(IF(OR(A505="",E505=""),"",C505-E505),"")</f>
        <v/>
      </c>
      <c r="G505" s="30" t="n"/>
      <c r="H505" s="27" t="n"/>
    </row>
    <row r="506" ht="20" customHeight="1">
      <c r="A506" s="26" t="n"/>
      <c r="B506" s="35">
        <f>IFERROR(IF(A506="","",VLOOKUP(A506,DATABASE!$A:$B,2,0)),"")</f>
        <v/>
      </c>
      <c r="C506" s="36">
        <f>IFERROR(IF(A506="","",VLOOKUP(A506,DATABASE!$A:$J,10,0)),"")</f>
        <v/>
      </c>
      <c r="D506" s="37">
        <f>IF(A506="","",TODAY())</f>
        <v/>
      </c>
      <c r="E506" s="29" t="n"/>
      <c r="F506" s="36">
        <f>IFERROR(IF(OR(A506="",E506=""),"",C506-E506),"")</f>
        <v/>
      </c>
      <c r="G506" s="30" t="n"/>
      <c r="H506" s="35" t="n"/>
    </row>
    <row r="507" ht="20" customHeight="1">
      <c r="A507" s="26" t="n"/>
      <c r="B507" s="27">
        <f>IFERROR(IF(A507="","",VLOOKUP(A507,DATABASE!$A:$B,2,0)),"")</f>
        <v/>
      </c>
      <c r="C507" s="20">
        <f>IFERROR(IF(A507="","",VLOOKUP(A507,DATABASE!$A:$J,10,0)),"")</f>
        <v/>
      </c>
      <c r="D507" s="28">
        <f>IF(A507="","",TODAY())</f>
        <v/>
      </c>
      <c r="E507" s="29" t="n"/>
      <c r="F507" s="20">
        <f>IFERROR(IF(OR(A507="",E507=""),"",C507-E507),"")</f>
        <v/>
      </c>
      <c r="G507" s="30" t="n"/>
      <c r="H507" s="27" t="n"/>
    </row>
    <row r="508" ht="20" customHeight="1">
      <c r="A508" s="26" t="n"/>
      <c r="B508" s="35">
        <f>IFERROR(IF(A508="","",VLOOKUP(A508,DATABASE!$A:$B,2,0)),"")</f>
        <v/>
      </c>
      <c r="C508" s="36">
        <f>IFERROR(IF(A508="","",VLOOKUP(A508,DATABASE!$A:$J,10,0)),"")</f>
        <v/>
      </c>
      <c r="D508" s="37">
        <f>IF(A508="","",TODAY())</f>
        <v/>
      </c>
      <c r="E508" s="29" t="n"/>
      <c r="F508" s="36">
        <f>IFERROR(IF(OR(A508="",E508=""),"",C508-E508),"")</f>
        <v/>
      </c>
      <c r="G508" s="30" t="n"/>
      <c r="H508" s="35" t="n"/>
    </row>
    <row r="509" ht="20" customHeight="1">
      <c r="A509" s="26" t="n"/>
      <c r="B509" s="27">
        <f>IFERROR(IF(A509="","",VLOOKUP(A509,DATABASE!$A:$B,2,0)),"")</f>
        <v/>
      </c>
      <c r="C509" s="20">
        <f>IFERROR(IF(A509="","",VLOOKUP(A509,DATABASE!$A:$J,10,0)),"")</f>
        <v/>
      </c>
      <c r="D509" s="28">
        <f>IF(A509="","",TODAY())</f>
        <v/>
      </c>
      <c r="E509" s="29" t="n"/>
      <c r="F509" s="20">
        <f>IFERROR(IF(OR(A509="",E509=""),"",C509-E509),"")</f>
        <v/>
      </c>
      <c r="G509" s="30" t="n"/>
      <c r="H509" s="27" t="n"/>
    </row>
    <row r="510" ht="20" customHeight="1">
      <c r="A510" s="26" t="n"/>
      <c r="B510" s="35">
        <f>IFERROR(IF(A510="","",VLOOKUP(A510,DATABASE!$A:$B,2,0)),"")</f>
        <v/>
      </c>
      <c r="C510" s="36">
        <f>IFERROR(IF(A510="","",VLOOKUP(A510,DATABASE!$A:$J,10,0)),"")</f>
        <v/>
      </c>
      <c r="D510" s="37">
        <f>IF(A510="","",TODAY())</f>
        <v/>
      </c>
      <c r="E510" s="29" t="n"/>
      <c r="F510" s="36">
        <f>IFERROR(IF(OR(A510="",E510=""),"",C510-E510),"")</f>
        <v/>
      </c>
      <c r="G510" s="30" t="n"/>
      <c r="H510" s="35" t="n"/>
    </row>
    <row r="511" ht="20" customHeight="1">
      <c r="A511" s="26" t="n"/>
      <c r="B511" s="27">
        <f>IFERROR(IF(A511="","",VLOOKUP(A511,DATABASE!$A:$B,2,0)),"")</f>
        <v/>
      </c>
      <c r="C511" s="20">
        <f>IFERROR(IF(A511="","",VLOOKUP(A511,DATABASE!$A:$J,10,0)),"")</f>
        <v/>
      </c>
      <c r="D511" s="28">
        <f>IF(A511="","",TODAY())</f>
        <v/>
      </c>
      <c r="E511" s="29" t="n"/>
      <c r="F511" s="20">
        <f>IFERROR(IF(OR(A511="",E511=""),"",C511-E511),"")</f>
        <v/>
      </c>
      <c r="G511" s="30" t="n"/>
      <c r="H511" s="27" t="n"/>
    </row>
    <row r="512" ht="20" customHeight="1">
      <c r="A512" s="26" t="n"/>
      <c r="B512" s="35">
        <f>IFERROR(IF(A512="","",VLOOKUP(A512,DATABASE!$A:$B,2,0)),"")</f>
        <v/>
      </c>
      <c r="C512" s="36">
        <f>IFERROR(IF(A512="","",VLOOKUP(A512,DATABASE!$A:$J,10,0)),"")</f>
        <v/>
      </c>
      <c r="D512" s="37">
        <f>IF(A512="","",TODAY())</f>
        <v/>
      </c>
      <c r="E512" s="29" t="n"/>
      <c r="F512" s="36">
        <f>IFERROR(IF(OR(A512="",E512=""),"",C512-E512),"")</f>
        <v/>
      </c>
      <c r="G512" s="30" t="n"/>
      <c r="H512" s="35" t="n"/>
    </row>
    <row r="513" ht="20" customHeight="1">
      <c r="A513" s="26" t="n"/>
      <c r="B513" s="27">
        <f>IFERROR(IF(A513="","",VLOOKUP(A513,DATABASE!$A:$B,2,0)),"")</f>
        <v/>
      </c>
      <c r="C513" s="20">
        <f>IFERROR(IF(A513="","",VLOOKUP(A513,DATABASE!$A:$J,10,0)),"")</f>
        <v/>
      </c>
      <c r="D513" s="28">
        <f>IF(A513="","",TODAY())</f>
        <v/>
      </c>
      <c r="E513" s="29" t="n"/>
      <c r="F513" s="20">
        <f>IFERROR(IF(OR(A513="",E513=""),"",C513-E513),"")</f>
        <v/>
      </c>
      <c r="G513" s="30" t="n"/>
      <c r="H513" s="27" t="n"/>
    </row>
    <row r="514" ht="20" customHeight="1">
      <c r="A514" s="26" t="n"/>
      <c r="B514" s="35">
        <f>IFERROR(IF(A514="","",VLOOKUP(A514,DATABASE!$A:$B,2,0)),"")</f>
        <v/>
      </c>
      <c r="C514" s="36">
        <f>IFERROR(IF(A514="","",VLOOKUP(A514,DATABASE!$A:$J,10,0)),"")</f>
        <v/>
      </c>
      <c r="D514" s="37">
        <f>IF(A514="","",TODAY())</f>
        <v/>
      </c>
      <c r="E514" s="29" t="n"/>
      <c r="F514" s="36">
        <f>IFERROR(IF(OR(A514="",E514=""),"",C514-E514),"")</f>
        <v/>
      </c>
      <c r="G514" s="30" t="n"/>
      <c r="H514" s="35" t="n"/>
    </row>
    <row r="515" ht="20" customHeight="1">
      <c r="A515" s="26" t="n"/>
      <c r="B515" s="27">
        <f>IFERROR(IF(A515="","",VLOOKUP(A515,DATABASE!$A:$B,2,0)),"")</f>
        <v/>
      </c>
      <c r="C515" s="20">
        <f>IFERROR(IF(A515="","",VLOOKUP(A515,DATABASE!$A:$J,10,0)),"")</f>
        <v/>
      </c>
      <c r="D515" s="28">
        <f>IF(A515="","",TODAY())</f>
        <v/>
      </c>
      <c r="E515" s="29" t="n"/>
      <c r="F515" s="20">
        <f>IFERROR(IF(OR(A515="",E515=""),"",C515-E515),"")</f>
        <v/>
      </c>
      <c r="G515" s="30" t="n"/>
      <c r="H515" s="27" t="n"/>
    </row>
    <row r="516" ht="20" customHeight="1">
      <c r="A516" s="26" t="n"/>
      <c r="B516" s="35">
        <f>IFERROR(IF(A516="","",VLOOKUP(A516,DATABASE!$A:$B,2,0)),"")</f>
        <v/>
      </c>
      <c r="C516" s="36">
        <f>IFERROR(IF(A516="","",VLOOKUP(A516,DATABASE!$A:$J,10,0)),"")</f>
        <v/>
      </c>
      <c r="D516" s="37">
        <f>IF(A516="","",TODAY())</f>
        <v/>
      </c>
      <c r="E516" s="29" t="n"/>
      <c r="F516" s="36">
        <f>IFERROR(IF(OR(A516="",E516=""),"",C516-E516),"")</f>
        <v/>
      </c>
      <c r="G516" s="30" t="n"/>
      <c r="H516" s="35" t="n"/>
    </row>
    <row r="517" ht="20" customHeight="1">
      <c r="A517" s="26" t="n"/>
      <c r="B517" s="27">
        <f>IFERROR(IF(A517="","",VLOOKUP(A517,DATABASE!$A:$B,2,0)),"")</f>
        <v/>
      </c>
      <c r="C517" s="20">
        <f>IFERROR(IF(A517="","",VLOOKUP(A517,DATABASE!$A:$J,10,0)),"")</f>
        <v/>
      </c>
      <c r="D517" s="28">
        <f>IF(A517="","",TODAY())</f>
        <v/>
      </c>
      <c r="E517" s="29" t="n"/>
      <c r="F517" s="20">
        <f>IFERROR(IF(OR(A517="",E517=""),"",C517-E517),"")</f>
        <v/>
      </c>
      <c r="G517" s="30" t="n"/>
      <c r="H517" s="27" t="n"/>
    </row>
    <row r="518" ht="20" customHeight="1">
      <c r="A518" s="26" t="n"/>
      <c r="B518" s="35">
        <f>IFERROR(IF(A518="","",VLOOKUP(A518,DATABASE!$A:$B,2,0)),"")</f>
        <v/>
      </c>
      <c r="C518" s="36">
        <f>IFERROR(IF(A518="","",VLOOKUP(A518,DATABASE!$A:$J,10,0)),"")</f>
        <v/>
      </c>
      <c r="D518" s="37">
        <f>IF(A518="","",TODAY())</f>
        <v/>
      </c>
      <c r="E518" s="29" t="n"/>
      <c r="F518" s="36">
        <f>IFERROR(IF(OR(A518="",E518=""),"",C518-E518),"")</f>
        <v/>
      </c>
      <c r="G518" s="30" t="n"/>
      <c r="H518" s="35" t="n"/>
    </row>
    <row r="519" ht="20" customHeight="1">
      <c r="A519" s="26" t="n"/>
      <c r="B519" s="27">
        <f>IFERROR(IF(A519="","",VLOOKUP(A519,DATABASE!$A:$B,2,0)),"")</f>
        <v/>
      </c>
      <c r="C519" s="20">
        <f>IFERROR(IF(A519="","",VLOOKUP(A519,DATABASE!$A:$J,10,0)),"")</f>
        <v/>
      </c>
      <c r="D519" s="28">
        <f>IF(A519="","",TODAY())</f>
        <v/>
      </c>
      <c r="E519" s="29" t="n"/>
      <c r="F519" s="20">
        <f>IFERROR(IF(OR(A519="",E519=""),"",C519-E519),"")</f>
        <v/>
      </c>
      <c r="G519" s="30" t="n"/>
      <c r="H519" s="27" t="n"/>
    </row>
    <row r="520" ht="20" customHeight="1">
      <c r="A520" s="26" t="n"/>
      <c r="B520" s="35">
        <f>IFERROR(IF(A520="","",VLOOKUP(A520,DATABASE!$A:$B,2,0)),"")</f>
        <v/>
      </c>
      <c r="C520" s="36">
        <f>IFERROR(IF(A520="","",VLOOKUP(A520,DATABASE!$A:$J,10,0)),"")</f>
        <v/>
      </c>
      <c r="D520" s="37">
        <f>IF(A520="","",TODAY())</f>
        <v/>
      </c>
      <c r="E520" s="29" t="n"/>
      <c r="F520" s="36">
        <f>IFERROR(IF(OR(A520="",E520=""),"",C520-E520),"")</f>
        <v/>
      </c>
      <c r="G520" s="30" t="n"/>
      <c r="H520" s="35" t="n"/>
    </row>
    <row r="521" ht="20" customHeight="1">
      <c r="A521" s="26" t="n"/>
      <c r="B521" s="27">
        <f>IFERROR(IF(A521="","",VLOOKUP(A521,DATABASE!$A:$B,2,0)),"")</f>
        <v/>
      </c>
      <c r="C521" s="20">
        <f>IFERROR(IF(A521="","",VLOOKUP(A521,DATABASE!$A:$J,10,0)),"")</f>
        <v/>
      </c>
      <c r="D521" s="28">
        <f>IF(A521="","",TODAY())</f>
        <v/>
      </c>
      <c r="E521" s="29" t="n"/>
      <c r="F521" s="20">
        <f>IFERROR(IF(OR(A521="",E521=""),"",C521-E521),"")</f>
        <v/>
      </c>
      <c r="G521" s="30" t="n"/>
      <c r="H521" s="27" t="n"/>
    </row>
    <row r="522" ht="20" customHeight="1">
      <c r="A522" s="26" t="n"/>
      <c r="B522" s="35">
        <f>IFERROR(IF(A522="","",VLOOKUP(A522,DATABASE!$A:$B,2,0)),"")</f>
        <v/>
      </c>
      <c r="C522" s="36">
        <f>IFERROR(IF(A522="","",VLOOKUP(A522,DATABASE!$A:$J,10,0)),"")</f>
        <v/>
      </c>
      <c r="D522" s="37">
        <f>IF(A522="","",TODAY())</f>
        <v/>
      </c>
      <c r="E522" s="29" t="n"/>
      <c r="F522" s="36">
        <f>IFERROR(IF(OR(A522="",E522=""),"",C522-E522),"")</f>
        <v/>
      </c>
      <c r="G522" s="30" t="n"/>
      <c r="H522" s="35" t="n"/>
    </row>
    <row r="523" ht="20" customHeight="1">
      <c r="A523" s="26" t="n"/>
      <c r="B523" s="27">
        <f>IFERROR(IF(A523="","",VLOOKUP(A523,DATABASE!$A:$B,2,0)),"")</f>
        <v/>
      </c>
      <c r="C523" s="20">
        <f>IFERROR(IF(A523="","",VLOOKUP(A523,DATABASE!$A:$J,10,0)),"")</f>
        <v/>
      </c>
      <c r="D523" s="28">
        <f>IF(A523="","",TODAY())</f>
        <v/>
      </c>
      <c r="E523" s="29" t="n"/>
      <c r="F523" s="20">
        <f>IFERROR(IF(OR(A523="",E523=""),"",C523-E523),"")</f>
        <v/>
      </c>
      <c r="G523" s="30" t="n"/>
      <c r="H523" s="27" t="n"/>
    </row>
    <row r="524" ht="20" customHeight="1">
      <c r="A524" s="26" t="n"/>
      <c r="B524" s="35">
        <f>IFERROR(IF(A524="","",VLOOKUP(A524,DATABASE!$A:$B,2,0)),"")</f>
        <v/>
      </c>
      <c r="C524" s="36">
        <f>IFERROR(IF(A524="","",VLOOKUP(A524,DATABASE!$A:$J,10,0)),"")</f>
        <v/>
      </c>
      <c r="D524" s="37">
        <f>IF(A524="","",TODAY())</f>
        <v/>
      </c>
      <c r="E524" s="29" t="n"/>
      <c r="F524" s="36">
        <f>IFERROR(IF(OR(A524="",E524=""),"",C524-E524),"")</f>
        <v/>
      </c>
      <c r="G524" s="30" t="n"/>
      <c r="H524" s="35" t="n"/>
    </row>
    <row r="525" ht="20" customHeight="1">
      <c r="A525" s="26" t="n"/>
      <c r="B525" s="27">
        <f>IFERROR(IF(A525="","",VLOOKUP(A525,DATABASE!$A:$B,2,0)),"")</f>
        <v/>
      </c>
      <c r="C525" s="20">
        <f>IFERROR(IF(A525="","",VLOOKUP(A525,DATABASE!$A:$J,10,0)),"")</f>
        <v/>
      </c>
      <c r="D525" s="28">
        <f>IF(A525="","",TODAY())</f>
        <v/>
      </c>
      <c r="E525" s="29" t="n"/>
      <c r="F525" s="20">
        <f>IFERROR(IF(OR(A525="",E525=""),"",C525-E525),"")</f>
        <v/>
      </c>
      <c r="G525" s="30" t="n"/>
      <c r="H525" s="27" t="n"/>
    </row>
    <row r="526" ht="20" customHeight="1">
      <c r="A526" s="26" t="n"/>
      <c r="B526" s="35">
        <f>IFERROR(IF(A526="","",VLOOKUP(A526,DATABASE!$A:$B,2,0)),"")</f>
        <v/>
      </c>
      <c r="C526" s="36">
        <f>IFERROR(IF(A526="","",VLOOKUP(A526,DATABASE!$A:$J,10,0)),"")</f>
        <v/>
      </c>
      <c r="D526" s="37">
        <f>IF(A526="","",TODAY())</f>
        <v/>
      </c>
      <c r="E526" s="29" t="n"/>
      <c r="F526" s="36">
        <f>IFERROR(IF(OR(A526="",E526=""),"",C526-E526),"")</f>
        <v/>
      </c>
      <c r="G526" s="30" t="n"/>
      <c r="H526" s="35" t="n"/>
    </row>
    <row r="527" ht="20" customHeight="1">
      <c r="A527" s="26" t="n"/>
      <c r="B527" s="27">
        <f>IFERROR(IF(A527="","",VLOOKUP(A527,DATABASE!$A:$B,2,0)),"")</f>
        <v/>
      </c>
      <c r="C527" s="20">
        <f>IFERROR(IF(A527="","",VLOOKUP(A527,DATABASE!$A:$J,10,0)),"")</f>
        <v/>
      </c>
      <c r="D527" s="28">
        <f>IF(A527="","",TODAY())</f>
        <v/>
      </c>
      <c r="E527" s="29" t="n"/>
      <c r="F527" s="20">
        <f>IFERROR(IF(OR(A527="",E527=""),"",C527-E527),"")</f>
        <v/>
      </c>
      <c r="G527" s="30" t="n"/>
      <c r="H527" s="27" t="n"/>
    </row>
    <row r="528" ht="20" customHeight="1">
      <c r="A528" s="26" t="n"/>
      <c r="B528" s="35">
        <f>IFERROR(IF(A528="","",VLOOKUP(A528,DATABASE!$A:$B,2,0)),"")</f>
        <v/>
      </c>
      <c r="C528" s="36">
        <f>IFERROR(IF(A528="","",VLOOKUP(A528,DATABASE!$A:$J,10,0)),"")</f>
        <v/>
      </c>
      <c r="D528" s="37">
        <f>IF(A528="","",TODAY())</f>
        <v/>
      </c>
      <c r="E528" s="29" t="n"/>
      <c r="F528" s="36">
        <f>IFERROR(IF(OR(A528="",E528=""),"",C528-E528),"")</f>
        <v/>
      </c>
      <c r="G528" s="30" t="n"/>
      <c r="H528" s="35" t="n"/>
    </row>
    <row r="529" ht="20" customHeight="1">
      <c r="A529" s="26" t="n"/>
      <c r="B529" s="27">
        <f>IFERROR(IF(A529="","",VLOOKUP(A529,DATABASE!$A:$B,2,0)),"")</f>
        <v/>
      </c>
      <c r="C529" s="20">
        <f>IFERROR(IF(A529="","",VLOOKUP(A529,DATABASE!$A:$J,10,0)),"")</f>
        <v/>
      </c>
      <c r="D529" s="28">
        <f>IF(A529="","",TODAY())</f>
        <v/>
      </c>
      <c r="E529" s="29" t="n"/>
      <c r="F529" s="20">
        <f>IFERROR(IF(OR(A529="",E529=""),"",C529-E529),"")</f>
        <v/>
      </c>
      <c r="G529" s="30" t="n"/>
      <c r="H529" s="27" t="n"/>
    </row>
    <row r="530" ht="20" customHeight="1">
      <c r="A530" s="26" t="n"/>
      <c r="B530" s="35">
        <f>IFERROR(IF(A530="","",VLOOKUP(A530,DATABASE!$A:$B,2,0)),"")</f>
        <v/>
      </c>
      <c r="C530" s="36">
        <f>IFERROR(IF(A530="","",VLOOKUP(A530,DATABASE!$A:$J,10,0)),"")</f>
        <v/>
      </c>
      <c r="D530" s="37">
        <f>IF(A530="","",TODAY())</f>
        <v/>
      </c>
      <c r="E530" s="29" t="n"/>
      <c r="F530" s="36">
        <f>IFERROR(IF(OR(A530="",E530=""),"",C530-E530),"")</f>
        <v/>
      </c>
      <c r="G530" s="30" t="n"/>
      <c r="H530" s="35" t="n"/>
    </row>
    <row r="531" ht="20" customHeight="1">
      <c r="A531" s="26" t="n"/>
      <c r="B531" s="27">
        <f>IFERROR(IF(A531="","",VLOOKUP(A531,DATABASE!$A:$B,2,0)),"")</f>
        <v/>
      </c>
      <c r="C531" s="20">
        <f>IFERROR(IF(A531="","",VLOOKUP(A531,DATABASE!$A:$J,10,0)),"")</f>
        <v/>
      </c>
      <c r="D531" s="28">
        <f>IF(A531="","",TODAY())</f>
        <v/>
      </c>
      <c r="E531" s="29" t="n"/>
      <c r="F531" s="20">
        <f>IFERROR(IF(OR(A531="",E531=""),"",C531-E531),"")</f>
        <v/>
      </c>
      <c r="G531" s="30" t="n"/>
      <c r="H531" s="27" t="n"/>
    </row>
    <row r="532" ht="20" customHeight="1">
      <c r="A532" s="26" t="n"/>
      <c r="B532" s="35">
        <f>IFERROR(IF(A532="","",VLOOKUP(A532,DATABASE!$A:$B,2,0)),"")</f>
        <v/>
      </c>
      <c r="C532" s="36">
        <f>IFERROR(IF(A532="","",VLOOKUP(A532,DATABASE!$A:$J,10,0)),"")</f>
        <v/>
      </c>
      <c r="D532" s="37">
        <f>IF(A532="","",TODAY())</f>
        <v/>
      </c>
      <c r="E532" s="29" t="n"/>
      <c r="F532" s="36">
        <f>IFERROR(IF(OR(A532="",E532=""),"",C532-E532),"")</f>
        <v/>
      </c>
      <c r="G532" s="30" t="n"/>
      <c r="H532" s="35" t="n"/>
    </row>
    <row r="533" ht="20" customHeight="1">
      <c r="A533" s="26" t="n"/>
      <c r="B533" s="27">
        <f>IFERROR(IF(A533="","",VLOOKUP(A533,DATABASE!$A:$B,2,0)),"")</f>
        <v/>
      </c>
      <c r="C533" s="20">
        <f>IFERROR(IF(A533="","",VLOOKUP(A533,DATABASE!$A:$J,10,0)),"")</f>
        <v/>
      </c>
      <c r="D533" s="28">
        <f>IF(A533="","",TODAY())</f>
        <v/>
      </c>
      <c r="E533" s="29" t="n"/>
      <c r="F533" s="20">
        <f>IFERROR(IF(OR(A533="",E533=""),"",C533-E533),"")</f>
        <v/>
      </c>
      <c r="G533" s="30" t="n"/>
      <c r="H533" s="27" t="n"/>
    </row>
    <row r="534" ht="20" customHeight="1">
      <c r="A534" s="26" t="n"/>
      <c r="B534" s="35">
        <f>IFERROR(IF(A534="","",VLOOKUP(A534,DATABASE!$A:$B,2,0)),"")</f>
        <v/>
      </c>
      <c r="C534" s="36">
        <f>IFERROR(IF(A534="","",VLOOKUP(A534,DATABASE!$A:$J,10,0)),"")</f>
        <v/>
      </c>
      <c r="D534" s="37">
        <f>IF(A534="","",TODAY())</f>
        <v/>
      </c>
      <c r="E534" s="29" t="n"/>
      <c r="F534" s="36">
        <f>IFERROR(IF(OR(A534="",E534=""),"",C534-E534),"")</f>
        <v/>
      </c>
      <c r="G534" s="30" t="n"/>
      <c r="H534" s="35" t="n"/>
    </row>
    <row r="535" ht="20" customHeight="1">
      <c r="A535" s="26" t="n"/>
      <c r="B535" s="27">
        <f>IFERROR(IF(A535="","",VLOOKUP(A535,DATABASE!$A:$B,2,0)),"")</f>
        <v/>
      </c>
      <c r="C535" s="20">
        <f>IFERROR(IF(A535="","",VLOOKUP(A535,DATABASE!$A:$J,10,0)),"")</f>
        <v/>
      </c>
      <c r="D535" s="28">
        <f>IF(A535="","",TODAY())</f>
        <v/>
      </c>
      <c r="E535" s="29" t="n"/>
      <c r="F535" s="20">
        <f>IFERROR(IF(OR(A535="",E535=""),"",C535-E535),"")</f>
        <v/>
      </c>
      <c r="G535" s="30" t="n"/>
      <c r="H535" s="27" t="n"/>
    </row>
    <row r="536" ht="20" customHeight="1">
      <c r="A536" s="26" t="n"/>
      <c r="B536" s="35">
        <f>IFERROR(IF(A536="","",VLOOKUP(A536,DATABASE!$A:$B,2,0)),"")</f>
        <v/>
      </c>
      <c r="C536" s="36">
        <f>IFERROR(IF(A536="","",VLOOKUP(A536,DATABASE!$A:$J,10,0)),"")</f>
        <v/>
      </c>
      <c r="D536" s="37">
        <f>IF(A536="","",TODAY())</f>
        <v/>
      </c>
      <c r="E536" s="29" t="n"/>
      <c r="F536" s="36">
        <f>IFERROR(IF(OR(A536="",E536=""),"",C536-E536),"")</f>
        <v/>
      </c>
      <c r="G536" s="30" t="n"/>
      <c r="H536" s="35" t="n"/>
    </row>
    <row r="537" ht="20" customHeight="1">
      <c r="A537" s="26" t="n"/>
      <c r="B537" s="27">
        <f>IFERROR(IF(A537="","",VLOOKUP(A537,DATABASE!$A:$B,2,0)),"")</f>
        <v/>
      </c>
      <c r="C537" s="20">
        <f>IFERROR(IF(A537="","",VLOOKUP(A537,DATABASE!$A:$J,10,0)),"")</f>
        <v/>
      </c>
      <c r="D537" s="28">
        <f>IF(A537="","",TODAY())</f>
        <v/>
      </c>
      <c r="E537" s="29" t="n"/>
      <c r="F537" s="20">
        <f>IFERROR(IF(OR(A537="",E537=""),"",C537-E537),"")</f>
        <v/>
      </c>
      <c r="G537" s="30" t="n"/>
      <c r="H537" s="27" t="n"/>
    </row>
    <row r="538" ht="20" customHeight="1">
      <c r="A538" s="26" t="n"/>
      <c r="B538" s="35">
        <f>IFERROR(IF(A538="","",VLOOKUP(A538,DATABASE!$A:$B,2,0)),"")</f>
        <v/>
      </c>
      <c r="C538" s="36">
        <f>IFERROR(IF(A538="","",VLOOKUP(A538,DATABASE!$A:$J,10,0)),"")</f>
        <v/>
      </c>
      <c r="D538" s="37">
        <f>IF(A538="","",TODAY())</f>
        <v/>
      </c>
      <c r="E538" s="29" t="n"/>
      <c r="F538" s="36">
        <f>IFERROR(IF(OR(A538="",E538=""),"",C538-E538),"")</f>
        <v/>
      </c>
      <c r="G538" s="30" t="n"/>
      <c r="H538" s="35" t="n"/>
    </row>
    <row r="539" ht="20" customHeight="1">
      <c r="A539" s="26" t="n"/>
      <c r="B539" s="27">
        <f>IFERROR(IF(A539="","",VLOOKUP(A539,DATABASE!$A:$B,2,0)),"")</f>
        <v/>
      </c>
      <c r="C539" s="20">
        <f>IFERROR(IF(A539="","",VLOOKUP(A539,DATABASE!$A:$J,10,0)),"")</f>
        <v/>
      </c>
      <c r="D539" s="28">
        <f>IF(A539="","",TODAY())</f>
        <v/>
      </c>
      <c r="E539" s="29" t="n"/>
      <c r="F539" s="20">
        <f>IFERROR(IF(OR(A539="",E539=""),"",C539-E539),"")</f>
        <v/>
      </c>
      <c r="G539" s="30" t="n"/>
      <c r="H539" s="27" t="n"/>
    </row>
    <row r="540" ht="20" customHeight="1">
      <c r="A540" s="26" t="n"/>
      <c r="B540" s="35">
        <f>IFERROR(IF(A540="","",VLOOKUP(A540,DATABASE!$A:$B,2,0)),"")</f>
        <v/>
      </c>
      <c r="C540" s="36">
        <f>IFERROR(IF(A540="","",VLOOKUP(A540,DATABASE!$A:$J,10,0)),"")</f>
        <v/>
      </c>
      <c r="D540" s="37">
        <f>IF(A540="","",TODAY())</f>
        <v/>
      </c>
      <c r="E540" s="29" t="n"/>
      <c r="F540" s="36">
        <f>IFERROR(IF(OR(A540="",E540=""),"",C540-E540),"")</f>
        <v/>
      </c>
      <c r="G540" s="30" t="n"/>
      <c r="H540" s="35" t="n"/>
    </row>
    <row r="541" ht="20" customHeight="1">
      <c r="A541" s="26" t="n"/>
      <c r="B541" s="27">
        <f>IFERROR(IF(A541="","",VLOOKUP(A541,DATABASE!$A:$B,2,0)),"")</f>
        <v/>
      </c>
      <c r="C541" s="20">
        <f>IFERROR(IF(A541="","",VLOOKUP(A541,DATABASE!$A:$J,10,0)),"")</f>
        <v/>
      </c>
      <c r="D541" s="28">
        <f>IF(A541="","",TODAY())</f>
        <v/>
      </c>
      <c r="E541" s="29" t="n"/>
      <c r="F541" s="20">
        <f>IFERROR(IF(OR(A541="",E541=""),"",C541-E541),"")</f>
        <v/>
      </c>
      <c r="G541" s="30" t="n"/>
      <c r="H541" s="27" t="n"/>
    </row>
    <row r="542" ht="20" customHeight="1">
      <c r="A542" s="26" t="n"/>
      <c r="B542" s="35">
        <f>IFERROR(IF(A542="","",VLOOKUP(A542,DATABASE!$A:$B,2,0)),"")</f>
        <v/>
      </c>
      <c r="C542" s="36">
        <f>IFERROR(IF(A542="","",VLOOKUP(A542,DATABASE!$A:$J,10,0)),"")</f>
        <v/>
      </c>
      <c r="D542" s="37">
        <f>IF(A542="","",TODAY())</f>
        <v/>
      </c>
      <c r="E542" s="29" t="n"/>
      <c r="F542" s="36">
        <f>IFERROR(IF(OR(A542="",E542=""),"",C542-E542),"")</f>
        <v/>
      </c>
      <c r="G542" s="30" t="n"/>
      <c r="H542" s="35" t="n"/>
    </row>
    <row r="543" ht="20" customHeight="1">
      <c r="A543" s="26" t="n"/>
      <c r="B543" s="27">
        <f>IFERROR(IF(A543="","",VLOOKUP(A543,DATABASE!$A:$B,2,0)),"")</f>
        <v/>
      </c>
      <c r="C543" s="20">
        <f>IFERROR(IF(A543="","",VLOOKUP(A543,DATABASE!$A:$J,10,0)),"")</f>
        <v/>
      </c>
      <c r="D543" s="28">
        <f>IF(A543="","",TODAY())</f>
        <v/>
      </c>
      <c r="E543" s="29" t="n"/>
      <c r="F543" s="20">
        <f>IFERROR(IF(OR(A543="",E543=""),"",C543-E543),"")</f>
        <v/>
      </c>
      <c r="G543" s="30" t="n"/>
      <c r="H543" s="27" t="n"/>
    </row>
    <row r="544" ht="20" customHeight="1">
      <c r="A544" s="26" t="n"/>
      <c r="B544" s="35">
        <f>IFERROR(IF(A544="","",VLOOKUP(A544,DATABASE!$A:$B,2,0)),"")</f>
        <v/>
      </c>
      <c r="C544" s="36">
        <f>IFERROR(IF(A544="","",VLOOKUP(A544,DATABASE!$A:$J,10,0)),"")</f>
        <v/>
      </c>
      <c r="D544" s="37">
        <f>IF(A544="","",TODAY())</f>
        <v/>
      </c>
      <c r="E544" s="29" t="n"/>
      <c r="F544" s="36">
        <f>IFERROR(IF(OR(A544="",E544=""),"",C544-E544),"")</f>
        <v/>
      </c>
      <c r="G544" s="30" t="n"/>
      <c r="H544" s="35" t="n"/>
    </row>
    <row r="545" ht="20" customHeight="1">
      <c r="A545" s="26" t="n"/>
      <c r="B545" s="27">
        <f>IFERROR(IF(A545="","",VLOOKUP(A545,DATABASE!$A:$B,2,0)),"")</f>
        <v/>
      </c>
      <c r="C545" s="20">
        <f>IFERROR(IF(A545="","",VLOOKUP(A545,DATABASE!$A:$J,10,0)),"")</f>
        <v/>
      </c>
      <c r="D545" s="28">
        <f>IF(A545="","",TODAY())</f>
        <v/>
      </c>
      <c r="E545" s="29" t="n"/>
      <c r="F545" s="20">
        <f>IFERROR(IF(OR(A545="",E545=""),"",C545-E545),"")</f>
        <v/>
      </c>
      <c r="G545" s="30" t="n"/>
      <c r="H545" s="27" t="n"/>
    </row>
    <row r="546" ht="20" customHeight="1">
      <c r="A546" s="26" t="n"/>
      <c r="B546" s="35">
        <f>IFERROR(IF(A546="","",VLOOKUP(A546,DATABASE!$A:$B,2,0)),"")</f>
        <v/>
      </c>
      <c r="C546" s="36">
        <f>IFERROR(IF(A546="","",VLOOKUP(A546,DATABASE!$A:$J,10,0)),"")</f>
        <v/>
      </c>
      <c r="D546" s="37">
        <f>IF(A546="","",TODAY())</f>
        <v/>
      </c>
      <c r="E546" s="29" t="n"/>
      <c r="F546" s="36">
        <f>IFERROR(IF(OR(A546="",E546=""),"",C546-E546),"")</f>
        <v/>
      </c>
      <c r="G546" s="30" t="n"/>
      <c r="H546" s="35" t="n"/>
    </row>
    <row r="547" ht="20" customHeight="1">
      <c r="A547" s="26" t="n"/>
      <c r="B547" s="27">
        <f>IFERROR(IF(A547="","",VLOOKUP(A547,DATABASE!$A:$B,2,0)),"")</f>
        <v/>
      </c>
      <c r="C547" s="20">
        <f>IFERROR(IF(A547="","",VLOOKUP(A547,DATABASE!$A:$J,10,0)),"")</f>
        <v/>
      </c>
      <c r="D547" s="28">
        <f>IF(A547="","",TODAY())</f>
        <v/>
      </c>
      <c r="E547" s="29" t="n"/>
      <c r="F547" s="20">
        <f>IFERROR(IF(OR(A547="",E547=""),"",C547-E547),"")</f>
        <v/>
      </c>
      <c r="G547" s="30" t="n"/>
      <c r="H547" s="27" t="n"/>
    </row>
    <row r="548" ht="20" customHeight="1">
      <c r="A548" s="26" t="n"/>
      <c r="B548" s="35">
        <f>IFERROR(IF(A548="","",VLOOKUP(A548,DATABASE!$A:$B,2,0)),"")</f>
        <v/>
      </c>
      <c r="C548" s="36">
        <f>IFERROR(IF(A548="","",VLOOKUP(A548,DATABASE!$A:$J,10,0)),"")</f>
        <v/>
      </c>
      <c r="D548" s="37">
        <f>IF(A548="","",TODAY())</f>
        <v/>
      </c>
      <c r="E548" s="29" t="n"/>
      <c r="F548" s="36">
        <f>IFERROR(IF(OR(A548="",E548=""),"",C548-E548),"")</f>
        <v/>
      </c>
      <c r="G548" s="30" t="n"/>
      <c r="H548" s="35" t="n"/>
    </row>
    <row r="549" ht="20" customHeight="1">
      <c r="A549" s="26" t="n"/>
      <c r="B549" s="27">
        <f>IFERROR(IF(A549="","",VLOOKUP(A549,DATABASE!$A:$B,2,0)),"")</f>
        <v/>
      </c>
      <c r="C549" s="20">
        <f>IFERROR(IF(A549="","",VLOOKUP(A549,DATABASE!$A:$J,10,0)),"")</f>
        <v/>
      </c>
      <c r="D549" s="28">
        <f>IF(A549="","",TODAY())</f>
        <v/>
      </c>
      <c r="E549" s="29" t="n"/>
      <c r="F549" s="20">
        <f>IFERROR(IF(OR(A549="",E549=""),"",C549-E549),"")</f>
        <v/>
      </c>
      <c r="G549" s="30" t="n"/>
      <c r="H549" s="27" t="n"/>
    </row>
    <row r="550" ht="20" customHeight="1">
      <c r="A550" s="26" t="n"/>
      <c r="B550" s="35">
        <f>IFERROR(IF(A550="","",VLOOKUP(A550,DATABASE!$A:$B,2,0)),"")</f>
        <v/>
      </c>
      <c r="C550" s="36">
        <f>IFERROR(IF(A550="","",VLOOKUP(A550,DATABASE!$A:$J,10,0)),"")</f>
        <v/>
      </c>
      <c r="D550" s="37">
        <f>IF(A550="","",TODAY())</f>
        <v/>
      </c>
      <c r="E550" s="29" t="n"/>
      <c r="F550" s="36">
        <f>IFERROR(IF(OR(A550="",E550=""),"",C550-E550),"")</f>
        <v/>
      </c>
      <c r="G550" s="30" t="n"/>
      <c r="H550" s="35" t="n"/>
    </row>
    <row r="551" ht="20" customHeight="1">
      <c r="A551" s="26" t="n"/>
      <c r="B551" s="27">
        <f>IFERROR(IF(A551="","",VLOOKUP(A551,DATABASE!$A:$B,2,0)),"")</f>
        <v/>
      </c>
      <c r="C551" s="20">
        <f>IFERROR(IF(A551="","",VLOOKUP(A551,DATABASE!$A:$J,10,0)),"")</f>
        <v/>
      </c>
      <c r="D551" s="28">
        <f>IF(A551="","",TODAY())</f>
        <v/>
      </c>
      <c r="E551" s="29" t="n"/>
      <c r="F551" s="20">
        <f>IFERROR(IF(OR(A551="",E551=""),"",C551-E551),"")</f>
        <v/>
      </c>
      <c r="G551" s="30" t="n"/>
      <c r="H551" s="27" t="n"/>
    </row>
    <row r="552" ht="20" customHeight="1">
      <c r="A552" s="26" t="n"/>
      <c r="B552" s="35">
        <f>IFERROR(IF(A552="","",VLOOKUP(A552,DATABASE!$A:$B,2,0)),"")</f>
        <v/>
      </c>
      <c r="C552" s="36">
        <f>IFERROR(IF(A552="","",VLOOKUP(A552,DATABASE!$A:$J,10,0)),"")</f>
        <v/>
      </c>
      <c r="D552" s="37">
        <f>IF(A552="","",TODAY())</f>
        <v/>
      </c>
      <c r="E552" s="29" t="n"/>
      <c r="F552" s="36">
        <f>IFERROR(IF(OR(A552="",E552=""),"",C552-E552),"")</f>
        <v/>
      </c>
      <c r="G552" s="30" t="n"/>
      <c r="H552" s="35" t="n"/>
    </row>
    <row r="553" ht="20" customHeight="1">
      <c r="A553" s="26" t="n"/>
      <c r="B553" s="27">
        <f>IFERROR(IF(A553="","",VLOOKUP(A553,DATABASE!$A:$B,2,0)),"")</f>
        <v/>
      </c>
      <c r="C553" s="20">
        <f>IFERROR(IF(A553="","",VLOOKUP(A553,DATABASE!$A:$J,10,0)),"")</f>
        <v/>
      </c>
      <c r="D553" s="28">
        <f>IF(A553="","",TODAY())</f>
        <v/>
      </c>
      <c r="E553" s="29" t="n"/>
      <c r="F553" s="20">
        <f>IFERROR(IF(OR(A553="",E553=""),"",C553-E553),"")</f>
        <v/>
      </c>
      <c r="G553" s="30" t="n"/>
      <c r="H553" s="27" t="n"/>
    </row>
    <row r="554" ht="20" customHeight="1">
      <c r="A554" s="26" t="n"/>
      <c r="B554" s="35">
        <f>IFERROR(IF(A554="","",VLOOKUP(A554,DATABASE!$A:$B,2,0)),"")</f>
        <v/>
      </c>
      <c r="C554" s="36">
        <f>IFERROR(IF(A554="","",VLOOKUP(A554,DATABASE!$A:$J,10,0)),"")</f>
        <v/>
      </c>
      <c r="D554" s="37">
        <f>IF(A554="","",TODAY())</f>
        <v/>
      </c>
      <c r="E554" s="29" t="n"/>
      <c r="F554" s="36">
        <f>IFERROR(IF(OR(A554="",E554=""),"",C554-E554),"")</f>
        <v/>
      </c>
      <c r="G554" s="30" t="n"/>
      <c r="H554" s="35" t="n"/>
    </row>
    <row r="555" ht="20" customHeight="1">
      <c r="A555" s="26" t="n"/>
      <c r="B555" s="27">
        <f>IFERROR(IF(A555="","",VLOOKUP(A555,DATABASE!$A:$B,2,0)),"")</f>
        <v/>
      </c>
      <c r="C555" s="20">
        <f>IFERROR(IF(A555="","",VLOOKUP(A555,DATABASE!$A:$J,10,0)),"")</f>
        <v/>
      </c>
      <c r="D555" s="28">
        <f>IF(A555="","",TODAY())</f>
        <v/>
      </c>
      <c r="E555" s="29" t="n"/>
      <c r="F555" s="20">
        <f>IFERROR(IF(OR(A555="",E555=""),"",C555-E555),"")</f>
        <v/>
      </c>
      <c r="G555" s="30" t="n"/>
      <c r="H555" s="27" t="n"/>
    </row>
    <row r="556" ht="20" customHeight="1">
      <c r="A556" s="26" t="n"/>
      <c r="B556" s="35">
        <f>IFERROR(IF(A556="","",VLOOKUP(A556,DATABASE!$A:$B,2,0)),"")</f>
        <v/>
      </c>
      <c r="C556" s="36">
        <f>IFERROR(IF(A556="","",VLOOKUP(A556,DATABASE!$A:$J,10,0)),"")</f>
        <v/>
      </c>
      <c r="D556" s="37">
        <f>IF(A556="","",TODAY())</f>
        <v/>
      </c>
      <c r="E556" s="29" t="n"/>
      <c r="F556" s="36">
        <f>IFERROR(IF(OR(A556="",E556=""),"",C556-E556),"")</f>
        <v/>
      </c>
      <c r="G556" s="30" t="n"/>
      <c r="H556" s="35" t="n"/>
    </row>
    <row r="557" ht="20" customHeight="1">
      <c r="A557" s="26" t="n"/>
      <c r="B557" s="27">
        <f>IFERROR(IF(A557="","",VLOOKUP(A557,DATABASE!$A:$B,2,0)),"")</f>
        <v/>
      </c>
      <c r="C557" s="20">
        <f>IFERROR(IF(A557="","",VLOOKUP(A557,DATABASE!$A:$J,10,0)),"")</f>
        <v/>
      </c>
      <c r="D557" s="28">
        <f>IF(A557="","",TODAY())</f>
        <v/>
      </c>
      <c r="E557" s="29" t="n"/>
      <c r="F557" s="20">
        <f>IFERROR(IF(OR(A557="",E557=""),"",C557-E557),"")</f>
        <v/>
      </c>
      <c r="G557" s="30" t="n"/>
      <c r="H557" s="27" t="n"/>
    </row>
    <row r="558" ht="20" customHeight="1">
      <c r="A558" s="26" t="n"/>
      <c r="B558" s="35">
        <f>IFERROR(IF(A558="","",VLOOKUP(A558,DATABASE!$A:$B,2,0)),"")</f>
        <v/>
      </c>
      <c r="C558" s="36">
        <f>IFERROR(IF(A558="","",VLOOKUP(A558,DATABASE!$A:$J,10,0)),"")</f>
        <v/>
      </c>
      <c r="D558" s="37">
        <f>IF(A558="","",TODAY())</f>
        <v/>
      </c>
      <c r="E558" s="29" t="n"/>
      <c r="F558" s="36">
        <f>IFERROR(IF(OR(A558="",E558=""),"",C558-E558),"")</f>
        <v/>
      </c>
      <c r="G558" s="30" t="n"/>
      <c r="H558" s="35" t="n"/>
    </row>
    <row r="559" ht="20" customHeight="1">
      <c r="A559" s="26" t="n"/>
      <c r="B559" s="27">
        <f>IFERROR(IF(A559="","",VLOOKUP(A559,DATABASE!$A:$B,2,0)),"")</f>
        <v/>
      </c>
      <c r="C559" s="20">
        <f>IFERROR(IF(A559="","",VLOOKUP(A559,DATABASE!$A:$J,10,0)),"")</f>
        <v/>
      </c>
      <c r="D559" s="28">
        <f>IF(A559="","",TODAY())</f>
        <v/>
      </c>
      <c r="E559" s="29" t="n"/>
      <c r="F559" s="20">
        <f>IFERROR(IF(OR(A559="",E559=""),"",C559-E559),"")</f>
        <v/>
      </c>
      <c r="G559" s="30" t="n"/>
      <c r="H559" s="27" t="n"/>
    </row>
    <row r="560" ht="20" customHeight="1">
      <c r="A560" s="26" t="n"/>
      <c r="B560" s="35">
        <f>IFERROR(IF(A560="","",VLOOKUP(A560,DATABASE!$A:$B,2,0)),"")</f>
        <v/>
      </c>
      <c r="C560" s="36">
        <f>IFERROR(IF(A560="","",VLOOKUP(A560,DATABASE!$A:$J,10,0)),"")</f>
        <v/>
      </c>
      <c r="D560" s="37">
        <f>IF(A560="","",TODAY())</f>
        <v/>
      </c>
      <c r="E560" s="29" t="n"/>
      <c r="F560" s="36">
        <f>IFERROR(IF(OR(A560="",E560=""),"",C560-E560),"")</f>
        <v/>
      </c>
      <c r="G560" s="30" t="n"/>
      <c r="H560" s="35" t="n"/>
    </row>
    <row r="561" ht="20" customHeight="1">
      <c r="A561" s="26" t="n"/>
      <c r="B561" s="27">
        <f>IFERROR(IF(A561="","",VLOOKUP(A561,DATABASE!$A:$B,2,0)),"")</f>
        <v/>
      </c>
      <c r="C561" s="20">
        <f>IFERROR(IF(A561="","",VLOOKUP(A561,DATABASE!$A:$J,10,0)),"")</f>
        <v/>
      </c>
      <c r="D561" s="28">
        <f>IF(A561="","",TODAY())</f>
        <v/>
      </c>
      <c r="E561" s="29" t="n"/>
      <c r="F561" s="20">
        <f>IFERROR(IF(OR(A561="",E561=""),"",C561-E561),"")</f>
        <v/>
      </c>
      <c r="G561" s="30" t="n"/>
      <c r="H561" s="27" t="n"/>
    </row>
    <row r="562" ht="20" customHeight="1">
      <c r="A562" s="26" t="n"/>
      <c r="B562" s="35">
        <f>IFERROR(IF(A562="","",VLOOKUP(A562,DATABASE!$A:$B,2,0)),"")</f>
        <v/>
      </c>
      <c r="C562" s="36">
        <f>IFERROR(IF(A562="","",VLOOKUP(A562,DATABASE!$A:$J,10,0)),"")</f>
        <v/>
      </c>
      <c r="D562" s="37">
        <f>IF(A562="","",TODAY())</f>
        <v/>
      </c>
      <c r="E562" s="29" t="n"/>
      <c r="F562" s="36">
        <f>IFERROR(IF(OR(A562="",E562=""),"",C562-E562),"")</f>
        <v/>
      </c>
      <c r="G562" s="30" t="n"/>
      <c r="H562" s="35" t="n"/>
    </row>
    <row r="563" ht="20" customHeight="1">
      <c r="A563" s="26" t="n"/>
      <c r="B563" s="27">
        <f>IFERROR(IF(A563="","",VLOOKUP(A563,DATABASE!$A:$B,2,0)),"")</f>
        <v/>
      </c>
      <c r="C563" s="20">
        <f>IFERROR(IF(A563="","",VLOOKUP(A563,DATABASE!$A:$J,10,0)),"")</f>
        <v/>
      </c>
      <c r="D563" s="28">
        <f>IF(A563="","",TODAY())</f>
        <v/>
      </c>
      <c r="E563" s="29" t="n"/>
      <c r="F563" s="20">
        <f>IFERROR(IF(OR(A563="",E563=""),"",C563-E563),"")</f>
        <v/>
      </c>
      <c r="G563" s="30" t="n"/>
      <c r="H563" s="27" t="n"/>
    </row>
    <row r="564" ht="20" customHeight="1">
      <c r="A564" s="26" t="n"/>
      <c r="B564" s="35">
        <f>IFERROR(IF(A564="","",VLOOKUP(A564,DATABASE!$A:$B,2,0)),"")</f>
        <v/>
      </c>
      <c r="C564" s="36">
        <f>IFERROR(IF(A564="","",VLOOKUP(A564,DATABASE!$A:$J,10,0)),"")</f>
        <v/>
      </c>
      <c r="D564" s="37">
        <f>IF(A564="","",TODAY())</f>
        <v/>
      </c>
      <c r="E564" s="29" t="n"/>
      <c r="F564" s="36">
        <f>IFERROR(IF(OR(A564="",E564=""),"",C564-E564),"")</f>
        <v/>
      </c>
      <c r="G564" s="30" t="n"/>
      <c r="H564" s="35" t="n"/>
    </row>
    <row r="565" ht="20" customHeight="1">
      <c r="A565" s="26" t="n"/>
      <c r="B565" s="27">
        <f>IFERROR(IF(A565="","",VLOOKUP(A565,DATABASE!$A:$B,2,0)),"")</f>
        <v/>
      </c>
      <c r="C565" s="20">
        <f>IFERROR(IF(A565="","",VLOOKUP(A565,DATABASE!$A:$J,10,0)),"")</f>
        <v/>
      </c>
      <c r="D565" s="28">
        <f>IF(A565="","",TODAY())</f>
        <v/>
      </c>
      <c r="E565" s="29" t="n"/>
      <c r="F565" s="20">
        <f>IFERROR(IF(OR(A565="",E565=""),"",C565-E565),"")</f>
        <v/>
      </c>
      <c r="G565" s="30" t="n"/>
      <c r="H565" s="27" t="n"/>
    </row>
    <row r="566" ht="20" customHeight="1">
      <c r="A566" s="26" t="n"/>
      <c r="B566" s="35">
        <f>IFERROR(IF(A566="","",VLOOKUP(A566,DATABASE!$A:$B,2,0)),"")</f>
        <v/>
      </c>
      <c r="C566" s="36">
        <f>IFERROR(IF(A566="","",VLOOKUP(A566,DATABASE!$A:$J,10,0)),"")</f>
        <v/>
      </c>
      <c r="D566" s="37">
        <f>IF(A566="","",TODAY())</f>
        <v/>
      </c>
      <c r="E566" s="29" t="n"/>
      <c r="F566" s="36">
        <f>IFERROR(IF(OR(A566="",E566=""),"",C566-E566),"")</f>
        <v/>
      </c>
      <c r="G566" s="30" t="n"/>
      <c r="H566" s="35" t="n"/>
    </row>
    <row r="567" ht="20" customHeight="1">
      <c r="A567" s="26" t="n"/>
      <c r="B567" s="27">
        <f>IFERROR(IF(A567="","",VLOOKUP(A567,DATABASE!$A:$B,2,0)),"")</f>
        <v/>
      </c>
      <c r="C567" s="20">
        <f>IFERROR(IF(A567="","",VLOOKUP(A567,DATABASE!$A:$J,10,0)),"")</f>
        <v/>
      </c>
      <c r="D567" s="28">
        <f>IF(A567="","",TODAY())</f>
        <v/>
      </c>
      <c r="E567" s="29" t="n"/>
      <c r="F567" s="20">
        <f>IFERROR(IF(OR(A567="",E567=""),"",C567-E567),"")</f>
        <v/>
      </c>
      <c r="G567" s="30" t="n"/>
      <c r="H567" s="27" t="n"/>
    </row>
    <row r="568" ht="20" customHeight="1">
      <c r="A568" s="26" t="n"/>
      <c r="B568" s="35">
        <f>IFERROR(IF(A568="","",VLOOKUP(A568,DATABASE!$A:$B,2,0)),"")</f>
        <v/>
      </c>
      <c r="C568" s="36">
        <f>IFERROR(IF(A568="","",VLOOKUP(A568,DATABASE!$A:$J,10,0)),"")</f>
        <v/>
      </c>
      <c r="D568" s="37">
        <f>IF(A568="","",TODAY())</f>
        <v/>
      </c>
      <c r="E568" s="29" t="n"/>
      <c r="F568" s="36">
        <f>IFERROR(IF(OR(A568="",E568=""),"",C568-E568),"")</f>
        <v/>
      </c>
      <c r="G568" s="30" t="n"/>
      <c r="H568" s="35" t="n"/>
    </row>
    <row r="569" ht="20" customHeight="1">
      <c r="A569" s="26" t="n"/>
      <c r="B569" s="27">
        <f>IFERROR(IF(A569="","",VLOOKUP(A569,DATABASE!$A:$B,2,0)),"")</f>
        <v/>
      </c>
      <c r="C569" s="20">
        <f>IFERROR(IF(A569="","",VLOOKUP(A569,DATABASE!$A:$J,10,0)),"")</f>
        <v/>
      </c>
      <c r="D569" s="28">
        <f>IF(A569="","",TODAY())</f>
        <v/>
      </c>
      <c r="E569" s="29" t="n"/>
      <c r="F569" s="20">
        <f>IFERROR(IF(OR(A569="",E569=""),"",C569-E569),"")</f>
        <v/>
      </c>
      <c r="G569" s="30" t="n"/>
      <c r="H569" s="27" t="n"/>
    </row>
    <row r="570" ht="20" customHeight="1">
      <c r="A570" s="26" t="n"/>
      <c r="B570" s="35">
        <f>IFERROR(IF(A570="","",VLOOKUP(A570,DATABASE!$A:$B,2,0)),"")</f>
        <v/>
      </c>
      <c r="C570" s="36">
        <f>IFERROR(IF(A570="","",VLOOKUP(A570,DATABASE!$A:$J,10,0)),"")</f>
        <v/>
      </c>
      <c r="D570" s="37">
        <f>IF(A570="","",TODAY())</f>
        <v/>
      </c>
      <c r="E570" s="29" t="n"/>
      <c r="F570" s="36">
        <f>IFERROR(IF(OR(A570="",E570=""),"",C570-E570),"")</f>
        <v/>
      </c>
      <c r="G570" s="30" t="n"/>
      <c r="H570" s="35" t="n"/>
    </row>
    <row r="571" ht="20" customHeight="1">
      <c r="A571" s="26" t="n"/>
      <c r="B571" s="27">
        <f>IFERROR(IF(A571="","",VLOOKUP(A571,DATABASE!$A:$B,2,0)),"")</f>
        <v/>
      </c>
      <c r="C571" s="20">
        <f>IFERROR(IF(A571="","",VLOOKUP(A571,DATABASE!$A:$J,10,0)),"")</f>
        <v/>
      </c>
      <c r="D571" s="28">
        <f>IF(A571="","",TODAY())</f>
        <v/>
      </c>
      <c r="E571" s="29" t="n"/>
      <c r="F571" s="20">
        <f>IFERROR(IF(OR(A571="",E571=""),"",C571-E571),"")</f>
        <v/>
      </c>
      <c r="G571" s="30" t="n"/>
      <c r="H571" s="27" t="n"/>
    </row>
    <row r="572" ht="20" customHeight="1">
      <c r="A572" s="26" t="n"/>
      <c r="B572" s="35">
        <f>IFERROR(IF(A572="","",VLOOKUP(A572,DATABASE!$A:$B,2,0)),"")</f>
        <v/>
      </c>
      <c r="C572" s="36">
        <f>IFERROR(IF(A572="","",VLOOKUP(A572,DATABASE!$A:$J,10,0)),"")</f>
        <v/>
      </c>
      <c r="D572" s="37">
        <f>IF(A572="","",TODAY())</f>
        <v/>
      </c>
      <c r="E572" s="29" t="n"/>
      <c r="F572" s="36">
        <f>IFERROR(IF(OR(A572="",E572=""),"",C572-E572),"")</f>
        <v/>
      </c>
      <c r="G572" s="30" t="n"/>
      <c r="H572" s="35" t="n"/>
    </row>
    <row r="573" ht="20" customHeight="1">
      <c r="A573" s="26" t="n"/>
      <c r="B573" s="27">
        <f>IFERROR(IF(A573="","",VLOOKUP(A573,DATABASE!$A:$B,2,0)),"")</f>
        <v/>
      </c>
      <c r="C573" s="20">
        <f>IFERROR(IF(A573="","",VLOOKUP(A573,DATABASE!$A:$J,10,0)),"")</f>
        <v/>
      </c>
      <c r="D573" s="28">
        <f>IF(A573="","",TODAY())</f>
        <v/>
      </c>
      <c r="E573" s="29" t="n"/>
      <c r="F573" s="20">
        <f>IFERROR(IF(OR(A573="",E573=""),"",C573-E573),"")</f>
        <v/>
      </c>
      <c r="G573" s="30" t="n"/>
      <c r="H573" s="27" t="n"/>
    </row>
    <row r="574" ht="20" customHeight="1">
      <c r="A574" s="26" t="n"/>
      <c r="B574" s="35">
        <f>IFERROR(IF(A574="","",VLOOKUP(A574,DATABASE!$A:$B,2,0)),"")</f>
        <v/>
      </c>
      <c r="C574" s="36">
        <f>IFERROR(IF(A574="","",VLOOKUP(A574,DATABASE!$A:$J,10,0)),"")</f>
        <v/>
      </c>
      <c r="D574" s="37">
        <f>IF(A574="","",TODAY())</f>
        <v/>
      </c>
      <c r="E574" s="29" t="n"/>
      <c r="F574" s="36">
        <f>IFERROR(IF(OR(A574="",E574=""),"",C574-E574),"")</f>
        <v/>
      </c>
      <c r="G574" s="30" t="n"/>
      <c r="H574" s="35" t="n"/>
    </row>
    <row r="575" ht="20" customHeight="1">
      <c r="A575" s="26" t="n"/>
      <c r="B575" s="27">
        <f>IFERROR(IF(A575="","",VLOOKUP(A575,DATABASE!$A:$B,2,0)),"")</f>
        <v/>
      </c>
      <c r="C575" s="20">
        <f>IFERROR(IF(A575="","",VLOOKUP(A575,DATABASE!$A:$J,10,0)),"")</f>
        <v/>
      </c>
      <c r="D575" s="28">
        <f>IF(A575="","",TODAY())</f>
        <v/>
      </c>
      <c r="E575" s="29" t="n"/>
      <c r="F575" s="20">
        <f>IFERROR(IF(OR(A575="",E575=""),"",C575-E575),"")</f>
        <v/>
      </c>
      <c r="G575" s="30" t="n"/>
      <c r="H575" s="27" t="n"/>
    </row>
    <row r="576" ht="20" customHeight="1">
      <c r="A576" s="26" t="n"/>
      <c r="B576" s="35">
        <f>IFERROR(IF(A576="","",VLOOKUP(A576,DATABASE!$A:$B,2,0)),"")</f>
        <v/>
      </c>
      <c r="C576" s="36">
        <f>IFERROR(IF(A576="","",VLOOKUP(A576,DATABASE!$A:$J,10,0)),"")</f>
        <v/>
      </c>
      <c r="D576" s="37">
        <f>IF(A576="","",TODAY())</f>
        <v/>
      </c>
      <c r="E576" s="29" t="n"/>
      <c r="F576" s="36">
        <f>IFERROR(IF(OR(A576="",E576=""),"",C576-E576),"")</f>
        <v/>
      </c>
      <c r="G576" s="30" t="n"/>
      <c r="H576" s="35" t="n"/>
    </row>
    <row r="577" ht="20" customHeight="1">
      <c r="A577" s="26" t="n"/>
      <c r="B577" s="27">
        <f>IFERROR(IF(A577="","",VLOOKUP(A577,DATABASE!$A:$B,2,0)),"")</f>
        <v/>
      </c>
      <c r="C577" s="20">
        <f>IFERROR(IF(A577="","",VLOOKUP(A577,DATABASE!$A:$J,10,0)),"")</f>
        <v/>
      </c>
      <c r="D577" s="28">
        <f>IF(A577="","",TODAY())</f>
        <v/>
      </c>
      <c r="E577" s="29" t="n"/>
      <c r="F577" s="20">
        <f>IFERROR(IF(OR(A577="",E577=""),"",C577-E577),"")</f>
        <v/>
      </c>
      <c r="G577" s="30" t="n"/>
      <c r="H577" s="27" t="n"/>
    </row>
    <row r="578" ht="20" customHeight="1">
      <c r="A578" s="26" t="n"/>
      <c r="B578" s="35">
        <f>IFERROR(IF(A578="","",VLOOKUP(A578,DATABASE!$A:$B,2,0)),"")</f>
        <v/>
      </c>
      <c r="C578" s="36">
        <f>IFERROR(IF(A578="","",VLOOKUP(A578,DATABASE!$A:$J,10,0)),"")</f>
        <v/>
      </c>
      <c r="D578" s="37">
        <f>IF(A578="","",TODAY())</f>
        <v/>
      </c>
      <c r="E578" s="29" t="n"/>
      <c r="F578" s="36">
        <f>IFERROR(IF(OR(A578="",E578=""),"",C578-E578),"")</f>
        <v/>
      </c>
      <c r="G578" s="30" t="n"/>
      <c r="H578" s="35" t="n"/>
    </row>
    <row r="579" ht="20" customHeight="1">
      <c r="A579" s="26" t="n"/>
      <c r="B579" s="27">
        <f>IFERROR(IF(A579="","",VLOOKUP(A579,DATABASE!$A:$B,2,0)),"")</f>
        <v/>
      </c>
      <c r="C579" s="20">
        <f>IFERROR(IF(A579="","",VLOOKUP(A579,DATABASE!$A:$J,10,0)),"")</f>
        <v/>
      </c>
      <c r="D579" s="28">
        <f>IF(A579="","",TODAY())</f>
        <v/>
      </c>
      <c r="E579" s="29" t="n"/>
      <c r="F579" s="20">
        <f>IFERROR(IF(OR(A579="",E579=""),"",C579-E579),"")</f>
        <v/>
      </c>
      <c r="G579" s="30" t="n"/>
      <c r="H579" s="27" t="n"/>
    </row>
    <row r="580" ht="20" customHeight="1">
      <c r="A580" s="26" t="n"/>
      <c r="B580" s="35">
        <f>IFERROR(IF(A580="","",VLOOKUP(A580,DATABASE!$A:$B,2,0)),"")</f>
        <v/>
      </c>
      <c r="C580" s="36">
        <f>IFERROR(IF(A580="","",VLOOKUP(A580,DATABASE!$A:$J,10,0)),"")</f>
        <v/>
      </c>
      <c r="D580" s="37">
        <f>IF(A580="","",TODAY())</f>
        <v/>
      </c>
      <c r="E580" s="29" t="n"/>
      <c r="F580" s="36">
        <f>IFERROR(IF(OR(A580="",E580=""),"",C580-E580),"")</f>
        <v/>
      </c>
      <c r="G580" s="30" t="n"/>
      <c r="H580" s="35" t="n"/>
    </row>
    <row r="581" ht="20" customHeight="1">
      <c r="A581" s="26" t="n"/>
      <c r="B581" s="27">
        <f>IFERROR(IF(A581="","",VLOOKUP(A581,DATABASE!$A:$B,2,0)),"")</f>
        <v/>
      </c>
      <c r="C581" s="20">
        <f>IFERROR(IF(A581="","",VLOOKUP(A581,DATABASE!$A:$J,10,0)),"")</f>
        <v/>
      </c>
      <c r="D581" s="28">
        <f>IF(A581="","",TODAY())</f>
        <v/>
      </c>
      <c r="E581" s="29" t="n"/>
      <c r="F581" s="20">
        <f>IFERROR(IF(OR(A581="",E581=""),"",C581-E581),"")</f>
        <v/>
      </c>
      <c r="G581" s="30" t="n"/>
      <c r="H581" s="27" t="n"/>
    </row>
    <row r="582" ht="20" customHeight="1">
      <c r="A582" s="26" t="n"/>
      <c r="B582" s="35">
        <f>IFERROR(IF(A582="","",VLOOKUP(A582,DATABASE!$A:$B,2,0)),"")</f>
        <v/>
      </c>
      <c r="C582" s="36">
        <f>IFERROR(IF(A582="","",VLOOKUP(A582,DATABASE!$A:$J,10,0)),"")</f>
        <v/>
      </c>
      <c r="D582" s="37">
        <f>IF(A582="","",TODAY())</f>
        <v/>
      </c>
      <c r="E582" s="29" t="n"/>
      <c r="F582" s="36">
        <f>IFERROR(IF(OR(A582="",E582=""),"",C582-E582),"")</f>
        <v/>
      </c>
      <c r="G582" s="30" t="n"/>
      <c r="H582" s="35" t="n"/>
    </row>
    <row r="583" ht="20" customHeight="1">
      <c r="A583" s="26" t="n"/>
      <c r="B583" s="27">
        <f>IFERROR(IF(A583="","",VLOOKUP(A583,DATABASE!$A:$B,2,0)),"")</f>
        <v/>
      </c>
      <c r="C583" s="20">
        <f>IFERROR(IF(A583="","",VLOOKUP(A583,DATABASE!$A:$J,10,0)),"")</f>
        <v/>
      </c>
      <c r="D583" s="28">
        <f>IF(A583="","",TODAY())</f>
        <v/>
      </c>
      <c r="E583" s="29" t="n"/>
      <c r="F583" s="20">
        <f>IFERROR(IF(OR(A583="",E583=""),"",C583-E583),"")</f>
        <v/>
      </c>
      <c r="G583" s="30" t="n"/>
      <c r="H583" s="27" t="n"/>
    </row>
    <row r="584" ht="20" customHeight="1">
      <c r="A584" s="26" t="n"/>
      <c r="B584" s="35">
        <f>IFERROR(IF(A584="","",VLOOKUP(A584,DATABASE!$A:$B,2,0)),"")</f>
        <v/>
      </c>
      <c r="C584" s="36">
        <f>IFERROR(IF(A584="","",VLOOKUP(A584,DATABASE!$A:$J,10,0)),"")</f>
        <v/>
      </c>
      <c r="D584" s="37">
        <f>IF(A584="","",TODAY())</f>
        <v/>
      </c>
      <c r="E584" s="29" t="n"/>
      <c r="F584" s="36">
        <f>IFERROR(IF(OR(A584="",E584=""),"",C584-E584),"")</f>
        <v/>
      </c>
      <c r="G584" s="30" t="n"/>
      <c r="H584" s="35" t="n"/>
    </row>
    <row r="585" ht="20" customHeight="1">
      <c r="A585" s="26" t="n"/>
      <c r="B585" s="27">
        <f>IFERROR(IF(A585="","",VLOOKUP(A585,DATABASE!$A:$B,2,0)),"")</f>
        <v/>
      </c>
      <c r="C585" s="20">
        <f>IFERROR(IF(A585="","",VLOOKUP(A585,DATABASE!$A:$J,10,0)),"")</f>
        <v/>
      </c>
      <c r="D585" s="28">
        <f>IF(A585="","",TODAY())</f>
        <v/>
      </c>
      <c r="E585" s="29" t="n"/>
      <c r="F585" s="20">
        <f>IFERROR(IF(OR(A585="",E585=""),"",C585-E585),"")</f>
        <v/>
      </c>
      <c r="G585" s="30" t="n"/>
      <c r="H585" s="27" t="n"/>
    </row>
    <row r="586" ht="20" customHeight="1">
      <c r="A586" s="26" t="n"/>
      <c r="B586" s="35">
        <f>IFERROR(IF(A586="","",VLOOKUP(A586,DATABASE!$A:$B,2,0)),"")</f>
        <v/>
      </c>
      <c r="C586" s="36">
        <f>IFERROR(IF(A586="","",VLOOKUP(A586,DATABASE!$A:$J,10,0)),"")</f>
        <v/>
      </c>
      <c r="D586" s="37">
        <f>IF(A586="","",TODAY())</f>
        <v/>
      </c>
      <c r="E586" s="29" t="n"/>
      <c r="F586" s="36">
        <f>IFERROR(IF(OR(A586="",E586=""),"",C586-E586),"")</f>
        <v/>
      </c>
      <c r="G586" s="30" t="n"/>
      <c r="H586" s="35" t="n"/>
    </row>
    <row r="587" ht="20" customHeight="1">
      <c r="A587" s="26" t="n"/>
      <c r="B587" s="27">
        <f>IFERROR(IF(A587="","",VLOOKUP(A587,DATABASE!$A:$B,2,0)),"")</f>
        <v/>
      </c>
      <c r="C587" s="20">
        <f>IFERROR(IF(A587="","",VLOOKUP(A587,DATABASE!$A:$J,10,0)),"")</f>
        <v/>
      </c>
      <c r="D587" s="28">
        <f>IF(A587="","",TODAY())</f>
        <v/>
      </c>
      <c r="E587" s="29" t="n"/>
      <c r="F587" s="20">
        <f>IFERROR(IF(OR(A587="",E587=""),"",C587-E587),"")</f>
        <v/>
      </c>
      <c r="G587" s="30" t="n"/>
      <c r="H587" s="27" t="n"/>
    </row>
    <row r="588" ht="20" customHeight="1">
      <c r="A588" s="26" t="n"/>
      <c r="B588" s="35">
        <f>IFERROR(IF(A588="","",VLOOKUP(A588,DATABASE!$A:$B,2,0)),"")</f>
        <v/>
      </c>
      <c r="C588" s="36">
        <f>IFERROR(IF(A588="","",VLOOKUP(A588,DATABASE!$A:$J,10,0)),"")</f>
        <v/>
      </c>
      <c r="D588" s="37">
        <f>IF(A588="","",TODAY())</f>
        <v/>
      </c>
      <c r="E588" s="29" t="n"/>
      <c r="F588" s="36">
        <f>IFERROR(IF(OR(A588="",E588=""),"",C588-E588),"")</f>
        <v/>
      </c>
      <c r="G588" s="30" t="n"/>
      <c r="H588" s="35" t="n"/>
    </row>
    <row r="589" ht="20" customHeight="1">
      <c r="A589" s="26" t="n"/>
      <c r="B589" s="27">
        <f>IFERROR(IF(A589="","",VLOOKUP(A589,DATABASE!$A:$B,2,0)),"")</f>
        <v/>
      </c>
      <c r="C589" s="20">
        <f>IFERROR(IF(A589="","",VLOOKUP(A589,DATABASE!$A:$J,10,0)),"")</f>
        <v/>
      </c>
      <c r="D589" s="28">
        <f>IF(A589="","",TODAY())</f>
        <v/>
      </c>
      <c r="E589" s="29" t="n"/>
      <c r="F589" s="20">
        <f>IFERROR(IF(OR(A589="",E589=""),"",C589-E589),"")</f>
        <v/>
      </c>
      <c r="G589" s="30" t="n"/>
      <c r="H589" s="27" t="n"/>
    </row>
    <row r="590" ht="20" customHeight="1">
      <c r="A590" s="26" t="n"/>
      <c r="B590" s="35">
        <f>IFERROR(IF(A590="","",VLOOKUP(A590,DATABASE!$A:$B,2,0)),"")</f>
        <v/>
      </c>
      <c r="C590" s="36">
        <f>IFERROR(IF(A590="","",VLOOKUP(A590,DATABASE!$A:$J,10,0)),"")</f>
        <v/>
      </c>
      <c r="D590" s="37">
        <f>IF(A590="","",TODAY())</f>
        <v/>
      </c>
      <c r="E590" s="29" t="n"/>
      <c r="F590" s="36">
        <f>IFERROR(IF(OR(A590="",E590=""),"",C590-E590),"")</f>
        <v/>
      </c>
      <c r="G590" s="30" t="n"/>
      <c r="H590" s="35" t="n"/>
    </row>
    <row r="591" ht="20" customHeight="1">
      <c r="A591" s="26" t="n"/>
      <c r="B591" s="27">
        <f>IFERROR(IF(A591="","",VLOOKUP(A591,DATABASE!$A:$B,2,0)),"")</f>
        <v/>
      </c>
      <c r="C591" s="20">
        <f>IFERROR(IF(A591="","",VLOOKUP(A591,DATABASE!$A:$J,10,0)),"")</f>
        <v/>
      </c>
      <c r="D591" s="28">
        <f>IF(A591="","",TODAY())</f>
        <v/>
      </c>
      <c r="E591" s="29" t="n"/>
      <c r="F591" s="20">
        <f>IFERROR(IF(OR(A591="",E591=""),"",C591-E591),"")</f>
        <v/>
      </c>
      <c r="G591" s="30" t="n"/>
      <c r="H591" s="27" t="n"/>
    </row>
    <row r="592" ht="20" customHeight="1">
      <c r="A592" s="26" t="n"/>
      <c r="B592" s="35">
        <f>IFERROR(IF(A592="","",VLOOKUP(A592,DATABASE!$A:$B,2,0)),"")</f>
        <v/>
      </c>
      <c r="C592" s="36">
        <f>IFERROR(IF(A592="","",VLOOKUP(A592,DATABASE!$A:$J,10,0)),"")</f>
        <v/>
      </c>
      <c r="D592" s="37">
        <f>IF(A592="","",TODAY())</f>
        <v/>
      </c>
      <c r="E592" s="29" t="n"/>
      <c r="F592" s="36">
        <f>IFERROR(IF(OR(A592="",E592=""),"",C592-E592),"")</f>
        <v/>
      </c>
      <c r="G592" s="30" t="n"/>
      <c r="H592" s="35" t="n"/>
    </row>
    <row r="593" ht="20" customHeight="1">
      <c r="A593" s="26" t="n"/>
      <c r="B593" s="27">
        <f>IFERROR(IF(A593="","",VLOOKUP(A593,DATABASE!$A:$B,2,0)),"")</f>
        <v/>
      </c>
      <c r="C593" s="20">
        <f>IFERROR(IF(A593="","",VLOOKUP(A593,DATABASE!$A:$J,10,0)),"")</f>
        <v/>
      </c>
      <c r="D593" s="28">
        <f>IF(A593="","",TODAY())</f>
        <v/>
      </c>
      <c r="E593" s="29" t="n"/>
      <c r="F593" s="20">
        <f>IFERROR(IF(OR(A593="",E593=""),"",C593-E593),"")</f>
        <v/>
      </c>
      <c r="G593" s="30" t="n"/>
      <c r="H593" s="27" t="n"/>
    </row>
    <row r="594" ht="20" customHeight="1">
      <c r="A594" s="26" t="n"/>
      <c r="B594" s="35">
        <f>IFERROR(IF(A594="","",VLOOKUP(A594,DATABASE!$A:$B,2,0)),"")</f>
        <v/>
      </c>
      <c r="C594" s="36">
        <f>IFERROR(IF(A594="","",VLOOKUP(A594,DATABASE!$A:$J,10,0)),"")</f>
        <v/>
      </c>
      <c r="D594" s="37">
        <f>IF(A594="","",TODAY())</f>
        <v/>
      </c>
      <c r="E594" s="29" t="n"/>
      <c r="F594" s="36">
        <f>IFERROR(IF(OR(A594="",E594=""),"",C594-E594),"")</f>
        <v/>
      </c>
      <c r="G594" s="30" t="n"/>
      <c r="H594" s="35" t="n"/>
    </row>
    <row r="595" ht="20" customHeight="1">
      <c r="A595" s="26" t="n"/>
      <c r="B595" s="27">
        <f>IFERROR(IF(A595="","",VLOOKUP(A595,DATABASE!$A:$B,2,0)),"")</f>
        <v/>
      </c>
      <c r="C595" s="20">
        <f>IFERROR(IF(A595="","",VLOOKUP(A595,DATABASE!$A:$J,10,0)),"")</f>
        <v/>
      </c>
      <c r="D595" s="28">
        <f>IF(A595="","",TODAY())</f>
        <v/>
      </c>
      <c r="E595" s="29" t="n"/>
      <c r="F595" s="20">
        <f>IFERROR(IF(OR(A595="",E595=""),"",C595-E595),"")</f>
        <v/>
      </c>
      <c r="G595" s="30" t="n"/>
      <c r="H595" s="27" t="n"/>
    </row>
    <row r="596" ht="20" customHeight="1">
      <c r="A596" s="26" t="n"/>
      <c r="B596" s="35">
        <f>IFERROR(IF(A596="","",VLOOKUP(A596,DATABASE!$A:$B,2,0)),"")</f>
        <v/>
      </c>
      <c r="C596" s="36">
        <f>IFERROR(IF(A596="","",VLOOKUP(A596,DATABASE!$A:$J,10,0)),"")</f>
        <v/>
      </c>
      <c r="D596" s="37">
        <f>IF(A596="","",TODAY())</f>
        <v/>
      </c>
      <c r="E596" s="29" t="n"/>
      <c r="F596" s="36">
        <f>IFERROR(IF(OR(A596="",E596=""),"",C596-E596),"")</f>
        <v/>
      </c>
      <c r="G596" s="30" t="n"/>
      <c r="H596" s="35" t="n"/>
    </row>
    <row r="597" ht="20" customHeight="1">
      <c r="A597" s="26" t="n"/>
      <c r="B597" s="27">
        <f>IFERROR(IF(A597="","",VLOOKUP(A597,DATABASE!$A:$B,2,0)),"")</f>
        <v/>
      </c>
      <c r="C597" s="20">
        <f>IFERROR(IF(A597="","",VLOOKUP(A597,DATABASE!$A:$J,10,0)),"")</f>
        <v/>
      </c>
      <c r="D597" s="28">
        <f>IF(A597="","",TODAY())</f>
        <v/>
      </c>
      <c r="E597" s="29" t="n"/>
      <c r="F597" s="20">
        <f>IFERROR(IF(OR(A597="",E597=""),"",C597-E597),"")</f>
        <v/>
      </c>
      <c r="G597" s="30" t="n"/>
      <c r="H597" s="27" t="n"/>
    </row>
    <row r="598" ht="20" customHeight="1">
      <c r="A598" s="26" t="n"/>
      <c r="B598" s="35">
        <f>IFERROR(IF(A598="","",VLOOKUP(A598,DATABASE!$A:$B,2,0)),"")</f>
        <v/>
      </c>
      <c r="C598" s="36">
        <f>IFERROR(IF(A598="","",VLOOKUP(A598,DATABASE!$A:$J,10,0)),"")</f>
        <v/>
      </c>
      <c r="D598" s="37">
        <f>IF(A598="","",TODAY())</f>
        <v/>
      </c>
      <c r="E598" s="29" t="n"/>
      <c r="F598" s="36">
        <f>IFERROR(IF(OR(A598="",E598=""),"",C598-E598),"")</f>
        <v/>
      </c>
      <c r="G598" s="30" t="n"/>
      <c r="H598" s="35" t="n"/>
    </row>
    <row r="599" ht="20" customHeight="1">
      <c r="A599" s="26" t="n"/>
      <c r="B599" s="27">
        <f>IFERROR(IF(A599="","",VLOOKUP(A599,DATABASE!$A:$B,2,0)),"")</f>
        <v/>
      </c>
      <c r="C599" s="20">
        <f>IFERROR(IF(A599="","",VLOOKUP(A599,DATABASE!$A:$J,10,0)),"")</f>
        <v/>
      </c>
      <c r="D599" s="28">
        <f>IF(A599="","",TODAY())</f>
        <v/>
      </c>
      <c r="E599" s="29" t="n"/>
      <c r="F599" s="20">
        <f>IFERROR(IF(OR(A599="",E599=""),"",C599-E599),"")</f>
        <v/>
      </c>
      <c r="G599" s="30" t="n"/>
      <c r="H599" s="27" t="n"/>
    </row>
    <row r="600" ht="20" customHeight="1">
      <c r="A600" s="26" t="n"/>
      <c r="B600" s="35">
        <f>IFERROR(IF(A600="","",VLOOKUP(A600,DATABASE!$A:$B,2,0)),"")</f>
        <v/>
      </c>
      <c r="C600" s="36">
        <f>IFERROR(IF(A600="","",VLOOKUP(A600,DATABASE!$A:$J,10,0)),"")</f>
        <v/>
      </c>
      <c r="D600" s="37">
        <f>IF(A600="","",TODAY())</f>
        <v/>
      </c>
      <c r="E600" s="29" t="n"/>
      <c r="F600" s="36">
        <f>IFERROR(IF(OR(A600="",E600=""),"",C600-E600),"")</f>
        <v/>
      </c>
      <c r="G600" s="30" t="n"/>
      <c r="H600" s="35" t="n"/>
    </row>
    <row r="601" ht="20" customHeight="1">
      <c r="A601" s="26" t="n"/>
      <c r="B601" s="27">
        <f>IFERROR(IF(A601="","",VLOOKUP(A601,DATABASE!$A:$B,2,0)),"")</f>
        <v/>
      </c>
      <c r="C601" s="20">
        <f>IFERROR(IF(A601="","",VLOOKUP(A601,DATABASE!$A:$J,10,0)),"")</f>
        <v/>
      </c>
      <c r="D601" s="28">
        <f>IF(A601="","",TODAY())</f>
        <v/>
      </c>
      <c r="E601" s="29" t="n"/>
      <c r="F601" s="20">
        <f>IFERROR(IF(OR(A601="",E601=""),"",C601-E601),"")</f>
        <v/>
      </c>
      <c r="G601" s="30" t="n"/>
      <c r="H601" s="27" t="n"/>
    </row>
    <row r="602" ht="20" customHeight="1">
      <c r="A602" s="26" t="n"/>
      <c r="B602" s="35">
        <f>IFERROR(IF(A602="","",VLOOKUP(A602,DATABASE!$A:$B,2,0)),"")</f>
        <v/>
      </c>
      <c r="C602" s="36">
        <f>IFERROR(IF(A602="","",VLOOKUP(A602,DATABASE!$A:$J,10,0)),"")</f>
        <v/>
      </c>
      <c r="D602" s="37">
        <f>IF(A602="","",TODAY())</f>
        <v/>
      </c>
      <c r="E602" s="29" t="n"/>
      <c r="F602" s="36">
        <f>IFERROR(IF(OR(A602="",E602=""),"",C602-E602),"")</f>
        <v/>
      </c>
      <c r="G602" s="30" t="n"/>
      <c r="H602" s="35" t="n"/>
    </row>
    <row r="603" ht="20" customHeight="1">
      <c r="A603" s="26" t="n"/>
      <c r="B603" s="27">
        <f>IFERROR(IF(A603="","",VLOOKUP(A603,DATABASE!$A:$B,2,0)),"")</f>
        <v/>
      </c>
      <c r="C603" s="20">
        <f>IFERROR(IF(A603="","",VLOOKUP(A603,DATABASE!$A:$J,10,0)),"")</f>
        <v/>
      </c>
      <c r="D603" s="28">
        <f>IF(A603="","",TODAY())</f>
        <v/>
      </c>
      <c r="E603" s="29" t="n"/>
      <c r="F603" s="20">
        <f>IFERROR(IF(OR(A603="",E603=""),"",C603-E603),"")</f>
        <v/>
      </c>
      <c r="G603" s="30" t="n"/>
      <c r="H603" s="27" t="n"/>
    </row>
    <row r="604" ht="20" customHeight="1">
      <c r="A604" s="26" t="n"/>
      <c r="B604" s="35">
        <f>IFERROR(IF(A604="","",VLOOKUP(A604,DATABASE!$A:$B,2,0)),"")</f>
        <v/>
      </c>
      <c r="C604" s="36">
        <f>IFERROR(IF(A604="","",VLOOKUP(A604,DATABASE!$A:$J,10,0)),"")</f>
        <v/>
      </c>
      <c r="D604" s="37">
        <f>IF(A604="","",TODAY())</f>
        <v/>
      </c>
      <c r="E604" s="29" t="n"/>
      <c r="F604" s="36">
        <f>IFERROR(IF(OR(A604="",E604=""),"",C604-E604),"")</f>
        <v/>
      </c>
      <c r="G604" s="30" t="n"/>
      <c r="H604" s="35" t="n"/>
    </row>
    <row r="605" ht="20" customHeight="1">
      <c r="A605" s="26" t="n"/>
      <c r="B605" s="27">
        <f>IFERROR(IF(A605="","",VLOOKUP(A605,DATABASE!$A:$B,2,0)),"")</f>
        <v/>
      </c>
      <c r="C605" s="20">
        <f>IFERROR(IF(A605="","",VLOOKUP(A605,DATABASE!$A:$J,10,0)),"")</f>
        <v/>
      </c>
      <c r="D605" s="28">
        <f>IF(A605="","",TODAY())</f>
        <v/>
      </c>
      <c r="E605" s="29" t="n"/>
      <c r="F605" s="20">
        <f>IFERROR(IF(OR(A605="",E605=""),"",C605-E605),"")</f>
        <v/>
      </c>
      <c r="G605" s="30" t="n"/>
      <c r="H605" s="27" t="n"/>
    </row>
    <row r="606" ht="20" customHeight="1">
      <c r="A606" s="26" t="n"/>
      <c r="B606" s="35">
        <f>IFERROR(IF(A606="","",VLOOKUP(A606,DATABASE!$A:$B,2,0)),"")</f>
        <v/>
      </c>
      <c r="C606" s="36">
        <f>IFERROR(IF(A606="","",VLOOKUP(A606,DATABASE!$A:$J,10,0)),"")</f>
        <v/>
      </c>
      <c r="D606" s="37">
        <f>IF(A606="","",TODAY())</f>
        <v/>
      </c>
      <c r="E606" s="29" t="n"/>
      <c r="F606" s="36">
        <f>IFERROR(IF(OR(A606="",E606=""),"",C606-E606),"")</f>
        <v/>
      </c>
      <c r="G606" s="30" t="n"/>
      <c r="H606" s="35" t="n"/>
    </row>
    <row r="607" ht="20" customHeight="1">
      <c r="A607" s="26" t="n"/>
      <c r="B607" s="27">
        <f>IFERROR(IF(A607="","",VLOOKUP(A607,DATABASE!$A:$B,2,0)),"")</f>
        <v/>
      </c>
      <c r="C607" s="20">
        <f>IFERROR(IF(A607="","",VLOOKUP(A607,DATABASE!$A:$J,10,0)),"")</f>
        <v/>
      </c>
      <c r="D607" s="28">
        <f>IF(A607="","",TODAY())</f>
        <v/>
      </c>
      <c r="E607" s="29" t="n"/>
      <c r="F607" s="20">
        <f>IFERROR(IF(OR(A607="",E607=""),"",C607-E607),"")</f>
        <v/>
      </c>
      <c r="G607" s="30" t="n"/>
      <c r="H607" s="27" t="n"/>
    </row>
    <row r="608" ht="20" customHeight="1">
      <c r="A608" s="26" t="n"/>
      <c r="B608" s="35">
        <f>IFERROR(IF(A608="","",VLOOKUP(A608,DATABASE!$A:$B,2,0)),"")</f>
        <v/>
      </c>
      <c r="C608" s="36">
        <f>IFERROR(IF(A608="","",VLOOKUP(A608,DATABASE!$A:$J,10,0)),"")</f>
        <v/>
      </c>
      <c r="D608" s="37">
        <f>IF(A608="","",TODAY())</f>
        <v/>
      </c>
      <c r="E608" s="29" t="n"/>
      <c r="F608" s="36">
        <f>IFERROR(IF(OR(A608="",E608=""),"",C608-E608),"")</f>
        <v/>
      </c>
      <c r="G608" s="30" t="n"/>
      <c r="H608" s="35" t="n"/>
    </row>
    <row r="609" ht="20" customHeight="1">
      <c r="A609" s="26" t="n"/>
      <c r="B609" s="27">
        <f>IFERROR(IF(A609="","",VLOOKUP(A609,DATABASE!$A:$B,2,0)),"")</f>
        <v/>
      </c>
      <c r="C609" s="20">
        <f>IFERROR(IF(A609="","",VLOOKUP(A609,DATABASE!$A:$J,10,0)),"")</f>
        <v/>
      </c>
      <c r="D609" s="28">
        <f>IF(A609="","",TODAY())</f>
        <v/>
      </c>
      <c r="E609" s="29" t="n"/>
      <c r="F609" s="20">
        <f>IFERROR(IF(OR(A609="",E609=""),"",C609-E609),"")</f>
        <v/>
      </c>
      <c r="G609" s="30" t="n"/>
      <c r="H609" s="27" t="n"/>
    </row>
    <row r="610" ht="20" customHeight="1">
      <c r="A610" s="26" t="n"/>
      <c r="B610" s="35">
        <f>IFERROR(IF(A610="","",VLOOKUP(A610,DATABASE!$A:$B,2,0)),"")</f>
        <v/>
      </c>
      <c r="C610" s="36">
        <f>IFERROR(IF(A610="","",VLOOKUP(A610,DATABASE!$A:$J,10,0)),"")</f>
        <v/>
      </c>
      <c r="D610" s="37">
        <f>IF(A610="","",TODAY())</f>
        <v/>
      </c>
      <c r="E610" s="29" t="n"/>
      <c r="F610" s="36">
        <f>IFERROR(IF(OR(A610="",E610=""),"",C610-E610),"")</f>
        <v/>
      </c>
      <c r="G610" s="30" t="n"/>
      <c r="H610" s="35" t="n"/>
    </row>
    <row r="611" ht="20" customHeight="1">
      <c r="A611" s="26" t="n"/>
      <c r="B611" s="27">
        <f>IFERROR(IF(A611="","",VLOOKUP(A611,DATABASE!$A:$B,2,0)),"")</f>
        <v/>
      </c>
      <c r="C611" s="20">
        <f>IFERROR(IF(A611="","",VLOOKUP(A611,DATABASE!$A:$J,10,0)),"")</f>
        <v/>
      </c>
      <c r="D611" s="28">
        <f>IF(A611="","",TODAY())</f>
        <v/>
      </c>
      <c r="E611" s="29" t="n"/>
      <c r="F611" s="20">
        <f>IFERROR(IF(OR(A611="",E611=""),"",C611-E611),"")</f>
        <v/>
      </c>
      <c r="G611" s="30" t="n"/>
      <c r="H611" s="27" t="n"/>
    </row>
    <row r="612" ht="20" customHeight="1">
      <c r="A612" s="26" t="n"/>
      <c r="B612" s="35">
        <f>IFERROR(IF(A612="","",VLOOKUP(A612,DATABASE!$A:$B,2,0)),"")</f>
        <v/>
      </c>
      <c r="C612" s="36">
        <f>IFERROR(IF(A612="","",VLOOKUP(A612,DATABASE!$A:$J,10,0)),"")</f>
        <v/>
      </c>
      <c r="D612" s="37">
        <f>IF(A612="","",TODAY())</f>
        <v/>
      </c>
      <c r="E612" s="29" t="n"/>
      <c r="F612" s="36">
        <f>IFERROR(IF(OR(A612="",E612=""),"",C612-E612),"")</f>
        <v/>
      </c>
      <c r="G612" s="30" t="n"/>
      <c r="H612" s="35" t="n"/>
    </row>
    <row r="613" ht="20" customHeight="1">
      <c r="A613" s="26" t="n"/>
      <c r="B613" s="27">
        <f>IFERROR(IF(A613="","",VLOOKUP(A613,DATABASE!$A:$B,2,0)),"")</f>
        <v/>
      </c>
      <c r="C613" s="20">
        <f>IFERROR(IF(A613="","",VLOOKUP(A613,DATABASE!$A:$J,10,0)),"")</f>
        <v/>
      </c>
      <c r="D613" s="28">
        <f>IF(A613="","",TODAY())</f>
        <v/>
      </c>
      <c r="E613" s="29" t="n"/>
      <c r="F613" s="20">
        <f>IFERROR(IF(OR(A613="",E613=""),"",C613-E613),"")</f>
        <v/>
      </c>
      <c r="G613" s="30" t="n"/>
      <c r="H613" s="27" t="n"/>
    </row>
    <row r="614" ht="20" customHeight="1">
      <c r="A614" s="26" t="n"/>
      <c r="B614" s="35">
        <f>IFERROR(IF(A614="","",VLOOKUP(A614,DATABASE!$A:$B,2,0)),"")</f>
        <v/>
      </c>
      <c r="C614" s="36">
        <f>IFERROR(IF(A614="","",VLOOKUP(A614,DATABASE!$A:$J,10,0)),"")</f>
        <v/>
      </c>
      <c r="D614" s="37">
        <f>IF(A614="","",TODAY())</f>
        <v/>
      </c>
      <c r="E614" s="29" t="n"/>
      <c r="F614" s="36">
        <f>IFERROR(IF(OR(A614="",E614=""),"",C614-E614),"")</f>
        <v/>
      </c>
      <c r="G614" s="30" t="n"/>
      <c r="H614" s="35" t="n"/>
    </row>
    <row r="615" ht="20" customHeight="1">
      <c r="A615" s="26" t="n"/>
      <c r="B615" s="27">
        <f>IFERROR(IF(A615="","",VLOOKUP(A615,DATABASE!$A:$B,2,0)),"")</f>
        <v/>
      </c>
      <c r="C615" s="20">
        <f>IFERROR(IF(A615="","",VLOOKUP(A615,DATABASE!$A:$J,10,0)),"")</f>
        <v/>
      </c>
      <c r="D615" s="28">
        <f>IF(A615="","",TODAY())</f>
        <v/>
      </c>
      <c r="E615" s="29" t="n"/>
      <c r="F615" s="20">
        <f>IFERROR(IF(OR(A615="",E615=""),"",C615-E615),"")</f>
        <v/>
      </c>
      <c r="G615" s="30" t="n"/>
      <c r="H615" s="27" t="n"/>
    </row>
    <row r="616" ht="20" customHeight="1">
      <c r="A616" s="26" t="n"/>
      <c r="B616" s="35">
        <f>IFERROR(IF(A616="","",VLOOKUP(A616,DATABASE!$A:$B,2,0)),"")</f>
        <v/>
      </c>
      <c r="C616" s="36">
        <f>IFERROR(IF(A616="","",VLOOKUP(A616,DATABASE!$A:$J,10,0)),"")</f>
        <v/>
      </c>
      <c r="D616" s="37">
        <f>IF(A616="","",TODAY())</f>
        <v/>
      </c>
      <c r="E616" s="29" t="n"/>
      <c r="F616" s="36">
        <f>IFERROR(IF(OR(A616="",E616=""),"",C616-E616),"")</f>
        <v/>
      </c>
      <c r="G616" s="30" t="n"/>
      <c r="H616" s="35" t="n"/>
    </row>
    <row r="617" ht="20" customHeight="1">
      <c r="A617" s="26" t="n"/>
      <c r="B617" s="27">
        <f>IFERROR(IF(A617="","",VLOOKUP(A617,DATABASE!$A:$B,2,0)),"")</f>
        <v/>
      </c>
      <c r="C617" s="20">
        <f>IFERROR(IF(A617="","",VLOOKUP(A617,DATABASE!$A:$J,10,0)),"")</f>
        <v/>
      </c>
      <c r="D617" s="28">
        <f>IF(A617="","",TODAY())</f>
        <v/>
      </c>
      <c r="E617" s="29" t="n"/>
      <c r="F617" s="20">
        <f>IFERROR(IF(OR(A617="",E617=""),"",C617-E617),"")</f>
        <v/>
      </c>
      <c r="G617" s="30" t="n"/>
      <c r="H617" s="27" t="n"/>
    </row>
    <row r="618" ht="20" customHeight="1">
      <c r="A618" s="26" t="n"/>
      <c r="B618" s="35">
        <f>IFERROR(IF(A618="","",VLOOKUP(A618,DATABASE!$A:$B,2,0)),"")</f>
        <v/>
      </c>
      <c r="C618" s="36">
        <f>IFERROR(IF(A618="","",VLOOKUP(A618,DATABASE!$A:$J,10,0)),"")</f>
        <v/>
      </c>
      <c r="D618" s="37">
        <f>IF(A618="","",TODAY())</f>
        <v/>
      </c>
      <c r="E618" s="29" t="n"/>
      <c r="F618" s="36">
        <f>IFERROR(IF(OR(A618="",E618=""),"",C618-E618),"")</f>
        <v/>
      </c>
      <c r="G618" s="30" t="n"/>
      <c r="H618" s="35" t="n"/>
    </row>
    <row r="619" ht="20" customHeight="1">
      <c r="A619" s="26" t="n"/>
      <c r="B619" s="27">
        <f>IFERROR(IF(A619="","",VLOOKUP(A619,DATABASE!$A:$B,2,0)),"")</f>
        <v/>
      </c>
      <c r="C619" s="20">
        <f>IFERROR(IF(A619="","",VLOOKUP(A619,DATABASE!$A:$J,10,0)),"")</f>
        <v/>
      </c>
      <c r="D619" s="28">
        <f>IF(A619="","",TODAY())</f>
        <v/>
      </c>
      <c r="E619" s="29" t="n"/>
      <c r="F619" s="20">
        <f>IFERROR(IF(OR(A619="",E619=""),"",C619-E619),"")</f>
        <v/>
      </c>
      <c r="G619" s="30" t="n"/>
      <c r="H619" s="27" t="n"/>
    </row>
    <row r="620" ht="20" customHeight="1">
      <c r="A620" s="26" t="n"/>
      <c r="B620" s="35">
        <f>IFERROR(IF(A620="","",VLOOKUP(A620,DATABASE!$A:$B,2,0)),"")</f>
        <v/>
      </c>
      <c r="C620" s="36">
        <f>IFERROR(IF(A620="","",VLOOKUP(A620,DATABASE!$A:$J,10,0)),"")</f>
        <v/>
      </c>
      <c r="D620" s="37">
        <f>IF(A620="","",TODAY())</f>
        <v/>
      </c>
      <c r="E620" s="29" t="n"/>
      <c r="F620" s="36">
        <f>IFERROR(IF(OR(A620="",E620=""),"",C620-E620),"")</f>
        <v/>
      </c>
      <c r="G620" s="30" t="n"/>
      <c r="H620" s="35" t="n"/>
    </row>
    <row r="621" ht="20" customHeight="1">
      <c r="A621" s="26" t="n"/>
      <c r="B621" s="27">
        <f>IFERROR(IF(A621="","",VLOOKUP(A621,DATABASE!$A:$B,2,0)),"")</f>
        <v/>
      </c>
      <c r="C621" s="20">
        <f>IFERROR(IF(A621="","",VLOOKUP(A621,DATABASE!$A:$J,10,0)),"")</f>
        <v/>
      </c>
      <c r="D621" s="28">
        <f>IF(A621="","",TODAY())</f>
        <v/>
      </c>
      <c r="E621" s="29" t="n"/>
      <c r="F621" s="20">
        <f>IFERROR(IF(OR(A621="",E621=""),"",C621-E621),"")</f>
        <v/>
      </c>
      <c r="G621" s="30" t="n"/>
      <c r="H621" s="27" t="n"/>
    </row>
    <row r="622" ht="20" customHeight="1">
      <c r="A622" s="26" t="n"/>
      <c r="B622" s="35">
        <f>IFERROR(IF(A622="","",VLOOKUP(A622,DATABASE!$A:$B,2,0)),"")</f>
        <v/>
      </c>
      <c r="C622" s="36">
        <f>IFERROR(IF(A622="","",VLOOKUP(A622,DATABASE!$A:$J,10,0)),"")</f>
        <v/>
      </c>
      <c r="D622" s="37">
        <f>IF(A622="","",TODAY())</f>
        <v/>
      </c>
      <c r="E622" s="29" t="n"/>
      <c r="F622" s="36">
        <f>IFERROR(IF(OR(A622="",E622=""),"",C622-E622),"")</f>
        <v/>
      </c>
      <c r="G622" s="30" t="n"/>
      <c r="H622" s="35" t="n"/>
    </row>
    <row r="623" ht="20" customHeight="1">
      <c r="A623" s="26" t="n"/>
      <c r="B623" s="27">
        <f>IFERROR(IF(A623="","",VLOOKUP(A623,DATABASE!$A:$B,2,0)),"")</f>
        <v/>
      </c>
      <c r="C623" s="20">
        <f>IFERROR(IF(A623="","",VLOOKUP(A623,DATABASE!$A:$J,10,0)),"")</f>
        <v/>
      </c>
      <c r="D623" s="28">
        <f>IF(A623="","",TODAY())</f>
        <v/>
      </c>
      <c r="E623" s="29" t="n"/>
      <c r="F623" s="20">
        <f>IFERROR(IF(OR(A623="",E623=""),"",C623-E623),"")</f>
        <v/>
      </c>
      <c r="G623" s="30" t="n"/>
      <c r="H623" s="27" t="n"/>
    </row>
    <row r="624" ht="20" customHeight="1">
      <c r="A624" s="26" t="n"/>
      <c r="B624" s="35">
        <f>IFERROR(IF(A624="","",VLOOKUP(A624,DATABASE!$A:$B,2,0)),"")</f>
        <v/>
      </c>
      <c r="C624" s="36">
        <f>IFERROR(IF(A624="","",VLOOKUP(A624,DATABASE!$A:$J,10,0)),"")</f>
        <v/>
      </c>
      <c r="D624" s="37">
        <f>IF(A624="","",TODAY())</f>
        <v/>
      </c>
      <c r="E624" s="29" t="n"/>
      <c r="F624" s="36">
        <f>IFERROR(IF(OR(A624="",E624=""),"",C624-E624),"")</f>
        <v/>
      </c>
      <c r="G624" s="30" t="n"/>
      <c r="H624" s="35" t="n"/>
    </row>
    <row r="625" ht="20" customHeight="1">
      <c r="A625" s="26" t="n"/>
      <c r="B625" s="27">
        <f>IFERROR(IF(A625="","",VLOOKUP(A625,DATABASE!$A:$B,2,0)),"")</f>
        <v/>
      </c>
      <c r="C625" s="20">
        <f>IFERROR(IF(A625="","",VLOOKUP(A625,DATABASE!$A:$J,10,0)),"")</f>
        <v/>
      </c>
      <c r="D625" s="28">
        <f>IF(A625="","",TODAY())</f>
        <v/>
      </c>
      <c r="E625" s="29" t="n"/>
      <c r="F625" s="20">
        <f>IFERROR(IF(OR(A625="",E625=""),"",C625-E625),"")</f>
        <v/>
      </c>
      <c r="G625" s="30" t="n"/>
      <c r="H625" s="27" t="n"/>
    </row>
    <row r="626" ht="20" customHeight="1">
      <c r="A626" s="26" t="n"/>
      <c r="B626" s="35">
        <f>IFERROR(IF(A626="","",VLOOKUP(A626,DATABASE!$A:$B,2,0)),"")</f>
        <v/>
      </c>
      <c r="C626" s="36">
        <f>IFERROR(IF(A626="","",VLOOKUP(A626,DATABASE!$A:$J,10,0)),"")</f>
        <v/>
      </c>
      <c r="D626" s="37">
        <f>IF(A626="","",TODAY())</f>
        <v/>
      </c>
      <c r="E626" s="29" t="n"/>
      <c r="F626" s="36">
        <f>IFERROR(IF(OR(A626="",E626=""),"",C626-E626),"")</f>
        <v/>
      </c>
      <c r="G626" s="30" t="n"/>
      <c r="H626" s="35" t="n"/>
    </row>
    <row r="627" ht="20" customHeight="1">
      <c r="A627" s="26" t="n"/>
      <c r="B627" s="27">
        <f>IFERROR(IF(A627="","",VLOOKUP(A627,DATABASE!$A:$B,2,0)),"")</f>
        <v/>
      </c>
      <c r="C627" s="20">
        <f>IFERROR(IF(A627="","",VLOOKUP(A627,DATABASE!$A:$J,10,0)),"")</f>
        <v/>
      </c>
      <c r="D627" s="28">
        <f>IF(A627="","",TODAY())</f>
        <v/>
      </c>
      <c r="E627" s="29" t="n"/>
      <c r="F627" s="20">
        <f>IFERROR(IF(OR(A627="",E627=""),"",C627-E627),"")</f>
        <v/>
      </c>
      <c r="G627" s="30" t="n"/>
      <c r="H627" s="27" t="n"/>
    </row>
    <row r="628" ht="20" customHeight="1">
      <c r="A628" s="26" t="n"/>
      <c r="B628" s="35">
        <f>IFERROR(IF(A628="","",VLOOKUP(A628,DATABASE!$A:$B,2,0)),"")</f>
        <v/>
      </c>
      <c r="C628" s="36">
        <f>IFERROR(IF(A628="","",VLOOKUP(A628,DATABASE!$A:$J,10,0)),"")</f>
        <v/>
      </c>
      <c r="D628" s="37">
        <f>IF(A628="","",TODAY())</f>
        <v/>
      </c>
      <c r="E628" s="29" t="n"/>
      <c r="F628" s="36">
        <f>IFERROR(IF(OR(A628="",E628=""),"",C628-E628),"")</f>
        <v/>
      </c>
      <c r="G628" s="30" t="n"/>
      <c r="H628" s="35" t="n"/>
    </row>
    <row r="629" ht="20" customHeight="1">
      <c r="A629" s="26" t="n"/>
      <c r="B629" s="27">
        <f>IFERROR(IF(A629="","",VLOOKUP(A629,DATABASE!$A:$B,2,0)),"")</f>
        <v/>
      </c>
      <c r="C629" s="20">
        <f>IFERROR(IF(A629="","",VLOOKUP(A629,DATABASE!$A:$J,10,0)),"")</f>
        <v/>
      </c>
      <c r="D629" s="28">
        <f>IF(A629="","",TODAY())</f>
        <v/>
      </c>
      <c r="E629" s="29" t="n"/>
      <c r="F629" s="20">
        <f>IFERROR(IF(OR(A629="",E629=""),"",C629-E629),"")</f>
        <v/>
      </c>
      <c r="G629" s="30" t="n"/>
      <c r="H629" s="27" t="n"/>
    </row>
    <row r="630" ht="20" customHeight="1">
      <c r="A630" s="26" t="n"/>
      <c r="B630" s="35">
        <f>IFERROR(IF(A630="","",VLOOKUP(A630,DATABASE!$A:$B,2,0)),"")</f>
        <v/>
      </c>
      <c r="C630" s="36">
        <f>IFERROR(IF(A630="","",VLOOKUP(A630,DATABASE!$A:$J,10,0)),"")</f>
        <v/>
      </c>
      <c r="D630" s="37">
        <f>IF(A630="","",TODAY())</f>
        <v/>
      </c>
      <c r="E630" s="29" t="n"/>
      <c r="F630" s="36">
        <f>IFERROR(IF(OR(A630="",E630=""),"",C630-E630),"")</f>
        <v/>
      </c>
      <c r="G630" s="30" t="n"/>
      <c r="H630" s="35" t="n"/>
    </row>
    <row r="631" ht="20" customHeight="1">
      <c r="A631" s="26" t="n"/>
      <c r="B631" s="27">
        <f>IFERROR(IF(A631="","",VLOOKUP(A631,DATABASE!$A:$B,2,0)),"")</f>
        <v/>
      </c>
      <c r="C631" s="20">
        <f>IFERROR(IF(A631="","",VLOOKUP(A631,DATABASE!$A:$J,10,0)),"")</f>
        <v/>
      </c>
      <c r="D631" s="28">
        <f>IF(A631="","",TODAY())</f>
        <v/>
      </c>
      <c r="E631" s="29" t="n"/>
      <c r="F631" s="20">
        <f>IFERROR(IF(OR(A631="",E631=""),"",C631-E631),"")</f>
        <v/>
      </c>
      <c r="G631" s="30" t="n"/>
      <c r="H631" s="27" t="n"/>
    </row>
    <row r="632" ht="20" customHeight="1">
      <c r="A632" s="26" t="n"/>
      <c r="B632" s="35">
        <f>IFERROR(IF(A632="","",VLOOKUP(A632,DATABASE!$A:$B,2,0)),"")</f>
        <v/>
      </c>
      <c r="C632" s="36">
        <f>IFERROR(IF(A632="","",VLOOKUP(A632,DATABASE!$A:$J,10,0)),"")</f>
        <v/>
      </c>
      <c r="D632" s="37">
        <f>IF(A632="","",TODAY())</f>
        <v/>
      </c>
      <c r="E632" s="29" t="n"/>
      <c r="F632" s="36">
        <f>IFERROR(IF(OR(A632="",E632=""),"",C632-E632),"")</f>
        <v/>
      </c>
      <c r="G632" s="30" t="n"/>
      <c r="H632" s="35" t="n"/>
    </row>
    <row r="633" ht="20" customHeight="1">
      <c r="A633" s="26" t="n"/>
      <c r="B633" s="27">
        <f>IFERROR(IF(A633="","",VLOOKUP(A633,DATABASE!$A:$B,2,0)),"")</f>
        <v/>
      </c>
      <c r="C633" s="20">
        <f>IFERROR(IF(A633="","",VLOOKUP(A633,DATABASE!$A:$J,10,0)),"")</f>
        <v/>
      </c>
      <c r="D633" s="28">
        <f>IF(A633="","",TODAY())</f>
        <v/>
      </c>
      <c r="E633" s="29" t="n"/>
      <c r="F633" s="20">
        <f>IFERROR(IF(OR(A633="",E633=""),"",C633-E633),"")</f>
        <v/>
      </c>
      <c r="G633" s="30" t="n"/>
      <c r="H633" s="27" t="n"/>
    </row>
    <row r="634" ht="20" customHeight="1">
      <c r="A634" s="26" t="n"/>
      <c r="B634" s="35">
        <f>IFERROR(IF(A634="","",VLOOKUP(A634,DATABASE!$A:$B,2,0)),"")</f>
        <v/>
      </c>
      <c r="C634" s="36">
        <f>IFERROR(IF(A634="","",VLOOKUP(A634,DATABASE!$A:$J,10,0)),"")</f>
        <v/>
      </c>
      <c r="D634" s="37">
        <f>IF(A634="","",TODAY())</f>
        <v/>
      </c>
      <c r="E634" s="29" t="n"/>
      <c r="F634" s="36">
        <f>IFERROR(IF(OR(A634="",E634=""),"",C634-E634),"")</f>
        <v/>
      </c>
      <c r="G634" s="30" t="n"/>
      <c r="H634" s="35" t="n"/>
    </row>
    <row r="635" ht="20" customHeight="1">
      <c r="A635" s="26" t="n"/>
      <c r="B635" s="27">
        <f>IFERROR(IF(A635="","",VLOOKUP(A635,DATABASE!$A:$B,2,0)),"")</f>
        <v/>
      </c>
      <c r="C635" s="20">
        <f>IFERROR(IF(A635="","",VLOOKUP(A635,DATABASE!$A:$J,10,0)),"")</f>
        <v/>
      </c>
      <c r="D635" s="28">
        <f>IF(A635="","",TODAY())</f>
        <v/>
      </c>
      <c r="E635" s="29" t="n"/>
      <c r="F635" s="20">
        <f>IFERROR(IF(OR(A635="",E635=""),"",C635-E635),"")</f>
        <v/>
      </c>
      <c r="G635" s="30" t="n"/>
      <c r="H635" s="27" t="n"/>
    </row>
    <row r="636" ht="20" customHeight="1">
      <c r="A636" s="26" t="n"/>
      <c r="B636" s="35">
        <f>IFERROR(IF(A636="","",VLOOKUP(A636,DATABASE!$A:$B,2,0)),"")</f>
        <v/>
      </c>
      <c r="C636" s="36">
        <f>IFERROR(IF(A636="","",VLOOKUP(A636,DATABASE!$A:$J,10,0)),"")</f>
        <v/>
      </c>
      <c r="D636" s="37">
        <f>IF(A636="","",TODAY())</f>
        <v/>
      </c>
      <c r="E636" s="29" t="n"/>
      <c r="F636" s="36">
        <f>IFERROR(IF(OR(A636="",E636=""),"",C636-E636),"")</f>
        <v/>
      </c>
      <c r="G636" s="30" t="n"/>
      <c r="H636" s="35" t="n"/>
    </row>
    <row r="637" ht="20" customHeight="1">
      <c r="A637" s="26" t="n"/>
      <c r="B637" s="27">
        <f>IFERROR(IF(A637="","",VLOOKUP(A637,DATABASE!$A:$B,2,0)),"")</f>
        <v/>
      </c>
      <c r="C637" s="20">
        <f>IFERROR(IF(A637="","",VLOOKUP(A637,DATABASE!$A:$J,10,0)),"")</f>
        <v/>
      </c>
      <c r="D637" s="28">
        <f>IF(A637="","",TODAY())</f>
        <v/>
      </c>
      <c r="E637" s="29" t="n"/>
      <c r="F637" s="20">
        <f>IFERROR(IF(OR(A637="",E637=""),"",C637-E637),"")</f>
        <v/>
      </c>
      <c r="G637" s="30" t="n"/>
      <c r="H637" s="27" t="n"/>
    </row>
    <row r="638" ht="20" customHeight="1">
      <c r="A638" s="26" t="n"/>
      <c r="B638" s="35">
        <f>IFERROR(IF(A638="","",VLOOKUP(A638,DATABASE!$A:$B,2,0)),"")</f>
        <v/>
      </c>
      <c r="C638" s="36">
        <f>IFERROR(IF(A638="","",VLOOKUP(A638,DATABASE!$A:$J,10,0)),"")</f>
        <v/>
      </c>
      <c r="D638" s="37">
        <f>IF(A638="","",TODAY())</f>
        <v/>
      </c>
      <c r="E638" s="29" t="n"/>
      <c r="F638" s="36">
        <f>IFERROR(IF(OR(A638="",E638=""),"",C638-E638),"")</f>
        <v/>
      </c>
      <c r="G638" s="30" t="n"/>
      <c r="H638" s="35" t="n"/>
    </row>
    <row r="639" ht="20" customHeight="1">
      <c r="A639" s="26" t="n"/>
      <c r="B639" s="27">
        <f>IFERROR(IF(A639="","",VLOOKUP(A639,DATABASE!$A:$B,2,0)),"")</f>
        <v/>
      </c>
      <c r="C639" s="20">
        <f>IFERROR(IF(A639="","",VLOOKUP(A639,DATABASE!$A:$J,10,0)),"")</f>
        <v/>
      </c>
      <c r="D639" s="28">
        <f>IF(A639="","",TODAY())</f>
        <v/>
      </c>
      <c r="E639" s="29" t="n"/>
      <c r="F639" s="20">
        <f>IFERROR(IF(OR(A639="",E639=""),"",C639-E639),"")</f>
        <v/>
      </c>
      <c r="G639" s="30" t="n"/>
      <c r="H639" s="27" t="n"/>
    </row>
    <row r="640" ht="20" customHeight="1">
      <c r="A640" s="26" t="n"/>
      <c r="B640" s="35">
        <f>IFERROR(IF(A640="","",VLOOKUP(A640,DATABASE!$A:$B,2,0)),"")</f>
        <v/>
      </c>
      <c r="C640" s="36">
        <f>IFERROR(IF(A640="","",VLOOKUP(A640,DATABASE!$A:$J,10,0)),"")</f>
        <v/>
      </c>
      <c r="D640" s="37">
        <f>IF(A640="","",TODAY())</f>
        <v/>
      </c>
      <c r="E640" s="29" t="n"/>
      <c r="F640" s="36">
        <f>IFERROR(IF(OR(A640="",E640=""),"",C640-E640),"")</f>
        <v/>
      </c>
      <c r="G640" s="30" t="n"/>
      <c r="H640" s="35" t="n"/>
    </row>
    <row r="641" ht="20" customHeight="1">
      <c r="A641" s="26" t="n"/>
      <c r="B641" s="27">
        <f>IFERROR(IF(A641="","",VLOOKUP(A641,DATABASE!$A:$B,2,0)),"")</f>
        <v/>
      </c>
      <c r="C641" s="20">
        <f>IFERROR(IF(A641="","",VLOOKUP(A641,DATABASE!$A:$J,10,0)),"")</f>
        <v/>
      </c>
      <c r="D641" s="28">
        <f>IF(A641="","",TODAY())</f>
        <v/>
      </c>
      <c r="E641" s="29" t="n"/>
      <c r="F641" s="20">
        <f>IFERROR(IF(OR(A641="",E641=""),"",C641-E641),"")</f>
        <v/>
      </c>
      <c r="G641" s="30" t="n"/>
      <c r="H641" s="27" t="n"/>
    </row>
    <row r="642" ht="20" customHeight="1">
      <c r="A642" s="26" t="n"/>
      <c r="B642" s="35">
        <f>IFERROR(IF(A642="","",VLOOKUP(A642,DATABASE!$A:$B,2,0)),"")</f>
        <v/>
      </c>
      <c r="C642" s="36">
        <f>IFERROR(IF(A642="","",VLOOKUP(A642,DATABASE!$A:$J,10,0)),"")</f>
        <v/>
      </c>
      <c r="D642" s="37">
        <f>IF(A642="","",TODAY())</f>
        <v/>
      </c>
      <c r="E642" s="29" t="n"/>
      <c r="F642" s="36">
        <f>IFERROR(IF(OR(A642="",E642=""),"",C642-E642),"")</f>
        <v/>
      </c>
      <c r="G642" s="30" t="n"/>
      <c r="H642" s="35" t="n"/>
    </row>
    <row r="643" ht="20" customHeight="1">
      <c r="A643" s="26" t="n"/>
      <c r="B643" s="27">
        <f>IFERROR(IF(A643="","",VLOOKUP(A643,DATABASE!$A:$B,2,0)),"")</f>
        <v/>
      </c>
      <c r="C643" s="20">
        <f>IFERROR(IF(A643="","",VLOOKUP(A643,DATABASE!$A:$J,10,0)),"")</f>
        <v/>
      </c>
      <c r="D643" s="28">
        <f>IF(A643="","",TODAY())</f>
        <v/>
      </c>
      <c r="E643" s="29" t="n"/>
      <c r="F643" s="20">
        <f>IFERROR(IF(OR(A643="",E643=""),"",C643-E643),"")</f>
        <v/>
      </c>
      <c r="G643" s="30" t="n"/>
      <c r="H643" s="27" t="n"/>
    </row>
    <row r="644" ht="20" customHeight="1">
      <c r="A644" s="26" t="n"/>
      <c r="B644" s="35">
        <f>IFERROR(IF(A644="","",VLOOKUP(A644,DATABASE!$A:$B,2,0)),"")</f>
        <v/>
      </c>
      <c r="C644" s="36">
        <f>IFERROR(IF(A644="","",VLOOKUP(A644,DATABASE!$A:$J,10,0)),"")</f>
        <v/>
      </c>
      <c r="D644" s="37">
        <f>IF(A644="","",TODAY())</f>
        <v/>
      </c>
      <c r="E644" s="29" t="n"/>
      <c r="F644" s="36">
        <f>IFERROR(IF(OR(A644="",E644=""),"",C644-E644),"")</f>
        <v/>
      </c>
      <c r="G644" s="30" t="n"/>
      <c r="H644" s="35" t="n"/>
    </row>
    <row r="645" ht="20" customHeight="1">
      <c r="A645" s="26" t="n"/>
      <c r="B645" s="27">
        <f>IFERROR(IF(A645="","",VLOOKUP(A645,DATABASE!$A:$B,2,0)),"")</f>
        <v/>
      </c>
      <c r="C645" s="20">
        <f>IFERROR(IF(A645="","",VLOOKUP(A645,DATABASE!$A:$J,10,0)),"")</f>
        <v/>
      </c>
      <c r="D645" s="28">
        <f>IF(A645="","",TODAY())</f>
        <v/>
      </c>
      <c r="E645" s="29" t="n"/>
      <c r="F645" s="20">
        <f>IFERROR(IF(OR(A645="",E645=""),"",C645-E645),"")</f>
        <v/>
      </c>
      <c r="G645" s="30" t="n"/>
      <c r="H645" s="27" t="n"/>
    </row>
    <row r="646" ht="20" customHeight="1">
      <c r="A646" s="26" t="n"/>
      <c r="B646" s="35">
        <f>IFERROR(IF(A646="","",VLOOKUP(A646,DATABASE!$A:$B,2,0)),"")</f>
        <v/>
      </c>
      <c r="C646" s="36">
        <f>IFERROR(IF(A646="","",VLOOKUP(A646,DATABASE!$A:$J,10,0)),"")</f>
        <v/>
      </c>
      <c r="D646" s="37">
        <f>IF(A646="","",TODAY())</f>
        <v/>
      </c>
      <c r="E646" s="29" t="n"/>
      <c r="F646" s="36">
        <f>IFERROR(IF(OR(A646="",E646=""),"",C646-E646),"")</f>
        <v/>
      </c>
      <c r="G646" s="30" t="n"/>
      <c r="H646" s="35" t="n"/>
    </row>
    <row r="647" ht="20" customHeight="1">
      <c r="A647" s="26" t="n"/>
      <c r="B647" s="27">
        <f>IFERROR(IF(A647="","",VLOOKUP(A647,DATABASE!$A:$B,2,0)),"")</f>
        <v/>
      </c>
      <c r="C647" s="20">
        <f>IFERROR(IF(A647="","",VLOOKUP(A647,DATABASE!$A:$J,10,0)),"")</f>
        <v/>
      </c>
      <c r="D647" s="28">
        <f>IF(A647="","",TODAY())</f>
        <v/>
      </c>
      <c r="E647" s="29" t="n"/>
      <c r="F647" s="20">
        <f>IFERROR(IF(OR(A647="",E647=""),"",C647-E647),"")</f>
        <v/>
      </c>
      <c r="G647" s="30" t="n"/>
      <c r="H647" s="27" t="n"/>
    </row>
    <row r="648" ht="20" customHeight="1">
      <c r="A648" s="26" t="n"/>
      <c r="B648" s="35">
        <f>IFERROR(IF(A648="","",VLOOKUP(A648,DATABASE!$A:$B,2,0)),"")</f>
        <v/>
      </c>
      <c r="C648" s="36">
        <f>IFERROR(IF(A648="","",VLOOKUP(A648,DATABASE!$A:$J,10,0)),"")</f>
        <v/>
      </c>
      <c r="D648" s="37">
        <f>IF(A648="","",TODAY())</f>
        <v/>
      </c>
      <c r="E648" s="29" t="n"/>
      <c r="F648" s="36">
        <f>IFERROR(IF(OR(A648="",E648=""),"",C648-E648),"")</f>
        <v/>
      </c>
      <c r="G648" s="30" t="n"/>
      <c r="H648" s="35" t="n"/>
    </row>
    <row r="649" ht="20" customHeight="1">
      <c r="A649" s="26" t="n"/>
      <c r="B649" s="27">
        <f>IFERROR(IF(A649="","",VLOOKUP(A649,DATABASE!$A:$B,2,0)),"")</f>
        <v/>
      </c>
      <c r="C649" s="20">
        <f>IFERROR(IF(A649="","",VLOOKUP(A649,DATABASE!$A:$J,10,0)),"")</f>
        <v/>
      </c>
      <c r="D649" s="28">
        <f>IF(A649="","",TODAY())</f>
        <v/>
      </c>
      <c r="E649" s="29" t="n"/>
      <c r="F649" s="20">
        <f>IFERROR(IF(OR(A649="",E649=""),"",C649-E649),"")</f>
        <v/>
      </c>
      <c r="G649" s="30" t="n"/>
      <c r="H649" s="27" t="n"/>
    </row>
    <row r="650" ht="20" customHeight="1">
      <c r="A650" s="26" t="n"/>
      <c r="B650" s="35">
        <f>IFERROR(IF(A650="","",VLOOKUP(A650,DATABASE!$A:$B,2,0)),"")</f>
        <v/>
      </c>
      <c r="C650" s="36">
        <f>IFERROR(IF(A650="","",VLOOKUP(A650,DATABASE!$A:$J,10,0)),"")</f>
        <v/>
      </c>
      <c r="D650" s="37">
        <f>IF(A650="","",TODAY())</f>
        <v/>
      </c>
      <c r="E650" s="29" t="n"/>
      <c r="F650" s="36">
        <f>IFERROR(IF(OR(A650="",E650=""),"",C650-E650),"")</f>
        <v/>
      </c>
      <c r="G650" s="30" t="n"/>
      <c r="H650" s="35" t="n"/>
    </row>
    <row r="651" ht="20" customHeight="1">
      <c r="A651" s="26" t="n"/>
      <c r="B651" s="27">
        <f>IFERROR(IF(A651="","",VLOOKUP(A651,DATABASE!$A:$B,2,0)),"")</f>
        <v/>
      </c>
      <c r="C651" s="20">
        <f>IFERROR(IF(A651="","",VLOOKUP(A651,DATABASE!$A:$J,10,0)),"")</f>
        <v/>
      </c>
      <c r="D651" s="28">
        <f>IF(A651="","",TODAY())</f>
        <v/>
      </c>
      <c r="E651" s="29" t="n"/>
      <c r="F651" s="20">
        <f>IFERROR(IF(OR(A651="",E651=""),"",C651-E651),"")</f>
        <v/>
      </c>
      <c r="G651" s="30" t="n"/>
      <c r="H651" s="27" t="n"/>
    </row>
    <row r="652" ht="20" customHeight="1">
      <c r="A652" s="26" t="n"/>
      <c r="B652" s="35">
        <f>IFERROR(IF(A652="","",VLOOKUP(A652,DATABASE!$A:$B,2,0)),"")</f>
        <v/>
      </c>
      <c r="C652" s="36">
        <f>IFERROR(IF(A652="","",VLOOKUP(A652,DATABASE!$A:$J,10,0)),"")</f>
        <v/>
      </c>
      <c r="D652" s="37">
        <f>IF(A652="","",TODAY())</f>
        <v/>
      </c>
      <c r="E652" s="29" t="n"/>
      <c r="F652" s="36">
        <f>IFERROR(IF(OR(A652="",E652=""),"",C652-E652),"")</f>
        <v/>
      </c>
      <c r="G652" s="30" t="n"/>
      <c r="H652" s="35" t="n"/>
    </row>
    <row r="653" ht="20" customHeight="1">
      <c r="A653" s="26" t="n"/>
      <c r="B653" s="27">
        <f>IFERROR(IF(A653="","",VLOOKUP(A653,DATABASE!$A:$B,2,0)),"")</f>
        <v/>
      </c>
      <c r="C653" s="20">
        <f>IFERROR(IF(A653="","",VLOOKUP(A653,DATABASE!$A:$J,10,0)),"")</f>
        <v/>
      </c>
      <c r="D653" s="28">
        <f>IF(A653="","",TODAY())</f>
        <v/>
      </c>
      <c r="E653" s="29" t="n"/>
      <c r="F653" s="20">
        <f>IFERROR(IF(OR(A653="",E653=""),"",C653-E653),"")</f>
        <v/>
      </c>
      <c r="G653" s="30" t="n"/>
      <c r="H653" s="27" t="n"/>
    </row>
    <row r="654" ht="20" customHeight="1">
      <c r="A654" s="26" t="n"/>
      <c r="B654" s="35">
        <f>IFERROR(IF(A654="","",VLOOKUP(A654,DATABASE!$A:$B,2,0)),"")</f>
        <v/>
      </c>
      <c r="C654" s="36">
        <f>IFERROR(IF(A654="","",VLOOKUP(A654,DATABASE!$A:$J,10,0)),"")</f>
        <v/>
      </c>
      <c r="D654" s="37">
        <f>IF(A654="","",TODAY())</f>
        <v/>
      </c>
      <c r="E654" s="29" t="n"/>
      <c r="F654" s="36">
        <f>IFERROR(IF(OR(A654="",E654=""),"",C654-E654),"")</f>
        <v/>
      </c>
      <c r="G654" s="30" t="n"/>
      <c r="H654" s="35" t="n"/>
    </row>
    <row r="655" ht="20" customHeight="1">
      <c r="A655" s="26" t="n"/>
      <c r="B655" s="27">
        <f>IFERROR(IF(A655="","",VLOOKUP(A655,DATABASE!$A:$B,2,0)),"")</f>
        <v/>
      </c>
      <c r="C655" s="20">
        <f>IFERROR(IF(A655="","",VLOOKUP(A655,DATABASE!$A:$J,10,0)),"")</f>
        <v/>
      </c>
      <c r="D655" s="28">
        <f>IF(A655="","",TODAY())</f>
        <v/>
      </c>
      <c r="E655" s="29" t="n"/>
      <c r="F655" s="20">
        <f>IFERROR(IF(OR(A655="",E655=""),"",C655-E655),"")</f>
        <v/>
      </c>
      <c r="G655" s="30" t="n"/>
      <c r="H655" s="27" t="n"/>
    </row>
    <row r="656" ht="20" customHeight="1">
      <c r="A656" s="26" t="n"/>
      <c r="B656" s="35">
        <f>IFERROR(IF(A656="","",VLOOKUP(A656,DATABASE!$A:$B,2,0)),"")</f>
        <v/>
      </c>
      <c r="C656" s="36">
        <f>IFERROR(IF(A656="","",VLOOKUP(A656,DATABASE!$A:$J,10,0)),"")</f>
        <v/>
      </c>
      <c r="D656" s="37">
        <f>IF(A656="","",TODAY())</f>
        <v/>
      </c>
      <c r="E656" s="29" t="n"/>
      <c r="F656" s="36">
        <f>IFERROR(IF(OR(A656="",E656=""),"",C656-E656),"")</f>
        <v/>
      </c>
      <c r="G656" s="30" t="n"/>
      <c r="H656" s="35" t="n"/>
    </row>
    <row r="657" ht="20" customHeight="1">
      <c r="A657" s="26" t="n"/>
      <c r="B657" s="27">
        <f>IFERROR(IF(A657="","",VLOOKUP(A657,DATABASE!$A:$B,2,0)),"")</f>
        <v/>
      </c>
      <c r="C657" s="20">
        <f>IFERROR(IF(A657="","",VLOOKUP(A657,DATABASE!$A:$J,10,0)),"")</f>
        <v/>
      </c>
      <c r="D657" s="28">
        <f>IF(A657="","",TODAY())</f>
        <v/>
      </c>
      <c r="E657" s="29" t="n"/>
      <c r="F657" s="20">
        <f>IFERROR(IF(OR(A657="",E657=""),"",C657-E657),"")</f>
        <v/>
      </c>
      <c r="G657" s="30" t="n"/>
      <c r="H657" s="27" t="n"/>
    </row>
    <row r="658" ht="20" customHeight="1">
      <c r="A658" s="26" t="n"/>
      <c r="B658" s="35">
        <f>IFERROR(IF(A658="","",VLOOKUP(A658,DATABASE!$A:$B,2,0)),"")</f>
        <v/>
      </c>
      <c r="C658" s="36">
        <f>IFERROR(IF(A658="","",VLOOKUP(A658,DATABASE!$A:$J,10,0)),"")</f>
        <v/>
      </c>
      <c r="D658" s="37">
        <f>IF(A658="","",TODAY())</f>
        <v/>
      </c>
      <c r="E658" s="29" t="n"/>
      <c r="F658" s="36">
        <f>IFERROR(IF(OR(A658="",E658=""),"",C658-E658),"")</f>
        <v/>
      </c>
      <c r="G658" s="30" t="n"/>
      <c r="H658" s="35" t="n"/>
    </row>
    <row r="659" ht="20" customHeight="1">
      <c r="A659" s="26" t="n"/>
      <c r="B659" s="27">
        <f>IFERROR(IF(A659="","",VLOOKUP(A659,DATABASE!$A:$B,2,0)),"")</f>
        <v/>
      </c>
      <c r="C659" s="20">
        <f>IFERROR(IF(A659="","",VLOOKUP(A659,DATABASE!$A:$J,10,0)),"")</f>
        <v/>
      </c>
      <c r="D659" s="28">
        <f>IF(A659="","",TODAY())</f>
        <v/>
      </c>
      <c r="E659" s="29" t="n"/>
      <c r="F659" s="20">
        <f>IFERROR(IF(OR(A659="",E659=""),"",C659-E659),"")</f>
        <v/>
      </c>
      <c r="G659" s="30" t="n"/>
      <c r="H659" s="27" t="n"/>
    </row>
    <row r="660" ht="20" customHeight="1">
      <c r="A660" s="26" t="n"/>
      <c r="B660" s="35">
        <f>IFERROR(IF(A660="","",VLOOKUP(A660,DATABASE!$A:$B,2,0)),"")</f>
        <v/>
      </c>
      <c r="C660" s="36">
        <f>IFERROR(IF(A660="","",VLOOKUP(A660,DATABASE!$A:$J,10,0)),"")</f>
        <v/>
      </c>
      <c r="D660" s="37">
        <f>IF(A660="","",TODAY())</f>
        <v/>
      </c>
      <c r="E660" s="29" t="n"/>
      <c r="F660" s="36">
        <f>IFERROR(IF(OR(A660="",E660=""),"",C660-E660),"")</f>
        <v/>
      </c>
      <c r="G660" s="30" t="n"/>
      <c r="H660" s="35" t="n"/>
    </row>
    <row r="661" ht="20" customHeight="1">
      <c r="A661" s="26" t="n"/>
      <c r="B661" s="27">
        <f>IFERROR(IF(A661="","",VLOOKUP(A661,DATABASE!$A:$B,2,0)),"")</f>
        <v/>
      </c>
      <c r="C661" s="20">
        <f>IFERROR(IF(A661="","",VLOOKUP(A661,DATABASE!$A:$J,10,0)),"")</f>
        <v/>
      </c>
      <c r="D661" s="28">
        <f>IF(A661="","",TODAY())</f>
        <v/>
      </c>
      <c r="E661" s="29" t="n"/>
      <c r="F661" s="20">
        <f>IFERROR(IF(OR(A661="",E661=""),"",C661-E661),"")</f>
        <v/>
      </c>
      <c r="G661" s="30" t="n"/>
      <c r="H661" s="27" t="n"/>
    </row>
    <row r="662" ht="20" customHeight="1">
      <c r="A662" s="26" t="n"/>
      <c r="B662" s="35">
        <f>IFERROR(IF(A662="","",VLOOKUP(A662,DATABASE!$A:$B,2,0)),"")</f>
        <v/>
      </c>
      <c r="C662" s="36">
        <f>IFERROR(IF(A662="","",VLOOKUP(A662,DATABASE!$A:$J,10,0)),"")</f>
        <v/>
      </c>
      <c r="D662" s="37">
        <f>IF(A662="","",TODAY())</f>
        <v/>
      </c>
      <c r="E662" s="29" t="n"/>
      <c r="F662" s="36">
        <f>IFERROR(IF(OR(A662="",E662=""),"",C662-E662),"")</f>
        <v/>
      </c>
      <c r="G662" s="30" t="n"/>
      <c r="H662" s="35" t="n"/>
    </row>
    <row r="663" ht="20" customHeight="1">
      <c r="A663" s="26" t="n"/>
      <c r="B663" s="27">
        <f>IFERROR(IF(A663="","",VLOOKUP(A663,DATABASE!$A:$B,2,0)),"")</f>
        <v/>
      </c>
      <c r="C663" s="20">
        <f>IFERROR(IF(A663="","",VLOOKUP(A663,DATABASE!$A:$J,10,0)),"")</f>
        <v/>
      </c>
      <c r="D663" s="28">
        <f>IF(A663="","",TODAY())</f>
        <v/>
      </c>
      <c r="E663" s="29" t="n"/>
      <c r="F663" s="20">
        <f>IFERROR(IF(OR(A663="",E663=""),"",C663-E663),"")</f>
        <v/>
      </c>
      <c r="G663" s="30" t="n"/>
      <c r="H663" s="27" t="n"/>
    </row>
    <row r="664" ht="20" customHeight="1">
      <c r="A664" s="26" t="n"/>
      <c r="B664" s="35">
        <f>IFERROR(IF(A664="","",VLOOKUP(A664,DATABASE!$A:$B,2,0)),"")</f>
        <v/>
      </c>
      <c r="C664" s="36">
        <f>IFERROR(IF(A664="","",VLOOKUP(A664,DATABASE!$A:$J,10,0)),"")</f>
        <v/>
      </c>
      <c r="D664" s="37">
        <f>IF(A664="","",TODAY())</f>
        <v/>
      </c>
      <c r="E664" s="29" t="n"/>
      <c r="F664" s="36">
        <f>IFERROR(IF(OR(A664="",E664=""),"",C664-E664),"")</f>
        <v/>
      </c>
      <c r="G664" s="30" t="n"/>
      <c r="H664" s="35" t="n"/>
    </row>
    <row r="665" ht="20" customHeight="1">
      <c r="A665" s="26" t="n"/>
      <c r="B665" s="27">
        <f>IFERROR(IF(A665="","",VLOOKUP(A665,DATABASE!$A:$B,2,0)),"")</f>
        <v/>
      </c>
      <c r="C665" s="20">
        <f>IFERROR(IF(A665="","",VLOOKUP(A665,DATABASE!$A:$J,10,0)),"")</f>
        <v/>
      </c>
      <c r="D665" s="28">
        <f>IF(A665="","",TODAY())</f>
        <v/>
      </c>
      <c r="E665" s="29" t="n"/>
      <c r="F665" s="20">
        <f>IFERROR(IF(OR(A665="",E665=""),"",C665-E665),"")</f>
        <v/>
      </c>
      <c r="G665" s="30" t="n"/>
      <c r="H665" s="27" t="n"/>
    </row>
    <row r="666" ht="20" customHeight="1">
      <c r="A666" s="26" t="n"/>
      <c r="B666" s="35">
        <f>IFERROR(IF(A666="","",VLOOKUP(A666,DATABASE!$A:$B,2,0)),"")</f>
        <v/>
      </c>
      <c r="C666" s="36">
        <f>IFERROR(IF(A666="","",VLOOKUP(A666,DATABASE!$A:$J,10,0)),"")</f>
        <v/>
      </c>
      <c r="D666" s="37">
        <f>IF(A666="","",TODAY())</f>
        <v/>
      </c>
      <c r="E666" s="29" t="n"/>
      <c r="F666" s="36">
        <f>IFERROR(IF(OR(A666="",E666=""),"",C666-E666),"")</f>
        <v/>
      </c>
      <c r="G666" s="30" t="n"/>
      <c r="H666" s="35" t="n"/>
    </row>
    <row r="667" ht="20" customHeight="1">
      <c r="A667" s="26" t="n"/>
      <c r="B667" s="27">
        <f>IFERROR(IF(A667="","",VLOOKUP(A667,DATABASE!$A:$B,2,0)),"")</f>
        <v/>
      </c>
      <c r="C667" s="20">
        <f>IFERROR(IF(A667="","",VLOOKUP(A667,DATABASE!$A:$J,10,0)),"")</f>
        <v/>
      </c>
      <c r="D667" s="28">
        <f>IF(A667="","",TODAY())</f>
        <v/>
      </c>
      <c r="E667" s="29" t="n"/>
      <c r="F667" s="20">
        <f>IFERROR(IF(OR(A667="",E667=""),"",C667-E667),"")</f>
        <v/>
      </c>
      <c r="G667" s="30" t="n"/>
      <c r="H667" s="27" t="n"/>
    </row>
    <row r="668" ht="20" customHeight="1">
      <c r="A668" s="26" t="n"/>
      <c r="B668" s="35">
        <f>IFERROR(IF(A668="","",VLOOKUP(A668,DATABASE!$A:$B,2,0)),"")</f>
        <v/>
      </c>
      <c r="C668" s="36">
        <f>IFERROR(IF(A668="","",VLOOKUP(A668,DATABASE!$A:$J,10,0)),"")</f>
        <v/>
      </c>
      <c r="D668" s="37">
        <f>IF(A668="","",TODAY())</f>
        <v/>
      </c>
      <c r="E668" s="29" t="n"/>
      <c r="F668" s="36">
        <f>IFERROR(IF(OR(A668="",E668=""),"",C668-E668),"")</f>
        <v/>
      </c>
      <c r="G668" s="30" t="n"/>
      <c r="H668" s="35" t="n"/>
    </row>
    <row r="669" ht="20" customHeight="1">
      <c r="A669" s="26" t="n"/>
      <c r="B669" s="27">
        <f>IFERROR(IF(A669="","",VLOOKUP(A669,DATABASE!$A:$B,2,0)),"")</f>
        <v/>
      </c>
      <c r="C669" s="20">
        <f>IFERROR(IF(A669="","",VLOOKUP(A669,DATABASE!$A:$J,10,0)),"")</f>
        <v/>
      </c>
      <c r="D669" s="28">
        <f>IF(A669="","",TODAY())</f>
        <v/>
      </c>
      <c r="E669" s="29" t="n"/>
      <c r="F669" s="20">
        <f>IFERROR(IF(OR(A669="",E669=""),"",C669-E669),"")</f>
        <v/>
      </c>
      <c r="G669" s="30" t="n"/>
      <c r="H669" s="27" t="n"/>
    </row>
    <row r="670" ht="20" customHeight="1">
      <c r="A670" s="26" t="n"/>
      <c r="B670" s="35">
        <f>IFERROR(IF(A670="","",VLOOKUP(A670,DATABASE!$A:$B,2,0)),"")</f>
        <v/>
      </c>
      <c r="C670" s="36">
        <f>IFERROR(IF(A670="","",VLOOKUP(A670,DATABASE!$A:$J,10,0)),"")</f>
        <v/>
      </c>
      <c r="D670" s="37">
        <f>IF(A670="","",TODAY())</f>
        <v/>
      </c>
      <c r="E670" s="29" t="n"/>
      <c r="F670" s="36">
        <f>IFERROR(IF(OR(A670="",E670=""),"",C670-E670),"")</f>
        <v/>
      </c>
      <c r="G670" s="30" t="n"/>
      <c r="H670" s="35" t="n"/>
    </row>
    <row r="671" ht="20" customHeight="1">
      <c r="A671" s="26" t="n"/>
      <c r="B671" s="27">
        <f>IFERROR(IF(A671="","",VLOOKUP(A671,DATABASE!$A:$B,2,0)),"")</f>
        <v/>
      </c>
      <c r="C671" s="20">
        <f>IFERROR(IF(A671="","",VLOOKUP(A671,DATABASE!$A:$J,10,0)),"")</f>
        <v/>
      </c>
      <c r="D671" s="28">
        <f>IF(A671="","",TODAY())</f>
        <v/>
      </c>
      <c r="E671" s="29" t="n"/>
      <c r="F671" s="20">
        <f>IFERROR(IF(OR(A671="",E671=""),"",C671-E671),"")</f>
        <v/>
      </c>
      <c r="G671" s="30" t="n"/>
      <c r="H671" s="27" t="n"/>
    </row>
    <row r="672" ht="20" customHeight="1">
      <c r="A672" s="26" t="n"/>
      <c r="B672" s="35">
        <f>IFERROR(IF(A672="","",VLOOKUP(A672,DATABASE!$A:$B,2,0)),"")</f>
        <v/>
      </c>
      <c r="C672" s="36">
        <f>IFERROR(IF(A672="","",VLOOKUP(A672,DATABASE!$A:$J,10,0)),"")</f>
        <v/>
      </c>
      <c r="D672" s="37">
        <f>IF(A672="","",TODAY())</f>
        <v/>
      </c>
      <c r="E672" s="29" t="n"/>
      <c r="F672" s="36">
        <f>IFERROR(IF(OR(A672="",E672=""),"",C672-E672),"")</f>
        <v/>
      </c>
      <c r="G672" s="30" t="n"/>
      <c r="H672" s="35" t="n"/>
    </row>
    <row r="673" ht="20" customHeight="1">
      <c r="A673" s="26" t="n"/>
      <c r="B673" s="27">
        <f>IFERROR(IF(A673="","",VLOOKUP(A673,DATABASE!$A:$B,2,0)),"")</f>
        <v/>
      </c>
      <c r="C673" s="20">
        <f>IFERROR(IF(A673="","",VLOOKUP(A673,DATABASE!$A:$J,10,0)),"")</f>
        <v/>
      </c>
      <c r="D673" s="28">
        <f>IF(A673="","",TODAY())</f>
        <v/>
      </c>
      <c r="E673" s="29" t="n"/>
      <c r="F673" s="20">
        <f>IFERROR(IF(OR(A673="",E673=""),"",C673-E673),"")</f>
        <v/>
      </c>
      <c r="G673" s="30" t="n"/>
      <c r="H673" s="27" t="n"/>
    </row>
    <row r="674" ht="20" customHeight="1">
      <c r="A674" s="26" t="n"/>
      <c r="B674" s="35">
        <f>IFERROR(IF(A674="","",VLOOKUP(A674,DATABASE!$A:$B,2,0)),"")</f>
        <v/>
      </c>
      <c r="C674" s="36">
        <f>IFERROR(IF(A674="","",VLOOKUP(A674,DATABASE!$A:$J,10,0)),"")</f>
        <v/>
      </c>
      <c r="D674" s="37">
        <f>IF(A674="","",TODAY())</f>
        <v/>
      </c>
      <c r="E674" s="29" t="n"/>
      <c r="F674" s="36">
        <f>IFERROR(IF(OR(A674="",E674=""),"",C674-E674),"")</f>
        <v/>
      </c>
      <c r="G674" s="30" t="n"/>
      <c r="H674" s="35" t="n"/>
    </row>
    <row r="675" ht="20" customHeight="1">
      <c r="A675" s="26" t="n"/>
      <c r="B675" s="27">
        <f>IFERROR(IF(A675="","",VLOOKUP(A675,DATABASE!$A:$B,2,0)),"")</f>
        <v/>
      </c>
      <c r="C675" s="20">
        <f>IFERROR(IF(A675="","",VLOOKUP(A675,DATABASE!$A:$J,10,0)),"")</f>
        <v/>
      </c>
      <c r="D675" s="28">
        <f>IF(A675="","",TODAY())</f>
        <v/>
      </c>
      <c r="E675" s="29" t="n"/>
      <c r="F675" s="20">
        <f>IFERROR(IF(OR(A675="",E675=""),"",C675-E675),"")</f>
        <v/>
      </c>
      <c r="G675" s="30" t="n"/>
      <c r="H675" s="27" t="n"/>
    </row>
    <row r="676" ht="20" customHeight="1">
      <c r="A676" s="26" t="n"/>
      <c r="B676" s="35">
        <f>IFERROR(IF(A676="","",VLOOKUP(A676,DATABASE!$A:$B,2,0)),"")</f>
        <v/>
      </c>
      <c r="C676" s="36">
        <f>IFERROR(IF(A676="","",VLOOKUP(A676,DATABASE!$A:$J,10,0)),"")</f>
        <v/>
      </c>
      <c r="D676" s="37">
        <f>IF(A676="","",TODAY())</f>
        <v/>
      </c>
      <c r="E676" s="29" t="n"/>
      <c r="F676" s="36">
        <f>IFERROR(IF(OR(A676="",E676=""),"",C676-E676),"")</f>
        <v/>
      </c>
      <c r="G676" s="30" t="n"/>
      <c r="H676" s="35" t="n"/>
    </row>
    <row r="677" ht="20" customHeight="1">
      <c r="A677" s="26" t="n"/>
      <c r="B677" s="27">
        <f>IFERROR(IF(A677="","",VLOOKUP(A677,DATABASE!$A:$B,2,0)),"")</f>
        <v/>
      </c>
      <c r="C677" s="20">
        <f>IFERROR(IF(A677="","",VLOOKUP(A677,DATABASE!$A:$J,10,0)),"")</f>
        <v/>
      </c>
      <c r="D677" s="28">
        <f>IF(A677="","",TODAY())</f>
        <v/>
      </c>
      <c r="E677" s="29" t="n"/>
      <c r="F677" s="20">
        <f>IFERROR(IF(OR(A677="",E677=""),"",C677-E677),"")</f>
        <v/>
      </c>
      <c r="G677" s="30" t="n"/>
      <c r="H677" s="27" t="n"/>
    </row>
    <row r="678" ht="20" customHeight="1">
      <c r="A678" s="26" t="n"/>
      <c r="B678" s="35">
        <f>IFERROR(IF(A678="","",VLOOKUP(A678,DATABASE!$A:$B,2,0)),"")</f>
        <v/>
      </c>
      <c r="C678" s="36">
        <f>IFERROR(IF(A678="","",VLOOKUP(A678,DATABASE!$A:$J,10,0)),"")</f>
        <v/>
      </c>
      <c r="D678" s="37">
        <f>IF(A678="","",TODAY())</f>
        <v/>
      </c>
      <c r="E678" s="29" t="n"/>
      <c r="F678" s="36">
        <f>IFERROR(IF(OR(A678="",E678=""),"",C678-E678),"")</f>
        <v/>
      </c>
      <c r="G678" s="30" t="n"/>
      <c r="H678" s="35" t="n"/>
    </row>
    <row r="679" ht="20" customHeight="1">
      <c r="A679" s="26" t="n"/>
      <c r="B679" s="27">
        <f>IFERROR(IF(A679="","",VLOOKUP(A679,DATABASE!$A:$B,2,0)),"")</f>
        <v/>
      </c>
      <c r="C679" s="20">
        <f>IFERROR(IF(A679="","",VLOOKUP(A679,DATABASE!$A:$J,10,0)),"")</f>
        <v/>
      </c>
      <c r="D679" s="28">
        <f>IF(A679="","",TODAY())</f>
        <v/>
      </c>
      <c r="E679" s="29" t="n"/>
      <c r="F679" s="20">
        <f>IFERROR(IF(OR(A679="",E679=""),"",C679-E679),"")</f>
        <v/>
      </c>
      <c r="G679" s="30" t="n"/>
      <c r="H679" s="27" t="n"/>
    </row>
    <row r="680" ht="20" customHeight="1">
      <c r="A680" s="26" t="n"/>
      <c r="B680" s="35">
        <f>IFERROR(IF(A680="","",VLOOKUP(A680,DATABASE!$A:$B,2,0)),"")</f>
        <v/>
      </c>
      <c r="C680" s="36">
        <f>IFERROR(IF(A680="","",VLOOKUP(A680,DATABASE!$A:$J,10,0)),"")</f>
        <v/>
      </c>
      <c r="D680" s="37">
        <f>IF(A680="","",TODAY())</f>
        <v/>
      </c>
      <c r="E680" s="29" t="n"/>
      <c r="F680" s="36">
        <f>IFERROR(IF(OR(A680="",E680=""),"",C680-E680),"")</f>
        <v/>
      </c>
      <c r="G680" s="30" t="n"/>
      <c r="H680" s="35" t="n"/>
    </row>
    <row r="681" ht="20" customHeight="1">
      <c r="A681" s="26" t="n"/>
      <c r="B681" s="27">
        <f>IFERROR(IF(A681="","",VLOOKUP(A681,DATABASE!$A:$B,2,0)),"")</f>
        <v/>
      </c>
      <c r="C681" s="20">
        <f>IFERROR(IF(A681="","",VLOOKUP(A681,DATABASE!$A:$J,10,0)),"")</f>
        <v/>
      </c>
      <c r="D681" s="28">
        <f>IF(A681="","",TODAY())</f>
        <v/>
      </c>
      <c r="E681" s="29" t="n"/>
      <c r="F681" s="20">
        <f>IFERROR(IF(OR(A681="",E681=""),"",C681-E681),"")</f>
        <v/>
      </c>
      <c r="G681" s="30" t="n"/>
      <c r="H681" s="27" t="n"/>
    </row>
    <row r="682" ht="20" customHeight="1">
      <c r="A682" s="26" t="n"/>
      <c r="B682" s="35">
        <f>IFERROR(IF(A682="","",VLOOKUP(A682,DATABASE!$A:$B,2,0)),"")</f>
        <v/>
      </c>
      <c r="C682" s="36">
        <f>IFERROR(IF(A682="","",VLOOKUP(A682,DATABASE!$A:$J,10,0)),"")</f>
        <v/>
      </c>
      <c r="D682" s="37">
        <f>IF(A682="","",TODAY())</f>
        <v/>
      </c>
      <c r="E682" s="29" t="n"/>
      <c r="F682" s="36">
        <f>IFERROR(IF(OR(A682="",E682=""),"",C682-E682),"")</f>
        <v/>
      </c>
      <c r="G682" s="30" t="n"/>
      <c r="H682" s="35" t="n"/>
    </row>
    <row r="683" ht="20" customHeight="1">
      <c r="A683" s="26" t="n"/>
      <c r="B683" s="27">
        <f>IFERROR(IF(A683="","",VLOOKUP(A683,DATABASE!$A:$B,2,0)),"")</f>
        <v/>
      </c>
      <c r="C683" s="20">
        <f>IFERROR(IF(A683="","",VLOOKUP(A683,DATABASE!$A:$J,10,0)),"")</f>
        <v/>
      </c>
      <c r="D683" s="28">
        <f>IF(A683="","",TODAY())</f>
        <v/>
      </c>
      <c r="E683" s="29" t="n"/>
      <c r="F683" s="20">
        <f>IFERROR(IF(OR(A683="",E683=""),"",C683-E683),"")</f>
        <v/>
      </c>
      <c r="G683" s="30" t="n"/>
      <c r="H683" s="27" t="n"/>
    </row>
    <row r="684" ht="20" customHeight="1">
      <c r="A684" s="26" t="n"/>
      <c r="B684" s="35">
        <f>IFERROR(IF(A684="","",VLOOKUP(A684,DATABASE!$A:$B,2,0)),"")</f>
        <v/>
      </c>
      <c r="C684" s="36">
        <f>IFERROR(IF(A684="","",VLOOKUP(A684,DATABASE!$A:$J,10,0)),"")</f>
        <v/>
      </c>
      <c r="D684" s="37">
        <f>IF(A684="","",TODAY())</f>
        <v/>
      </c>
      <c r="E684" s="29" t="n"/>
      <c r="F684" s="36">
        <f>IFERROR(IF(OR(A684="",E684=""),"",C684-E684),"")</f>
        <v/>
      </c>
      <c r="G684" s="30" t="n"/>
      <c r="H684" s="35" t="n"/>
    </row>
    <row r="685" ht="20" customHeight="1">
      <c r="A685" s="26" t="n"/>
      <c r="B685" s="27">
        <f>IFERROR(IF(A685="","",VLOOKUP(A685,DATABASE!$A:$B,2,0)),"")</f>
        <v/>
      </c>
      <c r="C685" s="20">
        <f>IFERROR(IF(A685="","",VLOOKUP(A685,DATABASE!$A:$J,10,0)),"")</f>
        <v/>
      </c>
      <c r="D685" s="28">
        <f>IF(A685="","",TODAY())</f>
        <v/>
      </c>
      <c r="E685" s="29" t="n"/>
      <c r="F685" s="20">
        <f>IFERROR(IF(OR(A685="",E685=""),"",C685-E685),"")</f>
        <v/>
      </c>
      <c r="G685" s="30" t="n"/>
      <c r="H685" s="27" t="n"/>
    </row>
    <row r="686" ht="20" customHeight="1">
      <c r="A686" s="26" t="n"/>
      <c r="B686" s="35">
        <f>IFERROR(IF(A686="","",VLOOKUP(A686,DATABASE!$A:$B,2,0)),"")</f>
        <v/>
      </c>
      <c r="C686" s="36">
        <f>IFERROR(IF(A686="","",VLOOKUP(A686,DATABASE!$A:$J,10,0)),"")</f>
        <v/>
      </c>
      <c r="D686" s="37">
        <f>IF(A686="","",TODAY())</f>
        <v/>
      </c>
      <c r="E686" s="29" t="n"/>
      <c r="F686" s="36">
        <f>IFERROR(IF(OR(A686="",E686=""),"",C686-E686),"")</f>
        <v/>
      </c>
      <c r="G686" s="30" t="n"/>
      <c r="H686" s="35" t="n"/>
    </row>
    <row r="687" ht="20" customHeight="1">
      <c r="A687" s="26" t="n"/>
      <c r="B687" s="27">
        <f>IFERROR(IF(A687="","",VLOOKUP(A687,DATABASE!$A:$B,2,0)),"")</f>
        <v/>
      </c>
      <c r="C687" s="20">
        <f>IFERROR(IF(A687="","",VLOOKUP(A687,DATABASE!$A:$J,10,0)),"")</f>
        <v/>
      </c>
      <c r="D687" s="28">
        <f>IF(A687="","",TODAY())</f>
        <v/>
      </c>
      <c r="E687" s="29" t="n"/>
      <c r="F687" s="20">
        <f>IFERROR(IF(OR(A687="",E687=""),"",C687-E687),"")</f>
        <v/>
      </c>
      <c r="G687" s="30" t="n"/>
      <c r="H687" s="27" t="n"/>
    </row>
    <row r="688" ht="20" customHeight="1">
      <c r="A688" s="26" t="n"/>
      <c r="B688" s="35">
        <f>IFERROR(IF(A688="","",VLOOKUP(A688,DATABASE!$A:$B,2,0)),"")</f>
        <v/>
      </c>
      <c r="C688" s="36">
        <f>IFERROR(IF(A688="","",VLOOKUP(A688,DATABASE!$A:$J,10,0)),"")</f>
        <v/>
      </c>
      <c r="D688" s="37">
        <f>IF(A688="","",TODAY())</f>
        <v/>
      </c>
      <c r="E688" s="29" t="n"/>
      <c r="F688" s="36">
        <f>IFERROR(IF(OR(A688="",E688=""),"",C688-E688),"")</f>
        <v/>
      </c>
      <c r="G688" s="30" t="n"/>
      <c r="H688" s="35" t="n"/>
    </row>
    <row r="689" ht="20" customHeight="1">
      <c r="A689" s="26" t="n"/>
      <c r="B689" s="27">
        <f>IFERROR(IF(A689="","",VLOOKUP(A689,DATABASE!$A:$B,2,0)),"")</f>
        <v/>
      </c>
      <c r="C689" s="20">
        <f>IFERROR(IF(A689="","",VLOOKUP(A689,DATABASE!$A:$J,10,0)),"")</f>
        <v/>
      </c>
      <c r="D689" s="28">
        <f>IF(A689="","",TODAY())</f>
        <v/>
      </c>
      <c r="E689" s="29" t="n"/>
      <c r="F689" s="20">
        <f>IFERROR(IF(OR(A689="",E689=""),"",C689-E689),"")</f>
        <v/>
      </c>
      <c r="G689" s="30" t="n"/>
      <c r="H689" s="27" t="n"/>
    </row>
    <row r="690" ht="20" customHeight="1">
      <c r="A690" s="26" t="n"/>
      <c r="B690" s="35">
        <f>IFERROR(IF(A690="","",VLOOKUP(A690,DATABASE!$A:$B,2,0)),"")</f>
        <v/>
      </c>
      <c r="C690" s="36">
        <f>IFERROR(IF(A690="","",VLOOKUP(A690,DATABASE!$A:$J,10,0)),"")</f>
        <v/>
      </c>
      <c r="D690" s="37">
        <f>IF(A690="","",TODAY())</f>
        <v/>
      </c>
      <c r="E690" s="29" t="n"/>
      <c r="F690" s="36">
        <f>IFERROR(IF(OR(A690="",E690=""),"",C690-E690),"")</f>
        <v/>
      </c>
      <c r="G690" s="30" t="n"/>
      <c r="H690" s="35" t="n"/>
    </row>
    <row r="691" ht="20" customHeight="1">
      <c r="A691" s="26" t="n"/>
      <c r="B691" s="27">
        <f>IFERROR(IF(A691="","",VLOOKUP(A691,DATABASE!$A:$B,2,0)),"")</f>
        <v/>
      </c>
      <c r="C691" s="20">
        <f>IFERROR(IF(A691="","",VLOOKUP(A691,DATABASE!$A:$J,10,0)),"")</f>
        <v/>
      </c>
      <c r="D691" s="28">
        <f>IF(A691="","",TODAY())</f>
        <v/>
      </c>
      <c r="E691" s="29" t="n"/>
      <c r="F691" s="20">
        <f>IFERROR(IF(OR(A691="",E691=""),"",C691-E691),"")</f>
        <v/>
      </c>
      <c r="G691" s="30" t="n"/>
      <c r="H691" s="27" t="n"/>
    </row>
    <row r="692" ht="20" customHeight="1">
      <c r="A692" s="26" t="n"/>
      <c r="B692" s="35">
        <f>IFERROR(IF(A692="","",VLOOKUP(A692,DATABASE!$A:$B,2,0)),"")</f>
        <v/>
      </c>
      <c r="C692" s="36">
        <f>IFERROR(IF(A692="","",VLOOKUP(A692,DATABASE!$A:$J,10,0)),"")</f>
        <v/>
      </c>
      <c r="D692" s="37">
        <f>IF(A692="","",TODAY())</f>
        <v/>
      </c>
      <c r="E692" s="29" t="n"/>
      <c r="F692" s="36">
        <f>IFERROR(IF(OR(A692="",E692=""),"",C692-E692),"")</f>
        <v/>
      </c>
      <c r="G692" s="30" t="n"/>
      <c r="H692" s="35" t="n"/>
    </row>
    <row r="693" ht="20" customHeight="1">
      <c r="A693" s="26" t="n"/>
      <c r="B693" s="27">
        <f>IFERROR(IF(A693="","",VLOOKUP(A693,DATABASE!$A:$B,2,0)),"")</f>
        <v/>
      </c>
      <c r="C693" s="20">
        <f>IFERROR(IF(A693="","",VLOOKUP(A693,DATABASE!$A:$J,10,0)),"")</f>
        <v/>
      </c>
      <c r="D693" s="28">
        <f>IF(A693="","",TODAY())</f>
        <v/>
      </c>
      <c r="E693" s="29" t="n"/>
      <c r="F693" s="20">
        <f>IFERROR(IF(OR(A693="",E693=""),"",C693-E693),"")</f>
        <v/>
      </c>
      <c r="G693" s="30" t="n"/>
      <c r="H693" s="27" t="n"/>
    </row>
    <row r="694" ht="20" customHeight="1">
      <c r="A694" s="26" t="n"/>
      <c r="B694" s="35">
        <f>IFERROR(IF(A694="","",VLOOKUP(A694,DATABASE!$A:$B,2,0)),"")</f>
        <v/>
      </c>
      <c r="C694" s="36">
        <f>IFERROR(IF(A694="","",VLOOKUP(A694,DATABASE!$A:$J,10,0)),"")</f>
        <v/>
      </c>
      <c r="D694" s="37">
        <f>IF(A694="","",TODAY())</f>
        <v/>
      </c>
      <c r="E694" s="29" t="n"/>
      <c r="F694" s="36">
        <f>IFERROR(IF(OR(A694="",E694=""),"",C694-E694),"")</f>
        <v/>
      </c>
      <c r="G694" s="30" t="n"/>
      <c r="H694" s="35" t="n"/>
    </row>
    <row r="695" ht="20" customHeight="1">
      <c r="A695" s="26" t="n"/>
      <c r="B695" s="27">
        <f>IFERROR(IF(A695="","",VLOOKUP(A695,DATABASE!$A:$B,2,0)),"")</f>
        <v/>
      </c>
      <c r="C695" s="20">
        <f>IFERROR(IF(A695="","",VLOOKUP(A695,DATABASE!$A:$J,10,0)),"")</f>
        <v/>
      </c>
      <c r="D695" s="28">
        <f>IF(A695="","",TODAY())</f>
        <v/>
      </c>
      <c r="E695" s="29" t="n"/>
      <c r="F695" s="20">
        <f>IFERROR(IF(OR(A695="",E695=""),"",C695-E695),"")</f>
        <v/>
      </c>
      <c r="G695" s="30" t="n"/>
      <c r="H695" s="27" t="n"/>
    </row>
    <row r="696" ht="20" customHeight="1">
      <c r="A696" s="26" t="n"/>
      <c r="B696" s="35">
        <f>IFERROR(IF(A696="","",VLOOKUP(A696,DATABASE!$A:$B,2,0)),"")</f>
        <v/>
      </c>
      <c r="C696" s="36">
        <f>IFERROR(IF(A696="","",VLOOKUP(A696,DATABASE!$A:$J,10,0)),"")</f>
        <v/>
      </c>
      <c r="D696" s="37">
        <f>IF(A696="","",TODAY())</f>
        <v/>
      </c>
      <c r="E696" s="29" t="n"/>
      <c r="F696" s="36">
        <f>IFERROR(IF(OR(A696="",E696=""),"",C696-E696),"")</f>
        <v/>
      </c>
      <c r="G696" s="30" t="n"/>
      <c r="H696" s="35" t="n"/>
    </row>
    <row r="697" ht="20" customHeight="1">
      <c r="A697" s="26" t="n"/>
      <c r="B697" s="27">
        <f>IFERROR(IF(A697="","",VLOOKUP(A697,DATABASE!$A:$B,2,0)),"")</f>
        <v/>
      </c>
      <c r="C697" s="20">
        <f>IFERROR(IF(A697="","",VLOOKUP(A697,DATABASE!$A:$J,10,0)),"")</f>
        <v/>
      </c>
      <c r="D697" s="28">
        <f>IF(A697="","",TODAY())</f>
        <v/>
      </c>
      <c r="E697" s="29" t="n"/>
      <c r="F697" s="20">
        <f>IFERROR(IF(OR(A697="",E697=""),"",C697-E697),"")</f>
        <v/>
      </c>
      <c r="G697" s="30" t="n"/>
      <c r="H697" s="27" t="n"/>
    </row>
    <row r="698" ht="20" customHeight="1">
      <c r="A698" s="26" t="n"/>
      <c r="B698" s="35">
        <f>IFERROR(IF(A698="","",VLOOKUP(A698,DATABASE!$A:$B,2,0)),"")</f>
        <v/>
      </c>
      <c r="C698" s="36">
        <f>IFERROR(IF(A698="","",VLOOKUP(A698,DATABASE!$A:$J,10,0)),"")</f>
        <v/>
      </c>
      <c r="D698" s="37">
        <f>IF(A698="","",TODAY())</f>
        <v/>
      </c>
      <c r="E698" s="29" t="n"/>
      <c r="F698" s="36">
        <f>IFERROR(IF(OR(A698="",E698=""),"",C698-E698),"")</f>
        <v/>
      </c>
      <c r="G698" s="30" t="n"/>
      <c r="H698" s="35" t="n"/>
    </row>
    <row r="699" ht="20" customHeight="1">
      <c r="A699" s="26" t="n"/>
      <c r="B699" s="27">
        <f>IFERROR(IF(A699="","",VLOOKUP(A699,DATABASE!$A:$B,2,0)),"")</f>
        <v/>
      </c>
      <c r="C699" s="20">
        <f>IFERROR(IF(A699="","",VLOOKUP(A699,DATABASE!$A:$J,10,0)),"")</f>
        <v/>
      </c>
      <c r="D699" s="28">
        <f>IF(A699="","",TODAY())</f>
        <v/>
      </c>
      <c r="E699" s="29" t="n"/>
      <c r="F699" s="20">
        <f>IFERROR(IF(OR(A699="",E699=""),"",C699-E699),"")</f>
        <v/>
      </c>
      <c r="G699" s="30" t="n"/>
      <c r="H699" s="27" t="n"/>
    </row>
    <row r="700" ht="20" customHeight="1">
      <c r="A700" s="26" t="n"/>
      <c r="B700" s="35">
        <f>IFERROR(IF(A700="","",VLOOKUP(A700,DATABASE!$A:$B,2,0)),"")</f>
        <v/>
      </c>
      <c r="C700" s="36">
        <f>IFERROR(IF(A700="","",VLOOKUP(A700,DATABASE!$A:$J,10,0)),"")</f>
        <v/>
      </c>
      <c r="D700" s="37">
        <f>IF(A700="","",TODAY())</f>
        <v/>
      </c>
      <c r="E700" s="29" t="n"/>
      <c r="F700" s="36">
        <f>IFERROR(IF(OR(A700="",E700=""),"",C700-E700),"")</f>
        <v/>
      </c>
      <c r="G700" s="30" t="n"/>
      <c r="H700" s="35" t="n"/>
    </row>
    <row r="701" ht="20" customHeight="1">
      <c r="A701" s="26" t="n"/>
      <c r="B701" s="27">
        <f>IFERROR(IF(A701="","",VLOOKUP(A701,DATABASE!$A:$B,2,0)),"")</f>
        <v/>
      </c>
      <c r="C701" s="20">
        <f>IFERROR(IF(A701="","",VLOOKUP(A701,DATABASE!$A:$J,10,0)),"")</f>
        <v/>
      </c>
      <c r="D701" s="28">
        <f>IF(A701="","",TODAY())</f>
        <v/>
      </c>
      <c r="E701" s="29" t="n"/>
      <c r="F701" s="20">
        <f>IFERROR(IF(OR(A701="",E701=""),"",C701-E701),"")</f>
        <v/>
      </c>
      <c r="G701" s="30" t="n"/>
      <c r="H701" s="27" t="n"/>
    </row>
    <row r="702" ht="20" customHeight="1">
      <c r="A702" s="26" t="n"/>
      <c r="B702" s="35">
        <f>IFERROR(IF(A702="","",VLOOKUP(A702,DATABASE!$A:$B,2,0)),"")</f>
        <v/>
      </c>
      <c r="C702" s="36">
        <f>IFERROR(IF(A702="","",VLOOKUP(A702,DATABASE!$A:$J,10,0)),"")</f>
        <v/>
      </c>
      <c r="D702" s="37">
        <f>IF(A702="","",TODAY())</f>
        <v/>
      </c>
      <c r="E702" s="29" t="n"/>
      <c r="F702" s="36">
        <f>IFERROR(IF(OR(A702="",E702=""),"",C702-E702),"")</f>
        <v/>
      </c>
      <c r="G702" s="30" t="n"/>
      <c r="H702" s="35" t="n"/>
    </row>
    <row r="703" ht="20" customHeight="1">
      <c r="A703" s="26" t="n"/>
      <c r="B703" s="27">
        <f>IFERROR(IF(A703="","",VLOOKUP(A703,DATABASE!$A:$B,2,0)),"")</f>
        <v/>
      </c>
      <c r="C703" s="20">
        <f>IFERROR(IF(A703="","",VLOOKUP(A703,DATABASE!$A:$J,10,0)),"")</f>
        <v/>
      </c>
      <c r="D703" s="28">
        <f>IF(A703="","",TODAY())</f>
        <v/>
      </c>
      <c r="E703" s="29" t="n"/>
      <c r="F703" s="20">
        <f>IFERROR(IF(OR(A703="",E703=""),"",C703-E703),"")</f>
        <v/>
      </c>
      <c r="G703" s="30" t="n"/>
      <c r="H703" s="27" t="n"/>
    </row>
    <row r="704" ht="20" customHeight="1">
      <c r="A704" s="26" t="n"/>
      <c r="B704" s="35">
        <f>IFERROR(IF(A704="","",VLOOKUP(A704,DATABASE!$A:$B,2,0)),"")</f>
        <v/>
      </c>
      <c r="C704" s="36">
        <f>IFERROR(IF(A704="","",VLOOKUP(A704,DATABASE!$A:$J,10,0)),"")</f>
        <v/>
      </c>
      <c r="D704" s="37">
        <f>IF(A704="","",TODAY())</f>
        <v/>
      </c>
      <c r="E704" s="29" t="n"/>
      <c r="F704" s="36">
        <f>IFERROR(IF(OR(A704="",E704=""),"",C704-E704),"")</f>
        <v/>
      </c>
      <c r="G704" s="30" t="n"/>
      <c r="H704" s="35" t="n"/>
    </row>
    <row r="705" ht="20" customHeight="1">
      <c r="A705" s="26" t="n"/>
      <c r="B705" s="27">
        <f>IFERROR(IF(A705="","",VLOOKUP(A705,DATABASE!$A:$B,2,0)),"")</f>
        <v/>
      </c>
      <c r="C705" s="20">
        <f>IFERROR(IF(A705="","",VLOOKUP(A705,DATABASE!$A:$J,10,0)),"")</f>
        <v/>
      </c>
      <c r="D705" s="28">
        <f>IF(A705="","",TODAY())</f>
        <v/>
      </c>
      <c r="E705" s="29" t="n"/>
      <c r="F705" s="20">
        <f>IFERROR(IF(OR(A705="",E705=""),"",C705-E705),"")</f>
        <v/>
      </c>
      <c r="G705" s="30" t="n"/>
      <c r="H705" s="27" t="n"/>
    </row>
    <row r="706" ht="20" customHeight="1">
      <c r="A706" s="26" t="n"/>
      <c r="B706" s="35">
        <f>IFERROR(IF(A706="","",VLOOKUP(A706,DATABASE!$A:$B,2,0)),"")</f>
        <v/>
      </c>
      <c r="C706" s="36">
        <f>IFERROR(IF(A706="","",VLOOKUP(A706,DATABASE!$A:$J,10,0)),"")</f>
        <v/>
      </c>
      <c r="D706" s="37">
        <f>IF(A706="","",TODAY())</f>
        <v/>
      </c>
      <c r="E706" s="29" t="n"/>
      <c r="F706" s="36">
        <f>IFERROR(IF(OR(A706="",E706=""),"",C706-E706),"")</f>
        <v/>
      </c>
      <c r="G706" s="30" t="n"/>
      <c r="H706" s="35" t="n"/>
    </row>
    <row r="707" ht="20" customHeight="1">
      <c r="A707" s="26" t="n"/>
      <c r="B707" s="27">
        <f>IFERROR(IF(A707="","",VLOOKUP(A707,DATABASE!$A:$B,2,0)),"")</f>
        <v/>
      </c>
      <c r="C707" s="20">
        <f>IFERROR(IF(A707="","",VLOOKUP(A707,DATABASE!$A:$J,10,0)),"")</f>
        <v/>
      </c>
      <c r="D707" s="28">
        <f>IF(A707="","",TODAY())</f>
        <v/>
      </c>
      <c r="E707" s="29" t="n"/>
      <c r="F707" s="20">
        <f>IFERROR(IF(OR(A707="",E707=""),"",C707-E707),"")</f>
        <v/>
      </c>
      <c r="G707" s="30" t="n"/>
      <c r="H707" s="27" t="n"/>
    </row>
    <row r="708" ht="20" customHeight="1">
      <c r="A708" s="26" t="n"/>
      <c r="B708" s="35">
        <f>IFERROR(IF(A708="","",VLOOKUP(A708,DATABASE!$A:$B,2,0)),"")</f>
        <v/>
      </c>
      <c r="C708" s="36">
        <f>IFERROR(IF(A708="","",VLOOKUP(A708,DATABASE!$A:$J,10,0)),"")</f>
        <v/>
      </c>
      <c r="D708" s="37">
        <f>IF(A708="","",TODAY())</f>
        <v/>
      </c>
      <c r="E708" s="29" t="n"/>
      <c r="F708" s="36">
        <f>IFERROR(IF(OR(A708="",E708=""),"",C708-E708),"")</f>
        <v/>
      </c>
      <c r="G708" s="30" t="n"/>
      <c r="H708" s="35" t="n"/>
    </row>
    <row r="709" ht="20" customHeight="1">
      <c r="A709" s="26" t="n"/>
      <c r="B709" s="27">
        <f>IFERROR(IF(A709="","",VLOOKUP(A709,DATABASE!$A:$B,2,0)),"")</f>
        <v/>
      </c>
      <c r="C709" s="20">
        <f>IFERROR(IF(A709="","",VLOOKUP(A709,DATABASE!$A:$J,10,0)),"")</f>
        <v/>
      </c>
      <c r="D709" s="28">
        <f>IF(A709="","",TODAY())</f>
        <v/>
      </c>
      <c r="E709" s="29" t="n"/>
      <c r="F709" s="20">
        <f>IFERROR(IF(OR(A709="",E709=""),"",C709-E709),"")</f>
        <v/>
      </c>
      <c r="G709" s="30" t="n"/>
      <c r="H709" s="27" t="n"/>
    </row>
    <row r="710" ht="20" customHeight="1">
      <c r="A710" s="26" t="n"/>
      <c r="B710" s="35">
        <f>IFERROR(IF(A710="","",VLOOKUP(A710,DATABASE!$A:$B,2,0)),"")</f>
        <v/>
      </c>
      <c r="C710" s="36">
        <f>IFERROR(IF(A710="","",VLOOKUP(A710,DATABASE!$A:$J,10,0)),"")</f>
        <v/>
      </c>
      <c r="D710" s="37">
        <f>IF(A710="","",TODAY())</f>
        <v/>
      </c>
      <c r="E710" s="29" t="n"/>
      <c r="F710" s="36">
        <f>IFERROR(IF(OR(A710="",E710=""),"",C710-E710),"")</f>
        <v/>
      </c>
      <c r="G710" s="30" t="n"/>
      <c r="H710" s="35" t="n"/>
    </row>
    <row r="711" ht="20" customHeight="1">
      <c r="A711" s="26" t="n"/>
      <c r="B711" s="27">
        <f>IFERROR(IF(A711="","",VLOOKUP(A711,DATABASE!$A:$B,2,0)),"")</f>
        <v/>
      </c>
      <c r="C711" s="20">
        <f>IFERROR(IF(A711="","",VLOOKUP(A711,DATABASE!$A:$J,10,0)),"")</f>
        <v/>
      </c>
      <c r="D711" s="28">
        <f>IF(A711="","",TODAY())</f>
        <v/>
      </c>
      <c r="E711" s="29" t="n"/>
      <c r="F711" s="20">
        <f>IFERROR(IF(OR(A711="",E711=""),"",C711-E711),"")</f>
        <v/>
      </c>
      <c r="G711" s="30" t="n"/>
      <c r="H711" s="27" t="n"/>
    </row>
    <row r="712" ht="20" customHeight="1">
      <c r="A712" s="26" t="n"/>
      <c r="B712" s="35">
        <f>IFERROR(IF(A712="","",VLOOKUP(A712,DATABASE!$A:$B,2,0)),"")</f>
        <v/>
      </c>
      <c r="C712" s="36">
        <f>IFERROR(IF(A712="","",VLOOKUP(A712,DATABASE!$A:$J,10,0)),"")</f>
        <v/>
      </c>
      <c r="D712" s="37">
        <f>IF(A712="","",TODAY())</f>
        <v/>
      </c>
      <c r="E712" s="29" t="n"/>
      <c r="F712" s="36">
        <f>IFERROR(IF(OR(A712="",E712=""),"",C712-E712),"")</f>
        <v/>
      </c>
      <c r="G712" s="30" t="n"/>
      <c r="H712" s="35" t="n"/>
    </row>
    <row r="713" ht="20" customHeight="1">
      <c r="A713" s="26" t="n"/>
      <c r="B713" s="27">
        <f>IFERROR(IF(A713="","",VLOOKUP(A713,DATABASE!$A:$B,2,0)),"")</f>
        <v/>
      </c>
      <c r="C713" s="20">
        <f>IFERROR(IF(A713="","",VLOOKUP(A713,DATABASE!$A:$J,10,0)),"")</f>
        <v/>
      </c>
      <c r="D713" s="28">
        <f>IF(A713="","",TODAY())</f>
        <v/>
      </c>
      <c r="E713" s="29" t="n"/>
      <c r="F713" s="20">
        <f>IFERROR(IF(OR(A713="",E713=""),"",C713-E713),"")</f>
        <v/>
      </c>
      <c r="G713" s="30" t="n"/>
      <c r="H713" s="27" t="n"/>
    </row>
    <row r="714" ht="20" customHeight="1">
      <c r="A714" s="26" t="n"/>
      <c r="B714" s="35">
        <f>IFERROR(IF(A714="","",VLOOKUP(A714,DATABASE!$A:$B,2,0)),"")</f>
        <v/>
      </c>
      <c r="C714" s="36">
        <f>IFERROR(IF(A714="","",VLOOKUP(A714,DATABASE!$A:$J,10,0)),"")</f>
        <v/>
      </c>
      <c r="D714" s="37">
        <f>IF(A714="","",TODAY())</f>
        <v/>
      </c>
      <c r="E714" s="29" t="n"/>
      <c r="F714" s="36">
        <f>IFERROR(IF(OR(A714="",E714=""),"",C714-E714),"")</f>
        <v/>
      </c>
      <c r="G714" s="30" t="n"/>
      <c r="H714" s="35" t="n"/>
    </row>
    <row r="715" ht="20" customHeight="1">
      <c r="A715" s="26" t="n"/>
      <c r="B715" s="27">
        <f>IFERROR(IF(A715="","",VLOOKUP(A715,DATABASE!$A:$B,2,0)),"")</f>
        <v/>
      </c>
      <c r="C715" s="20">
        <f>IFERROR(IF(A715="","",VLOOKUP(A715,DATABASE!$A:$J,10,0)),"")</f>
        <v/>
      </c>
      <c r="D715" s="28">
        <f>IF(A715="","",TODAY())</f>
        <v/>
      </c>
      <c r="E715" s="29" t="n"/>
      <c r="F715" s="20">
        <f>IFERROR(IF(OR(A715="",E715=""),"",C715-E715),"")</f>
        <v/>
      </c>
      <c r="G715" s="30" t="n"/>
      <c r="H715" s="27" t="n"/>
    </row>
    <row r="716" ht="20" customHeight="1">
      <c r="A716" s="26" t="n"/>
      <c r="B716" s="35">
        <f>IFERROR(IF(A716="","",VLOOKUP(A716,DATABASE!$A:$B,2,0)),"")</f>
        <v/>
      </c>
      <c r="C716" s="36">
        <f>IFERROR(IF(A716="","",VLOOKUP(A716,DATABASE!$A:$J,10,0)),"")</f>
        <v/>
      </c>
      <c r="D716" s="37">
        <f>IF(A716="","",TODAY())</f>
        <v/>
      </c>
      <c r="E716" s="29" t="n"/>
      <c r="F716" s="36">
        <f>IFERROR(IF(OR(A716="",E716=""),"",C716-E716),"")</f>
        <v/>
      </c>
      <c r="G716" s="30" t="n"/>
      <c r="H716" s="35" t="n"/>
    </row>
    <row r="717" ht="20" customHeight="1">
      <c r="A717" s="26" t="n"/>
      <c r="B717" s="27">
        <f>IFERROR(IF(A717="","",VLOOKUP(A717,DATABASE!$A:$B,2,0)),"")</f>
        <v/>
      </c>
      <c r="C717" s="20">
        <f>IFERROR(IF(A717="","",VLOOKUP(A717,DATABASE!$A:$J,10,0)),"")</f>
        <v/>
      </c>
      <c r="D717" s="28">
        <f>IF(A717="","",TODAY())</f>
        <v/>
      </c>
      <c r="E717" s="29" t="n"/>
      <c r="F717" s="20">
        <f>IFERROR(IF(OR(A717="",E717=""),"",C717-E717),"")</f>
        <v/>
      </c>
      <c r="G717" s="30" t="n"/>
      <c r="H717" s="27" t="n"/>
    </row>
    <row r="718" ht="20" customHeight="1">
      <c r="A718" s="26" t="n"/>
      <c r="B718" s="35">
        <f>IFERROR(IF(A718="","",VLOOKUP(A718,DATABASE!$A:$B,2,0)),"")</f>
        <v/>
      </c>
      <c r="C718" s="36">
        <f>IFERROR(IF(A718="","",VLOOKUP(A718,DATABASE!$A:$J,10,0)),"")</f>
        <v/>
      </c>
      <c r="D718" s="37">
        <f>IF(A718="","",TODAY())</f>
        <v/>
      </c>
      <c r="E718" s="29" t="n"/>
      <c r="F718" s="36">
        <f>IFERROR(IF(OR(A718="",E718=""),"",C718-E718),"")</f>
        <v/>
      </c>
      <c r="G718" s="30" t="n"/>
      <c r="H718" s="35" t="n"/>
    </row>
    <row r="719" ht="20" customHeight="1">
      <c r="A719" s="26" t="n"/>
      <c r="B719" s="27">
        <f>IFERROR(IF(A719="","",VLOOKUP(A719,DATABASE!$A:$B,2,0)),"")</f>
        <v/>
      </c>
      <c r="C719" s="20">
        <f>IFERROR(IF(A719="","",VLOOKUP(A719,DATABASE!$A:$J,10,0)),"")</f>
        <v/>
      </c>
      <c r="D719" s="28">
        <f>IF(A719="","",TODAY())</f>
        <v/>
      </c>
      <c r="E719" s="29" t="n"/>
      <c r="F719" s="20">
        <f>IFERROR(IF(OR(A719="",E719=""),"",C719-E719),"")</f>
        <v/>
      </c>
      <c r="G719" s="30" t="n"/>
      <c r="H719" s="27" t="n"/>
    </row>
    <row r="720" ht="20" customHeight="1">
      <c r="A720" s="26" t="n"/>
      <c r="B720" s="35">
        <f>IFERROR(IF(A720="","",VLOOKUP(A720,DATABASE!$A:$B,2,0)),"")</f>
        <v/>
      </c>
      <c r="C720" s="36">
        <f>IFERROR(IF(A720="","",VLOOKUP(A720,DATABASE!$A:$J,10,0)),"")</f>
        <v/>
      </c>
      <c r="D720" s="37">
        <f>IF(A720="","",TODAY())</f>
        <v/>
      </c>
      <c r="E720" s="29" t="n"/>
      <c r="F720" s="36">
        <f>IFERROR(IF(OR(A720="",E720=""),"",C720-E720),"")</f>
        <v/>
      </c>
      <c r="G720" s="30" t="n"/>
      <c r="H720" s="35" t="n"/>
    </row>
    <row r="721" ht="20" customHeight="1">
      <c r="A721" s="26" t="n"/>
      <c r="B721" s="27">
        <f>IFERROR(IF(A721="","",VLOOKUP(A721,DATABASE!$A:$B,2,0)),"")</f>
        <v/>
      </c>
      <c r="C721" s="20">
        <f>IFERROR(IF(A721="","",VLOOKUP(A721,DATABASE!$A:$J,10,0)),"")</f>
        <v/>
      </c>
      <c r="D721" s="28">
        <f>IF(A721="","",TODAY())</f>
        <v/>
      </c>
      <c r="E721" s="29" t="n"/>
      <c r="F721" s="20">
        <f>IFERROR(IF(OR(A721="",E721=""),"",C721-E721),"")</f>
        <v/>
      </c>
      <c r="G721" s="30" t="n"/>
      <c r="H721" s="27" t="n"/>
    </row>
    <row r="722" ht="20" customHeight="1">
      <c r="A722" s="26" t="n"/>
      <c r="B722" s="35">
        <f>IFERROR(IF(A722="","",VLOOKUP(A722,DATABASE!$A:$B,2,0)),"")</f>
        <v/>
      </c>
      <c r="C722" s="36">
        <f>IFERROR(IF(A722="","",VLOOKUP(A722,DATABASE!$A:$J,10,0)),"")</f>
        <v/>
      </c>
      <c r="D722" s="37">
        <f>IF(A722="","",TODAY())</f>
        <v/>
      </c>
      <c r="E722" s="29" t="n"/>
      <c r="F722" s="36">
        <f>IFERROR(IF(OR(A722="",E722=""),"",C722-E722),"")</f>
        <v/>
      </c>
      <c r="G722" s="30" t="n"/>
      <c r="H722" s="35" t="n"/>
    </row>
    <row r="723" ht="20" customHeight="1">
      <c r="A723" s="26" t="n"/>
      <c r="B723" s="27">
        <f>IFERROR(IF(A723="","",VLOOKUP(A723,DATABASE!$A:$B,2,0)),"")</f>
        <v/>
      </c>
      <c r="C723" s="20">
        <f>IFERROR(IF(A723="","",VLOOKUP(A723,DATABASE!$A:$J,10,0)),"")</f>
        <v/>
      </c>
      <c r="D723" s="28">
        <f>IF(A723="","",TODAY())</f>
        <v/>
      </c>
      <c r="E723" s="29" t="n"/>
      <c r="F723" s="20">
        <f>IFERROR(IF(OR(A723="",E723=""),"",C723-E723),"")</f>
        <v/>
      </c>
      <c r="G723" s="30" t="n"/>
      <c r="H723" s="27" t="n"/>
    </row>
    <row r="724" ht="20" customHeight="1">
      <c r="A724" s="26" t="n"/>
      <c r="B724" s="35">
        <f>IFERROR(IF(A724="","",VLOOKUP(A724,DATABASE!$A:$B,2,0)),"")</f>
        <v/>
      </c>
      <c r="C724" s="36">
        <f>IFERROR(IF(A724="","",VLOOKUP(A724,DATABASE!$A:$J,10,0)),"")</f>
        <v/>
      </c>
      <c r="D724" s="37">
        <f>IF(A724="","",TODAY())</f>
        <v/>
      </c>
      <c r="E724" s="29" t="n"/>
      <c r="F724" s="36">
        <f>IFERROR(IF(OR(A724="",E724=""),"",C724-E724),"")</f>
        <v/>
      </c>
      <c r="G724" s="30" t="n"/>
      <c r="H724" s="35" t="n"/>
    </row>
    <row r="725" ht="20" customHeight="1">
      <c r="A725" s="26" t="n"/>
      <c r="B725" s="27">
        <f>IFERROR(IF(A725="","",VLOOKUP(A725,DATABASE!$A:$B,2,0)),"")</f>
        <v/>
      </c>
      <c r="C725" s="20">
        <f>IFERROR(IF(A725="","",VLOOKUP(A725,DATABASE!$A:$J,10,0)),"")</f>
        <v/>
      </c>
      <c r="D725" s="28">
        <f>IF(A725="","",TODAY())</f>
        <v/>
      </c>
      <c r="E725" s="29" t="n"/>
      <c r="F725" s="20">
        <f>IFERROR(IF(OR(A725="",E725=""),"",C725-E725),"")</f>
        <v/>
      </c>
      <c r="G725" s="30" t="n"/>
      <c r="H725" s="27" t="n"/>
    </row>
    <row r="726" ht="20" customHeight="1">
      <c r="A726" s="26" t="n"/>
      <c r="B726" s="35">
        <f>IFERROR(IF(A726="","",VLOOKUP(A726,DATABASE!$A:$B,2,0)),"")</f>
        <v/>
      </c>
      <c r="C726" s="36">
        <f>IFERROR(IF(A726="","",VLOOKUP(A726,DATABASE!$A:$J,10,0)),"")</f>
        <v/>
      </c>
      <c r="D726" s="37">
        <f>IF(A726="","",TODAY())</f>
        <v/>
      </c>
      <c r="E726" s="29" t="n"/>
      <c r="F726" s="36">
        <f>IFERROR(IF(OR(A726="",E726=""),"",C726-E726),"")</f>
        <v/>
      </c>
      <c r="G726" s="30" t="n"/>
      <c r="H726" s="35" t="n"/>
    </row>
    <row r="727" ht="20" customHeight="1">
      <c r="A727" s="26" t="n"/>
      <c r="B727" s="27">
        <f>IFERROR(IF(A727="","",VLOOKUP(A727,DATABASE!$A:$B,2,0)),"")</f>
        <v/>
      </c>
      <c r="C727" s="20">
        <f>IFERROR(IF(A727="","",VLOOKUP(A727,DATABASE!$A:$J,10,0)),"")</f>
        <v/>
      </c>
      <c r="D727" s="28">
        <f>IF(A727="","",TODAY())</f>
        <v/>
      </c>
      <c r="E727" s="29" t="n"/>
      <c r="F727" s="20">
        <f>IFERROR(IF(OR(A727="",E727=""),"",C727-E727),"")</f>
        <v/>
      </c>
      <c r="G727" s="30" t="n"/>
      <c r="H727" s="27" t="n"/>
    </row>
    <row r="728" ht="20" customHeight="1">
      <c r="A728" s="26" t="n"/>
      <c r="B728" s="35">
        <f>IFERROR(IF(A728="","",VLOOKUP(A728,DATABASE!$A:$B,2,0)),"")</f>
        <v/>
      </c>
      <c r="C728" s="36">
        <f>IFERROR(IF(A728="","",VLOOKUP(A728,DATABASE!$A:$J,10,0)),"")</f>
        <v/>
      </c>
      <c r="D728" s="37">
        <f>IF(A728="","",TODAY())</f>
        <v/>
      </c>
      <c r="E728" s="29" t="n"/>
      <c r="F728" s="36">
        <f>IFERROR(IF(OR(A728="",E728=""),"",C728-E728),"")</f>
        <v/>
      </c>
      <c r="G728" s="30" t="n"/>
      <c r="H728" s="35" t="n"/>
    </row>
    <row r="729" ht="20" customHeight="1">
      <c r="A729" s="26" t="n"/>
      <c r="B729" s="27">
        <f>IFERROR(IF(A729="","",VLOOKUP(A729,DATABASE!$A:$B,2,0)),"")</f>
        <v/>
      </c>
      <c r="C729" s="20">
        <f>IFERROR(IF(A729="","",VLOOKUP(A729,DATABASE!$A:$J,10,0)),"")</f>
        <v/>
      </c>
      <c r="D729" s="28">
        <f>IF(A729="","",TODAY())</f>
        <v/>
      </c>
      <c r="E729" s="29" t="n"/>
      <c r="F729" s="20">
        <f>IFERROR(IF(OR(A729="",E729=""),"",C729-E729),"")</f>
        <v/>
      </c>
      <c r="G729" s="30" t="n"/>
      <c r="H729" s="27" t="n"/>
    </row>
    <row r="730" ht="20" customHeight="1">
      <c r="A730" s="26" t="n"/>
      <c r="B730" s="35">
        <f>IFERROR(IF(A730="","",VLOOKUP(A730,DATABASE!$A:$B,2,0)),"")</f>
        <v/>
      </c>
      <c r="C730" s="36">
        <f>IFERROR(IF(A730="","",VLOOKUP(A730,DATABASE!$A:$J,10,0)),"")</f>
        <v/>
      </c>
      <c r="D730" s="37">
        <f>IF(A730="","",TODAY())</f>
        <v/>
      </c>
      <c r="E730" s="29" t="n"/>
      <c r="F730" s="36">
        <f>IFERROR(IF(OR(A730="",E730=""),"",C730-E730),"")</f>
        <v/>
      </c>
      <c r="G730" s="30" t="n"/>
      <c r="H730" s="35" t="n"/>
    </row>
    <row r="731" ht="20" customHeight="1">
      <c r="A731" s="26" t="n"/>
      <c r="B731" s="27">
        <f>IFERROR(IF(A731="","",VLOOKUP(A731,DATABASE!$A:$B,2,0)),"")</f>
        <v/>
      </c>
      <c r="C731" s="20">
        <f>IFERROR(IF(A731="","",VLOOKUP(A731,DATABASE!$A:$J,10,0)),"")</f>
        <v/>
      </c>
      <c r="D731" s="28">
        <f>IF(A731="","",TODAY())</f>
        <v/>
      </c>
      <c r="E731" s="29" t="n"/>
      <c r="F731" s="20">
        <f>IFERROR(IF(OR(A731="",E731=""),"",C731-E731),"")</f>
        <v/>
      </c>
      <c r="G731" s="30" t="n"/>
      <c r="H731" s="27" t="n"/>
    </row>
    <row r="732" ht="20" customHeight="1">
      <c r="A732" s="26" t="n"/>
      <c r="B732" s="35">
        <f>IFERROR(IF(A732="","",VLOOKUP(A732,DATABASE!$A:$B,2,0)),"")</f>
        <v/>
      </c>
      <c r="C732" s="36">
        <f>IFERROR(IF(A732="","",VLOOKUP(A732,DATABASE!$A:$J,10,0)),"")</f>
        <v/>
      </c>
      <c r="D732" s="37">
        <f>IF(A732="","",TODAY())</f>
        <v/>
      </c>
      <c r="E732" s="29" t="n"/>
      <c r="F732" s="36">
        <f>IFERROR(IF(OR(A732="",E732=""),"",C732-E732),"")</f>
        <v/>
      </c>
      <c r="G732" s="30" t="n"/>
      <c r="H732" s="35" t="n"/>
    </row>
    <row r="733" ht="20" customHeight="1">
      <c r="A733" s="26" t="n"/>
      <c r="B733" s="27">
        <f>IFERROR(IF(A733="","",VLOOKUP(A733,DATABASE!$A:$B,2,0)),"")</f>
        <v/>
      </c>
      <c r="C733" s="20">
        <f>IFERROR(IF(A733="","",VLOOKUP(A733,DATABASE!$A:$J,10,0)),"")</f>
        <v/>
      </c>
      <c r="D733" s="28">
        <f>IF(A733="","",TODAY())</f>
        <v/>
      </c>
      <c r="E733" s="29" t="n"/>
      <c r="F733" s="20">
        <f>IFERROR(IF(OR(A733="",E733=""),"",C733-E733),"")</f>
        <v/>
      </c>
      <c r="G733" s="30" t="n"/>
      <c r="H733" s="27" t="n"/>
    </row>
    <row r="734" ht="20" customHeight="1">
      <c r="A734" s="26" t="n"/>
      <c r="B734" s="35">
        <f>IFERROR(IF(A734="","",VLOOKUP(A734,DATABASE!$A:$B,2,0)),"")</f>
        <v/>
      </c>
      <c r="C734" s="36">
        <f>IFERROR(IF(A734="","",VLOOKUP(A734,DATABASE!$A:$J,10,0)),"")</f>
        <v/>
      </c>
      <c r="D734" s="37">
        <f>IF(A734="","",TODAY())</f>
        <v/>
      </c>
      <c r="E734" s="29" t="n"/>
      <c r="F734" s="36">
        <f>IFERROR(IF(OR(A734="",E734=""),"",C734-E734),"")</f>
        <v/>
      </c>
      <c r="G734" s="30" t="n"/>
      <c r="H734" s="35" t="n"/>
    </row>
    <row r="735" ht="20" customHeight="1">
      <c r="A735" s="26" t="n"/>
      <c r="B735" s="27">
        <f>IFERROR(IF(A735="","",VLOOKUP(A735,DATABASE!$A:$B,2,0)),"")</f>
        <v/>
      </c>
      <c r="C735" s="20">
        <f>IFERROR(IF(A735="","",VLOOKUP(A735,DATABASE!$A:$J,10,0)),"")</f>
        <v/>
      </c>
      <c r="D735" s="28">
        <f>IF(A735="","",TODAY())</f>
        <v/>
      </c>
      <c r="E735" s="29" t="n"/>
      <c r="F735" s="20">
        <f>IFERROR(IF(OR(A735="",E735=""),"",C735-E735),"")</f>
        <v/>
      </c>
      <c r="G735" s="30" t="n"/>
      <c r="H735" s="27" t="n"/>
    </row>
    <row r="736" ht="20" customHeight="1">
      <c r="A736" s="26" t="n"/>
      <c r="B736" s="35">
        <f>IFERROR(IF(A736="","",VLOOKUP(A736,DATABASE!$A:$B,2,0)),"")</f>
        <v/>
      </c>
      <c r="C736" s="36">
        <f>IFERROR(IF(A736="","",VLOOKUP(A736,DATABASE!$A:$J,10,0)),"")</f>
        <v/>
      </c>
      <c r="D736" s="37">
        <f>IF(A736="","",TODAY())</f>
        <v/>
      </c>
      <c r="E736" s="29" t="n"/>
      <c r="F736" s="36">
        <f>IFERROR(IF(OR(A736="",E736=""),"",C736-E736),"")</f>
        <v/>
      </c>
      <c r="G736" s="30" t="n"/>
      <c r="H736" s="35" t="n"/>
    </row>
    <row r="737" ht="20" customHeight="1">
      <c r="A737" s="26" t="n"/>
      <c r="B737" s="27">
        <f>IFERROR(IF(A737="","",VLOOKUP(A737,DATABASE!$A:$B,2,0)),"")</f>
        <v/>
      </c>
      <c r="C737" s="20">
        <f>IFERROR(IF(A737="","",VLOOKUP(A737,DATABASE!$A:$J,10,0)),"")</f>
        <v/>
      </c>
      <c r="D737" s="28">
        <f>IF(A737="","",TODAY())</f>
        <v/>
      </c>
      <c r="E737" s="29" t="n"/>
      <c r="F737" s="20">
        <f>IFERROR(IF(OR(A737="",E737=""),"",C737-E737),"")</f>
        <v/>
      </c>
      <c r="G737" s="30" t="n"/>
      <c r="H737" s="27" t="n"/>
    </row>
    <row r="738" ht="20" customHeight="1">
      <c r="A738" s="26" t="n"/>
      <c r="B738" s="35">
        <f>IFERROR(IF(A738="","",VLOOKUP(A738,DATABASE!$A:$B,2,0)),"")</f>
        <v/>
      </c>
      <c r="C738" s="36">
        <f>IFERROR(IF(A738="","",VLOOKUP(A738,DATABASE!$A:$J,10,0)),"")</f>
        <v/>
      </c>
      <c r="D738" s="37">
        <f>IF(A738="","",TODAY())</f>
        <v/>
      </c>
      <c r="E738" s="29" t="n"/>
      <c r="F738" s="36">
        <f>IFERROR(IF(OR(A738="",E738=""),"",C738-E738),"")</f>
        <v/>
      </c>
      <c r="G738" s="30" t="n"/>
      <c r="H738" s="35" t="n"/>
    </row>
    <row r="739" ht="20" customHeight="1">
      <c r="A739" s="26" t="n"/>
      <c r="B739" s="27">
        <f>IFERROR(IF(A739="","",VLOOKUP(A739,DATABASE!$A:$B,2,0)),"")</f>
        <v/>
      </c>
      <c r="C739" s="20">
        <f>IFERROR(IF(A739="","",VLOOKUP(A739,DATABASE!$A:$J,10,0)),"")</f>
        <v/>
      </c>
      <c r="D739" s="28">
        <f>IF(A739="","",TODAY())</f>
        <v/>
      </c>
      <c r="E739" s="29" t="n"/>
      <c r="F739" s="20">
        <f>IFERROR(IF(OR(A739="",E739=""),"",C739-E739),"")</f>
        <v/>
      </c>
      <c r="G739" s="30" t="n"/>
      <c r="H739" s="27" t="n"/>
    </row>
    <row r="740" ht="20" customHeight="1">
      <c r="A740" s="26" t="n"/>
      <c r="B740" s="35">
        <f>IFERROR(IF(A740="","",VLOOKUP(A740,DATABASE!$A:$B,2,0)),"")</f>
        <v/>
      </c>
      <c r="C740" s="36">
        <f>IFERROR(IF(A740="","",VLOOKUP(A740,DATABASE!$A:$J,10,0)),"")</f>
        <v/>
      </c>
      <c r="D740" s="37">
        <f>IF(A740="","",TODAY())</f>
        <v/>
      </c>
      <c r="E740" s="29" t="n"/>
      <c r="F740" s="36">
        <f>IFERROR(IF(OR(A740="",E740=""),"",C740-E740),"")</f>
        <v/>
      </c>
      <c r="G740" s="30" t="n"/>
      <c r="H740" s="35" t="n"/>
    </row>
    <row r="741" ht="20" customHeight="1">
      <c r="A741" s="26" t="n"/>
      <c r="B741" s="27">
        <f>IFERROR(IF(A741="","",VLOOKUP(A741,DATABASE!$A:$B,2,0)),"")</f>
        <v/>
      </c>
      <c r="C741" s="20">
        <f>IFERROR(IF(A741="","",VLOOKUP(A741,DATABASE!$A:$J,10,0)),"")</f>
        <v/>
      </c>
      <c r="D741" s="28">
        <f>IF(A741="","",TODAY())</f>
        <v/>
      </c>
      <c r="E741" s="29" t="n"/>
      <c r="F741" s="20">
        <f>IFERROR(IF(OR(A741="",E741=""),"",C741-E741),"")</f>
        <v/>
      </c>
      <c r="G741" s="30" t="n"/>
      <c r="H741" s="27" t="n"/>
    </row>
    <row r="742" ht="20" customHeight="1">
      <c r="A742" s="26" t="n"/>
      <c r="B742" s="35">
        <f>IFERROR(IF(A742="","",VLOOKUP(A742,DATABASE!$A:$B,2,0)),"")</f>
        <v/>
      </c>
      <c r="C742" s="36">
        <f>IFERROR(IF(A742="","",VLOOKUP(A742,DATABASE!$A:$J,10,0)),"")</f>
        <v/>
      </c>
      <c r="D742" s="37">
        <f>IF(A742="","",TODAY())</f>
        <v/>
      </c>
      <c r="E742" s="29" t="n"/>
      <c r="F742" s="36">
        <f>IFERROR(IF(OR(A742="",E742=""),"",C742-E742),"")</f>
        <v/>
      </c>
      <c r="G742" s="30" t="n"/>
      <c r="H742" s="35" t="n"/>
    </row>
    <row r="743" ht="20" customHeight="1">
      <c r="A743" s="26" t="n"/>
      <c r="B743" s="27">
        <f>IFERROR(IF(A743="","",VLOOKUP(A743,DATABASE!$A:$B,2,0)),"")</f>
        <v/>
      </c>
      <c r="C743" s="20">
        <f>IFERROR(IF(A743="","",VLOOKUP(A743,DATABASE!$A:$J,10,0)),"")</f>
        <v/>
      </c>
      <c r="D743" s="28">
        <f>IF(A743="","",TODAY())</f>
        <v/>
      </c>
      <c r="E743" s="29" t="n"/>
      <c r="F743" s="20">
        <f>IFERROR(IF(OR(A743="",E743=""),"",C743-E743),"")</f>
        <v/>
      </c>
      <c r="G743" s="30" t="n"/>
      <c r="H743" s="27" t="n"/>
    </row>
    <row r="744" ht="20" customHeight="1">
      <c r="A744" s="26" t="n"/>
      <c r="B744" s="35">
        <f>IFERROR(IF(A744="","",VLOOKUP(A744,DATABASE!$A:$B,2,0)),"")</f>
        <v/>
      </c>
      <c r="C744" s="36">
        <f>IFERROR(IF(A744="","",VLOOKUP(A744,DATABASE!$A:$J,10,0)),"")</f>
        <v/>
      </c>
      <c r="D744" s="37">
        <f>IF(A744="","",TODAY())</f>
        <v/>
      </c>
      <c r="E744" s="29" t="n"/>
      <c r="F744" s="36">
        <f>IFERROR(IF(OR(A744="",E744=""),"",C744-E744),"")</f>
        <v/>
      </c>
      <c r="G744" s="30" t="n"/>
      <c r="H744" s="35" t="n"/>
    </row>
    <row r="745" ht="20" customHeight="1">
      <c r="A745" s="26" t="n"/>
      <c r="B745" s="27">
        <f>IFERROR(IF(A745="","",VLOOKUP(A745,DATABASE!$A:$B,2,0)),"")</f>
        <v/>
      </c>
      <c r="C745" s="20">
        <f>IFERROR(IF(A745="","",VLOOKUP(A745,DATABASE!$A:$J,10,0)),"")</f>
        <v/>
      </c>
      <c r="D745" s="28">
        <f>IF(A745="","",TODAY())</f>
        <v/>
      </c>
      <c r="E745" s="29" t="n"/>
      <c r="F745" s="20">
        <f>IFERROR(IF(OR(A745="",E745=""),"",C745-E745),"")</f>
        <v/>
      </c>
      <c r="G745" s="30" t="n"/>
      <c r="H745" s="27" t="n"/>
    </row>
    <row r="746" ht="20" customHeight="1">
      <c r="A746" s="26" t="n"/>
      <c r="B746" s="35">
        <f>IFERROR(IF(A746="","",VLOOKUP(A746,DATABASE!$A:$B,2,0)),"")</f>
        <v/>
      </c>
      <c r="C746" s="36">
        <f>IFERROR(IF(A746="","",VLOOKUP(A746,DATABASE!$A:$J,10,0)),"")</f>
        <v/>
      </c>
      <c r="D746" s="37">
        <f>IF(A746="","",TODAY())</f>
        <v/>
      </c>
      <c r="E746" s="29" t="n"/>
      <c r="F746" s="36">
        <f>IFERROR(IF(OR(A746="",E746=""),"",C746-E746),"")</f>
        <v/>
      </c>
      <c r="G746" s="30" t="n"/>
      <c r="H746" s="35" t="n"/>
    </row>
    <row r="747" ht="20" customHeight="1">
      <c r="A747" s="26" t="n"/>
      <c r="B747" s="27">
        <f>IFERROR(IF(A747="","",VLOOKUP(A747,DATABASE!$A:$B,2,0)),"")</f>
        <v/>
      </c>
      <c r="C747" s="20">
        <f>IFERROR(IF(A747="","",VLOOKUP(A747,DATABASE!$A:$J,10,0)),"")</f>
        <v/>
      </c>
      <c r="D747" s="28">
        <f>IF(A747="","",TODAY())</f>
        <v/>
      </c>
      <c r="E747" s="29" t="n"/>
      <c r="F747" s="20">
        <f>IFERROR(IF(OR(A747="",E747=""),"",C747-E747),"")</f>
        <v/>
      </c>
      <c r="G747" s="30" t="n"/>
      <c r="H747" s="27" t="n"/>
    </row>
    <row r="748" ht="20" customHeight="1">
      <c r="A748" s="26" t="n"/>
      <c r="B748" s="35">
        <f>IFERROR(IF(A748="","",VLOOKUP(A748,DATABASE!$A:$B,2,0)),"")</f>
        <v/>
      </c>
      <c r="C748" s="36">
        <f>IFERROR(IF(A748="","",VLOOKUP(A748,DATABASE!$A:$J,10,0)),"")</f>
        <v/>
      </c>
      <c r="D748" s="37">
        <f>IF(A748="","",TODAY())</f>
        <v/>
      </c>
      <c r="E748" s="29" t="n"/>
      <c r="F748" s="36">
        <f>IFERROR(IF(OR(A748="",E748=""),"",C748-E748),"")</f>
        <v/>
      </c>
      <c r="G748" s="30" t="n"/>
      <c r="H748" s="35" t="n"/>
    </row>
    <row r="749" ht="20" customHeight="1">
      <c r="A749" s="26" t="n"/>
      <c r="B749" s="27">
        <f>IFERROR(IF(A749="","",VLOOKUP(A749,DATABASE!$A:$B,2,0)),"")</f>
        <v/>
      </c>
      <c r="C749" s="20">
        <f>IFERROR(IF(A749="","",VLOOKUP(A749,DATABASE!$A:$J,10,0)),"")</f>
        <v/>
      </c>
      <c r="D749" s="28">
        <f>IF(A749="","",TODAY())</f>
        <v/>
      </c>
      <c r="E749" s="29" t="n"/>
      <c r="F749" s="20">
        <f>IFERROR(IF(OR(A749="",E749=""),"",C749-E749),"")</f>
        <v/>
      </c>
      <c r="G749" s="30" t="n"/>
      <c r="H749" s="27" t="n"/>
    </row>
    <row r="750" ht="20" customHeight="1">
      <c r="A750" s="26" t="n"/>
      <c r="B750" s="35">
        <f>IFERROR(IF(A750="","",VLOOKUP(A750,DATABASE!$A:$B,2,0)),"")</f>
        <v/>
      </c>
      <c r="C750" s="36">
        <f>IFERROR(IF(A750="","",VLOOKUP(A750,DATABASE!$A:$J,10,0)),"")</f>
        <v/>
      </c>
      <c r="D750" s="37">
        <f>IF(A750="","",TODAY())</f>
        <v/>
      </c>
      <c r="E750" s="29" t="n"/>
      <c r="F750" s="36">
        <f>IFERROR(IF(OR(A750="",E750=""),"",C750-E750),"")</f>
        <v/>
      </c>
      <c r="G750" s="30" t="n"/>
      <c r="H750" s="35" t="n"/>
    </row>
    <row r="751" ht="20" customHeight="1">
      <c r="A751" s="26" t="n"/>
      <c r="B751" s="27">
        <f>IFERROR(IF(A751="","",VLOOKUP(A751,DATABASE!$A:$B,2,0)),"")</f>
        <v/>
      </c>
      <c r="C751" s="20">
        <f>IFERROR(IF(A751="","",VLOOKUP(A751,DATABASE!$A:$J,10,0)),"")</f>
        <v/>
      </c>
      <c r="D751" s="28">
        <f>IF(A751="","",TODAY())</f>
        <v/>
      </c>
      <c r="E751" s="29" t="n"/>
      <c r="F751" s="20">
        <f>IFERROR(IF(OR(A751="",E751=""),"",C751-E751),"")</f>
        <v/>
      </c>
      <c r="G751" s="30" t="n"/>
      <c r="H751" s="27" t="n"/>
    </row>
    <row r="752" ht="20" customHeight="1">
      <c r="A752" s="26" t="n"/>
      <c r="B752" s="35">
        <f>IFERROR(IF(A752="","",VLOOKUP(A752,DATABASE!$A:$B,2,0)),"")</f>
        <v/>
      </c>
      <c r="C752" s="36">
        <f>IFERROR(IF(A752="","",VLOOKUP(A752,DATABASE!$A:$J,10,0)),"")</f>
        <v/>
      </c>
      <c r="D752" s="37">
        <f>IF(A752="","",TODAY())</f>
        <v/>
      </c>
      <c r="E752" s="29" t="n"/>
      <c r="F752" s="36">
        <f>IFERROR(IF(OR(A752="",E752=""),"",C752-E752),"")</f>
        <v/>
      </c>
      <c r="G752" s="30" t="n"/>
      <c r="H752" s="35" t="n"/>
    </row>
    <row r="753" ht="20" customHeight="1">
      <c r="A753" s="26" t="n"/>
      <c r="B753" s="27">
        <f>IFERROR(IF(A753="","",VLOOKUP(A753,DATABASE!$A:$B,2,0)),"")</f>
        <v/>
      </c>
      <c r="C753" s="20">
        <f>IFERROR(IF(A753="","",VLOOKUP(A753,DATABASE!$A:$J,10,0)),"")</f>
        <v/>
      </c>
      <c r="D753" s="28">
        <f>IF(A753="","",TODAY())</f>
        <v/>
      </c>
      <c r="E753" s="29" t="n"/>
      <c r="F753" s="20">
        <f>IFERROR(IF(OR(A753="",E753=""),"",C753-E753),"")</f>
        <v/>
      </c>
      <c r="G753" s="30" t="n"/>
      <c r="H753" s="27" t="n"/>
    </row>
    <row r="754" ht="20" customHeight="1">
      <c r="A754" s="26" t="n"/>
      <c r="B754" s="35">
        <f>IFERROR(IF(A754="","",VLOOKUP(A754,DATABASE!$A:$B,2,0)),"")</f>
        <v/>
      </c>
      <c r="C754" s="36">
        <f>IFERROR(IF(A754="","",VLOOKUP(A754,DATABASE!$A:$J,10,0)),"")</f>
        <v/>
      </c>
      <c r="D754" s="37">
        <f>IF(A754="","",TODAY())</f>
        <v/>
      </c>
      <c r="E754" s="29" t="n"/>
      <c r="F754" s="36">
        <f>IFERROR(IF(OR(A754="",E754=""),"",C754-E754),"")</f>
        <v/>
      </c>
      <c r="G754" s="30" t="n"/>
      <c r="H754" s="35" t="n"/>
    </row>
    <row r="755" ht="20" customHeight="1">
      <c r="A755" s="26" t="n"/>
      <c r="B755" s="27">
        <f>IFERROR(IF(A755="","",VLOOKUP(A755,DATABASE!$A:$B,2,0)),"")</f>
        <v/>
      </c>
      <c r="C755" s="20">
        <f>IFERROR(IF(A755="","",VLOOKUP(A755,DATABASE!$A:$J,10,0)),"")</f>
        <v/>
      </c>
      <c r="D755" s="28">
        <f>IF(A755="","",TODAY())</f>
        <v/>
      </c>
      <c r="E755" s="29" t="n"/>
      <c r="F755" s="20">
        <f>IFERROR(IF(OR(A755="",E755=""),"",C755-E755),"")</f>
        <v/>
      </c>
      <c r="G755" s="30" t="n"/>
      <c r="H755" s="27" t="n"/>
    </row>
    <row r="756" ht="20" customHeight="1">
      <c r="A756" s="26" t="n"/>
      <c r="B756" s="35">
        <f>IFERROR(IF(A756="","",VLOOKUP(A756,DATABASE!$A:$B,2,0)),"")</f>
        <v/>
      </c>
      <c r="C756" s="36">
        <f>IFERROR(IF(A756="","",VLOOKUP(A756,DATABASE!$A:$J,10,0)),"")</f>
        <v/>
      </c>
      <c r="D756" s="37">
        <f>IF(A756="","",TODAY())</f>
        <v/>
      </c>
      <c r="E756" s="29" t="n"/>
      <c r="F756" s="36">
        <f>IFERROR(IF(OR(A756="",E756=""),"",C756-E756),"")</f>
        <v/>
      </c>
      <c r="G756" s="30" t="n"/>
      <c r="H756" s="35" t="n"/>
    </row>
    <row r="757" ht="20" customHeight="1">
      <c r="A757" s="26" t="n"/>
      <c r="B757" s="27">
        <f>IFERROR(IF(A757="","",VLOOKUP(A757,DATABASE!$A:$B,2,0)),"")</f>
        <v/>
      </c>
      <c r="C757" s="20">
        <f>IFERROR(IF(A757="","",VLOOKUP(A757,DATABASE!$A:$J,10,0)),"")</f>
        <v/>
      </c>
      <c r="D757" s="28">
        <f>IF(A757="","",TODAY())</f>
        <v/>
      </c>
      <c r="E757" s="29" t="n"/>
      <c r="F757" s="20">
        <f>IFERROR(IF(OR(A757="",E757=""),"",C757-E757),"")</f>
        <v/>
      </c>
      <c r="G757" s="30" t="n"/>
      <c r="H757" s="27" t="n"/>
    </row>
    <row r="758" ht="20" customHeight="1">
      <c r="A758" s="26" t="n"/>
      <c r="B758" s="35">
        <f>IFERROR(IF(A758="","",VLOOKUP(A758,DATABASE!$A:$B,2,0)),"")</f>
        <v/>
      </c>
      <c r="C758" s="36">
        <f>IFERROR(IF(A758="","",VLOOKUP(A758,DATABASE!$A:$J,10,0)),"")</f>
        <v/>
      </c>
      <c r="D758" s="37">
        <f>IF(A758="","",TODAY())</f>
        <v/>
      </c>
      <c r="E758" s="29" t="n"/>
      <c r="F758" s="36">
        <f>IFERROR(IF(OR(A758="",E758=""),"",C758-E758),"")</f>
        <v/>
      </c>
      <c r="G758" s="30" t="n"/>
      <c r="H758" s="35" t="n"/>
    </row>
    <row r="759" ht="20" customHeight="1">
      <c r="A759" s="26" t="n"/>
      <c r="B759" s="27">
        <f>IFERROR(IF(A759="","",VLOOKUP(A759,DATABASE!$A:$B,2,0)),"")</f>
        <v/>
      </c>
      <c r="C759" s="20">
        <f>IFERROR(IF(A759="","",VLOOKUP(A759,DATABASE!$A:$J,10,0)),"")</f>
        <v/>
      </c>
      <c r="D759" s="28">
        <f>IF(A759="","",TODAY())</f>
        <v/>
      </c>
      <c r="E759" s="29" t="n"/>
      <c r="F759" s="20">
        <f>IFERROR(IF(OR(A759="",E759=""),"",C759-E759),"")</f>
        <v/>
      </c>
      <c r="G759" s="30" t="n"/>
      <c r="H759" s="27" t="n"/>
    </row>
    <row r="760" ht="20" customHeight="1">
      <c r="A760" s="26" t="n"/>
      <c r="B760" s="35">
        <f>IFERROR(IF(A760="","",VLOOKUP(A760,DATABASE!$A:$B,2,0)),"")</f>
        <v/>
      </c>
      <c r="C760" s="36">
        <f>IFERROR(IF(A760="","",VLOOKUP(A760,DATABASE!$A:$J,10,0)),"")</f>
        <v/>
      </c>
      <c r="D760" s="37">
        <f>IF(A760="","",TODAY())</f>
        <v/>
      </c>
      <c r="E760" s="29" t="n"/>
      <c r="F760" s="36">
        <f>IFERROR(IF(OR(A760="",E760=""),"",C760-E760),"")</f>
        <v/>
      </c>
      <c r="G760" s="30" t="n"/>
      <c r="H760" s="35" t="n"/>
    </row>
    <row r="761" ht="20" customHeight="1">
      <c r="A761" s="26" t="n"/>
      <c r="B761" s="27">
        <f>IFERROR(IF(A761="","",VLOOKUP(A761,DATABASE!$A:$B,2,0)),"")</f>
        <v/>
      </c>
      <c r="C761" s="20">
        <f>IFERROR(IF(A761="","",VLOOKUP(A761,DATABASE!$A:$J,10,0)),"")</f>
        <v/>
      </c>
      <c r="D761" s="28">
        <f>IF(A761="","",TODAY())</f>
        <v/>
      </c>
      <c r="E761" s="29" t="n"/>
      <c r="F761" s="20">
        <f>IFERROR(IF(OR(A761="",E761=""),"",C761-E761),"")</f>
        <v/>
      </c>
      <c r="G761" s="30" t="n"/>
      <c r="H761" s="27" t="n"/>
    </row>
    <row r="762" ht="20" customHeight="1">
      <c r="A762" s="26" t="n"/>
      <c r="B762" s="35">
        <f>IFERROR(IF(A762="","",VLOOKUP(A762,DATABASE!$A:$B,2,0)),"")</f>
        <v/>
      </c>
      <c r="C762" s="36">
        <f>IFERROR(IF(A762="","",VLOOKUP(A762,DATABASE!$A:$J,10,0)),"")</f>
        <v/>
      </c>
      <c r="D762" s="37">
        <f>IF(A762="","",TODAY())</f>
        <v/>
      </c>
      <c r="E762" s="29" t="n"/>
      <c r="F762" s="36">
        <f>IFERROR(IF(OR(A762="",E762=""),"",C762-E762),"")</f>
        <v/>
      </c>
      <c r="G762" s="30" t="n"/>
      <c r="H762" s="35" t="n"/>
    </row>
    <row r="763" ht="20" customHeight="1">
      <c r="A763" s="26" t="n"/>
      <c r="B763" s="27">
        <f>IFERROR(IF(A763="","",VLOOKUP(A763,DATABASE!$A:$B,2,0)),"")</f>
        <v/>
      </c>
      <c r="C763" s="20">
        <f>IFERROR(IF(A763="","",VLOOKUP(A763,DATABASE!$A:$J,10,0)),"")</f>
        <v/>
      </c>
      <c r="D763" s="28">
        <f>IF(A763="","",TODAY())</f>
        <v/>
      </c>
      <c r="E763" s="29" t="n"/>
      <c r="F763" s="20">
        <f>IFERROR(IF(OR(A763="",E763=""),"",C763-E763),"")</f>
        <v/>
      </c>
      <c r="G763" s="30" t="n"/>
      <c r="H763" s="27" t="n"/>
    </row>
    <row r="764" ht="20" customHeight="1">
      <c r="A764" s="26" t="n"/>
      <c r="B764" s="35">
        <f>IFERROR(IF(A764="","",VLOOKUP(A764,DATABASE!$A:$B,2,0)),"")</f>
        <v/>
      </c>
      <c r="C764" s="36">
        <f>IFERROR(IF(A764="","",VLOOKUP(A764,DATABASE!$A:$J,10,0)),"")</f>
        <v/>
      </c>
      <c r="D764" s="37">
        <f>IF(A764="","",TODAY())</f>
        <v/>
      </c>
      <c r="E764" s="29" t="n"/>
      <c r="F764" s="36">
        <f>IFERROR(IF(OR(A764="",E764=""),"",C764-E764),"")</f>
        <v/>
      </c>
      <c r="G764" s="30" t="n"/>
      <c r="H764" s="35" t="n"/>
    </row>
    <row r="765" ht="20" customHeight="1">
      <c r="A765" s="26" t="n"/>
      <c r="B765" s="27">
        <f>IFERROR(IF(A765="","",VLOOKUP(A765,DATABASE!$A:$B,2,0)),"")</f>
        <v/>
      </c>
      <c r="C765" s="20">
        <f>IFERROR(IF(A765="","",VLOOKUP(A765,DATABASE!$A:$J,10,0)),"")</f>
        <v/>
      </c>
      <c r="D765" s="28">
        <f>IF(A765="","",TODAY())</f>
        <v/>
      </c>
      <c r="E765" s="29" t="n"/>
      <c r="F765" s="20">
        <f>IFERROR(IF(OR(A765="",E765=""),"",C765-E765),"")</f>
        <v/>
      </c>
      <c r="G765" s="30" t="n"/>
      <c r="H765" s="27" t="n"/>
    </row>
    <row r="766" ht="20" customHeight="1">
      <c r="A766" s="26" t="n"/>
      <c r="B766" s="35">
        <f>IFERROR(IF(A766="","",VLOOKUP(A766,DATABASE!$A:$B,2,0)),"")</f>
        <v/>
      </c>
      <c r="C766" s="36">
        <f>IFERROR(IF(A766="","",VLOOKUP(A766,DATABASE!$A:$J,10,0)),"")</f>
        <v/>
      </c>
      <c r="D766" s="37">
        <f>IF(A766="","",TODAY())</f>
        <v/>
      </c>
      <c r="E766" s="29" t="n"/>
      <c r="F766" s="36">
        <f>IFERROR(IF(OR(A766="",E766=""),"",C766-E766),"")</f>
        <v/>
      </c>
      <c r="G766" s="30" t="n"/>
      <c r="H766" s="35" t="n"/>
    </row>
    <row r="767" ht="20" customHeight="1">
      <c r="A767" s="26" t="n"/>
      <c r="B767" s="27">
        <f>IFERROR(IF(A767="","",VLOOKUP(A767,DATABASE!$A:$B,2,0)),"")</f>
        <v/>
      </c>
      <c r="C767" s="20">
        <f>IFERROR(IF(A767="","",VLOOKUP(A767,DATABASE!$A:$J,10,0)),"")</f>
        <v/>
      </c>
      <c r="D767" s="28">
        <f>IF(A767="","",TODAY())</f>
        <v/>
      </c>
      <c r="E767" s="29" t="n"/>
      <c r="F767" s="20">
        <f>IFERROR(IF(OR(A767="",E767=""),"",C767-E767),"")</f>
        <v/>
      </c>
      <c r="G767" s="30" t="n"/>
      <c r="H767" s="27" t="n"/>
    </row>
    <row r="768" ht="20" customHeight="1">
      <c r="A768" s="26" t="n"/>
      <c r="B768" s="35">
        <f>IFERROR(IF(A768="","",VLOOKUP(A768,DATABASE!$A:$B,2,0)),"")</f>
        <v/>
      </c>
      <c r="C768" s="36">
        <f>IFERROR(IF(A768="","",VLOOKUP(A768,DATABASE!$A:$J,10,0)),"")</f>
        <v/>
      </c>
      <c r="D768" s="37">
        <f>IF(A768="","",TODAY())</f>
        <v/>
      </c>
      <c r="E768" s="29" t="n"/>
      <c r="F768" s="36">
        <f>IFERROR(IF(OR(A768="",E768=""),"",C768-E768),"")</f>
        <v/>
      </c>
      <c r="G768" s="30" t="n"/>
      <c r="H768" s="35" t="n"/>
    </row>
    <row r="769" ht="20" customHeight="1">
      <c r="A769" s="26" t="n"/>
      <c r="B769" s="27">
        <f>IFERROR(IF(A769="","",VLOOKUP(A769,DATABASE!$A:$B,2,0)),"")</f>
        <v/>
      </c>
      <c r="C769" s="20">
        <f>IFERROR(IF(A769="","",VLOOKUP(A769,DATABASE!$A:$J,10,0)),"")</f>
        <v/>
      </c>
      <c r="D769" s="28">
        <f>IF(A769="","",TODAY())</f>
        <v/>
      </c>
      <c r="E769" s="29" t="n"/>
      <c r="F769" s="20">
        <f>IFERROR(IF(OR(A769="",E769=""),"",C769-E769),"")</f>
        <v/>
      </c>
      <c r="G769" s="30" t="n"/>
      <c r="H769" s="27" t="n"/>
    </row>
    <row r="770" ht="20" customHeight="1">
      <c r="A770" s="26" t="n"/>
      <c r="B770" s="35">
        <f>IFERROR(IF(A770="","",VLOOKUP(A770,DATABASE!$A:$B,2,0)),"")</f>
        <v/>
      </c>
      <c r="C770" s="36">
        <f>IFERROR(IF(A770="","",VLOOKUP(A770,DATABASE!$A:$J,10,0)),"")</f>
        <v/>
      </c>
      <c r="D770" s="37">
        <f>IF(A770="","",TODAY())</f>
        <v/>
      </c>
      <c r="E770" s="29" t="n"/>
      <c r="F770" s="36">
        <f>IFERROR(IF(OR(A770="",E770=""),"",C770-E770),"")</f>
        <v/>
      </c>
      <c r="G770" s="30" t="n"/>
      <c r="H770" s="35" t="n"/>
    </row>
    <row r="771" ht="20" customHeight="1">
      <c r="A771" s="26" t="n"/>
      <c r="B771" s="27">
        <f>IFERROR(IF(A771="","",VLOOKUP(A771,DATABASE!$A:$B,2,0)),"")</f>
        <v/>
      </c>
      <c r="C771" s="20">
        <f>IFERROR(IF(A771="","",VLOOKUP(A771,DATABASE!$A:$J,10,0)),"")</f>
        <v/>
      </c>
      <c r="D771" s="28">
        <f>IF(A771="","",TODAY())</f>
        <v/>
      </c>
      <c r="E771" s="29" t="n"/>
      <c r="F771" s="20">
        <f>IFERROR(IF(OR(A771="",E771=""),"",C771-E771),"")</f>
        <v/>
      </c>
      <c r="G771" s="30" t="n"/>
      <c r="H771" s="27" t="n"/>
    </row>
    <row r="772" ht="20" customHeight="1">
      <c r="A772" s="26" t="n"/>
      <c r="B772" s="35">
        <f>IFERROR(IF(A772="","",VLOOKUP(A772,DATABASE!$A:$B,2,0)),"")</f>
        <v/>
      </c>
      <c r="C772" s="36">
        <f>IFERROR(IF(A772="","",VLOOKUP(A772,DATABASE!$A:$J,10,0)),"")</f>
        <v/>
      </c>
      <c r="D772" s="37">
        <f>IF(A772="","",TODAY())</f>
        <v/>
      </c>
      <c r="E772" s="29" t="n"/>
      <c r="F772" s="36">
        <f>IFERROR(IF(OR(A772="",E772=""),"",C772-E772),"")</f>
        <v/>
      </c>
      <c r="G772" s="30" t="n"/>
      <c r="H772" s="35" t="n"/>
    </row>
    <row r="773" ht="20" customHeight="1">
      <c r="A773" s="26" t="n"/>
      <c r="B773" s="27">
        <f>IFERROR(IF(A773="","",VLOOKUP(A773,DATABASE!$A:$B,2,0)),"")</f>
        <v/>
      </c>
      <c r="C773" s="20">
        <f>IFERROR(IF(A773="","",VLOOKUP(A773,DATABASE!$A:$J,10,0)),"")</f>
        <v/>
      </c>
      <c r="D773" s="28">
        <f>IF(A773="","",TODAY())</f>
        <v/>
      </c>
      <c r="E773" s="29" t="n"/>
      <c r="F773" s="20">
        <f>IFERROR(IF(OR(A773="",E773=""),"",C773-E773),"")</f>
        <v/>
      </c>
      <c r="G773" s="30" t="n"/>
      <c r="H773" s="27" t="n"/>
    </row>
    <row r="774" ht="20" customHeight="1">
      <c r="A774" s="26" t="n"/>
      <c r="B774" s="35">
        <f>IFERROR(IF(A774="","",VLOOKUP(A774,DATABASE!$A:$B,2,0)),"")</f>
        <v/>
      </c>
      <c r="C774" s="36">
        <f>IFERROR(IF(A774="","",VLOOKUP(A774,DATABASE!$A:$J,10,0)),"")</f>
        <v/>
      </c>
      <c r="D774" s="37">
        <f>IF(A774="","",TODAY())</f>
        <v/>
      </c>
      <c r="E774" s="29" t="n"/>
      <c r="F774" s="36">
        <f>IFERROR(IF(OR(A774="",E774=""),"",C774-E774),"")</f>
        <v/>
      </c>
      <c r="G774" s="30" t="n"/>
      <c r="H774" s="35" t="n"/>
    </row>
    <row r="775" ht="20" customHeight="1">
      <c r="A775" s="26" t="n"/>
      <c r="B775" s="27">
        <f>IFERROR(IF(A775="","",VLOOKUP(A775,DATABASE!$A:$B,2,0)),"")</f>
        <v/>
      </c>
      <c r="C775" s="20">
        <f>IFERROR(IF(A775="","",VLOOKUP(A775,DATABASE!$A:$J,10,0)),"")</f>
        <v/>
      </c>
      <c r="D775" s="28">
        <f>IF(A775="","",TODAY())</f>
        <v/>
      </c>
      <c r="E775" s="29" t="n"/>
      <c r="F775" s="20">
        <f>IFERROR(IF(OR(A775="",E775=""),"",C775-E775),"")</f>
        <v/>
      </c>
      <c r="G775" s="30" t="n"/>
      <c r="H775" s="27" t="n"/>
    </row>
    <row r="776" ht="20" customHeight="1">
      <c r="A776" s="26" t="n"/>
      <c r="B776" s="35">
        <f>IFERROR(IF(A776="","",VLOOKUP(A776,DATABASE!$A:$B,2,0)),"")</f>
        <v/>
      </c>
      <c r="C776" s="36">
        <f>IFERROR(IF(A776="","",VLOOKUP(A776,DATABASE!$A:$J,10,0)),"")</f>
        <v/>
      </c>
      <c r="D776" s="37">
        <f>IF(A776="","",TODAY())</f>
        <v/>
      </c>
      <c r="E776" s="29" t="n"/>
      <c r="F776" s="36">
        <f>IFERROR(IF(OR(A776="",E776=""),"",C776-E776),"")</f>
        <v/>
      </c>
      <c r="G776" s="30" t="n"/>
      <c r="H776" s="35" t="n"/>
    </row>
    <row r="777" ht="20" customHeight="1">
      <c r="A777" s="26" t="n"/>
      <c r="B777" s="27">
        <f>IFERROR(IF(A777="","",VLOOKUP(A777,DATABASE!$A:$B,2,0)),"")</f>
        <v/>
      </c>
      <c r="C777" s="20">
        <f>IFERROR(IF(A777="","",VLOOKUP(A777,DATABASE!$A:$J,10,0)),"")</f>
        <v/>
      </c>
      <c r="D777" s="28">
        <f>IF(A777="","",TODAY())</f>
        <v/>
      </c>
      <c r="E777" s="29" t="n"/>
      <c r="F777" s="20">
        <f>IFERROR(IF(OR(A777="",E777=""),"",C777-E777),"")</f>
        <v/>
      </c>
      <c r="G777" s="30" t="n"/>
      <c r="H777" s="27" t="n"/>
    </row>
    <row r="778" ht="20" customHeight="1">
      <c r="A778" s="26" t="n"/>
      <c r="B778" s="35">
        <f>IFERROR(IF(A778="","",VLOOKUP(A778,DATABASE!$A:$B,2,0)),"")</f>
        <v/>
      </c>
      <c r="C778" s="36">
        <f>IFERROR(IF(A778="","",VLOOKUP(A778,DATABASE!$A:$J,10,0)),"")</f>
        <v/>
      </c>
      <c r="D778" s="37">
        <f>IF(A778="","",TODAY())</f>
        <v/>
      </c>
      <c r="E778" s="29" t="n"/>
      <c r="F778" s="36">
        <f>IFERROR(IF(OR(A778="",E778=""),"",C778-E778),"")</f>
        <v/>
      </c>
      <c r="G778" s="30" t="n"/>
      <c r="H778" s="35" t="n"/>
    </row>
    <row r="779" ht="20" customHeight="1">
      <c r="A779" s="26" t="n"/>
      <c r="B779" s="27">
        <f>IFERROR(IF(A779="","",VLOOKUP(A779,DATABASE!$A:$B,2,0)),"")</f>
        <v/>
      </c>
      <c r="C779" s="20">
        <f>IFERROR(IF(A779="","",VLOOKUP(A779,DATABASE!$A:$J,10,0)),"")</f>
        <v/>
      </c>
      <c r="D779" s="28">
        <f>IF(A779="","",TODAY())</f>
        <v/>
      </c>
      <c r="E779" s="29" t="n"/>
      <c r="F779" s="20">
        <f>IFERROR(IF(OR(A779="",E779=""),"",C779-E779),"")</f>
        <v/>
      </c>
      <c r="G779" s="30" t="n"/>
      <c r="H779" s="27" t="n"/>
    </row>
    <row r="780" ht="20" customHeight="1">
      <c r="A780" s="26" t="n"/>
      <c r="B780" s="35">
        <f>IFERROR(IF(A780="","",VLOOKUP(A780,DATABASE!$A:$B,2,0)),"")</f>
        <v/>
      </c>
      <c r="C780" s="36">
        <f>IFERROR(IF(A780="","",VLOOKUP(A780,DATABASE!$A:$J,10,0)),"")</f>
        <v/>
      </c>
      <c r="D780" s="37">
        <f>IF(A780="","",TODAY())</f>
        <v/>
      </c>
      <c r="E780" s="29" t="n"/>
      <c r="F780" s="36">
        <f>IFERROR(IF(OR(A780="",E780=""),"",C780-E780),"")</f>
        <v/>
      </c>
      <c r="G780" s="30" t="n"/>
      <c r="H780" s="35" t="n"/>
    </row>
    <row r="781" ht="20" customHeight="1">
      <c r="A781" s="26" t="n"/>
      <c r="B781" s="27">
        <f>IFERROR(IF(A781="","",VLOOKUP(A781,DATABASE!$A:$B,2,0)),"")</f>
        <v/>
      </c>
      <c r="C781" s="20">
        <f>IFERROR(IF(A781="","",VLOOKUP(A781,DATABASE!$A:$J,10,0)),"")</f>
        <v/>
      </c>
      <c r="D781" s="28">
        <f>IF(A781="","",TODAY())</f>
        <v/>
      </c>
      <c r="E781" s="29" t="n"/>
      <c r="F781" s="20">
        <f>IFERROR(IF(OR(A781="",E781=""),"",C781-E781),"")</f>
        <v/>
      </c>
      <c r="G781" s="30" t="n"/>
      <c r="H781" s="27" t="n"/>
    </row>
    <row r="782" ht="20" customHeight="1">
      <c r="A782" s="26" t="n"/>
      <c r="B782" s="35">
        <f>IFERROR(IF(A782="","",VLOOKUP(A782,DATABASE!$A:$B,2,0)),"")</f>
        <v/>
      </c>
      <c r="C782" s="36">
        <f>IFERROR(IF(A782="","",VLOOKUP(A782,DATABASE!$A:$J,10,0)),"")</f>
        <v/>
      </c>
      <c r="D782" s="37">
        <f>IF(A782="","",TODAY())</f>
        <v/>
      </c>
      <c r="E782" s="29" t="n"/>
      <c r="F782" s="36">
        <f>IFERROR(IF(OR(A782="",E782=""),"",C782-E782),"")</f>
        <v/>
      </c>
      <c r="G782" s="30" t="n"/>
      <c r="H782" s="35" t="n"/>
    </row>
    <row r="783" ht="20" customHeight="1">
      <c r="A783" s="26" t="n"/>
      <c r="B783" s="27">
        <f>IFERROR(IF(A783="","",VLOOKUP(A783,DATABASE!$A:$B,2,0)),"")</f>
        <v/>
      </c>
      <c r="C783" s="20">
        <f>IFERROR(IF(A783="","",VLOOKUP(A783,DATABASE!$A:$J,10,0)),"")</f>
        <v/>
      </c>
      <c r="D783" s="28">
        <f>IF(A783="","",TODAY())</f>
        <v/>
      </c>
      <c r="E783" s="29" t="n"/>
      <c r="F783" s="20">
        <f>IFERROR(IF(OR(A783="",E783=""),"",C783-E783),"")</f>
        <v/>
      </c>
      <c r="G783" s="30" t="n"/>
      <c r="H783" s="27" t="n"/>
    </row>
    <row r="784" ht="20" customHeight="1">
      <c r="A784" s="26" t="n"/>
      <c r="B784" s="35">
        <f>IFERROR(IF(A784="","",VLOOKUP(A784,DATABASE!$A:$B,2,0)),"")</f>
        <v/>
      </c>
      <c r="C784" s="36">
        <f>IFERROR(IF(A784="","",VLOOKUP(A784,DATABASE!$A:$J,10,0)),"")</f>
        <v/>
      </c>
      <c r="D784" s="37">
        <f>IF(A784="","",TODAY())</f>
        <v/>
      </c>
      <c r="E784" s="29" t="n"/>
      <c r="F784" s="36">
        <f>IFERROR(IF(OR(A784="",E784=""),"",C784-E784),"")</f>
        <v/>
      </c>
      <c r="G784" s="30" t="n"/>
      <c r="H784" s="35" t="n"/>
    </row>
    <row r="785" ht="20" customHeight="1">
      <c r="A785" s="26" t="n"/>
      <c r="B785" s="27">
        <f>IFERROR(IF(A785="","",VLOOKUP(A785,DATABASE!$A:$B,2,0)),"")</f>
        <v/>
      </c>
      <c r="C785" s="20">
        <f>IFERROR(IF(A785="","",VLOOKUP(A785,DATABASE!$A:$J,10,0)),"")</f>
        <v/>
      </c>
      <c r="D785" s="28">
        <f>IF(A785="","",TODAY())</f>
        <v/>
      </c>
      <c r="E785" s="29" t="n"/>
      <c r="F785" s="20">
        <f>IFERROR(IF(OR(A785="",E785=""),"",C785-E785),"")</f>
        <v/>
      </c>
      <c r="G785" s="30" t="n"/>
      <c r="H785" s="27" t="n"/>
    </row>
    <row r="786" ht="20" customHeight="1">
      <c r="A786" s="26" t="n"/>
      <c r="B786" s="35">
        <f>IFERROR(IF(A786="","",VLOOKUP(A786,DATABASE!$A:$B,2,0)),"")</f>
        <v/>
      </c>
      <c r="C786" s="36">
        <f>IFERROR(IF(A786="","",VLOOKUP(A786,DATABASE!$A:$J,10,0)),"")</f>
        <v/>
      </c>
      <c r="D786" s="37">
        <f>IF(A786="","",TODAY())</f>
        <v/>
      </c>
      <c r="E786" s="29" t="n"/>
      <c r="F786" s="36">
        <f>IFERROR(IF(OR(A786="",E786=""),"",C786-E786),"")</f>
        <v/>
      </c>
      <c r="G786" s="30" t="n"/>
      <c r="H786" s="35" t="n"/>
    </row>
    <row r="787" ht="20" customHeight="1">
      <c r="A787" s="26" t="n"/>
      <c r="B787" s="27">
        <f>IFERROR(IF(A787="","",VLOOKUP(A787,DATABASE!$A:$B,2,0)),"")</f>
        <v/>
      </c>
      <c r="C787" s="20">
        <f>IFERROR(IF(A787="","",VLOOKUP(A787,DATABASE!$A:$J,10,0)),"")</f>
        <v/>
      </c>
      <c r="D787" s="28">
        <f>IF(A787="","",TODAY())</f>
        <v/>
      </c>
      <c r="E787" s="29" t="n"/>
      <c r="F787" s="20">
        <f>IFERROR(IF(OR(A787="",E787=""),"",C787-E787),"")</f>
        <v/>
      </c>
      <c r="G787" s="30" t="n"/>
      <c r="H787" s="27" t="n"/>
    </row>
    <row r="788" ht="20" customHeight="1">
      <c r="A788" s="26" t="n"/>
      <c r="B788" s="35">
        <f>IFERROR(IF(A788="","",VLOOKUP(A788,DATABASE!$A:$B,2,0)),"")</f>
        <v/>
      </c>
      <c r="C788" s="36">
        <f>IFERROR(IF(A788="","",VLOOKUP(A788,DATABASE!$A:$J,10,0)),"")</f>
        <v/>
      </c>
      <c r="D788" s="37">
        <f>IF(A788="","",TODAY())</f>
        <v/>
      </c>
      <c r="E788" s="29" t="n"/>
      <c r="F788" s="36">
        <f>IFERROR(IF(OR(A788="",E788=""),"",C788-E788),"")</f>
        <v/>
      </c>
      <c r="G788" s="30" t="n"/>
      <c r="H788" s="35" t="n"/>
    </row>
    <row r="789" ht="20" customHeight="1">
      <c r="A789" s="26" t="n"/>
      <c r="B789" s="27">
        <f>IFERROR(IF(A789="","",VLOOKUP(A789,DATABASE!$A:$B,2,0)),"")</f>
        <v/>
      </c>
      <c r="C789" s="20">
        <f>IFERROR(IF(A789="","",VLOOKUP(A789,DATABASE!$A:$J,10,0)),"")</f>
        <v/>
      </c>
      <c r="D789" s="28">
        <f>IF(A789="","",TODAY())</f>
        <v/>
      </c>
      <c r="E789" s="29" t="n"/>
      <c r="F789" s="20">
        <f>IFERROR(IF(OR(A789="",E789=""),"",C789-E789),"")</f>
        <v/>
      </c>
      <c r="G789" s="30" t="n"/>
      <c r="H789" s="27" t="n"/>
    </row>
    <row r="790" ht="20" customHeight="1">
      <c r="A790" s="26" t="n"/>
      <c r="B790" s="35">
        <f>IFERROR(IF(A790="","",VLOOKUP(A790,DATABASE!$A:$B,2,0)),"")</f>
        <v/>
      </c>
      <c r="C790" s="36">
        <f>IFERROR(IF(A790="","",VLOOKUP(A790,DATABASE!$A:$J,10,0)),"")</f>
        <v/>
      </c>
      <c r="D790" s="37">
        <f>IF(A790="","",TODAY())</f>
        <v/>
      </c>
      <c r="E790" s="29" t="n"/>
      <c r="F790" s="36">
        <f>IFERROR(IF(OR(A790="",E790=""),"",C790-E790),"")</f>
        <v/>
      </c>
      <c r="G790" s="30" t="n"/>
      <c r="H790" s="35" t="n"/>
    </row>
    <row r="791" ht="20" customHeight="1">
      <c r="A791" s="26" t="n"/>
      <c r="B791" s="27">
        <f>IFERROR(IF(A791="","",VLOOKUP(A791,DATABASE!$A:$B,2,0)),"")</f>
        <v/>
      </c>
      <c r="C791" s="20">
        <f>IFERROR(IF(A791="","",VLOOKUP(A791,DATABASE!$A:$J,10,0)),"")</f>
        <v/>
      </c>
      <c r="D791" s="28">
        <f>IF(A791="","",TODAY())</f>
        <v/>
      </c>
      <c r="E791" s="29" t="n"/>
      <c r="F791" s="20">
        <f>IFERROR(IF(OR(A791="",E791=""),"",C791-E791),"")</f>
        <v/>
      </c>
      <c r="G791" s="30" t="n"/>
      <c r="H791" s="27" t="n"/>
    </row>
    <row r="792" ht="20" customHeight="1">
      <c r="A792" s="26" t="n"/>
      <c r="B792" s="35">
        <f>IFERROR(IF(A792="","",VLOOKUP(A792,DATABASE!$A:$B,2,0)),"")</f>
        <v/>
      </c>
      <c r="C792" s="36">
        <f>IFERROR(IF(A792="","",VLOOKUP(A792,DATABASE!$A:$J,10,0)),"")</f>
        <v/>
      </c>
      <c r="D792" s="37">
        <f>IF(A792="","",TODAY())</f>
        <v/>
      </c>
      <c r="E792" s="29" t="n"/>
      <c r="F792" s="36">
        <f>IFERROR(IF(OR(A792="",E792=""),"",C792-E792),"")</f>
        <v/>
      </c>
      <c r="G792" s="30" t="n"/>
      <c r="H792" s="35" t="n"/>
    </row>
    <row r="793" ht="20" customHeight="1">
      <c r="A793" s="26" t="n"/>
      <c r="B793" s="27">
        <f>IFERROR(IF(A793="","",VLOOKUP(A793,DATABASE!$A:$B,2,0)),"")</f>
        <v/>
      </c>
      <c r="C793" s="20">
        <f>IFERROR(IF(A793="","",VLOOKUP(A793,DATABASE!$A:$J,10,0)),"")</f>
        <v/>
      </c>
      <c r="D793" s="28">
        <f>IF(A793="","",TODAY())</f>
        <v/>
      </c>
      <c r="E793" s="29" t="n"/>
      <c r="F793" s="20">
        <f>IFERROR(IF(OR(A793="",E793=""),"",C793-E793),"")</f>
        <v/>
      </c>
      <c r="G793" s="30" t="n"/>
      <c r="H793" s="27" t="n"/>
    </row>
    <row r="794" ht="20" customHeight="1">
      <c r="A794" s="26" t="n"/>
      <c r="B794" s="35">
        <f>IFERROR(IF(A794="","",VLOOKUP(A794,DATABASE!$A:$B,2,0)),"")</f>
        <v/>
      </c>
      <c r="C794" s="36">
        <f>IFERROR(IF(A794="","",VLOOKUP(A794,DATABASE!$A:$J,10,0)),"")</f>
        <v/>
      </c>
      <c r="D794" s="37">
        <f>IF(A794="","",TODAY())</f>
        <v/>
      </c>
      <c r="E794" s="29" t="n"/>
      <c r="F794" s="36">
        <f>IFERROR(IF(OR(A794="",E794=""),"",C794-E794),"")</f>
        <v/>
      </c>
      <c r="G794" s="30" t="n"/>
      <c r="H794" s="35" t="n"/>
    </row>
    <row r="795" ht="20" customHeight="1">
      <c r="A795" s="26" t="n"/>
      <c r="B795" s="27">
        <f>IFERROR(IF(A795="","",VLOOKUP(A795,DATABASE!$A:$B,2,0)),"")</f>
        <v/>
      </c>
      <c r="C795" s="20">
        <f>IFERROR(IF(A795="","",VLOOKUP(A795,DATABASE!$A:$J,10,0)),"")</f>
        <v/>
      </c>
      <c r="D795" s="28">
        <f>IF(A795="","",TODAY())</f>
        <v/>
      </c>
      <c r="E795" s="29" t="n"/>
      <c r="F795" s="20">
        <f>IFERROR(IF(OR(A795="",E795=""),"",C795-E795),"")</f>
        <v/>
      </c>
      <c r="G795" s="30" t="n"/>
      <c r="H795" s="27" t="n"/>
    </row>
    <row r="796" ht="20" customHeight="1">
      <c r="A796" s="26" t="n"/>
      <c r="B796" s="35">
        <f>IFERROR(IF(A796="","",VLOOKUP(A796,DATABASE!$A:$B,2,0)),"")</f>
        <v/>
      </c>
      <c r="C796" s="36">
        <f>IFERROR(IF(A796="","",VLOOKUP(A796,DATABASE!$A:$J,10,0)),"")</f>
        <v/>
      </c>
      <c r="D796" s="37">
        <f>IF(A796="","",TODAY())</f>
        <v/>
      </c>
      <c r="E796" s="29" t="n"/>
      <c r="F796" s="36">
        <f>IFERROR(IF(OR(A796="",E796=""),"",C796-E796),"")</f>
        <v/>
      </c>
      <c r="G796" s="30" t="n"/>
      <c r="H796" s="35" t="n"/>
    </row>
    <row r="797" ht="20" customHeight="1">
      <c r="A797" s="26" t="n"/>
      <c r="B797" s="27">
        <f>IFERROR(IF(A797="","",VLOOKUP(A797,DATABASE!$A:$B,2,0)),"")</f>
        <v/>
      </c>
      <c r="C797" s="20">
        <f>IFERROR(IF(A797="","",VLOOKUP(A797,DATABASE!$A:$J,10,0)),"")</f>
        <v/>
      </c>
      <c r="D797" s="28">
        <f>IF(A797="","",TODAY())</f>
        <v/>
      </c>
      <c r="E797" s="29" t="n"/>
      <c r="F797" s="20">
        <f>IFERROR(IF(OR(A797="",E797=""),"",C797-E797),"")</f>
        <v/>
      </c>
      <c r="G797" s="30" t="n"/>
      <c r="H797" s="27" t="n"/>
    </row>
    <row r="798" ht="20" customHeight="1">
      <c r="A798" s="26" t="n"/>
      <c r="B798" s="35">
        <f>IFERROR(IF(A798="","",VLOOKUP(A798,DATABASE!$A:$B,2,0)),"")</f>
        <v/>
      </c>
      <c r="C798" s="36">
        <f>IFERROR(IF(A798="","",VLOOKUP(A798,DATABASE!$A:$J,10,0)),"")</f>
        <v/>
      </c>
      <c r="D798" s="37">
        <f>IF(A798="","",TODAY())</f>
        <v/>
      </c>
      <c r="E798" s="29" t="n"/>
      <c r="F798" s="36">
        <f>IFERROR(IF(OR(A798="",E798=""),"",C798-E798),"")</f>
        <v/>
      </c>
      <c r="G798" s="30" t="n"/>
      <c r="H798" s="35" t="n"/>
    </row>
    <row r="799" ht="20" customHeight="1">
      <c r="A799" s="26" t="n"/>
      <c r="B799" s="27">
        <f>IFERROR(IF(A799="","",VLOOKUP(A799,DATABASE!$A:$B,2,0)),"")</f>
        <v/>
      </c>
      <c r="C799" s="20">
        <f>IFERROR(IF(A799="","",VLOOKUP(A799,DATABASE!$A:$J,10,0)),"")</f>
        <v/>
      </c>
      <c r="D799" s="28">
        <f>IF(A799="","",TODAY())</f>
        <v/>
      </c>
      <c r="E799" s="29" t="n"/>
      <c r="F799" s="20">
        <f>IFERROR(IF(OR(A799="",E799=""),"",C799-E799),"")</f>
        <v/>
      </c>
      <c r="G799" s="30" t="n"/>
      <c r="H799" s="27" t="n"/>
    </row>
    <row r="800" ht="20" customHeight="1">
      <c r="A800" s="26" t="n"/>
      <c r="B800" s="35">
        <f>IFERROR(IF(A800="","",VLOOKUP(A800,DATABASE!$A:$B,2,0)),"")</f>
        <v/>
      </c>
      <c r="C800" s="36">
        <f>IFERROR(IF(A800="","",VLOOKUP(A800,DATABASE!$A:$J,10,0)),"")</f>
        <v/>
      </c>
      <c r="D800" s="37">
        <f>IF(A800="","",TODAY())</f>
        <v/>
      </c>
      <c r="E800" s="29" t="n"/>
      <c r="F800" s="36">
        <f>IFERROR(IF(OR(A800="",E800=""),"",C800-E800),"")</f>
        <v/>
      </c>
      <c r="G800" s="30" t="n"/>
      <c r="H800" s="35" t="n"/>
    </row>
    <row r="801" ht="20" customHeight="1">
      <c r="A801" s="26" t="n"/>
      <c r="B801" s="27">
        <f>IFERROR(IF(A801="","",VLOOKUP(A801,DATABASE!$A:$B,2,0)),"")</f>
        <v/>
      </c>
      <c r="C801" s="20">
        <f>IFERROR(IF(A801="","",VLOOKUP(A801,DATABASE!$A:$J,10,0)),"")</f>
        <v/>
      </c>
      <c r="D801" s="28">
        <f>IF(A801="","",TODAY())</f>
        <v/>
      </c>
      <c r="E801" s="29" t="n"/>
      <c r="F801" s="20">
        <f>IFERROR(IF(OR(A801="",E801=""),"",C801-E801),"")</f>
        <v/>
      </c>
      <c r="G801" s="30" t="n"/>
      <c r="H801" s="27" t="n"/>
    </row>
    <row r="802" ht="20" customHeight="1">
      <c r="A802" s="26" t="n"/>
      <c r="B802" s="35">
        <f>IFERROR(IF(A802="","",VLOOKUP(A802,DATABASE!$A:$B,2,0)),"")</f>
        <v/>
      </c>
      <c r="C802" s="36">
        <f>IFERROR(IF(A802="","",VLOOKUP(A802,DATABASE!$A:$J,10,0)),"")</f>
        <v/>
      </c>
      <c r="D802" s="37">
        <f>IF(A802="","",TODAY())</f>
        <v/>
      </c>
      <c r="E802" s="29" t="n"/>
      <c r="F802" s="36">
        <f>IFERROR(IF(OR(A802="",E802=""),"",C802-E802),"")</f>
        <v/>
      </c>
      <c r="G802" s="30" t="n"/>
      <c r="H802" s="35" t="n"/>
    </row>
    <row r="803" ht="20" customHeight="1">
      <c r="A803" s="26" t="n"/>
      <c r="B803" s="27">
        <f>IFERROR(IF(A803="","",VLOOKUP(A803,DATABASE!$A:$B,2,0)),"")</f>
        <v/>
      </c>
      <c r="C803" s="20">
        <f>IFERROR(IF(A803="","",VLOOKUP(A803,DATABASE!$A:$J,10,0)),"")</f>
        <v/>
      </c>
      <c r="D803" s="28">
        <f>IF(A803="","",TODAY())</f>
        <v/>
      </c>
      <c r="E803" s="29" t="n"/>
      <c r="F803" s="20">
        <f>IFERROR(IF(OR(A803="",E803=""),"",C803-E803),"")</f>
        <v/>
      </c>
      <c r="G803" s="30" t="n"/>
      <c r="H803" s="27" t="n"/>
    </row>
    <row r="804" ht="20" customHeight="1">
      <c r="A804" s="26" t="n"/>
      <c r="B804" s="35">
        <f>IFERROR(IF(A804="","",VLOOKUP(A804,DATABASE!$A:$B,2,0)),"")</f>
        <v/>
      </c>
      <c r="C804" s="36">
        <f>IFERROR(IF(A804="","",VLOOKUP(A804,DATABASE!$A:$J,10,0)),"")</f>
        <v/>
      </c>
      <c r="D804" s="37">
        <f>IF(A804="","",TODAY())</f>
        <v/>
      </c>
      <c r="E804" s="29" t="n"/>
      <c r="F804" s="36">
        <f>IFERROR(IF(OR(A804="",E804=""),"",C804-E804),"")</f>
        <v/>
      </c>
      <c r="G804" s="30" t="n"/>
      <c r="H804" s="35" t="n"/>
    </row>
    <row r="805" ht="20" customHeight="1">
      <c r="A805" s="26" t="n"/>
      <c r="B805" s="27">
        <f>IFERROR(IF(A805="","",VLOOKUP(A805,DATABASE!$A:$B,2,0)),"")</f>
        <v/>
      </c>
      <c r="C805" s="20">
        <f>IFERROR(IF(A805="","",VLOOKUP(A805,DATABASE!$A:$J,10,0)),"")</f>
        <v/>
      </c>
      <c r="D805" s="28">
        <f>IF(A805="","",TODAY())</f>
        <v/>
      </c>
      <c r="E805" s="29" t="n"/>
      <c r="F805" s="20">
        <f>IFERROR(IF(OR(A805="",E805=""),"",C805-E805),"")</f>
        <v/>
      </c>
      <c r="G805" s="30" t="n"/>
      <c r="H805" s="27" t="n"/>
    </row>
    <row r="806" ht="20" customHeight="1">
      <c r="A806" s="26" t="n"/>
      <c r="B806" s="35">
        <f>IFERROR(IF(A806="","",VLOOKUP(A806,DATABASE!$A:$B,2,0)),"")</f>
        <v/>
      </c>
      <c r="C806" s="36">
        <f>IFERROR(IF(A806="","",VLOOKUP(A806,DATABASE!$A:$J,10,0)),"")</f>
        <v/>
      </c>
      <c r="D806" s="37">
        <f>IF(A806="","",TODAY())</f>
        <v/>
      </c>
      <c r="E806" s="29" t="n"/>
      <c r="F806" s="36">
        <f>IFERROR(IF(OR(A806="",E806=""),"",C806-E806),"")</f>
        <v/>
      </c>
      <c r="G806" s="30" t="n"/>
      <c r="H806" s="35" t="n"/>
    </row>
    <row r="807" ht="20" customHeight="1">
      <c r="A807" s="26" t="n"/>
      <c r="B807" s="27">
        <f>IFERROR(IF(A807="","",VLOOKUP(A807,DATABASE!$A:$B,2,0)),"")</f>
        <v/>
      </c>
      <c r="C807" s="20">
        <f>IFERROR(IF(A807="","",VLOOKUP(A807,DATABASE!$A:$J,10,0)),"")</f>
        <v/>
      </c>
      <c r="D807" s="28">
        <f>IF(A807="","",TODAY())</f>
        <v/>
      </c>
      <c r="E807" s="29" t="n"/>
      <c r="F807" s="20">
        <f>IFERROR(IF(OR(A807="",E807=""),"",C807-E807),"")</f>
        <v/>
      </c>
      <c r="G807" s="30" t="n"/>
      <c r="H807" s="27" t="n"/>
    </row>
    <row r="808" ht="20" customHeight="1">
      <c r="A808" s="26" t="n"/>
      <c r="B808" s="35">
        <f>IFERROR(IF(A808="","",VLOOKUP(A808,DATABASE!$A:$B,2,0)),"")</f>
        <v/>
      </c>
      <c r="C808" s="36">
        <f>IFERROR(IF(A808="","",VLOOKUP(A808,DATABASE!$A:$J,10,0)),"")</f>
        <v/>
      </c>
      <c r="D808" s="37">
        <f>IF(A808="","",TODAY())</f>
        <v/>
      </c>
      <c r="E808" s="29" t="n"/>
      <c r="F808" s="36">
        <f>IFERROR(IF(OR(A808="",E808=""),"",C808-E808),"")</f>
        <v/>
      </c>
      <c r="G808" s="30" t="n"/>
      <c r="H808" s="35" t="n"/>
    </row>
    <row r="809" ht="20" customHeight="1">
      <c r="A809" s="26" t="n"/>
      <c r="B809" s="27">
        <f>IFERROR(IF(A809="","",VLOOKUP(A809,DATABASE!$A:$B,2,0)),"")</f>
        <v/>
      </c>
      <c r="C809" s="20">
        <f>IFERROR(IF(A809="","",VLOOKUP(A809,DATABASE!$A:$J,10,0)),"")</f>
        <v/>
      </c>
      <c r="D809" s="28">
        <f>IF(A809="","",TODAY())</f>
        <v/>
      </c>
      <c r="E809" s="29" t="n"/>
      <c r="F809" s="20">
        <f>IFERROR(IF(OR(A809="",E809=""),"",C809-E809),"")</f>
        <v/>
      </c>
      <c r="G809" s="30" t="n"/>
      <c r="H809" s="27" t="n"/>
    </row>
    <row r="810" ht="20" customHeight="1">
      <c r="A810" s="26" t="n"/>
      <c r="B810" s="35">
        <f>IFERROR(IF(A810="","",VLOOKUP(A810,DATABASE!$A:$B,2,0)),"")</f>
        <v/>
      </c>
      <c r="C810" s="36">
        <f>IFERROR(IF(A810="","",VLOOKUP(A810,DATABASE!$A:$J,10,0)),"")</f>
        <v/>
      </c>
      <c r="D810" s="37">
        <f>IF(A810="","",TODAY())</f>
        <v/>
      </c>
      <c r="E810" s="29" t="n"/>
      <c r="F810" s="36">
        <f>IFERROR(IF(OR(A810="",E810=""),"",C810-E810),"")</f>
        <v/>
      </c>
      <c r="G810" s="30" t="n"/>
      <c r="H810" s="35" t="n"/>
    </row>
    <row r="811" ht="20" customHeight="1">
      <c r="A811" s="26" t="n"/>
      <c r="B811" s="27">
        <f>IFERROR(IF(A811="","",VLOOKUP(A811,DATABASE!$A:$B,2,0)),"")</f>
        <v/>
      </c>
      <c r="C811" s="20">
        <f>IFERROR(IF(A811="","",VLOOKUP(A811,DATABASE!$A:$J,10,0)),"")</f>
        <v/>
      </c>
      <c r="D811" s="28">
        <f>IF(A811="","",TODAY())</f>
        <v/>
      </c>
      <c r="E811" s="29" t="n"/>
      <c r="F811" s="20">
        <f>IFERROR(IF(OR(A811="",E811=""),"",C811-E811),"")</f>
        <v/>
      </c>
      <c r="G811" s="30" t="n"/>
      <c r="H811" s="27" t="n"/>
    </row>
    <row r="812" ht="20" customHeight="1">
      <c r="A812" s="26" t="n"/>
      <c r="B812" s="35">
        <f>IFERROR(IF(A812="","",VLOOKUP(A812,DATABASE!$A:$B,2,0)),"")</f>
        <v/>
      </c>
      <c r="C812" s="36">
        <f>IFERROR(IF(A812="","",VLOOKUP(A812,DATABASE!$A:$J,10,0)),"")</f>
        <v/>
      </c>
      <c r="D812" s="37">
        <f>IF(A812="","",TODAY())</f>
        <v/>
      </c>
      <c r="E812" s="29" t="n"/>
      <c r="F812" s="36">
        <f>IFERROR(IF(OR(A812="",E812=""),"",C812-E812),"")</f>
        <v/>
      </c>
      <c r="G812" s="30" t="n"/>
      <c r="H812" s="35" t="n"/>
    </row>
    <row r="813" ht="20" customHeight="1">
      <c r="A813" s="26" t="n"/>
      <c r="B813" s="27">
        <f>IFERROR(IF(A813="","",VLOOKUP(A813,DATABASE!$A:$B,2,0)),"")</f>
        <v/>
      </c>
      <c r="C813" s="20">
        <f>IFERROR(IF(A813="","",VLOOKUP(A813,DATABASE!$A:$J,10,0)),"")</f>
        <v/>
      </c>
      <c r="D813" s="28">
        <f>IF(A813="","",TODAY())</f>
        <v/>
      </c>
      <c r="E813" s="29" t="n"/>
      <c r="F813" s="20">
        <f>IFERROR(IF(OR(A813="",E813=""),"",C813-E813),"")</f>
        <v/>
      </c>
      <c r="G813" s="30" t="n"/>
      <c r="H813" s="27" t="n"/>
    </row>
    <row r="814" ht="20" customHeight="1">
      <c r="A814" s="26" t="n"/>
      <c r="B814" s="35">
        <f>IFERROR(IF(A814="","",VLOOKUP(A814,DATABASE!$A:$B,2,0)),"")</f>
        <v/>
      </c>
      <c r="C814" s="36">
        <f>IFERROR(IF(A814="","",VLOOKUP(A814,DATABASE!$A:$J,10,0)),"")</f>
        <v/>
      </c>
      <c r="D814" s="37">
        <f>IF(A814="","",TODAY())</f>
        <v/>
      </c>
      <c r="E814" s="29" t="n"/>
      <c r="F814" s="36">
        <f>IFERROR(IF(OR(A814="",E814=""),"",C814-E814),"")</f>
        <v/>
      </c>
      <c r="G814" s="30" t="n"/>
      <c r="H814" s="35" t="n"/>
    </row>
    <row r="815" ht="20" customHeight="1">
      <c r="A815" s="26" t="n"/>
      <c r="B815" s="27">
        <f>IFERROR(IF(A815="","",VLOOKUP(A815,DATABASE!$A:$B,2,0)),"")</f>
        <v/>
      </c>
      <c r="C815" s="20">
        <f>IFERROR(IF(A815="","",VLOOKUP(A815,DATABASE!$A:$J,10,0)),"")</f>
        <v/>
      </c>
      <c r="D815" s="28">
        <f>IF(A815="","",TODAY())</f>
        <v/>
      </c>
      <c r="E815" s="29" t="n"/>
      <c r="F815" s="20">
        <f>IFERROR(IF(OR(A815="",E815=""),"",C815-E815),"")</f>
        <v/>
      </c>
      <c r="G815" s="30" t="n"/>
      <c r="H815" s="27" t="n"/>
    </row>
    <row r="816" ht="20" customHeight="1">
      <c r="A816" s="26" t="n"/>
      <c r="B816" s="35">
        <f>IFERROR(IF(A816="","",VLOOKUP(A816,DATABASE!$A:$B,2,0)),"")</f>
        <v/>
      </c>
      <c r="C816" s="36">
        <f>IFERROR(IF(A816="","",VLOOKUP(A816,DATABASE!$A:$J,10,0)),"")</f>
        <v/>
      </c>
      <c r="D816" s="37">
        <f>IF(A816="","",TODAY())</f>
        <v/>
      </c>
      <c r="E816" s="29" t="n"/>
      <c r="F816" s="36">
        <f>IFERROR(IF(OR(A816="",E816=""),"",C816-E816),"")</f>
        <v/>
      </c>
      <c r="G816" s="30" t="n"/>
      <c r="H816" s="35" t="n"/>
    </row>
    <row r="817" ht="20" customHeight="1">
      <c r="A817" s="26" t="n"/>
      <c r="B817" s="27">
        <f>IFERROR(IF(A817="","",VLOOKUP(A817,DATABASE!$A:$B,2,0)),"")</f>
        <v/>
      </c>
      <c r="C817" s="20">
        <f>IFERROR(IF(A817="","",VLOOKUP(A817,DATABASE!$A:$J,10,0)),"")</f>
        <v/>
      </c>
      <c r="D817" s="28">
        <f>IF(A817="","",TODAY())</f>
        <v/>
      </c>
      <c r="E817" s="29" t="n"/>
      <c r="F817" s="20">
        <f>IFERROR(IF(OR(A817="",E817=""),"",C817-E817),"")</f>
        <v/>
      </c>
      <c r="G817" s="30" t="n"/>
      <c r="H817" s="27" t="n"/>
    </row>
    <row r="818" ht="20" customHeight="1">
      <c r="A818" s="26" t="n"/>
      <c r="B818" s="35">
        <f>IFERROR(IF(A818="","",VLOOKUP(A818,DATABASE!$A:$B,2,0)),"")</f>
        <v/>
      </c>
      <c r="C818" s="36">
        <f>IFERROR(IF(A818="","",VLOOKUP(A818,DATABASE!$A:$J,10,0)),"")</f>
        <v/>
      </c>
      <c r="D818" s="37">
        <f>IF(A818="","",TODAY())</f>
        <v/>
      </c>
      <c r="E818" s="29" t="n"/>
      <c r="F818" s="36">
        <f>IFERROR(IF(OR(A818="",E818=""),"",C818-E818),"")</f>
        <v/>
      </c>
      <c r="G818" s="30" t="n"/>
      <c r="H818" s="35" t="n"/>
    </row>
    <row r="819" ht="20" customHeight="1">
      <c r="A819" s="26" t="n"/>
      <c r="B819" s="27">
        <f>IFERROR(IF(A819="","",VLOOKUP(A819,DATABASE!$A:$B,2,0)),"")</f>
        <v/>
      </c>
      <c r="C819" s="20">
        <f>IFERROR(IF(A819="","",VLOOKUP(A819,DATABASE!$A:$J,10,0)),"")</f>
        <v/>
      </c>
      <c r="D819" s="28">
        <f>IF(A819="","",TODAY())</f>
        <v/>
      </c>
      <c r="E819" s="29" t="n"/>
      <c r="F819" s="20">
        <f>IFERROR(IF(OR(A819="",E819=""),"",C819-E819),"")</f>
        <v/>
      </c>
      <c r="G819" s="30" t="n"/>
      <c r="H819" s="27" t="n"/>
    </row>
    <row r="820" ht="20" customHeight="1">
      <c r="A820" s="26" t="n"/>
      <c r="B820" s="35">
        <f>IFERROR(IF(A820="","",VLOOKUP(A820,DATABASE!$A:$B,2,0)),"")</f>
        <v/>
      </c>
      <c r="C820" s="36">
        <f>IFERROR(IF(A820="","",VLOOKUP(A820,DATABASE!$A:$J,10,0)),"")</f>
        <v/>
      </c>
      <c r="D820" s="37">
        <f>IF(A820="","",TODAY())</f>
        <v/>
      </c>
      <c r="E820" s="29" t="n"/>
      <c r="F820" s="36">
        <f>IFERROR(IF(OR(A820="",E820=""),"",C820-E820),"")</f>
        <v/>
      </c>
      <c r="G820" s="30" t="n"/>
      <c r="H820" s="35" t="n"/>
    </row>
    <row r="821" ht="20" customHeight="1">
      <c r="A821" s="26" t="n"/>
      <c r="B821" s="27">
        <f>IFERROR(IF(A821="","",VLOOKUP(A821,DATABASE!$A:$B,2,0)),"")</f>
        <v/>
      </c>
      <c r="C821" s="20">
        <f>IFERROR(IF(A821="","",VLOOKUP(A821,DATABASE!$A:$J,10,0)),"")</f>
        <v/>
      </c>
      <c r="D821" s="28">
        <f>IF(A821="","",TODAY())</f>
        <v/>
      </c>
      <c r="E821" s="29" t="n"/>
      <c r="F821" s="20">
        <f>IFERROR(IF(OR(A821="",E821=""),"",C821-E821),"")</f>
        <v/>
      </c>
      <c r="G821" s="30" t="n"/>
      <c r="H821" s="27" t="n"/>
    </row>
    <row r="822" ht="20" customHeight="1">
      <c r="A822" s="26" t="n"/>
      <c r="B822" s="35">
        <f>IFERROR(IF(A822="","",VLOOKUP(A822,DATABASE!$A:$B,2,0)),"")</f>
        <v/>
      </c>
      <c r="C822" s="36">
        <f>IFERROR(IF(A822="","",VLOOKUP(A822,DATABASE!$A:$J,10,0)),"")</f>
        <v/>
      </c>
      <c r="D822" s="37">
        <f>IF(A822="","",TODAY())</f>
        <v/>
      </c>
      <c r="E822" s="29" t="n"/>
      <c r="F822" s="36">
        <f>IFERROR(IF(OR(A822="",E822=""),"",C822-E822),"")</f>
        <v/>
      </c>
      <c r="G822" s="30" t="n"/>
      <c r="H822" s="35" t="n"/>
    </row>
    <row r="823" ht="20" customHeight="1">
      <c r="A823" s="26" t="n"/>
      <c r="B823" s="27">
        <f>IFERROR(IF(A823="","",VLOOKUP(A823,DATABASE!$A:$B,2,0)),"")</f>
        <v/>
      </c>
      <c r="C823" s="20">
        <f>IFERROR(IF(A823="","",VLOOKUP(A823,DATABASE!$A:$J,10,0)),"")</f>
        <v/>
      </c>
      <c r="D823" s="28">
        <f>IF(A823="","",TODAY())</f>
        <v/>
      </c>
      <c r="E823" s="29" t="n"/>
      <c r="F823" s="20">
        <f>IFERROR(IF(OR(A823="",E823=""),"",C823-E823),"")</f>
        <v/>
      </c>
      <c r="G823" s="30" t="n"/>
      <c r="H823" s="27" t="n"/>
    </row>
    <row r="824" ht="20" customHeight="1">
      <c r="A824" s="26" t="n"/>
      <c r="B824" s="35">
        <f>IFERROR(IF(A824="","",VLOOKUP(A824,DATABASE!$A:$B,2,0)),"")</f>
        <v/>
      </c>
      <c r="C824" s="36">
        <f>IFERROR(IF(A824="","",VLOOKUP(A824,DATABASE!$A:$J,10,0)),"")</f>
        <v/>
      </c>
      <c r="D824" s="37">
        <f>IF(A824="","",TODAY())</f>
        <v/>
      </c>
      <c r="E824" s="29" t="n"/>
      <c r="F824" s="36">
        <f>IFERROR(IF(OR(A824="",E824=""),"",C824-E824),"")</f>
        <v/>
      </c>
      <c r="G824" s="30" t="n"/>
      <c r="H824" s="35" t="n"/>
    </row>
    <row r="825" ht="20" customHeight="1">
      <c r="A825" s="26" t="n"/>
      <c r="B825" s="27">
        <f>IFERROR(IF(A825="","",VLOOKUP(A825,DATABASE!$A:$B,2,0)),"")</f>
        <v/>
      </c>
      <c r="C825" s="20">
        <f>IFERROR(IF(A825="","",VLOOKUP(A825,DATABASE!$A:$J,10,0)),"")</f>
        <v/>
      </c>
      <c r="D825" s="28">
        <f>IF(A825="","",TODAY())</f>
        <v/>
      </c>
      <c r="E825" s="29" t="n"/>
      <c r="F825" s="20">
        <f>IFERROR(IF(OR(A825="",E825=""),"",C825-E825),"")</f>
        <v/>
      </c>
      <c r="G825" s="30" t="n"/>
      <c r="H825" s="27" t="n"/>
    </row>
    <row r="826" ht="20" customHeight="1">
      <c r="A826" s="26" t="n"/>
      <c r="B826" s="35">
        <f>IFERROR(IF(A826="","",VLOOKUP(A826,DATABASE!$A:$B,2,0)),"")</f>
        <v/>
      </c>
      <c r="C826" s="36">
        <f>IFERROR(IF(A826="","",VLOOKUP(A826,DATABASE!$A:$J,10,0)),"")</f>
        <v/>
      </c>
      <c r="D826" s="37">
        <f>IF(A826="","",TODAY())</f>
        <v/>
      </c>
      <c r="E826" s="29" t="n"/>
      <c r="F826" s="36">
        <f>IFERROR(IF(OR(A826="",E826=""),"",C826-E826),"")</f>
        <v/>
      </c>
      <c r="G826" s="30" t="n"/>
      <c r="H826" s="35" t="n"/>
    </row>
    <row r="827" ht="20" customHeight="1">
      <c r="A827" s="26" t="n"/>
      <c r="B827" s="27">
        <f>IFERROR(IF(A827="","",VLOOKUP(A827,DATABASE!$A:$B,2,0)),"")</f>
        <v/>
      </c>
      <c r="C827" s="20">
        <f>IFERROR(IF(A827="","",VLOOKUP(A827,DATABASE!$A:$J,10,0)),"")</f>
        <v/>
      </c>
      <c r="D827" s="28">
        <f>IF(A827="","",TODAY())</f>
        <v/>
      </c>
      <c r="E827" s="29" t="n"/>
      <c r="F827" s="20">
        <f>IFERROR(IF(OR(A827="",E827=""),"",C827-E827),"")</f>
        <v/>
      </c>
      <c r="G827" s="30" t="n"/>
      <c r="H827" s="27" t="n"/>
    </row>
    <row r="828" ht="20" customHeight="1">
      <c r="A828" s="26" t="n"/>
      <c r="B828" s="35">
        <f>IFERROR(IF(A828="","",VLOOKUP(A828,DATABASE!$A:$B,2,0)),"")</f>
        <v/>
      </c>
      <c r="C828" s="36">
        <f>IFERROR(IF(A828="","",VLOOKUP(A828,DATABASE!$A:$J,10,0)),"")</f>
        <v/>
      </c>
      <c r="D828" s="37">
        <f>IF(A828="","",TODAY())</f>
        <v/>
      </c>
      <c r="E828" s="29" t="n"/>
      <c r="F828" s="36">
        <f>IFERROR(IF(OR(A828="",E828=""),"",C828-E828),"")</f>
        <v/>
      </c>
      <c r="G828" s="30" t="n"/>
      <c r="H828" s="35" t="n"/>
    </row>
    <row r="829" ht="20" customHeight="1">
      <c r="A829" s="26" t="n"/>
      <c r="B829" s="27">
        <f>IFERROR(IF(A829="","",VLOOKUP(A829,DATABASE!$A:$B,2,0)),"")</f>
        <v/>
      </c>
      <c r="C829" s="20">
        <f>IFERROR(IF(A829="","",VLOOKUP(A829,DATABASE!$A:$J,10,0)),"")</f>
        <v/>
      </c>
      <c r="D829" s="28">
        <f>IF(A829="","",TODAY())</f>
        <v/>
      </c>
      <c r="E829" s="29" t="n"/>
      <c r="F829" s="20">
        <f>IFERROR(IF(OR(A829="",E829=""),"",C829-E829),"")</f>
        <v/>
      </c>
      <c r="G829" s="30" t="n"/>
      <c r="H829" s="27" t="n"/>
    </row>
    <row r="830" ht="20" customHeight="1">
      <c r="A830" s="26" t="n"/>
      <c r="B830" s="35">
        <f>IFERROR(IF(A830="","",VLOOKUP(A830,DATABASE!$A:$B,2,0)),"")</f>
        <v/>
      </c>
      <c r="C830" s="36">
        <f>IFERROR(IF(A830="","",VLOOKUP(A830,DATABASE!$A:$J,10,0)),"")</f>
        <v/>
      </c>
      <c r="D830" s="37">
        <f>IF(A830="","",TODAY())</f>
        <v/>
      </c>
      <c r="E830" s="29" t="n"/>
      <c r="F830" s="36">
        <f>IFERROR(IF(OR(A830="",E830=""),"",C830-E830),"")</f>
        <v/>
      </c>
      <c r="G830" s="30" t="n"/>
      <c r="H830" s="35" t="n"/>
    </row>
    <row r="831" ht="20" customHeight="1">
      <c r="A831" s="26" t="n"/>
      <c r="B831" s="27">
        <f>IFERROR(IF(A831="","",VLOOKUP(A831,DATABASE!$A:$B,2,0)),"")</f>
        <v/>
      </c>
      <c r="C831" s="20">
        <f>IFERROR(IF(A831="","",VLOOKUP(A831,DATABASE!$A:$J,10,0)),"")</f>
        <v/>
      </c>
      <c r="D831" s="28">
        <f>IF(A831="","",TODAY())</f>
        <v/>
      </c>
      <c r="E831" s="29" t="n"/>
      <c r="F831" s="20">
        <f>IFERROR(IF(OR(A831="",E831=""),"",C831-E831),"")</f>
        <v/>
      </c>
      <c r="G831" s="30" t="n"/>
      <c r="H831" s="27" t="n"/>
    </row>
    <row r="832" ht="20" customHeight="1">
      <c r="A832" s="26" t="n"/>
      <c r="B832" s="35">
        <f>IFERROR(IF(A832="","",VLOOKUP(A832,DATABASE!$A:$B,2,0)),"")</f>
        <v/>
      </c>
      <c r="C832" s="36">
        <f>IFERROR(IF(A832="","",VLOOKUP(A832,DATABASE!$A:$J,10,0)),"")</f>
        <v/>
      </c>
      <c r="D832" s="37">
        <f>IF(A832="","",TODAY())</f>
        <v/>
      </c>
      <c r="E832" s="29" t="n"/>
      <c r="F832" s="36">
        <f>IFERROR(IF(OR(A832="",E832=""),"",C832-E832),"")</f>
        <v/>
      </c>
      <c r="G832" s="30" t="n"/>
      <c r="H832" s="35" t="n"/>
    </row>
    <row r="833" ht="20" customHeight="1">
      <c r="A833" s="26" t="n"/>
      <c r="B833" s="27">
        <f>IFERROR(IF(A833="","",VLOOKUP(A833,DATABASE!$A:$B,2,0)),"")</f>
        <v/>
      </c>
      <c r="C833" s="20">
        <f>IFERROR(IF(A833="","",VLOOKUP(A833,DATABASE!$A:$J,10,0)),"")</f>
        <v/>
      </c>
      <c r="D833" s="28">
        <f>IF(A833="","",TODAY())</f>
        <v/>
      </c>
      <c r="E833" s="29" t="n"/>
      <c r="F833" s="20">
        <f>IFERROR(IF(OR(A833="",E833=""),"",C833-E833),"")</f>
        <v/>
      </c>
      <c r="G833" s="30" t="n"/>
      <c r="H833" s="27" t="n"/>
    </row>
    <row r="834" ht="20" customHeight="1">
      <c r="A834" s="26" t="n"/>
      <c r="B834" s="35">
        <f>IFERROR(IF(A834="","",VLOOKUP(A834,DATABASE!$A:$B,2,0)),"")</f>
        <v/>
      </c>
      <c r="C834" s="36">
        <f>IFERROR(IF(A834="","",VLOOKUP(A834,DATABASE!$A:$J,10,0)),"")</f>
        <v/>
      </c>
      <c r="D834" s="37">
        <f>IF(A834="","",TODAY())</f>
        <v/>
      </c>
      <c r="E834" s="29" t="n"/>
      <c r="F834" s="36">
        <f>IFERROR(IF(OR(A834="",E834=""),"",C834-E834),"")</f>
        <v/>
      </c>
      <c r="G834" s="30" t="n"/>
      <c r="H834" s="35" t="n"/>
    </row>
    <row r="835" ht="20" customHeight="1">
      <c r="A835" s="26" t="n"/>
      <c r="B835" s="27">
        <f>IFERROR(IF(A835="","",VLOOKUP(A835,DATABASE!$A:$B,2,0)),"")</f>
        <v/>
      </c>
      <c r="C835" s="20">
        <f>IFERROR(IF(A835="","",VLOOKUP(A835,DATABASE!$A:$J,10,0)),"")</f>
        <v/>
      </c>
      <c r="D835" s="28">
        <f>IF(A835="","",TODAY())</f>
        <v/>
      </c>
      <c r="E835" s="29" t="n"/>
      <c r="F835" s="20">
        <f>IFERROR(IF(OR(A835="",E835=""),"",C835-E835),"")</f>
        <v/>
      </c>
      <c r="G835" s="30" t="n"/>
      <c r="H835" s="27" t="n"/>
    </row>
    <row r="836" ht="20" customHeight="1">
      <c r="A836" s="26" t="n"/>
      <c r="B836" s="35">
        <f>IFERROR(IF(A836="","",VLOOKUP(A836,DATABASE!$A:$B,2,0)),"")</f>
        <v/>
      </c>
      <c r="C836" s="36">
        <f>IFERROR(IF(A836="","",VLOOKUP(A836,DATABASE!$A:$J,10,0)),"")</f>
        <v/>
      </c>
      <c r="D836" s="37">
        <f>IF(A836="","",TODAY())</f>
        <v/>
      </c>
      <c r="E836" s="29" t="n"/>
      <c r="F836" s="36">
        <f>IFERROR(IF(OR(A836="",E836=""),"",C836-E836),"")</f>
        <v/>
      </c>
      <c r="G836" s="30" t="n"/>
      <c r="H836" s="35" t="n"/>
    </row>
    <row r="837" ht="20" customHeight="1">
      <c r="A837" s="26" t="n"/>
      <c r="B837" s="27">
        <f>IFERROR(IF(A837="","",VLOOKUP(A837,DATABASE!$A:$B,2,0)),"")</f>
        <v/>
      </c>
      <c r="C837" s="20">
        <f>IFERROR(IF(A837="","",VLOOKUP(A837,DATABASE!$A:$J,10,0)),"")</f>
        <v/>
      </c>
      <c r="D837" s="28">
        <f>IF(A837="","",TODAY())</f>
        <v/>
      </c>
      <c r="E837" s="29" t="n"/>
      <c r="F837" s="20">
        <f>IFERROR(IF(OR(A837="",E837=""),"",C837-E837),"")</f>
        <v/>
      </c>
      <c r="G837" s="30" t="n"/>
      <c r="H837" s="27" t="n"/>
    </row>
    <row r="838" ht="20" customHeight="1">
      <c r="A838" s="26" t="n"/>
      <c r="B838" s="35">
        <f>IFERROR(IF(A838="","",VLOOKUP(A838,DATABASE!$A:$B,2,0)),"")</f>
        <v/>
      </c>
      <c r="C838" s="36">
        <f>IFERROR(IF(A838="","",VLOOKUP(A838,DATABASE!$A:$J,10,0)),"")</f>
        <v/>
      </c>
      <c r="D838" s="37">
        <f>IF(A838="","",TODAY())</f>
        <v/>
      </c>
      <c r="E838" s="29" t="n"/>
      <c r="F838" s="36">
        <f>IFERROR(IF(OR(A838="",E838=""),"",C838-E838),"")</f>
        <v/>
      </c>
      <c r="G838" s="30" t="n"/>
      <c r="H838" s="35" t="n"/>
    </row>
    <row r="839" ht="20" customHeight="1">
      <c r="A839" s="26" t="n"/>
      <c r="B839" s="27">
        <f>IFERROR(IF(A839="","",VLOOKUP(A839,DATABASE!$A:$B,2,0)),"")</f>
        <v/>
      </c>
      <c r="C839" s="20">
        <f>IFERROR(IF(A839="","",VLOOKUP(A839,DATABASE!$A:$J,10,0)),"")</f>
        <v/>
      </c>
      <c r="D839" s="28">
        <f>IF(A839="","",TODAY())</f>
        <v/>
      </c>
      <c r="E839" s="29" t="n"/>
      <c r="F839" s="20">
        <f>IFERROR(IF(OR(A839="",E839=""),"",C839-E839),"")</f>
        <v/>
      </c>
      <c r="G839" s="30" t="n"/>
      <c r="H839" s="27" t="n"/>
    </row>
    <row r="840" ht="20" customHeight="1">
      <c r="A840" s="26" t="n"/>
      <c r="B840" s="35">
        <f>IFERROR(IF(A840="","",VLOOKUP(A840,DATABASE!$A:$B,2,0)),"")</f>
        <v/>
      </c>
      <c r="C840" s="36">
        <f>IFERROR(IF(A840="","",VLOOKUP(A840,DATABASE!$A:$J,10,0)),"")</f>
        <v/>
      </c>
      <c r="D840" s="37">
        <f>IF(A840="","",TODAY())</f>
        <v/>
      </c>
      <c r="E840" s="29" t="n"/>
      <c r="F840" s="36">
        <f>IFERROR(IF(OR(A840="",E840=""),"",C840-E840),"")</f>
        <v/>
      </c>
      <c r="G840" s="30" t="n"/>
      <c r="H840" s="35" t="n"/>
    </row>
    <row r="841" ht="20" customHeight="1">
      <c r="A841" s="26" t="n"/>
      <c r="B841" s="27">
        <f>IFERROR(IF(A841="","",VLOOKUP(A841,DATABASE!$A:$B,2,0)),"")</f>
        <v/>
      </c>
      <c r="C841" s="20">
        <f>IFERROR(IF(A841="","",VLOOKUP(A841,DATABASE!$A:$J,10,0)),"")</f>
        <v/>
      </c>
      <c r="D841" s="28">
        <f>IF(A841="","",TODAY())</f>
        <v/>
      </c>
      <c r="E841" s="29" t="n"/>
      <c r="F841" s="20">
        <f>IFERROR(IF(OR(A841="",E841=""),"",C841-E841),"")</f>
        <v/>
      </c>
      <c r="G841" s="30" t="n"/>
      <c r="H841" s="27" t="n"/>
    </row>
    <row r="842" ht="20" customHeight="1">
      <c r="A842" s="26" t="n"/>
      <c r="B842" s="35">
        <f>IFERROR(IF(A842="","",VLOOKUP(A842,DATABASE!$A:$B,2,0)),"")</f>
        <v/>
      </c>
      <c r="C842" s="36">
        <f>IFERROR(IF(A842="","",VLOOKUP(A842,DATABASE!$A:$J,10,0)),"")</f>
        <v/>
      </c>
      <c r="D842" s="37">
        <f>IF(A842="","",TODAY())</f>
        <v/>
      </c>
      <c r="E842" s="29" t="n"/>
      <c r="F842" s="36">
        <f>IFERROR(IF(OR(A842="",E842=""),"",C842-E842),"")</f>
        <v/>
      </c>
      <c r="G842" s="30" t="n"/>
      <c r="H842" s="35" t="n"/>
    </row>
    <row r="843" ht="20" customHeight="1">
      <c r="A843" s="26" t="n"/>
      <c r="B843" s="27">
        <f>IFERROR(IF(A843="","",VLOOKUP(A843,DATABASE!$A:$B,2,0)),"")</f>
        <v/>
      </c>
      <c r="C843" s="20">
        <f>IFERROR(IF(A843="","",VLOOKUP(A843,DATABASE!$A:$J,10,0)),"")</f>
        <v/>
      </c>
      <c r="D843" s="28">
        <f>IF(A843="","",TODAY())</f>
        <v/>
      </c>
      <c r="E843" s="29" t="n"/>
      <c r="F843" s="20">
        <f>IFERROR(IF(OR(A843="",E843=""),"",C843-E843),"")</f>
        <v/>
      </c>
      <c r="G843" s="30" t="n"/>
      <c r="H843" s="27" t="n"/>
    </row>
    <row r="844" ht="20" customHeight="1">
      <c r="A844" s="26" t="n"/>
      <c r="B844" s="35">
        <f>IFERROR(IF(A844="","",VLOOKUP(A844,DATABASE!$A:$B,2,0)),"")</f>
        <v/>
      </c>
      <c r="C844" s="36">
        <f>IFERROR(IF(A844="","",VLOOKUP(A844,DATABASE!$A:$J,10,0)),"")</f>
        <v/>
      </c>
      <c r="D844" s="37">
        <f>IF(A844="","",TODAY())</f>
        <v/>
      </c>
      <c r="E844" s="29" t="n"/>
      <c r="F844" s="36">
        <f>IFERROR(IF(OR(A844="",E844=""),"",C844-E844),"")</f>
        <v/>
      </c>
      <c r="G844" s="30" t="n"/>
      <c r="H844" s="35" t="n"/>
    </row>
    <row r="845" ht="20" customHeight="1">
      <c r="A845" s="26" t="n"/>
      <c r="B845" s="27">
        <f>IFERROR(IF(A845="","",VLOOKUP(A845,DATABASE!$A:$B,2,0)),"")</f>
        <v/>
      </c>
      <c r="C845" s="20">
        <f>IFERROR(IF(A845="","",VLOOKUP(A845,DATABASE!$A:$J,10,0)),"")</f>
        <v/>
      </c>
      <c r="D845" s="28">
        <f>IF(A845="","",TODAY())</f>
        <v/>
      </c>
      <c r="E845" s="29" t="n"/>
      <c r="F845" s="20">
        <f>IFERROR(IF(OR(A845="",E845=""),"",C845-E845),"")</f>
        <v/>
      </c>
      <c r="G845" s="30" t="n"/>
      <c r="H845" s="27" t="n"/>
    </row>
    <row r="846" ht="20" customHeight="1">
      <c r="A846" s="26" t="n"/>
      <c r="B846" s="35">
        <f>IFERROR(IF(A846="","",VLOOKUP(A846,DATABASE!$A:$B,2,0)),"")</f>
        <v/>
      </c>
      <c r="C846" s="36">
        <f>IFERROR(IF(A846="","",VLOOKUP(A846,DATABASE!$A:$J,10,0)),"")</f>
        <v/>
      </c>
      <c r="D846" s="37">
        <f>IF(A846="","",TODAY())</f>
        <v/>
      </c>
      <c r="E846" s="29" t="n"/>
      <c r="F846" s="36">
        <f>IFERROR(IF(OR(A846="",E846=""),"",C846-E846),"")</f>
        <v/>
      </c>
      <c r="G846" s="30" t="n"/>
      <c r="H846" s="35" t="n"/>
    </row>
    <row r="847" ht="20" customHeight="1">
      <c r="A847" s="26" t="n"/>
      <c r="B847" s="27">
        <f>IFERROR(IF(A847="","",VLOOKUP(A847,DATABASE!$A:$B,2,0)),"")</f>
        <v/>
      </c>
      <c r="C847" s="20">
        <f>IFERROR(IF(A847="","",VLOOKUP(A847,DATABASE!$A:$J,10,0)),"")</f>
        <v/>
      </c>
      <c r="D847" s="28">
        <f>IF(A847="","",TODAY())</f>
        <v/>
      </c>
      <c r="E847" s="29" t="n"/>
      <c r="F847" s="20">
        <f>IFERROR(IF(OR(A847="",E847=""),"",C847-E847),"")</f>
        <v/>
      </c>
      <c r="G847" s="30" t="n"/>
      <c r="H847" s="27" t="n"/>
    </row>
    <row r="848" ht="20" customHeight="1">
      <c r="A848" s="26" t="n"/>
      <c r="B848" s="35">
        <f>IFERROR(IF(A848="","",VLOOKUP(A848,DATABASE!$A:$B,2,0)),"")</f>
        <v/>
      </c>
      <c r="C848" s="36">
        <f>IFERROR(IF(A848="","",VLOOKUP(A848,DATABASE!$A:$J,10,0)),"")</f>
        <v/>
      </c>
      <c r="D848" s="37">
        <f>IF(A848="","",TODAY())</f>
        <v/>
      </c>
      <c r="E848" s="29" t="n"/>
      <c r="F848" s="36">
        <f>IFERROR(IF(OR(A848="",E848=""),"",C848-E848),"")</f>
        <v/>
      </c>
      <c r="G848" s="30" t="n"/>
      <c r="H848" s="35" t="n"/>
    </row>
    <row r="849" ht="20" customHeight="1">
      <c r="A849" s="26" t="n"/>
      <c r="B849" s="27">
        <f>IFERROR(IF(A849="","",VLOOKUP(A849,DATABASE!$A:$B,2,0)),"")</f>
        <v/>
      </c>
      <c r="C849" s="20">
        <f>IFERROR(IF(A849="","",VLOOKUP(A849,DATABASE!$A:$J,10,0)),"")</f>
        <v/>
      </c>
      <c r="D849" s="28">
        <f>IF(A849="","",TODAY())</f>
        <v/>
      </c>
      <c r="E849" s="29" t="n"/>
      <c r="F849" s="20">
        <f>IFERROR(IF(OR(A849="",E849=""),"",C849-E849),"")</f>
        <v/>
      </c>
      <c r="G849" s="30" t="n"/>
      <c r="H849" s="27" t="n"/>
    </row>
    <row r="850" ht="20" customHeight="1">
      <c r="A850" s="26" t="n"/>
      <c r="B850" s="35">
        <f>IFERROR(IF(A850="","",VLOOKUP(A850,DATABASE!$A:$B,2,0)),"")</f>
        <v/>
      </c>
      <c r="C850" s="36">
        <f>IFERROR(IF(A850="","",VLOOKUP(A850,DATABASE!$A:$J,10,0)),"")</f>
        <v/>
      </c>
      <c r="D850" s="37">
        <f>IF(A850="","",TODAY())</f>
        <v/>
      </c>
      <c r="E850" s="29" t="n"/>
      <c r="F850" s="36">
        <f>IFERROR(IF(OR(A850="",E850=""),"",C850-E850),"")</f>
        <v/>
      </c>
      <c r="G850" s="30" t="n"/>
      <c r="H850" s="35" t="n"/>
    </row>
    <row r="851" ht="20" customHeight="1">
      <c r="A851" s="26" t="n"/>
      <c r="B851" s="27">
        <f>IFERROR(IF(A851="","",VLOOKUP(A851,DATABASE!$A:$B,2,0)),"")</f>
        <v/>
      </c>
      <c r="C851" s="20">
        <f>IFERROR(IF(A851="","",VLOOKUP(A851,DATABASE!$A:$J,10,0)),"")</f>
        <v/>
      </c>
      <c r="D851" s="28">
        <f>IF(A851="","",TODAY())</f>
        <v/>
      </c>
      <c r="E851" s="29" t="n"/>
      <c r="F851" s="20">
        <f>IFERROR(IF(OR(A851="",E851=""),"",C851-E851),"")</f>
        <v/>
      </c>
      <c r="G851" s="30" t="n"/>
      <c r="H851" s="27" t="n"/>
    </row>
    <row r="852" ht="20" customHeight="1">
      <c r="A852" s="26" t="n"/>
      <c r="B852" s="35">
        <f>IFERROR(IF(A852="","",VLOOKUP(A852,DATABASE!$A:$B,2,0)),"")</f>
        <v/>
      </c>
      <c r="C852" s="36">
        <f>IFERROR(IF(A852="","",VLOOKUP(A852,DATABASE!$A:$J,10,0)),"")</f>
        <v/>
      </c>
      <c r="D852" s="37">
        <f>IF(A852="","",TODAY())</f>
        <v/>
      </c>
      <c r="E852" s="29" t="n"/>
      <c r="F852" s="36">
        <f>IFERROR(IF(OR(A852="",E852=""),"",C852-E852),"")</f>
        <v/>
      </c>
      <c r="G852" s="30" t="n"/>
      <c r="H852" s="35" t="n"/>
    </row>
    <row r="853" ht="20" customHeight="1">
      <c r="A853" s="26" t="n"/>
      <c r="B853" s="27">
        <f>IFERROR(IF(A853="","",VLOOKUP(A853,DATABASE!$A:$B,2,0)),"")</f>
        <v/>
      </c>
      <c r="C853" s="20">
        <f>IFERROR(IF(A853="","",VLOOKUP(A853,DATABASE!$A:$J,10,0)),"")</f>
        <v/>
      </c>
      <c r="D853" s="28">
        <f>IF(A853="","",TODAY())</f>
        <v/>
      </c>
      <c r="E853" s="29" t="n"/>
      <c r="F853" s="20">
        <f>IFERROR(IF(OR(A853="",E853=""),"",C853-E853),"")</f>
        <v/>
      </c>
      <c r="G853" s="30" t="n"/>
      <c r="H853" s="27" t="n"/>
    </row>
    <row r="854" ht="20" customHeight="1">
      <c r="A854" s="26" t="n"/>
      <c r="B854" s="35">
        <f>IFERROR(IF(A854="","",VLOOKUP(A854,DATABASE!$A:$B,2,0)),"")</f>
        <v/>
      </c>
      <c r="C854" s="36">
        <f>IFERROR(IF(A854="","",VLOOKUP(A854,DATABASE!$A:$J,10,0)),"")</f>
        <v/>
      </c>
      <c r="D854" s="37">
        <f>IF(A854="","",TODAY())</f>
        <v/>
      </c>
      <c r="E854" s="29" t="n"/>
      <c r="F854" s="36">
        <f>IFERROR(IF(OR(A854="",E854=""),"",C854-E854),"")</f>
        <v/>
      </c>
      <c r="G854" s="30" t="n"/>
      <c r="H854" s="35" t="n"/>
    </row>
    <row r="855" ht="20" customHeight="1">
      <c r="A855" s="26" t="n"/>
      <c r="B855" s="27">
        <f>IFERROR(IF(A855="","",VLOOKUP(A855,DATABASE!$A:$B,2,0)),"")</f>
        <v/>
      </c>
      <c r="C855" s="20">
        <f>IFERROR(IF(A855="","",VLOOKUP(A855,DATABASE!$A:$J,10,0)),"")</f>
        <v/>
      </c>
      <c r="D855" s="28">
        <f>IF(A855="","",TODAY())</f>
        <v/>
      </c>
      <c r="E855" s="29" t="n"/>
      <c r="F855" s="20">
        <f>IFERROR(IF(OR(A855="",E855=""),"",C855-E855),"")</f>
        <v/>
      </c>
      <c r="G855" s="30" t="n"/>
      <c r="H855" s="27" t="n"/>
    </row>
    <row r="856" ht="20" customHeight="1">
      <c r="A856" s="26" t="n"/>
      <c r="B856" s="35">
        <f>IFERROR(IF(A856="","",VLOOKUP(A856,DATABASE!$A:$B,2,0)),"")</f>
        <v/>
      </c>
      <c r="C856" s="36">
        <f>IFERROR(IF(A856="","",VLOOKUP(A856,DATABASE!$A:$J,10,0)),"")</f>
        <v/>
      </c>
      <c r="D856" s="37">
        <f>IF(A856="","",TODAY())</f>
        <v/>
      </c>
      <c r="E856" s="29" t="n"/>
      <c r="F856" s="36">
        <f>IFERROR(IF(OR(A856="",E856=""),"",C856-E856),"")</f>
        <v/>
      </c>
      <c r="G856" s="30" t="n"/>
      <c r="H856" s="35" t="n"/>
    </row>
    <row r="857" ht="20" customHeight="1">
      <c r="A857" s="26" t="n"/>
      <c r="B857" s="27">
        <f>IFERROR(IF(A857="","",VLOOKUP(A857,DATABASE!$A:$B,2,0)),"")</f>
        <v/>
      </c>
      <c r="C857" s="20">
        <f>IFERROR(IF(A857="","",VLOOKUP(A857,DATABASE!$A:$J,10,0)),"")</f>
        <v/>
      </c>
      <c r="D857" s="28">
        <f>IF(A857="","",TODAY())</f>
        <v/>
      </c>
      <c r="E857" s="29" t="n"/>
      <c r="F857" s="20">
        <f>IFERROR(IF(OR(A857="",E857=""),"",C857-E857),"")</f>
        <v/>
      </c>
      <c r="G857" s="30" t="n"/>
      <c r="H857" s="27" t="n"/>
    </row>
    <row r="858" ht="20" customHeight="1">
      <c r="A858" s="26" t="n"/>
      <c r="B858" s="35">
        <f>IFERROR(IF(A858="","",VLOOKUP(A858,DATABASE!$A:$B,2,0)),"")</f>
        <v/>
      </c>
      <c r="C858" s="36">
        <f>IFERROR(IF(A858="","",VLOOKUP(A858,DATABASE!$A:$J,10,0)),"")</f>
        <v/>
      </c>
      <c r="D858" s="37">
        <f>IF(A858="","",TODAY())</f>
        <v/>
      </c>
      <c r="E858" s="29" t="n"/>
      <c r="F858" s="36">
        <f>IFERROR(IF(OR(A858="",E858=""),"",C858-E858),"")</f>
        <v/>
      </c>
      <c r="G858" s="30" t="n"/>
      <c r="H858" s="35" t="n"/>
    </row>
    <row r="859" ht="20" customHeight="1">
      <c r="A859" s="26" t="n"/>
      <c r="B859" s="27">
        <f>IFERROR(IF(A859="","",VLOOKUP(A859,DATABASE!$A:$B,2,0)),"")</f>
        <v/>
      </c>
      <c r="C859" s="20">
        <f>IFERROR(IF(A859="","",VLOOKUP(A859,DATABASE!$A:$J,10,0)),"")</f>
        <v/>
      </c>
      <c r="D859" s="28">
        <f>IF(A859="","",TODAY())</f>
        <v/>
      </c>
      <c r="E859" s="29" t="n"/>
      <c r="F859" s="20">
        <f>IFERROR(IF(OR(A859="",E859=""),"",C859-E859),"")</f>
        <v/>
      </c>
      <c r="G859" s="30" t="n"/>
      <c r="H859" s="27" t="n"/>
    </row>
    <row r="860" ht="20" customHeight="1">
      <c r="A860" s="26" t="n"/>
      <c r="B860" s="35">
        <f>IFERROR(IF(A860="","",VLOOKUP(A860,DATABASE!$A:$B,2,0)),"")</f>
        <v/>
      </c>
      <c r="C860" s="36">
        <f>IFERROR(IF(A860="","",VLOOKUP(A860,DATABASE!$A:$J,10,0)),"")</f>
        <v/>
      </c>
      <c r="D860" s="37">
        <f>IF(A860="","",TODAY())</f>
        <v/>
      </c>
      <c r="E860" s="29" t="n"/>
      <c r="F860" s="36">
        <f>IFERROR(IF(OR(A860="",E860=""),"",C860-E860),"")</f>
        <v/>
      </c>
      <c r="G860" s="30" t="n"/>
      <c r="H860" s="35" t="n"/>
    </row>
    <row r="861" ht="20" customHeight="1">
      <c r="A861" s="26" t="n"/>
      <c r="B861" s="27">
        <f>IFERROR(IF(A861="","",VLOOKUP(A861,DATABASE!$A:$B,2,0)),"")</f>
        <v/>
      </c>
      <c r="C861" s="20">
        <f>IFERROR(IF(A861="","",VLOOKUP(A861,DATABASE!$A:$J,10,0)),"")</f>
        <v/>
      </c>
      <c r="D861" s="28">
        <f>IF(A861="","",TODAY())</f>
        <v/>
      </c>
      <c r="E861" s="29" t="n"/>
      <c r="F861" s="20">
        <f>IFERROR(IF(OR(A861="",E861=""),"",C861-E861),"")</f>
        <v/>
      </c>
      <c r="G861" s="30" t="n"/>
      <c r="H861" s="27" t="n"/>
    </row>
    <row r="862" ht="20" customHeight="1">
      <c r="A862" s="26" t="n"/>
      <c r="B862" s="35">
        <f>IFERROR(IF(A862="","",VLOOKUP(A862,DATABASE!$A:$B,2,0)),"")</f>
        <v/>
      </c>
      <c r="C862" s="36">
        <f>IFERROR(IF(A862="","",VLOOKUP(A862,DATABASE!$A:$J,10,0)),"")</f>
        <v/>
      </c>
      <c r="D862" s="37">
        <f>IF(A862="","",TODAY())</f>
        <v/>
      </c>
      <c r="E862" s="29" t="n"/>
      <c r="F862" s="36">
        <f>IFERROR(IF(OR(A862="",E862=""),"",C862-E862),"")</f>
        <v/>
      </c>
      <c r="G862" s="30" t="n"/>
      <c r="H862" s="35" t="n"/>
    </row>
    <row r="863" ht="20" customHeight="1">
      <c r="A863" s="26" t="n"/>
      <c r="B863" s="27">
        <f>IFERROR(IF(A863="","",VLOOKUP(A863,DATABASE!$A:$B,2,0)),"")</f>
        <v/>
      </c>
      <c r="C863" s="20">
        <f>IFERROR(IF(A863="","",VLOOKUP(A863,DATABASE!$A:$J,10,0)),"")</f>
        <v/>
      </c>
      <c r="D863" s="28">
        <f>IF(A863="","",TODAY())</f>
        <v/>
      </c>
      <c r="E863" s="29" t="n"/>
      <c r="F863" s="20">
        <f>IFERROR(IF(OR(A863="",E863=""),"",C863-E863),"")</f>
        <v/>
      </c>
      <c r="G863" s="30" t="n"/>
      <c r="H863" s="27" t="n"/>
    </row>
    <row r="864" ht="20" customHeight="1">
      <c r="A864" s="26" t="n"/>
      <c r="B864" s="35">
        <f>IFERROR(IF(A864="","",VLOOKUP(A864,DATABASE!$A:$B,2,0)),"")</f>
        <v/>
      </c>
      <c r="C864" s="36">
        <f>IFERROR(IF(A864="","",VLOOKUP(A864,DATABASE!$A:$J,10,0)),"")</f>
        <v/>
      </c>
      <c r="D864" s="37">
        <f>IF(A864="","",TODAY())</f>
        <v/>
      </c>
      <c r="E864" s="29" t="n"/>
      <c r="F864" s="36">
        <f>IFERROR(IF(OR(A864="",E864=""),"",C864-E864),"")</f>
        <v/>
      </c>
      <c r="G864" s="30" t="n"/>
      <c r="H864" s="35" t="n"/>
    </row>
    <row r="865" ht="20" customHeight="1">
      <c r="A865" s="26" t="n"/>
      <c r="B865" s="27">
        <f>IFERROR(IF(A865="","",VLOOKUP(A865,DATABASE!$A:$B,2,0)),"")</f>
        <v/>
      </c>
      <c r="C865" s="20">
        <f>IFERROR(IF(A865="","",VLOOKUP(A865,DATABASE!$A:$J,10,0)),"")</f>
        <v/>
      </c>
      <c r="D865" s="28">
        <f>IF(A865="","",TODAY())</f>
        <v/>
      </c>
      <c r="E865" s="29" t="n"/>
      <c r="F865" s="20">
        <f>IFERROR(IF(OR(A865="",E865=""),"",C865-E865),"")</f>
        <v/>
      </c>
      <c r="G865" s="30" t="n"/>
      <c r="H865" s="27" t="n"/>
    </row>
    <row r="866" ht="20" customHeight="1">
      <c r="A866" s="26" t="n"/>
      <c r="B866" s="35">
        <f>IFERROR(IF(A866="","",VLOOKUP(A866,DATABASE!$A:$B,2,0)),"")</f>
        <v/>
      </c>
      <c r="C866" s="36">
        <f>IFERROR(IF(A866="","",VLOOKUP(A866,DATABASE!$A:$J,10,0)),"")</f>
        <v/>
      </c>
      <c r="D866" s="37">
        <f>IF(A866="","",TODAY())</f>
        <v/>
      </c>
      <c r="E866" s="29" t="n"/>
      <c r="F866" s="36">
        <f>IFERROR(IF(OR(A866="",E866=""),"",C866-E866),"")</f>
        <v/>
      </c>
      <c r="G866" s="30" t="n"/>
      <c r="H866" s="35" t="n"/>
    </row>
    <row r="867" ht="20" customHeight="1">
      <c r="A867" s="26" t="n"/>
      <c r="B867" s="27">
        <f>IFERROR(IF(A867="","",VLOOKUP(A867,DATABASE!$A:$B,2,0)),"")</f>
        <v/>
      </c>
      <c r="C867" s="20">
        <f>IFERROR(IF(A867="","",VLOOKUP(A867,DATABASE!$A:$J,10,0)),"")</f>
        <v/>
      </c>
      <c r="D867" s="28">
        <f>IF(A867="","",TODAY())</f>
        <v/>
      </c>
      <c r="E867" s="29" t="n"/>
      <c r="F867" s="20">
        <f>IFERROR(IF(OR(A867="",E867=""),"",C867-E867),"")</f>
        <v/>
      </c>
      <c r="G867" s="30" t="n"/>
      <c r="H867" s="27" t="n"/>
    </row>
    <row r="868" ht="20" customHeight="1">
      <c r="A868" s="26" t="n"/>
      <c r="B868" s="35">
        <f>IFERROR(IF(A868="","",VLOOKUP(A868,DATABASE!$A:$B,2,0)),"")</f>
        <v/>
      </c>
      <c r="C868" s="36">
        <f>IFERROR(IF(A868="","",VLOOKUP(A868,DATABASE!$A:$J,10,0)),"")</f>
        <v/>
      </c>
      <c r="D868" s="37">
        <f>IF(A868="","",TODAY())</f>
        <v/>
      </c>
      <c r="E868" s="29" t="n"/>
      <c r="F868" s="36">
        <f>IFERROR(IF(OR(A868="",E868=""),"",C868-E868),"")</f>
        <v/>
      </c>
      <c r="G868" s="30" t="n"/>
      <c r="H868" s="35" t="n"/>
    </row>
    <row r="869" ht="20" customHeight="1">
      <c r="A869" s="26" t="n"/>
      <c r="B869" s="27">
        <f>IFERROR(IF(A869="","",VLOOKUP(A869,DATABASE!$A:$B,2,0)),"")</f>
        <v/>
      </c>
      <c r="C869" s="20">
        <f>IFERROR(IF(A869="","",VLOOKUP(A869,DATABASE!$A:$J,10,0)),"")</f>
        <v/>
      </c>
      <c r="D869" s="28">
        <f>IF(A869="","",TODAY())</f>
        <v/>
      </c>
      <c r="E869" s="29" t="n"/>
      <c r="F869" s="20">
        <f>IFERROR(IF(OR(A869="",E869=""),"",C869-E869),"")</f>
        <v/>
      </c>
      <c r="G869" s="30" t="n"/>
      <c r="H869" s="27" t="n"/>
    </row>
    <row r="870" ht="20" customHeight="1">
      <c r="A870" s="26" t="n"/>
      <c r="B870" s="35">
        <f>IFERROR(IF(A870="","",VLOOKUP(A870,DATABASE!$A:$B,2,0)),"")</f>
        <v/>
      </c>
      <c r="C870" s="36">
        <f>IFERROR(IF(A870="","",VLOOKUP(A870,DATABASE!$A:$J,10,0)),"")</f>
        <v/>
      </c>
      <c r="D870" s="37">
        <f>IF(A870="","",TODAY())</f>
        <v/>
      </c>
      <c r="E870" s="29" t="n"/>
      <c r="F870" s="36">
        <f>IFERROR(IF(OR(A870="",E870=""),"",C870-E870),"")</f>
        <v/>
      </c>
      <c r="G870" s="30" t="n"/>
      <c r="H870" s="35" t="n"/>
    </row>
    <row r="871" ht="20" customHeight="1">
      <c r="A871" s="26" t="n"/>
      <c r="B871" s="27">
        <f>IFERROR(IF(A871="","",VLOOKUP(A871,DATABASE!$A:$B,2,0)),"")</f>
        <v/>
      </c>
      <c r="C871" s="20">
        <f>IFERROR(IF(A871="","",VLOOKUP(A871,DATABASE!$A:$J,10,0)),"")</f>
        <v/>
      </c>
      <c r="D871" s="28">
        <f>IF(A871="","",TODAY())</f>
        <v/>
      </c>
      <c r="E871" s="29" t="n"/>
      <c r="F871" s="20">
        <f>IFERROR(IF(OR(A871="",E871=""),"",C871-E871),"")</f>
        <v/>
      </c>
      <c r="G871" s="30" t="n"/>
      <c r="H871" s="27" t="n"/>
    </row>
    <row r="872" ht="20" customHeight="1">
      <c r="A872" s="26" t="n"/>
      <c r="B872" s="35">
        <f>IFERROR(IF(A872="","",VLOOKUP(A872,DATABASE!$A:$B,2,0)),"")</f>
        <v/>
      </c>
      <c r="C872" s="36">
        <f>IFERROR(IF(A872="","",VLOOKUP(A872,DATABASE!$A:$J,10,0)),"")</f>
        <v/>
      </c>
      <c r="D872" s="37">
        <f>IF(A872="","",TODAY())</f>
        <v/>
      </c>
      <c r="E872" s="29" t="n"/>
      <c r="F872" s="36">
        <f>IFERROR(IF(OR(A872="",E872=""),"",C872-E872),"")</f>
        <v/>
      </c>
      <c r="G872" s="30" t="n"/>
      <c r="H872" s="35" t="n"/>
    </row>
    <row r="873" ht="20" customHeight="1">
      <c r="A873" s="26" t="n"/>
      <c r="B873" s="27">
        <f>IFERROR(IF(A873="","",VLOOKUP(A873,DATABASE!$A:$B,2,0)),"")</f>
        <v/>
      </c>
      <c r="C873" s="20">
        <f>IFERROR(IF(A873="","",VLOOKUP(A873,DATABASE!$A:$J,10,0)),"")</f>
        <v/>
      </c>
      <c r="D873" s="28">
        <f>IF(A873="","",TODAY())</f>
        <v/>
      </c>
      <c r="E873" s="29" t="n"/>
      <c r="F873" s="20">
        <f>IFERROR(IF(OR(A873="",E873=""),"",C873-E873),"")</f>
        <v/>
      </c>
      <c r="G873" s="30" t="n"/>
      <c r="H873" s="27" t="n"/>
    </row>
    <row r="874" ht="20" customHeight="1">
      <c r="A874" s="26" t="n"/>
      <c r="B874" s="35">
        <f>IFERROR(IF(A874="","",VLOOKUP(A874,DATABASE!$A:$B,2,0)),"")</f>
        <v/>
      </c>
      <c r="C874" s="36">
        <f>IFERROR(IF(A874="","",VLOOKUP(A874,DATABASE!$A:$J,10,0)),"")</f>
        <v/>
      </c>
      <c r="D874" s="37">
        <f>IF(A874="","",TODAY())</f>
        <v/>
      </c>
      <c r="E874" s="29" t="n"/>
      <c r="F874" s="36">
        <f>IFERROR(IF(OR(A874="",E874=""),"",C874-E874),"")</f>
        <v/>
      </c>
      <c r="G874" s="30" t="n"/>
      <c r="H874" s="35" t="n"/>
    </row>
    <row r="875" ht="20" customHeight="1">
      <c r="A875" s="26" t="n"/>
      <c r="B875" s="27">
        <f>IFERROR(IF(A875="","",VLOOKUP(A875,DATABASE!$A:$B,2,0)),"")</f>
        <v/>
      </c>
      <c r="C875" s="20">
        <f>IFERROR(IF(A875="","",VLOOKUP(A875,DATABASE!$A:$J,10,0)),"")</f>
        <v/>
      </c>
      <c r="D875" s="28">
        <f>IF(A875="","",TODAY())</f>
        <v/>
      </c>
      <c r="E875" s="29" t="n"/>
      <c r="F875" s="20">
        <f>IFERROR(IF(OR(A875="",E875=""),"",C875-E875),"")</f>
        <v/>
      </c>
      <c r="G875" s="30" t="n"/>
      <c r="H875" s="27" t="n"/>
    </row>
    <row r="876" ht="20" customHeight="1">
      <c r="A876" s="26" t="n"/>
      <c r="B876" s="35">
        <f>IFERROR(IF(A876="","",VLOOKUP(A876,DATABASE!$A:$B,2,0)),"")</f>
        <v/>
      </c>
      <c r="C876" s="36">
        <f>IFERROR(IF(A876="","",VLOOKUP(A876,DATABASE!$A:$J,10,0)),"")</f>
        <v/>
      </c>
      <c r="D876" s="37">
        <f>IF(A876="","",TODAY())</f>
        <v/>
      </c>
      <c r="E876" s="29" t="n"/>
      <c r="F876" s="36">
        <f>IFERROR(IF(OR(A876="",E876=""),"",C876-E876),"")</f>
        <v/>
      </c>
      <c r="G876" s="30" t="n"/>
      <c r="H876" s="35" t="n"/>
    </row>
    <row r="877" ht="20" customHeight="1">
      <c r="A877" s="26" t="n"/>
      <c r="B877" s="27">
        <f>IFERROR(IF(A877="","",VLOOKUP(A877,DATABASE!$A:$B,2,0)),"")</f>
        <v/>
      </c>
      <c r="C877" s="20">
        <f>IFERROR(IF(A877="","",VLOOKUP(A877,DATABASE!$A:$J,10,0)),"")</f>
        <v/>
      </c>
      <c r="D877" s="28">
        <f>IF(A877="","",TODAY())</f>
        <v/>
      </c>
      <c r="E877" s="29" t="n"/>
      <c r="F877" s="20">
        <f>IFERROR(IF(OR(A877="",E877=""),"",C877-E877),"")</f>
        <v/>
      </c>
      <c r="G877" s="30" t="n"/>
      <c r="H877" s="27" t="n"/>
    </row>
    <row r="878" ht="20" customHeight="1">
      <c r="A878" s="26" t="n"/>
      <c r="B878" s="35">
        <f>IFERROR(IF(A878="","",VLOOKUP(A878,DATABASE!$A:$B,2,0)),"")</f>
        <v/>
      </c>
      <c r="C878" s="36">
        <f>IFERROR(IF(A878="","",VLOOKUP(A878,DATABASE!$A:$J,10,0)),"")</f>
        <v/>
      </c>
      <c r="D878" s="37">
        <f>IF(A878="","",TODAY())</f>
        <v/>
      </c>
      <c r="E878" s="29" t="n"/>
      <c r="F878" s="36">
        <f>IFERROR(IF(OR(A878="",E878=""),"",C878-E878),"")</f>
        <v/>
      </c>
      <c r="G878" s="30" t="n"/>
      <c r="H878" s="35" t="n"/>
    </row>
    <row r="879" ht="20" customHeight="1">
      <c r="A879" s="26" t="n"/>
      <c r="B879" s="27">
        <f>IFERROR(IF(A879="","",VLOOKUP(A879,DATABASE!$A:$B,2,0)),"")</f>
        <v/>
      </c>
      <c r="C879" s="20">
        <f>IFERROR(IF(A879="","",VLOOKUP(A879,DATABASE!$A:$J,10,0)),"")</f>
        <v/>
      </c>
      <c r="D879" s="28">
        <f>IF(A879="","",TODAY())</f>
        <v/>
      </c>
      <c r="E879" s="29" t="n"/>
      <c r="F879" s="20">
        <f>IFERROR(IF(OR(A879="",E879=""),"",C879-E879),"")</f>
        <v/>
      </c>
      <c r="G879" s="30" t="n"/>
      <c r="H879" s="27" t="n"/>
    </row>
    <row r="880" ht="20" customHeight="1">
      <c r="A880" s="26" t="n"/>
      <c r="B880" s="35">
        <f>IFERROR(IF(A880="","",VLOOKUP(A880,DATABASE!$A:$B,2,0)),"")</f>
        <v/>
      </c>
      <c r="C880" s="36">
        <f>IFERROR(IF(A880="","",VLOOKUP(A880,DATABASE!$A:$J,10,0)),"")</f>
        <v/>
      </c>
      <c r="D880" s="37">
        <f>IF(A880="","",TODAY())</f>
        <v/>
      </c>
      <c r="E880" s="29" t="n"/>
      <c r="F880" s="36">
        <f>IFERROR(IF(OR(A880="",E880=""),"",C880-E880),"")</f>
        <v/>
      </c>
      <c r="G880" s="30" t="n"/>
      <c r="H880" s="35" t="n"/>
    </row>
    <row r="881" ht="20" customHeight="1">
      <c r="A881" s="26" t="n"/>
      <c r="B881" s="27">
        <f>IFERROR(IF(A881="","",VLOOKUP(A881,DATABASE!$A:$B,2,0)),"")</f>
        <v/>
      </c>
      <c r="C881" s="20">
        <f>IFERROR(IF(A881="","",VLOOKUP(A881,DATABASE!$A:$J,10,0)),"")</f>
        <v/>
      </c>
      <c r="D881" s="28">
        <f>IF(A881="","",TODAY())</f>
        <v/>
      </c>
      <c r="E881" s="29" t="n"/>
      <c r="F881" s="20">
        <f>IFERROR(IF(OR(A881="",E881=""),"",C881-E881),"")</f>
        <v/>
      </c>
      <c r="G881" s="30" t="n"/>
      <c r="H881" s="27" t="n"/>
    </row>
    <row r="882" ht="20" customHeight="1">
      <c r="A882" s="26" t="n"/>
      <c r="B882" s="35">
        <f>IFERROR(IF(A882="","",VLOOKUP(A882,DATABASE!$A:$B,2,0)),"")</f>
        <v/>
      </c>
      <c r="C882" s="36">
        <f>IFERROR(IF(A882="","",VLOOKUP(A882,DATABASE!$A:$J,10,0)),"")</f>
        <v/>
      </c>
      <c r="D882" s="37">
        <f>IF(A882="","",TODAY())</f>
        <v/>
      </c>
      <c r="E882" s="29" t="n"/>
      <c r="F882" s="36">
        <f>IFERROR(IF(OR(A882="",E882=""),"",C882-E882),"")</f>
        <v/>
      </c>
      <c r="G882" s="30" t="n"/>
      <c r="H882" s="35" t="n"/>
    </row>
    <row r="883" ht="20" customHeight="1">
      <c r="A883" s="26" t="n"/>
      <c r="B883" s="27">
        <f>IFERROR(IF(A883="","",VLOOKUP(A883,DATABASE!$A:$B,2,0)),"")</f>
        <v/>
      </c>
      <c r="C883" s="20">
        <f>IFERROR(IF(A883="","",VLOOKUP(A883,DATABASE!$A:$J,10,0)),"")</f>
        <v/>
      </c>
      <c r="D883" s="28">
        <f>IF(A883="","",TODAY())</f>
        <v/>
      </c>
      <c r="E883" s="29" t="n"/>
      <c r="F883" s="20">
        <f>IFERROR(IF(OR(A883="",E883=""),"",C883-E883),"")</f>
        <v/>
      </c>
      <c r="G883" s="30" t="n"/>
      <c r="H883" s="27" t="n"/>
    </row>
    <row r="884" ht="20" customHeight="1">
      <c r="A884" s="26" t="n"/>
      <c r="B884" s="35">
        <f>IFERROR(IF(A884="","",VLOOKUP(A884,DATABASE!$A:$B,2,0)),"")</f>
        <v/>
      </c>
      <c r="C884" s="36">
        <f>IFERROR(IF(A884="","",VLOOKUP(A884,DATABASE!$A:$J,10,0)),"")</f>
        <v/>
      </c>
      <c r="D884" s="37">
        <f>IF(A884="","",TODAY())</f>
        <v/>
      </c>
      <c r="E884" s="29" t="n"/>
      <c r="F884" s="36">
        <f>IFERROR(IF(OR(A884="",E884=""),"",C884-E884),"")</f>
        <v/>
      </c>
      <c r="G884" s="30" t="n"/>
      <c r="H884" s="35" t="n"/>
    </row>
    <row r="885" ht="20" customHeight="1">
      <c r="A885" s="26" t="n"/>
      <c r="B885" s="27">
        <f>IFERROR(IF(A885="","",VLOOKUP(A885,DATABASE!$A:$B,2,0)),"")</f>
        <v/>
      </c>
      <c r="C885" s="20">
        <f>IFERROR(IF(A885="","",VLOOKUP(A885,DATABASE!$A:$J,10,0)),"")</f>
        <v/>
      </c>
      <c r="D885" s="28">
        <f>IF(A885="","",TODAY())</f>
        <v/>
      </c>
      <c r="E885" s="29" t="n"/>
      <c r="F885" s="20">
        <f>IFERROR(IF(OR(A885="",E885=""),"",C885-E885),"")</f>
        <v/>
      </c>
      <c r="G885" s="30" t="n"/>
      <c r="H885" s="27" t="n"/>
    </row>
    <row r="886" ht="20" customHeight="1">
      <c r="A886" s="26" t="n"/>
      <c r="B886" s="35">
        <f>IFERROR(IF(A886="","",VLOOKUP(A886,DATABASE!$A:$B,2,0)),"")</f>
        <v/>
      </c>
      <c r="C886" s="36">
        <f>IFERROR(IF(A886="","",VLOOKUP(A886,DATABASE!$A:$J,10,0)),"")</f>
        <v/>
      </c>
      <c r="D886" s="37">
        <f>IF(A886="","",TODAY())</f>
        <v/>
      </c>
      <c r="E886" s="29" t="n"/>
      <c r="F886" s="36">
        <f>IFERROR(IF(OR(A886="",E886=""),"",C886-E886),"")</f>
        <v/>
      </c>
      <c r="G886" s="30" t="n"/>
      <c r="H886" s="35" t="n"/>
    </row>
    <row r="887" ht="20" customHeight="1">
      <c r="A887" s="26" t="n"/>
      <c r="B887" s="27">
        <f>IFERROR(IF(A887="","",VLOOKUP(A887,DATABASE!$A:$B,2,0)),"")</f>
        <v/>
      </c>
      <c r="C887" s="20">
        <f>IFERROR(IF(A887="","",VLOOKUP(A887,DATABASE!$A:$J,10,0)),"")</f>
        <v/>
      </c>
      <c r="D887" s="28">
        <f>IF(A887="","",TODAY())</f>
        <v/>
      </c>
      <c r="E887" s="29" t="n"/>
      <c r="F887" s="20">
        <f>IFERROR(IF(OR(A887="",E887=""),"",C887-E887),"")</f>
        <v/>
      </c>
      <c r="G887" s="30" t="n"/>
      <c r="H887" s="27" t="n"/>
    </row>
    <row r="888" ht="20" customHeight="1">
      <c r="A888" s="26" t="n"/>
      <c r="B888" s="35">
        <f>IFERROR(IF(A888="","",VLOOKUP(A888,DATABASE!$A:$B,2,0)),"")</f>
        <v/>
      </c>
      <c r="C888" s="36">
        <f>IFERROR(IF(A888="","",VLOOKUP(A888,DATABASE!$A:$J,10,0)),"")</f>
        <v/>
      </c>
      <c r="D888" s="37">
        <f>IF(A888="","",TODAY())</f>
        <v/>
      </c>
      <c r="E888" s="29" t="n"/>
      <c r="F888" s="36">
        <f>IFERROR(IF(OR(A888="",E888=""),"",C888-E888),"")</f>
        <v/>
      </c>
      <c r="G888" s="30" t="n"/>
      <c r="H888" s="35" t="n"/>
    </row>
    <row r="889" ht="20" customHeight="1">
      <c r="A889" s="26" t="n"/>
      <c r="B889" s="27">
        <f>IFERROR(IF(A889="","",VLOOKUP(A889,DATABASE!$A:$B,2,0)),"")</f>
        <v/>
      </c>
      <c r="C889" s="20">
        <f>IFERROR(IF(A889="","",VLOOKUP(A889,DATABASE!$A:$J,10,0)),"")</f>
        <v/>
      </c>
      <c r="D889" s="28">
        <f>IF(A889="","",TODAY())</f>
        <v/>
      </c>
      <c r="E889" s="29" t="n"/>
      <c r="F889" s="20">
        <f>IFERROR(IF(OR(A889="",E889=""),"",C889-E889),"")</f>
        <v/>
      </c>
      <c r="G889" s="30" t="n"/>
      <c r="H889" s="27" t="n"/>
    </row>
    <row r="890" ht="20" customHeight="1">
      <c r="A890" s="26" t="n"/>
      <c r="B890" s="35">
        <f>IFERROR(IF(A890="","",VLOOKUP(A890,DATABASE!$A:$B,2,0)),"")</f>
        <v/>
      </c>
      <c r="C890" s="36">
        <f>IFERROR(IF(A890="","",VLOOKUP(A890,DATABASE!$A:$J,10,0)),"")</f>
        <v/>
      </c>
      <c r="D890" s="37">
        <f>IF(A890="","",TODAY())</f>
        <v/>
      </c>
      <c r="E890" s="29" t="n"/>
      <c r="F890" s="36">
        <f>IFERROR(IF(OR(A890="",E890=""),"",C890-E890),"")</f>
        <v/>
      </c>
      <c r="G890" s="30" t="n"/>
      <c r="H890" s="35" t="n"/>
    </row>
    <row r="891" ht="20" customHeight="1">
      <c r="A891" s="26" t="n"/>
      <c r="B891" s="27">
        <f>IFERROR(IF(A891="","",VLOOKUP(A891,DATABASE!$A:$B,2,0)),"")</f>
        <v/>
      </c>
      <c r="C891" s="20">
        <f>IFERROR(IF(A891="","",VLOOKUP(A891,DATABASE!$A:$J,10,0)),"")</f>
        <v/>
      </c>
      <c r="D891" s="28">
        <f>IF(A891="","",TODAY())</f>
        <v/>
      </c>
      <c r="E891" s="29" t="n"/>
      <c r="F891" s="20">
        <f>IFERROR(IF(OR(A891="",E891=""),"",C891-E891),"")</f>
        <v/>
      </c>
      <c r="G891" s="30" t="n"/>
      <c r="H891" s="27" t="n"/>
    </row>
    <row r="892" ht="20" customHeight="1">
      <c r="A892" s="26" t="n"/>
      <c r="B892" s="35">
        <f>IFERROR(IF(A892="","",VLOOKUP(A892,DATABASE!$A:$B,2,0)),"")</f>
        <v/>
      </c>
      <c r="C892" s="36">
        <f>IFERROR(IF(A892="","",VLOOKUP(A892,DATABASE!$A:$J,10,0)),"")</f>
        <v/>
      </c>
      <c r="D892" s="37">
        <f>IF(A892="","",TODAY())</f>
        <v/>
      </c>
      <c r="E892" s="29" t="n"/>
      <c r="F892" s="36">
        <f>IFERROR(IF(OR(A892="",E892=""),"",C892-E892),"")</f>
        <v/>
      </c>
      <c r="G892" s="30" t="n"/>
      <c r="H892" s="35" t="n"/>
    </row>
    <row r="893" ht="20" customHeight="1">
      <c r="A893" s="26" t="n"/>
      <c r="B893" s="27">
        <f>IFERROR(IF(A893="","",VLOOKUP(A893,DATABASE!$A:$B,2,0)),"")</f>
        <v/>
      </c>
      <c r="C893" s="20">
        <f>IFERROR(IF(A893="","",VLOOKUP(A893,DATABASE!$A:$J,10,0)),"")</f>
        <v/>
      </c>
      <c r="D893" s="28">
        <f>IF(A893="","",TODAY())</f>
        <v/>
      </c>
      <c r="E893" s="29" t="n"/>
      <c r="F893" s="20">
        <f>IFERROR(IF(OR(A893="",E893=""),"",C893-E893),"")</f>
        <v/>
      </c>
      <c r="G893" s="30" t="n"/>
      <c r="H893" s="27" t="n"/>
    </row>
    <row r="894" ht="20" customHeight="1">
      <c r="A894" s="26" t="n"/>
      <c r="B894" s="35">
        <f>IFERROR(IF(A894="","",VLOOKUP(A894,DATABASE!$A:$B,2,0)),"")</f>
        <v/>
      </c>
      <c r="C894" s="36">
        <f>IFERROR(IF(A894="","",VLOOKUP(A894,DATABASE!$A:$J,10,0)),"")</f>
        <v/>
      </c>
      <c r="D894" s="37">
        <f>IF(A894="","",TODAY())</f>
        <v/>
      </c>
      <c r="E894" s="29" t="n"/>
      <c r="F894" s="36">
        <f>IFERROR(IF(OR(A894="",E894=""),"",C894-E894),"")</f>
        <v/>
      </c>
      <c r="G894" s="30" t="n"/>
      <c r="H894" s="35" t="n"/>
    </row>
    <row r="895" ht="20" customHeight="1">
      <c r="A895" s="26" t="n"/>
      <c r="B895" s="27">
        <f>IFERROR(IF(A895="","",VLOOKUP(A895,DATABASE!$A:$B,2,0)),"")</f>
        <v/>
      </c>
      <c r="C895" s="20">
        <f>IFERROR(IF(A895="","",VLOOKUP(A895,DATABASE!$A:$J,10,0)),"")</f>
        <v/>
      </c>
      <c r="D895" s="28">
        <f>IF(A895="","",TODAY())</f>
        <v/>
      </c>
      <c r="E895" s="29" t="n"/>
      <c r="F895" s="20">
        <f>IFERROR(IF(OR(A895="",E895=""),"",C895-E895),"")</f>
        <v/>
      </c>
      <c r="G895" s="30" t="n"/>
      <c r="H895" s="27" t="n"/>
    </row>
    <row r="896" ht="20" customHeight="1">
      <c r="A896" s="26" t="n"/>
      <c r="B896" s="35">
        <f>IFERROR(IF(A896="","",VLOOKUP(A896,DATABASE!$A:$B,2,0)),"")</f>
        <v/>
      </c>
      <c r="C896" s="36">
        <f>IFERROR(IF(A896="","",VLOOKUP(A896,DATABASE!$A:$J,10,0)),"")</f>
        <v/>
      </c>
      <c r="D896" s="37">
        <f>IF(A896="","",TODAY())</f>
        <v/>
      </c>
      <c r="E896" s="29" t="n"/>
      <c r="F896" s="36">
        <f>IFERROR(IF(OR(A896="",E896=""),"",C896-E896),"")</f>
        <v/>
      </c>
      <c r="G896" s="30" t="n"/>
      <c r="H896" s="35" t="n"/>
    </row>
    <row r="897" ht="20" customHeight="1">
      <c r="A897" s="26" t="n"/>
      <c r="B897" s="27">
        <f>IFERROR(IF(A897="","",VLOOKUP(A897,DATABASE!$A:$B,2,0)),"")</f>
        <v/>
      </c>
      <c r="C897" s="20">
        <f>IFERROR(IF(A897="","",VLOOKUP(A897,DATABASE!$A:$J,10,0)),"")</f>
        <v/>
      </c>
      <c r="D897" s="28">
        <f>IF(A897="","",TODAY())</f>
        <v/>
      </c>
      <c r="E897" s="29" t="n"/>
      <c r="F897" s="20">
        <f>IFERROR(IF(OR(A897="",E897=""),"",C897-E897),"")</f>
        <v/>
      </c>
      <c r="G897" s="30" t="n"/>
      <c r="H897" s="27" t="n"/>
    </row>
    <row r="898" ht="20" customHeight="1">
      <c r="A898" s="26" t="n"/>
      <c r="B898" s="35">
        <f>IFERROR(IF(A898="","",VLOOKUP(A898,DATABASE!$A:$B,2,0)),"")</f>
        <v/>
      </c>
      <c r="C898" s="36">
        <f>IFERROR(IF(A898="","",VLOOKUP(A898,DATABASE!$A:$J,10,0)),"")</f>
        <v/>
      </c>
      <c r="D898" s="37">
        <f>IF(A898="","",TODAY())</f>
        <v/>
      </c>
      <c r="E898" s="29" t="n"/>
      <c r="F898" s="36">
        <f>IFERROR(IF(OR(A898="",E898=""),"",C898-E898),"")</f>
        <v/>
      </c>
      <c r="G898" s="30" t="n"/>
      <c r="H898" s="35" t="n"/>
    </row>
    <row r="899" ht="20" customHeight="1">
      <c r="A899" s="26" t="n"/>
      <c r="B899" s="27">
        <f>IFERROR(IF(A899="","",VLOOKUP(A899,DATABASE!$A:$B,2,0)),"")</f>
        <v/>
      </c>
      <c r="C899" s="20">
        <f>IFERROR(IF(A899="","",VLOOKUP(A899,DATABASE!$A:$J,10,0)),"")</f>
        <v/>
      </c>
      <c r="D899" s="28">
        <f>IF(A899="","",TODAY())</f>
        <v/>
      </c>
      <c r="E899" s="29" t="n"/>
      <c r="F899" s="20">
        <f>IFERROR(IF(OR(A899="",E899=""),"",C899-E899),"")</f>
        <v/>
      </c>
      <c r="G899" s="30" t="n"/>
      <c r="H899" s="27" t="n"/>
    </row>
    <row r="900" ht="20" customHeight="1">
      <c r="A900" s="26" t="n"/>
      <c r="B900" s="35">
        <f>IFERROR(IF(A900="","",VLOOKUP(A900,DATABASE!$A:$B,2,0)),"")</f>
        <v/>
      </c>
      <c r="C900" s="36">
        <f>IFERROR(IF(A900="","",VLOOKUP(A900,DATABASE!$A:$J,10,0)),"")</f>
        <v/>
      </c>
      <c r="D900" s="37">
        <f>IF(A900="","",TODAY())</f>
        <v/>
      </c>
      <c r="E900" s="29" t="n"/>
      <c r="F900" s="36">
        <f>IFERROR(IF(OR(A900="",E900=""),"",C900-E900),"")</f>
        <v/>
      </c>
      <c r="G900" s="30" t="n"/>
      <c r="H900" s="35" t="n"/>
    </row>
    <row r="901" ht="20" customHeight="1">
      <c r="A901" s="26" t="n"/>
      <c r="B901" s="27">
        <f>IFERROR(IF(A901="","",VLOOKUP(A901,DATABASE!$A:$B,2,0)),"")</f>
        <v/>
      </c>
      <c r="C901" s="20">
        <f>IFERROR(IF(A901="","",VLOOKUP(A901,DATABASE!$A:$J,10,0)),"")</f>
        <v/>
      </c>
      <c r="D901" s="28">
        <f>IF(A901="","",TODAY())</f>
        <v/>
      </c>
      <c r="E901" s="29" t="n"/>
      <c r="F901" s="20">
        <f>IFERROR(IF(OR(A901="",E901=""),"",C901-E901),"")</f>
        <v/>
      </c>
      <c r="G901" s="30" t="n"/>
      <c r="H901" s="27" t="n"/>
    </row>
    <row r="902" ht="20" customHeight="1">
      <c r="A902" s="26" t="n"/>
      <c r="B902" s="35">
        <f>IFERROR(IF(A902="","",VLOOKUP(A902,DATABASE!$A:$B,2,0)),"")</f>
        <v/>
      </c>
      <c r="C902" s="36">
        <f>IFERROR(IF(A902="","",VLOOKUP(A902,DATABASE!$A:$J,10,0)),"")</f>
        <v/>
      </c>
      <c r="D902" s="37">
        <f>IF(A902="","",TODAY())</f>
        <v/>
      </c>
      <c r="E902" s="29" t="n"/>
      <c r="F902" s="36">
        <f>IFERROR(IF(OR(A902="",E902=""),"",C902-E902),"")</f>
        <v/>
      </c>
      <c r="G902" s="30" t="n"/>
      <c r="H902" s="35" t="n"/>
    </row>
    <row r="903" ht="20" customHeight="1">
      <c r="A903" s="26" t="n"/>
      <c r="B903" s="27">
        <f>IFERROR(IF(A903="","",VLOOKUP(A903,DATABASE!$A:$B,2,0)),"")</f>
        <v/>
      </c>
      <c r="C903" s="20">
        <f>IFERROR(IF(A903="","",VLOOKUP(A903,DATABASE!$A:$J,10,0)),"")</f>
        <v/>
      </c>
      <c r="D903" s="28">
        <f>IF(A903="","",TODAY())</f>
        <v/>
      </c>
      <c r="E903" s="29" t="n"/>
      <c r="F903" s="20">
        <f>IFERROR(IF(OR(A903="",E903=""),"",C903-E903),"")</f>
        <v/>
      </c>
      <c r="G903" s="30" t="n"/>
      <c r="H903" s="27" t="n"/>
    </row>
    <row r="904" ht="20" customHeight="1">
      <c r="A904" s="26" t="n"/>
      <c r="B904" s="35">
        <f>IFERROR(IF(A904="","",VLOOKUP(A904,DATABASE!$A:$B,2,0)),"")</f>
        <v/>
      </c>
      <c r="C904" s="36">
        <f>IFERROR(IF(A904="","",VLOOKUP(A904,DATABASE!$A:$J,10,0)),"")</f>
        <v/>
      </c>
      <c r="D904" s="37">
        <f>IF(A904="","",TODAY())</f>
        <v/>
      </c>
      <c r="E904" s="29" t="n"/>
      <c r="F904" s="36">
        <f>IFERROR(IF(OR(A904="",E904=""),"",C904-E904),"")</f>
        <v/>
      </c>
      <c r="G904" s="30" t="n"/>
      <c r="H904" s="35" t="n"/>
    </row>
    <row r="905" ht="20" customHeight="1">
      <c r="A905" s="26" t="n"/>
      <c r="B905" s="27">
        <f>IFERROR(IF(A905="","",VLOOKUP(A905,DATABASE!$A:$B,2,0)),"")</f>
        <v/>
      </c>
      <c r="C905" s="20">
        <f>IFERROR(IF(A905="","",VLOOKUP(A905,DATABASE!$A:$J,10,0)),"")</f>
        <v/>
      </c>
      <c r="D905" s="28">
        <f>IF(A905="","",TODAY())</f>
        <v/>
      </c>
      <c r="E905" s="29" t="n"/>
      <c r="F905" s="20">
        <f>IFERROR(IF(OR(A905="",E905=""),"",C905-E905),"")</f>
        <v/>
      </c>
      <c r="G905" s="30" t="n"/>
      <c r="H905" s="27" t="n"/>
    </row>
    <row r="906" ht="20" customHeight="1">
      <c r="A906" s="26" t="n"/>
      <c r="B906" s="35">
        <f>IFERROR(IF(A906="","",VLOOKUP(A906,DATABASE!$A:$B,2,0)),"")</f>
        <v/>
      </c>
      <c r="C906" s="36">
        <f>IFERROR(IF(A906="","",VLOOKUP(A906,DATABASE!$A:$J,10,0)),"")</f>
        <v/>
      </c>
      <c r="D906" s="37">
        <f>IF(A906="","",TODAY())</f>
        <v/>
      </c>
      <c r="E906" s="29" t="n"/>
      <c r="F906" s="36">
        <f>IFERROR(IF(OR(A906="",E906=""),"",C906-E906),"")</f>
        <v/>
      </c>
      <c r="G906" s="30" t="n"/>
      <c r="H906" s="35" t="n"/>
    </row>
    <row r="907" ht="20" customHeight="1">
      <c r="A907" s="26" t="n"/>
      <c r="B907" s="27">
        <f>IFERROR(IF(A907="","",VLOOKUP(A907,DATABASE!$A:$B,2,0)),"")</f>
        <v/>
      </c>
      <c r="C907" s="20">
        <f>IFERROR(IF(A907="","",VLOOKUP(A907,DATABASE!$A:$J,10,0)),"")</f>
        <v/>
      </c>
      <c r="D907" s="28">
        <f>IF(A907="","",TODAY())</f>
        <v/>
      </c>
      <c r="E907" s="29" t="n"/>
      <c r="F907" s="20">
        <f>IFERROR(IF(OR(A907="",E907=""),"",C907-E907),"")</f>
        <v/>
      </c>
      <c r="G907" s="30" t="n"/>
      <c r="H907" s="27" t="n"/>
    </row>
    <row r="908" ht="20" customHeight="1">
      <c r="A908" s="26" t="n"/>
      <c r="B908" s="35">
        <f>IFERROR(IF(A908="","",VLOOKUP(A908,DATABASE!$A:$B,2,0)),"")</f>
        <v/>
      </c>
      <c r="C908" s="36">
        <f>IFERROR(IF(A908="","",VLOOKUP(A908,DATABASE!$A:$J,10,0)),"")</f>
        <v/>
      </c>
      <c r="D908" s="37">
        <f>IF(A908="","",TODAY())</f>
        <v/>
      </c>
      <c r="E908" s="29" t="n"/>
      <c r="F908" s="36">
        <f>IFERROR(IF(OR(A908="",E908=""),"",C908-E908),"")</f>
        <v/>
      </c>
      <c r="G908" s="30" t="n"/>
      <c r="H908" s="35" t="n"/>
    </row>
    <row r="909" ht="20" customHeight="1">
      <c r="A909" s="26" t="n"/>
      <c r="B909" s="27">
        <f>IFERROR(IF(A909="","",VLOOKUP(A909,DATABASE!$A:$B,2,0)),"")</f>
        <v/>
      </c>
      <c r="C909" s="20">
        <f>IFERROR(IF(A909="","",VLOOKUP(A909,DATABASE!$A:$J,10,0)),"")</f>
        <v/>
      </c>
      <c r="D909" s="28">
        <f>IF(A909="","",TODAY())</f>
        <v/>
      </c>
      <c r="E909" s="29" t="n"/>
      <c r="F909" s="20">
        <f>IFERROR(IF(OR(A909="",E909=""),"",C909-E909),"")</f>
        <v/>
      </c>
      <c r="G909" s="30" t="n"/>
      <c r="H909" s="27" t="n"/>
    </row>
    <row r="910" ht="20" customHeight="1">
      <c r="A910" s="26" t="n"/>
      <c r="B910" s="35">
        <f>IFERROR(IF(A910="","",VLOOKUP(A910,DATABASE!$A:$B,2,0)),"")</f>
        <v/>
      </c>
      <c r="C910" s="36">
        <f>IFERROR(IF(A910="","",VLOOKUP(A910,DATABASE!$A:$J,10,0)),"")</f>
        <v/>
      </c>
      <c r="D910" s="37">
        <f>IF(A910="","",TODAY())</f>
        <v/>
      </c>
      <c r="E910" s="29" t="n"/>
      <c r="F910" s="36">
        <f>IFERROR(IF(OR(A910="",E910=""),"",C910-E910),"")</f>
        <v/>
      </c>
      <c r="G910" s="30" t="n"/>
      <c r="H910" s="35" t="n"/>
    </row>
    <row r="911" ht="20" customHeight="1">
      <c r="A911" s="26" t="n"/>
      <c r="B911" s="27">
        <f>IFERROR(IF(A911="","",VLOOKUP(A911,DATABASE!$A:$B,2,0)),"")</f>
        <v/>
      </c>
      <c r="C911" s="20">
        <f>IFERROR(IF(A911="","",VLOOKUP(A911,DATABASE!$A:$J,10,0)),"")</f>
        <v/>
      </c>
      <c r="D911" s="28">
        <f>IF(A911="","",TODAY())</f>
        <v/>
      </c>
      <c r="E911" s="29" t="n"/>
      <c r="F911" s="20">
        <f>IFERROR(IF(OR(A911="",E911=""),"",C911-E911),"")</f>
        <v/>
      </c>
      <c r="G911" s="30" t="n"/>
      <c r="H911" s="27" t="n"/>
    </row>
    <row r="912" ht="20" customHeight="1">
      <c r="A912" s="26" t="n"/>
      <c r="B912" s="35">
        <f>IFERROR(IF(A912="","",VLOOKUP(A912,DATABASE!$A:$B,2,0)),"")</f>
        <v/>
      </c>
      <c r="C912" s="36">
        <f>IFERROR(IF(A912="","",VLOOKUP(A912,DATABASE!$A:$J,10,0)),"")</f>
        <v/>
      </c>
      <c r="D912" s="37">
        <f>IF(A912="","",TODAY())</f>
        <v/>
      </c>
      <c r="E912" s="29" t="n"/>
      <c r="F912" s="36">
        <f>IFERROR(IF(OR(A912="",E912=""),"",C912-E912),"")</f>
        <v/>
      </c>
      <c r="G912" s="30" t="n"/>
      <c r="H912" s="35" t="n"/>
    </row>
    <row r="913" ht="20" customHeight="1">
      <c r="A913" s="26" t="n"/>
      <c r="B913" s="27">
        <f>IFERROR(IF(A913="","",VLOOKUP(A913,DATABASE!$A:$B,2,0)),"")</f>
        <v/>
      </c>
      <c r="C913" s="20">
        <f>IFERROR(IF(A913="","",VLOOKUP(A913,DATABASE!$A:$J,10,0)),"")</f>
        <v/>
      </c>
      <c r="D913" s="28">
        <f>IF(A913="","",TODAY())</f>
        <v/>
      </c>
      <c r="E913" s="29" t="n"/>
      <c r="F913" s="20">
        <f>IFERROR(IF(OR(A913="",E913=""),"",C913-E913),"")</f>
        <v/>
      </c>
      <c r="G913" s="30" t="n"/>
      <c r="H913" s="27" t="n"/>
    </row>
    <row r="914" ht="20" customHeight="1">
      <c r="A914" s="26" t="n"/>
      <c r="B914" s="35">
        <f>IFERROR(IF(A914="","",VLOOKUP(A914,DATABASE!$A:$B,2,0)),"")</f>
        <v/>
      </c>
      <c r="C914" s="36">
        <f>IFERROR(IF(A914="","",VLOOKUP(A914,DATABASE!$A:$J,10,0)),"")</f>
        <v/>
      </c>
      <c r="D914" s="37">
        <f>IF(A914="","",TODAY())</f>
        <v/>
      </c>
      <c r="E914" s="29" t="n"/>
      <c r="F914" s="36">
        <f>IFERROR(IF(OR(A914="",E914=""),"",C914-E914),"")</f>
        <v/>
      </c>
      <c r="G914" s="30" t="n"/>
      <c r="H914" s="35" t="n"/>
    </row>
    <row r="915" ht="20" customHeight="1">
      <c r="A915" s="26" t="n"/>
      <c r="B915" s="27">
        <f>IFERROR(IF(A915="","",VLOOKUP(A915,DATABASE!$A:$B,2,0)),"")</f>
        <v/>
      </c>
      <c r="C915" s="20">
        <f>IFERROR(IF(A915="","",VLOOKUP(A915,DATABASE!$A:$J,10,0)),"")</f>
        <v/>
      </c>
      <c r="D915" s="28">
        <f>IF(A915="","",TODAY())</f>
        <v/>
      </c>
      <c r="E915" s="29" t="n"/>
      <c r="F915" s="20">
        <f>IFERROR(IF(OR(A915="",E915=""),"",C915-E915),"")</f>
        <v/>
      </c>
      <c r="G915" s="30" t="n"/>
      <c r="H915" s="27" t="n"/>
    </row>
    <row r="916" ht="20" customHeight="1">
      <c r="A916" s="26" t="n"/>
      <c r="B916" s="35">
        <f>IFERROR(IF(A916="","",VLOOKUP(A916,DATABASE!$A:$B,2,0)),"")</f>
        <v/>
      </c>
      <c r="C916" s="36">
        <f>IFERROR(IF(A916="","",VLOOKUP(A916,DATABASE!$A:$J,10,0)),"")</f>
        <v/>
      </c>
      <c r="D916" s="37">
        <f>IF(A916="","",TODAY())</f>
        <v/>
      </c>
      <c r="E916" s="29" t="n"/>
      <c r="F916" s="36">
        <f>IFERROR(IF(OR(A916="",E916=""),"",C916-E916),"")</f>
        <v/>
      </c>
      <c r="G916" s="30" t="n"/>
      <c r="H916" s="35" t="n"/>
    </row>
    <row r="917" ht="20" customHeight="1">
      <c r="A917" s="26" t="n"/>
      <c r="B917" s="27">
        <f>IFERROR(IF(A917="","",VLOOKUP(A917,DATABASE!$A:$B,2,0)),"")</f>
        <v/>
      </c>
      <c r="C917" s="20">
        <f>IFERROR(IF(A917="","",VLOOKUP(A917,DATABASE!$A:$J,10,0)),"")</f>
        <v/>
      </c>
      <c r="D917" s="28">
        <f>IF(A917="","",TODAY())</f>
        <v/>
      </c>
      <c r="E917" s="29" t="n"/>
      <c r="F917" s="20">
        <f>IFERROR(IF(OR(A917="",E917=""),"",C917-E917),"")</f>
        <v/>
      </c>
      <c r="G917" s="30" t="n"/>
      <c r="H917" s="27" t="n"/>
    </row>
    <row r="918" ht="20" customHeight="1">
      <c r="A918" s="26" t="n"/>
      <c r="B918" s="35">
        <f>IFERROR(IF(A918="","",VLOOKUP(A918,DATABASE!$A:$B,2,0)),"")</f>
        <v/>
      </c>
      <c r="C918" s="36">
        <f>IFERROR(IF(A918="","",VLOOKUP(A918,DATABASE!$A:$J,10,0)),"")</f>
        <v/>
      </c>
      <c r="D918" s="37">
        <f>IF(A918="","",TODAY())</f>
        <v/>
      </c>
      <c r="E918" s="29" t="n"/>
      <c r="F918" s="36">
        <f>IFERROR(IF(OR(A918="",E918=""),"",C918-E918),"")</f>
        <v/>
      </c>
      <c r="G918" s="30" t="n"/>
      <c r="H918" s="35" t="n"/>
    </row>
    <row r="919" ht="20" customHeight="1">
      <c r="A919" s="26" t="n"/>
      <c r="B919" s="27">
        <f>IFERROR(IF(A919="","",VLOOKUP(A919,DATABASE!$A:$B,2,0)),"")</f>
        <v/>
      </c>
      <c r="C919" s="20">
        <f>IFERROR(IF(A919="","",VLOOKUP(A919,DATABASE!$A:$J,10,0)),"")</f>
        <v/>
      </c>
      <c r="D919" s="28">
        <f>IF(A919="","",TODAY())</f>
        <v/>
      </c>
      <c r="E919" s="29" t="n"/>
      <c r="F919" s="20">
        <f>IFERROR(IF(OR(A919="",E919=""),"",C919-E919),"")</f>
        <v/>
      </c>
      <c r="G919" s="30" t="n"/>
      <c r="H919" s="27" t="n"/>
    </row>
    <row r="920" ht="20" customHeight="1">
      <c r="A920" s="26" t="n"/>
      <c r="B920" s="35">
        <f>IFERROR(IF(A920="","",VLOOKUP(A920,DATABASE!$A:$B,2,0)),"")</f>
        <v/>
      </c>
      <c r="C920" s="36">
        <f>IFERROR(IF(A920="","",VLOOKUP(A920,DATABASE!$A:$J,10,0)),"")</f>
        <v/>
      </c>
      <c r="D920" s="37">
        <f>IF(A920="","",TODAY())</f>
        <v/>
      </c>
      <c r="E920" s="29" t="n"/>
      <c r="F920" s="36">
        <f>IFERROR(IF(OR(A920="",E920=""),"",C920-E920),"")</f>
        <v/>
      </c>
      <c r="G920" s="30" t="n"/>
      <c r="H920" s="35" t="n"/>
    </row>
    <row r="921" ht="20" customHeight="1">
      <c r="A921" s="26" t="n"/>
      <c r="B921" s="27">
        <f>IFERROR(IF(A921="","",VLOOKUP(A921,DATABASE!$A:$B,2,0)),"")</f>
        <v/>
      </c>
      <c r="C921" s="20">
        <f>IFERROR(IF(A921="","",VLOOKUP(A921,DATABASE!$A:$J,10,0)),"")</f>
        <v/>
      </c>
      <c r="D921" s="28">
        <f>IF(A921="","",TODAY())</f>
        <v/>
      </c>
      <c r="E921" s="29" t="n"/>
      <c r="F921" s="20">
        <f>IFERROR(IF(OR(A921="",E921=""),"",C921-E921),"")</f>
        <v/>
      </c>
      <c r="G921" s="30" t="n"/>
      <c r="H921" s="27" t="n"/>
    </row>
    <row r="922" ht="20" customHeight="1">
      <c r="A922" s="26" t="n"/>
      <c r="B922" s="35">
        <f>IFERROR(IF(A922="","",VLOOKUP(A922,DATABASE!$A:$B,2,0)),"")</f>
        <v/>
      </c>
      <c r="C922" s="36">
        <f>IFERROR(IF(A922="","",VLOOKUP(A922,DATABASE!$A:$J,10,0)),"")</f>
        <v/>
      </c>
      <c r="D922" s="37">
        <f>IF(A922="","",TODAY())</f>
        <v/>
      </c>
      <c r="E922" s="29" t="n"/>
      <c r="F922" s="36">
        <f>IFERROR(IF(OR(A922="",E922=""),"",C922-E922),"")</f>
        <v/>
      </c>
      <c r="G922" s="30" t="n"/>
      <c r="H922" s="35" t="n"/>
    </row>
    <row r="923" ht="20" customHeight="1">
      <c r="A923" s="26" t="n"/>
      <c r="B923" s="27">
        <f>IFERROR(IF(A923="","",VLOOKUP(A923,DATABASE!$A:$B,2,0)),"")</f>
        <v/>
      </c>
      <c r="C923" s="20">
        <f>IFERROR(IF(A923="","",VLOOKUP(A923,DATABASE!$A:$J,10,0)),"")</f>
        <v/>
      </c>
      <c r="D923" s="28">
        <f>IF(A923="","",TODAY())</f>
        <v/>
      </c>
      <c r="E923" s="29" t="n"/>
      <c r="F923" s="20">
        <f>IFERROR(IF(OR(A923="",E923=""),"",C923-E923),"")</f>
        <v/>
      </c>
      <c r="G923" s="30" t="n"/>
      <c r="H923" s="27" t="n"/>
    </row>
    <row r="924" ht="20" customHeight="1">
      <c r="A924" s="26" t="n"/>
      <c r="B924" s="35">
        <f>IFERROR(IF(A924="","",VLOOKUP(A924,DATABASE!$A:$B,2,0)),"")</f>
        <v/>
      </c>
      <c r="C924" s="36">
        <f>IFERROR(IF(A924="","",VLOOKUP(A924,DATABASE!$A:$J,10,0)),"")</f>
        <v/>
      </c>
      <c r="D924" s="37">
        <f>IF(A924="","",TODAY())</f>
        <v/>
      </c>
      <c r="E924" s="29" t="n"/>
      <c r="F924" s="36">
        <f>IFERROR(IF(OR(A924="",E924=""),"",C924-E924),"")</f>
        <v/>
      </c>
      <c r="G924" s="30" t="n"/>
      <c r="H924" s="35" t="n"/>
    </row>
    <row r="925" ht="20" customHeight="1">
      <c r="A925" s="26" t="n"/>
      <c r="B925" s="27">
        <f>IFERROR(IF(A925="","",VLOOKUP(A925,DATABASE!$A:$B,2,0)),"")</f>
        <v/>
      </c>
      <c r="C925" s="20">
        <f>IFERROR(IF(A925="","",VLOOKUP(A925,DATABASE!$A:$J,10,0)),"")</f>
        <v/>
      </c>
      <c r="D925" s="28">
        <f>IF(A925="","",TODAY())</f>
        <v/>
      </c>
      <c r="E925" s="29" t="n"/>
      <c r="F925" s="20">
        <f>IFERROR(IF(OR(A925="",E925=""),"",C925-E925),"")</f>
        <v/>
      </c>
      <c r="G925" s="30" t="n"/>
      <c r="H925" s="27" t="n"/>
    </row>
    <row r="926" ht="20" customHeight="1">
      <c r="A926" s="26" t="n"/>
      <c r="B926" s="35">
        <f>IFERROR(IF(A926="","",VLOOKUP(A926,DATABASE!$A:$B,2,0)),"")</f>
        <v/>
      </c>
      <c r="C926" s="36">
        <f>IFERROR(IF(A926="","",VLOOKUP(A926,DATABASE!$A:$J,10,0)),"")</f>
        <v/>
      </c>
      <c r="D926" s="37">
        <f>IF(A926="","",TODAY())</f>
        <v/>
      </c>
      <c r="E926" s="29" t="n"/>
      <c r="F926" s="36">
        <f>IFERROR(IF(OR(A926="",E926=""),"",C926-E926),"")</f>
        <v/>
      </c>
      <c r="G926" s="30" t="n"/>
      <c r="H926" s="35" t="n"/>
    </row>
    <row r="927" ht="20" customHeight="1">
      <c r="A927" s="26" t="n"/>
      <c r="B927" s="27">
        <f>IFERROR(IF(A927="","",VLOOKUP(A927,DATABASE!$A:$B,2,0)),"")</f>
        <v/>
      </c>
      <c r="C927" s="20">
        <f>IFERROR(IF(A927="","",VLOOKUP(A927,DATABASE!$A:$J,10,0)),"")</f>
        <v/>
      </c>
      <c r="D927" s="28">
        <f>IF(A927="","",TODAY())</f>
        <v/>
      </c>
      <c r="E927" s="29" t="n"/>
      <c r="F927" s="20">
        <f>IFERROR(IF(OR(A927="",E927=""),"",C927-E927),"")</f>
        <v/>
      </c>
      <c r="G927" s="30" t="n"/>
      <c r="H927" s="27" t="n"/>
    </row>
    <row r="928" ht="20" customHeight="1">
      <c r="A928" s="26" t="n"/>
      <c r="B928" s="35">
        <f>IFERROR(IF(A928="","",VLOOKUP(A928,DATABASE!$A:$B,2,0)),"")</f>
        <v/>
      </c>
      <c r="C928" s="36">
        <f>IFERROR(IF(A928="","",VLOOKUP(A928,DATABASE!$A:$J,10,0)),"")</f>
        <v/>
      </c>
      <c r="D928" s="37">
        <f>IF(A928="","",TODAY())</f>
        <v/>
      </c>
      <c r="E928" s="29" t="n"/>
      <c r="F928" s="36">
        <f>IFERROR(IF(OR(A928="",E928=""),"",C928-E928),"")</f>
        <v/>
      </c>
      <c r="G928" s="30" t="n"/>
      <c r="H928" s="35" t="n"/>
    </row>
    <row r="929" ht="20" customHeight="1">
      <c r="A929" s="26" t="n"/>
      <c r="B929" s="27">
        <f>IFERROR(IF(A929="","",VLOOKUP(A929,DATABASE!$A:$B,2,0)),"")</f>
        <v/>
      </c>
      <c r="C929" s="20">
        <f>IFERROR(IF(A929="","",VLOOKUP(A929,DATABASE!$A:$J,10,0)),"")</f>
        <v/>
      </c>
      <c r="D929" s="28">
        <f>IF(A929="","",TODAY())</f>
        <v/>
      </c>
      <c r="E929" s="29" t="n"/>
      <c r="F929" s="20">
        <f>IFERROR(IF(OR(A929="",E929=""),"",C929-E929),"")</f>
        <v/>
      </c>
      <c r="G929" s="30" t="n"/>
      <c r="H929" s="27" t="n"/>
    </row>
    <row r="930" ht="20" customHeight="1">
      <c r="A930" s="26" t="n"/>
      <c r="B930" s="35">
        <f>IFERROR(IF(A930="","",VLOOKUP(A930,DATABASE!$A:$B,2,0)),"")</f>
        <v/>
      </c>
      <c r="C930" s="36">
        <f>IFERROR(IF(A930="","",VLOOKUP(A930,DATABASE!$A:$J,10,0)),"")</f>
        <v/>
      </c>
      <c r="D930" s="37">
        <f>IF(A930="","",TODAY())</f>
        <v/>
      </c>
      <c r="E930" s="29" t="n"/>
      <c r="F930" s="36">
        <f>IFERROR(IF(OR(A930="",E930=""),"",C930-E930),"")</f>
        <v/>
      </c>
      <c r="G930" s="30" t="n"/>
      <c r="H930" s="35" t="n"/>
    </row>
    <row r="931" ht="20" customHeight="1">
      <c r="A931" s="26" t="n"/>
      <c r="B931" s="27">
        <f>IFERROR(IF(A931="","",VLOOKUP(A931,DATABASE!$A:$B,2,0)),"")</f>
        <v/>
      </c>
      <c r="C931" s="20">
        <f>IFERROR(IF(A931="","",VLOOKUP(A931,DATABASE!$A:$J,10,0)),"")</f>
        <v/>
      </c>
      <c r="D931" s="28">
        <f>IF(A931="","",TODAY())</f>
        <v/>
      </c>
      <c r="E931" s="29" t="n"/>
      <c r="F931" s="20">
        <f>IFERROR(IF(OR(A931="",E931=""),"",C931-E931),"")</f>
        <v/>
      </c>
      <c r="G931" s="30" t="n"/>
      <c r="H931" s="27" t="n"/>
    </row>
    <row r="932" ht="20" customHeight="1">
      <c r="A932" s="26" t="n"/>
      <c r="B932" s="35">
        <f>IFERROR(IF(A932="","",VLOOKUP(A932,DATABASE!$A:$B,2,0)),"")</f>
        <v/>
      </c>
      <c r="C932" s="36">
        <f>IFERROR(IF(A932="","",VLOOKUP(A932,DATABASE!$A:$J,10,0)),"")</f>
        <v/>
      </c>
      <c r="D932" s="37">
        <f>IF(A932="","",TODAY())</f>
        <v/>
      </c>
      <c r="E932" s="29" t="n"/>
      <c r="F932" s="36">
        <f>IFERROR(IF(OR(A932="",E932=""),"",C932-E932),"")</f>
        <v/>
      </c>
      <c r="G932" s="30" t="n"/>
      <c r="H932" s="35" t="n"/>
    </row>
    <row r="933" ht="20" customHeight="1">
      <c r="A933" s="26" t="n"/>
      <c r="B933" s="27">
        <f>IFERROR(IF(A933="","",VLOOKUP(A933,DATABASE!$A:$B,2,0)),"")</f>
        <v/>
      </c>
      <c r="C933" s="20">
        <f>IFERROR(IF(A933="","",VLOOKUP(A933,DATABASE!$A:$J,10,0)),"")</f>
        <v/>
      </c>
      <c r="D933" s="28">
        <f>IF(A933="","",TODAY())</f>
        <v/>
      </c>
      <c r="E933" s="29" t="n"/>
      <c r="F933" s="20">
        <f>IFERROR(IF(OR(A933="",E933=""),"",C933-E933),"")</f>
        <v/>
      </c>
      <c r="G933" s="30" t="n"/>
      <c r="H933" s="27" t="n"/>
    </row>
    <row r="934" ht="20" customHeight="1">
      <c r="A934" s="26" t="n"/>
      <c r="B934" s="35">
        <f>IFERROR(IF(A934="","",VLOOKUP(A934,DATABASE!$A:$B,2,0)),"")</f>
        <v/>
      </c>
      <c r="C934" s="36">
        <f>IFERROR(IF(A934="","",VLOOKUP(A934,DATABASE!$A:$J,10,0)),"")</f>
        <v/>
      </c>
      <c r="D934" s="37">
        <f>IF(A934="","",TODAY())</f>
        <v/>
      </c>
      <c r="E934" s="29" t="n"/>
      <c r="F934" s="36">
        <f>IFERROR(IF(OR(A934="",E934=""),"",C934-E934),"")</f>
        <v/>
      </c>
      <c r="G934" s="30" t="n"/>
      <c r="H934" s="35" t="n"/>
    </row>
    <row r="935" ht="20" customHeight="1">
      <c r="A935" s="26" t="n"/>
      <c r="B935" s="27">
        <f>IFERROR(IF(A935="","",VLOOKUP(A935,DATABASE!$A:$B,2,0)),"")</f>
        <v/>
      </c>
      <c r="C935" s="20">
        <f>IFERROR(IF(A935="","",VLOOKUP(A935,DATABASE!$A:$J,10,0)),"")</f>
        <v/>
      </c>
      <c r="D935" s="28">
        <f>IF(A935="","",TODAY())</f>
        <v/>
      </c>
      <c r="E935" s="29" t="n"/>
      <c r="F935" s="20">
        <f>IFERROR(IF(OR(A935="",E935=""),"",C935-E935),"")</f>
        <v/>
      </c>
      <c r="G935" s="30" t="n"/>
      <c r="H935" s="27" t="n"/>
    </row>
    <row r="936" ht="20" customHeight="1">
      <c r="A936" s="26" t="n"/>
      <c r="B936" s="35">
        <f>IFERROR(IF(A936="","",VLOOKUP(A936,DATABASE!$A:$B,2,0)),"")</f>
        <v/>
      </c>
      <c r="C936" s="36">
        <f>IFERROR(IF(A936="","",VLOOKUP(A936,DATABASE!$A:$J,10,0)),"")</f>
        <v/>
      </c>
      <c r="D936" s="37">
        <f>IF(A936="","",TODAY())</f>
        <v/>
      </c>
      <c r="E936" s="29" t="n"/>
      <c r="F936" s="36">
        <f>IFERROR(IF(OR(A936="",E936=""),"",C936-E936),"")</f>
        <v/>
      </c>
      <c r="G936" s="30" t="n"/>
      <c r="H936" s="35" t="n"/>
    </row>
    <row r="937" ht="20" customHeight="1">
      <c r="A937" s="26" t="n"/>
      <c r="B937" s="27">
        <f>IFERROR(IF(A937="","",VLOOKUP(A937,DATABASE!$A:$B,2,0)),"")</f>
        <v/>
      </c>
      <c r="C937" s="20">
        <f>IFERROR(IF(A937="","",VLOOKUP(A937,DATABASE!$A:$J,10,0)),"")</f>
        <v/>
      </c>
      <c r="D937" s="28">
        <f>IF(A937="","",TODAY())</f>
        <v/>
      </c>
      <c r="E937" s="29" t="n"/>
      <c r="F937" s="20">
        <f>IFERROR(IF(OR(A937="",E937=""),"",C937-E937),"")</f>
        <v/>
      </c>
      <c r="G937" s="30" t="n"/>
      <c r="H937" s="27" t="n"/>
    </row>
    <row r="938" ht="20" customHeight="1">
      <c r="A938" s="26" t="n"/>
      <c r="B938" s="35">
        <f>IFERROR(IF(A938="","",VLOOKUP(A938,DATABASE!$A:$B,2,0)),"")</f>
        <v/>
      </c>
      <c r="C938" s="36">
        <f>IFERROR(IF(A938="","",VLOOKUP(A938,DATABASE!$A:$J,10,0)),"")</f>
        <v/>
      </c>
      <c r="D938" s="37">
        <f>IF(A938="","",TODAY())</f>
        <v/>
      </c>
      <c r="E938" s="29" t="n"/>
      <c r="F938" s="36">
        <f>IFERROR(IF(OR(A938="",E938=""),"",C938-E938),"")</f>
        <v/>
      </c>
      <c r="G938" s="30" t="n"/>
      <c r="H938" s="35" t="n"/>
    </row>
    <row r="939" ht="20" customHeight="1">
      <c r="A939" s="26" t="n"/>
      <c r="B939" s="27">
        <f>IFERROR(IF(A939="","",VLOOKUP(A939,DATABASE!$A:$B,2,0)),"")</f>
        <v/>
      </c>
      <c r="C939" s="20">
        <f>IFERROR(IF(A939="","",VLOOKUP(A939,DATABASE!$A:$J,10,0)),"")</f>
        <v/>
      </c>
      <c r="D939" s="28">
        <f>IF(A939="","",TODAY())</f>
        <v/>
      </c>
      <c r="E939" s="29" t="n"/>
      <c r="F939" s="20">
        <f>IFERROR(IF(OR(A939="",E939=""),"",C939-E939),"")</f>
        <v/>
      </c>
      <c r="G939" s="30" t="n"/>
      <c r="H939" s="27" t="n"/>
    </row>
    <row r="940" ht="20" customHeight="1">
      <c r="A940" s="26" t="n"/>
      <c r="B940" s="35">
        <f>IFERROR(IF(A940="","",VLOOKUP(A940,DATABASE!$A:$B,2,0)),"")</f>
        <v/>
      </c>
      <c r="C940" s="36">
        <f>IFERROR(IF(A940="","",VLOOKUP(A940,DATABASE!$A:$J,10,0)),"")</f>
        <v/>
      </c>
      <c r="D940" s="37">
        <f>IF(A940="","",TODAY())</f>
        <v/>
      </c>
      <c r="E940" s="29" t="n"/>
      <c r="F940" s="36">
        <f>IFERROR(IF(OR(A940="",E940=""),"",C940-E940),"")</f>
        <v/>
      </c>
      <c r="G940" s="30" t="n"/>
      <c r="H940" s="35" t="n"/>
    </row>
    <row r="941" ht="20" customHeight="1">
      <c r="A941" s="26" t="n"/>
      <c r="B941" s="27">
        <f>IFERROR(IF(A941="","",VLOOKUP(A941,DATABASE!$A:$B,2,0)),"")</f>
        <v/>
      </c>
      <c r="C941" s="20">
        <f>IFERROR(IF(A941="","",VLOOKUP(A941,DATABASE!$A:$J,10,0)),"")</f>
        <v/>
      </c>
      <c r="D941" s="28">
        <f>IF(A941="","",TODAY())</f>
        <v/>
      </c>
      <c r="E941" s="29" t="n"/>
      <c r="F941" s="20">
        <f>IFERROR(IF(OR(A941="",E941=""),"",C941-E941),"")</f>
        <v/>
      </c>
      <c r="G941" s="30" t="n"/>
      <c r="H941" s="27" t="n"/>
    </row>
    <row r="942" ht="20" customHeight="1">
      <c r="A942" s="26" t="n"/>
      <c r="B942" s="35">
        <f>IFERROR(IF(A942="","",VLOOKUP(A942,DATABASE!$A:$B,2,0)),"")</f>
        <v/>
      </c>
      <c r="C942" s="36">
        <f>IFERROR(IF(A942="","",VLOOKUP(A942,DATABASE!$A:$J,10,0)),"")</f>
        <v/>
      </c>
      <c r="D942" s="37">
        <f>IF(A942="","",TODAY())</f>
        <v/>
      </c>
      <c r="E942" s="29" t="n"/>
      <c r="F942" s="36">
        <f>IFERROR(IF(OR(A942="",E942=""),"",C942-E942),"")</f>
        <v/>
      </c>
      <c r="G942" s="30" t="n"/>
      <c r="H942" s="35" t="n"/>
    </row>
    <row r="943" ht="20" customHeight="1">
      <c r="A943" s="26" t="n"/>
      <c r="B943" s="27">
        <f>IFERROR(IF(A943="","",VLOOKUP(A943,DATABASE!$A:$B,2,0)),"")</f>
        <v/>
      </c>
      <c r="C943" s="20">
        <f>IFERROR(IF(A943="","",VLOOKUP(A943,DATABASE!$A:$J,10,0)),"")</f>
        <v/>
      </c>
      <c r="D943" s="28">
        <f>IF(A943="","",TODAY())</f>
        <v/>
      </c>
      <c r="E943" s="29" t="n"/>
      <c r="F943" s="20">
        <f>IFERROR(IF(OR(A943="",E943=""),"",C943-E943),"")</f>
        <v/>
      </c>
      <c r="G943" s="30" t="n"/>
      <c r="H943" s="27" t="n"/>
    </row>
    <row r="944" ht="20" customHeight="1">
      <c r="A944" s="26" t="n"/>
      <c r="B944" s="35">
        <f>IFERROR(IF(A944="","",VLOOKUP(A944,DATABASE!$A:$B,2,0)),"")</f>
        <v/>
      </c>
      <c r="C944" s="36">
        <f>IFERROR(IF(A944="","",VLOOKUP(A944,DATABASE!$A:$J,10,0)),"")</f>
        <v/>
      </c>
      <c r="D944" s="37">
        <f>IF(A944="","",TODAY())</f>
        <v/>
      </c>
      <c r="E944" s="29" t="n"/>
      <c r="F944" s="36">
        <f>IFERROR(IF(OR(A944="",E944=""),"",C944-E944),"")</f>
        <v/>
      </c>
      <c r="G944" s="30" t="n"/>
      <c r="H944" s="35" t="n"/>
    </row>
    <row r="945" ht="20" customHeight="1">
      <c r="A945" s="26" t="n"/>
      <c r="B945" s="27">
        <f>IFERROR(IF(A945="","",VLOOKUP(A945,DATABASE!$A:$B,2,0)),"")</f>
        <v/>
      </c>
      <c r="C945" s="20">
        <f>IFERROR(IF(A945="","",VLOOKUP(A945,DATABASE!$A:$J,10,0)),"")</f>
        <v/>
      </c>
      <c r="D945" s="28">
        <f>IF(A945="","",TODAY())</f>
        <v/>
      </c>
      <c r="E945" s="29" t="n"/>
      <c r="F945" s="20">
        <f>IFERROR(IF(OR(A945="",E945=""),"",C945-E945),"")</f>
        <v/>
      </c>
      <c r="G945" s="30" t="n"/>
      <c r="H945" s="27" t="n"/>
    </row>
    <row r="946" ht="20" customHeight="1">
      <c r="A946" s="26" t="n"/>
      <c r="B946" s="35">
        <f>IFERROR(IF(A946="","",VLOOKUP(A946,DATABASE!$A:$B,2,0)),"")</f>
        <v/>
      </c>
      <c r="C946" s="36">
        <f>IFERROR(IF(A946="","",VLOOKUP(A946,DATABASE!$A:$J,10,0)),"")</f>
        <v/>
      </c>
      <c r="D946" s="37">
        <f>IF(A946="","",TODAY())</f>
        <v/>
      </c>
      <c r="E946" s="29" t="n"/>
      <c r="F946" s="36">
        <f>IFERROR(IF(OR(A946="",E946=""),"",C946-E946),"")</f>
        <v/>
      </c>
      <c r="G946" s="30" t="n"/>
      <c r="H946" s="35" t="n"/>
    </row>
    <row r="947" ht="20" customHeight="1">
      <c r="A947" s="26" t="n"/>
      <c r="B947" s="27">
        <f>IFERROR(IF(A947="","",VLOOKUP(A947,DATABASE!$A:$B,2,0)),"")</f>
        <v/>
      </c>
      <c r="C947" s="20">
        <f>IFERROR(IF(A947="","",VLOOKUP(A947,DATABASE!$A:$J,10,0)),"")</f>
        <v/>
      </c>
      <c r="D947" s="28">
        <f>IF(A947="","",TODAY())</f>
        <v/>
      </c>
      <c r="E947" s="29" t="n"/>
      <c r="F947" s="20">
        <f>IFERROR(IF(OR(A947="",E947=""),"",C947-E947),"")</f>
        <v/>
      </c>
      <c r="G947" s="30" t="n"/>
      <c r="H947" s="27" t="n"/>
    </row>
    <row r="948" ht="20" customHeight="1">
      <c r="A948" s="26" t="n"/>
      <c r="B948" s="35">
        <f>IFERROR(IF(A948="","",VLOOKUP(A948,DATABASE!$A:$B,2,0)),"")</f>
        <v/>
      </c>
      <c r="C948" s="36">
        <f>IFERROR(IF(A948="","",VLOOKUP(A948,DATABASE!$A:$J,10,0)),"")</f>
        <v/>
      </c>
      <c r="D948" s="37">
        <f>IF(A948="","",TODAY())</f>
        <v/>
      </c>
      <c r="E948" s="29" t="n"/>
      <c r="F948" s="36">
        <f>IFERROR(IF(OR(A948="",E948=""),"",C948-E948),"")</f>
        <v/>
      </c>
      <c r="G948" s="30" t="n"/>
      <c r="H948" s="35" t="n"/>
    </row>
    <row r="949" ht="20" customHeight="1">
      <c r="A949" s="26" t="n"/>
      <c r="B949" s="27">
        <f>IFERROR(IF(A949="","",VLOOKUP(A949,DATABASE!$A:$B,2,0)),"")</f>
        <v/>
      </c>
      <c r="C949" s="20">
        <f>IFERROR(IF(A949="","",VLOOKUP(A949,DATABASE!$A:$J,10,0)),"")</f>
        <v/>
      </c>
      <c r="D949" s="28">
        <f>IF(A949="","",TODAY())</f>
        <v/>
      </c>
      <c r="E949" s="29" t="n"/>
      <c r="F949" s="20">
        <f>IFERROR(IF(OR(A949="",E949=""),"",C949-E949),"")</f>
        <v/>
      </c>
      <c r="G949" s="30" t="n"/>
      <c r="H949" s="27" t="n"/>
    </row>
    <row r="950" ht="20" customHeight="1">
      <c r="A950" s="26" t="n"/>
      <c r="B950" s="35">
        <f>IFERROR(IF(A950="","",VLOOKUP(A950,DATABASE!$A:$B,2,0)),"")</f>
        <v/>
      </c>
      <c r="C950" s="36">
        <f>IFERROR(IF(A950="","",VLOOKUP(A950,DATABASE!$A:$J,10,0)),"")</f>
        <v/>
      </c>
      <c r="D950" s="37">
        <f>IF(A950="","",TODAY())</f>
        <v/>
      </c>
      <c r="E950" s="29" t="n"/>
      <c r="F950" s="36">
        <f>IFERROR(IF(OR(A950="",E950=""),"",C950-E950),"")</f>
        <v/>
      </c>
      <c r="G950" s="30" t="n"/>
      <c r="H950" s="35" t="n"/>
    </row>
    <row r="951" ht="20" customHeight="1">
      <c r="A951" s="26" t="n"/>
      <c r="B951" s="27">
        <f>IFERROR(IF(A951="","",VLOOKUP(A951,DATABASE!$A:$B,2,0)),"")</f>
        <v/>
      </c>
      <c r="C951" s="20">
        <f>IFERROR(IF(A951="","",VLOOKUP(A951,DATABASE!$A:$J,10,0)),"")</f>
        <v/>
      </c>
      <c r="D951" s="28">
        <f>IF(A951="","",TODAY())</f>
        <v/>
      </c>
      <c r="E951" s="29" t="n"/>
      <c r="F951" s="20">
        <f>IFERROR(IF(OR(A951="",E951=""),"",C951-E951),"")</f>
        <v/>
      </c>
      <c r="G951" s="30" t="n"/>
      <c r="H951" s="27" t="n"/>
    </row>
    <row r="952" ht="20" customHeight="1">
      <c r="A952" s="26" t="n"/>
      <c r="B952" s="35">
        <f>IFERROR(IF(A952="","",VLOOKUP(A952,DATABASE!$A:$B,2,0)),"")</f>
        <v/>
      </c>
      <c r="C952" s="36">
        <f>IFERROR(IF(A952="","",VLOOKUP(A952,DATABASE!$A:$J,10,0)),"")</f>
        <v/>
      </c>
      <c r="D952" s="37">
        <f>IF(A952="","",TODAY())</f>
        <v/>
      </c>
      <c r="E952" s="29" t="n"/>
      <c r="F952" s="36">
        <f>IFERROR(IF(OR(A952="",E952=""),"",C952-E952),"")</f>
        <v/>
      </c>
      <c r="G952" s="30" t="n"/>
      <c r="H952" s="35" t="n"/>
    </row>
    <row r="953" ht="20" customHeight="1">
      <c r="A953" s="26" t="n"/>
      <c r="B953" s="27">
        <f>IFERROR(IF(A953="","",VLOOKUP(A953,DATABASE!$A:$B,2,0)),"")</f>
        <v/>
      </c>
      <c r="C953" s="20">
        <f>IFERROR(IF(A953="","",VLOOKUP(A953,DATABASE!$A:$J,10,0)),"")</f>
        <v/>
      </c>
      <c r="D953" s="28">
        <f>IF(A953="","",TODAY())</f>
        <v/>
      </c>
      <c r="E953" s="29" t="n"/>
      <c r="F953" s="20">
        <f>IFERROR(IF(OR(A953="",E953=""),"",C953-E953),"")</f>
        <v/>
      </c>
      <c r="G953" s="30" t="n"/>
      <c r="H953" s="27" t="n"/>
    </row>
    <row r="954" ht="20" customHeight="1">
      <c r="A954" s="26" t="n"/>
      <c r="B954" s="35">
        <f>IFERROR(IF(A954="","",VLOOKUP(A954,DATABASE!$A:$B,2,0)),"")</f>
        <v/>
      </c>
      <c r="C954" s="36">
        <f>IFERROR(IF(A954="","",VLOOKUP(A954,DATABASE!$A:$J,10,0)),"")</f>
        <v/>
      </c>
      <c r="D954" s="37">
        <f>IF(A954="","",TODAY())</f>
        <v/>
      </c>
      <c r="E954" s="29" t="n"/>
      <c r="F954" s="36">
        <f>IFERROR(IF(OR(A954="",E954=""),"",C954-E954),"")</f>
        <v/>
      </c>
      <c r="G954" s="30" t="n"/>
      <c r="H954" s="35" t="n"/>
    </row>
    <row r="955" ht="20" customHeight="1">
      <c r="A955" s="26" t="n"/>
      <c r="B955" s="27">
        <f>IFERROR(IF(A955="","",VLOOKUP(A955,DATABASE!$A:$B,2,0)),"")</f>
        <v/>
      </c>
      <c r="C955" s="20">
        <f>IFERROR(IF(A955="","",VLOOKUP(A955,DATABASE!$A:$J,10,0)),"")</f>
        <v/>
      </c>
      <c r="D955" s="28">
        <f>IF(A955="","",TODAY())</f>
        <v/>
      </c>
      <c r="E955" s="29" t="n"/>
      <c r="F955" s="20">
        <f>IFERROR(IF(OR(A955="",E955=""),"",C955-E955),"")</f>
        <v/>
      </c>
      <c r="G955" s="30" t="n"/>
      <c r="H955" s="27" t="n"/>
    </row>
    <row r="956" ht="20" customHeight="1">
      <c r="A956" s="26" t="n"/>
      <c r="B956" s="35">
        <f>IFERROR(IF(A956="","",VLOOKUP(A956,DATABASE!$A:$B,2,0)),"")</f>
        <v/>
      </c>
      <c r="C956" s="36">
        <f>IFERROR(IF(A956="","",VLOOKUP(A956,DATABASE!$A:$J,10,0)),"")</f>
        <v/>
      </c>
      <c r="D956" s="37">
        <f>IF(A956="","",TODAY())</f>
        <v/>
      </c>
      <c r="E956" s="29" t="n"/>
      <c r="F956" s="36">
        <f>IFERROR(IF(OR(A956="",E956=""),"",C956-E956),"")</f>
        <v/>
      </c>
      <c r="G956" s="30" t="n"/>
      <c r="H956" s="35" t="n"/>
    </row>
    <row r="957" ht="20" customHeight="1">
      <c r="A957" s="26" t="n"/>
      <c r="B957" s="27">
        <f>IFERROR(IF(A957="","",VLOOKUP(A957,DATABASE!$A:$B,2,0)),"")</f>
        <v/>
      </c>
      <c r="C957" s="20">
        <f>IFERROR(IF(A957="","",VLOOKUP(A957,DATABASE!$A:$J,10,0)),"")</f>
        <v/>
      </c>
      <c r="D957" s="28">
        <f>IF(A957="","",TODAY())</f>
        <v/>
      </c>
      <c r="E957" s="29" t="n"/>
      <c r="F957" s="20">
        <f>IFERROR(IF(OR(A957="",E957=""),"",C957-E957),"")</f>
        <v/>
      </c>
      <c r="G957" s="30" t="n"/>
      <c r="H957" s="27" t="n"/>
    </row>
    <row r="958" ht="20" customHeight="1">
      <c r="A958" s="26" t="n"/>
      <c r="B958" s="35">
        <f>IFERROR(IF(A958="","",VLOOKUP(A958,DATABASE!$A:$B,2,0)),"")</f>
        <v/>
      </c>
      <c r="C958" s="36">
        <f>IFERROR(IF(A958="","",VLOOKUP(A958,DATABASE!$A:$J,10,0)),"")</f>
        <v/>
      </c>
      <c r="D958" s="37">
        <f>IF(A958="","",TODAY())</f>
        <v/>
      </c>
      <c r="E958" s="29" t="n"/>
      <c r="F958" s="36">
        <f>IFERROR(IF(OR(A958="",E958=""),"",C958-E958),"")</f>
        <v/>
      </c>
      <c r="G958" s="30" t="n"/>
      <c r="H958" s="35" t="n"/>
    </row>
    <row r="959" ht="20" customHeight="1">
      <c r="A959" s="26" t="n"/>
      <c r="B959" s="27">
        <f>IFERROR(IF(A959="","",VLOOKUP(A959,DATABASE!$A:$B,2,0)),"")</f>
        <v/>
      </c>
      <c r="C959" s="20">
        <f>IFERROR(IF(A959="","",VLOOKUP(A959,DATABASE!$A:$J,10,0)),"")</f>
        <v/>
      </c>
      <c r="D959" s="28">
        <f>IF(A959="","",TODAY())</f>
        <v/>
      </c>
      <c r="E959" s="29" t="n"/>
      <c r="F959" s="20">
        <f>IFERROR(IF(OR(A959="",E959=""),"",C959-E959),"")</f>
        <v/>
      </c>
      <c r="G959" s="30" t="n"/>
      <c r="H959" s="27" t="n"/>
    </row>
    <row r="960" ht="20" customHeight="1">
      <c r="A960" s="26" t="n"/>
      <c r="B960" s="35">
        <f>IFERROR(IF(A960="","",VLOOKUP(A960,DATABASE!$A:$B,2,0)),"")</f>
        <v/>
      </c>
      <c r="C960" s="36">
        <f>IFERROR(IF(A960="","",VLOOKUP(A960,DATABASE!$A:$J,10,0)),"")</f>
        <v/>
      </c>
      <c r="D960" s="37">
        <f>IF(A960="","",TODAY())</f>
        <v/>
      </c>
      <c r="E960" s="29" t="n"/>
      <c r="F960" s="36">
        <f>IFERROR(IF(OR(A960="",E960=""),"",C960-E960),"")</f>
        <v/>
      </c>
      <c r="G960" s="30" t="n"/>
      <c r="H960" s="35" t="n"/>
    </row>
    <row r="961" ht="20" customHeight="1">
      <c r="A961" s="26" t="n"/>
      <c r="B961" s="27">
        <f>IFERROR(IF(A961="","",VLOOKUP(A961,DATABASE!$A:$B,2,0)),"")</f>
        <v/>
      </c>
      <c r="C961" s="20">
        <f>IFERROR(IF(A961="","",VLOOKUP(A961,DATABASE!$A:$J,10,0)),"")</f>
        <v/>
      </c>
      <c r="D961" s="28">
        <f>IF(A961="","",TODAY())</f>
        <v/>
      </c>
      <c r="E961" s="29" t="n"/>
      <c r="F961" s="20">
        <f>IFERROR(IF(OR(A961="",E961=""),"",C961-E961),"")</f>
        <v/>
      </c>
      <c r="G961" s="30" t="n"/>
      <c r="H961" s="27" t="n"/>
    </row>
    <row r="962" ht="20" customHeight="1">
      <c r="A962" s="26" t="n"/>
      <c r="B962" s="35">
        <f>IFERROR(IF(A962="","",VLOOKUP(A962,DATABASE!$A:$B,2,0)),"")</f>
        <v/>
      </c>
      <c r="C962" s="36">
        <f>IFERROR(IF(A962="","",VLOOKUP(A962,DATABASE!$A:$J,10,0)),"")</f>
        <v/>
      </c>
      <c r="D962" s="37">
        <f>IF(A962="","",TODAY())</f>
        <v/>
      </c>
      <c r="E962" s="29" t="n"/>
      <c r="F962" s="36">
        <f>IFERROR(IF(OR(A962="",E962=""),"",C962-E962),"")</f>
        <v/>
      </c>
      <c r="G962" s="30" t="n"/>
      <c r="H962" s="35" t="n"/>
    </row>
    <row r="963" ht="20" customHeight="1">
      <c r="A963" s="26" t="n"/>
      <c r="B963" s="27">
        <f>IFERROR(IF(A963="","",VLOOKUP(A963,DATABASE!$A:$B,2,0)),"")</f>
        <v/>
      </c>
      <c r="C963" s="20">
        <f>IFERROR(IF(A963="","",VLOOKUP(A963,DATABASE!$A:$J,10,0)),"")</f>
        <v/>
      </c>
      <c r="D963" s="28">
        <f>IF(A963="","",TODAY())</f>
        <v/>
      </c>
      <c r="E963" s="29" t="n"/>
      <c r="F963" s="20">
        <f>IFERROR(IF(OR(A963="",E963=""),"",C963-E963),"")</f>
        <v/>
      </c>
      <c r="G963" s="30" t="n"/>
      <c r="H963" s="27" t="n"/>
    </row>
    <row r="964" ht="20" customHeight="1">
      <c r="A964" s="26" t="n"/>
      <c r="B964" s="35">
        <f>IFERROR(IF(A964="","",VLOOKUP(A964,DATABASE!$A:$B,2,0)),"")</f>
        <v/>
      </c>
      <c r="C964" s="36">
        <f>IFERROR(IF(A964="","",VLOOKUP(A964,DATABASE!$A:$J,10,0)),"")</f>
        <v/>
      </c>
      <c r="D964" s="37">
        <f>IF(A964="","",TODAY())</f>
        <v/>
      </c>
      <c r="E964" s="29" t="n"/>
      <c r="F964" s="36">
        <f>IFERROR(IF(OR(A964="",E964=""),"",C964-E964),"")</f>
        <v/>
      </c>
      <c r="G964" s="30" t="n"/>
      <c r="H964" s="35" t="n"/>
    </row>
    <row r="965" ht="20" customHeight="1">
      <c r="A965" s="26" t="n"/>
      <c r="B965" s="27">
        <f>IFERROR(IF(A965="","",VLOOKUP(A965,DATABASE!$A:$B,2,0)),"")</f>
        <v/>
      </c>
      <c r="C965" s="20">
        <f>IFERROR(IF(A965="","",VLOOKUP(A965,DATABASE!$A:$J,10,0)),"")</f>
        <v/>
      </c>
      <c r="D965" s="28">
        <f>IF(A965="","",TODAY())</f>
        <v/>
      </c>
      <c r="E965" s="29" t="n"/>
      <c r="F965" s="20">
        <f>IFERROR(IF(OR(A965="",E965=""),"",C965-E965),"")</f>
        <v/>
      </c>
      <c r="G965" s="30" t="n"/>
      <c r="H965" s="27" t="n"/>
    </row>
    <row r="966" ht="20" customHeight="1">
      <c r="A966" s="26" t="n"/>
      <c r="B966" s="35">
        <f>IFERROR(IF(A966="","",VLOOKUP(A966,DATABASE!$A:$B,2,0)),"")</f>
        <v/>
      </c>
      <c r="C966" s="36">
        <f>IFERROR(IF(A966="","",VLOOKUP(A966,DATABASE!$A:$J,10,0)),"")</f>
        <v/>
      </c>
      <c r="D966" s="37">
        <f>IF(A966="","",TODAY())</f>
        <v/>
      </c>
      <c r="E966" s="29" t="n"/>
      <c r="F966" s="36">
        <f>IFERROR(IF(OR(A966="",E966=""),"",C966-E966),"")</f>
        <v/>
      </c>
      <c r="G966" s="30" t="n"/>
      <c r="H966" s="35" t="n"/>
    </row>
    <row r="967" ht="20" customHeight="1">
      <c r="A967" s="26" t="n"/>
      <c r="B967" s="27">
        <f>IFERROR(IF(A967="","",VLOOKUP(A967,DATABASE!$A:$B,2,0)),"")</f>
        <v/>
      </c>
      <c r="C967" s="20">
        <f>IFERROR(IF(A967="","",VLOOKUP(A967,DATABASE!$A:$J,10,0)),"")</f>
        <v/>
      </c>
      <c r="D967" s="28">
        <f>IF(A967="","",TODAY())</f>
        <v/>
      </c>
      <c r="E967" s="29" t="n"/>
      <c r="F967" s="20">
        <f>IFERROR(IF(OR(A967="",E967=""),"",C967-E967),"")</f>
        <v/>
      </c>
      <c r="G967" s="30" t="n"/>
      <c r="H967" s="27" t="n"/>
    </row>
    <row r="968" ht="20" customHeight="1">
      <c r="A968" s="26" t="n"/>
      <c r="B968" s="35">
        <f>IFERROR(IF(A968="","",VLOOKUP(A968,DATABASE!$A:$B,2,0)),"")</f>
        <v/>
      </c>
      <c r="C968" s="36">
        <f>IFERROR(IF(A968="","",VLOOKUP(A968,DATABASE!$A:$J,10,0)),"")</f>
        <v/>
      </c>
      <c r="D968" s="37">
        <f>IF(A968="","",TODAY())</f>
        <v/>
      </c>
      <c r="E968" s="29" t="n"/>
      <c r="F968" s="36">
        <f>IFERROR(IF(OR(A968="",E968=""),"",C968-E968),"")</f>
        <v/>
      </c>
      <c r="G968" s="30" t="n"/>
      <c r="H968" s="35" t="n"/>
    </row>
    <row r="969" ht="20" customHeight="1">
      <c r="A969" s="26" t="n"/>
      <c r="B969" s="27">
        <f>IFERROR(IF(A969="","",VLOOKUP(A969,DATABASE!$A:$B,2,0)),"")</f>
        <v/>
      </c>
      <c r="C969" s="20">
        <f>IFERROR(IF(A969="","",VLOOKUP(A969,DATABASE!$A:$J,10,0)),"")</f>
        <v/>
      </c>
      <c r="D969" s="28">
        <f>IF(A969="","",TODAY())</f>
        <v/>
      </c>
      <c r="E969" s="29" t="n"/>
      <c r="F969" s="20">
        <f>IFERROR(IF(OR(A969="",E969=""),"",C969-E969),"")</f>
        <v/>
      </c>
      <c r="G969" s="30" t="n"/>
      <c r="H969" s="27" t="n"/>
    </row>
    <row r="970" ht="20" customHeight="1">
      <c r="A970" s="26" t="n"/>
      <c r="B970" s="35">
        <f>IFERROR(IF(A970="","",VLOOKUP(A970,DATABASE!$A:$B,2,0)),"")</f>
        <v/>
      </c>
      <c r="C970" s="36">
        <f>IFERROR(IF(A970="","",VLOOKUP(A970,DATABASE!$A:$J,10,0)),"")</f>
        <v/>
      </c>
      <c r="D970" s="37">
        <f>IF(A970="","",TODAY())</f>
        <v/>
      </c>
      <c r="E970" s="29" t="n"/>
      <c r="F970" s="36">
        <f>IFERROR(IF(OR(A970="",E970=""),"",C970-E970),"")</f>
        <v/>
      </c>
      <c r="G970" s="30" t="n"/>
      <c r="H970" s="35" t="n"/>
    </row>
    <row r="971" ht="20" customHeight="1">
      <c r="A971" s="26" t="n"/>
      <c r="B971" s="27">
        <f>IFERROR(IF(A971="","",VLOOKUP(A971,DATABASE!$A:$B,2,0)),"")</f>
        <v/>
      </c>
      <c r="C971" s="20">
        <f>IFERROR(IF(A971="","",VLOOKUP(A971,DATABASE!$A:$J,10,0)),"")</f>
        <v/>
      </c>
      <c r="D971" s="28">
        <f>IF(A971="","",TODAY())</f>
        <v/>
      </c>
      <c r="E971" s="29" t="n"/>
      <c r="F971" s="20">
        <f>IFERROR(IF(OR(A971="",E971=""),"",C971-E971),"")</f>
        <v/>
      </c>
      <c r="G971" s="30" t="n"/>
      <c r="H971" s="27" t="n"/>
    </row>
    <row r="972" ht="20" customHeight="1">
      <c r="A972" s="26" t="n"/>
      <c r="B972" s="35">
        <f>IFERROR(IF(A972="","",VLOOKUP(A972,DATABASE!$A:$B,2,0)),"")</f>
        <v/>
      </c>
      <c r="C972" s="36">
        <f>IFERROR(IF(A972="","",VLOOKUP(A972,DATABASE!$A:$J,10,0)),"")</f>
        <v/>
      </c>
      <c r="D972" s="37">
        <f>IF(A972="","",TODAY())</f>
        <v/>
      </c>
      <c r="E972" s="29" t="n"/>
      <c r="F972" s="36">
        <f>IFERROR(IF(OR(A972="",E972=""),"",C972-E972),"")</f>
        <v/>
      </c>
      <c r="G972" s="30" t="n"/>
      <c r="H972" s="35" t="n"/>
    </row>
    <row r="973" ht="20" customHeight="1">
      <c r="A973" s="26" t="n"/>
      <c r="B973" s="27">
        <f>IFERROR(IF(A973="","",VLOOKUP(A973,DATABASE!$A:$B,2,0)),"")</f>
        <v/>
      </c>
      <c r="C973" s="20">
        <f>IFERROR(IF(A973="","",VLOOKUP(A973,DATABASE!$A:$J,10,0)),"")</f>
        <v/>
      </c>
      <c r="D973" s="28">
        <f>IF(A973="","",TODAY())</f>
        <v/>
      </c>
      <c r="E973" s="29" t="n"/>
      <c r="F973" s="20">
        <f>IFERROR(IF(OR(A973="",E973=""),"",C973-E973),"")</f>
        <v/>
      </c>
      <c r="G973" s="30" t="n"/>
      <c r="H973" s="27" t="n"/>
    </row>
    <row r="974" ht="20" customHeight="1">
      <c r="A974" s="26" t="n"/>
      <c r="B974" s="35">
        <f>IFERROR(IF(A974="","",VLOOKUP(A974,DATABASE!$A:$B,2,0)),"")</f>
        <v/>
      </c>
      <c r="C974" s="36">
        <f>IFERROR(IF(A974="","",VLOOKUP(A974,DATABASE!$A:$J,10,0)),"")</f>
        <v/>
      </c>
      <c r="D974" s="37">
        <f>IF(A974="","",TODAY())</f>
        <v/>
      </c>
      <c r="E974" s="29" t="n"/>
      <c r="F974" s="36">
        <f>IFERROR(IF(OR(A974="",E974=""),"",C974-E974),"")</f>
        <v/>
      </c>
      <c r="G974" s="30" t="n"/>
      <c r="H974" s="35" t="n"/>
    </row>
    <row r="975" ht="20" customHeight="1">
      <c r="A975" s="26" t="n"/>
      <c r="B975" s="27">
        <f>IFERROR(IF(A975="","",VLOOKUP(A975,DATABASE!$A:$B,2,0)),"")</f>
        <v/>
      </c>
      <c r="C975" s="20">
        <f>IFERROR(IF(A975="","",VLOOKUP(A975,DATABASE!$A:$J,10,0)),"")</f>
        <v/>
      </c>
      <c r="D975" s="28">
        <f>IF(A975="","",TODAY())</f>
        <v/>
      </c>
      <c r="E975" s="29" t="n"/>
      <c r="F975" s="20">
        <f>IFERROR(IF(OR(A975="",E975=""),"",C975-E975),"")</f>
        <v/>
      </c>
      <c r="G975" s="30" t="n"/>
      <c r="H975" s="27" t="n"/>
    </row>
    <row r="976" ht="20" customHeight="1">
      <c r="A976" s="26" t="n"/>
      <c r="B976" s="35">
        <f>IFERROR(IF(A976="","",VLOOKUP(A976,DATABASE!$A:$B,2,0)),"")</f>
        <v/>
      </c>
      <c r="C976" s="36">
        <f>IFERROR(IF(A976="","",VLOOKUP(A976,DATABASE!$A:$J,10,0)),"")</f>
        <v/>
      </c>
      <c r="D976" s="37">
        <f>IF(A976="","",TODAY())</f>
        <v/>
      </c>
      <c r="E976" s="29" t="n"/>
      <c r="F976" s="36">
        <f>IFERROR(IF(OR(A976="",E976=""),"",C976-E976),"")</f>
        <v/>
      </c>
      <c r="G976" s="30" t="n"/>
      <c r="H976" s="35" t="n"/>
    </row>
    <row r="977" ht="20" customHeight="1">
      <c r="A977" s="26" t="n"/>
      <c r="B977" s="27">
        <f>IFERROR(IF(A977="","",VLOOKUP(A977,DATABASE!$A:$B,2,0)),"")</f>
        <v/>
      </c>
      <c r="C977" s="20">
        <f>IFERROR(IF(A977="","",VLOOKUP(A977,DATABASE!$A:$J,10,0)),"")</f>
        <v/>
      </c>
      <c r="D977" s="28">
        <f>IF(A977="","",TODAY())</f>
        <v/>
      </c>
      <c r="E977" s="29" t="n"/>
      <c r="F977" s="20">
        <f>IFERROR(IF(OR(A977="",E977=""),"",C977-E977),"")</f>
        <v/>
      </c>
      <c r="G977" s="30" t="n"/>
      <c r="H977" s="27" t="n"/>
    </row>
    <row r="978" ht="20" customHeight="1">
      <c r="A978" s="26" t="n"/>
      <c r="B978" s="35">
        <f>IFERROR(IF(A978="","",VLOOKUP(A978,DATABASE!$A:$B,2,0)),"")</f>
        <v/>
      </c>
      <c r="C978" s="36">
        <f>IFERROR(IF(A978="","",VLOOKUP(A978,DATABASE!$A:$J,10,0)),"")</f>
        <v/>
      </c>
      <c r="D978" s="37">
        <f>IF(A978="","",TODAY())</f>
        <v/>
      </c>
      <c r="E978" s="29" t="n"/>
      <c r="F978" s="36">
        <f>IFERROR(IF(OR(A978="",E978=""),"",C978-E978),"")</f>
        <v/>
      </c>
      <c r="G978" s="30" t="n"/>
      <c r="H978" s="35" t="n"/>
    </row>
    <row r="979" ht="20" customHeight="1">
      <c r="A979" s="26" t="n"/>
      <c r="B979" s="27">
        <f>IFERROR(IF(A979="","",VLOOKUP(A979,DATABASE!$A:$B,2,0)),"")</f>
        <v/>
      </c>
      <c r="C979" s="20">
        <f>IFERROR(IF(A979="","",VLOOKUP(A979,DATABASE!$A:$J,10,0)),"")</f>
        <v/>
      </c>
      <c r="D979" s="28">
        <f>IF(A979="","",TODAY())</f>
        <v/>
      </c>
      <c r="E979" s="29" t="n"/>
      <c r="F979" s="20">
        <f>IFERROR(IF(OR(A979="",E979=""),"",C979-E979),"")</f>
        <v/>
      </c>
      <c r="G979" s="30" t="n"/>
      <c r="H979" s="27" t="n"/>
    </row>
    <row r="980" ht="20" customHeight="1">
      <c r="A980" s="26" t="n"/>
      <c r="B980" s="35">
        <f>IFERROR(IF(A980="","",VLOOKUP(A980,DATABASE!$A:$B,2,0)),"")</f>
        <v/>
      </c>
      <c r="C980" s="36">
        <f>IFERROR(IF(A980="","",VLOOKUP(A980,DATABASE!$A:$J,10,0)),"")</f>
        <v/>
      </c>
      <c r="D980" s="37">
        <f>IF(A980="","",TODAY())</f>
        <v/>
      </c>
      <c r="E980" s="29" t="n"/>
      <c r="F980" s="36">
        <f>IFERROR(IF(OR(A980="",E980=""),"",C980-E980),"")</f>
        <v/>
      </c>
      <c r="G980" s="30" t="n"/>
      <c r="H980" s="35" t="n"/>
    </row>
    <row r="981" ht="20" customHeight="1">
      <c r="A981" s="26" t="n"/>
      <c r="B981" s="27">
        <f>IFERROR(IF(A981="","",VLOOKUP(A981,DATABASE!$A:$B,2,0)),"")</f>
        <v/>
      </c>
      <c r="C981" s="20">
        <f>IFERROR(IF(A981="","",VLOOKUP(A981,DATABASE!$A:$J,10,0)),"")</f>
        <v/>
      </c>
      <c r="D981" s="28">
        <f>IF(A981="","",TODAY())</f>
        <v/>
      </c>
      <c r="E981" s="29" t="n"/>
      <c r="F981" s="20">
        <f>IFERROR(IF(OR(A981="",E981=""),"",C981-E981),"")</f>
        <v/>
      </c>
      <c r="G981" s="30" t="n"/>
      <c r="H981" s="27" t="n"/>
    </row>
    <row r="982" ht="20" customHeight="1">
      <c r="A982" s="26" t="n"/>
      <c r="B982" s="35">
        <f>IFERROR(IF(A982="","",VLOOKUP(A982,DATABASE!$A:$B,2,0)),"")</f>
        <v/>
      </c>
      <c r="C982" s="36">
        <f>IFERROR(IF(A982="","",VLOOKUP(A982,DATABASE!$A:$J,10,0)),"")</f>
        <v/>
      </c>
      <c r="D982" s="37">
        <f>IF(A982="","",TODAY())</f>
        <v/>
      </c>
      <c r="E982" s="29" t="n"/>
      <c r="F982" s="36">
        <f>IFERROR(IF(OR(A982="",E982=""),"",C982-E982),"")</f>
        <v/>
      </c>
      <c r="G982" s="30" t="n"/>
      <c r="H982" s="35" t="n"/>
    </row>
    <row r="983" ht="20" customHeight="1">
      <c r="A983" s="26" t="n"/>
      <c r="B983" s="27">
        <f>IFERROR(IF(A983="","",VLOOKUP(A983,DATABASE!$A:$B,2,0)),"")</f>
        <v/>
      </c>
      <c r="C983" s="20">
        <f>IFERROR(IF(A983="","",VLOOKUP(A983,DATABASE!$A:$J,10,0)),"")</f>
        <v/>
      </c>
      <c r="D983" s="28">
        <f>IF(A983="","",TODAY())</f>
        <v/>
      </c>
      <c r="E983" s="29" t="n"/>
      <c r="F983" s="20">
        <f>IFERROR(IF(OR(A983="",E983=""),"",C983-E983),"")</f>
        <v/>
      </c>
      <c r="G983" s="30" t="n"/>
      <c r="H983" s="27" t="n"/>
    </row>
    <row r="984" ht="20" customHeight="1">
      <c r="A984" s="26" t="n"/>
      <c r="B984" s="35">
        <f>IFERROR(IF(A984="","",VLOOKUP(A984,DATABASE!$A:$B,2,0)),"")</f>
        <v/>
      </c>
      <c r="C984" s="36">
        <f>IFERROR(IF(A984="","",VLOOKUP(A984,DATABASE!$A:$J,10,0)),"")</f>
        <v/>
      </c>
      <c r="D984" s="37">
        <f>IF(A984="","",TODAY())</f>
        <v/>
      </c>
      <c r="E984" s="29" t="n"/>
      <c r="F984" s="36">
        <f>IFERROR(IF(OR(A984="",E984=""),"",C984-E984),"")</f>
        <v/>
      </c>
      <c r="G984" s="30" t="n"/>
      <c r="H984" s="35" t="n"/>
    </row>
    <row r="985" ht="20" customHeight="1">
      <c r="A985" s="26" t="n"/>
      <c r="B985" s="27">
        <f>IFERROR(IF(A985="","",VLOOKUP(A985,DATABASE!$A:$B,2,0)),"")</f>
        <v/>
      </c>
      <c r="C985" s="20">
        <f>IFERROR(IF(A985="","",VLOOKUP(A985,DATABASE!$A:$J,10,0)),"")</f>
        <v/>
      </c>
      <c r="D985" s="28">
        <f>IF(A985="","",TODAY())</f>
        <v/>
      </c>
      <c r="E985" s="29" t="n"/>
      <c r="F985" s="20">
        <f>IFERROR(IF(OR(A985="",E985=""),"",C985-E985),"")</f>
        <v/>
      </c>
      <c r="G985" s="30" t="n"/>
      <c r="H985" s="27" t="n"/>
    </row>
    <row r="986" ht="20" customHeight="1">
      <c r="A986" s="26" t="n"/>
      <c r="B986" s="35">
        <f>IFERROR(IF(A986="","",VLOOKUP(A986,DATABASE!$A:$B,2,0)),"")</f>
        <v/>
      </c>
      <c r="C986" s="36">
        <f>IFERROR(IF(A986="","",VLOOKUP(A986,DATABASE!$A:$J,10,0)),"")</f>
        <v/>
      </c>
      <c r="D986" s="37">
        <f>IF(A986="","",TODAY())</f>
        <v/>
      </c>
      <c r="E986" s="29" t="n"/>
      <c r="F986" s="36">
        <f>IFERROR(IF(OR(A986="",E986=""),"",C986-E986),"")</f>
        <v/>
      </c>
      <c r="G986" s="30" t="n"/>
      <c r="H986" s="35" t="n"/>
    </row>
    <row r="987" ht="20" customHeight="1">
      <c r="A987" s="26" t="n"/>
      <c r="B987" s="27">
        <f>IFERROR(IF(A987="","",VLOOKUP(A987,DATABASE!$A:$B,2,0)),"")</f>
        <v/>
      </c>
      <c r="C987" s="20">
        <f>IFERROR(IF(A987="","",VLOOKUP(A987,DATABASE!$A:$J,10,0)),"")</f>
        <v/>
      </c>
      <c r="D987" s="28">
        <f>IF(A987="","",TODAY())</f>
        <v/>
      </c>
      <c r="E987" s="29" t="n"/>
      <c r="F987" s="20">
        <f>IFERROR(IF(OR(A987="",E987=""),"",C987-E987),"")</f>
        <v/>
      </c>
      <c r="G987" s="30" t="n"/>
      <c r="H987" s="27" t="n"/>
    </row>
    <row r="988" ht="20" customHeight="1">
      <c r="A988" s="26" t="n"/>
      <c r="B988" s="35">
        <f>IFERROR(IF(A988="","",VLOOKUP(A988,DATABASE!$A:$B,2,0)),"")</f>
        <v/>
      </c>
      <c r="C988" s="36">
        <f>IFERROR(IF(A988="","",VLOOKUP(A988,DATABASE!$A:$J,10,0)),"")</f>
        <v/>
      </c>
      <c r="D988" s="37">
        <f>IF(A988="","",TODAY())</f>
        <v/>
      </c>
      <c r="E988" s="29" t="n"/>
      <c r="F988" s="36">
        <f>IFERROR(IF(OR(A988="",E988=""),"",C988-E988),"")</f>
        <v/>
      </c>
      <c r="G988" s="30" t="n"/>
      <c r="H988" s="35" t="n"/>
    </row>
    <row r="989" ht="20" customHeight="1">
      <c r="A989" s="26" t="n"/>
      <c r="B989" s="27">
        <f>IFERROR(IF(A989="","",VLOOKUP(A989,DATABASE!$A:$B,2,0)),"")</f>
        <v/>
      </c>
      <c r="C989" s="20">
        <f>IFERROR(IF(A989="","",VLOOKUP(A989,DATABASE!$A:$J,10,0)),"")</f>
        <v/>
      </c>
      <c r="D989" s="28">
        <f>IF(A989="","",TODAY())</f>
        <v/>
      </c>
      <c r="E989" s="29" t="n"/>
      <c r="F989" s="20">
        <f>IFERROR(IF(OR(A989="",E989=""),"",C989-E989),"")</f>
        <v/>
      </c>
      <c r="G989" s="30" t="n"/>
      <c r="H989" s="27" t="n"/>
    </row>
    <row r="990" ht="20" customHeight="1">
      <c r="A990" s="26" t="n"/>
      <c r="B990" s="35">
        <f>IFERROR(IF(A990="","",VLOOKUP(A990,DATABASE!$A:$B,2,0)),"")</f>
        <v/>
      </c>
      <c r="C990" s="36">
        <f>IFERROR(IF(A990="","",VLOOKUP(A990,DATABASE!$A:$J,10,0)),"")</f>
        <v/>
      </c>
      <c r="D990" s="37">
        <f>IF(A990="","",TODAY())</f>
        <v/>
      </c>
      <c r="E990" s="29" t="n"/>
      <c r="F990" s="36">
        <f>IFERROR(IF(OR(A990="",E990=""),"",C990-E990),"")</f>
        <v/>
      </c>
      <c r="G990" s="30" t="n"/>
      <c r="H990" s="35" t="n"/>
    </row>
    <row r="991" ht="20" customHeight="1">
      <c r="A991" s="26" t="n"/>
      <c r="B991" s="27">
        <f>IFERROR(IF(A991="","",VLOOKUP(A991,DATABASE!$A:$B,2,0)),"")</f>
        <v/>
      </c>
      <c r="C991" s="20">
        <f>IFERROR(IF(A991="","",VLOOKUP(A991,DATABASE!$A:$J,10,0)),"")</f>
        <v/>
      </c>
      <c r="D991" s="28">
        <f>IF(A991="","",TODAY())</f>
        <v/>
      </c>
      <c r="E991" s="29" t="n"/>
      <c r="F991" s="20">
        <f>IFERROR(IF(OR(A991="",E991=""),"",C991-E991),"")</f>
        <v/>
      </c>
      <c r="G991" s="30" t="n"/>
      <c r="H991" s="27" t="n"/>
    </row>
    <row r="992" ht="20" customHeight="1">
      <c r="A992" s="26" t="n"/>
      <c r="B992" s="35">
        <f>IFERROR(IF(A992="","",VLOOKUP(A992,DATABASE!$A:$B,2,0)),"")</f>
        <v/>
      </c>
      <c r="C992" s="36">
        <f>IFERROR(IF(A992="","",VLOOKUP(A992,DATABASE!$A:$J,10,0)),"")</f>
        <v/>
      </c>
      <c r="D992" s="37">
        <f>IF(A992="","",TODAY())</f>
        <v/>
      </c>
      <c r="E992" s="29" t="n"/>
      <c r="F992" s="36">
        <f>IFERROR(IF(OR(A992="",E992=""),"",C992-E992),"")</f>
        <v/>
      </c>
      <c r="G992" s="30" t="n"/>
      <c r="H992" s="35" t="n"/>
    </row>
    <row r="993" ht="20" customHeight="1">
      <c r="A993" s="26" t="n"/>
      <c r="B993" s="27">
        <f>IFERROR(IF(A993="","",VLOOKUP(A993,DATABASE!$A:$B,2,0)),"")</f>
        <v/>
      </c>
      <c r="C993" s="20">
        <f>IFERROR(IF(A993="","",VLOOKUP(A993,DATABASE!$A:$J,10,0)),"")</f>
        <v/>
      </c>
      <c r="D993" s="28">
        <f>IF(A993="","",TODAY())</f>
        <v/>
      </c>
      <c r="E993" s="29" t="n"/>
      <c r="F993" s="20">
        <f>IFERROR(IF(OR(A993="",E993=""),"",C993-E993),"")</f>
        <v/>
      </c>
      <c r="G993" s="30" t="n"/>
      <c r="H993" s="27" t="n"/>
    </row>
    <row r="994" ht="20" customHeight="1">
      <c r="A994" s="26" t="n"/>
      <c r="B994" s="35">
        <f>IFERROR(IF(A994="","",VLOOKUP(A994,DATABASE!$A:$B,2,0)),"")</f>
        <v/>
      </c>
      <c r="C994" s="36">
        <f>IFERROR(IF(A994="","",VLOOKUP(A994,DATABASE!$A:$J,10,0)),"")</f>
        <v/>
      </c>
      <c r="D994" s="37">
        <f>IF(A994="","",TODAY())</f>
        <v/>
      </c>
      <c r="E994" s="29" t="n"/>
      <c r="F994" s="36">
        <f>IFERROR(IF(OR(A994="",E994=""),"",C994-E994),"")</f>
        <v/>
      </c>
      <c r="G994" s="30" t="n"/>
      <c r="H994" s="35" t="n"/>
    </row>
    <row r="995" ht="20" customHeight="1">
      <c r="A995" s="26" t="n"/>
      <c r="B995" s="27">
        <f>IFERROR(IF(A995="","",VLOOKUP(A995,DATABASE!$A:$B,2,0)),"")</f>
        <v/>
      </c>
      <c r="C995" s="20">
        <f>IFERROR(IF(A995="","",VLOOKUP(A995,DATABASE!$A:$J,10,0)),"")</f>
        <v/>
      </c>
      <c r="D995" s="28">
        <f>IF(A995="","",TODAY())</f>
        <v/>
      </c>
      <c r="E995" s="29" t="n"/>
      <c r="F995" s="20">
        <f>IFERROR(IF(OR(A995="",E995=""),"",C995-E995),"")</f>
        <v/>
      </c>
      <c r="G995" s="30" t="n"/>
      <c r="H995" s="27" t="n"/>
    </row>
    <row r="996" ht="20" customHeight="1">
      <c r="A996" s="26" t="n"/>
      <c r="B996" s="35">
        <f>IFERROR(IF(A996="","",VLOOKUP(A996,DATABASE!$A:$B,2,0)),"")</f>
        <v/>
      </c>
      <c r="C996" s="36">
        <f>IFERROR(IF(A996="","",VLOOKUP(A996,DATABASE!$A:$J,10,0)),"")</f>
        <v/>
      </c>
      <c r="D996" s="37">
        <f>IF(A996="","",TODAY())</f>
        <v/>
      </c>
      <c r="E996" s="29" t="n"/>
      <c r="F996" s="36">
        <f>IFERROR(IF(OR(A996="",E996=""),"",C996-E996),"")</f>
        <v/>
      </c>
      <c r="G996" s="30" t="n"/>
      <c r="H996" s="35" t="n"/>
    </row>
    <row r="997" ht="20" customHeight="1">
      <c r="A997" s="26" t="n"/>
      <c r="B997" s="27">
        <f>IFERROR(IF(A997="","",VLOOKUP(A997,DATABASE!$A:$B,2,0)),"")</f>
        <v/>
      </c>
      <c r="C997" s="20">
        <f>IFERROR(IF(A997="","",VLOOKUP(A997,DATABASE!$A:$J,10,0)),"")</f>
        <v/>
      </c>
      <c r="D997" s="28">
        <f>IF(A997="","",TODAY())</f>
        <v/>
      </c>
      <c r="E997" s="29" t="n"/>
      <c r="F997" s="20">
        <f>IFERROR(IF(OR(A997="",E997=""),"",C997-E997),"")</f>
        <v/>
      </c>
      <c r="G997" s="30" t="n"/>
      <c r="H997" s="27" t="n"/>
    </row>
    <row r="998" ht="20" customHeight="1">
      <c r="A998" s="26" t="n"/>
      <c r="B998" s="35">
        <f>IFERROR(IF(A998="","",VLOOKUP(A998,DATABASE!$A:$B,2,0)),"")</f>
        <v/>
      </c>
      <c r="C998" s="36">
        <f>IFERROR(IF(A998="","",VLOOKUP(A998,DATABASE!$A:$J,10,0)),"")</f>
        <v/>
      </c>
      <c r="D998" s="37">
        <f>IF(A998="","",TODAY())</f>
        <v/>
      </c>
      <c r="E998" s="29" t="n"/>
      <c r="F998" s="36">
        <f>IFERROR(IF(OR(A998="",E998=""),"",C998-E998),"")</f>
        <v/>
      </c>
      <c r="G998" s="30" t="n"/>
      <c r="H998" s="35" t="n"/>
    </row>
    <row r="999" ht="20" customHeight="1">
      <c r="A999" s="26" t="n"/>
      <c r="B999" s="27">
        <f>IFERROR(IF(A999="","",VLOOKUP(A999,DATABASE!$A:$B,2,0)),"")</f>
        <v/>
      </c>
      <c r="C999" s="20">
        <f>IFERROR(IF(A999="","",VLOOKUP(A999,DATABASE!$A:$J,10,0)),"")</f>
        <v/>
      </c>
      <c r="D999" s="28">
        <f>IF(A999="","",TODAY())</f>
        <v/>
      </c>
      <c r="E999" s="29" t="n"/>
      <c r="F999" s="20">
        <f>IFERROR(IF(OR(A999="",E999=""),"",C999-E999),"")</f>
        <v/>
      </c>
      <c r="G999" s="30" t="n"/>
      <c r="H999" s="27" t="n"/>
    </row>
    <row r="1000" ht="20" customHeight="1">
      <c r="A1000" s="26" t="n"/>
      <c r="B1000" s="35">
        <f>IFERROR(IF(A1000="","",VLOOKUP(A1000,DATABASE!$A:$B,2,0)),"")</f>
        <v/>
      </c>
      <c r="C1000" s="36">
        <f>IFERROR(IF(A1000="","",VLOOKUP(A1000,DATABASE!$A:$J,10,0)),"")</f>
        <v/>
      </c>
      <c r="D1000" s="37">
        <f>IF(A1000="","",TODAY())</f>
        <v/>
      </c>
      <c r="E1000" s="29" t="n"/>
      <c r="F1000" s="36">
        <f>IFERROR(IF(OR(A1000="",E1000=""),"",C1000-E1000),"")</f>
        <v/>
      </c>
      <c r="G1000" s="30" t="n"/>
      <c r="H1000" s="35" t="n"/>
    </row>
    <row r="1001" ht="20" customHeight="1">
      <c r="A1001" s="26" t="n"/>
      <c r="B1001" s="27">
        <f>IFERROR(IF(A1001="","",VLOOKUP(A1001,DATABASE!$A:$B,2,0)),"")</f>
        <v/>
      </c>
      <c r="C1001" s="20">
        <f>IFERROR(IF(A1001="","",VLOOKUP(A1001,DATABASE!$A:$J,10,0)),"")</f>
        <v/>
      </c>
      <c r="D1001" s="28">
        <f>IF(A1001="","",TODAY())</f>
        <v/>
      </c>
      <c r="E1001" s="29" t="n"/>
      <c r="F1001" s="20">
        <f>IFERROR(IF(OR(A1001="",E1001=""),"",C1001-E1001),"")</f>
        <v/>
      </c>
      <c r="G1001" s="30" t="n"/>
      <c r="H1001" s="27" t="n"/>
    </row>
    <row r="1002" ht="20" customHeight="1">
      <c r="A1002" s="26" t="n"/>
      <c r="B1002" s="35">
        <f>IFERROR(IF(A1002="","",VLOOKUP(A1002,DATABASE!$A:$B,2,0)),"")</f>
        <v/>
      </c>
      <c r="C1002" s="36">
        <f>IFERROR(IF(A1002="","",VLOOKUP(A1002,DATABASE!$A:$J,10,0)),"")</f>
        <v/>
      </c>
      <c r="D1002" s="37">
        <f>IF(A1002="","",TODAY())</f>
        <v/>
      </c>
      <c r="E1002" s="29" t="n"/>
      <c r="F1002" s="36">
        <f>IFERROR(IF(OR(A1002="",E1002=""),"",C1002-E1002),"")</f>
        <v/>
      </c>
      <c r="G1002" s="30" t="n"/>
      <c r="H1002" s="35" t="n"/>
    </row>
    <row r="1003" ht="20" customHeight="1">
      <c r="A1003" s="26" t="n"/>
      <c r="B1003" s="27">
        <f>IFERROR(IF(A1003="","",VLOOKUP(A1003,DATABASE!$A:$B,2,0)),"")</f>
        <v/>
      </c>
      <c r="C1003" s="20">
        <f>IFERROR(IF(A1003="","",VLOOKUP(A1003,DATABASE!$A:$J,10,0)),"")</f>
        <v/>
      </c>
      <c r="D1003" s="28">
        <f>IF(A1003="","",TODAY())</f>
        <v/>
      </c>
      <c r="E1003" s="29" t="n"/>
      <c r="F1003" s="20">
        <f>IFERROR(IF(OR(A1003="",E1003=""),"",C1003-E1003),"")</f>
        <v/>
      </c>
      <c r="G1003" s="30" t="n"/>
      <c r="H1003" s="27" t="n"/>
    </row>
    <row r="1004" ht="20" customHeight="1">
      <c r="A1004" s="26" t="n"/>
      <c r="B1004" s="35">
        <f>IFERROR(IF(A1004="","",VLOOKUP(A1004,DATABASE!$A:$B,2,0)),"")</f>
        <v/>
      </c>
      <c r="C1004" s="36">
        <f>IFERROR(IF(A1004="","",VLOOKUP(A1004,DATABASE!$A:$J,10,0)),"")</f>
        <v/>
      </c>
      <c r="D1004" s="37">
        <f>IF(A1004="","",TODAY())</f>
        <v/>
      </c>
      <c r="E1004" s="29" t="n"/>
      <c r="F1004" s="36">
        <f>IFERROR(IF(OR(A1004="",E1004=""),"",C1004-E1004),"")</f>
        <v/>
      </c>
      <c r="G1004" s="30" t="n"/>
      <c r="H1004" s="35" t="n"/>
    </row>
    <row r="1005" ht="20" customHeight="1">
      <c r="A1005" s="26" t="n"/>
      <c r="B1005" s="27">
        <f>IFERROR(IF(A1005="","",VLOOKUP(A1005,DATABASE!$A:$B,2,0)),"")</f>
        <v/>
      </c>
      <c r="C1005" s="20">
        <f>IFERROR(IF(A1005="","",VLOOKUP(A1005,DATABASE!$A:$J,10,0)),"")</f>
        <v/>
      </c>
      <c r="D1005" s="28">
        <f>IF(A1005="","",TODAY())</f>
        <v/>
      </c>
      <c r="E1005" s="29" t="n"/>
      <c r="F1005" s="20">
        <f>IFERROR(IF(OR(A1005="",E1005=""),"",C1005-E1005),"")</f>
        <v/>
      </c>
      <c r="G1005" s="30" t="n"/>
      <c r="H1005" s="27" t="n"/>
    </row>
    <row r="1006" ht="20" customHeight="1">
      <c r="A1006" s="26" t="n"/>
      <c r="B1006" s="35">
        <f>IFERROR(IF(A1006="","",VLOOKUP(A1006,DATABASE!$A:$B,2,0)),"")</f>
        <v/>
      </c>
      <c r="C1006" s="36">
        <f>IFERROR(IF(A1006="","",VLOOKUP(A1006,DATABASE!$A:$J,10,0)),"")</f>
        <v/>
      </c>
      <c r="D1006" s="37">
        <f>IF(A1006="","",TODAY())</f>
        <v/>
      </c>
      <c r="E1006" s="29" t="n"/>
      <c r="F1006" s="36">
        <f>IFERROR(IF(OR(A1006="",E1006=""),"",C1006-E1006),"")</f>
        <v/>
      </c>
      <c r="G1006" s="30" t="n"/>
      <c r="H1006" s="35" t="n"/>
    </row>
    <row r="1007" ht="20" customHeight="1">
      <c r="A1007" s="26" t="n"/>
      <c r="B1007" s="27">
        <f>IFERROR(IF(A1007="","",VLOOKUP(A1007,DATABASE!$A:$B,2,0)),"")</f>
        <v/>
      </c>
      <c r="C1007" s="20">
        <f>IFERROR(IF(A1007="","",VLOOKUP(A1007,DATABASE!$A:$J,10,0)),"")</f>
        <v/>
      </c>
      <c r="D1007" s="28">
        <f>IF(A1007="","",TODAY())</f>
        <v/>
      </c>
      <c r="E1007" s="29" t="n"/>
      <c r="F1007" s="20">
        <f>IFERROR(IF(OR(A1007="",E1007=""),"",C1007-E1007),"")</f>
        <v/>
      </c>
      <c r="G1007" s="30" t="n"/>
      <c r="H1007" s="27" t="n"/>
    </row>
    <row r="1008" ht="20" customHeight="1">
      <c r="A1008" s="26" t="n"/>
      <c r="B1008" s="35">
        <f>IFERROR(IF(A1008="","",VLOOKUP(A1008,DATABASE!$A:$B,2,0)),"")</f>
        <v/>
      </c>
      <c r="C1008" s="36">
        <f>IFERROR(IF(A1008="","",VLOOKUP(A1008,DATABASE!$A:$J,10,0)),"")</f>
        <v/>
      </c>
      <c r="D1008" s="37">
        <f>IF(A1008="","",TODAY())</f>
        <v/>
      </c>
      <c r="E1008" s="29" t="n"/>
      <c r="F1008" s="36">
        <f>IFERROR(IF(OR(A1008="",E1008=""),"",C1008-E1008),"")</f>
        <v/>
      </c>
      <c r="G1008" s="30" t="n"/>
      <c r="H1008" s="35" t="n"/>
    </row>
    <row r="1009" ht="20" customHeight="1">
      <c r="A1009" s="26" t="n"/>
      <c r="B1009" s="27">
        <f>IFERROR(IF(A1009="","",VLOOKUP(A1009,DATABASE!$A:$B,2,0)),"")</f>
        <v/>
      </c>
      <c r="C1009" s="20">
        <f>IFERROR(IF(A1009="","",VLOOKUP(A1009,DATABASE!$A:$J,10,0)),"")</f>
        <v/>
      </c>
      <c r="D1009" s="28">
        <f>IF(A1009="","",TODAY())</f>
        <v/>
      </c>
      <c r="E1009" s="29" t="n"/>
      <c r="F1009" s="20">
        <f>IFERROR(IF(OR(A1009="",E1009=""),"",C1009-E1009),"")</f>
        <v/>
      </c>
      <c r="G1009" s="30" t="n"/>
      <c r="H1009" s="27" t="n"/>
    </row>
    <row r="1010" ht="20" customHeight="1">
      <c r="A1010" s="26" t="n"/>
      <c r="B1010" s="35">
        <f>IFERROR(IF(A1010="","",VLOOKUP(A1010,DATABASE!$A:$B,2,0)),"")</f>
        <v/>
      </c>
      <c r="C1010" s="36">
        <f>IFERROR(IF(A1010="","",VLOOKUP(A1010,DATABASE!$A:$J,10,0)),"")</f>
        <v/>
      </c>
      <c r="D1010" s="37">
        <f>IF(A1010="","",TODAY())</f>
        <v/>
      </c>
      <c r="E1010" s="29" t="n"/>
      <c r="F1010" s="36">
        <f>IFERROR(IF(OR(A1010="",E1010=""),"",C1010-E1010),"")</f>
        <v/>
      </c>
      <c r="G1010" s="30" t="n"/>
      <c r="H1010" s="35" t="n"/>
    </row>
    <row r="1011" ht="20" customHeight="1">
      <c r="A1011" s="26" t="n"/>
      <c r="B1011" s="27">
        <f>IFERROR(IF(A1011="","",VLOOKUP(A1011,DATABASE!$A:$B,2,0)),"")</f>
        <v/>
      </c>
      <c r="C1011" s="20">
        <f>IFERROR(IF(A1011="","",VLOOKUP(A1011,DATABASE!$A:$J,10,0)),"")</f>
        <v/>
      </c>
      <c r="D1011" s="28">
        <f>IF(A1011="","",TODAY())</f>
        <v/>
      </c>
      <c r="E1011" s="29" t="n"/>
      <c r="F1011" s="20">
        <f>IFERROR(IF(OR(A1011="",E1011=""),"",C1011-E1011),"")</f>
        <v/>
      </c>
      <c r="G1011" s="30" t="n"/>
      <c r="H1011" s="27" t="n"/>
    </row>
    <row r="1012" ht="20" customHeight="1">
      <c r="A1012" s="26" t="n"/>
      <c r="B1012" s="35">
        <f>IFERROR(IF(A1012="","",VLOOKUP(A1012,DATABASE!$A:$B,2,0)),"")</f>
        <v/>
      </c>
      <c r="C1012" s="36">
        <f>IFERROR(IF(A1012="","",VLOOKUP(A1012,DATABASE!$A:$J,10,0)),"")</f>
        <v/>
      </c>
      <c r="D1012" s="37">
        <f>IF(A1012="","",TODAY())</f>
        <v/>
      </c>
      <c r="E1012" s="29" t="n"/>
      <c r="F1012" s="36">
        <f>IFERROR(IF(OR(A1012="",E1012=""),"",C1012-E1012),"")</f>
        <v/>
      </c>
      <c r="G1012" s="30" t="n"/>
      <c r="H1012" s="35" t="n"/>
    </row>
    <row r="1013" ht="20" customHeight="1">
      <c r="A1013" s="26" t="n"/>
      <c r="B1013" s="27">
        <f>IFERROR(IF(A1013="","",VLOOKUP(A1013,DATABASE!$A:$B,2,0)),"")</f>
        <v/>
      </c>
      <c r="C1013" s="20">
        <f>IFERROR(IF(A1013="","",VLOOKUP(A1013,DATABASE!$A:$J,10,0)),"")</f>
        <v/>
      </c>
      <c r="D1013" s="28">
        <f>IF(A1013="","",TODAY())</f>
        <v/>
      </c>
      <c r="E1013" s="29" t="n"/>
      <c r="F1013" s="20">
        <f>IFERROR(IF(OR(A1013="",E1013=""),"",C1013-E1013),"")</f>
        <v/>
      </c>
      <c r="G1013" s="30" t="n"/>
      <c r="H1013" s="27" t="n"/>
    </row>
    <row r="1014" ht="20" customHeight="1">
      <c r="A1014" s="26" t="n"/>
      <c r="B1014" s="35">
        <f>IFERROR(IF(A1014="","",VLOOKUP(A1014,DATABASE!$A:$B,2,0)),"")</f>
        <v/>
      </c>
      <c r="C1014" s="36">
        <f>IFERROR(IF(A1014="","",VLOOKUP(A1014,DATABASE!$A:$J,10,0)),"")</f>
        <v/>
      </c>
      <c r="D1014" s="37">
        <f>IF(A1014="","",TODAY())</f>
        <v/>
      </c>
      <c r="E1014" s="29" t="n"/>
      <c r="F1014" s="36">
        <f>IFERROR(IF(OR(A1014="",E1014=""),"",C1014-E1014),"")</f>
        <v/>
      </c>
      <c r="G1014" s="30" t="n"/>
      <c r="H1014" s="35" t="n"/>
    </row>
    <row r="1015" ht="20" customHeight="1">
      <c r="A1015" s="26" t="n"/>
      <c r="B1015" s="27">
        <f>IFERROR(IF(A1015="","",VLOOKUP(A1015,DATABASE!$A:$B,2,0)),"")</f>
        <v/>
      </c>
      <c r="C1015" s="20">
        <f>IFERROR(IF(A1015="","",VLOOKUP(A1015,DATABASE!$A:$J,10,0)),"")</f>
        <v/>
      </c>
      <c r="D1015" s="28">
        <f>IF(A1015="","",TODAY())</f>
        <v/>
      </c>
      <c r="E1015" s="29" t="n"/>
      <c r="F1015" s="20">
        <f>IFERROR(IF(OR(A1015="",E1015=""),"",C1015-E1015),"")</f>
        <v/>
      </c>
      <c r="G1015" s="30" t="n"/>
      <c r="H1015" s="27" t="n"/>
    </row>
    <row r="1016" ht="20" customHeight="1">
      <c r="A1016" s="26" t="n"/>
      <c r="B1016" s="35">
        <f>IFERROR(IF(A1016="","",VLOOKUP(A1016,DATABASE!$A:$B,2,0)),"")</f>
        <v/>
      </c>
      <c r="C1016" s="36">
        <f>IFERROR(IF(A1016="","",VLOOKUP(A1016,DATABASE!$A:$J,10,0)),"")</f>
        <v/>
      </c>
      <c r="D1016" s="37">
        <f>IF(A1016="","",TODAY())</f>
        <v/>
      </c>
      <c r="E1016" s="29" t="n"/>
      <c r="F1016" s="36">
        <f>IFERROR(IF(OR(A1016="",E1016=""),"",C1016-E1016),"")</f>
        <v/>
      </c>
      <c r="G1016" s="30" t="n"/>
      <c r="H1016" s="35" t="n"/>
    </row>
    <row r="1017" ht="20" customHeight="1">
      <c r="A1017" s="26" t="n"/>
      <c r="B1017" s="27">
        <f>IFERROR(IF(A1017="","",VLOOKUP(A1017,DATABASE!$A:$B,2,0)),"")</f>
        <v/>
      </c>
      <c r="C1017" s="20">
        <f>IFERROR(IF(A1017="","",VLOOKUP(A1017,DATABASE!$A:$J,10,0)),"")</f>
        <v/>
      </c>
      <c r="D1017" s="28">
        <f>IF(A1017="","",TODAY())</f>
        <v/>
      </c>
      <c r="E1017" s="29" t="n"/>
      <c r="F1017" s="20">
        <f>IFERROR(IF(OR(A1017="",E1017=""),"",C1017-E1017),"")</f>
        <v/>
      </c>
      <c r="G1017" s="30" t="n"/>
      <c r="H1017" s="27" t="n"/>
    </row>
    <row r="1018" ht="20" customHeight="1">
      <c r="A1018" s="26" t="n"/>
      <c r="B1018" s="35">
        <f>IFERROR(IF(A1018="","",VLOOKUP(A1018,DATABASE!$A:$B,2,0)),"")</f>
        <v/>
      </c>
      <c r="C1018" s="36">
        <f>IFERROR(IF(A1018="","",VLOOKUP(A1018,DATABASE!$A:$J,10,0)),"")</f>
        <v/>
      </c>
      <c r="D1018" s="37">
        <f>IF(A1018="","",TODAY())</f>
        <v/>
      </c>
      <c r="E1018" s="29" t="n"/>
      <c r="F1018" s="36">
        <f>IFERROR(IF(OR(A1018="",E1018=""),"",C1018-E1018),"")</f>
        <v/>
      </c>
      <c r="G1018" s="30" t="n"/>
      <c r="H1018" s="35" t="n"/>
    </row>
    <row r="1019" ht="20" customHeight="1">
      <c r="A1019" s="26" t="n"/>
      <c r="B1019" s="27">
        <f>IFERROR(IF(A1019="","",VLOOKUP(A1019,DATABASE!$A:$B,2,0)),"")</f>
        <v/>
      </c>
      <c r="C1019" s="20">
        <f>IFERROR(IF(A1019="","",VLOOKUP(A1019,DATABASE!$A:$J,10,0)),"")</f>
        <v/>
      </c>
      <c r="D1019" s="28">
        <f>IF(A1019="","",TODAY())</f>
        <v/>
      </c>
      <c r="E1019" s="29" t="n"/>
      <c r="F1019" s="20">
        <f>IFERROR(IF(OR(A1019="",E1019=""),"",C1019-E1019),"")</f>
        <v/>
      </c>
      <c r="G1019" s="30" t="n"/>
      <c r="H1019" s="27" t="n"/>
    </row>
    <row r="1020" ht="20" customHeight="1">
      <c r="A1020" s="26" t="n"/>
      <c r="B1020" s="35">
        <f>IFERROR(IF(A1020="","",VLOOKUP(A1020,DATABASE!$A:$B,2,0)),"")</f>
        <v/>
      </c>
      <c r="C1020" s="36">
        <f>IFERROR(IF(A1020="","",VLOOKUP(A1020,DATABASE!$A:$J,10,0)),"")</f>
        <v/>
      </c>
      <c r="D1020" s="37">
        <f>IF(A1020="","",TODAY())</f>
        <v/>
      </c>
      <c r="E1020" s="29" t="n"/>
      <c r="F1020" s="36">
        <f>IFERROR(IF(OR(A1020="",E1020=""),"",C1020-E1020),"")</f>
        <v/>
      </c>
      <c r="G1020" s="30" t="n"/>
      <c r="H1020" s="35" t="n"/>
    </row>
    <row r="1021" ht="20" customHeight="1">
      <c r="A1021" s="26" t="n"/>
      <c r="B1021" s="27">
        <f>IFERROR(IF(A1021="","",VLOOKUP(A1021,DATABASE!$A:$B,2,0)),"")</f>
        <v/>
      </c>
      <c r="C1021" s="20">
        <f>IFERROR(IF(A1021="","",VLOOKUP(A1021,DATABASE!$A:$J,10,0)),"")</f>
        <v/>
      </c>
      <c r="D1021" s="28">
        <f>IF(A1021="","",TODAY())</f>
        <v/>
      </c>
      <c r="E1021" s="29" t="n"/>
      <c r="F1021" s="20">
        <f>IFERROR(IF(OR(A1021="",E1021=""),"",C1021-E1021),"")</f>
        <v/>
      </c>
      <c r="G1021" s="30" t="n"/>
      <c r="H1021" s="27" t="n"/>
    </row>
    <row r="1022" ht="20" customHeight="1">
      <c r="A1022" s="26" t="n"/>
      <c r="B1022" s="35">
        <f>IFERROR(IF(A1022="","",VLOOKUP(A1022,DATABASE!$A:$B,2,0)),"")</f>
        <v/>
      </c>
      <c r="C1022" s="36">
        <f>IFERROR(IF(A1022="","",VLOOKUP(A1022,DATABASE!$A:$J,10,0)),"")</f>
        <v/>
      </c>
      <c r="D1022" s="37">
        <f>IF(A1022="","",TODAY())</f>
        <v/>
      </c>
      <c r="E1022" s="29" t="n"/>
      <c r="F1022" s="36">
        <f>IFERROR(IF(OR(A1022="",E1022=""),"",C1022-E1022),"")</f>
        <v/>
      </c>
      <c r="G1022" s="30" t="n"/>
      <c r="H1022" s="35" t="n"/>
    </row>
    <row r="1023" ht="20" customHeight="1">
      <c r="A1023" s="26" t="n"/>
      <c r="B1023" s="27">
        <f>IFERROR(IF(A1023="","",VLOOKUP(A1023,DATABASE!$A:$B,2,0)),"")</f>
        <v/>
      </c>
      <c r="C1023" s="20">
        <f>IFERROR(IF(A1023="","",VLOOKUP(A1023,DATABASE!$A:$J,10,0)),"")</f>
        <v/>
      </c>
      <c r="D1023" s="28">
        <f>IF(A1023="","",TODAY())</f>
        <v/>
      </c>
      <c r="E1023" s="29" t="n"/>
      <c r="F1023" s="20">
        <f>IFERROR(IF(OR(A1023="",E1023=""),"",C1023-E1023),"")</f>
        <v/>
      </c>
      <c r="G1023" s="30" t="n"/>
      <c r="H1023" s="27" t="n"/>
    </row>
    <row r="1024" ht="20" customHeight="1">
      <c r="A1024" s="26" t="n"/>
      <c r="B1024" s="35">
        <f>IFERROR(IF(A1024="","",VLOOKUP(A1024,DATABASE!$A:$B,2,0)),"")</f>
        <v/>
      </c>
      <c r="C1024" s="36">
        <f>IFERROR(IF(A1024="","",VLOOKUP(A1024,DATABASE!$A:$J,10,0)),"")</f>
        <v/>
      </c>
      <c r="D1024" s="37">
        <f>IF(A1024="","",TODAY())</f>
        <v/>
      </c>
      <c r="E1024" s="29" t="n"/>
      <c r="F1024" s="36">
        <f>IFERROR(IF(OR(A1024="",E1024=""),"",C1024-E1024),"")</f>
        <v/>
      </c>
      <c r="G1024" s="30" t="n"/>
      <c r="H1024" s="35" t="n"/>
    </row>
    <row r="1025" ht="20" customHeight="1">
      <c r="A1025" s="26" t="n"/>
      <c r="B1025" s="27">
        <f>IFERROR(IF(A1025="","",VLOOKUP(A1025,DATABASE!$A:$B,2,0)),"")</f>
        <v/>
      </c>
      <c r="C1025" s="20">
        <f>IFERROR(IF(A1025="","",VLOOKUP(A1025,DATABASE!$A:$J,10,0)),"")</f>
        <v/>
      </c>
      <c r="D1025" s="28">
        <f>IF(A1025="","",TODAY())</f>
        <v/>
      </c>
      <c r="E1025" s="29" t="n"/>
      <c r="F1025" s="20">
        <f>IFERROR(IF(OR(A1025="",E1025=""),"",C1025-E1025),"")</f>
        <v/>
      </c>
      <c r="G1025" s="30" t="n"/>
      <c r="H1025" s="27" t="n"/>
    </row>
    <row r="1026" ht="20" customHeight="1">
      <c r="A1026" s="26" t="n"/>
      <c r="B1026" s="35">
        <f>IFERROR(IF(A1026="","",VLOOKUP(A1026,DATABASE!$A:$B,2,0)),"")</f>
        <v/>
      </c>
      <c r="C1026" s="36">
        <f>IFERROR(IF(A1026="","",VLOOKUP(A1026,DATABASE!$A:$J,10,0)),"")</f>
        <v/>
      </c>
      <c r="D1026" s="37">
        <f>IF(A1026="","",TODAY())</f>
        <v/>
      </c>
      <c r="E1026" s="29" t="n"/>
      <c r="F1026" s="36">
        <f>IFERROR(IF(OR(A1026="",E1026=""),"",C1026-E1026),"")</f>
        <v/>
      </c>
      <c r="G1026" s="30" t="n"/>
      <c r="H1026" s="35" t="n"/>
    </row>
    <row r="1027" ht="20" customHeight="1">
      <c r="A1027" s="26" t="n"/>
      <c r="B1027" s="27">
        <f>IFERROR(IF(A1027="","",VLOOKUP(A1027,DATABASE!$A:$B,2,0)),"")</f>
        <v/>
      </c>
      <c r="C1027" s="20">
        <f>IFERROR(IF(A1027="","",VLOOKUP(A1027,DATABASE!$A:$J,10,0)),"")</f>
        <v/>
      </c>
      <c r="D1027" s="28">
        <f>IF(A1027="","",TODAY())</f>
        <v/>
      </c>
      <c r="E1027" s="29" t="n"/>
      <c r="F1027" s="20">
        <f>IFERROR(IF(OR(A1027="",E1027=""),"",C1027-E1027),"")</f>
        <v/>
      </c>
      <c r="G1027" s="30" t="n"/>
      <c r="H1027" s="27" t="n"/>
    </row>
    <row r="1028" ht="20" customHeight="1">
      <c r="A1028" s="26" t="n"/>
      <c r="B1028" s="35">
        <f>IFERROR(IF(A1028="","",VLOOKUP(A1028,DATABASE!$A:$B,2,0)),"")</f>
        <v/>
      </c>
      <c r="C1028" s="36">
        <f>IFERROR(IF(A1028="","",VLOOKUP(A1028,DATABASE!$A:$J,10,0)),"")</f>
        <v/>
      </c>
      <c r="D1028" s="37">
        <f>IF(A1028="","",TODAY())</f>
        <v/>
      </c>
      <c r="E1028" s="29" t="n"/>
      <c r="F1028" s="36">
        <f>IFERROR(IF(OR(A1028="",E1028=""),"",C1028-E1028),"")</f>
        <v/>
      </c>
      <c r="G1028" s="30" t="n"/>
      <c r="H1028" s="35" t="n"/>
    </row>
    <row r="1029" ht="20" customHeight="1">
      <c r="A1029" s="26" t="n"/>
      <c r="B1029" s="27">
        <f>IFERROR(IF(A1029="","",VLOOKUP(A1029,DATABASE!$A:$B,2,0)),"")</f>
        <v/>
      </c>
      <c r="C1029" s="20">
        <f>IFERROR(IF(A1029="","",VLOOKUP(A1029,DATABASE!$A:$J,10,0)),"")</f>
        <v/>
      </c>
      <c r="D1029" s="28">
        <f>IF(A1029="","",TODAY())</f>
        <v/>
      </c>
      <c r="E1029" s="29" t="n"/>
      <c r="F1029" s="20">
        <f>IFERROR(IF(OR(A1029="",E1029=""),"",C1029-E1029),"")</f>
        <v/>
      </c>
      <c r="G1029" s="30" t="n"/>
      <c r="H1029" s="27" t="n"/>
    </row>
    <row r="1030" ht="20" customHeight="1">
      <c r="A1030" s="26" t="n"/>
      <c r="B1030" s="35">
        <f>IFERROR(IF(A1030="","",VLOOKUP(A1030,DATABASE!$A:$B,2,0)),"")</f>
        <v/>
      </c>
      <c r="C1030" s="36">
        <f>IFERROR(IF(A1030="","",VLOOKUP(A1030,DATABASE!$A:$J,10,0)),"")</f>
        <v/>
      </c>
      <c r="D1030" s="37">
        <f>IF(A1030="","",TODAY())</f>
        <v/>
      </c>
      <c r="E1030" s="29" t="n"/>
      <c r="F1030" s="36">
        <f>IFERROR(IF(OR(A1030="",E1030=""),"",C1030-E1030),"")</f>
        <v/>
      </c>
      <c r="G1030" s="30" t="n"/>
      <c r="H1030" s="35" t="n"/>
    </row>
    <row r="1031" ht="20" customHeight="1">
      <c r="A1031" s="26" t="n"/>
      <c r="B1031" s="27">
        <f>IFERROR(IF(A1031="","",VLOOKUP(A1031,DATABASE!$A:$B,2,0)),"")</f>
        <v/>
      </c>
      <c r="C1031" s="20">
        <f>IFERROR(IF(A1031="","",VLOOKUP(A1031,DATABASE!$A:$J,10,0)),"")</f>
        <v/>
      </c>
      <c r="D1031" s="28">
        <f>IF(A1031="","",TODAY())</f>
        <v/>
      </c>
      <c r="E1031" s="29" t="n"/>
      <c r="F1031" s="20">
        <f>IFERROR(IF(OR(A1031="",E1031=""),"",C1031-E1031),"")</f>
        <v/>
      </c>
      <c r="G1031" s="30" t="n"/>
      <c r="H1031" s="27" t="n"/>
    </row>
    <row r="1032" ht="20" customHeight="1">
      <c r="A1032" s="26" t="n"/>
      <c r="B1032" s="35">
        <f>IFERROR(IF(A1032="","",VLOOKUP(A1032,DATABASE!$A:$B,2,0)),"")</f>
        <v/>
      </c>
      <c r="C1032" s="36">
        <f>IFERROR(IF(A1032="","",VLOOKUP(A1032,DATABASE!$A:$J,10,0)),"")</f>
        <v/>
      </c>
      <c r="D1032" s="37">
        <f>IF(A1032="","",TODAY())</f>
        <v/>
      </c>
      <c r="E1032" s="29" t="n"/>
      <c r="F1032" s="36">
        <f>IFERROR(IF(OR(A1032="",E1032=""),"",C1032-E1032),"")</f>
        <v/>
      </c>
      <c r="G1032" s="30" t="n"/>
      <c r="H1032" s="35" t="n"/>
    </row>
    <row r="1033" ht="20" customHeight="1">
      <c r="A1033" s="26" t="n"/>
      <c r="B1033" s="27">
        <f>IFERROR(IF(A1033="","",VLOOKUP(A1033,DATABASE!$A:$B,2,0)),"")</f>
        <v/>
      </c>
      <c r="C1033" s="20">
        <f>IFERROR(IF(A1033="","",VLOOKUP(A1033,DATABASE!$A:$J,10,0)),"")</f>
        <v/>
      </c>
      <c r="D1033" s="28">
        <f>IF(A1033="","",TODAY())</f>
        <v/>
      </c>
      <c r="E1033" s="29" t="n"/>
      <c r="F1033" s="20">
        <f>IFERROR(IF(OR(A1033="",E1033=""),"",C1033-E1033),"")</f>
        <v/>
      </c>
      <c r="G1033" s="30" t="n"/>
      <c r="H1033" s="27" t="n"/>
    </row>
    <row r="1034" ht="20" customHeight="1">
      <c r="A1034" s="26" t="n"/>
      <c r="B1034" s="35">
        <f>IFERROR(IF(A1034="","",VLOOKUP(A1034,DATABASE!$A:$B,2,0)),"")</f>
        <v/>
      </c>
      <c r="C1034" s="36">
        <f>IFERROR(IF(A1034="","",VLOOKUP(A1034,DATABASE!$A:$J,10,0)),"")</f>
        <v/>
      </c>
      <c r="D1034" s="37">
        <f>IF(A1034="","",TODAY())</f>
        <v/>
      </c>
      <c r="E1034" s="29" t="n"/>
      <c r="F1034" s="36">
        <f>IFERROR(IF(OR(A1034="",E1034=""),"",C1034-E1034),"")</f>
        <v/>
      </c>
      <c r="G1034" s="30" t="n"/>
      <c r="H1034" s="35" t="n"/>
    </row>
    <row r="1035" ht="20" customHeight="1">
      <c r="A1035" s="26" t="n"/>
      <c r="B1035" s="27">
        <f>IFERROR(IF(A1035="","",VLOOKUP(A1035,DATABASE!$A:$B,2,0)),"")</f>
        <v/>
      </c>
      <c r="C1035" s="20">
        <f>IFERROR(IF(A1035="","",VLOOKUP(A1035,DATABASE!$A:$J,10,0)),"")</f>
        <v/>
      </c>
      <c r="D1035" s="28">
        <f>IF(A1035="","",TODAY())</f>
        <v/>
      </c>
      <c r="E1035" s="29" t="n"/>
      <c r="F1035" s="20">
        <f>IFERROR(IF(OR(A1035="",E1035=""),"",C1035-E1035),"")</f>
        <v/>
      </c>
      <c r="G1035" s="30" t="n"/>
      <c r="H1035" s="27" t="n"/>
    </row>
    <row r="1036" ht="20" customHeight="1">
      <c r="A1036" s="26" t="n"/>
      <c r="B1036" s="35">
        <f>IFERROR(IF(A1036="","",VLOOKUP(A1036,DATABASE!$A:$B,2,0)),"")</f>
        <v/>
      </c>
      <c r="C1036" s="36">
        <f>IFERROR(IF(A1036="","",VLOOKUP(A1036,DATABASE!$A:$J,10,0)),"")</f>
        <v/>
      </c>
      <c r="D1036" s="37">
        <f>IF(A1036="","",TODAY())</f>
        <v/>
      </c>
      <c r="E1036" s="29" t="n"/>
      <c r="F1036" s="36">
        <f>IFERROR(IF(OR(A1036="",E1036=""),"",C1036-E1036),"")</f>
        <v/>
      </c>
      <c r="G1036" s="30" t="n"/>
      <c r="H1036" s="35" t="n"/>
    </row>
    <row r="1037" ht="20" customHeight="1">
      <c r="A1037" s="26" t="n"/>
      <c r="B1037" s="27">
        <f>IFERROR(IF(A1037="","",VLOOKUP(A1037,DATABASE!$A:$B,2,0)),"")</f>
        <v/>
      </c>
      <c r="C1037" s="20">
        <f>IFERROR(IF(A1037="","",VLOOKUP(A1037,DATABASE!$A:$J,10,0)),"")</f>
        <v/>
      </c>
      <c r="D1037" s="28">
        <f>IF(A1037="","",TODAY())</f>
        <v/>
      </c>
      <c r="E1037" s="29" t="n"/>
      <c r="F1037" s="20">
        <f>IFERROR(IF(OR(A1037="",E1037=""),"",C1037-E1037),"")</f>
        <v/>
      </c>
      <c r="G1037" s="30" t="n"/>
      <c r="H1037" s="27" t="n"/>
    </row>
    <row r="1038" ht="20" customHeight="1">
      <c r="A1038" s="26" t="n"/>
      <c r="B1038" s="35">
        <f>IFERROR(IF(A1038="","",VLOOKUP(A1038,DATABASE!$A:$B,2,0)),"")</f>
        <v/>
      </c>
      <c r="C1038" s="36">
        <f>IFERROR(IF(A1038="","",VLOOKUP(A1038,DATABASE!$A:$J,10,0)),"")</f>
        <v/>
      </c>
      <c r="D1038" s="37">
        <f>IF(A1038="","",TODAY())</f>
        <v/>
      </c>
      <c r="E1038" s="29" t="n"/>
      <c r="F1038" s="36">
        <f>IFERROR(IF(OR(A1038="",E1038=""),"",C1038-E1038),"")</f>
        <v/>
      </c>
      <c r="G1038" s="30" t="n"/>
      <c r="H1038" s="35" t="n"/>
    </row>
    <row r="1039" ht="20" customHeight="1">
      <c r="A1039" s="26" t="n"/>
      <c r="B1039" s="27">
        <f>IFERROR(IF(A1039="","",VLOOKUP(A1039,DATABASE!$A:$B,2,0)),"")</f>
        <v/>
      </c>
      <c r="C1039" s="20">
        <f>IFERROR(IF(A1039="","",VLOOKUP(A1039,DATABASE!$A:$J,10,0)),"")</f>
        <v/>
      </c>
      <c r="D1039" s="28">
        <f>IF(A1039="","",TODAY())</f>
        <v/>
      </c>
      <c r="E1039" s="29" t="n"/>
      <c r="F1039" s="20">
        <f>IFERROR(IF(OR(A1039="",E1039=""),"",C1039-E1039),"")</f>
        <v/>
      </c>
      <c r="G1039" s="30" t="n"/>
      <c r="H1039" s="27" t="n"/>
    </row>
    <row r="1040" ht="20" customHeight="1">
      <c r="A1040" s="26" t="n"/>
      <c r="B1040" s="35">
        <f>IFERROR(IF(A1040="","",VLOOKUP(A1040,DATABASE!$A:$B,2,0)),"")</f>
        <v/>
      </c>
      <c r="C1040" s="36">
        <f>IFERROR(IF(A1040="","",VLOOKUP(A1040,DATABASE!$A:$J,10,0)),"")</f>
        <v/>
      </c>
      <c r="D1040" s="37">
        <f>IF(A1040="","",TODAY())</f>
        <v/>
      </c>
      <c r="E1040" s="29" t="n"/>
      <c r="F1040" s="36">
        <f>IFERROR(IF(OR(A1040="",E1040=""),"",C1040-E1040),"")</f>
        <v/>
      </c>
      <c r="G1040" s="30" t="n"/>
      <c r="H1040" s="35" t="n"/>
    </row>
    <row r="1041" ht="20" customHeight="1">
      <c r="A1041" s="26" t="n"/>
      <c r="B1041" s="27">
        <f>IFERROR(IF(A1041="","",VLOOKUP(A1041,DATABASE!$A:$B,2,0)),"")</f>
        <v/>
      </c>
      <c r="C1041" s="20">
        <f>IFERROR(IF(A1041="","",VLOOKUP(A1041,DATABASE!$A:$J,10,0)),"")</f>
        <v/>
      </c>
      <c r="D1041" s="28">
        <f>IF(A1041="","",TODAY())</f>
        <v/>
      </c>
      <c r="E1041" s="29" t="n"/>
      <c r="F1041" s="20">
        <f>IFERROR(IF(OR(A1041="",E1041=""),"",C1041-E1041),"")</f>
        <v/>
      </c>
      <c r="G1041" s="30" t="n"/>
      <c r="H1041" s="27" t="n"/>
    </row>
    <row r="1042" ht="20" customHeight="1">
      <c r="A1042" s="26" t="n"/>
      <c r="B1042" s="35">
        <f>IFERROR(IF(A1042="","",VLOOKUP(A1042,DATABASE!$A:$B,2,0)),"")</f>
        <v/>
      </c>
      <c r="C1042" s="36">
        <f>IFERROR(IF(A1042="","",VLOOKUP(A1042,DATABASE!$A:$J,10,0)),"")</f>
        <v/>
      </c>
      <c r="D1042" s="37">
        <f>IF(A1042="","",TODAY())</f>
        <v/>
      </c>
      <c r="E1042" s="29" t="n"/>
      <c r="F1042" s="36">
        <f>IFERROR(IF(OR(A1042="",E1042=""),"",C1042-E1042),"")</f>
        <v/>
      </c>
      <c r="G1042" s="30" t="n"/>
      <c r="H1042" s="35" t="n"/>
    </row>
    <row r="1043" ht="20" customHeight="1">
      <c r="A1043" s="26" t="n"/>
      <c r="B1043" s="27">
        <f>IFERROR(IF(A1043="","",VLOOKUP(A1043,DATABASE!$A:$B,2,0)),"")</f>
        <v/>
      </c>
      <c r="C1043" s="20">
        <f>IFERROR(IF(A1043="","",VLOOKUP(A1043,DATABASE!$A:$J,10,0)),"")</f>
        <v/>
      </c>
      <c r="D1043" s="28">
        <f>IF(A1043="","",TODAY())</f>
        <v/>
      </c>
      <c r="E1043" s="29" t="n"/>
      <c r="F1043" s="20">
        <f>IFERROR(IF(OR(A1043="",E1043=""),"",C1043-E1043),"")</f>
        <v/>
      </c>
      <c r="G1043" s="30" t="n"/>
      <c r="H1043" s="27" t="n"/>
    </row>
    <row r="1044" ht="20" customHeight="1">
      <c r="A1044" s="26" t="n"/>
      <c r="B1044" s="35">
        <f>IFERROR(IF(A1044="","",VLOOKUP(A1044,DATABASE!$A:$B,2,0)),"")</f>
        <v/>
      </c>
      <c r="C1044" s="36">
        <f>IFERROR(IF(A1044="","",VLOOKUP(A1044,DATABASE!$A:$J,10,0)),"")</f>
        <v/>
      </c>
      <c r="D1044" s="37">
        <f>IF(A1044="","",TODAY())</f>
        <v/>
      </c>
      <c r="E1044" s="29" t="n"/>
      <c r="F1044" s="36">
        <f>IFERROR(IF(OR(A1044="",E1044=""),"",C1044-E1044),"")</f>
        <v/>
      </c>
      <c r="G1044" s="30" t="n"/>
      <c r="H1044" s="35" t="n"/>
    </row>
    <row r="1045" ht="20" customHeight="1">
      <c r="A1045" s="26" t="n"/>
      <c r="B1045" s="27">
        <f>IFERROR(IF(A1045="","",VLOOKUP(A1045,DATABASE!$A:$B,2,0)),"")</f>
        <v/>
      </c>
      <c r="C1045" s="20">
        <f>IFERROR(IF(A1045="","",VLOOKUP(A1045,DATABASE!$A:$J,10,0)),"")</f>
        <v/>
      </c>
      <c r="D1045" s="28">
        <f>IF(A1045="","",TODAY())</f>
        <v/>
      </c>
      <c r="E1045" s="29" t="n"/>
      <c r="F1045" s="20">
        <f>IFERROR(IF(OR(A1045="",E1045=""),"",C1045-E1045),"")</f>
        <v/>
      </c>
      <c r="G1045" s="30" t="n"/>
      <c r="H1045" s="27" t="n"/>
    </row>
    <row r="1046" ht="20" customHeight="1">
      <c r="A1046" s="26" t="n"/>
      <c r="B1046" s="35">
        <f>IFERROR(IF(A1046="","",VLOOKUP(A1046,DATABASE!$A:$B,2,0)),"")</f>
        <v/>
      </c>
      <c r="C1046" s="36">
        <f>IFERROR(IF(A1046="","",VLOOKUP(A1046,DATABASE!$A:$J,10,0)),"")</f>
        <v/>
      </c>
      <c r="D1046" s="37">
        <f>IF(A1046="","",TODAY())</f>
        <v/>
      </c>
      <c r="E1046" s="29" t="n"/>
      <c r="F1046" s="36">
        <f>IFERROR(IF(OR(A1046="",E1046=""),"",C1046-E1046),"")</f>
        <v/>
      </c>
      <c r="G1046" s="30" t="n"/>
      <c r="H1046" s="35" t="n"/>
    </row>
    <row r="1047" ht="20" customHeight="1">
      <c r="A1047" s="26" t="n"/>
      <c r="B1047" s="27">
        <f>IFERROR(IF(A1047="","",VLOOKUP(A1047,DATABASE!$A:$B,2,0)),"")</f>
        <v/>
      </c>
      <c r="C1047" s="20">
        <f>IFERROR(IF(A1047="","",VLOOKUP(A1047,DATABASE!$A:$J,10,0)),"")</f>
        <v/>
      </c>
      <c r="D1047" s="28">
        <f>IF(A1047="","",TODAY())</f>
        <v/>
      </c>
      <c r="E1047" s="29" t="n"/>
      <c r="F1047" s="20">
        <f>IFERROR(IF(OR(A1047="",E1047=""),"",C1047-E1047),"")</f>
        <v/>
      </c>
      <c r="G1047" s="30" t="n"/>
      <c r="H1047" s="27" t="n"/>
    </row>
    <row r="1048" ht="20" customHeight="1">
      <c r="A1048" s="26" t="n"/>
      <c r="B1048" s="35">
        <f>IFERROR(IF(A1048="","",VLOOKUP(A1048,DATABASE!$A:$B,2,0)),"")</f>
        <v/>
      </c>
      <c r="C1048" s="36">
        <f>IFERROR(IF(A1048="","",VLOOKUP(A1048,DATABASE!$A:$J,10,0)),"")</f>
        <v/>
      </c>
      <c r="D1048" s="37">
        <f>IF(A1048="","",TODAY())</f>
        <v/>
      </c>
      <c r="E1048" s="29" t="n"/>
      <c r="F1048" s="36">
        <f>IFERROR(IF(OR(A1048="",E1048=""),"",C1048-E1048),"")</f>
        <v/>
      </c>
      <c r="G1048" s="30" t="n"/>
      <c r="H1048" s="35" t="n"/>
    </row>
    <row r="1049" ht="20" customHeight="1">
      <c r="A1049" s="26" t="n"/>
      <c r="B1049" s="27">
        <f>IFERROR(IF(A1049="","",VLOOKUP(A1049,DATABASE!$A:$B,2,0)),"")</f>
        <v/>
      </c>
      <c r="C1049" s="20">
        <f>IFERROR(IF(A1049="","",VLOOKUP(A1049,DATABASE!$A:$J,10,0)),"")</f>
        <v/>
      </c>
      <c r="D1049" s="28">
        <f>IF(A1049="","",TODAY())</f>
        <v/>
      </c>
      <c r="E1049" s="29" t="n"/>
      <c r="F1049" s="20">
        <f>IFERROR(IF(OR(A1049="",E1049=""),"",C1049-E1049),"")</f>
        <v/>
      </c>
      <c r="G1049" s="30" t="n"/>
      <c r="H1049" s="27" t="n"/>
    </row>
    <row r="1050" ht="20" customHeight="1">
      <c r="A1050" s="26" t="n"/>
      <c r="B1050" s="35">
        <f>IFERROR(IF(A1050="","",VLOOKUP(A1050,DATABASE!$A:$B,2,0)),"")</f>
        <v/>
      </c>
      <c r="C1050" s="36">
        <f>IFERROR(IF(A1050="","",VLOOKUP(A1050,DATABASE!$A:$J,10,0)),"")</f>
        <v/>
      </c>
      <c r="D1050" s="37">
        <f>IF(A1050="","",TODAY())</f>
        <v/>
      </c>
      <c r="E1050" s="29" t="n"/>
      <c r="F1050" s="36">
        <f>IFERROR(IF(OR(A1050="",E1050=""),"",C1050-E1050),"")</f>
        <v/>
      </c>
      <c r="G1050" s="30" t="n"/>
      <c r="H1050" s="35" t="n"/>
    </row>
    <row r="1051" ht="20" customHeight="1">
      <c r="A1051" s="26" t="n"/>
      <c r="B1051" s="27">
        <f>IFERROR(IF(A1051="","",VLOOKUP(A1051,DATABASE!$A:$B,2,0)),"")</f>
        <v/>
      </c>
      <c r="C1051" s="20">
        <f>IFERROR(IF(A1051="","",VLOOKUP(A1051,DATABASE!$A:$J,10,0)),"")</f>
        <v/>
      </c>
      <c r="D1051" s="28">
        <f>IF(A1051="","",TODAY())</f>
        <v/>
      </c>
      <c r="E1051" s="29" t="n"/>
      <c r="F1051" s="20">
        <f>IFERROR(IF(OR(A1051="",E1051=""),"",C1051-E1051),"")</f>
        <v/>
      </c>
      <c r="G1051" s="30" t="n"/>
      <c r="H1051" s="27" t="n"/>
    </row>
    <row r="1052" ht="20" customHeight="1">
      <c r="A1052" s="26" t="n"/>
      <c r="B1052" s="35">
        <f>IFERROR(IF(A1052="","",VLOOKUP(A1052,DATABASE!$A:$B,2,0)),"")</f>
        <v/>
      </c>
      <c r="C1052" s="36">
        <f>IFERROR(IF(A1052="","",VLOOKUP(A1052,DATABASE!$A:$J,10,0)),"")</f>
        <v/>
      </c>
      <c r="D1052" s="37">
        <f>IF(A1052="","",TODAY())</f>
        <v/>
      </c>
      <c r="E1052" s="29" t="n"/>
      <c r="F1052" s="36">
        <f>IFERROR(IF(OR(A1052="",E1052=""),"",C1052-E1052),"")</f>
        <v/>
      </c>
      <c r="G1052" s="30" t="n"/>
      <c r="H1052" s="35" t="n"/>
    </row>
    <row r="1053" ht="20" customHeight="1">
      <c r="A1053" s="26" t="n"/>
      <c r="B1053" s="27">
        <f>IFERROR(IF(A1053="","",VLOOKUP(A1053,DATABASE!$A:$B,2,0)),"")</f>
        <v/>
      </c>
      <c r="C1053" s="20">
        <f>IFERROR(IF(A1053="","",VLOOKUP(A1053,DATABASE!$A:$J,10,0)),"")</f>
        <v/>
      </c>
      <c r="D1053" s="28">
        <f>IF(A1053="","",TODAY())</f>
        <v/>
      </c>
      <c r="E1053" s="29" t="n"/>
      <c r="F1053" s="20">
        <f>IFERROR(IF(OR(A1053="",E1053=""),"",C1053-E1053),"")</f>
        <v/>
      </c>
      <c r="G1053" s="30" t="n"/>
      <c r="H1053" s="27" t="n"/>
    </row>
    <row r="1054" ht="20" customHeight="1">
      <c r="A1054" s="26" t="n"/>
      <c r="B1054" s="35">
        <f>IFERROR(IF(A1054="","",VLOOKUP(A1054,DATABASE!$A:$B,2,0)),"")</f>
        <v/>
      </c>
      <c r="C1054" s="36">
        <f>IFERROR(IF(A1054="","",VLOOKUP(A1054,DATABASE!$A:$J,10,0)),"")</f>
        <v/>
      </c>
      <c r="D1054" s="37">
        <f>IF(A1054="","",TODAY())</f>
        <v/>
      </c>
      <c r="E1054" s="29" t="n"/>
      <c r="F1054" s="36">
        <f>IFERROR(IF(OR(A1054="",E1054=""),"",C1054-E1054),"")</f>
        <v/>
      </c>
      <c r="G1054" s="30" t="n"/>
      <c r="H1054" s="35" t="n"/>
    </row>
    <row r="1055" ht="20" customHeight="1">
      <c r="A1055" s="26" t="n"/>
      <c r="B1055" s="27">
        <f>IFERROR(IF(A1055="","",VLOOKUP(A1055,DATABASE!$A:$B,2,0)),"")</f>
        <v/>
      </c>
      <c r="C1055" s="20">
        <f>IFERROR(IF(A1055="","",VLOOKUP(A1055,DATABASE!$A:$J,10,0)),"")</f>
        <v/>
      </c>
      <c r="D1055" s="28">
        <f>IF(A1055="","",TODAY())</f>
        <v/>
      </c>
      <c r="E1055" s="29" t="n"/>
      <c r="F1055" s="20">
        <f>IFERROR(IF(OR(A1055="",E1055=""),"",C1055-E1055),"")</f>
        <v/>
      </c>
      <c r="G1055" s="30" t="n"/>
      <c r="H1055" s="27" t="n"/>
    </row>
    <row r="1056" ht="20" customHeight="1">
      <c r="A1056" s="26" t="n"/>
      <c r="B1056" s="35">
        <f>IFERROR(IF(A1056="","",VLOOKUP(A1056,DATABASE!$A:$B,2,0)),"")</f>
        <v/>
      </c>
      <c r="C1056" s="36">
        <f>IFERROR(IF(A1056="","",VLOOKUP(A1056,DATABASE!$A:$J,10,0)),"")</f>
        <v/>
      </c>
      <c r="D1056" s="37">
        <f>IF(A1056="","",TODAY())</f>
        <v/>
      </c>
      <c r="E1056" s="29" t="n"/>
      <c r="F1056" s="36">
        <f>IFERROR(IF(OR(A1056="",E1056=""),"",C1056-E1056),"")</f>
        <v/>
      </c>
      <c r="G1056" s="30" t="n"/>
      <c r="H1056" s="35" t="n"/>
    </row>
    <row r="1057" ht="20" customHeight="1">
      <c r="A1057" s="26" t="n"/>
      <c r="B1057" s="27">
        <f>IFERROR(IF(A1057="","",VLOOKUP(A1057,DATABASE!$A:$B,2,0)),"")</f>
        <v/>
      </c>
      <c r="C1057" s="20">
        <f>IFERROR(IF(A1057="","",VLOOKUP(A1057,DATABASE!$A:$J,10,0)),"")</f>
        <v/>
      </c>
      <c r="D1057" s="28">
        <f>IF(A1057="","",TODAY())</f>
        <v/>
      </c>
      <c r="E1057" s="29" t="n"/>
      <c r="F1057" s="20">
        <f>IFERROR(IF(OR(A1057="",E1057=""),"",C1057-E1057),"")</f>
        <v/>
      </c>
      <c r="G1057" s="30" t="n"/>
      <c r="H1057" s="27" t="n"/>
    </row>
    <row r="1058" ht="20" customHeight="1">
      <c r="A1058" s="26" t="n"/>
      <c r="B1058" s="35">
        <f>IFERROR(IF(A1058="","",VLOOKUP(A1058,DATABASE!$A:$B,2,0)),"")</f>
        <v/>
      </c>
      <c r="C1058" s="36">
        <f>IFERROR(IF(A1058="","",VLOOKUP(A1058,DATABASE!$A:$J,10,0)),"")</f>
        <v/>
      </c>
      <c r="D1058" s="37">
        <f>IF(A1058="","",TODAY())</f>
        <v/>
      </c>
      <c r="E1058" s="29" t="n"/>
      <c r="F1058" s="36">
        <f>IFERROR(IF(OR(A1058="",E1058=""),"",C1058-E1058),"")</f>
        <v/>
      </c>
      <c r="G1058" s="30" t="n"/>
      <c r="H1058" s="35" t="n"/>
    </row>
    <row r="1059" ht="20" customHeight="1">
      <c r="A1059" s="26" t="n"/>
      <c r="B1059" s="27">
        <f>IFERROR(IF(A1059="","",VLOOKUP(A1059,DATABASE!$A:$B,2,0)),"")</f>
        <v/>
      </c>
      <c r="C1059" s="20">
        <f>IFERROR(IF(A1059="","",VLOOKUP(A1059,DATABASE!$A:$J,10,0)),"")</f>
        <v/>
      </c>
      <c r="D1059" s="28">
        <f>IF(A1059="","",TODAY())</f>
        <v/>
      </c>
      <c r="E1059" s="29" t="n"/>
      <c r="F1059" s="20">
        <f>IFERROR(IF(OR(A1059="",E1059=""),"",C1059-E1059),"")</f>
        <v/>
      </c>
      <c r="G1059" s="30" t="n"/>
      <c r="H1059" s="27" t="n"/>
    </row>
    <row r="1060" ht="20" customHeight="1">
      <c r="A1060" s="26" t="n"/>
      <c r="B1060" s="35">
        <f>IFERROR(IF(A1060="","",VLOOKUP(A1060,DATABASE!$A:$B,2,0)),"")</f>
        <v/>
      </c>
      <c r="C1060" s="36">
        <f>IFERROR(IF(A1060="","",VLOOKUP(A1060,DATABASE!$A:$J,10,0)),"")</f>
        <v/>
      </c>
      <c r="D1060" s="37">
        <f>IF(A1060="","",TODAY())</f>
        <v/>
      </c>
      <c r="E1060" s="29" t="n"/>
      <c r="F1060" s="36">
        <f>IFERROR(IF(OR(A1060="",E1060=""),"",C1060-E1060),"")</f>
        <v/>
      </c>
      <c r="G1060" s="30" t="n"/>
      <c r="H1060" s="35" t="n"/>
    </row>
    <row r="1061" ht="20" customHeight="1">
      <c r="A1061" s="26" t="n"/>
      <c r="B1061" s="27">
        <f>IFERROR(IF(A1061="","",VLOOKUP(A1061,DATABASE!$A:$B,2,0)),"")</f>
        <v/>
      </c>
      <c r="C1061" s="20">
        <f>IFERROR(IF(A1061="","",VLOOKUP(A1061,DATABASE!$A:$J,10,0)),"")</f>
        <v/>
      </c>
      <c r="D1061" s="28">
        <f>IF(A1061="","",TODAY())</f>
        <v/>
      </c>
      <c r="E1061" s="29" t="n"/>
      <c r="F1061" s="20">
        <f>IFERROR(IF(OR(A1061="",E1061=""),"",C1061-E1061),"")</f>
        <v/>
      </c>
      <c r="G1061" s="30" t="n"/>
      <c r="H1061" s="27" t="n"/>
    </row>
    <row r="1062" ht="20" customHeight="1">
      <c r="A1062" s="26" t="n"/>
      <c r="B1062" s="35">
        <f>IFERROR(IF(A1062="","",VLOOKUP(A1062,DATABASE!$A:$B,2,0)),"")</f>
        <v/>
      </c>
      <c r="C1062" s="36">
        <f>IFERROR(IF(A1062="","",VLOOKUP(A1062,DATABASE!$A:$J,10,0)),"")</f>
        <v/>
      </c>
      <c r="D1062" s="37">
        <f>IF(A1062="","",TODAY())</f>
        <v/>
      </c>
      <c r="E1062" s="29" t="n"/>
      <c r="F1062" s="36">
        <f>IFERROR(IF(OR(A1062="",E1062=""),"",C1062-E1062),"")</f>
        <v/>
      </c>
      <c r="G1062" s="30" t="n"/>
      <c r="H1062" s="35" t="n"/>
    </row>
    <row r="1063" ht="20" customHeight="1">
      <c r="A1063" s="26" t="n"/>
      <c r="B1063" s="27">
        <f>IFERROR(IF(A1063="","",VLOOKUP(A1063,DATABASE!$A:$B,2,0)),"")</f>
        <v/>
      </c>
      <c r="C1063" s="20">
        <f>IFERROR(IF(A1063="","",VLOOKUP(A1063,DATABASE!$A:$J,10,0)),"")</f>
        <v/>
      </c>
      <c r="D1063" s="28">
        <f>IF(A1063="","",TODAY())</f>
        <v/>
      </c>
      <c r="E1063" s="29" t="n"/>
      <c r="F1063" s="20">
        <f>IFERROR(IF(OR(A1063="",E1063=""),"",C1063-E1063),"")</f>
        <v/>
      </c>
      <c r="G1063" s="30" t="n"/>
      <c r="H1063" s="27" t="n"/>
    </row>
    <row r="1064" ht="20" customHeight="1">
      <c r="A1064" s="26" t="n"/>
      <c r="B1064" s="35">
        <f>IFERROR(IF(A1064="","",VLOOKUP(A1064,DATABASE!$A:$B,2,0)),"")</f>
        <v/>
      </c>
      <c r="C1064" s="36">
        <f>IFERROR(IF(A1064="","",VLOOKUP(A1064,DATABASE!$A:$J,10,0)),"")</f>
        <v/>
      </c>
      <c r="D1064" s="37">
        <f>IF(A1064="","",TODAY())</f>
        <v/>
      </c>
      <c r="E1064" s="29" t="n"/>
      <c r="F1064" s="36">
        <f>IFERROR(IF(OR(A1064="",E1064=""),"",C1064-E1064),"")</f>
        <v/>
      </c>
      <c r="G1064" s="30" t="n"/>
      <c r="H1064" s="35" t="n"/>
    </row>
    <row r="1065" ht="20" customHeight="1">
      <c r="A1065" s="26" t="n"/>
      <c r="B1065" s="27">
        <f>IFERROR(IF(A1065="","",VLOOKUP(A1065,DATABASE!$A:$B,2,0)),"")</f>
        <v/>
      </c>
      <c r="C1065" s="20">
        <f>IFERROR(IF(A1065="","",VLOOKUP(A1065,DATABASE!$A:$J,10,0)),"")</f>
        <v/>
      </c>
      <c r="D1065" s="28">
        <f>IF(A1065="","",TODAY())</f>
        <v/>
      </c>
      <c r="E1065" s="29" t="n"/>
      <c r="F1065" s="20">
        <f>IFERROR(IF(OR(A1065="",E1065=""),"",C1065-E1065),"")</f>
        <v/>
      </c>
      <c r="G1065" s="30" t="n"/>
      <c r="H1065" s="27" t="n"/>
    </row>
    <row r="1066" ht="20" customHeight="1">
      <c r="A1066" s="26" t="n"/>
      <c r="B1066" s="35">
        <f>IFERROR(IF(A1066="","",VLOOKUP(A1066,DATABASE!$A:$B,2,0)),"")</f>
        <v/>
      </c>
      <c r="C1066" s="36">
        <f>IFERROR(IF(A1066="","",VLOOKUP(A1066,DATABASE!$A:$J,10,0)),"")</f>
        <v/>
      </c>
      <c r="D1066" s="37">
        <f>IF(A1066="","",TODAY())</f>
        <v/>
      </c>
      <c r="E1066" s="29" t="n"/>
      <c r="F1066" s="36">
        <f>IFERROR(IF(OR(A1066="",E1066=""),"",C1066-E1066),"")</f>
        <v/>
      </c>
      <c r="G1066" s="30" t="n"/>
      <c r="H1066" s="35" t="n"/>
    </row>
    <row r="1067" ht="20" customHeight="1">
      <c r="A1067" s="26" t="n"/>
      <c r="B1067" s="27">
        <f>IFERROR(IF(A1067="","",VLOOKUP(A1067,DATABASE!$A:$B,2,0)),"")</f>
        <v/>
      </c>
      <c r="C1067" s="20">
        <f>IFERROR(IF(A1067="","",VLOOKUP(A1067,DATABASE!$A:$J,10,0)),"")</f>
        <v/>
      </c>
      <c r="D1067" s="28">
        <f>IF(A1067="","",TODAY())</f>
        <v/>
      </c>
      <c r="E1067" s="29" t="n"/>
      <c r="F1067" s="20">
        <f>IFERROR(IF(OR(A1067="",E1067=""),"",C1067-E1067),"")</f>
        <v/>
      </c>
      <c r="G1067" s="30" t="n"/>
      <c r="H1067" s="27" t="n"/>
    </row>
    <row r="1068" ht="20" customHeight="1">
      <c r="A1068" s="26" t="n"/>
      <c r="B1068" s="35">
        <f>IFERROR(IF(A1068="","",VLOOKUP(A1068,DATABASE!$A:$B,2,0)),"")</f>
        <v/>
      </c>
      <c r="C1068" s="36">
        <f>IFERROR(IF(A1068="","",VLOOKUP(A1068,DATABASE!$A:$J,10,0)),"")</f>
        <v/>
      </c>
      <c r="D1068" s="37">
        <f>IF(A1068="","",TODAY())</f>
        <v/>
      </c>
      <c r="E1068" s="29" t="n"/>
      <c r="F1068" s="36">
        <f>IFERROR(IF(OR(A1068="",E1068=""),"",C1068-E1068),"")</f>
        <v/>
      </c>
      <c r="G1068" s="30" t="n"/>
      <c r="H1068" s="35" t="n"/>
    </row>
    <row r="1069" ht="20" customHeight="1">
      <c r="A1069" s="26" t="n"/>
      <c r="B1069" s="27">
        <f>IFERROR(IF(A1069="","",VLOOKUP(A1069,DATABASE!$A:$B,2,0)),"")</f>
        <v/>
      </c>
      <c r="C1069" s="20">
        <f>IFERROR(IF(A1069="","",VLOOKUP(A1069,DATABASE!$A:$J,10,0)),"")</f>
        <v/>
      </c>
      <c r="D1069" s="28">
        <f>IF(A1069="","",TODAY())</f>
        <v/>
      </c>
      <c r="E1069" s="29" t="n"/>
      <c r="F1069" s="20">
        <f>IFERROR(IF(OR(A1069="",E1069=""),"",C1069-E1069),"")</f>
        <v/>
      </c>
      <c r="G1069" s="30" t="n"/>
      <c r="H1069" s="27" t="n"/>
    </row>
    <row r="1070" ht="20" customHeight="1">
      <c r="A1070" s="26" t="n"/>
      <c r="B1070" s="35">
        <f>IFERROR(IF(A1070="","",VLOOKUP(A1070,DATABASE!$A:$B,2,0)),"")</f>
        <v/>
      </c>
      <c r="C1070" s="36">
        <f>IFERROR(IF(A1070="","",VLOOKUP(A1070,DATABASE!$A:$J,10,0)),"")</f>
        <v/>
      </c>
      <c r="D1070" s="37">
        <f>IF(A1070="","",TODAY())</f>
        <v/>
      </c>
      <c r="E1070" s="29" t="n"/>
      <c r="F1070" s="36">
        <f>IFERROR(IF(OR(A1070="",E1070=""),"",C1070-E1070),"")</f>
        <v/>
      </c>
      <c r="G1070" s="30" t="n"/>
      <c r="H1070" s="35" t="n"/>
    </row>
    <row r="1071" ht="20" customHeight="1">
      <c r="A1071" s="26" t="n"/>
      <c r="B1071" s="27">
        <f>IFERROR(IF(A1071="","",VLOOKUP(A1071,DATABASE!$A:$B,2,0)),"")</f>
        <v/>
      </c>
      <c r="C1071" s="20">
        <f>IFERROR(IF(A1071="","",VLOOKUP(A1071,DATABASE!$A:$J,10,0)),"")</f>
        <v/>
      </c>
      <c r="D1071" s="28">
        <f>IF(A1071="","",TODAY())</f>
        <v/>
      </c>
      <c r="E1071" s="29" t="n"/>
      <c r="F1071" s="20">
        <f>IFERROR(IF(OR(A1071="",E1071=""),"",C1071-E1071),"")</f>
        <v/>
      </c>
      <c r="G1071" s="30" t="n"/>
      <c r="H1071" s="27" t="n"/>
    </row>
    <row r="1072" ht="20" customHeight="1">
      <c r="A1072" s="26" t="n"/>
      <c r="B1072" s="35">
        <f>IFERROR(IF(A1072="","",VLOOKUP(A1072,DATABASE!$A:$B,2,0)),"")</f>
        <v/>
      </c>
      <c r="C1072" s="36">
        <f>IFERROR(IF(A1072="","",VLOOKUP(A1072,DATABASE!$A:$J,10,0)),"")</f>
        <v/>
      </c>
      <c r="D1072" s="37">
        <f>IF(A1072="","",TODAY())</f>
        <v/>
      </c>
      <c r="E1072" s="29" t="n"/>
      <c r="F1072" s="36">
        <f>IFERROR(IF(OR(A1072="",E1072=""),"",C1072-E1072),"")</f>
        <v/>
      </c>
      <c r="G1072" s="30" t="n"/>
      <c r="H1072" s="35" t="n"/>
    </row>
    <row r="1073" ht="20" customHeight="1">
      <c r="A1073" s="26" t="n"/>
      <c r="B1073" s="27">
        <f>IFERROR(IF(A1073="","",VLOOKUP(A1073,DATABASE!$A:$B,2,0)),"")</f>
        <v/>
      </c>
      <c r="C1073" s="20">
        <f>IFERROR(IF(A1073="","",VLOOKUP(A1073,DATABASE!$A:$J,10,0)),"")</f>
        <v/>
      </c>
      <c r="D1073" s="28">
        <f>IF(A1073="","",TODAY())</f>
        <v/>
      </c>
      <c r="E1073" s="29" t="n"/>
      <c r="F1073" s="20">
        <f>IFERROR(IF(OR(A1073="",E1073=""),"",C1073-E1073),"")</f>
        <v/>
      </c>
      <c r="G1073" s="30" t="n"/>
      <c r="H1073" s="27" t="n"/>
    </row>
    <row r="1074" ht="20" customHeight="1">
      <c r="A1074" s="26" t="n"/>
      <c r="B1074" s="35">
        <f>IFERROR(IF(A1074="","",VLOOKUP(A1074,DATABASE!$A:$B,2,0)),"")</f>
        <v/>
      </c>
      <c r="C1074" s="36">
        <f>IFERROR(IF(A1074="","",VLOOKUP(A1074,DATABASE!$A:$J,10,0)),"")</f>
        <v/>
      </c>
      <c r="D1074" s="37">
        <f>IF(A1074="","",TODAY())</f>
        <v/>
      </c>
      <c r="E1074" s="29" t="n"/>
      <c r="F1074" s="36">
        <f>IFERROR(IF(OR(A1074="",E1074=""),"",C1074-E1074),"")</f>
        <v/>
      </c>
      <c r="G1074" s="30" t="n"/>
      <c r="H1074" s="35" t="n"/>
    </row>
    <row r="1075" ht="20" customHeight="1">
      <c r="A1075" s="26" t="n"/>
      <c r="B1075" s="27">
        <f>IFERROR(IF(A1075="","",VLOOKUP(A1075,DATABASE!$A:$B,2,0)),"")</f>
        <v/>
      </c>
      <c r="C1075" s="20">
        <f>IFERROR(IF(A1075="","",VLOOKUP(A1075,DATABASE!$A:$J,10,0)),"")</f>
        <v/>
      </c>
      <c r="D1075" s="28">
        <f>IF(A1075="","",TODAY())</f>
        <v/>
      </c>
      <c r="E1075" s="29" t="n"/>
      <c r="F1075" s="20">
        <f>IFERROR(IF(OR(A1075="",E1075=""),"",C1075-E1075),"")</f>
        <v/>
      </c>
      <c r="G1075" s="30" t="n"/>
      <c r="H1075" s="27" t="n"/>
    </row>
    <row r="1076" ht="20" customHeight="1">
      <c r="A1076" s="26" t="n"/>
      <c r="B1076" s="35">
        <f>IFERROR(IF(A1076="","",VLOOKUP(A1076,DATABASE!$A:$B,2,0)),"")</f>
        <v/>
      </c>
      <c r="C1076" s="36">
        <f>IFERROR(IF(A1076="","",VLOOKUP(A1076,DATABASE!$A:$J,10,0)),"")</f>
        <v/>
      </c>
      <c r="D1076" s="37">
        <f>IF(A1076="","",TODAY())</f>
        <v/>
      </c>
      <c r="E1076" s="29" t="n"/>
      <c r="F1076" s="36">
        <f>IFERROR(IF(OR(A1076="",E1076=""),"",C1076-E1076),"")</f>
        <v/>
      </c>
      <c r="G1076" s="30" t="n"/>
      <c r="H1076" s="35" t="n"/>
    </row>
    <row r="1077" ht="20" customHeight="1">
      <c r="A1077" s="26" t="n"/>
      <c r="B1077" s="27">
        <f>IFERROR(IF(A1077="","",VLOOKUP(A1077,DATABASE!$A:$B,2,0)),"")</f>
        <v/>
      </c>
      <c r="C1077" s="20">
        <f>IFERROR(IF(A1077="","",VLOOKUP(A1077,DATABASE!$A:$J,10,0)),"")</f>
        <v/>
      </c>
      <c r="D1077" s="28">
        <f>IF(A1077="","",TODAY())</f>
        <v/>
      </c>
      <c r="E1077" s="29" t="n"/>
      <c r="F1077" s="20">
        <f>IFERROR(IF(OR(A1077="",E1077=""),"",C1077-E1077),"")</f>
        <v/>
      </c>
      <c r="G1077" s="30" t="n"/>
      <c r="H1077" s="27" t="n"/>
    </row>
    <row r="1078" ht="20" customHeight="1">
      <c r="A1078" s="26" t="n"/>
      <c r="B1078" s="35">
        <f>IFERROR(IF(A1078="","",VLOOKUP(A1078,DATABASE!$A:$B,2,0)),"")</f>
        <v/>
      </c>
      <c r="C1078" s="36">
        <f>IFERROR(IF(A1078="","",VLOOKUP(A1078,DATABASE!$A:$J,10,0)),"")</f>
        <v/>
      </c>
      <c r="D1078" s="37">
        <f>IF(A1078="","",TODAY())</f>
        <v/>
      </c>
      <c r="E1078" s="29" t="n"/>
      <c r="F1078" s="36">
        <f>IFERROR(IF(OR(A1078="",E1078=""),"",C1078-E1078),"")</f>
        <v/>
      </c>
      <c r="G1078" s="30" t="n"/>
      <c r="H1078" s="35" t="n"/>
    </row>
    <row r="1079" ht="20" customHeight="1">
      <c r="A1079" s="26" t="n"/>
      <c r="B1079" s="27">
        <f>IFERROR(IF(A1079="","",VLOOKUP(A1079,DATABASE!$A:$B,2,0)),"")</f>
        <v/>
      </c>
      <c r="C1079" s="20">
        <f>IFERROR(IF(A1079="","",VLOOKUP(A1079,DATABASE!$A:$J,10,0)),"")</f>
        <v/>
      </c>
      <c r="D1079" s="28">
        <f>IF(A1079="","",TODAY())</f>
        <v/>
      </c>
      <c r="E1079" s="29" t="n"/>
      <c r="F1079" s="20">
        <f>IFERROR(IF(OR(A1079="",E1079=""),"",C1079-E1079),"")</f>
        <v/>
      </c>
      <c r="G1079" s="30" t="n"/>
      <c r="H1079" s="27" t="n"/>
    </row>
    <row r="1080" ht="20" customHeight="1">
      <c r="A1080" s="26" t="n"/>
      <c r="B1080" s="35">
        <f>IFERROR(IF(A1080="","",VLOOKUP(A1080,DATABASE!$A:$B,2,0)),"")</f>
        <v/>
      </c>
      <c r="C1080" s="36">
        <f>IFERROR(IF(A1080="","",VLOOKUP(A1080,DATABASE!$A:$J,10,0)),"")</f>
        <v/>
      </c>
      <c r="D1080" s="37">
        <f>IF(A1080="","",TODAY())</f>
        <v/>
      </c>
      <c r="E1080" s="29" t="n"/>
      <c r="F1080" s="36">
        <f>IFERROR(IF(OR(A1080="",E1080=""),"",C1080-E1080),"")</f>
        <v/>
      </c>
      <c r="G1080" s="30" t="n"/>
      <c r="H1080" s="35" t="n"/>
    </row>
    <row r="1081" ht="20" customHeight="1">
      <c r="A1081" s="26" t="n"/>
      <c r="B1081" s="27">
        <f>IFERROR(IF(A1081="","",VLOOKUP(A1081,DATABASE!$A:$B,2,0)),"")</f>
        <v/>
      </c>
      <c r="C1081" s="20">
        <f>IFERROR(IF(A1081="","",VLOOKUP(A1081,DATABASE!$A:$J,10,0)),"")</f>
        <v/>
      </c>
      <c r="D1081" s="28">
        <f>IF(A1081="","",TODAY())</f>
        <v/>
      </c>
      <c r="E1081" s="29" t="n"/>
      <c r="F1081" s="20">
        <f>IFERROR(IF(OR(A1081="",E1081=""),"",C1081-E1081),"")</f>
        <v/>
      </c>
      <c r="G1081" s="30" t="n"/>
      <c r="H1081" s="27" t="n"/>
    </row>
    <row r="1082" ht="20" customHeight="1">
      <c r="A1082" s="26" t="n"/>
      <c r="B1082" s="35">
        <f>IFERROR(IF(A1082="","",VLOOKUP(A1082,DATABASE!$A:$B,2,0)),"")</f>
        <v/>
      </c>
      <c r="C1082" s="36">
        <f>IFERROR(IF(A1082="","",VLOOKUP(A1082,DATABASE!$A:$J,10,0)),"")</f>
        <v/>
      </c>
      <c r="D1082" s="37">
        <f>IF(A1082="","",TODAY())</f>
        <v/>
      </c>
      <c r="E1082" s="29" t="n"/>
      <c r="F1082" s="36">
        <f>IFERROR(IF(OR(A1082="",E1082=""),"",C1082-E1082),"")</f>
        <v/>
      </c>
      <c r="G1082" s="30" t="n"/>
      <c r="H1082" s="35" t="n"/>
    </row>
    <row r="1083" ht="20" customHeight="1">
      <c r="A1083" s="26" t="n"/>
      <c r="B1083" s="27">
        <f>IFERROR(IF(A1083="","",VLOOKUP(A1083,DATABASE!$A:$B,2,0)),"")</f>
        <v/>
      </c>
      <c r="C1083" s="20">
        <f>IFERROR(IF(A1083="","",VLOOKUP(A1083,DATABASE!$A:$J,10,0)),"")</f>
        <v/>
      </c>
      <c r="D1083" s="28">
        <f>IF(A1083="","",TODAY())</f>
        <v/>
      </c>
      <c r="E1083" s="29" t="n"/>
      <c r="F1083" s="20">
        <f>IFERROR(IF(OR(A1083="",E1083=""),"",C1083-E1083),"")</f>
        <v/>
      </c>
      <c r="G1083" s="30" t="n"/>
      <c r="H1083" s="27" t="n"/>
    </row>
    <row r="1084" ht="20" customHeight="1">
      <c r="A1084" s="26" t="n"/>
      <c r="B1084" s="35">
        <f>IFERROR(IF(A1084="","",VLOOKUP(A1084,DATABASE!$A:$B,2,0)),"")</f>
        <v/>
      </c>
      <c r="C1084" s="36">
        <f>IFERROR(IF(A1084="","",VLOOKUP(A1084,DATABASE!$A:$J,10,0)),"")</f>
        <v/>
      </c>
      <c r="D1084" s="37">
        <f>IF(A1084="","",TODAY())</f>
        <v/>
      </c>
      <c r="E1084" s="29" t="n"/>
      <c r="F1084" s="36">
        <f>IFERROR(IF(OR(A1084="",E1084=""),"",C1084-E1084),"")</f>
        <v/>
      </c>
      <c r="G1084" s="30" t="n"/>
      <c r="H1084" s="35" t="n"/>
    </row>
    <row r="1085" ht="20" customHeight="1">
      <c r="A1085" s="26" t="n"/>
      <c r="B1085" s="27">
        <f>IFERROR(IF(A1085="","",VLOOKUP(A1085,DATABASE!$A:$B,2,0)),"")</f>
        <v/>
      </c>
      <c r="C1085" s="20">
        <f>IFERROR(IF(A1085="","",VLOOKUP(A1085,DATABASE!$A:$J,10,0)),"")</f>
        <v/>
      </c>
      <c r="D1085" s="28">
        <f>IF(A1085="","",TODAY())</f>
        <v/>
      </c>
      <c r="E1085" s="29" t="n"/>
      <c r="F1085" s="20">
        <f>IFERROR(IF(OR(A1085="",E1085=""),"",C1085-E1085),"")</f>
        <v/>
      </c>
      <c r="G1085" s="30" t="n"/>
      <c r="H1085" s="27" t="n"/>
    </row>
    <row r="1086" ht="20" customHeight="1">
      <c r="A1086" s="26" t="n"/>
      <c r="B1086" s="35">
        <f>IFERROR(IF(A1086="","",VLOOKUP(A1086,DATABASE!$A:$B,2,0)),"")</f>
        <v/>
      </c>
      <c r="C1086" s="36">
        <f>IFERROR(IF(A1086="","",VLOOKUP(A1086,DATABASE!$A:$J,10,0)),"")</f>
        <v/>
      </c>
      <c r="D1086" s="37">
        <f>IF(A1086="","",TODAY())</f>
        <v/>
      </c>
      <c r="E1086" s="29" t="n"/>
      <c r="F1086" s="36">
        <f>IFERROR(IF(OR(A1086="",E1086=""),"",C1086-E1086),"")</f>
        <v/>
      </c>
      <c r="G1086" s="30" t="n"/>
      <c r="H1086" s="35" t="n"/>
    </row>
    <row r="1087" ht="20" customHeight="1">
      <c r="A1087" s="26" t="n"/>
      <c r="B1087" s="27">
        <f>IFERROR(IF(A1087="","",VLOOKUP(A1087,DATABASE!$A:$B,2,0)),"")</f>
        <v/>
      </c>
      <c r="C1087" s="20">
        <f>IFERROR(IF(A1087="","",VLOOKUP(A1087,DATABASE!$A:$J,10,0)),"")</f>
        <v/>
      </c>
      <c r="D1087" s="28">
        <f>IF(A1087="","",TODAY())</f>
        <v/>
      </c>
      <c r="E1087" s="29" t="n"/>
      <c r="F1087" s="20">
        <f>IFERROR(IF(OR(A1087="",E1087=""),"",C1087-E1087),"")</f>
        <v/>
      </c>
      <c r="G1087" s="30" t="n"/>
      <c r="H1087" s="27" t="n"/>
    </row>
    <row r="1088" ht="20" customHeight="1">
      <c r="A1088" s="26" t="n"/>
      <c r="B1088" s="35">
        <f>IFERROR(IF(A1088="","",VLOOKUP(A1088,DATABASE!$A:$B,2,0)),"")</f>
        <v/>
      </c>
      <c r="C1088" s="36">
        <f>IFERROR(IF(A1088="","",VLOOKUP(A1088,DATABASE!$A:$J,10,0)),"")</f>
        <v/>
      </c>
      <c r="D1088" s="37">
        <f>IF(A1088="","",TODAY())</f>
        <v/>
      </c>
      <c r="E1088" s="29" t="n"/>
      <c r="F1088" s="36">
        <f>IFERROR(IF(OR(A1088="",E1088=""),"",C1088-E1088),"")</f>
        <v/>
      </c>
      <c r="G1088" s="30" t="n"/>
      <c r="H1088" s="35" t="n"/>
    </row>
    <row r="1089" ht="20" customHeight="1">
      <c r="A1089" s="26" t="n"/>
      <c r="B1089" s="27">
        <f>IFERROR(IF(A1089="","",VLOOKUP(A1089,DATABASE!$A:$B,2,0)),"")</f>
        <v/>
      </c>
      <c r="C1089" s="20">
        <f>IFERROR(IF(A1089="","",VLOOKUP(A1089,DATABASE!$A:$J,10,0)),"")</f>
        <v/>
      </c>
      <c r="D1089" s="28">
        <f>IF(A1089="","",TODAY())</f>
        <v/>
      </c>
      <c r="E1089" s="29" t="n"/>
      <c r="F1089" s="20">
        <f>IFERROR(IF(OR(A1089="",E1089=""),"",C1089-E1089),"")</f>
        <v/>
      </c>
      <c r="G1089" s="30" t="n"/>
      <c r="H1089" s="27" t="n"/>
    </row>
    <row r="1090" ht="20" customHeight="1">
      <c r="A1090" s="26" t="n"/>
      <c r="B1090" s="35">
        <f>IFERROR(IF(A1090="","",VLOOKUP(A1090,DATABASE!$A:$B,2,0)),"")</f>
        <v/>
      </c>
      <c r="C1090" s="36">
        <f>IFERROR(IF(A1090="","",VLOOKUP(A1090,DATABASE!$A:$J,10,0)),"")</f>
        <v/>
      </c>
      <c r="D1090" s="37">
        <f>IF(A1090="","",TODAY())</f>
        <v/>
      </c>
      <c r="E1090" s="29" t="n"/>
      <c r="F1090" s="36">
        <f>IFERROR(IF(OR(A1090="",E1090=""),"",C1090-E1090),"")</f>
        <v/>
      </c>
      <c r="G1090" s="30" t="n"/>
      <c r="H1090" s="35" t="n"/>
    </row>
    <row r="1091" ht="20" customHeight="1">
      <c r="A1091" s="26" t="n"/>
      <c r="B1091" s="27">
        <f>IFERROR(IF(A1091="","",VLOOKUP(A1091,DATABASE!$A:$B,2,0)),"")</f>
        <v/>
      </c>
      <c r="C1091" s="20">
        <f>IFERROR(IF(A1091="","",VLOOKUP(A1091,DATABASE!$A:$J,10,0)),"")</f>
        <v/>
      </c>
      <c r="D1091" s="28">
        <f>IF(A1091="","",TODAY())</f>
        <v/>
      </c>
      <c r="E1091" s="29" t="n"/>
      <c r="F1091" s="20">
        <f>IFERROR(IF(OR(A1091="",E1091=""),"",C1091-E1091),"")</f>
        <v/>
      </c>
      <c r="G1091" s="30" t="n"/>
      <c r="H1091" s="27" t="n"/>
    </row>
    <row r="1092" ht="20" customHeight="1">
      <c r="A1092" s="26" t="n"/>
      <c r="B1092" s="35">
        <f>IFERROR(IF(A1092="","",VLOOKUP(A1092,DATABASE!$A:$B,2,0)),"")</f>
        <v/>
      </c>
      <c r="C1092" s="36">
        <f>IFERROR(IF(A1092="","",VLOOKUP(A1092,DATABASE!$A:$J,10,0)),"")</f>
        <v/>
      </c>
      <c r="D1092" s="37">
        <f>IF(A1092="","",TODAY())</f>
        <v/>
      </c>
      <c r="E1092" s="29" t="n"/>
      <c r="F1092" s="36">
        <f>IFERROR(IF(OR(A1092="",E1092=""),"",C1092-E1092),"")</f>
        <v/>
      </c>
      <c r="G1092" s="30" t="n"/>
      <c r="H1092" s="35" t="n"/>
    </row>
    <row r="1093" ht="20" customHeight="1">
      <c r="A1093" s="26" t="n"/>
      <c r="B1093" s="27">
        <f>IFERROR(IF(A1093="","",VLOOKUP(A1093,DATABASE!$A:$B,2,0)),"")</f>
        <v/>
      </c>
      <c r="C1093" s="20">
        <f>IFERROR(IF(A1093="","",VLOOKUP(A1093,DATABASE!$A:$J,10,0)),"")</f>
        <v/>
      </c>
      <c r="D1093" s="28">
        <f>IF(A1093="","",TODAY())</f>
        <v/>
      </c>
      <c r="E1093" s="29" t="n"/>
      <c r="F1093" s="20">
        <f>IFERROR(IF(OR(A1093="",E1093=""),"",C1093-E1093),"")</f>
        <v/>
      </c>
      <c r="G1093" s="30" t="n"/>
      <c r="H1093" s="27" t="n"/>
    </row>
    <row r="1094" ht="20" customHeight="1">
      <c r="A1094" s="26" t="n"/>
      <c r="B1094" s="35">
        <f>IFERROR(IF(A1094="","",VLOOKUP(A1094,DATABASE!$A:$B,2,0)),"")</f>
        <v/>
      </c>
      <c r="C1094" s="36">
        <f>IFERROR(IF(A1094="","",VLOOKUP(A1094,DATABASE!$A:$J,10,0)),"")</f>
        <v/>
      </c>
      <c r="D1094" s="37">
        <f>IF(A1094="","",TODAY())</f>
        <v/>
      </c>
      <c r="E1094" s="29" t="n"/>
      <c r="F1094" s="36">
        <f>IFERROR(IF(OR(A1094="",E1094=""),"",C1094-E1094),"")</f>
        <v/>
      </c>
      <c r="G1094" s="30" t="n"/>
      <c r="H1094" s="35" t="n"/>
    </row>
    <row r="1095" ht="20" customHeight="1">
      <c r="A1095" s="26" t="n"/>
      <c r="B1095" s="27">
        <f>IFERROR(IF(A1095="","",VLOOKUP(A1095,DATABASE!$A:$B,2,0)),"")</f>
        <v/>
      </c>
      <c r="C1095" s="20">
        <f>IFERROR(IF(A1095="","",VLOOKUP(A1095,DATABASE!$A:$J,10,0)),"")</f>
        <v/>
      </c>
      <c r="D1095" s="28">
        <f>IF(A1095="","",TODAY())</f>
        <v/>
      </c>
      <c r="E1095" s="29" t="n"/>
      <c r="F1095" s="20">
        <f>IFERROR(IF(OR(A1095="",E1095=""),"",C1095-E1095),"")</f>
        <v/>
      </c>
      <c r="G1095" s="30" t="n"/>
      <c r="H1095" s="27" t="n"/>
    </row>
    <row r="1096" ht="20" customHeight="1">
      <c r="A1096" s="26" t="n"/>
      <c r="B1096" s="35">
        <f>IFERROR(IF(A1096="","",VLOOKUP(A1096,DATABASE!$A:$B,2,0)),"")</f>
        <v/>
      </c>
      <c r="C1096" s="36">
        <f>IFERROR(IF(A1096="","",VLOOKUP(A1096,DATABASE!$A:$J,10,0)),"")</f>
        <v/>
      </c>
      <c r="D1096" s="37">
        <f>IF(A1096="","",TODAY())</f>
        <v/>
      </c>
      <c r="E1096" s="29" t="n"/>
      <c r="F1096" s="36">
        <f>IFERROR(IF(OR(A1096="",E1096=""),"",C1096-E1096),"")</f>
        <v/>
      </c>
      <c r="G1096" s="30" t="n"/>
      <c r="H1096" s="35" t="n"/>
    </row>
    <row r="1097" ht="20" customHeight="1">
      <c r="A1097" s="26" t="n"/>
      <c r="B1097" s="27">
        <f>IFERROR(IF(A1097="","",VLOOKUP(A1097,DATABASE!$A:$B,2,0)),"")</f>
        <v/>
      </c>
      <c r="C1097" s="20">
        <f>IFERROR(IF(A1097="","",VLOOKUP(A1097,DATABASE!$A:$J,10,0)),"")</f>
        <v/>
      </c>
      <c r="D1097" s="28">
        <f>IF(A1097="","",TODAY())</f>
        <v/>
      </c>
      <c r="E1097" s="29" t="n"/>
      <c r="F1097" s="20">
        <f>IFERROR(IF(OR(A1097="",E1097=""),"",C1097-E1097),"")</f>
        <v/>
      </c>
      <c r="G1097" s="30" t="n"/>
      <c r="H1097" s="27" t="n"/>
    </row>
    <row r="1098" ht="20" customHeight="1">
      <c r="A1098" s="26" t="n"/>
      <c r="B1098" s="35">
        <f>IFERROR(IF(A1098="","",VLOOKUP(A1098,DATABASE!$A:$B,2,0)),"")</f>
        <v/>
      </c>
      <c r="C1098" s="36">
        <f>IFERROR(IF(A1098="","",VLOOKUP(A1098,DATABASE!$A:$J,10,0)),"")</f>
        <v/>
      </c>
      <c r="D1098" s="37">
        <f>IF(A1098="","",TODAY())</f>
        <v/>
      </c>
      <c r="E1098" s="29" t="n"/>
      <c r="F1098" s="36">
        <f>IFERROR(IF(OR(A1098="",E1098=""),"",C1098-E1098),"")</f>
        <v/>
      </c>
      <c r="G1098" s="30" t="n"/>
      <c r="H1098" s="35" t="n"/>
    </row>
    <row r="1099" ht="20" customHeight="1">
      <c r="A1099" s="26" t="n"/>
      <c r="B1099" s="27">
        <f>IFERROR(IF(A1099="","",VLOOKUP(A1099,DATABASE!$A:$B,2,0)),"")</f>
        <v/>
      </c>
      <c r="C1099" s="20">
        <f>IFERROR(IF(A1099="","",VLOOKUP(A1099,DATABASE!$A:$J,10,0)),"")</f>
        <v/>
      </c>
      <c r="D1099" s="28">
        <f>IF(A1099="","",TODAY())</f>
        <v/>
      </c>
      <c r="E1099" s="29" t="n"/>
      <c r="F1099" s="20">
        <f>IFERROR(IF(OR(A1099="",E1099=""),"",C1099-E1099),"")</f>
        <v/>
      </c>
      <c r="G1099" s="30" t="n"/>
      <c r="H1099" s="27" t="n"/>
    </row>
    <row r="1100" ht="20" customHeight="1">
      <c r="A1100" s="26" t="n"/>
      <c r="B1100" s="35">
        <f>IFERROR(IF(A1100="","",VLOOKUP(A1100,DATABASE!$A:$B,2,0)),"")</f>
        <v/>
      </c>
      <c r="C1100" s="36">
        <f>IFERROR(IF(A1100="","",VLOOKUP(A1100,DATABASE!$A:$J,10,0)),"")</f>
        <v/>
      </c>
      <c r="D1100" s="37">
        <f>IF(A1100="","",TODAY())</f>
        <v/>
      </c>
      <c r="E1100" s="29" t="n"/>
      <c r="F1100" s="36">
        <f>IFERROR(IF(OR(A1100="",E1100=""),"",C1100-E1100),"")</f>
        <v/>
      </c>
      <c r="G1100" s="30" t="n"/>
      <c r="H1100" s="35" t="n"/>
    </row>
    <row r="1101" ht="20" customHeight="1">
      <c r="A1101" s="26" t="n"/>
      <c r="B1101" s="27">
        <f>IFERROR(IF(A1101="","",VLOOKUP(A1101,DATABASE!$A:$B,2,0)),"")</f>
        <v/>
      </c>
      <c r="C1101" s="20">
        <f>IFERROR(IF(A1101="","",VLOOKUP(A1101,DATABASE!$A:$J,10,0)),"")</f>
        <v/>
      </c>
      <c r="D1101" s="28">
        <f>IF(A1101="","",TODAY())</f>
        <v/>
      </c>
      <c r="E1101" s="29" t="n"/>
      <c r="F1101" s="20">
        <f>IFERROR(IF(OR(A1101="",E1101=""),"",C1101-E1101),"")</f>
        <v/>
      </c>
      <c r="G1101" s="30" t="n"/>
      <c r="H1101" s="27" t="n"/>
    </row>
    <row r="1102" ht="20" customHeight="1">
      <c r="A1102" s="26" t="n"/>
      <c r="B1102" s="35">
        <f>IFERROR(IF(A1102="","",VLOOKUP(A1102,DATABASE!$A:$B,2,0)),"")</f>
        <v/>
      </c>
      <c r="C1102" s="36">
        <f>IFERROR(IF(A1102="","",VLOOKUP(A1102,DATABASE!$A:$J,10,0)),"")</f>
        <v/>
      </c>
      <c r="D1102" s="37">
        <f>IF(A1102="","",TODAY())</f>
        <v/>
      </c>
      <c r="E1102" s="29" t="n"/>
      <c r="F1102" s="36">
        <f>IFERROR(IF(OR(A1102="",E1102=""),"",C1102-E1102),"")</f>
        <v/>
      </c>
      <c r="G1102" s="30" t="n"/>
      <c r="H1102" s="35" t="n"/>
    </row>
    <row r="1103" ht="20" customHeight="1">
      <c r="A1103" s="26" t="n"/>
      <c r="B1103" s="27">
        <f>IFERROR(IF(A1103="","",VLOOKUP(A1103,DATABASE!$A:$B,2,0)),"")</f>
        <v/>
      </c>
      <c r="C1103" s="20">
        <f>IFERROR(IF(A1103="","",VLOOKUP(A1103,DATABASE!$A:$J,10,0)),"")</f>
        <v/>
      </c>
      <c r="D1103" s="28">
        <f>IF(A1103="","",TODAY())</f>
        <v/>
      </c>
      <c r="E1103" s="29" t="n"/>
      <c r="F1103" s="20">
        <f>IFERROR(IF(OR(A1103="",E1103=""),"",C1103-E1103),"")</f>
        <v/>
      </c>
      <c r="G1103" s="30" t="n"/>
      <c r="H1103" s="27" t="n"/>
    </row>
    <row r="1104" ht="20" customHeight="1">
      <c r="A1104" s="26" t="n"/>
      <c r="B1104" s="35">
        <f>IFERROR(IF(A1104="","",VLOOKUP(A1104,DATABASE!$A:$B,2,0)),"")</f>
        <v/>
      </c>
      <c r="C1104" s="36">
        <f>IFERROR(IF(A1104="","",VLOOKUP(A1104,DATABASE!$A:$J,10,0)),"")</f>
        <v/>
      </c>
      <c r="D1104" s="37">
        <f>IF(A1104="","",TODAY())</f>
        <v/>
      </c>
      <c r="E1104" s="29" t="n"/>
      <c r="F1104" s="36">
        <f>IFERROR(IF(OR(A1104="",E1104=""),"",C1104-E1104),"")</f>
        <v/>
      </c>
      <c r="G1104" s="30" t="n"/>
      <c r="H1104" s="35" t="n"/>
    </row>
    <row r="1105" ht="20" customHeight="1">
      <c r="A1105" s="26" t="n"/>
      <c r="B1105" s="27">
        <f>IFERROR(IF(A1105="","",VLOOKUP(A1105,DATABASE!$A:$B,2,0)),"")</f>
        <v/>
      </c>
      <c r="C1105" s="20">
        <f>IFERROR(IF(A1105="","",VLOOKUP(A1105,DATABASE!$A:$J,10,0)),"")</f>
        <v/>
      </c>
      <c r="D1105" s="28">
        <f>IF(A1105="","",TODAY())</f>
        <v/>
      </c>
      <c r="E1105" s="29" t="n"/>
      <c r="F1105" s="20">
        <f>IFERROR(IF(OR(A1105="",E1105=""),"",C1105-E1105),"")</f>
        <v/>
      </c>
      <c r="G1105" s="30" t="n"/>
      <c r="H1105" s="27" t="n"/>
    </row>
    <row r="1106" ht="20" customHeight="1">
      <c r="A1106" s="26" t="n"/>
      <c r="B1106" s="35">
        <f>IFERROR(IF(A1106="","",VLOOKUP(A1106,DATABASE!$A:$B,2,0)),"")</f>
        <v/>
      </c>
      <c r="C1106" s="36">
        <f>IFERROR(IF(A1106="","",VLOOKUP(A1106,DATABASE!$A:$J,10,0)),"")</f>
        <v/>
      </c>
      <c r="D1106" s="37">
        <f>IF(A1106="","",TODAY())</f>
        <v/>
      </c>
      <c r="E1106" s="29" t="n"/>
      <c r="F1106" s="36">
        <f>IFERROR(IF(OR(A1106="",E1106=""),"",C1106-E1106),"")</f>
        <v/>
      </c>
      <c r="G1106" s="30" t="n"/>
      <c r="H1106" s="35" t="n"/>
    </row>
    <row r="1107" ht="20" customHeight="1">
      <c r="A1107" s="26" t="n"/>
      <c r="B1107" s="27">
        <f>IFERROR(IF(A1107="","",VLOOKUP(A1107,DATABASE!$A:$B,2,0)),"")</f>
        <v/>
      </c>
      <c r="C1107" s="20">
        <f>IFERROR(IF(A1107="","",VLOOKUP(A1107,DATABASE!$A:$J,10,0)),"")</f>
        <v/>
      </c>
      <c r="D1107" s="28">
        <f>IF(A1107="","",TODAY())</f>
        <v/>
      </c>
      <c r="E1107" s="29" t="n"/>
      <c r="F1107" s="20">
        <f>IFERROR(IF(OR(A1107="",E1107=""),"",C1107-E1107),"")</f>
        <v/>
      </c>
      <c r="G1107" s="30" t="n"/>
      <c r="H1107" s="27" t="n"/>
    </row>
    <row r="1108" ht="20" customHeight="1">
      <c r="A1108" s="26" t="n"/>
      <c r="B1108" s="35">
        <f>IFERROR(IF(A1108="","",VLOOKUP(A1108,DATABASE!$A:$B,2,0)),"")</f>
        <v/>
      </c>
      <c r="C1108" s="36">
        <f>IFERROR(IF(A1108="","",VLOOKUP(A1108,DATABASE!$A:$J,10,0)),"")</f>
        <v/>
      </c>
      <c r="D1108" s="37">
        <f>IF(A1108="","",TODAY())</f>
        <v/>
      </c>
      <c r="E1108" s="29" t="n"/>
      <c r="F1108" s="36">
        <f>IFERROR(IF(OR(A1108="",E1108=""),"",C1108-E1108),"")</f>
        <v/>
      </c>
      <c r="G1108" s="30" t="n"/>
      <c r="H1108" s="35" t="n"/>
    </row>
    <row r="1109" ht="20" customHeight="1">
      <c r="A1109" s="26" t="n"/>
      <c r="B1109" s="27">
        <f>IFERROR(IF(A1109="","",VLOOKUP(A1109,DATABASE!$A:$B,2,0)),"")</f>
        <v/>
      </c>
      <c r="C1109" s="20">
        <f>IFERROR(IF(A1109="","",VLOOKUP(A1109,DATABASE!$A:$J,10,0)),"")</f>
        <v/>
      </c>
      <c r="D1109" s="28">
        <f>IF(A1109="","",TODAY())</f>
        <v/>
      </c>
      <c r="E1109" s="29" t="n"/>
      <c r="F1109" s="20">
        <f>IFERROR(IF(OR(A1109="",E1109=""),"",C1109-E1109),"")</f>
        <v/>
      </c>
      <c r="G1109" s="30" t="n"/>
      <c r="H1109" s="27" t="n"/>
    </row>
    <row r="1110" ht="20" customHeight="1">
      <c r="A1110" s="26" t="n"/>
      <c r="B1110" s="35">
        <f>IFERROR(IF(A1110="","",VLOOKUP(A1110,DATABASE!$A:$B,2,0)),"")</f>
        <v/>
      </c>
      <c r="C1110" s="36">
        <f>IFERROR(IF(A1110="","",VLOOKUP(A1110,DATABASE!$A:$J,10,0)),"")</f>
        <v/>
      </c>
      <c r="D1110" s="37">
        <f>IF(A1110="","",TODAY())</f>
        <v/>
      </c>
      <c r="E1110" s="29" t="n"/>
      <c r="F1110" s="36">
        <f>IFERROR(IF(OR(A1110="",E1110=""),"",C1110-E1110),"")</f>
        <v/>
      </c>
      <c r="G1110" s="30" t="n"/>
      <c r="H1110" s="35" t="n"/>
    </row>
    <row r="1111" ht="20" customHeight="1">
      <c r="A1111" s="26" t="n"/>
      <c r="B1111" s="27">
        <f>IFERROR(IF(A1111="","",VLOOKUP(A1111,DATABASE!$A:$B,2,0)),"")</f>
        <v/>
      </c>
      <c r="C1111" s="20">
        <f>IFERROR(IF(A1111="","",VLOOKUP(A1111,DATABASE!$A:$J,10,0)),"")</f>
        <v/>
      </c>
      <c r="D1111" s="28">
        <f>IF(A1111="","",TODAY())</f>
        <v/>
      </c>
      <c r="E1111" s="29" t="n"/>
      <c r="F1111" s="20">
        <f>IFERROR(IF(OR(A1111="",E1111=""),"",C1111-E1111),"")</f>
        <v/>
      </c>
      <c r="G1111" s="30" t="n"/>
      <c r="H1111" s="27" t="n"/>
    </row>
    <row r="1112" ht="20" customHeight="1">
      <c r="A1112" s="26" t="n"/>
      <c r="B1112" s="35">
        <f>IFERROR(IF(A1112="","",VLOOKUP(A1112,DATABASE!$A:$B,2,0)),"")</f>
        <v/>
      </c>
      <c r="C1112" s="36">
        <f>IFERROR(IF(A1112="","",VLOOKUP(A1112,DATABASE!$A:$J,10,0)),"")</f>
        <v/>
      </c>
      <c r="D1112" s="37">
        <f>IF(A1112="","",TODAY())</f>
        <v/>
      </c>
      <c r="E1112" s="29" t="n"/>
      <c r="F1112" s="36">
        <f>IFERROR(IF(OR(A1112="",E1112=""),"",C1112-E1112),"")</f>
        <v/>
      </c>
      <c r="G1112" s="30" t="n"/>
      <c r="H1112" s="35" t="n"/>
    </row>
    <row r="1113" ht="20" customHeight="1">
      <c r="A1113" s="26" t="n"/>
      <c r="B1113" s="27">
        <f>IFERROR(IF(A1113="","",VLOOKUP(A1113,DATABASE!$A:$B,2,0)),"")</f>
        <v/>
      </c>
      <c r="C1113" s="20">
        <f>IFERROR(IF(A1113="","",VLOOKUP(A1113,DATABASE!$A:$J,10,0)),"")</f>
        <v/>
      </c>
      <c r="D1113" s="28">
        <f>IF(A1113="","",TODAY())</f>
        <v/>
      </c>
      <c r="E1113" s="29" t="n"/>
      <c r="F1113" s="20">
        <f>IFERROR(IF(OR(A1113="",E1113=""),"",C1113-E1113),"")</f>
        <v/>
      </c>
      <c r="G1113" s="30" t="n"/>
      <c r="H1113" s="27" t="n"/>
    </row>
    <row r="1114" ht="20" customHeight="1">
      <c r="A1114" s="26" t="n"/>
      <c r="B1114" s="35">
        <f>IFERROR(IF(A1114="","",VLOOKUP(A1114,DATABASE!$A:$B,2,0)),"")</f>
        <v/>
      </c>
      <c r="C1114" s="36">
        <f>IFERROR(IF(A1114="","",VLOOKUP(A1114,DATABASE!$A:$J,10,0)),"")</f>
        <v/>
      </c>
      <c r="D1114" s="37">
        <f>IF(A1114="","",TODAY())</f>
        <v/>
      </c>
      <c r="E1114" s="29" t="n"/>
      <c r="F1114" s="36">
        <f>IFERROR(IF(OR(A1114="",E1114=""),"",C1114-E1114),"")</f>
        <v/>
      </c>
      <c r="G1114" s="30" t="n"/>
      <c r="H1114" s="35" t="n"/>
    </row>
    <row r="1115" ht="20" customHeight="1">
      <c r="A1115" s="26" t="n"/>
      <c r="B1115" s="27">
        <f>IFERROR(IF(A1115="","",VLOOKUP(A1115,DATABASE!$A:$B,2,0)),"")</f>
        <v/>
      </c>
      <c r="C1115" s="20">
        <f>IFERROR(IF(A1115="","",VLOOKUP(A1115,DATABASE!$A:$J,10,0)),"")</f>
        <v/>
      </c>
      <c r="D1115" s="28">
        <f>IF(A1115="","",TODAY())</f>
        <v/>
      </c>
      <c r="E1115" s="29" t="n"/>
      <c r="F1115" s="20">
        <f>IFERROR(IF(OR(A1115="",E1115=""),"",C1115-E1115),"")</f>
        <v/>
      </c>
      <c r="G1115" s="30" t="n"/>
      <c r="H1115" s="27" t="n"/>
    </row>
    <row r="1116" ht="20" customHeight="1">
      <c r="A1116" s="26" t="n"/>
      <c r="B1116" s="35">
        <f>IFERROR(IF(A1116="","",VLOOKUP(A1116,DATABASE!$A:$B,2,0)),"")</f>
        <v/>
      </c>
      <c r="C1116" s="36">
        <f>IFERROR(IF(A1116="","",VLOOKUP(A1116,DATABASE!$A:$J,10,0)),"")</f>
        <v/>
      </c>
      <c r="D1116" s="37">
        <f>IF(A1116="","",TODAY())</f>
        <v/>
      </c>
      <c r="E1116" s="29" t="n"/>
      <c r="F1116" s="36">
        <f>IFERROR(IF(OR(A1116="",E1116=""),"",C1116-E1116),"")</f>
        <v/>
      </c>
      <c r="G1116" s="30" t="n"/>
      <c r="H1116" s="35" t="n"/>
    </row>
    <row r="1117" ht="20" customHeight="1">
      <c r="A1117" s="26" t="n"/>
      <c r="B1117" s="27">
        <f>IFERROR(IF(A1117="","",VLOOKUP(A1117,DATABASE!$A:$B,2,0)),"")</f>
        <v/>
      </c>
      <c r="C1117" s="20">
        <f>IFERROR(IF(A1117="","",VLOOKUP(A1117,DATABASE!$A:$J,10,0)),"")</f>
        <v/>
      </c>
      <c r="D1117" s="28">
        <f>IF(A1117="","",TODAY())</f>
        <v/>
      </c>
      <c r="E1117" s="29" t="n"/>
      <c r="F1117" s="20">
        <f>IFERROR(IF(OR(A1117="",E1117=""),"",C1117-E1117),"")</f>
        <v/>
      </c>
      <c r="G1117" s="30" t="n"/>
      <c r="H1117" s="27" t="n"/>
    </row>
    <row r="1118" ht="20" customHeight="1">
      <c r="A1118" s="26" t="n"/>
      <c r="B1118" s="35">
        <f>IFERROR(IF(A1118="","",VLOOKUP(A1118,DATABASE!$A:$B,2,0)),"")</f>
        <v/>
      </c>
      <c r="C1118" s="36">
        <f>IFERROR(IF(A1118="","",VLOOKUP(A1118,DATABASE!$A:$J,10,0)),"")</f>
        <v/>
      </c>
      <c r="D1118" s="37">
        <f>IF(A1118="","",TODAY())</f>
        <v/>
      </c>
      <c r="E1118" s="29" t="n"/>
      <c r="F1118" s="36">
        <f>IFERROR(IF(OR(A1118="",E1118=""),"",C1118-E1118),"")</f>
        <v/>
      </c>
      <c r="G1118" s="30" t="n"/>
      <c r="H1118" s="35" t="n"/>
    </row>
    <row r="1119" ht="20" customHeight="1">
      <c r="A1119" s="26" t="n"/>
      <c r="B1119" s="27">
        <f>IFERROR(IF(A1119="","",VLOOKUP(A1119,DATABASE!$A:$B,2,0)),"")</f>
        <v/>
      </c>
      <c r="C1119" s="20">
        <f>IFERROR(IF(A1119="","",VLOOKUP(A1119,DATABASE!$A:$J,10,0)),"")</f>
        <v/>
      </c>
      <c r="D1119" s="28">
        <f>IF(A1119="","",TODAY())</f>
        <v/>
      </c>
      <c r="E1119" s="29" t="n"/>
      <c r="F1119" s="20">
        <f>IFERROR(IF(OR(A1119="",E1119=""),"",C1119-E1119),"")</f>
        <v/>
      </c>
      <c r="G1119" s="30" t="n"/>
      <c r="H1119" s="27" t="n"/>
    </row>
    <row r="1120" ht="20" customHeight="1">
      <c r="A1120" s="26" t="n"/>
      <c r="B1120" s="35">
        <f>IFERROR(IF(A1120="","",VLOOKUP(A1120,DATABASE!$A:$B,2,0)),"")</f>
        <v/>
      </c>
      <c r="C1120" s="36">
        <f>IFERROR(IF(A1120="","",VLOOKUP(A1120,DATABASE!$A:$J,10,0)),"")</f>
        <v/>
      </c>
      <c r="D1120" s="37">
        <f>IF(A1120="","",TODAY())</f>
        <v/>
      </c>
      <c r="E1120" s="29" t="n"/>
      <c r="F1120" s="36">
        <f>IFERROR(IF(OR(A1120="",E1120=""),"",C1120-E1120),"")</f>
        <v/>
      </c>
      <c r="G1120" s="30" t="n"/>
      <c r="H1120" s="35" t="n"/>
    </row>
    <row r="1121" ht="20" customHeight="1">
      <c r="A1121" s="26" t="n"/>
      <c r="B1121" s="27">
        <f>IFERROR(IF(A1121="","",VLOOKUP(A1121,DATABASE!$A:$B,2,0)),"")</f>
        <v/>
      </c>
      <c r="C1121" s="20">
        <f>IFERROR(IF(A1121="","",VLOOKUP(A1121,DATABASE!$A:$J,10,0)),"")</f>
        <v/>
      </c>
      <c r="D1121" s="28">
        <f>IF(A1121="","",TODAY())</f>
        <v/>
      </c>
      <c r="E1121" s="29" t="n"/>
      <c r="F1121" s="20">
        <f>IFERROR(IF(OR(A1121="",E1121=""),"",C1121-E1121),"")</f>
        <v/>
      </c>
      <c r="G1121" s="30" t="n"/>
      <c r="H1121" s="27" t="n"/>
    </row>
    <row r="1122" ht="20" customHeight="1">
      <c r="A1122" s="26" t="n"/>
      <c r="B1122" s="35">
        <f>IFERROR(IF(A1122="","",VLOOKUP(A1122,DATABASE!$A:$B,2,0)),"")</f>
        <v/>
      </c>
      <c r="C1122" s="36">
        <f>IFERROR(IF(A1122="","",VLOOKUP(A1122,DATABASE!$A:$J,10,0)),"")</f>
        <v/>
      </c>
      <c r="D1122" s="37">
        <f>IF(A1122="","",TODAY())</f>
        <v/>
      </c>
      <c r="E1122" s="29" t="n"/>
      <c r="F1122" s="36">
        <f>IFERROR(IF(OR(A1122="",E1122=""),"",C1122-E1122),"")</f>
        <v/>
      </c>
      <c r="G1122" s="30" t="n"/>
      <c r="H1122" s="35" t="n"/>
    </row>
    <row r="1123" ht="20" customHeight="1">
      <c r="A1123" s="26" t="n"/>
      <c r="B1123" s="27">
        <f>IFERROR(IF(A1123="","",VLOOKUP(A1123,DATABASE!$A:$B,2,0)),"")</f>
        <v/>
      </c>
      <c r="C1123" s="20">
        <f>IFERROR(IF(A1123="","",VLOOKUP(A1123,DATABASE!$A:$J,10,0)),"")</f>
        <v/>
      </c>
      <c r="D1123" s="28">
        <f>IF(A1123="","",TODAY())</f>
        <v/>
      </c>
      <c r="E1123" s="29" t="n"/>
      <c r="F1123" s="20">
        <f>IFERROR(IF(OR(A1123="",E1123=""),"",C1123-E1123),"")</f>
        <v/>
      </c>
      <c r="G1123" s="30" t="n"/>
      <c r="H1123" s="27" t="n"/>
    </row>
    <row r="1124" ht="20" customHeight="1">
      <c r="A1124" s="26" t="n"/>
      <c r="B1124" s="35">
        <f>IFERROR(IF(A1124="","",VLOOKUP(A1124,DATABASE!$A:$B,2,0)),"")</f>
        <v/>
      </c>
      <c r="C1124" s="36">
        <f>IFERROR(IF(A1124="","",VLOOKUP(A1124,DATABASE!$A:$J,10,0)),"")</f>
        <v/>
      </c>
      <c r="D1124" s="37">
        <f>IF(A1124="","",TODAY())</f>
        <v/>
      </c>
      <c r="E1124" s="29" t="n"/>
      <c r="F1124" s="36">
        <f>IFERROR(IF(OR(A1124="",E1124=""),"",C1124-E1124),"")</f>
        <v/>
      </c>
      <c r="G1124" s="30" t="n"/>
      <c r="H1124" s="35" t="n"/>
    </row>
    <row r="1125" ht="20" customHeight="1">
      <c r="A1125" s="26" t="n"/>
      <c r="B1125" s="27">
        <f>IFERROR(IF(A1125="","",VLOOKUP(A1125,DATABASE!$A:$B,2,0)),"")</f>
        <v/>
      </c>
      <c r="C1125" s="20">
        <f>IFERROR(IF(A1125="","",VLOOKUP(A1125,DATABASE!$A:$J,10,0)),"")</f>
        <v/>
      </c>
      <c r="D1125" s="28">
        <f>IF(A1125="","",TODAY())</f>
        <v/>
      </c>
      <c r="E1125" s="29" t="n"/>
      <c r="F1125" s="20">
        <f>IFERROR(IF(OR(A1125="",E1125=""),"",C1125-E1125),"")</f>
        <v/>
      </c>
      <c r="G1125" s="30" t="n"/>
      <c r="H1125" s="27" t="n"/>
    </row>
    <row r="1126" ht="20" customHeight="1">
      <c r="A1126" s="26" t="n"/>
      <c r="B1126" s="35">
        <f>IFERROR(IF(A1126="","",VLOOKUP(A1126,DATABASE!$A:$B,2,0)),"")</f>
        <v/>
      </c>
      <c r="C1126" s="36">
        <f>IFERROR(IF(A1126="","",VLOOKUP(A1126,DATABASE!$A:$J,10,0)),"")</f>
        <v/>
      </c>
      <c r="D1126" s="37">
        <f>IF(A1126="","",TODAY())</f>
        <v/>
      </c>
      <c r="E1126" s="29" t="n"/>
      <c r="F1126" s="36">
        <f>IFERROR(IF(OR(A1126="",E1126=""),"",C1126-E1126),"")</f>
        <v/>
      </c>
      <c r="G1126" s="30" t="n"/>
      <c r="H1126" s="35" t="n"/>
    </row>
    <row r="1127" ht="20" customHeight="1">
      <c r="A1127" s="26" t="n"/>
      <c r="B1127" s="27">
        <f>IFERROR(IF(A1127="","",VLOOKUP(A1127,DATABASE!$A:$B,2,0)),"")</f>
        <v/>
      </c>
      <c r="C1127" s="20">
        <f>IFERROR(IF(A1127="","",VLOOKUP(A1127,DATABASE!$A:$J,10,0)),"")</f>
        <v/>
      </c>
      <c r="D1127" s="28">
        <f>IF(A1127="","",TODAY())</f>
        <v/>
      </c>
      <c r="E1127" s="29" t="n"/>
      <c r="F1127" s="20">
        <f>IFERROR(IF(OR(A1127="",E1127=""),"",C1127-E1127),"")</f>
        <v/>
      </c>
      <c r="G1127" s="30" t="n"/>
      <c r="H1127" s="27" t="n"/>
    </row>
    <row r="1128" ht="20" customHeight="1">
      <c r="A1128" s="26" t="n"/>
      <c r="B1128" s="35">
        <f>IFERROR(IF(A1128="","",VLOOKUP(A1128,DATABASE!$A:$B,2,0)),"")</f>
        <v/>
      </c>
      <c r="C1128" s="36">
        <f>IFERROR(IF(A1128="","",VLOOKUP(A1128,DATABASE!$A:$J,10,0)),"")</f>
        <v/>
      </c>
      <c r="D1128" s="37">
        <f>IF(A1128="","",TODAY())</f>
        <v/>
      </c>
      <c r="E1128" s="29" t="n"/>
      <c r="F1128" s="36">
        <f>IFERROR(IF(OR(A1128="",E1128=""),"",C1128-E1128),"")</f>
        <v/>
      </c>
      <c r="G1128" s="30" t="n"/>
      <c r="H1128" s="35" t="n"/>
    </row>
    <row r="1129" ht="20" customHeight="1">
      <c r="A1129" s="26" t="n"/>
      <c r="B1129" s="27">
        <f>IFERROR(IF(A1129="","",VLOOKUP(A1129,DATABASE!$A:$B,2,0)),"")</f>
        <v/>
      </c>
      <c r="C1129" s="20">
        <f>IFERROR(IF(A1129="","",VLOOKUP(A1129,DATABASE!$A:$J,10,0)),"")</f>
        <v/>
      </c>
      <c r="D1129" s="28">
        <f>IF(A1129="","",TODAY())</f>
        <v/>
      </c>
      <c r="E1129" s="29" t="n"/>
      <c r="F1129" s="20">
        <f>IFERROR(IF(OR(A1129="",E1129=""),"",C1129-E1129),"")</f>
        <v/>
      </c>
      <c r="G1129" s="30" t="n"/>
      <c r="H1129" s="27" t="n"/>
    </row>
    <row r="1130" ht="20" customHeight="1">
      <c r="A1130" s="26" t="n"/>
      <c r="B1130" s="35">
        <f>IFERROR(IF(A1130="","",VLOOKUP(A1130,DATABASE!$A:$B,2,0)),"")</f>
        <v/>
      </c>
      <c r="C1130" s="36">
        <f>IFERROR(IF(A1130="","",VLOOKUP(A1130,DATABASE!$A:$J,10,0)),"")</f>
        <v/>
      </c>
      <c r="D1130" s="37">
        <f>IF(A1130="","",TODAY())</f>
        <v/>
      </c>
      <c r="E1130" s="29" t="n"/>
      <c r="F1130" s="36">
        <f>IFERROR(IF(OR(A1130="",E1130=""),"",C1130-E1130),"")</f>
        <v/>
      </c>
      <c r="G1130" s="30" t="n"/>
      <c r="H1130" s="35" t="n"/>
    </row>
    <row r="1131" ht="20" customHeight="1">
      <c r="A1131" s="26" t="n"/>
      <c r="B1131" s="27">
        <f>IFERROR(IF(A1131="","",VLOOKUP(A1131,DATABASE!$A:$B,2,0)),"")</f>
        <v/>
      </c>
      <c r="C1131" s="20">
        <f>IFERROR(IF(A1131="","",VLOOKUP(A1131,DATABASE!$A:$J,10,0)),"")</f>
        <v/>
      </c>
      <c r="D1131" s="28">
        <f>IF(A1131="","",TODAY())</f>
        <v/>
      </c>
      <c r="E1131" s="29" t="n"/>
      <c r="F1131" s="20">
        <f>IFERROR(IF(OR(A1131="",E1131=""),"",C1131-E1131),"")</f>
        <v/>
      </c>
      <c r="G1131" s="30" t="n"/>
      <c r="H1131" s="27" t="n"/>
    </row>
    <row r="1132" ht="20" customHeight="1">
      <c r="A1132" s="26" t="n"/>
      <c r="B1132" s="35">
        <f>IFERROR(IF(A1132="","",VLOOKUP(A1132,DATABASE!$A:$B,2,0)),"")</f>
        <v/>
      </c>
      <c r="C1132" s="36">
        <f>IFERROR(IF(A1132="","",VLOOKUP(A1132,DATABASE!$A:$J,10,0)),"")</f>
        <v/>
      </c>
      <c r="D1132" s="37">
        <f>IF(A1132="","",TODAY())</f>
        <v/>
      </c>
      <c r="E1132" s="29" t="n"/>
      <c r="F1132" s="36">
        <f>IFERROR(IF(OR(A1132="",E1132=""),"",C1132-E1132),"")</f>
        <v/>
      </c>
      <c r="G1132" s="30" t="n"/>
      <c r="H1132" s="35" t="n"/>
    </row>
    <row r="1133" ht="20" customHeight="1">
      <c r="A1133" s="26" t="n"/>
      <c r="B1133" s="27">
        <f>IFERROR(IF(A1133="","",VLOOKUP(A1133,DATABASE!$A:$B,2,0)),"")</f>
        <v/>
      </c>
      <c r="C1133" s="20">
        <f>IFERROR(IF(A1133="","",VLOOKUP(A1133,DATABASE!$A:$J,10,0)),"")</f>
        <v/>
      </c>
      <c r="D1133" s="28">
        <f>IF(A1133="","",TODAY())</f>
        <v/>
      </c>
      <c r="E1133" s="29" t="n"/>
      <c r="F1133" s="20">
        <f>IFERROR(IF(OR(A1133="",E1133=""),"",C1133-E1133),"")</f>
        <v/>
      </c>
      <c r="G1133" s="30" t="n"/>
      <c r="H1133" s="27" t="n"/>
    </row>
    <row r="1134" ht="20" customHeight="1">
      <c r="A1134" s="26" t="n"/>
      <c r="B1134" s="35">
        <f>IFERROR(IF(A1134="","",VLOOKUP(A1134,DATABASE!$A:$B,2,0)),"")</f>
        <v/>
      </c>
      <c r="C1134" s="36">
        <f>IFERROR(IF(A1134="","",VLOOKUP(A1134,DATABASE!$A:$J,10,0)),"")</f>
        <v/>
      </c>
      <c r="D1134" s="37">
        <f>IF(A1134="","",TODAY())</f>
        <v/>
      </c>
      <c r="E1134" s="29" t="n"/>
      <c r="F1134" s="36">
        <f>IFERROR(IF(OR(A1134="",E1134=""),"",C1134-E1134),"")</f>
        <v/>
      </c>
      <c r="G1134" s="30" t="n"/>
      <c r="H1134" s="35" t="n"/>
    </row>
    <row r="1135" ht="20" customHeight="1">
      <c r="A1135" s="26" t="n"/>
      <c r="B1135" s="27">
        <f>IFERROR(IF(A1135="","",VLOOKUP(A1135,DATABASE!$A:$B,2,0)),"")</f>
        <v/>
      </c>
      <c r="C1135" s="20">
        <f>IFERROR(IF(A1135="","",VLOOKUP(A1135,DATABASE!$A:$J,10,0)),"")</f>
        <v/>
      </c>
      <c r="D1135" s="28">
        <f>IF(A1135="","",TODAY())</f>
        <v/>
      </c>
      <c r="E1135" s="29" t="n"/>
      <c r="F1135" s="20">
        <f>IFERROR(IF(OR(A1135="",E1135=""),"",C1135-E1135),"")</f>
        <v/>
      </c>
      <c r="G1135" s="30" t="n"/>
      <c r="H1135" s="27" t="n"/>
    </row>
    <row r="1136" ht="20" customHeight="1">
      <c r="A1136" s="26" t="n"/>
      <c r="B1136" s="35">
        <f>IFERROR(IF(A1136="","",VLOOKUP(A1136,DATABASE!$A:$B,2,0)),"")</f>
        <v/>
      </c>
      <c r="C1136" s="36">
        <f>IFERROR(IF(A1136="","",VLOOKUP(A1136,DATABASE!$A:$J,10,0)),"")</f>
        <v/>
      </c>
      <c r="D1136" s="37">
        <f>IF(A1136="","",TODAY())</f>
        <v/>
      </c>
      <c r="E1136" s="29" t="n"/>
      <c r="F1136" s="36">
        <f>IFERROR(IF(OR(A1136="",E1136=""),"",C1136-E1136),"")</f>
        <v/>
      </c>
      <c r="G1136" s="30" t="n"/>
      <c r="H1136" s="35" t="n"/>
    </row>
    <row r="1137" ht="20" customHeight="1">
      <c r="A1137" s="26" t="n"/>
      <c r="B1137" s="27">
        <f>IFERROR(IF(A1137="","",VLOOKUP(A1137,DATABASE!$A:$B,2,0)),"")</f>
        <v/>
      </c>
      <c r="C1137" s="20">
        <f>IFERROR(IF(A1137="","",VLOOKUP(A1137,DATABASE!$A:$J,10,0)),"")</f>
        <v/>
      </c>
      <c r="D1137" s="28">
        <f>IF(A1137="","",TODAY())</f>
        <v/>
      </c>
      <c r="E1137" s="29" t="n"/>
      <c r="F1137" s="20">
        <f>IFERROR(IF(OR(A1137="",E1137=""),"",C1137-E1137),"")</f>
        <v/>
      </c>
      <c r="G1137" s="30" t="n"/>
      <c r="H1137" s="27" t="n"/>
    </row>
    <row r="1138" ht="20" customHeight="1">
      <c r="A1138" s="26" t="n"/>
      <c r="B1138" s="35">
        <f>IFERROR(IF(A1138="","",VLOOKUP(A1138,DATABASE!$A:$B,2,0)),"")</f>
        <v/>
      </c>
      <c r="C1138" s="36">
        <f>IFERROR(IF(A1138="","",VLOOKUP(A1138,DATABASE!$A:$J,10,0)),"")</f>
        <v/>
      </c>
      <c r="D1138" s="37">
        <f>IF(A1138="","",TODAY())</f>
        <v/>
      </c>
      <c r="E1138" s="29" t="n"/>
      <c r="F1138" s="36">
        <f>IFERROR(IF(OR(A1138="",E1138=""),"",C1138-E1138),"")</f>
        <v/>
      </c>
      <c r="G1138" s="30" t="n"/>
      <c r="H1138" s="35" t="n"/>
    </row>
    <row r="1139" ht="20" customHeight="1">
      <c r="A1139" s="26" t="n"/>
      <c r="B1139" s="27">
        <f>IFERROR(IF(A1139="","",VLOOKUP(A1139,DATABASE!$A:$B,2,0)),"")</f>
        <v/>
      </c>
      <c r="C1139" s="20">
        <f>IFERROR(IF(A1139="","",VLOOKUP(A1139,DATABASE!$A:$J,10,0)),"")</f>
        <v/>
      </c>
      <c r="D1139" s="28">
        <f>IF(A1139="","",TODAY())</f>
        <v/>
      </c>
      <c r="E1139" s="29" t="n"/>
      <c r="F1139" s="20">
        <f>IFERROR(IF(OR(A1139="",E1139=""),"",C1139-E1139),"")</f>
        <v/>
      </c>
      <c r="G1139" s="30" t="n"/>
      <c r="H1139" s="27" t="n"/>
    </row>
    <row r="1140" ht="20" customHeight="1">
      <c r="A1140" s="26" t="n"/>
      <c r="B1140" s="35">
        <f>IFERROR(IF(A1140="","",VLOOKUP(A1140,DATABASE!$A:$B,2,0)),"")</f>
        <v/>
      </c>
      <c r="C1140" s="36">
        <f>IFERROR(IF(A1140="","",VLOOKUP(A1140,DATABASE!$A:$J,10,0)),"")</f>
        <v/>
      </c>
      <c r="D1140" s="37">
        <f>IF(A1140="","",TODAY())</f>
        <v/>
      </c>
      <c r="E1140" s="29" t="n"/>
      <c r="F1140" s="36">
        <f>IFERROR(IF(OR(A1140="",E1140=""),"",C1140-E1140),"")</f>
        <v/>
      </c>
      <c r="G1140" s="30" t="n"/>
      <c r="H1140" s="35" t="n"/>
    </row>
    <row r="1141" ht="20" customHeight="1">
      <c r="A1141" s="26" t="n"/>
      <c r="B1141" s="27">
        <f>IFERROR(IF(A1141="","",VLOOKUP(A1141,DATABASE!$A:$B,2,0)),"")</f>
        <v/>
      </c>
      <c r="C1141" s="20">
        <f>IFERROR(IF(A1141="","",VLOOKUP(A1141,DATABASE!$A:$J,10,0)),"")</f>
        <v/>
      </c>
      <c r="D1141" s="28">
        <f>IF(A1141="","",TODAY())</f>
        <v/>
      </c>
      <c r="E1141" s="29" t="n"/>
      <c r="F1141" s="20">
        <f>IFERROR(IF(OR(A1141="",E1141=""),"",C1141-E1141),"")</f>
        <v/>
      </c>
      <c r="G1141" s="30" t="n"/>
      <c r="H1141" s="27" t="n"/>
    </row>
    <row r="1142" ht="20" customHeight="1">
      <c r="A1142" s="26" t="n"/>
      <c r="B1142" s="35">
        <f>IFERROR(IF(A1142="","",VLOOKUP(A1142,DATABASE!$A:$B,2,0)),"")</f>
        <v/>
      </c>
      <c r="C1142" s="36">
        <f>IFERROR(IF(A1142="","",VLOOKUP(A1142,DATABASE!$A:$J,10,0)),"")</f>
        <v/>
      </c>
      <c r="D1142" s="37">
        <f>IF(A1142="","",TODAY())</f>
        <v/>
      </c>
      <c r="E1142" s="29" t="n"/>
      <c r="F1142" s="36">
        <f>IFERROR(IF(OR(A1142="",E1142=""),"",C1142-E1142),"")</f>
        <v/>
      </c>
      <c r="G1142" s="30" t="n"/>
      <c r="H1142" s="35" t="n"/>
    </row>
    <row r="1143" ht="20" customHeight="1">
      <c r="A1143" s="26" t="n"/>
      <c r="B1143" s="27">
        <f>IFERROR(IF(A1143="","",VLOOKUP(A1143,DATABASE!$A:$B,2,0)),"")</f>
        <v/>
      </c>
      <c r="C1143" s="20">
        <f>IFERROR(IF(A1143="","",VLOOKUP(A1143,DATABASE!$A:$J,10,0)),"")</f>
        <v/>
      </c>
      <c r="D1143" s="28">
        <f>IF(A1143="","",TODAY())</f>
        <v/>
      </c>
      <c r="E1143" s="29" t="n"/>
      <c r="F1143" s="20">
        <f>IFERROR(IF(OR(A1143="",E1143=""),"",C1143-E1143),"")</f>
        <v/>
      </c>
      <c r="G1143" s="30" t="n"/>
      <c r="H1143" s="27" t="n"/>
    </row>
    <row r="1144" ht="20" customHeight="1">
      <c r="A1144" s="26" t="n"/>
      <c r="B1144" s="35">
        <f>IFERROR(IF(A1144="","",VLOOKUP(A1144,DATABASE!$A:$B,2,0)),"")</f>
        <v/>
      </c>
      <c r="C1144" s="36">
        <f>IFERROR(IF(A1144="","",VLOOKUP(A1144,DATABASE!$A:$J,10,0)),"")</f>
        <v/>
      </c>
      <c r="D1144" s="37">
        <f>IF(A1144="","",TODAY())</f>
        <v/>
      </c>
      <c r="E1144" s="29" t="n"/>
      <c r="F1144" s="36">
        <f>IFERROR(IF(OR(A1144="",E1144=""),"",C1144-E1144),"")</f>
        <v/>
      </c>
      <c r="G1144" s="30" t="n"/>
      <c r="H1144" s="35" t="n"/>
    </row>
    <row r="1145" ht="20" customHeight="1">
      <c r="A1145" s="26" t="n"/>
      <c r="B1145" s="27">
        <f>IFERROR(IF(A1145="","",VLOOKUP(A1145,DATABASE!$A:$B,2,0)),"")</f>
        <v/>
      </c>
      <c r="C1145" s="20">
        <f>IFERROR(IF(A1145="","",VLOOKUP(A1145,DATABASE!$A:$J,10,0)),"")</f>
        <v/>
      </c>
      <c r="D1145" s="28">
        <f>IF(A1145="","",TODAY())</f>
        <v/>
      </c>
      <c r="E1145" s="29" t="n"/>
      <c r="F1145" s="20">
        <f>IFERROR(IF(OR(A1145="",E1145=""),"",C1145-E1145),"")</f>
        <v/>
      </c>
      <c r="G1145" s="30" t="n"/>
      <c r="H1145" s="27" t="n"/>
    </row>
    <row r="1146" ht="20" customHeight="1">
      <c r="A1146" s="26" t="n"/>
      <c r="B1146" s="35">
        <f>IFERROR(IF(A1146="","",VLOOKUP(A1146,DATABASE!$A:$B,2,0)),"")</f>
        <v/>
      </c>
      <c r="C1146" s="36">
        <f>IFERROR(IF(A1146="","",VLOOKUP(A1146,DATABASE!$A:$J,10,0)),"")</f>
        <v/>
      </c>
      <c r="D1146" s="37">
        <f>IF(A1146="","",TODAY())</f>
        <v/>
      </c>
      <c r="E1146" s="29" t="n"/>
      <c r="F1146" s="36">
        <f>IFERROR(IF(OR(A1146="",E1146=""),"",C1146-E1146),"")</f>
        <v/>
      </c>
      <c r="G1146" s="30" t="n"/>
      <c r="H1146" s="35" t="n"/>
    </row>
    <row r="1147" ht="20" customHeight="1">
      <c r="A1147" s="26" t="n"/>
      <c r="B1147" s="27">
        <f>IFERROR(IF(A1147="","",VLOOKUP(A1147,DATABASE!$A:$B,2,0)),"")</f>
        <v/>
      </c>
      <c r="C1147" s="20">
        <f>IFERROR(IF(A1147="","",VLOOKUP(A1147,DATABASE!$A:$J,10,0)),"")</f>
        <v/>
      </c>
      <c r="D1147" s="28">
        <f>IF(A1147="","",TODAY())</f>
        <v/>
      </c>
      <c r="E1147" s="29" t="n"/>
      <c r="F1147" s="20">
        <f>IFERROR(IF(OR(A1147="",E1147=""),"",C1147-E1147),"")</f>
        <v/>
      </c>
      <c r="G1147" s="30" t="n"/>
      <c r="H1147" s="27" t="n"/>
    </row>
    <row r="1148" ht="20" customHeight="1">
      <c r="A1148" s="26" t="n"/>
      <c r="B1148" s="35">
        <f>IFERROR(IF(A1148="","",VLOOKUP(A1148,DATABASE!$A:$B,2,0)),"")</f>
        <v/>
      </c>
      <c r="C1148" s="36">
        <f>IFERROR(IF(A1148="","",VLOOKUP(A1148,DATABASE!$A:$J,10,0)),"")</f>
        <v/>
      </c>
      <c r="D1148" s="37">
        <f>IF(A1148="","",TODAY())</f>
        <v/>
      </c>
      <c r="E1148" s="29" t="n"/>
      <c r="F1148" s="36">
        <f>IFERROR(IF(OR(A1148="",E1148=""),"",C1148-E1148),"")</f>
        <v/>
      </c>
      <c r="G1148" s="30" t="n"/>
      <c r="H1148" s="35" t="n"/>
    </row>
    <row r="1149" ht="20" customHeight="1">
      <c r="A1149" s="26" t="n"/>
      <c r="B1149" s="27">
        <f>IFERROR(IF(A1149="","",VLOOKUP(A1149,DATABASE!$A:$B,2,0)),"")</f>
        <v/>
      </c>
      <c r="C1149" s="20">
        <f>IFERROR(IF(A1149="","",VLOOKUP(A1149,DATABASE!$A:$J,10,0)),"")</f>
        <v/>
      </c>
      <c r="D1149" s="28">
        <f>IF(A1149="","",TODAY())</f>
        <v/>
      </c>
      <c r="E1149" s="29" t="n"/>
      <c r="F1149" s="20">
        <f>IFERROR(IF(OR(A1149="",E1149=""),"",C1149-E1149),"")</f>
        <v/>
      </c>
      <c r="G1149" s="30" t="n"/>
      <c r="H1149" s="27" t="n"/>
    </row>
    <row r="1150" ht="20" customHeight="1">
      <c r="A1150" s="26" t="n"/>
      <c r="B1150" s="35">
        <f>IFERROR(IF(A1150="","",VLOOKUP(A1150,DATABASE!$A:$B,2,0)),"")</f>
        <v/>
      </c>
      <c r="C1150" s="36">
        <f>IFERROR(IF(A1150="","",VLOOKUP(A1150,DATABASE!$A:$J,10,0)),"")</f>
        <v/>
      </c>
      <c r="D1150" s="37">
        <f>IF(A1150="","",TODAY())</f>
        <v/>
      </c>
      <c r="E1150" s="29" t="n"/>
      <c r="F1150" s="36">
        <f>IFERROR(IF(OR(A1150="",E1150=""),"",C1150-E1150),"")</f>
        <v/>
      </c>
      <c r="G1150" s="30" t="n"/>
      <c r="H1150" s="35" t="n"/>
    </row>
    <row r="1151" ht="20" customHeight="1">
      <c r="A1151" s="26" t="n"/>
      <c r="B1151" s="27">
        <f>IFERROR(IF(A1151="","",VLOOKUP(A1151,DATABASE!$A:$B,2,0)),"")</f>
        <v/>
      </c>
      <c r="C1151" s="20">
        <f>IFERROR(IF(A1151="","",VLOOKUP(A1151,DATABASE!$A:$J,10,0)),"")</f>
        <v/>
      </c>
      <c r="D1151" s="28">
        <f>IF(A1151="","",TODAY())</f>
        <v/>
      </c>
      <c r="E1151" s="29" t="n"/>
      <c r="F1151" s="20">
        <f>IFERROR(IF(OR(A1151="",E1151=""),"",C1151-E1151),"")</f>
        <v/>
      </c>
      <c r="G1151" s="30" t="n"/>
      <c r="H1151" s="27" t="n"/>
    </row>
    <row r="1152" ht="20" customHeight="1">
      <c r="A1152" s="26" t="n"/>
      <c r="B1152" s="35">
        <f>IFERROR(IF(A1152="","",VLOOKUP(A1152,DATABASE!$A:$B,2,0)),"")</f>
        <v/>
      </c>
      <c r="C1152" s="36">
        <f>IFERROR(IF(A1152="","",VLOOKUP(A1152,DATABASE!$A:$J,10,0)),"")</f>
        <v/>
      </c>
      <c r="D1152" s="37">
        <f>IF(A1152="","",TODAY())</f>
        <v/>
      </c>
      <c r="E1152" s="29" t="n"/>
      <c r="F1152" s="36">
        <f>IFERROR(IF(OR(A1152="",E1152=""),"",C1152-E1152),"")</f>
        <v/>
      </c>
      <c r="G1152" s="30" t="n"/>
      <c r="H1152" s="35" t="n"/>
    </row>
    <row r="1153" ht="20" customHeight="1">
      <c r="A1153" s="26" t="n"/>
      <c r="B1153" s="27">
        <f>IFERROR(IF(A1153="","",VLOOKUP(A1153,DATABASE!$A:$B,2,0)),"")</f>
        <v/>
      </c>
      <c r="C1153" s="20">
        <f>IFERROR(IF(A1153="","",VLOOKUP(A1153,DATABASE!$A:$J,10,0)),"")</f>
        <v/>
      </c>
      <c r="D1153" s="28">
        <f>IF(A1153="","",TODAY())</f>
        <v/>
      </c>
      <c r="E1153" s="29" t="n"/>
      <c r="F1153" s="20">
        <f>IFERROR(IF(OR(A1153="",E1153=""),"",C1153-E1153),"")</f>
        <v/>
      </c>
      <c r="G1153" s="30" t="n"/>
      <c r="H1153" s="27" t="n"/>
    </row>
    <row r="1154" ht="20" customHeight="1">
      <c r="A1154" s="26" t="n"/>
      <c r="B1154" s="35">
        <f>IFERROR(IF(A1154="","",VLOOKUP(A1154,DATABASE!$A:$B,2,0)),"")</f>
        <v/>
      </c>
      <c r="C1154" s="36">
        <f>IFERROR(IF(A1154="","",VLOOKUP(A1154,DATABASE!$A:$J,10,0)),"")</f>
        <v/>
      </c>
      <c r="D1154" s="37">
        <f>IF(A1154="","",TODAY())</f>
        <v/>
      </c>
      <c r="E1154" s="29" t="n"/>
      <c r="F1154" s="36">
        <f>IFERROR(IF(OR(A1154="",E1154=""),"",C1154-E1154),"")</f>
        <v/>
      </c>
      <c r="G1154" s="30" t="n"/>
      <c r="H1154" s="35" t="n"/>
    </row>
    <row r="1155" ht="20" customHeight="1">
      <c r="A1155" s="26" t="n"/>
      <c r="B1155" s="27">
        <f>IFERROR(IF(A1155="","",VLOOKUP(A1155,DATABASE!$A:$B,2,0)),"")</f>
        <v/>
      </c>
      <c r="C1155" s="20">
        <f>IFERROR(IF(A1155="","",VLOOKUP(A1155,DATABASE!$A:$J,10,0)),"")</f>
        <v/>
      </c>
      <c r="D1155" s="28">
        <f>IF(A1155="","",TODAY())</f>
        <v/>
      </c>
      <c r="E1155" s="29" t="n"/>
      <c r="F1155" s="20">
        <f>IFERROR(IF(OR(A1155="",E1155=""),"",C1155-E1155),"")</f>
        <v/>
      </c>
      <c r="G1155" s="30" t="n"/>
      <c r="H1155" s="27" t="n"/>
    </row>
    <row r="1156" ht="20" customHeight="1">
      <c r="A1156" s="26" t="n"/>
      <c r="B1156" s="35">
        <f>IFERROR(IF(A1156="","",VLOOKUP(A1156,DATABASE!$A:$B,2,0)),"")</f>
        <v/>
      </c>
      <c r="C1156" s="36">
        <f>IFERROR(IF(A1156="","",VLOOKUP(A1156,DATABASE!$A:$J,10,0)),"")</f>
        <v/>
      </c>
      <c r="D1156" s="37">
        <f>IF(A1156="","",TODAY())</f>
        <v/>
      </c>
      <c r="E1156" s="29" t="n"/>
      <c r="F1156" s="36">
        <f>IFERROR(IF(OR(A1156="",E1156=""),"",C1156-E1156),"")</f>
        <v/>
      </c>
      <c r="G1156" s="30" t="n"/>
      <c r="H1156" s="35" t="n"/>
    </row>
    <row r="1157" ht="20" customHeight="1">
      <c r="A1157" s="26" t="n"/>
      <c r="B1157" s="27">
        <f>IFERROR(IF(A1157="","",VLOOKUP(A1157,DATABASE!$A:$B,2,0)),"")</f>
        <v/>
      </c>
      <c r="C1157" s="20">
        <f>IFERROR(IF(A1157="","",VLOOKUP(A1157,DATABASE!$A:$J,10,0)),"")</f>
        <v/>
      </c>
      <c r="D1157" s="28">
        <f>IF(A1157="","",TODAY())</f>
        <v/>
      </c>
      <c r="E1157" s="29" t="n"/>
      <c r="F1157" s="20">
        <f>IFERROR(IF(OR(A1157="",E1157=""),"",C1157-E1157),"")</f>
        <v/>
      </c>
      <c r="G1157" s="30" t="n"/>
      <c r="H1157" s="27" t="n"/>
    </row>
    <row r="1158" ht="20" customHeight="1">
      <c r="A1158" s="26" t="n"/>
      <c r="B1158" s="35">
        <f>IFERROR(IF(A1158="","",VLOOKUP(A1158,DATABASE!$A:$B,2,0)),"")</f>
        <v/>
      </c>
      <c r="C1158" s="36">
        <f>IFERROR(IF(A1158="","",VLOOKUP(A1158,DATABASE!$A:$J,10,0)),"")</f>
        <v/>
      </c>
      <c r="D1158" s="37">
        <f>IF(A1158="","",TODAY())</f>
        <v/>
      </c>
      <c r="E1158" s="29" t="n"/>
      <c r="F1158" s="36">
        <f>IFERROR(IF(OR(A1158="",E1158=""),"",C1158-E1158),"")</f>
        <v/>
      </c>
      <c r="G1158" s="30" t="n"/>
      <c r="H1158" s="35" t="n"/>
    </row>
    <row r="1159" ht="20" customHeight="1">
      <c r="A1159" s="26" t="n"/>
      <c r="B1159" s="27">
        <f>IFERROR(IF(A1159="","",VLOOKUP(A1159,DATABASE!$A:$B,2,0)),"")</f>
        <v/>
      </c>
      <c r="C1159" s="20">
        <f>IFERROR(IF(A1159="","",VLOOKUP(A1159,DATABASE!$A:$J,10,0)),"")</f>
        <v/>
      </c>
      <c r="D1159" s="28">
        <f>IF(A1159="","",TODAY())</f>
        <v/>
      </c>
      <c r="E1159" s="29" t="n"/>
      <c r="F1159" s="20">
        <f>IFERROR(IF(OR(A1159="",E1159=""),"",C1159-E1159),"")</f>
        <v/>
      </c>
      <c r="G1159" s="30" t="n"/>
      <c r="H1159" s="27" t="n"/>
    </row>
    <row r="1160" ht="20" customHeight="1">
      <c r="A1160" s="26" t="n"/>
      <c r="B1160" s="35">
        <f>IFERROR(IF(A1160="","",VLOOKUP(A1160,DATABASE!$A:$B,2,0)),"")</f>
        <v/>
      </c>
      <c r="C1160" s="36">
        <f>IFERROR(IF(A1160="","",VLOOKUP(A1160,DATABASE!$A:$J,10,0)),"")</f>
        <v/>
      </c>
      <c r="D1160" s="37">
        <f>IF(A1160="","",TODAY())</f>
        <v/>
      </c>
      <c r="E1160" s="29" t="n"/>
      <c r="F1160" s="36">
        <f>IFERROR(IF(OR(A1160="",E1160=""),"",C1160-E1160),"")</f>
        <v/>
      </c>
      <c r="G1160" s="30" t="n"/>
      <c r="H1160" s="35" t="n"/>
    </row>
    <row r="1161" ht="20" customHeight="1">
      <c r="A1161" s="26" t="n"/>
      <c r="B1161" s="27">
        <f>IFERROR(IF(A1161="","",VLOOKUP(A1161,DATABASE!$A:$B,2,0)),"")</f>
        <v/>
      </c>
      <c r="C1161" s="20">
        <f>IFERROR(IF(A1161="","",VLOOKUP(A1161,DATABASE!$A:$J,10,0)),"")</f>
        <v/>
      </c>
      <c r="D1161" s="28">
        <f>IF(A1161="","",TODAY())</f>
        <v/>
      </c>
      <c r="E1161" s="29" t="n"/>
      <c r="F1161" s="20">
        <f>IFERROR(IF(OR(A1161="",E1161=""),"",C1161-E1161),"")</f>
        <v/>
      </c>
      <c r="G1161" s="30" t="n"/>
      <c r="H1161" s="27" t="n"/>
    </row>
    <row r="1162" ht="20" customHeight="1">
      <c r="A1162" s="26" t="n"/>
      <c r="B1162" s="35">
        <f>IFERROR(IF(A1162="","",VLOOKUP(A1162,DATABASE!$A:$B,2,0)),"")</f>
        <v/>
      </c>
      <c r="C1162" s="36">
        <f>IFERROR(IF(A1162="","",VLOOKUP(A1162,DATABASE!$A:$J,10,0)),"")</f>
        <v/>
      </c>
      <c r="D1162" s="37">
        <f>IF(A1162="","",TODAY())</f>
        <v/>
      </c>
      <c r="E1162" s="29" t="n"/>
      <c r="F1162" s="36">
        <f>IFERROR(IF(OR(A1162="",E1162=""),"",C1162-E1162),"")</f>
        <v/>
      </c>
      <c r="G1162" s="30" t="n"/>
      <c r="H1162" s="35" t="n"/>
    </row>
    <row r="1163" ht="20" customHeight="1">
      <c r="A1163" s="26" t="n"/>
      <c r="B1163" s="27">
        <f>IFERROR(IF(A1163="","",VLOOKUP(A1163,DATABASE!$A:$B,2,0)),"")</f>
        <v/>
      </c>
      <c r="C1163" s="20">
        <f>IFERROR(IF(A1163="","",VLOOKUP(A1163,DATABASE!$A:$J,10,0)),"")</f>
        <v/>
      </c>
      <c r="D1163" s="28">
        <f>IF(A1163="","",TODAY())</f>
        <v/>
      </c>
      <c r="E1163" s="29" t="n"/>
      <c r="F1163" s="20">
        <f>IFERROR(IF(OR(A1163="",E1163=""),"",C1163-E1163),"")</f>
        <v/>
      </c>
      <c r="G1163" s="30" t="n"/>
      <c r="H1163" s="27" t="n"/>
    </row>
    <row r="1164" ht="20" customHeight="1">
      <c r="A1164" s="26" t="n"/>
      <c r="B1164" s="35">
        <f>IFERROR(IF(A1164="","",VLOOKUP(A1164,DATABASE!$A:$B,2,0)),"")</f>
        <v/>
      </c>
      <c r="C1164" s="36">
        <f>IFERROR(IF(A1164="","",VLOOKUP(A1164,DATABASE!$A:$J,10,0)),"")</f>
        <v/>
      </c>
      <c r="D1164" s="37">
        <f>IF(A1164="","",TODAY())</f>
        <v/>
      </c>
      <c r="E1164" s="29" t="n"/>
      <c r="F1164" s="36">
        <f>IFERROR(IF(OR(A1164="",E1164=""),"",C1164-E1164),"")</f>
        <v/>
      </c>
      <c r="G1164" s="30" t="n"/>
      <c r="H1164" s="35" t="n"/>
    </row>
    <row r="1165" ht="20" customHeight="1">
      <c r="A1165" s="26" t="n"/>
      <c r="B1165" s="27">
        <f>IFERROR(IF(A1165="","",VLOOKUP(A1165,DATABASE!$A:$B,2,0)),"")</f>
        <v/>
      </c>
      <c r="C1165" s="20">
        <f>IFERROR(IF(A1165="","",VLOOKUP(A1165,DATABASE!$A:$J,10,0)),"")</f>
        <v/>
      </c>
      <c r="D1165" s="28">
        <f>IF(A1165="","",TODAY())</f>
        <v/>
      </c>
      <c r="E1165" s="29" t="n"/>
      <c r="F1165" s="20">
        <f>IFERROR(IF(OR(A1165="",E1165=""),"",C1165-E1165),"")</f>
        <v/>
      </c>
      <c r="G1165" s="30" t="n"/>
      <c r="H1165" s="27" t="n"/>
    </row>
    <row r="1166" ht="20" customHeight="1">
      <c r="A1166" s="26" t="n"/>
      <c r="B1166" s="35">
        <f>IFERROR(IF(A1166="","",VLOOKUP(A1166,DATABASE!$A:$B,2,0)),"")</f>
        <v/>
      </c>
      <c r="C1166" s="36">
        <f>IFERROR(IF(A1166="","",VLOOKUP(A1166,DATABASE!$A:$J,10,0)),"")</f>
        <v/>
      </c>
      <c r="D1166" s="37">
        <f>IF(A1166="","",TODAY())</f>
        <v/>
      </c>
      <c r="E1166" s="29" t="n"/>
      <c r="F1166" s="36">
        <f>IFERROR(IF(OR(A1166="",E1166=""),"",C1166-E1166),"")</f>
        <v/>
      </c>
      <c r="G1166" s="30" t="n"/>
      <c r="H1166" s="35" t="n"/>
    </row>
    <row r="1167" ht="20" customHeight="1">
      <c r="A1167" s="26" t="n"/>
      <c r="B1167" s="27">
        <f>IFERROR(IF(A1167="","",VLOOKUP(A1167,DATABASE!$A:$B,2,0)),"")</f>
        <v/>
      </c>
      <c r="C1167" s="20">
        <f>IFERROR(IF(A1167="","",VLOOKUP(A1167,DATABASE!$A:$J,10,0)),"")</f>
        <v/>
      </c>
      <c r="D1167" s="28">
        <f>IF(A1167="","",TODAY())</f>
        <v/>
      </c>
      <c r="E1167" s="29" t="n"/>
      <c r="F1167" s="20">
        <f>IFERROR(IF(OR(A1167="",E1167=""),"",C1167-E1167),"")</f>
        <v/>
      </c>
      <c r="G1167" s="30" t="n"/>
      <c r="H1167" s="27" t="n"/>
    </row>
    <row r="1168" ht="20" customHeight="1">
      <c r="A1168" s="26" t="n"/>
      <c r="B1168" s="35">
        <f>IFERROR(IF(A1168="","",VLOOKUP(A1168,DATABASE!$A:$B,2,0)),"")</f>
        <v/>
      </c>
      <c r="C1168" s="36">
        <f>IFERROR(IF(A1168="","",VLOOKUP(A1168,DATABASE!$A:$J,10,0)),"")</f>
        <v/>
      </c>
      <c r="D1168" s="37">
        <f>IF(A1168="","",TODAY())</f>
        <v/>
      </c>
      <c r="E1168" s="29" t="n"/>
      <c r="F1168" s="36">
        <f>IFERROR(IF(OR(A1168="",E1168=""),"",C1168-E1168),"")</f>
        <v/>
      </c>
      <c r="G1168" s="30" t="n"/>
      <c r="H1168" s="35" t="n"/>
    </row>
    <row r="1169" ht="20" customHeight="1">
      <c r="A1169" s="26" t="n"/>
      <c r="B1169" s="27">
        <f>IFERROR(IF(A1169="","",VLOOKUP(A1169,DATABASE!$A:$B,2,0)),"")</f>
        <v/>
      </c>
      <c r="C1169" s="20">
        <f>IFERROR(IF(A1169="","",VLOOKUP(A1169,DATABASE!$A:$J,10,0)),"")</f>
        <v/>
      </c>
      <c r="D1169" s="28">
        <f>IF(A1169="","",TODAY())</f>
        <v/>
      </c>
      <c r="E1169" s="29" t="n"/>
      <c r="F1169" s="20">
        <f>IFERROR(IF(OR(A1169="",E1169=""),"",C1169-E1169),"")</f>
        <v/>
      </c>
      <c r="G1169" s="30" t="n"/>
      <c r="H1169" s="27" t="n"/>
    </row>
    <row r="1170" ht="20" customHeight="1">
      <c r="A1170" s="26" t="n"/>
      <c r="B1170" s="35">
        <f>IFERROR(IF(A1170="","",VLOOKUP(A1170,DATABASE!$A:$B,2,0)),"")</f>
        <v/>
      </c>
      <c r="C1170" s="36">
        <f>IFERROR(IF(A1170="","",VLOOKUP(A1170,DATABASE!$A:$J,10,0)),"")</f>
        <v/>
      </c>
      <c r="D1170" s="37">
        <f>IF(A1170="","",TODAY())</f>
        <v/>
      </c>
      <c r="E1170" s="29" t="n"/>
      <c r="F1170" s="36">
        <f>IFERROR(IF(OR(A1170="",E1170=""),"",C1170-E1170),"")</f>
        <v/>
      </c>
      <c r="G1170" s="30" t="n"/>
      <c r="H1170" s="35" t="n"/>
    </row>
    <row r="1171" ht="20" customHeight="1">
      <c r="A1171" s="26" t="n"/>
      <c r="B1171" s="27">
        <f>IFERROR(IF(A1171="","",VLOOKUP(A1171,DATABASE!$A:$B,2,0)),"")</f>
        <v/>
      </c>
      <c r="C1171" s="20">
        <f>IFERROR(IF(A1171="","",VLOOKUP(A1171,DATABASE!$A:$J,10,0)),"")</f>
        <v/>
      </c>
      <c r="D1171" s="28">
        <f>IF(A1171="","",TODAY())</f>
        <v/>
      </c>
      <c r="E1171" s="29" t="n"/>
      <c r="F1171" s="20">
        <f>IFERROR(IF(OR(A1171="",E1171=""),"",C1171-E1171),"")</f>
        <v/>
      </c>
      <c r="G1171" s="30" t="n"/>
      <c r="H1171" s="27" t="n"/>
    </row>
    <row r="1172" ht="20" customHeight="1">
      <c r="A1172" s="26" t="n"/>
      <c r="B1172" s="35">
        <f>IFERROR(IF(A1172="","",VLOOKUP(A1172,DATABASE!$A:$B,2,0)),"")</f>
        <v/>
      </c>
      <c r="C1172" s="36">
        <f>IFERROR(IF(A1172="","",VLOOKUP(A1172,DATABASE!$A:$J,10,0)),"")</f>
        <v/>
      </c>
      <c r="D1172" s="37">
        <f>IF(A1172="","",TODAY())</f>
        <v/>
      </c>
      <c r="E1172" s="29" t="n"/>
      <c r="F1172" s="36">
        <f>IFERROR(IF(OR(A1172="",E1172=""),"",C1172-E1172),"")</f>
        <v/>
      </c>
      <c r="G1172" s="30" t="n"/>
      <c r="H1172" s="35" t="n"/>
    </row>
    <row r="1173" ht="20" customHeight="1">
      <c r="A1173" s="26" t="n"/>
      <c r="B1173" s="27">
        <f>IFERROR(IF(A1173="","",VLOOKUP(A1173,DATABASE!$A:$B,2,0)),"")</f>
        <v/>
      </c>
      <c r="C1173" s="20">
        <f>IFERROR(IF(A1173="","",VLOOKUP(A1173,DATABASE!$A:$J,10,0)),"")</f>
        <v/>
      </c>
      <c r="D1173" s="28">
        <f>IF(A1173="","",TODAY())</f>
        <v/>
      </c>
      <c r="E1173" s="29" t="n"/>
      <c r="F1173" s="20">
        <f>IFERROR(IF(OR(A1173="",E1173=""),"",C1173-E1173),"")</f>
        <v/>
      </c>
      <c r="G1173" s="30" t="n"/>
      <c r="H1173" s="27" t="n"/>
    </row>
    <row r="1174" ht="20" customHeight="1">
      <c r="A1174" s="26" t="n"/>
      <c r="B1174" s="35">
        <f>IFERROR(IF(A1174="","",VLOOKUP(A1174,DATABASE!$A:$B,2,0)),"")</f>
        <v/>
      </c>
      <c r="C1174" s="36">
        <f>IFERROR(IF(A1174="","",VLOOKUP(A1174,DATABASE!$A:$J,10,0)),"")</f>
        <v/>
      </c>
      <c r="D1174" s="37">
        <f>IF(A1174="","",TODAY())</f>
        <v/>
      </c>
      <c r="E1174" s="29" t="n"/>
      <c r="F1174" s="36">
        <f>IFERROR(IF(OR(A1174="",E1174=""),"",C1174-E1174),"")</f>
        <v/>
      </c>
      <c r="G1174" s="30" t="n"/>
      <c r="H1174" s="35" t="n"/>
    </row>
    <row r="1175" ht="20" customHeight="1">
      <c r="A1175" s="26" t="n"/>
      <c r="B1175" s="27">
        <f>IFERROR(IF(A1175="","",VLOOKUP(A1175,DATABASE!$A:$B,2,0)),"")</f>
        <v/>
      </c>
      <c r="C1175" s="20">
        <f>IFERROR(IF(A1175="","",VLOOKUP(A1175,DATABASE!$A:$J,10,0)),"")</f>
        <v/>
      </c>
      <c r="D1175" s="28">
        <f>IF(A1175="","",TODAY())</f>
        <v/>
      </c>
      <c r="E1175" s="29" t="n"/>
      <c r="F1175" s="20">
        <f>IFERROR(IF(OR(A1175="",E1175=""),"",C1175-E1175),"")</f>
        <v/>
      </c>
      <c r="G1175" s="30" t="n"/>
      <c r="H1175" s="27" t="n"/>
    </row>
    <row r="1176" ht="20" customHeight="1">
      <c r="A1176" s="26" t="n"/>
      <c r="B1176" s="35">
        <f>IFERROR(IF(A1176="","",VLOOKUP(A1176,DATABASE!$A:$B,2,0)),"")</f>
        <v/>
      </c>
      <c r="C1176" s="36">
        <f>IFERROR(IF(A1176="","",VLOOKUP(A1176,DATABASE!$A:$J,10,0)),"")</f>
        <v/>
      </c>
      <c r="D1176" s="37">
        <f>IF(A1176="","",TODAY())</f>
        <v/>
      </c>
      <c r="E1176" s="29" t="n"/>
      <c r="F1176" s="36">
        <f>IFERROR(IF(OR(A1176="",E1176=""),"",C1176-E1176),"")</f>
        <v/>
      </c>
      <c r="G1176" s="30" t="n"/>
      <c r="H1176" s="35" t="n"/>
    </row>
    <row r="1177" ht="20" customHeight="1">
      <c r="A1177" s="26" t="n"/>
      <c r="B1177" s="27">
        <f>IFERROR(IF(A1177="","",VLOOKUP(A1177,DATABASE!$A:$B,2,0)),"")</f>
        <v/>
      </c>
      <c r="C1177" s="20">
        <f>IFERROR(IF(A1177="","",VLOOKUP(A1177,DATABASE!$A:$J,10,0)),"")</f>
        <v/>
      </c>
      <c r="D1177" s="28">
        <f>IF(A1177="","",TODAY())</f>
        <v/>
      </c>
      <c r="E1177" s="29" t="n"/>
      <c r="F1177" s="20">
        <f>IFERROR(IF(OR(A1177="",E1177=""),"",C1177-E1177),"")</f>
        <v/>
      </c>
      <c r="G1177" s="30" t="n"/>
      <c r="H1177" s="27" t="n"/>
    </row>
    <row r="1178" ht="20" customHeight="1">
      <c r="A1178" s="26" t="n"/>
      <c r="B1178" s="35">
        <f>IFERROR(IF(A1178="","",VLOOKUP(A1178,DATABASE!$A:$B,2,0)),"")</f>
        <v/>
      </c>
      <c r="C1178" s="36">
        <f>IFERROR(IF(A1178="","",VLOOKUP(A1178,DATABASE!$A:$J,10,0)),"")</f>
        <v/>
      </c>
      <c r="D1178" s="37">
        <f>IF(A1178="","",TODAY())</f>
        <v/>
      </c>
      <c r="E1178" s="29" t="n"/>
      <c r="F1178" s="36">
        <f>IFERROR(IF(OR(A1178="",E1178=""),"",C1178-E1178),"")</f>
        <v/>
      </c>
      <c r="G1178" s="30" t="n"/>
      <c r="H1178" s="35" t="n"/>
    </row>
    <row r="1179" ht="20" customHeight="1">
      <c r="A1179" s="26" t="n"/>
      <c r="B1179" s="27">
        <f>IFERROR(IF(A1179="","",VLOOKUP(A1179,DATABASE!$A:$B,2,0)),"")</f>
        <v/>
      </c>
      <c r="C1179" s="20">
        <f>IFERROR(IF(A1179="","",VLOOKUP(A1179,DATABASE!$A:$J,10,0)),"")</f>
        <v/>
      </c>
      <c r="D1179" s="28">
        <f>IF(A1179="","",TODAY())</f>
        <v/>
      </c>
      <c r="E1179" s="29" t="n"/>
      <c r="F1179" s="20">
        <f>IFERROR(IF(OR(A1179="",E1179=""),"",C1179-E1179),"")</f>
        <v/>
      </c>
      <c r="G1179" s="30" t="n"/>
      <c r="H1179" s="27" t="n"/>
    </row>
    <row r="1180" ht="20" customHeight="1">
      <c r="A1180" s="26" t="n"/>
      <c r="B1180" s="35">
        <f>IFERROR(IF(A1180="","",VLOOKUP(A1180,DATABASE!$A:$B,2,0)),"")</f>
        <v/>
      </c>
      <c r="C1180" s="36">
        <f>IFERROR(IF(A1180="","",VLOOKUP(A1180,DATABASE!$A:$J,10,0)),"")</f>
        <v/>
      </c>
      <c r="D1180" s="37">
        <f>IF(A1180="","",TODAY())</f>
        <v/>
      </c>
      <c r="E1180" s="29" t="n"/>
      <c r="F1180" s="36">
        <f>IFERROR(IF(OR(A1180="",E1180=""),"",C1180-E1180),"")</f>
        <v/>
      </c>
      <c r="G1180" s="30" t="n"/>
      <c r="H1180" s="35" t="n"/>
    </row>
    <row r="1181" ht="20" customHeight="1">
      <c r="A1181" s="26" t="n"/>
      <c r="B1181" s="27">
        <f>IFERROR(IF(A1181="","",VLOOKUP(A1181,DATABASE!$A:$B,2,0)),"")</f>
        <v/>
      </c>
      <c r="C1181" s="20">
        <f>IFERROR(IF(A1181="","",VLOOKUP(A1181,DATABASE!$A:$J,10,0)),"")</f>
        <v/>
      </c>
      <c r="D1181" s="28">
        <f>IF(A1181="","",TODAY())</f>
        <v/>
      </c>
      <c r="E1181" s="29" t="n"/>
      <c r="F1181" s="20">
        <f>IFERROR(IF(OR(A1181="",E1181=""),"",C1181-E1181),"")</f>
        <v/>
      </c>
      <c r="G1181" s="30" t="n"/>
      <c r="H1181" s="27" t="n"/>
    </row>
    <row r="1182" ht="20" customHeight="1">
      <c r="A1182" s="26" t="n"/>
      <c r="B1182" s="35">
        <f>IFERROR(IF(A1182="","",VLOOKUP(A1182,DATABASE!$A:$B,2,0)),"")</f>
        <v/>
      </c>
      <c r="C1182" s="36">
        <f>IFERROR(IF(A1182="","",VLOOKUP(A1182,DATABASE!$A:$J,10,0)),"")</f>
        <v/>
      </c>
      <c r="D1182" s="37">
        <f>IF(A1182="","",TODAY())</f>
        <v/>
      </c>
      <c r="E1182" s="29" t="n"/>
      <c r="F1182" s="36">
        <f>IFERROR(IF(OR(A1182="",E1182=""),"",C1182-E1182),"")</f>
        <v/>
      </c>
      <c r="G1182" s="30" t="n"/>
      <c r="H1182" s="35" t="n"/>
    </row>
    <row r="1183" ht="20" customHeight="1">
      <c r="A1183" s="26" t="n"/>
      <c r="B1183" s="27">
        <f>IFERROR(IF(A1183="","",VLOOKUP(A1183,DATABASE!$A:$B,2,0)),"")</f>
        <v/>
      </c>
      <c r="C1183" s="20">
        <f>IFERROR(IF(A1183="","",VLOOKUP(A1183,DATABASE!$A:$J,10,0)),"")</f>
        <v/>
      </c>
      <c r="D1183" s="28">
        <f>IF(A1183="","",TODAY())</f>
        <v/>
      </c>
      <c r="E1183" s="29" t="n"/>
      <c r="F1183" s="20">
        <f>IFERROR(IF(OR(A1183="",E1183=""),"",C1183-E1183),"")</f>
        <v/>
      </c>
      <c r="G1183" s="30" t="n"/>
      <c r="H1183" s="27" t="n"/>
    </row>
    <row r="1184" ht="20" customHeight="1">
      <c r="A1184" s="26" t="n"/>
      <c r="B1184" s="35">
        <f>IFERROR(IF(A1184="","",VLOOKUP(A1184,DATABASE!$A:$B,2,0)),"")</f>
        <v/>
      </c>
      <c r="C1184" s="36">
        <f>IFERROR(IF(A1184="","",VLOOKUP(A1184,DATABASE!$A:$J,10,0)),"")</f>
        <v/>
      </c>
      <c r="D1184" s="37">
        <f>IF(A1184="","",TODAY())</f>
        <v/>
      </c>
      <c r="E1184" s="29" t="n"/>
      <c r="F1184" s="36">
        <f>IFERROR(IF(OR(A1184="",E1184=""),"",C1184-E1184),"")</f>
        <v/>
      </c>
      <c r="G1184" s="30" t="n"/>
      <c r="H1184" s="35" t="n"/>
    </row>
    <row r="1185" ht="20" customHeight="1">
      <c r="A1185" s="26" t="n"/>
      <c r="B1185" s="27">
        <f>IFERROR(IF(A1185="","",VLOOKUP(A1185,DATABASE!$A:$B,2,0)),"")</f>
        <v/>
      </c>
      <c r="C1185" s="20">
        <f>IFERROR(IF(A1185="","",VLOOKUP(A1185,DATABASE!$A:$J,10,0)),"")</f>
        <v/>
      </c>
      <c r="D1185" s="28">
        <f>IF(A1185="","",TODAY())</f>
        <v/>
      </c>
      <c r="E1185" s="29" t="n"/>
      <c r="F1185" s="20">
        <f>IFERROR(IF(OR(A1185="",E1185=""),"",C1185-E1185),"")</f>
        <v/>
      </c>
      <c r="G1185" s="30" t="n"/>
      <c r="H1185" s="27" t="n"/>
    </row>
    <row r="1186" ht="20" customHeight="1">
      <c r="A1186" s="26" t="n"/>
      <c r="B1186" s="35">
        <f>IFERROR(IF(A1186="","",VLOOKUP(A1186,DATABASE!$A:$B,2,0)),"")</f>
        <v/>
      </c>
      <c r="C1186" s="36">
        <f>IFERROR(IF(A1186="","",VLOOKUP(A1186,DATABASE!$A:$J,10,0)),"")</f>
        <v/>
      </c>
      <c r="D1186" s="37">
        <f>IF(A1186="","",TODAY())</f>
        <v/>
      </c>
      <c r="E1186" s="29" t="n"/>
      <c r="F1186" s="36">
        <f>IFERROR(IF(OR(A1186="",E1186=""),"",C1186-E1186),"")</f>
        <v/>
      </c>
      <c r="G1186" s="30" t="n"/>
      <c r="H1186" s="35" t="n"/>
    </row>
    <row r="1187" ht="20" customHeight="1">
      <c r="A1187" s="26" t="n"/>
      <c r="B1187" s="27">
        <f>IFERROR(IF(A1187="","",VLOOKUP(A1187,DATABASE!$A:$B,2,0)),"")</f>
        <v/>
      </c>
      <c r="C1187" s="20">
        <f>IFERROR(IF(A1187="","",VLOOKUP(A1187,DATABASE!$A:$J,10,0)),"")</f>
        <v/>
      </c>
      <c r="D1187" s="28">
        <f>IF(A1187="","",TODAY())</f>
        <v/>
      </c>
      <c r="E1187" s="29" t="n"/>
      <c r="F1187" s="20">
        <f>IFERROR(IF(OR(A1187="",E1187=""),"",C1187-E1187),"")</f>
        <v/>
      </c>
      <c r="G1187" s="30" t="n"/>
      <c r="H1187" s="27" t="n"/>
    </row>
    <row r="1188" ht="20" customHeight="1">
      <c r="A1188" s="26" t="n"/>
      <c r="B1188" s="35">
        <f>IFERROR(IF(A1188="","",VLOOKUP(A1188,DATABASE!$A:$B,2,0)),"")</f>
        <v/>
      </c>
      <c r="C1188" s="36">
        <f>IFERROR(IF(A1188="","",VLOOKUP(A1188,DATABASE!$A:$J,10,0)),"")</f>
        <v/>
      </c>
      <c r="D1188" s="37">
        <f>IF(A1188="","",TODAY())</f>
        <v/>
      </c>
      <c r="E1188" s="29" t="n"/>
      <c r="F1188" s="36">
        <f>IFERROR(IF(OR(A1188="",E1188=""),"",C1188-E1188),"")</f>
        <v/>
      </c>
      <c r="G1188" s="30" t="n"/>
      <c r="H1188" s="35" t="n"/>
    </row>
    <row r="1189" ht="20" customHeight="1">
      <c r="A1189" s="26" t="n"/>
      <c r="B1189" s="27">
        <f>IFERROR(IF(A1189="","",VLOOKUP(A1189,DATABASE!$A:$B,2,0)),"")</f>
        <v/>
      </c>
      <c r="C1189" s="20">
        <f>IFERROR(IF(A1189="","",VLOOKUP(A1189,DATABASE!$A:$J,10,0)),"")</f>
        <v/>
      </c>
      <c r="D1189" s="28">
        <f>IF(A1189="","",TODAY())</f>
        <v/>
      </c>
      <c r="E1189" s="29" t="n"/>
      <c r="F1189" s="20">
        <f>IFERROR(IF(OR(A1189="",E1189=""),"",C1189-E1189),"")</f>
        <v/>
      </c>
      <c r="G1189" s="30" t="n"/>
      <c r="H1189" s="27" t="n"/>
    </row>
    <row r="1190" ht="20" customHeight="1">
      <c r="A1190" s="26" t="n"/>
      <c r="B1190" s="35">
        <f>IFERROR(IF(A1190="","",VLOOKUP(A1190,DATABASE!$A:$B,2,0)),"")</f>
        <v/>
      </c>
      <c r="C1190" s="36">
        <f>IFERROR(IF(A1190="","",VLOOKUP(A1190,DATABASE!$A:$J,10,0)),"")</f>
        <v/>
      </c>
      <c r="D1190" s="37">
        <f>IF(A1190="","",TODAY())</f>
        <v/>
      </c>
      <c r="E1190" s="29" t="n"/>
      <c r="F1190" s="36">
        <f>IFERROR(IF(OR(A1190="",E1190=""),"",C1190-E1190),"")</f>
        <v/>
      </c>
      <c r="G1190" s="30" t="n"/>
      <c r="H1190" s="35" t="n"/>
    </row>
    <row r="1191" ht="20" customHeight="1">
      <c r="A1191" s="26" t="n"/>
      <c r="B1191" s="27">
        <f>IFERROR(IF(A1191="","",VLOOKUP(A1191,DATABASE!$A:$B,2,0)),"")</f>
        <v/>
      </c>
      <c r="C1191" s="20">
        <f>IFERROR(IF(A1191="","",VLOOKUP(A1191,DATABASE!$A:$J,10,0)),"")</f>
        <v/>
      </c>
      <c r="D1191" s="28">
        <f>IF(A1191="","",TODAY())</f>
        <v/>
      </c>
      <c r="E1191" s="29" t="n"/>
      <c r="F1191" s="20">
        <f>IFERROR(IF(OR(A1191="",E1191=""),"",C1191-E1191),"")</f>
        <v/>
      </c>
      <c r="G1191" s="30" t="n"/>
      <c r="H1191" s="27" t="n"/>
    </row>
    <row r="1192" ht="20" customHeight="1">
      <c r="A1192" s="26" t="n"/>
      <c r="B1192" s="35">
        <f>IFERROR(IF(A1192="","",VLOOKUP(A1192,DATABASE!$A:$B,2,0)),"")</f>
        <v/>
      </c>
      <c r="C1192" s="36">
        <f>IFERROR(IF(A1192="","",VLOOKUP(A1192,DATABASE!$A:$J,10,0)),"")</f>
        <v/>
      </c>
      <c r="D1192" s="37">
        <f>IF(A1192="","",TODAY())</f>
        <v/>
      </c>
      <c r="E1192" s="29" t="n"/>
      <c r="F1192" s="36">
        <f>IFERROR(IF(OR(A1192="",E1192=""),"",C1192-E1192),"")</f>
        <v/>
      </c>
      <c r="G1192" s="30" t="n"/>
      <c r="H1192" s="35" t="n"/>
    </row>
    <row r="1193" ht="20" customHeight="1">
      <c r="A1193" s="26" t="n"/>
      <c r="B1193" s="27">
        <f>IFERROR(IF(A1193="","",VLOOKUP(A1193,DATABASE!$A:$B,2,0)),"")</f>
        <v/>
      </c>
      <c r="C1193" s="20">
        <f>IFERROR(IF(A1193="","",VLOOKUP(A1193,DATABASE!$A:$J,10,0)),"")</f>
        <v/>
      </c>
      <c r="D1193" s="28">
        <f>IF(A1193="","",TODAY())</f>
        <v/>
      </c>
      <c r="E1193" s="29" t="n"/>
      <c r="F1193" s="20">
        <f>IFERROR(IF(OR(A1193="",E1193=""),"",C1193-E1193),"")</f>
        <v/>
      </c>
      <c r="G1193" s="30" t="n"/>
      <c r="H1193" s="27" t="n"/>
    </row>
    <row r="1194" ht="20" customHeight="1">
      <c r="A1194" s="26" t="n"/>
      <c r="B1194" s="35">
        <f>IFERROR(IF(A1194="","",VLOOKUP(A1194,DATABASE!$A:$B,2,0)),"")</f>
        <v/>
      </c>
      <c r="C1194" s="36">
        <f>IFERROR(IF(A1194="","",VLOOKUP(A1194,DATABASE!$A:$J,10,0)),"")</f>
        <v/>
      </c>
      <c r="D1194" s="37">
        <f>IF(A1194="","",TODAY())</f>
        <v/>
      </c>
      <c r="E1194" s="29" t="n"/>
      <c r="F1194" s="36">
        <f>IFERROR(IF(OR(A1194="",E1194=""),"",C1194-E1194),"")</f>
        <v/>
      </c>
      <c r="G1194" s="30" t="n"/>
      <c r="H1194" s="35" t="n"/>
    </row>
    <row r="1195" ht="20" customHeight="1">
      <c r="A1195" s="26" t="n"/>
      <c r="B1195" s="27">
        <f>IFERROR(IF(A1195="","",VLOOKUP(A1195,DATABASE!$A:$B,2,0)),"")</f>
        <v/>
      </c>
      <c r="C1195" s="20">
        <f>IFERROR(IF(A1195="","",VLOOKUP(A1195,DATABASE!$A:$J,10,0)),"")</f>
        <v/>
      </c>
      <c r="D1195" s="28">
        <f>IF(A1195="","",TODAY())</f>
        <v/>
      </c>
      <c r="E1195" s="29" t="n"/>
      <c r="F1195" s="20">
        <f>IFERROR(IF(OR(A1195="",E1195=""),"",C1195-E1195),"")</f>
        <v/>
      </c>
      <c r="G1195" s="30" t="n"/>
      <c r="H1195" s="27" t="n"/>
    </row>
    <row r="1196" ht="20" customHeight="1">
      <c r="A1196" s="26" t="n"/>
      <c r="B1196" s="35">
        <f>IFERROR(IF(A1196="","",VLOOKUP(A1196,DATABASE!$A:$B,2,0)),"")</f>
        <v/>
      </c>
      <c r="C1196" s="36">
        <f>IFERROR(IF(A1196="","",VLOOKUP(A1196,DATABASE!$A:$J,10,0)),"")</f>
        <v/>
      </c>
      <c r="D1196" s="37">
        <f>IF(A1196="","",TODAY())</f>
        <v/>
      </c>
      <c r="E1196" s="29" t="n"/>
      <c r="F1196" s="36">
        <f>IFERROR(IF(OR(A1196="",E1196=""),"",C1196-E1196),"")</f>
        <v/>
      </c>
      <c r="G1196" s="30" t="n"/>
      <c r="H1196" s="35" t="n"/>
    </row>
    <row r="1197" ht="20" customHeight="1">
      <c r="A1197" s="26" t="n"/>
      <c r="B1197" s="27">
        <f>IFERROR(IF(A1197="","",VLOOKUP(A1197,DATABASE!$A:$B,2,0)),"")</f>
        <v/>
      </c>
      <c r="C1197" s="20">
        <f>IFERROR(IF(A1197="","",VLOOKUP(A1197,DATABASE!$A:$J,10,0)),"")</f>
        <v/>
      </c>
      <c r="D1197" s="28">
        <f>IF(A1197="","",TODAY())</f>
        <v/>
      </c>
      <c r="E1197" s="29" t="n"/>
      <c r="F1197" s="20">
        <f>IFERROR(IF(OR(A1197="",E1197=""),"",C1197-E1197),"")</f>
        <v/>
      </c>
      <c r="G1197" s="30" t="n"/>
      <c r="H1197" s="27" t="n"/>
    </row>
    <row r="1198" ht="20" customHeight="1">
      <c r="A1198" s="26" t="n"/>
      <c r="B1198" s="35">
        <f>IFERROR(IF(A1198="","",VLOOKUP(A1198,DATABASE!$A:$B,2,0)),"")</f>
        <v/>
      </c>
      <c r="C1198" s="36">
        <f>IFERROR(IF(A1198="","",VLOOKUP(A1198,DATABASE!$A:$J,10,0)),"")</f>
        <v/>
      </c>
      <c r="D1198" s="37">
        <f>IF(A1198="","",TODAY())</f>
        <v/>
      </c>
      <c r="E1198" s="29" t="n"/>
      <c r="F1198" s="36">
        <f>IFERROR(IF(OR(A1198="",E1198=""),"",C1198-E1198),"")</f>
        <v/>
      </c>
      <c r="G1198" s="30" t="n"/>
      <c r="H1198" s="35" t="n"/>
    </row>
    <row r="1199" ht="20" customHeight="1">
      <c r="A1199" s="26" t="n"/>
      <c r="B1199" s="27">
        <f>IFERROR(IF(A1199="","",VLOOKUP(A1199,DATABASE!$A:$B,2,0)),"")</f>
        <v/>
      </c>
      <c r="C1199" s="20">
        <f>IFERROR(IF(A1199="","",VLOOKUP(A1199,DATABASE!$A:$J,10,0)),"")</f>
        <v/>
      </c>
      <c r="D1199" s="28">
        <f>IF(A1199="","",TODAY())</f>
        <v/>
      </c>
      <c r="E1199" s="29" t="n"/>
      <c r="F1199" s="20">
        <f>IFERROR(IF(OR(A1199="",E1199=""),"",C1199-E1199),"")</f>
        <v/>
      </c>
      <c r="G1199" s="30" t="n"/>
      <c r="H1199" s="27" t="n"/>
    </row>
    <row r="1200" ht="20" customHeight="1">
      <c r="A1200" s="26" t="n"/>
      <c r="B1200" s="35">
        <f>IFERROR(IF(A1200="","",VLOOKUP(A1200,DATABASE!$A:$B,2,0)),"")</f>
        <v/>
      </c>
      <c r="C1200" s="36">
        <f>IFERROR(IF(A1200="","",VLOOKUP(A1200,DATABASE!$A:$J,10,0)),"")</f>
        <v/>
      </c>
      <c r="D1200" s="37">
        <f>IF(A1200="","",TODAY())</f>
        <v/>
      </c>
      <c r="E1200" s="29" t="n"/>
      <c r="F1200" s="36">
        <f>IFERROR(IF(OR(A1200="",E1200=""),"",C1200-E1200),"")</f>
        <v/>
      </c>
      <c r="G1200" s="30" t="n"/>
      <c r="H1200" s="35" t="n"/>
    </row>
    <row r="1201" ht="20" customHeight="1">
      <c r="A1201" s="26" t="n"/>
      <c r="B1201" s="27">
        <f>IFERROR(IF(A1201="","",VLOOKUP(A1201,DATABASE!$A:$B,2,0)),"")</f>
        <v/>
      </c>
      <c r="C1201" s="20">
        <f>IFERROR(IF(A1201="","",VLOOKUP(A1201,DATABASE!$A:$J,10,0)),"")</f>
        <v/>
      </c>
      <c r="D1201" s="28">
        <f>IF(A1201="","",TODAY())</f>
        <v/>
      </c>
      <c r="E1201" s="29" t="n"/>
      <c r="F1201" s="20">
        <f>IFERROR(IF(OR(A1201="",E1201=""),"",C1201-E1201),"")</f>
        <v/>
      </c>
      <c r="G1201" s="30" t="n"/>
      <c r="H1201" s="27" t="n"/>
    </row>
    <row r="1202" ht="20" customHeight="1">
      <c r="A1202" s="26" t="n"/>
      <c r="B1202" s="35">
        <f>IFERROR(IF(A1202="","",VLOOKUP(A1202,DATABASE!$A:$B,2,0)),"")</f>
        <v/>
      </c>
      <c r="C1202" s="36">
        <f>IFERROR(IF(A1202="","",VLOOKUP(A1202,DATABASE!$A:$J,10,0)),"")</f>
        <v/>
      </c>
      <c r="D1202" s="37">
        <f>IF(A1202="","",TODAY())</f>
        <v/>
      </c>
      <c r="E1202" s="29" t="n"/>
      <c r="F1202" s="36">
        <f>IFERROR(IF(OR(A1202="",E1202=""),"",C1202-E1202),"")</f>
        <v/>
      </c>
      <c r="G1202" s="30" t="n"/>
      <c r="H1202" s="35" t="n"/>
    </row>
    <row r="1203" ht="20" customHeight="1">
      <c r="A1203" s="26" t="n"/>
      <c r="B1203" s="27">
        <f>IFERROR(IF(A1203="","",VLOOKUP(A1203,DATABASE!$A:$B,2,0)),"")</f>
        <v/>
      </c>
      <c r="C1203" s="20">
        <f>IFERROR(IF(A1203="","",VLOOKUP(A1203,DATABASE!$A:$J,10,0)),"")</f>
        <v/>
      </c>
      <c r="D1203" s="28">
        <f>IF(A1203="","",TODAY())</f>
        <v/>
      </c>
      <c r="E1203" s="29" t="n"/>
      <c r="F1203" s="20">
        <f>IFERROR(IF(OR(A1203="",E1203=""),"",C1203-E1203),"")</f>
        <v/>
      </c>
      <c r="G1203" s="30" t="n"/>
      <c r="H1203" s="27" t="n"/>
    </row>
    <row r="1204" ht="20" customHeight="1">
      <c r="A1204" s="26" t="n"/>
      <c r="B1204" s="35">
        <f>IFERROR(IF(A1204="","",VLOOKUP(A1204,DATABASE!$A:$B,2,0)),"")</f>
        <v/>
      </c>
      <c r="C1204" s="36">
        <f>IFERROR(IF(A1204="","",VLOOKUP(A1204,DATABASE!$A:$J,10,0)),"")</f>
        <v/>
      </c>
      <c r="D1204" s="37">
        <f>IF(A1204="","",TODAY())</f>
        <v/>
      </c>
      <c r="E1204" s="29" t="n"/>
      <c r="F1204" s="36">
        <f>IFERROR(IF(OR(A1204="",E1204=""),"",C1204-E1204),"")</f>
        <v/>
      </c>
      <c r="G1204" s="30" t="n"/>
      <c r="H1204" s="35" t="n"/>
    </row>
    <row r="1205" ht="20" customHeight="1">
      <c r="A1205" s="26" t="n"/>
      <c r="B1205" s="27">
        <f>IFERROR(IF(A1205="","",VLOOKUP(A1205,DATABASE!$A:$B,2,0)),"")</f>
        <v/>
      </c>
      <c r="C1205" s="20">
        <f>IFERROR(IF(A1205="","",VLOOKUP(A1205,DATABASE!$A:$J,10,0)),"")</f>
        <v/>
      </c>
      <c r="D1205" s="28">
        <f>IF(A1205="","",TODAY())</f>
        <v/>
      </c>
      <c r="E1205" s="29" t="n"/>
      <c r="F1205" s="20">
        <f>IFERROR(IF(OR(A1205="",E1205=""),"",C1205-E1205),"")</f>
        <v/>
      </c>
      <c r="G1205" s="30" t="n"/>
      <c r="H1205" s="27" t="n"/>
    </row>
    <row r="1206" ht="20" customHeight="1">
      <c r="A1206" s="26" t="n"/>
      <c r="B1206" s="35">
        <f>IFERROR(IF(A1206="","",VLOOKUP(A1206,DATABASE!$A:$B,2,0)),"")</f>
        <v/>
      </c>
      <c r="C1206" s="36">
        <f>IFERROR(IF(A1206="","",VLOOKUP(A1206,DATABASE!$A:$J,10,0)),"")</f>
        <v/>
      </c>
      <c r="D1206" s="37">
        <f>IF(A1206="","",TODAY())</f>
        <v/>
      </c>
      <c r="E1206" s="29" t="n"/>
      <c r="F1206" s="36">
        <f>IFERROR(IF(OR(A1206="",E1206=""),"",C1206-E1206),"")</f>
        <v/>
      </c>
      <c r="G1206" s="30" t="n"/>
      <c r="H1206" s="35" t="n"/>
    </row>
    <row r="1207" ht="20" customHeight="1">
      <c r="A1207" s="26" t="n"/>
      <c r="B1207" s="27">
        <f>IFERROR(IF(A1207="","",VLOOKUP(A1207,DATABASE!$A:$B,2,0)),"")</f>
        <v/>
      </c>
      <c r="C1207" s="20">
        <f>IFERROR(IF(A1207="","",VLOOKUP(A1207,DATABASE!$A:$J,10,0)),"")</f>
        <v/>
      </c>
      <c r="D1207" s="28">
        <f>IF(A1207="","",TODAY())</f>
        <v/>
      </c>
      <c r="E1207" s="29" t="n"/>
      <c r="F1207" s="20">
        <f>IFERROR(IF(OR(A1207="",E1207=""),"",C1207-E1207),"")</f>
        <v/>
      </c>
      <c r="G1207" s="30" t="n"/>
      <c r="H1207" s="27" t="n"/>
    </row>
    <row r="1208" ht="20" customHeight="1">
      <c r="A1208" s="26" t="n"/>
      <c r="B1208" s="35">
        <f>IFERROR(IF(A1208="","",VLOOKUP(A1208,DATABASE!$A:$B,2,0)),"")</f>
        <v/>
      </c>
      <c r="C1208" s="36">
        <f>IFERROR(IF(A1208="","",VLOOKUP(A1208,DATABASE!$A:$J,10,0)),"")</f>
        <v/>
      </c>
      <c r="D1208" s="37">
        <f>IF(A1208="","",TODAY())</f>
        <v/>
      </c>
      <c r="E1208" s="29" t="n"/>
      <c r="F1208" s="36">
        <f>IFERROR(IF(OR(A1208="",E1208=""),"",C1208-E1208),"")</f>
        <v/>
      </c>
      <c r="G1208" s="30" t="n"/>
      <c r="H1208" s="35" t="n"/>
    </row>
    <row r="1209" ht="20" customHeight="1">
      <c r="A1209" s="26" t="n"/>
      <c r="B1209" s="27">
        <f>IFERROR(IF(A1209="","",VLOOKUP(A1209,DATABASE!$A:$B,2,0)),"")</f>
        <v/>
      </c>
      <c r="C1209" s="20">
        <f>IFERROR(IF(A1209="","",VLOOKUP(A1209,DATABASE!$A:$J,10,0)),"")</f>
        <v/>
      </c>
      <c r="D1209" s="28">
        <f>IF(A1209="","",TODAY())</f>
        <v/>
      </c>
      <c r="E1209" s="29" t="n"/>
      <c r="F1209" s="20">
        <f>IFERROR(IF(OR(A1209="",E1209=""),"",C1209-E1209),"")</f>
        <v/>
      </c>
      <c r="G1209" s="30" t="n"/>
      <c r="H1209" s="27" t="n"/>
    </row>
    <row r="1210" ht="20" customHeight="1">
      <c r="A1210" s="26" t="n"/>
      <c r="B1210" s="35">
        <f>IFERROR(IF(A1210="","",VLOOKUP(A1210,DATABASE!$A:$B,2,0)),"")</f>
        <v/>
      </c>
      <c r="C1210" s="36">
        <f>IFERROR(IF(A1210="","",VLOOKUP(A1210,DATABASE!$A:$J,10,0)),"")</f>
        <v/>
      </c>
      <c r="D1210" s="37">
        <f>IF(A1210="","",TODAY())</f>
        <v/>
      </c>
      <c r="E1210" s="29" t="n"/>
      <c r="F1210" s="36">
        <f>IFERROR(IF(OR(A1210="",E1210=""),"",C1210-E1210),"")</f>
        <v/>
      </c>
      <c r="G1210" s="30" t="n"/>
      <c r="H1210" s="35" t="n"/>
    </row>
    <row r="1211" ht="20" customHeight="1">
      <c r="A1211" s="26" t="n"/>
      <c r="B1211" s="27">
        <f>IFERROR(IF(A1211="","",VLOOKUP(A1211,DATABASE!$A:$B,2,0)),"")</f>
        <v/>
      </c>
      <c r="C1211" s="20">
        <f>IFERROR(IF(A1211="","",VLOOKUP(A1211,DATABASE!$A:$J,10,0)),"")</f>
        <v/>
      </c>
      <c r="D1211" s="28">
        <f>IF(A1211="","",TODAY())</f>
        <v/>
      </c>
      <c r="E1211" s="29" t="n"/>
      <c r="F1211" s="20">
        <f>IFERROR(IF(OR(A1211="",E1211=""),"",C1211-E1211),"")</f>
        <v/>
      </c>
      <c r="G1211" s="30" t="n"/>
      <c r="H1211" s="27" t="n"/>
    </row>
    <row r="1212" ht="20" customHeight="1">
      <c r="A1212" s="26" t="n"/>
      <c r="B1212" s="35">
        <f>IFERROR(IF(A1212="","",VLOOKUP(A1212,DATABASE!$A:$B,2,0)),"")</f>
        <v/>
      </c>
      <c r="C1212" s="36">
        <f>IFERROR(IF(A1212="","",VLOOKUP(A1212,DATABASE!$A:$J,10,0)),"")</f>
        <v/>
      </c>
      <c r="D1212" s="37">
        <f>IF(A1212="","",TODAY())</f>
        <v/>
      </c>
      <c r="E1212" s="29" t="n"/>
      <c r="F1212" s="36">
        <f>IFERROR(IF(OR(A1212="",E1212=""),"",C1212-E1212),"")</f>
        <v/>
      </c>
      <c r="G1212" s="30" t="n"/>
      <c r="H1212" s="35" t="n"/>
    </row>
    <row r="1213" ht="20" customHeight="1">
      <c r="A1213" s="26" t="n"/>
      <c r="B1213" s="27">
        <f>IFERROR(IF(A1213="","",VLOOKUP(A1213,DATABASE!$A:$B,2,0)),"")</f>
        <v/>
      </c>
      <c r="C1213" s="20">
        <f>IFERROR(IF(A1213="","",VLOOKUP(A1213,DATABASE!$A:$J,10,0)),"")</f>
        <v/>
      </c>
      <c r="D1213" s="28">
        <f>IF(A1213="","",TODAY())</f>
        <v/>
      </c>
      <c r="E1213" s="29" t="n"/>
      <c r="F1213" s="20">
        <f>IFERROR(IF(OR(A1213="",E1213=""),"",C1213-E1213),"")</f>
        <v/>
      </c>
      <c r="G1213" s="30" t="n"/>
      <c r="H1213" s="27" t="n"/>
    </row>
    <row r="1214" ht="20" customHeight="1">
      <c r="A1214" s="26" t="n"/>
      <c r="B1214" s="35">
        <f>IFERROR(IF(A1214="","",VLOOKUP(A1214,DATABASE!$A:$B,2,0)),"")</f>
        <v/>
      </c>
      <c r="C1214" s="36">
        <f>IFERROR(IF(A1214="","",VLOOKUP(A1214,DATABASE!$A:$J,10,0)),"")</f>
        <v/>
      </c>
      <c r="D1214" s="37">
        <f>IF(A1214="","",TODAY())</f>
        <v/>
      </c>
      <c r="E1214" s="29" t="n"/>
      <c r="F1214" s="36">
        <f>IFERROR(IF(OR(A1214="",E1214=""),"",C1214-E1214),"")</f>
        <v/>
      </c>
      <c r="G1214" s="30" t="n"/>
      <c r="H1214" s="35" t="n"/>
    </row>
    <row r="1215" ht="20" customHeight="1">
      <c r="A1215" s="26" t="n"/>
      <c r="B1215" s="27">
        <f>IFERROR(IF(A1215="","",VLOOKUP(A1215,DATABASE!$A:$B,2,0)),"")</f>
        <v/>
      </c>
      <c r="C1215" s="20">
        <f>IFERROR(IF(A1215="","",VLOOKUP(A1215,DATABASE!$A:$J,10,0)),"")</f>
        <v/>
      </c>
      <c r="D1215" s="28">
        <f>IF(A1215="","",TODAY())</f>
        <v/>
      </c>
      <c r="E1215" s="29" t="n"/>
      <c r="F1215" s="20">
        <f>IFERROR(IF(OR(A1215="",E1215=""),"",C1215-E1215),"")</f>
        <v/>
      </c>
      <c r="G1215" s="30" t="n"/>
      <c r="H1215" s="27" t="n"/>
    </row>
    <row r="1216" ht="20" customHeight="1">
      <c r="A1216" s="26" t="n"/>
      <c r="B1216" s="35">
        <f>IFERROR(IF(A1216="","",VLOOKUP(A1216,DATABASE!$A:$B,2,0)),"")</f>
        <v/>
      </c>
      <c r="C1216" s="36">
        <f>IFERROR(IF(A1216="","",VLOOKUP(A1216,DATABASE!$A:$J,10,0)),"")</f>
        <v/>
      </c>
      <c r="D1216" s="37">
        <f>IF(A1216="","",TODAY())</f>
        <v/>
      </c>
      <c r="E1216" s="29" t="n"/>
      <c r="F1216" s="36">
        <f>IFERROR(IF(OR(A1216="",E1216=""),"",C1216-E1216),"")</f>
        <v/>
      </c>
      <c r="G1216" s="30" t="n"/>
      <c r="H1216" s="35" t="n"/>
    </row>
    <row r="1217" ht="20" customHeight="1">
      <c r="A1217" s="26" t="n"/>
      <c r="B1217" s="27">
        <f>IFERROR(IF(A1217="","",VLOOKUP(A1217,DATABASE!$A:$B,2,0)),"")</f>
        <v/>
      </c>
      <c r="C1217" s="20">
        <f>IFERROR(IF(A1217="","",VLOOKUP(A1217,DATABASE!$A:$J,10,0)),"")</f>
        <v/>
      </c>
      <c r="D1217" s="28">
        <f>IF(A1217="","",TODAY())</f>
        <v/>
      </c>
      <c r="E1217" s="29" t="n"/>
      <c r="F1217" s="20">
        <f>IFERROR(IF(OR(A1217="",E1217=""),"",C1217-E1217),"")</f>
        <v/>
      </c>
      <c r="G1217" s="30" t="n"/>
      <c r="H1217" s="27" t="n"/>
    </row>
    <row r="1218" ht="20" customHeight="1">
      <c r="A1218" s="26" t="n"/>
      <c r="B1218" s="35">
        <f>IFERROR(IF(A1218="","",VLOOKUP(A1218,DATABASE!$A:$B,2,0)),"")</f>
        <v/>
      </c>
      <c r="C1218" s="36">
        <f>IFERROR(IF(A1218="","",VLOOKUP(A1218,DATABASE!$A:$J,10,0)),"")</f>
        <v/>
      </c>
      <c r="D1218" s="37">
        <f>IF(A1218="","",TODAY())</f>
        <v/>
      </c>
      <c r="E1218" s="29" t="n"/>
      <c r="F1218" s="36">
        <f>IFERROR(IF(OR(A1218="",E1218=""),"",C1218-E1218),"")</f>
        <v/>
      </c>
      <c r="G1218" s="30" t="n"/>
      <c r="H1218" s="35" t="n"/>
    </row>
    <row r="1219" ht="20" customHeight="1">
      <c r="A1219" s="26" t="n"/>
      <c r="B1219" s="27">
        <f>IFERROR(IF(A1219="","",VLOOKUP(A1219,DATABASE!$A:$B,2,0)),"")</f>
        <v/>
      </c>
      <c r="C1219" s="20">
        <f>IFERROR(IF(A1219="","",VLOOKUP(A1219,DATABASE!$A:$J,10,0)),"")</f>
        <v/>
      </c>
      <c r="D1219" s="28">
        <f>IF(A1219="","",TODAY())</f>
        <v/>
      </c>
      <c r="E1219" s="29" t="n"/>
      <c r="F1219" s="20">
        <f>IFERROR(IF(OR(A1219="",E1219=""),"",C1219-E1219),"")</f>
        <v/>
      </c>
      <c r="G1219" s="30" t="n"/>
      <c r="H1219" s="27" t="n"/>
    </row>
    <row r="1220" ht="20" customHeight="1">
      <c r="A1220" s="26" t="n"/>
      <c r="B1220" s="35">
        <f>IFERROR(IF(A1220="","",VLOOKUP(A1220,DATABASE!$A:$B,2,0)),"")</f>
        <v/>
      </c>
      <c r="C1220" s="36">
        <f>IFERROR(IF(A1220="","",VLOOKUP(A1220,DATABASE!$A:$J,10,0)),"")</f>
        <v/>
      </c>
      <c r="D1220" s="37">
        <f>IF(A1220="","",TODAY())</f>
        <v/>
      </c>
      <c r="E1220" s="29" t="n"/>
      <c r="F1220" s="36">
        <f>IFERROR(IF(OR(A1220="",E1220=""),"",C1220-E1220),"")</f>
        <v/>
      </c>
      <c r="G1220" s="30" t="n"/>
      <c r="H1220" s="35" t="n"/>
    </row>
    <row r="1221" ht="20" customHeight="1">
      <c r="A1221" s="26" t="n"/>
      <c r="B1221" s="27">
        <f>IFERROR(IF(A1221="","",VLOOKUP(A1221,DATABASE!$A:$B,2,0)),"")</f>
        <v/>
      </c>
      <c r="C1221" s="20">
        <f>IFERROR(IF(A1221="","",VLOOKUP(A1221,DATABASE!$A:$J,10,0)),"")</f>
        <v/>
      </c>
      <c r="D1221" s="28">
        <f>IF(A1221="","",TODAY())</f>
        <v/>
      </c>
      <c r="E1221" s="29" t="n"/>
      <c r="F1221" s="20">
        <f>IFERROR(IF(OR(A1221="",E1221=""),"",C1221-E1221),"")</f>
        <v/>
      </c>
      <c r="G1221" s="30" t="n"/>
      <c r="H1221" s="27" t="n"/>
    </row>
    <row r="1222" ht="20" customHeight="1">
      <c r="A1222" s="26" t="n"/>
      <c r="B1222" s="35">
        <f>IFERROR(IF(A1222="","",VLOOKUP(A1222,DATABASE!$A:$B,2,0)),"")</f>
        <v/>
      </c>
      <c r="C1222" s="36">
        <f>IFERROR(IF(A1222="","",VLOOKUP(A1222,DATABASE!$A:$J,10,0)),"")</f>
        <v/>
      </c>
      <c r="D1222" s="37">
        <f>IF(A1222="","",TODAY())</f>
        <v/>
      </c>
      <c r="E1222" s="29" t="n"/>
      <c r="F1222" s="36">
        <f>IFERROR(IF(OR(A1222="",E1222=""),"",C1222-E1222),"")</f>
        <v/>
      </c>
      <c r="G1222" s="30" t="n"/>
      <c r="H1222" s="35" t="n"/>
    </row>
    <row r="1223" ht="20" customHeight="1">
      <c r="A1223" s="26" t="n"/>
      <c r="B1223" s="27">
        <f>IFERROR(IF(A1223="","",VLOOKUP(A1223,DATABASE!$A:$B,2,0)),"")</f>
        <v/>
      </c>
      <c r="C1223" s="20">
        <f>IFERROR(IF(A1223="","",VLOOKUP(A1223,DATABASE!$A:$J,10,0)),"")</f>
        <v/>
      </c>
      <c r="D1223" s="28">
        <f>IF(A1223="","",TODAY())</f>
        <v/>
      </c>
      <c r="E1223" s="29" t="n"/>
      <c r="F1223" s="20">
        <f>IFERROR(IF(OR(A1223="",E1223=""),"",C1223-E1223),"")</f>
        <v/>
      </c>
      <c r="G1223" s="30" t="n"/>
      <c r="H1223" s="27" t="n"/>
    </row>
    <row r="1224" ht="20" customHeight="1">
      <c r="A1224" s="26" t="n"/>
      <c r="B1224" s="35">
        <f>IFERROR(IF(A1224="","",VLOOKUP(A1224,DATABASE!$A:$B,2,0)),"")</f>
        <v/>
      </c>
      <c r="C1224" s="36">
        <f>IFERROR(IF(A1224="","",VLOOKUP(A1224,DATABASE!$A:$J,10,0)),"")</f>
        <v/>
      </c>
      <c r="D1224" s="37">
        <f>IF(A1224="","",TODAY())</f>
        <v/>
      </c>
      <c r="E1224" s="29" t="n"/>
      <c r="F1224" s="36">
        <f>IFERROR(IF(OR(A1224="",E1224=""),"",C1224-E1224),"")</f>
        <v/>
      </c>
      <c r="G1224" s="30" t="n"/>
      <c r="H1224" s="35" t="n"/>
    </row>
    <row r="1225" ht="20" customHeight="1">
      <c r="A1225" s="26" t="n"/>
      <c r="B1225" s="27">
        <f>IFERROR(IF(A1225="","",VLOOKUP(A1225,DATABASE!$A:$B,2,0)),"")</f>
        <v/>
      </c>
      <c r="C1225" s="20">
        <f>IFERROR(IF(A1225="","",VLOOKUP(A1225,DATABASE!$A:$J,10,0)),"")</f>
        <v/>
      </c>
      <c r="D1225" s="28">
        <f>IF(A1225="","",TODAY())</f>
        <v/>
      </c>
      <c r="E1225" s="29" t="n"/>
      <c r="F1225" s="20">
        <f>IFERROR(IF(OR(A1225="",E1225=""),"",C1225-E1225),"")</f>
        <v/>
      </c>
      <c r="G1225" s="30" t="n"/>
      <c r="H1225" s="27" t="n"/>
    </row>
    <row r="1226" ht="20" customHeight="1">
      <c r="A1226" s="26" t="n"/>
      <c r="B1226" s="35">
        <f>IFERROR(IF(A1226="","",VLOOKUP(A1226,DATABASE!$A:$B,2,0)),"")</f>
        <v/>
      </c>
      <c r="C1226" s="36">
        <f>IFERROR(IF(A1226="","",VLOOKUP(A1226,DATABASE!$A:$J,10,0)),"")</f>
        <v/>
      </c>
      <c r="D1226" s="37">
        <f>IF(A1226="","",TODAY())</f>
        <v/>
      </c>
      <c r="E1226" s="29" t="n"/>
      <c r="F1226" s="36">
        <f>IFERROR(IF(OR(A1226="",E1226=""),"",C1226-E1226),"")</f>
        <v/>
      </c>
      <c r="G1226" s="30" t="n"/>
      <c r="H1226" s="35" t="n"/>
    </row>
    <row r="1227" ht="20" customHeight="1">
      <c r="A1227" s="26" t="n"/>
      <c r="B1227" s="27">
        <f>IFERROR(IF(A1227="","",VLOOKUP(A1227,DATABASE!$A:$B,2,0)),"")</f>
        <v/>
      </c>
      <c r="C1227" s="20">
        <f>IFERROR(IF(A1227="","",VLOOKUP(A1227,DATABASE!$A:$J,10,0)),"")</f>
        <v/>
      </c>
      <c r="D1227" s="28">
        <f>IF(A1227="","",TODAY())</f>
        <v/>
      </c>
      <c r="E1227" s="29" t="n"/>
      <c r="F1227" s="20">
        <f>IFERROR(IF(OR(A1227="",E1227=""),"",C1227-E1227),"")</f>
        <v/>
      </c>
      <c r="G1227" s="30" t="n"/>
      <c r="H1227" s="27" t="n"/>
    </row>
    <row r="1228" ht="20" customHeight="1">
      <c r="A1228" s="26" t="n"/>
      <c r="B1228" s="35">
        <f>IFERROR(IF(A1228="","",VLOOKUP(A1228,DATABASE!$A:$B,2,0)),"")</f>
        <v/>
      </c>
      <c r="C1228" s="36">
        <f>IFERROR(IF(A1228="","",VLOOKUP(A1228,DATABASE!$A:$J,10,0)),"")</f>
        <v/>
      </c>
      <c r="D1228" s="37">
        <f>IF(A1228="","",TODAY())</f>
        <v/>
      </c>
      <c r="E1228" s="29" t="n"/>
      <c r="F1228" s="36">
        <f>IFERROR(IF(OR(A1228="",E1228=""),"",C1228-E1228),"")</f>
        <v/>
      </c>
      <c r="G1228" s="30" t="n"/>
      <c r="H1228" s="35" t="n"/>
    </row>
    <row r="1229" ht="20" customHeight="1">
      <c r="A1229" s="26" t="n"/>
      <c r="B1229" s="27">
        <f>IFERROR(IF(A1229="","",VLOOKUP(A1229,DATABASE!$A:$B,2,0)),"")</f>
        <v/>
      </c>
      <c r="C1229" s="20">
        <f>IFERROR(IF(A1229="","",VLOOKUP(A1229,DATABASE!$A:$J,10,0)),"")</f>
        <v/>
      </c>
      <c r="D1229" s="28">
        <f>IF(A1229="","",TODAY())</f>
        <v/>
      </c>
      <c r="E1229" s="29" t="n"/>
      <c r="F1229" s="20">
        <f>IFERROR(IF(OR(A1229="",E1229=""),"",C1229-E1229),"")</f>
        <v/>
      </c>
      <c r="G1229" s="30" t="n"/>
      <c r="H1229" s="27" t="n"/>
    </row>
    <row r="1230" ht="20" customHeight="1">
      <c r="A1230" s="26" t="n"/>
      <c r="B1230" s="35">
        <f>IFERROR(IF(A1230="","",VLOOKUP(A1230,DATABASE!$A:$B,2,0)),"")</f>
        <v/>
      </c>
      <c r="C1230" s="36">
        <f>IFERROR(IF(A1230="","",VLOOKUP(A1230,DATABASE!$A:$J,10,0)),"")</f>
        <v/>
      </c>
      <c r="D1230" s="37">
        <f>IF(A1230="","",TODAY())</f>
        <v/>
      </c>
      <c r="E1230" s="29" t="n"/>
      <c r="F1230" s="36">
        <f>IFERROR(IF(OR(A1230="",E1230=""),"",C1230-E1230),"")</f>
        <v/>
      </c>
      <c r="G1230" s="30" t="n"/>
      <c r="H1230" s="35" t="n"/>
    </row>
    <row r="1231" ht="20" customHeight="1">
      <c r="A1231" s="26" t="n"/>
      <c r="B1231" s="27">
        <f>IFERROR(IF(A1231="","",VLOOKUP(A1231,DATABASE!$A:$B,2,0)),"")</f>
        <v/>
      </c>
      <c r="C1231" s="20">
        <f>IFERROR(IF(A1231="","",VLOOKUP(A1231,DATABASE!$A:$J,10,0)),"")</f>
        <v/>
      </c>
      <c r="D1231" s="28">
        <f>IF(A1231="","",TODAY())</f>
        <v/>
      </c>
      <c r="E1231" s="29" t="n"/>
      <c r="F1231" s="20">
        <f>IFERROR(IF(OR(A1231="",E1231=""),"",C1231-E1231),"")</f>
        <v/>
      </c>
      <c r="G1231" s="30" t="n"/>
      <c r="H1231" s="27" t="n"/>
    </row>
    <row r="1232" ht="20" customHeight="1">
      <c r="A1232" s="26" t="n"/>
      <c r="B1232" s="35">
        <f>IFERROR(IF(A1232="","",VLOOKUP(A1232,DATABASE!$A:$B,2,0)),"")</f>
        <v/>
      </c>
      <c r="C1232" s="36">
        <f>IFERROR(IF(A1232="","",VLOOKUP(A1232,DATABASE!$A:$J,10,0)),"")</f>
        <v/>
      </c>
      <c r="D1232" s="37">
        <f>IF(A1232="","",TODAY())</f>
        <v/>
      </c>
      <c r="E1232" s="29" t="n"/>
      <c r="F1232" s="36">
        <f>IFERROR(IF(OR(A1232="",E1232=""),"",C1232-E1232),"")</f>
        <v/>
      </c>
      <c r="G1232" s="30" t="n"/>
      <c r="H1232" s="35" t="n"/>
    </row>
    <row r="1233" ht="20" customHeight="1">
      <c r="A1233" s="26" t="n"/>
      <c r="B1233" s="27">
        <f>IFERROR(IF(A1233="","",VLOOKUP(A1233,DATABASE!$A:$B,2,0)),"")</f>
        <v/>
      </c>
      <c r="C1233" s="20">
        <f>IFERROR(IF(A1233="","",VLOOKUP(A1233,DATABASE!$A:$J,10,0)),"")</f>
        <v/>
      </c>
      <c r="D1233" s="28">
        <f>IF(A1233="","",TODAY())</f>
        <v/>
      </c>
      <c r="E1233" s="29" t="n"/>
      <c r="F1233" s="20">
        <f>IFERROR(IF(OR(A1233="",E1233=""),"",C1233-E1233),"")</f>
        <v/>
      </c>
      <c r="G1233" s="30" t="n"/>
      <c r="H1233" s="27" t="n"/>
    </row>
    <row r="1234" ht="20" customHeight="1">
      <c r="A1234" s="26" t="n"/>
      <c r="B1234" s="35">
        <f>IFERROR(IF(A1234="","",VLOOKUP(A1234,DATABASE!$A:$B,2,0)),"")</f>
        <v/>
      </c>
      <c r="C1234" s="36">
        <f>IFERROR(IF(A1234="","",VLOOKUP(A1234,DATABASE!$A:$J,10,0)),"")</f>
        <v/>
      </c>
      <c r="D1234" s="37">
        <f>IF(A1234="","",TODAY())</f>
        <v/>
      </c>
      <c r="E1234" s="29" t="n"/>
      <c r="F1234" s="36">
        <f>IFERROR(IF(OR(A1234="",E1234=""),"",C1234-E1234),"")</f>
        <v/>
      </c>
      <c r="G1234" s="30" t="n"/>
      <c r="H1234" s="35" t="n"/>
    </row>
    <row r="1235" ht="20" customHeight="1">
      <c r="A1235" s="26" t="n"/>
      <c r="B1235" s="27">
        <f>IFERROR(IF(A1235="","",VLOOKUP(A1235,DATABASE!$A:$B,2,0)),"")</f>
        <v/>
      </c>
      <c r="C1235" s="20">
        <f>IFERROR(IF(A1235="","",VLOOKUP(A1235,DATABASE!$A:$J,10,0)),"")</f>
        <v/>
      </c>
      <c r="D1235" s="28">
        <f>IF(A1235="","",TODAY())</f>
        <v/>
      </c>
      <c r="E1235" s="29" t="n"/>
      <c r="F1235" s="20">
        <f>IFERROR(IF(OR(A1235="",E1235=""),"",C1235-E1235),"")</f>
        <v/>
      </c>
      <c r="G1235" s="30" t="n"/>
      <c r="H1235" s="27" t="n"/>
    </row>
    <row r="1236" ht="20" customHeight="1">
      <c r="A1236" s="26" t="n"/>
      <c r="B1236" s="35">
        <f>IFERROR(IF(A1236="","",VLOOKUP(A1236,DATABASE!$A:$B,2,0)),"")</f>
        <v/>
      </c>
      <c r="C1236" s="36">
        <f>IFERROR(IF(A1236="","",VLOOKUP(A1236,DATABASE!$A:$J,10,0)),"")</f>
        <v/>
      </c>
      <c r="D1236" s="37">
        <f>IF(A1236="","",TODAY())</f>
        <v/>
      </c>
      <c r="E1236" s="29" t="n"/>
      <c r="F1236" s="36">
        <f>IFERROR(IF(OR(A1236="",E1236=""),"",C1236-E1236),"")</f>
        <v/>
      </c>
      <c r="G1236" s="30" t="n"/>
      <c r="H1236" s="35" t="n"/>
    </row>
    <row r="1237" ht="20" customHeight="1">
      <c r="A1237" s="26" t="n"/>
      <c r="B1237" s="27">
        <f>IFERROR(IF(A1237="","",VLOOKUP(A1237,DATABASE!$A:$B,2,0)),"")</f>
        <v/>
      </c>
      <c r="C1237" s="20">
        <f>IFERROR(IF(A1237="","",VLOOKUP(A1237,DATABASE!$A:$J,10,0)),"")</f>
        <v/>
      </c>
      <c r="D1237" s="28">
        <f>IF(A1237="","",TODAY())</f>
        <v/>
      </c>
      <c r="E1237" s="29" t="n"/>
      <c r="F1237" s="20">
        <f>IFERROR(IF(OR(A1237="",E1237=""),"",C1237-E1237),"")</f>
        <v/>
      </c>
      <c r="G1237" s="30" t="n"/>
      <c r="H1237" s="27" t="n"/>
    </row>
    <row r="1238" ht="20" customHeight="1">
      <c r="A1238" s="26" t="n"/>
      <c r="B1238" s="35">
        <f>IFERROR(IF(A1238="","",VLOOKUP(A1238,DATABASE!$A:$B,2,0)),"")</f>
        <v/>
      </c>
      <c r="C1238" s="36">
        <f>IFERROR(IF(A1238="","",VLOOKUP(A1238,DATABASE!$A:$J,10,0)),"")</f>
        <v/>
      </c>
      <c r="D1238" s="37">
        <f>IF(A1238="","",TODAY())</f>
        <v/>
      </c>
      <c r="E1238" s="29" t="n"/>
      <c r="F1238" s="36">
        <f>IFERROR(IF(OR(A1238="",E1238=""),"",C1238-E1238),"")</f>
        <v/>
      </c>
      <c r="G1238" s="30" t="n"/>
      <c r="H1238" s="35" t="n"/>
    </row>
    <row r="1239" ht="20" customHeight="1">
      <c r="A1239" s="26" t="n"/>
      <c r="B1239" s="27">
        <f>IFERROR(IF(A1239="","",VLOOKUP(A1239,DATABASE!$A:$B,2,0)),"")</f>
        <v/>
      </c>
      <c r="C1239" s="20">
        <f>IFERROR(IF(A1239="","",VLOOKUP(A1239,DATABASE!$A:$J,10,0)),"")</f>
        <v/>
      </c>
      <c r="D1239" s="28">
        <f>IF(A1239="","",TODAY())</f>
        <v/>
      </c>
      <c r="E1239" s="29" t="n"/>
      <c r="F1239" s="20">
        <f>IFERROR(IF(OR(A1239="",E1239=""),"",C1239-E1239),"")</f>
        <v/>
      </c>
      <c r="G1239" s="30" t="n"/>
      <c r="H1239" s="27" t="n"/>
    </row>
    <row r="1240" ht="20" customHeight="1">
      <c r="A1240" s="26" t="n"/>
      <c r="B1240" s="35">
        <f>IFERROR(IF(A1240="","",VLOOKUP(A1240,DATABASE!$A:$B,2,0)),"")</f>
        <v/>
      </c>
      <c r="C1240" s="36">
        <f>IFERROR(IF(A1240="","",VLOOKUP(A1240,DATABASE!$A:$J,10,0)),"")</f>
        <v/>
      </c>
      <c r="D1240" s="37">
        <f>IF(A1240="","",TODAY())</f>
        <v/>
      </c>
      <c r="E1240" s="29" t="n"/>
      <c r="F1240" s="36">
        <f>IFERROR(IF(OR(A1240="",E1240=""),"",C1240-E1240),"")</f>
        <v/>
      </c>
      <c r="G1240" s="30" t="n"/>
      <c r="H1240" s="35" t="n"/>
    </row>
    <row r="1241" ht="20" customHeight="1">
      <c r="A1241" s="26" t="n"/>
      <c r="B1241" s="27">
        <f>IFERROR(IF(A1241="","",VLOOKUP(A1241,DATABASE!$A:$B,2,0)),"")</f>
        <v/>
      </c>
      <c r="C1241" s="20">
        <f>IFERROR(IF(A1241="","",VLOOKUP(A1241,DATABASE!$A:$J,10,0)),"")</f>
        <v/>
      </c>
      <c r="D1241" s="28">
        <f>IF(A1241="","",TODAY())</f>
        <v/>
      </c>
      <c r="E1241" s="29" t="n"/>
      <c r="F1241" s="20">
        <f>IFERROR(IF(OR(A1241="",E1241=""),"",C1241-E1241),"")</f>
        <v/>
      </c>
      <c r="G1241" s="30" t="n"/>
      <c r="H1241" s="27" t="n"/>
    </row>
    <row r="1242" ht="20" customHeight="1">
      <c r="A1242" s="26" t="n"/>
      <c r="B1242" s="35">
        <f>IFERROR(IF(A1242="","",VLOOKUP(A1242,DATABASE!$A:$B,2,0)),"")</f>
        <v/>
      </c>
      <c r="C1242" s="36">
        <f>IFERROR(IF(A1242="","",VLOOKUP(A1242,DATABASE!$A:$J,10,0)),"")</f>
        <v/>
      </c>
      <c r="D1242" s="37">
        <f>IF(A1242="","",TODAY())</f>
        <v/>
      </c>
      <c r="E1242" s="29" t="n"/>
      <c r="F1242" s="36">
        <f>IFERROR(IF(OR(A1242="",E1242=""),"",C1242-E1242),"")</f>
        <v/>
      </c>
      <c r="G1242" s="30" t="n"/>
      <c r="H1242" s="35" t="n"/>
    </row>
    <row r="1243" ht="20" customHeight="1">
      <c r="A1243" s="26" t="n"/>
      <c r="B1243" s="27">
        <f>IFERROR(IF(A1243="","",VLOOKUP(A1243,DATABASE!$A:$B,2,0)),"")</f>
        <v/>
      </c>
      <c r="C1243" s="20">
        <f>IFERROR(IF(A1243="","",VLOOKUP(A1243,DATABASE!$A:$J,10,0)),"")</f>
        <v/>
      </c>
      <c r="D1243" s="28">
        <f>IF(A1243="","",TODAY())</f>
        <v/>
      </c>
      <c r="E1243" s="29" t="n"/>
      <c r="F1243" s="20">
        <f>IFERROR(IF(OR(A1243="",E1243=""),"",C1243-E1243),"")</f>
        <v/>
      </c>
      <c r="G1243" s="30" t="n"/>
      <c r="H1243" s="27" t="n"/>
    </row>
    <row r="1244" ht="20" customHeight="1">
      <c r="A1244" s="26" t="n"/>
      <c r="B1244" s="35">
        <f>IFERROR(IF(A1244="","",VLOOKUP(A1244,DATABASE!$A:$B,2,0)),"")</f>
        <v/>
      </c>
      <c r="C1244" s="36">
        <f>IFERROR(IF(A1244="","",VLOOKUP(A1244,DATABASE!$A:$J,10,0)),"")</f>
        <v/>
      </c>
      <c r="D1244" s="37">
        <f>IF(A1244="","",TODAY())</f>
        <v/>
      </c>
      <c r="E1244" s="29" t="n"/>
      <c r="F1244" s="36">
        <f>IFERROR(IF(OR(A1244="",E1244=""),"",C1244-E1244),"")</f>
        <v/>
      </c>
      <c r="G1244" s="30" t="n"/>
      <c r="H1244" s="35" t="n"/>
    </row>
    <row r="1245" ht="20" customHeight="1">
      <c r="A1245" s="26" t="n"/>
      <c r="B1245" s="27">
        <f>IFERROR(IF(A1245="","",VLOOKUP(A1245,DATABASE!$A:$B,2,0)),"")</f>
        <v/>
      </c>
      <c r="C1245" s="20">
        <f>IFERROR(IF(A1245="","",VLOOKUP(A1245,DATABASE!$A:$J,10,0)),"")</f>
        <v/>
      </c>
      <c r="D1245" s="28">
        <f>IF(A1245="","",TODAY())</f>
        <v/>
      </c>
      <c r="E1245" s="29" t="n"/>
      <c r="F1245" s="20">
        <f>IFERROR(IF(OR(A1245="",E1245=""),"",C1245-E1245),"")</f>
        <v/>
      </c>
      <c r="G1245" s="30" t="n"/>
      <c r="H1245" s="27" t="n"/>
    </row>
    <row r="1246" ht="20" customHeight="1">
      <c r="A1246" s="26" t="n"/>
      <c r="B1246" s="35">
        <f>IFERROR(IF(A1246="","",VLOOKUP(A1246,DATABASE!$A:$B,2,0)),"")</f>
        <v/>
      </c>
      <c r="C1246" s="36">
        <f>IFERROR(IF(A1246="","",VLOOKUP(A1246,DATABASE!$A:$J,10,0)),"")</f>
        <v/>
      </c>
      <c r="D1246" s="37">
        <f>IF(A1246="","",TODAY())</f>
        <v/>
      </c>
      <c r="E1246" s="29" t="n"/>
      <c r="F1246" s="36">
        <f>IFERROR(IF(OR(A1246="",E1246=""),"",C1246-E1246),"")</f>
        <v/>
      </c>
      <c r="G1246" s="30" t="n"/>
      <c r="H1246" s="35" t="n"/>
    </row>
    <row r="1247" ht="20" customHeight="1">
      <c r="A1247" s="26" t="n"/>
      <c r="B1247" s="27">
        <f>IFERROR(IF(A1247="","",VLOOKUP(A1247,DATABASE!$A:$B,2,0)),"")</f>
        <v/>
      </c>
      <c r="C1247" s="20">
        <f>IFERROR(IF(A1247="","",VLOOKUP(A1247,DATABASE!$A:$J,10,0)),"")</f>
        <v/>
      </c>
      <c r="D1247" s="28">
        <f>IF(A1247="","",TODAY())</f>
        <v/>
      </c>
      <c r="E1247" s="29" t="n"/>
      <c r="F1247" s="20">
        <f>IFERROR(IF(OR(A1247="",E1247=""),"",C1247-E1247),"")</f>
        <v/>
      </c>
      <c r="G1247" s="30" t="n"/>
      <c r="H1247" s="27" t="n"/>
    </row>
    <row r="1248" ht="20" customHeight="1">
      <c r="A1248" s="26" t="n"/>
      <c r="B1248" s="35">
        <f>IFERROR(IF(A1248="","",VLOOKUP(A1248,DATABASE!$A:$B,2,0)),"")</f>
        <v/>
      </c>
      <c r="C1248" s="36">
        <f>IFERROR(IF(A1248="","",VLOOKUP(A1248,DATABASE!$A:$J,10,0)),"")</f>
        <v/>
      </c>
      <c r="D1248" s="37">
        <f>IF(A1248="","",TODAY())</f>
        <v/>
      </c>
      <c r="E1248" s="29" t="n"/>
      <c r="F1248" s="36">
        <f>IFERROR(IF(OR(A1248="",E1248=""),"",C1248-E1248),"")</f>
        <v/>
      </c>
      <c r="G1248" s="30" t="n"/>
      <c r="H1248" s="35" t="n"/>
    </row>
    <row r="1249" ht="20" customHeight="1">
      <c r="A1249" s="26" t="n"/>
      <c r="B1249" s="27">
        <f>IFERROR(IF(A1249="","",VLOOKUP(A1249,DATABASE!$A:$B,2,0)),"")</f>
        <v/>
      </c>
      <c r="C1249" s="20">
        <f>IFERROR(IF(A1249="","",VLOOKUP(A1249,DATABASE!$A:$J,10,0)),"")</f>
        <v/>
      </c>
      <c r="D1249" s="28">
        <f>IF(A1249="","",TODAY())</f>
        <v/>
      </c>
      <c r="E1249" s="29" t="n"/>
      <c r="F1249" s="20">
        <f>IFERROR(IF(OR(A1249="",E1249=""),"",C1249-E1249),"")</f>
        <v/>
      </c>
      <c r="G1249" s="30" t="n"/>
      <c r="H1249" s="27" t="n"/>
    </row>
    <row r="1250" ht="20" customHeight="1">
      <c r="A1250" s="26" t="n"/>
      <c r="B1250" s="35">
        <f>IFERROR(IF(A1250="","",VLOOKUP(A1250,DATABASE!$A:$B,2,0)),"")</f>
        <v/>
      </c>
      <c r="C1250" s="36">
        <f>IFERROR(IF(A1250="","",VLOOKUP(A1250,DATABASE!$A:$J,10,0)),"")</f>
        <v/>
      </c>
      <c r="D1250" s="37">
        <f>IF(A1250="","",TODAY())</f>
        <v/>
      </c>
      <c r="E1250" s="29" t="n"/>
      <c r="F1250" s="36">
        <f>IFERROR(IF(OR(A1250="",E1250=""),"",C1250-E1250),"")</f>
        <v/>
      </c>
      <c r="G1250" s="30" t="n"/>
      <c r="H1250" s="35" t="n"/>
    </row>
    <row r="1251" ht="20" customHeight="1">
      <c r="A1251" s="26" t="n"/>
      <c r="B1251" s="27">
        <f>IFERROR(IF(A1251="","",VLOOKUP(A1251,DATABASE!$A:$B,2,0)),"")</f>
        <v/>
      </c>
      <c r="C1251" s="20">
        <f>IFERROR(IF(A1251="","",VLOOKUP(A1251,DATABASE!$A:$J,10,0)),"")</f>
        <v/>
      </c>
      <c r="D1251" s="28">
        <f>IF(A1251="","",TODAY())</f>
        <v/>
      </c>
      <c r="E1251" s="29" t="n"/>
      <c r="F1251" s="20">
        <f>IFERROR(IF(OR(A1251="",E1251=""),"",C1251-E1251),"")</f>
        <v/>
      </c>
      <c r="G1251" s="30" t="n"/>
      <c r="H1251" s="27" t="n"/>
    </row>
    <row r="1252" ht="20" customHeight="1">
      <c r="A1252" s="26" t="n"/>
      <c r="B1252" s="35">
        <f>IFERROR(IF(A1252="","",VLOOKUP(A1252,DATABASE!$A:$B,2,0)),"")</f>
        <v/>
      </c>
      <c r="C1252" s="36">
        <f>IFERROR(IF(A1252="","",VLOOKUP(A1252,DATABASE!$A:$J,10,0)),"")</f>
        <v/>
      </c>
      <c r="D1252" s="37">
        <f>IF(A1252="","",TODAY())</f>
        <v/>
      </c>
      <c r="E1252" s="29" t="n"/>
      <c r="F1252" s="36">
        <f>IFERROR(IF(OR(A1252="",E1252=""),"",C1252-E1252),"")</f>
        <v/>
      </c>
      <c r="G1252" s="30" t="n"/>
      <c r="H1252" s="35" t="n"/>
    </row>
    <row r="1253" ht="20" customHeight="1">
      <c r="A1253" s="26" t="n"/>
      <c r="B1253" s="27">
        <f>IFERROR(IF(A1253="","",VLOOKUP(A1253,DATABASE!$A:$B,2,0)),"")</f>
        <v/>
      </c>
      <c r="C1253" s="20">
        <f>IFERROR(IF(A1253="","",VLOOKUP(A1253,DATABASE!$A:$J,10,0)),"")</f>
        <v/>
      </c>
      <c r="D1253" s="28">
        <f>IF(A1253="","",TODAY())</f>
        <v/>
      </c>
      <c r="E1253" s="29" t="n"/>
      <c r="F1253" s="20">
        <f>IFERROR(IF(OR(A1253="",E1253=""),"",C1253-E1253),"")</f>
        <v/>
      </c>
      <c r="G1253" s="30" t="n"/>
      <c r="H1253" s="27" t="n"/>
    </row>
    <row r="1254" ht="20" customHeight="1">
      <c r="A1254" s="26" t="n"/>
      <c r="B1254" s="35">
        <f>IFERROR(IF(A1254="","",VLOOKUP(A1254,DATABASE!$A:$B,2,0)),"")</f>
        <v/>
      </c>
      <c r="C1254" s="36">
        <f>IFERROR(IF(A1254="","",VLOOKUP(A1254,DATABASE!$A:$J,10,0)),"")</f>
        <v/>
      </c>
      <c r="D1254" s="37">
        <f>IF(A1254="","",TODAY())</f>
        <v/>
      </c>
      <c r="E1254" s="29" t="n"/>
      <c r="F1254" s="36">
        <f>IFERROR(IF(OR(A1254="",E1254=""),"",C1254-E1254),"")</f>
        <v/>
      </c>
      <c r="G1254" s="30" t="n"/>
      <c r="H1254" s="35" t="n"/>
    </row>
    <row r="1255" ht="20" customHeight="1">
      <c r="A1255" s="26" t="n"/>
      <c r="B1255" s="27">
        <f>IFERROR(IF(A1255="","",VLOOKUP(A1255,DATABASE!$A:$B,2,0)),"")</f>
        <v/>
      </c>
      <c r="C1255" s="20">
        <f>IFERROR(IF(A1255="","",VLOOKUP(A1255,DATABASE!$A:$J,10,0)),"")</f>
        <v/>
      </c>
      <c r="D1255" s="28">
        <f>IF(A1255="","",TODAY())</f>
        <v/>
      </c>
      <c r="E1255" s="29" t="n"/>
      <c r="F1255" s="20">
        <f>IFERROR(IF(OR(A1255="",E1255=""),"",C1255-E1255),"")</f>
        <v/>
      </c>
      <c r="G1255" s="30" t="n"/>
      <c r="H1255" s="27" t="n"/>
    </row>
    <row r="1256" ht="20" customHeight="1">
      <c r="A1256" s="26" t="n"/>
      <c r="B1256" s="35">
        <f>IFERROR(IF(A1256="","",VLOOKUP(A1256,DATABASE!$A:$B,2,0)),"")</f>
        <v/>
      </c>
      <c r="C1256" s="36">
        <f>IFERROR(IF(A1256="","",VLOOKUP(A1256,DATABASE!$A:$J,10,0)),"")</f>
        <v/>
      </c>
      <c r="D1256" s="37">
        <f>IF(A1256="","",TODAY())</f>
        <v/>
      </c>
      <c r="E1256" s="29" t="n"/>
      <c r="F1256" s="36">
        <f>IFERROR(IF(OR(A1256="",E1256=""),"",C1256-E1256),"")</f>
        <v/>
      </c>
      <c r="G1256" s="30" t="n"/>
      <c r="H1256" s="35" t="n"/>
    </row>
    <row r="1257" ht="20" customHeight="1">
      <c r="A1257" s="26" t="n"/>
      <c r="B1257" s="27">
        <f>IFERROR(IF(A1257="","",VLOOKUP(A1257,DATABASE!$A:$B,2,0)),"")</f>
        <v/>
      </c>
      <c r="C1257" s="20">
        <f>IFERROR(IF(A1257="","",VLOOKUP(A1257,DATABASE!$A:$J,10,0)),"")</f>
        <v/>
      </c>
      <c r="D1257" s="28">
        <f>IF(A1257="","",TODAY())</f>
        <v/>
      </c>
      <c r="E1257" s="29" t="n"/>
      <c r="F1257" s="20">
        <f>IFERROR(IF(OR(A1257="",E1257=""),"",C1257-E1257),"")</f>
        <v/>
      </c>
      <c r="G1257" s="30" t="n"/>
      <c r="H1257" s="27" t="n"/>
    </row>
    <row r="1258" ht="20" customHeight="1">
      <c r="A1258" s="26" t="n"/>
      <c r="B1258" s="35">
        <f>IFERROR(IF(A1258="","",VLOOKUP(A1258,DATABASE!$A:$B,2,0)),"")</f>
        <v/>
      </c>
      <c r="C1258" s="36">
        <f>IFERROR(IF(A1258="","",VLOOKUP(A1258,DATABASE!$A:$J,10,0)),"")</f>
        <v/>
      </c>
      <c r="D1258" s="37">
        <f>IF(A1258="","",TODAY())</f>
        <v/>
      </c>
      <c r="E1258" s="29" t="n"/>
      <c r="F1258" s="36">
        <f>IFERROR(IF(OR(A1258="",E1258=""),"",C1258-E1258),"")</f>
        <v/>
      </c>
      <c r="G1258" s="30" t="n"/>
      <c r="H1258" s="35" t="n"/>
    </row>
    <row r="1259" ht="20" customHeight="1">
      <c r="A1259" s="26" t="n"/>
      <c r="B1259" s="27">
        <f>IFERROR(IF(A1259="","",VLOOKUP(A1259,DATABASE!$A:$B,2,0)),"")</f>
        <v/>
      </c>
      <c r="C1259" s="20">
        <f>IFERROR(IF(A1259="","",VLOOKUP(A1259,DATABASE!$A:$J,10,0)),"")</f>
        <v/>
      </c>
      <c r="D1259" s="28">
        <f>IF(A1259="","",TODAY())</f>
        <v/>
      </c>
      <c r="E1259" s="29" t="n"/>
      <c r="F1259" s="20">
        <f>IFERROR(IF(OR(A1259="",E1259=""),"",C1259-E1259),"")</f>
        <v/>
      </c>
      <c r="G1259" s="30" t="n"/>
      <c r="H1259" s="27" t="n"/>
    </row>
    <row r="1260" ht="20" customHeight="1">
      <c r="A1260" s="26" t="n"/>
      <c r="B1260" s="35">
        <f>IFERROR(IF(A1260="","",VLOOKUP(A1260,DATABASE!$A:$B,2,0)),"")</f>
        <v/>
      </c>
      <c r="C1260" s="36">
        <f>IFERROR(IF(A1260="","",VLOOKUP(A1260,DATABASE!$A:$J,10,0)),"")</f>
        <v/>
      </c>
      <c r="D1260" s="37">
        <f>IF(A1260="","",TODAY())</f>
        <v/>
      </c>
      <c r="E1260" s="29" t="n"/>
      <c r="F1260" s="36">
        <f>IFERROR(IF(OR(A1260="",E1260=""),"",C1260-E1260),"")</f>
        <v/>
      </c>
      <c r="G1260" s="30" t="n"/>
      <c r="H1260" s="35" t="n"/>
    </row>
    <row r="1261" ht="20" customHeight="1">
      <c r="A1261" s="26" t="n"/>
      <c r="B1261" s="27">
        <f>IFERROR(IF(A1261="","",VLOOKUP(A1261,DATABASE!$A:$B,2,0)),"")</f>
        <v/>
      </c>
      <c r="C1261" s="20">
        <f>IFERROR(IF(A1261="","",VLOOKUP(A1261,DATABASE!$A:$J,10,0)),"")</f>
        <v/>
      </c>
      <c r="D1261" s="28">
        <f>IF(A1261="","",TODAY())</f>
        <v/>
      </c>
      <c r="E1261" s="29" t="n"/>
      <c r="F1261" s="20">
        <f>IFERROR(IF(OR(A1261="",E1261=""),"",C1261-E1261),"")</f>
        <v/>
      </c>
      <c r="G1261" s="30" t="n"/>
      <c r="H1261" s="27" t="n"/>
    </row>
    <row r="1262" ht="20" customHeight="1">
      <c r="A1262" s="26" t="n"/>
      <c r="B1262" s="35">
        <f>IFERROR(IF(A1262="","",VLOOKUP(A1262,DATABASE!$A:$B,2,0)),"")</f>
        <v/>
      </c>
      <c r="C1262" s="36">
        <f>IFERROR(IF(A1262="","",VLOOKUP(A1262,DATABASE!$A:$J,10,0)),"")</f>
        <v/>
      </c>
      <c r="D1262" s="37">
        <f>IF(A1262="","",TODAY())</f>
        <v/>
      </c>
      <c r="E1262" s="29" t="n"/>
      <c r="F1262" s="36">
        <f>IFERROR(IF(OR(A1262="",E1262=""),"",C1262-E1262),"")</f>
        <v/>
      </c>
      <c r="G1262" s="30" t="n"/>
      <c r="H1262" s="35" t="n"/>
    </row>
    <row r="1263" ht="20" customHeight="1">
      <c r="A1263" s="26" t="n"/>
      <c r="B1263" s="27">
        <f>IFERROR(IF(A1263="","",VLOOKUP(A1263,DATABASE!$A:$B,2,0)),"")</f>
        <v/>
      </c>
      <c r="C1263" s="20">
        <f>IFERROR(IF(A1263="","",VLOOKUP(A1263,DATABASE!$A:$J,10,0)),"")</f>
        <v/>
      </c>
      <c r="D1263" s="28">
        <f>IF(A1263="","",TODAY())</f>
        <v/>
      </c>
      <c r="E1263" s="29" t="n"/>
      <c r="F1263" s="20">
        <f>IFERROR(IF(OR(A1263="",E1263=""),"",C1263-E1263),"")</f>
        <v/>
      </c>
      <c r="G1263" s="30" t="n"/>
      <c r="H1263" s="27" t="n"/>
    </row>
    <row r="1264" ht="20" customHeight="1">
      <c r="A1264" s="26" t="n"/>
      <c r="B1264" s="35">
        <f>IFERROR(IF(A1264="","",VLOOKUP(A1264,DATABASE!$A:$B,2,0)),"")</f>
        <v/>
      </c>
      <c r="C1264" s="36">
        <f>IFERROR(IF(A1264="","",VLOOKUP(A1264,DATABASE!$A:$J,10,0)),"")</f>
        <v/>
      </c>
      <c r="D1264" s="37">
        <f>IF(A1264="","",TODAY())</f>
        <v/>
      </c>
      <c r="E1264" s="29" t="n"/>
      <c r="F1264" s="36">
        <f>IFERROR(IF(OR(A1264="",E1264=""),"",C1264-E1264),"")</f>
        <v/>
      </c>
      <c r="G1264" s="30" t="n"/>
      <c r="H1264" s="35" t="n"/>
    </row>
    <row r="1265" ht="20" customHeight="1">
      <c r="A1265" s="26" t="n"/>
      <c r="B1265" s="27">
        <f>IFERROR(IF(A1265="","",VLOOKUP(A1265,DATABASE!$A:$B,2,0)),"")</f>
        <v/>
      </c>
      <c r="C1265" s="20">
        <f>IFERROR(IF(A1265="","",VLOOKUP(A1265,DATABASE!$A:$J,10,0)),"")</f>
        <v/>
      </c>
      <c r="D1265" s="28">
        <f>IF(A1265="","",TODAY())</f>
        <v/>
      </c>
      <c r="E1265" s="29" t="n"/>
      <c r="F1265" s="20">
        <f>IFERROR(IF(OR(A1265="",E1265=""),"",C1265-E1265),"")</f>
        <v/>
      </c>
      <c r="G1265" s="30" t="n"/>
      <c r="H1265" s="27" t="n"/>
    </row>
    <row r="1266" ht="20" customHeight="1">
      <c r="A1266" s="26" t="n"/>
      <c r="B1266" s="35">
        <f>IFERROR(IF(A1266="","",VLOOKUP(A1266,DATABASE!$A:$B,2,0)),"")</f>
        <v/>
      </c>
      <c r="C1266" s="36">
        <f>IFERROR(IF(A1266="","",VLOOKUP(A1266,DATABASE!$A:$J,10,0)),"")</f>
        <v/>
      </c>
      <c r="D1266" s="37">
        <f>IF(A1266="","",TODAY())</f>
        <v/>
      </c>
      <c r="E1266" s="29" t="n"/>
      <c r="F1266" s="36">
        <f>IFERROR(IF(OR(A1266="",E1266=""),"",C1266-E1266),"")</f>
        <v/>
      </c>
      <c r="G1266" s="30" t="n"/>
      <c r="H1266" s="35" t="n"/>
    </row>
    <row r="1267" ht="20" customHeight="1">
      <c r="A1267" s="26" t="n"/>
      <c r="B1267" s="27">
        <f>IFERROR(IF(A1267="","",VLOOKUP(A1267,DATABASE!$A:$B,2,0)),"")</f>
        <v/>
      </c>
      <c r="C1267" s="20">
        <f>IFERROR(IF(A1267="","",VLOOKUP(A1267,DATABASE!$A:$J,10,0)),"")</f>
        <v/>
      </c>
      <c r="D1267" s="28">
        <f>IF(A1267="","",TODAY())</f>
        <v/>
      </c>
      <c r="E1267" s="29" t="n"/>
      <c r="F1267" s="20">
        <f>IFERROR(IF(OR(A1267="",E1267=""),"",C1267-E1267),"")</f>
        <v/>
      </c>
      <c r="G1267" s="30" t="n"/>
      <c r="H1267" s="27" t="n"/>
    </row>
    <row r="1268" ht="20" customHeight="1">
      <c r="A1268" s="26" t="n"/>
      <c r="B1268" s="35">
        <f>IFERROR(IF(A1268="","",VLOOKUP(A1268,DATABASE!$A:$B,2,0)),"")</f>
        <v/>
      </c>
      <c r="C1268" s="36">
        <f>IFERROR(IF(A1268="","",VLOOKUP(A1268,DATABASE!$A:$J,10,0)),"")</f>
        <v/>
      </c>
      <c r="D1268" s="37">
        <f>IF(A1268="","",TODAY())</f>
        <v/>
      </c>
      <c r="E1268" s="29" t="n"/>
      <c r="F1268" s="36">
        <f>IFERROR(IF(OR(A1268="",E1268=""),"",C1268-E1268),"")</f>
        <v/>
      </c>
      <c r="G1268" s="30" t="n"/>
      <c r="H1268" s="35" t="n"/>
    </row>
    <row r="1269" ht="20" customHeight="1">
      <c r="A1269" s="26" t="n"/>
      <c r="B1269" s="27">
        <f>IFERROR(IF(A1269="","",VLOOKUP(A1269,DATABASE!$A:$B,2,0)),"")</f>
        <v/>
      </c>
      <c r="C1269" s="20">
        <f>IFERROR(IF(A1269="","",VLOOKUP(A1269,DATABASE!$A:$J,10,0)),"")</f>
        <v/>
      </c>
      <c r="D1269" s="28">
        <f>IF(A1269="","",TODAY())</f>
        <v/>
      </c>
      <c r="E1269" s="29" t="n"/>
      <c r="F1269" s="20">
        <f>IFERROR(IF(OR(A1269="",E1269=""),"",C1269-E1269),"")</f>
        <v/>
      </c>
      <c r="G1269" s="30" t="n"/>
      <c r="H1269" s="27" t="n"/>
    </row>
    <row r="1270" ht="20" customHeight="1">
      <c r="A1270" s="26" t="n"/>
      <c r="B1270" s="35">
        <f>IFERROR(IF(A1270="","",VLOOKUP(A1270,DATABASE!$A:$B,2,0)),"")</f>
        <v/>
      </c>
      <c r="C1270" s="36">
        <f>IFERROR(IF(A1270="","",VLOOKUP(A1270,DATABASE!$A:$J,10,0)),"")</f>
        <v/>
      </c>
      <c r="D1270" s="37">
        <f>IF(A1270="","",TODAY())</f>
        <v/>
      </c>
      <c r="E1270" s="29" t="n"/>
      <c r="F1270" s="36">
        <f>IFERROR(IF(OR(A1270="",E1270=""),"",C1270-E1270),"")</f>
        <v/>
      </c>
      <c r="G1270" s="30" t="n"/>
      <c r="H1270" s="35" t="n"/>
    </row>
    <row r="1271" ht="20" customHeight="1">
      <c r="A1271" s="26" t="n"/>
      <c r="B1271" s="27">
        <f>IFERROR(IF(A1271="","",VLOOKUP(A1271,DATABASE!$A:$B,2,0)),"")</f>
        <v/>
      </c>
      <c r="C1271" s="20">
        <f>IFERROR(IF(A1271="","",VLOOKUP(A1271,DATABASE!$A:$J,10,0)),"")</f>
        <v/>
      </c>
      <c r="D1271" s="28">
        <f>IF(A1271="","",TODAY())</f>
        <v/>
      </c>
      <c r="E1271" s="29" t="n"/>
      <c r="F1271" s="20">
        <f>IFERROR(IF(OR(A1271="",E1271=""),"",C1271-E1271),"")</f>
        <v/>
      </c>
      <c r="G1271" s="30" t="n"/>
      <c r="H1271" s="27" t="n"/>
    </row>
    <row r="1272" ht="20" customHeight="1">
      <c r="A1272" s="26" t="n"/>
      <c r="B1272" s="35">
        <f>IFERROR(IF(A1272="","",VLOOKUP(A1272,DATABASE!$A:$B,2,0)),"")</f>
        <v/>
      </c>
      <c r="C1272" s="36">
        <f>IFERROR(IF(A1272="","",VLOOKUP(A1272,DATABASE!$A:$J,10,0)),"")</f>
        <v/>
      </c>
      <c r="D1272" s="37">
        <f>IF(A1272="","",TODAY())</f>
        <v/>
      </c>
      <c r="E1272" s="29" t="n"/>
      <c r="F1272" s="36">
        <f>IFERROR(IF(OR(A1272="",E1272=""),"",C1272-E1272),"")</f>
        <v/>
      </c>
      <c r="G1272" s="30" t="n"/>
      <c r="H1272" s="35" t="n"/>
    </row>
    <row r="1273" ht="20" customHeight="1">
      <c r="A1273" s="26" t="n"/>
      <c r="B1273" s="27">
        <f>IFERROR(IF(A1273="","",VLOOKUP(A1273,DATABASE!$A:$B,2,0)),"")</f>
        <v/>
      </c>
      <c r="C1273" s="20">
        <f>IFERROR(IF(A1273="","",VLOOKUP(A1273,DATABASE!$A:$J,10,0)),"")</f>
        <v/>
      </c>
      <c r="D1273" s="28">
        <f>IF(A1273="","",TODAY())</f>
        <v/>
      </c>
      <c r="E1273" s="29" t="n"/>
      <c r="F1273" s="20">
        <f>IFERROR(IF(OR(A1273="",E1273=""),"",C1273-E1273),"")</f>
        <v/>
      </c>
      <c r="G1273" s="30" t="n"/>
      <c r="H1273" s="27" t="n"/>
    </row>
    <row r="1274" ht="20" customHeight="1">
      <c r="A1274" s="26" t="n"/>
      <c r="B1274" s="35">
        <f>IFERROR(IF(A1274="","",VLOOKUP(A1274,DATABASE!$A:$B,2,0)),"")</f>
        <v/>
      </c>
      <c r="C1274" s="36">
        <f>IFERROR(IF(A1274="","",VLOOKUP(A1274,DATABASE!$A:$J,10,0)),"")</f>
        <v/>
      </c>
      <c r="D1274" s="37">
        <f>IF(A1274="","",TODAY())</f>
        <v/>
      </c>
      <c r="E1274" s="29" t="n"/>
      <c r="F1274" s="36">
        <f>IFERROR(IF(OR(A1274="",E1274=""),"",C1274-E1274),"")</f>
        <v/>
      </c>
      <c r="G1274" s="30" t="n"/>
      <c r="H1274" s="35" t="n"/>
    </row>
    <row r="1275" ht="20" customHeight="1">
      <c r="A1275" s="26" t="n"/>
      <c r="B1275" s="27">
        <f>IFERROR(IF(A1275="","",VLOOKUP(A1275,DATABASE!$A:$B,2,0)),"")</f>
        <v/>
      </c>
      <c r="C1275" s="20">
        <f>IFERROR(IF(A1275="","",VLOOKUP(A1275,DATABASE!$A:$J,10,0)),"")</f>
        <v/>
      </c>
      <c r="D1275" s="28">
        <f>IF(A1275="","",TODAY())</f>
        <v/>
      </c>
      <c r="E1275" s="29" t="n"/>
      <c r="F1275" s="20">
        <f>IFERROR(IF(OR(A1275="",E1275=""),"",C1275-E1275),"")</f>
        <v/>
      </c>
      <c r="G1275" s="30" t="n"/>
      <c r="H1275" s="27" t="n"/>
    </row>
    <row r="1276" ht="20" customHeight="1">
      <c r="A1276" s="26" t="n"/>
      <c r="B1276" s="35">
        <f>IFERROR(IF(A1276="","",VLOOKUP(A1276,DATABASE!$A:$B,2,0)),"")</f>
        <v/>
      </c>
      <c r="C1276" s="36">
        <f>IFERROR(IF(A1276="","",VLOOKUP(A1276,DATABASE!$A:$J,10,0)),"")</f>
        <v/>
      </c>
      <c r="D1276" s="37">
        <f>IF(A1276="","",TODAY())</f>
        <v/>
      </c>
      <c r="E1276" s="29" t="n"/>
      <c r="F1276" s="36">
        <f>IFERROR(IF(OR(A1276="",E1276=""),"",C1276-E1276),"")</f>
        <v/>
      </c>
      <c r="G1276" s="30" t="n"/>
      <c r="H1276" s="35" t="n"/>
    </row>
    <row r="1277" ht="20" customHeight="1">
      <c r="A1277" s="26" t="n"/>
      <c r="B1277" s="27">
        <f>IFERROR(IF(A1277="","",VLOOKUP(A1277,DATABASE!$A:$B,2,0)),"")</f>
        <v/>
      </c>
      <c r="C1277" s="20">
        <f>IFERROR(IF(A1277="","",VLOOKUP(A1277,DATABASE!$A:$J,10,0)),"")</f>
        <v/>
      </c>
      <c r="D1277" s="28">
        <f>IF(A1277="","",TODAY())</f>
        <v/>
      </c>
      <c r="E1277" s="29" t="n"/>
      <c r="F1277" s="20">
        <f>IFERROR(IF(OR(A1277="",E1277=""),"",C1277-E1277),"")</f>
        <v/>
      </c>
      <c r="G1277" s="30" t="n"/>
      <c r="H1277" s="27" t="n"/>
    </row>
    <row r="1278" ht="20" customHeight="1">
      <c r="A1278" s="26" t="n"/>
      <c r="B1278" s="35">
        <f>IFERROR(IF(A1278="","",VLOOKUP(A1278,DATABASE!$A:$B,2,0)),"")</f>
        <v/>
      </c>
      <c r="C1278" s="36">
        <f>IFERROR(IF(A1278="","",VLOOKUP(A1278,DATABASE!$A:$J,10,0)),"")</f>
        <v/>
      </c>
      <c r="D1278" s="37">
        <f>IF(A1278="","",TODAY())</f>
        <v/>
      </c>
      <c r="E1278" s="29" t="n"/>
      <c r="F1278" s="36">
        <f>IFERROR(IF(OR(A1278="",E1278=""),"",C1278-E1278),"")</f>
        <v/>
      </c>
      <c r="G1278" s="30" t="n"/>
      <c r="H1278" s="35" t="n"/>
    </row>
    <row r="1279" ht="20" customHeight="1">
      <c r="A1279" s="26" t="n"/>
      <c r="B1279" s="27">
        <f>IFERROR(IF(A1279="","",VLOOKUP(A1279,DATABASE!$A:$B,2,0)),"")</f>
        <v/>
      </c>
      <c r="C1279" s="20">
        <f>IFERROR(IF(A1279="","",VLOOKUP(A1279,DATABASE!$A:$J,10,0)),"")</f>
        <v/>
      </c>
      <c r="D1279" s="28">
        <f>IF(A1279="","",TODAY())</f>
        <v/>
      </c>
      <c r="E1279" s="29" t="n"/>
      <c r="F1279" s="20">
        <f>IFERROR(IF(OR(A1279="",E1279=""),"",C1279-E1279),"")</f>
        <v/>
      </c>
      <c r="G1279" s="30" t="n"/>
      <c r="H1279" s="27" t="n"/>
    </row>
    <row r="1280" ht="20" customHeight="1">
      <c r="A1280" s="26" t="n"/>
      <c r="B1280" s="35">
        <f>IFERROR(IF(A1280="","",VLOOKUP(A1280,DATABASE!$A:$B,2,0)),"")</f>
        <v/>
      </c>
      <c r="C1280" s="36">
        <f>IFERROR(IF(A1280="","",VLOOKUP(A1280,DATABASE!$A:$J,10,0)),"")</f>
        <v/>
      </c>
      <c r="D1280" s="37">
        <f>IF(A1280="","",TODAY())</f>
        <v/>
      </c>
      <c r="E1280" s="29" t="n"/>
      <c r="F1280" s="36">
        <f>IFERROR(IF(OR(A1280="",E1280=""),"",C1280-E1280),"")</f>
        <v/>
      </c>
      <c r="G1280" s="30" t="n"/>
      <c r="H1280" s="35" t="n"/>
    </row>
    <row r="1281" ht="20" customHeight="1">
      <c r="A1281" s="26" t="n"/>
      <c r="B1281" s="27">
        <f>IFERROR(IF(A1281="","",VLOOKUP(A1281,DATABASE!$A:$B,2,0)),"")</f>
        <v/>
      </c>
      <c r="C1281" s="20">
        <f>IFERROR(IF(A1281="","",VLOOKUP(A1281,DATABASE!$A:$J,10,0)),"")</f>
        <v/>
      </c>
      <c r="D1281" s="28">
        <f>IF(A1281="","",TODAY())</f>
        <v/>
      </c>
      <c r="E1281" s="29" t="n"/>
      <c r="F1281" s="20">
        <f>IFERROR(IF(OR(A1281="",E1281=""),"",C1281-E1281),"")</f>
        <v/>
      </c>
      <c r="G1281" s="30" t="n"/>
      <c r="H1281" s="27" t="n"/>
    </row>
    <row r="1282" ht="20" customHeight="1">
      <c r="A1282" s="26" t="n"/>
      <c r="B1282" s="35">
        <f>IFERROR(IF(A1282="","",VLOOKUP(A1282,DATABASE!$A:$B,2,0)),"")</f>
        <v/>
      </c>
      <c r="C1282" s="36">
        <f>IFERROR(IF(A1282="","",VLOOKUP(A1282,DATABASE!$A:$J,10,0)),"")</f>
        <v/>
      </c>
      <c r="D1282" s="37">
        <f>IF(A1282="","",TODAY())</f>
        <v/>
      </c>
      <c r="E1282" s="29" t="n"/>
      <c r="F1282" s="36">
        <f>IFERROR(IF(OR(A1282="",E1282=""),"",C1282-E1282),"")</f>
        <v/>
      </c>
      <c r="G1282" s="30" t="n"/>
      <c r="H1282" s="35" t="n"/>
    </row>
    <row r="1283" ht="20" customHeight="1">
      <c r="A1283" s="26" t="n"/>
      <c r="B1283" s="27">
        <f>IFERROR(IF(A1283="","",VLOOKUP(A1283,DATABASE!$A:$B,2,0)),"")</f>
        <v/>
      </c>
      <c r="C1283" s="20">
        <f>IFERROR(IF(A1283="","",VLOOKUP(A1283,DATABASE!$A:$J,10,0)),"")</f>
        <v/>
      </c>
      <c r="D1283" s="28">
        <f>IF(A1283="","",TODAY())</f>
        <v/>
      </c>
      <c r="E1283" s="29" t="n"/>
      <c r="F1283" s="20">
        <f>IFERROR(IF(OR(A1283="",E1283=""),"",C1283-E1283),"")</f>
        <v/>
      </c>
      <c r="G1283" s="30" t="n"/>
      <c r="H1283" s="27" t="n"/>
    </row>
    <row r="1284" ht="20" customHeight="1">
      <c r="A1284" s="26" t="n"/>
      <c r="B1284" s="35">
        <f>IFERROR(IF(A1284="","",VLOOKUP(A1284,DATABASE!$A:$B,2,0)),"")</f>
        <v/>
      </c>
      <c r="C1284" s="36">
        <f>IFERROR(IF(A1284="","",VLOOKUP(A1284,DATABASE!$A:$J,10,0)),"")</f>
        <v/>
      </c>
      <c r="D1284" s="37">
        <f>IF(A1284="","",TODAY())</f>
        <v/>
      </c>
      <c r="E1284" s="29" t="n"/>
      <c r="F1284" s="36">
        <f>IFERROR(IF(OR(A1284="",E1284=""),"",C1284-E1284),"")</f>
        <v/>
      </c>
      <c r="G1284" s="30" t="n"/>
      <c r="H1284" s="35" t="n"/>
    </row>
    <row r="1285" ht="20" customHeight="1">
      <c r="A1285" s="26" t="n"/>
      <c r="B1285" s="27">
        <f>IFERROR(IF(A1285="","",VLOOKUP(A1285,DATABASE!$A:$B,2,0)),"")</f>
        <v/>
      </c>
      <c r="C1285" s="20">
        <f>IFERROR(IF(A1285="","",VLOOKUP(A1285,DATABASE!$A:$J,10,0)),"")</f>
        <v/>
      </c>
      <c r="D1285" s="28">
        <f>IF(A1285="","",TODAY())</f>
        <v/>
      </c>
      <c r="E1285" s="29" t="n"/>
      <c r="F1285" s="20">
        <f>IFERROR(IF(OR(A1285="",E1285=""),"",C1285-E1285),"")</f>
        <v/>
      </c>
      <c r="G1285" s="30" t="n"/>
      <c r="H1285" s="27" t="n"/>
    </row>
    <row r="1286" ht="20" customHeight="1">
      <c r="A1286" s="26" t="n"/>
      <c r="B1286" s="35">
        <f>IFERROR(IF(A1286="","",VLOOKUP(A1286,DATABASE!$A:$B,2,0)),"")</f>
        <v/>
      </c>
      <c r="C1286" s="36">
        <f>IFERROR(IF(A1286="","",VLOOKUP(A1286,DATABASE!$A:$J,10,0)),"")</f>
        <v/>
      </c>
      <c r="D1286" s="37">
        <f>IF(A1286="","",TODAY())</f>
        <v/>
      </c>
      <c r="E1286" s="29" t="n"/>
      <c r="F1286" s="36">
        <f>IFERROR(IF(OR(A1286="",E1286=""),"",C1286-E1286),"")</f>
        <v/>
      </c>
      <c r="G1286" s="30" t="n"/>
      <c r="H1286" s="35" t="n"/>
    </row>
    <row r="1287" ht="20" customHeight="1">
      <c r="A1287" s="26" t="n"/>
      <c r="B1287" s="27">
        <f>IFERROR(IF(A1287="","",VLOOKUP(A1287,DATABASE!$A:$B,2,0)),"")</f>
        <v/>
      </c>
      <c r="C1287" s="20">
        <f>IFERROR(IF(A1287="","",VLOOKUP(A1287,DATABASE!$A:$J,10,0)),"")</f>
        <v/>
      </c>
      <c r="D1287" s="28">
        <f>IF(A1287="","",TODAY())</f>
        <v/>
      </c>
      <c r="E1287" s="29" t="n"/>
      <c r="F1287" s="20">
        <f>IFERROR(IF(OR(A1287="",E1287=""),"",C1287-E1287),"")</f>
        <v/>
      </c>
      <c r="G1287" s="30" t="n"/>
      <c r="H1287" s="27" t="n"/>
    </row>
    <row r="1288" ht="20" customHeight="1">
      <c r="A1288" s="26" t="n"/>
      <c r="B1288" s="35">
        <f>IFERROR(IF(A1288="","",VLOOKUP(A1288,DATABASE!$A:$B,2,0)),"")</f>
        <v/>
      </c>
      <c r="C1288" s="36">
        <f>IFERROR(IF(A1288="","",VLOOKUP(A1288,DATABASE!$A:$J,10,0)),"")</f>
        <v/>
      </c>
      <c r="D1288" s="37">
        <f>IF(A1288="","",TODAY())</f>
        <v/>
      </c>
      <c r="E1288" s="29" t="n"/>
      <c r="F1288" s="36">
        <f>IFERROR(IF(OR(A1288="",E1288=""),"",C1288-E1288),"")</f>
        <v/>
      </c>
      <c r="G1288" s="30" t="n"/>
      <c r="H1288" s="35" t="n"/>
    </row>
    <row r="1289" ht="20" customHeight="1">
      <c r="A1289" s="26" t="n"/>
      <c r="B1289" s="27">
        <f>IFERROR(IF(A1289="","",VLOOKUP(A1289,DATABASE!$A:$B,2,0)),"")</f>
        <v/>
      </c>
      <c r="C1289" s="20">
        <f>IFERROR(IF(A1289="","",VLOOKUP(A1289,DATABASE!$A:$J,10,0)),"")</f>
        <v/>
      </c>
      <c r="D1289" s="28">
        <f>IF(A1289="","",TODAY())</f>
        <v/>
      </c>
      <c r="E1289" s="29" t="n"/>
      <c r="F1289" s="20">
        <f>IFERROR(IF(OR(A1289="",E1289=""),"",C1289-E1289),"")</f>
        <v/>
      </c>
      <c r="G1289" s="30" t="n"/>
      <c r="H1289" s="27" t="n"/>
    </row>
    <row r="1290" ht="20" customHeight="1">
      <c r="A1290" s="26" t="n"/>
      <c r="B1290" s="35">
        <f>IFERROR(IF(A1290="","",VLOOKUP(A1290,DATABASE!$A:$B,2,0)),"")</f>
        <v/>
      </c>
      <c r="C1290" s="36">
        <f>IFERROR(IF(A1290="","",VLOOKUP(A1290,DATABASE!$A:$J,10,0)),"")</f>
        <v/>
      </c>
      <c r="D1290" s="37">
        <f>IF(A1290="","",TODAY())</f>
        <v/>
      </c>
      <c r="E1290" s="29" t="n"/>
      <c r="F1290" s="36">
        <f>IFERROR(IF(OR(A1290="",E1290=""),"",C1290-E1290),"")</f>
        <v/>
      </c>
      <c r="G1290" s="30" t="n"/>
      <c r="H1290" s="35" t="n"/>
    </row>
    <row r="1291" ht="20" customHeight="1">
      <c r="A1291" s="26" t="n"/>
      <c r="B1291" s="27">
        <f>IFERROR(IF(A1291="","",VLOOKUP(A1291,DATABASE!$A:$B,2,0)),"")</f>
        <v/>
      </c>
      <c r="C1291" s="20">
        <f>IFERROR(IF(A1291="","",VLOOKUP(A1291,DATABASE!$A:$J,10,0)),"")</f>
        <v/>
      </c>
      <c r="D1291" s="28">
        <f>IF(A1291="","",TODAY())</f>
        <v/>
      </c>
      <c r="E1291" s="29" t="n"/>
      <c r="F1291" s="20">
        <f>IFERROR(IF(OR(A1291="",E1291=""),"",C1291-E1291),"")</f>
        <v/>
      </c>
      <c r="G1291" s="30" t="n"/>
      <c r="H1291" s="27" t="n"/>
    </row>
    <row r="1292" ht="20" customHeight="1">
      <c r="A1292" s="26" t="n"/>
      <c r="B1292" s="35">
        <f>IFERROR(IF(A1292="","",VLOOKUP(A1292,DATABASE!$A:$B,2,0)),"")</f>
        <v/>
      </c>
      <c r="C1292" s="36">
        <f>IFERROR(IF(A1292="","",VLOOKUP(A1292,DATABASE!$A:$J,10,0)),"")</f>
        <v/>
      </c>
      <c r="D1292" s="37">
        <f>IF(A1292="","",TODAY())</f>
        <v/>
      </c>
      <c r="E1292" s="29" t="n"/>
      <c r="F1292" s="36">
        <f>IFERROR(IF(OR(A1292="",E1292=""),"",C1292-E1292),"")</f>
        <v/>
      </c>
      <c r="G1292" s="30" t="n"/>
      <c r="H1292" s="35" t="n"/>
    </row>
    <row r="1293" ht="20" customHeight="1">
      <c r="A1293" s="26" t="n"/>
      <c r="B1293" s="27">
        <f>IFERROR(IF(A1293="","",VLOOKUP(A1293,DATABASE!$A:$B,2,0)),"")</f>
        <v/>
      </c>
      <c r="C1293" s="20">
        <f>IFERROR(IF(A1293="","",VLOOKUP(A1293,DATABASE!$A:$J,10,0)),"")</f>
        <v/>
      </c>
      <c r="D1293" s="28">
        <f>IF(A1293="","",TODAY())</f>
        <v/>
      </c>
      <c r="E1293" s="29" t="n"/>
      <c r="F1293" s="20">
        <f>IFERROR(IF(OR(A1293="",E1293=""),"",C1293-E1293),"")</f>
        <v/>
      </c>
      <c r="G1293" s="30" t="n"/>
      <c r="H1293" s="27" t="n"/>
    </row>
    <row r="1294" ht="20" customHeight="1">
      <c r="A1294" s="26" t="n"/>
      <c r="B1294" s="35">
        <f>IFERROR(IF(A1294="","",VLOOKUP(A1294,DATABASE!$A:$B,2,0)),"")</f>
        <v/>
      </c>
      <c r="C1294" s="36">
        <f>IFERROR(IF(A1294="","",VLOOKUP(A1294,DATABASE!$A:$J,10,0)),"")</f>
        <v/>
      </c>
      <c r="D1294" s="37">
        <f>IF(A1294="","",TODAY())</f>
        <v/>
      </c>
      <c r="E1294" s="29" t="n"/>
      <c r="F1294" s="36">
        <f>IFERROR(IF(OR(A1294="",E1294=""),"",C1294-E1294),"")</f>
        <v/>
      </c>
      <c r="G1294" s="30" t="n"/>
      <c r="H1294" s="35" t="n"/>
    </row>
    <row r="1295" ht="20" customHeight="1">
      <c r="A1295" s="26" t="n"/>
      <c r="B1295" s="27">
        <f>IFERROR(IF(A1295="","",VLOOKUP(A1295,DATABASE!$A:$B,2,0)),"")</f>
        <v/>
      </c>
      <c r="C1295" s="20">
        <f>IFERROR(IF(A1295="","",VLOOKUP(A1295,DATABASE!$A:$J,10,0)),"")</f>
        <v/>
      </c>
      <c r="D1295" s="28">
        <f>IF(A1295="","",TODAY())</f>
        <v/>
      </c>
      <c r="E1295" s="29" t="n"/>
      <c r="F1295" s="20">
        <f>IFERROR(IF(OR(A1295="",E1295=""),"",C1295-E1295),"")</f>
        <v/>
      </c>
      <c r="G1295" s="30" t="n"/>
      <c r="H1295" s="27" t="n"/>
    </row>
    <row r="1296" ht="20" customHeight="1">
      <c r="A1296" s="26" t="n"/>
      <c r="B1296" s="35">
        <f>IFERROR(IF(A1296="","",VLOOKUP(A1296,DATABASE!$A:$B,2,0)),"")</f>
        <v/>
      </c>
      <c r="C1296" s="36">
        <f>IFERROR(IF(A1296="","",VLOOKUP(A1296,DATABASE!$A:$J,10,0)),"")</f>
        <v/>
      </c>
      <c r="D1296" s="37">
        <f>IF(A1296="","",TODAY())</f>
        <v/>
      </c>
      <c r="E1296" s="29" t="n"/>
      <c r="F1296" s="36">
        <f>IFERROR(IF(OR(A1296="",E1296=""),"",C1296-E1296),"")</f>
        <v/>
      </c>
      <c r="G1296" s="30" t="n"/>
      <c r="H1296" s="35" t="n"/>
    </row>
    <row r="1297" ht="20" customHeight="1">
      <c r="A1297" s="26" t="n"/>
      <c r="B1297" s="27">
        <f>IFERROR(IF(A1297="","",VLOOKUP(A1297,DATABASE!$A:$B,2,0)),"")</f>
        <v/>
      </c>
      <c r="C1297" s="20">
        <f>IFERROR(IF(A1297="","",VLOOKUP(A1297,DATABASE!$A:$J,10,0)),"")</f>
        <v/>
      </c>
      <c r="D1297" s="28">
        <f>IF(A1297="","",TODAY())</f>
        <v/>
      </c>
      <c r="E1297" s="29" t="n"/>
      <c r="F1297" s="20">
        <f>IFERROR(IF(OR(A1297="",E1297=""),"",C1297-E1297),"")</f>
        <v/>
      </c>
      <c r="G1297" s="30" t="n"/>
      <c r="H1297" s="27" t="n"/>
    </row>
    <row r="1298" ht="20" customHeight="1">
      <c r="A1298" s="26" t="n"/>
      <c r="B1298" s="35">
        <f>IFERROR(IF(A1298="","",VLOOKUP(A1298,DATABASE!$A:$B,2,0)),"")</f>
        <v/>
      </c>
      <c r="C1298" s="36">
        <f>IFERROR(IF(A1298="","",VLOOKUP(A1298,DATABASE!$A:$J,10,0)),"")</f>
        <v/>
      </c>
      <c r="D1298" s="37">
        <f>IF(A1298="","",TODAY())</f>
        <v/>
      </c>
      <c r="E1298" s="29" t="n"/>
      <c r="F1298" s="36">
        <f>IFERROR(IF(OR(A1298="",E1298=""),"",C1298-E1298),"")</f>
        <v/>
      </c>
      <c r="G1298" s="30" t="n"/>
      <c r="H1298" s="35" t="n"/>
    </row>
    <row r="1299" ht="20" customHeight="1">
      <c r="A1299" s="26" t="n"/>
      <c r="B1299" s="27">
        <f>IFERROR(IF(A1299="","",VLOOKUP(A1299,DATABASE!$A:$B,2,0)),"")</f>
        <v/>
      </c>
      <c r="C1299" s="20">
        <f>IFERROR(IF(A1299="","",VLOOKUP(A1299,DATABASE!$A:$J,10,0)),"")</f>
        <v/>
      </c>
      <c r="D1299" s="28">
        <f>IF(A1299="","",TODAY())</f>
        <v/>
      </c>
      <c r="E1299" s="29" t="n"/>
      <c r="F1299" s="20">
        <f>IFERROR(IF(OR(A1299="",E1299=""),"",C1299-E1299),"")</f>
        <v/>
      </c>
      <c r="G1299" s="30" t="n"/>
      <c r="H1299" s="27" t="n"/>
    </row>
    <row r="1300" ht="20" customHeight="1">
      <c r="A1300" s="26" t="n"/>
      <c r="B1300" s="35">
        <f>IFERROR(IF(A1300="","",VLOOKUP(A1300,DATABASE!$A:$B,2,0)),"")</f>
        <v/>
      </c>
      <c r="C1300" s="36">
        <f>IFERROR(IF(A1300="","",VLOOKUP(A1300,DATABASE!$A:$J,10,0)),"")</f>
        <v/>
      </c>
      <c r="D1300" s="37">
        <f>IF(A1300="","",TODAY())</f>
        <v/>
      </c>
      <c r="E1300" s="29" t="n"/>
      <c r="F1300" s="36">
        <f>IFERROR(IF(OR(A1300="",E1300=""),"",C1300-E1300),"")</f>
        <v/>
      </c>
      <c r="G1300" s="30" t="n"/>
      <c r="H1300" s="35" t="n"/>
    </row>
    <row r="1301" ht="20" customHeight="1">
      <c r="A1301" s="26" t="n"/>
      <c r="B1301" s="27">
        <f>IFERROR(IF(A1301="","",VLOOKUP(A1301,DATABASE!$A:$B,2,0)),"")</f>
        <v/>
      </c>
      <c r="C1301" s="20">
        <f>IFERROR(IF(A1301="","",VLOOKUP(A1301,DATABASE!$A:$J,10,0)),"")</f>
        <v/>
      </c>
      <c r="D1301" s="28">
        <f>IF(A1301="","",TODAY())</f>
        <v/>
      </c>
      <c r="E1301" s="29" t="n"/>
      <c r="F1301" s="20">
        <f>IFERROR(IF(OR(A1301="",E1301=""),"",C1301-E1301),"")</f>
        <v/>
      </c>
      <c r="G1301" s="30" t="n"/>
      <c r="H1301" s="27" t="n"/>
    </row>
    <row r="1302" ht="20" customHeight="1">
      <c r="A1302" s="26" t="n"/>
      <c r="B1302" s="35">
        <f>IFERROR(IF(A1302="","",VLOOKUP(A1302,DATABASE!$A:$B,2,0)),"")</f>
        <v/>
      </c>
      <c r="C1302" s="36">
        <f>IFERROR(IF(A1302="","",VLOOKUP(A1302,DATABASE!$A:$J,10,0)),"")</f>
        <v/>
      </c>
      <c r="D1302" s="37">
        <f>IF(A1302="","",TODAY())</f>
        <v/>
      </c>
      <c r="E1302" s="29" t="n"/>
      <c r="F1302" s="36">
        <f>IFERROR(IF(OR(A1302="",E1302=""),"",C1302-E1302),"")</f>
        <v/>
      </c>
      <c r="G1302" s="30" t="n"/>
      <c r="H1302" s="35" t="n"/>
    </row>
    <row r="1303" ht="20" customHeight="1">
      <c r="A1303" s="26" t="n"/>
      <c r="B1303" s="27">
        <f>IFERROR(IF(A1303="","",VLOOKUP(A1303,DATABASE!$A:$B,2,0)),"")</f>
        <v/>
      </c>
      <c r="C1303" s="20">
        <f>IFERROR(IF(A1303="","",VLOOKUP(A1303,DATABASE!$A:$J,10,0)),"")</f>
        <v/>
      </c>
      <c r="D1303" s="28">
        <f>IF(A1303="","",TODAY())</f>
        <v/>
      </c>
      <c r="E1303" s="29" t="n"/>
      <c r="F1303" s="20">
        <f>IFERROR(IF(OR(A1303="",E1303=""),"",C1303-E1303),"")</f>
        <v/>
      </c>
      <c r="G1303" s="30" t="n"/>
      <c r="H1303" s="27" t="n"/>
    </row>
    <row r="1304" ht="20" customHeight="1">
      <c r="A1304" s="26" t="n"/>
      <c r="B1304" s="35">
        <f>IFERROR(IF(A1304="","",VLOOKUP(A1304,DATABASE!$A:$B,2,0)),"")</f>
        <v/>
      </c>
      <c r="C1304" s="36">
        <f>IFERROR(IF(A1304="","",VLOOKUP(A1304,DATABASE!$A:$J,10,0)),"")</f>
        <v/>
      </c>
      <c r="D1304" s="37">
        <f>IF(A1304="","",TODAY())</f>
        <v/>
      </c>
      <c r="E1304" s="29" t="n"/>
      <c r="F1304" s="36">
        <f>IFERROR(IF(OR(A1304="",E1304=""),"",C1304-E1304),"")</f>
        <v/>
      </c>
      <c r="G1304" s="30" t="n"/>
      <c r="H1304" s="35" t="n"/>
    </row>
    <row r="1305" ht="20" customHeight="1">
      <c r="A1305" s="26" t="n"/>
      <c r="B1305" s="27">
        <f>IFERROR(IF(A1305="","",VLOOKUP(A1305,DATABASE!$A:$B,2,0)),"")</f>
        <v/>
      </c>
      <c r="C1305" s="20">
        <f>IFERROR(IF(A1305="","",VLOOKUP(A1305,DATABASE!$A:$J,10,0)),"")</f>
        <v/>
      </c>
      <c r="D1305" s="28">
        <f>IF(A1305="","",TODAY())</f>
        <v/>
      </c>
      <c r="E1305" s="29" t="n"/>
      <c r="F1305" s="20">
        <f>IFERROR(IF(OR(A1305="",E1305=""),"",C1305-E1305),"")</f>
        <v/>
      </c>
      <c r="G1305" s="30" t="n"/>
      <c r="H1305" s="27" t="n"/>
    </row>
    <row r="1306" ht="20" customHeight="1">
      <c r="A1306" s="26" t="n"/>
      <c r="B1306" s="35">
        <f>IFERROR(IF(A1306="","",VLOOKUP(A1306,DATABASE!$A:$B,2,0)),"")</f>
        <v/>
      </c>
      <c r="C1306" s="36">
        <f>IFERROR(IF(A1306="","",VLOOKUP(A1306,DATABASE!$A:$J,10,0)),"")</f>
        <v/>
      </c>
      <c r="D1306" s="37">
        <f>IF(A1306="","",TODAY())</f>
        <v/>
      </c>
      <c r="E1306" s="29" t="n"/>
      <c r="F1306" s="36">
        <f>IFERROR(IF(OR(A1306="",E1306=""),"",C1306-E1306),"")</f>
        <v/>
      </c>
      <c r="G1306" s="30" t="n"/>
      <c r="H1306" s="35" t="n"/>
    </row>
    <row r="1307" ht="20" customHeight="1">
      <c r="A1307" s="26" t="n"/>
      <c r="B1307" s="27">
        <f>IFERROR(IF(A1307="","",VLOOKUP(A1307,DATABASE!$A:$B,2,0)),"")</f>
        <v/>
      </c>
      <c r="C1307" s="20">
        <f>IFERROR(IF(A1307="","",VLOOKUP(A1307,DATABASE!$A:$J,10,0)),"")</f>
        <v/>
      </c>
      <c r="D1307" s="28">
        <f>IF(A1307="","",TODAY())</f>
        <v/>
      </c>
      <c r="E1307" s="29" t="n"/>
      <c r="F1307" s="20">
        <f>IFERROR(IF(OR(A1307="",E1307=""),"",C1307-E1307),"")</f>
        <v/>
      </c>
      <c r="G1307" s="30" t="n"/>
      <c r="H1307" s="27" t="n"/>
    </row>
    <row r="1308" ht="20" customHeight="1">
      <c r="A1308" s="26" t="n"/>
      <c r="B1308" s="35">
        <f>IFERROR(IF(A1308="","",VLOOKUP(A1308,DATABASE!$A:$B,2,0)),"")</f>
        <v/>
      </c>
      <c r="C1308" s="36">
        <f>IFERROR(IF(A1308="","",VLOOKUP(A1308,DATABASE!$A:$J,10,0)),"")</f>
        <v/>
      </c>
      <c r="D1308" s="37">
        <f>IF(A1308="","",TODAY())</f>
        <v/>
      </c>
      <c r="E1308" s="29" t="n"/>
      <c r="F1308" s="36">
        <f>IFERROR(IF(OR(A1308="",E1308=""),"",C1308-E1308),"")</f>
        <v/>
      </c>
      <c r="G1308" s="30" t="n"/>
      <c r="H1308" s="35" t="n"/>
    </row>
    <row r="1309" ht="20" customHeight="1">
      <c r="A1309" s="26" t="n"/>
      <c r="B1309" s="27">
        <f>IFERROR(IF(A1309="","",VLOOKUP(A1309,DATABASE!$A:$B,2,0)),"")</f>
        <v/>
      </c>
      <c r="C1309" s="20">
        <f>IFERROR(IF(A1309="","",VLOOKUP(A1309,DATABASE!$A:$J,10,0)),"")</f>
        <v/>
      </c>
      <c r="D1309" s="28">
        <f>IF(A1309="","",TODAY())</f>
        <v/>
      </c>
      <c r="E1309" s="29" t="n"/>
      <c r="F1309" s="20">
        <f>IFERROR(IF(OR(A1309="",E1309=""),"",C1309-E1309),"")</f>
        <v/>
      </c>
      <c r="G1309" s="30" t="n"/>
      <c r="H1309" s="27" t="n"/>
    </row>
    <row r="1310" ht="20" customHeight="1">
      <c r="A1310" s="26" t="n"/>
      <c r="B1310" s="35">
        <f>IFERROR(IF(A1310="","",VLOOKUP(A1310,DATABASE!$A:$B,2,0)),"")</f>
        <v/>
      </c>
      <c r="C1310" s="36">
        <f>IFERROR(IF(A1310="","",VLOOKUP(A1310,DATABASE!$A:$J,10,0)),"")</f>
        <v/>
      </c>
      <c r="D1310" s="37">
        <f>IF(A1310="","",TODAY())</f>
        <v/>
      </c>
      <c r="E1310" s="29" t="n"/>
      <c r="F1310" s="36">
        <f>IFERROR(IF(OR(A1310="",E1310=""),"",C1310-E1310),"")</f>
        <v/>
      </c>
      <c r="G1310" s="30" t="n"/>
      <c r="H1310" s="35" t="n"/>
    </row>
    <row r="1311" ht="20" customHeight="1">
      <c r="A1311" s="26" t="n"/>
      <c r="B1311" s="27">
        <f>IFERROR(IF(A1311="","",VLOOKUP(A1311,DATABASE!$A:$B,2,0)),"")</f>
        <v/>
      </c>
      <c r="C1311" s="20">
        <f>IFERROR(IF(A1311="","",VLOOKUP(A1311,DATABASE!$A:$J,10,0)),"")</f>
        <v/>
      </c>
      <c r="D1311" s="28">
        <f>IF(A1311="","",TODAY())</f>
        <v/>
      </c>
      <c r="E1311" s="29" t="n"/>
      <c r="F1311" s="20">
        <f>IFERROR(IF(OR(A1311="",E1311=""),"",C1311-E1311),"")</f>
        <v/>
      </c>
      <c r="G1311" s="30" t="n"/>
      <c r="H1311" s="27" t="n"/>
    </row>
    <row r="1312" ht="20" customHeight="1">
      <c r="A1312" s="26" t="n"/>
      <c r="B1312" s="35">
        <f>IFERROR(IF(A1312="","",VLOOKUP(A1312,DATABASE!$A:$B,2,0)),"")</f>
        <v/>
      </c>
      <c r="C1312" s="36">
        <f>IFERROR(IF(A1312="","",VLOOKUP(A1312,DATABASE!$A:$J,10,0)),"")</f>
        <v/>
      </c>
      <c r="D1312" s="37">
        <f>IF(A1312="","",TODAY())</f>
        <v/>
      </c>
      <c r="E1312" s="29" t="n"/>
      <c r="F1312" s="36">
        <f>IFERROR(IF(OR(A1312="",E1312=""),"",C1312-E1312),"")</f>
        <v/>
      </c>
      <c r="G1312" s="30" t="n"/>
      <c r="H1312" s="35" t="n"/>
    </row>
    <row r="1313" ht="20" customHeight="1">
      <c r="A1313" s="26" t="n"/>
      <c r="B1313" s="27">
        <f>IFERROR(IF(A1313="","",VLOOKUP(A1313,DATABASE!$A:$B,2,0)),"")</f>
        <v/>
      </c>
      <c r="C1313" s="20">
        <f>IFERROR(IF(A1313="","",VLOOKUP(A1313,DATABASE!$A:$J,10,0)),"")</f>
        <v/>
      </c>
      <c r="D1313" s="28">
        <f>IF(A1313="","",TODAY())</f>
        <v/>
      </c>
      <c r="E1313" s="29" t="n"/>
      <c r="F1313" s="20">
        <f>IFERROR(IF(OR(A1313="",E1313=""),"",C1313-E1313),"")</f>
        <v/>
      </c>
      <c r="G1313" s="30" t="n"/>
      <c r="H1313" s="27" t="n"/>
    </row>
    <row r="1314" ht="20" customHeight="1">
      <c r="A1314" s="26" t="n"/>
      <c r="B1314" s="35">
        <f>IFERROR(IF(A1314="","",VLOOKUP(A1314,DATABASE!$A:$B,2,0)),"")</f>
        <v/>
      </c>
      <c r="C1314" s="36">
        <f>IFERROR(IF(A1314="","",VLOOKUP(A1314,DATABASE!$A:$J,10,0)),"")</f>
        <v/>
      </c>
      <c r="D1314" s="37">
        <f>IF(A1314="","",TODAY())</f>
        <v/>
      </c>
      <c r="E1314" s="29" t="n"/>
      <c r="F1314" s="36">
        <f>IFERROR(IF(OR(A1314="",E1314=""),"",C1314-E1314),"")</f>
        <v/>
      </c>
      <c r="G1314" s="30" t="n"/>
      <c r="H1314" s="35" t="n"/>
    </row>
    <row r="1315" ht="20" customHeight="1">
      <c r="A1315" s="26" t="n"/>
      <c r="B1315" s="27">
        <f>IFERROR(IF(A1315="","",VLOOKUP(A1315,DATABASE!$A:$B,2,0)),"")</f>
        <v/>
      </c>
      <c r="C1315" s="20">
        <f>IFERROR(IF(A1315="","",VLOOKUP(A1315,DATABASE!$A:$J,10,0)),"")</f>
        <v/>
      </c>
      <c r="D1315" s="28">
        <f>IF(A1315="","",TODAY())</f>
        <v/>
      </c>
      <c r="E1315" s="29" t="n"/>
      <c r="F1315" s="20">
        <f>IFERROR(IF(OR(A1315="",E1315=""),"",C1315-E1315),"")</f>
        <v/>
      </c>
      <c r="G1315" s="30" t="n"/>
      <c r="H1315" s="27" t="n"/>
    </row>
    <row r="1316" ht="20" customHeight="1">
      <c r="A1316" s="26" t="n"/>
      <c r="B1316" s="35">
        <f>IFERROR(IF(A1316="","",VLOOKUP(A1316,DATABASE!$A:$B,2,0)),"")</f>
        <v/>
      </c>
      <c r="C1316" s="36">
        <f>IFERROR(IF(A1316="","",VLOOKUP(A1316,DATABASE!$A:$J,10,0)),"")</f>
        <v/>
      </c>
      <c r="D1316" s="37">
        <f>IF(A1316="","",TODAY())</f>
        <v/>
      </c>
      <c r="E1316" s="29" t="n"/>
      <c r="F1316" s="36">
        <f>IFERROR(IF(OR(A1316="",E1316=""),"",C1316-E1316),"")</f>
        <v/>
      </c>
      <c r="G1316" s="30" t="n"/>
      <c r="H1316" s="35" t="n"/>
    </row>
    <row r="1317" ht="20" customHeight="1">
      <c r="A1317" s="26" t="n"/>
      <c r="B1317" s="27">
        <f>IFERROR(IF(A1317="","",VLOOKUP(A1317,DATABASE!$A:$B,2,0)),"")</f>
        <v/>
      </c>
      <c r="C1317" s="20">
        <f>IFERROR(IF(A1317="","",VLOOKUP(A1317,DATABASE!$A:$J,10,0)),"")</f>
        <v/>
      </c>
      <c r="D1317" s="28">
        <f>IF(A1317="","",TODAY())</f>
        <v/>
      </c>
      <c r="E1317" s="29" t="n"/>
      <c r="F1317" s="20">
        <f>IFERROR(IF(OR(A1317="",E1317=""),"",C1317-E1317),"")</f>
        <v/>
      </c>
      <c r="G1317" s="30" t="n"/>
      <c r="H1317" s="27" t="n"/>
    </row>
    <row r="1318" ht="20" customHeight="1">
      <c r="A1318" s="26" t="n"/>
      <c r="B1318" s="35">
        <f>IFERROR(IF(A1318="","",VLOOKUP(A1318,DATABASE!$A:$B,2,0)),"")</f>
        <v/>
      </c>
      <c r="C1318" s="36">
        <f>IFERROR(IF(A1318="","",VLOOKUP(A1318,DATABASE!$A:$J,10,0)),"")</f>
        <v/>
      </c>
      <c r="D1318" s="37">
        <f>IF(A1318="","",TODAY())</f>
        <v/>
      </c>
      <c r="E1318" s="29" t="n"/>
      <c r="F1318" s="36">
        <f>IFERROR(IF(OR(A1318="",E1318=""),"",C1318-E1318),"")</f>
        <v/>
      </c>
      <c r="G1318" s="30" t="n"/>
      <c r="H1318" s="35" t="n"/>
    </row>
    <row r="1319" ht="20" customHeight="1">
      <c r="A1319" s="26" t="n"/>
      <c r="B1319" s="27">
        <f>IFERROR(IF(A1319="","",VLOOKUP(A1319,DATABASE!$A:$B,2,0)),"")</f>
        <v/>
      </c>
      <c r="C1319" s="20">
        <f>IFERROR(IF(A1319="","",VLOOKUP(A1319,DATABASE!$A:$J,10,0)),"")</f>
        <v/>
      </c>
      <c r="D1319" s="28">
        <f>IF(A1319="","",TODAY())</f>
        <v/>
      </c>
      <c r="E1319" s="29" t="n"/>
      <c r="F1319" s="20">
        <f>IFERROR(IF(OR(A1319="",E1319=""),"",C1319-E1319),"")</f>
        <v/>
      </c>
      <c r="G1319" s="30" t="n"/>
      <c r="H1319" s="27" t="n"/>
    </row>
    <row r="1320" ht="20" customHeight="1">
      <c r="A1320" s="26" t="n"/>
      <c r="B1320" s="35">
        <f>IFERROR(IF(A1320="","",VLOOKUP(A1320,DATABASE!$A:$B,2,0)),"")</f>
        <v/>
      </c>
      <c r="C1320" s="36">
        <f>IFERROR(IF(A1320="","",VLOOKUP(A1320,DATABASE!$A:$J,10,0)),"")</f>
        <v/>
      </c>
      <c r="D1320" s="37">
        <f>IF(A1320="","",TODAY())</f>
        <v/>
      </c>
      <c r="E1320" s="29" t="n"/>
      <c r="F1320" s="36">
        <f>IFERROR(IF(OR(A1320="",E1320=""),"",C1320-E1320),"")</f>
        <v/>
      </c>
      <c r="G1320" s="30" t="n"/>
      <c r="H1320" s="35" t="n"/>
    </row>
    <row r="1321" ht="20" customHeight="1">
      <c r="A1321" s="26" t="n"/>
      <c r="B1321" s="27">
        <f>IFERROR(IF(A1321="","",VLOOKUP(A1321,DATABASE!$A:$B,2,0)),"")</f>
        <v/>
      </c>
      <c r="C1321" s="20">
        <f>IFERROR(IF(A1321="","",VLOOKUP(A1321,DATABASE!$A:$J,10,0)),"")</f>
        <v/>
      </c>
      <c r="D1321" s="28">
        <f>IF(A1321="","",TODAY())</f>
        <v/>
      </c>
      <c r="E1321" s="29" t="n"/>
      <c r="F1321" s="20">
        <f>IFERROR(IF(OR(A1321="",E1321=""),"",C1321-E1321),"")</f>
        <v/>
      </c>
      <c r="G1321" s="30" t="n"/>
      <c r="H1321" s="27" t="n"/>
    </row>
    <row r="1322" ht="20" customHeight="1">
      <c r="A1322" s="26" t="n"/>
      <c r="B1322" s="35">
        <f>IFERROR(IF(A1322="","",VLOOKUP(A1322,DATABASE!$A:$B,2,0)),"")</f>
        <v/>
      </c>
      <c r="C1322" s="36">
        <f>IFERROR(IF(A1322="","",VLOOKUP(A1322,DATABASE!$A:$J,10,0)),"")</f>
        <v/>
      </c>
      <c r="D1322" s="37">
        <f>IF(A1322="","",TODAY())</f>
        <v/>
      </c>
      <c r="E1322" s="29" t="n"/>
      <c r="F1322" s="36">
        <f>IFERROR(IF(OR(A1322="",E1322=""),"",C1322-E1322),"")</f>
        <v/>
      </c>
      <c r="G1322" s="30" t="n"/>
      <c r="H1322" s="35" t="n"/>
    </row>
    <row r="1323" ht="20" customHeight="1">
      <c r="A1323" s="26" t="n"/>
      <c r="B1323" s="27">
        <f>IFERROR(IF(A1323="","",VLOOKUP(A1323,DATABASE!$A:$B,2,0)),"")</f>
        <v/>
      </c>
      <c r="C1323" s="20">
        <f>IFERROR(IF(A1323="","",VLOOKUP(A1323,DATABASE!$A:$J,10,0)),"")</f>
        <v/>
      </c>
      <c r="D1323" s="28">
        <f>IF(A1323="","",TODAY())</f>
        <v/>
      </c>
      <c r="E1323" s="29" t="n"/>
      <c r="F1323" s="20">
        <f>IFERROR(IF(OR(A1323="",E1323=""),"",C1323-E1323),"")</f>
        <v/>
      </c>
      <c r="G1323" s="30" t="n"/>
      <c r="H1323" s="27" t="n"/>
    </row>
    <row r="1324" ht="20" customHeight="1">
      <c r="A1324" s="26" t="n"/>
      <c r="B1324" s="35">
        <f>IFERROR(IF(A1324="","",VLOOKUP(A1324,DATABASE!$A:$B,2,0)),"")</f>
        <v/>
      </c>
      <c r="C1324" s="36">
        <f>IFERROR(IF(A1324="","",VLOOKUP(A1324,DATABASE!$A:$J,10,0)),"")</f>
        <v/>
      </c>
      <c r="D1324" s="37">
        <f>IF(A1324="","",TODAY())</f>
        <v/>
      </c>
      <c r="E1324" s="29" t="n"/>
      <c r="F1324" s="36">
        <f>IFERROR(IF(OR(A1324="",E1324=""),"",C1324-E1324),"")</f>
        <v/>
      </c>
      <c r="G1324" s="30" t="n"/>
      <c r="H1324" s="35" t="n"/>
    </row>
    <row r="1325" ht="20" customHeight="1">
      <c r="A1325" s="26" t="n"/>
      <c r="B1325" s="27">
        <f>IFERROR(IF(A1325="","",VLOOKUP(A1325,DATABASE!$A:$B,2,0)),"")</f>
        <v/>
      </c>
      <c r="C1325" s="20">
        <f>IFERROR(IF(A1325="","",VLOOKUP(A1325,DATABASE!$A:$J,10,0)),"")</f>
        <v/>
      </c>
      <c r="D1325" s="28">
        <f>IF(A1325="","",TODAY())</f>
        <v/>
      </c>
      <c r="E1325" s="29" t="n"/>
      <c r="F1325" s="20">
        <f>IFERROR(IF(OR(A1325="",E1325=""),"",C1325-E1325),"")</f>
        <v/>
      </c>
      <c r="G1325" s="30" t="n"/>
      <c r="H1325" s="27" t="n"/>
    </row>
    <row r="1326" ht="20" customHeight="1">
      <c r="A1326" s="26" t="n"/>
      <c r="B1326" s="35">
        <f>IFERROR(IF(A1326="","",VLOOKUP(A1326,DATABASE!$A:$B,2,0)),"")</f>
        <v/>
      </c>
      <c r="C1326" s="36">
        <f>IFERROR(IF(A1326="","",VLOOKUP(A1326,DATABASE!$A:$J,10,0)),"")</f>
        <v/>
      </c>
      <c r="D1326" s="37">
        <f>IF(A1326="","",TODAY())</f>
        <v/>
      </c>
      <c r="E1326" s="29" t="n"/>
      <c r="F1326" s="36">
        <f>IFERROR(IF(OR(A1326="",E1326=""),"",C1326-E1326),"")</f>
        <v/>
      </c>
      <c r="G1326" s="30" t="n"/>
      <c r="H1326" s="35" t="n"/>
    </row>
    <row r="1327" ht="20" customHeight="1">
      <c r="A1327" s="26" t="n"/>
      <c r="B1327" s="27">
        <f>IFERROR(IF(A1327="","",VLOOKUP(A1327,DATABASE!$A:$B,2,0)),"")</f>
        <v/>
      </c>
      <c r="C1327" s="20">
        <f>IFERROR(IF(A1327="","",VLOOKUP(A1327,DATABASE!$A:$J,10,0)),"")</f>
        <v/>
      </c>
      <c r="D1327" s="28">
        <f>IF(A1327="","",TODAY())</f>
        <v/>
      </c>
      <c r="E1327" s="29" t="n"/>
      <c r="F1327" s="20">
        <f>IFERROR(IF(OR(A1327="",E1327=""),"",C1327-E1327),"")</f>
        <v/>
      </c>
      <c r="G1327" s="30" t="n"/>
      <c r="H1327" s="27" t="n"/>
    </row>
    <row r="1328" ht="20" customHeight="1">
      <c r="A1328" s="26" t="n"/>
      <c r="B1328" s="35">
        <f>IFERROR(IF(A1328="","",VLOOKUP(A1328,DATABASE!$A:$B,2,0)),"")</f>
        <v/>
      </c>
      <c r="C1328" s="36">
        <f>IFERROR(IF(A1328="","",VLOOKUP(A1328,DATABASE!$A:$J,10,0)),"")</f>
        <v/>
      </c>
      <c r="D1328" s="37">
        <f>IF(A1328="","",TODAY())</f>
        <v/>
      </c>
      <c r="E1328" s="29" t="n"/>
      <c r="F1328" s="36">
        <f>IFERROR(IF(OR(A1328="",E1328=""),"",C1328-E1328),"")</f>
        <v/>
      </c>
      <c r="G1328" s="30" t="n"/>
      <c r="H1328" s="35" t="n"/>
    </row>
    <row r="1329" ht="20" customHeight="1">
      <c r="A1329" s="26" t="n"/>
      <c r="B1329" s="27">
        <f>IFERROR(IF(A1329="","",VLOOKUP(A1329,DATABASE!$A:$B,2,0)),"")</f>
        <v/>
      </c>
      <c r="C1329" s="20">
        <f>IFERROR(IF(A1329="","",VLOOKUP(A1329,DATABASE!$A:$J,10,0)),"")</f>
        <v/>
      </c>
      <c r="D1329" s="28">
        <f>IF(A1329="","",TODAY())</f>
        <v/>
      </c>
      <c r="E1329" s="29" t="n"/>
      <c r="F1329" s="20">
        <f>IFERROR(IF(OR(A1329="",E1329=""),"",C1329-E1329),"")</f>
        <v/>
      </c>
      <c r="G1329" s="30" t="n"/>
      <c r="H1329" s="27" t="n"/>
    </row>
    <row r="1330" ht="20" customHeight="1">
      <c r="A1330" s="26" t="n"/>
      <c r="B1330" s="35">
        <f>IFERROR(IF(A1330="","",VLOOKUP(A1330,DATABASE!$A:$B,2,0)),"")</f>
        <v/>
      </c>
      <c r="C1330" s="36">
        <f>IFERROR(IF(A1330="","",VLOOKUP(A1330,DATABASE!$A:$J,10,0)),"")</f>
        <v/>
      </c>
      <c r="D1330" s="37">
        <f>IF(A1330="","",TODAY())</f>
        <v/>
      </c>
      <c r="E1330" s="29" t="n"/>
      <c r="F1330" s="36">
        <f>IFERROR(IF(OR(A1330="",E1330=""),"",C1330-E1330),"")</f>
        <v/>
      </c>
      <c r="G1330" s="30" t="n"/>
      <c r="H1330" s="35" t="n"/>
    </row>
    <row r="1331" ht="20" customHeight="1">
      <c r="A1331" s="26" t="n"/>
      <c r="B1331" s="27">
        <f>IFERROR(IF(A1331="","",VLOOKUP(A1331,DATABASE!$A:$B,2,0)),"")</f>
        <v/>
      </c>
      <c r="C1331" s="20">
        <f>IFERROR(IF(A1331="","",VLOOKUP(A1331,DATABASE!$A:$J,10,0)),"")</f>
        <v/>
      </c>
      <c r="D1331" s="28">
        <f>IF(A1331="","",TODAY())</f>
        <v/>
      </c>
      <c r="E1331" s="29" t="n"/>
      <c r="F1331" s="20">
        <f>IFERROR(IF(OR(A1331="",E1331=""),"",C1331-E1331),"")</f>
        <v/>
      </c>
      <c r="G1331" s="30" t="n"/>
      <c r="H1331" s="27" t="n"/>
    </row>
    <row r="1332" ht="20" customHeight="1">
      <c r="A1332" s="26" t="n"/>
      <c r="B1332" s="35">
        <f>IFERROR(IF(A1332="","",VLOOKUP(A1332,DATABASE!$A:$B,2,0)),"")</f>
        <v/>
      </c>
      <c r="C1332" s="36">
        <f>IFERROR(IF(A1332="","",VLOOKUP(A1332,DATABASE!$A:$J,10,0)),"")</f>
        <v/>
      </c>
      <c r="D1332" s="37">
        <f>IF(A1332="","",TODAY())</f>
        <v/>
      </c>
      <c r="E1332" s="29" t="n"/>
      <c r="F1332" s="36">
        <f>IFERROR(IF(OR(A1332="",E1332=""),"",C1332-E1332),"")</f>
        <v/>
      </c>
      <c r="G1332" s="30" t="n"/>
      <c r="H1332" s="35" t="n"/>
    </row>
    <row r="1333" ht="20" customHeight="1">
      <c r="A1333" s="26" t="n"/>
      <c r="B1333" s="27">
        <f>IFERROR(IF(A1333="","",VLOOKUP(A1333,DATABASE!$A:$B,2,0)),"")</f>
        <v/>
      </c>
      <c r="C1333" s="20">
        <f>IFERROR(IF(A1333="","",VLOOKUP(A1333,DATABASE!$A:$J,10,0)),"")</f>
        <v/>
      </c>
      <c r="D1333" s="28">
        <f>IF(A1333="","",TODAY())</f>
        <v/>
      </c>
      <c r="E1333" s="29" t="n"/>
      <c r="F1333" s="20">
        <f>IFERROR(IF(OR(A1333="",E1333=""),"",C1333-E1333),"")</f>
        <v/>
      </c>
      <c r="G1333" s="30" t="n"/>
      <c r="H1333" s="27" t="n"/>
    </row>
    <row r="1334" ht="20" customHeight="1">
      <c r="A1334" s="26" t="n"/>
      <c r="B1334" s="35">
        <f>IFERROR(IF(A1334="","",VLOOKUP(A1334,DATABASE!$A:$B,2,0)),"")</f>
        <v/>
      </c>
      <c r="C1334" s="36">
        <f>IFERROR(IF(A1334="","",VLOOKUP(A1334,DATABASE!$A:$J,10,0)),"")</f>
        <v/>
      </c>
      <c r="D1334" s="37">
        <f>IF(A1334="","",TODAY())</f>
        <v/>
      </c>
      <c r="E1334" s="29" t="n"/>
      <c r="F1334" s="36">
        <f>IFERROR(IF(OR(A1334="",E1334=""),"",C1334-E1334),"")</f>
        <v/>
      </c>
      <c r="G1334" s="30" t="n"/>
      <c r="H1334" s="35" t="n"/>
    </row>
    <row r="1335" ht="20" customHeight="1">
      <c r="A1335" s="26" t="n"/>
      <c r="B1335" s="27">
        <f>IFERROR(IF(A1335="","",VLOOKUP(A1335,DATABASE!$A:$B,2,0)),"")</f>
        <v/>
      </c>
      <c r="C1335" s="20">
        <f>IFERROR(IF(A1335="","",VLOOKUP(A1335,DATABASE!$A:$J,10,0)),"")</f>
        <v/>
      </c>
      <c r="D1335" s="28">
        <f>IF(A1335="","",TODAY())</f>
        <v/>
      </c>
      <c r="E1335" s="29" t="n"/>
      <c r="F1335" s="20">
        <f>IFERROR(IF(OR(A1335="",E1335=""),"",C1335-E1335),"")</f>
        <v/>
      </c>
      <c r="G1335" s="30" t="n"/>
      <c r="H1335" s="27" t="n"/>
    </row>
    <row r="1336" ht="20" customHeight="1">
      <c r="A1336" s="26" t="n"/>
      <c r="B1336" s="35">
        <f>IFERROR(IF(A1336="","",VLOOKUP(A1336,DATABASE!$A:$B,2,0)),"")</f>
        <v/>
      </c>
      <c r="C1336" s="36">
        <f>IFERROR(IF(A1336="","",VLOOKUP(A1336,DATABASE!$A:$J,10,0)),"")</f>
        <v/>
      </c>
      <c r="D1336" s="37">
        <f>IF(A1336="","",TODAY())</f>
        <v/>
      </c>
      <c r="E1336" s="29" t="n"/>
      <c r="F1336" s="36">
        <f>IFERROR(IF(OR(A1336="",E1336=""),"",C1336-E1336),"")</f>
        <v/>
      </c>
      <c r="G1336" s="30" t="n"/>
      <c r="H1336" s="35" t="n"/>
    </row>
    <row r="1337" ht="20" customHeight="1">
      <c r="A1337" s="26" t="n"/>
      <c r="B1337" s="27">
        <f>IFERROR(IF(A1337="","",VLOOKUP(A1337,DATABASE!$A:$B,2,0)),"")</f>
        <v/>
      </c>
      <c r="C1337" s="20">
        <f>IFERROR(IF(A1337="","",VLOOKUP(A1337,DATABASE!$A:$J,10,0)),"")</f>
        <v/>
      </c>
      <c r="D1337" s="28">
        <f>IF(A1337="","",TODAY())</f>
        <v/>
      </c>
      <c r="E1337" s="29" t="n"/>
      <c r="F1337" s="20">
        <f>IFERROR(IF(OR(A1337="",E1337=""),"",C1337-E1337),"")</f>
        <v/>
      </c>
      <c r="G1337" s="30" t="n"/>
      <c r="H1337" s="27" t="n"/>
    </row>
    <row r="1338" ht="20" customHeight="1">
      <c r="A1338" s="26" t="n"/>
      <c r="B1338" s="35">
        <f>IFERROR(IF(A1338="","",VLOOKUP(A1338,DATABASE!$A:$B,2,0)),"")</f>
        <v/>
      </c>
      <c r="C1338" s="36">
        <f>IFERROR(IF(A1338="","",VLOOKUP(A1338,DATABASE!$A:$J,10,0)),"")</f>
        <v/>
      </c>
      <c r="D1338" s="37">
        <f>IF(A1338="","",TODAY())</f>
        <v/>
      </c>
      <c r="E1338" s="29" t="n"/>
      <c r="F1338" s="36">
        <f>IFERROR(IF(OR(A1338="",E1338=""),"",C1338-E1338),"")</f>
        <v/>
      </c>
      <c r="G1338" s="30" t="n"/>
      <c r="H1338" s="35" t="n"/>
    </row>
    <row r="1339" ht="20" customHeight="1">
      <c r="A1339" s="26" t="n"/>
      <c r="B1339" s="27">
        <f>IFERROR(IF(A1339="","",VLOOKUP(A1339,DATABASE!$A:$B,2,0)),"")</f>
        <v/>
      </c>
      <c r="C1339" s="20">
        <f>IFERROR(IF(A1339="","",VLOOKUP(A1339,DATABASE!$A:$J,10,0)),"")</f>
        <v/>
      </c>
      <c r="D1339" s="28">
        <f>IF(A1339="","",TODAY())</f>
        <v/>
      </c>
      <c r="E1339" s="29" t="n"/>
      <c r="F1339" s="20">
        <f>IFERROR(IF(OR(A1339="",E1339=""),"",C1339-E1339),"")</f>
        <v/>
      </c>
      <c r="G1339" s="30" t="n"/>
      <c r="H1339" s="27" t="n"/>
    </row>
    <row r="1340" ht="20" customHeight="1">
      <c r="A1340" s="26" t="n"/>
      <c r="B1340" s="35">
        <f>IFERROR(IF(A1340="","",VLOOKUP(A1340,DATABASE!$A:$B,2,0)),"")</f>
        <v/>
      </c>
      <c r="C1340" s="36">
        <f>IFERROR(IF(A1340="","",VLOOKUP(A1340,DATABASE!$A:$J,10,0)),"")</f>
        <v/>
      </c>
      <c r="D1340" s="37">
        <f>IF(A1340="","",TODAY())</f>
        <v/>
      </c>
      <c r="E1340" s="29" t="n"/>
      <c r="F1340" s="36">
        <f>IFERROR(IF(OR(A1340="",E1340=""),"",C1340-E1340),"")</f>
        <v/>
      </c>
      <c r="G1340" s="30" t="n"/>
      <c r="H1340" s="35" t="n"/>
    </row>
    <row r="1341" ht="20" customHeight="1">
      <c r="A1341" s="26" t="n"/>
      <c r="B1341" s="27">
        <f>IFERROR(IF(A1341="","",VLOOKUP(A1341,DATABASE!$A:$B,2,0)),"")</f>
        <v/>
      </c>
      <c r="C1341" s="20">
        <f>IFERROR(IF(A1341="","",VLOOKUP(A1341,DATABASE!$A:$J,10,0)),"")</f>
        <v/>
      </c>
      <c r="D1341" s="28">
        <f>IF(A1341="","",TODAY())</f>
        <v/>
      </c>
      <c r="E1341" s="29" t="n"/>
      <c r="F1341" s="20">
        <f>IFERROR(IF(OR(A1341="",E1341=""),"",C1341-E1341),"")</f>
        <v/>
      </c>
      <c r="G1341" s="30" t="n"/>
      <c r="H1341" s="27" t="n"/>
    </row>
    <row r="1342" ht="20" customHeight="1">
      <c r="A1342" s="26" t="n"/>
      <c r="B1342" s="35">
        <f>IFERROR(IF(A1342="","",VLOOKUP(A1342,DATABASE!$A:$B,2,0)),"")</f>
        <v/>
      </c>
      <c r="C1342" s="36">
        <f>IFERROR(IF(A1342="","",VLOOKUP(A1342,DATABASE!$A:$J,10,0)),"")</f>
        <v/>
      </c>
      <c r="D1342" s="37">
        <f>IF(A1342="","",TODAY())</f>
        <v/>
      </c>
      <c r="E1342" s="29" t="n"/>
      <c r="F1342" s="36">
        <f>IFERROR(IF(OR(A1342="",E1342=""),"",C1342-E1342),"")</f>
        <v/>
      </c>
      <c r="G1342" s="30" t="n"/>
      <c r="H1342" s="35" t="n"/>
    </row>
    <row r="1343" ht="20" customHeight="1">
      <c r="A1343" s="26" t="n"/>
      <c r="B1343" s="27">
        <f>IFERROR(IF(A1343="","",VLOOKUP(A1343,DATABASE!$A:$B,2,0)),"")</f>
        <v/>
      </c>
      <c r="C1343" s="20">
        <f>IFERROR(IF(A1343="","",VLOOKUP(A1343,DATABASE!$A:$J,10,0)),"")</f>
        <v/>
      </c>
      <c r="D1343" s="28">
        <f>IF(A1343="","",TODAY())</f>
        <v/>
      </c>
      <c r="E1343" s="29" t="n"/>
      <c r="F1343" s="20">
        <f>IFERROR(IF(OR(A1343="",E1343=""),"",C1343-E1343),"")</f>
        <v/>
      </c>
      <c r="G1343" s="30" t="n"/>
      <c r="H1343" s="27" t="n"/>
    </row>
    <row r="1344" ht="20" customHeight="1">
      <c r="A1344" s="26" t="n"/>
      <c r="B1344" s="35">
        <f>IFERROR(IF(A1344="","",VLOOKUP(A1344,DATABASE!$A:$B,2,0)),"")</f>
        <v/>
      </c>
      <c r="C1344" s="36">
        <f>IFERROR(IF(A1344="","",VLOOKUP(A1344,DATABASE!$A:$J,10,0)),"")</f>
        <v/>
      </c>
      <c r="D1344" s="37">
        <f>IF(A1344="","",TODAY())</f>
        <v/>
      </c>
      <c r="E1344" s="29" t="n"/>
      <c r="F1344" s="36">
        <f>IFERROR(IF(OR(A1344="",E1344=""),"",C1344-E1344),"")</f>
        <v/>
      </c>
      <c r="G1344" s="30" t="n"/>
      <c r="H1344" s="35" t="n"/>
    </row>
    <row r="1345" ht="20" customHeight="1">
      <c r="A1345" s="26" t="n"/>
      <c r="B1345" s="27">
        <f>IFERROR(IF(A1345="","",VLOOKUP(A1345,DATABASE!$A:$B,2,0)),"")</f>
        <v/>
      </c>
      <c r="C1345" s="20">
        <f>IFERROR(IF(A1345="","",VLOOKUP(A1345,DATABASE!$A:$J,10,0)),"")</f>
        <v/>
      </c>
      <c r="D1345" s="28">
        <f>IF(A1345="","",TODAY())</f>
        <v/>
      </c>
      <c r="E1345" s="29" t="n"/>
      <c r="F1345" s="20">
        <f>IFERROR(IF(OR(A1345="",E1345=""),"",C1345-E1345),"")</f>
        <v/>
      </c>
      <c r="G1345" s="30" t="n"/>
      <c r="H1345" s="27" t="n"/>
    </row>
    <row r="1346" ht="20" customHeight="1">
      <c r="A1346" s="26" t="n"/>
      <c r="B1346" s="35">
        <f>IFERROR(IF(A1346="","",VLOOKUP(A1346,DATABASE!$A:$B,2,0)),"")</f>
        <v/>
      </c>
      <c r="C1346" s="36">
        <f>IFERROR(IF(A1346="","",VLOOKUP(A1346,DATABASE!$A:$J,10,0)),"")</f>
        <v/>
      </c>
      <c r="D1346" s="37">
        <f>IF(A1346="","",TODAY())</f>
        <v/>
      </c>
      <c r="E1346" s="29" t="n"/>
      <c r="F1346" s="36">
        <f>IFERROR(IF(OR(A1346="",E1346=""),"",C1346-E1346),"")</f>
        <v/>
      </c>
      <c r="G1346" s="30" t="n"/>
      <c r="H1346" s="35" t="n"/>
    </row>
    <row r="1347" ht="20" customHeight="1">
      <c r="A1347" s="26" t="n"/>
      <c r="B1347" s="27">
        <f>IFERROR(IF(A1347="","",VLOOKUP(A1347,DATABASE!$A:$B,2,0)),"")</f>
        <v/>
      </c>
      <c r="C1347" s="20">
        <f>IFERROR(IF(A1347="","",VLOOKUP(A1347,DATABASE!$A:$J,10,0)),"")</f>
        <v/>
      </c>
      <c r="D1347" s="28">
        <f>IF(A1347="","",TODAY())</f>
        <v/>
      </c>
      <c r="E1347" s="29" t="n"/>
      <c r="F1347" s="20">
        <f>IFERROR(IF(OR(A1347="",E1347=""),"",C1347-E1347),"")</f>
        <v/>
      </c>
      <c r="G1347" s="30" t="n"/>
      <c r="H1347" s="27" t="n"/>
    </row>
    <row r="1348" ht="20" customHeight="1">
      <c r="A1348" s="26" t="n"/>
      <c r="B1348" s="35">
        <f>IFERROR(IF(A1348="","",VLOOKUP(A1348,DATABASE!$A:$B,2,0)),"")</f>
        <v/>
      </c>
      <c r="C1348" s="36">
        <f>IFERROR(IF(A1348="","",VLOOKUP(A1348,DATABASE!$A:$J,10,0)),"")</f>
        <v/>
      </c>
      <c r="D1348" s="37">
        <f>IF(A1348="","",TODAY())</f>
        <v/>
      </c>
      <c r="E1348" s="29" t="n"/>
      <c r="F1348" s="36">
        <f>IFERROR(IF(OR(A1348="",E1348=""),"",C1348-E1348),"")</f>
        <v/>
      </c>
      <c r="G1348" s="30" t="n"/>
      <c r="H1348" s="35" t="n"/>
    </row>
    <row r="1349" ht="20" customHeight="1">
      <c r="A1349" s="26" t="n"/>
      <c r="B1349" s="27">
        <f>IFERROR(IF(A1349="","",VLOOKUP(A1349,DATABASE!$A:$B,2,0)),"")</f>
        <v/>
      </c>
      <c r="C1349" s="20">
        <f>IFERROR(IF(A1349="","",VLOOKUP(A1349,DATABASE!$A:$J,10,0)),"")</f>
        <v/>
      </c>
      <c r="D1349" s="28">
        <f>IF(A1349="","",TODAY())</f>
        <v/>
      </c>
      <c r="E1349" s="29" t="n"/>
      <c r="F1349" s="20">
        <f>IFERROR(IF(OR(A1349="",E1349=""),"",C1349-E1349),"")</f>
        <v/>
      </c>
      <c r="G1349" s="30" t="n"/>
      <c r="H1349" s="27" t="n"/>
    </row>
    <row r="1350" ht="20" customHeight="1">
      <c r="A1350" s="26" t="n"/>
      <c r="B1350" s="35">
        <f>IFERROR(IF(A1350="","",VLOOKUP(A1350,DATABASE!$A:$B,2,0)),"")</f>
        <v/>
      </c>
      <c r="C1350" s="36">
        <f>IFERROR(IF(A1350="","",VLOOKUP(A1350,DATABASE!$A:$J,10,0)),"")</f>
        <v/>
      </c>
      <c r="D1350" s="37">
        <f>IF(A1350="","",TODAY())</f>
        <v/>
      </c>
      <c r="E1350" s="29" t="n"/>
      <c r="F1350" s="36">
        <f>IFERROR(IF(OR(A1350="",E1350=""),"",C1350-E1350),"")</f>
        <v/>
      </c>
      <c r="G1350" s="30" t="n"/>
      <c r="H1350" s="35" t="n"/>
    </row>
    <row r="1351" ht="20" customHeight="1">
      <c r="A1351" s="26" t="n"/>
      <c r="B1351" s="27">
        <f>IFERROR(IF(A1351="","",VLOOKUP(A1351,DATABASE!$A:$B,2,0)),"")</f>
        <v/>
      </c>
      <c r="C1351" s="20">
        <f>IFERROR(IF(A1351="","",VLOOKUP(A1351,DATABASE!$A:$J,10,0)),"")</f>
        <v/>
      </c>
      <c r="D1351" s="28">
        <f>IF(A1351="","",TODAY())</f>
        <v/>
      </c>
      <c r="E1351" s="29" t="n"/>
      <c r="F1351" s="20">
        <f>IFERROR(IF(OR(A1351="",E1351=""),"",C1351-E1351),"")</f>
        <v/>
      </c>
      <c r="G1351" s="30" t="n"/>
      <c r="H1351" s="27" t="n"/>
    </row>
    <row r="1352" ht="20" customHeight="1">
      <c r="A1352" s="26" t="n"/>
      <c r="B1352" s="35">
        <f>IFERROR(IF(A1352="","",VLOOKUP(A1352,DATABASE!$A:$B,2,0)),"")</f>
        <v/>
      </c>
      <c r="C1352" s="36">
        <f>IFERROR(IF(A1352="","",VLOOKUP(A1352,DATABASE!$A:$J,10,0)),"")</f>
        <v/>
      </c>
      <c r="D1352" s="37">
        <f>IF(A1352="","",TODAY())</f>
        <v/>
      </c>
      <c r="E1352" s="29" t="n"/>
      <c r="F1352" s="36">
        <f>IFERROR(IF(OR(A1352="",E1352=""),"",C1352-E1352),"")</f>
        <v/>
      </c>
      <c r="G1352" s="30" t="n"/>
      <c r="H1352" s="35" t="n"/>
    </row>
    <row r="1353" ht="20" customHeight="1">
      <c r="A1353" s="26" t="n"/>
      <c r="B1353" s="27">
        <f>IFERROR(IF(A1353="","",VLOOKUP(A1353,DATABASE!$A:$B,2,0)),"")</f>
        <v/>
      </c>
      <c r="C1353" s="20">
        <f>IFERROR(IF(A1353="","",VLOOKUP(A1353,DATABASE!$A:$J,10,0)),"")</f>
        <v/>
      </c>
      <c r="D1353" s="28">
        <f>IF(A1353="","",TODAY())</f>
        <v/>
      </c>
      <c r="E1353" s="29" t="n"/>
      <c r="F1353" s="20">
        <f>IFERROR(IF(OR(A1353="",E1353=""),"",C1353-E1353),"")</f>
        <v/>
      </c>
      <c r="G1353" s="30" t="n"/>
      <c r="H1353" s="27" t="n"/>
    </row>
    <row r="1354" ht="20" customHeight="1">
      <c r="A1354" s="26" t="n"/>
      <c r="B1354" s="35">
        <f>IFERROR(IF(A1354="","",VLOOKUP(A1354,DATABASE!$A:$B,2,0)),"")</f>
        <v/>
      </c>
      <c r="C1354" s="36">
        <f>IFERROR(IF(A1354="","",VLOOKUP(A1354,DATABASE!$A:$J,10,0)),"")</f>
        <v/>
      </c>
      <c r="D1354" s="37">
        <f>IF(A1354="","",TODAY())</f>
        <v/>
      </c>
      <c r="E1354" s="29" t="n"/>
      <c r="F1354" s="36">
        <f>IFERROR(IF(OR(A1354="",E1354=""),"",C1354-E1354),"")</f>
        <v/>
      </c>
      <c r="G1354" s="30" t="n"/>
      <c r="H1354" s="35" t="n"/>
    </row>
    <row r="1355" ht="20" customHeight="1">
      <c r="A1355" s="26" t="n"/>
      <c r="B1355" s="27">
        <f>IFERROR(IF(A1355="","",VLOOKUP(A1355,DATABASE!$A:$B,2,0)),"")</f>
        <v/>
      </c>
      <c r="C1355" s="20">
        <f>IFERROR(IF(A1355="","",VLOOKUP(A1355,DATABASE!$A:$J,10,0)),"")</f>
        <v/>
      </c>
      <c r="D1355" s="28">
        <f>IF(A1355="","",TODAY())</f>
        <v/>
      </c>
      <c r="E1355" s="29" t="n"/>
      <c r="F1355" s="20">
        <f>IFERROR(IF(OR(A1355="",E1355=""),"",C1355-E1355),"")</f>
        <v/>
      </c>
      <c r="G1355" s="30" t="n"/>
      <c r="H1355" s="27" t="n"/>
    </row>
    <row r="1356" ht="20" customHeight="1">
      <c r="A1356" s="26" t="n"/>
      <c r="B1356" s="35">
        <f>IFERROR(IF(A1356="","",VLOOKUP(A1356,DATABASE!$A:$B,2,0)),"")</f>
        <v/>
      </c>
      <c r="C1356" s="36">
        <f>IFERROR(IF(A1356="","",VLOOKUP(A1356,DATABASE!$A:$J,10,0)),"")</f>
        <v/>
      </c>
      <c r="D1356" s="37">
        <f>IF(A1356="","",TODAY())</f>
        <v/>
      </c>
      <c r="E1356" s="29" t="n"/>
      <c r="F1356" s="36">
        <f>IFERROR(IF(OR(A1356="",E1356=""),"",C1356-E1356),"")</f>
        <v/>
      </c>
      <c r="G1356" s="30" t="n"/>
      <c r="H1356" s="35" t="n"/>
    </row>
    <row r="1357" ht="20" customHeight="1">
      <c r="A1357" s="26" t="n"/>
      <c r="B1357" s="27">
        <f>IFERROR(IF(A1357="","",VLOOKUP(A1357,DATABASE!$A:$B,2,0)),"")</f>
        <v/>
      </c>
      <c r="C1357" s="20">
        <f>IFERROR(IF(A1357="","",VLOOKUP(A1357,DATABASE!$A:$J,10,0)),"")</f>
        <v/>
      </c>
      <c r="D1357" s="28">
        <f>IF(A1357="","",TODAY())</f>
        <v/>
      </c>
      <c r="E1357" s="29" t="n"/>
      <c r="F1357" s="20">
        <f>IFERROR(IF(OR(A1357="",E1357=""),"",C1357-E1357),"")</f>
        <v/>
      </c>
      <c r="G1357" s="30" t="n"/>
      <c r="H1357" s="27" t="n"/>
    </row>
    <row r="1358" ht="20" customHeight="1">
      <c r="A1358" s="26" t="n"/>
      <c r="B1358" s="35">
        <f>IFERROR(IF(A1358="","",VLOOKUP(A1358,DATABASE!$A:$B,2,0)),"")</f>
        <v/>
      </c>
      <c r="C1358" s="36">
        <f>IFERROR(IF(A1358="","",VLOOKUP(A1358,DATABASE!$A:$J,10,0)),"")</f>
        <v/>
      </c>
      <c r="D1358" s="37">
        <f>IF(A1358="","",TODAY())</f>
        <v/>
      </c>
      <c r="E1358" s="29" t="n"/>
      <c r="F1358" s="36">
        <f>IFERROR(IF(OR(A1358="",E1358=""),"",C1358-E1358),"")</f>
        <v/>
      </c>
      <c r="G1358" s="30" t="n"/>
      <c r="H1358" s="35" t="n"/>
    </row>
    <row r="1359" ht="20" customHeight="1">
      <c r="A1359" s="26" t="n"/>
      <c r="B1359" s="27">
        <f>IFERROR(IF(A1359="","",VLOOKUP(A1359,DATABASE!$A:$B,2,0)),"")</f>
        <v/>
      </c>
      <c r="C1359" s="20">
        <f>IFERROR(IF(A1359="","",VLOOKUP(A1359,DATABASE!$A:$J,10,0)),"")</f>
        <v/>
      </c>
      <c r="D1359" s="28">
        <f>IF(A1359="","",TODAY())</f>
        <v/>
      </c>
      <c r="E1359" s="29" t="n"/>
      <c r="F1359" s="20">
        <f>IFERROR(IF(OR(A1359="",E1359=""),"",C1359-E1359),"")</f>
        <v/>
      </c>
      <c r="G1359" s="30" t="n"/>
      <c r="H1359" s="27" t="n"/>
    </row>
    <row r="1360" ht="20" customHeight="1">
      <c r="A1360" s="26" t="n"/>
      <c r="B1360" s="35">
        <f>IFERROR(IF(A1360="","",VLOOKUP(A1360,DATABASE!$A:$B,2,0)),"")</f>
        <v/>
      </c>
      <c r="C1360" s="36">
        <f>IFERROR(IF(A1360="","",VLOOKUP(A1360,DATABASE!$A:$J,10,0)),"")</f>
        <v/>
      </c>
      <c r="D1360" s="37">
        <f>IF(A1360="","",TODAY())</f>
        <v/>
      </c>
      <c r="E1360" s="29" t="n"/>
      <c r="F1360" s="36">
        <f>IFERROR(IF(OR(A1360="",E1360=""),"",C1360-E1360),"")</f>
        <v/>
      </c>
      <c r="G1360" s="30" t="n"/>
      <c r="H1360" s="35" t="n"/>
    </row>
    <row r="1361" ht="20" customHeight="1">
      <c r="A1361" s="26" t="n"/>
      <c r="B1361" s="27">
        <f>IFERROR(IF(A1361="","",VLOOKUP(A1361,DATABASE!$A:$B,2,0)),"")</f>
        <v/>
      </c>
      <c r="C1361" s="20">
        <f>IFERROR(IF(A1361="","",VLOOKUP(A1361,DATABASE!$A:$J,10,0)),"")</f>
        <v/>
      </c>
      <c r="D1361" s="28">
        <f>IF(A1361="","",TODAY())</f>
        <v/>
      </c>
      <c r="E1361" s="29" t="n"/>
      <c r="F1361" s="20">
        <f>IFERROR(IF(OR(A1361="",E1361=""),"",C1361-E1361),"")</f>
        <v/>
      </c>
      <c r="G1361" s="30" t="n"/>
      <c r="H1361" s="27" t="n"/>
    </row>
    <row r="1362" ht="20" customHeight="1">
      <c r="A1362" s="26" t="n"/>
      <c r="B1362" s="35">
        <f>IFERROR(IF(A1362="","",VLOOKUP(A1362,DATABASE!$A:$B,2,0)),"")</f>
        <v/>
      </c>
      <c r="C1362" s="36">
        <f>IFERROR(IF(A1362="","",VLOOKUP(A1362,DATABASE!$A:$J,10,0)),"")</f>
        <v/>
      </c>
      <c r="D1362" s="37">
        <f>IF(A1362="","",TODAY())</f>
        <v/>
      </c>
      <c r="E1362" s="29" t="n"/>
      <c r="F1362" s="36">
        <f>IFERROR(IF(OR(A1362="",E1362=""),"",C1362-E1362),"")</f>
        <v/>
      </c>
      <c r="G1362" s="30" t="n"/>
      <c r="H1362" s="35" t="n"/>
    </row>
    <row r="1363" ht="20" customHeight="1">
      <c r="A1363" s="26" t="n"/>
      <c r="B1363" s="27">
        <f>IFERROR(IF(A1363="","",VLOOKUP(A1363,DATABASE!$A:$B,2,0)),"")</f>
        <v/>
      </c>
      <c r="C1363" s="20">
        <f>IFERROR(IF(A1363="","",VLOOKUP(A1363,DATABASE!$A:$J,10,0)),"")</f>
        <v/>
      </c>
      <c r="D1363" s="28">
        <f>IF(A1363="","",TODAY())</f>
        <v/>
      </c>
      <c r="E1363" s="29" t="n"/>
      <c r="F1363" s="20">
        <f>IFERROR(IF(OR(A1363="",E1363=""),"",C1363-E1363),"")</f>
        <v/>
      </c>
      <c r="G1363" s="30" t="n"/>
      <c r="H1363" s="27" t="n"/>
    </row>
    <row r="1364" ht="20" customHeight="1">
      <c r="A1364" s="26" t="n"/>
      <c r="B1364" s="35">
        <f>IFERROR(IF(A1364="","",VLOOKUP(A1364,DATABASE!$A:$B,2,0)),"")</f>
        <v/>
      </c>
      <c r="C1364" s="36">
        <f>IFERROR(IF(A1364="","",VLOOKUP(A1364,DATABASE!$A:$J,10,0)),"")</f>
        <v/>
      </c>
      <c r="D1364" s="37">
        <f>IF(A1364="","",TODAY())</f>
        <v/>
      </c>
      <c r="E1364" s="29" t="n"/>
      <c r="F1364" s="36">
        <f>IFERROR(IF(OR(A1364="",E1364=""),"",C1364-E1364),"")</f>
        <v/>
      </c>
      <c r="G1364" s="30" t="n"/>
      <c r="H1364" s="35" t="n"/>
    </row>
    <row r="1365" ht="20" customHeight="1">
      <c r="A1365" s="26" t="n"/>
      <c r="B1365" s="27">
        <f>IFERROR(IF(A1365="","",VLOOKUP(A1365,DATABASE!$A:$B,2,0)),"")</f>
        <v/>
      </c>
      <c r="C1365" s="20">
        <f>IFERROR(IF(A1365="","",VLOOKUP(A1365,DATABASE!$A:$J,10,0)),"")</f>
        <v/>
      </c>
      <c r="D1365" s="28">
        <f>IF(A1365="","",TODAY())</f>
        <v/>
      </c>
      <c r="E1365" s="29" t="n"/>
      <c r="F1365" s="20">
        <f>IFERROR(IF(OR(A1365="",E1365=""),"",C1365-E1365),"")</f>
        <v/>
      </c>
      <c r="G1365" s="30" t="n"/>
      <c r="H1365" s="27" t="n"/>
    </row>
    <row r="1366" ht="20" customHeight="1">
      <c r="A1366" s="26" t="n"/>
      <c r="B1366" s="35">
        <f>IFERROR(IF(A1366="","",VLOOKUP(A1366,DATABASE!$A:$B,2,0)),"")</f>
        <v/>
      </c>
      <c r="C1366" s="36">
        <f>IFERROR(IF(A1366="","",VLOOKUP(A1366,DATABASE!$A:$J,10,0)),"")</f>
        <v/>
      </c>
      <c r="D1366" s="37">
        <f>IF(A1366="","",TODAY())</f>
        <v/>
      </c>
      <c r="E1366" s="29" t="n"/>
      <c r="F1366" s="36">
        <f>IFERROR(IF(OR(A1366="",E1366=""),"",C1366-E1366),"")</f>
        <v/>
      </c>
      <c r="G1366" s="30" t="n"/>
      <c r="H1366" s="35" t="n"/>
    </row>
    <row r="1367" ht="20" customHeight="1">
      <c r="A1367" s="26" t="n"/>
      <c r="B1367" s="27">
        <f>IFERROR(IF(A1367="","",VLOOKUP(A1367,DATABASE!$A:$B,2,0)),"")</f>
        <v/>
      </c>
      <c r="C1367" s="20">
        <f>IFERROR(IF(A1367="","",VLOOKUP(A1367,DATABASE!$A:$J,10,0)),"")</f>
        <v/>
      </c>
      <c r="D1367" s="28">
        <f>IF(A1367="","",TODAY())</f>
        <v/>
      </c>
      <c r="E1367" s="29" t="n"/>
      <c r="F1367" s="20">
        <f>IFERROR(IF(OR(A1367="",E1367=""),"",C1367-E1367),"")</f>
        <v/>
      </c>
      <c r="G1367" s="30" t="n"/>
      <c r="H1367" s="27" t="n"/>
    </row>
    <row r="1368" ht="20" customHeight="1">
      <c r="A1368" s="26" t="n"/>
      <c r="B1368" s="35">
        <f>IFERROR(IF(A1368="","",VLOOKUP(A1368,DATABASE!$A:$B,2,0)),"")</f>
        <v/>
      </c>
      <c r="C1368" s="36">
        <f>IFERROR(IF(A1368="","",VLOOKUP(A1368,DATABASE!$A:$J,10,0)),"")</f>
        <v/>
      </c>
      <c r="D1368" s="37">
        <f>IF(A1368="","",TODAY())</f>
        <v/>
      </c>
      <c r="E1368" s="29" t="n"/>
      <c r="F1368" s="36">
        <f>IFERROR(IF(OR(A1368="",E1368=""),"",C1368-E1368),"")</f>
        <v/>
      </c>
      <c r="G1368" s="30" t="n"/>
      <c r="H1368" s="35" t="n"/>
    </row>
    <row r="1369" ht="20" customHeight="1">
      <c r="A1369" s="26" t="n"/>
      <c r="B1369" s="27">
        <f>IFERROR(IF(A1369="","",VLOOKUP(A1369,DATABASE!$A:$B,2,0)),"")</f>
        <v/>
      </c>
      <c r="C1369" s="20">
        <f>IFERROR(IF(A1369="","",VLOOKUP(A1369,DATABASE!$A:$J,10,0)),"")</f>
        <v/>
      </c>
      <c r="D1369" s="28">
        <f>IF(A1369="","",TODAY())</f>
        <v/>
      </c>
      <c r="E1369" s="29" t="n"/>
      <c r="F1369" s="20">
        <f>IFERROR(IF(OR(A1369="",E1369=""),"",C1369-E1369),"")</f>
        <v/>
      </c>
      <c r="G1369" s="30" t="n"/>
      <c r="H1369" s="27" t="n"/>
    </row>
    <row r="1370" ht="20" customHeight="1">
      <c r="A1370" s="26" t="n"/>
      <c r="B1370" s="35">
        <f>IFERROR(IF(A1370="","",VLOOKUP(A1370,DATABASE!$A:$B,2,0)),"")</f>
        <v/>
      </c>
      <c r="C1370" s="36">
        <f>IFERROR(IF(A1370="","",VLOOKUP(A1370,DATABASE!$A:$J,10,0)),"")</f>
        <v/>
      </c>
      <c r="D1370" s="37">
        <f>IF(A1370="","",TODAY())</f>
        <v/>
      </c>
      <c r="E1370" s="29" t="n"/>
      <c r="F1370" s="36">
        <f>IFERROR(IF(OR(A1370="",E1370=""),"",C1370-E1370),"")</f>
        <v/>
      </c>
      <c r="G1370" s="30" t="n"/>
      <c r="H1370" s="35" t="n"/>
    </row>
    <row r="1371" ht="20" customHeight="1">
      <c r="A1371" s="26" t="n"/>
      <c r="B1371" s="27">
        <f>IFERROR(IF(A1371="","",VLOOKUP(A1371,DATABASE!$A:$B,2,0)),"")</f>
        <v/>
      </c>
      <c r="C1371" s="20">
        <f>IFERROR(IF(A1371="","",VLOOKUP(A1371,DATABASE!$A:$J,10,0)),"")</f>
        <v/>
      </c>
      <c r="D1371" s="28">
        <f>IF(A1371="","",TODAY())</f>
        <v/>
      </c>
      <c r="E1371" s="29" t="n"/>
      <c r="F1371" s="20">
        <f>IFERROR(IF(OR(A1371="",E1371=""),"",C1371-E1371),"")</f>
        <v/>
      </c>
      <c r="G1371" s="30" t="n"/>
      <c r="H1371" s="27" t="n"/>
    </row>
    <row r="1372" ht="20" customHeight="1">
      <c r="A1372" s="26" t="n"/>
      <c r="B1372" s="35">
        <f>IFERROR(IF(A1372="","",VLOOKUP(A1372,DATABASE!$A:$B,2,0)),"")</f>
        <v/>
      </c>
      <c r="C1372" s="36">
        <f>IFERROR(IF(A1372="","",VLOOKUP(A1372,DATABASE!$A:$J,10,0)),"")</f>
        <v/>
      </c>
      <c r="D1372" s="37">
        <f>IF(A1372="","",TODAY())</f>
        <v/>
      </c>
      <c r="E1372" s="29" t="n"/>
      <c r="F1372" s="36">
        <f>IFERROR(IF(OR(A1372="",E1372=""),"",C1372-E1372),"")</f>
        <v/>
      </c>
      <c r="G1372" s="30" t="n"/>
      <c r="H1372" s="35" t="n"/>
    </row>
    <row r="1373" ht="20" customHeight="1">
      <c r="A1373" s="26" t="n"/>
      <c r="B1373" s="27">
        <f>IFERROR(IF(A1373="","",VLOOKUP(A1373,DATABASE!$A:$B,2,0)),"")</f>
        <v/>
      </c>
      <c r="C1373" s="20">
        <f>IFERROR(IF(A1373="","",VLOOKUP(A1373,DATABASE!$A:$J,10,0)),"")</f>
        <v/>
      </c>
      <c r="D1373" s="28">
        <f>IF(A1373="","",TODAY())</f>
        <v/>
      </c>
      <c r="E1373" s="29" t="n"/>
      <c r="F1373" s="20">
        <f>IFERROR(IF(OR(A1373="",E1373=""),"",C1373-E1373),"")</f>
        <v/>
      </c>
      <c r="G1373" s="30" t="n"/>
      <c r="H1373" s="27" t="n"/>
    </row>
    <row r="1374" ht="20" customHeight="1">
      <c r="A1374" s="26" t="n"/>
      <c r="B1374" s="35">
        <f>IFERROR(IF(A1374="","",VLOOKUP(A1374,DATABASE!$A:$B,2,0)),"")</f>
        <v/>
      </c>
      <c r="C1374" s="36">
        <f>IFERROR(IF(A1374="","",VLOOKUP(A1374,DATABASE!$A:$J,10,0)),"")</f>
        <v/>
      </c>
      <c r="D1374" s="37">
        <f>IF(A1374="","",TODAY())</f>
        <v/>
      </c>
      <c r="E1374" s="29" t="n"/>
      <c r="F1374" s="36">
        <f>IFERROR(IF(OR(A1374="",E1374=""),"",C1374-E1374),"")</f>
        <v/>
      </c>
      <c r="G1374" s="30" t="n"/>
      <c r="H1374" s="35" t="n"/>
    </row>
    <row r="1375" ht="20" customHeight="1">
      <c r="A1375" s="26" t="n"/>
      <c r="B1375" s="27">
        <f>IFERROR(IF(A1375="","",VLOOKUP(A1375,DATABASE!$A:$B,2,0)),"")</f>
        <v/>
      </c>
      <c r="C1375" s="20">
        <f>IFERROR(IF(A1375="","",VLOOKUP(A1375,DATABASE!$A:$J,10,0)),"")</f>
        <v/>
      </c>
      <c r="D1375" s="28">
        <f>IF(A1375="","",TODAY())</f>
        <v/>
      </c>
      <c r="E1375" s="29" t="n"/>
      <c r="F1375" s="20">
        <f>IFERROR(IF(OR(A1375="",E1375=""),"",C1375-E1375),"")</f>
        <v/>
      </c>
      <c r="G1375" s="30" t="n"/>
      <c r="H1375" s="27" t="n"/>
    </row>
    <row r="1376" ht="20" customHeight="1">
      <c r="A1376" s="26" t="n"/>
      <c r="B1376" s="35">
        <f>IFERROR(IF(A1376="","",VLOOKUP(A1376,DATABASE!$A:$B,2,0)),"")</f>
        <v/>
      </c>
      <c r="C1376" s="36">
        <f>IFERROR(IF(A1376="","",VLOOKUP(A1376,DATABASE!$A:$J,10,0)),"")</f>
        <v/>
      </c>
      <c r="D1376" s="37">
        <f>IF(A1376="","",TODAY())</f>
        <v/>
      </c>
      <c r="E1376" s="29" t="n"/>
      <c r="F1376" s="36">
        <f>IFERROR(IF(OR(A1376="",E1376=""),"",C1376-E1376),"")</f>
        <v/>
      </c>
      <c r="G1376" s="30" t="n"/>
      <c r="H1376" s="35" t="n"/>
    </row>
    <row r="1377" ht="20" customHeight="1">
      <c r="A1377" s="26" t="n"/>
      <c r="B1377" s="27">
        <f>IFERROR(IF(A1377="","",VLOOKUP(A1377,DATABASE!$A:$B,2,0)),"")</f>
        <v/>
      </c>
      <c r="C1377" s="20">
        <f>IFERROR(IF(A1377="","",VLOOKUP(A1377,DATABASE!$A:$J,10,0)),"")</f>
        <v/>
      </c>
      <c r="D1377" s="28">
        <f>IF(A1377="","",TODAY())</f>
        <v/>
      </c>
      <c r="E1377" s="29" t="n"/>
      <c r="F1377" s="20">
        <f>IFERROR(IF(OR(A1377="",E1377=""),"",C1377-E1377),"")</f>
        <v/>
      </c>
      <c r="G1377" s="30" t="n"/>
      <c r="H1377" s="27" t="n"/>
    </row>
    <row r="1378" ht="20" customHeight="1">
      <c r="A1378" s="26" t="n"/>
      <c r="B1378" s="35">
        <f>IFERROR(IF(A1378="","",VLOOKUP(A1378,DATABASE!$A:$B,2,0)),"")</f>
        <v/>
      </c>
      <c r="C1378" s="36">
        <f>IFERROR(IF(A1378="","",VLOOKUP(A1378,DATABASE!$A:$J,10,0)),"")</f>
        <v/>
      </c>
      <c r="D1378" s="37">
        <f>IF(A1378="","",TODAY())</f>
        <v/>
      </c>
      <c r="E1378" s="29" t="n"/>
      <c r="F1378" s="36">
        <f>IFERROR(IF(OR(A1378="",E1378=""),"",C1378-E1378),"")</f>
        <v/>
      </c>
      <c r="G1378" s="30" t="n"/>
      <c r="H1378" s="35" t="n"/>
    </row>
    <row r="1379" ht="20" customHeight="1">
      <c r="A1379" s="26" t="n"/>
      <c r="B1379" s="27">
        <f>IFERROR(IF(A1379="","",VLOOKUP(A1379,DATABASE!$A:$B,2,0)),"")</f>
        <v/>
      </c>
      <c r="C1379" s="20">
        <f>IFERROR(IF(A1379="","",VLOOKUP(A1379,DATABASE!$A:$J,10,0)),"")</f>
        <v/>
      </c>
      <c r="D1379" s="28">
        <f>IF(A1379="","",TODAY())</f>
        <v/>
      </c>
      <c r="E1379" s="29" t="n"/>
      <c r="F1379" s="20">
        <f>IFERROR(IF(OR(A1379="",E1379=""),"",C1379-E1379),"")</f>
        <v/>
      </c>
      <c r="G1379" s="30" t="n"/>
      <c r="H1379" s="27" t="n"/>
    </row>
    <row r="1380" ht="20" customHeight="1">
      <c r="A1380" s="26" t="n"/>
      <c r="B1380" s="35">
        <f>IFERROR(IF(A1380="","",VLOOKUP(A1380,DATABASE!$A:$B,2,0)),"")</f>
        <v/>
      </c>
      <c r="C1380" s="36">
        <f>IFERROR(IF(A1380="","",VLOOKUP(A1380,DATABASE!$A:$J,10,0)),"")</f>
        <v/>
      </c>
      <c r="D1380" s="37">
        <f>IF(A1380="","",TODAY())</f>
        <v/>
      </c>
      <c r="E1380" s="29" t="n"/>
      <c r="F1380" s="36">
        <f>IFERROR(IF(OR(A1380="",E1380=""),"",C1380-E1380),"")</f>
        <v/>
      </c>
      <c r="G1380" s="30" t="n"/>
      <c r="H1380" s="35" t="n"/>
    </row>
    <row r="1381" ht="20" customHeight="1">
      <c r="A1381" s="26" t="n"/>
      <c r="B1381" s="27">
        <f>IFERROR(IF(A1381="","",VLOOKUP(A1381,DATABASE!$A:$B,2,0)),"")</f>
        <v/>
      </c>
      <c r="C1381" s="20">
        <f>IFERROR(IF(A1381="","",VLOOKUP(A1381,DATABASE!$A:$J,10,0)),"")</f>
        <v/>
      </c>
      <c r="D1381" s="28">
        <f>IF(A1381="","",TODAY())</f>
        <v/>
      </c>
      <c r="E1381" s="29" t="n"/>
      <c r="F1381" s="20">
        <f>IFERROR(IF(OR(A1381="",E1381=""),"",C1381-E1381),"")</f>
        <v/>
      </c>
      <c r="G1381" s="30" t="n"/>
      <c r="H1381" s="27" t="n"/>
    </row>
    <row r="1382" ht="20" customHeight="1">
      <c r="A1382" s="26" t="n"/>
      <c r="B1382" s="35">
        <f>IFERROR(IF(A1382="","",VLOOKUP(A1382,DATABASE!$A:$B,2,0)),"")</f>
        <v/>
      </c>
      <c r="C1382" s="36">
        <f>IFERROR(IF(A1382="","",VLOOKUP(A1382,DATABASE!$A:$J,10,0)),"")</f>
        <v/>
      </c>
      <c r="D1382" s="37">
        <f>IF(A1382="","",TODAY())</f>
        <v/>
      </c>
      <c r="E1382" s="29" t="n"/>
      <c r="F1382" s="36">
        <f>IFERROR(IF(OR(A1382="",E1382=""),"",C1382-E1382),"")</f>
        <v/>
      </c>
      <c r="G1382" s="30" t="n"/>
      <c r="H1382" s="35" t="n"/>
    </row>
    <row r="1383" ht="20" customHeight="1">
      <c r="A1383" s="26" t="n"/>
      <c r="B1383" s="27">
        <f>IFERROR(IF(A1383="","",VLOOKUP(A1383,DATABASE!$A:$B,2,0)),"")</f>
        <v/>
      </c>
      <c r="C1383" s="20">
        <f>IFERROR(IF(A1383="","",VLOOKUP(A1383,DATABASE!$A:$J,10,0)),"")</f>
        <v/>
      </c>
      <c r="D1383" s="28">
        <f>IF(A1383="","",TODAY())</f>
        <v/>
      </c>
      <c r="E1383" s="29" t="n"/>
      <c r="F1383" s="20">
        <f>IFERROR(IF(OR(A1383="",E1383=""),"",C1383-E1383),"")</f>
        <v/>
      </c>
      <c r="G1383" s="30" t="n"/>
      <c r="H1383" s="27" t="n"/>
    </row>
    <row r="1384" ht="20" customHeight="1">
      <c r="A1384" s="26" t="n"/>
      <c r="B1384" s="35">
        <f>IFERROR(IF(A1384="","",VLOOKUP(A1384,DATABASE!$A:$B,2,0)),"")</f>
        <v/>
      </c>
      <c r="C1384" s="36">
        <f>IFERROR(IF(A1384="","",VLOOKUP(A1384,DATABASE!$A:$J,10,0)),"")</f>
        <v/>
      </c>
      <c r="D1384" s="37">
        <f>IF(A1384="","",TODAY())</f>
        <v/>
      </c>
      <c r="E1384" s="29" t="n"/>
      <c r="F1384" s="36">
        <f>IFERROR(IF(OR(A1384="",E1384=""),"",C1384-E1384),"")</f>
        <v/>
      </c>
      <c r="G1384" s="30" t="n"/>
      <c r="H1384" s="35" t="n"/>
    </row>
    <row r="1385" ht="20" customHeight="1">
      <c r="A1385" s="26" t="n"/>
      <c r="B1385" s="27">
        <f>IFERROR(IF(A1385="","",VLOOKUP(A1385,DATABASE!$A:$B,2,0)),"")</f>
        <v/>
      </c>
      <c r="C1385" s="20">
        <f>IFERROR(IF(A1385="","",VLOOKUP(A1385,DATABASE!$A:$J,10,0)),"")</f>
        <v/>
      </c>
      <c r="D1385" s="28">
        <f>IF(A1385="","",TODAY())</f>
        <v/>
      </c>
      <c r="E1385" s="29" t="n"/>
      <c r="F1385" s="20">
        <f>IFERROR(IF(OR(A1385="",E1385=""),"",C1385-E1385),"")</f>
        <v/>
      </c>
      <c r="G1385" s="30" t="n"/>
      <c r="H1385" s="27" t="n"/>
    </row>
    <row r="1386" ht="20" customHeight="1">
      <c r="A1386" s="26" t="n"/>
      <c r="B1386" s="35">
        <f>IFERROR(IF(A1386="","",VLOOKUP(A1386,DATABASE!$A:$B,2,0)),"")</f>
        <v/>
      </c>
      <c r="C1386" s="36">
        <f>IFERROR(IF(A1386="","",VLOOKUP(A1386,DATABASE!$A:$J,10,0)),"")</f>
        <v/>
      </c>
      <c r="D1386" s="37">
        <f>IF(A1386="","",TODAY())</f>
        <v/>
      </c>
      <c r="E1386" s="29" t="n"/>
      <c r="F1386" s="36">
        <f>IFERROR(IF(OR(A1386="",E1386=""),"",C1386-E1386),"")</f>
        <v/>
      </c>
      <c r="G1386" s="30" t="n"/>
      <c r="H1386" s="35" t="n"/>
    </row>
    <row r="1387" ht="20" customHeight="1">
      <c r="A1387" s="26" t="n"/>
      <c r="B1387" s="27">
        <f>IFERROR(IF(A1387="","",VLOOKUP(A1387,DATABASE!$A:$B,2,0)),"")</f>
        <v/>
      </c>
      <c r="C1387" s="20">
        <f>IFERROR(IF(A1387="","",VLOOKUP(A1387,DATABASE!$A:$J,10,0)),"")</f>
        <v/>
      </c>
      <c r="D1387" s="28">
        <f>IF(A1387="","",TODAY())</f>
        <v/>
      </c>
      <c r="E1387" s="29" t="n"/>
      <c r="F1387" s="20">
        <f>IFERROR(IF(OR(A1387="",E1387=""),"",C1387-E1387),"")</f>
        <v/>
      </c>
      <c r="G1387" s="30" t="n"/>
      <c r="H1387" s="27" t="n"/>
    </row>
    <row r="1388" ht="20" customHeight="1">
      <c r="A1388" s="26" t="n"/>
      <c r="B1388" s="35">
        <f>IFERROR(IF(A1388="","",VLOOKUP(A1388,DATABASE!$A:$B,2,0)),"")</f>
        <v/>
      </c>
      <c r="C1388" s="36">
        <f>IFERROR(IF(A1388="","",VLOOKUP(A1388,DATABASE!$A:$J,10,0)),"")</f>
        <v/>
      </c>
      <c r="D1388" s="37">
        <f>IF(A1388="","",TODAY())</f>
        <v/>
      </c>
      <c r="E1388" s="29" t="n"/>
      <c r="F1388" s="36">
        <f>IFERROR(IF(OR(A1388="",E1388=""),"",C1388-E1388),"")</f>
        <v/>
      </c>
      <c r="G1388" s="30" t="n"/>
      <c r="H1388" s="35" t="n"/>
    </row>
    <row r="1389" ht="20" customHeight="1">
      <c r="A1389" s="26" t="n"/>
      <c r="B1389" s="27">
        <f>IFERROR(IF(A1389="","",VLOOKUP(A1389,DATABASE!$A:$B,2,0)),"")</f>
        <v/>
      </c>
      <c r="C1389" s="20">
        <f>IFERROR(IF(A1389="","",VLOOKUP(A1389,DATABASE!$A:$J,10,0)),"")</f>
        <v/>
      </c>
      <c r="D1389" s="28">
        <f>IF(A1389="","",TODAY())</f>
        <v/>
      </c>
      <c r="E1389" s="29" t="n"/>
      <c r="F1389" s="20">
        <f>IFERROR(IF(OR(A1389="",E1389=""),"",C1389-E1389),"")</f>
        <v/>
      </c>
      <c r="G1389" s="30" t="n"/>
      <c r="H1389" s="27" t="n"/>
    </row>
    <row r="1390" ht="20" customHeight="1">
      <c r="A1390" s="26" t="n"/>
      <c r="B1390" s="35">
        <f>IFERROR(IF(A1390="","",VLOOKUP(A1390,DATABASE!$A:$B,2,0)),"")</f>
        <v/>
      </c>
      <c r="C1390" s="36">
        <f>IFERROR(IF(A1390="","",VLOOKUP(A1390,DATABASE!$A:$J,10,0)),"")</f>
        <v/>
      </c>
      <c r="D1390" s="37">
        <f>IF(A1390="","",TODAY())</f>
        <v/>
      </c>
      <c r="E1390" s="29" t="n"/>
      <c r="F1390" s="36">
        <f>IFERROR(IF(OR(A1390="",E1390=""),"",C1390-E1390),"")</f>
        <v/>
      </c>
      <c r="G1390" s="30" t="n"/>
      <c r="H1390" s="35" t="n"/>
    </row>
    <row r="1391" ht="20" customHeight="1">
      <c r="A1391" s="26" t="n"/>
      <c r="B1391" s="27">
        <f>IFERROR(IF(A1391="","",VLOOKUP(A1391,DATABASE!$A:$B,2,0)),"")</f>
        <v/>
      </c>
      <c r="C1391" s="20">
        <f>IFERROR(IF(A1391="","",VLOOKUP(A1391,DATABASE!$A:$J,10,0)),"")</f>
        <v/>
      </c>
      <c r="D1391" s="28">
        <f>IF(A1391="","",TODAY())</f>
        <v/>
      </c>
      <c r="E1391" s="29" t="n"/>
      <c r="F1391" s="20">
        <f>IFERROR(IF(OR(A1391="",E1391=""),"",C1391-E1391),"")</f>
        <v/>
      </c>
      <c r="G1391" s="30" t="n"/>
      <c r="H1391" s="27" t="n"/>
    </row>
    <row r="1392" ht="20" customHeight="1">
      <c r="A1392" s="26" t="n"/>
      <c r="B1392" s="35">
        <f>IFERROR(IF(A1392="","",VLOOKUP(A1392,DATABASE!$A:$B,2,0)),"")</f>
        <v/>
      </c>
      <c r="C1392" s="36">
        <f>IFERROR(IF(A1392="","",VLOOKUP(A1392,DATABASE!$A:$J,10,0)),"")</f>
        <v/>
      </c>
      <c r="D1392" s="37">
        <f>IF(A1392="","",TODAY())</f>
        <v/>
      </c>
      <c r="E1392" s="29" t="n"/>
      <c r="F1392" s="36">
        <f>IFERROR(IF(OR(A1392="",E1392=""),"",C1392-E1392),"")</f>
        <v/>
      </c>
      <c r="G1392" s="30" t="n"/>
      <c r="H1392" s="35" t="n"/>
    </row>
    <row r="1393" ht="20" customHeight="1">
      <c r="A1393" s="26" t="n"/>
      <c r="B1393" s="27">
        <f>IFERROR(IF(A1393="","",VLOOKUP(A1393,DATABASE!$A:$B,2,0)),"")</f>
        <v/>
      </c>
      <c r="C1393" s="20">
        <f>IFERROR(IF(A1393="","",VLOOKUP(A1393,DATABASE!$A:$J,10,0)),"")</f>
        <v/>
      </c>
      <c r="D1393" s="28">
        <f>IF(A1393="","",TODAY())</f>
        <v/>
      </c>
      <c r="E1393" s="29" t="n"/>
      <c r="F1393" s="20">
        <f>IFERROR(IF(OR(A1393="",E1393=""),"",C1393-E1393),"")</f>
        <v/>
      </c>
      <c r="G1393" s="30" t="n"/>
      <c r="H1393" s="27" t="n"/>
    </row>
    <row r="1394" ht="20" customHeight="1">
      <c r="A1394" s="26" t="n"/>
      <c r="B1394" s="35">
        <f>IFERROR(IF(A1394="","",VLOOKUP(A1394,DATABASE!$A:$B,2,0)),"")</f>
        <v/>
      </c>
      <c r="C1394" s="36">
        <f>IFERROR(IF(A1394="","",VLOOKUP(A1394,DATABASE!$A:$J,10,0)),"")</f>
        <v/>
      </c>
      <c r="D1394" s="37">
        <f>IF(A1394="","",TODAY())</f>
        <v/>
      </c>
      <c r="E1394" s="29" t="n"/>
      <c r="F1394" s="36">
        <f>IFERROR(IF(OR(A1394="",E1394=""),"",C1394-E1394),"")</f>
        <v/>
      </c>
      <c r="G1394" s="30" t="n"/>
      <c r="H1394" s="35" t="n"/>
    </row>
    <row r="1395" ht="20" customHeight="1">
      <c r="A1395" s="26" t="n"/>
      <c r="B1395" s="27">
        <f>IFERROR(IF(A1395="","",VLOOKUP(A1395,DATABASE!$A:$B,2,0)),"")</f>
        <v/>
      </c>
      <c r="C1395" s="20">
        <f>IFERROR(IF(A1395="","",VLOOKUP(A1395,DATABASE!$A:$J,10,0)),"")</f>
        <v/>
      </c>
      <c r="D1395" s="28">
        <f>IF(A1395="","",TODAY())</f>
        <v/>
      </c>
      <c r="E1395" s="29" t="n"/>
      <c r="F1395" s="20">
        <f>IFERROR(IF(OR(A1395="",E1395=""),"",C1395-E1395),"")</f>
        <v/>
      </c>
      <c r="G1395" s="30" t="n"/>
      <c r="H1395" s="27" t="n"/>
    </row>
    <row r="1396" ht="20" customHeight="1">
      <c r="A1396" s="26" t="n"/>
      <c r="B1396" s="35">
        <f>IFERROR(IF(A1396="","",VLOOKUP(A1396,DATABASE!$A:$B,2,0)),"")</f>
        <v/>
      </c>
      <c r="C1396" s="36">
        <f>IFERROR(IF(A1396="","",VLOOKUP(A1396,DATABASE!$A:$J,10,0)),"")</f>
        <v/>
      </c>
      <c r="D1396" s="37">
        <f>IF(A1396="","",TODAY())</f>
        <v/>
      </c>
      <c r="E1396" s="29" t="n"/>
      <c r="F1396" s="36">
        <f>IFERROR(IF(OR(A1396="",E1396=""),"",C1396-E1396),"")</f>
        <v/>
      </c>
      <c r="G1396" s="30" t="n"/>
      <c r="H1396" s="35" t="n"/>
    </row>
    <row r="1397" ht="20" customHeight="1">
      <c r="A1397" s="26" t="n"/>
      <c r="B1397" s="27">
        <f>IFERROR(IF(A1397="","",VLOOKUP(A1397,DATABASE!$A:$B,2,0)),"")</f>
        <v/>
      </c>
      <c r="C1397" s="20">
        <f>IFERROR(IF(A1397="","",VLOOKUP(A1397,DATABASE!$A:$J,10,0)),"")</f>
        <v/>
      </c>
      <c r="D1397" s="28">
        <f>IF(A1397="","",TODAY())</f>
        <v/>
      </c>
      <c r="E1397" s="29" t="n"/>
      <c r="F1397" s="20">
        <f>IFERROR(IF(OR(A1397="",E1397=""),"",C1397-E1397),"")</f>
        <v/>
      </c>
      <c r="G1397" s="30" t="n"/>
      <c r="H1397" s="27" t="n"/>
    </row>
    <row r="1398" ht="20" customHeight="1">
      <c r="A1398" s="26" t="n"/>
      <c r="B1398" s="35">
        <f>IFERROR(IF(A1398="","",VLOOKUP(A1398,DATABASE!$A:$B,2,0)),"")</f>
        <v/>
      </c>
      <c r="C1398" s="36">
        <f>IFERROR(IF(A1398="","",VLOOKUP(A1398,DATABASE!$A:$J,10,0)),"")</f>
        <v/>
      </c>
      <c r="D1398" s="37">
        <f>IF(A1398="","",TODAY())</f>
        <v/>
      </c>
      <c r="E1398" s="29" t="n"/>
      <c r="F1398" s="36">
        <f>IFERROR(IF(OR(A1398="",E1398=""),"",C1398-E1398),"")</f>
        <v/>
      </c>
      <c r="G1398" s="30" t="n"/>
      <c r="H1398" s="35" t="n"/>
    </row>
    <row r="1399" ht="20" customHeight="1">
      <c r="A1399" s="26" t="n"/>
      <c r="B1399" s="27">
        <f>IFERROR(IF(A1399="","",VLOOKUP(A1399,DATABASE!$A:$B,2,0)),"")</f>
        <v/>
      </c>
      <c r="C1399" s="20">
        <f>IFERROR(IF(A1399="","",VLOOKUP(A1399,DATABASE!$A:$J,10,0)),"")</f>
        <v/>
      </c>
      <c r="D1399" s="28">
        <f>IF(A1399="","",TODAY())</f>
        <v/>
      </c>
      <c r="E1399" s="29" t="n"/>
      <c r="F1399" s="20">
        <f>IFERROR(IF(OR(A1399="",E1399=""),"",C1399-E1399),"")</f>
        <v/>
      </c>
      <c r="G1399" s="30" t="n"/>
      <c r="H1399" s="27" t="n"/>
    </row>
    <row r="1400" ht="20" customHeight="1">
      <c r="A1400" s="26" t="n"/>
      <c r="B1400" s="35">
        <f>IFERROR(IF(A1400="","",VLOOKUP(A1400,DATABASE!$A:$B,2,0)),"")</f>
        <v/>
      </c>
      <c r="C1400" s="36">
        <f>IFERROR(IF(A1400="","",VLOOKUP(A1400,DATABASE!$A:$J,10,0)),"")</f>
        <v/>
      </c>
      <c r="D1400" s="37">
        <f>IF(A1400="","",TODAY())</f>
        <v/>
      </c>
      <c r="E1400" s="29" t="n"/>
      <c r="F1400" s="36">
        <f>IFERROR(IF(OR(A1400="",E1400=""),"",C1400-E1400),"")</f>
        <v/>
      </c>
      <c r="G1400" s="30" t="n"/>
      <c r="H1400" s="35" t="n"/>
    </row>
    <row r="1401" ht="20" customHeight="1">
      <c r="A1401" s="26" t="n"/>
      <c r="B1401" s="27">
        <f>IFERROR(IF(A1401="","",VLOOKUP(A1401,DATABASE!$A:$B,2,0)),"")</f>
        <v/>
      </c>
      <c r="C1401" s="20">
        <f>IFERROR(IF(A1401="","",VLOOKUP(A1401,DATABASE!$A:$J,10,0)),"")</f>
        <v/>
      </c>
      <c r="D1401" s="28">
        <f>IF(A1401="","",TODAY())</f>
        <v/>
      </c>
      <c r="E1401" s="29" t="n"/>
      <c r="F1401" s="20">
        <f>IFERROR(IF(OR(A1401="",E1401=""),"",C1401-E1401),"")</f>
        <v/>
      </c>
      <c r="G1401" s="30" t="n"/>
      <c r="H1401" s="27" t="n"/>
    </row>
    <row r="1402" ht="20" customHeight="1">
      <c r="A1402" s="26" t="n"/>
      <c r="B1402" s="35">
        <f>IFERROR(IF(A1402="","",VLOOKUP(A1402,DATABASE!$A:$B,2,0)),"")</f>
        <v/>
      </c>
      <c r="C1402" s="36">
        <f>IFERROR(IF(A1402="","",VLOOKUP(A1402,DATABASE!$A:$J,10,0)),"")</f>
        <v/>
      </c>
      <c r="D1402" s="37">
        <f>IF(A1402="","",TODAY())</f>
        <v/>
      </c>
      <c r="E1402" s="29" t="n"/>
      <c r="F1402" s="36">
        <f>IFERROR(IF(OR(A1402="",E1402=""),"",C1402-E1402),"")</f>
        <v/>
      </c>
      <c r="G1402" s="30" t="n"/>
      <c r="H1402" s="35" t="n"/>
    </row>
    <row r="1403" ht="20" customHeight="1">
      <c r="A1403" s="26" t="n"/>
      <c r="B1403" s="27">
        <f>IFERROR(IF(A1403="","",VLOOKUP(A1403,DATABASE!$A:$B,2,0)),"")</f>
        <v/>
      </c>
      <c r="C1403" s="20">
        <f>IFERROR(IF(A1403="","",VLOOKUP(A1403,DATABASE!$A:$J,10,0)),"")</f>
        <v/>
      </c>
      <c r="D1403" s="28">
        <f>IF(A1403="","",TODAY())</f>
        <v/>
      </c>
      <c r="E1403" s="29" t="n"/>
      <c r="F1403" s="20">
        <f>IFERROR(IF(OR(A1403="",E1403=""),"",C1403-E1403),"")</f>
        <v/>
      </c>
      <c r="G1403" s="30" t="n"/>
      <c r="H1403" s="27" t="n"/>
    </row>
    <row r="1404" ht="20" customHeight="1">
      <c r="A1404" s="26" t="n"/>
      <c r="B1404" s="35">
        <f>IFERROR(IF(A1404="","",VLOOKUP(A1404,DATABASE!$A:$B,2,0)),"")</f>
        <v/>
      </c>
      <c r="C1404" s="36">
        <f>IFERROR(IF(A1404="","",VLOOKUP(A1404,DATABASE!$A:$J,10,0)),"")</f>
        <v/>
      </c>
      <c r="D1404" s="37">
        <f>IF(A1404="","",TODAY())</f>
        <v/>
      </c>
      <c r="E1404" s="29" t="n"/>
      <c r="F1404" s="36">
        <f>IFERROR(IF(OR(A1404="",E1404=""),"",C1404-E1404),"")</f>
        <v/>
      </c>
      <c r="G1404" s="30" t="n"/>
      <c r="H1404" s="35" t="n"/>
    </row>
    <row r="1405" ht="20" customHeight="1">
      <c r="A1405" s="26" t="n"/>
      <c r="B1405" s="27">
        <f>IFERROR(IF(A1405="","",VLOOKUP(A1405,DATABASE!$A:$B,2,0)),"")</f>
        <v/>
      </c>
      <c r="C1405" s="20">
        <f>IFERROR(IF(A1405="","",VLOOKUP(A1405,DATABASE!$A:$J,10,0)),"")</f>
        <v/>
      </c>
      <c r="D1405" s="28">
        <f>IF(A1405="","",TODAY())</f>
        <v/>
      </c>
      <c r="E1405" s="29" t="n"/>
      <c r="F1405" s="20">
        <f>IFERROR(IF(OR(A1405="",E1405=""),"",C1405-E1405),"")</f>
        <v/>
      </c>
      <c r="G1405" s="30" t="n"/>
      <c r="H1405" s="27" t="n"/>
    </row>
    <row r="1406" ht="20" customHeight="1">
      <c r="A1406" s="26" t="n"/>
      <c r="B1406" s="35">
        <f>IFERROR(IF(A1406="","",VLOOKUP(A1406,DATABASE!$A:$B,2,0)),"")</f>
        <v/>
      </c>
      <c r="C1406" s="36">
        <f>IFERROR(IF(A1406="","",VLOOKUP(A1406,DATABASE!$A:$J,10,0)),"")</f>
        <v/>
      </c>
      <c r="D1406" s="37">
        <f>IF(A1406="","",TODAY())</f>
        <v/>
      </c>
      <c r="E1406" s="29" t="n"/>
      <c r="F1406" s="36">
        <f>IFERROR(IF(OR(A1406="",E1406=""),"",C1406-E1406),"")</f>
        <v/>
      </c>
      <c r="G1406" s="30" t="n"/>
      <c r="H1406" s="35" t="n"/>
    </row>
    <row r="1407" ht="20" customHeight="1">
      <c r="A1407" s="26" t="n"/>
      <c r="B1407" s="27">
        <f>IFERROR(IF(A1407="","",VLOOKUP(A1407,DATABASE!$A:$B,2,0)),"")</f>
        <v/>
      </c>
      <c r="C1407" s="20">
        <f>IFERROR(IF(A1407="","",VLOOKUP(A1407,DATABASE!$A:$J,10,0)),"")</f>
        <v/>
      </c>
      <c r="D1407" s="28">
        <f>IF(A1407="","",TODAY())</f>
        <v/>
      </c>
      <c r="E1407" s="29" t="n"/>
      <c r="F1407" s="20">
        <f>IFERROR(IF(OR(A1407="",E1407=""),"",C1407-E1407),"")</f>
        <v/>
      </c>
      <c r="G1407" s="30" t="n"/>
      <c r="H1407" s="27" t="n"/>
    </row>
    <row r="1408" ht="20" customHeight="1">
      <c r="A1408" s="26" t="n"/>
      <c r="B1408" s="35">
        <f>IFERROR(IF(A1408="","",VLOOKUP(A1408,DATABASE!$A:$B,2,0)),"")</f>
        <v/>
      </c>
      <c r="C1408" s="36">
        <f>IFERROR(IF(A1408="","",VLOOKUP(A1408,DATABASE!$A:$J,10,0)),"")</f>
        <v/>
      </c>
      <c r="D1408" s="37">
        <f>IF(A1408="","",TODAY())</f>
        <v/>
      </c>
      <c r="E1408" s="29" t="n"/>
      <c r="F1408" s="36">
        <f>IFERROR(IF(OR(A1408="",E1408=""),"",C1408-E1408),"")</f>
        <v/>
      </c>
      <c r="G1408" s="30" t="n"/>
      <c r="H1408" s="35" t="n"/>
    </row>
    <row r="1409" ht="20" customHeight="1">
      <c r="A1409" s="26" t="n"/>
      <c r="B1409" s="27">
        <f>IFERROR(IF(A1409="","",VLOOKUP(A1409,DATABASE!$A:$B,2,0)),"")</f>
        <v/>
      </c>
      <c r="C1409" s="20">
        <f>IFERROR(IF(A1409="","",VLOOKUP(A1409,DATABASE!$A:$J,10,0)),"")</f>
        <v/>
      </c>
      <c r="D1409" s="28">
        <f>IF(A1409="","",TODAY())</f>
        <v/>
      </c>
      <c r="E1409" s="29" t="n"/>
      <c r="F1409" s="20">
        <f>IFERROR(IF(OR(A1409="",E1409=""),"",C1409-E1409),"")</f>
        <v/>
      </c>
      <c r="G1409" s="30" t="n"/>
      <c r="H1409" s="27" t="n"/>
    </row>
    <row r="1410" ht="20" customHeight="1">
      <c r="A1410" s="26" t="n"/>
      <c r="B1410" s="35">
        <f>IFERROR(IF(A1410="","",VLOOKUP(A1410,DATABASE!$A:$B,2,0)),"")</f>
        <v/>
      </c>
      <c r="C1410" s="36">
        <f>IFERROR(IF(A1410="","",VLOOKUP(A1410,DATABASE!$A:$J,10,0)),"")</f>
        <v/>
      </c>
      <c r="D1410" s="37">
        <f>IF(A1410="","",TODAY())</f>
        <v/>
      </c>
      <c r="E1410" s="29" t="n"/>
      <c r="F1410" s="36">
        <f>IFERROR(IF(OR(A1410="",E1410=""),"",C1410-E1410),"")</f>
        <v/>
      </c>
      <c r="G1410" s="30" t="n"/>
      <c r="H1410" s="35" t="n"/>
    </row>
    <row r="1411" ht="20" customHeight="1">
      <c r="A1411" s="26" t="n"/>
      <c r="B1411" s="27">
        <f>IFERROR(IF(A1411="","",VLOOKUP(A1411,DATABASE!$A:$B,2,0)),"")</f>
        <v/>
      </c>
      <c r="C1411" s="20">
        <f>IFERROR(IF(A1411="","",VLOOKUP(A1411,DATABASE!$A:$J,10,0)),"")</f>
        <v/>
      </c>
      <c r="D1411" s="28">
        <f>IF(A1411="","",TODAY())</f>
        <v/>
      </c>
      <c r="E1411" s="29" t="n"/>
      <c r="F1411" s="20">
        <f>IFERROR(IF(OR(A1411="",E1411=""),"",C1411-E1411),"")</f>
        <v/>
      </c>
      <c r="G1411" s="30" t="n"/>
      <c r="H1411" s="27" t="n"/>
    </row>
    <row r="1412" ht="20" customHeight="1">
      <c r="A1412" s="26" t="n"/>
      <c r="B1412" s="35">
        <f>IFERROR(IF(A1412="","",VLOOKUP(A1412,DATABASE!$A:$B,2,0)),"")</f>
        <v/>
      </c>
      <c r="C1412" s="36">
        <f>IFERROR(IF(A1412="","",VLOOKUP(A1412,DATABASE!$A:$J,10,0)),"")</f>
        <v/>
      </c>
      <c r="D1412" s="37">
        <f>IF(A1412="","",TODAY())</f>
        <v/>
      </c>
      <c r="E1412" s="29" t="n"/>
      <c r="F1412" s="36">
        <f>IFERROR(IF(OR(A1412="",E1412=""),"",C1412-E1412),"")</f>
        <v/>
      </c>
      <c r="G1412" s="30" t="n"/>
      <c r="H1412" s="35" t="n"/>
    </row>
    <row r="1413" ht="20" customHeight="1">
      <c r="A1413" s="26" t="n"/>
      <c r="B1413" s="27">
        <f>IFERROR(IF(A1413="","",VLOOKUP(A1413,DATABASE!$A:$B,2,0)),"")</f>
        <v/>
      </c>
      <c r="C1413" s="20">
        <f>IFERROR(IF(A1413="","",VLOOKUP(A1413,DATABASE!$A:$J,10,0)),"")</f>
        <v/>
      </c>
      <c r="D1413" s="28">
        <f>IF(A1413="","",TODAY())</f>
        <v/>
      </c>
      <c r="E1413" s="29" t="n"/>
      <c r="F1413" s="20">
        <f>IFERROR(IF(OR(A1413="",E1413=""),"",C1413-E1413),"")</f>
        <v/>
      </c>
      <c r="G1413" s="30" t="n"/>
      <c r="H1413" s="27" t="n"/>
    </row>
    <row r="1414" ht="20" customHeight="1">
      <c r="A1414" s="26" t="n"/>
      <c r="B1414" s="35">
        <f>IFERROR(IF(A1414="","",VLOOKUP(A1414,DATABASE!$A:$B,2,0)),"")</f>
        <v/>
      </c>
      <c r="C1414" s="36">
        <f>IFERROR(IF(A1414="","",VLOOKUP(A1414,DATABASE!$A:$J,10,0)),"")</f>
        <v/>
      </c>
      <c r="D1414" s="37">
        <f>IF(A1414="","",TODAY())</f>
        <v/>
      </c>
      <c r="E1414" s="29" t="n"/>
      <c r="F1414" s="36">
        <f>IFERROR(IF(OR(A1414="",E1414=""),"",C1414-E1414),"")</f>
        <v/>
      </c>
      <c r="G1414" s="30" t="n"/>
      <c r="H1414" s="35" t="n"/>
    </row>
    <row r="1415" ht="20" customHeight="1">
      <c r="A1415" s="26" t="n"/>
      <c r="B1415" s="27">
        <f>IFERROR(IF(A1415="","",VLOOKUP(A1415,DATABASE!$A:$B,2,0)),"")</f>
        <v/>
      </c>
      <c r="C1415" s="20">
        <f>IFERROR(IF(A1415="","",VLOOKUP(A1415,DATABASE!$A:$J,10,0)),"")</f>
        <v/>
      </c>
      <c r="D1415" s="28">
        <f>IF(A1415="","",TODAY())</f>
        <v/>
      </c>
      <c r="E1415" s="29" t="n"/>
      <c r="F1415" s="20">
        <f>IFERROR(IF(OR(A1415="",E1415=""),"",C1415-E1415),"")</f>
        <v/>
      </c>
      <c r="G1415" s="30" t="n"/>
      <c r="H1415" s="27" t="n"/>
    </row>
    <row r="1416" ht="20" customHeight="1">
      <c r="A1416" s="26" t="n"/>
      <c r="B1416" s="35">
        <f>IFERROR(IF(A1416="","",VLOOKUP(A1416,DATABASE!$A:$B,2,0)),"")</f>
        <v/>
      </c>
      <c r="C1416" s="36">
        <f>IFERROR(IF(A1416="","",VLOOKUP(A1416,DATABASE!$A:$J,10,0)),"")</f>
        <v/>
      </c>
      <c r="D1416" s="37">
        <f>IF(A1416="","",TODAY())</f>
        <v/>
      </c>
      <c r="E1416" s="29" t="n"/>
      <c r="F1416" s="36">
        <f>IFERROR(IF(OR(A1416="",E1416=""),"",C1416-E1416),"")</f>
        <v/>
      </c>
      <c r="G1416" s="30" t="n"/>
      <c r="H1416" s="35" t="n"/>
    </row>
    <row r="1417" ht="20" customHeight="1">
      <c r="A1417" s="26" t="n"/>
      <c r="B1417" s="27">
        <f>IFERROR(IF(A1417="","",VLOOKUP(A1417,DATABASE!$A:$B,2,0)),"")</f>
        <v/>
      </c>
      <c r="C1417" s="20">
        <f>IFERROR(IF(A1417="","",VLOOKUP(A1417,DATABASE!$A:$J,10,0)),"")</f>
        <v/>
      </c>
      <c r="D1417" s="28">
        <f>IF(A1417="","",TODAY())</f>
        <v/>
      </c>
      <c r="E1417" s="29" t="n"/>
      <c r="F1417" s="20">
        <f>IFERROR(IF(OR(A1417="",E1417=""),"",C1417-E1417),"")</f>
        <v/>
      </c>
      <c r="G1417" s="30" t="n"/>
      <c r="H1417" s="27" t="n"/>
    </row>
    <row r="1418" ht="20" customHeight="1">
      <c r="A1418" s="26" t="n"/>
      <c r="B1418" s="35">
        <f>IFERROR(IF(A1418="","",VLOOKUP(A1418,DATABASE!$A:$B,2,0)),"")</f>
        <v/>
      </c>
      <c r="C1418" s="36">
        <f>IFERROR(IF(A1418="","",VLOOKUP(A1418,DATABASE!$A:$J,10,0)),"")</f>
        <v/>
      </c>
      <c r="D1418" s="37">
        <f>IF(A1418="","",TODAY())</f>
        <v/>
      </c>
      <c r="E1418" s="29" t="n"/>
      <c r="F1418" s="36">
        <f>IFERROR(IF(OR(A1418="",E1418=""),"",C1418-E1418),"")</f>
        <v/>
      </c>
      <c r="G1418" s="30" t="n"/>
      <c r="H1418" s="35" t="n"/>
    </row>
    <row r="1419" ht="20" customHeight="1">
      <c r="A1419" s="26" t="n"/>
      <c r="B1419" s="27">
        <f>IFERROR(IF(A1419="","",VLOOKUP(A1419,DATABASE!$A:$B,2,0)),"")</f>
        <v/>
      </c>
      <c r="C1419" s="20">
        <f>IFERROR(IF(A1419="","",VLOOKUP(A1419,DATABASE!$A:$J,10,0)),"")</f>
        <v/>
      </c>
      <c r="D1419" s="28">
        <f>IF(A1419="","",TODAY())</f>
        <v/>
      </c>
      <c r="E1419" s="29" t="n"/>
      <c r="F1419" s="20">
        <f>IFERROR(IF(OR(A1419="",E1419=""),"",C1419-E1419),"")</f>
        <v/>
      </c>
      <c r="G1419" s="30" t="n"/>
      <c r="H1419" s="27" t="n"/>
    </row>
    <row r="1420" ht="20" customHeight="1">
      <c r="A1420" s="26" t="n"/>
      <c r="B1420" s="35">
        <f>IFERROR(IF(A1420="","",VLOOKUP(A1420,DATABASE!$A:$B,2,0)),"")</f>
        <v/>
      </c>
      <c r="C1420" s="36">
        <f>IFERROR(IF(A1420="","",VLOOKUP(A1420,DATABASE!$A:$J,10,0)),"")</f>
        <v/>
      </c>
      <c r="D1420" s="37">
        <f>IF(A1420="","",TODAY())</f>
        <v/>
      </c>
      <c r="E1420" s="29" t="n"/>
      <c r="F1420" s="36">
        <f>IFERROR(IF(OR(A1420="",E1420=""),"",C1420-E1420),"")</f>
        <v/>
      </c>
      <c r="G1420" s="30" t="n"/>
      <c r="H1420" s="35" t="n"/>
    </row>
    <row r="1421" ht="20" customHeight="1">
      <c r="A1421" s="26" t="n"/>
      <c r="B1421" s="27">
        <f>IFERROR(IF(A1421="","",VLOOKUP(A1421,DATABASE!$A:$B,2,0)),"")</f>
        <v/>
      </c>
      <c r="C1421" s="20">
        <f>IFERROR(IF(A1421="","",VLOOKUP(A1421,DATABASE!$A:$J,10,0)),"")</f>
        <v/>
      </c>
      <c r="D1421" s="28">
        <f>IF(A1421="","",TODAY())</f>
        <v/>
      </c>
      <c r="E1421" s="29" t="n"/>
      <c r="F1421" s="20">
        <f>IFERROR(IF(OR(A1421="",E1421=""),"",C1421-E1421),"")</f>
        <v/>
      </c>
      <c r="G1421" s="30" t="n"/>
      <c r="H1421" s="27" t="n"/>
    </row>
    <row r="1422" ht="20" customHeight="1">
      <c r="A1422" s="26" t="n"/>
      <c r="B1422" s="35">
        <f>IFERROR(IF(A1422="","",VLOOKUP(A1422,DATABASE!$A:$B,2,0)),"")</f>
        <v/>
      </c>
      <c r="C1422" s="36">
        <f>IFERROR(IF(A1422="","",VLOOKUP(A1422,DATABASE!$A:$J,10,0)),"")</f>
        <v/>
      </c>
      <c r="D1422" s="37">
        <f>IF(A1422="","",TODAY())</f>
        <v/>
      </c>
      <c r="E1422" s="29" t="n"/>
      <c r="F1422" s="36">
        <f>IFERROR(IF(OR(A1422="",E1422=""),"",C1422-E1422),"")</f>
        <v/>
      </c>
      <c r="G1422" s="30" t="n"/>
      <c r="H1422" s="35" t="n"/>
    </row>
    <row r="1423" ht="20" customHeight="1">
      <c r="A1423" s="26" t="n"/>
      <c r="B1423" s="27">
        <f>IFERROR(IF(A1423="","",VLOOKUP(A1423,DATABASE!$A:$B,2,0)),"")</f>
        <v/>
      </c>
      <c r="C1423" s="20">
        <f>IFERROR(IF(A1423="","",VLOOKUP(A1423,DATABASE!$A:$J,10,0)),"")</f>
        <v/>
      </c>
      <c r="D1423" s="28">
        <f>IF(A1423="","",TODAY())</f>
        <v/>
      </c>
      <c r="E1423" s="29" t="n"/>
      <c r="F1423" s="20">
        <f>IFERROR(IF(OR(A1423="",E1423=""),"",C1423-E1423),"")</f>
        <v/>
      </c>
      <c r="G1423" s="30" t="n"/>
      <c r="H1423" s="27" t="n"/>
    </row>
    <row r="1424" ht="20" customHeight="1">
      <c r="A1424" s="26" t="n"/>
      <c r="B1424" s="35">
        <f>IFERROR(IF(A1424="","",VLOOKUP(A1424,DATABASE!$A:$B,2,0)),"")</f>
        <v/>
      </c>
      <c r="C1424" s="36">
        <f>IFERROR(IF(A1424="","",VLOOKUP(A1424,DATABASE!$A:$J,10,0)),"")</f>
        <v/>
      </c>
      <c r="D1424" s="37">
        <f>IF(A1424="","",TODAY())</f>
        <v/>
      </c>
      <c r="E1424" s="29" t="n"/>
      <c r="F1424" s="36">
        <f>IFERROR(IF(OR(A1424="",E1424=""),"",C1424-E1424),"")</f>
        <v/>
      </c>
      <c r="G1424" s="30" t="n"/>
      <c r="H1424" s="35" t="n"/>
    </row>
    <row r="1425" ht="20" customHeight="1">
      <c r="A1425" s="26" t="n"/>
      <c r="B1425" s="27">
        <f>IFERROR(IF(A1425="","",VLOOKUP(A1425,DATABASE!$A:$B,2,0)),"")</f>
        <v/>
      </c>
      <c r="C1425" s="20">
        <f>IFERROR(IF(A1425="","",VLOOKUP(A1425,DATABASE!$A:$J,10,0)),"")</f>
        <v/>
      </c>
      <c r="D1425" s="28">
        <f>IF(A1425="","",TODAY())</f>
        <v/>
      </c>
      <c r="E1425" s="29" t="n"/>
      <c r="F1425" s="20">
        <f>IFERROR(IF(OR(A1425="",E1425=""),"",C1425-E1425),"")</f>
        <v/>
      </c>
      <c r="G1425" s="30" t="n"/>
      <c r="H1425" s="27" t="n"/>
    </row>
    <row r="1426" ht="20" customHeight="1">
      <c r="A1426" s="26" t="n"/>
      <c r="B1426" s="35">
        <f>IFERROR(IF(A1426="","",VLOOKUP(A1426,DATABASE!$A:$B,2,0)),"")</f>
        <v/>
      </c>
      <c r="C1426" s="36">
        <f>IFERROR(IF(A1426="","",VLOOKUP(A1426,DATABASE!$A:$J,10,0)),"")</f>
        <v/>
      </c>
      <c r="D1426" s="37">
        <f>IF(A1426="","",TODAY())</f>
        <v/>
      </c>
      <c r="E1426" s="29" t="n"/>
      <c r="F1426" s="36">
        <f>IFERROR(IF(OR(A1426="",E1426=""),"",C1426-E1426),"")</f>
        <v/>
      </c>
      <c r="G1426" s="30" t="n"/>
      <c r="H1426" s="35" t="n"/>
    </row>
    <row r="1427" ht="20" customHeight="1">
      <c r="A1427" s="26" t="n"/>
      <c r="B1427" s="27">
        <f>IFERROR(IF(A1427="","",VLOOKUP(A1427,DATABASE!$A:$B,2,0)),"")</f>
        <v/>
      </c>
      <c r="C1427" s="20">
        <f>IFERROR(IF(A1427="","",VLOOKUP(A1427,DATABASE!$A:$J,10,0)),"")</f>
        <v/>
      </c>
      <c r="D1427" s="28">
        <f>IF(A1427="","",TODAY())</f>
        <v/>
      </c>
      <c r="E1427" s="29" t="n"/>
      <c r="F1427" s="20">
        <f>IFERROR(IF(OR(A1427="",E1427=""),"",C1427-E1427),"")</f>
        <v/>
      </c>
      <c r="G1427" s="30" t="n"/>
      <c r="H1427" s="27" t="n"/>
    </row>
    <row r="1428" ht="20" customHeight="1">
      <c r="A1428" s="26" t="n"/>
      <c r="B1428" s="35">
        <f>IFERROR(IF(A1428="","",VLOOKUP(A1428,DATABASE!$A:$B,2,0)),"")</f>
        <v/>
      </c>
      <c r="C1428" s="36">
        <f>IFERROR(IF(A1428="","",VLOOKUP(A1428,DATABASE!$A:$J,10,0)),"")</f>
        <v/>
      </c>
      <c r="D1428" s="37">
        <f>IF(A1428="","",TODAY())</f>
        <v/>
      </c>
      <c r="E1428" s="29" t="n"/>
      <c r="F1428" s="36">
        <f>IFERROR(IF(OR(A1428="",E1428=""),"",C1428-E1428),"")</f>
        <v/>
      </c>
      <c r="G1428" s="30" t="n"/>
      <c r="H1428" s="35" t="n"/>
    </row>
    <row r="1429" ht="20" customHeight="1">
      <c r="A1429" s="26" t="n"/>
      <c r="B1429" s="27">
        <f>IFERROR(IF(A1429="","",VLOOKUP(A1429,DATABASE!$A:$B,2,0)),"")</f>
        <v/>
      </c>
      <c r="C1429" s="20">
        <f>IFERROR(IF(A1429="","",VLOOKUP(A1429,DATABASE!$A:$J,10,0)),"")</f>
        <v/>
      </c>
      <c r="D1429" s="28">
        <f>IF(A1429="","",TODAY())</f>
        <v/>
      </c>
      <c r="E1429" s="29" t="n"/>
      <c r="F1429" s="20">
        <f>IFERROR(IF(OR(A1429="",E1429=""),"",C1429-E1429),"")</f>
        <v/>
      </c>
      <c r="G1429" s="30" t="n"/>
      <c r="H1429" s="27" t="n"/>
    </row>
    <row r="1430" ht="20" customHeight="1">
      <c r="A1430" s="26" t="n"/>
      <c r="B1430" s="35">
        <f>IFERROR(IF(A1430="","",VLOOKUP(A1430,DATABASE!$A:$B,2,0)),"")</f>
        <v/>
      </c>
      <c r="C1430" s="36">
        <f>IFERROR(IF(A1430="","",VLOOKUP(A1430,DATABASE!$A:$J,10,0)),"")</f>
        <v/>
      </c>
      <c r="D1430" s="37">
        <f>IF(A1430="","",TODAY())</f>
        <v/>
      </c>
      <c r="E1430" s="29" t="n"/>
      <c r="F1430" s="36">
        <f>IFERROR(IF(OR(A1430="",E1430=""),"",C1430-E1430),"")</f>
        <v/>
      </c>
      <c r="G1430" s="30" t="n"/>
      <c r="H1430" s="35" t="n"/>
    </row>
    <row r="1431" ht="20" customHeight="1">
      <c r="A1431" s="26" t="n"/>
      <c r="B1431" s="27">
        <f>IFERROR(IF(A1431="","",VLOOKUP(A1431,DATABASE!$A:$B,2,0)),"")</f>
        <v/>
      </c>
      <c r="C1431" s="20">
        <f>IFERROR(IF(A1431="","",VLOOKUP(A1431,DATABASE!$A:$J,10,0)),"")</f>
        <v/>
      </c>
      <c r="D1431" s="28">
        <f>IF(A1431="","",TODAY())</f>
        <v/>
      </c>
      <c r="E1431" s="29" t="n"/>
      <c r="F1431" s="20">
        <f>IFERROR(IF(OR(A1431="",E1431=""),"",C1431-E1431),"")</f>
        <v/>
      </c>
      <c r="G1431" s="30" t="n"/>
      <c r="H1431" s="27" t="n"/>
    </row>
    <row r="1432" ht="20" customHeight="1">
      <c r="A1432" s="26" t="n"/>
      <c r="B1432" s="35">
        <f>IFERROR(IF(A1432="","",VLOOKUP(A1432,DATABASE!$A:$B,2,0)),"")</f>
        <v/>
      </c>
      <c r="C1432" s="36">
        <f>IFERROR(IF(A1432="","",VLOOKUP(A1432,DATABASE!$A:$J,10,0)),"")</f>
        <v/>
      </c>
      <c r="D1432" s="37">
        <f>IF(A1432="","",TODAY())</f>
        <v/>
      </c>
      <c r="E1432" s="29" t="n"/>
      <c r="F1432" s="36">
        <f>IFERROR(IF(OR(A1432="",E1432=""),"",C1432-E1432),"")</f>
        <v/>
      </c>
      <c r="G1432" s="30" t="n"/>
      <c r="H1432" s="35" t="n"/>
    </row>
    <row r="1433" ht="20" customHeight="1">
      <c r="A1433" s="26" t="n"/>
      <c r="B1433" s="27">
        <f>IFERROR(IF(A1433="","",VLOOKUP(A1433,DATABASE!$A:$B,2,0)),"")</f>
        <v/>
      </c>
      <c r="C1433" s="20">
        <f>IFERROR(IF(A1433="","",VLOOKUP(A1433,DATABASE!$A:$J,10,0)),"")</f>
        <v/>
      </c>
      <c r="D1433" s="28">
        <f>IF(A1433="","",TODAY())</f>
        <v/>
      </c>
      <c r="E1433" s="29" t="n"/>
      <c r="F1433" s="20">
        <f>IFERROR(IF(OR(A1433="",E1433=""),"",C1433-E1433),"")</f>
        <v/>
      </c>
      <c r="G1433" s="30" t="n"/>
      <c r="H1433" s="27" t="n"/>
    </row>
    <row r="1434" ht="20" customHeight="1">
      <c r="A1434" s="26" t="n"/>
      <c r="B1434" s="35">
        <f>IFERROR(IF(A1434="","",VLOOKUP(A1434,DATABASE!$A:$B,2,0)),"")</f>
        <v/>
      </c>
      <c r="C1434" s="36">
        <f>IFERROR(IF(A1434="","",VLOOKUP(A1434,DATABASE!$A:$J,10,0)),"")</f>
        <v/>
      </c>
      <c r="D1434" s="37">
        <f>IF(A1434="","",TODAY())</f>
        <v/>
      </c>
      <c r="E1434" s="29" t="n"/>
      <c r="F1434" s="36">
        <f>IFERROR(IF(OR(A1434="",E1434=""),"",C1434-E1434),"")</f>
        <v/>
      </c>
      <c r="G1434" s="30" t="n"/>
      <c r="H1434" s="35" t="n"/>
    </row>
    <row r="1435" ht="20" customHeight="1">
      <c r="A1435" s="26" t="n"/>
      <c r="B1435" s="27">
        <f>IFERROR(IF(A1435="","",VLOOKUP(A1435,DATABASE!$A:$B,2,0)),"")</f>
        <v/>
      </c>
      <c r="C1435" s="20">
        <f>IFERROR(IF(A1435="","",VLOOKUP(A1435,DATABASE!$A:$J,10,0)),"")</f>
        <v/>
      </c>
      <c r="D1435" s="28">
        <f>IF(A1435="","",TODAY())</f>
        <v/>
      </c>
      <c r="E1435" s="29" t="n"/>
      <c r="F1435" s="20">
        <f>IFERROR(IF(OR(A1435="",E1435=""),"",C1435-E1435),"")</f>
        <v/>
      </c>
      <c r="G1435" s="30" t="n"/>
      <c r="H1435" s="27" t="n"/>
    </row>
    <row r="1436" ht="20" customHeight="1">
      <c r="A1436" s="26" t="n"/>
      <c r="B1436" s="35">
        <f>IFERROR(IF(A1436="","",VLOOKUP(A1436,DATABASE!$A:$B,2,0)),"")</f>
        <v/>
      </c>
      <c r="C1436" s="36">
        <f>IFERROR(IF(A1436="","",VLOOKUP(A1436,DATABASE!$A:$J,10,0)),"")</f>
        <v/>
      </c>
      <c r="D1436" s="37">
        <f>IF(A1436="","",TODAY())</f>
        <v/>
      </c>
      <c r="E1436" s="29" t="n"/>
      <c r="F1436" s="36">
        <f>IFERROR(IF(OR(A1436="",E1436=""),"",C1436-E1436),"")</f>
        <v/>
      </c>
      <c r="G1436" s="30" t="n"/>
      <c r="H1436" s="35" t="n"/>
    </row>
    <row r="1437" ht="20" customHeight="1">
      <c r="A1437" s="26" t="n"/>
      <c r="B1437" s="27">
        <f>IFERROR(IF(A1437="","",VLOOKUP(A1437,DATABASE!$A:$B,2,0)),"")</f>
        <v/>
      </c>
      <c r="C1437" s="20">
        <f>IFERROR(IF(A1437="","",VLOOKUP(A1437,DATABASE!$A:$J,10,0)),"")</f>
        <v/>
      </c>
      <c r="D1437" s="28">
        <f>IF(A1437="","",TODAY())</f>
        <v/>
      </c>
      <c r="E1437" s="29" t="n"/>
      <c r="F1437" s="20">
        <f>IFERROR(IF(OR(A1437="",E1437=""),"",C1437-E1437),"")</f>
        <v/>
      </c>
      <c r="G1437" s="30" t="n"/>
      <c r="H1437" s="27" t="n"/>
    </row>
    <row r="1438" ht="20" customHeight="1">
      <c r="A1438" s="26" t="n"/>
      <c r="B1438" s="35">
        <f>IFERROR(IF(A1438="","",VLOOKUP(A1438,DATABASE!$A:$B,2,0)),"")</f>
        <v/>
      </c>
      <c r="C1438" s="36">
        <f>IFERROR(IF(A1438="","",VLOOKUP(A1438,DATABASE!$A:$J,10,0)),"")</f>
        <v/>
      </c>
      <c r="D1438" s="37">
        <f>IF(A1438="","",TODAY())</f>
        <v/>
      </c>
      <c r="E1438" s="29" t="n"/>
      <c r="F1438" s="36">
        <f>IFERROR(IF(OR(A1438="",E1438=""),"",C1438-E1438),"")</f>
        <v/>
      </c>
      <c r="G1438" s="30" t="n"/>
      <c r="H1438" s="35" t="n"/>
    </row>
    <row r="1439" ht="20" customHeight="1">
      <c r="A1439" s="26" t="n"/>
      <c r="B1439" s="27">
        <f>IFERROR(IF(A1439="","",VLOOKUP(A1439,DATABASE!$A:$B,2,0)),"")</f>
        <v/>
      </c>
      <c r="C1439" s="20">
        <f>IFERROR(IF(A1439="","",VLOOKUP(A1439,DATABASE!$A:$J,10,0)),"")</f>
        <v/>
      </c>
      <c r="D1439" s="28">
        <f>IF(A1439="","",TODAY())</f>
        <v/>
      </c>
      <c r="E1439" s="29" t="n"/>
      <c r="F1439" s="20">
        <f>IFERROR(IF(OR(A1439="",E1439=""),"",C1439-E1439),"")</f>
        <v/>
      </c>
      <c r="G1439" s="30" t="n"/>
      <c r="H1439" s="27" t="n"/>
    </row>
    <row r="1440" ht="20" customHeight="1">
      <c r="A1440" s="26" t="n"/>
      <c r="B1440" s="35">
        <f>IFERROR(IF(A1440="","",VLOOKUP(A1440,DATABASE!$A:$B,2,0)),"")</f>
        <v/>
      </c>
      <c r="C1440" s="36">
        <f>IFERROR(IF(A1440="","",VLOOKUP(A1440,DATABASE!$A:$J,10,0)),"")</f>
        <v/>
      </c>
      <c r="D1440" s="37">
        <f>IF(A1440="","",TODAY())</f>
        <v/>
      </c>
      <c r="E1440" s="29" t="n"/>
      <c r="F1440" s="36">
        <f>IFERROR(IF(OR(A1440="",E1440=""),"",C1440-E1440),"")</f>
        <v/>
      </c>
      <c r="G1440" s="30" t="n"/>
      <c r="H1440" s="35" t="n"/>
    </row>
    <row r="1441" ht="20" customHeight="1">
      <c r="A1441" s="26" t="n"/>
      <c r="B1441" s="27">
        <f>IFERROR(IF(A1441="","",VLOOKUP(A1441,DATABASE!$A:$B,2,0)),"")</f>
        <v/>
      </c>
      <c r="C1441" s="20">
        <f>IFERROR(IF(A1441="","",VLOOKUP(A1441,DATABASE!$A:$J,10,0)),"")</f>
        <v/>
      </c>
      <c r="D1441" s="28">
        <f>IF(A1441="","",TODAY())</f>
        <v/>
      </c>
      <c r="E1441" s="29" t="n"/>
      <c r="F1441" s="20">
        <f>IFERROR(IF(OR(A1441="",E1441=""),"",C1441-E1441),"")</f>
        <v/>
      </c>
      <c r="G1441" s="30" t="n"/>
      <c r="H1441" s="27" t="n"/>
    </row>
    <row r="1442" ht="20" customHeight="1">
      <c r="A1442" s="26" t="n"/>
      <c r="B1442" s="35">
        <f>IFERROR(IF(A1442="","",VLOOKUP(A1442,DATABASE!$A:$B,2,0)),"")</f>
        <v/>
      </c>
      <c r="C1442" s="36">
        <f>IFERROR(IF(A1442="","",VLOOKUP(A1442,DATABASE!$A:$J,10,0)),"")</f>
        <v/>
      </c>
      <c r="D1442" s="37">
        <f>IF(A1442="","",TODAY())</f>
        <v/>
      </c>
      <c r="E1442" s="29" t="n"/>
      <c r="F1442" s="36">
        <f>IFERROR(IF(OR(A1442="",E1442=""),"",C1442-E1442),"")</f>
        <v/>
      </c>
      <c r="G1442" s="30" t="n"/>
      <c r="H1442" s="35" t="n"/>
    </row>
    <row r="1443" ht="20" customHeight="1">
      <c r="A1443" s="26" t="n"/>
      <c r="B1443" s="27">
        <f>IFERROR(IF(A1443="","",VLOOKUP(A1443,DATABASE!$A:$B,2,0)),"")</f>
        <v/>
      </c>
      <c r="C1443" s="20">
        <f>IFERROR(IF(A1443="","",VLOOKUP(A1443,DATABASE!$A:$J,10,0)),"")</f>
        <v/>
      </c>
      <c r="D1443" s="28">
        <f>IF(A1443="","",TODAY())</f>
        <v/>
      </c>
      <c r="E1443" s="29" t="n"/>
      <c r="F1443" s="20">
        <f>IFERROR(IF(OR(A1443="",E1443=""),"",C1443-E1443),"")</f>
        <v/>
      </c>
      <c r="G1443" s="30" t="n"/>
      <c r="H1443" s="27" t="n"/>
    </row>
    <row r="1444" ht="20" customHeight="1">
      <c r="A1444" s="26" t="n"/>
      <c r="B1444" s="35">
        <f>IFERROR(IF(A1444="","",VLOOKUP(A1444,DATABASE!$A:$B,2,0)),"")</f>
        <v/>
      </c>
      <c r="C1444" s="36">
        <f>IFERROR(IF(A1444="","",VLOOKUP(A1444,DATABASE!$A:$J,10,0)),"")</f>
        <v/>
      </c>
      <c r="D1444" s="37">
        <f>IF(A1444="","",TODAY())</f>
        <v/>
      </c>
      <c r="E1444" s="29" t="n"/>
      <c r="F1444" s="36">
        <f>IFERROR(IF(OR(A1444="",E1444=""),"",C1444-E1444),"")</f>
        <v/>
      </c>
      <c r="G1444" s="30" t="n"/>
      <c r="H1444" s="35" t="n"/>
    </row>
    <row r="1445" ht="20" customHeight="1">
      <c r="A1445" s="26" t="n"/>
      <c r="B1445" s="27">
        <f>IFERROR(IF(A1445="","",VLOOKUP(A1445,DATABASE!$A:$B,2,0)),"")</f>
        <v/>
      </c>
      <c r="C1445" s="20">
        <f>IFERROR(IF(A1445="","",VLOOKUP(A1445,DATABASE!$A:$J,10,0)),"")</f>
        <v/>
      </c>
      <c r="D1445" s="28">
        <f>IF(A1445="","",TODAY())</f>
        <v/>
      </c>
      <c r="E1445" s="29" t="n"/>
      <c r="F1445" s="20">
        <f>IFERROR(IF(OR(A1445="",E1445=""),"",C1445-E1445),"")</f>
        <v/>
      </c>
      <c r="G1445" s="30" t="n"/>
      <c r="H1445" s="27" t="n"/>
    </row>
    <row r="1446" ht="20" customHeight="1">
      <c r="A1446" s="26" t="n"/>
      <c r="B1446" s="35">
        <f>IFERROR(IF(A1446="","",VLOOKUP(A1446,DATABASE!$A:$B,2,0)),"")</f>
        <v/>
      </c>
      <c r="C1446" s="36">
        <f>IFERROR(IF(A1446="","",VLOOKUP(A1446,DATABASE!$A:$J,10,0)),"")</f>
        <v/>
      </c>
      <c r="D1446" s="37">
        <f>IF(A1446="","",TODAY())</f>
        <v/>
      </c>
      <c r="E1446" s="29" t="n"/>
      <c r="F1446" s="36">
        <f>IFERROR(IF(OR(A1446="",E1446=""),"",C1446-E1446),"")</f>
        <v/>
      </c>
      <c r="G1446" s="30" t="n"/>
      <c r="H1446" s="35" t="n"/>
    </row>
    <row r="1447" ht="20" customHeight="1">
      <c r="A1447" s="26" t="n"/>
      <c r="B1447" s="27">
        <f>IFERROR(IF(A1447="","",VLOOKUP(A1447,DATABASE!$A:$B,2,0)),"")</f>
        <v/>
      </c>
      <c r="C1447" s="20">
        <f>IFERROR(IF(A1447="","",VLOOKUP(A1447,DATABASE!$A:$J,10,0)),"")</f>
        <v/>
      </c>
      <c r="D1447" s="28">
        <f>IF(A1447="","",TODAY())</f>
        <v/>
      </c>
      <c r="E1447" s="29" t="n"/>
      <c r="F1447" s="20">
        <f>IFERROR(IF(OR(A1447="",E1447=""),"",C1447-E1447),"")</f>
        <v/>
      </c>
      <c r="G1447" s="30" t="n"/>
      <c r="H1447" s="27" t="n"/>
    </row>
    <row r="1448" ht="20" customHeight="1">
      <c r="A1448" s="26" t="n"/>
      <c r="B1448" s="35">
        <f>IFERROR(IF(A1448="","",VLOOKUP(A1448,DATABASE!$A:$B,2,0)),"")</f>
        <v/>
      </c>
      <c r="C1448" s="36">
        <f>IFERROR(IF(A1448="","",VLOOKUP(A1448,DATABASE!$A:$J,10,0)),"")</f>
        <v/>
      </c>
      <c r="D1448" s="37">
        <f>IF(A1448="","",TODAY())</f>
        <v/>
      </c>
      <c r="E1448" s="29" t="n"/>
      <c r="F1448" s="36">
        <f>IFERROR(IF(OR(A1448="",E1448=""),"",C1448-E1448),"")</f>
        <v/>
      </c>
      <c r="G1448" s="30" t="n"/>
      <c r="H1448" s="35" t="n"/>
    </row>
    <row r="1449" ht="20" customHeight="1">
      <c r="A1449" s="26" t="n"/>
      <c r="B1449" s="27">
        <f>IFERROR(IF(A1449="","",VLOOKUP(A1449,DATABASE!$A:$B,2,0)),"")</f>
        <v/>
      </c>
      <c r="C1449" s="20">
        <f>IFERROR(IF(A1449="","",VLOOKUP(A1449,DATABASE!$A:$J,10,0)),"")</f>
        <v/>
      </c>
      <c r="D1449" s="28">
        <f>IF(A1449="","",TODAY())</f>
        <v/>
      </c>
      <c r="E1449" s="29" t="n"/>
      <c r="F1449" s="20">
        <f>IFERROR(IF(OR(A1449="",E1449=""),"",C1449-E1449),"")</f>
        <v/>
      </c>
      <c r="G1449" s="30" t="n"/>
      <c r="H1449" s="27" t="n"/>
    </row>
    <row r="1450" ht="20" customHeight="1">
      <c r="A1450" s="26" t="n"/>
      <c r="B1450" s="35">
        <f>IFERROR(IF(A1450="","",VLOOKUP(A1450,DATABASE!$A:$B,2,0)),"")</f>
        <v/>
      </c>
      <c r="C1450" s="36">
        <f>IFERROR(IF(A1450="","",VLOOKUP(A1450,DATABASE!$A:$J,10,0)),"")</f>
        <v/>
      </c>
      <c r="D1450" s="37">
        <f>IF(A1450="","",TODAY())</f>
        <v/>
      </c>
      <c r="E1450" s="29" t="n"/>
      <c r="F1450" s="36">
        <f>IFERROR(IF(OR(A1450="",E1450=""),"",C1450-E1450),"")</f>
        <v/>
      </c>
      <c r="G1450" s="30" t="n"/>
      <c r="H1450" s="35" t="n"/>
    </row>
    <row r="1451" ht="20" customHeight="1">
      <c r="A1451" s="26" t="n"/>
      <c r="B1451" s="27">
        <f>IFERROR(IF(A1451="","",VLOOKUP(A1451,DATABASE!$A:$B,2,0)),"")</f>
        <v/>
      </c>
      <c r="C1451" s="20">
        <f>IFERROR(IF(A1451="","",VLOOKUP(A1451,DATABASE!$A:$J,10,0)),"")</f>
        <v/>
      </c>
      <c r="D1451" s="28">
        <f>IF(A1451="","",TODAY())</f>
        <v/>
      </c>
      <c r="E1451" s="29" t="n"/>
      <c r="F1451" s="20">
        <f>IFERROR(IF(OR(A1451="",E1451=""),"",C1451-E1451),"")</f>
        <v/>
      </c>
      <c r="G1451" s="30" t="n"/>
      <c r="H1451" s="27" t="n"/>
    </row>
    <row r="1452" ht="20" customHeight="1">
      <c r="A1452" s="26" t="n"/>
      <c r="B1452" s="35">
        <f>IFERROR(IF(A1452="","",VLOOKUP(A1452,DATABASE!$A:$B,2,0)),"")</f>
        <v/>
      </c>
      <c r="C1452" s="36">
        <f>IFERROR(IF(A1452="","",VLOOKUP(A1452,DATABASE!$A:$J,10,0)),"")</f>
        <v/>
      </c>
      <c r="D1452" s="37">
        <f>IF(A1452="","",TODAY())</f>
        <v/>
      </c>
      <c r="E1452" s="29" t="n"/>
      <c r="F1452" s="36">
        <f>IFERROR(IF(OR(A1452="",E1452=""),"",C1452-E1452),"")</f>
        <v/>
      </c>
      <c r="G1452" s="30" t="n"/>
      <c r="H1452" s="35" t="n"/>
    </row>
    <row r="1453" ht="20" customHeight="1">
      <c r="A1453" s="26" t="n"/>
      <c r="B1453" s="27">
        <f>IFERROR(IF(A1453="","",VLOOKUP(A1453,DATABASE!$A:$B,2,0)),"")</f>
        <v/>
      </c>
      <c r="C1453" s="20">
        <f>IFERROR(IF(A1453="","",VLOOKUP(A1453,DATABASE!$A:$J,10,0)),"")</f>
        <v/>
      </c>
      <c r="D1453" s="28">
        <f>IF(A1453="","",TODAY())</f>
        <v/>
      </c>
      <c r="E1453" s="29" t="n"/>
      <c r="F1453" s="20">
        <f>IFERROR(IF(OR(A1453="",E1453=""),"",C1453-E1453),"")</f>
        <v/>
      </c>
      <c r="G1453" s="30" t="n"/>
      <c r="H1453" s="27" t="n"/>
    </row>
    <row r="1454" ht="20" customHeight="1">
      <c r="A1454" s="26" t="n"/>
      <c r="B1454" s="35">
        <f>IFERROR(IF(A1454="","",VLOOKUP(A1454,DATABASE!$A:$B,2,0)),"")</f>
        <v/>
      </c>
      <c r="C1454" s="36">
        <f>IFERROR(IF(A1454="","",VLOOKUP(A1454,DATABASE!$A:$J,10,0)),"")</f>
        <v/>
      </c>
      <c r="D1454" s="37">
        <f>IF(A1454="","",TODAY())</f>
        <v/>
      </c>
      <c r="E1454" s="29" t="n"/>
      <c r="F1454" s="36">
        <f>IFERROR(IF(OR(A1454="",E1454=""),"",C1454-E1454),"")</f>
        <v/>
      </c>
      <c r="G1454" s="30" t="n"/>
      <c r="H1454" s="35" t="n"/>
    </row>
    <row r="1455" ht="20" customHeight="1">
      <c r="A1455" s="26" t="n"/>
      <c r="B1455" s="27">
        <f>IFERROR(IF(A1455="","",VLOOKUP(A1455,DATABASE!$A:$B,2,0)),"")</f>
        <v/>
      </c>
      <c r="C1455" s="20">
        <f>IFERROR(IF(A1455="","",VLOOKUP(A1455,DATABASE!$A:$J,10,0)),"")</f>
        <v/>
      </c>
      <c r="D1455" s="28">
        <f>IF(A1455="","",TODAY())</f>
        <v/>
      </c>
      <c r="E1455" s="29" t="n"/>
      <c r="F1455" s="20">
        <f>IFERROR(IF(OR(A1455="",E1455=""),"",C1455-E1455),"")</f>
        <v/>
      </c>
      <c r="G1455" s="30" t="n"/>
      <c r="H1455" s="27" t="n"/>
    </row>
    <row r="1456" ht="20" customHeight="1">
      <c r="A1456" s="26" t="n"/>
      <c r="B1456" s="35">
        <f>IFERROR(IF(A1456="","",VLOOKUP(A1456,DATABASE!$A:$B,2,0)),"")</f>
        <v/>
      </c>
      <c r="C1456" s="36">
        <f>IFERROR(IF(A1456="","",VLOOKUP(A1456,DATABASE!$A:$J,10,0)),"")</f>
        <v/>
      </c>
      <c r="D1456" s="37">
        <f>IF(A1456="","",TODAY())</f>
        <v/>
      </c>
      <c r="E1456" s="29" t="n"/>
      <c r="F1456" s="36">
        <f>IFERROR(IF(OR(A1456="",E1456=""),"",C1456-E1456),"")</f>
        <v/>
      </c>
      <c r="G1456" s="30" t="n"/>
      <c r="H1456" s="35" t="n"/>
    </row>
    <row r="1457" ht="20" customHeight="1">
      <c r="A1457" s="26" t="n"/>
      <c r="B1457" s="27">
        <f>IFERROR(IF(A1457="","",VLOOKUP(A1457,DATABASE!$A:$B,2,0)),"")</f>
        <v/>
      </c>
      <c r="C1457" s="20">
        <f>IFERROR(IF(A1457="","",VLOOKUP(A1457,DATABASE!$A:$J,10,0)),"")</f>
        <v/>
      </c>
      <c r="D1457" s="28">
        <f>IF(A1457="","",TODAY())</f>
        <v/>
      </c>
      <c r="E1457" s="29" t="n"/>
      <c r="F1457" s="20">
        <f>IFERROR(IF(OR(A1457="",E1457=""),"",C1457-E1457),"")</f>
        <v/>
      </c>
      <c r="G1457" s="30" t="n"/>
      <c r="H1457" s="27" t="n"/>
    </row>
    <row r="1458" ht="20" customHeight="1">
      <c r="A1458" s="26" t="n"/>
      <c r="B1458" s="35">
        <f>IFERROR(IF(A1458="","",VLOOKUP(A1458,DATABASE!$A:$B,2,0)),"")</f>
        <v/>
      </c>
      <c r="C1458" s="36">
        <f>IFERROR(IF(A1458="","",VLOOKUP(A1458,DATABASE!$A:$J,10,0)),"")</f>
        <v/>
      </c>
      <c r="D1458" s="37">
        <f>IF(A1458="","",TODAY())</f>
        <v/>
      </c>
      <c r="E1458" s="29" t="n"/>
      <c r="F1458" s="36">
        <f>IFERROR(IF(OR(A1458="",E1458=""),"",C1458-E1458),"")</f>
        <v/>
      </c>
      <c r="G1458" s="30" t="n"/>
      <c r="H1458" s="35" t="n"/>
    </row>
    <row r="1459" ht="20" customHeight="1">
      <c r="A1459" s="26" t="n"/>
      <c r="B1459" s="27">
        <f>IFERROR(IF(A1459="","",VLOOKUP(A1459,DATABASE!$A:$B,2,0)),"")</f>
        <v/>
      </c>
      <c r="C1459" s="20">
        <f>IFERROR(IF(A1459="","",VLOOKUP(A1459,DATABASE!$A:$J,10,0)),"")</f>
        <v/>
      </c>
      <c r="D1459" s="28">
        <f>IF(A1459="","",TODAY())</f>
        <v/>
      </c>
      <c r="E1459" s="29" t="n"/>
      <c r="F1459" s="20">
        <f>IFERROR(IF(OR(A1459="",E1459=""),"",C1459-E1459),"")</f>
        <v/>
      </c>
      <c r="G1459" s="30" t="n"/>
      <c r="H1459" s="27" t="n"/>
    </row>
    <row r="1460" ht="20" customHeight="1">
      <c r="A1460" s="26" t="n"/>
      <c r="B1460" s="35">
        <f>IFERROR(IF(A1460="","",VLOOKUP(A1460,DATABASE!$A:$B,2,0)),"")</f>
        <v/>
      </c>
      <c r="C1460" s="36">
        <f>IFERROR(IF(A1460="","",VLOOKUP(A1460,DATABASE!$A:$J,10,0)),"")</f>
        <v/>
      </c>
      <c r="D1460" s="37">
        <f>IF(A1460="","",TODAY())</f>
        <v/>
      </c>
      <c r="E1460" s="29" t="n"/>
      <c r="F1460" s="36">
        <f>IFERROR(IF(OR(A1460="",E1460=""),"",C1460-E1460),"")</f>
        <v/>
      </c>
      <c r="G1460" s="30" t="n"/>
      <c r="H1460" s="35" t="n"/>
    </row>
    <row r="1461" ht="20" customHeight="1">
      <c r="A1461" s="26" t="n"/>
      <c r="B1461" s="27">
        <f>IFERROR(IF(A1461="","",VLOOKUP(A1461,DATABASE!$A:$B,2,0)),"")</f>
        <v/>
      </c>
      <c r="C1461" s="20">
        <f>IFERROR(IF(A1461="","",VLOOKUP(A1461,DATABASE!$A:$J,10,0)),"")</f>
        <v/>
      </c>
      <c r="D1461" s="28">
        <f>IF(A1461="","",TODAY())</f>
        <v/>
      </c>
      <c r="E1461" s="29" t="n"/>
      <c r="F1461" s="20">
        <f>IFERROR(IF(OR(A1461="",E1461=""),"",C1461-E1461),"")</f>
        <v/>
      </c>
      <c r="G1461" s="30" t="n"/>
      <c r="H1461" s="27" t="n"/>
    </row>
    <row r="1462" ht="20" customHeight="1">
      <c r="A1462" s="26" t="n"/>
      <c r="B1462" s="35">
        <f>IFERROR(IF(A1462="","",VLOOKUP(A1462,DATABASE!$A:$B,2,0)),"")</f>
        <v/>
      </c>
      <c r="C1462" s="36">
        <f>IFERROR(IF(A1462="","",VLOOKUP(A1462,DATABASE!$A:$J,10,0)),"")</f>
        <v/>
      </c>
      <c r="D1462" s="37">
        <f>IF(A1462="","",TODAY())</f>
        <v/>
      </c>
      <c r="E1462" s="29" t="n"/>
      <c r="F1462" s="36">
        <f>IFERROR(IF(OR(A1462="",E1462=""),"",C1462-E1462),"")</f>
        <v/>
      </c>
      <c r="G1462" s="30" t="n"/>
      <c r="H1462" s="35" t="n"/>
    </row>
    <row r="1463" ht="20" customHeight="1">
      <c r="A1463" s="26" t="n"/>
      <c r="B1463" s="27">
        <f>IFERROR(IF(A1463="","",VLOOKUP(A1463,DATABASE!$A:$B,2,0)),"")</f>
        <v/>
      </c>
      <c r="C1463" s="20">
        <f>IFERROR(IF(A1463="","",VLOOKUP(A1463,DATABASE!$A:$J,10,0)),"")</f>
        <v/>
      </c>
      <c r="D1463" s="28">
        <f>IF(A1463="","",TODAY())</f>
        <v/>
      </c>
      <c r="E1463" s="29" t="n"/>
      <c r="F1463" s="20">
        <f>IFERROR(IF(OR(A1463="",E1463=""),"",C1463-E1463),"")</f>
        <v/>
      </c>
      <c r="G1463" s="30" t="n"/>
      <c r="H1463" s="27" t="n"/>
    </row>
    <row r="1464" ht="20" customHeight="1">
      <c r="A1464" s="26" t="n"/>
      <c r="B1464" s="35">
        <f>IFERROR(IF(A1464="","",VLOOKUP(A1464,DATABASE!$A:$B,2,0)),"")</f>
        <v/>
      </c>
      <c r="C1464" s="36">
        <f>IFERROR(IF(A1464="","",VLOOKUP(A1464,DATABASE!$A:$J,10,0)),"")</f>
        <v/>
      </c>
      <c r="D1464" s="37">
        <f>IF(A1464="","",TODAY())</f>
        <v/>
      </c>
      <c r="E1464" s="29" t="n"/>
      <c r="F1464" s="36">
        <f>IFERROR(IF(OR(A1464="",E1464=""),"",C1464-E1464),"")</f>
        <v/>
      </c>
      <c r="G1464" s="30" t="n"/>
      <c r="H1464" s="35" t="n"/>
    </row>
    <row r="1465" ht="20" customHeight="1">
      <c r="A1465" s="26" t="n"/>
      <c r="B1465" s="27">
        <f>IFERROR(IF(A1465="","",VLOOKUP(A1465,DATABASE!$A:$B,2,0)),"")</f>
        <v/>
      </c>
      <c r="C1465" s="20">
        <f>IFERROR(IF(A1465="","",VLOOKUP(A1465,DATABASE!$A:$J,10,0)),"")</f>
        <v/>
      </c>
      <c r="D1465" s="28">
        <f>IF(A1465="","",TODAY())</f>
        <v/>
      </c>
      <c r="E1465" s="29" t="n"/>
      <c r="F1465" s="20">
        <f>IFERROR(IF(OR(A1465="",E1465=""),"",C1465-E1465),"")</f>
        <v/>
      </c>
      <c r="G1465" s="30" t="n"/>
      <c r="H1465" s="27" t="n"/>
    </row>
    <row r="1466" ht="20" customHeight="1">
      <c r="A1466" s="26" t="n"/>
      <c r="B1466" s="35">
        <f>IFERROR(IF(A1466="","",VLOOKUP(A1466,DATABASE!$A:$B,2,0)),"")</f>
        <v/>
      </c>
      <c r="C1466" s="36">
        <f>IFERROR(IF(A1466="","",VLOOKUP(A1466,DATABASE!$A:$J,10,0)),"")</f>
        <v/>
      </c>
      <c r="D1466" s="37">
        <f>IF(A1466="","",TODAY())</f>
        <v/>
      </c>
      <c r="E1466" s="29" t="n"/>
      <c r="F1466" s="36">
        <f>IFERROR(IF(OR(A1466="",E1466=""),"",C1466-E1466),"")</f>
        <v/>
      </c>
      <c r="G1466" s="30" t="n"/>
      <c r="H1466" s="35" t="n"/>
    </row>
    <row r="1467" ht="20" customHeight="1">
      <c r="A1467" s="26" t="n"/>
      <c r="B1467" s="27">
        <f>IFERROR(IF(A1467="","",VLOOKUP(A1467,DATABASE!$A:$B,2,0)),"")</f>
        <v/>
      </c>
      <c r="C1467" s="20">
        <f>IFERROR(IF(A1467="","",VLOOKUP(A1467,DATABASE!$A:$J,10,0)),"")</f>
        <v/>
      </c>
      <c r="D1467" s="28">
        <f>IF(A1467="","",TODAY())</f>
        <v/>
      </c>
      <c r="E1467" s="29" t="n"/>
      <c r="F1467" s="20">
        <f>IFERROR(IF(OR(A1467="",E1467=""),"",C1467-E1467),"")</f>
        <v/>
      </c>
      <c r="G1467" s="30" t="n"/>
      <c r="H1467" s="27" t="n"/>
    </row>
    <row r="1468" ht="20" customHeight="1">
      <c r="A1468" s="26" t="n"/>
      <c r="B1468" s="35">
        <f>IFERROR(IF(A1468="","",VLOOKUP(A1468,DATABASE!$A:$B,2,0)),"")</f>
        <v/>
      </c>
      <c r="C1468" s="36">
        <f>IFERROR(IF(A1468="","",VLOOKUP(A1468,DATABASE!$A:$J,10,0)),"")</f>
        <v/>
      </c>
      <c r="D1468" s="37">
        <f>IF(A1468="","",TODAY())</f>
        <v/>
      </c>
      <c r="E1468" s="29" t="n"/>
      <c r="F1468" s="36">
        <f>IFERROR(IF(OR(A1468="",E1468=""),"",C1468-E1468),"")</f>
        <v/>
      </c>
      <c r="G1468" s="30" t="n"/>
      <c r="H1468" s="35" t="n"/>
    </row>
    <row r="1469" ht="20" customHeight="1">
      <c r="A1469" s="26" t="n"/>
      <c r="B1469" s="27">
        <f>IFERROR(IF(A1469="","",VLOOKUP(A1469,DATABASE!$A:$B,2,0)),"")</f>
        <v/>
      </c>
      <c r="C1469" s="20">
        <f>IFERROR(IF(A1469="","",VLOOKUP(A1469,DATABASE!$A:$J,10,0)),"")</f>
        <v/>
      </c>
      <c r="D1469" s="28">
        <f>IF(A1469="","",TODAY())</f>
        <v/>
      </c>
      <c r="E1469" s="29" t="n"/>
      <c r="F1469" s="20">
        <f>IFERROR(IF(OR(A1469="",E1469=""),"",C1469-E1469),"")</f>
        <v/>
      </c>
      <c r="G1469" s="30" t="n"/>
      <c r="H1469" s="27" t="n"/>
    </row>
    <row r="1470" ht="20" customHeight="1">
      <c r="A1470" s="26" t="n"/>
      <c r="B1470" s="35">
        <f>IFERROR(IF(A1470="","",VLOOKUP(A1470,DATABASE!$A:$B,2,0)),"")</f>
        <v/>
      </c>
      <c r="C1470" s="36">
        <f>IFERROR(IF(A1470="","",VLOOKUP(A1470,DATABASE!$A:$J,10,0)),"")</f>
        <v/>
      </c>
      <c r="D1470" s="37">
        <f>IF(A1470="","",TODAY())</f>
        <v/>
      </c>
      <c r="E1470" s="29" t="n"/>
      <c r="F1470" s="36">
        <f>IFERROR(IF(OR(A1470="",E1470=""),"",C1470-E1470),"")</f>
        <v/>
      </c>
      <c r="G1470" s="30" t="n"/>
      <c r="H1470" s="35" t="n"/>
    </row>
    <row r="1471" ht="20" customHeight="1">
      <c r="A1471" s="26" t="n"/>
      <c r="B1471" s="27">
        <f>IFERROR(IF(A1471="","",VLOOKUP(A1471,DATABASE!$A:$B,2,0)),"")</f>
        <v/>
      </c>
      <c r="C1471" s="20">
        <f>IFERROR(IF(A1471="","",VLOOKUP(A1471,DATABASE!$A:$J,10,0)),"")</f>
        <v/>
      </c>
      <c r="D1471" s="28">
        <f>IF(A1471="","",TODAY())</f>
        <v/>
      </c>
      <c r="E1471" s="29" t="n"/>
      <c r="F1471" s="20">
        <f>IFERROR(IF(OR(A1471="",E1471=""),"",C1471-E1471),"")</f>
        <v/>
      </c>
      <c r="G1471" s="30" t="n"/>
      <c r="H1471" s="27" t="n"/>
    </row>
    <row r="1472" ht="20" customHeight="1">
      <c r="A1472" s="26" t="n"/>
      <c r="B1472" s="35">
        <f>IFERROR(IF(A1472="","",VLOOKUP(A1472,DATABASE!$A:$B,2,0)),"")</f>
        <v/>
      </c>
      <c r="C1472" s="36">
        <f>IFERROR(IF(A1472="","",VLOOKUP(A1472,DATABASE!$A:$J,10,0)),"")</f>
        <v/>
      </c>
      <c r="D1472" s="37">
        <f>IF(A1472="","",TODAY())</f>
        <v/>
      </c>
      <c r="E1472" s="29" t="n"/>
      <c r="F1472" s="36">
        <f>IFERROR(IF(OR(A1472="",E1472=""),"",C1472-E1472),"")</f>
        <v/>
      </c>
      <c r="G1472" s="30" t="n"/>
      <c r="H1472" s="35" t="n"/>
    </row>
    <row r="1473" ht="20" customHeight="1">
      <c r="A1473" s="26" t="n"/>
      <c r="B1473" s="27">
        <f>IFERROR(IF(A1473="","",VLOOKUP(A1473,DATABASE!$A:$B,2,0)),"")</f>
        <v/>
      </c>
      <c r="C1473" s="20">
        <f>IFERROR(IF(A1473="","",VLOOKUP(A1473,DATABASE!$A:$J,10,0)),"")</f>
        <v/>
      </c>
      <c r="D1473" s="28">
        <f>IF(A1473="","",TODAY())</f>
        <v/>
      </c>
      <c r="E1473" s="29" t="n"/>
      <c r="F1473" s="20">
        <f>IFERROR(IF(OR(A1473="",E1473=""),"",C1473-E1473),"")</f>
        <v/>
      </c>
      <c r="G1473" s="30" t="n"/>
      <c r="H1473" s="27" t="n"/>
    </row>
    <row r="1474" ht="20" customHeight="1">
      <c r="A1474" s="26" t="n"/>
      <c r="B1474" s="35">
        <f>IFERROR(IF(A1474="","",VLOOKUP(A1474,DATABASE!$A:$B,2,0)),"")</f>
        <v/>
      </c>
      <c r="C1474" s="36">
        <f>IFERROR(IF(A1474="","",VLOOKUP(A1474,DATABASE!$A:$J,10,0)),"")</f>
        <v/>
      </c>
      <c r="D1474" s="37">
        <f>IF(A1474="","",TODAY())</f>
        <v/>
      </c>
      <c r="E1474" s="29" t="n"/>
      <c r="F1474" s="36">
        <f>IFERROR(IF(OR(A1474="",E1474=""),"",C1474-E1474),"")</f>
        <v/>
      </c>
      <c r="G1474" s="30" t="n"/>
      <c r="H1474" s="35" t="n"/>
    </row>
    <row r="1475" ht="20" customHeight="1">
      <c r="A1475" s="26" t="n"/>
      <c r="B1475" s="27">
        <f>IFERROR(IF(A1475="","",VLOOKUP(A1475,DATABASE!$A:$B,2,0)),"")</f>
        <v/>
      </c>
      <c r="C1475" s="20">
        <f>IFERROR(IF(A1475="","",VLOOKUP(A1475,DATABASE!$A:$J,10,0)),"")</f>
        <v/>
      </c>
      <c r="D1475" s="28">
        <f>IF(A1475="","",TODAY())</f>
        <v/>
      </c>
      <c r="E1475" s="29" t="n"/>
      <c r="F1475" s="20">
        <f>IFERROR(IF(OR(A1475="",E1475=""),"",C1475-E1475),"")</f>
        <v/>
      </c>
      <c r="G1475" s="30" t="n"/>
      <c r="H1475" s="27" t="n"/>
    </row>
    <row r="1476" ht="20" customHeight="1">
      <c r="A1476" s="26" t="n"/>
      <c r="B1476" s="35">
        <f>IFERROR(IF(A1476="","",VLOOKUP(A1476,DATABASE!$A:$B,2,0)),"")</f>
        <v/>
      </c>
      <c r="C1476" s="36">
        <f>IFERROR(IF(A1476="","",VLOOKUP(A1476,DATABASE!$A:$J,10,0)),"")</f>
        <v/>
      </c>
      <c r="D1476" s="37">
        <f>IF(A1476="","",TODAY())</f>
        <v/>
      </c>
      <c r="E1476" s="29" t="n"/>
      <c r="F1476" s="36">
        <f>IFERROR(IF(OR(A1476="",E1476=""),"",C1476-E1476),"")</f>
        <v/>
      </c>
      <c r="G1476" s="30" t="n"/>
      <c r="H1476" s="35" t="n"/>
    </row>
    <row r="1477" ht="20" customHeight="1">
      <c r="A1477" s="26" t="n"/>
      <c r="B1477" s="27">
        <f>IFERROR(IF(A1477="","",VLOOKUP(A1477,DATABASE!$A:$B,2,0)),"")</f>
        <v/>
      </c>
      <c r="C1477" s="20">
        <f>IFERROR(IF(A1477="","",VLOOKUP(A1477,DATABASE!$A:$J,10,0)),"")</f>
        <v/>
      </c>
      <c r="D1477" s="28">
        <f>IF(A1477="","",TODAY())</f>
        <v/>
      </c>
      <c r="E1477" s="29" t="n"/>
      <c r="F1477" s="20">
        <f>IFERROR(IF(OR(A1477="",E1477=""),"",C1477-E1477),"")</f>
        <v/>
      </c>
      <c r="G1477" s="30" t="n"/>
      <c r="H1477" s="27" t="n"/>
    </row>
    <row r="1478" ht="20" customHeight="1">
      <c r="A1478" s="26" t="n"/>
      <c r="B1478" s="35">
        <f>IFERROR(IF(A1478="","",VLOOKUP(A1478,DATABASE!$A:$B,2,0)),"")</f>
        <v/>
      </c>
      <c r="C1478" s="36">
        <f>IFERROR(IF(A1478="","",VLOOKUP(A1478,DATABASE!$A:$J,10,0)),"")</f>
        <v/>
      </c>
      <c r="D1478" s="37">
        <f>IF(A1478="","",TODAY())</f>
        <v/>
      </c>
      <c r="E1478" s="29" t="n"/>
      <c r="F1478" s="36">
        <f>IFERROR(IF(OR(A1478="",E1478=""),"",C1478-E1478),"")</f>
        <v/>
      </c>
      <c r="G1478" s="30" t="n"/>
      <c r="H1478" s="35" t="n"/>
    </row>
    <row r="1479" ht="20" customHeight="1">
      <c r="A1479" s="26" t="n"/>
      <c r="B1479" s="27">
        <f>IFERROR(IF(A1479="","",VLOOKUP(A1479,DATABASE!$A:$B,2,0)),"")</f>
        <v/>
      </c>
      <c r="C1479" s="20">
        <f>IFERROR(IF(A1479="","",VLOOKUP(A1479,DATABASE!$A:$J,10,0)),"")</f>
        <v/>
      </c>
      <c r="D1479" s="28">
        <f>IF(A1479="","",TODAY())</f>
        <v/>
      </c>
      <c r="E1479" s="29" t="n"/>
      <c r="F1479" s="20">
        <f>IFERROR(IF(OR(A1479="",E1479=""),"",C1479-E1479),"")</f>
        <v/>
      </c>
      <c r="G1479" s="30" t="n"/>
      <c r="H1479" s="27" t="n"/>
    </row>
    <row r="1480" ht="20" customHeight="1">
      <c r="A1480" s="26" t="n"/>
      <c r="B1480" s="35">
        <f>IFERROR(IF(A1480="","",VLOOKUP(A1480,DATABASE!$A:$B,2,0)),"")</f>
        <v/>
      </c>
      <c r="C1480" s="36">
        <f>IFERROR(IF(A1480="","",VLOOKUP(A1480,DATABASE!$A:$J,10,0)),"")</f>
        <v/>
      </c>
      <c r="D1480" s="37">
        <f>IF(A1480="","",TODAY())</f>
        <v/>
      </c>
      <c r="E1480" s="29" t="n"/>
      <c r="F1480" s="36">
        <f>IFERROR(IF(OR(A1480="",E1480=""),"",C1480-E1480),"")</f>
        <v/>
      </c>
      <c r="G1480" s="30" t="n"/>
      <c r="H1480" s="35" t="n"/>
    </row>
    <row r="1481" ht="20" customHeight="1">
      <c r="A1481" s="26" t="n"/>
      <c r="B1481" s="27">
        <f>IFERROR(IF(A1481="","",VLOOKUP(A1481,DATABASE!$A:$B,2,0)),"")</f>
        <v/>
      </c>
      <c r="C1481" s="20">
        <f>IFERROR(IF(A1481="","",VLOOKUP(A1481,DATABASE!$A:$J,10,0)),"")</f>
        <v/>
      </c>
      <c r="D1481" s="28">
        <f>IF(A1481="","",TODAY())</f>
        <v/>
      </c>
      <c r="E1481" s="29" t="n"/>
      <c r="F1481" s="20">
        <f>IFERROR(IF(OR(A1481="",E1481=""),"",C1481-E1481),"")</f>
        <v/>
      </c>
      <c r="G1481" s="30" t="n"/>
      <c r="H1481" s="27" t="n"/>
    </row>
    <row r="1482" ht="20" customHeight="1">
      <c r="A1482" s="26" t="n"/>
      <c r="B1482" s="35">
        <f>IFERROR(IF(A1482="","",VLOOKUP(A1482,DATABASE!$A:$B,2,0)),"")</f>
        <v/>
      </c>
      <c r="C1482" s="36">
        <f>IFERROR(IF(A1482="","",VLOOKUP(A1482,DATABASE!$A:$J,10,0)),"")</f>
        <v/>
      </c>
      <c r="D1482" s="37">
        <f>IF(A1482="","",TODAY())</f>
        <v/>
      </c>
      <c r="E1482" s="29" t="n"/>
      <c r="F1482" s="36">
        <f>IFERROR(IF(OR(A1482="",E1482=""),"",C1482-E1482),"")</f>
        <v/>
      </c>
      <c r="G1482" s="30" t="n"/>
      <c r="H1482" s="35" t="n"/>
    </row>
    <row r="1483" ht="20" customHeight="1">
      <c r="A1483" s="26" t="n"/>
      <c r="B1483" s="27">
        <f>IFERROR(IF(A1483="","",VLOOKUP(A1483,DATABASE!$A:$B,2,0)),"")</f>
        <v/>
      </c>
      <c r="C1483" s="20">
        <f>IFERROR(IF(A1483="","",VLOOKUP(A1483,DATABASE!$A:$J,10,0)),"")</f>
        <v/>
      </c>
      <c r="D1483" s="28">
        <f>IF(A1483="","",TODAY())</f>
        <v/>
      </c>
      <c r="E1483" s="29" t="n"/>
      <c r="F1483" s="20">
        <f>IFERROR(IF(OR(A1483="",E1483=""),"",C1483-E1483),"")</f>
        <v/>
      </c>
      <c r="G1483" s="30" t="n"/>
      <c r="H1483" s="27" t="n"/>
    </row>
    <row r="1484" ht="20" customHeight="1">
      <c r="A1484" s="26" t="n"/>
      <c r="B1484" s="35">
        <f>IFERROR(IF(A1484="","",VLOOKUP(A1484,DATABASE!$A:$B,2,0)),"")</f>
        <v/>
      </c>
      <c r="C1484" s="36">
        <f>IFERROR(IF(A1484="","",VLOOKUP(A1484,DATABASE!$A:$J,10,0)),"")</f>
        <v/>
      </c>
      <c r="D1484" s="37">
        <f>IF(A1484="","",TODAY())</f>
        <v/>
      </c>
      <c r="E1484" s="29" t="n"/>
      <c r="F1484" s="36">
        <f>IFERROR(IF(OR(A1484="",E1484=""),"",C1484-E1484),"")</f>
        <v/>
      </c>
      <c r="G1484" s="30" t="n"/>
      <c r="H1484" s="35" t="n"/>
    </row>
    <row r="1485" ht="20" customHeight="1">
      <c r="A1485" s="26" t="n"/>
      <c r="B1485" s="27">
        <f>IFERROR(IF(A1485="","",VLOOKUP(A1485,DATABASE!$A:$B,2,0)),"")</f>
        <v/>
      </c>
      <c r="C1485" s="20">
        <f>IFERROR(IF(A1485="","",VLOOKUP(A1485,DATABASE!$A:$J,10,0)),"")</f>
        <v/>
      </c>
      <c r="D1485" s="28">
        <f>IF(A1485="","",TODAY())</f>
        <v/>
      </c>
      <c r="E1485" s="29" t="n"/>
      <c r="F1485" s="20">
        <f>IFERROR(IF(OR(A1485="",E1485=""),"",C1485-E1485),"")</f>
        <v/>
      </c>
      <c r="G1485" s="30" t="n"/>
      <c r="H1485" s="27" t="n"/>
    </row>
    <row r="1486" ht="20" customHeight="1">
      <c r="A1486" s="26" t="n"/>
      <c r="B1486" s="35">
        <f>IFERROR(IF(A1486="","",VLOOKUP(A1486,DATABASE!$A:$B,2,0)),"")</f>
        <v/>
      </c>
      <c r="C1486" s="36">
        <f>IFERROR(IF(A1486="","",VLOOKUP(A1486,DATABASE!$A:$J,10,0)),"")</f>
        <v/>
      </c>
      <c r="D1486" s="37">
        <f>IF(A1486="","",TODAY())</f>
        <v/>
      </c>
      <c r="E1486" s="29" t="n"/>
      <c r="F1486" s="36">
        <f>IFERROR(IF(OR(A1486="",E1486=""),"",C1486-E1486),"")</f>
        <v/>
      </c>
      <c r="G1486" s="30" t="n"/>
      <c r="H1486" s="35" t="n"/>
    </row>
    <row r="1487" ht="20" customHeight="1">
      <c r="A1487" s="26" t="n"/>
      <c r="B1487" s="27">
        <f>IFERROR(IF(A1487="","",VLOOKUP(A1487,DATABASE!$A:$B,2,0)),"")</f>
        <v/>
      </c>
      <c r="C1487" s="20">
        <f>IFERROR(IF(A1487="","",VLOOKUP(A1487,DATABASE!$A:$J,10,0)),"")</f>
        <v/>
      </c>
      <c r="D1487" s="28">
        <f>IF(A1487="","",TODAY())</f>
        <v/>
      </c>
      <c r="E1487" s="29" t="n"/>
      <c r="F1487" s="20">
        <f>IFERROR(IF(OR(A1487="",E1487=""),"",C1487-E1487),"")</f>
        <v/>
      </c>
      <c r="G1487" s="30" t="n"/>
      <c r="H1487" s="27" t="n"/>
    </row>
    <row r="1488" ht="20" customHeight="1">
      <c r="A1488" s="26" t="n"/>
      <c r="B1488" s="35">
        <f>IFERROR(IF(A1488="","",VLOOKUP(A1488,DATABASE!$A:$B,2,0)),"")</f>
        <v/>
      </c>
      <c r="C1488" s="36">
        <f>IFERROR(IF(A1488="","",VLOOKUP(A1488,DATABASE!$A:$J,10,0)),"")</f>
        <v/>
      </c>
      <c r="D1488" s="37">
        <f>IF(A1488="","",TODAY())</f>
        <v/>
      </c>
      <c r="E1488" s="29" t="n"/>
      <c r="F1488" s="36">
        <f>IFERROR(IF(OR(A1488="",E1488=""),"",C1488-E1488),"")</f>
        <v/>
      </c>
      <c r="G1488" s="30" t="n"/>
      <c r="H1488" s="35" t="n"/>
    </row>
    <row r="1489" ht="20" customHeight="1">
      <c r="A1489" s="26" t="n"/>
      <c r="B1489" s="27">
        <f>IFERROR(IF(A1489="","",VLOOKUP(A1489,DATABASE!$A:$B,2,0)),"")</f>
        <v/>
      </c>
      <c r="C1489" s="20">
        <f>IFERROR(IF(A1489="","",VLOOKUP(A1489,DATABASE!$A:$J,10,0)),"")</f>
        <v/>
      </c>
      <c r="D1489" s="28">
        <f>IF(A1489="","",TODAY())</f>
        <v/>
      </c>
      <c r="E1489" s="29" t="n"/>
      <c r="F1489" s="20">
        <f>IFERROR(IF(OR(A1489="",E1489=""),"",C1489-E1489),"")</f>
        <v/>
      </c>
      <c r="G1489" s="30" t="n"/>
      <c r="H1489" s="27" t="n"/>
    </row>
    <row r="1490" ht="20" customHeight="1">
      <c r="A1490" s="26" t="n"/>
      <c r="B1490" s="35">
        <f>IFERROR(IF(A1490="","",VLOOKUP(A1490,DATABASE!$A:$B,2,0)),"")</f>
        <v/>
      </c>
      <c r="C1490" s="36">
        <f>IFERROR(IF(A1490="","",VLOOKUP(A1490,DATABASE!$A:$J,10,0)),"")</f>
        <v/>
      </c>
      <c r="D1490" s="37">
        <f>IF(A1490="","",TODAY())</f>
        <v/>
      </c>
      <c r="E1490" s="29" t="n"/>
      <c r="F1490" s="36">
        <f>IFERROR(IF(OR(A1490="",E1490=""),"",C1490-E1490),"")</f>
        <v/>
      </c>
      <c r="G1490" s="30" t="n"/>
      <c r="H1490" s="35" t="n"/>
    </row>
    <row r="1491" ht="20" customHeight="1">
      <c r="A1491" s="26" t="n"/>
      <c r="B1491" s="27">
        <f>IFERROR(IF(A1491="","",VLOOKUP(A1491,DATABASE!$A:$B,2,0)),"")</f>
        <v/>
      </c>
      <c r="C1491" s="20">
        <f>IFERROR(IF(A1491="","",VLOOKUP(A1491,DATABASE!$A:$J,10,0)),"")</f>
        <v/>
      </c>
      <c r="D1491" s="28">
        <f>IF(A1491="","",TODAY())</f>
        <v/>
      </c>
      <c r="E1491" s="29" t="n"/>
      <c r="F1491" s="20">
        <f>IFERROR(IF(OR(A1491="",E1491=""),"",C1491-E1491),"")</f>
        <v/>
      </c>
      <c r="G1491" s="30" t="n"/>
      <c r="H1491" s="27" t="n"/>
    </row>
    <row r="1492" ht="20" customHeight="1">
      <c r="A1492" s="26" t="n"/>
      <c r="B1492" s="35">
        <f>IFERROR(IF(A1492="","",VLOOKUP(A1492,DATABASE!$A:$B,2,0)),"")</f>
        <v/>
      </c>
      <c r="C1492" s="36">
        <f>IFERROR(IF(A1492="","",VLOOKUP(A1492,DATABASE!$A:$J,10,0)),"")</f>
        <v/>
      </c>
      <c r="D1492" s="37">
        <f>IF(A1492="","",TODAY())</f>
        <v/>
      </c>
      <c r="E1492" s="29" t="n"/>
      <c r="F1492" s="36">
        <f>IFERROR(IF(OR(A1492="",E1492=""),"",C1492-E1492),"")</f>
        <v/>
      </c>
      <c r="G1492" s="30" t="n"/>
      <c r="H1492" s="35" t="n"/>
    </row>
    <row r="1493" ht="20" customHeight="1">
      <c r="A1493" s="26" t="n"/>
      <c r="B1493" s="27">
        <f>IFERROR(IF(A1493="","",VLOOKUP(A1493,DATABASE!$A:$B,2,0)),"")</f>
        <v/>
      </c>
      <c r="C1493" s="20">
        <f>IFERROR(IF(A1493="","",VLOOKUP(A1493,DATABASE!$A:$J,10,0)),"")</f>
        <v/>
      </c>
      <c r="D1493" s="28">
        <f>IF(A1493="","",TODAY())</f>
        <v/>
      </c>
      <c r="E1493" s="29" t="n"/>
      <c r="F1493" s="20">
        <f>IFERROR(IF(OR(A1493="",E1493=""),"",C1493-E1493),"")</f>
        <v/>
      </c>
      <c r="G1493" s="30" t="n"/>
      <c r="H1493" s="27" t="n"/>
    </row>
    <row r="1494" ht="20" customHeight="1">
      <c r="A1494" s="26" t="n"/>
      <c r="B1494" s="35">
        <f>IFERROR(IF(A1494="","",VLOOKUP(A1494,DATABASE!$A:$B,2,0)),"")</f>
        <v/>
      </c>
      <c r="C1494" s="36">
        <f>IFERROR(IF(A1494="","",VLOOKUP(A1494,DATABASE!$A:$J,10,0)),"")</f>
        <v/>
      </c>
      <c r="D1494" s="37">
        <f>IF(A1494="","",TODAY())</f>
        <v/>
      </c>
      <c r="E1494" s="29" t="n"/>
      <c r="F1494" s="36">
        <f>IFERROR(IF(OR(A1494="",E1494=""),"",C1494-E1494),"")</f>
        <v/>
      </c>
      <c r="G1494" s="30" t="n"/>
      <c r="H1494" s="35" t="n"/>
    </row>
    <row r="1495" ht="20" customHeight="1">
      <c r="A1495" s="26" t="n"/>
      <c r="B1495" s="27">
        <f>IFERROR(IF(A1495="","",VLOOKUP(A1495,DATABASE!$A:$B,2,0)),"")</f>
        <v/>
      </c>
      <c r="C1495" s="20">
        <f>IFERROR(IF(A1495="","",VLOOKUP(A1495,DATABASE!$A:$J,10,0)),"")</f>
        <v/>
      </c>
      <c r="D1495" s="28">
        <f>IF(A1495="","",TODAY())</f>
        <v/>
      </c>
      <c r="E1495" s="29" t="n"/>
      <c r="F1495" s="20">
        <f>IFERROR(IF(OR(A1495="",E1495=""),"",C1495-E1495),"")</f>
        <v/>
      </c>
      <c r="G1495" s="30" t="n"/>
      <c r="H1495" s="27" t="n"/>
    </row>
    <row r="1496" ht="20" customHeight="1">
      <c r="A1496" s="26" t="n"/>
      <c r="B1496" s="35">
        <f>IFERROR(IF(A1496="","",VLOOKUP(A1496,DATABASE!$A:$B,2,0)),"")</f>
        <v/>
      </c>
      <c r="C1496" s="36">
        <f>IFERROR(IF(A1496="","",VLOOKUP(A1496,DATABASE!$A:$J,10,0)),"")</f>
        <v/>
      </c>
      <c r="D1496" s="37">
        <f>IF(A1496="","",TODAY())</f>
        <v/>
      </c>
      <c r="E1496" s="29" t="n"/>
      <c r="F1496" s="36">
        <f>IFERROR(IF(OR(A1496="",E1496=""),"",C1496-E1496),"")</f>
        <v/>
      </c>
      <c r="G1496" s="30" t="n"/>
      <c r="H1496" s="35" t="n"/>
    </row>
    <row r="1497" ht="20" customHeight="1">
      <c r="A1497" s="26" t="n"/>
      <c r="B1497" s="27">
        <f>IFERROR(IF(A1497="","",VLOOKUP(A1497,DATABASE!$A:$B,2,0)),"")</f>
        <v/>
      </c>
      <c r="C1497" s="20">
        <f>IFERROR(IF(A1497="","",VLOOKUP(A1497,DATABASE!$A:$J,10,0)),"")</f>
        <v/>
      </c>
      <c r="D1497" s="28">
        <f>IF(A1497="","",TODAY())</f>
        <v/>
      </c>
      <c r="E1497" s="29" t="n"/>
      <c r="F1497" s="20">
        <f>IFERROR(IF(OR(A1497="",E1497=""),"",C1497-E1497),"")</f>
        <v/>
      </c>
      <c r="G1497" s="30" t="n"/>
      <c r="H1497" s="27" t="n"/>
    </row>
    <row r="1498" ht="20" customHeight="1">
      <c r="A1498" s="26" t="n"/>
      <c r="B1498" s="35">
        <f>IFERROR(IF(A1498="","",VLOOKUP(A1498,DATABASE!$A:$B,2,0)),"")</f>
        <v/>
      </c>
      <c r="C1498" s="36">
        <f>IFERROR(IF(A1498="","",VLOOKUP(A1498,DATABASE!$A:$J,10,0)),"")</f>
        <v/>
      </c>
      <c r="D1498" s="37">
        <f>IF(A1498="","",TODAY())</f>
        <v/>
      </c>
      <c r="E1498" s="29" t="n"/>
      <c r="F1498" s="36">
        <f>IFERROR(IF(OR(A1498="",E1498=""),"",C1498-E1498),"")</f>
        <v/>
      </c>
      <c r="G1498" s="30" t="n"/>
      <c r="H1498" s="35" t="n"/>
    </row>
    <row r="1499" ht="20" customHeight="1">
      <c r="A1499" s="26" t="n"/>
      <c r="B1499" s="27">
        <f>IFERROR(IF(A1499="","",VLOOKUP(A1499,DATABASE!$A:$B,2,0)),"")</f>
        <v/>
      </c>
      <c r="C1499" s="20">
        <f>IFERROR(IF(A1499="","",VLOOKUP(A1499,DATABASE!$A:$J,10,0)),"")</f>
        <v/>
      </c>
      <c r="D1499" s="28">
        <f>IF(A1499="","",TODAY())</f>
        <v/>
      </c>
      <c r="E1499" s="29" t="n"/>
      <c r="F1499" s="20">
        <f>IFERROR(IF(OR(A1499="",E1499=""),"",C1499-E1499),"")</f>
        <v/>
      </c>
      <c r="G1499" s="30" t="n"/>
      <c r="H1499" s="27" t="n"/>
    </row>
    <row r="1500" ht="20" customHeight="1">
      <c r="A1500" s="26" t="n"/>
      <c r="B1500" s="35">
        <f>IFERROR(IF(A1500="","",VLOOKUP(A1500,DATABASE!$A:$B,2,0)),"")</f>
        <v/>
      </c>
      <c r="C1500" s="36">
        <f>IFERROR(IF(A1500="","",VLOOKUP(A1500,DATABASE!$A:$J,10,0)),"")</f>
        <v/>
      </c>
      <c r="D1500" s="37">
        <f>IF(A1500="","",TODAY())</f>
        <v/>
      </c>
      <c r="E1500" s="29" t="n"/>
      <c r="F1500" s="36">
        <f>IFERROR(IF(OR(A1500="",E1500=""),"",C1500-E1500),"")</f>
        <v/>
      </c>
      <c r="G1500" s="30" t="n"/>
      <c r="H1500" s="35" t="n"/>
    </row>
    <row r="1501" ht="20" customHeight="1">
      <c r="A1501" s="26" t="n"/>
      <c r="B1501" s="27">
        <f>IFERROR(IF(A1501="","",VLOOKUP(A1501,DATABASE!$A:$B,2,0)),"")</f>
        <v/>
      </c>
      <c r="C1501" s="20">
        <f>IFERROR(IF(A1501="","",VLOOKUP(A1501,DATABASE!$A:$J,10,0)),"")</f>
        <v/>
      </c>
      <c r="D1501" s="28">
        <f>IF(A1501="","",TODAY())</f>
        <v/>
      </c>
      <c r="E1501" s="29" t="n"/>
      <c r="F1501" s="20">
        <f>IFERROR(IF(OR(A1501="",E1501=""),"",C1501-E1501),"")</f>
        <v/>
      </c>
      <c r="G1501" s="30" t="n"/>
      <c r="H1501" s="27" t="n"/>
    </row>
    <row r="1502" ht="20" customHeight="1">
      <c r="A1502" s="26" t="n"/>
      <c r="B1502" s="35">
        <f>IFERROR(IF(A1502="","",VLOOKUP(A1502,DATABASE!$A:$B,2,0)),"")</f>
        <v/>
      </c>
      <c r="C1502" s="36">
        <f>IFERROR(IF(A1502="","",VLOOKUP(A1502,DATABASE!$A:$J,10,0)),"")</f>
        <v/>
      </c>
      <c r="D1502" s="37">
        <f>IF(A1502="","",TODAY())</f>
        <v/>
      </c>
      <c r="E1502" s="29" t="n"/>
      <c r="F1502" s="36">
        <f>IFERROR(IF(OR(A1502="",E1502=""),"",C1502-E1502),"")</f>
        <v/>
      </c>
      <c r="G1502" s="30" t="n"/>
      <c r="H1502" s="35" t="n"/>
    </row>
    <row r="1503" ht="20" customHeight="1">
      <c r="A1503" s="26" t="n"/>
      <c r="B1503" s="27">
        <f>IFERROR(IF(A1503="","",VLOOKUP(A1503,DATABASE!$A:$B,2,0)),"")</f>
        <v/>
      </c>
      <c r="C1503" s="20">
        <f>IFERROR(IF(A1503="","",VLOOKUP(A1503,DATABASE!$A:$J,10,0)),"")</f>
        <v/>
      </c>
      <c r="D1503" s="28">
        <f>IF(A1503="","",TODAY())</f>
        <v/>
      </c>
      <c r="E1503" s="29" t="n"/>
      <c r="F1503" s="20">
        <f>IFERROR(IF(OR(A1503="",E1503=""),"",C1503-E1503),"")</f>
        <v/>
      </c>
      <c r="G1503" s="30" t="n"/>
      <c r="H1503" s="27" t="n"/>
    </row>
    <row r="1504" ht="20" customHeight="1">
      <c r="A1504" s="26" t="n"/>
      <c r="B1504" s="35">
        <f>IFERROR(IF(A1504="","",VLOOKUP(A1504,DATABASE!$A:$B,2,0)),"")</f>
        <v/>
      </c>
      <c r="C1504" s="36">
        <f>IFERROR(IF(A1504="","",VLOOKUP(A1504,DATABASE!$A:$J,10,0)),"")</f>
        <v/>
      </c>
      <c r="D1504" s="37">
        <f>IF(A1504="","",TODAY())</f>
        <v/>
      </c>
      <c r="E1504" s="29" t="n"/>
      <c r="F1504" s="36">
        <f>IFERROR(IF(OR(A1504="",E1504=""),"",C1504-E1504),"")</f>
        <v/>
      </c>
      <c r="G1504" s="30" t="n"/>
      <c r="H1504" s="35" t="n"/>
    </row>
    <row r="1505" ht="20" customHeight="1">
      <c r="A1505" s="26" t="n"/>
      <c r="B1505" s="27">
        <f>IFERROR(IF(A1505="","",VLOOKUP(A1505,DATABASE!$A:$B,2,0)),"")</f>
        <v/>
      </c>
      <c r="C1505" s="20">
        <f>IFERROR(IF(A1505="","",VLOOKUP(A1505,DATABASE!$A:$J,10,0)),"")</f>
        <v/>
      </c>
      <c r="D1505" s="28">
        <f>IF(A1505="","",TODAY())</f>
        <v/>
      </c>
      <c r="E1505" s="29" t="n"/>
      <c r="F1505" s="20">
        <f>IFERROR(IF(OR(A1505="",E1505=""),"",C1505-E1505),"")</f>
        <v/>
      </c>
      <c r="G1505" s="30" t="n"/>
      <c r="H1505" s="27" t="n"/>
    </row>
    <row r="1506" ht="20" customHeight="1">
      <c r="A1506" s="26" t="n"/>
      <c r="B1506" s="35">
        <f>IFERROR(IF(A1506="","",VLOOKUP(A1506,DATABASE!$A:$B,2,0)),"")</f>
        <v/>
      </c>
      <c r="C1506" s="36">
        <f>IFERROR(IF(A1506="","",VLOOKUP(A1506,DATABASE!$A:$J,10,0)),"")</f>
        <v/>
      </c>
      <c r="D1506" s="37">
        <f>IF(A1506="","",TODAY())</f>
        <v/>
      </c>
      <c r="E1506" s="29" t="n"/>
      <c r="F1506" s="36">
        <f>IFERROR(IF(OR(A1506="",E1506=""),"",C1506-E1506),"")</f>
        <v/>
      </c>
      <c r="G1506" s="30" t="n"/>
      <c r="H1506" s="35" t="n"/>
    </row>
    <row r="1507" ht="20" customHeight="1">
      <c r="A1507" s="26" t="n"/>
      <c r="B1507" s="27">
        <f>IFERROR(IF(A1507="","",VLOOKUP(A1507,DATABASE!$A:$B,2,0)),"")</f>
        <v/>
      </c>
      <c r="C1507" s="20">
        <f>IFERROR(IF(A1507="","",VLOOKUP(A1507,DATABASE!$A:$J,10,0)),"")</f>
        <v/>
      </c>
      <c r="D1507" s="28">
        <f>IF(A1507="","",TODAY())</f>
        <v/>
      </c>
      <c r="E1507" s="29" t="n"/>
      <c r="F1507" s="20">
        <f>IFERROR(IF(OR(A1507="",E1507=""),"",C1507-E1507),"")</f>
        <v/>
      </c>
      <c r="G1507" s="30" t="n"/>
      <c r="H1507" s="27" t="n"/>
    </row>
    <row r="1508" ht="20" customHeight="1">
      <c r="A1508" s="26" t="n"/>
      <c r="B1508" s="35">
        <f>IFERROR(IF(A1508="","",VLOOKUP(A1508,DATABASE!$A:$B,2,0)),"")</f>
        <v/>
      </c>
      <c r="C1508" s="36">
        <f>IFERROR(IF(A1508="","",VLOOKUP(A1508,DATABASE!$A:$J,10,0)),"")</f>
        <v/>
      </c>
      <c r="D1508" s="37">
        <f>IF(A1508="","",TODAY())</f>
        <v/>
      </c>
      <c r="E1508" s="29" t="n"/>
      <c r="F1508" s="36">
        <f>IFERROR(IF(OR(A1508="",E1508=""),"",C1508-E1508),"")</f>
        <v/>
      </c>
      <c r="G1508" s="30" t="n"/>
      <c r="H1508" s="35" t="n"/>
    </row>
    <row r="1509" ht="20" customHeight="1">
      <c r="A1509" s="26" t="n"/>
      <c r="B1509" s="27">
        <f>IFERROR(IF(A1509="","",VLOOKUP(A1509,DATABASE!$A:$B,2,0)),"")</f>
        <v/>
      </c>
      <c r="C1509" s="20">
        <f>IFERROR(IF(A1509="","",VLOOKUP(A1509,DATABASE!$A:$J,10,0)),"")</f>
        <v/>
      </c>
      <c r="D1509" s="28">
        <f>IF(A1509="","",TODAY())</f>
        <v/>
      </c>
      <c r="E1509" s="29" t="n"/>
      <c r="F1509" s="20">
        <f>IFERROR(IF(OR(A1509="",E1509=""),"",C1509-E1509),"")</f>
        <v/>
      </c>
      <c r="G1509" s="30" t="n"/>
      <c r="H1509" s="27" t="n"/>
    </row>
    <row r="1510" ht="20" customHeight="1">
      <c r="A1510" s="26" t="n"/>
      <c r="B1510" s="35">
        <f>IFERROR(IF(A1510="","",VLOOKUP(A1510,DATABASE!$A:$B,2,0)),"")</f>
        <v/>
      </c>
      <c r="C1510" s="36">
        <f>IFERROR(IF(A1510="","",VLOOKUP(A1510,DATABASE!$A:$J,10,0)),"")</f>
        <v/>
      </c>
      <c r="D1510" s="37">
        <f>IF(A1510="","",TODAY())</f>
        <v/>
      </c>
      <c r="E1510" s="29" t="n"/>
      <c r="F1510" s="36">
        <f>IFERROR(IF(OR(A1510="",E1510=""),"",C1510-E1510),"")</f>
        <v/>
      </c>
      <c r="G1510" s="30" t="n"/>
      <c r="H1510" s="35" t="n"/>
    </row>
    <row r="1511" ht="20" customHeight="1">
      <c r="A1511" s="26" t="n"/>
      <c r="B1511" s="27">
        <f>IFERROR(IF(A1511="","",VLOOKUP(A1511,DATABASE!$A:$B,2,0)),"")</f>
        <v/>
      </c>
      <c r="C1511" s="20">
        <f>IFERROR(IF(A1511="","",VLOOKUP(A1511,DATABASE!$A:$J,10,0)),"")</f>
        <v/>
      </c>
      <c r="D1511" s="28">
        <f>IF(A1511="","",TODAY())</f>
        <v/>
      </c>
      <c r="E1511" s="29" t="n"/>
      <c r="F1511" s="20">
        <f>IFERROR(IF(OR(A1511="",E1511=""),"",C1511-E1511),"")</f>
        <v/>
      </c>
      <c r="G1511" s="30" t="n"/>
      <c r="H1511" s="27" t="n"/>
    </row>
    <row r="1512" ht="20" customHeight="1">
      <c r="A1512" s="26" t="n"/>
      <c r="B1512" s="35">
        <f>IFERROR(IF(A1512="","",VLOOKUP(A1512,DATABASE!$A:$B,2,0)),"")</f>
        <v/>
      </c>
      <c r="C1512" s="36">
        <f>IFERROR(IF(A1512="","",VLOOKUP(A1512,DATABASE!$A:$J,10,0)),"")</f>
        <v/>
      </c>
      <c r="D1512" s="37">
        <f>IF(A1512="","",TODAY())</f>
        <v/>
      </c>
      <c r="E1512" s="29" t="n"/>
      <c r="F1512" s="36">
        <f>IFERROR(IF(OR(A1512="",E1512=""),"",C1512-E1512),"")</f>
        <v/>
      </c>
      <c r="G1512" s="30" t="n"/>
      <c r="H1512" s="35" t="n"/>
    </row>
    <row r="1513" ht="20" customHeight="1">
      <c r="A1513" s="26" t="n"/>
      <c r="B1513" s="27">
        <f>IFERROR(IF(A1513="","",VLOOKUP(A1513,DATABASE!$A:$B,2,0)),"")</f>
        <v/>
      </c>
      <c r="C1513" s="20">
        <f>IFERROR(IF(A1513="","",VLOOKUP(A1513,DATABASE!$A:$J,10,0)),"")</f>
        <v/>
      </c>
      <c r="D1513" s="28">
        <f>IF(A1513="","",TODAY())</f>
        <v/>
      </c>
      <c r="E1513" s="29" t="n"/>
      <c r="F1513" s="20">
        <f>IFERROR(IF(OR(A1513="",E1513=""),"",C1513-E1513),"")</f>
        <v/>
      </c>
      <c r="G1513" s="30" t="n"/>
      <c r="H1513" s="27" t="n"/>
    </row>
    <row r="1514" ht="20" customHeight="1">
      <c r="A1514" s="26" t="n"/>
      <c r="B1514" s="35">
        <f>IFERROR(IF(A1514="","",VLOOKUP(A1514,DATABASE!$A:$B,2,0)),"")</f>
        <v/>
      </c>
      <c r="C1514" s="36">
        <f>IFERROR(IF(A1514="","",VLOOKUP(A1514,DATABASE!$A:$J,10,0)),"")</f>
        <v/>
      </c>
      <c r="D1514" s="37">
        <f>IF(A1514="","",TODAY())</f>
        <v/>
      </c>
      <c r="E1514" s="29" t="n"/>
      <c r="F1514" s="36">
        <f>IFERROR(IF(OR(A1514="",E1514=""),"",C1514-E1514),"")</f>
        <v/>
      </c>
      <c r="G1514" s="30" t="n"/>
      <c r="H1514" s="35" t="n"/>
    </row>
    <row r="1515" ht="20" customHeight="1">
      <c r="A1515" s="26" t="n"/>
      <c r="B1515" s="27">
        <f>IFERROR(IF(A1515="","",VLOOKUP(A1515,DATABASE!$A:$B,2,0)),"")</f>
        <v/>
      </c>
      <c r="C1515" s="20">
        <f>IFERROR(IF(A1515="","",VLOOKUP(A1515,DATABASE!$A:$J,10,0)),"")</f>
        <v/>
      </c>
      <c r="D1515" s="28">
        <f>IF(A1515="","",TODAY())</f>
        <v/>
      </c>
      <c r="E1515" s="29" t="n"/>
      <c r="F1515" s="20">
        <f>IFERROR(IF(OR(A1515="",E1515=""),"",C1515-E1515),"")</f>
        <v/>
      </c>
      <c r="G1515" s="30" t="n"/>
      <c r="H1515" s="27" t="n"/>
    </row>
    <row r="1516" ht="20" customHeight="1">
      <c r="A1516" s="26" t="n"/>
      <c r="B1516" s="35">
        <f>IFERROR(IF(A1516="","",VLOOKUP(A1516,DATABASE!$A:$B,2,0)),"")</f>
        <v/>
      </c>
      <c r="C1516" s="36">
        <f>IFERROR(IF(A1516="","",VLOOKUP(A1516,DATABASE!$A:$J,10,0)),"")</f>
        <v/>
      </c>
      <c r="D1516" s="37">
        <f>IF(A1516="","",TODAY())</f>
        <v/>
      </c>
      <c r="E1516" s="29" t="n"/>
      <c r="F1516" s="36">
        <f>IFERROR(IF(OR(A1516="",E1516=""),"",C1516-E1516),"")</f>
        <v/>
      </c>
      <c r="G1516" s="30" t="n"/>
      <c r="H1516" s="35" t="n"/>
    </row>
    <row r="1517" ht="20" customHeight="1">
      <c r="A1517" s="26" t="n"/>
      <c r="B1517" s="27">
        <f>IFERROR(IF(A1517="","",VLOOKUP(A1517,DATABASE!$A:$B,2,0)),"")</f>
        <v/>
      </c>
      <c r="C1517" s="20">
        <f>IFERROR(IF(A1517="","",VLOOKUP(A1517,DATABASE!$A:$J,10,0)),"")</f>
        <v/>
      </c>
      <c r="D1517" s="28">
        <f>IF(A1517="","",TODAY())</f>
        <v/>
      </c>
      <c r="E1517" s="29" t="n"/>
      <c r="F1517" s="20">
        <f>IFERROR(IF(OR(A1517="",E1517=""),"",C1517-E1517),"")</f>
        <v/>
      </c>
      <c r="G1517" s="30" t="n"/>
      <c r="H1517" s="27" t="n"/>
    </row>
    <row r="1518" ht="20" customHeight="1">
      <c r="A1518" s="26" t="n"/>
      <c r="B1518" s="35">
        <f>IFERROR(IF(A1518="","",VLOOKUP(A1518,DATABASE!$A:$B,2,0)),"")</f>
        <v/>
      </c>
      <c r="C1518" s="36">
        <f>IFERROR(IF(A1518="","",VLOOKUP(A1518,DATABASE!$A:$J,10,0)),"")</f>
        <v/>
      </c>
      <c r="D1518" s="37">
        <f>IF(A1518="","",TODAY())</f>
        <v/>
      </c>
      <c r="E1518" s="29" t="n"/>
      <c r="F1518" s="36">
        <f>IFERROR(IF(OR(A1518="",E1518=""),"",C1518-E1518),"")</f>
        <v/>
      </c>
      <c r="G1518" s="30" t="n"/>
      <c r="H1518" s="35" t="n"/>
    </row>
    <row r="1519" ht="20" customHeight="1">
      <c r="A1519" s="26" t="n"/>
      <c r="B1519" s="27">
        <f>IFERROR(IF(A1519="","",VLOOKUP(A1519,DATABASE!$A:$B,2,0)),"")</f>
        <v/>
      </c>
      <c r="C1519" s="20">
        <f>IFERROR(IF(A1519="","",VLOOKUP(A1519,DATABASE!$A:$J,10,0)),"")</f>
        <v/>
      </c>
      <c r="D1519" s="28">
        <f>IF(A1519="","",TODAY())</f>
        <v/>
      </c>
      <c r="E1519" s="29" t="n"/>
      <c r="F1519" s="20">
        <f>IFERROR(IF(OR(A1519="",E1519=""),"",C1519-E1519),"")</f>
        <v/>
      </c>
      <c r="G1519" s="30" t="n"/>
      <c r="H1519" s="27" t="n"/>
    </row>
    <row r="1520" ht="20" customHeight="1">
      <c r="A1520" s="26" t="n"/>
      <c r="B1520" s="35">
        <f>IFERROR(IF(A1520="","",VLOOKUP(A1520,DATABASE!$A:$B,2,0)),"")</f>
        <v/>
      </c>
      <c r="C1520" s="36">
        <f>IFERROR(IF(A1520="","",VLOOKUP(A1520,DATABASE!$A:$J,10,0)),"")</f>
        <v/>
      </c>
      <c r="D1520" s="37">
        <f>IF(A1520="","",TODAY())</f>
        <v/>
      </c>
      <c r="E1520" s="29" t="n"/>
      <c r="F1520" s="36">
        <f>IFERROR(IF(OR(A1520="",E1520=""),"",C1520-E1520),"")</f>
        <v/>
      </c>
      <c r="G1520" s="30" t="n"/>
      <c r="H1520" s="35" t="n"/>
    </row>
    <row r="1521" ht="20" customHeight="1">
      <c r="A1521" s="26" t="n"/>
      <c r="B1521" s="27">
        <f>IFERROR(IF(A1521="","",VLOOKUP(A1521,DATABASE!$A:$B,2,0)),"")</f>
        <v/>
      </c>
      <c r="C1521" s="20">
        <f>IFERROR(IF(A1521="","",VLOOKUP(A1521,DATABASE!$A:$J,10,0)),"")</f>
        <v/>
      </c>
      <c r="D1521" s="28">
        <f>IF(A1521="","",TODAY())</f>
        <v/>
      </c>
      <c r="E1521" s="29" t="n"/>
      <c r="F1521" s="20">
        <f>IFERROR(IF(OR(A1521="",E1521=""),"",C1521-E1521),"")</f>
        <v/>
      </c>
      <c r="G1521" s="30" t="n"/>
      <c r="H1521" s="27" t="n"/>
    </row>
    <row r="1522" ht="20" customHeight="1">
      <c r="A1522" s="26" t="n"/>
      <c r="B1522" s="35">
        <f>IFERROR(IF(A1522="","",VLOOKUP(A1522,DATABASE!$A:$B,2,0)),"")</f>
        <v/>
      </c>
      <c r="C1522" s="36">
        <f>IFERROR(IF(A1522="","",VLOOKUP(A1522,DATABASE!$A:$J,10,0)),"")</f>
        <v/>
      </c>
      <c r="D1522" s="37">
        <f>IF(A1522="","",TODAY())</f>
        <v/>
      </c>
      <c r="E1522" s="29" t="n"/>
      <c r="F1522" s="36">
        <f>IFERROR(IF(OR(A1522="",E1522=""),"",C1522-E1522),"")</f>
        <v/>
      </c>
      <c r="G1522" s="30" t="n"/>
      <c r="H1522" s="35" t="n"/>
    </row>
    <row r="1523" ht="20" customHeight="1">
      <c r="A1523" s="26" t="n"/>
      <c r="B1523" s="27">
        <f>IFERROR(IF(A1523="","",VLOOKUP(A1523,DATABASE!$A:$B,2,0)),"")</f>
        <v/>
      </c>
      <c r="C1523" s="20">
        <f>IFERROR(IF(A1523="","",VLOOKUP(A1523,DATABASE!$A:$J,10,0)),"")</f>
        <v/>
      </c>
      <c r="D1523" s="28">
        <f>IF(A1523="","",TODAY())</f>
        <v/>
      </c>
      <c r="E1523" s="29" t="n"/>
      <c r="F1523" s="20">
        <f>IFERROR(IF(OR(A1523="",E1523=""),"",C1523-E1523),"")</f>
        <v/>
      </c>
      <c r="G1523" s="30" t="n"/>
      <c r="H1523" s="27" t="n"/>
    </row>
    <row r="1524" ht="20" customHeight="1">
      <c r="A1524" s="26" t="n"/>
      <c r="B1524" s="35">
        <f>IFERROR(IF(A1524="","",VLOOKUP(A1524,DATABASE!$A:$B,2,0)),"")</f>
        <v/>
      </c>
      <c r="C1524" s="36">
        <f>IFERROR(IF(A1524="","",VLOOKUP(A1524,DATABASE!$A:$J,10,0)),"")</f>
        <v/>
      </c>
      <c r="D1524" s="37">
        <f>IF(A1524="","",TODAY())</f>
        <v/>
      </c>
      <c r="E1524" s="29" t="n"/>
      <c r="F1524" s="36">
        <f>IFERROR(IF(OR(A1524="",E1524=""),"",C1524-E1524),"")</f>
        <v/>
      </c>
      <c r="G1524" s="30" t="n"/>
      <c r="H1524" s="35" t="n"/>
    </row>
    <row r="1525" ht="20" customHeight="1">
      <c r="A1525" s="26" t="n"/>
      <c r="B1525" s="27">
        <f>IFERROR(IF(A1525="","",VLOOKUP(A1525,DATABASE!$A:$B,2,0)),"")</f>
        <v/>
      </c>
      <c r="C1525" s="20">
        <f>IFERROR(IF(A1525="","",VLOOKUP(A1525,DATABASE!$A:$J,10,0)),"")</f>
        <v/>
      </c>
      <c r="D1525" s="28">
        <f>IF(A1525="","",TODAY())</f>
        <v/>
      </c>
      <c r="E1525" s="29" t="n"/>
      <c r="F1525" s="20">
        <f>IFERROR(IF(OR(A1525="",E1525=""),"",C1525-E1525),"")</f>
        <v/>
      </c>
      <c r="G1525" s="30" t="n"/>
      <c r="H1525" s="27" t="n"/>
    </row>
    <row r="1526" ht="20" customHeight="1">
      <c r="A1526" s="26" t="n"/>
      <c r="B1526" s="35">
        <f>IFERROR(IF(A1526="","",VLOOKUP(A1526,DATABASE!$A:$B,2,0)),"")</f>
        <v/>
      </c>
      <c r="C1526" s="36">
        <f>IFERROR(IF(A1526="","",VLOOKUP(A1526,DATABASE!$A:$J,10,0)),"")</f>
        <v/>
      </c>
      <c r="D1526" s="37">
        <f>IF(A1526="","",TODAY())</f>
        <v/>
      </c>
      <c r="E1526" s="29" t="n"/>
      <c r="F1526" s="36">
        <f>IFERROR(IF(OR(A1526="",E1526=""),"",C1526-E1526),"")</f>
        <v/>
      </c>
      <c r="G1526" s="30" t="n"/>
      <c r="H1526" s="35" t="n"/>
    </row>
    <row r="1527" ht="20" customHeight="1">
      <c r="A1527" s="26" t="n"/>
      <c r="B1527" s="27">
        <f>IFERROR(IF(A1527="","",VLOOKUP(A1527,DATABASE!$A:$B,2,0)),"")</f>
        <v/>
      </c>
      <c r="C1527" s="20">
        <f>IFERROR(IF(A1527="","",VLOOKUP(A1527,DATABASE!$A:$J,10,0)),"")</f>
        <v/>
      </c>
      <c r="D1527" s="28">
        <f>IF(A1527="","",TODAY())</f>
        <v/>
      </c>
      <c r="E1527" s="29" t="n"/>
      <c r="F1527" s="20">
        <f>IFERROR(IF(OR(A1527="",E1527=""),"",C1527-E1527),"")</f>
        <v/>
      </c>
      <c r="G1527" s="30" t="n"/>
      <c r="H1527" s="27" t="n"/>
    </row>
    <row r="1528" ht="20" customHeight="1">
      <c r="A1528" s="26" t="n"/>
      <c r="B1528" s="35">
        <f>IFERROR(IF(A1528="","",VLOOKUP(A1528,DATABASE!$A:$B,2,0)),"")</f>
        <v/>
      </c>
      <c r="C1528" s="36">
        <f>IFERROR(IF(A1528="","",VLOOKUP(A1528,DATABASE!$A:$J,10,0)),"")</f>
        <v/>
      </c>
      <c r="D1528" s="37">
        <f>IF(A1528="","",TODAY())</f>
        <v/>
      </c>
      <c r="E1528" s="29" t="n"/>
      <c r="F1528" s="36">
        <f>IFERROR(IF(OR(A1528="",E1528=""),"",C1528-E1528),"")</f>
        <v/>
      </c>
      <c r="G1528" s="30" t="n"/>
      <c r="H1528" s="35" t="n"/>
    </row>
    <row r="1529" ht="20" customHeight="1">
      <c r="A1529" s="26" t="n"/>
      <c r="B1529" s="27">
        <f>IFERROR(IF(A1529="","",VLOOKUP(A1529,DATABASE!$A:$B,2,0)),"")</f>
        <v/>
      </c>
      <c r="C1529" s="20">
        <f>IFERROR(IF(A1529="","",VLOOKUP(A1529,DATABASE!$A:$J,10,0)),"")</f>
        <v/>
      </c>
      <c r="D1529" s="28">
        <f>IF(A1529="","",TODAY())</f>
        <v/>
      </c>
      <c r="E1529" s="29" t="n"/>
      <c r="F1529" s="20">
        <f>IFERROR(IF(OR(A1529="",E1529=""),"",C1529-E1529),"")</f>
        <v/>
      </c>
      <c r="G1529" s="30" t="n"/>
      <c r="H1529" s="27" t="n"/>
    </row>
    <row r="1530" ht="20" customHeight="1">
      <c r="A1530" s="26" t="n"/>
      <c r="B1530" s="35">
        <f>IFERROR(IF(A1530="","",VLOOKUP(A1530,DATABASE!$A:$B,2,0)),"")</f>
        <v/>
      </c>
      <c r="C1530" s="36">
        <f>IFERROR(IF(A1530="","",VLOOKUP(A1530,DATABASE!$A:$J,10,0)),"")</f>
        <v/>
      </c>
      <c r="D1530" s="37">
        <f>IF(A1530="","",TODAY())</f>
        <v/>
      </c>
      <c r="E1530" s="29" t="n"/>
      <c r="F1530" s="36">
        <f>IFERROR(IF(OR(A1530="",E1530=""),"",C1530-E1530),"")</f>
        <v/>
      </c>
      <c r="G1530" s="30" t="n"/>
      <c r="H1530" s="35" t="n"/>
    </row>
    <row r="1531" ht="20" customHeight="1">
      <c r="A1531" s="26" t="n"/>
      <c r="B1531" s="27">
        <f>IFERROR(IF(A1531="","",VLOOKUP(A1531,DATABASE!$A:$B,2,0)),"")</f>
        <v/>
      </c>
      <c r="C1531" s="20">
        <f>IFERROR(IF(A1531="","",VLOOKUP(A1531,DATABASE!$A:$J,10,0)),"")</f>
        <v/>
      </c>
      <c r="D1531" s="28">
        <f>IF(A1531="","",TODAY())</f>
        <v/>
      </c>
      <c r="E1531" s="29" t="n"/>
      <c r="F1531" s="20">
        <f>IFERROR(IF(OR(A1531="",E1531=""),"",C1531-E1531),"")</f>
        <v/>
      </c>
      <c r="G1531" s="30" t="n"/>
      <c r="H1531" s="27" t="n"/>
    </row>
    <row r="1532" ht="20" customHeight="1">
      <c r="A1532" s="26" t="n"/>
      <c r="B1532" s="35">
        <f>IFERROR(IF(A1532="","",VLOOKUP(A1532,DATABASE!$A:$B,2,0)),"")</f>
        <v/>
      </c>
      <c r="C1532" s="36">
        <f>IFERROR(IF(A1532="","",VLOOKUP(A1532,DATABASE!$A:$J,10,0)),"")</f>
        <v/>
      </c>
      <c r="D1532" s="37">
        <f>IF(A1532="","",TODAY())</f>
        <v/>
      </c>
      <c r="E1532" s="29" t="n"/>
      <c r="F1532" s="36">
        <f>IFERROR(IF(OR(A1532="",E1532=""),"",C1532-E1532),"")</f>
        <v/>
      </c>
      <c r="G1532" s="30" t="n"/>
      <c r="H1532" s="35" t="n"/>
    </row>
    <row r="1533" ht="20" customHeight="1">
      <c r="A1533" s="26" t="n"/>
      <c r="B1533" s="27">
        <f>IFERROR(IF(A1533="","",VLOOKUP(A1533,DATABASE!$A:$B,2,0)),"")</f>
        <v/>
      </c>
      <c r="C1533" s="20">
        <f>IFERROR(IF(A1533="","",VLOOKUP(A1533,DATABASE!$A:$J,10,0)),"")</f>
        <v/>
      </c>
      <c r="D1533" s="28">
        <f>IF(A1533="","",TODAY())</f>
        <v/>
      </c>
      <c r="E1533" s="29" t="n"/>
      <c r="F1533" s="20">
        <f>IFERROR(IF(OR(A1533="",E1533=""),"",C1533-E1533),"")</f>
        <v/>
      </c>
      <c r="G1533" s="30" t="n"/>
      <c r="H1533" s="27" t="n"/>
    </row>
    <row r="1534" ht="20" customHeight="1">
      <c r="A1534" s="26" t="n"/>
      <c r="B1534" s="35">
        <f>IFERROR(IF(A1534="","",VLOOKUP(A1534,DATABASE!$A:$B,2,0)),"")</f>
        <v/>
      </c>
      <c r="C1534" s="36">
        <f>IFERROR(IF(A1534="","",VLOOKUP(A1534,DATABASE!$A:$J,10,0)),"")</f>
        <v/>
      </c>
      <c r="D1534" s="37">
        <f>IF(A1534="","",TODAY())</f>
        <v/>
      </c>
      <c r="E1534" s="29" t="n"/>
      <c r="F1534" s="36">
        <f>IFERROR(IF(OR(A1534="",E1534=""),"",C1534-E1534),"")</f>
        <v/>
      </c>
      <c r="G1534" s="30" t="n"/>
      <c r="H1534" s="35" t="n"/>
    </row>
    <row r="1535" ht="20" customHeight="1">
      <c r="A1535" s="26" t="n"/>
      <c r="B1535" s="27">
        <f>IFERROR(IF(A1535="","",VLOOKUP(A1535,DATABASE!$A:$B,2,0)),"")</f>
        <v/>
      </c>
      <c r="C1535" s="20">
        <f>IFERROR(IF(A1535="","",VLOOKUP(A1535,DATABASE!$A:$J,10,0)),"")</f>
        <v/>
      </c>
      <c r="D1535" s="28">
        <f>IF(A1535="","",TODAY())</f>
        <v/>
      </c>
      <c r="E1535" s="29" t="n"/>
      <c r="F1535" s="20">
        <f>IFERROR(IF(OR(A1535="",E1535=""),"",C1535-E1535),"")</f>
        <v/>
      </c>
      <c r="G1535" s="30" t="n"/>
      <c r="H1535" s="27" t="n"/>
    </row>
    <row r="1536" ht="20" customHeight="1">
      <c r="A1536" s="26" t="n"/>
      <c r="B1536" s="35">
        <f>IFERROR(IF(A1536="","",VLOOKUP(A1536,DATABASE!$A:$B,2,0)),"")</f>
        <v/>
      </c>
      <c r="C1536" s="36">
        <f>IFERROR(IF(A1536="","",VLOOKUP(A1536,DATABASE!$A:$J,10,0)),"")</f>
        <v/>
      </c>
      <c r="D1536" s="37">
        <f>IF(A1536="","",TODAY())</f>
        <v/>
      </c>
      <c r="E1536" s="29" t="n"/>
      <c r="F1536" s="36">
        <f>IFERROR(IF(OR(A1536="",E1536=""),"",C1536-E1536),"")</f>
        <v/>
      </c>
      <c r="G1536" s="30" t="n"/>
      <c r="H1536" s="35" t="n"/>
    </row>
    <row r="1537" ht="20" customHeight="1">
      <c r="A1537" s="26" t="n"/>
      <c r="B1537" s="27">
        <f>IFERROR(IF(A1537="","",VLOOKUP(A1537,DATABASE!$A:$B,2,0)),"")</f>
        <v/>
      </c>
      <c r="C1537" s="20">
        <f>IFERROR(IF(A1537="","",VLOOKUP(A1537,DATABASE!$A:$J,10,0)),"")</f>
        <v/>
      </c>
      <c r="D1537" s="28">
        <f>IF(A1537="","",TODAY())</f>
        <v/>
      </c>
      <c r="E1537" s="29" t="n"/>
      <c r="F1537" s="20">
        <f>IFERROR(IF(OR(A1537="",E1537=""),"",C1537-E1537),"")</f>
        <v/>
      </c>
      <c r="G1537" s="30" t="n"/>
      <c r="H1537" s="27" t="n"/>
    </row>
    <row r="1538" ht="20" customHeight="1">
      <c r="A1538" s="26" t="n"/>
      <c r="B1538" s="35">
        <f>IFERROR(IF(A1538="","",VLOOKUP(A1538,DATABASE!$A:$B,2,0)),"")</f>
        <v/>
      </c>
      <c r="C1538" s="36">
        <f>IFERROR(IF(A1538="","",VLOOKUP(A1538,DATABASE!$A:$J,10,0)),"")</f>
        <v/>
      </c>
      <c r="D1538" s="37">
        <f>IF(A1538="","",TODAY())</f>
        <v/>
      </c>
      <c r="E1538" s="29" t="n"/>
      <c r="F1538" s="36">
        <f>IFERROR(IF(OR(A1538="",E1538=""),"",C1538-E1538),"")</f>
        <v/>
      </c>
      <c r="G1538" s="30" t="n"/>
      <c r="H1538" s="35" t="n"/>
    </row>
    <row r="1539" ht="20" customHeight="1">
      <c r="A1539" s="26" t="n"/>
      <c r="B1539" s="27">
        <f>IFERROR(IF(A1539="","",VLOOKUP(A1539,DATABASE!$A:$B,2,0)),"")</f>
        <v/>
      </c>
      <c r="C1539" s="20">
        <f>IFERROR(IF(A1539="","",VLOOKUP(A1539,DATABASE!$A:$J,10,0)),"")</f>
        <v/>
      </c>
      <c r="D1539" s="28">
        <f>IF(A1539="","",TODAY())</f>
        <v/>
      </c>
      <c r="E1539" s="29" t="n"/>
      <c r="F1539" s="20">
        <f>IFERROR(IF(OR(A1539="",E1539=""),"",C1539-E1539),"")</f>
        <v/>
      </c>
      <c r="G1539" s="30" t="n"/>
      <c r="H1539" s="27" t="n"/>
    </row>
    <row r="1540" ht="20" customHeight="1">
      <c r="A1540" s="26" t="n"/>
      <c r="B1540" s="35">
        <f>IFERROR(IF(A1540="","",VLOOKUP(A1540,DATABASE!$A:$B,2,0)),"")</f>
        <v/>
      </c>
      <c r="C1540" s="36">
        <f>IFERROR(IF(A1540="","",VLOOKUP(A1540,DATABASE!$A:$J,10,0)),"")</f>
        <v/>
      </c>
      <c r="D1540" s="37">
        <f>IF(A1540="","",TODAY())</f>
        <v/>
      </c>
      <c r="E1540" s="29" t="n"/>
      <c r="F1540" s="36">
        <f>IFERROR(IF(OR(A1540="",E1540=""),"",C1540-E1540),"")</f>
        <v/>
      </c>
      <c r="G1540" s="30" t="n"/>
      <c r="H1540" s="35" t="n"/>
    </row>
    <row r="1541" ht="20" customHeight="1">
      <c r="A1541" s="26" t="n"/>
      <c r="B1541" s="27">
        <f>IFERROR(IF(A1541="","",VLOOKUP(A1541,DATABASE!$A:$B,2,0)),"")</f>
        <v/>
      </c>
      <c r="C1541" s="20">
        <f>IFERROR(IF(A1541="","",VLOOKUP(A1541,DATABASE!$A:$J,10,0)),"")</f>
        <v/>
      </c>
      <c r="D1541" s="28">
        <f>IF(A1541="","",TODAY())</f>
        <v/>
      </c>
      <c r="E1541" s="29" t="n"/>
      <c r="F1541" s="20">
        <f>IFERROR(IF(OR(A1541="",E1541=""),"",C1541-E1541),"")</f>
        <v/>
      </c>
      <c r="G1541" s="30" t="n"/>
      <c r="H1541" s="27" t="n"/>
    </row>
    <row r="1542" ht="20" customHeight="1">
      <c r="A1542" s="26" t="n"/>
      <c r="B1542" s="35">
        <f>IFERROR(IF(A1542="","",VLOOKUP(A1542,DATABASE!$A:$B,2,0)),"")</f>
        <v/>
      </c>
      <c r="C1542" s="36">
        <f>IFERROR(IF(A1542="","",VLOOKUP(A1542,DATABASE!$A:$J,10,0)),"")</f>
        <v/>
      </c>
      <c r="D1542" s="37">
        <f>IF(A1542="","",TODAY())</f>
        <v/>
      </c>
      <c r="E1542" s="29" t="n"/>
      <c r="F1542" s="36">
        <f>IFERROR(IF(OR(A1542="",E1542=""),"",C1542-E1542),"")</f>
        <v/>
      </c>
      <c r="G1542" s="30" t="n"/>
      <c r="H1542" s="35" t="n"/>
    </row>
    <row r="1543" ht="20" customHeight="1">
      <c r="A1543" s="26" t="n"/>
      <c r="B1543" s="27">
        <f>IFERROR(IF(A1543="","",VLOOKUP(A1543,DATABASE!$A:$B,2,0)),"")</f>
        <v/>
      </c>
      <c r="C1543" s="20">
        <f>IFERROR(IF(A1543="","",VLOOKUP(A1543,DATABASE!$A:$J,10,0)),"")</f>
        <v/>
      </c>
      <c r="D1543" s="28">
        <f>IF(A1543="","",TODAY())</f>
        <v/>
      </c>
      <c r="E1543" s="29" t="n"/>
      <c r="F1543" s="20">
        <f>IFERROR(IF(OR(A1543="",E1543=""),"",C1543-E1543),"")</f>
        <v/>
      </c>
      <c r="G1543" s="30" t="n"/>
      <c r="H1543" s="27" t="n"/>
    </row>
    <row r="1544" ht="20" customHeight="1">
      <c r="A1544" s="26" t="n"/>
      <c r="B1544" s="35">
        <f>IFERROR(IF(A1544="","",VLOOKUP(A1544,DATABASE!$A:$B,2,0)),"")</f>
        <v/>
      </c>
      <c r="C1544" s="36">
        <f>IFERROR(IF(A1544="","",VLOOKUP(A1544,DATABASE!$A:$J,10,0)),"")</f>
        <v/>
      </c>
      <c r="D1544" s="37">
        <f>IF(A1544="","",TODAY())</f>
        <v/>
      </c>
      <c r="E1544" s="29" t="n"/>
      <c r="F1544" s="36">
        <f>IFERROR(IF(OR(A1544="",E1544=""),"",C1544-E1544),"")</f>
        <v/>
      </c>
      <c r="G1544" s="30" t="n"/>
      <c r="H1544" s="35" t="n"/>
    </row>
    <row r="1545" ht="20" customHeight="1">
      <c r="A1545" s="26" t="n"/>
      <c r="B1545" s="27">
        <f>IFERROR(IF(A1545="","",VLOOKUP(A1545,DATABASE!$A:$B,2,0)),"")</f>
        <v/>
      </c>
      <c r="C1545" s="20">
        <f>IFERROR(IF(A1545="","",VLOOKUP(A1545,DATABASE!$A:$J,10,0)),"")</f>
        <v/>
      </c>
      <c r="D1545" s="28">
        <f>IF(A1545="","",TODAY())</f>
        <v/>
      </c>
      <c r="E1545" s="29" t="n"/>
      <c r="F1545" s="20">
        <f>IFERROR(IF(OR(A1545="",E1545=""),"",C1545-E1545),"")</f>
        <v/>
      </c>
      <c r="G1545" s="30" t="n"/>
      <c r="H1545" s="27" t="n"/>
    </row>
    <row r="1546" ht="20" customHeight="1">
      <c r="A1546" s="26" t="n"/>
      <c r="B1546" s="35">
        <f>IFERROR(IF(A1546="","",VLOOKUP(A1546,DATABASE!$A:$B,2,0)),"")</f>
        <v/>
      </c>
      <c r="C1546" s="36">
        <f>IFERROR(IF(A1546="","",VLOOKUP(A1546,DATABASE!$A:$J,10,0)),"")</f>
        <v/>
      </c>
      <c r="D1546" s="37">
        <f>IF(A1546="","",TODAY())</f>
        <v/>
      </c>
      <c r="E1546" s="29" t="n"/>
      <c r="F1546" s="36">
        <f>IFERROR(IF(OR(A1546="",E1546=""),"",C1546-E1546),"")</f>
        <v/>
      </c>
      <c r="G1546" s="30" t="n"/>
      <c r="H1546" s="35" t="n"/>
    </row>
    <row r="1547" ht="20" customHeight="1">
      <c r="A1547" s="26" t="n"/>
      <c r="B1547" s="27">
        <f>IFERROR(IF(A1547="","",VLOOKUP(A1547,DATABASE!$A:$B,2,0)),"")</f>
        <v/>
      </c>
      <c r="C1547" s="20">
        <f>IFERROR(IF(A1547="","",VLOOKUP(A1547,DATABASE!$A:$J,10,0)),"")</f>
        <v/>
      </c>
      <c r="D1547" s="28">
        <f>IF(A1547="","",TODAY())</f>
        <v/>
      </c>
      <c r="E1547" s="29" t="n"/>
      <c r="F1547" s="20">
        <f>IFERROR(IF(OR(A1547="",E1547=""),"",C1547-E1547),"")</f>
        <v/>
      </c>
      <c r="G1547" s="30" t="n"/>
      <c r="H1547" s="27" t="n"/>
    </row>
    <row r="1548" ht="20" customHeight="1">
      <c r="A1548" s="26" t="n"/>
      <c r="B1548" s="35">
        <f>IFERROR(IF(A1548="","",VLOOKUP(A1548,DATABASE!$A:$B,2,0)),"")</f>
        <v/>
      </c>
      <c r="C1548" s="36">
        <f>IFERROR(IF(A1548="","",VLOOKUP(A1548,DATABASE!$A:$J,10,0)),"")</f>
        <v/>
      </c>
      <c r="D1548" s="37">
        <f>IF(A1548="","",TODAY())</f>
        <v/>
      </c>
      <c r="E1548" s="29" t="n"/>
      <c r="F1548" s="36">
        <f>IFERROR(IF(OR(A1548="",E1548=""),"",C1548-E1548),"")</f>
        <v/>
      </c>
      <c r="G1548" s="30" t="n"/>
      <c r="H1548" s="35" t="n"/>
    </row>
    <row r="1549" ht="20" customHeight="1">
      <c r="A1549" s="26" t="n"/>
      <c r="B1549" s="27">
        <f>IFERROR(IF(A1549="","",VLOOKUP(A1549,DATABASE!$A:$B,2,0)),"")</f>
        <v/>
      </c>
      <c r="C1549" s="20">
        <f>IFERROR(IF(A1549="","",VLOOKUP(A1549,DATABASE!$A:$J,10,0)),"")</f>
        <v/>
      </c>
      <c r="D1549" s="28">
        <f>IF(A1549="","",TODAY())</f>
        <v/>
      </c>
      <c r="E1549" s="29" t="n"/>
      <c r="F1549" s="20">
        <f>IFERROR(IF(OR(A1549="",E1549=""),"",C1549-E1549),"")</f>
        <v/>
      </c>
      <c r="G1549" s="30" t="n"/>
      <c r="H1549" s="27" t="n"/>
    </row>
    <row r="1550" ht="20" customHeight="1">
      <c r="A1550" s="26" t="n"/>
      <c r="B1550" s="35">
        <f>IFERROR(IF(A1550="","",VLOOKUP(A1550,DATABASE!$A:$B,2,0)),"")</f>
        <v/>
      </c>
      <c r="C1550" s="36">
        <f>IFERROR(IF(A1550="","",VLOOKUP(A1550,DATABASE!$A:$J,10,0)),"")</f>
        <v/>
      </c>
      <c r="D1550" s="37">
        <f>IF(A1550="","",TODAY())</f>
        <v/>
      </c>
      <c r="E1550" s="29" t="n"/>
      <c r="F1550" s="36">
        <f>IFERROR(IF(OR(A1550="",E1550=""),"",C1550-E1550),"")</f>
        <v/>
      </c>
      <c r="G1550" s="30" t="n"/>
      <c r="H1550" s="35" t="n"/>
    </row>
    <row r="1551" ht="20" customHeight="1">
      <c r="A1551" s="26" t="n"/>
      <c r="B1551" s="27">
        <f>IFERROR(IF(A1551="","",VLOOKUP(A1551,DATABASE!$A:$B,2,0)),"")</f>
        <v/>
      </c>
      <c r="C1551" s="20">
        <f>IFERROR(IF(A1551="","",VLOOKUP(A1551,DATABASE!$A:$J,10,0)),"")</f>
        <v/>
      </c>
      <c r="D1551" s="28">
        <f>IF(A1551="","",TODAY())</f>
        <v/>
      </c>
      <c r="E1551" s="29" t="n"/>
      <c r="F1551" s="20">
        <f>IFERROR(IF(OR(A1551="",E1551=""),"",C1551-E1551),"")</f>
        <v/>
      </c>
      <c r="G1551" s="30" t="n"/>
      <c r="H1551" s="27" t="n"/>
    </row>
    <row r="1552" ht="20" customHeight="1">
      <c r="A1552" s="26" t="n"/>
      <c r="B1552" s="35">
        <f>IFERROR(IF(A1552="","",VLOOKUP(A1552,DATABASE!$A:$B,2,0)),"")</f>
        <v/>
      </c>
      <c r="C1552" s="36">
        <f>IFERROR(IF(A1552="","",VLOOKUP(A1552,DATABASE!$A:$J,10,0)),"")</f>
        <v/>
      </c>
      <c r="D1552" s="37">
        <f>IF(A1552="","",TODAY())</f>
        <v/>
      </c>
      <c r="E1552" s="29" t="n"/>
      <c r="F1552" s="36">
        <f>IFERROR(IF(OR(A1552="",E1552=""),"",C1552-E1552),"")</f>
        <v/>
      </c>
      <c r="G1552" s="30" t="n"/>
      <c r="H1552" s="35" t="n"/>
    </row>
    <row r="1553" ht="20" customHeight="1">
      <c r="A1553" s="26" t="n"/>
      <c r="B1553" s="27">
        <f>IFERROR(IF(A1553="","",VLOOKUP(A1553,DATABASE!$A:$B,2,0)),"")</f>
        <v/>
      </c>
      <c r="C1553" s="20">
        <f>IFERROR(IF(A1553="","",VLOOKUP(A1553,DATABASE!$A:$J,10,0)),"")</f>
        <v/>
      </c>
      <c r="D1553" s="28">
        <f>IF(A1553="","",TODAY())</f>
        <v/>
      </c>
      <c r="E1553" s="29" t="n"/>
      <c r="F1553" s="20">
        <f>IFERROR(IF(OR(A1553="",E1553=""),"",C1553-E1553),"")</f>
        <v/>
      </c>
      <c r="G1553" s="30" t="n"/>
      <c r="H1553" s="27" t="n"/>
    </row>
    <row r="1554" ht="20" customHeight="1">
      <c r="A1554" s="26" t="n"/>
      <c r="B1554" s="35">
        <f>IFERROR(IF(A1554="","",VLOOKUP(A1554,DATABASE!$A:$B,2,0)),"")</f>
        <v/>
      </c>
      <c r="C1554" s="36">
        <f>IFERROR(IF(A1554="","",VLOOKUP(A1554,DATABASE!$A:$J,10,0)),"")</f>
        <v/>
      </c>
      <c r="D1554" s="37">
        <f>IF(A1554="","",TODAY())</f>
        <v/>
      </c>
      <c r="E1554" s="29" t="n"/>
      <c r="F1554" s="36">
        <f>IFERROR(IF(OR(A1554="",E1554=""),"",C1554-E1554),"")</f>
        <v/>
      </c>
      <c r="G1554" s="30" t="n"/>
      <c r="H1554" s="35" t="n"/>
    </row>
    <row r="1555" ht="20" customHeight="1">
      <c r="A1555" s="26" t="n"/>
      <c r="B1555" s="27">
        <f>IFERROR(IF(A1555="","",VLOOKUP(A1555,DATABASE!$A:$B,2,0)),"")</f>
        <v/>
      </c>
      <c r="C1555" s="20">
        <f>IFERROR(IF(A1555="","",VLOOKUP(A1555,DATABASE!$A:$J,10,0)),"")</f>
        <v/>
      </c>
      <c r="D1555" s="28">
        <f>IF(A1555="","",TODAY())</f>
        <v/>
      </c>
      <c r="E1555" s="29" t="n"/>
      <c r="F1555" s="20">
        <f>IFERROR(IF(OR(A1555="",E1555=""),"",C1555-E1555),"")</f>
        <v/>
      </c>
      <c r="G1555" s="30" t="n"/>
      <c r="H1555" s="27" t="n"/>
    </row>
    <row r="1556" ht="20" customHeight="1">
      <c r="A1556" s="26" t="n"/>
      <c r="B1556" s="35">
        <f>IFERROR(IF(A1556="","",VLOOKUP(A1556,DATABASE!$A:$B,2,0)),"")</f>
        <v/>
      </c>
      <c r="C1556" s="36">
        <f>IFERROR(IF(A1556="","",VLOOKUP(A1556,DATABASE!$A:$J,10,0)),"")</f>
        <v/>
      </c>
      <c r="D1556" s="37">
        <f>IF(A1556="","",TODAY())</f>
        <v/>
      </c>
      <c r="E1556" s="29" t="n"/>
      <c r="F1556" s="36">
        <f>IFERROR(IF(OR(A1556="",E1556=""),"",C1556-E1556),"")</f>
        <v/>
      </c>
      <c r="G1556" s="30" t="n"/>
      <c r="H1556" s="35" t="n"/>
    </row>
    <row r="1557" ht="20" customHeight="1">
      <c r="A1557" s="26" t="n"/>
      <c r="B1557" s="27">
        <f>IFERROR(IF(A1557="","",VLOOKUP(A1557,DATABASE!$A:$B,2,0)),"")</f>
        <v/>
      </c>
      <c r="C1557" s="20">
        <f>IFERROR(IF(A1557="","",VLOOKUP(A1557,DATABASE!$A:$J,10,0)),"")</f>
        <v/>
      </c>
      <c r="D1557" s="28">
        <f>IF(A1557="","",TODAY())</f>
        <v/>
      </c>
      <c r="E1557" s="29" t="n"/>
      <c r="F1557" s="20">
        <f>IFERROR(IF(OR(A1557="",E1557=""),"",C1557-E1557),"")</f>
        <v/>
      </c>
      <c r="G1557" s="30" t="n"/>
      <c r="H1557" s="27" t="n"/>
    </row>
    <row r="1558" ht="20" customHeight="1">
      <c r="A1558" s="26" t="n"/>
      <c r="B1558" s="35">
        <f>IFERROR(IF(A1558="","",VLOOKUP(A1558,DATABASE!$A:$B,2,0)),"")</f>
        <v/>
      </c>
      <c r="C1558" s="36">
        <f>IFERROR(IF(A1558="","",VLOOKUP(A1558,DATABASE!$A:$J,10,0)),"")</f>
        <v/>
      </c>
      <c r="D1558" s="37">
        <f>IF(A1558="","",TODAY())</f>
        <v/>
      </c>
      <c r="E1558" s="29" t="n"/>
      <c r="F1558" s="36">
        <f>IFERROR(IF(OR(A1558="",E1558=""),"",C1558-E1558),"")</f>
        <v/>
      </c>
      <c r="G1558" s="30" t="n"/>
      <c r="H1558" s="35" t="n"/>
    </row>
    <row r="1559" ht="20" customHeight="1">
      <c r="A1559" s="26" t="n"/>
      <c r="B1559" s="27">
        <f>IFERROR(IF(A1559="","",VLOOKUP(A1559,DATABASE!$A:$B,2,0)),"")</f>
        <v/>
      </c>
      <c r="C1559" s="20">
        <f>IFERROR(IF(A1559="","",VLOOKUP(A1559,DATABASE!$A:$J,10,0)),"")</f>
        <v/>
      </c>
      <c r="D1559" s="28">
        <f>IF(A1559="","",TODAY())</f>
        <v/>
      </c>
      <c r="E1559" s="29" t="n"/>
      <c r="F1559" s="20">
        <f>IFERROR(IF(OR(A1559="",E1559=""),"",C1559-E1559),"")</f>
        <v/>
      </c>
      <c r="G1559" s="30" t="n"/>
      <c r="H1559" s="27" t="n"/>
    </row>
    <row r="1560" ht="20" customHeight="1">
      <c r="A1560" s="26" t="n"/>
      <c r="B1560" s="35">
        <f>IFERROR(IF(A1560="","",VLOOKUP(A1560,DATABASE!$A:$B,2,0)),"")</f>
        <v/>
      </c>
      <c r="C1560" s="36">
        <f>IFERROR(IF(A1560="","",VLOOKUP(A1560,DATABASE!$A:$J,10,0)),"")</f>
        <v/>
      </c>
      <c r="D1560" s="37">
        <f>IF(A1560="","",TODAY())</f>
        <v/>
      </c>
      <c r="E1560" s="29" t="n"/>
      <c r="F1560" s="36">
        <f>IFERROR(IF(OR(A1560="",E1560=""),"",C1560-E1560),"")</f>
        <v/>
      </c>
      <c r="G1560" s="30" t="n"/>
      <c r="H1560" s="35" t="n"/>
    </row>
    <row r="1561" ht="20" customHeight="1">
      <c r="A1561" s="26" t="n"/>
      <c r="B1561" s="27">
        <f>IFERROR(IF(A1561="","",VLOOKUP(A1561,DATABASE!$A:$B,2,0)),"")</f>
        <v/>
      </c>
      <c r="C1561" s="20">
        <f>IFERROR(IF(A1561="","",VLOOKUP(A1561,DATABASE!$A:$J,10,0)),"")</f>
        <v/>
      </c>
      <c r="D1561" s="28">
        <f>IF(A1561="","",TODAY())</f>
        <v/>
      </c>
      <c r="E1561" s="29" t="n"/>
      <c r="F1561" s="20">
        <f>IFERROR(IF(OR(A1561="",E1561=""),"",C1561-E1561),"")</f>
        <v/>
      </c>
      <c r="G1561" s="30" t="n"/>
      <c r="H1561" s="27" t="n"/>
    </row>
    <row r="1562" ht="20" customHeight="1">
      <c r="A1562" s="26" t="n"/>
      <c r="B1562" s="35">
        <f>IFERROR(IF(A1562="","",VLOOKUP(A1562,DATABASE!$A:$B,2,0)),"")</f>
        <v/>
      </c>
      <c r="C1562" s="36">
        <f>IFERROR(IF(A1562="","",VLOOKUP(A1562,DATABASE!$A:$J,10,0)),"")</f>
        <v/>
      </c>
      <c r="D1562" s="37">
        <f>IF(A1562="","",TODAY())</f>
        <v/>
      </c>
      <c r="E1562" s="29" t="n"/>
      <c r="F1562" s="36">
        <f>IFERROR(IF(OR(A1562="",E1562=""),"",C1562-E1562),"")</f>
        <v/>
      </c>
      <c r="G1562" s="30" t="n"/>
      <c r="H1562" s="35" t="n"/>
    </row>
    <row r="1563" ht="20" customHeight="1">
      <c r="A1563" s="26" t="n"/>
      <c r="B1563" s="27">
        <f>IFERROR(IF(A1563="","",VLOOKUP(A1563,DATABASE!$A:$B,2,0)),"")</f>
        <v/>
      </c>
      <c r="C1563" s="20">
        <f>IFERROR(IF(A1563="","",VLOOKUP(A1563,DATABASE!$A:$J,10,0)),"")</f>
        <v/>
      </c>
      <c r="D1563" s="28">
        <f>IF(A1563="","",TODAY())</f>
        <v/>
      </c>
      <c r="E1563" s="29" t="n"/>
      <c r="F1563" s="20">
        <f>IFERROR(IF(OR(A1563="",E1563=""),"",C1563-E1563),"")</f>
        <v/>
      </c>
      <c r="G1563" s="30" t="n"/>
      <c r="H1563" s="27" t="n"/>
    </row>
    <row r="1564" ht="20" customHeight="1">
      <c r="A1564" s="26" t="n"/>
      <c r="B1564" s="35">
        <f>IFERROR(IF(A1564="","",VLOOKUP(A1564,DATABASE!$A:$B,2,0)),"")</f>
        <v/>
      </c>
      <c r="C1564" s="36">
        <f>IFERROR(IF(A1564="","",VLOOKUP(A1564,DATABASE!$A:$J,10,0)),"")</f>
        <v/>
      </c>
      <c r="D1564" s="37">
        <f>IF(A1564="","",TODAY())</f>
        <v/>
      </c>
      <c r="E1564" s="29" t="n"/>
      <c r="F1564" s="36">
        <f>IFERROR(IF(OR(A1564="",E1564=""),"",C1564-E1564),"")</f>
        <v/>
      </c>
      <c r="G1564" s="30" t="n"/>
      <c r="H1564" s="35" t="n"/>
    </row>
    <row r="1565" ht="20" customHeight="1">
      <c r="A1565" s="26" t="n"/>
      <c r="B1565" s="27">
        <f>IFERROR(IF(A1565="","",VLOOKUP(A1565,DATABASE!$A:$B,2,0)),"")</f>
        <v/>
      </c>
      <c r="C1565" s="20">
        <f>IFERROR(IF(A1565="","",VLOOKUP(A1565,DATABASE!$A:$J,10,0)),"")</f>
        <v/>
      </c>
      <c r="D1565" s="28">
        <f>IF(A1565="","",TODAY())</f>
        <v/>
      </c>
      <c r="E1565" s="29" t="n"/>
      <c r="F1565" s="20">
        <f>IFERROR(IF(OR(A1565="",E1565=""),"",C1565-E1565),"")</f>
        <v/>
      </c>
      <c r="G1565" s="30" t="n"/>
      <c r="H1565" s="27" t="n"/>
    </row>
    <row r="1566" ht="20" customHeight="1">
      <c r="A1566" s="26" t="n"/>
      <c r="B1566" s="35">
        <f>IFERROR(IF(A1566="","",VLOOKUP(A1566,DATABASE!$A:$B,2,0)),"")</f>
        <v/>
      </c>
      <c r="C1566" s="36">
        <f>IFERROR(IF(A1566="","",VLOOKUP(A1566,DATABASE!$A:$J,10,0)),"")</f>
        <v/>
      </c>
      <c r="D1566" s="37">
        <f>IF(A1566="","",TODAY())</f>
        <v/>
      </c>
      <c r="E1566" s="29" t="n"/>
      <c r="F1566" s="36">
        <f>IFERROR(IF(OR(A1566="",E1566=""),"",C1566-E1566),"")</f>
        <v/>
      </c>
      <c r="G1566" s="30" t="n"/>
      <c r="H1566" s="35" t="n"/>
    </row>
    <row r="1567" ht="20" customHeight="1">
      <c r="A1567" s="26" t="n"/>
      <c r="B1567" s="27">
        <f>IFERROR(IF(A1567="","",VLOOKUP(A1567,DATABASE!$A:$B,2,0)),"")</f>
        <v/>
      </c>
      <c r="C1567" s="20">
        <f>IFERROR(IF(A1567="","",VLOOKUP(A1567,DATABASE!$A:$J,10,0)),"")</f>
        <v/>
      </c>
      <c r="D1567" s="28">
        <f>IF(A1567="","",TODAY())</f>
        <v/>
      </c>
      <c r="E1567" s="29" t="n"/>
      <c r="F1567" s="20">
        <f>IFERROR(IF(OR(A1567="",E1567=""),"",C1567-E1567),"")</f>
        <v/>
      </c>
      <c r="G1567" s="30" t="n"/>
      <c r="H1567" s="27" t="n"/>
    </row>
    <row r="1568" ht="20" customHeight="1">
      <c r="A1568" s="26" t="n"/>
      <c r="B1568" s="35">
        <f>IFERROR(IF(A1568="","",VLOOKUP(A1568,DATABASE!$A:$B,2,0)),"")</f>
        <v/>
      </c>
      <c r="C1568" s="36">
        <f>IFERROR(IF(A1568="","",VLOOKUP(A1568,DATABASE!$A:$J,10,0)),"")</f>
        <v/>
      </c>
      <c r="D1568" s="37">
        <f>IF(A1568="","",TODAY())</f>
        <v/>
      </c>
      <c r="E1568" s="29" t="n"/>
      <c r="F1568" s="36">
        <f>IFERROR(IF(OR(A1568="",E1568=""),"",C1568-E1568),"")</f>
        <v/>
      </c>
      <c r="G1568" s="30" t="n"/>
      <c r="H1568" s="35" t="n"/>
    </row>
    <row r="1569" ht="20" customHeight="1">
      <c r="A1569" s="26" t="n"/>
      <c r="B1569" s="27">
        <f>IFERROR(IF(A1569="","",VLOOKUP(A1569,DATABASE!$A:$B,2,0)),"")</f>
        <v/>
      </c>
      <c r="C1569" s="20">
        <f>IFERROR(IF(A1569="","",VLOOKUP(A1569,DATABASE!$A:$J,10,0)),"")</f>
        <v/>
      </c>
      <c r="D1569" s="28">
        <f>IF(A1569="","",TODAY())</f>
        <v/>
      </c>
      <c r="E1569" s="29" t="n"/>
      <c r="F1569" s="20">
        <f>IFERROR(IF(OR(A1569="",E1569=""),"",C1569-E1569),"")</f>
        <v/>
      </c>
      <c r="G1569" s="30" t="n"/>
      <c r="H1569" s="27" t="n"/>
    </row>
    <row r="1570" ht="20" customHeight="1">
      <c r="A1570" s="26" t="n"/>
      <c r="B1570" s="35">
        <f>IFERROR(IF(A1570="","",VLOOKUP(A1570,DATABASE!$A:$B,2,0)),"")</f>
        <v/>
      </c>
      <c r="C1570" s="36">
        <f>IFERROR(IF(A1570="","",VLOOKUP(A1570,DATABASE!$A:$J,10,0)),"")</f>
        <v/>
      </c>
      <c r="D1570" s="37">
        <f>IF(A1570="","",TODAY())</f>
        <v/>
      </c>
      <c r="E1570" s="29" t="n"/>
      <c r="F1570" s="36">
        <f>IFERROR(IF(OR(A1570="",E1570=""),"",C1570-E1570),"")</f>
        <v/>
      </c>
      <c r="G1570" s="30" t="n"/>
      <c r="H1570" s="35" t="n"/>
    </row>
    <row r="1571" ht="20" customHeight="1">
      <c r="A1571" s="26" t="n"/>
      <c r="B1571" s="27">
        <f>IFERROR(IF(A1571="","",VLOOKUP(A1571,DATABASE!$A:$B,2,0)),"")</f>
        <v/>
      </c>
      <c r="C1571" s="20">
        <f>IFERROR(IF(A1571="","",VLOOKUP(A1571,DATABASE!$A:$J,10,0)),"")</f>
        <v/>
      </c>
      <c r="D1571" s="28">
        <f>IF(A1571="","",TODAY())</f>
        <v/>
      </c>
      <c r="E1571" s="29" t="n"/>
      <c r="F1571" s="20">
        <f>IFERROR(IF(OR(A1571="",E1571=""),"",C1571-E1571),"")</f>
        <v/>
      </c>
      <c r="G1571" s="30" t="n"/>
      <c r="H1571" s="27" t="n"/>
    </row>
    <row r="1572" ht="20" customHeight="1">
      <c r="A1572" s="26" t="n"/>
      <c r="B1572" s="35">
        <f>IFERROR(IF(A1572="","",VLOOKUP(A1572,DATABASE!$A:$B,2,0)),"")</f>
        <v/>
      </c>
      <c r="C1572" s="36">
        <f>IFERROR(IF(A1572="","",VLOOKUP(A1572,DATABASE!$A:$J,10,0)),"")</f>
        <v/>
      </c>
      <c r="D1572" s="37">
        <f>IF(A1572="","",TODAY())</f>
        <v/>
      </c>
      <c r="E1572" s="29" t="n"/>
      <c r="F1572" s="36">
        <f>IFERROR(IF(OR(A1572="",E1572=""),"",C1572-E1572),"")</f>
        <v/>
      </c>
      <c r="G1572" s="30" t="n"/>
      <c r="H1572" s="35" t="n"/>
    </row>
    <row r="1573" ht="20" customHeight="1">
      <c r="A1573" s="26" t="n"/>
      <c r="B1573" s="27">
        <f>IFERROR(IF(A1573="","",VLOOKUP(A1573,DATABASE!$A:$B,2,0)),"")</f>
        <v/>
      </c>
      <c r="C1573" s="20">
        <f>IFERROR(IF(A1573="","",VLOOKUP(A1573,DATABASE!$A:$J,10,0)),"")</f>
        <v/>
      </c>
      <c r="D1573" s="28">
        <f>IF(A1573="","",TODAY())</f>
        <v/>
      </c>
      <c r="E1573" s="29" t="n"/>
      <c r="F1573" s="20">
        <f>IFERROR(IF(OR(A1573="",E1573=""),"",C1573-E1573),"")</f>
        <v/>
      </c>
      <c r="G1573" s="30" t="n"/>
      <c r="H1573" s="27" t="n"/>
    </row>
    <row r="1574" ht="20" customHeight="1">
      <c r="A1574" s="26" t="n"/>
      <c r="B1574" s="35">
        <f>IFERROR(IF(A1574="","",VLOOKUP(A1574,DATABASE!$A:$B,2,0)),"")</f>
        <v/>
      </c>
      <c r="C1574" s="36">
        <f>IFERROR(IF(A1574="","",VLOOKUP(A1574,DATABASE!$A:$J,10,0)),"")</f>
        <v/>
      </c>
      <c r="D1574" s="37">
        <f>IF(A1574="","",TODAY())</f>
        <v/>
      </c>
      <c r="E1574" s="29" t="n"/>
      <c r="F1574" s="36">
        <f>IFERROR(IF(OR(A1574="",E1574=""),"",C1574-E1574),"")</f>
        <v/>
      </c>
      <c r="G1574" s="30" t="n"/>
      <c r="H1574" s="35" t="n"/>
    </row>
    <row r="1575" ht="20" customHeight="1">
      <c r="A1575" s="26" t="n"/>
      <c r="B1575" s="27">
        <f>IFERROR(IF(A1575="","",VLOOKUP(A1575,DATABASE!$A:$B,2,0)),"")</f>
        <v/>
      </c>
      <c r="C1575" s="20">
        <f>IFERROR(IF(A1575="","",VLOOKUP(A1575,DATABASE!$A:$J,10,0)),"")</f>
        <v/>
      </c>
      <c r="D1575" s="28">
        <f>IF(A1575="","",TODAY())</f>
        <v/>
      </c>
      <c r="E1575" s="29" t="n"/>
      <c r="F1575" s="20">
        <f>IFERROR(IF(OR(A1575="",E1575=""),"",C1575-E1575),"")</f>
        <v/>
      </c>
      <c r="G1575" s="30" t="n"/>
      <c r="H1575" s="27" t="n"/>
    </row>
    <row r="1576" ht="20" customHeight="1">
      <c r="A1576" s="26" t="n"/>
      <c r="B1576" s="35">
        <f>IFERROR(IF(A1576="","",VLOOKUP(A1576,DATABASE!$A:$B,2,0)),"")</f>
        <v/>
      </c>
      <c r="C1576" s="36">
        <f>IFERROR(IF(A1576="","",VLOOKUP(A1576,DATABASE!$A:$J,10,0)),"")</f>
        <v/>
      </c>
      <c r="D1576" s="37">
        <f>IF(A1576="","",TODAY())</f>
        <v/>
      </c>
      <c r="E1576" s="29" t="n"/>
      <c r="F1576" s="36">
        <f>IFERROR(IF(OR(A1576="",E1576=""),"",C1576-E1576),"")</f>
        <v/>
      </c>
      <c r="G1576" s="30" t="n"/>
      <c r="H1576" s="35" t="n"/>
    </row>
    <row r="1577" ht="20" customHeight="1">
      <c r="A1577" s="26" t="n"/>
      <c r="B1577" s="27">
        <f>IFERROR(IF(A1577="","",VLOOKUP(A1577,DATABASE!$A:$B,2,0)),"")</f>
        <v/>
      </c>
      <c r="C1577" s="20">
        <f>IFERROR(IF(A1577="","",VLOOKUP(A1577,DATABASE!$A:$J,10,0)),"")</f>
        <v/>
      </c>
      <c r="D1577" s="28">
        <f>IF(A1577="","",TODAY())</f>
        <v/>
      </c>
      <c r="E1577" s="29" t="n"/>
      <c r="F1577" s="20">
        <f>IFERROR(IF(OR(A1577="",E1577=""),"",C1577-E1577),"")</f>
        <v/>
      </c>
      <c r="G1577" s="30" t="n"/>
      <c r="H1577" s="27" t="n"/>
    </row>
    <row r="1578" ht="20" customHeight="1">
      <c r="A1578" s="26" t="n"/>
      <c r="B1578" s="35">
        <f>IFERROR(IF(A1578="","",VLOOKUP(A1578,DATABASE!$A:$B,2,0)),"")</f>
        <v/>
      </c>
      <c r="C1578" s="36">
        <f>IFERROR(IF(A1578="","",VLOOKUP(A1578,DATABASE!$A:$J,10,0)),"")</f>
        <v/>
      </c>
      <c r="D1578" s="37">
        <f>IF(A1578="","",TODAY())</f>
        <v/>
      </c>
      <c r="E1578" s="29" t="n"/>
      <c r="F1578" s="36">
        <f>IFERROR(IF(OR(A1578="",E1578=""),"",C1578-E1578),"")</f>
        <v/>
      </c>
      <c r="G1578" s="30" t="n"/>
      <c r="H1578" s="35" t="n"/>
    </row>
    <row r="1579" ht="20" customHeight="1">
      <c r="A1579" s="26" t="n"/>
      <c r="B1579" s="27">
        <f>IFERROR(IF(A1579="","",VLOOKUP(A1579,DATABASE!$A:$B,2,0)),"")</f>
        <v/>
      </c>
      <c r="C1579" s="20">
        <f>IFERROR(IF(A1579="","",VLOOKUP(A1579,DATABASE!$A:$J,10,0)),"")</f>
        <v/>
      </c>
      <c r="D1579" s="28">
        <f>IF(A1579="","",TODAY())</f>
        <v/>
      </c>
      <c r="E1579" s="29" t="n"/>
      <c r="F1579" s="20">
        <f>IFERROR(IF(OR(A1579="",E1579=""),"",C1579-E1579),"")</f>
        <v/>
      </c>
      <c r="G1579" s="30" t="n"/>
      <c r="H1579" s="27" t="n"/>
    </row>
    <row r="1580" ht="20" customHeight="1">
      <c r="A1580" s="26" t="n"/>
      <c r="B1580" s="35">
        <f>IFERROR(IF(A1580="","",VLOOKUP(A1580,DATABASE!$A:$B,2,0)),"")</f>
        <v/>
      </c>
      <c r="C1580" s="36">
        <f>IFERROR(IF(A1580="","",VLOOKUP(A1580,DATABASE!$A:$J,10,0)),"")</f>
        <v/>
      </c>
      <c r="D1580" s="37">
        <f>IF(A1580="","",TODAY())</f>
        <v/>
      </c>
      <c r="E1580" s="29" t="n"/>
      <c r="F1580" s="36">
        <f>IFERROR(IF(OR(A1580="",E1580=""),"",C1580-E1580),"")</f>
        <v/>
      </c>
      <c r="G1580" s="30" t="n"/>
      <c r="H1580" s="35" t="n"/>
    </row>
    <row r="1581" ht="20" customHeight="1">
      <c r="A1581" s="26" t="n"/>
      <c r="B1581" s="27">
        <f>IFERROR(IF(A1581="","",VLOOKUP(A1581,DATABASE!$A:$B,2,0)),"")</f>
        <v/>
      </c>
      <c r="C1581" s="20">
        <f>IFERROR(IF(A1581="","",VLOOKUP(A1581,DATABASE!$A:$J,10,0)),"")</f>
        <v/>
      </c>
      <c r="D1581" s="28">
        <f>IF(A1581="","",TODAY())</f>
        <v/>
      </c>
      <c r="E1581" s="29" t="n"/>
      <c r="F1581" s="20">
        <f>IFERROR(IF(OR(A1581="",E1581=""),"",C1581-E1581),"")</f>
        <v/>
      </c>
      <c r="G1581" s="30" t="n"/>
      <c r="H1581" s="27" t="n"/>
    </row>
    <row r="1582" ht="20" customHeight="1">
      <c r="A1582" s="26" t="n"/>
      <c r="B1582" s="35">
        <f>IFERROR(IF(A1582="","",VLOOKUP(A1582,DATABASE!$A:$B,2,0)),"")</f>
        <v/>
      </c>
      <c r="C1582" s="36">
        <f>IFERROR(IF(A1582="","",VLOOKUP(A1582,DATABASE!$A:$J,10,0)),"")</f>
        <v/>
      </c>
      <c r="D1582" s="37">
        <f>IF(A1582="","",TODAY())</f>
        <v/>
      </c>
      <c r="E1582" s="29" t="n"/>
      <c r="F1582" s="36">
        <f>IFERROR(IF(OR(A1582="",E1582=""),"",C1582-E1582),"")</f>
        <v/>
      </c>
      <c r="G1582" s="30" t="n"/>
      <c r="H1582" s="35" t="n"/>
    </row>
    <row r="1583" ht="20" customHeight="1">
      <c r="A1583" s="26" t="n"/>
      <c r="B1583" s="27">
        <f>IFERROR(IF(A1583="","",VLOOKUP(A1583,DATABASE!$A:$B,2,0)),"")</f>
        <v/>
      </c>
      <c r="C1583" s="20">
        <f>IFERROR(IF(A1583="","",VLOOKUP(A1583,DATABASE!$A:$J,10,0)),"")</f>
        <v/>
      </c>
      <c r="D1583" s="28">
        <f>IF(A1583="","",TODAY())</f>
        <v/>
      </c>
      <c r="E1583" s="29" t="n"/>
      <c r="F1583" s="20">
        <f>IFERROR(IF(OR(A1583="",E1583=""),"",C1583-E1583),"")</f>
        <v/>
      </c>
      <c r="G1583" s="30" t="n"/>
      <c r="H1583" s="27" t="n"/>
    </row>
    <row r="1584" ht="20" customHeight="1">
      <c r="A1584" s="26" t="n"/>
      <c r="B1584" s="35">
        <f>IFERROR(IF(A1584="","",VLOOKUP(A1584,DATABASE!$A:$B,2,0)),"")</f>
        <v/>
      </c>
      <c r="C1584" s="36">
        <f>IFERROR(IF(A1584="","",VLOOKUP(A1584,DATABASE!$A:$J,10,0)),"")</f>
        <v/>
      </c>
      <c r="D1584" s="37">
        <f>IF(A1584="","",TODAY())</f>
        <v/>
      </c>
      <c r="E1584" s="29" t="n"/>
      <c r="F1584" s="36">
        <f>IFERROR(IF(OR(A1584="",E1584=""),"",C1584-E1584),"")</f>
        <v/>
      </c>
      <c r="G1584" s="30" t="n"/>
      <c r="H1584" s="35" t="n"/>
    </row>
    <row r="1585" ht="20" customHeight="1">
      <c r="A1585" s="26" t="n"/>
      <c r="B1585" s="27">
        <f>IFERROR(IF(A1585="","",VLOOKUP(A1585,DATABASE!$A:$B,2,0)),"")</f>
        <v/>
      </c>
      <c r="C1585" s="20">
        <f>IFERROR(IF(A1585="","",VLOOKUP(A1585,DATABASE!$A:$J,10,0)),"")</f>
        <v/>
      </c>
      <c r="D1585" s="28">
        <f>IF(A1585="","",TODAY())</f>
        <v/>
      </c>
      <c r="E1585" s="29" t="n"/>
      <c r="F1585" s="20">
        <f>IFERROR(IF(OR(A1585="",E1585=""),"",C1585-E1585),"")</f>
        <v/>
      </c>
      <c r="G1585" s="30" t="n"/>
      <c r="H1585" s="27" t="n"/>
    </row>
    <row r="1586" ht="20" customHeight="1">
      <c r="A1586" s="26" t="n"/>
      <c r="B1586" s="35">
        <f>IFERROR(IF(A1586="","",VLOOKUP(A1586,DATABASE!$A:$B,2,0)),"")</f>
        <v/>
      </c>
      <c r="C1586" s="36">
        <f>IFERROR(IF(A1586="","",VLOOKUP(A1586,DATABASE!$A:$J,10,0)),"")</f>
        <v/>
      </c>
      <c r="D1586" s="37">
        <f>IF(A1586="","",TODAY())</f>
        <v/>
      </c>
      <c r="E1586" s="29" t="n"/>
      <c r="F1586" s="36">
        <f>IFERROR(IF(OR(A1586="",E1586=""),"",C1586-E1586),"")</f>
        <v/>
      </c>
      <c r="G1586" s="30" t="n"/>
      <c r="H1586" s="35" t="n"/>
    </row>
    <row r="1587" ht="20" customHeight="1">
      <c r="A1587" s="26" t="n"/>
      <c r="B1587" s="27">
        <f>IFERROR(IF(A1587="","",VLOOKUP(A1587,DATABASE!$A:$B,2,0)),"")</f>
        <v/>
      </c>
      <c r="C1587" s="20">
        <f>IFERROR(IF(A1587="","",VLOOKUP(A1587,DATABASE!$A:$J,10,0)),"")</f>
        <v/>
      </c>
      <c r="D1587" s="28">
        <f>IF(A1587="","",TODAY())</f>
        <v/>
      </c>
      <c r="E1587" s="29" t="n"/>
      <c r="F1587" s="20">
        <f>IFERROR(IF(OR(A1587="",E1587=""),"",C1587-E1587),"")</f>
        <v/>
      </c>
      <c r="G1587" s="30" t="n"/>
      <c r="H1587" s="27" t="n"/>
    </row>
    <row r="1588" ht="20" customHeight="1">
      <c r="A1588" s="26" t="n"/>
      <c r="B1588" s="35">
        <f>IFERROR(IF(A1588="","",VLOOKUP(A1588,DATABASE!$A:$B,2,0)),"")</f>
        <v/>
      </c>
      <c r="C1588" s="36">
        <f>IFERROR(IF(A1588="","",VLOOKUP(A1588,DATABASE!$A:$J,10,0)),"")</f>
        <v/>
      </c>
      <c r="D1588" s="37">
        <f>IF(A1588="","",TODAY())</f>
        <v/>
      </c>
      <c r="E1588" s="29" t="n"/>
      <c r="F1588" s="36">
        <f>IFERROR(IF(OR(A1588="",E1588=""),"",C1588-E1588),"")</f>
        <v/>
      </c>
      <c r="G1588" s="30" t="n"/>
      <c r="H1588" s="35" t="n"/>
    </row>
    <row r="1589" ht="20" customHeight="1">
      <c r="A1589" s="26" t="n"/>
      <c r="B1589" s="27">
        <f>IFERROR(IF(A1589="","",VLOOKUP(A1589,DATABASE!$A:$B,2,0)),"")</f>
        <v/>
      </c>
      <c r="C1589" s="20">
        <f>IFERROR(IF(A1589="","",VLOOKUP(A1589,DATABASE!$A:$J,10,0)),"")</f>
        <v/>
      </c>
      <c r="D1589" s="28">
        <f>IF(A1589="","",TODAY())</f>
        <v/>
      </c>
      <c r="E1589" s="29" t="n"/>
      <c r="F1589" s="20">
        <f>IFERROR(IF(OR(A1589="",E1589=""),"",C1589-E1589),"")</f>
        <v/>
      </c>
      <c r="G1589" s="30" t="n"/>
      <c r="H1589" s="27" t="n"/>
    </row>
    <row r="1590" ht="20" customHeight="1">
      <c r="A1590" s="26" t="n"/>
      <c r="B1590" s="35">
        <f>IFERROR(IF(A1590="","",VLOOKUP(A1590,DATABASE!$A:$B,2,0)),"")</f>
        <v/>
      </c>
      <c r="C1590" s="36">
        <f>IFERROR(IF(A1590="","",VLOOKUP(A1590,DATABASE!$A:$J,10,0)),"")</f>
        <v/>
      </c>
      <c r="D1590" s="37">
        <f>IF(A1590="","",TODAY())</f>
        <v/>
      </c>
      <c r="E1590" s="29" t="n"/>
      <c r="F1590" s="36">
        <f>IFERROR(IF(OR(A1590="",E1590=""),"",C1590-E1590),"")</f>
        <v/>
      </c>
      <c r="G1590" s="30" t="n"/>
      <c r="H1590" s="35" t="n"/>
    </row>
    <row r="1591" ht="20" customHeight="1">
      <c r="A1591" s="26" t="n"/>
      <c r="B1591" s="27">
        <f>IFERROR(IF(A1591="","",VLOOKUP(A1591,DATABASE!$A:$B,2,0)),"")</f>
        <v/>
      </c>
      <c r="C1591" s="20">
        <f>IFERROR(IF(A1591="","",VLOOKUP(A1591,DATABASE!$A:$J,10,0)),"")</f>
        <v/>
      </c>
      <c r="D1591" s="28">
        <f>IF(A1591="","",TODAY())</f>
        <v/>
      </c>
      <c r="E1591" s="29" t="n"/>
      <c r="F1591" s="20">
        <f>IFERROR(IF(OR(A1591="",E1591=""),"",C1591-E1591),"")</f>
        <v/>
      </c>
      <c r="G1591" s="30" t="n"/>
      <c r="H1591" s="27" t="n"/>
    </row>
    <row r="1592" ht="20" customHeight="1">
      <c r="A1592" s="26" t="n"/>
      <c r="B1592" s="35">
        <f>IFERROR(IF(A1592="","",VLOOKUP(A1592,DATABASE!$A:$B,2,0)),"")</f>
        <v/>
      </c>
      <c r="C1592" s="36">
        <f>IFERROR(IF(A1592="","",VLOOKUP(A1592,DATABASE!$A:$J,10,0)),"")</f>
        <v/>
      </c>
      <c r="D1592" s="37">
        <f>IF(A1592="","",TODAY())</f>
        <v/>
      </c>
      <c r="E1592" s="29" t="n"/>
      <c r="F1592" s="36">
        <f>IFERROR(IF(OR(A1592="",E1592=""),"",C1592-E1592),"")</f>
        <v/>
      </c>
      <c r="G1592" s="30" t="n"/>
      <c r="H1592" s="35" t="n"/>
    </row>
    <row r="1593" ht="20" customHeight="1">
      <c r="A1593" s="26" t="n"/>
      <c r="B1593" s="27">
        <f>IFERROR(IF(A1593="","",VLOOKUP(A1593,DATABASE!$A:$B,2,0)),"")</f>
        <v/>
      </c>
      <c r="C1593" s="20">
        <f>IFERROR(IF(A1593="","",VLOOKUP(A1593,DATABASE!$A:$J,10,0)),"")</f>
        <v/>
      </c>
      <c r="D1593" s="28">
        <f>IF(A1593="","",TODAY())</f>
        <v/>
      </c>
      <c r="E1593" s="29" t="n"/>
      <c r="F1593" s="20">
        <f>IFERROR(IF(OR(A1593="",E1593=""),"",C1593-E1593),"")</f>
        <v/>
      </c>
      <c r="G1593" s="30" t="n"/>
      <c r="H1593" s="27" t="n"/>
    </row>
    <row r="1594" ht="20" customHeight="1">
      <c r="A1594" s="26" t="n"/>
      <c r="B1594" s="35">
        <f>IFERROR(IF(A1594="","",VLOOKUP(A1594,DATABASE!$A:$B,2,0)),"")</f>
        <v/>
      </c>
      <c r="C1594" s="36">
        <f>IFERROR(IF(A1594="","",VLOOKUP(A1594,DATABASE!$A:$J,10,0)),"")</f>
        <v/>
      </c>
      <c r="D1594" s="37">
        <f>IF(A1594="","",TODAY())</f>
        <v/>
      </c>
      <c r="E1594" s="29" t="n"/>
      <c r="F1594" s="36">
        <f>IFERROR(IF(OR(A1594="",E1594=""),"",C1594-E1594),"")</f>
        <v/>
      </c>
      <c r="G1594" s="30" t="n"/>
      <c r="H1594" s="35" t="n"/>
    </row>
    <row r="1595" ht="20" customHeight="1">
      <c r="A1595" s="26" t="n"/>
      <c r="B1595" s="27">
        <f>IFERROR(IF(A1595="","",VLOOKUP(A1595,DATABASE!$A:$B,2,0)),"")</f>
        <v/>
      </c>
      <c r="C1595" s="20">
        <f>IFERROR(IF(A1595="","",VLOOKUP(A1595,DATABASE!$A:$J,10,0)),"")</f>
        <v/>
      </c>
      <c r="D1595" s="28">
        <f>IF(A1595="","",TODAY())</f>
        <v/>
      </c>
      <c r="E1595" s="29" t="n"/>
      <c r="F1595" s="20">
        <f>IFERROR(IF(OR(A1595="",E1595=""),"",C1595-E1595),"")</f>
        <v/>
      </c>
      <c r="G1595" s="30" t="n"/>
      <c r="H1595" s="27" t="n"/>
    </row>
    <row r="1596" ht="20" customHeight="1">
      <c r="A1596" s="26" t="n"/>
      <c r="B1596" s="35">
        <f>IFERROR(IF(A1596="","",VLOOKUP(A1596,DATABASE!$A:$B,2,0)),"")</f>
        <v/>
      </c>
      <c r="C1596" s="36">
        <f>IFERROR(IF(A1596="","",VLOOKUP(A1596,DATABASE!$A:$J,10,0)),"")</f>
        <v/>
      </c>
      <c r="D1596" s="37">
        <f>IF(A1596="","",TODAY())</f>
        <v/>
      </c>
      <c r="E1596" s="29" t="n"/>
      <c r="F1596" s="36">
        <f>IFERROR(IF(OR(A1596="",E1596=""),"",C1596-E1596),"")</f>
        <v/>
      </c>
      <c r="G1596" s="30" t="n"/>
      <c r="H1596" s="35" t="n"/>
    </row>
    <row r="1597" ht="20" customHeight="1">
      <c r="A1597" s="26" t="n"/>
      <c r="B1597" s="27">
        <f>IFERROR(IF(A1597="","",VLOOKUP(A1597,DATABASE!$A:$B,2,0)),"")</f>
        <v/>
      </c>
      <c r="C1597" s="20">
        <f>IFERROR(IF(A1597="","",VLOOKUP(A1597,DATABASE!$A:$J,10,0)),"")</f>
        <v/>
      </c>
      <c r="D1597" s="28">
        <f>IF(A1597="","",TODAY())</f>
        <v/>
      </c>
      <c r="E1597" s="29" t="n"/>
      <c r="F1597" s="20">
        <f>IFERROR(IF(OR(A1597="",E1597=""),"",C1597-E1597),"")</f>
        <v/>
      </c>
      <c r="G1597" s="30" t="n"/>
      <c r="H1597" s="27" t="n"/>
    </row>
    <row r="1598" ht="20" customHeight="1">
      <c r="A1598" s="26" t="n"/>
      <c r="B1598" s="35">
        <f>IFERROR(IF(A1598="","",VLOOKUP(A1598,DATABASE!$A:$B,2,0)),"")</f>
        <v/>
      </c>
      <c r="C1598" s="36">
        <f>IFERROR(IF(A1598="","",VLOOKUP(A1598,DATABASE!$A:$J,10,0)),"")</f>
        <v/>
      </c>
      <c r="D1598" s="37">
        <f>IF(A1598="","",TODAY())</f>
        <v/>
      </c>
      <c r="E1598" s="29" t="n"/>
      <c r="F1598" s="36">
        <f>IFERROR(IF(OR(A1598="",E1598=""),"",C1598-E1598),"")</f>
        <v/>
      </c>
      <c r="G1598" s="30" t="n"/>
      <c r="H1598" s="35" t="n"/>
    </row>
    <row r="1599" ht="20" customHeight="1">
      <c r="A1599" s="26" t="n"/>
      <c r="B1599" s="27">
        <f>IFERROR(IF(A1599="","",VLOOKUP(A1599,DATABASE!$A:$B,2,0)),"")</f>
        <v/>
      </c>
      <c r="C1599" s="20">
        <f>IFERROR(IF(A1599="","",VLOOKUP(A1599,DATABASE!$A:$J,10,0)),"")</f>
        <v/>
      </c>
      <c r="D1599" s="28">
        <f>IF(A1599="","",TODAY())</f>
        <v/>
      </c>
      <c r="E1599" s="29" t="n"/>
      <c r="F1599" s="20">
        <f>IFERROR(IF(OR(A1599="",E1599=""),"",C1599-E1599),"")</f>
        <v/>
      </c>
      <c r="G1599" s="30" t="n"/>
      <c r="H1599" s="27" t="n"/>
    </row>
    <row r="1600" ht="20" customHeight="1">
      <c r="A1600" s="26" t="n"/>
      <c r="B1600" s="35">
        <f>IFERROR(IF(A1600="","",VLOOKUP(A1600,DATABASE!$A:$B,2,0)),"")</f>
        <v/>
      </c>
      <c r="C1600" s="36">
        <f>IFERROR(IF(A1600="","",VLOOKUP(A1600,DATABASE!$A:$J,10,0)),"")</f>
        <v/>
      </c>
      <c r="D1600" s="37">
        <f>IF(A1600="","",TODAY())</f>
        <v/>
      </c>
      <c r="E1600" s="29" t="n"/>
      <c r="F1600" s="36">
        <f>IFERROR(IF(OR(A1600="",E1600=""),"",C1600-E1600),"")</f>
        <v/>
      </c>
      <c r="G1600" s="30" t="n"/>
      <c r="H1600" s="35" t="n"/>
    </row>
    <row r="1601" ht="20" customHeight="1">
      <c r="A1601" s="26" t="n"/>
      <c r="B1601" s="27">
        <f>IFERROR(IF(A1601="","",VLOOKUP(A1601,DATABASE!$A:$B,2,0)),"")</f>
        <v/>
      </c>
      <c r="C1601" s="20">
        <f>IFERROR(IF(A1601="","",VLOOKUP(A1601,DATABASE!$A:$J,10,0)),"")</f>
        <v/>
      </c>
      <c r="D1601" s="28">
        <f>IF(A1601="","",TODAY())</f>
        <v/>
      </c>
      <c r="E1601" s="29" t="n"/>
      <c r="F1601" s="20">
        <f>IFERROR(IF(OR(A1601="",E1601=""),"",C1601-E1601),"")</f>
        <v/>
      </c>
      <c r="G1601" s="30" t="n"/>
      <c r="H1601" s="27" t="n"/>
    </row>
    <row r="1602" ht="20" customHeight="1">
      <c r="A1602" s="26" t="n"/>
      <c r="B1602" s="35">
        <f>IFERROR(IF(A1602="","",VLOOKUP(A1602,DATABASE!$A:$B,2,0)),"")</f>
        <v/>
      </c>
      <c r="C1602" s="36">
        <f>IFERROR(IF(A1602="","",VLOOKUP(A1602,DATABASE!$A:$J,10,0)),"")</f>
        <v/>
      </c>
      <c r="D1602" s="37">
        <f>IF(A1602="","",TODAY())</f>
        <v/>
      </c>
      <c r="E1602" s="29" t="n"/>
      <c r="F1602" s="36">
        <f>IFERROR(IF(OR(A1602="",E1602=""),"",C1602-E1602),"")</f>
        <v/>
      </c>
      <c r="G1602" s="30" t="n"/>
      <c r="H1602" s="35" t="n"/>
    </row>
    <row r="1603" ht="20" customHeight="1">
      <c r="A1603" s="26" t="n"/>
      <c r="B1603" s="27">
        <f>IFERROR(IF(A1603="","",VLOOKUP(A1603,DATABASE!$A:$B,2,0)),"")</f>
        <v/>
      </c>
      <c r="C1603" s="20">
        <f>IFERROR(IF(A1603="","",VLOOKUP(A1603,DATABASE!$A:$J,10,0)),"")</f>
        <v/>
      </c>
      <c r="D1603" s="28">
        <f>IF(A1603="","",TODAY())</f>
        <v/>
      </c>
      <c r="E1603" s="29" t="n"/>
      <c r="F1603" s="20">
        <f>IFERROR(IF(OR(A1603="",E1603=""),"",C1603-E1603),"")</f>
        <v/>
      </c>
      <c r="G1603" s="30" t="n"/>
      <c r="H1603" s="27" t="n"/>
    </row>
    <row r="1604" ht="20" customHeight="1">
      <c r="A1604" s="26" t="n"/>
      <c r="B1604" s="35">
        <f>IFERROR(IF(A1604="","",VLOOKUP(A1604,DATABASE!$A:$B,2,0)),"")</f>
        <v/>
      </c>
      <c r="C1604" s="36">
        <f>IFERROR(IF(A1604="","",VLOOKUP(A1604,DATABASE!$A:$J,10,0)),"")</f>
        <v/>
      </c>
      <c r="D1604" s="37">
        <f>IF(A1604="","",TODAY())</f>
        <v/>
      </c>
      <c r="E1604" s="29" t="n"/>
      <c r="F1604" s="36">
        <f>IFERROR(IF(OR(A1604="",E1604=""),"",C1604-E1604),"")</f>
        <v/>
      </c>
      <c r="G1604" s="30" t="n"/>
      <c r="H1604" s="35" t="n"/>
    </row>
    <row r="1605" ht="20" customHeight="1">
      <c r="A1605" s="26" t="n"/>
      <c r="B1605" s="27">
        <f>IFERROR(IF(A1605="","",VLOOKUP(A1605,DATABASE!$A:$B,2,0)),"")</f>
        <v/>
      </c>
      <c r="C1605" s="20">
        <f>IFERROR(IF(A1605="","",VLOOKUP(A1605,DATABASE!$A:$J,10,0)),"")</f>
        <v/>
      </c>
      <c r="D1605" s="28">
        <f>IF(A1605="","",TODAY())</f>
        <v/>
      </c>
      <c r="E1605" s="29" t="n"/>
      <c r="F1605" s="20">
        <f>IFERROR(IF(OR(A1605="",E1605=""),"",C1605-E1605),"")</f>
        <v/>
      </c>
      <c r="G1605" s="30" t="n"/>
      <c r="H1605" s="27" t="n"/>
    </row>
    <row r="1606" ht="20" customHeight="1">
      <c r="A1606" s="26" t="n"/>
      <c r="B1606" s="35">
        <f>IFERROR(IF(A1606="","",VLOOKUP(A1606,DATABASE!$A:$B,2,0)),"")</f>
        <v/>
      </c>
      <c r="C1606" s="36">
        <f>IFERROR(IF(A1606="","",VLOOKUP(A1606,DATABASE!$A:$J,10,0)),"")</f>
        <v/>
      </c>
      <c r="D1606" s="37">
        <f>IF(A1606="","",TODAY())</f>
        <v/>
      </c>
      <c r="E1606" s="29" t="n"/>
      <c r="F1606" s="36">
        <f>IFERROR(IF(OR(A1606="",E1606=""),"",C1606-E1606),"")</f>
        <v/>
      </c>
      <c r="G1606" s="30" t="n"/>
      <c r="H1606" s="35" t="n"/>
    </row>
    <row r="1607" ht="20" customHeight="1">
      <c r="A1607" s="26" t="n"/>
      <c r="B1607" s="27">
        <f>IFERROR(IF(A1607="","",VLOOKUP(A1607,DATABASE!$A:$B,2,0)),"")</f>
        <v/>
      </c>
      <c r="C1607" s="20">
        <f>IFERROR(IF(A1607="","",VLOOKUP(A1607,DATABASE!$A:$J,10,0)),"")</f>
        <v/>
      </c>
      <c r="D1607" s="28">
        <f>IF(A1607="","",TODAY())</f>
        <v/>
      </c>
      <c r="E1607" s="29" t="n"/>
      <c r="F1607" s="20">
        <f>IFERROR(IF(OR(A1607="",E1607=""),"",C1607-E1607),"")</f>
        <v/>
      </c>
      <c r="G1607" s="30" t="n"/>
      <c r="H1607" s="27" t="n"/>
    </row>
    <row r="1608" ht="20" customHeight="1">
      <c r="A1608" s="26" t="n"/>
      <c r="B1608" s="35">
        <f>IFERROR(IF(A1608="","",VLOOKUP(A1608,DATABASE!$A:$B,2,0)),"")</f>
        <v/>
      </c>
      <c r="C1608" s="36">
        <f>IFERROR(IF(A1608="","",VLOOKUP(A1608,DATABASE!$A:$J,10,0)),"")</f>
        <v/>
      </c>
      <c r="D1608" s="37">
        <f>IF(A1608="","",TODAY())</f>
        <v/>
      </c>
      <c r="E1608" s="29" t="n"/>
      <c r="F1608" s="36">
        <f>IFERROR(IF(OR(A1608="",E1608=""),"",C1608-E1608),"")</f>
        <v/>
      </c>
      <c r="G1608" s="30" t="n"/>
      <c r="H1608" s="35" t="n"/>
    </row>
    <row r="1609" ht="20" customHeight="1">
      <c r="A1609" s="26" t="n"/>
      <c r="B1609" s="27">
        <f>IFERROR(IF(A1609="","",VLOOKUP(A1609,DATABASE!$A:$B,2,0)),"")</f>
        <v/>
      </c>
      <c r="C1609" s="20">
        <f>IFERROR(IF(A1609="","",VLOOKUP(A1609,DATABASE!$A:$J,10,0)),"")</f>
        <v/>
      </c>
      <c r="D1609" s="28">
        <f>IF(A1609="","",TODAY())</f>
        <v/>
      </c>
      <c r="E1609" s="29" t="n"/>
      <c r="F1609" s="20">
        <f>IFERROR(IF(OR(A1609="",E1609=""),"",C1609-E1609),"")</f>
        <v/>
      </c>
      <c r="G1609" s="30" t="n"/>
      <c r="H1609" s="27" t="n"/>
    </row>
    <row r="1610" ht="20" customHeight="1">
      <c r="A1610" s="26" t="n"/>
      <c r="B1610" s="35">
        <f>IFERROR(IF(A1610="","",VLOOKUP(A1610,DATABASE!$A:$B,2,0)),"")</f>
        <v/>
      </c>
      <c r="C1610" s="36">
        <f>IFERROR(IF(A1610="","",VLOOKUP(A1610,DATABASE!$A:$J,10,0)),"")</f>
        <v/>
      </c>
      <c r="D1610" s="37">
        <f>IF(A1610="","",TODAY())</f>
        <v/>
      </c>
      <c r="E1610" s="29" t="n"/>
      <c r="F1610" s="36">
        <f>IFERROR(IF(OR(A1610="",E1610=""),"",C1610-E1610),"")</f>
        <v/>
      </c>
      <c r="G1610" s="30" t="n"/>
      <c r="H1610" s="35" t="n"/>
    </row>
    <row r="1611" ht="20" customHeight="1">
      <c r="A1611" s="26" t="n"/>
      <c r="B1611" s="27">
        <f>IFERROR(IF(A1611="","",VLOOKUP(A1611,DATABASE!$A:$B,2,0)),"")</f>
        <v/>
      </c>
      <c r="C1611" s="20">
        <f>IFERROR(IF(A1611="","",VLOOKUP(A1611,DATABASE!$A:$J,10,0)),"")</f>
        <v/>
      </c>
      <c r="D1611" s="28">
        <f>IF(A1611="","",TODAY())</f>
        <v/>
      </c>
      <c r="E1611" s="29" t="n"/>
      <c r="F1611" s="20">
        <f>IFERROR(IF(OR(A1611="",E1611=""),"",C1611-E1611),"")</f>
        <v/>
      </c>
      <c r="G1611" s="30" t="n"/>
      <c r="H1611" s="27" t="n"/>
    </row>
    <row r="1612" ht="20" customHeight="1">
      <c r="A1612" s="26" t="n"/>
      <c r="B1612" s="35">
        <f>IFERROR(IF(A1612="","",VLOOKUP(A1612,DATABASE!$A:$B,2,0)),"")</f>
        <v/>
      </c>
      <c r="C1612" s="36">
        <f>IFERROR(IF(A1612="","",VLOOKUP(A1612,DATABASE!$A:$J,10,0)),"")</f>
        <v/>
      </c>
      <c r="D1612" s="37">
        <f>IF(A1612="","",TODAY())</f>
        <v/>
      </c>
      <c r="E1612" s="29" t="n"/>
      <c r="F1612" s="36">
        <f>IFERROR(IF(OR(A1612="",E1612=""),"",C1612-E1612),"")</f>
        <v/>
      </c>
      <c r="G1612" s="30" t="n"/>
      <c r="H1612" s="35" t="n"/>
    </row>
    <row r="1613" ht="20" customHeight="1">
      <c r="A1613" s="26" t="n"/>
      <c r="B1613" s="27">
        <f>IFERROR(IF(A1613="","",VLOOKUP(A1613,DATABASE!$A:$B,2,0)),"")</f>
        <v/>
      </c>
      <c r="C1613" s="20">
        <f>IFERROR(IF(A1613="","",VLOOKUP(A1613,DATABASE!$A:$J,10,0)),"")</f>
        <v/>
      </c>
      <c r="D1613" s="28">
        <f>IF(A1613="","",TODAY())</f>
        <v/>
      </c>
      <c r="E1613" s="29" t="n"/>
      <c r="F1613" s="20">
        <f>IFERROR(IF(OR(A1613="",E1613=""),"",C1613-E1613),"")</f>
        <v/>
      </c>
      <c r="G1613" s="30" t="n"/>
      <c r="H1613" s="27" t="n"/>
    </row>
    <row r="1614" ht="20" customHeight="1">
      <c r="A1614" s="26" t="n"/>
      <c r="B1614" s="35">
        <f>IFERROR(IF(A1614="","",VLOOKUP(A1614,DATABASE!$A:$B,2,0)),"")</f>
        <v/>
      </c>
      <c r="C1614" s="36">
        <f>IFERROR(IF(A1614="","",VLOOKUP(A1614,DATABASE!$A:$J,10,0)),"")</f>
        <v/>
      </c>
      <c r="D1614" s="37">
        <f>IF(A1614="","",TODAY())</f>
        <v/>
      </c>
      <c r="E1614" s="29" t="n"/>
      <c r="F1614" s="36">
        <f>IFERROR(IF(OR(A1614="",E1614=""),"",C1614-E1614),"")</f>
        <v/>
      </c>
      <c r="G1614" s="30" t="n"/>
      <c r="H1614" s="35" t="n"/>
    </row>
    <row r="1615" ht="20" customHeight="1">
      <c r="A1615" s="26" t="n"/>
      <c r="B1615" s="27">
        <f>IFERROR(IF(A1615="","",VLOOKUP(A1615,DATABASE!$A:$B,2,0)),"")</f>
        <v/>
      </c>
      <c r="C1615" s="20">
        <f>IFERROR(IF(A1615="","",VLOOKUP(A1615,DATABASE!$A:$J,10,0)),"")</f>
        <v/>
      </c>
      <c r="D1615" s="28">
        <f>IF(A1615="","",TODAY())</f>
        <v/>
      </c>
      <c r="E1615" s="29" t="n"/>
      <c r="F1615" s="20">
        <f>IFERROR(IF(OR(A1615="",E1615=""),"",C1615-E1615),"")</f>
        <v/>
      </c>
      <c r="G1615" s="30" t="n"/>
      <c r="H1615" s="27" t="n"/>
    </row>
    <row r="1616" ht="20" customHeight="1">
      <c r="A1616" s="26" t="n"/>
      <c r="B1616" s="35">
        <f>IFERROR(IF(A1616="","",VLOOKUP(A1616,DATABASE!$A:$B,2,0)),"")</f>
        <v/>
      </c>
      <c r="C1616" s="36">
        <f>IFERROR(IF(A1616="","",VLOOKUP(A1616,DATABASE!$A:$J,10,0)),"")</f>
        <v/>
      </c>
      <c r="D1616" s="37">
        <f>IF(A1616="","",TODAY())</f>
        <v/>
      </c>
      <c r="E1616" s="29" t="n"/>
      <c r="F1616" s="36">
        <f>IFERROR(IF(OR(A1616="",E1616=""),"",C1616-E1616),"")</f>
        <v/>
      </c>
      <c r="G1616" s="30" t="n"/>
      <c r="H1616" s="35" t="n"/>
    </row>
    <row r="1617" ht="20" customHeight="1">
      <c r="A1617" s="26" t="n"/>
      <c r="B1617" s="27">
        <f>IFERROR(IF(A1617="","",VLOOKUP(A1617,DATABASE!$A:$B,2,0)),"")</f>
        <v/>
      </c>
      <c r="C1617" s="20">
        <f>IFERROR(IF(A1617="","",VLOOKUP(A1617,DATABASE!$A:$J,10,0)),"")</f>
        <v/>
      </c>
      <c r="D1617" s="28">
        <f>IF(A1617="","",TODAY())</f>
        <v/>
      </c>
      <c r="E1617" s="29" t="n"/>
      <c r="F1617" s="20">
        <f>IFERROR(IF(OR(A1617="",E1617=""),"",C1617-E1617),"")</f>
        <v/>
      </c>
      <c r="G1617" s="30" t="n"/>
      <c r="H1617" s="27" t="n"/>
    </row>
    <row r="1618" ht="20" customHeight="1">
      <c r="A1618" s="26" t="n"/>
      <c r="B1618" s="35">
        <f>IFERROR(IF(A1618="","",VLOOKUP(A1618,DATABASE!$A:$B,2,0)),"")</f>
        <v/>
      </c>
      <c r="C1618" s="36">
        <f>IFERROR(IF(A1618="","",VLOOKUP(A1618,DATABASE!$A:$J,10,0)),"")</f>
        <v/>
      </c>
      <c r="D1618" s="37">
        <f>IF(A1618="","",TODAY())</f>
        <v/>
      </c>
      <c r="E1618" s="29" t="n"/>
      <c r="F1618" s="36">
        <f>IFERROR(IF(OR(A1618="",E1618=""),"",C1618-E1618),"")</f>
        <v/>
      </c>
      <c r="G1618" s="30" t="n"/>
      <c r="H1618" s="35" t="n"/>
    </row>
    <row r="1619" ht="20" customHeight="1">
      <c r="A1619" s="26" t="n"/>
      <c r="B1619" s="27">
        <f>IFERROR(IF(A1619="","",VLOOKUP(A1619,DATABASE!$A:$B,2,0)),"")</f>
        <v/>
      </c>
      <c r="C1619" s="20">
        <f>IFERROR(IF(A1619="","",VLOOKUP(A1619,DATABASE!$A:$J,10,0)),"")</f>
        <v/>
      </c>
      <c r="D1619" s="28">
        <f>IF(A1619="","",TODAY())</f>
        <v/>
      </c>
      <c r="E1619" s="29" t="n"/>
      <c r="F1619" s="20">
        <f>IFERROR(IF(OR(A1619="",E1619=""),"",C1619-E1619),"")</f>
        <v/>
      </c>
      <c r="G1619" s="30" t="n"/>
      <c r="H1619" s="27" t="n"/>
    </row>
    <row r="1620" ht="20" customHeight="1">
      <c r="A1620" s="26" t="n"/>
      <c r="B1620" s="35">
        <f>IFERROR(IF(A1620="","",VLOOKUP(A1620,DATABASE!$A:$B,2,0)),"")</f>
        <v/>
      </c>
      <c r="C1620" s="36">
        <f>IFERROR(IF(A1620="","",VLOOKUP(A1620,DATABASE!$A:$J,10,0)),"")</f>
        <v/>
      </c>
      <c r="D1620" s="37">
        <f>IF(A1620="","",TODAY())</f>
        <v/>
      </c>
      <c r="E1620" s="29" t="n"/>
      <c r="F1620" s="36">
        <f>IFERROR(IF(OR(A1620="",E1620=""),"",C1620-E1620),"")</f>
        <v/>
      </c>
      <c r="G1620" s="30" t="n"/>
      <c r="H1620" s="35" t="n"/>
    </row>
    <row r="1621" ht="20" customHeight="1">
      <c r="A1621" s="26" t="n"/>
      <c r="B1621" s="27">
        <f>IFERROR(IF(A1621="","",VLOOKUP(A1621,DATABASE!$A:$B,2,0)),"")</f>
        <v/>
      </c>
      <c r="C1621" s="20">
        <f>IFERROR(IF(A1621="","",VLOOKUP(A1621,DATABASE!$A:$J,10,0)),"")</f>
        <v/>
      </c>
      <c r="D1621" s="28">
        <f>IF(A1621="","",TODAY())</f>
        <v/>
      </c>
      <c r="E1621" s="29" t="n"/>
      <c r="F1621" s="20">
        <f>IFERROR(IF(OR(A1621="",E1621=""),"",C1621-E1621),"")</f>
        <v/>
      </c>
      <c r="G1621" s="30" t="n"/>
      <c r="H1621" s="27" t="n"/>
    </row>
    <row r="1622" ht="20" customHeight="1">
      <c r="A1622" s="26" t="n"/>
      <c r="B1622" s="35">
        <f>IFERROR(IF(A1622="","",VLOOKUP(A1622,DATABASE!$A:$B,2,0)),"")</f>
        <v/>
      </c>
      <c r="C1622" s="36">
        <f>IFERROR(IF(A1622="","",VLOOKUP(A1622,DATABASE!$A:$J,10,0)),"")</f>
        <v/>
      </c>
      <c r="D1622" s="37">
        <f>IF(A1622="","",TODAY())</f>
        <v/>
      </c>
      <c r="E1622" s="29" t="n"/>
      <c r="F1622" s="36">
        <f>IFERROR(IF(OR(A1622="",E1622=""),"",C1622-E1622),"")</f>
        <v/>
      </c>
      <c r="G1622" s="30" t="n"/>
      <c r="H1622" s="35" t="n"/>
    </row>
    <row r="1623" ht="20" customHeight="1">
      <c r="A1623" s="26" t="n"/>
      <c r="B1623" s="27">
        <f>IFERROR(IF(A1623="","",VLOOKUP(A1623,DATABASE!$A:$B,2,0)),"")</f>
        <v/>
      </c>
      <c r="C1623" s="20">
        <f>IFERROR(IF(A1623="","",VLOOKUP(A1623,DATABASE!$A:$J,10,0)),"")</f>
        <v/>
      </c>
      <c r="D1623" s="28">
        <f>IF(A1623="","",TODAY())</f>
        <v/>
      </c>
      <c r="E1623" s="29" t="n"/>
      <c r="F1623" s="20">
        <f>IFERROR(IF(OR(A1623="",E1623=""),"",C1623-E1623),"")</f>
        <v/>
      </c>
      <c r="G1623" s="30" t="n"/>
      <c r="H1623" s="27" t="n"/>
    </row>
    <row r="1624" ht="20" customHeight="1">
      <c r="A1624" s="26" t="n"/>
      <c r="B1624" s="35">
        <f>IFERROR(IF(A1624="","",VLOOKUP(A1624,DATABASE!$A:$B,2,0)),"")</f>
        <v/>
      </c>
      <c r="C1624" s="36">
        <f>IFERROR(IF(A1624="","",VLOOKUP(A1624,DATABASE!$A:$J,10,0)),"")</f>
        <v/>
      </c>
      <c r="D1624" s="37">
        <f>IF(A1624="","",TODAY())</f>
        <v/>
      </c>
      <c r="E1624" s="29" t="n"/>
      <c r="F1624" s="36">
        <f>IFERROR(IF(OR(A1624="",E1624=""),"",C1624-E1624),"")</f>
        <v/>
      </c>
      <c r="G1624" s="30" t="n"/>
      <c r="H1624" s="35" t="n"/>
    </row>
    <row r="1625" ht="20" customHeight="1">
      <c r="A1625" s="26" t="n"/>
      <c r="B1625" s="27">
        <f>IFERROR(IF(A1625="","",VLOOKUP(A1625,DATABASE!$A:$B,2,0)),"")</f>
        <v/>
      </c>
      <c r="C1625" s="20">
        <f>IFERROR(IF(A1625="","",VLOOKUP(A1625,DATABASE!$A:$J,10,0)),"")</f>
        <v/>
      </c>
      <c r="D1625" s="28">
        <f>IF(A1625="","",TODAY())</f>
        <v/>
      </c>
      <c r="E1625" s="29" t="n"/>
      <c r="F1625" s="20">
        <f>IFERROR(IF(OR(A1625="",E1625=""),"",C1625-E1625),"")</f>
        <v/>
      </c>
      <c r="G1625" s="30" t="n"/>
      <c r="H1625" s="27" t="n"/>
    </row>
    <row r="1626" ht="20" customHeight="1">
      <c r="A1626" s="26" t="n"/>
      <c r="B1626" s="35">
        <f>IFERROR(IF(A1626="","",VLOOKUP(A1626,DATABASE!$A:$B,2,0)),"")</f>
        <v/>
      </c>
      <c r="C1626" s="36">
        <f>IFERROR(IF(A1626="","",VLOOKUP(A1626,DATABASE!$A:$J,10,0)),"")</f>
        <v/>
      </c>
      <c r="D1626" s="37">
        <f>IF(A1626="","",TODAY())</f>
        <v/>
      </c>
      <c r="E1626" s="29" t="n"/>
      <c r="F1626" s="36">
        <f>IFERROR(IF(OR(A1626="",E1626=""),"",C1626-E1626),"")</f>
        <v/>
      </c>
      <c r="G1626" s="30" t="n"/>
      <c r="H1626" s="35" t="n"/>
    </row>
    <row r="1627" ht="20" customHeight="1">
      <c r="A1627" s="26" t="n"/>
      <c r="B1627" s="27">
        <f>IFERROR(IF(A1627="","",VLOOKUP(A1627,DATABASE!$A:$B,2,0)),"")</f>
        <v/>
      </c>
      <c r="C1627" s="20">
        <f>IFERROR(IF(A1627="","",VLOOKUP(A1627,DATABASE!$A:$J,10,0)),"")</f>
        <v/>
      </c>
      <c r="D1627" s="28">
        <f>IF(A1627="","",TODAY())</f>
        <v/>
      </c>
      <c r="E1627" s="29" t="n"/>
      <c r="F1627" s="20">
        <f>IFERROR(IF(OR(A1627="",E1627=""),"",C1627-E1627),"")</f>
        <v/>
      </c>
      <c r="G1627" s="30" t="n"/>
      <c r="H1627" s="27" t="n"/>
    </row>
    <row r="1628" ht="20" customHeight="1">
      <c r="A1628" s="26" t="n"/>
      <c r="B1628" s="35">
        <f>IFERROR(IF(A1628="","",VLOOKUP(A1628,DATABASE!$A:$B,2,0)),"")</f>
        <v/>
      </c>
      <c r="C1628" s="36">
        <f>IFERROR(IF(A1628="","",VLOOKUP(A1628,DATABASE!$A:$J,10,0)),"")</f>
        <v/>
      </c>
      <c r="D1628" s="37">
        <f>IF(A1628="","",TODAY())</f>
        <v/>
      </c>
      <c r="E1628" s="29" t="n"/>
      <c r="F1628" s="36">
        <f>IFERROR(IF(OR(A1628="",E1628=""),"",C1628-E1628),"")</f>
        <v/>
      </c>
      <c r="G1628" s="30" t="n"/>
      <c r="H1628" s="35" t="n"/>
    </row>
    <row r="1629" ht="20" customHeight="1">
      <c r="A1629" s="26" t="n"/>
      <c r="B1629" s="27">
        <f>IFERROR(IF(A1629="","",VLOOKUP(A1629,DATABASE!$A:$B,2,0)),"")</f>
        <v/>
      </c>
      <c r="C1629" s="20">
        <f>IFERROR(IF(A1629="","",VLOOKUP(A1629,DATABASE!$A:$J,10,0)),"")</f>
        <v/>
      </c>
      <c r="D1629" s="28">
        <f>IF(A1629="","",TODAY())</f>
        <v/>
      </c>
      <c r="E1629" s="29" t="n"/>
      <c r="F1629" s="20">
        <f>IFERROR(IF(OR(A1629="",E1629=""),"",C1629-E1629),"")</f>
        <v/>
      </c>
      <c r="G1629" s="30" t="n"/>
      <c r="H1629" s="27" t="n"/>
    </row>
    <row r="1630" ht="20" customHeight="1">
      <c r="A1630" s="26" t="n"/>
      <c r="B1630" s="35">
        <f>IFERROR(IF(A1630="","",VLOOKUP(A1630,DATABASE!$A:$B,2,0)),"")</f>
        <v/>
      </c>
      <c r="C1630" s="36">
        <f>IFERROR(IF(A1630="","",VLOOKUP(A1630,DATABASE!$A:$J,10,0)),"")</f>
        <v/>
      </c>
      <c r="D1630" s="37">
        <f>IF(A1630="","",TODAY())</f>
        <v/>
      </c>
      <c r="E1630" s="29" t="n"/>
      <c r="F1630" s="36">
        <f>IFERROR(IF(OR(A1630="",E1630=""),"",C1630-E1630),"")</f>
        <v/>
      </c>
      <c r="G1630" s="30" t="n"/>
      <c r="H1630" s="35" t="n"/>
    </row>
    <row r="1631" ht="20" customHeight="1">
      <c r="A1631" s="26" t="n"/>
      <c r="B1631" s="27">
        <f>IFERROR(IF(A1631="","",VLOOKUP(A1631,DATABASE!$A:$B,2,0)),"")</f>
        <v/>
      </c>
      <c r="C1631" s="20">
        <f>IFERROR(IF(A1631="","",VLOOKUP(A1631,DATABASE!$A:$J,10,0)),"")</f>
        <v/>
      </c>
      <c r="D1631" s="28">
        <f>IF(A1631="","",TODAY())</f>
        <v/>
      </c>
      <c r="E1631" s="29" t="n"/>
      <c r="F1631" s="20">
        <f>IFERROR(IF(OR(A1631="",E1631=""),"",C1631-E1631),"")</f>
        <v/>
      </c>
      <c r="G1631" s="30" t="n"/>
      <c r="H1631" s="27" t="n"/>
    </row>
    <row r="1632" ht="20" customHeight="1">
      <c r="A1632" s="26" t="n"/>
      <c r="B1632" s="35">
        <f>IFERROR(IF(A1632="","",VLOOKUP(A1632,DATABASE!$A:$B,2,0)),"")</f>
        <v/>
      </c>
      <c r="C1632" s="36">
        <f>IFERROR(IF(A1632="","",VLOOKUP(A1632,DATABASE!$A:$J,10,0)),"")</f>
        <v/>
      </c>
      <c r="D1632" s="37">
        <f>IF(A1632="","",TODAY())</f>
        <v/>
      </c>
      <c r="E1632" s="29" t="n"/>
      <c r="F1632" s="36">
        <f>IFERROR(IF(OR(A1632="",E1632=""),"",C1632-E1632),"")</f>
        <v/>
      </c>
      <c r="G1632" s="30" t="n"/>
      <c r="H1632" s="35" t="n"/>
    </row>
    <row r="1633" ht="20" customHeight="1">
      <c r="A1633" s="26" t="n"/>
      <c r="B1633" s="27">
        <f>IFERROR(IF(A1633="","",VLOOKUP(A1633,DATABASE!$A:$B,2,0)),"")</f>
        <v/>
      </c>
      <c r="C1633" s="20">
        <f>IFERROR(IF(A1633="","",VLOOKUP(A1633,DATABASE!$A:$J,10,0)),"")</f>
        <v/>
      </c>
      <c r="D1633" s="28">
        <f>IF(A1633="","",TODAY())</f>
        <v/>
      </c>
      <c r="E1633" s="29" t="n"/>
      <c r="F1633" s="20">
        <f>IFERROR(IF(OR(A1633="",E1633=""),"",C1633-E1633),"")</f>
        <v/>
      </c>
      <c r="G1633" s="30" t="n"/>
      <c r="H1633" s="27" t="n"/>
    </row>
    <row r="1634" ht="20" customHeight="1">
      <c r="A1634" s="26" t="n"/>
      <c r="B1634" s="35">
        <f>IFERROR(IF(A1634="","",VLOOKUP(A1634,DATABASE!$A:$B,2,0)),"")</f>
        <v/>
      </c>
      <c r="C1634" s="36">
        <f>IFERROR(IF(A1634="","",VLOOKUP(A1634,DATABASE!$A:$J,10,0)),"")</f>
        <v/>
      </c>
      <c r="D1634" s="37">
        <f>IF(A1634="","",TODAY())</f>
        <v/>
      </c>
      <c r="E1634" s="29" t="n"/>
      <c r="F1634" s="36">
        <f>IFERROR(IF(OR(A1634="",E1634=""),"",C1634-E1634),"")</f>
        <v/>
      </c>
      <c r="G1634" s="30" t="n"/>
      <c r="H1634" s="35" t="n"/>
    </row>
    <row r="1635" ht="20" customHeight="1">
      <c r="A1635" s="26" t="n"/>
      <c r="B1635" s="27">
        <f>IFERROR(IF(A1635="","",VLOOKUP(A1635,DATABASE!$A:$B,2,0)),"")</f>
        <v/>
      </c>
      <c r="C1635" s="20">
        <f>IFERROR(IF(A1635="","",VLOOKUP(A1635,DATABASE!$A:$J,10,0)),"")</f>
        <v/>
      </c>
      <c r="D1635" s="28">
        <f>IF(A1635="","",TODAY())</f>
        <v/>
      </c>
      <c r="E1635" s="29" t="n"/>
      <c r="F1635" s="20">
        <f>IFERROR(IF(OR(A1635="",E1635=""),"",C1635-E1635),"")</f>
        <v/>
      </c>
      <c r="G1635" s="30" t="n"/>
      <c r="H1635" s="27" t="n"/>
    </row>
    <row r="1636" ht="20" customHeight="1">
      <c r="A1636" s="26" t="n"/>
      <c r="B1636" s="35">
        <f>IFERROR(IF(A1636="","",VLOOKUP(A1636,DATABASE!$A:$B,2,0)),"")</f>
        <v/>
      </c>
      <c r="C1636" s="36">
        <f>IFERROR(IF(A1636="","",VLOOKUP(A1636,DATABASE!$A:$J,10,0)),"")</f>
        <v/>
      </c>
      <c r="D1636" s="37">
        <f>IF(A1636="","",TODAY())</f>
        <v/>
      </c>
      <c r="E1636" s="29" t="n"/>
      <c r="F1636" s="36">
        <f>IFERROR(IF(OR(A1636="",E1636=""),"",C1636-E1636),"")</f>
        <v/>
      </c>
      <c r="G1636" s="30" t="n"/>
      <c r="H1636" s="35" t="n"/>
    </row>
    <row r="1637" ht="20" customHeight="1">
      <c r="A1637" s="26" t="n"/>
      <c r="B1637" s="27">
        <f>IFERROR(IF(A1637="","",VLOOKUP(A1637,DATABASE!$A:$B,2,0)),"")</f>
        <v/>
      </c>
      <c r="C1637" s="20">
        <f>IFERROR(IF(A1637="","",VLOOKUP(A1637,DATABASE!$A:$J,10,0)),"")</f>
        <v/>
      </c>
      <c r="D1637" s="28">
        <f>IF(A1637="","",TODAY())</f>
        <v/>
      </c>
      <c r="E1637" s="29" t="n"/>
      <c r="F1637" s="20">
        <f>IFERROR(IF(OR(A1637="",E1637=""),"",C1637-E1637),"")</f>
        <v/>
      </c>
      <c r="G1637" s="30" t="n"/>
      <c r="H1637" s="27" t="n"/>
    </row>
    <row r="1638" ht="20" customHeight="1">
      <c r="A1638" s="26" t="n"/>
      <c r="B1638" s="35">
        <f>IFERROR(IF(A1638="","",VLOOKUP(A1638,DATABASE!$A:$B,2,0)),"")</f>
        <v/>
      </c>
      <c r="C1638" s="36">
        <f>IFERROR(IF(A1638="","",VLOOKUP(A1638,DATABASE!$A:$J,10,0)),"")</f>
        <v/>
      </c>
      <c r="D1638" s="37">
        <f>IF(A1638="","",TODAY())</f>
        <v/>
      </c>
      <c r="E1638" s="29" t="n"/>
      <c r="F1638" s="36">
        <f>IFERROR(IF(OR(A1638="",E1638=""),"",C1638-E1638),"")</f>
        <v/>
      </c>
      <c r="G1638" s="30" t="n"/>
      <c r="H1638" s="35" t="n"/>
    </row>
    <row r="1639" ht="20" customHeight="1">
      <c r="A1639" s="26" t="n"/>
      <c r="B1639" s="27">
        <f>IFERROR(IF(A1639="","",VLOOKUP(A1639,DATABASE!$A:$B,2,0)),"")</f>
        <v/>
      </c>
      <c r="C1639" s="20">
        <f>IFERROR(IF(A1639="","",VLOOKUP(A1639,DATABASE!$A:$J,10,0)),"")</f>
        <v/>
      </c>
      <c r="D1639" s="28">
        <f>IF(A1639="","",TODAY())</f>
        <v/>
      </c>
      <c r="E1639" s="29" t="n"/>
      <c r="F1639" s="20">
        <f>IFERROR(IF(OR(A1639="",E1639=""),"",C1639-E1639),"")</f>
        <v/>
      </c>
      <c r="G1639" s="30" t="n"/>
      <c r="H1639" s="27" t="n"/>
    </row>
    <row r="1640" ht="20" customHeight="1">
      <c r="A1640" s="26" t="n"/>
      <c r="B1640" s="35">
        <f>IFERROR(IF(A1640="","",VLOOKUP(A1640,DATABASE!$A:$B,2,0)),"")</f>
        <v/>
      </c>
      <c r="C1640" s="36">
        <f>IFERROR(IF(A1640="","",VLOOKUP(A1640,DATABASE!$A:$J,10,0)),"")</f>
        <v/>
      </c>
      <c r="D1640" s="37">
        <f>IF(A1640="","",TODAY())</f>
        <v/>
      </c>
      <c r="E1640" s="29" t="n"/>
      <c r="F1640" s="36">
        <f>IFERROR(IF(OR(A1640="",E1640=""),"",C1640-E1640),"")</f>
        <v/>
      </c>
      <c r="G1640" s="30" t="n"/>
      <c r="H1640" s="35" t="n"/>
    </row>
    <row r="1641" ht="20" customHeight="1">
      <c r="A1641" s="26" t="n"/>
      <c r="B1641" s="27">
        <f>IFERROR(IF(A1641="","",VLOOKUP(A1641,DATABASE!$A:$B,2,0)),"")</f>
        <v/>
      </c>
      <c r="C1641" s="20">
        <f>IFERROR(IF(A1641="","",VLOOKUP(A1641,DATABASE!$A:$J,10,0)),"")</f>
        <v/>
      </c>
      <c r="D1641" s="28">
        <f>IF(A1641="","",TODAY())</f>
        <v/>
      </c>
      <c r="E1641" s="29" t="n"/>
      <c r="F1641" s="20">
        <f>IFERROR(IF(OR(A1641="",E1641=""),"",C1641-E1641),"")</f>
        <v/>
      </c>
      <c r="G1641" s="30" t="n"/>
      <c r="H1641" s="27" t="n"/>
    </row>
    <row r="1642" ht="20" customHeight="1">
      <c r="A1642" s="26" t="n"/>
      <c r="B1642" s="35">
        <f>IFERROR(IF(A1642="","",VLOOKUP(A1642,DATABASE!$A:$B,2,0)),"")</f>
        <v/>
      </c>
      <c r="C1642" s="36">
        <f>IFERROR(IF(A1642="","",VLOOKUP(A1642,DATABASE!$A:$J,10,0)),"")</f>
        <v/>
      </c>
      <c r="D1642" s="37">
        <f>IF(A1642="","",TODAY())</f>
        <v/>
      </c>
      <c r="E1642" s="29" t="n"/>
      <c r="F1642" s="36">
        <f>IFERROR(IF(OR(A1642="",E1642=""),"",C1642-E1642),"")</f>
        <v/>
      </c>
      <c r="G1642" s="30" t="n"/>
      <c r="H1642" s="35" t="n"/>
    </row>
    <row r="1643" ht="20" customHeight="1">
      <c r="A1643" s="26" t="n"/>
      <c r="B1643" s="27">
        <f>IFERROR(IF(A1643="","",VLOOKUP(A1643,DATABASE!$A:$B,2,0)),"")</f>
        <v/>
      </c>
      <c r="C1643" s="20">
        <f>IFERROR(IF(A1643="","",VLOOKUP(A1643,DATABASE!$A:$J,10,0)),"")</f>
        <v/>
      </c>
      <c r="D1643" s="28">
        <f>IF(A1643="","",TODAY())</f>
        <v/>
      </c>
      <c r="E1643" s="29" t="n"/>
      <c r="F1643" s="20">
        <f>IFERROR(IF(OR(A1643="",E1643=""),"",C1643-E1643),"")</f>
        <v/>
      </c>
      <c r="G1643" s="30" t="n"/>
      <c r="H1643" s="27" t="n"/>
    </row>
    <row r="1644" ht="20" customHeight="1">
      <c r="A1644" s="26" t="n"/>
      <c r="B1644" s="35">
        <f>IFERROR(IF(A1644="","",VLOOKUP(A1644,DATABASE!$A:$B,2,0)),"")</f>
        <v/>
      </c>
      <c r="C1644" s="36">
        <f>IFERROR(IF(A1644="","",VLOOKUP(A1644,DATABASE!$A:$J,10,0)),"")</f>
        <v/>
      </c>
      <c r="D1644" s="37">
        <f>IF(A1644="","",TODAY())</f>
        <v/>
      </c>
      <c r="E1644" s="29" t="n"/>
      <c r="F1644" s="36">
        <f>IFERROR(IF(OR(A1644="",E1644=""),"",C1644-E1644),"")</f>
        <v/>
      </c>
      <c r="G1644" s="30" t="n"/>
      <c r="H1644" s="35" t="n"/>
    </row>
    <row r="1645" ht="20" customHeight="1">
      <c r="A1645" s="26" t="n"/>
      <c r="B1645" s="27">
        <f>IFERROR(IF(A1645="","",VLOOKUP(A1645,DATABASE!$A:$B,2,0)),"")</f>
        <v/>
      </c>
      <c r="C1645" s="20">
        <f>IFERROR(IF(A1645="","",VLOOKUP(A1645,DATABASE!$A:$J,10,0)),"")</f>
        <v/>
      </c>
      <c r="D1645" s="28">
        <f>IF(A1645="","",TODAY())</f>
        <v/>
      </c>
      <c r="E1645" s="29" t="n"/>
      <c r="F1645" s="20">
        <f>IFERROR(IF(OR(A1645="",E1645=""),"",C1645-E1645),"")</f>
        <v/>
      </c>
      <c r="G1645" s="30" t="n"/>
      <c r="H1645" s="27" t="n"/>
    </row>
    <row r="1646" ht="20" customHeight="1">
      <c r="A1646" s="26" t="n"/>
      <c r="B1646" s="35">
        <f>IFERROR(IF(A1646="","",VLOOKUP(A1646,DATABASE!$A:$B,2,0)),"")</f>
        <v/>
      </c>
      <c r="C1646" s="36">
        <f>IFERROR(IF(A1646="","",VLOOKUP(A1646,DATABASE!$A:$J,10,0)),"")</f>
        <v/>
      </c>
      <c r="D1646" s="37">
        <f>IF(A1646="","",TODAY())</f>
        <v/>
      </c>
      <c r="E1646" s="29" t="n"/>
      <c r="F1646" s="36">
        <f>IFERROR(IF(OR(A1646="",E1646=""),"",C1646-E1646),"")</f>
        <v/>
      </c>
      <c r="G1646" s="30" t="n"/>
      <c r="H1646" s="35" t="n"/>
    </row>
    <row r="1647" ht="20" customHeight="1">
      <c r="A1647" s="26" t="n"/>
      <c r="B1647" s="27">
        <f>IFERROR(IF(A1647="","",VLOOKUP(A1647,DATABASE!$A:$B,2,0)),"")</f>
        <v/>
      </c>
      <c r="C1647" s="20">
        <f>IFERROR(IF(A1647="","",VLOOKUP(A1647,DATABASE!$A:$J,10,0)),"")</f>
        <v/>
      </c>
      <c r="D1647" s="28">
        <f>IF(A1647="","",TODAY())</f>
        <v/>
      </c>
      <c r="E1647" s="29" t="n"/>
      <c r="F1647" s="20">
        <f>IFERROR(IF(OR(A1647="",E1647=""),"",C1647-E1647),"")</f>
        <v/>
      </c>
      <c r="G1647" s="30" t="n"/>
      <c r="H1647" s="27" t="n"/>
    </row>
    <row r="1648" ht="20" customHeight="1">
      <c r="A1648" s="26" t="n"/>
      <c r="B1648" s="35">
        <f>IFERROR(IF(A1648="","",VLOOKUP(A1648,DATABASE!$A:$B,2,0)),"")</f>
        <v/>
      </c>
      <c r="C1648" s="36">
        <f>IFERROR(IF(A1648="","",VLOOKUP(A1648,DATABASE!$A:$J,10,0)),"")</f>
        <v/>
      </c>
      <c r="D1648" s="37">
        <f>IF(A1648="","",TODAY())</f>
        <v/>
      </c>
      <c r="E1648" s="29" t="n"/>
      <c r="F1648" s="36">
        <f>IFERROR(IF(OR(A1648="",E1648=""),"",C1648-E1648),"")</f>
        <v/>
      </c>
      <c r="G1648" s="30" t="n"/>
      <c r="H1648" s="35" t="n"/>
    </row>
    <row r="1649" ht="20" customHeight="1">
      <c r="A1649" s="26" t="n"/>
      <c r="B1649" s="27">
        <f>IFERROR(IF(A1649="","",VLOOKUP(A1649,DATABASE!$A:$B,2,0)),"")</f>
        <v/>
      </c>
      <c r="C1649" s="20">
        <f>IFERROR(IF(A1649="","",VLOOKUP(A1649,DATABASE!$A:$J,10,0)),"")</f>
        <v/>
      </c>
      <c r="D1649" s="28">
        <f>IF(A1649="","",TODAY())</f>
        <v/>
      </c>
      <c r="E1649" s="29" t="n"/>
      <c r="F1649" s="20">
        <f>IFERROR(IF(OR(A1649="",E1649=""),"",C1649-E1649),"")</f>
        <v/>
      </c>
      <c r="G1649" s="30" t="n"/>
      <c r="H1649" s="27" t="n"/>
    </row>
    <row r="1650" ht="20" customHeight="1">
      <c r="A1650" s="26" t="n"/>
      <c r="B1650" s="35">
        <f>IFERROR(IF(A1650="","",VLOOKUP(A1650,DATABASE!$A:$B,2,0)),"")</f>
        <v/>
      </c>
      <c r="C1650" s="36">
        <f>IFERROR(IF(A1650="","",VLOOKUP(A1650,DATABASE!$A:$J,10,0)),"")</f>
        <v/>
      </c>
      <c r="D1650" s="37">
        <f>IF(A1650="","",TODAY())</f>
        <v/>
      </c>
      <c r="E1650" s="29" t="n"/>
      <c r="F1650" s="36">
        <f>IFERROR(IF(OR(A1650="",E1650=""),"",C1650-E1650),"")</f>
        <v/>
      </c>
      <c r="G1650" s="30" t="n"/>
      <c r="H1650" s="35" t="n"/>
    </row>
    <row r="1651" ht="20" customHeight="1">
      <c r="A1651" s="26" t="n"/>
      <c r="B1651" s="27">
        <f>IFERROR(IF(A1651="","",VLOOKUP(A1651,DATABASE!$A:$B,2,0)),"")</f>
        <v/>
      </c>
      <c r="C1651" s="20">
        <f>IFERROR(IF(A1651="","",VLOOKUP(A1651,DATABASE!$A:$J,10,0)),"")</f>
        <v/>
      </c>
      <c r="D1651" s="28">
        <f>IF(A1651="","",TODAY())</f>
        <v/>
      </c>
      <c r="E1651" s="29" t="n"/>
      <c r="F1651" s="20">
        <f>IFERROR(IF(OR(A1651="",E1651=""),"",C1651-E1651),"")</f>
        <v/>
      </c>
      <c r="G1651" s="30" t="n"/>
      <c r="H1651" s="27" t="n"/>
    </row>
    <row r="1652" ht="20" customHeight="1">
      <c r="A1652" s="26" t="n"/>
      <c r="B1652" s="35">
        <f>IFERROR(IF(A1652="","",VLOOKUP(A1652,DATABASE!$A:$B,2,0)),"")</f>
        <v/>
      </c>
      <c r="C1652" s="36">
        <f>IFERROR(IF(A1652="","",VLOOKUP(A1652,DATABASE!$A:$J,10,0)),"")</f>
        <v/>
      </c>
      <c r="D1652" s="37">
        <f>IF(A1652="","",TODAY())</f>
        <v/>
      </c>
      <c r="E1652" s="29" t="n"/>
      <c r="F1652" s="36">
        <f>IFERROR(IF(OR(A1652="",E1652=""),"",C1652-E1652),"")</f>
        <v/>
      </c>
      <c r="G1652" s="30" t="n"/>
      <c r="H1652" s="35" t="n"/>
    </row>
    <row r="1653" ht="20" customHeight="1">
      <c r="A1653" s="26" t="n"/>
      <c r="B1653" s="27">
        <f>IFERROR(IF(A1653="","",VLOOKUP(A1653,DATABASE!$A:$B,2,0)),"")</f>
        <v/>
      </c>
      <c r="C1653" s="20">
        <f>IFERROR(IF(A1653="","",VLOOKUP(A1653,DATABASE!$A:$J,10,0)),"")</f>
        <v/>
      </c>
      <c r="D1653" s="28">
        <f>IF(A1653="","",TODAY())</f>
        <v/>
      </c>
      <c r="E1653" s="29" t="n"/>
      <c r="F1653" s="20">
        <f>IFERROR(IF(OR(A1653="",E1653=""),"",C1653-E1653),"")</f>
        <v/>
      </c>
      <c r="G1653" s="30" t="n"/>
      <c r="H1653" s="27" t="n"/>
    </row>
    <row r="1654" ht="20" customHeight="1">
      <c r="A1654" s="26" t="n"/>
      <c r="B1654" s="35">
        <f>IFERROR(IF(A1654="","",VLOOKUP(A1654,DATABASE!$A:$B,2,0)),"")</f>
        <v/>
      </c>
      <c r="C1654" s="36">
        <f>IFERROR(IF(A1654="","",VLOOKUP(A1654,DATABASE!$A:$J,10,0)),"")</f>
        <v/>
      </c>
      <c r="D1654" s="37">
        <f>IF(A1654="","",TODAY())</f>
        <v/>
      </c>
      <c r="E1654" s="29" t="n"/>
      <c r="F1654" s="36">
        <f>IFERROR(IF(OR(A1654="",E1654=""),"",C1654-E1654),"")</f>
        <v/>
      </c>
      <c r="G1654" s="30" t="n"/>
      <c r="H1654" s="35" t="n"/>
    </row>
    <row r="1655" ht="20" customHeight="1">
      <c r="A1655" s="26" t="n"/>
      <c r="B1655" s="27">
        <f>IFERROR(IF(A1655="","",VLOOKUP(A1655,DATABASE!$A:$B,2,0)),"")</f>
        <v/>
      </c>
      <c r="C1655" s="20">
        <f>IFERROR(IF(A1655="","",VLOOKUP(A1655,DATABASE!$A:$J,10,0)),"")</f>
        <v/>
      </c>
      <c r="D1655" s="28">
        <f>IF(A1655="","",TODAY())</f>
        <v/>
      </c>
      <c r="E1655" s="29" t="n"/>
      <c r="F1655" s="20">
        <f>IFERROR(IF(OR(A1655="",E1655=""),"",C1655-E1655),"")</f>
        <v/>
      </c>
      <c r="G1655" s="30" t="n"/>
      <c r="H1655" s="27" t="n"/>
    </row>
    <row r="1656" ht="20" customHeight="1">
      <c r="A1656" s="26" t="n"/>
      <c r="B1656" s="35">
        <f>IFERROR(IF(A1656="","",VLOOKUP(A1656,DATABASE!$A:$B,2,0)),"")</f>
        <v/>
      </c>
      <c r="C1656" s="36">
        <f>IFERROR(IF(A1656="","",VLOOKUP(A1656,DATABASE!$A:$J,10,0)),"")</f>
        <v/>
      </c>
      <c r="D1656" s="37">
        <f>IF(A1656="","",TODAY())</f>
        <v/>
      </c>
      <c r="E1656" s="29" t="n"/>
      <c r="F1656" s="36">
        <f>IFERROR(IF(OR(A1656="",E1656=""),"",C1656-E1656),"")</f>
        <v/>
      </c>
      <c r="G1656" s="30" t="n"/>
      <c r="H1656" s="35" t="n"/>
    </row>
    <row r="1657" ht="20" customHeight="1">
      <c r="A1657" s="26" t="n"/>
      <c r="B1657" s="27">
        <f>IFERROR(IF(A1657="","",VLOOKUP(A1657,DATABASE!$A:$B,2,0)),"")</f>
        <v/>
      </c>
      <c r="C1657" s="20">
        <f>IFERROR(IF(A1657="","",VLOOKUP(A1657,DATABASE!$A:$J,10,0)),"")</f>
        <v/>
      </c>
      <c r="D1657" s="28">
        <f>IF(A1657="","",TODAY())</f>
        <v/>
      </c>
      <c r="E1657" s="29" t="n"/>
      <c r="F1657" s="20">
        <f>IFERROR(IF(OR(A1657="",E1657=""),"",C1657-E1657),"")</f>
        <v/>
      </c>
      <c r="G1657" s="30" t="n"/>
      <c r="H1657" s="27" t="n"/>
    </row>
    <row r="1658" ht="20" customHeight="1">
      <c r="A1658" s="26" t="n"/>
      <c r="B1658" s="35">
        <f>IFERROR(IF(A1658="","",VLOOKUP(A1658,DATABASE!$A:$B,2,0)),"")</f>
        <v/>
      </c>
      <c r="C1658" s="36">
        <f>IFERROR(IF(A1658="","",VLOOKUP(A1658,DATABASE!$A:$J,10,0)),"")</f>
        <v/>
      </c>
      <c r="D1658" s="37">
        <f>IF(A1658="","",TODAY())</f>
        <v/>
      </c>
      <c r="E1658" s="29" t="n"/>
      <c r="F1658" s="36">
        <f>IFERROR(IF(OR(A1658="",E1658=""),"",C1658-E1658),"")</f>
        <v/>
      </c>
      <c r="G1658" s="30" t="n"/>
      <c r="H1658" s="35" t="n"/>
    </row>
    <row r="1659" ht="20" customHeight="1">
      <c r="A1659" s="26" t="n"/>
      <c r="B1659" s="27">
        <f>IFERROR(IF(A1659="","",VLOOKUP(A1659,DATABASE!$A:$B,2,0)),"")</f>
        <v/>
      </c>
      <c r="C1659" s="20">
        <f>IFERROR(IF(A1659="","",VLOOKUP(A1659,DATABASE!$A:$J,10,0)),"")</f>
        <v/>
      </c>
      <c r="D1659" s="28">
        <f>IF(A1659="","",TODAY())</f>
        <v/>
      </c>
      <c r="E1659" s="29" t="n"/>
      <c r="F1659" s="20">
        <f>IFERROR(IF(OR(A1659="",E1659=""),"",C1659-E1659),"")</f>
        <v/>
      </c>
      <c r="G1659" s="30" t="n"/>
      <c r="H1659" s="27" t="n"/>
    </row>
    <row r="1660" ht="20" customHeight="1">
      <c r="A1660" s="26" t="n"/>
      <c r="B1660" s="35">
        <f>IFERROR(IF(A1660="","",VLOOKUP(A1660,DATABASE!$A:$B,2,0)),"")</f>
        <v/>
      </c>
      <c r="C1660" s="36">
        <f>IFERROR(IF(A1660="","",VLOOKUP(A1660,DATABASE!$A:$J,10,0)),"")</f>
        <v/>
      </c>
      <c r="D1660" s="37">
        <f>IF(A1660="","",TODAY())</f>
        <v/>
      </c>
      <c r="E1660" s="29" t="n"/>
      <c r="F1660" s="36">
        <f>IFERROR(IF(OR(A1660="",E1660=""),"",C1660-E1660),"")</f>
        <v/>
      </c>
      <c r="G1660" s="30" t="n"/>
      <c r="H1660" s="35" t="n"/>
    </row>
    <row r="1661" ht="20" customHeight="1">
      <c r="A1661" s="26" t="n"/>
      <c r="B1661" s="27">
        <f>IFERROR(IF(A1661="","",VLOOKUP(A1661,DATABASE!$A:$B,2,0)),"")</f>
        <v/>
      </c>
      <c r="C1661" s="20">
        <f>IFERROR(IF(A1661="","",VLOOKUP(A1661,DATABASE!$A:$J,10,0)),"")</f>
        <v/>
      </c>
      <c r="D1661" s="28">
        <f>IF(A1661="","",TODAY())</f>
        <v/>
      </c>
      <c r="E1661" s="29" t="n"/>
      <c r="F1661" s="20">
        <f>IFERROR(IF(OR(A1661="",E1661=""),"",C1661-E1661),"")</f>
        <v/>
      </c>
      <c r="G1661" s="30" t="n"/>
      <c r="H1661" s="27" t="n"/>
    </row>
    <row r="1662" ht="20" customHeight="1">
      <c r="A1662" s="26" t="n"/>
      <c r="B1662" s="35">
        <f>IFERROR(IF(A1662="","",VLOOKUP(A1662,DATABASE!$A:$B,2,0)),"")</f>
        <v/>
      </c>
      <c r="C1662" s="36">
        <f>IFERROR(IF(A1662="","",VLOOKUP(A1662,DATABASE!$A:$J,10,0)),"")</f>
        <v/>
      </c>
      <c r="D1662" s="37">
        <f>IF(A1662="","",TODAY())</f>
        <v/>
      </c>
      <c r="E1662" s="29" t="n"/>
      <c r="F1662" s="36">
        <f>IFERROR(IF(OR(A1662="",E1662=""),"",C1662-E1662),"")</f>
        <v/>
      </c>
      <c r="G1662" s="30" t="n"/>
      <c r="H1662" s="35" t="n"/>
    </row>
    <row r="1663" ht="20" customHeight="1">
      <c r="A1663" s="26" t="n"/>
      <c r="B1663" s="27">
        <f>IFERROR(IF(A1663="","",VLOOKUP(A1663,DATABASE!$A:$B,2,0)),"")</f>
        <v/>
      </c>
      <c r="C1663" s="20">
        <f>IFERROR(IF(A1663="","",VLOOKUP(A1663,DATABASE!$A:$J,10,0)),"")</f>
        <v/>
      </c>
      <c r="D1663" s="28">
        <f>IF(A1663="","",TODAY())</f>
        <v/>
      </c>
      <c r="E1663" s="29" t="n"/>
      <c r="F1663" s="20">
        <f>IFERROR(IF(OR(A1663="",E1663=""),"",C1663-E1663),"")</f>
        <v/>
      </c>
      <c r="G1663" s="30" t="n"/>
      <c r="H1663" s="27" t="n"/>
    </row>
    <row r="1664" ht="20" customHeight="1">
      <c r="A1664" s="26" t="n"/>
      <c r="B1664" s="35">
        <f>IFERROR(IF(A1664="","",VLOOKUP(A1664,DATABASE!$A:$B,2,0)),"")</f>
        <v/>
      </c>
      <c r="C1664" s="36">
        <f>IFERROR(IF(A1664="","",VLOOKUP(A1664,DATABASE!$A:$J,10,0)),"")</f>
        <v/>
      </c>
      <c r="D1664" s="37">
        <f>IF(A1664="","",TODAY())</f>
        <v/>
      </c>
      <c r="E1664" s="29" t="n"/>
      <c r="F1664" s="36">
        <f>IFERROR(IF(OR(A1664="",E1664=""),"",C1664-E1664),"")</f>
        <v/>
      </c>
      <c r="G1664" s="30" t="n"/>
      <c r="H1664" s="35" t="n"/>
    </row>
    <row r="1665" ht="20" customHeight="1">
      <c r="A1665" s="26" t="n"/>
      <c r="B1665" s="27">
        <f>IFERROR(IF(A1665="","",VLOOKUP(A1665,DATABASE!$A:$B,2,0)),"")</f>
        <v/>
      </c>
      <c r="C1665" s="20">
        <f>IFERROR(IF(A1665="","",VLOOKUP(A1665,DATABASE!$A:$J,10,0)),"")</f>
        <v/>
      </c>
      <c r="D1665" s="28">
        <f>IF(A1665="","",TODAY())</f>
        <v/>
      </c>
      <c r="E1665" s="29" t="n"/>
      <c r="F1665" s="20">
        <f>IFERROR(IF(OR(A1665="",E1665=""),"",C1665-E1665),"")</f>
        <v/>
      </c>
      <c r="G1665" s="30" t="n"/>
      <c r="H1665" s="27" t="n"/>
    </row>
    <row r="1666" ht="20" customHeight="1">
      <c r="A1666" s="26" t="n"/>
      <c r="B1666" s="35">
        <f>IFERROR(IF(A1666="","",VLOOKUP(A1666,DATABASE!$A:$B,2,0)),"")</f>
        <v/>
      </c>
      <c r="C1666" s="36">
        <f>IFERROR(IF(A1666="","",VLOOKUP(A1666,DATABASE!$A:$J,10,0)),"")</f>
        <v/>
      </c>
      <c r="D1666" s="37">
        <f>IF(A1666="","",TODAY())</f>
        <v/>
      </c>
      <c r="E1666" s="29" t="n"/>
      <c r="F1666" s="36">
        <f>IFERROR(IF(OR(A1666="",E1666=""),"",C1666-E1666),"")</f>
        <v/>
      </c>
      <c r="G1666" s="30" t="n"/>
      <c r="H1666" s="35" t="n"/>
    </row>
    <row r="1667" ht="20" customHeight="1">
      <c r="A1667" s="26" t="n"/>
      <c r="B1667" s="27">
        <f>IFERROR(IF(A1667="","",VLOOKUP(A1667,DATABASE!$A:$B,2,0)),"")</f>
        <v/>
      </c>
      <c r="C1667" s="20">
        <f>IFERROR(IF(A1667="","",VLOOKUP(A1667,DATABASE!$A:$J,10,0)),"")</f>
        <v/>
      </c>
      <c r="D1667" s="28">
        <f>IF(A1667="","",TODAY())</f>
        <v/>
      </c>
      <c r="E1667" s="29" t="n"/>
      <c r="F1667" s="20">
        <f>IFERROR(IF(OR(A1667="",E1667=""),"",C1667-E1667),"")</f>
        <v/>
      </c>
      <c r="G1667" s="30" t="n"/>
      <c r="H1667" s="27" t="n"/>
    </row>
    <row r="1668" ht="20" customHeight="1">
      <c r="A1668" s="26" t="n"/>
      <c r="B1668" s="35">
        <f>IFERROR(IF(A1668="","",VLOOKUP(A1668,DATABASE!$A:$B,2,0)),"")</f>
        <v/>
      </c>
      <c r="C1668" s="36">
        <f>IFERROR(IF(A1668="","",VLOOKUP(A1668,DATABASE!$A:$J,10,0)),"")</f>
        <v/>
      </c>
      <c r="D1668" s="37">
        <f>IF(A1668="","",TODAY())</f>
        <v/>
      </c>
      <c r="E1668" s="29" t="n"/>
      <c r="F1668" s="36">
        <f>IFERROR(IF(OR(A1668="",E1668=""),"",C1668-E1668),"")</f>
        <v/>
      </c>
      <c r="G1668" s="30" t="n"/>
      <c r="H1668" s="35" t="n"/>
    </row>
    <row r="1669" ht="20" customHeight="1">
      <c r="A1669" s="26" t="n"/>
      <c r="B1669" s="27">
        <f>IFERROR(IF(A1669="","",VLOOKUP(A1669,DATABASE!$A:$B,2,0)),"")</f>
        <v/>
      </c>
      <c r="C1669" s="20">
        <f>IFERROR(IF(A1669="","",VLOOKUP(A1669,DATABASE!$A:$J,10,0)),"")</f>
        <v/>
      </c>
      <c r="D1669" s="28">
        <f>IF(A1669="","",TODAY())</f>
        <v/>
      </c>
      <c r="E1669" s="29" t="n"/>
      <c r="F1669" s="20">
        <f>IFERROR(IF(OR(A1669="",E1669=""),"",C1669-E1669),"")</f>
        <v/>
      </c>
      <c r="G1669" s="30" t="n"/>
      <c r="H1669" s="27" t="n"/>
    </row>
    <row r="1670" ht="20" customHeight="1">
      <c r="A1670" s="26" t="n"/>
      <c r="B1670" s="35">
        <f>IFERROR(IF(A1670="","",VLOOKUP(A1670,DATABASE!$A:$B,2,0)),"")</f>
        <v/>
      </c>
      <c r="C1670" s="36">
        <f>IFERROR(IF(A1670="","",VLOOKUP(A1670,DATABASE!$A:$J,10,0)),"")</f>
        <v/>
      </c>
      <c r="D1670" s="37">
        <f>IF(A1670="","",TODAY())</f>
        <v/>
      </c>
      <c r="E1670" s="29" t="n"/>
      <c r="F1670" s="36">
        <f>IFERROR(IF(OR(A1670="",E1670=""),"",C1670-E1670),"")</f>
        <v/>
      </c>
      <c r="G1670" s="30" t="n"/>
      <c r="H1670" s="35" t="n"/>
    </row>
    <row r="1671" ht="20" customHeight="1">
      <c r="A1671" s="26" t="n"/>
      <c r="B1671" s="27">
        <f>IFERROR(IF(A1671="","",VLOOKUP(A1671,DATABASE!$A:$B,2,0)),"")</f>
        <v/>
      </c>
      <c r="C1671" s="20">
        <f>IFERROR(IF(A1671="","",VLOOKUP(A1671,DATABASE!$A:$J,10,0)),"")</f>
        <v/>
      </c>
      <c r="D1671" s="28">
        <f>IF(A1671="","",TODAY())</f>
        <v/>
      </c>
      <c r="E1671" s="29" t="n"/>
      <c r="F1671" s="20">
        <f>IFERROR(IF(OR(A1671="",E1671=""),"",C1671-E1671),"")</f>
        <v/>
      </c>
      <c r="G1671" s="30" t="n"/>
      <c r="H1671" s="27" t="n"/>
    </row>
    <row r="1672" ht="20" customHeight="1">
      <c r="A1672" s="26" t="n"/>
      <c r="B1672" s="35">
        <f>IFERROR(IF(A1672="","",VLOOKUP(A1672,DATABASE!$A:$B,2,0)),"")</f>
        <v/>
      </c>
      <c r="C1672" s="36">
        <f>IFERROR(IF(A1672="","",VLOOKUP(A1672,DATABASE!$A:$J,10,0)),"")</f>
        <v/>
      </c>
      <c r="D1672" s="37">
        <f>IF(A1672="","",TODAY())</f>
        <v/>
      </c>
      <c r="E1672" s="29" t="n"/>
      <c r="F1672" s="36">
        <f>IFERROR(IF(OR(A1672="",E1672=""),"",C1672-E1672),"")</f>
        <v/>
      </c>
      <c r="G1672" s="30" t="n"/>
      <c r="H1672" s="35" t="n"/>
    </row>
    <row r="1673" ht="20" customHeight="1">
      <c r="A1673" s="26" t="n"/>
      <c r="B1673" s="27">
        <f>IFERROR(IF(A1673="","",VLOOKUP(A1673,DATABASE!$A:$B,2,0)),"")</f>
        <v/>
      </c>
      <c r="C1673" s="20">
        <f>IFERROR(IF(A1673="","",VLOOKUP(A1673,DATABASE!$A:$J,10,0)),"")</f>
        <v/>
      </c>
      <c r="D1673" s="28">
        <f>IF(A1673="","",TODAY())</f>
        <v/>
      </c>
      <c r="E1673" s="29" t="n"/>
      <c r="F1673" s="20">
        <f>IFERROR(IF(OR(A1673="",E1673=""),"",C1673-E1673),"")</f>
        <v/>
      </c>
      <c r="G1673" s="30" t="n"/>
      <c r="H1673" s="27" t="n"/>
    </row>
    <row r="1674" ht="20" customHeight="1">
      <c r="A1674" s="26" t="n"/>
      <c r="B1674" s="35">
        <f>IFERROR(IF(A1674="","",VLOOKUP(A1674,DATABASE!$A:$B,2,0)),"")</f>
        <v/>
      </c>
      <c r="C1674" s="36">
        <f>IFERROR(IF(A1674="","",VLOOKUP(A1674,DATABASE!$A:$J,10,0)),"")</f>
        <v/>
      </c>
      <c r="D1674" s="37">
        <f>IF(A1674="","",TODAY())</f>
        <v/>
      </c>
      <c r="E1674" s="29" t="n"/>
      <c r="F1674" s="36">
        <f>IFERROR(IF(OR(A1674="",E1674=""),"",C1674-E1674),"")</f>
        <v/>
      </c>
      <c r="G1674" s="30" t="n"/>
      <c r="H1674" s="35" t="n"/>
    </row>
    <row r="1675" ht="20" customHeight="1">
      <c r="A1675" s="26" t="n"/>
      <c r="B1675" s="27">
        <f>IFERROR(IF(A1675="","",VLOOKUP(A1675,DATABASE!$A:$B,2,0)),"")</f>
        <v/>
      </c>
      <c r="C1675" s="20">
        <f>IFERROR(IF(A1675="","",VLOOKUP(A1675,DATABASE!$A:$J,10,0)),"")</f>
        <v/>
      </c>
      <c r="D1675" s="28">
        <f>IF(A1675="","",TODAY())</f>
        <v/>
      </c>
      <c r="E1675" s="29" t="n"/>
      <c r="F1675" s="20">
        <f>IFERROR(IF(OR(A1675="",E1675=""),"",C1675-E1675),"")</f>
        <v/>
      </c>
      <c r="G1675" s="30" t="n"/>
      <c r="H1675" s="27" t="n"/>
    </row>
    <row r="1676" ht="20" customHeight="1">
      <c r="A1676" s="26" t="n"/>
      <c r="B1676" s="35">
        <f>IFERROR(IF(A1676="","",VLOOKUP(A1676,DATABASE!$A:$B,2,0)),"")</f>
        <v/>
      </c>
      <c r="C1676" s="36">
        <f>IFERROR(IF(A1676="","",VLOOKUP(A1676,DATABASE!$A:$J,10,0)),"")</f>
        <v/>
      </c>
      <c r="D1676" s="37">
        <f>IF(A1676="","",TODAY())</f>
        <v/>
      </c>
      <c r="E1676" s="29" t="n"/>
      <c r="F1676" s="36">
        <f>IFERROR(IF(OR(A1676="",E1676=""),"",C1676-E1676),"")</f>
        <v/>
      </c>
      <c r="G1676" s="30" t="n"/>
      <c r="H1676" s="35" t="n"/>
    </row>
    <row r="1677" ht="20" customHeight="1">
      <c r="A1677" s="26" t="n"/>
      <c r="B1677" s="27">
        <f>IFERROR(IF(A1677="","",VLOOKUP(A1677,DATABASE!$A:$B,2,0)),"")</f>
        <v/>
      </c>
      <c r="C1677" s="20">
        <f>IFERROR(IF(A1677="","",VLOOKUP(A1677,DATABASE!$A:$J,10,0)),"")</f>
        <v/>
      </c>
      <c r="D1677" s="28">
        <f>IF(A1677="","",TODAY())</f>
        <v/>
      </c>
      <c r="E1677" s="29" t="n"/>
      <c r="F1677" s="20">
        <f>IFERROR(IF(OR(A1677="",E1677=""),"",C1677-E1677),"")</f>
        <v/>
      </c>
      <c r="G1677" s="30" t="n"/>
      <c r="H1677" s="27" t="n"/>
    </row>
    <row r="1678" ht="20" customHeight="1">
      <c r="A1678" s="26" t="n"/>
      <c r="B1678" s="35">
        <f>IFERROR(IF(A1678="","",VLOOKUP(A1678,DATABASE!$A:$B,2,0)),"")</f>
        <v/>
      </c>
      <c r="C1678" s="36">
        <f>IFERROR(IF(A1678="","",VLOOKUP(A1678,DATABASE!$A:$J,10,0)),"")</f>
        <v/>
      </c>
      <c r="D1678" s="37">
        <f>IF(A1678="","",TODAY())</f>
        <v/>
      </c>
      <c r="E1678" s="29" t="n"/>
      <c r="F1678" s="36">
        <f>IFERROR(IF(OR(A1678="",E1678=""),"",C1678-E1678),"")</f>
        <v/>
      </c>
      <c r="G1678" s="30" t="n"/>
      <c r="H1678" s="35" t="n"/>
    </row>
    <row r="1679" ht="20" customHeight="1">
      <c r="A1679" s="26" t="n"/>
      <c r="B1679" s="27">
        <f>IFERROR(IF(A1679="","",VLOOKUP(A1679,DATABASE!$A:$B,2,0)),"")</f>
        <v/>
      </c>
      <c r="C1679" s="20">
        <f>IFERROR(IF(A1679="","",VLOOKUP(A1679,DATABASE!$A:$J,10,0)),"")</f>
        <v/>
      </c>
      <c r="D1679" s="28">
        <f>IF(A1679="","",TODAY())</f>
        <v/>
      </c>
      <c r="E1679" s="29" t="n"/>
      <c r="F1679" s="20">
        <f>IFERROR(IF(OR(A1679="",E1679=""),"",C1679-E1679),"")</f>
        <v/>
      </c>
      <c r="G1679" s="30" t="n"/>
      <c r="H1679" s="27" t="n"/>
    </row>
    <row r="1680" ht="20" customHeight="1">
      <c r="A1680" s="26" t="n"/>
      <c r="B1680" s="35">
        <f>IFERROR(IF(A1680="","",VLOOKUP(A1680,DATABASE!$A:$B,2,0)),"")</f>
        <v/>
      </c>
      <c r="C1680" s="36">
        <f>IFERROR(IF(A1680="","",VLOOKUP(A1680,DATABASE!$A:$J,10,0)),"")</f>
        <v/>
      </c>
      <c r="D1680" s="37">
        <f>IF(A1680="","",TODAY())</f>
        <v/>
      </c>
      <c r="E1680" s="29" t="n"/>
      <c r="F1680" s="36">
        <f>IFERROR(IF(OR(A1680="",E1680=""),"",C1680-E1680),"")</f>
        <v/>
      </c>
      <c r="G1680" s="30" t="n"/>
      <c r="H1680" s="35" t="n"/>
    </row>
    <row r="1681" ht="20" customHeight="1">
      <c r="A1681" s="26" t="n"/>
      <c r="B1681" s="27">
        <f>IFERROR(IF(A1681="","",VLOOKUP(A1681,DATABASE!$A:$B,2,0)),"")</f>
        <v/>
      </c>
      <c r="C1681" s="20">
        <f>IFERROR(IF(A1681="","",VLOOKUP(A1681,DATABASE!$A:$J,10,0)),"")</f>
        <v/>
      </c>
      <c r="D1681" s="28">
        <f>IF(A1681="","",TODAY())</f>
        <v/>
      </c>
      <c r="E1681" s="29" t="n"/>
      <c r="F1681" s="20">
        <f>IFERROR(IF(OR(A1681="",E1681=""),"",C1681-E1681),"")</f>
        <v/>
      </c>
      <c r="G1681" s="30" t="n"/>
      <c r="H1681" s="27" t="n"/>
    </row>
    <row r="1682" ht="20" customHeight="1">
      <c r="A1682" s="26" t="n"/>
      <c r="B1682" s="35">
        <f>IFERROR(IF(A1682="","",VLOOKUP(A1682,DATABASE!$A:$B,2,0)),"")</f>
        <v/>
      </c>
      <c r="C1682" s="36">
        <f>IFERROR(IF(A1682="","",VLOOKUP(A1682,DATABASE!$A:$J,10,0)),"")</f>
        <v/>
      </c>
      <c r="D1682" s="37">
        <f>IF(A1682="","",TODAY())</f>
        <v/>
      </c>
      <c r="E1682" s="29" t="n"/>
      <c r="F1682" s="36">
        <f>IFERROR(IF(OR(A1682="",E1682=""),"",C1682-E1682),"")</f>
        <v/>
      </c>
      <c r="G1682" s="30" t="n"/>
      <c r="H1682" s="35" t="n"/>
    </row>
    <row r="1683" ht="20" customHeight="1">
      <c r="A1683" s="26" t="n"/>
      <c r="B1683" s="27">
        <f>IFERROR(IF(A1683="","",VLOOKUP(A1683,DATABASE!$A:$B,2,0)),"")</f>
        <v/>
      </c>
      <c r="C1683" s="20">
        <f>IFERROR(IF(A1683="","",VLOOKUP(A1683,DATABASE!$A:$J,10,0)),"")</f>
        <v/>
      </c>
      <c r="D1683" s="28">
        <f>IF(A1683="","",TODAY())</f>
        <v/>
      </c>
      <c r="E1683" s="29" t="n"/>
      <c r="F1683" s="20">
        <f>IFERROR(IF(OR(A1683="",E1683=""),"",C1683-E1683),"")</f>
        <v/>
      </c>
      <c r="G1683" s="30" t="n"/>
      <c r="H1683" s="27" t="n"/>
    </row>
    <row r="1684" ht="20" customHeight="1">
      <c r="A1684" s="26" t="n"/>
      <c r="B1684" s="35">
        <f>IFERROR(IF(A1684="","",VLOOKUP(A1684,DATABASE!$A:$B,2,0)),"")</f>
        <v/>
      </c>
      <c r="C1684" s="36">
        <f>IFERROR(IF(A1684="","",VLOOKUP(A1684,DATABASE!$A:$J,10,0)),"")</f>
        <v/>
      </c>
      <c r="D1684" s="37">
        <f>IF(A1684="","",TODAY())</f>
        <v/>
      </c>
      <c r="E1684" s="29" t="n"/>
      <c r="F1684" s="36">
        <f>IFERROR(IF(OR(A1684="",E1684=""),"",C1684-E1684),"")</f>
        <v/>
      </c>
      <c r="G1684" s="30" t="n"/>
      <c r="H1684" s="35" t="n"/>
    </row>
    <row r="1685" ht="20" customHeight="1">
      <c r="A1685" s="26" t="n"/>
      <c r="B1685" s="27">
        <f>IFERROR(IF(A1685="","",VLOOKUP(A1685,DATABASE!$A:$B,2,0)),"")</f>
        <v/>
      </c>
      <c r="C1685" s="20">
        <f>IFERROR(IF(A1685="","",VLOOKUP(A1685,DATABASE!$A:$J,10,0)),"")</f>
        <v/>
      </c>
      <c r="D1685" s="28">
        <f>IF(A1685="","",TODAY())</f>
        <v/>
      </c>
      <c r="E1685" s="29" t="n"/>
      <c r="F1685" s="20">
        <f>IFERROR(IF(OR(A1685="",E1685=""),"",C1685-E1685),"")</f>
        <v/>
      </c>
      <c r="G1685" s="30" t="n"/>
      <c r="H1685" s="27" t="n"/>
    </row>
    <row r="1686" ht="20" customHeight="1">
      <c r="A1686" s="26" t="n"/>
      <c r="B1686" s="35">
        <f>IFERROR(IF(A1686="","",VLOOKUP(A1686,DATABASE!$A:$B,2,0)),"")</f>
        <v/>
      </c>
      <c r="C1686" s="36">
        <f>IFERROR(IF(A1686="","",VLOOKUP(A1686,DATABASE!$A:$J,10,0)),"")</f>
        <v/>
      </c>
      <c r="D1686" s="37">
        <f>IF(A1686="","",TODAY())</f>
        <v/>
      </c>
      <c r="E1686" s="29" t="n"/>
      <c r="F1686" s="36">
        <f>IFERROR(IF(OR(A1686="",E1686=""),"",C1686-E1686),"")</f>
        <v/>
      </c>
      <c r="G1686" s="30" t="n"/>
      <c r="H1686" s="35" t="n"/>
    </row>
    <row r="1687" ht="20" customHeight="1">
      <c r="A1687" s="26" t="n"/>
      <c r="B1687" s="27">
        <f>IFERROR(IF(A1687="","",VLOOKUP(A1687,DATABASE!$A:$B,2,0)),"")</f>
        <v/>
      </c>
      <c r="C1687" s="20">
        <f>IFERROR(IF(A1687="","",VLOOKUP(A1687,DATABASE!$A:$J,10,0)),"")</f>
        <v/>
      </c>
      <c r="D1687" s="28">
        <f>IF(A1687="","",TODAY())</f>
        <v/>
      </c>
      <c r="E1687" s="29" t="n"/>
      <c r="F1687" s="20">
        <f>IFERROR(IF(OR(A1687="",E1687=""),"",C1687-E1687),"")</f>
        <v/>
      </c>
      <c r="G1687" s="30" t="n"/>
      <c r="H1687" s="27" t="n"/>
    </row>
    <row r="1688" ht="20" customHeight="1">
      <c r="A1688" s="26" t="n"/>
      <c r="B1688" s="35">
        <f>IFERROR(IF(A1688="","",VLOOKUP(A1688,DATABASE!$A:$B,2,0)),"")</f>
        <v/>
      </c>
      <c r="C1688" s="36">
        <f>IFERROR(IF(A1688="","",VLOOKUP(A1688,DATABASE!$A:$J,10,0)),"")</f>
        <v/>
      </c>
      <c r="D1688" s="37">
        <f>IF(A1688="","",TODAY())</f>
        <v/>
      </c>
      <c r="E1688" s="29" t="n"/>
      <c r="F1688" s="36">
        <f>IFERROR(IF(OR(A1688="",E1688=""),"",C1688-E1688),"")</f>
        <v/>
      </c>
      <c r="G1688" s="30" t="n"/>
      <c r="H1688" s="35" t="n"/>
    </row>
    <row r="1689" ht="20" customHeight="1">
      <c r="A1689" s="26" t="n"/>
      <c r="B1689" s="27">
        <f>IFERROR(IF(A1689="","",VLOOKUP(A1689,DATABASE!$A:$B,2,0)),"")</f>
        <v/>
      </c>
      <c r="C1689" s="20">
        <f>IFERROR(IF(A1689="","",VLOOKUP(A1689,DATABASE!$A:$J,10,0)),"")</f>
        <v/>
      </c>
      <c r="D1689" s="28">
        <f>IF(A1689="","",TODAY())</f>
        <v/>
      </c>
      <c r="E1689" s="29" t="n"/>
      <c r="F1689" s="20">
        <f>IFERROR(IF(OR(A1689="",E1689=""),"",C1689-E1689),"")</f>
        <v/>
      </c>
      <c r="G1689" s="30" t="n"/>
      <c r="H1689" s="27" t="n"/>
    </row>
    <row r="1690" ht="20" customHeight="1">
      <c r="A1690" s="26" t="n"/>
      <c r="B1690" s="35">
        <f>IFERROR(IF(A1690="","",VLOOKUP(A1690,DATABASE!$A:$B,2,0)),"")</f>
        <v/>
      </c>
      <c r="C1690" s="36">
        <f>IFERROR(IF(A1690="","",VLOOKUP(A1690,DATABASE!$A:$J,10,0)),"")</f>
        <v/>
      </c>
      <c r="D1690" s="37">
        <f>IF(A1690="","",TODAY())</f>
        <v/>
      </c>
      <c r="E1690" s="29" t="n"/>
      <c r="F1690" s="36">
        <f>IFERROR(IF(OR(A1690="",E1690=""),"",C1690-E1690),"")</f>
        <v/>
      </c>
      <c r="G1690" s="30" t="n"/>
      <c r="H1690" s="35" t="n"/>
    </row>
    <row r="1691" ht="20" customHeight="1">
      <c r="A1691" s="26" t="n"/>
      <c r="B1691" s="27">
        <f>IFERROR(IF(A1691="","",VLOOKUP(A1691,DATABASE!$A:$B,2,0)),"")</f>
        <v/>
      </c>
      <c r="C1691" s="20">
        <f>IFERROR(IF(A1691="","",VLOOKUP(A1691,DATABASE!$A:$J,10,0)),"")</f>
        <v/>
      </c>
      <c r="D1691" s="28">
        <f>IF(A1691="","",TODAY())</f>
        <v/>
      </c>
      <c r="E1691" s="29" t="n"/>
      <c r="F1691" s="20">
        <f>IFERROR(IF(OR(A1691="",E1691=""),"",C1691-E1691),"")</f>
        <v/>
      </c>
      <c r="G1691" s="30" t="n"/>
      <c r="H1691" s="27" t="n"/>
    </row>
    <row r="1692" ht="20" customHeight="1">
      <c r="A1692" s="26" t="n"/>
      <c r="B1692" s="35">
        <f>IFERROR(IF(A1692="","",VLOOKUP(A1692,DATABASE!$A:$B,2,0)),"")</f>
        <v/>
      </c>
      <c r="C1692" s="36">
        <f>IFERROR(IF(A1692="","",VLOOKUP(A1692,DATABASE!$A:$J,10,0)),"")</f>
        <v/>
      </c>
      <c r="D1692" s="37">
        <f>IF(A1692="","",TODAY())</f>
        <v/>
      </c>
      <c r="E1692" s="29" t="n"/>
      <c r="F1692" s="36">
        <f>IFERROR(IF(OR(A1692="",E1692=""),"",C1692-E1692),"")</f>
        <v/>
      </c>
      <c r="G1692" s="30" t="n"/>
      <c r="H1692" s="35" t="n"/>
    </row>
    <row r="1693" ht="20" customHeight="1">
      <c r="A1693" s="26" t="n"/>
      <c r="B1693" s="27">
        <f>IFERROR(IF(A1693="","",VLOOKUP(A1693,DATABASE!$A:$B,2,0)),"")</f>
        <v/>
      </c>
      <c r="C1693" s="20">
        <f>IFERROR(IF(A1693="","",VLOOKUP(A1693,DATABASE!$A:$J,10,0)),"")</f>
        <v/>
      </c>
      <c r="D1693" s="28">
        <f>IF(A1693="","",TODAY())</f>
        <v/>
      </c>
      <c r="E1693" s="29" t="n"/>
      <c r="F1693" s="20">
        <f>IFERROR(IF(OR(A1693="",E1693=""),"",C1693-E1693),"")</f>
        <v/>
      </c>
      <c r="G1693" s="30" t="n"/>
      <c r="H1693" s="27" t="n"/>
    </row>
    <row r="1694" ht="20" customHeight="1">
      <c r="A1694" s="26" t="n"/>
      <c r="B1694" s="35">
        <f>IFERROR(IF(A1694="","",VLOOKUP(A1694,DATABASE!$A:$B,2,0)),"")</f>
        <v/>
      </c>
      <c r="C1694" s="36">
        <f>IFERROR(IF(A1694="","",VLOOKUP(A1694,DATABASE!$A:$J,10,0)),"")</f>
        <v/>
      </c>
      <c r="D1694" s="37">
        <f>IF(A1694="","",TODAY())</f>
        <v/>
      </c>
      <c r="E1694" s="29" t="n"/>
      <c r="F1694" s="36">
        <f>IFERROR(IF(OR(A1694="",E1694=""),"",C1694-E1694),"")</f>
        <v/>
      </c>
      <c r="G1694" s="30" t="n"/>
      <c r="H1694" s="35" t="n"/>
    </row>
    <row r="1695" ht="20" customHeight="1">
      <c r="A1695" s="26" t="n"/>
      <c r="B1695" s="27">
        <f>IFERROR(IF(A1695="","",VLOOKUP(A1695,DATABASE!$A:$B,2,0)),"")</f>
        <v/>
      </c>
      <c r="C1695" s="20">
        <f>IFERROR(IF(A1695="","",VLOOKUP(A1695,DATABASE!$A:$J,10,0)),"")</f>
        <v/>
      </c>
      <c r="D1695" s="28">
        <f>IF(A1695="","",TODAY())</f>
        <v/>
      </c>
      <c r="E1695" s="29" t="n"/>
      <c r="F1695" s="20">
        <f>IFERROR(IF(OR(A1695="",E1695=""),"",C1695-E1695),"")</f>
        <v/>
      </c>
      <c r="G1695" s="30" t="n"/>
      <c r="H1695" s="27" t="n"/>
    </row>
    <row r="1696" ht="20" customHeight="1">
      <c r="A1696" s="26" t="n"/>
      <c r="B1696" s="35">
        <f>IFERROR(IF(A1696="","",VLOOKUP(A1696,DATABASE!$A:$B,2,0)),"")</f>
        <v/>
      </c>
      <c r="C1696" s="36">
        <f>IFERROR(IF(A1696="","",VLOOKUP(A1696,DATABASE!$A:$J,10,0)),"")</f>
        <v/>
      </c>
      <c r="D1696" s="37">
        <f>IF(A1696="","",TODAY())</f>
        <v/>
      </c>
      <c r="E1696" s="29" t="n"/>
      <c r="F1696" s="36">
        <f>IFERROR(IF(OR(A1696="",E1696=""),"",C1696-E1696),"")</f>
        <v/>
      </c>
      <c r="G1696" s="30" t="n"/>
      <c r="H1696" s="35" t="n"/>
    </row>
    <row r="1697" ht="20" customHeight="1">
      <c r="A1697" s="26" t="n"/>
      <c r="B1697" s="27">
        <f>IFERROR(IF(A1697="","",VLOOKUP(A1697,DATABASE!$A:$B,2,0)),"")</f>
        <v/>
      </c>
      <c r="C1697" s="20">
        <f>IFERROR(IF(A1697="","",VLOOKUP(A1697,DATABASE!$A:$J,10,0)),"")</f>
        <v/>
      </c>
      <c r="D1697" s="28">
        <f>IF(A1697="","",TODAY())</f>
        <v/>
      </c>
      <c r="E1697" s="29" t="n"/>
      <c r="F1697" s="20">
        <f>IFERROR(IF(OR(A1697="",E1697=""),"",C1697-E1697),"")</f>
        <v/>
      </c>
      <c r="G1697" s="30" t="n"/>
      <c r="H1697" s="27" t="n"/>
    </row>
    <row r="1698" ht="20" customHeight="1">
      <c r="A1698" s="26" t="n"/>
      <c r="B1698" s="35">
        <f>IFERROR(IF(A1698="","",VLOOKUP(A1698,DATABASE!$A:$B,2,0)),"")</f>
        <v/>
      </c>
      <c r="C1698" s="36">
        <f>IFERROR(IF(A1698="","",VLOOKUP(A1698,DATABASE!$A:$J,10,0)),"")</f>
        <v/>
      </c>
      <c r="D1698" s="37">
        <f>IF(A1698="","",TODAY())</f>
        <v/>
      </c>
      <c r="E1698" s="29" t="n"/>
      <c r="F1698" s="36">
        <f>IFERROR(IF(OR(A1698="",E1698=""),"",C1698-E1698),"")</f>
        <v/>
      </c>
      <c r="G1698" s="30" t="n"/>
      <c r="H1698" s="35" t="n"/>
    </row>
    <row r="1699" ht="20" customHeight="1">
      <c r="A1699" s="26" t="n"/>
      <c r="B1699" s="27">
        <f>IFERROR(IF(A1699="","",VLOOKUP(A1699,DATABASE!$A:$B,2,0)),"")</f>
        <v/>
      </c>
      <c r="C1699" s="20">
        <f>IFERROR(IF(A1699="","",VLOOKUP(A1699,DATABASE!$A:$J,10,0)),"")</f>
        <v/>
      </c>
      <c r="D1699" s="28">
        <f>IF(A1699="","",TODAY())</f>
        <v/>
      </c>
      <c r="E1699" s="29" t="n"/>
      <c r="F1699" s="20">
        <f>IFERROR(IF(OR(A1699="",E1699=""),"",C1699-E1699),"")</f>
        <v/>
      </c>
      <c r="G1699" s="30" t="n"/>
      <c r="H1699" s="27" t="n"/>
    </row>
    <row r="1700" ht="20" customHeight="1">
      <c r="A1700" s="26" t="n"/>
      <c r="B1700" s="35">
        <f>IFERROR(IF(A1700="","",VLOOKUP(A1700,DATABASE!$A:$B,2,0)),"")</f>
        <v/>
      </c>
      <c r="C1700" s="36">
        <f>IFERROR(IF(A1700="","",VLOOKUP(A1700,DATABASE!$A:$J,10,0)),"")</f>
        <v/>
      </c>
      <c r="D1700" s="37">
        <f>IF(A1700="","",TODAY())</f>
        <v/>
      </c>
      <c r="E1700" s="29" t="n"/>
      <c r="F1700" s="36">
        <f>IFERROR(IF(OR(A1700="",E1700=""),"",C1700-E1700),"")</f>
        <v/>
      </c>
      <c r="G1700" s="30" t="n"/>
      <c r="H1700" s="35" t="n"/>
    </row>
    <row r="1701" ht="20" customHeight="1">
      <c r="A1701" s="26" t="n"/>
      <c r="B1701" s="27">
        <f>IFERROR(IF(A1701="","",VLOOKUP(A1701,DATABASE!$A:$B,2,0)),"")</f>
        <v/>
      </c>
      <c r="C1701" s="20">
        <f>IFERROR(IF(A1701="","",VLOOKUP(A1701,DATABASE!$A:$J,10,0)),"")</f>
        <v/>
      </c>
      <c r="D1701" s="28">
        <f>IF(A1701="","",TODAY())</f>
        <v/>
      </c>
      <c r="E1701" s="29" t="n"/>
      <c r="F1701" s="20">
        <f>IFERROR(IF(OR(A1701="",E1701=""),"",C1701-E1701),"")</f>
        <v/>
      </c>
      <c r="G1701" s="30" t="n"/>
      <c r="H1701" s="27" t="n"/>
    </row>
    <row r="1702" ht="20" customHeight="1">
      <c r="A1702" s="26" t="n"/>
      <c r="B1702" s="35">
        <f>IFERROR(IF(A1702="","",VLOOKUP(A1702,DATABASE!$A:$B,2,0)),"")</f>
        <v/>
      </c>
      <c r="C1702" s="36">
        <f>IFERROR(IF(A1702="","",VLOOKUP(A1702,DATABASE!$A:$J,10,0)),"")</f>
        <v/>
      </c>
      <c r="D1702" s="37">
        <f>IF(A1702="","",TODAY())</f>
        <v/>
      </c>
      <c r="E1702" s="29" t="n"/>
      <c r="F1702" s="36">
        <f>IFERROR(IF(OR(A1702="",E1702=""),"",C1702-E1702),"")</f>
        <v/>
      </c>
      <c r="G1702" s="30" t="n"/>
      <c r="H1702" s="35" t="n"/>
    </row>
    <row r="1703" ht="20" customHeight="1">
      <c r="A1703" s="26" t="n"/>
      <c r="B1703" s="27">
        <f>IFERROR(IF(A1703="","",VLOOKUP(A1703,DATABASE!$A:$B,2,0)),"")</f>
        <v/>
      </c>
      <c r="C1703" s="20">
        <f>IFERROR(IF(A1703="","",VLOOKUP(A1703,DATABASE!$A:$J,10,0)),"")</f>
        <v/>
      </c>
      <c r="D1703" s="28">
        <f>IF(A1703="","",TODAY())</f>
        <v/>
      </c>
      <c r="E1703" s="29" t="n"/>
      <c r="F1703" s="20">
        <f>IFERROR(IF(OR(A1703="",E1703=""),"",C1703-E1703),"")</f>
        <v/>
      </c>
      <c r="G1703" s="30" t="n"/>
      <c r="H1703" s="27" t="n"/>
    </row>
    <row r="1704" ht="20" customHeight="1">
      <c r="A1704" s="26" t="n"/>
      <c r="B1704" s="35">
        <f>IFERROR(IF(A1704="","",VLOOKUP(A1704,DATABASE!$A:$B,2,0)),"")</f>
        <v/>
      </c>
      <c r="C1704" s="36">
        <f>IFERROR(IF(A1704="","",VLOOKUP(A1704,DATABASE!$A:$J,10,0)),"")</f>
        <v/>
      </c>
      <c r="D1704" s="37">
        <f>IF(A1704="","",TODAY())</f>
        <v/>
      </c>
      <c r="E1704" s="29" t="n"/>
      <c r="F1704" s="36">
        <f>IFERROR(IF(OR(A1704="",E1704=""),"",C1704-E1704),"")</f>
        <v/>
      </c>
      <c r="G1704" s="30" t="n"/>
      <c r="H1704" s="35" t="n"/>
    </row>
    <row r="1705" ht="20" customHeight="1">
      <c r="A1705" s="26" t="n"/>
      <c r="B1705" s="27">
        <f>IFERROR(IF(A1705="","",VLOOKUP(A1705,DATABASE!$A:$B,2,0)),"")</f>
        <v/>
      </c>
      <c r="C1705" s="20">
        <f>IFERROR(IF(A1705="","",VLOOKUP(A1705,DATABASE!$A:$J,10,0)),"")</f>
        <v/>
      </c>
      <c r="D1705" s="28">
        <f>IF(A1705="","",TODAY())</f>
        <v/>
      </c>
      <c r="E1705" s="29" t="n"/>
      <c r="F1705" s="20">
        <f>IFERROR(IF(OR(A1705="",E1705=""),"",C1705-E1705),"")</f>
        <v/>
      </c>
      <c r="G1705" s="30" t="n"/>
      <c r="H1705" s="27" t="n"/>
    </row>
    <row r="1706" ht="20" customHeight="1">
      <c r="A1706" s="26" t="n"/>
      <c r="B1706" s="35">
        <f>IFERROR(IF(A1706="","",VLOOKUP(A1706,DATABASE!$A:$B,2,0)),"")</f>
        <v/>
      </c>
      <c r="C1706" s="36">
        <f>IFERROR(IF(A1706="","",VLOOKUP(A1706,DATABASE!$A:$J,10,0)),"")</f>
        <v/>
      </c>
      <c r="D1706" s="37">
        <f>IF(A1706="","",TODAY())</f>
        <v/>
      </c>
      <c r="E1706" s="29" t="n"/>
      <c r="F1706" s="36">
        <f>IFERROR(IF(OR(A1706="",E1706=""),"",C1706-E1706),"")</f>
        <v/>
      </c>
      <c r="G1706" s="30" t="n"/>
      <c r="H1706" s="35" t="n"/>
    </row>
    <row r="1707" ht="20" customHeight="1">
      <c r="A1707" s="26" t="n"/>
      <c r="B1707" s="27">
        <f>IFERROR(IF(A1707="","",VLOOKUP(A1707,DATABASE!$A:$B,2,0)),"")</f>
        <v/>
      </c>
      <c r="C1707" s="20">
        <f>IFERROR(IF(A1707="","",VLOOKUP(A1707,DATABASE!$A:$J,10,0)),"")</f>
        <v/>
      </c>
      <c r="D1707" s="28">
        <f>IF(A1707="","",TODAY())</f>
        <v/>
      </c>
      <c r="E1707" s="29" t="n"/>
      <c r="F1707" s="20">
        <f>IFERROR(IF(OR(A1707="",E1707=""),"",C1707-E1707),"")</f>
        <v/>
      </c>
      <c r="G1707" s="30" t="n"/>
      <c r="H1707" s="27" t="n"/>
    </row>
    <row r="1708" ht="20" customHeight="1">
      <c r="A1708" s="26" t="n"/>
      <c r="B1708" s="35">
        <f>IFERROR(IF(A1708="","",VLOOKUP(A1708,DATABASE!$A:$B,2,0)),"")</f>
        <v/>
      </c>
      <c r="C1708" s="36">
        <f>IFERROR(IF(A1708="","",VLOOKUP(A1708,DATABASE!$A:$J,10,0)),"")</f>
        <v/>
      </c>
      <c r="D1708" s="37">
        <f>IF(A1708="","",TODAY())</f>
        <v/>
      </c>
      <c r="E1708" s="29" t="n"/>
      <c r="F1708" s="36">
        <f>IFERROR(IF(OR(A1708="",E1708=""),"",C1708-E1708),"")</f>
        <v/>
      </c>
      <c r="G1708" s="30" t="n"/>
      <c r="H1708" s="35" t="n"/>
    </row>
    <row r="1709" ht="20" customHeight="1">
      <c r="A1709" s="26" t="n"/>
      <c r="B1709" s="27">
        <f>IFERROR(IF(A1709="","",VLOOKUP(A1709,DATABASE!$A:$B,2,0)),"")</f>
        <v/>
      </c>
      <c r="C1709" s="20">
        <f>IFERROR(IF(A1709="","",VLOOKUP(A1709,DATABASE!$A:$J,10,0)),"")</f>
        <v/>
      </c>
      <c r="D1709" s="28">
        <f>IF(A1709="","",TODAY())</f>
        <v/>
      </c>
      <c r="E1709" s="29" t="n"/>
      <c r="F1709" s="20">
        <f>IFERROR(IF(OR(A1709="",E1709=""),"",C1709-E1709),"")</f>
        <v/>
      </c>
      <c r="G1709" s="30" t="n"/>
      <c r="H1709" s="27" t="n"/>
    </row>
    <row r="1710" ht="20" customHeight="1">
      <c r="A1710" s="26" t="n"/>
      <c r="B1710" s="35">
        <f>IFERROR(IF(A1710="","",VLOOKUP(A1710,DATABASE!$A:$B,2,0)),"")</f>
        <v/>
      </c>
      <c r="C1710" s="36">
        <f>IFERROR(IF(A1710="","",VLOOKUP(A1710,DATABASE!$A:$J,10,0)),"")</f>
        <v/>
      </c>
      <c r="D1710" s="37">
        <f>IF(A1710="","",TODAY())</f>
        <v/>
      </c>
      <c r="E1710" s="29" t="n"/>
      <c r="F1710" s="36">
        <f>IFERROR(IF(OR(A1710="",E1710=""),"",C1710-E1710),"")</f>
        <v/>
      </c>
      <c r="G1710" s="30" t="n"/>
      <c r="H1710" s="35" t="n"/>
    </row>
    <row r="1711" ht="20" customHeight="1">
      <c r="A1711" s="26" t="n"/>
      <c r="B1711" s="27">
        <f>IFERROR(IF(A1711="","",VLOOKUP(A1711,DATABASE!$A:$B,2,0)),"")</f>
        <v/>
      </c>
      <c r="C1711" s="20">
        <f>IFERROR(IF(A1711="","",VLOOKUP(A1711,DATABASE!$A:$J,10,0)),"")</f>
        <v/>
      </c>
      <c r="D1711" s="28">
        <f>IF(A1711="","",TODAY())</f>
        <v/>
      </c>
      <c r="E1711" s="29" t="n"/>
      <c r="F1711" s="20">
        <f>IFERROR(IF(OR(A1711="",E1711=""),"",C1711-E1711),"")</f>
        <v/>
      </c>
      <c r="G1711" s="30" t="n"/>
      <c r="H1711" s="27" t="n"/>
    </row>
    <row r="1712" ht="20" customHeight="1">
      <c r="A1712" s="26" t="n"/>
      <c r="B1712" s="35">
        <f>IFERROR(IF(A1712="","",VLOOKUP(A1712,DATABASE!$A:$B,2,0)),"")</f>
        <v/>
      </c>
      <c r="C1712" s="36">
        <f>IFERROR(IF(A1712="","",VLOOKUP(A1712,DATABASE!$A:$J,10,0)),"")</f>
        <v/>
      </c>
      <c r="D1712" s="37">
        <f>IF(A1712="","",TODAY())</f>
        <v/>
      </c>
      <c r="E1712" s="29" t="n"/>
      <c r="F1712" s="36">
        <f>IFERROR(IF(OR(A1712="",E1712=""),"",C1712-E1712),"")</f>
        <v/>
      </c>
      <c r="G1712" s="30" t="n"/>
      <c r="H1712" s="35" t="n"/>
    </row>
    <row r="1713" ht="20" customHeight="1">
      <c r="A1713" s="26" t="n"/>
      <c r="B1713" s="27">
        <f>IFERROR(IF(A1713="","",VLOOKUP(A1713,DATABASE!$A:$B,2,0)),"")</f>
        <v/>
      </c>
      <c r="C1713" s="20">
        <f>IFERROR(IF(A1713="","",VLOOKUP(A1713,DATABASE!$A:$J,10,0)),"")</f>
        <v/>
      </c>
      <c r="D1713" s="28">
        <f>IF(A1713="","",TODAY())</f>
        <v/>
      </c>
      <c r="E1713" s="29" t="n"/>
      <c r="F1713" s="20">
        <f>IFERROR(IF(OR(A1713="",E1713=""),"",C1713-E1713),"")</f>
        <v/>
      </c>
      <c r="G1713" s="30" t="n"/>
      <c r="H1713" s="27" t="n"/>
    </row>
    <row r="1714" ht="20" customHeight="1">
      <c r="A1714" s="26" t="n"/>
      <c r="B1714" s="35">
        <f>IFERROR(IF(A1714="","",VLOOKUP(A1714,DATABASE!$A:$B,2,0)),"")</f>
        <v/>
      </c>
      <c r="C1714" s="36">
        <f>IFERROR(IF(A1714="","",VLOOKUP(A1714,DATABASE!$A:$J,10,0)),"")</f>
        <v/>
      </c>
      <c r="D1714" s="37">
        <f>IF(A1714="","",TODAY())</f>
        <v/>
      </c>
      <c r="E1714" s="29" t="n"/>
      <c r="F1714" s="36">
        <f>IFERROR(IF(OR(A1714="",E1714=""),"",C1714-E1714),"")</f>
        <v/>
      </c>
      <c r="G1714" s="30" t="n"/>
      <c r="H1714" s="35" t="n"/>
    </row>
    <row r="1715" ht="20" customHeight="1">
      <c r="A1715" s="26" t="n"/>
      <c r="B1715" s="27">
        <f>IFERROR(IF(A1715="","",VLOOKUP(A1715,DATABASE!$A:$B,2,0)),"")</f>
        <v/>
      </c>
      <c r="C1715" s="20">
        <f>IFERROR(IF(A1715="","",VLOOKUP(A1715,DATABASE!$A:$J,10,0)),"")</f>
        <v/>
      </c>
      <c r="D1715" s="28">
        <f>IF(A1715="","",TODAY())</f>
        <v/>
      </c>
      <c r="E1715" s="29" t="n"/>
      <c r="F1715" s="20">
        <f>IFERROR(IF(OR(A1715="",E1715=""),"",C1715-E1715),"")</f>
        <v/>
      </c>
      <c r="G1715" s="30" t="n"/>
      <c r="H1715" s="27" t="n"/>
    </row>
    <row r="1716" ht="20" customHeight="1">
      <c r="A1716" s="26" t="n"/>
      <c r="B1716" s="35">
        <f>IFERROR(IF(A1716="","",VLOOKUP(A1716,DATABASE!$A:$B,2,0)),"")</f>
        <v/>
      </c>
      <c r="C1716" s="36">
        <f>IFERROR(IF(A1716="","",VLOOKUP(A1716,DATABASE!$A:$J,10,0)),"")</f>
        <v/>
      </c>
      <c r="D1716" s="37">
        <f>IF(A1716="","",TODAY())</f>
        <v/>
      </c>
      <c r="E1716" s="29" t="n"/>
      <c r="F1716" s="36">
        <f>IFERROR(IF(OR(A1716="",E1716=""),"",C1716-E1716),"")</f>
        <v/>
      </c>
      <c r="G1716" s="30" t="n"/>
      <c r="H1716" s="35" t="n"/>
    </row>
    <row r="1717" ht="20" customHeight="1">
      <c r="A1717" s="26" t="n"/>
      <c r="B1717" s="27">
        <f>IFERROR(IF(A1717="","",VLOOKUP(A1717,DATABASE!$A:$B,2,0)),"")</f>
        <v/>
      </c>
      <c r="C1717" s="20">
        <f>IFERROR(IF(A1717="","",VLOOKUP(A1717,DATABASE!$A:$J,10,0)),"")</f>
        <v/>
      </c>
      <c r="D1717" s="28">
        <f>IF(A1717="","",TODAY())</f>
        <v/>
      </c>
      <c r="E1717" s="29" t="n"/>
      <c r="F1717" s="20">
        <f>IFERROR(IF(OR(A1717="",E1717=""),"",C1717-E1717),"")</f>
        <v/>
      </c>
      <c r="G1717" s="30" t="n"/>
      <c r="H1717" s="27" t="n"/>
    </row>
    <row r="1718" ht="20" customHeight="1">
      <c r="A1718" s="26" t="n"/>
      <c r="B1718" s="35">
        <f>IFERROR(IF(A1718="","",VLOOKUP(A1718,DATABASE!$A:$B,2,0)),"")</f>
        <v/>
      </c>
      <c r="C1718" s="36">
        <f>IFERROR(IF(A1718="","",VLOOKUP(A1718,DATABASE!$A:$J,10,0)),"")</f>
        <v/>
      </c>
      <c r="D1718" s="37">
        <f>IF(A1718="","",TODAY())</f>
        <v/>
      </c>
      <c r="E1718" s="29" t="n"/>
      <c r="F1718" s="36">
        <f>IFERROR(IF(OR(A1718="",E1718=""),"",C1718-E1718),"")</f>
        <v/>
      </c>
      <c r="G1718" s="30" t="n"/>
      <c r="H1718" s="35" t="n"/>
    </row>
    <row r="1719" ht="20" customHeight="1">
      <c r="A1719" s="26" t="n"/>
      <c r="B1719" s="27">
        <f>IFERROR(IF(A1719="","",VLOOKUP(A1719,DATABASE!$A:$B,2,0)),"")</f>
        <v/>
      </c>
      <c r="C1719" s="20">
        <f>IFERROR(IF(A1719="","",VLOOKUP(A1719,DATABASE!$A:$J,10,0)),"")</f>
        <v/>
      </c>
      <c r="D1719" s="28">
        <f>IF(A1719="","",TODAY())</f>
        <v/>
      </c>
      <c r="E1719" s="29" t="n"/>
      <c r="F1719" s="20">
        <f>IFERROR(IF(OR(A1719="",E1719=""),"",C1719-E1719),"")</f>
        <v/>
      </c>
      <c r="G1719" s="30" t="n"/>
      <c r="H1719" s="27" t="n"/>
    </row>
    <row r="1720" ht="20" customHeight="1">
      <c r="A1720" s="26" t="n"/>
      <c r="B1720" s="35">
        <f>IFERROR(IF(A1720="","",VLOOKUP(A1720,DATABASE!$A:$B,2,0)),"")</f>
        <v/>
      </c>
      <c r="C1720" s="36">
        <f>IFERROR(IF(A1720="","",VLOOKUP(A1720,DATABASE!$A:$J,10,0)),"")</f>
        <v/>
      </c>
      <c r="D1720" s="37">
        <f>IF(A1720="","",TODAY())</f>
        <v/>
      </c>
      <c r="E1720" s="29" t="n"/>
      <c r="F1720" s="36">
        <f>IFERROR(IF(OR(A1720="",E1720=""),"",C1720-E1720),"")</f>
        <v/>
      </c>
      <c r="G1720" s="30" t="n"/>
      <c r="H1720" s="35" t="n"/>
    </row>
    <row r="1721" ht="20" customHeight="1">
      <c r="A1721" s="26" t="n"/>
      <c r="B1721" s="27">
        <f>IFERROR(IF(A1721="","",VLOOKUP(A1721,DATABASE!$A:$B,2,0)),"")</f>
        <v/>
      </c>
      <c r="C1721" s="20">
        <f>IFERROR(IF(A1721="","",VLOOKUP(A1721,DATABASE!$A:$J,10,0)),"")</f>
        <v/>
      </c>
      <c r="D1721" s="28">
        <f>IF(A1721="","",TODAY())</f>
        <v/>
      </c>
      <c r="E1721" s="29" t="n"/>
      <c r="F1721" s="20">
        <f>IFERROR(IF(OR(A1721="",E1721=""),"",C1721-E1721),"")</f>
        <v/>
      </c>
      <c r="G1721" s="30" t="n"/>
      <c r="H1721" s="27" t="n"/>
    </row>
    <row r="1722" ht="20" customHeight="1">
      <c r="A1722" s="26" t="n"/>
      <c r="B1722" s="35">
        <f>IFERROR(IF(A1722="","",VLOOKUP(A1722,DATABASE!$A:$B,2,0)),"")</f>
        <v/>
      </c>
      <c r="C1722" s="36">
        <f>IFERROR(IF(A1722="","",VLOOKUP(A1722,DATABASE!$A:$J,10,0)),"")</f>
        <v/>
      </c>
      <c r="D1722" s="37">
        <f>IF(A1722="","",TODAY())</f>
        <v/>
      </c>
      <c r="E1722" s="29" t="n"/>
      <c r="F1722" s="36">
        <f>IFERROR(IF(OR(A1722="",E1722=""),"",C1722-E1722),"")</f>
        <v/>
      </c>
      <c r="G1722" s="30" t="n"/>
      <c r="H1722" s="35" t="n"/>
    </row>
    <row r="1723" ht="20" customHeight="1">
      <c r="A1723" s="26" t="n"/>
      <c r="B1723" s="27">
        <f>IFERROR(IF(A1723="","",VLOOKUP(A1723,DATABASE!$A:$B,2,0)),"")</f>
        <v/>
      </c>
      <c r="C1723" s="20">
        <f>IFERROR(IF(A1723="","",VLOOKUP(A1723,DATABASE!$A:$J,10,0)),"")</f>
        <v/>
      </c>
      <c r="D1723" s="28">
        <f>IF(A1723="","",TODAY())</f>
        <v/>
      </c>
      <c r="E1723" s="29" t="n"/>
      <c r="F1723" s="20">
        <f>IFERROR(IF(OR(A1723="",E1723=""),"",C1723-E1723),"")</f>
        <v/>
      </c>
      <c r="G1723" s="30" t="n"/>
      <c r="H1723" s="27" t="n"/>
    </row>
    <row r="1724" ht="20" customHeight="1">
      <c r="A1724" s="26" t="n"/>
      <c r="B1724" s="35">
        <f>IFERROR(IF(A1724="","",VLOOKUP(A1724,DATABASE!$A:$B,2,0)),"")</f>
        <v/>
      </c>
      <c r="C1724" s="36">
        <f>IFERROR(IF(A1724="","",VLOOKUP(A1724,DATABASE!$A:$J,10,0)),"")</f>
        <v/>
      </c>
      <c r="D1724" s="37">
        <f>IF(A1724="","",TODAY())</f>
        <v/>
      </c>
      <c r="E1724" s="29" t="n"/>
      <c r="F1724" s="36">
        <f>IFERROR(IF(OR(A1724="",E1724=""),"",C1724-E1724),"")</f>
        <v/>
      </c>
      <c r="G1724" s="30" t="n"/>
      <c r="H1724" s="35" t="n"/>
    </row>
    <row r="1725" ht="20" customHeight="1">
      <c r="A1725" s="26" t="n"/>
      <c r="B1725" s="27">
        <f>IFERROR(IF(A1725="","",VLOOKUP(A1725,DATABASE!$A:$B,2,0)),"")</f>
        <v/>
      </c>
      <c r="C1725" s="20">
        <f>IFERROR(IF(A1725="","",VLOOKUP(A1725,DATABASE!$A:$J,10,0)),"")</f>
        <v/>
      </c>
      <c r="D1725" s="28">
        <f>IF(A1725="","",TODAY())</f>
        <v/>
      </c>
      <c r="E1725" s="29" t="n"/>
      <c r="F1725" s="20">
        <f>IFERROR(IF(OR(A1725="",E1725=""),"",C1725-E1725),"")</f>
        <v/>
      </c>
      <c r="G1725" s="30" t="n"/>
      <c r="H1725" s="27" t="n"/>
    </row>
    <row r="1726" ht="20" customHeight="1">
      <c r="A1726" s="26" t="n"/>
      <c r="B1726" s="35">
        <f>IFERROR(IF(A1726="","",VLOOKUP(A1726,DATABASE!$A:$B,2,0)),"")</f>
        <v/>
      </c>
      <c r="C1726" s="36">
        <f>IFERROR(IF(A1726="","",VLOOKUP(A1726,DATABASE!$A:$J,10,0)),"")</f>
        <v/>
      </c>
      <c r="D1726" s="37">
        <f>IF(A1726="","",TODAY())</f>
        <v/>
      </c>
      <c r="E1726" s="29" t="n"/>
      <c r="F1726" s="36">
        <f>IFERROR(IF(OR(A1726="",E1726=""),"",C1726-E1726),"")</f>
        <v/>
      </c>
      <c r="G1726" s="30" t="n"/>
      <c r="H1726" s="35" t="n"/>
    </row>
    <row r="1727" ht="20" customHeight="1">
      <c r="A1727" s="26" t="n"/>
      <c r="B1727" s="27">
        <f>IFERROR(IF(A1727="","",VLOOKUP(A1727,DATABASE!$A:$B,2,0)),"")</f>
        <v/>
      </c>
      <c r="C1727" s="20">
        <f>IFERROR(IF(A1727="","",VLOOKUP(A1727,DATABASE!$A:$J,10,0)),"")</f>
        <v/>
      </c>
      <c r="D1727" s="28">
        <f>IF(A1727="","",TODAY())</f>
        <v/>
      </c>
      <c r="E1727" s="29" t="n"/>
      <c r="F1727" s="20">
        <f>IFERROR(IF(OR(A1727="",E1727=""),"",C1727-E1727),"")</f>
        <v/>
      </c>
      <c r="G1727" s="30" t="n"/>
      <c r="H1727" s="27" t="n"/>
    </row>
    <row r="1728" ht="20" customHeight="1">
      <c r="A1728" s="26" t="n"/>
      <c r="B1728" s="35">
        <f>IFERROR(IF(A1728="","",VLOOKUP(A1728,DATABASE!$A:$B,2,0)),"")</f>
        <v/>
      </c>
      <c r="C1728" s="36">
        <f>IFERROR(IF(A1728="","",VLOOKUP(A1728,DATABASE!$A:$J,10,0)),"")</f>
        <v/>
      </c>
      <c r="D1728" s="37">
        <f>IF(A1728="","",TODAY())</f>
        <v/>
      </c>
      <c r="E1728" s="29" t="n"/>
      <c r="F1728" s="36">
        <f>IFERROR(IF(OR(A1728="",E1728=""),"",C1728-E1728),"")</f>
        <v/>
      </c>
      <c r="G1728" s="30" t="n"/>
      <c r="H1728" s="35" t="n"/>
    </row>
    <row r="1729" ht="20" customHeight="1">
      <c r="A1729" s="26" t="n"/>
      <c r="B1729" s="27">
        <f>IFERROR(IF(A1729="","",VLOOKUP(A1729,DATABASE!$A:$B,2,0)),"")</f>
        <v/>
      </c>
      <c r="C1729" s="20">
        <f>IFERROR(IF(A1729="","",VLOOKUP(A1729,DATABASE!$A:$J,10,0)),"")</f>
        <v/>
      </c>
      <c r="D1729" s="28">
        <f>IF(A1729="","",TODAY())</f>
        <v/>
      </c>
      <c r="E1729" s="29" t="n"/>
      <c r="F1729" s="20">
        <f>IFERROR(IF(OR(A1729="",E1729=""),"",C1729-E1729),"")</f>
        <v/>
      </c>
      <c r="G1729" s="30" t="n"/>
      <c r="H1729" s="27" t="n"/>
    </row>
    <row r="1730" ht="20" customHeight="1">
      <c r="A1730" s="26" t="n"/>
      <c r="B1730" s="35">
        <f>IFERROR(IF(A1730="","",VLOOKUP(A1730,DATABASE!$A:$B,2,0)),"")</f>
        <v/>
      </c>
      <c r="C1730" s="36">
        <f>IFERROR(IF(A1730="","",VLOOKUP(A1730,DATABASE!$A:$J,10,0)),"")</f>
        <v/>
      </c>
      <c r="D1730" s="37">
        <f>IF(A1730="","",TODAY())</f>
        <v/>
      </c>
      <c r="E1730" s="29" t="n"/>
      <c r="F1730" s="36">
        <f>IFERROR(IF(OR(A1730="",E1730=""),"",C1730-E1730),"")</f>
        <v/>
      </c>
      <c r="G1730" s="30" t="n"/>
      <c r="H1730" s="35" t="n"/>
    </row>
    <row r="1731" ht="20" customHeight="1">
      <c r="A1731" s="26" t="n"/>
      <c r="B1731" s="27">
        <f>IFERROR(IF(A1731="","",VLOOKUP(A1731,DATABASE!$A:$B,2,0)),"")</f>
        <v/>
      </c>
      <c r="C1731" s="20">
        <f>IFERROR(IF(A1731="","",VLOOKUP(A1731,DATABASE!$A:$J,10,0)),"")</f>
        <v/>
      </c>
      <c r="D1731" s="28">
        <f>IF(A1731="","",TODAY())</f>
        <v/>
      </c>
      <c r="E1731" s="29" t="n"/>
      <c r="F1731" s="20">
        <f>IFERROR(IF(OR(A1731="",E1731=""),"",C1731-E1731),"")</f>
        <v/>
      </c>
      <c r="G1731" s="30" t="n"/>
      <c r="H1731" s="27" t="n"/>
    </row>
    <row r="1732" ht="20" customHeight="1">
      <c r="A1732" s="26" t="n"/>
      <c r="B1732" s="35">
        <f>IFERROR(IF(A1732="","",VLOOKUP(A1732,DATABASE!$A:$B,2,0)),"")</f>
        <v/>
      </c>
      <c r="C1732" s="36">
        <f>IFERROR(IF(A1732="","",VLOOKUP(A1732,DATABASE!$A:$J,10,0)),"")</f>
        <v/>
      </c>
      <c r="D1732" s="37">
        <f>IF(A1732="","",TODAY())</f>
        <v/>
      </c>
      <c r="E1732" s="29" t="n"/>
      <c r="F1732" s="36">
        <f>IFERROR(IF(OR(A1732="",E1732=""),"",C1732-E1732),"")</f>
        <v/>
      </c>
      <c r="G1732" s="30" t="n"/>
      <c r="H1732" s="35" t="n"/>
    </row>
    <row r="1733" ht="20" customHeight="1">
      <c r="A1733" s="26" t="n"/>
      <c r="B1733" s="27">
        <f>IFERROR(IF(A1733="","",VLOOKUP(A1733,DATABASE!$A:$B,2,0)),"")</f>
        <v/>
      </c>
      <c r="C1733" s="20">
        <f>IFERROR(IF(A1733="","",VLOOKUP(A1733,DATABASE!$A:$J,10,0)),"")</f>
        <v/>
      </c>
      <c r="D1733" s="28">
        <f>IF(A1733="","",TODAY())</f>
        <v/>
      </c>
      <c r="E1733" s="29" t="n"/>
      <c r="F1733" s="20">
        <f>IFERROR(IF(OR(A1733="",E1733=""),"",C1733-E1733),"")</f>
        <v/>
      </c>
      <c r="G1733" s="30" t="n"/>
      <c r="H1733" s="27" t="n"/>
    </row>
    <row r="1734" ht="20" customHeight="1">
      <c r="A1734" s="26" t="n"/>
      <c r="B1734" s="35">
        <f>IFERROR(IF(A1734="","",VLOOKUP(A1734,DATABASE!$A:$B,2,0)),"")</f>
        <v/>
      </c>
      <c r="C1734" s="36">
        <f>IFERROR(IF(A1734="","",VLOOKUP(A1734,DATABASE!$A:$J,10,0)),"")</f>
        <v/>
      </c>
      <c r="D1734" s="37">
        <f>IF(A1734="","",TODAY())</f>
        <v/>
      </c>
      <c r="E1734" s="29" t="n"/>
      <c r="F1734" s="36">
        <f>IFERROR(IF(OR(A1734="",E1734=""),"",C1734-E1734),"")</f>
        <v/>
      </c>
      <c r="G1734" s="30" t="n"/>
      <c r="H1734" s="35" t="n"/>
    </row>
    <row r="1735" ht="20" customHeight="1">
      <c r="A1735" s="26" t="n"/>
      <c r="B1735" s="27">
        <f>IFERROR(IF(A1735="","",VLOOKUP(A1735,DATABASE!$A:$B,2,0)),"")</f>
        <v/>
      </c>
      <c r="C1735" s="20">
        <f>IFERROR(IF(A1735="","",VLOOKUP(A1735,DATABASE!$A:$J,10,0)),"")</f>
        <v/>
      </c>
      <c r="D1735" s="28">
        <f>IF(A1735="","",TODAY())</f>
        <v/>
      </c>
      <c r="E1735" s="29" t="n"/>
      <c r="F1735" s="20">
        <f>IFERROR(IF(OR(A1735="",E1735=""),"",C1735-E1735),"")</f>
        <v/>
      </c>
      <c r="G1735" s="30" t="n"/>
      <c r="H1735" s="27" t="n"/>
    </row>
    <row r="1736" ht="20" customHeight="1">
      <c r="A1736" s="26" t="n"/>
      <c r="B1736" s="35">
        <f>IFERROR(IF(A1736="","",VLOOKUP(A1736,DATABASE!$A:$B,2,0)),"")</f>
        <v/>
      </c>
      <c r="C1736" s="36">
        <f>IFERROR(IF(A1736="","",VLOOKUP(A1736,DATABASE!$A:$J,10,0)),"")</f>
        <v/>
      </c>
      <c r="D1736" s="37">
        <f>IF(A1736="","",TODAY())</f>
        <v/>
      </c>
      <c r="E1736" s="29" t="n"/>
      <c r="F1736" s="36">
        <f>IFERROR(IF(OR(A1736="",E1736=""),"",C1736-E1736),"")</f>
        <v/>
      </c>
      <c r="G1736" s="30" t="n"/>
      <c r="H1736" s="35" t="n"/>
    </row>
    <row r="1737" ht="20" customHeight="1">
      <c r="A1737" s="26" t="n"/>
      <c r="B1737" s="27">
        <f>IFERROR(IF(A1737="","",VLOOKUP(A1737,DATABASE!$A:$B,2,0)),"")</f>
        <v/>
      </c>
      <c r="C1737" s="20">
        <f>IFERROR(IF(A1737="","",VLOOKUP(A1737,DATABASE!$A:$J,10,0)),"")</f>
        <v/>
      </c>
      <c r="D1737" s="28">
        <f>IF(A1737="","",TODAY())</f>
        <v/>
      </c>
      <c r="E1737" s="29" t="n"/>
      <c r="F1737" s="20">
        <f>IFERROR(IF(OR(A1737="",E1737=""),"",C1737-E1737),"")</f>
        <v/>
      </c>
      <c r="G1737" s="30" t="n"/>
      <c r="H1737" s="27" t="n"/>
    </row>
    <row r="1738" ht="20" customHeight="1">
      <c r="A1738" s="26" t="n"/>
      <c r="B1738" s="35">
        <f>IFERROR(IF(A1738="","",VLOOKUP(A1738,DATABASE!$A:$B,2,0)),"")</f>
        <v/>
      </c>
      <c r="C1738" s="36">
        <f>IFERROR(IF(A1738="","",VLOOKUP(A1738,DATABASE!$A:$J,10,0)),"")</f>
        <v/>
      </c>
      <c r="D1738" s="37">
        <f>IF(A1738="","",TODAY())</f>
        <v/>
      </c>
      <c r="E1738" s="29" t="n"/>
      <c r="F1738" s="36">
        <f>IFERROR(IF(OR(A1738="",E1738=""),"",C1738-E1738),"")</f>
        <v/>
      </c>
      <c r="G1738" s="30" t="n"/>
      <c r="H1738" s="35" t="n"/>
    </row>
    <row r="1739" ht="20" customHeight="1">
      <c r="A1739" s="26" t="n"/>
      <c r="B1739" s="27">
        <f>IFERROR(IF(A1739="","",VLOOKUP(A1739,DATABASE!$A:$B,2,0)),"")</f>
        <v/>
      </c>
      <c r="C1739" s="20">
        <f>IFERROR(IF(A1739="","",VLOOKUP(A1739,DATABASE!$A:$J,10,0)),"")</f>
        <v/>
      </c>
      <c r="D1739" s="28">
        <f>IF(A1739="","",TODAY())</f>
        <v/>
      </c>
      <c r="E1739" s="29" t="n"/>
      <c r="F1739" s="20">
        <f>IFERROR(IF(OR(A1739="",E1739=""),"",C1739-E1739),"")</f>
        <v/>
      </c>
      <c r="G1739" s="30" t="n"/>
      <c r="H1739" s="27" t="n"/>
    </row>
    <row r="1740" ht="20" customHeight="1">
      <c r="A1740" s="26" t="n"/>
      <c r="B1740" s="35">
        <f>IFERROR(IF(A1740="","",VLOOKUP(A1740,DATABASE!$A:$B,2,0)),"")</f>
        <v/>
      </c>
      <c r="C1740" s="36">
        <f>IFERROR(IF(A1740="","",VLOOKUP(A1740,DATABASE!$A:$J,10,0)),"")</f>
        <v/>
      </c>
      <c r="D1740" s="37">
        <f>IF(A1740="","",TODAY())</f>
        <v/>
      </c>
      <c r="E1740" s="29" t="n"/>
      <c r="F1740" s="36">
        <f>IFERROR(IF(OR(A1740="",E1740=""),"",C1740-E1740),"")</f>
        <v/>
      </c>
      <c r="G1740" s="30" t="n"/>
      <c r="H1740" s="35" t="n"/>
    </row>
    <row r="1741" ht="20" customHeight="1">
      <c r="A1741" s="26" t="n"/>
      <c r="B1741" s="27">
        <f>IFERROR(IF(A1741="","",VLOOKUP(A1741,DATABASE!$A:$B,2,0)),"")</f>
        <v/>
      </c>
      <c r="C1741" s="20">
        <f>IFERROR(IF(A1741="","",VLOOKUP(A1741,DATABASE!$A:$J,10,0)),"")</f>
        <v/>
      </c>
      <c r="D1741" s="28">
        <f>IF(A1741="","",TODAY())</f>
        <v/>
      </c>
      <c r="E1741" s="29" t="n"/>
      <c r="F1741" s="20">
        <f>IFERROR(IF(OR(A1741="",E1741=""),"",C1741-E1741),"")</f>
        <v/>
      </c>
      <c r="G1741" s="30" t="n"/>
      <c r="H1741" s="27" t="n"/>
    </row>
    <row r="1742" ht="20" customHeight="1">
      <c r="A1742" s="26" t="n"/>
      <c r="B1742" s="35">
        <f>IFERROR(IF(A1742="","",VLOOKUP(A1742,DATABASE!$A:$B,2,0)),"")</f>
        <v/>
      </c>
      <c r="C1742" s="36">
        <f>IFERROR(IF(A1742="","",VLOOKUP(A1742,DATABASE!$A:$J,10,0)),"")</f>
        <v/>
      </c>
      <c r="D1742" s="37">
        <f>IF(A1742="","",TODAY())</f>
        <v/>
      </c>
      <c r="E1742" s="29" t="n"/>
      <c r="F1742" s="36">
        <f>IFERROR(IF(OR(A1742="",E1742=""),"",C1742-E1742),"")</f>
        <v/>
      </c>
      <c r="G1742" s="30" t="n"/>
      <c r="H1742" s="35" t="n"/>
    </row>
    <row r="1743" ht="20" customHeight="1">
      <c r="A1743" s="26" t="n"/>
      <c r="B1743" s="27">
        <f>IFERROR(IF(A1743="","",VLOOKUP(A1743,DATABASE!$A:$B,2,0)),"")</f>
        <v/>
      </c>
      <c r="C1743" s="20">
        <f>IFERROR(IF(A1743="","",VLOOKUP(A1743,DATABASE!$A:$J,10,0)),"")</f>
        <v/>
      </c>
      <c r="D1743" s="28">
        <f>IF(A1743="","",TODAY())</f>
        <v/>
      </c>
      <c r="E1743" s="29" t="n"/>
      <c r="F1743" s="20">
        <f>IFERROR(IF(OR(A1743="",E1743=""),"",C1743-E1743),"")</f>
        <v/>
      </c>
      <c r="G1743" s="30" t="n"/>
      <c r="H1743" s="27" t="n"/>
    </row>
    <row r="1744" ht="20" customHeight="1">
      <c r="A1744" s="26" t="n"/>
      <c r="B1744" s="35">
        <f>IFERROR(IF(A1744="","",VLOOKUP(A1744,DATABASE!$A:$B,2,0)),"")</f>
        <v/>
      </c>
      <c r="C1744" s="36">
        <f>IFERROR(IF(A1744="","",VLOOKUP(A1744,DATABASE!$A:$J,10,0)),"")</f>
        <v/>
      </c>
      <c r="D1744" s="37">
        <f>IF(A1744="","",TODAY())</f>
        <v/>
      </c>
      <c r="E1744" s="29" t="n"/>
      <c r="F1744" s="36">
        <f>IFERROR(IF(OR(A1744="",E1744=""),"",C1744-E1744),"")</f>
        <v/>
      </c>
      <c r="G1744" s="30" t="n"/>
      <c r="H1744" s="35" t="n"/>
    </row>
    <row r="1745" ht="20" customHeight="1">
      <c r="A1745" s="26" t="n"/>
      <c r="B1745" s="27">
        <f>IFERROR(IF(A1745="","",VLOOKUP(A1745,DATABASE!$A:$B,2,0)),"")</f>
        <v/>
      </c>
      <c r="C1745" s="20">
        <f>IFERROR(IF(A1745="","",VLOOKUP(A1745,DATABASE!$A:$J,10,0)),"")</f>
        <v/>
      </c>
      <c r="D1745" s="28">
        <f>IF(A1745="","",TODAY())</f>
        <v/>
      </c>
      <c r="E1745" s="29" t="n"/>
      <c r="F1745" s="20">
        <f>IFERROR(IF(OR(A1745="",E1745=""),"",C1745-E1745),"")</f>
        <v/>
      </c>
      <c r="G1745" s="30" t="n"/>
      <c r="H1745" s="27" t="n"/>
    </row>
    <row r="1746" ht="20" customHeight="1">
      <c r="A1746" s="26" t="n"/>
      <c r="B1746" s="35">
        <f>IFERROR(IF(A1746="","",VLOOKUP(A1746,DATABASE!$A:$B,2,0)),"")</f>
        <v/>
      </c>
      <c r="C1746" s="36">
        <f>IFERROR(IF(A1746="","",VLOOKUP(A1746,DATABASE!$A:$J,10,0)),"")</f>
        <v/>
      </c>
      <c r="D1746" s="37">
        <f>IF(A1746="","",TODAY())</f>
        <v/>
      </c>
      <c r="E1746" s="29" t="n"/>
      <c r="F1746" s="36">
        <f>IFERROR(IF(OR(A1746="",E1746=""),"",C1746-E1746),"")</f>
        <v/>
      </c>
      <c r="G1746" s="30" t="n"/>
      <c r="H1746" s="35" t="n"/>
    </row>
    <row r="1747" ht="20" customHeight="1">
      <c r="A1747" s="26" t="n"/>
      <c r="B1747" s="27">
        <f>IFERROR(IF(A1747="","",VLOOKUP(A1747,DATABASE!$A:$B,2,0)),"")</f>
        <v/>
      </c>
      <c r="C1747" s="20">
        <f>IFERROR(IF(A1747="","",VLOOKUP(A1747,DATABASE!$A:$J,10,0)),"")</f>
        <v/>
      </c>
      <c r="D1747" s="28">
        <f>IF(A1747="","",TODAY())</f>
        <v/>
      </c>
      <c r="E1747" s="29" t="n"/>
      <c r="F1747" s="20">
        <f>IFERROR(IF(OR(A1747="",E1747=""),"",C1747-E1747),"")</f>
        <v/>
      </c>
      <c r="G1747" s="30" t="n"/>
      <c r="H1747" s="27" t="n"/>
    </row>
    <row r="1748" ht="20" customHeight="1">
      <c r="A1748" s="26" t="n"/>
      <c r="B1748" s="35">
        <f>IFERROR(IF(A1748="","",VLOOKUP(A1748,DATABASE!$A:$B,2,0)),"")</f>
        <v/>
      </c>
      <c r="C1748" s="36">
        <f>IFERROR(IF(A1748="","",VLOOKUP(A1748,DATABASE!$A:$J,10,0)),"")</f>
        <v/>
      </c>
      <c r="D1748" s="37">
        <f>IF(A1748="","",TODAY())</f>
        <v/>
      </c>
      <c r="E1748" s="29" t="n"/>
      <c r="F1748" s="36">
        <f>IFERROR(IF(OR(A1748="",E1748=""),"",C1748-E1748),"")</f>
        <v/>
      </c>
      <c r="G1748" s="30" t="n"/>
      <c r="H1748" s="35" t="n"/>
    </row>
    <row r="1749" ht="20" customHeight="1">
      <c r="A1749" s="26" t="n"/>
      <c r="B1749" s="27">
        <f>IFERROR(IF(A1749="","",VLOOKUP(A1749,DATABASE!$A:$B,2,0)),"")</f>
        <v/>
      </c>
      <c r="C1749" s="20">
        <f>IFERROR(IF(A1749="","",VLOOKUP(A1749,DATABASE!$A:$J,10,0)),"")</f>
        <v/>
      </c>
      <c r="D1749" s="28">
        <f>IF(A1749="","",TODAY())</f>
        <v/>
      </c>
      <c r="E1749" s="29" t="n"/>
      <c r="F1749" s="20">
        <f>IFERROR(IF(OR(A1749="",E1749=""),"",C1749-E1749),"")</f>
        <v/>
      </c>
      <c r="G1749" s="30" t="n"/>
      <c r="H1749" s="27" t="n"/>
    </row>
    <row r="1750" ht="20" customHeight="1">
      <c r="A1750" s="26" t="n"/>
      <c r="B1750" s="35">
        <f>IFERROR(IF(A1750="","",VLOOKUP(A1750,DATABASE!$A:$B,2,0)),"")</f>
        <v/>
      </c>
      <c r="C1750" s="36">
        <f>IFERROR(IF(A1750="","",VLOOKUP(A1750,DATABASE!$A:$J,10,0)),"")</f>
        <v/>
      </c>
      <c r="D1750" s="37">
        <f>IF(A1750="","",TODAY())</f>
        <v/>
      </c>
      <c r="E1750" s="29" t="n"/>
      <c r="F1750" s="36">
        <f>IFERROR(IF(OR(A1750="",E1750=""),"",C1750-E1750),"")</f>
        <v/>
      </c>
      <c r="G1750" s="30" t="n"/>
      <c r="H1750" s="35" t="n"/>
    </row>
    <row r="1751" ht="20" customHeight="1">
      <c r="A1751" s="26" t="n"/>
      <c r="B1751" s="27">
        <f>IFERROR(IF(A1751="","",VLOOKUP(A1751,DATABASE!$A:$B,2,0)),"")</f>
        <v/>
      </c>
      <c r="C1751" s="20">
        <f>IFERROR(IF(A1751="","",VLOOKUP(A1751,DATABASE!$A:$J,10,0)),"")</f>
        <v/>
      </c>
      <c r="D1751" s="28">
        <f>IF(A1751="","",TODAY())</f>
        <v/>
      </c>
      <c r="E1751" s="29" t="n"/>
      <c r="F1751" s="20">
        <f>IFERROR(IF(OR(A1751="",E1751=""),"",C1751-E1751),"")</f>
        <v/>
      </c>
      <c r="G1751" s="30" t="n"/>
      <c r="H1751" s="27" t="n"/>
    </row>
    <row r="1752" ht="20" customHeight="1">
      <c r="A1752" s="26" t="n"/>
      <c r="B1752" s="35">
        <f>IFERROR(IF(A1752="","",VLOOKUP(A1752,DATABASE!$A:$B,2,0)),"")</f>
        <v/>
      </c>
      <c r="C1752" s="36">
        <f>IFERROR(IF(A1752="","",VLOOKUP(A1752,DATABASE!$A:$J,10,0)),"")</f>
        <v/>
      </c>
      <c r="D1752" s="37">
        <f>IF(A1752="","",TODAY())</f>
        <v/>
      </c>
      <c r="E1752" s="29" t="n"/>
      <c r="F1752" s="36">
        <f>IFERROR(IF(OR(A1752="",E1752=""),"",C1752-E1752),"")</f>
        <v/>
      </c>
      <c r="G1752" s="30" t="n"/>
      <c r="H1752" s="35" t="n"/>
    </row>
    <row r="1753" ht="20" customHeight="1">
      <c r="A1753" s="26" t="n"/>
      <c r="B1753" s="27">
        <f>IFERROR(IF(A1753="","",VLOOKUP(A1753,DATABASE!$A:$B,2,0)),"")</f>
        <v/>
      </c>
      <c r="C1753" s="20">
        <f>IFERROR(IF(A1753="","",VLOOKUP(A1753,DATABASE!$A:$J,10,0)),"")</f>
        <v/>
      </c>
      <c r="D1753" s="28">
        <f>IF(A1753="","",TODAY())</f>
        <v/>
      </c>
      <c r="E1753" s="29" t="n"/>
      <c r="F1753" s="20">
        <f>IFERROR(IF(OR(A1753="",E1753=""),"",C1753-E1753),"")</f>
        <v/>
      </c>
      <c r="G1753" s="30" t="n"/>
      <c r="H1753" s="27" t="n"/>
    </row>
    <row r="1754" ht="20" customHeight="1">
      <c r="A1754" s="26" t="n"/>
      <c r="B1754" s="35">
        <f>IFERROR(IF(A1754="","",VLOOKUP(A1754,DATABASE!$A:$B,2,0)),"")</f>
        <v/>
      </c>
      <c r="C1754" s="36">
        <f>IFERROR(IF(A1754="","",VLOOKUP(A1754,DATABASE!$A:$J,10,0)),"")</f>
        <v/>
      </c>
      <c r="D1754" s="37">
        <f>IF(A1754="","",TODAY())</f>
        <v/>
      </c>
      <c r="E1754" s="29" t="n"/>
      <c r="F1754" s="36">
        <f>IFERROR(IF(OR(A1754="",E1754=""),"",C1754-E1754),"")</f>
        <v/>
      </c>
      <c r="G1754" s="30" t="n"/>
      <c r="H1754" s="35" t="n"/>
    </row>
    <row r="1755" ht="20" customHeight="1">
      <c r="A1755" s="26" t="n"/>
      <c r="B1755" s="27">
        <f>IFERROR(IF(A1755="","",VLOOKUP(A1755,DATABASE!$A:$B,2,0)),"")</f>
        <v/>
      </c>
      <c r="C1755" s="20">
        <f>IFERROR(IF(A1755="","",VLOOKUP(A1755,DATABASE!$A:$J,10,0)),"")</f>
        <v/>
      </c>
      <c r="D1755" s="28">
        <f>IF(A1755="","",TODAY())</f>
        <v/>
      </c>
      <c r="E1755" s="29" t="n"/>
      <c r="F1755" s="20">
        <f>IFERROR(IF(OR(A1755="",E1755=""),"",C1755-E1755),"")</f>
        <v/>
      </c>
      <c r="G1755" s="30" t="n"/>
      <c r="H1755" s="27" t="n"/>
    </row>
    <row r="1756" ht="20" customHeight="1">
      <c r="A1756" s="26" t="n"/>
      <c r="B1756" s="35">
        <f>IFERROR(IF(A1756="","",VLOOKUP(A1756,DATABASE!$A:$B,2,0)),"")</f>
        <v/>
      </c>
      <c r="C1756" s="36">
        <f>IFERROR(IF(A1756="","",VLOOKUP(A1756,DATABASE!$A:$J,10,0)),"")</f>
        <v/>
      </c>
      <c r="D1756" s="37">
        <f>IF(A1756="","",TODAY())</f>
        <v/>
      </c>
      <c r="E1756" s="29" t="n"/>
      <c r="F1756" s="36">
        <f>IFERROR(IF(OR(A1756="",E1756=""),"",C1756-E1756),"")</f>
        <v/>
      </c>
      <c r="G1756" s="30" t="n"/>
      <c r="H1756" s="35" t="n"/>
    </row>
    <row r="1757" ht="20" customHeight="1">
      <c r="A1757" s="26" t="n"/>
      <c r="B1757" s="27">
        <f>IFERROR(IF(A1757="","",VLOOKUP(A1757,DATABASE!$A:$B,2,0)),"")</f>
        <v/>
      </c>
      <c r="C1757" s="20">
        <f>IFERROR(IF(A1757="","",VLOOKUP(A1757,DATABASE!$A:$J,10,0)),"")</f>
        <v/>
      </c>
      <c r="D1757" s="28">
        <f>IF(A1757="","",TODAY())</f>
        <v/>
      </c>
      <c r="E1757" s="29" t="n"/>
      <c r="F1757" s="20">
        <f>IFERROR(IF(OR(A1757="",E1757=""),"",C1757-E1757),"")</f>
        <v/>
      </c>
      <c r="G1757" s="30" t="n"/>
      <c r="H1757" s="27" t="n"/>
    </row>
    <row r="1758" ht="20" customHeight="1">
      <c r="A1758" s="26" t="n"/>
      <c r="B1758" s="35">
        <f>IFERROR(IF(A1758="","",VLOOKUP(A1758,DATABASE!$A:$B,2,0)),"")</f>
        <v/>
      </c>
      <c r="C1758" s="36">
        <f>IFERROR(IF(A1758="","",VLOOKUP(A1758,DATABASE!$A:$J,10,0)),"")</f>
        <v/>
      </c>
      <c r="D1758" s="37">
        <f>IF(A1758="","",TODAY())</f>
        <v/>
      </c>
      <c r="E1758" s="29" t="n"/>
      <c r="F1758" s="36">
        <f>IFERROR(IF(OR(A1758="",E1758=""),"",C1758-E1758),"")</f>
        <v/>
      </c>
      <c r="G1758" s="30" t="n"/>
      <c r="H1758" s="35" t="n"/>
    </row>
    <row r="1759" ht="20" customHeight="1">
      <c r="A1759" s="26" t="n"/>
      <c r="B1759" s="27">
        <f>IFERROR(IF(A1759="","",VLOOKUP(A1759,DATABASE!$A:$B,2,0)),"")</f>
        <v/>
      </c>
      <c r="C1759" s="20">
        <f>IFERROR(IF(A1759="","",VLOOKUP(A1759,DATABASE!$A:$J,10,0)),"")</f>
        <v/>
      </c>
      <c r="D1759" s="28">
        <f>IF(A1759="","",TODAY())</f>
        <v/>
      </c>
      <c r="E1759" s="29" t="n"/>
      <c r="F1759" s="20">
        <f>IFERROR(IF(OR(A1759="",E1759=""),"",C1759-E1759),"")</f>
        <v/>
      </c>
      <c r="G1759" s="30" t="n"/>
      <c r="H1759" s="27" t="n"/>
    </row>
    <row r="1760" ht="20" customHeight="1">
      <c r="A1760" s="26" t="n"/>
      <c r="B1760" s="35">
        <f>IFERROR(IF(A1760="","",VLOOKUP(A1760,DATABASE!$A:$B,2,0)),"")</f>
        <v/>
      </c>
      <c r="C1760" s="36">
        <f>IFERROR(IF(A1760="","",VLOOKUP(A1760,DATABASE!$A:$J,10,0)),"")</f>
        <v/>
      </c>
      <c r="D1760" s="37">
        <f>IF(A1760="","",TODAY())</f>
        <v/>
      </c>
      <c r="E1760" s="29" t="n"/>
      <c r="F1760" s="36">
        <f>IFERROR(IF(OR(A1760="",E1760=""),"",C1760-E1760),"")</f>
        <v/>
      </c>
      <c r="G1760" s="30" t="n"/>
      <c r="H1760" s="35" t="n"/>
    </row>
    <row r="1761" ht="20" customHeight="1">
      <c r="A1761" s="26" t="n"/>
      <c r="B1761" s="27">
        <f>IFERROR(IF(A1761="","",VLOOKUP(A1761,DATABASE!$A:$B,2,0)),"")</f>
        <v/>
      </c>
      <c r="C1761" s="20">
        <f>IFERROR(IF(A1761="","",VLOOKUP(A1761,DATABASE!$A:$J,10,0)),"")</f>
        <v/>
      </c>
      <c r="D1761" s="28">
        <f>IF(A1761="","",TODAY())</f>
        <v/>
      </c>
      <c r="E1761" s="29" t="n"/>
      <c r="F1761" s="20">
        <f>IFERROR(IF(OR(A1761="",E1761=""),"",C1761-E1761),"")</f>
        <v/>
      </c>
      <c r="G1761" s="30" t="n"/>
      <c r="H1761" s="27" t="n"/>
    </row>
    <row r="1762" ht="20" customHeight="1">
      <c r="A1762" s="26" t="n"/>
      <c r="B1762" s="35">
        <f>IFERROR(IF(A1762="","",VLOOKUP(A1762,DATABASE!$A:$B,2,0)),"")</f>
        <v/>
      </c>
      <c r="C1762" s="36">
        <f>IFERROR(IF(A1762="","",VLOOKUP(A1762,DATABASE!$A:$J,10,0)),"")</f>
        <v/>
      </c>
      <c r="D1762" s="37">
        <f>IF(A1762="","",TODAY())</f>
        <v/>
      </c>
      <c r="E1762" s="29" t="n"/>
      <c r="F1762" s="36">
        <f>IFERROR(IF(OR(A1762="",E1762=""),"",C1762-E1762),"")</f>
        <v/>
      </c>
      <c r="G1762" s="30" t="n"/>
      <c r="H1762" s="35" t="n"/>
    </row>
    <row r="1763" ht="20" customHeight="1">
      <c r="A1763" s="26" t="n"/>
      <c r="B1763" s="27">
        <f>IFERROR(IF(A1763="","",VLOOKUP(A1763,DATABASE!$A:$B,2,0)),"")</f>
        <v/>
      </c>
      <c r="C1763" s="20">
        <f>IFERROR(IF(A1763="","",VLOOKUP(A1763,DATABASE!$A:$J,10,0)),"")</f>
        <v/>
      </c>
      <c r="D1763" s="28">
        <f>IF(A1763="","",TODAY())</f>
        <v/>
      </c>
      <c r="E1763" s="29" t="n"/>
      <c r="F1763" s="20">
        <f>IFERROR(IF(OR(A1763="",E1763=""),"",C1763-E1763),"")</f>
        <v/>
      </c>
      <c r="G1763" s="30" t="n"/>
      <c r="H1763" s="27" t="n"/>
    </row>
    <row r="1764" ht="20" customHeight="1">
      <c r="A1764" s="26" t="n"/>
      <c r="B1764" s="35">
        <f>IFERROR(IF(A1764="","",VLOOKUP(A1764,DATABASE!$A:$B,2,0)),"")</f>
        <v/>
      </c>
      <c r="C1764" s="36">
        <f>IFERROR(IF(A1764="","",VLOOKUP(A1764,DATABASE!$A:$J,10,0)),"")</f>
        <v/>
      </c>
      <c r="D1764" s="37">
        <f>IF(A1764="","",TODAY())</f>
        <v/>
      </c>
      <c r="E1764" s="29" t="n"/>
      <c r="F1764" s="36">
        <f>IFERROR(IF(OR(A1764="",E1764=""),"",C1764-E1764),"")</f>
        <v/>
      </c>
      <c r="G1764" s="30" t="n"/>
      <c r="H1764" s="35" t="n"/>
    </row>
    <row r="1765" ht="20" customHeight="1">
      <c r="A1765" s="26" t="n"/>
      <c r="B1765" s="27">
        <f>IFERROR(IF(A1765="","",VLOOKUP(A1765,DATABASE!$A:$B,2,0)),"")</f>
        <v/>
      </c>
      <c r="C1765" s="20">
        <f>IFERROR(IF(A1765="","",VLOOKUP(A1765,DATABASE!$A:$J,10,0)),"")</f>
        <v/>
      </c>
      <c r="D1765" s="28">
        <f>IF(A1765="","",TODAY())</f>
        <v/>
      </c>
      <c r="E1765" s="29" t="n"/>
      <c r="F1765" s="20">
        <f>IFERROR(IF(OR(A1765="",E1765=""),"",C1765-E1765),"")</f>
        <v/>
      </c>
      <c r="G1765" s="30" t="n"/>
      <c r="H1765" s="27" t="n"/>
    </row>
    <row r="1766" ht="20" customHeight="1">
      <c r="A1766" s="26" t="n"/>
      <c r="B1766" s="35">
        <f>IFERROR(IF(A1766="","",VLOOKUP(A1766,DATABASE!$A:$B,2,0)),"")</f>
        <v/>
      </c>
      <c r="C1766" s="36">
        <f>IFERROR(IF(A1766="","",VLOOKUP(A1766,DATABASE!$A:$J,10,0)),"")</f>
        <v/>
      </c>
      <c r="D1766" s="37">
        <f>IF(A1766="","",TODAY())</f>
        <v/>
      </c>
      <c r="E1766" s="29" t="n"/>
      <c r="F1766" s="36">
        <f>IFERROR(IF(OR(A1766="",E1766=""),"",C1766-E1766),"")</f>
        <v/>
      </c>
      <c r="G1766" s="30" t="n"/>
      <c r="H1766" s="35" t="n"/>
    </row>
    <row r="1767" ht="20" customHeight="1">
      <c r="A1767" s="26" t="n"/>
      <c r="B1767" s="27">
        <f>IFERROR(IF(A1767="","",VLOOKUP(A1767,DATABASE!$A:$B,2,0)),"")</f>
        <v/>
      </c>
      <c r="C1767" s="20">
        <f>IFERROR(IF(A1767="","",VLOOKUP(A1767,DATABASE!$A:$J,10,0)),"")</f>
        <v/>
      </c>
      <c r="D1767" s="28">
        <f>IF(A1767="","",TODAY())</f>
        <v/>
      </c>
      <c r="E1767" s="29" t="n"/>
      <c r="F1767" s="20">
        <f>IFERROR(IF(OR(A1767="",E1767=""),"",C1767-E1767),"")</f>
        <v/>
      </c>
      <c r="G1767" s="30" t="n"/>
      <c r="H1767" s="27" t="n"/>
    </row>
    <row r="1768" ht="20" customHeight="1">
      <c r="A1768" s="26" t="n"/>
      <c r="B1768" s="35">
        <f>IFERROR(IF(A1768="","",VLOOKUP(A1768,DATABASE!$A:$B,2,0)),"")</f>
        <v/>
      </c>
      <c r="C1768" s="36">
        <f>IFERROR(IF(A1768="","",VLOOKUP(A1768,DATABASE!$A:$J,10,0)),"")</f>
        <v/>
      </c>
      <c r="D1768" s="37">
        <f>IF(A1768="","",TODAY())</f>
        <v/>
      </c>
      <c r="E1768" s="29" t="n"/>
      <c r="F1768" s="36">
        <f>IFERROR(IF(OR(A1768="",E1768=""),"",C1768-E1768),"")</f>
        <v/>
      </c>
      <c r="G1768" s="30" t="n"/>
      <c r="H1768" s="35" t="n"/>
    </row>
    <row r="1769" ht="20" customHeight="1">
      <c r="A1769" s="26" t="n"/>
      <c r="B1769" s="27">
        <f>IFERROR(IF(A1769="","",VLOOKUP(A1769,DATABASE!$A:$B,2,0)),"")</f>
        <v/>
      </c>
      <c r="C1769" s="20">
        <f>IFERROR(IF(A1769="","",VLOOKUP(A1769,DATABASE!$A:$J,10,0)),"")</f>
        <v/>
      </c>
      <c r="D1769" s="28">
        <f>IF(A1769="","",TODAY())</f>
        <v/>
      </c>
      <c r="E1769" s="29" t="n"/>
      <c r="F1769" s="20">
        <f>IFERROR(IF(OR(A1769="",E1769=""),"",C1769-E1769),"")</f>
        <v/>
      </c>
      <c r="G1769" s="30" t="n"/>
      <c r="H1769" s="27" t="n"/>
    </row>
    <row r="1770" ht="20" customHeight="1">
      <c r="A1770" s="26" t="n"/>
      <c r="B1770" s="35">
        <f>IFERROR(IF(A1770="","",VLOOKUP(A1770,DATABASE!$A:$B,2,0)),"")</f>
        <v/>
      </c>
      <c r="C1770" s="36">
        <f>IFERROR(IF(A1770="","",VLOOKUP(A1770,DATABASE!$A:$J,10,0)),"")</f>
        <v/>
      </c>
      <c r="D1770" s="37">
        <f>IF(A1770="","",TODAY())</f>
        <v/>
      </c>
      <c r="E1770" s="29" t="n"/>
      <c r="F1770" s="36">
        <f>IFERROR(IF(OR(A1770="",E1770=""),"",C1770-E1770),"")</f>
        <v/>
      </c>
      <c r="G1770" s="30" t="n"/>
      <c r="H1770" s="35" t="n"/>
    </row>
    <row r="1771" ht="20" customHeight="1">
      <c r="A1771" s="26" t="n"/>
      <c r="B1771" s="27">
        <f>IFERROR(IF(A1771="","",VLOOKUP(A1771,DATABASE!$A:$B,2,0)),"")</f>
        <v/>
      </c>
      <c r="C1771" s="20">
        <f>IFERROR(IF(A1771="","",VLOOKUP(A1771,DATABASE!$A:$J,10,0)),"")</f>
        <v/>
      </c>
      <c r="D1771" s="28">
        <f>IF(A1771="","",TODAY())</f>
        <v/>
      </c>
      <c r="E1771" s="29" t="n"/>
      <c r="F1771" s="20">
        <f>IFERROR(IF(OR(A1771="",E1771=""),"",C1771-E1771),"")</f>
        <v/>
      </c>
      <c r="G1771" s="30" t="n"/>
      <c r="H1771" s="27" t="n"/>
    </row>
    <row r="1772" ht="20" customHeight="1">
      <c r="A1772" s="26" t="n"/>
      <c r="B1772" s="35">
        <f>IFERROR(IF(A1772="","",VLOOKUP(A1772,DATABASE!$A:$B,2,0)),"")</f>
        <v/>
      </c>
      <c r="C1772" s="36">
        <f>IFERROR(IF(A1772="","",VLOOKUP(A1772,DATABASE!$A:$J,10,0)),"")</f>
        <v/>
      </c>
      <c r="D1772" s="37">
        <f>IF(A1772="","",TODAY())</f>
        <v/>
      </c>
      <c r="E1772" s="29" t="n"/>
      <c r="F1772" s="36">
        <f>IFERROR(IF(OR(A1772="",E1772=""),"",C1772-E1772),"")</f>
        <v/>
      </c>
      <c r="G1772" s="30" t="n"/>
      <c r="H1772" s="35" t="n"/>
    </row>
    <row r="1773" ht="20" customHeight="1">
      <c r="A1773" s="26" t="n"/>
      <c r="B1773" s="27">
        <f>IFERROR(IF(A1773="","",VLOOKUP(A1773,DATABASE!$A:$B,2,0)),"")</f>
        <v/>
      </c>
      <c r="C1773" s="20">
        <f>IFERROR(IF(A1773="","",VLOOKUP(A1773,DATABASE!$A:$J,10,0)),"")</f>
        <v/>
      </c>
      <c r="D1773" s="28">
        <f>IF(A1773="","",TODAY())</f>
        <v/>
      </c>
      <c r="E1773" s="29" t="n"/>
      <c r="F1773" s="20">
        <f>IFERROR(IF(OR(A1773="",E1773=""),"",C1773-E1773),"")</f>
        <v/>
      </c>
      <c r="G1773" s="30" t="n"/>
      <c r="H1773" s="27" t="n"/>
    </row>
    <row r="1774" ht="20" customHeight="1">
      <c r="A1774" s="26" t="n"/>
      <c r="B1774" s="35">
        <f>IFERROR(IF(A1774="","",VLOOKUP(A1774,DATABASE!$A:$B,2,0)),"")</f>
        <v/>
      </c>
      <c r="C1774" s="36">
        <f>IFERROR(IF(A1774="","",VLOOKUP(A1774,DATABASE!$A:$J,10,0)),"")</f>
        <v/>
      </c>
      <c r="D1774" s="37">
        <f>IF(A1774="","",TODAY())</f>
        <v/>
      </c>
      <c r="E1774" s="29" t="n"/>
      <c r="F1774" s="36">
        <f>IFERROR(IF(OR(A1774="",E1774=""),"",C1774-E1774),"")</f>
        <v/>
      </c>
      <c r="G1774" s="30" t="n"/>
      <c r="H1774" s="35" t="n"/>
    </row>
    <row r="1775" ht="20" customHeight="1">
      <c r="A1775" s="26" t="n"/>
      <c r="B1775" s="27">
        <f>IFERROR(IF(A1775="","",VLOOKUP(A1775,DATABASE!$A:$B,2,0)),"")</f>
        <v/>
      </c>
      <c r="C1775" s="20">
        <f>IFERROR(IF(A1775="","",VLOOKUP(A1775,DATABASE!$A:$J,10,0)),"")</f>
        <v/>
      </c>
      <c r="D1775" s="28">
        <f>IF(A1775="","",TODAY())</f>
        <v/>
      </c>
      <c r="E1775" s="29" t="n"/>
      <c r="F1775" s="20">
        <f>IFERROR(IF(OR(A1775="",E1775=""),"",C1775-E1775),"")</f>
        <v/>
      </c>
      <c r="G1775" s="30" t="n"/>
      <c r="H1775" s="27" t="n"/>
    </row>
    <row r="1776" ht="20" customHeight="1">
      <c r="A1776" s="26" t="n"/>
      <c r="B1776" s="35">
        <f>IFERROR(IF(A1776="","",VLOOKUP(A1776,DATABASE!$A:$B,2,0)),"")</f>
        <v/>
      </c>
      <c r="C1776" s="36">
        <f>IFERROR(IF(A1776="","",VLOOKUP(A1776,DATABASE!$A:$J,10,0)),"")</f>
        <v/>
      </c>
      <c r="D1776" s="37">
        <f>IF(A1776="","",TODAY())</f>
        <v/>
      </c>
      <c r="E1776" s="29" t="n"/>
      <c r="F1776" s="36">
        <f>IFERROR(IF(OR(A1776="",E1776=""),"",C1776-E1776),"")</f>
        <v/>
      </c>
      <c r="G1776" s="30" t="n"/>
      <c r="H1776" s="35" t="n"/>
    </row>
    <row r="1777" ht="20" customHeight="1">
      <c r="A1777" s="26" t="n"/>
      <c r="B1777" s="27">
        <f>IFERROR(IF(A1777="","",VLOOKUP(A1777,DATABASE!$A:$B,2,0)),"")</f>
        <v/>
      </c>
      <c r="C1777" s="20">
        <f>IFERROR(IF(A1777="","",VLOOKUP(A1777,DATABASE!$A:$J,10,0)),"")</f>
        <v/>
      </c>
      <c r="D1777" s="28">
        <f>IF(A1777="","",TODAY())</f>
        <v/>
      </c>
      <c r="E1777" s="29" t="n"/>
      <c r="F1777" s="20">
        <f>IFERROR(IF(OR(A1777="",E1777=""),"",C1777-E1777),"")</f>
        <v/>
      </c>
      <c r="G1777" s="30" t="n"/>
      <c r="H1777" s="27" t="n"/>
    </row>
    <row r="1778" ht="20" customHeight="1">
      <c r="A1778" s="26" t="n"/>
      <c r="B1778" s="35">
        <f>IFERROR(IF(A1778="","",VLOOKUP(A1778,DATABASE!$A:$B,2,0)),"")</f>
        <v/>
      </c>
      <c r="C1778" s="36">
        <f>IFERROR(IF(A1778="","",VLOOKUP(A1778,DATABASE!$A:$J,10,0)),"")</f>
        <v/>
      </c>
      <c r="D1778" s="37">
        <f>IF(A1778="","",TODAY())</f>
        <v/>
      </c>
      <c r="E1778" s="29" t="n"/>
      <c r="F1778" s="36">
        <f>IFERROR(IF(OR(A1778="",E1778=""),"",C1778-E1778),"")</f>
        <v/>
      </c>
      <c r="G1778" s="30" t="n"/>
      <c r="H1778" s="35" t="n"/>
    </row>
    <row r="1779" ht="20" customHeight="1">
      <c r="A1779" s="26" t="n"/>
      <c r="B1779" s="27">
        <f>IFERROR(IF(A1779="","",VLOOKUP(A1779,DATABASE!$A:$B,2,0)),"")</f>
        <v/>
      </c>
      <c r="C1779" s="20">
        <f>IFERROR(IF(A1779="","",VLOOKUP(A1779,DATABASE!$A:$J,10,0)),"")</f>
        <v/>
      </c>
      <c r="D1779" s="28">
        <f>IF(A1779="","",TODAY())</f>
        <v/>
      </c>
      <c r="E1779" s="29" t="n"/>
      <c r="F1779" s="20">
        <f>IFERROR(IF(OR(A1779="",E1779=""),"",C1779-E1779),"")</f>
        <v/>
      </c>
      <c r="G1779" s="30" t="n"/>
      <c r="H1779" s="27" t="n"/>
    </row>
    <row r="1780" ht="20" customHeight="1">
      <c r="A1780" s="26" t="n"/>
      <c r="B1780" s="35">
        <f>IFERROR(IF(A1780="","",VLOOKUP(A1780,DATABASE!$A:$B,2,0)),"")</f>
        <v/>
      </c>
      <c r="C1780" s="36">
        <f>IFERROR(IF(A1780="","",VLOOKUP(A1780,DATABASE!$A:$J,10,0)),"")</f>
        <v/>
      </c>
      <c r="D1780" s="37">
        <f>IF(A1780="","",TODAY())</f>
        <v/>
      </c>
      <c r="E1780" s="29" t="n"/>
      <c r="F1780" s="36">
        <f>IFERROR(IF(OR(A1780="",E1780=""),"",C1780-E1780),"")</f>
        <v/>
      </c>
      <c r="G1780" s="30" t="n"/>
      <c r="H1780" s="35" t="n"/>
    </row>
    <row r="1781" ht="20" customHeight="1">
      <c r="A1781" s="26" t="n"/>
      <c r="B1781" s="27">
        <f>IFERROR(IF(A1781="","",VLOOKUP(A1781,DATABASE!$A:$B,2,0)),"")</f>
        <v/>
      </c>
      <c r="C1781" s="20">
        <f>IFERROR(IF(A1781="","",VLOOKUP(A1781,DATABASE!$A:$J,10,0)),"")</f>
        <v/>
      </c>
      <c r="D1781" s="28">
        <f>IF(A1781="","",TODAY())</f>
        <v/>
      </c>
      <c r="E1781" s="29" t="n"/>
      <c r="F1781" s="20">
        <f>IFERROR(IF(OR(A1781="",E1781=""),"",C1781-E1781),"")</f>
        <v/>
      </c>
      <c r="G1781" s="30" t="n"/>
      <c r="H1781" s="27" t="n"/>
    </row>
    <row r="1782" ht="20" customHeight="1">
      <c r="A1782" s="26" t="n"/>
      <c r="B1782" s="35">
        <f>IFERROR(IF(A1782="","",VLOOKUP(A1782,DATABASE!$A:$B,2,0)),"")</f>
        <v/>
      </c>
      <c r="C1782" s="36">
        <f>IFERROR(IF(A1782="","",VLOOKUP(A1782,DATABASE!$A:$J,10,0)),"")</f>
        <v/>
      </c>
      <c r="D1782" s="37">
        <f>IF(A1782="","",TODAY())</f>
        <v/>
      </c>
      <c r="E1782" s="29" t="n"/>
      <c r="F1782" s="36">
        <f>IFERROR(IF(OR(A1782="",E1782=""),"",C1782-E1782),"")</f>
        <v/>
      </c>
      <c r="G1782" s="30" t="n"/>
      <c r="H1782" s="35" t="n"/>
    </row>
    <row r="1783" ht="20" customHeight="1">
      <c r="A1783" s="26" t="n"/>
      <c r="B1783" s="27">
        <f>IFERROR(IF(A1783="","",VLOOKUP(A1783,DATABASE!$A:$B,2,0)),"")</f>
        <v/>
      </c>
      <c r="C1783" s="20">
        <f>IFERROR(IF(A1783="","",VLOOKUP(A1783,DATABASE!$A:$J,10,0)),"")</f>
        <v/>
      </c>
      <c r="D1783" s="28">
        <f>IF(A1783="","",TODAY())</f>
        <v/>
      </c>
      <c r="E1783" s="29" t="n"/>
      <c r="F1783" s="20">
        <f>IFERROR(IF(OR(A1783="",E1783=""),"",C1783-E1783),"")</f>
        <v/>
      </c>
      <c r="G1783" s="30" t="n"/>
      <c r="H1783" s="27" t="n"/>
    </row>
    <row r="1784" ht="20" customHeight="1">
      <c r="A1784" s="26" t="n"/>
      <c r="B1784" s="35">
        <f>IFERROR(IF(A1784="","",VLOOKUP(A1784,DATABASE!$A:$B,2,0)),"")</f>
        <v/>
      </c>
      <c r="C1784" s="36">
        <f>IFERROR(IF(A1784="","",VLOOKUP(A1784,DATABASE!$A:$J,10,0)),"")</f>
        <v/>
      </c>
      <c r="D1784" s="37">
        <f>IF(A1784="","",TODAY())</f>
        <v/>
      </c>
      <c r="E1784" s="29" t="n"/>
      <c r="F1784" s="36">
        <f>IFERROR(IF(OR(A1784="",E1784=""),"",C1784-E1784),"")</f>
        <v/>
      </c>
      <c r="G1784" s="30" t="n"/>
      <c r="H1784" s="35" t="n"/>
    </row>
    <row r="1785" ht="20" customHeight="1">
      <c r="A1785" s="26" t="n"/>
      <c r="B1785" s="27">
        <f>IFERROR(IF(A1785="","",VLOOKUP(A1785,DATABASE!$A:$B,2,0)),"")</f>
        <v/>
      </c>
      <c r="C1785" s="20">
        <f>IFERROR(IF(A1785="","",VLOOKUP(A1785,DATABASE!$A:$J,10,0)),"")</f>
        <v/>
      </c>
      <c r="D1785" s="28">
        <f>IF(A1785="","",TODAY())</f>
        <v/>
      </c>
      <c r="E1785" s="29" t="n"/>
      <c r="F1785" s="20">
        <f>IFERROR(IF(OR(A1785="",E1785=""),"",C1785-E1785),"")</f>
        <v/>
      </c>
      <c r="G1785" s="30" t="n"/>
      <c r="H1785" s="27" t="n"/>
    </row>
    <row r="1786" ht="20" customHeight="1">
      <c r="A1786" s="26" t="n"/>
      <c r="B1786" s="35">
        <f>IFERROR(IF(A1786="","",VLOOKUP(A1786,DATABASE!$A:$B,2,0)),"")</f>
        <v/>
      </c>
      <c r="C1786" s="36">
        <f>IFERROR(IF(A1786="","",VLOOKUP(A1786,DATABASE!$A:$J,10,0)),"")</f>
        <v/>
      </c>
      <c r="D1786" s="37">
        <f>IF(A1786="","",TODAY())</f>
        <v/>
      </c>
      <c r="E1786" s="29" t="n"/>
      <c r="F1786" s="36">
        <f>IFERROR(IF(OR(A1786="",E1786=""),"",C1786-E1786),"")</f>
        <v/>
      </c>
      <c r="G1786" s="30" t="n"/>
      <c r="H1786" s="35" t="n"/>
    </row>
    <row r="1787" ht="20" customHeight="1">
      <c r="A1787" s="26" t="n"/>
      <c r="B1787" s="27">
        <f>IFERROR(IF(A1787="","",VLOOKUP(A1787,DATABASE!$A:$B,2,0)),"")</f>
        <v/>
      </c>
      <c r="C1787" s="20">
        <f>IFERROR(IF(A1787="","",VLOOKUP(A1787,DATABASE!$A:$J,10,0)),"")</f>
        <v/>
      </c>
      <c r="D1787" s="28">
        <f>IF(A1787="","",TODAY())</f>
        <v/>
      </c>
      <c r="E1787" s="29" t="n"/>
      <c r="F1787" s="20">
        <f>IFERROR(IF(OR(A1787="",E1787=""),"",C1787-E1787),"")</f>
        <v/>
      </c>
      <c r="G1787" s="30" t="n"/>
      <c r="H1787" s="27" t="n"/>
    </row>
    <row r="1788" ht="20" customHeight="1">
      <c r="A1788" s="26" t="n"/>
      <c r="B1788" s="35">
        <f>IFERROR(IF(A1788="","",VLOOKUP(A1788,DATABASE!$A:$B,2,0)),"")</f>
        <v/>
      </c>
      <c r="C1788" s="36">
        <f>IFERROR(IF(A1788="","",VLOOKUP(A1788,DATABASE!$A:$J,10,0)),"")</f>
        <v/>
      </c>
      <c r="D1788" s="37">
        <f>IF(A1788="","",TODAY())</f>
        <v/>
      </c>
      <c r="E1788" s="29" t="n"/>
      <c r="F1788" s="36">
        <f>IFERROR(IF(OR(A1788="",E1788=""),"",C1788-E1788),"")</f>
        <v/>
      </c>
      <c r="G1788" s="30" t="n"/>
      <c r="H1788" s="35" t="n"/>
    </row>
    <row r="1789" ht="20" customHeight="1">
      <c r="A1789" s="26" t="n"/>
      <c r="B1789" s="27">
        <f>IFERROR(IF(A1789="","",VLOOKUP(A1789,DATABASE!$A:$B,2,0)),"")</f>
        <v/>
      </c>
      <c r="C1789" s="20">
        <f>IFERROR(IF(A1789="","",VLOOKUP(A1789,DATABASE!$A:$J,10,0)),"")</f>
        <v/>
      </c>
      <c r="D1789" s="28">
        <f>IF(A1789="","",TODAY())</f>
        <v/>
      </c>
      <c r="E1789" s="29" t="n"/>
      <c r="F1789" s="20">
        <f>IFERROR(IF(OR(A1789="",E1789=""),"",C1789-E1789),"")</f>
        <v/>
      </c>
      <c r="G1789" s="30" t="n"/>
      <c r="H1789" s="27" t="n"/>
    </row>
    <row r="1790" ht="20" customHeight="1">
      <c r="A1790" s="26" t="n"/>
      <c r="B1790" s="35">
        <f>IFERROR(IF(A1790="","",VLOOKUP(A1790,DATABASE!$A:$B,2,0)),"")</f>
        <v/>
      </c>
      <c r="C1790" s="36">
        <f>IFERROR(IF(A1790="","",VLOOKUP(A1790,DATABASE!$A:$J,10,0)),"")</f>
        <v/>
      </c>
      <c r="D1790" s="37">
        <f>IF(A1790="","",TODAY())</f>
        <v/>
      </c>
      <c r="E1790" s="29" t="n"/>
      <c r="F1790" s="36">
        <f>IFERROR(IF(OR(A1790="",E1790=""),"",C1790-E1790),"")</f>
        <v/>
      </c>
      <c r="G1790" s="30" t="n"/>
      <c r="H1790" s="35" t="n"/>
    </row>
    <row r="1791" ht="20" customHeight="1">
      <c r="A1791" s="26" t="n"/>
      <c r="B1791" s="27">
        <f>IFERROR(IF(A1791="","",VLOOKUP(A1791,DATABASE!$A:$B,2,0)),"")</f>
        <v/>
      </c>
      <c r="C1791" s="20">
        <f>IFERROR(IF(A1791="","",VLOOKUP(A1791,DATABASE!$A:$J,10,0)),"")</f>
        <v/>
      </c>
      <c r="D1791" s="28">
        <f>IF(A1791="","",TODAY())</f>
        <v/>
      </c>
      <c r="E1791" s="29" t="n"/>
      <c r="F1791" s="20">
        <f>IFERROR(IF(OR(A1791="",E1791=""),"",C1791-E1791),"")</f>
        <v/>
      </c>
      <c r="G1791" s="30" t="n"/>
      <c r="H1791" s="27" t="n"/>
    </row>
    <row r="1792" ht="20" customHeight="1">
      <c r="A1792" s="26" t="n"/>
      <c r="B1792" s="35">
        <f>IFERROR(IF(A1792="","",VLOOKUP(A1792,DATABASE!$A:$B,2,0)),"")</f>
        <v/>
      </c>
      <c r="C1792" s="36">
        <f>IFERROR(IF(A1792="","",VLOOKUP(A1792,DATABASE!$A:$J,10,0)),"")</f>
        <v/>
      </c>
      <c r="D1792" s="37">
        <f>IF(A1792="","",TODAY())</f>
        <v/>
      </c>
      <c r="E1792" s="29" t="n"/>
      <c r="F1792" s="36">
        <f>IFERROR(IF(OR(A1792="",E1792=""),"",C1792-E1792),"")</f>
        <v/>
      </c>
      <c r="G1792" s="30" t="n"/>
      <c r="H1792" s="35" t="n"/>
    </row>
    <row r="1793" ht="20" customHeight="1">
      <c r="A1793" s="26" t="n"/>
      <c r="B1793" s="27">
        <f>IFERROR(IF(A1793="","",VLOOKUP(A1793,DATABASE!$A:$B,2,0)),"")</f>
        <v/>
      </c>
      <c r="C1793" s="20">
        <f>IFERROR(IF(A1793="","",VLOOKUP(A1793,DATABASE!$A:$J,10,0)),"")</f>
        <v/>
      </c>
      <c r="D1793" s="28">
        <f>IF(A1793="","",TODAY())</f>
        <v/>
      </c>
      <c r="E1793" s="29" t="n"/>
      <c r="F1793" s="20">
        <f>IFERROR(IF(OR(A1793="",E1793=""),"",C1793-E1793),"")</f>
        <v/>
      </c>
      <c r="G1793" s="30" t="n"/>
      <c r="H1793" s="27" t="n"/>
    </row>
    <row r="1794" ht="20" customHeight="1">
      <c r="A1794" s="26" t="n"/>
      <c r="B1794" s="35">
        <f>IFERROR(IF(A1794="","",VLOOKUP(A1794,DATABASE!$A:$B,2,0)),"")</f>
        <v/>
      </c>
      <c r="C1794" s="36">
        <f>IFERROR(IF(A1794="","",VLOOKUP(A1794,DATABASE!$A:$J,10,0)),"")</f>
        <v/>
      </c>
      <c r="D1794" s="37">
        <f>IF(A1794="","",TODAY())</f>
        <v/>
      </c>
      <c r="E1794" s="29" t="n"/>
      <c r="F1794" s="36">
        <f>IFERROR(IF(OR(A1794="",E1794=""),"",C1794-E1794),"")</f>
        <v/>
      </c>
      <c r="G1794" s="30" t="n"/>
      <c r="H1794" s="35" t="n"/>
    </row>
    <row r="1795" ht="20" customHeight="1">
      <c r="A1795" s="26" t="n"/>
      <c r="B1795" s="27">
        <f>IFERROR(IF(A1795="","",VLOOKUP(A1795,DATABASE!$A:$B,2,0)),"")</f>
        <v/>
      </c>
      <c r="C1795" s="20">
        <f>IFERROR(IF(A1795="","",VLOOKUP(A1795,DATABASE!$A:$J,10,0)),"")</f>
        <v/>
      </c>
      <c r="D1795" s="28">
        <f>IF(A1795="","",TODAY())</f>
        <v/>
      </c>
      <c r="E1795" s="29" t="n"/>
      <c r="F1795" s="20">
        <f>IFERROR(IF(OR(A1795="",E1795=""),"",C1795-E1795),"")</f>
        <v/>
      </c>
      <c r="G1795" s="30" t="n"/>
      <c r="H1795" s="27" t="n"/>
    </row>
    <row r="1796" ht="20" customHeight="1">
      <c r="A1796" s="26" t="n"/>
      <c r="B1796" s="35">
        <f>IFERROR(IF(A1796="","",VLOOKUP(A1796,DATABASE!$A:$B,2,0)),"")</f>
        <v/>
      </c>
      <c r="C1796" s="36">
        <f>IFERROR(IF(A1796="","",VLOOKUP(A1796,DATABASE!$A:$J,10,0)),"")</f>
        <v/>
      </c>
      <c r="D1796" s="37">
        <f>IF(A1796="","",TODAY())</f>
        <v/>
      </c>
      <c r="E1796" s="29" t="n"/>
      <c r="F1796" s="36">
        <f>IFERROR(IF(OR(A1796="",E1796=""),"",C1796-E1796),"")</f>
        <v/>
      </c>
      <c r="G1796" s="30" t="n"/>
      <c r="H1796" s="35" t="n"/>
    </row>
    <row r="1797" ht="20" customHeight="1">
      <c r="A1797" s="26" t="n"/>
      <c r="B1797" s="27">
        <f>IFERROR(IF(A1797="","",VLOOKUP(A1797,DATABASE!$A:$B,2,0)),"")</f>
        <v/>
      </c>
      <c r="C1797" s="20">
        <f>IFERROR(IF(A1797="","",VLOOKUP(A1797,DATABASE!$A:$J,10,0)),"")</f>
        <v/>
      </c>
      <c r="D1797" s="28">
        <f>IF(A1797="","",TODAY())</f>
        <v/>
      </c>
      <c r="E1797" s="29" t="n"/>
      <c r="F1797" s="20">
        <f>IFERROR(IF(OR(A1797="",E1797=""),"",C1797-E1797),"")</f>
        <v/>
      </c>
      <c r="G1797" s="30" t="n"/>
      <c r="H1797" s="27" t="n"/>
    </row>
    <row r="1798" ht="20" customHeight="1">
      <c r="A1798" s="26" t="n"/>
      <c r="B1798" s="35">
        <f>IFERROR(IF(A1798="","",VLOOKUP(A1798,DATABASE!$A:$B,2,0)),"")</f>
        <v/>
      </c>
      <c r="C1798" s="36">
        <f>IFERROR(IF(A1798="","",VLOOKUP(A1798,DATABASE!$A:$J,10,0)),"")</f>
        <v/>
      </c>
      <c r="D1798" s="37">
        <f>IF(A1798="","",TODAY())</f>
        <v/>
      </c>
      <c r="E1798" s="29" t="n"/>
      <c r="F1798" s="36">
        <f>IFERROR(IF(OR(A1798="",E1798=""),"",C1798-E1798),"")</f>
        <v/>
      </c>
      <c r="G1798" s="30" t="n"/>
      <c r="H1798" s="35" t="n"/>
    </row>
    <row r="1799" ht="20" customHeight="1">
      <c r="A1799" s="26" t="n"/>
      <c r="B1799" s="27">
        <f>IFERROR(IF(A1799="","",VLOOKUP(A1799,DATABASE!$A:$B,2,0)),"")</f>
        <v/>
      </c>
      <c r="C1799" s="20">
        <f>IFERROR(IF(A1799="","",VLOOKUP(A1799,DATABASE!$A:$J,10,0)),"")</f>
        <v/>
      </c>
      <c r="D1799" s="28">
        <f>IF(A1799="","",TODAY())</f>
        <v/>
      </c>
      <c r="E1799" s="29" t="n"/>
      <c r="F1799" s="20">
        <f>IFERROR(IF(OR(A1799="",E1799=""),"",C1799-E1799),"")</f>
        <v/>
      </c>
      <c r="G1799" s="30" t="n"/>
      <c r="H1799" s="27" t="n"/>
    </row>
    <row r="1800" ht="20" customHeight="1">
      <c r="A1800" s="26" t="n"/>
      <c r="B1800" s="35">
        <f>IFERROR(IF(A1800="","",VLOOKUP(A1800,DATABASE!$A:$B,2,0)),"")</f>
        <v/>
      </c>
      <c r="C1800" s="36">
        <f>IFERROR(IF(A1800="","",VLOOKUP(A1800,DATABASE!$A:$J,10,0)),"")</f>
        <v/>
      </c>
      <c r="D1800" s="37">
        <f>IF(A1800="","",TODAY())</f>
        <v/>
      </c>
      <c r="E1800" s="29" t="n"/>
      <c r="F1800" s="36">
        <f>IFERROR(IF(OR(A1800="",E1800=""),"",C1800-E1800),"")</f>
        <v/>
      </c>
      <c r="G1800" s="30" t="n"/>
      <c r="H1800" s="35" t="n"/>
    </row>
    <row r="1801" ht="20" customHeight="1">
      <c r="A1801" s="26" t="n"/>
      <c r="B1801" s="27">
        <f>IFERROR(IF(A1801="","",VLOOKUP(A1801,DATABASE!$A:$B,2,0)),"")</f>
        <v/>
      </c>
      <c r="C1801" s="20">
        <f>IFERROR(IF(A1801="","",VLOOKUP(A1801,DATABASE!$A:$J,10,0)),"")</f>
        <v/>
      </c>
      <c r="D1801" s="28">
        <f>IF(A1801="","",TODAY())</f>
        <v/>
      </c>
      <c r="E1801" s="29" t="n"/>
      <c r="F1801" s="20">
        <f>IFERROR(IF(OR(A1801="",E1801=""),"",C1801-E1801),"")</f>
        <v/>
      </c>
      <c r="G1801" s="30" t="n"/>
      <c r="H1801" s="27" t="n"/>
    </row>
    <row r="1802" ht="20" customHeight="1">
      <c r="A1802" s="26" t="n"/>
      <c r="B1802" s="35">
        <f>IFERROR(IF(A1802="","",VLOOKUP(A1802,DATABASE!$A:$B,2,0)),"")</f>
        <v/>
      </c>
      <c r="C1802" s="36">
        <f>IFERROR(IF(A1802="","",VLOOKUP(A1802,DATABASE!$A:$J,10,0)),"")</f>
        <v/>
      </c>
      <c r="D1802" s="37">
        <f>IF(A1802="","",TODAY())</f>
        <v/>
      </c>
      <c r="E1802" s="29" t="n"/>
      <c r="F1802" s="36">
        <f>IFERROR(IF(OR(A1802="",E1802=""),"",C1802-E1802),"")</f>
        <v/>
      </c>
      <c r="G1802" s="30" t="n"/>
      <c r="H1802" s="35" t="n"/>
    </row>
    <row r="1803" ht="20" customHeight="1">
      <c r="A1803" s="26" t="n"/>
      <c r="B1803" s="27">
        <f>IFERROR(IF(A1803="","",VLOOKUP(A1803,DATABASE!$A:$B,2,0)),"")</f>
        <v/>
      </c>
      <c r="C1803" s="20">
        <f>IFERROR(IF(A1803="","",VLOOKUP(A1803,DATABASE!$A:$J,10,0)),"")</f>
        <v/>
      </c>
      <c r="D1803" s="28">
        <f>IF(A1803="","",TODAY())</f>
        <v/>
      </c>
      <c r="E1803" s="29" t="n"/>
      <c r="F1803" s="20">
        <f>IFERROR(IF(OR(A1803="",E1803=""),"",C1803-E1803),"")</f>
        <v/>
      </c>
      <c r="G1803" s="30" t="n"/>
      <c r="H1803" s="27" t="n"/>
    </row>
    <row r="1804" ht="20" customHeight="1">
      <c r="A1804" s="26" t="n"/>
      <c r="B1804" s="35">
        <f>IFERROR(IF(A1804="","",VLOOKUP(A1804,DATABASE!$A:$B,2,0)),"")</f>
        <v/>
      </c>
      <c r="C1804" s="36">
        <f>IFERROR(IF(A1804="","",VLOOKUP(A1804,DATABASE!$A:$J,10,0)),"")</f>
        <v/>
      </c>
      <c r="D1804" s="37">
        <f>IF(A1804="","",TODAY())</f>
        <v/>
      </c>
      <c r="E1804" s="29" t="n"/>
      <c r="F1804" s="36">
        <f>IFERROR(IF(OR(A1804="",E1804=""),"",C1804-E1804),"")</f>
        <v/>
      </c>
      <c r="G1804" s="30" t="n"/>
      <c r="H1804" s="35" t="n"/>
    </row>
    <row r="1805" ht="20" customHeight="1">
      <c r="A1805" s="26" t="n"/>
      <c r="B1805" s="27">
        <f>IFERROR(IF(A1805="","",VLOOKUP(A1805,DATABASE!$A:$B,2,0)),"")</f>
        <v/>
      </c>
      <c r="C1805" s="20">
        <f>IFERROR(IF(A1805="","",VLOOKUP(A1805,DATABASE!$A:$J,10,0)),"")</f>
        <v/>
      </c>
      <c r="D1805" s="28">
        <f>IF(A1805="","",TODAY())</f>
        <v/>
      </c>
      <c r="E1805" s="29" t="n"/>
      <c r="F1805" s="20">
        <f>IFERROR(IF(OR(A1805="",E1805=""),"",C1805-E1805),"")</f>
        <v/>
      </c>
      <c r="G1805" s="30" t="n"/>
      <c r="H1805" s="27" t="n"/>
    </row>
    <row r="1806" ht="20" customHeight="1">
      <c r="A1806" s="26" t="n"/>
      <c r="B1806" s="35">
        <f>IFERROR(IF(A1806="","",VLOOKUP(A1806,DATABASE!$A:$B,2,0)),"")</f>
        <v/>
      </c>
      <c r="C1806" s="36">
        <f>IFERROR(IF(A1806="","",VLOOKUP(A1806,DATABASE!$A:$J,10,0)),"")</f>
        <v/>
      </c>
      <c r="D1806" s="37">
        <f>IF(A1806="","",TODAY())</f>
        <v/>
      </c>
      <c r="E1806" s="29" t="n"/>
      <c r="F1806" s="36">
        <f>IFERROR(IF(OR(A1806="",E1806=""),"",C1806-E1806),"")</f>
        <v/>
      </c>
      <c r="G1806" s="30" t="n"/>
      <c r="H1806" s="35" t="n"/>
    </row>
    <row r="1807" ht="20" customHeight="1">
      <c r="A1807" s="26" t="n"/>
      <c r="B1807" s="27">
        <f>IFERROR(IF(A1807="","",VLOOKUP(A1807,DATABASE!$A:$B,2,0)),"")</f>
        <v/>
      </c>
      <c r="C1807" s="20">
        <f>IFERROR(IF(A1807="","",VLOOKUP(A1807,DATABASE!$A:$J,10,0)),"")</f>
        <v/>
      </c>
      <c r="D1807" s="28">
        <f>IF(A1807="","",TODAY())</f>
        <v/>
      </c>
      <c r="E1807" s="29" t="n"/>
      <c r="F1807" s="20">
        <f>IFERROR(IF(OR(A1807="",E1807=""),"",C1807-E1807),"")</f>
        <v/>
      </c>
      <c r="G1807" s="30" t="n"/>
      <c r="H1807" s="27" t="n"/>
    </row>
    <row r="1808" ht="20" customHeight="1">
      <c r="A1808" s="26" t="n"/>
      <c r="B1808" s="35">
        <f>IFERROR(IF(A1808="","",VLOOKUP(A1808,DATABASE!$A:$B,2,0)),"")</f>
        <v/>
      </c>
      <c r="C1808" s="36">
        <f>IFERROR(IF(A1808="","",VLOOKUP(A1808,DATABASE!$A:$J,10,0)),"")</f>
        <v/>
      </c>
      <c r="D1808" s="37">
        <f>IF(A1808="","",TODAY())</f>
        <v/>
      </c>
      <c r="E1808" s="29" t="n"/>
      <c r="F1808" s="36">
        <f>IFERROR(IF(OR(A1808="",E1808=""),"",C1808-E1808),"")</f>
        <v/>
      </c>
      <c r="G1808" s="30" t="n"/>
      <c r="H1808" s="35" t="n"/>
    </row>
    <row r="1809" ht="20" customHeight="1">
      <c r="A1809" s="26" t="n"/>
      <c r="B1809" s="27">
        <f>IFERROR(IF(A1809="","",VLOOKUP(A1809,DATABASE!$A:$B,2,0)),"")</f>
        <v/>
      </c>
      <c r="C1809" s="20">
        <f>IFERROR(IF(A1809="","",VLOOKUP(A1809,DATABASE!$A:$J,10,0)),"")</f>
        <v/>
      </c>
      <c r="D1809" s="28">
        <f>IF(A1809="","",TODAY())</f>
        <v/>
      </c>
      <c r="E1809" s="29" t="n"/>
      <c r="F1809" s="20">
        <f>IFERROR(IF(OR(A1809="",E1809=""),"",C1809-E1809),"")</f>
        <v/>
      </c>
      <c r="G1809" s="30" t="n"/>
      <c r="H1809" s="27" t="n"/>
    </row>
    <row r="1810" ht="20" customHeight="1">
      <c r="A1810" s="26" t="n"/>
      <c r="B1810" s="35">
        <f>IFERROR(IF(A1810="","",VLOOKUP(A1810,DATABASE!$A:$B,2,0)),"")</f>
        <v/>
      </c>
      <c r="C1810" s="36">
        <f>IFERROR(IF(A1810="","",VLOOKUP(A1810,DATABASE!$A:$J,10,0)),"")</f>
        <v/>
      </c>
      <c r="D1810" s="37">
        <f>IF(A1810="","",TODAY())</f>
        <v/>
      </c>
      <c r="E1810" s="29" t="n"/>
      <c r="F1810" s="36">
        <f>IFERROR(IF(OR(A1810="",E1810=""),"",C1810-E1810),"")</f>
        <v/>
      </c>
      <c r="G1810" s="30" t="n"/>
      <c r="H1810" s="35" t="n"/>
    </row>
    <row r="1811" ht="20" customHeight="1">
      <c r="A1811" s="26" t="n"/>
      <c r="B1811" s="27">
        <f>IFERROR(IF(A1811="","",VLOOKUP(A1811,DATABASE!$A:$B,2,0)),"")</f>
        <v/>
      </c>
      <c r="C1811" s="20">
        <f>IFERROR(IF(A1811="","",VLOOKUP(A1811,DATABASE!$A:$J,10,0)),"")</f>
        <v/>
      </c>
      <c r="D1811" s="28">
        <f>IF(A1811="","",TODAY())</f>
        <v/>
      </c>
      <c r="E1811" s="29" t="n"/>
      <c r="F1811" s="20">
        <f>IFERROR(IF(OR(A1811="",E1811=""),"",C1811-E1811),"")</f>
        <v/>
      </c>
      <c r="G1811" s="30" t="n"/>
      <c r="H1811" s="27" t="n"/>
    </row>
    <row r="1812" ht="20" customHeight="1">
      <c r="A1812" s="26" t="n"/>
      <c r="B1812" s="35">
        <f>IFERROR(IF(A1812="","",VLOOKUP(A1812,DATABASE!$A:$B,2,0)),"")</f>
        <v/>
      </c>
      <c r="C1812" s="36">
        <f>IFERROR(IF(A1812="","",VLOOKUP(A1812,DATABASE!$A:$J,10,0)),"")</f>
        <v/>
      </c>
      <c r="D1812" s="37">
        <f>IF(A1812="","",TODAY())</f>
        <v/>
      </c>
      <c r="E1812" s="29" t="n"/>
      <c r="F1812" s="36">
        <f>IFERROR(IF(OR(A1812="",E1812=""),"",C1812-E1812),"")</f>
        <v/>
      </c>
      <c r="G1812" s="30" t="n"/>
      <c r="H1812" s="35" t="n"/>
    </row>
    <row r="1813" ht="20" customHeight="1">
      <c r="A1813" s="26" t="n"/>
      <c r="B1813" s="27">
        <f>IFERROR(IF(A1813="","",VLOOKUP(A1813,DATABASE!$A:$B,2,0)),"")</f>
        <v/>
      </c>
      <c r="C1813" s="20">
        <f>IFERROR(IF(A1813="","",VLOOKUP(A1813,DATABASE!$A:$J,10,0)),"")</f>
        <v/>
      </c>
      <c r="D1813" s="28">
        <f>IF(A1813="","",TODAY())</f>
        <v/>
      </c>
      <c r="E1813" s="29" t="n"/>
      <c r="F1813" s="20">
        <f>IFERROR(IF(OR(A1813="",E1813=""),"",C1813-E1813),"")</f>
        <v/>
      </c>
      <c r="G1813" s="30" t="n"/>
      <c r="H1813" s="27" t="n"/>
    </row>
    <row r="1814" ht="20" customHeight="1">
      <c r="A1814" s="26" t="n"/>
      <c r="B1814" s="35">
        <f>IFERROR(IF(A1814="","",VLOOKUP(A1814,DATABASE!$A:$B,2,0)),"")</f>
        <v/>
      </c>
      <c r="C1814" s="36">
        <f>IFERROR(IF(A1814="","",VLOOKUP(A1814,DATABASE!$A:$J,10,0)),"")</f>
        <v/>
      </c>
      <c r="D1814" s="37">
        <f>IF(A1814="","",TODAY())</f>
        <v/>
      </c>
      <c r="E1814" s="29" t="n"/>
      <c r="F1814" s="36">
        <f>IFERROR(IF(OR(A1814="",E1814=""),"",C1814-E1814),"")</f>
        <v/>
      </c>
      <c r="G1814" s="30" t="n"/>
      <c r="H1814" s="35" t="n"/>
    </row>
    <row r="1815" ht="20" customHeight="1">
      <c r="A1815" s="26" t="n"/>
      <c r="B1815" s="27">
        <f>IFERROR(IF(A1815="","",VLOOKUP(A1815,DATABASE!$A:$B,2,0)),"")</f>
        <v/>
      </c>
      <c r="C1815" s="20">
        <f>IFERROR(IF(A1815="","",VLOOKUP(A1815,DATABASE!$A:$J,10,0)),"")</f>
        <v/>
      </c>
      <c r="D1815" s="28">
        <f>IF(A1815="","",TODAY())</f>
        <v/>
      </c>
      <c r="E1815" s="29" t="n"/>
      <c r="F1815" s="20">
        <f>IFERROR(IF(OR(A1815="",E1815=""),"",C1815-E1815),"")</f>
        <v/>
      </c>
      <c r="G1815" s="30" t="n"/>
      <c r="H1815" s="27" t="n"/>
    </row>
    <row r="1816" ht="20" customHeight="1">
      <c r="A1816" s="26" t="n"/>
      <c r="B1816" s="35">
        <f>IFERROR(IF(A1816="","",VLOOKUP(A1816,DATABASE!$A:$B,2,0)),"")</f>
        <v/>
      </c>
      <c r="C1816" s="36">
        <f>IFERROR(IF(A1816="","",VLOOKUP(A1816,DATABASE!$A:$J,10,0)),"")</f>
        <v/>
      </c>
      <c r="D1816" s="37">
        <f>IF(A1816="","",TODAY())</f>
        <v/>
      </c>
      <c r="E1816" s="29" t="n"/>
      <c r="F1816" s="36">
        <f>IFERROR(IF(OR(A1816="",E1816=""),"",C1816-E1816),"")</f>
        <v/>
      </c>
      <c r="G1816" s="30" t="n"/>
      <c r="H1816" s="35" t="n"/>
    </row>
    <row r="1817" ht="20" customHeight="1">
      <c r="A1817" s="26" t="n"/>
      <c r="B1817" s="27">
        <f>IFERROR(IF(A1817="","",VLOOKUP(A1817,DATABASE!$A:$B,2,0)),"")</f>
        <v/>
      </c>
      <c r="C1817" s="20">
        <f>IFERROR(IF(A1817="","",VLOOKUP(A1817,DATABASE!$A:$J,10,0)),"")</f>
        <v/>
      </c>
      <c r="D1817" s="28">
        <f>IF(A1817="","",TODAY())</f>
        <v/>
      </c>
      <c r="E1817" s="29" t="n"/>
      <c r="F1817" s="20">
        <f>IFERROR(IF(OR(A1817="",E1817=""),"",C1817-E1817),"")</f>
        <v/>
      </c>
      <c r="G1817" s="30" t="n"/>
      <c r="H1817" s="27" t="n"/>
    </row>
    <row r="1818" ht="20" customHeight="1">
      <c r="A1818" s="26" t="n"/>
      <c r="B1818" s="35">
        <f>IFERROR(IF(A1818="","",VLOOKUP(A1818,DATABASE!$A:$B,2,0)),"")</f>
        <v/>
      </c>
      <c r="C1818" s="36">
        <f>IFERROR(IF(A1818="","",VLOOKUP(A1818,DATABASE!$A:$J,10,0)),"")</f>
        <v/>
      </c>
      <c r="D1818" s="37">
        <f>IF(A1818="","",TODAY())</f>
        <v/>
      </c>
      <c r="E1818" s="29" t="n"/>
      <c r="F1818" s="36">
        <f>IFERROR(IF(OR(A1818="",E1818=""),"",C1818-E1818),"")</f>
        <v/>
      </c>
      <c r="G1818" s="30" t="n"/>
      <c r="H1818" s="35" t="n"/>
    </row>
    <row r="1819" ht="20" customHeight="1">
      <c r="A1819" s="26" t="n"/>
      <c r="B1819" s="27">
        <f>IFERROR(IF(A1819="","",VLOOKUP(A1819,DATABASE!$A:$B,2,0)),"")</f>
        <v/>
      </c>
      <c r="C1819" s="20">
        <f>IFERROR(IF(A1819="","",VLOOKUP(A1819,DATABASE!$A:$J,10,0)),"")</f>
        <v/>
      </c>
      <c r="D1819" s="28">
        <f>IF(A1819="","",TODAY())</f>
        <v/>
      </c>
      <c r="E1819" s="29" t="n"/>
      <c r="F1819" s="20">
        <f>IFERROR(IF(OR(A1819="",E1819=""),"",C1819-E1819),"")</f>
        <v/>
      </c>
      <c r="G1819" s="30" t="n"/>
      <c r="H1819" s="27" t="n"/>
    </row>
    <row r="1820" ht="20" customHeight="1">
      <c r="A1820" s="26" t="n"/>
      <c r="B1820" s="35">
        <f>IFERROR(IF(A1820="","",VLOOKUP(A1820,DATABASE!$A:$B,2,0)),"")</f>
        <v/>
      </c>
      <c r="C1820" s="36">
        <f>IFERROR(IF(A1820="","",VLOOKUP(A1820,DATABASE!$A:$J,10,0)),"")</f>
        <v/>
      </c>
      <c r="D1820" s="37">
        <f>IF(A1820="","",TODAY())</f>
        <v/>
      </c>
      <c r="E1820" s="29" t="n"/>
      <c r="F1820" s="36">
        <f>IFERROR(IF(OR(A1820="",E1820=""),"",C1820-E1820),"")</f>
        <v/>
      </c>
      <c r="G1820" s="30" t="n"/>
      <c r="H1820" s="35" t="n"/>
    </row>
    <row r="1821" ht="20" customHeight="1">
      <c r="A1821" s="26" t="n"/>
      <c r="B1821" s="27">
        <f>IFERROR(IF(A1821="","",VLOOKUP(A1821,DATABASE!$A:$B,2,0)),"")</f>
        <v/>
      </c>
      <c r="C1821" s="20">
        <f>IFERROR(IF(A1821="","",VLOOKUP(A1821,DATABASE!$A:$J,10,0)),"")</f>
        <v/>
      </c>
      <c r="D1821" s="28">
        <f>IF(A1821="","",TODAY())</f>
        <v/>
      </c>
      <c r="E1821" s="29" t="n"/>
      <c r="F1821" s="20">
        <f>IFERROR(IF(OR(A1821="",E1821=""),"",C1821-E1821),"")</f>
        <v/>
      </c>
      <c r="G1821" s="30" t="n"/>
      <c r="H1821" s="27" t="n"/>
    </row>
    <row r="1822" ht="20" customHeight="1">
      <c r="A1822" s="26" t="n"/>
      <c r="B1822" s="35">
        <f>IFERROR(IF(A1822="","",VLOOKUP(A1822,DATABASE!$A:$B,2,0)),"")</f>
        <v/>
      </c>
      <c r="C1822" s="36">
        <f>IFERROR(IF(A1822="","",VLOOKUP(A1822,DATABASE!$A:$J,10,0)),"")</f>
        <v/>
      </c>
      <c r="D1822" s="37">
        <f>IF(A1822="","",TODAY())</f>
        <v/>
      </c>
      <c r="E1822" s="29" t="n"/>
      <c r="F1822" s="36">
        <f>IFERROR(IF(OR(A1822="",E1822=""),"",C1822-E1822),"")</f>
        <v/>
      </c>
      <c r="G1822" s="30" t="n"/>
      <c r="H1822" s="35" t="n"/>
    </row>
    <row r="1823" ht="20" customHeight="1">
      <c r="A1823" s="26" t="n"/>
      <c r="B1823" s="27">
        <f>IFERROR(IF(A1823="","",VLOOKUP(A1823,DATABASE!$A:$B,2,0)),"")</f>
        <v/>
      </c>
      <c r="C1823" s="20">
        <f>IFERROR(IF(A1823="","",VLOOKUP(A1823,DATABASE!$A:$J,10,0)),"")</f>
        <v/>
      </c>
      <c r="D1823" s="28">
        <f>IF(A1823="","",TODAY())</f>
        <v/>
      </c>
      <c r="E1823" s="29" t="n"/>
      <c r="F1823" s="20">
        <f>IFERROR(IF(OR(A1823="",E1823=""),"",C1823-E1823),"")</f>
        <v/>
      </c>
      <c r="G1823" s="30" t="n"/>
      <c r="H1823" s="27" t="n"/>
    </row>
    <row r="1824" ht="20" customHeight="1">
      <c r="A1824" s="26" t="n"/>
      <c r="B1824" s="35">
        <f>IFERROR(IF(A1824="","",VLOOKUP(A1824,DATABASE!$A:$B,2,0)),"")</f>
        <v/>
      </c>
      <c r="C1824" s="36">
        <f>IFERROR(IF(A1824="","",VLOOKUP(A1824,DATABASE!$A:$J,10,0)),"")</f>
        <v/>
      </c>
      <c r="D1824" s="37">
        <f>IF(A1824="","",TODAY())</f>
        <v/>
      </c>
      <c r="E1824" s="29" t="n"/>
      <c r="F1824" s="36">
        <f>IFERROR(IF(OR(A1824="",E1824=""),"",C1824-E1824),"")</f>
        <v/>
      </c>
      <c r="G1824" s="30" t="n"/>
      <c r="H1824" s="35" t="n"/>
    </row>
    <row r="1825" ht="20" customHeight="1">
      <c r="A1825" s="26" t="n"/>
      <c r="B1825" s="27">
        <f>IFERROR(IF(A1825="","",VLOOKUP(A1825,DATABASE!$A:$B,2,0)),"")</f>
        <v/>
      </c>
      <c r="C1825" s="20">
        <f>IFERROR(IF(A1825="","",VLOOKUP(A1825,DATABASE!$A:$J,10,0)),"")</f>
        <v/>
      </c>
      <c r="D1825" s="28">
        <f>IF(A1825="","",TODAY())</f>
        <v/>
      </c>
      <c r="E1825" s="29" t="n"/>
      <c r="F1825" s="20">
        <f>IFERROR(IF(OR(A1825="",E1825=""),"",C1825-E1825),"")</f>
        <v/>
      </c>
      <c r="G1825" s="30" t="n"/>
      <c r="H1825" s="27" t="n"/>
    </row>
    <row r="1826" ht="20" customHeight="1">
      <c r="A1826" s="26" t="n"/>
      <c r="B1826" s="35">
        <f>IFERROR(IF(A1826="","",VLOOKUP(A1826,DATABASE!$A:$B,2,0)),"")</f>
        <v/>
      </c>
      <c r="C1826" s="36">
        <f>IFERROR(IF(A1826="","",VLOOKUP(A1826,DATABASE!$A:$J,10,0)),"")</f>
        <v/>
      </c>
      <c r="D1826" s="37">
        <f>IF(A1826="","",TODAY())</f>
        <v/>
      </c>
      <c r="E1826" s="29" t="n"/>
      <c r="F1826" s="36">
        <f>IFERROR(IF(OR(A1826="",E1826=""),"",C1826-E1826),"")</f>
        <v/>
      </c>
      <c r="G1826" s="30" t="n"/>
      <c r="H1826" s="35" t="n"/>
    </row>
    <row r="1827" ht="20" customHeight="1">
      <c r="A1827" s="26" t="n"/>
      <c r="B1827" s="27">
        <f>IFERROR(IF(A1827="","",VLOOKUP(A1827,DATABASE!$A:$B,2,0)),"")</f>
        <v/>
      </c>
      <c r="C1827" s="20">
        <f>IFERROR(IF(A1827="","",VLOOKUP(A1827,DATABASE!$A:$J,10,0)),"")</f>
        <v/>
      </c>
      <c r="D1827" s="28">
        <f>IF(A1827="","",TODAY())</f>
        <v/>
      </c>
      <c r="E1827" s="29" t="n"/>
      <c r="F1827" s="20">
        <f>IFERROR(IF(OR(A1827="",E1827=""),"",C1827-E1827),"")</f>
        <v/>
      </c>
      <c r="G1827" s="30" t="n"/>
      <c r="H1827" s="27" t="n"/>
    </row>
    <row r="1828" ht="20" customHeight="1">
      <c r="A1828" s="26" t="n"/>
      <c r="B1828" s="35">
        <f>IFERROR(IF(A1828="","",VLOOKUP(A1828,DATABASE!$A:$B,2,0)),"")</f>
        <v/>
      </c>
      <c r="C1828" s="36">
        <f>IFERROR(IF(A1828="","",VLOOKUP(A1828,DATABASE!$A:$J,10,0)),"")</f>
        <v/>
      </c>
      <c r="D1828" s="37">
        <f>IF(A1828="","",TODAY())</f>
        <v/>
      </c>
      <c r="E1828" s="29" t="n"/>
      <c r="F1828" s="36">
        <f>IFERROR(IF(OR(A1828="",E1828=""),"",C1828-E1828),"")</f>
        <v/>
      </c>
      <c r="G1828" s="30" t="n"/>
      <c r="H1828" s="35" t="n"/>
    </row>
    <row r="1829" ht="20" customHeight="1">
      <c r="A1829" s="26" t="n"/>
      <c r="B1829" s="27">
        <f>IFERROR(IF(A1829="","",VLOOKUP(A1829,DATABASE!$A:$B,2,0)),"")</f>
        <v/>
      </c>
      <c r="C1829" s="20">
        <f>IFERROR(IF(A1829="","",VLOOKUP(A1829,DATABASE!$A:$J,10,0)),"")</f>
        <v/>
      </c>
      <c r="D1829" s="28">
        <f>IF(A1829="","",TODAY())</f>
        <v/>
      </c>
      <c r="E1829" s="29" t="n"/>
      <c r="F1829" s="20">
        <f>IFERROR(IF(OR(A1829="",E1829=""),"",C1829-E1829),"")</f>
        <v/>
      </c>
      <c r="G1829" s="30" t="n"/>
      <c r="H1829" s="27" t="n"/>
    </row>
    <row r="1830" ht="20" customHeight="1">
      <c r="A1830" s="26" t="n"/>
      <c r="B1830" s="35">
        <f>IFERROR(IF(A1830="","",VLOOKUP(A1830,DATABASE!$A:$B,2,0)),"")</f>
        <v/>
      </c>
      <c r="C1830" s="36">
        <f>IFERROR(IF(A1830="","",VLOOKUP(A1830,DATABASE!$A:$J,10,0)),"")</f>
        <v/>
      </c>
      <c r="D1830" s="37">
        <f>IF(A1830="","",TODAY())</f>
        <v/>
      </c>
      <c r="E1830" s="29" t="n"/>
      <c r="F1830" s="36">
        <f>IFERROR(IF(OR(A1830="",E1830=""),"",C1830-E1830),"")</f>
        <v/>
      </c>
      <c r="G1830" s="30" t="n"/>
      <c r="H1830" s="35" t="n"/>
    </row>
    <row r="1831" ht="20" customHeight="1">
      <c r="A1831" s="26" t="n"/>
      <c r="B1831" s="27">
        <f>IFERROR(IF(A1831="","",VLOOKUP(A1831,DATABASE!$A:$B,2,0)),"")</f>
        <v/>
      </c>
      <c r="C1831" s="20">
        <f>IFERROR(IF(A1831="","",VLOOKUP(A1831,DATABASE!$A:$J,10,0)),"")</f>
        <v/>
      </c>
      <c r="D1831" s="28">
        <f>IF(A1831="","",TODAY())</f>
        <v/>
      </c>
      <c r="E1831" s="29" t="n"/>
      <c r="F1831" s="20">
        <f>IFERROR(IF(OR(A1831="",E1831=""),"",C1831-E1831),"")</f>
        <v/>
      </c>
      <c r="G1831" s="30" t="n"/>
      <c r="H1831" s="27" t="n"/>
    </row>
    <row r="1832" ht="20" customHeight="1">
      <c r="A1832" s="26" t="n"/>
      <c r="B1832" s="35">
        <f>IFERROR(IF(A1832="","",VLOOKUP(A1832,DATABASE!$A:$B,2,0)),"")</f>
        <v/>
      </c>
      <c r="C1832" s="36">
        <f>IFERROR(IF(A1832="","",VLOOKUP(A1832,DATABASE!$A:$J,10,0)),"")</f>
        <v/>
      </c>
      <c r="D1832" s="37">
        <f>IF(A1832="","",TODAY())</f>
        <v/>
      </c>
      <c r="E1832" s="29" t="n"/>
      <c r="F1832" s="36">
        <f>IFERROR(IF(OR(A1832="",E1832=""),"",C1832-E1832),"")</f>
        <v/>
      </c>
      <c r="G1832" s="30" t="n"/>
      <c r="H1832" s="35" t="n"/>
    </row>
    <row r="1833" ht="20" customHeight="1">
      <c r="A1833" s="26" t="n"/>
      <c r="B1833" s="27">
        <f>IFERROR(IF(A1833="","",VLOOKUP(A1833,DATABASE!$A:$B,2,0)),"")</f>
        <v/>
      </c>
      <c r="C1833" s="20">
        <f>IFERROR(IF(A1833="","",VLOOKUP(A1833,DATABASE!$A:$J,10,0)),"")</f>
        <v/>
      </c>
      <c r="D1833" s="28">
        <f>IF(A1833="","",TODAY())</f>
        <v/>
      </c>
      <c r="E1833" s="29" t="n"/>
      <c r="F1833" s="20">
        <f>IFERROR(IF(OR(A1833="",E1833=""),"",C1833-E1833),"")</f>
        <v/>
      </c>
      <c r="G1833" s="30" t="n"/>
      <c r="H1833" s="27" t="n"/>
    </row>
    <row r="1834" ht="20" customHeight="1">
      <c r="A1834" s="26" t="n"/>
      <c r="B1834" s="35">
        <f>IFERROR(IF(A1834="","",VLOOKUP(A1834,DATABASE!$A:$B,2,0)),"")</f>
        <v/>
      </c>
      <c r="C1834" s="36">
        <f>IFERROR(IF(A1834="","",VLOOKUP(A1834,DATABASE!$A:$J,10,0)),"")</f>
        <v/>
      </c>
      <c r="D1834" s="37">
        <f>IF(A1834="","",TODAY())</f>
        <v/>
      </c>
      <c r="E1834" s="29" t="n"/>
      <c r="F1834" s="36">
        <f>IFERROR(IF(OR(A1834="",E1834=""),"",C1834-E1834),"")</f>
        <v/>
      </c>
      <c r="G1834" s="30" t="n"/>
      <c r="H1834" s="35" t="n"/>
    </row>
    <row r="1835" ht="20" customHeight="1">
      <c r="A1835" s="26" t="n"/>
      <c r="B1835" s="27">
        <f>IFERROR(IF(A1835="","",VLOOKUP(A1835,DATABASE!$A:$B,2,0)),"")</f>
        <v/>
      </c>
      <c r="C1835" s="20">
        <f>IFERROR(IF(A1835="","",VLOOKUP(A1835,DATABASE!$A:$J,10,0)),"")</f>
        <v/>
      </c>
      <c r="D1835" s="28">
        <f>IF(A1835="","",TODAY())</f>
        <v/>
      </c>
      <c r="E1835" s="29" t="n"/>
      <c r="F1835" s="20">
        <f>IFERROR(IF(OR(A1835="",E1835=""),"",C1835-E1835),"")</f>
        <v/>
      </c>
      <c r="G1835" s="30" t="n"/>
      <c r="H1835" s="27" t="n"/>
    </row>
    <row r="1836" ht="20" customHeight="1">
      <c r="A1836" s="26" t="n"/>
      <c r="B1836" s="35">
        <f>IFERROR(IF(A1836="","",VLOOKUP(A1836,DATABASE!$A:$B,2,0)),"")</f>
        <v/>
      </c>
      <c r="C1836" s="36">
        <f>IFERROR(IF(A1836="","",VLOOKUP(A1836,DATABASE!$A:$J,10,0)),"")</f>
        <v/>
      </c>
      <c r="D1836" s="37">
        <f>IF(A1836="","",TODAY())</f>
        <v/>
      </c>
      <c r="E1836" s="29" t="n"/>
      <c r="F1836" s="36">
        <f>IFERROR(IF(OR(A1836="",E1836=""),"",C1836-E1836),"")</f>
        <v/>
      </c>
      <c r="G1836" s="30" t="n"/>
      <c r="H1836" s="35" t="n"/>
    </row>
    <row r="1837" ht="20" customHeight="1">
      <c r="A1837" s="26" t="n"/>
      <c r="B1837" s="27">
        <f>IFERROR(IF(A1837="","",VLOOKUP(A1837,DATABASE!$A:$B,2,0)),"")</f>
        <v/>
      </c>
      <c r="C1837" s="20">
        <f>IFERROR(IF(A1837="","",VLOOKUP(A1837,DATABASE!$A:$J,10,0)),"")</f>
        <v/>
      </c>
      <c r="D1837" s="28">
        <f>IF(A1837="","",TODAY())</f>
        <v/>
      </c>
      <c r="E1837" s="29" t="n"/>
      <c r="F1837" s="20">
        <f>IFERROR(IF(OR(A1837="",E1837=""),"",C1837-E1837),"")</f>
        <v/>
      </c>
      <c r="G1837" s="30" t="n"/>
      <c r="H1837" s="27" t="n"/>
    </row>
    <row r="1838" ht="20" customHeight="1">
      <c r="A1838" s="26" t="n"/>
      <c r="B1838" s="35">
        <f>IFERROR(IF(A1838="","",VLOOKUP(A1838,DATABASE!$A:$B,2,0)),"")</f>
        <v/>
      </c>
      <c r="C1838" s="36">
        <f>IFERROR(IF(A1838="","",VLOOKUP(A1838,DATABASE!$A:$J,10,0)),"")</f>
        <v/>
      </c>
      <c r="D1838" s="37">
        <f>IF(A1838="","",TODAY())</f>
        <v/>
      </c>
      <c r="E1838" s="29" t="n"/>
      <c r="F1838" s="36">
        <f>IFERROR(IF(OR(A1838="",E1838=""),"",C1838-E1838),"")</f>
        <v/>
      </c>
      <c r="G1838" s="30" t="n"/>
      <c r="H1838" s="35" t="n"/>
    </row>
    <row r="1839" ht="20" customHeight="1">
      <c r="A1839" s="26" t="n"/>
      <c r="B1839" s="27">
        <f>IFERROR(IF(A1839="","",VLOOKUP(A1839,DATABASE!$A:$B,2,0)),"")</f>
        <v/>
      </c>
      <c r="C1839" s="20">
        <f>IFERROR(IF(A1839="","",VLOOKUP(A1839,DATABASE!$A:$J,10,0)),"")</f>
        <v/>
      </c>
      <c r="D1839" s="28">
        <f>IF(A1839="","",TODAY())</f>
        <v/>
      </c>
      <c r="E1839" s="29" t="n"/>
      <c r="F1839" s="20">
        <f>IFERROR(IF(OR(A1839="",E1839=""),"",C1839-E1839),"")</f>
        <v/>
      </c>
      <c r="G1839" s="30" t="n"/>
      <c r="H1839" s="27" t="n"/>
    </row>
    <row r="1840" ht="20" customHeight="1">
      <c r="A1840" s="26" t="n"/>
      <c r="B1840" s="35">
        <f>IFERROR(IF(A1840="","",VLOOKUP(A1840,DATABASE!$A:$B,2,0)),"")</f>
        <v/>
      </c>
      <c r="C1840" s="36">
        <f>IFERROR(IF(A1840="","",VLOOKUP(A1840,DATABASE!$A:$J,10,0)),"")</f>
        <v/>
      </c>
      <c r="D1840" s="37">
        <f>IF(A1840="","",TODAY())</f>
        <v/>
      </c>
      <c r="E1840" s="29" t="n"/>
      <c r="F1840" s="36">
        <f>IFERROR(IF(OR(A1840="",E1840=""),"",C1840-E1840),"")</f>
        <v/>
      </c>
      <c r="G1840" s="30" t="n"/>
      <c r="H1840" s="35" t="n"/>
    </row>
    <row r="1841" ht="20" customHeight="1">
      <c r="A1841" s="26" t="n"/>
      <c r="B1841" s="27">
        <f>IFERROR(IF(A1841="","",VLOOKUP(A1841,DATABASE!$A:$B,2,0)),"")</f>
        <v/>
      </c>
      <c r="C1841" s="20">
        <f>IFERROR(IF(A1841="","",VLOOKUP(A1841,DATABASE!$A:$J,10,0)),"")</f>
        <v/>
      </c>
      <c r="D1841" s="28">
        <f>IF(A1841="","",TODAY())</f>
        <v/>
      </c>
      <c r="E1841" s="29" t="n"/>
      <c r="F1841" s="20">
        <f>IFERROR(IF(OR(A1841="",E1841=""),"",C1841-E1841),"")</f>
        <v/>
      </c>
      <c r="G1841" s="30" t="n"/>
      <c r="H1841" s="27" t="n"/>
    </row>
    <row r="1842" ht="20" customHeight="1">
      <c r="A1842" s="26" t="n"/>
      <c r="B1842" s="35">
        <f>IFERROR(IF(A1842="","",VLOOKUP(A1842,DATABASE!$A:$B,2,0)),"")</f>
        <v/>
      </c>
      <c r="C1842" s="36">
        <f>IFERROR(IF(A1842="","",VLOOKUP(A1842,DATABASE!$A:$J,10,0)),"")</f>
        <v/>
      </c>
      <c r="D1842" s="37">
        <f>IF(A1842="","",TODAY())</f>
        <v/>
      </c>
      <c r="E1842" s="29" t="n"/>
      <c r="F1842" s="36">
        <f>IFERROR(IF(OR(A1842="",E1842=""),"",C1842-E1842),"")</f>
        <v/>
      </c>
      <c r="G1842" s="30" t="n"/>
      <c r="H1842" s="35" t="n"/>
    </row>
    <row r="1843" ht="20" customHeight="1">
      <c r="A1843" s="26" t="n"/>
      <c r="B1843" s="27">
        <f>IFERROR(IF(A1843="","",VLOOKUP(A1843,DATABASE!$A:$B,2,0)),"")</f>
        <v/>
      </c>
      <c r="C1843" s="20">
        <f>IFERROR(IF(A1843="","",VLOOKUP(A1843,DATABASE!$A:$J,10,0)),"")</f>
        <v/>
      </c>
      <c r="D1843" s="28">
        <f>IF(A1843="","",TODAY())</f>
        <v/>
      </c>
      <c r="E1843" s="29" t="n"/>
      <c r="F1843" s="20">
        <f>IFERROR(IF(OR(A1843="",E1843=""),"",C1843-E1843),"")</f>
        <v/>
      </c>
      <c r="G1843" s="30" t="n"/>
      <c r="H1843" s="27" t="n"/>
    </row>
    <row r="1844" ht="20" customHeight="1">
      <c r="A1844" s="26" t="n"/>
      <c r="B1844" s="35">
        <f>IFERROR(IF(A1844="","",VLOOKUP(A1844,DATABASE!$A:$B,2,0)),"")</f>
        <v/>
      </c>
      <c r="C1844" s="36">
        <f>IFERROR(IF(A1844="","",VLOOKUP(A1844,DATABASE!$A:$J,10,0)),"")</f>
        <v/>
      </c>
      <c r="D1844" s="37">
        <f>IF(A1844="","",TODAY())</f>
        <v/>
      </c>
      <c r="E1844" s="29" t="n"/>
      <c r="F1844" s="36">
        <f>IFERROR(IF(OR(A1844="",E1844=""),"",C1844-E1844),"")</f>
        <v/>
      </c>
      <c r="G1844" s="30" t="n"/>
      <c r="H1844" s="35" t="n"/>
    </row>
    <row r="1845" ht="20" customHeight="1">
      <c r="A1845" s="26" t="n"/>
      <c r="B1845" s="27">
        <f>IFERROR(IF(A1845="","",VLOOKUP(A1845,DATABASE!$A:$B,2,0)),"")</f>
        <v/>
      </c>
      <c r="C1845" s="20">
        <f>IFERROR(IF(A1845="","",VLOOKUP(A1845,DATABASE!$A:$J,10,0)),"")</f>
        <v/>
      </c>
      <c r="D1845" s="28">
        <f>IF(A1845="","",TODAY())</f>
        <v/>
      </c>
      <c r="E1845" s="29" t="n"/>
      <c r="F1845" s="20">
        <f>IFERROR(IF(OR(A1845="",E1845=""),"",C1845-E1845),"")</f>
        <v/>
      </c>
      <c r="G1845" s="30" t="n"/>
      <c r="H1845" s="27" t="n"/>
    </row>
    <row r="1846" ht="20" customHeight="1">
      <c r="A1846" s="26" t="n"/>
      <c r="B1846" s="35">
        <f>IFERROR(IF(A1846="","",VLOOKUP(A1846,DATABASE!$A:$B,2,0)),"")</f>
        <v/>
      </c>
      <c r="C1846" s="36">
        <f>IFERROR(IF(A1846="","",VLOOKUP(A1846,DATABASE!$A:$J,10,0)),"")</f>
        <v/>
      </c>
      <c r="D1846" s="37">
        <f>IF(A1846="","",TODAY())</f>
        <v/>
      </c>
      <c r="E1846" s="29" t="n"/>
      <c r="F1846" s="36">
        <f>IFERROR(IF(OR(A1846="",E1846=""),"",C1846-E1846),"")</f>
        <v/>
      </c>
      <c r="G1846" s="30" t="n"/>
      <c r="H1846" s="35" t="n"/>
    </row>
    <row r="1847" ht="20" customHeight="1">
      <c r="A1847" s="26" t="n"/>
      <c r="B1847" s="27">
        <f>IFERROR(IF(A1847="","",VLOOKUP(A1847,DATABASE!$A:$B,2,0)),"")</f>
        <v/>
      </c>
      <c r="C1847" s="20">
        <f>IFERROR(IF(A1847="","",VLOOKUP(A1847,DATABASE!$A:$J,10,0)),"")</f>
        <v/>
      </c>
      <c r="D1847" s="28">
        <f>IF(A1847="","",TODAY())</f>
        <v/>
      </c>
      <c r="E1847" s="29" t="n"/>
      <c r="F1847" s="20">
        <f>IFERROR(IF(OR(A1847="",E1847=""),"",C1847-E1847),"")</f>
        <v/>
      </c>
      <c r="G1847" s="30" t="n"/>
      <c r="H1847" s="27" t="n"/>
    </row>
    <row r="1848" ht="20" customHeight="1">
      <c r="A1848" s="26" t="n"/>
      <c r="B1848" s="35">
        <f>IFERROR(IF(A1848="","",VLOOKUP(A1848,DATABASE!$A:$B,2,0)),"")</f>
        <v/>
      </c>
      <c r="C1848" s="36">
        <f>IFERROR(IF(A1848="","",VLOOKUP(A1848,DATABASE!$A:$J,10,0)),"")</f>
        <v/>
      </c>
      <c r="D1848" s="37">
        <f>IF(A1848="","",TODAY())</f>
        <v/>
      </c>
      <c r="E1848" s="29" t="n"/>
      <c r="F1848" s="36">
        <f>IFERROR(IF(OR(A1848="",E1848=""),"",C1848-E1848),"")</f>
        <v/>
      </c>
      <c r="G1848" s="30" t="n"/>
      <c r="H1848" s="35" t="n"/>
    </row>
    <row r="1849" ht="20" customHeight="1">
      <c r="A1849" s="26" t="n"/>
      <c r="B1849" s="27">
        <f>IFERROR(IF(A1849="","",VLOOKUP(A1849,DATABASE!$A:$B,2,0)),"")</f>
        <v/>
      </c>
      <c r="C1849" s="20">
        <f>IFERROR(IF(A1849="","",VLOOKUP(A1849,DATABASE!$A:$J,10,0)),"")</f>
        <v/>
      </c>
      <c r="D1849" s="28">
        <f>IF(A1849="","",TODAY())</f>
        <v/>
      </c>
      <c r="E1849" s="29" t="n"/>
      <c r="F1849" s="20">
        <f>IFERROR(IF(OR(A1849="",E1849=""),"",C1849-E1849),"")</f>
        <v/>
      </c>
      <c r="G1849" s="30" t="n"/>
      <c r="H1849" s="27" t="n"/>
    </row>
    <row r="1850" ht="20" customHeight="1">
      <c r="A1850" s="26" t="n"/>
      <c r="B1850" s="35">
        <f>IFERROR(IF(A1850="","",VLOOKUP(A1850,DATABASE!$A:$B,2,0)),"")</f>
        <v/>
      </c>
      <c r="C1850" s="36">
        <f>IFERROR(IF(A1850="","",VLOOKUP(A1850,DATABASE!$A:$J,10,0)),"")</f>
        <v/>
      </c>
      <c r="D1850" s="37">
        <f>IF(A1850="","",TODAY())</f>
        <v/>
      </c>
      <c r="E1850" s="29" t="n"/>
      <c r="F1850" s="36">
        <f>IFERROR(IF(OR(A1850="",E1850=""),"",C1850-E1850),"")</f>
        <v/>
      </c>
      <c r="G1850" s="30" t="n"/>
      <c r="H1850" s="35" t="n"/>
    </row>
    <row r="1851" ht="20" customHeight="1">
      <c r="A1851" s="26" t="n"/>
      <c r="B1851" s="27">
        <f>IFERROR(IF(A1851="","",VLOOKUP(A1851,DATABASE!$A:$B,2,0)),"")</f>
        <v/>
      </c>
      <c r="C1851" s="20">
        <f>IFERROR(IF(A1851="","",VLOOKUP(A1851,DATABASE!$A:$J,10,0)),"")</f>
        <v/>
      </c>
      <c r="D1851" s="28">
        <f>IF(A1851="","",TODAY())</f>
        <v/>
      </c>
      <c r="E1851" s="29" t="n"/>
      <c r="F1851" s="20">
        <f>IFERROR(IF(OR(A1851="",E1851=""),"",C1851-E1851),"")</f>
        <v/>
      </c>
      <c r="G1851" s="30" t="n"/>
      <c r="H1851" s="27" t="n"/>
    </row>
    <row r="1852" ht="20" customHeight="1">
      <c r="A1852" s="26" t="n"/>
      <c r="B1852" s="35">
        <f>IFERROR(IF(A1852="","",VLOOKUP(A1852,DATABASE!$A:$B,2,0)),"")</f>
        <v/>
      </c>
      <c r="C1852" s="36">
        <f>IFERROR(IF(A1852="","",VLOOKUP(A1852,DATABASE!$A:$J,10,0)),"")</f>
        <v/>
      </c>
      <c r="D1852" s="37">
        <f>IF(A1852="","",TODAY())</f>
        <v/>
      </c>
      <c r="E1852" s="29" t="n"/>
      <c r="F1852" s="36">
        <f>IFERROR(IF(OR(A1852="",E1852=""),"",C1852-E1852),"")</f>
        <v/>
      </c>
      <c r="G1852" s="30" t="n"/>
      <c r="H1852" s="35" t="n"/>
    </row>
    <row r="1853" ht="20" customHeight="1">
      <c r="A1853" s="26" t="n"/>
      <c r="B1853" s="27">
        <f>IFERROR(IF(A1853="","",VLOOKUP(A1853,DATABASE!$A:$B,2,0)),"")</f>
        <v/>
      </c>
      <c r="C1853" s="20">
        <f>IFERROR(IF(A1853="","",VLOOKUP(A1853,DATABASE!$A:$J,10,0)),"")</f>
        <v/>
      </c>
      <c r="D1853" s="28">
        <f>IF(A1853="","",TODAY())</f>
        <v/>
      </c>
      <c r="E1853" s="29" t="n"/>
      <c r="F1853" s="20">
        <f>IFERROR(IF(OR(A1853="",E1853=""),"",C1853-E1853),"")</f>
        <v/>
      </c>
      <c r="G1853" s="30" t="n"/>
      <c r="H1853" s="27" t="n"/>
    </row>
    <row r="1854" ht="20" customHeight="1">
      <c r="A1854" s="26" t="n"/>
      <c r="B1854" s="35">
        <f>IFERROR(IF(A1854="","",VLOOKUP(A1854,DATABASE!$A:$B,2,0)),"")</f>
        <v/>
      </c>
      <c r="C1854" s="36">
        <f>IFERROR(IF(A1854="","",VLOOKUP(A1854,DATABASE!$A:$J,10,0)),"")</f>
        <v/>
      </c>
      <c r="D1854" s="37">
        <f>IF(A1854="","",TODAY())</f>
        <v/>
      </c>
      <c r="E1854" s="29" t="n"/>
      <c r="F1854" s="36">
        <f>IFERROR(IF(OR(A1854="",E1854=""),"",C1854-E1854),"")</f>
        <v/>
      </c>
      <c r="G1854" s="30" t="n"/>
      <c r="H1854" s="35" t="n"/>
    </row>
    <row r="1855" ht="20" customHeight="1">
      <c r="A1855" s="26" t="n"/>
      <c r="B1855" s="27">
        <f>IFERROR(IF(A1855="","",VLOOKUP(A1855,DATABASE!$A:$B,2,0)),"")</f>
        <v/>
      </c>
      <c r="C1855" s="20">
        <f>IFERROR(IF(A1855="","",VLOOKUP(A1855,DATABASE!$A:$J,10,0)),"")</f>
        <v/>
      </c>
      <c r="D1855" s="28">
        <f>IF(A1855="","",TODAY())</f>
        <v/>
      </c>
      <c r="E1855" s="29" t="n"/>
      <c r="F1855" s="20">
        <f>IFERROR(IF(OR(A1855="",E1855=""),"",C1855-E1855),"")</f>
        <v/>
      </c>
      <c r="G1855" s="30" t="n"/>
      <c r="H1855" s="27" t="n"/>
    </row>
    <row r="1856" ht="20" customHeight="1">
      <c r="A1856" s="26" t="n"/>
      <c r="B1856" s="35">
        <f>IFERROR(IF(A1856="","",VLOOKUP(A1856,DATABASE!$A:$B,2,0)),"")</f>
        <v/>
      </c>
      <c r="C1856" s="36">
        <f>IFERROR(IF(A1856="","",VLOOKUP(A1856,DATABASE!$A:$J,10,0)),"")</f>
        <v/>
      </c>
      <c r="D1856" s="37">
        <f>IF(A1856="","",TODAY())</f>
        <v/>
      </c>
      <c r="E1856" s="29" t="n"/>
      <c r="F1856" s="36">
        <f>IFERROR(IF(OR(A1856="",E1856=""),"",C1856-E1856),"")</f>
        <v/>
      </c>
      <c r="G1856" s="30" t="n"/>
      <c r="H1856" s="35" t="n"/>
    </row>
    <row r="1857" ht="20" customHeight="1">
      <c r="A1857" s="26" t="n"/>
      <c r="B1857" s="27">
        <f>IFERROR(IF(A1857="","",VLOOKUP(A1857,DATABASE!$A:$B,2,0)),"")</f>
        <v/>
      </c>
      <c r="C1857" s="20">
        <f>IFERROR(IF(A1857="","",VLOOKUP(A1857,DATABASE!$A:$J,10,0)),"")</f>
        <v/>
      </c>
      <c r="D1857" s="28">
        <f>IF(A1857="","",TODAY())</f>
        <v/>
      </c>
      <c r="E1857" s="29" t="n"/>
      <c r="F1857" s="20">
        <f>IFERROR(IF(OR(A1857="",E1857=""),"",C1857-E1857),"")</f>
        <v/>
      </c>
      <c r="G1857" s="30" t="n"/>
      <c r="H1857" s="27" t="n"/>
    </row>
    <row r="1858" ht="20" customHeight="1">
      <c r="A1858" s="26" t="n"/>
      <c r="B1858" s="35">
        <f>IFERROR(IF(A1858="","",VLOOKUP(A1858,DATABASE!$A:$B,2,0)),"")</f>
        <v/>
      </c>
      <c r="C1858" s="36">
        <f>IFERROR(IF(A1858="","",VLOOKUP(A1858,DATABASE!$A:$J,10,0)),"")</f>
        <v/>
      </c>
      <c r="D1858" s="37">
        <f>IF(A1858="","",TODAY())</f>
        <v/>
      </c>
      <c r="E1858" s="29" t="n"/>
      <c r="F1858" s="36">
        <f>IFERROR(IF(OR(A1858="",E1858=""),"",C1858-E1858),"")</f>
        <v/>
      </c>
      <c r="G1858" s="30" t="n"/>
      <c r="H1858" s="35" t="n"/>
    </row>
    <row r="1859" ht="20" customHeight="1">
      <c r="A1859" s="26" t="n"/>
      <c r="B1859" s="27">
        <f>IFERROR(IF(A1859="","",VLOOKUP(A1859,DATABASE!$A:$B,2,0)),"")</f>
        <v/>
      </c>
      <c r="C1859" s="20">
        <f>IFERROR(IF(A1859="","",VLOOKUP(A1859,DATABASE!$A:$J,10,0)),"")</f>
        <v/>
      </c>
      <c r="D1859" s="28">
        <f>IF(A1859="","",TODAY())</f>
        <v/>
      </c>
      <c r="E1859" s="29" t="n"/>
      <c r="F1859" s="20">
        <f>IFERROR(IF(OR(A1859="",E1859=""),"",C1859-E1859),"")</f>
        <v/>
      </c>
      <c r="G1859" s="30" t="n"/>
      <c r="H1859" s="27" t="n"/>
    </row>
    <row r="1860" ht="20" customHeight="1">
      <c r="A1860" s="26" t="n"/>
      <c r="B1860" s="35">
        <f>IFERROR(IF(A1860="","",VLOOKUP(A1860,DATABASE!$A:$B,2,0)),"")</f>
        <v/>
      </c>
      <c r="C1860" s="36">
        <f>IFERROR(IF(A1860="","",VLOOKUP(A1860,DATABASE!$A:$J,10,0)),"")</f>
        <v/>
      </c>
      <c r="D1860" s="37">
        <f>IF(A1860="","",TODAY())</f>
        <v/>
      </c>
      <c r="E1860" s="29" t="n"/>
      <c r="F1860" s="36">
        <f>IFERROR(IF(OR(A1860="",E1860=""),"",C1860-E1860),"")</f>
        <v/>
      </c>
      <c r="G1860" s="30" t="n"/>
      <c r="H1860" s="35" t="n"/>
    </row>
    <row r="1861" ht="20" customHeight="1">
      <c r="A1861" s="26" t="n"/>
      <c r="B1861" s="27">
        <f>IFERROR(IF(A1861="","",VLOOKUP(A1861,DATABASE!$A:$B,2,0)),"")</f>
        <v/>
      </c>
      <c r="C1861" s="20">
        <f>IFERROR(IF(A1861="","",VLOOKUP(A1861,DATABASE!$A:$J,10,0)),"")</f>
        <v/>
      </c>
      <c r="D1861" s="28">
        <f>IF(A1861="","",TODAY())</f>
        <v/>
      </c>
      <c r="E1861" s="29" t="n"/>
      <c r="F1861" s="20">
        <f>IFERROR(IF(OR(A1861="",E1861=""),"",C1861-E1861),"")</f>
        <v/>
      </c>
      <c r="G1861" s="30" t="n"/>
      <c r="H1861" s="27" t="n"/>
    </row>
    <row r="1862" ht="20" customHeight="1">
      <c r="A1862" s="26" t="n"/>
      <c r="B1862" s="35">
        <f>IFERROR(IF(A1862="","",VLOOKUP(A1862,DATABASE!$A:$B,2,0)),"")</f>
        <v/>
      </c>
      <c r="C1862" s="36">
        <f>IFERROR(IF(A1862="","",VLOOKUP(A1862,DATABASE!$A:$J,10,0)),"")</f>
        <v/>
      </c>
      <c r="D1862" s="37">
        <f>IF(A1862="","",TODAY())</f>
        <v/>
      </c>
      <c r="E1862" s="29" t="n"/>
      <c r="F1862" s="36">
        <f>IFERROR(IF(OR(A1862="",E1862=""),"",C1862-E1862),"")</f>
        <v/>
      </c>
      <c r="G1862" s="30" t="n"/>
      <c r="H1862" s="35" t="n"/>
    </row>
    <row r="1863" ht="20" customHeight="1">
      <c r="A1863" s="26" t="n"/>
      <c r="B1863" s="27">
        <f>IFERROR(IF(A1863="","",VLOOKUP(A1863,DATABASE!$A:$B,2,0)),"")</f>
        <v/>
      </c>
      <c r="C1863" s="20">
        <f>IFERROR(IF(A1863="","",VLOOKUP(A1863,DATABASE!$A:$J,10,0)),"")</f>
        <v/>
      </c>
      <c r="D1863" s="28">
        <f>IF(A1863="","",TODAY())</f>
        <v/>
      </c>
      <c r="E1863" s="29" t="n"/>
      <c r="F1863" s="20">
        <f>IFERROR(IF(OR(A1863="",E1863=""),"",C1863-E1863),"")</f>
        <v/>
      </c>
      <c r="G1863" s="30" t="n"/>
      <c r="H1863" s="27" t="n"/>
    </row>
    <row r="1864" ht="20" customHeight="1">
      <c r="A1864" s="26" t="n"/>
      <c r="B1864" s="35">
        <f>IFERROR(IF(A1864="","",VLOOKUP(A1864,DATABASE!$A:$B,2,0)),"")</f>
        <v/>
      </c>
      <c r="C1864" s="36">
        <f>IFERROR(IF(A1864="","",VLOOKUP(A1864,DATABASE!$A:$J,10,0)),"")</f>
        <v/>
      </c>
      <c r="D1864" s="37">
        <f>IF(A1864="","",TODAY())</f>
        <v/>
      </c>
      <c r="E1864" s="29" t="n"/>
      <c r="F1864" s="36">
        <f>IFERROR(IF(OR(A1864="",E1864=""),"",C1864-E1864),"")</f>
        <v/>
      </c>
      <c r="G1864" s="30" t="n"/>
      <c r="H1864" s="35" t="n"/>
    </row>
    <row r="1865" ht="20" customHeight="1">
      <c r="A1865" s="26" t="n"/>
      <c r="B1865" s="27">
        <f>IFERROR(IF(A1865="","",VLOOKUP(A1865,DATABASE!$A:$B,2,0)),"")</f>
        <v/>
      </c>
      <c r="C1865" s="20">
        <f>IFERROR(IF(A1865="","",VLOOKUP(A1865,DATABASE!$A:$J,10,0)),"")</f>
        <v/>
      </c>
      <c r="D1865" s="28">
        <f>IF(A1865="","",TODAY())</f>
        <v/>
      </c>
      <c r="E1865" s="29" t="n"/>
      <c r="F1865" s="20">
        <f>IFERROR(IF(OR(A1865="",E1865=""),"",C1865-E1865),"")</f>
        <v/>
      </c>
      <c r="G1865" s="30" t="n"/>
      <c r="H1865" s="27" t="n"/>
    </row>
    <row r="1866" ht="20" customHeight="1">
      <c r="A1866" s="26" t="n"/>
      <c r="B1866" s="35">
        <f>IFERROR(IF(A1866="","",VLOOKUP(A1866,DATABASE!$A:$B,2,0)),"")</f>
        <v/>
      </c>
      <c r="C1866" s="36">
        <f>IFERROR(IF(A1866="","",VLOOKUP(A1866,DATABASE!$A:$J,10,0)),"")</f>
        <v/>
      </c>
      <c r="D1866" s="37">
        <f>IF(A1866="","",TODAY())</f>
        <v/>
      </c>
      <c r="E1866" s="29" t="n"/>
      <c r="F1866" s="36">
        <f>IFERROR(IF(OR(A1866="",E1866=""),"",C1866-E1866),"")</f>
        <v/>
      </c>
      <c r="G1866" s="30" t="n"/>
      <c r="H1866" s="35" t="n"/>
    </row>
    <row r="1867" ht="20" customHeight="1">
      <c r="A1867" s="26" t="n"/>
      <c r="B1867" s="27">
        <f>IFERROR(IF(A1867="","",VLOOKUP(A1867,DATABASE!$A:$B,2,0)),"")</f>
        <v/>
      </c>
      <c r="C1867" s="20">
        <f>IFERROR(IF(A1867="","",VLOOKUP(A1867,DATABASE!$A:$J,10,0)),"")</f>
        <v/>
      </c>
      <c r="D1867" s="28">
        <f>IF(A1867="","",TODAY())</f>
        <v/>
      </c>
      <c r="E1867" s="29" t="n"/>
      <c r="F1867" s="20">
        <f>IFERROR(IF(OR(A1867="",E1867=""),"",C1867-E1867),"")</f>
        <v/>
      </c>
      <c r="G1867" s="30" t="n"/>
      <c r="H1867" s="27" t="n"/>
    </row>
    <row r="1868" ht="20" customHeight="1">
      <c r="A1868" s="26" t="n"/>
      <c r="B1868" s="35">
        <f>IFERROR(IF(A1868="","",VLOOKUP(A1868,DATABASE!$A:$B,2,0)),"")</f>
        <v/>
      </c>
      <c r="C1868" s="36">
        <f>IFERROR(IF(A1868="","",VLOOKUP(A1868,DATABASE!$A:$J,10,0)),"")</f>
        <v/>
      </c>
      <c r="D1868" s="37">
        <f>IF(A1868="","",TODAY())</f>
        <v/>
      </c>
      <c r="E1868" s="29" t="n"/>
      <c r="F1868" s="36">
        <f>IFERROR(IF(OR(A1868="",E1868=""),"",C1868-E1868),"")</f>
        <v/>
      </c>
      <c r="G1868" s="30" t="n"/>
      <c r="H1868" s="35" t="n"/>
    </row>
    <row r="1869" ht="20" customHeight="1">
      <c r="A1869" s="26" t="n"/>
      <c r="B1869" s="27">
        <f>IFERROR(IF(A1869="","",VLOOKUP(A1869,DATABASE!$A:$B,2,0)),"")</f>
        <v/>
      </c>
      <c r="C1869" s="20">
        <f>IFERROR(IF(A1869="","",VLOOKUP(A1869,DATABASE!$A:$J,10,0)),"")</f>
        <v/>
      </c>
      <c r="D1869" s="28">
        <f>IF(A1869="","",TODAY())</f>
        <v/>
      </c>
      <c r="E1869" s="29" t="n"/>
      <c r="F1869" s="20">
        <f>IFERROR(IF(OR(A1869="",E1869=""),"",C1869-E1869),"")</f>
        <v/>
      </c>
      <c r="G1869" s="30" t="n"/>
      <c r="H1869" s="27" t="n"/>
    </row>
    <row r="1870" ht="20" customHeight="1">
      <c r="A1870" s="26" t="n"/>
      <c r="B1870" s="35">
        <f>IFERROR(IF(A1870="","",VLOOKUP(A1870,DATABASE!$A:$B,2,0)),"")</f>
        <v/>
      </c>
      <c r="C1870" s="36">
        <f>IFERROR(IF(A1870="","",VLOOKUP(A1870,DATABASE!$A:$J,10,0)),"")</f>
        <v/>
      </c>
      <c r="D1870" s="37">
        <f>IF(A1870="","",TODAY())</f>
        <v/>
      </c>
      <c r="E1870" s="29" t="n"/>
      <c r="F1870" s="36">
        <f>IFERROR(IF(OR(A1870="",E1870=""),"",C1870-E1870),"")</f>
        <v/>
      </c>
      <c r="G1870" s="30" t="n"/>
      <c r="H1870" s="35" t="n"/>
    </row>
    <row r="1871" ht="20" customHeight="1">
      <c r="A1871" s="26" t="n"/>
      <c r="B1871" s="27">
        <f>IFERROR(IF(A1871="","",VLOOKUP(A1871,DATABASE!$A:$B,2,0)),"")</f>
        <v/>
      </c>
      <c r="C1871" s="20">
        <f>IFERROR(IF(A1871="","",VLOOKUP(A1871,DATABASE!$A:$J,10,0)),"")</f>
        <v/>
      </c>
      <c r="D1871" s="28">
        <f>IF(A1871="","",TODAY())</f>
        <v/>
      </c>
      <c r="E1871" s="29" t="n"/>
      <c r="F1871" s="20">
        <f>IFERROR(IF(OR(A1871="",E1871=""),"",C1871-E1871),"")</f>
        <v/>
      </c>
      <c r="G1871" s="30" t="n"/>
      <c r="H1871" s="27" t="n"/>
    </row>
    <row r="1872" ht="20" customHeight="1">
      <c r="A1872" s="26" t="n"/>
      <c r="B1872" s="35">
        <f>IFERROR(IF(A1872="","",VLOOKUP(A1872,DATABASE!$A:$B,2,0)),"")</f>
        <v/>
      </c>
      <c r="C1872" s="36">
        <f>IFERROR(IF(A1872="","",VLOOKUP(A1872,DATABASE!$A:$J,10,0)),"")</f>
        <v/>
      </c>
      <c r="D1872" s="37">
        <f>IF(A1872="","",TODAY())</f>
        <v/>
      </c>
      <c r="E1872" s="29" t="n"/>
      <c r="F1872" s="36">
        <f>IFERROR(IF(OR(A1872="",E1872=""),"",C1872-E1872),"")</f>
        <v/>
      </c>
      <c r="G1872" s="30" t="n"/>
      <c r="H1872" s="35" t="n"/>
    </row>
    <row r="1873" ht="20" customHeight="1">
      <c r="A1873" s="26" t="n"/>
      <c r="B1873" s="27">
        <f>IFERROR(IF(A1873="","",VLOOKUP(A1873,DATABASE!$A:$B,2,0)),"")</f>
        <v/>
      </c>
      <c r="C1873" s="20">
        <f>IFERROR(IF(A1873="","",VLOOKUP(A1873,DATABASE!$A:$J,10,0)),"")</f>
        <v/>
      </c>
      <c r="D1873" s="28">
        <f>IF(A1873="","",TODAY())</f>
        <v/>
      </c>
      <c r="E1873" s="29" t="n"/>
      <c r="F1873" s="20">
        <f>IFERROR(IF(OR(A1873="",E1873=""),"",C1873-E1873),"")</f>
        <v/>
      </c>
      <c r="G1873" s="30" t="n"/>
      <c r="H1873" s="27" t="n"/>
    </row>
    <row r="1874" ht="20" customHeight="1">
      <c r="A1874" s="26" t="n"/>
      <c r="B1874" s="35">
        <f>IFERROR(IF(A1874="","",VLOOKUP(A1874,DATABASE!$A:$B,2,0)),"")</f>
        <v/>
      </c>
      <c r="C1874" s="36">
        <f>IFERROR(IF(A1874="","",VLOOKUP(A1874,DATABASE!$A:$J,10,0)),"")</f>
        <v/>
      </c>
      <c r="D1874" s="37">
        <f>IF(A1874="","",TODAY())</f>
        <v/>
      </c>
      <c r="E1874" s="29" t="n"/>
      <c r="F1874" s="36">
        <f>IFERROR(IF(OR(A1874="",E1874=""),"",C1874-E1874),"")</f>
        <v/>
      </c>
      <c r="G1874" s="30" t="n"/>
      <c r="H1874" s="35" t="n"/>
    </row>
    <row r="1875" ht="20" customHeight="1">
      <c r="A1875" s="26" t="n"/>
      <c r="B1875" s="27">
        <f>IFERROR(IF(A1875="","",VLOOKUP(A1875,DATABASE!$A:$B,2,0)),"")</f>
        <v/>
      </c>
      <c r="C1875" s="20">
        <f>IFERROR(IF(A1875="","",VLOOKUP(A1875,DATABASE!$A:$J,10,0)),"")</f>
        <v/>
      </c>
      <c r="D1875" s="28">
        <f>IF(A1875="","",TODAY())</f>
        <v/>
      </c>
      <c r="E1875" s="29" t="n"/>
      <c r="F1875" s="20">
        <f>IFERROR(IF(OR(A1875="",E1875=""),"",C1875-E1875),"")</f>
        <v/>
      </c>
      <c r="G1875" s="30" t="n"/>
      <c r="H1875" s="27" t="n"/>
    </row>
    <row r="1876" ht="20" customHeight="1">
      <c r="A1876" s="26" t="n"/>
      <c r="B1876" s="35">
        <f>IFERROR(IF(A1876="","",VLOOKUP(A1876,DATABASE!$A:$B,2,0)),"")</f>
        <v/>
      </c>
      <c r="C1876" s="36">
        <f>IFERROR(IF(A1876="","",VLOOKUP(A1876,DATABASE!$A:$J,10,0)),"")</f>
        <v/>
      </c>
      <c r="D1876" s="37">
        <f>IF(A1876="","",TODAY())</f>
        <v/>
      </c>
      <c r="E1876" s="29" t="n"/>
      <c r="F1876" s="36">
        <f>IFERROR(IF(OR(A1876="",E1876=""),"",C1876-E1876),"")</f>
        <v/>
      </c>
      <c r="G1876" s="30" t="n"/>
      <c r="H1876" s="35" t="n"/>
    </row>
    <row r="1877" ht="20" customHeight="1">
      <c r="A1877" s="26" t="n"/>
      <c r="B1877" s="27">
        <f>IFERROR(IF(A1877="","",VLOOKUP(A1877,DATABASE!$A:$B,2,0)),"")</f>
        <v/>
      </c>
      <c r="C1877" s="20">
        <f>IFERROR(IF(A1877="","",VLOOKUP(A1877,DATABASE!$A:$J,10,0)),"")</f>
        <v/>
      </c>
      <c r="D1877" s="28">
        <f>IF(A1877="","",TODAY())</f>
        <v/>
      </c>
      <c r="E1877" s="29" t="n"/>
      <c r="F1877" s="20">
        <f>IFERROR(IF(OR(A1877="",E1877=""),"",C1877-E1877),"")</f>
        <v/>
      </c>
      <c r="G1877" s="30" t="n"/>
      <c r="H1877" s="27" t="n"/>
    </row>
    <row r="1878" ht="20" customHeight="1">
      <c r="A1878" s="26" t="n"/>
      <c r="B1878" s="35">
        <f>IFERROR(IF(A1878="","",VLOOKUP(A1878,DATABASE!$A:$B,2,0)),"")</f>
        <v/>
      </c>
      <c r="C1878" s="36">
        <f>IFERROR(IF(A1878="","",VLOOKUP(A1878,DATABASE!$A:$J,10,0)),"")</f>
        <v/>
      </c>
      <c r="D1878" s="37">
        <f>IF(A1878="","",TODAY())</f>
        <v/>
      </c>
      <c r="E1878" s="29" t="n"/>
      <c r="F1878" s="36">
        <f>IFERROR(IF(OR(A1878="",E1878=""),"",C1878-E1878),"")</f>
        <v/>
      </c>
      <c r="G1878" s="30" t="n"/>
      <c r="H1878" s="35" t="n"/>
    </row>
    <row r="1879" ht="20" customHeight="1">
      <c r="A1879" s="26" t="n"/>
      <c r="B1879" s="27">
        <f>IFERROR(IF(A1879="","",VLOOKUP(A1879,DATABASE!$A:$B,2,0)),"")</f>
        <v/>
      </c>
      <c r="C1879" s="20">
        <f>IFERROR(IF(A1879="","",VLOOKUP(A1879,DATABASE!$A:$J,10,0)),"")</f>
        <v/>
      </c>
      <c r="D1879" s="28">
        <f>IF(A1879="","",TODAY())</f>
        <v/>
      </c>
      <c r="E1879" s="29" t="n"/>
      <c r="F1879" s="20">
        <f>IFERROR(IF(OR(A1879="",E1879=""),"",C1879-E1879),"")</f>
        <v/>
      </c>
      <c r="G1879" s="30" t="n"/>
      <c r="H1879" s="27" t="n"/>
    </row>
    <row r="1880" ht="20" customHeight="1">
      <c r="A1880" s="26" t="n"/>
      <c r="B1880" s="35">
        <f>IFERROR(IF(A1880="","",VLOOKUP(A1880,DATABASE!$A:$B,2,0)),"")</f>
        <v/>
      </c>
      <c r="C1880" s="36">
        <f>IFERROR(IF(A1880="","",VLOOKUP(A1880,DATABASE!$A:$J,10,0)),"")</f>
        <v/>
      </c>
      <c r="D1880" s="37">
        <f>IF(A1880="","",TODAY())</f>
        <v/>
      </c>
      <c r="E1880" s="29" t="n"/>
      <c r="F1880" s="36">
        <f>IFERROR(IF(OR(A1880="",E1880=""),"",C1880-E1880),"")</f>
        <v/>
      </c>
      <c r="G1880" s="30" t="n"/>
      <c r="H1880" s="35" t="n"/>
    </row>
    <row r="1881" ht="20" customHeight="1">
      <c r="A1881" s="26" t="n"/>
      <c r="B1881" s="27">
        <f>IFERROR(IF(A1881="","",VLOOKUP(A1881,DATABASE!$A:$B,2,0)),"")</f>
        <v/>
      </c>
      <c r="C1881" s="20">
        <f>IFERROR(IF(A1881="","",VLOOKUP(A1881,DATABASE!$A:$J,10,0)),"")</f>
        <v/>
      </c>
      <c r="D1881" s="28">
        <f>IF(A1881="","",TODAY())</f>
        <v/>
      </c>
      <c r="E1881" s="29" t="n"/>
      <c r="F1881" s="20">
        <f>IFERROR(IF(OR(A1881="",E1881=""),"",C1881-E1881),"")</f>
        <v/>
      </c>
      <c r="G1881" s="30" t="n"/>
      <c r="H1881" s="27" t="n"/>
    </row>
    <row r="1882" ht="20" customHeight="1">
      <c r="A1882" s="26" t="n"/>
      <c r="B1882" s="35">
        <f>IFERROR(IF(A1882="","",VLOOKUP(A1882,DATABASE!$A:$B,2,0)),"")</f>
        <v/>
      </c>
      <c r="C1882" s="36">
        <f>IFERROR(IF(A1882="","",VLOOKUP(A1882,DATABASE!$A:$J,10,0)),"")</f>
        <v/>
      </c>
      <c r="D1882" s="37">
        <f>IF(A1882="","",TODAY())</f>
        <v/>
      </c>
      <c r="E1882" s="29" t="n"/>
      <c r="F1882" s="36">
        <f>IFERROR(IF(OR(A1882="",E1882=""),"",C1882-E1882),"")</f>
        <v/>
      </c>
      <c r="G1882" s="30" t="n"/>
      <c r="H1882" s="35" t="n"/>
    </row>
    <row r="1883" ht="20" customHeight="1">
      <c r="A1883" s="26" t="n"/>
      <c r="B1883" s="27">
        <f>IFERROR(IF(A1883="","",VLOOKUP(A1883,DATABASE!$A:$B,2,0)),"")</f>
        <v/>
      </c>
      <c r="C1883" s="20">
        <f>IFERROR(IF(A1883="","",VLOOKUP(A1883,DATABASE!$A:$J,10,0)),"")</f>
        <v/>
      </c>
      <c r="D1883" s="28">
        <f>IF(A1883="","",TODAY())</f>
        <v/>
      </c>
      <c r="E1883" s="29" t="n"/>
      <c r="F1883" s="20">
        <f>IFERROR(IF(OR(A1883="",E1883=""),"",C1883-E1883),"")</f>
        <v/>
      </c>
      <c r="G1883" s="30" t="n"/>
      <c r="H1883" s="27" t="n"/>
    </row>
    <row r="1884" ht="20" customHeight="1">
      <c r="A1884" s="26" t="n"/>
      <c r="B1884" s="35">
        <f>IFERROR(IF(A1884="","",VLOOKUP(A1884,DATABASE!$A:$B,2,0)),"")</f>
        <v/>
      </c>
      <c r="C1884" s="36">
        <f>IFERROR(IF(A1884="","",VLOOKUP(A1884,DATABASE!$A:$J,10,0)),"")</f>
        <v/>
      </c>
      <c r="D1884" s="37">
        <f>IF(A1884="","",TODAY())</f>
        <v/>
      </c>
      <c r="E1884" s="29" t="n"/>
      <c r="F1884" s="36">
        <f>IFERROR(IF(OR(A1884="",E1884=""),"",C1884-E1884),"")</f>
        <v/>
      </c>
      <c r="G1884" s="30" t="n"/>
      <c r="H1884" s="35" t="n"/>
    </row>
    <row r="1885" ht="20" customHeight="1">
      <c r="A1885" s="26" t="n"/>
      <c r="B1885" s="27">
        <f>IFERROR(IF(A1885="","",VLOOKUP(A1885,DATABASE!$A:$B,2,0)),"")</f>
        <v/>
      </c>
      <c r="C1885" s="20">
        <f>IFERROR(IF(A1885="","",VLOOKUP(A1885,DATABASE!$A:$J,10,0)),"")</f>
        <v/>
      </c>
      <c r="D1885" s="28">
        <f>IF(A1885="","",TODAY())</f>
        <v/>
      </c>
      <c r="E1885" s="29" t="n"/>
      <c r="F1885" s="20">
        <f>IFERROR(IF(OR(A1885="",E1885=""),"",C1885-E1885),"")</f>
        <v/>
      </c>
      <c r="G1885" s="30" t="n"/>
      <c r="H1885" s="27" t="n"/>
    </row>
    <row r="1886" ht="20" customHeight="1">
      <c r="A1886" s="26" t="n"/>
      <c r="B1886" s="35">
        <f>IFERROR(IF(A1886="","",VLOOKUP(A1886,DATABASE!$A:$B,2,0)),"")</f>
        <v/>
      </c>
      <c r="C1886" s="36">
        <f>IFERROR(IF(A1886="","",VLOOKUP(A1886,DATABASE!$A:$J,10,0)),"")</f>
        <v/>
      </c>
      <c r="D1886" s="37">
        <f>IF(A1886="","",TODAY())</f>
        <v/>
      </c>
      <c r="E1886" s="29" t="n"/>
      <c r="F1886" s="36">
        <f>IFERROR(IF(OR(A1886="",E1886=""),"",C1886-E1886),"")</f>
        <v/>
      </c>
      <c r="G1886" s="30" t="n"/>
      <c r="H1886" s="35" t="n"/>
    </row>
    <row r="1887" ht="20" customHeight="1">
      <c r="A1887" s="26" t="n"/>
      <c r="B1887" s="27">
        <f>IFERROR(IF(A1887="","",VLOOKUP(A1887,DATABASE!$A:$B,2,0)),"")</f>
        <v/>
      </c>
      <c r="C1887" s="20">
        <f>IFERROR(IF(A1887="","",VLOOKUP(A1887,DATABASE!$A:$J,10,0)),"")</f>
        <v/>
      </c>
      <c r="D1887" s="28">
        <f>IF(A1887="","",TODAY())</f>
        <v/>
      </c>
      <c r="E1887" s="29" t="n"/>
      <c r="F1887" s="20">
        <f>IFERROR(IF(OR(A1887="",E1887=""),"",C1887-E1887),"")</f>
        <v/>
      </c>
      <c r="G1887" s="30" t="n"/>
      <c r="H1887" s="27" t="n"/>
    </row>
    <row r="1888" ht="20" customHeight="1">
      <c r="A1888" s="26" t="n"/>
      <c r="B1888" s="35">
        <f>IFERROR(IF(A1888="","",VLOOKUP(A1888,DATABASE!$A:$B,2,0)),"")</f>
        <v/>
      </c>
      <c r="C1888" s="36">
        <f>IFERROR(IF(A1888="","",VLOOKUP(A1888,DATABASE!$A:$J,10,0)),"")</f>
        <v/>
      </c>
      <c r="D1888" s="37">
        <f>IF(A1888="","",TODAY())</f>
        <v/>
      </c>
      <c r="E1888" s="29" t="n"/>
      <c r="F1888" s="36">
        <f>IFERROR(IF(OR(A1888="",E1888=""),"",C1888-E1888),"")</f>
        <v/>
      </c>
      <c r="G1888" s="30" t="n"/>
      <c r="H1888" s="35" t="n"/>
    </row>
    <row r="1889" ht="20" customHeight="1">
      <c r="A1889" s="26" t="n"/>
      <c r="B1889" s="27">
        <f>IFERROR(IF(A1889="","",VLOOKUP(A1889,DATABASE!$A:$B,2,0)),"")</f>
        <v/>
      </c>
      <c r="C1889" s="20">
        <f>IFERROR(IF(A1889="","",VLOOKUP(A1889,DATABASE!$A:$J,10,0)),"")</f>
        <v/>
      </c>
      <c r="D1889" s="28">
        <f>IF(A1889="","",TODAY())</f>
        <v/>
      </c>
      <c r="E1889" s="29" t="n"/>
      <c r="F1889" s="20">
        <f>IFERROR(IF(OR(A1889="",E1889=""),"",C1889-E1889),"")</f>
        <v/>
      </c>
      <c r="G1889" s="30" t="n"/>
      <c r="H1889" s="27" t="n"/>
    </row>
    <row r="1890" ht="20" customHeight="1">
      <c r="A1890" s="26" t="n"/>
      <c r="B1890" s="35">
        <f>IFERROR(IF(A1890="","",VLOOKUP(A1890,DATABASE!$A:$B,2,0)),"")</f>
        <v/>
      </c>
      <c r="C1890" s="36">
        <f>IFERROR(IF(A1890="","",VLOOKUP(A1890,DATABASE!$A:$J,10,0)),"")</f>
        <v/>
      </c>
      <c r="D1890" s="37">
        <f>IF(A1890="","",TODAY())</f>
        <v/>
      </c>
      <c r="E1890" s="29" t="n"/>
      <c r="F1890" s="36">
        <f>IFERROR(IF(OR(A1890="",E1890=""),"",C1890-E1890),"")</f>
        <v/>
      </c>
      <c r="G1890" s="30" t="n"/>
      <c r="H1890" s="35" t="n"/>
    </row>
    <row r="1891" ht="20" customHeight="1">
      <c r="A1891" s="26" t="n"/>
      <c r="B1891" s="27">
        <f>IFERROR(IF(A1891="","",VLOOKUP(A1891,DATABASE!$A:$B,2,0)),"")</f>
        <v/>
      </c>
      <c r="C1891" s="20">
        <f>IFERROR(IF(A1891="","",VLOOKUP(A1891,DATABASE!$A:$J,10,0)),"")</f>
        <v/>
      </c>
      <c r="D1891" s="28">
        <f>IF(A1891="","",TODAY())</f>
        <v/>
      </c>
      <c r="E1891" s="29" t="n"/>
      <c r="F1891" s="20">
        <f>IFERROR(IF(OR(A1891="",E1891=""),"",C1891-E1891),"")</f>
        <v/>
      </c>
      <c r="G1891" s="30" t="n"/>
      <c r="H1891" s="27" t="n"/>
    </row>
    <row r="1892" ht="20" customHeight="1">
      <c r="A1892" s="26" t="n"/>
      <c r="B1892" s="35">
        <f>IFERROR(IF(A1892="","",VLOOKUP(A1892,DATABASE!$A:$B,2,0)),"")</f>
        <v/>
      </c>
      <c r="C1892" s="36">
        <f>IFERROR(IF(A1892="","",VLOOKUP(A1892,DATABASE!$A:$J,10,0)),"")</f>
        <v/>
      </c>
      <c r="D1892" s="37">
        <f>IF(A1892="","",TODAY())</f>
        <v/>
      </c>
      <c r="E1892" s="29" t="n"/>
      <c r="F1892" s="36">
        <f>IFERROR(IF(OR(A1892="",E1892=""),"",C1892-E1892),"")</f>
        <v/>
      </c>
      <c r="G1892" s="30" t="n"/>
      <c r="H1892" s="35" t="n"/>
    </row>
    <row r="1893" ht="20" customHeight="1">
      <c r="A1893" s="26" t="n"/>
      <c r="B1893" s="27">
        <f>IFERROR(IF(A1893="","",VLOOKUP(A1893,DATABASE!$A:$B,2,0)),"")</f>
        <v/>
      </c>
      <c r="C1893" s="20">
        <f>IFERROR(IF(A1893="","",VLOOKUP(A1893,DATABASE!$A:$J,10,0)),"")</f>
        <v/>
      </c>
      <c r="D1893" s="28">
        <f>IF(A1893="","",TODAY())</f>
        <v/>
      </c>
      <c r="E1893" s="29" t="n"/>
      <c r="F1893" s="20">
        <f>IFERROR(IF(OR(A1893="",E1893=""),"",C1893-E1893),"")</f>
        <v/>
      </c>
      <c r="G1893" s="30" t="n"/>
      <c r="H1893" s="27" t="n"/>
    </row>
    <row r="1894" ht="20" customHeight="1">
      <c r="A1894" s="26" t="n"/>
      <c r="B1894" s="35">
        <f>IFERROR(IF(A1894="","",VLOOKUP(A1894,DATABASE!$A:$B,2,0)),"")</f>
        <v/>
      </c>
      <c r="C1894" s="36">
        <f>IFERROR(IF(A1894="","",VLOOKUP(A1894,DATABASE!$A:$J,10,0)),"")</f>
        <v/>
      </c>
      <c r="D1894" s="37">
        <f>IF(A1894="","",TODAY())</f>
        <v/>
      </c>
      <c r="E1894" s="29" t="n"/>
      <c r="F1894" s="36">
        <f>IFERROR(IF(OR(A1894="",E1894=""),"",C1894-E1894),"")</f>
        <v/>
      </c>
      <c r="G1894" s="30" t="n"/>
      <c r="H1894" s="35" t="n"/>
    </row>
    <row r="1895" ht="20" customHeight="1">
      <c r="A1895" s="26" t="n"/>
      <c r="B1895" s="27">
        <f>IFERROR(IF(A1895="","",VLOOKUP(A1895,DATABASE!$A:$B,2,0)),"")</f>
        <v/>
      </c>
      <c r="C1895" s="20">
        <f>IFERROR(IF(A1895="","",VLOOKUP(A1895,DATABASE!$A:$J,10,0)),"")</f>
        <v/>
      </c>
      <c r="D1895" s="28">
        <f>IF(A1895="","",TODAY())</f>
        <v/>
      </c>
      <c r="E1895" s="29" t="n"/>
      <c r="F1895" s="20">
        <f>IFERROR(IF(OR(A1895="",E1895=""),"",C1895-E1895),"")</f>
        <v/>
      </c>
      <c r="G1895" s="30" t="n"/>
      <c r="H1895" s="27" t="n"/>
    </row>
    <row r="1896" ht="20" customHeight="1">
      <c r="A1896" s="26" t="n"/>
      <c r="B1896" s="35">
        <f>IFERROR(IF(A1896="","",VLOOKUP(A1896,DATABASE!$A:$B,2,0)),"")</f>
        <v/>
      </c>
      <c r="C1896" s="36">
        <f>IFERROR(IF(A1896="","",VLOOKUP(A1896,DATABASE!$A:$J,10,0)),"")</f>
        <v/>
      </c>
      <c r="D1896" s="37">
        <f>IF(A1896="","",TODAY())</f>
        <v/>
      </c>
      <c r="E1896" s="29" t="n"/>
      <c r="F1896" s="36">
        <f>IFERROR(IF(OR(A1896="",E1896=""),"",C1896-E1896),"")</f>
        <v/>
      </c>
      <c r="G1896" s="30" t="n"/>
      <c r="H1896" s="35" t="n"/>
    </row>
    <row r="1897" ht="20" customHeight="1">
      <c r="A1897" s="26" t="n"/>
      <c r="B1897" s="27">
        <f>IFERROR(IF(A1897="","",VLOOKUP(A1897,DATABASE!$A:$B,2,0)),"")</f>
        <v/>
      </c>
      <c r="C1897" s="20">
        <f>IFERROR(IF(A1897="","",VLOOKUP(A1897,DATABASE!$A:$J,10,0)),"")</f>
        <v/>
      </c>
      <c r="D1897" s="28">
        <f>IF(A1897="","",TODAY())</f>
        <v/>
      </c>
      <c r="E1897" s="29" t="n"/>
      <c r="F1897" s="20">
        <f>IFERROR(IF(OR(A1897="",E1897=""),"",C1897-E1897),"")</f>
        <v/>
      </c>
      <c r="G1897" s="30" t="n"/>
      <c r="H1897" s="27" t="n"/>
    </row>
    <row r="1898" ht="20" customHeight="1">
      <c r="A1898" s="26" t="n"/>
      <c r="B1898" s="35">
        <f>IFERROR(IF(A1898="","",VLOOKUP(A1898,DATABASE!$A:$B,2,0)),"")</f>
        <v/>
      </c>
      <c r="C1898" s="36">
        <f>IFERROR(IF(A1898="","",VLOOKUP(A1898,DATABASE!$A:$J,10,0)),"")</f>
        <v/>
      </c>
      <c r="D1898" s="37">
        <f>IF(A1898="","",TODAY())</f>
        <v/>
      </c>
      <c r="E1898" s="29" t="n"/>
      <c r="F1898" s="36">
        <f>IFERROR(IF(OR(A1898="",E1898=""),"",C1898-E1898),"")</f>
        <v/>
      </c>
      <c r="G1898" s="30" t="n"/>
      <c r="H1898" s="35" t="n"/>
    </row>
    <row r="1899" ht="20" customHeight="1">
      <c r="A1899" s="26" t="n"/>
      <c r="B1899" s="27">
        <f>IFERROR(IF(A1899="","",VLOOKUP(A1899,DATABASE!$A:$B,2,0)),"")</f>
        <v/>
      </c>
      <c r="C1899" s="20">
        <f>IFERROR(IF(A1899="","",VLOOKUP(A1899,DATABASE!$A:$J,10,0)),"")</f>
        <v/>
      </c>
      <c r="D1899" s="28">
        <f>IF(A1899="","",TODAY())</f>
        <v/>
      </c>
      <c r="E1899" s="29" t="n"/>
      <c r="F1899" s="20">
        <f>IFERROR(IF(OR(A1899="",E1899=""),"",C1899-E1899),"")</f>
        <v/>
      </c>
      <c r="G1899" s="30" t="n"/>
      <c r="H1899" s="27" t="n"/>
    </row>
    <row r="1900" ht="20" customHeight="1">
      <c r="A1900" s="26" t="n"/>
      <c r="B1900" s="35">
        <f>IFERROR(IF(A1900="","",VLOOKUP(A1900,DATABASE!$A:$B,2,0)),"")</f>
        <v/>
      </c>
      <c r="C1900" s="36">
        <f>IFERROR(IF(A1900="","",VLOOKUP(A1900,DATABASE!$A:$J,10,0)),"")</f>
        <v/>
      </c>
      <c r="D1900" s="37">
        <f>IF(A1900="","",TODAY())</f>
        <v/>
      </c>
      <c r="E1900" s="29" t="n"/>
      <c r="F1900" s="36">
        <f>IFERROR(IF(OR(A1900="",E1900=""),"",C1900-E1900),"")</f>
        <v/>
      </c>
      <c r="G1900" s="30" t="n"/>
      <c r="H1900" s="35" t="n"/>
    </row>
    <row r="1901" ht="20" customHeight="1">
      <c r="A1901" s="26" t="n"/>
      <c r="B1901" s="27">
        <f>IFERROR(IF(A1901="","",VLOOKUP(A1901,DATABASE!$A:$B,2,0)),"")</f>
        <v/>
      </c>
      <c r="C1901" s="20">
        <f>IFERROR(IF(A1901="","",VLOOKUP(A1901,DATABASE!$A:$J,10,0)),"")</f>
        <v/>
      </c>
      <c r="D1901" s="28">
        <f>IF(A1901="","",TODAY())</f>
        <v/>
      </c>
      <c r="E1901" s="29" t="n"/>
      <c r="F1901" s="20">
        <f>IFERROR(IF(OR(A1901="",E1901=""),"",C1901-E1901),"")</f>
        <v/>
      </c>
      <c r="G1901" s="30" t="n"/>
      <c r="H1901" s="27" t="n"/>
    </row>
    <row r="1902" ht="20" customHeight="1">
      <c r="A1902" s="26" t="n"/>
      <c r="B1902" s="35">
        <f>IFERROR(IF(A1902="","",VLOOKUP(A1902,DATABASE!$A:$B,2,0)),"")</f>
        <v/>
      </c>
      <c r="C1902" s="36">
        <f>IFERROR(IF(A1902="","",VLOOKUP(A1902,DATABASE!$A:$J,10,0)),"")</f>
        <v/>
      </c>
      <c r="D1902" s="37">
        <f>IF(A1902="","",TODAY())</f>
        <v/>
      </c>
      <c r="E1902" s="29" t="n"/>
      <c r="F1902" s="36">
        <f>IFERROR(IF(OR(A1902="",E1902=""),"",C1902-E1902),"")</f>
        <v/>
      </c>
      <c r="G1902" s="30" t="n"/>
      <c r="H1902" s="35" t="n"/>
    </row>
    <row r="1903" ht="20" customHeight="1">
      <c r="A1903" s="26" t="n"/>
      <c r="B1903" s="27">
        <f>IFERROR(IF(A1903="","",VLOOKUP(A1903,DATABASE!$A:$B,2,0)),"")</f>
        <v/>
      </c>
      <c r="C1903" s="20">
        <f>IFERROR(IF(A1903="","",VLOOKUP(A1903,DATABASE!$A:$J,10,0)),"")</f>
        <v/>
      </c>
      <c r="D1903" s="28">
        <f>IF(A1903="","",TODAY())</f>
        <v/>
      </c>
      <c r="E1903" s="29" t="n"/>
      <c r="F1903" s="20">
        <f>IFERROR(IF(OR(A1903="",E1903=""),"",C1903-E1903),"")</f>
        <v/>
      </c>
      <c r="G1903" s="30" t="n"/>
      <c r="H1903" s="27" t="n"/>
    </row>
    <row r="1904" ht="20" customHeight="1">
      <c r="A1904" s="26" t="n"/>
      <c r="B1904" s="35">
        <f>IFERROR(IF(A1904="","",VLOOKUP(A1904,DATABASE!$A:$B,2,0)),"")</f>
        <v/>
      </c>
      <c r="C1904" s="36">
        <f>IFERROR(IF(A1904="","",VLOOKUP(A1904,DATABASE!$A:$J,10,0)),"")</f>
        <v/>
      </c>
      <c r="D1904" s="37">
        <f>IF(A1904="","",TODAY())</f>
        <v/>
      </c>
      <c r="E1904" s="29" t="n"/>
      <c r="F1904" s="36">
        <f>IFERROR(IF(OR(A1904="",E1904=""),"",C1904-E1904),"")</f>
        <v/>
      </c>
      <c r="G1904" s="30" t="n"/>
      <c r="H1904" s="35" t="n"/>
    </row>
    <row r="1905" ht="20" customHeight="1">
      <c r="A1905" s="26" t="n"/>
      <c r="B1905" s="27">
        <f>IFERROR(IF(A1905="","",VLOOKUP(A1905,DATABASE!$A:$B,2,0)),"")</f>
        <v/>
      </c>
      <c r="C1905" s="20">
        <f>IFERROR(IF(A1905="","",VLOOKUP(A1905,DATABASE!$A:$J,10,0)),"")</f>
        <v/>
      </c>
      <c r="D1905" s="28">
        <f>IF(A1905="","",TODAY())</f>
        <v/>
      </c>
      <c r="E1905" s="29" t="n"/>
      <c r="F1905" s="20">
        <f>IFERROR(IF(OR(A1905="",E1905=""),"",C1905-E1905),"")</f>
        <v/>
      </c>
      <c r="G1905" s="30" t="n"/>
      <c r="H1905" s="27" t="n"/>
    </row>
    <row r="1906" ht="20" customHeight="1">
      <c r="A1906" s="26" t="n"/>
      <c r="B1906" s="35">
        <f>IFERROR(IF(A1906="","",VLOOKUP(A1906,DATABASE!$A:$B,2,0)),"")</f>
        <v/>
      </c>
      <c r="C1906" s="36">
        <f>IFERROR(IF(A1906="","",VLOOKUP(A1906,DATABASE!$A:$J,10,0)),"")</f>
        <v/>
      </c>
      <c r="D1906" s="37">
        <f>IF(A1906="","",TODAY())</f>
        <v/>
      </c>
      <c r="E1906" s="29" t="n"/>
      <c r="F1906" s="36">
        <f>IFERROR(IF(OR(A1906="",E1906=""),"",C1906-E1906),"")</f>
        <v/>
      </c>
      <c r="G1906" s="30" t="n"/>
      <c r="H1906" s="35" t="n"/>
    </row>
    <row r="1907" ht="20" customHeight="1">
      <c r="A1907" s="26" t="n"/>
      <c r="B1907" s="27">
        <f>IFERROR(IF(A1907="","",VLOOKUP(A1907,DATABASE!$A:$B,2,0)),"")</f>
        <v/>
      </c>
      <c r="C1907" s="20">
        <f>IFERROR(IF(A1907="","",VLOOKUP(A1907,DATABASE!$A:$J,10,0)),"")</f>
        <v/>
      </c>
      <c r="D1907" s="28">
        <f>IF(A1907="","",TODAY())</f>
        <v/>
      </c>
      <c r="E1907" s="29" t="n"/>
      <c r="F1907" s="20">
        <f>IFERROR(IF(OR(A1907="",E1907=""),"",C1907-E1907),"")</f>
        <v/>
      </c>
      <c r="G1907" s="30" t="n"/>
      <c r="H1907" s="27" t="n"/>
    </row>
    <row r="1908" ht="20" customHeight="1">
      <c r="A1908" s="26" t="n"/>
      <c r="B1908" s="35">
        <f>IFERROR(IF(A1908="","",VLOOKUP(A1908,DATABASE!$A:$B,2,0)),"")</f>
        <v/>
      </c>
      <c r="C1908" s="36">
        <f>IFERROR(IF(A1908="","",VLOOKUP(A1908,DATABASE!$A:$J,10,0)),"")</f>
        <v/>
      </c>
      <c r="D1908" s="37">
        <f>IF(A1908="","",TODAY())</f>
        <v/>
      </c>
      <c r="E1908" s="29" t="n"/>
      <c r="F1908" s="36">
        <f>IFERROR(IF(OR(A1908="",E1908=""),"",C1908-E1908),"")</f>
        <v/>
      </c>
      <c r="G1908" s="30" t="n"/>
      <c r="H1908" s="35" t="n"/>
    </row>
    <row r="1909" ht="20" customHeight="1">
      <c r="A1909" s="26" t="n"/>
      <c r="B1909" s="27">
        <f>IFERROR(IF(A1909="","",VLOOKUP(A1909,DATABASE!$A:$B,2,0)),"")</f>
        <v/>
      </c>
      <c r="C1909" s="20">
        <f>IFERROR(IF(A1909="","",VLOOKUP(A1909,DATABASE!$A:$J,10,0)),"")</f>
        <v/>
      </c>
      <c r="D1909" s="28">
        <f>IF(A1909="","",TODAY())</f>
        <v/>
      </c>
      <c r="E1909" s="29" t="n"/>
      <c r="F1909" s="20">
        <f>IFERROR(IF(OR(A1909="",E1909=""),"",C1909-E1909),"")</f>
        <v/>
      </c>
      <c r="G1909" s="30" t="n"/>
      <c r="H1909" s="27" t="n"/>
    </row>
    <row r="1910" ht="20" customHeight="1">
      <c r="A1910" s="26" t="n"/>
      <c r="B1910" s="35">
        <f>IFERROR(IF(A1910="","",VLOOKUP(A1910,DATABASE!$A:$B,2,0)),"")</f>
        <v/>
      </c>
      <c r="C1910" s="36">
        <f>IFERROR(IF(A1910="","",VLOOKUP(A1910,DATABASE!$A:$J,10,0)),"")</f>
        <v/>
      </c>
      <c r="D1910" s="37">
        <f>IF(A1910="","",TODAY())</f>
        <v/>
      </c>
      <c r="E1910" s="29" t="n"/>
      <c r="F1910" s="36">
        <f>IFERROR(IF(OR(A1910="",E1910=""),"",C1910-E1910),"")</f>
        <v/>
      </c>
      <c r="G1910" s="30" t="n"/>
      <c r="H1910" s="35" t="n"/>
    </row>
    <row r="1911" ht="20" customHeight="1">
      <c r="A1911" s="26" t="n"/>
      <c r="B1911" s="27">
        <f>IFERROR(IF(A1911="","",VLOOKUP(A1911,DATABASE!$A:$B,2,0)),"")</f>
        <v/>
      </c>
      <c r="C1911" s="20">
        <f>IFERROR(IF(A1911="","",VLOOKUP(A1911,DATABASE!$A:$J,10,0)),"")</f>
        <v/>
      </c>
      <c r="D1911" s="28">
        <f>IF(A1911="","",TODAY())</f>
        <v/>
      </c>
      <c r="E1911" s="29" t="n"/>
      <c r="F1911" s="20">
        <f>IFERROR(IF(OR(A1911="",E1911=""),"",C1911-E1911),"")</f>
        <v/>
      </c>
      <c r="G1911" s="30" t="n"/>
      <c r="H1911" s="27" t="n"/>
    </row>
    <row r="1912" ht="20" customHeight="1">
      <c r="A1912" s="26" t="n"/>
      <c r="B1912" s="35">
        <f>IFERROR(IF(A1912="","",VLOOKUP(A1912,DATABASE!$A:$B,2,0)),"")</f>
        <v/>
      </c>
      <c r="C1912" s="36">
        <f>IFERROR(IF(A1912="","",VLOOKUP(A1912,DATABASE!$A:$J,10,0)),"")</f>
        <v/>
      </c>
      <c r="D1912" s="37">
        <f>IF(A1912="","",TODAY())</f>
        <v/>
      </c>
      <c r="E1912" s="29" t="n"/>
      <c r="F1912" s="36">
        <f>IFERROR(IF(OR(A1912="",E1912=""),"",C1912-E1912),"")</f>
        <v/>
      </c>
      <c r="G1912" s="30" t="n"/>
      <c r="H1912" s="35" t="n"/>
    </row>
    <row r="1913" ht="20" customHeight="1">
      <c r="A1913" s="26" t="n"/>
      <c r="B1913" s="27">
        <f>IFERROR(IF(A1913="","",VLOOKUP(A1913,DATABASE!$A:$B,2,0)),"")</f>
        <v/>
      </c>
      <c r="C1913" s="20">
        <f>IFERROR(IF(A1913="","",VLOOKUP(A1913,DATABASE!$A:$J,10,0)),"")</f>
        <v/>
      </c>
      <c r="D1913" s="28">
        <f>IF(A1913="","",TODAY())</f>
        <v/>
      </c>
      <c r="E1913" s="29" t="n"/>
      <c r="F1913" s="20">
        <f>IFERROR(IF(OR(A1913="",E1913=""),"",C1913-E1913),"")</f>
        <v/>
      </c>
      <c r="G1913" s="30" t="n"/>
      <c r="H1913" s="27" t="n"/>
    </row>
    <row r="1914" ht="20" customHeight="1">
      <c r="A1914" s="26" t="n"/>
      <c r="B1914" s="35">
        <f>IFERROR(IF(A1914="","",VLOOKUP(A1914,DATABASE!$A:$B,2,0)),"")</f>
        <v/>
      </c>
      <c r="C1914" s="36">
        <f>IFERROR(IF(A1914="","",VLOOKUP(A1914,DATABASE!$A:$J,10,0)),"")</f>
        <v/>
      </c>
      <c r="D1914" s="37">
        <f>IF(A1914="","",TODAY())</f>
        <v/>
      </c>
      <c r="E1914" s="29" t="n"/>
      <c r="F1914" s="36">
        <f>IFERROR(IF(OR(A1914="",E1914=""),"",C1914-E1914),"")</f>
        <v/>
      </c>
      <c r="G1914" s="30" t="n"/>
      <c r="H1914" s="35" t="n"/>
    </row>
    <row r="1915" ht="20" customHeight="1">
      <c r="A1915" s="26" t="n"/>
      <c r="B1915" s="27">
        <f>IFERROR(IF(A1915="","",VLOOKUP(A1915,DATABASE!$A:$B,2,0)),"")</f>
        <v/>
      </c>
      <c r="C1915" s="20">
        <f>IFERROR(IF(A1915="","",VLOOKUP(A1915,DATABASE!$A:$J,10,0)),"")</f>
        <v/>
      </c>
      <c r="D1915" s="28">
        <f>IF(A1915="","",TODAY())</f>
        <v/>
      </c>
      <c r="E1915" s="29" t="n"/>
      <c r="F1915" s="20">
        <f>IFERROR(IF(OR(A1915="",E1915=""),"",C1915-E1915),"")</f>
        <v/>
      </c>
      <c r="G1915" s="30" t="n"/>
      <c r="H1915" s="27" t="n"/>
    </row>
    <row r="1916" ht="20" customHeight="1">
      <c r="A1916" s="26" t="n"/>
      <c r="B1916" s="35">
        <f>IFERROR(IF(A1916="","",VLOOKUP(A1916,DATABASE!$A:$B,2,0)),"")</f>
        <v/>
      </c>
      <c r="C1916" s="36">
        <f>IFERROR(IF(A1916="","",VLOOKUP(A1916,DATABASE!$A:$J,10,0)),"")</f>
        <v/>
      </c>
      <c r="D1916" s="37">
        <f>IF(A1916="","",TODAY())</f>
        <v/>
      </c>
      <c r="E1916" s="29" t="n"/>
      <c r="F1916" s="36">
        <f>IFERROR(IF(OR(A1916="",E1916=""),"",C1916-E1916),"")</f>
        <v/>
      </c>
      <c r="G1916" s="30" t="n"/>
      <c r="H1916" s="35" t="n"/>
    </row>
    <row r="1917" ht="20" customHeight="1">
      <c r="A1917" s="26" t="n"/>
      <c r="B1917" s="27">
        <f>IFERROR(IF(A1917="","",VLOOKUP(A1917,DATABASE!$A:$B,2,0)),"")</f>
        <v/>
      </c>
      <c r="C1917" s="20">
        <f>IFERROR(IF(A1917="","",VLOOKUP(A1917,DATABASE!$A:$J,10,0)),"")</f>
        <v/>
      </c>
      <c r="D1917" s="28">
        <f>IF(A1917="","",TODAY())</f>
        <v/>
      </c>
      <c r="E1917" s="29" t="n"/>
      <c r="F1917" s="20">
        <f>IFERROR(IF(OR(A1917="",E1917=""),"",C1917-E1917),"")</f>
        <v/>
      </c>
      <c r="G1917" s="30" t="n"/>
      <c r="H1917" s="27" t="n"/>
    </row>
    <row r="1918" ht="20" customHeight="1">
      <c r="A1918" s="26" t="n"/>
      <c r="B1918" s="35">
        <f>IFERROR(IF(A1918="","",VLOOKUP(A1918,DATABASE!$A:$B,2,0)),"")</f>
        <v/>
      </c>
      <c r="C1918" s="36">
        <f>IFERROR(IF(A1918="","",VLOOKUP(A1918,DATABASE!$A:$J,10,0)),"")</f>
        <v/>
      </c>
      <c r="D1918" s="37">
        <f>IF(A1918="","",TODAY())</f>
        <v/>
      </c>
      <c r="E1918" s="29" t="n"/>
      <c r="F1918" s="36">
        <f>IFERROR(IF(OR(A1918="",E1918=""),"",C1918-E1918),"")</f>
        <v/>
      </c>
      <c r="G1918" s="30" t="n"/>
      <c r="H1918" s="35" t="n"/>
    </row>
    <row r="1919" ht="20" customHeight="1">
      <c r="A1919" s="26" t="n"/>
      <c r="B1919" s="27">
        <f>IFERROR(IF(A1919="","",VLOOKUP(A1919,DATABASE!$A:$B,2,0)),"")</f>
        <v/>
      </c>
      <c r="C1919" s="20">
        <f>IFERROR(IF(A1919="","",VLOOKUP(A1919,DATABASE!$A:$J,10,0)),"")</f>
        <v/>
      </c>
      <c r="D1919" s="28">
        <f>IF(A1919="","",TODAY())</f>
        <v/>
      </c>
      <c r="E1919" s="29" t="n"/>
      <c r="F1919" s="20">
        <f>IFERROR(IF(OR(A1919="",E1919=""),"",C1919-E1919),"")</f>
        <v/>
      </c>
      <c r="G1919" s="30" t="n"/>
      <c r="H1919" s="27" t="n"/>
    </row>
    <row r="1920" ht="20" customHeight="1">
      <c r="A1920" s="26" t="n"/>
      <c r="B1920" s="35">
        <f>IFERROR(IF(A1920="","",VLOOKUP(A1920,DATABASE!$A:$B,2,0)),"")</f>
        <v/>
      </c>
      <c r="C1920" s="36">
        <f>IFERROR(IF(A1920="","",VLOOKUP(A1920,DATABASE!$A:$J,10,0)),"")</f>
        <v/>
      </c>
      <c r="D1920" s="37">
        <f>IF(A1920="","",TODAY())</f>
        <v/>
      </c>
      <c r="E1920" s="29" t="n"/>
      <c r="F1920" s="36">
        <f>IFERROR(IF(OR(A1920="",E1920=""),"",C1920-E1920),"")</f>
        <v/>
      </c>
      <c r="G1920" s="30" t="n"/>
      <c r="H1920" s="35" t="n"/>
    </row>
    <row r="1921" ht="20" customHeight="1">
      <c r="A1921" s="26" t="n"/>
      <c r="B1921" s="27">
        <f>IFERROR(IF(A1921="","",VLOOKUP(A1921,DATABASE!$A:$B,2,0)),"")</f>
        <v/>
      </c>
      <c r="C1921" s="20">
        <f>IFERROR(IF(A1921="","",VLOOKUP(A1921,DATABASE!$A:$J,10,0)),"")</f>
        <v/>
      </c>
      <c r="D1921" s="28">
        <f>IF(A1921="","",TODAY())</f>
        <v/>
      </c>
      <c r="E1921" s="29" t="n"/>
      <c r="F1921" s="20">
        <f>IFERROR(IF(OR(A1921="",E1921=""),"",C1921-E1921),"")</f>
        <v/>
      </c>
      <c r="G1921" s="30" t="n"/>
      <c r="H1921" s="27" t="n"/>
    </row>
    <row r="1922" ht="20" customHeight="1">
      <c r="A1922" s="26" t="n"/>
      <c r="B1922" s="35">
        <f>IFERROR(IF(A1922="","",VLOOKUP(A1922,DATABASE!$A:$B,2,0)),"")</f>
        <v/>
      </c>
      <c r="C1922" s="36">
        <f>IFERROR(IF(A1922="","",VLOOKUP(A1922,DATABASE!$A:$J,10,0)),"")</f>
        <v/>
      </c>
      <c r="D1922" s="37">
        <f>IF(A1922="","",TODAY())</f>
        <v/>
      </c>
      <c r="E1922" s="29" t="n"/>
      <c r="F1922" s="36">
        <f>IFERROR(IF(OR(A1922="",E1922=""),"",C1922-E1922),"")</f>
        <v/>
      </c>
      <c r="G1922" s="30" t="n"/>
      <c r="H1922" s="35" t="n"/>
    </row>
    <row r="1923" ht="20" customHeight="1">
      <c r="A1923" s="26" t="n"/>
      <c r="B1923" s="27">
        <f>IFERROR(IF(A1923="","",VLOOKUP(A1923,DATABASE!$A:$B,2,0)),"")</f>
        <v/>
      </c>
      <c r="C1923" s="20">
        <f>IFERROR(IF(A1923="","",VLOOKUP(A1923,DATABASE!$A:$J,10,0)),"")</f>
        <v/>
      </c>
      <c r="D1923" s="28">
        <f>IF(A1923="","",TODAY())</f>
        <v/>
      </c>
      <c r="E1923" s="29" t="n"/>
      <c r="F1923" s="20">
        <f>IFERROR(IF(OR(A1923="",E1923=""),"",C1923-E1923),"")</f>
        <v/>
      </c>
      <c r="G1923" s="30" t="n"/>
      <c r="H1923" s="27" t="n"/>
    </row>
    <row r="1924" ht="20" customHeight="1">
      <c r="A1924" s="26" t="n"/>
      <c r="B1924" s="35">
        <f>IFERROR(IF(A1924="","",VLOOKUP(A1924,DATABASE!$A:$B,2,0)),"")</f>
        <v/>
      </c>
      <c r="C1924" s="36">
        <f>IFERROR(IF(A1924="","",VLOOKUP(A1924,DATABASE!$A:$J,10,0)),"")</f>
        <v/>
      </c>
      <c r="D1924" s="37">
        <f>IF(A1924="","",TODAY())</f>
        <v/>
      </c>
      <c r="E1924" s="29" t="n"/>
      <c r="F1924" s="36">
        <f>IFERROR(IF(OR(A1924="",E1924=""),"",C1924-E1924),"")</f>
        <v/>
      </c>
      <c r="G1924" s="30" t="n"/>
      <c r="H1924" s="35" t="n"/>
    </row>
    <row r="1925" ht="20" customHeight="1">
      <c r="A1925" s="26" t="n"/>
      <c r="B1925" s="27">
        <f>IFERROR(IF(A1925="","",VLOOKUP(A1925,DATABASE!$A:$B,2,0)),"")</f>
        <v/>
      </c>
      <c r="C1925" s="20">
        <f>IFERROR(IF(A1925="","",VLOOKUP(A1925,DATABASE!$A:$J,10,0)),"")</f>
        <v/>
      </c>
      <c r="D1925" s="28">
        <f>IF(A1925="","",TODAY())</f>
        <v/>
      </c>
      <c r="E1925" s="29" t="n"/>
      <c r="F1925" s="20">
        <f>IFERROR(IF(OR(A1925="",E1925=""),"",C1925-E1925),"")</f>
        <v/>
      </c>
      <c r="G1925" s="30" t="n"/>
      <c r="H1925" s="27" t="n"/>
    </row>
    <row r="1926" ht="20" customHeight="1">
      <c r="A1926" s="26" t="n"/>
      <c r="B1926" s="35">
        <f>IFERROR(IF(A1926="","",VLOOKUP(A1926,DATABASE!$A:$B,2,0)),"")</f>
        <v/>
      </c>
      <c r="C1926" s="36">
        <f>IFERROR(IF(A1926="","",VLOOKUP(A1926,DATABASE!$A:$J,10,0)),"")</f>
        <v/>
      </c>
      <c r="D1926" s="37">
        <f>IF(A1926="","",TODAY())</f>
        <v/>
      </c>
      <c r="E1926" s="29" t="n"/>
      <c r="F1926" s="36">
        <f>IFERROR(IF(OR(A1926="",E1926=""),"",C1926-E1926),"")</f>
        <v/>
      </c>
      <c r="G1926" s="30" t="n"/>
      <c r="H1926" s="35" t="n"/>
    </row>
    <row r="1927" ht="20" customHeight="1">
      <c r="A1927" s="26" t="n"/>
      <c r="B1927" s="27">
        <f>IFERROR(IF(A1927="","",VLOOKUP(A1927,DATABASE!$A:$B,2,0)),"")</f>
        <v/>
      </c>
      <c r="C1927" s="20">
        <f>IFERROR(IF(A1927="","",VLOOKUP(A1927,DATABASE!$A:$J,10,0)),"")</f>
        <v/>
      </c>
      <c r="D1927" s="28">
        <f>IF(A1927="","",TODAY())</f>
        <v/>
      </c>
      <c r="E1927" s="29" t="n"/>
      <c r="F1927" s="20">
        <f>IFERROR(IF(OR(A1927="",E1927=""),"",C1927-E1927),"")</f>
        <v/>
      </c>
      <c r="G1927" s="30" t="n"/>
      <c r="H1927" s="27" t="n"/>
    </row>
    <row r="1928" ht="20" customHeight="1">
      <c r="A1928" s="26" t="n"/>
      <c r="B1928" s="35">
        <f>IFERROR(IF(A1928="","",VLOOKUP(A1928,DATABASE!$A:$B,2,0)),"")</f>
        <v/>
      </c>
      <c r="C1928" s="36">
        <f>IFERROR(IF(A1928="","",VLOOKUP(A1928,DATABASE!$A:$J,10,0)),"")</f>
        <v/>
      </c>
      <c r="D1928" s="37">
        <f>IF(A1928="","",TODAY())</f>
        <v/>
      </c>
      <c r="E1928" s="29" t="n"/>
      <c r="F1928" s="36">
        <f>IFERROR(IF(OR(A1928="",E1928=""),"",C1928-E1928),"")</f>
        <v/>
      </c>
      <c r="G1928" s="30" t="n"/>
      <c r="H1928" s="35" t="n"/>
    </row>
    <row r="1929" ht="20" customHeight="1">
      <c r="A1929" s="26" t="n"/>
      <c r="B1929" s="27">
        <f>IFERROR(IF(A1929="","",VLOOKUP(A1929,DATABASE!$A:$B,2,0)),"")</f>
        <v/>
      </c>
      <c r="C1929" s="20">
        <f>IFERROR(IF(A1929="","",VLOOKUP(A1929,DATABASE!$A:$J,10,0)),"")</f>
        <v/>
      </c>
      <c r="D1929" s="28">
        <f>IF(A1929="","",TODAY())</f>
        <v/>
      </c>
      <c r="E1929" s="29" t="n"/>
      <c r="F1929" s="20">
        <f>IFERROR(IF(OR(A1929="",E1929=""),"",C1929-E1929),"")</f>
        <v/>
      </c>
      <c r="G1929" s="30" t="n"/>
      <c r="H1929" s="27" t="n"/>
    </row>
    <row r="1930" ht="20" customHeight="1">
      <c r="A1930" s="26" t="n"/>
      <c r="B1930" s="35">
        <f>IFERROR(IF(A1930="","",VLOOKUP(A1930,DATABASE!$A:$B,2,0)),"")</f>
        <v/>
      </c>
      <c r="C1930" s="36">
        <f>IFERROR(IF(A1930="","",VLOOKUP(A1930,DATABASE!$A:$J,10,0)),"")</f>
        <v/>
      </c>
      <c r="D1930" s="37">
        <f>IF(A1930="","",TODAY())</f>
        <v/>
      </c>
      <c r="E1930" s="29" t="n"/>
      <c r="F1930" s="36">
        <f>IFERROR(IF(OR(A1930="",E1930=""),"",C1930-E1930),"")</f>
        <v/>
      </c>
      <c r="G1930" s="30" t="n"/>
      <c r="H1930" s="35" t="n"/>
    </row>
    <row r="1931" ht="20" customHeight="1">
      <c r="A1931" s="26" t="n"/>
      <c r="B1931" s="27">
        <f>IFERROR(IF(A1931="","",VLOOKUP(A1931,DATABASE!$A:$B,2,0)),"")</f>
        <v/>
      </c>
      <c r="C1931" s="20">
        <f>IFERROR(IF(A1931="","",VLOOKUP(A1931,DATABASE!$A:$J,10,0)),"")</f>
        <v/>
      </c>
      <c r="D1931" s="28">
        <f>IF(A1931="","",TODAY())</f>
        <v/>
      </c>
      <c r="E1931" s="29" t="n"/>
      <c r="F1931" s="20">
        <f>IFERROR(IF(OR(A1931="",E1931=""),"",C1931-E1931),"")</f>
        <v/>
      </c>
      <c r="G1931" s="30" t="n"/>
      <c r="H1931" s="27" t="n"/>
    </row>
    <row r="1932" ht="20" customHeight="1">
      <c r="A1932" s="26" t="n"/>
      <c r="B1932" s="35">
        <f>IFERROR(IF(A1932="","",VLOOKUP(A1932,DATABASE!$A:$B,2,0)),"")</f>
        <v/>
      </c>
      <c r="C1932" s="36">
        <f>IFERROR(IF(A1932="","",VLOOKUP(A1932,DATABASE!$A:$J,10,0)),"")</f>
        <v/>
      </c>
      <c r="D1932" s="37">
        <f>IF(A1932="","",TODAY())</f>
        <v/>
      </c>
      <c r="E1932" s="29" t="n"/>
      <c r="F1932" s="36">
        <f>IFERROR(IF(OR(A1932="",E1932=""),"",C1932-E1932),"")</f>
        <v/>
      </c>
      <c r="G1932" s="30" t="n"/>
      <c r="H1932" s="35" t="n"/>
    </row>
    <row r="1933" ht="20" customHeight="1">
      <c r="A1933" s="26" t="n"/>
      <c r="B1933" s="27">
        <f>IFERROR(IF(A1933="","",VLOOKUP(A1933,DATABASE!$A:$B,2,0)),"")</f>
        <v/>
      </c>
      <c r="C1933" s="20">
        <f>IFERROR(IF(A1933="","",VLOOKUP(A1933,DATABASE!$A:$J,10,0)),"")</f>
        <v/>
      </c>
      <c r="D1933" s="28">
        <f>IF(A1933="","",TODAY())</f>
        <v/>
      </c>
      <c r="E1933" s="29" t="n"/>
      <c r="F1933" s="20">
        <f>IFERROR(IF(OR(A1933="",E1933=""),"",C1933-E1933),"")</f>
        <v/>
      </c>
      <c r="G1933" s="30" t="n"/>
      <c r="H1933" s="27" t="n"/>
    </row>
    <row r="1934" ht="20" customHeight="1">
      <c r="A1934" s="26" t="n"/>
      <c r="B1934" s="35">
        <f>IFERROR(IF(A1934="","",VLOOKUP(A1934,DATABASE!$A:$B,2,0)),"")</f>
        <v/>
      </c>
      <c r="C1934" s="36">
        <f>IFERROR(IF(A1934="","",VLOOKUP(A1934,DATABASE!$A:$J,10,0)),"")</f>
        <v/>
      </c>
      <c r="D1934" s="37">
        <f>IF(A1934="","",TODAY())</f>
        <v/>
      </c>
      <c r="E1934" s="29" t="n"/>
      <c r="F1934" s="36">
        <f>IFERROR(IF(OR(A1934="",E1934=""),"",C1934-E1934),"")</f>
        <v/>
      </c>
      <c r="G1934" s="30" t="n"/>
      <c r="H1934" s="35" t="n"/>
    </row>
    <row r="1935" ht="20" customHeight="1">
      <c r="A1935" s="26" t="n"/>
      <c r="B1935" s="27">
        <f>IFERROR(IF(A1935="","",VLOOKUP(A1935,DATABASE!$A:$B,2,0)),"")</f>
        <v/>
      </c>
      <c r="C1935" s="20">
        <f>IFERROR(IF(A1935="","",VLOOKUP(A1935,DATABASE!$A:$J,10,0)),"")</f>
        <v/>
      </c>
      <c r="D1935" s="28">
        <f>IF(A1935="","",TODAY())</f>
        <v/>
      </c>
      <c r="E1935" s="29" t="n"/>
      <c r="F1935" s="20">
        <f>IFERROR(IF(OR(A1935="",E1935=""),"",C1935-E1935),"")</f>
        <v/>
      </c>
      <c r="G1935" s="30" t="n"/>
      <c r="H1935" s="27" t="n"/>
    </row>
    <row r="1936" ht="20" customHeight="1">
      <c r="A1936" s="26" t="n"/>
      <c r="B1936" s="35">
        <f>IFERROR(IF(A1936="","",VLOOKUP(A1936,DATABASE!$A:$B,2,0)),"")</f>
        <v/>
      </c>
      <c r="C1936" s="36">
        <f>IFERROR(IF(A1936="","",VLOOKUP(A1936,DATABASE!$A:$J,10,0)),"")</f>
        <v/>
      </c>
      <c r="D1936" s="37">
        <f>IF(A1936="","",TODAY())</f>
        <v/>
      </c>
      <c r="E1936" s="29" t="n"/>
      <c r="F1936" s="36">
        <f>IFERROR(IF(OR(A1936="",E1936=""),"",C1936-E1936),"")</f>
        <v/>
      </c>
      <c r="G1936" s="30" t="n"/>
      <c r="H1936" s="35" t="n"/>
    </row>
    <row r="1937" ht="20" customHeight="1">
      <c r="A1937" s="26" t="n"/>
      <c r="B1937" s="27">
        <f>IFERROR(IF(A1937="","",VLOOKUP(A1937,DATABASE!$A:$B,2,0)),"")</f>
        <v/>
      </c>
      <c r="C1937" s="20">
        <f>IFERROR(IF(A1937="","",VLOOKUP(A1937,DATABASE!$A:$J,10,0)),"")</f>
        <v/>
      </c>
      <c r="D1937" s="28">
        <f>IF(A1937="","",TODAY())</f>
        <v/>
      </c>
      <c r="E1937" s="29" t="n"/>
      <c r="F1937" s="20">
        <f>IFERROR(IF(OR(A1937="",E1937=""),"",C1937-E1937),"")</f>
        <v/>
      </c>
      <c r="G1937" s="30" t="n"/>
      <c r="H1937" s="27" t="n"/>
    </row>
    <row r="1938" ht="20" customHeight="1">
      <c r="A1938" s="26" t="n"/>
      <c r="B1938" s="35">
        <f>IFERROR(IF(A1938="","",VLOOKUP(A1938,DATABASE!$A:$B,2,0)),"")</f>
        <v/>
      </c>
      <c r="C1938" s="36">
        <f>IFERROR(IF(A1938="","",VLOOKUP(A1938,DATABASE!$A:$J,10,0)),"")</f>
        <v/>
      </c>
      <c r="D1938" s="37">
        <f>IF(A1938="","",TODAY())</f>
        <v/>
      </c>
      <c r="E1938" s="29" t="n"/>
      <c r="F1938" s="36">
        <f>IFERROR(IF(OR(A1938="",E1938=""),"",C1938-E1938),"")</f>
        <v/>
      </c>
      <c r="G1938" s="30" t="n"/>
      <c r="H1938" s="35" t="n"/>
    </row>
    <row r="1939" ht="20" customHeight="1">
      <c r="A1939" s="26" t="n"/>
      <c r="B1939" s="27">
        <f>IFERROR(IF(A1939="","",VLOOKUP(A1939,DATABASE!$A:$B,2,0)),"")</f>
        <v/>
      </c>
      <c r="C1939" s="20">
        <f>IFERROR(IF(A1939="","",VLOOKUP(A1939,DATABASE!$A:$J,10,0)),"")</f>
        <v/>
      </c>
      <c r="D1939" s="28">
        <f>IF(A1939="","",TODAY())</f>
        <v/>
      </c>
      <c r="E1939" s="29" t="n"/>
      <c r="F1939" s="20">
        <f>IFERROR(IF(OR(A1939="",E1939=""),"",C1939-E1939),"")</f>
        <v/>
      </c>
      <c r="G1939" s="30" t="n"/>
      <c r="H1939" s="27" t="n"/>
    </row>
    <row r="1940" ht="20" customHeight="1">
      <c r="A1940" s="26" t="n"/>
      <c r="B1940" s="35">
        <f>IFERROR(IF(A1940="","",VLOOKUP(A1940,DATABASE!$A:$B,2,0)),"")</f>
        <v/>
      </c>
      <c r="C1940" s="36">
        <f>IFERROR(IF(A1940="","",VLOOKUP(A1940,DATABASE!$A:$J,10,0)),"")</f>
        <v/>
      </c>
      <c r="D1940" s="37">
        <f>IF(A1940="","",TODAY())</f>
        <v/>
      </c>
      <c r="E1940" s="29" t="n"/>
      <c r="F1940" s="36">
        <f>IFERROR(IF(OR(A1940="",E1940=""),"",C1940-E1940),"")</f>
        <v/>
      </c>
      <c r="G1940" s="30" t="n"/>
      <c r="H1940" s="35" t="n"/>
    </row>
    <row r="1941" ht="20" customHeight="1">
      <c r="A1941" s="26" t="n"/>
      <c r="B1941" s="27">
        <f>IFERROR(IF(A1941="","",VLOOKUP(A1941,DATABASE!$A:$B,2,0)),"")</f>
        <v/>
      </c>
      <c r="C1941" s="20">
        <f>IFERROR(IF(A1941="","",VLOOKUP(A1941,DATABASE!$A:$J,10,0)),"")</f>
        <v/>
      </c>
      <c r="D1941" s="28">
        <f>IF(A1941="","",TODAY())</f>
        <v/>
      </c>
      <c r="E1941" s="29" t="n"/>
      <c r="F1941" s="20">
        <f>IFERROR(IF(OR(A1941="",E1941=""),"",C1941-E1941),"")</f>
        <v/>
      </c>
      <c r="G1941" s="30" t="n"/>
      <c r="H1941" s="27" t="n"/>
    </row>
    <row r="1942" ht="20" customHeight="1">
      <c r="A1942" s="26" t="n"/>
      <c r="B1942" s="35">
        <f>IFERROR(IF(A1942="","",VLOOKUP(A1942,DATABASE!$A:$B,2,0)),"")</f>
        <v/>
      </c>
      <c r="C1942" s="36">
        <f>IFERROR(IF(A1942="","",VLOOKUP(A1942,DATABASE!$A:$J,10,0)),"")</f>
        <v/>
      </c>
      <c r="D1942" s="37">
        <f>IF(A1942="","",TODAY())</f>
        <v/>
      </c>
      <c r="E1942" s="29" t="n"/>
      <c r="F1942" s="36">
        <f>IFERROR(IF(OR(A1942="",E1942=""),"",C1942-E1942),"")</f>
        <v/>
      </c>
      <c r="G1942" s="30" t="n"/>
      <c r="H1942" s="35" t="n"/>
    </row>
    <row r="1943" ht="20" customHeight="1">
      <c r="A1943" s="26" t="n"/>
      <c r="B1943" s="27">
        <f>IFERROR(IF(A1943="","",VLOOKUP(A1943,DATABASE!$A:$B,2,0)),"")</f>
        <v/>
      </c>
      <c r="C1943" s="20">
        <f>IFERROR(IF(A1943="","",VLOOKUP(A1943,DATABASE!$A:$J,10,0)),"")</f>
        <v/>
      </c>
      <c r="D1943" s="28">
        <f>IF(A1943="","",TODAY())</f>
        <v/>
      </c>
      <c r="E1943" s="29" t="n"/>
      <c r="F1943" s="20">
        <f>IFERROR(IF(OR(A1943="",E1943=""),"",C1943-E1943),"")</f>
        <v/>
      </c>
      <c r="G1943" s="30" t="n"/>
      <c r="H1943" s="27" t="n"/>
    </row>
    <row r="1944" ht="20" customHeight="1">
      <c r="A1944" s="26" t="n"/>
      <c r="B1944" s="35">
        <f>IFERROR(IF(A1944="","",VLOOKUP(A1944,DATABASE!$A:$B,2,0)),"")</f>
        <v/>
      </c>
      <c r="C1944" s="36">
        <f>IFERROR(IF(A1944="","",VLOOKUP(A1944,DATABASE!$A:$J,10,0)),"")</f>
        <v/>
      </c>
      <c r="D1944" s="37">
        <f>IF(A1944="","",TODAY())</f>
        <v/>
      </c>
      <c r="E1944" s="29" t="n"/>
      <c r="F1944" s="36">
        <f>IFERROR(IF(OR(A1944="",E1944=""),"",C1944-E1944),"")</f>
        <v/>
      </c>
      <c r="G1944" s="30" t="n"/>
      <c r="H1944" s="35" t="n"/>
    </row>
    <row r="1945" ht="20" customHeight="1">
      <c r="A1945" s="26" t="n"/>
      <c r="B1945" s="27">
        <f>IFERROR(IF(A1945="","",VLOOKUP(A1945,DATABASE!$A:$B,2,0)),"")</f>
        <v/>
      </c>
      <c r="C1945" s="20">
        <f>IFERROR(IF(A1945="","",VLOOKUP(A1945,DATABASE!$A:$J,10,0)),"")</f>
        <v/>
      </c>
      <c r="D1945" s="28">
        <f>IF(A1945="","",TODAY())</f>
        <v/>
      </c>
      <c r="E1945" s="29" t="n"/>
      <c r="F1945" s="20">
        <f>IFERROR(IF(OR(A1945="",E1945=""),"",C1945-E1945),"")</f>
        <v/>
      </c>
      <c r="G1945" s="30" t="n"/>
      <c r="H1945" s="27" t="n"/>
    </row>
    <row r="1946" ht="20" customHeight="1">
      <c r="A1946" s="26" t="n"/>
      <c r="B1946" s="35">
        <f>IFERROR(IF(A1946="","",VLOOKUP(A1946,DATABASE!$A:$B,2,0)),"")</f>
        <v/>
      </c>
      <c r="C1946" s="36">
        <f>IFERROR(IF(A1946="","",VLOOKUP(A1946,DATABASE!$A:$J,10,0)),"")</f>
        <v/>
      </c>
      <c r="D1946" s="37">
        <f>IF(A1946="","",TODAY())</f>
        <v/>
      </c>
      <c r="E1946" s="29" t="n"/>
      <c r="F1946" s="36">
        <f>IFERROR(IF(OR(A1946="",E1946=""),"",C1946-E1946),"")</f>
        <v/>
      </c>
      <c r="G1946" s="30" t="n"/>
      <c r="H1946" s="35" t="n"/>
    </row>
    <row r="1947" ht="20" customHeight="1">
      <c r="A1947" s="26" t="n"/>
      <c r="B1947" s="27">
        <f>IFERROR(IF(A1947="","",VLOOKUP(A1947,DATABASE!$A:$B,2,0)),"")</f>
        <v/>
      </c>
      <c r="C1947" s="20">
        <f>IFERROR(IF(A1947="","",VLOOKUP(A1947,DATABASE!$A:$J,10,0)),"")</f>
        <v/>
      </c>
      <c r="D1947" s="28">
        <f>IF(A1947="","",TODAY())</f>
        <v/>
      </c>
      <c r="E1947" s="29" t="n"/>
      <c r="F1947" s="20">
        <f>IFERROR(IF(OR(A1947="",E1947=""),"",C1947-E1947),"")</f>
        <v/>
      </c>
      <c r="G1947" s="30" t="n"/>
      <c r="H1947" s="27" t="n"/>
    </row>
    <row r="1948" ht="20" customHeight="1">
      <c r="A1948" s="26" t="n"/>
      <c r="B1948" s="35">
        <f>IFERROR(IF(A1948="","",VLOOKUP(A1948,DATABASE!$A:$B,2,0)),"")</f>
        <v/>
      </c>
      <c r="C1948" s="36">
        <f>IFERROR(IF(A1948="","",VLOOKUP(A1948,DATABASE!$A:$J,10,0)),"")</f>
        <v/>
      </c>
      <c r="D1948" s="37">
        <f>IF(A1948="","",TODAY())</f>
        <v/>
      </c>
      <c r="E1948" s="29" t="n"/>
      <c r="F1948" s="36">
        <f>IFERROR(IF(OR(A1948="",E1948=""),"",C1948-E1948),"")</f>
        <v/>
      </c>
      <c r="G1948" s="30" t="n"/>
      <c r="H1948" s="35" t="n"/>
    </row>
    <row r="1949" ht="20" customHeight="1">
      <c r="A1949" s="26" t="n"/>
      <c r="B1949" s="27">
        <f>IFERROR(IF(A1949="","",VLOOKUP(A1949,DATABASE!$A:$B,2,0)),"")</f>
        <v/>
      </c>
      <c r="C1949" s="20">
        <f>IFERROR(IF(A1949="","",VLOOKUP(A1949,DATABASE!$A:$J,10,0)),"")</f>
        <v/>
      </c>
      <c r="D1949" s="28">
        <f>IF(A1949="","",TODAY())</f>
        <v/>
      </c>
      <c r="E1949" s="29" t="n"/>
      <c r="F1949" s="20">
        <f>IFERROR(IF(OR(A1949="",E1949=""),"",C1949-E1949),"")</f>
        <v/>
      </c>
      <c r="G1949" s="30" t="n"/>
      <c r="H1949" s="27" t="n"/>
    </row>
    <row r="1950" ht="20" customHeight="1">
      <c r="A1950" s="26" t="n"/>
      <c r="B1950" s="35">
        <f>IFERROR(IF(A1950="","",VLOOKUP(A1950,DATABASE!$A:$B,2,0)),"")</f>
        <v/>
      </c>
      <c r="C1950" s="36">
        <f>IFERROR(IF(A1950="","",VLOOKUP(A1950,DATABASE!$A:$J,10,0)),"")</f>
        <v/>
      </c>
      <c r="D1950" s="37">
        <f>IF(A1950="","",TODAY())</f>
        <v/>
      </c>
      <c r="E1950" s="29" t="n"/>
      <c r="F1950" s="36">
        <f>IFERROR(IF(OR(A1950="",E1950=""),"",C1950-E1950),"")</f>
        <v/>
      </c>
      <c r="G1950" s="30" t="n"/>
      <c r="H1950" s="35" t="n"/>
    </row>
    <row r="1951" ht="20" customHeight="1">
      <c r="A1951" s="26" t="n"/>
      <c r="B1951" s="27">
        <f>IFERROR(IF(A1951="","",VLOOKUP(A1951,DATABASE!$A:$B,2,0)),"")</f>
        <v/>
      </c>
      <c r="C1951" s="20">
        <f>IFERROR(IF(A1951="","",VLOOKUP(A1951,DATABASE!$A:$J,10,0)),"")</f>
        <v/>
      </c>
      <c r="D1951" s="28">
        <f>IF(A1951="","",TODAY())</f>
        <v/>
      </c>
      <c r="E1951" s="29" t="n"/>
      <c r="F1951" s="20">
        <f>IFERROR(IF(OR(A1951="",E1951=""),"",C1951-E1951),"")</f>
        <v/>
      </c>
      <c r="G1951" s="30" t="n"/>
      <c r="H1951" s="27" t="n"/>
    </row>
    <row r="1952" ht="20" customHeight="1">
      <c r="A1952" s="26" t="n"/>
      <c r="B1952" s="35">
        <f>IFERROR(IF(A1952="","",VLOOKUP(A1952,DATABASE!$A:$B,2,0)),"")</f>
        <v/>
      </c>
      <c r="C1952" s="36">
        <f>IFERROR(IF(A1952="","",VLOOKUP(A1952,DATABASE!$A:$J,10,0)),"")</f>
        <v/>
      </c>
      <c r="D1952" s="37">
        <f>IF(A1952="","",TODAY())</f>
        <v/>
      </c>
      <c r="E1952" s="29" t="n"/>
      <c r="F1952" s="36">
        <f>IFERROR(IF(OR(A1952="",E1952=""),"",C1952-E1952),"")</f>
        <v/>
      </c>
      <c r="G1952" s="30" t="n"/>
      <c r="H1952" s="35" t="n"/>
    </row>
    <row r="1953" ht="20" customHeight="1">
      <c r="A1953" s="26" t="n"/>
      <c r="B1953" s="27">
        <f>IFERROR(IF(A1953="","",VLOOKUP(A1953,DATABASE!$A:$B,2,0)),"")</f>
        <v/>
      </c>
      <c r="C1953" s="20">
        <f>IFERROR(IF(A1953="","",VLOOKUP(A1953,DATABASE!$A:$J,10,0)),"")</f>
        <v/>
      </c>
      <c r="D1953" s="28">
        <f>IF(A1953="","",TODAY())</f>
        <v/>
      </c>
      <c r="E1953" s="29" t="n"/>
      <c r="F1953" s="20">
        <f>IFERROR(IF(OR(A1953="",E1953=""),"",C1953-E1953),"")</f>
        <v/>
      </c>
      <c r="G1953" s="30" t="n"/>
      <c r="H1953" s="27" t="n"/>
    </row>
    <row r="1954" ht="20" customHeight="1">
      <c r="A1954" s="26" t="n"/>
      <c r="B1954" s="35">
        <f>IFERROR(IF(A1954="","",VLOOKUP(A1954,DATABASE!$A:$B,2,0)),"")</f>
        <v/>
      </c>
      <c r="C1954" s="36">
        <f>IFERROR(IF(A1954="","",VLOOKUP(A1954,DATABASE!$A:$J,10,0)),"")</f>
        <v/>
      </c>
      <c r="D1954" s="37">
        <f>IF(A1954="","",TODAY())</f>
        <v/>
      </c>
      <c r="E1954" s="29" t="n"/>
      <c r="F1954" s="36">
        <f>IFERROR(IF(OR(A1954="",E1954=""),"",C1954-E1954),"")</f>
        <v/>
      </c>
      <c r="G1954" s="30" t="n"/>
      <c r="H1954" s="35" t="n"/>
    </row>
    <row r="1955" ht="20" customHeight="1">
      <c r="A1955" s="26" t="n"/>
      <c r="B1955" s="27">
        <f>IFERROR(IF(A1955="","",VLOOKUP(A1955,DATABASE!$A:$B,2,0)),"")</f>
        <v/>
      </c>
      <c r="C1955" s="20">
        <f>IFERROR(IF(A1955="","",VLOOKUP(A1955,DATABASE!$A:$J,10,0)),"")</f>
        <v/>
      </c>
      <c r="D1955" s="28">
        <f>IF(A1955="","",TODAY())</f>
        <v/>
      </c>
      <c r="E1955" s="29" t="n"/>
      <c r="F1955" s="20">
        <f>IFERROR(IF(OR(A1955="",E1955=""),"",C1955-E1955),"")</f>
        <v/>
      </c>
      <c r="G1955" s="30" t="n"/>
      <c r="H1955" s="27" t="n"/>
    </row>
    <row r="1956" ht="20" customHeight="1">
      <c r="A1956" s="26" t="n"/>
      <c r="B1956" s="35">
        <f>IFERROR(IF(A1956="","",VLOOKUP(A1956,DATABASE!$A:$B,2,0)),"")</f>
        <v/>
      </c>
      <c r="C1956" s="36">
        <f>IFERROR(IF(A1956="","",VLOOKUP(A1956,DATABASE!$A:$J,10,0)),"")</f>
        <v/>
      </c>
      <c r="D1956" s="37">
        <f>IF(A1956="","",TODAY())</f>
        <v/>
      </c>
      <c r="E1956" s="29" t="n"/>
      <c r="F1956" s="36">
        <f>IFERROR(IF(OR(A1956="",E1956=""),"",C1956-E1956),"")</f>
        <v/>
      </c>
      <c r="G1956" s="30" t="n"/>
      <c r="H1956" s="35" t="n"/>
    </row>
    <row r="1957" ht="20" customHeight="1">
      <c r="A1957" s="26" t="n"/>
      <c r="B1957" s="27">
        <f>IFERROR(IF(A1957="","",VLOOKUP(A1957,DATABASE!$A:$B,2,0)),"")</f>
        <v/>
      </c>
      <c r="C1957" s="20">
        <f>IFERROR(IF(A1957="","",VLOOKUP(A1957,DATABASE!$A:$J,10,0)),"")</f>
        <v/>
      </c>
      <c r="D1957" s="28">
        <f>IF(A1957="","",TODAY())</f>
        <v/>
      </c>
      <c r="E1957" s="29" t="n"/>
      <c r="F1957" s="20">
        <f>IFERROR(IF(OR(A1957="",E1957=""),"",C1957-E1957),"")</f>
        <v/>
      </c>
      <c r="G1957" s="30" t="n"/>
      <c r="H1957" s="27" t="n"/>
    </row>
    <row r="1958" ht="20" customHeight="1">
      <c r="A1958" s="26" t="n"/>
      <c r="B1958" s="35">
        <f>IFERROR(IF(A1958="","",VLOOKUP(A1958,DATABASE!$A:$B,2,0)),"")</f>
        <v/>
      </c>
      <c r="C1958" s="36">
        <f>IFERROR(IF(A1958="","",VLOOKUP(A1958,DATABASE!$A:$J,10,0)),"")</f>
        <v/>
      </c>
      <c r="D1958" s="37">
        <f>IF(A1958="","",TODAY())</f>
        <v/>
      </c>
      <c r="E1958" s="29" t="n"/>
      <c r="F1958" s="36">
        <f>IFERROR(IF(OR(A1958="",E1958=""),"",C1958-E1958),"")</f>
        <v/>
      </c>
      <c r="G1958" s="30" t="n"/>
      <c r="H1958" s="35" t="n"/>
    </row>
    <row r="1959" ht="20" customHeight="1">
      <c r="A1959" s="26" t="n"/>
      <c r="B1959" s="27">
        <f>IFERROR(IF(A1959="","",VLOOKUP(A1959,DATABASE!$A:$B,2,0)),"")</f>
        <v/>
      </c>
      <c r="C1959" s="20">
        <f>IFERROR(IF(A1959="","",VLOOKUP(A1959,DATABASE!$A:$J,10,0)),"")</f>
        <v/>
      </c>
      <c r="D1959" s="28">
        <f>IF(A1959="","",TODAY())</f>
        <v/>
      </c>
      <c r="E1959" s="29" t="n"/>
      <c r="F1959" s="20">
        <f>IFERROR(IF(OR(A1959="",E1959=""),"",C1959-E1959),"")</f>
        <v/>
      </c>
      <c r="G1959" s="30" t="n"/>
      <c r="H1959" s="27" t="n"/>
    </row>
    <row r="1960" ht="20" customHeight="1">
      <c r="A1960" s="26" t="n"/>
      <c r="B1960" s="35">
        <f>IFERROR(IF(A1960="","",VLOOKUP(A1960,DATABASE!$A:$B,2,0)),"")</f>
        <v/>
      </c>
      <c r="C1960" s="36">
        <f>IFERROR(IF(A1960="","",VLOOKUP(A1960,DATABASE!$A:$J,10,0)),"")</f>
        <v/>
      </c>
      <c r="D1960" s="37">
        <f>IF(A1960="","",TODAY())</f>
        <v/>
      </c>
      <c r="E1960" s="29" t="n"/>
      <c r="F1960" s="36">
        <f>IFERROR(IF(OR(A1960="",E1960=""),"",C1960-E1960),"")</f>
        <v/>
      </c>
      <c r="G1960" s="30" t="n"/>
      <c r="H1960" s="35" t="n"/>
    </row>
    <row r="1961" ht="20" customHeight="1">
      <c r="A1961" s="26" t="n"/>
      <c r="B1961" s="27">
        <f>IFERROR(IF(A1961="","",VLOOKUP(A1961,DATABASE!$A:$B,2,0)),"")</f>
        <v/>
      </c>
      <c r="C1961" s="20">
        <f>IFERROR(IF(A1961="","",VLOOKUP(A1961,DATABASE!$A:$J,10,0)),"")</f>
        <v/>
      </c>
      <c r="D1961" s="28">
        <f>IF(A1961="","",TODAY())</f>
        <v/>
      </c>
      <c r="E1961" s="29" t="n"/>
      <c r="F1961" s="20">
        <f>IFERROR(IF(OR(A1961="",E1961=""),"",C1961-E1961),"")</f>
        <v/>
      </c>
      <c r="G1961" s="30" t="n"/>
      <c r="H1961" s="27" t="n"/>
    </row>
    <row r="1962" ht="20" customHeight="1">
      <c r="A1962" s="26" t="n"/>
      <c r="B1962" s="35">
        <f>IFERROR(IF(A1962="","",VLOOKUP(A1962,DATABASE!$A:$B,2,0)),"")</f>
        <v/>
      </c>
      <c r="C1962" s="36">
        <f>IFERROR(IF(A1962="","",VLOOKUP(A1962,DATABASE!$A:$J,10,0)),"")</f>
        <v/>
      </c>
      <c r="D1962" s="37">
        <f>IF(A1962="","",TODAY())</f>
        <v/>
      </c>
      <c r="E1962" s="29" t="n"/>
      <c r="F1962" s="36">
        <f>IFERROR(IF(OR(A1962="",E1962=""),"",C1962-E1962),"")</f>
        <v/>
      </c>
      <c r="G1962" s="30" t="n"/>
      <c r="H1962" s="35" t="n"/>
    </row>
    <row r="1963" ht="20" customHeight="1">
      <c r="A1963" s="26" t="n"/>
      <c r="B1963" s="27">
        <f>IFERROR(IF(A1963="","",VLOOKUP(A1963,DATABASE!$A:$B,2,0)),"")</f>
        <v/>
      </c>
      <c r="C1963" s="20">
        <f>IFERROR(IF(A1963="","",VLOOKUP(A1963,DATABASE!$A:$J,10,0)),"")</f>
        <v/>
      </c>
      <c r="D1963" s="28">
        <f>IF(A1963="","",TODAY())</f>
        <v/>
      </c>
      <c r="E1963" s="29" t="n"/>
      <c r="F1963" s="20">
        <f>IFERROR(IF(OR(A1963="",E1963=""),"",C1963-E1963),"")</f>
        <v/>
      </c>
      <c r="G1963" s="30" t="n"/>
      <c r="H1963" s="27" t="n"/>
    </row>
    <row r="1964" ht="20" customHeight="1">
      <c r="A1964" s="26" t="n"/>
      <c r="B1964" s="35">
        <f>IFERROR(IF(A1964="","",VLOOKUP(A1964,DATABASE!$A:$B,2,0)),"")</f>
        <v/>
      </c>
      <c r="C1964" s="36">
        <f>IFERROR(IF(A1964="","",VLOOKUP(A1964,DATABASE!$A:$J,10,0)),"")</f>
        <v/>
      </c>
      <c r="D1964" s="37">
        <f>IF(A1964="","",TODAY())</f>
        <v/>
      </c>
      <c r="E1964" s="29" t="n"/>
      <c r="F1964" s="36">
        <f>IFERROR(IF(OR(A1964="",E1964=""),"",C1964-E1964),"")</f>
        <v/>
      </c>
      <c r="G1964" s="30" t="n"/>
      <c r="H1964" s="35" t="n"/>
    </row>
    <row r="1965" ht="20" customHeight="1">
      <c r="A1965" s="26" t="n"/>
      <c r="B1965" s="27">
        <f>IFERROR(IF(A1965="","",VLOOKUP(A1965,DATABASE!$A:$B,2,0)),"")</f>
        <v/>
      </c>
      <c r="C1965" s="20">
        <f>IFERROR(IF(A1965="","",VLOOKUP(A1965,DATABASE!$A:$J,10,0)),"")</f>
        <v/>
      </c>
      <c r="D1965" s="28">
        <f>IF(A1965="","",TODAY())</f>
        <v/>
      </c>
      <c r="E1965" s="29" t="n"/>
      <c r="F1965" s="20">
        <f>IFERROR(IF(OR(A1965="",E1965=""),"",C1965-E1965),"")</f>
        <v/>
      </c>
      <c r="G1965" s="30" t="n"/>
      <c r="H1965" s="27" t="n"/>
    </row>
    <row r="1966" ht="20" customHeight="1">
      <c r="A1966" s="26" t="n"/>
      <c r="B1966" s="35">
        <f>IFERROR(IF(A1966="","",VLOOKUP(A1966,DATABASE!$A:$B,2,0)),"")</f>
        <v/>
      </c>
      <c r="C1966" s="36">
        <f>IFERROR(IF(A1966="","",VLOOKUP(A1966,DATABASE!$A:$J,10,0)),"")</f>
        <v/>
      </c>
      <c r="D1966" s="37">
        <f>IF(A1966="","",TODAY())</f>
        <v/>
      </c>
      <c r="E1966" s="29" t="n"/>
      <c r="F1966" s="36">
        <f>IFERROR(IF(OR(A1966="",E1966=""),"",C1966-E1966),"")</f>
        <v/>
      </c>
      <c r="G1966" s="30" t="n"/>
      <c r="H1966" s="35" t="n"/>
    </row>
    <row r="1967" ht="20" customHeight="1">
      <c r="A1967" s="26" t="n"/>
      <c r="B1967" s="27">
        <f>IFERROR(IF(A1967="","",VLOOKUP(A1967,DATABASE!$A:$B,2,0)),"")</f>
        <v/>
      </c>
      <c r="C1967" s="20">
        <f>IFERROR(IF(A1967="","",VLOOKUP(A1967,DATABASE!$A:$J,10,0)),"")</f>
        <v/>
      </c>
      <c r="D1967" s="28">
        <f>IF(A1967="","",TODAY())</f>
        <v/>
      </c>
      <c r="E1967" s="29" t="n"/>
      <c r="F1967" s="20">
        <f>IFERROR(IF(OR(A1967="",E1967=""),"",C1967-E1967),"")</f>
        <v/>
      </c>
      <c r="G1967" s="30" t="n"/>
      <c r="H1967" s="27" t="n"/>
    </row>
    <row r="1968" ht="20" customHeight="1">
      <c r="A1968" s="26" t="n"/>
      <c r="B1968" s="35">
        <f>IFERROR(IF(A1968="","",VLOOKUP(A1968,DATABASE!$A:$B,2,0)),"")</f>
        <v/>
      </c>
      <c r="C1968" s="36">
        <f>IFERROR(IF(A1968="","",VLOOKUP(A1968,DATABASE!$A:$J,10,0)),"")</f>
        <v/>
      </c>
      <c r="D1968" s="37">
        <f>IF(A1968="","",TODAY())</f>
        <v/>
      </c>
      <c r="E1968" s="29" t="n"/>
      <c r="F1968" s="36">
        <f>IFERROR(IF(OR(A1968="",E1968=""),"",C1968-E1968),"")</f>
        <v/>
      </c>
      <c r="G1968" s="30" t="n"/>
      <c r="H1968" s="35" t="n"/>
    </row>
    <row r="1969" ht="20" customHeight="1">
      <c r="A1969" s="26" t="n"/>
      <c r="B1969" s="27">
        <f>IFERROR(IF(A1969="","",VLOOKUP(A1969,DATABASE!$A:$B,2,0)),"")</f>
        <v/>
      </c>
      <c r="C1969" s="20">
        <f>IFERROR(IF(A1969="","",VLOOKUP(A1969,DATABASE!$A:$J,10,0)),"")</f>
        <v/>
      </c>
      <c r="D1969" s="28">
        <f>IF(A1969="","",TODAY())</f>
        <v/>
      </c>
      <c r="E1969" s="29" t="n"/>
      <c r="F1969" s="20">
        <f>IFERROR(IF(OR(A1969="",E1969=""),"",C1969-E1969),"")</f>
        <v/>
      </c>
      <c r="G1969" s="30" t="n"/>
      <c r="H1969" s="27" t="n"/>
    </row>
    <row r="1970" ht="20" customHeight="1">
      <c r="A1970" s="26" t="n"/>
      <c r="B1970" s="35">
        <f>IFERROR(IF(A1970="","",VLOOKUP(A1970,DATABASE!$A:$B,2,0)),"")</f>
        <v/>
      </c>
      <c r="C1970" s="36">
        <f>IFERROR(IF(A1970="","",VLOOKUP(A1970,DATABASE!$A:$J,10,0)),"")</f>
        <v/>
      </c>
      <c r="D1970" s="37">
        <f>IF(A1970="","",TODAY())</f>
        <v/>
      </c>
      <c r="E1970" s="29" t="n"/>
      <c r="F1970" s="36">
        <f>IFERROR(IF(OR(A1970="",E1970=""),"",C1970-E1970),"")</f>
        <v/>
      </c>
      <c r="G1970" s="30" t="n"/>
      <c r="H1970" s="35" t="n"/>
    </row>
    <row r="1971" ht="20" customHeight="1">
      <c r="A1971" s="26" t="n"/>
      <c r="B1971" s="27">
        <f>IFERROR(IF(A1971="","",VLOOKUP(A1971,DATABASE!$A:$B,2,0)),"")</f>
        <v/>
      </c>
      <c r="C1971" s="20">
        <f>IFERROR(IF(A1971="","",VLOOKUP(A1971,DATABASE!$A:$J,10,0)),"")</f>
        <v/>
      </c>
      <c r="D1971" s="28">
        <f>IF(A1971="","",TODAY())</f>
        <v/>
      </c>
      <c r="E1971" s="29" t="n"/>
      <c r="F1971" s="20">
        <f>IFERROR(IF(OR(A1971="",E1971=""),"",C1971-E1971),"")</f>
        <v/>
      </c>
      <c r="G1971" s="30" t="n"/>
      <c r="H1971" s="27" t="n"/>
    </row>
    <row r="1972" ht="20" customHeight="1">
      <c r="A1972" s="26" t="n"/>
      <c r="B1972" s="35">
        <f>IFERROR(IF(A1972="","",VLOOKUP(A1972,DATABASE!$A:$B,2,0)),"")</f>
        <v/>
      </c>
      <c r="C1972" s="36">
        <f>IFERROR(IF(A1972="","",VLOOKUP(A1972,DATABASE!$A:$J,10,0)),"")</f>
        <v/>
      </c>
      <c r="D1972" s="37">
        <f>IF(A1972="","",TODAY())</f>
        <v/>
      </c>
      <c r="E1972" s="29" t="n"/>
      <c r="F1972" s="36">
        <f>IFERROR(IF(OR(A1972="",E1972=""),"",C1972-E1972),"")</f>
        <v/>
      </c>
      <c r="G1972" s="30" t="n"/>
      <c r="H1972" s="35" t="n"/>
    </row>
    <row r="1973" ht="20" customHeight="1">
      <c r="A1973" s="26" t="n"/>
      <c r="B1973" s="27">
        <f>IFERROR(IF(A1973="","",VLOOKUP(A1973,DATABASE!$A:$B,2,0)),"")</f>
        <v/>
      </c>
      <c r="C1973" s="20">
        <f>IFERROR(IF(A1973="","",VLOOKUP(A1973,DATABASE!$A:$J,10,0)),"")</f>
        <v/>
      </c>
      <c r="D1973" s="28">
        <f>IF(A1973="","",TODAY())</f>
        <v/>
      </c>
      <c r="E1973" s="29" t="n"/>
      <c r="F1973" s="20">
        <f>IFERROR(IF(OR(A1973="",E1973=""),"",C1973-E1973),"")</f>
        <v/>
      </c>
      <c r="G1973" s="30" t="n"/>
      <c r="H1973" s="27" t="n"/>
    </row>
    <row r="1974" ht="20" customHeight="1">
      <c r="A1974" s="26" t="n"/>
      <c r="B1974" s="35">
        <f>IFERROR(IF(A1974="","",VLOOKUP(A1974,DATABASE!$A:$B,2,0)),"")</f>
        <v/>
      </c>
      <c r="C1974" s="36">
        <f>IFERROR(IF(A1974="","",VLOOKUP(A1974,DATABASE!$A:$J,10,0)),"")</f>
        <v/>
      </c>
      <c r="D1974" s="37">
        <f>IF(A1974="","",TODAY())</f>
        <v/>
      </c>
      <c r="E1974" s="29" t="n"/>
      <c r="F1974" s="36">
        <f>IFERROR(IF(OR(A1974="",E1974=""),"",C1974-E1974),"")</f>
        <v/>
      </c>
      <c r="G1974" s="30" t="n"/>
      <c r="H1974" s="35" t="n"/>
    </row>
    <row r="1975" ht="20" customHeight="1">
      <c r="A1975" s="26" t="n"/>
      <c r="B1975" s="27">
        <f>IFERROR(IF(A1975="","",VLOOKUP(A1975,DATABASE!$A:$B,2,0)),"")</f>
        <v/>
      </c>
      <c r="C1975" s="20">
        <f>IFERROR(IF(A1975="","",VLOOKUP(A1975,DATABASE!$A:$J,10,0)),"")</f>
        <v/>
      </c>
      <c r="D1975" s="28">
        <f>IF(A1975="","",TODAY())</f>
        <v/>
      </c>
      <c r="E1975" s="29" t="n"/>
      <c r="F1975" s="20">
        <f>IFERROR(IF(OR(A1975="",E1975=""),"",C1975-E1975),"")</f>
        <v/>
      </c>
      <c r="G1975" s="30" t="n"/>
      <c r="H1975" s="27" t="n"/>
    </row>
    <row r="1976" ht="20" customHeight="1">
      <c r="A1976" s="26" t="n"/>
      <c r="B1976" s="35">
        <f>IFERROR(IF(A1976="","",VLOOKUP(A1976,DATABASE!$A:$B,2,0)),"")</f>
        <v/>
      </c>
      <c r="C1976" s="36">
        <f>IFERROR(IF(A1976="","",VLOOKUP(A1976,DATABASE!$A:$J,10,0)),"")</f>
        <v/>
      </c>
      <c r="D1976" s="37">
        <f>IF(A1976="","",TODAY())</f>
        <v/>
      </c>
      <c r="E1976" s="29" t="n"/>
      <c r="F1976" s="36">
        <f>IFERROR(IF(OR(A1976="",E1976=""),"",C1976-E1976),"")</f>
        <v/>
      </c>
      <c r="G1976" s="30" t="n"/>
      <c r="H1976" s="35" t="n"/>
    </row>
    <row r="1977" ht="20" customHeight="1">
      <c r="A1977" s="26" t="n"/>
      <c r="B1977" s="27">
        <f>IFERROR(IF(A1977="","",VLOOKUP(A1977,DATABASE!$A:$B,2,0)),"")</f>
        <v/>
      </c>
      <c r="C1977" s="20">
        <f>IFERROR(IF(A1977="","",VLOOKUP(A1977,DATABASE!$A:$J,10,0)),"")</f>
        <v/>
      </c>
      <c r="D1977" s="28">
        <f>IF(A1977="","",TODAY())</f>
        <v/>
      </c>
      <c r="E1977" s="29" t="n"/>
      <c r="F1977" s="20">
        <f>IFERROR(IF(OR(A1977="",E1977=""),"",C1977-E1977),"")</f>
        <v/>
      </c>
      <c r="G1977" s="30" t="n"/>
      <c r="H1977" s="27" t="n"/>
    </row>
    <row r="1978" ht="20" customHeight="1">
      <c r="A1978" s="26" t="n"/>
      <c r="B1978" s="35">
        <f>IFERROR(IF(A1978="","",VLOOKUP(A1978,DATABASE!$A:$B,2,0)),"")</f>
        <v/>
      </c>
      <c r="C1978" s="36">
        <f>IFERROR(IF(A1978="","",VLOOKUP(A1978,DATABASE!$A:$J,10,0)),"")</f>
        <v/>
      </c>
      <c r="D1978" s="37">
        <f>IF(A1978="","",TODAY())</f>
        <v/>
      </c>
      <c r="E1978" s="29" t="n"/>
      <c r="F1978" s="36">
        <f>IFERROR(IF(OR(A1978="",E1978=""),"",C1978-E1978),"")</f>
        <v/>
      </c>
      <c r="G1978" s="30" t="n"/>
      <c r="H1978" s="35" t="n"/>
    </row>
    <row r="1979" ht="20" customHeight="1">
      <c r="A1979" s="26" t="n"/>
      <c r="B1979" s="27">
        <f>IFERROR(IF(A1979="","",VLOOKUP(A1979,DATABASE!$A:$B,2,0)),"")</f>
        <v/>
      </c>
      <c r="C1979" s="20">
        <f>IFERROR(IF(A1979="","",VLOOKUP(A1979,DATABASE!$A:$J,10,0)),"")</f>
        <v/>
      </c>
      <c r="D1979" s="28">
        <f>IF(A1979="","",TODAY())</f>
        <v/>
      </c>
      <c r="E1979" s="29" t="n"/>
      <c r="F1979" s="20">
        <f>IFERROR(IF(OR(A1979="",E1979=""),"",C1979-E1979),"")</f>
        <v/>
      </c>
      <c r="G1979" s="30" t="n"/>
      <c r="H1979" s="27" t="n"/>
    </row>
    <row r="1980" ht="20" customHeight="1">
      <c r="A1980" s="26" t="n"/>
      <c r="B1980" s="35">
        <f>IFERROR(IF(A1980="","",VLOOKUP(A1980,DATABASE!$A:$B,2,0)),"")</f>
        <v/>
      </c>
      <c r="C1980" s="36">
        <f>IFERROR(IF(A1980="","",VLOOKUP(A1980,DATABASE!$A:$J,10,0)),"")</f>
        <v/>
      </c>
      <c r="D1980" s="37">
        <f>IF(A1980="","",TODAY())</f>
        <v/>
      </c>
      <c r="E1980" s="29" t="n"/>
      <c r="F1980" s="36">
        <f>IFERROR(IF(OR(A1980="",E1980=""),"",C1980-E1980),"")</f>
        <v/>
      </c>
      <c r="G1980" s="30" t="n"/>
      <c r="H1980" s="35" t="n"/>
    </row>
    <row r="1981" ht="20" customHeight="1">
      <c r="A1981" s="26" t="n"/>
      <c r="B1981" s="27">
        <f>IFERROR(IF(A1981="","",VLOOKUP(A1981,DATABASE!$A:$B,2,0)),"")</f>
        <v/>
      </c>
      <c r="C1981" s="20">
        <f>IFERROR(IF(A1981="","",VLOOKUP(A1981,DATABASE!$A:$J,10,0)),"")</f>
        <v/>
      </c>
      <c r="D1981" s="28">
        <f>IF(A1981="","",TODAY())</f>
        <v/>
      </c>
      <c r="E1981" s="29" t="n"/>
      <c r="F1981" s="20">
        <f>IFERROR(IF(OR(A1981="",E1981=""),"",C1981-E1981),"")</f>
        <v/>
      </c>
      <c r="G1981" s="30" t="n"/>
      <c r="H1981" s="27" t="n"/>
    </row>
    <row r="1982" ht="20" customHeight="1">
      <c r="A1982" s="26" t="n"/>
      <c r="B1982" s="35">
        <f>IFERROR(IF(A1982="","",VLOOKUP(A1982,DATABASE!$A:$B,2,0)),"")</f>
        <v/>
      </c>
      <c r="C1982" s="36">
        <f>IFERROR(IF(A1982="","",VLOOKUP(A1982,DATABASE!$A:$J,10,0)),"")</f>
        <v/>
      </c>
      <c r="D1982" s="37">
        <f>IF(A1982="","",TODAY())</f>
        <v/>
      </c>
      <c r="E1982" s="29" t="n"/>
      <c r="F1982" s="36">
        <f>IFERROR(IF(OR(A1982="",E1982=""),"",C1982-E1982),"")</f>
        <v/>
      </c>
      <c r="G1982" s="30" t="n"/>
      <c r="H1982" s="35" t="n"/>
    </row>
    <row r="1983" ht="20" customHeight="1">
      <c r="A1983" s="26" t="n"/>
      <c r="B1983" s="27">
        <f>IFERROR(IF(A1983="","",VLOOKUP(A1983,DATABASE!$A:$B,2,0)),"")</f>
        <v/>
      </c>
      <c r="C1983" s="20">
        <f>IFERROR(IF(A1983="","",VLOOKUP(A1983,DATABASE!$A:$J,10,0)),"")</f>
        <v/>
      </c>
      <c r="D1983" s="28">
        <f>IF(A1983="","",TODAY())</f>
        <v/>
      </c>
      <c r="E1983" s="29" t="n"/>
      <c r="F1983" s="20">
        <f>IFERROR(IF(OR(A1983="",E1983=""),"",C1983-E1983),"")</f>
        <v/>
      </c>
      <c r="G1983" s="30" t="n"/>
      <c r="H1983" s="27" t="n"/>
    </row>
    <row r="1984" ht="20" customHeight="1">
      <c r="A1984" s="26" t="n"/>
      <c r="B1984" s="35">
        <f>IFERROR(IF(A1984="","",VLOOKUP(A1984,DATABASE!$A:$B,2,0)),"")</f>
        <v/>
      </c>
      <c r="C1984" s="36">
        <f>IFERROR(IF(A1984="","",VLOOKUP(A1984,DATABASE!$A:$J,10,0)),"")</f>
        <v/>
      </c>
      <c r="D1984" s="37">
        <f>IF(A1984="","",TODAY())</f>
        <v/>
      </c>
      <c r="E1984" s="29" t="n"/>
      <c r="F1984" s="36">
        <f>IFERROR(IF(OR(A1984="",E1984=""),"",C1984-E1984),"")</f>
        <v/>
      </c>
      <c r="G1984" s="30" t="n"/>
      <c r="H1984" s="35" t="n"/>
    </row>
    <row r="1985" ht="20" customHeight="1">
      <c r="A1985" s="26" t="n"/>
      <c r="B1985" s="27">
        <f>IFERROR(IF(A1985="","",VLOOKUP(A1985,DATABASE!$A:$B,2,0)),"")</f>
        <v/>
      </c>
      <c r="C1985" s="20">
        <f>IFERROR(IF(A1985="","",VLOOKUP(A1985,DATABASE!$A:$J,10,0)),"")</f>
        <v/>
      </c>
      <c r="D1985" s="28">
        <f>IF(A1985="","",TODAY())</f>
        <v/>
      </c>
      <c r="E1985" s="29" t="n"/>
      <c r="F1985" s="20">
        <f>IFERROR(IF(OR(A1985="",E1985=""),"",C1985-E1985),"")</f>
        <v/>
      </c>
      <c r="G1985" s="30" t="n"/>
      <c r="H1985" s="27" t="n"/>
    </row>
    <row r="1986" ht="20" customHeight="1">
      <c r="A1986" s="26" t="n"/>
      <c r="B1986" s="35">
        <f>IFERROR(IF(A1986="","",VLOOKUP(A1986,DATABASE!$A:$B,2,0)),"")</f>
        <v/>
      </c>
      <c r="C1986" s="36">
        <f>IFERROR(IF(A1986="","",VLOOKUP(A1986,DATABASE!$A:$J,10,0)),"")</f>
        <v/>
      </c>
      <c r="D1986" s="37">
        <f>IF(A1986="","",TODAY())</f>
        <v/>
      </c>
      <c r="E1986" s="29" t="n"/>
      <c r="F1986" s="36">
        <f>IFERROR(IF(OR(A1986="",E1986=""),"",C1986-E1986),"")</f>
        <v/>
      </c>
      <c r="G1986" s="30" t="n"/>
      <c r="H1986" s="35" t="n"/>
    </row>
    <row r="1987" ht="20" customHeight="1">
      <c r="A1987" s="26" t="n"/>
      <c r="B1987" s="27">
        <f>IFERROR(IF(A1987="","",VLOOKUP(A1987,DATABASE!$A:$B,2,0)),"")</f>
        <v/>
      </c>
      <c r="C1987" s="20">
        <f>IFERROR(IF(A1987="","",VLOOKUP(A1987,DATABASE!$A:$J,10,0)),"")</f>
        <v/>
      </c>
      <c r="D1987" s="28">
        <f>IF(A1987="","",TODAY())</f>
        <v/>
      </c>
      <c r="E1987" s="29" t="n"/>
      <c r="F1987" s="20">
        <f>IFERROR(IF(OR(A1987="",E1987=""),"",C1987-E1987),"")</f>
        <v/>
      </c>
      <c r="G1987" s="30" t="n"/>
      <c r="H1987" s="27" t="n"/>
    </row>
    <row r="1988" ht="20" customHeight="1">
      <c r="A1988" s="26" t="n"/>
      <c r="B1988" s="35">
        <f>IFERROR(IF(A1988="","",VLOOKUP(A1988,DATABASE!$A:$B,2,0)),"")</f>
        <v/>
      </c>
      <c r="C1988" s="36">
        <f>IFERROR(IF(A1988="","",VLOOKUP(A1988,DATABASE!$A:$J,10,0)),"")</f>
        <v/>
      </c>
      <c r="D1988" s="37">
        <f>IF(A1988="","",TODAY())</f>
        <v/>
      </c>
      <c r="E1988" s="29" t="n"/>
      <c r="F1988" s="36">
        <f>IFERROR(IF(OR(A1988="",E1988=""),"",C1988-E1988),"")</f>
        <v/>
      </c>
      <c r="G1988" s="30" t="n"/>
      <c r="H1988" s="35" t="n"/>
    </row>
    <row r="1989" ht="20" customHeight="1">
      <c r="A1989" s="26" t="n"/>
      <c r="B1989" s="27">
        <f>IFERROR(IF(A1989="","",VLOOKUP(A1989,DATABASE!$A:$B,2,0)),"")</f>
        <v/>
      </c>
      <c r="C1989" s="20">
        <f>IFERROR(IF(A1989="","",VLOOKUP(A1989,DATABASE!$A:$J,10,0)),"")</f>
        <v/>
      </c>
      <c r="D1989" s="28">
        <f>IF(A1989="","",TODAY())</f>
        <v/>
      </c>
      <c r="E1989" s="29" t="n"/>
      <c r="F1989" s="20">
        <f>IFERROR(IF(OR(A1989="",E1989=""),"",C1989-E1989),"")</f>
        <v/>
      </c>
      <c r="G1989" s="30" t="n"/>
      <c r="H1989" s="27" t="n"/>
    </row>
    <row r="1990" ht="20" customHeight="1">
      <c r="A1990" s="26" t="n"/>
      <c r="B1990" s="35">
        <f>IFERROR(IF(A1990="","",VLOOKUP(A1990,DATABASE!$A:$B,2,0)),"")</f>
        <v/>
      </c>
      <c r="C1990" s="36">
        <f>IFERROR(IF(A1990="","",VLOOKUP(A1990,DATABASE!$A:$J,10,0)),"")</f>
        <v/>
      </c>
      <c r="D1990" s="37">
        <f>IF(A1990="","",TODAY())</f>
        <v/>
      </c>
      <c r="E1990" s="29" t="n"/>
      <c r="F1990" s="36">
        <f>IFERROR(IF(OR(A1990="",E1990=""),"",C1990-E1990),"")</f>
        <v/>
      </c>
      <c r="G1990" s="30" t="n"/>
      <c r="H1990" s="35" t="n"/>
    </row>
    <row r="1991" ht="20" customHeight="1">
      <c r="A1991" s="26" t="n"/>
      <c r="B1991" s="27">
        <f>IFERROR(IF(A1991="","",VLOOKUP(A1991,DATABASE!$A:$B,2,0)),"")</f>
        <v/>
      </c>
      <c r="C1991" s="20">
        <f>IFERROR(IF(A1991="","",VLOOKUP(A1991,DATABASE!$A:$J,10,0)),"")</f>
        <v/>
      </c>
      <c r="D1991" s="28">
        <f>IF(A1991="","",TODAY())</f>
        <v/>
      </c>
      <c r="E1991" s="29" t="n"/>
      <c r="F1991" s="20">
        <f>IFERROR(IF(OR(A1991="",E1991=""),"",C1991-E1991),"")</f>
        <v/>
      </c>
      <c r="G1991" s="30" t="n"/>
      <c r="H1991" s="27" t="n"/>
    </row>
    <row r="1992" ht="20" customHeight="1">
      <c r="A1992" s="26" t="n"/>
      <c r="B1992" s="35">
        <f>IFERROR(IF(A1992="","",VLOOKUP(A1992,DATABASE!$A:$B,2,0)),"")</f>
        <v/>
      </c>
      <c r="C1992" s="36">
        <f>IFERROR(IF(A1992="","",VLOOKUP(A1992,DATABASE!$A:$J,10,0)),"")</f>
        <v/>
      </c>
      <c r="D1992" s="37">
        <f>IF(A1992="","",TODAY())</f>
        <v/>
      </c>
      <c r="E1992" s="29" t="n"/>
      <c r="F1992" s="36">
        <f>IFERROR(IF(OR(A1992="",E1992=""),"",C1992-E1992),"")</f>
        <v/>
      </c>
      <c r="G1992" s="30" t="n"/>
      <c r="H1992" s="35" t="n"/>
    </row>
    <row r="1993" ht="20" customHeight="1">
      <c r="A1993" s="26" t="n"/>
      <c r="B1993" s="27">
        <f>IFERROR(IF(A1993="","",VLOOKUP(A1993,DATABASE!$A:$B,2,0)),"")</f>
        <v/>
      </c>
      <c r="C1993" s="20">
        <f>IFERROR(IF(A1993="","",VLOOKUP(A1993,DATABASE!$A:$J,10,0)),"")</f>
        <v/>
      </c>
      <c r="D1993" s="28">
        <f>IF(A1993="","",TODAY())</f>
        <v/>
      </c>
      <c r="E1993" s="29" t="n"/>
      <c r="F1993" s="20">
        <f>IFERROR(IF(OR(A1993="",E1993=""),"",C1993-E1993),"")</f>
        <v/>
      </c>
      <c r="G1993" s="30" t="n"/>
      <c r="H1993" s="27" t="n"/>
    </row>
    <row r="1994" ht="20" customHeight="1">
      <c r="A1994" s="26" t="n"/>
      <c r="B1994" s="35">
        <f>IFERROR(IF(A1994="","",VLOOKUP(A1994,DATABASE!$A:$B,2,0)),"")</f>
        <v/>
      </c>
      <c r="C1994" s="36">
        <f>IFERROR(IF(A1994="","",VLOOKUP(A1994,DATABASE!$A:$J,10,0)),"")</f>
        <v/>
      </c>
      <c r="D1994" s="37">
        <f>IF(A1994="","",TODAY())</f>
        <v/>
      </c>
      <c r="E1994" s="29" t="n"/>
      <c r="F1994" s="36">
        <f>IFERROR(IF(OR(A1994="",E1994=""),"",C1994-E1994),"")</f>
        <v/>
      </c>
      <c r="G1994" s="30" t="n"/>
      <c r="H1994" s="35" t="n"/>
    </row>
    <row r="1995" ht="20" customHeight="1">
      <c r="A1995" s="26" t="n"/>
      <c r="B1995" s="27">
        <f>IFERROR(IF(A1995="","",VLOOKUP(A1995,DATABASE!$A:$B,2,0)),"")</f>
        <v/>
      </c>
      <c r="C1995" s="20">
        <f>IFERROR(IF(A1995="","",VLOOKUP(A1995,DATABASE!$A:$J,10,0)),"")</f>
        <v/>
      </c>
      <c r="D1995" s="28">
        <f>IF(A1995="","",TODAY())</f>
        <v/>
      </c>
      <c r="E1995" s="29" t="n"/>
      <c r="F1995" s="20">
        <f>IFERROR(IF(OR(A1995="",E1995=""),"",C1995-E1995),"")</f>
        <v/>
      </c>
      <c r="G1995" s="30" t="n"/>
      <c r="H1995" s="27" t="n"/>
    </row>
    <row r="1996" ht="20" customHeight="1">
      <c r="A1996" s="26" t="n"/>
      <c r="B1996" s="35">
        <f>IFERROR(IF(A1996="","",VLOOKUP(A1996,DATABASE!$A:$B,2,0)),"")</f>
        <v/>
      </c>
      <c r="C1996" s="36">
        <f>IFERROR(IF(A1996="","",VLOOKUP(A1996,DATABASE!$A:$J,10,0)),"")</f>
        <v/>
      </c>
      <c r="D1996" s="37">
        <f>IF(A1996="","",TODAY())</f>
        <v/>
      </c>
      <c r="E1996" s="29" t="n"/>
      <c r="F1996" s="36">
        <f>IFERROR(IF(OR(A1996="",E1996=""),"",C1996-E1996),"")</f>
        <v/>
      </c>
      <c r="G1996" s="30" t="n"/>
      <c r="H1996" s="35" t="n"/>
    </row>
    <row r="1997" ht="20" customHeight="1">
      <c r="A1997" s="26" t="n"/>
      <c r="B1997" s="27">
        <f>IFERROR(IF(A1997="","",VLOOKUP(A1997,DATABASE!$A:$B,2,0)),"")</f>
        <v/>
      </c>
      <c r="C1997" s="20">
        <f>IFERROR(IF(A1997="","",VLOOKUP(A1997,DATABASE!$A:$J,10,0)),"")</f>
        <v/>
      </c>
      <c r="D1997" s="28">
        <f>IF(A1997="","",TODAY())</f>
        <v/>
      </c>
      <c r="E1997" s="29" t="n"/>
      <c r="F1997" s="20">
        <f>IFERROR(IF(OR(A1997="",E1997=""),"",C1997-E1997),"")</f>
        <v/>
      </c>
      <c r="G1997" s="30" t="n"/>
      <c r="H1997" s="27" t="n"/>
    </row>
    <row r="1998" ht="20" customHeight="1">
      <c r="A1998" s="26" t="n"/>
      <c r="B1998" s="35">
        <f>IFERROR(IF(A1998="","",VLOOKUP(A1998,DATABASE!$A:$B,2,0)),"")</f>
        <v/>
      </c>
      <c r="C1998" s="36">
        <f>IFERROR(IF(A1998="","",VLOOKUP(A1998,DATABASE!$A:$J,10,0)),"")</f>
        <v/>
      </c>
      <c r="D1998" s="37">
        <f>IF(A1998="","",TODAY())</f>
        <v/>
      </c>
      <c r="E1998" s="29" t="n"/>
      <c r="F1998" s="36">
        <f>IFERROR(IF(OR(A1998="",E1998=""),"",C1998-E1998),"")</f>
        <v/>
      </c>
      <c r="G1998" s="30" t="n"/>
      <c r="H1998" s="35" t="n"/>
    </row>
    <row r="1999" ht="20" customHeight="1">
      <c r="A1999" s="26" t="n"/>
      <c r="B1999" s="27">
        <f>IFERROR(IF(A1999="","",VLOOKUP(A1999,DATABASE!$A:$B,2,0)),"")</f>
        <v/>
      </c>
      <c r="C1999" s="20">
        <f>IFERROR(IF(A1999="","",VLOOKUP(A1999,DATABASE!$A:$J,10,0)),"")</f>
        <v/>
      </c>
      <c r="D1999" s="28">
        <f>IF(A1999="","",TODAY())</f>
        <v/>
      </c>
      <c r="E1999" s="29" t="n"/>
      <c r="F1999" s="20">
        <f>IFERROR(IF(OR(A1999="",E1999=""),"",C1999-E1999),"")</f>
        <v/>
      </c>
      <c r="G1999" s="30" t="n"/>
      <c r="H1999" s="27" t="n"/>
    </row>
    <row r="2000" ht="20" customHeight="1">
      <c r="A2000" s="26" t="n"/>
      <c r="B2000" s="35">
        <f>IFERROR(IF(A2000="","",VLOOKUP(A2000,DATABASE!$A:$B,2,0)),"")</f>
        <v/>
      </c>
      <c r="C2000" s="36">
        <f>IFERROR(IF(A2000="","",VLOOKUP(A2000,DATABASE!$A:$J,10,0)),"")</f>
        <v/>
      </c>
      <c r="D2000" s="37">
        <f>IF(A2000="","",TODAY())</f>
        <v/>
      </c>
      <c r="E2000" s="29" t="n"/>
      <c r="F2000" s="36">
        <f>IFERROR(IF(OR(A2000="",E2000=""),"",C2000-E2000),"")</f>
        <v/>
      </c>
      <c r="G2000" s="30" t="n"/>
      <c r="H2000" s="35" t="n"/>
    </row>
    <row r="2001" ht="20" customHeight="1">
      <c r="A2001" s="26" t="n"/>
      <c r="B2001" s="27">
        <f>IFERROR(IF(A2001="","",VLOOKUP(A2001,DATABASE!$A:$B,2,0)),"")</f>
        <v/>
      </c>
      <c r="C2001" s="20">
        <f>IFERROR(IF(A2001="","",VLOOKUP(A2001,DATABASE!$A:$J,10,0)),"")</f>
        <v/>
      </c>
      <c r="D2001" s="28">
        <f>IF(A2001="","",TODAY())</f>
        <v/>
      </c>
      <c r="E2001" s="29" t="n"/>
      <c r="F2001" s="20">
        <f>IFERROR(IF(OR(A2001="",E2001=""),"",C2001-E2001),"")</f>
        <v/>
      </c>
      <c r="G2001" s="30" t="n"/>
      <c r="H2001" s="27" t="n"/>
    </row>
    <row r="2002" ht="20" customHeight="1">
      <c r="A2002" s="26" t="n"/>
      <c r="B2002" s="35">
        <f>IFERROR(IF(A2002="","",VLOOKUP(A2002,DATABASE!$A:$B,2,0)),"")</f>
        <v/>
      </c>
      <c r="C2002" s="36">
        <f>IFERROR(IF(A2002="","",VLOOKUP(A2002,DATABASE!$A:$J,10,0)),"")</f>
        <v/>
      </c>
      <c r="D2002" s="37">
        <f>IF(A2002="","",TODAY())</f>
        <v/>
      </c>
      <c r="E2002" s="29" t="n"/>
      <c r="F2002" s="36">
        <f>IFERROR(IF(OR(A2002="",E2002=""),"",C2002-E2002),"")</f>
        <v/>
      </c>
      <c r="G2002" s="30" t="n"/>
      <c r="H2002" s="35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5C6B"/>
    <outlinePr summaryBelow="1" summaryRight="1"/>
    <pageSetUpPr/>
  </sheetPr>
  <dimension ref="A1:J100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2" customWidth="1" min="4" max="4"/>
    <col width="16" customWidth="1" min="5" max="5"/>
    <col width="22" customWidth="1" min="6" max="6"/>
    <col width="18" customWidth="1" min="7" max="7"/>
    <col width="16" customWidth="1" min="8" max="8"/>
    <col width="24" customWidth="1" min="9" max="9"/>
    <col width="14" customWidth="1" min="10" max="10"/>
  </cols>
  <sheetData>
    <row r="1" ht="34" customHeight="1">
      <c r="A1" s="38" t="inlineStr">
        <is>
          <t>LOAN REGISTER</t>
        </is>
      </c>
    </row>
    <row r="2" ht="30" customHeight="1">
      <c r="A2" s="25" t="inlineStr">
        <is>
          <t>Loan ID</t>
        </is>
      </c>
      <c r="B2" s="25" t="inlineStr">
        <is>
          <t>Account Number</t>
        </is>
      </c>
      <c r="C2" s="25" t="inlineStr">
        <is>
          <t>Customer Name</t>
        </is>
      </c>
      <c r="D2" s="25" t="inlineStr">
        <is>
          <t>Loan Amount (GHS)</t>
        </is>
      </c>
      <c r="E2" s="25" t="inlineStr">
        <is>
          <t>Request Date</t>
        </is>
      </c>
      <c r="F2" s="25" t="inlineStr">
        <is>
          <t>Purpose</t>
        </is>
      </c>
      <c r="G2" s="25" t="inlineStr">
        <is>
          <t>Interest Rate (%)</t>
        </is>
      </c>
      <c r="H2" s="25" t="inlineStr">
        <is>
          <t>Term (Months)</t>
        </is>
      </c>
      <c r="I2" s="25" t="inlineStr">
        <is>
          <t>Monthly Repayment (GHS)</t>
        </is>
      </c>
      <c r="J2" s="25" t="inlineStr">
        <is>
          <t>Status</t>
        </is>
      </c>
    </row>
    <row r="3" ht="20" customHeight="1">
      <c r="A3" s="39">
        <f>IF(B3="","","LN"&amp;TEXT(ROW()-2,"0000"))</f>
        <v/>
      </c>
      <c r="B3" s="26" t="n"/>
      <c r="C3" s="27">
        <f>IFERROR(IF(B3="","",VLOOKUP(B3,DATABASE!$A:$B,2,0)),"")</f>
        <v/>
      </c>
      <c r="D3" s="29" t="n"/>
      <c r="E3" s="40">
        <f>IF(B3="","",TODAY())</f>
        <v/>
      </c>
      <c r="F3" s="30" t="n"/>
      <c r="G3" s="41" t="n"/>
      <c r="H3" s="42" t="n"/>
      <c r="I3" s="43">
        <f>IFERROR(IF(OR(D3="",G3="",H3=""),"",ABS(PMT(G3/100/12,H3,D3))),"")</f>
        <v/>
      </c>
      <c r="J3" s="44">
        <f>IF(B3="","","Active")</f>
        <v/>
      </c>
    </row>
    <row r="4" ht="20" customHeight="1">
      <c r="A4" s="39">
        <f>IF(B4="","","LN"&amp;TEXT(ROW()-2,"0000"))</f>
        <v/>
      </c>
      <c r="B4" s="26" t="n"/>
      <c r="C4" s="45">
        <f>IFERROR(IF(B4="","",VLOOKUP(B4,DATABASE!$A:$B,2,0)),"")</f>
        <v/>
      </c>
      <c r="D4" s="29" t="n"/>
      <c r="E4" s="40">
        <f>IF(B4="","",TODAY())</f>
        <v/>
      </c>
      <c r="F4" s="30" t="n"/>
      <c r="G4" s="41" t="n"/>
      <c r="H4" s="42" t="n"/>
      <c r="I4" s="43">
        <f>IFERROR(IF(OR(D4="",G4="",H4=""),"",ABS(PMT(G4/100/12,H4,D4))),"")</f>
        <v/>
      </c>
      <c r="J4" s="44">
        <f>IF(B4="","","Active")</f>
        <v/>
      </c>
    </row>
    <row r="5" ht="20" customHeight="1">
      <c r="A5" s="39">
        <f>IF(B5="","","LN"&amp;TEXT(ROW()-2,"0000"))</f>
        <v/>
      </c>
      <c r="B5" s="26" t="n"/>
      <c r="C5" s="27">
        <f>IFERROR(IF(B5="","",VLOOKUP(B5,DATABASE!$A:$B,2,0)),"")</f>
        <v/>
      </c>
      <c r="D5" s="29" t="n"/>
      <c r="E5" s="40">
        <f>IF(B5="","",TODAY())</f>
        <v/>
      </c>
      <c r="F5" s="30" t="n"/>
      <c r="G5" s="41" t="n"/>
      <c r="H5" s="42" t="n"/>
      <c r="I5" s="43">
        <f>IFERROR(IF(OR(D5="",G5="",H5=""),"",ABS(PMT(G5/100/12,H5,D5))),"")</f>
        <v/>
      </c>
      <c r="J5" s="44">
        <f>IF(B5="","","Active")</f>
        <v/>
      </c>
    </row>
    <row r="6" ht="20" customHeight="1">
      <c r="A6" s="39">
        <f>IF(B6="","","LN"&amp;TEXT(ROW()-2,"0000"))</f>
        <v/>
      </c>
      <c r="B6" s="26" t="n"/>
      <c r="C6" s="45">
        <f>IFERROR(IF(B6="","",VLOOKUP(B6,DATABASE!$A:$B,2,0)),"")</f>
        <v/>
      </c>
      <c r="D6" s="29" t="n"/>
      <c r="E6" s="40">
        <f>IF(B6="","",TODAY())</f>
        <v/>
      </c>
      <c r="F6" s="30" t="n"/>
      <c r="G6" s="41" t="n"/>
      <c r="H6" s="42" t="n"/>
      <c r="I6" s="43">
        <f>IFERROR(IF(OR(D6="",G6="",H6=""),"",ABS(PMT(G6/100/12,H6,D6))),"")</f>
        <v/>
      </c>
      <c r="J6" s="44">
        <f>IF(B6="","","Active")</f>
        <v/>
      </c>
    </row>
    <row r="7" ht="20" customHeight="1">
      <c r="A7" s="39">
        <f>IF(B7="","","LN"&amp;TEXT(ROW()-2,"0000"))</f>
        <v/>
      </c>
      <c r="B7" s="26" t="n"/>
      <c r="C7" s="27">
        <f>IFERROR(IF(B7="","",VLOOKUP(B7,DATABASE!$A:$B,2,0)),"")</f>
        <v/>
      </c>
      <c r="D7" s="29" t="n"/>
      <c r="E7" s="40">
        <f>IF(B7="","",TODAY())</f>
        <v/>
      </c>
      <c r="F7" s="30" t="n"/>
      <c r="G7" s="41" t="n"/>
      <c r="H7" s="42" t="n"/>
      <c r="I7" s="43">
        <f>IFERROR(IF(OR(D7="",G7="",H7=""),"",ABS(PMT(G7/100/12,H7,D7))),"")</f>
        <v/>
      </c>
      <c r="J7" s="44">
        <f>IF(B7="","","Active")</f>
        <v/>
      </c>
    </row>
    <row r="8" ht="20" customHeight="1">
      <c r="A8" s="39">
        <f>IF(B8="","","LN"&amp;TEXT(ROW()-2,"0000"))</f>
        <v/>
      </c>
      <c r="B8" s="26" t="n"/>
      <c r="C8" s="45">
        <f>IFERROR(IF(B8="","",VLOOKUP(B8,DATABASE!$A:$B,2,0)),"")</f>
        <v/>
      </c>
      <c r="D8" s="29" t="n"/>
      <c r="E8" s="40">
        <f>IF(B8="","",TODAY())</f>
        <v/>
      </c>
      <c r="F8" s="30" t="n"/>
      <c r="G8" s="41" t="n"/>
      <c r="H8" s="42" t="n"/>
      <c r="I8" s="43">
        <f>IFERROR(IF(OR(D8="",G8="",H8=""),"",ABS(PMT(G8/100/12,H8,D8))),"")</f>
        <v/>
      </c>
      <c r="J8" s="44">
        <f>IF(B8="","","Active")</f>
        <v/>
      </c>
    </row>
    <row r="9" ht="20" customHeight="1">
      <c r="A9" s="39">
        <f>IF(B9="","","LN"&amp;TEXT(ROW()-2,"0000"))</f>
        <v/>
      </c>
      <c r="B9" s="26" t="n"/>
      <c r="C9" s="27">
        <f>IFERROR(IF(B9="","",VLOOKUP(B9,DATABASE!$A:$B,2,0)),"")</f>
        <v/>
      </c>
      <c r="D9" s="29" t="n"/>
      <c r="E9" s="40">
        <f>IF(B9="","",TODAY())</f>
        <v/>
      </c>
      <c r="F9" s="30" t="n"/>
      <c r="G9" s="41" t="n"/>
      <c r="H9" s="42" t="n"/>
      <c r="I9" s="43">
        <f>IFERROR(IF(OR(D9="",G9="",H9=""),"",ABS(PMT(G9/100/12,H9,D9))),"")</f>
        <v/>
      </c>
      <c r="J9" s="44">
        <f>IF(B9="","","Active")</f>
        <v/>
      </c>
    </row>
    <row r="10" ht="20" customHeight="1">
      <c r="A10" s="39">
        <f>IF(B10="","","LN"&amp;TEXT(ROW()-2,"0000"))</f>
        <v/>
      </c>
      <c r="B10" s="26" t="n"/>
      <c r="C10" s="45">
        <f>IFERROR(IF(B10="","",VLOOKUP(B10,DATABASE!$A:$B,2,0)),"")</f>
        <v/>
      </c>
      <c r="D10" s="29" t="n"/>
      <c r="E10" s="40">
        <f>IF(B10="","",TODAY())</f>
        <v/>
      </c>
      <c r="F10" s="30" t="n"/>
      <c r="G10" s="41" t="n"/>
      <c r="H10" s="42" t="n"/>
      <c r="I10" s="43">
        <f>IFERROR(IF(OR(D10="",G10="",H10=""),"",ABS(PMT(G10/100/12,H10,D10))),"")</f>
        <v/>
      </c>
      <c r="J10" s="44">
        <f>IF(B10="","","Active")</f>
        <v/>
      </c>
    </row>
    <row r="11" ht="20" customHeight="1">
      <c r="A11" s="39">
        <f>IF(B11="","","LN"&amp;TEXT(ROW()-2,"0000"))</f>
        <v/>
      </c>
      <c r="B11" s="26" t="n"/>
      <c r="C11" s="27">
        <f>IFERROR(IF(B11="","",VLOOKUP(B11,DATABASE!$A:$B,2,0)),"")</f>
        <v/>
      </c>
      <c r="D11" s="29" t="n"/>
      <c r="E11" s="40">
        <f>IF(B11="","",TODAY())</f>
        <v/>
      </c>
      <c r="F11" s="30" t="n"/>
      <c r="G11" s="41" t="n"/>
      <c r="H11" s="42" t="n"/>
      <c r="I11" s="43">
        <f>IFERROR(IF(OR(D11="",G11="",H11=""),"",ABS(PMT(G11/100/12,H11,D11))),"")</f>
        <v/>
      </c>
      <c r="J11" s="44">
        <f>IF(B11="","","Active")</f>
        <v/>
      </c>
    </row>
    <row r="12" ht="20" customHeight="1">
      <c r="A12" s="39">
        <f>IF(B12="","","LN"&amp;TEXT(ROW()-2,"0000"))</f>
        <v/>
      </c>
      <c r="B12" s="26" t="n"/>
      <c r="C12" s="45">
        <f>IFERROR(IF(B12="","",VLOOKUP(B12,DATABASE!$A:$B,2,0)),"")</f>
        <v/>
      </c>
      <c r="D12" s="29" t="n"/>
      <c r="E12" s="40">
        <f>IF(B12="","",TODAY())</f>
        <v/>
      </c>
      <c r="F12" s="30" t="n"/>
      <c r="G12" s="41" t="n"/>
      <c r="H12" s="42" t="n"/>
      <c r="I12" s="43">
        <f>IFERROR(IF(OR(D12="",G12="",H12=""),"",ABS(PMT(G12/100/12,H12,D12))),"")</f>
        <v/>
      </c>
      <c r="J12" s="44">
        <f>IF(B12="","","Active")</f>
        <v/>
      </c>
    </row>
    <row r="13" ht="20" customHeight="1">
      <c r="A13" s="39">
        <f>IF(B13="","","LN"&amp;TEXT(ROW()-2,"0000"))</f>
        <v/>
      </c>
      <c r="B13" s="26" t="n"/>
      <c r="C13" s="27">
        <f>IFERROR(IF(B13="","",VLOOKUP(B13,DATABASE!$A:$B,2,0)),"")</f>
        <v/>
      </c>
      <c r="D13" s="29" t="n"/>
      <c r="E13" s="40">
        <f>IF(B13="","",TODAY())</f>
        <v/>
      </c>
      <c r="F13" s="30" t="n"/>
      <c r="G13" s="41" t="n"/>
      <c r="H13" s="42" t="n"/>
      <c r="I13" s="43">
        <f>IFERROR(IF(OR(D13="",G13="",H13=""),"",ABS(PMT(G13/100/12,H13,D13))),"")</f>
        <v/>
      </c>
      <c r="J13" s="44">
        <f>IF(B13="","","Active")</f>
        <v/>
      </c>
    </row>
    <row r="14" ht="20" customHeight="1">
      <c r="A14" s="39">
        <f>IF(B14="","","LN"&amp;TEXT(ROW()-2,"0000"))</f>
        <v/>
      </c>
      <c r="B14" s="26" t="n"/>
      <c r="C14" s="45">
        <f>IFERROR(IF(B14="","",VLOOKUP(B14,DATABASE!$A:$B,2,0)),"")</f>
        <v/>
      </c>
      <c r="D14" s="29" t="n"/>
      <c r="E14" s="40">
        <f>IF(B14="","",TODAY())</f>
        <v/>
      </c>
      <c r="F14" s="30" t="n"/>
      <c r="G14" s="41" t="n"/>
      <c r="H14" s="42" t="n"/>
      <c r="I14" s="43">
        <f>IFERROR(IF(OR(D14="",G14="",H14=""),"",ABS(PMT(G14/100/12,H14,D14))),"")</f>
        <v/>
      </c>
      <c r="J14" s="44">
        <f>IF(B14="","","Active")</f>
        <v/>
      </c>
    </row>
    <row r="15" ht="20" customHeight="1">
      <c r="A15" s="39">
        <f>IF(B15="","","LN"&amp;TEXT(ROW()-2,"0000"))</f>
        <v/>
      </c>
      <c r="B15" s="26" t="n"/>
      <c r="C15" s="27">
        <f>IFERROR(IF(B15="","",VLOOKUP(B15,DATABASE!$A:$B,2,0)),"")</f>
        <v/>
      </c>
      <c r="D15" s="29" t="n"/>
      <c r="E15" s="40">
        <f>IF(B15="","",TODAY())</f>
        <v/>
      </c>
      <c r="F15" s="30" t="n"/>
      <c r="G15" s="41" t="n"/>
      <c r="H15" s="42" t="n"/>
      <c r="I15" s="43">
        <f>IFERROR(IF(OR(D15="",G15="",H15=""),"",ABS(PMT(G15/100/12,H15,D15))),"")</f>
        <v/>
      </c>
      <c r="J15" s="44">
        <f>IF(B15="","","Active")</f>
        <v/>
      </c>
    </row>
    <row r="16" ht="20" customHeight="1">
      <c r="A16" s="39">
        <f>IF(B16="","","LN"&amp;TEXT(ROW()-2,"0000"))</f>
        <v/>
      </c>
      <c r="B16" s="26" t="n"/>
      <c r="C16" s="45">
        <f>IFERROR(IF(B16="","",VLOOKUP(B16,DATABASE!$A:$B,2,0)),"")</f>
        <v/>
      </c>
      <c r="D16" s="29" t="n"/>
      <c r="E16" s="40">
        <f>IF(B16="","",TODAY())</f>
        <v/>
      </c>
      <c r="F16" s="30" t="n"/>
      <c r="G16" s="41" t="n"/>
      <c r="H16" s="42" t="n"/>
      <c r="I16" s="43">
        <f>IFERROR(IF(OR(D16="",G16="",H16=""),"",ABS(PMT(G16/100/12,H16,D16))),"")</f>
        <v/>
      </c>
      <c r="J16" s="44">
        <f>IF(B16="","","Active")</f>
        <v/>
      </c>
    </row>
    <row r="17" ht="20" customHeight="1">
      <c r="A17" s="39">
        <f>IF(B17="","","LN"&amp;TEXT(ROW()-2,"0000"))</f>
        <v/>
      </c>
      <c r="B17" s="26" t="n"/>
      <c r="C17" s="27">
        <f>IFERROR(IF(B17="","",VLOOKUP(B17,DATABASE!$A:$B,2,0)),"")</f>
        <v/>
      </c>
      <c r="D17" s="29" t="n"/>
      <c r="E17" s="40">
        <f>IF(B17="","",TODAY())</f>
        <v/>
      </c>
      <c r="F17" s="30" t="n"/>
      <c r="G17" s="41" t="n"/>
      <c r="H17" s="42" t="n"/>
      <c r="I17" s="43">
        <f>IFERROR(IF(OR(D17="",G17="",H17=""),"",ABS(PMT(G17/100/12,H17,D17))),"")</f>
        <v/>
      </c>
      <c r="J17" s="44">
        <f>IF(B17="","","Active")</f>
        <v/>
      </c>
    </row>
    <row r="18" ht="20" customHeight="1">
      <c r="A18" s="39">
        <f>IF(B18="","","LN"&amp;TEXT(ROW()-2,"0000"))</f>
        <v/>
      </c>
      <c r="B18" s="26" t="n"/>
      <c r="C18" s="45">
        <f>IFERROR(IF(B18="","",VLOOKUP(B18,DATABASE!$A:$B,2,0)),"")</f>
        <v/>
      </c>
      <c r="D18" s="29" t="n"/>
      <c r="E18" s="40">
        <f>IF(B18="","",TODAY())</f>
        <v/>
      </c>
      <c r="F18" s="30" t="n"/>
      <c r="G18" s="41" t="n"/>
      <c r="H18" s="42" t="n"/>
      <c r="I18" s="43">
        <f>IFERROR(IF(OR(D18="",G18="",H18=""),"",ABS(PMT(G18/100/12,H18,D18))),"")</f>
        <v/>
      </c>
      <c r="J18" s="44">
        <f>IF(B18="","","Active")</f>
        <v/>
      </c>
    </row>
    <row r="19" ht="20" customHeight="1">
      <c r="A19" s="39">
        <f>IF(B19="","","LN"&amp;TEXT(ROW()-2,"0000"))</f>
        <v/>
      </c>
      <c r="B19" s="26" t="n"/>
      <c r="C19" s="27">
        <f>IFERROR(IF(B19="","",VLOOKUP(B19,DATABASE!$A:$B,2,0)),"")</f>
        <v/>
      </c>
      <c r="D19" s="29" t="n"/>
      <c r="E19" s="40">
        <f>IF(B19="","",TODAY())</f>
        <v/>
      </c>
      <c r="F19" s="30" t="n"/>
      <c r="G19" s="41" t="n"/>
      <c r="H19" s="42" t="n"/>
      <c r="I19" s="43">
        <f>IFERROR(IF(OR(D19="",G19="",H19=""),"",ABS(PMT(G19/100/12,H19,D19))),"")</f>
        <v/>
      </c>
      <c r="J19" s="44">
        <f>IF(B19="","","Active")</f>
        <v/>
      </c>
    </row>
    <row r="20" ht="20" customHeight="1">
      <c r="A20" s="39">
        <f>IF(B20="","","LN"&amp;TEXT(ROW()-2,"0000"))</f>
        <v/>
      </c>
      <c r="B20" s="26" t="n"/>
      <c r="C20" s="45">
        <f>IFERROR(IF(B20="","",VLOOKUP(B20,DATABASE!$A:$B,2,0)),"")</f>
        <v/>
      </c>
      <c r="D20" s="29" t="n"/>
      <c r="E20" s="40">
        <f>IF(B20="","",TODAY())</f>
        <v/>
      </c>
      <c r="F20" s="30" t="n"/>
      <c r="G20" s="41" t="n"/>
      <c r="H20" s="42" t="n"/>
      <c r="I20" s="43">
        <f>IFERROR(IF(OR(D20="",G20="",H20=""),"",ABS(PMT(G20/100/12,H20,D20))),"")</f>
        <v/>
      </c>
      <c r="J20" s="44">
        <f>IF(B20="","","Active")</f>
        <v/>
      </c>
    </row>
    <row r="21" ht="20" customHeight="1">
      <c r="A21" s="39">
        <f>IF(B21="","","LN"&amp;TEXT(ROW()-2,"0000"))</f>
        <v/>
      </c>
      <c r="B21" s="26" t="n"/>
      <c r="C21" s="27">
        <f>IFERROR(IF(B21="","",VLOOKUP(B21,DATABASE!$A:$B,2,0)),"")</f>
        <v/>
      </c>
      <c r="D21" s="29" t="n"/>
      <c r="E21" s="40">
        <f>IF(B21="","",TODAY())</f>
        <v/>
      </c>
      <c r="F21" s="30" t="n"/>
      <c r="G21" s="41" t="n"/>
      <c r="H21" s="42" t="n"/>
      <c r="I21" s="43">
        <f>IFERROR(IF(OR(D21="",G21="",H21=""),"",ABS(PMT(G21/100/12,H21,D21))),"")</f>
        <v/>
      </c>
      <c r="J21" s="44">
        <f>IF(B21="","","Active")</f>
        <v/>
      </c>
    </row>
    <row r="22" ht="20" customHeight="1">
      <c r="A22" s="39">
        <f>IF(B22="","","LN"&amp;TEXT(ROW()-2,"0000"))</f>
        <v/>
      </c>
      <c r="B22" s="26" t="n"/>
      <c r="C22" s="45">
        <f>IFERROR(IF(B22="","",VLOOKUP(B22,DATABASE!$A:$B,2,0)),"")</f>
        <v/>
      </c>
      <c r="D22" s="29" t="n"/>
      <c r="E22" s="40">
        <f>IF(B22="","",TODAY())</f>
        <v/>
      </c>
      <c r="F22" s="30" t="n"/>
      <c r="G22" s="41" t="n"/>
      <c r="H22" s="42" t="n"/>
      <c r="I22" s="43">
        <f>IFERROR(IF(OR(D22="",G22="",H22=""),"",ABS(PMT(G22/100/12,H22,D22))),"")</f>
        <v/>
      </c>
      <c r="J22" s="44">
        <f>IF(B22="","","Active")</f>
        <v/>
      </c>
    </row>
    <row r="23" ht="20" customHeight="1">
      <c r="A23" s="39">
        <f>IF(B23="","","LN"&amp;TEXT(ROW()-2,"0000"))</f>
        <v/>
      </c>
      <c r="B23" s="26" t="n"/>
      <c r="C23" s="27">
        <f>IFERROR(IF(B23="","",VLOOKUP(B23,DATABASE!$A:$B,2,0)),"")</f>
        <v/>
      </c>
      <c r="D23" s="29" t="n"/>
      <c r="E23" s="40">
        <f>IF(B23="","",TODAY())</f>
        <v/>
      </c>
      <c r="F23" s="30" t="n"/>
      <c r="G23" s="41" t="n"/>
      <c r="H23" s="42" t="n"/>
      <c r="I23" s="43">
        <f>IFERROR(IF(OR(D23="",G23="",H23=""),"",ABS(PMT(G23/100/12,H23,D23))),"")</f>
        <v/>
      </c>
      <c r="J23" s="44">
        <f>IF(B23="","","Active")</f>
        <v/>
      </c>
    </row>
    <row r="24" ht="20" customHeight="1">
      <c r="A24" s="39">
        <f>IF(B24="","","LN"&amp;TEXT(ROW()-2,"0000"))</f>
        <v/>
      </c>
      <c r="B24" s="26" t="n"/>
      <c r="C24" s="45">
        <f>IFERROR(IF(B24="","",VLOOKUP(B24,DATABASE!$A:$B,2,0)),"")</f>
        <v/>
      </c>
      <c r="D24" s="29" t="n"/>
      <c r="E24" s="40">
        <f>IF(B24="","",TODAY())</f>
        <v/>
      </c>
      <c r="F24" s="30" t="n"/>
      <c r="G24" s="41" t="n"/>
      <c r="H24" s="42" t="n"/>
      <c r="I24" s="43">
        <f>IFERROR(IF(OR(D24="",G24="",H24=""),"",ABS(PMT(G24/100/12,H24,D24))),"")</f>
        <v/>
      </c>
      <c r="J24" s="44">
        <f>IF(B24="","","Active")</f>
        <v/>
      </c>
    </row>
    <row r="25" ht="20" customHeight="1">
      <c r="A25" s="39">
        <f>IF(B25="","","LN"&amp;TEXT(ROW()-2,"0000"))</f>
        <v/>
      </c>
      <c r="B25" s="26" t="n"/>
      <c r="C25" s="27">
        <f>IFERROR(IF(B25="","",VLOOKUP(B25,DATABASE!$A:$B,2,0)),"")</f>
        <v/>
      </c>
      <c r="D25" s="29" t="n"/>
      <c r="E25" s="40">
        <f>IF(B25="","",TODAY())</f>
        <v/>
      </c>
      <c r="F25" s="30" t="n"/>
      <c r="G25" s="41" t="n"/>
      <c r="H25" s="42" t="n"/>
      <c r="I25" s="43">
        <f>IFERROR(IF(OR(D25="",G25="",H25=""),"",ABS(PMT(G25/100/12,H25,D25))),"")</f>
        <v/>
      </c>
      <c r="J25" s="44">
        <f>IF(B25="","","Active")</f>
        <v/>
      </c>
    </row>
    <row r="26" ht="20" customHeight="1">
      <c r="A26" s="39">
        <f>IF(B26="","","LN"&amp;TEXT(ROW()-2,"0000"))</f>
        <v/>
      </c>
      <c r="B26" s="26" t="n"/>
      <c r="C26" s="45">
        <f>IFERROR(IF(B26="","",VLOOKUP(B26,DATABASE!$A:$B,2,0)),"")</f>
        <v/>
      </c>
      <c r="D26" s="29" t="n"/>
      <c r="E26" s="40">
        <f>IF(B26="","",TODAY())</f>
        <v/>
      </c>
      <c r="F26" s="30" t="n"/>
      <c r="G26" s="41" t="n"/>
      <c r="H26" s="42" t="n"/>
      <c r="I26" s="43">
        <f>IFERROR(IF(OR(D26="",G26="",H26=""),"",ABS(PMT(G26/100/12,H26,D26))),"")</f>
        <v/>
      </c>
      <c r="J26" s="44">
        <f>IF(B26="","","Active")</f>
        <v/>
      </c>
    </row>
    <row r="27" ht="20" customHeight="1">
      <c r="A27" s="39">
        <f>IF(B27="","","LN"&amp;TEXT(ROW()-2,"0000"))</f>
        <v/>
      </c>
      <c r="B27" s="26" t="n"/>
      <c r="C27" s="27">
        <f>IFERROR(IF(B27="","",VLOOKUP(B27,DATABASE!$A:$B,2,0)),"")</f>
        <v/>
      </c>
      <c r="D27" s="29" t="n"/>
      <c r="E27" s="40">
        <f>IF(B27="","",TODAY())</f>
        <v/>
      </c>
      <c r="F27" s="30" t="n"/>
      <c r="G27" s="41" t="n"/>
      <c r="H27" s="42" t="n"/>
      <c r="I27" s="43">
        <f>IFERROR(IF(OR(D27="",G27="",H27=""),"",ABS(PMT(G27/100/12,H27,D27))),"")</f>
        <v/>
      </c>
      <c r="J27" s="44">
        <f>IF(B27="","","Active")</f>
        <v/>
      </c>
    </row>
    <row r="28" ht="20" customHeight="1">
      <c r="A28" s="39">
        <f>IF(B28="","","LN"&amp;TEXT(ROW()-2,"0000"))</f>
        <v/>
      </c>
      <c r="B28" s="26" t="n"/>
      <c r="C28" s="45">
        <f>IFERROR(IF(B28="","",VLOOKUP(B28,DATABASE!$A:$B,2,0)),"")</f>
        <v/>
      </c>
      <c r="D28" s="29" t="n"/>
      <c r="E28" s="40">
        <f>IF(B28="","",TODAY())</f>
        <v/>
      </c>
      <c r="F28" s="30" t="n"/>
      <c r="G28" s="41" t="n"/>
      <c r="H28" s="42" t="n"/>
      <c r="I28" s="43">
        <f>IFERROR(IF(OR(D28="",G28="",H28=""),"",ABS(PMT(G28/100/12,H28,D28))),"")</f>
        <v/>
      </c>
      <c r="J28" s="44">
        <f>IF(B28="","","Active")</f>
        <v/>
      </c>
    </row>
    <row r="29" ht="20" customHeight="1">
      <c r="A29" s="39">
        <f>IF(B29="","","LN"&amp;TEXT(ROW()-2,"0000"))</f>
        <v/>
      </c>
      <c r="B29" s="26" t="n"/>
      <c r="C29" s="27">
        <f>IFERROR(IF(B29="","",VLOOKUP(B29,DATABASE!$A:$B,2,0)),"")</f>
        <v/>
      </c>
      <c r="D29" s="29" t="n"/>
      <c r="E29" s="40">
        <f>IF(B29="","",TODAY())</f>
        <v/>
      </c>
      <c r="F29" s="30" t="n"/>
      <c r="G29" s="41" t="n"/>
      <c r="H29" s="42" t="n"/>
      <c r="I29" s="43">
        <f>IFERROR(IF(OR(D29="",G29="",H29=""),"",ABS(PMT(G29/100/12,H29,D29))),"")</f>
        <v/>
      </c>
      <c r="J29" s="44">
        <f>IF(B29="","","Active")</f>
        <v/>
      </c>
    </row>
    <row r="30" ht="20" customHeight="1">
      <c r="A30" s="39">
        <f>IF(B30="","","LN"&amp;TEXT(ROW()-2,"0000"))</f>
        <v/>
      </c>
      <c r="B30" s="26" t="n"/>
      <c r="C30" s="45">
        <f>IFERROR(IF(B30="","",VLOOKUP(B30,DATABASE!$A:$B,2,0)),"")</f>
        <v/>
      </c>
      <c r="D30" s="29" t="n"/>
      <c r="E30" s="40">
        <f>IF(B30="","",TODAY())</f>
        <v/>
      </c>
      <c r="F30" s="30" t="n"/>
      <c r="G30" s="41" t="n"/>
      <c r="H30" s="42" t="n"/>
      <c r="I30" s="43">
        <f>IFERROR(IF(OR(D30="",G30="",H30=""),"",ABS(PMT(G30/100/12,H30,D30))),"")</f>
        <v/>
      </c>
      <c r="J30" s="44">
        <f>IF(B30="","","Active")</f>
        <v/>
      </c>
    </row>
    <row r="31" ht="20" customHeight="1">
      <c r="A31" s="39">
        <f>IF(B31="","","LN"&amp;TEXT(ROW()-2,"0000"))</f>
        <v/>
      </c>
      <c r="B31" s="26" t="n"/>
      <c r="C31" s="27">
        <f>IFERROR(IF(B31="","",VLOOKUP(B31,DATABASE!$A:$B,2,0)),"")</f>
        <v/>
      </c>
      <c r="D31" s="29" t="n"/>
      <c r="E31" s="40">
        <f>IF(B31="","",TODAY())</f>
        <v/>
      </c>
      <c r="F31" s="30" t="n"/>
      <c r="G31" s="41" t="n"/>
      <c r="H31" s="42" t="n"/>
      <c r="I31" s="43">
        <f>IFERROR(IF(OR(D31="",G31="",H31=""),"",ABS(PMT(G31/100/12,H31,D31))),"")</f>
        <v/>
      </c>
      <c r="J31" s="44">
        <f>IF(B31="","","Active")</f>
        <v/>
      </c>
    </row>
    <row r="32" ht="20" customHeight="1">
      <c r="A32" s="39">
        <f>IF(B32="","","LN"&amp;TEXT(ROW()-2,"0000"))</f>
        <v/>
      </c>
      <c r="B32" s="26" t="n"/>
      <c r="C32" s="45">
        <f>IFERROR(IF(B32="","",VLOOKUP(B32,DATABASE!$A:$B,2,0)),"")</f>
        <v/>
      </c>
      <c r="D32" s="29" t="n"/>
      <c r="E32" s="40">
        <f>IF(B32="","",TODAY())</f>
        <v/>
      </c>
      <c r="F32" s="30" t="n"/>
      <c r="G32" s="41" t="n"/>
      <c r="H32" s="42" t="n"/>
      <c r="I32" s="43">
        <f>IFERROR(IF(OR(D32="",G32="",H32=""),"",ABS(PMT(G32/100/12,H32,D32))),"")</f>
        <v/>
      </c>
      <c r="J32" s="44">
        <f>IF(B32="","","Active")</f>
        <v/>
      </c>
    </row>
    <row r="33" ht="20" customHeight="1">
      <c r="A33" s="39">
        <f>IF(B33="","","LN"&amp;TEXT(ROW()-2,"0000"))</f>
        <v/>
      </c>
      <c r="B33" s="26" t="n"/>
      <c r="C33" s="27">
        <f>IFERROR(IF(B33="","",VLOOKUP(B33,DATABASE!$A:$B,2,0)),"")</f>
        <v/>
      </c>
      <c r="D33" s="29" t="n"/>
      <c r="E33" s="40">
        <f>IF(B33="","",TODAY())</f>
        <v/>
      </c>
      <c r="F33" s="30" t="n"/>
      <c r="G33" s="41" t="n"/>
      <c r="H33" s="42" t="n"/>
      <c r="I33" s="43">
        <f>IFERROR(IF(OR(D33="",G33="",H33=""),"",ABS(PMT(G33/100/12,H33,D33))),"")</f>
        <v/>
      </c>
      <c r="J33" s="44">
        <f>IF(B33="","","Active")</f>
        <v/>
      </c>
    </row>
    <row r="34" ht="20" customHeight="1">
      <c r="A34" s="39">
        <f>IF(B34="","","LN"&amp;TEXT(ROW()-2,"0000"))</f>
        <v/>
      </c>
      <c r="B34" s="26" t="n"/>
      <c r="C34" s="45">
        <f>IFERROR(IF(B34="","",VLOOKUP(B34,DATABASE!$A:$B,2,0)),"")</f>
        <v/>
      </c>
      <c r="D34" s="29" t="n"/>
      <c r="E34" s="40">
        <f>IF(B34="","",TODAY())</f>
        <v/>
      </c>
      <c r="F34" s="30" t="n"/>
      <c r="G34" s="41" t="n"/>
      <c r="H34" s="42" t="n"/>
      <c r="I34" s="43">
        <f>IFERROR(IF(OR(D34="",G34="",H34=""),"",ABS(PMT(G34/100/12,H34,D34))),"")</f>
        <v/>
      </c>
      <c r="J34" s="44">
        <f>IF(B34="","","Active")</f>
        <v/>
      </c>
    </row>
    <row r="35" ht="20" customHeight="1">
      <c r="A35" s="39">
        <f>IF(B35="","","LN"&amp;TEXT(ROW()-2,"0000"))</f>
        <v/>
      </c>
      <c r="B35" s="26" t="n"/>
      <c r="C35" s="27">
        <f>IFERROR(IF(B35="","",VLOOKUP(B35,DATABASE!$A:$B,2,0)),"")</f>
        <v/>
      </c>
      <c r="D35" s="29" t="n"/>
      <c r="E35" s="40">
        <f>IF(B35="","",TODAY())</f>
        <v/>
      </c>
      <c r="F35" s="30" t="n"/>
      <c r="G35" s="41" t="n"/>
      <c r="H35" s="42" t="n"/>
      <c r="I35" s="43">
        <f>IFERROR(IF(OR(D35="",G35="",H35=""),"",ABS(PMT(G35/100/12,H35,D35))),"")</f>
        <v/>
      </c>
      <c r="J35" s="44">
        <f>IF(B35="","","Active")</f>
        <v/>
      </c>
    </row>
    <row r="36" ht="20" customHeight="1">
      <c r="A36" s="39">
        <f>IF(B36="","","LN"&amp;TEXT(ROW()-2,"0000"))</f>
        <v/>
      </c>
      <c r="B36" s="26" t="n"/>
      <c r="C36" s="45">
        <f>IFERROR(IF(B36="","",VLOOKUP(B36,DATABASE!$A:$B,2,0)),"")</f>
        <v/>
      </c>
      <c r="D36" s="29" t="n"/>
      <c r="E36" s="40">
        <f>IF(B36="","",TODAY())</f>
        <v/>
      </c>
      <c r="F36" s="30" t="n"/>
      <c r="G36" s="41" t="n"/>
      <c r="H36" s="42" t="n"/>
      <c r="I36" s="43">
        <f>IFERROR(IF(OR(D36="",G36="",H36=""),"",ABS(PMT(G36/100/12,H36,D36))),"")</f>
        <v/>
      </c>
      <c r="J36" s="44">
        <f>IF(B36="","","Active")</f>
        <v/>
      </c>
    </row>
    <row r="37" ht="20" customHeight="1">
      <c r="A37" s="39">
        <f>IF(B37="","","LN"&amp;TEXT(ROW()-2,"0000"))</f>
        <v/>
      </c>
      <c r="B37" s="26" t="n"/>
      <c r="C37" s="27">
        <f>IFERROR(IF(B37="","",VLOOKUP(B37,DATABASE!$A:$B,2,0)),"")</f>
        <v/>
      </c>
      <c r="D37" s="29" t="n"/>
      <c r="E37" s="40">
        <f>IF(B37="","",TODAY())</f>
        <v/>
      </c>
      <c r="F37" s="30" t="n"/>
      <c r="G37" s="41" t="n"/>
      <c r="H37" s="42" t="n"/>
      <c r="I37" s="43">
        <f>IFERROR(IF(OR(D37="",G37="",H37=""),"",ABS(PMT(G37/100/12,H37,D37))),"")</f>
        <v/>
      </c>
      <c r="J37" s="44">
        <f>IF(B37="","","Active")</f>
        <v/>
      </c>
    </row>
    <row r="38" ht="20" customHeight="1">
      <c r="A38" s="39">
        <f>IF(B38="","","LN"&amp;TEXT(ROW()-2,"0000"))</f>
        <v/>
      </c>
      <c r="B38" s="26" t="n"/>
      <c r="C38" s="45">
        <f>IFERROR(IF(B38="","",VLOOKUP(B38,DATABASE!$A:$B,2,0)),"")</f>
        <v/>
      </c>
      <c r="D38" s="29" t="n"/>
      <c r="E38" s="40">
        <f>IF(B38="","",TODAY())</f>
        <v/>
      </c>
      <c r="F38" s="30" t="n"/>
      <c r="G38" s="41" t="n"/>
      <c r="H38" s="42" t="n"/>
      <c r="I38" s="43">
        <f>IFERROR(IF(OR(D38="",G38="",H38=""),"",ABS(PMT(G38/100/12,H38,D38))),"")</f>
        <v/>
      </c>
      <c r="J38" s="44">
        <f>IF(B38="","","Active")</f>
        <v/>
      </c>
    </row>
    <row r="39" ht="20" customHeight="1">
      <c r="A39" s="39">
        <f>IF(B39="","","LN"&amp;TEXT(ROW()-2,"0000"))</f>
        <v/>
      </c>
      <c r="B39" s="26" t="n"/>
      <c r="C39" s="27">
        <f>IFERROR(IF(B39="","",VLOOKUP(B39,DATABASE!$A:$B,2,0)),"")</f>
        <v/>
      </c>
      <c r="D39" s="29" t="n"/>
      <c r="E39" s="40">
        <f>IF(B39="","",TODAY())</f>
        <v/>
      </c>
      <c r="F39" s="30" t="n"/>
      <c r="G39" s="41" t="n"/>
      <c r="H39" s="42" t="n"/>
      <c r="I39" s="43">
        <f>IFERROR(IF(OR(D39="",G39="",H39=""),"",ABS(PMT(G39/100/12,H39,D39))),"")</f>
        <v/>
      </c>
      <c r="J39" s="44">
        <f>IF(B39="","","Active")</f>
        <v/>
      </c>
    </row>
    <row r="40" ht="20" customHeight="1">
      <c r="A40" s="39">
        <f>IF(B40="","","LN"&amp;TEXT(ROW()-2,"0000"))</f>
        <v/>
      </c>
      <c r="B40" s="26" t="n"/>
      <c r="C40" s="45">
        <f>IFERROR(IF(B40="","",VLOOKUP(B40,DATABASE!$A:$B,2,0)),"")</f>
        <v/>
      </c>
      <c r="D40" s="29" t="n"/>
      <c r="E40" s="40">
        <f>IF(B40="","",TODAY())</f>
        <v/>
      </c>
      <c r="F40" s="30" t="n"/>
      <c r="G40" s="41" t="n"/>
      <c r="H40" s="42" t="n"/>
      <c r="I40" s="43">
        <f>IFERROR(IF(OR(D40="",G40="",H40=""),"",ABS(PMT(G40/100/12,H40,D40))),"")</f>
        <v/>
      </c>
      <c r="J40" s="44">
        <f>IF(B40="","","Active")</f>
        <v/>
      </c>
    </row>
    <row r="41" ht="20" customHeight="1">
      <c r="A41" s="39">
        <f>IF(B41="","","LN"&amp;TEXT(ROW()-2,"0000"))</f>
        <v/>
      </c>
      <c r="B41" s="26" t="n"/>
      <c r="C41" s="27">
        <f>IFERROR(IF(B41="","",VLOOKUP(B41,DATABASE!$A:$B,2,0)),"")</f>
        <v/>
      </c>
      <c r="D41" s="29" t="n"/>
      <c r="E41" s="40">
        <f>IF(B41="","",TODAY())</f>
        <v/>
      </c>
      <c r="F41" s="30" t="n"/>
      <c r="G41" s="41" t="n"/>
      <c r="H41" s="42" t="n"/>
      <c r="I41" s="43">
        <f>IFERROR(IF(OR(D41="",G41="",H41=""),"",ABS(PMT(G41/100/12,H41,D41))),"")</f>
        <v/>
      </c>
      <c r="J41" s="44">
        <f>IF(B41="","","Active")</f>
        <v/>
      </c>
    </row>
    <row r="42" ht="20" customHeight="1">
      <c r="A42" s="39">
        <f>IF(B42="","","LN"&amp;TEXT(ROW()-2,"0000"))</f>
        <v/>
      </c>
      <c r="B42" s="26" t="n"/>
      <c r="C42" s="45">
        <f>IFERROR(IF(B42="","",VLOOKUP(B42,DATABASE!$A:$B,2,0)),"")</f>
        <v/>
      </c>
      <c r="D42" s="29" t="n"/>
      <c r="E42" s="40">
        <f>IF(B42="","",TODAY())</f>
        <v/>
      </c>
      <c r="F42" s="30" t="n"/>
      <c r="G42" s="41" t="n"/>
      <c r="H42" s="42" t="n"/>
      <c r="I42" s="43">
        <f>IFERROR(IF(OR(D42="",G42="",H42=""),"",ABS(PMT(G42/100/12,H42,D42))),"")</f>
        <v/>
      </c>
      <c r="J42" s="44">
        <f>IF(B42="","","Active")</f>
        <v/>
      </c>
    </row>
    <row r="43" ht="20" customHeight="1">
      <c r="A43" s="39">
        <f>IF(B43="","","LN"&amp;TEXT(ROW()-2,"0000"))</f>
        <v/>
      </c>
      <c r="B43" s="26" t="n"/>
      <c r="C43" s="27">
        <f>IFERROR(IF(B43="","",VLOOKUP(B43,DATABASE!$A:$B,2,0)),"")</f>
        <v/>
      </c>
      <c r="D43" s="29" t="n"/>
      <c r="E43" s="40">
        <f>IF(B43="","",TODAY())</f>
        <v/>
      </c>
      <c r="F43" s="30" t="n"/>
      <c r="G43" s="41" t="n"/>
      <c r="H43" s="42" t="n"/>
      <c r="I43" s="43">
        <f>IFERROR(IF(OR(D43="",G43="",H43=""),"",ABS(PMT(G43/100/12,H43,D43))),"")</f>
        <v/>
      </c>
      <c r="J43" s="44">
        <f>IF(B43="","","Active")</f>
        <v/>
      </c>
    </row>
    <row r="44" ht="20" customHeight="1">
      <c r="A44" s="39">
        <f>IF(B44="","","LN"&amp;TEXT(ROW()-2,"0000"))</f>
        <v/>
      </c>
      <c r="B44" s="26" t="n"/>
      <c r="C44" s="45">
        <f>IFERROR(IF(B44="","",VLOOKUP(B44,DATABASE!$A:$B,2,0)),"")</f>
        <v/>
      </c>
      <c r="D44" s="29" t="n"/>
      <c r="E44" s="40">
        <f>IF(B44="","",TODAY())</f>
        <v/>
      </c>
      <c r="F44" s="30" t="n"/>
      <c r="G44" s="41" t="n"/>
      <c r="H44" s="42" t="n"/>
      <c r="I44" s="43">
        <f>IFERROR(IF(OR(D44="",G44="",H44=""),"",ABS(PMT(G44/100/12,H44,D44))),"")</f>
        <v/>
      </c>
      <c r="J44" s="44">
        <f>IF(B44="","","Active")</f>
        <v/>
      </c>
    </row>
    <row r="45" ht="20" customHeight="1">
      <c r="A45" s="39">
        <f>IF(B45="","","LN"&amp;TEXT(ROW()-2,"0000"))</f>
        <v/>
      </c>
      <c r="B45" s="26" t="n"/>
      <c r="C45" s="27">
        <f>IFERROR(IF(B45="","",VLOOKUP(B45,DATABASE!$A:$B,2,0)),"")</f>
        <v/>
      </c>
      <c r="D45" s="29" t="n"/>
      <c r="E45" s="40">
        <f>IF(B45="","",TODAY())</f>
        <v/>
      </c>
      <c r="F45" s="30" t="n"/>
      <c r="G45" s="41" t="n"/>
      <c r="H45" s="42" t="n"/>
      <c r="I45" s="43">
        <f>IFERROR(IF(OR(D45="",G45="",H45=""),"",ABS(PMT(G45/100/12,H45,D45))),"")</f>
        <v/>
      </c>
      <c r="J45" s="44">
        <f>IF(B45="","","Active")</f>
        <v/>
      </c>
    </row>
    <row r="46" ht="20" customHeight="1">
      <c r="A46" s="39">
        <f>IF(B46="","","LN"&amp;TEXT(ROW()-2,"0000"))</f>
        <v/>
      </c>
      <c r="B46" s="26" t="n"/>
      <c r="C46" s="45">
        <f>IFERROR(IF(B46="","",VLOOKUP(B46,DATABASE!$A:$B,2,0)),"")</f>
        <v/>
      </c>
      <c r="D46" s="29" t="n"/>
      <c r="E46" s="40">
        <f>IF(B46="","",TODAY())</f>
        <v/>
      </c>
      <c r="F46" s="30" t="n"/>
      <c r="G46" s="41" t="n"/>
      <c r="H46" s="42" t="n"/>
      <c r="I46" s="43">
        <f>IFERROR(IF(OR(D46="",G46="",H46=""),"",ABS(PMT(G46/100/12,H46,D46))),"")</f>
        <v/>
      </c>
      <c r="J46" s="44">
        <f>IF(B46="","","Active")</f>
        <v/>
      </c>
    </row>
    <row r="47" ht="20" customHeight="1">
      <c r="A47" s="39">
        <f>IF(B47="","","LN"&amp;TEXT(ROW()-2,"0000"))</f>
        <v/>
      </c>
      <c r="B47" s="26" t="n"/>
      <c r="C47" s="27">
        <f>IFERROR(IF(B47="","",VLOOKUP(B47,DATABASE!$A:$B,2,0)),"")</f>
        <v/>
      </c>
      <c r="D47" s="29" t="n"/>
      <c r="E47" s="40">
        <f>IF(B47="","",TODAY())</f>
        <v/>
      </c>
      <c r="F47" s="30" t="n"/>
      <c r="G47" s="41" t="n"/>
      <c r="H47" s="42" t="n"/>
      <c r="I47" s="43">
        <f>IFERROR(IF(OR(D47="",G47="",H47=""),"",ABS(PMT(G47/100/12,H47,D47))),"")</f>
        <v/>
      </c>
      <c r="J47" s="44">
        <f>IF(B47="","","Active")</f>
        <v/>
      </c>
    </row>
    <row r="48" ht="20" customHeight="1">
      <c r="A48" s="39">
        <f>IF(B48="","","LN"&amp;TEXT(ROW()-2,"0000"))</f>
        <v/>
      </c>
      <c r="B48" s="26" t="n"/>
      <c r="C48" s="45">
        <f>IFERROR(IF(B48="","",VLOOKUP(B48,DATABASE!$A:$B,2,0)),"")</f>
        <v/>
      </c>
      <c r="D48" s="29" t="n"/>
      <c r="E48" s="40">
        <f>IF(B48="","",TODAY())</f>
        <v/>
      </c>
      <c r="F48" s="30" t="n"/>
      <c r="G48" s="41" t="n"/>
      <c r="H48" s="42" t="n"/>
      <c r="I48" s="43">
        <f>IFERROR(IF(OR(D48="",G48="",H48=""),"",ABS(PMT(G48/100/12,H48,D48))),"")</f>
        <v/>
      </c>
      <c r="J48" s="44">
        <f>IF(B48="","","Active")</f>
        <v/>
      </c>
    </row>
    <row r="49" ht="20" customHeight="1">
      <c r="A49" s="39">
        <f>IF(B49="","","LN"&amp;TEXT(ROW()-2,"0000"))</f>
        <v/>
      </c>
      <c r="B49" s="26" t="n"/>
      <c r="C49" s="27">
        <f>IFERROR(IF(B49="","",VLOOKUP(B49,DATABASE!$A:$B,2,0)),"")</f>
        <v/>
      </c>
      <c r="D49" s="29" t="n"/>
      <c r="E49" s="40">
        <f>IF(B49="","",TODAY())</f>
        <v/>
      </c>
      <c r="F49" s="30" t="n"/>
      <c r="G49" s="41" t="n"/>
      <c r="H49" s="42" t="n"/>
      <c r="I49" s="43">
        <f>IFERROR(IF(OR(D49="",G49="",H49=""),"",ABS(PMT(G49/100/12,H49,D49))),"")</f>
        <v/>
      </c>
      <c r="J49" s="44">
        <f>IF(B49="","","Active")</f>
        <v/>
      </c>
    </row>
    <row r="50" ht="20" customHeight="1">
      <c r="A50" s="39">
        <f>IF(B50="","","LN"&amp;TEXT(ROW()-2,"0000"))</f>
        <v/>
      </c>
      <c r="B50" s="26" t="n"/>
      <c r="C50" s="45">
        <f>IFERROR(IF(B50="","",VLOOKUP(B50,DATABASE!$A:$B,2,0)),"")</f>
        <v/>
      </c>
      <c r="D50" s="29" t="n"/>
      <c r="E50" s="40">
        <f>IF(B50="","",TODAY())</f>
        <v/>
      </c>
      <c r="F50" s="30" t="n"/>
      <c r="G50" s="41" t="n"/>
      <c r="H50" s="42" t="n"/>
      <c r="I50" s="43">
        <f>IFERROR(IF(OR(D50="",G50="",H50=""),"",ABS(PMT(G50/100/12,H50,D50))),"")</f>
        <v/>
      </c>
      <c r="J50" s="44">
        <f>IF(B50="","","Active")</f>
        <v/>
      </c>
    </row>
    <row r="51" ht="20" customHeight="1">
      <c r="A51" s="39">
        <f>IF(B51="","","LN"&amp;TEXT(ROW()-2,"0000"))</f>
        <v/>
      </c>
      <c r="B51" s="26" t="n"/>
      <c r="C51" s="27">
        <f>IFERROR(IF(B51="","",VLOOKUP(B51,DATABASE!$A:$B,2,0)),"")</f>
        <v/>
      </c>
      <c r="D51" s="29" t="n"/>
      <c r="E51" s="40">
        <f>IF(B51="","",TODAY())</f>
        <v/>
      </c>
      <c r="F51" s="30" t="n"/>
      <c r="G51" s="41" t="n"/>
      <c r="H51" s="42" t="n"/>
      <c r="I51" s="43">
        <f>IFERROR(IF(OR(D51="",G51="",H51=""),"",ABS(PMT(G51/100/12,H51,D51))),"")</f>
        <v/>
      </c>
      <c r="J51" s="44">
        <f>IF(B51="","","Active")</f>
        <v/>
      </c>
    </row>
    <row r="52" ht="20" customHeight="1">
      <c r="A52" s="39">
        <f>IF(B52="","","LN"&amp;TEXT(ROW()-2,"0000"))</f>
        <v/>
      </c>
      <c r="B52" s="26" t="n"/>
      <c r="C52" s="45">
        <f>IFERROR(IF(B52="","",VLOOKUP(B52,DATABASE!$A:$B,2,0)),"")</f>
        <v/>
      </c>
      <c r="D52" s="29" t="n"/>
      <c r="E52" s="40">
        <f>IF(B52="","",TODAY())</f>
        <v/>
      </c>
      <c r="F52" s="30" t="n"/>
      <c r="G52" s="41" t="n"/>
      <c r="H52" s="42" t="n"/>
      <c r="I52" s="43">
        <f>IFERROR(IF(OR(D52="",G52="",H52=""),"",ABS(PMT(G52/100/12,H52,D52))),"")</f>
        <v/>
      </c>
      <c r="J52" s="44">
        <f>IF(B52="","","Active")</f>
        <v/>
      </c>
    </row>
    <row r="53" ht="20" customHeight="1">
      <c r="A53" s="39">
        <f>IF(B53="","","LN"&amp;TEXT(ROW()-2,"0000"))</f>
        <v/>
      </c>
      <c r="B53" s="26" t="n"/>
      <c r="C53" s="27">
        <f>IFERROR(IF(B53="","",VLOOKUP(B53,DATABASE!$A:$B,2,0)),"")</f>
        <v/>
      </c>
      <c r="D53" s="29" t="n"/>
      <c r="E53" s="40">
        <f>IF(B53="","",TODAY())</f>
        <v/>
      </c>
      <c r="F53" s="30" t="n"/>
      <c r="G53" s="41" t="n"/>
      <c r="H53" s="42" t="n"/>
      <c r="I53" s="43">
        <f>IFERROR(IF(OR(D53="",G53="",H53=""),"",ABS(PMT(G53/100/12,H53,D53))),"")</f>
        <v/>
      </c>
      <c r="J53" s="44">
        <f>IF(B53="","","Active")</f>
        <v/>
      </c>
    </row>
    <row r="54" ht="20" customHeight="1">
      <c r="A54" s="39">
        <f>IF(B54="","","LN"&amp;TEXT(ROW()-2,"0000"))</f>
        <v/>
      </c>
      <c r="B54" s="26" t="n"/>
      <c r="C54" s="45">
        <f>IFERROR(IF(B54="","",VLOOKUP(B54,DATABASE!$A:$B,2,0)),"")</f>
        <v/>
      </c>
      <c r="D54" s="29" t="n"/>
      <c r="E54" s="40">
        <f>IF(B54="","",TODAY())</f>
        <v/>
      </c>
      <c r="F54" s="30" t="n"/>
      <c r="G54" s="41" t="n"/>
      <c r="H54" s="42" t="n"/>
      <c r="I54" s="43">
        <f>IFERROR(IF(OR(D54="",G54="",H54=""),"",ABS(PMT(G54/100/12,H54,D54))),"")</f>
        <v/>
      </c>
      <c r="J54" s="44">
        <f>IF(B54="","","Active")</f>
        <v/>
      </c>
    </row>
    <row r="55" ht="20" customHeight="1">
      <c r="A55" s="39">
        <f>IF(B55="","","LN"&amp;TEXT(ROW()-2,"0000"))</f>
        <v/>
      </c>
      <c r="B55" s="26" t="n"/>
      <c r="C55" s="27">
        <f>IFERROR(IF(B55="","",VLOOKUP(B55,DATABASE!$A:$B,2,0)),"")</f>
        <v/>
      </c>
      <c r="D55" s="29" t="n"/>
      <c r="E55" s="40">
        <f>IF(B55="","",TODAY())</f>
        <v/>
      </c>
      <c r="F55" s="30" t="n"/>
      <c r="G55" s="41" t="n"/>
      <c r="H55" s="42" t="n"/>
      <c r="I55" s="43">
        <f>IFERROR(IF(OR(D55="",G55="",H55=""),"",ABS(PMT(G55/100/12,H55,D55))),"")</f>
        <v/>
      </c>
      <c r="J55" s="44">
        <f>IF(B55="","","Active")</f>
        <v/>
      </c>
    </row>
    <row r="56" ht="20" customHeight="1">
      <c r="A56" s="39">
        <f>IF(B56="","","LN"&amp;TEXT(ROW()-2,"0000"))</f>
        <v/>
      </c>
      <c r="B56" s="26" t="n"/>
      <c r="C56" s="45">
        <f>IFERROR(IF(B56="","",VLOOKUP(B56,DATABASE!$A:$B,2,0)),"")</f>
        <v/>
      </c>
      <c r="D56" s="29" t="n"/>
      <c r="E56" s="40">
        <f>IF(B56="","",TODAY())</f>
        <v/>
      </c>
      <c r="F56" s="30" t="n"/>
      <c r="G56" s="41" t="n"/>
      <c r="H56" s="42" t="n"/>
      <c r="I56" s="43">
        <f>IFERROR(IF(OR(D56="",G56="",H56=""),"",ABS(PMT(G56/100/12,H56,D56))),"")</f>
        <v/>
      </c>
      <c r="J56" s="44">
        <f>IF(B56="","","Active")</f>
        <v/>
      </c>
    </row>
    <row r="57" ht="20" customHeight="1">
      <c r="A57" s="39">
        <f>IF(B57="","","LN"&amp;TEXT(ROW()-2,"0000"))</f>
        <v/>
      </c>
      <c r="B57" s="26" t="n"/>
      <c r="C57" s="27">
        <f>IFERROR(IF(B57="","",VLOOKUP(B57,DATABASE!$A:$B,2,0)),"")</f>
        <v/>
      </c>
      <c r="D57" s="29" t="n"/>
      <c r="E57" s="40">
        <f>IF(B57="","",TODAY())</f>
        <v/>
      </c>
      <c r="F57" s="30" t="n"/>
      <c r="G57" s="41" t="n"/>
      <c r="H57" s="42" t="n"/>
      <c r="I57" s="43">
        <f>IFERROR(IF(OR(D57="",G57="",H57=""),"",ABS(PMT(G57/100/12,H57,D57))),"")</f>
        <v/>
      </c>
      <c r="J57" s="44">
        <f>IF(B57="","","Active")</f>
        <v/>
      </c>
    </row>
    <row r="58" ht="20" customHeight="1">
      <c r="A58" s="39">
        <f>IF(B58="","","LN"&amp;TEXT(ROW()-2,"0000"))</f>
        <v/>
      </c>
      <c r="B58" s="26" t="n"/>
      <c r="C58" s="45">
        <f>IFERROR(IF(B58="","",VLOOKUP(B58,DATABASE!$A:$B,2,0)),"")</f>
        <v/>
      </c>
      <c r="D58" s="29" t="n"/>
      <c r="E58" s="40">
        <f>IF(B58="","",TODAY())</f>
        <v/>
      </c>
      <c r="F58" s="30" t="n"/>
      <c r="G58" s="41" t="n"/>
      <c r="H58" s="42" t="n"/>
      <c r="I58" s="43">
        <f>IFERROR(IF(OR(D58="",G58="",H58=""),"",ABS(PMT(G58/100/12,H58,D58))),"")</f>
        <v/>
      </c>
      <c r="J58" s="44">
        <f>IF(B58="","","Active")</f>
        <v/>
      </c>
    </row>
    <row r="59" ht="20" customHeight="1">
      <c r="A59" s="39">
        <f>IF(B59="","","LN"&amp;TEXT(ROW()-2,"0000"))</f>
        <v/>
      </c>
      <c r="B59" s="26" t="n"/>
      <c r="C59" s="27">
        <f>IFERROR(IF(B59="","",VLOOKUP(B59,DATABASE!$A:$B,2,0)),"")</f>
        <v/>
      </c>
      <c r="D59" s="29" t="n"/>
      <c r="E59" s="40">
        <f>IF(B59="","",TODAY())</f>
        <v/>
      </c>
      <c r="F59" s="30" t="n"/>
      <c r="G59" s="41" t="n"/>
      <c r="H59" s="42" t="n"/>
      <c r="I59" s="43">
        <f>IFERROR(IF(OR(D59="",G59="",H59=""),"",ABS(PMT(G59/100/12,H59,D59))),"")</f>
        <v/>
      </c>
      <c r="J59" s="44">
        <f>IF(B59="","","Active")</f>
        <v/>
      </c>
    </row>
    <row r="60" ht="20" customHeight="1">
      <c r="A60" s="39">
        <f>IF(B60="","","LN"&amp;TEXT(ROW()-2,"0000"))</f>
        <v/>
      </c>
      <c r="B60" s="26" t="n"/>
      <c r="C60" s="45">
        <f>IFERROR(IF(B60="","",VLOOKUP(B60,DATABASE!$A:$B,2,0)),"")</f>
        <v/>
      </c>
      <c r="D60" s="29" t="n"/>
      <c r="E60" s="40">
        <f>IF(B60="","",TODAY())</f>
        <v/>
      </c>
      <c r="F60" s="30" t="n"/>
      <c r="G60" s="41" t="n"/>
      <c r="H60" s="42" t="n"/>
      <c r="I60" s="43">
        <f>IFERROR(IF(OR(D60="",G60="",H60=""),"",ABS(PMT(G60/100/12,H60,D60))),"")</f>
        <v/>
      </c>
      <c r="J60" s="44">
        <f>IF(B60="","","Active")</f>
        <v/>
      </c>
    </row>
    <row r="61" ht="20" customHeight="1">
      <c r="A61" s="39">
        <f>IF(B61="","","LN"&amp;TEXT(ROW()-2,"0000"))</f>
        <v/>
      </c>
      <c r="B61" s="26" t="n"/>
      <c r="C61" s="27">
        <f>IFERROR(IF(B61="","",VLOOKUP(B61,DATABASE!$A:$B,2,0)),"")</f>
        <v/>
      </c>
      <c r="D61" s="29" t="n"/>
      <c r="E61" s="40">
        <f>IF(B61="","",TODAY())</f>
        <v/>
      </c>
      <c r="F61" s="30" t="n"/>
      <c r="G61" s="41" t="n"/>
      <c r="H61" s="42" t="n"/>
      <c r="I61" s="43">
        <f>IFERROR(IF(OR(D61="",G61="",H61=""),"",ABS(PMT(G61/100/12,H61,D61))),"")</f>
        <v/>
      </c>
      <c r="J61" s="44">
        <f>IF(B61="","","Active")</f>
        <v/>
      </c>
    </row>
    <row r="62" ht="20" customHeight="1">
      <c r="A62" s="39">
        <f>IF(B62="","","LN"&amp;TEXT(ROW()-2,"0000"))</f>
        <v/>
      </c>
      <c r="B62" s="26" t="n"/>
      <c r="C62" s="45">
        <f>IFERROR(IF(B62="","",VLOOKUP(B62,DATABASE!$A:$B,2,0)),"")</f>
        <v/>
      </c>
      <c r="D62" s="29" t="n"/>
      <c r="E62" s="40">
        <f>IF(B62="","",TODAY())</f>
        <v/>
      </c>
      <c r="F62" s="30" t="n"/>
      <c r="G62" s="41" t="n"/>
      <c r="H62" s="42" t="n"/>
      <c r="I62" s="43">
        <f>IFERROR(IF(OR(D62="",G62="",H62=""),"",ABS(PMT(G62/100/12,H62,D62))),"")</f>
        <v/>
      </c>
      <c r="J62" s="44">
        <f>IF(B62="","","Active")</f>
        <v/>
      </c>
    </row>
    <row r="63" ht="20" customHeight="1">
      <c r="A63" s="39">
        <f>IF(B63="","","LN"&amp;TEXT(ROW()-2,"0000"))</f>
        <v/>
      </c>
      <c r="B63" s="26" t="n"/>
      <c r="C63" s="27">
        <f>IFERROR(IF(B63="","",VLOOKUP(B63,DATABASE!$A:$B,2,0)),"")</f>
        <v/>
      </c>
      <c r="D63" s="29" t="n"/>
      <c r="E63" s="40">
        <f>IF(B63="","",TODAY())</f>
        <v/>
      </c>
      <c r="F63" s="30" t="n"/>
      <c r="G63" s="41" t="n"/>
      <c r="H63" s="42" t="n"/>
      <c r="I63" s="43">
        <f>IFERROR(IF(OR(D63="",G63="",H63=""),"",ABS(PMT(G63/100/12,H63,D63))),"")</f>
        <v/>
      </c>
      <c r="J63" s="44">
        <f>IF(B63="","","Active")</f>
        <v/>
      </c>
    </row>
    <row r="64" ht="20" customHeight="1">
      <c r="A64" s="39">
        <f>IF(B64="","","LN"&amp;TEXT(ROW()-2,"0000"))</f>
        <v/>
      </c>
      <c r="B64" s="26" t="n"/>
      <c r="C64" s="45">
        <f>IFERROR(IF(B64="","",VLOOKUP(B64,DATABASE!$A:$B,2,0)),"")</f>
        <v/>
      </c>
      <c r="D64" s="29" t="n"/>
      <c r="E64" s="40">
        <f>IF(B64="","",TODAY())</f>
        <v/>
      </c>
      <c r="F64" s="30" t="n"/>
      <c r="G64" s="41" t="n"/>
      <c r="H64" s="42" t="n"/>
      <c r="I64" s="43">
        <f>IFERROR(IF(OR(D64="",G64="",H64=""),"",ABS(PMT(G64/100/12,H64,D64))),"")</f>
        <v/>
      </c>
      <c r="J64" s="44">
        <f>IF(B64="","","Active")</f>
        <v/>
      </c>
    </row>
    <row r="65" ht="20" customHeight="1">
      <c r="A65" s="39">
        <f>IF(B65="","","LN"&amp;TEXT(ROW()-2,"0000"))</f>
        <v/>
      </c>
      <c r="B65" s="26" t="n"/>
      <c r="C65" s="27">
        <f>IFERROR(IF(B65="","",VLOOKUP(B65,DATABASE!$A:$B,2,0)),"")</f>
        <v/>
      </c>
      <c r="D65" s="29" t="n"/>
      <c r="E65" s="40">
        <f>IF(B65="","",TODAY())</f>
        <v/>
      </c>
      <c r="F65" s="30" t="n"/>
      <c r="G65" s="41" t="n"/>
      <c r="H65" s="42" t="n"/>
      <c r="I65" s="43">
        <f>IFERROR(IF(OR(D65="",G65="",H65=""),"",ABS(PMT(G65/100/12,H65,D65))),"")</f>
        <v/>
      </c>
      <c r="J65" s="44">
        <f>IF(B65="","","Active")</f>
        <v/>
      </c>
    </row>
    <row r="66" ht="20" customHeight="1">
      <c r="A66" s="39">
        <f>IF(B66="","","LN"&amp;TEXT(ROW()-2,"0000"))</f>
        <v/>
      </c>
      <c r="B66" s="26" t="n"/>
      <c r="C66" s="45">
        <f>IFERROR(IF(B66="","",VLOOKUP(B66,DATABASE!$A:$B,2,0)),"")</f>
        <v/>
      </c>
      <c r="D66" s="29" t="n"/>
      <c r="E66" s="40">
        <f>IF(B66="","",TODAY())</f>
        <v/>
      </c>
      <c r="F66" s="30" t="n"/>
      <c r="G66" s="41" t="n"/>
      <c r="H66" s="42" t="n"/>
      <c r="I66" s="43">
        <f>IFERROR(IF(OR(D66="",G66="",H66=""),"",ABS(PMT(G66/100/12,H66,D66))),"")</f>
        <v/>
      </c>
      <c r="J66" s="44">
        <f>IF(B66="","","Active")</f>
        <v/>
      </c>
    </row>
    <row r="67" ht="20" customHeight="1">
      <c r="A67" s="39">
        <f>IF(B67="","","LN"&amp;TEXT(ROW()-2,"0000"))</f>
        <v/>
      </c>
      <c r="B67" s="26" t="n"/>
      <c r="C67" s="27">
        <f>IFERROR(IF(B67="","",VLOOKUP(B67,DATABASE!$A:$B,2,0)),"")</f>
        <v/>
      </c>
      <c r="D67" s="29" t="n"/>
      <c r="E67" s="40">
        <f>IF(B67="","",TODAY())</f>
        <v/>
      </c>
      <c r="F67" s="30" t="n"/>
      <c r="G67" s="41" t="n"/>
      <c r="H67" s="42" t="n"/>
      <c r="I67" s="43">
        <f>IFERROR(IF(OR(D67="",G67="",H67=""),"",ABS(PMT(G67/100/12,H67,D67))),"")</f>
        <v/>
      </c>
      <c r="J67" s="44">
        <f>IF(B67="","","Active")</f>
        <v/>
      </c>
    </row>
    <row r="68" ht="20" customHeight="1">
      <c r="A68" s="39">
        <f>IF(B68="","","LN"&amp;TEXT(ROW()-2,"0000"))</f>
        <v/>
      </c>
      <c r="B68" s="26" t="n"/>
      <c r="C68" s="45">
        <f>IFERROR(IF(B68="","",VLOOKUP(B68,DATABASE!$A:$B,2,0)),"")</f>
        <v/>
      </c>
      <c r="D68" s="29" t="n"/>
      <c r="E68" s="40">
        <f>IF(B68="","",TODAY())</f>
        <v/>
      </c>
      <c r="F68" s="30" t="n"/>
      <c r="G68" s="41" t="n"/>
      <c r="H68" s="42" t="n"/>
      <c r="I68" s="43">
        <f>IFERROR(IF(OR(D68="",G68="",H68=""),"",ABS(PMT(G68/100/12,H68,D68))),"")</f>
        <v/>
      </c>
      <c r="J68" s="44">
        <f>IF(B68="","","Active")</f>
        <v/>
      </c>
    </row>
    <row r="69" ht="20" customHeight="1">
      <c r="A69" s="39">
        <f>IF(B69="","","LN"&amp;TEXT(ROW()-2,"0000"))</f>
        <v/>
      </c>
      <c r="B69" s="26" t="n"/>
      <c r="C69" s="27">
        <f>IFERROR(IF(B69="","",VLOOKUP(B69,DATABASE!$A:$B,2,0)),"")</f>
        <v/>
      </c>
      <c r="D69" s="29" t="n"/>
      <c r="E69" s="40">
        <f>IF(B69="","",TODAY())</f>
        <v/>
      </c>
      <c r="F69" s="30" t="n"/>
      <c r="G69" s="41" t="n"/>
      <c r="H69" s="42" t="n"/>
      <c r="I69" s="43">
        <f>IFERROR(IF(OR(D69="",G69="",H69=""),"",ABS(PMT(G69/100/12,H69,D69))),"")</f>
        <v/>
      </c>
      <c r="J69" s="44">
        <f>IF(B69="","","Active")</f>
        <v/>
      </c>
    </row>
    <row r="70" ht="20" customHeight="1">
      <c r="A70" s="39">
        <f>IF(B70="","","LN"&amp;TEXT(ROW()-2,"0000"))</f>
        <v/>
      </c>
      <c r="B70" s="26" t="n"/>
      <c r="C70" s="45">
        <f>IFERROR(IF(B70="","",VLOOKUP(B70,DATABASE!$A:$B,2,0)),"")</f>
        <v/>
      </c>
      <c r="D70" s="29" t="n"/>
      <c r="E70" s="40">
        <f>IF(B70="","",TODAY())</f>
        <v/>
      </c>
      <c r="F70" s="30" t="n"/>
      <c r="G70" s="41" t="n"/>
      <c r="H70" s="42" t="n"/>
      <c r="I70" s="43">
        <f>IFERROR(IF(OR(D70="",G70="",H70=""),"",ABS(PMT(G70/100/12,H70,D70))),"")</f>
        <v/>
      </c>
      <c r="J70" s="44">
        <f>IF(B70="","","Active")</f>
        <v/>
      </c>
    </row>
    <row r="71" ht="20" customHeight="1">
      <c r="A71" s="39">
        <f>IF(B71="","","LN"&amp;TEXT(ROW()-2,"0000"))</f>
        <v/>
      </c>
      <c r="B71" s="26" t="n"/>
      <c r="C71" s="27">
        <f>IFERROR(IF(B71="","",VLOOKUP(B71,DATABASE!$A:$B,2,0)),"")</f>
        <v/>
      </c>
      <c r="D71" s="29" t="n"/>
      <c r="E71" s="40">
        <f>IF(B71="","",TODAY())</f>
        <v/>
      </c>
      <c r="F71" s="30" t="n"/>
      <c r="G71" s="41" t="n"/>
      <c r="H71" s="42" t="n"/>
      <c r="I71" s="43">
        <f>IFERROR(IF(OR(D71="",G71="",H71=""),"",ABS(PMT(G71/100/12,H71,D71))),"")</f>
        <v/>
      </c>
      <c r="J71" s="44">
        <f>IF(B71="","","Active")</f>
        <v/>
      </c>
    </row>
    <row r="72" ht="20" customHeight="1">
      <c r="A72" s="39">
        <f>IF(B72="","","LN"&amp;TEXT(ROW()-2,"0000"))</f>
        <v/>
      </c>
      <c r="B72" s="26" t="n"/>
      <c r="C72" s="45">
        <f>IFERROR(IF(B72="","",VLOOKUP(B72,DATABASE!$A:$B,2,0)),"")</f>
        <v/>
      </c>
      <c r="D72" s="29" t="n"/>
      <c r="E72" s="40">
        <f>IF(B72="","",TODAY())</f>
        <v/>
      </c>
      <c r="F72" s="30" t="n"/>
      <c r="G72" s="41" t="n"/>
      <c r="H72" s="42" t="n"/>
      <c r="I72" s="43">
        <f>IFERROR(IF(OR(D72="",G72="",H72=""),"",ABS(PMT(G72/100/12,H72,D72))),"")</f>
        <v/>
      </c>
      <c r="J72" s="44">
        <f>IF(B72="","","Active")</f>
        <v/>
      </c>
    </row>
    <row r="73" ht="20" customHeight="1">
      <c r="A73" s="39">
        <f>IF(B73="","","LN"&amp;TEXT(ROW()-2,"0000"))</f>
        <v/>
      </c>
      <c r="B73" s="26" t="n"/>
      <c r="C73" s="27">
        <f>IFERROR(IF(B73="","",VLOOKUP(B73,DATABASE!$A:$B,2,0)),"")</f>
        <v/>
      </c>
      <c r="D73" s="29" t="n"/>
      <c r="E73" s="40">
        <f>IF(B73="","",TODAY())</f>
        <v/>
      </c>
      <c r="F73" s="30" t="n"/>
      <c r="G73" s="41" t="n"/>
      <c r="H73" s="42" t="n"/>
      <c r="I73" s="43">
        <f>IFERROR(IF(OR(D73="",G73="",H73=""),"",ABS(PMT(G73/100/12,H73,D73))),"")</f>
        <v/>
      </c>
      <c r="J73" s="44">
        <f>IF(B73="","","Active")</f>
        <v/>
      </c>
    </row>
    <row r="74" ht="20" customHeight="1">
      <c r="A74" s="39">
        <f>IF(B74="","","LN"&amp;TEXT(ROW()-2,"0000"))</f>
        <v/>
      </c>
      <c r="B74" s="26" t="n"/>
      <c r="C74" s="45">
        <f>IFERROR(IF(B74="","",VLOOKUP(B74,DATABASE!$A:$B,2,0)),"")</f>
        <v/>
      </c>
      <c r="D74" s="29" t="n"/>
      <c r="E74" s="40">
        <f>IF(B74="","",TODAY())</f>
        <v/>
      </c>
      <c r="F74" s="30" t="n"/>
      <c r="G74" s="41" t="n"/>
      <c r="H74" s="42" t="n"/>
      <c r="I74" s="43">
        <f>IFERROR(IF(OR(D74="",G74="",H74=""),"",ABS(PMT(G74/100/12,H74,D74))),"")</f>
        <v/>
      </c>
      <c r="J74" s="44">
        <f>IF(B74="","","Active")</f>
        <v/>
      </c>
    </row>
    <row r="75" ht="20" customHeight="1">
      <c r="A75" s="39">
        <f>IF(B75="","","LN"&amp;TEXT(ROW()-2,"0000"))</f>
        <v/>
      </c>
      <c r="B75" s="26" t="n"/>
      <c r="C75" s="27">
        <f>IFERROR(IF(B75="","",VLOOKUP(B75,DATABASE!$A:$B,2,0)),"")</f>
        <v/>
      </c>
      <c r="D75" s="29" t="n"/>
      <c r="E75" s="40">
        <f>IF(B75="","",TODAY())</f>
        <v/>
      </c>
      <c r="F75" s="30" t="n"/>
      <c r="G75" s="41" t="n"/>
      <c r="H75" s="42" t="n"/>
      <c r="I75" s="43">
        <f>IFERROR(IF(OR(D75="",G75="",H75=""),"",ABS(PMT(G75/100/12,H75,D75))),"")</f>
        <v/>
      </c>
      <c r="J75" s="44">
        <f>IF(B75="","","Active")</f>
        <v/>
      </c>
    </row>
    <row r="76" ht="20" customHeight="1">
      <c r="A76" s="39">
        <f>IF(B76="","","LN"&amp;TEXT(ROW()-2,"0000"))</f>
        <v/>
      </c>
      <c r="B76" s="26" t="n"/>
      <c r="C76" s="45">
        <f>IFERROR(IF(B76="","",VLOOKUP(B76,DATABASE!$A:$B,2,0)),"")</f>
        <v/>
      </c>
      <c r="D76" s="29" t="n"/>
      <c r="E76" s="40">
        <f>IF(B76="","",TODAY())</f>
        <v/>
      </c>
      <c r="F76" s="30" t="n"/>
      <c r="G76" s="41" t="n"/>
      <c r="H76" s="42" t="n"/>
      <c r="I76" s="43">
        <f>IFERROR(IF(OR(D76="",G76="",H76=""),"",ABS(PMT(G76/100/12,H76,D76))),"")</f>
        <v/>
      </c>
      <c r="J76" s="44">
        <f>IF(B76="","","Active")</f>
        <v/>
      </c>
    </row>
    <row r="77" ht="20" customHeight="1">
      <c r="A77" s="39">
        <f>IF(B77="","","LN"&amp;TEXT(ROW()-2,"0000"))</f>
        <v/>
      </c>
      <c r="B77" s="26" t="n"/>
      <c r="C77" s="27">
        <f>IFERROR(IF(B77="","",VLOOKUP(B77,DATABASE!$A:$B,2,0)),"")</f>
        <v/>
      </c>
      <c r="D77" s="29" t="n"/>
      <c r="E77" s="40">
        <f>IF(B77="","",TODAY())</f>
        <v/>
      </c>
      <c r="F77" s="30" t="n"/>
      <c r="G77" s="41" t="n"/>
      <c r="H77" s="42" t="n"/>
      <c r="I77" s="43">
        <f>IFERROR(IF(OR(D77="",G77="",H77=""),"",ABS(PMT(G77/100/12,H77,D77))),"")</f>
        <v/>
      </c>
      <c r="J77" s="44">
        <f>IF(B77="","","Active")</f>
        <v/>
      </c>
    </row>
    <row r="78" ht="20" customHeight="1">
      <c r="A78" s="39">
        <f>IF(B78="","","LN"&amp;TEXT(ROW()-2,"0000"))</f>
        <v/>
      </c>
      <c r="B78" s="26" t="n"/>
      <c r="C78" s="45">
        <f>IFERROR(IF(B78="","",VLOOKUP(B78,DATABASE!$A:$B,2,0)),"")</f>
        <v/>
      </c>
      <c r="D78" s="29" t="n"/>
      <c r="E78" s="40">
        <f>IF(B78="","",TODAY())</f>
        <v/>
      </c>
      <c r="F78" s="30" t="n"/>
      <c r="G78" s="41" t="n"/>
      <c r="H78" s="42" t="n"/>
      <c r="I78" s="43">
        <f>IFERROR(IF(OR(D78="",G78="",H78=""),"",ABS(PMT(G78/100/12,H78,D78))),"")</f>
        <v/>
      </c>
      <c r="J78" s="44">
        <f>IF(B78="","","Active")</f>
        <v/>
      </c>
    </row>
    <row r="79" ht="20" customHeight="1">
      <c r="A79" s="39">
        <f>IF(B79="","","LN"&amp;TEXT(ROW()-2,"0000"))</f>
        <v/>
      </c>
      <c r="B79" s="26" t="n"/>
      <c r="C79" s="27">
        <f>IFERROR(IF(B79="","",VLOOKUP(B79,DATABASE!$A:$B,2,0)),"")</f>
        <v/>
      </c>
      <c r="D79" s="29" t="n"/>
      <c r="E79" s="40">
        <f>IF(B79="","",TODAY())</f>
        <v/>
      </c>
      <c r="F79" s="30" t="n"/>
      <c r="G79" s="41" t="n"/>
      <c r="H79" s="42" t="n"/>
      <c r="I79" s="43">
        <f>IFERROR(IF(OR(D79="",G79="",H79=""),"",ABS(PMT(G79/100/12,H79,D79))),"")</f>
        <v/>
      </c>
      <c r="J79" s="44">
        <f>IF(B79="","","Active")</f>
        <v/>
      </c>
    </row>
    <row r="80" ht="20" customHeight="1">
      <c r="A80" s="39">
        <f>IF(B80="","","LN"&amp;TEXT(ROW()-2,"0000"))</f>
        <v/>
      </c>
      <c r="B80" s="26" t="n"/>
      <c r="C80" s="45">
        <f>IFERROR(IF(B80="","",VLOOKUP(B80,DATABASE!$A:$B,2,0)),"")</f>
        <v/>
      </c>
      <c r="D80" s="29" t="n"/>
      <c r="E80" s="40">
        <f>IF(B80="","",TODAY())</f>
        <v/>
      </c>
      <c r="F80" s="30" t="n"/>
      <c r="G80" s="41" t="n"/>
      <c r="H80" s="42" t="n"/>
      <c r="I80" s="43">
        <f>IFERROR(IF(OR(D80="",G80="",H80=""),"",ABS(PMT(G80/100/12,H80,D80))),"")</f>
        <v/>
      </c>
      <c r="J80" s="44">
        <f>IF(B80="","","Active")</f>
        <v/>
      </c>
    </row>
    <row r="81" ht="20" customHeight="1">
      <c r="A81" s="39">
        <f>IF(B81="","","LN"&amp;TEXT(ROW()-2,"0000"))</f>
        <v/>
      </c>
      <c r="B81" s="26" t="n"/>
      <c r="C81" s="27">
        <f>IFERROR(IF(B81="","",VLOOKUP(B81,DATABASE!$A:$B,2,0)),"")</f>
        <v/>
      </c>
      <c r="D81" s="29" t="n"/>
      <c r="E81" s="40">
        <f>IF(B81="","",TODAY())</f>
        <v/>
      </c>
      <c r="F81" s="30" t="n"/>
      <c r="G81" s="41" t="n"/>
      <c r="H81" s="42" t="n"/>
      <c r="I81" s="43">
        <f>IFERROR(IF(OR(D81="",G81="",H81=""),"",ABS(PMT(G81/100/12,H81,D81))),"")</f>
        <v/>
      </c>
      <c r="J81" s="44">
        <f>IF(B81="","","Active")</f>
        <v/>
      </c>
    </row>
    <row r="82" ht="20" customHeight="1">
      <c r="A82" s="39">
        <f>IF(B82="","","LN"&amp;TEXT(ROW()-2,"0000"))</f>
        <v/>
      </c>
      <c r="B82" s="26" t="n"/>
      <c r="C82" s="45">
        <f>IFERROR(IF(B82="","",VLOOKUP(B82,DATABASE!$A:$B,2,0)),"")</f>
        <v/>
      </c>
      <c r="D82" s="29" t="n"/>
      <c r="E82" s="40">
        <f>IF(B82="","",TODAY())</f>
        <v/>
      </c>
      <c r="F82" s="30" t="n"/>
      <c r="G82" s="41" t="n"/>
      <c r="H82" s="42" t="n"/>
      <c r="I82" s="43">
        <f>IFERROR(IF(OR(D82="",G82="",H82=""),"",ABS(PMT(G82/100/12,H82,D82))),"")</f>
        <v/>
      </c>
      <c r="J82" s="44">
        <f>IF(B82="","","Active")</f>
        <v/>
      </c>
    </row>
    <row r="83" ht="20" customHeight="1">
      <c r="A83" s="39">
        <f>IF(B83="","","LN"&amp;TEXT(ROW()-2,"0000"))</f>
        <v/>
      </c>
      <c r="B83" s="26" t="n"/>
      <c r="C83" s="27">
        <f>IFERROR(IF(B83="","",VLOOKUP(B83,DATABASE!$A:$B,2,0)),"")</f>
        <v/>
      </c>
      <c r="D83" s="29" t="n"/>
      <c r="E83" s="40">
        <f>IF(B83="","",TODAY())</f>
        <v/>
      </c>
      <c r="F83" s="30" t="n"/>
      <c r="G83" s="41" t="n"/>
      <c r="H83" s="42" t="n"/>
      <c r="I83" s="43">
        <f>IFERROR(IF(OR(D83="",G83="",H83=""),"",ABS(PMT(G83/100/12,H83,D83))),"")</f>
        <v/>
      </c>
      <c r="J83" s="44">
        <f>IF(B83="","","Active")</f>
        <v/>
      </c>
    </row>
    <row r="84" ht="20" customHeight="1">
      <c r="A84" s="39">
        <f>IF(B84="","","LN"&amp;TEXT(ROW()-2,"0000"))</f>
        <v/>
      </c>
      <c r="B84" s="26" t="n"/>
      <c r="C84" s="45">
        <f>IFERROR(IF(B84="","",VLOOKUP(B84,DATABASE!$A:$B,2,0)),"")</f>
        <v/>
      </c>
      <c r="D84" s="29" t="n"/>
      <c r="E84" s="40">
        <f>IF(B84="","",TODAY())</f>
        <v/>
      </c>
      <c r="F84" s="30" t="n"/>
      <c r="G84" s="41" t="n"/>
      <c r="H84" s="42" t="n"/>
      <c r="I84" s="43">
        <f>IFERROR(IF(OR(D84="",G84="",H84=""),"",ABS(PMT(G84/100/12,H84,D84))),"")</f>
        <v/>
      </c>
      <c r="J84" s="44">
        <f>IF(B84="","","Active")</f>
        <v/>
      </c>
    </row>
    <row r="85" ht="20" customHeight="1">
      <c r="A85" s="39">
        <f>IF(B85="","","LN"&amp;TEXT(ROW()-2,"0000"))</f>
        <v/>
      </c>
      <c r="B85" s="26" t="n"/>
      <c r="C85" s="27">
        <f>IFERROR(IF(B85="","",VLOOKUP(B85,DATABASE!$A:$B,2,0)),"")</f>
        <v/>
      </c>
      <c r="D85" s="29" t="n"/>
      <c r="E85" s="40">
        <f>IF(B85="","",TODAY())</f>
        <v/>
      </c>
      <c r="F85" s="30" t="n"/>
      <c r="G85" s="41" t="n"/>
      <c r="H85" s="42" t="n"/>
      <c r="I85" s="43">
        <f>IFERROR(IF(OR(D85="",G85="",H85=""),"",ABS(PMT(G85/100/12,H85,D85))),"")</f>
        <v/>
      </c>
      <c r="J85" s="44">
        <f>IF(B85="","","Active")</f>
        <v/>
      </c>
    </row>
    <row r="86" ht="20" customHeight="1">
      <c r="A86" s="39">
        <f>IF(B86="","","LN"&amp;TEXT(ROW()-2,"0000"))</f>
        <v/>
      </c>
      <c r="B86" s="26" t="n"/>
      <c r="C86" s="45">
        <f>IFERROR(IF(B86="","",VLOOKUP(B86,DATABASE!$A:$B,2,0)),"")</f>
        <v/>
      </c>
      <c r="D86" s="29" t="n"/>
      <c r="E86" s="40">
        <f>IF(B86="","",TODAY())</f>
        <v/>
      </c>
      <c r="F86" s="30" t="n"/>
      <c r="G86" s="41" t="n"/>
      <c r="H86" s="42" t="n"/>
      <c r="I86" s="43">
        <f>IFERROR(IF(OR(D86="",G86="",H86=""),"",ABS(PMT(G86/100/12,H86,D86))),"")</f>
        <v/>
      </c>
      <c r="J86" s="44">
        <f>IF(B86="","","Active")</f>
        <v/>
      </c>
    </row>
    <row r="87" ht="20" customHeight="1">
      <c r="A87" s="39">
        <f>IF(B87="","","LN"&amp;TEXT(ROW()-2,"0000"))</f>
        <v/>
      </c>
      <c r="B87" s="26" t="n"/>
      <c r="C87" s="27">
        <f>IFERROR(IF(B87="","",VLOOKUP(B87,DATABASE!$A:$B,2,0)),"")</f>
        <v/>
      </c>
      <c r="D87" s="29" t="n"/>
      <c r="E87" s="40">
        <f>IF(B87="","",TODAY())</f>
        <v/>
      </c>
      <c r="F87" s="30" t="n"/>
      <c r="G87" s="41" t="n"/>
      <c r="H87" s="42" t="n"/>
      <c r="I87" s="43">
        <f>IFERROR(IF(OR(D87="",G87="",H87=""),"",ABS(PMT(G87/100/12,H87,D87))),"")</f>
        <v/>
      </c>
      <c r="J87" s="44">
        <f>IF(B87="","","Active")</f>
        <v/>
      </c>
    </row>
    <row r="88" ht="20" customHeight="1">
      <c r="A88" s="39">
        <f>IF(B88="","","LN"&amp;TEXT(ROW()-2,"0000"))</f>
        <v/>
      </c>
      <c r="B88" s="26" t="n"/>
      <c r="C88" s="45">
        <f>IFERROR(IF(B88="","",VLOOKUP(B88,DATABASE!$A:$B,2,0)),"")</f>
        <v/>
      </c>
      <c r="D88" s="29" t="n"/>
      <c r="E88" s="40">
        <f>IF(B88="","",TODAY())</f>
        <v/>
      </c>
      <c r="F88" s="30" t="n"/>
      <c r="G88" s="41" t="n"/>
      <c r="H88" s="42" t="n"/>
      <c r="I88" s="43">
        <f>IFERROR(IF(OR(D88="",G88="",H88=""),"",ABS(PMT(G88/100/12,H88,D88))),"")</f>
        <v/>
      </c>
      <c r="J88" s="44">
        <f>IF(B88="","","Active")</f>
        <v/>
      </c>
    </row>
    <row r="89" ht="20" customHeight="1">
      <c r="A89" s="39">
        <f>IF(B89="","","LN"&amp;TEXT(ROW()-2,"0000"))</f>
        <v/>
      </c>
      <c r="B89" s="26" t="n"/>
      <c r="C89" s="27">
        <f>IFERROR(IF(B89="","",VLOOKUP(B89,DATABASE!$A:$B,2,0)),"")</f>
        <v/>
      </c>
      <c r="D89" s="29" t="n"/>
      <c r="E89" s="40">
        <f>IF(B89="","",TODAY())</f>
        <v/>
      </c>
      <c r="F89" s="30" t="n"/>
      <c r="G89" s="41" t="n"/>
      <c r="H89" s="42" t="n"/>
      <c r="I89" s="43">
        <f>IFERROR(IF(OR(D89="",G89="",H89=""),"",ABS(PMT(G89/100/12,H89,D89))),"")</f>
        <v/>
      </c>
      <c r="J89" s="44">
        <f>IF(B89="","","Active")</f>
        <v/>
      </c>
    </row>
    <row r="90" ht="20" customHeight="1">
      <c r="A90" s="39">
        <f>IF(B90="","","LN"&amp;TEXT(ROW()-2,"0000"))</f>
        <v/>
      </c>
      <c r="B90" s="26" t="n"/>
      <c r="C90" s="45">
        <f>IFERROR(IF(B90="","",VLOOKUP(B90,DATABASE!$A:$B,2,0)),"")</f>
        <v/>
      </c>
      <c r="D90" s="29" t="n"/>
      <c r="E90" s="40">
        <f>IF(B90="","",TODAY())</f>
        <v/>
      </c>
      <c r="F90" s="30" t="n"/>
      <c r="G90" s="41" t="n"/>
      <c r="H90" s="42" t="n"/>
      <c r="I90" s="43">
        <f>IFERROR(IF(OR(D90="",G90="",H90=""),"",ABS(PMT(G90/100/12,H90,D90))),"")</f>
        <v/>
      </c>
      <c r="J90" s="44">
        <f>IF(B90="","","Active")</f>
        <v/>
      </c>
    </row>
    <row r="91" ht="20" customHeight="1">
      <c r="A91" s="39">
        <f>IF(B91="","","LN"&amp;TEXT(ROW()-2,"0000"))</f>
        <v/>
      </c>
      <c r="B91" s="26" t="n"/>
      <c r="C91" s="27">
        <f>IFERROR(IF(B91="","",VLOOKUP(B91,DATABASE!$A:$B,2,0)),"")</f>
        <v/>
      </c>
      <c r="D91" s="29" t="n"/>
      <c r="E91" s="40">
        <f>IF(B91="","",TODAY())</f>
        <v/>
      </c>
      <c r="F91" s="30" t="n"/>
      <c r="G91" s="41" t="n"/>
      <c r="H91" s="42" t="n"/>
      <c r="I91" s="43">
        <f>IFERROR(IF(OR(D91="",G91="",H91=""),"",ABS(PMT(G91/100/12,H91,D91))),"")</f>
        <v/>
      </c>
      <c r="J91" s="44">
        <f>IF(B91="","","Active")</f>
        <v/>
      </c>
    </row>
    <row r="92" ht="20" customHeight="1">
      <c r="A92" s="39">
        <f>IF(B92="","","LN"&amp;TEXT(ROW()-2,"0000"))</f>
        <v/>
      </c>
      <c r="B92" s="26" t="n"/>
      <c r="C92" s="45">
        <f>IFERROR(IF(B92="","",VLOOKUP(B92,DATABASE!$A:$B,2,0)),"")</f>
        <v/>
      </c>
      <c r="D92" s="29" t="n"/>
      <c r="E92" s="40">
        <f>IF(B92="","",TODAY())</f>
        <v/>
      </c>
      <c r="F92" s="30" t="n"/>
      <c r="G92" s="41" t="n"/>
      <c r="H92" s="42" t="n"/>
      <c r="I92" s="43">
        <f>IFERROR(IF(OR(D92="",G92="",H92=""),"",ABS(PMT(G92/100/12,H92,D92))),"")</f>
        <v/>
      </c>
      <c r="J92" s="44">
        <f>IF(B92="","","Active")</f>
        <v/>
      </c>
    </row>
    <row r="93" ht="20" customHeight="1">
      <c r="A93" s="39">
        <f>IF(B93="","","LN"&amp;TEXT(ROW()-2,"0000"))</f>
        <v/>
      </c>
      <c r="B93" s="26" t="n"/>
      <c r="C93" s="27">
        <f>IFERROR(IF(B93="","",VLOOKUP(B93,DATABASE!$A:$B,2,0)),"")</f>
        <v/>
      </c>
      <c r="D93" s="29" t="n"/>
      <c r="E93" s="40">
        <f>IF(B93="","",TODAY())</f>
        <v/>
      </c>
      <c r="F93" s="30" t="n"/>
      <c r="G93" s="41" t="n"/>
      <c r="H93" s="42" t="n"/>
      <c r="I93" s="43">
        <f>IFERROR(IF(OR(D93="",G93="",H93=""),"",ABS(PMT(G93/100/12,H93,D93))),"")</f>
        <v/>
      </c>
      <c r="J93" s="44">
        <f>IF(B93="","","Active")</f>
        <v/>
      </c>
    </row>
    <row r="94" ht="20" customHeight="1">
      <c r="A94" s="39">
        <f>IF(B94="","","LN"&amp;TEXT(ROW()-2,"0000"))</f>
        <v/>
      </c>
      <c r="B94" s="26" t="n"/>
      <c r="C94" s="45">
        <f>IFERROR(IF(B94="","",VLOOKUP(B94,DATABASE!$A:$B,2,0)),"")</f>
        <v/>
      </c>
      <c r="D94" s="29" t="n"/>
      <c r="E94" s="40">
        <f>IF(B94="","",TODAY())</f>
        <v/>
      </c>
      <c r="F94" s="30" t="n"/>
      <c r="G94" s="41" t="n"/>
      <c r="H94" s="42" t="n"/>
      <c r="I94" s="43">
        <f>IFERROR(IF(OR(D94="",G94="",H94=""),"",ABS(PMT(G94/100/12,H94,D94))),"")</f>
        <v/>
      </c>
      <c r="J94" s="44">
        <f>IF(B94="","","Active")</f>
        <v/>
      </c>
    </row>
    <row r="95" ht="20" customHeight="1">
      <c r="A95" s="39">
        <f>IF(B95="","","LN"&amp;TEXT(ROW()-2,"0000"))</f>
        <v/>
      </c>
      <c r="B95" s="26" t="n"/>
      <c r="C95" s="27">
        <f>IFERROR(IF(B95="","",VLOOKUP(B95,DATABASE!$A:$B,2,0)),"")</f>
        <v/>
      </c>
      <c r="D95" s="29" t="n"/>
      <c r="E95" s="40">
        <f>IF(B95="","",TODAY())</f>
        <v/>
      </c>
      <c r="F95" s="30" t="n"/>
      <c r="G95" s="41" t="n"/>
      <c r="H95" s="42" t="n"/>
      <c r="I95" s="43">
        <f>IFERROR(IF(OR(D95="",G95="",H95=""),"",ABS(PMT(G95/100/12,H95,D95))),"")</f>
        <v/>
      </c>
      <c r="J95" s="44">
        <f>IF(B95="","","Active")</f>
        <v/>
      </c>
    </row>
    <row r="96" ht="20" customHeight="1">
      <c r="A96" s="39">
        <f>IF(B96="","","LN"&amp;TEXT(ROW()-2,"0000"))</f>
        <v/>
      </c>
      <c r="B96" s="26" t="n"/>
      <c r="C96" s="45">
        <f>IFERROR(IF(B96="","",VLOOKUP(B96,DATABASE!$A:$B,2,0)),"")</f>
        <v/>
      </c>
      <c r="D96" s="29" t="n"/>
      <c r="E96" s="40">
        <f>IF(B96="","",TODAY())</f>
        <v/>
      </c>
      <c r="F96" s="30" t="n"/>
      <c r="G96" s="41" t="n"/>
      <c r="H96" s="42" t="n"/>
      <c r="I96" s="43">
        <f>IFERROR(IF(OR(D96="",G96="",H96=""),"",ABS(PMT(G96/100/12,H96,D96))),"")</f>
        <v/>
      </c>
      <c r="J96" s="44">
        <f>IF(B96="","","Active")</f>
        <v/>
      </c>
    </row>
    <row r="97" ht="20" customHeight="1">
      <c r="A97" s="39">
        <f>IF(B97="","","LN"&amp;TEXT(ROW()-2,"0000"))</f>
        <v/>
      </c>
      <c r="B97" s="26" t="n"/>
      <c r="C97" s="27">
        <f>IFERROR(IF(B97="","",VLOOKUP(B97,DATABASE!$A:$B,2,0)),"")</f>
        <v/>
      </c>
      <c r="D97" s="29" t="n"/>
      <c r="E97" s="40">
        <f>IF(B97="","",TODAY())</f>
        <v/>
      </c>
      <c r="F97" s="30" t="n"/>
      <c r="G97" s="41" t="n"/>
      <c r="H97" s="42" t="n"/>
      <c r="I97" s="43">
        <f>IFERROR(IF(OR(D97="",G97="",H97=""),"",ABS(PMT(G97/100/12,H97,D97))),"")</f>
        <v/>
      </c>
      <c r="J97" s="44">
        <f>IF(B97="","","Active")</f>
        <v/>
      </c>
    </row>
    <row r="98" ht="20" customHeight="1">
      <c r="A98" s="39">
        <f>IF(B98="","","LN"&amp;TEXT(ROW()-2,"0000"))</f>
        <v/>
      </c>
      <c r="B98" s="26" t="n"/>
      <c r="C98" s="45">
        <f>IFERROR(IF(B98="","",VLOOKUP(B98,DATABASE!$A:$B,2,0)),"")</f>
        <v/>
      </c>
      <c r="D98" s="29" t="n"/>
      <c r="E98" s="40">
        <f>IF(B98="","",TODAY())</f>
        <v/>
      </c>
      <c r="F98" s="30" t="n"/>
      <c r="G98" s="41" t="n"/>
      <c r="H98" s="42" t="n"/>
      <c r="I98" s="43">
        <f>IFERROR(IF(OR(D98="",G98="",H98=""),"",ABS(PMT(G98/100/12,H98,D98))),"")</f>
        <v/>
      </c>
      <c r="J98" s="44">
        <f>IF(B98="","","Active")</f>
        <v/>
      </c>
    </row>
    <row r="99" ht="20" customHeight="1">
      <c r="A99" s="39">
        <f>IF(B99="","","LN"&amp;TEXT(ROW()-2,"0000"))</f>
        <v/>
      </c>
      <c r="B99" s="26" t="n"/>
      <c r="C99" s="27">
        <f>IFERROR(IF(B99="","",VLOOKUP(B99,DATABASE!$A:$B,2,0)),"")</f>
        <v/>
      </c>
      <c r="D99" s="29" t="n"/>
      <c r="E99" s="40">
        <f>IF(B99="","",TODAY())</f>
        <v/>
      </c>
      <c r="F99" s="30" t="n"/>
      <c r="G99" s="41" t="n"/>
      <c r="H99" s="42" t="n"/>
      <c r="I99" s="43">
        <f>IFERROR(IF(OR(D99="",G99="",H99=""),"",ABS(PMT(G99/100/12,H99,D99))),"")</f>
        <v/>
      </c>
      <c r="J99" s="44">
        <f>IF(B99="","","Active")</f>
        <v/>
      </c>
    </row>
    <row r="100" ht="20" customHeight="1">
      <c r="A100" s="39">
        <f>IF(B100="","","LN"&amp;TEXT(ROW()-2,"0000"))</f>
        <v/>
      </c>
      <c r="B100" s="26" t="n"/>
      <c r="C100" s="45">
        <f>IFERROR(IF(B100="","",VLOOKUP(B100,DATABASE!$A:$B,2,0)),"")</f>
        <v/>
      </c>
      <c r="D100" s="29" t="n"/>
      <c r="E100" s="40">
        <f>IF(B100="","",TODAY())</f>
        <v/>
      </c>
      <c r="F100" s="30" t="n"/>
      <c r="G100" s="41" t="n"/>
      <c r="H100" s="42" t="n"/>
      <c r="I100" s="43">
        <f>IFERROR(IF(OR(D100="",G100="",H100=""),"",ABS(PMT(G100/100/12,H100,D100))),"")</f>
        <v/>
      </c>
      <c r="J100" s="44">
        <f>IF(B100="","","Active")</f>
        <v/>
      </c>
    </row>
    <row r="101" ht="20" customHeight="1">
      <c r="A101" s="39">
        <f>IF(B101="","","LN"&amp;TEXT(ROW()-2,"0000"))</f>
        <v/>
      </c>
      <c r="B101" s="26" t="n"/>
      <c r="C101" s="27">
        <f>IFERROR(IF(B101="","",VLOOKUP(B101,DATABASE!$A:$B,2,0)),"")</f>
        <v/>
      </c>
      <c r="D101" s="29" t="n"/>
      <c r="E101" s="40">
        <f>IF(B101="","",TODAY())</f>
        <v/>
      </c>
      <c r="F101" s="30" t="n"/>
      <c r="G101" s="41" t="n"/>
      <c r="H101" s="42" t="n"/>
      <c r="I101" s="43">
        <f>IFERROR(IF(OR(D101="",G101="",H101=""),"",ABS(PMT(G101/100/12,H101,D101))),"")</f>
        <v/>
      </c>
      <c r="J101" s="44">
        <f>IF(B101="","","Active")</f>
        <v/>
      </c>
    </row>
    <row r="102" ht="20" customHeight="1">
      <c r="A102" s="39">
        <f>IF(B102="","","LN"&amp;TEXT(ROW()-2,"0000"))</f>
        <v/>
      </c>
      <c r="B102" s="26" t="n"/>
      <c r="C102" s="45">
        <f>IFERROR(IF(B102="","",VLOOKUP(B102,DATABASE!$A:$B,2,0)),"")</f>
        <v/>
      </c>
      <c r="D102" s="29" t="n"/>
      <c r="E102" s="40">
        <f>IF(B102="","",TODAY())</f>
        <v/>
      </c>
      <c r="F102" s="30" t="n"/>
      <c r="G102" s="41" t="n"/>
      <c r="H102" s="42" t="n"/>
      <c r="I102" s="43">
        <f>IFERROR(IF(OR(D102="",G102="",H102=""),"",ABS(PMT(G102/100/12,H102,D102))),"")</f>
        <v/>
      </c>
      <c r="J102" s="44">
        <f>IF(B102="","","Active")</f>
        <v/>
      </c>
    </row>
    <row r="103" ht="20" customHeight="1">
      <c r="A103" s="39">
        <f>IF(B103="","","LN"&amp;TEXT(ROW()-2,"0000"))</f>
        <v/>
      </c>
      <c r="B103" s="26" t="n"/>
      <c r="C103" s="27">
        <f>IFERROR(IF(B103="","",VLOOKUP(B103,DATABASE!$A:$B,2,0)),"")</f>
        <v/>
      </c>
      <c r="D103" s="29" t="n"/>
      <c r="E103" s="40">
        <f>IF(B103="","",TODAY())</f>
        <v/>
      </c>
      <c r="F103" s="30" t="n"/>
      <c r="G103" s="41" t="n"/>
      <c r="H103" s="42" t="n"/>
      <c r="I103" s="43">
        <f>IFERROR(IF(OR(D103="",G103="",H103=""),"",ABS(PMT(G103/100/12,H103,D103))),"")</f>
        <v/>
      </c>
      <c r="J103" s="44">
        <f>IF(B103="","","Active")</f>
        <v/>
      </c>
    </row>
    <row r="104" ht="20" customHeight="1">
      <c r="A104" s="39">
        <f>IF(B104="","","LN"&amp;TEXT(ROW()-2,"0000"))</f>
        <v/>
      </c>
      <c r="B104" s="26" t="n"/>
      <c r="C104" s="45">
        <f>IFERROR(IF(B104="","",VLOOKUP(B104,DATABASE!$A:$B,2,0)),"")</f>
        <v/>
      </c>
      <c r="D104" s="29" t="n"/>
      <c r="E104" s="40">
        <f>IF(B104="","",TODAY())</f>
        <v/>
      </c>
      <c r="F104" s="30" t="n"/>
      <c r="G104" s="41" t="n"/>
      <c r="H104" s="42" t="n"/>
      <c r="I104" s="43">
        <f>IFERROR(IF(OR(D104="",G104="",H104=""),"",ABS(PMT(G104/100/12,H104,D104))),"")</f>
        <v/>
      </c>
      <c r="J104" s="44">
        <f>IF(B104="","","Active")</f>
        <v/>
      </c>
    </row>
    <row r="105" ht="20" customHeight="1">
      <c r="A105" s="39">
        <f>IF(B105="","","LN"&amp;TEXT(ROW()-2,"0000"))</f>
        <v/>
      </c>
      <c r="B105" s="26" t="n"/>
      <c r="C105" s="27">
        <f>IFERROR(IF(B105="","",VLOOKUP(B105,DATABASE!$A:$B,2,0)),"")</f>
        <v/>
      </c>
      <c r="D105" s="29" t="n"/>
      <c r="E105" s="40">
        <f>IF(B105="","",TODAY())</f>
        <v/>
      </c>
      <c r="F105" s="30" t="n"/>
      <c r="G105" s="41" t="n"/>
      <c r="H105" s="42" t="n"/>
      <c r="I105" s="43">
        <f>IFERROR(IF(OR(D105="",G105="",H105=""),"",ABS(PMT(G105/100/12,H105,D105))),"")</f>
        <v/>
      </c>
      <c r="J105" s="44">
        <f>IF(B105="","","Active")</f>
        <v/>
      </c>
    </row>
    <row r="106" ht="20" customHeight="1">
      <c r="A106" s="39">
        <f>IF(B106="","","LN"&amp;TEXT(ROW()-2,"0000"))</f>
        <v/>
      </c>
      <c r="B106" s="26" t="n"/>
      <c r="C106" s="45">
        <f>IFERROR(IF(B106="","",VLOOKUP(B106,DATABASE!$A:$B,2,0)),"")</f>
        <v/>
      </c>
      <c r="D106" s="29" t="n"/>
      <c r="E106" s="40">
        <f>IF(B106="","",TODAY())</f>
        <v/>
      </c>
      <c r="F106" s="30" t="n"/>
      <c r="G106" s="41" t="n"/>
      <c r="H106" s="42" t="n"/>
      <c r="I106" s="43">
        <f>IFERROR(IF(OR(D106="",G106="",H106=""),"",ABS(PMT(G106/100/12,H106,D106))),"")</f>
        <v/>
      </c>
      <c r="J106" s="44">
        <f>IF(B106="","","Active")</f>
        <v/>
      </c>
    </row>
    <row r="107" ht="20" customHeight="1">
      <c r="A107" s="39">
        <f>IF(B107="","","LN"&amp;TEXT(ROW()-2,"0000"))</f>
        <v/>
      </c>
      <c r="B107" s="26" t="n"/>
      <c r="C107" s="27">
        <f>IFERROR(IF(B107="","",VLOOKUP(B107,DATABASE!$A:$B,2,0)),"")</f>
        <v/>
      </c>
      <c r="D107" s="29" t="n"/>
      <c r="E107" s="40">
        <f>IF(B107="","",TODAY())</f>
        <v/>
      </c>
      <c r="F107" s="30" t="n"/>
      <c r="G107" s="41" t="n"/>
      <c r="H107" s="42" t="n"/>
      <c r="I107" s="43">
        <f>IFERROR(IF(OR(D107="",G107="",H107=""),"",ABS(PMT(G107/100/12,H107,D107))),"")</f>
        <v/>
      </c>
      <c r="J107" s="44">
        <f>IF(B107="","","Active")</f>
        <v/>
      </c>
    </row>
    <row r="108" ht="20" customHeight="1">
      <c r="A108" s="39">
        <f>IF(B108="","","LN"&amp;TEXT(ROW()-2,"0000"))</f>
        <v/>
      </c>
      <c r="B108" s="26" t="n"/>
      <c r="C108" s="45">
        <f>IFERROR(IF(B108="","",VLOOKUP(B108,DATABASE!$A:$B,2,0)),"")</f>
        <v/>
      </c>
      <c r="D108" s="29" t="n"/>
      <c r="E108" s="40">
        <f>IF(B108="","",TODAY())</f>
        <v/>
      </c>
      <c r="F108" s="30" t="n"/>
      <c r="G108" s="41" t="n"/>
      <c r="H108" s="42" t="n"/>
      <c r="I108" s="43">
        <f>IFERROR(IF(OR(D108="",G108="",H108=""),"",ABS(PMT(G108/100/12,H108,D108))),"")</f>
        <v/>
      </c>
      <c r="J108" s="44">
        <f>IF(B108="","","Active")</f>
        <v/>
      </c>
    </row>
    <row r="109" ht="20" customHeight="1">
      <c r="A109" s="39">
        <f>IF(B109="","","LN"&amp;TEXT(ROW()-2,"0000"))</f>
        <v/>
      </c>
      <c r="B109" s="26" t="n"/>
      <c r="C109" s="27">
        <f>IFERROR(IF(B109="","",VLOOKUP(B109,DATABASE!$A:$B,2,0)),"")</f>
        <v/>
      </c>
      <c r="D109" s="29" t="n"/>
      <c r="E109" s="40">
        <f>IF(B109="","",TODAY())</f>
        <v/>
      </c>
      <c r="F109" s="30" t="n"/>
      <c r="G109" s="41" t="n"/>
      <c r="H109" s="42" t="n"/>
      <c r="I109" s="43">
        <f>IFERROR(IF(OR(D109="",G109="",H109=""),"",ABS(PMT(G109/100/12,H109,D109))),"")</f>
        <v/>
      </c>
      <c r="J109" s="44">
        <f>IF(B109="","","Active")</f>
        <v/>
      </c>
    </row>
    <row r="110" ht="20" customHeight="1">
      <c r="A110" s="39">
        <f>IF(B110="","","LN"&amp;TEXT(ROW()-2,"0000"))</f>
        <v/>
      </c>
      <c r="B110" s="26" t="n"/>
      <c r="C110" s="45">
        <f>IFERROR(IF(B110="","",VLOOKUP(B110,DATABASE!$A:$B,2,0)),"")</f>
        <v/>
      </c>
      <c r="D110" s="29" t="n"/>
      <c r="E110" s="40">
        <f>IF(B110="","",TODAY())</f>
        <v/>
      </c>
      <c r="F110" s="30" t="n"/>
      <c r="G110" s="41" t="n"/>
      <c r="H110" s="42" t="n"/>
      <c r="I110" s="43">
        <f>IFERROR(IF(OR(D110="",G110="",H110=""),"",ABS(PMT(G110/100/12,H110,D110))),"")</f>
        <v/>
      </c>
      <c r="J110" s="44">
        <f>IF(B110="","","Active")</f>
        <v/>
      </c>
    </row>
    <row r="111" ht="20" customHeight="1">
      <c r="A111" s="39">
        <f>IF(B111="","","LN"&amp;TEXT(ROW()-2,"0000"))</f>
        <v/>
      </c>
      <c r="B111" s="26" t="n"/>
      <c r="C111" s="27">
        <f>IFERROR(IF(B111="","",VLOOKUP(B111,DATABASE!$A:$B,2,0)),"")</f>
        <v/>
      </c>
      <c r="D111" s="29" t="n"/>
      <c r="E111" s="40">
        <f>IF(B111="","",TODAY())</f>
        <v/>
      </c>
      <c r="F111" s="30" t="n"/>
      <c r="G111" s="41" t="n"/>
      <c r="H111" s="42" t="n"/>
      <c r="I111" s="43">
        <f>IFERROR(IF(OR(D111="",G111="",H111=""),"",ABS(PMT(G111/100/12,H111,D111))),"")</f>
        <v/>
      </c>
      <c r="J111" s="44">
        <f>IF(B111="","","Active")</f>
        <v/>
      </c>
    </row>
    <row r="112" ht="20" customHeight="1">
      <c r="A112" s="39">
        <f>IF(B112="","","LN"&amp;TEXT(ROW()-2,"0000"))</f>
        <v/>
      </c>
      <c r="B112" s="26" t="n"/>
      <c r="C112" s="45">
        <f>IFERROR(IF(B112="","",VLOOKUP(B112,DATABASE!$A:$B,2,0)),"")</f>
        <v/>
      </c>
      <c r="D112" s="29" t="n"/>
      <c r="E112" s="40">
        <f>IF(B112="","",TODAY())</f>
        <v/>
      </c>
      <c r="F112" s="30" t="n"/>
      <c r="G112" s="41" t="n"/>
      <c r="H112" s="42" t="n"/>
      <c r="I112" s="43">
        <f>IFERROR(IF(OR(D112="",G112="",H112=""),"",ABS(PMT(G112/100/12,H112,D112))),"")</f>
        <v/>
      </c>
      <c r="J112" s="44">
        <f>IF(B112="","","Active")</f>
        <v/>
      </c>
    </row>
    <row r="113" ht="20" customHeight="1">
      <c r="A113" s="39">
        <f>IF(B113="","","LN"&amp;TEXT(ROW()-2,"0000"))</f>
        <v/>
      </c>
      <c r="B113" s="26" t="n"/>
      <c r="C113" s="27">
        <f>IFERROR(IF(B113="","",VLOOKUP(B113,DATABASE!$A:$B,2,0)),"")</f>
        <v/>
      </c>
      <c r="D113" s="29" t="n"/>
      <c r="E113" s="40">
        <f>IF(B113="","",TODAY())</f>
        <v/>
      </c>
      <c r="F113" s="30" t="n"/>
      <c r="G113" s="41" t="n"/>
      <c r="H113" s="42" t="n"/>
      <c r="I113" s="43">
        <f>IFERROR(IF(OR(D113="",G113="",H113=""),"",ABS(PMT(G113/100/12,H113,D113))),"")</f>
        <v/>
      </c>
      <c r="J113" s="44">
        <f>IF(B113="","","Active")</f>
        <v/>
      </c>
    </row>
    <row r="114" ht="20" customHeight="1">
      <c r="A114" s="39">
        <f>IF(B114="","","LN"&amp;TEXT(ROW()-2,"0000"))</f>
        <v/>
      </c>
      <c r="B114" s="26" t="n"/>
      <c r="C114" s="45">
        <f>IFERROR(IF(B114="","",VLOOKUP(B114,DATABASE!$A:$B,2,0)),"")</f>
        <v/>
      </c>
      <c r="D114" s="29" t="n"/>
      <c r="E114" s="40">
        <f>IF(B114="","",TODAY())</f>
        <v/>
      </c>
      <c r="F114" s="30" t="n"/>
      <c r="G114" s="41" t="n"/>
      <c r="H114" s="42" t="n"/>
      <c r="I114" s="43">
        <f>IFERROR(IF(OR(D114="",G114="",H114=""),"",ABS(PMT(G114/100/12,H114,D114))),"")</f>
        <v/>
      </c>
      <c r="J114" s="44">
        <f>IF(B114="","","Active")</f>
        <v/>
      </c>
    </row>
    <row r="115" ht="20" customHeight="1">
      <c r="A115" s="39">
        <f>IF(B115="","","LN"&amp;TEXT(ROW()-2,"0000"))</f>
        <v/>
      </c>
      <c r="B115" s="26" t="n"/>
      <c r="C115" s="27">
        <f>IFERROR(IF(B115="","",VLOOKUP(B115,DATABASE!$A:$B,2,0)),"")</f>
        <v/>
      </c>
      <c r="D115" s="29" t="n"/>
      <c r="E115" s="40">
        <f>IF(B115="","",TODAY())</f>
        <v/>
      </c>
      <c r="F115" s="30" t="n"/>
      <c r="G115" s="41" t="n"/>
      <c r="H115" s="42" t="n"/>
      <c r="I115" s="43">
        <f>IFERROR(IF(OR(D115="",G115="",H115=""),"",ABS(PMT(G115/100/12,H115,D115))),"")</f>
        <v/>
      </c>
      <c r="J115" s="44">
        <f>IF(B115="","","Active")</f>
        <v/>
      </c>
    </row>
    <row r="116" ht="20" customHeight="1">
      <c r="A116" s="39">
        <f>IF(B116="","","LN"&amp;TEXT(ROW()-2,"0000"))</f>
        <v/>
      </c>
      <c r="B116" s="26" t="n"/>
      <c r="C116" s="45">
        <f>IFERROR(IF(B116="","",VLOOKUP(B116,DATABASE!$A:$B,2,0)),"")</f>
        <v/>
      </c>
      <c r="D116" s="29" t="n"/>
      <c r="E116" s="40">
        <f>IF(B116="","",TODAY())</f>
        <v/>
      </c>
      <c r="F116" s="30" t="n"/>
      <c r="G116" s="41" t="n"/>
      <c r="H116" s="42" t="n"/>
      <c r="I116" s="43">
        <f>IFERROR(IF(OR(D116="",G116="",H116=""),"",ABS(PMT(G116/100/12,H116,D116))),"")</f>
        <v/>
      </c>
      <c r="J116" s="44">
        <f>IF(B116="","","Active")</f>
        <v/>
      </c>
    </row>
    <row r="117" ht="20" customHeight="1">
      <c r="A117" s="39">
        <f>IF(B117="","","LN"&amp;TEXT(ROW()-2,"0000"))</f>
        <v/>
      </c>
      <c r="B117" s="26" t="n"/>
      <c r="C117" s="27">
        <f>IFERROR(IF(B117="","",VLOOKUP(B117,DATABASE!$A:$B,2,0)),"")</f>
        <v/>
      </c>
      <c r="D117" s="29" t="n"/>
      <c r="E117" s="40">
        <f>IF(B117="","",TODAY())</f>
        <v/>
      </c>
      <c r="F117" s="30" t="n"/>
      <c r="G117" s="41" t="n"/>
      <c r="H117" s="42" t="n"/>
      <c r="I117" s="43">
        <f>IFERROR(IF(OR(D117="",G117="",H117=""),"",ABS(PMT(G117/100/12,H117,D117))),"")</f>
        <v/>
      </c>
      <c r="J117" s="44">
        <f>IF(B117="","","Active")</f>
        <v/>
      </c>
    </row>
    <row r="118" ht="20" customHeight="1">
      <c r="A118" s="39">
        <f>IF(B118="","","LN"&amp;TEXT(ROW()-2,"0000"))</f>
        <v/>
      </c>
      <c r="B118" s="26" t="n"/>
      <c r="C118" s="45">
        <f>IFERROR(IF(B118="","",VLOOKUP(B118,DATABASE!$A:$B,2,0)),"")</f>
        <v/>
      </c>
      <c r="D118" s="29" t="n"/>
      <c r="E118" s="40">
        <f>IF(B118="","",TODAY())</f>
        <v/>
      </c>
      <c r="F118" s="30" t="n"/>
      <c r="G118" s="41" t="n"/>
      <c r="H118" s="42" t="n"/>
      <c r="I118" s="43">
        <f>IFERROR(IF(OR(D118="",G118="",H118=""),"",ABS(PMT(G118/100/12,H118,D118))),"")</f>
        <v/>
      </c>
      <c r="J118" s="44">
        <f>IF(B118="","","Active")</f>
        <v/>
      </c>
    </row>
    <row r="119" ht="20" customHeight="1">
      <c r="A119" s="39">
        <f>IF(B119="","","LN"&amp;TEXT(ROW()-2,"0000"))</f>
        <v/>
      </c>
      <c r="B119" s="26" t="n"/>
      <c r="C119" s="27">
        <f>IFERROR(IF(B119="","",VLOOKUP(B119,DATABASE!$A:$B,2,0)),"")</f>
        <v/>
      </c>
      <c r="D119" s="29" t="n"/>
      <c r="E119" s="40">
        <f>IF(B119="","",TODAY())</f>
        <v/>
      </c>
      <c r="F119" s="30" t="n"/>
      <c r="G119" s="41" t="n"/>
      <c r="H119" s="42" t="n"/>
      <c r="I119" s="43">
        <f>IFERROR(IF(OR(D119="",G119="",H119=""),"",ABS(PMT(G119/100/12,H119,D119))),"")</f>
        <v/>
      </c>
      <c r="J119" s="44">
        <f>IF(B119="","","Active")</f>
        <v/>
      </c>
    </row>
    <row r="120" ht="20" customHeight="1">
      <c r="A120" s="39">
        <f>IF(B120="","","LN"&amp;TEXT(ROW()-2,"0000"))</f>
        <v/>
      </c>
      <c r="B120" s="26" t="n"/>
      <c r="C120" s="45">
        <f>IFERROR(IF(B120="","",VLOOKUP(B120,DATABASE!$A:$B,2,0)),"")</f>
        <v/>
      </c>
      <c r="D120" s="29" t="n"/>
      <c r="E120" s="40">
        <f>IF(B120="","",TODAY())</f>
        <v/>
      </c>
      <c r="F120" s="30" t="n"/>
      <c r="G120" s="41" t="n"/>
      <c r="H120" s="42" t="n"/>
      <c r="I120" s="43">
        <f>IFERROR(IF(OR(D120="",G120="",H120=""),"",ABS(PMT(G120/100/12,H120,D120))),"")</f>
        <v/>
      </c>
      <c r="J120" s="44">
        <f>IF(B120="","","Active")</f>
        <v/>
      </c>
    </row>
    <row r="121" ht="20" customHeight="1">
      <c r="A121" s="39">
        <f>IF(B121="","","LN"&amp;TEXT(ROW()-2,"0000"))</f>
        <v/>
      </c>
      <c r="B121" s="26" t="n"/>
      <c r="C121" s="27">
        <f>IFERROR(IF(B121="","",VLOOKUP(B121,DATABASE!$A:$B,2,0)),"")</f>
        <v/>
      </c>
      <c r="D121" s="29" t="n"/>
      <c r="E121" s="40">
        <f>IF(B121="","",TODAY())</f>
        <v/>
      </c>
      <c r="F121" s="30" t="n"/>
      <c r="G121" s="41" t="n"/>
      <c r="H121" s="42" t="n"/>
      <c r="I121" s="43">
        <f>IFERROR(IF(OR(D121="",G121="",H121=""),"",ABS(PMT(G121/100/12,H121,D121))),"")</f>
        <v/>
      </c>
      <c r="J121" s="44">
        <f>IF(B121="","","Active")</f>
        <v/>
      </c>
    </row>
    <row r="122" ht="20" customHeight="1">
      <c r="A122" s="39">
        <f>IF(B122="","","LN"&amp;TEXT(ROW()-2,"0000"))</f>
        <v/>
      </c>
      <c r="B122" s="26" t="n"/>
      <c r="C122" s="45">
        <f>IFERROR(IF(B122="","",VLOOKUP(B122,DATABASE!$A:$B,2,0)),"")</f>
        <v/>
      </c>
      <c r="D122" s="29" t="n"/>
      <c r="E122" s="40">
        <f>IF(B122="","",TODAY())</f>
        <v/>
      </c>
      <c r="F122" s="30" t="n"/>
      <c r="G122" s="41" t="n"/>
      <c r="H122" s="42" t="n"/>
      <c r="I122" s="43">
        <f>IFERROR(IF(OR(D122="",G122="",H122=""),"",ABS(PMT(G122/100/12,H122,D122))),"")</f>
        <v/>
      </c>
      <c r="J122" s="44">
        <f>IF(B122="","","Active")</f>
        <v/>
      </c>
    </row>
    <row r="123" ht="20" customHeight="1">
      <c r="A123" s="39">
        <f>IF(B123="","","LN"&amp;TEXT(ROW()-2,"0000"))</f>
        <v/>
      </c>
      <c r="B123" s="26" t="n"/>
      <c r="C123" s="27">
        <f>IFERROR(IF(B123="","",VLOOKUP(B123,DATABASE!$A:$B,2,0)),"")</f>
        <v/>
      </c>
      <c r="D123" s="29" t="n"/>
      <c r="E123" s="40">
        <f>IF(B123="","",TODAY())</f>
        <v/>
      </c>
      <c r="F123" s="30" t="n"/>
      <c r="G123" s="41" t="n"/>
      <c r="H123" s="42" t="n"/>
      <c r="I123" s="43">
        <f>IFERROR(IF(OR(D123="",G123="",H123=""),"",ABS(PMT(G123/100/12,H123,D123))),"")</f>
        <v/>
      </c>
      <c r="J123" s="44">
        <f>IF(B123="","","Active")</f>
        <v/>
      </c>
    </row>
    <row r="124" ht="20" customHeight="1">
      <c r="A124" s="39">
        <f>IF(B124="","","LN"&amp;TEXT(ROW()-2,"0000"))</f>
        <v/>
      </c>
      <c r="B124" s="26" t="n"/>
      <c r="C124" s="45">
        <f>IFERROR(IF(B124="","",VLOOKUP(B124,DATABASE!$A:$B,2,0)),"")</f>
        <v/>
      </c>
      <c r="D124" s="29" t="n"/>
      <c r="E124" s="40">
        <f>IF(B124="","",TODAY())</f>
        <v/>
      </c>
      <c r="F124" s="30" t="n"/>
      <c r="G124" s="41" t="n"/>
      <c r="H124" s="42" t="n"/>
      <c r="I124" s="43">
        <f>IFERROR(IF(OR(D124="",G124="",H124=""),"",ABS(PMT(G124/100/12,H124,D124))),"")</f>
        <v/>
      </c>
      <c r="J124" s="44">
        <f>IF(B124="","","Active")</f>
        <v/>
      </c>
    </row>
    <row r="125" ht="20" customHeight="1">
      <c r="A125" s="39">
        <f>IF(B125="","","LN"&amp;TEXT(ROW()-2,"0000"))</f>
        <v/>
      </c>
      <c r="B125" s="26" t="n"/>
      <c r="C125" s="27">
        <f>IFERROR(IF(B125="","",VLOOKUP(B125,DATABASE!$A:$B,2,0)),"")</f>
        <v/>
      </c>
      <c r="D125" s="29" t="n"/>
      <c r="E125" s="40">
        <f>IF(B125="","",TODAY())</f>
        <v/>
      </c>
      <c r="F125" s="30" t="n"/>
      <c r="G125" s="41" t="n"/>
      <c r="H125" s="42" t="n"/>
      <c r="I125" s="43">
        <f>IFERROR(IF(OR(D125="",G125="",H125=""),"",ABS(PMT(G125/100/12,H125,D125))),"")</f>
        <v/>
      </c>
      <c r="J125" s="44">
        <f>IF(B125="","","Active")</f>
        <v/>
      </c>
    </row>
    <row r="126" ht="20" customHeight="1">
      <c r="A126" s="39">
        <f>IF(B126="","","LN"&amp;TEXT(ROW()-2,"0000"))</f>
        <v/>
      </c>
      <c r="B126" s="26" t="n"/>
      <c r="C126" s="45">
        <f>IFERROR(IF(B126="","",VLOOKUP(B126,DATABASE!$A:$B,2,0)),"")</f>
        <v/>
      </c>
      <c r="D126" s="29" t="n"/>
      <c r="E126" s="40">
        <f>IF(B126="","",TODAY())</f>
        <v/>
      </c>
      <c r="F126" s="30" t="n"/>
      <c r="G126" s="41" t="n"/>
      <c r="H126" s="42" t="n"/>
      <c r="I126" s="43">
        <f>IFERROR(IF(OR(D126="",G126="",H126=""),"",ABS(PMT(G126/100/12,H126,D126))),"")</f>
        <v/>
      </c>
      <c r="J126" s="44">
        <f>IF(B126="","","Active")</f>
        <v/>
      </c>
    </row>
    <row r="127" ht="20" customHeight="1">
      <c r="A127" s="39">
        <f>IF(B127="","","LN"&amp;TEXT(ROW()-2,"0000"))</f>
        <v/>
      </c>
      <c r="B127" s="26" t="n"/>
      <c r="C127" s="27">
        <f>IFERROR(IF(B127="","",VLOOKUP(B127,DATABASE!$A:$B,2,0)),"")</f>
        <v/>
      </c>
      <c r="D127" s="29" t="n"/>
      <c r="E127" s="40">
        <f>IF(B127="","",TODAY())</f>
        <v/>
      </c>
      <c r="F127" s="30" t="n"/>
      <c r="G127" s="41" t="n"/>
      <c r="H127" s="42" t="n"/>
      <c r="I127" s="43">
        <f>IFERROR(IF(OR(D127="",G127="",H127=""),"",ABS(PMT(G127/100/12,H127,D127))),"")</f>
        <v/>
      </c>
      <c r="J127" s="44">
        <f>IF(B127="","","Active")</f>
        <v/>
      </c>
    </row>
    <row r="128" ht="20" customHeight="1">
      <c r="A128" s="39">
        <f>IF(B128="","","LN"&amp;TEXT(ROW()-2,"0000"))</f>
        <v/>
      </c>
      <c r="B128" s="26" t="n"/>
      <c r="C128" s="45">
        <f>IFERROR(IF(B128="","",VLOOKUP(B128,DATABASE!$A:$B,2,0)),"")</f>
        <v/>
      </c>
      <c r="D128" s="29" t="n"/>
      <c r="E128" s="40">
        <f>IF(B128="","",TODAY())</f>
        <v/>
      </c>
      <c r="F128" s="30" t="n"/>
      <c r="G128" s="41" t="n"/>
      <c r="H128" s="42" t="n"/>
      <c r="I128" s="43">
        <f>IFERROR(IF(OR(D128="",G128="",H128=""),"",ABS(PMT(G128/100/12,H128,D128))),"")</f>
        <v/>
      </c>
      <c r="J128" s="44">
        <f>IF(B128="","","Active")</f>
        <v/>
      </c>
    </row>
    <row r="129" ht="20" customHeight="1">
      <c r="A129" s="39">
        <f>IF(B129="","","LN"&amp;TEXT(ROW()-2,"0000"))</f>
        <v/>
      </c>
      <c r="B129" s="26" t="n"/>
      <c r="C129" s="27">
        <f>IFERROR(IF(B129="","",VLOOKUP(B129,DATABASE!$A:$B,2,0)),"")</f>
        <v/>
      </c>
      <c r="D129" s="29" t="n"/>
      <c r="E129" s="40">
        <f>IF(B129="","",TODAY())</f>
        <v/>
      </c>
      <c r="F129" s="30" t="n"/>
      <c r="G129" s="41" t="n"/>
      <c r="H129" s="42" t="n"/>
      <c r="I129" s="43">
        <f>IFERROR(IF(OR(D129="",G129="",H129=""),"",ABS(PMT(G129/100/12,H129,D129))),"")</f>
        <v/>
      </c>
      <c r="J129" s="44">
        <f>IF(B129="","","Active")</f>
        <v/>
      </c>
    </row>
    <row r="130" ht="20" customHeight="1">
      <c r="A130" s="39">
        <f>IF(B130="","","LN"&amp;TEXT(ROW()-2,"0000"))</f>
        <v/>
      </c>
      <c r="B130" s="26" t="n"/>
      <c r="C130" s="45">
        <f>IFERROR(IF(B130="","",VLOOKUP(B130,DATABASE!$A:$B,2,0)),"")</f>
        <v/>
      </c>
      <c r="D130" s="29" t="n"/>
      <c r="E130" s="40">
        <f>IF(B130="","",TODAY())</f>
        <v/>
      </c>
      <c r="F130" s="30" t="n"/>
      <c r="G130" s="41" t="n"/>
      <c r="H130" s="42" t="n"/>
      <c r="I130" s="43">
        <f>IFERROR(IF(OR(D130="",G130="",H130=""),"",ABS(PMT(G130/100/12,H130,D130))),"")</f>
        <v/>
      </c>
      <c r="J130" s="44">
        <f>IF(B130="","","Active")</f>
        <v/>
      </c>
    </row>
    <row r="131" ht="20" customHeight="1">
      <c r="A131" s="39">
        <f>IF(B131="","","LN"&amp;TEXT(ROW()-2,"0000"))</f>
        <v/>
      </c>
      <c r="B131" s="26" t="n"/>
      <c r="C131" s="27">
        <f>IFERROR(IF(B131="","",VLOOKUP(B131,DATABASE!$A:$B,2,0)),"")</f>
        <v/>
      </c>
      <c r="D131" s="29" t="n"/>
      <c r="E131" s="40">
        <f>IF(B131="","",TODAY())</f>
        <v/>
      </c>
      <c r="F131" s="30" t="n"/>
      <c r="G131" s="41" t="n"/>
      <c r="H131" s="42" t="n"/>
      <c r="I131" s="43">
        <f>IFERROR(IF(OR(D131="",G131="",H131=""),"",ABS(PMT(G131/100/12,H131,D131))),"")</f>
        <v/>
      </c>
      <c r="J131" s="44">
        <f>IF(B131="","","Active")</f>
        <v/>
      </c>
    </row>
    <row r="132" ht="20" customHeight="1">
      <c r="A132" s="39">
        <f>IF(B132="","","LN"&amp;TEXT(ROW()-2,"0000"))</f>
        <v/>
      </c>
      <c r="B132" s="26" t="n"/>
      <c r="C132" s="45">
        <f>IFERROR(IF(B132="","",VLOOKUP(B132,DATABASE!$A:$B,2,0)),"")</f>
        <v/>
      </c>
      <c r="D132" s="29" t="n"/>
      <c r="E132" s="40">
        <f>IF(B132="","",TODAY())</f>
        <v/>
      </c>
      <c r="F132" s="30" t="n"/>
      <c r="G132" s="41" t="n"/>
      <c r="H132" s="42" t="n"/>
      <c r="I132" s="43">
        <f>IFERROR(IF(OR(D132="",G132="",H132=""),"",ABS(PMT(G132/100/12,H132,D132))),"")</f>
        <v/>
      </c>
      <c r="J132" s="44">
        <f>IF(B132="","","Active")</f>
        <v/>
      </c>
    </row>
    <row r="133" ht="20" customHeight="1">
      <c r="A133" s="39">
        <f>IF(B133="","","LN"&amp;TEXT(ROW()-2,"0000"))</f>
        <v/>
      </c>
      <c r="B133" s="26" t="n"/>
      <c r="C133" s="27">
        <f>IFERROR(IF(B133="","",VLOOKUP(B133,DATABASE!$A:$B,2,0)),"")</f>
        <v/>
      </c>
      <c r="D133" s="29" t="n"/>
      <c r="E133" s="40">
        <f>IF(B133="","",TODAY())</f>
        <v/>
      </c>
      <c r="F133" s="30" t="n"/>
      <c r="G133" s="41" t="n"/>
      <c r="H133" s="42" t="n"/>
      <c r="I133" s="43">
        <f>IFERROR(IF(OR(D133="",G133="",H133=""),"",ABS(PMT(G133/100/12,H133,D133))),"")</f>
        <v/>
      </c>
      <c r="J133" s="44">
        <f>IF(B133="","","Active")</f>
        <v/>
      </c>
    </row>
    <row r="134" ht="20" customHeight="1">
      <c r="A134" s="39">
        <f>IF(B134="","","LN"&amp;TEXT(ROW()-2,"0000"))</f>
        <v/>
      </c>
      <c r="B134" s="26" t="n"/>
      <c r="C134" s="45">
        <f>IFERROR(IF(B134="","",VLOOKUP(B134,DATABASE!$A:$B,2,0)),"")</f>
        <v/>
      </c>
      <c r="D134" s="29" t="n"/>
      <c r="E134" s="40">
        <f>IF(B134="","",TODAY())</f>
        <v/>
      </c>
      <c r="F134" s="30" t="n"/>
      <c r="G134" s="41" t="n"/>
      <c r="H134" s="42" t="n"/>
      <c r="I134" s="43">
        <f>IFERROR(IF(OR(D134="",G134="",H134=""),"",ABS(PMT(G134/100/12,H134,D134))),"")</f>
        <v/>
      </c>
      <c r="J134" s="44">
        <f>IF(B134="","","Active")</f>
        <v/>
      </c>
    </row>
    <row r="135" ht="20" customHeight="1">
      <c r="A135" s="39">
        <f>IF(B135="","","LN"&amp;TEXT(ROW()-2,"0000"))</f>
        <v/>
      </c>
      <c r="B135" s="26" t="n"/>
      <c r="C135" s="27">
        <f>IFERROR(IF(B135="","",VLOOKUP(B135,DATABASE!$A:$B,2,0)),"")</f>
        <v/>
      </c>
      <c r="D135" s="29" t="n"/>
      <c r="E135" s="40">
        <f>IF(B135="","",TODAY())</f>
        <v/>
      </c>
      <c r="F135" s="30" t="n"/>
      <c r="G135" s="41" t="n"/>
      <c r="H135" s="42" t="n"/>
      <c r="I135" s="43">
        <f>IFERROR(IF(OR(D135="",G135="",H135=""),"",ABS(PMT(G135/100/12,H135,D135))),"")</f>
        <v/>
      </c>
      <c r="J135" s="44">
        <f>IF(B135="","","Active")</f>
        <v/>
      </c>
    </row>
    <row r="136" ht="20" customHeight="1">
      <c r="A136" s="39">
        <f>IF(B136="","","LN"&amp;TEXT(ROW()-2,"0000"))</f>
        <v/>
      </c>
      <c r="B136" s="26" t="n"/>
      <c r="C136" s="45">
        <f>IFERROR(IF(B136="","",VLOOKUP(B136,DATABASE!$A:$B,2,0)),"")</f>
        <v/>
      </c>
      <c r="D136" s="29" t="n"/>
      <c r="E136" s="40">
        <f>IF(B136="","",TODAY())</f>
        <v/>
      </c>
      <c r="F136" s="30" t="n"/>
      <c r="G136" s="41" t="n"/>
      <c r="H136" s="42" t="n"/>
      <c r="I136" s="43">
        <f>IFERROR(IF(OR(D136="",G136="",H136=""),"",ABS(PMT(G136/100/12,H136,D136))),"")</f>
        <v/>
      </c>
      <c r="J136" s="44">
        <f>IF(B136="","","Active")</f>
        <v/>
      </c>
    </row>
    <row r="137" ht="20" customHeight="1">
      <c r="A137" s="39">
        <f>IF(B137="","","LN"&amp;TEXT(ROW()-2,"0000"))</f>
        <v/>
      </c>
      <c r="B137" s="26" t="n"/>
      <c r="C137" s="27">
        <f>IFERROR(IF(B137="","",VLOOKUP(B137,DATABASE!$A:$B,2,0)),"")</f>
        <v/>
      </c>
      <c r="D137" s="29" t="n"/>
      <c r="E137" s="40">
        <f>IF(B137="","",TODAY())</f>
        <v/>
      </c>
      <c r="F137" s="30" t="n"/>
      <c r="G137" s="41" t="n"/>
      <c r="H137" s="42" t="n"/>
      <c r="I137" s="43">
        <f>IFERROR(IF(OR(D137="",G137="",H137=""),"",ABS(PMT(G137/100/12,H137,D137))),"")</f>
        <v/>
      </c>
      <c r="J137" s="44">
        <f>IF(B137="","","Active")</f>
        <v/>
      </c>
    </row>
    <row r="138" ht="20" customHeight="1">
      <c r="A138" s="39">
        <f>IF(B138="","","LN"&amp;TEXT(ROW()-2,"0000"))</f>
        <v/>
      </c>
      <c r="B138" s="26" t="n"/>
      <c r="C138" s="45">
        <f>IFERROR(IF(B138="","",VLOOKUP(B138,DATABASE!$A:$B,2,0)),"")</f>
        <v/>
      </c>
      <c r="D138" s="29" t="n"/>
      <c r="E138" s="40">
        <f>IF(B138="","",TODAY())</f>
        <v/>
      </c>
      <c r="F138" s="30" t="n"/>
      <c r="G138" s="41" t="n"/>
      <c r="H138" s="42" t="n"/>
      <c r="I138" s="43">
        <f>IFERROR(IF(OR(D138="",G138="",H138=""),"",ABS(PMT(G138/100/12,H138,D138))),"")</f>
        <v/>
      </c>
      <c r="J138" s="44">
        <f>IF(B138="","","Active")</f>
        <v/>
      </c>
    </row>
    <row r="139" ht="20" customHeight="1">
      <c r="A139" s="39">
        <f>IF(B139="","","LN"&amp;TEXT(ROW()-2,"0000"))</f>
        <v/>
      </c>
      <c r="B139" s="26" t="n"/>
      <c r="C139" s="27">
        <f>IFERROR(IF(B139="","",VLOOKUP(B139,DATABASE!$A:$B,2,0)),"")</f>
        <v/>
      </c>
      <c r="D139" s="29" t="n"/>
      <c r="E139" s="40">
        <f>IF(B139="","",TODAY())</f>
        <v/>
      </c>
      <c r="F139" s="30" t="n"/>
      <c r="G139" s="41" t="n"/>
      <c r="H139" s="42" t="n"/>
      <c r="I139" s="43">
        <f>IFERROR(IF(OR(D139="",G139="",H139=""),"",ABS(PMT(G139/100/12,H139,D139))),"")</f>
        <v/>
      </c>
      <c r="J139" s="44">
        <f>IF(B139="","","Active")</f>
        <v/>
      </c>
    </row>
    <row r="140" ht="20" customHeight="1">
      <c r="A140" s="39">
        <f>IF(B140="","","LN"&amp;TEXT(ROW()-2,"0000"))</f>
        <v/>
      </c>
      <c r="B140" s="26" t="n"/>
      <c r="C140" s="45">
        <f>IFERROR(IF(B140="","",VLOOKUP(B140,DATABASE!$A:$B,2,0)),"")</f>
        <v/>
      </c>
      <c r="D140" s="29" t="n"/>
      <c r="E140" s="40">
        <f>IF(B140="","",TODAY())</f>
        <v/>
      </c>
      <c r="F140" s="30" t="n"/>
      <c r="G140" s="41" t="n"/>
      <c r="H140" s="42" t="n"/>
      <c r="I140" s="43">
        <f>IFERROR(IF(OR(D140="",G140="",H140=""),"",ABS(PMT(G140/100/12,H140,D140))),"")</f>
        <v/>
      </c>
      <c r="J140" s="44">
        <f>IF(B140="","","Active")</f>
        <v/>
      </c>
    </row>
    <row r="141" ht="20" customHeight="1">
      <c r="A141" s="39">
        <f>IF(B141="","","LN"&amp;TEXT(ROW()-2,"0000"))</f>
        <v/>
      </c>
      <c r="B141" s="26" t="n"/>
      <c r="C141" s="27">
        <f>IFERROR(IF(B141="","",VLOOKUP(B141,DATABASE!$A:$B,2,0)),"")</f>
        <v/>
      </c>
      <c r="D141" s="29" t="n"/>
      <c r="E141" s="40">
        <f>IF(B141="","",TODAY())</f>
        <v/>
      </c>
      <c r="F141" s="30" t="n"/>
      <c r="G141" s="41" t="n"/>
      <c r="H141" s="42" t="n"/>
      <c r="I141" s="43">
        <f>IFERROR(IF(OR(D141="",G141="",H141=""),"",ABS(PMT(G141/100/12,H141,D141))),"")</f>
        <v/>
      </c>
      <c r="J141" s="44">
        <f>IF(B141="","","Active")</f>
        <v/>
      </c>
    </row>
    <row r="142" ht="20" customHeight="1">
      <c r="A142" s="39">
        <f>IF(B142="","","LN"&amp;TEXT(ROW()-2,"0000"))</f>
        <v/>
      </c>
      <c r="B142" s="26" t="n"/>
      <c r="C142" s="45">
        <f>IFERROR(IF(B142="","",VLOOKUP(B142,DATABASE!$A:$B,2,0)),"")</f>
        <v/>
      </c>
      <c r="D142" s="29" t="n"/>
      <c r="E142" s="40">
        <f>IF(B142="","",TODAY())</f>
        <v/>
      </c>
      <c r="F142" s="30" t="n"/>
      <c r="G142" s="41" t="n"/>
      <c r="H142" s="42" t="n"/>
      <c r="I142" s="43">
        <f>IFERROR(IF(OR(D142="",G142="",H142=""),"",ABS(PMT(G142/100/12,H142,D142))),"")</f>
        <v/>
      </c>
      <c r="J142" s="44">
        <f>IF(B142="","","Active")</f>
        <v/>
      </c>
    </row>
    <row r="143" ht="20" customHeight="1">
      <c r="A143" s="39">
        <f>IF(B143="","","LN"&amp;TEXT(ROW()-2,"0000"))</f>
        <v/>
      </c>
      <c r="B143" s="26" t="n"/>
      <c r="C143" s="27">
        <f>IFERROR(IF(B143="","",VLOOKUP(B143,DATABASE!$A:$B,2,0)),"")</f>
        <v/>
      </c>
      <c r="D143" s="29" t="n"/>
      <c r="E143" s="40">
        <f>IF(B143="","",TODAY())</f>
        <v/>
      </c>
      <c r="F143" s="30" t="n"/>
      <c r="G143" s="41" t="n"/>
      <c r="H143" s="42" t="n"/>
      <c r="I143" s="43">
        <f>IFERROR(IF(OR(D143="",G143="",H143=""),"",ABS(PMT(G143/100/12,H143,D143))),"")</f>
        <v/>
      </c>
      <c r="J143" s="44">
        <f>IF(B143="","","Active")</f>
        <v/>
      </c>
    </row>
    <row r="144" ht="20" customHeight="1">
      <c r="A144" s="39">
        <f>IF(B144="","","LN"&amp;TEXT(ROW()-2,"0000"))</f>
        <v/>
      </c>
      <c r="B144" s="26" t="n"/>
      <c r="C144" s="45">
        <f>IFERROR(IF(B144="","",VLOOKUP(B144,DATABASE!$A:$B,2,0)),"")</f>
        <v/>
      </c>
      <c r="D144" s="29" t="n"/>
      <c r="E144" s="40">
        <f>IF(B144="","",TODAY())</f>
        <v/>
      </c>
      <c r="F144" s="30" t="n"/>
      <c r="G144" s="41" t="n"/>
      <c r="H144" s="42" t="n"/>
      <c r="I144" s="43">
        <f>IFERROR(IF(OR(D144="",G144="",H144=""),"",ABS(PMT(G144/100/12,H144,D144))),"")</f>
        <v/>
      </c>
      <c r="J144" s="44">
        <f>IF(B144="","","Active")</f>
        <v/>
      </c>
    </row>
    <row r="145" ht="20" customHeight="1">
      <c r="A145" s="39">
        <f>IF(B145="","","LN"&amp;TEXT(ROW()-2,"0000"))</f>
        <v/>
      </c>
      <c r="B145" s="26" t="n"/>
      <c r="C145" s="27">
        <f>IFERROR(IF(B145="","",VLOOKUP(B145,DATABASE!$A:$B,2,0)),"")</f>
        <v/>
      </c>
      <c r="D145" s="29" t="n"/>
      <c r="E145" s="40">
        <f>IF(B145="","",TODAY())</f>
        <v/>
      </c>
      <c r="F145" s="30" t="n"/>
      <c r="G145" s="41" t="n"/>
      <c r="H145" s="42" t="n"/>
      <c r="I145" s="43">
        <f>IFERROR(IF(OR(D145="",G145="",H145=""),"",ABS(PMT(G145/100/12,H145,D145))),"")</f>
        <v/>
      </c>
      <c r="J145" s="44">
        <f>IF(B145="","","Active")</f>
        <v/>
      </c>
    </row>
    <row r="146" ht="20" customHeight="1">
      <c r="A146" s="39">
        <f>IF(B146="","","LN"&amp;TEXT(ROW()-2,"0000"))</f>
        <v/>
      </c>
      <c r="B146" s="26" t="n"/>
      <c r="C146" s="45">
        <f>IFERROR(IF(B146="","",VLOOKUP(B146,DATABASE!$A:$B,2,0)),"")</f>
        <v/>
      </c>
      <c r="D146" s="29" t="n"/>
      <c r="E146" s="40">
        <f>IF(B146="","",TODAY())</f>
        <v/>
      </c>
      <c r="F146" s="30" t="n"/>
      <c r="G146" s="41" t="n"/>
      <c r="H146" s="42" t="n"/>
      <c r="I146" s="43">
        <f>IFERROR(IF(OR(D146="",G146="",H146=""),"",ABS(PMT(G146/100/12,H146,D146))),"")</f>
        <v/>
      </c>
      <c r="J146" s="44">
        <f>IF(B146="","","Active")</f>
        <v/>
      </c>
    </row>
    <row r="147" ht="20" customHeight="1">
      <c r="A147" s="39">
        <f>IF(B147="","","LN"&amp;TEXT(ROW()-2,"0000"))</f>
        <v/>
      </c>
      <c r="B147" s="26" t="n"/>
      <c r="C147" s="27">
        <f>IFERROR(IF(B147="","",VLOOKUP(B147,DATABASE!$A:$B,2,0)),"")</f>
        <v/>
      </c>
      <c r="D147" s="29" t="n"/>
      <c r="E147" s="40">
        <f>IF(B147="","",TODAY())</f>
        <v/>
      </c>
      <c r="F147" s="30" t="n"/>
      <c r="G147" s="41" t="n"/>
      <c r="H147" s="42" t="n"/>
      <c r="I147" s="43">
        <f>IFERROR(IF(OR(D147="",G147="",H147=""),"",ABS(PMT(G147/100/12,H147,D147))),"")</f>
        <v/>
      </c>
      <c r="J147" s="44">
        <f>IF(B147="","","Active")</f>
        <v/>
      </c>
    </row>
    <row r="148" ht="20" customHeight="1">
      <c r="A148" s="39">
        <f>IF(B148="","","LN"&amp;TEXT(ROW()-2,"0000"))</f>
        <v/>
      </c>
      <c r="B148" s="26" t="n"/>
      <c r="C148" s="45">
        <f>IFERROR(IF(B148="","",VLOOKUP(B148,DATABASE!$A:$B,2,0)),"")</f>
        <v/>
      </c>
      <c r="D148" s="29" t="n"/>
      <c r="E148" s="40">
        <f>IF(B148="","",TODAY())</f>
        <v/>
      </c>
      <c r="F148" s="30" t="n"/>
      <c r="G148" s="41" t="n"/>
      <c r="H148" s="42" t="n"/>
      <c r="I148" s="43">
        <f>IFERROR(IF(OR(D148="",G148="",H148=""),"",ABS(PMT(G148/100/12,H148,D148))),"")</f>
        <v/>
      </c>
      <c r="J148" s="44">
        <f>IF(B148="","","Active")</f>
        <v/>
      </c>
    </row>
    <row r="149" ht="20" customHeight="1">
      <c r="A149" s="39">
        <f>IF(B149="","","LN"&amp;TEXT(ROW()-2,"0000"))</f>
        <v/>
      </c>
      <c r="B149" s="26" t="n"/>
      <c r="C149" s="27">
        <f>IFERROR(IF(B149="","",VLOOKUP(B149,DATABASE!$A:$B,2,0)),"")</f>
        <v/>
      </c>
      <c r="D149" s="29" t="n"/>
      <c r="E149" s="40">
        <f>IF(B149="","",TODAY())</f>
        <v/>
      </c>
      <c r="F149" s="30" t="n"/>
      <c r="G149" s="41" t="n"/>
      <c r="H149" s="42" t="n"/>
      <c r="I149" s="43">
        <f>IFERROR(IF(OR(D149="",G149="",H149=""),"",ABS(PMT(G149/100/12,H149,D149))),"")</f>
        <v/>
      </c>
      <c r="J149" s="44">
        <f>IF(B149="","","Active")</f>
        <v/>
      </c>
    </row>
    <row r="150" ht="20" customHeight="1">
      <c r="A150" s="39">
        <f>IF(B150="","","LN"&amp;TEXT(ROW()-2,"0000"))</f>
        <v/>
      </c>
      <c r="B150" s="26" t="n"/>
      <c r="C150" s="45">
        <f>IFERROR(IF(B150="","",VLOOKUP(B150,DATABASE!$A:$B,2,0)),"")</f>
        <v/>
      </c>
      <c r="D150" s="29" t="n"/>
      <c r="E150" s="40">
        <f>IF(B150="","",TODAY())</f>
        <v/>
      </c>
      <c r="F150" s="30" t="n"/>
      <c r="G150" s="41" t="n"/>
      <c r="H150" s="42" t="n"/>
      <c r="I150" s="43">
        <f>IFERROR(IF(OR(D150="",G150="",H150=""),"",ABS(PMT(G150/100/12,H150,D150))),"")</f>
        <v/>
      </c>
      <c r="J150" s="44">
        <f>IF(B150="","","Active")</f>
        <v/>
      </c>
    </row>
    <row r="151" ht="20" customHeight="1">
      <c r="A151" s="39">
        <f>IF(B151="","","LN"&amp;TEXT(ROW()-2,"0000"))</f>
        <v/>
      </c>
      <c r="B151" s="26" t="n"/>
      <c r="C151" s="27">
        <f>IFERROR(IF(B151="","",VLOOKUP(B151,DATABASE!$A:$B,2,0)),"")</f>
        <v/>
      </c>
      <c r="D151" s="29" t="n"/>
      <c r="E151" s="40">
        <f>IF(B151="","",TODAY())</f>
        <v/>
      </c>
      <c r="F151" s="30" t="n"/>
      <c r="G151" s="41" t="n"/>
      <c r="H151" s="42" t="n"/>
      <c r="I151" s="43">
        <f>IFERROR(IF(OR(D151="",G151="",H151=""),"",ABS(PMT(G151/100/12,H151,D151))),"")</f>
        <v/>
      </c>
      <c r="J151" s="44">
        <f>IF(B151="","","Active")</f>
        <v/>
      </c>
    </row>
    <row r="152" ht="20" customHeight="1">
      <c r="A152" s="39">
        <f>IF(B152="","","LN"&amp;TEXT(ROW()-2,"0000"))</f>
        <v/>
      </c>
      <c r="B152" s="26" t="n"/>
      <c r="C152" s="45">
        <f>IFERROR(IF(B152="","",VLOOKUP(B152,DATABASE!$A:$B,2,0)),"")</f>
        <v/>
      </c>
      <c r="D152" s="29" t="n"/>
      <c r="E152" s="40">
        <f>IF(B152="","",TODAY())</f>
        <v/>
      </c>
      <c r="F152" s="30" t="n"/>
      <c r="G152" s="41" t="n"/>
      <c r="H152" s="42" t="n"/>
      <c r="I152" s="43">
        <f>IFERROR(IF(OR(D152="",G152="",H152=""),"",ABS(PMT(G152/100/12,H152,D152))),"")</f>
        <v/>
      </c>
      <c r="J152" s="44">
        <f>IF(B152="","","Active")</f>
        <v/>
      </c>
    </row>
    <row r="153" ht="20" customHeight="1">
      <c r="A153" s="39">
        <f>IF(B153="","","LN"&amp;TEXT(ROW()-2,"0000"))</f>
        <v/>
      </c>
      <c r="B153" s="26" t="n"/>
      <c r="C153" s="27">
        <f>IFERROR(IF(B153="","",VLOOKUP(B153,DATABASE!$A:$B,2,0)),"")</f>
        <v/>
      </c>
      <c r="D153" s="29" t="n"/>
      <c r="E153" s="40">
        <f>IF(B153="","",TODAY())</f>
        <v/>
      </c>
      <c r="F153" s="30" t="n"/>
      <c r="G153" s="41" t="n"/>
      <c r="H153" s="42" t="n"/>
      <c r="I153" s="43">
        <f>IFERROR(IF(OR(D153="",G153="",H153=""),"",ABS(PMT(G153/100/12,H153,D153))),"")</f>
        <v/>
      </c>
      <c r="J153" s="44">
        <f>IF(B153="","","Active")</f>
        <v/>
      </c>
    </row>
    <row r="154" ht="20" customHeight="1">
      <c r="A154" s="39">
        <f>IF(B154="","","LN"&amp;TEXT(ROW()-2,"0000"))</f>
        <v/>
      </c>
      <c r="B154" s="26" t="n"/>
      <c r="C154" s="45">
        <f>IFERROR(IF(B154="","",VLOOKUP(B154,DATABASE!$A:$B,2,0)),"")</f>
        <v/>
      </c>
      <c r="D154" s="29" t="n"/>
      <c r="E154" s="40">
        <f>IF(B154="","",TODAY())</f>
        <v/>
      </c>
      <c r="F154" s="30" t="n"/>
      <c r="G154" s="41" t="n"/>
      <c r="H154" s="42" t="n"/>
      <c r="I154" s="43">
        <f>IFERROR(IF(OR(D154="",G154="",H154=""),"",ABS(PMT(G154/100/12,H154,D154))),"")</f>
        <v/>
      </c>
      <c r="J154" s="44">
        <f>IF(B154="","","Active")</f>
        <v/>
      </c>
    </row>
    <row r="155" ht="20" customHeight="1">
      <c r="A155" s="39">
        <f>IF(B155="","","LN"&amp;TEXT(ROW()-2,"0000"))</f>
        <v/>
      </c>
      <c r="B155" s="26" t="n"/>
      <c r="C155" s="27">
        <f>IFERROR(IF(B155="","",VLOOKUP(B155,DATABASE!$A:$B,2,0)),"")</f>
        <v/>
      </c>
      <c r="D155" s="29" t="n"/>
      <c r="E155" s="40">
        <f>IF(B155="","",TODAY())</f>
        <v/>
      </c>
      <c r="F155" s="30" t="n"/>
      <c r="G155" s="41" t="n"/>
      <c r="H155" s="42" t="n"/>
      <c r="I155" s="43">
        <f>IFERROR(IF(OR(D155="",G155="",H155=""),"",ABS(PMT(G155/100/12,H155,D155))),"")</f>
        <v/>
      </c>
      <c r="J155" s="44">
        <f>IF(B155="","","Active")</f>
        <v/>
      </c>
    </row>
    <row r="156" ht="20" customHeight="1">
      <c r="A156" s="39">
        <f>IF(B156="","","LN"&amp;TEXT(ROW()-2,"0000"))</f>
        <v/>
      </c>
      <c r="B156" s="26" t="n"/>
      <c r="C156" s="45">
        <f>IFERROR(IF(B156="","",VLOOKUP(B156,DATABASE!$A:$B,2,0)),"")</f>
        <v/>
      </c>
      <c r="D156" s="29" t="n"/>
      <c r="E156" s="40">
        <f>IF(B156="","",TODAY())</f>
        <v/>
      </c>
      <c r="F156" s="30" t="n"/>
      <c r="G156" s="41" t="n"/>
      <c r="H156" s="42" t="n"/>
      <c r="I156" s="43">
        <f>IFERROR(IF(OR(D156="",G156="",H156=""),"",ABS(PMT(G156/100/12,H156,D156))),"")</f>
        <v/>
      </c>
      <c r="J156" s="44">
        <f>IF(B156="","","Active")</f>
        <v/>
      </c>
    </row>
    <row r="157" ht="20" customHeight="1">
      <c r="A157" s="39">
        <f>IF(B157="","","LN"&amp;TEXT(ROW()-2,"0000"))</f>
        <v/>
      </c>
      <c r="B157" s="26" t="n"/>
      <c r="C157" s="27">
        <f>IFERROR(IF(B157="","",VLOOKUP(B157,DATABASE!$A:$B,2,0)),"")</f>
        <v/>
      </c>
      <c r="D157" s="29" t="n"/>
      <c r="E157" s="40">
        <f>IF(B157="","",TODAY())</f>
        <v/>
      </c>
      <c r="F157" s="30" t="n"/>
      <c r="G157" s="41" t="n"/>
      <c r="H157" s="42" t="n"/>
      <c r="I157" s="43">
        <f>IFERROR(IF(OR(D157="",G157="",H157=""),"",ABS(PMT(G157/100/12,H157,D157))),"")</f>
        <v/>
      </c>
      <c r="J157" s="44">
        <f>IF(B157="","","Active")</f>
        <v/>
      </c>
    </row>
    <row r="158" ht="20" customHeight="1">
      <c r="A158" s="39">
        <f>IF(B158="","","LN"&amp;TEXT(ROW()-2,"0000"))</f>
        <v/>
      </c>
      <c r="B158" s="26" t="n"/>
      <c r="C158" s="45">
        <f>IFERROR(IF(B158="","",VLOOKUP(B158,DATABASE!$A:$B,2,0)),"")</f>
        <v/>
      </c>
      <c r="D158" s="29" t="n"/>
      <c r="E158" s="40">
        <f>IF(B158="","",TODAY())</f>
        <v/>
      </c>
      <c r="F158" s="30" t="n"/>
      <c r="G158" s="41" t="n"/>
      <c r="H158" s="42" t="n"/>
      <c r="I158" s="43">
        <f>IFERROR(IF(OR(D158="",G158="",H158=""),"",ABS(PMT(G158/100/12,H158,D158))),"")</f>
        <v/>
      </c>
      <c r="J158" s="44">
        <f>IF(B158="","","Active")</f>
        <v/>
      </c>
    </row>
    <row r="159" ht="20" customHeight="1">
      <c r="A159" s="39">
        <f>IF(B159="","","LN"&amp;TEXT(ROW()-2,"0000"))</f>
        <v/>
      </c>
      <c r="B159" s="26" t="n"/>
      <c r="C159" s="27">
        <f>IFERROR(IF(B159="","",VLOOKUP(B159,DATABASE!$A:$B,2,0)),"")</f>
        <v/>
      </c>
      <c r="D159" s="29" t="n"/>
      <c r="E159" s="40">
        <f>IF(B159="","",TODAY())</f>
        <v/>
      </c>
      <c r="F159" s="30" t="n"/>
      <c r="G159" s="41" t="n"/>
      <c r="H159" s="42" t="n"/>
      <c r="I159" s="43">
        <f>IFERROR(IF(OR(D159="",G159="",H159=""),"",ABS(PMT(G159/100/12,H159,D159))),"")</f>
        <v/>
      </c>
      <c r="J159" s="44">
        <f>IF(B159="","","Active")</f>
        <v/>
      </c>
    </row>
    <row r="160" ht="20" customHeight="1">
      <c r="A160" s="39">
        <f>IF(B160="","","LN"&amp;TEXT(ROW()-2,"0000"))</f>
        <v/>
      </c>
      <c r="B160" s="26" t="n"/>
      <c r="C160" s="45">
        <f>IFERROR(IF(B160="","",VLOOKUP(B160,DATABASE!$A:$B,2,0)),"")</f>
        <v/>
      </c>
      <c r="D160" s="29" t="n"/>
      <c r="E160" s="40">
        <f>IF(B160="","",TODAY())</f>
        <v/>
      </c>
      <c r="F160" s="30" t="n"/>
      <c r="G160" s="41" t="n"/>
      <c r="H160" s="42" t="n"/>
      <c r="I160" s="43">
        <f>IFERROR(IF(OR(D160="",G160="",H160=""),"",ABS(PMT(G160/100/12,H160,D160))),"")</f>
        <v/>
      </c>
      <c r="J160" s="44">
        <f>IF(B160="","","Active")</f>
        <v/>
      </c>
    </row>
    <row r="161" ht="20" customHeight="1">
      <c r="A161" s="39">
        <f>IF(B161="","","LN"&amp;TEXT(ROW()-2,"0000"))</f>
        <v/>
      </c>
      <c r="B161" s="26" t="n"/>
      <c r="C161" s="27">
        <f>IFERROR(IF(B161="","",VLOOKUP(B161,DATABASE!$A:$B,2,0)),"")</f>
        <v/>
      </c>
      <c r="D161" s="29" t="n"/>
      <c r="E161" s="40">
        <f>IF(B161="","",TODAY())</f>
        <v/>
      </c>
      <c r="F161" s="30" t="n"/>
      <c r="G161" s="41" t="n"/>
      <c r="H161" s="42" t="n"/>
      <c r="I161" s="43">
        <f>IFERROR(IF(OR(D161="",G161="",H161=""),"",ABS(PMT(G161/100/12,H161,D161))),"")</f>
        <v/>
      </c>
      <c r="J161" s="44">
        <f>IF(B161="","","Active")</f>
        <v/>
      </c>
    </row>
    <row r="162" ht="20" customHeight="1">
      <c r="A162" s="39">
        <f>IF(B162="","","LN"&amp;TEXT(ROW()-2,"0000"))</f>
        <v/>
      </c>
      <c r="B162" s="26" t="n"/>
      <c r="C162" s="45">
        <f>IFERROR(IF(B162="","",VLOOKUP(B162,DATABASE!$A:$B,2,0)),"")</f>
        <v/>
      </c>
      <c r="D162" s="29" t="n"/>
      <c r="E162" s="40">
        <f>IF(B162="","",TODAY())</f>
        <v/>
      </c>
      <c r="F162" s="30" t="n"/>
      <c r="G162" s="41" t="n"/>
      <c r="H162" s="42" t="n"/>
      <c r="I162" s="43">
        <f>IFERROR(IF(OR(D162="",G162="",H162=""),"",ABS(PMT(G162/100/12,H162,D162))),"")</f>
        <v/>
      </c>
      <c r="J162" s="44">
        <f>IF(B162="","","Active")</f>
        <v/>
      </c>
    </row>
    <row r="163" ht="20" customHeight="1">
      <c r="A163" s="39">
        <f>IF(B163="","","LN"&amp;TEXT(ROW()-2,"0000"))</f>
        <v/>
      </c>
      <c r="B163" s="26" t="n"/>
      <c r="C163" s="27">
        <f>IFERROR(IF(B163="","",VLOOKUP(B163,DATABASE!$A:$B,2,0)),"")</f>
        <v/>
      </c>
      <c r="D163" s="29" t="n"/>
      <c r="E163" s="40">
        <f>IF(B163="","",TODAY())</f>
        <v/>
      </c>
      <c r="F163" s="30" t="n"/>
      <c r="G163" s="41" t="n"/>
      <c r="H163" s="42" t="n"/>
      <c r="I163" s="43">
        <f>IFERROR(IF(OR(D163="",G163="",H163=""),"",ABS(PMT(G163/100/12,H163,D163))),"")</f>
        <v/>
      </c>
      <c r="J163" s="44">
        <f>IF(B163="","","Active")</f>
        <v/>
      </c>
    </row>
    <row r="164" ht="20" customHeight="1">
      <c r="A164" s="39">
        <f>IF(B164="","","LN"&amp;TEXT(ROW()-2,"0000"))</f>
        <v/>
      </c>
      <c r="B164" s="26" t="n"/>
      <c r="C164" s="45">
        <f>IFERROR(IF(B164="","",VLOOKUP(B164,DATABASE!$A:$B,2,0)),"")</f>
        <v/>
      </c>
      <c r="D164" s="29" t="n"/>
      <c r="E164" s="40">
        <f>IF(B164="","",TODAY())</f>
        <v/>
      </c>
      <c r="F164" s="30" t="n"/>
      <c r="G164" s="41" t="n"/>
      <c r="H164" s="42" t="n"/>
      <c r="I164" s="43">
        <f>IFERROR(IF(OR(D164="",G164="",H164=""),"",ABS(PMT(G164/100/12,H164,D164))),"")</f>
        <v/>
      </c>
      <c r="J164" s="44">
        <f>IF(B164="","","Active")</f>
        <v/>
      </c>
    </row>
    <row r="165" ht="20" customHeight="1">
      <c r="A165" s="39">
        <f>IF(B165="","","LN"&amp;TEXT(ROW()-2,"0000"))</f>
        <v/>
      </c>
      <c r="B165" s="26" t="n"/>
      <c r="C165" s="27">
        <f>IFERROR(IF(B165="","",VLOOKUP(B165,DATABASE!$A:$B,2,0)),"")</f>
        <v/>
      </c>
      <c r="D165" s="29" t="n"/>
      <c r="E165" s="40">
        <f>IF(B165="","",TODAY())</f>
        <v/>
      </c>
      <c r="F165" s="30" t="n"/>
      <c r="G165" s="41" t="n"/>
      <c r="H165" s="42" t="n"/>
      <c r="I165" s="43">
        <f>IFERROR(IF(OR(D165="",G165="",H165=""),"",ABS(PMT(G165/100/12,H165,D165))),"")</f>
        <v/>
      </c>
      <c r="J165" s="44">
        <f>IF(B165="","","Active")</f>
        <v/>
      </c>
    </row>
    <row r="166" ht="20" customHeight="1">
      <c r="A166" s="39">
        <f>IF(B166="","","LN"&amp;TEXT(ROW()-2,"0000"))</f>
        <v/>
      </c>
      <c r="B166" s="26" t="n"/>
      <c r="C166" s="45">
        <f>IFERROR(IF(B166="","",VLOOKUP(B166,DATABASE!$A:$B,2,0)),"")</f>
        <v/>
      </c>
      <c r="D166" s="29" t="n"/>
      <c r="E166" s="40">
        <f>IF(B166="","",TODAY())</f>
        <v/>
      </c>
      <c r="F166" s="30" t="n"/>
      <c r="G166" s="41" t="n"/>
      <c r="H166" s="42" t="n"/>
      <c r="I166" s="43">
        <f>IFERROR(IF(OR(D166="",G166="",H166=""),"",ABS(PMT(G166/100/12,H166,D166))),"")</f>
        <v/>
      </c>
      <c r="J166" s="44">
        <f>IF(B166="","","Active")</f>
        <v/>
      </c>
    </row>
    <row r="167" ht="20" customHeight="1">
      <c r="A167" s="39">
        <f>IF(B167="","","LN"&amp;TEXT(ROW()-2,"0000"))</f>
        <v/>
      </c>
      <c r="B167" s="26" t="n"/>
      <c r="C167" s="27">
        <f>IFERROR(IF(B167="","",VLOOKUP(B167,DATABASE!$A:$B,2,0)),"")</f>
        <v/>
      </c>
      <c r="D167" s="29" t="n"/>
      <c r="E167" s="40">
        <f>IF(B167="","",TODAY())</f>
        <v/>
      </c>
      <c r="F167" s="30" t="n"/>
      <c r="G167" s="41" t="n"/>
      <c r="H167" s="42" t="n"/>
      <c r="I167" s="43">
        <f>IFERROR(IF(OR(D167="",G167="",H167=""),"",ABS(PMT(G167/100/12,H167,D167))),"")</f>
        <v/>
      </c>
      <c r="J167" s="44">
        <f>IF(B167="","","Active")</f>
        <v/>
      </c>
    </row>
    <row r="168" ht="20" customHeight="1">
      <c r="A168" s="39">
        <f>IF(B168="","","LN"&amp;TEXT(ROW()-2,"0000"))</f>
        <v/>
      </c>
      <c r="B168" s="26" t="n"/>
      <c r="C168" s="45">
        <f>IFERROR(IF(B168="","",VLOOKUP(B168,DATABASE!$A:$B,2,0)),"")</f>
        <v/>
      </c>
      <c r="D168" s="29" t="n"/>
      <c r="E168" s="40">
        <f>IF(B168="","",TODAY())</f>
        <v/>
      </c>
      <c r="F168" s="30" t="n"/>
      <c r="G168" s="41" t="n"/>
      <c r="H168" s="42" t="n"/>
      <c r="I168" s="43">
        <f>IFERROR(IF(OR(D168="",G168="",H168=""),"",ABS(PMT(G168/100/12,H168,D168))),"")</f>
        <v/>
      </c>
      <c r="J168" s="44">
        <f>IF(B168="","","Active")</f>
        <v/>
      </c>
    </row>
    <row r="169" ht="20" customHeight="1">
      <c r="A169" s="39">
        <f>IF(B169="","","LN"&amp;TEXT(ROW()-2,"0000"))</f>
        <v/>
      </c>
      <c r="B169" s="26" t="n"/>
      <c r="C169" s="27">
        <f>IFERROR(IF(B169="","",VLOOKUP(B169,DATABASE!$A:$B,2,0)),"")</f>
        <v/>
      </c>
      <c r="D169" s="29" t="n"/>
      <c r="E169" s="40">
        <f>IF(B169="","",TODAY())</f>
        <v/>
      </c>
      <c r="F169" s="30" t="n"/>
      <c r="G169" s="41" t="n"/>
      <c r="H169" s="42" t="n"/>
      <c r="I169" s="43">
        <f>IFERROR(IF(OR(D169="",G169="",H169=""),"",ABS(PMT(G169/100/12,H169,D169))),"")</f>
        <v/>
      </c>
      <c r="J169" s="44">
        <f>IF(B169="","","Active")</f>
        <v/>
      </c>
    </row>
    <row r="170" ht="20" customHeight="1">
      <c r="A170" s="39">
        <f>IF(B170="","","LN"&amp;TEXT(ROW()-2,"0000"))</f>
        <v/>
      </c>
      <c r="B170" s="26" t="n"/>
      <c r="C170" s="45">
        <f>IFERROR(IF(B170="","",VLOOKUP(B170,DATABASE!$A:$B,2,0)),"")</f>
        <v/>
      </c>
      <c r="D170" s="29" t="n"/>
      <c r="E170" s="40">
        <f>IF(B170="","",TODAY())</f>
        <v/>
      </c>
      <c r="F170" s="30" t="n"/>
      <c r="G170" s="41" t="n"/>
      <c r="H170" s="42" t="n"/>
      <c r="I170" s="43">
        <f>IFERROR(IF(OR(D170="",G170="",H170=""),"",ABS(PMT(G170/100/12,H170,D170))),"")</f>
        <v/>
      </c>
      <c r="J170" s="44">
        <f>IF(B170="","","Active")</f>
        <v/>
      </c>
    </row>
    <row r="171" ht="20" customHeight="1">
      <c r="A171" s="39">
        <f>IF(B171="","","LN"&amp;TEXT(ROW()-2,"0000"))</f>
        <v/>
      </c>
      <c r="B171" s="26" t="n"/>
      <c r="C171" s="27">
        <f>IFERROR(IF(B171="","",VLOOKUP(B171,DATABASE!$A:$B,2,0)),"")</f>
        <v/>
      </c>
      <c r="D171" s="29" t="n"/>
      <c r="E171" s="40">
        <f>IF(B171="","",TODAY())</f>
        <v/>
      </c>
      <c r="F171" s="30" t="n"/>
      <c r="G171" s="41" t="n"/>
      <c r="H171" s="42" t="n"/>
      <c r="I171" s="43">
        <f>IFERROR(IF(OR(D171="",G171="",H171=""),"",ABS(PMT(G171/100/12,H171,D171))),"")</f>
        <v/>
      </c>
      <c r="J171" s="44">
        <f>IF(B171="","","Active")</f>
        <v/>
      </c>
    </row>
    <row r="172" ht="20" customHeight="1">
      <c r="A172" s="39">
        <f>IF(B172="","","LN"&amp;TEXT(ROW()-2,"0000"))</f>
        <v/>
      </c>
      <c r="B172" s="26" t="n"/>
      <c r="C172" s="45">
        <f>IFERROR(IF(B172="","",VLOOKUP(B172,DATABASE!$A:$B,2,0)),"")</f>
        <v/>
      </c>
      <c r="D172" s="29" t="n"/>
      <c r="E172" s="40">
        <f>IF(B172="","",TODAY())</f>
        <v/>
      </c>
      <c r="F172" s="30" t="n"/>
      <c r="G172" s="41" t="n"/>
      <c r="H172" s="42" t="n"/>
      <c r="I172" s="43">
        <f>IFERROR(IF(OR(D172="",G172="",H172=""),"",ABS(PMT(G172/100/12,H172,D172))),"")</f>
        <v/>
      </c>
      <c r="J172" s="44">
        <f>IF(B172="","","Active")</f>
        <v/>
      </c>
    </row>
    <row r="173" ht="20" customHeight="1">
      <c r="A173" s="39">
        <f>IF(B173="","","LN"&amp;TEXT(ROW()-2,"0000"))</f>
        <v/>
      </c>
      <c r="B173" s="26" t="n"/>
      <c r="C173" s="27">
        <f>IFERROR(IF(B173="","",VLOOKUP(B173,DATABASE!$A:$B,2,0)),"")</f>
        <v/>
      </c>
      <c r="D173" s="29" t="n"/>
      <c r="E173" s="40">
        <f>IF(B173="","",TODAY())</f>
        <v/>
      </c>
      <c r="F173" s="30" t="n"/>
      <c r="G173" s="41" t="n"/>
      <c r="H173" s="42" t="n"/>
      <c r="I173" s="43">
        <f>IFERROR(IF(OR(D173="",G173="",H173=""),"",ABS(PMT(G173/100/12,H173,D173))),"")</f>
        <v/>
      </c>
      <c r="J173" s="44">
        <f>IF(B173="","","Active")</f>
        <v/>
      </c>
    </row>
    <row r="174" ht="20" customHeight="1">
      <c r="A174" s="39">
        <f>IF(B174="","","LN"&amp;TEXT(ROW()-2,"0000"))</f>
        <v/>
      </c>
      <c r="B174" s="26" t="n"/>
      <c r="C174" s="45">
        <f>IFERROR(IF(B174="","",VLOOKUP(B174,DATABASE!$A:$B,2,0)),"")</f>
        <v/>
      </c>
      <c r="D174" s="29" t="n"/>
      <c r="E174" s="40">
        <f>IF(B174="","",TODAY())</f>
        <v/>
      </c>
      <c r="F174" s="30" t="n"/>
      <c r="G174" s="41" t="n"/>
      <c r="H174" s="42" t="n"/>
      <c r="I174" s="43">
        <f>IFERROR(IF(OR(D174="",G174="",H174=""),"",ABS(PMT(G174/100/12,H174,D174))),"")</f>
        <v/>
      </c>
      <c r="J174" s="44">
        <f>IF(B174="","","Active")</f>
        <v/>
      </c>
    </row>
    <row r="175" ht="20" customHeight="1">
      <c r="A175" s="39">
        <f>IF(B175="","","LN"&amp;TEXT(ROW()-2,"0000"))</f>
        <v/>
      </c>
      <c r="B175" s="26" t="n"/>
      <c r="C175" s="27">
        <f>IFERROR(IF(B175="","",VLOOKUP(B175,DATABASE!$A:$B,2,0)),"")</f>
        <v/>
      </c>
      <c r="D175" s="29" t="n"/>
      <c r="E175" s="40">
        <f>IF(B175="","",TODAY())</f>
        <v/>
      </c>
      <c r="F175" s="30" t="n"/>
      <c r="G175" s="41" t="n"/>
      <c r="H175" s="42" t="n"/>
      <c r="I175" s="43">
        <f>IFERROR(IF(OR(D175="",G175="",H175=""),"",ABS(PMT(G175/100/12,H175,D175))),"")</f>
        <v/>
      </c>
      <c r="J175" s="44">
        <f>IF(B175="","","Active")</f>
        <v/>
      </c>
    </row>
    <row r="176" ht="20" customHeight="1">
      <c r="A176" s="39">
        <f>IF(B176="","","LN"&amp;TEXT(ROW()-2,"0000"))</f>
        <v/>
      </c>
      <c r="B176" s="26" t="n"/>
      <c r="C176" s="45">
        <f>IFERROR(IF(B176="","",VLOOKUP(B176,DATABASE!$A:$B,2,0)),"")</f>
        <v/>
      </c>
      <c r="D176" s="29" t="n"/>
      <c r="E176" s="40">
        <f>IF(B176="","",TODAY())</f>
        <v/>
      </c>
      <c r="F176" s="30" t="n"/>
      <c r="G176" s="41" t="n"/>
      <c r="H176" s="42" t="n"/>
      <c r="I176" s="43">
        <f>IFERROR(IF(OR(D176="",G176="",H176=""),"",ABS(PMT(G176/100/12,H176,D176))),"")</f>
        <v/>
      </c>
      <c r="J176" s="44">
        <f>IF(B176="","","Active")</f>
        <v/>
      </c>
    </row>
    <row r="177" ht="20" customHeight="1">
      <c r="A177" s="39">
        <f>IF(B177="","","LN"&amp;TEXT(ROW()-2,"0000"))</f>
        <v/>
      </c>
      <c r="B177" s="26" t="n"/>
      <c r="C177" s="27">
        <f>IFERROR(IF(B177="","",VLOOKUP(B177,DATABASE!$A:$B,2,0)),"")</f>
        <v/>
      </c>
      <c r="D177" s="29" t="n"/>
      <c r="E177" s="40">
        <f>IF(B177="","",TODAY())</f>
        <v/>
      </c>
      <c r="F177" s="30" t="n"/>
      <c r="G177" s="41" t="n"/>
      <c r="H177" s="42" t="n"/>
      <c r="I177" s="43">
        <f>IFERROR(IF(OR(D177="",G177="",H177=""),"",ABS(PMT(G177/100/12,H177,D177))),"")</f>
        <v/>
      </c>
      <c r="J177" s="44">
        <f>IF(B177="","","Active")</f>
        <v/>
      </c>
    </row>
    <row r="178" ht="20" customHeight="1">
      <c r="A178" s="39">
        <f>IF(B178="","","LN"&amp;TEXT(ROW()-2,"0000"))</f>
        <v/>
      </c>
      <c r="B178" s="26" t="n"/>
      <c r="C178" s="45">
        <f>IFERROR(IF(B178="","",VLOOKUP(B178,DATABASE!$A:$B,2,0)),"")</f>
        <v/>
      </c>
      <c r="D178" s="29" t="n"/>
      <c r="E178" s="40">
        <f>IF(B178="","",TODAY())</f>
        <v/>
      </c>
      <c r="F178" s="30" t="n"/>
      <c r="G178" s="41" t="n"/>
      <c r="H178" s="42" t="n"/>
      <c r="I178" s="43">
        <f>IFERROR(IF(OR(D178="",G178="",H178=""),"",ABS(PMT(G178/100/12,H178,D178))),"")</f>
        <v/>
      </c>
      <c r="J178" s="44">
        <f>IF(B178="","","Active")</f>
        <v/>
      </c>
    </row>
    <row r="179" ht="20" customHeight="1">
      <c r="A179" s="39">
        <f>IF(B179="","","LN"&amp;TEXT(ROW()-2,"0000"))</f>
        <v/>
      </c>
      <c r="B179" s="26" t="n"/>
      <c r="C179" s="27">
        <f>IFERROR(IF(B179="","",VLOOKUP(B179,DATABASE!$A:$B,2,0)),"")</f>
        <v/>
      </c>
      <c r="D179" s="29" t="n"/>
      <c r="E179" s="40">
        <f>IF(B179="","",TODAY())</f>
        <v/>
      </c>
      <c r="F179" s="30" t="n"/>
      <c r="G179" s="41" t="n"/>
      <c r="H179" s="42" t="n"/>
      <c r="I179" s="43">
        <f>IFERROR(IF(OR(D179="",G179="",H179=""),"",ABS(PMT(G179/100/12,H179,D179))),"")</f>
        <v/>
      </c>
      <c r="J179" s="44">
        <f>IF(B179="","","Active")</f>
        <v/>
      </c>
    </row>
    <row r="180" ht="20" customHeight="1">
      <c r="A180" s="39">
        <f>IF(B180="","","LN"&amp;TEXT(ROW()-2,"0000"))</f>
        <v/>
      </c>
      <c r="B180" s="26" t="n"/>
      <c r="C180" s="45">
        <f>IFERROR(IF(B180="","",VLOOKUP(B180,DATABASE!$A:$B,2,0)),"")</f>
        <v/>
      </c>
      <c r="D180" s="29" t="n"/>
      <c r="E180" s="40">
        <f>IF(B180="","",TODAY())</f>
        <v/>
      </c>
      <c r="F180" s="30" t="n"/>
      <c r="G180" s="41" t="n"/>
      <c r="H180" s="42" t="n"/>
      <c r="I180" s="43">
        <f>IFERROR(IF(OR(D180="",G180="",H180=""),"",ABS(PMT(G180/100/12,H180,D180))),"")</f>
        <v/>
      </c>
      <c r="J180" s="44">
        <f>IF(B180="","","Active")</f>
        <v/>
      </c>
    </row>
    <row r="181" ht="20" customHeight="1">
      <c r="A181" s="39">
        <f>IF(B181="","","LN"&amp;TEXT(ROW()-2,"0000"))</f>
        <v/>
      </c>
      <c r="B181" s="26" t="n"/>
      <c r="C181" s="27">
        <f>IFERROR(IF(B181="","",VLOOKUP(B181,DATABASE!$A:$B,2,0)),"")</f>
        <v/>
      </c>
      <c r="D181" s="29" t="n"/>
      <c r="E181" s="40">
        <f>IF(B181="","",TODAY())</f>
        <v/>
      </c>
      <c r="F181" s="30" t="n"/>
      <c r="G181" s="41" t="n"/>
      <c r="H181" s="42" t="n"/>
      <c r="I181" s="43">
        <f>IFERROR(IF(OR(D181="",G181="",H181=""),"",ABS(PMT(G181/100/12,H181,D181))),"")</f>
        <v/>
      </c>
      <c r="J181" s="44">
        <f>IF(B181="","","Active")</f>
        <v/>
      </c>
    </row>
    <row r="182" ht="20" customHeight="1">
      <c r="A182" s="39">
        <f>IF(B182="","","LN"&amp;TEXT(ROW()-2,"0000"))</f>
        <v/>
      </c>
      <c r="B182" s="26" t="n"/>
      <c r="C182" s="45">
        <f>IFERROR(IF(B182="","",VLOOKUP(B182,DATABASE!$A:$B,2,0)),"")</f>
        <v/>
      </c>
      <c r="D182" s="29" t="n"/>
      <c r="E182" s="40">
        <f>IF(B182="","",TODAY())</f>
        <v/>
      </c>
      <c r="F182" s="30" t="n"/>
      <c r="G182" s="41" t="n"/>
      <c r="H182" s="42" t="n"/>
      <c r="I182" s="43">
        <f>IFERROR(IF(OR(D182="",G182="",H182=""),"",ABS(PMT(G182/100/12,H182,D182))),"")</f>
        <v/>
      </c>
      <c r="J182" s="44">
        <f>IF(B182="","","Active")</f>
        <v/>
      </c>
    </row>
    <row r="183" ht="20" customHeight="1">
      <c r="A183" s="39">
        <f>IF(B183="","","LN"&amp;TEXT(ROW()-2,"0000"))</f>
        <v/>
      </c>
      <c r="B183" s="26" t="n"/>
      <c r="C183" s="27">
        <f>IFERROR(IF(B183="","",VLOOKUP(B183,DATABASE!$A:$B,2,0)),"")</f>
        <v/>
      </c>
      <c r="D183" s="29" t="n"/>
      <c r="E183" s="40">
        <f>IF(B183="","",TODAY())</f>
        <v/>
      </c>
      <c r="F183" s="30" t="n"/>
      <c r="G183" s="41" t="n"/>
      <c r="H183" s="42" t="n"/>
      <c r="I183" s="43">
        <f>IFERROR(IF(OR(D183="",G183="",H183=""),"",ABS(PMT(G183/100/12,H183,D183))),"")</f>
        <v/>
      </c>
      <c r="J183" s="44">
        <f>IF(B183="","","Active")</f>
        <v/>
      </c>
    </row>
    <row r="184" ht="20" customHeight="1">
      <c r="A184" s="39">
        <f>IF(B184="","","LN"&amp;TEXT(ROW()-2,"0000"))</f>
        <v/>
      </c>
      <c r="B184" s="26" t="n"/>
      <c r="C184" s="45">
        <f>IFERROR(IF(B184="","",VLOOKUP(B184,DATABASE!$A:$B,2,0)),"")</f>
        <v/>
      </c>
      <c r="D184" s="29" t="n"/>
      <c r="E184" s="40">
        <f>IF(B184="","",TODAY())</f>
        <v/>
      </c>
      <c r="F184" s="30" t="n"/>
      <c r="G184" s="41" t="n"/>
      <c r="H184" s="42" t="n"/>
      <c r="I184" s="43">
        <f>IFERROR(IF(OR(D184="",G184="",H184=""),"",ABS(PMT(G184/100/12,H184,D184))),"")</f>
        <v/>
      </c>
      <c r="J184" s="44">
        <f>IF(B184="","","Active")</f>
        <v/>
      </c>
    </row>
    <row r="185" ht="20" customHeight="1">
      <c r="A185" s="39">
        <f>IF(B185="","","LN"&amp;TEXT(ROW()-2,"0000"))</f>
        <v/>
      </c>
      <c r="B185" s="26" t="n"/>
      <c r="C185" s="27">
        <f>IFERROR(IF(B185="","",VLOOKUP(B185,DATABASE!$A:$B,2,0)),"")</f>
        <v/>
      </c>
      <c r="D185" s="29" t="n"/>
      <c r="E185" s="40">
        <f>IF(B185="","",TODAY())</f>
        <v/>
      </c>
      <c r="F185" s="30" t="n"/>
      <c r="G185" s="41" t="n"/>
      <c r="H185" s="42" t="n"/>
      <c r="I185" s="43">
        <f>IFERROR(IF(OR(D185="",G185="",H185=""),"",ABS(PMT(G185/100/12,H185,D185))),"")</f>
        <v/>
      </c>
      <c r="J185" s="44">
        <f>IF(B185="","","Active")</f>
        <v/>
      </c>
    </row>
    <row r="186" ht="20" customHeight="1">
      <c r="A186" s="39">
        <f>IF(B186="","","LN"&amp;TEXT(ROW()-2,"0000"))</f>
        <v/>
      </c>
      <c r="B186" s="26" t="n"/>
      <c r="C186" s="45">
        <f>IFERROR(IF(B186="","",VLOOKUP(B186,DATABASE!$A:$B,2,0)),"")</f>
        <v/>
      </c>
      <c r="D186" s="29" t="n"/>
      <c r="E186" s="40">
        <f>IF(B186="","",TODAY())</f>
        <v/>
      </c>
      <c r="F186" s="30" t="n"/>
      <c r="G186" s="41" t="n"/>
      <c r="H186" s="42" t="n"/>
      <c r="I186" s="43">
        <f>IFERROR(IF(OR(D186="",G186="",H186=""),"",ABS(PMT(G186/100/12,H186,D186))),"")</f>
        <v/>
      </c>
      <c r="J186" s="44">
        <f>IF(B186="","","Active")</f>
        <v/>
      </c>
    </row>
    <row r="187" ht="20" customHeight="1">
      <c r="A187" s="39">
        <f>IF(B187="","","LN"&amp;TEXT(ROW()-2,"0000"))</f>
        <v/>
      </c>
      <c r="B187" s="26" t="n"/>
      <c r="C187" s="27">
        <f>IFERROR(IF(B187="","",VLOOKUP(B187,DATABASE!$A:$B,2,0)),"")</f>
        <v/>
      </c>
      <c r="D187" s="29" t="n"/>
      <c r="E187" s="40">
        <f>IF(B187="","",TODAY())</f>
        <v/>
      </c>
      <c r="F187" s="30" t="n"/>
      <c r="G187" s="41" t="n"/>
      <c r="H187" s="42" t="n"/>
      <c r="I187" s="43">
        <f>IFERROR(IF(OR(D187="",G187="",H187=""),"",ABS(PMT(G187/100/12,H187,D187))),"")</f>
        <v/>
      </c>
      <c r="J187" s="44">
        <f>IF(B187="","","Active")</f>
        <v/>
      </c>
    </row>
    <row r="188" ht="20" customHeight="1">
      <c r="A188" s="39">
        <f>IF(B188="","","LN"&amp;TEXT(ROW()-2,"0000"))</f>
        <v/>
      </c>
      <c r="B188" s="26" t="n"/>
      <c r="C188" s="45">
        <f>IFERROR(IF(B188="","",VLOOKUP(B188,DATABASE!$A:$B,2,0)),"")</f>
        <v/>
      </c>
      <c r="D188" s="29" t="n"/>
      <c r="E188" s="40">
        <f>IF(B188="","",TODAY())</f>
        <v/>
      </c>
      <c r="F188" s="30" t="n"/>
      <c r="G188" s="41" t="n"/>
      <c r="H188" s="42" t="n"/>
      <c r="I188" s="43">
        <f>IFERROR(IF(OR(D188="",G188="",H188=""),"",ABS(PMT(G188/100/12,H188,D188))),"")</f>
        <v/>
      </c>
      <c r="J188" s="44">
        <f>IF(B188="","","Active")</f>
        <v/>
      </c>
    </row>
    <row r="189" ht="20" customHeight="1">
      <c r="A189" s="39">
        <f>IF(B189="","","LN"&amp;TEXT(ROW()-2,"0000"))</f>
        <v/>
      </c>
      <c r="B189" s="26" t="n"/>
      <c r="C189" s="27">
        <f>IFERROR(IF(B189="","",VLOOKUP(B189,DATABASE!$A:$B,2,0)),"")</f>
        <v/>
      </c>
      <c r="D189" s="29" t="n"/>
      <c r="E189" s="40">
        <f>IF(B189="","",TODAY())</f>
        <v/>
      </c>
      <c r="F189" s="30" t="n"/>
      <c r="G189" s="41" t="n"/>
      <c r="H189" s="42" t="n"/>
      <c r="I189" s="43">
        <f>IFERROR(IF(OR(D189="",G189="",H189=""),"",ABS(PMT(G189/100/12,H189,D189))),"")</f>
        <v/>
      </c>
      <c r="J189" s="44">
        <f>IF(B189="","","Active")</f>
        <v/>
      </c>
    </row>
    <row r="190" ht="20" customHeight="1">
      <c r="A190" s="39">
        <f>IF(B190="","","LN"&amp;TEXT(ROW()-2,"0000"))</f>
        <v/>
      </c>
      <c r="B190" s="26" t="n"/>
      <c r="C190" s="45">
        <f>IFERROR(IF(B190="","",VLOOKUP(B190,DATABASE!$A:$B,2,0)),"")</f>
        <v/>
      </c>
      <c r="D190" s="29" t="n"/>
      <c r="E190" s="40">
        <f>IF(B190="","",TODAY())</f>
        <v/>
      </c>
      <c r="F190" s="30" t="n"/>
      <c r="G190" s="41" t="n"/>
      <c r="H190" s="42" t="n"/>
      <c r="I190" s="43">
        <f>IFERROR(IF(OR(D190="",G190="",H190=""),"",ABS(PMT(G190/100/12,H190,D190))),"")</f>
        <v/>
      </c>
      <c r="J190" s="44">
        <f>IF(B190="","","Active")</f>
        <v/>
      </c>
    </row>
    <row r="191" ht="20" customHeight="1">
      <c r="A191" s="39">
        <f>IF(B191="","","LN"&amp;TEXT(ROW()-2,"0000"))</f>
        <v/>
      </c>
      <c r="B191" s="26" t="n"/>
      <c r="C191" s="27">
        <f>IFERROR(IF(B191="","",VLOOKUP(B191,DATABASE!$A:$B,2,0)),"")</f>
        <v/>
      </c>
      <c r="D191" s="29" t="n"/>
      <c r="E191" s="40">
        <f>IF(B191="","",TODAY())</f>
        <v/>
      </c>
      <c r="F191" s="30" t="n"/>
      <c r="G191" s="41" t="n"/>
      <c r="H191" s="42" t="n"/>
      <c r="I191" s="43">
        <f>IFERROR(IF(OR(D191="",G191="",H191=""),"",ABS(PMT(G191/100/12,H191,D191))),"")</f>
        <v/>
      </c>
      <c r="J191" s="44">
        <f>IF(B191="","","Active")</f>
        <v/>
      </c>
    </row>
    <row r="192" ht="20" customHeight="1">
      <c r="A192" s="39">
        <f>IF(B192="","","LN"&amp;TEXT(ROW()-2,"0000"))</f>
        <v/>
      </c>
      <c r="B192" s="26" t="n"/>
      <c r="C192" s="45">
        <f>IFERROR(IF(B192="","",VLOOKUP(B192,DATABASE!$A:$B,2,0)),"")</f>
        <v/>
      </c>
      <c r="D192" s="29" t="n"/>
      <c r="E192" s="40">
        <f>IF(B192="","",TODAY())</f>
        <v/>
      </c>
      <c r="F192" s="30" t="n"/>
      <c r="G192" s="41" t="n"/>
      <c r="H192" s="42" t="n"/>
      <c r="I192" s="43">
        <f>IFERROR(IF(OR(D192="",G192="",H192=""),"",ABS(PMT(G192/100/12,H192,D192))),"")</f>
        <v/>
      </c>
      <c r="J192" s="44">
        <f>IF(B192="","","Active")</f>
        <v/>
      </c>
    </row>
    <row r="193" ht="20" customHeight="1">
      <c r="A193" s="39">
        <f>IF(B193="","","LN"&amp;TEXT(ROW()-2,"0000"))</f>
        <v/>
      </c>
      <c r="B193" s="26" t="n"/>
      <c r="C193" s="27">
        <f>IFERROR(IF(B193="","",VLOOKUP(B193,DATABASE!$A:$B,2,0)),"")</f>
        <v/>
      </c>
      <c r="D193" s="29" t="n"/>
      <c r="E193" s="40">
        <f>IF(B193="","",TODAY())</f>
        <v/>
      </c>
      <c r="F193" s="30" t="n"/>
      <c r="G193" s="41" t="n"/>
      <c r="H193" s="42" t="n"/>
      <c r="I193" s="43">
        <f>IFERROR(IF(OR(D193="",G193="",H193=""),"",ABS(PMT(G193/100/12,H193,D193))),"")</f>
        <v/>
      </c>
      <c r="J193" s="44">
        <f>IF(B193="","","Active")</f>
        <v/>
      </c>
    </row>
    <row r="194" ht="20" customHeight="1">
      <c r="A194" s="39">
        <f>IF(B194="","","LN"&amp;TEXT(ROW()-2,"0000"))</f>
        <v/>
      </c>
      <c r="B194" s="26" t="n"/>
      <c r="C194" s="45">
        <f>IFERROR(IF(B194="","",VLOOKUP(B194,DATABASE!$A:$B,2,0)),"")</f>
        <v/>
      </c>
      <c r="D194" s="29" t="n"/>
      <c r="E194" s="40">
        <f>IF(B194="","",TODAY())</f>
        <v/>
      </c>
      <c r="F194" s="30" t="n"/>
      <c r="G194" s="41" t="n"/>
      <c r="H194" s="42" t="n"/>
      <c r="I194" s="43">
        <f>IFERROR(IF(OR(D194="",G194="",H194=""),"",ABS(PMT(G194/100/12,H194,D194))),"")</f>
        <v/>
      </c>
      <c r="J194" s="44">
        <f>IF(B194="","","Active")</f>
        <v/>
      </c>
    </row>
    <row r="195" ht="20" customHeight="1">
      <c r="A195" s="39">
        <f>IF(B195="","","LN"&amp;TEXT(ROW()-2,"0000"))</f>
        <v/>
      </c>
      <c r="B195" s="26" t="n"/>
      <c r="C195" s="27">
        <f>IFERROR(IF(B195="","",VLOOKUP(B195,DATABASE!$A:$B,2,0)),"")</f>
        <v/>
      </c>
      <c r="D195" s="29" t="n"/>
      <c r="E195" s="40">
        <f>IF(B195="","",TODAY())</f>
        <v/>
      </c>
      <c r="F195" s="30" t="n"/>
      <c r="G195" s="41" t="n"/>
      <c r="H195" s="42" t="n"/>
      <c r="I195" s="43">
        <f>IFERROR(IF(OR(D195="",G195="",H195=""),"",ABS(PMT(G195/100/12,H195,D195))),"")</f>
        <v/>
      </c>
      <c r="J195" s="44">
        <f>IF(B195="","","Active")</f>
        <v/>
      </c>
    </row>
    <row r="196" ht="20" customHeight="1">
      <c r="A196" s="39">
        <f>IF(B196="","","LN"&amp;TEXT(ROW()-2,"0000"))</f>
        <v/>
      </c>
      <c r="B196" s="26" t="n"/>
      <c r="C196" s="45">
        <f>IFERROR(IF(B196="","",VLOOKUP(B196,DATABASE!$A:$B,2,0)),"")</f>
        <v/>
      </c>
      <c r="D196" s="29" t="n"/>
      <c r="E196" s="40">
        <f>IF(B196="","",TODAY())</f>
        <v/>
      </c>
      <c r="F196" s="30" t="n"/>
      <c r="G196" s="41" t="n"/>
      <c r="H196" s="42" t="n"/>
      <c r="I196" s="43">
        <f>IFERROR(IF(OR(D196="",G196="",H196=""),"",ABS(PMT(G196/100/12,H196,D196))),"")</f>
        <v/>
      </c>
      <c r="J196" s="44">
        <f>IF(B196="","","Active")</f>
        <v/>
      </c>
    </row>
    <row r="197" ht="20" customHeight="1">
      <c r="A197" s="39">
        <f>IF(B197="","","LN"&amp;TEXT(ROW()-2,"0000"))</f>
        <v/>
      </c>
      <c r="B197" s="26" t="n"/>
      <c r="C197" s="27">
        <f>IFERROR(IF(B197="","",VLOOKUP(B197,DATABASE!$A:$B,2,0)),"")</f>
        <v/>
      </c>
      <c r="D197" s="29" t="n"/>
      <c r="E197" s="40">
        <f>IF(B197="","",TODAY())</f>
        <v/>
      </c>
      <c r="F197" s="30" t="n"/>
      <c r="G197" s="41" t="n"/>
      <c r="H197" s="42" t="n"/>
      <c r="I197" s="43">
        <f>IFERROR(IF(OR(D197="",G197="",H197=""),"",ABS(PMT(G197/100/12,H197,D197))),"")</f>
        <v/>
      </c>
      <c r="J197" s="44">
        <f>IF(B197="","","Active")</f>
        <v/>
      </c>
    </row>
    <row r="198" ht="20" customHeight="1">
      <c r="A198" s="39">
        <f>IF(B198="","","LN"&amp;TEXT(ROW()-2,"0000"))</f>
        <v/>
      </c>
      <c r="B198" s="26" t="n"/>
      <c r="C198" s="45">
        <f>IFERROR(IF(B198="","",VLOOKUP(B198,DATABASE!$A:$B,2,0)),"")</f>
        <v/>
      </c>
      <c r="D198" s="29" t="n"/>
      <c r="E198" s="40">
        <f>IF(B198="","",TODAY())</f>
        <v/>
      </c>
      <c r="F198" s="30" t="n"/>
      <c r="G198" s="41" t="n"/>
      <c r="H198" s="42" t="n"/>
      <c r="I198" s="43">
        <f>IFERROR(IF(OR(D198="",G198="",H198=""),"",ABS(PMT(G198/100/12,H198,D198))),"")</f>
        <v/>
      </c>
      <c r="J198" s="44">
        <f>IF(B198="","","Active")</f>
        <v/>
      </c>
    </row>
    <row r="199" ht="20" customHeight="1">
      <c r="A199" s="39">
        <f>IF(B199="","","LN"&amp;TEXT(ROW()-2,"0000"))</f>
        <v/>
      </c>
      <c r="B199" s="26" t="n"/>
      <c r="C199" s="27">
        <f>IFERROR(IF(B199="","",VLOOKUP(B199,DATABASE!$A:$B,2,0)),"")</f>
        <v/>
      </c>
      <c r="D199" s="29" t="n"/>
      <c r="E199" s="40">
        <f>IF(B199="","",TODAY())</f>
        <v/>
      </c>
      <c r="F199" s="30" t="n"/>
      <c r="G199" s="41" t="n"/>
      <c r="H199" s="42" t="n"/>
      <c r="I199" s="43">
        <f>IFERROR(IF(OR(D199="",G199="",H199=""),"",ABS(PMT(G199/100/12,H199,D199))),"")</f>
        <v/>
      </c>
      <c r="J199" s="44">
        <f>IF(B199="","","Active")</f>
        <v/>
      </c>
    </row>
    <row r="200" ht="20" customHeight="1">
      <c r="A200" s="39">
        <f>IF(B200="","","LN"&amp;TEXT(ROW()-2,"0000"))</f>
        <v/>
      </c>
      <c r="B200" s="26" t="n"/>
      <c r="C200" s="45">
        <f>IFERROR(IF(B200="","",VLOOKUP(B200,DATABASE!$A:$B,2,0)),"")</f>
        <v/>
      </c>
      <c r="D200" s="29" t="n"/>
      <c r="E200" s="40">
        <f>IF(B200="","",TODAY())</f>
        <v/>
      </c>
      <c r="F200" s="30" t="n"/>
      <c r="G200" s="41" t="n"/>
      <c r="H200" s="42" t="n"/>
      <c r="I200" s="43">
        <f>IFERROR(IF(OR(D200="",G200="",H200=""),"",ABS(PMT(G200/100/12,H200,D200))),"")</f>
        <v/>
      </c>
      <c r="J200" s="44">
        <f>IF(B200="","","Active")</f>
        <v/>
      </c>
    </row>
    <row r="201" ht="20" customHeight="1">
      <c r="A201" s="39">
        <f>IF(B201="","","LN"&amp;TEXT(ROW()-2,"0000"))</f>
        <v/>
      </c>
      <c r="B201" s="26" t="n"/>
      <c r="C201" s="27">
        <f>IFERROR(IF(B201="","",VLOOKUP(B201,DATABASE!$A:$B,2,0)),"")</f>
        <v/>
      </c>
      <c r="D201" s="29" t="n"/>
      <c r="E201" s="40">
        <f>IF(B201="","",TODAY())</f>
        <v/>
      </c>
      <c r="F201" s="30" t="n"/>
      <c r="G201" s="41" t="n"/>
      <c r="H201" s="42" t="n"/>
      <c r="I201" s="43">
        <f>IFERROR(IF(OR(D201="",G201="",H201=""),"",ABS(PMT(G201/100/12,H201,D201))),"")</f>
        <v/>
      </c>
      <c r="J201" s="44">
        <f>IF(B201="","","Active")</f>
        <v/>
      </c>
    </row>
    <row r="202" ht="20" customHeight="1">
      <c r="A202" s="39">
        <f>IF(B202="","","LN"&amp;TEXT(ROW()-2,"0000"))</f>
        <v/>
      </c>
      <c r="B202" s="26" t="n"/>
      <c r="C202" s="45">
        <f>IFERROR(IF(B202="","",VLOOKUP(B202,DATABASE!$A:$B,2,0)),"")</f>
        <v/>
      </c>
      <c r="D202" s="29" t="n"/>
      <c r="E202" s="40">
        <f>IF(B202="","",TODAY())</f>
        <v/>
      </c>
      <c r="F202" s="30" t="n"/>
      <c r="G202" s="41" t="n"/>
      <c r="H202" s="42" t="n"/>
      <c r="I202" s="43">
        <f>IFERROR(IF(OR(D202="",G202="",H202=""),"",ABS(PMT(G202/100/12,H202,D202))),"")</f>
        <v/>
      </c>
      <c r="J202" s="44">
        <f>IF(B202="","","Active")</f>
        <v/>
      </c>
    </row>
    <row r="203" ht="20" customHeight="1">
      <c r="A203" s="39">
        <f>IF(B203="","","LN"&amp;TEXT(ROW()-2,"0000"))</f>
        <v/>
      </c>
      <c r="B203" s="26" t="n"/>
      <c r="C203" s="27">
        <f>IFERROR(IF(B203="","",VLOOKUP(B203,DATABASE!$A:$B,2,0)),"")</f>
        <v/>
      </c>
      <c r="D203" s="29" t="n"/>
      <c r="E203" s="40">
        <f>IF(B203="","",TODAY())</f>
        <v/>
      </c>
      <c r="F203" s="30" t="n"/>
      <c r="G203" s="41" t="n"/>
      <c r="H203" s="42" t="n"/>
      <c r="I203" s="43">
        <f>IFERROR(IF(OR(D203="",G203="",H203=""),"",ABS(PMT(G203/100/12,H203,D203))),"")</f>
        <v/>
      </c>
      <c r="J203" s="44">
        <f>IF(B203="","","Active")</f>
        <v/>
      </c>
    </row>
    <row r="204" ht="20" customHeight="1">
      <c r="A204" s="39">
        <f>IF(B204="","","LN"&amp;TEXT(ROW()-2,"0000"))</f>
        <v/>
      </c>
      <c r="B204" s="26" t="n"/>
      <c r="C204" s="45">
        <f>IFERROR(IF(B204="","",VLOOKUP(B204,DATABASE!$A:$B,2,0)),"")</f>
        <v/>
      </c>
      <c r="D204" s="29" t="n"/>
      <c r="E204" s="40">
        <f>IF(B204="","",TODAY())</f>
        <v/>
      </c>
      <c r="F204" s="30" t="n"/>
      <c r="G204" s="41" t="n"/>
      <c r="H204" s="42" t="n"/>
      <c r="I204" s="43">
        <f>IFERROR(IF(OR(D204="",G204="",H204=""),"",ABS(PMT(G204/100/12,H204,D204))),"")</f>
        <v/>
      </c>
      <c r="J204" s="44">
        <f>IF(B204="","","Active")</f>
        <v/>
      </c>
    </row>
    <row r="205" ht="20" customHeight="1">
      <c r="A205" s="39">
        <f>IF(B205="","","LN"&amp;TEXT(ROW()-2,"0000"))</f>
        <v/>
      </c>
      <c r="B205" s="26" t="n"/>
      <c r="C205" s="27">
        <f>IFERROR(IF(B205="","",VLOOKUP(B205,DATABASE!$A:$B,2,0)),"")</f>
        <v/>
      </c>
      <c r="D205" s="29" t="n"/>
      <c r="E205" s="40">
        <f>IF(B205="","",TODAY())</f>
        <v/>
      </c>
      <c r="F205" s="30" t="n"/>
      <c r="G205" s="41" t="n"/>
      <c r="H205" s="42" t="n"/>
      <c r="I205" s="43">
        <f>IFERROR(IF(OR(D205="",G205="",H205=""),"",ABS(PMT(G205/100/12,H205,D205))),"")</f>
        <v/>
      </c>
      <c r="J205" s="44">
        <f>IF(B205="","","Active")</f>
        <v/>
      </c>
    </row>
    <row r="206" ht="20" customHeight="1">
      <c r="A206" s="39">
        <f>IF(B206="","","LN"&amp;TEXT(ROW()-2,"0000"))</f>
        <v/>
      </c>
      <c r="B206" s="26" t="n"/>
      <c r="C206" s="45">
        <f>IFERROR(IF(B206="","",VLOOKUP(B206,DATABASE!$A:$B,2,0)),"")</f>
        <v/>
      </c>
      <c r="D206" s="29" t="n"/>
      <c r="E206" s="40">
        <f>IF(B206="","",TODAY())</f>
        <v/>
      </c>
      <c r="F206" s="30" t="n"/>
      <c r="G206" s="41" t="n"/>
      <c r="H206" s="42" t="n"/>
      <c r="I206" s="43">
        <f>IFERROR(IF(OR(D206="",G206="",H206=""),"",ABS(PMT(G206/100/12,H206,D206))),"")</f>
        <v/>
      </c>
      <c r="J206" s="44">
        <f>IF(B206="","","Active")</f>
        <v/>
      </c>
    </row>
    <row r="207" ht="20" customHeight="1">
      <c r="A207" s="39">
        <f>IF(B207="","","LN"&amp;TEXT(ROW()-2,"0000"))</f>
        <v/>
      </c>
      <c r="B207" s="26" t="n"/>
      <c r="C207" s="27">
        <f>IFERROR(IF(B207="","",VLOOKUP(B207,DATABASE!$A:$B,2,0)),"")</f>
        <v/>
      </c>
      <c r="D207" s="29" t="n"/>
      <c r="E207" s="40">
        <f>IF(B207="","",TODAY())</f>
        <v/>
      </c>
      <c r="F207" s="30" t="n"/>
      <c r="G207" s="41" t="n"/>
      <c r="H207" s="42" t="n"/>
      <c r="I207" s="43">
        <f>IFERROR(IF(OR(D207="",G207="",H207=""),"",ABS(PMT(G207/100/12,H207,D207))),"")</f>
        <v/>
      </c>
      <c r="J207" s="44">
        <f>IF(B207="","","Active")</f>
        <v/>
      </c>
    </row>
    <row r="208" ht="20" customHeight="1">
      <c r="A208" s="39">
        <f>IF(B208="","","LN"&amp;TEXT(ROW()-2,"0000"))</f>
        <v/>
      </c>
      <c r="B208" s="26" t="n"/>
      <c r="C208" s="45">
        <f>IFERROR(IF(B208="","",VLOOKUP(B208,DATABASE!$A:$B,2,0)),"")</f>
        <v/>
      </c>
      <c r="D208" s="29" t="n"/>
      <c r="E208" s="40">
        <f>IF(B208="","",TODAY())</f>
        <v/>
      </c>
      <c r="F208" s="30" t="n"/>
      <c r="G208" s="41" t="n"/>
      <c r="H208" s="42" t="n"/>
      <c r="I208" s="43">
        <f>IFERROR(IF(OR(D208="",G208="",H208=""),"",ABS(PMT(G208/100/12,H208,D208))),"")</f>
        <v/>
      </c>
      <c r="J208" s="44">
        <f>IF(B208="","","Active")</f>
        <v/>
      </c>
    </row>
    <row r="209" ht="20" customHeight="1">
      <c r="A209" s="39">
        <f>IF(B209="","","LN"&amp;TEXT(ROW()-2,"0000"))</f>
        <v/>
      </c>
      <c r="B209" s="26" t="n"/>
      <c r="C209" s="27">
        <f>IFERROR(IF(B209="","",VLOOKUP(B209,DATABASE!$A:$B,2,0)),"")</f>
        <v/>
      </c>
      <c r="D209" s="29" t="n"/>
      <c r="E209" s="40">
        <f>IF(B209="","",TODAY())</f>
        <v/>
      </c>
      <c r="F209" s="30" t="n"/>
      <c r="G209" s="41" t="n"/>
      <c r="H209" s="42" t="n"/>
      <c r="I209" s="43">
        <f>IFERROR(IF(OR(D209="",G209="",H209=""),"",ABS(PMT(G209/100/12,H209,D209))),"")</f>
        <v/>
      </c>
      <c r="J209" s="44">
        <f>IF(B209="","","Active")</f>
        <v/>
      </c>
    </row>
    <row r="210" ht="20" customHeight="1">
      <c r="A210" s="39">
        <f>IF(B210="","","LN"&amp;TEXT(ROW()-2,"0000"))</f>
        <v/>
      </c>
      <c r="B210" s="26" t="n"/>
      <c r="C210" s="45">
        <f>IFERROR(IF(B210="","",VLOOKUP(B210,DATABASE!$A:$B,2,0)),"")</f>
        <v/>
      </c>
      <c r="D210" s="29" t="n"/>
      <c r="E210" s="40">
        <f>IF(B210="","",TODAY())</f>
        <v/>
      </c>
      <c r="F210" s="30" t="n"/>
      <c r="G210" s="41" t="n"/>
      <c r="H210" s="42" t="n"/>
      <c r="I210" s="43">
        <f>IFERROR(IF(OR(D210="",G210="",H210=""),"",ABS(PMT(G210/100/12,H210,D210))),"")</f>
        <v/>
      </c>
      <c r="J210" s="44">
        <f>IF(B210="","","Active")</f>
        <v/>
      </c>
    </row>
    <row r="211" ht="20" customHeight="1">
      <c r="A211" s="39">
        <f>IF(B211="","","LN"&amp;TEXT(ROW()-2,"0000"))</f>
        <v/>
      </c>
      <c r="B211" s="26" t="n"/>
      <c r="C211" s="27">
        <f>IFERROR(IF(B211="","",VLOOKUP(B211,DATABASE!$A:$B,2,0)),"")</f>
        <v/>
      </c>
      <c r="D211" s="29" t="n"/>
      <c r="E211" s="40">
        <f>IF(B211="","",TODAY())</f>
        <v/>
      </c>
      <c r="F211" s="30" t="n"/>
      <c r="G211" s="41" t="n"/>
      <c r="H211" s="42" t="n"/>
      <c r="I211" s="43">
        <f>IFERROR(IF(OR(D211="",G211="",H211=""),"",ABS(PMT(G211/100/12,H211,D211))),"")</f>
        <v/>
      </c>
      <c r="J211" s="44">
        <f>IF(B211="","","Active")</f>
        <v/>
      </c>
    </row>
    <row r="212" ht="20" customHeight="1">
      <c r="A212" s="39">
        <f>IF(B212="","","LN"&amp;TEXT(ROW()-2,"0000"))</f>
        <v/>
      </c>
      <c r="B212" s="26" t="n"/>
      <c r="C212" s="45">
        <f>IFERROR(IF(B212="","",VLOOKUP(B212,DATABASE!$A:$B,2,0)),"")</f>
        <v/>
      </c>
      <c r="D212" s="29" t="n"/>
      <c r="E212" s="40">
        <f>IF(B212="","",TODAY())</f>
        <v/>
      </c>
      <c r="F212" s="30" t="n"/>
      <c r="G212" s="41" t="n"/>
      <c r="H212" s="42" t="n"/>
      <c r="I212" s="43">
        <f>IFERROR(IF(OR(D212="",G212="",H212=""),"",ABS(PMT(G212/100/12,H212,D212))),"")</f>
        <v/>
      </c>
      <c r="J212" s="44">
        <f>IF(B212="","","Active")</f>
        <v/>
      </c>
    </row>
    <row r="213" ht="20" customHeight="1">
      <c r="A213" s="39">
        <f>IF(B213="","","LN"&amp;TEXT(ROW()-2,"0000"))</f>
        <v/>
      </c>
      <c r="B213" s="26" t="n"/>
      <c r="C213" s="27">
        <f>IFERROR(IF(B213="","",VLOOKUP(B213,DATABASE!$A:$B,2,0)),"")</f>
        <v/>
      </c>
      <c r="D213" s="29" t="n"/>
      <c r="E213" s="40">
        <f>IF(B213="","",TODAY())</f>
        <v/>
      </c>
      <c r="F213" s="30" t="n"/>
      <c r="G213" s="41" t="n"/>
      <c r="H213" s="42" t="n"/>
      <c r="I213" s="43">
        <f>IFERROR(IF(OR(D213="",G213="",H213=""),"",ABS(PMT(G213/100/12,H213,D213))),"")</f>
        <v/>
      </c>
      <c r="J213" s="44">
        <f>IF(B213="","","Active")</f>
        <v/>
      </c>
    </row>
    <row r="214" ht="20" customHeight="1">
      <c r="A214" s="39">
        <f>IF(B214="","","LN"&amp;TEXT(ROW()-2,"0000"))</f>
        <v/>
      </c>
      <c r="B214" s="26" t="n"/>
      <c r="C214" s="45">
        <f>IFERROR(IF(B214="","",VLOOKUP(B214,DATABASE!$A:$B,2,0)),"")</f>
        <v/>
      </c>
      <c r="D214" s="29" t="n"/>
      <c r="E214" s="40">
        <f>IF(B214="","",TODAY())</f>
        <v/>
      </c>
      <c r="F214" s="30" t="n"/>
      <c r="G214" s="41" t="n"/>
      <c r="H214" s="42" t="n"/>
      <c r="I214" s="43">
        <f>IFERROR(IF(OR(D214="",G214="",H214=""),"",ABS(PMT(G214/100/12,H214,D214))),"")</f>
        <v/>
      </c>
      <c r="J214" s="44">
        <f>IF(B214="","","Active")</f>
        <v/>
      </c>
    </row>
    <row r="215" ht="20" customHeight="1">
      <c r="A215" s="39">
        <f>IF(B215="","","LN"&amp;TEXT(ROW()-2,"0000"))</f>
        <v/>
      </c>
      <c r="B215" s="26" t="n"/>
      <c r="C215" s="27">
        <f>IFERROR(IF(B215="","",VLOOKUP(B215,DATABASE!$A:$B,2,0)),"")</f>
        <v/>
      </c>
      <c r="D215" s="29" t="n"/>
      <c r="E215" s="40">
        <f>IF(B215="","",TODAY())</f>
        <v/>
      </c>
      <c r="F215" s="30" t="n"/>
      <c r="G215" s="41" t="n"/>
      <c r="H215" s="42" t="n"/>
      <c r="I215" s="43">
        <f>IFERROR(IF(OR(D215="",G215="",H215=""),"",ABS(PMT(G215/100/12,H215,D215))),"")</f>
        <v/>
      </c>
      <c r="J215" s="44">
        <f>IF(B215="","","Active")</f>
        <v/>
      </c>
    </row>
    <row r="216" ht="20" customHeight="1">
      <c r="A216" s="39">
        <f>IF(B216="","","LN"&amp;TEXT(ROW()-2,"0000"))</f>
        <v/>
      </c>
      <c r="B216" s="26" t="n"/>
      <c r="C216" s="45">
        <f>IFERROR(IF(B216="","",VLOOKUP(B216,DATABASE!$A:$B,2,0)),"")</f>
        <v/>
      </c>
      <c r="D216" s="29" t="n"/>
      <c r="E216" s="40">
        <f>IF(B216="","",TODAY())</f>
        <v/>
      </c>
      <c r="F216" s="30" t="n"/>
      <c r="G216" s="41" t="n"/>
      <c r="H216" s="42" t="n"/>
      <c r="I216" s="43">
        <f>IFERROR(IF(OR(D216="",G216="",H216=""),"",ABS(PMT(G216/100/12,H216,D216))),"")</f>
        <v/>
      </c>
      <c r="J216" s="44">
        <f>IF(B216="","","Active")</f>
        <v/>
      </c>
    </row>
    <row r="217" ht="20" customHeight="1">
      <c r="A217" s="39">
        <f>IF(B217="","","LN"&amp;TEXT(ROW()-2,"0000"))</f>
        <v/>
      </c>
      <c r="B217" s="26" t="n"/>
      <c r="C217" s="27">
        <f>IFERROR(IF(B217="","",VLOOKUP(B217,DATABASE!$A:$B,2,0)),"")</f>
        <v/>
      </c>
      <c r="D217" s="29" t="n"/>
      <c r="E217" s="40">
        <f>IF(B217="","",TODAY())</f>
        <v/>
      </c>
      <c r="F217" s="30" t="n"/>
      <c r="G217" s="41" t="n"/>
      <c r="H217" s="42" t="n"/>
      <c r="I217" s="43">
        <f>IFERROR(IF(OR(D217="",G217="",H217=""),"",ABS(PMT(G217/100/12,H217,D217))),"")</f>
        <v/>
      </c>
      <c r="J217" s="44">
        <f>IF(B217="","","Active")</f>
        <v/>
      </c>
    </row>
    <row r="218" ht="20" customHeight="1">
      <c r="A218" s="39">
        <f>IF(B218="","","LN"&amp;TEXT(ROW()-2,"0000"))</f>
        <v/>
      </c>
      <c r="B218" s="26" t="n"/>
      <c r="C218" s="45">
        <f>IFERROR(IF(B218="","",VLOOKUP(B218,DATABASE!$A:$B,2,0)),"")</f>
        <v/>
      </c>
      <c r="D218" s="29" t="n"/>
      <c r="E218" s="40">
        <f>IF(B218="","",TODAY())</f>
        <v/>
      </c>
      <c r="F218" s="30" t="n"/>
      <c r="G218" s="41" t="n"/>
      <c r="H218" s="42" t="n"/>
      <c r="I218" s="43">
        <f>IFERROR(IF(OR(D218="",G218="",H218=""),"",ABS(PMT(G218/100/12,H218,D218))),"")</f>
        <v/>
      </c>
      <c r="J218" s="44">
        <f>IF(B218="","","Active")</f>
        <v/>
      </c>
    </row>
    <row r="219" ht="20" customHeight="1">
      <c r="A219" s="39">
        <f>IF(B219="","","LN"&amp;TEXT(ROW()-2,"0000"))</f>
        <v/>
      </c>
      <c r="B219" s="26" t="n"/>
      <c r="C219" s="27">
        <f>IFERROR(IF(B219="","",VLOOKUP(B219,DATABASE!$A:$B,2,0)),"")</f>
        <v/>
      </c>
      <c r="D219" s="29" t="n"/>
      <c r="E219" s="40">
        <f>IF(B219="","",TODAY())</f>
        <v/>
      </c>
      <c r="F219" s="30" t="n"/>
      <c r="G219" s="41" t="n"/>
      <c r="H219" s="42" t="n"/>
      <c r="I219" s="43">
        <f>IFERROR(IF(OR(D219="",G219="",H219=""),"",ABS(PMT(G219/100/12,H219,D219))),"")</f>
        <v/>
      </c>
      <c r="J219" s="44">
        <f>IF(B219="","","Active")</f>
        <v/>
      </c>
    </row>
    <row r="220" ht="20" customHeight="1">
      <c r="A220" s="39">
        <f>IF(B220="","","LN"&amp;TEXT(ROW()-2,"0000"))</f>
        <v/>
      </c>
      <c r="B220" s="26" t="n"/>
      <c r="C220" s="45">
        <f>IFERROR(IF(B220="","",VLOOKUP(B220,DATABASE!$A:$B,2,0)),"")</f>
        <v/>
      </c>
      <c r="D220" s="29" t="n"/>
      <c r="E220" s="40">
        <f>IF(B220="","",TODAY())</f>
        <v/>
      </c>
      <c r="F220" s="30" t="n"/>
      <c r="G220" s="41" t="n"/>
      <c r="H220" s="42" t="n"/>
      <c r="I220" s="43">
        <f>IFERROR(IF(OR(D220="",G220="",H220=""),"",ABS(PMT(G220/100/12,H220,D220))),"")</f>
        <v/>
      </c>
      <c r="J220" s="44">
        <f>IF(B220="","","Active")</f>
        <v/>
      </c>
    </row>
    <row r="221" ht="20" customHeight="1">
      <c r="A221" s="39">
        <f>IF(B221="","","LN"&amp;TEXT(ROW()-2,"0000"))</f>
        <v/>
      </c>
      <c r="B221" s="26" t="n"/>
      <c r="C221" s="27">
        <f>IFERROR(IF(B221="","",VLOOKUP(B221,DATABASE!$A:$B,2,0)),"")</f>
        <v/>
      </c>
      <c r="D221" s="29" t="n"/>
      <c r="E221" s="40">
        <f>IF(B221="","",TODAY())</f>
        <v/>
      </c>
      <c r="F221" s="30" t="n"/>
      <c r="G221" s="41" t="n"/>
      <c r="H221" s="42" t="n"/>
      <c r="I221" s="43">
        <f>IFERROR(IF(OR(D221="",G221="",H221=""),"",ABS(PMT(G221/100/12,H221,D221))),"")</f>
        <v/>
      </c>
      <c r="J221" s="44">
        <f>IF(B221="","","Active")</f>
        <v/>
      </c>
    </row>
    <row r="222" ht="20" customHeight="1">
      <c r="A222" s="39">
        <f>IF(B222="","","LN"&amp;TEXT(ROW()-2,"0000"))</f>
        <v/>
      </c>
      <c r="B222" s="26" t="n"/>
      <c r="C222" s="45">
        <f>IFERROR(IF(B222="","",VLOOKUP(B222,DATABASE!$A:$B,2,0)),"")</f>
        <v/>
      </c>
      <c r="D222" s="29" t="n"/>
      <c r="E222" s="40">
        <f>IF(B222="","",TODAY())</f>
        <v/>
      </c>
      <c r="F222" s="30" t="n"/>
      <c r="G222" s="41" t="n"/>
      <c r="H222" s="42" t="n"/>
      <c r="I222" s="43">
        <f>IFERROR(IF(OR(D222="",G222="",H222=""),"",ABS(PMT(G222/100/12,H222,D222))),"")</f>
        <v/>
      </c>
      <c r="J222" s="44">
        <f>IF(B222="","","Active")</f>
        <v/>
      </c>
    </row>
    <row r="223" ht="20" customHeight="1">
      <c r="A223" s="39">
        <f>IF(B223="","","LN"&amp;TEXT(ROW()-2,"0000"))</f>
        <v/>
      </c>
      <c r="B223" s="26" t="n"/>
      <c r="C223" s="27">
        <f>IFERROR(IF(B223="","",VLOOKUP(B223,DATABASE!$A:$B,2,0)),"")</f>
        <v/>
      </c>
      <c r="D223" s="29" t="n"/>
      <c r="E223" s="40">
        <f>IF(B223="","",TODAY())</f>
        <v/>
      </c>
      <c r="F223" s="30" t="n"/>
      <c r="G223" s="41" t="n"/>
      <c r="H223" s="42" t="n"/>
      <c r="I223" s="43">
        <f>IFERROR(IF(OR(D223="",G223="",H223=""),"",ABS(PMT(G223/100/12,H223,D223))),"")</f>
        <v/>
      </c>
      <c r="J223" s="44">
        <f>IF(B223="","","Active")</f>
        <v/>
      </c>
    </row>
    <row r="224" ht="20" customHeight="1">
      <c r="A224" s="39">
        <f>IF(B224="","","LN"&amp;TEXT(ROW()-2,"0000"))</f>
        <v/>
      </c>
      <c r="B224" s="26" t="n"/>
      <c r="C224" s="45">
        <f>IFERROR(IF(B224="","",VLOOKUP(B224,DATABASE!$A:$B,2,0)),"")</f>
        <v/>
      </c>
      <c r="D224" s="29" t="n"/>
      <c r="E224" s="40">
        <f>IF(B224="","",TODAY())</f>
        <v/>
      </c>
      <c r="F224" s="30" t="n"/>
      <c r="G224" s="41" t="n"/>
      <c r="H224" s="42" t="n"/>
      <c r="I224" s="43">
        <f>IFERROR(IF(OR(D224="",G224="",H224=""),"",ABS(PMT(G224/100/12,H224,D224))),"")</f>
        <v/>
      </c>
      <c r="J224" s="44">
        <f>IF(B224="","","Active")</f>
        <v/>
      </c>
    </row>
    <row r="225" ht="20" customHeight="1">
      <c r="A225" s="39">
        <f>IF(B225="","","LN"&amp;TEXT(ROW()-2,"0000"))</f>
        <v/>
      </c>
      <c r="B225" s="26" t="n"/>
      <c r="C225" s="27">
        <f>IFERROR(IF(B225="","",VLOOKUP(B225,DATABASE!$A:$B,2,0)),"")</f>
        <v/>
      </c>
      <c r="D225" s="29" t="n"/>
      <c r="E225" s="40">
        <f>IF(B225="","",TODAY())</f>
        <v/>
      </c>
      <c r="F225" s="30" t="n"/>
      <c r="G225" s="41" t="n"/>
      <c r="H225" s="42" t="n"/>
      <c r="I225" s="43">
        <f>IFERROR(IF(OR(D225="",G225="",H225=""),"",ABS(PMT(G225/100/12,H225,D225))),"")</f>
        <v/>
      </c>
      <c r="J225" s="44">
        <f>IF(B225="","","Active")</f>
        <v/>
      </c>
    </row>
    <row r="226" ht="20" customHeight="1">
      <c r="A226" s="39">
        <f>IF(B226="","","LN"&amp;TEXT(ROW()-2,"0000"))</f>
        <v/>
      </c>
      <c r="B226" s="26" t="n"/>
      <c r="C226" s="45">
        <f>IFERROR(IF(B226="","",VLOOKUP(B226,DATABASE!$A:$B,2,0)),"")</f>
        <v/>
      </c>
      <c r="D226" s="29" t="n"/>
      <c r="E226" s="40">
        <f>IF(B226="","",TODAY())</f>
        <v/>
      </c>
      <c r="F226" s="30" t="n"/>
      <c r="G226" s="41" t="n"/>
      <c r="H226" s="42" t="n"/>
      <c r="I226" s="43">
        <f>IFERROR(IF(OR(D226="",G226="",H226=""),"",ABS(PMT(G226/100/12,H226,D226))),"")</f>
        <v/>
      </c>
      <c r="J226" s="44">
        <f>IF(B226="","","Active")</f>
        <v/>
      </c>
    </row>
    <row r="227" ht="20" customHeight="1">
      <c r="A227" s="39">
        <f>IF(B227="","","LN"&amp;TEXT(ROW()-2,"0000"))</f>
        <v/>
      </c>
      <c r="B227" s="26" t="n"/>
      <c r="C227" s="27">
        <f>IFERROR(IF(B227="","",VLOOKUP(B227,DATABASE!$A:$B,2,0)),"")</f>
        <v/>
      </c>
      <c r="D227" s="29" t="n"/>
      <c r="E227" s="40">
        <f>IF(B227="","",TODAY())</f>
        <v/>
      </c>
      <c r="F227" s="30" t="n"/>
      <c r="G227" s="41" t="n"/>
      <c r="H227" s="42" t="n"/>
      <c r="I227" s="43">
        <f>IFERROR(IF(OR(D227="",G227="",H227=""),"",ABS(PMT(G227/100/12,H227,D227))),"")</f>
        <v/>
      </c>
      <c r="J227" s="44">
        <f>IF(B227="","","Active")</f>
        <v/>
      </c>
    </row>
    <row r="228" ht="20" customHeight="1">
      <c r="A228" s="39">
        <f>IF(B228="","","LN"&amp;TEXT(ROW()-2,"0000"))</f>
        <v/>
      </c>
      <c r="B228" s="26" t="n"/>
      <c r="C228" s="45">
        <f>IFERROR(IF(B228="","",VLOOKUP(B228,DATABASE!$A:$B,2,0)),"")</f>
        <v/>
      </c>
      <c r="D228" s="29" t="n"/>
      <c r="E228" s="40">
        <f>IF(B228="","",TODAY())</f>
        <v/>
      </c>
      <c r="F228" s="30" t="n"/>
      <c r="G228" s="41" t="n"/>
      <c r="H228" s="42" t="n"/>
      <c r="I228" s="43">
        <f>IFERROR(IF(OR(D228="",G228="",H228=""),"",ABS(PMT(G228/100/12,H228,D228))),"")</f>
        <v/>
      </c>
      <c r="J228" s="44">
        <f>IF(B228="","","Active")</f>
        <v/>
      </c>
    </row>
    <row r="229" ht="20" customHeight="1">
      <c r="A229" s="39">
        <f>IF(B229="","","LN"&amp;TEXT(ROW()-2,"0000"))</f>
        <v/>
      </c>
      <c r="B229" s="26" t="n"/>
      <c r="C229" s="27">
        <f>IFERROR(IF(B229="","",VLOOKUP(B229,DATABASE!$A:$B,2,0)),"")</f>
        <v/>
      </c>
      <c r="D229" s="29" t="n"/>
      <c r="E229" s="40">
        <f>IF(B229="","",TODAY())</f>
        <v/>
      </c>
      <c r="F229" s="30" t="n"/>
      <c r="G229" s="41" t="n"/>
      <c r="H229" s="42" t="n"/>
      <c r="I229" s="43">
        <f>IFERROR(IF(OR(D229="",G229="",H229=""),"",ABS(PMT(G229/100/12,H229,D229))),"")</f>
        <v/>
      </c>
      <c r="J229" s="44">
        <f>IF(B229="","","Active")</f>
        <v/>
      </c>
    </row>
    <row r="230" ht="20" customHeight="1">
      <c r="A230" s="39">
        <f>IF(B230="","","LN"&amp;TEXT(ROW()-2,"0000"))</f>
        <v/>
      </c>
      <c r="B230" s="26" t="n"/>
      <c r="C230" s="45">
        <f>IFERROR(IF(B230="","",VLOOKUP(B230,DATABASE!$A:$B,2,0)),"")</f>
        <v/>
      </c>
      <c r="D230" s="29" t="n"/>
      <c r="E230" s="40">
        <f>IF(B230="","",TODAY())</f>
        <v/>
      </c>
      <c r="F230" s="30" t="n"/>
      <c r="G230" s="41" t="n"/>
      <c r="H230" s="42" t="n"/>
      <c r="I230" s="43">
        <f>IFERROR(IF(OR(D230="",G230="",H230=""),"",ABS(PMT(G230/100/12,H230,D230))),"")</f>
        <v/>
      </c>
      <c r="J230" s="44">
        <f>IF(B230="","","Active")</f>
        <v/>
      </c>
    </row>
    <row r="231" ht="20" customHeight="1">
      <c r="A231" s="39">
        <f>IF(B231="","","LN"&amp;TEXT(ROW()-2,"0000"))</f>
        <v/>
      </c>
      <c r="B231" s="26" t="n"/>
      <c r="C231" s="27">
        <f>IFERROR(IF(B231="","",VLOOKUP(B231,DATABASE!$A:$B,2,0)),"")</f>
        <v/>
      </c>
      <c r="D231" s="29" t="n"/>
      <c r="E231" s="40">
        <f>IF(B231="","",TODAY())</f>
        <v/>
      </c>
      <c r="F231" s="30" t="n"/>
      <c r="G231" s="41" t="n"/>
      <c r="H231" s="42" t="n"/>
      <c r="I231" s="43">
        <f>IFERROR(IF(OR(D231="",G231="",H231=""),"",ABS(PMT(G231/100/12,H231,D231))),"")</f>
        <v/>
      </c>
      <c r="J231" s="44">
        <f>IF(B231="","","Active")</f>
        <v/>
      </c>
    </row>
    <row r="232" ht="20" customHeight="1">
      <c r="A232" s="39">
        <f>IF(B232="","","LN"&amp;TEXT(ROW()-2,"0000"))</f>
        <v/>
      </c>
      <c r="B232" s="26" t="n"/>
      <c r="C232" s="45">
        <f>IFERROR(IF(B232="","",VLOOKUP(B232,DATABASE!$A:$B,2,0)),"")</f>
        <v/>
      </c>
      <c r="D232" s="29" t="n"/>
      <c r="E232" s="40">
        <f>IF(B232="","",TODAY())</f>
        <v/>
      </c>
      <c r="F232" s="30" t="n"/>
      <c r="G232" s="41" t="n"/>
      <c r="H232" s="42" t="n"/>
      <c r="I232" s="43">
        <f>IFERROR(IF(OR(D232="",G232="",H232=""),"",ABS(PMT(G232/100/12,H232,D232))),"")</f>
        <v/>
      </c>
      <c r="J232" s="44">
        <f>IF(B232="","","Active")</f>
        <v/>
      </c>
    </row>
    <row r="233" ht="20" customHeight="1">
      <c r="A233" s="39">
        <f>IF(B233="","","LN"&amp;TEXT(ROW()-2,"0000"))</f>
        <v/>
      </c>
      <c r="B233" s="26" t="n"/>
      <c r="C233" s="27">
        <f>IFERROR(IF(B233="","",VLOOKUP(B233,DATABASE!$A:$B,2,0)),"")</f>
        <v/>
      </c>
      <c r="D233" s="29" t="n"/>
      <c r="E233" s="40">
        <f>IF(B233="","",TODAY())</f>
        <v/>
      </c>
      <c r="F233" s="30" t="n"/>
      <c r="G233" s="41" t="n"/>
      <c r="H233" s="42" t="n"/>
      <c r="I233" s="43">
        <f>IFERROR(IF(OR(D233="",G233="",H233=""),"",ABS(PMT(G233/100/12,H233,D233))),"")</f>
        <v/>
      </c>
      <c r="J233" s="44">
        <f>IF(B233="","","Active")</f>
        <v/>
      </c>
    </row>
    <row r="234" ht="20" customHeight="1">
      <c r="A234" s="39">
        <f>IF(B234="","","LN"&amp;TEXT(ROW()-2,"0000"))</f>
        <v/>
      </c>
      <c r="B234" s="26" t="n"/>
      <c r="C234" s="45">
        <f>IFERROR(IF(B234="","",VLOOKUP(B234,DATABASE!$A:$B,2,0)),"")</f>
        <v/>
      </c>
      <c r="D234" s="29" t="n"/>
      <c r="E234" s="40">
        <f>IF(B234="","",TODAY())</f>
        <v/>
      </c>
      <c r="F234" s="30" t="n"/>
      <c r="G234" s="41" t="n"/>
      <c r="H234" s="42" t="n"/>
      <c r="I234" s="43">
        <f>IFERROR(IF(OR(D234="",G234="",H234=""),"",ABS(PMT(G234/100/12,H234,D234))),"")</f>
        <v/>
      </c>
      <c r="J234" s="44">
        <f>IF(B234="","","Active")</f>
        <v/>
      </c>
    </row>
    <row r="235" ht="20" customHeight="1">
      <c r="A235" s="39">
        <f>IF(B235="","","LN"&amp;TEXT(ROW()-2,"0000"))</f>
        <v/>
      </c>
      <c r="B235" s="26" t="n"/>
      <c r="C235" s="27">
        <f>IFERROR(IF(B235="","",VLOOKUP(B235,DATABASE!$A:$B,2,0)),"")</f>
        <v/>
      </c>
      <c r="D235" s="29" t="n"/>
      <c r="E235" s="40">
        <f>IF(B235="","",TODAY())</f>
        <v/>
      </c>
      <c r="F235" s="30" t="n"/>
      <c r="G235" s="41" t="n"/>
      <c r="H235" s="42" t="n"/>
      <c r="I235" s="43">
        <f>IFERROR(IF(OR(D235="",G235="",H235=""),"",ABS(PMT(G235/100/12,H235,D235))),"")</f>
        <v/>
      </c>
      <c r="J235" s="44">
        <f>IF(B235="","","Active")</f>
        <v/>
      </c>
    </row>
    <row r="236" ht="20" customHeight="1">
      <c r="A236" s="39">
        <f>IF(B236="","","LN"&amp;TEXT(ROW()-2,"0000"))</f>
        <v/>
      </c>
      <c r="B236" s="26" t="n"/>
      <c r="C236" s="45">
        <f>IFERROR(IF(B236="","",VLOOKUP(B236,DATABASE!$A:$B,2,0)),"")</f>
        <v/>
      </c>
      <c r="D236" s="29" t="n"/>
      <c r="E236" s="40">
        <f>IF(B236="","",TODAY())</f>
        <v/>
      </c>
      <c r="F236" s="30" t="n"/>
      <c r="G236" s="41" t="n"/>
      <c r="H236" s="42" t="n"/>
      <c r="I236" s="43">
        <f>IFERROR(IF(OR(D236="",G236="",H236=""),"",ABS(PMT(G236/100/12,H236,D236))),"")</f>
        <v/>
      </c>
      <c r="J236" s="44">
        <f>IF(B236="","","Active")</f>
        <v/>
      </c>
    </row>
    <row r="237" ht="20" customHeight="1">
      <c r="A237" s="39">
        <f>IF(B237="","","LN"&amp;TEXT(ROW()-2,"0000"))</f>
        <v/>
      </c>
      <c r="B237" s="26" t="n"/>
      <c r="C237" s="27">
        <f>IFERROR(IF(B237="","",VLOOKUP(B237,DATABASE!$A:$B,2,0)),"")</f>
        <v/>
      </c>
      <c r="D237" s="29" t="n"/>
      <c r="E237" s="40">
        <f>IF(B237="","",TODAY())</f>
        <v/>
      </c>
      <c r="F237" s="30" t="n"/>
      <c r="G237" s="41" t="n"/>
      <c r="H237" s="42" t="n"/>
      <c r="I237" s="43">
        <f>IFERROR(IF(OR(D237="",G237="",H237=""),"",ABS(PMT(G237/100/12,H237,D237))),"")</f>
        <v/>
      </c>
      <c r="J237" s="44">
        <f>IF(B237="","","Active")</f>
        <v/>
      </c>
    </row>
    <row r="238" ht="20" customHeight="1">
      <c r="A238" s="39">
        <f>IF(B238="","","LN"&amp;TEXT(ROW()-2,"0000"))</f>
        <v/>
      </c>
      <c r="B238" s="26" t="n"/>
      <c r="C238" s="45">
        <f>IFERROR(IF(B238="","",VLOOKUP(B238,DATABASE!$A:$B,2,0)),"")</f>
        <v/>
      </c>
      <c r="D238" s="29" t="n"/>
      <c r="E238" s="40">
        <f>IF(B238="","",TODAY())</f>
        <v/>
      </c>
      <c r="F238" s="30" t="n"/>
      <c r="G238" s="41" t="n"/>
      <c r="H238" s="42" t="n"/>
      <c r="I238" s="43">
        <f>IFERROR(IF(OR(D238="",G238="",H238=""),"",ABS(PMT(G238/100/12,H238,D238))),"")</f>
        <v/>
      </c>
      <c r="J238" s="44">
        <f>IF(B238="","","Active")</f>
        <v/>
      </c>
    </row>
    <row r="239" ht="20" customHeight="1">
      <c r="A239" s="39">
        <f>IF(B239="","","LN"&amp;TEXT(ROW()-2,"0000"))</f>
        <v/>
      </c>
      <c r="B239" s="26" t="n"/>
      <c r="C239" s="27">
        <f>IFERROR(IF(B239="","",VLOOKUP(B239,DATABASE!$A:$B,2,0)),"")</f>
        <v/>
      </c>
      <c r="D239" s="29" t="n"/>
      <c r="E239" s="40">
        <f>IF(B239="","",TODAY())</f>
        <v/>
      </c>
      <c r="F239" s="30" t="n"/>
      <c r="G239" s="41" t="n"/>
      <c r="H239" s="42" t="n"/>
      <c r="I239" s="43">
        <f>IFERROR(IF(OR(D239="",G239="",H239=""),"",ABS(PMT(G239/100/12,H239,D239))),"")</f>
        <v/>
      </c>
      <c r="J239" s="44">
        <f>IF(B239="","","Active")</f>
        <v/>
      </c>
    </row>
    <row r="240" ht="20" customHeight="1">
      <c r="A240" s="39">
        <f>IF(B240="","","LN"&amp;TEXT(ROW()-2,"0000"))</f>
        <v/>
      </c>
      <c r="B240" s="26" t="n"/>
      <c r="C240" s="45">
        <f>IFERROR(IF(B240="","",VLOOKUP(B240,DATABASE!$A:$B,2,0)),"")</f>
        <v/>
      </c>
      <c r="D240" s="29" t="n"/>
      <c r="E240" s="40">
        <f>IF(B240="","",TODAY())</f>
        <v/>
      </c>
      <c r="F240" s="30" t="n"/>
      <c r="G240" s="41" t="n"/>
      <c r="H240" s="42" t="n"/>
      <c r="I240" s="43">
        <f>IFERROR(IF(OR(D240="",G240="",H240=""),"",ABS(PMT(G240/100/12,H240,D240))),"")</f>
        <v/>
      </c>
      <c r="J240" s="44">
        <f>IF(B240="","","Active")</f>
        <v/>
      </c>
    </row>
    <row r="241" ht="20" customHeight="1">
      <c r="A241" s="39">
        <f>IF(B241="","","LN"&amp;TEXT(ROW()-2,"0000"))</f>
        <v/>
      </c>
      <c r="B241" s="26" t="n"/>
      <c r="C241" s="27">
        <f>IFERROR(IF(B241="","",VLOOKUP(B241,DATABASE!$A:$B,2,0)),"")</f>
        <v/>
      </c>
      <c r="D241" s="29" t="n"/>
      <c r="E241" s="40">
        <f>IF(B241="","",TODAY())</f>
        <v/>
      </c>
      <c r="F241" s="30" t="n"/>
      <c r="G241" s="41" t="n"/>
      <c r="H241" s="42" t="n"/>
      <c r="I241" s="43">
        <f>IFERROR(IF(OR(D241="",G241="",H241=""),"",ABS(PMT(G241/100/12,H241,D241))),"")</f>
        <v/>
      </c>
      <c r="J241" s="44">
        <f>IF(B241="","","Active")</f>
        <v/>
      </c>
    </row>
    <row r="242" ht="20" customHeight="1">
      <c r="A242" s="39">
        <f>IF(B242="","","LN"&amp;TEXT(ROW()-2,"0000"))</f>
        <v/>
      </c>
      <c r="B242" s="26" t="n"/>
      <c r="C242" s="45">
        <f>IFERROR(IF(B242="","",VLOOKUP(B242,DATABASE!$A:$B,2,0)),"")</f>
        <v/>
      </c>
      <c r="D242" s="29" t="n"/>
      <c r="E242" s="40">
        <f>IF(B242="","",TODAY())</f>
        <v/>
      </c>
      <c r="F242" s="30" t="n"/>
      <c r="G242" s="41" t="n"/>
      <c r="H242" s="42" t="n"/>
      <c r="I242" s="43">
        <f>IFERROR(IF(OR(D242="",G242="",H242=""),"",ABS(PMT(G242/100/12,H242,D242))),"")</f>
        <v/>
      </c>
      <c r="J242" s="44">
        <f>IF(B242="","","Active")</f>
        <v/>
      </c>
    </row>
    <row r="243" ht="20" customHeight="1">
      <c r="A243" s="39">
        <f>IF(B243="","","LN"&amp;TEXT(ROW()-2,"0000"))</f>
        <v/>
      </c>
      <c r="B243" s="26" t="n"/>
      <c r="C243" s="27">
        <f>IFERROR(IF(B243="","",VLOOKUP(B243,DATABASE!$A:$B,2,0)),"")</f>
        <v/>
      </c>
      <c r="D243" s="29" t="n"/>
      <c r="E243" s="40">
        <f>IF(B243="","",TODAY())</f>
        <v/>
      </c>
      <c r="F243" s="30" t="n"/>
      <c r="G243" s="41" t="n"/>
      <c r="H243" s="42" t="n"/>
      <c r="I243" s="43">
        <f>IFERROR(IF(OR(D243="",G243="",H243=""),"",ABS(PMT(G243/100/12,H243,D243))),"")</f>
        <v/>
      </c>
      <c r="J243" s="44">
        <f>IF(B243="","","Active")</f>
        <v/>
      </c>
    </row>
    <row r="244" ht="20" customHeight="1">
      <c r="A244" s="39">
        <f>IF(B244="","","LN"&amp;TEXT(ROW()-2,"0000"))</f>
        <v/>
      </c>
      <c r="B244" s="26" t="n"/>
      <c r="C244" s="45">
        <f>IFERROR(IF(B244="","",VLOOKUP(B244,DATABASE!$A:$B,2,0)),"")</f>
        <v/>
      </c>
      <c r="D244" s="29" t="n"/>
      <c r="E244" s="40">
        <f>IF(B244="","",TODAY())</f>
        <v/>
      </c>
      <c r="F244" s="30" t="n"/>
      <c r="G244" s="41" t="n"/>
      <c r="H244" s="42" t="n"/>
      <c r="I244" s="43">
        <f>IFERROR(IF(OR(D244="",G244="",H244=""),"",ABS(PMT(G244/100/12,H244,D244))),"")</f>
        <v/>
      </c>
      <c r="J244" s="44">
        <f>IF(B244="","","Active")</f>
        <v/>
      </c>
    </row>
    <row r="245" ht="20" customHeight="1">
      <c r="A245" s="39">
        <f>IF(B245="","","LN"&amp;TEXT(ROW()-2,"0000"))</f>
        <v/>
      </c>
      <c r="B245" s="26" t="n"/>
      <c r="C245" s="27">
        <f>IFERROR(IF(B245="","",VLOOKUP(B245,DATABASE!$A:$B,2,0)),"")</f>
        <v/>
      </c>
      <c r="D245" s="29" t="n"/>
      <c r="E245" s="40">
        <f>IF(B245="","",TODAY())</f>
        <v/>
      </c>
      <c r="F245" s="30" t="n"/>
      <c r="G245" s="41" t="n"/>
      <c r="H245" s="42" t="n"/>
      <c r="I245" s="43">
        <f>IFERROR(IF(OR(D245="",G245="",H245=""),"",ABS(PMT(G245/100/12,H245,D245))),"")</f>
        <v/>
      </c>
      <c r="J245" s="44">
        <f>IF(B245="","","Active")</f>
        <v/>
      </c>
    </row>
    <row r="246" ht="20" customHeight="1">
      <c r="A246" s="39">
        <f>IF(B246="","","LN"&amp;TEXT(ROW()-2,"0000"))</f>
        <v/>
      </c>
      <c r="B246" s="26" t="n"/>
      <c r="C246" s="45">
        <f>IFERROR(IF(B246="","",VLOOKUP(B246,DATABASE!$A:$B,2,0)),"")</f>
        <v/>
      </c>
      <c r="D246" s="29" t="n"/>
      <c r="E246" s="40">
        <f>IF(B246="","",TODAY())</f>
        <v/>
      </c>
      <c r="F246" s="30" t="n"/>
      <c r="G246" s="41" t="n"/>
      <c r="H246" s="42" t="n"/>
      <c r="I246" s="43">
        <f>IFERROR(IF(OR(D246="",G246="",H246=""),"",ABS(PMT(G246/100/12,H246,D246))),"")</f>
        <v/>
      </c>
      <c r="J246" s="44">
        <f>IF(B246="","","Active")</f>
        <v/>
      </c>
    </row>
    <row r="247" ht="20" customHeight="1">
      <c r="A247" s="39">
        <f>IF(B247="","","LN"&amp;TEXT(ROW()-2,"0000"))</f>
        <v/>
      </c>
      <c r="B247" s="26" t="n"/>
      <c r="C247" s="27">
        <f>IFERROR(IF(B247="","",VLOOKUP(B247,DATABASE!$A:$B,2,0)),"")</f>
        <v/>
      </c>
      <c r="D247" s="29" t="n"/>
      <c r="E247" s="40">
        <f>IF(B247="","",TODAY())</f>
        <v/>
      </c>
      <c r="F247" s="30" t="n"/>
      <c r="G247" s="41" t="n"/>
      <c r="H247" s="42" t="n"/>
      <c r="I247" s="43">
        <f>IFERROR(IF(OR(D247="",G247="",H247=""),"",ABS(PMT(G247/100/12,H247,D247))),"")</f>
        <v/>
      </c>
      <c r="J247" s="44">
        <f>IF(B247="","","Active")</f>
        <v/>
      </c>
    </row>
    <row r="248" ht="20" customHeight="1">
      <c r="A248" s="39">
        <f>IF(B248="","","LN"&amp;TEXT(ROW()-2,"0000"))</f>
        <v/>
      </c>
      <c r="B248" s="26" t="n"/>
      <c r="C248" s="45">
        <f>IFERROR(IF(B248="","",VLOOKUP(B248,DATABASE!$A:$B,2,0)),"")</f>
        <v/>
      </c>
      <c r="D248" s="29" t="n"/>
      <c r="E248" s="40">
        <f>IF(B248="","",TODAY())</f>
        <v/>
      </c>
      <c r="F248" s="30" t="n"/>
      <c r="G248" s="41" t="n"/>
      <c r="H248" s="42" t="n"/>
      <c r="I248" s="43">
        <f>IFERROR(IF(OR(D248="",G248="",H248=""),"",ABS(PMT(G248/100/12,H248,D248))),"")</f>
        <v/>
      </c>
      <c r="J248" s="44">
        <f>IF(B248="","","Active")</f>
        <v/>
      </c>
    </row>
    <row r="249" ht="20" customHeight="1">
      <c r="A249" s="39">
        <f>IF(B249="","","LN"&amp;TEXT(ROW()-2,"0000"))</f>
        <v/>
      </c>
      <c r="B249" s="26" t="n"/>
      <c r="C249" s="27">
        <f>IFERROR(IF(B249="","",VLOOKUP(B249,DATABASE!$A:$B,2,0)),"")</f>
        <v/>
      </c>
      <c r="D249" s="29" t="n"/>
      <c r="E249" s="40">
        <f>IF(B249="","",TODAY())</f>
        <v/>
      </c>
      <c r="F249" s="30" t="n"/>
      <c r="G249" s="41" t="n"/>
      <c r="H249" s="42" t="n"/>
      <c r="I249" s="43">
        <f>IFERROR(IF(OR(D249="",G249="",H249=""),"",ABS(PMT(G249/100/12,H249,D249))),"")</f>
        <v/>
      </c>
      <c r="J249" s="44">
        <f>IF(B249="","","Active")</f>
        <v/>
      </c>
    </row>
    <row r="250" ht="20" customHeight="1">
      <c r="A250" s="39">
        <f>IF(B250="","","LN"&amp;TEXT(ROW()-2,"0000"))</f>
        <v/>
      </c>
      <c r="B250" s="26" t="n"/>
      <c r="C250" s="45">
        <f>IFERROR(IF(B250="","",VLOOKUP(B250,DATABASE!$A:$B,2,0)),"")</f>
        <v/>
      </c>
      <c r="D250" s="29" t="n"/>
      <c r="E250" s="40">
        <f>IF(B250="","",TODAY())</f>
        <v/>
      </c>
      <c r="F250" s="30" t="n"/>
      <c r="G250" s="41" t="n"/>
      <c r="H250" s="42" t="n"/>
      <c r="I250" s="43">
        <f>IFERROR(IF(OR(D250="",G250="",H250=""),"",ABS(PMT(G250/100/12,H250,D250))),"")</f>
        <v/>
      </c>
      <c r="J250" s="44">
        <f>IF(B250="","","Active")</f>
        <v/>
      </c>
    </row>
    <row r="251" ht="20" customHeight="1">
      <c r="A251" s="39">
        <f>IF(B251="","","LN"&amp;TEXT(ROW()-2,"0000"))</f>
        <v/>
      </c>
      <c r="B251" s="26" t="n"/>
      <c r="C251" s="27">
        <f>IFERROR(IF(B251="","",VLOOKUP(B251,DATABASE!$A:$B,2,0)),"")</f>
        <v/>
      </c>
      <c r="D251" s="29" t="n"/>
      <c r="E251" s="40">
        <f>IF(B251="","",TODAY())</f>
        <v/>
      </c>
      <c r="F251" s="30" t="n"/>
      <c r="G251" s="41" t="n"/>
      <c r="H251" s="42" t="n"/>
      <c r="I251" s="43">
        <f>IFERROR(IF(OR(D251="",G251="",H251=""),"",ABS(PMT(G251/100/12,H251,D251))),"")</f>
        <v/>
      </c>
      <c r="J251" s="44">
        <f>IF(B251="","","Active")</f>
        <v/>
      </c>
    </row>
    <row r="252" ht="20" customHeight="1">
      <c r="A252" s="39">
        <f>IF(B252="","","LN"&amp;TEXT(ROW()-2,"0000"))</f>
        <v/>
      </c>
      <c r="B252" s="26" t="n"/>
      <c r="C252" s="45">
        <f>IFERROR(IF(B252="","",VLOOKUP(B252,DATABASE!$A:$B,2,0)),"")</f>
        <v/>
      </c>
      <c r="D252" s="29" t="n"/>
      <c r="E252" s="40">
        <f>IF(B252="","",TODAY())</f>
        <v/>
      </c>
      <c r="F252" s="30" t="n"/>
      <c r="G252" s="41" t="n"/>
      <c r="H252" s="42" t="n"/>
      <c r="I252" s="43">
        <f>IFERROR(IF(OR(D252="",G252="",H252=""),"",ABS(PMT(G252/100/12,H252,D252))),"")</f>
        <v/>
      </c>
      <c r="J252" s="44">
        <f>IF(B252="","","Active")</f>
        <v/>
      </c>
    </row>
    <row r="253" ht="20" customHeight="1">
      <c r="A253" s="39">
        <f>IF(B253="","","LN"&amp;TEXT(ROW()-2,"0000"))</f>
        <v/>
      </c>
      <c r="B253" s="26" t="n"/>
      <c r="C253" s="27">
        <f>IFERROR(IF(B253="","",VLOOKUP(B253,DATABASE!$A:$B,2,0)),"")</f>
        <v/>
      </c>
      <c r="D253" s="29" t="n"/>
      <c r="E253" s="40">
        <f>IF(B253="","",TODAY())</f>
        <v/>
      </c>
      <c r="F253" s="30" t="n"/>
      <c r="G253" s="41" t="n"/>
      <c r="H253" s="42" t="n"/>
      <c r="I253" s="43">
        <f>IFERROR(IF(OR(D253="",G253="",H253=""),"",ABS(PMT(G253/100/12,H253,D253))),"")</f>
        <v/>
      </c>
      <c r="J253" s="44">
        <f>IF(B253="","","Active")</f>
        <v/>
      </c>
    </row>
    <row r="254" ht="20" customHeight="1">
      <c r="A254" s="39">
        <f>IF(B254="","","LN"&amp;TEXT(ROW()-2,"0000"))</f>
        <v/>
      </c>
      <c r="B254" s="26" t="n"/>
      <c r="C254" s="45">
        <f>IFERROR(IF(B254="","",VLOOKUP(B254,DATABASE!$A:$B,2,0)),"")</f>
        <v/>
      </c>
      <c r="D254" s="29" t="n"/>
      <c r="E254" s="40">
        <f>IF(B254="","",TODAY())</f>
        <v/>
      </c>
      <c r="F254" s="30" t="n"/>
      <c r="G254" s="41" t="n"/>
      <c r="H254" s="42" t="n"/>
      <c r="I254" s="43">
        <f>IFERROR(IF(OR(D254="",G254="",H254=""),"",ABS(PMT(G254/100/12,H254,D254))),"")</f>
        <v/>
      </c>
      <c r="J254" s="44">
        <f>IF(B254="","","Active")</f>
        <v/>
      </c>
    </row>
    <row r="255" ht="20" customHeight="1">
      <c r="A255" s="39">
        <f>IF(B255="","","LN"&amp;TEXT(ROW()-2,"0000"))</f>
        <v/>
      </c>
      <c r="B255" s="26" t="n"/>
      <c r="C255" s="27">
        <f>IFERROR(IF(B255="","",VLOOKUP(B255,DATABASE!$A:$B,2,0)),"")</f>
        <v/>
      </c>
      <c r="D255" s="29" t="n"/>
      <c r="E255" s="40">
        <f>IF(B255="","",TODAY())</f>
        <v/>
      </c>
      <c r="F255" s="30" t="n"/>
      <c r="G255" s="41" t="n"/>
      <c r="H255" s="42" t="n"/>
      <c r="I255" s="43">
        <f>IFERROR(IF(OR(D255="",G255="",H255=""),"",ABS(PMT(G255/100/12,H255,D255))),"")</f>
        <v/>
      </c>
      <c r="J255" s="44">
        <f>IF(B255="","","Active")</f>
        <v/>
      </c>
    </row>
    <row r="256" ht="20" customHeight="1">
      <c r="A256" s="39">
        <f>IF(B256="","","LN"&amp;TEXT(ROW()-2,"0000"))</f>
        <v/>
      </c>
      <c r="B256" s="26" t="n"/>
      <c r="C256" s="45">
        <f>IFERROR(IF(B256="","",VLOOKUP(B256,DATABASE!$A:$B,2,0)),"")</f>
        <v/>
      </c>
      <c r="D256" s="29" t="n"/>
      <c r="E256" s="40">
        <f>IF(B256="","",TODAY())</f>
        <v/>
      </c>
      <c r="F256" s="30" t="n"/>
      <c r="G256" s="41" t="n"/>
      <c r="H256" s="42" t="n"/>
      <c r="I256" s="43">
        <f>IFERROR(IF(OR(D256="",G256="",H256=""),"",ABS(PMT(G256/100/12,H256,D256))),"")</f>
        <v/>
      </c>
      <c r="J256" s="44">
        <f>IF(B256="","","Active")</f>
        <v/>
      </c>
    </row>
    <row r="257" ht="20" customHeight="1">
      <c r="A257" s="39">
        <f>IF(B257="","","LN"&amp;TEXT(ROW()-2,"0000"))</f>
        <v/>
      </c>
      <c r="B257" s="26" t="n"/>
      <c r="C257" s="27">
        <f>IFERROR(IF(B257="","",VLOOKUP(B257,DATABASE!$A:$B,2,0)),"")</f>
        <v/>
      </c>
      <c r="D257" s="29" t="n"/>
      <c r="E257" s="40">
        <f>IF(B257="","",TODAY())</f>
        <v/>
      </c>
      <c r="F257" s="30" t="n"/>
      <c r="G257" s="41" t="n"/>
      <c r="H257" s="42" t="n"/>
      <c r="I257" s="43">
        <f>IFERROR(IF(OR(D257="",G257="",H257=""),"",ABS(PMT(G257/100/12,H257,D257))),"")</f>
        <v/>
      </c>
      <c r="J257" s="44">
        <f>IF(B257="","","Active")</f>
        <v/>
      </c>
    </row>
    <row r="258" ht="20" customHeight="1">
      <c r="A258" s="39">
        <f>IF(B258="","","LN"&amp;TEXT(ROW()-2,"0000"))</f>
        <v/>
      </c>
      <c r="B258" s="26" t="n"/>
      <c r="C258" s="45">
        <f>IFERROR(IF(B258="","",VLOOKUP(B258,DATABASE!$A:$B,2,0)),"")</f>
        <v/>
      </c>
      <c r="D258" s="29" t="n"/>
      <c r="E258" s="40">
        <f>IF(B258="","",TODAY())</f>
        <v/>
      </c>
      <c r="F258" s="30" t="n"/>
      <c r="G258" s="41" t="n"/>
      <c r="H258" s="42" t="n"/>
      <c r="I258" s="43">
        <f>IFERROR(IF(OR(D258="",G258="",H258=""),"",ABS(PMT(G258/100/12,H258,D258))),"")</f>
        <v/>
      </c>
      <c r="J258" s="44">
        <f>IF(B258="","","Active")</f>
        <v/>
      </c>
    </row>
    <row r="259" ht="20" customHeight="1">
      <c r="A259" s="39">
        <f>IF(B259="","","LN"&amp;TEXT(ROW()-2,"0000"))</f>
        <v/>
      </c>
      <c r="B259" s="26" t="n"/>
      <c r="C259" s="27">
        <f>IFERROR(IF(B259="","",VLOOKUP(B259,DATABASE!$A:$B,2,0)),"")</f>
        <v/>
      </c>
      <c r="D259" s="29" t="n"/>
      <c r="E259" s="40">
        <f>IF(B259="","",TODAY())</f>
        <v/>
      </c>
      <c r="F259" s="30" t="n"/>
      <c r="G259" s="41" t="n"/>
      <c r="H259" s="42" t="n"/>
      <c r="I259" s="43">
        <f>IFERROR(IF(OR(D259="",G259="",H259=""),"",ABS(PMT(G259/100/12,H259,D259))),"")</f>
        <v/>
      </c>
      <c r="J259" s="44">
        <f>IF(B259="","","Active")</f>
        <v/>
      </c>
    </row>
    <row r="260" ht="20" customHeight="1">
      <c r="A260" s="39">
        <f>IF(B260="","","LN"&amp;TEXT(ROW()-2,"0000"))</f>
        <v/>
      </c>
      <c r="B260" s="26" t="n"/>
      <c r="C260" s="45">
        <f>IFERROR(IF(B260="","",VLOOKUP(B260,DATABASE!$A:$B,2,0)),"")</f>
        <v/>
      </c>
      <c r="D260" s="29" t="n"/>
      <c r="E260" s="40">
        <f>IF(B260="","",TODAY())</f>
        <v/>
      </c>
      <c r="F260" s="30" t="n"/>
      <c r="G260" s="41" t="n"/>
      <c r="H260" s="42" t="n"/>
      <c r="I260" s="43">
        <f>IFERROR(IF(OR(D260="",G260="",H260=""),"",ABS(PMT(G260/100/12,H260,D260))),"")</f>
        <v/>
      </c>
      <c r="J260" s="44">
        <f>IF(B260="","","Active")</f>
        <v/>
      </c>
    </row>
    <row r="261" ht="20" customHeight="1">
      <c r="A261" s="39">
        <f>IF(B261="","","LN"&amp;TEXT(ROW()-2,"0000"))</f>
        <v/>
      </c>
      <c r="B261" s="26" t="n"/>
      <c r="C261" s="27">
        <f>IFERROR(IF(B261="","",VLOOKUP(B261,DATABASE!$A:$B,2,0)),"")</f>
        <v/>
      </c>
      <c r="D261" s="29" t="n"/>
      <c r="E261" s="40">
        <f>IF(B261="","",TODAY())</f>
        <v/>
      </c>
      <c r="F261" s="30" t="n"/>
      <c r="G261" s="41" t="n"/>
      <c r="H261" s="42" t="n"/>
      <c r="I261" s="43">
        <f>IFERROR(IF(OR(D261="",G261="",H261=""),"",ABS(PMT(G261/100/12,H261,D261))),"")</f>
        <v/>
      </c>
      <c r="J261" s="44">
        <f>IF(B261="","","Active")</f>
        <v/>
      </c>
    </row>
    <row r="262" ht="20" customHeight="1">
      <c r="A262" s="39">
        <f>IF(B262="","","LN"&amp;TEXT(ROW()-2,"0000"))</f>
        <v/>
      </c>
      <c r="B262" s="26" t="n"/>
      <c r="C262" s="45">
        <f>IFERROR(IF(B262="","",VLOOKUP(B262,DATABASE!$A:$B,2,0)),"")</f>
        <v/>
      </c>
      <c r="D262" s="29" t="n"/>
      <c r="E262" s="40">
        <f>IF(B262="","",TODAY())</f>
        <v/>
      </c>
      <c r="F262" s="30" t="n"/>
      <c r="G262" s="41" t="n"/>
      <c r="H262" s="42" t="n"/>
      <c r="I262" s="43">
        <f>IFERROR(IF(OR(D262="",G262="",H262=""),"",ABS(PMT(G262/100/12,H262,D262))),"")</f>
        <v/>
      </c>
      <c r="J262" s="44">
        <f>IF(B262="","","Active")</f>
        <v/>
      </c>
    </row>
    <row r="263" ht="20" customHeight="1">
      <c r="A263" s="39">
        <f>IF(B263="","","LN"&amp;TEXT(ROW()-2,"0000"))</f>
        <v/>
      </c>
      <c r="B263" s="26" t="n"/>
      <c r="C263" s="27">
        <f>IFERROR(IF(B263="","",VLOOKUP(B263,DATABASE!$A:$B,2,0)),"")</f>
        <v/>
      </c>
      <c r="D263" s="29" t="n"/>
      <c r="E263" s="40">
        <f>IF(B263="","",TODAY())</f>
        <v/>
      </c>
      <c r="F263" s="30" t="n"/>
      <c r="G263" s="41" t="n"/>
      <c r="H263" s="42" t="n"/>
      <c r="I263" s="43">
        <f>IFERROR(IF(OR(D263="",G263="",H263=""),"",ABS(PMT(G263/100/12,H263,D263))),"")</f>
        <v/>
      </c>
      <c r="J263" s="44">
        <f>IF(B263="","","Active")</f>
        <v/>
      </c>
    </row>
    <row r="264" ht="20" customHeight="1">
      <c r="A264" s="39">
        <f>IF(B264="","","LN"&amp;TEXT(ROW()-2,"0000"))</f>
        <v/>
      </c>
      <c r="B264" s="26" t="n"/>
      <c r="C264" s="45">
        <f>IFERROR(IF(B264="","",VLOOKUP(B264,DATABASE!$A:$B,2,0)),"")</f>
        <v/>
      </c>
      <c r="D264" s="29" t="n"/>
      <c r="E264" s="40">
        <f>IF(B264="","",TODAY())</f>
        <v/>
      </c>
      <c r="F264" s="30" t="n"/>
      <c r="G264" s="41" t="n"/>
      <c r="H264" s="42" t="n"/>
      <c r="I264" s="43">
        <f>IFERROR(IF(OR(D264="",G264="",H264=""),"",ABS(PMT(G264/100/12,H264,D264))),"")</f>
        <v/>
      </c>
      <c r="J264" s="44">
        <f>IF(B264="","","Active")</f>
        <v/>
      </c>
    </row>
    <row r="265" ht="20" customHeight="1">
      <c r="A265" s="39">
        <f>IF(B265="","","LN"&amp;TEXT(ROW()-2,"0000"))</f>
        <v/>
      </c>
      <c r="B265" s="26" t="n"/>
      <c r="C265" s="27">
        <f>IFERROR(IF(B265="","",VLOOKUP(B265,DATABASE!$A:$B,2,0)),"")</f>
        <v/>
      </c>
      <c r="D265" s="29" t="n"/>
      <c r="E265" s="40">
        <f>IF(B265="","",TODAY())</f>
        <v/>
      </c>
      <c r="F265" s="30" t="n"/>
      <c r="G265" s="41" t="n"/>
      <c r="H265" s="42" t="n"/>
      <c r="I265" s="43">
        <f>IFERROR(IF(OR(D265="",G265="",H265=""),"",ABS(PMT(G265/100/12,H265,D265))),"")</f>
        <v/>
      </c>
      <c r="J265" s="44">
        <f>IF(B265="","","Active")</f>
        <v/>
      </c>
    </row>
    <row r="266" ht="20" customHeight="1">
      <c r="A266" s="39">
        <f>IF(B266="","","LN"&amp;TEXT(ROW()-2,"0000"))</f>
        <v/>
      </c>
      <c r="B266" s="26" t="n"/>
      <c r="C266" s="45">
        <f>IFERROR(IF(B266="","",VLOOKUP(B266,DATABASE!$A:$B,2,0)),"")</f>
        <v/>
      </c>
      <c r="D266" s="29" t="n"/>
      <c r="E266" s="40">
        <f>IF(B266="","",TODAY())</f>
        <v/>
      </c>
      <c r="F266" s="30" t="n"/>
      <c r="G266" s="41" t="n"/>
      <c r="H266" s="42" t="n"/>
      <c r="I266" s="43">
        <f>IFERROR(IF(OR(D266="",G266="",H266=""),"",ABS(PMT(G266/100/12,H266,D266))),"")</f>
        <v/>
      </c>
      <c r="J266" s="44">
        <f>IF(B266="","","Active")</f>
        <v/>
      </c>
    </row>
    <row r="267" ht="20" customHeight="1">
      <c r="A267" s="39">
        <f>IF(B267="","","LN"&amp;TEXT(ROW()-2,"0000"))</f>
        <v/>
      </c>
      <c r="B267" s="26" t="n"/>
      <c r="C267" s="27">
        <f>IFERROR(IF(B267="","",VLOOKUP(B267,DATABASE!$A:$B,2,0)),"")</f>
        <v/>
      </c>
      <c r="D267" s="29" t="n"/>
      <c r="E267" s="40">
        <f>IF(B267="","",TODAY())</f>
        <v/>
      </c>
      <c r="F267" s="30" t="n"/>
      <c r="G267" s="41" t="n"/>
      <c r="H267" s="42" t="n"/>
      <c r="I267" s="43">
        <f>IFERROR(IF(OR(D267="",G267="",H267=""),"",ABS(PMT(G267/100/12,H267,D267))),"")</f>
        <v/>
      </c>
      <c r="J267" s="44">
        <f>IF(B267="","","Active")</f>
        <v/>
      </c>
    </row>
    <row r="268" ht="20" customHeight="1">
      <c r="A268" s="39">
        <f>IF(B268="","","LN"&amp;TEXT(ROW()-2,"0000"))</f>
        <v/>
      </c>
      <c r="B268" s="26" t="n"/>
      <c r="C268" s="45">
        <f>IFERROR(IF(B268="","",VLOOKUP(B268,DATABASE!$A:$B,2,0)),"")</f>
        <v/>
      </c>
      <c r="D268" s="29" t="n"/>
      <c r="E268" s="40">
        <f>IF(B268="","",TODAY())</f>
        <v/>
      </c>
      <c r="F268" s="30" t="n"/>
      <c r="G268" s="41" t="n"/>
      <c r="H268" s="42" t="n"/>
      <c r="I268" s="43">
        <f>IFERROR(IF(OR(D268="",G268="",H268=""),"",ABS(PMT(G268/100/12,H268,D268))),"")</f>
        <v/>
      </c>
      <c r="J268" s="44">
        <f>IF(B268="","","Active")</f>
        <v/>
      </c>
    </row>
    <row r="269" ht="20" customHeight="1">
      <c r="A269" s="39">
        <f>IF(B269="","","LN"&amp;TEXT(ROW()-2,"0000"))</f>
        <v/>
      </c>
      <c r="B269" s="26" t="n"/>
      <c r="C269" s="27">
        <f>IFERROR(IF(B269="","",VLOOKUP(B269,DATABASE!$A:$B,2,0)),"")</f>
        <v/>
      </c>
      <c r="D269" s="29" t="n"/>
      <c r="E269" s="40">
        <f>IF(B269="","",TODAY())</f>
        <v/>
      </c>
      <c r="F269" s="30" t="n"/>
      <c r="G269" s="41" t="n"/>
      <c r="H269" s="42" t="n"/>
      <c r="I269" s="43">
        <f>IFERROR(IF(OR(D269="",G269="",H269=""),"",ABS(PMT(G269/100/12,H269,D269))),"")</f>
        <v/>
      </c>
      <c r="J269" s="44">
        <f>IF(B269="","","Active")</f>
        <v/>
      </c>
    </row>
    <row r="270" ht="20" customHeight="1">
      <c r="A270" s="39">
        <f>IF(B270="","","LN"&amp;TEXT(ROW()-2,"0000"))</f>
        <v/>
      </c>
      <c r="B270" s="26" t="n"/>
      <c r="C270" s="45">
        <f>IFERROR(IF(B270="","",VLOOKUP(B270,DATABASE!$A:$B,2,0)),"")</f>
        <v/>
      </c>
      <c r="D270" s="29" t="n"/>
      <c r="E270" s="40">
        <f>IF(B270="","",TODAY())</f>
        <v/>
      </c>
      <c r="F270" s="30" t="n"/>
      <c r="G270" s="41" t="n"/>
      <c r="H270" s="42" t="n"/>
      <c r="I270" s="43">
        <f>IFERROR(IF(OR(D270="",G270="",H270=""),"",ABS(PMT(G270/100/12,H270,D270))),"")</f>
        <v/>
      </c>
      <c r="J270" s="44">
        <f>IF(B270="","","Active")</f>
        <v/>
      </c>
    </row>
    <row r="271" ht="20" customHeight="1">
      <c r="A271" s="39">
        <f>IF(B271="","","LN"&amp;TEXT(ROW()-2,"0000"))</f>
        <v/>
      </c>
      <c r="B271" s="26" t="n"/>
      <c r="C271" s="27">
        <f>IFERROR(IF(B271="","",VLOOKUP(B271,DATABASE!$A:$B,2,0)),"")</f>
        <v/>
      </c>
      <c r="D271" s="29" t="n"/>
      <c r="E271" s="40">
        <f>IF(B271="","",TODAY())</f>
        <v/>
      </c>
      <c r="F271" s="30" t="n"/>
      <c r="G271" s="41" t="n"/>
      <c r="H271" s="42" t="n"/>
      <c r="I271" s="43">
        <f>IFERROR(IF(OR(D271="",G271="",H271=""),"",ABS(PMT(G271/100/12,H271,D271))),"")</f>
        <v/>
      </c>
      <c r="J271" s="44">
        <f>IF(B271="","","Active")</f>
        <v/>
      </c>
    </row>
    <row r="272" ht="20" customHeight="1">
      <c r="A272" s="39">
        <f>IF(B272="","","LN"&amp;TEXT(ROW()-2,"0000"))</f>
        <v/>
      </c>
      <c r="B272" s="26" t="n"/>
      <c r="C272" s="45">
        <f>IFERROR(IF(B272="","",VLOOKUP(B272,DATABASE!$A:$B,2,0)),"")</f>
        <v/>
      </c>
      <c r="D272" s="29" t="n"/>
      <c r="E272" s="40">
        <f>IF(B272="","",TODAY())</f>
        <v/>
      </c>
      <c r="F272" s="30" t="n"/>
      <c r="G272" s="41" t="n"/>
      <c r="H272" s="42" t="n"/>
      <c r="I272" s="43">
        <f>IFERROR(IF(OR(D272="",G272="",H272=""),"",ABS(PMT(G272/100/12,H272,D272))),"")</f>
        <v/>
      </c>
      <c r="J272" s="44">
        <f>IF(B272="","","Active")</f>
        <v/>
      </c>
    </row>
    <row r="273" ht="20" customHeight="1">
      <c r="A273" s="39">
        <f>IF(B273="","","LN"&amp;TEXT(ROW()-2,"0000"))</f>
        <v/>
      </c>
      <c r="B273" s="26" t="n"/>
      <c r="C273" s="27">
        <f>IFERROR(IF(B273="","",VLOOKUP(B273,DATABASE!$A:$B,2,0)),"")</f>
        <v/>
      </c>
      <c r="D273" s="29" t="n"/>
      <c r="E273" s="40">
        <f>IF(B273="","",TODAY())</f>
        <v/>
      </c>
      <c r="F273" s="30" t="n"/>
      <c r="G273" s="41" t="n"/>
      <c r="H273" s="42" t="n"/>
      <c r="I273" s="43">
        <f>IFERROR(IF(OR(D273="",G273="",H273=""),"",ABS(PMT(G273/100/12,H273,D273))),"")</f>
        <v/>
      </c>
      <c r="J273" s="44">
        <f>IF(B273="","","Active")</f>
        <v/>
      </c>
    </row>
    <row r="274" ht="20" customHeight="1">
      <c r="A274" s="39">
        <f>IF(B274="","","LN"&amp;TEXT(ROW()-2,"0000"))</f>
        <v/>
      </c>
      <c r="B274" s="26" t="n"/>
      <c r="C274" s="45">
        <f>IFERROR(IF(B274="","",VLOOKUP(B274,DATABASE!$A:$B,2,0)),"")</f>
        <v/>
      </c>
      <c r="D274" s="29" t="n"/>
      <c r="E274" s="40">
        <f>IF(B274="","",TODAY())</f>
        <v/>
      </c>
      <c r="F274" s="30" t="n"/>
      <c r="G274" s="41" t="n"/>
      <c r="H274" s="42" t="n"/>
      <c r="I274" s="43">
        <f>IFERROR(IF(OR(D274="",G274="",H274=""),"",ABS(PMT(G274/100/12,H274,D274))),"")</f>
        <v/>
      </c>
      <c r="J274" s="44">
        <f>IF(B274="","","Active")</f>
        <v/>
      </c>
    </row>
    <row r="275" ht="20" customHeight="1">
      <c r="A275" s="39">
        <f>IF(B275="","","LN"&amp;TEXT(ROW()-2,"0000"))</f>
        <v/>
      </c>
      <c r="B275" s="26" t="n"/>
      <c r="C275" s="27">
        <f>IFERROR(IF(B275="","",VLOOKUP(B275,DATABASE!$A:$B,2,0)),"")</f>
        <v/>
      </c>
      <c r="D275" s="29" t="n"/>
      <c r="E275" s="40">
        <f>IF(B275="","",TODAY())</f>
        <v/>
      </c>
      <c r="F275" s="30" t="n"/>
      <c r="G275" s="41" t="n"/>
      <c r="H275" s="42" t="n"/>
      <c r="I275" s="43">
        <f>IFERROR(IF(OR(D275="",G275="",H275=""),"",ABS(PMT(G275/100/12,H275,D275))),"")</f>
        <v/>
      </c>
      <c r="J275" s="44">
        <f>IF(B275="","","Active")</f>
        <v/>
      </c>
    </row>
    <row r="276" ht="20" customHeight="1">
      <c r="A276" s="39">
        <f>IF(B276="","","LN"&amp;TEXT(ROW()-2,"0000"))</f>
        <v/>
      </c>
      <c r="B276" s="26" t="n"/>
      <c r="C276" s="45">
        <f>IFERROR(IF(B276="","",VLOOKUP(B276,DATABASE!$A:$B,2,0)),"")</f>
        <v/>
      </c>
      <c r="D276" s="29" t="n"/>
      <c r="E276" s="40">
        <f>IF(B276="","",TODAY())</f>
        <v/>
      </c>
      <c r="F276" s="30" t="n"/>
      <c r="G276" s="41" t="n"/>
      <c r="H276" s="42" t="n"/>
      <c r="I276" s="43">
        <f>IFERROR(IF(OR(D276="",G276="",H276=""),"",ABS(PMT(G276/100/12,H276,D276))),"")</f>
        <v/>
      </c>
      <c r="J276" s="44">
        <f>IF(B276="","","Active")</f>
        <v/>
      </c>
    </row>
    <row r="277" ht="20" customHeight="1">
      <c r="A277" s="39">
        <f>IF(B277="","","LN"&amp;TEXT(ROW()-2,"0000"))</f>
        <v/>
      </c>
      <c r="B277" s="26" t="n"/>
      <c r="C277" s="27">
        <f>IFERROR(IF(B277="","",VLOOKUP(B277,DATABASE!$A:$B,2,0)),"")</f>
        <v/>
      </c>
      <c r="D277" s="29" t="n"/>
      <c r="E277" s="40">
        <f>IF(B277="","",TODAY())</f>
        <v/>
      </c>
      <c r="F277" s="30" t="n"/>
      <c r="G277" s="41" t="n"/>
      <c r="H277" s="42" t="n"/>
      <c r="I277" s="43">
        <f>IFERROR(IF(OR(D277="",G277="",H277=""),"",ABS(PMT(G277/100/12,H277,D277))),"")</f>
        <v/>
      </c>
      <c r="J277" s="44">
        <f>IF(B277="","","Active")</f>
        <v/>
      </c>
    </row>
    <row r="278" ht="20" customHeight="1">
      <c r="A278" s="39">
        <f>IF(B278="","","LN"&amp;TEXT(ROW()-2,"0000"))</f>
        <v/>
      </c>
      <c r="B278" s="26" t="n"/>
      <c r="C278" s="45">
        <f>IFERROR(IF(B278="","",VLOOKUP(B278,DATABASE!$A:$B,2,0)),"")</f>
        <v/>
      </c>
      <c r="D278" s="29" t="n"/>
      <c r="E278" s="40">
        <f>IF(B278="","",TODAY())</f>
        <v/>
      </c>
      <c r="F278" s="30" t="n"/>
      <c r="G278" s="41" t="n"/>
      <c r="H278" s="42" t="n"/>
      <c r="I278" s="43">
        <f>IFERROR(IF(OR(D278="",G278="",H278=""),"",ABS(PMT(G278/100/12,H278,D278))),"")</f>
        <v/>
      </c>
      <c r="J278" s="44">
        <f>IF(B278="","","Active")</f>
        <v/>
      </c>
    </row>
    <row r="279" ht="20" customHeight="1">
      <c r="A279" s="39">
        <f>IF(B279="","","LN"&amp;TEXT(ROW()-2,"0000"))</f>
        <v/>
      </c>
      <c r="B279" s="26" t="n"/>
      <c r="C279" s="27">
        <f>IFERROR(IF(B279="","",VLOOKUP(B279,DATABASE!$A:$B,2,0)),"")</f>
        <v/>
      </c>
      <c r="D279" s="29" t="n"/>
      <c r="E279" s="40">
        <f>IF(B279="","",TODAY())</f>
        <v/>
      </c>
      <c r="F279" s="30" t="n"/>
      <c r="G279" s="41" t="n"/>
      <c r="H279" s="42" t="n"/>
      <c r="I279" s="43">
        <f>IFERROR(IF(OR(D279="",G279="",H279=""),"",ABS(PMT(G279/100/12,H279,D279))),"")</f>
        <v/>
      </c>
      <c r="J279" s="44">
        <f>IF(B279="","","Active")</f>
        <v/>
      </c>
    </row>
    <row r="280" ht="20" customHeight="1">
      <c r="A280" s="39">
        <f>IF(B280="","","LN"&amp;TEXT(ROW()-2,"0000"))</f>
        <v/>
      </c>
      <c r="B280" s="26" t="n"/>
      <c r="C280" s="45">
        <f>IFERROR(IF(B280="","",VLOOKUP(B280,DATABASE!$A:$B,2,0)),"")</f>
        <v/>
      </c>
      <c r="D280" s="29" t="n"/>
      <c r="E280" s="40">
        <f>IF(B280="","",TODAY())</f>
        <v/>
      </c>
      <c r="F280" s="30" t="n"/>
      <c r="G280" s="41" t="n"/>
      <c r="H280" s="42" t="n"/>
      <c r="I280" s="43">
        <f>IFERROR(IF(OR(D280="",G280="",H280=""),"",ABS(PMT(G280/100/12,H280,D280))),"")</f>
        <v/>
      </c>
      <c r="J280" s="44">
        <f>IF(B280="","","Active")</f>
        <v/>
      </c>
    </row>
    <row r="281" ht="20" customHeight="1">
      <c r="A281" s="39">
        <f>IF(B281="","","LN"&amp;TEXT(ROW()-2,"0000"))</f>
        <v/>
      </c>
      <c r="B281" s="26" t="n"/>
      <c r="C281" s="27">
        <f>IFERROR(IF(B281="","",VLOOKUP(B281,DATABASE!$A:$B,2,0)),"")</f>
        <v/>
      </c>
      <c r="D281" s="29" t="n"/>
      <c r="E281" s="40">
        <f>IF(B281="","",TODAY())</f>
        <v/>
      </c>
      <c r="F281" s="30" t="n"/>
      <c r="G281" s="41" t="n"/>
      <c r="H281" s="42" t="n"/>
      <c r="I281" s="43">
        <f>IFERROR(IF(OR(D281="",G281="",H281=""),"",ABS(PMT(G281/100/12,H281,D281))),"")</f>
        <v/>
      </c>
      <c r="J281" s="44">
        <f>IF(B281="","","Active")</f>
        <v/>
      </c>
    </row>
    <row r="282" ht="20" customHeight="1">
      <c r="A282" s="39">
        <f>IF(B282="","","LN"&amp;TEXT(ROW()-2,"0000"))</f>
        <v/>
      </c>
      <c r="B282" s="26" t="n"/>
      <c r="C282" s="45">
        <f>IFERROR(IF(B282="","",VLOOKUP(B282,DATABASE!$A:$B,2,0)),"")</f>
        <v/>
      </c>
      <c r="D282" s="29" t="n"/>
      <c r="E282" s="40">
        <f>IF(B282="","",TODAY())</f>
        <v/>
      </c>
      <c r="F282" s="30" t="n"/>
      <c r="G282" s="41" t="n"/>
      <c r="H282" s="42" t="n"/>
      <c r="I282" s="43">
        <f>IFERROR(IF(OR(D282="",G282="",H282=""),"",ABS(PMT(G282/100/12,H282,D282))),"")</f>
        <v/>
      </c>
      <c r="J282" s="44">
        <f>IF(B282="","","Active")</f>
        <v/>
      </c>
    </row>
    <row r="283" ht="20" customHeight="1">
      <c r="A283" s="39">
        <f>IF(B283="","","LN"&amp;TEXT(ROW()-2,"0000"))</f>
        <v/>
      </c>
      <c r="B283" s="26" t="n"/>
      <c r="C283" s="27">
        <f>IFERROR(IF(B283="","",VLOOKUP(B283,DATABASE!$A:$B,2,0)),"")</f>
        <v/>
      </c>
      <c r="D283" s="29" t="n"/>
      <c r="E283" s="40">
        <f>IF(B283="","",TODAY())</f>
        <v/>
      </c>
      <c r="F283" s="30" t="n"/>
      <c r="G283" s="41" t="n"/>
      <c r="H283" s="42" t="n"/>
      <c r="I283" s="43">
        <f>IFERROR(IF(OR(D283="",G283="",H283=""),"",ABS(PMT(G283/100/12,H283,D283))),"")</f>
        <v/>
      </c>
      <c r="J283" s="44">
        <f>IF(B283="","","Active")</f>
        <v/>
      </c>
    </row>
    <row r="284" ht="20" customHeight="1">
      <c r="A284" s="39">
        <f>IF(B284="","","LN"&amp;TEXT(ROW()-2,"0000"))</f>
        <v/>
      </c>
      <c r="B284" s="26" t="n"/>
      <c r="C284" s="45">
        <f>IFERROR(IF(B284="","",VLOOKUP(B284,DATABASE!$A:$B,2,0)),"")</f>
        <v/>
      </c>
      <c r="D284" s="29" t="n"/>
      <c r="E284" s="40">
        <f>IF(B284="","",TODAY())</f>
        <v/>
      </c>
      <c r="F284" s="30" t="n"/>
      <c r="G284" s="41" t="n"/>
      <c r="H284" s="42" t="n"/>
      <c r="I284" s="43">
        <f>IFERROR(IF(OR(D284="",G284="",H284=""),"",ABS(PMT(G284/100/12,H284,D284))),"")</f>
        <v/>
      </c>
      <c r="J284" s="44">
        <f>IF(B284="","","Active")</f>
        <v/>
      </c>
    </row>
    <row r="285" ht="20" customHeight="1">
      <c r="A285" s="39">
        <f>IF(B285="","","LN"&amp;TEXT(ROW()-2,"0000"))</f>
        <v/>
      </c>
      <c r="B285" s="26" t="n"/>
      <c r="C285" s="27">
        <f>IFERROR(IF(B285="","",VLOOKUP(B285,DATABASE!$A:$B,2,0)),"")</f>
        <v/>
      </c>
      <c r="D285" s="29" t="n"/>
      <c r="E285" s="40">
        <f>IF(B285="","",TODAY())</f>
        <v/>
      </c>
      <c r="F285" s="30" t="n"/>
      <c r="G285" s="41" t="n"/>
      <c r="H285" s="42" t="n"/>
      <c r="I285" s="43">
        <f>IFERROR(IF(OR(D285="",G285="",H285=""),"",ABS(PMT(G285/100/12,H285,D285))),"")</f>
        <v/>
      </c>
      <c r="J285" s="44">
        <f>IF(B285="","","Active")</f>
        <v/>
      </c>
    </row>
    <row r="286" ht="20" customHeight="1">
      <c r="A286" s="39">
        <f>IF(B286="","","LN"&amp;TEXT(ROW()-2,"0000"))</f>
        <v/>
      </c>
      <c r="B286" s="26" t="n"/>
      <c r="C286" s="45">
        <f>IFERROR(IF(B286="","",VLOOKUP(B286,DATABASE!$A:$B,2,0)),"")</f>
        <v/>
      </c>
      <c r="D286" s="29" t="n"/>
      <c r="E286" s="40">
        <f>IF(B286="","",TODAY())</f>
        <v/>
      </c>
      <c r="F286" s="30" t="n"/>
      <c r="G286" s="41" t="n"/>
      <c r="H286" s="42" t="n"/>
      <c r="I286" s="43">
        <f>IFERROR(IF(OR(D286="",G286="",H286=""),"",ABS(PMT(G286/100/12,H286,D286))),"")</f>
        <v/>
      </c>
      <c r="J286" s="44">
        <f>IF(B286="","","Active")</f>
        <v/>
      </c>
    </row>
    <row r="287" ht="20" customHeight="1">
      <c r="A287" s="39">
        <f>IF(B287="","","LN"&amp;TEXT(ROW()-2,"0000"))</f>
        <v/>
      </c>
      <c r="B287" s="26" t="n"/>
      <c r="C287" s="27">
        <f>IFERROR(IF(B287="","",VLOOKUP(B287,DATABASE!$A:$B,2,0)),"")</f>
        <v/>
      </c>
      <c r="D287" s="29" t="n"/>
      <c r="E287" s="40">
        <f>IF(B287="","",TODAY())</f>
        <v/>
      </c>
      <c r="F287" s="30" t="n"/>
      <c r="G287" s="41" t="n"/>
      <c r="H287" s="42" t="n"/>
      <c r="I287" s="43">
        <f>IFERROR(IF(OR(D287="",G287="",H287=""),"",ABS(PMT(G287/100/12,H287,D287))),"")</f>
        <v/>
      </c>
      <c r="J287" s="44">
        <f>IF(B287="","","Active")</f>
        <v/>
      </c>
    </row>
    <row r="288" ht="20" customHeight="1">
      <c r="A288" s="39">
        <f>IF(B288="","","LN"&amp;TEXT(ROW()-2,"0000"))</f>
        <v/>
      </c>
      <c r="B288" s="26" t="n"/>
      <c r="C288" s="45">
        <f>IFERROR(IF(B288="","",VLOOKUP(B288,DATABASE!$A:$B,2,0)),"")</f>
        <v/>
      </c>
      <c r="D288" s="29" t="n"/>
      <c r="E288" s="40">
        <f>IF(B288="","",TODAY())</f>
        <v/>
      </c>
      <c r="F288" s="30" t="n"/>
      <c r="G288" s="41" t="n"/>
      <c r="H288" s="42" t="n"/>
      <c r="I288" s="43">
        <f>IFERROR(IF(OR(D288="",G288="",H288=""),"",ABS(PMT(G288/100/12,H288,D288))),"")</f>
        <v/>
      </c>
      <c r="J288" s="44">
        <f>IF(B288="","","Active")</f>
        <v/>
      </c>
    </row>
    <row r="289" ht="20" customHeight="1">
      <c r="A289" s="39">
        <f>IF(B289="","","LN"&amp;TEXT(ROW()-2,"0000"))</f>
        <v/>
      </c>
      <c r="B289" s="26" t="n"/>
      <c r="C289" s="27">
        <f>IFERROR(IF(B289="","",VLOOKUP(B289,DATABASE!$A:$B,2,0)),"")</f>
        <v/>
      </c>
      <c r="D289" s="29" t="n"/>
      <c r="E289" s="40">
        <f>IF(B289="","",TODAY())</f>
        <v/>
      </c>
      <c r="F289" s="30" t="n"/>
      <c r="G289" s="41" t="n"/>
      <c r="H289" s="42" t="n"/>
      <c r="I289" s="43">
        <f>IFERROR(IF(OR(D289="",G289="",H289=""),"",ABS(PMT(G289/100/12,H289,D289))),"")</f>
        <v/>
      </c>
      <c r="J289" s="44">
        <f>IF(B289="","","Active")</f>
        <v/>
      </c>
    </row>
    <row r="290" ht="20" customHeight="1">
      <c r="A290" s="39">
        <f>IF(B290="","","LN"&amp;TEXT(ROW()-2,"0000"))</f>
        <v/>
      </c>
      <c r="B290" s="26" t="n"/>
      <c r="C290" s="45">
        <f>IFERROR(IF(B290="","",VLOOKUP(B290,DATABASE!$A:$B,2,0)),"")</f>
        <v/>
      </c>
      <c r="D290" s="29" t="n"/>
      <c r="E290" s="40">
        <f>IF(B290="","",TODAY())</f>
        <v/>
      </c>
      <c r="F290" s="30" t="n"/>
      <c r="G290" s="41" t="n"/>
      <c r="H290" s="42" t="n"/>
      <c r="I290" s="43">
        <f>IFERROR(IF(OR(D290="",G290="",H290=""),"",ABS(PMT(G290/100/12,H290,D290))),"")</f>
        <v/>
      </c>
      <c r="J290" s="44">
        <f>IF(B290="","","Active")</f>
        <v/>
      </c>
    </row>
    <row r="291" ht="20" customHeight="1">
      <c r="A291" s="39">
        <f>IF(B291="","","LN"&amp;TEXT(ROW()-2,"0000"))</f>
        <v/>
      </c>
      <c r="B291" s="26" t="n"/>
      <c r="C291" s="27">
        <f>IFERROR(IF(B291="","",VLOOKUP(B291,DATABASE!$A:$B,2,0)),"")</f>
        <v/>
      </c>
      <c r="D291" s="29" t="n"/>
      <c r="E291" s="40">
        <f>IF(B291="","",TODAY())</f>
        <v/>
      </c>
      <c r="F291" s="30" t="n"/>
      <c r="G291" s="41" t="n"/>
      <c r="H291" s="42" t="n"/>
      <c r="I291" s="43">
        <f>IFERROR(IF(OR(D291="",G291="",H291=""),"",ABS(PMT(G291/100/12,H291,D291))),"")</f>
        <v/>
      </c>
      <c r="J291" s="44">
        <f>IF(B291="","","Active")</f>
        <v/>
      </c>
    </row>
    <row r="292" ht="20" customHeight="1">
      <c r="A292" s="39">
        <f>IF(B292="","","LN"&amp;TEXT(ROW()-2,"0000"))</f>
        <v/>
      </c>
      <c r="B292" s="26" t="n"/>
      <c r="C292" s="45">
        <f>IFERROR(IF(B292="","",VLOOKUP(B292,DATABASE!$A:$B,2,0)),"")</f>
        <v/>
      </c>
      <c r="D292" s="29" t="n"/>
      <c r="E292" s="40">
        <f>IF(B292="","",TODAY())</f>
        <v/>
      </c>
      <c r="F292" s="30" t="n"/>
      <c r="G292" s="41" t="n"/>
      <c r="H292" s="42" t="n"/>
      <c r="I292" s="43">
        <f>IFERROR(IF(OR(D292="",G292="",H292=""),"",ABS(PMT(G292/100/12,H292,D292))),"")</f>
        <v/>
      </c>
      <c r="J292" s="44">
        <f>IF(B292="","","Active")</f>
        <v/>
      </c>
    </row>
    <row r="293" ht="20" customHeight="1">
      <c r="A293" s="39">
        <f>IF(B293="","","LN"&amp;TEXT(ROW()-2,"0000"))</f>
        <v/>
      </c>
      <c r="B293" s="26" t="n"/>
      <c r="C293" s="27">
        <f>IFERROR(IF(B293="","",VLOOKUP(B293,DATABASE!$A:$B,2,0)),"")</f>
        <v/>
      </c>
      <c r="D293" s="29" t="n"/>
      <c r="E293" s="40">
        <f>IF(B293="","",TODAY())</f>
        <v/>
      </c>
      <c r="F293" s="30" t="n"/>
      <c r="G293" s="41" t="n"/>
      <c r="H293" s="42" t="n"/>
      <c r="I293" s="43">
        <f>IFERROR(IF(OR(D293="",G293="",H293=""),"",ABS(PMT(G293/100/12,H293,D293))),"")</f>
        <v/>
      </c>
      <c r="J293" s="44">
        <f>IF(B293="","","Active")</f>
        <v/>
      </c>
    </row>
    <row r="294" ht="20" customHeight="1">
      <c r="A294" s="39">
        <f>IF(B294="","","LN"&amp;TEXT(ROW()-2,"0000"))</f>
        <v/>
      </c>
      <c r="B294" s="26" t="n"/>
      <c r="C294" s="45">
        <f>IFERROR(IF(B294="","",VLOOKUP(B294,DATABASE!$A:$B,2,0)),"")</f>
        <v/>
      </c>
      <c r="D294" s="29" t="n"/>
      <c r="E294" s="40">
        <f>IF(B294="","",TODAY())</f>
        <v/>
      </c>
      <c r="F294" s="30" t="n"/>
      <c r="G294" s="41" t="n"/>
      <c r="H294" s="42" t="n"/>
      <c r="I294" s="43">
        <f>IFERROR(IF(OR(D294="",G294="",H294=""),"",ABS(PMT(G294/100/12,H294,D294))),"")</f>
        <v/>
      </c>
      <c r="J294" s="44">
        <f>IF(B294="","","Active")</f>
        <v/>
      </c>
    </row>
    <row r="295" ht="20" customHeight="1">
      <c r="A295" s="39">
        <f>IF(B295="","","LN"&amp;TEXT(ROW()-2,"0000"))</f>
        <v/>
      </c>
      <c r="B295" s="26" t="n"/>
      <c r="C295" s="27">
        <f>IFERROR(IF(B295="","",VLOOKUP(B295,DATABASE!$A:$B,2,0)),"")</f>
        <v/>
      </c>
      <c r="D295" s="29" t="n"/>
      <c r="E295" s="40">
        <f>IF(B295="","",TODAY())</f>
        <v/>
      </c>
      <c r="F295" s="30" t="n"/>
      <c r="G295" s="41" t="n"/>
      <c r="H295" s="42" t="n"/>
      <c r="I295" s="43">
        <f>IFERROR(IF(OR(D295="",G295="",H295=""),"",ABS(PMT(G295/100/12,H295,D295))),"")</f>
        <v/>
      </c>
      <c r="J295" s="44">
        <f>IF(B295="","","Active")</f>
        <v/>
      </c>
    </row>
    <row r="296" ht="20" customHeight="1">
      <c r="A296" s="39">
        <f>IF(B296="","","LN"&amp;TEXT(ROW()-2,"0000"))</f>
        <v/>
      </c>
      <c r="B296" s="26" t="n"/>
      <c r="C296" s="45">
        <f>IFERROR(IF(B296="","",VLOOKUP(B296,DATABASE!$A:$B,2,0)),"")</f>
        <v/>
      </c>
      <c r="D296" s="29" t="n"/>
      <c r="E296" s="40">
        <f>IF(B296="","",TODAY())</f>
        <v/>
      </c>
      <c r="F296" s="30" t="n"/>
      <c r="G296" s="41" t="n"/>
      <c r="H296" s="42" t="n"/>
      <c r="I296" s="43">
        <f>IFERROR(IF(OR(D296="",G296="",H296=""),"",ABS(PMT(G296/100/12,H296,D296))),"")</f>
        <v/>
      </c>
      <c r="J296" s="44">
        <f>IF(B296="","","Active")</f>
        <v/>
      </c>
    </row>
    <row r="297" ht="20" customHeight="1">
      <c r="A297" s="39">
        <f>IF(B297="","","LN"&amp;TEXT(ROW()-2,"0000"))</f>
        <v/>
      </c>
      <c r="B297" s="26" t="n"/>
      <c r="C297" s="27">
        <f>IFERROR(IF(B297="","",VLOOKUP(B297,DATABASE!$A:$B,2,0)),"")</f>
        <v/>
      </c>
      <c r="D297" s="29" t="n"/>
      <c r="E297" s="40">
        <f>IF(B297="","",TODAY())</f>
        <v/>
      </c>
      <c r="F297" s="30" t="n"/>
      <c r="G297" s="41" t="n"/>
      <c r="H297" s="42" t="n"/>
      <c r="I297" s="43">
        <f>IFERROR(IF(OR(D297="",G297="",H297=""),"",ABS(PMT(G297/100/12,H297,D297))),"")</f>
        <v/>
      </c>
      <c r="J297" s="44">
        <f>IF(B297="","","Active")</f>
        <v/>
      </c>
    </row>
    <row r="298" ht="20" customHeight="1">
      <c r="A298" s="39">
        <f>IF(B298="","","LN"&amp;TEXT(ROW()-2,"0000"))</f>
        <v/>
      </c>
      <c r="B298" s="26" t="n"/>
      <c r="C298" s="45">
        <f>IFERROR(IF(B298="","",VLOOKUP(B298,DATABASE!$A:$B,2,0)),"")</f>
        <v/>
      </c>
      <c r="D298" s="29" t="n"/>
      <c r="E298" s="40">
        <f>IF(B298="","",TODAY())</f>
        <v/>
      </c>
      <c r="F298" s="30" t="n"/>
      <c r="G298" s="41" t="n"/>
      <c r="H298" s="42" t="n"/>
      <c r="I298" s="43">
        <f>IFERROR(IF(OR(D298="",G298="",H298=""),"",ABS(PMT(G298/100/12,H298,D298))),"")</f>
        <v/>
      </c>
      <c r="J298" s="44">
        <f>IF(B298="","","Active")</f>
        <v/>
      </c>
    </row>
    <row r="299" ht="20" customHeight="1">
      <c r="A299" s="39">
        <f>IF(B299="","","LN"&amp;TEXT(ROW()-2,"0000"))</f>
        <v/>
      </c>
      <c r="B299" s="26" t="n"/>
      <c r="C299" s="27">
        <f>IFERROR(IF(B299="","",VLOOKUP(B299,DATABASE!$A:$B,2,0)),"")</f>
        <v/>
      </c>
      <c r="D299" s="29" t="n"/>
      <c r="E299" s="40">
        <f>IF(B299="","",TODAY())</f>
        <v/>
      </c>
      <c r="F299" s="30" t="n"/>
      <c r="G299" s="41" t="n"/>
      <c r="H299" s="42" t="n"/>
      <c r="I299" s="43">
        <f>IFERROR(IF(OR(D299="",G299="",H299=""),"",ABS(PMT(G299/100/12,H299,D299))),"")</f>
        <v/>
      </c>
      <c r="J299" s="44">
        <f>IF(B299="","","Active")</f>
        <v/>
      </c>
    </row>
    <row r="300" ht="20" customHeight="1">
      <c r="A300" s="39">
        <f>IF(B300="","","LN"&amp;TEXT(ROW()-2,"0000"))</f>
        <v/>
      </c>
      <c r="B300" s="26" t="n"/>
      <c r="C300" s="45">
        <f>IFERROR(IF(B300="","",VLOOKUP(B300,DATABASE!$A:$B,2,0)),"")</f>
        <v/>
      </c>
      <c r="D300" s="29" t="n"/>
      <c r="E300" s="40">
        <f>IF(B300="","",TODAY())</f>
        <v/>
      </c>
      <c r="F300" s="30" t="n"/>
      <c r="G300" s="41" t="n"/>
      <c r="H300" s="42" t="n"/>
      <c r="I300" s="43">
        <f>IFERROR(IF(OR(D300="",G300="",H300=""),"",ABS(PMT(G300/100/12,H300,D300))),"")</f>
        <v/>
      </c>
      <c r="J300" s="44">
        <f>IF(B300="","","Active")</f>
        <v/>
      </c>
    </row>
    <row r="301" ht="20" customHeight="1">
      <c r="A301" s="39">
        <f>IF(B301="","","LN"&amp;TEXT(ROW()-2,"0000"))</f>
        <v/>
      </c>
      <c r="B301" s="26" t="n"/>
      <c r="C301" s="27">
        <f>IFERROR(IF(B301="","",VLOOKUP(B301,DATABASE!$A:$B,2,0)),"")</f>
        <v/>
      </c>
      <c r="D301" s="29" t="n"/>
      <c r="E301" s="40">
        <f>IF(B301="","",TODAY())</f>
        <v/>
      </c>
      <c r="F301" s="30" t="n"/>
      <c r="G301" s="41" t="n"/>
      <c r="H301" s="42" t="n"/>
      <c r="I301" s="43">
        <f>IFERROR(IF(OR(D301="",G301="",H301=""),"",ABS(PMT(G301/100/12,H301,D301))),"")</f>
        <v/>
      </c>
      <c r="J301" s="44">
        <f>IF(B301="","","Active")</f>
        <v/>
      </c>
    </row>
    <row r="302" ht="20" customHeight="1">
      <c r="A302" s="39">
        <f>IF(B302="","","LN"&amp;TEXT(ROW()-2,"0000"))</f>
        <v/>
      </c>
      <c r="B302" s="26" t="n"/>
      <c r="C302" s="45">
        <f>IFERROR(IF(B302="","",VLOOKUP(B302,DATABASE!$A:$B,2,0)),"")</f>
        <v/>
      </c>
      <c r="D302" s="29" t="n"/>
      <c r="E302" s="40">
        <f>IF(B302="","",TODAY())</f>
        <v/>
      </c>
      <c r="F302" s="30" t="n"/>
      <c r="G302" s="41" t="n"/>
      <c r="H302" s="42" t="n"/>
      <c r="I302" s="43">
        <f>IFERROR(IF(OR(D302="",G302="",H302=""),"",ABS(PMT(G302/100/12,H302,D302))),"")</f>
        <v/>
      </c>
      <c r="J302" s="44">
        <f>IF(B302="","","Active")</f>
        <v/>
      </c>
    </row>
    <row r="303" ht="20" customHeight="1">
      <c r="A303" s="39">
        <f>IF(B303="","","LN"&amp;TEXT(ROW()-2,"0000"))</f>
        <v/>
      </c>
      <c r="B303" s="26" t="n"/>
      <c r="C303" s="27">
        <f>IFERROR(IF(B303="","",VLOOKUP(B303,DATABASE!$A:$B,2,0)),"")</f>
        <v/>
      </c>
      <c r="D303" s="29" t="n"/>
      <c r="E303" s="40">
        <f>IF(B303="","",TODAY())</f>
        <v/>
      </c>
      <c r="F303" s="30" t="n"/>
      <c r="G303" s="41" t="n"/>
      <c r="H303" s="42" t="n"/>
      <c r="I303" s="43">
        <f>IFERROR(IF(OR(D303="",G303="",H303=""),"",ABS(PMT(G303/100/12,H303,D303))),"")</f>
        <v/>
      </c>
      <c r="J303" s="44">
        <f>IF(B303="","","Active")</f>
        <v/>
      </c>
    </row>
    <row r="304" ht="20" customHeight="1">
      <c r="A304" s="39">
        <f>IF(B304="","","LN"&amp;TEXT(ROW()-2,"0000"))</f>
        <v/>
      </c>
      <c r="B304" s="26" t="n"/>
      <c r="C304" s="45">
        <f>IFERROR(IF(B304="","",VLOOKUP(B304,DATABASE!$A:$B,2,0)),"")</f>
        <v/>
      </c>
      <c r="D304" s="29" t="n"/>
      <c r="E304" s="40">
        <f>IF(B304="","",TODAY())</f>
        <v/>
      </c>
      <c r="F304" s="30" t="n"/>
      <c r="G304" s="41" t="n"/>
      <c r="H304" s="42" t="n"/>
      <c r="I304" s="43">
        <f>IFERROR(IF(OR(D304="",G304="",H304=""),"",ABS(PMT(G304/100/12,H304,D304))),"")</f>
        <v/>
      </c>
      <c r="J304" s="44">
        <f>IF(B304="","","Active")</f>
        <v/>
      </c>
    </row>
    <row r="305" ht="20" customHeight="1">
      <c r="A305" s="39">
        <f>IF(B305="","","LN"&amp;TEXT(ROW()-2,"0000"))</f>
        <v/>
      </c>
      <c r="B305" s="26" t="n"/>
      <c r="C305" s="27">
        <f>IFERROR(IF(B305="","",VLOOKUP(B305,DATABASE!$A:$B,2,0)),"")</f>
        <v/>
      </c>
      <c r="D305" s="29" t="n"/>
      <c r="E305" s="40">
        <f>IF(B305="","",TODAY())</f>
        <v/>
      </c>
      <c r="F305" s="30" t="n"/>
      <c r="G305" s="41" t="n"/>
      <c r="H305" s="42" t="n"/>
      <c r="I305" s="43">
        <f>IFERROR(IF(OR(D305="",G305="",H305=""),"",ABS(PMT(G305/100/12,H305,D305))),"")</f>
        <v/>
      </c>
      <c r="J305" s="44">
        <f>IF(B305="","","Active")</f>
        <v/>
      </c>
    </row>
    <row r="306" ht="20" customHeight="1">
      <c r="A306" s="39">
        <f>IF(B306="","","LN"&amp;TEXT(ROW()-2,"0000"))</f>
        <v/>
      </c>
      <c r="B306" s="26" t="n"/>
      <c r="C306" s="45">
        <f>IFERROR(IF(B306="","",VLOOKUP(B306,DATABASE!$A:$B,2,0)),"")</f>
        <v/>
      </c>
      <c r="D306" s="29" t="n"/>
      <c r="E306" s="40">
        <f>IF(B306="","",TODAY())</f>
        <v/>
      </c>
      <c r="F306" s="30" t="n"/>
      <c r="G306" s="41" t="n"/>
      <c r="H306" s="42" t="n"/>
      <c r="I306" s="43">
        <f>IFERROR(IF(OR(D306="",G306="",H306=""),"",ABS(PMT(G306/100/12,H306,D306))),"")</f>
        <v/>
      </c>
      <c r="J306" s="44">
        <f>IF(B306="","","Active")</f>
        <v/>
      </c>
    </row>
    <row r="307" ht="20" customHeight="1">
      <c r="A307" s="39">
        <f>IF(B307="","","LN"&amp;TEXT(ROW()-2,"0000"))</f>
        <v/>
      </c>
      <c r="B307" s="26" t="n"/>
      <c r="C307" s="27">
        <f>IFERROR(IF(B307="","",VLOOKUP(B307,DATABASE!$A:$B,2,0)),"")</f>
        <v/>
      </c>
      <c r="D307" s="29" t="n"/>
      <c r="E307" s="40">
        <f>IF(B307="","",TODAY())</f>
        <v/>
      </c>
      <c r="F307" s="30" t="n"/>
      <c r="G307" s="41" t="n"/>
      <c r="H307" s="42" t="n"/>
      <c r="I307" s="43">
        <f>IFERROR(IF(OR(D307="",G307="",H307=""),"",ABS(PMT(G307/100/12,H307,D307))),"")</f>
        <v/>
      </c>
      <c r="J307" s="44">
        <f>IF(B307="","","Active")</f>
        <v/>
      </c>
    </row>
    <row r="308" ht="20" customHeight="1">
      <c r="A308" s="39">
        <f>IF(B308="","","LN"&amp;TEXT(ROW()-2,"0000"))</f>
        <v/>
      </c>
      <c r="B308" s="26" t="n"/>
      <c r="C308" s="45">
        <f>IFERROR(IF(B308="","",VLOOKUP(B308,DATABASE!$A:$B,2,0)),"")</f>
        <v/>
      </c>
      <c r="D308" s="29" t="n"/>
      <c r="E308" s="40">
        <f>IF(B308="","",TODAY())</f>
        <v/>
      </c>
      <c r="F308" s="30" t="n"/>
      <c r="G308" s="41" t="n"/>
      <c r="H308" s="42" t="n"/>
      <c r="I308" s="43">
        <f>IFERROR(IF(OR(D308="",G308="",H308=""),"",ABS(PMT(G308/100/12,H308,D308))),"")</f>
        <v/>
      </c>
      <c r="J308" s="44">
        <f>IF(B308="","","Active")</f>
        <v/>
      </c>
    </row>
    <row r="309" ht="20" customHeight="1">
      <c r="A309" s="39">
        <f>IF(B309="","","LN"&amp;TEXT(ROW()-2,"0000"))</f>
        <v/>
      </c>
      <c r="B309" s="26" t="n"/>
      <c r="C309" s="27">
        <f>IFERROR(IF(B309="","",VLOOKUP(B309,DATABASE!$A:$B,2,0)),"")</f>
        <v/>
      </c>
      <c r="D309" s="29" t="n"/>
      <c r="E309" s="40">
        <f>IF(B309="","",TODAY())</f>
        <v/>
      </c>
      <c r="F309" s="30" t="n"/>
      <c r="G309" s="41" t="n"/>
      <c r="H309" s="42" t="n"/>
      <c r="I309" s="43">
        <f>IFERROR(IF(OR(D309="",G309="",H309=""),"",ABS(PMT(G309/100/12,H309,D309))),"")</f>
        <v/>
      </c>
      <c r="J309" s="44">
        <f>IF(B309="","","Active")</f>
        <v/>
      </c>
    </row>
    <row r="310" ht="20" customHeight="1">
      <c r="A310" s="39">
        <f>IF(B310="","","LN"&amp;TEXT(ROW()-2,"0000"))</f>
        <v/>
      </c>
      <c r="B310" s="26" t="n"/>
      <c r="C310" s="45">
        <f>IFERROR(IF(B310="","",VLOOKUP(B310,DATABASE!$A:$B,2,0)),"")</f>
        <v/>
      </c>
      <c r="D310" s="29" t="n"/>
      <c r="E310" s="40">
        <f>IF(B310="","",TODAY())</f>
        <v/>
      </c>
      <c r="F310" s="30" t="n"/>
      <c r="G310" s="41" t="n"/>
      <c r="H310" s="42" t="n"/>
      <c r="I310" s="43">
        <f>IFERROR(IF(OR(D310="",G310="",H310=""),"",ABS(PMT(G310/100/12,H310,D310))),"")</f>
        <v/>
      </c>
      <c r="J310" s="44">
        <f>IF(B310="","","Active")</f>
        <v/>
      </c>
    </row>
    <row r="311" ht="20" customHeight="1">
      <c r="A311" s="39">
        <f>IF(B311="","","LN"&amp;TEXT(ROW()-2,"0000"))</f>
        <v/>
      </c>
      <c r="B311" s="26" t="n"/>
      <c r="C311" s="27">
        <f>IFERROR(IF(B311="","",VLOOKUP(B311,DATABASE!$A:$B,2,0)),"")</f>
        <v/>
      </c>
      <c r="D311" s="29" t="n"/>
      <c r="E311" s="40">
        <f>IF(B311="","",TODAY())</f>
        <v/>
      </c>
      <c r="F311" s="30" t="n"/>
      <c r="G311" s="41" t="n"/>
      <c r="H311" s="42" t="n"/>
      <c r="I311" s="43">
        <f>IFERROR(IF(OR(D311="",G311="",H311=""),"",ABS(PMT(G311/100/12,H311,D311))),"")</f>
        <v/>
      </c>
      <c r="J311" s="44">
        <f>IF(B311="","","Active")</f>
        <v/>
      </c>
    </row>
    <row r="312" ht="20" customHeight="1">
      <c r="A312" s="39">
        <f>IF(B312="","","LN"&amp;TEXT(ROW()-2,"0000"))</f>
        <v/>
      </c>
      <c r="B312" s="26" t="n"/>
      <c r="C312" s="45">
        <f>IFERROR(IF(B312="","",VLOOKUP(B312,DATABASE!$A:$B,2,0)),"")</f>
        <v/>
      </c>
      <c r="D312" s="29" t="n"/>
      <c r="E312" s="40">
        <f>IF(B312="","",TODAY())</f>
        <v/>
      </c>
      <c r="F312" s="30" t="n"/>
      <c r="G312" s="41" t="n"/>
      <c r="H312" s="42" t="n"/>
      <c r="I312" s="43">
        <f>IFERROR(IF(OR(D312="",G312="",H312=""),"",ABS(PMT(G312/100/12,H312,D312))),"")</f>
        <v/>
      </c>
      <c r="J312" s="44">
        <f>IF(B312="","","Active")</f>
        <v/>
      </c>
    </row>
    <row r="313" ht="20" customHeight="1">
      <c r="A313" s="39">
        <f>IF(B313="","","LN"&amp;TEXT(ROW()-2,"0000"))</f>
        <v/>
      </c>
      <c r="B313" s="26" t="n"/>
      <c r="C313" s="27">
        <f>IFERROR(IF(B313="","",VLOOKUP(B313,DATABASE!$A:$B,2,0)),"")</f>
        <v/>
      </c>
      <c r="D313" s="29" t="n"/>
      <c r="E313" s="40">
        <f>IF(B313="","",TODAY())</f>
        <v/>
      </c>
      <c r="F313" s="30" t="n"/>
      <c r="G313" s="41" t="n"/>
      <c r="H313" s="42" t="n"/>
      <c r="I313" s="43">
        <f>IFERROR(IF(OR(D313="",G313="",H313=""),"",ABS(PMT(G313/100/12,H313,D313))),"")</f>
        <v/>
      </c>
      <c r="J313" s="44">
        <f>IF(B313="","","Active")</f>
        <v/>
      </c>
    </row>
    <row r="314" ht="20" customHeight="1">
      <c r="A314" s="39">
        <f>IF(B314="","","LN"&amp;TEXT(ROW()-2,"0000"))</f>
        <v/>
      </c>
      <c r="B314" s="26" t="n"/>
      <c r="C314" s="45">
        <f>IFERROR(IF(B314="","",VLOOKUP(B314,DATABASE!$A:$B,2,0)),"")</f>
        <v/>
      </c>
      <c r="D314" s="29" t="n"/>
      <c r="E314" s="40">
        <f>IF(B314="","",TODAY())</f>
        <v/>
      </c>
      <c r="F314" s="30" t="n"/>
      <c r="G314" s="41" t="n"/>
      <c r="H314" s="42" t="n"/>
      <c r="I314" s="43">
        <f>IFERROR(IF(OR(D314="",G314="",H314=""),"",ABS(PMT(G314/100/12,H314,D314))),"")</f>
        <v/>
      </c>
      <c r="J314" s="44">
        <f>IF(B314="","","Active")</f>
        <v/>
      </c>
    </row>
    <row r="315" ht="20" customHeight="1">
      <c r="A315" s="39">
        <f>IF(B315="","","LN"&amp;TEXT(ROW()-2,"0000"))</f>
        <v/>
      </c>
      <c r="B315" s="26" t="n"/>
      <c r="C315" s="27">
        <f>IFERROR(IF(B315="","",VLOOKUP(B315,DATABASE!$A:$B,2,0)),"")</f>
        <v/>
      </c>
      <c r="D315" s="29" t="n"/>
      <c r="E315" s="40">
        <f>IF(B315="","",TODAY())</f>
        <v/>
      </c>
      <c r="F315" s="30" t="n"/>
      <c r="G315" s="41" t="n"/>
      <c r="H315" s="42" t="n"/>
      <c r="I315" s="43">
        <f>IFERROR(IF(OR(D315="",G315="",H315=""),"",ABS(PMT(G315/100/12,H315,D315))),"")</f>
        <v/>
      </c>
      <c r="J315" s="44">
        <f>IF(B315="","","Active")</f>
        <v/>
      </c>
    </row>
    <row r="316" ht="20" customHeight="1">
      <c r="A316" s="39">
        <f>IF(B316="","","LN"&amp;TEXT(ROW()-2,"0000"))</f>
        <v/>
      </c>
      <c r="B316" s="26" t="n"/>
      <c r="C316" s="45">
        <f>IFERROR(IF(B316="","",VLOOKUP(B316,DATABASE!$A:$B,2,0)),"")</f>
        <v/>
      </c>
      <c r="D316" s="29" t="n"/>
      <c r="E316" s="40">
        <f>IF(B316="","",TODAY())</f>
        <v/>
      </c>
      <c r="F316" s="30" t="n"/>
      <c r="G316" s="41" t="n"/>
      <c r="H316" s="42" t="n"/>
      <c r="I316" s="43">
        <f>IFERROR(IF(OR(D316="",G316="",H316=""),"",ABS(PMT(G316/100/12,H316,D316))),"")</f>
        <v/>
      </c>
      <c r="J316" s="44">
        <f>IF(B316="","","Active")</f>
        <v/>
      </c>
    </row>
    <row r="317" ht="20" customHeight="1">
      <c r="A317" s="39">
        <f>IF(B317="","","LN"&amp;TEXT(ROW()-2,"0000"))</f>
        <v/>
      </c>
      <c r="B317" s="26" t="n"/>
      <c r="C317" s="27">
        <f>IFERROR(IF(B317="","",VLOOKUP(B317,DATABASE!$A:$B,2,0)),"")</f>
        <v/>
      </c>
      <c r="D317" s="29" t="n"/>
      <c r="E317" s="40">
        <f>IF(B317="","",TODAY())</f>
        <v/>
      </c>
      <c r="F317" s="30" t="n"/>
      <c r="G317" s="41" t="n"/>
      <c r="H317" s="42" t="n"/>
      <c r="I317" s="43">
        <f>IFERROR(IF(OR(D317="",G317="",H317=""),"",ABS(PMT(G317/100/12,H317,D317))),"")</f>
        <v/>
      </c>
      <c r="J317" s="44">
        <f>IF(B317="","","Active")</f>
        <v/>
      </c>
    </row>
    <row r="318" ht="20" customHeight="1">
      <c r="A318" s="39">
        <f>IF(B318="","","LN"&amp;TEXT(ROW()-2,"0000"))</f>
        <v/>
      </c>
      <c r="B318" s="26" t="n"/>
      <c r="C318" s="45">
        <f>IFERROR(IF(B318="","",VLOOKUP(B318,DATABASE!$A:$B,2,0)),"")</f>
        <v/>
      </c>
      <c r="D318" s="29" t="n"/>
      <c r="E318" s="40">
        <f>IF(B318="","",TODAY())</f>
        <v/>
      </c>
      <c r="F318" s="30" t="n"/>
      <c r="G318" s="41" t="n"/>
      <c r="H318" s="42" t="n"/>
      <c r="I318" s="43">
        <f>IFERROR(IF(OR(D318="",G318="",H318=""),"",ABS(PMT(G318/100/12,H318,D318))),"")</f>
        <v/>
      </c>
      <c r="J318" s="44">
        <f>IF(B318="","","Active")</f>
        <v/>
      </c>
    </row>
    <row r="319" ht="20" customHeight="1">
      <c r="A319" s="39">
        <f>IF(B319="","","LN"&amp;TEXT(ROW()-2,"0000"))</f>
        <v/>
      </c>
      <c r="B319" s="26" t="n"/>
      <c r="C319" s="27">
        <f>IFERROR(IF(B319="","",VLOOKUP(B319,DATABASE!$A:$B,2,0)),"")</f>
        <v/>
      </c>
      <c r="D319" s="29" t="n"/>
      <c r="E319" s="40">
        <f>IF(B319="","",TODAY())</f>
        <v/>
      </c>
      <c r="F319" s="30" t="n"/>
      <c r="G319" s="41" t="n"/>
      <c r="H319" s="42" t="n"/>
      <c r="I319" s="43">
        <f>IFERROR(IF(OR(D319="",G319="",H319=""),"",ABS(PMT(G319/100/12,H319,D319))),"")</f>
        <v/>
      </c>
      <c r="J319" s="44">
        <f>IF(B319="","","Active")</f>
        <v/>
      </c>
    </row>
    <row r="320" ht="20" customHeight="1">
      <c r="A320" s="39">
        <f>IF(B320="","","LN"&amp;TEXT(ROW()-2,"0000"))</f>
        <v/>
      </c>
      <c r="B320" s="26" t="n"/>
      <c r="C320" s="45">
        <f>IFERROR(IF(B320="","",VLOOKUP(B320,DATABASE!$A:$B,2,0)),"")</f>
        <v/>
      </c>
      <c r="D320" s="29" t="n"/>
      <c r="E320" s="40">
        <f>IF(B320="","",TODAY())</f>
        <v/>
      </c>
      <c r="F320" s="30" t="n"/>
      <c r="G320" s="41" t="n"/>
      <c r="H320" s="42" t="n"/>
      <c r="I320" s="43">
        <f>IFERROR(IF(OR(D320="",G320="",H320=""),"",ABS(PMT(G320/100/12,H320,D320))),"")</f>
        <v/>
      </c>
      <c r="J320" s="44">
        <f>IF(B320="","","Active")</f>
        <v/>
      </c>
    </row>
    <row r="321" ht="20" customHeight="1">
      <c r="A321" s="39">
        <f>IF(B321="","","LN"&amp;TEXT(ROW()-2,"0000"))</f>
        <v/>
      </c>
      <c r="B321" s="26" t="n"/>
      <c r="C321" s="27">
        <f>IFERROR(IF(B321="","",VLOOKUP(B321,DATABASE!$A:$B,2,0)),"")</f>
        <v/>
      </c>
      <c r="D321" s="29" t="n"/>
      <c r="E321" s="40">
        <f>IF(B321="","",TODAY())</f>
        <v/>
      </c>
      <c r="F321" s="30" t="n"/>
      <c r="G321" s="41" t="n"/>
      <c r="H321" s="42" t="n"/>
      <c r="I321" s="43">
        <f>IFERROR(IF(OR(D321="",G321="",H321=""),"",ABS(PMT(G321/100/12,H321,D321))),"")</f>
        <v/>
      </c>
      <c r="J321" s="44">
        <f>IF(B321="","","Active")</f>
        <v/>
      </c>
    </row>
    <row r="322" ht="20" customHeight="1">
      <c r="A322" s="39">
        <f>IF(B322="","","LN"&amp;TEXT(ROW()-2,"0000"))</f>
        <v/>
      </c>
      <c r="B322" s="26" t="n"/>
      <c r="C322" s="45">
        <f>IFERROR(IF(B322="","",VLOOKUP(B322,DATABASE!$A:$B,2,0)),"")</f>
        <v/>
      </c>
      <c r="D322" s="29" t="n"/>
      <c r="E322" s="40">
        <f>IF(B322="","",TODAY())</f>
        <v/>
      </c>
      <c r="F322" s="30" t="n"/>
      <c r="G322" s="41" t="n"/>
      <c r="H322" s="42" t="n"/>
      <c r="I322" s="43">
        <f>IFERROR(IF(OR(D322="",G322="",H322=""),"",ABS(PMT(G322/100/12,H322,D322))),"")</f>
        <v/>
      </c>
      <c r="J322" s="44">
        <f>IF(B322="","","Active")</f>
        <v/>
      </c>
    </row>
    <row r="323" ht="20" customHeight="1">
      <c r="A323" s="39">
        <f>IF(B323="","","LN"&amp;TEXT(ROW()-2,"0000"))</f>
        <v/>
      </c>
      <c r="B323" s="26" t="n"/>
      <c r="C323" s="27">
        <f>IFERROR(IF(B323="","",VLOOKUP(B323,DATABASE!$A:$B,2,0)),"")</f>
        <v/>
      </c>
      <c r="D323" s="29" t="n"/>
      <c r="E323" s="40">
        <f>IF(B323="","",TODAY())</f>
        <v/>
      </c>
      <c r="F323" s="30" t="n"/>
      <c r="G323" s="41" t="n"/>
      <c r="H323" s="42" t="n"/>
      <c r="I323" s="43">
        <f>IFERROR(IF(OR(D323="",G323="",H323=""),"",ABS(PMT(G323/100/12,H323,D323))),"")</f>
        <v/>
      </c>
      <c r="J323" s="44">
        <f>IF(B323="","","Active")</f>
        <v/>
      </c>
    </row>
    <row r="324" ht="20" customHeight="1">
      <c r="A324" s="39">
        <f>IF(B324="","","LN"&amp;TEXT(ROW()-2,"0000"))</f>
        <v/>
      </c>
      <c r="B324" s="26" t="n"/>
      <c r="C324" s="45">
        <f>IFERROR(IF(B324="","",VLOOKUP(B324,DATABASE!$A:$B,2,0)),"")</f>
        <v/>
      </c>
      <c r="D324" s="29" t="n"/>
      <c r="E324" s="40">
        <f>IF(B324="","",TODAY())</f>
        <v/>
      </c>
      <c r="F324" s="30" t="n"/>
      <c r="G324" s="41" t="n"/>
      <c r="H324" s="42" t="n"/>
      <c r="I324" s="43">
        <f>IFERROR(IF(OR(D324="",G324="",H324=""),"",ABS(PMT(G324/100/12,H324,D324))),"")</f>
        <v/>
      </c>
      <c r="J324" s="44">
        <f>IF(B324="","","Active")</f>
        <v/>
      </c>
    </row>
    <row r="325" ht="20" customHeight="1">
      <c r="A325" s="39">
        <f>IF(B325="","","LN"&amp;TEXT(ROW()-2,"0000"))</f>
        <v/>
      </c>
      <c r="B325" s="26" t="n"/>
      <c r="C325" s="27">
        <f>IFERROR(IF(B325="","",VLOOKUP(B325,DATABASE!$A:$B,2,0)),"")</f>
        <v/>
      </c>
      <c r="D325" s="29" t="n"/>
      <c r="E325" s="40">
        <f>IF(B325="","",TODAY())</f>
        <v/>
      </c>
      <c r="F325" s="30" t="n"/>
      <c r="G325" s="41" t="n"/>
      <c r="H325" s="42" t="n"/>
      <c r="I325" s="43">
        <f>IFERROR(IF(OR(D325="",G325="",H325=""),"",ABS(PMT(G325/100/12,H325,D325))),"")</f>
        <v/>
      </c>
      <c r="J325" s="44">
        <f>IF(B325="","","Active")</f>
        <v/>
      </c>
    </row>
    <row r="326" ht="20" customHeight="1">
      <c r="A326" s="39">
        <f>IF(B326="","","LN"&amp;TEXT(ROW()-2,"0000"))</f>
        <v/>
      </c>
      <c r="B326" s="26" t="n"/>
      <c r="C326" s="45">
        <f>IFERROR(IF(B326="","",VLOOKUP(B326,DATABASE!$A:$B,2,0)),"")</f>
        <v/>
      </c>
      <c r="D326" s="29" t="n"/>
      <c r="E326" s="40">
        <f>IF(B326="","",TODAY())</f>
        <v/>
      </c>
      <c r="F326" s="30" t="n"/>
      <c r="G326" s="41" t="n"/>
      <c r="H326" s="42" t="n"/>
      <c r="I326" s="43">
        <f>IFERROR(IF(OR(D326="",G326="",H326=""),"",ABS(PMT(G326/100/12,H326,D326))),"")</f>
        <v/>
      </c>
      <c r="J326" s="44">
        <f>IF(B326="","","Active")</f>
        <v/>
      </c>
    </row>
    <row r="327" ht="20" customHeight="1">
      <c r="A327" s="39">
        <f>IF(B327="","","LN"&amp;TEXT(ROW()-2,"0000"))</f>
        <v/>
      </c>
      <c r="B327" s="26" t="n"/>
      <c r="C327" s="27">
        <f>IFERROR(IF(B327="","",VLOOKUP(B327,DATABASE!$A:$B,2,0)),"")</f>
        <v/>
      </c>
      <c r="D327" s="29" t="n"/>
      <c r="E327" s="40">
        <f>IF(B327="","",TODAY())</f>
        <v/>
      </c>
      <c r="F327" s="30" t="n"/>
      <c r="G327" s="41" t="n"/>
      <c r="H327" s="42" t="n"/>
      <c r="I327" s="43">
        <f>IFERROR(IF(OR(D327="",G327="",H327=""),"",ABS(PMT(G327/100/12,H327,D327))),"")</f>
        <v/>
      </c>
      <c r="J327" s="44">
        <f>IF(B327="","","Active")</f>
        <v/>
      </c>
    </row>
    <row r="328" ht="20" customHeight="1">
      <c r="A328" s="39">
        <f>IF(B328="","","LN"&amp;TEXT(ROW()-2,"0000"))</f>
        <v/>
      </c>
      <c r="B328" s="26" t="n"/>
      <c r="C328" s="45">
        <f>IFERROR(IF(B328="","",VLOOKUP(B328,DATABASE!$A:$B,2,0)),"")</f>
        <v/>
      </c>
      <c r="D328" s="29" t="n"/>
      <c r="E328" s="40">
        <f>IF(B328="","",TODAY())</f>
        <v/>
      </c>
      <c r="F328" s="30" t="n"/>
      <c r="G328" s="41" t="n"/>
      <c r="H328" s="42" t="n"/>
      <c r="I328" s="43">
        <f>IFERROR(IF(OR(D328="",G328="",H328=""),"",ABS(PMT(G328/100/12,H328,D328))),"")</f>
        <v/>
      </c>
      <c r="J328" s="44">
        <f>IF(B328="","","Active")</f>
        <v/>
      </c>
    </row>
    <row r="329" ht="20" customHeight="1">
      <c r="A329" s="39">
        <f>IF(B329="","","LN"&amp;TEXT(ROW()-2,"0000"))</f>
        <v/>
      </c>
      <c r="B329" s="26" t="n"/>
      <c r="C329" s="27">
        <f>IFERROR(IF(B329="","",VLOOKUP(B329,DATABASE!$A:$B,2,0)),"")</f>
        <v/>
      </c>
      <c r="D329" s="29" t="n"/>
      <c r="E329" s="40">
        <f>IF(B329="","",TODAY())</f>
        <v/>
      </c>
      <c r="F329" s="30" t="n"/>
      <c r="G329" s="41" t="n"/>
      <c r="H329" s="42" t="n"/>
      <c r="I329" s="43">
        <f>IFERROR(IF(OR(D329="",G329="",H329=""),"",ABS(PMT(G329/100/12,H329,D329))),"")</f>
        <v/>
      </c>
      <c r="J329" s="44">
        <f>IF(B329="","","Active")</f>
        <v/>
      </c>
    </row>
    <row r="330" ht="20" customHeight="1">
      <c r="A330" s="39">
        <f>IF(B330="","","LN"&amp;TEXT(ROW()-2,"0000"))</f>
        <v/>
      </c>
      <c r="B330" s="26" t="n"/>
      <c r="C330" s="45">
        <f>IFERROR(IF(B330="","",VLOOKUP(B330,DATABASE!$A:$B,2,0)),"")</f>
        <v/>
      </c>
      <c r="D330" s="29" t="n"/>
      <c r="E330" s="40">
        <f>IF(B330="","",TODAY())</f>
        <v/>
      </c>
      <c r="F330" s="30" t="n"/>
      <c r="G330" s="41" t="n"/>
      <c r="H330" s="42" t="n"/>
      <c r="I330" s="43">
        <f>IFERROR(IF(OR(D330="",G330="",H330=""),"",ABS(PMT(G330/100/12,H330,D330))),"")</f>
        <v/>
      </c>
      <c r="J330" s="44">
        <f>IF(B330="","","Active")</f>
        <v/>
      </c>
    </row>
    <row r="331" ht="20" customHeight="1">
      <c r="A331" s="39">
        <f>IF(B331="","","LN"&amp;TEXT(ROW()-2,"0000"))</f>
        <v/>
      </c>
      <c r="B331" s="26" t="n"/>
      <c r="C331" s="27">
        <f>IFERROR(IF(B331="","",VLOOKUP(B331,DATABASE!$A:$B,2,0)),"")</f>
        <v/>
      </c>
      <c r="D331" s="29" t="n"/>
      <c r="E331" s="40">
        <f>IF(B331="","",TODAY())</f>
        <v/>
      </c>
      <c r="F331" s="30" t="n"/>
      <c r="G331" s="41" t="n"/>
      <c r="H331" s="42" t="n"/>
      <c r="I331" s="43">
        <f>IFERROR(IF(OR(D331="",G331="",H331=""),"",ABS(PMT(G331/100/12,H331,D331))),"")</f>
        <v/>
      </c>
      <c r="J331" s="44">
        <f>IF(B331="","","Active")</f>
        <v/>
      </c>
    </row>
    <row r="332" ht="20" customHeight="1">
      <c r="A332" s="39">
        <f>IF(B332="","","LN"&amp;TEXT(ROW()-2,"0000"))</f>
        <v/>
      </c>
      <c r="B332" s="26" t="n"/>
      <c r="C332" s="45">
        <f>IFERROR(IF(B332="","",VLOOKUP(B332,DATABASE!$A:$B,2,0)),"")</f>
        <v/>
      </c>
      <c r="D332" s="29" t="n"/>
      <c r="E332" s="40">
        <f>IF(B332="","",TODAY())</f>
        <v/>
      </c>
      <c r="F332" s="30" t="n"/>
      <c r="G332" s="41" t="n"/>
      <c r="H332" s="42" t="n"/>
      <c r="I332" s="43">
        <f>IFERROR(IF(OR(D332="",G332="",H332=""),"",ABS(PMT(G332/100/12,H332,D332))),"")</f>
        <v/>
      </c>
      <c r="J332" s="44">
        <f>IF(B332="","","Active")</f>
        <v/>
      </c>
    </row>
    <row r="333" ht="20" customHeight="1">
      <c r="A333" s="39">
        <f>IF(B333="","","LN"&amp;TEXT(ROW()-2,"0000"))</f>
        <v/>
      </c>
      <c r="B333" s="26" t="n"/>
      <c r="C333" s="27">
        <f>IFERROR(IF(B333="","",VLOOKUP(B333,DATABASE!$A:$B,2,0)),"")</f>
        <v/>
      </c>
      <c r="D333" s="29" t="n"/>
      <c r="E333" s="40">
        <f>IF(B333="","",TODAY())</f>
        <v/>
      </c>
      <c r="F333" s="30" t="n"/>
      <c r="G333" s="41" t="n"/>
      <c r="H333" s="42" t="n"/>
      <c r="I333" s="43">
        <f>IFERROR(IF(OR(D333="",G333="",H333=""),"",ABS(PMT(G333/100/12,H333,D333))),"")</f>
        <v/>
      </c>
      <c r="J333" s="44">
        <f>IF(B333="","","Active")</f>
        <v/>
      </c>
    </row>
    <row r="334" ht="20" customHeight="1">
      <c r="A334" s="39">
        <f>IF(B334="","","LN"&amp;TEXT(ROW()-2,"0000"))</f>
        <v/>
      </c>
      <c r="B334" s="26" t="n"/>
      <c r="C334" s="45">
        <f>IFERROR(IF(B334="","",VLOOKUP(B334,DATABASE!$A:$B,2,0)),"")</f>
        <v/>
      </c>
      <c r="D334" s="29" t="n"/>
      <c r="E334" s="40">
        <f>IF(B334="","",TODAY())</f>
        <v/>
      </c>
      <c r="F334" s="30" t="n"/>
      <c r="G334" s="41" t="n"/>
      <c r="H334" s="42" t="n"/>
      <c r="I334" s="43">
        <f>IFERROR(IF(OR(D334="",G334="",H334=""),"",ABS(PMT(G334/100/12,H334,D334))),"")</f>
        <v/>
      </c>
      <c r="J334" s="44">
        <f>IF(B334="","","Active")</f>
        <v/>
      </c>
    </row>
    <row r="335" ht="20" customHeight="1">
      <c r="A335" s="39">
        <f>IF(B335="","","LN"&amp;TEXT(ROW()-2,"0000"))</f>
        <v/>
      </c>
      <c r="B335" s="26" t="n"/>
      <c r="C335" s="27">
        <f>IFERROR(IF(B335="","",VLOOKUP(B335,DATABASE!$A:$B,2,0)),"")</f>
        <v/>
      </c>
      <c r="D335" s="29" t="n"/>
      <c r="E335" s="40">
        <f>IF(B335="","",TODAY())</f>
        <v/>
      </c>
      <c r="F335" s="30" t="n"/>
      <c r="G335" s="41" t="n"/>
      <c r="H335" s="42" t="n"/>
      <c r="I335" s="43">
        <f>IFERROR(IF(OR(D335="",G335="",H335=""),"",ABS(PMT(G335/100/12,H335,D335))),"")</f>
        <v/>
      </c>
      <c r="J335" s="44">
        <f>IF(B335="","","Active")</f>
        <v/>
      </c>
    </row>
    <row r="336" ht="20" customHeight="1">
      <c r="A336" s="39">
        <f>IF(B336="","","LN"&amp;TEXT(ROW()-2,"0000"))</f>
        <v/>
      </c>
      <c r="B336" s="26" t="n"/>
      <c r="C336" s="45">
        <f>IFERROR(IF(B336="","",VLOOKUP(B336,DATABASE!$A:$B,2,0)),"")</f>
        <v/>
      </c>
      <c r="D336" s="29" t="n"/>
      <c r="E336" s="40">
        <f>IF(B336="","",TODAY())</f>
        <v/>
      </c>
      <c r="F336" s="30" t="n"/>
      <c r="G336" s="41" t="n"/>
      <c r="H336" s="42" t="n"/>
      <c r="I336" s="43">
        <f>IFERROR(IF(OR(D336="",G336="",H336=""),"",ABS(PMT(G336/100/12,H336,D336))),"")</f>
        <v/>
      </c>
      <c r="J336" s="44">
        <f>IF(B336="","","Active")</f>
        <v/>
      </c>
    </row>
    <row r="337" ht="20" customHeight="1">
      <c r="A337" s="39">
        <f>IF(B337="","","LN"&amp;TEXT(ROW()-2,"0000"))</f>
        <v/>
      </c>
      <c r="B337" s="26" t="n"/>
      <c r="C337" s="27">
        <f>IFERROR(IF(B337="","",VLOOKUP(B337,DATABASE!$A:$B,2,0)),"")</f>
        <v/>
      </c>
      <c r="D337" s="29" t="n"/>
      <c r="E337" s="40">
        <f>IF(B337="","",TODAY())</f>
        <v/>
      </c>
      <c r="F337" s="30" t="n"/>
      <c r="G337" s="41" t="n"/>
      <c r="H337" s="42" t="n"/>
      <c r="I337" s="43">
        <f>IFERROR(IF(OR(D337="",G337="",H337=""),"",ABS(PMT(G337/100/12,H337,D337))),"")</f>
        <v/>
      </c>
      <c r="J337" s="44">
        <f>IF(B337="","","Active")</f>
        <v/>
      </c>
    </row>
    <row r="338" ht="20" customHeight="1">
      <c r="A338" s="39">
        <f>IF(B338="","","LN"&amp;TEXT(ROW()-2,"0000"))</f>
        <v/>
      </c>
      <c r="B338" s="26" t="n"/>
      <c r="C338" s="45">
        <f>IFERROR(IF(B338="","",VLOOKUP(B338,DATABASE!$A:$B,2,0)),"")</f>
        <v/>
      </c>
      <c r="D338" s="29" t="n"/>
      <c r="E338" s="40">
        <f>IF(B338="","",TODAY())</f>
        <v/>
      </c>
      <c r="F338" s="30" t="n"/>
      <c r="G338" s="41" t="n"/>
      <c r="H338" s="42" t="n"/>
      <c r="I338" s="43">
        <f>IFERROR(IF(OR(D338="",G338="",H338=""),"",ABS(PMT(G338/100/12,H338,D338))),"")</f>
        <v/>
      </c>
      <c r="J338" s="44">
        <f>IF(B338="","","Active")</f>
        <v/>
      </c>
    </row>
    <row r="339" ht="20" customHeight="1">
      <c r="A339" s="39">
        <f>IF(B339="","","LN"&amp;TEXT(ROW()-2,"0000"))</f>
        <v/>
      </c>
      <c r="B339" s="26" t="n"/>
      <c r="C339" s="27">
        <f>IFERROR(IF(B339="","",VLOOKUP(B339,DATABASE!$A:$B,2,0)),"")</f>
        <v/>
      </c>
      <c r="D339" s="29" t="n"/>
      <c r="E339" s="40">
        <f>IF(B339="","",TODAY())</f>
        <v/>
      </c>
      <c r="F339" s="30" t="n"/>
      <c r="G339" s="41" t="n"/>
      <c r="H339" s="42" t="n"/>
      <c r="I339" s="43">
        <f>IFERROR(IF(OR(D339="",G339="",H339=""),"",ABS(PMT(G339/100/12,H339,D339))),"")</f>
        <v/>
      </c>
      <c r="J339" s="44">
        <f>IF(B339="","","Active")</f>
        <v/>
      </c>
    </row>
    <row r="340" ht="20" customHeight="1">
      <c r="A340" s="39">
        <f>IF(B340="","","LN"&amp;TEXT(ROW()-2,"0000"))</f>
        <v/>
      </c>
      <c r="B340" s="26" t="n"/>
      <c r="C340" s="45">
        <f>IFERROR(IF(B340="","",VLOOKUP(B340,DATABASE!$A:$B,2,0)),"")</f>
        <v/>
      </c>
      <c r="D340" s="29" t="n"/>
      <c r="E340" s="40">
        <f>IF(B340="","",TODAY())</f>
        <v/>
      </c>
      <c r="F340" s="30" t="n"/>
      <c r="G340" s="41" t="n"/>
      <c r="H340" s="42" t="n"/>
      <c r="I340" s="43">
        <f>IFERROR(IF(OR(D340="",G340="",H340=""),"",ABS(PMT(G340/100/12,H340,D340))),"")</f>
        <v/>
      </c>
      <c r="J340" s="44">
        <f>IF(B340="","","Active")</f>
        <v/>
      </c>
    </row>
    <row r="341" ht="20" customHeight="1">
      <c r="A341" s="39">
        <f>IF(B341="","","LN"&amp;TEXT(ROW()-2,"0000"))</f>
        <v/>
      </c>
      <c r="B341" s="26" t="n"/>
      <c r="C341" s="27">
        <f>IFERROR(IF(B341="","",VLOOKUP(B341,DATABASE!$A:$B,2,0)),"")</f>
        <v/>
      </c>
      <c r="D341" s="29" t="n"/>
      <c r="E341" s="40">
        <f>IF(B341="","",TODAY())</f>
        <v/>
      </c>
      <c r="F341" s="30" t="n"/>
      <c r="G341" s="41" t="n"/>
      <c r="H341" s="42" t="n"/>
      <c r="I341" s="43">
        <f>IFERROR(IF(OR(D341="",G341="",H341=""),"",ABS(PMT(G341/100/12,H341,D341))),"")</f>
        <v/>
      </c>
      <c r="J341" s="44">
        <f>IF(B341="","","Active")</f>
        <v/>
      </c>
    </row>
    <row r="342" ht="20" customHeight="1">
      <c r="A342" s="39">
        <f>IF(B342="","","LN"&amp;TEXT(ROW()-2,"0000"))</f>
        <v/>
      </c>
      <c r="B342" s="26" t="n"/>
      <c r="C342" s="45">
        <f>IFERROR(IF(B342="","",VLOOKUP(B342,DATABASE!$A:$B,2,0)),"")</f>
        <v/>
      </c>
      <c r="D342" s="29" t="n"/>
      <c r="E342" s="40">
        <f>IF(B342="","",TODAY())</f>
        <v/>
      </c>
      <c r="F342" s="30" t="n"/>
      <c r="G342" s="41" t="n"/>
      <c r="H342" s="42" t="n"/>
      <c r="I342" s="43">
        <f>IFERROR(IF(OR(D342="",G342="",H342=""),"",ABS(PMT(G342/100/12,H342,D342))),"")</f>
        <v/>
      </c>
      <c r="J342" s="44">
        <f>IF(B342="","","Active")</f>
        <v/>
      </c>
    </row>
    <row r="343" ht="20" customHeight="1">
      <c r="A343" s="39">
        <f>IF(B343="","","LN"&amp;TEXT(ROW()-2,"0000"))</f>
        <v/>
      </c>
      <c r="B343" s="26" t="n"/>
      <c r="C343" s="27">
        <f>IFERROR(IF(B343="","",VLOOKUP(B343,DATABASE!$A:$B,2,0)),"")</f>
        <v/>
      </c>
      <c r="D343" s="29" t="n"/>
      <c r="E343" s="40">
        <f>IF(B343="","",TODAY())</f>
        <v/>
      </c>
      <c r="F343" s="30" t="n"/>
      <c r="G343" s="41" t="n"/>
      <c r="H343" s="42" t="n"/>
      <c r="I343" s="43">
        <f>IFERROR(IF(OR(D343="",G343="",H343=""),"",ABS(PMT(G343/100/12,H343,D343))),"")</f>
        <v/>
      </c>
      <c r="J343" s="44">
        <f>IF(B343="","","Active")</f>
        <v/>
      </c>
    </row>
    <row r="344" ht="20" customHeight="1">
      <c r="A344" s="39">
        <f>IF(B344="","","LN"&amp;TEXT(ROW()-2,"0000"))</f>
        <v/>
      </c>
      <c r="B344" s="26" t="n"/>
      <c r="C344" s="45">
        <f>IFERROR(IF(B344="","",VLOOKUP(B344,DATABASE!$A:$B,2,0)),"")</f>
        <v/>
      </c>
      <c r="D344" s="29" t="n"/>
      <c r="E344" s="40">
        <f>IF(B344="","",TODAY())</f>
        <v/>
      </c>
      <c r="F344" s="30" t="n"/>
      <c r="G344" s="41" t="n"/>
      <c r="H344" s="42" t="n"/>
      <c r="I344" s="43">
        <f>IFERROR(IF(OR(D344="",G344="",H344=""),"",ABS(PMT(G344/100/12,H344,D344))),"")</f>
        <v/>
      </c>
      <c r="J344" s="44">
        <f>IF(B344="","","Active")</f>
        <v/>
      </c>
    </row>
    <row r="345" ht="20" customHeight="1">
      <c r="A345" s="39">
        <f>IF(B345="","","LN"&amp;TEXT(ROW()-2,"0000"))</f>
        <v/>
      </c>
      <c r="B345" s="26" t="n"/>
      <c r="C345" s="27">
        <f>IFERROR(IF(B345="","",VLOOKUP(B345,DATABASE!$A:$B,2,0)),"")</f>
        <v/>
      </c>
      <c r="D345" s="29" t="n"/>
      <c r="E345" s="40">
        <f>IF(B345="","",TODAY())</f>
        <v/>
      </c>
      <c r="F345" s="30" t="n"/>
      <c r="G345" s="41" t="n"/>
      <c r="H345" s="42" t="n"/>
      <c r="I345" s="43">
        <f>IFERROR(IF(OR(D345="",G345="",H345=""),"",ABS(PMT(G345/100/12,H345,D345))),"")</f>
        <v/>
      </c>
      <c r="J345" s="44">
        <f>IF(B345="","","Active")</f>
        <v/>
      </c>
    </row>
    <row r="346" ht="20" customHeight="1">
      <c r="A346" s="39">
        <f>IF(B346="","","LN"&amp;TEXT(ROW()-2,"0000"))</f>
        <v/>
      </c>
      <c r="B346" s="26" t="n"/>
      <c r="C346" s="45">
        <f>IFERROR(IF(B346="","",VLOOKUP(B346,DATABASE!$A:$B,2,0)),"")</f>
        <v/>
      </c>
      <c r="D346" s="29" t="n"/>
      <c r="E346" s="40">
        <f>IF(B346="","",TODAY())</f>
        <v/>
      </c>
      <c r="F346" s="30" t="n"/>
      <c r="G346" s="41" t="n"/>
      <c r="H346" s="42" t="n"/>
      <c r="I346" s="43">
        <f>IFERROR(IF(OR(D346="",G346="",H346=""),"",ABS(PMT(G346/100/12,H346,D346))),"")</f>
        <v/>
      </c>
      <c r="J346" s="44">
        <f>IF(B346="","","Active")</f>
        <v/>
      </c>
    </row>
    <row r="347" ht="20" customHeight="1">
      <c r="A347" s="39">
        <f>IF(B347="","","LN"&amp;TEXT(ROW()-2,"0000"))</f>
        <v/>
      </c>
      <c r="B347" s="26" t="n"/>
      <c r="C347" s="27">
        <f>IFERROR(IF(B347="","",VLOOKUP(B347,DATABASE!$A:$B,2,0)),"")</f>
        <v/>
      </c>
      <c r="D347" s="29" t="n"/>
      <c r="E347" s="40">
        <f>IF(B347="","",TODAY())</f>
        <v/>
      </c>
      <c r="F347" s="30" t="n"/>
      <c r="G347" s="41" t="n"/>
      <c r="H347" s="42" t="n"/>
      <c r="I347" s="43">
        <f>IFERROR(IF(OR(D347="",G347="",H347=""),"",ABS(PMT(G347/100/12,H347,D347))),"")</f>
        <v/>
      </c>
      <c r="J347" s="44">
        <f>IF(B347="","","Active")</f>
        <v/>
      </c>
    </row>
    <row r="348" ht="20" customHeight="1">
      <c r="A348" s="39">
        <f>IF(B348="","","LN"&amp;TEXT(ROW()-2,"0000"))</f>
        <v/>
      </c>
      <c r="B348" s="26" t="n"/>
      <c r="C348" s="45">
        <f>IFERROR(IF(B348="","",VLOOKUP(B348,DATABASE!$A:$B,2,0)),"")</f>
        <v/>
      </c>
      <c r="D348" s="29" t="n"/>
      <c r="E348" s="40">
        <f>IF(B348="","",TODAY())</f>
        <v/>
      </c>
      <c r="F348" s="30" t="n"/>
      <c r="G348" s="41" t="n"/>
      <c r="H348" s="42" t="n"/>
      <c r="I348" s="43">
        <f>IFERROR(IF(OR(D348="",G348="",H348=""),"",ABS(PMT(G348/100/12,H348,D348))),"")</f>
        <v/>
      </c>
      <c r="J348" s="44">
        <f>IF(B348="","","Active")</f>
        <v/>
      </c>
    </row>
    <row r="349" ht="20" customHeight="1">
      <c r="A349" s="39">
        <f>IF(B349="","","LN"&amp;TEXT(ROW()-2,"0000"))</f>
        <v/>
      </c>
      <c r="B349" s="26" t="n"/>
      <c r="C349" s="27">
        <f>IFERROR(IF(B349="","",VLOOKUP(B349,DATABASE!$A:$B,2,0)),"")</f>
        <v/>
      </c>
      <c r="D349" s="29" t="n"/>
      <c r="E349" s="40">
        <f>IF(B349="","",TODAY())</f>
        <v/>
      </c>
      <c r="F349" s="30" t="n"/>
      <c r="G349" s="41" t="n"/>
      <c r="H349" s="42" t="n"/>
      <c r="I349" s="43">
        <f>IFERROR(IF(OR(D349="",G349="",H349=""),"",ABS(PMT(G349/100/12,H349,D349))),"")</f>
        <v/>
      </c>
      <c r="J349" s="44">
        <f>IF(B349="","","Active")</f>
        <v/>
      </c>
    </row>
    <row r="350" ht="20" customHeight="1">
      <c r="A350" s="39">
        <f>IF(B350="","","LN"&amp;TEXT(ROW()-2,"0000"))</f>
        <v/>
      </c>
      <c r="B350" s="26" t="n"/>
      <c r="C350" s="45">
        <f>IFERROR(IF(B350="","",VLOOKUP(B350,DATABASE!$A:$B,2,0)),"")</f>
        <v/>
      </c>
      <c r="D350" s="29" t="n"/>
      <c r="E350" s="40">
        <f>IF(B350="","",TODAY())</f>
        <v/>
      </c>
      <c r="F350" s="30" t="n"/>
      <c r="G350" s="41" t="n"/>
      <c r="H350" s="42" t="n"/>
      <c r="I350" s="43">
        <f>IFERROR(IF(OR(D350="",G350="",H350=""),"",ABS(PMT(G350/100/12,H350,D350))),"")</f>
        <v/>
      </c>
      <c r="J350" s="44">
        <f>IF(B350="","","Active")</f>
        <v/>
      </c>
    </row>
    <row r="351" ht="20" customHeight="1">
      <c r="A351" s="39">
        <f>IF(B351="","","LN"&amp;TEXT(ROW()-2,"0000"))</f>
        <v/>
      </c>
      <c r="B351" s="26" t="n"/>
      <c r="C351" s="27">
        <f>IFERROR(IF(B351="","",VLOOKUP(B351,DATABASE!$A:$B,2,0)),"")</f>
        <v/>
      </c>
      <c r="D351" s="29" t="n"/>
      <c r="E351" s="40">
        <f>IF(B351="","",TODAY())</f>
        <v/>
      </c>
      <c r="F351" s="30" t="n"/>
      <c r="G351" s="41" t="n"/>
      <c r="H351" s="42" t="n"/>
      <c r="I351" s="43">
        <f>IFERROR(IF(OR(D351="",G351="",H351=""),"",ABS(PMT(G351/100/12,H351,D351))),"")</f>
        <v/>
      </c>
      <c r="J351" s="44">
        <f>IF(B351="","","Active")</f>
        <v/>
      </c>
    </row>
    <row r="352" ht="20" customHeight="1">
      <c r="A352" s="39">
        <f>IF(B352="","","LN"&amp;TEXT(ROW()-2,"0000"))</f>
        <v/>
      </c>
      <c r="B352" s="26" t="n"/>
      <c r="C352" s="45">
        <f>IFERROR(IF(B352="","",VLOOKUP(B352,DATABASE!$A:$B,2,0)),"")</f>
        <v/>
      </c>
      <c r="D352" s="29" t="n"/>
      <c r="E352" s="40">
        <f>IF(B352="","",TODAY())</f>
        <v/>
      </c>
      <c r="F352" s="30" t="n"/>
      <c r="G352" s="41" t="n"/>
      <c r="H352" s="42" t="n"/>
      <c r="I352" s="43">
        <f>IFERROR(IF(OR(D352="",G352="",H352=""),"",ABS(PMT(G352/100/12,H352,D352))),"")</f>
        <v/>
      </c>
      <c r="J352" s="44">
        <f>IF(B352="","","Active")</f>
        <v/>
      </c>
    </row>
    <row r="353" ht="20" customHeight="1">
      <c r="A353" s="39">
        <f>IF(B353="","","LN"&amp;TEXT(ROW()-2,"0000"))</f>
        <v/>
      </c>
      <c r="B353" s="26" t="n"/>
      <c r="C353" s="27">
        <f>IFERROR(IF(B353="","",VLOOKUP(B353,DATABASE!$A:$B,2,0)),"")</f>
        <v/>
      </c>
      <c r="D353" s="29" t="n"/>
      <c r="E353" s="40">
        <f>IF(B353="","",TODAY())</f>
        <v/>
      </c>
      <c r="F353" s="30" t="n"/>
      <c r="G353" s="41" t="n"/>
      <c r="H353" s="42" t="n"/>
      <c r="I353" s="43">
        <f>IFERROR(IF(OR(D353="",G353="",H353=""),"",ABS(PMT(G353/100/12,H353,D353))),"")</f>
        <v/>
      </c>
      <c r="J353" s="44">
        <f>IF(B353="","","Active")</f>
        <v/>
      </c>
    </row>
    <row r="354" ht="20" customHeight="1">
      <c r="A354" s="39">
        <f>IF(B354="","","LN"&amp;TEXT(ROW()-2,"0000"))</f>
        <v/>
      </c>
      <c r="B354" s="26" t="n"/>
      <c r="C354" s="45">
        <f>IFERROR(IF(B354="","",VLOOKUP(B354,DATABASE!$A:$B,2,0)),"")</f>
        <v/>
      </c>
      <c r="D354" s="29" t="n"/>
      <c r="E354" s="40">
        <f>IF(B354="","",TODAY())</f>
        <v/>
      </c>
      <c r="F354" s="30" t="n"/>
      <c r="G354" s="41" t="n"/>
      <c r="H354" s="42" t="n"/>
      <c r="I354" s="43">
        <f>IFERROR(IF(OR(D354="",G354="",H354=""),"",ABS(PMT(G354/100/12,H354,D354))),"")</f>
        <v/>
      </c>
      <c r="J354" s="44">
        <f>IF(B354="","","Active")</f>
        <v/>
      </c>
    </row>
    <row r="355" ht="20" customHeight="1">
      <c r="A355" s="39">
        <f>IF(B355="","","LN"&amp;TEXT(ROW()-2,"0000"))</f>
        <v/>
      </c>
      <c r="B355" s="26" t="n"/>
      <c r="C355" s="27">
        <f>IFERROR(IF(B355="","",VLOOKUP(B355,DATABASE!$A:$B,2,0)),"")</f>
        <v/>
      </c>
      <c r="D355" s="29" t="n"/>
      <c r="E355" s="40">
        <f>IF(B355="","",TODAY())</f>
        <v/>
      </c>
      <c r="F355" s="30" t="n"/>
      <c r="G355" s="41" t="n"/>
      <c r="H355" s="42" t="n"/>
      <c r="I355" s="43">
        <f>IFERROR(IF(OR(D355="",G355="",H355=""),"",ABS(PMT(G355/100/12,H355,D355))),"")</f>
        <v/>
      </c>
      <c r="J355" s="44">
        <f>IF(B355="","","Active")</f>
        <v/>
      </c>
    </row>
    <row r="356" ht="20" customHeight="1">
      <c r="A356" s="39">
        <f>IF(B356="","","LN"&amp;TEXT(ROW()-2,"0000"))</f>
        <v/>
      </c>
      <c r="B356" s="26" t="n"/>
      <c r="C356" s="45">
        <f>IFERROR(IF(B356="","",VLOOKUP(B356,DATABASE!$A:$B,2,0)),"")</f>
        <v/>
      </c>
      <c r="D356" s="29" t="n"/>
      <c r="E356" s="40">
        <f>IF(B356="","",TODAY())</f>
        <v/>
      </c>
      <c r="F356" s="30" t="n"/>
      <c r="G356" s="41" t="n"/>
      <c r="H356" s="42" t="n"/>
      <c r="I356" s="43">
        <f>IFERROR(IF(OR(D356="",G356="",H356=""),"",ABS(PMT(G356/100/12,H356,D356))),"")</f>
        <v/>
      </c>
      <c r="J356" s="44">
        <f>IF(B356="","","Active")</f>
        <v/>
      </c>
    </row>
    <row r="357" ht="20" customHeight="1">
      <c r="A357" s="39">
        <f>IF(B357="","","LN"&amp;TEXT(ROW()-2,"0000"))</f>
        <v/>
      </c>
      <c r="B357" s="26" t="n"/>
      <c r="C357" s="27">
        <f>IFERROR(IF(B357="","",VLOOKUP(B357,DATABASE!$A:$B,2,0)),"")</f>
        <v/>
      </c>
      <c r="D357" s="29" t="n"/>
      <c r="E357" s="40">
        <f>IF(B357="","",TODAY())</f>
        <v/>
      </c>
      <c r="F357" s="30" t="n"/>
      <c r="G357" s="41" t="n"/>
      <c r="H357" s="42" t="n"/>
      <c r="I357" s="43">
        <f>IFERROR(IF(OR(D357="",G357="",H357=""),"",ABS(PMT(G357/100/12,H357,D357))),"")</f>
        <v/>
      </c>
      <c r="J357" s="44">
        <f>IF(B357="","","Active")</f>
        <v/>
      </c>
    </row>
    <row r="358" ht="20" customHeight="1">
      <c r="A358" s="39">
        <f>IF(B358="","","LN"&amp;TEXT(ROW()-2,"0000"))</f>
        <v/>
      </c>
      <c r="B358" s="26" t="n"/>
      <c r="C358" s="45">
        <f>IFERROR(IF(B358="","",VLOOKUP(B358,DATABASE!$A:$B,2,0)),"")</f>
        <v/>
      </c>
      <c r="D358" s="29" t="n"/>
      <c r="E358" s="40">
        <f>IF(B358="","",TODAY())</f>
        <v/>
      </c>
      <c r="F358" s="30" t="n"/>
      <c r="G358" s="41" t="n"/>
      <c r="H358" s="42" t="n"/>
      <c r="I358" s="43">
        <f>IFERROR(IF(OR(D358="",G358="",H358=""),"",ABS(PMT(G358/100/12,H358,D358))),"")</f>
        <v/>
      </c>
      <c r="J358" s="44">
        <f>IF(B358="","","Active")</f>
        <v/>
      </c>
    </row>
    <row r="359" ht="20" customHeight="1">
      <c r="A359" s="39">
        <f>IF(B359="","","LN"&amp;TEXT(ROW()-2,"0000"))</f>
        <v/>
      </c>
      <c r="B359" s="26" t="n"/>
      <c r="C359" s="27">
        <f>IFERROR(IF(B359="","",VLOOKUP(B359,DATABASE!$A:$B,2,0)),"")</f>
        <v/>
      </c>
      <c r="D359" s="29" t="n"/>
      <c r="E359" s="40">
        <f>IF(B359="","",TODAY())</f>
        <v/>
      </c>
      <c r="F359" s="30" t="n"/>
      <c r="G359" s="41" t="n"/>
      <c r="H359" s="42" t="n"/>
      <c r="I359" s="43">
        <f>IFERROR(IF(OR(D359="",G359="",H359=""),"",ABS(PMT(G359/100/12,H359,D359))),"")</f>
        <v/>
      </c>
      <c r="J359" s="44">
        <f>IF(B359="","","Active")</f>
        <v/>
      </c>
    </row>
    <row r="360" ht="20" customHeight="1">
      <c r="A360" s="39">
        <f>IF(B360="","","LN"&amp;TEXT(ROW()-2,"0000"))</f>
        <v/>
      </c>
      <c r="B360" s="26" t="n"/>
      <c r="C360" s="45">
        <f>IFERROR(IF(B360="","",VLOOKUP(B360,DATABASE!$A:$B,2,0)),"")</f>
        <v/>
      </c>
      <c r="D360" s="29" t="n"/>
      <c r="E360" s="40">
        <f>IF(B360="","",TODAY())</f>
        <v/>
      </c>
      <c r="F360" s="30" t="n"/>
      <c r="G360" s="41" t="n"/>
      <c r="H360" s="42" t="n"/>
      <c r="I360" s="43">
        <f>IFERROR(IF(OR(D360="",G360="",H360=""),"",ABS(PMT(G360/100/12,H360,D360))),"")</f>
        <v/>
      </c>
      <c r="J360" s="44">
        <f>IF(B360="","","Active")</f>
        <v/>
      </c>
    </row>
    <row r="361" ht="20" customHeight="1">
      <c r="A361" s="39">
        <f>IF(B361="","","LN"&amp;TEXT(ROW()-2,"0000"))</f>
        <v/>
      </c>
      <c r="B361" s="26" t="n"/>
      <c r="C361" s="27">
        <f>IFERROR(IF(B361="","",VLOOKUP(B361,DATABASE!$A:$B,2,0)),"")</f>
        <v/>
      </c>
      <c r="D361" s="29" t="n"/>
      <c r="E361" s="40">
        <f>IF(B361="","",TODAY())</f>
        <v/>
      </c>
      <c r="F361" s="30" t="n"/>
      <c r="G361" s="41" t="n"/>
      <c r="H361" s="42" t="n"/>
      <c r="I361" s="43">
        <f>IFERROR(IF(OR(D361="",G361="",H361=""),"",ABS(PMT(G361/100/12,H361,D361))),"")</f>
        <v/>
      </c>
      <c r="J361" s="44">
        <f>IF(B361="","","Active")</f>
        <v/>
      </c>
    </row>
    <row r="362" ht="20" customHeight="1">
      <c r="A362" s="39">
        <f>IF(B362="","","LN"&amp;TEXT(ROW()-2,"0000"))</f>
        <v/>
      </c>
      <c r="B362" s="26" t="n"/>
      <c r="C362" s="45">
        <f>IFERROR(IF(B362="","",VLOOKUP(B362,DATABASE!$A:$B,2,0)),"")</f>
        <v/>
      </c>
      <c r="D362" s="29" t="n"/>
      <c r="E362" s="40">
        <f>IF(B362="","",TODAY())</f>
        <v/>
      </c>
      <c r="F362" s="30" t="n"/>
      <c r="G362" s="41" t="n"/>
      <c r="H362" s="42" t="n"/>
      <c r="I362" s="43">
        <f>IFERROR(IF(OR(D362="",G362="",H362=""),"",ABS(PMT(G362/100/12,H362,D362))),"")</f>
        <v/>
      </c>
      <c r="J362" s="44">
        <f>IF(B362="","","Active")</f>
        <v/>
      </c>
    </row>
    <row r="363" ht="20" customHeight="1">
      <c r="A363" s="39">
        <f>IF(B363="","","LN"&amp;TEXT(ROW()-2,"0000"))</f>
        <v/>
      </c>
      <c r="B363" s="26" t="n"/>
      <c r="C363" s="27">
        <f>IFERROR(IF(B363="","",VLOOKUP(B363,DATABASE!$A:$B,2,0)),"")</f>
        <v/>
      </c>
      <c r="D363" s="29" t="n"/>
      <c r="E363" s="40">
        <f>IF(B363="","",TODAY())</f>
        <v/>
      </c>
      <c r="F363" s="30" t="n"/>
      <c r="G363" s="41" t="n"/>
      <c r="H363" s="42" t="n"/>
      <c r="I363" s="43">
        <f>IFERROR(IF(OR(D363="",G363="",H363=""),"",ABS(PMT(G363/100/12,H363,D363))),"")</f>
        <v/>
      </c>
      <c r="J363" s="44">
        <f>IF(B363="","","Active")</f>
        <v/>
      </c>
    </row>
    <row r="364" ht="20" customHeight="1">
      <c r="A364" s="39">
        <f>IF(B364="","","LN"&amp;TEXT(ROW()-2,"0000"))</f>
        <v/>
      </c>
      <c r="B364" s="26" t="n"/>
      <c r="C364" s="45">
        <f>IFERROR(IF(B364="","",VLOOKUP(B364,DATABASE!$A:$B,2,0)),"")</f>
        <v/>
      </c>
      <c r="D364" s="29" t="n"/>
      <c r="E364" s="40">
        <f>IF(B364="","",TODAY())</f>
        <v/>
      </c>
      <c r="F364" s="30" t="n"/>
      <c r="G364" s="41" t="n"/>
      <c r="H364" s="42" t="n"/>
      <c r="I364" s="43">
        <f>IFERROR(IF(OR(D364="",G364="",H364=""),"",ABS(PMT(G364/100/12,H364,D364))),"")</f>
        <v/>
      </c>
      <c r="J364" s="44">
        <f>IF(B364="","","Active")</f>
        <v/>
      </c>
    </row>
    <row r="365" ht="20" customHeight="1">
      <c r="A365" s="39">
        <f>IF(B365="","","LN"&amp;TEXT(ROW()-2,"0000"))</f>
        <v/>
      </c>
      <c r="B365" s="26" t="n"/>
      <c r="C365" s="27">
        <f>IFERROR(IF(B365="","",VLOOKUP(B365,DATABASE!$A:$B,2,0)),"")</f>
        <v/>
      </c>
      <c r="D365" s="29" t="n"/>
      <c r="E365" s="40">
        <f>IF(B365="","",TODAY())</f>
        <v/>
      </c>
      <c r="F365" s="30" t="n"/>
      <c r="G365" s="41" t="n"/>
      <c r="H365" s="42" t="n"/>
      <c r="I365" s="43">
        <f>IFERROR(IF(OR(D365="",G365="",H365=""),"",ABS(PMT(G365/100/12,H365,D365))),"")</f>
        <v/>
      </c>
      <c r="J365" s="44">
        <f>IF(B365="","","Active")</f>
        <v/>
      </c>
    </row>
    <row r="366" ht="20" customHeight="1">
      <c r="A366" s="39">
        <f>IF(B366="","","LN"&amp;TEXT(ROW()-2,"0000"))</f>
        <v/>
      </c>
      <c r="B366" s="26" t="n"/>
      <c r="C366" s="45">
        <f>IFERROR(IF(B366="","",VLOOKUP(B366,DATABASE!$A:$B,2,0)),"")</f>
        <v/>
      </c>
      <c r="D366" s="29" t="n"/>
      <c r="E366" s="40">
        <f>IF(B366="","",TODAY())</f>
        <v/>
      </c>
      <c r="F366" s="30" t="n"/>
      <c r="G366" s="41" t="n"/>
      <c r="H366" s="42" t="n"/>
      <c r="I366" s="43">
        <f>IFERROR(IF(OR(D366="",G366="",H366=""),"",ABS(PMT(G366/100/12,H366,D366))),"")</f>
        <v/>
      </c>
      <c r="J366" s="44">
        <f>IF(B366="","","Active")</f>
        <v/>
      </c>
    </row>
    <row r="367" ht="20" customHeight="1">
      <c r="A367" s="39">
        <f>IF(B367="","","LN"&amp;TEXT(ROW()-2,"0000"))</f>
        <v/>
      </c>
      <c r="B367" s="26" t="n"/>
      <c r="C367" s="27">
        <f>IFERROR(IF(B367="","",VLOOKUP(B367,DATABASE!$A:$B,2,0)),"")</f>
        <v/>
      </c>
      <c r="D367" s="29" t="n"/>
      <c r="E367" s="40">
        <f>IF(B367="","",TODAY())</f>
        <v/>
      </c>
      <c r="F367" s="30" t="n"/>
      <c r="G367" s="41" t="n"/>
      <c r="H367" s="42" t="n"/>
      <c r="I367" s="43">
        <f>IFERROR(IF(OR(D367="",G367="",H367=""),"",ABS(PMT(G367/100/12,H367,D367))),"")</f>
        <v/>
      </c>
      <c r="J367" s="44">
        <f>IF(B367="","","Active")</f>
        <v/>
      </c>
    </row>
    <row r="368" ht="20" customHeight="1">
      <c r="A368" s="39">
        <f>IF(B368="","","LN"&amp;TEXT(ROW()-2,"0000"))</f>
        <v/>
      </c>
      <c r="B368" s="26" t="n"/>
      <c r="C368" s="45">
        <f>IFERROR(IF(B368="","",VLOOKUP(B368,DATABASE!$A:$B,2,0)),"")</f>
        <v/>
      </c>
      <c r="D368" s="29" t="n"/>
      <c r="E368" s="40">
        <f>IF(B368="","",TODAY())</f>
        <v/>
      </c>
      <c r="F368" s="30" t="n"/>
      <c r="G368" s="41" t="n"/>
      <c r="H368" s="42" t="n"/>
      <c r="I368" s="43">
        <f>IFERROR(IF(OR(D368="",G368="",H368=""),"",ABS(PMT(G368/100/12,H368,D368))),"")</f>
        <v/>
      </c>
      <c r="J368" s="44">
        <f>IF(B368="","","Active")</f>
        <v/>
      </c>
    </row>
    <row r="369" ht="20" customHeight="1">
      <c r="A369" s="39">
        <f>IF(B369="","","LN"&amp;TEXT(ROW()-2,"0000"))</f>
        <v/>
      </c>
      <c r="B369" s="26" t="n"/>
      <c r="C369" s="27">
        <f>IFERROR(IF(B369="","",VLOOKUP(B369,DATABASE!$A:$B,2,0)),"")</f>
        <v/>
      </c>
      <c r="D369" s="29" t="n"/>
      <c r="E369" s="40">
        <f>IF(B369="","",TODAY())</f>
        <v/>
      </c>
      <c r="F369" s="30" t="n"/>
      <c r="G369" s="41" t="n"/>
      <c r="H369" s="42" t="n"/>
      <c r="I369" s="43">
        <f>IFERROR(IF(OR(D369="",G369="",H369=""),"",ABS(PMT(G369/100/12,H369,D369))),"")</f>
        <v/>
      </c>
      <c r="J369" s="44">
        <f>IF(B369="","","Active")</f>
        <v/>
      </c>
    </row>
    <row r="370" ht="20" customHeight="1">
      <c r="A370" s="39">
        <f>IF(B370="","","LN"&amp;TEXT(ROW()-2,"0000"))</f>
        <v/>
      </c>
      <c r="B370" s="26" t="n"/>
      <c r="C370" s="45">
        <f>IFERROR(IF(B370="","",VLOOKUP(B370,DATABASE!$A:$B,2,0)),"")</f>
        <v/>
      </c>
      <c r="D370" s="29" t="n"/>
      <c r="E370" s="40">
        <f>IF(B370="","",TODAY())</f>
        <v/>
      </c>
      <c r="F370" s="30" t="n"/>
      <c r="G370" s="41" t="n"/>
      <c r="H370" s="42" t="n"/>
      <c r="I370" s="43">
        <f>IFERROR(IF(OR(D370="",G370="",H370=""),"",ABS(PMT(G370/100/12,H370,D370))),"")</f>
        <v/>
      </c>
      <c r="J370" s="44">
        <f>IF(B370="","","Active")</f>
        <v/>
      </c>
    </row>
    <row r="371" ht="20" customHeight="1">
      <c r="A371" s="39">
        <f>IF(B371="","","LN"&amp;TEXT(ROW()-2,"0000"))</f>
        <v/>
      </c>
      <c r="B371" s="26" t="n"/>
      <c r="C371" s="27">
        <f>IFERROR(IF(B371="","",VLOOKUP(B371,DATABASE!$A:$B,2,0)),"")</f>
        <v/>
      </c>
      <c r="D371" s="29" t="n"/>
      <c r="E371" s="40">
        <f>IF(B371="","",TODAY())</f>
        <v/>
      </c>
      <c r="F371" s="30" t="n"/>
      <c r="G371" s="41" t="n"/>
      <c r="H371" s="42" t="n"/>
      <c r="I371" s="43">
        <f>IFERROR(IF(OR(D371="",G371="",H371=""),"",ABS(PMT(G371/100/12,H371,D371))),"")</f>
        <v/>
      </c>
      <c r="J371" s="44">
        <f>IF(B371="","","Active")</f>
        <v/>
      </c>
    </row>
    <row r="372" ht="20" customHeight="1">
      <c r="A372" s="39">
        <f>IF(B372="","","LN"&amp;TEXT(ROW()-2,"0000"))</f>
        <v/>
      </c>
      <c r="B372" s="26" t="n"/>
      <c r="C372" s="45">
        <f>IFERROR(IF(B372="","",VLOOKUP(B372,DATABASE!$A:$B,2,0)),"")</f>
        <v/>
      </c>
      <c r="D372" s="29" t="n"/>
      <c r="E372" s="40">
        <f>IF(B372="","",TODAY())</f>
        <v/>
      </c>
      <c r="F372" s="30" t="n"/>
      <c r="G372" s="41" t="n"/>
      <c r="H372" s="42" t="n"/>
      <c r="I372" s="43">
        <f>IFERROR(IF(OR(D372="",G372="",H372=""),"",ABS(PMT(G372/100/12,H372,D372))),"")</f>
        <v/>
      </c>
      <c r="J372" s="44">
        <f>IF(B372="","","Active")</f>
        <v/>
      </c>
    </row>
    <row r="373" ht="20" customHeight="1">
      <c r="A373" s="39">
        <f>IF(B373="","","LN"&amp;TEXT(ROW()-2,"0000"))</f>
        <v/>
      </c>
      <c r="B373" s="26" t="n"/>
      <c r="C373" s="27">
        <f>IFERROR(IF(B373="","",VLOOKUP(B373,DATABASE!$A:$B,2,0)),"")</f>
        <v/>
      </c>
      <c r="D373" s="29" t="n"/>
      <c r="E373" s="40">
        <f>IF(B373="","",TODAY())</f>
        <v/>
      </c>
      <c r="F373" s="30" t="n"/>
      <c r="G373" s="41" t="n"/>
      <c r="H373" s="42" t="n"/>
      <c r="I373" s="43">
        <f>IFERROR(IF(OR(D373="",G373="",H373=""),"",ABS(PMT(G373/100/12,H373,D373))),"")</f>
        <v/>
      </c>
      <c r="J373" s="44">
        <f>IF(B373="","","Active")</f>
        <v/>
      </c>
    </row>
    <row r="374" ht="20" customHeight="1">
      <c r="A374" s="39">
        <f>IF(B374="","","LN"&amp;TEXT(ROW()-2,"0000"))</f>
        <v/>
      </c>
      <c r="B374" s="26" t="n"/>
      <c r="C374" s="45">
        <f>IFERROR(IF(B374="","",VLOOKUP(B374,DATABASE!$A:$B,2,0)),"")</f>
        <v/>
      </c>
      <c r="D374" s="29" t="n"/>
      <c r="E374" s="40">
        <f>IF(B374="","",TODAY())</f>
        <v/>
      </c>
      <c r="F374" s="30" t="n"/>
      <c r="G374" s="41" t="n"/>
      <c r="H374" s="42" t="n"/>
      <c r="I374" s="43">
        <f>IFERROR(IF(OR(D374="",G374="",H374=""),"",ABS(PMT(G374/100/12,H374,D374))),"")</f>
        <v/>
      </c>
      <c r="J374" s="44">
        <f>IF(B374="","","Active")</f>
        <v/>
      </c>
    </row>
    <row r="375" ht="20" customHeight="1">
      <c r="A375" s="39">
        <f>IF(B375="","","LN"&amp;TEXT(ROW()-2,"0000"))</f>
        <v/>
      </c>
      <c r="B375" s="26" t="n"/>
      <c r="C375" s="27">
        <f>IFERROR(IF(B375="","",VLOOKUP(B375,DATABASE!$A:$B,2,0)),"")</f>
        <v/>
      </c>
      <c r="D375" s="29" t="n"/>
      <c r="E375" s="40">
        <f>IF(B375="","",TODAY())</f>
        <v/>
      </c>
      <c r="F375" s="30" t="n"/>
      <c r="G375" s="41" t="n"/>
      <c r="H375" s="42" t="n"/>
      <c r="I375" s="43">
        <f>IFERROR(IF(OR(D375="",G375="",H375=""),"",ABS(PMT(G375/100/12,H375,D375))),"")</f>
        <v/>
      </c>
      <c r="J375" s="44">
        <f>IF(B375="","","Active")</f>
        <v/>
      </c>
    </row>
    <row r="376" ht="20" customHeight="1">
      <c r="A376" s="39">
        <f>IF(B376="","","LN"&amp;TEXT(ROW()-2,"0000"))</f>
        <v/>
      </c>
      <c r="B376" s="26" t="n"/>
      <c r="C376" s="45">
        <f>IFERROR(IF(B376="","",VLOOKUP(B376,DATABASE!$A:$B,2,0)),"")</f>
        <v/>
      </c>
      <c r="D376" s="29" t="n"/>
      <c r="E376" s="40">
        <f>IF(B376="","",TODAY())</f>
        <v/>
      </c>
      <c r="F376" s="30" t="n"/>
      <c r="G376" s="41" t="n"/>
      <c r="H376" s="42" t="n"/>
      <c r="I376" s="43">
        <f>IFERROR(IF(OR(D376="",G376="",H376=""),"",ABS(PMT(G376/100/12,H376,D376))),"")</f>
        <v/>
      </c>
      <c r="J376" s="44">
        <f>IF(B376="","","Active")</f>
        <v/>
      </c>
    </row>
    <row r="377" ht="20" customHeight="1">
      <c r="A377" s="39">
        <f>IF(B377="","","LN"&amp;TEXT(ROW()-2,"0000"))</f>
        <v/>
      </c>
      <c r="B377" s="26" t="n"/>
      <c r="C377" s="27">
        <f>IFERROR(IF(B377="","",VLOOKUP(B377,DATABASE!$A:$B,2,0)),"")</f>
        <v/>
      </c>
      <c r="D377" s="29" t="n"/>
      <c r="E377" s="40">
        <f>IF(B377="","",TODAY())</f>
        <v/>
      </c>
      <c r="F377" s="30" t="n"/>
      <c r="G377" s="41" t="n"/>
      <c r="H377" s="42" t="n"/>
      <c r="I377" s="43">
        <f>IFERROR(IF(OR(D377="",G377="",H377=""),"",ABS(PMT(G377/100/12,H377,D377))),"")</f>
        <v/>
      </c>
      <c r="J377" s="44">
        <f>IF(B377="","","Active")</f>
        <v/>
      </c>
    </row>
    <row r="378" ht="20" customHeight="1">
      <c r="A378" s="39">
        <f>IF(B378="","","LN"&amp;TEXT(ROW()-2,"0000"))</f>
        <v/>
      </c>
      <c r="B378" s="26" t="n"/>
      <c r="C378" s="45">
        <f>IFERROR(IF(B378="","",VLOOKUP(B378,DATABASE!$A:$B,2,0)),"")</f>
        <v/>
      </c>
      <c r="D378" s="29" t="n"/>
      <c r="E378" s="40">
        <f>IF(B378="","",TODAY())</f>
        <v/>
      </c>
      <c r="F378" s="30" t="n"/>
      <c r="G378" s="41" t="n"/>
      <c r="H378" s="42" t="n"/>
      <c r="I378" s="43">
        <f>IFERROR(IF(OR(D378="",G378="",H378=""),"",ABS(PMT(G378/100/12,H378,D378))),"")</f>
        <v/>
      </c>
      <c r="J378" s="44">
        <f>IF(B378="","","Active")</f>
        <v/>
      </c>
    </row>
    <row r="379" ht="20" customHeight="1">
      <c r="A379" s="39">
        <f>IF(B379="","","LN"&amp;TEXT(ROW()-2,"0000"))</f>
        <v/>
      </c>
      <c r="B379" s="26" t="n"/>
      <c r="C379" s="27">
        <f>IFERROR(IF(B379="","",VLOOKUP(B379,DATABASE!$A:$B,2,0)),"")</f>
        <v/>
      </c>
      <c r="D379" s="29" t="n"/>
      <c r="E379" s="40">
        <f>IF(B379="","",TODAY())</f>
        <v/>
      </c>
      <c r="F379" s="30" t="n"/>
      <c r="G379" s="41" t="n"/>
      <c r="H379" s="42" t="n"/>
      <c r="I379" s="43">
        <f>IFERROR(IF(OR(D379="",G379="",H379=""),"",ABS(PMT(G379/100/12,H379,D379))),"")</f>
        <v/>
      </c>
      <c r="J379" s="44">
        <f>IF(B379="","","Active")</f>
        <v/>
      </c>
    </row>
    <row r="380" ht="20" customHeight="1">
      <c r="A380" s="39">
        <f>IF(B380="","","LN"&amp;TEXT(ROW()-2,"0000"))</f>
        <v/>
      </c>
      <c r="B380" s="26" t="n"/>
      <c r="C380" s="45">
        <f>IFERROR(IF(B380="","",VLOOKUP(B380,DATABASE!$A:$B,2,0)),"")</f>
        <v/>
      </c>
      <c r="D380" s="29" t="n"/>
      <c r="E380" s="40">
        <f>IF(B380="","",TODAY())</f>
        <v/>
      </c>
      <c r="F380" s="30" t="n"/>
      <c r="G380" s="41" t="n"/>
      <c r="H380" s="42" t="n"/>
      <c r="I380" s="43">
        <f>IFERROR(IF(OR(D380="",G380="",H380=""),"",ABS(PMT(G380/100/12,H380,D380))),"")</f>
        <v/>
      </c>
      <c r="J380" s="44">
        <f>IF(B380="","","Active")</f>
        <v/>
      </c>
    </row>
    <row r="381" ht="20" customHeight="1">
      <c r="A381" s="39">
        <f>IF(B381="","","LN"&amp;TEXT(ROW()-2,"0000"))</f>
        <v/>
      </c>
      <c r="B381" s="26" t="n"/>
      <c r="C381" s="27">
        <f>IFERROR(IF(B381="","",VLOOKUP(B381,DATABASE!$A:$B,2,0)),"")</f>
        <v/>
      </c>
      <c r="D381" s="29" t="n"/>
      <c r="E381" s="40">
        <f>IF(B381="","",TODAY())</f>
        <v/>
      </c>
      <c r="F381" s="30" t="n"/>
      <c r="G381" s="41" t="n"/>
      <c r="H381" s="42" t="n"/>
      <c r="I381" s="43">
        <f>IFERROR(IF(OR(D381="",G381="",H381=""),"",ABS(PMT(G381/100/12,H381,D381))),"")</f>
        <v/>
      </c>
      <c r="J381" s="44">
        <f>IF(B381="","","Active")</f>
        <v/>
      </c>
    </row>
    <row r="382" ht="20" customHeight="1">
      <c r="A382" s="39">
        <f>IF(B382="","","LN"&amp;TEXT(ROW()-2,"0000"))</f>
        <v/>
      </c>
      <c r="B382" s="26" t="n"/>
      <c r="C382" s="45">
        <f>IFERROR(IF(B382="","",VLOOKUP(B382,DATABASE!$A:$B,2,0)),"")</f>
        <v/>
      </c>
      <c r="D382" s="29" t="n"/>
      <c r="E382" s="40">
        <f>IF(B382="","",TODAY())</f>
        <v/>
      </c>
      <c r="F382" s="30" t="n"/>
      <c r="G382" s="41" t="n"/>
      <c r="H382" s="42" t="n"/>
      <c r="I382" s="43">
        <f>IFERROR(IF(OR(D382="",G382="",H382=""),"",ABS(PMT(G382/100/12,H382,D382))),"")</f>
        <v/>
      </c>
      <c r="J382" s="44">
        <f>IF(B382="","","Active")</f>
        <v/>
      </c>
    </row>
    <row r="383" ht="20" customHeight="1">
      <c r="A383" s="39">
        <f>IF(B383="","","LN"&amp;TEXT(ROW()-2,"0000"))</f>
        <v/>
      </c>
      <c r="B383" s="26" t="n"/>
      <c r="C383" s="27">
        <f>IFERROR(IF(B383="","",VLOOKUP(B383,DATABASE!$A:$B,2,0)),"")</f>
        <v/>
      </c>
      <c r="D383" s="29" t="n"/>
      <c r="E383" s="40">
        <f>IF(B383="","",TODAY())</f>
        <v/>
      </c>
      <c r="F383" s="30" t="n"/>
      <c r="G383" s="41" t="n"/>
      <c r="H383" s="42" t="n"/>
      <c r="I383" s="43">
        <f>IFERROR(IF(OR(D383="",G383="",H383=""),"",ABS(PMT(G383/100/12,H383,D383))),"")</f>
        <v/>
      </c>
      <c r="J383" s="44">
        <f>IF(B383="","","Active")</f>
        <v/>
      </c>
    </row>
    <row r="384" ht="20" customHeight="1">
      <c r="A384" s="39">
        <f>IF(B384="","","LN"&amp;TEXT(ROW()-2,"0000"))</f>
        <v/>
      </c>
      <c r="B384" s="26" t="n"/>
      <c r="C384" s="45">
        <f>IFERROR(IF(B384="","",VLOOKUP(B384,DATABASE!$A:$B,2,0)),"")</f>
        <v/>
      </c>
      <c r="D384" s="29" t="n"/>
      <c r="E384" s="40">
        <f>IF(B384="","",TODAY())</f>
        <v/>
      </c>
      <c r="F384" s="30" t="n"/>
      <c r="G384" s="41" t="n"/>
      <c r="H384" s="42" t="n"/>
      <c r="I384" s="43">
        <f>IFERROR(IF(OR(D384="",G384="",H384=""),"",ABS(PMT(G384/100/12,H384,D384))),"")</f>
        <v/>
      </c>
      <c r="J384" s="44">
        <f>IF(B384="","","Active")</f>
        <v/>
      </c>
    </row>
    <row r="385" ht="20" customHeight="1">
      <c r="A385" s="39">
        <f>IF(B385="","","LN"&amp;TEXT(ROW()-2,"0000"))</f>
        <v/>
      </c>
      <c r="B385" s="26" t="n"/>
      <c r="C385" s="27">
        <f>IFERROR(IF(B385="","",VLOOKUP(B385,DATABASE!$A:$B,2,0)),"")</f>
        <v/>
      </c>
      <c r="D385" s="29" t="n"/>
      <c r="E385" s="40">
        <f>IF(B385="","",TODAY())</f>
        <v/>
      </c>
      <c r="F385" s="30" t="n"/>
      <c r="G385" s="41" t="n"/>
      <c r="H385" s="42" t="n"/>
      <c r="I385" s="43">
        <f>IFERROR(IF(OR(D385="",G385="",H385=""),"",ABS(PMT(G385/100/12,H385,D385))),"")</f>
        <v/>
      </c>
      <c r="J385" s="44">
        <f>IF(B385="","","Active")</f>
        <v/>
      </c>
    </row>
    <row r="386" ht="20" customHeight="1">
      <c r="A386" s="39">
        <f>IF(B386="","","LN"&amp;TEXT(ROW()-2,"0000"))</f>
        <v/>
      </c>
      <c r="B386" s="26" t="n"/>
      <c r="C386" s="45">
        <f>IFERROR(IF(B386="","",VLOOKUP(B386,DATABASE!$A:$B,2,0)),"")</f>
        <v/>
      </c>
      <c r="D386" s="29" t="n"/>
      <c r="E386" s="40">
        <f>IF(B386="","",TODAY())</f>
        <v/>
      </c>
      <c r="F386" s="30" t="n"/>
      <c r="G386" s="41" t="n"/>
      <c r="H386" s="42" t="n"/>
      <c r="I386" s="43">
        <f>IFERROR(IF(OR(D386="",G386="",H386=""),"",ABS(PMT(G386/100/12,H386,D386))),"")</f>
        <v/>
      </c>
      <c r="J386" s="44">
        <f>IF(B386="","","Active")</f>
        <v/>
      </c>
    </row>
    <row r="387" ht="20" customHeight="1">
      <c r="A387" s="39">
        <f>IF(B387="","","LN"&amp;TEXT(ROW()-2,"0000"))</f>
        <v/>
      </c>
      <c r="B387" s="26" t="n"/>
      <c r="C387" s="27">
        <f>IFERROR(IF(B387="","",VLOOKUP(B387,DATABASE!$A:$B,2,0)),"")</f>
        <v/>
      </c>
      <c r="D387" s="29" t="n"/>
      <c r="E387" s="40">
        <f>IF(B387="","",TODAY())</f>
        <v/>
      </c>
      <c r="F387" s="30" t="n"/>
      <c r="G387" s="41" t="n"/>
      <c r="H387" s="42" t="n"/>
      <c r="I387" s="43">
        <f>IFERROR(IF(OR(D387="",G387="",H387=""),"",ABS(PMT(G387/100/12,H387,D387))),"")</f>
        <v/>
      </c>
      <c r="J387" s="44">
        <f>IF(B387="","","Active")</f>
        <v/>
      </c>
    </row>
    <row r="388" ht="20" customHeight="1">
      <c r="A388" s="39">
        <f>IF(B388="","","LN"&amp;TEXT(ROW()-2,"0000"))</f>
        <v/>
      </c>
      <c r="B388" s="26" t="n"/>
      <c r="C388" s="45">
        <f>IFERROR(IF(B388="","",VLOOKUP(B388,DATABASE!$A:$B,2,0)),"")</f>
        <v/>
      </c>
      <c r="D388" s="29" t="n"/>
      <c r="E388" s="40">
        <f>IF(B388="","",TODAY())</f>
        <v/>
      </c>
      <c r="F388" s="30" t="n"/>
      <c r="G388" s="41" t="n"/>
      <c r="H388" s="42" t="n"/>
      <c r="I388" s="43">
        <f>IFERROR(IF(OR(D388="",G388="",H388=""),"",ABS(PMT(G388/100/12,H388,D388))),"")</f>
        <v/>
      </c>
      <c r="J388" s="44">
        <f>IF(B388="","","Active")</f>
        <v/>
      </c>
    </row>
    <row r="389" ht="20" customHeight="1">
      <c r="A389" s="39">
        <f>IF(B389="","","LN"&amp;TEXT(ROW()-2,"0000"))</f>
        <v/>
      </c>
      <c r="B389" s="26" t="n"/>
      <c r="C389" s="27">
        <f>IFERROR(IF(B389="","",VLOOKUP(B389,DATABASE!$A:$B,2,0)),"")</f>
        <v/>
      </c>
      <c r="D389" s="29" t="n"/>
      <c r="E389" s="40">
        <f>IF(B389="","",TODAY())</f>
        <v/>
      </c>
      <c r="F389" s="30" t="n"/>
      <c r="G389" s="41" t="n"/>
      <c r="H389" s="42" t="n"/>
      <c r="I389" s="43">
        <f>IFERROR(IF(OR(D389="",G389="",H389=""),"",ABS(PMT(G389/100/12,H389,D389))),"")</f>
        <v/>
      </c>
      <c r="J389" s="44">
        <f>IF(B389="","","Active")</f>
        <v/>
      </c>
    </row>
    <row r="390" ht="20" customHeight="1">
      <c r="A390" s="39">
        <f>IF(B390="","","LN"&amp;TEXT(ROW()-2,"0000"))</f>
        <v/>
      </c>
      <c r="B390" s="26" t="n"/>
      <c r="C390" s="45">
        <f>IFERROR(IF(B390="","",VLOOKUP(B390,DATABASE!$A:$B,2,0)),"")</f>
        <v/>
      </c>
      <c r="D390" s="29" t="n"/>
      <c r="E390" s="40">
        <f>IF(B390="","",TODAY())</f>
        <v/>
      </c>
      <c r="F390" s="30" t="n"/>
      <c r="G390" s="41" t="n"/>
      <c r="H390" s="42" t="n"/>
      <c r="I390" s="43">
        <f>IFERROR(IF(OR(D390="",G390="",H390=""),"",ABS(PMT(G390/100/12,H390,D390))),"")</f>
        <v/>
      </c>
      <c r="J390" s="44">
        <f>IF(B390="","","Active")</f>
        <v/>
      </c>
    </row>
    <row r="391" ht="20" customHeight="1">
      <c r="A391" s="39">
        <f>IF(B391="","","LN"&amp;TEXT(ROW()-2,"0000"))</f>
        <v/>
      </c>
      <c r="B391" s="26" t="n"/>
      <c r="C391" s="27">
        <f>IFERROR(IF(B391="","",VLOOKUP(B391,DATABASE!$A:$B,2,0)),"")</f>
        <v/>
      </c>
      <c r="D391" s="29" t="n"/>
      <c r="E391" s="40">
        <f>IF(B391="","",TODAY())</f>
        <v/>
      </c>
      <c r="F391" s="30" t="n"/>
      <c r="G391" s="41" t="n"/>
      <c r="H391" s="42" t="n"/>
      <c r="I391" s="43">
        <f>IFERROR(IF(OR(D391="",G391="",H391=""),"",ABS(PMT(G391/100/12,H391,D391))),"")</f>
        <v/>
      </c>
      <c r="J391" s="44">
        <f>IF(B391="","","Active")</f>
        <v/>
      </c>
    </row>
    <row r="392" ht="20" customHeight="1">
      <c r="A392" s="39">
        <f>IF(B392="","","LN"&amp;TEXT(ROW()-2,"0000"))</f>
        <v/>
      </c>
      <c r="B392" s="26" t="n"/>
      <c r="C392" s="45">
        <f>IFERROR(IF(B392="","",VLOOKUP(B392,DATABASE!$A:$B,2,0)),"")</f>
        <v/>
      </c>
      <c r="D392" s="29" t="n"/>
      <c r="E392" s="40">
        <f>IF(B392="","",TODAY())</f>
        <v/>
      </c>
      <c r="F392" s="30" t="n"/>
      <c r="G392" s="41" t="n"/>
      <c r="H392" s="42" t="n"/>
      <c r="I392" s="43">
        <f>IFERROR(IF(OR(D392="",G392="",H392=""),"",ABS(PMT(G392/100/12,H392,D392))),"")</f>
        <v/>
      </c>
      <c r="J392" s="44">
        <f>IF(B392="","","Active")</f>
        <v/>
      </c>
    </row>
    <row r="393" ht="20" customHeight="1">
      <c r="A393" s="39">
        <f>IF(B393="","","LN"&amp;TEXT(ROW()-2,"0000"))</f>
        <v/>
      </c>
      <c r="B393" s="26" t="n"/>
      <c r="C393" s="27">
        <f>IFERROR(IF(B393="","",VLOOKUP(B393,DATABASE!$A:$B,2,0)),"")</f>
        <v/>
      </c>
      <c r="D393" s="29" t="n"/>
      <c r="E393" s="40">
        <f>IF(B393="","",TODAY())</f>
        <v/>
      </c>
      <c r="F393" s="30" t="n"/>
      <c r="G393" s="41" t="n"/>
      <c r="H393" s="42" t="n"/>
      <c r="I393" s="43">
        <f>IFERROR(IF(OR(D393="",G393="",H393=""),"",ABS(PMT(G393/100/12,H393,D393))),"")</f>
        <v/>
      </c>
      <c r="J393" s="44">
        <f>IF(B393="","","Active")</f>
        <v/>
      </c>
    </row>
    <row r="394" ht="20" customHeight="1">
      <c r="A394" s="39">
        <f>IF(B394="","","LN"&amp;TEXT(ROW()-2,"0000"))</f>
        <v/>
      </c>
      <c r="B394" s="26" t="n"/>
      <c r="C394" s="45">
        <f>IFERROR(IF(B394="","",VLOOKUP(B394,DATABASE!$A:$B,2,0)),"")</f>
        <v/>
      </c>
      <c r="D394" s="29" t="n"/>
      <c r="E394" s="40">
        <f>IF(B394="","",TODAY())</f>
        <v/>
      </c>
      <c r="F394" s="30" t="n"/>
      <c r="G394" s="41" t="n"/>
      <c r="H394" s="42" t="n"/>
      <c r="I394" s="43">
        <f>IFERROR(IF(OR(D394="",G394="",H394=""),"",ABS(PMT(G394/100/12,H394,D394))),"")</f>
        <v/>
      </c>
      <c r="J394" s="44">
        <f>IF(B394="","","Active")</f>
        <v/>
      </c>
    </row>
    <row r="395" ht="20" customHeight="1">
      <c r="A395" s="39">
        <f>IF(B395="","","LN"&amp;TEXT(ROW()-2,"0000"))</f>
        <v/>
      </c>
      <c r="B395" s="26" t="n"/>
      <c r="C395" s="27">
        <f>IFERROR(IF(B395="","",VLOOKUP(B395,DATABASE!$A:$B,2,0)),"")</f>
        <v/>
      </c>
      <c r="D395" s="29" t="n"/>
      <c r="E395" s="40">
        <f>IF(B395="","",TODAY())</f>
        <v/>
      </c>
      <c r="F395" s="30" t="n"/>
      <c r="G395" s="41" t="n"/>
      <c r="H395" s="42" t="n"/>
      <c r="I395" s="43">
        <f>IFERROR(IF(OR(D395="",G395="",H395=""),"",ABS(PMT(G395/100/12,H395,D395))),"")</f>
        <v/>
      </c>
      <c r="J395" s="44">
        <f>IF(B395="","","Active")</f>
        <v/>
      </c>
    </row>
    <row r="396" ht="20" customHeight="1">
      <c r="A396" s="39">
        <f>IF(B396="","","LN"&amp;TEXT(ROW()-2,"0000"))</f>
        <v/>
      </c>
      <c r="B396" s="26" t="n"/>
      <c r="C396" s="45">
        <f>IFERROR(IF(B396="","",VLOOKUP(B396,DATABASE!$A:$B,2,0)),"")</f>
        <v/>
      </c>
      <c r="D396" s="29" t="n"/>
      <c r="E396" s="40">
        <f>IF(B396="","",TODAY())</f>
        <v/>
      </c>
      <c r="F396" s="30" t="n"/>
      <c r="G396" s="41" t="n"/>
      <c r="H396" s="42" t="n"/>
      <c r="I396" s="43">
        <f>IFERROR(IF(OR(D396="",G396="",H396=""),"",ABS(PMT(G396/100/12,H396,D396))),"")</f>
        <v/>
      </c>
      <c r="J396" s="44">
        <f>IF(B396="","","Active")</f>
        <v/>
      </c>
    </row>
    <row r="397" ht="20" customHeight="1">
      <c r="A397" s="39">
        <f>IF(B397="","","LN"&amp;TEXT(ROW()-2,"0000"))</f>
        <v/>
      </c>
      <c r="B397" s="26" t="n"/>
      <c r="C397" s="27">
        <f>IFERROR(IF(B397="","",VLOOKUP(B397,DATABASE!$A:$B,2,0)),"")</f>
        <v/>
      </c>
      <c r="D397" s="29" t="n"/>
      <c r="E397" s="40">
        <f>IF(B397="","",TODAY())</f>
        <v/>
      </c>
      <c r="F397" s="30" t="n"/>
      <c r="G397" s="41" t="n"/>
      <c r="H397" s="42" t="n"/>
      <c r="I397" s="43">
        <f>IFERROR(IF(OR(D397="",G397="",H397=""),"",ABS(PMT(G397/100/12,H397,D397))),"")</f>
        <v/>
      </c>
      <c r="J397" s="44">
        <f>IF(B397="","","Active")</f>
        <v/>
      </c>
    </row>
    <row r="398" ht="20" customHeight="1">
      <c r="A398" s="39">
        <f>IF(B398="","","LN"&amp;TEXT(ROW()-2,"0000"))</f>
        <v/>
      </c>
      <c r="B398" s="26" t="n"/>
      <c r="C398" s="45">
        <f>IFERROR(IF(B398="","",VLOOKUP(B398,DATABASE!$A:$B,2,0)),"")</f>
        <v/>
      </c>
      <c r="D398" s="29" t="n"/>
      <c r="E398" s="40">
        <f>IF(B398="","",TODAY())</f>
        <v/>
      </c>
      <c r="F398" s="30" t="n"/>
      <c r="G398" s="41" t="n"/>
      <c r="H398" s="42" t="n"/>
      <c r="I398" s="43">
        <f>IFERROR(IF(OR(D398="",G398="",H398=""),"",ABS(PMT(G398/100/12,H398,D398))),"")</f>
        <v/>
      </c>
      <c r="J398" s="44">
        <f>IF(B398="","","Active")</f>
        <v/>
      </c>
    </row>
    <row r="399" ht="20" customHeight="1">
      <c r="A399" s="39">
        <f>IF(B399="","","LN"&amp;TEXT(ROW()-2,"0000"))</f>
        <v/>
      </c>
      <c r="B399" s="26" t="n"/>
      <c r="C399" s="27">
        <f>IFERROR(IF(B399="","",VLOOKUP(B399,DATABASE!$A:$B,2,0)),"")</f>
        <v/>
      </c>
      <c r="D399" s="29" t="n"/>
      <c r="E399" s="40">
        <f>IF(B399="","",TODAY())</f>
        <v/>
      </c>
      <c r="F399" s="30" t="n"/>
      <c r="G399" s="41" t="n"/>
      <c r="H399" s="42" t="n"/>
      <c r="I399" s="43">
        <f>IFERROR(IF(OR(D399="",G399="",H399=""),"",ABS(PMT(G399/100/12,H399,D399))),"")</f>
        <v/>
      </c>
      <c r="J399" s="44">
        <f>IF(B399="","","Active")</f>
        <v/>
      </c>
    </row>
    <row r="400" ht="20" customHeight="1">
      <c r="A400" s="39">
        <f>IF(B400="","","LN"&amp;TEXT(ROW()-2,"0000"))</f>
        <v/>
      </c>
      <c r="B400" s="26" t="n"/>
      <c r="C400" s="45">
        <f>IFERROR(IF(B400="","",VLOOKUP(B400,DATABASE!$A:$B,2,0)),"")</f>
        <v/>
      </c>
      <c r="D400" s="29" t="n"/>
      <c r="E400" s="40">
        <f>IF(B400="","",TODAY())</f>
        <v/>
      </c>
      <c r="F400" s="30" t="n"/>
      <c r="G400" s="41" t="n"/>
      <c r="H400" s="42" t="n"/>
      <c r="I400" s="43">
        <f>IFERROR(IF(OR(D400="",G400="",H400=""),"",ABS(PMT(G400/100/12,H400,D400))),"")</f>
        <v/>
      </c>
      <c r="J400" s="44">
        <f>IF(B400="","","Active")</f>
        <v/>
      </c>
    </row>
    <row r="401" ht="20" customHeight="1">
      <c r="A401" s="39">
        <f>IF(B401="","","LN"&amp;TEXT(ROW()-2,"0000"))</f>
        <v/>
      </c>
      <c r="B401" s="26" t="n"/>
      <c r="C401" s="27">
        <f>IFERROR(IF(B401="","",VLOOKUP(B401,DATABASE!$A:$B,2,0)),"")</f>
        <v/>
      </c>
      <c r="D401" s="29" t="n"/>
      <c r="E401" s="40">
        <f>IF(B401="","",TODAY())</f>
        <v/>
      </c>
      <c r="F401" s="30" t="n"/>
      <c r="G401" s="41" t="n"/>
      <c r="H401" s="42" t="n"/>
      <c r="I401" s="43">
        <f>IFERROR(IF(OR(D401="",G401="",H401=""),"",ABS(PMT(G401/100/12,H401,D401))),"")</f>
        <v/>
      </c>
      <c r="J401" s="44">
        <f>IF(B401="","","Active")</f>
        <v/>
      </c>
    </row>
    <row r="402" ht="20" customHeight="1">
      <c r="A402" s="39">
        <f>IF(B402="","","LN"&amp;TEXT(ROW()-2,"0000"))</f>
        <v/>
      </c>
      <c r="B402" s="26" t="n"/>
      <c r="C402" s="45">
        <f>IFERROR(IF(B402="","",VLOOKUP(B402,DATABASE!$A:$B,2,0)),"")</f>
        <v/>
      </c>
      <c r="D402" s="29" t="n"/>
      <c r="E402" s="40">
        <f>IF(B402="","",TODAY())</f>
        <v/>
      </c>
      <c r="F402" s="30" t="n"/>
      <c r="G402" s="41" t="n"/>
      <c r="H402" s="42" t="n"/>
      <c r="I402" s="43">
        <f>IFERROR(IF(OR(D402="",G402="",H402=""),"",ABS(PMT(G402/100/12,H402,D402))),"")</f>
        <v/>
      </c>
      <c r="J402" s="44">
        <f>IF(B402="","","Active")</f>
        <v/>
      </c>
    </row>
    <row r="403" ht="20" customHeight="1">
      <c r="A403" s="39">
        <f>IF(B403="","","LN"&amp;TEXT(ROW()-2,"0000"))</f>
        <v/>
      </c>
      <c r="B403" s="26" t="n"/>
      <c r="C403" s="27">
        <f>IFERROR(IF(B403="","",VLOOKUP(B403,DATABASE!$A:$B,2,0)),"")</f>
        <v/>
      </c>
      <c r="D403" s="29" t="n"/>
      <c r="E403" s="40">
        <f>IF(B403="","",TODAY())</f>
        <v/>
      </c>
      <c r="F403" s="30" t="n"/>
      <c r="G403" s="41" t="n"/>
      <c r="H403" s="42" t="n"/>
      <c r="I403" s="43">
        <f>IFERROR(IF(OR(D403="",G403="",H403=""),"",ABS(PMT(G403/100/12,H403,D403))),"")</f>
        <v/>
      </c>
      <c r="J403" s="44">
        <f>IF(B403="","","Active")</f>
        <v/>
      </c>
    </row>
    <row r="404" ht="20" customHeight="1">
      <c r="A404" s="39">
        <f>IF(B404="","","LN"&amp;TEXT(ROW()-2,"0000"))</f>
        <v/>
      </c>
      <c r="B404" s="26" t="n"/>
      <c r="C404" s="45">
        <f>IFERROR(IF(B404="","",VLOOKUP(B404,DATABASE!$A:$B,2,0)),"")</f>
        <v/>
      </c>
      <c r="D404" s="29" t="n"/>
      <c r="E404" s="40">
        <f>IF(B404="","",TODAY())</f>
        <v/>
      </c>
      <c r="F404" s="30" t="n"/>
      <c r="G404" s="41" t="n"/>
      <c r="H404" s="42" t="n"/>
      <c r="I404" s="43">
        <f>IFERROR(IF(OR(D404="",G404="",H404=""),"",ABS(PMT(G404/100/12,H404,D404))),"")</f>
        <v/>
      </c>
      <c r="J404" s="44">
        <f>IF(B404="","","Active")</f>
        <v/>
      </c>
    </row>
    <row r="405" ht="20" customHeight="1">
      <c r="A405" s="39">
        <f>IF(B405="","","LN"&amp;TEXT(ROW()-2,"0000"))</f>
        <v/>
      </c>
      <c r="B405" s="26" t="n"/>
      <c r="C405" s="27">
        <f>IFERROR(IF(B405="","",VLOOKUP(B405,DATABASE!$A:$B,2,0)),"")</f>
        <v/>
      </c>
      <c r="D405" s="29" t="n"/>
      <c r="E405" s="40">
        <f>IF(B405="","",TODAY())</f>
        <v/>
      </c>
      <c r="F405" s="30" t="n"/>
      <c r="G405" s="41" t="n"/>
      <c r="H405" s="42" t="n"/>
      <c r="I405" s="43">
        <f>IFERROR(IF(OR(D405="",G405="",H405=""),"",ABS(PMT(G405/100/12,H405,D405))),"")</f>
        <v/>
      </c>
      <c r="J405" s="44">
        <f>IF(B405="","","Active")</f>
        <v/>
      </c>
    </row>
    <row r="406" ht="20" customHeight="1">
      <c r="A406" s="39">
        <f>IF(B406="","","LN"&amp;TEXT(ROW()-2,"0000"))</f>
        <v/>
      </c>
      <c r="B406" s="26" t="n"/>
      <c r="C406" s="45">
        <f>IFERROR(IF(B406="","",VLOOKUP(B406,DATABASE!$A:$B,2,0)),"")</f>
        <v/>
      </c>
      <c r="D406" s="29" t="n"/>
      <c r="E406" s="40">
        <f>IF(B406="","",TODAY())</f>
        <v/>
      </c>
      <c r="F406" s="30" t="n"/>
      <c r="G406" s="41" t="n"/>
      <c r="H406" s="42" t="n"/>
      <c r="I406" s="43">
        <f>IFERROR(IF(OR(D406="",G406="",H406=""),"",ABS(PMT(G406/100/12,H406,D406))),"")</f>
        <v/>
      </c>
      <c r="J406" s="44">
        <f>IF(B406="","","Active")</f>
        <v/>
      </c>
    </row>
    <row r="407" ht="20" customHeight="1">
      <c r="A407" s="39">
        <f>IF(B407="","","LN"&amp;TEXT(ROW()-2,"0000"))</f>
        <v/>
      </c>
      <c r="B407" s="26" t="n"/>
      <c r="C407" s="27">
        <f>IFERROR(IF(B407="","",VLOOKUP(B407,DATABASE!$A:$B,2,0)),"")</f>
        <v/>
      </c>
      <c r="D407" s="29" t="n"/>
      <c r="E407" s="40">
        <f>IF(B407="","",TODAY())</f>
        <v/>
      </c>
      <c r="F407" s="30" t="n"/>
      <c r="G407" s="41" t="n"/>
      <c r="H407" s="42" t="n"/>
      <c r="I407" s="43">
        <f>IFERROR(IF(OR(D407="",G407="",H407=""),"",ABS(PMT(G407/100/12,H407,D407))),"")</f>
        <v/>
      </c>
      <c r="J407" s="44">
        <f>IF(B407="","","Active")</f>
        <v/>
      </c>
    </row>
    <row r="408" ht="20" customHeight="1">
      <c r="A408" s="39">
        <f>IF(B408="","","LN"&amp;TEXT(ROW()-2,"0000"))</f>
        <v/>
      </c>
      <c r="B408" s="26" t="n"/>
      <c r="C408" s="45">
        <f>IFERROR(IF(B408="","",VLOOKUP(B408,DATABASE!$A:$B,2,0)),"")</f>
        <v/>
      </c>
      <c r="D408" s="29" t="n"/>
      <c r="E408" s="40">
        <f>IF(B408="","",TODAY())</f>
        <v/>
      </c>
      <c r="F408" s="30" t="n"/>
      <c r="G408" s="41" t="n"/>
      <c r="H408" s="42" t="n"/>
      <c r="I408" s="43">
        <f>IFERROR(IF(OR(D408="",G408="",H408=""),"",ABS(PMT(G408/100/12,H408,D408))),"")</f>
        <v/>
      </c>
      <c r="J408" s="44">
        <f>IF(B408="","","Active")</f>
        <v/>
      </c>
    </row>
    <row r="409" ht="20" customHeight="1">
      <c r="A409" s="39">
        <f>IF(B409="","","LN"&amp;TEXT(ROW()-2,"0000"))</f>
        <v/>
      </c>
      <c r="B409" s="26" t="n"/>
      <c r="C409" s="27">
        <f>IFERROR(IF(B409="","",VLOOKUP(B409,DATABASE!$A:$B,2,0)),"")</f>
        <v/>
      </c>
      <c r="D409" s="29" t="n"/>
      <c r="E409" s="40">
        <f>IF(B409="","",TODAY())</f>
        <v/>
      </c>
      <c r="F409" s="30" t="n"/>
      <c r="G409" s="41" t="n"/>
      <c r="H409" s="42" t="n"/>
      <c r="I409" s="43">
        <f>IFERROR(IF(OR(D409="",G409="",H409=""),"",ABS(PMT(G409/100/12,H409,D409))),"")</f>
        <v/>
      </c>
      <c r="J409" s="44">
        <f>IF(B409="","","Active")</f>
        <v/>
      </c>
    </row>
    <row r="410" ht="20" customHeight="1">
      <c r="A410" s="39">
        <f>IF(B410="","","LN"&amp;TEXT(ROW()-2,"0000"))</f>
        <v/>
      </c>
      <c r="B410" s="26" t="n"/>
      <c r="C410" s="45">
        <f>IFERROR(IF(B410="","",VLOOKUP(B410,DATABASE!$A:$B,2,0)),"")</f>
        <v/>
      </c>
      <c r="D410" s="29" t="n"/>
      <c r="E410" s="40">
        <f>IF(B410="","",TODAY())</f>
        <v/>
      </c>
      <c r="F410" s="30" t="n"/>
      <c r="G410" s="41" t="n"/>
      <c r="H410" s="42" t="n"/>
      <c r="I410" s="43">
        <f>IFERROR(IF(OR(D410="",G410="",H410=""),"",ABS(PMT(G410/100/12,H410,D410))),"")</f>
        <v/>
      </c>
      <c r="J410" s="44">
        <f>IF(B410="","","Active")</f>
        <v/>
      </c>
    </row>
    <row r="411" ht="20" customHeight="1">
      <c r="A411" s="39">
        <f>IF(B411="","","LN"&amp;TEXT(ROW()-2,"0000"))</f>
        <v/>
      </c>
      <c r="B411" s="26" t="n"/>
      <c r="C411" s="27">
        <f>IFERROR(IF(B411="","",VLOOKUP(B411,DATABASE!$A:$B,2,0)),"")</f>
        <v/>
      </c>
      <c r="D411" s="29" t="n"/>
      <c r="E411" s="40">
        <f>IF(B411="","",TODAY())</f>
        <v/>
      </c>
      <c r="F411" s="30" t="n"/>
      <c r="G411" s="41" t="n"/>
      <c r="H411" s="42" t="n"/>
      <c r="I411" s="43">
        <f>IFERROR(IF(OR(D411="",G411="",H411=""),"",ABS(PMT(G411/100/12,H411,D411))),"")</f>
        <v/>
      </c>
      <c r="J411" s="44">
        <f>IF(B411="","","Active")</f>
        <v/>
      </c>
    </row>
    <row r="412" ht="20" customHeight="1">
      <c r="A412" s="39">
        <f>IF(B412="","","LN"&amp;TEXT(ROW()-2,"0000"))</f>
        <v/>
      </c>
      <c r="B412" s="26" t="n"/>
      <c r="C412" s="45">
        <f>IFERROR(IF(B412="","",VLOOKUP(B412,DATABASE!$A:$B,2,0)),"")</f>
        <v/>
      </c>
      <c r="D412" s="29" t="n"/>
      <c r="E412" s="40">
        <f>IF(B412="","",TODAY())</f>
        <v/>
      </c>
      <c r="F412" s="30" t="n"/>
      <c r="G412" s="41" t="n"/>
      <c r="H412" s="42" t="n"/>
      <c r="I412" s="43">
        <f>IFERROR(IF(OR(D412="",G412="",H412=""),"",ABS(PMT(G412/100/12,H412,D412))),"")</f>
        <v/>
      </c>
      <c r="J412" s="44">
        <f>IF(B412="","","Active")</f>
        <v/>
      </c>
    </row>
    <row r="413" ht="20" customHeight="1">
      <c r="A413" s="39">
        <f>IF(B413="","","LN"&amp;TEXT(ROW()-2,"0000"))</f>
        <v/>
      </c>
      <c r="B413" s="26" t="n"/>
      <c r="C413" s="27">
        <f>IFERROR(IF(B413="","",VLOOKUP(B413,DATABASE!$A:$B,2,0)),"")</f>
        <v/>
      </c>
      <c r="D413" s="29" t="n"/>
      <c r="E413" s="40">
        <f>IF(B413="","",TODAY())</f>
        <v/>
      </c>
      <c r="F413" s="30" t="n"/>
      <c r="G413" s="41" t="n"/>
      <c r="H413" s="42" t="n"/>
      <c r="I413" s="43">
        <f>IFERROR(IF(OR(D413="",G413="",H413=""),"",ABS(PMT(G413/100/12,H413,D413))),"")</f>
        <v/>
      </c>
      <c r="J413" s="44">
        <f>IF(B413="","","Active")</f>
        <v/>
      </c>
    </row>
    <row r="414" ht="20" customHeight="1">
      <c r="A414" s="39">
        <f>IF(B414="","","LN"&amp;TEXT(ROW()-2,"0000"))</f>
        <v/>
      </c>
      <c r="B414" s="26" t="n"/>
      <c r="C414" s="45">
        <f>IFERROR(IF(B414="","",VLOOKUP(B414,DATABASE!$A:$B,2,0)),"")</f>
        <v/>
      </c>
      <c r="D414" s="29" t="n"/>
      <c r="E414" s="40">
        <f>IF(B414="","",TODAY())</f>
        <v/>
      </c>
      <c r="F414" s="30" t="n"/>
      <c r="G414" s="41" t="n"/>
      <c r="H414" s="42" t="n"/>
      <c r="I414" s="43">
        <f>IFERROR(IF(OR(D414="",G414="",H414=""),"",ABS(PMT(G414/100/12,H414,D414))),"")</f>
        <v/>
      </c>
      <c r="J414" s="44">
        <f>IF(B414="","","Active")</f>
        <v/>
      </c>
    </row>
    <row r="415" ht="20" customHeight="1">
      <c r="A415" s="39">
        <f>IF(B415="","","LN"&amp;TEXT(ROW()-2,"0000"))</f>
        <v/>
      </c>
      <c r="B415" s="26" t="n"/>
      <c r="C415" s="27">
        <f>IFERROR(IF(B415="","",VLOOKUP(B415,DATABASE!$A:$B,2,0)),"")</f>
        <v/>
      </c>
      <c r="D415" s="29" t="n"/>
      <c r="E415" s="40">
        <f>IF(B415="","",TODAY())</f>
        <v/>
      </c>
      <c r="F415" s="30" t="n"/>
      <c r="G415" s="41" t="n"/>
      <c r="H415" s="42" t="n"/>
      <c r="I415" s="43">
        <f>IFERROR(IF(OR(D415="",G415="",H415=""),"",ABS(PMT(G415/100/12,H415,D415))),"")</f>
        <v/>
      </c>
      <c r="J415" s="44">
        <f>IF(B415="","","Active")</f>
        <v/>
      </c>
    </row>
    <row r="416" ht="20" customHeight="1">
      <c r="A416" s="39">
        <f>IF(B416="","","LN"&amp;TEXT(ROW()-2,"0000"))</f>
        <v/>
      </c>
      <c r="B416" s="26" t="n"/>
      <c r="C416" s="45">
        <f>IFERROR(IF(B416="","",VLOOKUP(B416,DATABASE!$A:$B,2,0)),"")</f>
        <v/>
      </c>
      <c r="D416" s="29" t="n"/>
      <c r="E416" s="40">
        <f>IF(B416="","",TODAY())</f>
        <v/>
      </c>
      <c r="F416" s="30" t="n"/>
      <c r="G416" s="41" t="n"/>
      <c r="H416" s="42" t="n"/>
      <c r="I416" s="43">
        <f>IFERROR(IF(OR(D416="",G416="",H416=""),"",ABS(PMT(G416/100/12,H416,D416))),"")</f>
        <v/>
      </c>
      <c r="J416" s="44">
        <f>IF(B416="","","Active")</f>
        <v/>
      </c>
    </row>
    <row r="417" ht="20" customHeight="1">
      <c r="A417" s="39">
        <f>IF(B417="","","LN"&amp;TEXT(ROW()-2,"0000"))</f>
        <v/>
      </c>
      <c r="B417" s="26" t="n"/>
      <c r="C417" s="27">
        <f>IFERROR(IF(B417="","",VLOOKUP(B417,DATABASE!$A:$B,2,0)),"")</f>
        <v/>
      </c>
      <c r="D417" s="29" t="n"/>
      <c r="E417" s="40">
        <f>IF(B417="","",TODAY())</f>
        <v/>
      </c>
      <c r="F417" s="30" t="n"/>
      <c r="G417" s="41" t="n"/>
      <c r="H417" s="42" t="n"/>
      <c r="I417" s="43">
        <f>IFERROR(IF(OR(D417="",G417="",H417=""),"",ABS(PMT(G417/100/12,H417,D417))),"")</f>
        <v/>
      </c>
      <c r="J417" s="44">
        <f>IF(B417="","","Active")</f>
        <v/>
      </c>
    </row>
    <row r="418" ht="20" customHeight="1">
      <c r="A418" s="39">
        <f>IF(B418="","","LN"&amp;TEXT(ROW()-2,"0000"))</f>
        <v/>
      </c>
      <c r="B418" s="26" t="n"/>
      <c r="C418" s="45">
        <f>IFERROR(IF(B418="","",VLOOKUP(B418,DATABASE!$A:$B,2,0)),"")</f>
        <v/>
      </c>
      <c r="D418" s="29" t="n"/>
      <c r="E418" s="40">
        <f>IF(B418="","",TODAY())</f>
        <v/>
      </c>
      <c r="F418" s="30" t="n"/>
      <c r="G418" s="41" t="n"/>
      <c r="H418" s="42" t="n"/>
      <c r="I418" s="43">
        <f>IFERROR(IF(OR(D418="",G418="",H418=""),"",ABS(PMT(G418/100/12,H418,D418))),"")</f>
        <v/>
      </c>
      <c r="J418" s="44">
        <f>IF(B418="","","Active")</f>
        <v/>
      </c>
    </row>
    <row r="419" ht="20" customHeight="1">
      <c r="A419" s="39">
        <f>IF(B419="","","LN"&amp;TEXT(ROW()-2,"0000"))</f>
        <v/>
      </c>
      <c r="B419" s="26" t="n"/>
      <c r="C419" s="27">
        <f>IFERROR(IF(B419="","",VLOOKUP(B419,DATABASE!$A:$B,2,0)),"")</f>
        <v/>
      </c>
      <c r="D419" s="29" t="n"/>
      <c r="E419" s="40">
        <f>IF(B419="","",TODAY())</f>
        <v/>
      </c>
      <c r="F419" s="30" t="n"/>
      <c r="G419" s="41" t="n"/>
      <c r="H419" s="42" t="n"/>
      <c r="I419" s="43">
        <f>IFERROR(IF(OR(D419="",G419="",H419=""),"",ABS(PMT(G419/100/12,H419,D419))),"")</f>
        <v/>
      </c>
      <c r="J419" s="44">
        <f>IF(B419="","","Active")</f>
        <v/>
      </c>
    </row>
    <row r="420" ht="20" customHeight="1">
      <c r="A420" s="39">
        <f>IF(B420="","","LN"&amp;TEXT(ROW()-2,"0000"))</f>
        <v/>
      </c>
      <c r="B420" s="26" t="n"/>
      <c r="C420" s="45">
        <f>IFERROR(IF(B420="","",VLOOKUP(B420,DATABASE!$A:$B,2,0)),"")</f>
        <v/>
      </c>
      <c r="D420" s="29" t="n"/>
      <c r="E420" s="40">
        <f>IF(B420="","",TODAY())</f>
        <v/>
      </c>
      <c r="F420" s="30" t="n"/>
      <c r="G420" s="41" t="n"/>
      <c r="H420" s="42" t="n"/>
      <c r="I420" s="43">
        <f>IFERROR(IF(OR(D420="",G420="",H420=""),"",ABS(PMT(G420/100/12,H420,D420))),"")</f>
        <v/>
      </c>
      <c r="J420" s="44">
        <f>IF(B420="","","Active")</f>
        <v/>
      </c>
    </row>
    <row r="421" ht="20" customHeight="1">
      <c r="A421" s="39">
        <f>IF(B421="","","LN"&amp;TEXT(ROW()-2,"0000"))</f>
        <v/>
      </c>
      <c r="B421" s="26" t="n"/>
      <c r="C421" s="27">
        <f>IFERROR(IF(B421="","",VLOOKUP(B421,DATABASE!$A:$B,2,0)),"")</f>
        <v/>
      </c>
      <c r="D421" s="29" t="n"/>
      <c r="E421" s="40">
        <f>IF(B421="","",TODAY())</f>
        <v/>
      </c>
      <c r="F421" s="30" t="n"/>
      <c r="G421" s="41" t="n"/>
      <c r="H421" s="42" t="n"/>
      <c r="I421" s="43">
        <f>IFERROR(IF(OR(D421="",G421="",H421=""),"",ABS(PMT(G421/100/12,H421,D421))),"")</f>
        <v/>
      </c>
      <c r="J421" s="44">
        <f>IF(B421="","","Active")</f>
        <v/>
      </c>
    </row>
    <row r="422" ht="20" customHeight="1">
      <c r="A422" s="39">
        <f>IF(B422="","","LN"&amp;TEXT(ROW()-2,"0000"))</f>
        <v/>
      </c>
      <c r="B422" s="26" t="n"/>
      <c r="C422" s="45">
        <f>IFERROR(IF(B422="","",VLOOKUP(B422,DATABASE!$A:$B,2,0)),"")</f>
        <v/>
      </c>
      <c r="D422" s="29" t="n"/>
      <c r="E422" s="40">
        <f>IF(B422="","",TODAY())</f>
        <v/>
      </c>
      <c r="F422" s="30" t="n"/>
      <c r="G422" s="41" t="n"/>
      <c r="H422" s="42" t="n"/>
      <c r="I422" s="43">
        <f>IFERROR(IF(OR(D422="",G422="",H422=""),"",ABS(PMT(G422/100/12,H422,D422))),"")</f>
        <v/>
      </c>
      <c r="J422" s="44">
        <f>IF(B422="","","Active")</f>
        <v/>
      </c>
    </row>
    <row r="423" ht="20" customHeight="1">
      <c r="A423" s="39">
        <f>IF(B423="","","LN"&amp;TEXT(ROW()-2,"0000"))</f>
        <v/>
      </c>
      <c r="B423" s="26" t="n"/>
      <c r="C423" s="27">
        <f>IFERROR(IF(B423="","",VLOOKUP(B423,DATABASE!$A:$B,2,0)),"")</f>
        <v/>
      </c>
      <c r="D423" s="29" t="n"/>
      <c r="E423" s="40">
        <f>IF(B423="","",TODAY())</f>
        <v/>
      </c>
      <c r="F423" s="30" t="n"/>
      <c r="G423" s="41" t="n"/>
      <c r="H423" s="42" t="n"/>
      <c r="I423" s="43">
        <f>IFERROR(IF(OR(D423="",G423="",H423=""),"",ABS(PMT(G423/100/12,H423,D423))),"")</f>
        <v/>
      </c>
      <c r="J423" s="44">
        <f>IF(B423="","","Active")</f>
        <v/>
      </c>
    </row>
    <row r="424" ht="20" customHeight="1">
      <c r="A424" s="39">
        <f>IF(B424="","","LN"&amp;TEXT(ROW()-2,"0000"))</f>
        <v/>
      </c>
      <c r="B424" s="26" t="n"/>
      <c r="C424" s="45">
        <f>IFERROR(IF(B424="","",VLOOKUP(B424,DATABASE!$A:$B,2,0)),"")</f>
        <v/>
      </c>
      <c r="D424" s="29" t="n"/>
      <c r="E424" s="40">
        <f>IF(B424="","",TODAY())</f>
        <v/>
      </c>
      <c r="F424" s="30" t="n"/>
      <c r="G424" s="41" t="n"/>
      <c r="H424" s="42" t="n"/>
      <c r="I424" s="43">
        <f>IFERROR(IF(OR(D424="",G424="",H424=""),"",ABS(PMT(G424/100/12,H424,D424))),"")</f>
        <v/>
      </c>
      <c r="J424" s="44">
        <f>IF(B424="","","Active")</f>
        <v/>
      </c>
    </row>
    <row r="425" ht="20" customHeight="1">
      <c r="A425" s="39">
        <f>IF(B425="","","LN"&amp;TEXT(ROW()-2,"0000"))</f>
        <v/>
      </c>
      <c r="B425" s="26" t="n"/>
      <c r="C425" s="27">
        <f>IFERROR(IF(B425="","",VLOOKUP(B425,DATABASE!$A:$B,2,0)),"")</f>
        <v/>
      </c>
      <c r="D425" s="29" t="n"/>
      <c r="E425" s="40">
        <f>IF(B425="","",TODAY())</f>
        <v/>
      </c>
      <c r="F425" s="30" t="n"/>
      <c r="G425" s="41" t="n"/>
      <c r="H425" s="42" t="n"/>
      <c r="I425" s="43">
        <f>IFERROR(IF(OR(D425="",G425="",H425=""),"",ABS(PMT(G425/100/12,H425,D425))),"")</f>
        <v/>
      </c>
      <c r="J425" s="44">
        <f>IF(B425="","","Active")</f>
        <v/>
      </c>
    </row>
    <row r="426" ht="20" customHeight="1">
      <c r="A426" s="39">
        <f>IF(B426="","","LN"&amp;TEXT(ROW()-2,"0000"))</f>
        <v/>
      </c>
      <c r="B426" s="26" t="n"/>
      <c r="C426" s="45">
        <f>IFERROR(IF(B426="","",VLOOKUP(B426,DATABASE!$A:$B,2,0)),"")</f>
        <v/>
      </c>
      <c r="D426" s="29" t="n"/>
      <c r="E426" s="40">
        <f>IF(B426="","",TODAY())</f>
        <v/>
      </c>
      <c r="F426" s="30" t="n"/>
      <c r="G426" s="41" t="n"/>
      <c r="H426" s="42" t="n"/>
      <c r="I426" s="43">
        <f>IFERROR(IF(OR(D426="",G426="",H426=""),"",ABS(PMT(G426/100/12,H426,D426))),"")</f>
        <v/>
      </c>
      <c r="J426" s="44">
        <f>IF(B426="","","Active")</f>
        <v/>
      </c>
    </row>
    <row r="427" ht="20" customHeight="1">
      <c r="A427" s="39">
        <f>IF(B427="","","LN"&amp;TEXT(ROW()-2,"0000"))</f>
        <v/>
      </c>
      <c r="B427" s="26" t="n"/>
      <c r="C427" s="27">
        <f>IFERROR(IF(B427="","",VLOOKUP(B427,DATABASE!$A:$B,2,0)),"")</f>
        <v/>
      </c>
      <c r="D427" s="29" t="n"/>
      <c r="E427" s="40">
        <f>IF(B427="","",TODAY())</f>
        <v/>
      </c>
      <c r="F427" s="30" t="n"/>
      <c r="G427" s="41" t="n"/>
      <c r="H427" s="42" t="n"/>
      <c r="I427" s="43">
        <f>IFERROR(IF(OR(D427="",G427="",H427=""),"",ABS(PMT(G427/100/12,H427,D427))),"")</f>
        <v/>
      </c>
      <c r="J427" s="44">
        <f>IF(B427="","","Active")</f>
        <v/>
      </c>
    </row>
    <row r="428" ht="20" customHeight="1">
      <c r="A428" s="39">
        <f>IF(B428="","","LN"&amp;TEXT(ROW()-2,"0000"))</f>
        <v/>
      </c>
      <c r="B428" s="26" t="n"/>
      <c r="C428" s="45">
        <f>IFERROR(IF(B428="","",VLOOKUP(B428,DATABASE!$A:$B,2,0)),"")</f>
        <v/>
      </c>
      <c r="D428" s="29" t="n"/>
      <c r="E428" s="40">
        <f>IF(B428="","",TODAY())</f>
        <v/>
      </c>
      <c r="F428" s="30" t="n"/>
      <c r="G428" s="41" t="n"/>
      <c r="H428" s="42" t="n"/>
      <c r="I428" s="43">
        <f>IFERROR(IF(OR(D428="",G428="",H428=""),"",ABS(PMT(G428/100/12,H428,D428))),"")</f>
        <v/>
      </c>
      <c r="J428" s="44">
        <f>IF(B428="","","Active")</f>
        <v/>
      </c>
    </row>
    <row r="429" ht="20" customHeight="1">
      <c r="A429" s="39">
        <f>IF(B429="","","LN"&amp;TEXT(ROW()-2,"0000"))</f>
        <v/>
      </c>
      <c r="B429" s="26" t="n"/>
      <c r="C429" s="27">
        <f>IFERROR(IF(B429="","",VLOOKUP(B429,DATABASE!$A:$B,2,0)),"")</f>
        <v/>
      </c>
      <c r="D429" s="29" t="n"/>
      <c r="E429" s="40">
        <f>IF(B429="","",TODAY())</f>
        <v/>
      </c>
      <c r="F429" s="30" t="n"/>
      <c r="G429" s="41" t="n"/>
      <c r="H429" s="42" t="n"/>
      <c r="I429" s="43">
        <f>IFERROR(IF(OR(D429="",G429="",H429=""),"",ABS(PMT(G429/100/12,H429,D429))),"")</f>
        <v/>
      </c>
      <c r="J429" s="44">
        <f>IF(B429="","","Active")</f>
        <v/>
      </c>
    </row>
    <row r="430" ht="20" customHeight="1">
      <c r="A430" s="39">
        <f>IF(B430="","","LN"&amp;TEXT(ROW()-2,"0000"))</f>
        <v/>
      </c>
      <c r="B430" s="26" t="n"/>
      <c r="C430" s="45">
        <f>IFERROR(IF(B430="","",VLOOKUP(B430,DATABASE!$A:$B,2,0)),"")</f>
        <v/>
      </c>
      <c r="D430" s="29" t="n"/>
      <c r="E430" s="40">
        <f>IF(B430="","",TODAY())</f>
        <v/>
      </c>
      <c r="F430" s="30" t="n"/>
      <c r="G430" s="41" t="n"/>
      <c r="H430" s="42" t="n"/>
      <c r="I430" s="43">
        <f>IFERROR(IF(OR(D430="",G430="",H430=""),"",ABS(PMT(G430/100/12,H430,D430))),"")</f>
        <v/>
      </c>
      <c r="J430" s="44">
        <f>IF(B430="","","Active")</f>
        <v/>
      </c>
    </row>
    <row r="431" ht="20" customHeight="1">
      <c r="A431" s="39">
        <f>IF(B431="","","LN"&amp;TEXT(ROW()-2,"0000"))</f>
        <v/>
      </c>
      <c r="B431" s="26" t="n"/>
      <c r="C431" s="27">
        <f>IFERROR(IF(B431="","",VLOOKUP(B431,DATABASE!$A:$B,2,0)),"")</f>
        <v/>
      </c>
      <c r="D431" s="29" t="n"/>
      <c r="E431" s="40">
        <f>IF(B431="","",TODAY())</f>
        <v/>
      </c>
      <c r="F431" s="30" t="n"/>
      <c r="G431" s="41" t="n"/>
      <c r="H431" s="42" t="n"/>
      <c r="I431" s="43">
        <f>IFERROR(IF(OR(D431="",G431="",H431=""),"",ABS(PMT(G431/100/12,H431,D431))),"")</f>
        <v/>
      </c>
      <c r="J431" s="44">
        <f>IF(B431="","","Active")</f>
        <v/>
      </c>
    </row>
    <row r="432" ht="20" customHeight="1">
      <c r="A432" s="39">
        <f>IF(B432="","","LN"&amp;TEXT(ROW()-2,"0000"))</f>
        <v/>
      </c>
      <c r="B432" s="26" t="n"/>
      <c r="C432" s="45">
        <f>IFERROR(IF(B432="","",VLOOKUP(B432,DATABASE!$A:$B,2,0)),"")</f>
        <v/>
      </c>
      <c r="D432" s="29" t="n"/>
      <c r="E432" s="40">
        <f>IF(B432="","",TODAY())</f>
        <v/>
      </c>
      <c r="F432" s="30" t="n"/>
      <c r="G432" s="41" t="n"/>
      <c r="H432" s="42" t="n"/>
      <c r="I432" s="43">
        <f>IFERROR(IF(OR(D432="",G432="",H432=""),"",ABS(PMT(G432/100/12,H432,D432))),"")</f>
        <v/>
      </c>
      <c r="J432" s="44">
        <f>IF(B432="","","Active")</f>
        <v/>
      </c>
    </row>
    <row r="433" ht="20" customHeight="1">
      <c r="A433" s="39">
        <f>IF(B433="","","LN"&amp;TEXT(ROW()-2,"0000"))</f>
        <v/>
      </c>
      <c r="B433" s="26" t="n"/>
      <c r="C433" s="27">
        <f>IFERROR(IF(B433="","",VLOOKUP(B433,DATABASE!$A:$B,2,0)),"")</f>
        <v/>
      </c>
      <c r="D433" s="29" t="n"/>
      <c r="E433" s="40">
        <f>IF(B433="","",TODAY())</f>
        <v/>
      </c>
      <c r="F433" s="30" t="n"/>
      <c r="G433" s="41" t="n"/>
      <c r="H433" s="42" t="n"/>
      <c r="I433" s="43">
        <f>IFERROR(IF(OR(D433="",G433="",H433=""),"",ABS(PMT(G433/100/12,H433,D433))),"")</f>
        <v/>
      </c>
      <c r="J433" s="44">
        <f>IF(B433="","","Active")</f>
        <v/>
      </c>
    </row>
    <row r="434" ht="20" customHeight="1">
      <c r="A434" s="39">
        <f>IF(B434="","","LN"&amp;TEXT(ROW()-2,"0000"))</f>
        <v/>
      </c>
      <c r="B434" s="26" t="n"/>
      <c r="C434" s="45">
        <f>IFERROR(IF(B434="","",VLOOKUP(B434,DATABASE!$A:$B,2,0)),"")</f>
        <v/>
      </c>
      <c r="D434" s="29" t="n"/>
      <c r="E434" s="40">
        <f>IF(B434="","",TODAY())</f>
        <v/>
      </c>
      <c r="F434" s="30" t="n"/>
      <c r="G434" s="41" t="n"/>
      <c r="H434" s="42" t="n"/>
      <c r="I434" s="43">
        <f>IFERROR(IF(OR(D434="",G434="",H434=""),"",ABS(PMT(G434/100/12,H434,D434))),"")</f>
        <v/>
      </c>
      <c r="J434" s="44">
        <f>IF(B434="","","Active")</f>
        <v/>
      </c>
    </row>
    <row r="435" ht="20" customHeight="1">
      <c r="A435" s="39">
        <f>IF(B435="","","LN"&amp;TEXT(ROW()-2,"0000"))</f>
        <v/>
      </c>
      <c r="B435" s="26" t="n"/>
      <c r="C435" s="27">
        <f>IFERROR(IF(B435="","",VLOOKUP(B435,DATABASE!$A:$B,2,0)),"")</f>
        <v/>
      </c>
      <c r="D435" s="29" t="n"/>
      <c r="E435" s="40">
        <f>IF(B435="","",TODAY())</f>
        <v/>
      </c>
      <c r="F435" s="30" t="n"/>
      <c r="G435" s="41" t="n"/>
      <c r="H435" s="42" t="n"/>
      <c r="I435" s="43">
        <f>IFERROR(IF(OR(D435="",G435="",H435=""),"",ABS(PMT(G435/100/12,H435,D435))),"")</f>
        <v/>
      </c>
      <c r="J435" s="44">
        <f>IF(B435="","","Active")</f>
        <v/>
      </c>
    </row>
    <row r="436" ht="20" customHeight="1">
      <c r="A436" s="39">
        <f>IF(B436="","","LN"&amp;TEXT(ROW()-2,"0000"))</f>
        <v/>
      </c>
      <c r="B436" s="26" t="n"/>
      <c r="C436" s="45">
        <f>IFERROR(IF(B436="","",VLOOKUP(B436,DATABASE!$A:$B,2,0)),"")</f>
        <v/>
      </c>
      <c r="D436" s="29" t="n"/>
      <c r="E436" s="40">
        <f>IF(B436="","",TODAY())</f>
        <v/>
      </c>
      <c r="F436" s="30" t="n"/>
      <c r="G436" s="41" t="n"/>
      <c r="H436" s="42" t="n"/>
      <c r="I436" s="43">
        <f>IFERROR(IF(OR(D436="",G436="",H436=""),"",ABS(PMT(G436/100/12,H436,D436))),"")</f>
        <v/>
      </c>
      <c r="J436" s="44">
        <f>IF(B436="","","Active")</f>
        <v/>
      </c>
    </row>
    <row r="437" ht="20" customHeight="1">
      <c r="A437" s="39">
        <f>IF(B437="","","LN"&amp;TEXT(ROW()-2,"0000"))</f>
        <v/>
      </c>
      <c r="B437" s="26" t="n"/>
      <c r="C437" s="27">
        <f>IFERROR(IF(B437="","",VLOOKUP(B437,DATABASE!$A:$B,2,0)),"")</f>
        <v/>
      </c>
      <c r="D437" s="29" t="n"/>
      <c r="E437" s="40">
        <f>IF(B437="","",TODAY())</f>
        <v/>
      </c>
      <c r="F437" s="30" t="n"/>
      <c r="G437" s="41" t="n"/>
      <c r="H437" s="42" t="n"/>
      <c r="I437" s="43">
        <f>IFERROR(IF(OR(D437="",G437="",H437=""),"",ABS(PMT(G437/100/12,H437,D437))),"")</f>
        <v/>
      </c>
      <c r="J437" s="44">
        <f>IF(B437="","","Active")</f>
        <v/>
      </c>
    </row>
    <row r="438" ht="20" customHeight="1">
      <c r="A438" s="39">
        <f>IF(B438="","","LN"&amp;TEXT(ROW()-2,"0000"))</f>
        <v/>
      </c>
      <c r="B438" s="26" t="n"/>
      <c r="C438" s="45">
        <f>IFERROR(IF(B438="","",VLOOKUP(B438,DATABASE!$A:$B,2,0)),"")</f>
        <v/>
      </c>
      <c r="D438" s="29" t="n"/>
      <c r="E438" s="40">
        <f>IF(B438="","",TODAY())</f>
        <v/>
      </c>
      <c r="F438" s="30" t="n"/>
      <c r="G438" s="41" t="n"/>
      <c r="H438" s="42" t="n"/>
      <c r="I438" s="43">
        <f>IFERROR(IF(OR(D438="",G438="",H438=""),"",ABS(PMT(G438/100/12,H438,D438))),"")</f>
        <v/>
      </c>
      <c r="J438" s="44">
        <f>IF(B438="","","Active")</f>
        <v/>
      </c>
    </row>
    <row r="439" ht="20" customHeight="1">
      <c r="A439" s="39">
        <f>IF(B439="","","LN"&amp;TEXT(ROW()-2,"0000"))</f>
        <v/>
      </c>
      <c r="B439" s="26" t="n"/>
      <c r="C439" s="27">
        <f>IFERROR(IF(B439="","",VLOOKUP(B439,DATABASE!$A:$B,2,0)),"")</f>
        <v/>
      </c>
      <c r="D439" s="29" t="n"/>
      <c r="E439" s="40">
        <f>IF(B439="","",TODAY())</f>
        <v/>
      </c>
      <c r="F439" s="30" t="n"/>
      <c r="G439" s="41" t="n"/>
      <c r="H439" s="42" t="n"/>
      <c r="I439" s="43">
        <f>IFERROR(IF(OR(D439="",G439="",H439=""),"",ABS(PMT(G439/100/12,H439,D439))),"")</f>
        <v/>
      </c>
      <c r="J439" s="44">
        <f>IF(B439="","","Active")</f>
        <v/>
      </c>
    </row>
    <row r="440" ht="20" customHeight="1">
      <c r="A440" s="39">
        <f>IF(B440="","","LN"&amp;TEXT(ROW()-2,"0000"))</f>
        <v/>
      </c>
      <c r="B440" s="26" t="n"/>
      <c r="C440" s="45">
        <f>IFERROR(IF(B440="","",VLOOKUP(B440,DATABASE!$A:$B,2,0)),"")</f>
        <v/>
      </c>
      <c r="D440" s="29" t="n"/>
      <c r="E440" s="40">
        <f>IF(B440="","",TODAY())</f>
        <v/>
      </c>
      <c r="F440" s="30" t="n"/>
      <c r="G440" s="41" t="n"/>
      <c r="H440" s="42" t="n"/>
      <c r="I440" s="43">
        <f>IFERROR(IF(OR(D440="",G440="",H440=""),"",ABS(PMT(G440/100/12,H440,D440))),"")</f>
        <v/>
      </c>
      <c r="J440" s="44">
        <f>IF(B440="","","Active")</f>
        <v/>
      </c>
    </row>
    <row r="441" ht="20" customHeight="1">
      <c r="A441" s="39">
        <f>IF(B441="","","LN"&amp;TEXT(ROW()-2,"0000"))</f>
        <v/>
      </c>
      <c r="B441" s="26" t="n"/>
      <c r="C441" s="27">
        <f>IFERROR(IF(B441="","",VLOOKUP(B441,DATABASE!$A:$B,2,0)),"")</f>
        <v/>
      </c>
      <c r="D441" s="29" t="n"/>
      <c r="E441" s="40">
        <f>IF(B441="","",TODAY())</f>
        <v/>
      </c>
      <c r="F441" s="30" t="n"/>
      <c r="G441" s="41" t="n"/>
      <c r="H441" s="42" t="n"/>
      <c r="I441" s="43">
        <f>IFERROR(IF(OR(D441="",G441="",H441=""),"",ABS(PMT(G441/100/12,H441,D441))),"")</f>
        <v/>
      </c>
      <c r="J441" s="44">
        <f>IF(B441="","","Active")</f>
        <v/>
      </c>
    </row>
    <row r="442" ht="20" customHeight="1">
      <c r="A442" s="39">
        <f>IF(B442="","","LN"&amp;TEXT(ROW()-2,"0000"))</f>
        <v/>
      </c>
      <c r="B442" s="26" t="n"/>
      <c r="C442" s="45">
        <f>IFERROR(IF(B442="","",VLOOKUP(B442,DATABASE!$A:$B,2,0)),"")</f>
        <v/>
      </c>
      <c r="D442" s="29" t="n"/>
      <c r="E442" s="40">
        <f>IF(B442="","",TODAY())</f>
        <v/>
      </c>
      <c r="F442" s="30" t="n"/>
      <c r="G442" s="41" t="n"/>
      <c r="H442" s="42" t="n"/>
      <c r="I442" s="43">
        <f>IFERROR(IF(OR(D442="",G442="",H442=""),"",ABS(PMT(G442/100/12,H442,D442))),"")</f>
        <v/>
      </c>
      <c r="J442" s="44">
        <f>IF(B442="","","Active")</f>
        <v/>
      </c>
    </row>
    <row r="443" ht="20" customHeight="1">
      <c r="A443" s="39">
        <f>IF(B443="","","LN"&amp;TEXT(ROW()-2,"0000"))</f>
        <v/>
      </c>
      <c r="B443" s="26" t="n"/>
      <c r="C443" s="27">
        <f>IFERROR(IF(B443="","",VLOOKUP(B443,DATABASE!$A:$B,2,0)),"")</f>
        <v/>
      </c>
      <c r="D443" s="29" t="n"/>
      <c r="E443" s="40">
        <f>IF(B443="","",TODAY())</f>
        <v/>
      </c>
      <c r="F443" s="30" t="n"/>
      <c r="G443" s="41" t="n"/>
      <c r="H443" s="42" t="n"/>
      <c r="I443" s="43">
        <f>IFERROR(IF(OR(D443="",G443="",H443=""),"",ABS(PMT(G443/100/12,H443,D443))),"")</f>
        <v/>
      </c>
      <c r="J443" s="44">
        <f>IF(B443="","","Active")</f>
        <v/>
      </c>
    </row>
    <row r="444" ht="20" customHeight="1">
      <c r="A444" s="39">
        <f>IF(B444="","","LN"&amp;TEXT(ROW()-2,"0000"))</f>
        <v/>
      </c>
      <c r="B444" s="26" t="n"/>
      <c r="C444" s="45">
        <f>IFERROR(IF(B444="","",VLOOKUP(B444,DATABASE!$A:$B,2,0)),"")</f>
        <v/>
      </c>
      <c r="D444" s="29" t="n"/>
      <c r="E444" s="40">
        <f>IF(B444="","",TODAY())</f>
        <v/>
      </c>
      <c r="F444" s="30" t="n"/>
      <c r="G444" s="41" t="n"/>
      <c r="H444" s="42" t="n"/>
      <c r="I444" s="43">
        <f>IFERROR(IF(OR(D444="",G444="",H444=""),"",ABS(PMT(G444/100/12,H444,D444))),"")</f>
        <v/>
      </c>
      <c r="J444" s="44">
        <f>IF(B444="","","Active")</f>
        <v/>
      </c>
    </row>
    <row r="445" ht="20" customHeight="1">
      <c r="A445" s="39">
        <f>IF(B445="","","LN"&amp;TEXT(ROW()-2,"0000"))</f>
        <v/>
      </c>
      <c r="B445" s="26" t="n"/>
      <c r="C445" s="27">
        <f>IFERROR(IF(B445="","",VLOOKUP(B445,DATABASE!$A:$B,2,0)),"")</f>
        <v/>
      </c>
      <c r="D445" s="29" t="n"/>
      <c r="E445" s="40">
        <f>IF(B445="","",TODAY())</f>
        <v/>
      </c>
      <c r="F445" s="30" t="n"/>
      <c r="G445" s="41" t="n"/>
      <c r="H445" s="42" t="n"/>
      <c r="I445" s="43">
        <f>IFERROR(IF(OR(D445="",G445="",H445=""),"",ABS(PMT(G445/100/12,H445,D445))),"")</f>
        <v/>
      </c>
      <c r="J445" s="44">
        <f>IF(B445="","","Active")</f>
        <v/>
      </c>
    </row>
    <row r="446" ht="20" customHeight="1">
      <c r="A446" s="39">
        <f>IF(B446="","","LN"&amp;TEXT(ROW()-2,"0000"))</f>
        <v/>
      </c>
      <c r="B446" s="26" t="n"/>
      <c r="C446" s="45">
        <f>IFERROR(IF(B446="","",VLOOKUP(B446,DATABASE!$A:$B,2,0)),"")</f>
        <v/>
      </c>
      <c r="D446" s="29" t="n"/>
      <c r="E446" s="40">
        <f>IF(B446="","",TODAY())</f>
        <v/>
      </c>
      <c r="F446" s="30" t="n"/>
      <c r="G446" s="41" t="n"/>
      <c r="H446" s="42" t="n"/>
      <c r="I446" s="43">
        <f>IFERROR(IF(OR(D446="",G446="",H446=""),"",ABS(PMT(G446/100/12,H446,D446))),"")</f>
        <v/>
      </c>
      <c r="J446" s="44">
        <f>IF(B446="","","Active")</f>
        <v/>
      </c>
    </row>
    <row r="447" ht="20" customHeight="1">
      <c r="A447" s="39">
        <f>IF(B447="","","LN"&amp;TEXT(ROW()-2,"0000"))</f>
        <v/>
      </c>
      <c r="B447" s="26" t="n"/>
      <c r="C447" s="27">
        <f>IFERROR(IF(B447="","",VLOOKUP(B447,DATABASE!$A:$B,2,0)),"")</f>
        <v/>
      </c>
      <c r="D447" s="29" t="n"/>
      <c r="E447" s="40">
        <f>IF(B447="","",TODAY())</f>
        <v/>
      </c>
      <c r="F447" s="30" t="n"/>
      <c r="G447" s="41" t="n"/>
      <c r="H447" s="42" t="n"/>
      <c r="I447" s="43">
        <f>IFERROR(IF(OR(D447="",G447="",H447=""),"",ABS(PMT(G447/100/12,H447,D447))),"")</f>
        <v/>
      </c>
      <c r="J447" s="44">
        <f>IF(B447="","","Active")</f>
        <v/>
      </c>
    </row>
    <row r="448" ht="20" customHeight="1">
      <c r="A448" s="39">
        <f>IF(B448="","","LN"&amp;TEXT(ROW()-2,"0000"))</f>
        <v/>
      </c>
      <c r="B448" s="26" t="n"/>
      <c r="C448" s="45">
        <f>IFERROR(IF(B448="","",VLOOKUP(B448,DATABASE!$A:$B,2,0)),"")</f>
        <v/>
      </c>
      <c r="D448" s="29" t="n"/>
      <c r="E448" s="40">
        <f>IF(B448="","",TODAY())</f>
        <v/>
      </c>
      <c r="F448" s="30" t="n"/>
      <c r="G448" s="41" t="n"/>
      <c r="H448" s="42" t="n"/>
      <c r="I448" s="43">
        <f>IFERROR(IF(OR(D448="",G448="",H448=""),"",ABS(PMT(G448/100/12,H448,D448))),"")</f>
        <v/>
      </c>
      <c r="J448" s="44">
        <f>IF(B448="","","Active")</f>
        <v/>
      </c>
    </row>
    <row r="449" ht="20" customHeight="1">
      <c r="A449" s="39">
        <f>IF(B449="","","LN"&amp;TEXT(ROW()-2,"0000"))</f>
        <v/>
      </c>
      <c r="B449" s="26" t="n"/>
      <c r="C449" s="27">
        <f>IFERROR(IF(B449="","",VLOOKUP(B449,DATABASE!$A:$B,2,0)),"")</f>
        <v/>
      </c>
      <c r="D449" s="29" t="n"/>
      <c r="E449" s="40">
        <f>IF(B449="","",TODAY())</f>
        <v/>
      </c>
      <c r="F449" s="30" t="n"/>
      <c r="G449" s="41" t="n"/>
      <c r="H449" s="42" t="n"/>
      <c r="I449" s="43">
        <f>IFERROR(IF(OR(D449="",G449="",H449=""),"",ABS(PMT(G449/100/12,H449,D449))),"")</f>
        <v/>
      </c>
      <c r="J449" s="44">
        <f>IF(B449="","","Active")</f>
        <v/>
      </c>
    </row>
    <row r="450" ht="20" customHeight="1">
      <c r="A450" s="39">
        <f>IF(B450="","","LN"&amp;TEXT(ROW()-2,"0000"))</f>
        <v/>
      </c>
      <c r="B450" s="26" t="n"/>
      <c r="C450" s="45">
        <f>IFERROR(IF(B450="","",VLOOKUP(B450,DATABASE!$A:$B,2,0)),"")</f>
        <v/>
      </c>
      <c r="D450" s="29" t="n"/>
      <c r="E450" s="40">
        <f>IF(B450="","",TODAY())</f>
        <v/>
      </c>
      <c r="F450" s="30" t="n"/>
      <c r="G450" s="41" t="n"/>
      <c r="H450" s="42" t="n"/>
      <c r="I450" s="43">
        <f>IFERROR(IF(OR(D450="",G450="",H450=""),"",ABS(PMT(G450/100/12,H450,D450))),"")</f>
        <v/>
      </c>
      <c r="J450" s="44">
        <f>IF(B450="","","Active")</f>
        <v/>
      </c>
    </row>
    <row r="451" ht="20" customHeight="1">
      <c r="A451" s="39">
        <f>IF(B451="","","LN"&amp;TEXT(ROW()-2,"0000"))</f>
        <v/>
      </c>
      <c r="B451" s="26" t="n"/>
      <c r="C451" s="27">
        <f>IFERROR(IF(B451="","",VLOOKUP(B451,DATABASE!$A:$B,2,0)),"")</f>
        <v/>
      </c>
      <c r="D451" s="29" t="n"/>
      <c r="E451" s="40">
        <f>IF(B451="","",TODAY())</f>
        <v/>
      </c>
      <c r="F451" s="30" t="n"/>
      <c r="G451" s="41" t="n"/>
      <c r="H451" s="42" t="n"/>
      <c r="I451" s="43">
        <f>IFERROR(IF(OR(D451="",G451="",H451=""),"",ABS(PMT(G451/100/12,H451,D451))),"")</f>
        <v/>
      </c>
      <c r="J451" s="44">
        <f>IF(B451="","","Active")</f>
        <v/>
      </c>
    </row>
    <row r="452" ht="20" customHeight="1">
      <c r="A452" s="39">
        <f>IF(B452="","","LN"&amp;TEXT(ROW()-2,"0000"))</f>
        <v/>
      </c>
      <c r="B452" s="26" t="n"/>
      <c r="C452" s="45">
        <f>IFERROR(IF(B452="","",VLOOKUP(B452,DATABASE!$A:$B,2,0)),"")</f>
        <v/>
      </c>
      <c r="D452" s="29" t="n"/>
      <c r="E452" s="40">
        <f>IF(B452="","",TODAY())</f>
        <v/>
      </c>
      <c r="F452" s="30" t="n"/>
      <c r="G452" s="41" t="n"/>
      <c r="H452" s="42" t="n"/>
      <c r="I452" s="43">
        <f>IFERROR(IF(OR(D452="",G452="",H452=""),"",ABS(PMT(G452/100/12,H452,D452))),"")</f>
        <v/>
      </c>
      <c r="J452" s="44">
        <f>IF(B452="","","Active")</f>
        <v/>
      </c>
    </row>
    <row r="453" ht="20" customHeight="1">
      <c r="A453" s="39">
        <f>IF(B453="","","LN"&amp;TEXT(ROW()-2,"0000"))</f>
        <v/>
      </c>
      <c r="B453" s="26" t="n"/>
      <c r="C453" s="27">
        <f>IFERROR(IF(B453="","",VLOOKUP(B453,DATABASE!$A:$B,2,0)),"")</f>
        <v/>
      </c>
      <c r="D453" s="29" t="n"/>
      <c r="E453" s="40">
        <f>IF(B453="","",TODAY())</f>
        <v/>
      </c>
      <c r="F453" s="30" t="n"/>
      <c r="G453" s="41" t="n"/>
      <c r="H453" s="42" t="n"/>
      <c r="I453" s="43">
        <f>IFERROR(IF(OR(D453="",G453="",H453=""),"",ABS(PMT(G453/100/12,H453,D453))),"")</f>
        <v/>
      </c>
      <c r="J453" s="44">
        <f>IF(B453="","","Active")</f>
        <v/>
      </c>
    </row>
    <row r="454" ht="20" customHeight="1">
      <c r="A454" s="39">
        <f>IF(B454="","","LN"&amp;TEXT(ROW()-2,"0000"))</f>
        <v/>
      </c>
      <c r="B454" s="26" t="n"/>
      <c r="C454" s="45">
        <f>IFERROR(IF(B454="","",VLOOKUP(B454,DATABASE!$A:$B,2,0)),"")</f>
        <v/>
      </c>
      <c r="D454" s="29" t="n"/>
      <c r="E454" s="40">
        <f>IF(B454="","",TODAY())</f>
        <v/>
      </c>
      <c r="F454" s="30" t="n"/>
      <c r="G454" s="41" t="n"/>
      <c r="H454" s="42" t="n"/>
      <c r="I454" s="43">
        <f>IFERROR(IF(OR(D454="",G454="",H454=""),"",ABS(PMT(G454/100/12,H454,D454))),"")</f>
        <v/>
      </c>
      <c r="J454" s="44">
        <f>IF(B454="","","Active")</f>
        <v/>
      </c>
    </row>
    <row r="455" ht="20" customHeight="1">
      <c r="A455" s="39">
        <f>IF(B455="","","LN"&amp;TEXT(ROW()-2,"0000"))</f>
        <v/>
      </c>
      <c r="B455" s="26" t="n"/>
      <c r="C455" s="27">
        <f>IFERROR(IF(B455="","",VLOOKUP(B455,DATABASE!$A:$B,2,0)),"")</f>
        <v/>
      </c>
      <c r="D455" s="29" t="n"/>
      <c r="E455" s="40">
        <f>IF(B455="","",TODAY())</f>
        <v/>
      </c>
      <c r="F455" s="30" t="n"/>
      <c r="G455" s="41" t="n"/>
      <c r="H455" s="42" t="n"/>
      <c r="I455" s="43">
        <f>IFERROR(IF(OR(D455="",G455="",H455=""),"",ABS(PMT(G455/100/12,H455,D455))),"")</f>
        <v/>
      </c>
      <c r="J455" s="44">
        <f>IF(B455="","","Active")</f>
        <v/>
      </c>
    </row>
    <row r="456" ht="20" customHeight="1">
      <c r="A456" s="39">
        <f>IF(B456="","","LN"&amp;TEXT(ROW()-2,"0000"))</f>
        <v/>
      </c>
      <c r="B456" s="26" t="n"/>
      <c r="C456" s="45">
        <f>IFERROR(IF(B456="","",VLOOKUP(B456,DATABASE!$A:$B,2,0)),"")</f>
        <v/>
      </c>
      <c r="D456" s="29" t="n"/>
      <c r="E456" s="40">
        <f>IF(B456="","",TODAY())</f>
        <v/>
      </c>
      <c r="F456" s="30" t="n"/>
      <c r="G456" s="41" t="n"/>
      <c r="H456" s="42" t="n"/>
      <c r="I456" s="43">
        <f>IFERROR(IF(OR(D456="",G456="",H456=""),"",ABS(PMT(G456/100/12,H456,D456))),"")</f>
        <v/>
      </c>
      <c r="J456" s="44">
        <f>IF(B456="","","Active")</f>
        <v/>
      </c>
    </row>
    <row r="457" ht="20" customHeight="1">
      <c r="A457" s="39">
        <f>IF(B457="","","LN"&amp;TEXT(ROW()-2,"0000"))</f>
        <v/>
      </c>
      <c r="B457" s="26" t="n"/>
      <c r="C457" s="27">
        <f>IFERROR(IF(B457="","",VLOOKUP(B457,DATABASE!$A:$B,2,0)),"")</f>
        <v/>
      </c>
      <c r="D457" s="29" t="n"/>
      <c r="E457" s="40">
        <f>IF(B457="","",TODAY())</f>
        <v/>
      </c>
      <c r="F457" s="30" t="n"/>
      <c r="G457" s="41" t="n"/>
      <c r="H457" s="42" t="n"/>
      <c r="I457" s="43">
        <f>IFERROR(IF(OR(D457="",G457="",H457=""),"",ABS(PMT(G457/100/12,H457,D457))),"")</f>
        <v/>
      </c>
      <c r="J457" s="44">
        <f>IF(B457="","","Active")</f>
        <v/>
      </c>
    </row>
    <row r="458" ht="20" customHeight="1">
      <c r="A458" s="39">
        <f>IF(B458="","","LN"&amp;TEXT(ROW()-2,"0000"))</f>
        <v/>
      </c>
      <c r="B458" s="26" t="n"/>
      <c r="C458" s="45">
        <f>IFERROR(IF(B458="","",VLOOKUP(B458,DATABASE!$A:$B,2,0)),"")</f>
        <v/>
      </c>
      <c r="D458" s="29" t="n"/>
      <c r="E458" s="40">
        <f>IF(B458="","",TODAY())</f>
        <v/>
      </c>
      <c r="F458" s="30" t="n"/>
      <c r="G458" s="41" t="n"/>
      <c r="H458" s="42" t="n"/>
      <c r="I458" s="43">
        <f>IFERROR(IF(OR(D458="",G458="",H458=""),"",ABS(PMT(G458/100/12,H458,D458))),"")</f>
        <v/>
      </c>
      <c r="J458" s="44">
        <f>IF(B458="","","Active")</f>
        <v/>
      </c>
    </row>
    <row r="459" ht="20" customHeight="1">
      <c r="A459" s="39">
        <f>IF(B459="","","LN"&amp;TEXT(ROW()-2,"0000"))</f>
        <v/>
      </c>
      <c r="B459" s="26" t="n"/>
      <c r="C459" s="27">
        <f>IFERROR(IF(B459="","",VLOOKUP(B459,DATABASE!$A:$B,2,0)),"")</f>
        <v/>
      </c>
      <c r="D459" s="29" t="n"/>
      <c r="E459" s="40">
        <f>IF(B459="","",TODAY())</f>
        <v/>
      </c>
      <c r="F459" s="30" t="n"/>
      <c r="G459" s="41" t="n"/>
      <c r="H459" s="42" t="n"/>
      <c r="I459" s="43">
        <f>IFERROR(IF(OR(D459="",G459="",H459=""),"",ABS(PMT(G459/100/12,H459,D459))),"")</f>
        <v/>
      </c>
      <c r="J459" s="44">
        <f>IF(B459="","","Active")</f>
        <v/>
      </c>
    </row>
    <row r="460" ht="20" customHeight="1">
      <c r="A460" s="39">
        <f>IF(B460="","","LN"&amp;TEXT(ROW()-2,"0000"))</f>
        <v/>
      </c>
      <c r="B460" s="26" t="n"/>
      <c r="C460" s="45">
        <f>IFERROR(IF(B460="","",VLOOKUP(B460,DATABASE!$A:$B,2,0)),"")</f>
        <v/>
      </c>
      <c r="D460" s="29" t="n"/>
      <c r="E460" s="40">
        <f>IF(B460="","",TODAY())</f>
        <v/>
      </c>
      <c r="F460" s="30" t="n"/>
      <c r="G460" s="41" t="n"/>
      <c r="H460" s="42" t="n"/>
      <c r="I460" s="43">
        <f>IFERROR(IF(OR(D460="",G460="",H460=""),"",ABS(PMT(G460/100/12,H460,D460))),"")</f>
        <v/>
      </c>
      <c r="J460" s="44">
        <f>IF(B460="","","Active")</f>
        <v/>
      </c>
    </row>
    <row r="461" ht="20" customHeight="1">
      <c r="A461" s="39">
        <f>IF(B461="","","LN"&amp;TEXT(ROW()-2,"0000"))</f>
        <v/>
      </c>
      <c r="B461" s="26" t="n"/>
      <c r="C461" s="27">
        <f>IFERROR(IF(B461="","",VLOOKUP(B461,DATABASE!$A:$B,2,0)),"")</f>
        <v/>
      </c>
      <c r="D461" s="29" t="n"/>
      <c r="E461" s="40">
        <f>IF(B461="","",TODAY())</f>
        <v/>
      </c>
      <c r="F461" s="30" t="n"/>
      <c r="G461" s="41" t="n"/>
      <c r="H461" s="42" t="n"/>
      <c r="I461" s="43">
        <f>IFERROR(IF(OR(D461="",G461="",H461=""),"",ABS(PMT(G461/100/12,H461,D461))),"")</f>
        <v/>
      </c>
      <c r="J461" s="44">
        <f>IF(B461="","","Active")</f>
        <v/>
      </c>
    </row>
    <row r="462" ht="20" customHeight="1">
      <c r="A462" s="39">
        <f>IF(B462="","","LN"&amp;TEXT(ROW()-2,"0000"))</f>
        <v/>
      </c>
      <c r="B462" s="26" t="n"/>
      <c r="C462" s="45">
        <f>IFERROR(IF(B462="","",VLOOKUP(B462,DATABASE!$A:$B,2,0)),"")</f>
        <v/>
      </c>
      <c r="D462" s="29" t="n"/>
      <c r="E462" s="40">
        <f>IF(B462="","",TODAY())</f>
        <v/>
      </c>
      <c r="F462" s="30" t="n"/>
      <c r="G462" s="41" t="n"/>
      <c r="H462" s="42" t="n"/>
      <c r="I462" s="43">
        <f>IFERROR(IF(OR(D462="",G462="",H462=""),"",ABS(PMT(G462/100/12,H462,D462))),"")</f>
        <v/>
      </c>
      <c r="J462" s="44">
        <f>IF(B462="","","Active")</f>
        <v/>
      </c>
    </row>
    <row r="463" ht="20" customHeight="1">
      <c r="A463" s="39">
        <f>IF(B463="","","LN"&amp;TEXT(ROW()-2,"0000"))</f>
        <v/>
      </c>
      <c r="B463" s="26" t="n"/>
      <c r="C463" s="27">
        <f>IFERROR(IF(B463="","",VLOOKUP(B463,DATABASE!$A:$B,2,0)),"")</f>
        <v/>
      </c>
      <c r="D463" s="29" t="n"/>
      <c r="E463" s="40">
        <f>IF(B463="","",TODAY())</f>
        <v/>
      </c>
      <c r="F463" s="30" t="n"/>
      <c r="G463" s="41" t="n"/>
      <c r="H463" s="42" t="n"/>
      <c r="I463" s="43">
        <f>IFERROR(IF(OR(D463="",G463="",H463=""),"",ABS(PMT(G463/100/12,H463,D463))),"")</f>
        <v/>
      </c>
      <c r="J463" s="44">
        <f>IF(B463="","","Active")</f>
        <v/>
      </c>
    </row>
    <row r="464" ht="20" customHeight="1">
      <c r="A464" s="39">
        <f>IF(B464="","","LN"&amp;TEXT(ROW()-2,"0000"))</f>
        <v/>
      </c>
      <c r="B464" s="26" t="n"/>
      <c r="C464" s="45">
        <f>IFERROR(IF(B464="","",VLOOKUP(B464,DATABASE!$A:$B,2,0)),"")</f>
        <v/>
      </c>
      <c r="D464" s="29" t="n"/>
      <c r="E464" s="40">
        <f>IF(B464="","",TODAY())</f>
        <v/>
      </c>
      <c r="F464" s="30" t="n"/>
      <c r="G464" s="41" t="n"/>
      <c r="H464" s="42" t="n"/>
      <c r="I464" s="43">
        <f>IFERROR(IF(OR(D464="",G464="",H464=""),"",ABS(PMT(G464/100/12,H464,D464))),"")</f>
        <v/>
      </c>
      <c r="J464" s="44">
        <f>IF(B464="","","Active")</f>
        <v/>
      </c>
    </row>
    <row r="465" ht="20" customHeight="1">
      <c r="A465" s="39">
        <f>IF(B465="","","LN"&amp;TEXT(ROW()-2,"0000"))</f>
        <v/>
      </c>
      <c r="B465" s="26" t="n"/>
      <c r="C465" s="27">
        <f>IFERROR(IF(B465="","",VLOOKUP(B465,DATABASE!$A:$B,2,0)),"")</f>
        <v/>
      </c>
      <c r="D465" s="29" t="n"/>
      <c r="E465" s="40">
        <f>IF(B465="","",TODAY())</f>
        <v/>
      </c>
      <c r="F465" s="30" t="n"/>
      <c r="G465" s="41" t="n"/>
      <c r="H465" s="42" t="n"/>
      <c r="I465" s="43">
        <f>IFERROR(IF(OR(D465="",G465="",H465=""),"",ABS(PMT(G465/100/12,H465,D465))),"")</f>
        <v/>
      </c>
      <c r="J465" s="44">
        <f>IF(B465="","","Active")</f>
        <v/>
      </c>
    </row>
    <row r="466" ht="20" customHeight="1">
      <c r="A466" s="39">
        <f>IF(B466="","","LN"&amp;TEXT(ROW()-2,"0000"))</f>
        <v/>
      </c>
      <c r="B466" s="26" t="n"/>
      <c r="C466" s="45">
        <f>IFERROR(IF(B466="","",VLOOKUP(B466,DATABASE!$A:$B,2,0)),"")</f>
        <v/>
      </c>
      <c r="D466" s="29" t="n"/>
      <c r="E466" s="40">
        <f>IF(B466="","",TODAY())</f>
        <v/>
      </c>
      <c r="F466" s="30" t="n"/>
      <c r="G466" s="41" t="n"/>
      <c r="H466" s="42" t="n"/>
      <c r="I466" s="43">
        <f>IFERROR(IF(OR(D466="",G466="",H466=""),"",ABS(PMT(G466/100/12,H466,D466))),"")</f>
        <v/>
      </c>
      <c r="J466" s="44">
        <f>IF(B466="","","Active")</f>
        <v/>
      </c>
    </row>
    <row r="467" ht="20" customHeight="1">
      <c r="A467" s="39">
        <f>IF(B467="","","LN"&amp;TEXT(ROW()-2,"0000"))</f>
        <v/>
      </c>
      <c r="B467" s="26" t="n"/>
      <c r="C467" s="27">
        <f>IFERROR(IF(B467="","",VLOOKUP(B467,DATABASE!$A:$B,2,0)),"")</f>
        <v/>
      </c>
      <c r="D467" s="29" t="n"/>
      <c r="E467" s="40">
        <f>IF(B467="","",TODAY())</f>
        <v/>
      </c>
      <c r="F467" s="30" t="n"/>
      <c r="G467" s="41" t="n"/>
      <c r="H467" s="42" t="n"/>
      <c r="I467" s="43">
        <f>IFERROR(IF(OR(D467="",G467="",H467=""),"",ABS(PMT(G467/100/12,H467,D467))),"")</f>
        <v/>
      </c>
      <c r="J467" s="44">
        <f>IF(B467="","","Active")</f>
        <v/>
      </c>
    </row>
    <row r="468" ht="20" customHeight="1">
      <c r="A468" s="39">
        <f>IF(B468="","","LN"&amp;TEXT(ROW()-2,"0000"))</f>
        <v/>
      </c>
      <c r="B468" s="26" t="n"/>
      <c r="C468" s="45">
        <f>IFERROR(IF(B468="","",VLOOKUP(B468,DATABASE!$A:$B,2,0)),"")</f>
        <v/>
      </c>
      <c r="D468" s="29" t="n"/>
      <c r="E468" s="40">
        <f>IF(B468="","",TODAY())</f>
        <v/>
      </c>
      <c r="F468" s="30" t="n"/>
      <c r="G468" s="41" t="n"/>
      <c r="H468" s="42" t="n"/>
      <c r="I468" s="43">
        <f>IFERROR(IF(OR(D468="",G468="",H468=""),"",ABS(PMT(G468/100/12,H468,D468))),"")</f>
        <v/>
      </c>
      <c r="J468" s="44">
        <f>IF(B468="","","Active")</f>
        <v/>
      </c>
    </row>
    <row r="469" ht="20" customHeight="1">
      <c r="A469" s="39">
        <f>IF(B469="","","LN"&amp;TEXT(ROW()-2,"0000"))</f>
        <v/>
      </c>
      <c r="B469" s="26" t="n"/>
      <c r="C469" s="27">
        <f>IFERROR(IF(B469="","",VLOOKUP(B469,DATABASE!$A:$B,2,0)),"")</f>
        <v/>
      </c>
      <c r="D469" s="29" t="n"/>
      <c r="E469" s="40">
        <f>IF(B469="","",TODAY())</f>
        <v/>
      </c>
      <c r="F469" s="30" t="n"/>
      <c r="G469" s="41" t="n"/>
      <c r="H469" s="42" t="n"/>
      <c r="I469" s="43">
        <f>IFERROR(IF(OR(D469="",G469="",H469=""),"",ABS(PMT(G469/100/12,H469,D469))),"")</f>
        <v/>
      </c>
      <c r="J469" s="44">
        <f>IF(B469="","","Active")</f>
        <v/>
      </c>
    </row>
    <row r="470" ht="20" customHeight="1">
      <c r="A470" s="39">
        <f>IF(B470="","","LN"&amp;TEXT(ROW()-2,"0000"))</f>
        <v/>
      </c>
      <c r="B470" s="26" t="n"/>
      <c r="C470" s="45">
        <f>IFERROR(IF(B470="","",VLOOKUP(B470,DATABASE!$A:$B,2,0)),"")</f>
        <v/>
      </c>
      <c r="D470" s="29" t="n"/>
      <c r="E470" s="40">
        <f>IF(B470="","",TODAY())</f>
        <v/>
      </c>
      <c r="F470" s="30" t="n"/>
      <c r="G470" s="41" t="n"/>
      <c r="H470" s="42" t="n"/>
      <c r="I470" s="43">
        <f>IFERROR(IF(OR(D470="",G470="",H470=""),"",ABS(PMT(G470/100/12,H470,D470))),"")</f>
        <v/>
      </c>
      <c r="J470" s="44">
        <f>IF(B470="","","Active")</f>
        <v/>
      </c>
    </row>
    <row r="471" ht="20" customHeight="1">
      <c r="A471" s="39">
        <f>IF(B471="","","LN"&amp;TEXT(ROW()-2,"0000"))</f>
        <v/>
      </c>
      <c r="B471" s="26" t="n"/>
      <c r="C471" s="27">
        <f>IFERROR(IF(B471="","",VLOOKUP(B471,DATABASE!$A:$B,2,0)),"")</f>
        <v/>
      </c>
      <c r="D471" s="29" t="n"/>
      <c r="E471" s="40">
        <f>IF(B471="","",TODAY())</f>
        <v/>
      </c>
      <c r="F471" s="30" t="n"/>
      <c r="G471" s="41" t="n"/>
      <c r="H471" s="42" t="n"/>
      <c r="I471" s="43">
        <f>IFERROR(IF(OR(D471="",G471="",H471=""),"",ABS(PMT(G471/100/12,H471,D471))),"")</f>
        <v/>
      </c>
      <c r="J471" s="44">
        <f>IF(B471="","","Active")</f>
        <v/>
      </c>
    </row>
    <row r="472" ht="20" customHeight="1">
      <c r="A472" s="39">
        <f>IF(B472="","","LN"&amp;TEXT(ROW()-2,"0000"))</f>
        <v/>
      </c>
      <c r="B472" s="26" t="n"/>
      <c r="C472" s="45">
        <f>IFERROR(IF(B472="","",VLOOKUP(B472,DATABASE!$A:$B,2,0)),"")</f>
        <v/>
      </c>
      <c r="D472" s="29" t="n"/>
      <c r="E472" s="40">
        <f>IF(B472="","",TODAY())</f>
        <v/>
      </c>
      <c r="F472" s="30" t="n"/>
      <c r="G472" s="41" t="n"/>
      <c r="H472" s="42" t="n"/>
      <c r="I472" s="43">
        <f>IFERROR(IF(OR(D472="",G472="",H472=""),"",ABS(PMT(G472/100/12,H472,D472))),"")</f>
        <v/>
      </c>
      <c r="J472" s="44">
        <f>IF(B472="","","Active")</f>
        <v/>
      </c>
    </row>
    <row r="473" ht="20" customHeight="1">
      <c r="A473" s="39">
        <f>IF(B473="","","LN"&amp;TEXT(ROW()-2,"0000"))</f>
        <v/>
      </c>
      <c r="B473" s="26" t="n"/>
      <c r="C473" s="27">
        <f>IFERROR(IF(B473="","",VLOOKUP(B473,DATABASE!$A:$B,2,0)),"")</f>
        <v/>
      </c>
      <c r="D473" s="29" t="n"/>
      <c r="E473" s="40">
        <f>IF(B473="","",TODAY())</f>
        <v/>
      </c>
      <c r="F473" s="30" t="n"/>
      <c r="G473" s="41" t="n"/>
      <c r="H473" s="42" t="n"/>
      <c r="I473" s="43">
        <f>IFERROR(IF(OR(D473="",G473="",H473=""),"",ABS(PMT(G473/100/12,H473,D473))),"")</f>
        <v/>
      </c>
      <c r="J473" s="44">
        <f>IF(B473="","","Active")</f>
        <v/>
      </c>
    </row>
    <row r="474" ht="20" customHeight="1">
      <c r="A474" s="39">
        <f>IF(B474="","","LN"&amp;TEXT(ROW()-2,"0000"))</f>
        <v/>
      </c>
      <c r="B474" s="26" t="n"/>
      <c r="C474" s="45">
        <f>IFERROR(IF(B474="","",VLOOKUP(B474,DATABASE!$A:$B,2,0)),"")</f>
        <v/>
      </c>
      <c r="D474" s="29" t="n"/>
      <c r="E474" s="40">
        <f>IF(B474="","",TODAY())</f>
        <v/>
      </c>
      <c r="F474" s="30" t="n"/>
      <c r="G474" s="41" t="n"/>
      <c r="H474" s="42" t="n"/>
      <c r="I474" s="43">
        <f>IFERROR(IF(OR(D474="",G474="",H474=""),"",ABS(PMT(G474/100/12,H474,D474))),"")</f>
        <v/>
      </c>
      <c r="J474" s="44">
        <f>IF(B474="","","Active")</f>
        <v/>
      </c>
    </row>
    <row r="475" ht="20" customHeight="1">
      <c r="A475" s="39">
        <f>IF(B475="","","LN"&amp;TEXT(ROW()-2,"0000"))</f>
        <v/>
      </c>
      <c r="B475" s="26" t="n"/>
      <c r="C475" s="27">
        <f>IFERROR(IF(B475="","",VLOOKUP(B475,DATABASE!$A:$B,2,0)),"")</f>
        <v/>
      </c>
      <c r="D475" s="29" t="n"/>
      <c r="E475" s="40">
        <f>IF(B475="","",TODAY())</f>
        <v/>
      </c>
      <c r="F475" s="30" t="n"/>
      <c r="G475" s="41" t="n"/>
      <c r="H475" s="42" t="n"/>
      <c r="I475" s="43">
        <f>IFERROR(IF(OR(D475="",G475="",H475=""),"",ABS(PMT(G475/100/12,H475,D475))),"")</f>
        <v/>
      </c>
      <c r="J475" s="44">
        <f>IF(B475="","","Active")</f>
        <v/>
      </c>
    </row>
    <row r="476" ht="20" customHeight="1">
      <c r="A476" s="39">
        <f>IF(B476="","","LN"&amp;TEXT(ROW()-2,"0000"))</f>
        <v/>
      </c>
      <c r="B476" s="26" t="n"/>
      <c r="C476" s="45">
        <f>IFERROR(IF(B476="","",VLOOKUP(B476,DATABASE!$A:$B,2,0)),"")</f>
        <v/>
      </c>
      <c r="D476" s="29" t="n"/>
      <c r="E476" s="40">
        <f>IF(B476="","",TODAY())</f>
        <v/>
      </c>
      <c r="F476" s="30" t="n"/>
      <c r="G476" s="41" t="n"/>
      <c r="H476" s="42" t="n"/>
      <c r="I476" s="43">
        <f>IFERROR(IF(OR(D476="",G476="",H476=""),"",ABS(PMT(G476/100/12,H476,D476))),"")</f>
        <v/>
      </c>
      <c r="J476" s="44">
        <f>IF(B476="","","Active")</f>
        <v/>
      </c>
    </row>
    <row r="477" ht="20" customHeight="1">
      <c r="A477" s="39">
        <f>IF(B477="","","LN"&amp;TEXT(ROW()-2,"0000"))</f>
        <v/>
      </c>
      <c r="B477" s="26" t="n"/>
      <c r="C477" s="27">
        <f>IFERROR(IF(B477="","",VLOOKUP(B477,DATABASE!$A:$B,2,0)),"")</f>
        <v/>
      </c>
      <c r="D477" s="29" t="n"/>
      <c r="E477" s="40">
        <f>IF(B477="","",TODAY())</f>
        <v/>
      </c>
      <c r="F477" s="30" t="n"/>
      <c r="G477" s="41" t="n"/>
      <c r="H477" s="42" t="n"/>
      <c r="I477" s="43">
        <f>IFERROR(IF(OR(D477="",G477="",H477=""),"",ABS(PMT(G477/100/12,H477,D477))),"")</f>
        <v/>
      </c>
      <c r="J477" s="44">
        <f>IF(B477="","","Active")</f>
        <v/>
      </c>
    </row>
    <row r="478" ht="20" customHeight="1">
      <c r="A478" s="39">
        <f>IF(B478="","","LN"&amp;TEXT(ROW()-2,"0000"))</f>
        <v/>
      </c>
      <c r="B478" s="26" t="n"/>
      <c r="C478" s="45">
        <f>IFERROR(IF(B478="","",VLOOKUP(B478,DATABASE!$A:$B,2,0)),"")</f>
        <v/>
      </c>
      <c r="D478" s="29" t="n"/>
      <c r="E478" s="40">
        <f>IF(B478="","",TODAY())</f>
        <v/>
      </c>
      <c r="F478" s="30" t="n"/>
      <c r="G478" s="41" t="n"/>
      <c r="H478" s="42" t="n"/>
      <c r="I478" s="43">
        <f>IFERROR(IF(OR(D478="",G478="",H478=""),"",ABS(PMT(G478/100/12,H478,D478))),"")</f>
        <v/>
      </c>
      <c r="J478" s="44">
        <f>IF(B478="","","Active")</f>
        <v/>
      </c>
    </row>
    <row r="479" ht="20" customHeight="1">
      <c r="A479" s="39">
        <f>IF(B479="","","LN"&amp;TEXT(ROW()-2,"0000"))</f>
        <v/>
      </c>
      <c r="B479" s="26" t="n"/>
      <c r="C479" s="27">
        <f>IFERROR(IF(B479="","",VLOOKUP(B479,DATABASE!$A:$B,2,0)),"")</f>
        <v/>
      </c>
      <c r="D479" s="29" t="n"/>
      <c r="E479" s="40">
        <f>IF(B479="","",TODAY())</f>
        <v/>
      </c>
      <c r="F479" s="30" t="n"/>
      <c r="G479" s="41" t="n"/>
      <c r="H479" s="42" t="n"/>
      <c r="I479" s="43">
        <f>IFERROR(IF(OR(D479="",G479="",H479=""),"",ABS(PMT(G479/100/12,H479,D479))),"")</f>
        <v/>
      </c>
      <c r="J479" s="44">
        <f>IF(B479="","","Active")</f>
        <v/>
      </c>
    </row>
    <row r="480" ht="20" customHeight="1">
      <c r="A480" s="39">
        <f>IF(B480="","","LN"&amp;TEXT(ROW()-2,"0000"))</f>
        <v/>
      </c>
      <c r="B480" s="26" t="n"/>
      <c r="C480" s="45">
        <f>IFERROR(IF(B480="","",VLOOKUP(B480,DATABASE!$A:$B,2,0)),"")</f>
        <v/>
      </c>
      <c r="D480" s="29" t="n"/>
      <c r="E480" s="40">
        <f>IF(B480="","",TODAY())</f>
        <v/>
      </c>
      <c r="F480" s="30" t="n"/>
      <c r="G480" s="41" t="n"/>
      <c r="H480" s="42" t="n"/>
      <c r="I480" s="43">
        <f>IFERROR(IF(OR(D480="",G480="",H480=""),"",ABS(PMT(G480/100/12,H480,D480))),"")</f>
        <v/>
      </c>
      <c r="J480" s="44">
        <f>IF(B480="","","Active")</f>
        <v/>
      </c>
    </row>
    <row r="481" ht="20" customHeight="1">
      <c r="A481" s="39">
        <f>IF(B481="","","LN"&amp;TEXT(ROW()-2,"0000"))</f>
        <v/>
      </c>
      <c r="B481" s="26" t="n"/>
      <c r="C481" s="27">
        <f>IFERROR(IF(B481="","",VLOOKUP(B481,DATABASE!$A:$B,2,0)),"")</f>
        <v/>
      </c>
      <c r="D481" s="29" t="n"/>
      <c r="E481" s="40">
        <f>IF(B481="","",TODAY())</f>
        <v/>
      </c>
      <c r="F481" s="30" t="n"/>
      <c r="G481" s="41" t="n"/>
      <c r="H481" s="42" t="n"/>
      <c r="I481" s="43">
        <f>IFERROR(IF(OR(D481="",G481="",H481=""),"",ABS(PMT(G481/100/12,H481,D481))),"")</f>
        <v/>
      </c>
      <c r="J481" s="44">
        <f>IF(B481="","","Active")</f>
        <v/>
      </c>
    </row>
    <row r="482" ht="20" customHeight="1">
      <c r="A482" s="39">
        <f>IF(B482="","","LN"&amp;TEXT(ROW()-2,"0000"))</f>
        <v/>
      </c>
      <c r="B482" s="26" t="n"/>
      <c r="C482" s="45">
        <f>IFERROR(IF(B482="","",VLOOKUP(B482,DATABASE!$A:$B,2,0)),"")</f>
        <v/>
      </c>
      <c r="D482" s="29" t="n"/>
      <c r="E482" s="40">
        <f>IF(B482="","",TODAY())</f>
        <v/>
      </c>
      <c r="F482" s="30" t="n"/>
      <c r="G482" s="41" t="n"/>
      <c r="H482" s="42" t="n"/>
      <c r="I482" s="43">
        <f>IFERROR(IF(OR(D482="",G482="",H482=""),"",ABS(PMT(G482/100/12,H482,D482))),"")</f>
        <v/>
      </c>
      <c r="J482" s="44">
        <f>IF(B482="","","Active")</f>
        <v/>
      </c>
    </row>
    <row r="483" ht="20" customHeight="1">
      <c r="A483" s="39">
        <f>IF(B483="","","LN"&amp;TEXT(ROW()-2,"0000"))</f>
        <v/>
      </c>
      <c r="B483" s="26" t="n"/>
      <c r="C483" s="27">
        <f>IFERROR(IF(B483="","",VLOOKUP(B483,DATABASE!$A:$B,2,0)),"")</f>
        <v/>
      </c>
      <c r="D483" s="29" t="n"/>
      <c r="E483" s="40">
        <f>IF(B483="","",TODAY())</f>
        <v/>
      </c>
      <c r="F483" s="30" t="n"/>
      <c r="G483" s="41" t="n"/>
      <c r="H483" s="42" t="n"/>
      <c r="I483" s="43">
        <f>IFERROR(IF(OR(D483="",G483="",H483=""),"",ABS(PMT(G483/100/12,H483,D483))),"")</f>
        <v/>
      </c>
      <c r="J483" s="44">
        <f>IF(B483="","","Active")</f>
        <v/>
      </c>
    </row>
    <row r="484" ht="20" customHeight="1">
      <c r="A484" s="39">
        <f>IF(B484="","","LN"&amp;TEXT(ROW()-2,"0000"))</f>
        <v/>
      </c>
      <c r="B484" s="26" t="n"/>
      <c r="C484" s="45">
        <f>IFERROR(IF(B484="","",VLOOKUP(B484,DATABASE!$A:$B,2,0)),"")</f>
        <v/>
      </c>
      <c r="D484" s="29" t="n"/>
      <c r="E484" s="40">
        <f>IF(B484="","",TODAY())</f>
        <v/>
      </c>
      <c r="F484" s="30" t="n"/>
      <c r="G484" s="41" t="n"/>
      <c r="H484" s="42" t="n"/>
      <c r="I484" s="43">
        <f>IFERROR(IF(OR(D484="",G484="",H484=""),"",ABS(PMT(G484/100/12,H484,D484))),"")</f>
        <v/>
      </c>
      <c r="J484" s="44">
        <f>IF(B484="","","Active")</f>
        <v/>
      </c>
    </row>
    <row r="485" ht="20" customHeight="1">
      <c r="A485" s="39">
        <f>IF(B485="","","LN"&amp;TEXT(ROW()-2,"0000"))</f>
        <v/>
      </c>
      <c r="B485" s="26" t="n"/>
      <c r="C485" s="27">
        <f>IFERROR(IF(B485="","",VLOOKUP(B485,DATABASE!$A:$B,2,0)),"")</f>
        <v/>
      </c>
      <c r="D485" s="29" t="n"/>
      <c r="E485" s="40">
        <f>IF(B485="","",TODAY())</f>
        <v/>
      </c>
      <c r="F485" s="30" t="n"/>
      <c r="G485" s="41" t="n"/>
      <c r="H485" s="42" t="n"/>
      <c r="I485" s="43">
        <f>IFERROR(IF(OR(D485="",G485="",H485=""),"",ABS(PMT(G485/100/12,H485,D485))),"")</f>
        <v/>
      </c>
      <c r="J485" s="44">
        <f>IF(B485="","","Active")</f>
        <v/>
      </c>
    </row>
    <row r="486" ht="20" customHeight="1">
      <c r="A486" s="39">
        <f>IF(B486="","","LN"&amp;TEXT(ROW()-2,"0000"))</f>
        <v/>
      </c>
      <c r="B486" s="26" t="n"/>
      <c r="C486" s="45">
        <f>IFERROR(IF(B486="","",VLOOKUP(B486,DATABASE!$A:$B,2,0)),"")</f>
        <v/>
      </c>
      <c r="D486" s="29" t="n"/>
      <c r="E486" s="40">
        <f>IF(B486="","",TODAY())</f>
        <v/>
      </c>
      <c r="F486" s="30" t="n"/>
      <c r="G486" s="41" t="n"/>
      <c r="H486" s="42" t="n"/>
      <c r="I486" s="43">
        <f>IFERROR(IF(OR(D486="",G486="",H486=""),"",ABS(PMT(G486/100/12,H486,D486))),"")</f>
        <v/>
      </c>
      <c r="J486" s="44">
        <f>IF(B486="","","Active")</f>
        <v/>
      </c>
    </row>
    <row r="487" ht="20" customHeight="1">
      <c r="A487" s="39">
        <f>IF(B487="","","LN"&amp;TEXT(ROW()-2,"0000"))</f>
        <v/>
      </c>
      <c r="B487" s="26" t="n"/>
      <c r="C487" s="27">
        <f>IFERROR(IF(B487="","",VLOOKUP(B487,DATABASE!$A:$B,2,0)),"")</f>
        <v/>
      </c>
      <c r="D487" s="29" t="n"/>
      <c r="E487" s="40">
        <f>IF(B487="","",TODAY())</f>
        <v/>
      </c>
      <c r="F487" s="30" t="n"/>
      <c r="G487" s="41" t="n"/>
      <c r="H487" s="42" t="n"/>
      <c r="I487" s="43">
        <f>IFERROR(IF(OR(D487="",G487="",H487=""),"",ABS(PMT(G487/100/12,H487,D487))),"")</f>
        <v/>
      </c>
      <c r="J487" s="44">
        <f>IF(B487="","","Active")</f>
        <v/>
      </c>
    </row>
    <row r="488" ht="20" customHeight="1">
      <c r="A488" s="39">
        <f>IF(B488="","","LN"&amp;TEXT(ROW()-2,"0000"))</f>
        <v/>
      </c>
      <c r="B488" s="26" t="n"/>
      <c r="C488" s="45">
        <f>IFERROR(IF(B488="","",VLOOKUP(B488,DATABASE!$A:$B,2,0)),"")</f>
        <v/>
      </c>
      <c r="D488" s="29" t="n"/>
      <c r="E488" s="40">
        <f>IF(B488="","",TODAY())</f>
        <v/>
      </c>
      <c r="F488" s="30" t="n"/>
      <c r="G488" s="41" t="n"/>
      <c r="H488" s="42" t="n"/>
      <c r="I488" s="43">
        <f>IFERROR(IF(OR(D488="",G488="",H488=""),"",ABS(PMT(G488/100/12,H488,D488))),"")</f>
        <v/>
      </c>
      <c r="J488" s="44">
        <f>IF(B488="","","Active")</f>
        <v/>
      </c>
    </row>
    <row r="489" ht="20" customHeight="1">
      <c r="A489" s="39">
        <f>IF(B489="","","LN"&amp;TEXT(ROW()-2,"0000"))</f>
        <v/>
      </c>
      <c r="B489" s="26" t="n"/>
      <c r="C489" s="27">
        <f>IFERROR(IF(B489="","",VLOOKUP(B489,DATABASE!$A:$B,2,0)),"")</f>
        <v/>
      </c>
      <c r="D489" s="29" t="n"/>
      <c r="E489" s="40">
        <f>IF(B489="","",TODAY())</f>
        <v/>
      </c>
      <c r="F489" s="30" t="n"/>
      <c r="G489" s="41" t="n"/>
      <c r="H489" s="42" t="n"/>
      <c r="I489" s="43">
        <f>IFERROR(IF(OR(D489="",G489="",H489=""),"",ABS(PMT(G489/100/12,H489,D489))),"")</f>
        <v/>
      </c>
      <c r="J489" s="44">
        <f>IF(B489="","","Active")</f>
        <v/>
      </c>
    </row>
    <row r="490" ht="20" customHeight="1">
      <c r="A490" s="39">
        <f>IF(B490="","","LN"&amp;TEXT(ROW()-2,"0000"))</f>
        <v/>
      </c>
      <c r="B490" s="26" t="n"/>
      <c r="C490" s="45">
        <f>IFERROR(IF(B490="","",VLOOKUP(B490,DATABASE!$A:$B,2,0)),"")</f>
        <v/>
      </c>
      <c r="D490" s="29" t="n"/>
      <c r="E490" s="40">
        <f>IF(B490="","",TODAY())</f>
        <v/>
      </c>
      <c r="F490" s="30" t="n"/>
      <c r="G490" s="41" t="n"/>
      <c r="H490" s="42" t="n"/>
      <c r="I490" s="43">
        <f>IFERROR(IF(OR(D490="",G490="",H490=""),"",ABS(PMT(G490/100/12,H490,D490))),"")</f>
        <v/>
      </c>
      <c r="J490" s="44">
        <f>IF(B490="","","Active")</f>
        <v/>
      </c>
    </row>
    <row r="491" ht="20" customHeight="1">
      <c r="A491" s="39">
        <f>IF(B491="","","LN"&amp;TEXT(ROW()-2,"0000"))</f>
        <v/>
      </c>
      <c r="B491" s="26" t="n"/>
      <c r="C491" s="27">
        <f>IFERROR(IF(B491="","",VLOOKUP(B491,DATABASE!$A:$B,2,0)),"")</f>
        <v/>
      </c>
      <c r="D491" s="29" t="n"/>
      <c r="E491" s="40">
        <f>IF(B491="","",TODAY())</f>
        <v/>
      </c>
      <c r="F491" s="30" t="n"/>
      <c r="G491" s="41" t="n"/>
      <c r="H491" s="42" t="n"/>
      <c r="I491" s="43">
        <f>IFERROR(IF(OR(D491="",G491="",H491=""),"",ABS(PMT(G491/100/12,H491,D491))),"")</f>
        <v/>
      </c>
      <c r="J491" s="44">
        <f>IF(B491="","","Active")</f>
        <v/>
      </c>
    </row>
    <row r="492" ht="20" customHeight="1">
      <c r="A492" s="39">
        <f>IF(B492="","","LN"&amp;TEXT(ROW()-2,"0000"))</f>
        <v/>
      </c>
      <c r="B492" s="26" t="n"/>
      <c r="C492" s="45">
        <f>IFERROR(IF(B492="","",VLOOKUP(B492,DATABASE!$A:$B,2,0)),"")</f>
        <v/>
      </c>
      <c r="D492" s="29" t="n"/>
      <c r="E492" s="40">
        <f>IF(B492="","",TODAY())</f>
        <v/>
      </c>
      <c r="F492" s="30" t="n"/>
      <c r="G492" s="41" t="n"/>
      <c r="H492" s="42" t="n"/>
      <c r="I492" s="43">
        <f>IFERROR(IF(OR(D492="",G492="",H492=""),"",ABS(PMT(G492/100/12,H492,D492))),"")</f>
        <v/>
      </c>
      <c r="J492" s="44">
        <f>IF(B492="","","Active")</f>
        <v/>
      </c>
    </row>
    <row r="493" ht="20" customHeight="1">
      <c r="A493" s="39">
        <f>IF(B493="","","LN"&amp;TEXT(ROW()-2,"0000"))</f>
        <v/>
      </c>
      <c r="B493" s="26" t="n"/>
      <c r="C493" s="27">
        <f>IFERROR(IF(B493="","",VLOOKUP(B493,DATABASE!$A:$B,2,0)),"")</f>
        <v/>
      </c>
      <c r="D493" s="29" t="n"/>
      <c r="E493" s="40">
        <f>IF(B493="","",TODAY())</f>
        <v/>
      </c>
      <c r="F493" s="30" t="n"/>
      <c r="G493" s="41" t="n"/>
      <c r="H493" s="42" t="n"/>
      <c r="I493" s="43">
        <f>IFERROR(IF(OR(D493="",G493="",H493=""),"",ABS(PMT(G493/100/12,H493,D493))),"")</f>
        <v/>
      </c>
      <c r="J493" s="44">
        <f>IF(B493="","","Active")</f>
        <v/>
      </c>
    </row>
    <row r="494" ht="20" customHeight="1">
      <c r="A494" s="39">
        <f>IF(B494="","","LN"&amp;TEXT(ROW()-2,"0000"))</f>
        <v/>
      </c>
      <c r="B494" s="26" t="n"/>
      <c r="C494" s="45">
        <f>IFERROR(IF(B494="","",VLOOKUP(B494,DATABASE!$A:$B,2,0)),"")</f>
        <v/>
      </c>
      <c r="D494" s="29" t="n"/>
      <c r="E494" s="40">
        <f>IF(B494="","",TODAY())</f>
        <v/>
      </c>
      <c r="F494" s="30" t="n"/>
      <c r="G494" s="41" t="n"/>
      <c r="H494" s="42" t="n"/>
      <c r="I494" s="43">
        <f>IFERROR(IF(OR(D494="",G494="",H494=""),"",ABS(PMT(G494/100/12,H494,D494))),"")</f>
        <v/>
      </c>
      <c r="J494" s="44">
        <f>IF(B494="","","Active")</f>
        <v/>
      </c>
    </row>
    <row r="495" ht="20" customHeight="1">
      <c r="A495" s="39">
        <f>IF(B495="","","LN"&amp;TEXT(ROW()-2,"0000"))</f>
        <v/>
      </c>
      <c r="B495" s="26" t="n"/>
      <c r="C495" s="27">
        <f>IFERROR(IF(B495="","",VLOOKUP(B495,DATABASE!$A:$B,2,0)),"")</f>
        <v/>
      </c>
      <c r="D495" s="29" t="n"/>
      <c r="E495" s="40">
        <f>IF(B495="","",TODAY())</f>
        <v/>
      </c>
      <c r="F495" s="30" t="n"/>
      <c r="G495" s="41" t="n"/>
      <c r="H495" s="42" t="n"/>
      <c r="I495" s="43">
        <f>IFERROR(IF(OR(D495="",G495="",H495=""),"",ABS(PMT(G495/100/12,H495,D495))),"")</f>
        <v/>
      </c>
      <c r="J495" s="44">
        <f>IF(B495="","","Active")</f>
        <v/>
      </c>
    </row>
    <row r="496" ht="20" customHeight="1">
      <c r="A496" s="39">
        <f>IF(B496="","","LN"&amp;TEXT(ROW()-2,"0000"))</f>
        <v/>
      </c>
      <c r="B496" s="26" t="n"/>
      <c r="C496" s="45">
        <f>IFERROR(IF(B496="","",VLOOKUP(B496,DATABASE!$A:$B,2,0)),"")</f>
        <v/>
      </c>
      <c r="D496" s="29" t="n"/>
      <c r="E496" s="40">
        <f>IF(B496="","",TODAY())</f>
        <v/>
      </c>
      <c r="F496" s="30" t="n"/>
      <c r="G496" s="41" t="n"/>
      <c r="H496" s="42" t="n"/>
      <c r="I496" s="43">
        <f>IFERROR(IF(OR(D496="",G496="",H496=""),"",ABS(PMT(G496/100/12,H496,D496))),"")</f>
        <v/>
      </c>
      <c r="J496" s="44">
        <f>IF(B496="","","Active")</f>
        <v/>
      </c>
    </row>
    <row r="497" ht="20" customHeight="1">
      <c r="A497" s="39">
        <f>IF(B497="","","LN"&amp;TEXT(ROW()-2,"0000"))</f>
        <v/>
      </c>
      <c r="B497" s="26" t="n"/>
      <c r="C497" s="27">
        <f>IFERROR(IF(B497="","",VLOOKUP(B497,DATABASE!$A:$B,2,0)),"")</f>
        <v/>
      </c>
      <c r="D497" s="29" t="n"/>
      <c r="E497" s="40">
        <f>IF(B497="","",TODAY())</f>
        <v/>
      </c>
      <c r="F497" s="30" t="n"/>
      <c r="G497" s="41" t="n"/>
      <c r="H497" s="42" t="n"/>
      <c r="I497" s="43">
        <f>IFERROR(IF(OR(D497="",G497="",H497=""),"",ABS(PMT(G497/100/12,H497,D497))),"")</f>
        <v/>
      </c>
      <c r="J497" s="44">
        <f>IF(B497="","","Active")</f>
        <v/>
      </c>
    </row>
    <row r="498" ht="20" customHeight="1">
      <c r="A498" s="39">
        <f>IF(B498="","","LN"&amp;TEXT(ROW()-2,"0000"))</f>
        <v/>
      </c>
      <c r="B498" s="26" t="n"/>
      <c r="C498" s="45">
        <f>IFERROR(IF(B498="","",VLOOKUP(B498,DATABASE!$A:$B,2,0)),"")</f>
        <v/>
      </c>
      <c r="D498" s="29" t="n"/>
      <c r="E498" s="40">
        <f>IF(B498="","",TODAY())</f>
        <v/>
      </c>
      <c r="F498" s="30" t="n"/>
      <c r="G498" s="41" t="n"/>
      <c r="H498" s="42" t="n"/>
      <c r="I498" s="43">
        <f>IFERROR(IF(OR(D498="",G498="",H498=""),"",ABS(PMT(G498/100/12,H498,D498))),"")</f>
        <v/>
      </c>
      <c r="J498" s="44">
        <f>IF(B498="","","Active")</f>
        <v/>
      </c>
    </row>
    <row r="499" ht="20" customHeight="1">
      <c r="A499" s="39">
        <f>IF(B499="","","LN"&amp;TEXT(ROW()-2,"0000"))</f>
        <v/>
      </c>
      <c r="B499" s="26" t="n"/>
      <c r="C499" s="27">
        <f>IFERROR(IF(B499="","",VLOOKUP(B499,DATABASE!$A:$B,2,0)),"")</f>
        <v/>
      </c>
      <c r="D499" s="29" t="n"/>
      <c r="E499" s="40">
        <f>IF(B499="","",TODAY())</f>
        <v/>
      </c>
      <c r="F499" s="30" t="n"/>
      <c r="G499" s="41" t="n"/>
      <c r="H499" s="42" t="n"/>
      <c r="I499" s="43">
        <f>IFERROR(IF(OR(D499="",G499="",H499=""),"",ABS(PMT(G499/100/12,H499,D499))),"")</f>
        <v/>
      </c>
      <c r="J499" s="44">
        <f>IF(B499="","","Active")</f>
        <v/>
      </c>
    </row>
    <row r="500" ht="20" customHeight="1">
      <c r="A500" s="39">
        <f>IF(B500="","","LN"&amp;TEXT(ROW()-2,"0000"))</f>
        <v/>
      </c>
      <c r="B500" s="26" t="n"/>
      <c r="C500" s="45">
        <f>IFERROR(IF(B500="","",VLOOKUP(B500,DATABASE!$A:$B,2,0)),"")</f>
        <v/>
      </c>
      <c r="D500" s="29" t="n"/>
      <c r="E500" s="40">
        <f>IF(B500="","",TODAY())</f>
        <v/>
      </c>
      <c r="F500" s="30" t="n"/>
      <c r="G500" s="41" t="n"/>
      <c r="H500" s="42" t="n"/>
      <c r="I500" s="43">
        <f>IFERROR(IF(OR(D500="",G500="",H500=""),"",ABS(PMT(G500/100/12,H500,D500))),"")</f>
        <v/>
      </c>
      <c r="J500" s="44">
        <f>IF(B500="","","Active")</f>
        <v/>
      </c>
    </row>
    <row r="501" ht="20" customHeight="1">
      <c r="A501" s="39">
        <f>IF(B501="","","LN"&amp;TEXT(ROW()-2,"0000"))</f>
        <v/>
      </c>
      <c r="B501" s="26" t="n"/>
      <c r="C501" s="27">
        <f>IFERROR(IF(B501="","",VLOOKUP(B501,DATABASE!$A:$B,2,0)),"")</f>
        <v/>
      </c>
      <c r="D501" s="29" t="n"/>
      <c r="E501" s="40">
        <f>IF(B501="","",TODAY())</f>
        <v/>
      </c>
      <c r="F501" s="30" t="n"/>
      <c r="G501" s="41" t="n"/>
      <c r="H501" s="42" t="n"/>
      <c r="I501" s="43">
        <f>IFERROR(IF(OR(D501="",G501="",H501=""),"",ABS(PMT(G501/100/12,H501,D501))),"")</f>
        <v/>
      </c>
      <c r="J501" s="44">
        <f>IF(B501="","","Active")</f>
        <v/>
      </c>
    </row>
    <row r="502" ht="20" customHeight="1">
      <c r="A502" s="39">
        <f>IF(B502="","","LN"&amp;TEXT(ROW()-2,"0000"))</f>
        <v/>
      </c>
      <c r="B502" s="26" t="n"/>
      <c r="C502" s="45">
        <f>IFERROR(IF(B502="","",VLOOKUP(B502,DATABASE!$A:$B,2,0)),"")</f>
        <v/>
      </c>
      <c r="D502" s="29" t="n"/>
      <c r="E502" s="40">
        <f>IF(B502="","",TODAY())</f>
        <v/>
      </c>
      <c r="F502" s="30" t="n"/>
      <c r="G502" s="41" t="n"/>
      <c r="H502" s="42" t="n"/>
      <c r="I502" s="43">
        <f>IFERROR(IF(OR(D502="",G502="",H502=""),"",ABS(PMT(G502/100/12,H502,D502))),"")</f>
        <v/>
      </c>
      <c r="J502" s="44">
        <f>IF(B502="","","Active")</f>
        <v/>
      </c>
    </row>
    <row r="503" ht="20" customHeight="1">
      <c r="A503" s="39">
        <f>IF(B503="","","LN"&amp;TEXT(ROW()-2,"0000"))</f>
        <v/>
      </c>
      <c r="B503" s="26" t="n"/>
      <c r="C503" s="27">
        <f>IFERROR(IF(B503="","",VLOOKUP(B503,DATABASE!$A:$B,2,0)),"")</f>
        <v/>
      </c>
      <c r="D503" s="29" t="n"/>
      <c r="E503" s="40">
        <f>IF(B503="","",TODAY())</f>
        <v/>
      </c>
      <c r="F503" s="30" t="n"/>
      <c r="G503" s="41" t="n"/>
      <c r="H503" s="42" t="n"/>
      <c r="I503" s="43">
        <f>IFERROR(IF(OR(D503="",G503="",H503=""),"",ABS(PMT(G503/100/12,H503,D503))),"")</f>
        <v/>
      </c>
      <c r="J503" s="44">
        <f>IF(B503="","","Active")</f>
        <v/>
      </c>
    </row>
    <row r="504" ht="20" customHeight="1">
      <c r="A504" s="39">
        <f>IF(B504="","","LN"&amp;TEXT(ROW()-2,"0000"))</f>
        <v/>
      </c>
      <c r="B504" s="26" t="n"/>
      <c r="C504" s="45">
        <f>IFERROR(IF(B504="","",VLOOKUP(B504,DATABASE!$A:$B,2,0)),"")</f>
        <v/>
      </c>
      <c r="D504" s="29" t="n"/>
      <c r="E504" s="40">
        <f>IF(B504="","",TODAY())</f>
        <v/>
      </c>
      <c r="F504" s="30" t="n"/>
      <c r="G504" s="41" t="n"/>
      <c r="H504" s="42" t="n"/>
      <c r="I504" s="43">
        <f>IFERROR(IF(OR(D504="",G504="",H504=""),"",ABS(PMT(G504/100/12,H504,D504))),"")</f>
        <v/>
      </c>
      <c r="J504" s="44">
        <f>IF(B504="","","Active")</f>
        <v/>
      </c>
    </row>
    <row r="505" ht="20" customHeight="1">
      <c r="A505" s="39">
        <f>IF(B505="","","LN"&amp;TEXT(ROW()-2,"0000"))</f>
        <v/>
      </c>
      <c r="B505" s="26" t="n"/>
      <c r="C505" s="27">
        <f>IFERROR(IF(B505="","",VLOOKUP(B505,DATABASE!$A:$B,2,0)),"")</f>
        <v/>
      </c>
      <c r="D505" s="29" t="n"/>
      <c r="E505" s="40">
        <f>IF(B505="","",TODAY())</f>
        <v/>
      </c>
      <c r="F505" s="30" t="n"/>
      <c r="G505" s="41" t="n"/>
      <c r="H505" s="42" t="n"/>
      <c r="I505" s="43">
        <f>IFERROR(IF(OR(D505="",G505="",H505=""),"",ABS(PMT(G505/100/12,H505,D505))),"")</f>
        <v/>
      </c>
      <c r="J505" s="44">
        <f>IF(B505="","","Active")</f>
        <v/>
      </c>
    </row>
    <row r="506" ht="20" customHeight="1">
      <c r="A506" s="39">
        <f>IF(B506="","","LN"&amp;TEXT(ROW()-2,"0000"))</f>
        <v/>
      </c>
      <c r="B506" s="26" t="n"/>
      <c r="C506" s="45">
        <f>IFERROR(IF(B506="","",VLOOKUP(B506,DATABASE!$A:$B,2,0)),"")</f>
        <v/>
      </c>
      <c r="D506" s="29" t="n"/>
      <c r="E506" s="40">
        <f>IF(B506="","",TODAY())</f>
        <v/>
      </c>
      <c r="F506" s="30" t="n"/>
      <c r="G506" s="41" t="n"/>
      <c r="H506" s="42" t="n"/>
      <c r="I506" s="43">
        <f>IFERROR(IF(OR(D506="",G506="",H506=""),"",ABS(PMT(G506/100/12,H506,D506))),"")</f>
        <v/>
      </c>
      <c r="J506" s="44">
        <f>IF(B506="","","Active")</f>
        <v/>
      </c>
    </row>
    <row r="507" ht="20" customHeight="1">
      <c r="A507" s="39">
        <f>IF(B507="","","LN"&amp;TEXT(ROW()-2,"0000"))</f>
        <v/>
      </c>
      <c r="B507" s="26" t="n"/>
      <c r="C507" s="27">
        <f>IFERROR(IF(B507="","",VLOOKUP(B507,DATABASE!$A:$B,2,0)),"")</f>
        <v/>
      </c>
      <c r="D507" s="29" t="n"/>
      <c r="E507" s="40">
        <f>IF(B507="","",TODAY())</f>
        <v/>
      </c>
      <c r="F507" s="30" t="n"/>
      <c r="G507" s="41" t="n"/>
      <c r="H507" s="42" t="n"/>
      <c r="I507" s="43">
        <f>IFERROR(IF(OR(D507="",G507="",H507=""),"",ABS(PMT(G507/100/12,H507,D507))),"")</f>
        <v/>
      </c>
      <c r="J507" s="44">
        <f>IF(B507="","","Active")</f>
        <v/>
      </c>
    </row>
    <row r="508" ht="20" customHeight="1">
      <c r="A508" s="39">
        <f>IF(B508="","","LN"&amp;TEXT(ROW()-2,"0000"))</f>
        <v/>
      </c>
      <c r="B508" s="26" t="n"/>
      <c r="C508" s="45">
        <f>IFERROR(IF(B508="","",VLOOKUP(B508,DATABASE!$A:$B,2,0)),"")</f>
        <v/>
      </c>
      <c r="D508" s="29" t="n"/>
      <c r="E508" s="40">
        <f>IF(B508="","",TODAY())</f>
        <v/>
      </c>
      <c r="F508" s="30" t="n"/>
      <c r="G508" s="41" t="n"/>
      <c r="H508" s="42" t="n"/>
      <c r="I508" s="43">
        <f>IFERROR(IF(OR(D508="",G508="",H508=""),"",ABS(PMT(G508/100/12,H508,D508))),"")</f>
        <v/>
      </c>
      <c r="J508" s="44">
        <f>IF(B508="","","Active")</f>
        <v/>
      </c>
    </row>
    <row r="509" ht="20" customHeight="1">
      <c r="A509" s="39">
        <f>IF(B509="","","LN"&amp;TEXT(ROW()-2,"0000"))</f>
        <v/>
      </c>
      <c r="B509" s="26" t="n"/>
      <c r="C509" s="27">
        <f>IFERROR(IF(B509="","",VLOOKUP(B509,DATABASE!$A:$B,2,0)),"")</f>
        <v/>
      </c>
      <c r="D509" s="29" t="n"/>
      <c r="E509" s="40">
        <f>IF(B509="","",TODAY())</f>
        <v/>
      </c>
      <c r="F509" s="30" t="n"/>
      <c r="G509" s="41" t="n"/>
      <c r="H509" s="42" t="n"/>
      <c r="I509" s="43">
        <f>IFERROR(IF(OR(D509="",G509="",H509=""),"",ABS(PMT(G509/100/12,H509,D509))),"")</f>
        <v/>
      </c>
      <c r="J509" s="44">
        <f>IF(B509="","","Active")</f>
        <v/>
      </c>
    </row>
    <row r="510" ht="20" customHeight="1">
      <c r="A510" s="39">
        <f>IF(B510="","","LN"&amp;TEXT(ROW()-2,"0000"))</f>
        <v/>
      </c>
      <c r="B510" s="26" t="n"/>
      <c r="C510" s="45">
        <f>IFERROR(IF(B510="","",VLOOKUP(B510,DATABASE!$A:$B,2,0)),"")</f>
        <v/>
      </c>
      <c r="D510" s="29" t="n"/>
      <c r="E510" s="40">
        <f>IF(B510="","",TODAY())</f>
        <v/>
      </c>
      <c r="F510" s="30" t="n"/>
      <c r="G510" s="41" t="n"/>
      <c r="H510" s="42" t="n"/>
      <c r="I510" s="43">
        <f>IFERROR(IF(OR(D510="",G510="",H510=""),"",ABS(PMT(G510/100/12,H510,D510))),"")</f>
        <v/>
      </c>
      <c r="J510" s="44">
        <f>IF(B510="","","Active")</f>
        <v/>
      </c>
    </row>
    <row r="511" ht="20" customHeight="1">
      <c r="A511" s="39">
        <f>IF(B511="","","LN"&amp;TEXT(ROW()-2,"0000"))</f>
        <v/>
      </c>
      <c r="B511" s="26" t="n"/>
      <c r="C511" s="27">
        <f>IFERROR(IF(B511="","",VLOOKUP(B511,DATABASE!$A:$B,2,0)),"")</f>
        <v/>
      </c>
      <c r="D511" s="29" t="n"/>
      <c r="E511" s="40">
        <f>IF(B511="","",TODAY())</f>
        <v/>
      </c>
      <c r="F511" s="30" t="n"/>
      <c r="G511" s="41" t="n"/>
      <c r="H511" s="42" t="n"/>
      <c r="I511" s="43">
        <f>IFERROR(IF(OR(D511="",G511="",H511=""),"",ABS(PMT(G511/100/12,H511,D511))),"")</f>
        <v/>
      </c>
      <c r="J511" s="44">
        <f>IF(B511="","","Active")</f>
        <v/>
      </c>
    </row>
    <row r="512" ht="20" customHeight="1">
      <c r="A512" s="39">
        <f>IF(B512="","","LN"&amp;TEXT(ROW()-2,"0000"))</f>
        <v/>
      </c>
      <c r="B512" s="26" t="n"/>
      <c r="C512" s="45">
        <f>IFERROR(IF(B512="","",VLOOKUP(B512,DATABASE!$A:$B,2,0)),"")</f>
        <v/>
      </c>
      <c r="D512" s="29" t="n"/>
      <c r="E512" s="40">
        <f>IF(B512="","",TODAY())</f>
        <v/>
      </c>
      <c r="F512" s="30" t="n"/>
      <c r="G512" s="41" t="n"/>
      <c r="H512" s="42" t="n"/>
      <c r="I512" s="43">
        <f>IFERROR(IF(OR(D512="",G512="",H512=""),"",ABS(PMT(G512/100/12,H512,D512))),"")</f>
        <v/>
      </c>
      <c r="J512" s="44">
        <f>IF(B512="","","Active")</f>
        <v/>
      </c>
    </row>
    <row r="513" ht="20" customHeight="1">
      <c r="A513" s="39">
        <f>IF(B513="","","LN"&amp;TEXT(ROW()-2,"0000"))</f>
        <v/>
      </c>
      <c r="B513" s="26" t="n"/>
      <c r="C513" s="27">
        <f>IFERROR(IF(B513="","",VLOOKUP(B513,DATABASE!$A:$B,2,0)),"")</f>
        <v/>
      </c>
      <c r="D513" s="29" t="n"/>
      <c r="E513" s="40">
        <f>IF(B513="","",TODAY())</f>
        <v/>
      </c>
      <c r="F513" s="30" t="n"/>
      <c r="G513" s="41" t="n"/>
      <c r="H513" s="42" t="n"/>
      <c r="I513" s="43">
        <f>IFERROR(IF(OR(D513="",G513="",H513=""),"",ABS(PMT(G513/100/12,H513,D513))),"")</f>
        <v/>
      </c>
      <c r="J513" s="44">
        <f>IF(B513="","","Active")</f>
        <v/>
      </c>
    </row>
    <row r="514" ht="20" customHeight="1">
      <c r="A514" s="39">
        <f>IF(B514="","","LN"&amp;TEXT(ROW()-2,"0000"))</f>
        <v/>
      </c>
      <c r="B514" s="26" t="n"/>
      <c r="C514" s="45">
        <f>IFERROR(IF(B514="","",VLOOKUP(B514,DATABASE!$A:$B,2,0)),"")</f>
        <v/>
      </c>
      <c r="D514" s="29" t="n"/>
      <c r="E514" s="40">
        <f>IF(B514="","",TODAY())</f>
        <v/>
      </c>
      <c r="F514" s="30" t="n"/>
      <c r="G514" s="41" t="n"/>
      <c r="H514" s="42" t="n"/>
      <c r="I514" s="43">
        <f>IFERROR(IF(OR(D514="",G514="",H514=""),"",ABS(PMT(G514/100/12,H514,D514))),"")</f>
        <v/>
      </c>
      <c r="J514" s="44">
        <f>IF(B514="","","Active")</f>
        <v/>
      </c>
    </row>
    <row r="515" ht="20" customHeight="1">
      <c r="A515" s="39">
        <f>IF(B515="","","LN"&amp;TEXT(ROW()-2,"0000"))</f>
        <v/>
      </c>
      <c r="B515" s="26" t="n"/>
      <c r="C515" s="27">
        <f>IFERROR(IF(B515="","",VLOOKUP(B515,DATABASE!$A:$B,2,0)),"")</f>
        <v/>
      </c>
      <c r="D515" s="29" t="n"/>
      <c r="E515" s="40">
        <f>IF(B515="","",TODAY())</f>
        <v/>
      </c>
      <c r="F515" s="30" t="n"/>
      <c r="G515" s="41" t="n"/>
      <c r="H515" s="42" t="n"/>
      <c r="I515" s="43">
        <f>IFERROR(IF(OR(D515="",G515="",H515=""),"",ABS(PMT(G515/100/12,H515,D515))),"")</f>
        <v/>
      </c>
      <c r="J515" s="44">
        <f>IF(B515="","","Active")</f>
        <v/>
      </c>
    </row>
    <row r="516" ht="20" customHeight="1">
      <c r="A516" s="39">
        <f>IF(B516="","","LN"&amp;TEXT(ROW()-2,"0000"))</f>
        <v/>
      </c>
      <c r="B516" s="26" t="n"/>
      <c r="C516" s="45">
        <f>IFERROR(IF(B516="","",VLOOKUP(B516,DATABASE!$A:$B,2,0)),"")</f>
        <v/>
      </c>
      <c r="D516" s="29" t="n"/>
      <c r="E516" s="40">
        <f>IF(B516="","",TODAY())</f>
        <v/>
      </c>
      <c r="F516" s="30" t="n"/>
      <c r="G516" s="41" t="n"/>
      <c r="H516" s="42" t="n"/>
      <c r="I516" s="43">
        <f>IFERROR(IF(OR(D516="",G516="",H516=""),"",ABS(PMT(G516/100/12,H516,D516))),"")</f>
        <v/>
      </c>
      <c r="J516" s="44">
        <f>IF(B516="","","Active")</f>
        <v/>
      </c>
    </row>
    <row r="517" ht="20" customHeight="1">
      <c r="A517" s="39">
        <f>IF(B517="","","LN"&amp;TEXT(ROW()-2,"0000"))</f>
        <v/>
      </c>
      <c r="B517" s="26" t="n"/>
      <c r="C517" s="27">
        <f>IFERROR(IF(B517="","",VLOOKUP(B517,DATABASE!$A:$B,2,0)),"")</f>
        <v/>
      </c>
      <c r="D517" s="29" t="n"/>
      <c r="E517" s="40">
        <f>IF(B517="","",TODAY())</f>
        <v/>
      </c>
      <c r="F517" s="30" t="n"/>
      <c r="G517" s="41" t="n"/>
      <c r="H517" s="42" t="n"/>
      <c r="I517" s="43">
        <f>IFERROR(IF(OR(D517="",G517="",H517=""),"",ABS(PMT(G517/100/12,H517,D517))),"")</f>
        <v/>
      </c>
      <c r="J517" s="44">
        <f>IF(B517="","","Active")</f>
        <v/>
      </c>
    </row>
    <row r="518" ht="20" customHeight="1">
      <c r="A518" s="39">
        <f>IF(B518="","","LN"&amp;TEXT(ROW()-2,"0000"))</f>
        <v/>
      </c>
      <c r="B518" s="26" t="n"/>
      <c r="C518" s="45">
        <f>IFERROR(IF(B518="","",VLOOKUP(B518,DATABASE!$A:$B,2,0)),"")</f>
        <v/>
      </c>
      <c r="D518" s="29" t="n"/>
      <c r="E518" s="40">
        <f>IF(B518="","",TODAY())</f>
        <v/>
      </c>
      <c r="F518" s="30" t="n"/>
      <c r="G518" s="41" t="n"/>
      <c r="H518" s="42" t="n"/>
      <c r="I518" s="43">
        <f>IFERROR(IF(OR(D518="",G518="",H518=""),"",ABS(PMT(G518/100/12,H518,D518))),"")</f>
        <v/>
      </c>
      <c r="J518" s="44">
        <f>IF(B518="","","Active")</f>
        <v/>
      </c>
    </row>
    <row r="519" ht="20" customHeight="1">
      <c r="A519" s="39">
        <f>IF(B519="","","LN"&amp;TEXT(ROW()-2,"0000"))</f>
        <v/>
      </c>
      <c r="B519" s="26" t="n"/>
      <c r="C519" s="27">
        <f>IFERROR(IF(B519="","",VLOOKUP(B519,DATABASE!$A:$B,2,0)),"")</f>
        <v/>
      </c>
      <c r="D519" s="29" t="n"/>
      <c r="E519" s="40">
        <f>IF(B519="","",TODAY())</f>
        <v/>
      </c>
      <c r="F519" s="30" t="n"/>
      <c r="G519" s="41" t="n"/>
      <c r="H519" s="42" t="n"/>
      <c r="I519" s="43">
        <f>IFERROR(IF(OR(D519="",G519="",H519=""),"",ABS(PMT(G519/100/12,H519,D519))),"")</f>
        <v/>
      </c>
      <c r="J519" s="44">
        <f>IF(B519="","","Active")</f>
        <v/>
      </c>
    </row>
    <row r="520" ht="20" customHeight="1">
      <c r="A520" s="39">
        <f>IF(B520="","","LN"&amp;TEXT(ROW()-2,"0000"))</f>
        <v/>
      </c>
      <c r="B520" s="26" t="n"/>
      <c r="C520" s="45">
        <f>IFERROR(IF(B520="","",VLOOKUP(B520,DATABASE!$A:$B,2,0)),"")</f>
        <v/>
      </c>
      <c r="D520" s="29" t="n"/>
      <c r="E520" s="40">
        <f>IF(B520="","",TODAY())</f>
        <v/>
      </c>
      <c r="F520" s="30" t="n"/>
      <c r="G520" s="41" t="n"/>
      <c r="H520" s="42" t="n"/>
      <c r="I520" s="43">
        <f>IFERROR(IF(OR(D520="",G520="",H520=""),"",ABS(PMT(G520/100/12,H520,D520))),"")</f>
        <v/>
      </c>
      <c r="J520" s="44">
        <f>IF(B520="","","Active")</f>
        <v/>
      </c>
    </row>
    <row r="521" ht="20" customHeight="1">
      <c r="A521" s="39">
        <f>IF(B521="","","LN"&amp;TEXT(ROW()-2,"0000"))</f>
        <v/>
      </c>
      <c r="B521" s="26" t="n"/>
      <c r="C521" s="27">
        <f>IFERROR(IF(B521="","",VLOOKUP(B521,DATABASE!$A:$B,2,0)),"")</f>
        <v/>
      </c>
      <c r="D521" s="29" t="n"/>
      <c r="E521" s="40">
        <f>IF(B521="","",TODAY())</f>
        <v/>
      </c>
      <c r="F521" s="30" t="n"/>
      <c r="G521" s="41" t="n"/>
      <c r="H521" s="42" t="n"/>
      <c r="I521" s="43">
        <f>IFERROR(IF(OR(D521="",G521="",H521=""),"",ABS(PMT(G521/100/12,H521,D521))),"")</f>
        <v/>
      </c>
      <c r="J521" s="44">
        <f>IF(B521="","","Active")</f>
        <v/>
      </c>
    </row>
    <row r="522" ht="20" customHeight="1">
      <c r="A522" s="39">
        <f>IF(B522="","","LN"&amp;TEXT(ROW()-2,"0000"))</f>
        <v/>
      </c>
      <c r="B522" s="26" t="n"/>
      <c r="C522" s="45">
        <f>IFERROR(IF(B522="","",VLOOKUP(B522,DATABASE!$A:$B,2,0)),"")</f>
        <v/>
      </c>
      <c r="D522" s="29" t="n"/>
      <c r="E522" s="40">
        <f>IF(B522="","",TODAY())</f>
        <v/>
      </c>
      <c r="F522" s="30" t="n"/>
      <c r="G522" s="41" t="n"/>
      <c r="H522" s="42" t="n"/>
      <c r="I522" s="43">
        <f>IFERROR(IF(OR(D522="",G522="",H522=""),"",ABS(PMT(G522/100/12,H522,D522))),"")</f>
        <v/>
      </c>
      <c r="J522" s="44">
        <f>IF(B522="","","Active")</f>
        <v/>
      </c>
    </row>
    <row r="523" ht="20" customHeight="1">
      <c r="A523" s="39">
        <f>IF(B523="","","LN"&amp;TEXT(ROW()-2,"0000"))</f>
        <v/>
      </c>
      <c r="B523" s="26" t="n"/>
      <c r="C523" s="27">
        <f>IFERROR(IF(B523="","",VLOOKUP(B523,DATABASE!$A:$B,2,0)),"")</f>
        <v/>
      </c>
      <c r="D523" s="29" t="n"/>
      <c r="E523" s="40">
        <f>IF(B523="","",TODAY())</f>
        <v/>
      </c>
      <c r="F523" s="30" t="n"/>
      <c r="G523" s="41" t="n"/>
      <c r="H523" s="42" t="n"/>
      <c r="I523" s="43">
        <f>IFERROR(IF(OR(D523="",G523="",H523=""),"",ABS(PMT(G523/100/12,H523,D523))),"")</f>
        <v/>
      </c>
      <c r="J523" s="44">
        <f>IF(B523="","","Active")</f>
        <v/>
      </c>
    </row>
    <row r="524" ht="20" customHeight="1">
      <c r="A524" s="39">
        <f>IF(B524="","","LN"&amp;TEXT(ROW()-2,"0000"))</f>
        <v/>
      </c>
      <c r="B524" s="26" t="n"/>
      <c r="C524" s="45">
        <f>IFERROR(IF(B524="","",VLOOKUP(B524,DATABASE!$A:$B,2,0)),"")</f>
        <v/>
      </c>
      <c r="D524" s="29" t="n"/>
      <c r="E524" s="40">
        <f>IF(B524="","",TODAY())</f>
        <v/>
      </c>
      <c r="F524" s="30" t="n"/>
      <c r="G524" s="41" t="n"/>
      <c r="H524" s="42" t="n"/>
      <c r="I524" s="43">
        <f>IFERROR(IF(OR(D524="",G524="",H524=""),"",ABS(PMT(G524/100/12,H524,D524))),"")</f>
        <v/>
      </c>
      <c r="J524" s="44">
        <f>IF(B524="","","Active")</f>
        <v/>
      </c>
    </row>
    <row r="525" ht="20" customHeight="1">
      <c r="A525" s="39">
        <f>IF(B525="","","LN"&amp;TEXT(ROW()-2,"0000"))</f>
        <v/>
      </c>
      <c r="B525" s="26" t="n"/>
      <c r="C525" s="27">
        <f>IFERROR(IF(B525="","",VLOOKUP(B525,DATABASE!$A:$B,2,0)),"")</f>
        <v/>
      </c>
      <c r="D525" s="29" t="n"/>
      <c r="E525" s="40">
        <f>IF(B525="","",TODAY())</f>
        <v/>
      </c>
      <c r="F525" s="30" t="n"/>
      <c r="G525" s="41" t="n"/>
      <c r="H525" s="42" t="n"/>
      <c r="I525" s="43">
        <f>IFERROR(IF(OR(D525="",G525="",H525=""),"",ABS(PMT(G525/100/12,H525,D525))),"")</f>
        <v/>
      </c>
      <c r="J525" s="44">
        <f>IF(B525="","","Active")</f>
        <v/>
      </c>
    </row>
    <row r="526" ht="20" customHeight="1">
      <c r="A526" s="39">
        <f>IF(B526="","","LN"&amp;TEXT(ROW()-2,"0000"))</f>
        <v/>
      </c>
      <c r="B526" s="26" t="n"/>
      <c r="C526" s="45">
        <f>IFERROR(IF(B526="","",VLOOKUP(B526,DATABASE!$A:$B,2,0)),"")</f>
        <v/>
      </c>
      <c r="D526" s="29" t="n"/>
      <c r="E526" s="40">
        <f>IF(B526="","",TODAY())</f>
        <v/>
      </c>
      <c r="F526" s="30" t="n"/>
      <c r="G526" s="41" t="n"/>
      <c r="H526" s="42" t="n"/>
      <c r="I526" s="43">
        <f>IFERROR(IF(OR(D526="",G526="",H526=""),"",ABS(PMT(G526/100/12,H526,D526))),"")</f>
        <v/>
      </c>
      <c r="J526" s="44">
        <f>IF(B526="","","Active")</f>
        <v/>
      </c>
    </row>
    <row r="527" ht="20" customHeight="1">
      <c r="A527" s="39">
        <f>IF(B527="","","LN"&amp;TEXT(ROW()-2,"0000"))</f>
        <v/>
      </c>
      <c r="B527" s="26" t="n"/>
      <c r="C527" s="27">
        <f>IFERROR(IF(B527="","",VLOOKUP(B527,DATABASE!$A:$B,2,0)),"")</f>
        <v/>
      </c>
      <c r="D527" s="29" t="n"/>
      <c r="E527" s="40">
        <f>IF(B527="","",TODAY())</f>
        <v/>
      </c>
      <c r="F527" s="30" t="n"/>
      <c r="G527" s="41" t="n"/>
      <c r="H527" s="42" t="n"/>
      <c r="I527" s="43">
        <f>IFERROR(IF(OR(D527="",G527="",H527=""),"",ABS(PMT(G527/100/12,H527,D527))),"")</f>
        <v/>
      </c>
      <c r="J527" s="44">
        <f>IF(B527="","","Active")</f>
        <v/>
      </c>
    </row>
    <row r="528" ht="20" customHeight="1">
      <c r="A528" s="39">
        <f>IF(B528="","","LN"&amp;TEXT(ROW()-2,"0000"))</f>
        <v/>
      </c>
      <c r="B528" s="26" t="n"/>
      <c r="C528" s="45">
        <f>IFERROR(IF(B528="","",VLOOKUP(B528,DATABASE!$A:$B,2,0)),"")</f>
        <v/>
      </c>
      <c r="D528" s="29" t="n"/>
      <c r="E528" s="40">
        <f>IF(B528="","",TODAY())</f>
        <v/>
      </c>
      <c r="F528" s="30" t="n"/>
      <c r="G528" s="41" t="n"/>
      <c r="H528" s="42" t="n"/>
      <c r="I528" s="43">
        <f>IFERROR(IF(OR(D528="",G528="",H528=""),"",ABS(PMT(G528/100/12,H528,D528))),"")</f>
        <v/>
      </c>
      <c r="J528" s="44">
        <f>IF(B528="","","Active")</f>
        <v/>
      </c>
    </row>
    <row r="529" ht="20" customHeight="1">
      <c r="A529" s="39">
        <f>IF(B529="","","LN"&amp;TEXT(ROW()-2,"0000"))</f>
        <v/>
      </c>
      <c r="B529" s="26" t="n"/>
      <c r="C529" s="27">
        <f>IFERROR(IF(B529="","",VLOOKUP(B529,DATABASE!$A:$B,2,0)),"")</f>
        <v/>
      </c>
      <c r="D529" s="29" t="n"/>
      <c r="E529" s="40">
        <f>IF(B529="","",TODAY())</f>
        <v/>
      </c>
      <c r="F529" s="30" t="n"/>
      <c r="G529" s="41" t="n"/>
      <c r="H529" s="42" t="n"/>
      <c r="I529" s="43">
        <f>IFERROR(IF(OR(D529="",G529="",H529=""),"",ABS(PMT(G529/100/12,H529,D529))),"")</f>
        <v/>
      </c>
      <c r="J529" s="44">
        <f>IF(B529="","","Active")</f>
        <v/>
      </c>
    </row>
    <row r="530" ht="20" customHeight="1">
      <c r="A530" s="39">
        <f>IF(B530="","","LN"&amp;TEXT(ROW()-2,"0000"))</f>
        <v/>
      </c>
      <c r="B530" s="26" t="n"/>
      <c r="C530" s="45">
        <f>IFERROR(IF(B530="","",VLOOKUP(B530,DATABASE!$A:$B,2,0)),"")</f>
        <v/>
      </c>
      <c r="D530" s="29" t="n"/>
      <c r="E530" s="40">
        <f>IF(B530="","",TODAY())</f>
        <v/>
      </c>
      <c r="F530" s="30" t="n"/>
      <c r="G530" s="41" t="n"/>
      <c r="H530" s="42" t="n"/>
      <c r="I530" s="43">
        <f>IFERROR(IF(OR(D530="",G530="",H530=""),"",ABS(PMT(G530/100/12,H530,D530))),"")</f>
        <v/>
      </c>
      <c r="J530" s="44">
        <f>IF(B530="","","Active")</f>
        <v/>
      </c>
    </row>
    <row r="531" ht="20" customHeight="1">
      <c r="A531" s="39">
        <f>IF(B531="","","LN"&amp;TEXT(ROW()-2,"0000"))</f>
        <v/>
      </c>
      <c r="B531" s="26" t="n"/>
      <c r="C531" s="27">
        <f>IFERROR(IF(B531="","",VLOOKUP(B531,DATABASE!$A:$B,2,0)),"")</f>
        <v/>
      </c>
      <c r="D531" s="29" t="n"/>
      <c r="E531" s="40">
        <f>IF(B531="","",TODAY())</f>
        <v/>
      </c>
      <c r="F531" s="30" t="n"/>
      <c r="G531" s="41" t="n"/>
      <c r="H531" s="42" t="n"/>
      <c r="I531" s="43">
        <f>IFERROR(IF(OR(D531="",G531="",H531=""),"",ABS(PMT(G531/100/12,H531,D531))),"")</f>
        <v/>
      </c>
      <c r="J531" s="44">
        <f>IF(B531="","","Active")</f>
        <v/>
      </c>
    </row>
    <row r="532" ht="20" customHeight="1">
      <c r="A532" s="39">
        <f>IF(B532="","","LN"&amp;TEXT(ROW()-2,"0000"))</f>
        <v/>
      </c>
      <c r="B532" s="26" t="n"/>
      <c r="C532" s="45">
        <f>IFERROR(IF(B532="","",VLOOKUP(B532,DATABASE!$A:$B,2,0)),"")</f>
        <v/>
      </c>
      <c r="D532" s="29" t="n"/>
      <c r="E532" s="40">
        <f>IF(B532="","",TODAY())</f>
        <v/>
      </c>
      <c r="F532" s="30" t="n"/>
      <c r="G532" s="41" t="n"/>
      <c r="H532" s="42" t="n"/>
      <c r="I532" s="43">
        <f>IFERROR(IF(OR(D532="",G532="",H532=""),"",ABS(PMT(G532/100/12,H532,D532))),"")</f>
        <v/>
      </c>
      <c r="J532" s="44">
        <f>IF(B532="","","Active")</f>
        <v/>
      </c>
    </row>
    <row r="533" ht="20" customHeight="1">
      <c r="A533" s="39">
        <f>IF(B533="","","LN"&amp;TEXT(ROW()-2,"0000"))</f>
        <v/>
      </c>
      <c r="B533" s="26" t="n"/>
      <c r="C533" s="27">
        <f>IFERROR(IF(B533="","",VLOOKUP(B533,DATABASE!$A:$B,2,0)),"")</f>
        <v/>
      </c>
      <c r="D533" s="29" t="n"/>
      <c r="E533" s="40">
        <f>IF(B533="","",TODAY())</f>
        <v/>
      </c>
      <c r="F533" s="30" t="n"/>
      <c r="G533" s="41" t="n"/>
      <c r="H533" s="42" t="n"/>
      <c r="I533" s="43">
        <f>IFERROR(IF(OR(D533="",G533="",H533=""),"",ABS(PMT(G533/100/12,H533,D533))),"")</f>
        <v/>
      </c>
      <c r="J533" s="44">
        <f>IF(B533="","","Active")</f>
        <v/>
      </c>
    </row>
    <row r="534" ht="20" customHeight="1">
      <c r="A534" s="39">
        <f>IF(B534="","","LN"&amp;TEXT(ROW()-2,"0000"))</f>
        <v/>
      </c>
      <c r="B534" s="26" t="n"/>
      <c r="C534" s="45">
        <f>IFERROR(IF(B534="","",VLOOKUP(B534,DATABASE!$A:$B,2,0)),"")</f>
        <v/>
      </c>
      <c r="D534" s="29" t="n"/>
      <c r="E534" s="40">
        <f>IF(B534="","",TODAY())</f>
        <v/>
      </c>
      <c r="F534" s="30" t="n"/>
      <c r="G534" s="41" t="n"/>
      <c r="H534" s="42" t="n"/>
      <c r="I534" s="43">
        <f>IFERROR(IF(OR(D534="",G534="",H534=""),"",ABS(PMT(G534/100/12,H534,D534))),"")</f>
        <v/>
      </c>
      <c r="J534" s="44">
        <f>IF(B534="","","Active")</f>
        <v/>
      </c>
    </row>
    <row r="535" ht="20" customHeight="1">
      <c r="A535" s="39">
        <f>IF(B535="","","LN"&amp;TEXT(ROW()-2,"0000"))</f>
        <v/>
      </c>
      <c r="B535" s="26" t="n"/>
      <c r="C535" s="27">
        <f>IFERROR(IF(B535="","",VLOOKUP(B535,DATABASE!$A:$B,2,0)),"")</f>
        <v/>
      </c>
      <c r="D535" s="29" t="n"/>
      <c r="E535" s="40">
        <f>IF(B535="","",TODAY())</f>
        <v/>
      </c>
      <c r="F535" s="30" t="n"/>
      <c r="G535" s="41" t="n"/>
      <c r="H535" s="42" t="n"/>
      <c r="I535" s="43">
        <f>IFERROR(IF(OR(D535="",G535="",H535=""),"",ABS(PMT(G535/100/12,H535,D535))),"")</f>
        <v/>
      </c>
      <c r="J535" s="44">
        <f>IF(B535="","","Active")</f>
        <v/>
      </c>
    </row>
    <row r="536" ht="20" customHeight="1">
      <c r="A536" s="39">
        <f>IF(B536="","","LN"&amp;TEXT(ROW()-2,"0000"))</f>
        <v/>
      </c>
      <c r="B536" s="26" t="n"/>
      <c r="C536" s="45">
        <f>IFERROR(IF(B536="","",VLOOKUP(B536,DATABASE!$A:$B,2,0)),"")</f>
        <v/>
      </c>
      <c r="D536" s="29" t="n"/>
      <c r="E536" s="40">
        <f>IF(B536="","",TODAY())</f>
        <v/>
      </c>
      <c r="F536" s="30" t="n"/>
      <c r="G536" s="41" t="n"/>
      <c r="H536" s="42" t="n"/>
      <c r="I536" s="43">
        <f>IFERROR(IF(OR(D536="",G536="",H536=""),"",ABS(PMT(G536/100/12,H536,D536))),"")</f>
        <v/>
      </c>
      <c r="J536" s="44">
        <f>IF(B536="","","Active")</f>
        <v/>
      </c>
    </row>
    <row r="537" ht="20" customHeight="1">
      <c r="A537" s="39">
        <f>IF(B537="","","LN"&amp;TEXT(ROW()-2,"0000"))</f>
        <v/>
      </c>
      <c r="B537" s="26" t="n"/>
      <c r="C537" s="27">
        <f>IFERROR(IF(B537="","",VLOOKUP(B537,DATABASE!$A:$B,2,0)),"")</f>
        <v/>
      </c>
      <c r="D537" s="29" t="n"/>
      <c r="E537" s="40">
        <f>IF(B537="","",TODAY())</f>
        <v/>
      </c>
      <c r="F537" s="30" t="n"/>
      <c r="G537" s="41" t="n"/>
      <c r="H537" s="42" t="n"/>
      <c r="I537" s="43">
        <f>IFERROR(IF(OR(D537="",G537="",H537=""),"",ABS(PMT(G537/100/12,H537,D537))),"")</f>
        <v/>
      </c>
      <c r="J537" s="44">
        <f>IF(B537="","","Active")</f>
        <v/>
      </c>
    </row>
    <row r="538" ht="20" customHeight="1">
      <c r="A538" s="39">
        <f>IF(B538="","","LN"&amp;TEXT(ROW()-2,"0000"))</f>
        <v/>
      </c>
      <c r="B538" s="26" t="n"/>
      <c r="C538" s="45">
        <f>IFERROR(IF(B538="","",VLOOKUP(B538,DATABASE!$A:$B,2,0)),"")</f>
        <v/>
      </c>
      <c r="D538" s="29" t="n"/>
      <c r="E538" s="40">
        <f>IF(B538="","",TODAY())</f>
        <v/>
      </c>
      <c r="F538" s="30" t="n"/>
      <c r="G538" s="41" t="n"/>
      <c r="H538" s="42" t="n"/>
      <c r="I538" s="43">
        <f>IFERROR(IF(OR(D538="",G538="",H538=""),"",ABS(PMT(G538/100/12,H538,D538))),"")</f>
        <v/>
      </c>
      <c r="J538" s="44">
        <f>IF(B538="","","Active")</f>
        <v/>
      </c>
    </row>
    <row r="539" ht="20" customHeight="1">
      <c r="A539" s="39">
        <f>IF(B539="","","LN"&amp;TEXT(ROW()-2,"0000"))</f>
        <v/>
      </c>
      <c r="B539" s="26" t="n"/>
      <c r="C539" s="27">
        <f>IFERROR(IF(B539="","",VLOOKUP(B539,DATABASE!$A:$B,2,0)),"")</f>
        <v/>
      </c>
      <c r="D539" s="29" t="n"/>
      <c r="E539" s="40">
        <f>IF(B539="","",TODAY())</f>
        <v/>
      </c>
      <c r="F539" s="30" t="n"/>
      <c r="G539" s="41" t="n"/>
      <c r="H539" s="42" t="n"/>
      <c r="I539" s="43">
        <f>IFERROR(IF(OR(D539="",G539="",H539=""),"",ABS(PMT(G539/100/12,H539,D539))),"")</f>
        <v/>
      </c>
      <c r="J539" s="44">
        <f>IF(B539="","","Active")</f>
        <v/>
      </c>
    </row>
    <row r="540" ht="20" customHeight="1">
      <c r="A540" s="39">
        <f>IF(B540="","","LN"&amp;TEXT(ROW()-2,"0000"))</f>
        <v/>
      </c>
      <c r="B540" s="26" t="n"/>
      <c r="C540" s="45">
        <f>IFERROR(IF(B540="","",VLOOKUP(B540,DATABASE!$A:$B,2,0)),"")</f>
        <v/>
      </c>
      <c r="D540" s="29" t="n"/>
      <c r="E540" s="40">
        <f>IF(B540="","",TODAY())</f>
        <v/>
      </c>
      <c r="F540" s="30" t="n"/>
      <c r="G540" s="41" t="n"/>
      <c r="H540" s="42" t="n"/>
      <c r="I540" s="43">
        <f>IFERROR(IF(OR(D540="",G540="",H540=""),"",ABS(PMT(G540/100/12,H540,D540))),"")</f>
        <v/>
      </c>
      <c r="J540" s="44">
        <f>IF(B540="","","Active")</f>
        <v/>
      </c>
    </row>
    <row r="541" ht="20" customHeight="1">
      <c r="A541" s="39">
        <f>IF(B541="","","LN"&amp;TEXT(ROW()-2,"0000"))</f>
        <v/>
      </c>
      <c r="B541" s="26" t="n"/>
      <c r="C541" s="27">
        <f>IFERROR(IF(B541="","",VLOOKUP(B541,DATABASE!$A:$B,2,0)),"")</f>
        <v/>
      </c>
      <c r="D541" s="29" t="n"/>
      <c r="E541" s="40">
        <f>IF(B541="","",TODAY())</f>
        <v/>
      </c>
      <c r="F541" s="30" t="n"/>
      <c r="G541" s="41" t="n"/>
      <c r="H541" s="42" t="n"/>
      <c r="I541" s="43">
        <f>IFERROR(IF(OR(D541="",G541="",H541=""),"",ABS(PMT(G541/100/12,H541,D541))),"")</f>
        <v/>
      </c>
      <c r="J541" s="44">
        <f>IF(B541="","","Active")</f>
        <v/>
      </c>
    </row>
    <row r="542" ht="20" customHeight="1">
      <c r="A542" s="39">
        <f>IF(B542="","","LN"&amp;TEXT(ROW()-2,"0000"))</f>
        <v/>
      </c>
      <c r="B542" s="26" t="n"/>
      <c r="C542" s="45">
        <f>IFERROR(IF(B542="","",VLOOKUP(B542,DATABASE!$A:$B,2,0)),"")</f>
        <v/>
      </c>
      <c r="D542" s="29" t="n"/>
      <c r="E542" s="40">
        <f>IF(B542="","",TODAY())</f>
        <v/>
      </c>
      <c r="F542" s="30" t="n"/>
      <c r="G542" s="41" t="n"/>
      <c r="H542" s="42" t="n"/>
      <c r="I542" s="43">
        <f>IFERROR(IF(OR(D542="",G542="",H542=""),"",ABS(PMT(G542/100/12,H542,D542))),"")</f>
        <v/>
      </c>
      <c r="J542" s="44">
        <f>IF(B542="","","Active")</f>
        <v/>
      </c>
    </row>
    <row r="543" ht="20" customHeight="1">
      <c r="A543" s="39">
        <f>IF(B543="","","LN"&amp;TEXT(ROW()-2,"0000"))</f>
        <v/>
      </c>
      <c r="B543" s="26" t="n"/>
      <c r="C543" s="27">
        <f>IFERROR(IF(B543="","",VLOOKUP(B543,DATABASE!$A:$B,2,0)),"")</f>
        <v/>
      </c>
      <c r="D543" s="29" t="n"/>
      <c r="E543" s="40">
        <f>IF(B543="","",TODAY())</f>
        <v/>
      </c>
      <c r="F543" s="30" t="n"/>
      <c r="G543" s="41" t="n"/>
      <c r="H543" s="42" t="n"/>
      <c r="I543" s="43">
        <f>IFERROR(IF(OR(D543="",G543="",H543=""),"",ABS(PMT(G543/100/12,H543,D543))),"")</f>
        <v/>
      </c>
      <c r="J543" s="44">
        <f>IF(B543="","","Active")</f>
        <v/>
      </c>
    </row>
    <row r="544" ht="20" customHeight="1">
      <c r="A544" s="39">
        <f>IF(B544="","","LN"&amp;TEXT(ROW()-2,"0000"))</f>
        <v/>
      </c>
      <c r="B544" s="26" t="n"/>
      <c r="C544" s="45">
        <f>IFERROR(IF(B544="","",VLOOKUP(B544,DATABASE!$A:$B,2,0)),"")</f>
        <v/>
      </c>
      <c r="D544" s="29" t="n"/>
      <c r="E544" s="40">
        <f>IF(B544="","",TODAY())</f>
        <v/>
      </c>
      <c r="F544" s="30" t="n"/>
      <c r="G544" s="41" t="n"/>
      <c r="H544" s="42" t="n"/>
      <c r="I544" s="43">
        <f>IFERROR(IF(OR(D544="",G544="",H544=""),"",ABS(PMT(G544/100/12,H544,D544))),"")</f>
        <v/>
      </c>
      <c r="J544" s="44">
        <f>IF(B544="","","Active")</f>
        <v/>
      </c>
    </row>
    <row r="545" ht="20" customHeight="1">
      <c r="A545" s="39">
        <f>IF(B545="","","LN"&amp;TEXT(ROW()-2,"0000"))</f>
        <v/>
      </c>
      <c r="B545" s="26" t="n"/>
      <c r="C545" s="27">
        <f>IFERROR(IF(B545="","",VLOOKUP(B545,DATABASE!$A:$B,2,0)),"")</f>
        <v/>
      </c>
      <c r="D545" s="29" t="n"/>
      <c r="E545" s="40">
        <f>IF(B545="","",TODAY())</f>
        <v/>
      </c>
      <c r="F545" s="30" t="n"/>
      <c r="G545" s="41" t="n"/>
      <c r="H545" s="42" t="n"/>
      <c r="I545" s="43">
        <f>IFERROR(IF(OR(D545="",G545="",H545=""),"",ABS(PMT(G545/100/12,H545,D545))),"")</f>
        <v/>
      </c>
      <c r="J545" s="44">
        <f>IF(B545="","","Active")</f>
        <v/>
      </c>
    </row>
    <row r="546" ht="20" customHeight="1">
      <c r="A546" s="39">
        <f>IF(B546="","","LN"&amp;TEXT(ROW()-2,"0000"))</f>
        <v/>
      </c>
      <c r="B546" s="26" t="n"/>
      <c r="C546" s="45">
        <f>IFERROR(IF(B546="","",VLOOKUP(B546,DATABASE!$A:$B,2,0)),"")</f>
        <v/>
      </c>
      <c r="D546" s="29" t="n"/>
      <c r="E546" s="40">
        <f>IF(B546="","",TODAY())</f>
        <v/>
      </c>
      <c r="F546" s="30" t="n"/>
      <c r="G546" s="41" t="n"/>
      <c r="H546" s="42" t="n"/>
      <c r="I546" s="43">
        <f>IFERROR(IF(OR(D546="",G546="",H546=""),"",ABS(PMT(G546/100/12,H546,D546))),"")</f>
        <v/>
      </c>
      <c r="J546" s="44">
        <f>IF(B546="","","Active")</f>
        <v/>
      </c>
    </row>
    <row r="547" ht="20" customHeight="1">
      <c r="A547" s="39">
        <f>IF(B547="","","LN"&amp;TEXT(ROW()-2,"0000"))</f>
        <v/>
      </c>
      <c r="B547" s="26" t="n"/>
      <c r="C547" s="27">
        <f>IFERROR(IF(B547="","",VLOOKUP(B547,DATABASE!$A:$B,2,0)),"")</f>
        <v/>
      </c>
      <c r="D547" s="29" t="n"/>
      <c r="E547" s="40">
        <f>IF(B547="","",TODAY())</f>
        <v/>
      </c>
      <c r="F547" s="30" t="n"/>
      <c r="G547" s="41" t="n"/>
      <c r="H547" s="42" t="n"/>
      <c r="I547" s="43">
        <f>IFERROR(IF(OR(D547="",G547="",H547=""),"",ABS(PMT(G547/100/12,H547,D547))),"")</f>
        <v/>
      </c>
      <c r="J547" s="44">
        <f>IF(B547="","","Active")</f>
        <v/>
      </c>
    </row>
    <row r="548" ht="20" customHeight="1">
      <c r="A548" s="39">
        <f>IF(B548="","","LN"&amp;TEXT(ROW()-2,"0000"))</f>
        <v/>
      </c>
      <c r="B548" s="26" t="n"/>
      <c r="C548" s="45">
        <f>IFERROR(IF(B548="","",VLOOKUP(B548,DATABASE!$A:$B,2,0)),"")</f>
        <v/>
      </c>
      <c r="D548" s="29" t="n"/>
      <c r="E548" s="40">
        <f>IF(B548="","",TODAY())</f>
        <v/>
      </c>
      <c r="F548" s="30" t="n"/>
      <c r="G548" s="41" t="n"/>
      <c r="H548" s="42" t="n"/>
      <c r="I548" s="43">
        <f>IFERROR(IF(OR(D548="",G548="",H548=""),"",ABS(PMT(G548/100/12,H548,D548))),"")</f>
        <v/>
      </c>
      <c r="J548" s="44">
        <f>IF(B548="","","Active")</f>
        <v/>
      </c>
    </row>
    <row r="549" ht="20" customHeight="1">
      <c r="A549" s="39">
        <f>IF(B549="","","LN"&amp;TEXT(ROW()-2,"0000"))</f>
        <v/>
      </c>
      <c r="B549" s="26" t="n"/>
      <c r="C549" s="27">
        <f>IFERROR(IF(B549="","",VLOOKUP(B549,DATABASE!$A:$B,2,0)),"")</f>
        <v/>
      </c>
      <c r="D549" s="29" t="n"/>
      <c r="E549" s="40">
        <f>IF(B549="","",TODAY())</f>
        <v/>
      </c>
      <c r="F549" s="30" t="n"/>
      <c r="G549" s="41" t="n"/>
      <c r="H549" s="42" t="n"/>
      <c r="I549" s="43">
        <f>IFERROR(IF(OR(D549="",G549="",H549=""),"",ABS(PMT(G549/100/12,H549,D549))),"")</f>
        <v/>
      </c>
      <c r="J549" s="44">
        <f>IF(B549="","","Active")</f>
        <v/>
      </c>
    </row>
    <row r="550" ht="20" customHeight="1">
      <c r="A550" s="39">
        <f>IF(B550="","","LN"&amp;TEXT(ROW()-2,"0000"))</f>
        <v/>
      </c>
      <c r="B550" s="26" t="n"/>
      <c r="C550" s="45">
        <f>IFERROR(IF(B550="","",VLOOKUP(B550,DATABASE!$A:$B,2,0)),"")</f>
        <v/>
      </c>
      <c r="D550" s="29" t="n"/>
      <c r="E550" s="40">
        <f>IF(B550="","",TODAY())</f>
        <v/>
      </c>
      <c r="F550" s="30" t="n"/>
      <c r="G550" s="41" t="n"/>
      <c r="H550" s="42" t="n"/>
      <c r="I550" s="43">
        <f>IFERROR(IF(OR(D550="",G550="",H550=""),"",ABS(PMT(G550/100/12,H550,D550))),"")</f>
        <v/>
      </c>
      <c r="J550" s="44">
        <f>IF(B550="","","Active")</f>
        <v/>
      </c>
    </row>
    <row r="551" ht="20" customHeight="1">
      <c r="A551" s="39">
        <f>IF(B551="","","LN"&amp;TEXT(ROW()-2,"0000"))</f>
        <v/>
      </c>
      <c r="B551" s="26" t="n"/>
      <c r="C551" s="27">
        <f>IFERROR(IF(B551="","",VLOOKUP(B551,DATABASE!$A:$B,2,0)),"")</f>
        <v/>
      </c>
      <c r="D551" s="29" t="n"/>
      <c r="E551" s="40">
        <f>IF(B551="","",TODAY())</f>
        <v/>
      </c>
      <c r="F551" s="30" t="n"/>
      <c r="G551" s="41" t="n"/>
      <c r="H551" s="42" t="n"/>
      <c r="I551" s="43">
        <f>IFERROR(IF(OR(D551="",G551="",H551=""),"",ABS(PMT(G551/100/12,H551,D551))),"")</f>
        <v/>
      </c>
      <c r="J551" s="44">
        <f>IF(B551="","","Active")</f>
        <v/>
      </c>
    </row>
    <row r="552" ht="20" customHeight="1">
      <c r="A552" s="39">
        <f>IF(B552="","","LN"&amp;TEXT(ROW()-2,"0000"))</f>
        <v/>
      </c>
      <c r="B552" s="26" t="n"/>
      <c r="C552" s="45">
        <f>IFERROR(IF(B552="","",VLOOKUP(B552,DATABASE!$A:$B,2,0)),"")</f>
        <v/>
      </c>
      <c r="D552" s="29" t="n"/>
      <c r="E552" s="40">
        <f>IF(B552="","",TODAY())</f>
        <v/>
      </c>
      <c r="F552" s="30" t="n"/>
      <c r="G552" s="41" t="n"/>
      <c r="H552" s="42" t="n"/>
      <c r="I552" s="43">
        <f>IFERROR(IF(OR(D552="",G552="",H552=""),"",ABS(PMT(G552/100/12,H552,D552))),"")</f>
        <v/>
      </c>
      <c r="J552" s="44">
        <f>IF(B552="","","Active")</f>
        <v/>
      </c>
    </row>
    <row r="553" ht="20" customHeight="1">
      <c r="A553" s="39">
        <f>IF(B553="","","LN"&amp;TEXT(ROW()-2,"0000"))</f>
        <v/>
      </c>
      <c r="B553" s="26" t="n"/>
      <c r="C553" s="27">
        <f>IFERROR(IF(B553="","",VLOOKUP(B553,DATABASE!$A:$B,2,0)),"")</f>
        <v/>
      </c>
      <c r="D553" s="29" t="n"/>
      <c r="E553" s="40">
        <f>IF(B553="","",TODAY())</f>
        <v/>
      </c>
      <c r="F553" s="30" t="n"/>
      <c r="G553" s="41" t="n"/>
      <c r="H553" s="42" t="n"/>
      <c r="I553" s="43">
        <f>IFERROR(IF(OR(D553="",G553="",H553=""),"",ABS(PMT(G553/100/12,H553,D553))),"")</f>
        <v/>
      </c>
      <c r="J553" s="44">
        <f>IF(B553="","","Active")</f>
        <v/>
      </c>
    </row>
    <row r="554" ht="20" customHeight="1">
      <c r="A554" s="39">
        <f>IF(B554="","","LN"&amp;TEXT(ROW()-2,"0000"))</f>
        <v/>
      </c>
      <c r="B554" s="26" t="n"/>
      <c r="C554" s="45">
        <f>IFERROR(IF(B554="","",VLOOKUP(B554,DATABASE!$A:$B,2,0)),"")</f>
        <v/>
      </c>
      <c r="D554" s="29" t="n"/>
      <c r="E554" s="40">
        <f>IF(B554="","",TODAY())</f>
        <v/>
      </c>
      <c r="F554" s="30" t="n"/>
      <c r="G554" s="41" t="n"/>
      <c r="H554" s="42" t="n"/>
      <c r="I554" s="43">
        <f>IFERROR(IF(OR(D554="",G554="",H554=""),"",ABS(PMT(G554/100/12,H554,D554))),"")</f>
        <v/>
      </c>
      <c r="J554" s="44">
        <f>IF(B554="","","Active")</f>
        <v/>
      </c>
    </row>
    <row r="555" ht="20" customHeight="1">
      <c r="A555" s="39">
        <f>IF(B555="","","LN"&amp;TEXT(ROW()-2,"0000"))</f>
        <v/>
      </c>
      <c r="B555" s="26" t="n"/>
      <c r="C555" s="27">
        <f>IFERROR(IF(B555="","",VLOOKUP(B555,DATABASE!$A:$B,2,0)),"")</f>
        <v/>
      </c>
      <c r="D555" s="29" t="n"/>
      <c r="E555" s="40">
        <f>IF(B555="","",TODAY())</f>
        <v/>
      </c>
      <c r="F555" s="30" t="n"/>
      <c r="G555" s="41" t="n"/>
      <c r="H555" s="42" t="n"/>
      <c r="I555" s="43">
        <f>IFERROR(IF(OR(D555="",G555="",H555=""),"",ABS(PMT(G555/100/12,H555,D555))),"")</f>
        <v/>
      </c>
      <c r="J555" s="44">
        <f>IF(B555="","","Active")</f>
        <v/>
      </c>
    </row>
    <row r="556" ht="20" customHeight="1">
      <c r="A556" s="39">
        <f>IF(B556="","","LN"&amp;TEXT(ROW()-2,"0000"))</f>
        <v/>
      </c>
      <c r="B556" s="26" t="n"/>
      <c r="C556" s="45">
        <f>IFERROR(IF(B556="","",VLOOKUP(B556,DATABASE!$A:$B,2,0)),"")</f>
        <v/>
      </c>
      <c r="D556" s="29" t="n"/>
      <c r="E556" s="40">
        <f>IF(B556="","",TODAY())</f>
        <v/>
      </c>
      <c r="F556" s="30" t="n"/>
      <c r="G556" s="41" t="n"/>
      <c r="H556" s="42" t="n"/>
      <c r="I556" s="43">
        <f>IFERROR(IF(OR(D556="",G556="",H556=""),"",ABS(PMT(G556/100/12,H556,D556))),"")</f>
        <v/>
      </c>
      <c r="J556" s="44">
        <f>IF(B556="","","Active")</f>
        <v/>
      </c>
    </row>
    <row r="557" ht="20" customHeight="1">
      <c r="A557" s="39">
        <f>IF(B557="","","LN"&amp;TEXT(ROW()-2,"0000"))</f>
        <v/>
      </c>
      <c r="B557" s="26" t="n"/>
      <c r="C557" s="27">
        <f>IFERROR(IF(B557="","",VLOOKUP(B557,DATABASE!$A:$B,2,0)),"")</f>
        <v/>
      </c>
      <c r="D557" s="29" t="n"/>
      <c r="E557" s="40">
        <f>IF(B557="","",TODAY())</f>
        <v/>
      </c>
      <c r="F557" s="30" t="n"/>
      <c r="G557" s="41" t="n"/>
      <c r="H557" s="42" t="n"/>
      <c r="I557" s="43">
        <f>IFERROR(IF(OR(D557="",G557="",H557=""),"",ABS(PMT(G557/100/12,H557,D557))),"")</f>
        <v/>
      </c>
      <c r="J557" s="44">
        <f>IF(B557="","","Active")</f>
        <v/>
      </c>
    </row>
    <row r="558" ht="20" customHeight="1">
      <c r="A558" s="39">
        <f>IF(B558="","","LN"&amp;TEXT(ROW()-2,"0000"))</f>
        <v/>
      </c>
      <c r="B558" s="26" t="n"/>
      <c r="C558" s="45">
        <f>IFERROR(IF(B558="","",VLOOKUP(B558,DATABASE!$A:$B,2,0)),"")</f>
        <v/>
      </c>
      <c r="D558" s="29" t="n"/>
      <c r="E558" s="40">
        <f>IF(B558="","",TODAY())</f>
        <v/>
      </c>
      <c r="F558" s="30" t="n"/>
      <c r="G558" s="41" t="n"/>
      <c r="H558" s="42" t="n"/>
      <c r="I558" s="43">
        <f>IFERROR(IF(OR(D558="",G558="",H558=""),"",ABS(PMT(G558/100/12,H558,D558))),"")</f>
        <v/>
      </c>
      <c r="J558" s="44">
        <f>IF(B558="","","Active")</f>
        <v/>
      </c>
    </row>
    <row r="559" ht="20" customHeight="1">
      <c r="A559" s="39">
        <f>IF(B559="","","LN"&amp;TEXT(ROW()-2,"0000"))</f>
        <v/>
      </c>
      <c r="B559" s="26" t="n"/>
      <c r="C559" s="27">
        <f>IFERROR(IF(B559="","",VLOOKUP(B559,DATABASE!$A:$B,2,0)),"")</f>
        <v/>
      </c>
      <c r="D559" s="29" t="n"/>
      <c r="E559" s="40">
        <f>IF(B559="","",TODAY())</f>
        <v/>
      </c>
      <c r="F559" s="30" t="n"/>
      <c r="G559" s="41" t="n"/>
      <c r="H559" s="42" t="n"/>
      <c r="I559" s="43">
        <f>IFERROR(IF(OR(D559="",G559="",H559=""),"",ABS(PMT(G559/100/12,H559,D559))),"")</f>
        <v/>
      </c>
      <c r="J559" s="44">
        <f>IF(B559="","","Active")</f>
        <v/>
      </c>
    </row>
    <row r="560" ht="20" customHeight="1">
      <c r="A560" s="39">
        <f>IF(B560="","","LN"&amp;TEXT(ROW()-2,"0000"))</f>
        <v/>
      </c>
      <c r="B560" s="26" t="n"/>
      <c r="C560" s="45">
        <f>IFERROR(IF(B560="","",VLOOKUP(B560,DATABASE!$A:$B,2,0)),"")</f>
        <v/>
      </c>
      <c r="D560" s="29" t="n"/>
      <c r="E560" s="40">
        <f>IF(B560="","",TODAY())</f>
        <v/>
      </c>
      <c r="F560" s="30" t="n"/>
      <c r="G560" s="41" t="n"/>
      <c r="H560" s="42" t="n"/>
      <c r="I560" s="43">
        <f>IFERROR(IF(OR(D560="",G560="",H560=""),"",ABS(PMT(G560/100/12,H560,D560))),"")</f>
        <v/>
      </c>
      <c r="J560" s="44">
        <f>IF(B560="","","Active")</f>
        <v/>
      </c>
    </row>
    <row r="561" ht="20" customHeight="1">
      <c r="A561" s="39">
        <f>IF(B561="","","LN"&amp;TEXT(ROW()-2,"0000"))</f>
        <v/>
      </c>
      <c r="B561" s="26" t="n"/>
      <c r="C561" s="27">
        <f>IFERROR(IF(B561="","",VLOOKUP(B561,DATABASE!$A:$B,2,0)),"")</f>
        <v/>
      </c>
      <c r="D561" s="29" t="n"/>
      <c r="E561" s="40">
        <f>IF(B561="","",TODAY())</f>
        <v/>
      </c>
      <c r="F561" s="30" t="n"/>
      <c r="G561" s="41" t="n"/>
      <c r="H561" s="42" t="n"/>
      <c r="I561" s="43">
        <f>IFERROR(IF(OR(D561="",G561="",H561=""),"",ABS(PMT(G561/100/12,H561,D561))),"")</f>
        <v/>
      </c>
      <c r="J561" s="44">
        <f>IF(B561="","","Active")</f>
        <v/>
      </c>
    </row>
    <row r="562" ht="20" customHeight="1">
      <c r="A562" s="39">
        <f>IF(B562="","","LN"&amp;TEXT(ROW()-2,"0000"))</f>
        <v/>
      </c>
      <c r="B562" s="26" t="n"/>
      <c r="C562" s="45">
        <f>IFERROR(IF(B562="","",VLOOKUP(B562,DATABASE!$A:$B,2,0)),"")</f>
        <v/>
      </c>
      <c r="D562" s="29" t="n"/>
      <c r="E562" s="40">
        <f>IF(B562="","",TODAY())</f>
        <v/>
      </c>
      <c r="F562" s="30" t="n"/>
      <c r="G562" s="41" t="n"/>
      <c r="H562" s="42" t="n"/>
      <c r="I562" s="43">
        <f>IFERROR(IF(OR(D562="",G562="",H562=""),"",ABS(PMT(G562/100/12,H562,D562))),"")</f>
        <v/>
      </c>
      <c r="J562" s="44">
        <f>IF(B562="","","Active")</f>
        <v/>
      </c>
    </row>
    <row r="563" ht="20" customHeight="1">
      <c r="A563" s="39">
        <f>IF(B563="","","LN"&amp;TEXT(ROW()-2,"0000"))</f>
        <v/>
      </c>
      <c r="B563" s="26" t="n"/>
      <c r="C563" s="27">
        <f>IFERROR(IF(B563="","",VLOOKUP(B563,DATABASE!$A:$B,2,0)),"")</f>
        <v/>
      </c>
      <c r="D563" s="29" t="n"/>
      <c r="E563" s="40">
        <f>IF(B563="","",TODAY())</f>
        <v/>
      </c>
      <c r="F563" s="30" t="n"/>
      <c r="G563" s="41" t="n"/>
      <c r="H563" s="42" t="n"/>
      <c r="I563" s="43">
        <f>IFERROR(IF(OR(D563="",G563="",H563=""),"",ABS(PMT(G563/100/12,H563,D563))),"")</f>
        <v/>
      </c>
      <c r="J563" s="44">
        <f>IF(B563="","","Active")</f>
        <v/>
      </c>
    </row>
    <row r="564" ht="20" customHeight="1">
      <c r="A564" s="39">
        <f>IF(B564="","","LN"&amp;TEXT(ROW()-2,"0000"))</f>
        <v/>
      </c>
      <c r="B564" s="26" t="n"/>
      <c r="C564" s="45">
        <f>IFERROR(IF(B564="","",VLOOKUP(B564,DATABASE!$A:$B,2,0)),"")</f>
        <v/>
      </c>
      <c r="D564" s="29" t="n"/>
      <c r="E564" s="40">
        <f>IF(B564="","",TODAY())</f>
        <v/>
      </c>
      <c r="F564" s="30" t="n"/>
      <c r="G564" s="41" t="n"/>
      <c r="H564" s="42" t="n"/>
      <c r="I564" s="43">
        <f>IFERROR(IF(OR(D564="",G564="",H564=""),"",ABS(PMT(G564/100/12,H564,D564))),"")</f>
        <v/>
      </c>
      <c r="J564" s="44">
        <f>IF(B564="","","Active")</f>
        <v/>
      </c>
    </row>
    <row r="565" ht="20" customHeight="1">
      <c r="A565" s="39">
        <f>IF(B565="","","LN"&amp;TEXT(ROW()-2,"0000"))</f>
        <v/>
      </c>
      <c r="B565" s="26" t="n"/>
      <c r="C565" s="27">
        <f>IFERROR(IF(B565="","",VLOOKUP(B565,DATABASE!$A:$B,2,0)),"")</f>
        <v/>
      </c>
      <c r="D565" s="29" t="n"/>
      <c r="E565" s="40">
        <f>IF(B565="","",TODAY())</f>
        <v/>
      </c>
      <c r="F565" s="30" t="n"/>
      <c r="G565" s="41" t="n"/>
      <c r="H565" s="42" t="n"/>
      <c r="I565" s="43">
        <f>IFERROR(IF(OR(D565="",G565="",H565=""),"",ABS(PMT(G565/100/12,H565,D565))),"")</f>
        <v/>
      </c>
      <c r="J565" s="44">
        <f>IF(B565="","","Active")</f>
        <v/>
      </c>
    </row>
    <row r="566" ht="20" customHeight="1">
      <c r="A566" s="39">
        <f>IF(B566="","","LN"&amp;TEXT(ROW()-2,"0000"))</f>
        <v/>
      </c>
      <c r="B566" s="26" t="n"/>
      <c r="C566" s="45">
        <f>IFERROR(IF(B566="","",VLOOKUP(B566,DATABASE!$A:$B,2,0)),"")</f>
        <v/>
      </c>
      <c r="D566" s="29" t="n"/>
      <c r="E566" s="40">
        <f>IF(B566="","",TODAY())</f>
        <v/>
      </c>
      <c r="F566" s="30" t="n"/>
      <c r="G566" s="41" t="n"/>
      <c r="H566" s="42" t="n"/>
      <c r="I566" s="43">
        <f>IFERROR(IF(OR(D566="",G566="",H566=""),"",ABS(PMT(G566/100/12,H566,D566))),"")</f>
        <v/>
      </c>
      <c r="J566" s="44">
        <f>IF(B566="","","Active")</f>
        <v/>
      </c>
    </row>
    <row r="567" ht="20" customHeight="1">
      <c r="A567" s="39">
        <f>IF(B567="","","LN"&amp;TEXT(ROW()-2,"0000"))</f>
        <v/>
      </c>
      <c r="B567" s="26" t="n"/>
      <c r="C567" s="27">
        <f>IFERROR(IF(B567="","",VLOOKUP(B567,DATABASE!$A:$B,2,0)),"")</f>
        <v/>
      </c>
      <c r="D567" s="29" t="n"/>
      <c r="E567" s="40">
        <f>IF(B567="","",TODAY())</f>
        <v/>
      </c>
      <c r="F567" s="30" t="n"/>
      <c r="G567" s="41" t="n"/>
      <c r="H567" s="42" t="n"/>
      <c r="I567" s="43">
        <f>IFERROR(IF(OR(D567="",G567="",H567=""),"",ABS(PMT(G567/100/12,H567,D567))),"")</f>
        <v/>
      </c>
      <c r="J567" s="44">
        <f>IF(B567="","","Active")</f>
        <v/>
      </c>
    </row>
    <row r="568" ht="20" customHeight="1">
      <c r="A568" s="39">
        <f>IF(B568="","","LN"&amp;TEXT(ROW()-2,"0000"))</f>
        <v/>
      </c>
      <c r="B568" s="26" t="n"/>
      <c r="C568" s="45">
        <f>IFERROR(IF(B568="","",VLOOKUP(B568,DATABASE!$A:$B,2,0)),"")</f>
        <v/>
      </c>
      <c r="D568" s="29" t="n"/>
      <c r="E568" s="40">
        <f>IF(B568="","",TODAY())</f>
        <v/>
      </c>
      <c r="F568" s="30" t="n"/>
      <c r="G568" s="41" t="n"/>
      <c r="H568" s="42" t="n"/>
      <c r="I568" s="43">
        <f>IFERROR(IF(OR(D568="",G568="",H568=""),"",ABS(PMT(G568/100/12,H568,D568))),"")</f>
        <v/>
      </c>
      <c r="J568" s="44">
        <f>IF(B568="","","Active")</f>
        <v/>
      </c>
    </row>
    <row r="569" ht="20" customHeight="1">
      <c r="A569" s="39">
        <f>IF(B569="","","LN"&amp;TEXT(ROW()-2,"0000"))</f>
        <v/>
      </c>
      <c r="B569" s="26" t="n"/>
      <c r="C569" s="27">
        <f>IFERROR(IF(B569="","",VLOOKUP(B569,DATABASE!$A:$B,2,0)),"")</f>
        <v/>
      </c>
      <c r="D569" s="29" t="n"/>
      <c r="E569" s="40">
        <f>IF(B569="","",TODAY())</f>
        <v/>
      </c>
      <c r="F569" s="30" t="n"/>
      <c r="G569" s="41" t="n"/>
      <c r="H569" s="42" t="n"/>
      <c r="I569" s="43">
        <f>IFERROR(IF(OR(D569="",G569="",H569=""),"",ABS(PMT(G569/100/12,H569,D569))),"")</f>
        <v/>
      </c>
      <c r="J569" s="44">
        <f>IF(B569="","","Active")</f>
        <v/>
      </c>
    </row>
    <row r="570" ht="20" customHeight="1">
      <c r="A570" s="39">
        <f>IF(B570="","","LN"&amp;TEXT(ROW()-2,"0000"))</f>
        <v/>
      </c>
      <c r="B570" s="26" t="n"/>
      <c r="C570" s="45">
        <f>IFERROR(IF(B570="","",VLOOKUP(B570,DATABASE!$A:$B,2,0)),"")</f>
        <v/>
      </c>
      <c r="D570" s="29" t="n"/>
      <c r="E570" s="40">
        <f>IF(B570="","",TODAY())</f>
        <v/>
      </c>
      <c r="F570" s="30" t="n"/>
      <c r="G570" s="41" t="n"/>
      <c r="H570" s="42" t="n"/>
      <c r="I570" s="43">
        <f>IFERROR(IF(OR(D570="",G570="",H570=""),"",ABS(PMT(G570/100/12,H570,D570))),"")</f>
        <v/>
      </c>
      <c r="J570" s="44">
        <f>IF(B570="","","Active")</f>
        <v/>
      </c>
    </row>
    <row r="571" ht="20" customHeight="1">
      <c r="A571" s="39">
        <f>IF(B571="","","LN"&amp;TEXT(ROW()-2,"0000"))</f>
        <v/>
      </c>
      <c r="B571" s="26" t="n"/>
      <c r="C571" s="27">
        <f>IFERROR(IF(B571="","",VLOOKUP(B571,DATABASE!$A:$B,2,0)),"")</f>
        <v/>
      </c>
      <c r="D571" s="29" t="n"/>
      <c r="E571" s="40">
        <f>IF(B571="","",TODAY())</f>
        <v/>
      </c>
      <c r="F571" s="30" t="n"/>
      <c r="G571" s="41" t="n"/>
      <c r="H571" s="42" t="n"/>
      <c r="I571" s="43">
        <f>IFERROR(IF(OR(D571="",G571="",H571=""),"",ABS(PMT(G571/100/12,H571,D571))),"")</f>
        <v/>
      </c>
      <c r="J571" s="44">
        <f>IF(B571="","","Active")</f>
        <v/>
      </c>
    </row>
    <row r="572" ht="20" customHeight="1">
      <c r="A572" s="39">
        <f>IF(B572="","","LN"&amp;TEXT(ROW()-2,"0000"))</f>
        <v/>
      </c>
      <c r="B572" s="26" t="n"/>
      <c r="C572" s="45">
        <f>IFERROR(IF(B572="","",VLOOKUP(B572,DATABASE!$A:$B,2,0)),"")</f>
        <v/>
      </c>
      <c r="D572" s="29" t="n"/>
      <c r="E572" s="40">
        <f>IF(B572="","",TODAY())</f>
        <v/>
      </c>
      <c r="F572" s="30" t="n"/>
      <c r="G572" s="41" t="n"/>
      <c r="H572" s="42" t="n"/>
      <c r="I572" s="43">
        <f>IFERROR(IF(OR(D572="",G572="",H572=""),"",ABS(PMT(G572/100/12,H572,D572))),"")</f>
        <v/>
      </c>
      <c r="J572" s="44">
        <f>IF(B572="","","Active")</f>
        <v/>
      </c>
    </row>
    <row r="573" ht="20" customHeight="1">
      <c r="A573" s="39">
        <f>IF(B573="","","LN"&amp;TEXT(ROW()-2,"0000"))</f>
        <v/>
      </c>
      <c r="B573" s="26" t="n"/>
      <c r="C573" s="27">
        <f>IFERROR(IF(B573="","",VLOOKUP(B573,DATABASE!$A:$B,2,0)),"")</f>
        <v/>
      </c>
      <c r="D573" s="29" t="n"/>
      <c r="E573" s="40">
        <f>IF(B573="","",TODAY())</f>
        <v/>
      </c>
      <c r="F573" s="30" t="n"/>
      <c r="G573" s="41" t="n"/>
      <c r="H573" s="42" t="n"/>
      <c r="I573" s="43">
        <f>IFERROR(IF(OR(D573="",G573="",H573=""),"",ABS(PMT(G573/100/12,H573,D573))),"")</f>
        <v/>
      </c>
      <c r="J573" s="44">
        <f>IF(B573="","","Active")</f>
        <v/>
      </c>
    </row>
    <row r="574" ht="20" customHeight="1">
      <c r="A574" s="39">
        <f>IF(B574="","","LN"&amp;TEXT(ROW()-2,"0000"))</f>
        <v/>
      </c>
      <c r="B574" s="26" t="n"/>
      <c r="C574" s="45">
        <f>IFERROR(IF(B574="","",VLOOKUP(B574,DATABASE!$A:$B,2,0)),"")</f>
        <v/>
      </c>
      <c r="D574" s="29" t="n"/>
      <c r="E574" s="40">
        <f>IF(B574="","",TODAY())</f>
        <v/>
      </c>
      <c r="F574" s="30" t="n"/>
      <c r="G574" s="41" t="n"/>
      <c r="H574" s="42" t="n"/>
      <c r="I574" s="43">
        <f>IFERROR(IF(OR(D574="",G574="",H574=""),"",ABS(PMT(G574/100/12,H574,D574))),"")</f>
        <v/>
      </c>
      <c r="J574" s="44">
        <f>IF(B574="","","Active")</f>
        <v/>
      </c>
    </row>
    <row r="575" ht="20" customHeight="1">
      <c r="A575" s="39">
        <f>IF(B575="","","LN"&amp;TEXT(ROW()-2,"0000"))</f>
        <v/>
      </c>
      <c r="B575" s="26" t="n"/>
      <c r="C575" s="27">
        <f>IFERROR(IF(B575="","",VLOOKUP(B575,DATABASE!$A:$B,2,0)),"")</f>
        <v/>
      </c>
      <c r="D575" s="29" t="n"/>
      <c r="E575" s="40">
        <f>IF(B575="","",TODAY())</f>
        <v/>
      </c>
      <c r="F575" s="30" t="n"/>
      <c r="G575" s="41" t="n"/>
      <c r="H575" s="42" t="n"/>
      <c r="I575" s="43">
        <f>IFERROR(IF(OR(D575="",G575="",H575=""),"",ABS(PMT(G575/100/12,H575,D575))),"")</f>
        <v/>
      </c>
      <c r="J575" s="44">
        <f>IF(B575="","","Active")</f>
        <v/>
      </c>
    </row>
    <row r="576" ht="20" customHeight="1">
      <c r="A576" s="39">
        <f>IF(B576="","","LN"&amp;TEXT(ROW()-2,"0000"))</f>
        <v/>
      </c>
      <c r="B576" s="26" t="n"/>
      <c r="C576" s="45">
        <f>IFERROR(IF(B576="","",VLOOKUP(B576,DATABASE!$A:$B,2,0)),"")</f>
        <v/>
      </c>
      <c r="D576" s="29" t="n"/>
      <c r="E576" s="40">
        <f>IF(B576="","",TODAY())</f>
        <v/>
      </c>
      <c r="F576" s="30" t="n"/>
      <c r="G576" s="41" t="n"/>
      <c r="H576" s="42" t="n"/>
      <c r="I576" s="43">
        <f>IFERROR(IF(OR(D576="",G576="",H576=""),"",ABS(PMT(G576/100/12,H576,D576))),"")</f>
        <v/>
      </c>
      <c r="J576" s="44">
        <f>IF(B576="","","Active")</f>
        <v/>
      </c>
    </row>
    <row r="577" ht="20" customHeight="1">
      <c r="A577" s="39">
        <f>IF(B577="","","LN"&amp;TEXT(ROW()-2,"0000"))</f>
        <v/>
      </c>
      <c r="B577" s="26" t="n"/>
      <c r="C577" s="27">
        <f>IFERROR(IF(B577="","",VLOOKUP(B577,DATABASE!$A:$B,2,0)),"")</f>
        <v/>
      </c>
      <c r="D577" s="29" t="n"/>
      <c r="E577" s="40">
        <f>IF(B577="","",TODAY())</f>
        <v/>
      </c>
      <c r="F577" s="30" t="n"/>
      <c r="G577" s="41" t="n"/>
      <c r="H577" s="42" t="n"/>
      <c r="I577" s="43">
        <f>IFERROR(IF(OR(D577="",G577="",H577=""),"",ABS(PMT(G577/100/12,H577,D577))),"")</f>
        <v/>
      </c>
      <c r="J577" s="44">
        <f>IF(B577="","","Active")</f>
        <v/>
      </c>
    </row>
    <row r="578" ht="20" customHeight="1">
      <c r="A578" s="39">
        <f>IF(B578="","","LN"&amp;TEXT(ROW()-2,"0000"))</f>
        <v/>
      </c>
      <c r="B578" s="26" t="n"/>
      <c r="C578" s="45">
        <f>IFERROR(IF(B578="","",VLOOKUP(B578,DATABASE!$A:$B,2,0)),"")</f>
        <v/>
      </c>
      <c r="D578" s="29" t="n"/>
      <c r="E578" s="40">
        <f>IF(B578="","",TODAY())</f>
        <v/>
      </c>
      <c r="F578" s="30" t="n"/>
      <c r="G578" s="41" t="n"/>
      <c r="H578" s="42" t="n"/>
      <c r="I578" s="43">
        <f>IFERROR(IF(OR(D578="",G578="",H578=""),"",ABS(PMT(G578/100/12,H578,D578))),"")</f>
        <v/>
      </c>
      <c r="J578" s="44">
        <f>IF(B578="","","Active")</f>
        <v/>
      </c>
    </row>
    <row r="579" ht="20" customHeight="1">
      <c r="A579" s="39">
        <f>IF(B579="","","LN"&amp;TEXT(ROW()-2,"0000"))</f>
        <v/>
      </c>
      <c r="B579" s="26" t="n"/>
      <c r="C579" s="27">
        <f>IFERROR(IF(B579="","",VLOOKUP(B579,DATABASE!$A:$B,2,0)),"")</f>
        <v/>
      </c>
      <c r="D579" s="29" t="n"/>
      <c r="E579" s="40">
        <f>IF(B579="","",TODAY())</f>
        <v/>
      </c>
      <c r="F579" s="30" t="n"/>
      <c r="G579" s="41" t="n"/>
      <c r="H579" s="42" t="n"/>
      <c r="I579" s="43">
        <f>IFERROR(IF(OR(D579="",G579="",H579=""),"",ABS(PMT(G579/100/12,H579,D579))),"")</f>
        <v/>
      </c>
      <c r="J579" s="44">
        <f>IF(B579="","","Active")</f>
        <v/>
      </c>
    </row>
    <row r="580" ht="20" customHeight="1">
      <c r="A580" s="39">
        <f>IF(B580="","","LN"&amp;TEXT(ROW()-2,"0000"))</f>
        <v/>
      </c>
      <c r="B580" s="26" t="n"/>
      <c r="C580" s="45">
        <f>IFERROR(IF(B580="","",VLOOKUP(B580,DATABASE!$A:$B,2,0)),"")</f>
        <v/>
      </c>
      <c r="D580" s="29" t="n"/>
      <c r="E580" s="40">
        <f>IF(B580="","",TODAY())</f>
        <v/>
      </c>
      <c r="F580" s="30" t="n"/>
      <c r="G580" s="41" t="n"/>
      <c r="H580" s="42" t="n"/>
      <c r="I580" s="43">
        <f>IFERROR(IF(OR(D580="",G580="",H580=""),"",ABS(PMT(G580/100/12,H580,D580))),"")</f>
        <v/>
      </c>
      <c r="J580" s="44">
        <f>IF(B580="","","Active")</f>
        <v/>
      </c>
    </row>
    <row r="581" ht="20" customHeight="1">
      <c r="A581" s="39">
        <f>IF(B581="","","LN"&amp;TEXT(ROW()-2,"0000"))</f>
        <v/>
      </c>
      <c r="B581" s="26" t="n"/>
      <c r="C581" s="27">
        <f>IFERROR(IF(B581="","",VLOOKUP(B581,DATABASE!$A:$B,2,0)),"")</f>
        <v/>
      </c>
      <c r="D581" s="29" t="n"/>
      <c r="E581" s="40">
        <f>IF(B581="","",TODAY())</f>
        <v/>
      </c>
      <c r="F581" s="30" t="n"/>
      <c r="G581" s="41" t="n"/>
      <c r="H581" s="42" t="n"/>
      <c r="I581" s="43">
        <f>IFERROR(IF(OR(D581="",G581="",H581=""),"",ABS(PMT(G581/100/12,H581,D581))),"")</f>
        <v/>
      </c>
      <c r="J581" s="44">
        <f>IF(B581="","","Active")</f>
        <v/>
      </c>
    </row>
    <row r="582" ht="20" customHeight="1">
      <c r="A582" s="39">
        <f>IF(B582="","","LN"&amp;TEXT(ROW()-2,"0000"))</f>
        <v/>
      </c>
      <c r="B582" s="26" t="n"/>
      <c r="C582" s="45">
        <f>IFERROR(IF(B582="","",VLOOKUP(B582,DATABASE!$A:$B,2,0)),"")</f>
        <v/>
      </c>
      <c r="D582" s="29" t="n"/>
      <c r="E582" s="40">
        <f>IF(B582="","",TODAY())</f>
        <v/>
      </c>
      <c r="F582" s="30" t="n"/>
      <c r="G582" s="41" t="n"/>
      <c r="H582" s="42" t="n"/>
      <c r="I582" s="43">
        <f>IFERROR(IF(OR(D582="",G582="",H582=""),"",ABS(PMT(G582/100/12,H582,D582))),"")</f>
        <v/>
      </c>
      <c r="J582" s="44">
        <f>IF(B582="","","Active")</f>
        <v/>
      </c>
    </row>
    <row r="583" ht="20" customHeight="1">
      <c r="A583" s="39">
        <f>IF(B583="","","LN"&amp;TEXT(ROW()-2,"0000"))</f>
        <v/>
      </c>
      <c r="B583" s="26" t="n"/>
      <c r="C583" s="27">
        <f>IFERROR(IF(B583="","",VLOOKUP(B583,DATABASE!$A:$B,2,0)),"")</f>
        <v/>
      </c>
      <c r="D583" s="29" t="n"/>
      <c r="E583" s="40">
        <f>IF(B583="","",TODAY())</f>
        <v/>
      </c>
      <c r="F583" s="30" t="n"/>
      <c r="G583" s="41" t="n"/>
      <c r="H583" s="42" t="n"/>
      <c r="I583" s="43">
        <f>IFERROR(IF(OR(D583="",G583="",H583=""),"",ABS(PMT(G583/100/12,H583,D583))),"")</f>
        <v/>
      </c>
      <c r="J583" s="44">
        <f>IF(B583="","","Active")</f>
        <v/>
      </c>
    </row>
    <row r="584" ht="20" customHeight="1">
      <c r="A584" s="39">
        <f>IF(B584="","","LN"&amp;TEXT(ROW()-2,"0000"))</f>
        <v/>
      </c>
      <c r="B584" s="26" t="n"/>
      <c r="C584" s="45">
        <f>IFERROR(IF(B584="","",VLOOKUP(B584,DATABASE!$A:$B,2,0)),"")</f>
        <v/>
      </c>
      <c r="D584" s="29" t="n"/>
      <c r="E584" s="40">
        <f>IF(B584="","",TODAY())</f>
        <v/>
      </c>
      <c r="F584" s="30" t="n"/>
      <c r="G584" s="41" t="n"/>
      <c r="H584" s="42" t="n"/>
      <c r="I584" s="43">
        <f>IFERROR(IF(OR(D584="",G584="",H584=""),"",ABS(PMT(G584/100/12,H584,D584))),"")</f>
        <v/>
      </c>
      <c r="J584" s="44">
        <f>IF(B584="","","Active")</f>
        <v/>
      </c>
    </row>
    <row r="585" ht="20" customHeight="1">
      <c r="A585" s="39">
        <f>IF(B585="","","LN"&amp;TEXT(ROW()-2,"0000"))</f>
        <v/>
      </c>
      <c r="B585" s="26" t="n"/>
      <c r="C585" s="27">
        <f>IFERROR(IF(B585="","",VLOOKUP(B585,DATABASE!$A:$B,2,0)),"")</f>
        <v/>
      </c>
      <c r="D585" s="29" t="n"/>
      <c r="E585" s="40">
        <f>IF(B585="","",TODAY())</f>
        <v/>
      </c>
      <c r="F585" s="30" t="n"/>
      <c r="G585" s="41" t="n"/>
      <c r="H585" s="42" t="n"/>
      <c r="I585" s="43">
        <f>IFERROR(IF(OR(D585="",G585="",H585=""),"",ABS(PMT(G585/100/12,H585,D585))),"")</f>
        <v/>
      </c>
      <c r="J585" s="44">
        <f>IF(B585="","","Active")</f>
        <v/>
      </c>
    </row>
    <row r="586" ht="20" customHeight="1">
      <c r="A586" s="39">
        <f>IF(B586="","","LN"&amp;TEXT(ROW()-2,"0000"))</f>
        <v/>
      </c>
      <c r="B586" s="26" t="n"/>
      <c r="C586" s="45">
        <f>IFERROR(IF(B586="","",VLOOKUP(B586,DATABASE!$A:$B,2,0)),"")</f>
        <v/>
      </c>
      <c r="D586" s="29" t="n"/>
      <c r="E586" s="40">
        <f>IF(B586="","",TODAY())</f>
        <v/>
      </c>
      <c r="F586" s="30" t="n"/>
      <c r="G586" s="41" t="n"/>
      <c r="H586" s="42" t="n"/>
      <c r="I586" s="43">
        <f>IFERROR(IF(OR(D586="",G586="",H586=""),"",ABS(PMT(G586/100/12,H586,D586))),"")</f>
        <v/>
      </c>
      <c r="J586" s="44">
        <f>IF(B586="","","Active")</f>
        <v/>
      </c>
    </row>
    <row r="587" ht="20" customHeight="1">
      <c r="A587" s="39">
        <f>IF(B587="","","LN"&amp;TEXT(ROW()-2,"0000"))</f>
        <v/>
      </c>
      <c r="B587" s="26" t="n"/>
      <c r="C587" s="27">
        <f>IFERROR(IF(B587="","",VLOOKUP(B587,DATABASE!$A:$B,2,0)),"")</f>
        <v/>
      </c>
      <c r="D587" s="29" t="n"/>
      <c r="E587" s="40">
        <f>IF(B587="","",TODAY())</f>
        <v/>
      </c>
      <c r="F587" s="30" t="n"/>
      <c r="G587" s="41" t="n"/>
      <c r="H587" s="42" t="n"/>
      <c r="I587" s="43">
        <f>IFERROR(IF(OR(D587="",G587="",H587=""),"",ABS(PMT(G587/100/12,H587,D587))),"")</f>
        <v/>
      </c>
      <c r="J587" s="44">
        <f>IF(B587="","","Active")</f>
        <v/>
      </c>
    </row>
    <row r="588" ht="20" customHeight="1">
      <c r="A588" s="39">
        <f>IF(B588="","","LN"&amp;TEXT(ROW()-2,"0000"))</f>
        <v/>
      </c>
      <c r="B588" s="26" t="n"/>
      <c r="C588" s="45">
        <f>IFERROR(IF(B588="","",VLOOKUP(B588,DATABASE!$A:$B,2,0)),"")</f>
        <v/>
      </c>
      <c r="D588" s="29" t="n"/>
      <c r="E588" s="40">
        <f>IF(B588="","",TODAY())</f>
        <v/>
      </c>
      <c r="F588" s="30" t="n"/>
      <c r="G588" s="41" t="n"/>
      <c r="H588" s="42" t="n"/>
      <c r="I588" s="43">
        <f>IFERROR(IF(OR(D588="",G588="",H588=""),"",ABS(PMT(G588/100/12,H588,D588))),"")</f>
        <v/>
      </c>
      <c r="J588" s="44">
        <f>IF(B588="","","Active")</f>
        <v/>
      </c>
    </row>
    <row r="589" ht="20" customHeight="1">
      <c r="A589" s="39">
        <f>IF(B589="","","LN"&amp;TEXT(ROW()-2,"0000"))</f>
        <v/>
      </c>
      <c r="B589" s="26" t="n"/>
      <c r="C589" s="27">
        <f>IFERROR(IF(B589="","",VLOOKUP(B589,DATABASE!$A:$B,2,0)),"")</f>
        <v/>
      </c>
      <c r="D589" s="29" t="n"/>
      <c r="E589" s="40">
        <f>IF(B589="","",TODAY())</f>
        <v/>
      </c>
      <c r="F589" s="30" t="n"/>
      <c r="G589" s="41" t="n"/>
      <c r="H589" s="42" t="n"/>
      <c r="I589" s="43">
        <f>IFERROR(IF(OR(D589="",G589="",H589=""),"",ABS(PMT(G589/100/12,H589,D589))),"")</f>
        <v/>
      </c>
      <c r="J589" s="44">
        <f>IF(B589="","","Active")</f>
        <v/>
      </c>
    </row>
    <row r="590" ht="20" customHeight="1">
      <c r="A590" s="39">
        <f>IF(B590="","","LN"&amp;TEXT(ROW()-2,"0000"))</f>
        <v/>
      </c>
      <c r="B590" s="26" t="n"/>
      <c r="C590" s="45">
        <f>IFERROR(IF(B590="","",VLOOKUP(B590,DATABASE!$A:$B,2,0)),"")</f>
        <v/>
      </c>
      <c r="D590" s="29" t="n"/>
      <c r="E590" s="40">
        <f>IF(B590="","",TODAY())</f>
        <v/>
      </c>
      <c r="F590" s="30" t="n"/>
      <c r="G590" s="41" t="n"/>
      <c r="H590" s="42" t="n"/>
      <c r="I590" s="43">
        <f>IFERROR(IF(OR(D590="",G590="",H590=""),"",ABS(PMT(G590/100/12,H590,D590))),"")</f>
        <v/>
      </c>
      <c r="J590" s="44">
        <f>IF(B590="","","Active")</f>
        <v/>
      </c>
    </row>
    <row r="591" ht="20" customHeight="1">
      <c r="A591" s="39">
        <f>IF(B591="","","LN"&amp;TEXT(ROW()-2,"0000"))</f>
        <v/>
      </c>
      <c r="B591" s="26" t="n"/>
      <c r="C591" s="27">
        <f>IFERROR(IF(B591="","",VLOOKUP(B591,DATABASE!$A:$B,2,0)),"")</f>
        <v/>
      </c>
      <c r="D591" s="29" t="n"/>
      <c r="E591" s="40">
        <f>IF(B591="","",TODAY())</f>
        <v/>
      </c>
      <c r="F591" s="30" t="n"/>
      <c r="G591" s="41" t="n"/>
      <c r="H591" s="42" t="n"/>
      <c r="I591" s="43">
        <f>IFERROR(IF(OR(D591="",G591="",H591=""),"",ABS(PMT(G591/100/12,H591,D591))),"")</f>
        <v/>
      </c>
      <c r="J591" s="44">
        <f>IF(B591="","","Active")</f>
        <v/>
      </c>
    </row>
    <row r="592" ht="20" customHeight="1">
      <c r="A592" s="39">
        <f>IF(B592="","","LN"&amp;TEXT(ROW()-2,"0000"))</f>
        <v/>
      </c>
      <c r="B592" s="26" t="n"/>
      <c r="C592" s="45">
        <f>IFERROR(IF(B592="","",VLOOKUP(B592,DATABASE!$A:$B,2,0)),"")</f>
        <v/>
      </c>
      <c r="D592" s="29" t="n"/>
      <c r="E592" s="40">
        <f>IF(B592="","",TODAY())</f>
        <v/>
      </c>
      <c r="F592" s="30" t="n"/>
      <c r="G592" s="41" t="n"/>
      <c r="H592" s="42" t="n"/>
      <c r="I592" s="43">
        <f>IFERROR(IF(OR(D592="",G592="",H592=""),"",ABS(PMT(G592/100/12,H592,D592))),"")</f>
        <v/>
      </c>
      <c r="J592" s="44">
        <f>IF(B592="","","Active")</f>
        <v/>
      </c>
    </row>
    <row r="593" ht="20" customHeight="1">
      <c r="A593" s="39">
        <f>IF(B593="","","LN"&amp;TEXT(ROW()-2,"0000"))</f>
        <v/>
      </c>
      <c r="B593" s="26" t="n"/>
      <c r="C593" s="27">
        <f>IFERROR(IF(B593="","",VLOOKUP(B593,DATABASE!$A:$B,2,0)),"")</f>
        <v/>
      </c>
      <c r="D593" s="29" t="n"/>
      <c r="E593" s="40">
        <f>IF(B593="","",TODAY())</f>
        <v/>
      </c>
      <c r="F593" s="30" t="n"/>
      <c r="G593" s="41" t="n"/>
      <c r="H593" s="42" t="n"/>
      <c r="I593" s="43">
        <f>IFERROR(IF(OR(D593="",G593="",H593=""),"",ABS(PMT(G593/100/12,H593,D593))),"")</f>
        <v/>
      </c>
      <c r="J593" s="44">
        <f>IF(B593="","","Active")</f>
        <v/>
      </c>
    </row>
    <row r="594" ht="20" customHeight="1">
      <c r="A594" s="39">
        <f>IF(B594="","","LN"&amp;TEXT(ROW()-2,"0000"))</f>
        <v/>
      </c>
      <c r="B594" s="26" t="n"/>
      <c r="C594" s="45">
        <f>IFERROR(IF(B594="","",VLOOKUP(B594,DATABASE!$A:$B,2,0)),"")</f>
        <v/>
      </c>
      <c r="D594" s="29" t="n"/>
      <c r="E594" s="40">
        <f>IF(B594="","",TODAY())</f>
        <v/>
      </c>
      <c r="F594" s="30" t="n"/>
      <c r="G594" s="41" t="n"/>
      <c r="H594" s="42" t="n"/>
      <c r="I594" s="43">
        <f>IFERROR(IF(OR(D594="",G594="",H594=""),"",ABS(PMT(G594/100/12,H594,D594))),"")</f>
        <v/>
      </c>
      <c r="J594" s="44">
        <f>IF(B594="","","Active")</f>
        <v/>
      </c>
    </row>
    <row r="595" ht="20" customHeight="1">
      <c r="A595" s="39">
        <f>IF(B595="","","LN"&amp;TEXT(ROW()-2,"0000"))</f>
        <v/>
      </c>
      <c r="B595" s="26" t="n"/>
      <c r="C595" s="27">
        <f>IFERROR(IF(B595="","",VLOOKUP(B595,DATABASE!$A:$B,2,0)),"")</f>
        <v/>
      </c>
      <c r="D595" s="29" t="n"/>
      <c r="E595" s="40">
        <f>IF(B595="","",TODAY())</f>
        <v/>
      </c>
      <c r="F595" s="30" t="n"/>
      <c r="G595" s="41" t="n"/>
      <c r="H595" s="42" t="n"/>
      <c r="I595" s="43">
        <f>IFERROR(IF(OR(D595="",G595="",H595=""),"",ABS(PMT(G595/100/12,H595,D595))),"")</f>
        <v/>
      </c>
      <c r="J595" s="44">
        <f>IF(B595="","","Active")</f>
        <v/>
      </c>
    </row>
    <row r="596" ht="20" customHeight="1">
      <c r="A596" s="39">
        <f>IF(B596="","","LN"&amp;TEXT(ROW()-2,"0000"))</f>
        <v/>
      </c>
      <c r="B596" s="26" t="n"/>
      <c r="C596" s="45">
        <f>IFERROR(IF(B596="","",VLOOKUP(B596,DATABASE!$A:$B,2,0)),"")</f>
        <v/>
      </c>
      <c r="D596" s="29" t="n"/>
      <c r="E596" s="40">
        <f>IF(B596="","",TODAY())</f>
        <v/>
      </c>
      <c r="F596" s="30" t="n"/>
      <c r="G596" s="41" t="n"/>
      <c r="H596" s="42" t="n"/>
      <c r="I596" s="43">
        <f>IFERROR(IF(OR(D596="",G596="",H596=""),"",ABS(PMT(G596/100/12,H596,D596))),"")</f>
        <v/>
      </c>
      <c r="J596" s="44">
        <f>IF(B596="","","Active")</f>
        <v/>
      </c>
    </row>
    <row r="597" ht="20" customHeight="1">
      <c r="A597" s="39">
        <f>IF(B597="","","LN"&amp;TEXT(ROW()-2,"0000"))</f>
        <v/>
      </c>
      <c r="B597" s="26" t="n"/>
      <c r="C597" s="27">
        <f>IFERROR(IF(B597="","",VLOOKUP(B597,DATABASE!$A:$B,2,0)),"")</f>
        <v/>
      </c>
      <c r="D597" s="29" t="n"/>
      <c r="E597" s="40">
        <f>IF(B597="","",TODAY())</f>
        <v/>
      </c>
      <c r="F597" s="30" t="n"/>
      <c r="G597" s="41" t="n"/>
      <c r="H597" s="42" t="n"/>
      <c r="I597" s="43">
        <f>IFERROR(IF(OR(D597="",G597="",H597=""),"",ABS(PMT(G597/100/12,H597,D597))),"")</f>
        <v/>
      </c>
      <c r="J597" s="44">
        <f>IF(B597="","","Active")</f>
        <v/>
      </c>
    </row>
    <row r="598" ht="20" customHeight="1">
      <c r="A598" s="39">
        <f>IF(B598="","","LN"&amp;TEXT(ROW()-2,"0000"))</f>
        <v/>
      </c>
      <c r="B598" s="26" t="n"/>
      <c r="C598" s="45">
        <f>IFERROR(IF(B598="","",VLOOKUP(B598,DATABASE!$A:$B,2,0)),"")</f>
        <v/>
      </c>
      <c r="D598" s="29" t="n"/>
      <c r="E598" s="40">
        <f>IF(B598="","",TODAY())</f>
        <v/>
      </c>
      <c r="F598" s="30" t="n"/>
      <c r="G598" s="41" t="n"/>
      <c r="H598" s="42" t="n"/>
      <c r="I598" s="43">
        <f>IFERROR(IF(OR(D598="",G598="",H598=""),"",ABS(PMT(G598/100/12,H598,D598))),"")</f>
        <v/>
      </c>
      <c r="J598" s="44">
        <f>IF(B598="","","Active")</f>
        <v/>
      </c>
    </row>
    <row r="599" ht="20" customHeight="1">
      <c r="A599" s="39">
        <f>IF(B599="","","LN"&amp;TEXT(ROW()-2,"0000"))</f>
        <v/>
      </c>
      <c r="B599" s="26" t="n"/>
      <c r="C599" s="27">
        <f>IFERROR(IF(B599="","",VLOOKUP(B599,DATABASE!$A:$B,2,0)),"")</f>
        <v/>
      </c>
      <c r="D599" s="29" t="n"/>
      <c r="E599" s="40">
        <f>IF(B599="","",TODAY())</f>
        <v/>
      </c>
      <c r="F599" s="30" t="n"/>
      <c r="G599" s="41" t="n"/>
      <c r="H599" s="42" t="n"/>
      <c r="I599" s="43">
        <f>IFERROR(IF(OR(D599="",G599="",H599=""),"",ABS(PMT(G599/100/12,H599,D599))),"")</f>
        <v/>
      </c>
      <c r="J599" s="44">
        <f>IF(B599="","","Active")</f>
        <v/>
      </c>
    </row>
    <row r="600" ht="20" customHeight="1">
      <c r="A600" s="39">
        <f>IF(B600="","","LN"&amp;TEXT(ROW()-2,"0000"))</f>
        <v/>
      </c>
      <c r="B600" s="26" t="n"/>
      <c r="C600" s="45">
        <f>IFERROR(IF(B600="","",VLOOKUP(B600,DATABASE!$A:$B,2,0)),"")</f>
        <v/>
      </c>
      <c r="D600" s="29" t="n"/>
      <c r="E600" s="40">
        <f>IF(B600="","",TODAY())</f>
        <v/>
      </c>
      <c r="F600" s="30" t="n"/>
      <c r="G600" s="41" t="n"/>
      <c r="H600" s="42" t="n"/>
      <c r="I600" s="43">
        <f>IFERROR(IF(OR(D600="",G600="",H600=""),"",ABS(PMT(G600/100/12,H600,D600))),"")</f>
        <v/>
      </c>
      <c r="J600" s="44">
        <f>IF(B600="","","Active")</f>
        <v/>
      </c>
    </row>
    <row r="601" ht="20" customHeight="1">
      <c r="A601" s="39">
        <f>IF(B601="","","LN"&amp;TEXT(ROW()-2,"0000"))</f>
        <v/>
      </c>
      <c r="B601" s="26" t="n"/>
      <c r="C601" s="27">
        <f>IFERROR(IF(B601="","",VLOOKUP(B601,DATABASE!$A:$B,2,0)),"")</f>
        <v/>
      </c>
      <c r="D601" s="29" t="n"/>
      <c r="E601" s="40">
        <f>IF(B601="","",TODAY())</f>
        <v/>
      </c>
      <c r="F601" s="30" t="n"/>
      <c r="G601" s="41" t="n"/>
      <c r="H601" s="42" t="n"/>
      <c r="I601" s="43">
        <f>IFERROR(IF(OR(D601="",G601="",H601=""),"",ABS(PMT(G601/100/12,H601,D601))),"")</f>
        <v/>
      </c>
      <c r="J601" s="44">
        <f>IF(B601="","","Active")</f>
        <v/>
      </c>
    </row>
    <row r="602" ht="20" customHeight="1">
      <c r="A602" s="39">
        <f>IF(B602="","","LN"&amp;TEXT(ROW()-2,"0000"))</f>
        <v/>
      </c>
      <c r="B602" s="26" t="n"/>
      <c r="C602" s="45">
        <f>IFERROR(IF(B602="","",VLOOKUP(B602,DATABASE!$A:$B,2,0)),"")</f>
        <v/>
      </c>
      <c r="D602" s="29" t="n"/>
      <c r="E602" s="40">
        <f>IF(B602="","",TODAY())</f>
        <v/>
      </c>
      <c r="F602" s="30" t="n"/>
      <c r="G602" s="41" t="n"/>
      <c r="H602" s="42" t="n"/>
      <c r="I602" s="43">
        <f>IFERROR(IF(OR(D602="",G602="",H602=""),"",ABS(PMT(G602/100/12,H602,D602))),"")</f>
        <v/>
      </c>
      <c r="J602" s="44">
        <f>IF(B602="","","Active")</f>
        <v/>
      </c>
    </row>
    <row r="603" ht="20" customHeight="1">
      <c r="A603" s="39">
        <f>IF(B603="","","LN"&amp;TEXT(ROW()-2,"0000"))</f>
        <v/>
      </c>
      <c r="B603" s="26" t="n"/>
      <c r="C603" s="27">
        <f>IFERROR(IF(B603="","",VLOOKUP(B603,DATABASE!$A:$B,2,0)),"")</f>
        <v/>
      </c>
      <c r="D603" s="29" t="n"/>
      <c r="E603" s="40">
        <f>IF(B603="","",TODAY())</f>
        <v/>
      </c>
      <c r="F603" s="30" t="n"/>
      <c r="G603" s="41" t="n"/>
      <c r="H603" s="42" t="n"/>
      <c r="I603" s="43">
        <f>IFERROR(IF(OR(D603="",G603="",H603=""),"",ABS(PMT(G603/100/12,H603,D603))),"")</f>
        <v/>
      </c>
      <c r="J603" s="44">
        <f>IF(B603="","","Active")</f>
        <v/>
      </c>
    </row>
    <row r="604" ht="20" customHeight="1">
      <c r="A604" s="39">
        <f>IF(B604="","","LN"&amp;TEXT(ROW()-2,"0000"))</f>
        <v/>
      </c>
      <c r="B604" s="26" t="n"/>
      <c r="C604" s="45">
        <f>IFERROR(IF(B604="","",VLOOKUP(B604,DATABASE!$A:$B,2,0)),"")</f>
        <v/>
      </c>
      <c r="D604" s="29" t="n"/>
      <c r="E604" s="40">
        <f>IF(B604="","",TODAY())</f>
        <v/>
      </c>
      <c r="F604" s="30" t="n"/>
      <c r="G604" s="41" t="n"/>
      <c r="H604" s="42" t="n"/>
      <c r="I604" s="43">
        <f>IFERROR(IF(OR(D604="",G604="",H604=""),"",ABS(PMT(G604/100/12,H604,D604))),"")</f>
        <v/>
      </c>
      <c r="J604" s="44">
        <f>IF(B604="","","Active")</f>
        <v/>
      </c>
    </row>
    <row r="605" ht="20" customHeight="1">
      <c r="A605" s="39">
        <f>IF(B605="","","LN"&amp;TEXT(ROW()-2,"0000"))</f>
        <v/>
      </c>
      <c r="B605" s="26" t="n"/>
      <c r="C605" s="27">
        <f>IFERROR(IF(B605="","",VLOOKUP(B605,DATABASE!$A:$B,2,0)),"")</f>
        <v/>
      </c>
      <c r="D605" s="29" t="n"/>
      <c r="E605" s="40">
        <f>IF(B605="","",TODAY())</f>
        <v/>
      </c>
      <c r="F605" s="30" t="n"/>
      <c r="G605" s="41" t="n"/>
      <c r="H605" s="42" t="n"/>
      <c r="I605" s="43">
        <f>IFERROR(IF(OR(D605="",G605="",H605=""),"",ABS(PMT(G605/100/12,H605,D605))),"")</f>
        <v/>
      </c>
      <c r="J605" s="44">
        <f>IF(B605="","","Active")</f>
        <v/>
      </c>
    </row>
    <row r="606" ht="20" customHeight="1">
      <c r="A606" s="39">
        <f>IF(B606="","","LN"&amp;TEXT(ROW()-2,"0000"))</f>
        <v/>
      </c>
      <c r="B606" s="26" t="n"/>
      <c r="C606" s="45">
        <f>IFERROR(IF(B606="","",VLOOKUP(B606,DATABASE!$A:$B,2,0)),"")</f>
        <v/>
      </c>
      <c r="D606" s="29" t="n"/>
      <c r="E606" s="40">
        <f>IF(B606="","",TODAY())</f>
        <v/>
      </c>
      <c r="F606" s="30" t="n"/>
      <c r="G606" s="41" t="n"/>
      <c r="H606" s="42" t="n"/>
      <c r="I606" s="43">
        <f>IFERROR(IF(OR(D606="",G606="",H606=""),"",ABS(PMT(G606/100/12,H606,D606))),"")</f>
        <v/>
      </c>
      <c r="J606" s="44">
        <f>IF(B606="","","Active")</f>
        <v/>
      </c>
    </row>
    <row r="607" ht="20" customHeight="1">
      <c r="A607" s="39">
        <f>IF(B607="","","LN"&amp;TEXT(ROW()-2,"0000"))</f>
        <v/>
      </c>
      <c r="B607" s="26" t="n"/>
      <c r="C607" s="27">
        <f>IFERROR(IF(B607="","",VLOOKUP(B607,DATABASE!$A:$B,2,0)),"")</f>
        <v/>
      </c>
      <c r="D607" s="29" t="n"/>
      <c r="E607" s="40">
        <f>IF(B607="","",TODAY())</f>
        <v/>
      </c>
      <c r="F607" s="30" t="n"/>
      <c r="G607" s="41" t="n"/>
      <c r="H607" s="42" t="n"/>
      <c r="I607" s="43">
        <f>IFERROR(IF(OR(D607="",G607="",H607=""),"",ABS(PMT(G607/100/12,H607,D607))),"")</f>
        <v/>
      </c>
      <c r="J607" s="44">
        <f>IF(B607="","","Active")</f>
        <v/>
      </c>
    </row>
    <row r="608" ht="20" customHeight="1">
      <c r="A608" s="39">
        <f>IF(B608="","","LN"&amp;TEXT(ROW()-2,"0000"))</f>
        <v/>
      </c>
      <c r="B608" s="26" t="n"/>
      <c r="C608" s="45">
        <f>IFERROR(IF(B608="","",VLOOKUP(B608,DATABASE!$A:$B,2,0)),"")</f>
        <v/>
      </c>
      <c r="D608" s="29" t="n"/>
      <c r="E608" s="40">
        <f>IF(B608="","",TODAY())</f>
        <v/>
      </c>
      <c r="F608" s="30" t="n"/>
      <c r="G608" s="41" t="n"/>
      <c r="H608" s="42" t="n"/>
      <c r="I608" s="43">
        <f>IFERROR(IF(OR(D608="",G608="",H608=""),"",ABS(PMT(G608/100/12,H608,D608))),"")</f>
        <v/>
      </c>
      <c r="J608" s="44">
        <f>IF(B608="","","Active")</f>
        <v/>
      </c>
    </row>
    <row r="609" ht="20" customHeight="1">
      <c r="A609" s="39">
        <f>IF(B609="","","LN"&amp;TEXT(ROW()-2,"0000"))</f>
        <v/>
      </c>
      <c r="B609" s="26" t="n"/>
      <c r="C609" s="27">
        <f>IFERROR(IF(B609="","",VLOOKUP(B609,DATABASE!$A:$B,2,0)),"")</f>
        <v/>
      </c>
      <c r="D609" s="29" t="n"/>
      <c r="E609" s="40">
        <f>IF(B609="","",TODAY())</f>
        <v/>
      </c>
      <c r="F609" s="30" t="n"/>
      <c r="G609" s="41" t="n"/>
      <c r="H609" s="42" t="n"/>
      <c r="I609" s="43">
        <f>IFERROR(IF(OR(D609="",G609="",H609=""),"",ABS(PMT(G609/100/12,H609,D609))),"")</f>
        <v/>
      </c>
      <c r="J609" s="44">
        <f>IF(B609="","","Active")</f>
        <v/>
      </c>
    </row>
    <row r="610" ht="20" customHeight="1">
      <c r="A610" s="39">
        <f>IF(B610="","","LN"&amp;TEXT(ROW()-2,"0000"))</f>
        <v/>
      </c>
      <c r="B610" s="26" t="n"/>
      <c r="C610" s="45">
        <f>IFERROR(IF(B610="","",VLOOKUP(B610,DATABASE!$A:$B,2,0)),"")</f>
        <v/>
      </c>
      <c r="D610" s="29" t="n"/>
      <c r="E610" s="40">
        <f>IF(B610="","",TODAY())</f>
        <v/>
      </c>
      <c r="F610" s="30" t="n"/>
      <c r="G610" s="41" t="n"/>
      <c r="H610" s="42" t="n"/>
      <c r="I610" s="43">
        <f>IFERROR(IF(OR(D610="",G610="",H610=""),"",ABS(PMT(G610/100/12,H610,D610))),"")</f>
        <v/>
      </c>
      <c r="J610" s="44">
        <f>IF(B610="","","Active")</f>
        <v/>
      </c>
    </row>
    <row r="611" ht="20" customHeight="1">
      <c r="A611" s="39">
        <f>IF(B611="","","LN"&amp;TEXT(ROW()-2,"0000"))</f>
        <v/>
      </c>
      <c r="B611" s="26" t="n"/>
      <c r="C611" s="27">
        <f>IFERROR(IF(B611="","",VLOOKUP(B611,DATABASE!$A:$B,2,0)),"")</f>
        <v/>
      </c>
      <c r="D611" s="29" t="n"/>
      <c r="E611" s="40">
        <f>IF(B611="","",TODAY())</f>
        <v/>
      </c>
      <c r="F611" s="30" t="n"/>
      <c r="G611" s="41" t="n"/>
      <c r="H611" s="42" t="n"/>
      <c r="I611" s="43">
        <f>IFERROR(IF(OR(D611="",G611="",H611=""),"",ABS(PMT(G611/100/12,H611,D611))),"")</f>
        <v/>
      </c>
      <c r="J611" s="44">
        <f>IF(B611="","","Active")</f>
        <v/>
      </c>
    </row>
    <row r="612" ht="20" customHeight="1">
      <c r="A612" s="39">
        <f>IF(B612="","","LN"&amp;TEXT(ROW()-2,"0000"))</f>
        <v/>
      </c>
      <c r="B612" s="26" t="n"/>
      <c r="C612" s="45">
        <f>IFERROR(IF(B612="","",VLOOKUP(B612,DATABASE!$A:$B,2,0)),"")</f>
        <v/>
      </c>
      <c r="D612" s="29" t="n"/>
      <c r="E612" s="40">
        <f>IF(B612="","",TODAY())</f>
        <v/>
      </c>
      <c r="F612" s="30" t="n"/>
      <c r="G612" s="41" t="n"/>
      <c r="H612" s="42" t="n"/>
      <c r="I612" s="43">
        <f>IFERROR(IF(OR(D612="",G612="",H612=""),"",ABS(PMT(G612/100/12,H612,D612))),"")</f>
        <v/>
      </c>
      <c r="J612" s="44">
        <f>IF(B612="","","Active")</f>
        <v/>
      </c>
    </row>
    <row r="613" ht="20" customHeight="1">
      <c r="A613" s="39">
        <f>IF(B613="","","LN"&amp;TEXT(ROW()-2,"0000"))</f>
        <v/>
      </c>
      <c r="B613" s="26" t="n"/>
      <c r="C613" s="27">
        <f>IFERROR(IF(B613="","",VLOOKUP(B613,DATABASE!$A:$B,2,0)),"")</f>
        <v/>
      </c>
      <c r="D613" s="29" t="n"/>
      <c r="E613" s="40">
        <f>IF(B613="","",TODAY())</f>
        <v/>
      </c>
      <c r="F613" s="30" t="n"/>
      <c r="G613" s="41" t="n"/>
      <c r="H613" s="42" t="n"/>
      <c r="I613" s="43">
        <f>IFERROR(IF(OR(D613="",G613="",H613=""),"",ABS(PMT(G613/100/12,H613,D613))),"")</f>
        <v/>
      </c>
      <c r="J613" s="44">
        <f>IF(B613="","","Active")</f>
        <v/>
      </c>
    </row>
    <row r="614" ht="20" customHeight="1">
      <c r="A614" s="39">
        <f>IF(B614="","","LN"&amp;TEXT(ROW()-2,"0000"))</f>
        <v/>
      </c>
      <c r="B614" s="26" t="n"/>
      <c r="C614" s="45">
        <f>IFERROR(IF(B614="","",VLOOKUP(B614,DATABASE!$A:$B,2,0)),"")</f>
        <v/>
      </c>
      <c r="D614" s="29" t="n"/>
      <c r="E614" s="40">
        <f>IF(B614="","",TODAY())</f>
        <v/>
      </c>
      <c r="F614" s="30" t="n"/>
      <c r="G614" s="41" t="n"/>
      <c r="H614" s="42" t="n"/>
      <c r="I614" s="43">
        <f>IFERROR(IF(OR(D614="",G614="",H614=""),"",ABS(PMT(G614/100/12,H614,D614))),"")</f>
        <v/>
      </c>
      <c r="J614" s="44">
        <f>IF(B614="","","Active")</f>
        <v/>
      </c>
    </row>
    <row r="615" ht="20" customHeight="1">
      <c r="A615" s="39">
        <f>IF(B615="","","LN"&amp;TEXT(ROW()-2,"0000"))</f>
        <v/>
      </c>
      <c r="B615" s="26" t="n"/>
      <c r="C615" s="27">
        <f>IFERROR(IF(B615="","",VLOOKUP(B615,DATABASE!$A:$B,2,0)),"")</f>
        <v/>
      </c>
      <c r="D615" s="29" t="n"/>
      <c r="E615" s="40">
        <f>IF(B615="","",TODAY())</f>
        <v/>
      </c>
      <c r="F615" s="30" t="n"/>
      <c r="G615" s="41" t="n"/>
      <c r="H615" s="42" t="n"/>
      <c r="I615" s="43">
        <f>IFERROR(IF(OR(D615="",G615="",H615=""),"",ABS(PMT(G615/100/12,H615,D615))),"")</f>
        <v/>
      </c>
      <c r="J615" s="44">
        <f>IF(B615="","","Active")</f>
        <v/>
      </c>
    </row>
    <row r="616" ht="20" customHeight="1">
      <c r="A616" s="39">
        <f>IF(B616="","","LN"&amp;TEXT(ROW()-2,"0000"))</f>
        <v/>
      </c>
      <c r="B616" s="26" t="n"/>
      <c r="C616" s="45">
        <f>IFERROR(IF(B616="","",VLOOKUP(B616,DATABASE!$A:$B,2,0)),"")</f>
        <v/>
      </c>
      <c r="D616" s="29" t="n"/>
      <c r="E616" s="40">
        <f>IF(B616="","",TODAY())</f>
        <v/>
      </c>
      <c r="F616" s="30" t="n"/>
      <c r="G616" s="41" t="n"/>
      <c r="H616" s="42" t="n"/>
      <c r="I616" s="43">
        <f>IFERROR(IF(OR(D616="",G616="",H616=""),"",ABS(PMT(G616/100/12,H616,D616))),"")</f>
        <v/>
      </c>
      <c r="J616" s="44">
        <f>IF(B616="","","Active")</f>
        <v/>
      </c>
    </row>
    <row r="617" ht="20" customHeight="1">
      <c r="A617" s="39">
        <f>IF(B617="","","LN"&amp;TEXT(ROW()-2,"0000"))</f>
        <v/>
      </c>
      <c r="B617" s="26" t="n"/>
      <c r="C617" s="27">
        <f>IFERROR(IF(B617="","",VLOOKUP(B617,DATABASE!$A:$B,2,0)),"")</f>
        <v/>
      </c>
      <c r="D617" s="29" t="n"/>
      <c r="E617" s="40">
        <f>IF(B617="","",TODAY())</f>
        <v/>
      </c>
      <c r="F617" s="30" t="n"/>
      <c r="G617" s="41" t="n"/>
      <c r="H617" s="42" t="n"/>
      <c r="I617" s="43">
        <f>IFERROR(IF(OR(D617="",G617="",H617=""),"",ABS(PMT(G617/100/12,H617,D617))),"")</f>
        <v/>
      </c>
      <c r="J617" s="44">
        <f>IF(B617="","","Active")</f>
        <v/>
      </c>
    </row>
    <row r="618" ht="20" customHeight="1">
      <c r="A618" s="39">
        <f>IF(B618="","","LN"&amp;TEXT(ROW()-2,"0000"))</f>
        <v/>
      </c>
      <c r="B618" s="26" t="n"/>
      <c r="C618" s="45">
        <f>IFERROR(IF(B618="","",VLOOKUP(B618,DATABASE!$A:$B,2,0)),"")</f>
        <v/>
      </c>
      <c r="D618" s="29" t="n"/>
      <c r="E618" s="40">
        <f>IF(B618="","",TODAY())</f>
        <v/>
      </c>
      <c r="F618" s="30" t="n"/>
      <c r="G618" s="41" t="n"/>
      <c r="H618" s="42" t="n"/>
      <c r="I618" s="43">
        <f>IFERROR(IF(OR(D618="",G618="",H618=""),"",ABS(PMT(G618/100/12,H618,D618))),"")</f>
        <v/>
      </c>
      <c r="J618" s="44">
        <f>IF(B618="","","Active")</f>
        <v/>
      </c>
    </row>
    <row r="619" ht="20" customHeight="1">
      <c r="A619" s="39">
        <f>IF(B619="","","LN"&amp;TEXT(ROW()-2,"0000"))</f>
        <v/>
      </c>
      <c r="B619" s="26" t="n"/>
      <c r="C619" s="27">
        <f>IFERROR(IF(B619="","",VLOOKUP(B619,DATABASE!$A:$B,2,0)),"")</f>
        <v/>
      </c>
      <c r="D619" s="29" t="n"/>
      <c r="E619" s="40">
        <f>IF(B619="","",TODAY())</f>
        <v/>
      </c>
      <c r="F619" s="30" t="n"/>
      <c r="G619" s="41" t="n"/>
      <c r="H619" s="42" t="n"/>
      <c r="I619" s="43">
        <f>IFERROR(IF(OR(D619="",G619="",H619=""),"",ABS(PMT(G619/100/12,H619,D619))),"")</f>
        <v/>
      </c>
      <c r="J619" s="44">
        <f>IF(B619="","","Active")</f>
        <v/>
      </c>
    </row>
    <row r="620" ht="20" customHeight="1">
      <c r="A620" s="39">
        <f>IF(B620="","","LN"&amp;TEXT(ROW()-2,"0000"))</f>
        <v/>
      </c>
      <c r="B620" s="26" t="n"/>
      <c r="C620" s="45">
        <f>IFERROR(IF(B620="","",VLOOKUP(B620,DATABASE!$A:$B,2,0)),"")</f>
        <v/>
      </c>
      <c r="D620" s="29" t="n"/>
      <c r="E620" s="40">
        <f>IF(B620="","",TODAY())</f>
        <v/>
      </c>
      <c r="F620" s="30" t="n"/>
      <c r="G620" s="41" t="n"/>
      <c r="H620" s="42" t="n"/>
      <c r="I620" s="43">
        <f>IFERROR(IF(OR(D620="",G620="",H620=""),"",ABS(PMT(G620/100/12,H620,D620))),"")</f>
        <v/>
      </c>
      <c r="J620" s="44">
        <f>IF(B620="","","Active")</f>
        <v/>
      </c>
    </row>
    <row r="621" ht="20" customHeight="1">
      <c r="A621" s="39">
        <f>IF(B621="","","LN"&amp;TEXT(ROW()-2,"0000"))</f>
        <v/>
      </c>
      <c r="B621" s="26" t="n"/>
      <c r="C621" s="27">
        <f>IFERROR(IF(B621="","",VLOOKUP(B621,DATABASE!$A:$B,2,0)),"")</f>
        <v/>
      </c>
      <c r="D621" s="29" t="n"/>
      <c r="E621" s="40">
        <f>IF(B621="","",TODAY())</f>
        <v/>
      </c>
      <c r="F621" s="30" t="n"/>
      <c r="G621" s="41" t="n"/>
      <c r="H621" s="42" t="n"/>
      <c r="I621" s="43">
        <f>IFERROR(IF(OR(D621="",G621="",H621=""),"",ABS(PMT(G621/100/12,H621,D621))),"")</f>
        <v/>
      </c>
      <c r="J621" s="44">
        <f>IF(B621="","","Active")</f>
        <v/>
      </c>
    </row>
    <row r="622" ht="20" customHeight="1">
      <c r="A622" s="39">
        <f>IF(B622="","","LN"&amp;TEXT(ROW()-2,"0000"))</f>
        <v/>
      </c>
      <c r="B622" s="26" t="n"/>
      <c r="C622" s="45">
        <f>IFERROR(IF(B622="","",VLOOKUP(B622,DATABASE!$A:$B,2,0)),"")</f>
        <v/>
      </c>
      <c r="D622" s="29" t="n"/>
      <c r="E622" s="40">
        <f>IF(B622="","",TODAY())</f>
        <v/>
      </c>
      <c r="F622" s="30" t="n"/>
      <c r="G622" s="41" t="n"/>
      <c r="H622" s="42" t="n"/>
      <c r="I622" s="43">
        <f>IFERROR(IF(OR(D622="",G622="",H622=""),"",ABS(PMT(G622/100/12,H622,D622))),"")</f>
        <v/>
      </c>
      <c r="J622" s="44">
        <f>IF(B622="","","Active")</f>
        <v/>
      </c>
    </row>
    <row r="623" ht="20" customHeight="1">
      <c r="A623" s="39">
        <f>IF(B623="","","LN"&amp;TEXT(ROW()-2,"0000"))</f>
        <v/>
      </c>
      <c r="B623" s="26" t="n"/>
      <c r="C623" s="27">
        <f>IFERROR(IF(B623="","",VLOOKUP(B623,DATABASE!$A:$B,2,0)),"")</f>
        <v/>
      </c>
      <c r="D623" s="29" t="n"/>
      <c r="E623" s="40">
        <f>IF(B623="","",TODAY())</f>
        <v/>
      </c>
      <c r="F623" s="30" t="n"/>
      <c r="G623" s="41" t="n"/>
      <c r="H623" s="42" t="n"/>
      <c r="I623" s="43">
        <f>IFERROR(IF(OR(D623="",G623="",H623=""),"",ABS(PMT(G623/100/12,H623,D623))),"")</f>
        <v/>
      </c>
      <c r="J623" s="44">
        <f>IF(B623="","","Active")</f>
        <v/>
      </c>
    </row>
    <row r="624" ht="20" customHeight="1">
      <c r="A624" s="39">
        <f>IF(B624="","","LN"&amp;TEXT(ROW()-2,"0000"))</f>
        <v/>
      </c>
      <c r="B624" s="26" t="n"/>
      <c r="C624" s="45">
        <f>IFERROR(IF(B624="","",VLOOKUP(B624,DATABASE!$A:$B,2,0)),"")</f>
        <v/>
      </c>
      <c r="D624" s="29" t="n"/>
      <c r="E624" s="40">
        <f>IF(B624="","",TODAY())</f>
        <v/>
      </c>
      <c r="F624" s="30" t="n"/>
      <c r="G624" s="41" t="n"/>
      <c r="H624" s="42" t="n"/>
      <c r="I624" s="43">
        <f>IFERROR(IF(OR(D624="",G624="",H624=""),"",ABS(PMT(G624/100/12,H624,D624))),"")</f>
        <v/>
      </c>
      <c r="J624" s="44">
        <f>IF(B624="","","Active")</f>
        <v/>
      </c>
    </row>
    <row r="625" ht="20" customHeight="1">
      <c r="A625" s="39">
        <f>IF(B625="","","LN"&amp;TEXT(ROW()-2,"0000"))</f>
        <v/>
      </c>
      <c r="B625" s="26" t="n"/>
      <c r="C625" s="27">
        <f>IFERROR(IF(B625="","",VLOOKUP(B625,DATABASE!$A:$B,2,0)),"")</f>
        <v/>
      </c>
      <c r="D625" s="29" t="n"/>
      <c r="E625" s="40">
        <f>IF(B625="","",TODAY())</f>
        <v/>
      </c>
      <c r="F625" s="30" t="n"/>
      <c r="G625" s="41" t="n"/>
      <c r="H625" s="42" t="n"/>
      <c r="I625" s="43">
        <f>IFERROR(IF(OR(D625="",G625="",H625=""),"",ABS(PMT(G625/100/12,H625,D625))),"")</f>
        <v/>
      </c>
      <c r="J625" s="44">
        <f>IF(B625="","","Active")</f>
        <v/>
      </c>
    </row>
    <row r="626" ht="20" customHeight="1">
      <c r="A626" s="39">
        <f>IF(B626="","","LN"&amp;TEXT(ROW()-2,"0000"))</f>
        <v/>
      </c>
      <c r="B626" s="26" t="n"/>
      <c r="C626" s="45">
        <f>IFERROR(IF(B626="","",VLOOKUP(B626,DATABASE!$A:$B,2,0)),"")</f>
        <v/>
      </c>
      <c r="D626" s="29" t="n"/>
      <c r="E626" s="40">
        <f>IF(B626="","",TODAY())</f>
        <v/>
      </c>
      <c r="F626" s="30" t="n"/>
      <c r="G626" s="41" t="n"/>
      <c r="H626" s="42" t="n"/>
      <c r="I626" s="43">
        <f>IFERROR(IF(OR(D626="",G626="",H626=""),"",ABS(PMT(G626/100/12,H626,D626))),"")</f>
        <v/>
      </c>
      <c r="J626" s="44">
        <f>IF(B626="","","Active")</f>
        <v/>
      </c>
    </row>
    <row r="627" ht="20" customHeight="1">
      <c r="A627" s="39">
        <f>IF(B627="","","LN"&amp;TEXT(ROW()-2,"0000"))</f>
        <v/>
      </c>
      <c r="B627" s="26" t="n"/>
      <c r="C627" s="27">
        <f>IFERROR(IF(B627="","",VLOOKUP(B627,DATABASE!$A:$B,2,0)),"")</f>
        <v/>
      </c>
      <c r="D627" s="29" t="n"/>
      <c r="E627" s="40">
        <f>IF(B627="","",TODAY())</f>
        <v/>
      </c>
      <c r="F627" s="30" t="n"/>
      <c r="G627" s="41" t="n"/>
      <c r="H627" s="42" t="n"/>
      <c r="I627" s="43">
        <f>IFERROR(IF(OR(D627="",G627="",H627=""),"",ABS(PMT(G627/100/12,H627,D627))),"")</f>
        <v/>
      </c>
      <c r="J627" s="44">
        <f>IF(B627="","","Active")</f>
        <v/>
      </c>
    </row>
    <row r="628" ht="20" customHeight="1">
      <c r="A628" s="39">
        <f>IF(B628="","","LN"&amp;TEXT(ROW()-2,"0000"))</f>
        <v/>
      </c>
      <c r="B628" s="26" t="n"/>
      <c r="C628" s="45">
        <f>IFERROR(IF(B628="","",VLOOKUP(B628,DATABASE!$A:$B,2,0)),"")</f>
        <v/>
      </c>
      <c r="D628" s="29" t="n"/>
      <c r="E628" s="40">
        <f>IF(B628="","",TODAY())</f>
        <v/>
      </c>
      <c r="F628" s="30" t="n"/>
      <c r="G628" s="41" t="n"/>
      <c r="H628" s="42" t="n"/>
      <c r="I628" s="43">
        <f>IFERROR(IF(OR(D628="",G628="",H628=""),"",ABS(PMT(G628/100/12,H628,D628))),"")</f>
        <v/>
      </c>
      <c r="J628" s="44">
        <f>IF(B628="","","Active")</f>
        <v/>
      </c>
    </row>
    <row r="629" ht="20" customHeight="1">
      <c r="A629" s="39">
        <f>IF(B629="","","LN"&amp;TEXT(ROW()-2,"0000"))</f>
        <v/>
      </c>
      <c r="B629" s="26" t="n"/>
      <c r="C629" s="27">
        <f>IFERROR(IF(B629="","",VLOOKUP(B629,DATABASE!$A:$B,2,0)),"")</f>
        <v/>
      </c>
      <c r="D629" s="29" t="n"/>
      <c r="E629" s="40">
        <f>IF(B629="","",TODAY())</f>
        <v/>
      </c>
      <c r="F629" s="30" t="n"/>
      <c r="G629" s="41" t="n"/>
      <c r="H629" s="42" t="n"/>
      <c r="I629" s="43">
        <f>IFERROR(IF(OR(D629="",G629="",H629=""),"",ABS(PMT(G629/100/12,H629,D629))),"")</f>
        <v/>
      </c>
      <c r="J629" s="44">
        <f>IF(B629="","","Active")</f>
        <v/>
      </c>
    </row>
    <row r="630" ht="20" customHeight="1">
      <c r="A630" s="39">
        <f>IF(B630="","","LN"&amp;TEXT(ROW()-2,"0000"))</f>
        <v/>
      </c>
      <c r="B630" s="26" t="n"/>
      <c r="C630" s="45">
        <f>IFERROR(IF(B630="","",VLOOKUP(B630,DATABASE!$A:$B,2,0)),"")</f>
        <v/>
      </c>
      <c r="D630" s="29" t="n"/>
      <c r="E630" s="40">
        <f>IF(B630="","",TODAY())</f>
        <v/>
      </c>
      <c r="F630" s="30" t="n"/>
      <c r="G630" s="41" t="n"/>
      <c r="H630" s="42" t="n"/>
      <c r="I630" s="43">
        <f>IFERROR(IF(OR(D630="",G630="",H630=""),"",ABS(PMT(G630/100/12,H630,D630))),"")</f>
        <v/>
      </c>
      <c r="J630" s="44">
        <f>IF(B630="","","Active")</f>
        <v/>
      </c>
    </row>
    <row r="631" ht="20" customHeight="1">
      <c r="A631" s="39">
        <f>IF(B631="","","LN"&amp;TEXT(ROW()-2,"0000"))</f>
        <v/>
      </c>
      <c r="B631" s="26" t="n"/>
      <c r="C631" s="27">
        <f>IFERROR(IF(B631="","",VLOOKUP(B631,DATABASE!$A:$B,2,0)),"")</f>
        <v/>
      </c>
      <c r="D631" s="29" t="n"/>
      <c r="E631" s="40">
        <f>IF(B631="","",TODAY())</f>
        <v/>
      </c>
      <c r="F631" s="30" t="n"/>
      <c r="G631" s="41" t="n"/>
      <c r="H631" s="42" t="n"/>
      <c r="I631" s="43">
        <f>IFERROR(IF(OR(D631="",G631="",H631=""),"",ABS(PMT(G631/100/12,H631,D631))),"")</f>
        <v/>
      </c>
      <c r="J631" s="44">
        <f>IF(B631="","","Active")</f>
        <v/>
      </c>
    </row>
    <row r="632" ht="20" customHeight="1">
      <c r="A632" s="39">
        <f>IF(B632="","","LN"&amp;TEXT(ROW()-2,"0000"))</f>
        <v/>
      </c>
      <c r="B632" s="26" t="n"/>
      <c r="C632" s="45">
        <f>IFERROR(IF(B632="","",VLOOKUP(B632,DATABASE!$A:$B,2,0)),"")</f>
        <v/>
      </c>
      <c r="D632" s="29" t="n"/>
      <c r="E632" s="40">
        <f>IF(B632="","",TODAY())</f>
        <v/>
      </c>
      <c r="F632" s="30" t="n"/>
      <c r="G632" s="41" t="n"/>
      <c r="H632" s="42" t="n"/>
      <c r="I632" s="43">
        <f>IFERROR(IF(OR(D632="",G632="",H632=""),"",ABS(PMT(G632/100/12,H632,D632))),"")</f>
        <v/>
      </c>
      <c r="J632" s="44">
        <f>IF(B632="","","Active")</f>
        <v/>
      </c>
    </row>
    <row r="633" ht="20" customHeight="1">
      <c r="A633" s="39">
        <f>IF(B633="","","LN"&amp;TEXT(ROW()-2,"0000"))</f>
        <v/>
      </c>
      <c r="B633" s="26" t="n"/>
      <c r="C633" s="27">
        <f>IFERROR(IF(B633="","",VLOOKUP(B633,DATABASE!$A:$B,2,0)),"")</f>
        <v/>
      </c>
      <c r="D633" s="29" t="n"/>
      <c r="E633" s="40">
        <f>IF(B633="","",TODAY())</f>
        <v/>
      </c>
      <c r="F633" s="30" t="n"/>
      <c r="G633" s="41" t="n"/>
      <c r="H633" s="42" t="n"/>
      <c r="I633" s="43">
        <f>IFERROR(IF(OR(D633="",G633="",H633=""),"",ABS(PMT(G633/100/12,H633,D633))),"")</f>
        <v/>
      </c>
      <c r="J633" s="44">
        <f>IF(B633="","","Active")</f>
        <v/>
      </c>
    </row>
    <row r="634" ht="20" customHeight="1">
      <c r="A634" s="39">
        <f>IF(B634="","","LN"&amp;TEXT(ROW()-2,"0000"))</f>
        <v/>
      </c>
      <c r="B634" s="26" t="n"/>
      <c r="C634" s="45">
        <f>IFERROR(IF(B634="","",VLOOKUP(B634,DATABASE!$A:$B,2,0)),"")</f>
        <v/>
      </c>
      <c r="D634" s="29" t="n"/>
      <c r="E634" s="40">
        <f>IF(B634="","",TODAY())</f>
        <v/>
      </c>
      <c r="F634" s="30" t="n"/>
      <c r="G634" s="41" t="n"/>
      <c r="H634" s="42" t="n"/>
      <c r="I634" s="43">
        <f>IFERROR(IF(OR(D634="",G634="",H634=""),"",ABS(PMT(G634/100/12,H634,D634))),"")</f>
        <v/>
      </c>
      <c r="J634" s="44">
        <f>IF(B634="","","Active")</f>
        <v/>
      </c>
    </row>
    <row r="635" ht="20" customHeight="1">
      <c r="A635" s="39">
        <f>IF(B635="","","LN"&amp;TEXT(ROW()-2,"0000"))</f>
        <v/>
      </c>
      <c r="B635" s="26" t="n"/>
      <c r="C635" s="27">
        <f>IFERROR(IF(B635="","",VLOOKUP(B635,DATABASE!$A:$B,2,0)),"")</f>
        <v/>
      </c>
      <c r="D635" s="29" t="n"/>
      <c r="E635" s="40">
        <f>IF(B635="","",TODAY())</f>
        <v/>
      </c>
      <c r="F635" s="30" t="n"/>
      <c r="G635" s="41" t="n"/>
      <c r="H635" s="42" t="n"/>
      <c r="I635" s="43">
        <f>IFERROR(IF(OR(D635="",G635="",H635=""),"",ABS(PMT(G635/100/12,H635,D635))),"")</f>
        <v/>
      </c>
      <c r="J635" s="44">
        <f>IF(B635="","","Active")</f>
        <v/>
      </c>
    </row>
    <row r="636" ht="20" customHeight="1">
      <c r="A636" s="39">
        <f>IF(B636="","","LN"&amp;TEXT(ROW()-2,"0000"))</f>
        <v/>
      </c>
      <c r="B636" s="26" t="n"/>
      <c r="C636" s="45">
        <f>IFERROR(IF(B636="","",VLOOKUP(B636,DATABASE!$A:$B,2,0)),"")</f>
        <v/>
      </c>
      <c r="D636" s="29" t="n"/>
      <c r="E636" s="40">
        <f>IF(B636="","",TODAY())</f>
        <v/>
      </c>
      <c r="F636" s="30" t="n"/>
      <c r="G636" s="41" t="n"/>
      <c r="H636" s="42" t="n"/>
      <c r="I636" s="43">
        <f>IFERROR(IF(OR(D636="",G636="",H636=""),"",ABS(PMT(G636/100/12,H636,D636))),"")</f>
        <v/>
      </c>
      <c r="J636" s="44">
        <f>IF(B636="","","Active")</f>
        <v/>
      </c>
    </row>
    <row r="637" ht="20" customHeight="1">
      <c r="A637" s="39">
        <f>IF(B637="","","LN"&amp;TEXT(ROW()-2,"0000"))</f>
        <v/>
      </c>
      <c r="B637" s="26" t="n"/>
      <c r="C637" s="27">
        <f>IFERROR(IF(B637="","",VLOOKUP(B637,DATABASE!$A:$B,2,0)),"")</f>
        <v/>
      </c>
      <c r="D637" s="29" t="n"/>
      <c r="E637" s="40">
        <f>IF(B637="","",TODAY())</f>
        <v/>
      </c>
      <c r="F637" s="30" t="n"/>
      <c r="G637" s="41" t="n"/>
      <c r="H637" s="42" t="n"/>
      <c r="I637" s="43">
        <f>IFERROR(IF(OR(D637="",G637="",H637=""),"",ABS(PMT(G637/100/12,H637,D637))),"")</f>
        <v/>
      </c>
      <c r="J637" s="44">
        <f>IF(B637="","","Active")</f>
        <v/>
      </c>
    </row>
    <row r="638" ht="20" customHeight="1">
      <c r="A638" s="39">
        <f>IF(B638="","","LN"&amp;TEXT(ROW()-2,"0000"))</f>
        <v/>
      </c>
      <c r="B638" s="26" t="n"/>
      <c r="C638" s="45">
        <f>IFERROR(IF(B638="","",VLOOKUP(B638,DATABASE!$A:$B,2,0)),"")</f>
        <v/>
      </c>
      <c r="D638" s="29" t="n"/>
      <c r="E638" s="40">
        <f>IF(B638="","",TODAY())</f>
        <v/>
      </c>
      <c r="F638" s="30" t="n"/>
      <c r="G638" s="41" t="n"/>
      <c r="H638" s="42" t="n"/>
      <c r="I638" s="43">
        <f>IFERROR(IF(OR(D638="",G638="",H638=""),"",ABS(PMT(G638/100/12,H638,D638))),"")</f>
        <v/>
      </c>
      <c r="J638" s="44">
        <f>IF(B638="","","Active")</f>
        <v/>
      </c>
    </row>
    <row r="639" ht="20" customHeight="1">
      <c r="A639" s="39">
        <f>IF(B639="","","LN"&amp;TEXT(ROW()-2,"0000"))</f>
        <v/>
      </c>
      <c r="B639" s="26" t="n"/>
      <c r="C639" s="27">
        <f>IFERROR(IF(B639="","",VLOOKUP(B639,DATABASE!$A:$B,2,0)),"")</f>
        <v/>
      </c>
      <c r="D639" s="29" t="n"/>
      <c r="E639" s="40">
        <f>IF(B639="","",TODAY())</f>
        <v/>
      </c>
      <c r="F639" s="30" t="n"/>
      <c r="G639" s="41" t="n"/>
      <c r="H639" s="42" t="n"/>
      <c r="I639" s="43">
        <f>IFERROR(IF(OR(D639="",G639="",H639=""),"",ABS(PMT(G639/100/12,H639,D639))),"")</f>
        <v/>
      </c>
      <c r="J639" s="44">
        <f>IF(B639="","","Active")</f>
        <v/>
      </c>
    </row>
    <row r="640" ht="20" customHeight="1">
      <c r="A640" s="39">
        <f>IF(B640="","","LN"&amp;TEXT(ROW()-2,"0000"))</f>
        <v/>
      </c>
      <c r="B640" s="26" t="n"/>
      <c r="C640" s="45">
        <f>IFERROR(IF(B640="","",VLOOKUP(B640,DATABASE!$A:$B,2,0)),"")</f>
        <v/>
      </c>
      <c r="D640" s="29" t="n"/>
      <c r="E640" s="40">
        <f>IF(B640="","",TODAY())</f>
        <v/>
      </c>
      <c r="F640" s="30" t="n"/>
      <c r="G640" s="41" t="n"/>
      <c r="H640" s="42" t="n"/>
      <c r="I640" s="43">
        <f>IFERROR(IF(OR(D640="",G640="",H640=""),"",ABS(PMT(G640/100/12,H640,D640))),"")</f>
        <v/>
      </c>
      <c r="J640" s="44">
        <f>IF(B640="","","Active")</f>
        <v/>
      </c>
    </row>
    <row r="641" ht="20" customHeight="1">
      <c r="A641" s="39">
        <f>IF(B641="","","LN"&amp;TEXT(ROW()-2,"0000"))</f>
        <v/>
      </c>
      <c r="B641" s="26" t="n"/>
      <c r="C641" s="27">
        <f>IFERROR(IF(B641="","",VLOOKUP(B641,DATABASE!$A:$B,2,0)),"")</f>
        <v/>
      </c>
      <c r="D641" s="29" t="n"/>
      <c r="E641" s="40">
        <f>IF(B641="","",TODAY())</f>
        <v/>
      </c>
      <c r="F641" s="30" t="n"/>
      <c r="G641" s="41" t="n"/>
      <c r="H641" s="42" t="n"/>
      <c r="I641" s="43">
        <f>IFERROR(IF(OR(D641="",G641="",H641=""),"",ABS(PMT(G641/100/12,H641,D641))),"")</f>
        <v/>
      </c>
      <c r="J641" s="44">
        <f>IF(B641="","","Active")</f>
        <v/>
      </c>
    </row>
    <row r="642" ht="20" customHeight="1">
      <c r="A642" s="39">
        <f>IF(B642="","","LN"&amp;TEXT(ROW()-2,"0000"))</f>
        <v/>
      </c>
      <c r="B642" s="26" t="n"/>
      <c r="C642" s="45">
        <f>IFERROR(IF(B642="","",VLOOKUP(B642,DATABASE!$A:$B,2,0)),"")</f>
        <v/>
      </c>
      <c r="D642" s="29" t="n"/>
      <c r="E642" s="40">
        <f>IF(B642="","",TODAY())</f>
        <v/>
      </c>
      <c r="F642" s="30" t="n"/>
      <c r="G642" s="41" t="n"/>
      <c r="H642" s="42" t="n"/>
      <c r="I642" s="43">
        <f>IFERROR(IF(OR(D642="",G642="",H642=""),"",ABS(PMT(G642/100/12,H642,D642))),"")</f>
        <v/>
      </c>
      <c r="J642" s="44">
        <f>IF(B642="","","Active")</f>
        <v/>
      </c>
    </row>
    <row r="643" ht="20" customHeight="1">
      <c r="A643" s="39">
        <f>IF(B643="","","LN"&amp;TEXT(ROW()-2,"0000"))</f>
        <v/>
      </c>
      <c r="B643" s="26" t="n"/>
      <c r="C643" s="27">
        <f>IFERROR(IF(B643="","",VLOOKUP(B643,DATABASE!$A:$B,2,0)),"")</f>
        <v/>
      </c>
      <c r="D643" s="29" t="n"/>
      <c r="E643" s="40">
        <f>IF(B643="","",TODAY())</f>
        <v/>
      </c>
      <c r="F643" s="30" t="n"/>
      <c r="G643" s="41" t="n"/>
      <c r="H643" s="42" t="n"/>
      <c r="I643" s="43">
        <f>IFERROR(IF(OR(D643="",G643="",H643=""),"",ABS(PMT(G643/100/12,H643,D643))),"")</f>
        <v/>
      </c>
      <c r="J643" s="44">
        <f>IF(B643="","","Active")</f>
        <v/>
      </c>
    </row>
    <row r="644" ht="20" customHeight="1">
      <c r="A644" s="39">
        <f>IF(B644="","","LN"&amp;TEXT(ROW()-2,"0000"))</f>
        <v/>
      </c>
      <c r="B644" s="26" t="n"/>
      <c r="C644" s="45">
        <f>IFERROR(IF(B644="","",VLOOKUP(B644,DATABASE!$A:$B,2,0)),"")</f>
        <v/>
      </c>
      <c r="D644" s="29" t="n"/>
      <c r="E644" s="40">
        <f>IF(B644="","",TODAY())</f>
        <v/>
      </c>
      <c r="F644" s="30" t="n"/>
      <c r="G644" s="41" t="n"/>
      <c r="H644" s="42" t="n"/>
      <c r="I644" s="43">
        <f>IFERROR(IF(OR(D644="",G644="",H644=""),"",ABS(PMT(G644/100/12,H644,D644))),"")</f>
        <v/>
      </c>
      <c r="J644" s="44">
        <f>IF(B644="","","Active")</f>
        <v/>
      </c>
    </row>
    <row r="645" ht="20" customHeight="1">
      <c r="A645" s="39">
        <f>IF(B645="","","LN"&amp;TEXT(ROW()-2,"0000"))</f>
        <v/>
      </c>
      <c r="B645" s="26" t="n"/>
      <c r="C645" s="27">
        <f>IFERROR(IF(B645="","",VLOOKUP(B645,DATABASE!$A:$B,2,0)),"")</f>
        <v/>
      </c>
      <c r="D645" s="29" t="n"/>
      <c r="E645" s="40">
        <f>IF(B645="","",TODAY())</f>
        <v/>
      </c>
      <c r="F645" s="30" t="n"/>
      <c r="G645" s="41" t="n"/>
      <c r="H645" s="42" t="n"/>
      <c r="I645" s="43">
        <f>IFERROR(IF(OR(D645="",G645="",H645=""),"",ABS(PMT(G645/100/12,H645,D645))),"")</f>
        <v/>
      </c>
      <c r="J645" s="44">
        <f>IF(B645="","","Active")</f>
        <v/>
      </c>
    </row>
    <row r="646" ht="20" customHeight="1">
      <c r="A646" s="39">
        <f>IF(B646="","","LN"&amp;TEXT(ROW()-2,"0000"))</f>
        <v/>
      </c>
      <c r="B646" s="26" t="n"/>
      <c r="C646" s="45">
        <f>IFERROR(IF(B646="","",VLOOKUP(B646,DATABASE!$A:$B,2,0)),"")</f>
        <v/>
      </c>
      <c r="D646" s="29" t="n"/>
      <c r="E646" s="40">
        <f>IF(B646="","",TODAY())</f>
        <v/>
      </c>
      <c r="F646" s="30" t="n"/>
      <c r="G646" s="41" t="n"/>
      <c r="H646" s="42" t="n"/>
      <c r="I646" s="43">
        <f>IFERROR(IF(OR(D646="",G646="",H646=""),"",ABS(PMT(G646/100/12,H646,D646))),"")</f>
        <v/>
      </c>
      <c r="J646" s="44">
        <f>IF(B646="","","Active")</f>
        <v/>
      </c>
    </row>
    <row r="647" ht="20" customHeight="1">
      <c r="A647" s="39">
        <f>IF(B647="","","LN"&amp;TEXT(ROW()-2,"0000"))</f>
        <v/>
      </c>
      <c r="B647" s="26" t="n"/>
      <c r="C647" s="27">
        <f>IFERROR(IF(B647="","",VLOOKUP(B647,DATABASE!$A:$B,2,0)),"")</f>
        <v/>
      </c>
      <c r="D647" s="29" t="n"/>
      <c r="E647" s="40">
        <f>IF(B647="","",TODAY())</f>
        <v/>
      </c>
      <c r="F647" s="30" t="n"/>
      <c r="G647" s="41" t="n"/>
      <c r="H647" s="42" t="n"/>
      <c r="I647" s="43">
        <f>IFERROR(IF(OR(D647="",G647="",H647=""),"",ABS(PMT(G647/100/12,H647,D647))),"")</f>
        <v/>
      </c>
      <c r="J647" s="44">
        <f>IF(B647="","","Active")</f>
        <v/>
      </c>
    </row>
    <row r="648" ht="20" customHeight="1">
      <c r="A648" s="39">
        <f>IF(B648="","","LN"&amp;TEXT(ROW()-2,"0000"))</f>
        <v/>
      </c>
      <c r="B648" s="26" t="n"/>
      <c r="C648" s="45">
        <f>IFERROR(IF(B648="","",VLOOKUP(B648,DATABASE!$A:$B,2,0)),"")</f>
        <v/>
      </c>
      <c r="D648" s="29" t="n"/>
      <c r="E648" s="40">
        <f>IF(B648="","",TODAY())</f>
        <v/>
      </c>
      <c r="F648" s="30" t="n"/>
      <c r="G648" s="41" t="n"/>
      <c r="H648" s="42" t="n"/>
      <c r="I648" s="43">
        <f>IFERROR(IF(OR(D648="",G648="",H648=""),"",ABS(PMT(G648/100/12,H648,D648))),"")</f>
        <v/>
      </c>
      <c r="J648" s="44">
        <f>IF(B648="","","Active")</f>
        <v/>
      </c>
    </row>
    <row r="649" ht="20" customHeight="1">
      <c r="A649" s="39">
        <f>IF(B649="","","LN"&amp;TEXT(ROW()-2,"0000"))</f>
        <v/>
      </c>
      <c r="B649" s="26" t="n"/>
      <c r="C649" s="27">
        <f>IFERROR(IF(B649="","",VLOOKUP(B649,DATABASE!$A:$B,2,0)),"")</f>
        <v/>
      </c>
      <c r="D649" s="29" t="n"/>
      <c r="E649" s="40">
        <f>IF(B649="","",TODAY())</f>
        <v/>
      </c>
      <c r="F649" s="30" t="n"/>
      <c r="G649" s="41" t="n"/>
      <c r="H649" s="42" t="n"/>
      <c r="I649" s="43">
        <f>IFERROR(IF(OR(D649="",G649="",H649=""),"",ABS(PMT(G649/100/12,H649,D649))),"")</f>
        <v/>
      </c>
      <c r="J649" s="44">
        <f>IF(B649="","","Active")</f>
        <v/>
      </c>
    </row>
    <row r="650" ht="20" customHeight="1">
      <c r="A650" s="39">
        <f>IF(B650="","","LN"&amp;TEXT(ROW()-2,"0000"))</f>
        <v/>
      </c>
      <c r="B650" s="26" t="n"/>
      <c r="C650" s="45">
        <f>IFERROR(IF(B650="","",VLOOKUP(B650,DATABASE!$A:$B,2,0)),"")</f>
        <v/>
      </c>
      <c r="D650" s="29" t="n"/>
      <c r="E650" s="40">
        <f>IF(B650="","",TODAY())</f>
        <v/>
      </c>
      <c r="F650" s="30" t="n"/>
      <c r="G650" s="41" t="n"/>
      <c r="H650" s="42" t="n"/>
      <c r="I650" s="43">
        <f>IFERROR(IF(OR(D650="",G650="",H650=""),"",ABS(PMT(G650/100/12,H650,D650))),"")</f>
        <v/>
      </c>
      <c r="J650" s="44">
        <f>IF(B650="","","Active")</f>
        <v/>
      </c>
    </row>
    <row r="651" ht="20" customHeight="1">
      <c r="A651" s="39">
        <f>IF(B651="","","LN"&amp;TEXT(ROW()-2,"0000"))</f>
        <v/>
      </c>
      <c r="B651" s="26" t="n"/>
      <c r="C651" s="27">
        <f>IFERROR(IF(B651="","",VLOOKUP(B651,DATABASE!$A:$B,2,0)),"")</f>
        <v/>
      </c>
      <c r="D651" s="29" t="n"/>
      <c r="E651" s="40">
        <f>IF(B651="","",TODAY())</f>
        <v/>
      </c>
      <c r="F651" s="30" t="n"/>
      <c r="G651" s="41" t="n"/>
      <c r="H651" s="42" t="n"/>
      <c r="I651" s="43">
        <f>IFERROR(IF(OR(D651="",G651="",H651=""),"",ABS(PMT(G651/100/12,H651,D651))),"")</f>
        <v/>
      </c>
      <c r="J651" s="44">
        <f>IF(B651="","","Active")</f>
        <v/>
      </c>
    </row>
    <row r="652" ht="20" customHeight="1">
      <c r="A652" s="39">
        <f>IF(B652="","","LN"&amp;TEXT(ROW()-2,"0000"))</f>
        <v/>
      </c>
      <c r="B652" s="26" t="n"/>
      <c r="C652" s="45">
        <f>IFERROR(IF(B652="","",VLOOKUP(B652,DATABASE!$A:$B,2,0)),"")</f>
        <v/>
      </c>
      <c r="D652" s="29" t="n"/>
      <c r="E652" s="40">
        <f>IF(B652="","",TODAY())</f>
        <v/>
      </c>
      <c r="F652" s="30" t="n"/>
      <c r="G652" s="41" t="n"/>
      <c r="H652" s="42" t="n"/>
      <c r="I652" s="43">
        <f>IFERROR(IF(OR(D652="",G652="",H652=""),"",ABS(PMT(G652/100/12,H652,D652))),"")</f>
        <v/>
      </c>
      <c r="J652" s="44">
        <f>IF(B652="","","Active")</f>
        <v/>
      </c>
    </row>
    <row r="653" ht="20" customHeight="1">
      <c r="A653" s="39">
        <f>IF(B653="","","LN"&amp;TEXT(ROW()-2,"0000"))</f>
        <v/>
      </c>
      <c r="B653" s="26" t="n"/>
      <c r="C653" s="27">
        <f>IFERROR(IF(B653="","",VLOOKUP(B653,DATABASE!$A:$B,2,0)),"")</f>
        <v/>
      </c>
      <c r="D653" s="29" t="n"/>
      <c r="E653" s="40">
        <f>IF(B653="","",TODAY())</f>
        <v/>
      </c>
      <c r="F653" s="30" t="n"/>
      <c r="G653" s="41" t="n"/>
      <c r="H653" s="42" t="n"/>
      <c r="I653" s="43">
        <f>IFERROR(IF(OR(D653="",G653="",H653=""),"",ABS(PMT(G653/100/12,H653,D653))),"")</f>
        <v/>
      </c>
      <c r="J653" s="44">
        <f>IF(B653="","","Active")</f>
        <v/>
      </c>
    </row>
    <row r="654" ht="20" customHeight="1">
      <c r="A654" s="39">
        <f>IF(B654="","","LN"&amp;TEXT(ROW()-2,"0000"))</f>
        <v/>
      </c>
      <c r="B654" s="26" t="n"/>
      <c r="C654" s="45">
        <f>IFERROR(IF(B654="","",VLOOKUP(B654,DATABASE!$A:$B,2,0)),"")</f>
        <v/>
      </c>
      <c r="D654" s="29" t="n"/>
      <c r="E654" s="40">
        <f>IF(B654="","",TODAY())</f>
        <v/>
      </c>
      <c r="F654" s="30" t="n"/>
      <c r="G654" s="41" t="n"/>
      <c r="H654" s="42" t="n"/>
      <c r="I654" s="43">
        <f>IFERROR(IF(OR(D654="",G654="",H654=""),"",ABS(PMT(G654/100/12,H654,D654))),"")</f>
        <v/>
      </c>
      <c r="J654" s="44">
        <f>IF(B654="","","Active")</f>
        <v/>
      </c>
    </row>
    <row r="655" ht="20" customHeight="1">
      <c r="A655" s="39">
        <f>IF(B655="","","LN"&amp;TEXT(ROW()-2,"0000"))</f>
        <v/>
      </c>
      <c r="B655" s="26" t="n"/>
      <c r="C655" s="27">
        <f>IFERROR(IF(B655="","",VLOOKUP(B655,DATABASE!$A:$B,2,0)),"")</f>
        <v/>
      </c>
      <c r="D655" s="29" t="n"/>
      <c r="E655" s="40">
        <f>IF(B655="","",TODAY())</f>
        <v/>
      </c>
      <c r="F655" s="30" t="n"/>
      <c r="G655" s="41" t="n"/>
      <c r="H655" s="42" t="n"/>
      <c r="I655" s="43">
        <f>IFERROR(IF(OR(D655="",G655="",H655=""),"",ABS(PMT(G655/100/12,H655,D655))),"")</f>
        <v/>
      </c>
      <c r="J655" s="44">
        <f>IF(B655="","","Active")</f>
        <v/>
      </c>
    </row>
    <row r="656" ht="20" customHeight="1">
      <c r="A656" s="39">
        <f>IF(B656="","","LN"&amp;TEXT(ROW()-2,"0000"))</f>
        <v/>
      </c>
      <c r="B656" s="26" t="n"/>
      <c r="C656" s="45">
        <f>IFERROR(IF(B656="","",VLOOKUP(B656,DATABASE!$A:$B,2,0)),"")</f>
        <v/>
      </c>
      <c r="D656" s="29" t="n"/>
      <c r="E656" s="40">
        <f>IF(B656="","",TODAY())</f>
        <v/>
      </c>
      <c r="F656" s="30" t="n"/>
      <c r="G656" s="41" t="n"/>
      <c r="H656" s="42" t="n"/>
      <c r="I656" s="43">
        <f>IFERROR(IF(OR(D656="",G656="",H656=""),"",ABS(PMT(G656/100/12,H656,D656))),"")</f>
        <v/>
      </c>
      <c r="J656" s="44">
        <f>IF(B656="","","Active")</f>
        <v/>
      </c>
    </row>
    <row r="657" ht="20" customHeight="1">
      <c r="A657" s="39">
        <f>IF(B657="","","LN"&amp;TEXT(ROW()-2,"0000"))</f>
        <v/>
      </c>
      <c r="B657" s="26" t="n"/>
      <c r="C657" s="27">
        <f>IFERROR(IF(B657="","",VLOOKUP(B657,DATABASE!$A:$B,2,0)),"")</f>
        <v/>
      </c>
      <c r="D657" s="29" t="n"/>
      <c r="E657" s="40">
        <f>IF(B657="","",TODAY())</f>
        <v/>
      </c>
      <c r="F657" s="30" t="n"/>
      <c r="G657" s="41" t="n"/>
      <c r="H657" s="42" t="n"/>
      <c r="I657" s="43">
        <f>IFERROR(IF(OR(D657="",G657="",H657=""),"",ABS(PMT(G657/100/12,H657,D657))),"")</f>
        <v/>
      </c>
      <c r="J657" s="44">
        <f>IF(B657="","","Active")</f>
        <v/>
      </c>
    </row>
    <row r="658" ht="20" customHeight="1">
      <c r="A658" s="39">
        <f>IF(B658="","","LN"&amp;TEXT(ROW()-2,"0000"))</f>
        <v/>
      </c>
      <c r="B658" s="26" t="n"/>
      <c r="C658" s="45">
        <f>IFERROR(IF(B658="","",VLOOKUP(B658,DATABASE!$A:$B,2,0)),"")</f>
        <v/>
      </c>
      <c r="D658" s="29" t="n"/>
      <c r="E658" s="40">
        <f>IF(B658="","",TODAY())</f>
        <v/>
      </c>
      <c r="F658" s="30" t="n"/>
      <c r="G658" s="41" t="n"/>
      <c r="H658" s="42" t="n"/>
      <c r="I658" s="43">
        <f>IFERROR(IF(OR(D658="",G658="",H658=""),"",ABS(PMT(G658/100/12,H658,D658))),"")</f>
        <v/>
      </c>
      <c r="J658" s="44">
        <f>IF(B658="","","Active")</f>
        <v/>
      </c>
    </row>
    <row r="659" ht="20" customHeight="1">
      <c r="A659" s="39">
        <f>IF(B659="","","LN"&amp;TEXT(ROW()-2,"0000"))</f>
        <v/>
      </c>
      <c r="B659" s="26" t="n"/>
      <c r="C659" s="27">
        <f>IFERROR(IF(B659="","",VLOOKUP(B659,DATABASE!$A:$B,2,0)),"")</f>
        <v/>
      </c>
      <c r="D659" s="29" t="n"/>
      <c r="E659" s="40">
        <f>IF(B659="","",TODAY())</f>
        <v/>
      </c>
      <c r="F659" s="30" t="n"/>
      <c r="G659" s="41" t="n"/>
      <c r="H659" s="42" t="n"/>
      <c r="I659" s="43">
        <f>IFERROR(IF(OR(D659="",G659="",H659=""),"",ABS(PMT(G659/100/12,H659,D659))),"")</f>
        <v/>
      </c>
      <c r="J659" s="44">
        <f>IF(B659="","","Active")</f>
        <v/>
      </c>
    </row>
    <row r="660" ht="20" customHeight="1">
      <c r="A660" s="39">
        <f>IF(B660="","","LN"&amp;TEXT(ROW()-2,"0000"))</f>
        <v/>
      </c>
      <c r="B660" s="26" t="n"/>
      <c r="C660" s="45">
        <f>IFERROR(IF(B660="","",VLOOKUP(B660,DATABASE!$A:$B,2,0)),"")</f>
        <v/>
      </c>
      <c r="D660" s="29" t="n"/>
      <c r="E660" s="40">
        <f>IF(B660="","",TODAY())</f>
        <v/>
      </c>
      <c r="F660" s="30" t="n"/>
      <c r="G660" s="41" t="n"/>
      <c r="H660" s="42" t="n"/>
      <c r="I660" s="43">
        <f>IFERROR(IF(OR(D660="",G660="",H660=""),"",ABS(PMT(G660/100/12,H660,D660))),"")</f>
        <v/>
      </c>
      <c r="J660" s="44">
        <f>IF(B660="","","Active")</f>
        <v/>
      </c>
    </row>
    <row r="661" ht="20" customHeight="1">
      <c r="A661" s="39">
        <f>IF(B661="","","LN"&amp;TEXT(ROW()-2,"0000"))</f>
        <v/>
      </c>
      <c r="B661" s="26" t="n"/>
      <c r="C661" s="27">
        <f>IFERROR(IF(B661="","",VLOOKUP(B661,DATABASE!$A:$B,2,0)),"")</f>
        <v/>
      </c>
      <c r="D661" s="29" t="n"/>
      <c r="E661" s="40">
        <f>IF(B661="","",TODAY())</f>
        <v/>
      </c>
      <c r="F661" s="30" t="n"/>
      <c r="G661" s="41" t="n"/>
      <c r="H661" s="42" t="n"/>
      <c r="I661" s="43">
        <f>IFERROR(IF(OR(D661="",G661="",H661=""),"",ABS(PMT(G661/100/12,H661,D661))),"")</f>
        <v/>
      </c>
      <c r="J661" s="44">
        <f>IF(B661="","","Active")</f>
        <v/>
      </c>
    </row>
    <row r="662" ht="20" customHeight="1">
      <c r="A662" s="39">
        <f>IF(B662="","","LN"&amp;TEXT(ROW()-2,"0000"))</f>
        <v/>
      </c>
      <c r="B662" s="26" t="n"/>
      <c r="C662" s="45">
        <f>IFERROR(IF(B662="","",VLOOKUP(B662,DATABASE!$A:$B,2,0)),"")</f>
        <v/>
      </c>
      <c r="D662" s="29" t="n"/>
      <c r="E662" s="40">
        <f>IF(B662="","",TODAY())</f>
        <v/>
      </c>
      <c r="F662" s="30" t="n"/>
      <c r="G662" s="41" t="n"/>
      <c r="H662" s="42" t="n"/>
      <c r="I662" s="43">
        <f>IFERROR(IF(OR(D662="",G662="",H662=""),"",ABS(PMT(G662/100/12,H662,D662))),"")</f>
        <v/>
      </c>
      <c r="J662" s="44">
        <f>IF(B662="","","Active")</f>
        <v/>
      </c>
    </row>
    <row r="663" ht="20" customHeight="1">
      <c r="A663" s="39">
        <f>IF(B663="","","LN"&amp;TEXT(ROW()-2,"0000"))</f>
        <v/>
      </c>
      <c r="B663" s="26" t="n"/>
      <c r="C663" s="27">
        <f>IFERROR(IF(B663="","",VLOOKUP(B663,DATABASE!$A:$B,2,0)),"")</f>
        <v/>
      </c>
      <c r="D663" s="29" t="n"/>
      <c r="E663" s="40">
        <f>IF(B663="","",TODAY())</f>
        <v/>
      </c>
      <c r="F663" s="30" t="n"/>
      <c r="G663" s="41" t="n"/>
      <c r="H663" s="42" t="n"/>
      <c r="I663" s="43">
        <f>IFERROR(IF(OR(D663="",G663="",H663=""),"",ABS(PMT(G663/100/12,H663,D663))),"")</f>
        <v/>
      </c>
      <c r="J663" s="44">
        <f>IF(B663="","","Active")</f>
        <v/>
      </c>
    </row>
    <row r="664" ht="20" customHeight="1">
      <c r="A664" s="39">
        <f>IF(B664="","","LN"&amp;TEXT(ROW()-2,"0000"))</f>
        <v/>
      </c>
      <c r="B664" s="26" t="n"/>
      <c r="C664" s="45">
        <f>IFERROR(IF(B664="","",VLOOKUP(B664,DATABASE!$A:$B,2,0)),"")</f>
        <v/>
      </c>
      <c r="D664" s="29" t="n"/>
      <c r="E664" s="40">
        <f>IF(B664="","",TODAY())</f>
        <v/>
      </c>
      <c r="F664" s="30" t="n"/>
      <c r="G664" s="41" t="n"/>
      <c r="H664" s="42" t="n"/>
      <c r="I664" s="43">
        <f>IFERROR(IF(OR(D664="",G664="",H664=""),"",ABS(PMT(G664/100/12,H664,D664))),"")</f>
        <v/>
      </c>
      <c r="J664" s="44">
        <f>IF(B664="","","Active")</f>
        <v/>
      </c>
    </row>
    <row r="665" ht="20" customHeight="1">
      <c r="A665" s="39">
        <f>IF(B665="","","LN"&amp;TEXT(ROW()-2,"0000"))</f>
        <v/>
      </c>
      <c r="B665" s="26" t="n"/>
      <c r="C665" s="27">
        <f>IFERROR(IF(B665="","",VLOOKUP(B665,DATABASE!$A:$B,2,0)),"")</f>
        <v/>
      </c>
      <c r="D665" s="29" t="n"/>
      <c r="E665" s="40">
        <f>IF(B665="","",TODAY())</f>
        <v/>
      </c>
      <c r="F665" s="30" t="n"/>
      <c r="G665" s="41" t="n"/>
      <c r="H665" s="42" t="n"/>
      <c r="I665" s="43">
        <f>IFERROR(IF(OR(D665="",G665="",H665=""),"",ABS(PMT(G665/100/12,H665,D665))),"")</f>
        <v/>
      </c>
      <c r="J665" s="44">
        <f>IF(B665="","","Active")</f>
        <v/>
      </c>
    </row>
    <row r="666" ht="20" customHeight="1">
      <c r="A666" s="39">
        <f>IF(B666="","","LN"&amp;TEXT(ROW()-2,"0000"))</f>
        <v/>
      </c>
      <c r="B666" s="26" t="n"/>
      <c r="C666" s="45">
        <f>IFERROR(IF(B666="","",VLOOKUP(B666,DATABASE!$A:$B,2,0)),"")</f>
        <v/>
      </c>
      <c r="D666" s="29" t="n"/>
      <c r="E666" s="40">
        <f>IF(B666="","",TODAY())</f>
        <v/>
      </c>
      <c r="F666" s="30" t="n"/>
      <c r="G666" s="41" t="n"/>
      <c r="H666" s="42" t="n"/>
      <c r="I666" s="43">
        <f>IFERROR(IF(OR(D666="",G666="",H666=""),"",ABS(PMT(G666/100/12,H666,D666))),"")</f>
        <v/>
      </c>
      <c r="J666" s="44">
        <f>IF(B666="","","Active")</f>
        <v/>
      </c>
    </row>
    <row r="667" ht="20" customHeight="1">
      <c r="A667" s="39">
        <f>IF(B667="","","LN"&amp;TEXT(ROW()-2,"0000"))</f>
        <v/>
      </c>
      <c r="B667" s="26" t="n"/>
      <c r="C667" s="27">
        <f>IFERROR(IF(B667="","",VLOOKUP(B667,DATABASE!$A:$B,2,0)),"")</f>
        <v/>
      </c>
      <c r="D667" s="29" t="n"/>
      <c r="E667" s="40">
        <f>IF(B667="","",TODAY())</f>
        <v/>
      </c>
      <c r="F667" s="30" t="n"/>
      <c r="G667" s="41" t="n"/>
      <c r="H667" s="42" t="n"/>
      <c r="I667" s="43">
        <f>IFERROR(IF(OR(D667="",G667="",H667=""),"",ABS(PMT(G667/100/12,H667,D667))),"")</f>
        <v/>
      </c>
      <c r="J667" s="44">
        <f>IF(B667="","","Active")</f>
        <v/>
      </c>
    </row>
    <row r="668" ht="20" customHeight="1">
      <c r="A668" s="39">
        <f>IF(B668="","","LN"&amp;TEXT(ROW()-2,"0000"))</f>
        <v/>
      </c>
      <c r="B668" s="26" t="n"/>
      <c r="C668" s="45">
        <f>IFERROR(IF(B668="","",VLOOKUP(B668,DATABASE!$A:$B,2,0)),"")</f>
        <v/>
      </c>
      <c r="D668" s="29" t="n"/>
      <c r="E668" s="40">
        <f>IF(B668="","",TODAY())</f>
        <v/>
      </c>
      <c r="F668" s="30" t="n"/>
      <c r="G668" s="41" t="n"/>
      <c r="H668" s="42" t="n"/>
      <c r="I668" s="43">
        <f>IFERROR(IF(OR(D668="",G668="",H668=""),"",ABS(PMT(G668/100/12,H668,D668))),"")</f>
        <v/>
      </c>
      <c r="J668" s="44">
        <f>IF(B668="","","Active")</f>
        <v/>
      </c>
    </row>
    <row r="669" ht="20" customHeight="1">
      <c r="A669" s="39">
        <f>IF(B669="","","LN"&amp;TEXT(ROW()-2,"0000"))</f>
        <v/>
      </c>
      <c r="B669" s="26" t="n"/>
      <c r="C669" s="27">
        <f>IFERROR(IF(B669="","",VLOOKUP(B669,DATABASE!$A:$B,2,0)),"")</f>
        <v/>
      </c>
      <c r="D669" s="29" t="n"/>
      <c r="E669" s="40">
        <f>IF(B669="","",TODAY())</f>
        <v/>
      </c>
      <c r="F669" s="30" t="n"/>
      <c r="G669" s="41" t="n"/>
      <c r="H669" s="42" t="n"/>
      <c r="I669" s="43">
        <f>IFERROR(IF(OR(D669="",G669="",H669=""),"",ABS(PMT(G669/100/12,H669,D669))),"")</f>
        <v/>
      </c>
      <c r="J669" s="44">
        <f>IF(B669="","","Active")</f>
        <v/>
      </c>
    </row>
    <row r="670" ht="20" customHeight="1">
      <c r="A670" s="39">
        <f>IF(B670="","","LN"&amp;TEXT(ROW()-2,"0000"))</f>
        <v/>
      </c>
      <c r="B670" s="26" t="n"/>
      <c r="C670" s="45">
        <f>IFERROR(IF(B670="","",VLOOKUP(B670,DATABASE!$A:$B,2,0)),"")</f>
        <v/>
      </c>
      <c r="D670" s="29" t="n"/>
      <c r="E670" s="40">
        <f>IF(B670="","",TODAY())</f>
        <v/>
      </c>
      <c r="F670" s="30" t="n"/>
      <c r="G670" s="41" t="n"/>
      <c r="H670" s="42" t="n"/>
      <c r="I670" s="43">
        <f>IFERROR(IF(OR(D670="",G670="",H670=""),"",ABS(PMT(G670/100/12,H670,D670))),"")</f>
        <v/>
      </c>
      <c r="J670" s="44">
        <f>IF(B670="","","Active")</f>
        <v/>
      </c>
    </row>
    <row r="671" ht="20" customHeight="1">
      <c r="A671" s="39">
        <f>IF(B671="","","LN"&amp;TEXT(ROW()-2,"0000"))</f>
        <v/>
      </c>
      <c r="B671" s="26" t="n"/>
      <c r="C671" s="27">
        <f>IFERROR(IF(B671="","",VLOOKUP(B671,DATABASE!$A:$B,2,0)),"")</f>
        <v/>
      </c>
      <c r="D671" s="29" t="n"/>
      <c r="E671" s="40">
        <f>IF(B671="","",TODAY())</f>
        <v/>
      </c>
      <c r="F671" s="30" t="n"/>
      <c r="G671" s="41" t="n"/>
      <c r="H671" s="42" t="n"/>
      <c r="I671" s="43">
        <f>IFERROR(IF(OR(D671="",G671="",H671=""),"",ABS(PMT(G671/100/12,H671,D671))),"")</f>
        <v/>
      </c>
      <c r="J671" s="44">
        <f>IF(B671="","","Active")</f>
        <v/>
      </c>
    </row>
    <row r="672" ht="20" customHeight="1">
      <c r="A672" s="39">
        <f>IF(B672="","","LN"&amp;TEXT(ROW()-2,"0000"))</f>
        <v/>
      </c>
      <c r="B672" s="26" t="n"/>
      <c r="C672" s="45">
        <f>IFERROR(IF(B672="","",VLOOKUP(B672,DATABASE!$A:$B,2,0)),"")</f>
        <v/>
      </c>
      <c r="D672" s="29" t="n"/>
      <c r="E672" s="40">
        <f>IF(B672="","",TODAY())</f>
        <v/>
      </c>
      <c r="F672" s="30" t="n"/>
      <c r="G672" s="41" t="n"/>
      <c r="H672" s="42" t="n"/>
      <c r="I672" s="43">
        <f>IFERROR(IF(OR(D672="",G672="",H672=""),"",ABS(PMT(G672/100/12,H672,D672))),"")</f>
        <v/>
      </c>
      <c r="J672" s="44">
        <f>IF(B672="","","Active")</f>
        <v/>
      </c>
    </row>
    <row r="673" ht="20" customHeight="1">
      <c r="A673" s="39">
        <f>IF(B673="","","LN"&amp;TEXT(ROW()-2,"0000"))</f>
        <v/>
      </c>
      <c r="B673" s="26" t="n"/>
      <c r="C673" s="27">
        <f>IFERROR(IF(B673="","",VLOOKUP(B673,DATABASE!$A:$B,2,0)),"")</f>
        <v/>
      </c>
      <c r="D673" s="29" t="n"/>
      <c r="E673" s="40">
        <f>IF(B673="","",TODAY())</f>
        <v/>
      </c>
      <c r="F673" s="30" t="n"/>
      <c r="G673" s="41" t="n"/>
      <c r="H673" s="42" t="n"/>
      <c r="I673" s="43">
        <f>IFERROR(IF(OR(D673="",G673="",H673=""),"",ABS(PMT(G673/100/12,H673,D673))),"")</f>
        <v/>
      </c>
      <c r="J673" s="44">
        <f>IF(B673="","","Active")</f>
        <v/>
      </c>
    </row>
    <row r="674" ht="20" customHeight="1">
      <c r="A674" s="39">
        <f>IF(B674="","","LN"&amp;TEXT(ROW()-2,"0000"))</f>
        <v/>
      </c>
      <c r="B674" s="26" t="n"/>
      <c r="C674" s="45">
        <f>IFERROR(IF(B674="","",VLOOKUP(B674,DATABASE!$A:$B,2,0)),"")</f>
        <v/>
      </c>
      <c r="D674" s="29" t="n"/>
      <c r="E674" s="40">
        <f>IF(B674="","",TODAY())</f>
        <v/>
      </c>
      <c r="F674" s="30" t="n"/>
      <c r="G674" s="41" t="n"/>
      <c r="H674" s="42" t="n"/>
      <c r="I674" s="43">
        <f>IFERROR(IF(OR(D674="",G674="",H674=""),"",ABS(PMT(G674/100/12,H674,D674))),"")</f>
        <v/>
      </c>
      <c r="J674" s="44">
        <f>IF(B674="","","Active")</f>
        <v/>
      </c>
    </row>
    <row r="675" ht="20" customHeight="1">
      <c r="A675" s="39">
        <f>IF(B675="","","LN"&amp;TEXT(ROW()-2,"0000"))</f>
        <v/>
      </c>
      <c r="B675" s="26" t="n"/>
      <c r="C675" s="27">
        <f>IFERROR(IF(B675="","",VLOOKUP(B675,DATABASE!$A:$B,2,0)),"")</f>
        <v/>
      </c>
      <c r="D675" s="29" t="n"/>
      <c r="E675" s="40">
        <f>IF(B675="","",TODAY())</f>
        <v/>
      </c>
      <c r="F675" s="30" t="n"/>
      <c r="G675" s="41" t="n"/>
      <c r="H675" s="42" t="n"/>
      <c r="I675" s="43">
        <f>IFERROR(IF(OR(D675="",G675="",H675=""),"",ABS(PMT(G675/100/12,H675,D675))),"")</f>
        <v/>
      </c>
      <c r="J675" s="44">
        <f>IF(B675="","","Active")</f>
        <v/>
      </c>
    </row>
    <row r="676" ht="20" customHeight="1">
      <c r="A676" s="39">
        <f>IF(B676="","","LN"&amp;TEXT(ROW()-2,"0000"))</f>
        <v/>
      </c>
      <c r="B676" s="26" t="n"/>
      <c r="C676" s="45">
        <f>IFERROR(IF(B676="","",VLOOKUP(B676,DATABASE!$A:$B,2,0)),"")</f>
        <v/>
      </c>
      <c r="D676" s="29" t="n"/>
      <c r="E676" s="40">
        <f>IF(B676="","",TODAY())</f>
        <v/>
      </c>
      <c r="F676" s="30" t="n"/>
      <c r="G676" s="41" t="n"/>
      <c r="H676" s="42" t="n"/>
      <c r="I676" s="43">
        <f>IFERROR(IF(OR(D676="",G676="",H676=""),"",ABS(PMT(G676/100/12,H676,D676))),"")</f>
        <v/>
      </c>
      <c r="J676" s="44">
        <f>IF(B676="","","Active")</f>
        <v/>
      </c>
    </row>
    <row r="677" ht="20" customHeight="1">
      <c r="A677" s="39">
        <f>IF(B677="","","LN"&amp;TEXT(ROW()-2,"0000"))</f>
        <v/>
      </c>
      <c r="B677" s="26" t="n"/>
      <c r="C677" s="27">
        <f>IFERROR(IF(B677="","",VLOOKUP(B677,DATABASE!$A:$B,2,0)),"")</f>
        <v/>
      </c>
      <c r="D677" s="29" t="n"/>
      <c r="E677" s="40">
        <f>IF(B677="","",TODAY())</f>
        <v/>
      </c>
      <c r="F677" s="30" t="n"/>
      <c r="G677" s="41" t="n"/>
      <c r="H677" s="42" t="n"/>
      <c r="I677" s="43">
        <f>IFERROR(IF(OR(D677="",G677="",H677=""),"",ABS(PMT(G677/100/12,H677,D677))),"")</f>
        <v/>
      </c>
      <c r="J677" s="44">
        <f>IF(B677="","","Active")</f>
        <v/>
      </c>
    </row>
    <row r="678" ht="20" customHeight="1">
      <c r="A678" s="39">
        <f>IF(B678="","","LN"&amp;TEXT(ROW()-2,"0000"))</f>
        <v/>
      </c>
      <c r="B678" s="26" t="n"/>
      <c r="C678" s="45">
        <f>IFERROR(IF(B678="","",VLOOKUP(B678,DATABASE!$A:$B,2,0)),"")</f>
        <v/>
      </c>
      <c r="D678" s="29" t="n"/>
      <c r="E678" s="40">
        <f>IF(B678="","",TODAY())</f>
        <v/>
      </c>
      <c r="F678" s="30" t="n"/>
      <c r="G678" s="41" t="n"/>
      <c r="H678" s="42" t="n"/>
      <c r="I678" s="43">
        <f>IFERROR(IF(OR(D678="",G678="",H678=""),"",ABS(PMT(G678/100/12,H678,D678))),"")</f>
        <v/>
      </c>
      <c r="J678" s="44">
        <f>IF(B678="","","Active")</f>
        <v/>
      </c>
    </row>
    <row r="679" ht="20" customHeight="1">
      <c r="A679" s="39">
        <f>IF(B679="","","LN"&amp;TEXT(ROW()-2,"0000"))</f>
        <v/>
      </c>
      <c r="B679" s="26" t="n"/>
      <c r="C679" s="27">
        <f>IFERROR(IF(B679="","",VLOOKUP(B679,DATABASE!$A:$B,2,0)),"")</f>
        <v/>
      </c>
      <c r="D679" s="29" t="n"/>
      <c r="E679" s="40">
        <f>IF(B679="","",TODAY())</f>
        <v/>
      </c>
      <c r="F679" s="30" t="n"/>
      <c r="G679" s="41" t="n"/>
      <c r="H679" s="42" t="n"/>
      <c r="I679" s="43">
        <f>IFERROR(IF(OR(D679="",G679="",H679=""),"",ABS(PMT(G679/100/12,H679,D679))),"")</f>
        <v/>
      </c>
      <c r="J679" s="44">
        <f>IF(B679="","","Active")</f>
        <v/>
      </c>
    </row>
    <row r="680" ht="20" customHeight="1">
      <c r="A680" s="39">
        <f>IF(B680="","","LN"&amp;TEXT(ROW()-2,"0000"))</f>
        <v/>
      </c>
      <c r="B680" s="26" t="n"/>
      <c r="C680" s="45">
        <f>IFERROR(IF(B680="","",VLOOKUP(B680,DATABASE!$A:$B,2,0)),"")</f>
        <v/>
      </c>
      <c r="D680" s="29" t="n"/>
      <c r="E680" s="40">
        <f>IF(B680="","",TODAY())</f>
        <v/>
      </c>
      <c r="F680" s="30" t="n"/>
      <c r="G680" s="41" t="n"/>
      <c r="H680" s="42" t="n"/>
      <c r="I680" s="43">
        <f>IFERROR(IF(OR(D680="",G680="",H680=""),"",ABS(PMT(G680/100/12,H680,D680))),"")</f>
        <v/>
      </c>
      <c r="J680" s="44">
        <f>IF(B680="","","Active")</f>
        <v/>
      </c>
    </row>
    <row r="681" ht="20" customHeight="1">
      <c r="A681" s="39">
        <f>IF(B681="","","LN"&amp;TEXT(ROW()-2,"0000"))</f>
        <v/>
      </c>
      <c r="B681" s="26" t="n"/>
      <c r="C681" s="27">
        <f>IFERROR(IF(B681="","",VLOOKUP(B681,DATABASE!$A:$B,2,0)),"")</f>
        <v/>
      </c>
      <c r="D681" s="29" t="n"/>
      <c r="E681" s="40">
        <f>IF(B681="","",TODAY())</f>
        <v/>
      </c>
      <c r="F681" s="30" t="n"/>
      <c r="G681" s="41" t="n"/>
      <c r="H681" s="42" t="n"/>
      <c r="I681" s="43">
        <f>IFERROR(IF(OR(D681="",G681="",H681=""),"",ABS(PMT(G681/100/12,H681,D681))),"")</f>
        <v/>
      </c>
      <c r="J681" s="44">
        <f>IF(B681="","","Active")</f>
        <v/>
      </c>
    </row>
    <row r="682" ht="20" customHeight="1">
      <c r="A682" s="39">
        <f>IF(B682="","","LN"&amp;TEXT(ROW()-2,"0000"))</f>
        <v/>
      </c>
      <c r="B682" s="26" t="n"/>
      <c r="C682" s="45">
        <f>IFERROR(IF(B682="","",VLOOKUP(B682,DATABASE!$A:$B,2,0)),"")</f>
        <v/>
      </c>
      <c r="D682" s="29" t="n"/>
      <c r="E682" s="40">
        <f>IF(B682="","",TODAY())</f>
        <v/>
      </c>
      <c r="F682" s="30" t="n"/>
      <c r="G682" s="41" t="n"/>
      <c r="H682" s="42" t="n"/>
      <c r="I682" s="43">
        <f>IFERROR(IF(OR(D682="",G682="",H682=""),"",ABS(PMT(G682/100/12,H682,D682))),"")</f>
        <v/>
      </c>
      <c r="J682" s="44">
        <f>IF(B682="","","Active")</f>
        <v/>
      </c>
    </row>
    <row r="683" ht="20" customHeight="1">
      <c r="A683" s="39">
        <f>IF(B683="","","LN"&amp;TEXT(ROW()-2,"0000"))</f>
        <v/>
      </c>
      <c r="B683" s="26" t="n"/>
      <c r="C683" s="27">
        <f>IFERROR(IF(B683="","",VLOOKUP(B683,DATABASE!$A:$B,2,0)),"")</f>
        <v/>
      </c>
      <c r="D683" s="29" t="n"/>
      <c r="E683" s="40">
        <f>IF(B683="","",TODAY())</f>
        <v/>
      </c>
      <c r="F683" s="30" t="n"/>
      <c r="G683" s="41" t="n"/>
      <c r="H683" s="42" t="n"/>
      <c r="I683" s="43">
        <f>IFERROR(IF(OR(D683="",G683="",H683=""),"",ABS(PMT(G683/100/12,H683,D683))),"")</f>
        <v/>
      </c>
      <c r="J683" s="44">
        <f>IF(B683="","","Active")</f>
        <v/>
      </c>
    </row>
    <row r="684" ht="20" customHeight="1">
      <c r="A684" s="39">
        <f>IF(B684="","","LN"&amp;TEXT(ROW()-2,"0000"))</f>
        <v/>
      </c>
      <c r="B684" s="26" t="n"/>
      <c r="C684" s="45">
        <f>IFERROR(IF(B684="","",VLOOKUP(B684,DATABASE!$A:$B,2,0)),"")</f>
        <v/>
      </c>
      <c r="D684" s="29" t="n"/>
      <c r="E684" s="40">
        <f>IF(B684="","",TODAY())</f>
        <v/>
      </c>
      <c r="F684" s="30" t="n"/>
      <c r="G684" s="41" t="n"/>
      <c r="H684" s="42" t="n"/>
      <c r="I684" s="43">
        <f>IFERROR(IF(OR(D684="",G684="",H684=""),"",ABS(PMT(G684/100/12,H684,D684))),"")</f>
        <v/>
      </c>
      <c r="J684" s="44">
        <f>IF(B684="","","Active")</f>
        <v/>
      </c>
    </row>
    <row r="685" ht="20" customHeight="1">
      <c r="A685" s="39">
        <f>IF(B685="","","LN"&amp;TEXT(ROW()-2,"0000"))</f>
        <v/>
      </c>
      <c r="B685" s="26" t="n"/>
      <c r="C685" s="27">
        <f>IFERROR(IF(B685="","",VLOOKUP(B685,DATABASE!$A:$B,2,0)),"")</f>
        <v/>
      </c>
      <c r="D685" s="29" t="n"/>
      <c r="E685" s="40">
        <f>IF(B685="","",TODAY())</f>
        <v/>
      </c>
      <c r="F685" s="30" t="n"/>
      <c r="G685" s="41" t="n"/>
      <c r="H685" s="42" t="n"/>
      <c r="I685" s="43">
        <f>IFERROR(IF(OR(D685="",G685="",H685=""),"",ABS(PMT(G685/100/12,H685,D685))),"")</f>
        <v/>
      </c>
      <c r="J685" s="44">
        <f>IF(B685="","","Active")</f>
        <v/>
      </c>
    </row>
    <row r="686" ht="20" customHeight="1">
      <c r="A686" s="39">
        <f>IF(B686="","","LN"&amp;TEXT(ROW()-2,"0000"))</f>
        <v/>
      </c>
      <c r="B686" s="26" t="n"/>
      <c r="C686" s="45">
        <f>IFERROR(IF(B686="","",VLOOKUP(B686,DATABASE!$A:$B,2,0)),"")</f>
        <v/>
      </c>
      <c r="D686" s="29" t="n"/>
      <c r="E686" s="40">
        <f>IF(B686="","",TODAY())</f>
        <v/>
      </c>
      <c r="F686" s="30" t="n"/>
      <c r="G686" s="41" t="n"/>
      <c r="H686" s="42" t="n"/>
      <c r="I686" s="43">
        <f>IFERROR(IF(OR(D686="",G686="",H686=""),"",ABS(PMT(G686/100/12,H686,D686))),"")</f>
        <v/>
      </c>
      <c r="J686" s="44">
        <f>IF(B686="","","Active")</f>
        <v/>
      </c>
    </row>
    <row r="687" ht="20" customHeight="1">
      <c r="A687" s="39">
        <f>IF(B687="","","LN"&amp;TEXT(ROW()-2,"0000"))</f>
        <v/>
      </c>
      <c r="B687" s="26" t="n"/>
      <c r="C687" s="27">
        <f>IFERROR(IF(B687="","",VLOOKUP(B687,DATABASE!$A:$B,2,0)),"")</f>
        <v/>
      </c>
      <c r="D687" s="29" t="n"/>
      <c r="E687" s="40">
        <f>IF(B687="","",TODAY())</f>
        <v/>
      </c>
      <c r="F687" s="30" t="n"/>
      <c r="G687" s="41" t="n"/>
      <c r="H687" s="42" t="n"/>
      <c r="I687" s="43">
        <f>IFERROR(IF(OR(D687="",G687="",H687=""),"",ABS(PMT(G687/100/12,H687,D687))),"")</f>
        <v/>
      </c>
      <c r="J687" s="44">
        <f>IF(B687="","","Active")</f>
        <v/>
      </c>
    </row>
    <row r="688" ht="20" customHeight="1">
      <c r="A688" s="39">
        <f>IF(B688="","","LN"&amp;TEXT(ROW()-2,"0000"))</f>
        <v/>
      </c>
      <c r="B688" s="26" t="n"/>
      <c r="C688" s="45">
        <f>IFERROR(IF(B688="","",VLOOKUP(B688,DATABASE!$A:$B,2,0)),"")</f>
        <v/>
      </c>
      <c r="D688" s="29" t="n"/>
      <c r="E688" s="40">
        <f>IF(B688="","",TODAY())</f>
        <v/>
      </c>
      <c r="F688" s="30" t="n"/>
      <c r="G688" s="41" t="n"/>
      <c r="H688" s="42" t="n"/>
      <c r="I688" s="43">
        <f>IFERROR(IF(OR(D688="",G688="",H688=""),"",ABS(PMT(G688/100/12,H688,D688))),"")</f>
        <v/>
      </c>
      <c r="J688" s="44">
        <f>IF(B688="","","Active")</f>
        <v/>
      </c>
    </row>
    <row r="689" ht="20" customHeight="1">
      <c r="A689" s="39">
        <f>IF(B689="","","LN"&amp;TEXT(ROW()-2,"0000"))</f>
        <v/>
      </c>
      <c r="B689" s="26" t="n"/>
      <c r="C689" s="27">
        <f>IFERROR(IF(B689="","",VLOOKUP(B689,DATABASE!$A:$B,2,0)),"")</f>
        <v/>
      </c>
      <c r="D689" s="29" t="n"/>
      <c r="E689" s="40">
        <f>IF(B689="","",TODAY())</f>
        <v/>
      </c>
      <c r="F689" s="30" t="n"/>
      <c r="G689" s="41" t="n"/>
      <c r="H689" s="42" t="n"/>
      <c r="I689" s="43">
        <f>IFERROR(IF(OR(D689="",G689="",H689=""),"",ABS(PMT(G689/100/12,H689,D689))),"")</f>
        <v/>
      </c>
      <c r="J689" s="44">
        <f>IF(B689="","","Active")</f>
        <v/>
      </c>
    </row>
    <row r="690" ht="20" customHeight="1">
      <c r="A690" s="39">
        <f>IF(B690="","","LN"&amp;TEXT(ROW()-2,"0000"))</f>
        <v/>
      </c>
      <c r="B690" s="26" t="n"/>
      <c r="C690" s="45">
        <f>IFERROR(IF(B690="","",VLOOKUP(B690,DATABASE!$A:$B,2,0)),"")</f>
        <v/>
      </c>
      <c r="D690" s="29" t="n"/>
      <c r="E690" s="40">
        <f>IF(B690="","",TODAY())</f>
        <v/>
      </c>
      <c r="F690" s="30" t="n"/>
      <c r="G690" s="41" t="n"/>
      <c r="H690" s="42" t="n"/>
      <c r="I690" s="43">
        <f>IFERROR(IF(OR(D690="",G690="",H690=""),"",ABS(PMT(G690/100/12,H690,D690))),"")</f>
        <v/>
      </c>
      <c r="J690" s="44">
        <f>IF(B690="","","Active")</f>
        <v/>
      </c>
    </row>
    <row r="691" ht="20" customHeight="1">
      <c r="A691" s="39">
        <f>IF(B691="","","LN"&amp;TEXT(ROW()-2,"0000"))</f>
        <v/>
      </c>
      <c r="B691" s="26" t="n"/>
      <c r="C691" s="27">
        <f>IFERROR(IF(B691="","",VLOOKUP(B691,DATABASE!$A:$B,2,0)),"")</f>
        <v/>
      </c>
      <c r="D691" s="29" t="n"/>
      <c r="E691" s="40">
        <f>IF(B691="","",TODAY())</f>
        <v/>
      </c>
      <c r="F691" s="30" t="n"/>
      <c r="G691" s="41" t="n"/>
      <c r="H691" s="42" t="n"/>
      <c r="I691" s="43">
        <f>IFERROR(IF(OR(D691="",G691="",H691=""),"",ABS(PMT(G691/100/12,H691,D691))),"")</f>
        <v/>
      </c>
      <c r="J691" s="44">
        <f>IF(B691="","","Active")</f>
        <v/>
      </c>
    </row>
    <row r="692" ht="20" customHeight="1">
      <c r="A692" s="39">
        <f>IF(B692="","","LN"&amp;TEXT(ROW()-2,"0000"))</f>
        <v/>
      </c>
      <c r="B692" s="26" t="n"/>
      <c r="C692" s="45">
        <f>IFERROR(IF(B692="","",VLOOKUP(B692,DATABASE!$A:$B,2,0)),"")</f>
        <v/>
      </c>
      <c r="D692" s="29" t="n"/>
      <c r="E692" s="40">
        <f>IF(B692="","",TODAY())</f>
        <v/>
      </c>
      <c r="F692" s="30" t="n"/>
      <c r="G692" s="41" t="n"/>
      <c r="H692" s="42" t="n"/>
      <c r="I692" s="43">
        <f>IFERROR(IF(OR(D692="",G692="",H692=""),"",ABS(PMT(G692/100/12,H692,D692))),"")</f>
        <v/>
      </c>
      <c r="J692" s="44">
        <f>IF(B692="","","Active")</f>
        <v/>
      </c>
    </row>
    <row r="693" ht="20" customHeight="1">
      <c r="A693" s="39">
        <f>IF(B693="","","LN"&amp;TEXT(ROW()-2,"0000"))</f>
        <v/>
      </c>
      <c r="B693" s="26" t="n"/>
      <c r="C693" s="27">
        <f>IFERROR(IF(B693="","",VLOOKUP(B693,DATABASE!$A:$B,2,0)),"")</f>
        <v/>
      </c>
      <c r="D693" s="29" t="n"/>
      <c r="E693" s="40">
        <f>IF(B693="","",TODAY())</f>
        <v/>
      </c>
      <c r="F693" s="30" t="n"/>
      <c r="G693" s="41" t="n"/>
      <c r="H693" s="42" t="n"/>
      <c r="I693" s="43">
        <f>IFERROR(IF(OR(D693="",G693="",H693=""),"",ABS(PMT(G693/100/12,H693,D693))),"")</f>
        <v/>
      </c>
      <c r="J693" s="44">
        <f>IF(B693="","","Active")</f>
        <v/>
      </c>
    </row>
    <row r="694" ht="20" customHeight="1">
      <c r="A694" s="39">
        <f>IF(B694="","","LN"&amp;TEXT(ROW()-2,"0000"))</f>
        <v/>
      </c>
      <c r="B694" s="26" t="n"/>
      <c r="C694" s="45">
        <f>IFERROR(IF(B694="","",VLOOKUP(B694,DATABASE!$A:$B,2,0)),"")</f>
        <v/>
      </c>
      <c r="D694" s="29" t="n"/>
      <c r="E694" s="40">
        <f>IF(B694="","",TODAY())</f>
        <v/>
      </c>
      <c r="F694" s="30" t="n"/>
      <c r="G694" s="41" t="n"/>
      <c r="H694" s="42" t="n"/>
      <c r="I694" s="43">
        <f>IFERROR(IF(OR(D694="",G694="",H694=""),"",ABS(PMT(G694/100/12,H694,D694))),"")</f>
        <v/>
      </c>
      <c r="J694" s="44">
        <f>IF(B694="","","Active")</f>
        <v/>
      </c>
    </row>
    <row r="695" ht="20" customHeight="1">
      <c r="A695" s="39">
        <f>IF(B695="","","LN"&amp;TEXT(ROW()-2,"0000"))</f>
        <v/>
      </c>
      <c r="B695" s="26" t="n"/>
      <c r="C695" s="27">
        <f>IFERROR(IF(B695="","",VLOOKUP(B695,DATABASE!$A:$B,2,0)),"")</f>
        <v/>
      </c>
      <c r="D695" s="29" t="n"/>
      <c r="E695" s="40">
        <f>IF(B695="","",TODAY())</f>
        <v/>
      </c>
      <c r="F695" s="30" t="n"/>
      <c r="G695" s="41" t="n"/>
      <c r="H695" s="42" t="n"/>
      <c r="I695" s="43">
        <f>IFERROR(IF(OR(D695="",G695="",H695=""),"",ABS(PMT(G695/100/12,H695,D695))),"")</f>
        <v/>
      </c>
      <c r="J695" s="44">
        <f>IF(B695="","","Active")</f>
        <v/>
      </c>
    </row>
    <row r="696" ht="20" customHeight="1">
      <c r="A696" s="39">
        <f>IF(B696="","","LN"&amp;TEXT(ROW()-2,"0000"))</f>
        <v/>
      </c>
      <c r="B696" s="26" t="n"/>
      <c r="C696" s="45">
        <f>IFERROR(IF(B696="","",VLOOKUP(B696,DATABASE!$A:$B,2,0)),"")</f>
        <v/>
      </c>
      <c r="D696" s="29" t="n"/>
      <c r="E696" s="40">
        <f>IF(B696="","",TODAY())</f>
        <v/>
      </c>
      <c r="F696" s="30" t="n"/>
      <c r="G696" s="41" t="n"/>
      <c r="H696" s="42" t="n"/>
      <c r="I696" s="43">
        <f>IFERROR(IF(OR(D696="",G696="",H696=""),"",ABS(PMT(G696/100/12,H696,D696))),"")</f>
        <v/>
      </c>
      <c r="J696" s="44">
        <f>IF(B696="","","Active")</f>
        <v/>
      </c>
    </row>
    <row r="697" ht="20" customHeight="1">
      <c r="A697" s="39">
        <f>IF(B697="","","LN"&amp;TEXT(ROW()-2,"0000"))</f>
        <v/>
      </c>
      <c r="B697" s="26" t="n"/>
      <c r="C697" s="27">
        <f>IFERROR(IF(B697="","",VLOOKUP(B697,DATABASE!$A:$B,2,0)),"")</f>
        <v/>
      </c>
      <c r="D697" s="29" t="n"/>
      <c r="E697" s="40">
        <f>IF(B697="","",TODAY())</f>
        <v/>
      </c>
      <c r="F697" s="30" t="n"/>
      <c r="G697" s="41" t="n"/>
      <c r="H697" s="42" t="n"/>
      <c r="I697" s="43">
        <f>IFERROR(IF(OR(D697="",G697="",H697=""),"",ABS(PMT(G697/100/12,H697,D697))),"")</f>
        <v/>
      </c>
      <c r="J697" s="44">
        <f>IF(B697="","","Active")</f>
        <v/>
      </c>
    </row>
    <row r="698" ht="20" customHeight="1">
      <c r="A698" s="39">
        <f>IF(B698="","","LN"&amp;TEXT(ROW()-2,"0000"))</f>
        <v/>
      </c>
      <c r="B698" s="26" t="n"/>
      <c r="C698" s="45">
        <f>IFERROR(IF(B698="","",VLOOKUP(B698,DATABASE!$A:$B,2,0)),"")</f>
        <v/>
      </c>
      <c r="D698" s="29" t="n"/>
      <c r="E698" s="40">
        <f>IF(B698="","",TODAY())</f>
        <v/>
      </c>
      <c r="F698" s="30" t="n"/>
      <c r="G698" s="41" t="n"/>
      <c r="H698" s="42" t="n"/>
      <c r="I698" s="43">
        <f>IFERROR(IF(OR(D698="",G698="",H698=""),"",ABS(PMT(G698/100/12,H698,D698))),"")</f>
        <v/>
      </c>
      <c r="J698" s="44">
        <f>IF(B698="","","Active")</f>
        <v/>
      </c>
    </row>
    <row r="699" ht="20" customHeight="1">
      <c r="A699" s="39">
        <f>IF(B699="","","LN"&amp;TEXT(ROW()-2,"0000"))</f>
        <v/>
      </c>
      <c r="B699" s="26" t="n"/>
      <c r="C699" s="27">
        <f>IFERROR(IF(B699="","",VLOOKUP(B699,DATABASE!$A:$B,2,0)),"")</f>
        <v/>
      </c>
      <c r="D699" s="29" t="n"/>
      <c r="E699" s="40">
        <f>IF(B699="","",TODAY())</f>
        <v/>
      </c>
      <c r="F699" s="30" t="n"/>
      <c r="G699" s="41" t="n"/>
      <c r="H699" s="42" t="n"/>
      <c r="I699" s="43">
        <f>IFERROR(IF(OR(D699="",G699="",H699=""),"",ABS(PMT(G699/100/12,H699,D699))),"")</f>
        <v/>
      </c>
      <c r="J699" s="44">
        <f>IF(B699="","","Active")</f>
        <v/>
      </c>
    </row>
    <row r="700" ht="20" customHeight="1">
      <c r="A700" s="39">
        <f>IF(B700="","","LN"&amp;TEXT(ROW()-2,"0000"))</f>
        <v/>
      </c>
      <c r="B700" s="26" t="n"/>
      <c r="C700" s="45">
        <f>IFERROR(IF(B700="","",VLOOKUP(B700,DATABASE!$A:$B,2,0)),"")</f>
        <v/>
      </c>
      <c r="D700" s="29" t="n"/>
      <c r="E700" s="40">
        <f>IF(B700="","",TODAY())</f>
        <v/>
      </c>
      <c r="F700" s="30" t="n"/>
      <c r="G700" s="41" t="n"/>
      <c r="H700" s="42" t="n"/>
      <c r="I700" s="43">
        <f>IFERROR(IF(OR(D700="",G700="",H700=""),"",ABS(PMT(G700/100/12,H700,D700))),"")</f>
        <v/>
      </c>
      <c r="J700" s="44">
        <f>IF(B700="","","Active")</f>
        <v/>
      </c>
    </row>
    <row r="701" ht="20" customHeight="1">
      <c r="A701" s="39">
        <f>IF(B701="","","LN"&amp;TEXT(ROW()-2,"0000"))</f>
        <v/>
      </c>
      <c r="B701" s="26" t="n"/>
      <c r="C701" s="27">
        <f>IFERROR(IF(B701="","",VLOOKUP(B701,DATABASE!$A:$B,2,0)),"")</f>
        <v/>
      </c>
      <c r="D701" s="29" t="n"/>
      <c r="E701" s="40">
        <f>IF(B701="","",TODAY())</f>
        <v/>
      </c>
      <c r="F701" s="30" t="n"/>
      <c r="G701" s="41" t="n"/>
      <c r="H701" s="42" t="n"/>
      <c r="I701" s="43">
        <f>IFERROR(IF(OR(D701="",G701="",H701=""),"",ABS(PMT(G701/100/12,H701,D701))),"")</f>
        <v/>
      </c>
      <c r="J701" s="44">
        <f>IF(B701="","","Active")</f>
        <v/>
      </c>
    </row>
    <row r="702" ht="20" customHeight="1">
      <c r="A702" s="39">
        <f>IF(B702="","","LN"&amp;TEXT(ROW()-2,"0000"))</f>
        <v/>
      </c>
      <c r="B702" s="26" t="n"/>
      <c r="C702" s="45">
        <f>IFERROR(IF(B702="","",VLOOKUP(B702,DATABASE!$A:$B,2,0)),"")</f>
        <v/>
      </c>
      <c r="D702" s="29" t="n"/>
      <c r="E702" s="40">
        <f>IF(B702="","",TODAY())</f>
        <v/>
      </c>
      <c r="F702" s="30" t="n"/>
      <c r="G702" s="41" t="n"/>
      <c r="H702" s="42" t="n"/>
      <c r="I702" s="43">
        <f>IFERROR(IF(OR(D702="",G702="",H702=""),"",ABS(PMT(G702/100/12,H702,D702))),"")</f>
        <v/>
      </c>
      <c r="J702" s="44">
        <f>IF(B702="","","Active")</f>
        <v/>
      </c>
    </row>
    <row r="703" ht="20" customHeight="1">
      <c r="A703" s="39">
        <f>IF(B703="","","LN"&amp;TEXT(ROW()-2,"0000"))</f>
        <v/>
      </c>
      <c r="B703" s="26" t="n"/>
      <c r="C703" s="27">
        <f>IFERROR(IF(B703="","",VLOOKUP(B703,DATABASE!$A:$B,2,0)),"")</f>
        <v/>
      </c>
      <c r="D703" s="29" t="n"/>
      <c r="E703" s="40">
        <f>IF(B703="","",TODAY())</f>
        <v/>
      </c>
      <c r="F703" s="30" t="n"/>
      <c r="G703" s="41" t="n"/>
      <c r="H703" s="42" t="n"/>
      <c r="I703" s="43">
        <f>IFERROR(IF(OR(D703="",G703="",H703=""),"",ABS(PMT(G703/100/12,H703,D703))),"")</f>
        <v/>
      </c>
      <c r="J703" s="44">
        <f>IF(B703="","","Active")</f>
        <v/>
      </c>
    </row>
    <row r="704" ht="20" customHeight="1">
      <c r="A704" s="39">
        <f>IF(B704="","","LN"&amp;TEXT(ROW()-2,"0000"))</f>
        <v/>
      </c>
      <c r="B704" s="26" t="n"/>
      <c r="C704" s="45">
        <f>IFERROR(IF(B704="","",VLOOKUP(B704,DATABASE!$A:$B,2,0)),"")</f>
        <v/>
      </c>
      <c r="D704" s="29" t="n"/>
      <c r="E704" s="40">
        <f>IF(B704="","",TODAY())</f>
        <v/>
      </c>
      <c r="F704" s="30" t="n"/>
      <c r="G704" s="41" t="n"/>
      <c r="H704" s="42" t="n"/>
      <c r="I704" s="43">
        <f>IFERROR(IF(OR(D704="",G704="",H704=""),"",ABS(PMT(G704/100/12,H704,D704))),"")</f>
        <v/>
      </c>
      <c r="J704" s="44">
        <f>IF(B704="","","Active")</f>
        <v/>
      </c>
    </row>
    <row r="705" ht="20" customHeight="1">
      <c r="A705" s="39">
        <f>IF(B705="","","LN"&amp;TEXT(ROW()-2,"0000"))</f>
        <v/>
      </c>
      <c r="B705" s="26" t="n"/>
      <c r="C705" s="27">
        <f>IFERROR(IF(B705="","",VLOOKUP(B705,DATABASE!$A:$B,2,0)),"")</f>
        <v/>
      </c>
      <c r="D705" s="29" t="n"/>
      <c r="E705" s="40">
        <f>IF(B705="","",TODAY())</f>
        <v/>
      </c>
      <c r="F705" s="30" t="n"/>
      <c r="G705" s="41" t="n"/>
      <c r="H705" s="42" t="n"/>
      <c r="I705" s="43">
        <f>IFERROR(IF(OR(D705="",G705="",H705=""),"",ABS(PMT(G705/100/12,H705,D705))),"")</f>
        <v/>
      </c>
      <c r="J705" s="44">
        <f>IF(B705="","","Active")</f>
        <v/>
      </c>
    </row>
    <row r="706" ht="20" customHeight="1">
      <c r="A706" s="39">
        <f>IF(B706="","","LN"&amp;TEXT(ROW()-2,"0000"))</f>
        <v/>
      </c>
      <c r="B706" s="26" t="n"/>
      <c r="C706" s="45">
        <f>IFERROR(IF(B706="","",VLOOKUP(B706,DATABASE!$A:$B,2,0)),"")</f>
        <v/>
      </c>
      <c r="D706" s="29" t="n"/>
      <c r="E706" s="40">
        <f>IF(B706="","",TODAY())</f>
        <v/>
      </c>
      <c r="F706" s="30" t="n"/>
      <c r="G706" s="41" t="n"/>
      <c r="H706" s="42" t="n"/>
      <c r="I706" s="43">
        <f>IFERROR(IF(OR(D706="",G706="",H706=""),"",ABS(PMT(G706/100/12,H706,D706))),"")</f>
        <v/>
      </c>
      <c r="J706" s="44">
        <f>IF(B706="","","Active")</f>
        <v/>
      </c>
    </row>
    <row r="707" ht="20" customHeight="1">
      <c r="A707" s="39">
        <f>IF(B707="","","LN"&amp;TEXT(ROW()-2,"0000"))</f>
        <v/>
      </c>
      <c r="B707" s="26" t="n"/>
      <c r="C707" s="27">
        <f>IFERROR(IF(B707="","",VLOOKUP(B707,DATABASE!$A:$B,2,0)),"")</f>
        <v/>
      </c>
      <c r="D707" s="29" t="n"/>
      <c r="E707" s="40">
        <f>IF(B707="","",TODAY())</f>
        <v/>
      </c>
      <c r="F707" s="30" t="n"/>
      <c r="G707" s="41" t="n"/>
      <c r="H707" s="42" t="n"/>
      <c r="I707" s="43">
        <f>IFERROR(IF(OR(D707="",G707="",H707=""),"",ABS(PMT(G707/100/12,H707,D707))),"")</f>
        <v/>
      </c>
      <c r="J707" s="44">
        <f>IF(B707="","","Active")</f>
        <v/>
      </c>
    </row>
    <row r="708" ht="20" customHeight="1">
      <c r="A708" s="39">
        <f>IF(B708="","","LN"&amp;TEXT(ROW()-2,"0000"))</f>
        <v/>
      </c>
      <c r="B708" s="26" t="n"/>
      <c r="C708" s="45">
        <f>IFERROR(IF(B708="","",VLOOKUP(B708,DATABASE!$A:$B,2,0)),"")</f>
        <v/>
      </c>
      <c r="D708" s="29" t="n"/>
      <c r="E708" s="40">
        <f>IF(B708="","",TODAY())</f>
        <v/>
      </c>
      <c r="F708" s="30" t="n"/>
      <c r="G708" s="41" t="n"/>
      <c r="H708" s="42" t="n"/>
      <c r="I708" s="43">
        <f>IFERROR(IF(OR(D708="",G708="",H708=""),"",ABS(PMT(G708/100/12,H708,D708))),"")</f>
        <v/>
      </c>
      <c r="J708" s="44">
        <f>IF(B708="","","Active")</f>
        <v/>
      </c>
    </row>
    <row r="709" ht="20" customHeight="1">
      <c r="A709" s="39">
        <f>IF(B709="","","LN"&amp;TEXT(ROW()-2,"0000"))</f>
        <v/>
      </c>
      <c r="B709" s="26" t="n"/>
      <c r="C709" s="27">
        <f>IFERROR(IF(B709="","",VLOOKUP(B709,DATABASE!$A:$B,2,0)),"")</f>
        <v/>
      </c>
      <c r="D709" s="29" t="n"/>
      <c r="E709" s="40">
        <f>IF(B709="","",TODAY())</f>
        <v/>
      </c>
      <c r="F709" s="30" t="n"/>
      <c r="G709" s="41" t="n"/>
      <c r="H709" s="42" t="n"/>
      <c r="I709" s="43">
        <f>IFERROR(IF(OR(D709="",G709="",H709=""),"",ABS(PMT(G709/100/12,H709,D709))),"")</f>
        <v/>
      </c>
      <c r="J709" s="44">
        <f>IF(B709="","","Active")</f>
        <v/>
      </c>
    </row>
    <row r="710" ht="20" customHeight="1">
      <c r="A710" s="39">
        <f>IF(B710="","","LN"&amp;TEXT(ROW()-2,"0000"))</f>
        <v/>
      </c>
      <c r="B710" s="26" t="n"/>
      <c r="C710" s="45">
        <f>IFERROR(IF(B710="","",VLOOKUP(B710,DATABASE!$A:$B,2,0)),"")</f>
        <v/>
      </c>
      <c r="D710" s="29" t="n"/>
      <c r="E710" s="40">
        <f>IF(B710="","",TODAY())</f>
        <v/>
      </c>
      <c r="F710" s="30" t="n"/>
      <c r="G710" s="41" t="n"/>
      <c r="H710" s="42" t="n"/>
      <c r="I710" s="43">
        <f>IFERROR(IF(OR(D710="",G710="",H710=""),"",ABS(PMT(G710/100/12,H710,D710))),"")</f>
        <v/>
      </c>
      <c r="J710" s="44">
        <f>IF(B710="","","Active")</f>
        <v/>
      </c>
    </row>
    <row r="711" ht="20" customHeight="1">
      <c r="A711" s="39">
        <f>IF(B711="","","LN"&amp;TEXT(ROW()-2,"0000"))</f>
        <v/>
      </c>
      <c r="B711" s="26" t="n"/>
      <c r="C711" s="27">
        <f>IFERROR(IF(B711="","",VLOOKUP(B711,DATABASE!$A:$B,2,0)),"")</f>
        <v/>
      </c>
      <c r="D711" s="29" t="n"/>
      <c r="E711" s="40">
        <f>IF(B711="","",TODAY())</f>
        <v/>
      </c>
      <c r="F711" s="30" t="n"/>
      <c r="G711" s="41" t="n"/>
      <c r="H711" s="42" t="n"/>
      <c r="I711" s="43">
        <f>IFERROR(IF(OR(D711="",G711="",H711=""),"",ABS(PMT(G711/100/12,H711,D711))),"")</f>
        <v/>
      </c>
      <c r="J711" s="44">
        <f>IF(B711="","","Active")</f>
        <v/>
      </c>
    </row>
    <row r="712" ht="20" customHeight="1">
      <c r="A712" s="39">
        <f>IF(B712="","","LN"&amp;TEXT(ROW()-2,"0000"))</f>
        <v/>
      </c>
      <c r="B712" s="26" t="n"/>
      <c r="C712" s="45">
        <f>IFERROR(IF(B712="","",VLOOKUP(B712,DATABASE!$A:$B,2,0)),"")</f>
        <v/>
      </c>
      <c r="D712" s="29" t="n"/>
      <c r="E712" s="40">
        <f>IF(B712="","",TODAY())</f>
        <v/>
      </c>
      <c r="F712" s="30" t="n"/>
      <c r="G712" s="41" t="n"/>
      <c r="H712" s="42" t="n"/>
      <c r="I712" s="43">
        <f>IFERROR(IF(OR(D712="",G712="",H712=""),"",ABS(PMT(G712/100/12,H712,D712))),"")</f>
        <v/>
      </c>
      <c r="J712" s="44">
        <f>IF(B712="","","Active")</f>
        <v/>
      </c>
    </row>
    <row r="713" ht="20" customHeight="1">
      <c r="A713" s="39">
        <f>IF(B713="","","LN"&amp;TEXT(ROW()-2,"0000"))</f>
        <v/>
      </c>
      <c r="B713" s="26" t="n"/>
      <c r="C713" s="27">
        <f>IFERROR(IF(B713="","",VLOOKUP(B713,DATABASE!$A:$B,2,0)),"")</f>
        <v/>
      </c>
      <c r="D713" s="29" t="n"/>
      <c r="E713" s="40">
        <f>IF(B713="","",TODAY())</f>
        <v/>
      </c>
      <c r="F713" s="30" t="n"/>
      <c r="G713" s="41" t="n"/>
      <c r="H713" s="42" t="n"/>
      <c r="I713" s="43">
        <f>IFERROR(IF(OR(D713="",G713="",H713=""),"",ABS(PMT(G713/100/12,H713,D713))),"")</f>
        <v/>
      </c>
      <c r="J713" s="44">
        <f>IF(B713="","","Active")</f>
        <v/>
      </c>
    </row>
    <row r="714" ht="20" customHeight="1">
      <c r="A714" s="39">
        <f>IF(B714="","","LN"&amp;TEXT(ROW()-2,"0000"))</f>
        <v/>
      </c>
      <c r="B714" s="26" t="n"/>
      <c r="C714" s="45">
        <f>IFERROR(IF(B714="","",VLOOKUP(B714,DATABASE!$A:$B,2,0)),"")</f>
        <v/>
      </c>
      <c r="D714" s="29" t="n"/>
      <c r="E714" s="40">
        <f>IF(B714="","",TODAY())</f>
        <v/>
      </c>
      <c r="F714" s="30" t="n"/>
      <c r="G714" s="41" t="n"/>
      <c r="H714" s="42" t="n"/>
      <c r="I714" s="43">
        <f>IFERROR(IF(OR(D714="",G714="",H714=""),"",ABS(PMT(G714/100/12,H714,D714))),"")</f>
        <v/>
      </c>
      <c r="J714" s="44">
        <f>IF(B714="","","Active")</f>
        <v/>
      </c>
    </row>
    <row r="715" ht="20" customHeight="1">
      <c r="A715" s="39">
        <f>IF(B715="","","LN"&amp;TEXT(ROW()-2,"0000"))</f>
        <v/>
      </c>
      <c r="B715" s="26" t="n"/>
      <c r="C715" s="27">
        <f>IFERROR(IF(B715="","",VLOOKUP(B715,DATABASE!$A:$B,2,0)),"")</f>
        <v/>
      </c>
      <c r="D715" s="29" t="n"/>
      <c r="E715" s="40">
        <f>IF(B715="","",TODAY())</f>
        <v/>
      </c>
      <c r="F715" s="30" t="n"/>
      <c r="G715" s="41" t="n"/>
      <c r="H715" s="42" t="n"/>
      <c r="I715" s="43">
        <f>IFERROR(IF(OR(D715="",G715="",H715=""),"",ABS(PMT(G715/100/12,H715,D715))),"")</f>
        <v/>
      </c>
      <c r="J715" s="44">
        <f>IF(B715="","","Active")</f>
        <v/>
      </c>
    </row>
    <row r="716" ht="20" customHeight="1">
      <c r="A716" s="39">
        <f>IF(B716="","","LN"&amp;TEXT(ROW()-2,"0000"))</f>
        <v/>
      </c>
      <c r="B716" s="26" t="n"/>
      <c r="C716" s="45">
        <f>IFERROR(IF(B716="","",VLOOKUP(B716,DATABASE!$A:$B,2,0)),"")</f>
        <v/>
      </c>
      <c r="D716" s="29" t="n"/>
      <c r="E716" s="40">
        <f>IF(B716="","",TODAY())</f>
        <v/>
      </c>
      <c r="F716" s="30" t="n"/>
      <c r="G716" s="41" t="n"/>
      <c r="H716" s="42" t="n"/>
      <c r="I716" s="43">
        <f>IFERROR(IF(OR(D716="",G716="",H716=""),"",ABS(PMT(G716/100/12,H716,D716))),"")</f>
        <v/>
      </c>
      <c r="J716" s="44">
        <f>IF(B716="","","Active")</f>
        <v/>
      </c>
    </row>
    <row r="717" ht="20" customHeight="1">
      <c r="A717" s="39">
        <f>IF(B717="","","LN"&amp;TEXT(ROW()-2,"0000"))</f>
        <v/>
      </c>
      <c r="B717" s="26" t="n"/>
      <c r="C717" s="27">
        <f>IFERROR(IF(B717="","",VLOOKUP(B717,DATABASE!$A:$B,2,0)),"")</f>
        <v/>
      </c>
      <c r="D717" s="29" t="n"/>
      <c r="E717" s="40">
        <f>IF(B717="","",TODAY())</f>
        <v/>
      </c>
      <c r="F717" s="30" t="n"/>
      <c r="G717" s="41" t="n"/>
      <c r="H717" s="42" t="n"/>
      <c r="I717" s="43">
        <f>IFERROR(IF(OR(D717="",G717="",H717=""),"",ABS(PMT(G717/100/12,H717,D717))),"")</f>
        <v/>
      </c>
      <c r="J717" s="44">
        <f>IF(B717="","","Active")</f>
        <v/>
      </c>
    </row>
    <row r="718" ht="20" customHeight="1">
      <c r="A718" s="39">
        <f>IF(B718="","","LN"&amp;TEXT(ROW()-2,"0000"))</f>
        <v/>
      </c>
      <c r="B718" s="26" t="n"/>
      <c r="C718" s="45">
        <f>IFERROR(IF(B718="","",VLOOKUP(B718,DATABASE!$A:$B,2,0)),"")</f>
        <v/>
      </c>
      <c r="D718" s="29" t="n"/>
      <c r="E718" s="40">
        <f>IF(B718="","",TODAY())</f>
        <v/>
      </c>
      <c r="F718" s="30" t="n"/>
      <c r="G718" s="41" t="n"/>
      <c r="H718" s="42" t="n"/>
      <c r="I718" s="43">
        <f>IFERROR(IF(OR(D718="",G718="",H718=""),"",ABS(PMT(G718/100/12,H718,D718))),"")</f>
        <v/>
      </c>
      <c r="J718" s="44">
        <f>IF(B718="","","Active")</f>
        <v/>
      </c>
    </row>
    <row r="719" ht="20" customHeight="1">
      <c r="A719" s="39">
        <f>IF(B719="","","LN"&amp;TEXT(ROW()-2,"0000"))</f>
        <v/>
      </c>
      <c r="B719" s="26" t="n"/>
      <c r="C719" s="27">
        <f>IFERROR(IF(B719="","",VLOOKUP(B719,DATABASE!$A:$B,2,0)),"")</f>
        <v/>
      </c>
      <c r="D719" s="29" t="n"/>
      <c r="E719" s="40">
        <f>IF(B719="","",TODAY())</f>
        <v/>
      </c>
      <c r="F719" s="30" t="n"/>
      <c r="G719" s="41" t="n"/>
      <c r="H719" s="42" t="n"/>
      <c r="I719" s="43">
        <f>IFERROR(IF(OR(D719="",G719="",H719=""),"",ABS(PMT(G719/100/12,H719,D719))),"")</f>
        <v/>
      </c>
      <c r="J719" s="44">
        <f>IF(B719="","","Active")</f>
        <v/>
      </c>
    </row>
    <row r="720" ht="20" customHeight="1">
      <c r="A720" s="39">
        <f>IF(B720="","","LN"&amp;TEXT(ROW()-2,"0000"))</f>
        <v/>
      </c>
      <c r="B720" s="26" t="n"/>
      <c r="C720" s="45">
        <f>IFERROR(IF(B720="","",VLOOKUP(B720,DATABASE!$A:$B,2,0)),"")</f>
        <v/>
      </c>
      <c r="D720" s="29" t="n"/>
      <c r="E720" s="40">
        <f>IF(B720="","",TODAY())</f>
        <v/>
      </c>
      <c r="F720" s="30" t="n"/>
      <c r="G720" s="41" t="n"/>
      <c r="H720" s="42" t="n"/>
      <c r="I720" s="43">
        <f>IFERROR(IF(OR(D720="",G720="",H720=""),"",ABS(PMT(G720/100/12,H720,D720))),"")</f>
        <v/>
      </c>
      <c r="J720" s="44">
        <f>IF(B720="","","Active")</f>
        <v/>
      </c>
    </row>
    <row r="721" ht="20" customHeight="1">
      <c r="A721" s="39">
        <f>IF(B721="","","LN"&amp;TEXT(ROW()-2,"0000"))</f>
        <v/>
      </c>
      <c r="B721" s="26" t="n"/>
      <c r="C721" s="27">
        <f>IFERROR(IF(B721="","",VLOOKUP(B721,DATABASE!$A:$B,2,0)),"")</f>
        <v/>
      </c>
      <c r="D721" s="29" t="n"/>
      <c r="E721" s="40">
        <f>IF(B721="","",TODAY())</f>
        <v/>
      </c>
      <c r="F721" s="30" t="n"/>
      <c r="G721" s="41" t="n"/>
      <c r="H721" s="42" t="n"/>
      <c r="I721" s="43">
        <f>IFERROR(IF(OR(D721="",G721="",H721=""),"",ABS(PMT(G721/100/12,H721,D721))),"")</f>
        <v/>
      </c>
      <c r="J721" s="44">
        <f>IF(B721="","","Active")</f>
        <v/>
      </c>
    </row>
    <row r="722" ht="20" customHeight="1">
      <c r="A722" s="39">
        <f>IF(B722="","","LN"&amp;TEXT(ROW()-2,"0000"))</f>
        <v/>
      </c>
      <c r="B722" s="26" t="n"/>
      <c r="C722" s="45">
        <f>IFERROR(IF(B722="","",VLOOKUP(B722,DATABASE!$A:$B,2,0)),"")</f>
        <v/>
      </c>
      <c r="D722" s="29" t="n"/>
      <c r="E722" s="40">
        <f>IF(B722="","",TODAY())</f>
        <v/>
      </c>
      <c r="F722" s="30" t="n"/>
      <c r="G722" s="41" t="n"/>
      <c r="H722" s="42" t="n"/>
      <c r="I722" s="43">
        <f>IFERROR(IF(OR(D722="",G722="",H722=""),"",ABS(PMT(G722/100/12,H722,D722))),"")</f>
        <v/>
      </c>
      <c r="J722" s="44">
        <f>IF(B722="","","Active")</f>
        <v/>
      </c>
    </row>
    <row r="723" ht="20" customHeight="1">
      <c r="A723" s="39">
        <f>IF(B723="","","LN"&amp;TEXT(ROW()-2,"0000"))</f>
        <v/>
      </c>
      <c r="B723" s="26" t="n"/>
      <c r="C723" s="27">
        <f>IFERROR(IF(B723="","",VLOOKUP(B723,DATABASE!$A:$B,2,0)),"")</f>
        <v/>
      </c>
      <c r="D723" s="29" t="n"/>
      <c r="E723" s="40">
        <f>IF(B723="","",TODAY())</f>
        <v/>
      </c>
      <c r="F723" s="30" t="n"/>
      <c r="G723" s="41" t="n"/>
      <c r="H723" s="42" t="n"/>
      <c r="I723" s="43">
        <f>IFERROR(IF(OR(D723="",G723="",H723=""),"",ABS(PMT(G723/100/12,H723,D723))),"")</f>
        <v/>
      </c>
      <c r="J723" s="44">
        <f>IF(B723="","","Active")</f>
        <v/>
      </c>
    </row>
    <row r="724" ht="20" customHeight="1">
      <c r="A724" s="39">
        <f>IF(B724="","","LN"&amp;TEXT(ROW()-2,"0000"))</f>
        <v/>
      </c>
      <c r="B724" s="26" t="n"/>
      <c r="C724" s="45">
        <f>IFERROR(IF(B724="","",VLOOKUP(B724,DATABASE!$A:$B,2,0)),"")</f>
        <v/>
      </c>
      <c r="D724" s="29" t="n"/>
      <c r="E724" s="40">
        <f>IF(B724="","",TODAY())</f>
        <v/>
      </c>
      <c r="F724" s="30" t="n"/>
      <c r="G724" s="41" t="n"/>
      <c r="H724" s="42" t="n"/>
      <c r="I724" s="43">
        <f>IFERROR(IF(OR(D724="",G724="",H724=""),"",ABS(PMT(G724/100/12,H724,D724))),"")</f>
        <v/>
      </c>
      <c r="J724" s="44">
        <f>IF(B724="","","Active")</f>
        <v/>
      </c>
    </row>
    <row r="725" ht="20" customHeight="1">
      <c r="A725" s="39">
        <f>IF(B725="","","LN"&amp;TEXT(ROW()-2,"0000"))</f>
        <v/>
      </c>
      <c r="B725" s="26" t="n"/>
      <c r="C725" s="27">
        <f>IFERROR(IF(B725="","",VLOOKUP(B725,DATABASE!$A:$B,2,0)),"")</f>
        <v/>
      </c>
      <c r="D725" s="29" t="n"/>
      <c r="E725" s="40">
        <f>IF(B725="","",TODAY())</f>
        <v/>
      </c>
      <c r="F725" s="30" t="n"/>
      <c r="G725" s="41" t="n"/>
      <c r="H725" s="42" t="n"/>
      <c r="I725" s="43">
        <f>IFERROR(IF(OR(D725="",G725="",H725=""),"",ABS(PMT(G725/100/12,H725,D725))),"")</f>
        <v/>
      </c>
      <c r="J725" s="44">
        <f>IF(B725="","","Active")</f>
        <v/>
      </c>
    </row>
    <row r="726" ht="20" customHeight="1">
      <c r="A726" s="39">
        <f>IF(B726="","","LN"&amp;TEXT(ROW()-2,"0000"))</f>
        <v/>
      </c>
      <c r="B726" s="26" t="n"/>
      <c r="C726" s="45">
        <f>IFERROR(IF(B726="","",VLOOKUP(B726,DATABASE!$A:$B,2,0)),"")</f>
        <v/>
      </c>
      <c r="D726" s="29" t="n"/>
      <c r="E726" s="40">
        <f>IF(B726="","",TODAY())</f>
        <v/>
      </c>
      <c r="F726" s="30" t="n"/>
      <c r="G726" s="41" t="n"/>
      <c r="H726" s="42" t="n"/>
      <c r="I726" s="43">
        <f>IFERROR(IF(OR(D726="",G726="",H726=""),"",ABS(PMT(G726/100/12,H726,D726))),"")</f>
        <v/>
      </c>
      <c r="J726" s="44">
        <f>IF(B726="","","Active")</f>
        <v/>
      </c>
    </row>
    <row r="727" ht="20" customHeight="1">
      <c r="A727" s="39">
        <f>IF(B727="","","LN"&amp;TEXT(ROW()-2,"0000"))</f>
        <v/>
      </c>
      <c r="B727" s="26" t="n"/>
      <c r="C727" s="27">
        <f>IFERROR(IF(B727="","",VLOOKUP(B727,DATABASE!$A:$B,2,0)),"")</f>
        <v/>
      </c>
      <c r="D727" s="29" t="n"/>
      <c r="E727" s="40">
        <f>IF(B727="","",TODAY())</f>
        <v/>
      </c>
      <c r="F727" s="30" t="n"/>
      <c r="G727" s="41" t="n"/>
      <c r="H727" s="42" t="n"/>
      <c r="I727" s="43">
        <f>IFERROR(IF(OR(D727="",G727="",H727=""),"",ABS(PMT(G727/100/12,H727,D727))),"")</f>
        <v/>
      </c>
      <c r="J727" s="44">
        <f>IF(B727="","","Active")</f>
        <v/>
      </c>
    </row>
    <row r="728" ht="20" customHeight="1">
      <c r="A728" s="39">
        <f>IF(B728="","","LN"&amp;TEXT(ROW()-2,"0000"))</f>
        <v/>
      </c>
      <c r="B728" s="26" t="n"/>
      <c r="C728" s="45">
        <f>IFERROR(IF(B728="","",VLOOKUP(B728,DATABASE!$A:$B,2,0)),"")</f>
        <v/>
      </c>
      <c r="D728" s="29" t="n"/>
      <c r="E728" s="40">
        <f>IF(B728="","",TODAY())</f>
        <v/>
      </c>
      <c r="F728" s="30" t="n"/>
      <c r="G728" s="41" t="n"/>
      <c r="H728" s="42" t="n"/>
      <c r="I728" s="43">
        <f>IFERROR(IF(OR(D728="",G728="",H728=""),"",ABS(PMT(G728/100/12,H728,D728))),"")</f>
        <v/>
      </c>
      <c r="J728" s="44">
        <f>IF(B728="","","Active")</f>
        <v/>
      </c>
    </row>
    <row r="729" ht="20" customHeight="1">
      <c r="A729" s="39">
        <f>IF(B729="","","LN"&amp;TEXT(ROW()-2,"0000"))</f>
        <v/>
      </c>
      <c r="B729" s="26" t="n"/>
      <c r="C729" s="27">
        <f>IFERROR(IF(B729="","",VLOOKUP(B729,DATABASE!$A:$B,2,0)),"")</f>
        <v/>
      </c>
      <c r="D729" s="29" t="n"/>
      <c r="E729" s="40">
        <f>IF(B729="","",TODAY())</f>
        <v/>
      </c>
      <c r="F729" s="30" t="n"/>
      <c r="G729" s="41" t="n"/>
      <c r="H729" s="42" t="n"/>
      <c r="I729" s="43">
        <f>IFERROR(IF(OR(D729="",G729="",H729=""),"",ABS(PMT(G729/100/12,H729,D729))),"")</f>
        <v/>
      </c>
      <c r="J729" s="44">
        <f>IF(B729="","","Active")</f>
        <v/>
      </c>
    </row>
    <row r="730" ht="20" customHeight="1">
      <c r="A730" s="39">
        <f>IF(B730="","","LN"&amp;TEXT(ROW()-2,"0000"))</f>
        <v/>
      </c>
      <c r="B730" s="26" t="n"/>
      <c r="C730" s="45">
        <f>IFERROR(IF(B730="","",VLOOKUP(B730,DATABASE!$A:$B,2,0)),"")</f>
        <v/>
      </c>
      <c r="D730" s="29" t="n"/>
      <c r="E730" s="40">
        <f>IF(B730="","",TODAY())</f>
        <v/>
      </c>
      <c r="F730" s="30" t="n"/>
      <c r="G730" s="41" t="n"/>
      <c r="H730" s="42" t="n"/>
      <c r="I730" s="43">
        <f>IFERROR(IF(OR(D730="",G730="",H730=""),"",ABS(PMT(G730/100/12,H730,D730))),"")</f>
        <v/>
      </c>
      <c r="J730" s="44">
        <f>IF(B730="","","Active")</f>
        <v/>
      </c>
    </row>
    <row r="731" ht="20" customHeight="1">
      <c r="A731" s="39">
        <f>IF(B731="","","LN"&amp;TEXT(ROW()-2,"0000"))</f>
        <v/>
      </c>
      <c r="B731" s="26" t="n"/>
      <c r="C731" s="27">
        <f>IFERROR(IF(B731="","",VLOOKUP(B731,DATABASE!$A:$B,2,0)),"")</f>
        <v/>
      </c>
      <c r="D731" s="29" t="n"/>
      <c r="E731" s="40">
        <f>IF(B731="","",TODAY())</f>
        <v/>
      </c>
      <c r="F731" s="30" t="n"/>
      <c r="G731" s="41" t="n"/>
      <c r="H731" s="42" t="n"/>
      <c r="I731" s="43">
        <f>IFERROR(IF(OR(D731="",G731="",H731=""),"",ABS(PMT(G731/100/12,H731,D731))),"")</f>
        <v/>
      </c>
      <c r="J731" s="44">
        <f>IF(B731="","","Active")</f>
        <v/>
      </c>
    </row>
    <row r="732" ht="20" customHeight="1">
      <c r="A732" s="39">
        <f>IF(B732="","","LN"&amp;TEXT(ROW()-2,"0000"))</f>
        <v/>
      </c>
      <c r="B732" s="26" t="n"/>
      <c r="C732" s="45">
        <f>IFERROR(IF(B732="","",VLOOKUP(B732,DATABASE!$A:$B,2,0)),"")</f>
        <v/>
      </c>
      <c r="D732" s="29" t="n"/>
      <c r="E732" s="40">
        <f>IF(B732="","",TODAY())</f>
        <v/>
      </c>
      <c r="F732" s="30" t="n"/>
      <c r="G732" s="41" t="n"/>
      <c r="H732" s="42" t="n"/>
      <c r="I732" s="43">
        <f>IFERROR(IF(OR(D732="",G732="",H732=""),"",ABS(PMT(G732/100/12,H732,D732))),"")</f>
        <v/>
      </c>
      <c r="J732" s="44">
        <f>IF(B732="","","Active")</f>
        <v/>
      </c>
    </row>
    <row r="733" ht="20" customHeight="1">
      <c r="A733" s="39">
        <f>IF(B733="","","LN"&amp;TEXT(ROW()-2,"0000"))</f>
        <v/>
      </c>
      <c r="B733" s="26" t="n"/>
      <c r="C733" s="27">
        <f>IFERROR(IF(B733="","",VLOOKUP(B733,DATABASE!$A:$B,2,0)),"")</f>
        <v/>
      </c>
      <c r="D733" s="29" t="n"/>
      <c r="E733" s="40">
        <f>IF(B733="","",TODAY())</f>
        <v/>
      </c>
      <c r="F733" s="30" t="n"/>
      <c r="G733" s="41" t="n"/>
      <c r="H733" s="42" t="n"/>
      <c r="I733" s="43">
        <f>IFERROR(IF(OR(D733="",G733="",H733=""),"",ABS(PMT(G733/100/12,H733,D733))),"")</f>
        <v/>
      </c>
      <c r="J733" s="44">
        <f>IF(B733="","","Active")</f>
        <v/>
      </c>
    </row>
    <row r="734" ht="20" customHeight="1">
      <c r="A734" s="39">
        <f>IF(B734="","","LN"&amp;TEXT(ROW()-2,"0000"))</f>
        <v/>
      </c>
      <c r="B734" s="26" t="n"/>
      <c r="C734" s="45">
        <f>IFERROR(IF(B734="","",VLOOKUP(B734,DATABASE!$A:$B,2,0)),"")</f>
        <v/>
      </c>
      <c r="D734" s="29" t="n"/>
      <c r="E734" s="40">
        <f>IF(B734="","",TODAY())</f>
        <v/>
      </c>
      <c r="F734" s="30" t="n"/>
      <c r="G734" s="41" t="n"/>
      <c r="H734" s="42" t="n"/>
      <c r="I734" s="43">
        <f>IFERROR(IF(OR(D734="",G734="",H734=""),"",ABS(PMT(G734/100/12,H734,D734))),"")</f>
        <v/>
      </c>
      <c r="J734" s="44">
        <f>IF(B734="","","Active")</f>
        <v/>
      </c>
    </row>
    <row r="735" ht="20" customHeight="1">
      <c r="A735" s="39">
        <f>IF(B735="","","LN"&amp;TEXT(ROW()-2,"0000"))</f>
        <v/>
      </c>
      <c r="B735" s="26" t="n"/>
      <c r="C735" s="27">
        <f>IFERROR(IF(B735="","",VLOOKUP(B735,DATABASE!$A:$B,2,0)),"")</f>
        <v/>
      </c>
      <c r="D735" s="29" t="n"/>
      <c r="E735" s="40">
        <f>IF(B735="","",TODAY())</f>
        <v/>
      </c>
      <c r="F735" s="30" t="n"/>
      <c r="G735" s="41" t="n"/>
      <c r="H735" s="42" t="n"/>
      <c r="I735" s="43">
        <f>IFERROR(IF(OR(D735="",G735="",H735=""),"",ABS(PMT(G735/100/12,H735,D735))),"")</f>
        <v/>
      </c>
      <c r="J735" s="44">
        <f>IF(B735="","","Active")</f>
        <v/>
      </c>
    </row>
    <row r="736" ht="20" customHeight="1">
      <c r="A736" s="39">
        <f>IF(B736="","","LN"&amp;TEXT(ROW()-2,"0000"))</f>
        <v/>
      </c>
      <c r="B736" s="26" t="n"/>
      <c r="C736" s="45">
        <f>IFERROR(IF(B736="","",VLOOKUP(B736,DATABASE!$A:$B,2,0)),"")</f>
        <v/>
      </c>
      <c r="D736" s="29" t="n"/>
      <c r="E736" s="40">
        <f>IF(B736="","",TODAY())</f>
        <v/>
      </c>
      <c r="F736" s="30" t="n"/>
      <c r="G736" s="41" t="n"/>
      <c r="H736" s="42" t="n"/>
      <c r="I736" s="43">
        <f>IFERROR(IF(OR(D736="",G736="",H736=""),"",ABS(PMT(G736/100/12,H736,D736))),"")</f>
        <v/>
      </c>
      <c r="J736" s="44">
        <f>IF(B736="","","Active")</f>
        <v/>
      </c>
    </row>
    <row r="737" ht="20" customHeight="1">
      <c r="A737" s="39">
        <f>IF(B737="","","LN"&amp;TEXT(ROW()-2,"0000"))</f>
        <v/>
      </c>
      <c r="B737" s="26" t="n"/>
      <c r="C737" s="27">
        <f>IFERROR(IF(B737="","",VLOOKUP(B737,DATABASE!$A:$B,2,0)),"")</f>
        <v/>
      </c>
      <c r="D737" s="29" t="n"/>
      <c r="E737" s="40">
        <f>IF(B737="","",TODAY())</f>
        <v/>
      </c>
      <c r="F737" s="30" t="n"/>
      <c r="G737" s="41" t="n"/>
      <c r="H737" s="42" t="n"/>
      <c r="I737" s="43">
        <f>IFERROR(IF(OR(D737="",G737="",H737=""),"",ABS(PMT(G737/100/12,H737,D737))),"")</f>
        <v/>
      </c>
      <c r="J737" s="44">
        <f>IF(B737="","","Active")</f>
        <v/>
      </c>
    </row>
    <row r="738" ht="20" customHeight="1">
      <c r="A738" s="39">
        <f>IF(B738="","","LN"&amp;TEXT(ROW()-2,"0000"))</f>
        <v/>
      </c>
      <c r="B738" s="26" t="n"/>
      <c r="C738" s="45">
        <f>IFERROR(IF(B738="","",VLOOKUP(B738,DATABASE!$A:$B,2,0)),"")</f>
        <v/>
      </c>
      <c r="D738" s="29" t="n"/>
      <c r="E738" s="40">
        <f>IF(B738="","",TODAY())</f>
        <v/>
      </c>
      <c r="F738" s="30" t="n"/>
      <c r="G738" s="41" t="n"/>
      <c r="H738" s="42" t="n"/>
      <c r="I738" s="43">
        <f>IFERROR(IF(OR(D738="",G738="",H738=""),"",ABS(PMT(G738/100/12,H738,D738))),"")</f>
        <v/>
      </c>
      <c r="J738" s="44">
        <f>IF(B738="","","Active")</f>
        <v/>
      </c>
    </row>
    <row r="739" ht="20" customHeight="1">
      <c r="A739" s="39">
        <f>IF(B739="","","LN"&amp;TEXT(ROW()-2,"0000"))</f>
        <v/>
      </c>
      <c r="B739" s="26" t="n"/>
      <c r="C739" s="27">
        <f>IFERROR(IF(B739="","",VLOOKUP(B739,DATABASE!$A:$B,2,0)),"")</f>
        <v/>
      </c>
      <c r="D739" s="29" t="n"/>
      <c r="E739" s="40">
        <f>IF(B739="","",TODAY())</f>
        <v/>
      </c>
      <c r="F739" s="30" t="n"/>
      <c r="G739" s="41" t="n"/>
      <c r="H739" s="42" t="n"/>
      <c r="I739" s="43">
        <f>IFERROR(IF(OR(D739="",G739="",H739=""),"",ABS(PMT(G739/100/12,H739,D739))),"")</f>
        <v/>
      </c>
      <c r="J739" s="44">
        <f>IF(B739="","","Active")</f>
        <v/>
      </c>
    </row>
    <row r="740" ht="20" customHeight="1">
      <c r="A740" s="39">
        <f>IF(B740="","","LN"&amp;TEXT(ROW()-2,"0000"))</f>
        <v/>
      </c>
      <c r="B740" s="26" t="n"/>
      <c r="C740" s="45">
        <f>IFERROR(IF(B740="","",VLOOKUP(B740,DATABASE!$A:$B,2,0)),"")</f>
        <v/>
      </c>
      <c r="D740" s="29" t="n"/>
      <c r="E740" s="40">
        <f>IF(B740="","",TODAY())</f>
        <v/>
      </c>
      <c r="F740" s="30" t="n"/>
      <c r="G740" s="41" t="n"/>
      <c r="H740" s="42" t="n"/>
      <c r="I740" s="43">
        <f>IFERROR(IF(OR(D740="",G740="",H740=""),"",ABS(PMT(G740/100/12,H740,D740))),"")</f>
        <v/>
      </c>
      <c r="J740" s="44">
        <f>IF(B740="","","Active")</f>
        <v/>
      </c>
    </row>
    <row r="741" ht="20" customHeight="1">
      <c r="A741" s="39">
        <f>IF(B741="","","LN"&amp;TEXT(ROW()-2,"0000"))</f>
        <v/>
      </c>
      <c r="B741" s="26" t="n"/>
      <c r="C741" s="27">
        <f>IFERROR(IF(B741="","",VLOOKUP(B741,DATABASE!$A:$B,2,0)),"")</f>
        <v/>
      </c>
      <c r="D741" s="29" t="n"/>
      <c r="E741" s="40">
        <f>IF(B741="","",TODAY())</f>
        <v/>
      </c>
      <c r="F741" s="30" t="n"/>
      <c r="G741" s="41" t="n"/>
      <c r="H741" s="42" t="n"/>
      <c r="I741" s="43">
        <f>IFERROR(IF(OR(D741="",G741="",H741=""),"",ABS(PMT(G741/100/12,H741,D741))),"")</f>
        <v/>
      </c>
      <c r="J741" s="44">
        <f>IF(B741="","","Active")</f>
        <v/>
      </c>
    </row>
    <row r="742" ht="20" customHeight="1">
      <c r="A742" s="39">
        <f>IF(B742="","","LN"&amp;TEXT(ROW()-2,"0000"))</f>
        <v/>
      </c>
      <c r="B742" s="26" t="n"/>
      <c r="C742" s="45">
        <f>IFERROR(IF(B742="","",VLOOKUP(B742,DATABASE!$A:$B,2,0)),"")</f>
        <v/>
      </c>
      <c r="D742" s="29" t="n"/>
      <c r="E742" s="40">
        <f>IF(B742="","",TODAY())</f>
        <v/>
      </c>
      <c r="F742" s="30" t="n"/>
      <c r="G742" s="41" t="n"/>
      <c r="H742" s="42" t="n"/>
      <c r="I742" s="43">
        <f>IFERROR(IF(OR(D742="",G742="",H742=""),"",ABS(PMT(G742/100/12,H742,D742))),"")</f>
        <v/>
      </c>
      <c r="J742" s="44">
        <f>IF(B742="","","Active")</f>
        <v/>
      </c>
    </row>
    <row r="743" ht="20" customHeight="1">
      <c r="A743" s="39">
        <f>IF(B743="","","LN"&amp;TEXT(ROW()-2,"0000"))</f>
        <v/>
      </c>
      <c r="B743" s="26" t="n"/>
      <c r="C743" s="27">
        <f>IFERROR(IF(B743="","",VLOOKUP(B743,DATABASE!$A:$B,2,0)),"")</f>
        <v/>
      </c>
      <c r="D743" s="29" t="n"/>
      <c r="E743" s="40">
        <f>IF(B743="","",TODAY())</f>
        <v/>
      </c>
      <c r="F743" s="30" t="n"/>
      <c r="G743" s="41" t="n"/>
      <c r="H743" s="42" t="n"/>
      <c r="I743" s="43">
        <f>IFERROR(IF(OR(D743="",G743="",H743=""),"",ABS(PMT(G743/100/12,H743,D743))),"")</f>
        <v/>
      </c>
      <c r="J743" s="44">
        <f>IF(B743="","","Active")</f>
        <v/>
      </c>
    </row>
    <row r="744" ht="20" customHeight="1">
      <c r="A744" s="39">
        <f>IF(B744="","","LN"&amp;TEXT(ROW()-2,"0000"))</f>
        <v/>
      </c>
      <c r="B744" s="26" t="n"/>
      <c r="C744" s="45">
        <f>IFERROR(IF(B744="","",VLOOKUP(B744,DATABASE!$A:$B,2,0)),"")</f>
        <v/>
      </c>
      <c r="D744" s="29" t="n"/>
      <c r="E744" s="40">
        <f>IF(B744="","",TODAY())</f>
        <v/>
      </c>
      <c r="F744" s="30" t="n"/>
      <c r="G744" s="41" t="n"/>
      <c r="H744" s="42" t="n"/>
      <c r="I744" s="43">
        <f>IFERROR(IF(OR(D744="",G744="",H744=""),"",ABS(PMT(G744/100/12,H744,D744))),"")</f>
        <v/>
      </c>
      <c r="J744" s="44">
        <f>IF(B744="","","Active")</f>
        <v/>
      </c>
    </row>
    <row r="745" ht="20" customHeight="1">
      <c r="A745" s="39">
        <f>IF(B745="","","LN"&amp;TEXT(ROW()-2,"0000"))</f>
        <v/>
      </c>
      <c r="B745" s="26" t="n"/>
      <c r="C745" s="27">
        <f>IFERROR(IF(B745="","",VLOOKUP(B745,DATABASE!$A:$B,2,0)),"")</f>
        <v/>
      </c>
      <c r="D745" s="29" t="n"/>
      <c r="E745" s="40">
        <f>IF(B745="","",TODAY())</f>
        <v/>
      </c>
      <c r="F745" s="30" t="n"/>
      <c r="G745" s="41" t="n"/>
      <c r="H745" s="42" t="n"/>
      <c r="I745" s="43">
        <f>IFERROR(IF(OR(D745="",G745="",H745=""),"",ABS(PMT(G745/100/12,H745,D745))),"")</f>
        <v/>
      </c>
      <c r="J745" s="44">
        <f>IF(B745="","","Active")</f>
        <v/>
      </c>
    </row>
    <row r="746" ht="20" customHeight="1">
      <c r="A746" s="39">
        <f>IF(B746="","","LN"&amp;TEXT(ROW()-2,"0000"))</f>
        <v/>
      </c>
      <c r="B746" s="26" t="n"/>
      <c r="C746" s="45">
        <f>IFERROR(IF(B746="","",VLOOKUP(B746,DATABASE!$A:$B,2,0)),"")</f>
        <v/>
      </c>
      <c r="D746" s="29" t="n"/>
      <c r="E746" s="40">
        <f>IF(B746="","",TODAY())</f>
        <v/>
      </c>
      <c r="F746" s="30" t="n"/>
      <c r="G746" s="41" t="n"/>
      <c r="H746" s="42" t="n"/>
      <c r="I746" s="43">
        <f>IFERROR(IF(OR(D746="",G746="",H746=""),"",ABS(PMT(G746/100/12,H746,D746))),"")</f>
        <v/>
      </c>
      <c r="J746" s="44">
        <f>IF(B746="","","Active")</f>
        <v/>
      </c>
    </row>
    <row r="747" ht="20" customHeight="1">
      <c r="A747" s="39">
        <f>IF(B747="","","LN"&amp;TEXT(ROW()-2,"0000"))</f>
        <v/>
      </c>
      <c r="B747" s="26" t="n"/>
      <c r="C747" s="27">
        <f>IFERROR(IF(B747="","",VLOOKUP(B747,DATABASE!$A:$B,2,0)),"")</f>
        <v/>
      </c>
      <c r="D747" s="29" t="n"/>
      <c r="E747" s="40">
        <f>IF(B747="","",TODAY())</f>
        <v/>
      </c>
      <c r="F747" s="30" t="n"/>
      <c r="G747" s="41" t="n"/>
      <c r="H747" s="42" t="n"/>
      <c r="I747" s="43">
        <f>IFERROR(IF(OR(D747="",G747="",H747=""),"",ABS(PMT(G747/100/12,H747,D747))),"")</f>
        <v/>
      </c>
      <c r="J747" s="44">
        <f>IF(B747="","","Active")</f>
        <v/>
      </c>
    </row>
    <row r="748" ht="20" customHeight="1">
      <c r="A748" s="39">
        <f>IF(B748="","","LN"&amp;TEXT(ROW()-2,"0000"))</f>
        <v/>
      </c>
      <c r="B748" s="26" t="n"/>
      <c r="C748" s="45">
        <f>IFERROR(IF(B748="","",VLOOKUP(B748,DATABASE!$A:$B,2,0)),"")</f>
        <v/>
      </c>
      <c r="D748" s="29" t="n"/>
      <c r="E748" s="40">
        <f>IF(B748="","",TODAY())</f>
        <v/>
      </c>
      <c r="F748" s="30" t="n"/>
      <c r="G748" s="41" t="n"/>
      <c r="H748" s="42" t="n"/>
      <c r="I748" s="43">
        <f>IFERROR(IF(OR(D748="",G748="",H748=""),"",ABS(PMT(G748/100/12,H748,D748))),"")</f>
        <v/>
      </c>
      <c r="J748" s="44">
        <f>IF(B748="","","Active")</f>
        <v/>
      </c>
    </row>
    <row r="749" ht="20" customHeight="1">
      <c r="A749" s="39">
        <f>IF(B749="","","LN"&amp;TEXT(ROW()-2,"0000"))</f>
        <v/>
      </c>
      <c r="B749" s="26" t="n"/>
      <c r="C749" s="27">
        <f>IFERROR(IF(B749="","",VLOOKUP(B749,DATABASE!$A:$B,2,0)),"")</f>
        <v/>
      </c>
      <c r="D749" s="29" t="n"/>
      <c r="E749" s="40">
        <f>IF(B749="","",TODAY())</f>
        <v/>
      </c>
      <c r="F749" s="30" t="n"/>
      <c r="G749" s="41" t="n"/>
      <c r="H749" s="42" t="n"/>
      <c r="I749" s="43">
        <f>IFERROR(IF(OR(D749="",G749="",H749=""),"",ABS(PMT(G749/100/12,H749,D749))),"")</f>
        <v/>
      </c>
      <c r="J749" s="44">
        <f>IF(B749="","","Active")</f>
        <v/>
      </c>
    </row>
    <row r="750" ht="20" customHeight="1">
      <c r="A750" s="39">
        <f>IF(B750="","","LN"&amp;TEXT(ROW()-2,"0000"))</f>
        <v/>
      </c>
      <c r="B750" s="26" t="n"/>
      <c r="C750" s="45">
        <f>IFERROR(IF(B750="","",VLOOKUP(B750,DATABASE!$A:$B,2,0)),"")</f>
        <v/>
      </c>
      <c r="D750" s="29" t="n"/>
      <c r="E750" s="40">
        <f>IF(B750="","",TODAY())</f>
        <v/>
      </c>
      <c r="F750" s="30" t="n"/>
      <c r="G750" s="41" t="n"/>
      <c r="H750" s="42" t="n"/>
      <c r="I750" s="43">
        <f>IFERROR(IF(OR(D750="",G750="",H750=""),"",ABS(PMT(G750/100/12,H750,D750))),"")</f>
        <v/>
      </c>
      <c r="J750" s="44">
        <f>IF(B750="","","Active")</f>
        <v/>
      </c>
    </row>
    <row r="751" ht="20" customHeight="1">
      <c r="A751" s="39">
        <f>IF(B751="","","LN"&amp;TEXT(ROW()-2,"0000"))</f>
        <v/>
      </c>
      <c r="B751" s="26" t="n"/>
      <c r="C751" s="27">
        <f>IFERROR(IF(B751="","",VLOOKUP(B751,DATABASE!$A:$B,2,0)),"")</f>
        <v/>
      </c>
      <c r="D751" s="29" t="n"/>
      <c r="E751" s="40">
        <f>IF(B751="","",TODAY())</f>
        <v/>
      </c>
      <c r="F751" s="30" t="n"/>
      <c r="G751" s="41" t="n"/>
      <c r="H751" s="42" t="n"/>
      <c r="I751" s="43">
        <f>IFERROR(IF(OR(D751="",G751="",H751=""),"",ABS(PMT(G751/100/12,H751,D751))),"")</f>
        <v/>
      </c>
      <c r="J751" s="44">
        <f>IF(B751="","","Active")</f>
        <v/>
      </c>
    </row>
    <row r="752" ht="20" customHeight="1">
      <c r="A752" s="39">
        <f>IF(B752="","","LN"&amp;TEXT(ROW()-2,"0000"))</f>
        <v/>
      </c>
      <c r="B752" s="26" t="n"/>
      <c r="C752" s="45">
        <f>IFERROR(IF(B752="","",VLOOKUP(B752,DATABASE!$A:$B,2,0)),"")</f>
        <v/>
      </c>
      <c r="D752" s="29" t="n"/>
      <c r="E752" s="40">
        <f>IF(B752="","",TODAY())</f>
        <v/>
      </c>
      <c r="F752" s="30" t="n"/>
      <c r="G752" s="41" t="n"/>
      <c r="H752" s="42" t="n"/>
      <c r="I752" s="43">
        <f>IFERROR(IF(OR(D752="",G752="",H752=""),"",ABS(PMT(G752/100/12,H752,D752))),"")</f>
        <v/>
      </c>
      <c r="J752" s="44">
        <f>IF(B752="","","Active")</f>
        <v/>
      </c>
    </row>
    <row r="753" ht="20" customHeight="1">
      <c r="A753" s="39">
        <f>IF(B753="","","LN"&amp;TEXT(ROW()-2,"0000"))</f>
        <v/>
      </c>
      <c r="B753" s="26" t="n"/>
      <c r="C753" s="27">
        <f>IFERROR(IF(B753="","",VLOOKUP(B753,DATABASE!$A:$B,2,0)),"")</f>
        <v/>
      </c>
      <c r="D753" s="29" t="n"/>
      <c r="E753" s="40">
        <f>IF(B753="","",TODAY())</f>
        <v/>
      </c>
      <c r="F753" s="30" t="n"/>
      <c r="G753" s="41" t="n"/>
      <c r="H753" s="42" t="n"/>
      <c r="I753" s="43">
        <f>IFERROR(IF(OR(D753="",G753="",H753=""),"",ABS(PMT(G753/100/12,H753,D753))),"")</f>
        <v/>
      </c>
      <c r="J753" s="44">
        <f>IF(B753="","","Active")</f>
        <v/>
      </c>
    </row>
    <row r="754" ht="20" customHeight="1">
      <c r="A754" s="39">
        <f>IF(B754="","","LN"&amp;TEXT(ROW()-2,"0000"))</f>
        <v/>
      </c>
      <c r="B754" s="26" t="n"/>
      <c r="C754" s="45">
        <f>IFERROR(IF(B754="","",VLOOKUP(B754,DATABASE!$A:$B,2,0)),"")</f>
        <v/>
      </c>
      <c r="D754" s="29" t="n"/>
      <c r="E754" s="40">
        <f>IF(B754="","",TODAY())</f>
        <v/>
      </c>
      <c r="F754" s="30" t="n"/>
      <c r="G754" s="41" t="n"/>
      <c r="H754" s="42" t="n"/>
      <c r="I754" s="43">
        <f>IFERROR(IF(OR(D754="",G754="",H754=""),"",ABS(PMT(G754/100/12,H754,D754))),"")</f>
        <v/>
      </c>
      <c r="J754" s="44">
        <f>IF(B754="","","Active")</f>
        <v/>
      </c>
    </row>
    <row r="755" ht="20" customHeight="1">
      <c r="A755" s="39">
        <f>IF(B755="","","LN"&amp;TEXT(ROW()-2,"0000"))</f>
        <v/>
      </c>
      <c r="B755" s="26" t="n"/>
      <c r="C755" s="27">
        <f>IFERROR(IF(B755="","",VLOOKUP(B755,DATABASE!$A:$B,2,0)),"")</f>
        <v/>
      </c>
      <c r="D755" s="29" t="n"/>
      <c r="E755" s="40">
        <f>IF(B755="","",TODAY())</f>
        <v/>
      </c>
      <c r="F755" s="30" t="n"/>
      <c r="G755" s="41" t="n"/>
      <c r="H755" s="42" t="n"/>
      <c r="I755" s="43">
        <f>IFERROR(IF(OR(D755="",G755="",H755=""),"",ABS(PMT(G755/100/12,H755,D755))),"")</f>
        <v/>
      </c>
      <c r="J755" s="44">
        <f>IF(B755="","","Active")</f>
        <v/>
      </c>
    </row>
    <row r="756" ht="20" customHeight="1">
      <c r="A756" s="39">
        <f>IF(B756="","","LN"&amp;TEXT(ROW()-2,"0000"))</f>
        <v/>
      </c>
      <c r="B756" s="26" t="n"/>
      <c r="C756" s="45">
        <f>IFERROR(IF(B756="","",VLOOKUP(B756,DATABASE!$A:$B,2,0)),"")</f>
        <v/>
      </c>
      <c r="D756" s="29" t="n"/>
      <c r="E756" s="40">
        <f>IF(B756="","",TODAY())</f>
        <v/>
      </c>
      <c r="F756" s="30" t="n"/>
      <c r="G756" s="41" t="n"/>
      <c r="H756" s="42" t="n"/>
      <c r="I756" s="43">
        <f>IFERROR(IF(OR(D756="",G756="",H756=""),"",ABS(PMT(G756/100/12,H756,D756))),"")</f>
        <v/>
      </c>
      <c r="J756" s="44">
        <f>IF(B756="","","Active")</f>
        <v/>
      </c>
    </row>
    <row r="757" ht="20" customHeight="1">
      <c r="A757" s="39">
        <f>IF(B757="","","LN"&amp;TEXT(ROW()-2,"0000"))</f>
        <v/>
      </c>
      <c r="B757" s="26" t="n"/>
      <c r="C757" s="27">
        <f>IFERROR(IF(B757="","",VLOOKUP(B757,DATABASE!$A:$B,2,0)),"")</f>
        <v/>
      </c>
      <c r="D757" s="29" t="n"/>
      <c r="E757" s="40">
        <f>IF(B757="","",TODAY())</f>
        <v/>
      </c>
      <c r="F757" s="30" t="n"/>
      <c r="G757" s="41" t="n"/>
      <c r="H757" s="42" t="n"/>
      <c r="I757" s="43">
        <f>IFERROR(IF(OR(D757="",G757="",H757=""),"",ABS(PMT(G757/100/12,H757,D757))),"")</f>
        <v/>
      </c>
      <c r="J757" s="44">
        <f>IF(B757="","","Active")</f>
        <v/>
      </c>
    </row>
    <row r="758" ht="20" customHeight="1">
      <c r="A758" s="39">
        <f>IF(B758="","","LN"&amp;TEXT(ROW()-2,"0000"))</f>
        <v/>
      </c>
      <c r="B758" s="26" t="n"/>
      <c r="C758" s="45">
        <f>IFERROR(IF(B758="","",VLOOKUP(B758,DATABASE!$A:$B,2,0)),"")</f>
        <v/>
      </c>
      <c r="D758" s="29" t="n"/>
      <c r="E758" s="40">
        <f>IF(B758="","",TODAY())</f>
        <v/>
      </c>
      <c r="F758" s="30" t="n"/>
      <c r="G758" s="41" t="n"/>
      <c r="H758" s="42" t="n"/>
      <c r="I758" s="43">
        <f>IFERROR(IF(OR(D758="",G758="",H758=""),"",ABS(PMT(G758/100/12,H758,D758))),"")</f>
        <v/>
      </c>
      <c r="J758" s="44">
        <f>IF(B758="","","Active")</f>
        <v/>
      </c>
    </row>
    <row r="759" ht="20" customHeight="1">
      <c r="A759" s="39">
        <f>IF(B759="","","LN"&amp;TEXT(ROW()-2,"0000"))</f>
        <v/>
      </c>
      <c r="B759" s="26" t="n"/>
      <c r="C759" s="27">
        <f>IFERROR(IF(B759="","",VLOOKUP(B759,DATABASE!$A:$B,2,0)),"")</f>
        <v/>
      </c>
      <c r="D759" s="29" t="n"/>
      <c r="E759" s="40">
        <f>IF(B759="","",TODAY())</f>
        <v/>
      </c>
      <c r="F759" s="30" t="n"/>
      <c r="G759" s="41" t="n"/>
      <c r="H759" s="42" t="n"/>
      <c r="I759" s="43">
        <f>IFERROR(IF(OR(D759="",G759="",H759=""),"",ABS(PMT(G759/100/12,H759,D759))),"")</f>
        <v/>
      </c>
      <c r="J759" s="44">
        <f>IF(B759="","","Active")</f>
        <v/>
      </c>
    </row>
    <row r="760" ht="20" customHeight="1">
      <c r="A760" s="39">
        <f>IF(B760="","","LN"&amp;TEXT(ROW()-2,"0000"))</f>
        <v/>
      </c>
      <c r="B760" s="26" t="n"/>
      <c r="C760" s="45">
        <f>IFERROR(IF(B760="","",VLOOKUP(B760,DATABASE!$A:$B,2,0)),"")</f>
        <v/>
      </c>
      <c r="D760" s="29" t="n"/>
      <c r="E760" s="40">
        <f>IF(B760="","",TODAY())</f>
        <v/>
      </c>
      <c r="F760" s="30" t="n"/>
      <c r="G760" s="41" t="n"/>
      <c r="H760" s="42" t="n"/>
      <c r="I760" s="43">
        <f>IFERROR(IF(OR(D760="",G760="",H760=""),"",ABS(PMT(G760/100/12,H760,D760))),"")</f>
        <v/>
      </c>
      <c r="J760" s="44">
        <f>IF(B760="","","Active")</f>
        <v/>
      </c>
    </row>
    <row r="761" ht="20" customHeight="1">
      <c r="A761" s="39">
        <f>IF(B761="","","LN"&amp;TEXT(ROW()-2,"0000"))</f>
        <v/>
      </c>
      <c r="B761" s="26" t="n"/>
      <c r="C761" s="27">
        <f>IFERROR(IF(B761="","",VLOOKUP(B761,DATABASE!$A:$B,2,0)),"")</f>
        <v/>
      </c>
      <c r="D761" s="29" t="n"/>
      <c r="E761" s="40">
        <f>IF(B761="","",TODAY())</f>
        <v/>
      </c>
      <c r="F761" s="30" t="n"/>
      <c r="G761" s="41" t="n"/>
      <c r="H761" s="42" t="n"/>
      <c r="I761" s="43">
        <f>IFERROR(IF(OR(D761="",G761="",H761=""),"",ABS(PMT(G761/100/12,H761,D761))),"")</f>
        <v/>
      </c>
      <c r="J761" s="44">
        <f>IF(B761="","","Active")</f>
        <v/>
      </c>
    </row>
    <row r="762" ht="20" customHeight="1">
      <c r="A762" s="39">
        <f>IF(B762="","","LN"&amp;TEXT(ROW()-2,"0000"))</f>
        <v/>
      </c>
      <c r="B762" s="26" t="n"/>
      <c r="C762" s="45">
        <f>IFERROR(IF(B762="","",VLOOKUP(B762,DATABASE!$A:$B,2,0)),"")</f>
        <v/>
      </c>
      <c r="D762" s="29" t="n"/>
      <c r="E762" s="40">
        <f>IF(B762="","",TODAY())</f>
        <v/>
      </c>
      <c r="F762" s="30" t="n"/>
      <c r="G762" s="41" t="n"/>
      <c r="H762" s="42" t="n"/>
      <c r="I762" s="43">
        <f>IFERROR(IF(OR(D762="",G762="",H762=""),"",ABS(PMT(G762/100/12,H762,D762))),"")</f>
        <v/>
      </c>
      <c r="J762" s="44">
        <f>IF(B762="","","Active")</f>
        <v/>
      </c>
    </row>
    <row r="763" ht="20" customHeight="1">
      <c r="A763" s="39">
        <f>IF(B763="","","LN"&amp;TEXT(ROW()-2,"0000"))</f>
        <v/>
      </c>
      <c r="B763" s="26" t="n"/>
      <c r="C763" s="27">
        <f>IFERROR(IF(B763="","",VLOOKUP(B763,DATABASE!$A:$B,2,0)),"")</f>
        <v/>
      </c>
      <c r="D763" s="29" t="n"/>
      <c r="E763" s="40">
        <f>IF(B763="","",TODAY())</f>
        <v/>
      </c>
      <c r="F763" s="30" t="n"/>
      <c r="G763" s="41" t="n"/>
      <c r="H763" s="42" t="n"/>
      <c r="I763" s="43">
        <f>IFERROR(IF(OR(D763="",G763="",H763=""),"",ABS(PMT(G763/100/12,H763,D763))),"")</f>
        <v/>
      </c>
      <c r="J763" s="44">
        <f>IF(B763="","","Active")</f>
        <v/>
      </c>
    </row>
    <row r="764" ht="20" customHeight="1">
      <c r="A764" s="39">
        <f>IF(B764="","","LN"&amp;TEXT(ROW()-2,"0000"))</f>
        <v/>
      </c>
      <c r="B764" s="26" t="n"/>
      <c r="C764" s="45">
        <f>IFERROR(IF(B764="","",VLOOKUP(B764,DATABASE!$A:$B,2,0)),"")</f>
        <v/>
      </c>
      <c r="D764" s="29" t="n"/>
      <c r="E764" s="40">
        <f>IF(B764="","",TODAY())</f>
        <v/>
      </c>
      <c r="F764" s="30" t="n"/>
      <c r="G764" s="41" t="n"/>
      <c r="H764" s="42" t="n"/>
      <c r="I764" s="43">
        <f>IFERROR(IF(OR(D764="",G764="",H764=""),"",ABS(PMT(G764/100/12,H764,D764))),"")</f>
        <v/>
      </c>
      <c r="J764" s="44">
        <f>IF(B764="","","Active")</f>
        <v/>
      </c>
    </row>
    <row r="765" ht="20" customHeight="1">
      <c r="A765" s="39">
        <f>IF(B765="","","LN"&amp;TEXT(ROW()-2,"0000"))</f>
        <v/>
      </c>
      <c r="B765" s="26" t="n"/>
      <c r="C765" s="27">
        <f>IFERROR(IF(B765="","",VLOOKUP(B765,DATABASE!$A:$B,2,0)),"")</f>
        <v/>
      </c>
      <c r="D765" s="29" t="n"/>
      <c r="E765" s="40">
        <f>IF(B765="","",TODAY())</f>
        <v/>
      </c>
      <c r="F765" s="30" t="n"/>
      <c r="G765" s="41" t="n"/>
      <c r="H765" s="42" t="n"/>
      <c r="I765" s="43">
        <f>IFERROR(IF(OR(D765="",G765="",H765=""),"",ABS(PMT(G765/100/12,H765,D765))),"")</f>
        <v/>
      </c>
      <c r="J765" s="44">
        <f>IF(B765="","","Active")</f>
        <v/>
      </c>
    </row>
    <row r="766" ht="20" customHeight="1">
      <c r="A766" s="39">
        <f>IF(B766="","","LN"&amp;TEXT(ROW()-2,"0000"))</f>
        <v/>
      </c>
      <c r="B766" s="26" t="n"/>
      <c r="C766" s="45">
        <f>IFERROR(IF(B766="","",VLOOKUP(B766,DATABASE!$A:$B,2,0)),"")</f>
        <v/>
      </c>
      <c r="D766" s="29" t="n"/>
      <c r="E766" s="40">
        <f>IF(B766="","",TODAY())</f>
        <v/>
      </c>
      <c r="F766" s="30" t="n"/>
      <c r="G766" s="41" t="n"/>
      <c r="H766" s="42" t="n"/>
      <c r="I766" s="43">
        <f>IFERROR(IF(OR(D766="",G766="",H766=""),"",ABS(PMT(G766/100/12,H766,D766))),"")</f>
        <v/>
      </c>
      <c r="J766" s="44">
        <f>IF(B766="","","Active")</f>
        <v/>
      </c>
    </row>
    <row r="767" ht="20" customHeight="1">
      <c r="A767" s="39">
        <f>IF(B767="","","LN"&amp;TEXT(ROW()-2,"0000"))</f>
        <v/>
      </c>
      <c r="B767" s="26" t="n"/>
      <c r="C767" s="27">
        <f>IFERROR(IF(B767="","",VLOOKUP(B767,DATABASE!$A:$B,2,0)),"")</f>
        <v/>
      </c>
      <c r="D767" s="29" t="n"/>
      <c r="E767" s="40">
        <f>IF(B767="","",TODAY())</f>
        <v/>
      </c>
      <c r="F767" s="30" t="n"/>
      <c r="G767" s="41" t="n"/>
      <c r="H767" s="42" t="n"/>
      <c r="I767" s="43">
        <f>IFERROR(IF(OR(D767="",G767="",H767=""),"",ABS(PMT(G767/100/12,H767,D767))),"")</f>
        <v/>
      </c>
      <c r="J767" s="44">
        <f>IF(B767="","","Active")</f>
        <v/>
      </c>
    </row>
    <row r="768" ht="20" customHeight="1">
      <c r="A768" s="39">
        <f>IF(B768="","","LN"&amp;TEXT(ROW()-2,"0000"))</f>
        <v/>
      </c>
      <c r="B768" s="26" t="n"/>
      <c r="C768" s="45">
        <f>IFERROR(IF(B768="","",VLOOKUP(B768,DATABASE!$A:$B,2,0)),"")</f>
        <v/>
      </c>
      <c r="D768" s="29" t="n"/>
      <c r="E768" s="40">
        <f>IF(B768="","",TODAY())</f>
        <v/>
      </c>
      <c r="F768" s="30" t="n"/>
      <c r="G768" s="41" t="n"/>
      <c r="H768" s="42" t="n"/>
      <c r="I768" s="43">
        <f>IFERROR(IF(OR(D768="",G768="",H768=""),"",ABS(PMT(G768/100/12,H768,D768))),"")</f>
        <v/>
      </c>
      <c r="J768" s="44">
        <f>IF(B768="","","Active")</f>
        <v/>
      </c>
    </row>
    <row r="769" ht="20" customHeight="1">
      <c r="A769" s="39">
        <f>IF(B769="","","LN"&amp;TEXT(ROW()-2,"0000"))</f>
        <v/>
      </c>
      <c r="B769" s="26" t="n"/>
      <c r="C769" s="27">
        <f>IFERROR(IF(B769="","",VLOOKUP(B769,DATABASE!$A:$B,2,0)),"")</f>
        <v/>
      </c>
      <c r="D769" s="29" t="n"/>
      <c r="E769" s="40">
        <f>IF(B769="","",TODAY())</f>
        <v/>
      </c>
      <c r="F769" s="30" t="n"/>
      <c r="G769" s="41" t="n"/>
      <c r="H769" s="42" t="n"/>
      <c r="I769" s="43">
        <f>IFERROR(IF(OR(D769="",G769="",H769=""),"",ABS(PMT(G769/100/12,H769,D769))),"")</f>
        <v/>
      </c>
      <c r="J769" s="44">
        <f>IF(B769="","","Active")</f>
        <v/>
      </c>
    </row>
    <row r="770" ht="20" customHeight="1">
      <c r="A770" s="39">
        <f>IF(B770="","","LN"&amp;TEXT(ROW()-2,"0000"))</f>
        <v/>
      </c>
      <c r="B770" s="26" t="n"/>
      <c r="C770" s="45">
        <f>IFERROR(IF(B770="","",VLOOKUP(B770,DATABASE!$A:$B,2,0)),"")</f>
        <v/>
      </c>
      <c r="D770" s="29" t="n"/>
      <c r="E770" s="40">
        <f>IF(B770="","",TODAY())</f>
        <v/>
      </c>
      <c r="F770" s="30" t="n"/>
      <c r="G770" s="41" t="n"/>
      <c r="H770" s="42" t="n"/>
      <c r="I770" s="43">
        <f>IFERROR(IF(OR(D770="",G770="",H770=""),"",ABS(PMT(G770/100/12,H770,D770))),"")</f>
        <v/>
      </c>
      <c r="J770" s="44">
        <f>IF(B770="","","Active")</f>
        <v/>
      </c>
    </row>
    <row r="771" ht="20" customHeight="1">
      <c r="A771" s="39">
        <f>IF(B771="","","LN"&amp;TEXT(ROW()-2,"0000"))</f>
        <v/>
      </c>
      <c r="B771" s="26" t="n"/>
      <c r="C771" s="27">
        <f>IFERROR(IF(B771="","",VLOOKUP(B771,DATABASE!$A:$B,2,0)),"")</f>
        <v/>
      </c>
      <c r="D771" s="29" t="n"/>
      <c r="E771" s="40">
        <f>IF(B771="","",TODAY())</f>
        <v/>
      </c>
      <c r="F771" s="30" t="n"/>
      <c r="G771" s="41" t="n"/>
      <c r="H771" s="42" t="n"/>
      <c r="I771" s="43">
        <f>IFERROR(IF(OR(D771="",G771="",H771=""),"",ABS(PMT(G771/100/12,H771,D771))),"")</f>
        <v/>
      </c>
      <c r="J771" s="44">
        <f>IF(B771="","","Active")</f>
        <v/>
      </c>
    </row>
    <row r="772" ht="20" customHeight="1">
      <c r="A772" s="39">
        <f>IF(B772="","","LN"&amp;TEXT(ROW()-2,"0000"))</f>
        <v/>
      </c>
      <c r="B772" s="26" t="n"/>
      <c r="C772" s="45">
        <f>IFERROR(IF(B772="","",VLOOKUP(B772,DATABASE!$A:$B,2,0)),"")</f>
        <v/>
      </c>
      <c r="D772" s="29" t="n"/>
      <c r="E772" s="40">
        <f>IF(B772="","",TODAY())</f>
        <v/>
      </c>
      <c r="F772" s="30" t="n"/>
      <c r="G772" s="41" t="n"/>
      <c r="H772" s="42" t="n"/>
      <c r="I772" s="43">
        <f>IFERROR(IF(OR(D772="",G772="",H772=""),"",ABS(PMT(G772/100/12,H772,D772))),"")</f>
        <v/>
      </c>
      <c r="J772" s="44">
        <f>IF(B772="","","Active")</f>
        <v/>
      </c>
    </row>
    <row r="773" ht="20" customHeight="1">
      <c r="A773" s="39">
        <f>IF(B773="","","LN"&amp;TEXT(ROW()-2,"0000"))</f>
        <v/>
      </c>
      <c r="B773" s="26" t="n"/>
      <c r="C773" s="27">
        <f>IFERROR(IF(B773="","",VLOOKUP(B773,DATABASE!$A:$B,2,0)),"")</f>
        <v/>
      </c>
      <c r="D773" s="29" t="n"/>
      <c r="E773" s="40">
        <f>IF(B773="","",TODAY())</f>
        <v/>
      </c>
      <c r="F773" s="30" t="n"/>
      <c r="G773" s="41" t="n"/>
      <c r="H773" s="42" t="n"/>
      <c r="I773" s="43">
        <f>IFERROR(IF(OR(D773="",G773="",H773=""),"",ABS(PMT(G773/100/12,H773,D773))),"")</f>
        <v/>
      </c>
      <c r="J773" s="44">
        <f>IF(B773="","","Active")</f>
        <v/>
      </c>
    </row>
    <row r="774" ht="20" customHeight="1">
      <c r="A774" s="39">
        <f>IF(B774="","","LN"&amp;TEXT(ROW()-2,"0000"))</f>
        <v/>
      </c>
      <c r="B774" s="26" t="n"/>
      <c r="C774" s="45">
        <f>IFERROR(IF(B774="","",VLOOKUP(B774,DATABASE!$A:$B,2,0)),"")</f>
        <v/>
      </c>
      <c r="D774" s="29" t="n"/>
      <c r="E774" s="40">
        <f>IF(B774="","",TODAY())</f>
        <v/>
      </c>
      <c r="F774" s="30" t="n"/>
      <c r="G774" s="41" t="n"/>
      <c r="H774" s="42" t="n"/>
      <c r="I774" s="43">
        <f>IFERROR(IF(OR(D774="",G774="",H774=""),"",ABS(PMT(G774/100/12,H774,D774))),"")</f>
        <v/>
      </c>
      <c r="J774" s="44">
        <f>IF(B774="","","Active")</f>
        <v/>
      </c>
    </row>
    <row r="775" ht="20" customHeight="1">
      <c r="A775" s="39">
        <f>IF(B775="","","LN"&amp;TEXT(ROW()-2,"0000"))</f>
        <v/>
      </c>
      <c r="B775" s="26" t="n"/>
      <c r="C775" s="27">
        <f>IFERROR(IF(B775="","",VLOOKUP(B775,DATABASE!$A:$B,2,0)),"")</f>
        <v/>
      </c>
      <c r="D775" s="29" t="n"/>
      <c r="E775" s="40">
        <f>IF(B775="","",TODAY())</f>
        <v/>
      </c>
      <c r="F775" s="30" t="n"/>
      <c r="G775" s="41" t="n"/>
      <c r="H775" s="42" t="n"/>
      <c r="I775" s="43">
        <f>IFERROR(IF(OR(D775="",G775="",H775=""),"",ABS(PMT(G775/100/12,H775,D775))),"")</f>
        <v/>
      </c>
      <c r="J775" s="44">
        <f>IF(B775="","","Active")</f>
        <v/>
      </c>
    </row>
    <row r="776" ht="20" customHeight="1">
      <c r="A776" s="39">
        <f>IF(B776="","","LN"&amp;TEXT(ROW()-2,"0000"))</f>
        <v/>
      </c>
      <c r="B776" s="26" t="n"/>
      <c r="C776" s="45">
        <f>IFERROR(IF(B776="","",VLOOKUP(B776,DATABASE!$A:$B,2,0)),"")</f>
        <v/>
      </c>
      <c r="D776" s="29" t="n"/>
      <c r="E776" s="40">
        <f>IF(B776="","",TODAY())</f>
        <v/>
      </c>
      <c r="F776" s="30" t="n"/>
      <c r="G776" s="41" t="n"/>
      <c r="H776" s="42" t="n"/>
      <c r="I776" s="43">
        <f>IFERROR(IF(OR(D776="",G776="",H776=""),"",ABS(PMT(G776/100/12,H776,D776))),"")</f>
        <v/>
      </c>
      <c r="J776" s="44">
        <f>IF(B776="","","Active")</f>
        <v/>
      </c>
    </row>
    <row r="777" ht="20" customHeight="1">
      <c r="A777" s="39">
        <f>IF(B777="","","LN"&amp;TEXT(ROW()-2,"0000"))</f>
        <v/>
      </c>
      <c r="B777" s="26" t="n"/>
      <c r="C777" s="27">
        <f>IFERROR(IF(B777="","",VLOOKUP(B777,DATABASE!$A:$B,2,0)),"")</f>
        <v/>
      </c>
      <c r="D777" s="29" t="n"/>
      <c r="E777" s="40">
        <f>IF(B777="","",TODAY())</f>
        <v/>
      </c>
      <c r="F777" s="30" t="n"/>
      <c r="G777" s="41" t="n"/>
      <c r="H777" s="42" t="n"/>
      <c r="I777" s="43">
        <f>IFERROR(IF(OR(D777="",G777="",H777=""),"",ABS(PMT(G777/100/12,H777,D777))),"")</f>
        <v/>
      </c>
      <c r="J777" s="44">
        <f>IF(B777="","","Active")</f>
        <v/>
      </c>
    </row>
    <row r="778" ht="20" customHeight="1">
      <c r="A778" s="39">
        <f>IF(B778="","","LN"&amp;TEXT(ROW()-2,"0000"))</f>
        <v/>
      </c>
      <c r="B778" s="26" t="n"/>
      <c r="C778" s="45">
        <f>IFERROR(IF(B778="","",VLOOKUP(B778,DATABASE!$A:$B,2,0)),"")</f>
        <v/>
      </c>
      <c r="D778" s="29" t="n"/>
      <c r="E778" s="40">
        <f>IF(B778="","",TODAY())</f>
        <v/>
      </c>
      <c r="F778" s="30" t="n"/>
      <c r="G778" s="41" t="n"/>
      <c r="H778" s="42" t="n"/>
      <c r="I778" s="43">
        <f>IFERROR(IF(OR(D778="",G778="",H778=""),"",ABS(PMT(G778/100/12,H778,D778))),"")</f>
        <v/>
      </c>
      <c r="J778" s="44">
        <f>IF(B778="","","Active")</f>
        <v/>
      </c>
    </row>
    <row r="779" ht="20" customHeight="1">
      <c r="A779" s="39">
        <f>IF(B779="","","LN"&amp;TEXT(ROW()-2,"0000"))</f>
        <v/>
      </c>
      <c r="B779" s="26" t="n"/>
      <c r="C779" s="27">
        <f>IFERROR(IF(B779="","",VLOOKUP(B779,DATABASE!$A:$B,2,0)),"")</f>
        <v/>
      </c>
      <c r="D779" s="29" t="n"/>
      <c r="E779" s="40">
        <f>IF(B779="","",TODAY())</f>
        <v/>
      </c>
      <c r="F779" s="30" t="n"/>
      <c r="G779" s="41" t="n"/>
      <c r="H779" s="42" t="n"/>
      <c r="I779" s="43">
        <f>IFERROR(IF(OR(D779="",G779="",H779=""),"",ABS(PMT(G779/100/12,H779,D779))),"")</f>
        <v/>
      </c>
      <c r="J779" s="44">
        <f>IF(B779="","","Active")</f>
        <v/>
      </c>
    </row>
    <row r="780" ht="20" customHeight="1">
      <c r="A780" s="39">
        <f>IF(B780="","","LN"&amp;TEXT(ROW()-2,"0000"))</f>
        <v/>
      </c>
      <c r="B780" s="26" t="n"/>
      <c r="C780" s="45">
        <f>IFERROR(IF(B780="","",VLOOKUP(B780,DATABASE!$A:$B,2,0)),"")</f>
        <v/>
      </c>
      <c r="D780" s="29" t="n"/>
      <c r="E780" s="40">
        <f>IF(B780="","",TODAY())</f>
        <v/>
      </c>
      <c r="F780" s="30" t="n"/>
      <c r="G780" s="41" t="n"/>
      <c r="H780" s="42" t="n"/>
      <c r="I780" s="43">
        <f>IFERROR(IF(OR(D780="",G780="",H780=""),"",ABS(PMT(G780/100/12,H780,D780))),"")</f>
        <v/>
      </c>
      <c r="J780" s="44">
        <f>IF(B780="","","Active")</f>
        <v/>
      </c>
    </row>
    <row r="781" ht="20" customHeight="1">
      <c r="A781" s="39">
        <f>IF(B781="","","LN"&amp;TEXT(ROW()-2,"0000"))</f>
        <v/>
      </c>
      <c r="B781" s="26" t="n"/>
      <c r="C781" s="27">
        <f>IFERROR(IF(B781="","",VLOOKUP(B781,DATABASE!$A:$B,2,0)),"")</f>
        <v/>
      </c>
      <c r="D781" s="29" t="n"/>
      <c r="E781" s="40">
        <f>IF(B781="","",TODAY())</f>
        <v/>
      </c>
      <c r="F781" s="30" t="n"/>
      <c r="G781" s="41" t="n"/>
      <c r="H781" s="42" t="n"/>
      <c r="I781" s="43">
        <f>IFERROR(IF(OR(D781="",G781="",H781=""),"",ABS(PMT(G781/100/12,H781,D781))),"")</f>
        <v/>
      </c>
      <c r="J781" s="44">
        <f>IF(B781="","","Active")</f>
        <v/>
      </c>
    </row>
    <row r="782" ht="20" customHeight="1">
      <c r="A782" s="39">
        <f>IF(B782="","","LN"&amp;TEXT(ROW()-2,"0000"))</f>
        <v/>
      </c>
      <c r="B782" s="26" t="n"/>
      <c r="C782" s="45">
        <f>IFERROR(IF(B782="","",VLOOKUP(B782,DATABASE!$A:$B,2,0)),"")</f>
        <v/>
      </c>
      <c r="D782" s="29" t="n"/>
      <c r="E782" s="40">
        <f>IF(B782="","",TODAY())</f>
        <v/>
      </c>
      <c r="F782" s="30" t="n"/>
      <c r="G782" s="41" t="n"/>
      <c r="H782" s="42" t="n"/>
      <c r="I782" s="43">
        <f>IFERROR(IF(OR(D782="",G782="",H782=""),"",ABS(PMT(G782/100/12,H782,D782))),"")</f>
        <v/>
      </c>
      <c r="J782" s="44">
        <f>IF(B782="","","Active")</f>
        <v/>
      </c>
    </row>
    <row r="783" ht="20" customHeight="1">
      <c r="A783" s="39">
        <f>IF(B783="","","LN"&amp;TEXT(ROW()-2,"0000"))</f>
        <v/>
      </c>
      <c r="B783" s="26" t="n"/>
      <c r="C783" s="27">
        <f>IFERROR(IF(B783="","",VLOOKUP(B783,DATABASE!$A:$B,2,0)),"")</f>
        <v/>
      </c>
      <c r="D783" s="29" t="n"/>
      <c r="E783" s="40">
        <f>IF(B783="","",TODAY())</f>
        <v/>
      </c>
      <c r="F783" s="30" t="n"/>
      <c r="G783" s="41" t="n"/>
      <c r="H783" s="42" t="n"/>
      <c r="I783" s="43">
        <f>IFERROR(IF(OR(D783="",G783="",H783=""),"",ABS(PMT(G783/100/12,H783,D783))),"")</f>
        <v/>
      </c>
      <c r="J783" s="44">
        <f>IF(B783="","","Active")</f>
        <v/>
      </c>
    </row>
    <row r="784" ht="20" customHeight="1">
      <c r="A784" s="39">
        <f>IF(B784="","","LN"&amp;TEXT(ROW()-2,"0000"))</f>
        <v/>
      </c>
      <c r="B784" s="26" t="n"/>
      <c r="C784" s="45">
        <f>IFERROR(IF(B784="","",VLOOKUP(B784,DATABASE!$A:$B,2,0)),"")</f>
        <v/>
      </c>
      <c r="D784" s="29" t="n"/>
      <c r="E784" s="40">
        <f>IF(B784="","",TODAY())</f>
        <v/>
      </c>
      <c r="F784" s="30" t="n"/>
      <c r="G784" s="41" t="n"/>
      <c r="H784" s="42" t="n"/>
      <c r="I784" s="43">
        <f>IFERROR(IF(OR(D784="",G784="",H784=""),"",ABS(PMT(G784/100/12,H784,D784))),"")</f>
        <v/>
      </c>
      <c r="J784" s="44">
        <f>IF(B784="","","Active")</f>
        <v/>
      </c>
    </row>
    <row r="785" ht="20" customHeight="1">
      <c r="A785" s="39">
        <f>IF(B785="","","LN"&amp;TEXT(ROW()-2,"0000"))</f>
        <v/>
      </c>
      <c r="B785" s="26" t="n"/>
      <c r="C785" s="27">
        <f>IFERROR(IF(B785="","",VLOOKUP(B785,DATABASE!$A:$B,2,0)),"")</f>
        <v/>
      </c>
      <c r="D785" s="29" t="n"/>
      <c r="E785" s="40">
        <f>IF(B785="","",TODAY())</f>
        <v/>
      </c>
      <c r="F785" s="30" t="n"/>
      <c r="G785" s="41" t="n"/>
      <c r="H785" s="42" t="n"/>
      <c r="I785" s="43">
        <f>IFERROR(IF(OR(D785="",G785="",H785=""),"",ABS(PMT(G785/100/12,H785,D785))),"")</f>
        <v/>
      </c>
      <c r="J785" s="44">
        <f>IF(B785="","","Active")</f>
        <v/>
      </c>
    </row>
    <row r="786" ht="20" customHeight="1">
      <c r="A786" s="39">
        <f>IF(B786="","","LN"&amp;TEXT(ROW()-2,"0000"))</f>
        <v/>
      </c>
      <c r="B786" s="26" t="n"/>
      <c r="C786" s="45">
        <f>IFERROR(IF(B786="","",VLOOKUP(B786,DATABASE!$A:$B,2,0)),"")</f>
        <v/>
      </c>
      <c r="D786" s="29" t="n"/>
      <c r="E786" s="40">
        <f>IF(B786="","",TODAY())</f>
        <v/>
      </c>
      <c r="F786" s="30" t="n"/>
      <c r="G786" s="41" t="n"/>
      <c r="H786" s="42" t="n"/>
      <c r="I786" s="43">
        <f>IFERROR(IF(OR(D786="",G786="",H786=""),"",ABS(PMT(G786/100/12,H786,D786))),"")</f>
        <v/>
      </c>
      <c r="J786" s="44">
        <f>IF(B786="","","Active")</f>
        <v/>
      </c>
    </row>
    <row r="787" ht="20" customHeight="1">
      <c r="A787" s="39">
        <f>IF(B787="","","LN"&amp;TEXT(ROW()-2,"0000"))</f>
        <v/>
      </c>
      <c r="B787" s="26" t="n"/>
      <c r="C787" s="27">
        <f>IFERROR(IF(B787="","",VLOOKUP(B787,DATABASE!$A:$B,2,0)),"")</f>
        <v/>
      </c>
      <c r="D787" s="29" t="n"/>
      <c r="E787" s="40">
        <f>IF(B787="","",TODAY())</f>
        <v/>
      </c>
      <c r="F787" s="30" t="n"/>
      <c r="G787" s="41" t="n"/>
      <c r="H787" s="42" t="n"/>
      <c r="I787" s="43">
        <f>IFERROR(IF(OR(D787="",G787="",H787=""),"",ABS(PMT(G787/100/12,H787,D787))),"")</f>
        <v/>
      </c>
      <c r="J787" s="44">
        <f>IF(B787="","","Active")</f>
        <v/>
      </c>
    </row>
    <row r="788" ht="20" customHeight="1">
      <c r="A788" s="39">
        <f>IF(B788="","","LN"&amp;TEXT(ROW()-2,"0000"))</f>
        <v/>
      </c>
      <c r="B788" s="26" t="n"/>
      <c r="C788" s="45">
        <f>IFERROR(IF(B788="","",VLOOKUP(B788,DATABASE!$A:$B,2,0)),"")</f>
        <v/>
      </c>
      <c r="D788" s="29" t="n"/>
      <c r="E788" s="40">
        <f>IF(B788="","",TODAY())</f>
        <v/>
      </c>
      <c r="F788" s="30" t="n"/>
      <c r="G788" s="41" t="n"/>
      <c r="H788" s="42" t="n"/>
      <c r="I788" s="43">
        <f>IFERROR(IF(OR(D788="",G788="",H788=""),"",ABS(PMT(G788/100/12,H788,D788))),"")</f>
        <v/>
      </c>
      <c r="J788" s="44">
        <f>IF(B788="","","Active")</f>
        <v/>
      </c>
    </row>
    <row r="789" ht="20" customHeight="1">
      <c r="A789" s="39">
        <f>IF(B789="","","LN"&amp;TEXT(ROW()-2,"0000"))</f>
        <v/>
      </c>
      <c r="B789" s="26" t="n"/>
      <c r="C789" s="27">
        <f>IFERROR(IF(B789="","",VLOOKUP(B789,DATABASE!$A:$B,2,0)),"")</f>
        <v/>
      </c>
      <c r="D789" s="29" t="n"/>
      <c r="E789" s="40">
        <f>IF(B789="","",TODAY())</f>
        <v/>
      </c>
      <c r="F789" s="30" t="n"/>
      <c r="G789" s="41" t="n"/>
      <c r="H789" s="42" t="n"/>
      <c r="I789" s="43">
        <f>IFERROR(IF(OR(D789="",G789="",H789=""),"",ABS(PMT(G789/100/12,H789,D789))),"")</f>
        <v/>
      </c>
      <c r="J789" s="44">
        <f>IF(B789="","","Active")</f>
        <v/>
      </c>
    </row>
    <row r="790" ht="20" customHeight="1">
      <c r="A790" s="39">
        <f>IF(B790="","","LN"&amp;TEXT(ROW()-2,"0000"))</f>
        <v/>
      </c>
      <c r="B790" s="26" t="n"/>
      <c r="C790" s="45">
        <f>IFERROR(IF(B790="","",VLOOKUP(B790,DATABASE!$A:$B,2,0)),"")</f>
        <v/>
      </c>
      <c r="D790" s="29" t="n"/>
      <c r="E790" s="40">
        <f>IF(B790="","",TODAY())</f>
        <v/>
      </c>
      <c r="F790" s="30" t="n"/>
      <c r="G790" s="41" t="n"/>
      <c r="H790" s="42" t="n"/>
      <c r="I790" s="43">
        <f>IFERROR(IF(OR(D790="",G790="",H790=""),"",ABS(PMT(G790/100/12,H790,D790))),"")</f>
        <v/>
      </c>
      <c r="J790" s="44">
        <f>IF(B790="","","Active")</f>
        <v/>
      </c>
    </row>
    <row r="791" ht="20" customHeight="1">
      <c r="A791" s="39">
        <f>IF(B791="","","LN"&amp;TEXT(ROW()-2,"0000"))</f>
        <v/>
      </c>
      <c r="B791" s="26" t="n"/>
      <c r="C791" s="27">
        <f>IFERROR(IF(B791="","",VLOOKUP(B791,DATABASE!$A:$B,2,0)),"")</f>
        <v/>
      </c>
      <c r="D791" s="29" t="n"/>
      <c r="E791" s="40">
        <f>IF(B791="","",TODAY())</f>
        <v/>
      </c>
      <c r="F791" s="30" t="n"/>
      <c r="G791" s="41" t="n"/>
      <c r="H791" s="42" t="n"/>
      <c r="I791" s="43">
        <f>IFERROR(IF(OR(D791="",G791="",H791=""),"",ABS(PMT(G791/100/12,H791,D791))),"")</f>
        <v/>
      </c>
      <c r="J791" s="44">
        <f>IF(B791="","","Active")</f>
        <v/>
      </c>
    </row>
    <row r="792" ht="20" customHeight="1">
      <c r="A792" s="39">
        <f>IF(B792="","","LN"&amp;TEXT(ROW()-2,"0000"))</f>
        <v/>
      </c>
      <c r="B792" s="26" t="n"/>
      <c r="C792" s="45">
        <f>IFERROR(IF(B792="","",VLOOKUP(B792,DATABASE!$A:$B,2,0)),"")</f>
        <v/>
      </c>
      <c r="D792" s="29" t="n"/>
      <c r="E792" s="40">
        <f>IF(B792="","",TODAY())</f>
        <v/>
      </c>
      <c r="F792" s="30" t="n"/>
      <c r="G792" s="41" t="n"/>
      <c r="H792" s="42" t="n"/>
      <c r="I792" s="43">
        <f>IFERROR(IF(OR(D792="",G792="",H792=""),"",ABS(PMT(G792/100/12,H792,D792))),"")</f>
        <v/>
      </c>
      <c r="J792" s="44">
        <f>IF(B792="","","Active")</f>
        <v/>
      </c>
    </row>
    <row r="793" ht="20" customHeight="1">
      <c r="A793" s="39">
        <f>IF(B793="","","LN"&amp;TEXT(ROW()-2,"0000"))</f>
        <v/>
      </c>
      <c r="B793" s="26" t="n"/>
      <c r="C793" s="27">
        <f>IFERROR(IF(B793="","",VLOOKUP(B793,DATABASE!$A:$B,2,0)),"")</f>
        <v/>
      </c>
      <c r="D793" s="29" t="n"/>
      <c r="E793" s="40">
        <f>IF(B793="","",TODAY())</f>
        <v/>
      </c>
      <c r="F793" s="30" t="n"/>
      <c r="G793" s="41" t="n"/>
      <c r="H793" s="42" t="n"/>
      <c r="I793" s="43">
        <f>IFERROR(IF(OR(D793="",G793="",H793=""),"",ABS(PMT(G793/100/12,H793,D793))),"")</f>
        <v/>
      </c>
      <c r="J793" s="44">
        <f>IF(B793="","","Active")</f>
        <v/>
      </c>
    </row>
    <row r="794" ht="20" customHeight="1">
      <c r="A794" s="39">
        <f>IF(B794="","","LN"&amp;TEXT(ROW()-2,"0000"))</f>
        <v/>
      </c>
      <c r="B794" s="26" t="n"/>
      <c r="C794" s="45">
        <f>IFERROR(IF(B794="","",VLOOKUP(B794,DATABASE!$A:$B,2,0)),"")</f>
        <v/>
      </c>
      <c r="D794" s="29" t="n"/>
      <c r="E794" s="40">
        <f>IF(B794="","",TODAY())</f>
        <v/>
      </c>
      <c r="F794" s="30" t="n"/>
      <c r="G794" s="41" t="n"/>
      <c r="H794" s="42" t="n"/>
      <c r="I794" s="43">
        <f>IFERROR(IF(OR(D794="",G794="",H794=""),"",ABS(PMT(G794/100/12,H794,D794))),"")</f>
        <v/>
      </c>
      <c r="J794" s="44">
        <f>IF(B794="","","Active")</f>
        <v/>
      </c>
    </row>
    <row r="795" ht="20" customHeight="1">
      <c r="A795" s="39">
        <f>IF(B795="","","LN"&amp;TEXT(ROW()-2,"0000"))</f>
        <v/>
      </c>
      <c r="B795" s="26" t="n"/>
      <c r="C795" s="27">
        <f>IFERROR(IF(B795="","",VLOOKUP(B795,DATABASE!$A:$B,2,0)),"")</f>
        <v/>
      </c>
      <c r="D795" s="29" t="n"/>
      <c r="E795" s="40">
        <f>IF(B795="","",TODAY())</f>
        <v/>
      </c>
      <c r="F795" s="30" t="n"/>
      <c r="G795" s="41" t="n"/>
      <c r="H795" s="42" t="n"/>
      <c r="I795" s="43">
        <f>IFERROR(IF(OR(D795="",G795="",H795=""),"",ABS(PMT(G795/100/12,H795,D795))),"")</f>
        <v/>
      </c>
      <c r="J795" s="44">
        <f>IF(B795="","","Active")</f>
        <v/>
      </c>
    </row>
    <row r="796" ht="20" customHeight="1">
      <c r="A796" s="39">
        <f>IF(B796="","","LN"&amp;TEXT(ROW()-2,"0000"))</f>
        <v/>
      </c>
      <c r="B796" s="26" t="n"/>
      <c r="C796" s="45">
        <f>IFERROR(IF(B796="","",VLOOKUP(B796,DATABASE!$A:$B,2,0)),"")</f>
        <v/>
      </c>
      <c r="D796" s="29" t="n"/>
      <c r="E796" s="40">
        <f>IF(B796="","",TODAY())</f>
        <v/>
      </c>
      <c r="F796" s="30" t="n"/>
      <c r="G796" s="41" t="n"/>
      <c r="H796" s="42" t="n"/>
      <c r="I796" s="43">
        <f>IFERROR(IF(OR(D796="",G796="",H796=""),"",ABS(PMT(G796/100/12,H796,D796))),"")</f>
        <v/>
      </c>
      <c r="J796" s="44">
        <f>IF(B796="","","Active")</f>
        <v/>
      </c>
    </row>
    <row r="797" ht="20" customHeight="1">
      <c r="A797" s="39">
        <f>IF(B797="","","LN"&amp;TEXT(ROW()-2,"0000"))</f>
        <v/>
      </c>
      <c r="B797" s="26" t="n"/>
      <c r="C797" s="27">
        <f>IFERROR(IF(B797="","",VLOOKUP(B797,DATABASE!$A:$B,2,0)),"")</f>
        <v/>
      </c>
      <c r="D797" s="29" t="n"/>
      <c r="E797" s="40">
        <f>IF(B797="","",TODAY())</f>
        <v/>
      </c>
      <c r="F797" s="30" t="n"/>
      <c r="G797" s="41" t="n"/>
      <c r="H797" s="42" t="n"/>
      <c r="I797" s="43">
        <f>IFERROR(IF(OR(D797="",G797="",H797=""),"",ABS(PMT(G797/100/12,H797,D797))),"")</f>
        <v/>
      </c>
      <c r="J797" s="44">
        <f>IF(B797="","","Active")</f>
        <v/>
      </c>
    </row>
    <row r="798" ht="20" customHeight="1">
      <c r="A798" s="39">
        <f>IF(B798="","","LN"&amp;TEXT(ROW()-2,"0000"))</f>
        <v/>
      </c>
      <c r="B798" s="26" t="n"/>
      <c r="C798" s="45">
        <f>IFERROR(IF(B798="","",VLOOKUP(B798,DATABASE!$A:$B,2,0)),"")</f>
        <v/>
      </c>
      <c r="D798" s="29" t="n"/>
      <c r="E798" s="40">
        <f>IF(B798="","",TODAY())</f>
        <v/>
      </c>
      <c r="F798" s="30" t="n"/>
      <c r="G798" s="41" t="n"/>
      <c r="H798" s="42" t="n"/>
      <c r="I798" s="43">
        <f>IFERROR(IF(OR(D798="",G798="",H798=""),"",ABS(PMT(G798/100/12,H798,D798))),"")</f>
        <v/>
      </c>
      <c r="J798" s="44">
        <f>IF(B798="","","Active")</f>
        <v/>
      </c>
    </row>
    <row r="799" ht="20" customHeight="1">
      <c r="A799" s="39">
        <f>IF(B799="","","LN"&amp;TEXT(ROW()-2,"0000"))</f>
        <v/>
      </c>
      <c r="B799" s="26" t="n"/>
      <c r="C799" s="27">
        <f>IFERROR(IF(B799="","",VLOOKUP(B799,DATABASE!$A:$B,2,0)),"")</f>
        <v/>
      </c>
      <c r="D799" s="29" t="n"/>
      <c r="E799" s="40">
        <f>IF(B799="","",TODAY())</f>
        <v/>
      </c>
      <c r="F799" s="30" t="n"/>
      <c r="G799" s="41" t="n"/>
      <c r="H799" s="42" t="n"/>
      <c r="I799" s="43">
        <f>IFERROR(IF(OR(D799="",G799="",H799=""),"",ABS(PMT(G799/100/12,H799,D799))),"")</f>
        <v/>
      </c>
      <c r="J799" s="44">
        <f>IF(B799="","","Active")</f>
        <v/>
      </c>
    </row>
    <row r="800" ht="20" customHeight="1">
      <c r="A800" s="39">
        <f>IF(B800="","","LN"&amp;TEXT(ROW()-2,"0000"))</f>
        <v/>
      </c>
      <c r="B800" s="26" t="n"/>
      <c r="C800" s="45">
        <f>IFERROR(IF(B800="","",VLOOKUP(B800,DATABASE!$A:$B,2,0)),"")</f>
        <v/>
      </c>
      <c r="D800" s="29" t="n"/>
      <c r="E800" s="40">
        <f>IF(B800="","",TODAY())</f>
        <v/>
      </c>
      <c r="F800" s="30" t="n"/>
      <c r="G800" s="41" t="n"/>
      <c r="H800" s="42" t="n"/>
      <c r="I800" s="43">
        <f>IFERROR(IF(OR(D800="",G800="",H800=""),"",ABS(PMT(G800/100/12,H800,D800))),"")</f>
        <v/>
      </c>
      <c r="J800" s="44">
        <f>IF(B800="","","Active")</f>
        <v/>
      </c>
    </row>
    <row r="801" ht="20" customHeight="1">
      <c r="A801" s="39">
        <f>IF(B801="","","LN"&amp;TEXT(ROW()-2,"0000"))</f>
        <v/>
      </c>
      <c r="B801" s="26" t="n"/>
      <c r="C801" s="27">
        <f>IFERROR(IF(B801="","",VLOOKUP(B801,DATABASE!$A:$B,2,0)),"")</f>
        <v/>
      </c>
      <c r="D801" s="29" t="n"/>
      <c r="E801" s="40">
        <f>IF(B801="","",TODAY())</f>
        <v/>
      </c>
      <c r="F801" s="30" t="n"/>
      <c r="G801" s="41" t="n"/>
      <c r="H801" s="42" t="n"/>
      <c r="I801" s="43">
        <f>IFERROR(IF(OR(D801="",G801="",H801=""),"",ABS(PMT(G801/100/12,H801,D801))),"")</f>
        <v/>
      </c>
      <c r="J801" s="44">
        <f>IF(B801="","","Active")</f>
        <v/>
      </c>
    </row>
    <row r="802" ht="20" customHeight="1">
      <c r="A802" s="39">
        <f>IF(B802="","","LN"&amp;TEXT(ROW()-2,"0000"))</f>
        <v/>
      </c>
      <c r="B802" s="26" t="n"/>
      <c r="C802" s="45">
        <f>IFERROR(IF(B802="","",VLOOKUP(B802,DATABASE!$A:$B,2,0)),"")</f>
        <v/>
      </c>
      <c r="D802" s="29" t="n"/>
      <c r="E802" s="40">
        <f>IF(B802="","",TODAY())</f>
        <v/>
      </c>
      <c r="F802" s="30" t="n"/>
      <c r="G802" s="41" t="n"/>
      <c r="H802" s="42" t="n"/>
      <c r="I802" s="43">
        <f>IFERROR(IF(OR(D802="",G802="",H802=""),"",ABS(PMT(G802/100/12,H802,D802))),"")</f>
        <v/>
      </c>
      <c r="J802" s="44">
        <f>IF(B802="","","Active")</f>
        <v/>
      </c>
    </row>
    <row r="803" ht="20" customHeight="1">
      <c r="A803" s="39">
        <f>IF(B803="","","LN"&amp;TEXT(ROW()-2,"0000"))</f>
        <v/>
      </c>
      <c r="B803" s="26" t="n"/>
      <c r="C803" s="27">
        <f>IFERROR(IF(B803="","",VLOOKUP(B803,DATABASE!$A:$B,2,0)),"")</f>
        <v/>
      </c>
      <c r="D803" s="29" t="n"/>
      <c r="E803" s="40">
        <f>IF(B803="","",TODAY())</f>
        <v/>
      </c>
      <c r="F803" s="30" t="n"/>
      <c r="G803" s="41" t="n"/>
      <c r="H803" s="42" t="n"/>
      <c r="I803" s="43">
        <f>IFERROR(IF(OR(D803="",G803="",H803=""),"",ABS(PMT(G803/100/12,H803,D803))),"")</f>
        <v/>
      </c>
      <c r="J803" s="44">
        <f>IF(B803="","","Active")</f>
        <v/>
      </c>
    </row>
    <row r="804" ht="20" customHeight="1">
      <c r="A804" s="39">
        <f>IF(B804="","","LN"&amp;TEXT(ROW()-2,"0000"))</f>
        <v/>
      </c>
      <c r="B804" s="26" t="n"/>
      <c r="C804" s="45">
        <f>IFERROR(IF(B804="","",VLOOKUP(B804,DATABASE!$A:$B,2,0)),"")</f>
        <v/>
      </c>
      <c r="D804" s="29" t="n"/>
      <c r="E804" s="40">
        <f>IF(B804="","",TODAY())</f>
        <v/>
      </c>
      <c r="F804" s="30" t="n"/>
      <c r="G804" s="41" t="n"/>
      <c r="H804" s="42" t="n"/>
      <c r="I804" s="43">
        <f>IFERROR(IF(OR(D804="",G804="",H804=""),"",ABS(PMT(G804/100/12,H804,D804))),"")</f>
        <v/>
      </c>
      <c r="J804" s="44">
        <f>IF(B804="","","Active")</f>
        <v/>
      </c>
    </row>
    <row r="805" ht="20" customHeight="1">
      <c r="A805" s="39">
        <f>IF(B805="","","LN"&amp;TEXT(ROW()-2,"0000"))</f>
        <v/>
      </c>
      <c r="B805" s="26" t="n"/>
      <c r="C805" s="27">
        <f>IFERROR(IF(B805="","",VLOOKUP(B805,DATABASE!$A:$B,2,0)),"")</f>
        <v/>
      </c>
      <c r="D805" s="29" t="n"/>
      <c r="E805" s="40">
        <f>IF(B805="","",TODAY())</f>
        <v/>
      </c>
      <c r="F805" s="30" t="n"/>
      <c r="G805" s="41" t="n"/>
      <c r="H805" s="42" t="n"/>
      <c r="I805" s="43">
        <f>IFERROR(IF(OR(D805="",G805="",H805=""),"",ABS(PMT(G805/100/12,H805,D805))),"")</f>
        <v/>
      </c>
      <c r="J805" s="44">
        <f>IF(B805="","","Active")</f>
        <v/>
      </c>
    </row>
    <row r="806" ht="20" customHeight="1">
      <c r="A806" s="39">
        <f>IF(B806="","","LN"&amp;TEXT(ROW()-2,"0000"))</f>
        <v/>
      </c>
      <c r="B806" s="26" t="n"/>
      <c r="C806" s="45">
        <f>IFERROR(IF(B806="","",VLOOKUP(B806,DATABASE!$A:$B,2,0)),"")</f>
        <v/>
      </c>
      <c r="D806" s="29" t="n"/>
      <c r="E806" s="40">
        <f>IF(B806="","",TODAY())</f>
        <v/>
      </c>
      <c r="F806" s="30" t="n"/>
      <c r="G806" s="41" t="n"/>
      <c r="H806" s="42" t="n"/>
      <c r="I806" s="43">
        <f>IFERROR(IF(OR(D806="",G806="",H806=""),"",ABS(PMT(G806/100/12,H806,D806))),"")</f>
        <v/>
      </c>
      <c r="J806" s="44">
        <f>IF(B806="","","Active")</f>
        <v/>
      </c>
    </row>
    <row r="807" ht="20" customHeight="1">
      <c r="A807" s="39">
        <f>IF(B807="","","LN"&amp;TEXT(ROW()-2,"0000"))</f>
        <v/>
      </c>
      <c r="B807" s="26" t="n"/>
      <c r="C807" s="27">
        <f>IFERROR(IF(B807="","",VLOOKUP(B807,DATABASE!$A:$B,2,0)),"")</f>
        <v/>
      </c>
      <c r="D807" s="29" t="n"/>
      <c r="E807" s="40">
        <f>IF(B807="","",TODAY())</f>
        <v/>
      </c>
      <c r="F807" s="30" t="n"/>
      <c r="G807" s="41" t="n"/>
      <c r="H807" s="42" t="n"/>
      <c r="I807" s="43">
        <f>IFERROR(IF(OR(D807="",G807="",H807=""),"",ABS(PMT(G807/100/12,H807,D807))),"")</f>
        <v/>
      </c>
      <c r="J807" s="44">
        <f>IF(B807="","","Active")</f>
        <v/>
      </c>
    </row>
    <row r="808" ht="20" customHeight="1">
      <c r="A808" s="39">
        <f>IF(B808="","","LN"&amp;TEXT(ROW()-2,"0000"))</f>
        <v/>
      </c>
      <c r="B808" s="26" t="n"/>
      <c r="C808" s="45">
        <f>IFERROR(IF(B808="","",VLOOKUP(B808,DATABASE!$A:$B,2,0)),"")</f>
        <v/>
      </c>
      <c r="D808" s="29" t="n"/>
      <c r="E808" s="40">
        <f>IF(B808="","",TODAY())</f>
        <v/>
      </c>
      <c r="F808" s="30" t="n"/>
      <c r="G808" s="41" t="n"/>
      <c r="H808" s="42" t="n"/>
      <c r="I808" s="43">
        <f>IFERROR(IF(OR(D808="",G808="",H808=""),"",ABS(PMT(G808/100/12,H808,D808))),"")</f>
        <v/>
      </c>
      <c r="J808" s="44">
        <f>IF(B808="","","Active")</f>
        <v/>
      </c>
    </row>
    <row r="809" ht="20" customHeight="1">
      <c r="A809" s="39">
        <f>IF(B809="","","LN"&amp;TEXT(ROW()-2,"0000"))</f>
        <v/>
      </c>
      <c r="B809" s="26" t="n"/>
      <c r="C809" s="27">
        <f>IFERROR(IF(B809="","",VLOOKUP(B809,DATABASE!$A:$B,2,0)),"")</f>
        <v/>
      </c>
      <c r="D809" s="29" t="n"/>
      <c r="E809" s="40">
        <f>IF(B809="","",TODAY())</f>
        <v/>
      </c>
      <c r="F809" s="30" t="n"/>
      <c r="G809" s="41" t="n"/>
      <c r="H809" s="42" t="n"/>
      <c r="I809" s="43">
        <f>IFERROR(IF(OR(D809="",G809="",H809=""),"",ABS(PMT(G809/100/12,H809,D809))),"")</f>
        <v/>
      </c>
      <c r="J809" s="44">
        <f>IF(B809="","","Active")</f>
        <v/>
      </c>
    </row>
    <row r="810" ht="20" customHeight="1">
      <c r="A810" s="39">
        <f>IF(B810="","","LN"&amp;TEXT(ROW()-2,"0000"))</f>
        <v/>
      </c>
      <c r="B810" s="26" t="n"/>
      <c r="C810" s="45">
        <f>IFERROR(IF(B810="","",VLOOKUP(B810,DATABASE!$A:$B,2,0)),"")</f>
        <v/>
      </c>
      <c r="D810" s="29" t="n"/>
      <c r="E810" s="40">
        <f>IF(B810="","",TODAY())</f>
        <v/>
      </c>
      <c r="F810" s="30" t="n"/>
      <c r="G810" s="41" t="n"/>
      <c r="H810" s="42" t="n"/>
      <c r="I810" s="43">
        <f>IFERROR(IF(OR(D810="",G810="",H810=""),"",ABS(PMT(G810/100/12,H810,D810))),"")</f>
        <v/>
      </c>
      <c r="J810" s="44">
        <f>IF(B810="","","Active")</f>
        <v/>
      </c>
    </row>
    <row r="811" ht="20" customHeight="1">
      <c r="A811" s="39">
        <f>IF(B811="","","LN"&amp;TEXT(ROW()-2,"0000"))</f>
        <v/>
      </c>
      <c r="B811" s="26" t="n"/>
      <c r="C811" s="27">
        <f>IFERROR(IF(B811="","",VLOOKUP(B811,DATABASE!$A:$B,2,0)),"")</f>
        <v/>
      </c>
      <c r="D811" s="29" t="n"/>
      <c r="E811" s="40">
        <f>IF(B811="","",TODAY())</f>
        <v/>
      </c>
      <c r="F811" s="30" t="n"/>
      <c r="G811" s="41" t="n"/>
      <c r="H811" s="42" t="n"/>
      <c r="I811" s="43">
        <f>IFERROR(IF(OR(D811="",G811="",H811=""),"",ABS(PMT(G811/100/12,H811,D811))),"")</f>
        <v/>
      </c>
      <c r="J811" s="44">
        <f>IF(B811="","","Active")</f>
        <v/>
      </c>
    </row>
    <row r="812" ht="20" customHeight="1">
      <c r="A812" s="39">
        <f>IF(B812="","","LN"&amp;TEXT(ROW()-2,"0000"))</f>
        <v/>
      </c>
      <c r="B812" s="26" t="n"/>
      <c r="C812" s="45">
        <f>IFERROR(IF(B812="","",VLOOKUP(B812,DATABASE!$A:$B,2,0)),"")</f>
        <v/>
      </c>
      <c r="D812" s="29" t="n"/>
      <c r="E812" s="40">
        <f>IF(B812="","",TODAY())</f>
        <v/>
      </c>
      <c r="F812" s="30" t="n"/>
      <c r="G812" s="41" t="n"/>
      <c r="H812" s="42" t="n"/>
      <c r="I812" s="43">
        <f>IFERROR(IF(OR(D812="",G812="",H812=""),"",ABS(PMT(G812/100/12,H812,D812))),"")</f>
        <v/>
      </c>
      <c r="J812" s="44">
        <f>IF(B812="","","Active")</f>
        <v/>
      </c>
    </row>
    <row r="813" ht="20" customHeight="1">
      <c r="A813" s="39">
        <f>IF(B813="","","LN"&amp;TEXT(ROW()-2,"0000"))</f>
        <v/>
      </c>
      <c r="B813" s="26" t="n"/>
      <c r="C813" s="27">
        <f>IFERROR(IF(B813="","",VLOOKUP(B813,DATABASE!$A:$B,2,0)),"")</f>
        <v/>
      </c>
      <c r="D813" s="29" t="n"/>
      <c r="E813" s="40">
        <f>IF(B813="","",TODAY())</f>
        <v/>
      </c>
      <c r="F813" s="30" t="n"/>
      <c r="G813" s="41" t="n"/>
      <c r="H813" s="42" t="n"/>
      <c r="I813" s="43">
        <f>IFERROR(IF(OR(D813="",G813="",H813=""),"",ABS(PMT(G813/100/12,H813,D813))),"")</f>
        <v/>
      </c>
      <c r="J813" s="44">
        <f>IF(B813="","","Active")</f>
        <v/>
      </c>
    </row>
    <row r="814" ht="20" customHeight="1">
      <c r="A814" s="39">
        <f>IF(B814="","","LN"&amp;TEXT(ROW()-2,"0000"))</f>
        <v/>
      </c>
      <c r="B814" s="26" t="n"/>
      <c r="C814" s="45">
        <f>IFERROR(IF(B814="","",VLOOKUP(B814,DATABASE!$A:$B,2,0)),"")</f>
        <v/>
      </c>
      <c r="D814" s="29" t="n"/>
      <c r="E814" s="40">
        <f>IF(B814="","",TODAY())</f>
        <v/>
      </c>
      <c r="F814" s="30" t="n"/>
      <c r="G814" s="41" t="n"/>
      <c r="H814" s="42" t="n"/>
      <c r="I814" s="43">
        <f>IFERROR(IF(OR(D814="",G814="",H814=""),"",ABS(PMT(G814/100/12,H814,D814))),"")</f>
        <v/>
      </c>
      <c r="J814" s="44">
        <f>IF(B814="","","Active")</f>
        <v/>
      </c>
    </row>
    <row r="815" ht="20" customHeight="1">
      <c r="A815" s="39">
        <f>IF(B815="","","LN"&amp;TEXT(ROW()-2,"0000"))</f>
        <v/>
      </c>
      <c r="B815" s="26" t="n"/>
      <c r="C815" s="27">
        <f>IFERROR(IF(B815="","",VLOOKUP(B815,DATABASE!$A:$B,2,0)),"")</f>
        <v/>
      </c>
      <c r="D815" s="29" t="n"/>
      <c r="E815" s="40">
        <f>IF(B815="","",TODAY())</f>
        <v/>
      </c>
      <c r="F815" s="30" t="n"/>
      <c r="G815" s="41" t="n"/>
      <c r="H815" s="42" t="n"/>
      <c r="I815" s="43">
        <f>IFERROR(IF(OR(D815="",G815="",H815=""),"",ABS(PMT(G815/100/12,H815,D815))),"")</f>
        <v/>
      </c>
      <c r="J815" s="44">
        <f>IF(B815="","","Active")</f>
        <v/>
      </c>
    </row>
    <row r="816" ht="20" customHeight="1">
      <c r="A816" s="39">
        <f>IF(B816="","","LN"&amp;TEXT(ROW()-2,"0000"))</f>
        <v/>
      </c>
      <c r="B816" s="26" t="n"/>
      <c r="C816" s="45">
        <f>IFERROR(IF(B816="","",VLOOKUP(B816,DATABASE!$A:$B,2,0)),"")</f>
        <v/>
      </c>
      <c r="D816" s="29" t="n"/>
      <c r="E816" s="40">
        <f>IF(B816="","",TODAY())</f>
        <v/>
      </c>
      <c r="F816" s="30" t="n"/>
      <c r="G816" s="41" t="n"/>
      <c r="H816" s="42" t="n"/>
      <c r="I816" s="43">
        <f>IFERROR(IF(OR(D816="",G816="",H816=""),"",ABS(PMT(G816/100/12,H816,D816))),"")</f>
        <v/>
      </c>
      <c r="J816" s="44">
        <f>IF(B816="","","Active")</f>
        <v/>
      </c>
    </row>
    <row r="817" ht="20" customHeight="1">
      <c r="A817" s="39">
        <f>IF(B817="","","LN"&amp;TEXT(ROW()-2,"0000"))</f>
        <v/>
      </c>
      <c r="B817" s="26" t="n"/>
      <c r="C817" s="27">
        <f>IFERROR(IF(B817="","",VLOOKUP(B817,DATABASE!$A:$B,2,0)),"")</f>
        <v/>
      </c>
      <c r="D817" s="29" t="n"/>
      <c r="E817" s="40">
        <f>IF(B817="","",TODAY())</f>
        <v/>
      </c>
      <c r="F817" s="30" t="n"/>
      <c r="G817" s="41" t="n"/>
      <c r="H817" s="42" t="n"/>
      <c r="I817" s="43">
        <f>IFERROR(IF(OR(D817="",G817="",H817=""),"",ABS(PMT(G817/100/12,H817,D817))),"")</f>
        <v/>
      </c>
      <c r="J817" s="44">
        <f>IF(B817="","","Active")</f>
        <v/>
      </c>
    </row>
    <row r="818" ht="20" customHeight="1">
      <c r="A818" s="39">
        <f>IF(B818="","","LN"&amp;TEXT(ROW()-2,"0000"))</f>
        <v/>
      </c>
      <c r="B818" s="26" t="n"/>
      <c r="C818" s="45">
        <f>IFERROR(IF(B818="","",VLOOKUP(B818,DATABASE!$A:$B,2,0)),"")</f>
        <v/>
      </c>
      <c r="D818" s="29" t="n"/>
      <c r="E818" s="40">
        <f>IF(B818="","",TODAY())</f>
        <v/>
      </c>
      <c r="F818" s="30" t="n"/>
      <c r="G818" s="41" t="n"/>
      <c r="H818" s="42" t="n"/>
      <c r="I818" s="43">
        <f>IFERROR(IF(OR(D818="",G818="",H818=""),"",ABS(PMT(G818/100/12,H818,D818))),"")</f>
        <v/>
      </c>
      <c r="J818" s="44">
        <f>IF(B818="","","Active")</f>
        <v/>
      </c>
    </row>
    <row r="819" ht="20" customHeight="1">
      <c r="A819" s="39">
        <f>IF(B819="","","LN"&amp;TEXT(ROW()-2,"0000"))</f>
        <v/>
      </c>
      <c r="B819" s="26" t="n"/>
      <c r="C819" s="27">
        <f>IFERROR(IF(B819="","",VLOOKUP(B819,DATABASE!$A:$B,2,0)),"")</f>
        <v/>
      </c>
      <c r="D819" s="29" t="n"/>
      <c r="E819" s="40">
        <f>IF(B819="","",TODAY())</f>
        <v/>
      </c>
      <c r="F819" s="30" t="n"/>
      <c r="G819" s="41" t="n"/>
      <c r="H819" s="42" t="n"/>
      <c r="I819" s="43">
        <f>IFERROR(IF(OR(D819="",G819="",H819=""),"",ABS(PMT(G819/100/12,H819,D819))),"")</f>
        <v/>
      </c>
      <c r="J819" s="44">
        <f>IF(B819="","","Active")</f>
        <v/>
      </c>
    </row>
    <row r="820" ht="20" customHeight="1">
      <c r="A820" s="39">
        <f>IF(B820="","","LN"&amp;TEXT(ROW()-2,"0000"))</f>
        <v/>
      </c>
      <c r="B820" s="26" t="n"/>
      <c r="C820" s="45">
        <f>IFERROR(IF(B820="","",VLOOKUP(B820,DATABASE!$A:$B,2,0)),"")</f>
        <v/>
      </c>
      <c r="D820" s="29" t="n"/>
      <c r="E820" s="40">
        <f>IF(B820="","",TODAY())</f>
        <v/>
      </c>
      <c r="F820" s="30" t="n"/>
      <c r="G820" s="41" t="n"/>
      <c r="H820" s="42" t="n"/>
      <c r="I820" s="43">
        <f>IFERROR(IF(OR(D820="",G820="",H820=""),"",ABS(PMT(G820/100/12,H820,D820))),"")</f>
        <v/>
      </c>
      <c r="J820" s="44">
        <f>IF(B820="","","Active")</f>
        <v/>
      </c>
    </row>
    <row r="821" ht="20" customHeight="1">
      <c r="A821" s="39">
        <f>IF(B821="","","LN"&amp;TEXT(ROW()-2,"0000"))</f>
        <v/>
      </c>
      <c r="B821" s="26" t="n"/>
      <c r="C821" s="27">
        <f>IFERROR(IF(B821="","",VLOOKUP(B821,DATABASE!$A:$B,2,0)),"")</f>
        <v/>
      </c>
      <c r="D821" s="29" t="n"/>
      <c r="E821" s="40">
        <f>IF(B821="","",TODAY())</f>
        <v/>
      </c>
      <c r="F821" s="30" t="n"/>
      <c r="G821" s="41" t="n"/>
      <c r="H821" s="42" t="n"/>
      <c r="I821" s="43">
        <f>IFERROR(IF(OR(D821="",G821="",H821=""),"",ABS(PMT(G821/100/12,H821,D821))),"")</f>
        <v/>
      </c>
      <c r="J821" s="44">
        <f>IF(B821="","","Active")</f>
        <v/>
      </c>
    </row>
    <row r="822" ht="20" customHeight="1">
      <c r="A822" s="39">
        <f>IF(B822="","","LN"&amp;TEXT(ROW()-2,"0000"))</f>
        <v/>
      </c>
      <c r="B822" s="26" t="n"/>
      <c r="C822" s="45">
        <f>IFERROR(IF(B822="","",VLOOKUP(B822,DATABASE!$A:$B,2,0)),"")</f>
        <v/>
      </c>
      <c r="D822" s="29" t="n"/>
      <c r="E822" s="40">
        <f>IF(B822="","",TODAY())</f>
        <v/>
      </c>
      <c r="F822" s="30" t="n"/>
      <c r="G822" s="41" t="n"/>
      <c r="H822" s="42" t="n"/>
      <c r="I822" s="43">
        <f>IFERROR(IF(OR(D822="",G822="",H822=""),"",ABS(PMT(G822/100/12,H822,D822))),"")</f>
        <v/>
      </c>
      <c r="J822" s="44">
        <f>IF(B822="","","Active")</f>
        <v/>
      </c>
    </row>
    <row r="823" ht="20" customHeight="1">
      <c r="A823" s="39">
        <f>IF(B823="","","LN"&amp;TEXT(ROW()-2,"0000"))</f>
        <v/>
      </c>
      <c r="B823" s="26" t="n"/>
      <c r="C823" s="27">
        <f>IFERROR(IF(B823="","",VLOOKUP(B823,DATABASE!$A:$B,2,0)),"")</f>
        <v/>
      </c>
      <c r="D823" s="29" t="n"/>
      <c r="E823" s="40">
        <f>IF(B823="","",TODAY())</f>
        <v/>
      </c>
      <c r="F823" s="30" t="n"/>
      <c r="G823" s="41" t="n"/>
      <c r="H823" s="42" t="n"/>
      <c r="I823" s="43">
        <f>IFERROR(IF(OR(D823="",G823="",H823=""),"",ABS(PMT(G823/100/12,H823,D823))),"")</f>
        <v/>
      </c>
      <c r="J823" s="44">
        <f>IF(B823="","","Active")</f>
        <v/>
      </c>
    </row>
    <row r="824" ht="20" customHeight="1">
      <c r="A824" s="39">
        <f>IF(B824="","","LN"&amp;TEXT(ROW()-2,"0000"))</f>
        <v/>
      </c>
      <c r="B824" s="26" t="n"/>
      <c r="C824" s="45">
        <f>IFERROR(IF(B824="","",VLOOKUP(B824,DATABASE!$A:$B,2,0)),"")</f>
        <v/>
      </c>
      <c r="D824" s="29" t="n"/>
      <c r="E824" s="40">
        <f>IF(B824="","",TODAY())</f>
        <v/>
      </c>
      <c r="F824" s="30" t="n"/>
      <c r="G824" s="41" t="n"/>
      <c r="H824" s="42" t="n"/>
      <c r="I824" s="43">
        <f>IFERROR(IF(OR(D824="",G824="",H824=""),"",ABS(PMT(G824/100/12,H824,D824))),"")</f>
        <v/>
      </c>
      <c r="J824" s="44">
        <f>IF(B824="","","Active")</f>
        <v/>
      </c>
    </row>
    <row r="825" ht="20" customHeight="1">
      <c r="A825" s="39">
        <f>IF(B825="","","LN"&amp;TEXT(ROW()-2,"0000"))</f>
        <v/>
      </c>
      <c r="B825" s="26" t="n"/>
      <c r="C825" s="27">
        <f>IFERROR(IF(B825="","",VLOOKUP(B825,DATABASE!$A:$B,2,0)),"")</f>
        <v/>
      </c>
      <c r="D825" s="29" t="n"/>
      <c r="E825" s="40">
        <f>IF(B825="","",TODAY())</f>
        <v/>
      </c>
      <c r="F825" s="30" t="n"/>
      <c r="G825" s="41" t="n"/>
      <c r="H825" s="42" t="n"/>
      <c r="I825" s="43">
        <f>IFERROR(IF(OR(D825="",G825="",H825=""),"",ABS(PMT(G825/100/12,H825,D825))),"")</f>
        <v/>
      </c>
      <c r="J825" s="44">
        <f>IF(B825="","","Active")</f>
        <v/>
      </c>
    </row>
    <row r="826" ht="20" customHeight="1">
      <c r="A826" s="39">
        <f>IF(B826="","","LN"&amp;TEXT(ROW()-2,"0000"))</f>
        <v/>
      </c>
      <c r="B826" s="26" t="n"/>
      <c r="C826" s="45">
        <f>IFERROR(IF(B826="","",VLOOKUP(B826,DATABASE!$A:$B,2,0)),"")</f>
        <v/>
      </c>
      <c r="D826" s="29" t="n"/>
      <c r="E826" s="40">
        <f>IF(B826="","",TODAY())</f>
        <v/>
      </c>
      <c r="F826" s="30" t="n"/>
      <c r="G826" s="41" t="n"/>
      <c r="H826" s="42" t="n"/>
      <c r="I826" s="43">
        <f>IFERROR(IF(OR(D826="",G826="",H826=""),"",ABS(PMT(G826/100/12,H826,D826))),"")</f>
        <v/>
      </c>
      <c r="J826" s="44">
        <f>IF(B826="","","Active")</f>
        <v/>
      </c>
    </row>
    <row r="827" ht="20" customHeight="1">
      <c r="A827" s="39">
        <f>IF(B827="","","LN"&amp;TEXT(ROW()-2,"0000"))</f>
        <v/>
      </c>
      <c r="B827" s="26" t="n"/>
      <c r="C827" s="27">
        <f>IFERROR(IF(B827="","",VLOOKUP(B827,DATABASE!$A:$B,2,0)),"")</f>
        <v/>
      </c>
      <c r="D827" s="29" t="n"/>
      <c r="E827" s="40">
        <f>IF(B827="","",TODAY())</f>
        <v/>
      </c>
      <c r="F827" s="30" t="n"/>
      <c r="G827" s="41" t="n"/>
      <c r="H827" s="42" t="n"/>
      <c r="I827" s="43">
        <f>IFERROR(IF(OR(D827="",G827="",H827=""),"",ABS(PMT(G827/100/12,H827,D827))),"")</f>
        <v/>
      </c>
      <c r="J827" s="44">
        <f>IF(B827="","","Active")</f>
        <v/>
      </c>
    </row>
    <row r="828" ht="20" customHeight="1">
      <c r="A828" s="39">
        <f>IF(B828="","","LN"&amp;TEXT(ROW()-2,"0000"))</f>
        <v/>
      </c>
      <c r="B828" s="26" t="n"/>
      <c r="C828" s="45">
        <f>IFERROR(IF(B828="","",VLOOKUP(B828,DATABASE!$A:$B,2,0)),"")</f>
        <v/>
      </c>
      <c r="D828" s="29" t="n"/>
      <c r="E828" s="40">
        <f>IF(B828="","",TODAY())</f>
        <v/>
      </c>
      <c r="F828" s="30" t="n"/>
      <c r="G828" s="41" t="n"/>
      <c r="H828" s="42" t="n"/>
      <c r="I828" s="43">
        <f>IFERROR(IF(OR(D828="",G828="",H828=""),"",ABS(PMT(G828/100/12,H828,D828))),"")</f>
        <v/>
      </c>
      <c r="J828" s="44">
        <f>IF(B828="","","Active")</f>
        <v/>
      </c>
    </row>
    <row r="829" ht="20" customHeight="1">
      <c r="A829" s="39">
        <f>IF(B829="","","LN"&amp;TEXT(ROW()-2,"0000"))</f>
        <v/>
      </c>
      <c r="B829" s="26" t="n"/>
      <c r="C829" s="27">
        <f>IFERROR(IF(B829="","",VLOOKUP(B829,DATABASE!$A:$B,2,0)),"")</f>
        <v/>
      </c>
      <c r="D829" s="29" t="n"/>
      <c r="E829" s="40">
        <f>IF(B829="","",TODAY())</f>
        <v/>
      </c>
      <c r="F829" s="30" t="n"/>
      <c r="G829" s="41" t="n"/>
      <c r="H829" s="42" t="n"/>
      <c r="I829" s="43">
        <f>IFERROR(IF(OR(D829="",G829="",H829=""),"",ABS(PMT(G829/100/12,H829,D829))),"")</f>
        <v/>
      </c>
      <c r="J829" s="44">
        <f>IF(B829="","","Active")</f>
        <v/>
      </c>
    </row>
    <row r="830" ht="20" customHeight="1">
      <c r="A830" s="39">
        <f>IF(B830="","","LN"&amp;TEXT(ROW()-2,"0000"))</f>
        <v/>
      </c>
      <c r="B830" s="26" t="n"/>
      <c r="C830" s="45">
        <f>IFERROR(IF(B830="","",VLOOKUP(B830,DATABASE!$A:$B,2,0)),"")</f>
        <v/>
      </c>
      <c r="D830" s="29" t="n"/>
      <c r="E830" s="40">
        <f>IF(B830="","",TODAY())</f>
        <v/>
      </c>
      <c r="F830" s="30" t="n"/>
      <c r="G830" s="41" t="n"/>
      <c r="H830" s="42" t="n"/>
      <c r="I830" s="43">
        <f>IFERROR(IF(OR(D830="",G830="",H830=""),"",ABS(PMT(G830/100/12,H830,D830))),"")</f>
        <v/>
      </c>
      <c r="J830" s="44">
        <f>IF(B830="","","Active")</f>
        <v/>
      </c>
    </row>
    <row r="831" ht="20" customHeight="1">
      <c r="A831" s="39">
        <f>IF(B831="","","LN"&amp;TEXT(ROW()-2,"0000"))</f>
        <v/>
      </c>
      <c r="B831" s="26" t="n"/>
      <c r="C831" s="27">
        <f>IFERROR(IF(B831="","",VLOOKUP(B831,DATABASE!$A:$B,2,0)),"")</f>
        <v/>
      </c>
      <c r="D831" s="29" t="n"/>
      <c r="E831" s="40">
        <f>IF(B831="","",TODAY())</f>
        <v/>
      </c>
      <c r="F831" s="30" t="n"/>
      <c r="G831" s="41" t="n"/>
      <c r="H831" s="42" t="n"/>
      <c r="I831" s="43">
        <f>IFERROR(IF(OR(D831="",G831="",H831=""),"",ABS(PMT(G831/100/12,H831,D831))),"")</f>
        <v/>
      </c>
      <c r="J831" s="44">
        <f>IF(B831="","","Active")</f>
        <v/>
      </c>
    </row>
    <row r="832" ht="20" customHeight="1">
      <c r="A832" s="39">
        <f>IF(B832="","","LN"&amp;TEXT(ROW()-2,"0000"))</f>
        <v/>
      </c>
      <c r="B832" s="26" t="n"/>
      <c r="C832" s="45">
        <f>IFERROR(IF(B832="","",VLOOKUP(B832,DATABASE!$A:$B,2,0)),"")</f>
        <v/>
      </c>
      <c r="D832" s="29" t="n"/>
      <c r="E832" s="40">
        <f>IF(B832="","",TODAY())</f>
        <v/>
      </c>
      <c r="F832" s="30" t="n"/>
      <c r="G832" s="41" t="n"/>
      <c r="H832" s="42" t="n"/>
      <c r="I832" s="43">
        <f>IFERROR(IF(OR(D832="",G832="",H832=""),"",ABS(PMT(G832/100/12,H832,D832))),"")</f>
        <v/>
      </c>
      <c r="J832" s="44">
        <f>IF(B832="","","Active")</f>
        <v/>
      </c>
    </row>
    <row r="833" ht="20" customHeight="1">
      <c r="A833" s="39">
        <f>IF(B833="","","LN"&amp;TEXT(ROW()-2,"0000"))</f>
        <v/>
      </c>
      <c r="B833" s="26" t="n"/>
      <c r="C833" s="27">
        <f>IFERROR(IF(B833="","",VLOOKUP(B833,DATABASE!$A:$B,2,0)),"")</f>
        <v/>
      </c>
      <c r="D833" s="29" t="n"/>
      <c r="E833" s="40">
        <f>IF(B833="","",TODAY())</f>
        <v/>
      </c>
      <c r="F833" s="30" t="n"/>
      <c r="G833" s="41" t="n"/>
      <c r="H833" s="42" t="n"/>
      <c r="I833" s="43">
        <f>IFERROR(IF(OR(D833="",G833="",H833=""),"",ABS(PMT(G833/100/12,H833,D833))),"")</f>
        <v/>
      </c>
      <c r="J833" s="44">
        <f>IF(B833="","","Active")</f>
        <v/>
      </c>
    </row>
    <row r="834" ht="20" customHeight="1">
      <c r="A834" s="39">
        <f>IF(B834="","","LN"&amp;TEXT(ROW()-2,"0000"))</f>
        <v/>
      </c>
      <c r="B834" s="26" t="n"/>
      <c r="C834" s="45">
        <f>IFERROR(IF(B834="","",VLOOKUP(B834,DATABASE!$A:$B,2,0)),"")</f>
        <v/>
      </c>
      <c r="D834" s="29" t="n"/>
      <c r="E834" s="40">
        <f>IF(B834="","",TODAY())</f>
        <v/>
      </c>
      <c r="F834" s="30" t="n"/>
      <c r="G834" s="41" t="n"/>
      <c r="H834" s="42" t="n"/>
      <c r="I834" s="43">
        <f>IFERROR(IF(OR(D834="",G834="",H834=""),"",ABS(PMT(G834/100/12,H834,D834))),"")</f>
        <v/>
      </c>
      <c r="J834" s="44">
        <f>IF(B834="","","Active")</f>
        <v/>
      </c>
    </row>
    <row r="835" ht="20" customHeight="1">
      <c r="A835" s="39">
        <f>IF(B835="","","LN"&amp;TEXT(ROW()-2,"0000"))</f>
        <v/>
      </c>
      <c r="B835" s="26" t="n"/>
      <c r="C835" s="27">
        <f>IFERROR(IF(B835="","",VLOOKUP(B835,DATABASE!$A:$B,2,0)),"")</f>
        <v/>
      </c>
      <c r="D835" s="29" t="n"/>
      <c r="E835" s="40">
        <f>IF(B835="","",TODAY())</f>
        <v/>
      </c>
      <c r="F835" s="30" t="n"/>
      <c r="G835" s="41" t="n"/>
      <c r="H835" s="42" t="n"/>
      <c r="I835" s="43">
        <f>IFERROR(IF(OR(D835="",G835="",H835=""),"",ABS(PMT(G835/100/12,H835,D835))),"")</f>
        <v/>
      </c>
      <c r="J835" s="44">
        <f>IF(B835="","","Active")</f>
        <v/>
      </c>
    </row>
    <row r="836" ht="20" customHeight="1">
      <c r="A836" s="39">
        <f>IF(B836="","","LN"&amp;TEXT(ROW()-2,"0000"))</f>
        <v/>
      </c>
      <c r="B836" s="26" t="n"/>
      <c r="C836" s="45">
        <f>IFERROR(IF(B836="","",VLOOKUP(B836,DATABASE!$A:$B,2,0)),"")</f>
        <v/>
      </c>
      <c r="D836" s="29" t="n"/>
      <c r="E836" s="40">
        <f>IF(B836="","",TODAY())</f>
        <v/>
      </c>
      <c r="F836" s="30" t="n"/>
      <c r="G836" s="41" t="n"/>
      <c r="H836" s="42" t="n"/>
      <c r="I836" s="43">
        <f>IFERROR(IF(OR(D836="",G836="",H836=""),"",ABS(PMT(G836/100/12,H836,D836))),"")</f>
        <v/>
      </c>
      <c r="J836" s="44">
        <f>IF(B836="","","Active")</f>
        <v/>
      </c>
    </row>
    <row r="837" ht="20" customHeight="1">
      <c r="A837" s="39">
        <f>IF(B837="","","LN"&amp;TEXT(ROW()-2,"0000"))</f>
        <v/>
      </c>
      <c r="B837" s="26" t="n"/>
      <c r="C837" s="27">
        <f>IFERROR(IF(B837="","",VLOOKUP(B837,DATABASE!$A:$B,2,0)),"")</f>
        <v/>
      </c>
      <c r="D837" s="29" t="n"/>
      <c r="E837" s="40">
        <f>IF(B837="","",TODAY())</f>
        <v/>
      </c>
      <c r="F837" s="30" t="n"/>
      <c r="G837" s="41" t="n"/>
      <c r="H837" s="42" t="n"/>
      <c r="I837" s="43">
        <f>IFERROR(IF(OR(D837="",G837="",H837=""),"",ABS(PMT(G837/100/12,H837,D837))),"")</f>
        <v/>
      </c>
      <c r="J837" s="44">
        <f>IF(B837="","","Active")</f>
        <v/>
      </c>
    </row>
    <row r="838" ht="20" customHeight="1">
      <c r="A838" s="39">
        <f>IF(B838="","","LN"&amp;TEXT(ROW()-2,"0000"))</f>
        <v/>
      </c>
      <c r="B838" s="26" t="n"/>
      <c r="C838" s="45">
        <f>IFERROR(IF(B838="","",VLOOKUP(B838,DATABASE!$A:$B,2,0)),"")</f>
        <v/>
      </c>
      <c r="D838" s="29" t="n"/>
      <c r="E838" s="40">
        <f>IF(B838="","",TODAY())</f>
        <v/>
      </c>
      <c r="F838" s="30" t="n"/>
      <c r="G838" s="41" t="n"/>
      <c r="H838" s="42" t="n"/>
      <c r="I838" s="43">
        <f>IFERROR(IF(OR(D838="",G838="",H838=""),"",ABS(PMT(G838/100/12,H838,D838))),"")</f>
        <v/>
      </c>
      <c r="J838" s="44">
        <f>IF(B838="","","Active")</f>
        <v/>
      </c>
    </row>
    <row r="839" ht="20" customHeight="1">
      <c r="A839" s="39">
        <f>IF(B839="","","LN"&amp;TEXT(ROW()-2,"0000"))</f>
        <v/>
      </c>
      <c r="B839" s="26" t="n"/>
      <c r="C839" s="27">
        <f>IFERROR(IF(B839="","",VLOOKUP(B839,DATABASE!$A:$B,2,0)),"")</f>
        <v/>
      </c>
      <c r="D839" s="29" t="n"/>
      <c r="E839" s="40">
        <f>IF(B839="","",TODAY())</f>
        <v/>
      </c>
      <c r="F839" s="30" t="n"/>
      <c r="G839" s="41" t="n"/>
      <c r="H839" s="42" t="n"/>
      <c r="I839" s="43">
        <f>IFERROR(IF(OR(D839="",G839="",H839=""),"",ABS(PMT(G839/100/12,H839,D839))),"")</f>
        <v/>
      </c>
      <c r="J839" s="44">
        <f>IF(B839="","","Active")</f>
        <v/>
      </c>
    </row>
    <row r="840" ht="20" customHeight="1">
      <c r="A840" s="39">
        <f>IF(B840="","","LN"&amp;TEXT(ROW()-2,"0000"))</f>
        <v/>
      </c>
      <c r="B840" s="26" t="n"/>
      <c r="C840" s="45">
        <f>IFERROR(IF(B840="","",VLOOKUP(B840,DATABASE!$A:$B,2,0)),"")</f>
        <v/>
      </c>
      <c r="D840" s="29" t="n"/>
      <c r="E840" s="40">
        <f>IF(B840="","",TODAY())</f>
        <v/>
      </c>
      <c r="F840" s="30" t="n"/>
      <c r="G840" s="41" t="n"/>
      <c r="H840" s="42" t="n"/>
      <c r="I840" s="43">
        <f>IFERROR(IF(OR(D840="",G840="",H840=""),"",ABS(PMT(G840/100/12,H840,D840))),"")</f>
        <v/>
      </c>
      <c r="J840" s="44">
        <f>IF(B840="","","Active")</f>
        <v/>
      </c>
    </row>
    <row r="841" ht="20" customHeight="1">
      <c r="A841" s="39">
        <f>IF(B841="","","LN"&amp;TEXT(ROW()-2,"0000"))</f>
        <v/>
      </c>
      <c r="B841" s="26" t="n"/>
      <c r="C841" s="27">
        <f>IFERROR(IF(B841="","",VLOOKUP(B841,DATABASE!$A:$B,2,0)),"")</f>
        <v/>
      </c>
      <c r="D841" s="29" t="n"/>
      <c r="E841" s="40">
        <f>IF(B841="","",TODAY())</f>
        <v/>
      </c>
      <c r="F841" s="30" t="n"/>
      <c r="G841" s="41" t="n"/>
      <c r="H841" s="42" t="n"/>
      <c r="I841" s="43">
        <f>IFERROR(IF(OR(D841="",G841="",H841=""),"",ABS(PMT(G841/100/12,H841,D841))),"")</f>
        <v/>
      </c>
      <c r="J841" s="44">
        <f>IF(B841="","","Active")</f>
        <v/>
      </c>
    </row>
    <row r="842" ht="20" customHeight="1">
      <c r="A842" s="39">
        <f>IF(B842="","","LN"&amp;TEXT(ROW()-2,"0000"))</f>
        <v/>
      </c>
      <c r="B842" s="26" t="n"/>
      <c r="C842" s="45">
        <f>IFERROR(IF(B842="","",VLOOKUP(B842,DATABASE!$A:$B,2,0)),"")</f>
        <v/>
      </c>
      <c r="D842" s="29" t="n"/>
      <c r="E842" s="40">
        <f>IF(B842="","",TODAY())</f>
        <v/>
      </c>
      <c r="F842" s="30" t="n"/>
      <c r="G842" s="41" t="n"/>
      <c r="H842" s="42" t="n"/>
      <c r="I842" s="43">
        <f>IFERROR(IF(OR(D842="",G842="",H842=""),"",ABS(PMT(G842/100/12,H842,D842))),"")</f>
        <v/>
      </c>
      <c r="J842" s="44">
        <f>IF(B842="","","Active")</f>
        <v/>
      </c>
    </row>
    <row r="843" ht="20" customHeight="1">
      <c r="A843" s="39">
        <f>IF(B843="","","LN"&amp;TEXT(ROW()-2,"0000"))</f>
        <v/>
      </c>
      <c r="B843" s="26" t="n"/>
      <c r="C843" s="27">
        <f>IFERROR(IF(B843="","",VLOOKUP(B843,DATABASE!$A:$B,2,0)),"")</f>
        <v/>
      </c>
      <c r="D843" s="29" t="n"/>
      <c r="E843" s="40">
        <f>IF(B843="","",TODAY())</f>
        <v/>
      </c>
      <c r="F843" s="30" t="n"/>
      <c r="G843" s="41" t="n"/>
      <c r="H843" s="42" t="n"/>
      <c r="I843" s="43">
        <f>IFERROR(IF(OR(D843="",G843="",H843=""),"",ABS(PMT(G843/100/12,H843,D843))),"")</f>
        <v/>
      </c>
      <c r="J843" s="44">
        <f>IF(B843="","","Active")</f>
        <v/>
      </c>
    </row>
    <row r="844" ht="20" customHeight="1">
      <c r="A844" s="39">
        <f>IF(B844="","","LN"&amp;TEXT(ROW()-2,"0000"))</f>
        <v/>
      </c>
      <c r="B844" s="26" t="n"/>
      <c r="C844" s="45">
        <f>IFERROR(IF(B844="","",VLOOKUP(B844,DATABASE!$A:$B,2,0)),"")</f>
        <v/>
      </c>
      <c r="D844" s="29" t="n"/>
      <c r="E844" s="40">
        <f>IF(B844="","",TODAY())</f>
        <v/>
      </c>
      <c r="F844" s="30" t="n"/>
      <c r="G844" s="41" t="n"/>
      <c r="H844" s="42" t="n"/>
      <c r="I844" s="43">
        <f>IFERROR(IF(OR(D844="",G844="",H844=""),"",ABS(PMT(G844/100/12,H844,D844))),"")</f>
        <v/>
      </c>
      <c r="J844" s="44">
        <f>IF(B844="","","Active")</f>
        <v/>
      </c>
    </row>
    <row r="845" ht="20" customHeight="1">
      <c r="A845" s="39">
        <f>IF(B845="","","LN"&amp;TEXT(ROW()-2,"0000"))</f>
        <v/>
      </c>
      <c r="B845" s="26" t="n"/>
      <c r="C845" s="27">
        <f>IFERROR(IF(B845="","",VLOOKUP(B845,DATABASE!$A:$B,2,0)),"")</f>
        <v/>
      </c>
      <c r="D845" s="29" t="n"/>
      <c r="E845" s="40">
        <f>IF(B845="","",TODAY())</f>
        <v/>
      </c>
      <c r="F845" s="30" t="n"/>
      <c r="G845" s="41" t="n"/>
      <c r="H845" s="42" t="n"/>
      <c r="I845" s="43">
        <f>IFERROR(IF(OR(D845="",G845="",H845=""),"",ABS(PMT(G845/100/12,H845,D845))),"")</f>
        <v/>
      </c>
      <c r="J845" s="44">
        <f>IF(B845="","","Active")</f>
        <v/>
      </c>
    </row>
    <row r="846" ht="20" customHeight="1">
      <c r="A846" s="39">
        <f>IF(B846="","","LN"&amp;TEXT(ROW()-2,"0000"))</f>
        <v/>
      </c>
      <c r="B846" s="26" t="n"/>
      <c r="C846" s="45">
        <f>IFERROR(IF(B846="","",VLOOKUP(B846,DATABASE!$A:$B,2,0)),"")</f>
        <v/>
      </c>
      <c r="D846" s="29" t="n"/>
      <c r="E846" s="40">
        <f>IF(B846="","",TODAY())</f>
        <v/>
      </c>
      <c r="F846" s="30" t="n"/>
      <c r="G846" s="41" t="n"/>
      <c r="H846" s="42" t="n"/>
      <c r="I846" s="43">
        <f>IFERROR(IF(OR(D846="",G846="",H846=""),"",ABS(PMT(G846/100/12,H846,D846))),"")</f>
        <v/>
      </c>
      <c r="J846" s="44">
        <f>IF(B846="","","Active")</f>
        <v/>
      </c>
    </row>
    <row r="847" ht="20" customHeight="1">
      <c r="A847" s="39">
        <f>IF(B847="","","LN"&amp;TEXT(ROW()-2,"0000"))</f>
        <v/>
      </c>
      <c r="B847" s="26" t="n"/>
      <c r="C847" s="27">
        <f>IFERROR(IF(B847="","",VLOOKUP(B847,DATABASE!$A:$B,2,0)),"")</f>
        <v/>
      </c>
      <c r="D847" s="29" t="n"/>
      <c r="E847" s="40">
        <f>IF(B847="","",TODAY())</f>
        <v/>
      </c>
      <c r="F847" s="30" t="n"/>
      <c r="G847" s="41" t="n"/>
      <c r="H847" s="42" t="n"/>
      <c r="I847" s="43">
        <f>IFERROR(IF(OR(D847="",G847="",H847=""),"",ABS(PMT(G847/100/12,H847,D847))),"")</f>
        <v/>
      </c>
      <c r="J847" s="44">
        <f>IF(B847="","","Active")</f>
        <v/>
      </c>
    </row>
    <row r="848" ht="20" customHeight="1">
      <c r="A848" s="39">
        <f>IF(B848="","","LN"&amp;TEXT(ROW()-2,"0000"))</f>
        <v/>
      </c>
      <c r="B848" s="26" t="n"/>
      <c r="C848" s="45">
        <f>IFERROR(IF(B848="","",VLOOKUP(B848,DATABASE!$A:$B,2,0)),"")</f>
        <v/>
      </c>
      <c r="D848" s="29" t="n"/>
      <c r="E848" s="40">
        <f>IF(B848="","",TODAY())</f>
        <v/>
      </c>
      <c r="F848" s="30" t="n"/>
      <c r="G848" s="41" t="n"/>
      <c r="H848" s="42" t="n"/>
      <c r="I848" s="43">
        <f>IFERROR(IF(OR(D848="",G848="",H848=""),"",ABS(PMT(G848/100/12,H848,D848))),"")</f>
        <v/>
      </c>
      <c r="J848" s="44">
        <f>IF(B848="","","Active")</f>
        <v/>
      </c>
    </row>
    <row r="849" ht="20" customHeight="1">
      <c r="A849" s="39">
        <f>IF(B849="","","LN"&amp;TEXT(ROW()-2,"0000"))</f>
        <v/>
      </c>
      <c r="B849" s="26" t="n"/>
      <c r="C849" s="27">
        <f>IFERROR(IF(B849="","",VLOOKUP(B849,DATABASE!$A:$B,2,0)),"")</f>
        <v/>
      </c>
      <c r="D849" s="29" t="n"/>
      <c r="E849" s="40">
        <f>IF(B849="","",TODAY())</f>
        <v/>
      </c>
      <c r="F849" s="30" t="n"/>
      <c r="G849" s="41" t="n"/>
      <c r="H849" s="42" t="n"/>
      <c r="I849" s="43">
        <f>IFERROR(IF(OR(D849="",G849="",H849=""),"",ABS(PMT(G849/100/12,H849,D849))),"")</f>
        <v/>
      </c>
      <c r="J849" s="44">
        <f>IF(B849="","","Active")</f>
        <v/>
      </c>
    </row>
    <row r="850" ht="20" customHeight="1">
      <c r="A850" s="39">
        <f>IF(B850="","","LN"&amp;TEXT(ROW()-2,"0000"))</f>
        <v/>
      </c>
      <c r="B850" s="26" t="n"/>
      <c r="C850" s="45">
        <f>IFERROR(IF(B850="","",VLOOKUP(B850,DATABASE!$A:$B,2,0)),"")</f>
        <v/>
      </c>
      <c r="D850" s="29" t="n"/>
      <c r="E850" s="40">
        <f>IF(B850="","",TODAY())</f>
        <v/>
      </c>
      <c r="F850" s="30" t="n"/>
      <c r="G850" s="41" t="n"/>
      <c r="H850" s="42" t="n"/>
      <c r="I850" s="43">
        <f>IFERROR(IF(OR(D850="",G850="",H850=""),"",ABS(PMT(G850/100/12,H850,D850))),"")</f>
        <v/>
      </c>
      <c r="J850" s="44">
        <f>IF(B850="","","Active")</f>
        <v/>
      </c>
    </row>
    <row r="851" ht="20" customHeight="1">
      <c r="A851" s="39">
        <f>IF(B851="","","LN"&amp;TEXT(ROW()-2,"0000"))</f>
        <v/>
      </c>
      <c r="B851" s="26" t="n"/>
      <c r="C851" s="27">
        <f>IFERROR(IF(B851="","",VLOOKUP(B851,DATABASE!$A:$B,2,0)),"")</f>
        <v/>
      </c>
      <c r="D851" s="29" t="n"/>
      <c r="E851" s="40">
        <f>IF(B851="","",TODAY())</f>
        <v/>
      </c>
      <c r="F851" s="30" t="n"/>
      <c r="G851" s="41" t="n"/>
      <c r="H851" s="42" t="n"/>
      <c r="I851" s="43">
        <f>IFERROR(IF(OR(D851="",G851="",H851=""),"",ABS(PMT(G851/100/12,H851,D851))),"")</f>
        <v/>
      </c>
      <c r="J851" s="44">
        <f>IF(B851="","","Active")</f>
        <v/>
      </c>
    </row>
    <row r="852" ht="20" customHeight="1">
      <c r="A852" s="39">
        <f>IF(B852="","","LN"&amp;TEXT(ROW()-2,"0000"))</f>
        <v/>
      </c>
      <c r="B852" s="26" t="n"/>
      <c r="C852" s="45">
        <f>IFERROR(IF(B852="","",VLOOKUP(B852,DATABASE!$A:$B,2,0)),"")</f>
        <v/>
      </c>
      <c r="D852" s="29" t="n"/>
      <c r="E852" s="40">
        <f>IF(B852="","",TODAY())</f>
        <v/>
      </c>
      <c r="F852" s="30" t="n"/>
      <c r="G852" s="41" t="n"/>
      <c r="H852" s="42" t="n"/>
      <c r="I852" s="43">
        <f>IFERROR(IF(OR(D852="",G852="",H852=""),"",ABS(PMT(G852/100/12,H852,D852))),"")</f>
        <v/>
      </c>
      <c r="J852" s="44">
        <f>IF(B852="","","Active")</f>
        <v/>
      </c>
    </row>
    <row r="853" ht="20" customHeight="1">
      <c r="A853" s="39">
        <f>IF(B853="","","LN"&amp;TEXT(ROW()-2,"0000"))</f>
        <v/>
      </c>
      <c r="B853" s="26" t="n"/>
      <c r="C853" s="27">
        <f>IFERROR(IF(B853="","",VLOOKUP(B853,DATABASE!$A:$B,2,0)),"")</f>
        <v/>
      </c>
      <c r="D853" s="29" t="n"/>
      <c r="E853" s="40">
        <f>IF(B853="","",TODAY())</f>
        <v/>
      </c>
      <c r="F853" s="30" t="n"/>
      <c r="G853" s="41" t="n"/>
      <c r="H853" s="42" t="n"/>
      <c r="I853" s="43">
        <f>IFERROR(IF(OR(D853="",G853="",H853=""),"",ABS(PMT(G853/100/12,H853,D853))),"")</f>
        <v/>
      </c>
      <c r="J853" s="44">
        <f>IF(B853="","","Active")</f>
        <v/>
      </c>
    </row>
    <row r="854" ht="20" customHeight="1">
      <c r="A854" s="39">
        <f>IF(B854="","","LN"&amp;TEXT(ROW()-2,"0000"))</f>
        <v/>
      </c>
      <c r="B854" s="26" t="n"/>
      <c r="C854" s="45">
        <f>IFERROR(IF(B854="","",VLOOKUP(B854,DATABASE!$A:$B,2,0)),"")</f>
        <v/>
      </c>
      <c r="D854" s="29" t="n"/>
      <c r="E854" s="40">
        <f>IF(B854="","",TODAY())</f>
        <v/>
      </c>
      <c r="F854" s="30" t="n"/>
      <c r="G854" s="41" t="n"/>
      <c r="H854" s="42" t="n"/>
      <c r="I854" s="43">
        <f>IFERROR(IF(OR(D854="",G854="",H854=""),"",ABS(PMT(G854/100/12,H854,D854))),"")</f>
        <v/>
      </c>
      <c r="J854" s="44">
        <f>IF(B854="","","Active")</f>
        <v/>
      </c>
    </row>
    <row r="855" ht="20" customHeight="1">
      <c r="A855" s="39">
        <f>IF(B855="","","LN"&amp;TEXT(ROW()-2,"0000"))</f>
        <v/>
      </c>
      <c r="B855" s="26" t="n"/>
      <c r="C855" s="27">
        <f>IFERROR(IF(B855="","",VLOOKUP(B855,DATABASE!$A:$B,2,0)),"")</f>
        <v/>
      </c>
      <c r="D855" s="29" t="n"/>
      <c r="E855" s="40">
        <f>IF(B855="","",TODAY())</f>
        <v/>
      </c>
      <c r="F855" s="30" t="n"/>
      <c r="G855" s="41" t="n"/>
      <c r="H855" s="42" t="n"/>
      <c r="I855" s="43">
        <f>IFERROR(IF(OR(D855="",G855="",H855=""),"",ABS(PMT(G855/100/12,H855,D855))),"")</f>
        <v/>
      </c>
      <c r="J855" s="44">
        <f>IF(B855="","","Active")</f>
        <v/>
      </c>
    </row>
    <row r="856" ht="20" customHeight="1">
      <c r="A856" s="39">
        <f>IF(B856="","","LN"&amp;TEXT(ROW()-2,"0000"))</f>
        <v/>
      </c>
      <c r="B856" s="26" t="n"/>
      <c r="C856" s="45">
        <f>IFERROR(IF(B856="","",VLOOKUP(B856,DATABASE!$A:$B,2,0)),"")</f>
        <v/>
      </c>
      <c r="D856" s="29" t="n"/>
      <c r="E856" s="40">
        <f>IF(B856="","",TODAY())</f>
        <v/>
      </c>
      <c r="F856" s="30" t="n"/>
      <c r="G856" s="41" t="n"/>
      <c r="H856" s="42" t="n"/>
      <c r="I856" s="43">
        <f>IFERROR(IF(OR(D856="",G856="",H856=""),"",ABS(PMT(G856/100/12,H856,D856))),"")</f>
        <v/>
      </c>
      <c r="J856" s="44">
        <f>IF(B856="","","Active")</f>
        <v/>
      </c>
    </row>
    <row r="857" ht="20" customHeight="1">
      <c r="A857" s="39">
        <f>IF(B857="","","LN"&amp;TEXT(ROW()-2,"0000"))</f>
        <v/>
      </c>
      <c r="B857" s="26" t="n"/>
      <c r="C857" s="27">
        <f>IFERROR(IF(B857="","",VLOOKUP(B857,DATABASE!$A:$B,2,0)),"")</f>
        <v/>
      </c>
      <c r="D857" s="29" t="n"/>
      <c r="E857" s="40">
        <f>IF(B857="","",TODAY())</f>
        <v/>
      </c>
      <c r="F857" s="30" t="n"/>
      <c r="G857" s="41" t="n"/>
      <c r="H857" s="42" t="n"/>
      <c r="I857" s="43">
        <f>IFERROR(IF(OR(D857="",G857="",H857=""),"",ABS(PMT(G857/100/12,H857,D857))),"")</f>
        <v/>
      </c>
      <c r="J857" s="44">
        <f>IF(B857="","","Active")</f>
        <v/>
      </c>
    </row>
    <row r="858" ht="20" customHeight="1">
      <c r="A858" s="39">
        <f>IF(B858="","","LN"&amp;TEXT(ROW()-2,"0000"))</f>
        <v/>
      </c>
      <c r="B858" s="26" t="n"/>
      <c r="C858" s="45">
        <f>IFERROR(IF(B858="","",VLOOKUP(B858,DATABASE!$A:$B,2,0)),"")</f>
        <v/>
      </c>
      <c r="D858" s="29" t="n"/>
      <c r="E858" s="40">
        <f>IF(B858="","",TODAY())</f>
        <v/>
      </c>
      <c r="F858" s="30" t="n"/>
      <c r="G858" s="41" t="n"/>
      <c r="H858" s="42" t="n"/>
      <c r="I858" s="43">
        <f>IFERROR(IF(OR(D858="",G858="",H858=""),"",ABS(PMT(G858/100/12,H858,D858))),"")</f>
        <v/>
      </c>
      <c r="J858" s="44">
        <f>IF(B858="","","Active")</f>
        <v/>
      </c>
    </row>
    <row r="859" ht="20" customHeight="1">
      <c r="A859" s="39">
        <f>IF(B859="","","LN"&amp;TEXT(ROW()-2,"0000"))</f>
        <v/>
      </c>
      <c r="B859" s="26" t="n"/>
      <c r="C859" s="27">
        <f>IFERROR(IF(B859="","",VLOOKUP(B859,DATABASE!$A:$B,2,0)),"")</f>
        <v/>
      </c>
      <c r="D859" s="29" t="n"/>
      <c r="E859" s="40">
        <f>IF(B859="","",TODAY())</f>
        <v/>
      </c>
      <c r="F859" s="30" t="n"/>
      <c r="G859" s="41" t="n"/>
      <c r="H859" s="42" t="n"/>
      <c r="I859" s="43">
        <f>IFERROR(IF(OR(D859="",G859="",H859=""),"",ABS(PMT(G859/100/12,H859,D859))),"")</f>
        <v/>
      </c>
      <c r="J859" s="44">
        <f>IF(B859="","","Active")</f>
        <v/>
      </c>
    </row>
    <row r="860" ht="20" customHeight="1">
      <c r="A860" s="39">
        <f>IF(B860="","","LN"&amp;TEXT(ROW()-2,"0000"))</f>
        <v/>
      </c>
      <c r="B860" s="26" t="n"/>
      <c r="C860" s="45">
        <f>IFERROR(IF(B860="","",VLOOKUP(B860,DATABASE!$A:$B,2,0)),"")</f>
        <v/>
      </c>
      <c r="D860" s="29" t="n"/>
      <c r="E860" s="40">
        <f>IF(B860="","",TODAY())</f>
        <v/>
      </c>
      <c r="F860" s="30" t="n"/>
      <c r="G860" s="41" t="n"/>
      <c r="H860" s="42" t="n"/>
      <c r="I860" s="43">
        <f>IFERROR(IF(OR(D860="",G860="",H860=""),"",ABS(PMT(G860/100/12,H860,D860))),"")</f>
        <v/>
      </c>
      <c r="J860" s="44">
        <f>IF(B860="","","Active")</f>
        <v/>
      </c>
    </row>
    <row r="861" ht="20" customHeight="1">
      <c r="A861" s="39">
        <f>IF(B861="","","LN"&amp;TEXT(ROW()-2,"0000"))</f>
        <v/>
      </c>
      <c r="B861" s="26" t="n"/>
      <c r="C861" s="27">
        <f>IFERROR(IF(B861="","",VLOOKUP(B861,DATABASE!$A:$B,2,0)),"")</f>
        <v/>
      </c>
      <c r="D861" s="29" t="n"/>
      <c r="E861" s="40">
        <f>IF(B861="","",TODAY())</f>
        <v/>
      </c>
      <c r="F861" s="30" t="n"/>
      <c r="G861" s="41" t="n"/>
      <c r="H861" s="42" t="n"/>
      <c r="I861" s="43">
        <f>IFERROR(IF(OR(D861="",G861="",H861=""),"",ABS(PMT(G861/100/12,H861,D861))),"")</f>
        <v/>
      </c>
      <c r="J861" s="44">
        <f>IF(B861="","","Active")</f>
        <v/>
      </c>
    </row>
    <row r="862" ht="20" customHeight="1">
      <c r="A862" s="39">
        <f>IF(B862="","","LN"&amp;TEXT(ROW()-2,"0000"))</f>
        <v/>
      </c>
      <c r="B862" s="26" t="n"/>
      <c r="C862" s="45">
        <f>IFERROR(IF(B862="","",VLOOKUP(B862,DATABASE!$A:$B,2,0)),"")</f>
        <v/>
      </c>
      <c r="D862" s="29" t="n"/>
      <c r="E862" s="40">
        <f>IF(B862="","",TODAY())</f>
        <v/>
      </c>
      <c r="F862" s="30" t="n"/>
      <c r="G862" s="41" t="n"/>
      <c r="H862" s="42" t="n"/>
      <c r="I862" s="43">
        <f>IFERROR(IF(OR(D862="",G862="",H862=""),"",ABS(PMT(G862/100/12,H862,D862))),"")</f>
        <v/>
      </c>
      <c r="J862" s="44">
        <f>IF(B862="","","Active")</f>
        <v/>
      </c>
    </row>
    <row r="863" ht="20" customHeight="1">
      <c r="A863" s="39">
        <f>IF(B863="","","LN"&amp;TEXT(ROW()-2,"0000"))</f>
        <v/>
      </c>
      <c r="B863" s="26" t="n"/>
      <c r="C863" s="27">
        <f>IFERROR(IF(B863="","",VLOOKUP(B863,DATABASE!$A:$B,2,0)),"")</f>
        <v/>
      </c>
      <c r="D863" s="29" t="n"/>
      <c r="E863" s="40">
        <f>IF(B863="","",TODAY())</f>
        <v/>
      </c>
      <c r="F863" s="30" t="n"/>
      <c r="G863" s="41" t="n"/>
      <c r="H863" s="42" t="n"/>
      <c r="I863" s="43">
        <f>IFERROR(IF(OR(D863="",G863="",H863=""),"",ABS(PMT(G863/100/12,H863,D863))),"")</f>
        <v/>
      </c>
      <c r="J863" s="44">
        <f>IF(B863="","","Active")</f>
        <v/>
      </c>
    </row>
    <row r="864" ht="20" customHeight="1">
      <c r="A864" s="39">
        <f>IF(B864="","","LN"&amp;TEXT(ROW()-2,"0000"))</f>
        <v/>
      </c>
      <c r="B864" s="26" t="n"/>
      <c r="C864" s="45">
        <f>IFERROR(IF(B864="","",VLOOKUP(B864,DATABASE!$A:$B,2,0)),"")</f>
        <v/>
      </c>
      <c r="D864" s="29" t="n"/>
      <c r="E864" s="40">
        <f>IF(B864="","",TODAY())</f>
        <v/>
      </c>
      <c r="F864" s="30" t="n"/>
      <c r="G864" s="41" t="n"/>
      <c r="H864" s="42" t="n"/>
      <c r="I864" s="43">
        <f>IFERROR(IF(OR(D864="",G864="",H864=""),"",ABS(PMT(G864/100/12,H864,D864))),"")</f>
        <v/>
      </c>
      <c r="J864" s="44">
        <f>IF(B864="","","Active")</f>
        <v/>
      </c>
    </row>
    <row r="865" ht="20" customHeight="1">
      <c r="A865" s="39">
        <f>IF(B865="","","LN"&amp;TEXT(ROW()-2,"0000"))</f>
        <v/>
      </c>
      <c r="B865" s="26" t="n"/>
      <c r="C865" s="27">
        <f>IFERROR(IF(B865="","",VLOOKUP(B865,DATABASE!$A:$B,2,0)),"")</f>
        <v/>
      </c>
      <c r="D865" s="29" t="n"/>
      <c r="E865" s="40">
        <f>IF(B865="","",TODAY())</f>
        <v/>
      </c>
      <c r="F865" s="30" t="n"/>
      <c r="G865" s="41" t="n"/>
      <c r="H865" s="42" t="n"/>
      <c r="I865" s="43">
        <f>IFERROR(IF(OR(D865="",G865="",H865=""),"",ABS(PMT(G865/100/12,H865,D865))),"")</f>
        <v/>
      </c>
      <c r="J865" s="44">
        <f>IF(B865="","","Active")</f>
        <v/>
      </c>
    </row>
    <row r="866" ht="20" customHeight="1">
      <c r="A866" s="39">
        <f>IF(B866="","","LN"&amp;TEXT(ROW()-2,"0000"))</f>
        <v/>
      </c>
      <c r="B866" s="26" t="n"/>
      <c r="C866" s="45">
        <f>IFERROR(IF(B866="","",VLOOKUP(B866,DATABASE!$A:$B,2,0)),"")</f>
        <v/>
      </c>
      <c r="D866" s="29" t="n"/>
      <c r="E866" s="40">
        <f>IF(B866="","",TODAY())</f>
        <v/>
      </c>
      <c r="F866" s="30" t="n"/>
      <c r="G866" s="41" t="n"/>
      <c r="H866" s="42" t="n"/>
      <c r="I866" s="43">
        <f>IFERROR(IF(OR(D866="",G866="",H866=""),"",ABS(PMT(G866/100/12,H866,D866))),"")</f>
        <v/>
      </c>
      <c r="J866" s="44">
        <f>IF(B866="","","Active")</f>
        <v/>
      </c>
    </row>
    <row r="867" ht="20" customHeight="1">
      <c r="A867" s="39">
        <f>IF(B867="","","LN"&amp;TEXT(ROW()-2,"0000"))</f>
        <v/>
      </c>
      <c r="B867" s="26" t="n"/>
      <c r="C867" s="27">
        <f>IFERROR(IF(B867="","",VLOOKUP(B867,DATABASE!$A:$B,2,0)),"")</f>
        <v/>
      </c>
      <c r="D867" s="29" t="n"/>
      <c r="E867" s="40">
        <f>IF(B867="","",TODAY())</f>
        <v/>
      </c>
      <c r="F867" s="30" t="n"/>
      <c r="G867" s="41" t="n"/>
      <c r="H867" s="42" t="n"/>
      <c r="I867" s="43">
        <f>IFERROR(IF(OR(D867="",G867="",H867=""),"",ABS(PMT(G867/100/12,H867,D867))),"")</f>
        <v/>
      </c>
      <c r="J867" s="44">
        <f>IF(B867="","","Active")</f>
        <v/>
      </c>
    </row>
    <row r="868" ht="20" customHeight="1">
      <c r="A868" s="39">
        <f>IF(B868="","","LN"&amp;TEXT(ROW()-2,"0000"))</f>
        <v/>
      </c>
      <c r="B868" s="26" t="n"/>
      <c r="C868" s="45">
        <f>IFERROR(IF(B868="","",VLOOKUP(B868,DATABASE!$A:$B,2,0)),"")</f>
        <v/>
      </c>
      <c r="D868" s="29" t="n"/>
      <c r="E868" s="40">
        <f>IF(B868="","",TODAY())</f>
        <v/>
      </c>
      <c r="F868" s="30" t="n"/>
      <c r="G868" s="41" t="n"/>
      <c r="H868" s="42" t="n"/>
      <c r="I868" s="43">
        <f>IFERROR(IF(OR(D868="",G868="",H868=""),"",ABS(PMT(G868/100/12,H868,D868))),"")</f>
        <v/>
      </c>
      <c r="J868" s="44">
        <f>IF(B868="","","Active")</f>
        <v/>
      </c>
    </row>
    <row r="869" ht="20" customHeight="1">
      <c r="A869" s="39">
        <f>IF(B869="","","LN"&amp;TEXT(ROW()-2,"0000"))</f>
        <v/>
      </c>
      <c r="B869" s="26" t="n"/>
      <c r="C869" s="27">
        <f>IFERROR(IF(B869="","",VLOOKUP(B869,DATABASE!$A:$B,2,0)),"")</f>
        <v/>
      </c>
      <c r="D869" s="29" t="n"/>
      <c r="E869" s="40">
        <f>IF(B869="","",TODAY())</f>
        <v/>
      </c>
      <c r="F869" s="30" t="n"/>
      <c r="G869" s="41" t="n"/>
      <c r="H869" s="42" t="n"/>
      <c r="I869" s="43">
        <f>IFERROR(IF(OR(D869="",G869="",H869=""),"",ABS(PMT(G869/100/12,H869,D869))),"")</f>
        <v/>
      </c>
      <c r="J869" s="44">
        <f>IF(B869="","","Active")</f>
        <v/>
      </c>
    </row>
    <row r="870" ht="20" customHeight="1">
      <c r="A870" s="39">
        <f>IF(B870="","","LN"&amp;TEXT(ROW()-2,"0000"))</f>
        <v/>
      </c>
      <c r="B870" s="26" t="n"/>
      <c r="C870" s="45">
        <f>IFERROR(IF(B870="","",VLOOKUP(B870,DATABASE!$A:$B,2,0)),"")</f>
        <v/>
      </c>
      <c r="D870" s="29" t="n"/>
      <c r="E870" s="40">
        <f>IF(B870="","",TODAY())</f>
        <v/>
      </c>
      <c r="F870" s="30" t="n"/>
      <c r="G870" s="41" t="n"/>
      <c r="H870" s="42" t="n"/>
      <c r="I870" s="43">
        <f>IFERROR(IF(OR(D870="",G870="",H870=""),"",ABS(PMT(G870/100/12,H870,D870))),"")</f>
        <v/>
      </c>
      <c r="J870" s="44">
        <f>IF(B870="","","Active")</f>
        <v/>
      </c>
    </row>
    <row r="871" ht="20" customHeight="1">
      <c r="A871" s="39">
        <f>IF(B871="","","LN"&amp;TEXT(ROW()-2,"0000"))</f>
        <v/>
      </c>
      <c r="B871" s="26" t="n"/>
      <c r="C871" s="27">
        <f>IFERROR(IF(B871="","",VLOOKUP(B871,DATABASE!$A:$B,2,0)),"")</f>
        <v/>
      </c>
      <c r="D871" s="29" t="n"/>
      <c r="E871" s="40">
        <f>IF(B871="","",TODAY())</f>
        <v/>
      </c>
      <c r="F871" s="30" t="n"/>
      <c r="G871" s="41" t="n"/>
      <c r="H871" s="42" t="n"/>
      <c r="I871" s="43">
        <f>IFERROR(IF(OR(D871="",G871="",H871=""),"",ABS(PMT(G871/100/12,H871,D871))),"")</f>
        <v/>
      </c>
      <c r="J871" s="44">
        <f>IF(B871="","","Active")</f>
        <v/>
      </c>
    </row>
    <row r="872" ht="20" customHeight="1">
      <c r="A872" s="39">
        <f>IF(B872="","","LN"&amp;TEXT(ROW()-2,"0000"))</f>
        <v/>
      </c>
      <c r="B872" s="26" t="n"/>
      <c r="C872" s="45">
        <f>IFERROR(IF(B872="","",VLOOKUP(B872,DATABASE!$A:$B,2,0)),"")</f>
        <v/>
      </c>
      <c r="D872" s="29" t="n"/>
      <c r="E872" s="40">
        <f>IF(B872="","",TODAY())</f>
        <v/>
      </c>
      <c r="F872" s="30" t="n"/>
      <c r="G872" s="41" t="n"/>
      <c r="H872" s="42" t="n"/>
      <c r="I872" s="43">
        <f>IFERROR(IF(OR(D872="",G872="",H872=""),"",ABS(PMT(G872/100/12,H872,D872))),"")</f>
        <v/>
      </c>
      <c r="J872" s="44">
        <f>IF(B872="","","Active")</f>
        <v/>
      </c>
    </row>
    <row r="873" ht="20" customHeight="1">
      <c r="A873" s="39">
        <f>IF(B873="","","LN"&amp;TEXT(ROW()-2,"0000"))</f>
        <v/>
      </c>
      <c r="B873" s="26" t="n"/>
      <c r="C873" s="27">
        <f>IFERROR(IF(B873="","",VLOOKUP(B873,DATABASE!$A:$B,2,0)),"")</f>
        <v/>
      </c>
      <c r="D873" s="29" t="n"/>
      <c r="E873" s="40">
        <f>IF(B873="","",TODAY())</f>
        <v/>
      </c>
      <c r="F873" s="30" t="n"/>
      <c r="G873" s="41" t="n"/>
      <c r="H873" s="42" t="n"/>
      <c r="I873" s="43">
        <f>IFERROR(IF(OR(D873="",G873="",H873=""),"",ABS(PMT(G873/100/12,H873,D873))),"")</f>
        <v/>
      </c>
      <c r="J873" s="44">
        <f>IF(B873="","","Active")</f>
        <v/>
      </c>
    </row>
    <row r="874" ht="20" customHeight="1">
      <c r="A874" s="39">
        <f>IF(B874="","","LN"&amp;TEXT(ROW()-2,"0000"))</f>
        <v/>
      </c>
      <c r="B874" s="26" t="n"/>
      <c r="C874" s="45">
        <f>IFERROR(IF(B874="","",VLOOKUP(B874,DATABASE!$A:$B,2,0)),"")</f>
        <v/>
      </c>
      <c r="D874" s="29" t="n"/>
      <c r="E874" s="40">
        <f>IF(B874="","",TODAY())</f>
        <v/>
      </c>
      <c r="F874" s="30" t="n"/>
      <c r="G874" s="41" t="n"/>
      <c r="H874" s="42" t="n"/>
      <c r="I874" s="43">
        <f>IFERROR(IF(OR(D874="",G874="",H874=""),"",ABS(PMT(G874/100/12,H874,D874))),"")</f>
        <v/>
      </c>
      <c r="J874" s="44">
        <f>IF(B874="","","Active")</f>
        <v/>
      </c>
    </row>
    <row r="875" ht="20" customHeight="1">
      <c r="A875" s="39">
        <f>IF(B875="","","LN"&amp;TEXT(ROW()-2,"0000"))</f>
        <v/>
      </c>
      <c r="B875" s="26" t="n"/>
      <c r="C875" s="27">
        <f>IFERROR(IF(B875="","",VLOOKUP(B875,DATABASE!$A:$B,2,0)),"")</f>
        <v/>
      </c>
      <c r="D875" s="29" t="n"/>
      <c r="E875" s="40">
        <f>IF(B875="","",TODAY())</f>
        <v/>
      </c>
      <c r="F875" s="30" t="n"/>
      <c r="G875" s="41" t="n"/>
      <c r="H875" s="42" t="n"/>
      <c r="I875" s="43">
        <f>IFERROR(IF(OR(D875="",G875="",H875=""),"",ABS(PMT(G875/100/12,H875,D875))),"")</f>
        <v/>
      </c>
      <c r="J875" s="44">
        <f>IF(B875="","","Active")</f>
        <v/>
      </c>
    </row>
    <row r="876" ht="20" customHeight="1">
      <c r="A876" s="39">
        <f>IF(B876="","","LN"&amp;TEXT(ROW()-2,"0000"))</f>
        <v/>
      </c>
      <c r="B876" s="26" t="n"/>
      <c r="C876" s="45">
        <f>IFERROR(IF(B876="","",VLOOKUP(B876,DATABASE!$A:$B,2,0)),"")</f>
        <v/>
      </c>
      <c r="D876" s="29" t="n"/>
      <c r="E876" s="40">
        <f>IF(B876="","",TODAY())</f>
        <v/>
      </c>
      <c r="F876" s="30" t="n"/>
      <c r="G876" s="41" t="n"/>
      <c r="H876" s="42" t="n"/>
      <c r="I876" s="43">
        <f>IFERROR(IF(OR(D876="",G876="",H876=""),"",ABS(PMT(G876/100/12,H876,D876))),"")</f>
        <v/>
      </c>
      <c r="J876" s="44">
        <f>IF(B876="","","Active")</f>
        <v/>
      </c>
    </row>
    <row r="877" ht="20" customHeight="1">
      <c r="A877" s="39">
        <f>IF(B877="","","LN"&amp;TEXT(ROW()-2,"0000"))</f>
        <v/>
      </c>
      <c r="B877" s="26" t="n"/>
      <c r="C877" s="27">
        <f>IFERROR(IF(B877="","",VLOOKUP(B877,DATABASE!$A:$B,2,0)),"")</f>
        <v/>
      </c>
      <c r="D877" s="29" t="n"/>
      <c r="E877" s="40">
        <f>IF(B877="","",TODAY())</f>
        <v/>
      </c>
      <c r="F877" s="30" t="n"/>
      <c r="G877" s="41" t="n"/>
      <c r="H877" s="42" t="n"/>
      <c r="I877" s="43">
        <f>IFERROR(IF(OR(D877="",G877="",H877=""),"",ABS(PMT(G877/100/12,H877,D877))),"")</f>
        <v/>
      </c>
      <c r="J877" s="44">
        <f>IF(B877="","","Active")</f>
        <v/>
      </c>
    </row>
    <row r="878" ht="20" customHeight="1">
      <c r="A878" s="39">
        <f>IF(B878="","","LN"&amp;TEXT(ROW()-2,"0000"))</f>
        <v/>
      </c>
      <c r="B878" s="26" t="n"/>
      <c r="C878" s="45">
        <f>IFERROR(IF(B878="","",VLOOKUP(B878,DATABASE!$A:$B,2,0)),"")</f>
        <v/>
      </c>
      <c r="D878" s="29" t="n"/>
      <c r="E878" s="40">
        <f>IF(B878="","",TODAY())</f>
        <v/>
      </c>
      <c r="F878" s="30" t="n"/>
      <c r="G878" s="41" t="n"/>
      <c r="H878" s="42" t="n"/>
      <c r="I878" s="43">
        <f>IFERROR(IF(OR(D878="",G878="",H878=""),"",ABS(PMT(G878/100/12,H878,D878))),"")</f>
        <v/>
      </c>
      <c r="J878" s="44">
        <f>IF(B878="","","Active")</f>
        <v/>
      </c>
    </row>
    <row r="879" ht="20" customHeight="1">
      <c r="A879" s="39">
        <f>IF(B879="","","LN"&amp;TEXT(ROW()-2,"0000"))</f>
        <v/>
      </c>
      <c r="B879" s="26" t="n"/>
      <c r="C879" s="27">
        <f>IFERROR(IF(B879="","",VLOOKUP(B879,DATABASE!$A:$B,2,0)),"")</f>
        <v/>
      </c>
      <c r="D879" s="29" t="n"/>
      <c r="E879" s="40">
        <f>IF(B879="","",TODAY())</f>
        <v/>
      </c>
      <c r="F879" s="30" t="n"/>
      <c r="G879" s="41" t="n"/>
      <c r="H879" s="42" t="n"/>
      <c r="I879" s="43">
        <f>IFERROR(IF(OR(D879="",G879="",H879=""),"",ABS(PMT(G879/100/12,H879,D879))),"")</f>
        <v/>
      </c>
      <c r="J879" s="44">
        <f>IF(B879="","","Active")</f>
        <v/>
      </c>
    </row>
    <row r="880" ht="20" customHeight="1">
      <c r="A880" s="39">
        <f>IF(B880="","","LN"&amp;TEXT(ROW()-2,"0000"))</f>
        <v/>
      </c>
      <c r="B880" s="26" t="n"/>
      <c r="C880" s="45">
        <f>IFERROR(IF(B880="","",VLOOKUP(B880,DATABASE!$A:$B,2,0)),"")</f>
        <v/>
      </c>
      <c r="D880" s="29" t="n"/>
      <c r="E880" s="40">
        <f>IF(B880="","",TODAY())</f>
        <v/>
      </c>
      <c r="F880" s="30" t="n"/>
      <c r="G880" s="41" t="n"/>
      <c r="H880" s="42" t="n"/>
      <c r="I880" s="43">
        <f>IFERROR(IF(OR(D880="",G880="",H880=""),"",ABS(PMT(G880/100/12,H880,D880))),"")</f>
        <v/>
      </c>
      <c r="J880" s="44">
        <f>IF(B880="","","Active")</f>
        <v/>
      </c>
    </row>
    <row r="881" ht="20" customHeight="1">
      <c r="A881" s="39">
        <f>IF(B881="","","LN"&amp;TEXT(ROW()-2,"0000"))</f>
        <v/>
      </c>
      <c r="B881" s="26" t="n"/>
      <c r="C881" s="27">
        <f>IFERROR(IF(B881="","",VLOOKUP(B881,DATABASE!$A:$B,2,0)),"")</f>
        <v/>
      </c>
      <c r="D881" s="29" t="n"/>
      <c r="E881" s="40">
        <f>IF(B881="","",TODAY())</f>
        <v/>
      </c>
      <c r="F881" s="30" t="n"/>
      <c r="G881" s="41" t="n"/>
      <c r="H881" s="42" t="n"/>
      <c r="I881" s="43">
        <f>IFERROR(IF(OR(D881="",G881="",H881=""),"",ABS(PMT(G881/100/12,H881,D881))),"")</f>
        <v/>
      </c>
      <c r="J881" s="44">
        <f>IF(B881="","","Active")</f>
        <v/>
      </c>
    </row>
    <row r="882" ht="20" customHeight="1">
      <c r="A882" s="39">
        <f>IF(B882="","","LN"&amp;TEXT(ROW()-2,"0000"))</f>
        <v/>
      </c>
      <c r="B882" s="26" t="n"/>
      <c r="C882" s="45">
        <f>IFERROR(IF(B882="","",VLOOKUP(B882,DATABASE!$A:$B,2,0)),"")</f>
        <v/>
      </c>
      <c r="D882" s="29" t="n"/>
      <c r="E882" s="40">
        <f>IF(B882="","",TODAY())</f>
        <v/>
      </c>
      <c r="F882" s="30" t="n"/>
      <c r="G882" s="41" t="n"/>
      <c r="H882" s="42" t="n"/>
      <c r="I882" s="43">
        <f>IFERROR(IF(OR(D882="",G882="",H882=""),"",ABS(PMT(G882/100/12,H882,D882))),"")</f>
        <v/>
      </c>
      <c r="J882" s="44">
        <f>IF(B882="","","Active")</f>
        <v/>
      </c>
    </row>
    <row r="883" ht="20" customHeight="1">
      <c r="A883" s="39">
        <f>IF(B883="","","LN"&amp;TEXT(ROW()-2,"0000"))</f>
        <v/>
      </c>
      <c r="B883" s="26" t="n"/>
      <c r="C883" s="27">
        <f>IFERROR(IF(B883="","",VLOOKUP(B883,DATABASE!$A:$B,2,0)),"")</f>
        <v/>
      </c>
      <c r="D883" s="29" t="n"/>
      <c r="E883" s="40">
        <f>IF(B883="","",TODAY())</f>
        <v/>
      </c>
      <c r="F883" s="30" t="n"/>
      <c r="G883" s="41" t="n"/>
      <c r="H883" s="42" t="n"/>
      <c r="I883" s="43">
        <f>IFERROR(IF(OR(D883="",G883="",H883=""),"",ABS(PMT(G883/100/12,H883,D883))),"")</f>
        <v/>
      </c>
      <c r="J883" s="44">
        <f>IF(B883="","","Active")</f>
        <v/>
      </c>
    </row>
    <row r="884" ht="20" customHeight="1">
      <c r="A884" s="39">
        <f>IF(B884="","","LN"&amp;TEXT(ROW()-2,"0000"))</f>
        <v/>
      </c>
      <c r="B884" s="26" t="n"/>
      <c r="C884" s="45">
        <f>IFERROR(IF(B884="","",VLOOKUP(B884,DATABASE!$A:$B,2,0)),"")</f>
        <v/>
      </c>
      <c r="D884" s="29" t="n"/>
      <c r="E884" s="40">
        <f>IF(B884="","",TODAY())</f>
        <v/>
      </c>
      <c r="F884" s="30" t="n"/>
      <c r="G884" s="41" t="n"/>
      <c r="H884" s="42" t="n"/>
      <c r="I884" s="43">
        <f>IFERROR(IF(OR(D884="",G884="",H884=""),"",ABS(PMT(G884/100/12,H884,D884))),"")</f>
        <v/>
      </c>
      <c r="J884" s="44">
        <f>IF(B884="","","Active")</f>
        <v/>
      </c>
    </row>
    <row r="885" ht="20" customHeight="1">
      <c r="A885" s="39">
        <f>IF(B885="","","LN"&amp;TEXT(ROW()-2,"0000"))</f>
        <v/>
      </c>
      <c r="B885" s="26" t="n"/>
      <c r="C885" s="27">
        <f>IFERROR(IF(B885="","",VLOOKUP(B885,DATABASE!$A:$B,2,0)),"")</f>
        <v/>
      </c>
      <c r="D885" s="29" t="n"/>
      <c r="E885" s="40">
        <f>IF(B885="","",TODAY())</f>
        <v/>
      </c>
      <c r="F885" s="30" t="n"/>
      <c r="G885" s="41" t="n"/>
      <c r="H885" s="42" t="n"/>
      <c r="I885" s="43">
        <f>IFERROR(IF(OR(D885="",G885="",H885=""),"",ABS(PMT(G885/100/12,H885,D885))),"")</f>
        <v/>
      </c>
      <c r="J885" s="44">
        <f>IF(B885="","","Active")</f>
        <v/>
      </c>
    </row>
    <row r="886" ht="20" customHeight="1">
      <c r="A886" s="39">
        <f>IF(B886="","","LN"&amp;TEXT(ROW()-2,"0000"))</f>
        <v/>
      </c>
      <c r="B886" s="26" t="n"/>
      <c r="C886" s="45">
        <f>IFERROR(IF(B886="","",VLOOKUP(B886,DATABASE!$A:$B,2,0)),"")</f>
        <v/>
      </c>
      <c r="D886" s="29" t="n"/>
      <c r="E886" s="40">
        <f>IF(B886="","",TODAY())</f>
        <v/>
      </c>
      <c r="F886" s="30" t="n"/>
      <c r="G886" s="41" t="n"/>
      <c r="H886" s="42" t="n"/>
      <c r="I886" s="43">
        <f>IFERROR(IF(OR(D886="",G886="",H886=""),"",ABS(PMT(G886/100/12,H886,D886))),"")</f>
        <v/>
      </c>
      <c r="J886" s="44">
        <f>IF(B886="","","Active")</f>
        <v/>
      </c>
    </row>
    <row r="887" ht="20" customHeight="1">
      <c r="A887" s="39">
        <f>IF(B887="","","LN"&amp;TEXT(ROW()-2,"0000"))</f>
        <v/>
      </c>
      <c r="B887" s="26" t="n"/>
      <c r="C887" s="27">
        <f>IFERROR(IF(B887="","",VLOOKUP(B887,DATABASE!$A:$B,2,0)),"")</f>
        <v/>
      </c>
      <c r="D887" s="29" t="n"/>
      <c r="E887" s="40">
        <f>IF(B887="","",TODAY())</f>
        <v/>
      </c>
      <c r="F887" s="30" t="n"/>
      <c r="G887" s="41" t="n"/>
      <c r="H887" s="42" t="n"/>
      <c r="I887" s="43">
        <f>IFERROR(IF(OR(D887="",G887="",H887=""),"",ABS(PMT(G887/100/12,H887,D887))),"")</f>
        <v/>
      </c>
      <c r="J887" s="44">
        <f>IF(B887="","","Active")</f>
        <v/>
      </c>
    </row>
    <row r="888" ht="20" customHeight="1">
      <c r="A888" s="39">
        <f>IF(B888="","","LN"&amp;TEXT(ROW()-2,"0000"))</f>
        <v/>
      </c>
      <c r="B888" s="26" t="n"/>
      <c r="C888" s="45">
        <f>IFERROR(IF(B888="","",VLOOKUP(B888,DATABASE!$A:$B,2,0)),"")</f>
        <v/>
      </c>
      <c r="D888" s="29" t="n"/>
      <c r="E888" s="40">
        <f>IF(B888="","",TODAY())</f>
        <v/>
      </c>
      <c r="F888" s="30" t="n"/>
      <c r="G888" s="41" t="n"/>
      <c r="H888" s="42" t="n"/>
      <c r="I888" s="43">
        <f>IFERROR(IF(OR(D888="",G888="",H888=""),"",ABS(PMT(G888/100/12,H888,D888))),"")</f>
        <v/>
      </c>
      <c r="J888" s="44">
        <f>IF(B888="","","Active")</f>
        <v/>
      </c>
    </row>
    <row r="889" ht="20" customHeight="1">
      <c r="A889" s="39">
        <f>IF(B889="","","LN"&amp;TEXT(ROW()-2,"0000"))</f>
        <v/>
      </c>
      <c r="B889" s="26" t="n"/>
      <c r="C889" s="27">
        <f>IFERROR(IF(B889="","",VLOOKUP(B889,DATABASE!$A:$B,2,0)),"")</f>
        <v/>
      </c>
      <c r="D889" s="29" t="n"/>
      <c r="E889" s="40">
        <f>IF(B889="","",TODAY())</f>
        <v/>
      </c>
      <c r="F889" s="30" t="n"/>
      <c r="G889" s="41" t="n"/>
      <c r="H889" s="42" t="n"/>
      <c r="I889" s="43">
        <f>IFERROR(IF(OR(D889="",G889="",H889=""),"",ABS(PMT(G889/100/12,H889,D889))),"")</f>
        <v/>
      </c>
      <c r="J889" s="44">
        <f>IF(B889="","","Active")</f>
        <v/>
      </c>
    </row>
    <row r="890" ht="20" customHeight="1">
      <c r="A890" s="39">
        <f>IF(B890="","","LN"&amp;TEXT(ROW()-2,"0000"))</f>
        <v/>
      </c>
      <c r="B890" s="26" t="n"/>
      <c r="C890" s="45">
        <f>IFERROR(IF(B890="","",VLOOKUP(B890,DATABASE!$A:$B,2,0)),"")</f>
        <v/>
      </c>
      <c r="D890" s="29" t="n"/>
      <c r="E890" s="40">
        <f>IF(B890="","",TODAY())</f>
        <v/>
      </c>
      <c r="F890" s="30" t="n"/>
      <c r="G890" s="41" t="n"/>
      <c r="H890" s="42" t="n"/>
      <c r="I890" s="43">
        <f>IFERROR(IF(OR(D890="",G890="",H890=""),"",ABS(PMT(G890/100/12,H890,D890))),"")</f>
        <v/>
      </c>
      <c r="J890" s="44">
        <f>IF(B890="","","Active")</f>
        <v/>
      </c>
    </row>
    <row r="891" ht="20" customHeight="1">
      <c r="A891" s="39">
        <f>IF(B891="","","LN"&amp;TEXT(ROW()-2,"0000"))</f>
        <v/>
      </c>
      <c r="B891" s="26" t="n"/>
      <c r="C891" s="27">
        <f>IFERROR(IF(B891="","",VLOOKUP(B891,DATABASE!$A:$B,2,0)),"")</f>
        <v/>
      </c>
      <c r="D891" s="29" t="n"/>
      <c r="E891" s="40">
        <f>IF(B891="","",TODAY())</f>
        <v/>
      </c>
      <c r="F891" s="30" t="n"/>
      <c r="G891" s="41" t="n"/>
      <c r="H891" s="42" t="n"/>
      <c r="I891" s="43">
        <f>IFERROR(IF(OR(D891="",G891="",H891=""),"",ABS(PMT(G891/100/12,H891,D891))),"")</f>
        <v/>
      </c>
      <c r="J891" s="44">
        <f>IF(B891="","","Active")</f>
        <v/>
      </c>
    </row>
    <row r="892" ht="20" customHeight="1">
      <c r="A892" s="39">
        <f>IF(B892="","","LN"&amp;TEXT(ROW()-2,"0000"))</f>
        <v/>
      </c>
      <c r="B892" s="26" t="n"/>
      <c r="C892" s="45">
        <f>IFERROR(IF(B892="","",VLOOKUP(B892,DATABASE!$A:$B,2,0)),"")</f>
        <v/>
      </c>
      <c r="D892" s="29" t="n"/>
      <c r="E892" s="40">
        <f>IF(B892="","",TODAY())</f>
        <v/>
      </c>
      <c r="F892" s="30" t="n"/>
      <c r="G892" s="41" t="n"/>
      <c r="H892" s="42" t="n"/>
      <c r="I892" s="43">
        <f>IFERROR(IF(OR(D892="",G892="",H892=""),"",ABS(PMT(G892/100/12,H892,D892))),"")</f>
        <v/>
      </c>
      <c r="J892" s="44">
        <f>IF(B892="","","Active")</f>
        <v/>
      </c>
    </row>
    <row r="893" ht="20" customHeight="1">
      <c r="A893" s="39">
        <f>IF(B893="","","LN"&amp;TEXT(ROW()-2,"0000"))</f>
        <v/>
      </c>
      <c r="B893" s="26" t="n"/>
      <c r="C893" s="27">
        <f>IFERROR(IF(B893="","",VLOOKUP(B893,DATABASE!$A:$B,2,0)),"")</f>
        <v/>
      </c>
      <c r="D893" s="29" t="n"/>
      <c r="E893" s="40">
        <f>IF(B893="","",TODAY())</f>
        <v/>
      </c>
      <c r="F893" s="30" t="n"/>
      <c r="G893" s="41" t="n"/>
      <c r="H893" s="42" t="n"/>
      <c r="I893" s="43">
        <f>IFERROR(IF(OR(D893="",G893="",H893=""),"",ABS(PMT(G893/100/12,H893,D893))),"")</f>
        <v/>
      </c>
      <c r="J893" s="44">
        <f>IF(B893="","","Active")</f>
        <v/>
      </c>
    </row>
    <row r="894" ht="20" customHeight="1">
      <c r="A894" s="39">
        <f>IF(B894="","","LN"&amp;TEXT(ROW()-2,"0000"))</f>
        <v/>
      </c>
      <c r="B894" s="26" t="n"/>
      <c r="C894" s="45">
        <f>IFERROR(IF(B894="","",VLOOKUP(B894,DATABASE!$A:$B,2,0)),"")</f>
        <v/>
      </c>
      <c r="D894" s="29" t="n"/>
      <c r="E894" s="40">
        <f>IF(B894="","",TODAY())</f>
        <v/>
      </c>
      <c r="F894" s="30" t="n"/>
      <c r="G894" s="41" t="n"/>
      <c r="H894" s="42" t="n"/>
      <c r="I894" s="43">
        <f>IFERROR(IF(OR(D894="",G894="",H894=""),"",ABS(PMT(G894/100/12,H894,D894))),"")</f>
        <v/>
      </c>
      <c r="J894" s="44">
        <f>IF(B894="","","Active")</f>
        <v/>
      </c>
    </row>
    <row r="895" ht="20" customHeight="1">
      <c r="A895" s="39">
        <f>IF(B895="","","LN"&amp;TEXT(ROW()-2,"0000"))</f>
        <v/>
      </c>
      <c r="B895" s="26" t="n"/>
      <c r="C895" s="27">
        <f>IFERROR(IF(B895="","",VLOOKUP(B895,DATABASE!$A:$B,2,0)),"")</f>
        <v/>
      </c>
      <c r="D895" s="29" t="n"/>
      <c r="E895" s="40">
        <f>IF(B895="","",TODAY())</f>
        <v/>
      </c>
      <c r="F895" s="30" t="n"/>
      <c r="G895" s="41" t="n"/>
      <c r="H895" s="42" t="n"/>
      <c r="I895" s="43">
        <f>IFERROR(IF(OR(D895="",G895="",H895=""),"",ABS(PMT(G895/100/12,H895,D895))),"")</f>
        <v/>
      </c>
      <c r="J895" s="44">
        <f>IF(B895="","","Active")</f>
        <v/>
      </c>
    </row>
    <row r="896" ht="20" customHeight="1">
      <c r="A896" s="39">
        <f>IF(B896="","","LN"&amp;TEXT(ROW()-2,"0000"))</f>
        <v/>
      </c>
      <c r="B896" s="26" t="n"/>
      <c r="C896" s="45">
        <f>IFERROR(IF(B896="","",VLOOKUP(B896,DATABASE!$A:$B,2,0)),"")</f>
        <v/>
      </c>
      <c r="D896" s="29" t="n"/>
      <c r="E896" s="40">
        <f>IF(B896="","",TODAY())</f>
        <v/>
      </c>
      <c r="F896" s="30" t="n"/>
      <c r="G896" s="41" t="n"/>
      <c r="H896" s="42" t="n"/>
      <c r="I896" s="43">
        <f>IFERROR(IF(OR(D896="",G896="",H896=""),"",ABS(PMT(G896/100/12,H896,D896))),"")</f>
        <v/>
      </c>
      <c r="J896" s="44">
        <f>IF(B896="","","Active")</f>
        <v/>
      </c>
    </row>
    <row r="897" ht="20" customHeight="1">
      <c r="A897" s="39">
        <f>IF(B897="","","LN"&amp;TEXT(ROW()-2,"0000"))</f>
        <v/>
      </c>
      <c r="B897" s="26" t="n"/>
      <c r="C897" s="27">
        <f>IFERROR(IF(B897="","",VLOOKUP(B897,DATABASE!$A:$B,2,0)),"")</f>
        <v/>
      </c>
      <c r="D897" s="29" t="n"/>
      <c r="E897" s="40">
        <f>IF(B897="","",TODAY())</f>
        <v/>
      </c>
      <c r="F897" s="30" t="n"/>
      <c r="G897" s="41" t="n"/>
      <c r="H897" s="42" t="n"/>
      <c r="I897" s="43">
        <f>IFERROR(IF(OR(D897="",G897="",H897=""),"",ABS(PMT(G897/100/12,H897,D897))),"")</f>
        <v/>
      </c>
      <c r="J897" s="44">
        <f>IF(B897="","","Active")</f>
        <v/>
      </c>
    </row>
    <row r="898" ht="20" customHeight="1">
      <c r="A898" s="39">
        <f>IF(B898="","","LN"&amp;TEXT(ROW()-2,"0000"))</f>
        <v/>
      </c>
      <c r="B898" s="26" t="n"/>
      <c r="C898" s="45">
        <f>IFERROR(IF(B898="","",VLOOKUP(B898,DATABASE!$A:$B,2,0)),"")</f>
        <v/>
      </c>
      <c r="D898" s="29" t="n"/>
      <c r="E898" s="40">
        <f>IF(B898="","",TODAY())</f>
        <v/>
      </c>
      <c r="F898" s="30" t="n"/>
      <c r="G898" s="41" t="n"/>
      <c r="H898" s="42" t="n"/>
      <c r="I898" s="43">
        <f>IFERROR(IF(OR(D898="",G898="",H898=""),"",ABS(PMT(G898/100/12,H898,D898))),"")</f>
        <v/>
      </c>
      <c r="J898" s="44">
        <f>IF(B898="","","Active")</f>
        <v/>
      </c>
    </row>
    <row r="899" ht="20" customHeight="1">
      <c r="A899" s="39">
        <f>IF(B899="","","LN"&amp;TEXT(ROW()-2,"0000"))</f>
        <v/>
      </c>
      <c r="B899" s="26" t="n"/>
      <c r="C899" s="27">
        <f>IFERROR(IF(B899="","",VLOOKUP(B899,DATABASE!$A:$B,2,0)),"")</f>
        <v/>
      </c>
      <c r="D899" s="29" t="n"/>
      <c r="E899" s="40">
        <f>IF(B899="","",TODAY())</f>
        <v/>
      </c>
      <c r="F899" s="30" t="n"/>
      <c r="G899" s="41" t="n"/>
      <c r="H899" s="42" t="n"/>
      <c r="I899" s="43">
        <f>IFERROR(IF(OR(D899="",G899="",H899=""),"",ABS(PMT(G899/100/12,H899,D899))),"")</f>
        <v/>
      </c>
      <c r="J899" s="44">
        <f>IF(B899="","","Active")</f>
        <v/>
      </c>
    </row>
    <row r="900" ht="20" customHeight="1">
      <c r="A900" s="39">
        <f>IF(B900="","","LN"&amp;TEXT(ROW()-2,"0000"))</f>
        <v/>
      </c>
      <c r="B900" s="26" t="n"/>
      <c r="C900" s="45">
        <f>IFERROR(IF(B900="","",VLOOKUP(B900,DATABASE!$A:$B,2,0)),"")</f>
        <v/>
      </c>
      <c r="D900" s="29" t="n"/>
      <c r="E900" s="40">
        <f>IF(B900="","",TODAY())</f>
        <v/>
      </c>
      <c r="F900" s="30" t="n"/>
      <c r="G900" s="41" t="n"/>
      <c r="H900" s="42" t="n"/>
      <c r="I900" s="43">
        <f>IFERROR(IF(OR(D900="",G900="",H900=""),"",ABS(PMT(G900/100/12,H900,D900))),"")</f>
        <v/>
      </c>
      <c r="J900" s="44">
        <f>IF(B900="","","Active")</f>
        <v/>
      </c>
    </row>
    <row r="901" ht="20" customHeight="1">
      <c r="A901" s="39">
        <f>IF(B901="","","LN"&amp;TEXT(ROW()-2,"0000"))</f>
        <v/>
      </c>
      <c r="B901" s="26" t="n"/>
      <c r="C901" s="27">
        <f>IFERROR(IF(B901="","",VLOOKUP(B901,DATABASE!$A:$B,2,0)),"")</f>
        <v/>
      </c>
      <c r="D901" s="29" t="n"/>
      <c r="E901" s="40">
        <f>IF(B901="","",TODAY())</f>
        <v/>
      </c>
      <c r="F901" s="30" t="n"/>
      <c r="G901" s="41" t="n"/>
      <c r="H901" s="42" t="n"/>
      <c r="I901" s="43">
        <f>IFERROR(IF(OR(D901="",G901="",H901=""),"",ABS(PMT(G901/100/12,H901,D901))),"")</f>
        <v/>
      </c>
      <c r="J901" s="44">
        <f>IF(B901="","","Active")</f>
        <v/>
      </c>
    </row>
    <row r="902" ht="20" customHeight="1">
      <c r="A902" s="39">
        <f>IF(B902="","","LN"&amp;TEXT(ROW()-2,"0000"))</f>
        <v/>
      </c>
      <c r="B902" s="26" t="n"/>
      <c r="C902" s="45">
        <f>IFERROR(IF(B902="","",VLOOKUP(B902,DATABASE!$A:$B,2,0)),"")</f>
        <v/>
      </c>
      <c r="D902" s="29" t="n"/>
      <c r="E902" s="40">
        <f>IF(B902="","",TODAY())</f>
        <v/>
      </c>
      <c r="F902" s="30" t="n"/>
      <c r="G902" s="41" t="n"/>
      <c r="H902" s="42" t="n"/>
      <c r="I902" s="43">
        <f>IFERROR(IF(OR(D902="",G902="",H902=""),"",ABS(PMT(G902/100/12,H902,D902))),"")</f>
        <v/>
      </c>
      <c r="J902" s="44">
        <f>IF(B902="","","Active")</f>
        <v/>
      </c>
    </row>
    <row r="903" ht="20" customHeight="1">
      <c r="A903" s="39">
        <f>IF(B903="","","LN"&amp;TEXT(ROW()-2,"0000"))</f>
        <v/>
      </c>
      <c r="B903" s="26" t="n"/>
      <c r="C903" s="27">
        <f>IFERROR(IF(B903="","",VLOOKUP(B903,DATABASE!$A:$B,2,0)),"")</f>
        <v/>
      </c>
      <c r="D903" s="29" t="n"/>
      <c r="E903" s="40">
        <f>IF(B903="","",TODAY())</f>
        <v/>
      </c>
      <c r="F903" s="30" t="n"/>
      <c r="G903" s="41" t="n"/>
      <c r="H903" s="42" t="n"/>
      <c r="I903" s="43">
        <f>IFERROR(IF(OR(D903="",G903="",H903=""),"",ABS(PMT(G903/100/12,H903,D903))),"")</f>
        <v/>
      </c>
      <c r="J903" s="44">
        <f>IF(B903="","","Active")</f>
        <v/>
      </c>
    </row>
    <row r="904" ht="20" customHeight="1">
      <c r="A904" s="39">
        <f>IF(B904="","","LN"&amp;TEXT(ROW()-2,"0000"))</f>
        <v/>
      </c>
      <c r="B904" s="26" t="n"/>
      <c r="C904" s="45">
        <f>IFERROR(IF(B904="","",VLOOKUP(B904,DATABASE!$A:$B,2,0)),"")</f>
        <v/>
      </c>
      <c r="D904" s="29" t="n"/>
      <c r="E904" s="40">
        <f>IF(B904="","",TODAY())</f>
        <v/>
      </c>
      <c r="F904" s="30" t="n"/>
      <c r="G904" s="41" t="n"/>
      <c r="H904" s="42" t="n"/>
      <c r="I904" s="43">
        <f>IFERROR(IF(OR(D904="",G904="",H904=""),"",ABS(PMT(G904/100/12,H904,D904))),"")</f>
        <v/>
      </c>
      <c r="J904" s="44">
        <f>IF(B904="","","Active")</f>
        <v/>
      </c>
    </row>
    <row r="905" ht="20" customHeight="1">
      <c r="A905" s="39">
        <f>IF(B905="","","LN"&amp;TEXT(ROW()-2,"0000"))</f>
        <v/>
      </c>
      <c r="B905" s="26" t="n"/>
      <c r="C905" s="27">
        <f>IFERROR(IF(B905="","",VLOOKUP(B905,DATABASE!$A:$B,2,0)),"")</f>
        <v/>
      </c>
      <c r="D905" s="29" t="n"/>
      <c r="E905" s="40">
        <f>IF(B905="","",TODAY())</f>
        <v/>
      </c>
      <c r="F905" s="30" t="n"/>
      <c r="G905" s="41" t="n"/>
      <c r="H905" s="42" t="n"/>
      <c r="I905" s="43">
        <f>IFERROR(IF(OR(D905="",G905="",H905=""),"",ABS(PMT(G905/100/12,H905,D905))),"")</f>
        <v/>
      </c>
      <c r="J905" s="44">
        <f>IF(B905="","","Active")</f>
        <v/>
      </c>
    </row>
    <row r="906" ht="20" customHeight="1">
      <c r="A906" s="39">
        <f>IF(B906="","","LN"&amp;TEXT(ROW()-2,"0000"))</f>
        <v/>
      </c>
      <c r="B906" s="26" t="n"/>
      <c r="C906" s="45">
        <f>IFERROR(IF(B906="","",VLOOKUP(B906,DATABASE!$A:$B,2,0)),"")</f>
        <v/>
      </c>
      <c r="D906" s="29" t="n"/>
      <c r="E906" s="40">
        <f>IF(B906="","",TODAY())</f>
        <v/>
      </c>
      <c r="F906" s="30" t="n"/>
      <c r="G906" s="41" t="n"/>
      <c r="H906" s="42" t="n"/>
      <c r="I906" s="43">
        <f>IFERROR(IF(OR(D906="",G906="",H906=""),"",ABS(PMT(G906/100/12,H906,D906))),"")</f>
        <v/>
      </c>
      <c r="J906" s="44">
        <f>IF(B906="","","Active")</f>
        <v/>
      </c>
    </row>
    <row r="907" ht="20" customHeight="1">
      <c r="A907" s="39">
        <f>IF(B907="","","LN"&amp;TEXT(ROW()-2,"0000"))</f>
        <v/>
      </c>
      <c r="B907" s="26" t="n"/>
      <c r="C907" s="27">
        <f>IFERROR(IF(B907="","",VLOOKUP(B907,DATABASE!$A:$B,2,0)),"")</f>
        <v/>
      </c>
      <c r="D907" s="29" t="n"/>
      <c r="E907" s="40">
        <f>IF(B907="","",TODAY())</f>
        <v/>
      </c>
      <c r="F907" s="30" t="n"/>
      <c r="G907" s="41" t="n"/>
      <c r="H907" s="42" t="n"/>
      <c r="I907" s="43">
        <f>IFERROR(IF(OR(D907="",G907="",H907=""),"",ABS(PMT(G907/100/12,H907,D907))),"")</f>
        <v/>
      </c>
      <c r="J907" s="44">
        <f>IF(B907="","","Active")</f>
        <v/>
      </c>
    </row>
    <row r="908" ht="20" customHeight="1">
      <c r="A908" s="39">
        <f>IF(B908="","","LN"&amp;TEXT(ROW()-2,"0000"))</f>
        <v/>
      </c>
      <c r="B908" s="26" t="n"/>
      <c r="C908" s="45">
        <f>IFERROR(IF(B908="","",VLOOKUP(B908,DATABASE!$A:$B,2,0)),"")</f>
        <v/>
      </c>
      <c r="D908" s="29" t="n"/>
      <c r="E908" s="40">
        <f>IF(B908="","",TODAY())</f>
        <v/>
      </c>
      <c r="F908" s="30" t="n"/>
      <c r="G908" s="41" t="n"/>
      <c r="H908" s="42" t="n"/>
      <c r="I908" s="43">
        <f>IFERROR(IF(OR(D908="",G908="",H908=""),"",ABS(PMT(G908/100/12,H908,D908))),"")</f>
        <v/>
      </c>
      <c r="J908" s="44">
        <f>IF(B908="","","Active")</f>
        <v/>
      </c>
    </row>
    <row r="909" ht="20" customHeight="1">
      <c r="A909" s="39">
        <f>IF(B909="","","LN"&amp;TEXT(ROW()-2,"0000"))</f>
        <v/>
      </c>
      <c r="B909" s="26" t="n"/>
      <c r="C909" s="27">
        <f>IFERROR(IF(B909="","",VLOOKUP(B909,DATABASE!$A:$B,2,0)),"")</f>
        <v/>
      </c>
      <c r="D909" s="29" t="n"/>
      <c r="E909" s="40">
        <f>IF(B909="","",TODAY())</f>
        <v/>
      </c>
      <c r="F909" s="30" t="n"/>
      <c r="G909" s="41" t="n"/>
      <c r="H909" s="42" t="n"/>
      <c r="I909" s="43">
        <f>IFERROR(IF(OR(D909="",G909="",H909=""),"",ABS(PMT(G909/100/12,H909,D909))),"")</f>
        <v/>
      </c>
      <c r="J909" s="44">
        <f>IF(B909="","","Active")</f>
        <v/>
      </c>
    </row>
    <row r="910" ht="20" customHeight="1">
      <c r="A910" s="39">
        <f>IF(B910="","","LN"&amp;TEXT(ROW()-2,"0000"))</f>
        <v/>
      </c>
      <c r="B910" s="26" t="n"/>
      <c r="C910" s="45">
        <f>IFERROR(IF(B910="","",VLOOKUP(B910,DATABASE!$A:$B,2,0)),"")</f>
        <v/>
      </c>
      <c r="D910" s="29" t="n"/>
      <c r="E910" s="40">
        <f>IF(B910="","",TODAY())</f>
        <v/>
      </c>
      <c r="F910" s="30" t="n"/>
      <c r="G910" s="41" t="n"/>
      <c r="H910" s="42" t="n"/>
      <c r="I910" s="43">
        <f>IFERROR(IF(OR(D910="",G910="",H910=""),"",ABS(PMT(G910/100/12,H910,D910))),"")</f>
        <v/>
      </c>
      <c r="J910" s="44">
        <f>IF(B910="","","Active")</f>
        <v/>
      </c>
    </row>
    <row r="911" ht="20" customHeight="1">
      <c r="A911" s="39">
        <f>IF(B911="","","LN"&amp;TEXT(ROW()-2,"0000"))</f>
        <v/>
      </c>
      <c r="B911" s="26" t="n"/>
      <c r="C911" s="27">
        <f>IFERROR(IF(B911="","",VLOOKUP(B911,DATABASE!$A:$B,2,0)),"")</f>
        <v/>
      </c>
      <c r="D911" s="29" t="n"/>
      <c r="E911" s="40">
        <f>IF(B911="","",TODAY())</f>
        <v/>
      </c>
      <c r="F911" s="30" t="n"/>
      <c r="G911" s="41" t="n"/>
      <c r="H911" s="42" t="n"/>
      <c r="I911" s="43">
        <f>IFERROR(IF(OR(D911="",G911="",H911=""),"",ABS(PMT(G911/100/12,H911,D911))),"")</f>
        <v/>
      </c>
      <c r="J911" s="44">
        <f>IF(B911="","","Active")</f>
        <v/>
      </c>
    </row>
    <row r="912" ht="20" customHeight="1">
      <c r="A912" s="39">
        <f>IF(B912="","","LN"&amp;TEXT(ROW()-2,"0000"))</f>
        <v/>
      </c>
      <c r="B912" s="26" t="n"/>
      <c r="C912" s="45">
        <f>IFERROR(IF(B912="","",VLOOKUP(B912,DATABASE!$A:$B,2,0)),"")</f>
        <v/>
      </c>
      <c r="D912" s="29" t="n"/>
      <c r="E912" s="40">
        <f>IF(B912="","",TODAY())</f>
        <v/>
      </c>
      <c r="F912" s="30" t="n"/>
      <c r="G912" s="41" t="n"/>
      <c r="H912" s="42" t="n"/>
      <c r="I912" s="43">
        <f>IFERROR(IF(OR(D912="",G912="",H912=""),"",ABS(PMT(G912/100/12,H912,D912))),"")</f>
        <v/>
      </c>
      <c r="J912" s="44">
        <f>IF(B912="","","Active")</f>
        <v/>
      </c>
    </row>
    <row r="913" ht="20" customHeight="1">
      <c r="A913" s="39">
        <f>IF(B913="","","LN"&amp;TEXT(ROW()-2,"0000"))</f>
        <v/>
      </c>
      <c r="B913" s="26" t="n"/>
      <c r="C913" s="27">
        <f>IFERROR(IF(B913="","",VLOOKUP(B913,DATABASE!$A:$B,2,0)),"")</f>
        <v/>
      </c>
      <c r="D913" s="29" t="n"/>
      <c r="E913" s="40">
        <f>IF(B913="","",TODAY())</f>
        <v/>
      </c>
      <c r="F913" s="30" t="n"/>
      <c r="G913" s="41" t="n"/>
      <c r="H913" s="42" t="n"/>
      <c r="I913" s="43">
        <f>IFERROR(IF(OR(D913="",G913="",H913=""),"",ABS(PMT(G913/100/12,H913,D913))),"")</f>
        <v/>
      </c>
      <c r="J913" s="44">
        <f>IF(B913="","","Active")</f>
        <v/>
      </c>
    </row>
    <row r="914" ht="20" customHeight="1">
      <c r="A914" s="39">
        <f>IF(B914="","","LN"&amp;TEXT(ROW()-2,"0000"))</f>
        <v/>
      </c>
      <c r="B914" s="26" t="n"/>
      <c r="C914" s="45">
        <f>IFERROR(IF(B914="","",VLOOKUP(B914,DATABASE!$A:$B,2,0)),"")</f>
        <v/>
      </c>
      <c r="D914" s="29" t="n"/>
      <c r="E914" s="40">
        <f>IF(B914="","",TODAY())</f>
        <v/>
      </c>
      <c r="F914" s="30" t="n"/>
      <c r="G914" s="41" t="n"/>
      <c r="H914" s="42" t="n"/>
      <c r="I914" s="43">
        <f>IFERROR(IF(OR(D914="",G914="",H914=""),"",ABS(PMT(G914/100/12,H914,D914))),"")</f>
        <v/>
      </c>
      <c r="J914" s="44">
        <f>IF(B914="","","Active")</f>
        <v/>
      </c>
    </row>
    <row r="915" ht="20" customHeight="1">
      <c r="A915" s="39">
        <f>IF(B915="","","LN"&amp;TEXT(ROW()-2,"0000"))</f>
        <v/>
      </c>
      <c r="B915" s="26" t="n"/>
      <c r="C915" s="27">
        <f>IFERROR(IF(B915="","",VLOOKUP(B915,DATABASE!$A:$B,2,0)),"")</f>
        <v/>
      </c>
      <c r="D915" s="29" t="n"/>
      <c r="E915" s="40">
        <f>IF(B915="","",TODAY())</f>
        <v/>
      </c>
      <c r="F915" s="30" t="n"/>
      <c r="G915" s="41" t="n"/>
      <c r="H915" s="42" t="n"/>
      <c r="I915" s="43">
        <f>IFERROR(IF(OR(D915="",G915="",H915=""),"",ABS(PMT(G915/100/12,H915,D915))),"")</f>
        <v/>
      </c>
      <c r="J915" s="44">
        <f>IF(B915="","","Active")</f>
        <v/>
      </c>
    </row>
    <row r="916" ht="20" customHeight="1">
      <c r="A916" s="39">
        <f>IF(B916="","","LN"&amp;TEXT(ROW()-2,"0000"))</f>
        <v/>
      </c>
      <c r="B916" s="26" t="n"/>
      <c r="C916" s="45">
        <f>IFERROR(IF(B916="","",VLOOKUP(B916,DATABASE!$A:$B,2,0)),"")</f>
        <v/>
      </c>
      <c r="D916" s="29" t="n"/>
      <c r="E916" s="40">
        <f>IF(B916="","",TODAY())</f>
        <v/>
      </c>
      <c r="F916" s="30" t="n"/>
      <c r="G916" s="41" t="n"/>
      <c r="H916" s="42" t="n"/>
      <c r="I916" s="43">
        <f>IFERROR(IF(OR(D916="",G916="",H916=""),"",ABS(PMT(G916/100/12,H916,D916))),"")</f>
        <v/>
      </c>
      <c r="J916" s="44">
        <f>IF(B916="","","Active")</f>
        <v/>
      </c>
    </row>
    <row r="917" ht="20" customHeight="1">
      <c r="A917" s="39">
        <f>IF(B917="","","LN"&amp;TEXT(ROW()-2,"0000"))</f>
        <v/>
      </c>
      <c r="B917" s="26" t="n"/>
      <c r="C917" s="27">
        <f>IFERROR(IF(B917="","",VLOOKUP(B917,DATABASE!$A:$B,2,0)),"")</f>
        <v/>
      </c>
      <c r="D917" s="29" t="n"/>
      <c r="E917" s="40">
        <f>IF(B917="","",TODAY())</f>
        <v/>
      </c>
      <c r="F917" s="30" t="n"/>
      <c r="G917" s="41" t="n"/>
      <c r="H917" s="42" t="n"/>
      <c r="I917" s="43">
        <f>IFERROR(IF(OR(D917="",G917="",H917=""),"",ABS(PMT(G917/100/12,H917,D917))),"")</f>
        <v/>
      </c>
      <c r="J917" s="44">
        <f>IF(B917="","","Active")</f>
        <v/>
      </c>
    </row>
    <row r="918" ht="20" customHeight="1">
      <c r="A918" s="39">
        <f>IF(B918="","","LN"&amp;TEXT(ROW()-2,"0000"))</f>
        <v/>
      </c>
      <c r="B918" s="26" t="n"/>
      <c r="C918" s="45">
        <f>IFERROR(IF(B918="","",VLOOKUP(B918,DATABASE!$A:$B,2,0)),"")</f>
        <v/>
      </c>
      <c r="D918" s="29" t="n"/>
      <c r="E918" s="40">
        <f>IF(B918="","",TODAY())</f>
        <v/>
      </c>
      <c r="F918" s="30" t="n"/>
      <c r="G918" s="41" t="n"/>
      <c r="H918" s="42" t="n"/>
      <c r="I918" s="43">
        <f>IFERROR(IF(OR(D918="",G918="",H918=""),"",ABS(PMT(G918/100/12,H918,D918))),"")</f>
        <v/>
      </c>
      <c r="J918" s="44">
        <f>IF(B918="","","Active")</f>
        <v/>
      </c>
    </row>
    <row r="919" ht="20" customHeight="1">
      <c r="A919" s="39">
        <f>IF(B919="","","LN"&amp;TEXT(ROW()-2,"0000"))</f>
        <v/>
      </c>
      <c r="B919" s="26" t="n"/>
      <c r="C919" s="27">
        <f>IFERROR(IF(B919="","",VLOOKUP(B919,DATABASE!$A:$B,2,0)),"")</f>
        <v/>
      </c>
      <c r="D919" s="29" t="n"/>
      <c r="E919" s="40">
        <f>IF(B919="","",TODAY())</f>
        <v/>
      </c>
      <c r="F919" s="30" t="n"/>
      <c r="G919" s="41" t="n"/>
      <c r="H919" s="42" t="n"/>
      <c r="I919" s="43">
        <f>IFERROR(IF(OR(D919="",G919="",H919=""),"",ABS(PMT(G919/100/12,H919,D919))),"")</f>
        <v/>
      </c>
      <c r="J919" s="44">
        <f>IF(B919="","","Active")</f>
        <v/>
      </c>
    </row>
    <row r="920" ht="20" customHeight="1">
      <c r="A920" s="39">
        <f>IF(B920="","","LN"&amp;TEXT(ROW()-2,"0000"))</f>
        <v/>
      </c>
      <c r="B920" s="26" t="n"/>
      <c r="C920" s="45">
        <f>IFERROR(IF(B920="","",VLOOKUP(B920,DATABASE!$A:$B,2,0)),"")</f>
        <v/>
      </c>
      <c r="D920" s="29" t="n"/>
      <c r="E920" s="40">
        <f>IF(B920="","",TODAY())</f>
        <v/>
      </c>
      <c r="F920" s="30" t="n"/>
      <c r="G920" s="41" t="n"/>
      <c r="H920" s="42" t="n"/>
      <c r="I920" s="43">
        <f>IFERROR(IF(OR(D920="",G920="",H920=""),"",ABS(PMT(G920/100/12,H920,D920))),"")</f>
        <v/>
      </c>
      <c r="J920" s="44">
        <f>IF(B920="","","Active")</f>
        <v/>
      </c>
    </row>
    <row r="921" ht="20" customHeight="1">
      <c r="A921" s="39">
        <f>IF(B921="","","LN"&amp;TEXT(ROW()-2,"0000"))</f>
        <v/>
      </c>
      <c r="B921" s="26" t="n"/>
      <c r="C921" s="27">
        <f>IFERROR(IF(B921="","",VLOOKUP(B921,DATABASE!$A:$B,2,0)),"")</f>
        <v/>
      </c>
      <c r="D921" s="29" t="n"/>
      <c r="E921" s="40">
        <f>IF(B921="","",TODAY())</f>
        <v/>
      </c>
      <c r="F921" s="30" t="n"/>
      <c r="G921" s="41" t="n"/>
      <c r="H921" s="42" t="n"/>
      <c r="I921" s="43">
        <f>IFERROR(IF(OR(D921="",G921="",H921=""),"",ABS(PMT(G921/100/12,H921,D921))),"")</f>
        <v/>
      </c>
      <c r="J921" s="44">
        <f>IF(B921="","","Active")</f>
        <v/>
      </c>
    </row>
    <row r="922" ht="20" customHeight="1">
      <c r="A922" s="39">
        <f>IF(B922="","","LN"&amp;TEXT(ROW()-2,"0000"))</f>
        <v/>
      </c>
      <c r="B922" s="26" t="n"/>
      <c r="C922" s="45">
        <f>IFERROR(IF(B922="","",VLOOKUP(B922,DATABASE!$A:$B,2,0)),"")</f>
        <v/>
      </c>
      <c r="D922" s="29" t="n"/>
      <c r="E922" s="40">
        <f>IF(B922="","",TODAY())</f>
        <v/>
      </c>
      <c r="F922" s="30" t="n"/>
      <c r="G922" s="41" t="n"/>
      <c r="H922" s="42" t="n"/>
      <c r="I922" s="43">
        <f>IFERROR(IF(OR(D922="",G922="",H922=""),"",ABS(PMT(G922/100/12,H922,D922))),"")</f>
        <v/>
      </c>
      <c r="J922" s="44">
        <f>IF(B922="","","Active")</f>
        <v/>
      </c>
    </row>
    <row r="923" ht="20" customHeight="1">
      <c r="A923" s="39">
        <f>IF(B923="","","LN"&amp;TEXT(ROW()-2,"0000"))</f>
        <v/>
      </c>
      <c r="B923" s="26" t="n"/>
      <c r="C923" s="27">
        <f>IFERROR(IF(B923="","",VLOOKUP(B923,DATABASE!$A:$B,2,0)),"")</f>
        <v/>
      </c>
      <c r="D923" s="29" t="n"/>
      <c r="E923" s="40">
        <f>IF(B923="","",TODAY())</f>
        <v/>
      </c>
      <c r="F923" s="30" t="n"/>
      <c r="G923" s="41" t="n"/>
      <c r="H923" s="42" t="n"/>
      <c r="I923" s="43">
        <f>IFERROR(IF(OR(D923="",G923="",H923=""),"",ABS(PMT(G923/100/12,H923,D923))),"")</f>
        <v/>
      </c>
      <c r="J923" s="44">
        <f>IF(B923="","","Active")</f>
        <v/>
      </c>
    </row>
    <row r="924" ht="20" customHeight="1">
      <c r="A924" s="39">
        <f>IF(B924="","","LN"&amp;TEXT(ROW()-2,"0000"))</f>
        <v/>
      </c>
      <c r="B924" s="26" t="n"/>
      <c r="C924" s="45">
        <f>IFERROR(IF(B924="","",VLOOKUP(B924,DATABASE!$A:$B,2,0)),"")</f>
        <v/>
      </c>
      <c r="D924" s="29" t="n"/>
      <c r="E924" s="40">
        <f>IF(B924="","",TODAY())</f>
        <v/>
      </c>
      <c r="F924" s="30" t="n"/>
      <c r="G924" s="41" t="n"/>
      <c r="H924" s="42" t="n"/>
      <c r="I924" s="43">
        <f>IFERROR(IF(OR(D924="",G924="",H924=""),"",ABS(PMT(G924/100/12,H924,D924))),"")</f>
        <v/>
      </c>
      <c r="J924" s="44">
        <f>IF(B924="","","Active")</f>
        <v/>
      </c>
    </row>
    <row r="925" ht="20" customHeight="1">
      <c r="A925" s="39">
        <f>IF(B925="","","LN"&amp;TEXT(ROW()-2,"0000"))</f>
        <v/>
      </c>
      <c r="B925" s="26" t="n"/>
      <c r="C925" s="27">
        <f>IFERROR(IF(B925="","",VLOOKUP(B925,DATABASE!$A:$B,2,0)),"")</f>
        <v/>
      </c>
      <c r="D925" s="29" t="n"/>
      <c r="E925" s="40">
        <f>IF(B925="","",TODAY())</f>
        <v/>
      </c>
      <c r="F925" s="30" t="n"/>
      <c r="G925" s="41" t="n"/>
      <c r="H925" s="42" t="n"/>
      <c r="I925" s="43">
        <f>IFERROR(IF(OR(D925="",G925="",H925=""),"",ABS(PMT(G925/100/12,H925,D925))),"")</f>
        <v/>
      </c>
      <c r="J925" s="44">
        <f>IF(B925="","","Active")</f>
        <v/>
      </c>
    </row>
    <row r="926" ht="20" customHeight="1">
      <c r="A926" s="39">
        <f>IF(B926="","","LN"&amp;TEXT(ROW()-2,"0000"))</f>
        <v/>
      </c>
      <c r="B926" s="26" t="n"/>
      <c r="C926" s="45">
        <f>IFERROR(IF(B926="","",VLOOKUP(B926,DATABASE!$A:$B,2,0)),"")</f>
        <v/>
      </c>
      <c r="D926" s="29" t="n"/>
      <c r="E926" s="40">
        <f>IF(B926="","",TODAY())</f>
        <v/>
      </c>
      <c r="F926" s="30" t="n"/>
      <c r="G926" s="41" t="n"/>
      <c r="H926" s="42" t="n"/>
      <c r="I926" s="43">
        <f>IFERROR(IF(OR(D926="",G926="",H926=""),"",ABS(PMT(G926/100/12,H926,D926))),"")</f>
        <v/>
      </c>
      <c r="J926" s="44">
        <f>IF(B926="","","Active")</f>
        <v/>
      </c>
    </row>
    <row r="927" ht="20" customHeight="1">
      <c r="A927" s="39">
        <f>IF(B927="","","LN"&amp;TEXT(ROW()-2,"0000"))</f>
        <v/>
      </c>
      <c r="B927" s="26" t="n"/>
      <c r="C927" s="27">
        <f>IFERROR(IF(B927="","",VLOOKUP(B927,DATABASE!$A:$B,2,0)),"")</f>
        <v/>
      </c>
      <c r="D927" s="29" t="n"/>
      <c r="E927" s="40">
        <f>IF(B927="","",TODAY())</f>
        <v/>
      </c>
      <c r="F927" s="30" t="n"/>
      <c r="G927" s="41" t="n"/>
      <c r="H927" s="42" t="n"/>
      <c r="I927" s="43">
        <f>IFERROR(IF(OR(D927="",G927="",H927=""),"",ABS(PMT(G927/100/12,H927,D927))),"")</f>
        <v/>
      </c>
      <c r="J927" s="44">
        <f>IF(B927="","","Active")</f>
        <v/>
      </c>
    </row>
    <row r="928" ht="20" customHeight="1">
      <c r="A928" s="39">
        <f>IF(B928="","","LN"&amp;TEXT(ROW()-2,"0000"))</f>
        <v/>
      </c>
      <c r="B928" s="26" t="n"/>
      <c r="C928" s="45">
        <f>IFERROR(IF(B928="","",VLOOKUP(B928,DATABASE!$A:$B,2,0)),"")</f>
        <v/>
      </c>
      <c r="D928" s="29" t="n"/>
      <c r="E928" s="40">
        <f>IF(B928="","",TODAY())</f>
        <v/>
      </c>
      <c r="F928" s="30" t="n"/>
      <c r="G928" s="41" t="n"/>
      <c r="H928" s="42" t="n"/>
      <c r="I928" s="43">
        <f>IFERROR(IF(OR(D928="",G928="",H928=""),"",ABS(PMT(G928/100/12,H928,D928))),"")</f>
        <v/>
      </c>
      <c r="J928" s="44">
        <f>IF(B928="","","Active")</f>
        <v/>
      </c>
    </row>
    <row r="929" ht="20" customHeight="1">
      <c r="A929" s="39">
        <f>IF(B929="","","LN"&amp;TEXT(ROW()-2,"0000"))</f>
        <v/>
      </c>
      <c r="B929" s="26" t="n"/>
      <c r="C929" s="27">
        <f>IFERROR(IF(B929="","",VLOOKUP(B929,DATABASE!$A:$B,2,0)),"")</f>
        <v/>
      </c>
      <c r="D929" s="29" t="n"/>
      <c r="E929" s="40">
        <f>IF(B929="","",TODAY())</f>
        <v/>
      </c>
      <c r="F929" s="30" t="n"/>
      <c r="G929" s="41" t="n"/>
      <c r="H929" s="42" t="n"/>
      <c r="I929" s="43">
        <f>IFERROR(IF(OR(D929="",G929="",H929=""),"",ABS(PMT(G929/100/12,H929,D929))),"")</f>
        <v/>
      </c>
      <c r="J929" s="44">
        <f>IF(B929="","","Active")</f>
        <v/>
      </c>
    </row>
    <row r="930" ht="20" customHeight="1">
      <c r="A930" s="39">
        <f>IF(B930="","","LN"&amp;TEXT(ROW()-2,"0000"))</f>
        <v/>
      </c>
      <c r="B930" s="26" t="n"/>
      <c r="C930" s="45">
        <f>IFERROR(IF(B930="","",VLOOKUP(B930,DATABASE!$A:$B,2,0)),"")</f>
        <v/>
      </c>
      <c r="D930" s="29" t="n"/>
      <c r="E930" s="40">
        <f>IF(B930="","",TODAY())</f>
        <v/>
      </c>
      <c r="F930" s="30" t="n"/>
      <c r="G930" s="41" t="n"/>
      <c r="H930" s="42" t="n"/>
      <c r="I930" s="43">
        <f>IFERROR(IF(OR(D930="",G930="",H930=""),"",ABS(PMT(G930/100/12,H930,D930))),"")</f>
        <v/>
      </c>
      <c r="J930" s="44">
        <f>IF(B930="","","Active")</f>
        <v/>
      </c>
    </row>
    <row r="931" ht="20" customHeight="1">
      <c r="A931" s="39">
        <f>IF(B931="","","LN"&amp;TEXT(ROW()-2,"0000"))</f>
        <v/>
      </c>
      <c r="B931" s="26" t="n"/>
      <c r="C931" s="27">
        <f>IFERROR(IF(B931="","",VLOOKUP(B931,DATABASE!$A:$B,2,0)),"")</f>
        <v/>
      </c>
      <c r="D931" s="29" t="n"/>
      <c r="E931" s="40">
        <f>IF(B931="","",TODAY())</f>
        <v/>
      </c>
      <c r="F931" s="30" t="n"/>
      <c r="G931" s="41" t="n"/>
      <c r="H931" s="42" t="n"/>
      <c r="I931" s="43">
        <f>IFERROR(IF(OR(D931="",G931="",H931=""),"",ABS(PMT(G931/100/12,H931,D931))),"")</f>
        <v/>
      </c>
      <c r="J931" s="44">
        <f>IF(B931="","","Active")</f>
        <v/>
      </c>
    </row>
    <row r="932" ht="20" customHeight="1">
      <c r="A932" s="39">
        <f>IF(B932="","","LN"&amp;TEXT(ROW()-2,"0000"))</f>
        <v/>
      </c>
      <c r="B932" s="26" t="n"/>
      <c r="C932" s="45">
        <f>IFERROR(IF(B932="","",VLOOKUP(B932,DATABASE!$A:$B,2,0)),"")</f>
        <v/>
      </c>
      <c r="D932" s="29" t="n"/>
      <c r="E932" s="40">
        <f>IF(B932="","",TODAY())</f>
        <v/>
      </c>
      <c r="F932" s="30" t="n"/>
      <c r="G932" s="41" t="n"/>
      <c r="H932" s="42" t="n"/>
      <c r="I932" s="43">
        <f>IFERROR(IF(OR(D932="",G932="",H932=""),"",ABS(PMT(G932/100/12,H932,D932))),"")</f>
        <v/>
      </c>
      <c r="J932" s="44">
        <f>IF(B932="","","Active")</f>
        <v/>
      </c>
    </row>
    <row r="933" ht="20" customHeight="1">
      <c r="A933" s="39">
        <f>IF(B933="","","LN"&amp;TEXT(ROW()-2,"0000"))</f>
        <v/>
      </c>
      <c r="B933" s="26" t="n"/>
      <c r="C933" s="27">
        <f>IFERROR(IF(B933="","",VLOOKUP(B933,DATABASE!$A:$B,2,0)),"")</f>
        <v/>
      </c>
      <c r="D933" s="29" t="n"/>
      <c r="E933" s="40">
        <f>IF(B933="","",TODAY())</f>
        <v/>
      </c>
      <c r="F933" s="30" t="n"/>
      <c r="G933" s="41" t="n"/>
      <c r="H933" s="42" t="n"/>
      <c r="I933" s="43">
        <f>IFERROR(IF(OR(D933="",G933="",H933=""),"",ABS(PMT(G933/100/12,H933,D933))),"")</f>
        <v/>
      </c>
      <c r="J933" s="44">
        <f>IF(B933="","","Active")</f>
        <v/>
      </c>
    </row>
    <row r="934" ht="20" customHeight="1">
      <c r="A934" s="39">
        <f>IF(B934="","","LN"&amp;TEXT(ROW()-2,"0000"))</f>
        <v/>
      </c>
      <c r="B934" s="26" t="n"/>
      <c r="C934" s="45">
        <f>IFERROR(IF(B934="","",VLOOKUP(B934,DATABASE!$A:$B,2,0)),"")</f>
        <v/>
      </c>
      <c r="D934" s="29" t="n"/>
      <c r="E934" s="40">
        <f>IF(B934="","",TODAY())</f>
        <v/>
      </c>
      <c r="F934" s="30" t="n"/>
      <c r="G934" s="41" t="n"/>
      <c r="H934" s="42" t="n"/>
      <c r="I934" s="43">
        <f>IFERROR(IF(OR(D934="",G934="",H934=""),"",ABS(PMT(G934/100/12,H934,D934))),"")</f>
        <v/>
      </c>
      <c r="J934" s="44">
        <f>IF(B934="","","Active")</f>
        <v/>
      </c>
    </row>
    <row r="935" ht="20" customHeight="1">
      <c r="A935" s="39">
        <f>IF(B935="","","LN"&amp;TEXT(ROW()-2,"0000"))</f>
        <v/>
      </c>
      <c r="B935" s="26" t="n"/>
      <c r="C935" s="27">
        <f>IFERROR(IF(B935="","",VLOOKUP(B935,DATABASE!$A:$B,2,0)),"")</f>
        <v/>
      </c>
      <c r="D935" s="29" t="n"/>
      <c r="E935" s="40">
        <f>IF(B935="","",TODAY())</f>
        <v/>
      </c>
      <c r="F935" s="30" t="n"/>
      <c r="G935" s="41" t="n"/>
      <c r="H935" s="42" t="n"/>
      <c r="I935" s="43">
        <f>IFERROR(IF(OR(D935="",G935="",H935=""),"",ABS(PMT(G935/100/12,H935,D935))),"")</f>
        <v/>
      </c>
      <c r="J935" s="44">
        <f>IF(B935="","","Active")</f>
        <v/>
      </c>
    </row>
    <row r="936" ht="20" customHeight="1">
      <c r="A936" s="39">
        <f>IF(B936="","","LN"&amp;TEXT(ROW()-2,"0000"))</f>
        <v/>
      </c>
      <c r="B936" s="26" t="n"/>
      <c r="C936" s="45">
        <f>IFERROR(IF(B936="","",VLOOKUP(B936,DATABASE!$A:$B,2,0)),"")</f>
        <v/>
      </c>
      <c r="D936" s="29" t="n"/>
      <c r="E936" s="40">
        <f>IF(B936="","",TODAY())</f>
        <v/>
      </c>
      <c r="F936" s="30" t="n"/>
      <c r="G936" s="41" t="n"/>
      <c r="H936" s="42" t="n"/>
      <c r="I936" s="43">
        <f>IFERROR(IF(OR(D936="",G936="",H936=""),"",ABS(PMT(G936/100/12,H936,D936))),"")</f>
        <v/>
      </c>
      <c r="J936" s="44">
        <f>IF(B936="","","Active")</f>
        <v/>
      </c>
    </row>
    <row r="937" ht="20" customHeight="1">
      <c r="A937" s="39">
        <f>IF(B937="","","LN"&amp;TEXT(ROW()-2,"0000"))</f>
        <v/>
      </c>
      <c r="B937" s="26" t="n"/>
      <c r="C937" s="27">
        <f>IFERROR(IF(B937="","",VLOOKUP(B937,DATABASE!$A:$B,2,0)),"")</f>
        <v/>
      </c>
      <c r="D937" s="29" t="n"/>
      <c r="E937" s="40">
        <f>IF(B937="","",TODAY())</f>
        <v/>
      </c>
      <c r="F937" s="30" t="n"/>
      <c r="G937" s="41" t="n"/>
      <c r="H937" s="42" t="n"/>
      <c r="I937" s="43">
        <f>IFERROR(IF(OR(D937="",G937="",H937=""),"",ABS(PMT(G937/100/12,H937,D937))),"")</f>
        <v/>
      </c>
      <c r="J937" s="44">
        <f>IF(B937="","","Active")</f>
        <v/>
      </c>
    </row>
    <row r="938" ht="20" customHeight="1">
      <c r="A938" s="39">
        <f>IF(B938="","","LN"&amp;TEXT(ROW()-2,"0000"))</f>
        <v/>
      </c>
      <c r="B938" s="26" t="n"/>
      <c r="C938" s="45">
        <f>IFERROR(IF(B938="","",VLOOKUP(B938,DATABASE!$A:$B,2,0)),"")</f>
        <v/>
      </c>
      <c r="D938" s="29" t="n"/>
      <c r="E938" s="40">
        <f>IF(B938="","",TODAY())</f>
        <v/>
      </c>
      <c r="F938" s="30" t="n"/>
      <c r="G938" s="41" t="n"/>
      <c r="H938" s="42" t="n"/>
      <c r="I938" s="43">
        <f>IFERROR(IF(OR(D938="",G938="",H938=""),"",ABS(PMT(G938/100/12,H938,D938))),"")</f>
        <v/>
      </c>
      <c r="J938" s="44">
        <f>IF(B938="","","Active")</f>
        <v/>
      </c>
    </row>
    <row r="939" ht="20" customHeight="1">
      <c r="A939" s="39">
        <f>IF(B939="","","LN"&amp;TEXT(ROW()-2,"0000"))</f>
        <v/>
      </c>
      <c r="B939" s="26" t="n"/>
      <c r="C939" s="27">
        <f>IFERROR(IF(B939="","",VLOOKUP(B939,DATABASE!$A:$B,2,0)),"")</f>
        <v/>
      </c>
      <c r="D939" s="29" t="n"/>
      <c r="E939" s="40">
        <f>IF(B939="","",TODAY())</f>
        <v/>
      </c>
      <c r="F939" s="30" t="n"/>
      <c r="G939" s="41" t="n"/>
      <c r="H939" s="42" t="n"/>
      <c r="I939" s="43">
        <f>IFERROR(IF(OR(D939="",G939="",H939=""),"",ABS(PMT(G939/100/12,H939,D939))),"")</f>
        <v/>
      </c>
      <c r="J939" s="44">
        <f>IF(B939="","","Active")</f>
        <v/>
      </c>
    </row>
    <row r="940" ht="20" customHeight="1">
      <c r="A940" s="39">
        <f>IF(B940="","","LN"&amp;TEXT(ROW()-2,"0000"))</f>
        <v/>
      </c>
      <c r="B940" s="26" t="n"/>
      <c r="C940" s="45">
        <f>IFERROR(IF(B940="","",VLOOKUP(B940,DATABASE!$A:$B,2,0)),"")</f>
        <v/>
      </c>
      <c r="D940" s="29" t="n"/>
      <c r="E940" s="40">
        <f>IF(B940="","",TODAY())</f>
        <v/>
      </c>
      <c r="F940" s="30" t="n"/>
      <c r="G940" s="41" t="n"/>
      <c r="H940" s="42" t="n"/>
      <c r="I940" s="43">
        <f>IFERROR(IF(OR(D940="",G940="",H940=""),"",ABS(PMT(G940/100/12,H940,D940))),"")</f>
        <v/>
      </c>
      <c r="J940" s="44">
        <f>IF(B940="","","Active")</f>
        <v/>
      </c>
    </row>
    <row r="941" ht="20" customHeight="1">
      <c r="A941" s="39">
        <f>IF(B941="","","LN"&amp;TEXT(ROW()-2,"0000"))</f>
        <v/>
      </c>
      <c r="B941" s="26" t="n"/>
      <c r="C941" s="27">
        <f>IFERROR(IF(B941="","",VLOOKUP(B941,DATABASE!$A:$B,2,0)),"")</f>
        <v/>
      </c>
      <c r="D941" s="29" t="n"/>
      <c r="E941" s="40">
        <f>IF(B941="","",TODAY())</f>
        <v/>
      </c>
      <c r="F941" s="30" t="n"/>
      <c r="G941" s="41" t="n"/>
      <c r="H941" s="42" t="n"/>
      <c r="I941" s="43">
        <f>IFERROR(IF(OR(D941="",G941="",H941=""),"",ABS(PMT(G941/100/12,H941,D941))),"")</f>
        <v/>
      </c>
      <c r="J941" s="44">
        <f>IF(B941="","","Active")</f>
        <v/>
      </c>
    </row>
    <row r="942" ht="20" customHeight="1">
      <c r="A942" s="39">
        <f>IF(B942="","","LN"&amp;TEXT(ROW()-2,"0000"))</f>
        <v/>
      </c>
      <c r="B942" s="26" t="n"/>
      <c r="C942" s="45">
        <f>IFERROR(IF(B942="","",VLOOKUP(B942,DATABASE!$A:$B,2,0)),"")</f>
        <v/>
      </c>
      <c r="D942" s="29" t="n"/>
      <c r="E942" s="40">
        <f>IF(B942="","",TODAY())</f>
        <v/>
      </c>
      <c r="F942" s="30" t="n"/>
      <c r="G942" s="41" t="n"/>
      <c r="H942" s="42" t="n"/>
      <c r="I942" s="43">
        <f>IFERROR(IF(OR(D942="",G942="",H942=""),"",ABS(PMT(G942/100/12,H942,D942))),"")</f>
        <v/>
      </c>
      <c r="J942" s="44">
        <f>IF(B942="","","Active")</f>
        <v/>
      </c>
    </row>
    <row r="943" ht="20" customHeight="1">
      <c r="A943" s="39">
        <f>IF(B943="","","LN"&amp;TEXT(ROW()-2,"0000"))</f>
        <v/>
      </c>
      <c r="B943" s="26" t="n"/>
      <c r="C943" s="27">
        <f>IFERROR(IF(B943="","",VLOOKUP(B943,DATABASE!$A:$B,2,0)),"")</f>
        <v/>
      </c>
      <c r="D943" s="29" t="n"/>
      <c r="E943" s="40">
        <f>IF(B943="","",TODAY())</f>
        <v/>
      </c>
      <c r="F943" s="30" t="n"/>
      <c r="G943" s="41" t="n"/>
      <c r="H943" s="42" t="n"/>
      <c r="I943" s="43">
        <f>IFERROR(IF(OR(D943="",G943="",H943=""),"",ABS(PMT(G943/100/12,H943,D943))),"")</f>
        <v/>
      </c>
      <c r="J943" s="44">
        <f>IF(B943="","","Active")</f>
        <v/>
      </c>
    </row>
    <row r="944" ht="20" customHeight="1">
      <c r="A944" s="39">
        <f>IF(B944="","","LN"&amp;TEXT(ROW()-2,"0000"))</f>
        <v/>
      </c>
      <c r="B944" s="26" t="n"/>
      <c r="C944" s="45">
        <f>IFERROR(IF(B944="","",VLOOKUP(B944,DATABASE!$A:$B,2,0)),"")</f>
        <v/>
      </c>
      <c r="D944" s="29" t="n"/>
      <c r="E944" s="40">
        <f>IF(B944="","",TODAY())</f>
        <v/>
      </c>
      <c r="F944" s="30" t="n"/>
      <c r="G944" s="41" t="n"/>
      <c r="H944" s="42" t="n"/>
      <c r="I944" s="43">
        <f>IFERROR(IF(OR(D944="",G944="",H944=""),"",ABS(PMT(G944/100/12,H944,D944))),"")</f>
        <v/>
      </c>
      <c r="J944" s="44">
        <f>IF(B944="","","Active")</f>
        <v/>
      </c>
    </row>
    <row r="945" ht="20" customHeight="1">
      <c r="A945" s="39">
        <f>IF(B945="","","LN"&amp;TEXT(ROW()-2,"0000"))</f>
        <v/>
      </c>
      <c r="B945" s="26" t="n"/>
      <c r="C945" s="27">
        <f>IFERROR(IF(B945="","",VLOOKUP(B945,DATABASE!$A:$B,2,0)),"")</f>
        <v/>
      </c>
      <c r="D945" s="29" t="n"/>
      <c r="E945" s="40">
        <f>IF(B945="","",TODAY())</f>
        <v/>
      </c>
      <c r="F945" s="30" t="n"/>
      <c r="G945" s="41" t="n"/>
      <c r="H945" s="42" t="n"/>
      <c r="I945" s="43">
        <f>IFERROR(IF(OR(D945="",G945="",H945=""),"",ABS(PMT(G945/100/12,H945,D945))),"")</f>
        <v/>
      </c>
      <c r="J945" s="44">
        <f>IF(B945="","","Active")</f>
        <v/>
      </c>
    </row>
    <row r="946" ht="20" customHeight="1">
      <c r="A946" s="39">
        <f>IF(B946="","","LN"&amp;TEXT(ROW()-2,"0000"))</f>
        <v/>
      </c>
      <c r="B946" s="26" t="n"/>
      <c r="C946" s="45">
        <f>IFERROR(IF(B946="","",VLOOKUP(B946,DATABASE!$A:$B,2,0)),"")</f>
        <v/>
      </c>
      <c r="D946" s="29" t="n"/>
      <c r="E946" s="40">
        <f>IF(B946="","",TODAY())</f>
        <v/>
      </c>
      <c r="F946" s="30" t="n"/>
      <c r="G946" s="41" t="n"/>
      <c r="H946" s="42" t="n"/>
      <c r="I946" s="43">
        <f>IFERROR(IF(OR(D946="",G946="",H946=""),"",ABS(PMT(G946/100/12,H946,D946))),"")</f>
        <v/>
      </c>
      <c r="J946" s="44">
        <f>IF(B946="","","Active")</f>
        <v/>
      </c>
    </row>
    <row r="947" ht="20" customHeight="1">
      <c r="A947" s="39">
        <f>IF(B947="","","LN"&amp;TEXT(ROW()-2,"0000"))</f>
        <v/>
      </c>
      <c r="B947" s="26" t="n"/>
      <c r="C947" s="27">
        <f>IFERROR(IF(B947="","",VLOOKUP(B947,DATABASE!$A:$B,2,0)),"")</f>
        <v/>
      </c>
      <c r="D947" s="29" t="n"/>
      <c r="E947" s="40">
        <f>IF(B947="","",TODAY())</f>
        <v/>
      </c>
      <c r="F947" s="30" t="n"/>
      <c r="G947" s="41" t="n"/>
      <c r="H947" s="42" t="n"/>
      <c r="I947" s="43">
        <f>IFERROR(IF(OR(D947="",G947="",H947=""),"",ABS(PMT(G947/100/12,H947,D947))),"")</f>
        <v/>
      </c>
      <c r="J947" s="44">
        <f>IF(B947="","","Active")</f>
        <v/>
      </c>
    </row>
    <row r="948" ht="20" customHeight="1">
      <c r="A948" s="39">
        <f>IF(B948="","","LN"&amp;TEXT(ROW()-2,"0000"))</f>
        <v/>
      </c>
      <c r="B948" s="26" t="n"/>
      <c r="C948" s="45">
        <f>IFERROR(IF(B948="","",VLOOKUP(B948,DATABASE!$A:$B,2,0)),"")</f>
        <v/>
      </c>
      <c r="D948" s="29" t="n"/>
      <c r="E948" s="40">
        <f>IF(B948="","",TODAY())</f>
        <v/>
      </c>
      <c r="F948" s="30" t="n"/>
      <c r="G948" s="41" t="n"/>
      <c r="H948" s="42" t="n"/>
      <c r="I948" s="43">
        <f>IFERROR(IF(OR(D948="",G948="",H948=""),"",ABS(PMT(G948/100/12,H948,D948))),"")</f>
        <v/>
      </c>
      <c r="J948" s="44">
        <f>IF(B948="","","Active")</f>
        <v/>
      </c>
    </row>
    <row r="949" ht="20" customHeight="1">
      <c r="A949" s="39">
        <f>IF(B949="","","LN"&amp;TEXT(ROW()-2,"0000"))</f>
        <v/>
      </c>
      <c r="B949" s="26" t="n"/>
      <c r="C949" s="27">
        <f>IFERROR(IF(B949="","",VLOOKUP(B949,DATABASE!$A:$B,2,0)),"")</f>
        <v/>
      </c>
      <c r="D949" s="29" t="n"/>
      <c r="E949" s="40">
        <f>IF(B949="","",TODAY())</f>
        <v/>
      </c>
      <c r="F949" s="30" t="n"/>
      <c r="G949" s="41" t="n"/>
      <c r="H949" s="42" t="n"/>
      <c r="I949" s="43">
        <f>IFERROR(IF(OR(D949="",G949="",H949=""),"",ABS(PMT(G949/100/12,H949,D949))),"")</f>
        <v/>
      </c>
      <c r="J949" s="44">
        <f>IF(B949="","","Active")</f>
        <v/>
      </c>
    </row>
    <row r="950" ht="20" customHeight="1">
      <c r="A950" s="39">
        <f>IF(B950="","","LN"&amp;TEXT(ROW()-2,"0000"))</f>
        <v/>
      </c>
      <c r="B950" s="26" t="n"/>
      <c r="C950" s="45">
        <f>IFERROR(IF(B950="","",VLOOKUP(B950,DATABASE!$A:$B,2,0)),"")</f>
        <v/>
      </c>
      <c r="D950" s="29" t="n"/>
      <c r="E950" s="40">
        <f>IF(B950="","",TODAY())</f>
        <v/>
      </c>
      <c r="F950" s="30" t="n"/>
      <c r="G950" s="41" t="n"/>
      <c r="H950" s="42" t="n"/>
      <c r="I950" s="43">
        <f>IFERROR(IF(OR(D950="",G950="",H950=""),"",ABS(PMT(G950/100/12,H950,D950))),"")</f>
        <v/>
      </c>
      <c r="J950" s="44">
        <f>IF(B950="","","Active")</f>
        <v/>
      </c>
    </row>
    <row r="951" ht="20" customHeight="1">
      <c r="A951" s="39">
        <f>IF(B951="","","LN"&amp;TEXT(ROW()-2,"0000"))</f>
        <v/>
      </c>
      <c r="B951" s="26" t="n"/>
      <c r="C951" s="27">
        <f>IFERROR(IF(B951="","",VLOOKUP(B951,DATABASE!$A:$B,2,0)),"")</f>
        <v/>
      </c>
      <c r="D951" s="29" t="n"/>
      <c r="E951" s="40">
        <f>IF(B951="","",TODAY())</f>
        <v/>
      </c>
      <c r="F951" s="30" t="n"/>
      <c r="G951" s="41" t="n"/>
      <c r="H951" s="42" t="n"/>
      <c r="I951" s="43">
        <f>IFERROR(IF(OR(D951="",G951="",H951=""),"",ABS(PMT(G951/100/12,H951,D951))),"")</f>
        <v/>
      </c>
      <c r="J951" s="44">
        <f>IF(B951="","","Active")</f>
        <v/>
      </c>
    </row>
    <row r="952" ht="20" customHeight="1">
      <c r="A952" s="39">
        <f>IF(B952="","","LN"&amp;TEXT(ROW()-2,"0000"))</f>
        <v/>
      </c>
      <c r="B952" s="26" t="n"/>
      <c r="C952" s="45">
        <f>IFERROR(IF(B952="","",VLOOKUP(B952,DATABASE!$A:$B,2,0)),"")</f>
        <v/>
      </c>
      <c r="D952" s="29" t="n"/>
      <c r="E952" s="40">
        <f>IF(B952="","",TODAY())</f>
        <v/>
      </c>
      <c r="F952" s="30" t="n"/>
      <c r="G952" s="41" t="n"/>
      <c r="H952" s="42" t="n"/>
      <c r="I952" s="43">
        <f>IFERROR(IF(OR(D952="",G952="",H952=""),"",ABS(PMT(G952/100/12,H952,D952))),"")</f>
        <v/>
      </c>
      <c r="J952" s="44">
        <f>IF(B952="","","Active")</f>
        <v/>
      </c>
    </row>
    <row r="953" ht="20" customHeight="1">
      <c r="A953" s="39">
        <f>IF(B953="","","LN"&amp;TEXT(ROW()-2,"0000"))</f>
        <v/>
      </c>
      <c r="B953" s="26" t="n"/>
      <c r="C953" s="27">
        <f>IFERROR(IF(B953="","",VLOOKUP(B953,DATABASE!$A:$B,2,0)),"")</f>
        <v/>
      </c>
      <c r="D953" s="29" t="n"/>
      <c r="E953" s="40">
        <f>IF(B953="","",TODAY())</f>
        <v/>
      </c>
      <c r="F953" s="30" t="n"/>
      <c r="G953" s="41" t="n"/>
      <c r="H953" s="42" t="n"/>
      <c r="I953" s="43">
        <f>IFERROR(IF(OR(D953="",G953="",H953=""),"",ABS(PMT(G953/100/12,H953,D953))),"")</f>
        <v/>
      </c>
      <c r="J953" s="44">
        <f>IF(B953="","","Active")</f>
        <v/>
      </c>
    </row>
    <row r="954" ht="20" customHeight="1">
      <c r="A954" s="39">
        <f>IF(B954="","","LN"&amp;TEXT(ROW()-2,"0000"))</f>
        <v/>
      </c>
      <c r="B954" s="26" t="n"/>
      <c r="C954" s="45">
        <f>IFERROR(IF(B954="","",VLOOKUP(B954,DATABASE!$A:$B,2,0)),"")</f>
        <v/>
      </c>
      <c r="D954" s="29" t="n"/>
      <c r="E954" s="40">
        <f>IF(B954="","",TODAY())</f>
        <v/>
      </c>
      <c r="F954" s="30" t="n"/>
      <c r="G954" s="41" t="n"/>
      <c r="H954" s="42" t="n"/>
      <c r="I954" s="43">
        <f>IFERROR(IF(OR(D954="",G954="",H954=""),"",ABS(PMT(G954/100/12,H954,D954))),"")</f>
        <v/>
      </c>
      <c r="J954" s="44">
        <f>IF(B954="","","Active")</f>
        <v/>
      </c>
    </row>
    <row r="955" ht="20" customHeight="1">
      <c r="A955" s="39">
        <f>IF(B955="","","LN"&amp;TEXT(ROW()-2,"0000"))</f>
        <v/>
      </c>
      <c r="B955" s="26" t="n"/>
      <c r="C955" s="27">
        <f>IFERROR(IF(B955="","",VLOOKUP(B955,DATABASE!$A:$B,2,0)),"")</f>
        <v/>
      </c>
      <c r="D955" s="29" t="n"/>
      <c r="E955" s="40">
        <f>IF(B955="","",TODAY())</f>
        <v/>
      </c>
      <c r="F955" s="30" t="n"/>
      <c r="G955" s="41" t="n"/>
      <c r="H955" s="42" t="n"/>
      <c r="I955" s="43">
        <f>IFERROR(IF(OR(D955="",G955="",H955=""),"",ABS(PMT(G955/100/12,H955,D955))),"")</f>
        <v/>
      </c>
      <c r="J955" s="44">
        <f>IF(B955="","","Active")</f>
        <v/>
      </c>
    </row>
    <row r="956" ht="20" customHeight="1">
      <c r="A956" s="39">
        <f>IF(B956="","","LN"&amp;TEXT(ROW()-2,"0000"))</f>
        <v/>
      </c>
      <c r="B956" s="26" t="n"/>
      <c r="C956" s="45">
        <f>IFERROR(IF(B956="","",VLOOKUP(B956,DATABASE!$A:$B,2,0)),"")</f>
        <v/>
      </c>
      <c r="D956" s="29" t="n"/>
      <c r="E956" s="40">
        <f>IF(B956="","",TODAY())</f>
        <v/>
      </c>
      <c r="F956" s="30" t="n"/>
      <c r="G956" s="41" t="n"/>
      <c r="H956" s="42" t="n"/>
      <c r="I956" s="43">
        <f>IFERROR(IF(OR(D956="",G956="",H956=""),"",ABS(PMT(G956/100/12,H956,D956))),"")</f>
        <v/>
      </c>
      <c r="J956" s="44">
        <f>IF(B956="","","Active")</f>
        <v/>
      </c>
    </row>
    <row r="957" ht="20" customHeight="1">
      <c r="A957" s="39">
        <f>IF(B957="","","LN"&amp;TEXT(ROW()-2,"0000"))</f>
        <v/>
      </c>
      <c r="B957" s="26" t="n"/>
      <c r="C957" s="27">
        <f>IFERROR(IF(B957="","",VLOOKUP(B957,DATABASE!$A:$B,2,0)),"")</f>
        <v/>
      </c>
      <c r="D957" s="29" t="n"/>
      <c r="E957" s="40">
        <f>IF(B957="","",TODAY())</f>
        <v/>
      </c>
      <c r="F957" s="30" t="n"/>
      <c r="G957" s="41" t="n"/>
      <c r="H957" s="42" t="n"/>
      <c r="I957" s="43">
        <f>IFERROR(IF(OR(D957="",G957="",H957=""),"",ABS(PMT(G957/100/12,H957,D957))),"")</f>
        <v/>
      </c>
      <c r="J957" s="44">
        <f>IF(B957="","","Active")</f>
        <v/>
      </c>
    </row>
    <row r="958" ht="20" customHeight="1">
      <c r="A958" s="39">
        <f>IF(B958="","","LN"&amp;TEXT(ROW()-2,"0000"))</f>
        <v/>
      </c>
      <c r="B958" s="26" t="n"/>
      <c r="C958" s="45">
        <f>IFERROR(IF(B958="","",VLOOKUP(B958,DATABASE!$A:$B,2,0)),"")</f>
        <v/>
      </c>
      <c r="D958" s="29" t="n"/>
      <c r="E958" s="40">
        <f>IF(B958="","",TODAY())</f>
        <v/>
      </c>
      <c r="F958" s="30" t="n"/>
      <c r="G958" s="41" t="n"/>
      <c r="H958" s="42" t="n"/>
      <c r="I958" s="43">
        <f>IFERROR(IF(OR(D958="",G958="",H958=""),"",ABS(PMT(G958/100/12,H958,D958))),"")</f>
        <v/>
      </c>
      <c r="J958" s="44">
        <f>IF(B958="","","Active")</f>
        <v/>
      </c>
    </row>
    <row r="959" ht="20" customHeight="1">
      <c r="A959" s="39">
        <f>IF(B959="","","LN"&amp;TEXT(ROW()-2,"0000"))</f>
        <v/>
      </c>
      <c r="B959" s="26" t="n"/>
      <c r="C959" s="27">
        <f>IFERROR(IF(B959="","",VLOOKUP(B959,DATABASE!$A:$B,2,0)),"")</f>
        <v/>
      </c>
      <c r="D959" s="29" t="n"/>
      <c r="E959" s="40">
        <f>IF(B959="","",TODAY())</f>
        <v/>
      </c>
      <c r="F959" s="30" t="n"/>
      <c r="G959" s="41" t="n"/>
      <c r="H959" s="42" t="n"/>
      <c r="I959" s="43">
        <f>IFERROR(IF(OR(D959="",G959="",H959=""),"",ABS(PMT(G959/100/12,H959,D959))),"")</f>
        <v/>
      </c>
      <c r="J959" s="44">
        <f>IF(B959="","","Active")</f>
        <v/>
      </c>
    </row>
    <row r="960" ht="20" customHeight="1">
      <c r="A960" s="39">
        <f>IF(B960="","","LN"&amp;TEXT(ROW()-2,"0000"))</f>
        <v/>
      </c>
      <c r="B960" s="26" t="n"/>
      <c r="C960" s="45">
        <f>IFERROR(IF(B960="","",VLOOKUP(B960,DATABASE!$A:$B,2,0)),"")</f>
        <v/>
      </c>
      <c r="D960" s="29" t="n"/>
      <c r="E960" s="40">
        <f>IF(B960="","",TODAY())</f>
        <v/>
      </c>
      <c r="F960" s="30" t="n"/>
      <c r="G960" s="41" t="n"/>
      <c r="H960" s="42" t="n"/>
      <c r="I960" s="43">
        <f>IFERROR(IF(OR(D960="",G960="",H960=""),"",ABS(PMT(G960/100/12,H960,D960))),"")</f>
        <v/>
      </c>
      <c r="J960" s="44">
        <f>IF(B960="","","Active")</f>
        <v/>
      </c>
    </row>
    <row r="961" ht="20" customHeight="1">
      <c r="A961" s="39">
        <f>IF(B961="","","LN"&amp;TEXT(ROW()-2,"0000"))</f>
        <v/>
      </c>
      <c r="B961" s="26" t="n"/>
      <c r="C961" s="27">
        <f>IFERROR(IF(B961="","",VLOOKUP(B961,DATABASE!$A:$B,2,0)),"")</f>
        <v/>
      </c>
      <c r="D961" s="29" t="n"/>
      <c r="E961" s="40">
        <f>IF(B961="","",TODAY())</f>
        <v/>
      </c>
      <c r="F961" s="30" t="n"/>
      <c r="G961" s="41" t="n"/>
      <c r="H961" s="42" t="n"/>
      <c r="I961" s="43">
        <f>IFERROR(IF(OR(D961="",G961="",H961=""),"",ABS(PMT(G961/100/12,H961,D961))),"")</f>
        <v/>
      </c>
      <c r="J961" s="44">
        <f>IF(B961="","","Active")</f>
        <v/>
      </c>
    </row>
    <row r="962" ht="20" customHeight="1">
      <c r="A962" s="39">
        <f>IF(B962="","","LN"&amp;TEXT(ROW()-2,"0000"))</f>
        <v/>
      </c>
      <c r="B962" s="26" t="n"/>
      <c r="C962" s="45">
        <f>IFERROR(IF(B962="","",VLOOKUP(B962,DATABASE!$A:$B,2,0)),"")</f>
        <v/>
      </c>
      <c r="D962" s="29" t="n"/>
      <c r="E962" s="40">
        <f>IF(B962="","",TODAY())</f>
        <v/>
      </c>
      <c r="F962" s="30" t="n"/>
      <c r="G962" s="41" t="n"/>
      <c r="H962" s="42" t="n"/>
      <c r="I962" s="43">
        <f>IFERROR(IF(OR(D962="",G962="",H962=""),"",ABS(PMT(G962/100/12,H962,D962))),"")</f>
        <v/>
      </c>
      <c r="J962" s="44">
        <f>IF(B962="","","Active")</f>
        <v/>
      </c>
    </row>
    <row r="963" ht="20" customHeight="1">
      <c r="A963" s="39">
        <f>IF(B963="","","LN"&amp;TEXT(ROW()-2,"0000"))</f>
        <v/>
      </c>
      <c r="B963" s="26" t="n"/>
      <c r="C963" s="27">
        <f>IFERROR(IF(B963="","",VLOOKUP(B963,DATABASE!$A:$B,2,0)),"")</f>
        <v/>
      </c>
      <c r="D963" s="29" t="n"/>
      <c r="E963" s="40">
        <f>IF(B963="","",TODAY())</f>
        <v/>
      </c>
      <c r="F963" s="30" t="n"/>
      <c r="G963" s="41" t="n"/>
      <c r="H963" s="42" t="n"/>
      <c r="I963" s="43">
        <f>IFERROR(IF(OR(D963="",G963="",H963=""),"",ABS(PMT(G963/100/12,H963,D963))),"")</f>
        <v/>
      </c>
      <c r="J963" s="44">
        <f>IF(B963="","","Active")</f>
        <v/>
      </c>
    </row>
    <row r="964" ht="20" customHeight="1">
      <c r="A964" s="39">
        <f>IF(B964="","","LN"&amp;TEXT(ROW()-2,"0000"))</f>
        <v/>
      </c>
      <c r="B964" s="26" t="n"/>
      <c r="C964" s="45">
        <f>IFERROR(IF(B964="","",VLOOKUP(B964,DATABASE!$A:$B,2,0)),"")</f>
        <v/>
      </c>
      <c r="D964" s="29" t="n"/>
      <c r="E964" s="40">
        <f>IF(B964="","",TODAY())</f>
        <v/>
      </c>
      <c r="F964" s="30" t="n"/>
      <c r="G964" s="41" t="n"/>
      <c r="H964" s="42" t="n"/>
      <c r="I964" s="43">
        <f>IFERROR(IF(OR(D964="",G964="",H964=""),"",ABS(PMT(G964/100/12,H964,D964))),"")</f>
        <v/>
      </c>
      <c r="J964" s="44">
        <f>IF(B964="","","Active")</f>
        <v/>
      </c>
    </row>
    <row r="965" ht="20" customHeight="1">
      <c r="A965" s="39">
        <f>IF(B965="","","LN"&amp;TEXT(ROW()-2,"0000"))</f>
        <v/>
      </c>
      <c r="B965" s="26" t="n"/>
      <c r="C965" s="27">
        <f>IFERROR(IF(B965="","",VLOOKUP(B965,DATABASE!$A:$B,2,0)),"")</f>
        <v/>
      </c>
      <c r="D965" s="29" t="n"/>
      <c r="E965" s="40">
        <f>IF(B965="","",TODAY())</f>
        <v/>
      </c>
      <c r="F965" s="30" t="n"/>
      <c r="G965" s="41" t="n"/>
      <c r="H965" s="42" t="n"/>
      <c r="I965" s="43">
        <f>IFERROR(IF(OR(D965="",G965="",H965=""),"",ABS(PMT(G965/100/12,H965,D965))),"")</f>
        <v/>
      </c>
      <c r="J965" s="44">
        <f>IF(B965="","","Active")</f>
        <v/>
      </c>
    </row>
    <row r="966" ht="20" customHeight="1">
      <c r="A966" s="39">
        <f>IF(B966="","","LN"&amp;TEXT(ROW()-2,"0000"))</f>
        <v/>
      </c>
      <c r="B966" s="26" t="n"/>
      <c r="C966" s="45">
        <f>IFERROR(IF(B966="","",VLOOKUP(B966,DATABASE!$A:$B,2,0)),"")</f>
        <v/>
      </c>
      <c r="D966" s="29" t="n"/>
      <c r="E966" s="40">
        <f>IF(B966="","",TODAY())</f>
        <v/>
      </c>
      <c r="F966" s="30" t="n"/>
      <c r="G966" s="41" t="n"/>
      <c r="H966" s="42" t="n"/>
      <c r="I966" s="43">
        <f>IFERROR(IF(OR(D966="",G966="",H966=""),"",ABS(PMT(G966/100/12,H966,D966))),"")</f>
        <v/>
      </c>
      <c r="J966" s="44">
        <f>IF(B966="","","Active")</f>
        <v/>
      </c>
    </row>
    <row r="967" ht="20" customHeight="1">
      <c r="A967" s="39">
        <f>IF(B967="","","LN"&amp;TEXT(ROW()-2,"0000"))</f>
        <v/>
      </c>
      <c r="B967" s="26" t="n"/>
      <c r="C967" s="27">
        <f>IFERROR(IF(B967="","",VLOOKUP(B967,DATABASE!$A:$B,2,0)),"")</f>
        <v/>
      </c>
      <c r="D967" s="29" t="n"/>
      <c r="E967" s="40">
        <f>IF(B967="","",TODAY())</f>
        <v/>
      </c>
      <c r="F967" s="30" t="n"/>
      <c r="G967" s="41" t="n"/>
      <c r="H967" s="42" t="n"/>
      <c r="I967" s="43">
        <f>IFERROR(IF(OR(D967="",G967="",H967=""),"",ABS(PMT(G967/100/12,H967,D967))),"")</f>
        <v/>
      </c>
      <c r="J967" s="44">
        <f>IF(B967="","","Active")</f>
        <v/>
      </c>
    </row>
    <row r="968" ht="20" customHeight="1">
      <c r="A968" s="39">
        <f>IF(B968="","","LN"&amp;TEXT(ROW()-2,"0000"))</f>
        <v/>
      </c>
      <c r="B968" s="26" t="n"/>
      <c r="C968" s="45">
        <f>IFERROR(IF(B968="","",VLOOKUP(B968,DATABASE!$A:$B,2,0)),"")</f>
        <v/>
      </c>
      <c r="D968" s="29" t="n"/>
      <c r="E968" s="40">
        <f>IF(B968="","",TODAY())</f>
        <v/>
      </c>
      <c r="F968" s="30" t="n"/>
      <c r="G968" s="41" t="n"/>
      <c r="H968" s="42" t="n"/>
      <c r="I968" s="43">
        <f>IFERROR(IF(OR(D968="",G968="",H968=""),"",ABS(PMT(G968/100/12,H968,D968))),"")</f>
        <v/>
      </c>
      <c r="J968" s="44">
        <f>IF(B968="","","Active")</f>
        <v/>
      </c>
    </row>
    <row r="969" ht="20" customHeight="1">
      <c r="A969" s="39">
        <f>IF(B969="","","LN"&amp;TEXT(ROW()-2,"0000"))</f>
        <v/>
      </c>
      <c r="B969" s="26" t="n"/>
      <c r="C969" s="27">
        <f>IFERROR(IF(B969="","",VLOOKUP(B969,DATABASE!$A:$B,2,0)),"")</f>
        <v/>
      </c>
      <c r="D969" s="29" t="n"/>
      <c r="E969" s="40">
        <f>IF(B969="","",TODAY())</f>
        <v/>
      </c>
      <c r="F969" s="30" t="n"/>
      <c r="G969" s="41" t="n"/>
      <c r="H969" s="42" t="n"/>
      <c r="I969" s="43">
        <f>IFERROR(IF(OR(D969="",G969="",H969=""),"",ABS(PMT(G969/100/12,H969,D969))),"")</f>
        <v/>
      </c>
      <c r="J969" s="44">
        <f>IF(B969="","","Active")</f>
        <v/>
      </c>
    </row>
    <row r="970" ht="20" customHeight="1">
      <c r="A970" s="39">
        <f>IF(B970="","","LN"&amp;TEXT(ROW()-2,"0000"))</f>
        <v/>
      </c>
      <c r="B970" s="26" t="n"/>
      <c r="C970" s="45">
        <f>IFERROR(IF(B970="","",VLOOKUP(B970,DATABASE!$A:$B,2,0)),"")</f>
        <v/>
      </c>
      <c r="D970" s="29" t="n"/>
      <c r="E970" s="40">
        <f>IF(B970="","",TODAY())</f>
        <v/>
      </c>
      <c r="F970" s="30" t="n"/>
      <c r="G970" s="41" t="n"/>
      <c r="H970" s="42" t="n"/>
      <c r="I970" s="43">
        <f>IFERROR(IF(OR(D970="",G970="",H970=""),"",ABS(PMT(G970/100/12,H970,D970))),"")</f>
        <v/>
      </c>
      <c r="J970" s="44">
        <f>IF(B970="","","Active")</f>
        <v/>
      </c>
    </row>
    <row r="971" ht="20" customHeight="1">
      <c r="A971" s="39">
        <f>IF(B971="","","LN"&amp;TEXT(ROW()-2,"0000"))</f>
        <v/>
      </c>
      <c r="B971" s="26" t="n"/>
      <c r="C971" s="27">
        <f>IFERROR(IF(B971="","",VLOOKUP(B971,DATABASE!$A:$B,2,0)),"")</f>
        <v/>
      </c>
      <c r="D971" s="29" t="n"/>
      <c r="E971" s="40">
        <f>IF(B971="","",TODAY())</f>
        <v/>
      </c>
      <c r="F971" s="30" t="n"/>
      <c r="G971" s="41" t="n"/>
      <c r="H971" s="42" t="n"/>
      <c r="I971" s="43">
        <f>IFERROR(IF(OR(D971="",G971="",H971=""),"",ABS(PMT(G971/100/12,H971,D971))),"")</f>
        <v/>
      </c>
      <c r="J971" s="44">
        <f>IF(B971="","","Active")</f>
        <v/>
      </c>
    </row>
    <row r="972" ht="20" customHeight="1">
      <c r="A972" s="39">
        <f>IF(B972="","","LN"&amp;TEXT(ROW()-2,"0000"))</f>
        <v/>
      </c>
      <c r="B972" s="26" t="n"/>
      <c r="C972" s="45">
        <f>IFERROR(IF(B972="","",VLOOKUP(B972,DATABASE!$A:$B,2,0)),"")</f>
        <v/>
      </c>
      <c r="D972" s="29" t="n"/>
      <c r="E972" s="40">
        <f>IF(B972="","",TODAY())</f>
        <v/>
      </c>
      <c r="F972" s="30" t="n"/>
      <c r="G972" s="41" t="n"/>
      <c r="H972" s="42" t="n"/>
      <c r="I972" s="43">
        <f>IFERROR(IF(OR(D972="",G972="",H972=""),"",ABS(PMT(G972/100/12,H972,D972))),"")</f>
        <v/>
      </c>
      <c r="J972" s="44">
        <f>IF(B972="","","Active")</f>
        <v/>
      </c>
    </row>
    <row r="973" ht="20" customHeight="1">
      <c r="A973" s="39">
        <f>IF(B973="","","LN"&amp;TEXT(ROW()-2,"0000"))</f>
        <v/>
      </c>
      <c r="B973" s="26" t="n"/>
      <c r="C973" s="27">
        <f>IFERROR(IF(B973="","",VLOOKUP(B973,DATABASE!$A:$B,2,0)),"")</f>
        <v/>
      </c>
      <c r="D973" s="29" t="n"/>
      <c r="E973" s="40">
        <f>IF(B973="","",TODAY())</f>
        <v/>
      </c>
      <c r="F973" s="30" t="n"/>
      <c r="G973" s="41" t="n"/>
      <c r="H973" s="42" t="n"/>
      <c r="I973" s="43">
        <f>IFERROR(IF(OR(D973="",G973="",H973=""),"",ABS(PMT(G973/100/12,H973,D973))),"")</f>
        <v/>
      </c>
      <c r="J973" s="44">
        <f>IF(B973="","","Active")</f>
        <v/>
      </c>
    </row>
    <row r="974" ht="20" customHeight="1">
      <c r="A974" s="39">
        <f>IF(B974="","","LN"&amp;TEXT(ROW()-2,"0000"))</f>
        <v/>
      </c>
      <c r="B974" s="26" t="n"/>
      <c r="C974" s="45">
        <f>IFERROR(IF(B974="","",VLOOKUP(B974,DATABASE!$A:$B,2,0)),"")</f>
        <v/>
      </c>
      <c r="D974" s="29" t="n"/>
      <c r="E974" s="40">
        <f>IF(B974="","",TODAY())</f>
        <v/>
      </c>
      <c r="F974" s="30" t="n"/>
      <c r="G974" s="41" t="n"/>
      <c r="H974" s="42" t="n"/>
      <c r="I974" s="43">
        <f>IFERROR(IF(OR(D974="",G974="",H974=""),"",ABS(PMT(G974/100/12,H974,D974))),"")</f>
        <v/>
      </c>
      <c r="J974" s="44">
        <f>IF(B974="","","Active")</f>
        <v/>
      </c>
    </row>
    <row r="975" ht="20" customHeight="1">
      <c r="A975" s="39">
        <f>IF(B975="","","LN"&amp;TEXT(ROW()-2,"0000"))</f>
        <v/>
      </c>
      <c r="B975" s="26" t="n"/>
      <c r="C975" s="27">
        <f>IFERROR(IF(B975="","",VLOOKUP(B975,DATABASE!$A:$B,2,0)),"")</f>
        <v/>
      </c>
      <c r="D975" s="29" t="n"/>
      <c r="E975" s="40">
        <f>IF(B975="","",TODAY())</f>
        <v/>
      </c>
      <c r="F975" s="30" t="n"/>
      <c r="G975" s="41" t="n"/>
      <c r="H975" s="42" t="n"/>
      <c r="I975" s="43">
        <f>IFERROR(IF(OR(D975="",G975="",H975=""),"",ABS(PMT(G975/100/12,H975,D975))),"")</f>
        <v/>
      </c>
      <c r="J975" s="44">
        <f>IF(B975="","","Active")</f>
        <v/>
      </c>
    </row>
    <row r="976" ht="20" customHeight="1">
      <c r="A976" s="39">
        <f>IF(B976="","","LN"&amp;TEXT(ROW()-2,"0000"))</f>
        <v/>
      </c>
      <c r="B976" s="26" t="n"/>
      <c r="C976" s="45">
        <f>IFERROR(IF(B976="","",VLOOKUP(B976,DATABASE!$A:$B,2,0)),"")</f>
        <v/>
      </c>
      <c r="D976" s="29" t="n"/>
      <c r="E976" s="40">
        <f>IF(B976="","",TODAY())</f>
        <v/>
      </c>
      <c r="F976" s="30" t="n"/>
      <c r="G976" s="41" t="n"/>
      <c r="H976" s="42" t="n"/>
      <c r="I976" s="43">
        <f>IFERROR(IF(OR(D976="",G976="",H976=""),"",ABS(PMT(G976/100/12,H976,D976))),"")</f>
        <v/>
      </c>
      <c r="J976" s="44">
        <f>IF(B976="","","Active")</f>
        <v/>
      </c>
    </row>
    <row r="977" ht="20" customHeight="1">
      <c r="A977" s="39">
        <f>IF(B977="","","LN"&amp;TEXT(ROW()-2,"0000"))</f>
        <v/>
      </c>
      <c r="B977" s="26" t="n"/>
      <c r="C977" s="27">
        <f>IFERROR(IF(B977="","",VLOOKUP(B977,DATABASE!$A:$B,2,0)),"")</f>
        <v/>
      </c>
      <c r="D977" s="29" t="n"/>
      <c r="E977" s="40">
        <f>IF(B977="","",TODAY())</f>
        <v/>
      </c>
      <c r="F977" s="30" t="n"/>
      <c r="G977" s="41" t="n"/>
      <c r="H977" s="42" t="n"/>
      <c r="I977" s="43">
        <f>IFERROR(IF(OR(D977="",G977="",H977=""),"",ABS(PMT(G977/100/12,H977,D977))),"")</f>
        <v/>
      </c>
      <c r="J977" s="44">
        <f>IF(B977="","","Active")</f>
        <v/>
      </c>
    </row>
    <row r="978" ht="20" customHeight="1">
      <c r="A978" s="39">
        <f>IF(B978="","","LN"&amp;TEXT(ROW()-2,"0000"))</f>
        <v/>
      </c>
      <c r="B978" s="26" t="n"/>
      <c r="C978" s="45">
        <f>IFERROR(IF(B978="","",VLOOKUP(B978,DATABASE!$A:$B,2,0)),"")</f>
        <v/>
      </c>
      <c r="D978" s="29" t="n"/>
      <c r="E978" s="40">
        <f>IF(B978="","",TODAY())</f>
        <v/>
      </c>
      <c r="F978" s="30" t="n"/>
      <c r="G978" s="41" t="n"/>
      <c r="H978" s="42" t="n"/>
      <c r="I978" s="43">
        <f>IFERROR(IF(OR(D978="",G978="",H978=""),"",ABS(PMT(G978/100/12,H978,D978))),"")</f>
        <v/>
      </c>
      <c r="J978" s="44">
        <f>IF(B978="","","Active")</f>
        <v/>
      </c>
    </row>
    <row r="979" ht="20" customHeight="1">
      <c r="A979" s="39">
        <f>IF(B979="","","LN"&amp;TEXT(ROW()-2,"0000"))</f>
        <v/>
      </c>
      <c r="B979" s="26" t="n"/>
      <c r="C979" s="27">
        <f>IFERROR(IF(B979="","",VLOOKUP(B979,DATABASE!$A:$B,2,0)),"")</f>
        <v/>
      </c>
      <c r="D979" s="29" t="n"/>
      <c r="E979" s="40">
        <f>IF(B979="","",TODAY())</f>
        <v/>
      </c>
      <c r="F979" s="30" t="n"/>
      <c r="G979" s="41" t="n"/>
      <c r="H979" s="42" t="n"/>
      <c r="I979" s="43">
        <f>IFERROR(IF(OR(D979="",G979="",H979=""),"",ABS(PMT(G979/100/12,H979,D979))),"")</f>
        <v/>
      </c>
      <c r="J979" s="44">
        <f>IF(B979="","","Active")</f>
        <v/>
      </c>
    </row>
    <row r="980" ht="20" customHeight="1">
      <c r="A980" s="39">
        <f>IF(B980="","","LN"&amp;TEXT(ROW()-2,"0000"))</f>
        <v/>
      </c>
      <c r="B980" s="26" t="n"/>
      <c r="C980" s="45">
        <f>IFERROR(IF(B980="","",VLOOKUP(B980,DATABASE!$A:$B,2,0)),"")</f>
        <v/>
      </c>
      <c r="D980" s="29" t="n"/>
      <c r="E980" s="40">
        <f>IF(B980="","",TODAY())</f>
        <v/>
      </c>
      <c r="F980" s="30" t="n"/>
      <c r="G980" s="41" t="n"/>
      <c r="H980" s="42" t="n"/>
      <c r="I980" s="43">
        <f>IFERROR(IF(OR(D980="",G980="",H980=""),"",ABS(PMT(G980/100/12,H980,D980))),"")</f>
        <v/>
      </c>
      <c r="J980" s="44">
        <f>IF(B980="","","Active")</f>
        <v/>
      </c>
    </row>
    <row r="981" ht="20" customHeight="1">
      <c r="A981" s="39">
        <f>IF(B981="","","LN"&amp;TEXT(ROW()-2,"0000"))</f>
        <v/>
      </c>
      <c r="B981" s="26" t="n"/>
      <c r="C981" s="27">
        <f>IFERROR(IF(B981="","",VLOOKUP(B981,DATABASE!$A:$B,2,0)),"")</f>
        <v/>
      </c>
      <c r="D981" s="29" t="n"/>
      <c r="E981" s="40">
        <f>IF(B981="","",TODAY())</f>
        <v/>
      </c>
      <c r="F981" s="30" t="n"/>
      <c r="G981" s="41" t="n"/>
      <c r="H981" s="42" t="n"/>
      <c r="I981" s="43">
        <f>IFERROR(IF(OR(D981="",G981="",H981=""),"",ABS(PMT(G981/100/12,H981,D981))),"")</f>
        <v/>
      </c>
      <c r="J981" s="44">
        <f>IF(B981="","","Active")</f>
        <v/>
      </c>
    </row>
    <row r="982" ht="20" customHeight="1">
      <c r="A982" s="39">
        <f>IF(B982="","","LN"&amp;TEXT(ROW()-2,"0000"))</f>
        <v/>
      </c>
      <c r="B982" s="26" t="n"/>
      <c r="C982" s="45">
        <f>IFERROR(IF(B982="","",VLOOKUP(B982,DATABASE!$A:$B,2,0)),"")</f>
        <v/>
      </c>
      <c r="D982" s="29" t="n"/>
      <c r="E982" s="40">
        <f>IF(B982="","",TODAY())</f>
        <v/>
      </c>
      <c r="F982" s="30" t="n"/>
      <c r="G982" s="41" t="n"/>
      <c r="H982" s="42" t="n"/>
      <c r="I982" s="43">
        <f>IFERROR(IF(OR(D982="",G982="",H982=""),"",ABS(PMT(G982/100/12,H982,D982))),"")</f>
        <v/>
      </c>
      <c r="J982" s="44">
        <f>IF(B982="","","Active")</f>
        <v/>
      </c>
    </row>
    <row r="983" ht="20" customHeight="1">
      <c r="A983" s="39">
        <f>IF(B983="","","LN"&amp;TEXT(ROW()-2,"0000"))</f>
        <v/>
      </c>
      <c r="B983" s="26" t="n"/>
      <c r="C983" s="27">
        <f>IFERROR(IF(B983="","",VLOOKUP(B983,DATABASE!$A:$B,2,0)),"")</f>
        <v/>
      </c>
      <c r="D983" s="29" t="n"/>
      <c r="E983" s="40">
        <f>IF(B983="","",TODAY())</f>
        <v/>
      </c>
      <c r="F983" s="30" t="n"/>
      <c r="G983" s="41" t="n"/>
      <c r="H983" s="42" t="n"/>
      <c r="I983" s="43">
        <f>IFERROR(IF(OR(D983="",G983="",H983=""),"",ABS(PMT(G983/100/12,H983,D983))),"")</f>
        <v/>
      </c>
      <c r="J983" s="44">
        <f>IF(B983="","","Active")</f>
        <v/>
      </c>
    </row>
    <row r="984" ht="20" customHeight="1">
      <c r="A984" s="39">
        <f>IF(B984="","","LN"&amp;TEXT(ROW()-2,"0000"))</f>
        <v/>
      </c>
      <c r="B984" s="26" t="n"/>
      <c r="C984" s="45">
        <f>IFERROR(IF(B984="","",VLOOKUP(B984,DATABASE!$A:$B,2,0)),"")</f>
        <v/>
      </c>
      <c r="D984" s="29" t="n"/>
      <c r="E984" s="40">
        <f>IF(B984="","",TODAY())</f>
        <v/>
      </c>
      <c r="F984" s="30" t="n"/>
      <c r="G984" s="41" t="n"/>
      <c r="H984" s="42" t="n"/>
      <c r="I984" s="43">
        <f>IFERROR(IF(OR(D984="",G984="",H984=""),"",ABS(PMT(G984/100/12,H984,D984))),"")</f>
        <v/>
      </c>
      <c r="J984" s="44">
        <f>IF(B984="","","Active")</f>
        <v/>
      </c>
    </row>
    <row r="985" ht="20" customHeight="1">
      <c r="A985" s="39">
        <f>IF(B985="","","LN"&amp;TEXT(ROW()-2,"0000"))</f>
        <v/>
      </c>
      <c r="B985" s="26" t="n"/>
      <c r="C985" s="27">
        <f>IFERROR(IF(B985="","",VLOOKUP(B985,DATABASE!$A:$B,2,0)),"")</f>
        <v/>
      </c>
      <c r="D985" s="29" t="n"/>
      <c r="E985" s="40">
        <f>IF(B985="","",TODAY())</f>
        <v/>
      </c>
      <c r="F985" s="30" t="n"/>
      <c r="G985" s="41" t="n"/>
      <c r="H985" s="42" t="n"/>
      <c r="I985" s="43">
        <f>IFERROR(IF(OR(D985="",G985="",H985=""),"",ABS(PMT(G985/100/12,H985,D985))),"")</f>
        <v/>
      </c>
      <c r="J985" s="44">
        <f>IF(B985="","","Active")</f>
        <v/>
      </c>
    </row>
    <row r="986" ht="20" customHeight="1">
      <c r="A986" s="39">
        <f>IF(B986="","","LN"&amp;TEXT(ROW()-2,"0000"))</f>
        <v/>
      </c>
      <c r="B986" s="26" t="n"/>
      <c r="C986" s="45">
        <f>IFERROR(IF(B986="","",VLOOKUP(B986,DATABASE!$A:$B,2,0)),"")</f>
        <v/>
      </c>
      <c r="D986" s="29" t="n"/>
      <c r="E986" s="40">
        <f>IF(B986="","",TODAY())</f>
        <v/>
      </c>
      <c r="F986" s="30" t="n"/>
      <c r="G986" s="41" t="n"/>
      <c r="H986" s="42" t="n"/>
      <c r="I986" s="43">
        <f>IFERROR(IF(OR(D986="",G986="",H986=""),"",ABS(PMT(G986/100/12,H986,D986))),"")</f>
        <v/>
      </c>
      <c r="J986" s="44">
        <f>IF(B986="","","Active")</f>
        <v/>
      </c>
    </row>
    <row r="987" ht="20" customHeight="1">
      <c r="A987" s="39">
        <f>IF(B987="","","LN"&amp;TEXT(ROW()-2,"0000"))</f>
        <v/>
      </c>
      <c r="B987" s="26" t="n"/>
      <c r="C987" s="27">
        <f>IFERROR(IF(B987="","",VLOOKUP(B987,DATABASE!$A:$B,2,0)),"")</f>
        <v/>
      </c>
      <c r="D987" s="29" t="n"/>
      <c r="E987" s="40">
        <f>IF(B987="","",TODAY())</f>
        <v/>
      </c>
      <c r="F987" s="30" t="n"/>
      <c r="G987" s="41" t="n"/>
      <c r="H987" s="42" t="n"/>
      <c r="I987" s="43">
        <f>IFERROR(IF(OR(D987="",G987="",H987=""),"",ABS(PMT(G987/100/12,H987,D987))),"")</f>
        <v/>
      </c>
      <c r="J987" s="44">
        <f>IF(B987="","","Active")</f>
        <v/>
      </c>
    </row>
    <row r="988" ht="20" customHeight="1">
      <c r="A988" s="39">
        <f>IF(B988="","","LN"&amp;TEXT(ROW()-2,"0000"))</f>
        <v/>
      </c>
      <c r="B988" s="26" t="n"/>
      <c r="C988" s="45">
        <f>IFERROR(IF(B988="","",VLOOKUP(B988,DATABASE!$A:$B,2,0)),"")</f>
        <v/>
      </c>
      <c r="D988" s="29" t="n"/>
      <c r="E988" s="40">
        <f>IF(B988="","",TODAY())</f>
        <v/>
      </c>
      <c r="F988" s="30" t="n"/>
      <c r="G988" s="41" t="n"/>
      <c r="H988" s="42" t="n"/>
      <c r="I988" s="43">
        <f>IFERROR(IF(OR(D988="",G988="",H988=""),"",ABS(PMT(G988/100/12,H988,D988))),"")</f>
        <v/>
      </c>
      <c r="J988" s="44">
        <f>IF(B988="","","Active")</f>
        <v/>
      </c>
    </row>
    <row r="989" ht="20" customHeight="1">
      <c r="A989" s="39">
        <f>IF(B989="","","LN"&amp;TEXT(ROW()-2,"0000"))</f>
        <v/>
      </c>
      <c r="B989" s="26" t="n"/>
      <c r="C989" s="27">
        <f>IFERROR(IF(B989="","",VLOOKUP(B989,DATABASE!$A:$B,2,0)),"")</f>
        <v/>
      </c>
      <c r="D989" s="29" t="n"/>
      <c r="E989" s="40">
        <f>IF(B989="","",TODAY())</f>
        <v/>
      </c>
      <c r="F989" s="30" t="n"/>
      <c r="G989" s="41" t="n"/>
      <c r="H989" s="42" t="n"/>
      <c r="I989" s="43">
        <f>IFERROR(IF(OR(D989="",G989="",H989=""),"",ABS(PMT(G989/100/12,H989,D989))),"")</f>
        <v/>
      </c>
      <c r="J989" s="44">
        <f>IF(B989="","","Active")</f>
        <v/>
      </c>
    </row>
    <row r="990" ht="20" customHeight="1">
      <c r="A990" s="39">
        <f>IF(B990="","","LN"&amp;TEXT(ROW()-2,"0000"))</f>
        <v/>
      </c>
      <c r="B990" s="26" t="n"/>
      <c r="C990" s="45">
        <f>IFERROR(IF(B990="","",VLOOKUP(B990,DATABASE!$A:$B,2,0)),"")</f>
        <v/>
      </c>
      <c r="D990" s="29" t="n"/>
      <c r="E990" s="40">
        <f>IF(B990="","",TODAY())</f>
        <v/>
      </c>
      <c r="F990" s="30" t="n"/>
      <c r="G990" s="41" t="n"/>
      <c r="H990" s="42" t="n"/>
      <c r="I990" s="43">
        <f>IFERROR(IF(OR(D990="",G990="",H990=""),"",ABS(PMT(G990/100/12,H990,D990))),"")</f>
        <v/>
      </c>
      <c r="J990" s="44">
        <f>IF(B990="","","Active")</f>
        <v/>
      </c>
    </row>
    <row r="991" ht="20" customHeight="1">
      <c r="A991" s="39">
        <f>IF(B991="","","LN"&amp;TEXT(ROW()-2,"0000"))</f>
        <v/>
      </c>
      <c r="B991" s="26" t="n"/>
      <c r="C991" s="27">
        <f>IFERROR(IF(B991="","",VLOOKUP(B991,DATABASE!$A:$B,2,0)),"")</f>
        <v/>
      </c>
      <c r="D991" s="29" t="n"/>
      <c r="E991" s="40">
        <f>IF(B991="","",TODAY())</f>
        <v/>
      </c>
      <c r="F991" s="30" t="n"/>
      <c r="G991" s="41" t="n"/>
      <c r="H991" s="42" t="n"/>
      <c r="I991" s="43">
        <f>IFERROR(IF(OR(D991="",G991="",H991=""),"",ABS(PMT(G991/100/12,H991,D991))),"")</f>
        <v/>
      </c>
      <c r="J991" s="44">
        <f>IF(B991="","","Active")</f>
        <v/>
      </c>
    </row>
    <row r="992" ht="20" customHeight="1">
      <c r="A992" s="39">
        <f>IF(B992="","","LN"&amp;TEXT(ROW()-2,"0000"))</f>
        <v/>
      </c>
      <c r="B992" s="26" t="n"/>
      <c r="C992" s="45">
        <f>IFERROR(IF(B992="","",VLOOKUP(B992,DATABASE!$A:$B,2,0)),"")</f>
        <v/>
      </c>
      <c r="D992" s="29" t="n"/>
      <c r="E992" s="40">
        <f>IF(B992="","",TODAY())</f>
        <v/>
      </c>
      <c r="F992" s="30" t="n"/>
      <c r="G992" s="41" t="n"/>
      <c r="H992" s="42" t="n"/>
      <c r="I992" s="43">
        <f>IFERROR(IF(OR(D992="",G992="",H992=""),"",ABS(PMT(G992/100/12,H992,D992))),"")</f>
        <v/>
      </c>
      <c r="J992" s="44">
        <f>IF(B992="","","Active")</f>
        <v/>
      </c>
    </row>
    <row r="993" ht="20" customHeight="1">
      <c r="A993" s="39">
        <f>IF(B993="","","LN"&amp;TEXT(ROW()-2,"0000"))</f>
        <v/>
      </c>
      <c r="B993" s="26" t="n"/>
      <c r="C993" s="27">
        <f>IFERROR(IF(B993="","",VLOOKUP(B993,DATABASE!$A:$B,2,0)),"")</f>
        <v/>
      </c>
      <c r="D993" s="29" t="n"/>
      <c r="E993" s="40">
        <f>IF(B993="","",TODAY())</f>
        <v/>
      </c>
      <c r="F993" s="30" t="n"/>
      <c r="G993" s="41" t="n"/>
      <c r="H993" s="42" t="n"/>
      <c r="I993" s="43">
        <f>IFERROR(IF(OR(D993="",G993="",H993=""),"",ABS(PMT(G993/100/12,H993,D993))),"")</f>
        <v/>
      </c>
      <c r="J993" s="44">
        <f>IF(B993="","","Active")</f>
        <v/>
      </c>
    </row>
    <row r="994" ht="20" customHeight="1">
      <c r="A994" s="39">
        <f>IF(B994="","","LN"&amp;TEXT(ROW()-2,"0000"))</f>
        <v/>
      </c>
      <c r="B994" s="26" t="n"/>
      <c r="C994" s="45">
        <f>IFERROR(IF(B994="","",VLOOKUP(B994,DATABASE!$A:$B,2,0)),"")</f>
        <v/>
      </c>
      <c r="D994" s="29" t="n"/>
      <c r="E994" s="40">
        <f>IF(B994="","",TODAY())</f>
        <v/>
      </c>
      <c r="F994" s="30" t="n"/>
      <c r="G994" s="41" t="n"/>
      <c r="H994" s="42" t="n"/>
      <c r="I994" s="43">
        <f>IFERROR(IF(OR(D994="",G994="",H994=""),"",ABS(PMT(G994/100/12,H994,D994))),"")</f>
        <v/>
      </c>
      <c r="J994" s="44">
        <f>IF(B994="","","Active")</f>
        <v/>
      </c>
    </row>
    <row r="995" ht="20" customHeight="1">
      <c r="A995" s="39">
        <f>IF(B995="","","LN"&amp;TEXT(ROW()-2,"0000"))</f>
        <v/>
      </c>
      <c r="B995" s="26" t="n"/>
      <c r="C995" s="27">
        <f>IFERROR(IF(B995="","",VLOOKUP(B995,DATABASE!$A:$B,2,0)),"")</f>
        <v/>
      </c>
      <c r="D995" s="29" t="n"/>
      <c r="E995" s="40">
        <f>IF(B995="","",TODAY())</f>
        <v/>
      </c>
      <c r="F995" s="30" t="n"/>
      <c r="G995" s="41" t="n"/>
      <c r="H995" s="42" t="n"/>
      <c r="I995" s="43">
        <f>IFERROR(IF(OR(D995="",G995="",H995=""),"",ABS(PMT(G995/100/12,H995,D995))),"")</f>
        <v/>
      </c>
      <c r="J995" s="44">
        <f>IF(B995="","","Active")</f>
        <v/>
      </c>
    </row>
    <row r="996" ht="20" customHeight="1">
      <c r="A996" s="39">
        <f>IF(B996="","","LN"&amp;TEXT(ROW()-2,"0000"))</f>
        <v/>
      </c>
      <c r="B996" s="26" t="n"/>
      <c r="C996" s="45">
        <f>IFERROR(IF(B996="","",VLOOKUP(B996,DATABASE!$A:$B,2,0)),"")</f>
        <v/>
      </c>
      <c r="D996" s="29" t="n"/>
      <c r="E996" s="40">
        <f>IF(B996="","",TODAY())</f>
        <v/>
      </c>
      <c r="F996" s="30" t="n"/>
      <c r="G996" s="41" t="n"/>
      <c r="H996" s="42" t="n"/>
      <c r="I996" s="43">
        <f>IFERROR(IF(OR(D996="",G996="",H996=""),"",ABS(PMT(G996/100/12,H996,D996))),"")</f>
        <v/>
      </c>
      <c r="J996" s="44">
        <f>IF(B996="","","Active")</f>
        <v/>
      </c>
    </row>
    <row r="997" ht="20" customHeight="1">
      <c r="A997" s="39">
        <f>IF(B997="","","LN"&amp;TEXT(ROW()-2,"0000"))</f>
        <v/>
      </c>
      <c r="B997" s="26" t="n"/>
      <c r="C997" s="27">
        <f>IFERROR(IF(B997="","",VLOOKUP(B997,DATABASE!$A:$B,2,0)),"")</f>
        <v/>
      </c>
      <c r="D997" s="29" t="n"/>
      <c r="E997" s="40">
        <f>IF(B997="","",TODAY())</f>
        <v/>
      </c>
      <c r="F997" s="30" t="n"/>
      <c r="G997" s="41" t="n"/>
      <c r="H997" s="42" t="n"/>
      <c r="I997" s="43">
        <f>IFERROR(IF(OR(D997="",G997="",H997=""),"",ABS(PMT(G997/100/12,H997,D997))),"")</f>
        <v/>
      </c>
      <c r="J997" s="44">
        <f>IF(B997="","","Active")</f>
        <v/>
      </c>
    </row>
    <row r="998" ht="20" customHeight="1">
      <c r="A998" s="39">
        <f>IF(B998="","","LN"&amp;TEXT(ROW()-2,"0000"))</f>
        <v/>
      </c>
      <c r="B998" s="26" t="n"/>
      <c r="C998" s="45">
        <f>IFERROR(IF(B998="","",VLOOKUP(B998,DATABASE!$A:$B,2,0)),"")</f>
        <v/>
      </c>
      <c r="D998" s="29" t="n"/>
      <c r="E998" s="40">
        <f>IF(B998="","",TODAY())</f>
        <v/>
      </c>
      <c r="F998" s="30" t="n"/>
      <c r="G998" s="41" t="n"/>
      <c r="H998" s="42" t="n"/>
      <c r="I998" s="43">
        <f>IFERROR(IF(OR(D998="",G998="",H998=""),"",ABS(PMT(G998/100/12,H998,D998))),"")</f>
        <v/>
      </c>
      <c r="J998" s="44">
        <f>IF(B998="","","Active")</f>
        <v/>
      </c>
    </row>
    <row r="999" ht="20" customHeight="1">
      <c r="A999" s="39">
        <f>IF(B999="","","LN"&amp;TEXT(ROW()-2,"0000"))</f>
        <v/>
      </c>
      <c r="B999" s="26" t="n"/>
      <c r="C999" s="27">
        <f>IFERROR(IF(B999="","",VLOOKUP(B999,DATABASE!$A:$B,2,0)),"")</f>
        <v/>
      </c>
      <c r="D999" s="29" t="n"/>
      <c r="E999" s="40">
        <f>IF(B999="","",TODAY())</f>
        <v/>
      </c>
      <c r="F999" s="30" t="n"/>
      <c r="G999" s="41" t="n"/>
      <c r="H999" s="42" t="n"/>
      <c r="I999" s="43">
        <f>IFERROR(IF(OR(D999="",G999="",H999=""),"",ABS(PMT(G999/100/12,H999,D999))),"")</f>
        <v/>
      </c>
      <c r="J999" s="44">
        <f>IF(B999="","","Active")</f>
        <v/>
      </c>
    </row>
    <row r="1000" ht="20" customHeight="1">
      <c r="A1000" s="39">
        <f>IF(B1000="","","LN"&amp;TEXT(ROW()-2,"0000"))</f>
        <v/>
      </c>
      <c r="B1000" s="26" t="n"/>
      <c r="C1000" s="45">
        <f>IFERROR(IF(B1000="","",VLOOKUP(B1000,DATABASE!$A:$B,2,0)),"")</f>
        <v/>
      </c>
      <c r="D1000" s="29" t="n"/>
      <c r="E1000" s="40">
        <f>IF(B1000="","",TODAY())</f>
        <v/>
      </c>
      <c r="F1000" s="30" t="n"/>
      <c r="G1000" s="41" t="n"/>
      <c r="H1000" s="42" t="n"/>
      <c r="I1000" s="43">
        <f>IFERROR(IF(OR(D1000="",G1000="",H1000=""),"",ABS(PMT(G1000/100/12,H1000,D1000))),"")</f>
        <v/>
      </c>
      <c r="J1000" s="44">
        <f>IF(B1000="","","Active")</f>
        <v/>
      </c>
    </row>
    <row r="1001" ht="20" customHeight="1">
      <c r="A1001" s="39">
        <f>IF(B1001="","","LN"&amp;TEXT(ROW()-2,"0000"))</f>
        <v/>
      </c>
      <c r="B1001" s="26" t="n"/>
      <c r="C1001" s="27">
        <f>IFERROR(IF(B1001="","",VLOOKUP(B1001,DATABASE!$A:$B,2,0)),"")</f>
        <v/>
      </c>
      <c r="D1001" s="29" t="n"/>
      <c r="E1001" s="40">
        <f>IF(B1001="","",TODAY())</f>
        <v/>
      </c>
      <c r="F1001" s="30" t="n"/>
      <c r="G1001" s="41" t="n"/>
      <c r="H1001" s="42" t="n"/>
      <c r="I1001" s="43">
        <f>IFERROR(IF(OR(D1001="",G1001="",H1001=""),"",ABS(PMT(G1001/100/12,H1001,D1001))),"")</f>
        <v/>
      </c>
      <c r="J1001" s="44">
        <f>IF(B1001="","","Active")</f>
        <v/>
      </c>
    </row>
    <row r="1002" ht="20" customHeight="1">
      <c r="A1002" s="39">
        <f>IF(B1002="","","LN"&amp;TEXT(ROW()-2,"0000"))</f>
        <v/>
      </c>
      <c r="B1002" s="26" t="n"/>
      <c r="C1002" s="45">
        <f>IFERROR(IF(B1002="","",VLOOKUP(B1002,DATABASE!$A:$B,2,0)),"")</f>
        <v/>
      </c>
      <c r="D1002" s="29" t="n"/>
      <c r="E1002" s="40">
        <f>IF(B1002="","",TODAY())</f>
        <v/>
      </c>
      <c r="F1002" s="30" t="n"/>
      <c r="G1002" s="41" t="n"/>
      <c r="H1002" s="42" t="n"/>
      <c r="I1002" s="43">
        <f>IFERROR(IF(OR(D1002="",G1002="",H1002=""),"",ABS(PMT(G1002/100/12,H1002,D1002))),"")</f>
        <v/>
      </c>
      <c r="J1002" s="44">
        <f>IF(B1002="","","Active")</f>
        <v/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J50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14" customWidth="1" min="4" max="4"/>
    <col width="24" customWidth="1" min="5" max="5"/>
    <col width="16" customWidth="1" min="6" max="6"/>
    <col width="26" customWidth="1" min="7" max="7"/>
    <col width="28" customWidth="1" min="8" max="8"/>
    <col width="28" customWidth="1" min="9" max="9"/>
    <col width="14" customWidth="1" min="10" max="10"/>
  </cols>
  <sheetData>
    <row r="1" ht="34" customHeight="1">
      <c r="A1" s="46" t="inlineStr">
        <is>
          <t>LOAN TOP-UP REGISTER</t>
        </is>
      </c>
    </row>
    <row r="2" ht="30" customHeight="1">
      <c r="A2" s="25" t="inlineStr">
        <is>
          <t>Top-Up ID</t>
        </is>
      </c>
      <c r="B2" s="25" t="inlineStr">
        <is>
          <t>Account Number</t>
        </is>
      </c>
      <c r="C2" s="25" t="inlineStr">
        <is>
          <t>Customer Name</t>
        </is>
      </c>
      <c r="D2" s="25" t="inlineStr">
        <is>
          <t>Parent Loan ID</t>
        </is>
      </c>
      <c r="E2" s="25" t="inlineStr">
        <is>
          <t>Top-Up Amount (GHS)</t>
        </is>
      </c>
      <c r="F2" s="25" t="inlineStr">
        <is>
          <t>Date</t>
        </is>
      </c>
      <c r="G2" s="25" t="inlineStr">
        <is>
          <t>Purpose / Notes</t>
        </is>
      </c>
      <c r="H2" s="25" t="inlineStr">
        <is>
          <t>Aggregated Loan Balance (GHS)</t>
        </is>
      </c>
      <c r="I2" s="25" t="inlineStr">
        <is>
          <t>Unified Monthly Repay (GHS)</t>
        </is>
      </c>
      <c r="J2" s="25" t="inlineStr">
        <is>
          <t>Status</t>
        </is>
      </c>
    </row>
    <row r="3" ht="20" customHeight="1">
      <c r="A3" s="47">
        <f>IF(B3="","","TU"&amp;TEXT(ROW()-2,"0000"))</f>
        <v/>
      </c>
      <c r="B3" s="26" t="n"/>
      <c r="C3" s="48">
        <f>IFERROR(IF(B3="","",VLOOKUP(B3,DATABASE!$A:$B,2,0)),"")</f>
        <v/>
      </c>
      <c r="D3" s="44">
        <f>IFERROR(IF(B3="","",VLOOKUP(B3,LOANS!$B:$A,1,0)),"")</f>
        <v/>
      </c>
      <c r="E3" s="29" t="n"/>
      <c r="F3" s="40">
        <f>IF(B3="","",TODAY())</f>
        <v/>
      </c>
      <c r="G3" s="30" t="n"/>
      <c r="H3" s="43">
        <f>IFERROR(IF(OR(B3="",E3=""),"",SUMIF(LOANS!$B:$B,B3,LOANS!$D:$D)+E3),"")</f>
        <v/>
      </c>
      <c r="I3" s="43">
        <f>IFERROR(IF(OR(B3="",E3=""),"",SUMIF(LOANS!$B:$B,B3,LOANS!$I:$I)+ABS(PMT(IFERROR(VLOOKUP(B3,LOANS!$B:$G,6,0),12)/100/12,IFERROR(VLOOKUP(B3,LOANS!$B:$H,7,0),12),E3))),"")</f>
        <v/>
      </c>
      <c r="J3" s="44">
        <f>IF(B3="","","Active")</f>
        <v/>
      </c>
    </row>
    <row r="4" ht="20" customHeight="1">
      <c r="A4" s="47">
        <f>IF(B4="","","TU"&amp;TEXT(ROW()-2,"0000"))</f>
        <v/>
      </c>
      <c r="B4" s="26" t="n"/>
      <c r="C4" s="48">
        <f>IFERROR(IF(B4="","",VLOOKUP(B4,DATABASE!$A:$B,2,0)),"")</f>
        <v/>
      </c>
      <c r="D4" s="44">
        <f>IFERROR(IF(B4="","",VLOOKUP(B4,LOANS!$B:$A,1,0)),"")</f>
        <v/>
      </c>
      <c r="E4" s="29" t="n"/>
      <c r="F4" s="40">
        <f>IF(B4="","",TODAY())</f>
        <v/>
      </c>
      <c r="G4" s="30" t="n"/>
      <c r="H4" s="43">
        <f>IFERROR(IF(OR(B4="",E4=""),"",SUMIF(LOANS!$B:$B,B4,LOANS!$D:$D)+E4),"")</f>
        <v/>
      </c>
      <c r="I4" s="43">
        <f>IFERROR(IF(OR(B4="",E4=""),"",SUMIF(LOANS!$B:$B,B4,LOANS!$I:$I)+ABS(PMT(IFERROR(VLOOKUP(B4,LOANS!$B:$G,6,0),12)/100/12,IFERROR(VLOOKUP(B4,LOANS!$B:$H,7,0),12),E4))),"")</f>
        <v/>
      </c>
      <c r="J4" s="44">
        <f>IF(B4="","","Active")</f>
        <v/>
      </c>
    </row>
    <row r="5" ht="20" customHeight="1">
      <c r="A5" s="47">
        <f>IF(B5="","","TU"&amp;TEXT(ROW()-2,"0000"))</f>
        <v/>
      </c>
      <c r="B5" s="26" t="n"/>
      <c r="C5" s="48">
        <f>IFERROR(IF(B5="","",VLOOKUP(B5,DATABASE!$A:$B,2,0)),"")</f>
        <v/>
      </c>
      <c r="D5" s="44">
        <f>IFERROR(IF(B5="","",VLOOKUP(B5,LOANS!$B:$A,1,0)),"")</f>
        <v/>
      </c>
      <c r="E5" s="29" t="n"/>
      <c r="F5" s="40">
        <f>IF(B5="","",TODAY())</f>
        <v/>
      </c>
      <c r="G5" s="30" t="n"/>
      <c r="H5" s="43">
        <f>IFERROR(IF(OR(B5="",E5=""),"",SUMIF(LOANS!$B:$B,B5,LOANS!$D:$D)+E5),"")</f>
        <v/>
      </c>
      <c r="I5" s="43">
        <f>IFERROR(IF(OR(B5="",E5=""),"",SUMIF(LOANS!$B:$B,B5,LOANS!$I:$I)+ABS(PMT(IFERROR(VLOOKUP(B5,LOANS!$B:$G,6,0),12)/100/12,IFERROR(VLOOKUP(B5,LOANS!$B:$H,7,0),12),E5))),"")</f>
        <v/>
      </c>
      <c r="J5" s="44">
        <f>IF(B5="","","Active")</f>
        <v/>
      </c>
    </row>
    <row r="6" ht="20" customHeight="1">
      <c r="A6" s="47">
        <f>IF(B6="","","TU"&amp;TEXT(ROW()-2,"0000"))</f>
        <v/>
      </c>
      <c r="B6" s="26" t="n"/>
      <c r="C6" s="48">
        <f>IFERROR(IF(B6="","",VLOOKUP(B6,DATABASE!$A:$B,2,0)),"")</f>
        <v/>
      </c>
      <c r="D6" s="44">
        <f>IFERROR(IF(B6="","",VLOOKUP(B6,LOANS!$B:$A,1,0)),"")</f>
        <v/>
      </c>
      <c r="E6" s="29" t="n"/>
      <c r="F6" s="40">
        <f>IF(B6="","",TODAY())</f>
        <v/>
      </c>
      <c r="G6" s="30" t="n"/>
      <c r="H6" s="43">
        <f>IFERROR(IF(OR(B6="",E6=""),"",SUMIF(LOANS!$B:$B,B6,LOANS!$D:$D)+E6),"")</f>
        <v/>
      </c>
      <c r="I6" s="43">
        <f>IFERROR(IF(OR(B6="",E6=""),"",SUMIF(LOANS!$B:$B,B6,LOANS!$I:$I)+ABS(PMT(IFERROR(VLOOKUP(B6,LOANS!$B:$G,6,0),12)/100/12,IFERROR(VLOOKUP(B6,LOANS!$B:$H,7,0),12),E6))),"")</f>
        <v/>
      </c>
      <c r="J6" s="44">
        <f>IF(B6="","","Active")</f>
        <v/>
      </c>
    </row>
    <row r="7" ht="20" customHeight="1">
      <c r="A7" s="47">
        <f>IF(B7="","","TU"&amp;TEXT(ROW()-2,"0000"))</f>
        <v/>
      </c>
      <c r="B7" s="26" t="n"/>
      <c r="C7" s="48">
        <f>IFERROR(IF(B7="","",VLOOKUP(B7,DATABASE!$A:$B,2,0)),"")</f>
        <v/>
      </c>
      <c r="D7" s="44">
        <f>IFERROR(IF(B7="","",VLOOKUP(B7,LOANS!$B:$A,1,0)),"")</f>
        <v/>
      </c>
      <c r="E7" s="29" t="n"/>
      <c r="F7" s="40">
        <f>IF(B7="","",TODAY())</f>
        <v/>
      </c>
      <c r="G7" s="30" t="n"/>
      <c r="H7" s="43">
        <f>IFERROR(IF(OR(B7="",E7=""),"",SUMIF(LOANS!$B:$B,B7,LOANS!$D:$D)+E7),"")</f>
        <v/>
      </c>
      <c r="I7" s="43">
        <f>IFERROR(IF(OR(B7="",E7=""),"",SUMIF(LOANS!$B:$B,B7,LOANS!$I:$I)+ABS(PMT(IFERROR(VLOOKUP(B7,LOANS!$B:$G,6,0),12)/100/12,IFERROR(VLOOKUP(B7,LOANS!$B:$H,7,0),12),E7))),"")</f>
        <v/>
      </c>
      <c r="J7" s="44">
        <f>IF(B7="","","Active")</f>
        <v/>
      </c>
    </row>
    <row r="8" ht="20" customHeight="1">
      <c r="A8" s="47">
        <f>IF(B8="","","TU"&amp;TEXT(ROW()-2,"0000"))</f>
        <v/>
      </c>
      <c r="B8" s="26" t="n"/>
      <c r="C8" s="48">
        <f>IFERROR(IF(B8="","",VLOOKUP(B8,DATABASE!$A:$B,2,0)),"")</f>
        <v/>
      </c>
      <c r="D8" s="44">
        <f>IFERROR(IF(B8="","",VLOOKUP(B8,LOANS!$B:$A,1,0)),"")</f>
        <v/>
      </c>
      <c r="E8" s="29" t="n"/>
      <c r="F8" s="40">
        <f>IF(B8="","",TODAY())</f>
        <v/>
      </c>
      <c r="G8" s="30" t="n"/>
      <c r="H8" s="43">
        <f>IFERROR(IF(OR(B8="",E8=""),"",SUMIF(LOANS!$B:$B,B8,LOANS!$D:$D)+E8),"")</f>
        <v/>
      </c>
      <c r="I8" s="43">
        <f>IFERROR(IF(OR(B8="",E8=""),"",SUMIF(LOANS!$B:$B,B8,LOANS!$I:$I)+ABS(PMT(IFERROR(VLOOKUP(B8,LOANS!$B:$G,6,0),12)/100/12,IFERROR(VLOOKUP(B8,LOANS!$B:$H,7,0),12),E8))),"")</f>
        <v/>
      </c>
      <c r="J8" s="44">
        <f>IF(B8="","","Active")</f>
        <v/>
      </c>
    </row>
    <row r="9" ht="20" customHeight="1">
      <c r="A9" s="47">
        <f>IF(B9="","","TU"&amp;TEXT(ROW()-2,"0000"))</f>
        <v/>
      </c>
      <c r="B9" s="26" t="n"/>
      <c r="C9" s="48">
        <f>IFERROR(IF(B9="","",VLOOKUP(B9,DATABASE!$A:$B,2,0)),"")</f>
        <v/>
      </c>
      <c r="D9" s="44">
        <f>IFERROR(IF(B9="","",VLOOKUP(B9,LOANS!$B:$A,1,0)),"")</f>
        <v/>
      </c>
      <c r="E9" s="29" t="n"/>
      <c r="F9" s="40">
        <f>IF(B9="","",TODAY())</f>
        <v/>
      </c>
      <c r="G9" s="30" t="n"/>
      <c r="H9" s="43">
        <f>IFERROR(IF(OR(B9="",E9=""),"",SUMIF(LOANS!$B:$B,B9,LOANS!$D:$D)+E9),"")</f>
        <v/>
      </c>
      <c r="I9" s="43">
        <f>IFERROR(IF(OR(B9="",E9=""),"",SUMIF(LOANS!$B:$B,B9,LOANS!$I:$I)+ABS(PMT(IFERROR(VLOOKUP(B9,LOANS!$B:$G,6,0),12)/100/12,IFERROR(VLOOKUP(B9,LOANS!$B:$H,7,0),12),E9))),"")</f>
        <v/>
      </c>
      <c r="J9" s="44">
        <f>IF(B9="","","Active")</f>
        <v/>
      </c>
    </row>
    <row r="10" ht="20" customHeight="1">
      <c r="A10" s="47">
        <f>IF(B10="","","TU"&amp;TEXT(ROW()-2,"0000"))</f>
        <v/>
      </c>
      <c r="B10" s="26" t="n"/>
      <c r="C10" s="48">
        <f>IFERROR(IF(B10="","",VLOOKUP(B10,DATABASE!$A:$B,2,0)),"")</f>
        <v/>
      </c>
      <c r="D10" s="44">
        <f>IFERROR(IF(B10="","",VLOOKUP(B10,LOANS!$B:$A,1,0)),"")</f>
        <v/>
      </c>
      <c r="E10" s="29" t="n"/>
      <c r="F10" s="40">
        <f>IF(B10="","",TODAY())</f>
        <v/>
      </c>
      <c r="G10" s="30" t="n"/>
      <c r="H10" s="43">
        <f>IFERROR(IF(OR(B10="",E10=""),"",SUMIF(LOANS!$B:$B,B10,LOANS!$D:$D)+E10),"")</f>
        <v/>
      </c>
      <c r="I10" s="43">
        <f>IFERROR(IF(OR(B10="",E10=""),"",SUMIF(LOANS!$B:$B,B10,LOANS!$I:$I)+ABS(PMT(IFERROR(VLOOKUP(B10,LOANS!$B:$G,6,0),12)/100/12,IFERROR(VLOOKUP(B10,LOANS!$B:$H,7,0),12),E10))),"")</f>
        <v/>
      </c>
      <c r="J10" s="44">
        <f>IF(B10="","","Active")</f>
        <v/>
      </c>
    </row>
    <row r="11" ht="20" customHeight="1">
      <c r="A11" s="47">
        <f>IF(B11="","","TU"&amp;TEXT(ROW()-2,"0000"))</f>
        <v/>
      </c>
      <c r="B11" s="26" t="n"/>
      <c r="C11" s="48">
        <f>IFERROR(IF(B11="","",VLOOKUP(B11,DATABASE!$A:$B,2,0)),"")</f>
        <v/>
      </c>
      <c r="D11" s="44">
        <f>IFERROR(IF(B11="","",VLOOKUP(B11,LOANS!$B:$A,1,0)),"")</f>
        <v/>
      </c>
      <c r="E11" s="29" t="n"/>
      <c r="F11" s="40">
        <f>IF(B11="","",TODAY())</f>
        <v/>
      </c>
      <c r="G11" s="30" t="n"/>
      <c r="H11" s="43">
        <f>IFERROR(IF(OR(B11="",E11=""),"",SUMIF(LOANS!$B:$B,B11,LOANS!$D:$D)+E11),"")</f>
        <v/>
      </c>
      <c r="I11" s="43">
        <f>IFERROR(IF(OR(B11="",E11=""),"",SUMIF(LOANS!$B:$B,B11,LOANS!$I:$I)+ABS(PMT(IFERROR(VLOOKUP(B11,LOANS!$B:$G,6,0),12)/100/12,IFERROR(VLOOKUP(B11,LOANS!$B:$H,7,0),12),E11))),"")</f>
        <v/>
      </c>
      <c r="J11" s="44">
        <f>IF(B11="","","Active")</f>
        <v/>
      </c>
    </row>
    <row r="12" ht="20" customHeight="1">
      <c r="A12" s="47">
        <f>IF(B12="","","TU"&amp;TEXT(ROW()-2,"0000"))</f>
        <v/>
      </c>
      <c r="B12" s="26" t="n"/>
      <c r="C12" s="48">
        <f>IFERROR(IF(B12="","",VLOOKUP(B12,DATABASE!$A:$B,2,0)),"")</f>
        <v/>
      </c>
      <c r="D12" s="44">
        <f>IFERROR(IF(B12="","",VLOOKUP(B12,LOANS!$B:$A,1,0)),"")</f>
        <v/>
      </c>
      <c r="E12" s="29" t="n"/>
      <c r="F12" s="40">
        <f>IF(B12="","",TODAY())</f>
        <v/>
      </c>
      <c r="G12" s="30" t="n"/>
      <c r="H12" s="43">
        <f>IFERROR(IF(OR(B12="",E12=""),"",SUMIF(LOANS!$B:$B,B12,LOANS!$D:$D)+E12),"")</f>
        <v/>
      </c>
      <c r="I12" s="43">
        <f>IFERROR(IF(OR(B12="",E12=""),"",SUMIF(LOANS!$B:$B,B12,LOANS!$I:$I)+ABS(PMT(IFERROR(VLOOKUP(B12,LOANS!$B:$G,6,0),12)/100/12,IFERROR(VLOOKUP(B12,LOANS!$B:$H,7,0),12),E12))),"")</f>
        <v/>
      </c>
      <c r="J12" s="44">
        <f>IF(B12="","","Active")</f>
        <v/>
      </c>
    </row>
    <row r="13" ht="20" customHeight="1">
      <c r="A13" s="47">
        <f>IF(B13="","","TU"&amp;TEXT(ROW()-2,"0000"))</f>
        <v/>
      </c>
      <c r="B13" s="26" t="n"/>
      <c r="C13" s="48">
        <f>IFERROR(IF(B13="","",VLOOKUP(B13,DATABASE!$A:$B,2,0)),"")</f>
        <v/>
      </c>
      <c r="D13" s="44">
        <f>IFERROR(IF(B13="","",VLOOKUP(B13,LOANS!$B:$A,1,0)),"")</f>
        <v/>
      </c>
      <c r="E13" s="29" t="n"/>
      <c r="F13" s="40">
        <f>IF(B13="","",TODAY())</f>
        <v/>
      </c>
      <c r="G13" s="30" t="n"/>
      <c r="H13" s="43">
        <f>IFERROR(IF(OR(B13="",E13=""),"",SUMIF(LOANS!$B:$B,B13,LOANS!$D:$D)+E13),"")</f>
        <v/>
      </c>
      <c r="I13" s="43">
        <f>IFERROR(IF(OR(B13="",E13=""),"",SUMIF(LOANS!$B:$B,B13,LOANS!$I:$I)+ABS(PMT(IFERROR(VLOOKUP(B13,LOANS!$B:$G,6,0),12)/100/12,IFERROR(VLOOKUP(B13,LOANS!$B:$H,7,0),12),E13))),"")</f>
        <v/>
      </c>
      <c r="J13" s="44">
        <f>IF(B13="","","Active")</f>
        <v/>
      </c>
    </row>
    <row r="14" ht="20" customHeight="1">
      <c r="A14" s="47">
        <f>IF(B14="","","TU"&amp;TEXT(ROW()-2,"0000"))</f>
        <v/>
      </c>
      <c r="B14" s="26" t="n"/>
      <c r="C14" s="48">
        <f>IFERROR(IF(B14="","",VLOOKUP(B14,DATABASE!$A:$B,2,0)),"")</f>
        <v/>
      </c>
      <c r="D14" s="44">
        <f>IFERROR(IF(B14="","",VLOOKUP(B14,LOANS!$B:$A,1,0)),"")</f>
        <v/>
      </c>
      <c r="E14" s="29" t="n"/>
      <c r="F14" s="40">
        <f>IF(B14="","",TODAY())</f>
        <v/>
      </c>
      <c r="G14" s="30" t="n"/>
      <c r="H14" s="43">
        <f>IFERROR(IF(OR(B14="",E14=""),"",SUMIF(LOANS!$B:$B,B14,LOANS!$D:$D)+E14),"")</f>
        <v/>
      </c>
      <c r="I14" s="43">
        <f>IFERROR(IF(OR(B14="",E14=""),"",SUMIF(LOANS!$B:$B,B14,LOANS!$I:$I)+ABS(PMT(IFERROR(VLOOKUP(B14,LOANS!$B:$G,6,0),12)/100/12,IFERROR(VLOOKUP(B14,LOANS!$B:$H,7,0),12),E14))),"")</f>
        <v/>
      </c>
      <c r="J14" s="44">
        <f>IF(B14="","","Active")</f>
        <v/>
      </c>
    </row>
    <row r="15" ht="20" customHeight="1">
      <c r="A15" s="47">
        <f>IF(B15="","","TU"&amp;TEXT(ROW()-2,"0000"))</f>
        <v/>
      </c>
      <c r="B15" s="26" t="n"/>
      <c r="C15" s="48">
        <f>IFERROR(IF(B15="","",VLOOKUP(B15,DATABASE!$A:$B,2,0)),"")</f>
        <v/>
      </c>
      <c r="D15" s="44">
        <f>IFERROR(IF(B15="","",VLOOKUP(B15,LOANS!$B:$A,1,0)),"")</f>
        <v/>
      </c>
      <c r="E15" s="29" t="n"/>
      <c r="F15" s="40">
        <f>IF(B15="","",TODAY())</f>
        <v/>
      </c>
      <c r="G15" s="30" t="n"/>
      <c r="H15" s="43">
        <f>IFERROR(IF(OR(B15="",E15=""),"",SUMIF(LOANS!$B:$B,B15,LOANS!$D:$D)+E15),"")</f>
        <v/>
      </c>
      <c r="I15" s="43">
        <f>IFERROR(IF(OR(B15="",E15=""),"",SUMIF(LOANS!$B:$B,B15,LOANS!$I:$I)+ABS(PMT(IFERROR(VLOOKUP(B15,LOANS!$B:$G,6,0),12)/100/12,IFERROR(VLOOKUP(B15,LOANS!$B:$H,7,0),12),E15))),"")</f>
        <v/>
      </c>
      <c r="J15" s="44">
        <f>IF(B15="","","Active")</f>
        <v/>
      </c>
    </row>
    <row r="16" ht="20" customHeight="1">
      <c r="A16" s="47">
        <f>IF(B16="","","TU"&amp;TEXT(ROW()-2,"0000"))</f>
        <v/>
      </c>
      <c r="B16" s="26" t="n"/>
      <c r="C16" s="48">
        <f>IFERROR(IF(B16="","",VLOOKUP(B16,DATABASE!$A:$B,2,0)),"")</f>
        <v/>
      </c>
      <c r="D16" s="44">
        <f>IFERROR(IF(B16="","",VLOOKUP(B16,LOANS!$B:$A,1,0)),"")</f>
        <v/>
      </c>
      <c r="E16" s="29" t="n"/>
      <c r="F16" s="40">
        <f>IF(B16="","",TODAY())</f>
        <v/>
      </c>
      <c r="G16" s="30" t="n"/>
      <c r="H16" s="43">
        <f>IFERROR(IF(OR(B16="",E16=""),"",SUMIF(LOANS!$B:$B,B16,LOANS!$D:$D)+E16),"")</f>
        <v/>
      </c>
      <c r="I16" s="43">
        <f>IFERROR(IF(OR(B16="",E16=""),"",SUMIF(LOANS!$B:$B,B16,LOANS!$I:$I)+ABS(PMT(IFERROR(VLOOKUP(B16,LOANS!$B:$G,6,0),12)/100/12,IFERROR(VLOOKUP(B16,LOANS!$B:$H,7,0),12),E16))),"")</f>
        <v/>
      </c>
      <c r="J16" s="44">
        <f>IF(B16="","","Active")</f>
        <v/>
      </c>
    </row>
    <row r="17" ht="20" customHeight="1">
      <c r="A17" s="47">
        <f>IF(B17="","","TU"&amp;TEXT(ROW()-2,"0000"))</f>
        <v/>
      </c>
      <c r="B17" s="26" t="n"/>
      <c r="C17" s="48">
        <f>IFERROR(IF(B17="","",VLOOKUP(B17,DATABASE!$A:$B,2,0)),"")</f>
        <v/>
      </c>
      <c r="D17" s="44">
        <f>IFERROR(IF(B17="","",VLOOKUP(B17,LOANS!$B:$A,1,0)),"")</f>
        <v/>
      </c>
      <c r="E17" s="29" t="n"/>
      <c r="F17" s="40">
        <f>IF(B17="","",TODAY())</f>
        <v/>
      </c>
      <c r="G17" s="30" t="n"/>
      <c r="H17" s="43">
        <f>IFERROR(IF(OR(B17="",E17=""),"",SUMIF(LOANS!$B:$B,B17,LOANS!$D:$D)+E17),"")</f>
        <v/>
      </c>
      <c r="I17" s="43">
        <f>IFERROR(IF(OR(B17="",E17=""),"",SUMIF(LOANS!$B:$B,B17,LOANS!$I:$I)+ABS(PMT(IFERROR(VLOOKUP(B17,LOANS!$B:$G,6,0),12)/100/12,IFERROR(VLOOKUP(B17,LOANS!$B:$H,7,0),12),E17))),"")</f>
        <v/>
      </c>
      <c r="J17" s="44">
        <f>IF(B17="","","Active")</f>
        <v/>
      </c>
    </row>
    <row r="18" ht="20" customHeight="1">
      <c r="A18" s="47">
        <f>IF(B18="","","TU"&amp;TEXT(ROW()-2,"0000"))</f>
        <v/>
      </c>
      <c r="B18" s="26" t="n"/>
      <c r="C18" s="48">
        <f>IFERROR(IF(B18="","",VLOOKUP(B18,DATABASE!$A:$B,2,0)),"")</f>
        <v/>
      </c>
      <c r="D18" s="44">
        <f>IFERROR(IF(B18="","",VLOOKUP(B18,LOANS!$B:$A,1,0)),"")</f>
        <v/>
      </c>
      <c r="E18" s="29" t="n"/>
      <c r="F18" s="40">
        <f>IF(B18="","",TODAY())</f>
        <v/>
      </c>
      <c r="G18" s="30" t="n"/>
      <c r="H18" s="43">
        <f>IFERROR(IF(OR(B18="",E18=""),"",SUMIF(LOANS!$B:$B,B18,LOANS!$D:$D)+E18),"")</f>
        <v/>
      </c>
      <c r="I18" s="43">
        <f>IFERROR(IF(OR(B18="",E18=""),"",SUMIF(LOANS!$B:$B,B18,LOANS!$I:$I)+ABS(PMT(IFERROR(VLOOKUP(B18,LOANS!$B:$G,6,0),12)/100/12,IFERROR(VLOOKUP(B18,LOANS!$B:$H,7,0),12),E18))),"")</f>
        <v/>
      </c>
      <c r="J18" s="44">
        <f>IF(B18="","","Active")</f>
        <v/>
      </c>
    </row>
    <row r="19" ht="20" customHeight="1">
      <c r="A19" s="47">
        <f>IF(B19="","","TU"&amp;TEXT(ROW()-2,"0000"))</f>
        <v/>
      </c>
      <c r="B19" s="26" t="n"/>
      <c r="C19" s="48">
        <f>IFERROR(IF(B19="","",VLOOKUP(B19,DATABASE!$A:$B,2,0)),"")</f>
        <v/>
      </c>
      <c r="D19" s="44">
        <f>IFERROR(IF(B19="","",VLOOKUP(B19,LOANS!$B:$A,1,0)),"")</f>
        <v/>
      </c>
      <c r="E19" s="29" t="n"/>
      <c r="F19" s="40">
        <f>IF(B19="","",TODAY())</f>
        <v/>
      </c>
      <c r="G19" s="30" t="n"/>
      <c r="H19" s="43">
        <f>IFERROR(IF(OR(B19="",E19=""),"",SUMIF(LOANS!$B:$B,B19,LOANS!$D:$D)+E19),"")</f>
        <v/>
      </c>
      <c r="I19" s="43">
        <f>IFERROR(IF(OR(B19="",E19=""),"",SUMIF(LOANS!$B:$B,B19,LOANS!$I:$I)+ABS(PMT(IFERROR(VLOOKUP(B19,LOANS!$B:$G,6,0),12)/100/12,IFERROR(VLOOKUP(B19,LOANS!$B:$H,7,0),12),E19))),"")</f>
        <v/>
      </c>
      <c r="J19" s="44">
        <f>IF(B19="","","Active")</f>
        <v/>
      </c>
    </row>
    <row r="20" ht="20" customHeight="1">
      <c r="A20" s="47">
        <f>IF(B20="","","TU"&amp;TEXT(ROW()-2,"0000"))</f>
        <v/>
      </c>
      <c r="B20" s="26" t="n"/>
      <c r="C20" s="48">
        <f>IFERROR(IF(B20="","",VLOOKUP(B20,DATABASE!$A:$B,2,0)),"")</f>
        <v/>
      </c>
      <c r="D20" s="44">
        <f>IFERROR(IF(B20="","",VLOOKUP(B20,LOANS!$B:$A,1,0)),"")</f>
        <v/>
      </c>
      <c r="E20" s="29" t="n"/>
      <c r="F20" s="40">
        <f>IF(B20="","",TODAY())</f>
        <v/>
      </c>
      <c r="G20" s="30" t="n"/>
      <c r="H20" s="43">
        <f>IFERROR(IF(OR(B20="",E20=""),"",SUMIF(LOANS!$B:$B,B20,LOANS!$D:$D)+E20),"")</f>
        <v/>
      </c>
      <c r="I20" s="43">
        <f>IFERROR(IF(OR(B20="",E20=""),"",SUMIF(LOANS!$B:$B,B20,LOANS!$I:$I)+ABS(PMT(IFERROR(VLOOKUP(B20,LOANS!$B:$G,6,0),12)/100/12,IFERROR(VLOOKUP(B20,LOANS!$B:$H,7,0),12),E20))),"")</f>
        <v/>
      </c>
      <c r="J20" s="44">
        <f>IF(B20="","","Active")</f>
        <v/>
      </c>
    </row>
    <row r="21" ht="20" customHeight="1">
      <c r="A21" s="47">
        <f>IF(B21="","","TU"&amp;TEXT(ROW()-2,"0000"))</f>
        <v/>
      </c>
      <c r="B21" s="26" t="n"/>
      <c r="C21" s="48">
        <f>IFERROR(IF(B21="","",VLOOKUP(B21,DATABASE!$A:$B,2,0)),"")</f>
        <v/>
      </c>
      <c r="D21" s="44">
        <f>IFERROR(IF(B21="","",VLOOKUP(B21,LOANS!$B:$A,1,0)),"")</f>
        <v/>
      </c>
      <c r="E21" s="29" t="n"/>
      <c r="F21" s="40">
        <f>IF(B21="","",TODAY())</f>
        <v/>
      </c>
      <c r="G21" s="30" t="n"/>
      <c r="H21" s="43">
        <f>IFERROR(IF(OR(B21="",E21=""),"",SUMIF(LOANS!$B:$B,B21,LOANS!$D:$D)+E21),"")</f>
        <v/>
      </c>
      <c r="I21" s="43">
        <f>IFERROR(IF(OR(B21="",E21=""),"",SUMIF(LOANS!$B:$B,B21,LOANS!$I:$I)+ABS(PMT(IFERROR(VLOOKUP(B21,LOANS!$B:$G,6,0),12)/100/12,IFERROR(VLOOKUP(B21,LOANS!$B:$H,7,0),12),E21))),"")</f>
        <v/>
      </c>
      <c r="J21" s="44">
        <f>IF(B21="","","Active")</f>
        <v/>
      </c>
    </row>
    <row r="22" ht="20" customHeight="1">
      <c r="A22" s="47">
        <f>IF(B22="","","TU"&amp;TEXT(ROW()-2,"0000"))</f>
        <v/>
      </c>
      <c r="B22" s="26" t="n"/>
      <c r="C22" s="48">
        <f>IFERROR(IF(B22="","",VLOOKUP(B22,DATABASE!$A:$B,2,0)),"")</f>
        <v/>
      </c>
      <c r="D22" s="44">
        <f>IFERROR(IF(B22="","",VLOOKUP(B22,LOANS!$B:$A,1,0)),"")</f>
        <v/>
      </c>
      <c r="E22" s="29" t="n"/>
      <c r="F22" s="40">
        <f>IF(B22="","",TODAY())</f>
        <v/>
      </c>
      <c r="G22" s="30" t="n"/>
      <c r="H22" s="43">
        <f>IFERROR(IF(OR(B22="",E22=""),"",SUMIF(LOANS!$B:$B,B22,LOANS!$D:$D)+E22),"")</f>
        <v/>
      </c>
      <c r="I22" s="43">
        <f>IFERROR(IF(OR(B22="",E22=""),"",SUMIF(LOANS!$B:$B,B22,LOANS!$I:$I)+ABS(PMT(IFERROR(VLOOKUP(B22,LOANS!$B:$G,6,0),12)/100/12,IFERROR(VLOOKUP(B22,LOANS!$B:$H,7,0),12),E22))),"")</f>
        <v/>
      </c>
      <c r="J22" s="44">
        <f>IF(B22="","","Active")</f>
        <v/>
      </c>
    </row>
    <row r="23" ht="20" customHeight="1">
      <c r="A23" s="47">
        <f>IF(B23="","","TU"&amp;TEXT(ROW()-2,"0000"))</f>
        <v/>
      </c>
      <c r="B23" s="26" t="n"/>
      <c r="C23" s="48">
        <f>IFERROR(IF(B23="","",VLOOKUP(B23,DATABASE!$A:$B,2,0)),"")</f>
        <v/>
      </c>
      <c r="D23" s="44">
        <f>IFERROR(IF(B23="","",VLOOKUP(B23,LOANS!$B:$A,1,0)),"")</f>
        <v/>
      </c>
      <c r="E23" s="29" t="n"/>
      <c r="F23" s="40">
        <f>IF(B23="","",TODAY())</f>
        <v/>
      </c>
      <c r="G23" s="30" t="n"/>
      <c r="H23" s="43">
        <f>IFERROR(IF(OR(B23="",E23=""),"",SUMIF(LOANS!$B:$B,B23,LOANS!$D:$D)+E23),"")</f>
        <v/>
      </c>
      <c r="I23" s="43">
        <f>IFERROR(IF(OR(B23="",E23=""),"",SUMIF(LOANS!$B:$B,B23,LOANS!$I:$I)+ABS(PMT(IFERROR(VLOOKUP(B23,LOANS!$B:$G,6,0),12)/100/12,IFERROR(VLOOKUP(B23,LOANS!$B:$H,7,0),12),E23))),"")</f>
        <v/>
      </c>
      <c r="J23" s="44">
        <f>IF(B23="","","Active")</f>
        <v/>
      </c>
    </row>
    <row r="24" ht="20" customHeight="1">
      <c r="A24" s="47">
        <f>IF(B24="","","TU"&amp;TEXT(ROW()-2,"0000"))</f>
        <v/>
      </c>
      <c r="B24" s="26" t="n"/>
      <c r="C24" s="48">
        <f>IFERROR(IF(B24="","",VLOOKUP(B24,DATABASE!$A:$B,2,0)),"")</f>
        <v/>
      </c>
      <c r="D24" s="44">
        <f>IFERROR(IF(B24="","",VLOOKUP(B24,LOANS!$B:$A,1,0)),"")</f>
        <v/>
      </c>
      <c r="E24" s="29" t="n"/>
      <c r="F24" s="40">
        <f>IF(B24="","",TODAY())</f>
        <v/>
      </c>
      <c r="G24" s="30" t="n"/>
      <c r="H24" s="43">
        <f>IFERROR(IF(OR(B24="",E24=""),"",SUMIF(LOANS!$B:$B,B24,LOANS!$D:$D)+E24),"")</f>
        <v/>
      </c>
      <c r="I24" s="43">
        <f>IFERROR(IF(OR(B24="",E24=""),"",SUMIF(LOANS!$B:$B,B24,LOANS!$I:$I)+ABS(PMT(IFERROR(VLOOKUP(B24,LOANS!$B:$G,6,0),12)/100/12,IFERROR(VLOOKUP(B24,LOANS!$B:$H,7,0),12),E24))),"")</f>
        <v/>
      </c>
      <c r="J24" s="44">
        <f>IF(B24="","","Active")</f>
        <v/>
      </c>
    </row>
    <row r="25" ht="20" customHeight="1">
      <c r="A25" s="47">
        <f>IF(B25="","","TU"&amp;TEXT(ROW()-2,"0000"))</f>
        <v/>
      </c>
      <c r="B25" s="26" t="n"/>
      <c r="C25" s="48">
        <f>IFERROR(IF(B25="","",VLOOKUP(B25,DATABASE!$A:$B,2,0)),"")</f>
        <v/>
      </c>
      <c r="D25" s="44">
        <f>IFERROR(IF(B25="","",VLOOKUP(B25,LOANS!$B:$A,1,0)),"")</f>
        <v/>
      </c>
      <c r="E25" s="29" t="n"/>
      <c r="F25" s="40">
        <f>IF(B25="","",TODAY())</f>
        <v/>
      </c>
      <c r="G25" s="30" t="n"/>
      <c r="H25" s="43">
        <f>IFERROR(IF(OR(B25="",E25=""),"",SUMIF(LOANS!$B:$B,B25,LOANS!$D:$D)+E25),"")</f>
        <v/>
      </c>
      <c r="I25" s="43">
        <f>IFERROR(IF(OR(B25="",E25=""),"",SUMIF(LOANS!$B:$B,B25,LOANS!$I:$I)+ABS(PMT(IFERROR(VLOOKUP(B25,LOANS!$B:$G,6,0),12)/100/12,IFERROR(VLOOKUP(B25,LOANS!$B:$H,7,0),12),E25))),"")</f>
        <v/>
      </c>
      <c r="J25" s="44">
        <f>IF(B25="","","Active")</f>
        <v/>
      </c>
    </row>
    <row r="26" ht="20" customHeight="1">
      <c r="A26" s="47">
        <f>IF(B26="","","TU"&amp;TEXT(ROW()-2,"0000"))</f>
        <v/>
      </c>
      <c r="B26" s="26" t="n"/>
      <c r="C26" s="48">
        <f>IFERROR(IF(B26="","",VLOOKUP(B26,DATABASE!$A:$B,2,0)),"")</f>
        <v/>
      </c>
      <c r="D26" s="44">
        <f>IFERROR(IF(B26="","",VLOOKUP(B26,LOANS!$B:$A,1,0)),"")</f>
        <v/>
      </c>
      <c r="E26" s="29" t="n"/>
      <c r="F26" s="40">
        <f>IF(B26="","",TODAY())</f>
        <v/>
      </c>
      <c r="G26" s="30" t="n"/>
      <c r="H26" s="43">
        <f>IFERROR(IF(OR(B26="",E26=""),"",SUMIF(LOANS!$B:$B,B26,LOANS!$D:$D)+E26),"")</f>
        <v/>
      </c>
      <c r="I26" s="43">
        <f>IFERROR(IF(OR(B26="",E26=""),"",SUMIF(LOANS!$B:$B,B26,LOANS!$I:$I)+ABS(PMT(IFERROR(VLOOKUP(B26,LOANS!$B:$G,6,0),12)/100/12,IFERROR(VLOOKUP(B26,LOANS!$B:$H,7,0),12),E26))),"")</f>
        <v/>
      </c>
      <c r="J26" s="44">
        <f>IF(B26="","","Active")</f>
        <v/>
      </c>
    </row>
    <row r="27" ht="20" customHeight="1">
      <c r="A27" s="47">
        <f>IF(B27="","","TU"&amp;TEXT(ROW()-2,"0000"))</f>
        <v/>
      </c>
      <c r="B27" s="26" t="n"/>
      <c r="C27" s="48">
        <f>IFERROR(IF(B27="","",VLOOKUP(B27,DATABASE!$A:$B,2,0)),"")</f>
        <v/>
      </c>
      <c r="D27" s="44">
        <f>IFERROR(IF(B27="","",VLOOKUP(B27,LOANS!$B:$A,1,0)),"")</f>
        <v/>
      </c>
      <c r="E27" s="29" t="n"/>
      <c r="F27" s="40">
        <f>IF(B27="","",TODAY())</f>
        <v/>
      </c>
      <c r="G27" s="30" t="n"/>
      <c r="H27" s="43">
        <f>IFERROR(IF(OR(B27="",E27=""),"",SUMIF(LOANS!$B:$B,B27,LOANS!$D:$D)+E27),"")</f>
        <v/>
      </c>
      <c r="I27" s="43">
        <f>IFERROR(IF(OR(B27="",E27=""),"",SUMIF(LOANS!$B:$B,B27,LOANS!$I:$I)+ABS(PMT(IFERROR(VLOOKUP(B27,LOANS!$B:$G,6,0),12)/100/12,IFERROR(VLOOKUP(B27,LOANS!$B:$H,7,0),12),E27))),"")</f>
        <v/>
      </c>
      <c r="J27" s="44">
        <f>IF(B27="","","Active")</f>
        <v/>
      </c>
    </row>
    <row r="28" ht="20" customHeight="1">
      <c r="A28" s="47">
        <f>IF(B28="","","TU"&amp;TEXT(ROW()-2,"0000"))</f>
        <v/>
      </c>
      <c r="B28" s="26" t="n"/>
      <c r="C28" s="48">
        <f>IFERROR(IF(B28="","",VLOOKUP(B28,DATABASE!$A:$B,2,0)),"")</f>
        <v/>
      </c>
      <c r="D28" s="44">
        <f>IFERROR(IF(B28="","",VLOOKUP(B28,LOANS!$B:$A,1,0)),"")</f>
        <v/>
      </c>
      <c r="E28" s="29" t="n"/>
      <c r="F28" s="40">
        <f>IF(B28="","",TODAY())</f>
        <v/>
      </c>
      <c r="G28" s="30" t="n"/>
      <c r="H28" s="43">
        <f>IFERROR(IF(OR(B28="",E28=""),"",SUMIF(LOANS!$B:$B,B28,LOANS!$D:$D)+E28),"")</f>
        <v/>
      </c>
      <c r="I28" s="43">
        <f>IFERROR(IF(OR(B28="",E28=""),"",SUMIF(LOANS!$B:$B,B28,LOANS!$I:$I)+ABS(PMT(IFERROR(VLOOKUP(B28,LOANS!$B:$G,6,0),12)/100/12,IFERROR(VLOOKUP(B28,LOANS!$B:$H,7,0),12),E28))),"")</f>
        <v/>
      </c>
      <c r="J28" s="44">
        <f>IF(B28="","","Active")</f>
        <v/>
      </c>
    </row>
    <row r="29" ht="20" customHeight="1">
      <c r="A29" s="47">
        <f>IF(B29="","","TU"&amp;TEXT(ROW()-2,"0000"))</f>
        <v/>
      </c>
      <c r="B29" s="26" t="n"/>
      <c r="C29" s="48">
        <f>IFERROR(IF(B29="","",VLOOKUP(B29,DATABASE!$A:$B,2,0)),"")</f>
        <v/>
      </c>
      <c r="D29" s="44">
        <f>IFERROR(IF(B29="","",VLOOKUP(B29,LOANS!$B:$A,1,0)),"")</f>
        <v/>
      </c>
      <c r="E29" s="29" t="n"/>
      <c r="F29" s="40">
        <f>IF(B29="","",TODAY())</f>
        <v/>
      </c>
      <c r="G29" s="30" t="n"/>
      <c r="H29" s="43">
        <f>IFERROR(IF(OR(B29="",E29=""),"",SUMIF(LOANS!$B:$B,B29,LOANS!$D:$D)+E29),"")</f>
        <v/>
      </c>
      <c r="I29" s="43">
        <f>IFERROR(IF(OR(B29="",E29=""),"",SUMIF(LOANS!$B:$B,B29,LOANS!$I:$I)+ABS(PMT(IFERROR(VLOOKUP(B29,LOANS!$B:$G,6,0),12)/100/12,IFERROR(VLOOKUP(B29,LOANS!$B:$H,7,0),12),E29))),"")</f>
        <v/>
      </c>
      <c r="J29" s="44">
        <f>IF(B29="","","Active")</f>
        <v/>
      </c>
    </row>
    <row r="30" ht="20" customHeight="1">
      <c r="A30" s="47">
        <f>IF(B30="","","TU"&amp;TEXT(ROW()-2,"0000"))</f>
        <v/>
      </c>
      <c r="B30" s="26" t="n"/>
      <c r="C30" s="48">
        <f>IFERROR(IF(B30="","",VLOOKUP(B30,DATABASE!$A:$B,2,0)),"")</f>
        <v/>
      </c>
      <c r="D30" s="44">
        <f>IFERROR(IF(B30="","",VLOOKUP(B30,LOANS!$B:$A,1,0)),"")</f>
        <v/>
      </c>
      <c r="E30" s="29" t="n"/>
      <c r="F30" s="40">
        <f>IF(B30="","",TODAY())</f>
        <v/>
      </c>
      <c r="G30" s="30" t="n"/>
      <c r="H30" s="43">
        <f>IFERROR(IF(OR(B30="",E30=""),"",SUMIF(LOANS!$B:$B,B30,LOANS!$D:$D)+E30),"")</f>
        <v/>
      </c>
      <c r="I30" s="43">
        <f>IFERROR(IF(OR(B30="",E30=""),"",SUMIF(LOANS!$B:$B,B30,LOANS!$I:$I)+ABS(PMT(IFERROR(VLOOKUP(B30,LOANS!$B:$G,6,0),12)/100/12,IFERROR(VLOOKUP(B30,LOANS!$B:$H,7,0),12),E30))),"")</f>
        <v/>
      </c>
      <c r="J30" s="44">
        <f>IF(B30="","","Active")</f>
        <v/>
      </c>
    </row>
    <row r="31" ht="20" customHeight="1">
      <c r="A31" s="47">
        <f>IF(B31="","","TU"&amp;TEXT(ROW()-2,"0000"))</f>
        <v/>
      </c>
      <c r="B31" s="26" t="n"/>
      <c r="C31" s="48">
        <f>IFERROR(IF(B31="","",VLOOKUP(B31,DATABASE!$A:$B,2,0)),"")</f>
        <v/>
      </c>
      <c r="D31" s="44">
        <f>IFERROR(IF(B31="","",VLOOKUP(B31,LOANS!$B:$A,1,0)),"")</f>
        <v/>
      </c>
      <c r="E31" s="29" t="n"/>
      <c r="F31" s="40">
        <f>IF(B31="","",TODAY())</f>
        <v/>
      </c>
      <c r="G31" s="30" t="n"/>
      <c r="H31" s="43">
        <f>IFERROR(IF(OR(B31="",E31=""),"",SUMIF(LOANS!$B:$B,B31,LOANS!$D:$D)+E31),"")</f>
        <v/>
      </c>
      <c r="I31" s="43">
        <f>IFERROR(IF(OR(B31="",E31=""),"",SUMIF(LOANS!$B:$B,B31,LOANS!$I:$I)+ABS(PMT(IFERROR(VLOOKUP(B31,LOANS!$B:$G,6,0),12)/100/12,IFERROR(VLOOKUP(B31,LOANS!$B:$H,7,0),12),E31))),"")</f>
        <v/>
      </c>
      <c r="J31" s="44">
        <f>IF(B31="","","Active")</f>
        <v/>
      </c>
    </row>
    <row r="32" ht="20" customHeight="1">
      <c r="A32" s="47">
        <f>IF(B32="","","TU"&amp;TEXT(ROW()-2,"0000"))</f>
        <v/>
      </c>
      <c r="B32" s="26" t="n"/>
      <c r="C32" s="48">
        <f>IFERROR(IF(B32="","",VLOOKUP(B32,DATABASE!$A:$B,2,0)),"")</f>
        <v/>
      </c>
      <c r="D32" s="44">
        <f>IFERROR(IF(B32="","",VLOOKUP(B32,LOANS!$B:$A,1,0)),"")</f>
        <v/>
      </c>
      <c r="E32" s="29" t="n"/>
      <c r="F32" s="40">
        <f>IF(B32="","",TODAY())</f>
        <v/>
      </c>
      <c r="G32" s="30" t="n"/>
      <c r="H32" s="43">
        <f>IFERROR(IF(OR(B32="",E32=""),"",SUMIF(LOANS!$B:$B,B32,LOANS!$D:$D)+E32),"")</f>
        <v/>
      </c>
      <c r="I32" s="43">
        <f>IFERROR(IF(OR(B32="",E32=""),"",SUMIF(LOANS!$B:$B,B32,LOANS!$I:$I)+ABS(PMT(IFERROR(VLOOKUP(B32,LOANS!$B:$G,6,0),12)/100/12,IFERROR(VLOOKUP(B32,LOANS!$B:$H,7,0),12),E32))),"")</f>
        <v/>
      </c>
      <c r="J32" s="44">
        <f>IF(B32="","","Active")</f>
        <v/>
      </c>
    </row>
    <row r="33" ht="20" customHeight="1">
      <c r="A33" s="47">
        <f>IF(B33="","","TU"&amp;TEXT(ROW()-2,"0000"))</f>
        <v/>
      </c>
      <c r="B33" s="26" t="n"/>
      <c r="C33" s="48">
        <f>IFERROR(IF(B33="","",VLOOKUP(B33,DATABASE!$A:$B,2,0)),"")</f>
        <v/>
      </c>
      <c r="D33" s="44">
        <f>IFERROR(IF(B33="","",VLOOKUP(B33,LOANS!$B:$A,1,0)),"")</f>
        <v/>
      </c>
      <c r="E33" s="29" t="n"/>
      <c r="F33" s="40">
        <f>IF(B33="","",TODAY())</f>
        <v/>
      </c>
      <c r="G33" s="30" t="n"/>
      <c r="H33" s="43">
        <f>IFERROR(IF(OR(B33="",E33=""),"",SUMIF(LOANS!$B:$B,B33,LOANS!$D:$D)+E33),"")</f>
        <v/>
      </c>
      <c r="I33" s="43">
        <f>IFERROR(IF(OR(B33="",E33=""),"",SUMIF(LOANS!$B:$B,B33,LOANS!$I:$I)+ABS(PMT(IFERROR(VLOOKUP(B33,LOANS!$B:$G,6,0),12)/100/12,IFERROR(VLOOKUP(B33,LOANS!$B:$H,7,0),12),E33))),"")</f>
        <v/>
      </c>
      <c r="J33" s="44">
        <f>IF(B33="","","Active")</f>
        <v/>
      </c>
    </row>
    <row r="34" ht="20" customHeight="1">
      <c r="A34" s="47">
        <f>IF(B34="","","TU"&amp;TEXT(ROW()-2,"0000"))</f>
        <v/>
      </c>
      <c r="B34" s="26" t="n"/>
      <c r="C34" s="48">
        <f>IFERROR(IF(B34="","",VLOOKUP(B34,DATABASE!$A:$B,2,0)),"")</f>
        <v/>
      </c>
      <c r="D34" s="44">
        <f>IFERROR(IF(B34="","",VLOOKUP(B34,LOANS!$B:$A,1,0)),"")</f>
        <v/>
      </c>
      <c r="E34" s="29" t="n"/>
      <c r="F34" s="40">
        <f>IF(B34="","",TODAY())</f>
        <v/>
      </c>
      <c r="G34" s="30" t="n"/>
      <c r="H34" s="43">
        <f>IFERROR(IF(OR(B34="",E34=""),"",SUMIF(LOANS!$B:$B,B34,LOANS!$D:$D)+E34),"")</f>
        <v/>
      </c>
      <c r="I34" s="43">
        <f>IFERROR(IF(OR(B34="",E34=""),"",SUMIF(LOANS!$B:$B,B34,LOANS!$I:$I)+ABS(PMT(IFERROR(VLOOKUP(B34,LOANS!$B:$G,6,0),12)/100/12,IFERROR(VLOOKUP(B34,LOANS!$B:$H,7,0),12),E34))),"")</f>
        <v/>
      </c>
      <c r="J34" s="44">
        <f>IF(B34="","","Active")</f>
        <v/>
      </c>
    </row>
    <row r="35" ht="20" customHeight="1">
      <c r="A35" s="47">
        <f>IF(B35="","","TU"&amp;TEXT(ROW()-2,"0000"))</f>
        <v/>
      </c>
      <c r="B35" s="26" t="n"/>
      <c r="C35" s="48">
        <f>IFERROR(IF(B35="","",VLOOKUP(B35,DATABASE!$A:$B,2,0)),"")</f>
        <v/>
      </c>
      <c r="D35" s="44">
        <f>IFERROR(IF(B35="","",VLOOKUP(B35,LOANS!$B:$A,1,0)),"")</f>
        <v/>
      </c>
      <c r="E35" s="29" t="n"/>
      <c r="F35" s="40">
        <f>IF(B35="","",TODAY())</f>
        <v/>
      </c>
      <c r="G35" s="30" t="n"/>
      <c r="H35" s="43">
        <f>IFERROR(IF(OR(B35="",E35=""),"",SUMIF(LOANS!$B:$B,B35,LOANS!$D:$D)+E35),"")</f>
        <v/>
      </c>
      <c r="I35" s="43">
        <f>IFERROR(IF(OR(B35="",E35=""),"",SUMIF(LOANS!$B:$B,B35,LOANS!$I:$I)+ABS(PMT(IFERROR(VLOOKUP(B35,LOANS!$B:$G,6,0),12)/100/12,IFERROR(VLOOKUP(B35,LOANS!$B:$H,7,0),12),E35))),"")</f>
        <v/>
      </c>
      <c r="J35" s="44">
        <f>IF(B35="","","Active")</f>
        <v/>
      </c>
    </row>
    <row r="36" ht="20" customHeight="1">
      <c r="A36" s="47">
        <f>IF(B36="","","TU"&amp;TEXT(ROW()-2,"0000"))</f>
        <v/>
      </c>
      <c r="B36" s="26" t="n"/>
      <c r="C36" s="48">
        <f>IFERROR(IF(B36="","",VLOOKUP(B36,DATABASE!$A:$B,2,0)),"")</f>
        <v/>
      </c>
      <c r="D36" s="44">
        <f>IFERROR(IF(B36="","",VLOOKUP(B36,LOANS!$B:$A,1,0)),"")</f>
        <v/>
      </c>
      <c r="E36" s="29" t="n"/>
      <c r="F36" s="40">
        <f>IF(B36="","",TODAY())</f>
        <v/>
      </c>
      <c r="G36" s="30" t="n"/>
      <c r="H36" s="43">
        <f>IFERROR(IF(OR(B36="",E36=""),"",SUMIF(LOANS!$B:$B,B36,LOANS!$D:$D)+E36),"")</f>
        <v/>
      </c>
      <c r="I36" s="43">
        <f>IFERROR(IF(OR(B36="",E36=""),"",SUMIF(LOANS!$B:$B,B36,LOANS!$I:$I)+ABS(PMT(IFERROR(VLOOKUP(B36,LOANS!$B:$G,6,0),12)/100/12,IFERROR(VLOOKUP(B36,LOANS!$B:$H,7,0),12),E36))),"")</f>
        <v/>
      </c>
      <c r="J36" s="44">
        <f>IF(B36="","","Active")</f>
        <v/>
      </c>
    </row>
    <row r="37" ht="20" customHeight="1">
      <c r="A37" s="47">
        <f>IF(B37="","","TU"&amp;TEXT(ROW()-2,"0000"))</f>
        <v/>
      </c>
      <c r="B37" s="26" t="n"/>
      <c r="C37" s="48">
        <f>IFERROR(IF(B37="","",VLOOKUP(B37,DATABASE!$A:$B,2,0)),"")</f>
        <v/>
      </c>
      <c r="D37" s="44">
        <f>IFERROR(IF(B37="","",VLOOKUP(B37,LOANS!$B:$A,1,0)),"")</f>
        <v/>
      </c>
      <c r="E37" s="29" t="n"/>
      <c r="F37" s="40">
        <f>IF(B37="","",TODAY())</f>
        <v/>
      </c>
      <c r="G37" s="30" t="n"/>
      <c r="H37" s="43">
        <f>IFERROR(IF(OR(B37="",E37=""),"",SUMIF(LOANS!$B:$B,B37,LOANS!$D:$D)+E37),"")</f>
        <v/>
      </c>
      <c r="I37" s="43">
        <f>IFERROR(IF(OR(B37="",E37=""),"",SUMIF(LOANS!$B:$B,B37,LOANS!$I:$I)+ABS(PMT(IFERROR(VLOOKUP(B37,LOANS!$B:$G,6,0),12)/100/12,IFERROR(VLOOKUP(B37,LOANS!$B:$H,7,0),12),E37))),"")</f>
        <v/>
      </c>
      <c r="J37" s="44">
        <f>IF(B37="","","Active")</f>
        <v/>
      </c>
    </row>
    <row r="38" ht="20" customHeight="1">
      <c r="A38" s="47">
        <f>IF(B38="","","TU"&amp;TEXT(ROW()-2,"0000"))</f>
        <v/>
      </c>
      <c r="B38" s="26" t="n"/>
      <c r="C38" s="48">
        <f>IFERROR(IF(B38="","",VLOOKUP(B38,DATABASE!$A:$B,2,0)),"")</f>
        <v/>
      </c>
      <c r="D38" s="44">
        <f>IFERROR(IF(B38="","",VLOOKUP(B38,LOANS!$B:$A,1,0)),"")</f>
        <v/>
      </c>
      <c r="E38" s="29" t="n"/>
      <c r="F38" s="40">
        <f>IF(B38="","",TODAY())</f>
        <v/>
      </c>
      <c r="G38" s="30" t="n"/>
      <c r="H38" s="43">
        <f>IFERROR(IF(OR(B38="",E38=""),"",SUMIF(LOANS!$B:$B,B38,LOANS!$D:$D)+E38),"")</f>
        <v/>
      </c>
      <c r="I38" s="43">
        <f>IFERROR(IF(OR(B38="",E38=""),"",SUMIF(LOANS!$B:$B,B38,LOANS!$I:$I)+ABS(PMT(IFERROR(VLOOKUP(B38,LOANS!$B:$G,6,0),12)/100/12,IFERROR(VLOOKUP(B38,LOANS!$B:$H,7,0),12),E38))),"")</f>
        <v/>
      </c>
      <c r="J38" s="44">
        <f>IF(B38="","","Active")</f>
        <v/>
      </c>
    </row>
    <row r="39" ht="20" customHeight="1">
      <c r="A39" s="47">
        <f>IF(B39="","","TU"&amp;TEXT(ROW()-2,"0000"))</f>
        <v/>
      </c>
      <c r="B39" s="26" t="n"/>
      <c r="C39" s="48">
        <f>IFERROR(IF(B39="","",VLOOKUP(B39,DATABASE!$A:$B,2,0)),"")</f>
        <v/>
      </c>
      <c r="D39" s="44">
        <f>IFERROR(IF(B39="","",VLOOKUP(B39,LOANS!$B:$A,1,0)),"")</f>
        <v/>
      </c>
      <c r="E39" s="29" t="n"/>
      <c r="F39" s="40">
        <f>IF(B39="","",TODAY())</f>
        <v/>
      </c>
      <c r="G39" s="30" t="n"/>
      <c r="H39" s="43">
        <f>IFERROR(IF(OR(B39="",E39=""),"",SUMIF(LOANS!$B:$B,B39,LOANS!$D:$D)+E39),"")</f>
        <v/>
      </c>
      <c r="I39" s="43">
        <f>IFERROR(IF(OR(B39="",E39=""),"",SUMIF(LOANS!$B:$B,B39,LOANS!$I:$I)+ABS(PMT(IFERROR(VLOOKUP(B39,LOANS!$B:$G,6,0),12)/100/12,IFERROR(VLOOKUP(B39,LOANS!$B:$H,7,0),12),E39))),"")</f>
        <v/>
      </c>
      <c r="J39" s="44">
        <f>IF(B39="","","Active")</f>
        <v/>
      </c>
    </row>
    <row r="40" ht="20" customHeight="1">
      <c r="A40" s="47">
        <f>IF(B40="","","TU"&amp;TEXT(ROW()-2,"0000"))</f>
        <v/>
      </c>
      <c r="B40" s="26" t="n"/>
      <c r="C40" s="48">
        <f>IFERROR(IF(B40="","",VLOOKUP(B40,DATABASE!$A:$B,2,0)),"")</f>
        <v/>
      </c>
      <c r="D40" s="44">
        <f>IFERROR(IF(B40="","",VLOOKUP(B40,LOANS!$B:$A,1,0)),"")</f>
        <v/>
      </c>
      <c r="E40" s="29" t="n"/>
      <c r="F40" s="40">
        <f>IF(B40="","",TODAY())</f>
        <v/>
      </c>
      <c r="G40" s="30" t="n"/>
      <c r="H40" s="43">
        <f>IFERROR(IF(OR(B40="",E40=""),"",SUMIF(LOANS!$B:$B,B40,LOANS!$D:$D)+E40),"")</f>
        <v/>
      </c>
      <c r="I40" s="43">
        <f>IFERROR(IF(OR(B40="",E40=""),"",SUMIF(LOANS!$B:$B,B40,LOANS!$I:$I)+ABS(PMT(IFERROR(VLOOKUP(B40,LOANS!$B:$G,6,0),12)/100/12,IFERROR(VLOOKUP(B40,LOANS!$B:$H,7,0),12),E40))),"")</f>
        <v/>
      </c>
      <c r="J40" s="44">
        <f>IF(B40="","","Active")</f>
        <v/>
      </c>
    </row>
    <row r="41" ht="20" customHeight="1">
      <c r="A41" s="47">
        <f>IF(B41="","","TU"&amp;TEXT(ROW()-2,"0000"))</f>
        <v/>
      </c>
      <c r="B41" s="26" t="n"/>
      <c r="C41" s="48">
        <f>IFERROR(IF(B41="","",VLOOKUP(B41,DATABASE!$A:$B,2,0)),"")</f>
        <v/>
      </c>
      <c r="D41" s="44">
        <f>IFERROR(IF(B41="","",VLOOKUP(B41,LOANS!$B:$A,1,0)),"")</f>
        <v/>
      </c>
      <c r="E41" s="29" t="n"/>
      <c r="F41" s="40">
        <f>IF(B41="","",TODAY())</f>
        <v/>
      </c>
      <c r="G41" s="30" t="n"/>
      <c r="H41" s="43">
        <f>IFERROR(IF(OR(B41="",E41=""),"",SUMIF(LOANS!$B:$B,B41,LOANS!$D:$D)+E41),"")</f>
        <v/>
      </c>
      <c r="I41" s="43">
        <f>IFERROR(IF(OR(B41="",E41=""),"",SUMIF(LOANS!$B:$B,B41,LOANS!$I:$I)+ABS(PMT(IFERROR(VLOOKUP(B41,LOANS!$B:$G,6,0),12)/100/12,IFERROR(VLOOKUP(B41,LOANS!$B:$H,7,0),12),E41))),"")</f>
        <v/>
      </c>
      <c r="J41" s="44">
        <f>IF(B41="","","Active")</f>
        <v/>
      </c>
    </row>
    <row r="42" ht="20" customHeight="1">
      <c r="A42" s="47">
        <f>IF(B42="","","TU"&amp;TEXT(ROW()-2,"0000"))</f>
        <v/>
      </c>
      <c r="B42" s="26" t="n"/>
      <c r="C42" s="48">
        <f>IFERROR(IF(B42="","",VLOOKUP(B42,DATABASE!$A:$B,2,0)),"")</f>
        <v/>
      </c>
      <c r="D42" s="44">
        <f>IFERROR(IF(B42="","",VLOOKUP(B42,LOANS!$B:$A,1,0)),"")</f>
        <v/>
      </c>
      <c r="E42" s="29" t="n"/>
      <c r="F42" s="40">
        <f>IF(B42="","",TODAY())</f>
        <v/>
      </c>
      <c r="G42" s="30" t="n"/>
      <c r="H42" s="43">
        <f>IFERROR(IF(OR(B42="",E42=""),"",SUMIF(LOANS!$B:$B,B42,LOANS!$D:$D)+E42),"")</f>
        <v/>
      </c>
      <c r="I42" s="43">
        <f>IFERROR(IF(OR(B42="",E42=""),"",SUMIF(LOANS!$B:$B,B42,LOANS!$I:$I)+ABS(PMT(IFERROR(VLOOKUP(B42,LOANS!$B:$G,6,0),12)/100/12,IFERROR(VLOOKUP(B42,LOANS!$B:$H,7,0),12),E42))),"")</f>
        <v/>
      </c>
      <c r="J42" s="44">
        <f>IF(B42="","","Active")</f>
        <v/>
      </c>
    </row>
    <row r="43" ht="20" customHeight="1">
      <c r="A43" s="47">
        <f>IF(B43="","","TU"&amp;TEXT(ROW()-2,"0000"))</f>
        <v/>
      </c>
      <c r="B43" s="26" t="n"/>
      <c r="C43" s="48">
        <f>IFERROR(IF(B43="","",VLOOKUP(B43,DATABASE!$A:$B,2,0)),"")</f>
        <v/>
      </c>
      <c r="D43" s="44">
        <f>IFERROR(IF(B43="","",VLOOKUP(B43,LOANS!$B:$A,1,0)),"")</f>
        <v/>
      </c>
      <c r="E43" s="29" t="n"/>
      <c r="F43" s="40">
        <f>IF(B43="","",TODAY())</f>
        <v/>
      </c>
      <c r="G43" s="30" t="n"/>
      <c r="H43" s="43">
        <f>IFERROR(IF(OR(B43="",E43=""),"",SUMIF(LOANS!$B:$B,B43,LOANS!$D:$D)+E43),"")</f>
        <v/>
      </c>
      <c r="I43" s="43">
        <f>IFERROR(IF(OR(B43="",E43=""),"",SUMIF(LOANS!$B:$B,B43,LOANS!$I:$I)+ABS(PMT(IFERROR(VLOOKUP(B43,LOANS!$B:$G,6,0),12)/100/12,IFERROR(VLOOKUP(B43,LOANS!$B:$H,7,0),12),E43))),"")</f>
        <v/>
      </c>
      <c r="J43" s="44">
        <f>IF(B43="","","Active")</f>
        <v/>
      </c>
    </row>
    <row r="44" ht="20" customHeight="1">
      <c r="A44" s="47">
        <f>IF(B44="","","TU"&amp;TEXT(ROW()-2,"0000"))</f>
        <v/>
      </c>
      <c r="B44" s="26" t="n"/>
      <c r="C44" s="48">
        <f>IFERROR(IF(B44="","",VLOOKUP(B44,DATABASE!$A:$B,2,0)),"")</f>
        <v/>
      </c>
      <c r="D44" s="44">
        <f>IFERROR(IF(B44="","",VLOOKUP(B44,LOANS!$B:$A,1,0)),"")</f>
        <v/>
      </c>
      <c r="E44" s="29" t="n"/>
      <c r="F44" s="40">
        <f>IF(B44="","",TODAY())</f>
        <v/>
      </c>
      <c r="G44" s="30" t="n"/>
      <c r="H44" s="43">
        <f>IFERROR(IF(OR(B44="",E44=""),"",SUMIF(LOANS!$B:$B,B44,LOANS!$D:$D)+E44),"")</f>
        <v/>
      </c>
      <c r="I44" s="43">
        <f>IFERROR(IF(OR(B44="",E44=""),"",SUMIF(LOANS!$B:$B,B44,LOANS!$I:$I)+ABS(PMT(IFERROR(VLOOKUP(B44,LOANS!$B:$G,6,0),12)/100/12,IFERROR(VLOOKUP(B44,LOANS!$B:$H,7,0),12),E44))),"")</f>
        <v/>
      </c>
      <c r="J44" s="44">
        <f>IF(B44="","","Active")</f>
        <v/>
      </c>
    </row>
    <row r="45" ht="20" customHeight="1">
      <c r="A45" s="47">
        <f>IF(B45="","","TU"&amp;TEXT(ROW()-2,"0000"))</f>
        <v/>
      </c>
      <c r="B45" s="26" t="n"/>
      <c r="C45" s="48">
        <f>IFERROR(IF(B45="","",VLOOKUP(B45,DATABASE!$A:$B,2,0)),"")</f>
        <v/>
      </c>
      <c r="D45" s="44">
        <f>IFERROR(IF(B45="","",VLOOKUP(B45,LOANS!$B:$A,1,0)),"")</f>
        <v/>
      </c>
      <c r="E45" s="29" t="n"/>
      <c r="F45" s="40">
        <f>IF(B45="","",TODAY())</f>
        <v/>
      </c>
      <c r="G45" s="30" t="n"/>
      <c r="H45" s="43">
        <f>IFERROR(IF(OR(B45="",E45=""),"",SUMIF(LOANS!$B:$B,B45,LOANS!$D:$D)+E45),"")</f>
        <v/>
      </c>
      <c r="I45" s="43">
        <f>IFERROR(IF(OR(B45="",E45=""),"",SUMIF(LOANS!$B:$B,B45,LOANS!$I:$I)+ABS(PMT(IFERROR(VLOOKUP(B45,LOANS!$B:$G,6,0),12)/100/12,IFERROR(VLOOKUP(B45,LOANS!$B:$H,7,0),12),E45))),"")</f>
        <v/>
      </c>
      <c r="J45" s="44">
        <f>IF(B45="","","Active")</f>
        <v/>
      </c>
    </row>
    <row r="46" ht="20" customHeight="1">
      <c r="A46" s="47">
        <f>IF(B46="","","TU"&amp;TEXT(ROW()-2,"0000"))</f>
        <v/>
      </c>
      <c r="B46" s="26" t="n"/>
      <c r="C46" s="48">
        <f>IFERROR(IF(B46="","",VLOOKUP(B46,DATABASE!$A:$B,2,0)),"")</f>
        <v/>
      </c>
      <c r="D46" s="44">
        <f>IFERROR(IF(B46="","",VLOOKUP(B46,LOANS!$B:$A,1,0)),"")</f>
        <v/>
      </c>
      <c r="E46" s="29" t="n"/>
      <c r="F46" s="40">
        <f>IF(B46="","",TODAY())</f>
        <v/>
      </c>
      <c r="G46" s="30" t="n"/>
      <c r="H46" s="43">
        <f>IFERROR(IF(OR(B46="",E46=""),"",SUMIF(LOANS!$B:$B,B46,LOANS!$D:$D)+E46),"")</f>
        <v/>
      </c>
      <c r="I46" s="43">
        <f>IFERROR(IF(OR(B46="",E46=""),"",SUMIF(LOANS!$B:$B,B46,LOANS!$I:$I)+ABS(PMT(IFERROR(VLOOKUP(B46,LOANS!$B:$G,6,0),12)/100/12,IFERROR(VLOOKUP(B46,LOANS!$B:$H,7,0),12),E46))),"")</f>
        <v/>
      </c>
      <c r="J46" s="44">
        <f>IF(B46="","","Active")</f>
        <v/>
      </c>
    </row>
    <row r="47" ht="20" customHeight="1">
      <c r="A47" s="47">
        <f>IF(B47="","","TU"&amp;TEXT(ROW()-2,"0000"))</f>
        <v/>
      </c>
      <c r="B47" s="26" t="n"/>
      <c r="C47" s="48">
        <f>IFERROR(IF(B47="","",VLOOKUP(B47,DATABASE!$A:$B,2,0)),"")</f>
        <v/>
      </c>
      <c r="D47" s="44">
        <f>IFERROR(IF(B47="","",VLOOKUP(B47,LOANS!$B:$A,1,0)),"")</f>
        <v/>
      </c>
      <c r="E47" s="29" t="n"/>
      <c r="F47" s="40">
        <f>IF(B47="","",TODAY())</f>
        <v/>
      </c>
      <c r="G47" s="30" t="n"/>
      <c r="H47" s="43">
        <f>IFERROR(IF(OR(B47="",E47=""),"",SUMIF(LOANS!$B:$B,B47,LOANS!$D:$D)+E47),"")</f>
        <v/>
      </c>
      <c r="I47" s="43">
        <f>IFERROR(IF(OR(B47="",E47=""),"",SUMIF(LOANS!$B:$B,B47,LOANS!$I:$I)+ABS(PMT(IFERROR(VLOOKUP(B47,LOANS!$B:$G,6,0),12)/100/12,IFERROR(VLOOKUP(B47,LOANS!$B:$H,7,0),12),E47))),"")</f>
        <v/>
      </c>
      <c r="J47" s="44">
        <f>IF(B47="","","Active")</f>
        <v/>
      </c>
    </row>
    <row r="48" ht="20" customHeight="1">
      <c r="A48" s="47">
        <f>IF(B48="","","TU"&amp;TEXT(ROW()-2,"0000"))</f>
        <v/>
      </c>
      <c r="B48" s="26" t="n"/>
      <c r="C48" s="48">
        <f>IFERROR(IF(B48="","",VLOOKUP(B48,DATABASE!$A:$B,2,0)),"")</f>
        <v/>
      </c>
      <c r="D48" s="44">
        <f>IFERROR(IF(B48="","",VLOOKUP(B48,LOANS!$B:$A,1,0)),"")</f>
        <v/>
      </c>
      <c r="E48" s="29" t="n"/>
      <c r="F48" s="40">
        <f>IF(B48="","",TODAY())</f>
        <v/>
      </c>
      <c r="G48" s="30" t="n"/>
      <c r="H48" s="43">
        <f>IFERROR(IF(OR(B48="",E48=""),"",SUMIF(LOANS!$B:$B,B48,LOANS!$D:$D)+E48),"")</f>
        <v/>
      </c>
      <c r="I48" s="43">
        <f>IFERROR(IF(OR(B48="",E48=""),"",SUMIF(LOANS!$B:$B,B48,LOANS!$I:$I)+ABS(PMT(IFERROR(VLOOKUP(B48,LOANS!$B:$G,6,0),12)/100/12,IFERROR(VLOOKUP(B48,LOANS!$B:$H,7,0),12),E48))),"")</f>
        <v/>
      </c>
      <c r="J48" s="44">
        <f>IF(B48="","","Active")</f>
        <v/>
      </c>
    </row>
    <row r="49" ht="20" customHeight="1">
      <c r="A49" s="47">
        <f>IF(B49="","","TU"&amp;TEXT(ROW()-2,"0000"))</f>
        <v/>
      </c>
      <c r="B49" s="26" t="n"/>
      <c r="C49" s="48">
        <f>IFERROR(IF(B49="","",VLOOKUP(B49,DATABASE!$A:$B,2,0)),"")</f>
        <v/>
      </c>
      <c r="D49" s="44">
        <f>IFERROR(IF(B49="","",VLOOKUP(B49,LOANS!$B:$A,1,0)),"")</f>
        <v/>
      </c>
      <c r="E49" s="29" t="n"/>
      <c r="F49" s="40">
        <f>IF(B49="","",TODAY())</f>
        <v/>
      </c>
      <c r="G49" s="30" t="n"/>
      <c r="H49" s="43">
        <f>IFERROR(IF(OR(B49="",E49=""),"",SUMIF(LOANS!$B:$B,B49,LOANS!$D:$D)+E49),"")</f>
        <v/>
      </c>
      <c r="I49" s="43">
        <f>IFERROR(IF(OR(B49="",E49=""),"",SUMIF(LOANS!$B:$B,B49,LOANS!$I:$I)+ABS(PMT(IFERROR(VLOOKUP(B49,LOANS!$B:$G,6,0),12)/100/12,IFERROR(VLOOKUP(B49,LOANS!$B:$H,7,0),12),E49))),"")</f>
        <v/>
      </c>
      <c r="J49" s="44">
        <f>IF(B49="","","Active")</f>
        <v/>
      </c>
    </row>
    <row r="50" ht="20" customHeight="1">
      <c r="A50" s="47">
        <f>IF(B50="","","TU"&amp;TEXT(ROW()-2,"0000"))</f>
        <v/>
      </c>
      <c r="B50" s="26" t="n"/>
      <c r="C50" s="48">
        <f>IFERROR(IF(B50="","",VLOOKUP(B50,DATABASE!$A:$B,2,0)),"")</f>
        <v/>
      </c>
      <c r="D50" s="44">
        <f>IFERROR(IF(B50="","",VLOOKUP(B50,LOANS!$B:$A,1,0)),"")</f>
        <v/>
      </c>
      <c r="E50" s="29" t="n"/>
      <c r="F50" s="40">
        <f>IF(B50="","",TODAY())</f>
        <v/>
      </c>
      <c r="G50" s="30" t="n"/>
      <c r="H50" s="43">
        <f>IFERROR(IF(OR(B50="",E50=""),"",SUMIF(LOANS!$B:$B,B50,LOANS!$D:$D)+E50),"")</f>
        <v/>
      </c>
      <c r="I50" s="43">
        <f>IFERROR(IF(OR(B50="",E50=""),"",SUMIF(LOANS!$B:$B,B50,LOANS!$I:$I)+ABS(PMT(IFERROR(VLOOKUP(B50,LOANS!$B:$G,6,0),12)/100/12,IFERROR(VLOOKUP(B50,LOANS!$B:$H,7,0),12),E50))),"")</f>
        <v/>
      </c>
      <c r="J50" s="44">
        <f>IF(B50="","","Active")</f>
        <v/>
      </c>
    </row>
    <row r="51" ht="20" customHeight="1">
      <c r="A51" s="47">
        <f>IF(B51="","","TU"&amp;TEXT(ROW()-2,"0000"))</f>
        <v/>
      </c>
      <c r="B51" s="26" t="n"/>
      <c r="C51" s="48">
        <f>IFERROR(IF(B51="","",VLOOKUP(B51,DATABASE!$A:$B,2,0)),"")</f>
        <v/>
      </c>
      <c r="D51" s="44">
        <f>IFERROR(IF(B51="","",VLOOKUP(B51,LOANS!$B:$A,1,0)),"")</f>
        <v/>
      </c>
      <c r="E51" s="29" t="n"/>
      <c r="F51" s="40">
        <f>IF(B51="","",TODAY())</f>
        <v/>
      </c>
      <c r="G51" s="30" t="n"/>
      <c r="H51" s="43">
        <f>IFERROR(IF(OR(B51="",E51=""),"",SUMIF(LOANS!$B:$B,B51,LOANS!$D:$D)+E51),"")</f>
        <v/>
      </c>
      <c r="I51" s="43">
        <f>IFERROR(IF(OR(B51="",E51=""),"",SUMIF(LOANS!$B:$B,B51,LOANS!$I:$I)+ABS(PMT(IFERROR(VLOOKUP(B51,LOANS!$B:$G,6,0),12)/100/12,IFERROR(VLOOKUP(B51,LOANS!$B:$H,7,0),12),E51))),"")</f>
        <v/>
      </c>
      <c r="J51" s="44">
        <f>IF(B51="","","Active")</f>
        <v/>
      </c>
    </row>
    <row r="52" ht="20" customHeight="1">
      <c r="A52" s="47">
        <f>IF(B52="","","TU"&amp;TEXT(ROW()-2,"0000"))</f>
        <v/>
      </c>
      <c r="B52" s="26" t="n"/>
      <c r="C52" s="48">
        <f>IFERROR(IF(B52="","",VLOOKUP(B52,DATABASE!$A:$B,2,0)),"")</f>
        <v/>
      </c>
      <c r="D52" s="44">
        <f>IFERROR(IF(B52="","",VLOOKUP(B52,LOANS!$B:$A,1,0)),"")</f>
        <v/>
      </c>
      <c r="E52" s="29" t="n"/>
      <c r="F52" s="40">
        <f>IF(B52="","",TODAY())</f>
        <v/>
      </c>
      <c r="G52" s="30" t="n"/>
      <c r="H52" s="43">
        <f>IFERROR(IF(OR(B52="",E52=""),"",SUMIF(LOANS!$B:$B,B52,LOANS!$D:$D)+E52),"")</f>
        <v/>
      </c>
      <c r="I52" s="43">
        <f>IFERROR(IF(OR(B52="",E52=""),"",SUMIF(LOANS!$B:$B,B52,LOANS!$I:$I)+ABS(PMT(IFERROR(VLOOKUP(B52,LOANS!$B:$G,6,0),12)/100/12,IFERROR(VLOOKUP(B52,LOANS!$B:$H,7,0),12),E52))),"")</f>
        <v/>
      </c>
      <c r="J52" s="44">
        <f>IF(B52="","","Active")</f>
        <v/>
      </c>
    </row>
    <row r="53" ht="20" customHeight="1">
      <c r="A53" s="47">
        <f>IF(B53="","","TU"&amp;TEXT(ROW()-2,"0000"))</f>
        <v/>
      </c>
      <c r="B53" s="26" t="n"/>
      <c r="C53" s="48">
        <f>IFERROR(IF(B53="","",VLOOKUP(B53,DATABASE!$A:$B,2,0)),"")</f>
        <v/>
      </c>
      <c r="D53" s="44">
        <f>IFERROR(IF(B53="","",VLOOKUP(B53,LOANS!$B:$A,1,0)),"")</f>
        <v/>
      </c>
      <c r="E53" s="29" t="n"/>
      <c r="F53" s="40">
        <f>IF(B53="","",TODAY())</f>
        <v/>
      </c>
      <c r="G53" s="30" t="n"/>
      <c r="H53" s="43">
        <f>IFERROR(IF(OR(B53="",E53=""),"",SUMIF(LOANS!$B:$B,B53,LOANS!$D:$D)+E53),"")</f>
        <v/>
      </c>
      <c r="I53" s="43">
        <f>IFERROR(IF(OR(B53="",E53=""),"",SUMIF(LOANS!$B:$B,B53,LOANS!$I:$I)+ABS(PMT(IFERROR(VLOOKUP(B53,LOANS!$B:$G,6,0),12)/100/12,IFERROR(VLOOKUP(B53,LOANS!$B:$H,7,0),12),E53))),"")</f>
        <v/>
      </c>
      <c r="J53" s="44">
        <f>IF(B53="","","Active")</f>
        <v/>
      </c>
    </row>
    <row r="54" ht="20" customHeight="1">
      <c r="A54" s="47">
        <f>IF(B54="","","TU"&amp;TEXT(ROW()-2,"0000"))</f>
        <v/>
      </c>
      <c r="B54" s="26" t="n"/>
      <c r="C54" s="48">
        <f>IFERROR(IF(B54="","",VLOOKUP(B54,DATABASE!$A:$B,2,0)),"")</f>
        <v/>
      </c>
      <c r="D54" s="44">
        <f>IFERROR(IF(B54="","",VLOOKUP(B54,LOANS!$B:$A,1,0)),"")</f>
        <v/>
      </c>
      <c r="E54" s="29" t="n"/>
      <c r="F54" s="40">
        <f>IF(B54="","",TODAY())</f>
        <v/>
      </c>
      <c r="G54" s="30" t="n"/>
      <c r="H54" s="43">
        <f>IFERROR(IF(OR(B54="",E54=""),"",SUMIF(LOANS!$B:$B,B54,LOANS!$D:$D)+E54),"")</f>
        <v/>
      </c>
      <c r="I54" s="43">
        <f>IFERROR(IF(OR(B54="",E54=""),"",SUMIF(LOANS!$B:$B,B54,LOANS!$I:$I)+ABS(PMT(IFERROR(VLOOKUP(B54,LOANS!$B:$G,6,0),12)/100/12,IFERROR(VLOOKUP(B54,LOANS!$B:$H,7,0),12),E54))),"")</f>
        <v/>
      </c>
      <c r="J54" s="44">
        <f>IF(B54="","","Active")</f>
        <v/>
      </c>
    </row>
    <row r="55" ht="20" customHeight="1">
      <c r="A55" s="47">
        <f>IF(B55="","","TU"&amp;TEXT(ROW()-2,"0000"))</f>
        <v/>
      </c>
      <c r="B55" s="26" t="n"/>
      <c r="C55" s="48">
        <f>IFERROR(IF(B55="","",VLOOKUP(B55,DATABASE!$A:$B,2,0)),"")</f>
        <v/>
      </c>
      <c r="D55" s="44">
        <f>IFERROR(IF(B55="","",VLOOKUP(B55,LOANS!$B:$A,1,0)),"")</f>
        <v/>
      </c>
      <c r="E55" s="29" t="n"/>
      <c r="F55" s="40">
        <f>IF(B55="","",TODAY())</f>
        <v/>
      </c>
      <c r="G55" s="30" t="n"/>
      <c r="H55" s="43">
        <f>IFERROR(IF(OR(B55="",E55=""),"",SUMIF(LOANS!$B:$B,B55,LOANS!$D:$D)+E55),"")</f>
        <v/>
      </c>
      <c r="I55" s="43">
        <f>IFERROR(IF(OR(B55="",E55=""),"",SUMIF(LOANS!$B:$B,B55,LOANS!$I:$I)+ABS(PMT(IFERROR(VLOOKUP(B55,LOANS!$B:$G,6,0),12)/100/12,IFERROR(VLOOKUP(B55,LOANS!$B:$H,7,0),12),E55))),"")</f>
        <v/>
      </c>
      <c r="J55" s="44">
        <f>IF(B55="","","Active")</f>
        <v/>
      </c>
    </row>
    <row r="56" ht="20" customHeight="1">
      <c r="A56" s="47">
        <f>IF(B56="","","TU"&amp;TEXT(ROW()-2,"0000"))</f>
        <v/>
      </c>
      <c r="B56" s="26" t="n"/>
      <c r="C56" s="48">
        <f>IFERROR(IF(B56="","",VLOOKUP(B56,DATABASE!$A:$B,2,0)),"")</f>
        <v/>
      </c>
      <c r="D56" s="44">
        <f>IFERROR(IF(B56="","",VLOOKUP(B56,LOANS!$B:$A,1,0)),"")</f>
        <v/>
      </c>
      <c r="E56" s="29" t="n"/>
      <c r="F56" s="40">
        <f>IF(B56="","",TODAY())</f>
        <v/>
      </c>
      <c r="G56" s="30" t="n"/>
      <c r="H56" s="43">
        <f>IFERROR(IF(OR(B56="",E56=""),"",SUMIF(LOANS!$B:$B,B56,LOANS!$D:$D)+E56),"")</f>
        <v/>
      </c>
      <c r="I56" s="43">
        <f>IFERROR(IF(OR(B56="",E56=""),"",SUMIF(LOANS!$B:$B,B56,LOANS!$I:$I)+ABS(PMT(IFERROR(VLOOKUP(B56,LOANS!$B:$G,6,0),12)/100/12,IFERROR(VLOOKUP(B56,LOANS!$B:$H,7,0),12),E56))),"")</f>
        <v/>
      </c>
      <c r="J56" s="44">
        <f>IF(B56="","","Active")</f>
        <v/>
      </c>
    </row>
    <row r="57" ht="20" customHeight="1">
      <c r="A57" s="47">
        <f>IF(B57="","","TU"&amp;TEXT(ROW()-2,"0000"))</f>
        <v/>
      </c>
      <c r="B57" s="26" t="n"/>
      <c r="C57" s="48">
        <f>IFERROR(IF(B57="","",VLOOKUP(B57,DATABASE!$A:$B,2,0)),"")</f>
        <v/>
      </c>
      <c r="D57" s="44">
        <f>IFERROR(IF(B57="","",VLOOKUP(B57,LOANS!$B:$A,1,0)),"")</f>
        <v/>
      </c>
      <c r="E57" s="29" t="n"/>
      <c r="F57" s="40">
        <f>IF(B57="","",TODAY())</f>
        <v/>
      </c>
      <c r="G57" s="30" t="n"/>
      <c r="H57" s="43">
        <f>IFERROR(IF(OR(B57="",E57=""),"",SUMIF(LOANS!$B:$B,B57,LOANS!$D:$D)+E57),"")</f>
        <v/>
      </c>
      <c r="I57" s="43">
        <f>IFERROR(IF(OR(B57="",E57=""),"",SUMIF(LOANS!$B:$B,B57,LOANS!$I:$I)+ABS(PMT(IFERROR(VLOOKUP(B57,LOANS!$B:$G,6,0),12)/100/12,IFERROR(VLOOKUP(B57,LOANS!$B:$H,7,0),12),E57))),"")</f>
        <v/>
      </c>
      <c r="J57" s="44">
        <f>IF(B57="","","Active")</f>
        <v/>
      </c>
    </row>
    <row r="58" ht="20" customHeight="1">
      <c r="A58" s="47">
        <f>IF(B58="","","TU"&amp;TEXT(ROW()-2,"0000"))</f>
        <v/>
      </c>
      <c r="B58" s="26" t="n"/>
      <c r="C58" s="48">
        <f>IFERROR(IF(B58="","",VLOOKUP(B58,DATABASE!$A:$B,2,0)),"")</f>
        <v/>
      </c>
      <c r="D58" s="44">
        <f>IFERROR(IF(B58="","",VLOOKUP(B58,LOANS!$B:$A,1,0)),"")</f>
        <v/>
      </c>
      <c r="E58" s="29" t="n"/>
      <c r="F58" s="40">
        <f>IF(B58="","",TODAY())</f>
        <v/>
      </c>
      <c r="G58" s="30" t="n"/>
      <c r="H58" s="43">
        <f>IFERROR(IF(OR(B58="",E58=""),"",SUMIF(LOANS!$B:$B,B58,LOANS!$D:$D)+E58),"")</f>
        <v/>
      </c>
      <c r="I58" s="43">
        <f>IFERROR(IF(OR(B58="",E58=""),"",SUMIF(LOANS!$B:$B,B58,LOANS!$I:$I)+ABS(PMT(IFERROR(VLOOKUP(B58,LOANS!$B:$G,6,0),12)/100/12,IFERROR(VLOOKUP(B58,LOANS!$B:$H,7,0),12),E58))),"")</f>
        <v/>
      </c>
      <c r="J58" s="44">
        <f>IF(B58="","","Active")</f>
        <v/>
      </c>
    </row>
    <row r="59" ht="20" customHeight="1">
      <c r="A59" s="47">
        <f>IF(B59="","","TU"&amp;TEXT(ROW()-2,"0000"))</f>
        <v/>
      </c>
      <c r="B59" s="26" t="n"/>
      <c r="C59" s="48">
        <f>IFERROR(IF(B59="","",VLOOKUP(B59,DATABASE!$A:$B,2,0)),"")</f>
        <v/>
      </c>
      <c r="D59" s="44">
        <f>IFERROR(IF(B59="","",VLOOKUP(B59,LOANS!$B:$A,1,0)),"")</f>
        <v/>
      </c>
      <c r="E59" s="29" t="n"/>
      <c r="F59" s="40">
        <f>IF(B59="","",TODAY())</f>
        <v/>
      </c>
      <c r="G59" s="30" t="n"/>
      <c r="H59" s="43">
        <f>IFERROR(IF(OR(B59="",E59=""),"",SUMIF(LOANS!$B:$B,B59,LOANS!$D:$D)+E59),"")</f>
        <v/>
      </c>
      <c r="I59" s="43">
        <f>IFERROR(IF(OR(B59="",E59=""),"",SUMIF(LOANS!$B:$B,B59,LOANS!$I:$I)+ABS(PMT(IFERROR(VLOOKUP(B59,LOANS!$B:$G,6,0),12)/100/12,IFERROR(VLOOKUP(B59,LOANS!$B:$H,7,0),12),E59))),"")</f>
        <v/>
      </c>
      <c r="J59" s="44">
        <f>IF(B59="","","Active")</f>
        <v/>
      </c>
    </row>
    <row r="60" ht="20" customHeight="1">
      <c r="A60" s="47">
        <f>IF(B60="","","TU"&amp;TEXT(ROW()-2,"0000"))</f>
        <v/>
      </c>
      <c r="B60" s="26" t="n"/>
      <c r="C60" s="48">
        <f>IFERROR(IF(B60="","",VLOOKUP(B60,DATABASE!$A:$B,2,0)),"")</f>
        <v/>
      </c>
      <c r="D60" s="44">
        <f>IFERROR(IF(B60="","",VLOOKUP(B60,LOANS!$B:$A,1,0)),"")</f>
        <v/>
      </c>
      <c r="E60" s="29" t="n"/>
      <c r="F60" s="40">
        <f>IF(B60="","",TODAY())</f>
        <v/>
      </c>
      <c r="G60" s="30" t="n"/>
      <c r="H60" s="43">
        <f>IFERROR(IF(OR(B60="",E60=""),"",SUMIF(LOANS!$B:$B,B60,LOANS!$D:$D)+E60),"")</f>
        <v/>
      </c>
      <c r="I60" s="43">
        <f>IFERROR(IF(OR(B60="",E60=""),"",SUMIF(LOANS!$B:$B,B60,LOANS!$I:$I)+ABS(PMT(IFERROR(VLOOKUP(B60,LOANS!$B:$G,6,0),12)/100/12,IFERROR(VLOOKUP(B60,LOANS!$B:$H,7,0),12),E60))),"")</f>
        <v/>
      </c>
      <c r="J60" s="44">
        <f>IF(B60="","","Active")</f>
        <v/>
      </c>
    </row>
    <row r="61" ht="20" customHeight="1">
      <c r="A61" s="47">
        <f>IF(B61="","","TU"&amp;TEXT(ROW()-2,"0000"))</f>
        <v/>
      </c>
      <c r="B61" s="26" t="n"/>
      <c r="C61" s="48">
        <f>IFERROR(IF(B61="","",VLOOKUP(B61,DATABASE!$A:$B,2,0)),"")</f>
        <v/>
      </c>
      <c r="D61" s="44">
        <f>IFERROR(IF(B61="","",VLOOKUP(B61,LOANS!$B:$A,1,0)),"")</f>
        <v/>
      </c>
      <c r="E61" s="29" t="n"/>
      <c r="F61" s="40">
        <f>IF(B61="","",TODAY())</f>
        <v/>
      </c>
      <c r="G61" s="30" t="n"/>
      <c r="H61" s="43">
        <f>IFERROR(IF(OR(B61="",E61=""),"",SUMIF(LOANS!$B:$B,B61,LOANS!$D:$D)+E61),"")</f>
        <v/>
      </c>
      <c r="I61" s="43">
        <f>IFERROR(IF(OR(B61="",E61=""),"",SUMIF(LOANS!$B:$B,B61,LOANS!$I:$I)+ABS(PMT(IFERROR(VLOOKUP(B61,LOANS!$B:$G,6,0),12)/100/12,IFERROR(VLOOKUP(B61,LOANS!$B:$H,7,0),12),E61))),"")</f>
        <v/>
      </c>
      <c r="J61" s="44">
        <f>IF(B61="","","Active")</f>
        <v/>
      </c>
    </row>
    <row r="62" ht="20" customHeight="1">
      <c r="A62" s="47">
        <f>IF(B62="","","TU"&amp;TEXT(ROW()-2,"0000"))</f>
        <v/>
      </c>
      <c r="B62" s="26" t="n"/>
      <c r="C62" s="48">
        <f>IFERROR(IF(B62="","",VLOOKUP(B62,DATABASE!$A:$B,2,0)),"")</f>
        <v/>
      </c>
      <c r="D62" s="44">
        <f>IFERROR(IF(B62="","",VLOOKUP(B62,LOANS!$B:$A,1,0)),"")</f>
        <v/>
      </c>
      <c r="E62" s="29" t="n"/>
      <c r="F62" s="40">
        <f>IF(B62="","",TODAY())</f>
        <v/>
      </c>
      <c r="G62" s="30" t="n"/>
      <c r="H62" s="43">
        <f>IFERROR(IF(OR(B62="",E62=""),"",SUMIF(LOANS!$B:$B,B62,LOANS!$D:$D)+E62),"")</f>
        <v/>
      </c>
      <c r="I62" s="43">
        <f>IFERROR(IF(OR(B62="",E62=""),"",SUMIF(LOANS!$B:$B,B62,LOANS!$I:$I)+ABS(PMT(IFERROR(VLOOKUP(B62,LOANS!$B:$G,6,0),12)/100/12,IFERROR(VLOOKUP(B62,LOANS!$B:$H,7,0),12),E62))),"")</f>
        <v/>
      </c>
      <c r="J62" s="44">
        <f>IF(B62="","","Active")</f>
        <v/>
      </c>
    </row>
    <row r="63" ht="20" customHeight="1">
      <c r="A63" s="47">
        <f>IF(B63="","","TU"&amp;TEXT(ROW()-2,"0000"))</f>
        <v/>
      </c>
      <c r="B63" s="26" t="n"/>
      <c r="C63" s="48">
        <f>IFERROR(IF(B63="","",VLOOKUP(B63,DATABASE!$A:$B,2,0)),"")</f>
        <v/>
      </c>
      <c r="D63" s="44">
        <f>IFERROR(IF(B63="","",VLOOKUP(B63,LOANS!$B:$A,1,0)),"")</f>
        <v/>
      </c>
      <c r="E63" s="29" t="n"/>
      <c r="F63" s="40">
        <f>IF(B63="","",TODAY())</f>
        <v/>
      </c>
      <c r="G63" s="30" t="n"/>
      <c r="H63" s="43">
        <f>IFERROR(IF(OR(B63="",E63=""),"",SUMIF(LOANS!$B:$B,B63,LOANS!$D:$D)+E63),"")</f>
        <v/>
      </c>
      <c r="I63" s="43">
        <f>IFERROR(IF(OR(B63="",E63=""),"",SUMIF(LOANS!$B:$B,B63,LOANS!$I:$I)+ABS(PMT(IFERROR(VLOOKUP(B63,LOANS!$B:$G,6,0),12)/100/12,IFERROR(VLOOKUP(B63,LOANS!$B:$H,7,0),12),E63))),"")</f>
        <v/>
      </c>
      <c r="J63" s="44">
        <f>IF(B63="","","Active")</f>
        <v/>
      </c>
    </row>
    <row r="64" ht="20" customHeight="1">
      <c r="A64" s="47">
        <f>IF(B64="","","TU"&amp;TEXT(ROW()-2,"0000"))</f>
        <v/>
      </c>
      <c r="B64" s="26" t="n"/>
      <c r="C64" s="48">
        <f>IFERROR(IF(B64="","",VLOOKUP(B64,DATABASE!$A:$B,2,0)),"")</f>
        <v/>
      </c>
      <c r="D64" s="44">
        <f>IFERROR(IF(B64="","",VLOOKUP(B64,LOANS!$B:$A,1,0)),"")</f>
        <v/>
      </c>
      <c r="E64" s="29" t="n"/>
      <c r="F64" s="40">
        <f>IF(B64="","",TODAY())</f>
        <v/>
      </c>
      <c r="G64" s="30" t="n"/>
      <c r="H64" s="43">
        <f>IFERROR(IF(OR(B64="",E64=""),"",SUMIF(LOANS!$B:$B,B64,LOANS!$D:$D)+E64),"")</f>
        <v/>
      </c>
      <c r="I64" s="43">
        <f>IFERROR(IF(OR(B64="",E64=""),"",SUMIF(LOANS!$B:$B,B64,LOANS!$I:$I)+ABS(PMT(IFERROR(VLOOKUP(B64,LOANS!$B:$G,6,0),12)/100/12,IFERROR(VLOOKUP(B64,LOANS!$B:$H,7,0),12),E64))),"")</f>
        <v/>
      </c>
      <c r="J64" s="44">
        <f>IF(B64="","","Active")</f>
        <v/>
      </c>
    </row>
    <row r="65" ht="20" customHeight="1">
      <c r="A65" s="47">
        <f>IF(B65="","","TU"&amp;TEXT(ROW()-2,"0000"))</f>
        <v/>
      </c>
      <c r="B65" s="26" t="n"/>
      <c r="C65" s="48">
        <f>IFERROR(IF(B65="","",VLOOKUP(B65,DATABASE!$A:$B,2,0)),"")</f>
        <v/>
      </c>
      <c r="D65" s="44">
        <f>IFERROR(IF(B65="","",VLOOKUP(B65,LOANS!$B:$A,1,0)),"")</f>
        <v/>
      </c>
      <c r="E65" s="29" t="n"/>
      <c r="F65" s="40">
        <f>IF(B65="","",TODAY())</f>
        <v/>
      </c>
      <c r="G65" s="30" t="n"/>
      <c r="H65" s="43">
        <f>IFERROR(IF(OR(B65="",E65=""),"",SUMIF(LOANS!$B:$B,B65,LOANS!$D:$D)+E65),"")</f>
        <v/>
      </c>
      <c r="I65" s="43">
        <f>IFERROR(IF(OR(B65="",E65=""),"",SUMIF(LOANS!$B:$B,B65,LOANS!$I:$I)+ABS(PMT(IFERROR(VLOOKUP(B65,LOANS!$B:$G,6,0),12)/100/12,IFERROR(VLOOKUP(B65,LOANS!$B:$H,7,0),12),E65))),"")</f>
        <v/>
      </c>
      <c r="J65" s="44">
        <f>IF(B65="","","Active")</f>
        <v/>
      </c>
    </row>
    <row r="66" ht="20" customHeight="1">
      <c r="A66" s="47">
        <f>IF(B66="","","TU"&amp;TEXT(ROW()-2,"0000"))</f>
        <v/>
      </c>
      <c r="B66" s="26" t="n"/>
      <c r="C66" s="48">
        <f>IFERROR(IF(B66="","",VLOOKUP(B66,DATABASE!$A:$B,2,0)),"")</f>
        <v/>
      </c>
      <c r="D66" s="44">
        <f>IFERROR(IF(B66="","",VLOOKUP(B66,LOANS!$B:$A,1,0)),"")</f>
        <v/>
      </c>
      <c r="E66" s="29" t="n"/>
      <c r="F66" s="40">
        <f>IF(B66="","",TODAY())</f>
        <v/>
      </c>
      <c r="G66" s="30" t="n"/>
      <c r="H66" s="43">
        <f>IFERROR(IF(OR(B66="",E66=""),"",SUMIF(LOANS!$B:$B,B66,LOANS!$D:$D)+E66),"")</f>
        <v/>
      </c>
      <c r="I66" s="43">
        <f>IFERROR(IF(OR(B66="",E66=""),"",SUMIF(LOANS!$B:$B,B66,LOANS!$I:$I)+ABS(PMT(IFERROR(VLOOKUP(B66,LOANS!$B:$G,6,0),12)/100/12,IFERROR(VLOOKUP(B66,LOANS!$B:$H,7,0),12),E66))),"")</f>
        <v/>
      </c>
      <c r="J66" s="44">
        <f>IF(B66="","","Active")</f>
        <v/>
      </c>
    </row>
    <row r="67" ht="20" customHeight="1">
      <c r="A67" s="47">
        <f>IF(B67="","","TU"&amp;TEXT(ROW()-2,"0000"))</f>
        <v/>
      </c>
      <c r="B67" s="26" t="n"/>
      <c r="C67" s="48">
        <f>IFERROR(IF(B67="","",VLOOKUP(B67,DATABASE!$A:$B,2,0)),"")</f>
        <v/>
      </c>
      <c r="D67" s="44">
        <f>IFERROR(IF(B67="","",VLOOKUP(B67,LOANS!$B:$A,1,0)),"")</f>
        <v/>
      </c>
      <c r="E67" s="29" t="n"/>
      <c r="F67" s="40">
        <f>IF(B67="","",TODAY())</f>
        <v/>
      </c>
      <c r="G67" s="30" t="n"/>
      <c r="H67" s="43">
        <f>IFERROR(IF(OR(B67="",E67=""),"",SUMIF(LOANS!$B:$B,B67,LOANS!$D:$D)+E67),"")</f>
        <v/>
      </c>
      <c r="I67" s="43">
        <f>IFERROR(IF(OR(B67="",E67=""),"",SUMIF(LOANS!$B:$B,B67,LOANS!$I:$I)+ABS(PMT(IFERROR(VLOOKUP(B67,LOANS!$B:$G,6,0),12)/100/12,IFERROR(VLOOKUP(B67,LOANS!$B:$H,7,0),12),E67))),"")</f>
        <v/>
      </c>
      <c r="J67" s="44">
        <f>IF(B67="","","Active")</f>
        <v/>
      </c>
    </row>
    <row r="68" ht="20" customHeight="1">
      <c r="A68" s="47">
        <f>IF(B68="","","TU"&amp;TEXT(ROW()-2,"0000"))</f>
        <v/>
      </c>
      <c r="B68" s="26" t="n"/>
      <c r="C68" s="48">
        <f>IFERROR(IF(B68="","",VLOOKUP(B68,DATABASE!$A:$B,2,0)),"")</f>
        <v/>
      </c>
      <c r="D68" s="44">
        <f>IFERROR(IF(B68="","",VLOOKUP(B68,LOANS!$B:$A,1,0)),"")</f>
        <v/>
      </c>
      <c r="E68" s="29" t="n"/>
      <c r="F68" s="40">
        <f>IF(B68="","",TODAY())</f>
        <v/>
      </c>
      <c r="G68" s="30" t="n"/>
      <c r="H68" s="43">
        <f>IFERROR(IF(OR(B68="",E68=""),"",SUMIF(LOANS!$B:$B,B68,LOANS!$D:$D)+E68),"")</f>
        <v/>
      </c>
      <c r="I68" s="43">
        <f>IFERROR(IF(OR(B68="",E68=""),"",SUMIF(LOANS!$B:$B,B68,LOANS!$I:$I)+ABS(PMT(IFERROR(VLOOKUP(B68,LOANS!$B:$G,6,0),12)/100/12,IFERROR(VLOOKUP(B68,LOANS!$B:$H,7,0),12),E68))),"")</f>
        <v/>
      </c>
      <c r="J68" s="44">
        <f>IF(B68="","","Active")</f>
        <v/>
      </c>
    </row>
    <row r="69" ht="20" customHeight="1">
      <c r="A69" s="47">
        <f>IF(B69="","","TU"&amp;TEXT(ROW()-2,"0000"))</f>
        <v/>
      </c>
      <c r="B69" s="26" t="n"/>
      <c r="C69" s="48">
        <f>IFERROR(IF(B69="","",VLOOKUP(B69,DATABASE!$A:$B,2,0)),"")</f>
        <v/>
      </c>
      <c r="D69" s="44">
        <f>IFERROR(IF(B69="","",VLOOKUP(B69,LOANS!$B:$A,1,0)),"")</f>
        <v/>
      </c>
      <c r="E69" s="29" t="n"/>
      <c r="F69" s="40">
        <f>IF(B69="","",TODAY())</f>
        <v/>
      </c>
      <c r="G69" s="30" t="n"/>
      <c r="H69" s="43">
        <f>IFERROR(IF(OR(B69="",E69=""),"",SUMIF(LOANS!$B:$B,B69,LOANS!$D:$D)+E69),"")</f>
        <v/>
      </c>
      <c r="I69" s="43">
        <f>IFERROR(IF(OR(B69="",E69=""),"",SUMIF(LOANS!$B:$B,B69,LOANS!$I:$I)+ABS(PMT(IFERROR(VLOOKUP(B69,LOANS!$B:$G,6,0),12)/100/12,IFERROR(VLOOKUP(B69,LOANS!$B:$H,7,0),12),E69))),"")</f>
        <v/>
      </c>
      <c r="J69" s="44">
        <f>IF(B69="","","Active")</f>
        <v/>
      </c>
    </row>
    <row r="70" ht="20" customHeight="1">
      <c r="A70" s="47">
        <f>IF(B70="","","TU"&amp;TEXT(ROW()-2,"0000"))</f>
        <v/>
      </c>
      <c r="B70" s="26" t="n"/>
      <c r="C70" s="48">
        <f>IFERROR(IF(B70="","",VLOOKUP(B70,DATABASE!$A:$B,2,0)),"")</f>
        <v/>
      </c>
      <c r="D70" s="44">
        <f>IFERROR(IF(B70="","",VLOOKUP(B70,LOANS!$B:$A,1,0)),"")</f>
        <v/>
      </c>
      <c r="E70" s="29" t="n"/>
      <c r="F70" s="40">
        <f>IF(B70="","",TODAY())</f>
        <v/>
      </c>
      <c r="G70" s="30" t="n"/>
      <c r="H70" s="43">
        <f>IFERROR(IF(OR(B70="",E70=""),"",SUMIF(LOANS!$B:$B,B70,LOANS!$D:$D)+E70),"")</f>
        <v/>
      </c>
      <c r="I70" s="43">
        <f>IFERROR(IF(OR(B70="",E70=""),"",SUMIF(LOANS!$B:$B,B70,LOANS!$I:$I)+ABS(PMT(IFERROR(VLOOKUP(B70,LOANS!$B:$G,6,0),12)/100/12,IFERROR(VLOOKUP(B70,LOANS!$B:$H,7,0),12),E70))),"")</f>
        <v/>
      </c>
      <c r="J70" s="44">
        <f>IF(B70="","","Active")</f>
        <v/>
      </c>
    </row>
    <row r="71" ht="20" customHeight="1">
      <c r="A71" s="47">
        <f>IF(B71="","","TU"&amp;TEXT(ROW()-2,"0000"))</f>
        <v/>
      </c>
      <c r="B71" s="26" t="n"/>
      <c r="C71" s="48">
        <f>IFERROR(IF(B71="","",VLOOKUP(B71,DATABASE!$A:$B,2,0)),"")</f>
        <v/>
      </c>
      <c r="D71" s="44">
        <f>IFERROR(IF(B71="","",VLOOKUP(B71,LOANS!$B:$A,1,0)),"")</f>
        <v/>
      </c>
      <c r="E71" s="29" t="n"/>
      <c r="F71" s="40">
        <f>IF(B71="","",TODAY())</f>
        <v/>
      </c>
      <c r="G71" s="30" t="n"/>
      <c r="H71" s="43">
        <f>IFERROR(IF(OR(B71="",E71=""),"",SUMIF(LOANS!$B:$B,B71,LOANS!$D:$D)+E71),"")</f>
        <v/>
      </c>
      <c r="I71" s="43">
        <f>IFERROR(IF(OR(B71="",E71=""),"",SUMIF(LOANS!$B:$B,B71,LOANS!$I:$I)+ABS(PMT(IFERROR(VLOOKUP(B71,LOANS!$B:$G,6,0),12)/100/12,IFERROR(VLOOKUP(B71,LOANS!$B:$H,7,0),12),E71))),"")</f>
        <v/>
      </c>
      <c r="J71" s="44">
        <f>IF(B71="","","Active")</f>
        <v/>
      </c>
    </row>
    <row r="72" ht="20" customHeight="1">
      <c r="A72" s="47">
        <f>IF(B72="","","TU"&amp;TEXT(ROW()-2,"0000"))</f>
        <v/>
      </c>
      <c r="B72" s="26" t="n"/>
      <c r="C72" s="48">
        <f>IFERROR(IF(B72="","",VLOOKUP(B72,DATABASE!$A:$B,2,0)),"")</f>
        <v/>
      </c>
      <c r="D72" s="44">
        <f>IFERROR(IF(B72="","",VLOOKUP(B72,LOANS!$B:$A,1,0)),"")</f>
        <v/>
      </c>
      <c r="E72" s="29" t="n"/>
      <c r="F72" s="40">
        <f>IF(B72="","",TODAY())</f>
        <v/>
      </c>
      <c r="G72" s="30" t="n"/>
      <c r="H72" s="43">
        <f>IFERROR(IF(OR(B72="",E72=""),"",SUMIF(LOANS!$B:$B,B72,LOANS!$D:$D)+E72),"")</f>
        <v/>
      </c>
      <c r="I72" s="43">
        <f>IFERROR(IF(OR(B72="",E72=""),"",SUMIF(LOANS!$B:$B,B72,LOANS!$I:$I)+ABS(PMT(IFERROR(VLOOKUP(B72,LOANS!$B:$G,6,0),12)/100/12,IFERROR(VLOOKUP(B72,LOANS!$B:$H,7,0),12),E72))),"")</f>
        <v/>
      </c>
      <c r="J72" s="44">
        <f>IF(B72="","","Active")</f>
        <v/>
      </c>
    </row>
    <row r="73" ht="20" customHeight="1">
      <c r="A73" s="47">
        <f>IF(B73="","","TU"&amp;TEXT(ROW()-2,"0000"))</f>
        <v/>
      </c>
      <c r="B73" s="26" t="n"/>
      <c r="C73" s="48">
        <f>IFERROR(IF(B73="","",VLOOKUP(B73,DATABASE!$A:$B,2,0)),"")</f>
        <v/>
      </c>
      <c r="D73" s="44">
        <f>IFERROR(IF(B73="","",VLOOKUP(B73,LOANS!$B:$A,1,0)),"")</f>
        <v/>
      </c>
      <c r="E73" s="29" t="n"/>
      <c r="F73" s="40">
        <f>IF(B73="","",TODAY())</f>
        <v/>
      </c>
      <c r="G73" s="30" t="n"/>
      <c r="H73" s="43">
        <f>IFERROR(IF(OR(B73="",E73=""),"",SUMIF(LOANS!$B:$B,B73,LOANS!$D:$D)+E73),"")</f>
        <v/>
      </c>
      <c r="I73" s="43">
        <f>IFERROR(IF(OR(B73="",E73=""),"",SUMIF(LOANS!$B:$B,B73,LOANS!$I:$I)+ABS(PMT(IFERROR(VLOOKUP(B73,LOANS!$B:$G,6,0),12)/100/12,IFERROR(VLOOKUP(B73,LOANS!$B:$H,7,0),12),E73))),"")</f>
        <v/>
      </c>
      <c r="J73" s="44">
        <f>IF(B73="","","Active")</f>
        <v/>
      </c>
    </row>
    <row r="74" ht="20" customHeight="1">
      <c r="A74" s="47">
        <f>IF(B74="","","TU"&amp;TEXT(ROW()-2,"0000"))</f>
        <v/>
      </c>
      <c r="B74" s="26" t="n"/>
      <c r="C74" s="48">
        <f>IFERROR(IF(B74="","",VLOOKUP(B74,DATABASE!$A:$B,2,0)),"")</f>
        <v/>
      </c>
      <c r="D74" s="44">
        <f>IFERROR(IF(B74="","",VLOOKUP(B74,LOANS!$B:$A,1,0)),"")</f>
        <v/>
      </c>
      <c r="E74" s="29" t="n"/>
      <c r="F74" s="40">
        <f>IF(B74="","",TODAY())</f>
        <v/>
      </c>
      <c r="G74" s="30" t="n"/>
      <c r="H74" s="43">
        <f>IFERROR(IF(OR(B74="",E74=""),"",SUMIF(LOANS!$B:$B,B74,LOANS!$D:$D)+E74),"")</f>
        <v/>
      </c>
      <c r="I74" s="43">
        <f>IFERROR(IF(OR(B74="",E74=""),"",SUMIF(LOANS!$B:$B,B74,LOANS!$I:$I)+ABS(PMT(IFERROR(VLOOKUP(B74,LOANS!$B:$G,6,0),12)/100/12,IFERROR(VLOOKUP(B74,LOANS!$B:$H,7,0),12),E74))),"")</f>
        <v/>
      </c>
      <c r="J74" s="44">
        <f>IF(B74="","","Active")</f>
        <v/>
      </c>
    </row>
    <row r="75" ht="20" customHeight="1">
      <c r="A75" s="47">
        <f>IF(B75="","","TU"&amp;TEXT(ROW()-2,"0000"))</f>
        <v/>
      </c>
      <c r="B75" s="26" t="n"/>
      <c r="C75" s="48">
        <f>IFERROR(IF(B75="","",VLOOKUP(B75,DATABASE!$A:$B,2,0)),"")</f>
        <v/>
      </c>
      <c r="D75" s="44">
        <f>IFERROR(IF(B75="","",VLOOKUP(B75,LOANS!$B:$A,1,0)),"")</f>
        <v/>
      </c>
      <c r="E75" s="29" t="n"/>
      <c r="F75" s="40">
        <f>IF(B75="","",TODAY())</f>
        <v/>
      </c>
      <c r="G75" s="30" t="n"/>
      <c r="H75" s="43">
        <f>IFERROR(IF(OR(B75="",E75=""),"",SUMIF(LOANS!$B:$B,B75,LOANS!$D:$D)+E75),"")</f>
        <v/>
      </c>
      <c r="I75" s="43">
        <f>IFERROR(IF(OR(B75="",E75=""),"",SUMIF(LOANS!$B:$B,B75,LOANS!$I:$I)+ABS(PMT(IFERROR(VLOOKUP(B75,LOANS!$B:$G,6,0),12)/100/12,IFERROR(VLOOKUP(B75,LOANS!$B:$H,7,0),12),E75))),"")</f>
        <v/>
      </c>
      <c r="J75" s="44">
        <f>IF(B75="","","Active")</f>
        <v/>
      </c>
    </row>
    <row r="76" ht="20" customHeight="1">
      <c r="A76" s="47">
        <f>IF(B76="","","TU"&amp;TEXT(ROW()-2,"0000"))</f>
        <v/>
      </c>
      <c r="B76" s="26" t="n"/>
      <c r="C76" s="48">
        <f>IFERROR(IF(B76="","",VLOOKUP(B76,DATABASE!$A:$B,2,0)),"")</f>
        <v/>
      </c>
      <c r="D76" s="44">
        <f>IFERROR(IF(B76="","",VLOOKUP(B76,LOANS!$B:$A,1,0)),"")</f>
        <v/>
      </c>
      <c r="E76" s="29" t="n"/>
      <c r="F76" s="40">
        <f>IF(B76="","",TODAY())</f>
        <v/>
      </c>
      <c r="G76" s="30" t="n"/>
      <c r="H76" s="43">
        <f>IFERROR(IF(OR(B76="",E76=""),"",SUMIF(LOANS!$B:$B,B76,LOANS!$D:$D)+E76),"")</f>
        <v/>
      </c>
      <c r="I76" s="43">
        <f>IFERROR(IF(OR(B76="",E76=""),"",SUMIF(LOANS!$B:$B,B76,LOANS!$I:$I)+ABS(PMT(IFERROR(VLOOKUP(B76,LOANS!$B:$G,6,0),12)/100/12,IFERROR(VLOOKUP(B76,LOANS!$B:$H,7,0),12),E76))),"")</f>
        <v/>
      </c>
      <c r="J76" s="44">
        <f>IF(B76="","","Active")</f>
        <v/>
      </c>
    </row>
    <row r="77" ht="20" customHeight="1">
      <c r="A77" s="47">
        <f>IF(B77="","","TU"&amp;TEXT(ROW()-2,"0000"))</f>
        <v/>
      </c>
      <c r="B77" s="26" t="n"/>
      <c r="C77" s="48">
        <f>IFERROR(IF(B77="","",VLOOKUP(B77,DATABASE!$A:$B,2,0)),"")</f>
        <v/>
      </c>
      <c r="D77" s="44">
        <f>IFERROR(IF(B77="","",VLOOKUP(B77,LOANS!$B:$A,1,0)),"")</f>
        <v/>
      </c>
      <c r="E77" s="29" t="n"/>
      <c r="F77" s="40">
        <f>IF(B77="","",TODAY())</f>
        <v/>
      </c>
      <c r="G77" s="30" t="n"/>
      <c r="H77" s="43">
        <f>IFERROR(IF(OR(B77="",E77=""),"",SUMIF(LOANS!$B:$B,B77,LOANS!$D:$D)+E77),"")</f>
        <v/>
      </c>
      <c r="I77" s="43">
        <f>IFERROR(IF(OR(B77="",E77=""),"",SUMIF(LOANS!$B:$B,B77,LOANS!$I:$I)+ABS(PMT(IFERROR(VLOOKUP(B77,LOANS!$B:$G,6,0),12)/100/12,IFERROR(VLOOKUP(B77,LOANS!$B:$H,7,0),12),E77))),"")</f>
        <v/>
      </c>
      <c r="J77" s="44">
        <f>IF(B77="","","Active")</f>
        <v/>
      </c>
    </row>
    <row r="78" ht="20" customHeight="1">
      <c r="A78" s="47">
        <f>IF(B78="","","TU"&amp;TEXT(ROW()-2,"0000"))</f>
        <v/>
      </c>
      <c r="B78" s="26" t="n"/>
      <c r="C78" s="48">
        <f>IFERROR(IF(B78="","",VLOOKUP(B78,DATABASE!$A:$B,2,0)),"")</f>
        <v/>
      </c>
      <c r="D78" s="44">
        <f>IFERROR(IF(B78="","",VLOOKUP(B78,LOANS!$B:$A,1,0)),"")</f>
        <v/>
      </c>
      <c r="E78" s="29" t="n"/>
      <c r="F78" s="40">
        <f>IF(B78="","",TODAY())</f>
        <v/>
      </c>
      <c r="G78" s="30" t="n"/>
      <c r="H78" s="43">
        <f>IFERROR(IF(OR(B78="",E78=""),"",SUMIF(LOANS!$B:$B,B78,LOANS!$D:$D)+E78),"")</f>
        <v/>
      </c>
      <c r="I78" s="43">
        <f>IFERROR(IF(OR(B78="",E78=""),"",SUMIF(LOANS!$B:$B,B78,LOANS!$I:$I)+ABS(PMT(IFERROR(VLOOKUP(B78,LOANS!$B:$G,6,0),12)/100/12,IFERROR(VLOOKUP(B78,LOANS!$B:$H,7,0),12),E78))),"")</f>
        <v/>
      </c>
      <c r="J78" s="44">
        <f>IF(B78="","","Active")</f>
        <v/>
      </c>
    </row>
    <row r="79" ht="20" customHeight="1">
      <c r="A79" s="47">
        <f>IF(B79="","","TU"&amp;TEXT(ROW()-2,"0000"))</f>
        <v/>
      </c>
      <c r="B79" s="26" t="n"/>
      <c r="C79" s="48">
        <f>IFERROR(IF(B79="","",VLOOKUP(B79,DATABASE!$A:$B,2,0)),"")</f>
        <v/>
      </c>
      <c r="D79" s="44">
        <f>IFERROR(IF(B79="","",VLOOKUP(B79,LOANS!$B:$A,1,0)),"")</f>
        <v/>
      </c>
      <c r="E79" s="29" t="n"/>
      <c r="F79" s="40">
        <f>IF(B79="","",TODAY())</f>
        <v/>
      </c>
      <c r="G79" s="30" t="n"/>
      <c r="H79" s="43">
        <f>IFERROR(IF(OR(B79="",E79=""),"",SUMIF(LOANS!$B:$B,B79,LOANS!$D:$D)+E79),"")</f>
        <v/>
      </c>
      <c r="I79" s="43">
        <f>IFERROR(IF(OR(B79="",E79=""),"",SUMIF(LOANS!$B:$B,B79,LOANS!$I:$I)+ABS(PMT(IFERROR(VLOOKUP(B79,LOANS!$B:$G,6,0),12)/100/12,IFERROR(VLOOKUP(B79,LOANS!$B:$H,7,0),12),E79))),"")</f>
        <v/>
      </c>
      <c r="J79" s="44">
        <f>IF(B79="","","Active")</f>
        <v/>
      </c>
    </row>
    <row r="80" ht="20" customHeight="1">
      <c r="A80" s="47">
        <f>IF(B80="","","TU"&amp;TEXT(ROW()-2,"0000"))</f>
        <v/>
      </c>
      <c r="B80" s="26" t="n"/>
      <c r="C80" s="48">
        <f>IFERROR(IF(B80="","",VLOOKUP(B80,DATABASE!$A:$B,2,0)),"")</f>
        <v/>
      </c>
      <c r="D80" s="44">
        <f>IFERROR(IF(B80="","",VLOOKUP(B80,LOANS!$B:$A,1,0)),"")</f>
        <v/>
      </c>
      <c r="E80" s="29" t="n"/>
      <c r="F80" s="40">
        <f>IF(B80="","",TODAY())</f>
        <v/>
      </c>
      <c r="G80" s="30" t="n"/>
      <c r="H80" s="43">
        <f>IFERROR(IF(OR(B80="",E80=""),"",SUMIF(LOANS!$B:$B,B80,LOANS!$D:$D)+E80),"")</f>
        <v/>
      </c>
      <c r="I80" s="43">
        <f>IFERROR(IF(OR(B80="",E80=""),"",SUMIF(LOANS!$B:$B,B80,LOANS!$I:$I)+ABS(PMT(IFERROR(VLOOKUP(B80,LOANS!$B:$G,6,0),12)/100/12,IFERROR(VLOOKUP(B80,LOANS!$B:$H,7,0),12),E80))),"")</f>
        <v/>
      </c>
      <c r="J80" s="44">
        <f>IF(B80="","","Active")</f>
        <v/>
      </c>
    </row>
    <row r="81" ht="20" customHeight="1">
      <c r="A81" s="47">
        <f>IF(B81="","","TU"&amp;TEXT(ROW()-2,"0000"))</f>
        <v/>
      </c>
      <c r="B81" s="26" t="n"/>
      <c r="C81" s="48">
        <f>IFERROR(IF(B81="","",VLOOKUP(B81,DATABASE!$A:$B,2,0)),"")</f>
        <v/>
      </c>
      <c r="D81" s="44">
        <f>IFERROR(IF(B81="","",VLOOKUP(B81,LOANS!$B:$A,1,0)),"")</f>
        <v/>
      </c>
      <c r="E81" s="29" t="n"/>
      <c r="F81" s="40">
        <f>IF(B81="","",TODAY())</f>
        <v/>
      </c>
      <c r="G81" s="30" t="n"/>
      <c r="H81" s="43">
        <f>IFERROR(IF(OR(B81="",E81=""),"",SUMIF(LOANS!$B:$B,B81,LOANS!$D:$D)+E81),"")</f>
        <v/>
      </c>
      <c r="I81" s="43">
        <f>IFERROR(IF(OR(B81="",E81=""),"",SUMIF(LOANS!$B:$B,B81,LOANS!$I:$I)+ABS(PMT(IFERROR(VLOOKUP(B81,LOANS!$B:$G,6,0),12)/100/12,IFERROR(VLOOKUP(B81,LOANS!$B:$H,7,0),12),E81))),"")</f>
        <v/>
      </c>
      <c r="J81" s="44">
        <f>IF(B81="","","Active")</f>
        <v/>
      </c>
    </row>
    <row r="82" ht="20" customHeight="1">
      <c r="A82" s="47">
        <f>IF(B82="","","TU"&amp;TEXT(ROW()-2,"0000"))</f>
        <v/>
      </c>
      <c r="B82" s="26" t="n"/>
      <c r="C82" s="48">
        <f>IFERROR(IF(B82="","",VLOOKUP(B82,DATABASE!$A:$B,2,0)),"")</f>
        <v/>
      </c>
      <c r="D82" s="44">
        <f>IFERROR(IF(B82="","",VLOOKUP(B82,LOANS!$B:$A,1,0)),"")</f>
        <v/>
      </c>
      <c r="E82" s="29" t="n"/>
      <c r="F82" s="40">
        <f>IF(B82="","",TODAY())</f>
        <v/>
      </c>
      <c r="G82" s="30" t="n"/>
      <c r="H82" s="43">
        <f>IFERROR(IF(OR(B82="",E82=""),"",SUMIF(LOANS!$B:$B,B82,LOANS!$D:$D)+E82),"")</f>
        <v/>
      </c>
      <c r="I82" s="43">
        <f>IFERROR(IF(OR(B82="",E82=""),"",SUMIF(LOANS!$B:$B,B82,LOANS!$I:$I)+ABS(PMT(IFERROR(VLOOKUP(B82,LOANS!$B:$G,6,0),12)/100/12,IFERROR(VLOOKUP(B82,LOANS!$B:$H,7,0),12),E82))),"")</f>
        <v/>
      </c>
      <c r="J82" s="44">
        <f>IF(B82="","","Active")</f>
        <v/>
      </c>
    </row>
    <row r="83" ht="20" customHeight="1">
      <c r="A83" s="47">
        <f>IF(B83="","","TU"&amp;TEXT(ROW()-2,"0000"))</f>
        <v/>
      </c>
      <c r="B83" s="26" t="n"/>
      <c r="C83" s="48">
        <f>IFERROR(IF(B83="","",VLOOKUP(B83,DATABASE!$A:$B,2,0)),"")</f>
        <v/>
      </c>
      <c r="D83" s="44">
        <f>IFERROR(IF(B83="","",VLOOKUP(B83,LOANS!$B:$A,1,0)),"")</f>
        <v/>
      </c>
      <c r="E83" s="29" t="n"/>
      <c r="F83" s="40">
        <f>IF(B83="","",TODAY())</f>
        <v/>
      </c>
      <c r="G83" s="30" t="n"/>
      <c r="H83" s="43">
        <f>IFERROR(IF(OR(B83="",E83=""),"",SUMIF(LOANS!$B:$B,B83,LOANS!$D:$D)+E83),"")</f>
        <v/>
      </c>
      <c r="I83" s="43">
        <f>IFERROR(IF(OR(B83="",E83=""),"",SUMIF(LOANS!$B:$B,B83,LOANS!$I:$I)+ABS(PMT(IFERROR(VLOOKUP(B83,LOANS!$B:$G,6,0),12)/100/12,IFERROR(VLOOKUP(B83,LOANS!$B:$H,7,0),12),E83))),"")</f>
        <v/>
      </c>
      <c r="J83" s="44">
        <f>IF(B83="","","Active")</f>
        <v/>
      </c>
    </row>
    <row r="84" ht="20" customHeight="1">
      <c r="A84" s="47">
        <f>IF(B84="","","TU"&amp;TEXT(ROW()-2,"0000"))</f>
        <v/>
      </c>
      <c r="B84" s="26" t="n"/>
      <c r="C84" s="48">
        <f>IFERROR(IF(B84="","",VLOOKUP(B84,DATABASE!$A:$B,2,0)),"")</f>
        <v/>
      </c>
      <c r="D84" s="44">
        <f>IFERROR(IF(B84="","",VLOOKUP(B84,LOANS!$B:$A,1,0)),"")</f>
        <v/>
      </c>
      <c r="E84" s="29" t="n"/>
      <c r="F84" s="40">
        <f>IF(B84="","",TODAY())</f>
        <v/>
      </c>
      <c r="G84" s="30" t="n"/>
      <c r="H84" s="43">
        <f>IFERROR(IF(OR(B84="",E84=""),"",SUMIF(LOANS!$B:$B,B84,LOANS!$D:$D)+E84),"")</f>
        <v/>
      </c>
      <c r="I84" s="43">
        <f>IFERROR(IF(OR(B84="",E84=""),"",SUMIF(LOANS!$B:$B,B84,LOANS!$I:$I)+ABS(PMT(IFERROR(VLOOKUP(B84,LOANS!$B:$G,6,0),12)/100/12,IFERROR(VLOOKUP(B84,LOANS!$B:$H,7,0),12),E84))),"")</f>
        <v/>
      </c>
      <c r="J84" s="44">
        <f>IF(B84="","","Active")</f>
        <v/>
      </c>
    </row>
    <row r="85" ht="20" customHeight="1">
      <c r="A85" s="47">
        <f>IF(B85="","","TU"&amp;TEXT(ROW()-2,"0000"))</f>
        <v/>
      </c>
      <c r="B85" s="26" t="n"/>
      <c r="C85" s="48">
        <f>IFERROR(IF(B85="","",VLOOKUP(B85,DATABASE!$A:$B,2,0)),"")</f>
        <v/>
      </c>
      <c r="D85" s="44">
        <f>IFERROR(IF(B85="","",VLOOKUP(B85,LOANS!$B:$A,1,0)),"")</f>
        <v/>
      </c>
      <c r="E85" s="29" t="n"/>
      <c r="F85" s="40">
        <f>IF(B85="","",TODAY())</f>
        <v/>
      </c>
      <c r="G85" s="30" t="n"/>
      <c r="H85" s="43">
        <f>IFERROR(IF(OR(B85="",E85=""),"",SUMIF(LOANS!$B:$B,B85,LOANS!$D:$D)+E85),"")</f>
        <v/>
      </c>
      <c r="I85" s="43">
        <f>IFERROR(IF(OR(B85="",E85=""),"",SUMIF(LOANS!$B:$B,B85,LOANS!$I:$I)+ABS(PMT(IFERROR(VLOOKUP(B85,LOANS!$B:$G,6,0),12)/100/12,IFERROR(VLOOKUP(B85,LOANS!$B:$H,7,0),12),E85))),"")</f>
        <v/>
      </c>
      <c r="J85" s="44">
        <f>IF(B85="","","Active")</f>
        <v/>
      </c>
    </row>
    <row r="86" ht="20" customHeight="1">
      <c r="A86" s="47">
        <f>IF(B86="","","TU"&amp;TEXT(ROW()-2,"0000"))</f>
        <v/>
      </c>
      <c r="B86" s="26" t="n"/>
      <c r="C86" s="48">
        <f>IFERROR(IF(B86="","",VLOOKUP(B86,DATABASE!$A:$B,2,0)),"")</f>
        <v/>
      </c>
      <c r="D86" s="44">
        <f>IFERROR(IF(B86="","",VLOOKUP(B86,LOANS!$B:$A,1,0)),"")</f>
        <v/>
      </c>
      <c r="E86" s="29" t="n"/>
      <c r="F86" s="40">
        <f>IF(B86="","",TODAY())</f>
        <v/>
      </c>
      <c r="G86" s="30" t="n"/>
      <c r="H86" s="43">
        <f>IFERROR(IF(OR(B86="",E86=""),"",SUMIF(LOANS!$B:$B,B86,LOANS!$D:$D)+E86),"")</f>
        <v/>
      </c>
      <c r="I86" s="43">
        <f>IFERROR(IF(OR(B86="",E86=""),"",SUMIF(LOANS!$B:$B,B86,LOANS!$I:$I)+ABS(PMT(IFERROR(VLOOKUP(B86,LOANS!$B:$G,6,0),12)/100/12,IFERROR(VLOOKUP(B86,LOANS!$B:$H,7,0),12),E86))),"")</f>
        <v/>
      </c>
      <c r="J86" s="44">
        <f>IF(B86="","","Active")</f>
        <v/>
      </c>
    </row>
    <row r="87" ht="20" customHeight="1">
      <c r="A87" s="47">
        <f>IF(B87="","","TU"&amp;TEXT(ROW()-2,"0000"))</f>
        <v/>
      </c>
      <c r="B87" s="26" t="n"/>
      <c r="C87" s="48">
        <f>IFERROR(IF(B87="","",VLOOKUP(B87,DATABASE!$A:$B,2,0)),"")</f>
        <v/>
      </c>
      <c r="D87" s="44">
        <f>IFERROR(IF(B87="","",VLOOKUP(B87,LOANS!$B:$A,1,0)),"")</f>
        <v/>
      </c>
      <c r="E87" s="29" t="n"/>
      <c r="F87" s="40">
        <f>IF(B87="","",TODAY())</f>
        <v/>
      </c>
      <c r="G87" s="30" t="n"/>
      <c r="H87" s="43">
        <f>IFERROR(IF(OR(B87="",E87=""),"",SUMIF(LOANS!$B:$B,B87,LOANS!$D:$D)+E87),"")</f>
        <v/>
      </c>
      <c r="I87" s="43">
        <f>IFERROR(IF(OR(B87="",E87=""),"",SUMIF(LOANS!$B:$B,B87,LOANS!$I:$I)+ABS(PMT(IFERROR(VLOOKUP(B87,LOANS!$B:$G,6,0),12)/100/12,IFERROR(VLOOKUP(B87,LOANS!$B:$H,7,0),12),E87))),"")</f>
        <v/>
      </c>
      <c r="J87" s="44">
        <f>IF(B87="","","Active")</f>
        <v/>
      </c>
    </row>
    <row r="88" ht="20" customHeight="1">
      <c r="A88" s="47">
        <f>IF(B88="","","TU"&amp;TEXT(ROW()-2,"0000"))</f>
        <v/>
      </c>
      <c r="B88" s="26" t="n"/>
      <c r="C88" s="48">
        <f>IFERROR(IF(B88="","",VLOOKUP(B88,DATABASE!$A:$B,2,0)),"")</f>
        <v/>
      </c>
      <c r="D88" s="44">
        <f>IFERROR(IF(B88="","",VLOOKUP(B88,LOANS!$B:$A,1,0)),"")</f>
        <v/>
      </c>
      <c r="E88" s="29" t="n"/>
      <c r="F88" s="40">
        <f>IF(B88="","",TODAY())</f>
        <v/>
      </c>
      <c r="G88" s="30" t="n"/>
      <c r="H88" s="43">
        <f>IFERROR(IF(OR(B88="",E88=""),"",SUMIF(LOANS!$B:$B,B88,LOANS!$D:$D)+E88),"")</f>
        <v/>
      </c>
      <c r="I88" s="43">
        <f>IFERROR(IF(OR(B88="",E88=""),"",SUMIF(LOANS!$B:$B,B88,LOANS!$I:$I)+ABS(PMT(IFERROR(VLOOKUP(B88,LOANS!$B:$G,6,0),12)/100/12,IFERROR(VLOOKUP(B88,LOANS!$B:$H,7,0),12),E88))),"")</f>
        <v/>
      </c>
      <c r="J88" s="44">
        <f>IF(B88="","","Active")</f>
        <v/>
      </c>
    </row>
    <row r="89" ht="20" customHeight="1">
      <c r="A89" s="47">
        <f>IF(B89="","","TU"&amp;TEXT(ROW()-2,"0000"))</f>
        <v/>
      </c>
      <c r="B89" s="26" t="n"/>
      <c r="C89" s="48">
        <f>IFERROR(IF(B89="","",VLOOKUP(B89,DATABASE!$A:$B,2,0)),"")</f>
        <v/>
      </c>
      <c r="D89" s="44">
        <f>IFERROR(IF(B89="","",VLOOKUP(B89,LOANS!$B:$A,1,0)),"")</f>
        <v/>
      </c>
      <c r="E89" s="29" t="n"/>
      <c r="F89" s="40">
        <f>IF(B89="","",TODAY())</f>
        <v/>
      </c>
      <c r="G89" s="30" t="n"/>
      <c r="H89" s="43">
        <f>IFERROR(IF(OR(B89="",E89=""),"",SUMIF(LOANS!$B:$B,B89,LOANS!$D:$D)+E89),"")</f>
        <v/>
      </c>
      <c r="I89" s="43">
        <f>IFERROR(IF(OR(B89="",E89=""),"",SUMIF(LOANS!$B:$B,B89,LOANS!$I:$I)+ABS(PMT(IFERROR(VLOOKUP(B89,LOANS!$B:$G,6,0),12)/100/12,IFERROR(VLOOKUP(B89,LOANS!$B:$H,7,0),12),E89))),"")</f>
        <v/>
      </c>
      <c r="J89" s="44">
        <f>IF(B89="","","Active")</f>
        <v/>
      </c>
    </row>
    <row r="90" ht="20" customHeight="1">
      <c r="A90" s="47">
        <f>IF(B90="","","TU"&amp;TEXT(ROW()-2,"0000"))</f>
        <v/>
      </c>
      <c r="B90" s="26" t="n"/>
      <c r="C90" s="48">
        <f>IFERROR(IF(B90="","",VLOOKUP(B90,DATABASE!$A:$B,2,0)),"")</f>
        <v/>
      </c>
      <c r="D90" s="44">
        <f>IFERROR(IF(B90="","",VLOOKUP(B90,LOANS!$B:$A,1,0)),"")</f>
        <v/>
      </c>
      <c r="E90" s="29" t="n"/>
      <c r="F90" s="40">
        <f>IF(B90="","",TODAY())</f>
        <v/>
      </c>
      <c r="G90" s="30" t="n"/>
      <c r="H90" s="43">
        <f>IFERROR(IF(OR(B90="",E90=""),"",SUMIF(LOANS!$B:$B,B90,LOANS!$D:$D)+E90),"")</f>
        <v/>
      </c>
      <c r="I90" s="43">
        <f>IFERROR(IF(OR(B90="",E90=""),"",SUMIF(LOANS!$B:$B,B90,LOANS!$I:$I)+ABS(PMT(IFERROR(VLOOKUP(B90,LOANS!$B:$G,6,0),12)/100/12,IFERROR(VLOOKUP(B90,LOANS!$B:$H,7,0),12),E90))),"")</f>
        <v/>
      </c>
      <c r="J90" s="44">
        <f>IF(B90="","","Active")</f>
        <v/>
      </c>
    </row>
    <row r="91" ht="20" customHeight="1">
      <c r="A91" s="47">
        <f>IF(B91="","","TU"&amp;TEXT(ROW()-2,"0000"))</f>
        <v/>
      </c>
      <c r="B91" s="26" t="n"/>
      <c r="C91" s="48">
        <f>IFERROR(IF(B91="","",VLOOKUP(B91,DATABASE!$A:$B,2,0)),"")</f>
        <v/>
      </c>
      <c r="D91" s="44">
        <f>IFERROR(IF(B91="","",VLOOKUP(B91,LOANS!$B:$A,1,0)),"")</f>
        <v/>
      </c>
      <c r="E91" s="29" t="n"/>
      <c r="F91" s="40">
        <f>IF(B91="","",TODAY())</f>
        <v/>
      </c>
      <c r="G91" s="30" t="n"/>
      <c r="H91" s="43">
        <f>IFERROR(IF(OR(B91="",E91=""),"",SUMIF(LOANS!$B:$B,B91,LOANS!$D:$D)+E91),"")</f>
        <v/>
      </c>
      <c r="I91" s="43">
        <f>IFERROR(IF(OR(B91="",E91=""),"",SUMIF(LOANS!$B:$B,B91,LOANS!$I:$I)+ABS(PMT(IFERROR(VLOOKUP(B91,LOANS!$B:$G,6,0),12)/100/12,IFERROR(VLOOKUP(B91,LOANS!$B:$H,7,0),12),E91))),"")</f>
        <v/>
      </c>
      <c r="J91" s="44">
        <f>IF(B91="","","Active")</f>
        <v/>
      </c>
    </row>
    <row r="92" ht="20" customHeight="1">
      <c r="A92" s="47">
        <f>IF(B92="","","TU"&amp;TEXT(ROW()-2,"0000"))</f>
        <v/>
      </c>
      <c r="B92" s="26" t="n"/>
      <c r="C92" s="48">
        <f>IFERROR(IF(B92="","",VLOOKUP(B92,DATABASE!$A:$B,2,0)),"")</f>
        <v/>
      </c>
      <c r="D92" s="44">
        <f>IFERROR(IF(B92="","",VLOOKUP(B92,LOANS!$B:$A,1,0)),"")</f>
        <v/>
      </c>
      <c r="E92" s="29" t="n"/>
      <c r="F92" s="40">
        <f>IF(B92="","",TODAY())</f>
        <v/>
      </c>
      <c r="G92" s="30" t="n"/>
      <c r="H92" s="43">
        <f>IFERROR(IF(OR(B92="",E92=""),"",SUMIF(LOANS!$B:$B,B92,LOANS!$D:$D)+E92),"")</f>
        <v/>
      </c>
      <c r="I92" s="43">
        <f>IFERROR(IF(OR(B92="",E92=""),"",SUMIF(LOANS!$B:$B,B92,LOANS!$I:$I)+ABS(PMT(IFERROR(VLOOKUP(B92,LOANS!$B:$G,6,0),12)/100/12,IFERROR(VLOOKUP(B92,LOANS!$B:$H,7,0),12),E92))),"")</f>
        <v/>
      </c>
      <c r="J92" s="44">
        <f>IF(B92="","","Active")</f>
        <v/>
      </c>
    </row>
    <row r="93" ht="20" customHeight="1">
      <c r="A93" s="47">
        <f>IF(B93="","","TU"&amp;TEXT(ROW()-2,"0000"))</f>
        <v/>
      </c>
      <c r="B93" s="26" t="n"/>
      <c r="C93" s="48">
        <f>IFERROR(IF(B93="","",VLOOKUP(B93,DATABASE!$A:$B,2,0)),"")</f>
        <v/>
      </c>
      <c r="D93" s="44">
        <f>IFERROR(IF(B93="","",VLOOKUP(B93,LOANS!$B:$A,1,0)),"")</f>
        <v/>
      </c>
      <c r="E93" s="29" t="n"/>
      <c r="F93" s="40">
        <f>IF(B93="","",TODAY())</f>
        <v/>
      </c>
      <c r="G93" s="30" t="n"/>
      <c r="H93" s="43">
        <f>IFERROR(IF(OR(B93="",E93=""),"",SUMIF(LOANS!$B:$B,B93,LOANS!$D:$D)+E93),"")</f>
        <v/>
      </c>
      <c r="I93" s="43">
        <f>IFERROR(IF(OR(B93="",E93=""),"",SUMIF(LOANS!$B:$B,B93,LOANS!$I:$I)+ABS(PMT(IFERROR(VLOOKUP(B93,LOANS!$B:$G,6,0),12)/100/12,IFERROR(VLOOKUP(B93,LOANS!$B:$H,7,0),12),E93))),"")</f>
        <v/>
      </c>
      <c r="J93" s="44">
        <f>IF(B93="","","Active")</f>
        <v/>
      </c>
    </row>
    <row r="94" ht="20" customHeight="1">
      <c r="A94" s="47">
        <f>IF(B94="","","TU"&amp;TEXT(ROW()-2,"0000"))</f>
        <v/>
      </c>
      <c r="B94" s="26" t="n"/>
      <c r="C94" s="48">
        <f>IFERROR(IF(B94="","",VLOOKUP(B94,DATABASE!$A:$B,2,0)),"")</f>
        <v/>
      </c>
      <c r="D94" s="44">
        <f>IFERROR(IF(B94="","",VLOOKUP(B94,LOANS!$B:$A,1,0)),"")</f>
        <v/>
      </c>
      <c r="E94" s="29" t="n"/>
      <c r="F94" s="40">
        <f>IF(B94="","",TODAY())</f>
        <v/>
      </c>
      <c r="G94" s="30" t="n"/>
      <c r="H94" s="43">
        <f>IFERROR(IF(OR(B94="",E94=""),"",SUMIF(LOANS!$B:$B,B94,LOANS!$D:$D)+E94),"")</f>
        <v/>
      </c>
      <c r="I94" s="43">
        <f>IFERROR(IF(OR(B94="",E94=""),"",SUMIF(LOANS!$B:$B,B94,LOANS!$I:$I)+ABS(PMT(IFERROR(VLOOKUP(B94,LOANS!$B:$G,6,0),12)/100/12,IFERROR(VLOOKUP(B94,LOANS!$B:$H,7,0),12),E94))),"")</f>
        <v/>
      </c>
      <c r="J94" s="44">
        <f>IF(B94="","","Active")</f>
        <v/>
      </c>
    </row>
    <row r="95" ht="20" customHeight="1">
      <c r="A95" s="47">
        <f>IF(B95="","","TU"&amp;TEXT(ROW()-2,"0000"))</f>
        <v/>
      </c>
      <c r="B95" s="26" t="n"/>
      <c r="C95" s="48">
        <f>IFERROR(IF(B95="","",VLOOKUP(B95,DATABASE!$A:$B,2,0)),"")</f>
        <v/>
      </c>
      <c r="D95" s="44">
        <f>IFERROR(IF(B95="","",VLOOKUP(B95,LOANS!$B:$A,1,0)),"")</f>
        <v/>
      </c>
      <c r="E95" s="29" t="n"/>
      <c r="F95" s="40">
        <f>IF(B95="","",TODAY())</f>
        <v/>
      </c>
      <c r="G95" s="30" t="n"/>
      <c r="H95" s="43">
        <f>IFERROR(IF(OR(B95="",E95=""),"",SUMIF(LOANS!$B:$B,B95,LOANS!$D:$D)+E95),"")</f>
        <v/>
      </c>
      <c r="I95" s="43">
        <f>IFERROR(IF(OR(B95="",E95=""),"",SUMIF(LOANS!$B:$B,B95,LOANS!$I:$I)+ABS(PMT(IFERROR(VLOOKUP(B95,LOANS!$B:$G,6,0),12)/100/12,IFERROR(VLOOKUP(B95,LOANS!$B:$H,7,0),12),E95))),"")</f>
        <v/>
      </c>
      <c r="J95" s="44">
        <f>IF(B95="","","Active")</f>
        <v/>
      </c>
    </row>
    <row r="96" ht="20" customHeight="1">
      <c r="A96" s="47">
        <f>IF(B96="","","TU"&amp;TEXT(ROW()-2,"0000"))</f>
        <v/>
      </c>
      <c r="B96" s="26" t="n"/>
      <c r="C96" s="48">
        <f>IFERROR(IF(B96="","",VLOOKUP(B96,DATABASE!$A:$B,2,0)),"")</f>
        <v/>
      </c>
      <c r="D96" s="44">
        <f>IFERROR(IF(B96="","",VLOOKUP(B96,LOANS!$B:$A,1,0)),"")</f>
        <v/>
      </c>
      <c r="E96" s="29" t="n"/>
      <c r="F96" s="40">
        <f>IF(B96="","",TODAY())</f>
        <v/>
      </c>
      <c r="G96" s="30" t="n"/>
      <c r="H96" s="43">
        <f>IFERROR(IF(OR(B96="",E96=""),"",SUMIF(LOANS!$B:$B,B96,LOANS!$D:$D)+E96),"")</f>
        <v/>
      </c>
      <c r="I96" s="43">
        <f>IFERROR(IF(OR(B96="",E96=""),"",SUMIF(LOANS!$B:$B,B96,LOANS!$I:$I)+ABS(PMT(IFERROR(VLOOKUP(B96,LOANS!$B:$G,6,0),12)/100/12,IFERROR(VLOOKUP(B96,LOANS!$B:$H,7,0),12),E96))),"")</f>
        <v/>
      </c>
      <c r="J96" s="44">
        <f>IF(B96="","","Active")</f>
        <v/>
      </c>
    </row>
    <row r="97" ht="20" customHeight="1">
      <c r="A97" s="47">
        <f>IF(B97="","","TU"&amp;TEXT(ROW()-2,"0000"))</f>
        <v/>
      </c>
      <c r="B97" s="26" t="n"/>
      <c r="C97" s="48">
        <f>IFERROR(IF(B97="","",VLOOKUP(B97,DATABASE!$A:$B,2,0)),"")</f>
        <v/>
      </c>
      <c r="D97" s="44">
        <f>IFERROR(IF(B97="","",VLOOKUP(B97,LOANS!$B:$A,1,0)),"")</f>
        <v/>
      </c>
      <c r="E97" s="29" t="n"/>
      <c r="F97" s="40">
        <f>IF(B97="","",TODAY())</f>
        <v/>
      </c>
      <c r="G97" s="30" t="n"/>
      <c r="H97" s="43">
        <f>IFERROR(IF(OR(B97="",E97=""),"",SUMIF(LOANS!$B:$B,B97,LOANS!$D:$D)+E97),"")</f>
        <v/>
      </c>
      <c r="I97" s="43">
        <f>IFERROR(IF(OR(B97="",E97=""),"",SUMIF(LOANS!$B:$B,B97,LOANS!$I:$I)+ABS(PMT(IFERROR(VLOOKUP(B97,LOANS!$B:$G,6,0),12)/100/12,IFERROR(VLOOKUP(B97,LOANS!$B:$H,7,0),12),E97))),"")</f>
        <v/>
      </c>
      <c r="J97" s="44">
        <f>IF(B97="","","Active")</f>
        <v/>
      </c>
    </row>
    <row r="98" ht="20" customHeight="1">
      <c r="A98" s="47">
        <f>IF(B98="","","TU"&amp;TEXT(ROW()-2,"0000"))</f>
        <v/>
      </c>
      <c r="B98" s="26" t="n"/>
      <c r="C98" s="48">
        <f>IFERROR(IF(B98="","",VLOOKUP(B98,DATABASE!$A:$B,2,0)),"")</f>
        <v/>
      </c>
      <c r="D98" s="44">
        <f>IFERROR(IF(B98="","",VLOOKUP(B98,LOANS!$B:$A,1,0)),"")</f>
        <v/>
      </c>
      <c r="E98" s="29" t="n"/>
      <c r="F98" s="40">
        <f>IF(B98="","",TODAY())</f>
        <v/>
      </c>
      <c r="G98" s="30" t="n"/>
      <c r="H98" s="43">
        <f>IFERROR(IF(OR(B98="",E98=""),"",SUMIF(LOANS!$B:$B,B98,LOANS!$D:$D)+E98),"")</f>
        <v/>
      </c>
      <c r="I98" s="43">
        <f>IFERROR(IF(OR(B98="",E98=""),"",SUMIF(LOANS!$B:$B,B98,LOANS!$I:$I)+ABS(PMT(IFERROR(VLOOKUP(B98,LOANS!$B:$G,6,0),12)/100/12,IFERROR(VLOOKUP(B98,LOANS!$B:$H,7,0),12),E98))),"")</f>
        <v/>
      </c>
      <c r="J98" s="44">
        <f>IF(B98="","","Active")</f>
        <v/>
      </c>
    </row>
    <row r="99" ht="20" customHeight="1">
      <c r="A99" s="47">
        <f>IF(B99="","","TU"&amp;TEXT(ROW()-2,"0000"))</f>
        <v/>
      </c>
      <c r="B99" s="26" t="n"/>
      <c r="C99" s="48">
        <f>IFERROR(IF(B99="","",VLOOKUP(B99,DATABASE!$A:$B,2,0)),"")</f>
        <v/>
      </c>
      <c r="D99" s="44">
        <f>IFERROR(IF(B99="","",VLOOKUP(B99,LOANS!$B:$A,1,0)),"")</f>
        <v/>
      </c>
      <c r="E99" s="29" t="n"/>
      <c r="F99" s="40">
        <f>IF(B99="","",TODAY())</f>
        <v/>
      </c>
      <c r="G99" s="30" t="n"/>
      <c r="H99" s="43">
        <f>IFERROR(IF(OR(B99="",E99=""),"",SUMIF(LOANS!$B:$B,B99,LOANS!$D:$D)+E99),"")</f>
        <v/>
      </c>
      <c r="I99" s="43">
        <f>IFERROR(IF(OR(B99="",E99=""),"",SUMIF(LOANS!$B:$B,B99,LOANS!$I:$I)+ABS(PMT(IFERROR(VLOOKUP(B99,LOANS!$B:$G,6,0),12)/100/12,IFERROR(VLOOKUP(B99,LOANS!$B:$H,7,0),12),E99))),"")</f>
        <v/>
      </c>
      <c r="J99" s="44">
        <f>IF(B99="","","Active")</f>
        <v/>
      </c>
    </row>
    <row r="100" ht="20" customHeight="1">
      <c r="A100" s="47">
        <f>IF(B100="","","TU"&amp;TEXT(ROW()-2,"0000"))</f>
        <v/>
      </c>
      <c r="B100" s="26" t="n"/>
      <c r="C100" s="48">
        <f>IFERROR(IF(B100="","",VLOOKUP(B100,DATABASE!$A:$B,2,0)),"")</f>
        <v/>
      </c>
      <c r="D100" s="44">
        <f>IFERROR(IF(B100="","",VLOOKUP(B100,LOANS!$B:$A,1,0)),"")</f>
        <v/>
      </c>
      <c r="E100" s="29" t="n"/>
      <c r="F100" s="40">
        <f>IF(B100="","",TODAY())</f>
        <v/>
      </c>
      <c r="G100" s="30" t="n"/>
      <c r="H100" s="43">
        <f>IFERROR(IF(OR(B100="",E100=""),"",SUMIF(LOANS!$B:$B,B100,LOANS!$D:$D)+E100),"")</f>
        <v/>
      </c>
      <c r="I100" s="43">
        <f>IFERROR(IF(OR(B100="",E100=""),"",SUMIF(LOANS!$B:$B,B100,LOANS!$I:$I)+ABS(PMT(IFERROR(VLOOKUP(B100,LOANS!$B:$G,6,0),12)/100/12,IFERROR(VLOOKUP(B100,LOANS!$B:$H,7,0),12),E100))),"")</f>
        <v/>
      </c>
      <c r="J100" s="44">
        <f>IF(B100="","","Active")</f>
        <v/>
      </c>
    </row>
    <row r="101" ht="20" customHeight="1">
      <c r="A101" s="47">
        <f>IF(B101="","","TU"&amp;TEXT(ROW()-2,"0000"))</f>
        <v/>
      </c>
      <c r="B101" s="26" t="n"/>
      <c r="C101" s="48">
        <f>IFERROR(IF(B101="","",VLOOKUP(B101,DATABASE!$A:$B,2,0)),"")</f>
        <v/>
      </c>
      <c r="D101" s="44">
        <f>IFERROR(IF(B101="","",VLOOKUP(B101,LOANS!$B:$A,1,0)),"")</f>
        <v/>
      </c>
      <c r="E101" s="29" t="n"/>
      <c r="F101" s="40">
        <f>IF(B101="","",TODAY())</f>
        <v/>
      </c>
      <c r="G101" s="30" t="n"/>
      <c r="H101" s="43">
        <f>IFERROR(IF(OR(B101="",E101=""),"",SUMIF(LOANS!$B:$B,B101,LOANS!$D:$D)+E101),"")</f>
        <v/>
      </c>
      <c r="I101" s="43">
        <f>IFERROR(IF(OR(B101="",E101=""),"",SUMIF(LOANS!$B:$B,B101,LOANS!$I:$I)+ABS(PMT(IFERROR(VLOOKUP(B101,LOANS!$B:$G,6,0),12)/100/12,IFERROR(VLOOKUP(B101,LOANS!$B:$H,7,0),12),E101))),"")</f>
        <v/>
      </c>
      <c r="J101" s="44">
        <f>IF(B101="","","Active")</f>
        <v/>
      </c>
    </row>
    <row r="102" ht="20" customHeight="1">
      <c r="A102" s="47">
        <f>IF(B102="","","TU"&amp;TEXT(ROW()-2,"0000"))</f>
        <v/>
      </c>
      <c r="B102" s="26" t="n"/>
      <c r="C102" s="48">
        <f>IFERROR(IF(B102="","",VLOOKUP(B102,DATABASE!$A:$B,2,0)),"")</f>
        <v/>
      </c>
      <c r="D102" s="44">
        <f>IFERROR(IF(B102="","",VLOOKUP(B102,LOANS!$B:$A,1,0)),"")</f>
        <v/>
      </c>
      <c r="E102" s="29" t="n"/>
      <c r="F102" s="40">
        <f>IF(B102="","",TODAY())</f>
        <v/>
      </c>
      <c r="G102" s="30" t="n"/>
      <c r="H102" s="43">
        <f>IFERROR(IF(OR(B102="",E102=""),"",SUMIF(LOANS!$B:$B,B102,LOANS!$D:$D)+E102),"")</f>
        <v/>
      </c>
      <c r="I102" s="43">
        <f>IFERROR(IF(OR(B102="",E102=""),"",SUMIF(LOANS!$B:$B,B102,LOANS!$I:$I)+ABS(PMT(IFERROR(VLOOKUP(B102,LOANS!$B:$G,6,0),12)/100/12,IFERROR(VLOOKUP(B102,LOANS!$B:$H,7,0),12),E102))),"")</f>
        <v/>
      </c>
      <c r="J102" s="44">
        <f>IF(B102="","","Active")</f>
        <v/>
      </c>
    </row>
    <row r="103" ht="20" customHeight="1">
      <c r="A103" s="47">
        <f>IF(B103="","","TU"&amp;TEXT(ROW()-2,"0000"))</f>
        <v/>
      </c>
      <c r="B103" s="26" t="n"/>
      <c r="C103" s="48">
        <f>IFERROR(IF(B103="","",VLOOKUP(B103,DATABASE!$A:$B,2,0)),"")</f>
        <v/>
      </c>
      <c r="D103" s="44">
        <f>IFERROR(IF(B103="","",VLOOKUP(B103,LOANS!$B:$A,1,0)),"")</f>
        <v/>
      </c>
      <c r="E103" s="29" t="n"/>
      <c r="F103" s="40">
        <f>IF(B103="","",TODAY())</f>
        <v/>
      </c>
      <c r="G103" s="30" t="n"/>
      <c r="H103" s="43">
        <f>IFERROR(IF(OR(B103="",E103=""),"",SUMIF(LOANS!$B:$B,B103,LOANS!$D:$D)+E103),"")</f>
        <v/>
      </c>
      <c r="I103" s="43">
        <f>IFERROR(IF(OR(B103="",E103=""),"",SUMIF(LOANS!$B:$B,B103,LOANS!$I:$I)+ABS(PMT(IFERROR(VLOOKUP(B103,LOANS!$B:$G,6,0),12)/100/12,IFERROR(VLOOKUP(B103,LOANS!$B:$H,7,0),12),E103))),"")</f>
        <v/>
      </c>
      <c r="J103" s="44">
        <f>IF(B103="","","Active")</f>
        <v/>
      </c>
    </row>
    <row r="104" ht="20" customHeight="1">
      <c r="A104" s="47">
        <f>IF(B104="","","TU"&amp;TEXT(ROW()-2,"0000"))</f>
        <v/>
      </c>
      <c r="B104" s="26" t="n"/>
      <c r="C104" s="48">
        <f>IFERROR(IF(B104="","",VLOOKUP(B104,DATABASE!$A:$B,2,0)),"")</f>
        <v/>
      </c>
      <c r="D104" s="44">
        <f>IFERROR(IF(B104="","",VLOOKUP(B104,LOANS!$B:$A,1,0)),"")</f>
        <v/>
      </c>
      <c r="E104" s="29" t="n"/>
      <c r="F104" s="40">
        <f>IF(B104="","",TODAY())</f>
        <v/>
      </c>
      <c r="G104" s="30" t="n"/>
      <c r="H104" s="43">
        <f>IFERROR(IF(OR(B104="",E104=""),"",SUMIF(LOANS!$B:$B,B104,LOANS!$D:$D)+E104),"")</f>
        <v/>
      </c>
      <c r="I104" s="43">
        <f>IFERROR(IF(OR(B104="",E104=""),"",SUMIF(LOANS!$B:$B,B104,LOANS!$I:$I)+ABS(PMT(IFERROR(VLOOKUP(B104,LOANS!$B:$G,6,0),12)/100/12,IFERROR(VLOOKUP(B104,LOANS!$B:$H,7,0),12),E104))),"")</f>
        <v/>
      </c>
      <c r="J104" s="44">
        <f>IF(B104="","","Active")</f>
        <v/>
      </c>
    </row>
    <row r="105" ht="20" customHeight="1">
      <c r="A105" s="47">
        <f>IF(B105="","","TU"&amp;TEXT(ROW()-2,"0000"))</f>
        <v/>
      </c>
      <c r="B105" s="26" t="n"/>
      <c r="C105" s="48">
        <f>IFERROR(IF(B105="","",VLOOKUP(B105,DATABASE!$A:$B,2,0)),"")</f>
        <v/>
      </c>
      <c r="D105" s="44">
        <f>IFERROR(IF(B105="","",VLOOKUP(B105,LOANS!$B:$A,1,0)),"")</f>
        <v/>
      </c>
      <c r="E105" s="29" t="n"/>
      <c r="F105" s="40">
        <f>IF(B105="","",TODAY())</f>
        <v/>
      </c>
      <c r="G105" s="30" t="n"/>
      <c r="H105" s="43">
        <f>IFERROR(IF(OR(B105="",E105=""),"",SUMIF(LOANS!$B:$B,B105,LOANS!$D:$D)+E105),"")</f>
        <v/>
      </c>
      <c r="I105" s="43">
        <f>IFERROR(IF(OR(B105="",E105=""),"",SUMIF(LOANS!$B:$B,B105,LOANS!$I:$I)+ABS(PMT(IFERROR(VLOOKUP(B105,LOANS!$B:$G,6,0),12)/100/12,IFERROR(VLOOKUP(B105,LOANS!$B:$H,7,0),12),E105))),"")</f>
        <v/>
      </c>
      <c r="J105" s="44">
        <f>IF(B105="","","Active")</f>
        <v/>
      </c>
    </row>
    <row r="106" ht="20" customHeight="1">
      <c r="A106" s="47">
        <f>IF(B106="","","TU"&amp;TEXT(ROW()-2,"0000"))</f>
        <v/>
      </c>
      <c r="B106" s="26" t="n"/>
      <c r="C106" s="48">
        <f>IFERROR(IF(B106="","",VLOOKUP(B106,DATABASE!$A:$B,2,0)),"")</f>
        <v/>
      </c>
      <c r="D106" s="44">
        <f>IFERROR(IF(B106="","",VLOOKUP(B106,LOANS!$B:$A,1,0)),"")</f>
        <v/>
      </c>
      <c r="E106" s="29" t="n"/>
      <c r="F106" s="40">
        <f>IF(B106="","",TODAY())</f>
        <v/>
      </c>
      <c r="G106" s="30" t="n"/>
      <c r="H106" s="43">
        <f>IFERROR(IF(OR(B106="",E106=""),"",SUMIF(LOANS!$B:$B,B106,LOANS!$D:$D)+E106),"")</f>
        <v/>
      </c>
      <c r="I106" s="43">
        <f>IFERROR(IF(OR(B106="",E106=""),"",SUMIF(LOANS!$B:$B,B106,LOANS!$I:$I)+ABS(PMT(IFERROR(VLOOKUP(B106,LOANS!$B:$G,6,0),12)/100/12,IFERROR(VLOOKUP(B106,LOANS!$B:$H,7,0),12),E106))),"")</f>
        <v/>
      </c>
      <c r="J106" s="44">
        <f>IF(B106="","","Active")</f>
        <v/>
      </c>
    </row>
    <row r="107" ht="20" customHeight="1">
      <c r="A107" s="47">
        <f>IF(B107="","","TU"&amp;TEXT(ROW()-2,"0000"))</f>
        <v/>
      </c>
      <c r="B107" s="26" t="n"/>
      <c r="C107" s="48">
        <f>IFERROR(IF(B107="","",VLOOKUP(B107,DATABASE!$A:$B,2,0)),"")</f>
        <v/>
      </c>
      <c r="D107" s="44">
        <f>IFERROR(IF(B107="","",VLOOKUP(B107,LOANS!$B:$A,1,0)),"")</f>
        <v/>
      </c>
      <c r="E107" s="29" t="n"/>
      <c r="F107" s="40">
        <f>IF(B107="","",TODAY())</f>
        <v/>
      </c>
      <c r="G107" s="30" t="n"/>
      <c r="H107" s="43">
        <f>IFERROR(IF(OR(B107="",E107=""),"",SUMIF(LOANS!$B:$B,B107,LOANS!$D:$D)+E107),"")</f>
        <v/>
      </c>
      <c r="I107" s="43">
        <f>IFERROR(IF(OR(B107="",E107=""),"",SUMIF(LOANS!$B:$B,B107,LOANS!$I:$I)+ABS(PMT(IFERROR(VLOOKUP(B107,LOANS!$B:$G,6,0),12)/100/12,IFERROR(VLOOKUP(B107,LOANS!$B:$H,7,0),12),E107))),"")</f>
        <v/>
      </c>
      <c r="J107" s="44">
        <f>IF(B107="","","Active")</f>
        <v/>
      </c>
    </row>
    <row r="108" ht="20" customHeight="1">
      <c r="A108" s="47">
        <f>IF(B108="","","TU"&amp;TEXT(ROW()-2,"0000"))</f>
        <v/>
      </c>
      <c r="B108" s="26" t="n"/>
      <c r="C108" s="48">
        <f>IFERROR(IF(B108="","",VLOOKUP(B108,DATABASE!$A:$B,2,0)),"")</f>
        <v/>
      </c>
      <c r="D108" s="44">
        <f>IFERROR(IF(B108="","",VLOOKUP(B108,LOANS!$B:$A,1,0)),"")</f>
        <v/>
      </c>
      <c r="E108" s="29" t="n"/>
      <c r="F108" s="40">
        <f>IF(B108="","",TODAY())</f>
        <v/>
      </c>
      <c r="G108" s="30" t="n"/>
      <c r="H108" s="43">
        <f>IFERROR(IF(OR(B108="",E108=""),"",SUMIF(LOANS!$B:$B,B108,LOANS!$D:$D)+E108),"")</f>
        <v/>
      </c>
      <c r="I108" s="43">
        <f>IFERROR(IF(OR(B108="",E108=""),"",SUMIF(LOANS!$B:$B,B108,LOANS!$I:$I)+ABS(PMT(IFERROR(VLOOKUP(B108,LOANS!$B:$G,6,0),12)/100/12,IFERROR(VLOOKUP(B108,LOANS!$B:$H,7,0),12),E108))),"")</f>
        <v/>
      </c>
      <c r="J108" s="44">
        <f>IF(B108="","","Active")</f>
        <v/>
      </c>
    </row>
    <row r="109" ht="20" customHeight="1">
      <c r="A109" s="47">
        <f>IF(B109="","","TU"&amp;TEXT(ROW()-2,"0000"))</f>
        <v/>
      </c>
      <c r="B109" s="26" t="n"/>
      <c r="C109" s="48">
        <f>IFERROR(IF(B109="","",VLOOKUP(B109,DATABASE!$A:$B,2,0)),"")</f>
        <v/>
      </c>
      <c r="D109" s="44">
        <f>IFERROR(IF(B109="","",VLOOKUP(B109,LOANS!$B:$A,1,0)),"")</f>
        <v/>
      </c>
      <c r="E109" s="29" t="n"/>
      <c r="F109" s="40">
        <f>IF(B109="","",TODAY())</f>
        <v/>
      </c>
      <c r="G109" s="30" t="n"/>
      <c r="H109" s="43">
        <f>IFERROR(IF(OR(B109="",E109=""),"",SUMIF(LOANS!$B:$B,B109,LOANS!$D:$D)+E109),"")</f>
        <v/>
      </c>
      <c r="I109" s="43">
        <f>IFERROR(IF(OR(B109="",E109=""),"",SUMIF(LOANS!$B:$B,B109,LOANS!$I:$I)+ABS(PMT(IFERROR(VLOOKUP(B109,LOANS!$B:$G,6,0),12)/100/12,IFERROR(VLOOKUP(B109,LOANS!$B:$H,7,0),12),E109))),"")</f>
        <v/>
      </c>
      <c r="J109" s="44">
        <f>IF(B109="","","Active")</f>
        <v/>
      </c>
    </row>
    <row r="110" ht="20" customHeight="1">
      <c r="A110" s="47">
        <f>IF(B110="","","TU"&amp;TEXT(ROW()-2,"0000"))</f>
        <v/>
      </c>
      <c r="B110" s="26" t="n"/>
      <c r="C110" s="48">
        <f>IFERROR(IF(B110="","",VLOOKUP(B110,DATABASE!$A:$B,2,0)),"")</f>
        <v/>
      </c>
      <c r="D110" s="44">
        <f>IFERROR(IF(B110="","",VLOOKUP(B110,LOANS!$B:$A,1,0)),"")</f>
        <v/>
      </c>
      <c r="E110" s="29" t="n"/>
      <c r="F110" s="40">
        <f>IF(B110="","",TODAY())</f>
        <v/>
      </c>
      <c r="G110" s="30" t="n"/>
      <c r="H110" s="43">
        <f>IFERROR(IF(OR(B110="",E110=""),"",SUMIF(LOANS!$B:$B,B110,LOANS!$D:$D)+E110),"")</f>
        <v/>
      </c>
      <c r="I110" s="43">
        <f>IFERROR(IF(OR(B110="",E110=""),"",SUMIF(LOANS!$B:$B,B110,LOANS!$I:$I)+ABS(PMT(IFERROR(VLOOKUP(B110,LOANS!$B:$G,6,0),12)/100/12,IFERROR(VLOOKUP(B110,LOANS!$B:$H,7,0),12),E110))),"")</f>
        <v/>
      </c>
      <c r="J110" s="44">
        <f>IF(B110="","","Active")</f>
        <v/>
      </c>
    </row>
    <row r="111" ht="20" customHeight="1">
      <c r="A111" s="47">
        <f>IF(B111="","","TU"&amp;TEXT(ROW()-2,"0000"))</f>
        <v/>
      </c>
      <c r="B111" s="26" t="n"/>
      <c r="C111" s="48">
        <f>IFERROR(IF(B111="","",VLOOKUP(B111,DATABASE!$A:$B,2,0)),"")</f>
        <v/>
      </c>
      <c r="D111" s="44">
        <f>IFERROR(IF(B111="","",VLOOKUP(B111,LOANS!$B:$A,1,0)),"")</f>
        <v/>
      </c>
      <c r="E111" s="29" t="n"/>
      <c r="F111" s="40">
        <f>IF(B111="","",TODAY())</f>
        <v/>
      </c>
      <c r="G111" s="30" t="n"/>
      <c r="H111" s="43">
        <f>IFERROR(IF(OR(B111="",E111=""),"",SUMIF(LOANS!$B:$B,B111,LOANS!$D:$D)+E111),"")</f>
        <v/>
      </c>
      <c r="I111" s="43">
        <f>IFERROR(IF(OR(B111="",E111=""),"",SUMIF(LOANS!$B:$B,B111,LOANS!$I:$I)+ABS(PMT(IFERROR(VLOOKUP(B111,LOANS!$B:$G,6,0),12)/100/12,IFERROR(VLOOKUP(B111,LOANS!$B:$H,7,0),12),E111))),"")</f>
        <v/>
      </c>
      <c r="J111" s="44">
        <f>IF(B111="","","Active")</f>
        <v/>
      </c>
    </row>
    <row r="112" ht="20" customHeight="1">
      <c r="A112" s="47">
        <f>IF(B112="","","TU"&amp;TEXT(ROW()-2,"0000"))</f>
        <v/>
      </c>
      <c r="B112" s="26" t="n"/>
      <c r="C112" s="48">
        <f>IFERROR(IF(B112="","",VLOOKUP(B112,DATABASE!$A:$B,2,0)),"")</f>
        <v/>
      </c>
      <c r="D112" s="44">
        <f>IFERROR(IF(B112="","",VLOOKUP(B112,LOANS!$B:$A,1,0)),"")</f>
        <v/>
      </c>
      <c r="E112" s="29" t="n"/>
      <c r="F112" s="40">
        <f>IF(B112="","",TODAY())</f>
        <v/>
      </c>
      <c r="G112" s="30" t="n"/>
      <c r="H112" s="43">
        <f>IFERROR(IF(OR(B112="",E112=""),"",SUMIF(LOANS!$B:$B,B112,LOANS!$D:$D)+E112),"")</f>
        <v/>
      </c>
      <c r="I112" s="43">
        <f>IFERROR(IF(OR(B112="",E112=""),"",SUMIF(LOANS!$B:$B,B112,LOANS!$I:$I)+ABS(PMT(IFERROR(VLOOKUP(B112,LOANS!$B:$G,6,0),12)/100/12,IFERROR(VLOOKUP(B112,LOANS!$B:$H,7,0),12),E112))),"")</f>
        <v/>
      </c>
      <c r="J112" s="44">
        <f>IF(B112="","","Active")</f>
        <v/>
      </c>
    </row>
    <row r="113" ht="20" customHeight="1">
      <c r="A113" s="47">
        <f>IF(B113="","","TU"&amp;TEXT(ROW()-2,"0000"))</f>
        <v/>
      </c>
      <c r="B113" s="26" t="n"/>
      <c r="C113" s="48">
        <f>IFERROR(IF(B113="","",VLOOKUP(B113,DATABASE!$A:$B,2,0)),"")</f>
        <v/>
      </c>
      <c r="D113" s="44">
        <f>IFERROR(IF(B113="","",VLOOKUP(B113,LOANS!$B:$A,1,0)),"")</f>
        <v/>
      </c>
      <c r="E113" s="29" t="n"/>
      <c r="F113" s="40">
        <f>IF(B113="","",TODAY())</f>
        <v/>
      </c>
      <c r="G113" s="30" t="n"/>
      <c r="H113" s="43">
        <f>IFERROR(IF(OR(B113="",E113=""),"",SUMIF(LOANS!$B:$B,B113,LOANS!$D:$D)+E113),"")</f>
        <v/>
      </c>
      <c r="I113" s="43">
        <f>IFERROR(IF(OR(B113="",E113=""),"",SUMIF(LOANS!$B:$B,B113,LOANS!$I:$I)+ABS(PMT(IFERROR(VLOOKUP(B113,LOANS!$B:$G,6,0),12)/100/12,IFERROR(VLOOKUP(B113,LOANS!$B:$H,7,0),12),E113))),"")</f>
        <v/>
      </c>
      <c r="J113" s="44">
        <f>IF(B113="","","Active")</f>
        <v/>
      </c>
    </row>
    <row r="114" ht="20" customHeight="1">
      <c r="A114" s="47">
        <f>IF(B114="","","TU"&amp;TEXT(ROW()-2,"0000"))</f>
        <v/>
      </c>
      <c r="B114" s="26" t="n"/>
      <c r="C114" s="48">
        <f>IFERROR(IF(B114="","",VLOOKUP(B114,DATABASE!$A:$B,2,0)),"")</f>
        <v/>
      </c>
      <c r="D114" s="44">
        <f>IFERROR(IF(B114="","",VLOOKUP(B114,LOANS!$B:$A,1,0)),"")</f>
        <v/>
      </c>
      <c r="E114" s="29" t="n"/>
      <c r="F114" s="40">
        <f>IF(B114="","",TODAY())</f>
        <v/>
      </c>
      <c r="G114" s="30" t="n"/>
      <c r="H114" s="43">
        <f>IFERROR(IF(OR(B114="",E114=""),"",SUMIF(LOANS!$B:$B,B114,LOANS!$D:$D)+E114),"")</f>
        <v/>
      </c>
      <c r="I114" s="43">
        <f>IFERROR(IF(OR(B114="",E114=""),"",SUMIF(LOANS!$B:$B,B114,LOANS!$I:$I)+ABS(PMT(IFERROR(VLOOKUP(B114,LOANS!$B:$G,6,0),12)/100/12,IFERROR(VLOOKUP(B114,LOANS!$B:$H,7,0),12),E114))),"")</f>
        <v/>
      </c>
      <c r="J114" s="44">
        <f>IF(B114="","","Active")</f>
        <v/>
      </c>
    </row>
    <row r="115" ht="20" customHeight="1">
      <c r="A115" s="47">
        <f>IF(B115="","","TU"&amp;TEXT(ROW()-2,"0000"))</f>
        <v/>
      </c>
      <c r="B115" s="26" t="n"/>
      <c r="C115" s="48">
        <f>IFERROR(IF(B115="","",VLOOKUP(B115,DATABASE!$A:$B,2,0)),"")</f>
        <v/>
      </c>
      <c r="D115" s="44">
        <f>IFERROR(IF(B115="","",VLOOKUP(B115,LOANS!$B:$A,1,0)),"")</f>
        <v/>
      </c>
      <c r="E115" s="29" t="n"/>
      <c r="F115" s="40">
        <f>IF(B115="","",TODAY())</f>
        <v/>
      </c>
      <c r="G115" s="30" t="n"/>
      <c r="H115" s="43">
        <f>IFERROR(IF(OR(B115="",E115=""),"",SUMIF(LOANS!$B:$B,B115,LOANS!$D:$D)+E115),"")</f>
        <v/>
      </c>
      <c r="I115" s="43">
        <f>IFERROR(IF(OR(B115="",E115=""),"",SUMIF(LOANS!$B:$B,B115,LOANS!$I:$I)+ABS(PMT(IFERROR(VLOOKUP(B115,LOANS!$B:$G,6,0),12)/100/12,IFERROR(VLOOKUP(B115,LOANS!$B:$H,7,0),12),E115))),"")</f>
        <v/>
      </c>
      <c r="J115" s="44">
        <f>IF(B115="","","Active")</f>
        <v/>
      </c>
    </row>
    <row r="116" ht="20" customHeight="1">
      <c r="A116" s="47">
        <f>IF(B116="","","TU"&amp;TEXT(ROW()-2,"0000"))</f>
        <v/>
      </c>
      <c r="B116" s="26" t="n"/>
      <c r="C116" s="48">
        <f>IFERROR(IF(B116="","",VLOOKUP(B116,DATABASE!$A:$B,2,0)),"")</f>
        <v/>
      </c>
      <c r="D116" s="44">
        <f>IFERROR(IF(B116="","",VLOOKUP(B116,LOANS!$B:$A,1,0)),"")</f>
        <v/>
      </c>
      <c r="E116" s="29" t="n"/>
      <c r="F116" s="40">
        <f>IF(B116="","",TODAY())</f>
        <v/>
      </c>
      <c r="G116" s="30" t="n"/>
      <c r="H116" s="43">
        <f>IFERROR(IF(OR(B116="",E116=""),"",SUMIF(LOANS!$B:$B,B116,LOANS!$D:$D)+E116),"")</f>
        <v/>
      </c>
      <c r="I116" s="43">
        <f>IFERROR(IF(OR(B116="",E116=""),"",SUMIF(LOANS!$B:$B,B116,LOANS!$I:$I)+ABS(PMT(IFERROR(VLOOKUP(B116,LOANS!$B:$G,6,0),12)/100/12,IFERROR(VLOOKUP(B116,LOANS!$B:$H,7,0),12),E116))),"")</f>
        <v/>
      </c>
      <c r="J116" s="44">
        <f>IF(B116="","","Active")</f>
        <v/>
      </c>
    </row>
    <row r="117" ht="20" customHeight="1">
      <c r="A117" s="47">
        <f>IF(B117="","","TU"&amp;TEXT(ROW()-2,"0000"))</f>
        <v/>
      </c>
      <c r="B117" s="26" t="n"/>
      <c r="C117" s="48">
        <f>IFERROR(IF(B117="","",VLOOKUP(B117,DATABASE!$A:$B,2,0)),"")</f>
        <v/>
      </c>
      <c r="D117" s="44">
        <f>IFERROR(IF(B117="","",VLOOKUP(B117,LOANS!$B:$A,1,0)),"")</f>
        <v/>
      </c>
      <c r="E117" s="29" t="n"/>
      <c r="F117" s="40">
        <f>IF(B117="","",TODAY())</f>
        <v/>
      </c>
      <c r="G117" s="30" t="n"/>
      <c r="H117" s="43">
        <f>IFERROR(IF(OR(B117="",E117=""),"",SUMIF(LOANS!$B:$B,B117,LOANS!$D:$D)+E117),"")</f>
        <v/>
      </c>
      <c r="I117" s="43">
        <f>IFERROR(IF(OR(B117="",E117=""),"",SUMIF(LOANS!$B:$B,B117,LOANS!$I:$I)+ABS(PMT(IFERROR(VLOOKUP(B117,LOANS!$B:$G,6,0),12)/100/12,IFERROR(VLOOKUP(B117,LOANS!$B:$H,7,0),12),E117))),"")</f>
        <v/>
      </c>
      <c r="J117" s="44">
        <f>IF(B117="","","Active")</f>
        <v/>
      </c>
    </row>
    <row r="118" ht="20" customHeight="1">
      <c r="A118" s="47">
        <f>IF(B118="","","TU"&amp;TEXT(ROW()-2,"0000"))</f>
        <v/>
      </c>
      <c r="B118" s="26" t="n"/>
      <c r="C118" s="48">
        <f>IFERROR(IF(B118="","",VLOOKUP(B118,DATABASE!$A:$B,2,0)),"")</f>
        <v/>
      </c>
      <c r="D118" s="44">
        <f>IFERROR(IF(B118="","",VLOOKUP(B118,LOANS!$B:$A,1,0)),"")</f>
        <v/>
      </c>
      <c r="E118" s="29" t="n"/>
      <c r="F118" s="40">
        <f>IF(B118="","",TODAY())</f>
        <v/>
      </c>
      <c r="G118" s="30" t="n"/>
      <c r="H118" s="43">
        <f>IFERROR(IF(OR(B118="",E118=""),"",SUMIF(LOANS!$B:$B,B118,LOANS!$D:$D)+E118),"")</f>
        <v/>
      </c>
      <c r="I118" s="43">
        <f>IFERROR(IF(OR(B118="",E118=""),"",SUMIF(LOANS!$B:$B,B118,LOANS!$I:$I)+ABS(PMT(IFERROR(VLOOKUP(B118,LOANS!$B:$G,6,0),12)/100/12,IFERROR(VLOOKUP(B118,LOANS!$B:$H,7,0),12),E118))),"")</f>
        <v/>
      </c>
      <c r="J118" s="44">
        <f>IF(B118="","","Active")</f>
        <v/>
      </c>
    </row>
    <row r="119" ht="20" customHeight="1">
      <c r="A119" s="47">
        <f>IF(B119="","","TU"&amp;TEXT(ROW()-2,"0000"))</f>
        <v/>
      </c>
      <c r="B119" s="26" t="n"/>
      <c r="C119" s="48">
        <f>IFERROR(IF(B119="","",VLOOKUP(B119,DATABASE!$A:$B,2,0)),"")</f>
        <v/>
      </c>
      <c r="D119" s="44">
        <f>IFERROR(IF(B119="","",VLOOKUP(B119,LOANS!$B:$A,1,0)),"")</f>
        <v/>
      </c>
      <c r="E119" s="29" t="n"/>
      <c r="F119" s="40">
        <f>IF(B119="","",TODAY())</f>
        <v/>
      </c>
      <c r="G119" s="30" t="n"/>
      <c r="H119" s="43">
        <f>IFERROR(IF(OR(B119="",E119=""),"",SUMIF(LOANS!$B:$B,B119,LOANS!$D:$D)+E119),"")</f>
        <v/>
      </c>
      <c r="I119" s="43">
        <f>IFERROR(IF(OR(B119="",E119=""),"",SUMIF(LOANS!$B:$B,B119,LOANS!$I:$I)+ABS(PMT(IFERROR(VLOOKUP(B119,LOANS!$B:$G,6,0),12)/100/12,IFERROR(VLOOKUP(B119,LOANS!$B:$H,7,0),12),E119))),"")</f>
        <v/>
      </c>
      <c r="J119" s="44">
        <f>IF(B119="","","Active")</f>
        <v/>
      </c>
    </row>
    <row r="120" ht="20" customHeight="1">
      <c r="A120" s="47">
        <f>IF(B120="","","TU"&amp;TEXT(ROW()-2,"0000"))</f>
        <v/>
      </c>
      <c r="B120" s="26" t="n"/>
      <c r="C120" s="48">
        <f>IFERROR(IF(B120="","",VLOOKUP(B120,DATABASE!$A:$B,2,0)),"")</f>
        <v/>
      </c>
      <c r="D120" s="44">
        <f>IFERROR(IF(B120="","",VLOOKUP(B120,LOANS!$B:$A,1,0)),"")</f>
        <v/>
      </c>
      <c r="E120" s="29" t="n"/>
      <c r="F120" s="40">
        <f>IF(B120="","",TODAY())</f>
        <v/>
      </c>
      <c r="G120" s="30" t="n"/>
      <c r="H120" s="43">
        <f>IFERROR(IF(OR(B120="",E120=""),"",SUMIF(LOANS!$B:$B,B120,LOANS!$D:$D)+E120),"")</f>
        <v/>
      </c>
      <c r="I120" s="43">
        <f>IFERROR(IF(OR(B120="",E120=""),"",SUMIF(LOANS!$B:$B,B120,LOANS!$I:$I)+ABS(PMT(IFERROR(VLOOKUP(B120,LOANS!$B:$G,6,0),12)/100/12,IFERROR(VLOOKUP(B120,LOANS!$B:$H,7,0),12),E120))),"")</f>
        <v/>
      </c>
      <c r="J120" s="44">
        <f>IF(B120="","","Active")</f>
        <v/>
      </c>
    </row>
    <row r="121" ht="20" customHeight="1">
      <c r="A121" s="47">
        <f>IF(B121="","","TU"&amp;TEXT(ROW()-2,"0000"))</f>
        <v/>
      </c>
      <c r="B121" s="26" t="n"/>
      <c r="C121" s="48">
        <f>IFERROR(IF(B121="","",VLOOKUP(B121,DATABASE!$A:$B,2,0)),"")</f>
        <v/>
      </c>
      <c r="D121" s="44">
        <f>IFERROR(IF(B121="","",VLOOKUP(B121,LOANS!$B:$A,1,0)),"")</f>
        <v/>
      </c>
      <c r="E121" s="29" t="n"/>
      <c r="F121" s="40">
        <f>IF(B121="","",TODAY())</f>
        <v/>
      </c>
      <c r="G121" s="30" t="n"/>
      <c r="H121" s="43">
        <f>IFERROR(IF(OR(B121="",E121=""),"",SUMIF(LOANS!$B:$B,B121,LOANS!$D:$D)+E121),"")</f>
        <v/>
      </c>
      <c r="I121" s="43">
        <f>IFERROR(IF(OR(B121="",E121=""),"",SUMIF(LOANS!$B:$B,B121,LOANS!$I:$I)+ABS(PMT(IFERROR(VLOOKUP(B121,LOANS!$B:$G,6,0),12)/100/12,IFERROR(VLOOKUP(B121,LOANS!$B:$H,7,0),12),E121))),"")</f>
        <v/>
      </c>
      <c r="J121" s="44">
        <f>IF(B121="","","Active")</f>
        <v/>
      </c>
    </row>
    <row r="122" ht="20" customHeight="1">
      <c r="A122" s="47">
        <f>IF(B122="","","TU"&amp;TEXT(ROW()-2,"0000"))</f>
        <v/>
      </c>
      <c r="B122" s="26" t="n"/>
      <c r="C122" s="48">
        <f>IFERROR(IF(B122="","",VLOOKUP(B122,DATABASE!$A:$B,2,0)),"")</f>
        <v/>
      </c>
      <c r="D122" s="44">
        <f>IFERROR(IF(B122="","",VLOOKUP(B122,LOANS!$B:$A,1,0)),"")</f>
        <v/>
      </c>
      <c r="E122" s="29" t="n"/>
      <c r="F122" s="40">
        <f>IF(B122="","",TODAY())</f>
        <v/>
      </c>
      <c r="G122" s="30" t="n"/>
      <c r="H122" s="43">
        <f>IFERROR(IF(OR(B122="",E122=""),"",SUMIF(LOANS!$B:$B,B122,LOANS!$D:$D)+E122),"")</f>
        <v/>
      </c>
      <c r="I122" s="43">
        <f>IFERROR(IF(OR(B122="",E122=""),"",SUMIF(LOANS!$B:$B,B122,LOANS!$I:$I)+ABS(PMT(IFERROR(VLOOKUP(B122,LOANS!$B:$G,6,0),12)/100/12,IFERROR(VLOOKUP(B122,LOANS!$B:$H,7,0),12),E122))),"")</f>
        <v/>
      </c>
      <c r="J122" s="44">
        <f>IF(B122="","","Active")</f>
        <v/>
      </c>
    </row>
    <row r="123" ht="20" customHeight="1">
      <c r="A123" s="47">
        <f>IF(B123="","","TU"&amp;TEXT(ROW()-2,"0000"))</f>
        <v/>
      </c>
      <c r="B123" s="26" t="n"/>
      <c r="C123" s="48">
        <f>IFERROR(IF(B123="","",VLOOKUP(B123,DATABASE!$A:$B,2,0)),"")</f>
        <v/>
      </c>
      <c r="D123" s="44">
        <f>IFERROR(IF(B123="","",VLOOKUP(B123,LOANS!$B:$A,1,0)),"")</f>
        <v/>
      </c>
      <c r="E123" s="29" t="n"/>
      <c r="F123" s="40">
        <f>IF(B123="","",TODAY())</f>
        <v/>
      </c>
      <c r="G123" s="30" t="n"/>
      <c r="H123" s="43">
        <f>IFERROR(IF(OR(B123="",E123=""),"",SUMIF(LOANS!$B:$B,B123,LOANS!$D:$D)+E123),"")</f>
        <v/>
      </c>
      <c r="I123" s="43">
        <f>IFERROR(IF(OR(B123="",E123=""),"",SUMIF(LOANS!$B:$B,B123,LOANS!$I:$I)+ABS(PMT(IFERROR(VLOOKUP(B123,LOANS!$B:$G,6,0),12)/100/12,IFERROR(VLOOKUP(B123,LOANS!$B:$H,7,0),12),E123))),"")</f>
        <v/>
      </c>
      <c r="J123" s="44">
        <f>IF(B123="","","Active")</f>
        <v/>
      </c>
    </row>
    <row r="124" ht="20" customHeight="1">
      <c r="A124" s="47">
        <f>IF(B124="","","TU"&amp;TEXT(ROW()-2,"0000"))</f>
        <v/>
      </c>
      <c r="B124" s="26" t="n"/>
      <c r="C124" s="48">
        <f>IFERROR(IF(B124="","",VLOOKUP(B124,DATABASE!$A:$B,2,0)),"")</f>
        <v/>
      </c>
      <c r="D124" s="44">
        <f>IFERROR(IF(B124="","",VLOOKUP(B124,LOANS!$B:$A,1,0)),"")</f>
        <v/>
      </c>
      <c r="E124" s="29" t="n"/>
      <c r="F124" s="40">
        <f>IF(B124="","",TODAY())</f>
        <v/>
      </c>
      <c r="G124" s="30" t="n"/>
      <c r="H124" s="43">
        <f>IFERROR(IF(OR(B124="",E124=""),"",SUMIF(LOANS!$B:$B,B124,LOANS!$D:$D)+E124),"")</f>
        <v/>
      </c>
      <c r="I124" s="43">
        <f>IFERROR(IF(OR(B124="",E124=""),"",SUMIF(LOANS!$B:$B,B124,LOANS!$I:$I)+ABS(PMT(IFERROR(VLOOKUP(B124,LOANS!$B:$G,6,0),12)/100/12,IFERROR(VLOOKUP(B124,LOANS!$B:$H,7,0),12),E124))),"")</f>
        <v/>
      </c>
      <c r="J124" s="44">
        <f>IF(B124="","","Active")</f>
        <v/>
      </c>
    </row>
    <row r="125" ht="20" customHeight="1">
      <c r="A125" s="47">
        <f>IF(B125="","","TU"&amp;TEXT(ROW()-2,"0000"))</f>
        <v/>
      </c>
      <c r="B125" s="26" t="n"/>
      <c r="C125" s="48">
        <f>IFERROR(IF(B125="","",VLOOKUP(B125,DATABASE!$A:$B,2,0)),"")</f>
        <v/>
      </c>
      <c r="D125" s="44">
        <f>IFERROR(IF(B125="","",VLOOKUP(B125,LOANS!$B:$A,1,0)),"")</f>
        <v/>
      </c>
      <c r="E125" s="29" t="n"/>
      <c r="F125" s="40">
        <f>IF(B125="","",TODAY())</f>
        <v/>
      </c>
      <c r="G125" s="30" t="n"/>
      <c r="H125" s="43">
        <f>IFERROR(IF(OR(B125="",E125=""),"",SUMIF(LOANS!$B:$B,B125,LOANS!$D:$D)+E125),"")</f>
        <v/>
      </c>
      <c r="I125" s="43">
        <f>IFERROR(IF(OR(B125="",E125=""),"",SUMIF(LOANS!$B:$B,B125,LOANS!$I:$I)+ABS(PMT(IFERROR(VLOOKUP(B125,LOANS!$B:$G,6,0),12)/100/12,IFERROR(VLOOKUP(B125,LOANS!$B:$H,7,0),12),E125))),"")</f>
        <v/>
      </c>
      <c r="J125" s="44">
        <f>IF(B125="","","Active")</f>
        <v/>
      </c>
    </row>
    <row r="126" ht="20" customHeight="1">
      <c r="A126" s="47">
        <f>IF(B126="","","TU"&amp;TEXT(ROW()-2,"0000"))</f>
        <v/>
      </c>
      <c r="B126" s="26" t="n"/>
      <c r="C126" s="48">
        <f>IFERROR(IF(B126="","",VLOOKUP(B126,DATABASE!$A:$B,2,0)),"")</f>
        <v/>
      </c>
      <c r="D126" s="44">
        <f>IFERROR(IF(B126="","",VLOOKUP(B126,LOANS!$B:$A,1,0)),"")</f>
        <v/>
      </c>
      <c r="E126" s="29" t="n"/>
      <c r="F126" s="40">
        <f>IF(B126="","",TODAY())</f>
        <v/>
      </c>
      <c r="G126" s="30" t="n"/>
      <c r="H126" s="43">
        <f>IFERROR(IF(OR(B126="",E126=""),"",SUMIF(LOANS!$B:$B,B126,LOANS!$D:$D)+E126),"")</f>
        <v/>
      </c>
      <c r="I126" s="43">
        <f>IFERROR(IF(OR(B126="",E126=""),"",SUMIF(LOANS!$B:$B,B126,LOANS!$I:$I)+ABS(PMT(IFERROR(VLOOKUP(B126,LOANS!$B:$G,6,0),12)/100/12,IFERROR(VLOOKUP(B126,LOANS!$B:$H,7,0),12),E126))),"")</f>
        <v/>
      </c>
      <c r="J126" s="44">
        <f>IF(B126="","","Active")</f>
        <v/>
      </c>
    </row>
    <row r="127" ht="20" customHeight="1">
      <c r="A127" s="47">
        <f>IF(B127="","","TU"&amp;TEXT(ROW()-2,"0000"))</f>
        <v/>
      </c>
      <c r="B127" s="26" t="n"/>
      <c r="C127" s="48">
        <f>IFERROR(IF(B127="","",VLOOKUP(B127,DATABASE!$A:$B,2,0)),"")</f>
        <v/>
      </c>
      <c r="D127" s="44">
        <f>IFERROR(IF(B127="","",VLOOKUP(B127,LOANS!$B:$A,1,0)),"")</f>
        <v/>
      </c>
      <c r="E127" s="29" t="n"/>
      <c r="F127" s="40">
        <f>IF(B127="","",TODAY())</f>
        <v/>
      </c>
      <c r="G127" s="30" t="n"/>
      <c r="H127" s="43">
        <f>IFERROR(IF(OR(B127="",E127=""),"",SUMIF(LOANS!$B:$B,B127,LOANS!$D:$D)+E127),"")</f>
        <v/>
      </c>
      <c r="I127" s="43">
        <f>IFERROR(IF(OR(B127="",E127=""),"",SUMIF(LOANS!$B:$B,B127,LOANS!$I:$I)+ABS(PMT(IFERROR(VLOOKUP(B127,LOANS!$B:$G,6,0),12)/100/12,IFERROR(VLOOKUP(B127,LOANS!$B:$H,7,0),12),E127))),"")</f>
        <v/>
      </c>
      <c r="J127" s="44">
        <f>IF(B127="","","Active")</f>
        <v/>
      </c>
    </row>
    <row r="128" ht="20" customHeight="1">
      <c r="A128" s="47">
        <f>IF(B128="","","TU"&amp;TEXT(ROW()-2,"0000"))</f>
        <v/>
      </c>
      <c r="B128" s="26" t="n"/>
      <c r="C128" s="48">
        <f>IFERROR(IF(B128="","",VLOOKUP(B128,DATABASE!$A:$B,2,0)),"")</f>
        <v/>
      </c>
      <c r="D128" s="44">
        <f>IFERROR(IF(B128="","",VLOOKUP(B128,LOANS!$B:$A,1,0)),"")</f>
        <v/>
      </c>
      <c r="E128" s="29" t="n"/>
      <c r="F128" s="40">
        <f>IF(B128="","",TODAY())</f>
        <v/>
      </c>
      <c r="G128" s="30" t="n"/>
      <c r="H128" s="43">
        <f>IFERROR(IF(OR(B128="",E128=""),"",SUMIF(LOANS!$B:$B,B128,LOANS!$D:$D)+E128),"")</f>
        <v/>
      </c>
      <c r="I128" s="43">
        <f>IFERROR(IF(OR(B128="",E128=""),"",SUMIF(LOANS!$B:$B,B128,LOANS!$I:$I)+ABS(PMT(IFERROR(VLOOKUP(B128,LOANS!$B:$G,6,0),12)/100/12,IFERROR(VLOOKUP(B128,LOANS!$B:$H,7,0),12),E128))),"")</f>
        <v/>
      </c>
      <c r="J128" s="44">
        <f>IF(B128="","","Active")</f>
        <v/>
      </c>
    </row>
    <row r="129" ht="20" customHeight="1">
      <c r="A129" s="47">
        <f>IF(B129="","","TU"&amp;TEXT(ROW()-2,"0000"))</f>
        <v/>
      </c>
      <c r="B129" s="26" t="n"/>
      <c r="C129" s="48">
        <f>IFERROR(IF(B129="","",VLOOKUP(B129,DATABASE!$A:$B,2,0)),"")</f>
        <v/>
      </c>
      <c r="D129" s="44">
        <f>IFERROR(IF(B129="","",VLOOKUP(B129,LOANS!$B:$A,1,0)),"")</f>
        <v/>
      </c>
      <c r="E129" s="29" t="n"/>
      <c r="F129" s="40">
        <f>IF(B129="","",TODAY())</f>
        <v/>
      </c>
      <c r="G129" s="30" t="n"/>
      <c r="H129" s="43">
        <f>IFERROR(IF(OR(B129="",E129=""),"",SUMIF(LOANS!$B:$B,B129,LOANS!$D:$D)+E129),"")</f>
        <v/>
      </c>
      <c r="I129" s="43">
        <f>IFERROR(IF(OR(B129="",E129=""),"",SUMIF(LOANS!$B:$B,B129,LOANS!$I:$I)+ABS(PMT(IFERROR(VLOOKUP(B129,LOANS!$B:$G,6,0),12)/100/12,IFERROR(VLOOKUP(B129,LOANS!$B:$H,7,0),12),E129))),"")</f>
        <v/>
      </c>
      <c r="J129" s="44">
        <f>IF(B129="","","Active")</f>
        <v/>
      </c>
    </row>
    <row r="130" ht="20" customHeight="1">
      <c r="A130" s="47">
        <f>IF(B130="","","TU"&amp;TEXT(ROW()-2,"0000"))</f>
        <v/>
      </c>
      <c r="B130" s="26" t="n"/>
      <c r="C130" s="48">
        <f>IFERROR(IF(B130="","",VLOOKUP(B130,DATABASE!$A:$B,2,0)),"")</f>
        <v/>
      </c>
      <c r="D130" s="44">
        <f>IFERROR(IF(B130="","",VLOOKUP(B130,LOANS!$B:$A,1,0)),"")</f>
        <v/>
      </c>
      <c r="E130" s="29" t="n"/>
      <c r="F130" s="40">
        <f>IF(B130="","",TODAY())</f>
        <v/>
      </c>
      <c r="G130" s="30" t="n"/>
      <c r="H130" s="43">
        <f>IFERROR(IF(OR(B130="",E130=""),"",SUMIF(LOANS!$B:$B,B130,LOANS!$D:$D)+E130),"")</f>
        <v/>
      </c>
      <c r="I130" s="43">
        <f>IFERROR(IF(OR(B130="",E130=""),"",SUMIF(LOANS!$B:$B,B130,LOANS!$I:$I)+ABS(PMT(IFERROR(VLOOKUP(B130,LOANS!$B:$G,6,0),12)/100/12,IFERROR(VLOOKUP(B130,LOANS!$B:$H,7,0),12),E130))),"")</f>
        <v/>
      </c>
      <c r="J130" s="44">
        <f>IF(B130="","","Active")</f>
        <v/>
      </c>
    </row>
    <row r="131" ht="20" customHeight="1">
      <c r="A131" s="47">
        <f>IF(B131="","","TU"&amp;TEXT(ROW()-2,"0000"))</f>
        <v/>
      </c>
      <c r="B131" s="26" t="n"/>
      <c r="C131" s="48">
        <f>IFERROR(IF(B131="","",VLOOKUP(B131,DATABASE!$A:$B,2,0)),"")</f>
        <v/>
      </c>
      <c r="D131" s="44">
        <f>IFERROR(IF(B131="","",VLOOKUP(B131,LOANS!$B:$A,1,0)),"")</f>
        <v/>
      </c>
      <c r="E131" s="29" t="n"/>
      <c r="F131" s="40">
        <f>IF(B131="","",TODAY())</f>
        <v/>
      </c>
      <c r="G131" s="30" t="n"/>
      <c r="H131" s="43">
        <f>IFERROR(IF(OR(B131="",E131=""),"",SUMIF(LOANS!$B:$B,B131,LOANS!$D:$D)+E131),"")</f>
        <v/>
      </c>
      <c r="I131" s="43">
        <f>IFERROR(IF(OR(B131="",E131=""),"",SUMIF(LOANS!$B:$B,B131,LOANS!$I:$I)+ABS(PMT(IFERROR(VLOOKUP(B131,LOANS!$B:$G,6,0),12)/100/12,IFERROR(VLOOKUP(B131,LOANS!$B:$H,7,0),12),E131))),"")</f>
        <v/>
      </c>
      <c r="J131" s="44">
        <f>IF(B131="","","Active")</f>
        <v/>
      </c>
    </row>
    <row r="132" ht="20" customHeight="1">
      <c r="A132" s="47">
        <f>IF(B132="","","TU"&amp;TEXT(ROW()-2,"0000"))</f>
        <v/>
      </c>
      <c r="B132" s="26" t="n"/>
      <c r="C132" s="48">
        <f>IFERROR(IF(B132="","",VLOOKUP(B132,DATABASE!$A:$B,2,0)),"")</f>
        <v/>
      </c>
      <c r="D132" s="44">
        <f>IFERROR(IF(B132="","",VLOOKUP(B132,LOANS!$B:$A,1,0)),"")</f>
        <v/>
      </c>
      <c r="E132" s="29" t="n"/>
      <c r="F132" s="40">
        <f>IF(B132="","",TODAY())</f>
        <v/>
      </c>
      <c r="G132" s="30" t="n"/>
      <c r="H132" s="43">
        <f>IFERROR(IF(OR(B132="",E132=""),"",SUMIF(LOANS!$B:$B,B132,LOANS!$D:$D)+E132),"")</f>
        <v/>
      </c>
      <c r="I132" s="43">
        <f>IFERROR(IF(OR(B132="",E132=""),"",SUMIF(LOANS!$B:$B,B132,LOANS!$I:$I)+ABS(PMT(IFERROR(VLOOKUP(B132,LOANS!$B:$G,6,0),12)/100/12,IFERROR(VLOOKUP(B132,LOANS!$B:$H,7,0),12),E132))),"")</f>
        <v/>
      </c>
      <c r="J132" s="44">
        <f>IF(B132="","","Active")</f>
        <v/>
      </c>
    </row>
    <row r="133" ht="20" customHeight="1">
      <c r="A133" s="47">
        <f>IF(B133="","","TU"&amp;TEXT(ROW()-2,"0000"))</f>
        <v/>
      </c>
      <c r="B133" s="26" t="n"/>
      <c r="C133" s="48">
        <f>IFERROR(IF(B133="","",VLOOKUP(B133,DATABASE!$A:$B,2,0)),"")</f>
        <v/>
      </c>
      <c r="D133" s="44">
        <f>IFERROR(IF(B133="","",VLOOKUP(B133,LOANS!$B:$A,1,0)),"")</f>
        <v/>
      </c>
      <c r="E133" s="29" t="n"/>
      <c r="F133" s="40">
        <f>IF(B133="","",TODAY())</f>
        <v/>
      </c>
      <c r="G133" s="30" t="n"/>
      <c r="H133" s="43">
        <f>IFERROR(IF(OR(B133="",E133=""),"",SUMIF(LOANS!$B:$B,B133,LOANS!$D:$D)+E133),"")</f>
        <v/>
      </c>
      <c r="I133" s="43">
        <f>IFERROR(IF(OR(B133="",E133=""),"",SUMIF(LOANS!$B:$B,B133,LOANS!$I:$I)+ABS(PMT(IFERROR(VLOOKUP(B133,LOANS!$B:$G,6,0),12)/100/12,IFERROR(VLOOKUP(B133,LOANS!$B:$H,7,0),12),E133))),"")</f>
        <v/>
      </c>
      <c r="J133" s="44">
        <f>IF(B133="","","Active")</f>
        <v/>
      </c>
    </row>
    <row r="134" ht="20" customHeight="1">
      <c r="A134" s="47">
        <f>IF(B134="","","TU"&amp;TEXT(ROW()-2,"0000"))</f>
        <v/>
      </c>
      <c r="B134" s="26" t="n"/>
      <c r="C134" s="48">
        <f>IFERROR(IF(B134="","",VLOOKUP(B134,DATABASE!$A:$B,2,0)),"")</f>
        <v/>
      </c>
      <c r="D134" s="44">
        <f>IFERROR(IF(B134="","",VLOOKUP(B134,LOANS!$B:$A,1,0)),"")</f>
        <v/>
      </c>
      <c r="E134" s="29" t="n"/>
      <c r="F134" s="40">
        <f>IF(B134="","",TODAY())</f>
        <v/>
      </c>
      <c r="G134" s="30" t="n"/>
      <c r="H134" s="43">
        <f>IFERROR(IF(OR(B134="",E134=""),"",SUMIF(LOANS!$B:$B,B134,LOANS!$D:$D)+E134),"")</f>
        <v/>
      </c>
      <c r="I134" s="43">
        <f>IFERROR(IF(OR(B134="",E134=""),"",SUMIF(LOANS!$B:$B,B134,LOANS!$I:$I)+ABS(PMT(IFERROR(VLOOKUP(B134,LOANS!$B:$G,6,0),12)/100/12,IFERROR(VLOOKUP(B134,LOANS!$B:$H,7,0),12),E134))),"")</f>
        <v/>
      </c>
      <c r="J134" s="44">
        <f>IF(B134="","","Active")</f>
        <v/>
      </c>
    </row>
    <row r="135" ht="20" customHeight="1">
      <c r="A135" s="47">
        <f>IF(B135="","","TU"&amp;TEXT(ROW()-2,"0000"))</f>
        <v/>
      </c>
      <c r="B135" s="26" t="n"/>
      <c r="C135" s="48">
        <f>IFERROR(IF(B135="","",VLOOKUP(B135,DATABASE!$A:$B,2,0)),"")</f>
        <v/>
      </c>
      <c r="D135" s="44">
        <f>IFERROR(IF(B135="","",VLOOKUP(B135,LOANS!$B:$A,1,0)),"")</f>
        <v/>
      </c>
      <c r="E135" s="29" t="n"/>
      <c r="F135" s="40">
        <f>IF(B135="","",TODAY())</f>
        <v/>
      </c>
      <c r="G135" s="30" t="n"/>
      <c r="H135" s="43">
        <f>IFERROR(IF(OR(B135="",E135=""),"",SUMIF(LOANS!$B:$B,B135,LOANS!$D:$D)+E135),"")</f>
        <v/>
      </c>
      <c r="I135" s="43">
        <f>IFERROR(IF(OR(B135="",E135=""),"",SUMIF(LOANS!$B:$B,B135,LOANS!$I:$I)+ABS(PMT(IFERROR(VLOOKUP(B135,LOANS!$B:$G,6,0),12)/100/12,IFERROR(VLOOKUP(B135,LOANS!$B:$H,7,0),12),E135))),"")</f>
        <v/>
      </c>
      <c r="J135" s="44">
        <f>IF(B135="","","Active")</f>
        <v/>
      </c>
    </row>
    <row r="136" ht="20" customHeight="1">
      <c r="A136" s="47">
        <f>IF(B136="","","TU"&amp;TEXT(ROW()-2,"0000"))</f>
        <v/>
      </c>
      <c r="B136" s="26" t="n"/>
      <c r="C136" s="48">
        <f>IFERROR(IF(B136="","",VLOOKUP(B136,DATABASE!$A:$B,2,0)),"")</f>
        <v/>
      </c>
      <c r="D136" s="44">
        <f>IFERROR(IF(B136="","",VLOOKUP(B136,LOANS!$B:$A,1,0)),"")</f>
        <v/>
      </c>
      <c r="E136" s="29" t="n"/>
      <c r="F136" s="40">
        <f>IF(B136="","",TODAY())</f>
        <v/>
      </c>
      <c r="G136" s="30" t="n"/>
      <c r="H136" s="43">
        <f>IFERROR(IF(OR(B136="",E136=""),"",SUMIF(LOANS!$B:$B,B136,LOANS!$D:$D)+E136),"")</f>
        <v/>
      </c>
      <c r="I136" s="43">
        <f>IFERROR(IF(OR(B136="",E136=""),"",SUMIF(LOANS!$B:$B,B136,LOANS!$I:$I)+ABS(PMT(IFERROR(VLOOKUP(B136,LOANS!$B:$G,6,0),12)/100/12,IFERROR(VLOOKUP(B136,LOANS!$B:$H,7,0),12),E136))),"")</f>
        <v/>
      </c>
      <c r="J136" s="44">
        <f>IF(B136="","","Active")</f>
        <v/>
      </c>
    </row>
    <row r="137" ht="20" customHeight="1">
      <c r="A137" s="47">
        <f>IF(B137="","","TU"&amp;TEXT(ROW()-2,"0000"))</f>
        <v/>
      </c>
      <c r="B137" s="26" t="n"/>
      <c r="C137" s="48">
        <f>IFERROR(IF(B137="","",VLOOKUP(B137,DATABASE!$A:$B,2,0)),"")</f>
        <v/>
      </c>
      <c r="D137" s="44">
        <f>IFERROR(IF(B137="","",VLOOKUP(B137,LOANS!$B:$A,1,0)),"")</f>
        <v/>
      </c>
      <c r="E137" s="29" t="n"/>
      <c r="F137" s="40">
        <f>IF(B137="","",TODAY())</f>
        <v/>
      </c>
      <c r="G137" s="30" t="n"/>
      <c r="H137" s="43">
        <f>IFERROR(IF(OR(B137="",E137=""),"",SUMIF(LOANS!$B:$B,B137,LOANS!$D:$D)+E137),"")</f>
        <v/>
      </c>
      <c r="I137" s="43">
        <f>IFERROR(IF(OR(B137="",E137=""),"",SUMIF(LOANS!$B:$B,B137,LOANS!$I:$I)+ABS(PMT(IFERROR(VLOOKUP(B137,LOANS!$B:$G,6,0),12)/100/12,IFERROR(VLOOKUP(B137,LOANS!$B:$H,7,0),12),E137))),"")</f>
        <v/>
      </c>
      <c r="J137" s="44">
        <f>IF(B137="","","Active")</f>
        <v/>
      </c>
    </row>
    <row r="138" ht="20" customHeight="1">
      <c r="A138" s="47">
        <f>IF(B138="","","TU"&amp;TEXT(ROW()-2,"0000"))</f>
        <v/>
      </c>
      <c r="B138" s="26" t="n"/>
      <c r="C138" s="48">
        <f>IFERROR(IF(B138="","",VLOOKUP(B138,DATABASE!$A:$B,2,0)),"")</f>
        <v/>
      </c>
      <c r="D138" s="44">
        <f>IFERROR(IF(B138="","",VLOOKUP(B138,LOANS!$B:$A,1,0)),"")</f>
        <v/>
      </c>
      <c r="E138" s="29" t="n"/>
      <c r="F138" s="40">
        <f>IF(B138="","",TODAY())</f>
        <v/>
      </c>
      <c r="G138" s="30" t="n"/>
      <c r="H138" s="43">
        <f>IFERROR(IF(OR(B138="",E138=""),"",SUMIF(LOANS!$B:$B,B138,LOANS!$D:$D)+E138),"")</f>
        <v/>
      </c>
      <c r="I138" s="43">
        <f>IFERROR(IF(OR(B138="",E138=""),"",SUMIF(LOANS!$B:$B,B138,LOANS!$I:$I)+ABS(PMT(IFERROR(VLOOKUP(B138,LOANS!$B:$G,6,0),12)/100/12,IFERROR(VLOOKUP(B138,LOANS!$B:$H,7,0),12),E138))),"")</f>
        <v/>
      </c>
      <c r="J138" s="44">
        <f>IF(B138="","","Active")</f>
        <v/>
      </c>
    </row>
    <row r="139" ht="20" customHeight="1">
      <c r="A139" s="47">
        <f>IF(B139="","","TU"&amp;TEXT(ROW()-2,"0000"))</f>
        <v/>
      </c>
      <c r="B139" s="26" t="n"/>
      <c r="C139" s="48">
        <f>IFERROR(IF(B139="","",VLOOKUP(B139,DATABASE!$A:$B,2,0)),"")</f>
        <v/>
      </c>
      <c r="D139" s="44">
        <f>IFERROR(IF(B139="","",VLOOKUP(B139,LOANS!$B:$A,1,0)),"")</f>
        <v/>
      </c>
      <c r="E139" s="29" t="n"/>
      <c r="F139" s="40">
        <f>IF(B139="","",TODAY())</f>
        <v/>
      </c>
      <c r="G139" s="30" t="n"/>
      <c r="H139" s="43">
        <f>IFERROR(IF(OR(B139="",E139=""),"",SUMIF(LOANS!$B:$B,B139,LOANS!$D:$D)+E139),"")</f>
        <v/>
      </c>
      <c r="I139" s="43">
        <f>IFERROR(IF(OR(B139="",E139=""),"",SUMIF(LOANS!$B:$B,B139,LOANS!$I:$I)+ABS(PMT(IFERROR(VLOOKUP(B139,LOANS!$B:$G,6,0),12)/100/12,IFERROR(VLOOKUP(B139,LOANS!$B:$H,7,0),12),E139))),"")</f>
        <v/>
      </c>
      <c r="J139" s="44">
        <f>IF(B139="","","Active")</f>
        <v/>
      </c>
    </row>
    <row r="140" ht="20" customHeight="1">
      <c r="A140" s="47">
        <f>IF(B140="","","TU"&amp;TEXT(ROW()-2,"0000"))</f>
        <v/>
      </c>
      <c r="B140" s="26" t="n"/>
      <c r="C140" s="48">
        <f>IFERROR(IF(B140="","",VLOOKUP(B140,DATABASE!$A:$B,2,0)),"")</f>
        <v/>
      </c>
      <c r="D140" s="44">
        <f>IFERROR(IF(B140="","",VLOOKUP(B140,LOANS!$B:$A,1,0)),"")</f>
        <v/>
      </c>
      <c r="E140" s="29" t="n"/>
      <c r="F140" s="40">
        <f>IF(B140="","",TODAY())</f>
        <v/>
      </c>
      <c r="G140" s="30" t="n"/>
      <c r="H140" s="43">
        <f>IFERROR(IF(OR(B140="",E140=""),"",SUMIF(LOANS!$B:$B,B140,LOANS!$D:$D)+E140),"")</f>
        <v/>
      </c>
      <c r="I140" s="43">
        <f>IFERROR(IF(OR(B140="",E140=""),"",SUMIF(LOANS!$B:$B,B140,LOANS!$I:$I)+ABS(PMT(IFERROR(VLOOKUP(B140,LOANS!$B:$G,6,0),12)/100/12,IFERROR(VLOOKUP(B140,LOANS!$B:$H,7,0),12),E140))),"")</f>
        <v/>
      </c>
      <c r="J140" s="44">
        <f>IF(B140="","","Active")</f>
        <v/>
      </c>
    </row>
    <row r="141" ht="20" customHeight="1">
      <c r="A141" s="47">
        <f>IF(B141="","","TU"&amp;TEXT(ROW()-2,"0000"))</f>
        <v/>
      </c>
      <c r="B141" s="26" t="n"/>
      <c r="C141" s="48">
        <f>IFERROR(IF(B141="","",VLOOKUP(B141,DATABASE!$A:$B,2,0)),"")</f>
        <v/>
      </c>
      <c r="D141" s="44">
        <f>IFERROR(IF(B141="","",VLOOKUP(B141,LOANS!$B:$A,1,0)),"")</f>
        <v/>
      </c>
      <c r="E141" s="29" t="n"/>
      <c r="F141" s="40">
        <f>IF(B141="","",TODAY())</f>
        <v/>
      </c>
      <c r="G141" s="30" t="n"/>
      <c r="H141" s="43">
        <f>IFERROR(IF(OR(B141="",E141=""),"",SUMIF(LOANS!$B:$B,B141,LOANS!$D:$D)+E141),"")</f>
        <v/>
      </c>
      <c r="I141" s="43">
        <f>IFERROR(IF(OR(B141="",E141=""),"",SUMIF(LOANS!$B:$B,B141,LOANS!$I:$I)+ABS(PMT(IFERROR(VLOOKUP(B141,LOANS!$B:$G,6,0),12)/100/12,IFERROR(VLOOKUP(B141,LOANS!$B:$H,7,0),12),E141))),"")</f>
        <v/>
      </c>
      <c r="J141" s="44">
        <f>IF(B141="","","Active")</f>
        <v/>
      </c>
    </row>
    <row r="142" ht="20" customHeight="1">
      <c r="A142" s="47">
        <f>IF(B142="","","TU"&amp;TEXT(ROW()-2,"0000"))</f>
        <v/>
      </c>
      <c r="B142" s="26" t="n"/>
      <c r="C142" s="48">
        <f>IFERROR(IF(B142="","",VLOOKUP(B142,DATABASE!$A:$B,2,0)),"")</f>
        <v/>
      </c>
      <c r="D142" s="44">
        <f>IFERROR(IF(B142="","",VLOOKUP(B142,LOANS!$B:$A,1,0)),"")</f>
        <v/>
      </c>
      <c r="E142" s="29" t="n"/>
      <c r="F142" s="40">
        <f>IF(B142="","",TODAY())</f>
        <v/>
      </c>
      <c r="G142" s="30" t="n"/>
      <c r="H142" s="43">
        <f>IFERROR(IF(OR(B142="",E142=""),"",SUMIF(LOANS!$B:$B,B142,LOANS!$D:$D)+E142),"")</f>
        <v/>
      </c>
      <c r="I142" s="43">
        <f>IFERROR(IF(OR(B142="",E142=""),"",SUMIF(LOANS!$B:$B,B142,LOANS!$I:$I)+ABS(PMT(IFERROR(VLOOKUP(B142,LOANS!$B:$G,6,0),12)/100/12,IFERROR(VLOOKUP(B142,LOANS!$B:$H,7,0),12),E142))),"")</f>
        <v/>
      </c>
      <c r="J142" s="44">
        <f>IF(B142="","","Active")</f>
        <v/>
      </c>
    </row>
    <row r="143" ht="20" customHeight="1">
      <c r="A143" s="47">
        <f>IF(B143="","","TU"&amp;TEXT(ROW()-2,"0000"))</f>
        <v/>
      </c>
      <c r="B143" s="26" t="n"/>
      <c r="C143" s="48">
        <f>IFERROR(IF(B143="","",VLOOKUP(B143,DATABASE!$A:$B,2,0)),"")</f>
        <v/>
      </c>
      <c r="D143" s="44">
        <f>IFERROR(IF(B143="","",VLOOKUP(B143,LOANS!$B:$A,1,0)),"")</f>
        <v/>
      </c>
      <c r="E143" s="29" t="n"/>
      <c r="F143" s="40">
        <f>IF(B143="","",TODAY())</f>
        <v/>
      </c>
      <c r="G143" s="30" t="n"/>
      <c r="H143" s="43">
        <f>IFERROR(IF(OR(B143="",E143=""),"",SUMIF(LOANS!$B:$B,B143,LOANS!$D:$D)+E143),"")</f>
        <v/>
      </c>
      <c r="I143" s="43">
        <f>IFERROR(IF(OR(B143="",E143=""),"",SUMIF(LOANS!$B:$B,B143,LOANS!$I:$I)+ABS(PMT(IFERROR(VLOOKUP(B143,LOANS!$B:$G,6,0),12)/100/12,IFERROR(VLOOKUP(B143,LOANS!$B:$H,7,0),12),E143))),"")</f>
        <v/>
      </c>
      <c r="J143" s="44">
        <f>IF(B143="","","Active")</f>
        <v/>
      </c>
    </row>
    <row r="144" ht="20" customHeight="1">
      <c r="A144" s="47">
        <f>IF(B144="","","TU"&amp;TEXT(ROW()-2,"0000"))</f>
        <v/>
      </c>
      <c r="B144" s="26" t="n"/>
      <c r="C144" s="48">
        <f>IFERROR(IF(B144="","",VLOOKUP(B144,DATABASE!$A:$B,2,0)),"")</f>
        <v/>
      </c>
      <c r="D144" s="44">
        <f>IFERROR(IF(B144="","",VLOOKUP(B144,LOANS!$B:$A,1,0)),"")</f>
        <v/>
      </c>
      <c r="E144" s="29" t="n"/>
      <c r="F144" s="40">
        <f>IF(B144="","",TODAY())</f>
        <v/>
      </c>
      <c r="G144" s="30" t="n"/>
      <c r="H144" s="43">
        <f>IFERROR(IF(OR(B144="",E144=""),"",SUMIF(LOANS!$B:$B,B144,LOANS!$D:$D)+E144),"")</f>
        <v/>
      </c>
      <c r="I144" s="43">
        <f>IFERROR(IF(OR(B144="",E144=""),"",SUMIF(LOANS!$B:$B,B144,LOANS!$I:$I)+ABS(PMT(IFERROR(VLOOKUP(B144,LOANS!$B:$G,6,0),12)/100/12,IFERROR(VLOOKUP(B144,LOANS!$B:$H,7,0),12),E144))),"")</f>
        <v/>
      </c>
      <c r="J144" s="44">
        <f>IF(B144="","","Active")</f>
        <v/>
      </c>
    </row>
    <row r="145" ht="20" customHeight="1">
      <c r="A145" s="47">
        <f>IF(B145="","","TU"&amp;TEXT(ROW()-2,"0000"))</f>
        <v/>
      </c>
      <c r="B145" s="26" t="n"/>
      <c r="C145" s="48">
        <f>IFERROR(IF(B145="","",VLOOKUP(B145,DATABASE!$A:$B,2,0)),"")</f>
        <v/>
      </c>
      <c r="D145" s="44">
        <f>IFERROR(IF(B145="","",VLOOKUP(B145,LOANS!$B:$A,1,0)),"")</f>
        <v/>
      </c>
      <c r="E145" s="29" t="n"/>
      <c r="F145" s="40">
        <f>IF(B145="","",TODAY())</f>
        <v/>
      </c>
      <c r="G145" s="30" t="n"/>
      <c r="H145" s="43">
        <f>IFERROR(IF(OR(B145="",E145=""),"",SUMIF(LOANS!$B:$B,B145,LOANS!$D:$D)+E145),"")</f>
        <v/>
      </c>
      <c r="I145" s="43">
        <f>IFERROR(IF(OR(B145="",E145=""),"",SUMIF(LOANS!$B:$B,B145,LOANS!$I:$I)+ABS(PMT(IFERROR(VLOOKUP(B145,LOANS!$B:$G,6,0),12)/100/12,IFERROR(VLOOKUP(B145,LOANS!$B:$H,7,0),12),E145))),"")</f>
        <v/>
      </c>
      <c r="J145" s="44">
        <f>IF(B145="","","Active")</f>
        <v/>
      </c>
    </row>
    <row r="146" ht="20" customHeight="1">
      <c r="A146" s="47">
        <f>IF(B146="","","TU"&amp;TEXT(ROW()-2,"0000"))</f>
        <v/>
      </c>
      <c r="B146" s="26" t="n"/>
      <c r="C146" s="48">
        <f>IFERROR(IF(B146="","",VLOOKUP(B146,DATABASE!$A:$B,2,0)),"")</f>
        <v/>
      </c>
      <c r="D146" s="44">
        <f>IFERROR(IF(B146="","",VLOOKUP(B146,LOANS!$B:$A,1,0)),"")</f>
        <v/>
      </c>
      <c r="E146" s="29" t="n"/>
      <c r="F146" s="40">
        <f>IF(B146="","",TODAY())</f>
        <v/>
      </c>
      <c r="G146" s="30" t="n"/>
      <c r="H146" s="43">
        <f>IFERROR(IF(OR(B146="",E146=""),"",SUMIF(LOANS!$B:$B,B146,LOANS!$D:$D)+E146),"")</f>
        <v/>
      </c>
      <c r="I146" s="43">
        <f>IFERROR(IF(OR(B146="",E146=""),"",SUMIF(LOANS!$B:$B,B146,LOANS!$I:$I)+ABS(PMT(IFERROR(VLOOKUP(B146,LOANS!$B:$G,6,0),12)/100/12,IFERROR(VLOOKUP(B146,LOANS!$B:$H,7,0),12),E146))),"")</f>
        <v/>
      </c>
      <c r="J146" s="44">
        <f>IF(B146="","","Active")</f>
        <v/>
      </c>
    </row>
    <row r="147" ht="20" customHeight="1">
      <c r="A147" s="47">
        <f>IF(B147="","","TU"&amp;TEXT(ROW()-2,"0000"))</f>
        <v/>
      </c>
      <c r="B147" s="26" t="n"/>
      <c r="C147" s="48">
        <f>IFERROR(IF(B147="","",VLOOKUP(B147,DATABASE!$A:$B,2,0)),"")</f>
        <v/>
      </c>
      <c r="D147" s="44">
        <f>IFERROR(IF(B147="","",VLOOKUP(B147,LOANS!$B:$A,1,0)),"")</f>
        <v/>
      </c>
      <c r="E147" s="29" t="n"/>
      <c r="F147" s="40">
        <f>IF(B147="","",TODAY())</f>
        <v/>
      </c>
      <c r="G147" s="30" t="n"/>
      <c r="H147" s="43">
        <f>IFERROR(IF(OR(B147="",E147=""),"",SUMIF(LOANS!$B:$B,B147,LOANS!$D:$D)+E147),"")</f>
        <v/>
      </c>
      <c r="I147" s="43">
        <f>IFERROR(IF(OR(B147="",E147=""),"",SUMIF(LOANS!$B:$B,B147,LOANS!$I:$I)+ABS(PMT(IFERROR(VLOOKUP(B147,LOANS!$B:$G,6,0),12)/100/12,IFERROR(VLOOKUP(B147,LOANS!$B:$H,7,0),12),E147))),"")</f>
        <v/>
      </c>
      <c r="J147" s="44">
        <f>IF(B147="","","Active")</f>
        <v/>
      </c>
    </row>
    <row r="148" ht="20" customHeight="1">
      <c r="A148" s="47">
        <f>IF(B148="","","TU"&amp;TEXT(ROW()-2,"0000"))</f>
        <v/>
      </c>
      <c r="B148" s="26" t="n"/>
      <c r="C148" s="48">
        <f>IFERROR(IF(B148="","",VLOOKUP(B148,DATABASE!$A:$B,2,0)),"")</f>
        <v/>
      </c>
      <c r="D148" s="44">
        <f>IFERROR(IF(B148="","",VLOOKUP(B148,LOANS!$B:$A,1,0)),"")</f>
        <v/>
      </c>
      <c r="E148" s="29" t="n"/>
      <c r="F148" s="40">
        <f>IF(B148="","",TODAY())</f>
        <v/>
      </c>
      <c r="G148" s="30" t="n"/>
      <c r="H148" s="43">
        <f>IFERROR(IF(OR(B148="",E148=""),"",SUMIF(LOANS!$B:$B,B148,LOANS!$D:$D)+E148),"")</f>
        <v/>
      </c>
      <c r="I148" s="43">
        <f>IFERROR(IF(OR(B148="",E148=""),"",SUMIF(LOANS!$B:$B,B148,LOANS!$I:$I)+ABS(PMT(IFERROR(VLOOKUP(B148,LOANS!$B:$G,6,0),12)/100/12,IFERROR(VLOOKUP(B148,LOANS!$B:$H,7,0),12),E148))),"")</f>
        <v/>
      </c>
      <c r="J148" s="44">
        <f>IF(B148="","","Active")</f>
        <v/>
      </c>
    </row>
    <row r="149" ht="20" customHeight="1">
      <c r="A149" s="47">
        <f>IF(B149="","","TU"&amp;TEXT(ROW()-2,"0000"))</f>
        <v/>
      </c>
      <c r="B149" s="26" t="n"/>
      <c r="C149" s="48">
        <f>IFERROR(IF(B149="","",VLOOKUP(B149,DATABASE!$A:$B,2,0)),"")</f>
        <v/>
      </c>
      <c r="D149" s="44">
        <f>IFERROR(IF(B149="","",VLOOKUP(B149,LOANS!$B:$A,1,0)),"")</f>
        <v/>
      </c>
      <c r="E149" s="29" t="n"/>
      <c r="F149" s="40">
        <f>IF(B149="","",TODAY())</f>
        <v/>
      </c>
      <c r="G149" s="30" t="n"/>
      <c r="H149" s="43">
        <f>IFERROR(IF(OR(B149="",E149=""),"",SUMIF(LOANS!$B:$B,B149,LOANS!$D:$D)+E149),"")</f>
        <v/>
      </c>
      <c r="I149" s="43">
        <f>IFERROR(IF(OR(B149="",E149=""),"",SUMIF(LOANS!$B:$B,B149,LOANS!$I:$I)+ABS(PMT(IFERROR(VLOOKUP(B149,LOANS!$B:$G,6,0),12)/100/12,IFERROR(VLOOKUP(B149,LOANS!$B:$H,7,0),12),E149))),"")</f>
        <v/>
      </c>
      <c r="J149" s="44">
        <f>IF(B149="","","Active")</f>
        <v/>
      </c>
    </row>
    <row r="150" ht="20" customHeight="1">
      <c r="A150" s="47">
        <f>IF(B150="","","TU"&amp;TEXT(ROW()-2,"0000"))</f>
        <v/>
      </c>
      <c r="B150" s="26" t="n"/>
      <c r="C150" s="48">
        <f>IFERROR(IF(B150="","",VLOOKUP(B150,DATABASE!$A:$B,2,0)),"")</f>
        <v/>
      </c>
      <c r="D150" s="44">
        <f>IFERROR(IF(B150="","",VLOOKUP(B150,LOANS!$B:$A,1,0)),"")</f>
        <v/>
      </c>
      <c r="E150" s="29" t="n"/>
      <c r="F150" s="40">
        <f>IF(B150="","",TODAY())</f>
        <v/>
      </c>
      <c r="G150" s="30" t="n"/>
      <c r="H150" s="43">
        <f>IFERROR(IF(OR(B150="",E150=""),"",SUMIF(LOANS!$B:$B,B150,LOANS!$D:$D)+E150),"")</f>
        <v/>
      </c>
      <c r="I150" s="43">
        <f>IFERROR(IF(OR(B150="",E150=""),"",SUMIF(LOANS!$B:$B,B150,LOANS!$I:$I)+ABS(PMT(IFERROR(VLOOKUP(B150,LOANS!$B:$G,6,0),12)/100/12,IFERROR(VLOOKUP(B150,LOANS!$B:$H,7,0),12),E150))),"")</f>
        <v/>
      </c>
      <c r="J150" s="44">
        <f>IF(B150="","","Active")</f>
        <v/>
      </c>
    </row>
    <row r="151" ht="20" customHeight="1">
      <c r="A151" s="47">
        <f>IF(B151="","","TU"&amp;TEXT(ROW()-2,"0000"))</f>
        <v/>
      </c>
      <c r="B151" s="26" t="n"/>
      <c r="C151" s="48">
        <f>IFERROR(IF(B151="","",VLOOKUP(B151,DATABASE!$A:$B,2,0)),"")</f>
        <v/>
      </c>
      <c r="D151" s="44">
        <f>IFERROR(IF(B151="","",VLOOKUP(B151,LOANS!$B:$A,1,0)),"")</f>
        <v/>
      </c>
      <c r="E151" s="29" t="n"/>
      <c r="F151" s="40">
        <f>IF(B151="","",TODAY())</f>
        <v/>
      </c>
      <c r="G151" s="30" t="n"/>
      <c r="H151" s="43">
        <f>IFERROR(IF(OR(B151="",E151=""),"",SUMIF(LOANS!$B:$B,B151,LOANS!$D:$D)+E151),"")</f>
        <v/>
      </c>
      <c r="I151" s="43">
        <f>IFERROR(IF(OR(B151="",E151=""),"",SUMIF(LOANS!$B:$B,B151,LOANS!$I:$I)+ABS(PMT(IFERROR(VLOOKUP(B151,LOANS!$B:$G,6,0),12)/100/12,IFERROR(VLOOKUP(B151,LOANS!$B:$H,7,0),12),E151))),"")</f>
        <v/>
      </c>
      <c r="J151" s="44">
        <f>IF(B151="","","Active")</f>
        <v/>
      </c>
    </row>
    <row r="152" ht="20" customHeight="1">
      <c r="A152" s="47">
        <f>IF(B152="","","TU"&amp;TEXT(ROW()-2,"0000"))</f>
        <v/>
      </c>
      <c r="B152" s="26" t="n"/>
      <c r="C152" s="48">
        <f>IFERROR(IF(B152="","",VLOOKUP(B152,DATABASE!$A:$B,2,0)),"")</f>
        <v/>
      </c>
      <c r="D152" s="44">
        <f>IFERROR(IF(B152="","",VLOOKUP(B152,LOANS!$B:$A,1,0)),"")</f>
        <v/>
      </c>
      <c r="E152" s="29" t="n"/>
      <c r="F152" s="40">
        <f>IF(B152="","",TODAY())</f>
        <v/>
      </c>
      <c r="G152" s="30" t="n"/>
      <c r="H152" s="43">
        <f>IFERROR(IF(OR(B152="",E152=""),"",SUMIF(LOANS!$B:$B,B152,LOANS!$D:$D)+E152),"")</f>
        <v/>
      </c>
      <c r="I152" s="43">
        <f>IFERROR(IF(OR(B152="",E152=""),"",SUMIF(LOANS!$B:$B,B152,LOANS!$I:$I)+ABS(PMT(IFERROR(VLOOKUP(B152,LOANS!$B:$G,6,0),12)/100/12,IFERROR(VLOOKUP(B152,LOANS!$B:$H,7,0),12),E152))),"")</f>
        <v/>
      </c>
      <c r="J152" s="44">
        <f>IF(B152="","","Active")</f>
        <v/>
      </c>
    </row>
    <row r="153" ht="20" customHeight="1">
      <c r="A153" s="47">
        <f>IF(B153="","","TU"&amp;TEXT(ROW()-2,"0000"))</f>
        <v/>
      </c>
      <c r="B153" s="26" t="n"/>
      <c r="C153" s="48">
        <f>IFERROR(IF(B153="","",VLOOKUP(B153,DATABASE!$A:$B,2,0)),"")</f>
        <v/>
      </c>
      <c r="D153" s="44">
        <f>IFERROR(IF(B153="","",VLOOKUP(B153,LOANS!$B:$A,1,0)),"")</f>
        <v/>
      </c>
      <c r="E153" s="29" t="n"/>
      <c r="F153" s="40">
        <f>IF(B153="","",TODAY())</f>
        <v/>
      </c>
      <c r="G153" s="30" t="n"/>
      <c r="H153" s="43">
        <f>IFERROR(IF(OR(B153="",E153=""),"",SUMIF(LOANS!$B:$B,B153,LOANS!$D:$D)+E153),"")</f>
        <v/>
      </c>
      <c r="I153" s="43">
        <f>IFERROR(IF(OR(B153="",E153=""),"",SUMIF(LOANS!$B:$B,B153,LOANS!$I:$I)+ABS(PMT(IFERROR(VLOOKUP(B153,LOANS!$B:$G,6,0),12)/100/12,IFERROR(VLOOKUP(B153,LOANS!$B:$H,7,0),12),E153))),"")</f>
        <v/>
      </c>
      <c r="J153" s="44">
        <f>IF(B153="","","Active")</f>
        <v/>
      </c>
    </row>
    <row r="154" ht="20" customHeight="1">
      <c r="A154" s="47">
        <f>IF(B154="","","TU"&amp;TEXT(ROW()-2,"0000"))</f>
        <v/>
      </c>
      <c r="B154" s="26" t="n"/>
      <c r="C154" s="48">
        <f>IFERROR(IF(B154="","",VLOOKUP(B154,DATABASE!$A:$B,2,0)),"")</f>
        <v/>
      </c>
      <c r="D154" s="44">
        <f>IFERROR(IF(B154="","",VLOOKUP(B154,LOANS!$B:$A,1,0)),"")</f>
        <v/>
      </c>
      <c r="E154" s="29" t="n"/>
      <c r="F154" s="40">
        <f>IF(B154="","",TODAY())</f>
        <v/>
      </c>
      <c r="G154" s="30" t="n"/>
      <c r="H154" s="43">
        <f>IFERROR(IF(OR(B154="",E154=""),"",SUMIF(LOANS!$B:$B,B154,LOANS!$D:$D)+E154),"")</f>
        <v/>
      </c>
      <c r="I154" s="43">
        <f>IFERROR(IF(OR(B154="",E154=""),"",SUMIF(LOANS!$B:$B,B154,LOANS!$I:$I)+ABS(PMT(IFERROR(VLOOKUP(B154,LOANS!$B:$G,6,0),12)/100/12,IFERROR(VLOOKUP(B154,LOANS!$B:$H,7,0),12),E154))),"")</f>
        <v/>
      </c>
      <c r="J154" s="44">
        <f>IF(B154="","","Active")</f>
        <v/>
      </c>
    </row>
    <row r="155" ht="20" customHeight="1">
      <c r="A155" s="47">
        <f>IF(B155="","","TU"&amp;TEXT(ROW()-2,"0000"))</f>
        <v/>
      </c>
      <c r="B155" s="26" t="n"/>
      <c r="C155" s="48">
        <f>IFERROR(IF(B155="","",VLOOKUP(B155,DATABASE!$A:$B,2,0)),"")</f>
        <v/>
      </c>
      <c r="D155" s="44">
        <f>IFERROR(IF(B155="","",VLOOKUP(B155,LOANS!$B:$A,1,0)),"")</f>
        <v/>
      </c>
      <c r="E155" s="29" t="n"/>
      <c r="F155" s="40">
        <f>IF(B155="","",TODAY())</f>
        <v/>
      </c>
      <c r="G155" s="30" t="n"/>
      <c r="H155" s="43">
        <f>IFERROR(IF(OR(B155="",E155=""),"",SUMIF(LOANS!$B:$B,B155,LOANS!$D:$D)+E155),"")</f>
        <v/>
      </c>
      <c r="I155" s="43">
        <f>IFERROR(IF(OR(B155="",E155=""),"",SUMIF(LOANS!$B:$B,B155,LOANS!$I:$I)+ABS(PMT(IFERROR(VLOOKUP(B155,LOANS!$B:$G,6,0),12)/100/12,IFERROR(VLOOKUP(B155,LOANS!$B:$H,7,0),12),E155))),"")</f>
        <v/>
      </c>
      <c r="J155" s="44">
        <f>IF(B155="","","Active")</f>
        <v/>
      </c>
    </row>
    <row r="156" ht="20" customHeight="1">
      <c r="A156" s="47">
        <f>IF(B156="","","TU"&amp;TEXT(ROW()-2,"0000"))</f>
        <v/>
      </c>
      <c r="B156" s="26" t="n"/>
      <c r="C156" s="48">
        <f>IFERROR(IF(B156="","",VLOOKUP(B156,DATABASE!$A:$B,2,0)),"")</f>
        <v/>
      </c>
      <c r="D156" s="44">
        <f>IFERROR(IF(B156="","",VLOOKUP(B156,LOANS!$B:$A,1,0)),"")</f>
        <v/>
      </c>
      <c r="E156" s="29" t="n"/>
      <c r="F156" s="40">
        <f>IF(B156="","",TODAY())</f>
        <v/>
      </c>
      <c r="G156" s="30" t="n"/>
      <c r="H156" s="43">
        <f>IFERROR(IF(OR(B156="",E156=""),"",SUMIF(LOANS!$B:$B,B156,LOANS!$D:$D)+E156),"")</f>
        <v/>
      </c>
      <c r="I156" s="43">
        <f>IFERROR(IF(OR(B156="",E156=""),"",SUMIF(LOANS!$B:$B,B156,LOANS!$I:$I)+ABS(PMT(IFERROR(VLOOKUP(B156,LOANS!$B:$G,6,0),12)/100/12,IFERROR(VLOOKUP(B156,LOANS!$B:$H,7,0),12),E156))),"")</f>
        <v/>
      </c>
      <c r="J156" s="44">
        <f>IF(B156="","","Active")</f>
        <v/>
      </c>
    </row>
    <row r="157" ht="20" customHeight="1">
      <c r="A157" s="47">
        <f>IF(B157="","","TU"&amp;TEXT(ROW()-2,"0000"))</f>
        <v/>
      </c>
      <c r="B157" s="26" t="n"/>
      <c r="C157" s="48">
        <f>IFERROR(IF(B157="","",VLOOKUP(B157,DATABASE!$A:$B,2,0)),"")</f>
        <v/>
      </c>
      <c r="D157" s="44">
        <f>IFERROR(IF(B157="","",VLOOKUP(B157,LOANS!$B:$A,1,0)),"")</f>
        <v/>
      </c>
      <c r="E157" s="29" t="n"/>
      <c r="F157" s="40">
        <f>IF(B157="","",TODAY())</f>
        <v/>
      </c>
      <c r="G157" s="30" t="n"/>
      <c r="H157" s="43">
        <f>IFERROR(IF(OR(B157="",E157=""),"",SUMIF(LOANS!$B:$B,B157,LOANS!$D:$D)+E157),"")</f>
        <v/>
      </c>
      <c r="I157" s="43">
        <f>IFERROR(IF(OR(B157="",E157=""),"",SUMIF(LOANS!$B:$B,B157,LOANS!$I:$I)+ABS(PMT(IFERROR(VLOOKUP(B157,LOANS!$B:$G,6,0),12)/100/12,IFERROR(VLOOKUP(B157,LOANS!$B:$H,7,0),12),E157))),"")</f>
        <v/>
      </c>
      <c r="J157" s="44">
        <f>IF(B157="","","Active")</f>
        <v/>
      </c>
    </row>
    <row r="158" ht="20" customHeight="1">
      <c r="A158" s="47">
        <f>IF(B158="","","TU"&amp;TEXT(ROW()-2,"0000"))</f>
        <v/>
      </c>
      <c r="B158" s="26" t="n"/>
      <c r="C158" s="48">
        <f>IFERROR(IF(B158="","",VLOOKUP(B158,DATABASE!$A:$B,2,0)),"")</f>
        <v/>
      </c>
      <c r="D158" s="44">
        <f>IFERROR(IF(B158="","",VLOOKUP(B158,LOANS!$B:$A,1,0)),"")</f>
        <v/>
      </c>
      <c r="E158" s="29" t="n"/>
      <c r="F158" s="40">
        <f>IF(B158="","",TODAY())</f>
        <v/>
      </c>
      <c r="G158" s="30" t="n"/>
      <c r="H158" s="43">
        <f>IFERROR(IF(OR(B158="",E158=""),"",SUMIF(LOANS!$B:$B,B158,LOANS!$D:$D)+E158),"")</f>
        <v/>
      </c>
      <c r="I158" s="43">
        <f>IFERROR(IF(OR(B158="",E158=""),"",SUMIF(LOANS!$B:$B,B158,LOANS!$I:$I)+ABS(PMT(IFERROR(VLOOKUP(B158,LOANS!$B:$G,6,0),12)/100/12,IFERROR(VLOOKUP(B158,LOANS!$B:$H,7,0),12),E158))),"")</f>
        <v/>
      </c>
      <c r="J158" s="44">
        <f>IF(B158="","","Active")</f>
        <v/>
      </c>
    </row>
    <row r="159" ht="20" customHeight="1">
      <c r="A159" s="47">
        <f>IF(B159="","","TU"&amp;TEXT(ROW()-2,"0000"))</f>
        <v/>
      </c>
      <c r="B159" s="26" t="n"/>
      <c r="C159" s="48">
        <f>IFERROR(IF(B159="","",VLOOKUP(B159,DATABASE!$A:$B,2,0)),"")</f>
        <v/>
      </c>
      <c r="D159" s="44">
        <f>IFERROR(IF(B159="","",VLOOKUP(B159,LOANS!$B:$A,1,0)),"")</f>
        <v/>
      </c>
      <c r="E159" s="29" t="n"/>
      <c r="F159" s="40">
        <f>IF(B159="","",TODAY())</f>
        <v/>
      </c>
      <c r="G159" s="30" t="n"/>
      <c r="H159" s="43">
        <f>IFERROR(IF(OR(B159="",E159=""),"",SUMIF(LOANS!$B:$B,B159,LOANS!$D:$D)+E159),"")</f>
        <v/>
      </c>
      <c r="I159" s="43">
        <f>IFERROR(IF(OR(B159="",E159=""),"",SUMIF(LOANS!$B:$B,B159,LOANS!$I:$I)+ABS(PMT(IFERROR(VLOOKUP(B159,LOANS!$B:$G,6,0),12)/100/12,IFERROR(VLOOKUP(B159,LOANS!$B:$H,7,0),12),E159))),"")</f>
        <v/>
      </c>
      <c r="J159" s="44">
        <f>IF(B159="","","Active")</f>
        <v/>
      </c>
    </row>
    <row r="160" ht="20" customHeight="1">
      <c r="A160" s="47">
        <f>IF(B160="","","TU"&amp;TEXT(ROW()-2,"0000"))</f>
        <v/>
      </c>
      <c r="B160" s="26" t="n"/>
      <c r="C160" s="48">
        <f>IFERROR(IF(B160="","",VLOOKUP(B160,DATABASE!$A:$B,2,0)),"")</f>
        <v/>
      </c>
      <c r="D160" s="44">
        <f>IFERROR(IF(B160="","",VLOOKUP(B160,LOANS!$B:$A,1,0)),"")</f>
        <v/>
      </c>
      <c r="E160" s="29" t="n"/>
      <c r="F160" s="40">
        <f>IF(B160="","",TODAY())</f>
        <v/>
      </c>
      <c r="G160" s="30" t="n"/>
      <c r="H160" s="43">
        <f>IFERROR(IF(OR(B160="",E160=""),"",SUMIF(LOANS!$B:$B,B160,LOANS!$D:$D)+E160),"")</f>
        <v/>
      </c>
      <c r="I160" s="43">
        <f>IFERROR(IF(OR(B160="",E160=""),"",SUMIF(LOANS!$B:$B,B160,LOANS!$I:$I)+ABS(PMT(IFERROR(VLOOKUP(B160,LOANS!$B:$G,6,0),12)/100/12,IFERROR(VLOOKUP(B160,LOANS!$B:$H,7,0),12),E160))),"")</f>
        <v/>
      </c>
      <c r="J160" s="44">
        <f>IF(B160="","","Active")</f>
        <v/>
      </c>
    </row>
    <row r="161" ht="20" customHeight="1">
      <c r="A161" s="47">
        <f>IF(B161="","","TU"&amp;TEXT(ROW()-2,"0000"))</f>
        <v/>
      </c>
      <c r="B161" s="26" t="n"/>
      <c r="C161" s="48">
        <f>IFERROR(IF(B161="","",VLOOKUP(B161,DATABASE!$A:$B,2,0)),"")</f>
        <v/>
      </c>
      <c r="D161" s="44">
        <f>IFERROR(IF(B161="","",VLOOKUP(B161,LOANS!$B:$A,1,0)),"")</f>
        <v/>
      </c>
      <c r="E161" s="29" t="n"/>
      <c r="F161" s="40">
        <f>IF(B161="","",TODAY())</f>
        <v/>
      </c>
      <c r="G161" s="30" t="n"/>
      <c r="H161" s="43">
        <f>IFERROR(IF(OR(B161="",E161=""),"",SUMIF(LOANS!$B:$B,B161,LOANS!$D:$D)+E161),"")</f>
        <v/>
      </c>
      <c r="I161" s="43">
        <f>IFERROR(IF(OR(B161="",E161=""),"",SUMIF(LOANS!$B:$B,B161,LOANS!$I:$I)+ABS(PMT(IFERROR(VLOOKUP(B161,LOANS!$B:$G,6,0),12)/100/12,IFERROR(VLOOKUP(B161,LOANS!$B:$H,7,0),12),E161))),"")</f>
        <v/>
      </c>
      <c r="J161" s="44">
        <f>IF(B161="","","Active")</f>
        <v/>
      </c>
    </row>
    <row r="162" ht="20" customHeight="1">
      <c r="A162" s="47">
        <f>IF(B162="","","TU"&amp;TEXT(ROW()-2,"0000"))</f>
        <v/>
      </c>
      <c r="B162" s="26" t="n"/>
      <c r="C162" s="48">
        <f>IFERROR(IF(B162="","",VLOOKUP(B162,DATABASE!$A:$B,2,0)),"")</f>
        <v/>
      </c>
      <c r="D162" s="44">
        <f>IFERROR(IF(B162="","",VLOOKUP(B162,LOANS!$B:$A,1,0)),"")</f>
        <v/>
      </c>
      <c r="E162" s="29" t="n"/>
      <c r="F162" s="40">
        <f>IF(B162="","",TODAY())</f>
        <v/>
      </c>
      <c r="G162" s="30" t="n"/>
      <c r="H162" s="43">
        <f>IFERROR(IF(OR(B162="",E162=""),"",SUMIF(LOANS!$B:$B,B162,LOANS!$D:$D)+E162),"")</f>
        <v/>
      </c>
      <c r="I162" s="43">
        <f>IFERROR(IF(OR(B162="",E162=""),"",SUMIF(LOANS!$B:$B,B162,LOANS!$I:$I)+ABS(PMT(IFERROR(VLOOKUP(B162,LOANS!$B:$G,6,0),12)/100/12,IFERROR(VLOOKUP(B162,LOANS!$B:$H,7,0),12),E162))),"")</f>
        <v/>
      </c>
      <c r="J162" s="44">
        <f>IF(B162="","","Active")</f>
        <v/>
      </c>
    </row>
    <row r="163" ht="20" customHeight="1">
      <c r="A163" s="47">
        <f>IF(B163="","","TU"&amp;TEXT(ROW()-2,"0000"))</f>
        <v/>
      </c>
      <c r="B163" s="26" t="n"/>
      <c r="C163" s="48">
        <f>IFERROR(IF(B163="","",VLOOKUP(B163,DATABASE!$A:$B,2,0)),"")</f>
        <v/>
      </c>
      <c r="D163" s="44">
        <f>IFERROR(IF(B163="","",VLOOKUP(B163,LOANS!$B:$A,1,0)),"")</f>
        <v/>
      </c>
      <c r="E163" s="29" t="n"/>
      <c r="F163" s="40">
        <f>IF(B163="","",TODAY())</f>
        <v/>
      </c>
      <c r="G163" s="30" t="n"/>
      <c r="H163" s="43">
        <f>IFERROR(IF(OR(B163="",E163=""),"",SUMIF(LOANS!$B:$B,B163,LOANS!$D:$D)+E163),"")</f>
        <v/>
      </c>
      <c r="I163" s="43">
        <f>IFERROR(IF(OR(B163="",E163=""),"",SUMIF(LOANS!$B:$B,B163,LOANS!$I:$I)+ABS(PMT(IFERROR(VLOOKUP(B163,LOANS!$B:$G,6,0),12)/100/12,IFERROR(VLOOKUP(B163,LOANS!$B:$H,7,0),12),E163))),"")</f>
        <v/>
      </c>
      <c r="J163" s="44">
        <f>IF(B163="","","Active")</f>
        <v/>
      </c>
    </row>
    <row r="164" ht="20" customHeight="1">
      <c r="A164" s="47">
        <f>IF(B164="","","TU"&amp;TEXT(ROW()-2,"0000"))</f>
        <v/>
      </c>
      <c r="B164" s="26" t="n"/>
      <c r="C164" s="48">
        <f>IFERROR(IF(B164="","",VLOOKUP(B164,DATABASE!$A:$B,2,0)),"")</f>
        <v/>
      </c>
      <c r="D164" s="44">
        <f>IFERROR(IF(B164="","",VLOOKUP(B164,LOANS!$B:$A,1,0)),"")</f>
        <v/>
      </c>
      <c r="E164" s="29" t="n"/>
      <c r="F164" s="40">
        <f>IF(B164="","",TODAY())</f>
        <v/>
      </c>
      <c r="G164" s="30" t="n"/>
      <c r="H164" s="43">
        <f>IFERROR(IF(OR(B164="",E164=""),"",SUMIF(LOANS!$B:$B,B164,LOANS!$D:$D)+E164),"")</f>
        <v/>
      </c>
      <c r="I164" s="43">
        <f>IFERROR(IF(OR(B164="",E164=""),"",SUMIF(LOANS!$B:$B,B164,LOANS!$I:$I)+ABS(PMT(IFERROR(VLOOKUP(B164,LOANS!$B:$G,6,0),12)/100/12,IFERROR(VLOOKUP(B164,LOANS!$B:$H,7,0),12),E164))),"")</f>
        <v/>
      </c>
      <c r="J164" s="44">
        <f>IF(B164="","","Active")</f>
        <v/>
      </c>
    </row>
    <row r="165" ht="20" customHeight="1">
      <c r="A165" s="47">
        <f>IF(B165="","","TU"&amp;TEXT(ROW()-2,"0000"))</f>
        <v/>
      </c>
      <c r="B165" s="26" t="n"/>
      <c r="C165" s="48">
        <f>IFERROR(IF(B165="","",VLOOKUP(B165,DATABASE!$A:$B,2,0)),"")</f>
        <v/>
      </c>
      <c r="D165" s="44">
        <f>IFERROR(IF(B165="","",VLOOKUP(B165,LOANS!$B:$A,1,0)),"")</f>
        <v/>
      </c>
      <c r="E165" s="29" t="n"/>
      <c r="F165" s="40">
        <f>IF(B165="","",TODAY())</f>
        <v/>
      </c>
      <c r="G165" s="30" t="n"/>
      <c r="H165" s="43">
        <f>IFERROR(IF(OR(B165="",E165=""),"",SUMIF(LOANS!$B:$B,B165,LOANS!$D:$D)+E165),"")</f>
        <v/>
      </c>
      <c r="I165" s="43">
        <f>IFERROR(IF(OR(B165="",E165=""),"",SUMIF(LOANS!$B:$B,B165,LOANS!$I:$I)+ABS(PMT(IFERROR(VLOOKUP(B165,LOANS!$B:$G,6,0),12)/100/12,IFERROR(VLOOKUP(B165,LOANS!$B:$H,7,0),12),E165))),"")</f>
        <v/>
      </c>
      <c r="J165" s="44">
        <f>IF(B165="","","Active")</f>
        <v/>
      </c>
    </row>
    <row r="166" ht="20" customHeight="1">
      <c r="A166" s="47">
        <f>IF(B166="","","TU"&amp;TEXT(ROW()-2,"0000"))</f>
        <v/>
      </c>
      <c r="B166" s="26" t="n"/>
      <c r="C166" s="48">
        <f>IFERROR(IF(B166="","",VLOOKUP(B166,DATABASE!$A:$B,2,0)),"")</f>
        <v/>
      </c>
      <c r="D166" s="44">
        <f>IFERROR(IF(B166="","",VLOOKUP(B166,LOANS!$B:$A,1,0)),"")</f>
        <v/>
      </c>
      <c r="E166" s="29" t="n"/>
      <c r="F166" s="40">
        <f>IF(B166="","",TODAY())</f>
        <v/>
      </c>
      <c r="G166" s="30" t="n"/>
      <c r="H166" s="43">
        <f>IFERROR(IF(OR(B166="",E166=""),"",SUMIF(LOANS!$B:$B,B166,LOANS!$D:$D)+E166),"")</f>
        <v/>
      </c>
      <c r="I166" s="43">
        <f>IFERROR(IF(OR(B166="",E166=""),"",SUMIF(LOANS!$B:$B,B166,LOANS!$I:$I)+ABS(PMT(IFERROR(VLOOKUP(B166,LOANS!$B:$G,6,0),12)/100/12,IFERROR(VLOOKUP(B166,LOANS!$B:$H,7,0),12),E166))),"")</f>
        <v/>
      </c>
      <c r="J166" s="44">
        <f>IF(B166="","","Active")</f>
        <v/>
      </c>
    </row>
    <row r="167" ht="20" customHeight="1">
      <c r="A167" s="47">
        <f>IF(B167="","","TU"&amp;TEXT(ROW()-2,"0000"))</f>
        <v/>
      </c>
      <c r="B167" s="26" t="n"/>
      <c r="C167" s="48">
        <f>IFERROR(IF(B167="","",VLOOKUP(B167,DATABASE!$A:$B,2,0)),"")</f>
        <v/>
      </c>
      <c r="D167" s="44">
        <f>IFERROR(IF(B167="","",VLOOKUP(B167,LOANS!$B:$A,1,0)),"")</f>
        <v/>
      </c>
      <c r="E167" s="29" t="n"/>
      <c r="F167" s="40">
        <f>IF(B167="","",TODAY())</f>
        <v/>
      </c>
      <c r="G167" s="30" t="n"/>
      <c r="H167" s="43">
        <f>IFERROR(IF(OR(B167="",E167=""),"",SUMIF(LOANS!$B:$B,B167,LOANS!$D:$D)+E167),"")</f>
        <v/>
      </c>
      <c r="I167" s="43">
        <f>IFERROR(IF(OR(B167="",E167=""),"",SUMIF(LOANS!$B:$B,B167,LOANS!$I:$I)+ABS(PMT(IFERROR(VLOOKUP(B167,LOANS!$B:$G,6,0),12)/100/12,IFERROR(VLOOKUP(B167,LOANS!$B:$H,7,0),12),E167))),"")</f>
        <v/>
      </c>
      <c r="J167" s="44">
        <f>IF(B167="","","Active")</f>
        <v/>
      </c>
    </row>
    <row r="168" ht="20" customHeight="1">
      <c r="A168" s="47">
        <f>IF(B168="","","TU"&amp;TEXT(ROW()-2,"0000"))</f>
        <v/>
      </c>
      <c r="B168" s="26" t="n"/>
      <c r="C168" s="48">
        <f>IFERROR(IF(B168="","",VLOOKUP(B168,DATABASE!$A:$B,2,0)),"")</f>
        <v/>
      </c>
      <c r="D168" s="44">
        <f>IFERROR(IF(B168="","",VLOOKUP(B168,LOANS!$B:$A,1,0)),"")</f>
        <v/>
      </c>
      <c r="E168" s="29" t="n"/>
      <c r="F168" s="40">
        <f>IF(B168="","",TODAY())</f>
        <v/>
      </c>
      <c r="G168" s="30" t="n"/>
      <c r="H168" s="43">
        <f>IFERROR(IF(OR(B168="",E168=""),"",SUMIF(LOANS!$B:$B,B168,LOANS!$D:$D)+E168),"")</f>
        <v/>
      </c>
      <c r="I168" s="43">
        <f>IFERROR(IF(OR(B168="",E168=""),"",SUMIF(LOANS!$B:$B,B168,LOANS!$I:$I)+ABS(PMT(IFERROR(VLOOKUP(B168,LOANS!$B:$G,6,0),12)/100/12,IFERROR(VLOOKUP(B168,LOANS!$B:$H,7,0),12),E168))),"")</f>
        <v/>
      </c>
      <c r="J168" s="44">
        <f>IF(B168="","","Active")</f>
        <v/>
      </c>
    </row>
    <row r="169" ht="20" customHeight="1">
      <c r="A169" s="47">
        <f>IF(B169="","","TU"&amp;TEXT(ROW()-2,"0000"))</f>
        <v/>
      </c>
      <c r="B169" s="26" t="n"/>
      <c r="C169" s="48">
        <f>IFERROR(IF(B169="","",VLOOKUP(B169,DATABASE!$A:$B,2,0)),"")</f>
        <v/>
      </c>
      <c r="D169" s="44">
        <f>IFERROR(IF(B169="","",VLOOKUP(B169,LOANS!$B:$A,1,0)),"")</f>
        <v/>
      </c>
      <c r="E169" s="29" t="n"/>
      <c r="F169" s="40">
        <f>IF(B169="","",TODAY())</f>
        <v/>
      </c>
      <c r="G169" s="30" t="n"/>
      <c r="H169" s="43">
        <f>IFERROR(IF(OR(B169="",E169=""),"",SUMIF(LOANS!$B:$B,B169,LOANS!$D:$D)+E169),"")</f>
        <v/>
      </c>
      <c r="I169" s="43">
        <f>IFERROR(IF(OR(B169="",E169=""),"",SUMIF(LOANS!$B:$B,B169,LOANS!$I:$I)+ABS(PMT(IFERROR(VLOOKUP(B169,LOANS!$B:$G,6,0),12)/100/12,IFERROR(VLOOKUP(B169,LOANS!$B:$H,7,0),12),E169))),"")</f>
        <v/>
      </c>
      <c r="J169" s="44">
        <f>IF(B169="","","Active")</f>
        <v/>
      </c>
    </row>
    <row r="170" ht="20" customHeight="1">
      <c r="A170" s="47">
        <f>IF(B170="","","TU"&amp;TEXT(ROW()-2,"0000"))</f>
        <v/>
      </c>
      <c r="B170" s="26" t="n"/>
      <c r="C170" s="48">
        <f>IFERROR(IF(B170="","",VLOOKUP(B170,DATABASE!$A:$B,2,0)),"")</f>
        <v/>
      </c>
      <c r="D170" s="44">
        <f>IFERROR(IF(B170="","",VLOOKUP(B170,LOANS!$B:$A,1,0)),"")</f>
        <v/>
      </c>
      <c r="E170" s="29" t="n"/>
      <c r="F170" s="40">
        <f>IF(B170="","",TODAY())</f>
        <v/>
      </c>
      <c r="G170" s="30" t="n"/>
      <c r="H170" s="43">
        <f>IFERROR(IF(OR(B170="",E170=""),"",SUMIF(LOANS!$B:$B,B170,LOANS!$D:$D)+E170),"")</f>
        <v/>
      </c>
      <c r="I170" s="43">
        <f>IFERROR(IF(OR(B170="",E170=""),"",SUMIF(LOANS!$B:$B,B170,LOANS!$I:$I)+ABS(PMT(IFERROR(VLOOKUP(B170,LOANS!$B:$G,6,0),12)/100/12,IFERROR(VLOOKUP(B170,LOANS!$B:$H,7,0),12),E170))),"")</f>
        <v/>
      </c>
      <c r="J170" s="44">
        <f>IF(B170="","","Active")</f>
        <v/>
      </c>
    </row>
    <row r="171" ht="20" customHeight="1">
      <c r="A171" s="47">
        <f>IF(B171="","","TU"&amp;TEXT(ROW()-2,"0000"))</f>
        <v/>
      </c>
      <c r="B171" s="26" t="n"/>
      <c r="C171" s="48">
        <f>IFERROR(IF(B171="","",VLOOKUP(B171,DATABASE!$A:$B,2,0)),"")</f>
        <v/>
      </c>
      <c r="D171" s="44">
        <f>IFERROR(IF(B171="","",VLOOKUP(B171,LOANS!$B:$A,1,0)),"")</f>
        <v/>
      </c>
      <c r="E171" s="29" t="n"/>
      <c r="F171" s="40">
        <f>IF(B171="","",TODAY())</f>
        <v/>
      </c>
      <c r="G171" s="30" t="n"/>
      <c r="H171" s="43">
        <f>IFERROR(IF(OR(B171="",E171=""),"",SUMIF(LOANS!$B:$B,B171,LOANS!$D:$D)+E171),"")</f>
        <v/>
      </c>
      <c r="I171" s="43">
        <f>IFERROR(IF(OR(B171="",E171=""),"",SUMIF(LOANS!$B:$B,B171,LOANS!$I:$I)+ABS(PMT(IFERROR(VLOOKUP(B171,LOANS!$B:$G,6,0),12)/100/12,IFERROR(VLOOKUP(B171,LOANS!$B:$H,7,0),12),E171))),"")</f>
        <v/>
      </c>
      <c r="J171" s="44">
        <f>IF(B171="","","Active")</f>
        <v/>
      </c>
    </row>
    <row r="172" ht="20" customHeight="1">
      <c r="A172" s="47">
        <f>IF(B172="","","TU"&amp;TEXT(ROW()-2,"0000"))</f>
        <v/>
      </c>
      <c r="B172" s="26" t="n"/>
      <c r="C172" s="48">
        <f>IFERROR(IF(B172="","",VLOOKUP(B172,DATABASE!$A:$B,2,0)),"")</f>
        <v/>
      </c>
      <c r="D172" s="44">
        <f>IFERROR(IF(B172="","",VLOOKUP(B172,LOANS!$B:$A,1,0)),"")</f>
        <v/>
      </c>
      <c r="E172" s="29" t="n"/>
      <c r="F172" s="40">
        <f>IF(B172="","",TODAY())</f>
        <v/>
      </c>
      <c r="G172" s="30" t="n"/>
      <c r="H172" s="43">
        <f>IFERROR(IF(OR(B172="",E172=""),"",SUMIF(LOANS!$B:$B,B172,LOANS!$D:$D)+E172),"")</f>
        <v/>
      </c>
      <c r="I172" s="43">
        <f>IFERROR(IF(OR(B172="",E172=""),"",SUMIF(LOANS!$B:$B,B172,LOANS!$I:$I)+ABS(PMT(IFERROR(VLOOKUP(B172,LOANS!$B:$G,6,0),12)/100/12,IFERROR(VLOOKUP(B172,LOANS!$B:$H,7,0),12),E172))),"")</f>
        <v/>
      </c>
      <c r="J172" s="44">
        <f>IF(B172="","","Active")</f>
        <v/>
      </c>
    </row>
    <row r="173" ht="20" customHeight="1">
      <c r="A173" s="47">
        <f>IF(B173="","","TU"&amp;TEXT(ROW()-2,"0000"))</f>
        <v/>
      </c>
      <c r="B173" s="26" t="n"/>
      <c r="C173" s="48">
        <f>IFERROR(IF(B173="","",VLOOKUP(B173,DATABASE!$A:$B,2,0)),"")</f>
        <v/>
      </c>
      <c r="D173" s="44">
        <f>IFERROR(IF(B173="","",VLOOKUP(B173,LOANS!$B:$A,1,0)),"")</f>
        <v/>
      </c>
      <c r="E173" s="29" t="n"/>
      <c r="F173" s="40">
        <f>IF(B173="","",TODAY())</f>
        <v/>
      </c>
      <c r="G173" s="30" t="n"/>
      <c r="H173" s="43">
        <f>IFERROR(IF(OR(B173="",E173=""),"",SUMIF(LOANS!$B:$B,B173,LOANS!$D:$D)+E173),"")</f>
        <v/>
      </c>
      <c r="I173" s="43">
        <f>IFERROR(IF(OR(B173="",E173=""),"",SUMIF(LOANS!$B:$B,B173,LOANS!$I:$I)+ABS(PMT(IFERROR(VLOOKUP(B173,LOANS!$B:$G,6,0),12)/100/12,IFERROR(VLOOKUP(B173,LOANS!$B:$H,7,0),12),E173))),"")</f>
        <v/>
      </c>
      <c r="J173" s="44">
        <f>IF(B173="","","Active")</f>
        <v/>
      </c>
    </row>
    <row r="174" ht="20" customHeight="1">
      <c r="A174" s="47">
        <f>IF(B174="","","TU"&amp;TEXT(ROW()-2,"0000"))</f>
        <v/>
      </c>
      <c r="B174" s="26" t="n"/>
      <c r="C174" s="48">
        <f>IFERROR(IF(B174="","",VLOOKUP(B174,DATABASE!$A:$B,2,0)),"")</f>
        <v/>
      </c>
      <c r="D174" s="44">
        <f>IFERROR(IF(B174="","",VLOOKUP(B174,LOANS!$B:$A,1,0)),"")</f>
        <v/>
      </c>
      <c r="E174" s="29" t="n"/>
      <c r="F174" s="40">
        <f>IF(B174="","",TODAY())</f>
        <v/>
      </c>
      <c r="G174" s="30" t="n"/>
      <c r="H174" s="43">
        <f>IFERROR(IF(OR(B174="",E174=""),"",SUMIF(LOANS!$B:$B,B174,LOANS!$D:$D)+E174),"")</f>
        <v/>
      </c>
      <c r="I174" s="43">
        <f>IFERROR(IF(OR(B174="",E174=""),"",SUMIF(LOANS!$B:$B,B174,LOANS!$I:$I)+ABS(PMT(IFERROR(VLOOKUP(B174,LOANS!$B:$G,6,0),12)/100/12,IFERROR(VLOOKUP(B174,LOANS!$B:$H,7,0),12),E174))),"")</f>
        <v/>
      </c>
      <c r="J174" s="44">
        <f>IF(B174="","","Active")</f>
        <v/>
      </c>
    </row>
    <row r="175" ht="20" customHeight="1">
      <c r="A175" s="47">
        <f>IF(B175="","","TU"&amp;TEXT(ROW()-2,"0000"))</f>
        <v/>
      </c>
      <c r="B175" s="26" t="n"/>
      <c r="C175" s="48">
        <f>IFERROR(IF(B175="","",VLOOKUP(B175,DATABASE!$A:$B,2,0)),"")</f>
        <v/>
      </c>
      <c r="D175" s="44">
        <f>IFERROR(IF(B175="","",VLOOKUP(B175,LOANS!$B:$A,1,0)),"")</f>
        <v/>
      </c>
      <c r="E175" s="29" t="n"/>
      <c r="F175" s="40">
        <f>IF(B175="","",TODAY())</f>
        <v/>
      </c>
      <c r="G175" s="30" t="n"/>
      <c r="H175" s="43">
        <f>IFERROR(IF(OR(B175="",E175=""),"",SUMIF(LOANS!$B:$B,B175,LOANS!$D:$D)+E175),"")</f>
        <v/>
      </c>
      <c r="I175" s="43">
        <f>IFERROR(IF(OR(B175="",E175=""),"",SUMIF(LOANS!$B:$B,B175,LOANS!$I:$I)+ABS(PMT(IFERROR(VLOOKUP(B175,LOANS!$B:$G,6,0),12)/100/12,IFERROR(VLOOKUP(B175,LOANS!$B:$H,7,0),12),E175))),"")</f>
        <v/>
      </c>
      <c r="J175" s="44">
        <f>IF(B175="","","Active")</f>
        <v/>
      </c>
    </row>
    <row r="176" ht="20" customHeight="1">
      <c r="A176" s="47">
        <f>IF(B176="","","TU"&amp;TEXT(ROW()-2,"0000"))</f>
        <v/>
      </c>
      <c r="B176" s="26" t="n"/>
      <c r="C176" s="48">
        <f>IFERROR(IF(B176="","",VLOOKUP(B176,DATABASE!$A:$B,2,0)),"")</f>
        <v/>
      </c>
      <c r="D176" s="44">
        <f>IFERROR(IF(B176="","",VLOOKUP(B176,LOANS!$B:$A,1,0)),"")</f>
        <v/>
      </c>
      <c r="E176" s="29" t="n"/>
      <c r="F176" s="40">
        <f>IF(B176="","",TODAY())</f>
        <v/>
      </c>
      <c r="G176" s="30" t="n"/>
      <c r="H176" s="43">
        <f>IFERROR(IF(OR(B176="",E176=""),"",SUMIF(LOANS!$B:$B,B176,LOANS!$D:$D)+E176),"")</f>
        <v/>
      </c>
      <c r="I176" s="43">
        <f>IFERROR(IF(OR(B176="",E176=""),"",SUMIF(LOANS!$B:$B,B176,LOANS!$I:$I)+ABS(PMT(IFERROR(VLOOKUP(B176,LOANS!$B:$G,6,0),12)/100/12,IFERROR(VLOOKUP(B176,LOANS!$B:$H,7,0),12),E176))),"")</f>
        <v/>
      </c>
      <c r="J176" s="44">
        <f>IF(B176="","","Active")</f>
        <v/>
      </c>
    </row>
    <row r="177" ht="20" customHeight="1">
      <c r="A177" s="47">
        <f>IF(B177="","","TU"&amp;TEXT(ROW()-2,"0000"))</f>
        <v/>
      </c>
      <c r="B177" s="26" t="n"/>
      <c r="C177" s="48">
        <f>IFERROR(IF(B177="","",VLOOKUP(B177,DATABASE!$A:$B,2,0)),"")</f>
        <v/>
      </c>
      <c r="D177" s="44">
        <f>IFERROR(IF(B177="","",VLOOKUP(B177,LOANS!$B:$A,1,0)),"")</f>
        <v/>
      </c>
      <c r="E177" s="29" t="n"/>
      <c r="F177" s="40">
        <f>IF(B177="","",TODAY())</f>
        <v/>
      </c>
      <c r="G177" s="30" t="n"/>
      <c r="H177" s="43">
        <f>IFERROR(IF(OR(B177="",E177=""),"",SUMIF(LOANS!$B:$B,B177,LOANS!$D:$D)+E177),"")</f>
        <v/>
      </c>
      <c r="I177" s="43">
        <f>IFERROR(IF(OR(B177="",E177=""),"",SUMIF(LOANS!$B:$B,B177,LOANS!$I:$I)+ABS(PMT(IFERROR(VLOOKUP(B177,LOANS!$B:$G,6,0),12)/100/12,IFERROR(VLOOKUP(B177,LOANS!$B:$H,7,0),12),E177))),"")</f>
        <v/>
      </c>
      <c r="J177" s="44">
        <f>IF(B177="","","Active")</f>
        <v/>
      </c>
    </row>
    <row r="178" ht="20" customHeight="1">
      <c r="A178" s="47">
        <f>IF(B178="","","TU"&amp;TEXT(ROW()-2,"0000"))</f>
        <v/>
      </c>
      <c r="B178" s="26" t="n"/>
      <c r="C178" s="48">
        <f>IFERROR(IF(B178="","",VLOOKUP(B178,DATABASE!$A:$B,2,0)),"")</f>
        <v/>
      </c>
      <c r="D178" s="44">
        <f>IFERROR(IF(B178="","",VLOOKUP(B178,LOANS!$B:$A,1,0)),"")</f>
        <v/>
      </c>
      <c r="E178" s="29" t="n"/>
      <c r="F178" s="40">
        <f>IF(B178="","",TODAY())</f>
        <v/>
      </c>
      <c r="G178" s="30" t="n"/>
      <c r="H178" s="43">
        <f>IFERROR(IF(OR(B178="",E178=""),"",SUMIF(LOANS!$B:$B,B178,LOANS!$D:$D)+E178),"")</f>
        <v/>
      </c>
      <c r="I178" s="43">
        <f>IFERROR(IF(OR(B178="",E178=""),"",SUMIF(LOANS!$B:$B,B178,LOANS!$I:$I)+ABS(PMT(IFERROR(VLOOKUP(B178,LOANS!$B:$G,6,0),12)/100/12,IFERROR(VLOOKUP(B178,LOANS!$B:$H,7,0),12),E178))),"")</f>
        <v/>
      </c>
      <c r="J178" s="44">
        <f>IF(B178="","","Active")</f>
        <v/>
      </c>
    </row>
    <row r="179" ht="20" customHeight="1">
      <c r="A179" s="47">
        <f>IF(B179="","","TU"&amp;TEXT(ROW()-2,"0000"))</f>
        <v/>
      </c>
      <c r="B179" s="26" t="n"/>
      <c r="C179" s="48">
        <f>IFERROR(IF(B179="","",VLOOKUP(B179,DATABASE!$A:$B,2,0)),"")</f>
        <v/>
      </c>
      <c r="D179" s="44">
        <f>IFERROR(IF(B179="","",VLOOKUP(B179,LOANS!$B:$A,1,0)),"")</f>
        <v/>
      </c>
      <c r="E179" s="29" t="n"/>
      <c r="F179" s="40">
        <f>IF(B179="","",TODAY())</f>
        <v/>
      </c>
      <c r="G179" s="30" t="n"/>
      <c r="H179" s="43">
        <f>IFERROR(IF(OR(B179="",E179=""),"",SUMIF(LOANS!$B:$B,B179,LOANS!$D:$D)+E179),"")</f>
        <v/>
      </c>
      <c r="I179" s="43">
        <f>IFERROR(IF(OR(B179="",E179=""),"",SUMIF(LOANS!$B:$B,B179,LOANS!$I:$I)+ABS(PMT(IFERROR(VLOOKUP(B179,LOANS!$B:$G,6,0),12)/100/12,IFERROR(VLOOKUP(B179,LOANS!$B:$H,7,0),12),E179))),"")</f>
        <v/>
      </c>
      <c r="J179" s="44">
        <f>IF(B179="","","Active")</f>
        <v/>
      </c>
    </row>
    <row r="180" ht="20" customHeight="1">
      <c r="A180" s="47">
        <f>IF(B180="","","TU"&amp;TEXT(ROW()-2,"0000"))</f>
        <v/>
      </c>
      <c r="B180" s="26" t="n"/>
      <c r="C180" s="48">
        <f>IFERROR(IF(B180="","",VLOOKUP(B180,DATABASE!$A:$B,2,0)),"")</f>
        <v/>
      </c>
      <c r="D180" s="44">
        <f>IFERROR(IF(B180="","",VLOOKUP(B180,LOANS!$B:$A,1,0)),"")</f>
        <v/>
      </c>
      <c r="E180" s="29" t="n"/>
      <c r="F180" s="40">
        <f>IF(B180="","",TODAY())</f>
        <v/>
      </c>
      <c r="G180" s="30" t="n"/>
      <c r="H180" s="43">
        <f>IFERROR(IF(OR(B180="",E180=""),"",SUMIF(LOANS!$B:$B,B180,LOANS!$D:$D)+E180),"")</f>
        <v/>
      </c>
      <c r="I180" s="43">
        <f>IFERROR(IF(OR(B180="",E180=""),"",SUMIF(LOANS!$B:$B,B180,LOANS!$I:$I)+ABS(PMT(IFERROR(VLOOKUP(B180,LOANS!$B:$G,6,0),12)/100/12,IFERROR(VLOOKUP(B180,LOANS!$B:$H,7,0),12),E180))),"")</f>
        <v/>
      </c>
      <c r="J180" s="44">
        <f>IF(B180="","","Active")</f>
        <v/>
      </c>
    </row>
    <row r="181" ht="20" customHeight="1">
      <c r="A181" s="47">
        <f>IF(B181="","","TU"&amp;TEXT(ROW()-2,"0000"))</f>
        <v/>
      </c>
      <c r="B181" s="26" t="n"/>
      <c r="C181" s="48">
        <f>IFERROR(IF(B181="","",VLOOKUP(B181,DATABASE!$A:$B,2,0)),"")</f>
        <v/>
      </c>
      <c r="D181" s="44">
        <f>IFERROR(IF(B181="","",VLOOKUP(B181,LOANS!$B:$A,1,0)),"")</f>
        <v/>
      </c>
      <c r="E181" s="29" t="n"/>
      <c r="F181" s="40">
        <f>IF(B181="","",TODAY())</f>
        <v/>
      </c>
      <c r="G181" s="30" t="n"/>
      <c r="H181" s="43">
        <f>IFERROR(IF(OR(B181="",E181=""),"",SUMIF(LOANS!$B:$B,B181,LOANS!$D:$D)+E181),"")</f>
        <v/>
      </c>
      <c r="I181" s="43">
        <f>IFERROR(IF(OR(B181="",E181=""),"",SUMIF(LOANS!$B:$B,B181,LOANS!$I:$I)+ABS(PMT(IFERROR(VLOOKUP(B181,LOANS!$B:$G,6,0),12)/100/12,IFERROR(VLOOKUP(B181,LOANS!$B:$H,7,0),12),E181))),"")</f>
        <v/>
      </c>
      <c r="J181" s="44">
        <f>IF(B181="","","Active")</f>
        <v/>
      </c>
    </row>
    <row r="182" ht="20" customHeight="1">
      <c r="A182" s="47">
        <f>IF(B182="","","TU"&amp;TEXT(ROW()-2,"0000"))</f>
        <v/>
      </c>
      <c r="B182" s="26" t="n"/>
      <c r="C182" s="48">
        <f>IFERROR(IF(B182="","",VLOOKUP(B182,DATABASE!$A:$B,2,0)),"")</f>
        <v/>
      </c>
      <c r="D182" s="44">
        <f>IFERROR(IF(B182="","",VLOOKUP(B182,LOANS!$B:$A,1,0)),"")</f>
        <v/>
      </c>
      <c r="E182" s="29" t="n"/>
      <c r="F182" s="40">
        <f>IF(B182="","",TODAY())</f>
        <v/>
      </c>
      <c r="G182" s="30" t="n"/>
      <c r="H182" s="43">
        <f>IFERROR(IF(OR(B182="",E182=""),"",SUMIF(LOANS!$B:$B,B182,LOANS!$D:$D)+E182),"")</f>
        <v/>
      </c>
      <c r="I182" s="43">
        <f>IFERROR(IF(OR(B182="",E182=""),"",SUMIF(LOANS!$B:$B,B182,LOANS!$I:$I)+ABS(PMT(IFERROR(VLOOKUP(B182,LOANS!$B:$G,6,0),12)/100/12,IFERROR(VLOOKUP(B182,LOANS!$B:$H,7,0),12),E182))),"")</f>
        <v/>
      </c>
      <c r="J182" s="44">
        <f>IF(B182="","","Active")</f>
        <v/>
      </c>
    </row>
    <row r="183" ht="20" customHeight="1">
      <c r="A183" s="47">
        <f>IF(B183="","","TU"&amp;TEXT(ROW()-2,"0000"))</f>
        <v/>
      </c>
      <c r="B183" s="26" t="n"/>
      <c r="C183" s="48">
        <f>IFERROR(IF(B183="","",VLOOKUP(B183,DATABASE!$A:$B,2,0)),"")</f>
        <v/>
      </c>
      <c r="D183" s="44">
        <f>IFERROR(IF(B183="","",VLOOKUP(B183,LOANS!$B:$A,1,0)),"")</f>
        <v/>
      </c>
      <c r="E183" s="29" t="n"/>
      <c r="F183" s="40">
        <f>IF(B183="","",TODAY())</f>
        <v/>
      </c>
      <c r="G183" s="30" t="n"/>
      <c r="H183" s="43">
        <f>IFERROR(IF(OR(B183="",E183=""),"",SUMIF(LOANS!$B:$B,B183,LOANS!$D:$D)+E183),"")</f>
        <v/>
      </c>
      <c r="I183" s="43">
        <f>IFERROR(IF(OR(B183="",E183=""),"",SUMIF(LOANS!$B:$B,B183,LOANS!$I:$I)+ABS(PMT(IFERROR(VLOOKUP(B183,LOANS!$B:$G,6,0),12)/100/12,IFERROR(VLOOKUP(B183,LOANS!$B:$H,7,0),12),E183))),"")</f>
        <v/>
      </c>
      <c r="J183" s="44">
        <f>IF(B183="","","Active")</f>
        <v/>
      </c>
    </row>
    <row r="184" ht="20" customHeight="1">
      <c r="A184" s="47">
        <f>IF(B184="","","TU"&amp;TEXT(ROW()-2,"0000"))</f>
        <v/>
      </c>
      <c r="B184" s="26" t="n"/>
      <c r="C184" s="48">
        <f>IFERROR(IF(B184="","",VLOOKUP(B184,DATABASE!$A:$B,2,0)),"")</f>
        <v/>
      </c>
      <c r="D184" s="44">
        <f>IFERROR(IF(B184="","",VLOOKUP(B184,LOANS!$B:$A,1,0)),"")</f>
        <v/>
      </c>
      <c r="E184" s="29" t="n"/>
      <c r="F184" s="40">
        <f>IF(B184="","",TODAY())</f>
        <v/>
      </c>
      <c r="G184" s="30" t="n"/>
      <c r="H184" s="43">
        <f>IFERROR(IF(OR(B184="",E184=""),"",SUMIF(LOANS!$B:$B,B184,LOANS!$D:$D)+E184),"")</f>
        <v/>
      </c>
      <c r="I184" s="43">
        <f>IFERROR(IF(OR(B184="",E184=""),"",SUMIF(LOANS!$B:$B,B184,LOANS!$I:$I)+ABS(PMT(IFERROR(VLOOKUP(B184,LOANS!$B:$G,6,0),12)/100/12,IFERROR(VLOOKUP(B184,LOANS!$B:$H,7,0),12),E184))),"")</f>
        <v/>
      </c>
      <c r="J184" s="44">
        <f>IF(B184="","","Active")</f>
        <v/>
      </c>
    </row>
    <row r="185" ht="20" customHeight="1">
      <c r="A185" s="47">
        <f>IF(B185="","","TU"&amp;TEXT(ROW()-2,"0000"))</f>
        <v/>
      </c>
      <c r="B185" s="26" t="n"/>
      <c r="C185" s="48">
        <f>IFERROR(IF(B185="","",VLOOKUP(B185,DATABASE!$A:$B,2,0)),"")</f>
        <v/>
      </c>
      <c r="D185" s="44">
        <f>IFERROR(IF(B185="","",VLOOKUP(B185,LOANS!$B:$A,1,0)),"")</f>
        <v/>
      </c>
      <c r="E185" s="29" t="n"/>
      <c r="F185" s="40">
        <f>IF(B185="","",TODAY())</f>
        <v/>
      </c>
      <c r="G185" s="30" t="n"/>
      <c r="H185" s="43">
        <f>IFERROR(IF(OR(B185="",E185=""),"",SUMIF(LOANS!$B:$B,B185,LOANS!$D:$D)+E185),"")</f>
        <v/>
      </c>
      <c r="I185" s="43">
        <f>IFERROR(IF(OR(B185="",E185=""),"",SUMIF(LOANS!$B:$B,B185,LOANS!$I:$I)+ABS(PMT(IFERROR(VLOOKUP(B185,LOANS!$B:$G,6,0),12)/100/12,IFERROR(VLOOKUP(B185,LOANS!$B:$H,7,0),12),E185))),"")</f>
        <v/>
      </c>
      <c r="J185" s="44">
        <f>IF(B185="","","Active")</f>
        <v/>
      </c>
    </row>
    <row r="186" ht="20" customHeight="1">
      <c r="A186" s="47">
        <f>IF(B186="","","TU"&amp;TEXT(ROW()-2,"0000"))</f>
        <v/>
      </c>
      <c r="B186" s="26" t="n"/>
      <c r="C186" s="48">
        <f>IFERROR(IF(B186="","",VLOOKUP(B186,DATABASE!$A:$B,2,0)),"")</f>
        <v/>
      </c>
      <c r="D186" s="44">
        <f>IFERROR(IF(B186="","",VLOOKUP(B186,LOANS!$B:$A,1,0)),"")</f>
        <v/>
      </c>
      <c r="E186" s="29" t="n"/>
      <c r="F186" s="40">
        <f>IF(B186="","",TODAY())</f>
        <v/>
      </c>
      <c r="G186" s="30" t="n"/>
      <c r="H186" s="43">
        <f>IFERROR(IF(OR(B186="",E186=""),"",SUMIF(LOANS!$B:$B,B186,LOANS!$D:$D)+E186),"")</f>
        <v/>
      </c>
      <c r="I186" s="43">
        <f>IFERROR(IF(OR(B186="",E186=""),"",SUMIF(LOANS!$B:$B,B186,LOANS!$I:$I)+ABS(PMT(IFERROR(VLOOKUP(B186,LOANS!$B:$G,6,0),12)/100/12,IFERROR(VLOOKUP(B186,LOANS!$B:$H,7,0),12),E186))),"")</f>
        <v/>
      </c>
      <c r="J186" s="44">
        <f>IF(B186="","","Active")</f>
        <v/>
      </c>
    </row>
    <row r="187" ht="20" customHeight="1">
      <c r="A187" s="47">
        <f>IF(B187="","","TU"&amp;TEXT(ROW()-2,"0000"))</f>
        <v/>
      </c>
      <c r="B187" s="26" t="n"/>
      <c r="C187" s="48">
        <f>IFERROR(IF(B187="","",VLOOKUP(B187,DATABASE!$A:$B,2,0)),"")</f>
        <v/>
      </c>
      <c r="D187" s="44">
        <f>IFERROR(IF(B187="","",VLOOKUP(B187,LOANS!$B:$A,1,0)),"")</f>
        <v/>
      </c>
      <c r="E187" s="29" t="n"/>
      <c r="F187" s="40">
        <f>IF(B187="","",TODAY())</f>
        <v/>
      </c>
      <c r="G187" s="30" t="n"/>
      <c r="H187" s="43">
        <f>IFERROR(IF(OR(B187="",E187=""),"",SUMIF(LOANS!$B:$B,B187,LOANS!$D:$D)+E187),"")</f>
        <v/>
      </c>
      <c r="I187" s="43">
        <f>IFERROR(IF(OR(B187="",E187=""),"",SUMIF(LOANS!$B:$B,B187,LOANS!$I:$I)+ABS(PMT(IFERROR(VLOOKUP(B187,LOANS!$B:$G,6,0),12)/100/12,IFERROR(VLOOKUP(B187,LOANS!$B:$H,7,0),12),E187))),"")</f>
        <v/>
      </c>
      <c r="J187" s="44">
        <f>IF(B187="","","Active")</f>
        <v/>
      </c>
    </row>
    <row r="188" ht="20" customHeight="1">
      <c r="A188" s="47">
        <f>IF(B188="","","TU"&amp;TEXT(ROW()-2,"0000"))</f>
        <v/>
      </c>
      <c r="B188" s="26" t="n"/>
      <c r="C188" s="48">
        <f>IFERROR(IF(B188="","",VLOOKUP(B188,DATABASE!$A:$B,2,0)),"")</f>
        <v/>
      </c>
      <c r="D188" s="44">
        <f>IFERROR(IF(B188="","",VLOOKUP(B188,LOANS!$B:$A,1,0)),"")</f>
        <v/>
      </c>
      <c r="E188" s="29" t="n"/>
      <c r="F188" s="40">
        <f>IF(B188="","",TODAY())</f>
        <v/>
      </c>
      <c r="G188" s="30" t="n"/>
      <c r="H188" s="43">
        <f>IFERROR(IF(OR(B188="",E188=""),"",SUMIF(LOANS!$B:$B,B188,LOANS!$D:$D)+E188),"")</f>
        <v/>
      </c>
      <c r="I188" s="43">
        <f>IFERROR(IF(OR(B188="",E188=""),"",SUMIF(LOANS!$B:$B,B188,LOANS!$I:$I)+ABS(PMT(IFERROR(VLOOKUP(B188,LOANS!$B:$G,6,0),12)/100/12,IFERROR(VLOOKUP(B188,LOANS!$B:$H,7,0),12),E188))),"")</f>
        <v/>
      </c>
      <c r="J188" s="44">
        <f>IF(B188="","","Active")</f>
        <v/>
      </c>
    </row>
    <row r="189" ht="20" customHeight="1">
      <c r="A189" s="47">
        <f>IF(B189="","","TU"&amp;TEXT(ROW()-2,"0000"))</f>
        <v/>
      </c>
      <c r="B189" s="26" t="n"/>
      <c r="C189" s="48">
        <f>IFERROR(IF(B189="","",VLOOKUP(B189,DATABASE!$A:$B,2,0)),"")</f>
        <v/>
      </c>
      <c r="D189" s="44">
        <f>IFERROR(IF(B189="","",VLOOKUP(B189,LOANS!$B:$A,1,0)),"")</f>
        <v/>
      </c>
      <c r="E189" s="29" t="n"/>
      <c r="F189" s="40">
        <f>IF(B189="","",TODAY())</f>
        <v/>
      </c>
      <c r="G189" s="30" t="n"/>
      <c r="H189" s="43">
        <f>IFERROR(IF(OR(B189="",E189=""),"",SUMIF(LOANS!$B:$B,B189,LOANS!$D:$D)+E189),"")</f>
        <v/>
      </c>
      <c r="I189" s="43">
        <f>IFERROR(IF(OR(B189="",E189=""),"",SUMIF(LOANS!$B:$B,B189,LOANS!$I:$I)+ABS(PMT(IFERROR(VLOOKUP(B189,LOANS!$B:$G,6,0),12)/100/12,IFERROR(VLOOKUP(B189,LOANS!$B:$H,7,0),12),E189))),"")</f>
        <v/>
      </c>
      <c r="J189" s="44">
        <f>IF(B189="","","Active")</f>
        <v/>
      </c>
    </row>
    <row r="190" ht="20" customHeight="1">
      <c r="A190" s="47">
        <f>IF(B190="","","TU"&amp;TEXT(ROW()-2,"0000"))</f>
        <v/>
      </c>
      <c r="B190" s="26" t="n"/>
      <c r="C190" s="48">
        <f>IFERROR(IF(B190="","",VLOOKUP(B190,DATABASE!$A:$B,2,0)),"")</f>
        <v/>
      </c>
      <c r="D190" s="44">
        <f>IFERROR(IF(B190="","",VLOOKUP(B190,LOANS!$B:$A,1,0)),"")</f>
        <v/>
      </c>
      <c r="E190" s="29" t="n"/>
      <c r="F190" s="40">
        <f>IF(B190="","",TODAY())</f>
        <v/>
      </c>
      <c r="G190" s="30" t="n"/>
      <c r="H190" s="43">
        <f>IFERROR(IF(OR(B190="",E190=""),"",SUMIF(LOANS!$B:$B,B190,LOANS!$D:$D)+E190),"")</f>
        <v/>
      </c>
      <c r="I190" s="43">
        <f>IFERROR(IF(OR(B190="",E190=""),"",SUMIF(LOANS!$B:$B,B190,LOANS!$I:$I)+ABS(PMT(IFERROR(VLOOKUP(B190,LOANS!$B:$G,6,0),12)/100/12,IFERROR(VLOOKUP(B190,LOANS!$B:$H,7,0),12),E190))),"")</f>
        <v/>
      </c>
      <c r="J190" s="44">
        <f>IF(B190="","","Active")</f>
        <v/>
      </c>
    </row>
    <row r="191" ht="20" customHeight="1">
      <c r="A191" s="47">
        <f>IF(B191="","","TU"&amp;TEXT(ROW()-2,"0000"))</f>
        <v/>
      </c>
      <c r="B191" s="26" t="n"/>
      <c r="C191" s="48">
        <f>IFERROR(IF(B191="","",VLOOKUP(B191,DATABASE!$A:$B,2,0)),"")</f>
        <v/>
      </c>
      <c r="D191" s="44">
        <f>IFERROR(IF(B191="","",VLOOKUP(B191,LOANS!$B:$A,1,0)),"")</f>
        <v/>
      </c>
      <c r="E191" s="29" t="n"/>
      <c r="F191" s="40">
        <f>IF(B191="","",TODAY())</f>
        <v/>
      </c>
      <c r="G191" s="30" t="n"/>
      <c r="H191" s="43">
        <f>IFERROR(IF(OR(B191="",E191=""),"",SUMIF(LOANS!$B:$B,B191,LOANS!$D:$D)+E191),"")</f>
        <v/>
      </c>
      <c r="I191" s="43">
        <f>IFERROR(IF(OR(B191="",E191=""),"",SUMIF(LOANS!$B:$B,B191,LOANS!$I:$I)+ABS(PMT(IFERROR(VLOOKUP(B191,LOANS!$B:$G,6,0),12)/100/12,IFERROR(VLOOKUP(B191,LOANS!$B:$H,7,0),12),E191))),"")</f>
        <v/>
      </c>
      <c r="J191" s="44">
        <f>IF(B191="","","Active")</f>
        <v/>
      </c>
    </row>
    <row r="192" ht="20" customHeight="1">
      <c r="A192" s="47">
        <f>IF(B192="","","TU"&amp;TEXT(ROW()-2,"0000"))</f>
        <v/>
      </c>
      <c r="B192" s="26" t="n"/>
      <c r="C192" s="48">
        <f>IFERROR(IF(B192="","",VLOOKUP(B192,DATABASE!$A:$B,2,0)),"")</f>
        <v/>
      </c>
      <c r="D192" s="44">
        <f>IFERROR(IF(B192="","",VLOOKUP(B192,LOANS!$B:$A,1,0)),"")</f>
        <v/>
      </c>
      <c r="E192" s="29" t="n"/>
      <c r="F192" s="40">
        <f>IF(B192="","",TODAY())</f>
        <v/>
      </c>
      <c r="G192" s="30" t="n"/>
      <c r="H192" s="43">
        <f>IFERROR(IF(OR(B192="",E192=""),"",SUMIF(LOANS!$B:$B,B192,LOANS!$D:$D)+E192),"")</f>
        <v/>
      </c>
      <c r="I192" s="43">
        <f>IFERROR(IF(OR(B192="",E192=""),"",SUMIF(LOANS!$B:$B,B192,LOANS!$I:$I)+ABS(PMT(IFERROR(VLOOKUP(B192,LOANS!$B:$G,6,0),12)/100/12,IFERROR(VLOOKUP(B192,LOANS!$B:$H,7,0),12),E192))),"")</f>
        <v/>
      </c>
      <c r="J192" s="44">
        <f>IF(B192="","","Active")</f>
        <v/>
      </c>
    </row>
    <row r="193" ht="20" customHeight="1">
      <c r="A193" s="47">
        <f>IF(B193="","","TU"&amp;TEXT(ROW()-2,"0000"))</f>
        <v/>
      </c>
      <c r="B193" s="26" t="n"/>
      <c r="C193" s="48">
        <f>IFERROR(IF(B193="","",VLOOKUP(B193,DATABASE!$A:$B,2,0)),"")</f>
        <v/>
      </c>
      <c r="D193" s="44">
        <f>IFERROR(IF(B193="","",VLOOKUP(B193,LOANS!$B:$A,1,0)),"")</f>
        <v/>
      </c>
      <c r="E193" s="29" t="n"/>
      <c r="F193" s="40">
        <f>IF(B193="","",TODAY())</f>
        <v/>
      </c>
      <c r="G193" s="30" t="n"/>
      <c r="H193" s="43">
        <f>IFERROR(IF(OR(B193="",E193=""),"",SUMIF(LOANS!$B:$B,B193,LOANS!$D:$D)+E193),"")</f>
        <v/>
      </c>
      <c r="I193" s="43">
        <f>IFERROR(IF(OR(B193="",E193=""),"",SUMIF(LOANS!$B:$B,B193,LOANS!$I:$I)+ABS(PMT(IFERROR(VLOOKUP(B193,LOANS!$B:$G,6,0),12)/100/12,IFERROR(VLOOKUP(B193,LOANS!$B:$H,7,0),12),E193))),"")</f>
        <v/>
      </c>
      <c r="J193" s="44">
        <f>IF(B193="","","Active")</f>
        <v/>
      </c>
    </row>
    <row r="194" ht="20" customHeight="1">
      <c r="A194" s="47">
        <f>IF(B194="","","TU"&amp;TEXT(ROW()-2,"0000"))</f>
        <v/>
      </c>
      <c r="B194" s="26" t="n"/>
      <c r="C194" s="48">
        <f>IFERROR(IF(B194="","",VLOOKUP(B194,DATABASE!$A:$B,2,0)),"")</f>
        <v/>
      </c>
      <c r="D194" s="44">
        <f>IFERROR(IF(B194="","",VLOOKUP(B194,LOANS!$B:$A,1,0)),"")</f>
        <v/>
      </c>
      <c r="E194" s="29" t="n"/>
      <c r="F194" s="40">
        <f>IF(B194="","",TODAY())</f>
        <v/>
      </c>
      <c r="G194" s="30" t="n"/>
      <c r="H194" s="43">
        <f>IFERROR(IF(OR(B194="",E194=""),"",SUMIF(LOANS!$B:$B,B194,LOANS!$D:$D)+E194),"")</f>
        <v/>
      </c>
      <c r="I194" s="43">
        <f>IFERROR(IF(OR(B194="",E194=""),"",SUMIF(LOANS!$B:$B,B194,LOANS!$I:$I)+ABS(PMT(IFERROR(VLOOKUP(B194,LOANS!$B:$G,6,0),12)/100/12,IFERROR(VLOOKUP(B194,LOANS!$B:$H,7,0),12),E194))),"")</f>
        <v/>
      </c>
      <c r="J194" s="44">
        <f>IF(B194="","","Active")</f>
        <v/>
      </c>
    </row>
    <row r="195" ht="20" customHeight="1">
      <c r="A195" s="47">
        <f>IF(B195="","","TU"&amp;TEXT(ROW()-2,"0000"))</f>
        <v/>
      </c>
      <c r="B195" s="26" t="n"/>
      <c r="C195" s="48">
        <f>IFERROR(IF(B195="","",VLOOKUP(B195,DATABASE!$A:$B,2,0)),"")</f>
        <v/>
      </c>
      <c r="D195" s="44">
        <f>IFERROR(IF(B195="","",VLOOKUP(B195,LOANS!$B:$A,1,0)),"")</f>
        <v/>
      </c>
      <c r="E195" s="29" t="n"/>
      <c r="F195" s="40">
        <f>IF(B195="","",TODAY())</f>
        <v/>
      </c>
      <c r="G195" s="30" t="n"/>
      <c r="H195" s="43">
        <f>IFERROR(IF(OR(B195="",E195=""),"",SUMIF(LOANS!$B:$B,B195,LOANS!$D:$D)+E195),"")</f>
        <v/>
      </c>
      <c r="I195" s="43">
        <f>IFERROR(IF(OR(B195="",E195=""),"",SUMIF(LOANS!$B:$B,B195,LOANS!$I:$I)+ABS(PMT(IFERROR(VLOOKUP(B195,LOANS!$B:$G,6,0),12)/100/12,IFERROR(VLOOKUP(B195,LOANS!$B:$H,7,0),12),E195))),"")</f>
        <v/>
      </c>
      <c r="J195" s="44">
        <f>IF(B195="","","Active")</f>
        <v/>
      </c>
    </row>
    <row r="196" ht="20" customHeight="1">
      <c r="A196" s="47">
        <f>IF(B196="","","TU"&amp;TEXT(ROW()-2,"0000"))</f>
        <v/>
      </c>
      <c r="B196" s="26" t="n"/>
      <c r="C196" s="48">
        <f>IFERROR(IF(B196="","",VLOOKUP(B196,DATABASE!$A:$B,2,0)),"")</f>
        <v/>
      </c>
      <c r="D196" s="44">
        <f>IFERROR(IF(B196="","",VLOOKUP(B196,LOANS!$B:$A,1,0)),"")</f>
        <v/>
      </c>
      <c r="E196" s="29" t="n"/>
      <c r="F196" s="40">
        <f>IF(B196="","",TODAY())</f>
        <v/>
      </c>
      <c r="G196" s="30" t="n"/>
      <c r="H196" s="43">
        <f>IFERROR(IF(OR(B196="",E196=""),"",SUMIF(LOANS!$B:$B,B196,LOANS!$D:$D)+E196),"")</f>
        <v/>
      </c>
      <c r="I196" s="43">
        <f>IFERROR(IF(OR(B196="",E196=""),"",SUMIF(LOANS!$B:$B,B196,LOANS!$I:$I)+ABS(PMT(IFERROR(VLOOKUP(B196,LOANS!$B:$G,6,0),12)/100/12,IFERROR(VLOOKUP(B196,LOANS!$B:$H,7,0),12),E196))),"")</f>
        <v/>
      </c>
      <c r="J196" s="44">
        <f>IF(B196="","","Active")</f>
        <v/>
      </c>
    </row>
    <row r="197" ht="20" customHeight="1">
      <c r="A197" s="47">
        <f>IF(B197="","","TU"&amp;TEXT(ROW()-2,"0000"))</f>
        <v/>
      </c>
      <c r="B197" s="26" t="n"/>
      <c r="C197" s="48">
        <f>IFERROR(IF(B197="","",VLOOKUP(B197,DATABASE!$A:$B,2,0)),"")</f>
        <v/>
      </c>
      <c r="D197" s="44">
        <f>IFERROR(IF(B197="","",VLOOKUP(B197,LOANS!$B:$A,1,0)),"")</f>
        <v/>
      </c>
      <c r="E197" s="29" t="n"/>
      <c r="F197" s="40">
        <f>IF(B197="","",TODAY())</f>
        <v/>
      </c>
      <c r="G197" s="30" t="n"/>
      <c r="H197" s="43">
        <f>IFERROR(IF(OR(B197="",E197=""),"",SUMIF(LOANS!$B:$B,B197,LOANS!$D:$D)+E197),"")</f>
        <v/>
      </c>
      <c r="I197" s="43">
        <f>IFERROR(IF(OR(B197="",E197=""),"",SUMIF(LOANS!$B:$B,B197,LOANS!$I:$I)+ABS(PMT(IFERROR(VLOOKUP(B197,LOANS!$B:$G,6,0),12)/100/12,IFERROR(VLOOKUP(B197,LOANS!$B:$H,7,0),12),E197))),"")</f>
        <v/>
      </c>
      <c r="J197" s="44">
        <f>IF(B197="","","Active")</f>
        <v/>
      </c>
    </row>
    <row r="198" ht="20" customHeight="1">
      <c r="A198" s="47">
        <f>IF(B198="","","TU"&amp;TEXT(ROW()-2,"0000"))</f>
        <v/>
      </c>
      <c r="B198" s="26" t="n"/>
      <c r="C198" s="48">
        <f>IFERROR(IF(B198="","",VLOOKUP(B198,DATABASE!$A:$B,2,0)),"")</f>
        <v/>
      </c>
      <c r="D198" s="44">
        <f>IFERROR(IF(B198="","",VLOOKUP(B198,LOANS!$B:$A,1,0)),"")</f>
        <v/>
      </c>
      <c r="E198" s="29" t="n"/>
      <c r="F198" s="40">
        <f>IF(B198="","",TODAY())</f>
        <v/>
      </c>
      <c r="G198" s="30" t="n"/>
      <c r="H198" s="43">
        <f>IFERROR(IF(OR(B198="",E198=""),"",SUMIF(LOANS!$B:$B,B198,LOANS!$D:$D)+E198),"")</f>
        <v/>
      </c>
      <c r="I198" s="43">
        <f>IFERROR(IF(OR(B198="",E198=""),"",SUMIF(LOANS!$B:$B,B198,LOANS!$I:$I)+ABS(PMT(IFERROR(VLOOKUP(B198,LOANS!$B:$G,6,0),12)/100/12,IFERROR(VLOOKUP(B198,LOANS!$B:$H,7,0),12),E198))),"")</f>
        <v/>
      </c>
      <c r="J198" s="44">
        <f>IF(B198="","","Active")</f>
        <v/>
      </c>
    </row>
    <row r="199" ht="20" customHeight="1">
      <c r="A199" s="47">
        <f>IF(B199="","","TU"&amp;TEXT(ROW()-2,"0000"))</f>
        <v/>
      </c>
      <c r="B199" s="26" t="n"/>
      <c r="C199" s="48">
        <f>IFERROR(IF(B199="","",VLOOKUP(B199,DATABASE!$A:$B,2,0)),"")</f>
        <v/>
      </c>
      <c r="D199" s="44">
        <f>IFERROR(IF(B199="","",VLOOKUP(B199,LOANS!$B:$A,1,0)),"")</f>
        <v/>
      </c>
      <c r="E199" s="29" t="n"/>
      <c r="F199" s="40">
        <f>IF(B199="","",TODAY())</f>
        <v/>
      </c>
      <c r="G199" s="30" t="n"/>
      <c r="H199" s="43">
        <f>IFERROR(IF(OR(B199="",E199=""),"",SUMIF(LOANS!$B:$B,B199,LOANS!$D:$D)+E199),"")</f>
        <v/>
      </c>
      <c r="I199" s="43">
        <f>IFERROR(IF(OR(B199="",E199=""),"",SUMIF(LOANS!$B:$B,B199,LOANS!$I:$I)+ABS(PMT(IFERROR(VLOOKUP(B199,LOANS!$B:$G,6,0),12)/100/12,IFERROR(VLOOKUP(B199,LOANS!$B:$H,7,0),12),E199))),"")</f>
        <v/>
      </c>
      <c r="J199" s="44">
        <f>IF(B199="","","Active")</f>
        <v/>
      </c>
    </row>
    <row r="200" ht="20" customHeight="1">
      <c r="A200" s="47">
        <f>IF(B200="","","TU"&amp;TEXT(ROW()-2,"0000"))</f>
        <v/>
      </c>
      <c r="B200" s="26" t="n"/>
      <c r="C200" s="48">
        <f>IFERROR(IF(B200="","",VLOOKUP(B200,DATABASE!$A:$B,2,0)),"")</f>
        <v/>
      </c>
      <c r="D200" s="44">
        <f>IFERROR(IF(B200="","",VLOOKUP(B200,LOANS!$B:$A,1,0)),"")</f>
        <v/>
      </c>
      <c r="E200" s="29" t="n"/>
      <c r="F200" s="40">
        <f>IF(B200="","",TODAY())</f>
        <v/>
      </c>
      <c r="G200" s="30" t="n"/>
      <c r="H200" s="43">
        <f>IFERROR(IF(OR(B200="",E200=""),"",SUMIF(LOANS!$B:$B,B200,LOANS!$D:$D)+E200),"")</f>
        <v/>
      </c>
      <c r="I200" s="43">
        <f>IFERROR(IF(OR(B200="",E200=""),"",SUMIF(LOANS!$B:$B,B200,LOANS!$I:$I)+ABS(PMT(IFERROR(VLOOKUP(B200,LOANS!$B:$G,6,0),12)/100/12,IFERROR(VLOOKUP(B200,LOANS!$B:$H,7,0),12),E200))),"")</f>
        <v/>
      </c>
      <c r="J200" s="44">
        <f>IF(B200="","","Active")</f>
        <v/>
      </c>
    </row>
    <row r="201" ht="20" customHeight="1">
      <c r="A201" s="47">
        <f>IF(B201="","","TU"&amp;TEXT(ROW()-2,"0000"))</f>
        <v/>
      </c>
      <c r="B201" s="26" t="n"/>
      <c r="C201" s="48">
        <f>IFERROR(IF(B201="","",VLOOKUP(B201,DATABASE!$A:$B,2,0)),"")</f>
        <v/>
      </c>
      <c r="D201" s="44">
        <f>IFERROR(IF(B201="","",VLOOKUP(B201,LOANS!$B:$A,1,0)),"")</f>
        <v/>
      </c>
      <c r="E201" s="29" t="n"/>
      <c r="F201" s="40">
        <f>IF(B201="","",TODAY())</f>
        <v/>
      </c>
      <c r="G201" s="30" t="n"/>
      <c r="H201" s="43">
        <f>IFERROR(IF(OR(B201="",E201=""),"",SUMIF(LOANS!$B:$B,B201,LOANS!$D:$D)+E201),"")</f>
        <v/>
      </c>
      <c r="I201" s="43">
        <f>IFERROR(IF(OR(B201="",E201=""),"",SUMIF(LOANS!$B:$B,B201,LOANS!$I:$I)+ABS(PMT(IFERROR(VLOOKUP(B201,LOANS!$B:$G,6,0),12)/100/12,IFERROR(VLOOKUP(B201,LOANS!$B:$H,7,0),12),E201))),"")</f>
        <v/>
      </c>
      <c r="J201" s="44">
        <f>IF(B201="","","Active")</f>
        <v/>
      </c>
    </row>
    <row r="202" ht="20" customHeight="1">
      <c r="A202" s="47">
        <f>IF(B202="","","TU"&amp;TEXT(ROW()-2,"0000"))</f>
        <v/>
      </c>
      <c r="B202" s="26" t="n"/>
      <c r="C202" s="48">
        <f>IFERROR(IF(B202="","",VLOOKUP(B202,DATABASE!$A:$B,2,0)),"")</f>
        <v/>
      </c>
      <c r="D202" s="44">
        <f>IFERROR(IF(B202="","",VLOOKUP(B202,LOANS!$B:$A,1,0)),"")</f>
        <v/>
      </c>
      <c r="E202" s="29" t="n"/>
      <c r="F202" s="40">
        <f>IF(B202="","",TODAY())</f>
        <v/>
      </c>
      <c r="G202" s="30" t="n"/>
      <c r="H202" s="43">
        <f>IFERROR(IF(OR(B202="",E202=""),"",SUMIF(LOANS!$B:$B,B202,LOANS!$D:$D)+E202),"")</f>
        <v/>
      </c>
      <c r="I202" s="43">
        <f>IFERROR(IF(OR(B202="",E202=""),"",SUMIF(LOANS!$B:$B,B202,LOANS!$I:$I)+ABS(PMT(IFERROR(VLOOKUP(B202,LOANS!$B:$G,6,0),12)/100/12,IFERROR(VLOOKUP(B202,LOANS!$B:$H,7,0),12),E202))),"")</f>
        <v/>
      </c>
      <c r="J202" s="44">
        <f>IF(B202="","","Active")</f>
        <v/>
      </c>
    </row>
    <row r="203" ht="20" customHeight="1">
      <c r="A203" s="47">
        <f>IF(B203="","","TU"&amp;TEXT(ROW()-2,"0000"))</f>
        <v/>
      </c>
      <c r="B203" s="26" t="n"/>
      <c r="C203" s="48">
        <f>IFERROR(IF(B203="","",VLOOKUP(B203,DATABASE!$A:$B,2,0)),"")</f>
        <v/>
      </c>
      <c r="D203" s="44">
        <f>IFERROR(IF(B203="","",VLOOKUP(B203,LOANS!$B:$A,1,0)),"")</f>
        <v/>
      </c>
      <c r="E203" s="29" t="n"/>
      <c r="F203" s="40">
        <f>IF(B203="","",TODAY())</f>
        <v/>
      </c>
      <c r="G203" s="30" t="n"/>
      <c r="H203" s="43">
        <f>IFERROR(IF(OR(B203="",E203=""),"",SUMIF(LOANS!$B:$B,B203,LOANS!$D:$D)+E203),"")</f>
        <v/>
      </c>
      <c r="I203" s="43">
        <f>IFERROR(IF(OR(B203="",E203=""),"",SUMIF(LOANS!$B:$B,B203,LOANS!$I:$I)+ABS(PMT(IFERROR(VLOOKUP(B203,LOANS!$B:$G,6,0),12)/100/12,IFERROR(VLOOKUP(B203,LOANS!$B:$H,7,0),12),E203))),"")</f>
        <v/>
      </c>
      <c r="J203" s="44">
        <f>IF(B203="","","Active")</f>
        <v/>
      </c>
    </row>
    <row r="204" ht="20" customHeight="1">
      <c r="A204" s="47">
        <f>IF(B204="","","TU"&amp;TEXT(ROW()-2,"0000"))</f>
        <v/>
      </c>
      <c r="B204" s="26" t="n"/>
      <c r="C204" s="48">
        <f>IFERROR(IF(B204="","",VLOOKUP(B204,DATABASE!$A:$B,2,0)),"")</f>
        <v/>
      </c>
      <c r="D204" s="44">
        <f>IFERROR(IF(B204="","",VLOOKUP(B204,LOANS!$B:$A,1,0)),"")</f>
        <v/>
      </c>
      <c r="E204" s="29" t="n"/>
      <c r="F204" s="40">
        <f>IF(B204="","",TODAY())</f>
        <v/>
      </c>
      <c r="G204" s="30" t="n"/>
      <c r="H204" s="43">
        <f>IFERROR(IF(OR(B204="",E204=""),"",SUMIF(LOANS!$B:$B,B204,LOANS!$D:$D)+E204),"")</f>
        <v/>
      </c>
      <c r="I204" s="43">
        <f>IFERROR(IF(OR(B204="",E204=""),"",SUMIF(LOANS!$B:$B,B204,LOANS!$I:$I)+ABS(PMT(IFERROR(VLOOKUP(B204,LOANS!$B:$G,6,0),12)/100/12,IFERROR(VLOOKUP(B204,LOANS!$B:$H,7,0),12),E204))),"")</f>
        <v/>
      </c>
      <c r="J204" s="44">
        <f>IF(B204="","","Active")</f>
        <v/>
      </c>
    </row>
    <row r="205" ht="20" customHeight="1">
      <c r="A205" s="47">
        <f>IF(B205="","","TU"&amp;TEXT(ROW()-2,"0000"))</f>
        <v/>
      </c>
      <c r="B205" s="26" t="n"/>
      <c r="C205" s="48">
        <f>IFERROR(IF(B205="","",VLOOKUP(B205,DATABASE!$A:$B,2,0)),"")</f>
        <v/>
      </c>
      <c r="D205" s="44">
        <f>IFERROR(IF(B205="","",VLOOKUP(B205,LOANS!$B:$A,1,0)),"")</f>
        <v/>
      </c>
      <c r="E205" s="29" t="n"/>
      <c r="F205" s="40">
        <f>IF(B205="","",TODAY())</f>
        <v/>
      </c>
      <c r="G205" s="30" t="n"/>
      <c r="H205" s="43">
        <f>IFERROR(IF(OR(B205="",E205=""),"",SUMIF(LOANS!$B:$B,B205,LOANS!$D:$D)+E205),"")</f>
        <v/>
      </c>
      <c r="I205" s="43">
        <f>IFERROR(IF(OR(B205="",E205=""),"",SUMIF(LOANS!$B:$B,B205,LOANS!$I:$I)+ABS(PMT(IFERROR(VLOOKUP(B205,LOANS!$B:$G,6,0),12)/100/12,IFERROR(VLOOKUP(B205,LOANS!$B:$H,7,0),12),E205))),"")</f>
        <v/>
      </c>
      <c r="J205" s="44">
        <f>IF(B205="","","Active")</f>
        <v/>
      </c>
    </row>
    <row r="206" ht="20" customHeight="1">
      <c r="A206" s="47">
        <f>IF(B206="","","TU"&amp;TEXT(ROW()-2,"0000"))</f>
        <v/>
      </c>
      <c r="B206" s="26" t="n"/>
      <c r="C206" s="48">
        <f>IFERROR(IF(B206="","",VLOOKUP(B206,DATABASE!$A:$B,2,0)),"")</f>
        <v/>
      </c>
      <c r="D206" s="44">
        <f>IFERROR(IF(B206="","",VLOOKUP(B206,LOANS!$B:$A,1,0)),"")</f>
        <v/>
      </c>
      <c r="E206" s="29" t="n"/>
      <c r="F206" s="40">
        <f>IF(B206="","",TODAY())</f>
        <v/>
      </c>
      <c r="G206" s="30" t="n"/>
      <c r="H206" s="43">
        <f>IFERROR(IF(OR(B206="",E206=""),"",SUMIF(LOANS!$B:$B,B206,LOANS!$D:$D)+E206),"")</f>
        <v/>
      </c>
      <c r="I206" s="43">
        <f>IFERROR(IF(OR(B206="",E206=""),"",SUMIF(LOANS!$B:$B,B206,LOANS!$I:$I)+ABS(PMT(IFERROR(VLOOKUP(B206,LOANS!$B:$G,6,0),12)/100/12,IFERROR(VLOOKUP(B206,LOANS!$B:$H,7,0),12),E206))),"")</f>
        <v/>
      </c>
      <c r="J206" s="44">
        <f>IF(B206="","","Active")</f>
        <v/>
      </c>
    </row>
    <row r="207" ht="20" customHeight="1">
      <c r="A207" s="47">
        <f>IF(B207="","","TU"&amp;TEXT(ROW()-2,"0000"))</f>
        <v/>
      </c>
      <c r="B207" s="26" t="n"/>
      <c r="C207" s="48">
        <f>IFERROR(IF(B207="","",VLOOKUP(B207,DATABASE!$A:$B,2,0)),"")</f>
        <v/>
      </c>
      <c r="D207" s="44">
        <f>IFERROR(IF(B207="","",VLOOKUP(B207,LOANS!$B:$A,1,0)),"")</f>
        <v/>
      </c>
      <c r="E207" s="29" t="n"/>
      <c r="F207" s="40">
        <f>IF(B207="","",TODAY())</f>
        <v/>
      </c>
      <c r="G207" s="30" t="n"/>
      <c r="H207" s="43">
        <f>IFERROR(IF(OR(B207="",E207=""),"",SUMIF(LOANS!$B:$B,B207,LOANS!$D:$D)+E207),"")</f>
        <v/>
      </c>
      <c r="I207" s="43">
        <f>IFERROR(IF(OR(B207="",E207=""),"",SUMIF(LOANS!$B:$B,B207,LOANS!$I:$I)+ABS(PMT(IFERROR(VLOOKUP(B207,LOANS!$B:$G,6,0),12)/100/12,IFERROR(VLOOKUP(B207,LOANS!$B:$H,7,0),12),E207))),"")</f>
        <v/>
      </c>
      <c r="J207" s="44">
        <f>IF(B207="","","Active")</f>
        <v/>
      </c>
    </row>
    <row r="208" ht="20" customHeight="1">
      <c r="A208" s="47">
        <f>IF(B208="","","TU"&amp;TEXT(ROW()-2,"0000"))</f>
        <v/>
      </c>
      <c r="B208" s="26" t="n"/>
      <c r="C208" s="48">
        <f>IFERROR(IF(B208="","",VLOOKUP(B208,DATABASE!$A:$B,2,0)),"")</f>
        <v/>
      </c>
      <c r="D208" s="44">
        <f>IFERROR(IF(B208="","",VLOOKUP(B208,LOANS!$B:$A,1,0)),"")</f>
        <v/>
      </c>
      <c r="E208" s="29" t="n"/>
      <c r="F208" s="40">
        <f>IF(B208="","",TODAY())</f>
        <v/>
      </c>
      <c r="G208" s="30" t="n"/>
      <c r="H208" s="43">
        <f>IFERROR(IF(OR(B208="",E208=""),"",SUMIF(LOANS!$B:$B,B208,LOANS!$D:$D)+E208),"")</f>
        <v/>
      </c>
      <c r="I208" s="43">
        <f>IFERROR(IF(OR(B208="",E208=""),"",SUMIF(LOANS!$B:$B,B208,LOANS!$I:$I)+ABS(PMT(IFERROR(VLOOKUP(B208,LOANS!$B:$G,6,0),12)/100/12,IFERROR(VLOOKUP(B208,LOANS!$B:$H,7,0),12),E208))),"")</f>
        <v/>
      </c>
      <c r="J208" s="44">
        <f>IF(B208="","","Active")</f>
        <v/>
      </c>
    </row>
    <row r="209" ht="20" customHeight="1">
      <c r="A209" s="47">
        <f>IF(B209="","","TU"&amp;TEXT(ROW()-2,"0000"))</f>
        <v/>
      </c>
      <c r="B209" s="26" t="n"/>
      <c r="C209" s="48">
        <f>IFERROR(IF(B209="","",VLOOKUP(B209,DATABASE!$A:$B,2,0)),"")</f>
        <v/>
      </c>
      <c r="D209" s="44">
        <f>IFERROR(IF(B209="","",VLOOKUP(B209,LOANS!$B:$A,1,0)),"")</f>
        <v/>
      </c>
      <c r="E209" s="29" t="n"/>
      <c r="F209" s="40">
        <f>IF(B209="","",TODAY())</f>
        <v/>
      </c>
      <c r="G209" s="30" t="n"/>
      <c r="H209" s="43">
        <f>IFERROR(IF(OR(B209="",E209=""),"",SUMIF(LOANS!$B:$B,B209,LOANS!$D:$D)+E209),"")</f>
        <v/>
      </c>
      <c r="I209" s="43">
        <f>IFERROR(IF(OR(B209="",E209=""),"",SUMIF(LOANS!$B:$B,B209,LOANS!$I:$I)+ABS(PMT(IFERROR(VLOOKUP(B209,LOANS!$B:$G,6,0),12)/100/12,IFERROR(VLOOKUP(B209,LOANS!$B:$H,7,0),12),E209))),"")</f>
        <v/>
      </c>
      <c r="J209" s="44">
        <f>IF(B209="","","Active")</f>
        <v/>
      </c>
    </row>
    <row r="210" ht="20" customHeight="1">
      <c r="A210" s="47">
        <f>IF(B210="","","TU"&amp;TEXT(ROW()-2,"0000"))</f>
        <v/>
      </c>
      <c r="B210" s="26" t="n"/>
      <c r="C210" s="48">
        <f>IFERROR(IF(B210="","",VLOOKUP(B210,DATABASE!$A:$B,2,0)),"")</f>
        <v/>
      </c>
      <c r="D210" s="44">
        <f>IFERROR(IF(B210="","",VLOOKUP(B210,LOANS!$B:$A,1,0)),"")</f>
        <v/>
      </c>
      <c r="E210" s="29" t="n"/>
      <c r="F210" s="40">
        <f>IF(B210="","",TODAY())</f>
        <v/>
      </c>
      <c r="G210" s="30" t="n"/>
      <c r="H210" s="43">
        <f>IFERROR(IF(OR(B210="",E210=""),"",SUMIF(LOANS!$B:$B,B210,LOANS!$D:$D)+E210),"")</f>
        <v/>
      </c>
      <c r="I210" s="43">
        <f>IFERROR(IF(OR(B210="",E210=""),"",SUMIF(LOANS!$B:$B,B210,LOANS!$I:$I)+ABS(PMT(IFERROR(VLOOKUP(B210,LOANS!$B:$G,6,0),12)/100/12,IFERROR(VLOOKUP(B210,LOANS!$B:$H,7,0),12),E210))),"")</f>
        <v/>
      </c>
      <c r="J210" s="44">
        <f>IF(B210="","","Active")</f>
        <v/>
      </c>
    </row>
    <row r="211" ht="20" customHeight="1">
      <c r="A211" s="47">
        <f>IF(B211="","","TU"&amp;TEXT(ROW()-2,"0000"))</f>
        <v/>
      </c>
      <c r="B211" s="26" t="n"/>
      <c r="C211" s="48">
        <f>IFERROR(IF(B211="","",VLOOKUP(B211,DATABASE!$A:$B,2,0)),"")</f>
        <v/>
      </c>
      <c r="D211" s="44">
        <f>IFERROR(IF(B211="","",VLOOKUP(B211,LOANS!$B:$A,1,0)),"")</f>
        <v/>
      </c>
      <c r="E211" s="29" t="n"/>
      <c r="F211" s="40">
        <f>IF(B211="","",TODAY())</f>
        <v/>
      </c>
      <c r="G211" s="30" t="n"/>
      <c r="H211" s="43">
        <f>IFERROR(IF(OR(B211="",E211=""),"",SUMIF(LOANS!$B:$B,B211,LOANS!$D:$D)+E211),"")</f>
        <v/>
      </c>
      <c r="I211" s="43">
        <f>IFERROR(IF(OR(B211="",E211=""),"",SUMIF(LOANS!$B:$B,B211,LOANS!$I:$I)+ABS(PMT(IFERROR(VLOOKUP(B211,LOANS!$B:$G,6,0),12)/100/12,IFERROR(VLOOKUP(B211,LOANS!$B:$H,7,0),12),E211))),"")</f>
        <v/>
      </c>
      <c r="J211" s="44">
        <f>IF(B211="","","Active")</f>
        <v/>
      </c>
    </row>
    <row r="212" ht="20" customHeight="1">
      <c r="A212" s="47">
        <f>IF(B212="","","TU"&amp;TEXT(ROW()-2,"0000"))</f>
        <v/>
      </c>
      <c r="B212" s="26" t="n"/>
      <c r="C212" s="48">
        <f>IFERROR(IF(B212="","",VLOOKUP(B212,DATABASE!$A:$B,2,0)),"")</f>
        <v/>
      </c>
      <c r="D212" s="44">
        <f>IFERROR(IF(B212="","",VLOOKUP(B212,LOANS!$B:$A,1,0)),"")</f>
        <v/>
      </c>
      <c r="E212" s="29" t="n"/>
      <c r="F212" s="40">
        <f>IF(B212="","",TODAY())</f>
        <v/>
      </c>
      <c r="G212" s="30" t="n"/>
      <c r="H212" s="43">
        <f>IFERROR(IF(OR(B212="",E212=""),"",SUMIF(LOANS!$B:$B,B212,LOANS!$D:$D)+E212),"")</f>
        <v/>
      </c>
      <c r="I212" s="43">
        <f>IFERROR(IF(OR(B212="",E212=""),"",SUMIF(LOANS!$B:$B,B212,LOANS!$I:$I)+ABS(PMT(IFERROR(VLOOKUP(B212,LOANS!$B:$G,6,0),12)/100/12,IFERROR(VLOOKUP(B212,LOANS!$B:$H,7,0),12),E212))),"")</f>
        <v/>
      </c>
      <c r="J212" s="44">
        <f>IF(B212="","","Active")</f>
        <v/>
      </c>
    </row>
    <row r="213" ht="20" customHeight="1">
      <c r="A213" s="47">
        <f>IF(B213="","","TU"&amp;TEXT(ROW()-2,"0000"))</f>
        <v/>
      </c>
      <c r="B213" s="26" t="n"/>
      <c r="C213" s="48">
        <f>IFERROR(IF(B213="","",VLOOKUP(B213,DATABASE!$A:$B,2,0)),"")</f>
        <v/>
      </c>
      <c r="D213" s="44">
        <f>IFERROR(IF(B213="","",VLOOKUP(B213,LOANS!$B:$A,1,0)),"")</f>
        <v/>
      </c>
      <c r="E213" s="29" t="n"/>
      <c r="F213" s="40">
        <f>IF(B213="","",TODAY())</f>
        <v/>
      </c>
      <c r="G213" s="30" t="n"/>
      <c r="H213" s="43">
        <f>IFERROR(IF(OR(B213="",E213=""),"",SUMIF(LOANS!$B:$B,B213,LOANS!$D:$D)+E213),"")</f>
        <v/>
      </c>
      <c r="I213" s="43">
        <f>IFERROR(IF(OR(B213="",E213=""),"",SUMIF(LOANS!$B:$B,B213,LOANS!$I:$I)+ABS(PMT(IFERROR(VLOOKUP(B213,LOANS!$B:$G,6,0),12)/100/12,IFERROR(VLOOKUP(B213,LOANS!$B:$H,7,0),12),E213))),"")</f>
        <v/>
      </c>
      <c r="J213" s="44">
        <f>IF(B213="","","Active")</f>
        <v/>
      </c>
    </row>
    <row r="214" ht="20" customHeight="1">
      <c r="A214" s="47">
        <f>IF(B214="","","TU"&amp;TEXT(ROW()-2,"0000"))</f>
        <v/>
      </c>
      <c r="B214" s="26" t="n"/>
      <c r="C214" s="48">
        <f>IFERROR(IF(B214="","",VLOOKUP(B214,DATABASE!$A:$B,2,0)),"")</f>
        <v/>
      </c>
      <c r="D214" s="44">
        <f>IFERROR(IF(B214="","",VLOOKUP(B214,LOANS!$B:$A,1,0)),"")</f>
        <v/>
      </c>
      <c r="E214" s="29" t="n"/>
      <c r="F214" s="40">
        <f>IF(B214="","",TODAY())</f>
        <v/>
      </c>
      <c r="G214" s="30" t="n"/>
      <c r="H214" s="43">
        <f>IFERROR(IF(OR(B214="",E214=""),"",SUMIF(LOANS!$B:$B,B214,LOANS!$D:$D)+E214),"")</f>
        <v/>
      </c>
      <c r="I214" s="43">
        <f>IFERROR(IF(OR(B214="",E214=""),"",SUMIF(LOANS!$B:$B,B214,LOANS!$I:$I)+ABS(PMT(IFERROR(VLOOKUP(B214,LOANS!$B:$G,6,0),12)/100/12,IFERROR(VLOOKUP(B214,LOANS!$B:$H,7,0),12),E214))),"")</f>
        <v/>
      </c>
      <c r="J214" s="44">
        <f>IF(B214="","","Active")</f>
        <v/>
      </c>
    </row>
    <row r="215" ht="20" customHeight="1">
      <c r="A215" s="47">
        <f>IF(B215="","","TU"&amp;TEXT(ROW()-2,"0000"))</f>
        <v/>
      </c>
      <c r="B215" s="26" t="n"/>
      <c r="C215" s="48">
        <f>IFERROR(IF(B215="","",VLOOKUP(B215,DATABASE!$A:$B,2,0)),"")</f>
        <v/>
      </c>
      <c r="D215" s="44">
        <f>IFERROR(IF(B215="","",VLOOKUP(B215,LOANS!$B:$A,1,0)),"")</f>
        <v/>
      </c>
      <c r="E215" s="29" t="n"/>
      <c r="F215" s="40">
        <f>IF(B215="","",TODAY())</f>
        <v/>
      </c>
      <c r="G215" s="30" t="n"/>
      <c r="H215" s="43">
        <f>IFERROR(IF(OR(B215="",E215=""),"",SUMIF(LOANS!$B:$B,B215,LOANS!$D:$D)+E215),"")</f>
        <v/>
      </c>
      <c r="I215" s="43">
        <f>IFERROR(IF(OR(B215="",E215=""),"",SUMIF(LOANS!$B:$B,B215,LOANS!$I:$I)+ABS(PMT(IFERROR(VLOOKUP(B215,LOANS!$B:$G,6,0),12)/100/12,IFERROR(VLOOKUP(B215,LOANS!$B:$H,7,0),12),E215))),"")</f>
        <v/>
      </c>
      <c r="J215" s="44">
        <f>IF(B215="","","Active")</f>
        <v/>
      </c>
    </row>
    <row r="216" ht="20" customHeight="1">
      <c r="A216" s="47">
        <f>IF(B216="","","TU"&amp;TEXT(ROW()-2,"0000"))</f>
        <v/>
      </c>
      <c r="B216" s="26" t="n"/>
      <c r="C216" s="48">
        <f>IFERROR(IF(B216="","",VLOOKUP(B216,DATABASE!$A:$B,2,0)),"")</f>
        <v/>
      </c>
      <c r="D216" s="44">
        <f>IFERROR(IF(B216="","",VLOOKUP(B216,LOANS!$B:$A,1,0)),"")</f>
        <v/>
      </c>
      <c r="E216" s="29" t="n"/>
      <c r="F216" s="40">
        <f>IF(B216="","",TODAY())</f>
        <v/>
      </c>
      <c r="G216" s="30" t="n"/>
      <c r="H216" s="43">
        <f>IFERROR(IF(OR(B216="",E216=""),"",SUMIF(LOANS!$B:$B,B216,LOANS!$D:$D)+E216),"")</f>
        <v/>
      </c>
      <c r="I216" s="43">
        <f>IFERROR(IF(OR(B216="",E216=""),"",SUMIF(LOANS!$B:$B,B216,LOANS!$I:$I)+ABS(PMT(IFERROR(VLOOKUP(B216,LOANS!$B:$G,6,0),12)/100/12,IFERROR(VLOOKUP(B216,LOANS!$B:$H,7,0),12),E216))),"")</f>
        <v/>
      </c>
      <c r="J216" s="44">
        <f>IF(B216="","","Active")</f>
        <v/>
      </c>
    </row>
    <row r="217" ht="20" customHeight="1">
      <c r="A217" s="47">
        <f>IF(B217="","","TU"&amp;TEXT(ROW()-2,"0000"))</f>
        <v/>
      </c>
      <c r="B217" s="26" t="n"/>
      <c r="C217" s="48">
        <f>IFERROR(IF(B217="","",VLOOKUP(B217,DATABASE!$A:$B,2,0)),"")</f>
        <v/>
      </c>
      <c r="D217" s="44">
        <f>IFERROR(IF(B217="","",VLOOKUP(B217,LOANS!$B:$A,1,0)),"")</f>
        <v/>
      </c>
      <c r="E217" s="29" t="n"/>
      <c r="F217" s="40">
        <f>IF(B217="","",TODAY())</f>
        <v/>
      </c>
      <c r="G217" s="30" t="n"/>
      <c r="H217" s="43">
        <f>IFERROR(IF(OR(B217="",E217=""),"",SUMIF(LOANS!$B:$B,B217,LOANS!$D:$D)+E217),"")</f>
        <v/>
      </c>
      <c r="I217" s="43">
        <f>IFERROR(IF(OR(B217="",E217=""),"",SUMIF(LOANS!$B:$B,B217,LOANS!$I:$I)+ABS(PMT(IFERROR(VLOOKUP(B217,LOANS!$B:$G,6,0),12)/100/12,IFERROR(VLOOKUP(B217,LOANS!$B:$H,7,0),12),E217))),"")</f>
        <v/>
      </c>
      <c r="J217" s="44">
        <f>IF(B217="","","Active")</f>
        <v/>
      </c>
    </row>
    <row r="218" ht="20" customHeight="1">
      <c r="A218" s="47">
        <f>IF(B218="","","TU"&amp;TEXT(ROW()-2,"0000"))</f>
        <v/>
      </c>
      <c r="B218" s="26" t="n"/>
      <c r="C218" s="48">
        <f>IFERROR(IF(B218="","",VLOOKUP(B218,DATABASE!$A:$B,2,0)),"")</f>
        <v/>
      </c>
      <c r="D218" s="44">
        <f>IFERROR(IF(B218="","",VLOOKUP(B218,LOANS!$B:$A,1,0)),"")</f>
        <v/>
      </c>
      <c r="E218" s="29" t="n"/>
      <c r="F218" s="40">
        <f>IF(B218="","",TODAY())</f>
        <v/>
      </c>
      <c r="G218" s="30" t="n"/>
      <c r="H218" s="43">
        <f>IFERROR(IF(OR(B218="",E218=""),"",SUMIF(LOANS!$B:$B,B218,LOANS!$D:$D)+E218),"")</f>
        <v/>
      </c>
      <c r="I218" s="43">
        <f>IFERROR(IF(OR(B218="",E218=""),"",SUMIF(LOANS!$B:$B,B218,LOANS!$I:$I)+ABS(PMT(IFERROR(VLOOKUP(B218,LOANS!$B:$G,6,0),12)/100/12,IFERROR(VLOOKUP(B218,LOANS!$B:$H,7,0),12),E218))),"")</f>
        <v/>
      </c>
      <c r="J218" s="44">
        <f>IF(B218="","","Active")</f>
        <v/>
      </c>
    </row>
    <row r="219" ht="20" customHeight="1">
      <c r="A219" s="47">
        <f>IF(B219="","","TU"&amp;TEXT(ROW()-2,"0000"))</f>
        <v/>
      </c>
      <c r="B219" s="26" t="n"/>
      <c r="C219" s="48">
        <f>IFERROR(IF(B219="","",VLOOKUP(B219,DATABASE!$A:$B,2,0)),"")</f>
        <v/>
      </c>
      <c r="D219" s="44">
        <f>IFERROR(IF(B219="","",VLOOKUP(B219,LOANS!$B:$A,1,0)),"")</f>
        <v/>
      </c>
      <c r="E219" s="29" t="n"/>
      <c r="F219" s="40">
        <f>IF(B219="","",TODAY())</f>
        <v/>
      </c>
      <c r="G219" s="30" t="n"/>
      <c r="H219" s="43">
        <f>IFERROR(IF(OR(B219="",E219=""),"",SUMIF(LOANS!$B:$B,B219,LOANS!$D:$D)+E219),"")</f>
        <v/>
      </c>
      <c r="I219" s="43">
        <f>IFERROR(IF(OR(B219="",E219=""),"",SUMIF(LOANS!$B:$B,B219,LOANS!$I:$I)+ABS(PMT(IFERROR(VLOOKUP(B219,LOANS!$B:$G,6,0),12)/100/12,IFERROR(VLOOKUP(B219,LOANS!$B:$H,7,0),12),E219))),"")</f>
        <v/>
      </c>
      <c r="J219" s="44">
        <f>IF(B219="","","Active")</f>
        <v/>
      </c>
    </row>
    <row r="220" ht="20" customHeight="1">
      <c r="A220" s="47">
        <f>IF(B220="","","TU"&amp;TEXT(ROW()-2,"0000"))</f>
        <v/>
      </c>
      <c r="B220" s="26" t="n"/>
      <c r="C220" s="48">
        <f>IFERROR(IF(B220="","",VLOOKUP(B220,DATABASE!$A:$B,2,0)),"")</f>
        <v/>
      </c>
      <c r="D220" s="44">
        <f>IFERROR(IF(B220="","",VLOOKUP(B220,LOANS!$B:$A,1,0)),"")</f>
        <v/>
      </c>
      <c r="E220" s="29" t="n"/>
      <c r="F220" s="40">
        <f>IF(B220="","",TODAY())</f>
        <v/>
      </c>
      <c r="G220" s="30" t="n"/>
      <c r="H220" s="43">
        <f>IFERROR(IF(OR(B220="",E220=""),"",SUMIF(LOANS!$B:$B,B220,LOANS!$D:$D)+E220),"")</f>
        <v/>
      </c>
      <c r="I220" s="43">
        <f>IFERROR(IF(OR(B220="",E220=""),"",SUMIF(LOANS!$B:$B,B220,LOANS!$I:$I)+ABS(PMT(IFERROR(VLOOKUP(B220,LOANS!$B:$G,6,0),12)/100/12,IFERROR(VLOOKUP(B220,LOANS!$B:$H,7,0),12),E220))),"")</f>
        <v/>
      </c>
      <c r="J220" s="44">
        <f>IF(B220="","","Active")</f>
        <v/>
      </c>
    </row>
    <row r="221" ht="20" customHeight="1">
      <c r="A221" s="47">
        <f>IF(B221="","","TU"&amp;TEXT(ROW()-2,"0000"))</f>
        <v/>
      </c>
      <c r="B221" s="26" t="n"/>
      <c r="C221" s="48">
        <f>IFERROR(IF(B221="","",VLOOKUP(B221,DATABASE!$A:$B,2,0)),"")</f>
        <v/>
      </c>
      <c r="D221" s="44">
        <f>IFERROR(IF(B221="","",VLOOKUP(B221,LOANS!$B:$A,1,0)),"")</f>
        <v/>
      </c>
      <c r="E221" s="29" t="n"/>
      <c r="F221" s="40">
        <f>IF(B221="","",TODAY())</f>
        <v/>
      </c>
      <c r="G221" s="30" t="n"/>
      <c r="H221" s="43">
        <f>IFERROR(IF(OR(B221="",E221=""),"",SUMIF(LOANS!$B:$B,B221,LOANS!$D:$D)+E221),"")</f>
        <v/>
      </c>
      <c r="I221" s="43">
        <f>IFERROR(IF(OR(B221="",E221=""),"",SUMIF(LOANS!$B:$B,B221,LOANS!$I:$I)+ABS(PMT(IFERROR(VLOOKUP(B221,LOANS!$B:$G,6,0),12)/100/12,IFERROR(VLOOKUP(B221,LOANS!$B:$H,7,0),12),E221))),"")</f>
        <v/>
      </c>
      <c r="J221" s="44">
        <f>IF(B221="","","Active")</f>
        <v/>
      </c>
    </row>
    <row r="222" ht="20" customHeight="1">
      <c r="A222" s="47">
        <f>IF(B222="","","TU"&amp;TEXT(ROW()-2,"0000"))</f>
        <v/>
      </c>
      <c r="B222" s="26" t="n"/>
      <c r="C222" s="48">
        <f>IFERROR(IF(B222="","",VLOOKUP(B222,DATABASE!$A:$B,2,0)),"")</f>
        <v/>
      </c>
      <c r="D222" s="44">
        <f>IFERROR(IF(B222="","",VLOOKUP(B222,LOANS!$B:$A,1,0)),"")</f>
        <v/>
      </c>
      <c r="E222" s="29" t="n"/>
      <c r="F222" s="40">
        <f>IF(B222="","",TODAY())</f>
        <v/>
      </c>
      <c r="G222" s="30" t="n"/>
      <c r="H222" s="43">
        <f>IFERROR(IF(OR(B222="",E222=""),"",SUMIF(LOANS!$B:$B,B222,LOANS!$D:$D)+E222),"")</f>
        <v/>
      </c>
      <c r="I222" s="43">
        <f>IFERROR(IF(OR(B222="",E222=""),"",SUMIF(LOANS!$B:$B,B222,LOANS!$I:$I)+ABS(PMT(IFERROR(VLOOKUP(B222,LOANS!$B:$G,6,0),12)/100/12,IFERROR(VLOOKUP(B222,LOANS!$B:$H,7,0),12),E222))),"")</f>
        <v/>
      </c>
      <c r="J222" s="44">
        <f>IF(B222="","","Active")</f>
        <v/>
      </c>
    </row>
    <row r="223" ht="20" customHeight="1">
      <c r="A223" s="47">
        <f>IF(B223="","","TU"&amp;TEXT(ROW()-2,"0000"))</f>
        <v/>
      </c>
      <c r="B223" s="26" t="n"/>
      <c r="C223" s="48">
        <f>IFERROR(IF(B223="","",VLOOKUP(B223,DATABASE!$A:$B,2,0)),"")</f>
        <v/>
      </c>
      <c r="D223" s="44">
        <f>IFERROR(IF(B223="","",VLOOKUP(B223,LOANS!$B:$A,1,0)),"")</f>
        <v/>
      </c>
      <c r="E223" s="29" t="n"/>
      <c r="F223" s="40">
        <f>IF(B223="","",TODAY())</f>
        <v/>
      </c>
      <c r="G223" s="30" t="n"/>
      <c r="H223" s="43">
        <f>IFERROR(IF(OR(B223="",E223=""),"",SUMIF(LOANS!$B:$B,B223,LOANS!$D:$D)+E223),"")</f>
        <v/>
      </c>
      <c r="I223" s="43">
        <f>IFERROR(IF(OR(B223="",E223=""),"",SUMIF(LOANS!$B:$B,B223,LOANS!$I:$I)+ABS(PMT(IFERROR(VLOOKUP(B223,LOANS!$B:$G,6,0),12)/100/12,IFERROR(VLOOKUP(B223,LOANS!$B:$H,7,0),12),E223))),"")</f>
        <v/>
      </c>
      <c r="J223" s="44">
        <f>IF(B223="","","Active")</f>
        <v/>
      </c>
    </row>
    <row r="224" ht="20" customHeight="1">
      <c r="A224" s="47">
        <f>IF(B224="","","TU"&amp;TEXT(ROW()-2,"0000"))</f>
        <v/>
      </c>
      <c r="B224" s="26" t="n"/>
      <c r="C224" s="48">
        <f>IFERROR(IF(B224="","",VLOOKUP(B224,DATABASE!$A:$B,2,0)),"")</f>
        <v/>
      </c>
      <c r="D224" s="44">
        <f>IFERROR(IF(B224="","",VLOOKUP(B224,LOANS!$B:$A,1,0)),"")</f>
        <v/>
      </c>
      <c r="E224" s="29" t="n"/>
      <c r="F224" s="40">
        <f>IF(B224="","",TODAY())</f>
        <v/>
      </c>
      <c r="G224" s="30" t="n"/>
      <c r="H224" s="43">
        <f>IFERROR(IF(OR(B224="",E224=""),"",SUMIF(LOANS!$B:$B,B224,LOANS!$D:$D)+E224),"")</f>
        <v/>
      </c>
      <c r="I224" s="43">
        <f>IFERROR(IF(OR(B224="",E224=""),"",SUMIF(LOANS!$B:$B,B224,LOANS!$I:$I)+ABS(PMT(IFERROR(VLOOKUP(B224,LOANS!$B:$G,6,0),12)/100/12,IFERROR(VLOOKUP(B224,LOANS!$B:$H,7,0),12),E224))),"")</f>
        <v/>
      </c>
      <c r="J224" s="44">
        <f>IF(B224="","","Active")</f>
        <v/>
      </c>
    </row>
    <row r="225" ht="20" customHeight="1">
      <c r="A225" s="47">
        <f>IF(B225="","","TU"&amp;TEXT(ROW()-2,"0000"))</f>
        <v/>
      </c>
      <c r="B225" s="26" t="n"/>
      <c r="C225" s="48">
        <f>IFERROR(IF(B225="","",VLOOKUP(B225,DATABASE!$A:$B,2,0)),"")</f>
        <v/>
      </c>
      <c r="D225" s="44">
        <f>IFERROR(IF(B225="","",VLOOKUP(B225,LOANS!$B:$A,1,0)),"")</f>
        <v/>
      </c>
      <c r="E225" s="29" t="n"/>
      <c r="F225" s="40">
        <f>IF(B225="","",TODAY())</f>
        <v/>
      </c>
      <c r="G225" s="30" t="n"/>
      <c r="H225" s="43">
        <f>IFERROR(IF(OR(B225="",E225=""),"",SUMIF(LOANS!$B:$B,B225,LOANS!$D:$D)+E225),"")</f>
        <v/>
      </c>
      <c r="I225" s="43">
        <f>IFERROR(IF(OR(B225="",E225=""),"",SUMIF(LOANS!$B:$B,B225,LOANS!$I:$I)+ABS(PMT(IFERROR(VLOOKUP(B225,LOANS!$B:$G,6,0),12)/100/12,IFERROR(VLOOKUP(B225,LOANS!$B:$H,7,0),12),E225))),"")</f>
        <v/>
      </c>
      <c r="J225" s="44">
        <f>IF(B225="","","Active")</f>
        <v/>
      </c>
    </row>
    <row r="226" ht="20" customHeight="1">
      <c r="A226" s="47">
        <f>IF(B226="","","TU"&amp;TEXT(ROW()-2,"0000"))</f>
        <v/>
      </c>
      <c r="B226" s="26" t="n"/>
      <c r="C226" s="48">
        <f>IFERROR(IF(B226="","",VLOOKUP(B226,DATABASE!$A:$B,2,0)),"")</f>
        <v/>
      </c>
      <c r="D226" s="44">
        <f>IFERROR(IF(B226="","",VLOOKUP(B226,LOANS!$B:$A,1,0)),"")</f>
        <v/>
      </c>
      <c r="E226" s="29" t="n"/>
      <c r="F226" s="40">
        <f>IF(B226="","",TODAY())</f>
        <v/>
      </c>
      <c r="G226" s="30" t="n"/>
      <c r="H226" s="43">
        <f>IFERROR(IF(OR(B226="",E226=""),"",SUMIF(LOANS!$B:$B,B226,LOANS!$D:$D)+E226),"")</f>
        <v/>
      </c>
      <c r="I226" s="43">
        <f>IFERROR(IF(OR(B226="",E226=""),"",SUMIF(LOANS!$B:$B,B226,LOANS!$I:$I)+ABS(PMT(IFERROR(VLOOKUP(B226,LOANS!$B:$G,6,0),12)/100/12,IFERROR(VLOOKUP(B226,LOANS!$B:$H,7,0),12),E226))),"")</f>
        <v/>
      </c>
      <c r="J226" s="44">
        <f>IF(B226="","","Active")</f>
        <v/>
      </c>
    </row>
    <row r="227" ht="20" customHeight="1">
      <c r="A227" s="47">
        <f>IF(B227="","","TU"&amp;TEXT(ROW()-2,"0000"))</f>
        <v/>
      </c>
      <c r="B227" s="26" t="n"/>
      <c r="C227" s="48">
        <f>IFERROR(IF(B227="","",VLOOKUP(B227,DATABASE!$A:$B,2,0)),"")</f>
        <v/>
      </c>
      <c r="D227" s="44">
        <f>IFERROR(IF(B227="","",VLOOKUP(B227,LOANS!$B:$A,1,0)),"")</f>
        <v/>
      </c>
      <c r="E227" s="29" t="n"/>
      <c r="F227" s="40">
        <f>IF(B227="","",TODAY())</f>
        <v/>
      </c>
      <c r="G227" s="30" t="n"/>
      <c r="H227" s="43">
        <f>IFERROR(IF(OR(B227="",E227=""),"",SUMIF(LOANS!$B:$B,B227,LOANS!$D:$D)+E227),"")</f>
        <v/>
      </c>
      <c r="I227" s="43">
        <f>IFERROR(IF(OR(B227="",E227=""),"",SUMIF(LOANS!$B:$B,B227,LOANS!$I:$I)+ABS(PMT(IFERROR(VLOOKUP(B227,LOANS!$B:$G,6,0),12)/100/12,IFERROR(VLOOKUP(B227,LOANS!$B:$H,7,0),12),E227))),"")</f>
        <v/>
      </c>
      <c r="J227" s="44">
        <f>IF(B227="","","Active")</f>
        <v/>
      </c>
    </row>
    <row r="228" ht="20" customHeight="1">
      <c r="A228" s="47">
        <f>IF(B228="","","TU"&amp;TEXT(ROW()-2,"0000"))</f>
        <v/>
      </c>
      <c r="B228" s="26" t="n"/>
      <c r="C228" s="48">
        <f>IFERROR(IF(B228="","",VLOOKUP(B228,DATABASE!$A:$B,2,0)),"")</f>
        <v/>
      </c>
      <c r="D228" s="44">
        <f>IFERROR(IF(B228="","",VLOOKUP(B228,LOANS!$B:$A,1,0)),"")</f>
        <v/>
      </c>
      <c r="E228" s="29" t="n"/>
      <c r="F228" s="40">
        <f>IF(B228="","",TODAY())</f>
        <v/>
      </c>
      <c r="G228" s="30" t="n"/>
      <c r="H228" s="43">
        <f>IFERROR(IF(OR(B228="",E228=""),"",SUMIF(LOANS!$B:$B,B228,LOANS!$D:$D)+E228),"")</f>
        <v/>
      </c>
      <c r="I228" s="43">
        <f>IFERROR(IF(OR(B228="",E228=""),"",SUMIF(LOANS!$B:$B,B228,LOANS!$I:$I)+ABS(PMT(IFERROR(VLOOKUP(B228,LOANS!$B:$G,6,0),12)/100/12,IFERROR(VLOOKUP(B228,LOANS!$B:$H,7,0),12),E228))),"")</f>
        <v/>
      </c>
      <c r="J228" s="44">
        <f>IF(B228="","","Active")</f>
        <v/>
      </c>
    </row>
    <row r="229" ht="20" customHeight="1">
      <c r="A229" s="47">
        <f>IF(B229="","","TU"&amp;TEXT(ROW()-2,"0000"))</f>
        <v/>
      </c>
      <c r="B229" s="26" t="n"/>
      <c r="C229" s="48">
        <f>IFERROR(IF(B229="","",VLOOKUP(B229,DATABASE!$A:$B,2,0)),"")</f>
        <v/>
      </c>
      <c r="D229" s="44">
        <f>IFERROR(IF(B229="","",VLOOKUP(B229,LOANS!$B:$A,1,0)),"")</f>
        <v/>
      </c>
      <c r="E229" s="29" t="n"/>
      <c r="F229" s="40">
        <f>IF(B229="","",TODAY())</f>
        <v/>
      </c>
      <c r="G229" s="30" t="n"/>
      <c r="H229" s="43">
        <f>IFERROR(IF(OR(B229="",E229=""),"",SUMIF(LOANS!$B:$B,B229,LOANS!$D:$D)+E229),"")</f>
        <v/>
      </c>
      <c r="I229" s="43">
        <f>IFERROR(IF(OR(B229="",E229=""),"",SUMIF(LOANS!$B:$B,B229,LOANS!$I:$I)+ABS(PMT(IFERROR(VLOOKUP(B229,LOANS!$B:$G,6,0),12)/100/12,IFERROR(VLOOKUP(B229,LOANS!$B:$H,7,0),12),E229))),"")</f>
        <v/>
      </c>
      <c r="J229" s="44">
        <f>IF(B229="","","Active")</f>
        <v/>
      </c>
    </row>
    <row r="230" ht="20" customHeight="1">
      <c r="A230" s="47">
        <f>IF(B230="","","TU"&amp;TEXT(ROW()-2,"0000"))</f>
        <v/>
      </c>
      <c r="B230" s="26" t="n"/>
      <c r="C230" s="48">
        <f>IFERROR(IF(B230="","",VLOOKUP(B230,DATABASE!$A:$B,2,0)),"")</f>
        <v/>
      </c>
      <c r="D230" s="44">
        <f>IFERROR(IF(B230="","",VLOOKUP(B230,LOANS!$B:$A,1,0)),"")</f>
        <v/>
      </c>
      <c r="E230" s="29" t="n"/>
      <c r="F230" s="40">
        <f>IF(B230="","",TODAY())</f>
        <v/>
      </c>
      <c r="G230" s="30" t="n"/>
      <c r="H230" s="43">
        <f>IFERROR(IF(OR(B230="",E230=""),"",SUMIF(LOANS!$B:$B,B230,LOANS!$D:$D)+E230),"")</f>
        <v/>
      </c>
      <c r="I230" s="43">
        <f>IFERROR(IF(OR(B230="",E230=""),"",SUMIF(LOANS!$B:$B,B230,LOANS!$I:$I)+ABS(PMT(IFERROR(VLOOKUP(B230,LOANS!$B:$G,6,0),12)/100/12,IFERROR(VLOOKUP(B230,LOANS!$B:$H,7,0),12),E230))),"")</f>
        <v/>
      </c>
      <c r="J230" s="44">
        <f>IF(B230="","","Active")</f>
        <v/>
      </c>
    </row>
    <row r="231" ht="20" customHeight="1">
      <c r="A231" s="47">
        <f>IF(B231="","","TU"&amp;TEXT(ROW()-2,"0000"))</f>
        <v/>
      </c>
      <c r="B231" s="26" t="n"/>
      <c r="C231" s="48">
        <f>IFERROR(IF(B231="","",VLOOKUP(B231,DATABASE!$A:$B,2,0)),"")</f>
        <v/>
      </c>
      <c r="D231" s="44">
        <f>IFERROR(IF(B231="","",VLOOKUP(B231,LOANS!$B:$A,1,0)),"")</f>
        <v/>
      </c>
      <c r="E231" s="29" t="n"/>
      <c r="F231" s="40">
        <f>IF(B231="","",TODAY())</f>
        <v/>
      </c>
      <c r="G231" s="30" t="n"/>
      <c r="H231" s="43">
        <f>IFERROR(IF(OR(B231="",E231=""),"",SUMIF(LOANS!$B:$B,B231,LOANS!$D:$D)+E231),"")</f>
        <v/>
      </c>
      <c r="I231" s="43">
        <f>IFERROR(IF(OR(B231="",E231=""),"",SUMIF(LOANS!$B:$B,B231,LOANS!$I:$I)+ABS(PMT(IFERROR(VLOOKUP(B231,LOANS!$B:$G,6,0),12)/100/12,IFERROR(VLOOKUP(B231,LOANS!$B:$H,7,0),12),E231))),"")</f>
        <v/>
      </c>
      <c r="J231" s="44">
        <f>IF(B231="","","Active")</f>
        <v/>
      </c>
    </row>
    <row r="232" ht="20" customHeight="1">
      <c r="A232" s="47">
        <f>IF(B232="","","TU"&amp;TEXT(ROW()-2,"0000"))</f>
        <v/>
      </c>
      <c r="B232" s="26" t="n"/>
      <c r="C232" s="48">
        <f>IFERROR(IF(B232="","",VLOOKUP(B232,DATABASE!$A:$B,2,0)),"")</f>
        <v/>
      </c>
      <c r="D232" s="44">
        <f>IFERROR(IF(B232="","",VLOOKUP(B232,LOANS!$B:$A,1,0)),"")</f>
        <v/>
      </c>
      <c r="E232" s="29" t="n"/>
      <c r="F232" s="40">
        <f>IF(B232="","",TODAY())</f>
        <v/>
      </c>
      <c r="G232" s="30" t="n"/>
      <c r="H232" s="43">
        <f>IFERROR(IF(OR(B232="",E232=""),"",SUMIF(LOANS!$B:$B,B232,LOANS!$D:$D)+E232),"")</f>
        <v/>
      </c>
      <c r="I232" s="43">
        <f>IFERROR(IF(OR(B232="",E232=""),"",SUMIF(LOANS!$B:$B,B232,LOANS!$I:$I)+ABS(PMT(IFERROR(VLOOKUP(B232,LOANS!$B:$G,6,0),12)/100/12,IFERROR(VLOOKUP(B232,LOANS!$B:$H,7,0),12),E232))),"")</f>
        <v/>
      </c>
      <c r="J232" s="44">
        <f>IF(B232="","","Active")</f>
        <v/>
      </c>
    </row>
    <row r="233" ht="20" customHeight="1">
      <c r="A233" s="47">
        <f>IF(B233="","","TU"&amp;TEXT(ROW()-2,"0000"))</f>
        <v/>
      </c>
      <c r="B233" s="26" t="n"/>
      <c r="C233" s="48">
        <f>IFERROR(IF(B233="","",VLOOKUP(B233,DATABASE!$A:$B,2,0)),"")</f>
        <v/>
      </c>
      <c r="D233" s="44">
        <f>IFERROR(IF(B233="","",VLOOKUP(B233,LOANS!$B:$A,1,0)),"")</f>
        <v/>
      </c>
      <c r="E233" s="29" t="n"/>
      <c r="F233" s="40">
        <f>IF(B233="","",TODAY())</f>
        <v/>
      </c>
      <c r="G233" s="30" t="n"/>
      <c r="H233" s="43">
        <f>IFERROR(IF(OR(B233="",E233=""),"",SUMIF(LOANS!$B:$B,B233,LOANS!$D:$D)+E233),"")</f>
        <v/>
      </c>
      <c r="I233" s="43">
        <f>IFERROR(IF(OR(B233="",E233=""),"",SUMIF(LOANS!$B:$B,B233,LOANS!$I:$I)+ABS(PMT(IFERROR(VLOOKUP(B233,LOANS!$B:$G,6,0),12)/100/12,IFERROR(VLOOKUP(B233,LOANS!$B:$H,7,0),12),E233))),"")</f>
        <v/>
      </c>
      <c r="J233" s="44">
        <f>IF(B233="","","Active")</f>
        <v/>
      </c>
    </row>
    <row r="234" ht="20" customHeight="1">
      <c r="A234" s="47">
        <f>IF(B234="","","TU"&amp;TEXT(ROW()-2,"0000"))</f>
        <v/>
      </c>
      <c r="B234" s="26" t="n"/>
      <c r="C234" s="48">
        <f>IFERROR(IF(B234="","",VLOOKUP(B234,DATABASE!$A:$B,2,0)),"")</f>
        <v/>
      </c>
      <c r="D234" s="44">
        <f>IFERROR(IF(B234="","",VLOOKUP(B234,LOANS!$B:$A,1,0)),"")</f>
        <v/>
      </c>
      <c r="E234" s="29" t="n"/>
      <c r="F234" s="40">
        <f>IF(B234="","",TODAY())</f>
        <v/>
      </c>
      <c r="G234" s="30" t="n"/>
      <c r="H234" s="43">
        <f>IFERROR(IF(OR(B234="",E234=""),"",SUMIF(LOANS!$B:$B,B234,LOANS!$D:$D)+E234),"")</f>
        <v/>
      </c>
      <c r="I234" s="43">
        <f>IFERROR(IF(OR(B234="",E234=""),"",SUMIF(LOANS!$B:$B,B234,LOANS!$I:$I)+ABS(PMT(IFERROR(VLOOKUP(B234,LOANS!$B:$G,6,0),12)/100/12,IFERROR(VLOOKUP(B234,LOANS!$B:$H,7,0),12),E234))),"")</f>
        <v/>
      </c>
      <c r="J234" s="44">
        <f>IF(B234="","","Active")</f>
        <v/>
      </c>
    </row>
    <row r="235" ht="20" customHeight="1">
      <c r="A235" s="47">
        <f>IF(B235="","","TU"&amp;TEXT(ROW()-2,"0000"))</f>
        <v/>
      </c>
      <c r="B235" s="26" t="n"/>
      <c r="C235" s="48">
        <f>IFERROR(IF(B235="","",VLOOKUP(B235,DATABASE!$A:$B,2,0)),"")</f>
        <v/>
      </c>
      <c r="D235" s="44">
        <f>IFERROR(IF(B235="","",VLOOKUP(B235,LOANS!$B:$A,1,0)),"")</f>
        <v/>
      </c>
      <c r="E235" s="29" t="n"/>
      <c r="F235" s="40">
        <f>IF(B235="","",TODAY())</f>
        <v/>
      </c>
      <c r="G235" s="30" t="n"/>
      <c r="H235" s="43">
        <f>IFERROR(IF(OR(B235="",E235=""),"",SUMIF(LOANS!$B:$B,B235,LOANS!$D:$D)+E235),"")</f>
        <v/>
      </c>
      <c r="I235" s="43">
        <f>IFERROR(IF(OR(B235="",E235=""),"",SUMIF(LOANS!$B:$B,B235,LOANS!$I:$I)+ABS(PMT(IFERROR(VLOOKUP(B235,LOANS!$B:$G,6,0),12)/100/12,IFERROR(VLOOKUP(B235,LOANS!$B:$H,7,0),12),E235))),"")</f>
        <v/>
      </c>
      <c r="J235" s="44">
        <f>IF(B235="","","Active")</f>
        <v/>
      </c>
    </row>
    <row r="236" ht="20" customHeight="1">
      <c r="A236" s="47">
        <f>IF(B236="","","TU"&amp;TEXT(ROW()-2,"0000"))</f>
        <v/>
      </c>
      <c r="B236" s="26" t="n"/>
      <c r="C236" s="48">
        <f>IFERROR(IF(B236="","",VLOOKUP(B236,DATABASE!$A:$B,2,0)),"")</f>
        <v/>
      </c>
      <c r="D236" s="44">
        <f>IFERROR(IF(B236="","",VLOOKUP(B236,LOANS!$B:$A,1,0)),"")</f>
        <v/>
      </c>
      <c r="E236" s="29" t="n"/>
      <c r="F236" s="40">
        <f>IF(B236="","",TODAY())</f>
        <v/>
      </c>
      <c r="G236" s="30" t="n"/>
      <c r="H236" s="43">
        <f>IFERROR(IF(OR(B236="",E236=""),"",SUMIF(LOANS!$B:$B,B236,LOANS!$D:$D)+E236),"")</f>
        <v/>
      </c>
      <c r="I236" s="43">
        <f>IFERROR(IF(OR(B236="",E236=""),"",SUMIF(LOANS!$B:$B,B236,LOANS!$I:$I)+ABS(PMT(IFERROR(VLOOKUP(B236,LOANS!$B:$G,6,0),12)/100/12,IFERROR(VLOOKUP(B236,LOANS!$B:$H,7,0),12),E236))),"")</f>
        <v/>
      </c>
      <c r="J236" s="44">
        <f>IF(B236="","","Active")</f>
        <v/>
      </c>
    </row>
    <row r="237" ht="20" customHeight="1">
      <c r="A237" s="47">
        <f>IF(B237="","","TU"&amp;TEXT(ROW()-2,"0000"))</f>
        <v/>
      </c>
      <c r="B237" s="26" t="n"/>
      <c r="C237" s="48">
        <f>IFERROR(IF(B237="","",VLOOKUP(B237,DATABASE!$A:$B,2,0)),"")</f>
        <v/>
      </c>
      <c r="D237" s="44">
        <f>IFERROR(IF(B237="","",VLOOKUP(B237,LOANS!$B:$A,1,0)),"")</f>
        <v/>
      </c>
      <c r="E237" s="29" t="n"/>
      <c r="F237" s="40">
        <f>IF(B237="","",TODAY())</f>
        <v/>
      </c>
      <c r="G237" s="30" t="n"/>
      <c r="H237" s="43">
        <f>IFERROR(IF(OR(B237="",E237=""),"",SUMIF(LOANS!$B:$B,B237,LOANS!$D:$D)+E237),"")</f>
        <v/>
      </c>
      <c r="I237" s="43">
        <f>IFERROR(IF(OR(B237="",E237=""),"",SUMIF(LOANS!$B:$B,B237,LOANS!$I:$I)+ABS(PMT(IFERROR(VLOOKUP(B237,LOANS!$B:$G,6,0),12)/100/12,IFERROR(VLOOKUP(B237,LOANS!$B:$H,7,0),12),E237))),"")</f>
        <v/>
      </c>
      <c r="J237" s="44">
        <f>IF(B237="","","Active")</f>
        <v/>
      </c>
    </row>
    <row r="238" ht="20" customHeight="1">
      <c r="A238" s="47">
        <f>IF(B238="","","TU"&amp;TEXT(ROW()-2,"0000"))</f>
        <v/>
      </c>
      <c r="B238" s="26" t="n"/>
      <c r="C238" s="48">
        <f>IFERROR(IF(B238="","",VLOOKUP(B238,DATABASE!$A:$B,2,0)),"")</f>
        <v/>
      </c>
      <c r="D238" s="44">
        <f>IFERROR(IF(B238="","",VLOOKUP(B238,LOANS!$B:$A,1,0)),"")</f>
        <v/>
      </c>
      <c r="E238" s="29" t="n"/>
      <c r="F238" s="40">
        <f>IF(B238="","",TODAY())</f>
        <v/>
      </c>
      <c r="G238" s="30" t="n"/>
      <c r="H238" s="43">
        <f>IFERROR(IF(OR(B238="",E238=""),"",SUMIF(LOANS!$B:$B,B238,LOANS!$D:$D)+E238),"")</f>
        <v/>
      </c>
      <c r="I238" s="43">
        <f>IFERROR(IF(OR(B238="",E238=""),"",SUMIF(LOANS!$B:$B,B238,LOANS!$I:$I)+ABS(PMT(IFERROR(VLOOKUP(B238,LOANS!$B:$G,6,0),12)/100/12,IFERROR(VLOOKUP(B238,LOANS!$B:$H,7,0),12),E238))),"")</f>
        <v/>
      </c>
      <c r="J238" s="44">
        <f>IF(B238="","","Active")</f>
        <v/>
      </c>
    </row>
    <row r="239" ht="20" customHeight="1">
      <c r="A239" s="47">
        <f>IF(B239="","","TU"&amp;TEXT(ROW()-2,"0000"))</f>
        <v/>
      </c>
      <c r="B239" s="26" t="n"/>
      <c r="C239" s="48">
        <f>IFERROR(IF(B239="","",VLOOKUP(B239,DATABASE!$A:$B,2,0)),"")</f>
        <v/>
      </c>
      <c r="D239" s="44">
        <f>IFERROR(IF(B239="","",VLOOKUP(B239,LOANS!$B:$A,1,0)),"")</f>
        <v/>
      </c>
      <c r="E239" s="29" t="n"/>
      <c r="F239" s="40">
        <f>IF(B239="","",TODAY())</f>
        <v/>
      </c>
      <c r="G239" s="30" t="n"/>
      <c r="H239" s="43">
        <f>IFERROR(IF(OR(B239="",E239=""),"",SUMIF(LOANS!$B:$B,B239,LOANS!$D:$D)+E239),"")</f>
        <v/>
      </c>
      <c r="I239" s="43">
        <f>IFERROR(IF(OR(B239="",E239=""),"",SUMIF(LOANS!$B:$B,B239,LOANS!$I:$I)+ABS(PMT(IFERROR(VLOOKUP(B239,LOANS!$B:$G,6,0),12)/100/12,IFERROR(VLOOKUP(B239,LOANS!$B:$H,7,0),12),E239))),"")</f>
        <v/>
      </c>
      <c r="J239" s="44">
        <f>IF(B239="","","Active")</f>
        <v/>
      </c>
    </row>
    <row r="240" ht="20" customHeight="1">
      <c r="A240" s="47">
        <f>IF(B240="","","TU"&amp;TEXT(ROW()-2,"0000"))</f>
        <v/>
      </c>
      <c r="B240" s="26" t="n"/>
      <c r="C240" s="48">
        <f>IFERROR(IF(B240="","",VLOOKUP(B240,DATABASE!$A:$B,2,0)),"")</f>
        <v/>
      </c>
      <c r="D240" s="44">
        <f>IFERROR(IF(B240="","",VLOOKUP(B240,LOANS!$B:$A,1,0)),"")</f>
        <v/>
      </c>
      <c r="E240" s="29" t="n"/>
      <c r="F240" s="40">
        <f>IF(B240="","",TODAY())</f>
        <v/>
      </c>
      <c r="G240" s="30" t="n"/>
      <c r="H240" s="43">
        <f>IFERROR(IF(OR(B240="",E240=""),"",SUMIF(LOANS!$B:$B,B240,LOANS!$D:$D)+E240),"")</f>
        <v/>
      </c>
      <c r="I240" s="43">
        <f>IFERROR(IF(OR(B240="",E240=""),"",SUMIF(LOANS!$B:$B,B240,LOANS!$I:$I)+ABS(PMT(IFERROR(VLOOKUP(B240,LOANS!$B:$G,6,0),12)/100/12,IFERROR(VLOOKUP(B240,LOANS!$B:$H,7,0),12),E240))),"")</f>
        <v/>
      </c>
      <c r="J240" s="44">
        <f>IF(B240="","","Active")</f>
        <v/>
      </c>
    </row>
    <row r="241" ht="20" customHeight="1">
      <c r="A241" s="47">
        <f>IF(B241="","","TU"&amp;TEXT(ROW()-2,"0000"))</f>
        <v/>
      </c>
      <c r="B241" s="26" t="n"/>
      <c r="C241" s="48">
        <f>IFERROR(IF(B241="","",VLOOKUP(B241,DATABASE!$A:$B,2,0)),"")</f>
        <v/>
      </c>
      <c r="D241" s="44">
        <f>IFERROR(IF(B241="","",VLOOKUP(B241,LOANS!$B:$A,1,0)),"")</f>
        <v/>
      </c>
      <c r="E241" s="29" t="n"/>
      <c r="F241" s="40">
        <f>IF(B241="","",TODAY())</f>
        <v/>
      </c>
      <c r="G241" s="30" t="n"/>
      <c r="H241" s="43">
        <f>IFERROR(IF(OR(B241="",E241=""),"",SUMIF(LOANS!$B:$B,B241,LOANS!$D:$D)+E241),"")</f>
        <v/>
      </c>
      <c r="I241" s="43">
        <f>IFERROR(IF(OR(B241="",E241=""),"",SUMIF(LOANS!$B:$B,B241,LOANS!$I:$I)+ABS(PMT(IFERROR(VLOOKUP(B241,LOANS!$B:$G,6,0),12)/100/12,IFERROR(VLOOKUP(B241,LOANS!$B:$H,7,0),12),E241))),"")</f>
        <v/>
      </c>
      <c r="J241" s="44">
        <f>IF(B241="","","Active")</f>
        <v/>
      </c>
    </row>
    <row r="242" ht="20" customHeight="1">
      <c r="A242" s="47">
        <f>IF(B242="","","TU"&amp;TEXT(ROW()-2,"0000"))</f>
        <v/>
      </c>
      <c r="B242" s="26" t="n"/>
      <c r="C242" s="48">
        <f>IFERROR(IF(B242="","",VLOOKUP(B242,DATABASE!$A:$B,2,0)),"")</f>
        <v/>
      </c>
      <c r="D242" s="44">
        <f>IFERROR(IF(B242="","",VLOOKUP(B242,LOANS!$B:$A,1,0)),"")</f>
        <v/>
      </c>
      <c r="E242" s="29" t="n"/>
      <c r="F242" s="40">
        <f>IF(B242="","",TODAY())</f>
        <v/>
      </c>
      <c r="G242" s="30" t="n"/>
      <c r="H242" s="43">
        <f>IFERROR(IF(OR(B242="",E242=""),"",SUMIF(LOANS!$B:$B,B242,LOANS!$D:$D)+E242),"")</f>
        <v/>
      </c>
      <c r="I242" s="43">
        <f>IFERROR(IF(OR(B242="",E242=""),"",SUMIF(LOANS!$B:$B,B242,LOANS!$I:$I)+ABS(PMT(IFERROR(VLOOKUP(B242,LOANS!$B:$G,6,0),12)/100/12,IFERROR(VLOOKUP(B242,LOANS!$B:$H,7,0),12),E242))),"")</f>
        <v/>
      </c>
      <c r="J242" s="44">
        <f>IF(B242="","","Active")</f>
        <v/>
      </c>
    </row>
    <row r="243" ht="20" customHeight="1">
      <c r="A243" s="47">
        <f>IF(B243="","","TU"&amp;TEXT(ROW()-2,"0000"))</f>
        <v/>
      </c>
      <c r="B243" s="26" t="n"/>
      <c r="C243" s="48">
        <f>IFERROR(IF(B243="","",VLOOKUP(B243,DATABASE!$A:$B,2,0)),"")</f>
        <v/>
      </c>
      <c r="D243" s="44">
        <f>IFERROR(IF(B243="","",VLOOKUP(B243,LOANS!$B:$A,1,0)),"")</f>
        <v/>
      </c>
      <c r="E243" s="29" t="n"/>
      <c r="F243" s="40">
        <f>IF(B243="","",TODAY())</f>
        <v/>
      </c>
      <c r="G243" s="30" t="n"/>
      <c r="H243" s="43">
        <f>IFERROR(IF(OR(B243="",E243=""),"",SUMIF(LOANS!$B:$B,B243,LOANS!$D:$D)+E243),"")</f>
        <v/>
      </c>
      <c r="I243" s="43">
        <f>IFERROR(IF(OR(B243="",E243=""),"",SUMIF(LOANS!$B:$B,B243,LOANS!$I:$I)+ABS(PMT(IFERROR(VLOOKUP(B243,LOANS!$B:$G,6,0),12)/100/12,IFERROR(VLOOKUP(B243,LOANS!$B:$H,7,0),12),E243))),"")</f>
        <v/>
      </c>
      <c r="J243" s="44">
        <f>IF(B243="","","Active")</f>
        <v/>
      </c>
    </row>
    <row r="244" ht="20" customHeight="1">
      <c r="A244" s="47">
        <f>IF(B244="","","TU"&amp;TEXT(ROW()-2,"0000"))</f>
        <v/>
      </c>
      <c r="B244" s="26" t="n"/>
      <c r="C244" s="48">
        <f>IFERROR(IF(B244="","",VLOOKUP(B244,DATABASE!$A:$B,2,0)),"")</f>
        <v/>
      </c>
      <c r="D244" s="44">
        <f>IFERROR(IF(B244="","",VLOOKUP(B244,LOANS!$B:$A,1,0)),"")</f>
        <v/>
      </c>
      <c r="E244" s="29" t="n"/>
      <c r="F244" s="40">
        <f>IF(B244="","",TODAY())</f>
        <v/>
      </c>
      <c r="G244" s="30" t="n"/>
      <c r="H244" s="43">
        <f>IFERROR(IF(OR(B244="",E244=""),"",SUMIF(LOANS!$B:$B,B244,LOANS!$D:$D)+E244),"")</f>
        <v/>
      </c>
      <c r="I244" s="43">
        <f>IFERROR(IF(OR(B244="",E244=""),"",SUMIF(LOANS!$B:$B,B244,LOANS!$I:$I)+ABS(PMT(IFERROR(VLOOKUP(B244,LOANS!$B:$G,6,0),12)/100/12,IFERROR(VLOOKUP(B244,LOANS!$B:$H,7,0),12),E244))),"")</f>
        <v/>
      </c>
      <c r="J244" s="44">
        <f>IF(B244="","","Active")</f>
        <v/>
      </c>
    </row>
    <row r="245" ht="20" customHeight="1">
      <c r="A245" s="47">
        <f>IF(B245="","","TU"&amp;TEXT(ROW()-2,"0000"))</f>
        <v/>
      </c>
      <c r="B245" s="26" t="n"/>
      <c r="C245" s="48">
        <f>IFERROR(IF(B245="","",VLOOKUP(B245,DATABASE!$A:$B,2,0)),"")</f>
        <v/>
      </c>
      <c r="D245" s="44">
        <f>IFERROR(IF(B245="","",VLOOKUP(B245,LOANS!$B:$A,1,0)),"")</f>
        <v/>
      </c>
      <c r="E245" s="29" t="n"/>
      <c r="F245" s="40">
        <f>IF(B245="","",TODAY())</f>
        <v/>
      </c>
      <c r="G245" s="30" t="n"/>
      <c r="H245" s="43">
        <f>IFERROR(IF(OR(B245="",E245=""),"",SUMIF(LOANS!$B:$B,B245,LOANS!$D:$D)+E245),"")</f>
        <v/>
      </c>
      <c r="I245" s="43">
        <f>IFERROR(IF(OR(B245="",E245=""),"",SUMIF(LOANS!$B:$B,B245,LOANS!$I:$I)+ABS(PMT(IFERROR(VLOOKUP(B245,LOANS!$B:$G,6,0),12)/100/12,IFERROR(VLOOKUP(B245,LOANS!$B:$H,7,0),12),E245))),"")</f>
        <v/>
      </c>
      <c r="J245" s="44">
        <f>IF(B245="","","Active")</f>
        <v/>
      </c>
    </row>
    <row r="246" ht="20" customHeight="1">
      <c r="A246" s="47">
        <f>IF(B246="","","TU"&amp;TEXT(ROW()-2,"0000"))</f>
        <v/>
      </c>
      <c r="B246" s="26" t="n"/>
      <c r="C246" s="48">
        <f>IFERROR(IF(B246="","",VLOOKUP(B246,DATABASE!$A:$B,2,0)),"")</f>
        <v/>
      </c>
      <c r="D246" s="44">
        <f>IFERROR(IF(B246="","",VLOOKUP(B246,LOANS!$B:$A,1,0)),"")</f>
        <v/>
      </c>
      <c r="E246" s="29" t="n"/>
      <c r="F246" s="40">
        <f>IF(B246="","",TODAY())</f>
        <v/>
      </c>
      <c r="G246" s="30" t="n"/>
      <c r="H246" s="43">
        <f>IFERROR(IF(OR(B246="",E246=""),"",SUMIF(LOANS!$B:$B,B246,LOANS!$D:$D)+E246),"")</f>
        <v/>
      </c>
      <c r="I246" s="43">
        <f>IFERROR(IF(OR(B246="",E246=""),"",SUMIF(LOANS!$B:$B,B246,LOANS!$I:$I)+ABS(PMT(IFERROR(VLOOKUP(B246,LOANS!$B:$G,6,0),12)/100/12,IFERROR(VLOOKUP(B246,LOANS!$B:$H,7,0),12),E246))),"")</f>
        <v/>
      </c>
      <c r="J246" s="44">
        <f>IF(B246="","","Active")</f>
        <v/>
      </c>
    </row>
    <row r="247" ht="20" customHeight="1">
      <c r="A247" s="47">
        <f>IF(B247="","","TU"&amp;TEXT(ROW()-2,"0000"))</f>
        <v/>
      </c>
      <c r="B247" s="26" t="n"/>
      <c r="C247" s="48">
        <f>IFERROR(IF(B247="","",VLOOKUP(B247,DATABASE!$A:$B,2,0)),"")</f>
        <v/>
      </c>
      <c r="D247" s="44">
        <f>IFERROR(IF(B247="","",VLOOKUP(B247,LOANS!$B:$A,1,0)),"")</f>
        <v/>
      </c>
      <c r="E247" s="29" t="n"/>
      <c r="F247" s="40">
        <f>IF(B247="","",TODAY())</f>
        <v/>
      </c>
      <c r="G247" s="30" t="n"/>
      <c r="H247" s="43">
        <f>IFERROR(IF(OR(B247="",E247=""),"",SUMIF(LOANS!$B:$B,B247,LOANS!$D:$D)+E247),"")</f>
        <v/>
      </c>
      <c r="I247" s="43">
        <f>IFERROR(IF(OR(B247="",E247=""),"",SUMIF(LOANS!$B:$B,B247,LOANS!$I:$I)+ABS(PMT(IFERROR(VLOOKUP(B247,LOANS!$B:$G,6,0),12)/100/12,IFERROR(VLOOKUP(B247,LOANS!$B:$H,7,0),12),E247))),"")</f>
        <v/>
      </c>
      <c r="J247" s="44">
        <f>IF(B247="","","Active")</f>
        <v/>
      </c>
    </row>
    <row r="248" ht="20" customHeight="1">
      <c r="A248" s="47">
        <f>IF(B248="","","TU"&amp;TEXT(ROW()-2,"0000"))</f>
        <v/>
      </c>
      <c r="B248" s="26" t="n"/>
      <c r="C248" s="48">
        <f>IFERROR(IF(B248="","",VLOOKUP(B248,DATABASE!$A:$B,2,0)),"")</f>
        <v/>
      </c>
      <c r="D248" s="44">
        <f>IFERROR(IF(B248="","",VLOOKUP(B248,LOANS!$B:$A,1,0)),"")</f>
        <v/>
      </c>
      <c r="E248" s="29" t="n"/>
      <c r="F248" s="40">
        <f>IF(B248="","",TODAY())</f>
        <v/>
      </c>
      <c r="G248" s="30" t="n"/>
      <c r="H248" s="43">
        <f>IFERROR(IF(OR(B248="",E248=""),"",SUMIF(LOANS!$B:$B,B248,LOANS!$D:$D)+E248),"")</f>
        <v/>
      </c>
      <c r="I248" s="43">
        <f>IFERROR(IF(OR(B248="",E248=""),"",SUMIF(LOANS!$B:$B,B248,LOANS!$I:$I)+ABS(PMT(IFERROR(VLOOKUP(B248,LOANS!$B:$G,6,0),12)/100/12,IFERROR(VLOOKUP(B248,LOANS!$B:$H,7,0),12),E248))),"")</f>
        <v/>
      </c>
      <c r="J248" s="44">
        <f>IF(B248="","","Active")</f>
        <v/>
      </c>
    </row>
    <row r="249" ht="20" customHeight="1">
      <c r="A249" s="47">
        <f>IF(B249="","","TU"&amp;TEXT(ROW()-2,"0000"))</f>
        <v/>
      </c>
      <c r="B249" s="26" t="n"/>
      <c r="C249" s="48">
        <f>IFERROR(IF(B249="","",VLOOKUP(B249,DATABASE!$A:$B,2,0)),"")</f>
        <v/>
      </c>
      <c r="D249" s="44">
        <f>IFERROR(IF(B249="","",VLOOKUP(B249,LOANS!$B:$A,1,0)),"")</f>
        <v/>
      </c>
      <c r="E249" s="29" t="n"/>
      <c r="F249" s="40">
        <f>IF(B249="","",TODAY())</f>
        <v/>
      </c>
      <c r="G249" s="30" t="n"/>
      <c r="H249" s="43">
        <f>IFERROR(IF(OR(B249="",E249=""),"",SUMIF(LOANS!$B:$B,B249,LOANS!$D:$D)+E249),"")</f>
        <v/>
      </c>
      <c r="I249" s="43">
        <f>IFERROR(IF(OR(B249="",E249=""),"",SUMIF(LOANS!$B:$B,B249,LOANS!$I:$I)+ABS(PMT(IFERROR(VLOOKUP(B249,LOANS!$B:$G,6,0),12)/100/12,IFERROR(VLOOKUP(B249,LOANS!$B:$H,7,0),12),E249))),"")</f>
        <v/>
      </c>
      <c r="J249" s="44">
        <f>IF(B249="","","Active")</f>
        <v/>
      </c>
    </row>
    <row r="250" ht="20" customHeight="1">
      <c r="A250" s="47">
        <f>IF(B250="","","TU"&amp;TEXT(ROW()-2,"0000"))</f>
        <v/>
      </c>
      <c r="B250" s="26" t="n"/>
      <c r="C250" s="48">
        <f>IFERROR(IF(B250="","",VLOOKUP(B250,DATABASE!$A:$B,2,0)),"")</f>
        <v/>
      </c>
      <c r="D250" s="44">
        <f>IFERROR(IF(B250="","",VLOOKUP(B250,LOANS!$B:$A,1,0)),"")</f>
        <v/>
      </c>
      <c r="E250" s="29" t="n"/>
      <c r="F250" s="40">
        <f>IF(B250="","",TODAY())</f>
        <v/>
      </c>
      <c r="G250" s="30" t="n"/>
      <c r="H250" s="43">
        <f>IFERROR(IF(OR(B250="",E250=""),"",SUMIF(LOANS!$B:$B,B250,LOANS!$D:$D)+E250),"")</f>
        <v/>
      </c>
      <c r="I250" s="43">
        <f>IFERROR(IF(OR(B250="",E250=""),"",SUMIF(LOANS!$B:$B,B250,LOANS!$I:$I)+ABS(PMT(IFERROR(VLOOKUP(B250,LOANS!$B:$G,6,0),12)/100/12,IFERROR(VLOOKUP(B250,LOANS!$B:$H,7,0),12),E250))),"")</f>
        <v/>
      </c>
      <c r="J250" s="44">
        <f>IF(B250="","","Active")</f>
        <v/>
      </c>
    </row>
    <row r="251" ht="20" customHeight="1">
      <c r="A251" s="47">
        <f>IF(B251="","","TU"&amp;TEXT(ROW()-2,"0000"))</f>
        <v/>
      </c>
      <c r="B251" s="26" t="n"/>
      <c r="C251" s="48">
        <f>IFERROR(IF(B251="","",VLOOKUP(B251,DATABASE!$A:$B,2,0)),"")</f>
        <v/>
      </c>
      <c r="D251" s="44">
        <f>IFERROR(IF(B251="","",VLOOKUP(B251,LOANS!$B:$A,1,0)),"")</f>
        <v/>
      </c>
      <c r="E251" s="29" t="n"/>
      <c r="F251" s="40">
        <f>IF(B251="","",TODAY())</f>
        <v/>
      </c>
      <c r="G251" s="30" t="n"/>
      <c r="H251" s="43">
        <f>IFERROR(IF(OR(B251="",E251=""),"",SUMIF(LOANS!$B:$B,B251,LOANS!$D:$D)+E251),"")</f>
        <v/>
      </c>
      <c r="I251" s="43">
        <f>IFERROR(IF(OR(B251="",E251=""),"",SUMIF(LOANS!$B:$B,B251,LOANS!$I:$I)+ABS(PMT(IFERROR(VLOOKUP(B251,LOANS!$B:$G,6,0),12)/100/12,IFERROR(VLOOKUP(B251,LOANS!$B:$H,7,0),12),E251))),"")</f>
        <v/>
      </c>
      <c r="J251" s="44">
        <f>IF(B251="","","Active")</f>
        <v/>
      </c>
    </row>
    <row r="252" ht="20" customHeight="1">
      <c r="A252" s="47">
        <f>IF(B252="","","TU"&amp;TEXT(ROW()-2,"0000"))</f>
        <v/>
      </c>
      <c r="B252" s="26" t="n"/>
      <c r="C252" s="48">
        <f>IFERROR(IF(B252="","",VLOOKUP(B252,DATABASE!$A:$B,2,0)),"")</f>
        <v/>
      </c>
      <c r="D252" s="44">
        <f>IFERROR(IF(B252="","",VLOOKUP(B252,LOANS!$B:$A,1,0)),"")</f>
        <v/>
      </c>
      <c r="E252" s="29" t="n"/>
      <c r="F252" s="40">
        <f>IF(B252="","",TODAY())</f>
        <v/>
      </c>
      <c r="G252" s="30" t="n"/>
      <c r="H252" s="43">
        <f>IFERROR(IF(OR(B252="",E252=""),"",SUMIF(LOANS!$B:$B,B252,LOANS!$D:$D)+E252),"")</f>
        <v/>
      </c>
      <c r="I252" s="43">
        <f>IFERROR(IF(OR(B252="",E252=""),"",SUMIF(LOANS!$B:$B,B252,LOANS!$I:$I)+ABS(PMT(IFERROR(VLOOKUP(B252,LOANS!$B:$G,6,0),12)/100/12,IFERROR(VLOOKUP(B252,LOANS!$B:$H,7,0),12),E252))),"")</f>
        <v/>
      </c>
      <c r="J252" s="44">
        <f>IF(B252="","","Active")</f>
        <v/>
      </c>
    </row>
    <row r="253" ht="20" customHeight="1">
      <c r="A253" s="47">
        <f>IF(B253="","","TU"&amp;TEXT(ROW()-2,"0000"))</f>
        <v/>
      </c>
      <c r="B253" s="26" t="n"/>
      <c r="C253" s="48">
        <f>IFERROR(IF(B253="","",VLOOKUP(B253,DATABASE!$A:$B,2,0)),"")</f>
        <v/>
      </c>
      <c r="D253" s="44">
        <f>IFERROR(IF(B253="","",VLOOKUP(B253,LOANS!$B:$A,1,0)),"")</f>
        <v/>
      </c>
      <c r="E253" s="29" t="n"/>
      <c r="F253" s="40">
        <f>IF(B253="","",TODAY())</f>
        <v/>
      </c>
      <c r="G253" s="30" t="n"/>
      <c r="H253" s="43">
        <f>IFERROR(IF(OR(B253="",E253=""),"",SUMIF(LOANS!$B:$B,B253,LOANS!$D:$D)+E253),"")</f>
        <v/>
      </c>
      <c r="I253" s="43">
        <f>IFERROR(IF(OR(B253="",E253=""),"",SUMIF(LOANS!$B:$B,B253,LOANS!$I:$I)+ABS(PMT(IFERROR(VLOOKUP(B253,LOANS!$B:$G,6,0),12)/100/12,IFERROR(VLOOKUP(B253,LOANS!$B:$H,7,0),12),E253))),"")</f>
        <v/>
      </c>
      <c r="J253" s="44">
        <f>IF(B253="","","Active")</f>
        <v/>
      </c>
    </row>
    <row r="254" ht="20" customHeight="1">
      <c r="A254" s="47">
        <f>IF(B254="","","TU"&amp;TEXT(ROW()-2,"0000"))</f>
        <v/>
      </c>
      <c r="B254" s="26" t="n"/>
      <c r="C254" s="48">
        <f>IFERROR(IF(B254="","",VLOOKUP(B254,DATABASE!$A:$B,2,0)),"")</f>
        <v/>
      </c>
      <c r="D254" s="44">
        <f>IFERROR(IF(B254="","",VLOOKUP(B254,LOANS!$B:$A,1,0)),"")</f>
        <v/>
      </c>
      <c r="E254" s="29" t="n"/>
      <c r="F254" s="40">
        <f>IF(B254="","",TODAY())</f>
        <v/>
      </c>
      <c r="G254" s="30" t="n"/>
      <c r="H254" s="43">
        <f>IFERROR(IF(OR(B254="",E254=""),"",SUMIF(LOANS!$B:$B,B254,LOANS!$D:$D)+E254),"")</f>
        <v/>
      </c>
      <c r="I254" s="43">
        <f>IFERROR(IF(OR(B254="",E254=""),"",SUMIF(LOANS!$B:$B,B254,LOANS!$I:$I)+ABS(PMT(IFERROR(VLOOKUP(B254,LOANS!$B:$G,6,0),12)/100/12,IFERROR(VLOOKUP(B254,LOANS!$B:$H,7,0),12),E254))),"")</f>
        <v/>
      </c>
      <c r="J254" s="44">
        <f>IF(B254="","","Active")</f>
        <v/>
      </c>
    </row>
    <row r="255" ht="20" customHeight="1">
      <c r="A255" s="47">
        <f>IF(B255="","","TU"&amp;TEXT(ROW()-2,"0000"))</f>
        <v/>
      </c>
      <c r="B255" s="26" t="n"/>
      <c r="C255" s="48">
        <f>IFERROR(IF(B255="","",VLOOKUP(B255,DATABASE!$A:$B,2,0)),"")</f>
        <v/>
      </c>
      <c r="D255" s="44">
        <f>IFERROR(IF(B255="","",VLOOKUP(B255,LOANS!$B:$A,1,0)),"")</f>
        <v/>
      </c>
      <c r="E255" s="29" t="n"/>
      <c r="F255" s="40">
        <f>IF(B255="","",TODAY())</f>
        <v/>
      </c>
      <c r="G255" s="30" t="n"/>
      <c r="H255" s="43">
        <f>IFERROR(IF(OR(B255="",E255=""),"",SUMIF(LOANS!$B:$B,B255,LOANS!$D:$D)+E255),"")</f>
        <v/>
      </c>
      <c r="I255" s="43">
        <f>IFERROR(IF(OR(B255="",E255=""),"",SUMIF(LOANS!$B:$B,B255,LOANS!$I:$I)+ABS(PMT(IFERROR(VLOOKUP(B255,LOANS!$B:$G,6,0),12)/100/12,IFERROR(VLOOKUP(B255,LOANS!$B:$H,7,0),12),E255))),"")</f>
        <v/>
      </c>
      <c r="J255" s="44">
        <f>IF(B255="","","Active")</f>
        <v/>
      </c>
    </row>
    <row r="256" ht="20" customHeight="1">
      <c r="A256" s="47">
        <f>IF(B256="","","TU"&amp;TEXT(ROW()-2,"0000"))</f>
        <v/>
      </c>
      <c r="B256" s="26" t="n"/>
      <c r="C256" s="48">
        <f>IFERROR(IF(B256="","",VLOOKUP(B256,DATABASE!$A:$B,2,0)),"")</f>
        <v/>
      </c>
      <c r="D256" s="44">
        <f>IFERROR(IF(B256="","",VLOOKUP(B256,LOANS!$B:$A,1,0)),"")</f>
        <v/>
      </c>
      <c r="E256" s="29" t="n"/>
      <c r="F256" s="40">
        <f>IF(B256="","",TODAY())</f>
        <v/>
      </c>
      <c r="G256" s="30" t="n"/>
      <c r="H256" s="43">
        <f>IFERROR(IF(OR(B256="",E256=""),"",SUMIF(LOANS!$B:$B,B256,LOANS!$D:$D)+E256),"")</f>
        <v/>
      </c>
      <c r="I256" s="43">
        <f>IFERROR(IF(OR(B256="",E256=""),"",SUMIF(LOANS!$B:$B,B256,LOANS!$I:$I)+ABS(PMT(IFERROR(VLOOKUP(B256,LOANS!$B:$G,6,0),12)/100/12,IFERROR(VLOOKUP(B256,LOANS!$B:$H,7,0),12),E256))),"")</f>
        <v/>
      </c>
      <c r="J256" s="44">
        <f>IF(B256="","","Active")</f>
        <v/>
      </c>
    </row>
    <row r="257" ht="20" customHeight="1">
      <c r="A257" s="47">
        <f>IF(B257="","","TU"&amp;TEXT(ROW()-2,"0000"))</f>
        <v/>
      </c>
      <c r="B257" s="26" t="n"/>
      <c r="C257" s="48">
        <f>IFERROR(IF(B257="","",VLOOKUP(B257,DATABASE!$A:$B,2,0)),"")</f>
        <v/>
      </c>
      <c r="D257" s="44">
        <f>IFERROR(IF(B257="","",VLOOKUP(B257,LOANS!$B:$A,1,0)),"")</f>
        <v/>
      </c>
      <c r="E257" s="29" t="n"/>
      <c r="F257" s="40">
        <f>IF(B257="","",TODAY())</f>
        <v/>
      </c>
      <c r="G257" s="30" t="n"/>
      <c r="H257" s="43">
        <f>IFERROR(IF(OR(B257="",E257=""),"",SUMIF(LOANS!$B:$B,B257,LOANS!$D:$D)+E257),"")</f>
        <v/>
      </c>
      <c r="I257" s="43">
        <f>IFERROR(IF(OR(B257="",E257=""),"",SUMIF(LOANS!$B:$B,B257,LOANS!$I:$I)+ABS(PMT(IFERROR(VLOOKUP(B257,LOANS!$B:$G,6,0),12)/100/12,IFERROR(VLOOKUP(B257,LOANS!$B:$H,7,0),12),E257))),"")</f>
        <v/>
      </c>
      <c r="J257" s="44">
        <f>IF(B257="","","Active")</f>
        <v/>
      </c>
    </row>
    <row r="258" ht="20" customHeight="1">
      <c r="A258" s="47">
        <f>IF(B258="","","TU"&amp;TEXT(ROW()-2,"0000"))</f>
        <v/>
      </c>
      <c r="B258" s="26" t="n"/>
      <c r="C258" s="48">
        <f>IFERROR(IF(B258="","",VLOOKUP(B258,DATABASE!$A:$B,2,0)),"")</f>
        <v/>
      </c>
      <c r="D258" s="44">
        <f>IFERROR(IF(B258="","",VLOOKUP(B258,LOANS!$B:$A,1,0)),"")</f>
        <v/>
      </c>
      <c r="E258" s="29" t="n"/>
      <c r="F258" s="40">
        <f>IF(B258="","",TODAY())</f>
        <v/>
      </c>
      <c r="G258" s="30" t="n"/>
      <c r="H258" s="43">
        <f>IFERROR(IF(OR(B258="",E258=""),"",SUMIF(LOANS!$B:$B,B258,LOANS!$D:$D)+E258),"")</f>
        <v/>
      </c>
      <c r="I258" s="43">
        <f>IFERROR(IF(OR(B258="",E258=""),"",SUMIF(LOANS!$B:$B,B258,LOANS!$I:$I)+ABS(PMT(IFERROR(VLOOKUP(B258,LOANS!$B:$G,6,0),12)/100/12,IFERROR(VLOOKUP(B258,LOANS!$B:$H,7,0),12),E258))),"")</f>
        <v/>
      </c>
      <c r="J258" s="44">
        <f>IF(B258="","","Active")</f>
        <v/>
      </c>
    </row>
    <row r="259" ht="20" customHeight="1">
      <c r="A259" s="47">
        <f>IF(B259="","","TU"&amp;TEXT(ROW()-2,"0000"))</f>
        <v/>
      </c>
      <c r="B259" s="26" t="n"/>
      <c r="C259" s="48">
        <f>IFERROR(IF(B259="","",VLOOKUP(B259,DATABASE!$A:$B,2,0)),"")</f>
        <v/>
      </c>
      <c r="D259" s="44">
        <f>IFERROR(IF(B259="","",VLOOKUP(B259,LOANS!$B:$A,1,0)),"")</f>
        <v/>
      </c>
      <c r="E259" s="29" t="n"/>
      <c r="F259" s="40">
        <f>IF(B259="","",TODAY())</f>
        <v/>
      </c>
      <c r="G259" s="30" t="n"/>
      <c r="H259" s="43">
        <f>IFERROR(IF(OR(B259="",E259=""),"",SUMIF(LOANS!$B:$B,B259,LOANS!$D:$D)+E259),"")</f>
        <v/>
      </c>
      <c r="I259" s="43">
        <f>IFERROR(IF(OR(B259="",E259=""),"",SUMIF(LOANS!$B:$B,B259,LOANS!$I:$I)+ABS(PMT(IFERROR(VLOOKUP(B259,LOANS!$B:$G,6,0),12)/100/12,IFERROR(VLOOKUP(B259,LOANS!$B:$H,7,0),12),E259))),"")</f>
        <v/>
      </c>
      <c r="J259" s="44">
        <f>IF(B259="","","Active")</f>
        <v/>
      </c>
    </row>
    <row r="260" ht="20" customHeight="1">
      <c r="A260" s="47">
        <f>IF(B260="","","TU"&amp;TEXT(ROW()-2,"0000"))</f>
        <v/>
      </c>
      <c r="B260" s="26" t="n"/>
      <c r="C260" s="48">
        <f>IFERROR(IF(B260="","",VLOOKUP(B260,DATABASE!$A:$B,2,0)),"")</f>
        <v/>
      </c>
      <c r="D260" s="44">
        <f>IFERROR(IF(B260="","",VLOOKUP(B260,LOANS!$B:$A,1,0)),"")</f>
        <v/>
      </c>
      <c r="E260" s="29" t="n"/>
      <c r="F260" s="40">
        <f>IF(B260="","",TODAY())</f>
        <v/>
      </c>
      <c r="G260" s="30" t="n"/>
      <c r="H260" s="43">
        <f>IFERROR(IF(OR(B260="",E260=""),"",SUMIF(LOANS!$B:$B,B260,LOANS!$D:$D)+E260),"")</f>
        <v/>
      </c>
      <c r="I260" s="43">
        <f>IFERROR(IF(OR(B260="",E260=""),"",SUMIF(LOANS!$B:$B,B260,LOANS!$I:$I)+ABS(PMT(IFERROR(VLOOKUP(B260,LOANS!$B:$G,6,0),12)/100/12,IFERROR(VLOOKUP(B260,LOANS!$B:$H,7,0),12),E260))),"")</f>
        <v/>
      </c>
      <c r="J260" s="44">
        <f>IF(B260="","","Active")</f>
        <v/>
      </c>
    </row>
    <row r="261" ht="20" customHeight="1">
      <c r="A261" s="47">
        <f>IF(B261="","","TU"&amp;TEXT(ROW()-2,"0000"))</f>
        <v/>
      </c>
      <c r="B261" s="26" t="n"/>
      <c r="C261" s="48">
        <f>IFERROR(IF(B261="","",VLOOKUP(B261,DATABASE!$A:$B,2,0)),"")</f>
        <v/>
      </c>
      <c r="D261" s="44">
        <f>IFERROR(IF(B261="","",VLOOKUP(B261,LOANS!$B:$A,1,0)),"")</f>
        <v/>
      </c>
      <c r="E261" s="29" t="n"/>
      <c r="F261" s="40">
        <f>IF(B261="","",TODAY())</f>
        <v/>
      </c>
      <c r="G261" s="30" t="n"/>
      <c r="H261" s="43">
        <f>IFERROR(IF(OR(B261="",E261=""),"",SUMIF(LOANS!$B:$B,B261,LOANS!$D:$D)+E261),"")</f>
        <v/>
      </c>
      <c r="I261" s="43">
        <f>IFERROR(IF(OR(B261="",E261=""),"",SUMIF(LOANS!$B:$B,B261,LOANS!$I:$I)+ABS(PMT(IFERROR(VLOOKUP(B261,LOANS!$B:$G,6,0),12)/100/12,IFERROR(VLOOKUP(B261,LOANS!$B:$H,7,0),12),E261))),"")</f>
        <v/>
      </c>
      <c r="J261" s="44">
        <f>IF(B261="","","Active")</f>
        <v/>
      </c>
    </row>
    <row r="262" ht="20" customHeight="1">
      <c r="A262" s="47">
        <f>IF(B262="","","TU"&amp;TEXT(ROW()-2,"0000"))</f>
        <v/>
      </c>
      <c r="B262" s="26" t="n"/>
      <c r="C262" s="48">
        <f>IFERROR(IF(B262="","",VLOOKUP(B262,DATABASE!$A:$B,2,0)),"")</f>
        <v/>
      </c>
      <c r="D262" s="44">
        <f>IFERROR(IF(B262="","",VLOOKUP(B262,LOANS!$B:$A,1,0)),"")</f>
        <v/>
      </c>
      <c r="E262" s="29" t="n"/>
      <c r="F262" s="40">
        <f>IF(B262="","",TODAY())</f>
        <v/>
      </c>
      <c r="G262" s="30" t="n"/>
      <c r="H262" s="43">
        <f>IFERROR(IF(OR(B262="",E262=""),"",SUMIF(LOANS!$B:$B,B262,LOANS!$D:$D)+E262),"")</f>
        <v/>
      </c>
      <c r="I262" s="43">
        <f>IFERROR(IF(OR(B262="",E262=""),"",SUMIF(LOANS!$B:$B,B262,LOANS!$I:$I)+ABS(PMT(IFERROR(VLOOKUP(B262,LOANS!$B:$G,6,0),12)/100/12,IFERROR(VLOOKUP(B262,LOANS!$B:$H,7,0),12),E262))),"")</f>
        <v/>
      </c>
      <c r="J262" s="44">
        <f>IF(B262="","","Active")</f>
        <v/>
      </c>
    </row>
    <row r="263" ht="20" customHeight="1">
      <c r="A263" s="47">
        <f>IF(B263="","","TU"&amp;TEXT(ROW()-2,"0000"))</f>
        <v/>
      </c>
      <c r="B263" s="26" t="n"/>
      <c r="C263" s="48">
        <f>IFERROR(IF(B263="","",VLOOKUP(B263,DATABASE!$A:$B,2,0)),"")</f>
        <v/>
      </c>
      <c r="D263" s="44">
        <f>IFERROR(IF(B263="","",VLOOKUP(B263,LOANS!$B:$A,1,0)),"")</f>
        <v/>
      </c>
      <c r="E263" s="29" t="n"/>
      <c r="F263" s="40">
        <f>IF(B263="","",TODAY())</f>
        <v/>
      </c>
      <c r="G263" s="30" t="n"/>
      <c r="H263" s="43">
        <f>IFERROR(IF(OR(B263="",E263=""),"",SUMIF(LOANS!$B:$B,B263,LOANS!$D:$D)+E263),"")</f>
        <v/>
      </c>
      <c r="I263" s="43">
        <f>IFERROR(IF(OR(B263="",E263=""),"",SUMIF(LOANS!$B:$B,B263,LOANS!$I:$I)+ABS(PMT(IFERROR(VLOOKUP(B263,LOANS!$B:$G,6,0),12)/100/12,IFERROR(VLOOKUP(B263,LOANS!$B:$H,7,0),12),E263))),"")</f>
        <v/>
      </c>
      <c r="J263" s="44">
        <f>IF(B263="","","Active")</f>
        <v/>
      </c>
    </row>
    <row r="264" ht="20" customHeight="1">
      <c r="A264" s="47">
        <f>IF(B264="","","TU"&amp;TEXT(ROW()-2,"0000"))</f>
        <v/>
      </c>
      <c r="B264" s="26" t="n"/>
      <c r="C264" s="48">
        <f>IFERROR(IF(B264="","",VLOOKUP(B264,DATABASE!$A:$B,2,0)),"")</f>
        <v/>
      </c>
      <c r="D264" s="44">
        <f>IFERROR(IF(B264="","",VLOOKUP(B264,LOANS!$B:$A,1,0)),"")</f>
        <v/>
      </c>
      <c r="E264" s="29" t="n"/>
      <c r="F264" s="40">
        <f>IF(B264="","",TODAY())</f>
        <v/>
      </c>
      <c r="G264" s="30" t="n"/>
      <c r="H264" s="43">
        <f>IFERROR(IF(OR(B264="",E264=""),"",SUMIF(LOANS!$B:$B,B264,LOANS!$D:$D)+E264),"")</f>
        <v/>
      </c>
      <c r="I264" s="43">
        <f>IFERROR(IF(OR(B264="",E264=""),"",SUMIF(LOANS!$B:$B,B264,LOANS!$I:$I)+ABS(PMT(IFERROR(VLOOKUP(B264,LOANS!$B:$G,6,0),12)/100/12,IFERROR(VLOOKUP(B264,LOANS!$B:$H,7,0),12),E264))),"")</f>
        <v/>
      </c>
      <c r="J264" s="44">
        <f>IF(B264="","","Active")</f>
        <v/>
      </c>
    </row>
    <row r="265" ht="20" customHeight="1">
      <c r="A265" s="47">
        <f>IF(B265="","","TU"&amp;TEXT(ROW()-2,"0000"))</f>
        <v/>
      </c>
      <c r="B265" s="26" t="n"/>
      <c r="C265" s="48">
        <f>IFERROR(IF(B265="","",VLOOKUP(B265,DATABASE!$A:$B,2,0)),"")</f>
        <v/>
      </c>
      <c r="D265" s="44">
        <f>IFERROR(IF(B265="","",VLOOKUP(B265,LOANS!$B:$A,1,0)),"")</f>
        <v/>
      </c>
      <c r="E265" s="29" t="n"/>
      <c r="F265" s="40">
        <f>IF(B265="","",TODAY())</f>
        <v/>
      </c>
      <c r="G265" s="30" t="n"/>
      <c r="H265" s="43">
        <f>IFERROR(IF(OR(B265="",E265=""),"",SUMIF(LOANS!$B:$B,B265,LOANS!$D:$D)+E265),"")</f>
        <v/>
      </c>
      <c r="I265" s="43">
        <f>IFERROR(IF(OR(B265="",E265=""),"",SUMIF(LOANS!$B:$B,B265,LOANS!$I:$I)+ABS(PMT(IFERROR(VLOOKUP(B265,LOANS!$B:$G,6,0),12)/100/12,IFERROR(VLOOKUP(B265,LOANS!$B:$H,7,0),12),E265))),"")</f>
        <v/>
      </c>
      <c r="J265" s="44">
        <f>IF(B265="","","Active")</f>
        <v/>
      </c>
    </row>
    <row r="266" ht="20" customHeight="1">
      <c r="A266" s="47">
        <f>IF(B266="","","TU"&amp;TEXT(ROW()-2,"0000"))</f>
        <v/>
      </c>
      <c r="B266" s="26" t="n"/>
      <c r="C266" s="48">
        <f>IFERROR(IF(B266="","",VLOOKUP(B266,DATABASE!$A:$B,2,0)),"")</f>
        <v/>
      </c>
      <c r="D266" s="44">
        <f>IFERROR(IF(B266="","",VLOOKUP(B266,LOANS!$B:$A,1,0)),"")</f>
        <v/>
      </c>
      <c r="E266" s="29" t="n"/>
      <c r="F266" s="40">
        <f>IF(B266="","",TODAY())</f>
        <v/>
      </c>
      <c r="G266" s="30" t="n"/>
      <c r="H266" s="43">
        <f>IFERROR(IF(OR(B266="",E266=""),"",SUMIF(LOANS!$B:$B,B266,LOANS!$D:$D)+E266),"")</f>
        <v/>
      </c>
      <c r="I266" s="43">
        <f>IFERROR(IF(OR(B266="",E266=""),"",SUMIF(LOANS!$B:$B,B266,LOANS!$I:$I)+ABS(PMT(IFERROR(VLOOKUP(B266,LOANS!$B:$G,6,0),12)/100/12,IFERROR(VLOOKUP(B266,LOANS!$B:$H,7,0),12),E266))),"")</f>
        <v/>
      </c>
      <c r="J266" s="44">
        <f>IF(B266="","","Active")</f>
        <v/>
      </c>
    </row>
    <row r="267" ht="20" customHeight="1">
      <c r="A267" s="47">
        <f>IF(B267="","","TU"&amp;TEXT(ROW()-2,"0000"))</f>
        <v/>
      </c>
      <c r="B267" s="26" t="n"/>
      <c r="C267" s="48">
        <f>IFERROR(IF(B267="","",VLOOKUP(B267,DATABASE!$A:$B,2,0)),"")</f>
        <v/>
      </c>
      <c r="D267" s="44">
        <f>IFERROR(IF(B267="","",VLOOKUP(B267,LOANS!$B:$A,1,0)),"")</f>
        <v/>
      </c>
      <c r="E267" s="29" t="n"/>
      <c r="F267" s="40">
        <f>IF(B267="","",TODAY())</f>
        <v/>
      </c>
      <c r="G267" s="30" t="n"/>
      <c r="H267" s="43">
        <f>IFERROR(IF(OR(B267="",E267=""),"",SUMIF(LOANS!$B:$B,B267,LOANS!$D:$D)+E267),"")</f>
        <v/>
      </c>
      <c r="I267" s="43">
        <f>IFERROR(IF(OR(B267="",E267=""),"",SUMIF(LOANS!$B:$B,B267,LOANS!$I:$I)+ABS(PMT(IFERROR(VLOOKUP(B267,LOANS!$B:$G,6,0),12)/100/12,IFERROR(VLOOKUP(B267,LOANS!$B:$H,7,0),12),E267))),"")</f>
        <v/>
      </c>
      <c r="J267" s="44">
        <f>IF(B267="","","Active")</f>
        <v/>
      </c>
    </row>
    <row r="268" ht="20" customHeight="1">
      <c r="A268" s="47">
        <f>IF(B268="","","TU"&amp;TEXT(ROW()-2,"0000"))</f>
        <v/>
      </c>
      <c r="B268" s="26" t="n"/>
      <c r="C268" s="48">
        <f>IFERROR(IF(B268="","",VLOOKUP(B268,DATABASE!$A:$B,2,0)),"")</f>
        <v/>
      </c>
      <c r="D268" s="44">
        <f>IFERROR(IF(B268="","",VLOOKUP(B268,LOANS!$B:$A,1,0)),"")</f>
        <v/>
      </c>
      <c r="E268" s="29" t="n"/>
      <c r="F268" s="40">
        <f>IF(B268="","",TODAY())</f>
        <v/>
      </c>
      <c r="G268" s="30" t="n"/>
      <c r="H268" s="43">
        <f>IFERROR(IF(OR(B268="",E268=""),"",SUMIF(LOANS!$B:$B,B268,LOANS!$D:$D)+E268),"")</f>
        <v/>
      </c>
      <c r="I268" s="43">
        <f>IFERROR(IF(OR(B268="",E268=""),"",SUMIF(LOANS!$B:$B,B268,LOANS!$I:$I)+ABS(PMT(IFERROR(VLOOKUP(B268,LOANS!$B:$G,6,0),12)/100/12,IFERROR(VLOOKUP(B268,LOANS!$B:$H,7,0),12),E268))),"")</f>
        <v/>
      </c>
      <c r="J268" s="44">
        <f>IF(B268="","","Active")</f>
        <v/>
      </c>
    </row>
    <row r="269" ht="20" customHeight="1">
      <c r="A269" s="47">
        <f>IF(B269="","","TU"&amp;TEXT(ROW()-2,"0000"))</f>
        <v/>
      </c>
      <c r="B269" s="26" t="n"/>
      <c r="C269" s="48">
        <f>IFERROR(IF(B269="","",VLOOKUP(B269,DATABASE!$A:$B,2,0)),"")</f>
        <v/>
      </c>
      <c r="D269" s="44">
        <f>IFERROR(IF(B269="","",VLOOKUP(B269,LOANS!$B:$A,1,0)),"")</f>
        <v/>
      </c>
      <c r="E269" s="29" t="n"/>
      <c r="F269" s="40">
        <f>IF(B269="","",TODAY())</f>
        <v/>
      </c>
      <c r="G269" s="30" t="n"/>
      <c r="H269" s="43">
        <f>IFERROR(IF(OR(B269="",E269=""),"",SUMIF(LOANS!$B:$B,B269,LOANS!$D:$D)+E269),"")</f>
        <v/>
      </c>
      <c r="I269" s="43">
        <f>IFERROR(IF(OR(B269="",E269=""),"",SUMIF(LOANS!$B:$B,B269,LOANS!$I:$I)+ABS(PMT(IFERROR(VLOOKUP(B269,LOANS!$B:$G,6,0),12)/100/12,IFERROR(VLOOKUP(B269,LOANS!$B:$H,7,0),12),E269))),"")</f>
        <v/>
      </c>
      <c r="J269" s="44">
        <f>IF(B269="","","Active")</f>
        <v/>
      </c>
    </row>
    <row r="270" ht="20" customHeight="1">
      <c r="A270" s="47">
        <f>IF(B270="","","TU"&amp;TEXT(ROW()-2,"0000"))</f>
        <v/>
      </c>
      <c r="B270" s="26" t="n"/>
      <c r="C270" s="48">
        <f>IFERROR(IF(B270="","",VLOOKUP(B270,DATABASE!$A:$B,2,0)),"")</f>
        <v/>
      </c>
      <c r="D270" s="44">
        <f>IFERROR(IF(B270="","",VLOOKUP(B270,LOANS!$B:$A,1,0)),"")</f>
        <v/>
      </c>
      <c r="E270" s="29" t="n"/>
      <c r="F270" s="40">
        <f>IF(B270="","",TODAY())</f>
        <v/>
      </c>
      <c r="G270" s="30" t="n"/>
      <c r="H270" s="43">
        <f>IFERROR(IF(OR(B270="",E270=""),"",SUMIF(LOANS!$B:$B,B270,LOANS!$D:$D)+E270),"")</f>
        <v/>
      </c>
      <c r="I270" s="43">
        <f>IFERROR(IF(OR(B270="",E270=""),"",SUMIF(LOANS!$B:$B,B270,LOANS!$I:$I)+ABS(PMT(IFERROR(VLOOKUP(B270,LOANS!$B:$G,6,0),12)/100/12,IFERROR(VLOOKUP(B270,LOANS!$B:$H,7,0),12),E270))),"")</f>
        <v/>
      </c>
      <c r="J270" s="44">
        <f>IF(B270="","","Active")</f>
        <v/>
      </c>
    </row>
    <row r="271" ht="20" customHeight="1">
      <c r="A271" s="47">
        <f>IF(B271="","","TU"&amp;TEXT(ROW()-2,"0000"))</f>
        <v/>
      </c>
      <c r="B271" s="26" t="n"/>
      <c r="C271" s="48">
        <f>IFERROR(IF(B271="","",VLOOKUP(B271,DATABASE!$A:$B,2,0)),"")</f>
        <v/>
      </c>
      <c r="D271" s="44">
        <f>IFERROR(IF(B271="","",VLOOKUP(B271,LOANS!$B:$A,1,0)),"")</f>
        <v/>
      </c>
      <c r="E271" s="29" t="n"/>
      <c r="F271" s="40">
        <f>IF(B271="","",TODAY())</f>
        <v/>
      </c>
      <c r="G271" s="30" t="n"/>
      <c r="H271" s="43">
        <f>IFERROR(IF(OR(B271="",E271=""),"",SUMIF(LOANS!$B:$B,B271,LOANS!$D:$D)+E271),"")</f>
        <v/>
      </c>
      <c r="I271" s="43">
        <f>IFERROR(IF(OR(B271="",E271=""),"",SUMIF(LOANS!$B:$B,B271,LOANS!$I:$I)+ABS(PMT(IFERROR(VLOOKUP(B271,LOANS!$B:$G,6,0),12)/100/12,IFERROR(VLOOKUP(B271,LOANS!$B:$H,7,0),12),E271))),"")</f>
        <v/>
      </c>
      <c r="J271" s="44">
        <f>IF(B271="","","Active")</f>
        <v/>
      </c>
    </row>
    <row r="272" ht="20" customHeight="1">
      <c r="A272" s="47">
        <f>IF(B272="","","TU"&amp;TEXT(ROW()-2,"0000"))</f>
        <v/>
      </c>
      <c r="B272" s="26" t="n"/>
      <c r="C272" s="48">
        <f>IFERROR(IF(B272="","",VLOOKUP(B272,DATABASE!$A:$B,2,0)),"")</f>
        <v/>
      </c>
      <c r="D272" s="44">
        <f>IFERROR(IF(B272="","",VLOOKUP(B272,LOANS!$B:$A,1,0)),"")</f>
        <v/>
      </c>
      <c r="E272" s="29" t="n"/>
      <c r="F272" s="40">
        <f>IF(B272="","",TODAY())</f>
        <v/>
      </c>
      <c r="G272" s="30" t="n"/>
      <c r="H272" s="43">
        <f>IFERROR(IF(OR(B272="",E272=""),"",SUMIF(LOANS!$B:$B,B272,LOANS!$D:$D)+E272),"")</f>
        <v/>
      </c>
      <c r="I272" s="43">
        <f>IFERROR(IF(OR(B272="",E272=""),"",SUMIF(LOANS!$B:$B,B272,LOANS!$I:$I)+ABS(PMT(IFERROR(VLOOKUP(B272,LOANS!$B:$G,6,0),12)/100/12,IFERROR(VLOOKUP(B272,LOANS!$B:$H,7,0),12),E272))),"")</f>
        <v/>
      </c>
      <c r="J272" s="44">
        <f>IF(B272="","","Active")</f>
        <v/>
      </c>
    </row>
    <row r="273" ht="20" customHeight="1">
      <c r="A273" s="47">
        <f>IF(B273="","","TU"&amp;TEXT(ROW()-2,"0000"))</f>
        <v/>
      </c>
      <c r="B273" s="26" t="n"/>
      <c r="C273" s="48">
        <f>IFERROR(IF(B273="","",VLOOKUP(B273,DATABASE!$A:$B,2,0)),"")</f>
        <v/>
      </c>
      <c r="D273" s="44">
        <f>IFERROR(IF(B273="","",VLOOKUP(B273,LOANS!$B:$A,1,0)),"")</f>
        <v/>
      </c>
      <c r="E273" s="29" t="n"/>
      <c r="F273" s="40">
        <f>IF(B273="","",TODAY())</f>
        <v/>
      </c>
      <c r="G273" s="30" t="n"/>
      <c r="H273" s="43">
        <f>IFERROR(IF(OR(B273="",E273=""),"",SUMIF(LOANS!$B:$B,B273,LOANS!$D:$D)+E273),"")</f>
        <v/>
      </c>
      <c r="I273" s="43">
        <f>IFERROR(IF(OR(B273="",E273=""),"",SUMIF(LOANS!$B:$B,B273,LOANS!$I:$I)+ABS(PMT(IFERROR(VLOOKUP(B273,LOANS!$B:$G,6,0),12)/100/12,IFERROR(VLOOKUP(B273,LOANS!$B:$H,7,0),12),E273))),"")</f>
        <v/>
      </c>
      <c r="J273" s="44">
        <f>IF(B273="","","Active")</f>
        <v/>
      </c>
    </row>
    <row r="274" ht="20" customHeight="1">
      <c r="A274" s="47">
        <f>IF(B274="","","TU"&amp;TEXT(ROW()-2,"0000"))</f>
        <v/>
      </c>
      <c r="B274" s="26" t="n"/>
      <c r="C274" s="48">
        <f>IFERROR(IF(B274="","",VLOOKUP(B274,DATABASE!$A:$B,2,0)),"")</f>
        <v/>
      </c>
      <c r="D274" s="44">
        <f>IFERROR(IF(B274="","",VLOOKUP(B274,LOANS!$B:$A,1,0)),"")</f>
        <v/>
      </c>
      <c r="E274" s="29" t="n"/>
      <c r="F274" s="40">
        <f>IF(B274="","",TODAY())</f>
        <v/>
      </c>
      <c r="G274" s="30" t="n"/>
      <c r="H274" s="43">
        <f>IFERROR(IF(OR(B274="",E274=""),"",SUMIF(LOANS!$B:$B,B274,LOANS!$D:$D)+E274),"")</f>
        <v/>
      </c>
      <c r="I274" s="43">
        <f>IFERROR(IF(OR(B274="",E274=""),"",SUMIF(LOANS!$B:$B,B274,LOANS!$I:$I)+ABS(PMT(IFERROR(VLOOKUP(B274,LOANS!$B:$G,6,0),12)/100/12,IFERROR(VLOOKUP(B274,LOANS!$B:$H,7,0),12),E274))),"")</f>
        <v/>
      </c>
      <c r="J274" s="44">
        <f>IF(B274="","","Active")</f>
        <v/>
      </c>
    </row>
    <row r="275" ht="20" customHeight="1">
      <c r="A275" s="47">
        <f>IF(B275="","","TU"&amp;TEXT(ROW()-2,"0000"))</f>
        <v/>
      </c>
      <c r="B275" s="26" t="n"/>
      <c r="C275" s="48">
        <f>IFERROR(IF(B275="","",VLOOKUP(B275,DATABASE!$A:$B,2,0)),"")</f>
        <v/>
      </c>
      <c r="D275" s="44">
        <f>IFERROR(IF(B275="","",VLOOKUP(B275,LOANS!$B:$A,1,0)),"")</f>
        <v/>
      </c>
      <c r="E275" s="29" t="n"/>
      <c r="F275" s="40">
        <f>IF(B275="","",TODAY())</f>
        <v/>
      </c>
      <c r="G275" s="30" t="n"/>
      <c r="H275" s="43">
        <f>IFERROR(IF(OR(B275="",E275=""),"",SUMIF(LOANS!$B:$B,B275,LOANS!$D:$D)+E275),"")</f>
        <v/>
      </c>
      <c r="I275" s="43">
        <f>IFERROR(IF(OR(B275="",E275=""),"",SUMIF(LOANS!$B:$B,B275,LOANS!$I:$I)+ABS(PMT(IFERROR(VLOOKUP(B275,LOANS!$B:$G,6,0),12)/100/12,IFERROR(VLOOKUP(B275,LOANS!$B:$H,7,0),12),E275))),"")</f>
        <v/>
      </c>
      <c r="J275" s="44">
        <f>IF(B275="","","Active")</f>
        <v/>
      </c>
    </row>
    <row r="276" ht="20" customHeight="1">
      <c r="A276" s="47">
        <f>IF(B276="","","TU"&amp;TEXT(ROW()-2,"0000"))</f>
        <v/>
      </c>
      <c r="B276" s="26" t="n"/>
      <c r="C276" s="48">
        <f>IFERROR(IF(B276="","",VLOOKUP(B276,DATABASE!$A:$B,2,0)),"")</f>
        <v/>
      </c>
      <c r="D276" s="44">
        <f>IFERROR(IF(B276="","",VLOOKUP(B276,LOANS!$B:$A,1,0)),"")</f>
        <v/>
      </c>
      <c r="E276" s="29" t="n"/>
      <c r="F276" s="40">
        <f>IF(B276="","",TODAY())</f>
        <v/>
      </c>
      <c r="G276" s="30" t="n"/>
      <c r="H276" s="43">
        <f>IFERROR(IF(OR(B276="",E276=""),"",SUMIF(LOANS!$B:$B,B276,LOANS!$D:$D)+E276),"")</f>
        <v/>
      </c>
      <c r="I276" s="43">
        <f>IFERROR(IF(OR(B276="",E276=""),"",SUMIF(LOANS!$B:$B,B276,LOANS!$I:$I)+ABS(PMT(IFERROR(VLOOKUP(B276,LOANS!$B:$G,6,0),12)/100/12,IFERROR(VLOOKUP(B276,LOANS!$B:$H,7,0),12),E276))),"")</f>
        <v/>
      </c>
      <c r="J276" s="44">
        <f>IF(B276="","","Active")</f>
        <v/>
      </c>
    </row>
    <row r="277" ht="20" customHeight="1">
      <c r="A277" s="47">
        <f>IF(B277="","","TU"&amp;TEXT(ROW()-2,"0000"))</f>
        <v/>
      </c>
      <c r="B277" s="26" t="n"/>
      <c r="C277" s="48">
        <f>IFERROR(IF(B277="","",VLOOKUP(B277,DATABASE!$A:$B,2,0)),"")</f>
        <v/>
      </c>
      <c r="D277" s="44">
        <f>IFERROR(IF(B277="","",VLOOKUP(B277,LOANS!$B:$A,1,0)),"")</f>
        <v/>
      </c>
      <c r="E277" s="29" t="n"/>
      <c r="F277" s="40">
        <f>IF(B277="","",TODAY())</f>
        <v/>
      </c>
      <c r="G277" s="30" t="n"/>
      <c r="H277" s="43">
        <f>IFERROR(IF(OR(B277="",E277=""),"",SUMIF(LOANS!$B:$B,B277,LOANS!$D:$D)+E277),"")</f>
        <v/>
      </c>
      <c r="I277" s="43">
        <f>IFERROR(IF(OR(B277="",E277=""),"",SUMIF(LOANS!$B:$B,B277,LOANS!$I:$I)+ABS(PMT(IFERROR(VLOOKUP(B277,LOANS!$B:$G,6,0),12)/100/12,IFERROR(VLOOKUP(B277,LOANS!$B:$H,7,0),12),E277))),"")</f>
        <v/>
      </c>
      <c r="J277" s="44">
        <f>IF(B277="","","Active")</f>
        <v/>
      </c>
    </row>
    <row r="278" ht="20" customHeight="1">
      <c r="A278" s="47">
        <f>IF(B278="","","TU"&amp;TEXT(ROW()-2,"0000"))</f>
        <v/>
      </c>
      <c r="B278" s="26" t="n"/>
      <c r="C278" s="48">
        <f>IFERROR(IF(B278="","",VLOOKUP(B278,DATABASE!$A:$B,2,0)),"")</f>
        <v/>
      </c>
      <c r="D278" s="44">
        <f>IFERROR(IF(B278="","",VLOOKUP(B278,LOANS!$B:$A,1,0)),"")</f>
        <v/>
      </c>
      <c r="E278" s="29" t="n"/>
      <c r="F278" s="40">
        <f>IF(B278="","",TODAY())</f>
        <v/>
      </c>
      <c r="G278" s="30" t="n"/>
      <c r="H278" s="43">
        <f>IFERROR(IF(OR(B278="",E278=""),"",SUMIF(LOANS!$B:$B,B278,LOANS!$D:$D)+E278),"")</f>
        <v/>
      </c>
      <c r="I278" s="43">
        <f>IFERROR(IF(OR(B278="",E278=""),"",SUMIF(LOANS!$B:$B,B278,LOANS!$I:$I)+ABS(PMT(IFERROR(VLOOKUP(B278,LOANS!$B:$G,6,0),12)/100/12,IFERROR(VLOOKUP(B278,LOANS!$B:$H,7,0),12),E278))),"")</f>
        <v/>
      </c>
      <c r="J278" s="44">
        <f>IF(B278="","","Active")</f>
        <v/>
      </c>
    </row>
    <row r="279" ht="20" customHeight="1">
      <c r="A279" s="47">
        <f>IF(B279="","","TU"&amp;TEXT(ROW()-2,"0000"))</f>
        <v/>
      </c>
      <c r="B279" s="26" t="n"/>
      <c r="C279" s="48">
        <f>IFERROR(IF(B279="","",VLOOKUP(B279,DATABASE!$A:$B,2,0)),"")</f>
        <v/>
      </c>
      <c r="D279" s="44">
        <f>IFERROR(IF(B279="","",VLOOKUP(B279,LOANS!$B:$A,1,0)),"")</f>
        <v/>
      </c>
      <c r="E279" s="29" t="n"/>
      <c r="F279" s="40">
        <f>IF(B279="","",TODAY())</f>
        <v/>
      </c>
      <c r="G279" s="30" t="n"/>
      <c r="H279" s="43">
        <f>IFERROR(IF(OR(B279="",E279=""),"",SUMIF(LOANS!$B:$B,B279,LOANS!$D:$D)+E279),"")</f>
        <v/>
      </c>
      <c r="I279" s="43">
        <f>IFERROR(IF(OR(B279="",E279=""),"",SUMIF(LOANS!$B:$B,B279,LOANS!$I:$I)+ABS(PMT(IFERROR(VLOOKUP(B279,LOANS!$B:$G,6,0),12)/100/12,IFERROR(VLOOKUP(B279,LOANS!$B:$H,7,0),12),E279))),"")</f>
        <v/>
      </c>
      <c r="J279" s="44">
        <f>IF(B279="","","Active")</f>
        <v/>
      </c>
    </row>
    <row r="280" ht="20" customHeight="1">
      <c r="A280" s="47">
        <f>IF(B280="","","TU"&amp;TEXT(ROW()-2,"0000"))</f>
        <v/>
      </c>
      <c r="B280" s="26" t="n"/>
      <c r="C280" s="48">
        <f>IFERROR(IF(B280="","",VLOOKUP(B280,DATABASE!$A:$B,2,0)),"")</f>
        <v/>
      </c>
      <c r="D280" s="44">
        <f>IFERROR(IF(B280="","",VLOOKUP(B280,LOANS!$B:$A,1,0)),"")</f>
        <v/>
      </c>
      <c r="E280" s="29" t="n"/>
      <c r="F280" s="40">
        <f>IF(B280="","",TODAY())</f>
        <v/>
      </c>
      <c r="G280" s="30" t="n"/>
      <c r="H280" s="43">
        <f>IFERROR(IF(OR(B280="",E280=""),"",SUMIF(LOANS!$B:$B,B280,LOANS!$D:$D)+E280),"")</f>
        <v/>
      </c>
      <c r="I280" s="43">
        <f>IFERROR(IF(OR(B280="",E280=""),"",SUMIF(LOANS!$B:$B,B280,LOANS!$I:$I)+ABS(PMT(IFERROR(VLOOKUP(B280,LOANS!$B:$G,6,0),12)/100/12,IFERROR(VLOOKUP(B280,LOANS!$B:$H,7,0),12),E280))),"")</f>
        <v/>
      </c>
      <c r="J280" s="44">
        <f>IF(B280="","","Active")</f>
        <v/>
      </c>
    </row>
    <row r="281" ht="20" customHeight="1">
      <c r="A281" s="47">
        <f>IF(B281="","","TU"&amp;TEXT(ROW()-2,"0000"))</f>
        <v/>
      </c>
      <c r="B281" s="26" t="n"/>
      <c r="C281" s="48">
        <f>IFERROR(IF(B281="","",VLOOKUP(B281,DATABASE!$A:$B,2,0)),"")</f>
        <v/>
      </c>
      <c r="D281" s="44">
        <f>IFERROR(IF(B281="","",VLOOKUP(B281,LOANS!$B:$A,1,0)),"")</f>
        <v/>
      </c>
      <c r="E281" s="29" t="n"/>
      <c r="F281" s="40">
        <f>IF(B281="","",TODAY())</f>
        <v/>
      </c>
      <c r="G281" s="30" t="n"/>
      <c r="H281" s="43">
        <f>IFERROR(IF(OR(B281="",E281=""),"",SUMIF(LOANS!$B:$B,B281,LOANS!$D:$D)+E281),"")</f>
        <v/>
      </c>
      <c r="I281" s="43">
        <f>IFERROR(IF(OR(B281="",E281=""),"",SUMIF(LOANS!$B:$B,B281,LOANS!$I:$I)+ABS(PMT(IFERROR(VLOOKUP(B281,LOANS!$B:$G,6,0),12)/100/12,IFERROR(VLOOKUP(B281,LOANS!$B:$H,7,0),12),E281))),"")</f>
        <v/>
      </c>
      <c r="J281" s="44">
        <f>IF(B281="","","Active")</f>
        <v/>
      </c>
    </row>
    <row r="282" ht="20" customHeight="1">
      <c r="A282" s="47">
        <f>IF(B282="","","TU"&amp;TEXT(ROW()-2,"0000"))</f>
        <v/>
      </c>
      <c r="B282" s="26" t="n"/>
      <c r="C282" s="48">
        <f>IFERROR(IF(B282="","",VLOOKUP(B282,DATABASE!$A:$B,2,0)),"")</f>
        <v/>
      </c>
      <c r="D282" s="44">
        <f>IFERROR(IF(B282="","",VLOOKUP(B282,LOANS!$B:$A,1,0)),"")</f>
        <v/>
      </c>
      <c r="E282" s="29" t="n"/>
      <c r="F282" s="40">
        <f>IF(B282="","",TODAY())</f>
        <v/>
      </c>
      <c r="G282" s="30" t="n"/>
      <c r="H282" s="43">
        <f>IFERROR(IF(OR(B282="",E282=""),"",SUMIF(LOANS!$B:$B,B282,LOANS!$D:$D)+E282),"")</f>
        <v/>
      </c>
      <c r="I282" s="43">
        <f>IFERROR(IF(OR(B282="",E282=""),"",SUMIF(LOANS!$B:$B,B282,LOANS!$I:$I)+ABS(PMT(IFERROR(VLOOKUP(B282,LOANS!$B:$G,6,0),12)/100/12,IFERROR(VLOOKUP(B282,LOANS!$B:$H,7,0),12),E282))),"")</f>
        <v/>
      </c>
      <c r="J282" s="44">
        <f>IF(B282="","","Active")</f>
        <v/>
      </c>
    </row>
    <row r="283" ht="20" customHeight="1">
      <c r="A283" s="47">
        <f>IF(B283="","","TU"&amp;TEXT(ROW()-2,"0000"))</f>
        <v/>
      </c>
      <c r="B283" s="26" t="n"/>
      <c r="C283" s="48">
        <f>IFERROR(IF(B283="","",VLOOKUP(B283,DATABASE!$A:$B,2,0)),"")</f>
        <v/>
      </c>
      <c r="D283" s="44">
        <f>IFERROR(IF(B283="","",VLOOKUP(B283,LOANS!$B:$A,1,0)),"")</f>
        <v/>
      </c>
      <c r="E283" s="29" t="n"/>
      <c r="F283" s="40">
        <f>IF(B283="","",TODAY())</f>
        <v/>
      </c>
      <c r="G283" s="30" t="n"/>
      <c r="H283" s="43">
        <f>IFERROR(IF(OR(B283="",E283=""),"",SUMIF(LOANS!$B:$B,B283,LOANS!$D:$D)+E283),"")</f>
        <v/>
      </c>
      <c r="I283" s="43">
        <f>IFERROR(IF(OR(B283="",E283=""),"",SUMIF(LOANS!$B:$B,B283,LOANS!$I:$I)+ABS(PMT(IFERROR(VLOOKUP(B283,LOANS!$B:$G,6,0),12)/100/12,IFERROR(VLOOKUP(B283,LOANS!$B:$H,7,0),12),E283))),"")</f>
        <v/>
      </c>
      <c r="J283" s="44">
        <f>IF(B283="","","Active")</f>
        <v/>
      </c>
    </row>
    <row r="284" ht="20" customHeight="1">
      <c r="A284" s="47">
        <f>IF(B284="","","TU"&amp;TEXT(ROW()-2,"0000"))</f>
        <v/>
      </c>
      <c r="B284" s="26" t="n"/>
      <c r="C284" s="48">
        <f>IFERROR(IF(B284="","",VLOOKUP(B284,DATABASE!$A:$B,2,0)),"")</f>
        <v/>
      </c>
      <c r="D284" s="44">
        <f>IFERROR(IF(B284="","",VLOOKUP(B284,LOANS!$B:$A,1,0)),"")</f>
        <v/>
      </c>
      <c r="E284" s="29" t="n"/>
      <c r="F284" s="40">
        <f>IF(B284="","",TODAY())</f>
        <v/>
      </c>
      <c r="G284" s="30" t="n"/>
      <c r="H284" s="43">
        <f>IFERROR(IF(OR(B284="",E284=""),"",SUMIF(LOANS!$B:$B,B284,LOANS!$D:$D)+E284),"")</f>
        <v/>
      </c>
      <c r="I284" s="43">
        <f>IFERROR(IF(OR(B284="",E284=""),"",SUMIF(LOANS!$B:$B,B284,LOANS!$I:$I)+ABS(PMT(IFERROR(VLOOKUP(B284,LOANS!$B:$G,6,0),12)/100/12,IFERROR(VLOOKUP(B284,LOANS!$B:$H,7,0),12),E284))),"")</f>
        <v/>
      </c>
      <c r="J284" s="44">
        <f>IF(B284="","","Active")</f>
        <v/>
      </c>
    </row>
    <row r="285" ht="20" customHeight="1">
      <c r="A285" s="47">
        <f>IF(B285="","","TU"&amp;TEXT(ROW()-2,"0000"))</f>
        <v/>
      </c>
      <c r="B285" s="26" t="n"/>
      <c r="C285" s="48">
        <f>IFERROR(IF(B285="","",VLOOKUP(B285,DATABASE!$A:$B,2,0)),"")</f>
        <v/>
      </c>
      <c r="D285" s="44">
        <f>IFERROR(IF(B285="","",VLOOKUP(B285,LOANS!$B:$A,1,0)),"")</f>
        <v/>
      </c>
      <c r="E285" s="29" t="n"/>
      <c r="F285" s="40">
        <f>IF(B285="","",TODAY())</f>
        <v/>
      </c>
      <c r="G285" s="30" t="n"/>
      <c r="H285" s="43">
        <f>IFERROR(IF(OR(B285="",E285=""),"",SUMIF(LOANS!$B:$B,B285,LOANS!$D:$D)+E285),"")</f>
        <v/>
      </c>
      <c r="I285" s="43">
        <f>IFERROR(IF(OR(B285="",E285=""),"",SUMIF(LOANS!$B:$B,B285,LOANS!$I:$I)+ABS(PMT(IFERROR(VLOOKUP(B285,LOANS!$B:$G,6,0),12)/100/12,IFERROR(VLOOKUP(B285,LOANS!$B:$H,7,0),12),E285))),"")</f>
        <v/>
      </c>
      <c r="J285" s="44">
        <f>IF(B285="","","Active")</f>
        <v/>
      </c>
    </row>
    <row r="286" ht="20" customHeight="1">
      <c r="A286" s="47">
        <f>IF(B286="","","TU"&amp;TEXT(ROW()-2,"0000"))</f>
        <v/>
      </c>
      <c r="B286" s="26" t="n"/>
      <c r="C286" s="48">
        <f>IFERROR(IF(B286="","",VLOOKUP(B286,DATABASE!$A:$B,2,0)),"")</f>
        <v/>
      </c>
      <c r="D286" s="44">
        <f>IFERROR(IF(B286="","",VLOOKUP(B286,LOANS!$B:$A,1,0)),"")</f>
        <v/>
      </c>
      <c r="E286" s="29" t="n"/>
      <c r="F286" s="40">
        <f>IF(B286="","",TODAY())</f>
        <v/>
      </c>
      <c r="G286" s="30" t="n"/>
      <c r="H286" s="43">
        <f>IFERROR(IF(OR(B286="",E286=""),"",SUMIF(LOANS!$B:$B,B286,LOANS!$D:$D)+E286),"")</f>
        <v/>
      </c>
      <c r="I286" s="43">
        <f>IFERROR(IF(OR(B286="",E286=""),"",SUMIF(LOANS!$B:$B,B286,LOANS!$I:$I)+ABS(PMT(IFERROR(VLOOKUP(B286,LOANS!$B:$G,6,0),12)/100/12,IFERROR(VLOOKUP(B286,LOANS!$B:$H,7,0),12),E286))),"")</f>
        <v/>
      </c>
      <c r="J286" s="44">
        <f>IF(B286="","","Active")</f>
        <v/>
      </c>
    </row>
    <row r="287" ht="20" customHeight="1">
      <c r="A287" s="47">
        <f>IF(B287="","","TU"&amp;TEXT(ROW()-2,"0000"))</f>
        <v/>
      </c>
      <c r="B287" s="26" t="n"/>
      <c r="C287" s="48">
        <f>IFERROR(IF(B287="","",VLOOKUP(B287,DATABASE!$A:$B,2,0)),"")</f>
        <v/>
      </c>
      <c r="D287" s="44">
        <f>IFERROR(IF(B287="","",VLOOKUP(B287,LOANS!$B:$A,1,0)),"")</f>
        <v/>
      </c>
      <c r="E287" s="29" t="n"/>
      <c r="F287" s="40">
        <f>IF(B287="","",TODAY())</f>
        <v/>
      </c>
      <c r="G287" s="30" t="n"/>
      <c r="H287" s="43">
        <f>IFERROR(IF(OR(B287="",E287=""),"",SUMIF(LOANS!$B:$B,B287,LOANS!$D:$D)+E287),"")</f>
        <v/>
      </c>
      <c r="I287" s="43">
        <f>IFERROR(IF(OR(B287="",E287=""),"",SUMIF(LOANS!$B:$B,B287,LOANS!$I:$I)+ABS(PMT(IFERROR(VLOOKUP(B287,LOANS!$B:$G,6,0),12)/100/12,IFERROR(VLOOKUP(B287,LOANS!$B:$H,7,0),12),E287))),"")</f>
        <v/>
      </c>
      <c r="J287" s="44">
        <f>IF(B287="","","Active")</f>
        <v/>
      </c>
    </row>
    <row r="288" ht="20" customHeight="1">
      <c r="A288" s="47">
        <f>IF(B288="","","TU"&amp;TEXT(ROW()-2,"0000"))</f>
        <v/>
      </c>
      <c r="B288" s="26" t="n"/>
      <c r="C288" s="48">
        <f>IFERROR(IF(B288="","",VLOOKUP(B288,DATABASE!$A:$B,2,0)),"")</f>
        <v/>
      </c>
      <c r="D288" s="44">
        <f>IFERROR(IF(B288="","",VLOOKUP(B288,LOANS!$B:$A,1,0)),"")</f>
        <v/>
      </c>
      <c r="E288" s="29" t="n"/>
      <c r="F288" s="40">
        <f>IF(B288="","",TODAY())</f>
        <v/>
      </c>
      <c r="G288" s="30" t="n"/>
      <c r="H288" s="43">
        <f>IFERROR(IF(OR(B288="",E288=""),"",SUMIF(LOANS!$B:$B,B288,LOANS!$D:$D)+E288),"")</f>
        <v/>
      </c>
      <c r="I288" s="43">
        <f>IFERROR(IF(OR(B288="",E288=""),"",SUMIF(LOANS!$B:$B,B288,LOANS!$I:$I)+ABS(PMT(IFERROR(VLOOKUP(B288,LOANS!$B:$G,6,0),12)/100/12,IFERROR(VLOOKUP(B288,LOANS!$B:$H,7,0),12),E288))),"")</f>
        <v/>
      </c>
      <c r="J288" s="44">
        <f>IF(B288="","","Active")</f>
        <v/>
      </c>
    </row>
    <row r="289" ht="20" customHeight="1">
      <c r="A289" s="47">
        <f>IF(B289="","","TU"&amp;TEXT(ROW()-2,"0000"))</f>
        <v/>
      </c>
      <c r="B289" s="26" t="n"/>
      <c r="C289" s="48">
        <f>IFERROR(IF(B289="","",VLOOKUP(B289,DATABASE!$A:$B,2,0)),"")</f>
        <v/>
      </c>
      <c r="D289" s="44">
        <f>IFERROR(IF(B289="","",VLOOKUP(B289,LOANS!$B:$A,1,0)),"")</f>
        <v/>
      </c>
      <c r="E289" s="29" t="n"/>
      <c r="F289" s="40">
        <f>IF(B289="","",TODAY())</f>
        <v/>
      </c>
      <c r="G289" s="30" t="n"/>
      <c r="H289" s="43">
        <f>IFERROR(IF(OR(B289="",E289=""),"",SUMIF(LOANS!$B:$B,B289,LOANS!$D:$D)+E289),"")</f>
        <v/>
      </c>
      <c r="I289" s="43">
        <f>IFERROR(IF(OR(B289="",E289=""),"",SUMIF(LOANS!$B:$B,B289,LOANS!$I:$I)+ABS(PMT(IFERROR(VLOOKUP(B289,LOANS!$B:$G,6,0),12)/100/12,IFERROR(VLOOKUP(B289,LOANS!$B:$H,7,0),12),E289))),"")</f>
        <v/>
      </c>
      <c r="J289" s="44">
        <f>IF(B289="","","Active")</f>
        <v/>
      </c>
    </row>
    <row r="290" ht="20" customHeight="1">
      <c r="A290" s="47">
        <f>IF(B290="","","TU"&amp;TEXT(ROW()-2,"0000"))</f>
        <v/>
      </c>
      <c r="B290" s="26" t="n"/>
      <c r="C290" s="48">
        <f>IFERROR(IF(B290="","",VLOOKUP(B290,DATABASE!$A:$B,2,0)),"")</f>
        <v/>
      </c>
      <c r="D290" s="44">
        <f>IFERROR(IF(B290="","",VLOOKUP(B290,LOANS!$B:$A,1,0)),"")</f>
        <v/>
      </c>
      <c r="E290" s="29" t="n"/>
      <c r="F290" s="40">
        <f>IF(B290="","",TODAY())</f>
        <v/>
      </c>
      <c r="G290" s="30" t="n"/>
      <c r="H290" s="43">
        <f>IFERROR(IF(OR(B290="",E290=""),"",SUMIF(LOANS!$B:$B,B290,LOANS!$D:$D)+E290),"")</f>
        <v/>
      </c>
      <c r="I290" s="43">
        <f>IFERROR(IF(OR(B290="",E290=""),"",SUMIF(LOANS!$B:$B,B290,LOANS!$I:$I)+ABS(PMT(IFERROR(VLOOKUP(B290,LOANS!$B:$G,6,0),12)/100/12,IFERROR(VLOOKUP(B290,LOANS!$B:$H,7,0),12),E290))),"")</f>
        <v/>
      </c>
      <c r="J290" s="44">
        <f>IF(B290="","","Active")</f>
        <v/>
      </c>
    </row>
    <row r="291" ht="20" customHeight="1">
      <c r="A291" s="47">
        <f>IF(B291="","","TU"&amp;TEXT(ROW()-2,"0000"))</f>
        <v/>
      </c>
      <c r="B291" s="26" t="n"/>
      <c r="C291" s="48">
        <f>IFERROR(IF(B291="","",VLOOKUP(B291,DATABASE!$A:$B,2,0)),"")</f>
        <v/>
      </c>
      <c r="D291" s="44">
        <f>IFERROR(IF(B291="","",VLOOKUP(B291,LOANS!$B:$A,1,0)),"")</f>
        <v/>
      </c>
      <c r="E291" s="29" t="n"/>
      <c r="F291" s="40">
        <f>IF(B291="","",TODAY())</f>
        <v/>
      </c>
      <c r="G291" s="30" t="n"/>
      <c r="H291" s="43">
        <f>IFERROR(IF(OR(B291="",E291=""),"",SUMIF(LOANS!$B:$B,B291,LOANS!$D:$D)+E291),"")</f>
        <v/>
      </c>
      <c r="I291" s="43">
        <f>IFERROR(IF(OR(B291="",E291=""),"",SUMIF(LOANS!$B:$B,B291,LOANS!$I:$I)+ABS(PMT(IFERROR(VLOOKUP(B291,LOANS!$B:$G,6,0),12)/100/12,IFERROR(VLOOKUP(B291,LOANS!$B:$H,7,0),12),E291))),"")</f>
        <v/>
      </c>
      <c r="J291" s="44">
        <f>IF(B291="","","Active")</f>
        <v/>
      </c>
    </row>
    <row r="292" ht="20" customHeight="1">
      <c r="A292" s="47">
        <f>IF(B292="","","TU"&amp;TEXT(ROW()-2,"0000"))</f>
        <v/>
      </c>
      <c r="B292" s="26" t="n"/>
      <c r="C292" s="48">
        <f>IFERROR(IF(B292="","",VLOOKUP(B292,DATABASE!$A:$B,2,0)),"")</f>
        <v/>
      </c>
      <c r="D292" s="44">
        <f>IFERROR(IF(B292="","",VLOOKUP(B292,LOANS!$B:$A,1,0)),"")</f>
        <v/>
      </c>
      <c r="E292" s="29" t="n"/>
      <c r="F292" s="40">
        <f>IF(B292="","",TODAY())</f>
        <v/>
      </c>
      <c r="G292" s="30" t="n"/>
      <c r="H292" s="43">
        <f>IFERROR(IF(OR(B292="",E292=""),"",SUMIF(LOANS!$B:$B,B292,LOANS!$D:$D)+E292),"")</f>
        <v/>
      </c>
      <c r="I292" s="43">
        <f>IFERROR(IF(OR(B292="",E292=""),"",SUMIF(LOANS!$B:$B,B292,LOANS!$I:$I)+ABS(PMT(IFERROR(VLOOKUP(B292,LOANS!$B:$G,6,0),12)/100/12,IFERROR(VLOOKUP(B292,LOANS!$B:$H,7,0),12),E292))),"")</f>
        <v/>
      </c>
      <c r="J292" s="44">
        <f>IF(B292="","","Active")</f>
        <v/>
      </c>
    </row>
    <row r="293" ht="20" customHeight="1">
      <c r="A293" s="47">
        <f>IF(B293="","","TU"&amp;TEXT(ROW()-2,"0000"))</f>
        <v/>
      </c>
      <c r="B293" s="26" t="n"/>
      <c r="C293" s="48">
        <f>IFERROR(IF(B293="","",VLOOKUP(B293,DATABASE!$A:$B,2,0)),"")</f>
        <v/>
      </c>
      <c r="D293" s="44">
        <f>IFERROR(IF(B293="","",VLOOKUP(B293,LOANS!$B:$A,1,0)),"")</f>
        <v/>
      </c>
      <c r="E293" s="29" t="n"/>
      <c r="F293" s="40">
        <f>IF(B293="","",TODAY())</f>
        <v/>
      </c>
      <c r="G293" s="30" t="n"/>
      <c r="H293" s="43">
        <f>IFERROR(IF(OR(B293="",E293=""),"",SUMIF(LOANS!$B:$B,B293,LOANS!$D:$D)+E293),"")</f>
        <v/>
      </c>
      <c r="I293" s="43">
        <f>IFERROR(IF(OR(B293="",E293=""),"",SUMIF(LOANS!$B:$B,B293,LOANS!$I:$I)+ABS(PMT(IFERROR(VLOOKUP(B293,LOANS!$B:$G,6,0),12)/100/12,IFERROR(VLOOKUP(B293,LOANS!$B:$H,7,0),12),E293))),"")</f>
        <v/>
      </c>
      <c r="J293" s="44">
        <f>IF(B293="","","Active")</f>
        <v/>
      </c>
    </row>
    <row r="294" ht="20" customHeight="1">
      <c r="A294" s="47">
        <f>IF(B294="","","TU"&amp;TEXT(ROW()-2,"0000"))</f>
        <v/>
      </c>
      <c r="B294" s="26" t="n"/>
      <c r="C294" s="48">
        <f>IFERROR(IF(B294="","",VLOOKUP(B294,DATABASE!$A:$B,2,0)),"")</f>
        <v/>
      </c>
      <c r="D294" s="44">
        <f>IFERROR(IF(B294="","",VLOOKUP(B294,LOANS!$B:$A,1,0)),"")</f>
        <v/>
      </c>
      <c r="E294" s="29" t="n"/>
      <c r="F294" s="40">
        <f>IF(B294="","",TODAY())</f>
        <v/>
      </c>
      <c r="G294" s="30" t="n"/>
      <c r="H294" s="43">
        <f>IFERROR(IF(OR(B294="",E294=""),"",SUMIF(LOANS!$B:$B,B294,LOANS!$D:$D)+E294),"")</f>
        <v/>
      </c>
      <c r="I294" s="43">
        <f>IFERROR(IF(OR(B294="",E294=""),"",SUMIF(LOANS!$B:$B,B294,LOANS!$I:$I)+ABS(PMT(IFERROR(VLOOKUP(B294,LOANS!$B:$G,6,0),12)/100/12,IFERROR(VLOOKUP(B294,LOANS!$B:$H,7,0),12),E294))),"")</f>
        <v/>
      </c>
      <c r="J294" s="44">
        <f>IF(B294="","","Active")</f>
        <v/>
      </c>
    </row>
    <row r="295" ht="20" customHeight="1">
      <c r="A295" s="47">
        <f>IF(B295="","","TU"&amp;TEXT(ROW()-2,"0000"))</f>
        <v/>
      </c>
      <c r="B295" s="26" t="n"/>
      <c r="C295" s="48">
        <f>IFERROR(IF(B295="","",VLOOKUP(B295,DATABASE!$A:$B,2,0)),"")</f>
        <v/>
      </c>
      <c r="D295" s="44">
        <f>IFERROR(IF(B295="","",VLOOKUP(B295,LOANS!$B:$A,1,0)),"")</f>
        <v/>
      </c>
      <c r="E295" s="29" t="n"/>
      <c r="F295" s="40">
        <f>IF(B295="","",TODAY())</f>
        <v/>
      </c>
      <c r="G295" s="30" t="n"/>
      <c r="H295" s="43">
        <f>IFERROR(IF(OR(B295="",E295=""),"",SUMIF(LOANS!$B:$B,B295,LOANS!$D:$D)+E295),"")</f>
        <v/>
      </c>
      <c r="I295" s="43">
        <f>IFERROR(IF(OR(B295="",E295=""),"",SUMIF(LOANS!$B:$B,B295,LOANS!$I:$I)+ABS(PMT(IFERROR(VLOOKUP(B295,LOANS!$B:$G,6,0),12)/100/12,IFERROR(VLOOKUP(B295,LOANS!$B:$H,7,0),12),E295))),"")</f>
        <v/>
      </c>
      <c r="J295" s="44">
        <f>IF(B295="","","Active")</f>
        <v/>
      </c>
    </row>
    <row r="296" ht="20" customHeight="1">
      <c r="A296" s="47">
        <f>IF(B296="","","TU"&amp;TEXT(ROW()-2,"0000"))</f>
        <v/>
      </c>
      <c r="B296" s="26" t="n"/>
      <c r="C296" s="48">
        <f>IFERROR(IF(B296="","",VLOOKUP(B296,DATABASE!$A:$B,2,0)),"")</f>
        <v/>
      </c>
      <c r="D296" s="44">
        <f>IFERROR(IF(B296="","",VLOOKUP(B296,LOANS!$B:$A,1,0)),"")</f>
        <v/>
      </c>
      <c r="E296" s="29" t="n"/>
      <c r="F296" s="40">
        <f>IF(B296="","",TODAY())</f>
        <v/>
      </c>
      <c r="G296" s="30" t="n"/>
      <c r="H296" s="43">
        <f>IFERROR(IF(OR(B296="",E296=""),"",SUMIF(LOANS!$B:$B,B296,LOANS!$D:$D)+E296),"")</f>
        <v/>
      </c>
      <c r="I296" s="43">
        <f>IFERROR(IF(OR(B296="",E296=""),"",SUMIF(LOANS!$B:$B,B296,LOANS!$I:$I)+ABS(PMT(IFERROR(VLOOKUP(B296,LOANS!$B:$G,6,0),12)/100/12,IFERROR(VLOOKUP(B296,LOANS!$B:$H,7,0),12),E296))),"")</f>
        <v/>
      </c>
      <c r="J296" s="44">
        <f>IF(B296="","","Active")</f>
        <v/>
      </c>
    </row>
    <row r="297" ht="20" customHeight="1">
      <c r="A297" s="47">
        <f>IF(B297="","","TU"&amp;TEXT(ROW()-2,"0000"))</f>
        <v/>
      </c>
      <c r="B297" s="26" t="n"/>
      <c r="C297" s="48">
        <f>IFERROR(IF(B297="","",VLOOKUP(B297,DATABASE!$A:$B,2,0)),"")</f>
        <v/>
      </c>
      <c r="D297" s="44">
        <f>IFERROR(IF(B297="","",VLOOKUP(B297,LOANS!$B:$A,1,0)),"")</f>
        <v/>
      </c>
      <c r="E297" s="29" t="n"/>
      <c r="F297" s="40">
        <f>IF(B297="","",TODAY())</f>
        <v/>
      </c>
      <c r="G297" s="30" t="n"/>
      <c r="H297" s="43">
        <f>IFERROR(IF(OR(B297="",E297=""),"",SUMIF(LOANS!$B:$B,B297,LOANS!$D:$D)+E297),"")</f>
        <v/>
      </c>
      <c r="I297" s="43">
        <f>IFERROR(IF(OR(B297="",E297=""),"",SUMIF(LOANS!$B:$B,B297,LOANS!$I:$I)+ABS(PMT(IFERROR(VLOOKUP(B297,LOANS!$B:$G,6,0),12)/100/12,IFERROR(VLOOKUP(B297,LOANS!$B:$H,7,0),12),E297))),"")</f>
        <v/>
      </c>
      <c r="J297" s="44">
        <f>IF(B297="","","Active")</f>
        <v/>
      </c>
    </row>
    <row r="298" ht="20" customHeight="1">
      <c r="A298" s="47">
        <f>IF(B298="","","TU"&amp;TEXT(ROW()-2,"0000"))</f>
        <v/>
      </c>
      <c r="B298" s="26" t="n"/>
      <c r="C298" s="48">
        <f>IFERROR(IF(B298="","",VLOOKUP(B298,DATABASE!$A:$B,2,0)),"")</f>
        <v/>
      </c>
      <c r="D298" s="44">
        <f>IFERROR(IF(B298="","",VLOOKUP(B298,LOANS!$B:$A,1,0)),"")</f>
        <v/>
      </c>
      <c r="E298" s="29" t="n"/>
      <c r="F298" s="40">
        <f>IF(B298="","",TODAY())</f>
        <v/>
      </c>
      <c r="G298" s="30" t="n"/>
      <c r="H298" s="43">
        <f>IFERROR(IF(OR(B298="",E298=""),"",SUMIF(LOANS!$B:$B,B298,LOANS!$D:$D)+E298),"")</f>
        <v/>
      </c>
      <c r="I298" s="43">
        <f>IFERROR(IF(OR(B298="",E298=""),"",SUMIF(LOANS!$B:$B,B298,LOANS!$I:$I)+ABS(PMT(IFERROR(VLOOKUP(B298,LOANS!$B:$G,6,0),12)/100/12,IFERROR(VLOOKUP(B298,LOANS!$B:$H,7,0),12),E298))),"")</f>
        <v/>
      </c>
      <c r="J298" s="44">
        <f>IF(B298="","","Active")</f>
        <v/>
      </c>
    </row>
    <row r="299" ht="20" customHeight="1">
      <c r="A299" s="47">
        <f>IF(B299="","","TU"&amp;TEXT(ROW()-2,"0000"))</f>
        <v/>
      </c>
      <c r="B299" s="26" t="n"/>
      <c r="C299" s="48">
        <f>IFERROR(IF(B299="","",VLOOKUP(B299,DATABASE!$A:$B,2,0)),"")</f>
        <v/>
      </c>
      <c r="D299" s="44">
        <f>IFERROR(IF(B299="","",VLOOKUP(B299,LOANS!$B:$A,1,0)),"")</f>
        <v/>
      </c>
      <c r="E299" s="29" t="n"/>
      <c r="F299" s="40">
        <f>IF(B299="","",TODAY())</f>
        <v/>
      </c>
      <c r="G299" s="30" t="n"/>
      <c r="H299" s="43">
        <f>IFERROR(IF(OR(B299="",E299=""),"",SUMIF(LOANS!$B:$B,B299,LOANS!$D:$D)+E299),"")</f>
        <v/>
      </c>
      <c r="I299" s="43">
        <f>IFERROR(IF(OR(B299="",E299=""),"",SUMIF(LOANS!$B:$B,B299,LOANS!$I:$I)+ABS(PMT(IFERROR(VLOOKUP(B299,LOANS!$B:$G,6,0),12)/100/12,IFERROR(VLOOKUP(B299,LOANS!$B:$H,7,0),12),E299))),"")</f>
        <v/>
      </c>
      <c r="J299" s="44">
        <f>IF(B299="","","Active")</f>
        <v/>
      </c>
    </row>
    <row r="300" ht="20" customHeight="1">
      <c r="A300" s="47">
        <f>IF(B300="","","TU"&amp;TEXT(ROW()-2,"0000"))</f>
        <v/>
      </c>
      <c r="B300" s="26" t="n"/>
      <c r="C300" s="48">
        <f>IFERROR(IF(B300="","",VLOOKUP(B300,DATABASE!$A:$B,2,0)),"")</f>
        <v/>
      </c>
      <c r="D300" s="44">
        <f>IFERROR(IF(B300="","",VLOOKUP(B300,LOANS!$B:$A,1,0)),"")</f>
        <v/>
      </c>
      <c r="E300" s="29" t="n"/>
      <c r="F300" s="40">
        <f>IF(B300="","",TODAY())</f>
        <v/>
      </c>
      <c r="G300" s="30" t="n"/>
      <c r="H300" s="43">
        <f>IFERROR(IF(OR(B300="",E300=""),"",SUMIF(LOANS!$B:$B,B300,LOANS!$D:$D)+E300),"")</f>
        <v/>
      </c>
      <c r="I300" s="43">
        <f>IFERROR(IF(OR(B300="",E300=""),"",SUMIF(LOANS!$B:$B,B300,LOANS!$I:$I)+ABS(PMT(IFERROR(VLOOKUP(B300,LOANS!$B:$G,6,0),12)/100/12,IFERROR(VLOOKUP(B300,LOANS!$B:$H,7,0),12),E300))),"")</f>
        <v/>
      </c>
      <c r="J300" s="44">
        <f>IF(B300="","","Active")</f>
        <v/>
      </c>
    </row>
    <row r="301" ht="20" customHeight="1">
      <c r="A301" s="47">
        <f>IF(B301="","","TU"&amp;TEXT(ROW()-2,"0000"))</f>
        <v/>
      </c>
      <c r="B301" s="26" t="n"/>
      <c r="C301" s="48">
        <f>IFERROR(IF(B301="","",VLOOKUP(B301,DATABASE!$A:$B,2,0)),"")</f>
        <v/>
      </c>
      <c r="D301" s="44">
        <f>IFERROR(IF(B301="","",VLOOKUP(B301,LOANS!$B:$A,1,0)),"")</f>
        <v/>
      </c>
      <c r="E301" s="29" t="n"/>
      <c r="F301" s="40">
        <f>IF(B301="","",TODAY())</f>
        <v/>
      </c>
      <c r="G301" s="30" t="n"/>
      <c r="H301" s="43">
        <f>IFERROR(IF(OR(B301="",E301=""),"",SUMIF(LOANS!$B:$B,B301,LOANS!$D:$D)+E301),"")</f>
        <v/>
      </c>
      <c r="I301" s="43">
        <f>IFERROR(IF(OR(B301="",E301=""),"",SUMIF(LOANS!$B:$B,B301,LOANS!$I:$I)+ABS(PMT(IFERROR(VLOOKUP(B301,LOANS!$B:$G,6,0),12)/100/12,IFERROR(VLOOKUP(B301,LOANS!$B:$H,7,0),12),E301))),"")</f>
        <v/>
      </c>
      <c r="J301" s="44">
        <f>IF(B301="","","Active")</f>
        <v/>
      </c>
    </row>
    <row r="302" ht="20" customHeight="1">
      <c r="A302" s="47">
        <f>IF(B302="","","TU"&amp;TEXT(ROW()-2,"0000"))</f>
        <v/>
      </c>
      <c r="B302" s="26" t="n"/>
      <c r="C302" s="48">
        <f>IFERROR(IF(B302="","",VLOOKUP(B302,DATABASE!$A:$B,2,0)),"")</f>
        <v/>
      </c>
      <c r="D302" s="44">
        <f>IFERROR(IF(B302="","",VLOOKUP(B302,LOANS!$B:$A,1,0)),"")</f>
        <v/>
      </c>
      <c r="E302" s="29" t="n"/>
      <c r="F302" s="40">
        <f>IF(B302="","",TODAY())</f>
        <v/>
      </c>
      <c r="G302" s="30" t="n"/>
      <c r="H302" s="43">
        <f>IFERROR(IF(OR(B302="",E302=""),"",SUMIF(LOANS!$B:$B,B302,LOANS!$D:$D)+E302),"")</f>
        <v/>
      </c>
      <c r="I302" s="43">
        <f>IFERROR(IF(OR(B302="",E302=""),"",SUMIF(LOANS!$B:$B,B302,LOANS!$I:$I)+ABS(PMT(IFERROR(VLOOKUP(B302,LOANS!$B:$G,6,0),12)/100/12,IFERROR(VLOOKUP(B302,LOANS!$B:$H,7,0),12),E302))),"")</f>
        <v/>
      </c>
      <c r="J302" s="44">
        <f>IF(B302="","","Active")</f>
        <v/>
      </c>
    </row>
    <row r="303" ht="20" customHeight="1">
      <c r="A303" s="47">
        <f>IF(B303="","","TU"&amp;TEXT(ROW()-2,"0000"))</f>
        <v/>
      </c>
      <c r="B303" s="26" t="n"/>
      <c r="C303" s="48">
        <f>IFERROR(IF(B303="","",VLOOKUP(B303,DATABASE!$A:$B,2,0)),"")</f>
        <v/>
      </c>
      <c r="D303" s="44">
        <f>IFERROR(IF(B303="","",VLOOKUP(B303,LOANS!$B:$A,1,0)),"")</f>
        <v/>
      </c>
      <c r="E303" s="29" t="n"/>
      <c r="F303" s="40">
        <f>IF(B303="","",TODAY())</f>
        <v/>
      </c>
      <c r="G303" s="30" t="n"/>
      <c r="H303" s="43">
        <f>IFERROR(IF(OR(B303="",E303=""),"",SUMIF(LOANS!$B:$B,B303,LOANS!$D:$D)+E303),"")</f>
        <v/>
      </c>
      <c r="I303" s="43">
        <f>IFERROR(IF(OR(B303="",E303=""),"",SUMIF(LOANS!$B:$B,B303,LOANS!$I:$I)+ABS(PMT(IFERROR(VLOOKUP(B303,LOANS!$B:$G,6,0),12)/100/12,IFERROR(VLOOKUP(B303,LOANS!$B:$H,7,0),12),E303))),"")</f>
        <v/>
      </c>
      <c r="J303" s="44">
        <f>IF(B303="","","Active")</f>
        <v/>
      </c>
    </row>
    <row r="304" ht="20" customHeight="1">
      <c r="A304" s="47">
        <f>IF(B304="","","TU"&amp;TEXT(ROW()-2,"0000"))</f>
        <v/>
      </c>
      <c r="B304" s="26" t="n"/>
      <c r="C304" s="48">
        <f>IFERROR(IF(B304="","",VLOOKUP(B304,DATABASE!$A:$B,2,0)),"")</f>
        <v/>
      </c>
      <c r="D304" s="44">
        <f>IFERROR(IF(B304="","",VLOOKUP(B304,LOANS!$B:$A,1,0)),"")</f>
        <v/>
      </c>
      <c r="E304" s="29" t="n"/>
      <c r="F304" s="40">
        <f>IF(B304="","",TODAY())</f>
        <v/>
      </c>
      <c r="G304" s="30" t="n"/>
      <c r="H304" s="43">
        <f>IFERROR(IF(OR(B304="",E304=""),"",SUMIF(LOANS!$B:$B,B304,LOANS!$D:$D)+E304),"")</f>
        <v/>
      </c>
      <c r="I304" s="43">
        <f>IFERROR(IF(OR(B304="",E304=""),"",SUMIF(LOANS!$B:$B,B304,LOANS!$I:$I)+ABS(PMT(IFERROR(VLOOKUP(B304,LOANS!$B:$G,6,0),12)/100/12,IFERROR(VLOOKUP(B304,LOANS!$B:$H,7,0),12),E304))),"")</f>
        <v/>
      </c>
      <c r="J304" s="44">
        <f>IF(B304="","","Active")</f>
        <v/>
      </c>
    </row>
    <row r="305" ht="20" customHeight="1">
      <c r="A305" s="47">
        <f>IF(B305="","","TU"&amp;TEXT(ROW()-2,"0000"))</f>
        <v/>
      </c>
      <c r="B305" s="26" t="n"/>
      <c r="C305" s="48">
        <f>IFERROR(IF(B305="","",VLOOKUP(B305,DATABASE!$A:$B,2,0)),"")</f>
        <v/>
      </c>
      <c r="D305" s="44">
        <f>IFERROR(IF(B305="","",VLOOKUP(B305,LOANS!$B:$A,1,0)),"")</f>
        <v/>
      </c>
      <c r="E305" s="29" t="n"/>
      <c r="F305" s="40">
        <f>IF(B305="","",TODAY())</f>
        <v/>
      </c>
      <c r="G305" s="30" t="n"/>
      <c r="H305" s="43">
        <f>IFERROR(IF(OR(B305="",E305=""),"",SUMIF(LOANS!$B:$B,B305,LOANS!$D:$D)+E305),"")</f>
        <v/>
      </c>
      <c r="I305" s="43">
        <f>IFERROR(IF(OR(B305="",E305=""),"",SUMIF(LOANS!$B:$B,B305,LOANS!$I:$I)+ABS(PMT(IFERROR(VLOOKUP(B305,LOANS!$B:$G,6,0),12)/100/12,IFERROR(VLOOKUP(B305,LOANS!$B:$H,7,0),12),E305))),"")</f>
        <v/>
      </c>
      <c r="J305" s="44">
        <f>IF(B305="","","Active")</f>
        <v/>
      </c>
    </row>
    <row r="306" ht="20" customHeight="1">
      <c r="A306" s="47">
        <f>IF(B306="","","TU"&amp;TEXT(ROW()-2,"0000"))</f>
        <v/>
      </c>
      <c r="B306" s="26" t="n"/>
      <c r="C306" s="48">
        <f>IFERROR(IF(B306="","",VLOOKUP(B306,DATABASE!$A:$B,2,0)),"")</f>
        <v/>
      </c>
      <c r="D306" s="44">
        <f>IFERROR(IF(B306="","",VLOOKUP(B306,LOANS!$B:$A,1,0)),"")</f>
        <v/>
      </c>
      <c r="E306" s="29" t="n"/>
      <c r="F306" s="40">
        <f>IF(B306="","",TODAY())</f>
        <v/>
      </c>
      <c r="G306" s="30" t="n"/>
      <c r="H306" s="43">
        <f>IFERROR(IF(OR(B306="",E306=""),"",SUMIF(LOANS!$B:$B,B306,LOANS!$D:$D)+E306),"")</f>
        <v/>
      </c>
      <c r="I306" s="43">
        <f>IFERROR(IF(OR(B306="",E306=""),"",SUMIF(LOANS!$B:$B,B306,LOANS!$I:$I)+ABS(PMT(IFERROR(VLOOKUP(B306,LOANS!$B:$G,6,0),12)/100/12,IFERROR(VLOOKUP(B306,LOANS!$B:$H,7,0),12),E306))),"")</f>
        <v/>
      </c>
      <c r="J306" s="44">
        <f>IF(B306="","","Active")</f>
        <v/>
      </c>
    </row>
    <row r="307" ht="20" customHeight="1">
      <c r="A307" s="47">
        <f>IF(B307="","","TU"&amp;TEXT(ROW()-2,"0000"))</f>
        <v/>
      </c>
      <c r="B307" s="26" t="n"/>
      <c r="C307" s="48">
        <f>IFERROR(IF(B307="","",VLOOKUP(B307,DATABASE!$A:$B,2,0)),"")</f>
        <v/>
      </c>
      <c r="D307" s="44">
        <f>IFERROR(IF(B307="","",VLOOKUP(B307,LOANS!$B:$A,1,0)),"")</f>
        <v/>
      </c>
      <c r="E307" s="29" t="n"/>
      <c r="F307" s="40">
        <f>IF(B307="","",TODAY())</f>
        <v/>
      </c>
      <c r="G307" s="30" t="n"/>
      <c r="H307" s="43">
        <f>IFERROR(IF(OR(B307="",E307=""),"",SUMIF(LOANS!$B:$B,B307,LOANS!$D:$D)+E307),"")</f>
        <v/>
      </c>
      <c r="I307" s="43">
        <f>IFERROR(IF(OR(B307="",E307=""),"",SUMIF(LOANS!$B:$B,B307,LOANS!$I:$I)+ABS(PMT(IFERROR(VLOOKUP(B307,LOANS!$B:$G,6,0),12)/100/12,IFERROR(VLOOKUP(B307,LOANS!$B:$H,7,0),12),E307))),"")</f>
        <v/>
      </c>
      <c r="J307" s="44">
        <f>IF(B307="","","Active")</f>
        <v/>
      </c>
    </row>
    <row r="308" ht="20" customHeight="1">
      <c r="A308" s="47">
        <f>IF(B308="","","TU"&amp;TEXT(ROW()-2,"0000"))</f>
        <v/>
      </c>
      <c r="B308" s="26" t="n"/>
      <c r="C308" s="48">
        <f>IFERROR(IF(B308="","",VLOOKUP(B308,DATABASE!$A:$B,2,0)),"")</f>
        <v/>
      </c>
      <c r="D308" s="44">
        <f>IFERROR(IF(B308="","",VLOOKUP(B308,LOANS!$B:$A,1,0)),"")</f>
        <v/>
      </c>
      <c r="E308" s="29" t="n"/>
      <c r="F308" s="40">
        <f>IF(B308="","",TODAY())</f>
        <v/>
      </c>
      <c r="G308" s="30" t="n"/>
      <c r="H308" s="43">
        <f>IFERROR(IF(OR(B308="",E308=""),"",SUMIF(LOANS!$B:$B,B308,LOANS!$D:$D)+E308),"")</f>
        <v/>
      </c>
      <c r="I308" s="43">
        <f>IFERROR(IF(OR(B308="",E308=""),"",SUMIF(LOANS!$B:$B,B308,LOANS!$I:$I)+ABS(PMT(IFERROR(VLOOKUP(B308,LOANS!$B:$G,6,0),12)/100/12,IFERROR(VLOOKUP(B308,LOANS!$B:$H,7,0),12),E308))),"")</f>
        <v/>
      </c>
      <c r="J308" s="44">
        <f>IF(B308="","","Active")</f>
        <v/>
      </c>
    </row>
    <row r="309" ht="20" customHeight="1">
      <c r="A309" s="47">
        <f>IF(B309="","","TU"&amp;TEXT(ROW()-2,"0000"))</f>
        <v/>
      </c>
      <c r="B309" s="26" t="n"/>
      <c r="C309" s="48">
        <f>IFERROR(IF(B309="","",VLOOKUP(B309,DATABASE!$A:$B,2,0)),"")</f>
        <v/>
      </c>
      <c r="D309" s="44">
        <f>IFERROR(IF(B309="","",VLOOKUP(B309,LOANS!$B:$A,1,0)),"")</f>
        <v/>
      </c>
      <c r="E309" s="29" t="n"/>
      <c r="F309" s="40">
        <f>IF(B309="","",TODAY())</f>
        <v/>
      </c>
      <c r="G309" s="30" t="n"/>
      <c r="H309" s="43">
        <f>IFERROR(IF(OR(B309="",E309=""),"",SUMIF(LOANS!$B:$B,B309,LOANS!$D:$D)+E309),"")</f>
        <v/>
      </c>
      <c r="I309" s="43">
        <f>IFERROR(IF(OR(B309="",E309=""),"",SUMIF(LOANS!$B:$B,B309,LOANS!$I:$I)+ABS(PMT(IFERROR(VLOOKUP(B309,LOANS!$B:$G,6,0),12)/100/12,IFERROR(VLOOKUP(B309,LOANS!$B:$H,7,0),12),E309))),"")</f>
        <v/>
      </c>
      <c r="J309" s="44">
        <f>IF(B309="","","Active")</f>
        <v/>
      </c>
    </row>
    <row r="310" ht="20" customHeight="1">
      <c r="A310" s="47">
        <f>IF(B310="","","TU"&amp;TEXT(ROW()-2,"0000"))</f>
        <v/>
      </c>
      <c r="B310" s="26" t="n"/>
      <c r="C310" s="48">
        <f>IFERROR(IF(B310="","",VLOOKUP(B310,DATABASE!$A:$B,2,0)),"")</f>
        <v/>
      </c>
      <c r="D310" s="44">
        <f>IFERROR(IF(B310="","",VLOOKUP(B310,LOANS!$B:$A,1,0)),"")</f>
        <v/>
      </c>
      <c r="E310" s="29" t="n"/>
      <c r="F310" s="40">
        <f>IF(B310="","",TODAY())</f>
        <v/>
      </c>
      <c r="G310" s="30" t="n"/>
      <c r="H310" s="43">
        <f>IFERROR(IF(OR(B310="",E310=""),"",SUMIF(LOANS!$B:$B,B310,LOANS!$D:$D)+E310),"")</f>
        <v/>
      </c>
      <c r="I310" s="43">
        <f>IFERROR(IF(OR(B310="",E310=""),"",SUMIF(LOANS!$B:$B,B310,LOANS!$I:$I)+ABS(PMT(IFERROR(VLOOKUP(B310,LOANS!$B:$G,6,0),12)/100/12,IFERROR(VLOOKUP(B310,LOANS!$B:$H,7,0),12),E310))),"")</f>
        <v/>
      </c>
      <c r="J310" s="44">
        <f>IF(B310="","","Active")</f>
        <v/>
      </c>
    </row>
    <row r="311" ht="20" customHeight="1">
      <c r="A311" s="47">
        <f>IF(B311="","","TU"&amp;TEXT(ROW()-2,"0000"))</f>
        <v/>
      </c>
      <c r="B311" s="26" t="n"/>
      <c r="C311" s="48">
        <f>IFERROR(IF(B311="","",VLOOKUP(B311,DATABASE!$A:$B,2,0)),"")</f>
        <v/>
      </c>
      <c r="D311" s="44">
        <f>IFERROR(IF(B311="","",VLOOKUP(B311,LOANS!$B:$A,1,0)),"")</f>
        <v/>
      </c>
      <c r="E311" s="29" t="n"/>
      <c r="F311" s="40">
        <f>IF(B311="","",TODAY())</f>
        <v/>
      </c>
      <c r="G311" s="30" t="n"/>
      <c r="H311" s="43">
        <f>IFERROR(IF(OR(B311="",E311=""),"",SUMIF(LOANS!$B:$B,B311,LOANS!$D:$D)+E311),"")</f>
        <v/>
      </c>
      <c r="I311" s="43">
        <f>IFERROR(IF(OR(B311="",E311=""),"",SUMIF(LOANS!$B:$B,B311,LOANS!$I:$I)+ABS(PMT(IFERROR(VLOOKUP(B311,LOANS!$B:$G,6,0),12)/100/12,IFERROR(VLOOKUP(B311,LOANS!$B:$H,7,0),12),E311))),"")</f>
        <v/>
      </c>
      <c r="J311" s="44">
        <f>IF(B311="","","Active")</f>
        <v/>
      </c>
    </row>
    <row r="312" ht="20" customHeight="1">
      <c r="A312" s="47">
        <f>IF(B312="","","TU"&amp;TEXT(ROW()-2,"0000"))</f>
        <v/>
      </c>
      <c r="B312" s="26" t="n"/>
      <c r="C312" s="48">
        <f>IFERROR(IF(B312="","",VLOOKUP(B312,DATABASE!$A:$B,2,0)),"")</f>
        <v/>
      </c>
      <c r="D312" s="44">
        <f>IFERROR(IF(B312="","",VLOOKUP(B312,LOANS!$B:$A,1,0)),"")</f>
        <v/>
      </c>
      <c r="E312" s="29" t="n"/>
      <c r="F312" s="40">
        <f>IF(B312="","",TODAY())</f>
        <v/>
      </c>
      <c r="G312" s="30" t="n"/>
      <c r="H312" s="43">
        <f>IFERROR(IF(OR(B312="",E312=""),"",SUMIF(LOANS!$B:$B,B312,LOANS!$D:$D)+E312),"")</f>
        <v/>
      </c>
      <c r="I312" s="43">
        <f>IFERROR(IF(OR(B312="",E312=""),"",SUMIF(LOANS!$B:$B,B312,LOANS!$I:$I)+ABS(PMT(IFERROR(VLOOKUP(B312,LOANS!$B:$G,6,0),12)/100/12,IFERROR(VLOOKUP(B312,LOANS!$B:$H,7,0),12),E312))),"")</f>
        <v/>
      </c>
      <c r="J312" s="44">
        <f>IF(B312="","","Active")</f>
        <v/>
      </c>
    </row>
    <row r="313" ht="20" customHeight="1">
      <c r="A313" s="47">
        <f>IF(B313="","","TU"&amp;TEXT(ROW()-2,"0000"))</f>
        <v/>
      </c>
      <c r="B313" s="26" t="n"/>
      <c r="C313" s="48">
        <f>IFERROR(IF(B313="","",VLOOKUP(B313,DATABASE!$A:$B,2,0)),"")</f>
        <v/>
      </c>
      <c r="D313" s="44">
        <f>IFERROR(IF(B313="","",VLOOKUP(B313,LOANS!$B:$A,1,0)),"")</f>
        <v/>
      </c>
      <c r="E313" s="29" t="n"/>
      <c r="F313" s="40">
        <f>IF(B313="","",TODAY())</f>
        <v/>
      </c>
      <c r="G313" s="30" t="n"/>
      <c r="H313" s="43">
        <f>IFERROR(IF(OR(B313="",E313=""),"",SUMIF(LOANS!$B:$B,B313,LOANS!$D:$D)+E313),"")</f>
        <v/>
      </c>
      <c r="I313" s="43">
        <f>IFERROR(IF(OR(B313="",E313=""),"",SUMIF(LOANS!$B:$B,B313,LOANS!$I:$I)+ABS(PMT(IFERROR(VLOOKUP(B313,LOANS!$B:$G,6,0),12)/100/12,IFERROR(VLOOKUP(B313,LOANS!$B:$H,7,0),12),E313))),"")</f>
        <v/>
      </c>
      <c r="J313" s="44">
        <f>IF(B313="","","Active")</f>
        <v/>
      </c>
    </row>
    <row r="314" ht="20" customHeight="1">
      <c r="A314" s="47">
        <f>IF(B314="","","TU"&amp;TEXT(ROW()-2,"0000"))</f>
        <v/>
      </c>
      <c r="B314" s="26" t="n"/>
      <c r="C314" s="48">
        <f>IFERROR(IF(B314="","",VLOOKUP(B314,DATABASE!$A:$B,2,0)),"")</f>
        <v/>
      </c>
      <c r="D314" s="44">
        <f>IFERROR(IF(B314="","",VLOOKUP(B314,LOANS!$B:$A,1,0)),"")</f>
        <v/>
      </c>
      <c r="E314" s="29" t="n"/>
      <c r="F314" s="40">
        <f>IF(B314="","",TODAY())</f>
        <v/>
      </c>
      <c r="G314" s="30" t="n"/>
      <c r="H314" s="43">
        <f>IFERROR(IF(OR(B314="",E314=""),"",SUMIF(LOANS!$B:$B,B314,LOANS!$D:$D)+E314),"")</f>
        <v/>
      </c>
      <c r="I314" s="43">
        <f>IFERROR(IF(OR(B314="",E314=""),"",SUMIF(LOANS!$B:$B,B314,LOANS!$I:$I)+ABS(PMT(IFERROR(VLOOKUP(B314,LOANS!$B:$G,6,0),12)/100/12,IFERROR(VLOOKUP(B314,LOANS!$B:$H,7,0),12),E314))),"")</f>
        <v/>
      </c>
      <c r="J314" s="44">
        <f>IF(B314="","","Active")</f>
        <v/>
      </c>
    </row>
    <row r="315" ht="20" customHeight="1">
      <c r="A315" s="47">
        <f>IF(B315="","","TU"&amp;TEXT(ROW()-2,"0000"))</f>
        <v/>
      </c>
      <c r="B315" s="26" t="n"/>
      <c r="C315" s="48">
        <f>IFERROR(IF(B315="","",VLOOKUP(B315,DATABASE!$A:$B,2,0)),"")</f>
        <v/>
      </c>
      <c r="D315" s="44">
        <f>IFERROR(IF(B315="","",VLOOKUP(B315,LOANS!$B:$A,1,0)),"")</f>
        <v/>
      </c>
      <c r="E315" s="29" t="n"/>
      <c r="F315" s="40">
        <f>IF(B315="","",TODAY())</f>
        <v/>
      </c>
      <c r="G315" s="30" t="n"/>
      <c r="H315" s="43">
        <f>IFERROR(IF(OR(B315="",E315=""),"",SUMIF(LOANS!$B:$B,B315,LOANS!$D:$D)+E315),"")</f>
        <v/>
      </c>
      <c r="I315" s="43">
        <f>IFERROR(IF(OR(B315="",E315=""),"",SUMIF(LOANS!$B:$B,B315,LOANS!$I:$I)+ABS(PMT(IFERROR(VLOOKUP(B315,LOANS!$B:$G,6,0),12)/100/12,IFERROR(VLOOKUP(B315,LOANS!$B:$H,7,0),12),E315))),"")</f>
        <v/>
      </c>
      <c r="J315" s="44">
        <f>IF(B315="","","Active")</f>
        <v/>
      </c>
    </row>
    <row r="316" ht="20" customHeight="1">
      <c r="A316" s="47">
        <f>IF(B316="","","TU"&amp;TEXT(ROW()-2,"0000"))</f>
        <v/>
      </c>
      <c r="B316" s="26" t="n"/>
      <c r="C316" s="48">
        <f>IFERROR(IF(B316="","",VLOOKUP(B316,DATABASE!$A:$B,2,0)),"")</f>
        <v/>
      </c>
      <c r="D316" s="44">
        <f>IFERROR(IF(B316="","",VLOOKUP(B316,LOANS!$B:$A,1,0)),"")</f>
        <v/>
      </c>
      <c r="E316" s="29" t="n"/>
      <c r="F316" s="40">
        <f>IF(B316="","",TODAY())</f>
        <v/>
      </c>
      <c r="G316" s="30" t="n"/>
      <c r="H316" s="43">
        <f>IFERROR(IF(OR(B316="",E316=""),"",SUMIF(LOANS!$B:$B,B316,LOANS!$D:$D)+E316),"")</f>
        <v/>
      </c>
      <c r="I316" s="43">
        <f>IFERROR(IF(OR(B316="",E316=""),"",SUMIF(LOANS!$B:$B,B316,LOANS!$I:$I)+ABS(PMT(IFERROR(VLOOKUP(B316,LOANS!$B:$G,6,0),12)/100/12,IFERROR(VLOOKUP(B316,LOANS!$B:$H,7,0),12),E316))),"")</f>
        <v/>
      </c>
      <c r="J316" s="44">
        <f>IF(B316="","","Active")</f>
        <v/>
      </c>
    </row>
    <row r="317" ht="20" customHeight="1">
      <c r="A317" s="47">
        <f>IF(B317="","","TU"&amp;TEXT(ROW()-2,"0000"))</f>
        <v/>
      </c>
      <c r="B317" s="26" t="n"/>
      <c r="C317" s="48">
        <f>IFERROR(IF(B317="","",VLOOKUP(B317,DATABASE!$A:$B,2,0)),"")</f>
        <v/>
      </c>
      <c r="D317" s="44">
        <f>IFERROR(IF(B317="","",VLOOKUP(B317,LOANS!$B:$A,1,0)),"")</f>
        <v/>
      </c>
      <c r="E317" s="29" t="n"/>
      <c r="F317" s="40">
        <f>IF(B317="","",TODAY())</f>
        <v/>
      </c>
      <c r="G317" s="30" t="n"/>
      <c r="H317" s="43">
        <f>IFERROR(IF(OR(B317="",E317=""),"",SUMIF(LOANS!$B:$B,B317,LOANS!$D:$D)+E317),"")</f>
        <v/>
      </c>
      <c r="I317" s="43">
        <f>IFERROR(IF(OR(B317="",E317=""),"",SUMIF(LOANS!$B:$B,B317,LOANS!$I:$I)+ABS(PMT(IFERROR(VLOOKUP(B317,LOANS!$B:$G,6,0),12)/100/12,IFERROR(VLOOKUP(B317,LOANS!$B:$H,7,0),12),E317))),"")</f>
        <v/>
      </c>
      <c r="J317" s="44">
        <f>IF(B317="","","Active")</f>
        <v/>
      </c>
    </row>
    <row r="318" ht="20" customHeight="1">
      <c r="A318" s="47">
        <f>IF(B318="","","TU"&amp;TEXT(ROW()-2,"0000"))</f>
        <v/>
      </c>
      <c r="B318" s="26" t="n"/>
      <c r="C318" s="48">
        <f>IFERROR(IF(B318="","",VLOOKUP(B318,DATABASE!$A:$B,2,0)),"")</f>
        <v/>
      </c>
      <c r="D318" s="44">
        <f>IFERROR(IF(B318="","",VLOOKUP(B318,LOANS!$B:$A,1,0)),"")</f>
        <v/>
      </c>
      <c r="E318" s="29" t="n"/>
      <c r="F318" s="40">
        <f>IF(B318="","",TODAY())</f>
        <v/>
      </c>
      <c r="G318" s="30" t="n"/>
      <c r="H318" s="43">
        <f>IFERROR(IF(OR(B318="",E318=""),"",SUMIF(LOANS!$B:$B,B318,LOANS!$D:$D)+E318),"")</f>
        <v/>
      </c>
      <c r="I318" s="43">
        <f>IFERROR(IF(OR(B318="",E318=""),"",SUMIF(LOANS!$B:$B,B318,LOANS!$I:$I)+ABS(PMT(IFERROR(VLOOKUP(B318,LOANS!$B:$G,6,0),12)/100/12,IFERROR(VLOOKUP(B318,LOANS!$B:$H,7,0),12),E318))),"")</f>
        <v/>
      </c>
      <c r="J318" s="44">
        <f>IF(B318="","","Active")</f>
        <v/>
      </c>
    </row>
    <row r="319" ht="20" customHeight="1">
      <c r="A319" s="47">
        <f>IF(B319="","","TU"&amp;TEXT(ROW()-2,"0000"))</f>
        <v/>
      </c>
      <c r="B319" s="26" t="n"/>
      <c r="C319" s="48">
        <f>IFERROR(IF(B319="","",VLOOKUP(B319,DATABASE!$A:$B,2,0)),"")</f>
        <v/>
      </c>
      <c r="D319" s="44">
        <f>IFERROR(IF(B319="","",VLOOKUP(B319,LOANS!$B:$A,1,0)),"")</f>
        <v/>
      </c>
      <c r="E319" s="29" t="n"/>
      <c r="F319" s="40">
        <f>IF(B319="","",TODAY())</f>
        <v/>
      </c>
      <c r="G319" s="30" t="n"/>
      <c r="H319" s="43">
        <f>IFERROR(IF(OR(B319="",E319=""),"",SUMIF(LOANS!$B:$B,B319,LOANS!$D:$D)+E319),"")</f>
        <v/>
      </c>
      <c r="I319" s="43">
        <f>IFERROR(IF(OR(B319="",E319=""),"",SUMIF(LOANS!$B:$B,B319,LOANS!$I:$I)+ABS(PMT(IFERROR(VLOOKUP(B319,LOANS!$B:$G,6,0),12)/100/12,IFERROR(VLOOKUP(B319,LOANS!$B:$H,7,0),12),E319))),"")</f>
        <v/>
      </c>
      <c r="J319" s="44">
        <f>IF(B319="","","Active")</f>
        <v/>
      </c>
    </row>
    <row r="320" ht="20" customHeight="1">
      <c r="A320" s="47">
        <f>IF(B320="","","TU"&amp;TEXT(ROW()-2,"0000"))</f>
        <v/>
      </c>
      <c r="B320" s="26" t="n"/>
      <c r="C320" s="48">
        <f>IFERROR(IF(B320="","",VLOOKUP(B320,DATABASE!$A:$B,2,0)),"")</f>
        <v/>
      </c>
      <c r="D320" s="44">
        <f>IFERROR(IF(B320="","",VLOOKUP(B320,LOANS!$B:$A,1,0)),"")</f>
        <v/>
      </c>
      <c r="E320" s="29" t="n"/>
      <c r="F320" s="40">
        <f>IF(B320="","",TODAY())</f>
        <v/>
      </c>
      <c r="G320" s="30" t="n"/>
      <c r="H320" s="43">
        <f>IFERROR(IF(OR(B320="",E320=""),"",SUMIF(LOANS!$B:$B,B320,LOANS!$D:$D)+E320),"")</f>
        <v/>
      </c>
      <c r="I320" s="43">
        <f>IFERROR(IF(OR(B320="",E320=""),"",SUMIF(LOANS!$B:$B,B320,LOANS!$I:$I)+ABS(PMT(IFERROR(VLOOKUP(B320,LOANS!$B:$G,6,0),12)/100/12,IFERROR(VLOOKUP(B320,LOANS!$B:$H,7,0),12),E320))),"")</f>
        <v/>
      </c>
      <c r="J320" s="44">
        <f>IF(B320="","","Active")</f>
        <v/>
      </c>
    </row>
    <row r="321" ht="20" customHeight="1">
      <c r="A321" s="47">
        <f>IF(B321="","","TU"&amp;TEXT(ROW()-2,"0000"))</f>
        <v/>
      </c>
      <c r="B321" s="26" t="n"/>
      <c r="C321" s="48">
        <f>IFERROR(IF(B321="","",VLOOKUP(B321,DATABASE!$A:$B,2,0)),"")</f>
        <v/>
      </c>
      <c r="D321" s="44">
        <f>IFERROR(IF(B321="","",VLOOKUP(B321,LOANS!$B:$A,1,0)),"")</f>
        <v/>
      </c>
      <c r="E321" s="29" t="n"/>
      <c r="F321" s="40">
        <f>IF(B321="","",TODAY())</f>
        <v/>
      </c>
      <c r="G321" s="30" t="n"/>
      <c r="H321" s="43">
        <f>IFERROR(IF(OR(B321="",E321=""),"",SUMIF(LOANS!$B:$B,B321,LOANS!$D:$D)+E321),"")</f>
        <v/>
      </c>
      <c r="I321" s="43">
        <f>IFERROR(IF(OR(B321="",E321=""),"",SUMIF(LOANS!$B:$B,B321,LOANS!$I:$I)+ABS(PMT(IFERROR(VLOOKUP(B321,LOANS!$B:$G,6,0),12)/100/12,IFERROR(VLOOKUP(B321,LOANS!$B:$H,7,0),12),E321))),"")</f>
        <v/>
      </c>
      <c r="J321" s="44">
        <f>IF(B321="","","Active")</f>
        <v/>
      </c>
    </row>
    <row r="322" ht="20" customHeight="1">
      <c r="A322" s="47">
        <f>IF(B322="","","TU"&amp;TEXT(ROW()-2,"0000"))</f>
        <v/>
      </c>
      <c r="B322" s="26" t="n"/>
      <c r="C322" s="48">
        <f>IFERROR(IF(B322="","",VLOOKUP(B322,DATABASE!$A:$B,2,0)),"")</f>
        <v/>
      </c>
      <c r="D322" s="44">
        <f>IFERROR(IF(B322="","",VLOOKUP(B322,LOANS!$B:$A,1,0)),"")</f>
        <v/>
      </c>
      <c r="E322" s="29" t="n"/>
      <c r="F322" s="40">
        <f>IF(B322="","",TODAY())</f>
        <v/>
      </c>
      <c r="G322" s="30" t="n"/>
      <c r="H322" s="43">
        <f>IFERROR(IF(OR(B322="",E322=""),"",SUMIF(LOANS!$B:$B,B322,LOANS!$D:$D)+E322),"")</f>
        <v/>
      </c>
      <c r="I322" s="43">
        <f>IFERROR(IF(OR(B322="",E322=""),"",SUMIF(LOANS!$B:$B,B322,LOANS!$I:$I)+ABS(PMT(IFERROR(VLOOKUP(B322,LOANS!$B:$G,6,0),12)/100/12,IFERROR(VLOOKUP(B322,LOANS!$B:$H,7,0),12),E322))),"")</f>
        <v/>
      </c>
      <c r="J322" s="44">
        <f>IF(B322="","","Active")</f>
        <v/>
      </c>
    </row>
    <row r="323" ht="20" customHeight="1">
      <c r="A323" s="47">
        <f>IF(B323="","","TU"&amp;TEXT(ROW()-2,"0000"))</f>
        <v/>
      </c>
      <c r="B323" s="26" t="n"/>
      <c r="C323" s="48">
        <f>IFERROR(IF(B323="","",VLOOKUP(B323,DATABASE!$A:$B,2,0)),"")</f>
        <v/>
      </c>
      <c r="D323" s="44">
        <f>IFERROR(IF(B323="","",VLOOKUP(B323,LOANS!$B:$A,1,0)),"")</f>
        <v/>
      </c>
      <c r="E323" s="29" t="n"/>
      <c r="F323" s="40">
        <f>IF(B323="","",TODAY())</f>
        <v/>
      </c>
      <c r="G323" s="30" t="n"/>
      <c r="H323" s="43">
        <f>IFERROR(IF(OR(B323="",E323=""),"",SUMIF(LOANS!$B:$B,B323,LOANS!$D:$D)+E323),"")</f>
        <v/>
      </c>
      <c r="I323" s="43">
        <f>IFERROR(IF(OR(B323="",E323=""),"",SUMIF(LOANS!$B:$B,B323,LOANS!$I:$I)+ABS(PMT(IFERROR(VLOOKUP(B323,LOANS!$B:$G,6,0),12)/100/12,IFERROR(VLOOKUP(B323,LOANS!$B:$H,7,0),12),E323))),"")</f>
        <v/>
      </c>
      <c r="J323" s="44">
        <f>IF(B323="","","Active")</f>
        <v/>
      </c>
    </row>
    <row r="324" ht="20" customHeight="1">
      <c r="A324" s="47">
        <f>IF(B324="","","TU"&amp;TEXT(ROW()-2,"0000"))</f>
        <v/>
      </c>
      <c r="B324" s="26" t="n"/>
      <c r="C324" s="48">
        <f>IFERROR(IF(B324="","",VLOOKUP(B324,DATABASE!$A:$B,2,0)),"")</f>
        <v/>
      </c>
      <c r="D324" s="44">
        <f>IFERROR(IF(B324="","",VLOOKUP(B324,LOANS!$B:$A,1,0)),"")</f>
        <v/>
      </c>
      <c r="E324" s="29" t="n"/>
      <c r="F324" s="40">
        <f>IF(B324="","",TODAY())</f>
        <v/>
      </c>
      <c r="G324" s="30" t="n"/>
      <c r="H324" s="43">
        <f>IFERROR(IF(OR(B324="",E324=""),"",SUMIF(LOANS!$B:$B,B324,LOANS!$D:$D)+E324),"")</f>
        <v/>
      </c>
      <c r="I324" s="43">
        <f>IFERROR(IF(OR(B324="",E324=""),"",SUMIF(LOANS!$B:$B,B324,LOANS!$I:$I)+ABS(PMT(IFERROR(VLOOKUP(B324,LOANS!$B:$G,6,0),12)/100/12,IFERROR(VLOOKUP(B324,LOANS!$B:$H,7,0),12),E324))),"")</f>
        <v/>
      </c>
      <c r="J324" s="44">
        <f>IF(B324="","","Active")</f>
        <v/>
      </c>
    </row>
    <row r="325" ht="20" customHeight="1">
      <c r="A325" s="47">
        <f>IF(B325="","","TU"&amp;TEXT(ROW()-2,"0000"))</f>
        <v/>
      </c>
      <c r="B325" s="26" t="n"/>
      <c r="C325" s="48">
        <f>IFERROR(IF(B325="","",VLOOKUP(B325,DATABASE!$A:$B,2,0)),"")</f>
        <v/>
      </c>
      <c r="D325" s="44">
        <f>IFERROR(IF(B325="","",VLOOKUP(B325,LOANS!$B:$A,1,0)),"")</f>
        <v/>
      </c>
      <c r="E325" s="29" t="n"/>
      <c r="F325" s="40">
        <f>IF(B325="","",TODAY())</f>
        <v/>
      </c>
      <c r="G325" s="30" t="n"/>
      <c r="H325" s="43">
        <f>IFERROR(IF(OR(B325="",E325=""),"",SUMIF(LOANS!$B:$B,B325,LOANS!$D:$D)+E325),"")</f>
        <v/>
      </c>
      <c r="I325" s="43">
        <f>IFERROR(IF(OR(B325="",E325=""),"",SUMIF(LOANS!$B:$B,B325,LOANS!$I:$I)+ABS(PMT(IFERROR(VLOOKUP(B325,LOANS!$B:$G,6,0),12)/100/12,IFERROR(VLOOKUP(B325,LOANS!$B:$H,7,0),12),E325))),"")</f>
        <v/>
      </c>
      <c r="J325" s="44">
        <f>IF(B325="","","Active")</f>
        <v/>
      </c>
    </row>
    <row r="326" ht="20" customHeight="1">
      <c r="A326" s="47">
        <f>IF(B326="","","TU"&amp;TEXT(ROW()-2,"0000"))</f>
        <v/>
      </c>
      <c r="B326" s="26" t="n"/>
      <c r="C326" s="48">
        <f>IFERROR(IF(B326="","",VLOOKUP(B326,DATABASE!$A:$B,2,0)),"")</f>
        <v/>
      </c>
      <c r="D326" s="44">
        <f>IFERROR(IF(B326="","",VLOOKUP(B326,LOANS!$B:$A,1,0)),"")</f>
        <v/>
      </c>
      <c r="E326" s="29" t="n"/>
      <c r="F326" s="40">
        <f>IF(B326="","",TODAY())</f>
        <v/>
      </c>
      <c r="G326" s="30" t="n"/>
      <c r="H326" s="43">
        <f>IFERROR(IF(OR(B326="",E326=""),"",SUMIF(LOANS!$B:$B,B326,LOANS!$D:$D)+E326),"")</f>
        <v/>
      </c>
      <c r="I326" s="43">
        <f>IFERROR(IF(OR(B326="",E326=""),"",SUMIF(LOANS!$B:$B,B326,LOANS!$I:$I)+ABS(PMT(IFERROR(VLOOKUP(B326,LOANS!$B:$G,6,0),12)/100/12,IFERROR(VLOOKUP(B326,LOANS!$B:$H,7,0),12),E326))),"")</f>
        <v/>
      </c>
      <c r="J326" s="44">
        <f>IF(B326="","","Active")</f>
        <v/>
      </c>
    </row>
    <row r="327" ht="20" customHeight="1">
      <c r="A327" s="47">
        <f>IF(B327="","","TU"&amp;TEXT(ROW()-2,"0000"))</f>
        <v/>
      </c>
      <c r="B327" s="26" t="n"/>
      <c r="C327" s="48">
        <f>IFERROR(IF(B327="","",VLOOKUP(B327,DATABASE!$A:$B,2,0)),"")</f>
        <v/>
      </c>
      <c r="D327" s="44">
        <f>IFERROR(IF(B327="","",VLOOKUP(B327,LOANS!$B:$A,1,0)),"")</f>
        <v/>
      </c>
      <c r="E327" s="29" t="n"/>
      <c r="F327" s="40">
        <f>IF(B327="","",TODAY())</f>
        <v/>
      </c>
      <c r="G327" s="30" t="n"/>
      <c r="H327" s="43">
        <f>IFERROR(IF(OR(B327="",E327=""),"",SUMIF(LOANS!$B:$B,B327,LOANS!$D:$D)+E327),"")</f>
        <v/>
      </c>
      <c r="I327" s="43">
        <f>IFERROR(IF(OR(B327="",E327=""),"",SUMIF(LOANS!$B:$B,B327,LOANS!$I:$I)+ABS(PMT(IFERROR(VLOOKUP(B327,LOANS!$B:$G,6,0),12)/100/12,IFERROR(VLOOKUP(B327,LOANS!$B:$H,7,0),12),E327))),"")</f>
        <v/>
      </c>
      <c r="J327" s="44">
        <f>IF(B327="","","Active")</f>
        <v/>
      </c>
    </row>
    <row r="328" ht="20" customHeight="1">
      <c r="A328" s="47">
        <f>IF(B328="","","TU"&amp;TEXT(ROW()-2,"0000"))</f>
        <v/>
      </c>
      <c r="B328" s="26" t="n"/>
      <c r="C328" s="48">
        <f>IFERROR(IF(B328="","",VLOOKUP(B328,DATABASE!$A:$B,2,0)),"")</f>
        <v/>
      </c>
      <c r="D328" s="44">
        <f>IFERROR(IF(B328="","",VLOOKUP(B328,LOANS!$B:$A,1,0)),"")</f>
        <v/>
      </c>
      <c r="E328" s="29" t="n"/>
      <c r="F328" s="40">
        <f>IF(B328="","",TODAY())</f>
        <v/>
      </c>
      <c r="G328" s="30" t="n"/>
      <c r="H328" s="43">
        <f>IFERROR(IF(OR(B328="",E328=""),"",SUMIF(LOANS!$B:$B,B328,LOANS!$D:$D)+E328),"")</f>
        <v/>
      </c>
      <c r="I328" s="43">
        <f>IFERROR(IF(OR(B328="",E328=""),"",SUMIF(LOANS!$B:$B,B328,LOANS!$I:$I)+ABS(PMT(IFERROR(VLOOKUP(B328,LOANS!$B:$G,6,0),12)/100/12,IFERROR(VLOOKUP(B328,LOANS!$B:$H,7,0),12),E328))),"")</f>
        <v/>
      </c>
      <c r="J328" s="44">
        <f>IF(B328="","","Active")</f>
        <v/>
      </c>
    </row>
    <row r="329" ht="20" customHeight="1">
      <c r="A329" s="47">
        <f>IF(B329="","","TU"&amp;TEXT(ROW()-2,"0000"))</f>
        <v/>
      </c>
      <c r="B329" s="26" t="n"/>
      <c r="C329" s="48">
        <f>IFERROR(IF(B329="","",VLOOKUP(B329,DATABASE!$A:$B,2,0)),"")</f>
        <v/>
      </c>
      <c r="D329" s="44">
        <f>IFERROR(IF(B329="","",VLOOKUP(B329,LOANS!$B:$A,1,0)),"")</f>
        <v/>
      </c>
      <c r="E329" s="29" t="n"/>
      <c r="F329" s="40">
        <f>IF(B329="","",TODAY())</f>
        <v/>
      </c>
      <c r="G329" s="30" t="n"/>
      <c r="H329" s="43">
        <f>IFERROR(IF(OR(B329="",E329=""),"",SUMIF(LOANS!$B:$B,B329,LOANS!$D:$D)+E329),"")</f>
        <v/>
      </c>
      <c r="I329" s="43">
        <f>IFERROR(IF(OR(B329="",E329=""),"",SUMIF(LOANS!$B:$B,B329,LOANS!$I:$I)+ABS(PMT(IFERROR(VLOOKUP(B329,LOANS!$B:$G,6,0),12)/100/12,IFERROR(VLOOKUP(B329,LOANS!$B:$H,7,0),12),E329))),"")</f>
        <v/>
      </c>
      <c r="J329" s="44">
        <f>IF(B329="","","Active")</f>
        <v/>
      </c>
    </row>
    <row r="330" ht="20" customHeight="1">
      <c r="A330" s="47">
        <f>IF(B330="","","TU"&amp;TEXT(ROW()-2,"0000"))</f>
        <v/>
      </c>
      <c r="B330" s="26" t="n"/>
      <c r="C330" s="48">
        <f>IFERROR(IF(B330="","",VLOOKUP(B330,DATABASE!$A:$B,2,0)),"")</f>
        <v/>
      </c>
      <c r="D330" s="44">
        <f>IFERROR(IF(B330="","",VLOOKUP(B330,LOANS!$B:$A,1,0)),"")</f>
        <v/>
      </c>
      <c r="E330" s="29" t="n"/>
      <c r="F330" s="40">
        <f>IF(B330="","",TODAY())</f>
        <v/>
      </c>
      <c r="G330" s="30" t="n"/>
      <c r="H330" s="43">
        <f>IFERROR(IF(OR(B330="",E330=""),"",SUMIF(LOANS!$B:$B,B330,LOANS!$D:$D)+E330),"")</f>
        <v/>
      </c>
      <c r="I330" s="43">
        <f>IFERROR(IF(OR(B330="",E330=""),"",SUMIF(LOANS!$B:$B,B330,LOANS!$I:$I)+ABS(PMT(IFERROR(VLOOKUP(B330,LOANS!$B:$G,6,0),12)/100/12,IFERROR(VLOOKUP(B330,LOANS!$B:$H,7,0),12),E330))),"")</f>
        <v/>
      </c>
      <c r="J330" s="44">
        <f>IF(B330="","","Active")</f>
        <v/>
      </c>
    </row>
    <row r="331" ht="20" customHeight="1">
      <c r="A331" s="47">
        <f>IF(B331="","","TU"&amp;TEXT(ROW()-2,"0000"))</f>
        <v/>
      </c>
      <c r="B331" s="26" t="n"/>
      <c r="C331" s="48">
        <f>IFERROR(IF(B331="","",VLOOKUP(B331,DATABASE!$A:$B,2,0)),"")</f>
        <v/>
      </c>
      <c r="D331" s="44">
        <f>IFERROR(IF(B331="","",VLOOKUP(B331,LOANS!$B:$A,1,0)),"")</f>
        <v/>
      </c>
      <c r="E331" s="29" t="n"/>
      <c r="F331" s="40">
        <f>IF(B331="","",TODAY())</f>
        <v/>
      </c>
      <c r="G331" s="30" t="n"/>
      <c r="H331" s="43">
        <f>IFERROR(IF(OR(B331="",E331=""),"",SUMIF(LOANS!$B:$B,B331,LOANS!$D:$D)+E331),"")</f>
        <v/>
      </c>
      <c r="I331" s="43">
        <f>IFERROR(IF(OR(B331="",E331=""),"",SUMIF(LOANS!$B:$B,B331,LOANS!$I:$I)+ABS(PMT(IFERROR(VLOOKUP(B331,LOANS!$B:$G,6,0),12)/100/12,IFERROR(VLOOKUP(B331,LOANS!$B:$H,7,0),12),E331))),"")</f>
        <v/>
      </c>
      <c r="J331" s="44">
        <f>IF(B331="","","Active")</f>
        <v/>
      </c>
    </row>
    <row r="332" ht="20" customHeight="1">
      <c r="A332" s="47">
        <f>IF(B332="","","TU"&amp;TEXT(ROW()-2,"0000"))</f>
        <v/>
      </c>
      <c r="B332" s="26" t="n"/>
      <c r="C332" s="48">
        <f>IFERROR(IF(B332="","",VLOOKUP(B332,DATABASE!$A:$B,2,0)),"")</f>
        <v/>
      </c>
      <c r="D332" s="44">
        <f>IFERROR(IF(B332="","",VLOOKUP(B332,LOANS!$B:$A,1,0)),"")</f>
        <v/>
      </c>
      <c r="E332" s="29" t="n"/>
      <c r="F332" s="40">
        <f>IF(B332="","",TODAY())</f>
        <v/>
      </c>
      <c r="G332" s="30" t="n"/>
      <c r="H332" s="43">
        <f>IFERROR(IF(OR(B332="",E332=""),"",SUMIF(LOANS!$B:$B,B332,LOANS!$D:$D)+E332),"")</f>
        <v/>
      </c>
      <c r="I332" s="43">
        <f>IFERROR(IF(OR(B332="",E332=""),"",SUMIF(LOANS!$B:$B,B332,LOANS!$I:$I)+ABS(PMT(IFERROR(VLOOKUP(B332,LOANS!$B:$G,6,0),12)/100/12,IFERROR(VLOOKUP(B332,LOANS!$B:$H,7,0),12),E332))),"")</f>
        <v/>
      </c>
      <c r="J332" s="44">
        <f>IF(B332="","","Active")</f>
        <v/>
      </c>
    </row>
    <row r="333" ht="20" customHeight="1">
      <c r="A333" s="47">
        <f>IF(B333="","","TU"&amp;TEXT(ROW()-2,"0000"))</f>
        <v/>
      </c>
      <c r="B333" s="26" t="n"/>
      <c r="C333" s="48">
        <f>IFERROR(IF(B333="","",VLOOKUP(B333,DATABASE!$A:$B,2,0)),"")</f>
        <v/>
      </c>
      <c r="D333" s="44">
        <f>IFERROR(IF(B333="","",VLOOKUP(B333,LOANS!$B:$A,1,0)),"")</f>
        <v/>
      </c>
      <c r="E333" s="29" t="n"/>
      <c r="F333" s="40">
        <f>IF(B333="","",TODAY())</f>
        <v/>
      </c>
      <c r="G333" s="30" t="n"/>
      <c r="H333" s="43">
        <f>IFERROR(IF(OR(B333="",E333=""),"",SUMIF(LOANS!$B:$B,B333,LOANS!$D:$D)+E333),"")</f>
        <v/>
      </c>
      <c r="I333" s="43">
        <f>IFERROR(IF(OR(B333="",E333=""),"",SUMIF(LOANS!$B:$B,B333,LOANS!$I:$I)+ABS(PMT(IFERROR(VLOOKUP(B333,LOANS!$B:$G,6,0),12)/100/12,IFERROR(VLOOKUP(B333,LOANS!$B:$H,7,0),12),E333))),"")</f>
        <v/>
      </c>
      <c r="J333" s="44">
        <f>IF(B333="","","Active")</f>
        <v/>
      </c>
    </row>
    <row r="334" ht="20" customHeight="1">
      <c r="A334" s="47">
        <f>IF(B334="","","TU"&amp;TEXT(ROW()-2,"0000"))</f>
        <v/>
      </c>
      <c r="B334" s="26" t="n"/>
      <c r="C334" s="48">
        <f>IFERROR(IF(B334="","",VLOOKUP(B334,DATABASE!$A:$B,2,0)),"")</f>
        <v/>
      </c>
      <c r="D334" s="44">
        <f>IFERROR(IF(B334="","",VLOOKUP(B334,LOANS!$B:$A,1,0)),"")</f>
        <v/>
      </c>
      <c r="E334" s="29" t="n"/>
      <c r="F334" s="40">
        <f>IF(B334="","",TODAY())</f>
        <v/>
      </c>
      <c r="G334" s="30" t="n"/>
      <c r="H334" s="43">
        <f>IFERROR(IF(OR(B334="",E334=""),"",SUMIF(LOANS!$B:$B,B334,LOANS!$D:$D)+E334),"")</f>
        <v/>
      </c>
      <c r="I334" s="43">
        <f>IFERROR(IF(OR(B334="",E334=""),"",SUMIF(LOANS!$B:$B,B334,LOANS!$I:$I)+ABS(PMT(IFERROR(VLOOKUP(B334,LOANS!$B:$G,6,0),12)/100/12,IFERROR(VLOOKUP(B334,LOANS!$B:$H,7,0),12),E334))),"")</f>
        <v/>
      </c>
      <c r="J334" s="44">
        <f>IF(B334="","","Active")</f>
        <v/>
      </c>
    </row>
    <row r="335" ht="20" customHeight="1">
      <c r="A335" s="47">
        <f>IF(B335="","","TU"&amp;TEXT(ROW()-2,"0000"))</f>
        <v/>
      </c>
      <c r="B335" s="26" t="n"/>
      <c r="C335" s="48">
        <f>IFERROR(IF(B335="","",VLOOKUP(B335,DATABASE!$A:$B,2,0)),"")</f>
        <v/>
      </c>
      <c r="D335" s="44">
        <f>IFERROR(IF(B335="","",VLOOKUP(B335,LOANS!$B:$A,1,0)),"")</f>
        <v/>
      </c>
      <c r="E335" s="29" t="n"/>
      <c r="F335" s="40">
        <f>IF(B335="","",TODAY())</f>
        <v/>
      </c>
      <c r="G335" s="30" t="n"/>
      <c r="H335" s="43">
        <f>IFERROR(IF(OR(B335="",E335=""),"",SUMIF(LOANS!$B:$B,B335,LOANS!$D:$D)+E335),"")</f>
        <v/>
      </c>
      <c r="I335" s="43">
        <f>IFERROR(IF(OR(B335="",E335=""),"",SUMIF(LOANS!$B:$B,B335,LOANS!$I:$I)+ABS(PMT(IFERROR(VLOOKUP(B335,LOANS!$B:$G,6,0),12)/100/12,IFERROR(VLOOKUP(B335,LOANS!$B:$H,7,0),12),E335))),"")</f>
        <v/>
      </c>
      <c r="J335" s="44">
        <f>IF(B335="","","Active")</f>
        <v/>
      </c>
    </row>
    <row r="336" ht="20" customHeight="1">
      <c r="A336" s="47">
        <f>IF(B336="","","TU"&amp;TEXT(ROW()-2,"0000"))</f>
        <v/>
      </c>
      <c r="B336" s="26" t="n"/>
      <c r="C336" s="48">
        <f>IFERROR(IF(B336="","",VLOOKUP(B336,DATABASE!$A:$B,2,0)),"")</f>
        <v/>
      </c>
      <c r="D336" s="44">
        <f>IFERROR(IF(B336="","",VLOOKUP(B336,LOANS!$B:$A,1,0)),"")</f>
        <v/>
      </c>
      <c r="E336" s="29" t="n"/>
      <c r="F336" s="40">
        <f>IF(B336="","",TODAY())</f>
        <v/>
      </c>
      <c r="G336" s="30" t="n"/>
      <c r="H336" s="43">
        <f>IFERROR(IF(OR(B336="",E336=""),"",SUMIF(LOANS!$B:$B,B336,LOANS!$D:$D)+E336),"")</f>
        <v/>
      </c>
      <c r="I336" s="43">
        <f>IFERROR(IF(OR(B336="",E336=""),"",SUMIF(LOANS!$B:$B,B336,LOANS!$I:$I)+ABS(PMT(IFERROR(VLOOKUP(B336,LOANS!$B:$G,6,0),12)/100/12,IFERROR(VLOOKUP(B336,LOANS!$B:$H,7,0),12),E336))),"")</f>
        <v/>
      </c>
      <c r="J336" s="44">
        <f>IF(B336="","","Active")</f>
        <v/>
      </c>
    </row>
    <row r="337" ht="20" customHeight="1">
      <c r="A337" s="47">
        <f>IF(B337="","","TU"&amp;TEXT(ROW()-2,"0000"))</f>
        <v/>
      </c>
      <c r="B337" s="26" t="n"/>
      <c r="C337" s="48">
        <f>IFERROR(IF(B337="","",VLOOKUP(B337,DATABASE!$A:$B,2,0)),"")</f>
        <v/>
      </c>
      <c r="D337" s="44">
        <f>IFERROR(IF(B337="","",VLOOKUP(B337,LOANS!$B:$A,1,0)),"")</f>
        <v/>
      </c>
      <c r="E337" s="29" t="n"/>
      <c r="F337" s="40">
        <f>IF(B337="","",TODAY())</f>
        <v/>
      </c>
      <c r="G337" s="30" t="n"/>
      <c r="H337" s="43">
        <f>IFERROR(IF(OR(B337="",E337=""),"",SUMIF(LOANS!$B:$B,B337,LOANS!$D:$D)+E337),"")</f>
        <v/>
      </c>
      <c r="I337" s="43">
        <f>IFERROR(IF(OR(B337="",E337=""),"",SUMIF(LOANS!$B:$B,B337,LOANS!$I:$I)+ABS(PMT(IFERROR(VLOOKUP(B337,LOANS!$B:$G,6,0),12)/100/12,IFERROR(VLOOKUP(B337,LOANS!$B:$H,7,0),12),E337))),"")</f>
        <v/>
      </c>
      <c r="J337" s="44">
        <f>IF(B337="","","Active")</f>
        <v/>
      </c>
    </row>
    <row r="338" ht="20" customHeight="1">
      <c r="A338" s="47">
        <f>IF(B338="","","TU"&amp;TEXT(ROW()-2,"0000"))</f>
        <v/>
      </c>
      <c r="B338" s="26" t="n"/>
      <c r="C338" s="48">
        <f>IFERROR(IF(B338="","",VLOOKUP(B338,DATABASE!$A:$B,2,0)),"")</f>
        <v/>
      </c>
      <c r="D338" s="44">
        <f>IFERROR(IF(B338="","",VLOOKUP(B338,LOANS!$B:$A,1,0)),"")</f>
        <v/>
      </c>
      <c r="E338" s="29" t="n"/>
      <c r="F338" s="40">
        <f>IF(B338="","",TODAY())</f>
        <v/>
      </c>
      <c r="G338" s="30" t="n"/>
      <c r="H338" s="43">
        <f>IFERROR(IF(OR(B338="",E338=""),"",SUMIF(LOANS!$B:$B,B338,LOANS!$D:$D)+E338),"")</f>
        <v/>
      </c>
      <c r="I338" s="43">
        <f>IFERROR(IF(OR(B338="",E338=""),"",SUMIF(LOANS!$B:$B,B338,LOANS!$I:$I)+ABS(PMT(IFERROR(VLOOKUP(B338,LOANS!$B:$G,6,0),12)/100/12,IFERROR(VLOOKUP(B338,LOANS!$B:$H,7,0),12),E338))),"")</f>
        <v/>
      </c>
      <c r="J338" s="44">
        <f>IF(B338="","","Active")</f>
        <v/>
      </c>
    </row>
    <row r="339" ht="20" customHeight="1">
      <c r="A339" s="47">
        <f>IF(B339="","","TU"&amp;TEXT(ROW()-2,"0000"))</f>
        <v/>
      </c>
      <c r="B339" s="26" t="n"/>
      <c r="C339" s="48">
        <f>IFERROR(IF(B339="","",VLOOKUP(B339,DATABASE!$A:$B,2,0)),"")</f>
        <v/>
      </c>
      <c r="D339" s="44">
        <f>IFERROR(IF(B339="","",VLOOKUP(B339,LOANS!$B:$A,1,0)),"")</f>
        <v/>
      </c>
      <c r="E339" s="29" t="n"/>
      <c r="F339" s="40">
        <f>IF(B339="","",TODAY())</f>
        <v/>
      </c>
      <c r="G339" s="30" t="n"/>
      <c r="H339" s="43">
        <f>IFERROR(IF(OR(B339="",E339=""),"",SUMIF(LOANS!$B:$B,B339,LOANS!$D:$D)+E339),"")</f>
        <v/>
      </c>
      <c r="I339" s="43">
        <f>IFERROR(IF(OR(B339="",E339=""),"",SUMIF(LOANS!$B:$B,B339,LOANS!$I:$I)+ABS(PMT(IFERROR(VLOOKUP(B339,LOANS!$B:$G,6,0),12)/100/12,IFERROR(VLOOKUP(B339,LOANS!$B:$H,7,0),12),E339))),"")</f>
        <v/>
      </c>
      <c r="J339" s="44">
        <f>IF(B339="","","Active")</f>
        <v/>
      </c>
    </row>
    <row r="340" ht="20" customHeight="1">
      <c r="A340" s="47">
        <f>IF(B340="","","TU"&amp;TEXT(ROW()-2,"0000"))</f>
        <v/>
      </c>
      <c r="B340" s="26" t="n"/>
      <c r="C340" s="48">
        <f>IFERROR(IF(B340="","",VLOOKUP(B340,DATABASE!$A:$B,2,0)),"")</f>
        <v/>
      </c>
      <c r="D340" s="44">
        <f>IFERROR(IF(B340="","",VLOOKUP(B340,LOANS!$B:$A,1,0)),"")</f>
        <v/>
      </c>
      <c r="E340" s="29" t="n"/>
      <c r="F340" s="40">
        <f>IF(B340="","",TODAY())</f>
        <v/>
      </c>
      <c r="G340" s="30" t="n"/>
      <c r="H340" s="43">
        <f>IFERROR(IF(OR(B340="",E340=""),"",SUMIF(LOANS!$B:$B,B340,LOANS!$D:$D)+E340),"")</f>
        <v/>
      </c>
      <c r="I340" s="43">
        <f>IFERROR(IF(OR(B340="",E340=""),"",SUMIF(LOANS!$B:$B,B340,LOANS!$I:$I)+ABS(PMT(IFERROR(VLOOKUP(B340,LOANS!$B:$G,6,0),12)/100/12,IFERROR(VLOOKUP(B340,LOANS!$B:$H,7,0),12),E340))),"")</f>
        <v/>
      </c>
      <c r="J340" s="44">
        <f>IF(B340="","","Active")</f>
        <v/>
      </c>
    </row>
    <row r="341" ht="20" customHeight="1">
      <c r="A341" s="47">
        <f>IF(B341="","","TU"&amp;TEXT(ROW()-2,"0000"))</f>
        <v/>
      </c>
      <c r="B341" s="26" t="n"/>
      <c r="C341" s="48">
        <f>IFERROR(IF(B341="","",VLOOKUP(B341,DATABASE!$A:$B,2,0)),"")</f>
        <v/>
      </c>
      <c r="D341" s="44">
        <f>IFERROR(IF(B341="","",VLOOKUP(B341,LOANS!$B:$A,1,0)),"")</f>
        <v/>
      </c>
      <c r="E341" s="29" t="n"/>
      <c r="F341" s="40">
        <f>IF(B341="","",TODAY())</f>
        <v/>
      </c>
      <c r="G341" s="30" t="n"/>
      <c r="H341" s="43">
        <f>IFERROR(IF(OR(B341="",E341=""),"",SUMIF(LOANS!$B:$B,B341,LOANS!$D:$D)+E341),"")</f>
        <v/>
      </c>
      <c r="I341" s="43">
        <f>IFERROR(IF(OR(B341="",E341=""),"",SUMIF(LOANS!$B:$B,B341,LOANS!$I:$I)+ABS(PMT(IFERROR(VLOOKUP(B341,LOANS!$B:$G,6,0),12)/100/12,IFERROR(VLOOKUP(B341,LOANS!$B:$H,7,0),12),E341))),"")</f>
        <v/>
      </c>
      <c r="J341" s="44">
        <f>IF(B341="","","Active")</f>
        <v/>
      </c>
    </row>
    <row r="342" ht="20" customHeight="1">
      <c r="A342" s="47">
        <f>IF(B342="","","TU"&amp;TEXT(ROW()-2,"0000"))</f>
        <v/>
      </c>
      <c r="B342" s="26" t="n"/>
      <c r="C342" s="48">
        <f>IFERROR(IF(B342="","",VLOOKUP(B342,DATABASE!$A:$B,2,0)),"")</f>
        <v/>
      </c>
      <c r="D342" s="44">
        <f>IFERROR(IF(B342="","",VLOOKUP(B342,LOANS!$B:$A,1,0)),"")</f>
        <v/>
      </c>
      <c r="E342" s="29" t="n"/>
      <c r="F342" s="40">
        <f>IF(B342="","",TODAY())</f>
        <v/>
      </c>
      <c r="G342" s="30" t="n"/>
      <c r="H342" s="43">
        <f>IFERROR(IF(OR(B342="",E342=""),"",SUMIF(LOANS!$B:$B,B342,LOANS!$D:$D)+E342),"")</f>
        <v/>
      </c>
      <c r="I342" s="43">
        <f>IFERROR(IF(OR(B342="",E342=""),"",SUMIF(LOANS!$B:$B,B342,LOANS!$I:$I)+ABS(PMT(IFERROR(VLOOKUP(B342,LOANS!$B:$G,6,0),12)/100/12,IFERROR(VLOOKUP(B342,LOANS!$B:$H,7,0),12),E342))),"")</f>
        <v/>
      </c>
      <c r="J342" s="44">
        <f>IF(B342="","","Active")</f>
        <v/>
      </c>
    </row>
    <row r="343" ht="20" customHeight="1">
      <c r="A343" s="47">
        <f>IF(B343="","","TU"&amp;TEXT(ROW()-2,"0000"))</f>
        <v/>
      </c>
      <c r="B343" s="26" t="n"/>
      <c r="C343" s="48">
        <f>IFERROR(IF(B343="","",VLOOKUP(B343,DATABASE!$A:$B,2,0)),"")</f>
        <v/>
      </c>
      <c r="D343" s="44">
        <f>IFERROR(IF(B343="","",VLOOKUP(B343,LOANS!$B:$A,1,0)),"")</f>
        <v/>
      </c>
      <c r="E343" s="29" t="n"/>
      <c r="F343" s="40">
        <f>IF(B343="","",TODAY())</f>
        <v/>
      </c>
      <c r="G343" s="30" t="n"/>
      <c r="H343" s="43">
        <f>IFERROR(IF(OR(B343="",E343=""),"",SUMIF(LOANS!$B:$B,B343,LOANS!$D:$D)+E343),"")</f>
        <v/>
      </c>
      <c r="I343" s="43">
        <f>IFERROR(IF(OR(B343="",E343=""),"",SUMIF(LOANS!$B:$B,B343,LOANS!$I:$I)+ABS(PMT(IFERROR(VLOOKUP(B343,LOANS!$B:$G,6,0),12)/100/12,IFERROR(VLOOKUP(B343,LOANS!$B:$H,7,0),12),E343))),"")</f>
        <v/>
      </c>
      <c r="J343" s="44">
        <f>IF(B343="","","Active")</f>
        <v/>
      </c>
    </row>
    <row r="344" ht="20" customHeight="1">
      <c r="A344" s="47">
        <f>IF(B344="","","TU"&amp;TEXT(ROW()-2,"0000"))</f>
        <v/>
      </c>
      <c r="B344" s="26" t="n"/>
      <c r="C344" s="48">
        <f>IFERROR(IF(B344="","",VLOOKUP(B344,DATABASE!$A:$B,2,0)),"")</f>
        <v/>
      </c>
      <c r="D344" s="44">
        <f>IFERROR(IF(B344="","",VLOOKUP(B344,LOANS!$B:$A,1,0)),"")</f>
        <v/>
      </c>
      <c r="E344" s="29" t="n"/>
      <c r="F344" s="40">
        <f>IF(B344="","",TODAY())</f>
        <v/>
      </c>
      <c r="G344" s="30" t="n"/>
      <c r="H344" s="43">
        <f>IFERROR(IF(OR(B344="",E344=""),"",SUMIF(LOANS!$B:$B,B344,LOANS!$D:$D)+E344),"")</f>
        <v/>
      </c>
      <c r="I344" s="43">
        <f>IFERROR(IF(OR(B344="",E344=""),"",SUMIF(LOANS!$B:$B,B344,LOANS!$I:$I)+ABS(PMT(IFERROR(VLOOKUP(B344,LOANS!$B:$G,6,0),12)/100/12,IFERROR(VLOOKUP(B344,LOANS!$B:$H,7,0),12),E344))),"")</f>
        <v/>
      </c>
      <c r="J344" s="44">
        <f>IF(B344="","","Active")</f>
        <v/>
      </c>
    </row>
    <row r="345" ht="20" customHeight="1">
      <c r="A345" s="47">
        <f>IF(B345="","","TU"&amp;TEXT(ROW()-2,"0000"))</f>
        <v/>
      </c>
      <c r="B345" s="26" t="n"/>
      <c r="C345" s="48">
        <f>IFERROR(IF(B345="","",VLOOKUP(B345,DATABASE!$A:$B,2,0)),"")</f>
        <v/>
      </c>
      <c r="D345" s="44">
        <f>IFERROR(IF(B345="","",VLOOKUP(B345,LOANS!$B:$A,1,0)),"")</f>
        <v/>
      </c>
      <c r="E345" s="29" t="n"/>
      <c r="F345" s="40">
        <f>IF(B345="","",TODAY())</f>
        <v/>
      </c>
      <c r="G345" s="30" t="n"/>
      <c r="H345" s="43">
        <f>IFERROR(IF(OR(B345="",E345=""),"",SUMIF(LOANS!$B:$B,B345,LOANS!$D:$D)+E345),"")</f>
        <v/>
      </c>
      <c r="I345" s="43">
        <f>IFERROR(IF(OR(B345="",E345=""),"",SUMIF(LOANS!$B:$B,B345,LOANS!$I:$I)+ABS(PMT(IFERROR(VLOOKUP(B345,LOANS!$B:$G,6,0),12)/100/12,IFERROR(VLOOKUP(B345,LOANS!$B:$H,7,0),12),E345))),"")</f>
        <v/>
      </c>
      <c r="J345" s="44">
        <f>IF(B345="","","Active")</f>
        <v/>
      </c>
    </row>
    <row r="346" ht="20" customHeight="1">
      <c r="A346" s="47">
        <f>IF(B346="","","TU"&amp;TEXT(ROW()-2,"0000"))</f>
        <v/>
      </c>
      <c r="B346" s="26" t="n"/>
      <c r="C346" s="48">
        <f>IFERROR(IF(B346="","",VLOOKUP(B346,DATABASE!$A:$B,2,0)),"")</f>
        <v/>
      </c>
      <c r="D346" s="44">
        <f>IFERROR(IF(B346="","",VLOOKUP(B346,LOANS!$B:$A,1,0)),"")</f>
        <v/>
      </c>
      <c r="E346" s="29" t="n"/>
      <c r="F346" s="40">
        <f>IF(B346="","",TODAY())</f>
        <v/>
      </c>
      <c r="G346" s="30" t="n"/>
      <c r="H346" s="43">
        <f>IFERROR(IF(OR(B346="",E346=""),"",SUMIF(LOANS!$B:$B,B346,LOANS!$D:$D)+E346),"")</f>
        <v/>
      </c>
      <c r="I346" s="43">
        <f>IFERROR(IF(OR(B346="",E346=""),"",SUMIF(LOANS!$B:$B,B346,LOANS!$I:$I)+ABS(PMT(IFERROR(VLOOKUP(B346,LOANS!$B:$G,6,0),12)/100/12,IFERROR(VLOOKUP(B346,LOANS!$B:$H,7,0),12),E346))),"")</f>
        <v/>
      </c>
      <c r="J346" s="44">
        <f>IF(B346="","","Active")</f>
        <v/>
      </c>
    </row>
    <row r="347" ht="20" customHeight="1">
      <c r="A347" s="47">
        <f>IF(B347="","","TU"&amp;TEXT(ROW()-2,"0000"))</f>
        <v/>
      </c>
      <c r="B347" s="26" t="n"/>
      <c r="C347" s="48">
        <f>IFERROR(IF(B347="","",VLOOKUP(B347,DATABASE!$A:$B,2,0)),"")</f>
        <v/>
      </c>
      <c r="D347" s="44">
        <f>IFERROR(IF(B347="","",VLOOKUP(B347,LOANS!$B:$A,1,0)),"")</f>
        <v/>
      </c>
      <c r="E347" s="29" t="n"/>
      <c r="F347" s="40">
        <f>IF(B347="","",TODAY())</f>
        <v/>
      </c>
      <c r="G347" s="30" t="n"/>
      <c r="H347" s="43">
        <f>IFERROR(IF(OR(B347="",E347=""),"",SUMIF(LOANS!$B:$B,B347,LOANS!$D:$D)+E347),"")</f>
        <v/>
      </c>
      <c r="I347" s="43">
        <f>IFERROR(IF(OR(B347="",E347=""),"",SUMIF(LOANS!$B:$B,B347,LOANS!$I:$I)+ABS(PMT(IFERROR(VLOOKUP(B347,LOANS!$B:$G,6,0),12)/100/12,IFERROR(VLOOKUP(B347,LOANS!$B:$H,7,0),12),E347))),"")</f>
        <v/>
      </c>
      <c r="J347" s="44">
        <f>IF(B347="","","Active")</f>
        <v/>
      </c>
    </row>
    <row r="348" ht="20" customHeight="1">
      <c r="A348" s="47">
        <f>IF(B348="","","TU"&amp;TEXT(ROW()-2,"0000"))</f>
        <v/>
      </c>
      <c r="B348" s="26" t="n"/>
      <c r="C348" s="48">
        <f>IFERROR(IF(B348="","",VLOOKUP(B348,DATABASE!$A:$B,2,0)),"")</f>
        <v/>
      </c>
      <c r="D348" s="44">
        <f>IFERROR(IF(B348="","",VLOOKUP(B348,LOANS!$B:$A,1,0)),"")</f>
        <v/>
      </c>
      <c r="E348" s="29" t="n"/>
      <c r="F348" s="40">
        <f>IF(B348="","",TODAY())</f>
        <v/>
      </c>
      <c r="G348" s="30" t="n"/>
      <c r="H348" s="43">
        <f>IFERROR(IF(OR(B348="",E348=""),"",SUMIF(LOANS!$B:$B,B348,LOANS!$D:$D)+E348),"")</f>
        <v/>
      </c>
      <c r="I348" s="43">
        <f>IFERROR(IF(OR(B348="",E348=""),"",SUMIF(LOANS!$B:$B,B348,LOANS!$I:$I)+ABS(PMT(IFERROR(VLOOKUP(B348,LOANS!$B:$G,6,0),12)/100/12,IFERROR(VLOOKUP(B348,LOANS!$B:$H,7,0),12),E348))),"")</f>
        <v/>
      </c>
      <c r="J348" s="44">
        <f>IF(B348="","","Active")</f>
        <v/>
      </c>
    </row>
    <row r="349" ht="20" customHeight="1">
      <c r="A349" s="47">
        <f>IF(B349="","","TU"&amp;TEXT(ROW()-2,"0000"))</f>
        <v/>
      </c>
      <c r="B349" s="26" t="n"/>
      <c r="C349" s="48">
        <f>IFERROR(IF(B349="","",VLOOKUP(B349,DATABASE!$A:$B,2,0)),"")</f>
        <v/>
      </c>
      <c r="D349" s="44">
        <f>IFERROR(IF(B349="","",VLOOKUP(B349,LOANS!$B:$A,1,0)),"")</f>
        <v/>
      </c>
      <c r="E349" s="29" t="n"/>
      <c r="F349" s="40">
        <f>IF(B349="","",TODAY())</f>
        <v/>
      </c>
      <c r="G349" s="30" t="n"/>
      <c r="H349" s="43">
        <f>IFERROR(IF(OR(B349="",E349=""),"",SUMIF(LOANS!$B:$B,B349,LOANS!$D:$D)+E349),"")</f>
        <v/>
      </c>
      <c r="I349" s="43">
        <f>IFERROR(IF(OR(B349="",E349=""),"",SUMIF(LOANS!$B:$B,B349,LOANS!$I:$I)+ABS(PMT(IFERROR(VLOOKUP(B349,LOANS!$B:$G,6,0),12)/100/12,IFERROR(VLOOKUP(B349,LOANS!$B:$H,7,0),12),E349))),"")</f>
        <v/>
      </c>
      <c r="J349" s="44">
        <f>IF(B349="","","Active")</f>
        <v/>
      </c>
    </row>
    <row r="350" ht="20" customHeight="1">
      <c r="A350" s="47">
        <f>IF(B350="","","TU"&amp;TEXT(ROW()-2,"0000"))</f>
        <v/>
      </c>
      <c r="B350" s="26" t="n"/>
      <c r="C350" s="48">
        <f>IFERROR(IF(B350="","",VLOOKUP(B350,DATABASE!$A:$B,2,0)),"")</f>
        <v/>
      </c>
      <c r="D350" s="44">
        <f>IFERROR(IF(B350="","",VLOOKUP(B350,LOANS!$B:$A,1,0)),"")</f>
        <v/>
      </c>
      <c r="E350" s="29" t="n"/>
      <c r="F350" s="40">
        <f>IF(B350="","",TODAY())</f>
        <v/>
      </c>
      <c r="G350" s="30" t="n"/>
      <c r="H350" s="43">
        <f>IFERROR(IF(OR(B350="",E350=""),"",SUMIF(LOANS!$B:$B,B350,LOANS!$D:$D)+E350),"")</f>
        <v/>
      </c>
      <c r="I350" s="43">
        <f>IFERROR(IF(OR(B350="",E350=""),"",SUMIF(LOANS!$B:$B,B350,LOANS!$I:$I)+ABS(PMT(IFERROR(VLOOKUP(B350,LOANS!$B:$G,6,0),12)/100/12,IFERROR(VLOOKUP(B350,LOANS!$B:$H,7,0),12),E350))),"")</f>
        <v/>
      </c>
      <c r="J350" s="44">
        <f>IF(B350="","","Active")</f>
        <v/>
      </c>
    </row>
    <row r="351" ht="20" customHeight="1">
      <c r="A351" s="47">
        <f>IF(B351="","","TU"&amp;TEXT(ROW()-2,"0000"))</f>
        <v/>
      </c>
      <c r="B351" s="26" t="n"/>
      <c r="C351" s="48">
        <f>IFERROR(IF(B351="","",VLOOKUP(B351,DATABASE!$A:$B,2,0)),"")</f>
        <v/>
      </c>
      <c r="D351" s="44">
        <f>IFERROR(IF(B351="","",VLOOKUP(B351,LOANS!$B:$A,1,0)),"")</f>
        <v/>
      </c>
      <c r="E351" s="29" t="n"/>
      <c r="F351" s="40">
        <f>IF(B351="","",TODAY())</f>
        <v/>
      </c>
      <c r="G351" s="30" t="n"/>
      <c r="H351" s="43">
        <f>IFERROR(IF(OR(B351="",E351=""),"",SUMIF(LOANS!$B:$B,B351,LOANS!$D:$D)+E351),"")</f>
        <v/>
      </c>
      <c r="I351" s="43">
        <f>IFERROR(IF(OR(B351="",E351=""),"",SUMIF(LOANS!$B:$B,B351,LOANS!$I:$I)+ABS(PMT(IFERROR(VLOOKUP(B351,LOANS!$B:$G,6,0),12)/100/12,IFERROR(VLOOKUP(B351,LOANS!$B:$H,7,0),12),E351))),"")</f>
        <v/>
      </c>
      <c r="J351" s="44">
        <f>IF(B351="","","Active")</f>
        <v/>
      </c>
    </row>
    <row r="352" ht="20" customHeight="1">
      <c r="A352" s="47">
        <f>IF(B352="","","TU"&amp;TEXT(ROW()-2,"0000"))</f>
        <v/>
      </c>
      <c r="B352" s="26" t="n"/>
      <c r="C352" s="48">
        <f>IFERROR(IF(B352="","",VLOOKUP(B352,DATABASE!$A:$B,2,0)),"")</f>
        <v/>
      </c>
      <c r="D352" s="44">
        <f>IFERROR(IF(B352="","",VLOOKUP(B352,LOANS!$B:$A,1,0)),"")</f>
        <v/>
      </c>
      <c r="E352" s="29" t="n"/>
      <c r="F352" s="40">
        <f>IF(B352="","",TODAY())</f>
        <v/>
      </c>
      <c r="G352" s="30" t="n"/>
      <c r="H352" s="43">
        <f>IFERROR(IF(OR(B352="",E352=""),"",SUMIF(LOANS!$B:$B,B352,LOANS!$D:$D)+E352),"")</f>
        <v/>
      </c>
      <c r="I352" s="43">
        <f>IFERROR(IF(OR(B352="",E352=""),"",SUMIF(LOANS!$B:$B,B352,LOANS!$I:$I)+ABS(PMT(IFERROR(VLOOKUP(B352,LOANS!$B:$G,6,0),12)/100/12,IFERROR(VLOOKUP(B352,LOANS!$B:$H,7,0),12),E352))),"")</f>
        <v/>
      </c>
      <c r="J352" s="44">
        <f>IF(B352="","","Active")</f>
        <v/>
      </c>
    </row>
    <row r="353" ht="20" customHeight="1">
      <c r="A353" s="47">
        <f>IF(B353="","","TU"&amp;TEXT(ROW()-2,"0000"))</f>
        <v/>
      </c>
      <c r="B353" s="26" t="n"/>
      <c r="C353" s="48">
        <f>IFERROR(IF(B353="","",VLOOKUP(B353,DATABASE!$A:$B,2,0)),"")</f>
        <v/>
      </c>
      <c r="D353" s="44">
        <f>IFERROR(IF(B353="","",VLOOKUP(B353,LOANS!$B:$A,1,0)),"")</f>
        <v/>
      </c>
      <c r="E353" s="29" t="n"/>
      <c r="F353" s="40">
        <f>IF(B353="","",TODAY())</f>
        <v/>
      </c>
      <c r="G353" s="30" t="n"/>
      <c r="H353" s="43">
        <f>IFERROR(IF(OR(B353="",E353=""),"",SUMIF(LOANS!$B:$B,B353,LOANS!$D:$D)+E353),"")</f>
        <v/>
      </c>
      <c r="I353" s="43">
        <f>IFERROR(IF(OR(B353="",E353=""),"",SUMIF(LOANS!$B:$B,B353,LOANS!$I:$I)+ABS(PMT(IFERROR(VLOOKUP(B353,LOANS!$B:$G,6,0),12)/100/12,IFERROR(VLOOKUP(B353,LOANS!$B:$H,7,0),12),E353))),"")</f>
        <v/>
      </c>
      <c r="J353" s="44">
        <f>IF(B353="","","Active")</f>
        <v/>
      </c>
    </row>
    <row r="354" ht="20" customHeight="1">
      <c r="A354" s="47">
        <f>IF(B354="","","TU"&amp;TEXT(ROW()-2,"0000"))</f>
        <v/>
      </c>
      <c r="B354" s="26" t="n"/>
      <c r="C354" s="48">
        <f>IFERROR(IF(B354="","",VLOOKUP(B354,DATABASE!$A:$B,2,0)),"")</f>
        <v/>
      </c>
      <c r="D354" s="44">
        <f>IFERROR(IF(B354="","",VLOOKUP(B354,LOANS!$B:$A,1,0)),"")</f>
        <v/>
      </c>
      <c r="E354" s="29" t="n"/>
      <c r="F354" s="40">
        <f>IF(B354="","",TODAY())</f>
        <v/>
      </c>
      <c r="G354" s="30" t="n"/>
      <c r="H354" s="43">
        <f>IFERROR(IF(OR(B354="",E354=""),"",SUMIF(LOANS!$B:$B,B354,LOANS!$D:$D)+E354),"")</f>
        <v/>
      </c>
      <c r="I354" s="43">
        <f>IFERROR(IF(OR(B354="",E354=""),"",SUMIF(LOANS!$B:$B,B354,LOANS!$I:$I)+ABS(PMT(IFERROR(VLOOKUP(B354,LOANS!$B:$G,6,0),12)/100/12,IFERROR(VLOOKUP(B354,LOANS!$B:$H,7,0),12),E354))),"")</f>
        <v/>
      </c>
      <c r="J354" s="44">
        <f>IF(B354="","","Active")</f>
        <v/>
      </c>
    </row>
    <row r="355" ht="20" customHeight="1">
      <c r="A355" s="47">
        <f>IF(B355="","","TU"&amp;TEXT(ROW()-2,"0000"))</f>
        <v/>
      </c>
      <c r="B355" s="26" t="n"/>
      <c r="C355" s="48">
        <f>IFERROR(IF(B355="","",VLOOKUP(B355,DATABASE!$A:$B,2,0)),"")</f>
        <v/>
      </c>
      <c r="D355" s="44">
        <f>IFERROR(IF(B355="","",VLOOKUP(B355,LOANS!$B:$A,1,0)),"")</f>
        <v/>
      </c>
      <c r="E355" s="29" t="n"/>
      <c r="F355" s="40">
        <f>IF(B355="","",TODAY())</f>
        <v/>
      </c>
      <c r="G355" s="30" t="n"/>
      <c r="H355" s="43">
        <f>IFERROR(IF(OR(B355="",E355=""),"",SUMIF(LOANS!$B:$B,B355,LOANS!$D:$D)+E355),"")</f>
        <v/>
      </c>
      <c r="I355" s="43">
        <f>IFERROR(IF(OR(B355="",E355=""),"",SUMIF(LOANS!$B:$B,B355,LOANS!$I:$I)+ABS(PMT(IFERROR(VLOOKUP(B355,LOANS!$B:$G,6,0),12)/100/12,IFERROR(VLOOKUP(B355,LOANS!$B:$H,7,0),12),E355))),"")</f>
        <v/>
      </c>
      <c r="J355" s="44">
        <f>IF(B355="","","Active")</f>
        <v/>
      </c>
    </row>
    <row r="356" ht="20" customHeight="1">
      <c r="A356" s="47">
        <f>IF(B356="","","TU"&amp;TEXT(ROW()-2,"0000"))</f>
        <v/>
      </c>
      <c r="B356" s="26" t="n"/>
      <c r="C356" s="48">
        <f>IFERROR(IF(B356="","",VLOOKUP(B356,DATABASE!$A:$B,2,0)),"")</f>
        <v/>
      </c>
      <c r="D356" s="44">
        <f>IFERROR(IF(B356="","",VLOOKUP(B356,LOANS!$B:$A,1,0)),"")</f>
        <v/>
      </c>
      <c r="E356" s="29" t="n"/>
      <c r="F356" s="40">
        <f>IF(B356="","",TODAY())</f>
        <v/>
      </c>
      <c r="G356" s="30" t="n"/>
      <c r="H356" s="43">
        <f>IFERROR(IF(OR(B356="",E356=""),"",SUMIF(LOANS!$B:$B,B356,LOANS!$D:$D)+E356),"")</f>
        <v/>
      </c>
      <c r="I356" s="43">
        <f>IFERROR(IF(OR(B356="",E356=""),"",SUMIF(LOANS!$B:$B,B356,LOANS!$I:$I)+ABS(PMT(IFERROR(VLOOKUP(B356,LOANS!$B:$G,6,0),12)/100/12,IFERROR(VLOOKUP(B356,LOANS!$B:$H,7,0),12),E356))),"")</f>
        <v/>
      </c>
      <c r="J356" s="44">
        <f>IF(B356="","","Active")</f>
        <v/>
      </c>
    </row>
    <row r="357" ht="20" customHeight="1">
      <c r="A357" s="47">
        <f>IF(B357="","","TU"&amp;TEXT(ROW()-2,"0000"))</f>
        <v/>
      </c>
      <c r="B357" s="26" t="n"/>
      <c r="C357" s="48">
        <f>IFERROR(IF(B357="","",VLOOKUP(B357,DATABASE!$A:$B,2,0)),"")</f>
        <v/>
      </c>
      <c r="D357" s="44">
        <f>IFERROR(IF(B357="","",VLOOKUP(B357,LOANS!$B:$A,1,0)),"")</f>
        <v/>
      </c>
      <c r="E357" s="29" t="n"/>
      <c r="F357" s="40">
        <f>IF(B357="","",TODAY())</f>
        <v/>
      </c>
      <c r="G357" s="30" t="n"/>
      <c r="H357" s="43">
        <f>IFERROR(IF(OR(B357="",E357=""),"",SUMIF(LOANS!$B:$B,B357,LOANS!$D:$D)+E357),"")</f>
        <v/>
      </c>
      <c r="I357" s="43">
        <f>IFERROR(IF(OR(B357="",E357=""),"",SUMIF(LOANS!$B:$B,B357,LOANS!$I:$I)+ABS(PMT(IFERROR(VLOOKUP(B357,LOANS!$B:$G,6,0),12)/100/12,IFERROR(VLOOKUP(B357,LOANS!$B:$H,7,0),12),E357))),"")</f>
        <v/>
      </c>
      <c r="J357" s="44">
        <f>IF(B357="","","Active")</f>
        <v/>
      </c>
    </row>
    <row r="358" ht="20" customHeight="1">
      <c r="A358" s="47">
        <f>IF(B358="","","TU"&amp;TEXT(ROW()-2,"0000"))</f>
        <v/>
      </c>
      <c r="B358" s="26" t="n"/>
      <c r="C358" s="48">
        <f>IFERROR(IF(B358="","",VLOOKUP(B358,DATABASE!$A:$B,2,0)),"")</f>
        <v/>
      </c>
      <c r="D358" s="44">
        <f>IFERROR(IF(B358="","",VLOOKUP(B358,LOANS!$B:$A,1,0)),"")</f>
        <v/>
      </c>
      <c r="E358" s="29" t="n"/>
      <c r="F358" s="40">
        <f>IF(B358="","",TODAY())</f>
        <v/>
      </c>
      <c r="G358" s="30" t="n"/>
      <c r="H358" s="43">
        <f>IFERROR(IF(OR(B358="",E358=""),"",SUMIF(LOANS!$B:$B,B358,LOANS!$D:$D)+E358),"")</f>
        <v/>
      </c>
      <c r="I358" s="43">
        <f>IFERROR(IF(OR(B358="",E358=""),"",SUMIF(LOANS!$B:$B,B358,LOANS!$I:$I)+ABS(PMT(IFERROR(VLOOKUP(B358,LOANS!$B:$G,6,0),12)/100/12,IFERROR(VLOOKUP(B358,LOANS!$B:$H,7,0),12),E358))),"")</f>
        <v/>
      </c>
      <c r="J358" s="44">
        <f>IF(B358="","","Active")</f>
        <v/>
      </c>
    </row>
    <row r="359" ht="20" customHeight="1">
      <c r="A359" s="47">
        <f>IF(B359="","","TU"&amp;TEXT(ROW()-2,"0000"))</f>
        <v/>
      </c>
      <c r="B359" s="26" t="n"/>
      <c r="C359" s="48">
        <f>IFERROR(IF(B359="","",VLOOKUP(B359,DATABASE!$A:$B,2,0)),"")</f>
        <v/>
      </c>
      <c r="D359" s="44">
        <f>IFERROR(IF(B359="","",VLOOKUP(B359,LOANS!$B:$A,1,0)),"")</f>
        <v/>
      </c>
      <c r="E359" s="29" t="n"/>
      <c r="F359" s="40">
        <f>IF(B359="","",TODAY())</f>
        <v/>
      </c>
      <c r="G359" s="30" t="n"/>
      <c r="H359" s="43">
        <f>IFERROR(IF(OR(B359="",E359=""),"",SUMIF(LOANS!$B:$B,B359,LOANS!$D:$D)+E359),"")</f>
        <v/>
      </c>
      <c r="I359" s="43">
        <f>IFERROR(IF(OR(B359="",E359=""),"",SUMIF(LOANS!$B:$B,B359,LOANS!$I:$I)+ABS(PMT(IFERROR(VLOOKUP(B359,LOANS!$B:$G,6,0),12)/100/12,IFERROR(VLOOKUP(B359,LOANS!$B:$H,7,0),12),E359))),"")</f>
        <v/>
      </c>
      <c r="J359" s="44">
        <f>IF(B359="","","Active")</f>
        <v/>
      </c>
    </row>
    <row r="360" ht="20" customHeight="1">
      <c r="A360" s="47">
        <f>IF(B360="","","TU"&amp;TEXT(ROW()-2,"0000"))</f>
        <v/>
      </c>
      <c r="B360" s="26" t="n"/>
      <c r="C360" s="48">
        <f>IFERROR(IF(B360="","",VLOOKUP(B360,DATABASE!$A:$B,2,0)),"")</f>
        <v/>
      </c>
      <c r="D360" s="44">
        <f>IFERROR(IF(B360="","",VLOOKUP(B360,LOANS!$B:$A,1,0)),"")</f>
        <v/>
      </c>
      <c r="E360" s="29" t="n"/>
      <c r="F360" s="40">
        <f>IF(B360="","",TODAY())</f>
        <v/>
      </c>
      <c r="G360" s="30" t="n"/>
      <c r="H360" s="43">
        <f>IFERROR(IF(OR(B360="",E360=""),"",SUMIF(LOANS!$B:$B,B360,LOANS!$D:$D)+E360),"")</f>
        <v/>
      </c>
      <c r="I360" s="43">
        <f>IFERROR(IF(OR(B360="",E360=""),"",SUMIF(LOANS!$B:$B,B360,LOANS!$I:$I)+ABS(PMT(IFERROR(VLOOKUP(B360,LOANS!$B:$G,6,0),12)/100/12,IFERROR(VLOOKUP(B360,LOANS!$B:$H,7,0),12),E360))),"")</f>
        <v/>
      </c>
      <c r="J360" s="44">
        <f>IF(B360="","","Active")</f>
        <v/>
      </c>
    </row>
    <row r="361" ht="20" customHeight="1">
      <c r="A361" s="47">
        <f>IF(B361="","","TU"&amp;TEXT(ROW()-2,"0000"))</f>
        <v/>
      </c>
      <c r="B361" s="26" t="n"/>
      <c r="C361" s="48">
        <f>IFERROR(IF(B361="","",VLOOKUP(B361,DATABASE!$A:$B,2,0)),"")</f>
        <v/>
      </c>
      <c r="D361" s="44">
        <f>IFERROR(IF(B361="","",VLOOKUP(B361,LOANS!$B:$A,1,0)),"")</f>
        <v/>
      </c>
      <c r="E361" s="29" t="n"/>
      <c r="F361" s="40">
        <f>IF(B361="","",TODAY())</f>
        <v/>
      </c>
      <c r="G361" s="30" t="n"/>
      <c r="H361" s="43">
        <f>IFERROR(IF(OR(B361="",E361=""),"",SUMIF(LOANS!$B:$B,B361,LOANS!$D:$D)+E361),"")</f>
        <v/>
      </c>
      <c r="I361" s="43">
        <f>IFERROR(IF(OR(B361="",E361=""),"",SUMIF(LOANS!$B:$B,B361,LOANS!$I:$I)+ABS(PMT(IFERROR(VLOOKUP(B361,LOANS!$B:$G,6,0),12)/100/12,IFERROR(VLOOKUP(B361,LOANS!$B:$H,7,0),12),E361))),"")</f>
        <v/>
      </c>
      <c r="J361" s="44">
        <f>IF(B361="","","Active")</f>
        <v/>
      </c>
    </row>
    <row r="362" ht="20" customHeight="1">
      <c r="A362" s="47">
        <f>IF(B362="","","TU"&amp;TEXT(ROW()-2,"0000"))</f>
        <v/>
      </c>
      <c r="B362" s="26" t="n"/>
      <c r="C362" s="48">
        <f>IFERROR(IF(B362="","",VLOOKUP(B362,DATABASE!$A:$B,2,0)),"")</f>
        <v/>
      </c>
      <c r="D362" s="44">
        <f>IFERROR(IF(B362="","",VLOOKUP(B362,LOANS!$B:$A,1,0)),"")</f>
        <v/>
      </c>
      <c r="E362" s="29" t="n"/>
      <c r="F362" s="40">
        <f>IF(B362="","",TODAY())</f>
        <v/>
      </c>
      <c r="G362" s="30" t="n"/>
      <c r="H362" s="43">
        <f>IFERROR(IF(OR(B362="",E362=""),"",SUMIF(LOANS!$B:$B,B362,LOANS!$D:$D)+E362),"")</f>
        <v/>
      </c>
      <c r="I362" s="43">
        <f>IFERROR(IF(OR(B362="",E362=""),"",SUMIF(LOANS!$B:$B,B362,LOANS!$I:$I)+ABS(PMT(IFERROR(VLOOKUP(B362,LOANS!$B:$G,6,0),12)/100/12,IFERROR(VLOOKUP(B362,LOANS!$B:$H,7,0),12),E362))),"")</f>
        <v/>
      </c>
      <c r="J362" s="44">
        <f>IF(B362="","","Active")</f>
        <v/>
      </c>
    </row>
    <row r="363" ht="20" customHeight="1">
      <c r="A363" s="47">
        <f>IF(B363="","","TU"&amp;TEXT(ROW()-2,"0000"))</f>
        <v/>
      </c>
      <c r="B363" s="26" t="n"/>
      <c r="C363" s="48">
        <f>IFERROR(IF(B363="","",VLOOKUP(B363,DATABASE!$A:$B,2,0)),"")</f>
        <v/>
      </c>
      <c r="D363" s="44">
        <f>IFERROR(IF(B363="","",VLOOKUP(B363,LOANS!$B:$A,1,0)),"")</f>
        <v/>
      </c>
      <c r="E363" s="29" t="n"/>
      <c r="F363" s="40">
        <f>IF(B363="","",TODAY())</f>
        <v/>
      </c>
      <c r="G363" s="30" t="n"/>
      <c r="H363" s="43">
        <f>IFERROR(IF(OR(B363="",E363=""),"",SUMIF(LOANS!$B:$B,B363,LOANS!$D:$D)+E363),"")</f>
        <v/>
      </c>
      <c r="I363" s="43">
        <f>IFERROR(IF(OR(B363="",E363=""),"",SUMIF(LOANS!$B:$B,B363,LOANS!$I:$I)+ABS(PMT(IFERROR(VLOOKUP(B363,LOANS!$B:$G,6,0),12)/100/12,IFERROR(VLOOKUP(B363,LOANS!$B:$H,7,0),12),E363))),"")</f>
        <v/>
      </c>
      <c r="J363" s="44">
        <f>IF(B363="","","Active")</f>
        <v/>
      </c>
    </row>
    <row r="364" ht="20" customHeight="1">
      <c r="A364" s="47">
        <f>IF(B364="","","TU"&amp;TEXT(ROW()-2,"0000"))</f>
        <v/>
      </c>
      <c r="B364" s="26" t="n"/>
      <c r="C364" s="48">
        <f>IFERROR(IF(B364="","",VLOOKUP(B364,DATABASE!$A:$B,2,0)),"")</f>
        <v/>
      </c>
      <c r="D364" s="44">
        <f>IFERROR(IF(B364="","",VLOOKUP(B364,LOANS!$B:$A,1,0)),"")</f>
        <v/>
      </c>
      <c r="E364" s="29" t="n"/>
      <c r="F364" s="40">
        <f>IF(B364="","",TODAY())</f>
        <v/>
      </c>
      <c r="G364" s="30" t="n"/>
      <c r="H364" s="43">
        <f>IFERROR(IF(OR(B364="",E364=""),"",SUMIF(LOANS!$B:$B,B364,LOANS!$D:$D)+E364),"")</f>
        <v/>
      </c>
      <c r="I364" s="43">
        <f>IFERROR(IF(OR(B364="",E364=""),"",SUMIF(LOANS!$B:$B,B364,LOANS!$I:$I)+ABS(PMT(IFERROR(VLOOKUP(B364,LOANS!$B:$G,6,0),12)/100/12,IFERROR(VLOOKUP(B364,LOANS!$B:$H,7,0),12),E364))),"")</f>
        <v/>
      </c>
      <c r="J364" s="44">
        <f>IF(B364="","","Active")</f>
        <v/>
      </c>
    </row>
    <row r="365" ht="20" customHeight="1">
      <c r="A365" s="47">
        <f>IF(B365="","","TU"&amp;TEXT(ROW()-2,"0000"))</f>
        <v/>
      </c>
      <c r="B365" s="26" t="n"/>
      <c r="C365" s="48">
        <f>IFERROR(IF(B365="","",VLOOKUP(B365,DATABASE!$A:$B,2,0)),"")</f>
        <v/>
      </c>
      <c r="D365" s="44">
        <f>IFERROR(IF(B365="","",VLOOKUP(B365,LOANS!$B:$A,1,0)),"")</f>
        <v/>
      </c>
      <c r="E365" s="29" t="n"/>
      <c r="F365" s="40">
        <f>IF(B365="","",TODAY())</f>
        <v/>
      </c>
      <c r="G365" s="30" t="n"/>
      <c r="H365" s="43">
        <f>IFERROR(IF(OR(B365="",E365=""),"",SUMIF(LOANS!$B:$B,B365,LOANS!$D:$D)+E365),"")</f>
        <v/>
      </c>
      <c r="I365" s="43">
        <f>IFERROR(IF(OR(B365="",E365=""),"",SUMIF(LOANS!$B:$B,B365,LOANS!$I:$I)+ABS(PMT(IFERROR(VLOOKUP(B365,LOANS!$B:$G,6,0),12)/100/12,IFERROR(VLOOKUP(B365,LOANS!$B:$H,7,0),12),E365))),"")</f>
        <v/>
      </c>
      <c r="J365" s="44">
        <f>IF(B365="","","Active")</f>
        <v/>
      </c>
    </row>
    <row r="366" ht="20" customHeight="1">
      <c r="A366" s="47">
        <f>IF(B366="","","TU"&amp;TEXT(ROW()-2,"0000"))</f>
        <v/>
      </c>
      <c r="B366" s="26" t="n"/>
      <c r="C366" s="48">
        <f>IFERROR(IF(B366="","",VLOOKUP(B366,DATABASE!$A:$B,2,0)),"")</f>
        <v/>
      </c>
      <c r="D366" s="44">
        <f>IFERROR(IF(B366="","",VLOOKUP(B366,LOANS!$B:$A,1,0)),"")</f>
        <v/>
      </c>
      <c r="E366" s="29" t="n"/>
      <c r="F366" s="40">
        <f>IF(B366="","",TODAY())</f>
        <v/>
      </c>
      <c r="G366" s="30" t="n"/>
      <c r="H366" s="43">
        <f>IFERROR(IF(OR(B366="",E366=""),"",SUMIF(LOANS!$B:$B,B366,LOANS!$D:$D)+E366),"")</f>
        <v/>
      </c>
      <c r="I366" s="43">
        <f>IFERROR(IF(OR(B366="",E366=""),"",SUMIF(LOANS!$B:$B,B366,LOANS!$I:$I)+ABS(PMT(IFERROR(VLOOKUP(B366,LOANS!$B:$G,6,0),12)/100/12,IFERROR(VLOOKUP(B366,LOANS!$B:$H,7,0),12),E366))),"")</f>
        <v/>
      </c>
      <c r="J366" s="44">
        <f>IF(B366="","","Active")</f>
        <v/>
      </c>
    </row>
    <row r="367" ht="20" customHeight="1">
      <c r="A367" s="47">
        <f>IF(B367="","","TU"&amp;TEXT(ROW()-2,"0000"))</f>
        <v/>
      </c>
      <c r="B367" s="26" t="n"/>
      <c r="C367" s="48">
        <f>IFERROR(IF(B367="","",VLOOKUP(B367,DATABASE!$A:$B,2,0)),"")</f>
        <v/>
      </c>
      <c r="D367" s="44">
        <f>IFERROR(IF(B367="","",VLOOKUP(B367,LOANS!$B:$A,1,0)),"")</f>
        <v/>
      </c>
      <c r="E367" s="29" t="n"/>
      <c r="F367" s="40">
        <f>IF(B367="","",TODAY())</f>
        <v/>
      </c>
      <c r="G367" s="30" t="n"/>
      <c r="H367" s="43">
        <f>IFERROR(IF(OR(B367="",E367=""),"",SUMIF(LOANS!$B:$B,B367,LOANS!$D:$D)+E367),"")</f>
        <v/>
      </c>
      <c r="I367" s="43">
        <f>IFERROR(IF(OR(B367="",E367=""),"",SUMIF(LOANS!$B:$B,B367,LOANS!$I:$I)+ABS(PMT(IFERROR(VLOOKUP(B367,LOANS!$B:$G,6,0),12)/100/12,IFERROR(VLOOKUP(B367,LOANS!$B:$H,7,0),12),E367))),"")</f>
        <v/>
      </c>
      <c r="J367" s="44">
        <f>IF(B367="","","Active")</f>
        <v/>
      </c>
    </row>
    <row r="368" ht="20" customHeight="1">
      <c r="A368" s="47">
        <f>IF(B368="","","TU"&amp;TEXT(ROW()-2,"0000"))</f>
        <v/>
      </c>
      <c r="B368" s="26" t="n"/>
      <c r="C368" s="48">
        <f>IFERROR(IF(B368="","",VLOOKUP(B368,DATABASE!$A:$B,2,0)),"")</f>
        <v/>
      </c>
      <c r="D368" s="44">
        <f>IFERROR(IF(B368="","",VLOOKUP(B368,LOANS!$B:$A,1,0)),"")</f>
        <v/>
      </c>
      <c r="E368" s="29" t="n"/>
      <c r="F368" s="40">
        <f>IF(B368="","",TODAY())</f>
        <v/>
      </c>
      <c r="G368" s="30" t="n"/>
      <c r="H368" s="43">
        <f>IFERROR(IF(OR(B368="",E368=""),"",SUMIF(LOANS!$B:$B,B368,LOANS!$D:$D)+E368),"")</f>
        <v/>
      </c>
      <c r="I368" s="43">
        <f>IFERROR(IF(OR(B368="",E368=""),"",SUMIF(LOANS!$B:$B,B368,LOANS!$I:$I)+ABS(PMT(IFERROR(VLOOKUP(B368,LOANS!$B:$G,6,0),12)/100/12,IFERROR(VLOOKUP(B368,LOANS!$B:$H,7,0),12),E368))),"")</f>
        <v/>
      </c>
      <c r="J368" s="44">
        <f>IF(B368="","","Active")</f>
        <v/>
      </c>
    </row>
    <row r="369" ht="20" customHeight="1">
      <c r="A369" s="47">
        <f>IF(B369="","","TU"&amp;TEXT(ROW()-2,"0000"))</f>
        <v/>
      </c>
      <c r="B369" s="26" t="n"/>
      <c r="C369" s="48">
        <f>IFERROR(IF(B369="","",VLOOKUP(B369,DATABASE!$A:$B,2,0)),"")</f>
        <v/>
      </c>
      <c r="D369" s="44">
        <f>IFERROR(IF(B369="","",VLOOKUP(B369,LOANS!$B:$A,1,0)),"")</f>
        <v/>
      </c>
      <c r="E369" s="29" t="n"/>
      <c r="F369" s="40">
        <f>IF(B369="","",TODAY())</f>
        <v/>
      </c>
      <c r="G369" s="30" t="n"/>
      <c r="H369" s="43">
        <f>IFERROR(IF(OR(B369="",E369=""),"",SUMIF(LOANS!$B:$B,B369,LOANS!$D:$D)+E369),"")</f>
        <v/>
      </c>
      <c r="I369" s="43">
        <f>IFERROR(IF(OR(B369="",E369=""),"",SUMIF(LOANS!$B:$B,B369,LOANS!$I:$I)+ABS(PMT(IFERROR(VLOOKUP(B369,LOANS!$B:$G,6,0),12)/100/12,IFERROR(VLOOKUP(B369,LOANS!$B:$H,7,0),12),E369))),"")</f>
        <v/>
      </c>
      <c r="J369" s="44">
        <f>IF(B369="","","Active")</f>
        <v/>
      </c>
    </row>
    <row r="370" ht="20" customHeight="1">
      <c r="A370" s="47">
        <f>IF(B370="","","TU"&amp;TEXT(ROW()-2,"0000"))</f>
        <v/>
      </c>
      <c r="B370" s="26" t="n"/>
      <c r="C370" s="48">
        <f>IFERROR(IF(B370="","",VLOOKUP(B370,DATABASE!$A:$B,2,0)),"")</f>
        <v/>
      </c>
      <c r="D370" s="44">
        <f>IFERROR(IF(B370="","",VLOOKUP(B370,LOANS!$B:$A,1,0)),"")</f>
        <v/>
      </c>
      <c r="E370" s="29" t="n"/>
      <c r="F370" s="40">
        <f>IF(B370="","",TODAY())</f>
        <v/>
      </c>
      <c r="G370" s="30" t="n"/>
      <c r="H370" s="43">
        <f>IFERROR(IF(OR(B370="",E370=""),"",SUMIF(LOANS!$B:$B,B370,LOANS!$D:$D)+E370),"")</f>
        <v/>
      </c>
      <c r="I370" s="43">
        <f>IFERROR(IF(OR(B370="",E370=""),"",SUMIF(LOANS!$B:$B,B370,LOANS!$I:$I)+ABS(PMT(IFERROR(VLOOKUP(B370,LOANS!$B:$G,6,0),12)/100/12,IFERROR(VLOOKUP(B370,LOANS!$B:$H,7,0),12),E370))),"")</f>
        <v/>
      </c>
      <c r="J370" s="44">
        <f>IF(B370="","","Active")</f>
        <v/>
      </c>
    </row>
    <row r="371" ht="20" customHeight="1">
      <c r="A371" s="47">
        <f>IF(B371="","","TU"&amp;TEXT(ROW()-2,"0000"))</f>
        <v/>
      </c>
      <c r="B371" s="26" t="n"/>
      <c r="C371" s="48">
        <f>IFERROR(IF(B371="","",VLOOKUP(B371,DATABASE!$A:$B,2,0)),"")</f>
        <v/>
      </c>
      <c r="D371" s="44">
        <f>IFERROR(IF(B371="","",VLOOKUP(B371,LOANS!$B:$A,1,0)),"")</f>
        <v/>
      </c>
      <c r="E371" s="29" t="n"/>
      <c r="F371" s="40">
        <f>IF(B371="","",TODAY())</f>
        <v/>
      </c>
      <c r="G371" s="30" t="n"/>
      <c r="H371" s="43">
        <f>IFERROR(IF(OR(B371="",E371=""),"",SUMIF(LOANS!$B:$B,B371,LOANS!$D:$D)+E371),"")</f>
        <v/>
      </c>
      <c r="I371" s="43">
        <f>IFERROR(IF(OR(B371="",E371=""),"",SUMIF(LOANS!$B:$B,B371,LOANS!$I:$I)+ABS(PMT(IFERROR(VLOOKUP(B371,LOANS!$B:$G,6,0),12)/100/12,IFERROR(VLOOKUP(B371,LOANS!$B:$H,7,0),12),E371))),"")</f>
        <v/>
      </c>
      <c r="J371" s="44">
        <f>IF(B371="","","Active")</f>
        <v/>
      </c>
    </row>
    <row r="372" ht="20" customHeight="1">
      <c r="A372" s="47">
        <f>IF(B372="","","TU"&amp;TEXT(ROW()-2,"0000"))</f>
        <v/>
      </c>
      <c r="B372" s="26" t="n"/>
      <c r="C372" s="48">
        <f>IFERROR(IF(B372="","",VLOOKUP(B372,DATABASE!$A:$B,2,0)),"")</f>
        <v/>
      </c>
      <c r="D372" s="44">
        <f>IFERROR(IF(B372="","",VLOOKUP(B372,LOANS!$B:$A,1,0)),"")</f>
        <v/>
      </c>
      <c r="E372" s="29" t="n"/>
      <c r="F372" s="40">
        <f>IF(B372="","",TODAY())</f>
        <v/>
      </c>
      <c r="G372" s="30" t="n"/>
      <c r="H372" s="43">
        <f>IFERROR(IF(OR(B372="",E372=""),"",SUMIF(LOANS!$B:$B,B372,LOANS!$D:$D)+E372),"")</f>
        <v/>
      </c>
      <c r="I372" s="43">
        <f>IFERROR(IF(OR(B372="",E372=""),"",SUMIF(LOANS!$B:$B,B372,LOANS!$I:$I)+ABS(PMT(IFERROR(VLOOKUP(B372,LOANS!$B:$G,6,0),12)/100/12,IFERROR(VLOOKUP(B372,LOANS!$B:$H,7,0),12),E372))),"")</f>
        <v/>
      </c>
      <c r="J372" s="44">
        <f>IF(B372="","","Active")</f>
        <v/>
      </c>
    </row>
    <row r="373" ht="20" customHeight="1">
      <c r="A373" s="47">
        <f>IF(B373="","","TU"&amp;TEXT(ROW()-2,"0000"))</f>
        <v/>
      </c>
      <c r="B373" s="26" t="n"/>
      <c r="C373" s="48">
        <f>IFERROR(IF(B373="","",VLOOKUP(B373,DATABASE!$A:$B,2,0)),"")</f>
        <v/>
      </c>
      <c r="D373" s="44">
        <f>IFERROR(IF(B373="","",VLOOKUP(B373,LOANS!$B:$A,1,0)),"")</f>
        <v/>
      </c>
      <c r="E373" s="29" t="n"/>
      <c r="F373" s="40">
        <f>IF(B373="","",TODAY())</f>
        <v/>
      </c>
      <c r="G373" s="30" t="n"/>
      <c r="H373" s="43">
        <f>IFERROR(IF(OR(B373="",E373=""),"",SUMIF(LOANS!$B:$B,B373,LOANS!$D:$D)+E373),"")</f>
        <v/>
      </c>
      <c r="I373" s="43">
        <f>IFERROR(IF(OR(B373="",E373=""),"",SUMIF(LOANS!$B:$B,B373,LOANS!$I:$I)+ABS(PMT(IFERROR(VLOOKUP(B373,LOANS!$B:$G,6,0),12)/100/12,IFERROR(VLOOKUP(B373,LOANS!$B:$H,7,0),12),E373))),"")</f>
        <v/>
      </c>
      <c r="J373" s="44">
        <f>IF(B373="","","Active")</f>
        <v/>
      </c>
    </row>
    <row r="374" ht="20" customHeight="1">
      <c r="A374" s="47">
        <f>IF(B374="","","TU"&amp;TEXT(ROW()-2,"0000"))</f>
        <v/>
      </c>
      <c r="B374" s="26" t="n"/>
      <c r="C374" s="48">
        <f>IFERROR(IF(B374="","",VLOOKUP(B374,DATABASE!$A:$B,2,0)),"")</f>
        <v/>
      </c>
      <c r="D374" s="44">
        <f>IFERROR(IF(B374="","",VLOOKUP(B374,LOANS!$B:$A,1,0)),"")</f>
        <v/>
      </c>
      <c r="E374" s="29" t="n"/>
      <c r="F374" s="40">
        <f>IF(B374="","",TODAY())</f>
        <v/>
      </c>
      <c r="G374" s="30" t="n"/>
      <c r="H374" s="43">
        <f>IFERROR(IF(OR(B374="",E374=""),"",SUMIF(LOANS!$B:$B,B374,LOANS!$D:$D)+E374),"")</f>
        <v/>
      </c>
      <c r="I374" s="43">
        <f>IFERROR(IF(OR(B374="",E374=""),"",SUMIF(LOANS!$B:$B,B374,LOANS!$I:$I)+ABS(PMT(IFERROR(VLOOKUP(B374,LOANS!$B:$G,6,0),12)/100/12,IFERROR(VLOOKUP(B374,LOANS!$B:$H,7,0),12),E374))),"")</f>
        <v/>
      </c>
      <c r="J374" s="44">
        <f>IF(B374="","","Active")</f>
        <v/>
      </c>
    </row>
    <row r="375" ht="20" customHeight="1">
      <c r="A375" s="47">
        <f>IF(B375="","","TU"&amp;TEXT(ROW()-2,"0000"))</f>
        <v/>
      </c>
      <c r="B375" s="26" t="n"/>
      <c r="C375" s="48">
        <f>IFERROR(IF(B375="","",VLOOKUP(B375,DATABASE!$A:$B,2,0)),"")</f>
        <v/>
      </c>
      <c r="D375" s="44">
        <f>IFERROR(IF(B375="","",VLOOKUP(B375,LOANS!$B:$A,1,0)),"")</f>
        <v/>
      </c>
      <c r="E375" s="29" t="n"/>
      <c r="F375" s="40">
        <f>IF(B375="","",TODAY())</f>
        <v/>
      </c>
      <c r="G375" s="30" t="n"/>
      <c r="H375" s="43">
        <f>IFERROR(IF(OR(B375="",E375=""),"",SUMIF(LOANS!$B:$B,B375,LOANS!$D:$D)+E375),"")</f>
        <v/>
      </c>
      <c r="I375" s="43">
        <f>IFERROR(IF(OR(B375="",E375=""),"",SUMIF(LOANS!$B:$B,B375,LOANS!$I:$I)+ABS(PMT(IFERROR(VLOOKUP(B375,LOANS!$B:$G,6,0),12)/100/12,IFERROR(VLOOKUP(B375,LOANS!$B:$H,7,0),12),E375))),"")</f>
        <v/>
      </c>
      <c r="J375" s="44">
        <f>IF(B375="","","Active")</f>
        <v/>
      </c>
    </row>
    <row r="376" ht="20" customHeight="1">
      <c r="A376" s="47">
        <f>IF(B376="","","TU"&amp;TEXT(ROW()-2,"0000"))</f>
        <v/>
      </c>
      <c r="B376" s="26" t="n"/>
      <c r="C376" s="48">
        <f>IFERROR(IF(B376="","",VLOOKUP(B376,DATABASE!$A:$B,2,0)),"")</f>
        <v/>
      </c>
      <c r="D376" s="44">
        <f>IFERROR(IF(B376="","",VLOOKUP(B376,LOANS!$B:$A,1,0)),"")</f>
        <v/>
      </c>
      <c r="E376" s="29" t="n"/>
      <c r="F376" s="40">
        <f>IF(B376="","",TODAY())</f>
        <v/>
      </c>
      <c r="G376" s="30" t="n"/>
      <c r="H376" s="43">
        <f>IFERROR(IF(OR(B376="",E376=""),"",SUMIF(LOANS!$B:$B,B376,LOANS!$D:$D)+E376),"")</f>
        <v/>
      </c>
      <c r="I376" s="43">
        <f>IFERROR(IF(OR(B376="",E376=""),"",SUMIF(LOANS!$B:$B,B376,LOANS!$I:$I)+ABS(PMT(IFERROR(VLOOKUP(B376,LOANS!$B:$G,6,0),12)/100/12,IFERROR(VLOOKUP(B376,LOANS!$B:$H,7,0),12),E376))),"")</f>
        <v/>
      </c>
      <c r="J376" s="44">
        <f>IF(B376="","","Active")</f>
        <v/>
      </c>
    </row>
    <row r="377" ht="20" customHeight="1">
      <c r="A377" s="47">
        <f>IF(B377="","","TU"&amp;TEXT(ROW()-2,"0000"))</f>
        <v/>
      </c>
      <c r="B377" s="26" t="n"/>
      <c r="C377" s="48">
        <f>IFERROR(IF(B377="","",VLOOKUP(B377,DATABASE!$A:$B,2,0)),"")</f>
        <v/>
      </c>
      <c r="D377" s="44">
        <f>IFERROR(IF(B377="","",VLOOKUP(B377,LOANS!$B:$A,1,0)),"")</f>
        <v/>
      </c>
      <c r="E377" s="29" t="n"/>
      <c r="F377" s="40">
        <f>IF(B377="","",TODAY())</f>
        <v/>
      </c>
      <c r="G377" s="30" t="n"/>
      <c r="H377" s="43">
        <f>IFERROR(IF(OR(B377="",E377=""),"",SUMIF(LOANS!$B:$B,B377,LOANS!$D:$D)+E377),"")</f>
        <v/>
      </c>
      <c r="I377" s="43">
        <f>IFERROR(IF(OR(B377="",E377=""),"",SUMIF(LOANS!$B:$B,B377,LOANS!$I:$I)+ABS(PMT(IFERROR(VLOOKUP(B377,LOANS!$B:$G,6,0),12)/100/12,IFERROR(VLOOKUP(B377,LOANS!$B:$H,7,0),12),E377))),"")</f>
        <v/>
      </c>
      <c r="J377" s="44">
        <f>IF(B377="","","Active")</f>
        <v/>
      </c>
    </row>
    <row r="378" ht="20" customHeight="1">
      <c r="A378" s="47">
        <f>IF(B378="","","TU"&amp;TEXT(ROW()-2,"0000"))</f>
        <v/>
      </c>
      <c r="B378" s="26" t="n"/>
      <c r="C378" s="48">
        <f>IFERROR(IF(B378="","",VLOOKUP(B378,DATABASE!$A:$B,2,0)),"")</f>
        <v/>
      </c>
      <c r="D378" s="44">
        <f>IFERROR(IF(B378="","",VLOOKUP(B378,LOANS!$B:$A,1,0)),"")</f>
        <v/>
      </c>
      <c r="E378" s="29" t="n"/>
      <c r="F378" s="40">
        <f>IF(B378="","",TODAY())</f>
        <v/>
      </c>
      <c r="G378" s="30" t="n"/>
      <c r="H378" s="43">
        <f>IFERROR(IF(OR(B378="",E378=""),"",SUMIF(LOANS!$B:$B,B378,LOANS!$D:$D)+E378),"")</f>
        <v/>
      </c>
      <c r="I378" s="43">
        <f>IFERROR(IF(OR(B378="",E378=""),"",SUMIF(LOANS!$B:$B,B378,LOANS!$I:$I)+ABS(PMT(IFERROR(VLOOKUP(B378,LOANS!$B:$G,6,0),12)/100/12,IFERROR(VLOOKUP(B378,LOANS!$B:$H,7,0),12),E378))),"")</f>
        <v/>
      </c>
      <c r="J378" s="44">
        <f>IF(B378="","","Active")</f>
        <v/>
      </c>
    </row>
    <row r="379" ht="20" customHeight="1">
      <c r="A379" s="47">
        <f>IF(B379="","","TU"&amp;TEXT(ROW()-2,"0000"))</f>
        <v/>
      </c>
      <c r="B379" s="26" t="n"/>
      <c r="C379" s="48">
        <f>IFERROR(IF(B379="","",VLOOKUP(B379,DATABASE!$A:$B,2,0)),"")</f>
        <v/>
      </c>
      <c r="D379" s="44">
        <f>IFERROR(IF(B379="","",VLOOKUP(B379,LOANS!$B:$A,1,0)),"")</f>
        <v/>
      </c>
      <c r="E379" s="29" t="n"/>
      <c r="F379" s="40">
        <f>IF(B379="","",TODAY())</f>
        <v/>
      </c>
      <c r="G379" s="30" t="n"/>
      <c r="H379" s="43">
        <f>IFERROR(IF(OR(B379="",E379=""),"",SUMIF(LOANS!$B:$B,B379,LOANS!$D:$D)+E379),"")</f>
        <v/>
      </c>
      <c r="I379" s="43">
        <f>IFERROR(IF(OR(B379="",E379=""),"",SUMIF(LOANS!$B:$B,B379,LOANS!$I:$I)+ABS(PMT(IFERROR(VLOOKUP(B379,LOANS!$B:$G,6,0),12)/100/12,IFERROR(VLOOKUP(B379,LOANS!$B:$H,7,0),12),E379))),"")</f>
        <v/>
      </c>
      <c r="J379" s="44">
        <f>IF(B379="","","Active")</f>
        <v/>
      </c>
    </row>
    <row r="380" ht="20" customHeight="1">
      <c r="A380" s="47">
        <f>IF(B380="","","TU"&amp;TEXT(ROW()-2,"0000"))</f>
        <v/>
      </c>
      <c r="B380" s="26" t="n"/>
      <c r="C380" s="48">
        <f>IFERROR(IF(B380="","",VLOOKUP(B380,DATABASE!$A:$B,2,0)),"")</f>
        <v/>
      </c>
      <c r="D380" s="44">
        <f>IFERROR(IF(B380="","",VLOOKUP(B380,LOANS!$B:$A,1,0)),"")</f>
        <v/>
      </c>
      <c r="E380" s="29" t="n"/>
      <c r="F380" s="40">
        <f>IF(B380="","",TODAY())</f>
        <v/>
      </c>
      <c r="G380" s="30" t="n"/>
      <c r="H380" s="43">
        <f>IFERROR(IF(OR(B380="",E380=""),"",SUMIF(LOANS!$B:$B,B380,LOANS!$D:$D)+E380),"")</f>
        <v/>
      </c>
      <c r="I380" s="43">
        <f>IFERROR(IF(OR(B380="",E380=""),"",SUMIF(LOANS!$B:$B,B380,LOANS!$I:$I)+ABS(PMT(IFERROR(VLOOKUP(B380,LOANS!$B:$G,6,0),12)/100/12,IFERROR(VLOOKUP(B380,LOANS!$B:$H,7,0),12),E380))),"")</f>
        <v/>
      </c>
      <c r="J380" s="44">
        <f>IF(B380="","","Active")</f>
        <v/>
      </c>
    </row>
    <row r="381" ht="20" customHeight="1">
      <c r="A381" s="47">
        <f>IF(B381="","","TU"&amp;TEXT(ROW()-2,"0000"))</f>
        <v/>
      </c>
      <c r="B381" s="26" t="n"/>
      <c r="C381" s="48">
        <f>IFERROR(IF(B381="","",VLOOKUP(B381,DATABASE!$A:$B,2,0)),"")</f>
        <v/>
      </c>
      <c r="D381" s="44">
        <f>IFERROR(IF(B381="","",VLOOKUP(B381,LOANS!$B:$A,1,0)),"")</f>
        <v/>
      </c>
      <c r="E381" s="29" t="n"/>
      <c r="F381" s="40">
        <f>IF(B381="","",TODAY())</f>
        <v/>
      </c>
      <c r="G381" s="30" t="n"/>
      <c r="H381" s="43">
        <f>IFERROR(IF(OR(B381="",E381=""),"",SUMIF(LOANS!$B:$B,B381,LOANS!$D:$D)+E381),"")</f>
        <v/>
      </c>
      <c r="I381" s="43">
        <f>IFERROR(IF(OR(B381="",E381=""),"",SUMIF(LOANS!$B:$B,B381,LOANS!$I:$I)+ABS(PMT(IFERROR(VLOOKUP(B381,LOANS!$B:$G,6,0),12)/100/12,IFERROR(VLOOKUP(B381,LOANS!$B:$H,7,0),12),E381))),"")</f>
        <v/>
      </c>
      <c r="J381" s="44">
        <f>IF(B381="","","Active")</f>
        <v/>
      </c>
    </row>
    <row r="382" ht="20" customHeight="1">
      <c r="A382" s="47">
        <f>IF(B382="","","TU"&amp;TEXT(ROW()-2,"0000"))</f>
        <v/>
      </c>
      <c r="B382" s="26" t="n"/>
      <c r="C382" s="48">
        <f>IFERROR(IF(B382="","",VLOOKUP(B382,DATABASE!$A:$B,2,0)),"")</f>
        <v/>
      </c>
      <c r="D382" s="44">
        <f>IFERROR(IF(B382="","",VLOOKUP(B382,LOANS!$B:$A,1,0)),"")</f>
        <v/>
      </c>
      <c r="E382" s="29" t="n"/>
      <c r="F382" s="40">
        <f>IF(B382="","",TODAY())</f>
        <v/>
      </c>
      <c r="G382" s="30" t="n"/>
      <c r="H382" s="43">
        <f>IFERROR(IF(OR(B382="",E382=""),"",SUMIF(LOANS!$B:$B,B382,LOANS!$D:$D)+E382),"")</f>
        <v/>
      </c>
      <c r="I382" s="43">
        <f>IFERROR(IF(OR(B382="",E382=""),"",SUMIF(LOANS!$B:$B,B382,LOANS!$I:$I)+ABS(PMT(IFERROR(VLOOKUP(B382,LOANS!$B:$G,6,0),12)/100/12,IFERROR(VLOOKUP(B382,LOANS!$B:$H,7,0),12),E382))),"")</f>
        <v/>
      </c>
      <c r="J382" s="44">
        <f>IF(B382="","","Active")</f>
        <v/>
      </c>
    </row>
    <row r="383" ht="20" customHeight="1">
      <c r="A383" s="47">
        <f>IF(B383="","","TU"&amp;TEXT(ROW()-2,"0000"))</f>
        <v/>
      </c>
      <c r="B383" s="26" t="n"/>
      <c r="C383" s="48">
        <f>IFERROR(IF(B383="","",VLOOKUP(B383,DATABASE!$A:$B,2,0)),"")</f>
        <v/>
      </c>
      <c r="D383" s="44">
        <f>IFERROR(IF(B383="","",VLOOKUP(B383,LOANS!$B:$A,1,0)),"")</f>
        <v/>
      </c>
      <c r="E383" s="29" t="n"/>
      <c r="F383" s="40">
        <f>IF(B383="","",TODAY())</f>
        <v/>
      </c>
      <c r="G383" s="30" t="n"/>
      <c r="H383" s="43">
        <f>IFERROR(IF(OR(B383="",E383=""),"",SUMIF(LOANS!$B:$B,B383,LOANS!$D:$D)+E383),"")</f>
        <v/>
      </c>
      <c r="I383" s="43">
        <f>IFERROR(IF(OR(B383="",E383=""),"",SUMIF(LOANS!$B:$B,B383,LOANS!$I:$I)+ABS(PMT(IFERROR(VLOOKUP(B383,LOANS!$B:$G,6,0),12)/100/12,IFERROR(VLOOKUP(B383,LOANS!$B:$H,7,0),12),E383))),"")</f>
        <v/>
      </c>
      <c r="J383" s="44">
        <f>IF(B383="","","Active")</f>
        <v/>
      </c>
    </row>
    <row r="384" ht="20" customHeight="1">
      <c r="A384" s="47">
        <f>IF(B384="","","TU"&amp;TEXT(ROW()-2,"0000"))</f>
        <v/>
      </c>
      <c r="B384" s="26" t="n"/>
      <c r="C384" s="48">
        <f>IFERROR(IF(B384="","",VLOOKUP(B384,DATABASE!$A:$B,2,0)),"")</f>
        <v/>
      </c>
      <c r="D384" s="44">
        <f>IFERROR(IF(B384="","",VLOOKUP(B384,LOANS!$B:$A,1,0)),"")</f>
        <v/>
      </c>
      <c r="E384" s="29" t="n"/>
      <c r="F384" s="40">
        <f>IF(B384="","",TODAY())</f>
        <v/>
      </c>
      <c r="G384" s="30" t="n"/>
      <c r="H384" s="43">
        <f>IFERROR(IF(OR(B384="",E384=""),"",SUMIF(LOANS!$B:$B,B384,LOANS!$D:$D)+E384),"")</f>
        <v/>
      </c>
      <c r="I384" s="43">
        <f>IFERROR(IF(OR(B384="",E384=""),"",SUMIF(LOANS!$B:$B,B384,LOANS!$I:$I)+ABS(PMT(IFERROR(VLOOKUP(B384,LOANS!$B:$G,6,0),12)/100/12,IFERROR(VLOOKUP(B384,LOANS!$B:$H,7,0),12),E384))),"")</f>
        <v/>
      </c>
      <c r="J384" s="44">
        <f>IF(B384="","","Active")</f>
        <v/>
      </c>
    </row>
    <row r="385" ht="20" customHeight="1">
      <c r="A385" s="47">
        <f>IF(B385="","","TU"&amp;TEXT(ROW()-2,"0000"))</f>
        <v/>
      </c>
      <c r="B385" s="26" t="n"/>
      <c r="C385" s="48">
        <f>IFERROR(IF(B385="","",VLOOKUP(B385,DATABASE!$A:$B,2,0)),"")</f>
        <v/>
      </c>
      <c r="D385" s="44">
        <f>IFERROR(IF(B385="","",VLOOKUP(B385,LOANS!$B:$A,1,0)),"")</f>
        <v/>
      </c>
      <c r="E385" s="29" t="n"/>
      <c r="F385" s="40">
        <f>IF(B385="","",TODAY())</f>
        <v/>
      </c>
      <c r="G385" s="30" t="n"/>
      <c r="H385" s="43">
        <f>IFERROR(IF(OR(B385="",E385=""),"",SUMIF(LOANS!$B:$B,B385,LOANS!$D:$D)+E385),"")</f>
        <v/>
      </c>
      <c r="I385" s="43">
        <f>IFERROR(IF(OR(B385="",E385=""),"",SUMIF(LOANS!$B:$B,B385,LOANS!$I:$I)+ABS(PMT(IFERROR(VLOOKUP(B385,LOANS!$B:$G,6,0),12)/100/12,IFERROR(VLOOKUP(B385,LOANS!$B:$H,7,0),12),E385))),"")</f>
        <v/>
      </c>
      <c r="J385" s="44">
        <f>IF(B385="","","Active")</f>
        <v/>
      </c>
    </row>
    <row r="386" ht="20" customHeight="1">
      <c r="A386" s="47">
        <f>IF(B386="","","TU"&amp;TEXT(ROW()-2,"0000"))</f>
        <v/>
      </c>
      <c r="B386" s="26" t="n"/>
      <c r="C386" s="48">
        <f>IFERROR(IF(B386="","",VLOOKUP(B386,DATABASE!$A:$B,2,0)),"")</f>
        <v/>
      </c>
      <c r="D386" s="44">
        <f>IFERROR(IF(B386="","",VLOOKUP(B386,LOANS!$B:$A,1,0)),"")</f>
        <v/>
      </c>
      <c r="E386" s="29" t="n"/>
      <c r="F386" s="40">
        <f>IF(B386="","",TODAY())</f>
        <v/>
      </c>
      <c r="G386" s="30" t="n"/>
      <c r="H386" s="43">
        <f>IFERROR(IF(OR(B386="",E386=""),"",SUMIF(LOANS!$B:$B,B386,LOANS!$D:$D)+E386),"")</f>
        <v/>
      </c>
      <c r="I386" s="43">
        <f>IFERROR(IF(OR(B386="",E386=""),"",SUMIF(LOANS!$B:$B,B386,LOANS!$I:$I)+ABS(PMT(IFERROR(VLOOKUP(B386,LOANS!$B:$G,6,0),12)/100/12,IFERROR(VLOOKUP(B386,LOANS!$B:$H,7,0),12),E386))),"")</f>
        <v/>
      </c>
      <c r="J386" s="44">
        <f>IF(B386="","","Active")</f>
        <v/>
      </c>
    </row>
    <row r="387" ht="20" customHeight="1">
      <c r="A387" s="47">
        <f>IF(B387="","","TU"&amp;TEXT(ROW()-2,"0000"))</f>
        <v/>
      </c>
      <c r="B387" s="26" t="n"/>
      <c r="C387" s="48">
        <f>IFERROR(IF(B387="","",VLOOKUP(B387,DATABASE!$A:$B,2,0)),"")</f>
        <v/>
      </c>
      <c r="D387" s="44">
        <f>IFERROR(IF(B387="","",VLOOKUP(B387,LOANS!$B:$A,1,0)),"")</f>
        <v/>
      </c>
      <c r="E387" s="29" t="n"/>
      <c r="F387" s="40">
        <f>IF(B387="","",TODAY())</f>
        <v/>
      </c>
      <c r="G387" s="30" t="n"/>
      <c r="H387" s="43">
        <f>IFERROR(IF(OR(B387="",E387=""),"",SUMIF(LOANS!$B:$B,B387,LOANS!$D:$D)+E387),"")</f>
        <v/>
      </c>
      <c r="I387" s="43">
        <f>IFERROR(IF(OR(B387="",E387=""),"",SUMIF(LOANS!$B:$B,B387,LOANS!$I:$I)+ABS(PMT(IFERROR(VLOOKUP(B387,LOANS!$B:$G,6,0),12)/100/12,IFERROR(VLOOKUP(B387,LOANS!$B:$H,7,0),12),E387))),"")</f>
        <v/>
      </c>
      <c r="J387" s="44">
        <f>IF(B387="","","Active")</f>
        <v/>
      </c>
    </row>
    <row r="388" ht="20" customHeight="1">
      <c r="A388" s="47">
        <f>IF(B388="","","TU"&amp;TEXT(ROW()-2,"0000"))</f>
        <v/>
      </c>
      <c r="B388" s="26" t="n"/>
      <c r="C388" s="48">
        <f>IFERROR(IF(B388="","",VLOOKUP(B388,DATABASE!$A:$B,2,0)),"")</f>
        <v/>
      </c>
      <c r="D388" s="44">
        <f>IFERROR(IF(B388="","",VLOOKUP(B388,LOANS!$B:$A,1,0)),"")</f>
        <v/>
      </c>
      <c r="E388" s="29" t="n"/>
      <c r="F388" s="40">
        <f>IF(B388="","",TODAY())</f>
        <v/>
      </c>
      <c r="G388" s="30" t="n"/>
      <c r="H388" s="43">
        <f>IFERROR(IF(OR(B388="",E388=""),"",SUMIF(LOANS!$B:$B,B388,LOANS!$D:$D)+E388),"")</f>
        <v/>
      </c>
      <c r="I388" s="43">
        <f>IFERROR(IF(OR(B388="",E388=""),"",SUMIF(LOANS!$B:$B,B388,LOANS!$I:$I)+ABS(PMT(IFERROR(VLOOKUP(B388,LOANS!$B:$G,6,0),12)/100/12,IFERROR(VLOOKUP(B388,LOANS!$B:$H,7,0),12),E388))),"")</f>
        <v/>
      </c>
      <c r="J388" s="44">
        <f>IF(B388="","","Active")</f>
        <v/>
      </c>
    </row>
    <row r="389" ht="20" customHeight="1">
      <c r="A389" s="47">
        <f>IF(B389="","","TU"&amp;TEXT(ROW()-2,"0000"))</f>
        <v/>
      </c>
      <c r="B389" s="26" t="n"/>
      <c r="C389" s="48">
        <f>IFERROR(IF(B389="","",VLOOKUP(B389,DATABASE!$A:$B,2,0)),"")</f>
        <v/>
      </c>
      <c r="D389" s="44">
        <f>IFERROR(IF(B389="","",VLOOKUP(B389,LOANS!$B:$A,1,0)),"")</f>
        <v/>
      </c>
      <c r="E389" s="29" t="n"/>
      <c r="F389" s="40">
        <f>IF(B389="","",TODAY())</f>
        <v/>
      </c>
      <c r="G389" s="30" t="n"/>
      <c r="H389" s="43">
        <f>IFERROR(IF(OR(B389="",E389=""),"",SUMIF(LOANS!$B:$B,B389,LOANS!$D:$D)+E389),"")</f>
        <v/>
      </c>
      <c r="I389" s="43">
        <f>IFERROR(IF(OR(B389="",E389=""),"",SUMIF(LOANS!$B:$B,B389,LOANS!$I:$I)+ABS(PMT(IFERROR(VLOOKUP(B389,LOANS!$B:$G,6,0),12)/100/12,IFERROR(VLOOKUP(B389,LOANS!$B:$H,7,0),12),E389))),"")</f>
        <v/>
      </c>
      <c r="J389" s="44">
        <f>IF(B389="","","Active")</f>
        <v/>
      </c>
    </row>
    <row r="390" ht="20" customHeight="1">
      <c r="A390" s="47">
        <f>IF(B390="","","TU"&amp;TEXT(ROW()-2,"0000"))</f>
        <v/>
      </c>
      <c r="B390" s="26" t="n"/>
      <c r="C390" s="48">
        <f>IFERROR(IF(B390="","",VLOOKUP(B390,DATABASE!$A:$B,2,0)),"")</f>
        <v/>
      </c>
      <c r="D390" s="44">
        <f>IFERROR(IF(B390="","",VLOOKUP(B390,LOANS!$B:$A,1,0)),"")</f>
        <v/>
      </c>
      <c r="E390" s="29" t="n"/>
      <c r="F390" s="40">
        <f>IF(B390="","",TODAY())</f>
        <v/>
      </c>
      <c r="G390" s="30" t="n"/>
      <c r="H390" s="43">
        <f>IFERROR(IF(OR(B390="",E390=""),"",SUMIF(LOANS!$B:$B,B390,LOANS!$D:$D)+E390),"")</f>
        <v/>
      </c>
      <c r="I390" s="43">
        <f>IFERROR(IF(OR(B390="",E390=""),"",SUMIF(LOANS!$B:$B,B390,LOANS!$I:$I)+ABS(PMT(IFERROR(VLOOKUP(B390,LOANS!$B:$G,6,0),12)/100/12,IFERROR(VLOOKUP(B390,LOANS!$B:$H,7,0),12),E390))),"")</f>
        <v/>
      </c>
      <c r="J390" s="44">
        <f>IF(B390="","","Active")</f>
        <v/>
      </c>
    </row>
    <row r="391" ht="20" customHeight="1">
      <c r="A391" s="47">
        <f>IF(B391="","","TU"&amp;TEXT(ROW()-2,"0000"))</f>
        <v/>
      </c>
      <c r="B391" s="26" t="n"/>
      <c r="C391" s="48">
        <f>IFERROR(IF(B391="","",VLOOKUP(B391,DATABASE!$A:$B,2,0)),"")</f>
        <v/>
      </c>
      <c r="D391" s="44">
        <f>IFERROR(IF(B391="","",VLOOKUP(B391,LOANS!$B:$A,1,0)),"")</f>
        <v/>
      </c>
      <c r="E391" s="29" t="n"/>
      <c r="F391" s="40">
        <f>IF(B391="","",TODAY())</f>
        <v/>
      </c>
      <c r="G391" s="30" t="n"/>
      <c r="H391" s="43">
        <f>IFERROR(IF(OR(B391="",E391=""),"",SUMIF(LOANS!$B:$B,B391,LOANS!$D:$D)+E391),"")</f>
        <v/>
      </c>
      <c r="I391" s="43">
        <f>IFERROR(IF(OR(B391="",E391=""),"",SUMIF(LOANS!$B:$B,B391,LOANS!$I:$I)+ABS(PMT(IFERROR(VLOOKUP(B391,LOANS!$B:$G,6,0),12)/100/12,IFERROR(VLOOKUP(B391,LOANS!$B:$H,7,0),12),E391))),"")</f>
        <v/>
      </c>
      <c r="J391" s="44">
        <f>IF(B391="","","Active")</f>
        <v/>
      </c>
    </row>
    <row r="392" ht="20" customHeight="1">
      <c r="A392" s="47">
        <f>IF(B392="","","TU"&amp;TEXT(ROW()-2,"0000"))</f>
        <v/>
      </c>
      <c r="B392" s="26" t="n"/>
      <c r="C392" s="48">
        <f>IFERROR(IF(B392="","",VLOOKUP(B392,DATABASE!$A:$B,2,0)),"")</f>
        <v/>
      </c>
      <c r="D392" s="44">
        <f>IFERROR(IF(B392="","",VLOOKUP(B392,LOANS!$B:$A,1,0)),"")</f>
        <v/>
      </c>
      <c r="E392" s="29" t="n"/>
      <c r="F392" s="40">
        <f>IF(B392="","",TODAY())</f>
        <v/>
      </c>
      <c r="G392" s="30" t="n"/>
      <c r="H392" s="43">
        <f>IFERROR(IF(OR(B392="",E392=""),"",SUMIF(LOANS!$B:$B,B392,LOANS!$D:$D)+E392),"")</f>
        <v/>
      </c>
      <c r="I392" s="43">
        <f>IFERROR(IF(OR(B392="",E392=""),"",SUMIF(LOANS!$B:$B,B392,LOANS!$I:$I)+ABS(PMT(IFERROR(VLOOKUP(B392,LOANS!$B:$G,6,0),12)/100/12,IFERROR(VLOOKUP(B392,LOANS!$B:$H,7,0),12),E392))),"")</f>
        <v/>
      </c>
      <c r="J392" s="44">
        <f>IF(B392="","","Active")</f>
        <v/>
      </c>
    </row>
    <row r="393" ht="20" customHeight="1">
      <c r="A393" s="47">
        <f>IF(B393="","","TU"&amp;TEXT(ROW()-2,"0000"))</f>
        <v/>
      </c>
      <c r="B393" s="26" t="n"/>
      <c r="C393" s="48">
        <f>IFERROR(IF(B393="","",VLOOKUP(B393,DATABASE!$A:$B,2,0)),"")</f>
        <v/>
      </c>
      <c r="D393" s="44">
        <f>IFERROR(IF(B393="","",VLOOKUP(B393,LOANS!$B:$A,1,0)),"")</f>
        <v/>
      </c>
      <c r="E393" s="29" t="n"/>
      <c r="F393" s="40">
        <f>IF(B393="","",TODAY())</f>
        <v/>
      </c>
      <c r="G393" s="30" t="n"/>
      <c r="H393" s="43">
        <f>IFERROR(IF(OR(B393="",E393=""),"",SUMIF(LOANS!$B:$B,B393,LOANS!$D:$D)+E393),"")</f>
        <v/>
      </c>
      <c r="I393" s="43">
        <f>IFERROR(IF(OR(B393="",E393=""),"",SUMIF(LOANS!$B:$B,B393,LOANS!$I:$I)+ABS(PMT(IFERROR(VLOOKUP(B393,LOANS!$B:$G,6,0),12)/100/12,IFERROR(VLOOKUP(B393,LOANS!$B:$H,7,0),12),E393))),"")</f>
        <v/>
      </c>
      <c r="J393" s="44">
        <f>IF(B393="","","Active")</f>
        <v/>
      </c>
    </row>
    <row r="394" ht="20" customHeight="1">
      <c r="A394" s="47">
        <f>IF(B394="","","TU"&amp;TEXT(ROW()-2,"0000"))</f>
        <v/>
      </c>
      <c r="B394" s="26" t="n"/>
      <c r="C394" s="48">
        <f>IFERROR(IF(B394="","",VLOOKUP(B394,DATABASE!$A:$B,2,0)),"")</f>
        <v/>
      </c>
      <c r="D394" s="44">
        <f>IFERROR(IF(B394="","",VLOOKUP(B394,LOANS!$B:$A,1,0)),"")</f>
        <v/>
      </c>
      <c r="E394" s="29" t="n"/>
      <c r="F394" s="40">
        <f>IF(B394="","",TODAY())</f>
        <v/>
      </c>
      <c r="G394" s="30" t="n"/>
      <c r="H394" s="43">
        <f>IFERROR(IF(OR(B394="",E394=""),"",SUMIF(LOANS!$B:$B,B394,LOANS!$D:$D)+E394),"")</f>
        <v/>
      </c>
      <c r="I394" s="43">
        <f>IFERROR(IF(OR(B394="",E394=""),"",SUMIF(LOANS!$B:$B,B394,LOANS!$I:$I)+ABS(PMT(IFERROR(VLOOKUP(B394,LOANS!$B:$G,6,0),12)/100/12,IFERROR(VLOOKUP(B394,LOANS!$B:$H,7,0),12),E394))),"")</f>
        <v/>
      </c>
      <c r="J394" s="44">
        <f>IF(B394="","","Active")</f>
        <v/>
      </c>
    </row>
    <row r="395" ht="20" customHeight="1">
      <c r="A395" s="47">
        <f>IF(B395="","","TU"&amp;TEXT(ROW()-2,"0000"))</f>
        <v/>
      </c>
      <c r="B395" s="26" t="n"/>
      <c r="C395" s="48">
        <f>IFERROR(IF(B395="","",VLOOKUP(B395,DATABASE!$A:$B,2,0)),"")</f>
        <v/>
      </c>
      <c r="D395" s="44">
        <f>IFERROR(IF(B395="","",VLOOKUP(B395,LOANS!$B:$A,1,0)),"")</f>
        <v/>
      </c>
      <c r="E395" s="29" t="n"/>
      <c r="F395" s="40">
        <f>IF(B395="","",TODAY())</f>
        <v/>
      </c>
      <c r="G395" s="30" t="n"/>
      <c r="H395" s="43">
        <f>IFERROR(IF(OR(B395="",E395=""),"",SUMIF(LOANS!$B:$B,B395,LOANS!$D:$D)+E395),"")</f>
        <v/>
      </c>
      <c r="I395" s="43">
        <f>IFERROR(IF(OR(B395="",E395=""),"",SUMIF(LOANS!$B:$B,B395,LOANS!$I:$I)+ABS(PMT(IFERROR(VLOOKUP(B395,LOANS!$B:$G,6,0),12)/100/12,IFERROR(VLOOKUP(B395,LOANS!$B:$H,7,0),12),E395))),"")</f>
        <v/>
      </c>
      <c r="J395" s="44">
        <f>IF(B395="","","Active")</f>
        <v/>
      </c>
    </row>
    <row r="396" ht="20" customHeight="1">
      <c r="A396" s="47">
        <f>IF(B396="","","TU"&amp;TEXT(ROW()-2,"0000"))</f>
        <v/>
      </c>
      <c r="B396" s="26" t="n"/>
      <c r="C396" s="48">
        <f>IFERROR(IF(B396="","",VLOOKUP(B396,DATABASE!$A:$B,2,0)),"")</f>
        <v/>
      </c>
      <c r="D396" s="44">
        <f>IFERROR(IF(B396="","",VLOOKUP(B396,LOANS!$B:$A,1,0)),"")</f>
        <v/>
      </c>
      <c r="E396" s="29" t="n"/>
      <c r="F396" s="40">
        <f>IF(B396="","",TODAY())</f>
        <v/>
      </c>
      <c r="G396" s="30" t="n"/>
      <c r="H396" s="43">
        <f>IFERROR(IF(OR(B396="",E396=""),"",SUMIF(LOANS!$B:$B,B396,LOANS!$D:$D)+E396),"")</f>
        <v/>
      </c>
      <c r="I396" s="43">
        <f>IFERROR(IF(OR(B396="",E396=""),"",SUMIF(LOANS!$B:$B,B396,LOANS!$I:$I)+ABS(PMT(IFERROR(VLOOKUP(B396,LOANS!$B:$G,6,0),12)/100/12,IFERROR(VLOOKUP(B396,LOANS!$B:$H,7,0),12),E396))),"")</f>
        <v/>
      </c>
      <c r="J396" s="44">
        <f>IF(B396="","","Active")</f>
        <v/>
      </c>
    </row>
    <row r="397" ht="20" customHeight="1">
      <c r="A397" s="47">
        <f>IF(B397="","","TU"&amp;TEXT(ROW()-2,"0000"))</f>
        <v/>
      </c>
      <c r="B397" s="26" t="n"/>
      <c r="C397" s="48">
        <f>IFERROR(IF(B397="","",VLOOKUP(B397,DATABASE!$A:$B,2,0)),"")</f>
        <v/>
      </c>
      <c r="D397" s="44">
        <f>IFERROR(IF(B397="","",VLOOKUP(B397,LOANS!$B:$A,1,0)),"")</f>
        <v/>
      </c>
      <c r="E397" s="29" t="n"/>
      <c r="F397" s="40">
        <f>IF(B397="","",TODAY())</f>
        <v/>
      </c>
      <c r="G397" s="30" t="n"/>
      <c r="H397" s="43">
        <f>IFERROR(IF(OR(B397="",E397=""),"",SUMIF(LOANS!$B:$B,B397,LOANS!$D:$D)+E397),"")</f>
        <v/>
      </c>
      <c r="I397" s="43">
        <f>IFERROR(IF(OR(B397="",E397=""),"",SUMIF(LOANS!$B:$B,B397,LOANS!$I:$I)+ABS(PMT(IFERROR(VLOOKUP(B397,LOANS!$B:$G,6,0),12)/100/12,IFERROR(VLOOKUP(B397,LOANS!$B:$H,7,0),12),E397))),"")</f>
        <v/>
      </c>
      <c r="J397" s="44">
        <f>IF(B397="","","Active")</f>
        <v/>
      </c>
    </row>
    <row r="398" ht="20" customHeight="1">
      <c r="A398" s="47">
        <f>IF(B398="","","TU"&amp;TEXT(ROW()-2,"0000"))</f>
        <v/>
      </c>
      <c r="B398" s="26" t="n"/>
      <c r="C398" s="48">
        <f>IFERROR(IF(B398="","",VLOOKUP(B398,DATABASE!$A:$B,2,0)),"")</f>
        <v/>
      </c>
      <c r="D398" s="44">
        <f>IFERROR(IF(B398="","",VLOOKUP(B398,LOANS!$B:$A,1,0)),"")</f>
        <v/>
      </c>
      <c r="E398" s="29" t="n"/>
      <c r="F398" s="40">
        <f>IF(B398="","",TODAY())</f>
        <v/>
      </c>
      <c r="G398" s="30" t="n"/>
      <c r="H398" s="43">
        <f>IFERROR(IF(OR(B398="",E398=""),"",SUMIF(LOANS!$B:$B,B398,LOANS!$D:$D)+E398),"")</f>
        <v/>
      </c>
      <c r="I398" s="43">
        <f>IFERROR(IF(OR(B398="",E398=""),"",SUMIF(LOANS!$B:$B,B398,LOANS!$I:$I)+ABS(PMT(IFERROR(VLOOKUP(B398,LOANS!$B:$G,6,0),12)/100/12,IFERROR(VLOOKUP(B398,LOANS!$B:$H,7,0),12),E398))),"")</f>
        <v/>
      </c>
      <c r="J398" s="44">
        <f>IF(B398="","","Active")</f>
        <v/>
      </c>
    </row>
    <row r="399" ht="20" customHeight="1">
      <c r="A399" s="47">
        <f>IF(B399="","","TU"&amp;TEXT(ROW()-2,"0000"))</f>
        <v/>
      </c>
      <c r="B399" s="26" t="n"/>
      <c r="C399" s="48">
        <f>IFERROR(IF(B399="","",VLOOKUP(B399,DATABASE!$A:$B,2,0)),"")</f>
        <v/>
      </c>
      <c r="D399" s="44">
        <f>IFERROR(IF(B399="","",VLOOKUP(B399,LOANS!$B:$A,1,0)),"")</f>
        <v/>
      </c>
      <c r="E399" s="29" t="n"/>
      <c r="F399" s="40">
        <f>IF(B399="","",TODAY())</f>
        <v/>
      </c>
      <c r="G399" s="30" t="n"/>
      <c r="H399" s="43">
        <f>IFERROR(IF(OR(B399="",E399=""),"",SUMIF(LOANS!$B:$B,B399,LOANS!$D:$D)+E399),"")</f>
        <v/>
      </c>
      <c r="I399" s="43">
        <f>IFERROR(IF(OR(B399="",E399=""),"",SUMIF(LOANS!$B:$B,B399,LOANS!$I:$I)+ABS(PMT(IFERROR(VLOOKUP(B399,LOANS!$B:$G,6,0),12)/100/12,IFERROR(VLOOKUP(B399,LOANS!$B:$H,7,0),12),E399))),"")</f>
        <v/>
      </c>
      <c r="J399" s="44">
        <f>IF(B399="","","Active")</f>
        <v/>
      </c>
    </row>
    <row r="400" ht="20" customHeight="1">
      <c r="A400" s="47">
        <f>IF(B400="","","TU"&amp;TEXT(ROW()-2,"0000"))</f>
        <v/>
      </c>
      <c r="B400" s="26" t="n"/>
      <c r="C400" s="48">
        <f>IFERROR(IF(B400="","",VLOOKUP(B400,DATABASE!$A:$B,2,0)),"")</f>
        <v/>
      </c>
      <c r="D400" s="44">
        <f>IFERROR(IF(B400="","",VLOOKUP(B400,LOANS!$B:$A,1,0)),"")</f>
        <v/>
      </c>
      <c r="E400" s="29" t="n"/>
      <c r="F400" s="40">
        <f>IF(B400="","",TODAY())</f>
        <v/>
      </c>
      <c r="G400" s="30" t="n"/>
      <c r="H400" s="43">
        <f>IFERROR(IF(OR(B400="",E400=""),"",SUMIF(LOANS!$B:$B,B400,LOANS!$D:$D)+E400),"")</f>
        <v/>
      </c>
      <c r="I400" s="43">
        <f>IFERROR(IF(OR(B400="",E400=""),"",SUMIF(LOANS!$B:$B,B400,LOANS!$I:$I)+ABS(PMT(IFERROR(VLOOKUP(B400,LOANS!$B:$G,6,0),12)/100/12,IFERROR(VLOOKUP(B400,LOANS!$B:$H,7,0),12),E400))),"")</f>
        <v/>
      </c>
      <c r="J400" s="44">
        <f>IF(B400="","","Active")</f>
        <v/>
      </c>
    </row>
    <row r="401" ht="20" customHeight="1">
      <c r="A401" s="47">
        <f>IF(B401="","","TU"&amp;TEXT(ROW()-2,"0000"))</f>
        <v/>
      </c>
      <c r="B401" s="26" t="n"/>
      <c r="C401" s="48">
        <f>IFERROR(IF(B401="","",VLOOKUP(B401,DATABASE!$A:$B,2,0)),"")</f>
        <v/>
      </c>
      <c r="D401" s="44">
        <f>IFERROR(IF(B401="","",VLOOKUP(B401,LOANS!$B:$A,1,0)),"")</f>
        <v/>
      </c>
      <c r="E401" s="29" t="n"/>
      <c r="F401" s="40">
        <f>IF(B401="","",TODAY())</f>
        <v/>
      </c>
      <c r="G401" s="30" t="n"/>
      <c r="H401" s="43">
        <f>IFERROR(IF(OR(B401="",E401=""),"",SUMIF(LOANS!$B:$B,B401,LOANS!$D:$D)+E401),"")</f>
        <v/>
      </c>
      <c r="I401" s="43">
        <f>IFERROR(IF(OR(B401="",E401=""),"",SUMIF(LOANS!$B:$B,B401,LOANS!$I:$I)+ABS(PMT(IFERROR(VLOOKUP(B401,LOANS!$B:$G,6,0),12)/100/12,IFERROR(VLOOKUP(B401,LOANS!$B:$H,7,0),12),E401))),"")</f>
        <v/>
      </c>
      <c r="J401" s="44">
        <f>IF(B401="","","Active")</f>
        <v/>
      </c>
    </row>
    <row r="402" ht="20" customHeight="1">
      <c r="A402" s="47">
        <f>IF(B402="","","TU"&amp;TEXT(ROW()-2,"0000"))</f>
        <v/>
      </c>
      <c r="B402" s="26" t="n"/>
      <c r="C402" s="48">
        <f>IFERROR(IF(B402="","",VLOOKUP(B402,DATABASE!$A:$B,2,0)),"")</f>
        <v/>
      </c>
      <c r="D402" s="44">
        <f>IFERROR(IF(B402="","",VLOOKUP(B402,LOANS!$B:$A,1,0)),"")</f>
        <v/>
      </c>
      <c r="E402" s="29" t="n"/>
      <c r="F402" s="40">
        <f>IF(B402="","",TODAY())</f>
        <v/>
      </c>
      <c r="G402" s="30" t="n"/>
      <c r="H402" s="43">
        <f>IFERROR(IF(OR(B402="",E402=""),"",SUMIF(LOANS!$B:$B,B402,LOANS!$D:$D)+E402),"")</f>
        <v/>
      </c>
      <c r="I402" s="43">
        <f>IFERROR(IF(OR(B402="",E402=""),"",SUMIF(LOANS!$B:$B,B402,LOANS!$I:$I)+ABS(PMT(IFERROR(VLOOKUP(B402,LOANS!$B:$G,6,0),12)/100/12,IFERROR(VLOOKUP(B402,LOANS!$B:$H,7,0),12),E402))),"")</f>
        <v/>
      </c>
      <c r="J402" s="44">
        <f>IF(B402="","","Active")</f>
        <v/>
      </c>
    </row>
    <row r="403" ht="20" customHeight="1">
      <c r="A403" s="47">
        <f>IF(B403="","","TU"&amp;TEXT(ROW()-2,"0000"))</f>
        <v/>
      </c>
      <c r="B403" s="26" t="n"/>
      <c r="C403" s="48">
        <f>IFERROR(IF(B403="","",VLOOKUP(B403,DATABASE!$A:$B,2,0)),"")</f>
        <v/>
      </c>
      <c r="D403" s="44">
        <f>IFERROR(IF(B403="","",VLOOKUP(B403,LOANS!$B:$A,1,0)),"")</f>
        <v/>
      </c>
      <c r="E403" s="29" t="n"/>
      <c r="F403" s="40">
        <f>IF(B403="","",TODAY())</f>
        <v/>
      </c>
      <c r="G403" s="30" t="n"/>
      <c r="H403" s="43">
        <f>IFERROR(IF(OR(B403="",E403=""),"",SUMIF(LOANS!$B:$B,B403,LOANS!$D:$D)+E403),"")</f>
        <v/>
      </c>
      <c r="I403" s="43">
        <f>IFERROR(IF(OR(B403="",E403=""),"",SUMIF(LOANS!$B:$B,B403,LOANS!$I:$I)+ABS(PMT(IFERROR(VLOOKUP(B403,LOANS!$B:$G,6,0),12)/100/12,IFERROR(VLOOKUP(B403,LOANS!$B:$H,7,0),12),E403))),"")</f>
        <v/>
      </c>
      <c r="J403" s="44">
        <f>IF(B403="","","Active")</f>
        <v/>
      </c>
    </row>
    <row r="404" ht="20" customHeight="1">
      <c r="A404" s="47">
        <f>IF(B404="","","TU"&amp;TEXT(ROW()-2,"0000"))</f>
        <v/>
      </c>
      <c r="B404" s="26" t="n"/>
      <c r="C404" s="48">
        <f>IFERROR(IF(B404="","",VLOOKUP(B404,DATABASE!$A:$B,2,0)),"")</f>
        <v/>
      </c>
      <c r="D404" s="44">
        <f>IFERROR(IF(B404="","",VLOOKUP(B404,LOANS!$B:$A,1,0)),"")</f>
        <v/>
      </c>
      <c r="E404" s="29" t="n"/>
      <c r="F404" s="40">
        <f>IF(B404="","",TODAY())</f>
        <v/>
      </c>
      <c r="G404" s="30" t="n"/>
      <c r="H404" s="43">
        <f>IFERROR(IF(OR(B404="",E404=""),"",SUMIF(LOANS!$B:$B,B404,LOANS!$D:$D)+E404),"")</f>
        <v/>
      </c>
      <c r="I404" s="43">
        <f>IFERROR(IF(OR(B404="",E404=""),"",SUMIF(LOANS!$B:$B,B404,LOANS!$I:$I)+ABS(PMT(IFERROR(VLOOKUP(B404,LOANS!$B:$G,6,0),12)/100/12,IFERROR(VLOOKUP(B404,LOANS!$B:$H,7,0),12),E404))),"")</f>
        <v/>
      </c>
      <c r="J404" s="44">
        <f>IF(B404="","","Active")</f>
        <v/>
      </c>
    </row>
    <row r="405" ht="20" customHeight="1">
      <c r="A405" s="47">
        <f>IF(B405="","","TU"&amp;TEXT(ROW()-2,"0000"))</f>
        <v/>
      </c>
      <c r="B405" s="26" t="n"/>
      <c r="C405" s="48">
        <f>IFERROR(IF(B405="","",VLOOKUP(B405,DATABASE!$A:$B,2,0)),"")</f>
        <v/>
      </c>
      <c r="D405" s="44">
        <f>IFERROR(IF(B405="","",VLOOKUP(B405,LOANS!$B:$A,1,0)),"")</f>
        <v/>
      </c>
      <c r="E405" s="29" t="n"/>
      <c r="F405" s="40">
        <f>IF(B405="","",TODAY())</f>
        <v/>
      </c>
      <c r="G405" s="30" t="n"/>
      <c r="H405" s="43">
        <f>IFERROR(IF(OR(B405="",E405=""),"",SUMIF(LOANS!$B:$B,B405,LOANS!$D:$D)+E405),"")</f>
        <v/>
      </c>
      <c r="I405" s="43">
        <f>IFERROR(IF(OR(B405="",E405=""),"",SUMIF(LOANS!$B:$B,B405,LOANS!$I:$I)+ABS(PMT(IFERROR(VLOOKUP(B405,LOANS!$B:$G,6,0),12)/100/12,IFERROR(VLOOKUP(B405,LOANS!$B:$H,7,0),12),E405))),"")</f>
        <v/>
      </c>
      <c r="J405" s="44">
        <f>IF(B405="","","Active")</f>
        <v/>
      </c>
    </row>
    <row r="406" ht="20" customHeight="1">
      <c r="A406" s="47">
        <f>IF(B406="","","TU"&amp;TEXT(ROW()-2,"0000"))</f>
        <v/>
      </c>
      <c r="B406" s="26" t="n"/>
      <c r="C406" s="48">
        <f>IFERROR(IF(B406="","",VLOOKUP(B406,DATABASE!$A:$B,2,0)),"")</f>
        <v/>
      </c>
      <c r="D406" s="44">
        <f>IFERROR(IF(B406="","",VLOOKUP(B406,LOANS!$B:$A,1,0)),"")</f>
        <v/>
      </c>
      <c r="E406" s="29" t="n"/>
      <c r="F406" s="40">
        <f>IF(B406="","",TODAY())</f>
        <v/>
      </c>
      <c r="G406" s="30" t="n"/>
      <c r="H406" s="43">
        <f>IFERROR(IF(OR(B406="",E406=""),"",SUMIF(LOANS!$B:$B,B406,LOANS!$D:$D)+E406),"")</f>
        <v/>
      </c>
      <c r="I406" s="43">
        <f>IFERROR(IF(OR(B406="",E406=""),"",SUMIF(LOANS!$B:$B,B406,LOANS!$I:$I)+ABS(PMT(IFERROR(VLOOKUP(B406,LOANS!$B:$G,6,0),12)/100/12,IFERROR(VLOOKUP(B406,LOANS!$B:$H,7,0),12),E406))),"")</f>
        <v/>
      </c>
      <c r="J406" s="44">
        <f>IF(B406="","","Active")</f>
        <v/>
      </c>
    </row>
    <row r="407" ht="20" customHeight="1">
      <c r="A407" s="47">
        <f>IF(B407="","","TU"&amp;TEXT(ROW()-2,"0000"))</f>
        <v/>
      </c>
      <c r="B407" s="26" t="n"/>
      <c r="C407" s="48">
        <f>IFERROR(IF(B407="","",VLOOKUP(B407,DATABASE!$A:$B,2,0)),"")</f>
        <v/>
      </c>
      <c r="D407" s="44">
        <f>IFERROR(IF(B407="","",VLOOKUP(B407,LOANS!$B:$A,1,0)),"")</f>
        <v/>
      </c>
      <c r="E407" s="29" t="n"/>
      <c r="F407" s="40">
        <f>IF(B407="","",TODAY())</f>
        <v/>
      </c>
      <c r="G407" s="30" t="n"/>
      <c r="H407" s="43">
        <f>IFERROR(IF(OR(B407="",E407=""),"",SUMIF(LOANS!$B:$B,B407,LOANS!$D:$D)+E407),"")</f>
        <v/>
      </c>
      <c r="I407" s="43">
        <f>IFERROR(IF(OR(B407="",E407=""),"",SUMIF(LOANS!$B:$B,B407,LOANS!$I:$I)+ABS(PMT(IFERROR(VLOOKUP(B407,LOANS!$B:$G,6,0),12)/100/12,IFERROR(VLOOKUP(B407,LOANS!$B:$H,7,0),12),E407))),"")</f>
        <v/>
      </c>
      <c r="J407" s="44">
        <f>IF(B407="","","Active")</f>
        <v/>
      </c>
    </row>
    <row r="408" ht="20" customHeight="1">
      <c r="A408" s="47">
        <f>IF(B408="","","TU"&amp;TEXT(ROW()-2,"0000"))</f>
        <v/>
      </c>
      <c r="B408" s="26" t="n"/>
      <c r="C408" s="48">
        <f>IFERROR(IF(B408="","",VLOOKUP(B408,DATABASE!$A:$B,2,0)),"")</f>
        <v/>
      </c>
      <c r="D408" s="44">
        <f>IFERROR(IF(B408="","",VLOOKUP(B408,LOANS!$B:$A,1,0)),"")</f>
        <v/>
      </c>
      <c r="E408" s="29" t="n"/>
      <c r="F408" s="40">
        <f>IF(B408="","",TODAY())</f>
        <v/>
      </c>
      <c r="G408" s="30" t="n"/>
      <c r="H408" s="43">
        <f>IFERROR(IF(OR(B408="",E408=""),"",SUMIF(LOANS!$B:$B,B408,LOANS!$D:$D)+E408),"")</f>
        <v/>
      </c>
      <c r="I408" s="43">
        <f>IFERROR(IF(OR(B408="",E408=""),"",SUMIF(LOANS!$B:$B,B408,LOANS!$I:$I)+ABS(PMT(IFERROR(VLOOKUP(B408,LOANS!$B:$G,6,0),12)/100/12,IFERROR(VLOOKUP(B408,LOANS!$B:$H,7,0),12),E408))),"")</f>
        <v/>
      </c>
      <c r="J408" s="44">
        <f>IF(B408="","","Active")</f>
        <v/>
      </c>
    </row>
    <row r="409" ht="20" customHeight="1">
      <c r="A409" s="47">
        <f>IF(B409="","","TU"&amp;TEXT(ROW()-2,"0000"))</f>
        <v/>
      </c>
      <c r="B409" s="26" t="n"/>
      <c r="C409" s="48">
        <f>IFERROR(IF(B409="","",VLOOKUP(B409,DATABASE!$A:$B,2,0)),"")</f>
        <v/>
      </c>
      <c r="D409" s="44">
        <f>IFERROR(IF(B409="","",VLOOKUP(B409,LOANS!$B:$A,1,0)),"")</f>
        <v/>
      </c>
      <c r="E409" s="29" t="n"/>
      <c r="F409" s="40">
        <f>IF(B409="","",TODAY())</f>
        <v/>
      </c>
      <c r="G409" s="30" t="n"/>
      <c r="H409" s="43">
        <f>IFERROR(IF(OR(B409="",E409=""),"",SUMIF(LOANS!$B:$B,B409,LOANS!$D:$D)+E409),"")</f>
        <v/>
      </c>
      <c r="I409" s="43">
        <f>IFERROR(IF(OR(B409="",E409=""),"",SUMIF(LOANS!$B:$B,B409,LOANS!$I:$I)+ABS(PMT(IFERROR(VLOOKUP(B409,LOANS!$B:$G,6,0),12)/100/12,IFERROR(VLOOKUP(B409,LOANS!$B:$H,7,0),12),E409))),"")</f>
        <v/>
      </c>
      <c r="J409" s="44">
        <f>IF(B409="","","Active")</f>
        <v/>
      </c>
    </row>
    <row r="410" ht="20" customHeight="1">
      <c r="A410" s="47">
        <f>IF(B410="","","TU"&amp;TEXT(ROW()-2,"0000"))</f>
        <v/>
      </c>
      <c r="B410" s="26" t="n"/>
      <c r="C410" s="48">
        <f>IFERROR(IF(B410="","",VLOOKUP(B410,DATABASE!$A:$B,2,0)),"")</f>
        <v/>
      </c>
      <c r="D410" s="44">
        <f>IFERROR(IF(B410="","",VLOOKUP(B410,LOANS!$B:$A,1,0)),"")</f>
        <v/>
      </c>
      <c r="E410" s="29" t="n"/>
      <c r="F410" s="40">
        <f>IF(B410="","",TODAY())</f>
        <v/>
      </c>
      <c r="G410" s="30" t="n"/>
      <c r="H410" s="43">
        <f>IFERROR(IF(OR(B410="",E410=""),"",SUMIF(LOANS!$B:$B,B410,LOANS!$D:$D)+E410),"")</f>
        <v/>
      </c>
      <c r="I410" s="43">
        <f>IFERROR(IF(OR(B410="",E410=""),"",SUMIF(LOANS!$B:$B,B410,LOANS!$I:$I)+ABS(PMT(IFERROR(VLOOKUP(B410,LOANS!$B:$G,6,0),12)/100/12,IFERROR(VLOOKUP(B410,LOANS!$B:$H,7,0),12),E410))),"")</f>
        <v/>
      </c>
      <c r="J410" s="44">
        <f>IF(B410="","","Active")</f>
        <v/>
      </c>
    </row>
    <row r="411" ht="20" customHeight="1">
      <c r="A411" s="47">
        <f>IF(B411="","","TU"&amp;TEXT(ROW()-2,"0000"))</f>
        <v/>
      </c>
      <c r="B411" s="26" t="n"/>
      <c r="C411" s="48">
        <f>IFERROR(IF(B411="","",VLOOKUP(B411,DATABASE!$A:$B,2,0)),"")</f>
        <v/>
      </c>
      <c r="D411" s="44">
        <f>IFERROR(IF(B411="","",VLOOKUP(B411,LOANS!$B:$A,1,0)),"")</f>
        <v/>
      </c>
      <c r="E411" s="29" t="n"/>
      <c r="F411" s="40">
        <f>IF(B411="","",TODAY())</f>
        <v/>
      </c>
      <c r="G411" s="30" t="n"/>
      <c r="H411" s="43">
        <f>IFERROR(IF(OR(B411="",E411=""),"",SUMIF(LOANS!$B:$B,B411,LOANS!$D:$D)+E411),"")</f>
        <v/>
      </c>
      <c r="I411" s="43">
        <f>IFERROR(IF(OR(B411="",E411=""),"",SUMIF(LOANS!$B:$B,B411,LOANS!$I:$I)+ABS(PMT(IFERROR(VLOOKUP(B411,LOANS!$B:$G,6,0),12)/100/12,IFERROR(VLOOKUP(B411,LOANS!$B:$H,7,0),12),E411))),"")</f>
        <v/>
      </c>
      <c r="J411" s="44">
        <f>IF(B411="","","Active")</f>
        <v/>
      </c>
    </row>
    <row r="412" ht="20" customHeight="1">
      <c r="A412" s="47">
        <f>IF(B412="","","TU"&amp;TEXT(ROW()-2,"0000"))</f>
        <v/>
      </c>
      <c r="B412" s="26" t="n"/>
      <c r="C412" s="48">
        <f>IFERROR(IF(B412="","",VLOOKUP(B412,DATABASE!$A:$B,2,0)),"")</f>
        <v/>
      </c>
      <c r="D412" s="44">
        <f>IFERROR(IF(B412="","",VLOOKUP(B412,LOANS!$B:$A,1,0)),"")</f>
        <v/>
      </c>
      <c r="E412" s="29" t="n"/>
      <c r="F412" s="40">
        <f>IF(B412="","",TODAY())</f>
        <v/>
      </c>
      <c r="G412" s="30" t="n"/>
      <c r="H412" s="43">
        <f>IFERROR(IF(OR(B412="",E412=""),"",SUMIF(LOANS!$B:$B,B412,LOANS!$D:$D)+E412),"")</f>
        <v/>
      </c>
      <c r="I412" s="43">
        <f>IFERROR(IF(OR(B412="",E412=""),"",SUMIF(LOANS!$B:$B,B412,LOANS!$I:$I)+ABS(PMT(IFERROR(VLOOKUP(B412,LOANS!$B:$G,6,0),12)/100/12,IFERROR(VLOOKUP(B412,LOANS!$B:$H,7,0),12),E412))),"")</f>
        <v/>
      </c>
      <c r="J412" s="44">
        <f>IF(B412="","","Active")</f>
        <v/>
      </c>
    </row>
    <row r="413" ht="20" customHeight="1">
      <c r="A413" s="47">
        <f>IF(B413="","","TU"&amp;TEXT(ROW()-2,"0000"))</f>
        <v/>
      </c>
      <c r="B413" s="26" t="n"/>
      <c r="C413" s="48">
        <f>IFERROR(IF(B413="","",VLOOKUP(B413,DATABASE!$A:$B,2,0)),"")</f>
        <v/>
      </c>
      <c r="D413" s="44">
        <f>IFERROR(IF(B413="","",VLOOKUP(B413,LOANS!$B:$A,1,0)),"")</f>
        <v/>
      </c>
      <c r="E413" s="29" t="n"/>
      <c r="F413" s="40">
        <f>IF(B413="","",TODAY())</f>
        <v/>
      </c>
      <c r="G413" s="30" t="n"/>
      <c r="H413" s="43">
        <f>IFERROR(IF(OR(B413="",E413=""),"",SUMIF(LOANS!$B:$B,B413,LOANS!$D:$D)+E413),"")</f>
        <v/>
      </c>
      <c r="I413" s="43">
        <f>IFERROR(IF(OR(B413="",E413=""),"",SUMIF(LOANS!$B:$B,B413,LOANS!$I:$I)+ABS(PMT(IFERROR(VLOOKUP(B413,LOANS!$B:$G,6,0),12)/100/12,IFERROR(VLOOKUP(B413,LOANS!$B:$H,7,0),12),E413))),"")</f>
        <v/>
      </c>
      <c r="J413" s="44">
        <f>IF(B413="","","Active")</f>
        <v/>
      </c>
    </row>
    <row r="414" ht="20" customHeight="1">
      <c r="A414" s="47">
        <f>IF(B414="","","TU"&amp;TEXT(ROW()-2,"0000"))</f>
        <v/>
      </c>
      <c r="B414" s="26" t="n"/>
      <c r="C414" s="48">
        <f>IFERROR(IF(B414="","",VLOOKUP(B414,DATABASE!$A:$B,2,0)),"")</f>
        <v/>
      </c>
      <c r="D414" s="44">
        <f>IFERROR(IF(B414="","",VLOOKUP(B414,LOANS!$B:$A,1,0)),"")</f>
        <v/>
      </c>
      <c r="E414" s="29" t="n"/>
      <c r="F414" s="40">
        <f>IF(B414="","",TODAY())</f>
        <v/>
      </c>
      <c r="G414" s="30" t="n"/>
      <c r="H414" s="43">
        <f>IFERROR(IF(OR(B414="",E414=""),"",SUMIF(LOANS!$B:$B,B414,LOANS!$D:$D)+E414),"")</f>
        <v/>
      </c>
      <c r="I414" s="43">
        <f>IFERROR(IF(OR(B414="",E414=""),"",SUMIF(LOANS!$B:$B,B414,LOANS!$I:$I)+ABS(PMT(IFERROR(VLOOKUP(B414,LOANS!$B:$G,6,0),12)/100/12,IFERROR(VLOOKUP(B414,LOANS!$B:$H,7,0),12),E414))),"")</f>
        <v/>
      </c>
      <c r="J414" s="44">
        <f>IF(B414="","","Active")</f>
        <v/>
      </c>
    </row>
    <row r="415" ht="20" customHeight="1">
      <c r="A415" s="47">
        <f>IF(B415="","","TU"&amp;TEXT(ROW()-2,"0000"))</f>
        <v/>
      </c>
      <c r="B415" s="26" t="n"/>
      <c r="C415" s="48">
        <f>IFERROR(IF(B415="","",VLOOKUP(B415,DATABASE!$A:$B,2,0)),"")</f>
        <v/>
      </c>
      <c r="D415" s="44">
        <f>IFERROR(IF(B415="","",VLOOKUP(B415,LOANS!$B:$A,1,0)),"")</f>
        <v/>
      </c>
      <c r="E415" s="29" t="n"/>
      <c r="F415" s="40">
        <f>IF(B415="","",TODAY())</f>
        <v/>
      </c>
      <c r="G415" s="30" t="n"/>
      <c r="H415" s="43">
        <f>IFERROR(IF(OR(B415="",E415=""),"",SUMIF(LOANS!$B:$B,B415,LOANS!$D:$D)+E415),"")</f>
        <v/>
      </c>
      <c r="I415" s="43">
        <f>IFERROR(IF(OR(B415="",E415=""),"",SUMIF(LOANS!$B:$B,B415,LOANS!$I:$I)+ABS(PMT(IFERROR(VLOOKUP(B415,LOANS!$B:$G,6,0),12)/100/12,IFERROR(VLOOKUP(B415,LOANS!$B:$H,7,0),12),E415))),"")</f>
        <v/>
      </c>
      <c r="J415" s="44">
        <f>IF(B415="","","Active")</f>
        <v/>
      </c>
    </row>
    <row r="416" ht="20" customHeight="1">
      <c r="A416" s="47">
        <f>IF(B416="","","TU"&amp;TEXT(ROW()-2,"0000"))</f>
        <v/>
      </c>
      <c r="B416" s="26" t="n"/>
      <c r="C416" s="48">
        <f>IFERROR(IF(B416="","",VLOOKUP(B416,DATABASE!$A:$B,2,0)),"")</f>
        <v/>
      </c>
      <c r="D416" s="44">
        <f>IFERROR(IF(B416="","",VLOOKUP(B416,LOANS!$B:$A,1,0)),"")</f>
        <v/>
      </c>
      <c r="E416" s="29" t="n"/>
      <c r="F416" s="40">
        <f>IF(B416="","",TODAY())</f>
        <v/>
      </c>
      <c r="G416" s="30" t="n"/>
      <c r="H416" s="43">
        <f>IFERROR(IF(OR(B416="",E416=""),"",SUMIF(LOANS!$B:$B,B416,LOANS!$D:$D)+E416),"")</f>
        <v/>
      </c>
      <c r="I416" s="43">
        <f>IFERROR(IF(OR(B416="",E416=""),"",SUMIF(LOANS!$B:$B,B416,LOANS!$I:$I)+ABS(PMT(IFERROR(VLOOKUP(B416,LOANS!$B:$G,6,0),12)/100/12,IFERROR(VLOOKUP(B416,LOANS!$B:$H,7,0),12),E416))),"")</f>
        <v/>
      </c>
      <c r="J416" s="44">
        <f>IF(B416="","","Active")</f>
        <v/>
      </c>
    </row>
    <row r="417" ht="20" customHeight="1">
      <c r="A417" s="47">
        <f>IF(B417="","","TU"&amp;TEXT(ROW()-2,"0000"))</f>
        <v/>
      </c>
      <c r="B417" s="26" t="n"/>
      <c r="C417" s="48">
        <f>IFERROR(IF(B417="","",VLOOKUP(B417,DATABASE!$A:$B,2,0)),"")</f>
        <v/>
      </c>
      <c r="D417" s="44">
        <f>IFERROR(IF(B417="","",VLOOKUP(B417,LOANS!$B:$A,1,0)),"")</f>
        <v/>
      </c>
      <c r="E417" s="29" t="n"/>
      <c r="F417" s="40">
        <f>IF(B417="","",TODAY())</f>
        <v/>
      </c>
      <c r="G417" s="30" t="n"/>
      <c r="H417" s="43">
        <f>IFERROR(IF(OR(B417="",E417=""),"",SUMIF(LOANS!$B:$B,B417,LOANS!$D:$D)+E417),"")</f>
        <v/>
      </c>
      <c r="I417" s="43">
        <f>IFERROR(IF(OR(B417="",E417=""),"",SUMIF(LOANS!$B:$B,B417,LOANS!$I:$I)+ABS(PMT(IFERROR(VLOOKUP(B417,LOANS!$B:$G,6,0),12)/100/12,IFERROR(VLOOKUP(B417,LOANS!$B:$H,7,0),12),E417))),"")</f>
        <v/>
      </c>
      <c r="J417" s="44">
        <f>IF(B417="","","Active")</f>
        <v/>
      </c>
    </row>
    <row r="418" ht="20" customHeight="1">
      <c r="A418" s="47">
        <f>IF(B418="","","TU"&amp;TEXT(ROW()-2,"0000"))</f>
        <v/>
      </c>
      <c r="B418" s="26" t="n"/>
      <c r="C418" s="48">
        <f>IFERROR(IF(B418="","",VLOOKUP(B418,DATABASE!$A:$B,2,0)),"")</f>
        <v/>
      </c>
      <c r="D418" s="44">
        <f>IFERROR(IF(B418="","",VLOOKUP(B418,LOANS!$B:$A,1,0)),"")</f>
        <v/>
      </c>
      <c r="E418" s="29" t="n"/>
      <c r="F418" s="40">
        <f>IF(B418="","",TODAY())</f>
        <v/>
      </c>
      <c r="G418" s="30" t="n"/>
      <c r="H418" s="43">
        <f>IFERROR(IF(OR(B418="",E418=""),"",SUMIF(LOANS!$B:$B,B418,LOANS!$D:$D)+E418),"")</f>
        <v/>
      </c>
      <c r="I418" s="43">
        <f>IFERROR(IF(OR(B418="",E418=""),"",SUMIF(LOANS!$B:$B,B418,LOANS!$I:$I)+ABS(PMT(IFERROR(VLOOKUP(B418,LOANS!$B:$G,6,0),12)/100/12,IFERROR(VLOOKUP(B418,LOANS!$B:$H,7,0),12),E418))),"")</f>
        <v/>
      </c>
      <c r="J418" s="44">
        <f>IF(B418="","","Active")</f>
        <v/>
      </c>
    </row>
    <row r="419" ht="20" customHeight="1">
      <c r="A419" s="47">
        <f>IF(B419="","","TU"&amp;TEXT(ROW()-2,"0000"))</f>
        <v/>
      </c>
      <c r="B419" s="26" t="n"/>
      <c r="C419" s="48">
        <f>IFERROR(IF(B419="","",VLOOKUP(B419,DATABASE!$A:$B,2,0)),"")</f>
        <v/>
      </c>
      <c r="D419" s="44">
        <f>IFERROR(IF(B419="","",VLOOKUP(B419,LOANS!$B:$A,1,0)),"")</f>
        <v/>
      </c>
      <c r="E419" s="29" t="n"/>
      <c r="F419" s="40">
        <f>IF(B419="","",TODAY())</f>
        <v/>
      </c>
      <c r="G419" s="30" t="n"/>
      <c r="H419" s="43">
        <f>IFERROR(IF(OR(B419="",E419=""),"",SUMIF(LOANS!$B:$B,B419,LOANS!$D:$D)+E419),"")</f>
        <v/>
      </c>
      <c r="I419" s="43">
        <f>IFERROR(IF(OR(B419="",E419=""),"",SUMIF(LOANS!$B:$B,B419,LOANS!$I:$I)+ABS(PMT(IFERROR(VLOOKUP(B419,LOANS!$B:$G,6,0),12)/100/12,IFERROR(VLOOKUP(B419,LOANS!$B:$H,7,0),12),E419))),"")</f>
        <v/>
      </c>
      <c r="J419" s="44">
        <f>IF(B419="","","Active")</f>
        <v/>
      </c>
    </row>
    <row r="420" ht="20" customHeight="1">
      <c r="A420" s="47">
        <f>IF(B420="","","TU"&amp;TEXT(ROW()-2,"0000"))</f>
        <v/>
      </c>
      <c r="B420" s="26" t="n"/>
      <c r="C420" s="48">
        <f>IFERROR(IF(B420="","",VLOOKUP(B420,DATABASE!$A:$B,2,0)),"")</f>
        <v/>
      </c>
      <c r="D420" s="44">
        <f>IFERROR(IF(B420="","",VLOOKUP(B420,LOANS!$B:$A,1,0)),"")</f>
        <v/>
      </c>
      <c r="E420" s="29" t="n"/>
      <c r="F420" s="40">
        <f>IF(B420="","",TODAY())</f>
        <v/>
      </c>
      <c r="G420" s="30" t="n"/>
      <c r="H420" s="43">
        <f>IFERROR(IF(OR(B420="",E420=""),"",SUMIF(LOANS!$B:$B,B420,LOANS!$D:$D)+E420),"")</f>
        <v/>
      </c>
      <c r="I420" s="43">
        <f>IFERROR(IF(OR(B420="",E420=""),"",SUMIF(LOANS!$B:$B,B420,LOANS!$I:$I)+ABS(PMT(IFERROR(VLOOKUP(B420,LOANS!$B:$G,6,0),12)/100/12,IFERROR(VLOOKUP(B420,LOANS!$B:$H,7,0),12),E420))),"")</f>
        <v/>
      </c>
      <c r="J420" s="44">
        <f>IF(B420="","","Active")</f>
        <v/>
      </c>
    </row>
    <row r="421" ht="20" customHeight="1">
      <c r="A421" s="47">
        <f>IF(B421="","","TU"&amp;TEXT(ROW()-2,"0000"))</f>
        <v/>
      </c>
      <c r="B421" s="26" t="n"/>
      <c r="C421" s="48">
        <f>IFERROR(IF(B421="","",VLOOKUP(B421,DATABASE!$A:$B,2,0)),"")</f>
        <v/>
      </c>
      <c r="D421" s="44">
        <f>IFERROR(IF(B421="","",VLOOKUP(B421,LOANS!$B:$A,1,0)),"")</f>
        <v/>
      </c>
      <c r="E421" s="29" t="n"/>
      <c r="F421" s="40">
        <f>IF(B421="","",TODAY())</f>
        <v/>
      </c>
      <c r="G421" s="30" t="n"/>
      <c r="H421" s="43">
        <f>IFERROR(IF(OR(B421="",E421=""),"",SUMIF(LOANS!$B:$B,B421,LOANS!$D:$D)+E421),"")</f>
        <v/>
      </c>
      <c r="I421" s="43">
        <f>IFERROR(IF(OR(B421="",E421=""),"",SUMIF(LOANS!$B:$B,B421,LOANS!$I:$I)+ABS(PMT(IFERROR(VLOOKUP(B421,LOANS!$B:$G,6,0),12)/100/12,IFERROR(VLOOKUP(B421,LOANS!$B:$H,7,0),12),E421))),"")</f>
        <v/>
      </c>
      <c r="J421" s="44">
        <f>IF(B421="","","Active")</f>
        <v/>
      </c>
    </row>
    <row r="422" ht="20" customHeight="1">
      <c r="A422" s="47">
        <f>IF(B422="","","TU"&amp;TEXT(ROW()-2,"0000"))</f>
        <v/>
      </c>
      <c r="B422" s="26" t="n"/>
      <c r="C422" s="48">
        <f>IFERROR(IF(B422="","",VLOOKUP(B422,DATABASE!$A:$B,2,0)),"")</f>
        <v/>
      </c>
      <c r="D422" s="44">
        <f>IFERROR(IF(B422="","",VLOOKUP(B422,LOANS!$B:$A,1,0)),"")</f>
        <v/>
      </c>
      <c r="E422" s="29" t="n"/>
      <c r="F422" s="40">
        <f>IF(B422="","",TODAY())</f>
        <v/>
      </c>
      <c r="G422" s="30" t="n"/>
      <c r="H422" s="43">
        <f>IFERROR(IF(OR(B422="",E422=""),"",SUMIF(LOANS!$B:$B,B422,LOANS!$D:$D)+E422),"")</f>
        <v/>
      </c>
      <c r="I422" s="43">
        <f>IFERROR(IF(OR(B422="",E422=""),"",SUMIF(LOANS!$B:$B,B422,LOANS!$I:$I)+ABS(PMT(IFERROR(VLOOKUP(B422,LOANS!$B:$G,6,0),12)/100/12,IFERROR(VLOOKUP(B422,LOANS!$B:$H,7,0),12),E422))),"")</f>
        <v/>
      </c>
      <c r="J422" s="44">
        <f>IF(B422="","","Active")</f>
        <v/>
      </c>
    </row>
    <row r="423" ht="20" customHeight="1">
      <c r="A423" s="47">
        <f>IF(B423="","","TU"&amp;TEXT(ROW()-2,"0000"))</f>
        <v/>
      </c>
      <c r="B423" s="26" t="n"/>
      <c r="C423" s="48">
        <f>IFERROR(IF(B423="","",VLOOKUP(B423,DATABASE!$A:$B,2,0)),"")</f>
        <v/>
      </c>
      <c r="D423" s="44">
        <f>IFERROR(IF(B423="","",VLOOKUP(B423,LOANS!$B:$A,1,0)),"")</f>
        <v/>
      </c>
      <c r="E423" s="29" t="n"/>
      <c r="F423" s="40">
        <f>IF(B423="","",TODAY())</f>
        <v/>
      </c>
      <c r="G423" s="30" t="n"/>
      <c r="H423" s="43">
        <f>IFERROR(IF(OR(B423="",E423=""),"",SUMIF(LOANS!$B:$B,B423,LOANS!$D:$D)+E423),"")</f>
        <v/>
      </c>
      <c r="I423" s="43">
        <f>IFERROR(IF(OR(B423="",E423=""),"",SUMIF(LOANS!$B:$B,B423,LOANS!$I:$I)+ABS(PMT(IFERROR(VLOOKUP(B423,LOANS!$B:$G,6,0),12)/100/12,IFERROR(VLOOKUP(B423,LOANS!$B:$H,7,0),12),E423))),"")</f>
        <v/>
      </c>
      <c r="J423" s="44">
        <f>IF(B423="","","Active")</f>
        <v/>
      </c>
    </row>
    <row r="424" ht="20" customHeight="1">
      <c r="A424" s="47">
        <f>IF(B424="","","TU"&amp;TEXT(ROW()-2,"0000"))</f>
        <v/>
      </c>
      <c r="B424" s="26" t="n"/>
      <c r="C424" s="48">
        <f>IFERROR(IF(B424="","",VLOOKUP(B424,DATABASE!$A:$B,2,0)),"")</f>
        <v/>
      </c>
      <c r="D424" s="44">
        <f>IFERROR(IF(B424="","",VLOOKUP(B424,LOANS!$B:$A,1,0)),"")</f>
        <v/>
      </c>
      <c r="E424" s="29" t="n"/>
      <c r="F424" s="40">
        <f>IF(B424="","",TODAY())</f>
        <v/>
      </c>
      <c r="G424" s="30" t="n"/>
      <c r="H424" s="43">
        <f>IFERROR(IF(OR(B424="",E424=""),"",SUMIF(LOANS!$B:$B,B424,LOANS!$D:$D)+E424),"")</f>
        <v/>
      </c>
      <c r="I424" s="43">
        <f>IFERROR(IF(OR(B424="",E424=""),"",SUMIF(LOANS!$B:$B,B424,LOANS!$I:$I)+ABS(PMT(IFERROR(VLOOKUP(B424,LOANS!$B:$G,6,0),12)/100/12,IFERROR(VLOOKUP(B424,LOANS!$B:$H,7,0),12),E424))),"")</f>
        <v/>
      </c>
      <c r="J424" s="44">
        <f>IF(B424="","","Active")</f>
        <v/>
      </c>
    </row>
    <row r="425" ht="20" customHeight="1">
      <c r="A425" s="47">
        <f>IF(B425="","","TU"&amp;TEXT(ROW()-2,"0000"))</f>
        <v/>
      </c>
      <c r="B425" s="26" t="n"/>
      <c r="C425" s="48">
        <f>IFERROR(IF(B425="","",VLOOKUP(B425,DATABASE!$A:$B,2,0)),"")</f>
        <v/>
      </c>
      <c r="D425" s="44">
        <f>IFERROR(IF(B425="","",VLOOKUP(B425,LOANS!$B:$A,1,0)),"")</f>
        <v/>
      </c>
      <c r="E425" s="29" t="n"/>
      <c r="F425" s="40">
        <f>IF(B425="","",TODAY())</f>
        <v/>
      </c>
      <c r="G425" s="30" t="n"/>
      <c r="H425" s="43">
        <f>IFERROR(IF(OR(B425="",E425=""),"",SUMIF(LOANS!$B:$B,B425,LOANS!$D:$D)+E425),"")</f>
        <v/>
      </c>
      <c r="I425" s="43">
        <f>IFERROR(IF(OR(B425="",E425=""),"",SUMIF(LOANS!$B:$B,B425,LOANS!$I:$I)+ABS(PMT(IFERROR(VLOOKUP(B425,LOANS!$B:$G,6,0),12)/100/12,IFERROR(VLOOKUP(B425,LOANS!$B:$H,7,0),12),E425))),"")</f>
        <v/>
      </c>
      <c r="J425" s="44">
        <f>IF(B425="","","Active")</f>
        <v/>
      </c>
    </row>
    <row r="426" ht="20" customHeight="1">
      <c r="A426" s="47">
        <f>IF(B426="","","TU"&amp;TEXT(ROW()-2,"0000"))</f>
        <v/>
      </c>
      <c r="B426" s="26" t="n"/>
      <c r="C426" s="48">
        <f>IFERROR(IF(B426="","",VLOOKUP(B426,DATABASE!$A:$B,2,0)),"")</f>
        <v/>
      </c>
      <c r="D426" s="44">
        <f>IFERROR(IF(B426="","",VLOOKUP(B426,LOANS!$B:$A,1,0)),"")</f>
        <v/>
      </c>
      <c r="E426" s="29" t="n"/>
      <c r="F426" s="40">
        <f>IF(B426="","",TODAY())</f>
        <v/>
      </c>
      <c r="G426" s="30" t="n"/>
      <c r="H426" s="43">
        <f>IFERROR(IF(OR(B426="",E426=""),"",SUMIF(LOANS!$B:$B,B426,LOANS!$D:$D)+E426),"")</f>
        <v/>
      </c>
      <c r="I426" s="43">
        <f>IFERROR(IF(OR(B426="",E426=""),"",SUMIF(LOANS!$B:$B,B426,LOANS!$I:$I)+ABS(PMT(IFERROR(VLOOKUP(B426,LOANS!$B:$G,6,0),12)/100/12,IFERROR(VLOOKUP(B426,LOANS!$B:$H,7,0),12),E426))),"")</f>
        <v/>
      </c>
      <c r="J426" s="44">
        <f>IF(B426="","","Active")</f>
        <v/>
      </c>
    </row>
    <row r="427" ht="20" customHeight="1">
      <c r="A427" s="47">
        <f>IF(B427="","","TU"&amp;TEXT(ROW()-2,"0000"))</f>
        <v/>
      </c>
      <c r="B427" s="26" t="n"/>
      <c r="C427" s="48">
        <f>IFERROR(IF(B427="","",VLOOKUP(B427,DATABASE!$A:$B,2,0)),"")</f>
        <v/>
      </c>
      <c r="D427" s="44">
        <f>IFERROR(IF(B427="","",VLOOKUP(B427,LOANS!$B:$A,1,0)),"")</f>
        <v/>
      </c>
      <c r="E427" s="29" t="n"/>
      <c r="F427" s="40">
        <f>IF(B427="","",TODAY())</f>
        <v/>
      </c>
      <c r="G427" s="30" t="n"/>
      <c r="H427" s="43">
        <f>IFERROR(IF(OR(B427="",E427=""),"",SUMIF(LOANS!$B:$B,B427,LOANS!$D:$D)+E427),"")</f>
        <v/>
      </c>
      <c r="I427" s="43">
        <f>IFERROR(IF(OR(B427="",E427=""),"",SUMIF(LOANS!$B:$B,B427,LOANS!$I:$I)+ABS(PMT(IFERROR(VLOOKUP(B427,LOANS!$B:$G,6,0),12)/100/12,IFERROR(VLOOKUP(B427,LOANS!$B:$H,7,0),12),E427))),"")</f>
        <v/>
      </c>
      <c r="J427" s="44">
        <f>IF(B427="","","Active")</f>
        <v/>
      </c>
    </row>
    <row r="428" ht="20" customHeight="1">
      <c r="A428" s="47">
        <f>IF(B428="","","TU"&amp;TEXT(ROW()-2,"0000"))</f>
        <v/>
      </c>
      <c r="B428" s="26" t="n"/>
      <c r="C428" s="48">
        <f>IFERROR(IF(B428="","",VLOOKUP(B428,DATABASE!$A:$B,2,0)),"")</f>
        <v/>
      </c>
      <c r="D428" s="44">
        <f>IFERROR(IF(B428="","",VLOOKUP(B428,LOANS!$B:$A,1,0)),"")</f>
        <v/>
      </c>
      <c r="E428" s="29" t="n"/>
      <c r="F428" s="40">
        <f>IF(B428="","",TODAY())</f>
        <v/>
      </c>
      <c r="G428" s="30" t="n"/>
      <c r="H428" s="43">
        <f>IFERROR(IF(OR(B428="",E428=""),"",SUMIF(LOANS!$B:$B,B428,LOANS!$D:$D)+E428),"")</f>
        <v/>
      </c>
      <c r="I428" s="43">
        <f>IFERROR(IF(OR(B428="",E428=""),"",SUMIF(LOANS!$B:$B,B428,LOANS!$I:$I)+ABS(PMT(IFERROR(VLOOKUP(B428,LOANS!$B:$G,6,0),12)/100/12,IFERROR(VLOOKUP(B428,LOANS!$B:$H,7,0),12),E428))),"")</f>
        <v/>
      </c>
      <c r="J428" s="44">
        <f>IF(B428="","","Active")</f>
        <v/>
      </c>
    </row>
    <row r="429" ht="20" customHeight="1">
      <c r="A429" s="47">
        <f>IF(B429="","","TU"&amp;TEXT(ROW()-2,"0000"))</f>
        <v/>
      </c>
      <c r="B429" s="26" t="n"/>
      <c r="C429" s="48">
        <f>IFERROR(IF(B429="","",VLOOKUP(B429,DATABASE!$A:$B,2,0)),"")</f>
        <v/>
      </c>
      <c r="D429" s="44">
        <f>IFERROR(IF(B429="","",VLOOKUP(B429,LOANS!$B:$A,1,0)),"")</f>
        <v/>
      </c>
      <c r="E429" s="29" t="n"/>
      <c r="F429" s="40">
        <f>IF(B429="","",TODAY())</f>
        <v/>
      </c>
      <c r="G429" s="30" t="n"/>
      <c r="H429" s="43">
        <f>IFERROR(IF(OR(B429="",E429=""),"",SUMIF(LOANS!$B:$B,B429,LOANS!$D:$D)+E429),"")</f>
        <v/>
      </c>
      <c r="I429" s="43">
        <f>IFERROR(IF(OR(B429="",E429=""),"",SUMIF(LOANS!$B:$B,B429,LOANS!$I:$I)+ABS(PMT(IFERROR(VLOOKUP(B429,LOANS!$B:$G,6,0),12)/100/12,IFERROR(VLOOKUP(B429,LOANS!$B:$H,7,0),12),E429))),"")</f>
        <v/>
      </c>
      <c r="J429" s="44">
        <f>IF(B429="","","Active")</f>
        <v/>
      </c>
    </row>
    <row r="430" ht="20" customHeight="1">
      <c r="A430" s="47">
        <f>IF(B430="","","TU"&amp;TEXT(ROW()-2,"0000"))</f>
        <v/>
      </c>
      <c r="B430" s="26" t="n"/>
      <c r="C430" s="48">
        <f>IFERROR(IF(B430="","",VLOOKUP(B430,DATABASE!$A:$B,2,0)),"")</f>
        <v/>
      </c>
      <c r="D430" s="44">
        <f>IFERROR(IF(B430="","",VLOOKUP(B430,LOANS!$B:$A,1,0)),"")</f>
        <v/>
      </c>
      <c r="E430" s="29" t="n"/>
      <c r="F430" s="40">
        <f>IF(B430="","",TODAY())</f>
        <v/>
      </c>
      <c r="G430" s="30" t="n"/>
      <c r="H430" s="43">
        <f>IFERROR(IF(OR(B430="",E430=""),"",SUMIF(LOANS!$B:$B,B430,LOANS!$D:$D)+E430),"")</f>
        <v/>
      </c>
      <c r="I430" s="43">
        <f>IFERROR(IF(OR(B430="",E430=""),"",SUMIF(LOANS!$B:$B,B430,LOANS!$I:$I)+ABS(PMT(IFERROR(VLOOKUP(B430,LOANS!$B:$G,6,0),12)/100/12,IFERROR(VLOOKUP(B430,LOANS!$B:$H,7,0),12),E430))),"")</f>
        <v/>
      </c>
      <c r="J430" s="44">
        <f>IF(B430="","","Active")</f>
        <v/>
      </c>
    </row>
    <row r="431" ht="20" customHeight="1">
      <c r="A431" s="47">
        <f>IF(B431="","","TU"&amp;TEXT(ROW()-2,"0000"))</f>
        <v/>
      </c>
      <c r="B431" s="26" t="n"/>
      <c r="C431" s="48">
        <f>IFERROR(IF(B431="","",VLOOKUP(B431,DATABASE!$A:$B,2,0)),"")</f>
        <v/>
      </c>
      <c r="D431" s="44">
        <f>IFERROR(IF(B431="","",VLOOKUP(B431,LOANS!$B:$A,1,0)),"")</f>
        <v/>
      </c>
      <c r="E431" s="29" t="n"/>
      <c r="F431" s="40">
        <f>IF(B431="","",TODAY())</f>
        <v/>
      </c>
      <c r="G431" s="30" t="n"/>
      <c r="H431" s="43">
        <f>IFERROR(IF(OR(B431="",E431=""),"",SUMIF(LOANS!$B:$B,B431,LOANS!$D:$D)+E431),"")</f>
        <v/>
      </c>
      <c r="I431" s="43">
        <f>IFERROR(IF(OR(B431="",E431=""),"",SUMIF(LOANS!$B:$B,B431,LOANS!$I:$I)+ABS(PMT(IFERROR(VLOOKUP(B431,LOANS!$B:$G,6,0),12)/100/12,IFERROR(VLOOKUP(B431,LOANS!$B:$H,7,0),12),E431))),"")</f>
        <v/>
      </c>
      <c r="J431" s="44">
        <f>IF(B431="","","Active")</f>
        <v/>
      </c>
    </row>
    <row r="432" ht="20" customHeight="1">
      <c r="A432" s="47">
        <f>IF(B432="","","TU"&amp;TEXT(ROW()-2,"0000"))</f>
        <v/>
      </c>
      <c r="B432" s="26" t="n"/>
      <c r="C432" s="48">
        <f>IFERROR(IF(B432="","",VLOOKUP(B432,DATABASE!$A:$B,2,0)),"")</f>
        <v/>
      </c>
      <c r="D432" s="44">
        <f>IFERROR(IF(B432="","",VLOOKUP(B432,LOANS!$B:$A,1,0)),"")</f>
        <v/>
      </c>
      <c r="E432" s="29" t="n"/>
      <c r="F432" s="40">
        <f>IF(B432="","",TODAY())</f>
        <v/>
      </c>
      <c r="G432" s="30" t="n"/>
      <c r="H432" s="43">
        <f>IFERROR(IF(OR(B432="",E432=""),"",SUMIF(LOANS!$B:$B,B432,LOANS!$D:$D)+E432),"")</f>
        <v/>
      </c>
      <c r="I432" s="43">
        <f>IFERROR(IF(OR(B432="",E432=""),"",SUMIF(LOANS!$B:$B,B432,LOANS!$I:$I)+ABS(PMT(IFERROR(VLOOKUP(B432,LOANS!$B:$G,6,0),12)/100/12,IFERROR(VLOOKUP(B432,LOANS!$B:$H,7,0),12),E432))),"")</f>
        <v/>
      </c>
      <c r="J432" s="44">
        <f>IF(B432="","","Active")</f>
        <v/>
      </c>
    </row>
    <row r="433" ht="20" customHeight="1">
      <c r="A433" s="47">
        <f>IF(B433="","","TU"&amp;TEXT(ROW()-2,"0000"))</f>
        <v/>
      </c>
      <c r="B433" s="26" t="n"/>
      <c r="C433" s="48">
        <f>IFERROR(IF(B433="","",VLOOKUP(B433,DATABASE!$A:$B,2,0)),"")</f>
        <v/>
      </c>
      <c r="D433" s="44">
        <f>IFERROR(IF(B433="","",VLOOKUP(B433,LOANS!$B:$A,1,0)),"")</f>
        <v/>
      </c>
      <c r="E433" s="29" t="n"/>
      <c r="F433" s="40">
        <f>IF(B433="","",TODAY())</f>
        <v/>
      </c>
      <c r="G433" s="30" t="n"/>
      <c r="H433" s="43">
        <f>IFERROR(IF(OR(B433="",E433=""),"",SUMIF(LOANS!$B:$B,B433,LOANS!$D:$D)+E433),"")</f>
        <v/>
      </c>
      <c r="I433" s="43">
        <f>IFERROR(IF(OR(B433="",E433=""),"",SUMIF(LOANS!$B:$B,B433,LOANS!$I:$I)+ABS(PMT(IFERROR(VLOOKUP(B433,LOANS!$B:$G,6,0),12)/100/12,IFERROR(VLOOKUP(B433,LOANS!$B:$H,7,0),12),E433))),"")</f>
        <v/>
      </c>
      <c r="J433" s="44">
        <f>IF(B433="","","Active")</f>
        <v/>
      </c>
    </row>
    <row r="434" ht="20" customHeight="1">
      <c r="A434" s="47">
        <f>IF(B434="","","TU"&amp;TEXT(ROW()-2,"0000"))</f>
        <v/>
      </c>
      <c r="B434" s="26" t="n"/>
      <c r="C434" s="48">
        <f>IFERROR(IF(B434="","",VLOOKUP(B434,DATABASE!$A:$B,2,0)),"")</f>
        <v/>
      </c>
      <c r="D434" s="44">
        <f>IFERROR(IF(B434="","",VLOOKUP(B434,LOANS!$B:$A,1,0)),"")</f>
        <v/>
      </c>
      <c r="E434" s="29" t="n"/>
      <c r="F434" s="40">
        <f>IF(B434="","",TODAY())</f>
        <v/>
      </c>
      <c r="G434" s="30" t="n"/>
      <c r="H434" s="43">
        <f>IFERROR(IF(OR(B434="",E434=""),"",SUMIF(LOANS!$B:$B,B434,LOANS!$D:$D)+E434),"")</f>
        <v/>
      </c>
      <c r="I434" s="43">
        <f>IFERROR(IF(OR(B434="",E434=""),"",SUMIF(LOANS!$B:$B,B434,LOANS!$I:$I)+ABS(PMT(IFERROR(VLOOKUP(B434,LOANS!$B:$G,6,0),12)/100/12,IFERROR(VLOOKUP(B434,LOANS!$B:$H,7,0),12),E434))),"")</f>
        <v/>
      </c>
      <c r="J434" s="44">
        <f>IF(B434="","","Active")</f>
        <v/>
      </c>
    </row>
    <row r="435" ht="20" customHeight="1">
      <c r="A435" s="47">
        <f>IF(B435="","","TU"&amp;TEXT(ROW()-2,"0000"))</f>
        <v/>
      </c>
      <c r="B435" s="26" t="n"/>
      <c r="C435" s="48">
        <f>IFERROR(IF(B435="","",VLOOKUP(B435,DATABASE!$A:$B,2,0)),"")</f>
        <v/>
      </c>
      <c r="D435" s="44">
        <f>IFERROR(IF(B435="","",VLOOKUP(B435,LOANS!$B:$A,1,0)),"")</f>
        <v/>
      </c>
      <c r="E435" s="29" t="n"/>
      <c r="F435" s="40">
        <f>IF(B435="","",TODAY())</f>
        <v/>
      </c>
      <c r="G435" s="30" t="n"/>
      <c r="H435" s="43">
        <f>IFERROR(IF(OR(B435="",E435=""),"",SUMIF(LOANS!$B:$B,B435,LOANS!$D:$D)+E435),"")</f>
        <v/>
      </c>
      <c r="I435" s="43">
        <f>IFERROR(IF(OR(B435="",E435=""),"",SUMIF(LOANS!$B:$B,B435,LOANS!$I:$I)+ABS(PMT(IFERROR(VLOOKUP(B435,LOANS!$B:$G,6,0),12)/100/12,IFERROR(VLOOKUP(B435,LOANS!$B:$H,7,0),12),E435))),"")</f>
        <v/>
      </c>
      <c r="J435" s="44">
        <f>IF(B435="","","Active")</f>
        <v/>
      </c>
    </row>
    <row r="436" ht="20" customHeight="1">
      <c r="A436" s="47">
        <f>IF(B436="","","TU"&amp;TEXT(ROW()-2,"0000"))</f>
        <v/>
      </c>
      <c r="B436" s="26" t="n"/>
      <c r="C436" s="48">
        <f>IFERROR(IF(B436="","",VLOOKUP(B436,DATABASE!$A:$B,2,0)),"")</f>
        <v/>
      </c>
      <c r="D436" s="44">
        <f>IFERROR(IF(B436="","",VLOOKUP(B436,LOANS!$B:$A,1,0)),"")</f>
        <v/>
      </c>
      <c r="E436" s="29" t="n"/>
      <c r="F436" s="40">
        <f>IF(B436="","",TODAY())</f>
        <v/>
      </c>
      <c r="G436" s="30" t="n"/>
      <c r="H436" s="43">
        <f>IFERROR(IF(OR(B436="",E436=""),"",SUMIF(LOANS!$B:$B,B436,LOANS!$D:$D)+E436),"")</f>
        <v/>
      </c>
      <c r="I436" s="43">
        <f>IFERROR(IF(OR(B436="",E436=""),"",SUMIF(LOANS!$B:$B,B436,LOANS!$I:$I)+ABS(PMT(IFERROR(VLOOKUP(B436,LOANS!$B:$G,6,0),12)/100/12,IFERROR(VLOOKUP(B436,LOANS!$B:$H,7,0),12),E436))),"")</f>
        <v/>
      </c>
      <c r="J436" s="44">
        <f>IF(B436="","","Active")</f>
        <v/>
      </c>
    </row>
    <row r="437" ht="20" customHeight="1">
      <c r="A437" s="47">
        <f>IF(B437="","","TU"&amp;TEXT(ROW()-2,"0000"))</f>
        <v/>
      </c>
      <c r="B437" s="26" t="n"/>
      <c r="C437" s="48">
        <f>IFERROR(IF(B437="","",VLOOKUP(B437,DATABASE!$A:$B,2,0)),"")</f>
        <v/>
      </c>
      <c r="D437" s="44">
        <f>IFERROR(IF(B437="","",VLOOKUP(B437,LOANS!$B:$A,1,0)),"")</f>
        <v/>
      </c>
      <c r="E437" s="29" t="n"/>
      <c r="F437" s="40">
        <f>IF(B437="","",TODAY())</f>
        <v/>
      </c>
      <c r="G437" s="30" t="n"/>
      <c r="H437" s="43">
        <f>IFERROR(IF(OR(B437="",E437=""),"",SUMIF(LOANS!$B:$B,B437,LOANS!$D:$D)+E437),"")</f>
        <v/>
      </c>
      <c r="I437" s="43">
        <f>IFERROR(IF(OR(B437="",E437=""),"",SUMIF(LOANS!$B:$B,B437,LOANS!$I:$I)+ABS(PMT(IFERROR(VLOOKUP(B437,LOANS!$B:$G,6,0),12)/100/12,IFERROR(VLOOKUP(B437,LOANS!$B:$H,7,0),12),E437))),"")</f>
        <v/>
      </c>
      <c r="J437" s="44">
        <f>IF(B437="","","Active")</f>
        <v/>
      </c>
    </row>
    <row r="438" ht="20" customHeight="1">
      <c r="A438" s="47">
        <f>IF(B438="","","TU"&amp;TEXT(ROW()-2,"0000"))</f>
        <v/>
      </c>
      <c r="B438" s="26" t="n"/>
      <c r="C438" s="48">
        <f>IFERROR(IF(B438="","",VLOOKUP(B438,DATABASE!$A:$B,2,0)),"")</f>
        <v/>
      </c>
      <c r="D438" s="44">
        <f>IFERROR(IF(B438="","",VLOOKUP(B438,LOANS!$B:$A,1,0)),"")</f>
        <v/>
      </c>
      <c r="E438" s="29" t="n"/>
      <c r="F438" s="40">
        <f>IF(B438="","",TODAY())</f>
        <v/>
      </c>
      <c r="G438" s="30" t="n"/>
      <c r="H438" s="43">
        <f>IFERROR(IF(OR(B438="",E438=""),"",SUMIF(LOANS!$B:$B,B438,LOANS!$D:$D)+E438),"")</f>
        <v/>
      </c>
      <c r="I438" s="43">
        <f>IFERROR(IF(OR(B438="",E438=""),"",SUMIF(LOANS!$B:$B,B438,LOANS!$I:$I)+ABS(PMT(IFERROR(VLOOKUP(B438,LOANS!$B:$G,6,0),12)/100/12,IFERROR(VLOOKUP(B438,LOANS!$B:$H,7,0),12),E438))),"")</f>
        <v/>
      </c>
      <c r="J438" s="44">
        <f>IF(B438="","","Active")</f>
        <v/>
      </c>
    </row>
    <row r="439" ht="20" customHeight="1">
      <c r="A439" s="47">
        <f>IF(B439="","","TU"&amp;TEXT(ROW()-2,"0000"))</f>
        <v/>
      </c>
      <c r="B439" s="26" t="n"/>
      <c r="C439" s="48">
        <f>IFERROR(IF(B439="","",VLOOKUP(B439,DATABASE!$A:$B,2,0)),"")</f>
        <v/>
      </c>
      <c r="D439" s="44">
        <f>IFERROR(IF(B439="","",VLOOKUP(B439,LOANS!$B:$A,1,0)),"")</f>
        <v/>
      </c>
      <c r="E439" s="29" t="n"/>
      <c r="F439" s="40">
        <f>IF(B439="","",TODAY())</f>
        <v/>
      </c>
      <c r="G439" s="30" t="n"/>
      <c r="H439" s="43">
        <f>IFERROR(IF(OR(B439="",E439=""),"",SUMIF(LOANS!$B:$B,B439,LOANS!$D:$D)+E439),"")</f>
        <v/>
      </c>
      <c r="I439" s="43">
        <f>IFERROR(IF(OR(B439="",E439=""),"",SUMIF(LOANS!$B:$B,B439,LOANS!$I:$I)+ABS(PMT(IFERROR(VLOOKUP(B439,LOANS!$B:$G,6,0),12)/100/12,IFERROR(VLOOKUP(B439,LOANS!$B:$H,7,0),12),E439))),"")</f>
        <v/>
      </c>
      <c r="J439" s="44">
        <f>IF(B439="","","Active")</f>
        <v/>
      </c>
    </row>
    <row r="440" ht="20" customHeight="1">
      <c r="A440" s="47">
        <f>IF(B440="","","TU"&amp;TEXT(ROW()-2,"0000"))</f>
        <v/>
      </c>
      <c r="B440" s="26" t="n"/>
      <c r="C440" s="48">
        <f>IFERROR(IF(B440="","",VLOOKUP(B440,DATABASE!$A:$B,2,0)),"")</f>
        <v/>
      </c>
      <c r="D440" s="44">
        <f>IFERROR(IF(B440="","",VLOOKUP(B440,LOANS!$B:$A,1,0)),"")</f>
        <v/>
      </c>
      <c r="E440" s="29" t="n"/>
      <c r="F440" s="40">
        <f>IF(B440="","",TODAY())</f>
        <v/>
      </c>
      <c r="G440" s="30" t="n"/>
      <c r="H440" s="43">
        <f>IFERROR(IF(OR(B440="",E440=""),"",SUMIF(LOANS!$B:$B,B440,LOANS!$D:$D)+E440),"")</f>
        <v/>
      </c>
      <c r="I440" s="43">
        <f>IFERROR(IF(OR(B440="",E440=""),"",SUMIF(LOANS!$B:$B,B440,LOANS!$I:$I)+ABS(PMT(IFERROR(VLOOKUP(B440,LOANS!$B:$G,6,0),12)/100/12,IFERROR(VLOOKUP(B440,LOANS!$B:$H,7,0),12),E440))),"")</f>
        <v/>
      </c>
      <c r="J440" s="44">
        <f>IF(B440="","","Active")</f>
        <v/>
      </c>
    </row>
    <row r="441" ht="20" customHeight="1">
      <c r="A441" s="47">
        <f>IF(B441="","","TU"&amp;TEXT(ROW()-2,"0000"))</f>
        <v/>
      </c>
      <c r="B441" s="26" t="n"/>
      <c r="C441" s="48">
        <f>IFERROR(IF(B441="","",VLOOKUP(B441,DATABASE!$A:$B,2,0)),"")</f>
        <v/>
      </c>
      <c r="D441" s="44">
        <f>IFERROR(IF(B441="","",VLOOKUP(B441,LOANS!$B:$A,1,0)),"")</f>
        <v/>
      </c>
      <c r="E441" s="29" t="n"/>
      <c r="F441" s="40">
        <f>IF(B441="","",TODAY())</f>
        <v/>
      </c>
      <c r="G441" s="30" t="n"/>
      <c r="H441" s="43">
        <f>IFERROR(IF(OR(B441="",E441=""),"",SUMIF(LOANS!$B:$B,B441,LOANS!$D:$D)+E441),"")</f>
        <v/>
      </c>
      <c r="I441" s="43">
        <f>IFERROR(IF(OR(B441="",E441=""),"",SUMIF(LOANS!$B:$B,B441,LOANS!$I:$I)+ABS(PMT(IFERROR(VLOOKUP(B441,LOANS!$B:$G,6,0),12)/100/12,IFERROR(VLOOKUP(B441,LOANS!$B:$H,7,0),12),E441))),"")</f>
        <v/>
      </c>
      <c r="J441" s="44">
        <f>IF(B441="","","Active")</f>
        <v/>
      </c>
    </row>
    <row r="442" ht="20" customHeight="1">
      <c r="A442" s="47">
        <f>IF(B442="","","TU"&amp;TEXT(ROW()-2,"0000"))</f>
        <v/>
      </c>
      <c r="B442" s="26" t="n"/>
      <c r="C442" s="48">
        <f>IFERROR(IF(B442="","",VLOOKUP(B442,DATABASE!$A:$B,2,0)),"")</f>
        <v/>
      </c>
      <c r="D442" s="44">
        <f>IFERROR(IF(B442="","",VLOOKUP(B442,LOANS!$B:$A,1,0)),"")</f>
        <v/>
      </c>
      <c r="E442" s="29" t="n"/>
      <c r="F442" s="40">
        <f>IF(B442="","",TODAY())</f>
        <v/>
      </c>
      <c r="G442" s="30" t="n"/>
      <c r="H442" s="43">
        <f>IFERROR(IF(OR(B442="",E442=""),"",SUMIF(LOANS!$B:$B,B442,LOANS!$D:$D)+E442),"")</f>
        <v/>
      </c>
      <c r="I442" s="43">
        <f>IFERROR(IF(OR(B442="",E442=""),"",SUMIF(LOANS!$B:$B,B442,LOANS!$I:$I)+ABS(PMT(IFERROR(VLOOKUP(B442,LOANS!$B:$G,6,0),12)/100/12,IFERROR(VLOOKUP(B442,LOANS!$B:$H,7,0),12),E442))),"")</f>
        <v/>
      </c>
      <c r="J442" s="44">
        <f>IF(B442="","","Active")</f>
        <v/>
      </c>
    </row>
    <row r="443" ht="20" customHeight="1">
      <c r="A443" s="47">
        <f>IF(B443="","","TU"&amp;TEXT(ROW()-2,"0000"))</f>
        <v/>
      </c>
      <c r="B443" s="26" t="n"/>
      <c r="C443" s="48">
        <f>IFERROR(IF(B443="","",VLOOKUP(B443,DATABASE!$A:$B,2,0)),"")</f>
        <v/>
      </c>
      <c r="D443" s="44">
        <f>IFERROR(IF(B443="","",VLOOKUP(B443,LOANS!$B:$A,1,0)),"")</f>
        <v/>
      </c>
      <c r="E443" s="29" t="n"/>
      <c r="F443" s="40">
        <f>IF(B443="","",TODAY())</f>
        <v/>
      </c>
      <c r="G443" s="30" t="n"/>
      <c r="H443" s="43">
        <f>IFERROR(IF(OR(B443="",E443=""),"",SUMIF(LOANS!$B:$B,B443,LOANS!$D:$D)+E443),"")</f>
        <v/>
      </c>
      <c r="I443" s="43">
        <f>IFERROR(IF(OR(B443="",E443=""),"",SUMIF(LOANS!$B:$B,B443,LOANS!$I:$I)+ABS(PMT(IFERROR(VLOOKUP(B443,LOANS!$B:$G,6,0),12)/100/12,IFERROR(VLOOKUP(B443,LOANS!$B:$H,7,0),12),E443))),"")</f>
        <v/>
      </c>
      <c r="J443" s="44">
        <f>IF(B443="","","Active")</f>
        <v/>
      </c>
    </row>
    <row r="444" ht="20" customHeight="1">
      <c r="A444" s="47">
        <f>IF(B444="","","TU"&amp;TEXT(ROW()-2,"0000"))</f>
        <v/>
      </c>
      <c r="B444" s="26" t="n"/>
      <c r="C444" s="48">
        <f>IFERROR(IF(B444="","",VLOOKUP(B444,DATABASE!$A:$B,2,0)),"")</f>
        <v/>
      </c>
      <c r="D444" s="44">
        <f>IFERROR(IF(B444="","",VLOOKUP(B444,LOANS!$B:$A,1,0)),"")</f>
        <v/>
      </c>
      <c r="E444" s="29" t="n"/>
      <c r="F444" s="40">
        <f>IF(B444="","",TODAY())</f>
        <v/>
      </c>
      <c r="G444" s="30" t="n"/>
      <c r="H444" s="43">
        <f>IFERROR(IF(OR(B444="",E444=""),"",SUMIF(LOANS!$B:$B,B444,LOANS!$D:$D)+E444),"")</f>
        <v/>
      </c>
      <c r="I444" s="43">
        <f>IFERROR(IF(OR(B444="",E444=""),"",SUMIF(LOANS!$B:$B,B444,LOANS!$I:$I)+ABS(PMT(IFERROR(VLOOKUP(B444,LOANS!$B:$G,6,0),12)/100/12,IFERROR(VLOOKUP(B444,LOANS!$B:$H,7,0),12),E444))),"")</f>
        <v/>
      </c>
      <c r="J444" s="44">
        <f>IF(B444="","","Active")</f>
        <v/>
      </c>
    </row>
    <row r="445" ht="20" customHeight="1">
      <c r="A445" s="47">
        <f>IF(B445="","","TU"&amp;TEXT(ROW()-2,"0000"))</f>
        <v/>
      </c>
      <c r="B445" s="26" t="n"/>
      <c r="C445" s="48">
        <f>IFERROR(IF(B445="","",VLOOKUP(B445,DATABASE!$A:$B,2,0)),"")</f>
        <v/>
      </c>
      <c r="D445" s="44">
        <f>IFERROR(IF(B445="","",VLOOKUP(B445,LOANS!$B:$A,1,0)),"")</f>
        <v/>
      </c>
      <c r="E445" s="29" t="n"/>
      <c r="F445" s="40">
        <f>IF(B445="","",TODAY())</f>
        <v/>
      </c>
      <c r="G445" s="30" t="n"/>
      <c r="H445" s="43">
        <f>IFERROR(IF(OR(B445="",E445=""),"",SUMIF(LOANS!$B:$B,B445,LOANS!$D:$D)+E445),"")</f>
        <v/>
      </c>
      <c r="I445" s="43">
        <f>IFERROR(IF(OR(B445="",E445=""),"",SUMIF(LOANS!$B:$B,B445,LOANS!$I:$I)+ABS(PMT(IFERROR(VLOOKUP(B445,LOANS!$B:$G,6,0),12)/100/12,IFERROR(VLOOKUP(B445,LOANS!$B:$H,7,0),12),E445))),"")</f>
        <v/>
      </c>
      <c r="J445" s="44">
        <f>IF(B445="","","Active")</f>
        <v/>
      </c>
    </row>
    <row r="446" ht="20" customHeight="1">
      <c r="A446" s="47">
        <f>IF(B446="","","TU"&amp;TEXT(ROW()-2,"0000"))</f>
        <v/>
      </c>
      <c r="B446" s="26" t="n"/>
      <c r="C446" s="48">
        <f>IFERROR(IF(B446="","",VLOOKUP(B446,DATABASE!$A:$B,2,0)),"")</f>
        <v/>
      </c>
      <c r="D446" s="44">
        <f>IFERROR(IF(B446="","",VLOOKUP(B446,LOANS!$B:$A,1,0)),"")</f>
        <v/>
      </c>
      <c r="E446" s="29" t="n"/>
      <c r="F446" s="40">
        <f>IF(B446="","",TODAY())</f>
        <v/>
      </c>
      <c r="G446" s="30" t="n"/>
      <c r="H446" s="43">
        <f>IFERROR(IF(OR(B446="",E446=""),"",SUMIF(LOANS!$B:$B,B446,LOANS!$D:$D)+E446),"")</f>
        <v/>
      </c>
      <c r="I446" s="43">
        <f>IFERROR(IF(OR(B446="",E446=""),"",SUMIF(LOANS!$B:$B,B446,LOANS!$I:$I)+ABS(PMT(IFERROR(VLOOKUP(B446,LOANS!$B:$G,6,0),12)/100/12,IFERROR(VLOOKUP(B446,LOANS!$B:$H,7,0),12),E446))),"")</f>
        <v/>
      </c>
      <c r="J446" s="44">
        <f>IF(B446="","","Active")</f>
        <v/>
      </c>
    </row>
    <row r="447" ht="20" customHeight="1">
      <c r="A447" s="47">
        <f>IF(B447="","","TU"&amp;TEXT(ROW()-2,"0000"))</f>
        <v/>
      </c>
      <c r="B447" s="26" t="n"/>
      <c r="C447" s="48">
        <f>IFERROR(IF(B447="","",VLOOKUP(B447,DATABASE!$A:$B,2,0)),"")</f>
        <v/>
      </c>
      <c r="D447" s="44">
        <f>IFERROR(IF(B447="","",VLOOKUP(B447,LOANS!$B:$A,1,0)),"")</f>
        <v/>
      </c>
      <c r="E447" s="29" t="n"/>
      <c r="F447" s="40">
        <f>IF(B447="","",TODAY())</f>
        <v/>
      </c>
      <c r="G447" s="30" t="n"/>
      <c r="H447" s="43">
        <f>IFERROR(IF(OR(B447="",E447=""),"",SUMIF(LOANS!$B:$B,B447,LOANS!$D:$D)+E447),"")</f>
        <v/>
      </c>
      <c r="I447" s="43">
        <f>IFERROR(IF(OR(B447="",E447=""),"",SUMIF(LOANS!$B:$B,B447,LOANS!$I:$I)+ABS(PMT(IFERROR(VLOOKUP(B447,LOANS!$B:$G,6,0),12)/100/12,IFERROR(VLOOKUP(B447,LOANS!$B:$H,7,0),12),E447))),"")</f>
        <v/>
      </c>
      <c r="J447" s="44">
        <f>IF(B447="","","Active")</f>
        <v/>
      </c>
    </row>
    <row r="448" ht="20" customHeight="1">
      <c r="A448" s="47">
        <f>IF(B448="","","TU"&amp;TEXT(ROW()-2,"0000"))</f>
        <v/>
      </c>
      <c r="B448" s="26" t="n"/>
      <c r="C448" s="48">
        <f>IFERROR(IF(B448="","",VLOOKUP(B448,DATABASE!$A:$B,2,0)),"")</f>
        <v/>
      </c>
      <c r="D448" s="44">
        <f>IFERROR(IF(B448="","",VLOOKUP(B448,LOANS!$B:$A,1,0)),"")</f>
        <v/>
      </c>
      <c r="E448" s="29" t="n"/>
      <c r="F448" s="40">
        <f>IF(B448="","",TODAY())</f>
        <v/>
      </c>
      <c r="G448" s="30" t="n"/>
      <c r="H448" s="43">
        <f>IFERROR(IF(OR(B448="",E448=""),"",SUMIF(LOANS!$B:$B,B448,LOANS!$D:$D)+E448),"")</f>
        <v/>
      </c>
      <c r="I448" s="43">
        <f>IFERROR(IF(OR(B448="",E448=""),"",SUMIF(LOANS!$B:$B,B448,LOANS!$I:$I)+ABS(PMT(IFERROR(VLOOKUP(B448,LOANS!$B:$G,6,0),12)/100/12,IFERROR(VLOOKUP(B448,LOANS!$B:$H,7,0),12),E448))),"")</f>
        <v/>
      </c>
      <c r="J448" s="44">
        <f>IF(B448="","","Active")</f>
        <v/>
      </c>
    </row>
    <row r="449" ht="20" customHeight="1">
      <c r="A449" s="47">
        <f>IF(B449="","","TU"&amp;TEXT(ROW()-2,"0000"))</f>
        <v/>
      </c>
      <c r="B449" s="26" t="n"/>
      <c r="C449" s="48">
        <f>IFERROR(IF(B449="","",VLOOKUP(B449,DATABASE!$A:$B,2,0)),"")</f>
        <v/>
      </c>
      <c r="D449" s="44">
        <f>IFERROR(IF(B449="","",VLOOKUP(B449,LOANS!$B:$A,1,0)),"")</f>
        <v/>
      </c>
      <c r="E449" s="29" t="n"/>
      <c r="F449" s="40">
        <f>IF(B449="","",TODAY())</f>
        <v/>
      </c>
      <c r="G449" s="30" t="n"/>
      <c r="H449" s="43">
        <f>IFERROR(IF(OR(B449="",E449=""),"",SUMIF(LOANS!$B:$B,B449,LOANS!$D:$D)+E449),"")</f>
        <v/>
      </c>
      <c r="I449" s="43">
        <f>IFERROR(IF(OR(B449="",E449=""),"",SUMIF(LOANS!$B:$B,B449,LOANS!$I:$I)+ABS(PMT(IFERROR(VLOOKUP(B449,LOANS!$B:$G,6,0),12)/100/12,IFERROR(VLOOKUP(B449,LOANS!$B:$H,7,0),12),E449))),"")</f>
        <v/>
      </c>
      <c r="J449" s="44">
        <f>IF(B449="","","Active")</f>
        <v/>
      </c>
    </row>
    <row r="450" ht="20" customHeight="1">
      <c r="A450" s="47">
        <f>IF(B450="","","TU"&amp;TEXT(ROW()-2,"0000"))</f>
        <v/>
      </c>
      <c r="B450" s="26" t="n"/>
      <c r="C450" s="48">
        <f>IFERROR(IF(B450="","",VLOOKUP(B450,DATABASE!$A:$B,2,0)),"")</f>
        <v/>
      </c>
      <c r="D450" s="44">
        <f>IFERROR(IF(B450="","",VLOOKUP(B450,LOANS!$B:$A,1,0)),"")</f>
        <v/>
      </c>
      <c r="E450" s="29" t="n"/>
      <c r="F450" s="40">
        <f>IF(B450="","",TODAY())</f>
        <v/>
      </c>
      <c r="G450" s="30" t="n"/>
      <c r="H450" s="43">
        <f>IFERROR(IF(OR(B450="",E450=""),"",SUMIF(LOANS!$B:$B,B450,LOANS!$D:$D)+E450),"")</f>
        <v/>
      </c>
      <c r="I450" s="43">
        <f>IFERROR(IF(OR(B450="",E450=""),"",SUMIF(LOANS!$B:$B,B450,LOANS!$I:$I)+ABS(PMT(IFERROR(VLOOKUP(B450,LOANS!$B:$G,6,0),12)/100/12,IFERROR(VLOOKUP(B450,LOANS!$B:$H,7,0),12),E450))),"")</f>
        <v/>
      </c>
      <c r="J450" s="44">
        <f>IF(B450="","","Active")</f>
        <v/>
      </c>
    </row>
    <row r="451" ht="20" customHeight="1">
      <c r="A451" s="47">
        <f>IF(B451="","","TU"&amp;TEXT(ROW()-2,"0000"))</f>
        <v/>
      </c>
      <c r="B451" s="26" t="n"/>
      <c r="C451" s="48">
        <f>IFERROR(IF(B451="","",VLOOKUP(B451,DATABASE!$A:$B,2,0)),"")</f>
        <v/>
      </c>
      <c r="D451" s="44">
        <f>IFERROR(IF(B451="","",VLOOKUP(B451,LOANS!$B:$A,1,0)),"")</f>
        <v/>
      </c>
      <c r="E451" s="29" t="n"/>
      <c r="F451" s="40">
        <f>IF(B451="","",TODAY())</f>
        <v/>
      </c>
      <c r="G451" s="30" t="n"/>
      <c r="H451" s="43">
        <f>IFERROR(IF(OR(B451="",E451=""),"",SUMIF(LOANS!$B:$B,B451,LOANS!$D:$D)+E451),"")</f>
        <v/>
      </c>
      <c r="I451" s="43">
        <f>IFERROR(IF(OR(B451="",E451=""),"",SUMIF(LOANS!$B:$B,B451,LOANS!$I:$I)+ABS(PMT(IFERROR(VLOOKUP(B451,LOANS!$B:$G,6,0),12)/100/12,IFERROR(VLOOKUP(B451,LOANS!$B:$H,7,0),12),E451))),"")</f>
        <v/>
      </c>
      <c r="J451" s="44">
        <f>IF(B451="","","Active")</f>
        <v/>
      </c>
    </row>
    <row r="452" ht="20" customHeight="1">
      <c r="A452" s="47">
        <f>IF(B452="","","TU"&amp;TEXT(ROW()-2,"0000"))</f>
        <v/>
      </c>
      <c r="B452" s="26" t="n"/>
      <c r="C452" s="48">
        <f>IFERROR(IF(B452="","",VLOOKUP(B452,DATABASE!$A:$B,2,0)),"")</f>
        <v/>
      </c>
      <c r="D452" s="44">
        <f>IFERROR(IF(B452="","",VLOOKUP(B452,LOANS!$B:$A,1,0)),"")</f>
        <v/>
      </c>
      <c r="E452" s="29" t="n"/>
      <c r="F452" s="40">
        <f>IF(B452="","",TODAY())</f>
        <v/>
      </c>
      <c r="G452" s="30" t="n"/>
      <c r="H452" s="43">
        <f>IFERROR(IF(OR(B452="",E452=""),"",SUMIF(LOANS!$B:$B,B452,LOANS!$D:$D)+E452),"")</f>
        <v/>
      </c>
      <c r="I452" s="43">
        <f>IFERROR(IF(OR(B452="",E452=""),"",SUMIF(LOANS!$B:$B,B452,LOANS!$I:$I)+ABS(PMT(IFERROR(VLOOKUP(B452,LOANS!$B:$G,6,0),12)/100/12,IFERROR(VLOOKUP(B452,LOANS!$B:$H,7,0),12),E452))),"")</f>
        <v/>
      </c>
      <c r="J452" s="44">
        <f>IF(B452="","","Active")</f>
        <v/>
      </c>
    </row>
    <row r="453" ht="20" customHeight="1">
      <c r="A453" s="47">
        <f>IF(B453="","","TU"&amp;TEXT(ROW()-2,"0000"))</f>
        <v/>
      </c>
      <c r="B453" s="26" t="n"/>
      <c r="C453" s="48">
        <f>IFERROR(IF(B453="","",VLOOKUP(B453,DATABASE!$A:$B,2,0)),"")</f>
        <v/>
      </c>
      <c r="D453" s="44">
        <f>IFERROR(IF(B453="","",VLOOKUP(B453,LOANS!$B:$A,1,0)),"")</f>
        <v/>
      </c>
      <c r="E453" s="29" t="n"/>
      <c r="F453" s="40">
        <f>IF(B453="","",TODAY())</f>
        <v/>
      </c>
      <c r="G453" s="30" t="n"/>
      <c r="H453" s="43">
        <f>IFERROR(IF(OR(B453="",E453=""),"",SUMIF(LOANS!$B:$B,B453,LOANS!$D:$D)+E453),"")</f>
        <v/>
      </c>
      <c r="I453" s="43">
        <f>IFERROR(IF(OR(B453="",E453=""),"",SUMIF(LOANS!$B:$B,B453,LOANS!$I:$I)+ABS(PMT(IFERROR(VLOOKUP(B453,LOANS!$B:$G,6,0),12)/100/12,IFERROR(VLOOKUP(B453,LOANS!$B:$H,7,0),12),E453))),"")</f>
        <v/>
      </c>
      <c r="J453" s="44">
        <f>IF(B453="","","Active")</f>
        <v/>
      </c>
    </row>
    <row r="454" ht="20" customHeight="1">
      <c r="A454" s="47">
        <f>IF(B454="","","TU"&amp;TEXT(ROW()-2,"0000"))</f>
        <v/>
      </c>
      <c r="B454" s="26" t="n"/>
      <c r="C454" s="48">
        <f>IFERROR(IF(B454="","",VLOOKUP(B454,DATABASE!$A:$B,2,0)),"")</f>
        <v/>
      </c>
      <c r="D454" s="44">
        <f>IFERROR(IF(B454="","",VLOOKUP(B454,LOANS!$B:$A,1,0)),"")</f>
        <v/>
      </c>
      <c r="E454" s="29" t="n"/>
      <c r="F454" s="40">
        <f>IF(B454="","",TODAY())</f>
        <v/>
      </c>
      <c r="G454" s="30" t="n"/>
      <c r="H454" s="43">
        <f>IFERROR(IF(OR(B454="",E454=""),"",SUMIF(LOANS!$B:$B,B454,LOANS!$D:$D)+E454),"")</f>
        <v/>
      </c>
      <c r="I454" s="43">
        <f>IFERROR(IF(OR(B454="",E454=""),"",SUMIF(LOANS!$B:$B,B454,LOANS!$I:$I)+ABS(PMT(IFERROR(VLOOKUP(B454,LOANS!$B:$G,6,0),12)/100/12,IFERROR(VLOOKUP(B454,LOANS!$B:$H,7,0),12),E454))),"")</f>
        <v/>
      </c>
      <c r="J454" s="44">
        <f>IF(B454="","","Active")</f>
        <v/>
      </c>
    </row>
    <row r="455" ht="20" customHeight="1">
      <c r="A455" s="47">
        <f>IF(B455="","","TU"&amp;TEXT(ROW()-2,"0000"))</f>
        <v/>
      </c>
      <c r="B455" s="26" t="n"/>
      <c r="C455" s="48">
        <f>IFERROR(IF(B455="","",VLOOKUP(B455,DATABASE!$A:$B,2,0)),"")</f>
        <v/>
      </c>
      <c r="D455" s="44">
        <f>IFERROR(IF(B455="","",VLOOKUP(B455,LOANS!$B:$A,1,0)),"")</f>
        <v/>
      </c>
      <c r="E455" s="29" t="n"/>
      <c r="F455" s="40">
        <f>IF(B455="","",TODAY())</f>
        <v/>
      </c>
      <c r="G455" s="30" t="n"/>
      <c r="H455" s="43">
        <f>IFERROR(IF(OR(B455="",E455=""),"",SUMIF(LOANS!$B:$B,B455,LOANS!$D:$D)+E455),"")</f>
        <v/>
      </c>
      <c r="I455" s="43">
        <f>IFERROR(IF(OR(B455="",E455=""),"",SUMIF(LOANS!$B:$B,B455,LOANS!$I:$I)+ABS(PMT(IFERROR(VLOOKUP(B455,LOANS!$B:$G,6,0),12)/100/12,IFERROR(VLOOKUP(B455,LOANS!$B:$H,7,0),12),E455))),"")</f>
        <v/>
      </c>
      <c r="J455" s="44">
        <f>IF(B455="","","Active")</f>
        <v/>
      </c>
    </row>
    <row r="456" ht="20" customHeight="1">
      <c r="A456" s="47">
        <f>IF(B456="","","TU"&amp;TEXT(ROW()-2,"0000"))</f>
        <v/>
      </c>
      <c r="B456" s="26" t="n"/>
      <c r="C456" s="48">
        <f>IFERROR(IF(B456="","",VLOOKUP(B456,DATABASE!$A:$B,2,0)),"")</f>
        <v/>
      </c>
      <c r="D456" s="44">
        <f>IFERROR(IF(B456="","",VLOOKUP(B456,LOANS!$B:$A,1,0)),"")</f>
        <v/>
      </c>
      <c r="E456" s="29" t="n"/>
      <c r="F456" s="40">
        <f>IF(B456="","",TODAY())</f>
        <v/>
      </c>
      <c r="G456" s="30" t="n"/>
      <c r="H456" s="43">
        <f>IFERROR(IF(OR(B456="",E456=""),"",SUMIF(LOANS!$B:$B,B456,LOANS!$D:$D)+E456),"")</f>
        <v/>
      </c>
      <c r="I456" s="43">
        <f>IFERROR(IF(OR(B456="",E456=""),"",SUMIF(LOANS!$B:$B,B456,LOANS!$I:$I)+ABS(PMT(IFERROR(VLOOKUP(B456,LOANS!$B:$G,6,0),12)/100/12,IFERROR(VLOOKUP(B456,LOANS!$B:$H,7,0),12),E456))),"")</f>
        <v/>
      </c>
      <c r="J456" s="44">
        <f>IF(B456="","","Active")</f>
        <v/>
      </c>
    </row>
    <row r="457" ht="20" customHeight="1">
      <c r="A457" s="47">
        <f>IF(B457="","","TU"&amp;TEXT(ROW()-2,"0000"))</f>
        <v/>
      </c>
      <c r="B457" s="26" t="n"/>
      <c r="C457" s="48">
        <f>IFERROR(IF(B457="","",VLOOKUP(B457,DATABASE!$A:$B,2,0)),"")</f>
        <v/>
      </c>
      <c r="D457" s="44">
        <f>IFERROR(IF(B457="","",VLOOKUP(B457,LOANS!$B:$A,1,0)),"")</f>
        <v/>
      </c>
      <c r="E457" s="29" t="n"/>
      <c r="F457" s="40">
        <f>IF(B457="","",TODAY())</f>
        <v/>
      </c>
      <c r="G457" s="30" t="n"/>
      <c r="H457" s="43">
        <f>IFERROR(IF(OR(B457="",E457=""),"",SUMIF(LOANS!$B:$B,B457,LOANS!$D:$D)+E457),"")</f>
        <v/>
      </c>
      <c r="I457" s="43">
        <f>IFERROR(IF(OR(B457="",E457=""),"",SUMIF(LOANS!$B:$B,B457,LOANS!$I:$I)+ABS(PMT(IFERROR(VLOOKUP(B457,LOANS!$B:$G,6,0),12)/100/12,IFERROR(VLOOKUP(B457,LOANS!$B:$H,7,0),12),E457))),"")</f>
        <v/>
      </c>
      <c r="J457" s="44">
        <f>IF(B457="","","Active")</f>
        <v/>
      </c>
    </row>
    <row r="458" ht="20" customHeight="1">
      <c r="A458" s="47">
        <f>IF(B458="","","TU"&amp;TEXT(ROW()-2,"0000"))</f>
        <v/>
      </c>
      <c r="B458" s="26" t="n"/>
      <c r="C458" s="48">
        <f>IFERROR(IF(B458="","",VLOOKUP(B458,DATABASE!$A:$B,2,0)),"")</f>
        <v/>
      </c>
      <c r="D458" s="44">
        <f>IFERROR(IF(B458="","",VLOOKUP(B458,LOANS!$B:$A,1,0)),"")</f>
        <v/>
      </c>
      <c r="E458" s="29" t="n"/>
      <c r="F458" s="40">
        <f>IF(B458="","",TODAY())</f>
        <v/>
      </c>
      <c r="G458" s="30" t="n"/>
      <c r="H458" s="43">
        <f>IFERROR(IF(OR(B458="",E458=""),"",SUMIF(LOANS!$B:$B,B458,LOANS!$D:$D)+E458),"")</f>
        <v/>
      </c>
      <c r="I458" s="43">
        <f>IFERROR(IF(OR(B458="",E458=""),"",SUMIF(LOANS!$B:$B,B458,LOANS!$I:$I)+ABS(PMT(IFERROR(VLOOKUP(B458,LOANS!$B:$G,6,0),12)/100/12,IFERROR(VLOOKUP(B458,LOANS!$B:$H,7,0),12),E458))),"")</f>
        <v/>
      </c>
      <c r="J458" s="44">
        <f>IF(B458="","","Active")</f>
        <v/>
      </c>
    </row>
    <row r="459" ht="20" customHeight="1">
      <c r="A459" s="47">
        <f>IF(B459="","","TU"&amp;TEXT(ROW()-2,"0000"))</f>
        <v/>
      </c>
      <c r="B459" s="26" t="n"/>
      <c r="C459" s="48">
        <f>IFERROR(IF(B459="","",VLOOKUP(B459,DATABASE!$A:$B,2,0)),"")</f>
        <v/>
      </c>
      <c r="D459" s="44">
        <f>IFERROR(IF(B459="","",VLOOKUP(B459,LOANS!$B:$A,1,0)),"")</f>
        <v/>
      </c>
      <c r="E459" s="29" t="n"/>
      <c r="F459" s="40">
        <f>IF(B459="","",TODAY())</f>
        <v/>
      </c>
      <c r="G459" s="30" t="n"/>
      <c r="H459" s="43">
        <f>IFERROR(IF(OR(B459="",E459=""),"",SUMIF(LOANS!$B:$B,B459,LOANS!$D:$D)+E459),"")</f>
        <v/>
      </c>
      <c r="I459" s="43">
        <f>IFERROR(IF(OR(B459="",E459=""),"",SUMIF(LOANS!$B:$B,B459,LOANS!$I:$I)+ABS(PMT(IFERROR(VLOOKUP(B459,LOANS!$B:$G,6,0),12)/100/12,IFERROR(VLOOKUP(B459,LOANS!$B:$H,7,0),12),E459))),"")</f>
        <v/>
      </c>
      <c r="J459" s="44">
        <f>IF(B459="","","Active")</f>
        <v/>
      </c>
    </row>
    <row r="460" ht="20" customHeight="1">
      <c r="A460" s="47">
        <f>IF(B460="","","TU"&amp;TEXT(ROW()-2,"0000"))</f>
        <v/>
      </c>
      <c r="B460" s="26" t="n"/>
      <c r="C460" s="48">
        <f>IFERROR(IF(B460="","",VLOOKUP(B460,DATABASE!$A:$B,2,0)),"")</f>
        <v/>
      </c>
      <c r="D460" s="44">
        <f>IFERROR(IF(B460="","",VLOOKUP(B460,LOANS!$B:$A,1,0)),"")</f>
        <v/>
      </c>
      <c r="E460" s="29" t="n"/>
      <c r="F460" s="40">
        <f>IF(B460="","",TODAY())</f>
        <v/>
      </c>
      <c r="G460" s="30" t="n"/>
      <c r="H460" s="43">
        <f>IFERROR(IF(OR(B460="",E460=""),"",SUMIF(LOANS!$B:$B,B460,LOANS!$D:$D)+E460),"")</f>
        <v/>
      </c>
      <c r="I460" s="43">
        <f>IFERROR(IF(OR(B460="",E460=""),"",SUMIF(LOANS!$B:$B,B460,LOANS!$I:$I)+ABS(PMT(IFERROR(VLOOKUP(B460,LOANS!$B:$G,6,0),12)/100/12,IFERROR(VLOOKUP(B460,LOANS!$B:$H,7,0),12),E460))),"")</f>
        <v/>
      </c>
      <c r="J460" s="44">
        <f>IF(B460="","","Active")</f>
        <v/>
      </c>
    </row>
    <row r="461" ht="20" customHeight="1">
      <c r="A461" s="47">
        <f>IF(B461="","","TU"&amp;TEXT(ROW()-2,"0000"))</f>
        <v/>
      </c>
      <c r="B461" s="26" t="n"/>
      <c r="C461" s="48">
        <f>IFERROR(IF(B461="","",VLOOKUP(B461,DATABASE!$A:$B,2,0)),"")</f>
        <v/>
      </c>
      <c r="D461" s="44">
        <f>IFERROR(IF(B461="","",VLOOKUP(B461,LOANS!$B:$A,1,0)),"")</f>
        <v/>
      </c>
      <c r="E461" s="29" t="n"/>
      <c r="F461" s="40">
        <f>IF(B461="","",TODAY())</f>
        <v/>
      </c>
      <c r="G461" s="30" t="n"/>
      <c r="H461" s="43">
        <f>IFERROR(IF(OR(B461="",E461=""),"",SUMIF(LOANS!$B:$B,B461,LOANS!$D:$D)+E461),"")</f>
        <v/>
      </c>
      <c r="I461" s="43">
        <f>IFERROR(IF(OR(B461="",E461=""),"",SUMIF(LOANS!$B:$B,B461,LOANS!$I:$I)+ABS(PMT(IFERROR(VLOOKUP(B461,LOANS!$B:$G,6,0),12)/100/12,IFERROR(VLOOKUP(B461,LOANS!$B:$H,7,0),12),E461))),"")</f>
        <v/>
      </c>
      <c r="J461" s="44">
        <f>IF(B461="","","Active")</f>
        <v/>
      </c>
    </row>
    <row r="462" ht="20" customHeight="1">
      <c r="A462" s="47">
        <f>IF(B462="","","TU"&amp;TEXT(ROW()-2,"0000"))</f>
        <v/>
      </c>
      <c r="B462" s="26" t="n"/>
      <c r="C462" s="48">
        <f>IFERROR(IF(B462="","",VLOOKUP(B462,DATABASE!$A:$B,2,0)),"")</f>
        <v/>
      </c>
      <c r="D462" s="44">
        <f>IFERROR(IF(B462="","",VLOOKUP(B462,LOANS!$B:$A,1,0)),"")</f>
        <v/>
      </c>
      <c r="E462" s="29" t="n"/>
      <c r="F462" s="40">
        <f>IF(B462="","",TODAY())</f>
        <v/>
      </c>
      <c r="G462" s="30" t="n"/>
      <c r="H462" s="43">
        <f>IFERROR(IF(OR(B462="",E462=""),"",SUMIF(LOANS!$B:$B,B462,LOANS!$D:$D)+E462),"")</f>
        <v/>
      </c>
      <c r="I462" s="43">
        <f>IFERROR(IF(OR(B462="",E462=""),"",SUMIF(LOANS!$B:$B,B462,LOANS!$I:$I)+ABS(PMT(IFERROR(VLOOKUP(B462,LOANS!$B:$G,6,0),12)/100/12,IFERROR(VLOOKUP(B462,LOANS!$B:$H,7,0),12),E462))),"")</f>
        <v/>
      </c>
      <c r="J462" s="44">
        <f>IF(B462="","","Active")</f>
        <v/>
      </c>
    </row>
    <row r="463" ht="20" customHeight="1">
      <c r="A463" s="47">
        <f>IF(B463="","","TU"&amp;TEXT(ROW()-2,"0000"))</f>
        <v/>
      </c>
      <c r="B463" s="26" t="n"/>
      <c r="C463" s="48">
        <f>IFERROR(IF(B463="","",VLOOKUP(B463,DATABASE!$A:$B,2,0)),"")</f>
        <v/>
      </c>
      <c r="D463" s="44">
        <f>IFERROR(IF(B463="","",VLOOKUP(B463,LOANS!$B:$A,1,0)),"")</f>
        <v/>
      </c>
      <c r="E463" s="29" t="n"/>
      <c r="F463" s="40">
        <f>IF(B463="","",TODAY())</f>
        <v/>
      </c>
      <c r="G463" s="30" t="n"/>
      <c r="H463" s="43">
        <f>IFERROR(IF(OR(B463="",E463=""),"",SUMIF(LOANS!$B:$B,B463,LOANS!$D:$D)+E463),"")</f>
        <v/>
      </c>
      <c r="I463" s="43">
        <f>IFERROR(IF(OR(B463="",E463=""),"",SUMIF(LOANS!$B:$B,B463,LOANS!$I:$I)+ABS(PMT(IFERROR(VLOOKUP(B463,LOANS!$B:$G,6,0),12)/100/12,IFERROR(VLOOKUP(B463,LOANS!$B:$H,7,0),12),E463))),"")</f>
        <v/>
      </c>
      <c r="J463" s="44">
        <f>IF(B463="","","Active")</f>
        <v/>
      </c>
    </row>
    <row r="464" ht="20" customHeight="1">
      <c r="A464" s="47">
        <f>IF(B464="","","TU"&amp;TEXT(ROW()-2,"0000"))</f>
        <v/>
      </c>
      <c r="B464" s="26" t="n"/>
      <c r="C464" s="48">
        <f>IFERROR(IF(B464="","",VLOOKUP(B464,DATABASE!$A:$B,2,0)),"")</f>
        <v/>
      </c>
      <c r="D464" s="44">
        <f>IFERROR(IF(B464="","",VLOOKUP(B464,LOANS!$B:$A,1,0)),"")</f>
        <v/>
      </c>
      <c r="E464" s="29" t="n"/>
      <c r="F464" s="40">
        <f>IF(B464="","",TODAY())</f>
        <v/>
      </c>
      <c r="G464" s="30" t="n"/>
      <c r="H464" s="43">
        <f>IFERROR(IF(OR(B464="",E464=""),"",SUMIF(LOANS!$B:$B,B464,LOANS!$D:$D)+E464),"")</f>
        <v/>
      </c>
      <c r="I464" s="43">
        <f>IFERROR(IF(OR(B464="",E464=""),"",SUMIF(LOANS!$B:$B,B464,LOANS!$I:$I)+ABS(PMT(IFERROR(VLOOKUP(B464,LOANS!$B:$G,6,0),12)/100/12,IFERROR(VLOOKUP(B464,LOANS!$B:$H,7,0),12),E464))),"")</f>
        <v/>
      </c>
      <c r="J464" s="44">
        <f>IF(B464="","","Active")</f>
        <v/>
      </c>
    </row>
    <row r="465" ht="20" customHeight="1">
      <c r="A465" s="47">
        <f>IF(B465="","","TU"&amp;TEXT(ROW()-2,"0000"))</f>
        <v/>
      </c>
      <c r="B465" s="26" t="n"/>
      <c r="C465" s="48">
        <f>IFERROR(IF(B465="","",VLOOKUP(B465,DATABASE!$A:$B,2,0)),"")</f>
        <v/>
      </c>
      <c r="D465" s="44">
        <f>IFERROR(IF(B465="","",VLOOKUP(B465,LOANS!$B:$A,1,0)),"")</f>
        <v/>
      </c>
      <c r="E465" s="29" t="n"/>
      <c r="F465" s="40">
        <f>IF(B465="","",TODAY())</f>
        <v/>
      </c>
      <c r="G465" s="30" t="n"/>
      <c r="H465" s="43">
        <f>IFERROR(IF(OR(B465="",E465=""),"",SUMIF(LOANS!$B:$B,B465,LOANS!$D:$D)+E465),"")</f>
        <v/>
      </c>
      <c r="I465" s="43">
        <f>IFERROR(IF(OR(B465="",E465=""),"",SUMIF(LOANS!$B:$B,B465,LOANS!$I:$I)+ABS(PMT(IFERROR(VLOOKUP(B465,LOANS!$B:$G,6,0),12)/100/12,IFERROR(VLOOKUP(B465,LOANS!$B:$H,7,0),12),E465))),"")</f>
        <v/>
      </c>
      <c r="J465" s="44">
        <f>IF(B465="","","Active")</f>
        <v/>
      </c>
    </row>
    <row r="466" ht="20" customHeight="1">
      <c r="A466" s="47">
        <f>IF(B466="","","TU"&amp;TEXT(ROW()-2,"0000"))</f>
        <v/>
      </c>
      <c r="B466" s="26" t="n"/>
      <c r="C466" s="48">
        <f>IFERROR(IF(B466="","",VLOOKUP(B466,DATABASE!$A:$B,2,0)),"")</f>
        <v/>
      </c>
      <c r="D466" s="44">
        <f>IFERROR(IF(B466="","",VLOOKUP(B466,LOANS!$B:$A,1,0)),"")</f>
        <v/>
      </c>
      <c r="E466" s="29" t="n"/>
      <c r="F466" s="40">
        <f>IF(B466="","",TODAY())</f>
        <v/>
      </c>
      <c r="G466" s="30" t="n"/>
      <c r="H466" s="43">
        <f>IFERROR(IF(OR(B466="",E466=""),"",SUMIF(LOANS!$B:$B,B466,LOANS!$D:$D)+E466),"")</f>
        <v/>
      </c>
      <c r="I466" s="43">
        <f>IFERROR(IF(OR(B466="",E466=""),"",SUMIF(LOANS!$B:$B,B466,LOANS!$I:$I)+ABS(PMT(IFERROR(VLOOKUP(B466,LOANS!$B:$G,6,0),12)/100/12,IFERROR(VLOOKUP(B466,LOANS!$B:$H,7,0),12),E466))),"")</f>
        <v/>
      </c>
      <c r="J466" s="44">
        <f>IF(B466="","","Active")</f>
        <v/>
      </c>
    </row>
    <row r="467" ht="20" customHeight="1">
      <c r="A467" s="47">
        <f>IF(B467="","","TU"&amp;TEXT(ROW()-2,"0000"))</f>
        <v/>
      </c>
      <c r="B467" s="26" t="n"/>
      <c r="C467" s="48">
        <f>IFERROR(IF(B467="","",VLOOKUP(B467,DATABASE!$A:$B,2,0)),"")</f>
        <v/>
      </c>
      <c r="D467" s="44">
        <f>IFERROR(IF(B467="","",VLOOKUP(B467,LOANS!$B:$A,1,0)),"")</f>
        <v/>
      </c>
      <c r="E467" s="29" t="n"/>
      <c r="F467" s="40">
        <f>IF(B467="","",TODAY())</f>
        <v/>
      </c>
      <c r="G467" s="30" t="n"/>
      <c r="H467" s="43">
        <f>IFERROR(IF(OR(B467="",E467=""),"",SUMIF(LOANS!$B:$B,B467,LOANS!$D:$D)+E467),"")</f>
        <v/>
      </c>
      <c r="I467" s="43">
        <f>IFERROR(IF(OR(B467="",E467=""),"",SUMIF(LOANS!$B:$B,B467,LOANS!$I:$I)+ABS(PMT(IFERROR(VLOOKUP(B467,LOANS!$B:$G,6,0),12)/100/12,IFERROR(VLOOKUP(B467,LOANS!$B:$H,7,0),12),E467))),"")</f>
        <v/>
      </c>
      <c r="J467" s="44">
        <f>IF(B467="","","Active")</f>
        <v/>
      </c>
    </row>
    <row r="468" ht="20" customHeight="1">
      <c r="A468" s="47">
        <f>IF(B468="","","TU"&amp;TEXT(ROW()-2,"0000"))</f>
        <v/>
      </c>
      <c r="B468" s="26" t="n"/>
      <c r="C468" s="48">
        <f>IFERROR(IF(B468="","",VLOOKUP(B468,DATABASE!$A:$B,2,0)),"")</f>
        <v/>
      </c>
      <c r="D468" s="44">
        <f>IFERROR(IF(B468="","",VLOOKUP(B468,LOANS!$B:$A,1,0)),"")</f>
        <v/>
      </c>
      <c r="E468" s="29" t="n"/>
      <c r="F468" s="40">
        <f>IF(B468="","",TODAY())</f>
        <v/>
      </c>
      <c r="G468" s="30" t="n"/>
      <c r="H468" s="43">
        <f>IFERROR(IF(OR(B468="",E468=""),"",SUMIF(LOANS!$B:$B,B468,LOANS!$D:$D)+E468),"")</f>
        <v/>
      </c>
      <c r="I468" s="43">
        <f>IFERROR(IF(OR(B468="",E468=""),"",SUMIF(LOANS!$B:$B,B468,LOANS!$I:$I)+ABS(PMT(IFERROR(VLOOKUP(B468,LOANS!$B:$G,6,0),12)/100/12,IFERROR(VLOOKUP(B468,LOANS!$B:$H,7,0),12),E468))),"")</f>
        <v/>
      </c>
      <c r="J468" s="44">
        <f>IF(B468="","","Active")</f>
        <v/>
      </c>
    </row>
    <row r="469" ht="20" customHeight="1">
      <c r="A469" s="47">
        <f>IF(B469="","","TU"&amp;TEXT(ROW()-2,"0000"))</f>
        <v/>
      </c>
      <c r="B469" s="26" t="n"/>
      <c r="C469" s="48">
        <f>IFERROR(IF(B469="","",VLOOKUP(B469,DATABASE!$A:$B,2,0)),"")</f>
        <v/>
      </c>
      <c r="D469" s="44">
        <f>IFERROR(IF(B469="","",VLOOKUP(B469,LOANS!$B:$A,1,0)),"")</f>
        <v/>
      </c>
      <c r="E469" s="29" t="n"/>
      <c r="F469" s="40">
        <f>IF(B469="","",TODAY())</f>
        <v/>
      </c>
      <c r="G469" s="30" t="n"/>
      <c r="H469" s="43">
        <f>IFERROR(IF(OR(B469="",E469=""),"",SUMIF(LOANS!$B:$B,B469,LOANS!$D:$D)+E469),"")</f>
        <v/>
      </c>
      <c r="I469" s="43">
        <f>IFERROR(IF(OR(B469="",E469=""),"",SUMIF(LOANS!$B:$B,B469,LOANS!$I:$I)+ABS(PMT(IFERROR(VLOOKUP(B469,LOANS!$B:$G,6,0),12)/100/12,IFERROR(VLOOKUP(B469,LOANS!$B:$H,7,0),12),E469))),"")</f>
        <v/>
      </c>
      <c r="J469" s="44">
        <f>IF(B469="","","Active")</f>
        <v/>
      </c>
    </row>
    <row r="470" ht="20" customHeight="1">
      <c r="A470" s="47">
        <f>IF(B470="","","TU"&amp;TEXT(ROW()-2,"0000"))</f>
        <v/>
      </c>
      <c r="B470" s="26" t="n"/>
      <c r="C470" s="48">
        <f>IFERROR(IF(B470="","",VLOOKUP(B470,DATABASE!$A:$B,2,0)),"")</f>
        <v/>
      </c>
      <c r="D470" s="44">
        <f>IFERROR(IF(B470="","",VLOOKUP(B470,LOANS!$B:$A,1,0)),"")</f>
        <v/>
      </c>
      <c r="E470" s="29" t="n"/>
      <c r="F470" s="40">
        <f>IF(B470="","",TODAY())</f>
        <v/>
      </c>
      <c r="G470" s="30" t="n"/>
      <c r="H470" s="43">
        <f>IFERROR(IF(OR(B470="",E470=""),"",SUMIF(LOANS!$B:$B,B470,LOANS!$D:$D)+E470),"")</f>
        <v/>
      </c>
      <c r="I470" s="43">
        <f>IFERROR(IF(OR(B470="",E470=""),"",SUMIF(LOANS!$B:$B,B470,LOANS!$I:$I)+ABS(PMT(IFERROR(VLOOKUP(B470,LOANS!$B:$G,6,0),12)/100/12,IFERROR(VLOOKUP(B470,LOANS!$B:$H,7,0),12),E470))),"")</f>
        <v/>
      </c>
      <c r="J470" s="44">
        <f>IF(B470="","","Active")</f>
        <v/>
      </c>
    </row>
    <row r="471" ht="20" customHeight="1">
      <c r="A471" s="47">
        <f>IF(B471="","","TU"&amp;TEXT(ROW()-2,"0000"))</f>
        <v/>
      </c>
      <c r="B471" s="26" t="n"/>
      <c r="C471" s="48">
        <f>IFERROR(IF(B471="","",VLOOKUP(B471,DATABASE!$A:$B,2,0)),"")</f>
        <v/>
      </c>
      <c r="D471" s="44">
        <f>IFERROR(IF(B471="","",VLOOKUP(B471,LOANS!$B:$A,1,0)),"")</f>
        <v/>
      </c>
      <c r="E471" s="29" t="n"/>
      <c r="F471" s="40">
        <f>IF(B471="","",TODAY())</f>
        <v/>
      </c>
      <c r="G471" s="30" t="n"/>
      <c r="H471" s="43">
        <f>IFERROR(IF(OR(B471="",E471=""),"",SUMIF(LOANS!$B:$B,B471,LOANS!$D:$D)+E471),"")</f>
        <v/>
      </c>
      <c r="I471" s="43">
        <f>IFERROR(IF(OR(B471="",E471=""),"",SUMIF(LOANS!$B:$B,B471,LOANS!$I:$I)+ABS(PMT(IFERROR(VLOOKUP(B471,LOANS!$B:$G,6,0),12)/100/12,IFERROR(VLOOKUP(B471,LOANS!$B:$H,7,0),12),E471))),"")</f>
        <v/>
      </c>
      <c r="J471" s="44">
        <f>IF(B471="","","Active")</f>
        <v/>
      </c>
    </row>
    <row r="472" ht="20" customHeight="1">
      <c r="A472" s="47">
        <f>IF(B472="","","TU"&amp;TEXT(ROW()-2,"0000"))</f>
        <v/>
      </c>
      <c r="B472" s="26" t="n"/>
      <c r="C472" s="48">
        <f>IFERROR(IF(B472="","",VLOOKUP(B472,DATABASE!$A:$B,2,0)),"")</f>
        <v/>
      </c>
      <c r="D472" s="44">
        <f>IFERROR(IF(B472="","",VLOOKUP(B472,LOANS!$B:$A,1,0)),"")</f>
        <v/>
      </c>
      <c r="E472" s="29" t="n"/>
      <c r="F472" s="40">
        <f>IF(B472="","",TODAY())</f>
        <v/>
      </c>
      <c r="G472" s="30" t="n"/>
      <c r="H472" s="43">
        <f>IFERROR(IF(OR(B472="",E472=""),"",SUMIF(LOANS!$B:$B,B472,LOANS!$D:$D)+E472),"")</f>
        <v/>
      </c>
      <c r="I472" s="43">
        <f>IFERROR(IF(OR(B472="",E472=""),"",SUMIF(LOANS!$B:$B,B472,LOANS!$I:$I)+ABS(PMT(IFERROR(VLOOKUP(B472,LOANS!$B:$G,6,0),12)/100/12,IFERROR(VLOOKUP(B472,LOANS!$B:$H,7,0),12),E472))),"")</f>
        <v/>
      </c>
      <c r="J472" s="44">
        <f>IF(B472="","","Active")</f>
        <v/>
      </c>
    </row>
    <row r="473" ht="20" customHeight="1">
      <c r="A473" s="47">
        <f>IF(B473="","","TU"&amp;TEXT(ROW()-2,"0000"))</f>
        <v/>
      </c>
      <c r="B473" s="26" t="n"/>
      <c r="C473" s="48">
        <f>IFERROR(IF(B473="","",VLOOKUP(B473,DATABASE!$A:$B,2,0)),"")</f>
        <v/>
      </c>
      <c r="D473" s="44">
        <f>IFERROR(IF(B473="","",VLOOKUP(B473,LOANS!$B:$A,1,0)),"")</f>
        <v/>
      </c>
      <c r="E473" s="29" t="n"/>
      <c r="F473" s="40">
        <f>IF(B473="","",TODAY())</f>
        <v/>
      </c>
      <c r="G473" s="30" t="n"/>
      <c r="H473" s="43">
        <f>IFERROR(IF(OR(B473="",E473=""),"",SUMIF(LOANS!$B:$B,B473,LOANS!$D:$D)+E473),"")</f>
        <v/>
      </c>
      <c r="I473" s="43">
        <f>IFERROR(IF(OR(B473="",E473=""),"",SUMIF(LOANS!$B:$B,B473,LOANS!$I:$I)+ABS(PMT(IFERROR(VLOOKUP(B473,LOANS!$B:$G,6,0),12)/100/12,IFERROR(VLOOKUP(B473,LOANS!$B:$H,7,0),12),E473))),"")</f>
        <v/>
      </c>
      <c r="J473" s="44">
        <f>IF(B473="","","Active")</f>
        <v/>
      </c>
    </row>
    <row r="474" ht="20" customHeight="1">
      <c r="A474" s="47">
        <f>IF(B474="","","TU"&amp;TEXT(ROW()-2,"0000"))</f>
        <v/>
      </c>
      <c r="B474" s="26" t="n"/>
      <c r="C474" s="48">
        <f>IFERROR(IF(B474="","",VLOOKUP(B474,DATABASE!$A:$B,2,0)),"")</f>
        <v/>
      </c>
      <c r="D474" s="44">
        <f>IFERROR(IF(B474="","",VLOOKUP(B474,LOANS!$B:$A,1,0)),"")</f>
        <v/>
      </c>
      <c r="E474" s="29" t="n"/>
      <c r="F474" s="40">
        <f>IF(B474="","",TODAY())</f>
        <v/>
      </c>
      <c r="G474" s="30" t="n"/>
      <c r="H474" s="43">
        <f>IFERROR(IF(OR(B474="",E474=""),"",SUMIF(LOANS!$B:$B,B474,LOANS!$D:$D)+E474),"")</f>
        <v/>
      </c>
      <c r="I474" s="43">
        <f>IFERROR(IF(OR(B474="",E474=""),"",SUMIF(LOANS!$B:$B,B474,LOANS!$I:$I)+ABS(PMT(IFERROR(VLOOKUP(B474,LOANS!$B:$G,6,0),12)/100/12,IFERROR(VLOOKUP(B474,LOANS!$B:$H,7,0),12),E474))),"")</f>
        <v/>
      </c>
      <c r="J474" s="44">
        <f>IF(B474="","","Active")</f>
        <v/>
      </c>
    </row>
    <row r="475" ht="20" customHeight="1">
      <c r="A475" s="47">
        <f>IF(B475="","","TU"&amp;TEXT(ROW()-2,"0000"))</f>
        <v/>
      </c>
      <c r="B475" s="26" t="n"/>
      <c r="C475" s="48">
        <f>IFERROR(IF(B475="","",VLOOKUP(B475,DATABASE!$A:$B,2,0)),"")</f>
        <v/>
      </c>
      <c r="D475" s="44">
        <f>IFERROR(IF(B475="","",VLOOKUP(B475,LOANS!$B:$A,1,0)),"")</f>
        <v/>
      </c>
      <c r="E475" s="29" t="n"/>
      <c r="F475" s="40">
        <f>IF(B475="","",TODAY())</f>
        <v/>
      </c>
      <c r="G475" s="30" t="n"/>
      <c r="H475" s="43">
        <f>IFERROR(IF(OR(B475="",E475=""),"",SUMIF(LOANS!$B:$B,B475,LOANS!$D:$D)+E475),"")</f>
        <v/>
      </c>
      <c r="I475" s="43">
        <f>IFERROR(IF(OR(B475="",E475=""),"",SUMIF(LOANS!$B:$B,B475,LOANS!$I:$I)+ABS(PMT(IFERROR(VLOOKUP(B475,LOANS!$B:$G,6,0),12)/100/12,IFERROR(VLOOKUP(B475,LOANS!$B:$H,7,0),12),E475))),"")</f>
        <v/>
      </c>
      <c r="J475" s="44">
        <f>IF(B475="","","Active")</f>
        <v/>
      </c>
    </row>
    <row r="476" ht="20" customHeight="1">
      <c r="A476" s="47">
        <f>IF(B476="","","TU"&amp;TEXT(ROW()-2,"0000"))</f>
        <v/>
      </c>
      <c r="B476" s="26" t="n"/>
      <c r="C476" s="48">
        <f>IFERROR(IF(B476="","",VLOOKUP(B476,DATABASE!$A:$B,2,0)),"")</f>
        <v/>
      </c>
      <c r="D476" s="44">
        <f>IFERROR(IF(B476="","",VLOOKUP(B476,LOANS!$B:$A,1,0)),"")</f>
        <v/>
      </c>
      <c r="E476" s="29" t="n"/>
      <c r="F476" s="40">
        <f>IF(B476="","",TODAY())</f>
        <v/>
      </c>
      <c r="G476" s="30" t="n"/>
      <c r="H476" s="43">
        <f>IFERROR(IF(OR(B476="",E476=""),"",SUMIF(LOANS!$B:$B,B476,LOANS!$D:$D)+E476),"")</f>
        <v/>
      </c>
      <c r="I476" s="43">
        <f>IFERROR(IF(OR(B476="",E476=""),"",SUMIF(LOANS!$B:$B,B476,LOANS!$I:$I)+ABS(PMT(IFERROR(VLOOKUP(B476,LOANS!$B:$G,6,0),12)/100/12,IFERROR(VLOOKUP(B476,LOANS!$B:$H,7,0),12),E476))),"")</f>
        <v/>
      </c>
      <c r="J476" s="44">
        <f>IF(B476="","","Active")</f>
        <v/>
      </c>
    </row>
    <row r="477" ht="20" customHeight="1">
      <c r="A477" s="47">
        <f>IF(B477="","","TU"&amp;TEXT(ROW()-2,"0000"))</f>
        <v/>
      </c>
      <c r="B477" s="26" t="n"/>
      <c r="C477" s="48">
        <f>IFERROR(IF(B477="","",VLOOKUP(B477,DATABASE!$A:$B,2,0)),"")</f>
        <v/>
      </c>
      <c r="D477" s="44">
        <f>IFERROR(IF(B477="","",VLOOKUP(B477,LOANS!$B:$A,1,0)),"")</f>
        <v/>
      </c>
      <c r="E477" s="29" t="n"/>
      <c r="F477" s="40">
        <f>IF(B477="","",TODAY())</f>
        <v/>
      </c>
      <c r="G477" s="30" t="n"/>
      <c r="H477" s="43">
        <f>IFERROR(IF(OR(B477="",E477=""),"",SUMIF(LOANS!$B:$B,B477,LOANS!$D:$D)+E477),"")</f>
        <v/>
      </c>
      <c r="I477" s="43">
        <f>IFERROR(IF(OR(B477="",E477=""),"",SUMIF(LOANS!$B:$B,B477,LOANS!$I:$I)+ABS(PMT(IFERROR(VLOOKUP(B477,LOANS!$B:$G,6,0),12)/100/12,IFERROR(VLOOKUP(B477,LOANS!$B:$H,7,0),12),E477))),"")</f>
        <v/>
      </c>
      <c r="J477" s="44">
        <f>IF(B477="","","Active")</f>
        <v/>
      </c>
    </row>
    <row r="478" ht="20" customHeight="1">
      <c r="A478" s="47">
        <f>IF(B478="","","TU"&amp;TEXT(ROW()-2,"0000"))</f>
        <v/>
      </c>
      <c r="B478" s="26" t="n"/>
      <c r="C478" s="48">
        <f>IFERROR(IF(B478="","",VLOOKUP(B478,DATABASE!$A:$B,2,0)),"")</f>
        <v/>
      </c>
      <c r="D478" s="44">
        <f>IFERROR(IF(B478="","",VLOOKUP(B478,LOANS!$B:$A,1,0)),"")</f>
        <v/>
      </c>
      <c r="E478" s="29" t="n"/>
      <c r="F478" s="40">
        <f>IF(B478="","",TODAY())</f>
        <v/>
      </c>
      <c r="G478" s="30" t="n"/>
      <c r="H478" s="43">
        <f>IFERROR(IF(OR(B478="",E478=""),"",SUMIF(LOANS!$B:$B,B478,LOANS!$D:$D)+E478),"")</f>
        <v/>
      </c>
      <c r="I478" s="43">
        <f>IFERROR(IF(OR(B478="",E478=""),"",SUMIF(LOANS!$B:$B,B478,LOANS!$I:$I)+ABS(PMT(IFERROR(VLOOKUP(B478,LOANS!$B:$G,6,0),12)/100/12,IFERROR(VLOOKUP(B478,LOANS!$B:$H,7,0),12),E478))),"")</f>
        <v/>
      </c>
      <c r="J478" s="44">
        <f>IF(B478="","","Active")</f>
        <v/>
      </c>
    </row>
    <row r="479" ht="20" customHeight="1">
      <c r="A479" s="47">
        <f>IF(B479="","","TU"&amp;TEXT(ROW()-2,"0000"))</f>
        <v/>
      </c>
      <c r="B479" s="26" t="n"/>
      <c r="C479" s="48">
        <f>IFERROR(IF(B479="","",VLOOKUP(B479,DATABASE!$A:$B,2,0)),"")</f>
        <v/>
      </c>
      <c r="D479" s="44">
        <f>IFERROR(IF(B479="","",VLOOKUP(B479,LOANS!$B:$A,1,0)),"")</f>
        <v/>
      </c>
      <c r="E479" s="29" t="n"/>
      <c r="F479" s="40">
        <f>IF(B479="","",TODAY())</f>
        <v/>
      </c>
      <c r="G479" s="30" t="n"/>
      <c r="H479" s="43">
        <f>IFERROR(IF(OR(B479="",E479=""),"",SUMIF(LOANS!$B:$B,B479,LOANS!$D:$D)+E479),"")</f>
        <v/>
      </c>
      <c r="I479" s="43">
        <f>IFERROR(IF(OR(B479="",E479=""),"",SUMIF(LOANS!$B:$B,B479,LOANS!$I:$I)+ABS(PMT(IFERROR(VLOOKUP(B479,LOANS!$B:$G,6,0),12)/100/12,IFERROR(VLOOKUP(B479,LOANS!$B:$H,7,0),12),E479))),"")</f>
        <v/>
      </c>
      <c r="J479" s="44">
        <f>IF(B479="","","Active")</f>
        <v/>
      </c>
    </row>
    <row r="480" ht="20" customHeight="1">
      <c r="A480" s="47">
        <f>IF(B480="","","TU"&amp;TEXT(ROW()-2,"0000"))</f>
        <v/>
      </c>
      <c r="B480" s="26" t="n"/>
      <c r="C480" s="48">
        <f>IFERROR(IF(B480="","",VLOOKUP(B480,DATABASE!$A:$B,2,0)),"")</f>
        <v/>
      </c>
      <c r="D480" s="44">
        <f>IFERROR(IF(B480="","",VLOOKUP(B480,LOANS!$B:$A,1,0)),"")</f>
        <v/>
      </c>
      <c r="E480" s="29" t="n"/>
      <c r="F480" s="40">
        <f>IF(B480="","",TODAY())</f>
        <v/>
      </c>
      <c r="G480" s="30" t="n"/>
      <c r="H480" s="43">
        <f>IFERROR(IF(OR(B480="",E480=""),"",SUMIF(LOANS!$B:$B,B480,LOANS!$D:$D)+E480),"")</f>
        <v/>
      </c>
      <c r="I480" s="43">
        <f>IFERROR(IF(OR(B480="",E480=""),"",SUMIF(LOANS!$B:$B,B480,LOANS!$I:$I)+ABS(PMT(IFERROR(VLOOKUP(B480,LOANS!$B:$G,6,0),12)/100/12,IFERROR(VLOOKUP(B480,LOANS!$B:$H,7,0),12),E480))),"")</f>
        <v/>
      </c>
      <c r="J480" s="44">
        <f>IF(B480="","","Active")</f>
        <v/>
      </c>
    </row>
    <row r="481" ht="20" customHeight="1">
      <c r="A481" s="47">
        <f>IF(B481="","","TU"&amp;TEXT(ROW()-2,"0000"))</f>
        <v/>
      </c>
      <c r="B481" s="26" t="n"/>
      <c r="C481" s="48">
        <f>IFERROR(IF(B481="","",VLOOKUP(B481,DATABASE!$A:$B,2,0)),"")</f>
        <v/>
      </c>
      <c r="D481" s="44">
        <f>IFERROR(IF(B481="","",VLOOKUP(B481,LOANS!$B:$A,1,0)),"")</f>
        <v/>
      </c>
      <c r="E481" s="29" t="n"/>
      <c r="F481" s="40">
        <f>IF(B481="","",TODAY())</f>
        <v/>
      </c>
      <c r="G481" s="30" t="n"/>
      <c r="H481" s="43">
        <f>IFERROR(IF(OR(B481="",E481=""),"",SUMIF(LOANS!$B:$B,B481,LOANS!$D:$D)+E481),"")</f>
        <v/>
      </c>
      <c r="I481" s="43">
        <f>IFERROR(IF(OR(B481="",E481=""),"",SUMIF(LOANS!$B:$B,B481,LOANS!$I:$I)+ABS(PMT(IFERROR(VLOOKUP(B481,LOANS!$B:$G,6,0),12)/100/12,IFERROR(VLOOKUP(B481,LOANS!$B:$H,7,0),12),E481))),"")</f>
        <v/>
      </c>
      <c r="J481" s="44">
        <f>IF(B481="","","Active")</f>
        <v/>
      </c>
    </row>
    <row r="482" ht="20" customHeight="1">
      <c r="A482" s="47">
        <f>IF(B482="","","TU"&amp;TEXT(ROW()-2,"0000"))</f>
        <v/>
      </c>
      <c r="B482" s="26" t="n"/>
      <c r="C482" s="48">
        <f>IFERROR(IF(B482="","",VLOOKUP(B482,DATABASE!$A:$B,2,0)),"")</f>
        <v/>
      </c>
      <c r="D482" s="44">
        <f>IFERROR(IF(B482="","",VLOOKUP(B482,LOANS!$B:$A,1,0)),"")</f>
        <v/>
      </c>
      <c r="E482" s="29" t="n"/>
      <c r="F482" s="40">
        <f>IF(B482="","",TODAY())</f>
        <v/>
      </c>
      <c r="G482" s="30" t="n"/>
      <c r="H482" s="43">
        <f>IFERROR(IF(OR(B482="",E482=""),"",SUMIF(LOANS!$B:$B,B482,LOANS!$D:$D)+E482),"")</f>
        <v/>
      </c>
      <c r="I482" s="43">
        <f>IFERROR(IF(OR(B482="",E482=""),"",SUMIF(LOANS!$B:$B,B482,LOANS!$I:$I)+ABS(PMT(IFERROR(VLOOKUP(B482,LOANS!$B:$G,6,0),12)/100/12,IFERROR(VLOOKUP(B482,LOANS!$B:$H,7,0),12),E482))),"")</f>
        <v/>
      </c>
      <c r="J482" s="44">
        <f>IF(B482="","","Active")</f>
        <v/>
      </c>
    </row>
    <row r="483" ht="20" customHeight="1">
      <c r="A483" s="47">
        <f>IF(B483="","","TU"&amp;TEXT(ROW()-2,"0000"))</f>
        <v/>
      </c>
      <c r="B483" s="26" t="n"/>
      <c r="C483" s="48">
        <f>IFERROR(IF(B483="","",VLOOKUP(B483,DATABASE!$A:$B,2,0)),"")</f>
        <v/>
      </c>
      <c r="D483" s="44">
        <f>IFERROR(IF(B483="","",VLOOKUP(B483,LOANS!$B:$A,1,0)),"")</f>
        <v/>
      </c>
      <c r="E483" s="29" t="n"/>
      <c r="F483" s="40">
        <f>IF(B483="","",TODAY())</f>
        <v/>
      </c>
      <c r="G483" s="30" t="n"/>
      <c r="H483" s="43">
        <f>IFERROR(IF(OR(B483="",E483=""),"",SUMIF(LOANS!$B:$B,B483,LOANS!$D:$D)+E483),"")</f>
        <v/>
      </c>
      <c r="I483" s="43">
        <f>IFERROR(IF(OR(B483="",E483=""),"",SUMIF(LOANS!$B:$B,B483,LOANS!$I:$I)+ABS(PMT(IFERROR(VLOOKUP(B483,LOANS!$B:$G,6,0),12)/100/12,IFERROR(VLOOKUP(B483,LOANS!$B:$H,7,0),12),E483))),"")</f>
        <v/>
      </c>
      <c r="J483" s="44">
        <f>IF(B483="","","Active")</f>
        <v/>
      </c>
    </row>
    <row r="484" ht="20" customHeight="1">
      <c r="A484" s="47">
        <f>IF(B484="","","TU"&amp;TEXT(ROW()-2,"0000"))</f>
        <v/>
      </c>
      <c r="B484" s="26" t="n"/>
      <c r="C484" s="48">
        <f>IFERROR(IF(B484="","",VLOOKUP(B484,DATABASE!$A:$B,2,0)),"")</f>
        <v/>
      </c>
      <c r="D484" s="44">
        <f>IFERROR(IF(B484="","",VLOOKUP(B484,LOANS!$B:$A,1,0)),"")</f>
        <v/>
      </c>
      <c r="E484" s="29" t="n"/>
      <c r="F484" s="40">
        <f>IF(B484="","",TODAY())</f>
        <v/>
      </c>
      <c r="G484" s="30" t="n"/>
      <c r="H484" s="43">
        <f>IFERROR(IF(OR(B484="",E484=""),"",SUMIF(LOANS!$B:$B,B484,LOANS!$D:$D)+E484),"")</f>
        <v/>
      </c>
      <c r="I484" s="43">
        <f>IFERROR(IF(OR(B484="",E484=""),"",SUMIF(LOANS!$B:$B,B484,LOANS!$I:$I)+ABS(PMT(IFERROR(VLOOKUP(B484,LOANS!$B:$G,6,0),12)/100/12,IFERROR(VLOOKUP(B484,LOANS!$B:$H,7,0),12),E484))),"")</f>
        <v/>
      </c>
      <c r="J484" s="44">
        <f>IF(B484="","","Active")</f>
        <v/>
      </c>
    </row>
    <row r="485" ht="20" customHeight="1">
      <c r="A485" s="47">
        <f>IF(B485="","","TU"&amp;TEXT(ROW()-2,"0000"))</f>
        <v/>
      </c>
      <c r="B485" s="26" t="n"/>
      <c r="C485" s="48">
        <f>IFERROR(IF(B485="","",VLOOKUP(B485,DATABASE!$A:$B,2,0)),"")</f>
        <v/>
      </c>
      <c r="D485" s="44">
        <f>IFERROR(IF(B485="","",VLOOKUP(B485,LOANS!$B:$A,1,0)),"")</f>
        <v/>
      </c>
      <c r="E485" s="29" t="n"/>
      <c r="F485" s="40">
        <f>IF(B485="","",TODAY())</f>
        <v/>
      </c>
      <c r="G485" s="30" t="n"/>
      <c r="H485" s="43">
        <f>IFERROR(IF(OR(B485="",E485=""),"",SUMIF(LOANS!$B:$B,B485,LOANS!$D:$D)+E485),"")</f>
        <v/>
      </c>
      <c r="I485" s="43">
        <f>IFERROR(IF(OR(B485="",E485=""),"",SUMIF(LOANS!$B:$B,B485,LOANS!$I:$I)+ABS(PMT(IFERROR(VLOOKUP(B485,LOANS!$B:$G,6,0),12)/100/12,IFERROR(VLOOKUP(B485,LOANS!$B:$H,7,0),12),E485))),"")</f>
        <v/>
      </c>
      <c r="J485" s="44">
        <f>IF(B485="","","Active")</f>
        <v/>
      </c>
    </row>
    <row r="486" ht="20" customHeight="1">
      <c r="A486" s="47">
        <f>IF(B486="","","TU"&amp;TEXT(ROW()-2,"0000"))</f>
        <v/>
      </c>
      <c r="B486" s="26" t="n"/>
      <c r="C486" s="48">
        <f>IFERROR(IF(B486="","",VLOOKUP(B486,DATABASE!$A:$B,2,0)),"")</f>
        <v/>
      </c>
      <c r="D486" s="44">
        <f>IFERROR(IF(B486="","",VLOOKUP(B486,LOANS!$B:$A,1,0)),"")</f>
        <v/>
      </c>
      <c r="E486" s="29" t="n"/>
      <c r="F486" s="40">
        <f>IF(B486="","",TODAY())</f>
        <v/>
      </c>
      <c r="G486" s="30" t="n"/>
      <c r="H486" s="43">
        <f>IFERROR(IF(OR(B486="",E486=""),"",SUMIF(LOANS!$B:$B,B486,LOANS!$D:$D)+E486),"")</f>
        <v/>
      </c>
      <c r="I486" s="43">
        <f>IFERROR(IF(OR(B486="",E486=""),"",SUMIF(LOANS!$B:$B,B486,LOANS!$I:$I)+ABS(PMT(IFERROR(VLOOKUP(B486,LOANS!$B:$G,6,0),12)/100/12,IFERROR(VLOOKUP(B486,LOANS!$B:$H,7,0),12),E486))),"")</f>
        <v/>
      </c>
      <c r="J486" s="44">
        <f>IF(B486="","","Active")</f>
        <v/>
      </c>
    </row>
    <row r="487" ht="20" customHeight="1">
      <c r="A487" s="47">
        <f>IF(B487="","","TU"&amp;TEXT(ROW()-2,"0000"))</f>
        <v/>
      </c>
      <c r="B487" s="26" t="n"/>
      <c r="C487" s="48">
        <f>IFERROR(IF(B487="","",VLOOKUP(B487,DATABASE!$A:$B,2,0)),"")</f>
        <v/>
      </c>
      <c r="D487" s="44">
        <f>IFERROR(IF(B487="","",VLOOKUP(B487,LOANS!$B:$A,1,0)),"")</f>
        <v/>
      </c>
      <c r="E487" s="29" t="n"/>
      <c r="F487" s="40">
        <f>IF(B487="","",TODAY())</f>
        <v/>
      </c>
      <c r="G487" s="30" t="n"/>
      <c r="H487" s="43">
        <f>IFERROR(IF(OR(B487="",E487=""),"",SUMIF(LOANS!$B:$B,B487,LOANS!$D:$D)+E487),"")</f>
        <v/>
      </c>
      <c r="I487" s="43">
        <f>IFERROR(IF(OR(B487="",E487=""),"",SUMIF(LOANS!$B:$B,B487,LOANS!$I:$I)+ABS(PMT(IFERROR(VLOOKUP(B487,LOANS!$B:$G,6,0),12)/100/12,IFERROR(VLOOKUP(B487,LOANS!$B:$H,7,0),12),E487))),"")</f>
        <v/>
      </c>
      <c r="J487" s="44">
        <f>IF(B487="","","Active")</f>
        <v/>
      </c>
    </row>
    <row r="488" ht="20" customHeight="1">
      <c r="A488" s="47">
        <f>IF(B488="","","TU"&amp;TEXT(ROW()-2,"0000"))</f>
        <v/>
      </c>
      <c r="B488" s="26" t="n"/>
      <c r="C488" s="48">
        <f>IFERROR(IF(B488="","",VLOOKUP(B488,DATABASE!$A:$B,2,0)),"")</f>
        <v/>
      </c>
      <c r="D488" s="44">
        <f>IFERROR(IF(B488="","",VLOOKUP(B488,LOANS!$B:$A,1,0)),"")</f>
        <v/>
      </c>
      <c r="E488" s="29" t="n"/>
      <c r="F488" s="40">
        <f>IF(B488="","",TODAY())</f>
        <v/>
      </c>
      <c r="G488" s="30" t="n"/>
      <c r="H488" s="43">
        <f>IFERROR(IF(OR(B488="",E488=""),"",SUMIF(LOANS!$B:$B,B488,LOANS!$D:$D)+E488),"")</f>
        <v/>
      </c>
      <c r="I488" s="43">
        <f>IFERROR(IF(OR(B488="",E488=""),"",SUMIF(LOANS!$B:$B,B488,LOANS!$I:$I)+ABS(PMT(IFERROR(VLOOKUP(B488,LOANS!$B:$G,6,0),12)/100/12,IFERROR(VLOOKUP(B488,LOANS!$B:$H,7,0),12),E488))),"")</f>
        <v/>
      </c>
      <c r="J488" s="44">
        <f>IF(B488="","","Active")</f>
        <v/>
      </c>
    </row>
    <row r="489" ht="20" customHeight="1">
      <c r="A489" s="47">
        <f>IF(B489="","","TU"&amp;TEXT(ROW()-2,"0000"))</f>
        <v/>
      </c>
      <c r="B489" s="26" t="n"/>
      <c r="C489" s="48">
        <f>IFERROR(IF(B489="","",VLOOKUP(B489,DATABASE!$A:$B,2,0)),"")</f>
        <v/>
      </c>
      <c r="D489" s="44">
        <f>IFERROR(IF(B489="","",VLOOKUP(B489,LOANS!$B:$A,1,0)),"")</f>
        <v/>
      </c>
      <c r="E489" s="29" t="n"/>
      <c r="F489" s="40">
        <f>IF(B489="","",TODAY())</f>
        <v/>
      </c>
      <c r="G489" s="30" t="n"/>
      <c r="H489" s="43">
        <f>IFERROR(IF(OR(B489="",E489=""),"",SUMIF(LOANS!$B:$B,B489,LOANS!$D:$D)+E489),"")</f>
        <v/>
      </c>
      <c r="I489" s="43">
        <f>IFERROR(IF(OR(B489="",E489=""),"",SUMIF(LOANS!$B:$B,B489,LOANS!$I:$I)+ABS(PMT(IFERROR(VLOOKUP(B489,LOANS!$B:$G,6,0),12)/100/12,IFERROR(VLOOKUP(B489,LOANS!$B:$H,7,0),12),E489))),"")</f>
        <v/>
      </c>
      <c r="J489" s="44">
        <f>IF(B489="","","Active")</f>
        <v/>
      </c>
    </row>
    <row r="490" ht="20" customHeight="1">
      <c r="A490" s="47">
        <f>IF(B490="","","TU"&amp;TEXT(ROW()-2,"0000"))</f>
        <v/>
      </c>
      <c r="B490" s="26" t="n"/>
      <c r="C490" s="48">
        <f>IFERROR(IF(B490="","",VLOOKUP(B490,DATABASE!$A:$B,2,0)),"")</f>
        <v/>
      </c>
      <c r="D490" s="44">
        <f>IFERROR(IF(B490="","",VLOOKUP(B490,LOANS!$B:$A,1,0)),"")</f>
        <v/>
      </c>
      <c r="E490" s="29" t="n"/>
      <c r="F490" s="40">
        <f>IF(B490="","",TODAY())</f>
        <v/>
      </c>
      <c r="G490" s="30" t="n"/>
      <c r="H490" s="43">
        <f>IFERROR(IF(OR(B490="",E490=""),"",SUMIF(LOANS!$B:$B,B490,LOANS!$D:$D)+E490),"")</f>
        <v/>
      </c>
      <c r="I490" s="43">
        <f>IFERROR(IF(OR(B490="",E490=""),"",SUMIF(LOANS!$B:$B,B490,LOANS!$I:$I)+ABS(PMT(IFERROR(VLOOKUP(B490,LOANS!$B:$G,6,0),12)/100/12,IFERROR(VLOOKUP(B490,LOANS!$B:$H,7,0),12),E490))),"")</f>
        <v/>
      </c>
      <c r="J490" s="44">
        <f>IF(B490="","","Active")</f>
        <v/>
      </c>
    </row>
    <row r="491" ht="20" customHeight="1">
      <c r="A491" s="47">
        <f>IF(B491="","","TU"&amp;TEXT(ROW()-2,"0000"))</f>
        <v/>
      </c>
      <c r="B491" s="26" t="n"/>
      <c r="C491" s="48">
        <f>IFERROR(IF(B491="","",VLOOKUP(B491,DATABASE!$A:$B,2,0)),"")</f>
        <v/>
      </c>
      <c r="D491" s="44">
        <f>IFERROR(IF(B491="","",VLOOKUP(B491,LOANS!$B:$A,1,0)),"")</f>
        <v/>
      </c>
      <c r="E491" s="29" t="n"/>
      <c r="F491" s="40">
        <f>IF(B491="","",TODAY())</f>
        <v/>
      </c>
      <c r="G491" s="30" t="n"/>
      <c r="H491" s="43">
        <f>IFERROR(IF(OR(B491="",E491=""),"",SUMIF(LOANS!$B:$B,B491,LOANS!$D:$D)+E491),"")</f>
        <v/>
      </c>
      <c r="I491" s="43">
        <f>IFERROR(IF(OR(B491="",E491=""),"",SUMIF(LOANS!$B:$B,B491,LOANS!$I:$I)+ABS(PMT(IFERROR(VLOOKUP(B491,LOANS!$B:$G,6,0),12)/100/12,IFERROR(VLOOKUP(B491,LOANS!$B:$H,7,0),12),E491))),"")</f>
        <v/>
      </c>
      <c r="J491" s="44">
        <f>IF(B491="","","Active")</f>
        <v/>
      </c>
    </row>
    <row r="492" ht="20" customHeight="1">
      <c r="A492" s="47">
        <f>IF(B492="","","TU"&amp;TEXT(ROW()-2,"0000"))</f>
        <v/>
      </c>
      <c r="B492" s="26" t="n"/>
      <c r="C492" s="48">
        <f>IFERROR(IF(B492="","",VLOOKUP(B492,DATABASE!$A:$B,2,0)),"")</f>
        <v/>
      </c>
      <c r="D492" s="44">
        <f>IFERROR(IF(B492="","",VLOOKUP(B492,LOANS!$B:$A,1,0)),"")</f>
        <v/>
      </c>
      <c r="E492" s="29" t="n"/>
      <c r="F492" s="40">
        <f>IF(B492="","",TODAY())</f>
        <v/>
      </c>
      <c r="G492" s="30" t="n"/>
      <c r="H492" s="43">
        <f>IFERROR(IF(OR(B492="",E492=""),"",SUMIF(LOANS!$B:$B,B492,LOANS!$D:$D)+E492),"")</f>
        <v/>
      </c>
      <c r="I492" s="43">
        <f>IFERROR(IF(OR(B492="",E492=""),"",SUMIF(LOANS!$B:$B,B492,LOANS!$I:$I)+ABS(PMT(IFERROR(VLOOKUP(B492,LOANS!$B:$G,6,0),12)/100/12,IFERROR(VLOOKUP(B492,LOANS!$B:$H,7,0),12),E492))),"")</f>
        <v/>
      </c>
      <c r="J492" s="44">
        <f>IF(B492="","","Active")</f>
        <v/>
      </c>
    </row>
    <row r="493" ht="20" customHeight="1">
      <c r="A493" s="47">
        <f>IF(B493="","","TU"&amp;TEXT(ROW()-2,"0000"))</f>
        <v/>
      </c>
      <c r="B493" s="26" t="n"/>
      <c r="C493" s="48">
        <f>IFERROR(IF(B493="","",VLOOKUP(B493,DATABASE!$A:$B,2,0)),"")</f>
        <v/>
      </c>
      <c r="D493" s="44">
        <f>IFERROR(IF(B493="","",VLOOKUP(B493,LOANS!$B:$A,1,0)),"")</f>
        <v/>
      </c>
      <c r="E493" s="29" t="n"/>
      <c r="F493" s="40">
        <f>IF(B493="","",TODAY())</f>
        <v/>
      </c>
      <c r="G493" s="30" t="n"/>
      <c r="H493" s="43">
        <f>IFERROR(IF(OR(B493="",E493=""),"",SUMIF(LOANS!$B:$B,B493,LOANS!$D:$D)+E493),"")</f>
        <v/>
      </c>
      <c r="I493" s="43">
        <f>IFERROR(IF(OR(B493="",E493=""),"",SUMIF(LOANS!$B:$B,B493,LOANS!$I:$I)+ABS(PMT(IFERROR(VLOOKUP(B493,LOANS!$B:$G,6,0),12)/100/12,IFERROR(VLOOKUP(B493,LOANS!$B:$H,7,0),12),E493))),"")</f>
        <v/>
      </c>
      <c r="J493" s="44">
        <f>IF(B493="","","Active")</f>
        <v/>
      </c>
    </row>
    <row r="494" ht="20" customHeight="1">
      <c r="A494" s="47">
        <f>IF(B494="","","TU"&amp;TEXT(ROW()-2,"0000"))</f>
        <v/>
      </c>
      <c r="B494" s="26" t="n"/>
      <c r="C494" s="48">
        <f>IFERROR(IF(B494="","",VLOOKUP(B494,DATABASE!$A:$B,2,0)),"")</f>
        <v/>
      </c>
      <c r="D494" s="44">
        <f>IFERROR(IF(B494="","",VLOOKUP(B494,LOANS!$B:$A,1,0)),"")</f>
        <v/>
      </c>
      <c r="E494" s="29" t="n"/>
      <c r="F494" s="40">
        <f>IF(B494="","",TODAY())</f>
        <v/>
      </c>
      <c r="G494" s="30" t="n"/>
      <c r="H494" s="43">
        <f>IFERROR(IF(OR(B494="",E494=""),"",SUMIF(LOANS!$B:$B,B494,LOANS!$D:$D)+E494),"")</f>
        <v/>
      </c>
      <c r="I494" s="43">
        <f>IFERROR(IF(OR(B494="",E494=""),"",SUMIF(LOANS!$B:$B,B494,LOANS!$I:$I)+ABS(PMT(IFERROR(VLOOKUP(B494,LOANS!$B:$G,6,0),12)/100/12,IFERROR(VLOOKUP(B494,LOANS!$B:$H,7,0),12),E494))),"")</f>
        <v/>
      </c>
      <c r="J494" s="44">
        <f>IF(B494="","","Active")</f>
        <v/>
      </c>
    </row>
    <row r="495" ht="20" customHeight="1">
      <c r="A495" s="47">
        <f>IF(B495="","","TU"&amp;TEXT(ROW()-2,"0000"))</f>
        <v/>
      </c>
      <c r="B495" s="26" t="n"/>
      <c r="C495" s="48">
        <f>IFERROR(IF(B495="","",VLOOKUP(B495,DATABASE!$A:$B,2,0)),"")</f>
        <v/>
      </c>
      <c r="D495" s="44">
        <f>IFERROR(IF(B495="","",VLOOKUP(B495,LOANS!$B:$A,1,0)),"")</f>
        <v/>
      </c>
      <c r="E495" s="29" t="n"/>
      <c r="F495" s="40">
        <f>IF(B495="","",TODAY())</f>
        <v/>
      </c>
      <c r="G495" s="30" t="n"/>
      <c r="H495" s="43">
        <f>IFERROR(IF(OR(B495="",E495=""),"",SUMIF(LOANS!$B:$B,B495,LOANS!$D:$D)+E495),"")</f>
        <v/>
      </c>
      <c r="I495" s="43">
        <f>IFERROR(IF(OR(B495="",E495=""),"",SUMIF(LOANS!$B:$B,B495,LOANS!$I:$I)+ABS(PMT(IFERROR(VLOOKUP(B495,LOANS!$B:$G,6,0),12)/100/12,IFERROR(VLOOKUP(B495,LOANS!$B:$H,7,0),12),E495))),"")</f>
        <v/>
      </c>
      <c r="J495" s="44">
        <f>IF(B495="","","Active")</f>
        <v/>
      </c>
    </row>
    <row r="496" ht="20" customHeight="1">
      <c r="A496" s="47">
        <f>IF(B496="","","TU"&amp;TEXT(ROW()-2,"0000"))</f>
        <v/>
      </c>
      <c r="B496" s="26" t="n"/>
      <c r="C496" s="48">
        <f>IFERROR(IF(B496="","",VLOOKUP(B496,DATABASE!$A:$B,2,0)),"")</f>
        <v/>
      </c>
      <c r="D496" s="44">
        <f>IFERROR(IF(B496="","",VLOOKUP(B496,LOANS!$B:$A,1,0)),"")</f>
        <v/>
      </c>
      <c r="E496" s="29" t="n"/>
      <c r="F496" s="40">
        <f>IF(B496="","",TODAY())</f>
        <v/>
      </c>
      <c r="G496" s="30" t="n"/>
      <c r="H496" s="43">
        <f>IFERROR(IF(OR(B496="",E496=""),"",SUMIF(LOANS!$B:$B,B496,LOANS!$D:$D)+E496),"")</f>
        <v/>
      </c>
      <c r="I496" s="43">
        <f>IFERROR(IF(OR(B496="",E496=""),"",SUMIF(LOANS!$B:$B,B496,LOANS!$I:$I)+ABS(PMT(IFERROR(VLOOKUP(B496,LOANS!$B:$G,6,0),12)/100/12,IFERROR(VLOOKUP(B496,LOANS!$B:$H,7,0),12),E496))),"")</f>
        <v/>
      </c>
      <c r="J496" s="44">
        <f>IF(B496="","","Active")</f>
        <v/>
      </c>
    </row>
    <row r="497" ht="20" customHeight="1">
      <c r="A497" s="47">
        <f>IF(B497="","","TU"&amp;TEXT(ROW()-2,"0000"))</f>
        <v/>
      </c>
      <c r="B497" s="26" t="n"/>
      <c r="C497" s="48">
        <f>IFERROR(IF(B497="","",VLOOKUP(B497,DATABASE!$A:$B,2,0)),"")</f>
        <v/>
      </c>
      <c r="D497" s="44">
        <f>IFERROR(IF(B497="","",VLOOKUP(B497,LOANS!$B:$A,1,0)),"")</f>
        <v/>
      </c>
      <c r="E497" s="29" t="n"/>
      <c r="F497" s="40">
        <f>IF(B497="","",TODAY())</f>
        <v/>
      </c>
      <c r="G497" s="30" t="n"/>
      <c r="H497" s="43">
        <f>IFERROR(IF(OR(B497="",E497=""),"",SUMIF(LOANS!$B:$B,B497,LOANS!$D:$D)+E497),"")</f>
        <v/>
      </c>
      <c r="I497" s="43">
        <f>IFERROR(IF(OR(B497="",E497=""),"",SUMIF(LOANS!$B:$B,B497,LOANS!$I:$I)+ABS(PMT(IFERROR(VLOOKUP(B497,LOANS!$B:$G,6,0),12)/100/12,IFERROR(VLOOKUP(B497,LOANS!$B:$H,7,0),12),E497))),"")</f>
        <v/>
      </c>
      <c r="J497" s="44">
        <f>IF(B497="","","Active")</f>
        <v/>
      </c>
    </row>
    <row r="498" ht="20" customHeight="1">
      <c r="A498" s="47">
        <f>IF(B498="","","TU"&amp;TEXT(ROW()-2,"0000"))</f>
        <v/>
      </c>
      <c r="B498" s="26" t="n"/>
      <c r="C498" s="48">
        <f>IFERROR(IF(B498="","",VLOOKUP(B498,DATABASE!$A:$B,2,0)),"")</f>
        <v/>
      </c>
      <c r="D498" s="44">
        <f>IFERROR(IF(B498="","",VLOOKUP(B498,LOANS!$B:$A,1,0)),"")</f>
        <v/>
      </c>
      <c r="E498" s="29" t="n"/>
      <c r="F498" s="40">
        <f>IF(B498="","",TODAY())</f>
        <v/>
      </c>
      <c r="G498" s="30" t="n"/>
      <c r="H498" s="43">
        <f>IFERROR(IF(OR(B498="",E498=""),"",SUMIF(LOANS!$B:$B,B498,LOANS!$D:$D)+E498),"")</f>
        <v/>
      </c>
      <c r="I498" s="43">
        <f>IFERROR(IF(OR(B498="",E498=""),"",SUMIF(LOANS!$B:$B,B498,LOANS!$I:$I)+ABS(PMT(IFERROR(VLOOKUP(B498,LOANS!$B:$G,6,0),12)/100/12,IFERROR(VLOOKUP(B498,LOANS!$B:$H,7,0),12),E498))),"")</f>
        <v/>
      </c>
      <c r="J498" s="44">
        <f>IF(B498="","","Active")</f>
        <v/>
      </c>
    </row>
    <row r="499" ht="20" customHeight="1">
      <c r="A499" s="47">
        <f>IF(B499="","","TU"&amp;TEXT(ROW()-2,"0000"))</f>
        <v/>
      </c>
      <c r="B499" s="26" t="n"/>
      <c r="C499" s="48">
        <f>IFERROR(IF(B499="","",VLOOKUP(B499,DATABASE!$A:$B,2,0)),"")</f>
        <v/>
      </c>
      <c r="D499" s="44">
        <f>IFERROR(IF(B499="","",VLOOKUP(B499,LOANS!$B:$A,1,0)),"")</f>
        <v/>
      </c>
      <c r="E499" s="29" t="n"/>
      <c r="F499" s="40">
        <f>IF(B499="","",TODAY())</f>
        <v/>
      </c>
      <c r="G499" s="30" t="n"/>
      <c r="H499" s="43">
        <f>IFERROR(IF(OR(B499="",E499=""),"",SUMIF(LOANS!$B:$B,B499,LOANS!$D:$D)+E499),"")</f>
        <v/>
      </c>
      <c r="I499" s="43">
        <f>IFERROR(IF(OR(B499="",E499=""),"",SUMIF(LOANS!$B:$B,B499,LOANS!$I:$I)+ABS(PMT(IFERROR(VLOOKUP(B499,LOANS!$B:$G,6,0),12)/100/12,IFERROR(VLOOKUP(B499,LOANS!$B:$H,7,0),12),E499))),"")</f>
        <v/>
      </c>
      <c r="J499" s="44">
        <f>IF(B499="","","Active")</f>
        <v/>
      </c>
    </row>
    <row r="500" ht="20" customHeight="1">
      <c r="A500" s="47">
        <f>IF(B500="","","TU"&amp;TEXT(ROW()-2,"0000"))</f>
        <v/>
      </c>
      <c r="B500" s="26" t="n"/>
      <c r="C500" s="48">
        <f>IFERROR(IF(B500="","",VLOOKUP(B500,DATABASE!$A:$B,2,0)),"")</f>
        <v/>
      </c>
      <c r="D500" s="44">
        <f>IFERROR(IF(B500="","",VLOOKUP(B500,LOANS!$B:$A,1,0)),"")</f>
        <v/>
      </c>
      <c r="E500" s="29" t="n"/>
      <c r="F500" s="40">
        <f>IF(B500="","",TODAY())</f>
        <v/>
      </c>
      <c r="G500" s="30" t="n"/>
      <c r="H500" s="43">
        <f>IFERROR(IF(OR(B500="",E500=""),"",SUMIF(LOANS!$B:$B,B500,LOANS!$D:$D)+E500),"")</f>
        <v/>
      </c>
      <c r="I500" s="43">
        <f>IFERROR(IF(OR(B500="",E500=""),"",SUMIF(LOANS!$B:$B,B500,LOANS!$I:$I)+ABS(PMT(IFERROR(VLOOKUP(B500,LOANS!$B:$G,6,0),12)/100/12,IFERROR(VLOOKUP(B500,LOANS!$B:$H,7,0),12),E500))),"")</f>
        <v/>
      </c>
      <c r="J500" s="44">
        <f>IF(B500="","","Active")</f>
        <v/>
      </c>
    </row>
    <row r="501" ht="20" customHeight="1">
      <c r="A501" s="47">
        <f>IF(B501="","","TU"&amp;TEXT(ROW()-2,"0000"))</f>
        <v/>
      </c>
      <c r="B501" s="26" t="n"/>
      <c r="C501" s="48">
        <f>IFERROR(IF(B501="","",VLOOKUP(B501,DATABASE!$A:$B,2,0)),"")</f>
        <v/>
      </c>
      <c r="D501" s="44">
        <f>IFERROR(IF(B501="","",VLOOKUP(B501,LOANS!$B:$A,1,0)),"")</f>
        <v/>
      </c>
      <c r="E501" s="29" t="n"/>
      <c r="F501" s="40">
        <f>IF(B501="","",TODAY())</f>
        <v/>
      </c>
      <c r="G501" s="30" t="n"/>
      <c r="H501" s="43">
        <f>IFERROR(IF(OR(B501="",E501=""),"",SUMIF(LOANS!$B:$B,B501,LOANS!$D:$D)+E501),"")</f>
        <v/>
      </c>
      <c r="I501" s="43">
        <f>IFERROR(IF(OR(B501="",E501=""),"",SUMIF(LOANS!$B:$B,B501,LOANS!$I:$I)+ABS(PMT(IFERROR(VLOOKUP(B501,LOANS!$B:$G,6,0),12)/100/12,IFERROR(VLOOKUP(B501,LOANS!$B:$H,7,0),12),E501))),"")</f>
        <v/>
      </c>
      <c r="J501" s="44">
        <f>IF(B501="","","Active")</f>
        <v/>
      </c>
    </row>
    <row r="502" ht="20" customHeight="1">
      <c r="A502" s="47">
        <f>IF(B502="","","TU"&amp;TEXT(ROW()-2,"0000"))</f>
        <v/>
      </c>
      <c r="B502" s="26" t="n"/>
      <c r="C502" s="48">
        <f>IFERROR(IF(B502="","",VLOOKUP(B502,DATABASE!$A:$B,2,0)),"")</f>
        <v/>
      </c>
      <c r="D502" s="44">
        <f>IFERROR(IF(B502="","",VLOOKUP(B502,LOANS!$B:$A,1,0)),"")</f>
        <v/>
      </c>
      <c r="E502" s="29" t="n"/>
      <c r="F502" s="40">
        <f>IF(B502="","",TODAY())</f>
        <v/>
      </c>
      <c r="G502" s="30" t="n"/>
      <c r="H502" s="43">
        <f>IFERROR(IF(OR(B502="",E502=""),"",SUMIF(LOANS!$B:$B,B502,LOANS!$D:$D)+E502),"")</f>
        <v/>
      </c>
      <c r="I502" s="43">
        <f>IFERROR(IF(OR(B502="",E502=""),"",SUMIF(LOANS!$B:$B,B502,LOANS!$I:$I)+ABS(PMT(IFERROR(VLOOKUP(B502,LOANS!$B:$G,6,0),12)/100/12,IFERROR(VLOOKUP(B502,LOANS!$B:$H,7,0),12),E502))),"")</f>
        <v/>
      </c>
      <c r="J502" s="44">
        <f>IF(B502="","","Active")</f>
        <v/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D700"/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4" customWidth="1" min="3" max="3"/>
    <col width="28" customWidth="1" min="4" max="4"/>
    <col width="4" customWidth="1" min="5" max="5"/>
    <col width="4" customWidth="1" min="6" max="6"/>
  </cols>
  <sheetData>
    <row r="1" ht="34" customHeight="1">
      <c r="A1" s="17" t="inlineStr">
        <is>
          <t>SAMICIOUS MICROFINANCE — SUMMARY REPORTS  (Auto-Refresh)</t>
        </is>
      </c>
    </row>
    <row r="2">
      <c r="A2" s="49">
        <f>"Report generated: "&amp;TEXT(TODAY(),"dddd d mmmm yyyy")</f>
        <v/>
      </c>
    </row>
    <row r="4" ht="24" customHeight="1">
      <c r="B4" s="9" t="inlineStr">
        <is>
          <t>CUSTOMER METRICS</t>
        </is>
      </c>
    </row>
    <row r="5" ht="24" customHeight="1">
      <c r="B5" s="50" t="inlineStr">
        <is>
          <t>Total Registered Customers</t>
        </is>
      </c>
      <c r="D5" s="51">
        <f>COUNTA(DATABASE!A:A)-1</f>
        <v/>
      </c>
    </row>
    <row r="6" ht="24" customHeight="1">
      <c r="B6" s="50" t="inlineStr">
        <is>
          <t>Customers with Savings Activity</t>
        </is>
      </c>
      <c r="D6" s="51">
        <f>COUNTIF(DATABASE!I:I,"&gt;"&amp;0)</f>
        <v/>
      </c>
    </row>
    <row r="7" ht="24" customHeight="1">
      <c r="B7" s="9" t="inlineStr">
        <is>
          <t>SAVINGS METRICS</t>
        </is>
      </c>
    </row>
    <row r="8" ht="24" customHeight="1">
      <c r="B8" s="50" t="inlineStr">
        <is>
          <t>Total Savings Deposited (GHS)</t>
        </is>
      </c>
      <c r="D8" s="51">
        <f>IFERROR(SUMIF(SAVINGS!A:A,"ACC*",SAVINGS!E:E),0)</f>
        <v/>
      </c>
    </row>
    <row r="9" ht="24" customHeight="1">
      <c r="B9" s="50" t="inlineStr">
        <is>
          <t>Total Withdrawals (GHS)</t>
        </is>
      </c>
      <c r="D9" s="51">
        <f>IFERROR(SUMIF(WITHDRAWALS!A:A,"ACC*",WITHDRAWALS!E:E),0)</f>
        <v/>
      </c>
    </row>
    <row r="10" ht="24" customHeight="1">
      <c r="B10" s="50" t="inlineStr">
        <is>
          <t>Net Balance Across All Accounts (GHS)</t>
        </is>
      </c>
      <c r="D10" s="51">
        <f>D8-D9</f>
        <v/>
      </c>
    </row>
    <row r="11" ht="24" customHeight="1">
      <c r="B11" s="9" t="inlineStr">
        <is>
          <t>LOAN METRICS</t>
        </is>
      </c>
    </row>
    <row r="12" ht="24" customHeight="1">
      <c r="B12" s="50" t="inlineStr">
        <is>
          <t>Total Loans Disbursed (GHS)</t>
        </is>
      </c>
      <c r="D12" s="51">
        <f>IFERROR(SUMIF(LOANS!B:B,"ACC*",LOANS!D:D),0)</f>
        <v/>
      </c>
    </row>
    <row r="13" ht="24" customHeight="1">
      <c r="B13" s="50" t="inlineStr">
        <is>
          <t>Number of Active Loans</t>
        </is>
      </c>
      <c r="D13" s="51">
        <f>IFERROR(COUNTIF(LOANS!J:J,"Active"),0)</f>
        <v/>
      </c>
    </row>
    <row r="14" ht="24" customHeight="1">
      <c r="B14" s="50" t="inlineStr">
        <is>
          <t>Total Top-Up Amounts (GHS)</t>
        </is>
      </c>
      <c r="D14" s="51">
        <f>IFERROR(SUMIF(TOPUP!B:B,"ACC*",TOPUP!E:E),0)</f>
        <v/>
      </c>
    </row>
    <row r="15" ht="24" customHeight="1">
      <c r="B15" s="50" t="inlineStr">
        <is>
          <t>Total Loan Portfolio (GHS)</t>
        </is>
      </c>
      <c r="D15" s="51">
        <f>D12+D14</f>
        <v/>
      </c>
    </row>
    <row r="16" ht="24" customHeight="1">
      <c r="B16" s="50" t="inlineStr">
        <is>
          <t>Number of Active Top-Ups</t>
        </is>
      </c>
      <c r="D16" s="51">
        <f>IFERROR(COUNTIF(TOPUP!J:J,"Active"),0)</f>
        <v/>
      </c>
    </row>
    <row r="17">
      <c r="B17" s="52" t="inlineStr">
        <is>
          <t>⚡ All figures update automatically — no refresh needed.</t>
        </is>
      </c>
    </row>
  </sheetData>
  <mergeCells count="6">
    <mergeCell ref="B11:D11"/>
    <mergeCell ref="A2:F2"/>
    <mergeCell ref="A1:F1"/>
    <mergeCell ref="B4:D4"/>
    <mergeCell ref="B17:D17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2026-04-24T19:30:46Z</dcterms:created>
  <dcterms:modified xmlns:dcterms="http://purl.org/dc/terms/" xmlns:xsi="http://www.w3.org/2001/XMLSchema-instance" xsi:type="dcterms:W3CDTF">2026-04-24T19:30:56Z</dcterms:modified>
</cp:coreProperties>
</file>